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Waterfall" state="visible" r:id="rId7"/>
    <sheet sheetId="4" name="Sensitivity" state="visible" r:id="rId8"/>
    <sheet sheetId="5" name="Return-Solver" state="visible" r:id="rId9"/>
  </sheets>
  <calcPr calcId="171027" fullCalcOnLoad="1"/>
</workbook>
</file>

<file path=xl/sharedStrings.xml><?xml version="1.0" encoding="utf-8"?>
<sst xmlns="http://schemas.openxmlformats.org/spreadsheetml/2006/main" count="862" uniqueCount="286">
  <si>
    <t>Kelvin Dynamics — Series F Assumptions</t>
  </si>
  <si>
    <t>Sole source of inputs. All output tabs reference this sheet.</t>
  </si>
  <si>
    <t>Series F Round Terms</t>
  </si>
  <si>
    <t>Pre-money valuation ($)</t>
  </si>
  <si>
    <t>Primary raise ($)</t>
  </si>
  <si>
    <t>Secondary tender ($)</t>
  </si>
  <si>
    <t>Tender PPS multiplier</t>
  </si>
  <si>
    <t>ESOP refresh target (% post-F FD)</t>
  </si>
  <si>
    <t>Our fund check ($)</t>
  </si>
  <si>
    <t>F_LEAD primary check ($)</t>
  </si>
  <si>
    <t>Exit Scenarios</t>
  </si>
  <si>
    <t>Exit 1 ($)</t>
  </si>
  <si>
    <t>Exit 2 ($)</t>
  </si>
  <si>
    <t>Exit 3 ($, sensitivity ref)</t>
  </si>
  <si>
    <t>Exit 4 ($)</t>
  </si>
  <si>
    <t>Exit 5 ($)</t>
  </si>
  <si>
    <t>Prior Round OCPs (for AD)</t>
  </si>
  <si>
    <t>Seed OCP ($/share)</t>
  </si>
  <si>
    <t>Series A OCP ($/share)</t>
  </si>
  <si>
    <t>Series B OCP ($/share)</t>
  </si>
  <si>
    <t>Series C OCP ($/share)</t>
  </si>
  <si>
    <t>Series D OCP (post-E NCP, $/share)</t>
  </si>
  <si>
    <t>Series D original OCP ($/share)</t>
  </si>
  <si>
    <t>Series E OCP ($/share)</t>
  </si>
  <si>
    <t>Pre-F Share Counts</t>
  </si>
  <si>
    <t>Founder F1 (CEO) common</t>
  </si>
  <si>
    <t>Founder F2 (CTO) common</t>
  </si>
  <si>
    <t>Founder F3 (CSci) common</t>
  </si>
  <si>
    <t>Employee RSAs (10 × 100k)</t>
  </si>
  <si>
    <t>Seed shares</t>
  </si>
  <si>
    <t>Series A shares</t>
  </si>
  <si>
    <t>Series B shares</t>
  </si>
  <si>
    <t>Series C shares</t>
  </si>
  <si>
    <t>Series D shares (post-E AD)</t>
  </si>
  <si>
    <t>Series D original shares (= $100M / $60)</t>
  </si>
  <si>
    <t>Series E shares</t>
  </si>
  <si>
    <t>Pre-F issued options</t>
  </si>
  <si>
    <t>Pre-F unissued option pool</t>
  </si>
  <si>
    <t>Pre-F FD total (sum)</t>
  </si>
  <si>
    <t>Convertible Notes</t>
  </si>
  <si>
    <t>Note A principal ($)</t>
  </si>
  <si>
    <t>Note A valuation cap ($)</t>
  </si>
  <si>
    <t>Note A discount</t>
  </si>
  <si>
    <t>Note B principal ($)</t>
  </si>
  <si>
    <t>Note B valuation cap ($)</t>
  </si>
  <si>
    <t>Note B discount</t>
  </si>
  <si>
    <t>Options &amp; Misc</t>
  </si>
  <si>
    <t>Option strike ($)</t>
  </si>
  <si>
    <t>Pre-F existing option pool (issued + unissued)</t>
  </si>
  <si>
    <t>Sensitivity Axes</t>
  </si>
  <si>
    <t>ESOP refresh — low</t>
  </si>
  <si>
    <t>ESOP refresh — base</t>
  </si>
  <si>
    <t>ESOP refresh — high</t>
  </si>
  <si>
    <t>Pre-money — low ($)</t>
  </si>
  <si>
    <t>Pre-money — base ($)</t>
  </si>
  <si>
    <t>Pre-money — high ($)</t>
  </si>
  <si>
    <t>Return Solver Targets</t>
  </si>
  <si>
    <t>Target 3x ($)</t>
  </si>
  <si>
    <t>Target 4x ($)</t>
  </si>
  <si>
    <t>Kelvin Dynamics — Series F Pro-Forma</t>
  </si>
  <si>
    <t>Post-F cap table, AD adjustments, note conversions, tender. ($, shares)</t>
  </si>
  <si>
    <t>F PPS Solver — Iterative Fixed Point</t>
  </si>
  <si>
    <t>Iteration</t>
  </si>
  <si>
    <t>Iter 0</t>
  </si>
  <si>
    <t>Iter 1</t>
  </si>
  <si>
    <t>Iter 2</t>
  </si>
  <si>
    <t>Iter 3</t>
  </si>
  <si>
    <t>Iter 4</t>
  </si>
  <si>
    <t>Iter 5</t>
  </si>
  <si>
    <t>Iter 6</t>
  </si>
  <si>
    <t>Iter 7</t>
  </si>
  <si>
    <t>Iter 8</t>
  </si>
  <si>
    <t>Iter 9</t>
  </si>
  <si>
    <t>F_PPS (input)</t>
  </si>
  <si>
    <t>NCP_D (post-F WA)</t>
  </si>
  <si>
    <t>Δ Series D shares</t>
  </si>
  <si>
    <t>NCP_E (post-F WA)</t>
  </si>
  <si>
    <t>Δ Series E shares</t>
  </si>
  <si>
    <t>Base FD (preF + ΔD + ΔE)</t>
  </si>
  <si>
    <t>F_S (new F primary shares)</t>
  </si>
  <si>
    <t>Note A — cap PPS</t>
  </si>
  <si>
    <t>Note A — discount PPS</t>
  </si>
  <si>
    <t>Note A — conv PPS (min)</t>
  </si>
  <si>
    <t>Note A — shares issued</t>
  </si>
  <si>
    <t>Note B — cap PPS</t>
  </si>
  <si>
    <t>Note B — discount PPS</t>
  </si>
  <si>
    <t>Note B — conv PPS (min)</t>
  </si>
  <si>
    <t>Note B — shares issued</t>
  </si>
  <si>
    <t>ESOP top-up</t>
  </si>
  <si>
    <t>T_F (post-F FD shares)</t>
  </si>
  <si>
    <t>Pre-money FD shares</t>
  </si>
  <si>
    <t>F_PPS_new</t>
  </si>
  <si>
    <t>Converged Round Mechanics</t>
  </si>
  <si>
    <t>Series F PPS ($)</t>
  </si>
  <si>
    <t>Series F new primary shares</t>
  </si>
  <si>
    <t>Post-F FD shares (T_F)</t>
  </si>
  <si>
    <t>Total post-F option pool</t>
  </si>
  <si>
    <t>Implied post-money valuation ($)</t>
  </si>
  <si>
    <t>Tender PPS ($)</t>
  </si>
  <si>
    <t>Tender shares (founders → F_LEAD)</t>
  </si>
  <si>
    <t>Anti-Dilution Block (Broad-Based WA)</t>
  </si>
  <si>
    <t>Class</t>
  </si>
  <si>
    <t>Original OCP</t>
  </si>
  <si>
    <t>Trigger?</t>
  </si>
  <si>
    <t>New conv. price (NCP)</t>
  </si>
  <si>
    <t>New ratio (compound)</t>
  </si>
  <si>
    <t>As-converted shares</t>
  </si>
  <si>
    <t>Δ vs. pre-F</t>
  </si>
  <si>
    <t>Seed</t>
  </si>
  <si>
    <t>Series A</t>
  </si>
  <si>
    <t>Series B</t>
  </si>
  <si>
    <t>Series C</t>
  </si>
  <si>
    <t>Series D</t>
  </si>
  <si>
    <t>Series E</t>
  </si>
  <si>
    <t>Convertible Notes — Conversion at F Closing</t>
  </si>
  <si>
    <t>Note</t>
  </si>
  <si>
    <t>Cap-implied PPS</t>
  </si>
  <si>
    <t>Discount-implied PPS</t>
  </si>
  <si>
    <t>Conversion PPS (min)</t>
  </si>
  <si>
    <t>Branch</t>
  </si>
  <si>
    <t>Shares issued</t>
  </si>
  <si>
    <t>Principal ($)</t>
  </si>
  <si>
    <t>Note A</t>
  </si>
  <si>
    <t>Note B</t>
  </si>
  <si>
    <t>Secondary Tender ($15M @ 0.85·F_PPS, founders → F_LEAD)</t>
  </si>
  <si>
    <t>Tender shares (total)</t>
  </si>
  <si>
    <t>F1 sells (50.00% pro rata)</t>
  </si>
  <si>
    <t>F2 sells (31.25% pro rata)</t>
  </si>
  <si>
    <t>F3 sells (18.75% pro rata)</t>
  </si>
  <si>
    <t>F_LEAD secondary common</t>
  </si>
  <si>
    <t>Post-F Stakeholder Cap Table</t>
  </si>
  <si>
    <t>Stakeholder</t>
  </si>
  <si>
    <t>Role</t>
  </si>
  <si>
    <t>Common</t>
  </si>
  <si>
    <t>Preferred</t>
  </si>
  <si>
    <t>Total</t>
  </si>
  <si>
    <t>Ownership %</t>
  </si>
  <si>
    <t>F1</t>
  </si>
  <si>
    <t>Founder (CEO)</t>
  </si>
  <si>
    <t>—</t>
  </si>
  <si>
    <t>F2</t>
  </si>
  <si>
    <t>Founder (CTO)</t>
  </si>
  <si>
    <t>F3</t>
  </si>
  <si>
    <t>Founder (CSci)</t>
  </si>
  <si>
    <t>Employees E1-E10</t>
  </si>
  <si>
    <t>Employee RSAs</t>
  </si>
  <si>
    <t>SEED1</t>
  </si>
  <si>
    <t>Seed LP</t>
  </si>
  <si>
    <t>A1</t>
  </si>
  <si>
    <t>Series A LP</t>
  </si>
  <si>
    <t>B1</t>
  </si>
  <si>
    <t>Series B LP</t>
  </si>
  <si>
    <t>C1</t>
  </si>
  <si>
    <t>Series C LP</t>
  </si>
  <si>
    <t>D1</t>
  </si>
  <si>
    <t>Series D LP</t>
  </si>
  <si>
    <t>E1-E10_INV</t>
  </si>
  <si>
    <t>Series E LPs</t>
  </si>
  <si>
    <t>NA1</t>
  </si>
  <si>
    <t>Note A holder</t>
  </si>
  <si>
    <t>Common (note)</t>
  </si>
  <si>
    <t>NB1</t>
  </si>
  <si>
    <t>Note B holder</t>
  </si>
  <si>
    <t>F_LEAD</t>
  </si>
  <si>
    <t>Series F lead</t>
  </si>
  <si>
    <t>Series F</t>
  </si>
  <si>
    <t>F_FUND (our fund)</t>
  </si>
  <si>
    <t>Series F primary</t>
  </si>
  <si>
    <t>Issued options</t>
  </si>
  <si>
    <t>Employee options</t>
  </si>
  <si>
    <t>Options</t>
  </si>
  <si>
    <t>Unissued option pool</t>
  </si>
  <si>
    <t>ESOP unissued + top-up</t>
  </si>
  <si>
    <t/>
  </si>
  <si>
    <t>Check</t>
  </si>
  <si>
    <t>Kelvin Dynamics — Waterfall</t>
  </si>
  <si>
    <t>1× non-participating with conversion election. Notes ride convert. Game-theoretic Nash equilibrium per exit.</t>
  </si>
  <si>
    <t>Exit Scenarios ($M)</t>
  </si>
  <si>
    <t>Exit value ($)</t>
  </si>
  <si>
    <t>+ Issued option strike cash</t>
  </si>
  <si>
    <t>Distributable to equity ($)</t>
  </si>
  <si>
    <t>Per-Class Election (Nash equilibrium)</t>
  </si>
  <si>
    <t>Per-Class Proceeds ($)</t>
  </si>
  <si>
    <t>Notes (combined A+B)</t>
  </si>
  <si>
    <t>Common + RSAs (founders, employees, F_LEAD secondary)</t>
  </si>
  <si>
    <t>Issued options (net of strike, ITM)</t>
  </si>
  <si>
    <t>Total to all stakeholders</t>
  </si>
  <si>
    <t>Check (vs. exit value)</t>
  </si>
  <si>
    <t>Exit 1 Nash Solver — iterative best response</t>
  </si>
  <si>
    <t>Distributable ($)</t>
  </si>
  <si>
    <t>F_takes_pref</t>
  </si>
  <si>
    <t>E_takes_pref</t>
  </si>
  <si>
    <t>D_takes_pref</t>
  </si>
  <si>
    <t>C_takes_pref</t>
  </si>
  <si>
    <t>B_takes_pref</t>
  </si>
  <si>
    <t>A_takes_pref</t>
  </si>
  <si>
    <t>Seed_takes_pref</t>
  </si>
  <si>
    <t>Sum prefs taken</t>
  </si>
  <si>
    <t>Convert pool (shares)</t>
  </si>
  <si>
    <t>Residual ($)</t>
  </si>
  <si>
    <t>Common PPS at exit ($)</t>
  </si>
  <si>
    <t>F_convert_$</t>
  </si>
  <si>
    <t>E_convert_$</t>
  </si>
  <si>
    <t>D_convert_$</t>
  </si>
  <si>
    <t>C_convert_$</t>
  </si>
  <si>
    <t>B_convert_$</t>
  </si>
  <si>
    <t>A_convert_$</t>
  </si>
  <si>
    <t>Seed_convert_$</t>
  </si>
  <si>
    <t>Exit 2 Nash Solver — iterative best response</t>
  </si>
  <si>
    <t>Exit 3 Nash Solver — iterative best response</t>
  </si>
  <si>
    <t>Exit 4 Nash Solver — iterative best response</t>
  </si>
  <si>
    <t>Exit 5 Nash Solver — iterative best response</t>
  </si>
  <si>
    <t>Kelvin Dynamics — Sensitivity</t>
  </si>
  <si>
    <t>Our $10M check — ownership % and $ proceeds at $2,000M exit. Each cell re-solves the full round.</t>
  </si>
  <si>
    <t>Sensitivity — Our $10M Check at $2,000M Exit</t>
  </si>
  <si>
    <t>Our Ownership % (post-F)</t>
  </si>
  <si>
    <t>Pre-Money ↓ / ESOP →</t>
  </si>
  <si>
    <t>ESOP 11%</t>
  </si>
  <si>
    <t>ESOP 13%</t>
  </si>
  <si>
    <t>ESOP 15%</t>
  </si>
  <si>
    <t>$1,200M</t>
  </si>
  <si>
    <t>$1,400M (base)</t>
  </si>
  <si>
    <t>$1,800M</t>
  </si>
  <si>
    <t>Our $ Proceeds at $2B Exit</t>
  </si>
  <si>
    <t>Solver: ESOP=11%, Pre=$1,200M</t>
  </si>
  <si>
    <t>pre_money ($)</t>
  </si>
  <si>
    <t>esop_target</t>
  </si>
  <si>
    <t>NCP_D</t>
  </si>
  <si>
    <t>Δ D shares</t>
  </si>
  <si>
    <t>NCP_E</t>
  </si>
  <si>
    <t>Δ E shares</t>
  </si>
  <si>
    <t>Base FD</t>
  </si>
  <si>
    <t>F_S</t>
  </si>
  <si>
    <t>Note A cap PPS</t>
  </si>
  <si>
    <t>Note A disc PPS</t>
  </si>
  <si>
    <t>Note A conv PPS</t>
  </si>
  <si>
    <t>Note A shares</t>
  </si>
  <si>
    <t>Note B cap PPS</t>
  </si>
  <si>
    <t>Note B disc PPS</t>
  </si>
  <si>
    <t>Note B conv PPS</t>
  </si>
  <si>
    <t>Note B shares</t>
  </si>
  <si>
    <t>T_F</t>
  </si>
  <si>
    <t>Pre-money FD</t>
  </si>
  <si>
    <t>Distributable_$2B</t>
  </si>
  <si>
    <t>F pref?</t>
  </si>
  <si>
    <t>E pref?</t>
  </si>
  <si>
    <t>D pref?</t>
  </si>
  <si>
    <t>C pref?</t>
  </si>
  <si>
    <t>B pref?</t>
  </si>
  <si>
    <t>A pref?</t>
  </si>
  <si>
    <t>Seed pref?</t>
  </si>
  <si>
    <t>Sum prefs</t>
  </si>
  <si>
    <t>Convert pool</t>
  </si>
  <si>
    <t>Residual</t>
  </si>
  <si>
    <t>Common PPS @ exit</t>
  </si>
  <si>
    <t>F convert $</t>
  </si>
  <si>
    <t>E convert $</t>
  </si>
  <si>
    <t>D convert $</t>
  </si>
  <si>
    <t>C convert $</t>
  </si>
  <si>
    <t>B convert $</t>
  </si>
  <si>
    <t>A convert $</t>
  </si>
  <si>
    <t>Seed convert $</t>
  </si>
  <si>
    <t>Solver: ESOP=13%, Pre=$1,200M</t>
  </si>
  <si>
    <t>Solver: ESOP=15%, Pre=$1,200M</t>
  </si>
  <si>
    <t>Solver: ESOP=11%, Pre=$1,400M</t>
  </si>
  <si>
    <t>Solver: ESOP=13%, Pre=$1,400M</t>
  </si>
  <si>
    <t>Solver: ESOP=15%, Pre=$1,400M</t>
  </si>
  <si>
    <t>Solver: ESOP=11%, Pre=$1,800M</t>
  </si>
  <si>
    <t>Solver: ESOP=13%, Pre=$1,800M</t>
  </si>
  <si>
    <t>Solver: ESOP=15%, Pre=$1,800M</t>
  </si>
  <si>
    <t>Kelvin Dynamics — Return Solver</t>
  </si>
  <si>
    <t>Required Series F ownership % to achieve 3x / 4x on our $10M check.</t>
  </si>
  <si>
    <t>Per-Exit Data (from Waterfall)</t>
  </si>
  <si>
    <t>F class total proceeds ($)</t>
  </si>
  <si>
    <t>F election</t>
  </si>
  <si>
    <t>$ per F share at exit</t>
  </si>
  <si>
    <t>$ per 1% of T_F (in F class)</t>
  </si>
  <si>
    <t>Required Series F Ownership % (of post-F FD)</t>
  </si>
  <si>
    <t>Req. ownership % (3x)</t>
  </si>
  <si>
    <t>Feasible? (3x)</t>
  </si>
  <si>
    <t>Req. ownership % (4x)</t>
  </si>
  <si>
    <t>Feasible? (4x)</t>
  </si>
  <si>
    <t>Reference</t>
  </si>
  <si>
    <t>F_S (Series F primary shares)</t>
  </si>
  <si>
    <t>Our base ownership % of T_F</t>
  </si>
  <si>
    <t>Our base $ at $2B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</si>
</sst>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$&quot;#,##0_);\(&quot;$&quot;#,##0\);\-\-_)"/>
    <numFmt numFmtId="165" formatCode="0.0%"/>
    <numFmt numFmtId="166" formatCode="#,##0_);\(#,##0\);\-\-_)"/>
    <numFmt numFmtId="167" formatCode="0.0&quot;x&quot;_);\(0.0&quot;x&quot;\);\-\-_)"/>
    <numFmt numFmtId="168" formatCode="0.0%_);\(0.0%\);\-\-_)"/>
  </numFmts>
  <fonts count="9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b/>
      <charset val="134"/>
      <color rgb="FF000000"/>
      <family val="1"/>
      <sz val="10"/>
      <name val="Arial"/>
    </font>
    <font>
      <charset val="134"/>
      <color rgb="FF666666"/>
      <family val="1"/>
      <sz val="10"/>
      <name val="Arial"/>
    </font>
    <font>
      <b/>
      <charset val="134"/>
      <color rgb="FF7030A0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166" fontId="6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center"/>
    </xf>
    <xf numFmtId="166" fontId="4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166" fontId="6" fillId="0" borderId="2" xfId="0" applyNumberFormat="1" applyFont="1" applyBorder="1" applyAlignment="1">
      <alignment horizontal="right"/>
    </xf>
    <xf numFmtId="166" fontId="2" fillId="0" borderId="0" xfId="0" applyNumberFormat="1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168" fontId="6" fillId="4" borderId="0" xfId="0" applyNumberFormat="1" applyFont="1" applyFill="1" applyAlignment="1">
      <alignment horizontal="center"/>
    </xf>
    <xf numFmtId="168" fontId="6" fillId="4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8"/>
  <sheetViews>
    <sheetView workbookViewId="0" showGridLines="0"/>
  </sheetViews>
  <sheetFormatPr defaultRowHeight="12.75" outlineLevelRow="0" outlineLevelCol="0" x14ac:dyDescent="0" defaultColWidth="10.205" customHeight="1"/>
  <cols>
    <col min="1" max="1" width="1.705" customWidth="1"/>
    <col min="2" max="2" width="40.205" customWidth="1"/>
    <col min="3" max="3" width="20.20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3" x14ac:dyDescent="0.25">
      <c r="B5" s="3" t="s">
        <v>2</v>
      </c>
      <c r="C5" s="4"/>
    </row>
    <row r="6" spans="2:3" x14ac:dyDescent="0.25">
      <c r="B6" s="5" t="s">
        <v>3</v>
      </c>
      <c r="C6" s="6">
        <v>1400000000</v>
      </c>
    </row>
    <row r="7" spans="2:3" x14ac:dyDescent="0.25">
      <c r="B7" s="5" t="s">
        <v>4</v>
      </c>
      <c r="C7" s="6">
        <v>30000000</v>
      </c>
    </row>
    <row r="8" spans="2:3" x14ac:dyDescent="0.25">
      <c r="B8" s="5" t="s">
        <v>5</v>
      </c>
      <c r="C8" s="6">
        <v>15000000</v>
      </c>
    </row>
    <row r="9" spans="2:3" x14ac:dyDescent="0.25">
      <c r="B9" s="5" t="s">
        <v>6</v>
      </c>
      <c r="C9" s="7">
        <v>0.85</v>
      </c>
    </row>
    <row r="10" spans="2:3" x14ac:dyDescent="0.25">
      <c r="B10" s="5" t="s">
        <v>7</v>
      </c>
      <c r="C10" s="7">
        <v>0.13</v>
      </c>
    </row>
    <row r="11" spans="2:3" x14ac:dyDescent="0.25">
      <c r="B11" s="5" t="s">
        <v>8</v>
      </c>
      <c r="C11" s="6">
        <v>10000000</v>
      </c>
    </row>
    <row r="12" spans="2:3" x14ac:dyDescent="0.25">
      <c r="B12" s="5" t="s">
        <v>9</v>
      </c>
      <c r="C12" s="6">
        <v>20000000</v>
      </c>
    </row>
    <row r="14" spans="2:3" x14ac:dyDescent="0.25">
      <c r="B14" s="3" t="s">
        <v>10</v>
      </c>
      <c r="C14" s="4"/>
    </row>
    <row r="15" spans="2:3" x14ac:dyDescent="0.25">
      <c r="B15" s="5" t="s">
        <v>11</v>
      </c>
      <c r="C15" s="6">
        <v>700000000</v>
      </c>
    </row>
    <row r="16" spans="2:3" x14ac:dyDescent="0.25">
      <c r="B16" s="5" t="s">
        <v>12</v>
      </c>
      <c r="C16" s="6">
        <v>1200000000</v>
      </c>
    </row>
    <row r="17" spans="2:3" x14ac:dyDescent="0.25">
      <c r="B17" s="5" t="s">
        <v>13</v>
      </c>
      <c r="C17" s="6">
        <v>2000000000</v>
      </c>
    </row>
    <row r="18" spans="2:3" x14ac:dyDescent="0.25">
      <c r="B18" s="5" t="s">
        <v>14</v>
      </c>
      <c r="C18" s="6">
        <v>4000000000</v>
      </c>
    </row>
    <row r="19" spans="2:3" x14ac:dyDescent="0.25">
      <c r="B19" s="5" t="s">
        <v>15</v>
      </c>
      <c r="C19" s="6">
        <v>8000000000</v>
      </c>
    </row>
    <row r="21" spans="2:3" x14ac:dyDescent="0.25">
      <c r="B21" s="3" t="s">
        <v>16</v>
      </c>
      <c r="C21" s="4"/>
    </row>
    <row r="22" spans="2:3" x14ac:dyDescent="0.25">
      <c r="B22" s="5" t="s">
        <v>17</v>
      </c>
      <c r="C22" s="8">
        <v>1</v>
      </c>
    </row>
    <row r="23" spans="2:3" x14ac:dyDescent="0.25">
      <c r="B23" s="5" t="s">
        <v>18</v>
      </c>
      <c r="C23" s="8">
        <v>3</v>
      </c>
    </row>
    <row r="24" spans="2:3" x14ac:dyDescent="0.25">
      <c r="B24" s="5" t="s">
        <v>19</v>
      </c>
      <c r="C24" s="8">
        <v>10</v>
      </c>
    </row>
    <row r="25" spans="2:3" x14ac:dyDescent="0.25">
      <c r="B25" s="5" t="s">
        <v>20</v>
      </c>
      <c r="C25" s="8">
        <v>25</v>
      </c>
    </row>
    <row r="26" spans="2:3" x14ac:dyDescent="0.25">
      <c r="B26" s="5" t="s">
        <v>21</v>
      </c>
      <c r="C26" s="8">
        <v>58.118347</v>
      </c>
    </row>
    <row r="27" spans="2:3" x14ac:dyDescent="0.25">
      <c r="B27" s="5" t="s">
        <v>22</v>
      </c>
      <c r="C27" s="8">
        <v>60</v>
      </c>
    </row>
    <row r="28" spans="2:3" x14ac:dyDescent="0.25">
      <c r="B28" s="5" t="s">
        <v>23</v>
      </c>
      <c r="C28" s="8">
        <v>49.158311</v>
      </c>
    </row>
    <row r="30" spans="2:3" x14ac:dyDescent="0.25">
      <c r="B30" s="3" t="s">
        <v>24</v>
      </c>
      <c r="C30" s="4"/>
    </row>
    <row r="31" spans="2:3" x14ac:dyDescent="0.25">
      <c r="B31" s="5" t="s">
        <v>25</v>
      </c>
      <c r="C31" s="8">
        <v>4000000</v>
      </c>
    </row>
    <row r="32" spans="2:3" x14ac:dyDescent="0.25">
      <c r="B32" s="5" t="s">
        <v>26</v>
      </c>
      <c r="C32" s="8">
        <v>2500000</v>
      </c>
    </row>
    <row r="33" spans="2:3" x14ac:dyDescent="0.25">
      <c r="B33" s="5" t="s">
        <v>27</v>
      </c>
      <c r="C33" s="8">
        <v>1500000</v>
      </c>
    </row>
    <row r="34" spans="2:3" x14ac:dyDescent="0.25">
      <c r="B34" s="5" t="s">
        <v>28</v>
      </c>
      <c r="C34" s="8">
        <v>1000000</v>
      </c>
    </row>
    <row r="35" spans="2:3" x14ac:dyDescent="0.25">
      <c r="B35" s="5" t="s">
        <v>29</v>
      </c>
      <c r="C35" s="8">
        <v>5000000</v>
      </c>
    </row>
    <row r="36" spans="2:3" x14ac:dyDescent="0.25">
      <c r="B36" s="5" t="s">
        <v>30</v>
      </c>
      <c r="C36" s="8">
        <v>5000000</v>
      </c>
    </row>
    <row r="37" spans="2:3" x14ac:dyDescent="0.25">
      <c r="B37" s="5" t="s">
        <v>31</v>
      </c>
      <c r="C37" s="8">
        <v>3000000</v>
      </c>
    </row>
    <row r="38" spans="2:3" x14ac:dyDescent="0.25">
      <c r="B38" s="5" t="s">
        <v>32</v>
      </c>
      <c r="C38" s="8">
        <v>2400000</v>
      </c>
    </row>
    <row r="39" spans="2:3" x14ac:dyDescent="0.25">
      <c r="B39" s="5" t="s">
        <v>33</v>
      </c>
      <c r="C39" s="8">
        <v>1720627</v>
      </c>
    </row>
    <row r="40" spans="2:3" x14ac:dyDescent="0.25">
      <c r="B40" s="5" t="s">
        <v>34</v>
      </c>
      <c r="C40" s="8">
        <v>1666667</v>
      </c>
    </row>
    <row r="41" spans="2:3" x14ac:dyDescent="0.25">
      <c r="B41" s="5" t="s">
        <v>35</v>
      </c>
      <c r="C41" s="8">
        <v>6102667</v>
      </c>
    </row>
    <row r="42" spans="2:3" x14ac:dyDescent="0.25">
      <c r="B42" s="5" t="s">
        <v>36</v>
      </c>
      <c r="C42" s="8">
        <v>2500000</v>
      </c>
    </row>
    <row r="43" spans="2:3" x14ac:dyDescent="0.25">
      <c r="B43" s="5" t="s">
        <v>37</v>
      </c>
      <c r="C43" s="8">
        <v>1894667</v>
      </c>
    </row>
    <row r="44" spans="2:3" x14ac:dyDescent="0.25">
      <c r="B44" s="9" t="s">
        <v>38</v>
      </c>
      <c r="C44" s="10">
        <f>SUM(C31:C43)-C40</f>
        <v>36617961</v>
      </c>
    </row>
    <row r="46" spans="2:3" x14ac:dyDescent="0.25">
      <c r="B46" s="3" t="s">
        <v>39</v>
      </c>
      <c r="C46" s="4"/>
    </row>
    <row r="47" spans="2:3" x14ac:dyDescent="0.25">
      <c r="B47" s="5" t="s">
        <v>40</v>
      </c>
      <c r="C47" s="6">
        <v>5000000</v>
      </c>
    </row>
    <row r="48" spans="2:3" x14ac:dyDescent="0.25">
      <c r="B48" s="5" t="s">
        <v>41</v>
      </c>
      <c r="C48" s="6">
        <v>1000000000</v>
      </c>
    </row>
    <row r="49" spans="2:3" x14ac:dyDescent="0.25">
      <c r="B49" s="5" t="s">
        <v>42</v>
      </c>
      <c r="C49" s="7">
        <v>0.2</v>
      </c>
    </row>
    <row r="50" spans="2:3" x14ac:dyDescent="0.25">
      <c r="B50" s="5" t="s">
        <v>43</v>
      </c>
      <c r="C50" s="6">
        <v>3000000</v>
      </c>
    </row>
    <row r="51" spans="2:3" x14ac:dyDescent="0.25">
      <c r="B51" s="5" t="s">
        <v>44</v>
      </c>
      <c r="C51" s="6">
        <v>1600000000</v>
      </c>
    </row>
    <row r="52" spans="2:3" x14ac:dyDescent="0.25">
      <c r="B52" s="5" t="s">
        <v>45</v>
      </c>
      <c r="C52" s="7">
        <v>0.15</v>
      </c>
    </row>
    <row r="54" spans="2:3" x14ac:dyDescent="0.25">
      <c r="B54" s="3" t="s">
        <v>46</v>
      </c>
      <c r="C54" s="4"/>
    </row>
    <row r="55" spans="2:3" x14ac:dyDescent="0.25">
      <c r="B55" s="5" t="s">
        <v>47</v>
      </c>
      <c r="C55" s="6">
        <v>1</v>
      </c>
    </row>
    <row r="56" spans="2:3" x14ac:dyDescent="0.25">
      <c r="B56" s="5" t="s">
        <v>48</v>
      </c>
      <c r="C56" s="8">
        <v>4394667</v>
      </c>
    </row>
    <row r="58" spans="2:3" x14ac:dyDescent="0.25">
      <c r="B58" s="3" t="s">
        <v>49</v>
      </c>
      <c r="C58" s="4"/>
    </row>
    <row r="59" spans="2:3" x14ac:dyDescent="0.25">
      <c r="B59" s="5" t="s">
        <v>50</v>
      </c>
      <c r="C59" s="7">
        <v>0.11</v>
      </c>
    </row>
    <row r="60" spans="2:3" x14ac:dyDescent="0.25">
      <c r="B60" s="5" t="s">
        <v>51</v>
      </c>
      <c r="C60" s="7">
        <v>0.13</v>
      </c>
    </row>
    <row r="61" spans="2:3" x14ac:dyDescent="0.25">
      <c r="B61" s="5" t="s">
        <v>52</v>
      </c>
      <c r="C61" s="7">
        <v>0.15</v>
      </c>
    </row>
    <row r="62" spans="2:3" x14ac:dyDescent="0.25">
      <c r="B62" s="5" t="s">
        <v>53</v>
      </c>
      <c r="C62" s="6">
        <v>1200000000</v>
      </c>
    </row>
    <row r="63" spans="2:3" x14ac:dyDescent="0.25">
      <c r="B63" s="5" t="s">
        <v>54</v>
      </c>
      <c r="C63" s="6">
        <v>1400000000</v>
      </c>
    </row>
    <row r="64" spans="2:3" x14ac:dyDescent="0.25">
      <c r="B64" s="5" t="s">
        <v>55</v>
      </c>
      <c r="C64" s="6">
        <v>1800000000</v>
      </c>
    </row>
    <row r="66" spans="2:3" x14ac:dyDescent="0.25">
      <c r="B66" s="3" t="s">
        <v>56</v>
      </c>
      <c r="C66" s="4"/>
    </row>
    <row r="67" spans="2:3" x14ac:dyDescent="0.25">
      <c r="B67" s="5" t="s">
        <v>57</v>
      </c>
      <c r="C67" s="11">
        <f>C11*3</f>
        <v>30000000</v>
      </c>
    </row>
    <row r="68" spans="2:3" x14ac:dyDescent="0.25">
      <c r="B68" s="5" t="s">
        <v>58</v>
      </c>
      <c r="C68" s="11">
        <f>C11*4</f>
        <v>40000000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9"/>
  <sheetViews>
    <sheetView workbookViewId="0" showGridLines="0"/>
  </sheetViews>
  <sheetFormatPr defaultRowHeight="12.75" outlineLevelRow="0" outlineLevelCol="0" x14ac:dyDescent="0" defaultColWidth="11.455" customHeight="1"/>
  <cols>
    <col min="1" max="1" width="1.705" customWidth="1"/>
    <col min="2" max="2" width="28.955" customWidth="1"/>
    <col min="3" max="12" width="13.955" customWidth="1"/>
  </cols>
  <sheetData>
    <row r="2" ht="18" customHeight="1" spans="2:2" x14ac:dyDescent="0.25">
      <c r="B2" s="1" t="s">
        <v>59</v>
      </c>
    </row>
    <row r="3" spans="2:2" x14ac:dyDescent="0.25">
      <c r="B3" s="2" t="s">
        <v>60</v>
      </c>
    </row>
    <row r="5" spans="2:12" x14ac:dyDescent="0.25">
      <c r="B5" s="3" t="s">
        <v>61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spans="2:12" x14ac:dyDescent="0.25">
      <c r="B6" s="12" t="s">
        <v>62</v>
      </c>
      <c r="C6" s="13" t="s">
        <v>63</v>
      </c>
      <c r="D6" s="13" t="s">
        <v>64</v>
      </c>
      <c r="E6" s="13" t="s">
        <v>65</v>
      </c>
      <c r="F6" s="13" t="s">
        <v>66</v>
      </c>
      <c r="G6" s="13" t="s">
        <v>67</v>
      </c>
      <c r="H6" s="13" t="s">
        <v>68</v>
      </c>
      <c r="I6" s="13" t="s">
        <v>69</v>
      </c>
      <c r="J6" s="13" t="s">
        <v>70</v>
      </c>
      <c r="K6" s="13" t="s">
        <v>71</v>
      </c>
      <c r="L6" s="13" t="s">
        <v>72</v>
      </c>
    </row>
    <row r="7" spans="2:12" x14ac:dyDescent="0.25">
      <c r="B7" s="5" t="s">
        <v>73</v>
      </c>
      <c r="C7" s="8">
        <v>45</v>
      </c>
      <c r="D7" s="14">
        <f>C25</f>
        <v>37.375973266511295</v>
      </c>
      <c r="E7" s="14">
        <f>D25</f>
        <v>37.30087156090165</v>
      </c>
      <c r="F7" s="14">
        <f>E25</f>
        <v>37.29977596878215</v>
      </c>
      <c r="G7" s="14">
        <f>F25</f>
        <v>37.29976047984788</v>
      </c>
      <c r="H7" s="14">
        <f>G25</f>
        <v>37.29976025976951</v>
      </c>
      <c r="I7" s="14">
        <f>H25</f>
        <v>37.299760256644824</v>
      </c>
      <c r="J7" s="14">
        <f>I25</f>
        <v>37.29976025660047</v>
      </c>
      <c r="K7" s="14">
        <f>J25</f>
        <v>37.29976025659983</v>
      </c>
      <c r="L7" s="14">
        <f>K25</f>
        <v>37.29976025659983</v>
      </c>
    </row>
    <row r="8" spans="2:12" x14ac:dyDescent="0.25">
      <c r="B8" s="5" t="s">
        <v>74</v>
      </c>
      <c r="C8" s="14">
        <f>IF(C7&lt;Assumptions!$C$26,Assumptions!$C$26*(Assumptions!$C$44+Assumptions!$C$7/Assumptions!$C$26)/(Assumptions!$C$44+Assumptions!$C$7/C7),Assumptions!$C$26)</f>
        <v>57.88378478994243</v>
      </c>
      <c r="D8" s="14">
        <f>IF(D7&lt;Assumptions!$C$26,Assumptions!$C$26*(Assumptions!$C$44+Assumptions!$C$7/Assumptions!$C$26)/(Assumptions!$C$44+Assumptions!$C$7/D7),Assumptions!$C$26)</f>
        <v>57.673432796320064</v>
      </c>
      <c r="E8" s="14">
        <f>IF(E7&lt;Assumptions!$C$26,Assumptions!$C$26*(Assumptions!$C$44+Assumptions!$C$7/Assumptions!$C$26)/(Assumptions!$C$44+Assumptions!$C$7/E7),Assumptions!$C$26)</f>
        <v>57.670942186575616</v>
      </c>
      <c r="F8" s="14">
        <f>IF(F7&lt;Assumptions!$C$26,Assumptions!$C$26*(Assumptions!$C$44+Assumptions!$C$7/Assumptions!$C$26)/(Assumptions!$C$44+Assumptions!$C$7/F7),Assumptions!$C$26)</f>
        <v>57.67090578065313</v>
      </c>
      <c r="G8" s="14">
        <f>IF(G7&lt;Assumptions!$C$26,Assumptions!$C$26*(Assumptions!$C$44+Assumptions!$C$7/Assumptions!$C$26)/(Assumptions!$C$44+Assumptions!$C$7/G7),Assumptions!$C$26)</f>
        <v>57.67090526594937</v>
      </c>
      <c r="H8" s="14">
        <f>IF(H7&lt;Assumptions!$C$26,Assumptions!$C$26*(Assumptions!$C$44+Assumptions!$C$7/Assumptions!$C$26)/(Assumptions!$C$44+Assumptions!$C$7/H7),Assumptions!$C$26)</f>
        <v>57.670905258636076</v>
      </c>
      <c r="I8" s="14">
        <f>IF(I7&lt;Assumptions!$C$26,Assumptions!$C$26*(Assumptions!$C$44+Assumptions!$C$7/Assumptions!$C$26)/(Assumptions!$C$44+Assumptions!$C$7/I7),Assumptions!$C$26)</f>
        <v>57.67090525853224</v>
      </c>
      <c r="J8" s="14">
        <f>IF(J7&lt;Assumptions!$C$26,Assumptions!$C$26*(Assumptions!$C$44+Assumptions!$C$7/Assumptions!$C$26)/(Assumptions!$C$44+Assumptions!$C$7/J7),Assumptions!$C$26)</f>
        <v>57.670905258530766</v>
      </c>
      <c r="K8" s="14">
        <f>IF(K7&lt;Assumptions!$C$26,Assumptions!$C$26*(Assumptions!$C$44+Assumptions!$C$7/Assumptions!$C$26)/(Assumptions!$C$44+Assumptions!$C$7/K7),Assumptions!$C$26)</f>
        <v>57.670905258530745</v>
      </c>
      <c r="L8" s="14">
        <f>IF(L7&lt;Assumptions!$C$26,Assumptions!$C$26*(Assumptions!$C$44+Assumptions!$C$7/Assumptions!$C$26)/(Assumptions!$C$44+Assumptions!$C$7/L7),Assumptions!$C$26)</f>
        <v>57.670905258530745</v>
      </c>
    </row>
    <row r="9" spans="2:12" x14ac:dyDescent="0.25">
      <c r="B9" s="15" t="s">
        <v>75</v>
      </c>
      <c r="C9" s="14">
        <f>Assumptions!$C$40*Assumptions!$C$27/C8-Assumptions!$C$39</f>
        <v>6972.8859247963</v>
      </c>
      <c r="D9" s="14">
        <f>Assumptions!$C$40*Assumptions!$C$27/D8-Assumptions!$C$39</f>
        <v>13273.9514686048</v>
      </c>
      <c r="E9" s="14">
        <f>Assumptions!$C$40*Assumptions!$C$27/E8-Assumptions!$C$39</f>
        <v>13348.8326902722</v>
      </c>
      <c r="F9" s="14">
        <f>Assumptions!$C$40*Assumptions!$C$27/F8-Assumptions!$C$39</f>
        <v>13349.9272974906</v>
      </c>
      <c r="G9" s="14">
        <f>Assumptions!$C$40*Assumptions!$C$27/G8-Assumptions!$C$39</f>
        <v>13349.942772962</v>
      </c>
      <c r="H9" s="14">
        <f>Assumptions!$C$40*Assumptions!$C$27/H8-Assumptions!$C$39</f>
        <v>13349.942992849</v>
      </c>
      <c r="I9" s="14">
        <f>Assumptions!$C$40*Assumptions!$C$27/I8-Assumptions!$C$39</f>
        <v>13349.942995971</v>
      </c>
      <c r="J9" s="14">
        <f>Assumptions!$C$40*Assumptions!$C$27/J8-Assumptions!$C$39</f>
        <v>13349.9429960153</v>
      </c>
      <c r="K9" s="14">
        <f>Assumptions!$C$40*Assumptions!$C$27/K8-Assumptions!$C$39</f>
        <v>13349.942996016</v>
      </c>
      <c r="L9" s="14">
        <f>Assumptions!$C$40*Assumptions!$C$27/L8-Assumptions!$C$39</f>
        <v>13349.942996016</v>
      </c>
    </row>
    <row r="10" spans="2:12" x14ac:dyDescent="0.25">
      <c r="B10" s="5" t="s">
        <v>76</v>
      </c>
      <c r="C10" s="14">
        <f>IF(C7&lt;Assumptions!$C$28,Assumptions!$C$28*(Assumptions!$C$44+Assumptions!$C$7/Assumptions!$C$28)/(Assumptions!$C$44+Assumptions!$C$7/C7),Assumptions!$C$28)</f>
        <v>49.08395844489023</v>
      </c>
      <c r="D10" s="14">
        <f>IF(D7&lt;Assumptions!$C$28,Assumptions!$C$28*(Assumptions!$C$44+Assumptions!$C$7/Assumptions!$C$28)/(Assumptions!$C$44+Assumptions!$C$7/D7),Assumptions!$C$28)</f>
        <v>48.90558537285928</v>
      </c>
      <c r="E10" s="14">
        <f>IF(E7&lt;Assumptions!$C$28,Assumptions!$C$28*(Assumptions!$C$44+Assumptions!$C$7/Assumptions!$C$28)/(Assumptions!$C$44+Assumptions!$C$7/E7),Assumptions!$C$28)</f>
        <v>48.90347339995284</v>
      </c>
      <c r="F10" s="14">
        <f>IF(F7&lt;Assumptions!$C$28,Assumptions!$C$28*(Assumptions!$C$44+Assumptions!$C$7/Assumptions!$C$28)/(Assumptions!$C$44+Assumptions!$C$7/F7),Assumptions!$C$28)</f>
        <v>48.903442528668364</v>
      </c>
      <c r="G10" s="14">
        <f>IF(G7&lt;Assumptions!$C$28,Assumptions!$C$28*(Assumptions!$C$44+Assumptions!$C$7/Assumptions!$C$28)/(Assumptions!$C$44+Assumptions!$C$7/G7),Assumptions!$C$28)</f>
        <v>48.903442092212835</v>
      </c>
      <c r="H10" s="14">
        <f>IF(H7&lt;Assumptions!$C$28,Assumptions!$C$28*(Assumptions!$C$44+Assumptions!$C$7/Assumptions!$C$28)/(Assumptions!$C$44+Assumptions!$C$7/H7),Assumptions!$C$28)</f>
        <v>48.903442086011346</v>
      </c>
      <c r="I10" s="14">
        <f>IF(I7&lt;Assumptions!$C$28,Assumptions!$C$28*(Assumptions!$C$44+Assumptions!$C$7/Assumptions!$C$28)/(Assumptions!$C$44+Assumptions!$C$7/I7),Assumptions!$C$28)</f>
        <v>48.903442085923295</v>
      </c>
      <c r="J10" s="14">
        <f>IF(J7&lt;Assumptions!$C$28,Assumptions!$C$28*(Assumptions!$C$44+Assumptions!$C$7/Assumptions!$C$28)/(Assumptions!$C$44+Assumptions!$C$7/J7),Assumptions!$C$28)</f>
        <v>48.903442085922045</v>
      </c>
      <c r="K10" s="14">
        <f>IF(K7&lt;Assumptions!$C$28,Assumptions!$C$28*(Assumptions!$C$44+Assumptions!$C$7/Assumptions!$C$28)/(Assumptions!$C$44+Assumptions!$C$7/K7),Assumptions!$C$28)</f>
        <v>48.90344208592203</v>
      </c>
      <c r="L10" s="14">
        <f>IF(L7&lt;Assumptions!$C$28,Assumptions!$C$28*(Assumptions!$C$44+Assumptions!$C$7/Assumptions!$C$28)/(Assumptions!$C$44+Assumptions!$C$7/L7),Assumptions!$C$28)</f>
        <v>48.90344208592203</v>
      </c>
    </row>
    <row r="11" spans="2:12" x14ac:dyDescent="0.25">
      <c r="B11" s="15" t="s">
        <v>77</v>
      </c>
      <c r="C11" s="14">
        <f>Assumptions!$C$41*Assumptions!$C$28/C10-Assumptions!$C$41</f>
        <v>9244.341711835</v>
      </c>
      <c r="D11" s="14">
        <f>Assumptions!$C$41*Assumptions!$C$28/D10-Assumptions!$C$41</f>
        <v>31536.282268117</v>
      </c>
      <c r="E11" s="14">
        <f>Assumptions!$C$41*Assumptions!$C$28/E10-Assumptions!$C$41</f>
        <v>31801.197421051</v>
      </c>
      <c r="F11" s="14">
        <f>Assumptions!$C$41*Assumptions!$C$28/F10-Assumptions!$C$41</f>
        <v>31805.069927832</v>
      </c>
      <c r="G11" s="14">
        <f>Assumptions!$C$41*Assumptions!$C$28/G10-Assumptions!$C$41</f>
        <v>31805.12467703</v>
      </c>
      <c r="H11" s="14">
        <f>Assumptions!$C$41*Assumptions!$C$28/H10-Assumptions!$C$41</f>
        <v>31805.125454948</v>
      </c>
      <c r="I11" s="14">
        <f>Assumptions!$C$41*Assumptions!$C$28/I10-Assumptions!$C$41</f>
        <v>31805.125465994</v>
      </c>
      <c r="J11" s="14">
        <f>Assumptions!$C$41*Assumptions!$C$28/J10-Assumptions!$C$41</f>
        <v>31805.12546615</v>
      </c>
      <c r="K11" s="14">
        <f>Assumptions!$C$41*Assumptions!$C$28/K10-Assumptions!$C$41</f>
        <v>31805.125466152</v>
      </c>
      <c r="L11" s="14">
        <f>Assumptions!$C$41*Assumptions!$C$28/L10-Assumptions!$C$41</f>
        <v>31805.125466152</v>
      </c>
    </row>
    <row r="12" spans="2:12" x14ac:dyDescent="0.25">
      <c r="B12" s="5" t="s">
        <v>78</v>
      </c>
      <c r="C12" s="14">
        <f>Assumptions!$C$44+C9+C11</f>
        <v>36634178.22763663</v>
      </c>
      <c r="D12" s="14">
        <f>Assumptions!$C$44+D9+D11</f>
        <v>36662771.233736716</v>
      </c>
      <c r="E12" s="14">
        <f>Assumptions!$C$44+E9+E11</f>
        <v>36663111.03011132</v>
      </c>
      <c r="F12" s="14">
        <f>Assumptions!$C$44+F9+F11</f>
        <v>36663115.99722532</v>
      </c>
      <c r="G12" s="14">
        <f>Assumptions!$C$44+G9+G11</f>
        <v>36663116.06744999</v>
      </c>
      <c r="H12" s="14">
        <f>Assumptions!$C$44+H9+H11</f>
        <v>36663116.0684478</v>
      </c>
      <c r="I12" s="14">
        <f>Assumptions!$C$44+I9+I11</f>
        <v>36663116.06846196</v>
      </c>
      <c r="J12" s="14">
        <f>Assumptions!$C$44+J9+J11</f>
        <v>36663116.06846217</v>
      </c>
      <c r="K12" s="14">
        <f>Assumptions!$C$44+K9+K11</f>
        <v>36663116.06846217</v>
      </c>
      <c r="L12" s="14">
        <f>Assumptions!$C$44+L9+L11</f>
        <v>36663116.06846217</v>
      </c>
    </row>
    <row r="13" spans="2:12" x14ac:dyDescent="0.25">
      <c r="B13" s="5" t="s">
        <v>79</v>
      </c>
      <c r="C13" s="14">
        <f>Assumptions!$C$7/C7</f>
        <v>666666.6666666666</v>
      </c>
      <c r="D13" s="14">
        <f>Assumptions!$C$7/D7</f>
        <v>802654.6836943472</v>
      </c>
      <c r="E13" s="14">
        <f>Assumptions!$C$7/E7</f>
        <v>804270.7514492949</v>
      </c>
      <c r="F13" s="14">
        <f>Assumptions!$C$7/F7</f>
        <v>804294.3749878911</v>
      </c>
      <c r="G13" s="14">
        <f>Assumptions!$C$7/G7</f>
        <v>804294.7089756312</v>
      </c>
      <c r="H13" s="14">
        <f>Assumptions!$C$7/H7</f>
        <v>804294.7137211809</v>
      </c>
      <c r="I13" s="14">
        <f>Assumptions!$C$7/I7</f>
        <v>804294.7137885585</v>
      </c>
      <c r="J13" s="14">
        <f>Assumptions!$C$7/J7</f>
        <v>804294.713789515</v>
      </c>
      <c r="K13" s="14">
        <f>Assumptions!$C$7/K7</f>
        <v>804294.7137895287</v>
      </c>
      <c r="L13" s="14">
        <f>Assumptions!$C$7/L7</f>
        <v>804294.7137895287</v>
      </c>
    </row>
    <row r="14" spans="2:12" x14ac:dyDescent="0.25">
      <c r="B14" s="15" t="s">
        <v>80</v>
      </c>
      <c r="C14" s="14">
        <f>Assumptions!$C$48/(C12+0+0)</f>
        <v>27.296913657683888</v>
      </c>
      <c r="D14" s="14">
        <f>Assumptions!$C$48/(D12+C22+C21)</f>
        <v>26.807753595276214</v>
      </c>
      <c r="E14" s="14">
        <f>Assumptions!$C$48/(E12+D22+D21)</f>
        <v>26.7762983569538</v>
      </c>
      <c r="F14" s="14">
        <f>Assumptions!$C$48/(F12+E22+E21)</f>
        <v>26.775905106267363</v>
      </c>
      <c r="G14" s="14">
        <f>Assumptions!$C$48/(G12+F22+F21)</f>
        <v>26.775899408877155</v>
      </c>
      <c r="H14" s="14">
        <f>Assumptions!$C$48/(H12+G22+G21)</f>
        <v>26.77589932822145</v>
      </c>
      <c r="I14" s="14">
        <f>Assumptions!$C$48/(I12+H22+H21)</f>
        <v>26.775899327075663</v>
      </c>
      <c r="J14" s="14">
        <f>Assumptions!$C$48/(J12+I22+I21)</f>
        <v>26.77589932705939</v>
      </c>
      <c r="K14" s="14">
        <f>Assumptions!$C$48/(K12+J22+J21)</f>
        <v>26.775899327059165</v>
      </c>
      <c r="L14" s="14">
        <f>Assumptions!$C$48/(L12+K22+K21)</f>
        <v>26.77589932705916</v>
      </c>
    </row>
    <row r="15" spans="2:12" x14ac:dyDescent="0.25">
      <c r="B15" s="15" t="s">
        <v>81</v>
      </c>
      <c r="C15" s="14">
        <f>C7*(1-Assumptions!$C$49)</f>
        <v>36</v>
      </c>
      <c r="D15" s="14">
        <f>D7*(1-Assumptions!$C$49)</f>
        <v>29.900778613209035</v>
      </c>
      <c r="E15" s="14">
        <f>E7*(1-Assumptions!$C$49)</f>
        <v>29.84069724872132</v>
      </c>
      <c r="F15" s="14">
        <f>F7*(1-Assumptions!$C$49)</f>
        <v>29.83982077502572</v>
      </c>
      <c r="G15" s="14">
        <f>G7*(1-Assumptions!$C$49)</f>
        <v>29.839808383878303</v>
      </c>
      <c r="H15" s="14">
        <f>H7*(1-Assumptions!$C$49)</f>
        <v>29.839808207815608</v>
      </c>
      <c r="I15" s="14">
        <f>I7*(1-Assumptions!$C$49)</f>
        <v>29.839808205315858</v>
      </c>
      <c r="J15" s="14">
        <f>J7*(1-Assumptions!$C$49)</f>
        <v>29.839808205280377</v>
      </c>
      <c r="K15" s="14">
        <f>K7*(1-Assumptions!$C$49)</f>
        <v>29.839808205279866</v>
      </c>
      <c r="L15" s="14">
        <f>L7*(1-Assumptions!$C$49)</f>
        <v>29.839808205279866</v>
      </c>
    </row>
    <row r="16" spans="2:12" x14ac:dyDescent="0.25">
      <c r="B16" s="15" t="s">
        <v>82</v>
      </c>
      <c r="C16" s="14">
        <f>MIN(C14,C15)</f>
        <v>27.296913657683888</v>
      </c>
      <c r="D16" s="14">
        <f>MIN(D14,D15)</f>
        <v>26.807753595276214</v>
      </c>
      <c r="E16" s="14">
        <f>MIN(E14,E15)</f>
        <v>26.7762983569538</v>
      </c>
      <c r="F16" s="14">
        <f>MIN(F14,F15)</f>
        <v>26.775905106267363</v>
      </c>
      <c r="G16" s="14">
        <f>MIN(G14,G15)</f>
        <v>26.775899408877155</v>
      </c>
      <c r="H16" s="14">
        <f>MIN(H14,H15)</f>
        <v>26.77589932822145</v>
      </c>
      <c r="I16" s="14">
        <f>MIN(I14,I15)</f>
        <v>26.775899327075663</v>
      </c>
      <c r="J16" s="14">
        <f>MIN(J14,J15)</f>
        <v>26.77589932705939</v>
      </c>
      <c r="K16" s="14">
        <f>MIN(K14,K15)</f>
        <v>26.775899327059165</v>
      </c>
      <c r="L16" s="14">
        <f>MIN(L14,L15)</f>
        <v>26.77589932705916</v>
      </c>
    </row>
    <row r="17" spans="2:12" x14ac:dyDescent="0.25">
      <c r="B17" s="15" t="s">
        <v>83</v>
      </c>
      <c r="C17" s="14">
        <f>Assumptions!$C$47/C16</f>
        <v>183170.89113818313</v>
      </c>
      <c r="D17" s="14">
        <f>Assumptions!$C$47/D16</f>
        <v>186513.2034368239</v>
      </c>
      <c r="E17" s="14">
        <f>Assumptions!$C$47/E16</f>
        <v>186732.30830285774</v>
      </c>
      <c r="F17" s="14">
        <f>Assumptions!$C$47/F16</f>
        <v>186735.05079123034</v>
      </c>
      <c r="G17" s="14">
        <f>Assumptions!$C$47/G16</f>
        <v>186735.0905248144</v>
      </c>
      <c r="H17" s="14">
        <f>Assumptions!$C$47/H16</f>
        <v>186735.0910873072</v>
      </c>
      <c r="I17" s="14">
        <f>Assumptions!$C$47/I16</f>
        <v>186735.09109529792</v>
      </c>
      <c r="J17" s="14">
        <f>Assumptions!$C$47/J16</f>
        <v>186735.0910954114</v>
      </c>
      <c r="K17" s="14">
        <f>Assumptions!$C$47/K16</f>
        <v>186735.09109541296</v>
      </c>
      <c r="L17" s="14">
        <f>Assumptions!$C$47/L16</f>
        <v>186735.091095413</v>
      </c>
    </row>
    <row r="18" spans="2:12" x14ac:dyDescent="0.25">
      <c r="B18" s="15" t="s">
        <v>84</v>
      </c>
      <c r="C18" s="14">
        <f>Assumptions!$C$51/(C12+0+0)</f>
        <v>43.67506185229422</v>
      </c>
      <c r="D18" s="14">
        <f>Assumptions!$C$51/(D12+C22+C17)</f>
        <v>42.77230833035819</v>
      </c>
      <c r="E18" s="14">
        <f>Assumptions!$C$51/(E12+D22+D17)</f>
        <v>42.73670368924586</v>
      </c>
      <c r="F18" s="14">
        <f>Assumptions!$C$51/(F12+E22+E17)</f>
        <v>42.73604450017975</v>
      </c>
      <c r="G18" s="14">
        <f>Assumptions!$C$51/(G12+F22+F17)</f>
        <v>42.736035471107</v>
      </c>
      <c r="H18" s="14">
        <f>Assumptions!$C$51/(H12+G22+G17)</f>
        <v>42.7360353421888</v>
      </c>
      <c r="I18" s="14">
        <f>Assumptions!$C$51/(I12+H22+H17)</f>
        <v>42.73603534035977</v>
      </c>
      <c r="J18" s="14">
        <f>Assumptions!$C$51/(J12+I22+I17)</f>
        <v>42.736035340333785</v>
      </c>
      <c r="K18" s="14">
        <f>Assumptions!$C$51/(K12+J22+J17)</f>
        <v>42.73603534033342</v>
      </c>
      <c r="L18" s="14">
        <f>Assumptions!$C$51/(L12+K22+K17)</f>
        <v>42.736035340333416</v>
      </c>
    </row>
    <row r="19" spans="2:12" x14ac:dyDescent="0.25">
      <c r="B19" s="15" t="s">
        <v>85</v>
      </c>
      <c r="C19" s="14">
        <f>C7*(1-Assumptions!$C$52)</f>
        <v>38.25</v>
      </c>
      <c r="D19" s="14">
        <f>D7*(1-Assumptions!$C$52)</f>
        <v>31.7695772765346</v>
      </c>
      <c r="E19" s="14">
        <f>E7*(1-Assumptions!$C$52)</f>
        <v>31.7057408267664</v>
      </c>
      <c r="F19" s="14">
        <f>F7*(1-Assumptions!$C$52)</f>
        <v>31.70480957346483</v>
      </c>
      <c r="G19" s="14">
        <f>G7*(1-Assumptions!$C$52)</f>
        <v>31.7047964078707</v>
      </c>
      <c r="H19" s="14">
        <f>H7*(1-Assumptions!$C$52)</f>
        <v>31.704796220804084</v>
      </c>
      <c r="I19" s="14">
        <f>I7*(1-Assumptions!$C$52)</f>
        <v>31.7047962181481</v>
      </c>
      <c r="J19" s="14">
        <f>J7*(1-Assumptions!$C$52)</f>
        <v>31.7047962181104</v>
      </c>
      <c r="K19" s="14">
        <f>K7*(1-Assumptions!$C$52)</f>
        <v>31.704796218109855</v>
      </c>
      <c r="L19" s="14">
        <f>L7*(1-Assumptions!$C$52)</f>
        <v>31.704796218109855</v>
      </c>
    </row>
    <row r="20" spans="2:12" x14ac:dyDescent="0.25">
      <c r="B20" s="15" t="s">
        <v>86</v>
      </c>
      <c r="C20" s="14">
        <f>MIN(C18,C19)</f>
        <v>38.25</v>
      </c>
      <c r="D20" s="14">
        <f>MIN(D18,D19)</f>
        <v>31.7695772765346</v>
      </c>
      <c r="E20" s="14">
        <f>MIN(E18,E19)</f>
        <v>31.7057408267664</v>
      </c>
      <c r="F20" s="14">
        <f>MIN(F18,F19)</f>
        <v>31.70480957346483</v>
      </c>
      <c r="G20" s="14">
        <f>MIN(G18,G19)</f>
        <v>31.7047964078707</v>
      </c>
      <c r="H20" s="14">
        <f>MIN(H18,H19)</f>
        <v>31.704796220804084</v>
      </c>
      <c r="I20" s="14">
        <f>MIN(I18,I19)</f>
        <v>31.7047962181481</v>
      </c>
      <c r="J20" s="14">
        <f>MIN(J18,J19)</f>
        <v>31.7047962181104</v>
      </c>
      <c r="K20" s="14">
        <f>MIN(K18,K19)</f>
        <v>31.704796218109855</v>
      </c>
      <c r="L20" s="14">
        <f>MIN(L18,L19)</f>
        <v>31.704796218109855</v>
      </c>
    </row>
    <row r="21" spans="2:12" x14ac:dyDescent="0.25">
      <c r="B21" s="15" t="s">
        <v>87</v>
      </c>
      <c r="C21" s="14">
        <f>Assumptions!$C$50/C20</f>
        <v>78431.37254901961</v>
      </c>
      <c r="D21" s="14">
        <f>Assumptions!$C$50/D20</f>
        <v>94429.96278757026</v>
      </c>
      <c r="E21" s="14">
        <f>Assumptions!$C$50/E20</f>
        <v>94620.0884057994</v>
      </c>
      <c r="F21" s="14">
        <f>Assumptions!$C$50/F20</f>
        <v>94622.86764563424</v>
      </c>
      <c r="G21" s="14">
        <f>Assumptions!$C$50/G20</f>
        <v>94622.90693830955</v>
      </c>
      <c r="H21" s="14">
        <f>Assumptions!$C$50/H20</f>
        <v>94622.90749660952</v>
      </c>
      <c r="I21" s="14">
        <f>Assumptions!$C$50/I20</f>
        <v>94622.9075045363</v>
      </c>
      <c r="J21" s="14">
        <f>Assumptions!$C$50/J20</f>
        <v>94622.90750464881</v>
      </c>
      <c r="K21" s="14">
        <f>Assumptions!$C$50/K20</f>
        <v>94622.90750465044</v>
      </c>
      <c r="L21" s="14">
        <f>Assumptions!$C$50/L20</f>
        <v>94622.90750465044</v>
      </c>
    </row>
    <row r="22" spans="2:12" x14ac:dyDescent="0.25">
      <c r="B22" s="5" t="s">
        <v>88</v>
      </c>
      <c r="C22" s="14">
        <f>MAX(0,(Assumptions!$C$10*(C12+C17+C21+C13)-Assumptions!$C$56)/(1-Assumptions!$C$10))</f>
        <v>561438.0810790402</v>
      </c>
      <c r="D22" s="14">
        <f>MAX(0,(Assumptions!$C$10*(D12+D17+D21+D13)-Assumptions!$C$56)/(1-Assumptions!$C$10))</f>
        <v>588920.6676726552</v>
      </c>
      <c r="E22" s="14">
        <f>MAX(0,(Assumptions!$C$10*(E12+E17+E21+E13)-Assumptions!$C$56)/(1-Assumptions!$C$10))</f>
        <v>589274.0726149494</v>
      </c>
      <c r="F22" s="14">
        <f>MAX(0,(Assumptions!$C$10*(F12+F17+F21+F13)-Assumptions!$C$56)/(1-Assumptions!$C$10))</f>
        <v>589279.1698672529</v>
      </c>
      <c r="G22" s="14">
        <f>MAX(0,(Assumptions!$C$10*(G12+G17+G21+G13)-Assumptions!$C$56)/(1-Assumptions!$C$10))</f>
        <v>589279.2420753299</v>
      </c>
      <c r="H22" s="14">
        <f>MAX(0,(Assumptions!$C$10*(H12+H17+H21+H13)-Assumptions!$C$56)/(1-Assumptions!$C$10))</f>
        <v>589279.243101008</v>
      </c>
      <c r="I22" s="14">
        <f>MAX(0,(Assumptions!$C$10*(I12+I17+I21+I13)-Assumptions!$C$56)/(1-Assumptions!$C$10))</f>
        <v>589279.2431155712</v>
      </c>
      <c r="J22" s="14">
        <f>MAX(0,(Assumptions!$C$10*(J12+J17+J21+J13)-Assumptions!$C$56)/(1-Assumptions!$C$10))</f>
        <v>589279.2431157782</v>
      </c>
      <c r="K22" s="14">
        <f>MAX(0,(Assumptions!$C$10*(K12+K17+K21+K13)-Assumptions!$C$56)/(1-Assumptions!$C$10))</f>
        <v>589279.2431157804</v>
      </c>
      <c r="L22" s="14">
        <f>MAX(0,(Assumptions!$C$10*(L12+L17+L21+L13)-Assumptions!$C$56)/(1-Assumptions!$C$10))</f>
        <v>589279.2431157804</v>
      </c>
    </row>
    <row r="23" spans="2:12" x14ac:dyDescent="0.25">
      <c r="B23" s="9" t="s">
        <v>89</v>
      </c>
      <c r="C23" s="14">
        <f>C12+C22+C17+C21+C13</f>
        <v>38123885.23906954</v>
      </c>
      <c r="D23" s="14">
        <f>D12+D22+D17+D21+D13</f>
        <v>38335289.75132811</v>
      </c>
      <c r="E23" s="14">
        <f>E12+E22+E17+E21+E13</f>
        <v>38338008.25088421</v>
      </c>
      <c r="F23" s="14">
        <f>F12+F22+F17+F21+F13</f>
        <v>38338047.46051734</v>
      </c>
      <c r="G23" s="14">
        <f>G12+G22+G17+G21+G13</f>
        <v>38338048.01596407</v>
      </c>
      <c r="H23" s="14">
        <f>H12+H22+H17+H21+H13</f>
        <v>38338048.02385391</v>
      </c>
      <c r="I23" s="14">
        <f>I12+I22+I17+I21+I13</f>
        <v>38338048.02396592</v>
      </c>
      <c r="J23" s="14">
        <f>J12+J22+J17+J21+J13</f>
        <v>38338048.02396752</v>
      </c>
      <c r="K23" s="14">
        <f>K12+K22+K17+K21+K13</f>
        <v>38338048.02396754</v>
      </c>
      <c r="L23" s="14">
        <f>L12+L22+L17+L21+L13</f>
        <v>38338048.02396754</v>
      </c>
    </row>
    <row r="24" spans="2:12" x14ac:dyDescent="0.25">
      <c r="B24" s="5" t="s">
        <v>90</v>
      </c>
      <c r="C24" s="14">
        <f>C23-C13</f>
        <v>37457218.57240287</v>
      </c>
      <c r="D24" s="14">
        <f>D23-D13</f>
        <v>37532635.06763376</v>
      </c>
      <c r="E24" s="14">
        <f>E23-E13</f>
        <v>37533737.49943492</v>
      </c>
      <c r="F24" s="14">
        <f>F23-F13</f>
        <v>37533753.08552945</v>
      </c>
      <c r="G24" s="14">
        <f>G23-G13</f>
        <v>37533753.30698844</v>
      </c>
      <c r="H24" s="14">
        <f>H23-H13</f>
        <v>37533753.31013273</v>
      </c>
      <c r="I24" s="14">
        <f>I23-I13</f>
        <v>37533753.31017736</v>
      </c>
      <c r="J24" s="14">
        <f>J23-J13</f>
        <v>37533753.310178004</v>
      </c>
      <c r="K24" s="14">
        <f>K23-K13</f>
        <v>37533753.31017801</v>
      </c>
      <c r="L24" s="14">
        <f>L23-L13</f>
        <v>37533753.31017801</v>
      </c>
    </row>
    <row r="25" spans="2:12" x14ac:dyDescent="0.25">
      <c r="B25" s="9" t="s">
        <v>91</v>
      </c>
      <c r="C25" s="14">
        <f>Assumptions!$C$6/C24</f>
        <v>37.375973266511295</v>
      </c>
      <c r="D25" s="14">
        <f>Assumptions!$C$6/D24</f>
        <v>37.30087156090165</v>
      </c>
      <c r="E25" s="14">
        <f>Assumptions!$C$6/E24</f>
        <v>37.29977596878215</v>
      </c>
      <c r="F25" s="14">
        <f>Assumptions!$C$6/F24</f>
        <v>37.29976047984788</v>
      </c>
      <c r="G25" s="14">
        <f>Assumptions!$C$6/G24</f>
        <v>37.29976025976951</v>
      </c>
      <c r="H25" s="14">
        <f>Assumptions!$C$6/H24</f>
        <v>37.299760256644824</v>
      </c>
      <c r="I25" s="14">
        <f>Assumptions!$C$6/I24</f>
        <v>37.29976025660047</v>
      </c>
      <c r="J25" s="14">
        <f>Assumptions!$C$6/J24</f>
        <v>37.29976025659983</v>
      </c>
      <c r="K25" s="14">
        <f>Assumptions!$C$6/K24</f>
        <v>37.29976025659983</v>
      </c>
      <c r="L25" s="14">
        <f>Assumptions!$C$6/L24</f>
        <v>37.29976025659983</v>
      </c>
    </row>
    <row r="27" spans="2:12" x14ac:dyDescent="0.25">
      <c r="B27" s="3" t="s">
        <v>92</v>
      </c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3" x14ac:dyDescent="0.25">
      <c r="B28" s="9" t="s">
        <v>93</v>
      </c>
      <c r="C28" s="16">
        <f>L25</f>
        <v>37.29976025659983</v>
      </c>
    </row>
    <row r="29" spans="2:3" x14ac:dyDescent="0.25">
      <c r="B29" s="5" t="s">
        <v>94</v>
      </c>
      <c r="C29" s="14">
        <f>L13</f>
        <v>804294.7137895287</v>
      </c>
    </row>
    <row r="30" spans="2:3" x14ac:dyDescent="0.25">
      <c r="B30" s="5" t="s">
        <v>90</v>
      </c>
      <c r="C30" s="14">
        <f>L24</f>
        <v>37533753.31017801</v>
      </c>
    </row>
    <row r="31" spans="2:3" x14ac:dyDescent="0.25">
      <c r="B31" s="9" t="s">
        <v>95</v>
      </c>
      <c r="C31" s="10">
        <f>L23</f>
        <v>38338048.02396754</v>
      </c>
    </row>
    <row r="32" spans="2:3" x14ac:dyDescent="0.25">
      <c r="B32" s="5" t="s">
        <v>88</v>
      </c>
      <c r="C32" s="14">
        <f>L22</f>
        <v>589279.2431157804</v>
      </c>
    </row>
    <row r="33" spans="2:3" x14ac:dyDescent="0.25">
      <c r="B33" s="5" t="s">
        <v>96</v>
      </c>
      <c r="C33" s="14">
        <f>Assumptions!$C$56+L22</f>
        <v>4983946.24311578</v>
      </c>
    </row>
    <row r="34" spans="2:3" x14ac:dyDescent="0.25">
      <c r="B34" s="5" t="s">
        <v>97</v>
      </c>
      <c r="C34" s="11">
        <f>C28*C31</f>
        <v>1430000000</v>
      </c>
    </row>
    <row r="35" spans="2:3" x14ac:dyDescent="0.25">
      <c r="B35" s="5" t="s">
        <v>98</v>
      </c>
      <c r="C35" s="11">
        <f>Assumptions!$C$9*C28</f>
        <v>31.704796218109855</v>
      </c>
    </row>
    <row r="36" spans="2:3" x14ac:dyDescent="0.25">
      <c r="B36" s="5" t="s">
        <v>99</v>
      </c>
      <c r="C36" s="14">
        <f>Assumptions!$C$8/C35</f>
        <v>473114.5375232522</v>
      </c>
    </row>
    <row r="38" spans="2:12" x14ac:dyDescent="0.25">
      <c r="B38" s="3" t="s">
        <v>100</v>
      </c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2:8" x14ac:dyDescent="0.25">
      <c r="B39" s="12" t="s">
        <v>101</v>
      </c>
      <c r="C39" s="13" t="s">
        <v>102</v>
      </c>
      <c r="D39" s="13" t="s">
        <v>103</v>
      </c>
      <c r="E39" s="13" t="s">
        <v>104</v>
      </c>
      <c r="F39" s="13" t="s">
        <v>105</v>
      </c>
      <c r="G39" s="13" t="s">
        <v>106</v>
      </c>
      <c r="H39" s="13" t="s">
        <v>107</v>
      </c>
    </row>
    <row r="40" spans="2:8" x14ac:dyDescent="0.25">
      <c r="B40" s="5" t="s">
        <v>108</v>
      </c>
      <c r="C40" s="11">
        <f>Assumptions!$C$22</f>
        <v>1</v>
      </c>
      <c r="D40" s="14" t="str">
        <f>IF(C28&lt;Assumptions!$C$22,"YES","no")</f>
        <v>no</v>
      </c>
      <c r="E40" s="11">
        <f>IF(C28&lt;Assumptions!$C$22,Assumptions!$C$22*(Assumptions!$C$44+Assumptions!$C$7/Assumptions!$C$22)/(Assumptions!$C$44+Assumptions!$C$7/C28),Assumptions!$C$22)</f>
        <v>1</v>
      </c>
      <c r="F40" s="17">
        <f>Assumptions!$C$22/E40</f>
        <v>1</v>
      </c>
      <c r="G40" s="14">
        <f>Assumptions!$C$35*F40</f>
        <v>5000000</v>
      </c>
      <c r="H40" s="14">
        <f>G40-Assumptions!$C$35</f>
        <v>0</v>
      </c>
    </row>
    <row r="41" spans="2:8" x14ac:dyDescent="0.25">
      <c r="B41" s="5" t="s">
        <v>109</v>
      </c>
      <c r="C41" s="11">
        <f>Assumptions!$C$23</f>
        <v>3</v>
      </c>
      <c r="D41" s="14" t="str">
        <f>IF(C28&lt;Assumptions!$C$23,"YES","no")</f>
        <v>no</v>
      </c>
      <c r="E41" s="11">
        <f>IF(C28&lt;Assumptions!$C$23,Assumptions!$C$23*(Assumptions!$C$44+Assumptions!$C$7/Assumptions!$C$23)/(Assumptions!$C$44+Assumptions!$C$7/C28),Assumptions!$C$23)</f>
        <v>3</v>
      </c>
      <c r="F41" s="17">
        <f>Assumptions!$C$23/E41</f>
        <v>1</v>
      </c>
      <c r="G41" s="14">
        <f>Assumptions!$C$36*F41</f>
        <v>5000000</v>
      </c>
      <c r="H41" s="14">
        <f>G41-Assumptions!$C$36</f>
        <v>0</v>
      </c>
    </row>
    <row r="42" spans="2:8" x14ac:dyDescent="0.25">
      <c r="B42" s="5" t="s">
        <v>110</v>
      </c>
      <c r="C42" s="11">
        <f>Assumptions!$C$24</f>
        <v>10</v>
      </c>
      <c r="D42" s="14" t="str">
        <f>IF(C28&lt;Assumptions!$C$24,"YES","no")</f>
        <v>no</v>
      </c>
      <c r="E42" s="11">
        <f>IF(C28&lt;Assumptions!$C$24,Assumptions!$C$24*(Assumptions!$C$44+Assumptions!$C$7/Assumptions!$C$24)/(Assumptions!$C$44+Assumptions!$C$7/C28),Assumptions!$C$24)</f>
        <v>10</v>
      </c>
      <c r="F42" s="17">
        <f>Assumptions!$C$24/E42</f>
        <v>1</v>
      </c>
      <c r="G42" s="14">
        <f>Assumptions!$C$37*F42</f>
        <v>3000000</v>
      </c>
      <c r="H42" s="14">
        <f>G42-Assumptions!$C$37</f>
        <v>0</v>
      </c>
    </row>
    <row r="43" spans="2:8" x14ac:dyDescent="0.25">
      <c r="B43" s="5" t="s">
        <v>111</v>
      </c>
      <c r="C43" s="11">
        <f>Assumptions!$C$25</f>
        <v>25</v>
      </c>
      <c r="D43" s="14" t="str">
        <f>IF(C28&lt;Assumptions!$C$25,"YES","no")</f>
        <v>no</v>
      </c>
      <c r="E43" s="11">
        <f>IF(C28&lt;Assumptions!$C$25,Assumptions!$C$25*(Assumptions!$C$44+Assumptions!$C$7/Assumptions!$C$25)/(Assumptions!$C$44+Assumptions!$C$7/C28),Assumptions!$C$25)</f>
        <v>25</v>
      </c>
      <c r="F43" s="17">
        <f>Assumptions!$C$25/E43</f>
        <v>1</v>
      </c>
      <c r="G43" s="14">
        <f>Assumptions!$C$38*F43</f>
        <v>2400000</v>
      </c>
      <c r="H43" s="14">
        <f>G43-Assumptions!$C$38</f>
        <v>0</v>
      </c>
    </row>
    <row r="44" spans="2:8" x14ac:dyDescent="0.25">
      <c r="B44" s="5" t="s">
        <v>112</v>
      </c>
      <c r="C44" s="11">
        <f>Assumptions!$C$27</f>
        <v>60</v>
      </c>
      <c r="D44" s="14" t="str">
        <f>IF(C28&lt;Assumptions!$C$26,"YES","no")</f>
        <v>YES</v>
      </c>
      <c r="E44" s="11">
        <f>L8</f>
        <v>57.670905258530745</v>
      </c>
      <c r="F44" s="17">
        <f>Assumptions!$C$27/E44</f>
        <v>1.040385957720418</v>
      </c>
      <c r="G44" s="14">
        <f>Assumptions!$C$40*F44</f>
        <v>1733976.942996016</v>
      </c>
      <c r="H44" s="14">
        <f>G44-Assumptions!$C$39</f>
        <v>13349.942996016</v>
      </c>
    </row>
    <row r="45" spans="2:8" x14ac:dyDescent="0.25">
      <c r="B45" s="5" t="s">
        <v>113</v>
      </c>
      <c r="C45" s="11">
        <f>Assumptions!$C$28</f>
        <v>49.158311</v>
      </c>
      <c r="D45" s="14" t="str">
        <f>IF(C28&lt;Assumptions!$C$28,"YES","no")</f>
        <v>YES</v>
      </c>
      <c r="E45" s="11">
        <f>L10</f>
        <v>48.90344208592203</v>
      </c>
      <c r="F45" s="17">
        <f>Assumptions!$C$28/E45</f>
        <v>1.0052116763811876</v>
      </c>
      <c r="G45" s="14">
        <f>Assumptions!$C$41*F45</f>
        <v>6134472.125466153</v>
      </c>
      <c r="H45" s="14">
        <f>G45-Assumptions!$C$41</f>
        <v>31805.125466153</v>
      </c>
    </row>
    <row r="47" spans="2:12" x14ac:dyDescent="0.25">
      <c r="B47" s="3" t="s">
        <v>114</v>
      </c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2:8" x14ac:dyDescent="0.25">
      <c r="B48" s="12" t="s">
        <v>115</v>
      </c>
      <c r="C48" s="13" t="s">
        <v>116</v>
      </c>
      <c r="D48" s="13" t="s">
        <v>117</v>
      </c>
      <c r="E48" s="13" t="s">
        <v>118</v>
      </c>
      <c r="F48" s="13" t="s">
        <v>119</v>
      </c>
      <c r="G48" s="13" t="s">
        <v>120</v>
      </c>
      <c r="H48" s="13" t="s">
        <v>121</v>
      </c>
    </row>
    <row r="49" spans="2:8" x14ac:dyDescent="0.25">
      <c r="B49" s="5" t="s">
        <v>122</v>
      </c>
      <c r="C49" s="11">
        <f>L14</f>
        <v>26.77589932705916</v>
      </c>
      <c r="D49" s="11">
        <f>L15</f>
        <v>29.839808205279866</v>
      </c>
      <c r="E49" s="11">
        <f>L16</f>
        <v>26.77589932705916</v>
      </c>
      <c r="F49" s="14" t="str">
        <f>IF(L14&lt;L15,"cap","discount")</f>
        <v>cap</v>
      </c>
      <c r="G49" s="14">
        <f>L17</f>
        <v>186735.091095413</v>
      </c>
      <c r="H49" s="11">
        <f>Assumptions!$C$47</f>
        <v>5000000</v>
      </c>
    </row>
    <row r="50" spans="2:8" x14ac:dyDescent="0.25">
      <c r="B50" s="5" t="s">
        <v>123</v>
      </c>
      <c r="C50" s="11">
        <f>L18</f>
        <v>42.736035340333416</v>
      </c>
      <c r="D50" s="11">
        <f>L19</f>
        <v>31.704796218109855</v>
      </c>
      <c r="E50" s="11">
        <f>L20</f>
        <v>31.704796218109855</v>
      </c>
      <c r="F50" s="14" t="str">
        <f>IF(L18&lt;L19,"cap","discount")</f>
        <v>discount</v>
      </c>
      <c r="G50" s="14">
        <f>L21</f>
        <v>94622.90750465044</v>
      </c>
      <c r="H50" s="11">
        <f>Assumptions!$C$50</f>
        <v>3000000</v>
      </c>
    </row>
    <row r="52" spans="2:12" x14ac:dyDescent="0.25">
      <c r="B52" s="3" t="s">
        <v>124</v>
      </c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2:3" x14ac:dyDescent="0.25">
      <c r="B53" s="5" t="s">
        <v>98</v>
      </c>
      <c r="C53" s="11">
        <f>C35</f>
        <v>31.704796218109855</v>
      </c>
    </row>
    <row r="54" spans="2:3" x14ac:dyDescent="0.25">
      <c r="B54" s="5" t="s">
        <v>125</v>
      </c>
      <c r="C54" s="14">
        <f>C36</f>
        <v>473114.5375232522</v>
      </c>
    </row>
    <row r="55" spans="2:3" x14ac:dyDescent="0.25">
      <c r="B55" s="15" t="s">
        <v>126</v>
      </c>
      <c r="C55" s="14">
        <f>C54*Assumptions!$C$31/(Assumptions!$C$31+Assumptions!$C$32+Assumptions!$C$33)</f>
        <v>236557.2687616261</v>
      </c>
    </row>
    <row r="56" spans="2:3" x14ac:dyDescent="0.25">
      <c r="B56" s="15" t="s">
        <v>127</v>
      </c>
      <c r="C56" s="14">
        <f>C54*Assumptions!$C$32/(Assumptions!$C$31+Assumptions!$C$32+Assumptions!$C$33)</f>
        <v>147848.29297601632</v>
      </c>
    </row>
    <row r="57" spans="2:3" x14ac:dyDescent="0.25">
      <c r="B57" s="15" t="s">
        <v>128</v>
      </c>
      <c r="C57" s="14">
        <f>C54*Assumptions!$C$33/(Assumptions!$C$31+Assumptions!$C$32+Assumptions!$C$33)</f>
        <v>88708.97578560979</v>
      </c>
    </row>
    <row r="58" spans="2:3" x14ac:dyDescent="0.25">
      <c r="B58" s="5" t="s">
        <v>129</v>
      </c>
      <c r="C58" s="14">
        <f>C54</f>
        <v>473114.5375232522</v>
      </c>
    </row>
    <row r="60" spans="2:12" x14ac:dyDescent="0.25">
      <c r="B60" s="3" t="s">
        <v>130</v>
      </c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2:8" x14ac:dyDescent="0.25">
      <c r="B61" s="12" t="s">
        <v>131</v>
      </c>
      <c r="C61" s="13" t="s">
        <v>132</v>
      </c>
      <c r="D61" s="13" t="s">
        <v>133</v>
      </c>
      <c r="E61" s="13" t="s">
        <v>101</v>
      </c>
      <c r="F61" s="13" t="s">
        <v>134</v>
      </c>
      <c r="G61" s="13" t="s">
        <v>135</v>
      </c>
      <c r="H61" s="13" t="s">
        <v>136</v>
      </c>
    </row>
    <row r="62" spans="2:8" x14ac:dyDescent="0.25">
      <c r="B62" s="5" t="s">
        <v>137</v>
      </c>
      <c r="C62" s="5" t="s">
        <v>138</v>
      </c>
      <c r="D62" s="14">
        <f>Assumptions!$C$31-C55</f>
        <v>3763442.731238374</v>
      </c>
      <c r="E62" s="5" t="s">
        <v>139</v>
      </c>
      <c r="F62" s="14">
        <v>0</v>
      </c>
      <c r="G62" s="14">
        <f>D62+F62</f>
        <v>3763442.731238374</v>
      </c>
      <c r="H62" s="18">
        <f>G62/$C$31</f>
        <v>0.09816469343680742</v>
      </c>
    </row>
    <row r="63" spans="2:8" x14ac:dyDescent="0.25">
      <c r="B63" s="5" t="s">
        <v>140</v>
      </c>
      <c r="C63" s="5" t="s">
        <v>141</v>
      </c>
      <c r="D63" s="14">
        <f>Assumptions!$C$32-C56</f>
        <v>2352151.707023984</v>
      </c>
      <c r="E63" s="5" t="s">
        <v>139</v>
      </c>
      <c r="F63" s="14">
        <v>0</v>
      </c>
      <c r="G63" s="14">
        <f>D63+F63</f>
        <v>2352151.707023984</v>
      </c>
      <c r="H63" s="18">
        <f>G63/$C$31</f>
        <v>0.06135293339800464</v>
      </c>
    </row>
    <row r="64" spans="2:8" x14ac:dyDescent="0.25">
      <c r="B64" s="5" t="s">
        <v>142</v>
      </c>
      <c r="C64" s="5" t="s">
        <v>143</v>
      </c>
      <c r="D64" s="14">
        <f>Assumptions!$C$33-C57</f>
        <v>1411291.0242143902</v>
      </c>
      <c r="E64" s="5" t="s">
        <v>139</v>
      </c>
      <c r="F64" s="14">
        <v>0</v>
      </c>
      <c r="G64" s="14">
        <f>D64+F64</f>
        <v>1411291.0242143902</v>
      </c>
      <c r="H64" s="18">
        <f>G64/$C$31</f>
        <v>0.03681176003880278</v>
      </c>
    </row>
    <row r="65" spans="2:8" x14ac:dyDescent="0.25">
      <c r="B65" s="5" t="s">
        <v>144</v>
      </c>
      <c r="C65" s="5" t="s">
        <v>145</v>
      </c>
      <c r="D65" s="14">
        <f>Assumptions!$C$34</f>
        <v>1000000</v>
      </c>
      <c r="E65" s="5" t="s">
        <v>139</v>
      </c>
      <c r="F65" s="14">
        <v>0</v>
      </c>
      <c r="G65" s="14">
        <f>D65+F65</f>
        <v>1000000</v>
      </c>
      <c r="H65" s="18">
        <f>G65/$C$31</f>
        <v>0.02608374843118869</v>
      </c>
    </row>
    <row r="66" spans="2:8" x14ac:dyDescent="0.25">
      <c r="B66" s="5" t="s">
        <v>146</v>
      </c>
      <c r="C66" s="5" t="s">
        <v>147</v>
      </c>
      <c r="D66" s="14">
        <v>0</v>
      </c>
      <c r="E66" s="5" t="s">
        <v>108</v>
      </c>
      <c r="F66" s="14">
        <f>G40</f>
        <v>5000000</v>
      </c>
      <c r="G66" s="14">
        <f>D66+F66</f>
        <v>5000000</v>
      </c>
      <c r="H66" s="18">
        <f>G66/$C$31</f>
        <v>0.13041874215594346</v>
      </c>
    </row>
    <row r="67" spans="2:8" x14ac:dyDescent="0.25">
      <c r="B67" s="5" t="s">
        <v>148</v>
      </c>
      <c r="C67" s="5" t="s">
        <v>149</v>
      </c>
      <c r="D67" s="14">
        <v>0</v>
      </c>
      <c r="E67" s="5" t="s">
        <v>109</v>
      </c>
      <c r="F67" s="14">
        <f>G41</f>
        <v>5000000</v>
      </c>
      <c r="G67" s="14">
        <f>D67+F67</f>
        <v>5000000</v>
      </c>
      <c r="H67" s="18">
        <f>G67/$C$31</f>
        <v>0.13041874215594346</v>
      </c>
    </row>
    <row r="68" spans="2:8" x14ac:dyDescent="0.25">
      <c r="B68" s="5" t="s">
        <v>150</v>
      </c>
      <c r="C68" s="5" t="s">
        <v>151</v>
      </c>
      <c r="D68" s="14">
        <v>0</v>
      </c>
      <c r="E68" s="5" t="s">
        <v>110</v>
      </c>
      <c r="F68" s="14">
        <f>G42</f>
        <v>3000000</v>
      </c>
      <c r="G68" s="14">
        <f>D68+F68</f>
        <v>3000000</v>
      </c>
      <c r="H68" s="18">
        <f>G68/$C$31</f>
        <v>0.07825124529356607</v>
      </c>
    </row>
    <row r="69" spans="2:8" x14ac:dyDescent="0.25">
      <c r="B69" s="5" t="s">
        <v>152</v>
      </c>
      <c r="C69" s="5" t="s">
        <v>153</v>
      </c>
      <c r="D69" s="14">
        <v>0</v>
      </c>
      <c r="E69" s="5" t="s">
        <v>111</v>
      </c>
      <c r="F69" s="14">
        <f>G43</f>
        <v>2400000</v>
      </c>
      <c r="G69" s="14">
        <f>D69+F69</f>
        <v>2400000</v>
      </c>
      <c r="H69" s="18">
        <f>G69/$C$31</f>
        <v>0.06260099623485285</v>
      </c>
    </row>
    <row r="70" spans="2:8" x14ac:dyDescent="0.25">
      <c r="B70" s="5" t="s">
        <v>154</v>
      </c>
      <c r="C70" s="5" t="s">
        <v>155</v>
      </c>
      <c r="D70" s="14">
        <v>0</v>
      </c>
      <c r="E70" s="5" t="s">
        <v>112</v>
      </c>
      <c r="F70" s="14">
        <f>G44</f>
        <v>1733976.942996016</v>
      </c>
      <c r="G70" s="14">
        <f>D70+F70</f>
        <v>1733976.942996016</v>
      </c>
      <c r="H70" s="18">
        <f>G70/$C$31</f>
        <v>0.045228618366589694</v>
      </c>
    </row>
    <row r="71" spans="2:8" x14ac:dyDescent="0.25">
      <c r="B71" s="5" t="s">
        <v>156</v>
      </c>
      <c r="C71" s="5" t="s">
        <v>157</v>
      </c>
      <c r="D71" s="14">
        <v>0</v>
      </c>
      <c r="E71" s="5" t="s">
        <v>113</v>
      </c>
      <c r="F71" s="14">
        <f>G45</f>
        <v>6134472.125466153</v>
      </c>
      <c r="G71" s="14">
        <f>D71+F71</f>
        <v>6134472.125466153</v>
      </c>
      <c r="H71" s="18">
        <f>G71/$C$31</f>
        <v>0.16001002767879852</v>
      </c>
    </row>
    <row r="72" spans="2:8" x14ac:dyDescent="0.25">
      <c r="B72" s="5" t="s">
        <v>158</v>
      </c>
      <c r="C72" s="5" t="s">
        <v>159</v>
      </c>
      <c r="D72" s="14">
        <f>G49</f>
        <v>186735.091095413</v>
      </c>
      <c r="E72" s="5" t="s">
        <v>160</v>
      </c>
      <c r="F72" s="14">
        <v>0</v>
      </c>
      <c r="G72" s="14">
        <f>D72+F72</f>
        <v>186735.091095413</v>
      </c>
      <c r="H72" s="18">
        <f>G72/$C$31</f>
        <v>0.004870751139407856</v>
      </c>
    </row>
    <row r="73" spans="2:8" x14ac:dyDescent="0.25">
      <c r="B73" s="5" t="s">
        <v>161</v>
      </c>
      <c r="C73" s="5" t="s">
        <v>162</v>
      </c>
      <c r="D73" s="14">
        <f>G50</f>
        <v>94622.90750465044</v>
      </c>
      <c r="E73" s="5" t="s">
        <v>160</v>
      </c>
      <c r="F73" s="14">
        <v>0</v>
      </c>
      <c r="G73" s="14">
        <f>D73+F73</f>
        <v>94622.90750465044</v>
      </c>
      <c r="H73" s="18">
        <f>G73/$C$31</f>
        <v>0.0024681201151789383</v>
      </c>
    </row>
    <row r="74" spans="2:8" x14ac:dyDescent="0.25">
      <c r="B74" s="5" t="s">
        <v>163</v>
      </c>
      <c r="C74" s="5" t="s">
        <v>164</v>
      </c>
      <c r="D74" s="14">
        <f>C58</f>
        <v>473114.5375232522</v>
      </c>
      <c r="E74" s="5" t="s">
        <v>165</v>
      </c>
      <c r="F74" s="14">
        <f>Assumptions!$C$12/C28</f>
        <v>536196.4758596858</v>
      </c>
      <c r="G74" s="14">
        <f>D74+F74</f>
        <v>1009311.013382938</v>
      </c>
      <c r="H74" s="18">
        <f>G74/$C$31</f>
        <v>0.026326614561908677</v>
      </c>
    </row>
    <row r="75" spans="2:8" x14ac:dyDescent="0.25">
      <c r="B75" s="9" t="s">
        <v>166</v>
      </c>
      <c r="C75" s="5" t="s">
        <v>167</v>
      </c>
      <c r="D75" s="14">
        <v>0</v>
      </c>
      <c r="E75" s="9" t="s">
        <v>165</v>
      </c>
      <c r="F75" s="14">
        <f>Assumptions!$C$11/C28</f>
        <v>268098.2379298429</v>
      </c>
      <c r="G75" s="14">
        <f>D75+F75</f>
        <v>268098.2379298429</v>
      </c>
      <c r="H75" s="19">
        <f>G75/$C$31</f>
        <v>0.006993006993006992</v>
      </c>
    </row>
    <row r="76" spans="2:8" x14ac:dyDescent="0.25">
      <c r="B76" s="5" t="s">
        <v>168</v>
      </c>
      <c r="C76" s="5" t="s">
        <v>169</v>
      </c>
      <c r="D76" s="14">
        <f>Assumptions!$C$42</f>
        <v>2500000</v>
      </c>
      <c r="E76" s="5" t="s">
        <v>170</v>
      </c>
      <c r="F76" s="14">
        <v>0</v>
      </c>
      <c r="G76" s="14">
        <f>D76+F76</f>
        <v>2500000</v>
      </c>
      <c r="H76" s="18">
        <f>G76/$C$31</f>
        <v>0.06520937107797173</v>
      </c>
    </row>
    <row r="77" spans="2:8" x14ac:dyDescent="0.25">
      <c r="B77" s="5" t="s">
        <v>171</v>
      </c>
      <c r="C77" s="5" t="s">
        <v>172</v>
      </c>
      <c r="D77" s="14">
        <f>Assumptions!$C$43+C32</f>
        <v>2483946.2431157804</v>
      </c>
      <c r="E77" s="5" t="s">
        <v>170</v>
      </c>
      <c r="F77" s="14">
        <v>0</v>
      </c>
      <c r="G77" s="14">
        <f>D77+F77</f>
        <v>2483946.2431157804</v>
      </c>
      <c r="H77" s="18">
        <f>G77/$C$31</f>
        <v>0.06479062892202828</v>
      </c>
    </row>
    <row r="78" spans="2:8" x14ac:dyDescent="0.25">
      <c r="B78" s="9" t="s">
        <v>135</v>
      </c>
      <c r="C78" s="5" t="s">
        <v>173</v>
      </c>
      <c r="D78" s="10">
        <f>SUM(D62:D77)</f>
        <v>14265304.241715845</v>
      </c>
      <c r="E78" s="5" t="s">
        <v>173</v>
      </c>
      <c r="F78" s="10">
        <f>SUM(F62:F77)</f>
        <v>24072743.7822517</v>
      </c>
      <c r="G78" s="20">
        <f>SUM(G62:G77)</f>
        <v>38338048.02396754</v>
      </c>
      <c r="H78" s="18">
        <f>SUM(H62:H77)</f>
        <v>1.0000000000000002</v>
      </c>
    </row>
    <row r="79" spans="2:7" x14ac:dyDescent="0.25">
      <c r="B79" s="5" t="s">
        <v>174</v>
      </c>
      <c r="G79" s="21">
        <f>ROUND(G78-C31,2)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8"/>
  <sheetViews>
    <sheetView workbookViewId="0" showGridLines="0"/>
  </sheetViews>
  <sheetFormatPr defaultRowHeight="12.75" outlineLevelRow="0" outlineLevelCol="0" x14ac:dyDescent="0" defaultColWidth="13.955" customHeight="1"/>
  <cols>
    <col min="1" max="1" width="1.705" customWidth="1"/>
    <col min="2" max="2" width="35.205" customWidth="1"/>
    <col min="3" max="8" width="16.455" customWidth="1"/>
  </cols>
  <sheetData>
    <row r="2" ht="18" customHeight="1" spans="2:2" x14ac:dyDescent="0.25">
      <c r="B2" s="1" t="s">
        <v>175</v>
      </c>
    </row>
    <row r="3" spans="2:2" x14ac:dyDescent="0.25">
      <c r="B3" s="2" t="s">
        <v>176</v>
      </c>
    </row>
    <row r="5" spans="2:8" x14ac:dyDescent="0.25">
      <c r="B5" s="3" t="s">
        <v>177</v>
      </c>
      <c r="C5" s="4"/>
      <c r="D5" s="4"/>
      <c r="E5" s="4"/>
      <c r="F5" s="4"/>
      <c r="G5" s="4"/>
      <c r="H5" s="4"/>
    </row>
    <row r="6" spans="2:7" x14ac:dyDescent="0.25">
      <c r="B6" s="9" t="s">
        <v>178</v>
      </c>
      <c r="C6" s="11">
        <f>Assumptions!$C$15</f>
        <v>700000000</v>
      </c>
      <c r="D6" s="11">
        <f>Assumptions!$C$16</f>
        <v>1200000000</v>
      </c>
      <c r="E6" s="11">
        <f>Assumptions!$C$17</f>
        <v>2000000000</v>
      </c>
      <c r="F6" s="11">
        <f>Assumptions!$C$18</f>
        <v>4000000000</v>
      </c>
      <c r="G6" s="11">
        <f>Assumptions!$C$19</f>
        <v>8000000000</v>
      </c>
    </row>
    <row r="7" spans="2:7" x14ac:dyDescent="0.25">
      <c r="B7" s="15" t="s">
        <v>179</v>
      </c>
      <c r="C7" s="11">
        <f>'Pro-Forma'!$D$76*Assumptions!$C$55</f>
        <v>2500000</v>
      </c>
      <c r="D7" s="11">
        <f>'Pro-Forma'!$D$76*Assumptions!$C$55</f>
        <v>2500000</v>
      </c>
      <c r="E7" s="11">
        <f>'Pro-Forma'!$D$76*Assumptions!$C$55</f>
        <v>2500000</v>
      </c>
      <c r="F7" s="11">
        <f>'Pro-Forma'!$D$76*Assumptions!$C$55</f>
        <v>2500000</v>
      </c>
      <c r="G7" s="11">
        <f>'Pro-Forma'!$D$76*Assumptions!$C$55</f>
        <v>2500000</v>
      </c>
    </row>
    <row r="8" spans="2:7" x14ac:dyDescent="0.25">
      <c r="B8" s="9" t="s">
        <v>180</v>
      </c>
      <c r="C8" s="22">
        <f>C6+C7</f>
        <v>702500000</v>
      </c>
      <c r="D8" s="22">
        <f>D6+D7</f>
        <v>1202500000</v>
      </c>
      <c r="E8" s="22">
        <f>E6+E7</f>
        <v>2002500000</v>
      </c>
      <c r="F8" s="22">
        <f>F6+F7</f>
        <v>4002500000</v>
      </c>
      <c r="G8" s="22">
        <f>G6+G7</f>
        <v>8002500000</v>
      </c>
    </row>
    <row r="10" spans="2:8" x14ac:dyDescent="0.25">
      <c r="B10" s="3" t="s">
        <v>181</v>
      </c>
      <c r="C10" s="4"/>
      <c r="D10" s="4"/>
      <c r="E10" s="4"/>
      <c r="F10" s="4"/>
      <c r="G10" s="4"/>
      <c r="H10" s="4"/>
    </row>
    <row r="11" spans="2:7" x14ac:dyDescent="0.25">
      <c r="B11" s="5" t="s">
        <v>165</v>
      </c>
      <c r="C11" s="14" t="str">
        <f>IF(H43,"preference","convert")</f>
        <v>preference</v>
      </c>
      <c r="D11" s="14" t="str">
        <f>IF(H65,"preference","convert")</f>
        <v>preference</v>
      </c>
      <c r="E11" s="14" t="str">
        <f>IF(H87,"preference","convert")</f>
        <v>convert</v>
      </c>
      <c r="F11" s="14" t="str">
        <f>IF(H109,"preference","convert")</f>
        <v>convert</v>
      </c>
      <c r="G11" s="14" t="str">
        <f>IF(H131,"preference","convert")</f>
        <v>convert</v>
      </c>
    </row>
    <row r="12" spans="2:7" x14ac:dyDescent="0.25">
      <c r="B12" s="5" t="s">
        <v>113</v>
      </c>
      <c r="C12" s="14" t="str">
        <f>IF(H44,"preference","convert")</f>
        <v>preference</v>
      </c>
      <c r="D12" s="14" t="str">
        <f>IF(H66,"preference","convert")</f>
        <v>preference</v>
      </c>
      <c r="E12" s="14" t="str">
        <f>IF(H88,"preference","convert")</f>
        <v>convert</v>
      </c>
      <c r="F12" s="14" t="str">
        <f>IF(H110,"preference","convert")</f>
        <v>convert</v>
      </c>
      <c r="G12" s="14" t="str">
        <f>IF(H132,"preference","convert")</f>
        <v>convert</v>
      </c>
    </row>
    <row r="13" spans="2:7" x14ac:dyDescent="0.25">
      <c r="B13" s="5" t="s">
        <v>112</v>
      </c>
      <c r="C13" s="14" t="str">
        <f>IF(H45,"preference","convert")</f>
        <v>preference</v>
      </c>
      <c r="D13" s="14" t="str">
        <f>IF(H67,"preference","convert")</f>
        <v>preference</v>
      </c>
      <c r="E13" s="14" t="str">
        <f>IF(H89,"preference","convert")</f>
        <v>preference</v>
      </c>
      <c r="F13" s="14" t="str">
        <f>IF(H111,"preference","convert")</f>
        <v>convert</v>
      </c>
      <c r="G13" s="14" t="str">
        <f>IF(H133,"preference","convert")</f>
        <v>convert</v>
      </c>
    </row>
    <row r="14" spans="2:7" x14ac:dyDescent="0.25">
      <c r="B14" s="5" t="s">
        <v>111</v>
      </c>
      <c r="C14" s="14" t="str">
        <f>IF(H46,"preference","convert")</f>
        <v>preference</v>
      </c>
      <c r="D14" s="14" t="str">
        <f>IF(H68,"preference","convert")</f>
        <v>convert</v>
      </c>
      <c r="E14" s="14" t="str">
        <f>IF(H90,"preference","convert")</f>
        <v>convert</v>
      </c>
      <c r="F14" s="14" t="str">
        <f>IF(H112,"preference","convert")</f>
        <v>convert</v>
      </c>
      <c r="G14" s="14" t="str">
        <f>IF(H134,"preference","convert")</f>
        <v>convert</v>
      </c>
    </row>
    <row r="15" spans="2:7" x14ac:dyDescent="0.25">
      <c r="B15" s="5" t="s">
        <v>110</v>
      </c>
      <c r="C15" s="14" t="str">
        <f>IF(H47,"preference","convert")</f>
        <v>preference</v>
      </c>
      <c r="D15" s="14" t="str">
        <f>IF(H69,"preference","convert")</f>
        <v>convert</v>
      </c>
      <c r="E15" s="14" t="str">
        <f>IF(H91,"preference","convert")</f>
        <v>convert</v>
      </c>
      <c r="F15" s="14" t="str">
        <f>IF(H113,"preference","convert")</f>
        <v>convert</v>
      </c>
      <c r="G15" s="14" t="str">
        <f>IF(H135,"preference","convert")</f>
        <v>convert</v>
      </c>
    </row>
    <row r="16" spans="2:7" x14ac:dyDescent="0.25">
      <c r="B16" s="5" t="s">
        <v>109</v>
      </c>
      <c r="C16" s="14" t="str">
        <f>IF(H48,"preference","convert")</f>
        <v>convert</v>
      </c>
      <c r="D16" s="14" t="str">
        <f>IF(H70,"preference","convert")</f>
        <v>convert</v>
      </c>
      <c r="E16" s="14" t="str">
        <f>IF(H92,"preference","convert")</f>
        <v>convert</v>
      </c>
      <c r="F16" s="14" t="str">
        <f>IF(H114,"preference","convert")</f>
        <v>convert</v>
      </c>
      <c r="G16" s="14" t="str">
        <f>IF(H136,"preference","convert")</f>
        <v>convert</v>
      </c>
    </row>
    <row r="17" spans="2:7" x14ac:dyDescent="0.25">
      <c r="B17" s="5" t="s">
        <v>108</v>
      </c>
      <c r="C17" s="14" t="str">
        <f>IF(H49,"preference","convert")</f>
        <v>convert</v>
      </c>
      <c r="D17" s="14" t="str">
        <f>IF(H71,"preference","convert")</f>
        <v>convert</v>
      </c>
      <c r="E17" s="14" t="str">
        <f>IF(H93,"preference","convert")</f>
        <v>convert</v>
      </c>
      <c r="F17" s="14" t="str">
        <f>IF(H115,"preference","convert")</f>
        <v>convert</v>
      </c>
      <c r="G17" s="14" t="str">
        <f>IF(H137,"preference","convert")</f>
        <v>convert</v>
      </c>
    </row>
    <row r="19" spans="2:8" x14ac:dyDescent="0.25">
      <c r="B19" s="3" t="s">
        <v>182</v>
      </c>
      <c r="C19" s="4"/>
      <c r="D19" s="4"/>
      <c r="E19" s="4"/>
      <c r="F19" s="4"/>
      <c r="G19" s="4"/>
      <c r="H19" s="4"/>
    </row>
    <row r="20" spans="2:7" x14ac:dyDescent="0.25">
      <c r="B20" s="5" t="s">
        <v>165</v>
      </c>
      <c r="C20" s="11">
        <f>IF(H43,Assumptions!$C$7,'Pro-Forma'!$C$29*H53)</f>
        <v>30000000</v>
      </c>
      <c r="D20" s="11">
        <f>IF(H65,Assumptions!$C$7,'Pro-Forma'!$C$29*H75)</f>
        <v>30000000</v>
      </c>
      <c r="E20" s="11">
        <f>IF(H87,Assumptions!$C$7,'Pro-Forma'!$C$29*H97)</f>
        <v>44846573.222410485</v>
      </c>
      <c r="F20" s="11">
        <f>IF(H109,Assumptions!$C$7,'Pro-Forma'!$C$29*H119)</f>
        <v>89785810.60596612</v>
      </c>
      <c r="G20" s="11">
        <f>IF(H131,Assumptions!$C$7,'Pro-Forma'!$C$29*H141)</f>
        <v>179515540.1309791</v>
      </c>
    </row>
    <row r="21" spans="2:7" x14ac:dyDescent="0.25">
      <c r="B21" s="5" t="s">
        <v>113</v>
      </c>
      <c r="C21" s="11">
        <f>IF(H44,Assumptions!$C$41*Assumptions!$C$28,'Pro-Forma'!$G$45*H53)</f>
        <v>299996802.315437</v>
      </c>
      <c r="D21" s="11">
        <f>IF(H66,Assumptions!$C$41*Assumptions!$C$28,'Pro-Forma'!$G$45*H75)</f>
        <v>299996802.315437</v>
      </c>
      <c r="E21" s="11">
        <f>IF(H88,Assumptions!$C$41*Assumptions!$C$28,'Pro-Forma'!$G$45*H97)</f>
        <v>342051301.14475167</v>
      </c>
      <c r="F21" s="11">
        <f>IF(H110,Assumptions!$C$41*Assumptions!$C$28,'Pro-Forma'!$G$45*H119)</f>
        <v>684809365.2506775</v>
      </c>
      <c r="G21" s="11">
        <f>IF(H132,Assumptions!$C$41*Assumptions!$C$28,'Pro-Forma'!$G$45*H141)</f>
        <v>1369190991.984646</v>
      </c>
    </row>
    <row r="22" spans="2:7" x14ac:dyDescent="0.25">
      <c r="B22" s="5" t="s">
        <v>112</v>
      </c>
      <c r="C22" s="11">
        <f>IF(H45,Assumptions!$C$40*Assumptions!$C$27,'Pro-Forma'!$G$44*H53)</f>
        <v>100000020</v>
      </c>
      <c r="D22" s="11">
        <f>IF(H67,Assumptions!$C$40*Assumptions!$C$27,'Pro-Forma'!$G$44*H75)</f>
        <v>100000020</v>
      </c>
      <c r="E22" s="11">
        <f>IF(H89,Assumptions!$C$40*Assumptions!$C$27,'Pro-Forma'!$G$44*H97)</f>
        <v>100000020</v>
      </c>
      <c r="F22" s="11">
        <f>IF(H111,Assumptions!$C$40*Assumptions!$C$27,'Pro-Forma'!$G$44*H119)</f>
        <v>193569002.41879883</v>
      </c>
      <c r="G22" s="11">
        <f>IF(H133,Assumptions!$C$40*Assumptions!$C$27,'Pro-Forma'!$G$44*H141)</f>
        <v>387017099.7767489</v>
      </c>
    </row>
    <row r="23" spans="2:7" x14ac:dyDescent="0.25">
      <c r="B23" s="5" t="s">
        <v>111</v>
      </c>
      <c r="C23" s="11">
        <f>IF(H46,Assumptions!$C$38*Assumptions!$C$25,'Pro-Forma'!$G$43*H53)</f>
        <v>60000000</v>
      </c>
      <c r="D23" s="11">
        <f>IF(H68,Assumptions!$C$38*Assumptions!$C$25,'Pro-Forma'!$G$43*H75)</f>
        <v>68208793.19342467</v>
      </c>
      <c r="E23" s="11">
        <f>IF(H90,Assumptions!$C$38*Assumptions!$C$25,'Pro-Forma'!$G$43*H97)</f>
        <v>133821314.36207688</v>
      </c>
      <c r="F23" s="11">
        <f>IF(H112,Assumptions!$C$38*Assumptions!$C$25,'Pro-Forma'!$G$43*H119)</f>
        <v>267919136.80376118</v>
      </c>
      <c r="G23" s="11">
        <f>IF(H134,Assumptions!$C$38*Assumptions!$C$25,'Pro-Forma'!$G$43*H141)</f>
        <v>535670928.73756367</v>
      </c>
    </row>
    <row r="24" spans="2:7" x14ac:dyDescent="0.25">
      <c r="B24" s="5" t="s">
        <v>110</v>
      </c>
      <c r="C24" s="11">
        <f>IF(H47,Assumptions!$C$37*Assumptions!$C$24,'Pro-Forma'!$G$42*H53)</f>
        <v>30000000</v>
      </c>
      <c r="D24" s="11">
        <f>IF(H69,Assumptions!$C$37*Assumptions!$C$24,'Pro-Forma'!$G$42*H75)</f>
        <v>85260991.49178085</v>
      </c>
      <c r="E24" s="11">
        <f>IF(H91,Assumptions!$C$37*Assumptions!$C$24,'Pro-Forma'!$G$42*H97)</f>
        <v>167276642.9525961</v>
      </c>
      <c r="F24" s="11">
        <f>IF(H113,Assumptions!$C$37*Assumptions!$C$24,'Pro-Forma'!$G$42*H119)</f>
        <v>334898921.0047015</v>
      </c>
      <c r="G24" s="11">
        <f>IF(H135,Assumptions!$C$37*Assumptions!$C$24,'Pro-Forma'!$G$42*H141)</f>
        <v>669588660.9219546</v>
      </c>
    </row>
    <row r="25" spans="2:7" x14ac:dyDescent="0.25">
      <c r="B25" s="5" t="s">
        <v>109</v>
      </c>
      <c r="C25" s="11">
        <f>IF(H48,Assumptions!$C$36*Assumptions!$C$23,'Pro-Forma'!$G$41*H53)</f>
        <v>41894352.4311691</v>
      </c>
      <c r="D25" s="11">
        <f>IF(H70,Assumptions!$C$36*Assumptions!$C$23,'Pro-Forma'!$G$41*H75)</f>
        <v>142101652.4863014</v>
      </c>
      <c r="E25" s="11">
        <f>IF(H92,Assumptions!$C$36*Assumptions!$C$23,'Pro-Forma'!$G$41*H97)</f>
        <v>278794404.9209935</v>
      </c>
      <c r="F25" s="11">
        <f>IF(H114,Assumptions!$C$36*Assumptions!$C$23,'Pro-Forma'!$G$41*H119)</f>
        <v>558164868.3411691</v>
      </c>
      <c r="G25" s="11">
        <f>IF(H136,Assumptions!$C$36*Assumptions!$C$23,'Pro-Forma'!$G$41*H141)</f>
        <v>1115981101.536591</v>
      </c>
    </row>
    <row r="26" spans="2:7" x14ac:dyDescent="0.25">
      <c r="B26" s="5" t="s">
        <v>108</v>
      </c>
      <c r="C26" s="11">
        <f>IF(H49,Assumptions!$C$35*Assumptions!$C$22,'Pro-Forma'!$G$40*H53)</f>
        <v>41894352.4311691</v>
      </c>
      <c r="D26" s="11">
        <f>IF(H71,Assumptions!$C$35*Assumptions!$C$22,'Pro-Forma'!$G$40*H75)</f>
        <v>142101652.4863014</v>
      </c>
      <c r="E26" s="11">
        <f>IF(H93,Assumptions!$C$35*Assumptions!$C$22,'Pro-Forma'!$G$40*H97)</f>
        <v>278794404.9209935</v>
      </c>
      <c r="F26" s="11">
        <f>IF(H115,Assumptions!$C$35*Assumptions!$C$22,'Pro-Forma'!$G$40*H119)</f>
        <v>558164868.3411691</v>
      </c>
      <c r="G26" s="11">
        <f>IF(H137,Assumptions!$C$35*Assumptions!$C$22,'Pro-Forma'!$G$40*H141)</f>
        <v>1115981101.536591</v>
      </c>
    </row>
    <row r="27" spans="2:7" x14ac:dyDescent="0.25">
      <c r="B27" s="5" t="s">
        <v>183</v>
      </c>
      <c r="C27" s="11">
        <f>('Pro-Forma'!$G$49+'Pro-Forma'!$G$50)*H53</f>
        <v>2357462.230535888</v>
      </c>
      <c r="D27" s="11">
        <f>('Pro-Forma'!$G$49+'Pro-Forma'!$G$50)*H75</f>
        <v>7996287.308261498</v>
      </c>
      <c r="E27" s="11">
        <f>('Pro-Forma'!$G$49+'Pro-Forma'!$G$50)*H97</f>
        <v>15688207.157893281</v>
      </c>
      <c r="F27" s="11">
        <f>('Pro-Forma'!$G$49+'Pro-Forma'!$G$50)*H119</f>
        <v>31408830.04906785</v>
      </c>
      <c r="G27" s="11">
        <f>('Pro-Forma'!$G$49+'Pro-Forma'!$G$50)*H141</f>
        <v>62798041.840765886</v>
      </c>
    </row>
    <row r="28" spans="2:7" x14ac:dyDescent="0.25">
      <c r="B28" s="5" t="s">
        <v>184</v>
      </c>
      <c r="C28" s="11">
        <f>('Pro-Forma'!$D$62+'Pro-Forma'!$D$63+'Pro-Forma'!$D$64+'Pro-Forma'!$D$65+'Pro-Forma'!$D$74)*H53</f>
        <v>75409834.37610438</v>
      </c>
      <c r="D28" s="11">
        <f>('Pro-Forma'!$D$62+'Pro-Forma'!$D$63+'Pro-Forma'!$D$64+'Pro-Forma'!$D$65+'Pro-Forma'!$D$74)*H75</f>
        <v>255782974.4753425</v>
      </c>
      <c r="E28" s="11">
        <f>('Pro-Forma'!$D$62+'Pro-Forma'!$D$63+'Pro-Forma'!$D$64+'Pro-Forma'!$D$65+'Pro-Forma'!$D$74)*H97</f>
        <v>501829928.8577883</v>
      </c>
      <c r="F28" s="11">
        <f>('Pro-Forma'!$D$62+'Pro-Forma'!$D$63+'Pro-Forma'!$D$64+'Pro-Forma'!$D$65+'Pro-Forma'!$D$74)*H119</f>
        <v>1004696763.0141045</v>
      </c>
      <c r="G28" s="11">
        <f>('Pro-Forma'!$D$62+'Pro-Forma'!$D$63+'Pro-Forma'!$D$64+'Pro-Forma'!$D$65+'Pro-Forma'!$D$74)*H141</f>
        <v>2008765982.765864</v>
      </c>
    </row>
    <row r="29" spans="2:7" x14ac:dyDescent="0.25">
      <c r="B29" s="5" t="s">
        <v>185</v>
      </c>
      <c r="C29" s="11">
        <f>IF(H53&gt;Assumptions!$C$55,'Pro-Forma'!$D$76*(H53-Assumptions!$C$55),0)</f>
        <v>18447176.21558455</v>
      </c>
      <c r="D29" s="11">
        <f>IF(H75&gt;Assumptions!$C$55,'Pro-Forma'!$D$76*(H75-Assumptions!$C$55),0)</f>
        <v>68550826.2431507</v>
      </c>
      <c r="E29" s="11">
        <f>IF(H97&gt;Assumptions!$C$55,'Pro-Forma'!$D$76*(H97-Assumptions!$C$55),0)</f>
        <v>136897202.46049675</v>
      </c>
      <c r="F29" s="11">
        <f>IF(H119&gt;Assumptions!$C$55,'Pro-Forma'!$D$76*(H119-Assumptions!$C$55),0)</f>
        <v>276582434.17058456</v>
      </c>
      <c r="G29" s="11">
        <f>IF(H141&gt;Assumptions!$C$55,'Pro-Forma'!$D$76*(H141-Assumptions!$C$55),0)</f>
        <v>555490550.7682955</v>
      </c>
    </row>
    <row r="30" spans="2:7" x14ac:dyDescent="0.25">
      <c r="B30" s="9" t="s">
        <v>186</v>
      </c>
      <c r="C30" s="23">
        <f>SUM(C20:C29)</f>
        <v>700000000</v>
      </c>
      <c r="D30" s="23">
        <f>SUM(D20:D29)</f>
        <v>1200000000</v>
      </c>
      <c r="E30" s="23">
        <f>SUM(E20:E29)</f>
        <v>2000000000.0000005</v>
      </c>
      <c r="F30" s="23">
        <f>SUM(F20:F29)</f>
        <v>4000000000</v>
      </c>
      <c r="G30" s="23">
        <f>SUM(G20:G29)</f>
        <v>7999999999.999999</v>
      </c>
    </row>
    <row r="31" spans="2:7" x14ac:dyDescent="0.25">
      <c r="B31" s="5" t="s">
        <v>187</v>
      </c>
      <c r="C31" s="21">
        <f>ROUND(C30-C6,0)</f>
        <v>0</v>
      </c>
      <c r="D31" s="21">
        <f>ROUND(D30-D6,0)</f>
        <v>0</v>
      </c>
      <c r="E31" s="21">
        <f>ROUND(E30-E6,0)</f>
        <v>0</v>
      </c>
      <c r="F31" s="21">
        <f>ROUND(F30-F6,0)</f>
        <v>0</v>
      </c>
      <c r="G31" s="21">
        <f>ROUND(G30-G6,0)</f>
        <v>0</v>
      </c>
    </row>
    <row r="40" spans="2:8" x14ac:dyDescent="0.25">
      <c r="B40" s="3" t="s">
        <v>188</v>
      </c>
      <c r="C40" s="4"/>
      <c r="D40" s="4"/>
      <c r="E40" s="4"/>
      <c r="F40" s="4"/>
      <c r="G40" s="4"/>
      <c r="H40" s="4"/>
    </row>
    <row r="41" spans="2:8" x14ac:dyDescent="0.25">
      <c r="B41" s="12" t="s">
        <v>62</v>
      </c>
      <c r="C41" s="13" t="s">
        <v>63</v>
      </c>
      <c r="D41" s="13" t="s">
        <v>64</v>
      </c>
      <c r="E41" s="13" t="s">
        <v>65</v>
      </c>
      <c r="F41" s="13" t="s">
        <v>66</v>
      </c>
      <c r="G41" s="13" t="s">
        <v>67</v>
      </c>
      <c r="H41" s="13" t="s">
        <v>68</v>
      </c>
    </row>
    <row r="42" spans="2:8" x14ac:dyDescent="0.25">
      <c r="B42" s="5" t="s">
        <v>189</v>
      </c>
      <c r="C42" s="11">
        <f>C$8</f>
        <v>702500000</v>
      </c>
      <c r="D42" s="11">
        <f>C$8</f>
        <v>702500000</v>
      </c>
      <c r="E42" s="11">
        <f>C$8</f>
        <v>702500000</v>
      </c>
      <c r="F42" s="11">
        <f>C$8</f>
        <v>702500000</v>
      </c>
      <c r="G42" s="11">
        <f>C$8</f>
        <v>702500000</v>
      </c>
      <c r="H42" s="11">
        <f>C$8</f>
        <v>702500000</v>
      </c>
    </row>
    <row r="43" spans="2:8" x14ac:dyDescent="0.25">
      <c r="B43" s="15" t="s">
        <v>190</v>
      </c>
      <c r="C43" s="14" t="b">
        <v>0</v>
      </c>
      <c r="D43" s="14">
        <f>Assumptions!$C$7&gt;C54</f>
        <v>1</v>
      </c>
      <c r="E43" s="14">
        <f>Assumptions!$C$7&gt;D54</f>
        <v>1</v>
      </c>
      <c r="F43" s="14">
        <f>Assumptions!$C$7&gt;E54</f>
        <v>1</v>
      </c>
      <c r="G43" s="14">
        <f>Assumptions!$C$7&gt;F54</f>
        <v>1</v>
      </c>
      <c r="H43" s="14">
        <f>Assumptions!$C$7&gt;G54</f>
        <v>1</v>
      </c>
    </row>
    <row r="44" spans="2:8" x14ac:dyDescent="0.25">
      <c r="B44" s="15" t="s">
        <v>191</v>
      </c>
      <c r="C44" s="14" t="b">
        <v>0</v>
      </c>
      <c r="D44" s="14">
        <f>Assumptions!$C$41*Assumptions!$C$28&gt;C55</f>
        <v>1</v>
      </c>
      <c r="E44" s="14">
        <f>Assumptions!$C$41*Assumptions!$C$28&gt;D55</f>
        <v>1</v>
      </c>
      <c r="F44" s="14">
        <f>Assumptions!$C$41*Assumptions!$C$28&gt;E55</f>
        <v>1</v>
      </c>
      <c r="G44" s="14">
        <f>Assumptions!$C$41*Assumptions!$C$28&gt;F55</f>
        <v>1</v>
      </c>
      <c r="H44" s="14">
        <f>Assumptions!$C$41*Assumptions!$C$28&gt;G55</f>
        <v>1</v>
      </c>
    </row>
    <row r="45" spans="2:8" x14ac:dyDescent="0.25">
      <c r="B45" s="15" t="s">
        <v>192</v>
      </c>
      <c r="C45" s="14" t="b">
        <v>0</v>
      </c>
      <c r="D45" s="14">
        <f>Assumptions!$C$40*Assumptions!$C$27&gt;C56</f>
        <v>1</v>
      </c>
      <c r="E45" s="14">
        <f>Assumptions!$C$40*Assumptions!$C$27&gt;D56</f>
        <v>1</v>
      </c>
      <c r="F45" s="14">
        <f>Assumptions!$C$40*Assumptions!$C$27&gt;E56</f>
        <v>1</v>
      </c>
      <c r="G45" s="14">
        <f>Assumptions!$C$40*Assumptions!$C$27&gt;F56</f>
        <v>1</v>
      </c>
      <c r="H45" s="14">
        <f>Assumptions!$C$40*Assumptions!$C$27&gt;G56</f>
        <v>1</v>
      </c>
    </row>
    <row r="46" spans="2:8" x14ac:dyDescent="0.25">
      <c r="B46" s="15" t="s">
        <v>193</v>
      </c>
      <c r="C46" s="14" t="b">
        <v>0</v>
      </c>
      <c r="D46" s="14">
        <f>Assumptions!$C$38*Assumptions!$C$25&gt;C57</f>
        <v>1</v>
      </c>
      <c r="E46" s="14">
        <f>Assumptions!$C$38*Assumptions!$C$25&gt;D57</f>
        <v>1</v>
      </c>
      <c r="F46" s="14">
        <f>Assumptions!$C$38*Assumptions!$C$25&gt;E57</f>
        <v>1</v>
      </c>
      <c r="G46" s="14">
        <f>Assumptions!$C$38*Assumptions!$C$25&gt;F57</f>
        <v>1</v>
      </c>
      <c r="H46" s="14">
        <f>Assumptions!$C$38*Assumptions!$C$25&gt;G57</f>
        <v>1</v>
      </c>
    </row>
    <row r="47" spans="2:8" x14ac:dyDescent="0.25">
      <c r="B47" s="15" t="s">
        <v>194</v>
      </c>
      <c r="C47" s="14" t="b">
        <v>0</v>
      </c>
      <c r="D47" s="14">
        <f>Assumptions!$C$37*Assumptions!$C$24&gt;C58</f>
        <v>0</v>
      </c>
      <c r="E47" s="14">
        <f>Assumptions!$C$37*Assumptions!$C$24&gt;D58</f>
        <v>1</v>
      </c>
      <c r="F47" s="14">
        <f>Assumptions!$C$37*Assumptions!$C$24&gt;E58</f>
        <v>1</v>
      </c>
      <c r="G47" s="14">
        <f>Assumptions!$C$37*Assumptions!$C$24&gt;F58</f>
        <v>1</v>
      </c>
      <c r="H47" s="14">
        <f>Assumptions!$C$37*Assumptions!$C$24&gt;G58</f>
        <v>1</v>
      </c>
    </row>
    <row r="48" spans="2:8" x14ac:dyDescent="0.25">
      <c r="B48" s="15" t="s">
        <v>195</v>
      </c>
      <c r="C48" s="14" t="b">
        <v>0</v>
      </c>
      <c r="D48" s="14">
        <f>Assumptions!$C$36*Assumptions!$C$23&gt;C59</f>
        <v>0</v>
      </c>
      <c r="E48" s="14">
        <f>Assumptions!$C$36*Assumptions!$C$23&gt;D59</f>
        <v>0</v>
      </c>
      <c r="F48" s="14">
        <f>Assumptions!$C$36*Assumptions!$C$23&gt;E59</f>
        <v>0</v>
      </c>
      <c r="G48" s="14">
        <f>Assumptions!$C$36*Assumptions!$C$23&gt;F59</f>
        <v>0</v>
      </c>
      <c r="H48" s="14">
        <f>Assumptions!$C$36*Assumptions!$C$23&gt;G59</f>
        <v>0</v>
      </c>
    </row>
    <row r="49" spans="2:8" x14ac:dyDescent="0.25">
      <c r="B49" s="15" t="s">
        <v>196</v>
      </c>
      <c r="C49" s="14" t="b">
        <v>0</v>
      </c>
      <c r="D49" s="14">
        <f>Assumptions!$C$35*Assumptions!$C$22&gt;C60</f>
        <v>0</v>
      </c>
      <c r="E49" s="14">
        <f>Assumptions!$C$35*Assumptions!$C$22&gt;D60</f>
        <v>0</v>
      </c>
      <c r="F49" s="14">
        <f>Assumptions!$C$35*Assumptions!$C$22&gt;E60</f>
        <v>0</v>
      </c>
      <c r="G49" s="14">
        <f>Assumptions!$C$35*Assumptions!$C$22&gt;F60</f>
        <v>0</v>
      </c>
      <c r="H49" s="14">
        <f>Assumptions!$C$35*Assumptions!$C$22&gt;G60</f>
        <v>0</v>
      </c>
    </row>
    <row r="50" spans="2:8" x14ac:dyDescent="0.25">
      <c r="B50" s="5" t="s">
        <v>197</v>
      </c>
      <c r="C50" s="11">
        <f>IF(C43,Assumptions!$C$7,0)+IF(C44,Assumptions!$C$41*Assumptions!$C$28,0)+IF(C45,Assumptions!$C$40*Assumptions!$C$27,0)+IF(C46,Assumptions!$C$38*Assumptions!$C$25,0)+IF(C47,Assumptions!$C$37*Assumptions!$C$24,0)+IF(C48,Assumptions!$C$36*Assumptions!$C$23,0)+IF(C49,Assumptions!$C$35*Assumptions!$C$22,0)</f>
        <v>0</v>
      </c>
      <c r="D50" s="11">
        <f>IF(D43,Assumptions!$C$7,0)+IF(D44,Assumptions!$C$41*Assumptions!$C$28,0)+IF(D45,Assumptions!$C$40*Assumptions!$C$27,0)+IF(D46,Assumptions!$C$38*Assumptions!$C$25,0)+IF(D47,Assumptions!$C$37*Assumptions!$C$24,0)+IF(D48,Assumptions!$C$36*Assumptions!$C$23,0)+IF(D49,Assumptions!$C$35*Assumptions!$C$22,0)</f>
        <v>489996822.315437</v>
      </c>
      <c r="E50" s="11">
        <f>IF(E43,Assumptions!$C$7,0)+IF(E44,Assumptions!$C$41*Assumptions!$C$28,0)+IF(E45,Assumptions!$C$40*Assumptions!$C$27,0)+IF(E46,Assumptions!$C$38*Assumptions!$C$25,0)+IF(E47,Assumptions!$C$37*Assumptions!$C$24,0)+IF(E48,Assumptions!$C$36*Assumptions!$C$23,0)+IF(E49,Assumptions!$C$35*Assumptions!$C$22,0)</f>
        <v>519996822.315437</v>
      </c>
      <c r="F50" s="11">
        <f>IF(F43,Assumptions!$C$7,0)+IF(F44,Assumptions!$C$41*Assumptions!$C$28,0)+IF(F45,Assumptions!$C$40*Assumptions!$C$27,0)+IF(F46,Assumptions!$C$38*Assumptions!$C$25,0)+IF(F47,Assumptions!$C$37*Assumptions!$C$24,0)+IF(F48,Assumptions!$C$36*Assumptions!$C$23,0)+IF(F49,Assumptions!$C$35*Assumptions!$C$22,0)</f>
        <v>519996822.315437</v>
      </c>
      <c r="G50" s="11">
        <f>IF(G43,Assumptions!$C$7,0)+IF(G44,Assumptions!$C$41*Assumptions!$C$28,0)+IF(G45,Assumptions!$C$40*Assumptions!$C$27,0)+IF(G46,Assumptions!$C$38*Assumptions!$C$25,0)+IF(G47,Assumptions!$C$37*Assumptions!$C$24,0)+IF(G48,Assumptions!$C$36*Assumptions!$C$23,0)+IF(G49,Assumptions!$C$35*Assumptions!$C$22,0)</f>
        <v>519996822.315437</v>
      </c>
      <c r="H50" s="11">
        <f>IF(H43,Assumptions!$C$7,0)+IF(H44,Assumptions!$C$41*Assumptions!$C$28,0)+IF(H45,Assumptions!$C$40*Assumptions!$C$27,0)+IF(H46,Assumptions!$C$38*Assumptions!$C$25,0)+IF(H47,Assumptions!$C$37*Assumptions!$C$24,0)+IF(H48,Assumptions!$C$36*Assumptions!$C$23,0)+IF(H49,Assumptions!$C$35*Assumptions!$C$22,0)</f>
        <v>519996822.315437</v>
      </c>
    </row>
    <row r="51" spans="2:8" x14ac:dyDescent="0.25">
      <c r="B51" s="5" t="s">
        <v>198</v>
      </c>
      <c r="C51" s="14">
        <f>IF(C43,0,'Pro-Forma'!$C$29)+IF(C44,0,'Pro-Forma'!$G$45)+IF(C45,0,'Pro-Forma'!$G$44)+IF(C46,0,'Pro-Forma'!$G$43)+IF(C47,0,'Pro-Forma'!$G$42)+IF(C48,0,'Pro-Forma'!$G$41)+IF(C49,0,'Pro-Forma'!$G$40)+('Pro-Forma'!$D$62+'Pro-Forma'!$D$63+'Pro-Forma'!$D$64+'Pro-Forma'!$D$65+'Pro-Forma'!$D$74+'Pro-Forma'!$G$49+'Pro-Forma'!$G$50+'Pro-Forma'!$D$76)</f>
        <v>35854101.78085176</v>
      </c>
      <c r="D51" s="14">
        <f>IF(D43,0,'Pro-Forma'!$C$29)+IF(D44,0,'Pro-Forma'!$G$45)+IF(D45,0,'Pro-Forma'!$G$44)+IF(D46,0,'Pro-Forma'!$G$43)+IF(D47,0,'Pro-Forma'!$G$42)+IF(D48,0,'Pro-Forma'!$G$41)+IF(D49,0,'Pro-Forma'!$G$40)+('Pro-Forma'!$D$62+'Pro-Forma'!$D$63+'Pro-Forma'!$D$64+'Pro-Forma'!$D$65+'Pro-Forma'!$D$74+'Pro-Forma'!$G$49+'Pro-Forma'!$G$50+'Pro-Forma'!$D$76)</f>
        <v>24781357.998600062</v>
      </c>
      <c r="E51" s="14">
        <f>IF(E43,0,'Pro-Forma'!$C$29)+IF(E44,0,'Pro-Forma'!$G$45)+IF(E45,0,'Pro-Forma'!$G$44)+IF(E46,0,'Pro-Forma'!$G$43)+IF(E47,0,'Pro-Forma'!$G$42)+IF(E48,0,'Pro-Forma'!$G$41)+IF(E49,0,'Pro-Forma'!$G$40)+('Pro-Forma'!$D$62+'Pro-Forma'!$D$63+'Pro-Forma'!$D$64+'Pro-Forma'!$D$65+'Pro-Forma'!$D$74+'Pro-Forma'!$G$49+'Pro-Forma'!$G$50+'Pro-Forma'!$D$76)</f>
        <v>21781357.998600062</v>
      </c>
      <c r="F51" s="14">
        <f>IF(F43,0,'Pro-Forma'!$C$29)+IF(F44,0,'Pro-Forma'!$G$45)+IF(F45,0,'Pro-Forma'!$G$44)+IF(F46,0,'Pro-Forma'!$G$43)+IF(F47,0,'Pro-Forma'!$G$42)+IF(F48,0,'Pro-Forma'!$G$41)+IF(F49,0,'Pro-Forma'!$G$40)+('Pro-Forma'!$D$62+'Pro-Forma'!$D$63+'Pro-Forma'!$D$64+'Pro-Forma'!$D$65+'Pro-Forma'!$D$74+'Pro-Forma'!$G$49+'Pro-Forma'!$G$50+'Pro-Forma'!$D$76)</f>
        <v>21781357.998600062</v>
      </c>
      <c r="G51" s="14">
        <f>IF(G43,0,'Pro-Forma'!$C$29)+IF(G44,0,'Pro-Forma'!$G$45)+IF(G45,0,'Pro-Forma'!$G$44)+IF(G46,0,'Pro-Forma'!$G$43)+IF(G47,0,'Pro-Forma'!$G$42)+IF(G48,0,'Pro-Forma'!$G$41)+IF(G49,0,'Pro-Forma'!$G$40)+('Pro-Forma'!$D$62+'Pro-Forma'!$D$63+'Pro-Forma'!$D$64+'Pro-Forma'!$D$65+'Pro-Forma'!$D$74+'Pro-Forma'!$G$49+'Pro-Forma'!$G$50+'Pro-Forma'!$D$76)</f>
        <v>21781357.998600062</v>
      </c>
      <c r="H51" s="14">
        <f>IF(H43,0,'Pro-Forma'!$C$29)+IF(H44,0,'Pro-Forma'!$G$45)+IF(H45,0,'Pro-Forma'!$G$44)+IF(H46,0,'Pro-Forma'!$G$43)+IF(H47,0,'Pro-Forma'!$G$42)+IF(H48,0,'Pro-Forma'!$G$41)+IF(H49,0,'Pro-Forma'!$G$40)+('Pro-Forma'!$D$62+'Pro-Forma'!$D$63+'Pro-Forma'!$D$64+'Pro-Forma'!$D$65+'Pro-Forma'!$D$74+'Pro-Forma'!$G$49+'Pro-Forma'!$G$50+'Pro-Forma'!$D$76)</f>
        <v>21781357.998600062</v>
      </c>
    </row>
    <row r="52" spans="2:8" x14ac:dyDescent="0.25">
      <c r="B52" s="5" t="s">
        <v>199</v>
      </c>
      <c r="C52" s="11">
        <f>C42-C50</f>
        <v>702500000</v>
      </c>
      <c r="D52" s="11">
        <f>D42-D50</f>
        <v>212503177.684563</v>
      </c>
      <c r="E52" s="11">
        <f>E42-E50</f>
        <v>182503177.684563</v>
      </c>
      <c r="F52" s="11">
        <f>F42-F50</f>
        <v>182503177.684563</v>
      </c>
      <c r="G52" s="11">
        <f>G42-G50</f>
        <v>182503177.684563</v>
      </c>
      <c r="H52" s="11">
        <f>H42-H50</f>
        <v>182503177.684563</v>
      </c>
    </row>
    <row r="53" spans="2:8" x14ac:dyDescent="0.25">
      <c r="B53" s="9" t="s">
        <v>200</v>
      </c>
      <c r="C53" s="11">
        <f>C52/C51</f>
        <v>19.593295190989195</v>
      </c>
      <c r="D53" s="11">
        <f>D52/D51</f>
        <v>8.57512238419572</v>
      </c>
      <c r="E53" s="11">
        <f>E52/E51</f>
        <v>8.37887048623382</v>
      </c>
      <c r="F53" s="11">
        <f>F52/F51</f>
        <v>8.37887048623382</v>
      </c>
      <c r="G53" s="11">
        <f>G52/G51</f>
        <v>8.37887048623382</v>
      </c>
      <c r="H53" s="11">
        <f>H52/H51</f>
        <v>8.37887048623382</v>
      </c>
    </row>
    <row r="54" spans="2:8" x14ac:dyDescent="0.25">
      <c r="B54" s="15" t="s">
        <v>201</v>
      </c>
      <c r="C54" s="11">
        <f>'Pro-Forma'!$C$29*C53</f>
        <v>15758783.747830404</v>
      </c>
      <c r="D54" s="11">
        <f>'Pro-Forma'!$C$29*D53</f>
        <v>6896925.603706878</v>
      </c>
      <c r="E54" s="11">
        <f>'Pro-Forma'!$C$29*E53</f>
        <v>6739081.239604959</v>
      </c>
      <c r="F54" s="11">
        <f>'Pro-Forma'!$C$29*F53</f>
        <v>6739081.239604959</v>
      </c>
      <c r="G54" s="11">
        <f>'Pro-Forma'!$C$29*G53</f>
        <v>6739081.239604959</v>
      </c>
      <c r="H54" s="11">
        <f>'Pro-Forma'!$C$29*H53</f>
        <v>6739081.239604959</v>
      </c>
    </row>
    <row r="55" spans="2:8" x14ac:dyDescent="0.25">
      <c r="B55" s="15" t="s">
        <v>202</v>
      </c>
      <c r="C55" s="11">
        <f>'Pro-Forma'!$G$45*C53</f>
        <v>120194523.19515324</v>
      </c>
      <c r="D55" s="11">
        <f>'Pro-Forma'!$G$45*D53</f>
        <v>52603849.2383095</v>
      </c>
      <c r="E55" s="11">
        <f>'Pro-Forma'!$G$45*E53</f>
        <v>51399947.4406924</v>
      </c>
      <c r="F55" s="11">
        <f>'Pro-Forma'!$G$45*F53</f>
        <v>51399947.4406924</v>
      </c>
      <c r="G55" s="11">
        <f>'Pro-Forma'!$G$45*G53</f>
        <v>51399947.4406924</v>
      </c>
      <c r="H55" s="11">
        <f>'Pro-Forma'!$G$45*H53</f>
        <v>51399947.4406924</v>
      </c>
    </row>
    <row r="56" spans="2:8" x14ac:dyDescent="0.25">
      <c r="B56" s="15" t="s">
        <v>203</v>
      </c>
      <c r="C56" s="11">
        <f>'Pro-Forma'!$G$44*C53</f>
        <v>33974322.098489985</v>
      </c>
      <c r="D56" s="11">
        <f>'Pro-Forma'!$G$44*D53</f>
        <v>14869064.497564403</v>
      </c>
      <c r="E56" s="11">
        <f>'Pro-Forma'!$G$44*E53</f>
        <v>14528768.231479261</v>
      </c>
      <c r="F56" s="11">
        <f>'Pro-Forma'!$G$44*F53</f>
        <v>14528768.231479261</v>
      </c>
      <c r="G56" s="11">
        <f>'Pro-Forma'!$G$44*G53</f>
        <v>14528768.231479261</v>
      </c>
      <c r="H56" s="11">
        <f>'Pro-Forma'!$G$44*H53</f>
        <v>14528768.231479261</v>
      </c>
    </row>
    <row r="57" spans="2:8" x14ac:dyDescent="0.25">
      <c r="B57" s="15" t="s">
        <v>204</v>
      </c>
      <c r="C57" s="11">
        <f>'Pro-Forma'!$G$43*C53</f>
        <v>47023908.45837407</v>
      </c>
      <c r="D57" s="11">
        <f>'Pro-Forma'!$G$43*D53</f>
        <v>20580293.72206973</v>
      </c>
      <c r="E57" s="11">
        <f>'Pro-Forma'!$G$43*E53</f>
        <v>20109289.166961167</v>
      </c>
      <c r="F57" s="11">
        <f>'Pro-Forma'!$G$43*F53</f>
        <v>20109289.166961167</v>
      </c>
      <c r="G57" s="11">
        <f>'Pro-Forma'!$G$43*G53</f>
        <v>20109289.166961167</v>
      </c>
      <c r="H57" s="11">
        <f>'Pro-Forma'!$G$43*H53</f>
        <v>20109289.166961167</v>
      </c>
    </row>
    <row r="58" spans="2:8" x14ac:dyDescent="0.25">
      <c r="B58" s="15" t="s">
        <v>205</v>
      </c>
      <c r="C58" s="11">
        <f>'Pro-Forma'!$G$42*C53</f>
        <v>58779885.57296758</v>
      </c>
      <c r="D58" s="11">
        <f>'Pro-Forma'!$G$42*D53</f>
        <v>25725367.15258716</v>
      </c>
      <c r="E58" s="11">
        <f>'Pro-Forma'!$G$42*E53</f>
        <v>25136611.45870146</v>
      </c>
      <c r="F58" s="11">
        <f>'Pro-Forma'!$G$42*F53</f>
        <v>25136611.45870146</v>
      </c>
      <c r="G58" s="11">
        <f>'Pro-Forma'!$G$42*G53</f>
        <v>25136611.45870146</v>
      </c>
      <c r="H58" s="11">
        <f>'Pro-Forma'!$G$42*H53</f>
        <v>25136611.45870146</v>
      </c>
    </row>
    <row r="59" spans="2:8" x14ac:dyDescent="0.25">
      <c r="B59" s="15" t="s">
        <v>206</v>
      </c>
      <c r="C59" s="11">
        <f>'Pro-Forma'!$G$41*C53</f>
        <v>97966475.95494598</v>
      </c>
      <c r="D59" s="11">
        <f>'Pro-Forma'!$G$41*D53</f>
        <v>42875611.9209786</v>
      </c>
      <c r="E59" s="11">
        <f>'Pro-Forma'!$G$41*E53</f>
        <v>41894352.4311691</v>
      </c>
      <c r="F59" s="11">
        <f>'Pro-Forma'!$G$41*F53</f>
        <v>41894352.4311691</v>
      </c>
      <c r="G59" s="11">
        <f>'Pro-Forma'!$G$41*G53</f>
        <v>41894352.4311691</v>
      </c>
      <c r="H59" s="11">
        <f>'Pro-Forma'!$G$41*H53</f>
        <v>41894352.4311691</v>
      </c>
    </row>
    <row r="60" spans="2:8" x14ac:dyDescent="0.25">
      <c r="B60" s="15" t="s">
        <v>207</v>
      </c>
      <c r="C60" s="11">
        <f>'Pro-Forma'!$G$40*C53</f>
        <v>97966475.95494598</v>
      </c>
      <c r="D60" s="11">
        <f>'Pro-Forma'!$G$40*D53</f>
        <v>42875611.9209786</v>
      </c>
      <c r="E60" s="11">
        <f>'Pro-Forma'!$G$40*E53</f>
        <v>41894352.4311691</v>
      </c>
      <c r="F60" s="11">
        <f>'Pro-Forma'!$G$40*F53</f>
        <v>41894352.4311691</v>
      </c>
      <c r="G60" s="11">
        <f>'Pro-Forma'!$G$40*G53</f>
        <v>41894352.4311691</v>
      </c>
      <c r="H60" s="11">
        <f>'Pro-Forma'!$G$40*H53</f>
        <v>41894352.4311691</v>
      </c>
    </row>
    <row r="62" spans="2:8" x14ac:dyDescent="0.25">
      <c r="B62" s="3" t="s">
        <v>208</v>
      </c>
      <c r="C62" s="4"/>
      <c r="D62" s="4"/>
      <c r="E62" s="4"/>
      <c r="F62" s="4"/>
      <c r="G62" s="4"/>
      <c r="H62" s="4"/>
    </row>
    <row r="63" spans="2:8" x14ac:dyDescent="0.25">
      <c r="B63" s="12" t="s">
        <v>62</v>
      </c>
      <c r="C63" s="13" t="s">
        <v>63</v>
      </c>
      <c r="D63" s="13" t="s">
        <v>64</v>
      </c>
      <c r="E63" s="13" t="s">
        <v>65</v>
      </c>
      <c r="F63" s="13" t="s">
        <v>66</v>
      </c>
      <c r="G63" s="13" t="s">
        <v>67</v>
      </c>
      <c r="H63" s="13" t="s">
        <v>68</v>
      </c>
    </row>
    <row r="64" spans="2:8" x14ac:dyDescent="0.25">
      <c r="B64" s="5" t="s">
        <v>189</v>
      </c>
      <c r="C64" s="11">
        <f>D$8</f>
        <v>1202500000</v>
      </c>
      <c r="D64" s="11">
        <f>D$8</f>
        <v>1202500000</v>
      </c>
      <c r="E64" s="11">
        <f>D$8</f>
        <v>1202500000</v>
      </c>
      <c r="F64" s="11">
        <f>D$8</f>
        <v>1202500000</v>
      </c>
      <c r="G64" s="11">
        <f>D$8</f>
        <v>1202500000</v>
      </c>
      <c r="H64" s="11">
        <f>D$8</f>
        <v>1202500000</v>
      </c>
    </row>
    <row r="65" spans="2:8" x14ac:dyDescent="0.25">
      <c r="B65" s="15" t="s">
        <v>190</v>
      </c>
      <c r="C65" s="14" t="b">
        <v>0</v>
      </c>
      <c r="D65" s="14">
        <f>Assumptions!$C$7&gt;C76</f>
        <v>1</v>
      </c>
      <c r="E65" s="14">
        <f>Assumptions!$C$7&gt;D76</f>
        <v>1</v>
      </c>
      <c r="F65" s="14">
        <f>Assumptions!$C$7&gt;E76</f>
        <v>1</v>
      </c>
      <c r="G65" s="14">
        <f>Assumptions!$C$7&gt;F76</f>
        <v>1</v>
      </c>
      <c r="H65" s="14">
        <f>Assumptions!$C$7&gt;G76</f>
        <v>1</v>
      </c>
    </row>
    <row r="66" spans="2:8" x14ac:dyDescent="0.25">
      <c r="B66" s="15" t="s">
        <v>191</v>
      </c>
      <c r="C66" s="14" t="b">
        <v>0</v>
      </c>
      <c r="D66" s="14">
        <f>Assumptions!$C$41*Assumptions!$C$28&gt;C77</f>
        <v>1</v>
      </c>
      <c r="E66" s="14">
        <f>Assumptions!$C$41*Assumptions!$C$28&gt;D77</f>
        <v>1</v>
      </c>
      <c r="F66" s="14">
        <f>Assumptions!$C$41*Assumptions!$C$28&gt;E77</f>
        <v>1</v>
      </c>
      <c r="G66" s="14">
        <f>Assumptions!$C$41*Assumptions!$C$28&gt;F77</f>
        <v>1</v>
      </c>
      <c r="H66" s="14">
        <f>Assumptions!$C$41*Assumptions!$C$28&gt;G77</f>
        <v>1</v>
      </c>
    </row>
    <row r="67" spans="2:8" x14ac:dyDescent="0.25">
      <c r="B67" s="15" t="s">
        <v>192</v>
      </c>
      <c r="C67" s="14" t="b">
        <v>0</v>
      </c>
      <c r="D67" s="14">
        <f>Assumptions!$C$40*Assumptions!$C$27&gt;C78</f>
        <v>1</v>
      </c>
      <c r="E67" s="14">
        <f>Assumptions!$C$40*Assumptions!$C$27&gt;D78</f>
        <v>1</v>
      </c>
      <c r="F67" s="14">
        <f>Assumptions!$C$40*Assumptions!$C$27&gt;E78</f>
        <v>1</v>
      </c>
      <c r="G67" s="14">
        <f>Assumptions!$C$40*Assumptions!$C$27&gt;F78</f>
        <v>1</v>
      </c>
      <c r="H67" s="14">
        <f>Assumptions!$C$40*Assumptions!$C$27&gt;G78</f>
        <v>1</v>
      </c>
    </row>
    <row r="68" spans="2:8" x14ac:dyDescent="0.25">
      <c r="B68" s="15" t="s">
        <v>193</v>
      </c>
      <c r="C68" s="14" t="b">
        <v>0</v>
      </c>
      <c r="D68" s="14">
        <f>Assumptions!$C$38*Assumptions!$C$25&gt;C79</f>
        <v>0</v>
      </c>
      <c r="E68" s="14">
        <f>Assumptions!$C$38*Assumptions!$C$25&gt;D79</f>
        <v>0</v>
      </c>
      <c r="F68" s="14">
        <f>Assumptions!$C$38*Assumptions!$C$25&gt;E79</f>
        <v>0</v>
      </c>
      <c r="G68" s="14">
        <f>Assumptions!$C$38*Assumptions!$C$25&gt;F79</f>
        <v>0</v>
      </c>
      <c r="H68" s="14">
        <f>Assumptions!$C$38*Assumptions!$C$25&gt;G79</f>
        <v>0</v>
      </c>
    </row>
    <row r="69" spans="2:8" x14ac:dyDescent="0.25">
      <c r="B69" s="15" t="s">
        <v>194</v>
      </c>
      <c r="C69" s="14" t="b">
        <v>0</v>
      </c>
      <c r="D69" s="14">
        <f>Assumptions!$C$37*Assumptions!$C$24&gt;C80</f>
        <v>0</v>
      </c>
      <c r="E69" s="14">
        <f>Assumptions!$C$37*Assumptions!$C$24&gt;D80</f>
        <v>0</v>
      </c>
      <c r="F69" s="14">
        <f>Assumptions!$C$37*Assumptions!$C$24&gt;E80</f>
        <v>0</v>
      </c>
      <c r="G69" s="14">
        <f>Assumptions!$C$37*Assumptions!$C$24&gt;F80</f>
        <v>0</v>
      </c>
      <c r="H69" s="14">
        <f>Assumptions!$C$37*Assumptions!$C$24&gt;G80</f>
        <v>0</v>
      </c>
    </row>
    <row r="70" spans="2:8" x14ac:dyDescent="0.25">
      <c r="B70" s="15" t="s">
        <v>195</v>
      </c>
      <c r="C70" s="14" t="b">
        <v>0</v>
      </c>
      <c r="D70" s="14">
        <f>Assumptions!$C$36*Assumptions!$C$23&gt;C81</f>
        <v>0</v>
      </c>
      <c r="E70" s="14">
        <f>Assumptions!$C$36*Assumptions!$C$23&gt;D81</f>
        <v>0</v>
      </c>
      <c r="F70" s="14">
        <f>Assumptions!$C$36*Assumptions!$C$23&gt;E81</f>
        <v>0</v>
      </c>
      <c r="G70" s="14">
        <f>Assumptions!$C$36*Assumptions!$C$23&gt;F81</f>
        <v>0</v>
      </c>
      <c r="H70" s="14">
        <f>Assumptions!$C$36*Assumptions!$C$23&gt;G81</f>
        <v>0</v>
      </c>
    </row>
    <row r="71" spans="2:8" x14ac:dyDescent="0.25">
      <c r="B71" s="15" t="s">
        <v>196</v>
      </c>
      <c r="C71" s="14" t="b">
        <v>0</v>
      </c>
      <c r="D71" s="14">
        <f>Assumptions!$C$35*Assumptions!$C$22&gt;C82</f>
        <v>0</v>
      </c>
      <c r="E71" s="14">
        <f>Assumptions!$C$35*Assumptions!$C$22&gt;D82</f>
        <v>0</v>
      </c>
      <c r="F71" s="14">
        <f>Assumptions!$C$35*Assumptions!$C$22&gt;E82</f>
        <v>0</v>
      </c>
      <c r="G71" s="14">
        <f>Assumptions!$C$35*Assumptions!$C$22&gt;F82</f>
        <v>0</v>
      </c>
      <c r="H71" s="14">
        <f>Assumptions!$C$35*Assumptions!$C$22&gt;G82</f>
        <v>0</v>
      </c>
    </row>
    <row r="72" spans="2:8" x14ac:dyDescent="0.25">
      <c r="B72" s="5" t="s">
        <v>197</v>
      </c>
      <c r="C72" s="11">
        <f>IF(C65,Assumptions!$C$7,0)+IF(C66,Assumptions!$C$41*Assumptions!$C$28,0)+IF(C67,Assumptions!$C$40*Assumptions!$C$27,0)+IF(C68,Assumptions!$C$38*Assumptions!$C$25,0)+IF(C69,Assumptions!$C$37*Assumptions!$C$24,0)+IF(C70,Assumptions!$C$36*Assumptions!$C$23,0)+IF(C71,Assumptions!$C$35*Assumptions!$C$22,0)</f>
        <v>0</v>
      </c>
      <c r="D72" s="11">
        <f>IF(D65,Assumptions!$C$7,0)+IF(D66,Assumptions!$C$41*Assumptions!$C$28,0)+IF(D67,Assumptions!$C$40*Assumptions!$C$27,0)+IF(D68,Assumptions!$C$38*Assumptions!$C$25,0)+IF(D69,Assumptions!$C$37*Assumptions!$C$24,0)+IF(D70,Assumptions!$C$36*Assumptions!$C$23,0)+IF(D71,Assumptions!$C$35*Assumptions!$C$22,0)</f>
        <v>429996822.315437</v>
      </c>
      <c r="E72" s="11">
        <f>IF(E65,Assumptions!$C$7,0)+IF(E66,Assumptions!$C$41*Assumptions!$C$28,0)+IF(E67,Assumptions!$C$40*Assumptions!$C$27,0)+IF(E68,Assumptions!$C$38*Assumptions!$C$25,0)+IF(E69,Assumptions!$C$37*Assumptions!$C$24,0)+IF(E70,Assumptions!$C$36*Assumptions!$C$23,0)+IF(E71,Assumptions!$C$35*Assumptions!$C$22,0)</f>
        <v>429996822.315437</v>
      </c>
      <c r="F72" s="11">
        <f>IF(F65,Assumptions!$C$7,0)+IF(F66,Assumptions!$C$41*Assumptions!$C$28,0)+IF(F67,Assumptions!$C$40*Assumptions!$C$27,0)+IF(F68,Assumptions!$C$38*Assumptions!$C$25,0)+IF(F69,Assumptions!$C$37*Assumptions!$C$24,0)+IF(F70,Assumptions!$C$36*Assumptions!$C$23,0)+IF(F71,Assumptions!$C$35*Assumptions!$C$22,0)</f>
        <v>429996822.315437</v>
      </c>
      <c r="G72" s="11">
        <f>IF(G65,Assumptions!$C$7,0)+IF(G66,Assumptions!$C$41*Assumptions!$C$28,0)+IF(G67,Assumptions!$C$40*Assumptions!$C$27,0)+IF(G68,Assumptions!$C$38*Assumptions!$C$25,0)+IF(G69,Assumptions!$C$37*Assumptions!$C$24,0)+IF(G70,Assumptions!$C$36*Assumptions!$C$23,0)+IF(G71,Assumptions!$C$35*Assumptions!$C$22,0)</f>
        <v>429996822.315437</v>
      </c>
      <c r="H72" s="11">
        <f>IF(H65,Assumptions!$C$7,0)+IF(H66,Assumptions!$C$41*Assumptions!$C$28,0)+IF(H67,Assumptions!$C$40*Assumptions!$C$27,0)+IF(H68,Assumptions!$C$38*Assumptions!$C$25,0)+IF(H69,Assumptions!$C$37*Assumptions!$C$24,0)+IF(H70,Assumptions!$C$36*Assumptions!$C$23,0)+IF(H71,Assumptions!$C$35*Assumptions!$C$22,0)</f>
        <v>429996822.315437</v>
      </c>
    </row>
    <row r="73" spans="2:8" x14ac:dyDescent="0.25">
      <c r="B73" s="5" t="s">
        <v>198</v>
      </c>
      <c r="C73" s="14">
        <f>IF(C65,0,'Pro-Forma'!$C$29)+IF(C66,0,'Pro-Forma'!$G$45)+IF(C67,0,'Pro-Forma'!$G$44)+IF(C68,0,'Pro-Forma'!$G$43)+IF(C69,0,'Pro-Forma'!$G$42)+IF(C70,0,'Pro-Forma'!$G$41)+IF(C71,0,'Pro-Forma'!$G$40)+('Pro-Forma'!$D$62+'Pro-Forma'!$D$63+'Pro-Forma'!$D$64+'Pro-Forma'!$D$65+'Pro-Forma'!$D$74+'Pro-Forma'!$G$49+'Pro-Forma'!$G$50+'Pro-Forma'!$D$76)</f>
        <v>35854101.78085176</v>
      </c>
      <c r="D73" s="14">
        <f>IF(D65,0,'Pro-Forma'!$C$29)+IF(D66,0,'Pro-Forma'!$G$45)+IF(D67,0,'Pro-Forma'!$G$44)+IF(D68,0,'Pro-Forma'!$G$43)+IF(D69,0,'Pro-Forma'!$G$42)+IF(D70,0,'Pro-Forma'!$G$41)+IF(D71,0,'Pro-Forma'!$G$40)+('Pro-Forma'!$D$62+'Pro-Forma'!$D$63+'Pro-Forma'!$D$64+'Pro-Forma'!$D$65+'Pro-Forma'!$D$74+'Pro-Forma'!$G$49+'Pro-Forma'!$G$50+'Pro-Forma'!$D$76)</f>
        <v>27181357.998600062</v>
      </c>
      <c r="E73" s="14">
        <f>IF(E65,0,'Pro-Forma'!$C$29)+IF(E66,0,'Pro-Forma'!$G$45)+IF(E67,0,'Pro-Forma'!$G$44)+IF(E68,0,'Pro-Forma'!$G$43)+IF(E69,0,'Pro-Forma'!$G$42)+IF(E70,0,'Pro-Forma'!$G$41)+IF(E71,0,'Pro-Forma'!$G$40)+('Pro-Forma'!$D$62+'Pro-Forma'!$D$63+'Pro-Forma'!$D$64+'Pro-Forma'!$D$65+'Pro-Forma'!$D$74+'Pro-Forma'!$G$49+'Pro-Forma'!$G$50+'Pro-Forma'!$D$76)</f>
        <v>27181357.998600062</v>
      </c>
      <c r="F73" s="14">
        <f>IF(F65,0,'Pro-Forma'!$C$29)+IF(F66,0,'Pro-Forma'!$G$45)+IF(F67,0,'Pro-Forma'!$G$44)+IF(F68,0,'Pro-Forma'!$G$43)+IF(F69,0,'Pro-Forma'!$G$42)+IF(F70,0,'Pro-Forma'!$G$41)+IF(F71,0,'Pro-Forma'!$G$40)+('Pro-Forma'!$D$62+'Pro-Forma'!$D$63+'Pro-Forma'!$D$64+'Pro-Forma'!$D$65+'Pro-Forma'!$D$74+'Pro-Forma'!$G$49+'Pro-Forma'!$G$50+'Pro-Forma'!$D$76)</f>
        <v>27181357.998600062</v>
      </c>
      <c r="G73" s="14">
        <f>IF(G65,0,'Pro-Forma'!$C$29)+IF(G66,0,'Pro-Forma'!$G$45)+IF(G67,0,'Pro-Forma'!$G$44)+IF(G68,0,'Pro-Forma'!$G$43)+IF(G69,0,'Pro-Forma'!$G$42)+IF(G70,0,'Pro-Forma'!$G$41)+IF(G71,0,'Pro-Forma'!$G$40)+('Pro-Forma'!$D$62+'Pro-Forma'!$D$63+'Pro-Forma'!$D$64+'Pro-Forma'!$D$65+'Pro-Forma'!$D$74+'Pro-Forma'!$G$49+'Pro-Forma'!$G$50+'Pro-Forma'!$D$76)</f>
        <v>27181357.998600062</v>
      </c>
      <c r="H73" s="14">
        <f>IF(H65,0,'Pro-Forma'!$C$29)+IF(H66,0,'Pro-Forma'!$G$45)+IF(H67,0,'Pro-Forma'!$G$44)+IF(H68,0,'Pro-Forma'!$G$43)+IF(H69,0,'Pro-Forma'!$G$42)+IF(H70,0,'Pro-Forma'!$G$41)+IF(H71,0,'Pro-Forma'!$G$40)+('Pro-Forma'!$D$62+'Pro-Forma'!$D$63+'Pro-Forma'!$D$64+'Pro-Forma'!$D$65+'Pro-Forma'!$D$74+'Pro-Forma'!$G$49+'Pro-Forma'!$G$50+'Pro-Forma'!$D$76)</f>
        <v>27181357.998600062</v>
      </c>
    </row>
    <row r="74" spans="2:8" x14ac:dyDescent="0.25">
      <c r="B74" s="5" t="s">
        <v>199</v>
      </c>
      <c r="C74" s="11">
        <f>C64-C72</f>
        <v>1202500000</v>
      </c>
      <c r="D74" s="11">
        <f>D64-D72</f>
        <v>772503177.684563</v>
      </c>
      <c r="E74" s="11">
        <f>E64-E72</f>
        <v>772503177.684563</v>
      </c>
      <c r="F74" s="11">
        <f>F64-F72</f>
        <v>772503177.684563</v>
      </c>
      <c r="G74" s="11">
        <f>G64-G72</f>
        <v>772503177.684563</v>
      </c>
      <c r="H74" s="11">
        <f>H64-H72</f>
        <v>772503177.684563</v>
      </c>
    </row>
    <row r="75" spans="2:8" x14ac:dyDescent="0.25">
      <c r="B75" s="9" t="s">
        <v>200</v>
      </c>
      <c r="C75" s="11">
        <f>C74/C73</f>
        <v>33.53870102087475</v>
      </c>
      <c r="D75" s="11">
        <f>D74/D73</f>
        <v>28.42033049726028</v>
      </c>
      <c r="E75" s="11">
        <f>E74/E73</f>
        <v>28.42033049726028</v>
      </c>
      <c r="F75" s="11">
        <f>F74/F73</f>
        <v>28.42033049726028</v>
      </c>
      <c r="G75" s="11">
        <f>G74/G73</f>
        <v>28.42033049726028</v>
      </c>
      <c r="H75" s="11">
        <f>H74/H73</f>
        <v>28.42033049726028</v>
      </c>
    </row>
    <row r="76" spans="2:8" x14ac:dyDescent="0.25">
      <c r="B76" s="15" t="s">
        <v>201</v>
      </c>
      <c r="C76" s="11">
        <f>'Pro-Forma'!$C$29*C75</f>
        <v>26974999.93845703</v>
      </c>
      <c r="D76" s="11">
        <f>'Pro-Forma'!$C$29*D75</f>
        <v>22858321.58309777</v>
      </c>
      <c r="E76" s="11">
        <f>'Pro-Forma'!$C$29*E75</f>
        <v>22858321.58309777</v>
      </c>
      <c r="F76" s="11">
        <f>'Pro-Forma'!$C$29*F75</f>
        <v>22858321.58309777</v>
      </c>
      <c r="G76" s="11">
        <f>'Pro-Forma'!$C$29*G75</f>
        <v>22858321.58309777</v>
      </c>
      <c r="H76" s="11">
        <f>'Pro-Forma'!$C$29*H75</f>
        <v>22858321.58309777</v>
      </c>
    </row>
    <row r="77" spans="2:8" x14ac:dyDescent="0.25">
      <c r="B77" s="15" t="s">
        <v>202</v>
      </c>
      <c r="C77" s="11">
        <f>'Pro-Forma'!$G$45*C75</f>
        <v>205742226.53689936</v>
      </c>
      <c r="D77" s="11">
        <f>'Pro-Forma'!$G$45*D75</f>
        <v>174343725.2319788</v>
      </c>
      <c r="E77" s="11">
        <f>'Pro-Forma'!$G$45*E75</f>
        <v>174343725.2319788</v>
      </c>
      <c r="F77" s="11">
        <f>'Pro-Forma'!$G$45*F75</f>
        <v>174343725.2319788</v>
      </c>
      <c r="G77" s="11">
        <f>'Pro-Forma'!$G$45*G75</f>
        <v>174343725.2319788</v>
      </c>
      <c r="H77" s="11">
        <f>'Pro-Forma'!$G$45*H75</f>
        <v>174343725.2319788</v>
      </c>
    </row>
    <row r="78" spans="2:8" x14ac:dyDescent="0.25">
      <c r="B78" s="15" t="s">
        <v>203</v>
      </c>
      <c r="C78" s="11">
        <f>'Pro-Forma'!$G$44*C75</f>
        <v>58155334.26823376</v>
      </c>
      <c r="D78" s="11">
        <f>'Pro-Forma'!$G$44*D75</f>
        <v>49280197.794575825</v>
      </c>
      <c r="E78" s="11">
        <f>'Pro-Forma'!$G$44*E75</f>
        <v>49280197.794575825</v>
      </c>
      <c r="F78" s="11">
        <f>'Pro-Forma'!$G$44*F75</f>
        <v>49280197.794575825</v>
      </c>
      <c r="G78" s="11">
        <f>'Pro-Forma'!$G$44*G75</f>
        <v>49280197.794575825</v>
      </c>
      <c r="H78" s="11">
        <f>'Pro-Forma'!$G$44*H75</f>
        <v>49280197.794575825</v>
      </c>
    </row>
    <row r="79" spans="2:8" x14ac:dyDescent="0.25">
      <c r="B79" s="15" t="s">
        <v>204</v>
      </c>
      <c r="C79" s="11">
        <f>'Pro-Forma'!$G$43*C75</f>
        <v>80492882.4500994</v>
      </c>
      <c r="D79" s="11">
        <f>'Pro-Forma'!$G$43*D75</f>
        <v>68208793.19342467</v>
      </c>
      <c r="E79" s="11">
        <f>'Pro-Forma'!$G$43*E75</f>
        <v>68208793.19342467</v>
      </c>
      <c r="F79" s="11">
        <f>'Pro-Forma'!$G$43*F75</f>
        <v>68208793.19342467</v>
      </c>
      <c r="G79" s="11">
        <f>'Pro-Forma'!$G$43*G75</f>
        <v>68208793.19342467</v>
      </c>
      <c r="H79" s="11">
        <f>'Pro-Forma'!$G$43*H75</f>
        <v>68208793.19342467</v>
      </c>
    </row>
    <row r="80" spans="2:8" x14ac:dyDescent="0.25">
      <c r="B80" s="15" t="s">
        <v>205</v>
      </c>
      <c r="C80" s="11">
        <f>'Pro-Forma'!$G$42*C75</f>
        <v>100616103.06262425</v>
      </c>
      <c r="D80" s="11">
        <f>'Pro-Forma'!$G$42*D75</f>
        <v>85260991.49178085</v>
      </c>
      <c r="E80" s="11">
        <f>'Pro-Forma'!$G$42*E75</f>
        <v>85260991.49178085</v>
      </c>
      <c r="F80" s="11">
        <f>'Pro-Forma'!$G$42*F75</f>
        <v>85260991.49178085</v>
      </c>
      <c r="G80" s="11">
        <f>'Pro-Forma'!$G$42*G75</f>
        <v>85260991.49178085</v>
      </c>
      <c r="H80" s="11">
        <f>'Pro-Forma'!$G$42*H75</f>
        <v>85260991.49178085</v>
      </c>
    </row>
    <row r="81" spans="2:8" x14ac:dyDescent="0.25">
      <c r="B81" s="15" t="s">
        <v>206</v>
      </c>
      <c r="C81" s="11">
        <f>'Pro-Forma'!$G$41*C75</f>
        <v>167693505.10437375</v>
      </c>
      <c r="D81" s="11">
        <f>'Pro-Forma'!$G$41*D75</f>
        <v>142101652.4863014</v>
      </c>
      <c r="E81" s="11">
        <f>'Pro-Forma'!$G$41*E75</f>
        <v>142101652.4863014</v>
      </c>
      <c r="F81" s="11">
        <f>'Pro-Forma'!$G$41*F75</f>
        <v>142101652.4863014</v>
      </c>
      <c r="G81" s="11">
        <f>'Pro-Forma'!$G$41*G75</f>
        <v>142101652.4863014</v>
      </c>
      <c r="H81" s="11">
        <f>'Pro-Forma'!$G$41*H75</f>
        <v>142101652.4863014</v>
      </c>
    </row>
    <row r="82" spans="2:8" x14ac:dyDescent="0.25">
      <c r="B82" s="15" t="s">
        <v>207</v>
      </c>
      <c r="C82" s="11">
        <f>'Pro-Forma'!$G$40*C75</f>
        <v>167693505.10437375</v>
      </c>
      <c r="D82" s="11">
        <f>'Pro-Forma'!$G$40*D75</f>
        <v>142101652.4863014</v>
      </c>
      <c r="E82" s="11">
        <f>'Pro-Forma'!$G$40*E75</f>
        <v>142101652.4863014</v>
      </c>
      <c r="F82" s="11">
        <f>'Pro-Forma'!$G$40*F75</f>
        <v>142101652.4863014</v>
      </c>
      <c r="G82" s="11">
        <f>'Pro-Forma'!$G$40*G75</f>
        <v>142101652.4863014</v>
      </c>
      <c r="H82" s="11">
        <f>'Pro-Forma'!$G$40*H75</f>
        <v>142101652.4863014</v>
      </c>
    </row>
    <row r="84" spans="2:8" x14ac:dyDescent="0.25">
      <c r="B84" s="3" t="s">
        <v>209</v>
      </c>
      <c r="C84" s="4"/>
      <c r="D84" s="4"/>
      <c r="E84" s="4"/>
      <c r="F84" s="4"/>
      <c r="G84" s="4"/>
      <c r="H84" s="4"/>
    </row>
    <row r="85" spans="2:8" x14ac:dyDescent="0.25">
      <c r="B85" s="12" t="s">
        <v>62</v>
      </c>
      <c r="C85" s="13" t="s">
        <v>63</v>
      </c>
      <c r="D85" s="13" t="s">
        <v>64</v>
      </c>
      <c r="E85" s="13" t="s">
        <v>65</v>
      </c>
      <c r="F85" s="13" t="s">
        <v>66</v>
      </c>
      <c r="G85" s="13" t="s">
        <v>67</v>
      </c>
      <c r="H85" s="13" t="s">
        <v>68</v>
      </c>
    </row>
    <row r="86" spans="2:8" x14ac:dyDescent="0.25">
      <c r="B86" s="5" t="s">
        <v>189</v>
      </c>
      <c r="C86" s="11">
        <f>E$8</f>
        <v>2002500000</v>
      </c>
      <c r="D86" s="11">
        <f>E$8</f>
        <v>2002500000</v>
      </c>
      <c r="E86" s="11">
        <f>E$8</f>
        <v>2002500000</v>
      </c>
      <c r="F86" s="11">
        <f>E$8</f>
        <v>2002500000</v>
      </c>
      <c r="G86" s="11">
        <f>E$8</f>
        <v>2002500000</v>
      </c>
      <c r="H86" s="11">
        <f>E$8</f>
        <v>2002500000</v>
      </c>
    </row>
    <row r="87" spans="2:8" x14ac:dyDescent="0.25">
      <c r="B87" s="15" t="s">
        <v>190</v>
      </c>
      <c r="C87" s="14" t="b">
        <v>0</v>
      </c>
      <c r="D87" s="14">
        <f>Assumptions!$C$7&gt;C98</f>
        <v>0</v>
      </c>
      <c r="E87" s="14">
        <f>Assumptions!$C$7&gt;D98</f>
        <v>0</v>
      </c>
      <c r="F87" s="14">
        <f>Assumptions!$C$7&gt;E98</f>
        <v>0</v>
      </c>
      <c r="G87" s="14">
        <f>Assumptions!$C$7&gt;F98</f>
        <v>0</v>
      </c>
      <c r="H87" s="14">
        <f>Assumptions!$C$7&gt;G98</f>
        <v>0</v>
      </c>
    </row>
    <row r="88" spans="2:8" x14ac:dyDescent="0.25">
      <c r="B88" s="15" t="s">
        <v>191</v>
      </c>
      <c r="C88" s="14" t="b">
        <v>0</v>
      </c>
      <c r="D88" s="14">
        <f>Assumptions!$C$41*Assumptions!$C$28&gt;C99</f>
        <v>0</v>
      </c>
      <c r="E88" s="14">
        <f>Assumptions!$C$41*Assumptions!$C$28&gt;D99</f>
        <v>0</v>
      </c>
      <c r="F88" s="14">
        <f>Assumptions!$C$41*Assumptions!$C$28&gt;E99</f>
        <v>0</v>
      </c>
      <c r="G88" s="14">
        <f>Assumptions!$C$41*Assumptions!$C$28&gt;F99</f>
        <v>0</v>
      </c>
      <c r="H88" s="14">
        <f>Assumptions!$C$41*Assumptions!$C$28&gt;G99</f>
        <v>0</v>
      </c>
    </row>
    <row r="89" spans="2:8" x14ac:dyDescent="0.25">
      <c r="B89" s="15" t="s">
        <v>192</v>
      </c>
      <c r="C89" s="14" t="b">
        <v>0</v>
      </c>
      <c r="D89" s="14">
        <f>Assumptions!$C$40*Assumptions!$C$27&gt;C100</f>
        <v>1</v>
      </c>
      <c r="E89" s="14">
        <f>Assumptions!$C$40*Assumptions!$C$27&gt;D100</f>
        <v>1</v>
      </c>
      <c r="F89" s="14">
        <f>Assumptions!$C$40*Assumptions!$C$27&gt;E100</f>
        <v>1</v>
      </c>
      <c r="G89" s="14">
        <f>Assumptions!$C$40*Assumptions!$C$27&gt;F100</f>
        <v>1</v>
      </c>
      <c r="H89" s="14">
        <f>Assumptions!$C$40*Assumptions!$C$27&gt;G100</f>
        <v>1</v>
      </c>
    </row>
    <row r="90" spans="2:8" x14ac:dyDescent="0.25">
      <c r="B90" s="15" t="s">
        <v>193</v>
      </c>
      <c r="C90" s="14" t="b">
        <v>0</v>
      </c>
      <c r="D90" s="14">
        <f>Assumptions!$C$38*Assumptions!$C$25&gt;C101</f>
        <v>0</v>
      </c>
      <c r="E90" s="14">
        <f>Assumptions!$C$38*Assumptions!$C$25&gt;D101</f>
        <v>0</v>
      </c>
      <c r="F90" s="14">
        <f>Assumptions!$C$38*Assumptions!$C$25&gt;E101</f>
        <v>0</v>
      </c>
      <c r="G90" s="14">
        <f>Assumptions!$C$38*Assumptions!$C$25&gt;F101</f>
        <v>0</v>
      </c>
      <c r="H90" s="14">
        <f>Assumptions!$C$38*Assumptions!$C$25&gt;G101</f>
        <v>0</v>
      </c>
    </row>
    <row r="91" spans="2:8" x14ac:dyDescent="0.25">
      <c r="B91" s="15" t="s">
        <v>194</v>
      </c>
      <c r="C91" s="14" t="b">
        <v>0</v>
      </c>
      <c r="D91" s="14">
        <f>Assumptions!$C$37*Assumptions!$C$24&gt;C102</f>
        <v>0</v>
      </c>
      <c r="E91" s="14">
        <f>Assumptions!$C$37*Assumptions!$C$24&gt;D102</f>
        <v>0</v>
      </c>
      <c r="F91" s="14">
        <f>Assumptions!$C$37*Assumptions!$C$24&gt;E102</f>
        <v>0</v>
      </c>
      <c r="G91" s="14">
        <f>Assumptions!$C$37*Assumptions!$C$24&gt;F102</f>
        <v>0</v>
      </c>
      <c r="H91" s="14">
        <f>Assumptions!$C$37*Assumptions!$C$24&gt;G102</f>
        <v>0</v>
      </c>
    </row>
    <row r="92" spans="2:8" x14ac:dyDescent="0.25">
      <c r="B92" s="15" t="s">
        <v>195</v>
      </c>
      <c r="C92" s="14" t="b">
        <v>0</v>
      </c>
      <c r="D92" s="14">
        <f>Assumptions!$C$36*Assumptions!$C$23&gt;C103</f>
        <v>0</v>
      </c>
      <c r="E92" s="14">
        <f>Assumptions!$C$36*Assumptions!$C$23&gt;D103</f>
        <v>0</v>
      </c>
      <c r="F92" s="14">
        <f>Assumptions!$C$36*Assumptions!$C$23&gt;E103</f>
        <v>0</v>
      </c>
      <c r="G92" s="14">
        <f>Assumptions!$C$36*Assumptions!$C$23&gt;F103</f>
        <v>0</v>
      </c>
      <c r="H92" s="14">
        <f>Assumptions!$C$36*Assumptions!$C$23&gt;G103</f>
        <v>0</v>
      </c>
    </row>
    <row r="93" spans="2:8" x14ac:dyDescent="0.25">
      <c r="B93" s="15" t="s">
        <v>196</v>
      </c>
      <c r="C93" s="14" t="b">
        <v>0</v>
      </c>
      <c r="D93" s="14">
        <f>Assumptions!$C$35*Assumptions!$C$22&gt;C104</f>
        <v>0</v>
      </c>
      <c r="E93" s="14">
        <f>Assumptions!$C$35*Assumptions!$C$22&gt;D104</f>
        <v>0</v>
      </c>
      <c r="F93" s="14">
        <f>Assumptions!$C$35*Assumptions!$C$22&gt;E104</f>
        <v>0</v>
      </c>
      <c r="G93" s="14">
        <f>Assumptions!$C$35*Assumptions!$C$22&gt;F104</f>
        <v>0</v>
      </c>
      <c r="H93" s="14">
        <f>Assumptions!$C$35*Assumptions!$C$22&gt;G104</f>
        <v>0</v>
      </c>
    </row>
    <row r="94" spans="2:8" x14ac:dyDescent="0.25">
      <c r="B94" s="5" t="s">
        <v>197</v>
      </c>
      <c r="C94" s="11">
        <f>IF(C87,Assumptions!$C$7,0)+IF(C88,Assumptions!$C$41*Assumptions!$C$28,0)+IF(C89,Assumptions!$C$40*Assumptions!$C$27,0)+IF(C90,Assumptions!$C$38*Assumptions!$C$25,0)+IF(C91,Assumptions!$C$37*Assumptions!$C$24,0)+IF(C92,Assumptions!$C$36*Assumptions!$C$23,0)+IF(C93,Assumptions!$C$35*Assumptions!$C$22,0)</f>
        <v>0</v>
      </c>
      <c r="D94" s="11">
        <f>IF(D87,Assumptions!$C$7,0)+IF(D88,Assumptions!$C$41*Assumptions!$C$28,0)+IF(D89,Assumptions!$C$40*Assumptions!$C$27,0)+IF(D90,Assumptions!$C$38*Assumptions!$C$25,0)+IF(D91,Assumptions!$C$37*Assumptions!$C$24,0)+IF(D92,Assumptions!$C$36*Assumptions!$C$23,0)+IF(D93,Assumptions!$C$35*Assumptions!$C$22,0)</f>
        <v>100000020</v>
      </c>
      <c r="E94" s="11">
        <f>IF(E87,Assumptions!$C$7,0)+IF(E88,Assumptions!$C$41*Assumptions!$C$28,0)+IF(E89,Assumptions!$C$40*Assumptions!$C$27,0)+IF(E90,Assumptions!$C$38*Assumptions!$C$25,0)+IF(E91,Assumptions!$C$37*Assumptions!$C$24,0)+IF(E92,Assumptions!$C$36*Assumptions!$C$23,0)+IF(E93,Assumptions!$C$35*Assumptions!$C$22,0)</f>
        <v>100000020</v>
      </c>
      <c r="F94" s="11">
        <f>IF(F87,Assumptions!$C$7,0)+IF(F88,Assumptions!$C$41*Assumptions!$C$28,0)+IF(F89,Assumptions!$C$40*Assumptions!$C$27,0)+IF(F90,Assumptions!$C$38*Assumptions!$C$25,0)+IF(F91,Assumptions!$C$37*Assumptions!$C$24,0)+IF(F92,Assumptions!$C$36*Assumptions!$C$23,0)+IF(F93,Assumptions!$C$35*Assumptions!$C$22,0)</f>
        <v>100000020</v>
      </c>
      <c r="G94" s="11">
        <f>IF(G87,Assumptions!$C$7,0)+IF(G88,Assumptions!$C$41*Assumptions!$C$28,0)+IF(G89,Assumptions!$C$40*Assumptions!$C$27,0)+IF(G90,Assumptions!$C$38*Assumptions!$C$25,0)+IF(G91,Assumptions!$C$37*Assumptions!$C$24,0)+IF(G92,Assumptions!$C$36*Assumptions!$C$23,0)+IF(G93,Assumptions!$C$35*Assumptions!$C$22,0)</f>
        <v>100000020</v>
      </c>
      <c r="H94" s="11">
        <f>IF(H87,Assumptions!$C$7,0)+IF(H88,Assumptions!$C$41*Assumptions!$C$28,0)+IF(H89,Assumptions!$C$40*Assumptions!$C$27,0)+IF(H90,Assumptions!$C$38*Assumptions!$C$25,0)+IF(H91,Assumptions!$C$37*Assumptions!$C$24,0)+IF(H92,Assumptions!$C$36*Assumptions!$C$23,0)+IF(H93,Assumptions!$C$35*Assumptions!$C$22,0)</f>
        <v>100000020</v>
      </c>
    </row>
    <row r="95" spans="2:8" x14ac:dyDescent="0.25">
      <c r="B95" s="5" t="s">
        <v>198</v>
      </c>
      <c r="C95" s="14">
        <f>IF(C87,0,'Pro-Forma'!$C$29)+IF(C88,0,'Pro-Forma'!$G$45)+IF(C89,0,'Pro-Forma'!$G$44)+IF(C90,0,'Pro-Forma'!$G$43)+IF(C91,0,'Pro-Forma'!$G$42)+IF(C92,0,'Pro-Forma'!$G$41)+IF(C93,0,'Pro-Forma'!$G$40)+('Pro-Forma'!$D$62+'Pro-Forma'!$D$63+'Pro-Forma'!$D$64+'Pro-Forma'!$D$65+'Pro-Forma'!$D$74+'Pro-Forma'!$G$49+'Pro-Forma'!$G$50+'Pro-Forma'!$D$76)</f>
        <v>35854101.78085176</v>
      </c>
      <c r="D95" s="14">
        <f>IF(D87,0,'Pro-Forma'!$C$29)+IF(D88,0,'Pro-Forma'!$G$45)+IF(D89,0,'Pro-Forma'!$G$44)+IF(D90,0,'Pro-Forma'!$G$43)+IF(D91,0,'Pro-Forma'!$G$42)+IF(D92,0,'Pro-Forma'!$G$41)+IF(D93,0,'Pro-Forma'!$G$40)+('Pro-Forma'!$D$62+'Pro-Forma'!$D$63+'Pro-Forma'!$D$64+'Pro-Forma'!$D$65+'Pro-Forma'!$D$74+'Pro-Forma'!$G$49+'Pro-Forma'!$G$50+'Pro-Forma'!$D$76)</f>
        <v>34120124.83785574</v>
      </c>
      <c r="E95" s="14">
        <f>IF(E87,0,'Pro-Forma'!$C$29)+IF(E88,0,'Pro-Forma'!$G$45)+IF(E89,0,'Pro-Forma'!$G$44)+IF(E90,0,'Pro-Forma'!$G$43)+IF(E91,0,'Pro-Forma'!$G$42)+IF(E92,0,'Pro-Forma'!$G$41)+IF(E93,0,'Pro-Forma'!$G$40)+('Pro-Forma'!$D$62+'Pro-Forma'!$D$63+'Pro-Forma'!$D$64+'Pro-Forma'!$D$65+'Pro-Forma'!$D$74+'Pro-Forma'!$G$49+'Pro-Forma'!$G$50+'Pro-Forma'!$D$76)</f>
        <v>34120124.83785574</v>
      </c>
      <c r="F95" s="14">
        <f>IF(F87,0,'Pro-Forma'!$C$29)+IF(F88,0,'Pro-Forma'!$G$45)+IF(F89,0,'Pro-Forma'!$G$44)+IF(F90,0,'Pro-Forma'!$G$43)+IF(F91,0,'Pro-Forma'!$G$42)+IF(F92,0,'Pro-Forma'!$G$41)+IF(F93,0,'Pro-Forma'!$G$40)+('Pro-Forma'!$D$62+'Pro-Forma'!$D$63+'Pro-Forma'!$D$64+'Pro-Forma'!$D$65+'Pro-Forma'!$D$74+'Pro-Forma'!$G$49+'Pro-Forma'!$G$50+'Pro-Forma'!$D$76)</f>
        <v>34120124.83785574</v>
      </c>
      <c r="G95" s="14">
        <f>IF(G87,0,'Pro-Forma'!$C$29)+IF(G88,0,'Pro-Forma'!$G$45)+IF(G89,0,'Pro-Forma'!$G$44)+IF(G90,0,'Pro-Forma'!$G$43)+IF(G91,0,'Pro-Forma'!$G$42)+IF(G92,0,'Pro-Forma'!$G$41)+IF(G93,0,'Pro-Forma'!$G$40)+('Pro-Forma'!$D$62+'Pro-Forma'!$D$63+'Pro-Forma'!$D$64+'Pro-Forma'!$D$65+'Pro-Forma'!$D$74+'Pro-Forma'!$G$49+'Pro-Forma'!$G$50+'Pro-Forma'!$D$76)</f>
        <v>34120124.83785574</v>
      </c>
      <c r="H95" s="14">
        <f>IF(H87,0,'Pro-Forma'!$C$29)+IF(H88,0,'Pro-Forma'!$G$45)+IF(H89,0,'Pro-Forma'!$G$44)+IF(H90,0,'Pro-Forma'!$G$43)+IF(H91,0,'Pro-Forma'!$G$42)+IF(H92,0,'Pro-Forma'!$G$41)+IF(H93,0,'Pro-Forma'!$G$40)+('Pro-Forma'!$D$62+'Pro-Forma'!$D$63+'Pro-Forma'!$D$64+'Pro-Forma'!$D$65+'Pro-Forma'!$D$74+'Pro-Forma'!$G$49+'Pro-Forma'!$G$50+'Pro-Forma'!$D$76)</f>
        <v>34120124.83785574</v>
      </c>
    </row>
    <row r="96" spans="2:8" x14ac:dyDescent="0.25">
      <c r="B96" s="5" t="s">
        <v>199</v>
      </c>
      <c r="C96" s="11">
        <f>C86-C94</f>
        <v>2002500000</v>
      </c>
      <c r="D96" s="11">
        <f>D86-D94</f>
        <v>1902499980</v>
      </c>
      <c r="E96" s="11">
        <f>E86-E94</f>
        <v>1902499980</v>
      </c>
      <c r="F96" s="11">
        <f>F86-F94</f>
        <v>1902499980</v>
      </c>
      <c r="G96" s="11">
        <f>G86-G94</f>
        <v>1902499980</v>
      </c>
      <c r="H96" s="11">
        <f>H86-H94</f>
        <v>1902499980</v>
      </c>
    </row>
    <row r="97" spans="2:8" x14ac:dyDescent="0.25">
      <c r="B97" s="9" t="s">
        <v>200</v>
      </c>
      <c r="C97" s="11">
        <f>C96/C95</f>
        <v>55.851350348691625</v>
      </c>
      <c r="D97" s="11">
        <f>D96/D95</f>
        <v>55.7588809841987</v>
      </c>
      <c r="E97" s="11">
        <f>E96/E95</f>
        <v>55.7588809841987</v>
      </c>
      <c r="F97" s="11">
        <f>F96/F95</f>
        <v>55.7588809841987</v>
      </c>
      <c r="G97" s="11">
        <f>G96/G95</f>
        <v>55.7588809841987</v>
      </c>
      <c r="H97" s="11">
        <f>H96/H95</f>
        <v>55.7588809841987</v>
      </c>
    </row>
    <row r="98" spans="2:8" x14ac:dyDescent="0.25">
      <c r="B98" s="15" t="s">
        <v>201</v>
      </c>
      <c r="C98" s="11">
        <f>'Pro-Forma'!$C$29*C97</f>
        <v>44920945.84345962</v>
      </c>
      <c r="D98" s="11">
        <f>'Pro-Forma'!$C$29*D97</f>
        <v>44846573.222410485</v>
      </c>
      <c r="E98" s="11">
        <f>'Pro-Forma'!$C$29*E97</f>
        <v>44846573.222410485</v>
      </c>
      <c r="F98" s="11">
        <f>'Pro-Forma'!$C$29*F97</f>
        <v>44846573.222410485</v>
      </c>
      <c r="G98" s="11">
        <f>'Pro-Forma'!$C$29*G97</f>
        <v>44846573.222410485</v>
      </c>
      <c r="H98" s="11">
        <f>'Pro-Forma'!$C$29*H97</f>
        <v>44846573.222410485</v>
      </c>
    </row>
    <row r="99" spans="2:8" x14ac:dyDescent="0.25">
      <c r="B99" s="15" t="s">
        <v>202</v>
      </c>
      <c r="C99" s="11">
        <f>'Pro-Forma'!$G$45*C97</f>
        <v>342618551.8836931</v>
      </c>
      <c r="D99" s="11">
        <f>'Pro-Forma'!$G$45*D97</f>
        <v>342051301.14475167</v>
      </c>
      <c r="E99" s="11">
        <f>'Pro-Forma'!$G$45*E97</f>
        <v>342051301.14475167</v>
      </c>
      <c r="F99" s="11">
        <f>'Pro-Forma'!$G$45*F97</f>
        <v>342051301.14475167</v>
      </c>
      <c r="G99" s="11">
        <f>'Pro-Forma'!$G$45*G97</f>
        <v>342051301.14475167</v>
      </c>
      <c r="H99" s="11">
        <f>'Pro-Forma'!$G$45*H97</f>
        <v>342051301.14475167</v>
      </c>
    </row>
    <row r="100" spans="2:8" x14ac:dyDescent="0.25">
      <c r="B100" s="15" t="s">
        <v>203</v>
      </c>
      <c r="C100" s="11">
        <f>'Pro-Forma'!$G$44*C97</f>
        <v>96844953.73982377</v>
      </c>
      <c r="D100" s="11">
        <f>'Pro-Forma'!$G$44*D97</f>
        <v>96684613.99385954</v>
      </c>
      <c r="E100" s="11">
        <f>'Pro-Forma'!$G$44*E97</f>
        <v>96684613.99385954</v>
      </c>
      <c r="F100" s="11">
        <f>'Pro-Forma'!$G$44*F97</f>
        <v>96684613.99385954</v>
      </c>
      <c r="G100" s="11">
        <f>'Pro-Forma'!$G$44*G97</f>
        <v>96684613.99385954</v>
      </c>
      <c r="H100" s="11">
        <f>'Pro-Forma'!$G$44*H97</f>
        <v>96684613.99385954</v>
      </c>
    </row>
    <row r="101" spans="2:8" x14ac:dyDescent="0.25">
      <c r="B101" s="15" t="s">
        <v>204</v>
      </c>
      <c r="C101" s="11">
        <f>'Pro-Forma'!$G$43*C97</f>
        <v>134043240.8368599</v>
      </c>
      <c r="D101" s="11">
        <f>'Pro-Forma'!$G$43*D97</f>
        <v>133821314.36207688</v>
      </c>
      <c r="E101" s="11">
        <f>'Pro-Forma'!$G$43*E97</f>
        <v>133821314.36207688</v>
      </c>
      <c r="F101" s="11">
        <f>'Pro-Forma'!$G$43*F97</f>
        <v>133821314.36207688</v>
      </c>
      <c r="G101" s="11">
        <f>'Pro-Forma'!$G$43*G97</f>
        <v>133821314.36207688</v>
      </c>
      <c r="H101" s="11">
        <f>'Pro-Forma'!$G$43*H97</f>
        <v>133821314.36207688</v>
      </c>
    </row>
    <row r="102" spans="2:8" x14ac:dyDescent="0.25">
      <c r="B102" s="15" t="s">
        <v>205</v>
      </c>
      <c r="C102" s="11">
        <f>'Pro-Forma'!$G$42*C97</f>
        <v>167554051.04607487</v>
      </c>
      <c r="D102" s="11">
        <f>'Pro-Forma'!$G$42*D97</f>
        <v>167276642.9525961</v>
      </c>
      <c r="E102" s="11">
        <f>'Pro-Forma'!$G$42*E97</f>
        <v>167276642.9525961</v>
      </c>
      <c r="F102" s="11">
        <f>'Pro-Forma'!$G$42*F97</f>
        <v>167276642.9525961</v>
      </c>
      <c r="G102" s="11">
        <f>'Pro-Forma'!$G$42*G97</f>
        <v>167276642.9525961</v>
      </c>
      <c r="H102" s="11">
        <f>'Pro-Forma'!$G$42*H97</f>
        <v>167276642.9525961</v>
      </c>
    </row>
    <row r="103" spans="2:8" x14ac:dyDescent="0.25">
      <c r="B103" s="15" t="s">
        <v>206</v>
      </c>
      <c r="C103" s="11">
        <f>'Pro-Forma'!$G$41*C97</f>
        <v>279256751.74345815</v>
      </c>
      <c r="D103" s="11">
        <f>'Pro-Forma'!$G$41*D97</f>
        <v>278794404.9209935</v>
      </c>
      <c r="E103" s="11">
        <f>'Pro-Forma'!$G$41*E97</f>
        <v>278794404.9209935</v>
      </c>
      <c r="F103" s="11">
        <f>'Pro-Forma'!$G$41*F97</f>
        <v>278794404.9209935</v>
      </c>
      <c r="G103" s="11">
        <f>'Pro-Forma'!$G$41*G97</f>
        <v>278794404.9209935</v>
      </c>
      <c r="H103" s="11">
        <f>'Pro-Forma'!$G$41*H97</f>
        <v>278794404.9209935</v>
      </c>
    </row>
    <row r="104" spans="2:8" x14ac:dyDescent="0.25">
      <c r="B104" s="15" t="s">
        <v>207</v>
      </c>
      <c r="C104" s="11">
        <f>'Pro-Forma'!$G$40*C97</f>
        <v>279256751.74345815</v>
      </c>
      <c r="D104" s="11">
        <f>'Pro-Forma'!$G$40*D97</f>
        <v>278794404.9209935</v>
      </c>
      <c r="E104" s="11">
        <f>'Pro-Forma'!$G$40*E97</f>
        <v>278794404.9209935</v>
      </c>
      <c r="F104" s="11">
        <f>'Pro-Forma'!$G$40*F97</f>
        <v>278794404.9209935</v>
      </c>
      <c r="G104" s="11">
        <f>'Pro-Forma'!$G$40*G97</f>
        <v>278794404.9209935</v>
      </c>
      <c r="H104" s="11">
        <f>'Pro-Forma'!$G$40*H97</f>
        <v>278794404.9209935</v>
      </c>
    </row>
    <row r="106" spans="2:8" x14ac:dyDescent="0.25">
      <c r="B106" s="3" t="s">
        <v>210</v>
      </c>
      <c r="C106" s="4"/>
      <c r="D106" s="4"/>
      <c r="E106" s="4"/>
      <c r="F106" s="4"/>
      <c r="G106" s="4"/>
      <c r="H106" s="4"/>
    </row>
    <row r="107" spans="2:8" x14ac:dyDescent="0.25">
      <c r="B107" s="12" t="s">
        <v>62</v>
      </c>
      <c r="C107" s="13" t="s">
        <v>63</v>
      </c>
      <c r="D107" s="13" t="s">
        <v>64</v>
      </c>
      <c r="E107" s="13" t="s">
        <v>65</v>
      </c>
      <c r="F107" s="13" t="s">
        <v>66</v>
      </c>
      <c r="G107" s="13" t="s">
        <v>67</v>
      </c>
      <c r="H107" s="13" t="s">
        <v>68</v>
      </c>
    </row>
    <row r="108" spans="2:8" x14ac:dyDescent="0.25">
      <c r="B108" s="5" t="s">
        <v>189</v>
      </c>
      <c r="C108" s="11">
        <f>F$8</f>
        <v>4002500000</v>
      </c>
      <c r="D108" s="11">
        <f>F$8</f>
        <v>4002500000</v>
      </c>
      <c r="E108" s="11">
        <f>F$8</f>
        <v>4002500000</v>
      </c>
      <c r="F108" s="11">
        <f>F$8</f>
        <v>4002500000</v>
      </c>
      <c r="G108" s="11">
        <f>F$8</f>
        <v>4002500000</v>
      </c>
      <c r="H108" s="11">
        <f>F$8</f>
        <v>4002500000</v>
      </c>
    </row>
    <row r="109" spans="2:8" x14ac:dyDescent="0.25">
      <c r="B109" s="15" t="s">
        <v>190</v>
      </c>
      <c r="C109" s="14" t="b">
        <v>0</v>
      </c>
      <c r="D109" s="14">
        <f>Assumptions!$C$7&gt;C120</f>
        <v>0</v>
      </c>
      <c r="E109" s="14">
        <f>Assumptions!$C$7&gt;D120</f>
        <v>0</v>
      </c>
      <c r="F109" s="14">
        <f>Assumptions!$C$7&gt;E120</f>
        <v>0</v>
      </c>
      <c r="G109" s="14">
        <f>Assumptions!$C$7&gt;F120</f>
        <v>0</v>
      </c>
      <c r="H109" s="14">
        <f>Assumptions!$C$7&gt;G120</f>
        <v>0</v>
      </c>
    </row>
    <row r="110" spans="2:8" x14ac:dyDescent="0.25">
      <c r="B110" s="15" t="s">
        <v>191</v>
      </c>
      <c r="C110" s="14" t="b">
        <v>0</v>
      </c>
      <c r="D110" s="14">
        <f>Assumptions!$C$41*Assumptions!$C$28&gt;C121</f>
        <v>0</v>
      </c>
      <c r="E110" s="14">
        <f>Assumptions!$C$41*Assumptions!$C$28&gt;D121</f>
        <v>0</v>
      </c>
      <c r="F110" s="14">
        <f>Assumptions!$C$41*Assumptions!$C$28&gt;E121</f>
        <v>0</v>
      </c>
      <c r="G110" s="14">
        <f>Assumptions!$C$41*Assumptions!$C$28&gt;F121</f>
        <v>0</v>
      </c>
      <c r="H110" s="14">
        <f>Assumptions!$C$41*Assumptions!$C$28&gt;G121</f>
        <v>0</v>
      </c>
    </row>
    <row r="111" spans="2:8" x14ac:dyDescent="0.25">
      <c r="B111" s="15" t="s">
        <v>192</v>
      </c>
      <c r="C111" s="14" t="b">
        <v>0</v>
      </c>
      <c r="D111" s="14">
        <f>Assumptions!$C$40*Assumptions!$C$27&gt;C122</f>
        <v>0</v>
      </c>
      <c r="E111" s="14">
        <f>Assumptions!$C$40*Assumptions!$C$27&gt;D122</f>
        <v>0</v>
      </c>
      <c r="F111" s="14">
        <f>Assumptions!$C$40*Assumptions!$C$27&gt;E122</f>
        <v>0</v>
      </c>
      <c r="G111" s="14">
        <f>Assumptions!$C$40*Assumptions!$C$27&gt;F122</f>
        <v>0</v>
      </c>
      <c r="H111" s="14">
        <f>Assumptions!$C$40*Assumptions!$C$27&gt;G122</f>
        <v>0</v>
      </c>
    </row>
    <row r="112" spans="2:8" x14ac:dyDescent="0.25">
      <c r="B112" s="15" t="s">
        <v>193</v>
      </c>
      <c r="C112" s="14" t="b">
        <v>0</v>
      </c>
      <c r="D112" s="14">
        <f>Assumptions!$C$38*Assumptions!$C$25&gt;C123</f>
        <v>0</v>
      </c>
      <c r="E112" s="14">
        <f>Assumptions!$C$38*Assumptions!$C$25&gt;D123</f>
        <v>0</v>
      </c>
      <c r="F112" s="14">
        <f>Assumptions!$C$38*Assumptions!$C$25&gt;E123</f>
        <v>0</v>
      </c>
      <c r="G112" s="14">
        <f>Assumptions!$C$38*Assumptions!$C$25&gt;F123</f>
        <v>0</v>
      </c>
      <c r="H112" s="14">
        <f>Assumptions!$C$38*Assumptions!$C$25&gt;G123</f>
        <v>0</v>
      </c>
    </row>
    <row r="113" spans="2:8" x14ac:dyDescent="0.25">
      <c r="B113" s="15" t="s">
        <v>194</v>
      </c>
      <c r="C113" s="14" t="b">
        <v>0</v>
      </c>
      <c r="D113" s="14">
        <f>Assumptions!$C$37*Assumptions!$C$24&gt;C124</f>
        <v>0</v>
      </c>
      <c r="E113" s="14">
        <f>Assumptions!$C$37*Assumptions!$C$24&gt;D124</f>
        <v>0</v>
      </c>
      <c r="F113" s="14">
        <f>Assumptions!$C$37*Assumptions!$C$24&gt;E124</f>
        <v>0</v>
      </c>
      <c r="G113" s="14">
        <f>Assumptions!$C$37*Assumptions!$C$24&gt;F124</f>
        <v>0</v>
      </c>
      <c r="H113" s="14">
        <f>Assumptions!$C$37*Assumptions!$C$24&gt;G124</f>
        <v>0</v>
      </c>
    </row>
    <row r="114" spans="2:8" x14ac:dyDescent="0.25">
      <c r="B114" s="15" t="s">
        <v>195</v>
      </c>
      <c r="C114" s="14" t="b">
        <v>0</v>
      </c>
      <c r="D114" s="14">
        <f>Assumptions!$C$36*Assumptions!$C$23&gt;C125</f>
        <v>0</v>
      </c>
      <c r="E114" s="14">
        <f>Assumptions!$C$36*Assumptions!$C$23&gt;D125</f>
        <v>0</v>
      </c>
      <c r="F114" s="14">
        <f>Assumptions!$C$36*Assumptions!$C$23&gt;E125</f>
        <v>0</v>
      </c>
      <c r="G114" s="14">
        <f>Assumptions!$C$36*Assumptions!$C$23&gt;F125</f>
        <v>0</v>
      </c>
      <c r="H114" s="14">
        <f>Assumptions!$C$36*Assumptions!$C$23&gt;G125</f>
        <v>0</v>
      </c>
    </row>
    <row r="115" spans="2:8" x14ac:dyDescent="0.25">
      <c r="B115" s="15" t="s">
        <v>196</v>
      </c>
      <c r="C115" s="14" t="b">
        <v>0</v>
      </c>
      <c r="D115" s="14">
        <f>Assumptions!$C$35*Assumptions!$C$22&gt;C126</f>
        <v>0</v>
      </c>
      <c r="E115" s="14">
        <f>Assumptions!$C$35*Assumptions!$C$22&gt;D126</f>
        <v>0</v>
      </c>
      <c r="F115" s="14">
        <f>Assumptions!$C$35*Assumptions!$C$22&gt;E126</f>
        <v>0</v>
      </c>
      <c r="G115" s="14">
        <f>Assumptions!$C$35*Assumptions!$C$22&gt;F126</f>
        <v>0</v>
      </c>
      <c r="H115" s="14">
        <f>Assumptions!$C$35*Assumptions!$C$22&gt;G126</f>
        <v>0</v>
      </c>
    </row>
    <row r="116" spans="2:8" x14ac:dyDescent="0.25">
      <c r="B116" s="5" t="s">
        <v>197</v>
      </c>
      <c r="C116" s="11">
        <f>IF(C109,Assumptions!$C$7,0)+IF(C110,Assumptions!$C$41*Assumptions!$C$28,0)+IF(C111,Assumptions!$C$40*Assumptions!$C$27,0)+IF(C112,Assumptions!$C$38*Assumptions!$C$25,0)+IF(C113,Assumptions!$C$37*Assumptions!$C$24,0)+IF(C114,Assumptions!$C$36*Assumptions!$C$23,0)+IF(C115,Assumptions!$C$35*Assumptions!$C$22,0)</f>
        <v>0</v>
      </c>
      <c r="D116" s="11">
        <f>IF(D109,Assumptions!$C$7,0)+IF(D110,Assumptions!$C$41*Assumptions!$C$28,0)+IF(D111,Assumptions!$C$40*Assumptions!$C$27,0)+IF(D112,Assumptions!$C$38*Assumptions!$C$25,0)+IF(D113,Assumptions!$C$37*Assumptions!$C$24,0)+IF(D114,Assumptions!$C$36*Assumptions!$C$23,0)+IF(D115,Assumptions!$C$35*Assumptions!$C$22,0)</f>
        <v>0</v>
      </c>
      <c r="E116" s="11">
        <f>IF(E109,Assumptions!$C$7,0)+IF(E110,Assumptions!$C$41*Assumptions!$C$28,0)+IF(E111,Assumptions!$C$40*Assumptions!$C$27,0)+IF(E112,Assumptions!$C$38*Assumptions!$C$25,0)+IF(E113,Assumptions!$C$37*Assumptions!$C$24,0)+IF(E114,Assumptions!$C$36*Assumptions!$C$23,0)+IF(E115,Assumptions!$C$35*Assumptions!$C$22,0)</f>
        <v>0</v>
      </c>
      <c r="F116" s="11">
        <f>IF(F109,Assumptions!$C$7,0)+IF(F110,Assumptions!$C$41*Assumptions!$C$28,0)+IF(F111,Assumptions!$C$40*Assumptions!$C$27,0)+IF(F112,Assumptions!$C$38*Assumptions!$C$25,0)+IF(F113,Assumptions!$C$37*Assumptions!$C$24,0)+IF(F114,Assumptions!$C$36*Assumptions!$C$23,0)+IF(F115,Assumptions!$C$35*Assumptions!$C$22,0)</f>
        <v>0</v>
      </c>
      <c r="G116" s="11">
        <f>IF(G109,Assumptions!$C$7,0)+IF(G110,Assumptions!$C$41*Assumptions!$C$28,0)+IF(G111,Assumptions!$C$40*Assumptions!$C$27,0)+IF(G112,Assumptions!$C$38*Assumptions!$C$25,0)+IF(G113,Assumptions!$C$37*Assumptions!$C$24,0)+IF(G114,Assumptions!$C$36*Assumptions!$C$23,0)+IF(G115,Assumptions!$C$35*Assumptions!$C$22,0)</f>
        <v>0</v>
      </c>
      <c r="H116" s="11">
        <f>IF(H109,Assumptions!$C$7,0)+IF(H110,Assumptions!$C$41*Assumptions!$C$28,0)+IF(H111,Assumptions!$C$40*Assumptions!$C$27,0)+IF(H112,Assumptions!$C$38*Assumptions!$C$25,0)+IF(H113,Assumptions!$C$37*Assumptions!$C$24,0)+IF(H114,Assumptions!$C$36*Assumptions!$C$23,0)+IF(H115,Assumptions!$C$35*Assumptions!$C$22,0)</f>
        <v>0</v>
      </c>
    </row>
    <row r="117" spans="2:8" x14ac:dyDescent="0.25">
      <c r="B117" s="5" t="s">
        <v>198</v>
      </c>
      <c r="C117" s="14">
        <f>IF(C109,0,'Pro-Forma'!$C$29)+IF(C110,0,'Pro-Forma'!$G$45)+IF(C111,0,'Pro-Forma'!$G$44)+IF(C112,0,'Pro-Forma'!$G$43)+IF(C113,0,'Pro-Forma'!$G$42)+IF(C114,0,'Pro-Forma'!$G$41)+IF(C115,0,'Pro-Forma'!$G$40)+('Pro-Forma'!$D$62+'Pro-Forma'!$D$63+'Pro-Forma'!$D$64+'Pro-Forma'!$D$65+'Pro-Forma'!$D$74+'Pro-Forma'!$G$49+'Pro-Forma'!$G$50+'Pro-Forma'!$D$76)</f>
        <v>35854101.78085176</v>
      </c>
      <c r="D117" s="14">
        <f>IF(D109,0,'Pro-Forma'!$C$29)+IF(D110,0,'Pro-Forma'!$G$45)+IF(D111,0,'Pro-Forma'!$G$44)+IF(D112,0,'Pro-Forma'!$G$43)+IF(D113,0,'Pro-Forma'!$G$42)+IF(D114,0,'Pro-Forma'!$G$41)+IF(D115,0,'Pro-Forma'!$G$40)+('Pro-Forma'!$D$62+'Pro-Forma'!$D$63+'Pro-Forma'!$D$64+'Pro-Forma'!$D$65+'Pro-Forma'!$D$74+'Pro-Forma'!$G$49+'Pro-Forma'!$G$50+'Pro-Forma'!$D$76)</f>
        <v>35854101.78085176</v>
      </c>
      <c r="E117" s="14">
        <f>IF(E109,0,'Pro-Forma'!$C$29)+IF(E110,0,'Pro-Forma'!$G$45)+IF(E111,0,'Pro-Forma'!$G$44)+IF(E112,0,'Pro-Forma'!$G$43)+IF(E113,0,'Pro-Forma'!$G$42)+IF(E114,0,'Pro-Forma'!$G$41)+IF(E115,0,'Pro-Forma'!$G$40)+('Pro-Forma'!$D$62+'Pro-Forma'!$D$63+'Pro-Forma'!$D$64+'Pro-Forma'!$D$65+'Pro-Forma'!$D$74+'Pro-Forma'!$G$49+'Pro-Forma'!$G$50+'Pro-Forma'!$D$76)</f>
        <v>35854101.78085176</v>
      </c>
      <c r="F117" s="14">
        <f>IF(F109,0,'Pro-Forma'!$C$29)+IF(F110,0,'Pro-Forma'!$G$45)+IF(F111,0,'Pro-Forma'!$G$44)+IF(F112,0,'Pro-Forma'!$G$43)+IF(F113,0,'Pro-Forma'!$G$42)+IF(F114,0,'Pro-Forma'!$G$41)+IF(F115,0,'Pro-Forma'!$G$40)+('Pro-Forma'!$D$62+'Pro-Forma'!$D$63+'Pro-Forma'!$D$64+'Pro-Forma'!$D$65+'Pro-Forma'!$D$74+'Pro-Forma'!$G$49+'Pro-Forma'!$G$50+'Pro-Forma'!$D$76)</f>
        <v>35854101.78085176</v>
      </c>
      <c r="G117" s="14">
        <f>IF(G109,0,'Pro-Forma'!$C$29)+IF(G110,0,'Pro-Forma'!$G$45)+IF(G111,0,'Pro-Forma'!$G$44)+IF(G112,0,'Pro-Forma'!$G$43)+IF(G113,0,'Pro-Forma'!$G$42)+IF(G114,0,'Pro-Forma'!$G$41)+IF(G115,0,'Pro-Forma'!$G$40)+('Pro-Forma'!$D$62+'Pro-Forma'!$D$63+'Pro-Forma'!$D$64+'Pro-Forma'!$D$65+'Pro-Forma'!$D$74+'Pro-Forma'!$G$49+'Pro-Forma'!$G$50+'Pro-Forma'!$D$76)</f>
        <v>35854101.78085176</v>
      </c>
      <c r="H117" s="14">
        <f>IF(H109,0,'Pro-Forma'!$C$29)+IF(H110,0,'Pro-Forma'!$G$45)+IF(H111,0,'Pro-Forma'!$G$44)+IF(H112,0,'Pro-Forma'!$G$43)+IF(H113,0,'Pro-Forma'!$G$42)+IF(H114,0,'Pro-Forma'!$G$41)+IF(H115,0,'Pro-Forma'!$G$40)+('Pro-Forma'!$D$62+'Pro-Forma'!$D$63+'Pro-Forma'!$D$64+'Pro-Forma'!$D$65+'Pro-Forma'!$D$74+'Pro-Forma'!$G$49+'Pro-Forma'!$G$50+'Pro-Forma'!$D$76)</f>
        <v>35854101.78085176</v>
      </c>
    </row>
    <row r="118" spans="2:8" x14ac:dyDescent="0.25">
      <c r="B118" s="5" t="s">
        <v>199</v>
      </c>
      <c r="C118" s="11">
        <f>C108-C116</f>
        <v>4002500000</v>
      </c>
      <c r="D118" s="11">
        <f>D108-D116</f>
        <v>4002500000</v>
      </c>
      <c r="E118" s="11">
        <f>E108-E116</f>
        <v>4002500000</v>
      </c>
      <c r="F118" s="11">
        <f>F108-F116</f>
        <v>4002500000</v>
      </c>
      <c r="G118" s="11">
        <f>G108-G116</f>
        <v>4002500000</v>
      </c>
      <c r="H118" s="11">
        <f>H108-H116</f>
        <v>4002500000</v>
      </c>
    </row>
    <row r="119" spans="2:8" x14ac:dyDescent="0.25">
      <c r="B119" s="9" t="s">
        <v>200</v>
      </c>
      <c r="C119" s="11">
        <f>C118/C117</f>
        <v>111.63297366823383</v>
      </c>
      <c r="D119" s="11">
        <f>D118/D117</f>
        <v>111.63297366823383</v>
      </c>
      <c r="E119" s="11">
        <f>E118/E117</f>
        <v>111.63297366823383</v>
      </c>
      <c r="F119" s="11">
        <f>F118/F117</f>
        <v>111.63297366823383</v>
      </c>
      <c r="G119" s="11">
        <f>G118/G117</f>
        <v>111.63297366823383</v>
      </c>
      <c r="H119" s="11">
        <f>H118/H117</f>
        <v>111.63297366823383</v>
      </c>
    </row>
    <row r="120" spans="2:8" x14ac:dyDescent="0.25">
      <c r="B120" s="15" t="s">
        <v>201</v>
      </c>
      <c r="C120" s="11">
        <f>'Pro-Forma'!$C$29*C119</f>
        <v>89785810.60596612</v>
      </c>
      <c r="D120" s="11">
        <f>'Pro-Forma'!$C$29*D119</f>
        <v>89785810.60596612</v>
      </c>
      <c r="E120" s="11">
        <f>'Pro-Forma'!$C$29*E119</f>
        <v>89785810.60596612</v>
      </c>
      <c r="F120" s="11">
        <f>'Pro-Forma'!$C$29*F119</f>
        <v>89785810.60596612</v>
      </c>
      <c r="G120" s="11">
        <f>'Pro-Forma'!$C$29*G119</f>
        <v>89785810.60596612</v>
      </c>
      <c r="H120" s="11">
        <f>'Pro-Forma'!$C$29*H119</f>
        <v>89785810.60596612</v>
      </c>
    </row>
    <row r="121" spans="2:8" x14ac:dyDescent="0.25">
      <c r="B121" s="15" t="s">
        <v>202</v>
      </c>
      <c r="C121" s="11">
        <f>'Pro-Forma'!$G$45*C119</f>
        <v>684809365.2506775</v>
      </c>
      <c r="D121" s="11">
        <f>'Pro-Forma'!$G$45*D119</f>
        <v>684809365.2506775</v>
      </c>
      <c r="E121" s="11">
        <f>'Pro-Forma'!$G$45*E119</f>
        <v>684809365.2506775</v>
      </c>
      <c r="F121" s="11">
        <f>'Pro-Forma'!$G$45*F119</f>
        <v>684809365.2506775</v>
      </c>
      <c r="G121" s="11">
        <f>'Pro-Forma'!$G$45*G119</f>
        <v>684809365.2506775</v>
      </c>
      <c r="H121" s="11">
        <f>'Pro-Forma'!$G$45*H119</f>
        <v>684809365.2506775</v>
      </c>
    </row>
    <row r="122" spans="2:8" x14ac:dyDescent="0.25">
      <c r="B122" s="15" t="s">
        <v>203</v>
      </c>
      <c r="C122" s="11">
        <f>'Pro-Forma'!$G$44*C119</f>
        <v>193569002.41879883</v>
      </c>
      <c r="D122" s="11">
        <f>'Pro-Forma'!$G$44*D119</f>
        <v>193569002.41879883</v>
      </c>
      <c r="E122" s="11">
        <f>'Pro-Forma'!$G$44*E119</f>
        <v>193569002.41879883</v>
      </c>
      <c r="F122" s="11">
        <f>'Pro-Forma'!$G$44*F119</f>
        <v>193569002.41879883</v>
      </c>
      <c r="G122" s="11">
        <f>'Pro-Forma'!$G$44*G119</f>
        <v>193569002.41879883</v>
      </c>
      <c r="H122" s="11">
        <f>'Pro-Forma'!$G$44*H119</f>
        <v>193569002.41879883</v>
      </c>
    </row>
    <row r="123" spans="2:8" x14ac:dyDescent="0.25">
      <c r="B123" s="15" t="s">
        <v>204</v>
      </c>
      <c r="C123" s="11">
        <f>'Pro-Forma'!$G$43*C119</f>
        <v>267919136.80376118</v>
      </c>
      <c r="D123" s="11">
        <f>'Pro-Forma'!$G$43*D119</f>
        <v>267919136.80376118</v>
      </c>
      <c r="E123" s="11">
        <f>'Pro-Forma'!$G$43*E119</f>
        <v>267919136.80376118</v>
      </c>
      <c r="F123" s="11">
        <f>'Pro-Forma'!$G$43*F119</f>
        <v>267919136.80376118</v>
      </c>
      <c r="G123" s="11">
        <f>'Pro-Forma'!$G$43*G119</f>
        <v>267919136.80376118</v>
      </c>
      <c r="H123" s="11">
        <f>'Pro-Forma'!$G$43*H119</f>
        <v>267919136.80376118</v>
      </c>
    </row>
    <row r="124" spans="2:8" x14ac:dyDescent="0.25">
      <c r="B124" s="15" t="s">
        <v>205</v>
      </c>
      <c r="C124" s="11">
        <f>'Pro-Forma'!$G$42*C119</f>
        <v>334898921.0047015</v>
      </c>
      <c r="D124" s="11">
        <f>'Pro-Forma'!$G$42*D119</f>
        <v>334898921.0047015</v>
      </c>
      <c r="E124" s="11">
        <f>'Pro-Forma'!$G$42*E119</f>
        <v>334898921.0047015</v>
      </c>
      <c r="F124" s="11">
        <f>'Pro-Forma'!$G$42*F119</f>
        <v>334898921.0047015</v>
      </c>
      <c r="G124" s="11">
        <f>'Pro-Forma'!$G$42*G119</f>
        <v>334898921.0047015</v>
      </c>
      <c r="H124" s="11">
        <f>'Pro-Forma'!$G$42*H119</f>
        <v>334898921.0047015</v>
      </c>
    </row>
    <row r="125" spans="2:8" x14ac:dyDescent="0.25">
      <c r="B125" s="15" t="s">
        <v>206</v>
      </c>
      <c r="C125" s="11">
        <f>'Pro-Forma'!$G$41*C119</f>
        <v>558164868.3411691</v>
      </c>
      <c r="D125" s="11">
        <f>'Pro-Forma'!$G$41*D119</f>
        <v>558164868.3411691</v>
      </c>
      <c r="E125" s="11">
        <f>'Pro-Forma'!$G$41*E119</f>
        <v>558164868.3411691</v>
      </c>
      <c r="F125" s="11">
        <f>'Pro-Forma'!$G$41*F119</f>
        <v>558164868.3411691</v>
      </c>
      <c r="G125" s="11">
        <f>'Pro-Forma'!$G$41*G119</f>
        <v>558164868.3411691</v>
      </c>
      <c r="H125" s="11">
        <f>'Pro-Forma'!$G$41*H119</f>
        <v>558164868.3411691</v>
      </c>
    </row>
    <row r="126" spans="2:8" x14ac:dyDescent="0.25">
      <c r="B126" s="15" t="s">
        <v>207</v>
      </c>
      <c r="C126" s="11">
        <f>'Pro-Forma'!$G$40*C119</f>
        <v>558164868.3411691</v>
      </c>
      <c r="D126" s="11">
        <f>'Pro-Forma'!$G$40*D119</f>
        <v>558164868.3411691</v>
      </c>
      <c r="E126" s="11">
        <f>'Pro-Forma'!$G$40*E119</f>
        <v>558164868.3411691</v>
      </c>
      <c r="F126" s="11">
        <f>'Pro-Forma'!$G$40*F119</f>
        <v>558164868.3411691</v>
      </c>
      <c r="G126" s="11">
        <f>'Pro-Forma'!$G$40*G119</f>
        <v>558164868.3411691</v>
      </c>
      <c r="H126" s="11">
        <f>'Pro-Forma'!$G$40*H119</f>
        <v>558164868.3411691</v>
      </c>
    </row>
    <row r="128" spans="2:8" x14ac:dyDescent="0.25">
      <c r="B128" s="3" t="s">
        <v>211</v>
      </c>
      <c r="C128" s="4"/>
      <c r="D128" s="4"/>
      <c r="E128" s="4"/>
      <c r="F128" s="4"/>
      <c r="G128" s="4"/>
      <c r="H128" s="4"/>
    </row>
    <row r="129" spans="2:8" x14ac:dyDescent="0.25">
      <c r="B129" s="12" t="s">
        <v>62</v>
      </c>
      <c r="C129" s="13" t="s">
        <v>63</v>
      </c>
      <c r="D129" s="13" t="s">
        <v>64</v>
      </c>
      <c r="E129" s="13" t="s">
        <v>65</v>
      </c>
      <c r="F129" s="13" t="s">
        <v>66</v>
      </c>
      <c r="G129" s="13" t="s">
        <v>67</v>
      </c>
      <c r="H129" s="13" t="s">
        <v>68</v>
      </c>
    </row>
    <row r="130" spans="2:8" x14ac:dyDescent="0.25">
      <c r="B130" s="5" t="s">
        <v>189</v>
      </c>
      <c r="C130" s="11">
        <f>G$8</f>
        <v>8002500000</v>
      </c>
      <c r="D130" s="11">
        <f>G$8</f>
        <v>8002500000</v>
      </c>
      <c r="E130" s="11">
        <f>G$8</f>
        <v>8002500000</v>
      </c>
      <c r="F130" s="11">
        <f>G$8</f>
        <v>8002500000</v>
      </c>
      <c r="G130" s="11">
        <f>G$8</f>
        <v>8002500000</v>
      </c>
      <c r="H130" s="11">
        <f>G$8</f>
        <v>8002500000</v>
      </c>
    </row>
    <row r="131" spans="2:8" x14ac:dyDescent="0.25">
      <c r="B131" s="15" t="s">
        <v>190</v>
      </c>
      <c r="C131" s="14" t="b">
        <v>0</v>
      </c>
      <c r="D131" s="14">
        <f>Assumptions!$C$7&gt;C142</f>
        <v>0</v>
      </c>
      <c r="E131" s="14">
        <f>Assumptions!$C$7&gt;D142</f>
        <v>0</v>
      </c>
      <c r="F131" s="14">
        <f>Assumptions!$C$7&gt;E142</f>
        <v>0</v>
      </c>
      <c r="G131" s="14">
        <f>Assumptions!$C$7&gt;F142</f>
        <v>0</v>
      </c>
      <c r="H131" s="14">
        <f>Assumptions!$C$7&gt;G142</f>
        <v>0</v>
      </c>
    </row>
    <row r="132" spans="2:8" x14ac:dyDescent="0.25">
      <c r="B132" s="15" t="s">
        <v>191</v>
      </c>
      <c r="C132" s="14" t="b">
        <v>0</v>
      </c>
      <c r="D132" s="14">
        <f>Assumptions!$C$41*Assumptions!$C$28&gt;C143</f>
        <v>0</v>
      </c>
      <c r="E132" s="14">
        <f>Assumptions!$C$41*Assumptions!$C$28&gt;D143</f>
        <v>0</v>
      </c>
      <c r="F132" s="14">
        <f>Assumptions!$C$41*Assumptions!$C$28&gt;E143</f>
        <v>0</v>
      </c>
      <c r="G132" s="14">
        <f>Assumptions!$C$41*Assumptions!$C$28&gt;F143</f>
        <v>0</v>
      </c>
      <c r="H132" s="14">
        <f>Assumptions!$C$41*Assumptions!$C$28&gt;G143</f>
        <v>0</v>
      </c>
    </row>
    <row r="133" spans="2:8" x14ac:dyDescent="0.25">
      <c r="B133" s="15" t="s">
        <v>192</v>
      </c>
      <c r="C133" s="14" t="b">
        <v>0</v>
      </c>
      <c r="D133" s="14">
        <f>Assumptions!$C$40*Assumptions!$C$27&gt;C144</f>
        <v>0</v>
      </c>
      <c r="E133" s="14">
        <f>Assumptions!$C$40*Assumptions!$C$27&gt;D144</f>
        <v>0</v>
      </c>
      <c r="F133" s="14">
        <f>Assumptions!$C$40*Assumptions!$C$27&gt;E144</f>
        <v>0</v>
      </c>
      <c r="G133" s="14">
        <f>Assumptions!$C$40*Assumptions!$C$27&gt;F144</f>
        <v>0</v>
      </c>
      <c r="H133" s="14">
        <f>Assumptions!$C$40*Assumptions!$C$27&gt;G144</f>
        <v>0</v>
      </c>
    </row>
    <row r="134" spans="2:8" x14ac:dyDescent="0.25">
      <c r="B134" s="15" t="s">
        <v>193</v>
      </c>
      <c r="C134" s="14" t="b">
        <v>0</v>
      </c>
      <c r="D134" s="14">
        <f>Assumptions!$C$38*Assumptions!$C$25&gt;C145</f>
        <v>0</v>
      </c>
      <c r="E134" s="14">
        <f>Assumptions!$C$38*Assumptions!$C$25&gt;D145</f>
        <v>0</v>
      </c>
      <c r="F134" s="14">
        <f>Assumptions!$C$38*Assumptions!$C$25&gt;E145</f>
        <v>0</v>
      </c>
      <c r="G134" s="14">
        <f>Assumptions!$C$38*Assumptions!$C$25&gt;F145</f>
        <v>0</v>
      </c>
      <c r="H134" s="14">
        <f>Assumptions!$C$38*Assumptions!$C$25&gt;G145</f>
        <v>0</v>
      </c>
    </row>
    <row r="135" spans="2:8" x14ac:dyDescent="0.25">
      <c r="B135" s="15" t="s">
        <v>194</v>
      </c>
      <c r="C135" s="14" t="b">
        <v>0</v>
      </c>
      <c r="D135" s="14">
        <f>Assumptions!$C$37*Assumptions!$C$24&gt;C146</f>
        <v>0</v>
      </c>
      <c r="E135" s="14">
        <f>Assumptions!$C$37*Assumptions!$C$24&gt;D146</f>
        <v>0</v>
      </c>
      <c r="F135" s="14">
        <f>Assumptions!$C$37*Assumptions!$C$24&gt;E146</f>
        <v>0</v>
      </c>
      <c r="G135" s="14">
        <f>Assumptions!$C$37*Assumptions!$C$24&gt;F146</f>
        <v>0</v>
      </c>
      <c r="H135" s="14">
        <f>Assumptions!$C$37*Assumptions!$C$24&gt;G146</f>
        <v>0</v>
      </c>
    </row>
    <row r="136" spans="2:8" x14ac:dyDescent="0.25">
      <c r="B136" s="15" t="s">
        <v>195</v>
      </c>
      <c r="C136" s="14" t="b">
        <v>0</v>
      </c>
      <c r="D136" s="14">
        <f>Assumptions!$C$36*Assumptions!$C$23&gt;C147</f>
        <v>0</v>
      </c>
      <c r="E136" s="14">
        <f>Assumptions!$C$36*Assumptions!$C$23&gt;D147</f>
        <v>0</v>
      </c>
      <c r="F136" s="14">
        <f>Assumptions!$C$36*Assumptions!$C$23&gt;E147</f>
        <v>0</v>
      </c>
      <c r="G136" s="14">
        <f>Assumptions!$C$36*Assumptions!$C$23&gt;F147</f>
        <v>0</v>
      </c>
      <c r="H136" s="14">
        <f>Assumptions!$C$36*Assumptions!$C$23&gt;G147</f>
        <v>0</v>
      </c>
    </row>
    <row r="137" spans="2:8" x14ac:dyDescent="0.25">
      <c r="B137" s="15" t="s">
        <v>196</v>
      </c>
      <c r="C137" s="14" t="b">
        <v>0</v>
      </c>
      <c r="D137" s="14">
        <f>Assumptions!$C$35*Assumptions!$C$22&gt;C148</f>
        <v>0</v>
      </c>
      <c r="E137" s="14">
        <f>Assumptions!$C$35*Assumptions!$C$22&gt;D148</f>
        <v>0</v>
      </c>
      <c r="F137" s="14">
        <f>Assumptions!$C$35*Assumptions!$C$22&gt;E148</f>
        <v>0</v>
      </c>
      <c r="G137" s="14">
        <f>Assumptions!$C$35*Assumptions!$C$22&gt;F148</f>
        <v>0</v>
      </c>
      <c r="H137" s="14">
        <f>Assumptions!$C$35*Assumptions!$C$22&gt;G148</f>
        <v>0</v>
      </c>
    </row>
    <row r="138" spans="2:8" x14ac:dyDescent="0.25">
      <c r="B138" s="5" t="s">
        <v>197</v>
      </c>
      <c r="C138" s="11">
        <f>IF(C131,Assumptions!$C$7,0)+IF(C132,Assumptions!$C$41*Assumptions!$C$28,0)+IF(C133,Assumptions!$C$40*Assumptions!$C$27,0)+IF(C134,Assumptions!$C$38*Assumptions!$C$25,0)+IF(C135,Assumptions!$C$37*Assumptions!$C$24,0)+IF(C136,Assumptions!$C$36*Assumptions!$C$23,0)+IF(C137,Assumptions!$C$35*Assumptions!$C$22,0)</f>
        <v>0</v>
      </c>
      <c r="D138" s="11">
        <f>IF(D131,Assumptions!$C$7,0)+IF(D132,Assumptions!$C$41*Assumptions!$C$28,0)+IF(D133,Assumptions!$C$40*Assumptions!$C$27,0)+IF(D134,Assumptions!$C$38*Assumptions!$C$25,0)+IF(D135,Assumptions!$C$37*Assumptions!$C$24,0)+IF(D136,Assumptions!$C$36*Assumptions!$C$23,0)+IF(D137,Assumptions!$C$35*Assumptions!$C$22,0)</f>
        <v>0</v>
      </c>
      <c r="E138" s="11">
        <f>IF(E131,Assumptions!$C$7,0)+IF(E132,Assumptions!$C$41*Assumptions!$C$28,0)+IF(E133,Assumptions!$C$40*Assumptions!$C$27,0)+IF(E134,Assumptions!$C$38*Assumptions!$C$25,0)+IF(E135,Assumptions!$C$37*Assumptions!$C$24,0)+IF(E136,Assumptions!$C$36*Assumptions!$C$23,0)+IF(E137,Assumptions!$C$35*Assumptions!$C$22,0)</f>
        <v>0</v>
      </c>
      <c r="F138" s="11">
        <f>IF(F131,Assumptions!$C$7,0)+IF(F132,Assumptions!$C$41*Assumptions!$C$28,0)+IF(F133,Assumptions!$C$40*Assumptions!$C$27,0)+IF(F134,Assumptions!$C$38*Assumptions!$C$25,0)+IF(F135,Assumptions!$C$37*Assumptions!$C$24,0)+IF(F136,Assumptions!$C$36*Assumptions!$C$23,0)+IF(F137,Assumptions!$C$35*Assumptions!$C$22,0)</f>
        <v>0</v>
      </c>
      <c r="G138" s="11">
        <f>IF(G131,Assumptions!$C$7,0)+IF(G132,Assumptions!$C$41*Assumptions!$C$28,0)+IF(G133,Assumptions!$C$40*Assumptions!$C$27,0)+IF(G134,Assumptions!$C$38*Assumptions!$C$25,0)+IF(G135,Assumptions!$C$37*Assumptions!$C$24,0)+IF(G136,Assumptions!$C$36*Assumptions!$C$23,0)+IF(G137,Assumptions!$C$35*Assumptions!$C$22,0)</f>
        <v>0</v>
      </c>
      <c r="H138" s="11">
        <f>IF(H131,Assumptions!$C$7,0)+IF(H132,Assumptions!$C$41*Assumptions!$C$28,0)+IF(H133,Assumptions!$C$40*Assumptions!$C$27,0)+IF(H134,Assumptions!$C$38*Assumptions!$C$25,0)+IF(H135,Assumptions!$C$37*Assumptions!$C$24,0)+IF(H136,Assumptions!$C$36*Assumptions!$C$23,0)+IF(H137,Assumptions!$C$35*Assumptions!$C$22,0)</f>
        <v>0</v>
      </c>
    </row>
    <row r="139" spans="2:8" x14ac:dyDescent="0.25">
      <c r="B139" s="5" t="s">
        <v>198</v>
      </c>
      <c r="C139" s="14">
        <f>IF(C131,0,'Pro-Forma'!$C$29)+IF(C132,0,'Pro-Forma'!$G$45)+IF(C133,0,'Pro-Forma'!$G$44)+IF(C134,0,'Pro-Forma'!$G$43)+IF(C135,0,'Pro-Forma'!$G$42)+IF(C136,0,'Pro-Forma'!$G$41)+IF(C137,0,'Pro-Forma'!$G$40)+('Pro-Forma'!$D$62+'Pro-Forma'!$D$63+'Pro-Forma'!$D$64+'Pro-Forma'!$D$65+'Pro-Forma'!$D$74+'Pro-Forma'!$G$49+'Pro-Forma'!$G$50+'Pro-Forma'!$D$76)</f>
        <v>35854101.78085176</v>
      </c>
      <c r="D139" s="14">
        <f>IF(D131,0,'Pro-Forma'!$C$29)+IF(D132,0,'Pro-Forma'!$G$45)+IF(D133,0,'Pro-Forma'!$G$44)+IF(D134,0,'Pro-Forma'!$G$43)+IF(D135,0,'Pro-Forma'!$G$42)+IF(D136,0,'Pro-Forma'!$G$41)+IF(D137,0,'Pro-Forma'!$G$40)+('Pro-Forma'!$D$62+'Pro-Forma'!$D$63+'Pro-Forma'!$D$64+'Pro-Forma'!$D$65+'Pro-Forma'!$D$74+'Pro-Forma'!$G$49+'Pro-Forma'!$G$50+'Pro-Forma'!$D$76)</f>
        <v>35854101.78085176</v>
      </c>
      <c r="E139" s="14">
        <f>IF(E131,0,'Pro-Forma'!$C$29)+IF(E132,0,'Pro-Forma'!$G$45)+IF(E133,0,'Pro-Forma'!$G$44)+IF(E134,0,'Pro-Forma'!$G$43)+IF(E135,0,'Pro-Forma'!$G$42)+IF(E136,0,'Pro-Forma'!$G$41)+IF(E137,0,'Pro-Forma'!$G$40)+('Pro-Forma'!$D$62+'Pro-Forma'!$D$63+'Pro-Forma'!$D$64+'Pro-Forma'!$D$65+'Pro-Forma'!$D$74+'Pro-Forma'!$G$49+'Pro-Forma'!$G$50+'Pro-Forma'!$D$76)</f>
        <v>35854101.78085176</v>
      </c>
      <c r="F139" s="14">
        <f>IF(F131,0,'Pro-Forma'!$C$29)+IF(F132,0,'Pro-Forma'!$G$45)+IF(F133,0,'Pro-Forma'!$G$44)+IF(F134,0,'Pro-Forma'!$G$43)+IF(F135,0,'Pro-Forma'!$G$42)+IF(F136,0,'Pro-Forma'!$G$41)+IF(F137,0,'Pro-Forma'!$G$40)+('Pro-Forma'!$D$62+'Pro-Forma'!$D$63+'Pro-Forma'!$D$64+'Pro-Forma'!$D$65+'Pro-Forma'!$D$74+'Pro-Forma'!$G$49+'Pro-Forma'!$G$50+'Pro-Forma'!$D$76)</f>
        <v>35854101.78085176</v>
      </c>
      <c r="G139" s="14">
        <f>IF(G131,0,'Pro-Forma'!$C$29)+IF(G132,0,'Pro-Forma'!$G$45)+IF(G133,0,'Pro-Forma'!$G$44)+IF(G134,0,'Pro-Forma'!$G$43)+IF(G135,0,'Pro-Forma'!$G$42)+IF(G136,0,'Pro-Forma'!$G$41)+IF(G137,0,'Pro-Forma'!$G$40)+('Pro-Forma'!$D$62+'Pro-Forma'!$D$63+'Pro-Forma'!$D$64+'Pro-Forma'!$D$65+'Pro-Forma'!$D$74+'Pro-Forma'!$G$49+'Pro-Forma'!$G$50+'Pro-Forma'!$D$76)</f>
        <v>35854101.78085176</v>
      </c>
      <c r="H139" s="14">
        <f>IF(H131,0,'Pro-Forma'!$C$29)+IF(H132,0,'Pro-Forma'!$G$45)+IF(H133,0,'Pro-Forma'!$G$44)+IF(H134,0,'Pro-Forma'!$G$43)+IF(H135,0,'Pro-Forma'!$G$42)+IF(H136,0,'Pro-Forma'!$G$41)+IF(H137,0,'Pro-Forma'!$G$40)+('Pro-Forma'!$D$62+'Pro-Forma'!$D$63+'Pro-Forma'!$D$64+'Pro-Forma'!$D$65+'Pro-Forma'!$D$74+'Pro-Forma'!$G$49+'Pro-Forma'!$G$50+'Pro-Forma'!$D$76)</f>
        <v>35854101.78085176</v>
      </c>
    </row>
    <row r="140" spans="2:8" x14ac:dyDescent="0.25">
      <c r="B140" s="5" t="s">
        <v>199</v>
      </c>
      <c r="C140" s="11">
        <f>C130-C138</f>
        <v>8002500000</v>
      </c>
      <c r="D140" s="11">
        <f>D130-D138</f>
        <v>8002500000</v>
      </c>
      <c r="E140" s="11">
        <f>E130-E138</f>
        <v>8002500000</v>
      </c>
      <c r="F140" s="11">
        <f>F130-F138</f>
        <v>8002500000</v>
      </c>
      <c r="G140" s="11">
        <f>G130-G138</f>
        <v>8002500000</v>
      </c>
      <c r="H140" s="11">
        <f>H130-H138</f>
        <v>8002500000</v>
      </c>
    </row>
    <row r="141" spans="2:8" x14ac:dyDescent="0.25">
      <c r="B141" s="9" t="s">
        <v>200</v>
      </c>
      <c r="C141" s="11">
        <f>C140/C139</f>
        <v>223.1962203073182</v>
      </c>
      <c r="D141" s="11">
        <f>D140/D139</f>
        <v>223.1962203073182</v>
      </c>
      <c r="E141" s="11">
        <f>E140/E139</f>
        <v>223.1962203073182</v>
      </c>
      <c r="F141" s="11">
        <f>F140/F139</f>
        <v>223.1962203073182</v>
      </c>
      <c r="G141" s="11">
        <f>G140/G139</f>
        <v>223.1962203073182</v>
      </c>
      <c r="H141" s="11">
        <f>H140/H139</f>
        <v>223.1962203073182</v>
      </c>
    </row>
    <row r="142" spans="2:8" x14ac:dyDescent="0.25">
      <c r="B142" s="15" t="s">
        <v>201</v>
      </c>
      <c r="C142" s="11">
        <f>'Pro-Forma'!$C$29*C141</f>
        <v>179515540.1309791</v>
      </c>
      <c r="D142" s="11">
        <f>'Pro-Forma'!$C$29*D141</f>
        <v>179515540.1309791</v>
      </c>
      <c r="E142" s="11">
        <f>'Pro-Forma'!$C$29*E141</f>
        <v>179515540.1309791</v>
      </c>
      <c r="F142" s="11">
        <f>'Pro-Forma'!$C$29*F141</f>
        <v>179515540.1309791</v>
      </c>
      <c r="G142" s="11">
        <f>'Pro-Forma'!$C$29*G141</f>
        <v>179515540.1309791</v>
      </c>
      <c r="H142" s="11">
        <f>'Pro-Forma'!$C$29*H141</f>
        <v>179515540.1309791</v>
      </c>
    </row>
    <row r="143" spans="2:8" x14ac:dyDescent="0.25">
      <c r="B143" s="15" t="s">
        <v>202</v>
      </c>
      <c r="C143" s="11">
        <f>'Pro-Forma'!$G$45*C141</f>
        <v>1369190991.984646</v>
      </c>
      <c r="D143" s="11">
        <f>'Pro-Forma'!$G$45*D141</f>
        <v>1369190991.984646</v>
      </c>
      <c r="E143" s="11">
        <f>'Pro-Forma'!$G$45*E141</f>
        <v>1369190991.984646</v>
      </c>
      <c r="F143" s="11">
        <f>'Pro-Forma'!$G$45*F141</f>
        <v>1369190991.984646</v>
      </c>
      <c r="G143" s="11">
        <f>'Pro-Forma'!$G$45*G141</f>
        <v>1369190991.984646</v>
      </c>
      <c r="H143" s="11">
        <f>'Pro-Forma'!$G$45*H141</f>
        <v>1369190991.984646</v>
      </c>
    </row>
    <row r="144" spans="2:8" x14ac:dyDescent="0.25">
      <c r="B144" s="15" t="s">
        <v>203</v>
      </c>
      <c r="C144" s="11">
        <f>'Pro-Forma'!$G$44*C141</f>
        <v>387017099.7767489</v>
      </c>
      <c r="D144" s="11">
        <f>'Pro-Forma'!$G$44*D141</f>
        <v>387017099.7767489</v>
      </c>
      <c r="E144" s="11">
        <f>'Pro-Forma'!$G$44*E141</f>
        <v>387017099.7767489</v>
      </c>
      <c r="F144" s="11">
        <f>'Pro-Forma'!$G$44*F141</f>
        <v>387017099.7767489</v>
      </c>
      <c r="G144" s="11">
        <f>'Pro-Forma'!$G$44*G141</f>
        <v>387017099.7767489</v>
      </c>
      <c r="H144" s="11">
        <f>'Pro-Forma'!$G$44*H141</f>
        <v>387017099.7767489</v>
      </c>
    </row>
    <row r="145" spans="2:8" x14ac:dyDescent="0.25">
      <c r="B145" s="15" t="s">
        <v>204</v>
      </c>
      <c r="C145" s="11">
        <f>'Pro-Forma'!$G$43*C141</f>
        <v>535670928.73756367</v>
      </c>
      <c r="D145" s="11">
        <f>'Pro-Forma'!$G$43*D141</f>
        <v>535670928.73756367</v>
      </c>
      <c r="E145" s="11">
        <f>'Pro-Forma'!$G$43*E141</f>
        <v>535670928.73756367</v>
      </c>
      <c r="F145" s="11">
        <f>'Pro-Forma'!$G$43*F141</f>
        <v>535670928.73756367</v>
      </c>
      <c r="G145" s="11">
        <f>'Pro-Forma'!$G$43*G141</f>
        <v>535670928.73756367</v>
      </c>
      <c r="H145" s="11">
        <f>'Pro-Forma'!$G$43*H141</f>
        <v>535670928.73756367</v>
      </c>
    </row>
    <row r="146" spans="2:8" x14ac:dyDescent="0.25">
      <c r="B146" s="15" t="s">
        <v>205</v>
      </c>
      <c r="C146" s="11">
        <f>'Pro-Forma'!$G$42*C141</f>
        <v>669588660.9219546</v>
      </c>
      <c r="D146" s="11">
        <f>'Pro-Forma'!$G$42*D141</f>
        <v>669588660.9219546</v>
      </c>
      <c r="E146" s="11">
        <f>'Pro-Forma'!$G$42*E141</f>
        <v>669588660.9219546</v>
      </c>
      <c r="F146" s="11">
        <f>'Pro-Forma'!$G$42*F141</f>
        <v>669588660.9219546</v>
      </c>
      <c r="G146" s="11">
        <f>'Pro-Forma'!$G$42*G141</f>
        <v>669588660.9219546</v>
      </c>
      <c r="H146" s="11">
        <f>'Pro-Forma'!$G$42*H141</f>
        <v>669588660.9219546</v>
      </c>
    </row>
    <row r="147" spans="2:8" x14ac:dyDescent="0.25">
      <c r="B147" s="15" t="s">
        <v>206</v>
      </c>
      <c r="C147" s="11">
        <f>'Pro-Forma'!$G$41*C141</f>
        <v>1115981101.536591</v>
      </c>
      <c r="D147" s="11">
        <f>'Pro-Forma'!$G$41*D141</f>
        <v>1115981101.536591</v>
      </c>
      <c r="E147" s="11">
        <f>'Pro-Forma'!$G$41*E141</f>
        <v>1115981101.536591</v>
      </c>
      <c r="F147" s="11">
        <f>'Pro-Forma'!$G$41*F141</f>
        <v>1115981101.536591</v>
      </c>
      <c r="G147" s="11">
        <f>'Pro-Forma'!$G$41*G141</f>
        <v>1115981101.536591</v>
      </c>
      <c r="H147" s="11">
        <f>'Pro-Forma'!$G$41*H141</f>
        <v>1115981101.536591</v>
      </c>
    </row>
    <row r="148" spans="2:8" x14ac:dyDescent="0.25">
      <c r="B148" s="15" t="s">
        <v>207</v>
      </c>
      <c r="C148" s="11">
        <f>'Pro-Forma'!$G$40*C141</f>
        <v>1115981101.536591</v>
      </c>
      <c r="D148" s="11">
        <f>'Pro-Forma'!$G$40*D141</f>
        <v>1115981101.536591</v>
      </c>
      <c r="E148" s="11">
        <f>'Pro-Forma'!$G$40*E141</f>
        <v>1115981101.536591</v>
      </c>
      <c r="F148" s="11">
        <f>'Pro-Forma'!$G$40*F141</f>
        <v>1115981101.536591</v>
      </c>
      <c r="G148" s="11">
        <f>'Pro-Forma'!$G$40*G141</f>
        <v>1115981101.536591</v>
      </c>
      <c r="H148" s="11">
        <f>'Pro-Forma'!$G$40*H141</f>
        <v>1115981101.536591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37"/>
  <sheetViews>
    <sheetView workbookViewId="0" showGridLines="0"/>
  </sheetViews>
  <sheetFormatPr defaultRowHeight="12.75" outlineLevelRow="0" outlineLevelCol="0" x14ac:dyDescent="0" defaultColWidth="11.455" customHeight="1"/>
  <cols>
    <col min="1" max="1" width="1.705" customWidth="1"/>
    <col min="2" max="2" width="27.705" customWidth="1"/>
    <col min="3" max="3" width="16.455" customWidth="1"/>
    <col min="4" max="13" width="12.705" customWidth="1"/>
  </cols>
  <sheetData>
    <row r="2" ht="18" customHeight="1" spans="2:2" x14ac:dyDescent="0.25">
      <c r="B2" s="1" t="s">
        <v>212</v>
      </c>
    </row>
    <row r="3" spans="2:2" x14ac:dyDescent="0.25">
      <c r="B3" s="2" t="s">
        <v>213</v>
      </c>
    </row>
    <row r="5" spans="2:13" x14ac:dyDescent="0.25">
      <c r="B5" s="3" t="s">
        <v>214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7" spans="2:5" x14ac:dyDescent="0.25">
      <c r="B7" s="12" t="s">
        <v>215</v>
      </c>
      <c r="C7" s="13"/>
      <c r="D7" s="13"/>
      <c r="E7" s="13"/>
    </row>
    <row r="8" spans="2:5" x14ac:dyDescent="0.25">
      <c r="B8" s="24" t="s">
        <v>216</v>
      </c>
      <c r="C8" s="25" t="s">
        <v>217</v>
      </c>
      <c r="D8" s="25" t="s">
        <v>218</v>
      </c>
      <c r="E8" s="25" t="s">
        <v>219</v>
      </c>
    </row>
    <row r="9" spans="2:5" x14ac:dyDescent="0.25">
      <c r="B9" s="26" t="s">
        <v>220</v>
      </c>
      <c r="C9" s="11">
        <f>(Assumptions!$C$11/M57)/M55</f>
        <v>0.008130081300813009</v>
      </c>
      <c r="D9" s="11">
        <f>(Assumptions!$C$11/M102)/M100</f>
        <v>0.008130081300813009</v>
      </c>
      <c r="E9" s="11">
        <f>(Assumptions!$C$11/M147)/M145</f>
        <v>0.008130081300813009</v>
      </c>
    </row>
    <row r="10" spans="2:5" x14ac:dyDescent="0.25">
      <c r="B10" s="26" t="s">
        <v>221</v>
      </c>
      <c r="C10" s="11">
        <f>(Assumptions!$C$11/M192)/M190</f>
        <v>0.006993006993006995</v>
      </c>
      <c r="D10" s="27">
        <f>(Assumptions!$C$11/M237)/M235</f>
        <v>0.006993006993006992</v>
      </c>
      <c r="E10" s="11">
        <f>(Assumptions!$C$11/M282)/M280</f>
        <v>0.006993006993006992</v>
      </c>
    </row>
    <row r="11" spans="2:5" x14ac:dyDescent="0.25">
      <c r="B11" s="26" t="s">
        <v>222</v>
      </c>
      <c r="C11" s="11">
        <f>(Assumptions!$C$11/M327)/M325</f>
        <v>0.00546448087431694</v>
      </c>
      <c r="D11" s="11">
        <f>(Assumptions!$C$11/M372)/M370</f>
        <v>0.005464480874316939</v>
      </c>
      <c r="E11" s="11">
        <f>(Assumptions!$C$11/M417)/M415</f>
        <v>0.00546448087431694</v>
      </c>
    </row>
    <row r="13" spans="2:5" x14ac:dyDescent="0.25">
      <c r="B13" s="12" t="s">
        <v>223</v>
      </c>
      <c r="C13" s="13"/>
      <c r="D13" s="13"/>
      <c r="E13" s="13"/>
    </row>
    <row r="14" spans="2:5" x14ac:dyDescent="0.25">
      <c r="B14" s="24" t="s">
        <v>216</v>
      </c>
      <c r="C14" s="25" t="s">
        <v>217</v>
      </c>
      <c r="D14" s="25" t="s">
        <v>218</v>
      </c>
      <c r="E14" s="25" t="s">
        <v>219</v>
      </c>
    </row>
    <row r="15" spans="2:5" x14ac:dyDescent="0.25">
      <c r="B15" s="26" t="s">
        <v>220</v>
      </c>
      <c r="C15" s="11">
        <f>(Assumptions!$C$11/Assumptions!$C$7)*IF(H60,Assumptions!$C$7,M45*H70)</f>
        <v>17107258.51239533</v>
      </c>
      <c r="D15" s="11">
        <f>(Assumptions!$C$11/Assumptions!$C$7)*IF(H105,Assumptions!$C$7,M90*H115)</f>
        <v>17384971.171574518</v>
      </c>
      <c r="E15" s="11">
        <f>(Assumptions!$C$11/Assumptions!$C$7)*IF(H150,Assumptions!$C$7,M135*H160)</f>
        <v>17795002.453058243</v>
      </c>
    </row>
    <row r="16" spans="2:5" x14ac:dyDescent="0.25">
      <c r="B16" s="26" t="s">
        <v>221</v>
      </c>
      <c r="C16" s="11">
        <f>(Assumptions!$C$11/Assumptions!$C$7)*IF(H195,Assumptions!$C$7,M180*H205)</f>
        <v>14719656.340190798</v>
      </c>
      <c r="D16" s="27">
        <f>(Assumptions!$C$11/Assumptions!$C$7)*IF(H240,Assumptions!$C$7,M225*H250)</f>
        <v>14948857.740803493</v>
      </c>
      <c r="E16" s="11">
        <f>(Assumptions!$C$11/Assumptions!$C$7)*IF(H285,Assumptions!$C$7,M270*H295)</f>
        <v>15301320.145873738</v>
      </c>
    </row>
    <row r="17" spans="2:5" x14ac:dyDescent="0.25">
      <c r="B17" s="26" t="s">
        <v>222</v>
      </c>
      <c r="C17" s="11">
        <f>(Assumptions!$C$11/Assumptions!$C$7)*IF(H330,Assumptions!$C$7,M315*H340)</f>
        <v>11507140.615136413</v>
      </c>
      <c r="D17" s="11">
        <f>(Assumptions!$C$11/Assumptions!$C$7)*IF(H375,Assumptions!$C$7,M360*H385)</f>
        <v>11676568.389255676</v>
      </c>
      <c r="E17" s="11">
        <f>(Assumptions!$C$11/Assumptions!$C$7)*IF(H420,Assumptions!$C$7,M405*H430)</f>
        <v>11951761.843570529</v>
      </c>
    </row>
    <row r="35" spans="2:13" x14ac:dyDescent="0.25">
      <c r="B35" s="3" t="s">
        <v>224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2:3" x14ac:dyDescent="0.25">
      <c r="B36" s="5" t="s">
        <v>225</v>
      </c>
      <c r="C36" s="11">
        <f>Assumptions!$C$62</f>
        <v>1200000000</v>
      </c>
    </row>
    <row r="37" spans="2:3" x14ac:dyDescent="0.25">
      <c r="B37" s="5" t="s">
        <v>226</v>
      </c>
      <c r="C37" s="18">
        <f>Assumptions!$C$59</f>
        <v>0.11</v>
      </c>
    </row>
    <row r="38" spans="2:13" x14ac:dyDescent="0.25">
      <c r="B38" s="12" t="s">
        <v>62</v>
      </c>
      <c r="D38" s="13" t="s">
        <v>63</v>
      </c>
      <c r="E38" s="13" t="s">
        <v>64</v>
      </c>
      <c r="F38" s="13" t="s">
        <v>65</v>
      </c>
      <c r="G38" s="13" t="s">
        <v>66</v>
      </c>
      <c r="H38" s="13" t="s">
        <v>67</v>
      </c>
      <c r="I38" s="13" t="s">
        <v>68</v>
      </c>
      <c r="J38" s="13" t="s">
        <v>69</v>
      </c>
      <c r="K38" s="13" t="s">
        <v>70</v>
      </c>
      <c r="L38" s="13" t="s">
        <v>71</v>
      </c>
      <c r="M38" s="13" t="s">
        <v>72</v>
      </c>
    </row>
    <row r="39" spans="2:13" x14ac:dyDescent="0.25">
      <c r="B39" s="5" t="s">
        <v>73</v>
      </c>
      <c r="D39" s="8">
        <v>45</v>
      </c>
      <c r="E39" s="14">
        <f>D57</f>
        <v>32.52404432214637</v>
      </c>
      <c r="F39" s="14">
        <f>E57</f>
        <v>32.442401543330234</v>
      </c>
      <c r="G39" s="14">
        <f>F57</f>
        <v>32.44130982115073</v>
      </c>
      <c r="H39" s="14">
        <f>G57</f>
        <v>32.44129518597835</v>
      </c>
      <c r="I39" s="14">
        <f>H57</f>
        <v>32.44129498977872</v>
      </c>
      <c r="J39" s="14">
        <f>I57</f>
        <v>32.441294987148474</v>
      </c>
      <c r="K39" s="14">
        <f>J57</f>
        <v>32.44129498711321</v>
      </c>
      <c r="L39" s="14">
        <f>K57</f>
        <v>32.441294987112734</v>
      </c>
      <c r="M39" s="14">
        <f>L57</f>
        <v>32.44129498711272</v>
      </c>
    </row>
    <row r="40" spans="2:13" x14ac:dyDescent="0.25">
      <c r="B40" s="5" t="s">
        <v>227</v>
      </c>
      <c r="D40" s="14">
        <f>IF(D39&lt;Assumptions!$C$26,Assumptions!$C$26*(Assumptions!$C$44+Assumptions!$C$7/Assumptions!$C$26)/(Assumptions!$C$44+Assumptions!$C$7/D39),Assumptions!$C$26)</f>
        <v>57.88378478994243</v>
      </c>
      <c r="E40" s="14">
        <f>IF(E39&lt;Assumptions!$C$26,Assumptions!$C$26*(Assumptions!$C$44+Assumptions!$C$7/Assumptions!$C$26)/(Assumptions!$C$44+Assumptions!$C$7/E39),Assumptions!$C$26)</f>
        <v>57.48947590878083</v>
      </c>
      <c r="F40" s="14">
        <f>IF(F39&lt;Assumptions!$C$26,Assumptions!$C$26*(Assumptions!$C$44+Assumptions!$C$7/Assumptions!$C$26)/(Assumptions!$C$44+Assumptions!$C$7/F39),Assumptions!$C$26)</f>
        <v>57.485921358936764</v>
      </c>
      <c r="G40" s="14">
        <f>IF(G39&lt;Assumptions!$C$26,Assumptions!$C$26*(Assumptions!$C$44+Assumptions!$C$7/Assumptions!$C$26)/(Assumptions!$C$44+Assumptions!$C$7/G39),Assumptions!$C$26)</f>
        <v>57.485873709484295</v>
      </c>
      <c r="H40" s="14">
        <f>IF(H39&lt;Assumptions!$C$26,Assumptions!$C$26*(Assumptions!$C$44+Assumptions!$C$7/Assumptions!$C$26)/(Assumptions!$C$44+Assumptions!$C$7/H39),Assumptions!$C$26)</f>
        <v>57.485873070694346</v>
      </c>
      <c r="I40" s="14">
        <f>IF(I39&lt;Assumptions!$C$26,Assumptions!$C$26*(Assumptions!$C$44+Assumptions!$C$7/Assumptions!$C$26)/(Assumptions!$C$44+Assumptions!$C$7/I39),Assumptions!$C$26)</f>
        <v>57.48587306213071</v>
      </c>
      <c r="J40" s="14">
        <f>IF(J39&lt;Assumptions!$C$26,Assumptions!$C$26*(Assumptions!$C$44+Assumptions!$C$7/Assumptions!$C$26)/(Assumptions!$C$44+Assumptions!$C$7/J39),Assumptions!$C$26)</f>
        <v>57.485873062015905</v>
      </c>
      <c r="K40" s="14">
        <f>IF(K39&lt;Assumptions!$C$26,Assumptions!$C$26*(Assumptions!$C$44+Assumptions!$C$7/Assumptions!$C$26)/(Assumptions!$C$44+Assumptions!$C$7/K39),Assumptions!$C$26)</f>
        <v>57.485873062014356</v>
      </c>
      <c r="L40" s="14">
        <f>IF(L39&lt;Assumptions!$C$26,Assumptions!$C$26*(Assumptions!$C$44+Assumptions!$C$7/Assumptions!$C$26)/(Assumptions!$C$44+Assumptions!$C$7/L39),Assumptions!$C$26)</f>
        <v>57.48587306201434</v>
      </c>
      <c r="M40" s="14">
        <f>IF(M39&lt;Assumptions!$C$26,Assumptions!$C$26*(Assumptions!$C$44+Assumptions!$C$7/Assumptions!$C$26)/(Assumptions!$C$44+Assumptions!$C$7/M39),Assumptions!$C$26)</f>
        <v>57.48587306201434</v>
      </c>
    </row>
    <row r="41" spans="2:13" x14ac:dyDescent="0.25">
      <c r="B41" s="15" t="s">
        <v>228</v>
      </c>
      <c r="D41" s="14">
        <f>Assumptions!$C$40*Assumptions!$C$27/D40-Assumptions!$C$39</f>
        <v>6972.8859247963</v>
      </c>
      <c r="E41" s="14">
        <f>Assumptions!$C$40*Assumptions!$C$27/E40-Assumptions!$C$39</f>
        <v>18822.1499395664</v>
      </c>
      <c r="F41" s="14">
        <f>Assumptions!$C$40*Assumptions!$C$27/F40-Assumptions!$C$39</f>
        <v>18929.7059908311</v>
      </c>
      <c r="G41" s="14">
        <f>Assumptions!$C$40*Assumptions!$C$27/G40-Assumptions!$C$39</f>
        <v>18931.147891584</v>
      </c>
      <c r="H41" s="14">
        <f>Assumptions!$C$40*Assumptions!$C$27/H40-Assumptions!$C$39</f>
        <v>18931.1672217636</v>
      </c>
      <c r="I41" s="14">
        <f>Assumptions!$C$40*Assumptions!$C$27/I40-Assumptions!$C$39</f>
        <v>18931.1674809046</v>
      </c>
      <c r="J41" s="14">
        <f>Assumptions!$C$40*Assumptions!$C$27/J40-Assumptions!$C$39</f>
        <v>18931.1674843787</v>
      </c>
      <c r="K41" s="14">
        <f>Assumptions!$C$40*Assumptions!$C$27/K40-Assumptions!$C$39</f>
        <v>18931.1674844257</v>
      </c>
      <c r="L41" s="14">
        <f>Assumptions!$C$40*Assumptions!$C$27/L40-Assumptions!$C$39</f>
        <v>18931.1674844262</v>
      </c>
      <c r="M41" s="14">
        <f>Assumptions!$C$40*Assumptions!$C$27/M40-Assumptions!$C$39</f>
        <v>18931.1674844262</v>
      </c>
    </row>
    <row r="42" spans="2:13" x14ac:dyDescent="0.25">
      <c r="B42" s="5" t="s">
        <v>229</v>
      </c>
      <c r="D42" s="14">
        <f>IF(D39&lt;Assumptions!$C$28,Assumptions!$C$28*(Assumptions!$C$44+Assumptions!$C$7/Assumptions!$C$28)/(Assumptions!$C$44+Assumptions!$C$7/D39),Assumptions!$C$28)</f>
        <v>49.08395844489023</v>
      </c>
      <c r="E42" s="14">
        <f>IF(E39&lt;Assumptions!$C$28,Assumptions!$C$28*(Assumptions!$C$44+Assumptions!$C$7/Assumptions!$C$28)/(Assumptions!$C$44+Assumptions!$C$7/E39),Assumptions!$C$28)</f>
        <v>48.74959467086227</v>
      </c>
      <c r="F42" s="14">
        <f>IF(F39&lt;Assumptions!$C$28,Assumptions!$C$28*(Assumptions!$C$44+Assumptions!$C$7/Assumptions!$C$28)/(Assumptions!$C$44+Assumptions!$C$7/F39),Assumptions!$C$28)</f>
        <v>48.746580504157905</v>
      </c>
      <c r="G42" s="14">
        <f>IF(G39&lt;Assumptions!$C$28,Assumptions!$C$28*(Assumptions!$C$44+Assumptions!$C$7/Assumptions!$C$28)/(Assumptions!$C$44+Assumptions!$C$7/G39),Assumptions!$C$28)</f>
        <v>48.74654009864964</v>
      </c>
      <c r="H42" s="14">
        <f>IF(H39&lt;Assumptions!$C$28,Assumptions!$C$28*(Assumptions!$C$44+Assumptions!$C$7/Assumptions!$C$28)/(Assumptions!$C$44+Assumptions!$C$7/H39),Assumptions!$C$28)</f>
        <v>48.74653955697221</v>
      </c>
      <c r="I42" s="14">
        <f>IF(I39&lt;Assumptions!$C$28,Assumptions!$C$28*(Assumptions!$C$44+Assumptions!$C$7/Assumptions!$C$28)/(Assumptions!$C$44+Assumptions!$C$7/I39),Assumptions!$C$28)</f>
        <v>48.74653954971047</v>
      </c>
      <c r="J42" s="14">
        <f>IF(J39&lt;Assumptions!$C$28,Assumptions!$C$28*(Assumptions!$C$44+Assumptions!$C$7/Assumptions!$C$28)/(Assumptions!$C$44+Assumptions!$C$7/J39),Assumptions!$C$28)</f>
        <v>48.74653954961312</v>
      </c>
      <c r="K42" s="14">
        <f>IF(K39&lt;Assumptions!$C$28,Assumptions!$C$28*(Assumptions!$C$44+Assumptions!$C$7/Assumptions!$C$28)/(Assumptions!$C$44+Assumptions!$C$7/K39),Assumptions!$C$28)</f>
        <v>48.74653954961181</v>
      </c>
      <c r="L42" s="14">
        <f>IF(L39&lt;Assumptions!$C$28,Assumptions!$C$28*(Assumptions!$C$44+Assumptions!$C$7/Assumptions!$C$28)/(Assumptions!$C$44+Assumptions!$C$7/L39),Assumptions!$C$28)</f>
        <v>48.746539549611796</v>
      </c>
      <c r="M42" s="14">
        <f>IF(M39&lt;Assumptions!$C$28,Assumptions!$C$28*(Assumptions!$C$44+Assumptions!$C$7/Assumptions!$C$28)/(Assumptions!$C$44+Assumptions!$C$7/M39),Assumptions!$C$28)</f>
        <v>48.746539549611796</v>
      </c>
    </row>
    <row r="43" spans="2:13" x14ac:dyDescent="0.25">
      <c r="B43" s="15" t="s">
        <v>230</v>
      </c>
      <c r="D43" s="14">
        <f>Assumptions!$C$41*Assumptions!$C$28/D42-Assumptions!$C$41</f>
        <v>9244.341711835</v>
      </c>
      <c r="E43" s="14">
        <f>Assumptions!$C$41*Assumptions!$C$28/E42-Assumptions!$C$41</f>
        <v>51164.72600501</v>
      </c>
      <c r="F43" s="14">
        <f>Assumptions!$C$41*Assumptions!$C$28/F42-Assumptions!$C$41</f>
        <v>51545.238330202</v>
      </c>
      <c r="G43" s="14">
        <f>Assumptions!$C$41*Assumptions!$C$28/G42-Assumptions!$C$41</f>
        <v>51550.339493751</v>
      </c>
      <c r="H43" s="14">
        <f>Assumptions!$C$41*Assumptions!$C$28/H42-Assumptions!$C$41</f>
        <v>51550.407880156</v>
      </c>
      <c r="I43" s="14">
        <f>Assumptions!$C$41*Assumptions!$C$28/I42-Assumptions!$C$41</f>
        <v>51550.408796946</v>
      </c>
      <c r="J43" s="14">
        <f>Assumptions!$C$41*Assumptions!$C$28/J42-Assumptions!$C$41</f>
        <v>51550.408809236</v>
      </c>
      <c r="K43" s="14">
        <f>Assumptions!$C$41*Assumptions!$C$28/K42-Assumptions!$C$41</f>
        <v>51550.408809401</v>
      </c>
      <c r="L43" s="14">
        <f>Assumptions!$C$41*Assumptions!$C$28/L42-Assumptions!$C$41</f>
        <v>51550.408809403</v>
      </c>
      <c r="M43" s="14">
        <f>Assumptions!$C$41*Assumptions!$C$28/M42-Assumptions!$C$41</f>
        <v>51550.408809403</v>
      </c>
    </row>
    <row r="44" spans="2:13" x14ac:dyDescent="0.25">
      <c r="B44" s="5" t="s">
        <v>231</v>
      </c>
      <c r="D44" s="14">
        <f>Assumptions!$C$44+D41+D43</f>
        <v>36634178.22763663</v>
      </c>
      <c r="E44" s="14">
        <f>Assumptions!$C$44+E41+E43</f>
        <v>36687947.87594458</v>
      </c>
      <c r="F44" s="14">
        <f>Assumptions!$C$44+F41+F43</f>
        <v>36688435.94432103</v>
      </c>
      <c r="G44" s="14">
        <f>Assumptions!$C$44+G41+G43</f>
        <v>36688442.48738533</v>
      </c>
      <c r="H44" s="14">
        <f>Assumptions!$C$44+H41+H43</f>
        <v>36688442.57510192</v>
      </c>
      <c r="I44" s="14">
        <f>Assumptions!$C$44+I41+I43</f>
        <v>36688442.576277845</v>
      </c>
      <c r="J44" s="14">
        <f>Assumptions!$C$44+J41+J43</f>
        <v>36688442.57629362</v>
      </c>
      <c r="K44" s="14">
        <f>Assumptions!$C$44+K41+K43</f>
        <v>36688442.576293826</v>
      </c>
      <c r="L44" s="14">
        <f>Assumptions!$C$44+L41+L43</f>
        <v>36688442.576293826</v>
      </c>
      <c r="M44" s="14">
        <f>Assumptions!$C$44+M41+M43</f>
        <v>36688442.576293826</v>
      </c>
    </row>
    <row r="45" spans="2:13" x14ac:dyDescent="0.25">
      <c r="B45" s="5" t="s">
        <v>232</v>
      </c>
      <c r="D45" s="14">
        <f>Assumptions!$C$7/D39</f>
        <v>666666.6666666666</v>
      </c>
      <c r="E45" s="14">
        <f>Assumptions!$C$7/E39</f>
        <v>922394.5122830961</v>
      </c>
      <c r="F45" s="14">
        <f>Assumptions!$C$7/F39</f>
        <v>924715.7600195488</v>
      </c>
      <c r="G45" s="14">
        <f>Assumptions!$C$7/G39</f>
        <v>924746.8787601457</v>
      </c>
      <c r="H45" s="14">
        <f>Assumptions!$C$7/H39</f>
        <v>924747.295939235</v>
      </c>
      <c r="I45" s="14">
        <f>Assumptions!$C$7/I39</f>
        <v>924747.3015319549</v>
      </c>
      <c r="J45" s="14">
        <f>Assumptions!$C$7/J39</f>
        <v>924747.3016069307</v>
      </c>
      <c r="K45" s="14">
        <f>Assumptions!$C$7/K39</f>
        <v>924747.3016079359</v>
      </c>
      <c r="L45" s="14">
        <f>Assumptions!$C$7/L39</f>
        <v>924747.3016079495</v>
      </c>
      <c r="M45" s="14">
        <f>Assumptions!$C$7/M39</f>
        <v>924747.3016079499</v>
      </c>
    </row>
    <row r="46" spans="2:13" x14ac:dyDescent="0.25">
      <c r="B46" s="15" t="s">
        <v>233</v>
      </c>
      <c r="D46" s="14">
        <f>Assumptions!$C$48/(D44+0+0)</f>
        <v>27.296913657683888</v>
      </c>
      <c r="E46" s="14">
        <f>Assumptions!$C$48/(E44+D54+D53)</f>
        <v>27.19876203314125</v>
      </c>
      <c r="F46" s="14">
        <f>Assumptions!$C$48/(F44+E54+E53)</f>
        <v>27.176163240306046</v>
      </c>
      <c r="G46" s="14">
        <f>Assumptions!$C$48/(G44+F54+F53)</f>
        <v>27.175956722095965</v>
      </c>
      <c r="H46" s="14">
        <f>Assumptions!$C$48/(H44+G54+G53)</f>
        <v>27.17595395352584</v>
      </c>
      <c r="I46" s="14">
        <f>Assumptions!$C$48/(I44+H54+H53)</f>
        <v>27.175953916410286</v>
      </c>
      <c r="J46" s="14">
        <f>Assumptions!$C$48/(J44+I54+I53)</f>
        <v>27.175953915912707</v>
      </c>
      <c r="K46" s="14">
        <f>Assumptions!$C$48/(K44+J54+J53)</f>
        <v>27.175953915906042</v>
      </c>
      <c r="L46" s="14">
        <f>Assumptions!$C$48/(L44+K54+K53)</f>
        <v>27.175953915905957</v>
      </c>
      <c r="M46" s="14">
        <f>Assumptions!$C$48/(M44+L54+L53)</f>
        <v>27.175953915905957</v>
      </c>
    </row>
    <row r="47" spans="2:13" x14ac:dyDescent="0.25">
      <c r="B47" s="15" t="s">
        <v>234</v>
      </c>
      <c r="D47" s="14">
        <f>D39*(1-Assumptions!$C$49)</f>
        <v>36</v>
      </c>
      <c r="E47" s="14">
        <f>E39*(1-Assumptions!$C$49)</f>
        <v>26.019235457717095</v>
      </c>
      <c r="F47" s="14">
        <f>F39*(1-Assumptions!$C$49)</f>
        <v>25.953921234664186</v>
      </c>
      <c r="G47" s="14">
        <f>G39*(1-Assumptions!$C$49)</f>
        <v>25.953047856920584</v>
      </c>
      <c r="H47" s="14">
        <f>H39*(1-Assumptions!$C$49)</f>
        <v>25.95303614878268</v>
      </c>
      <c r="I47" s="14">
        <f>I39*(1-Assumptions!$C$49)</f>
        <v>25.953035991822976</v>
      </c>
      <c r="J47" s="14">
        <f>J39*(1-Assumptions!$C$49)</f>
        <v>25.953035989718778</v>
      </c>
      <c r="K47" s="14">
        <f>K39*(1-Assumptions!$C$49)</f>
        <v>25.95303598969057</v>
      </c>
      <c r="L47" s="14">
        <f>L39*(1-Assumptions!$C$49)</f>
        <v>25.953035989690186</v>
      </c>
      <c r="M47" s="14">
        <f>M39*(1-Assumptions!$C$49)</f>
        <v>25.953035989690175</v>
      </c>
    </row>
    <row r="48" spans="2:13" x14ac:dyDescent="0.25">
      <c r="B48" s="15" t="s">
        <v>235</v>
      </c>
      <c r="D48" s="14">
        <f>MIN(D46,D47)</f>
        <v>27.296913657683888</v>
      </c>
      <c r="E48" s="14">
        <f>MIN(E46,E47)</f>
        <v>26.019235457717095</v>
      </c>
      <c r="F48" s="14">
        <f>MIN(F46,F47)</f>
        <v>25.953921234664186</v>
      </c>
      <c r="G48" s="14">
        <f>MIN(G46,G47)</f>
        <v>25.953047856920584</v>
      </c>
      <c r="H48" s="14">
        <f>MIN(H46,H47)</f>
        <v>25.95303614878268</v>
      </c>
      <c r="I48" s="14">
        <f>MIN(I46,I47)</f>
        <v>25.953035991822976</v>
      </c>
      <c r="J48" s="14">
        <f>MIN(J46,J47)</f>
        <v>25.953035989718778</v>
      </c>
      <c r="K48" s="14">
        <f>MIN(K46,K47)</f>
        <v>25.95303598969057</v>
      </c>
      <c r="L48" s="14">
        <f>MIN(L46,L47)</f>
        <v>25.953035989690186</v>
      </c>
      <c r="M48" s="14">
        <f>MIN(M46,M47)</f>
        <v>25.953035989690175</v>
      </c>
    </row>
    <row r="49" spans="2:13" x14ac:dyDescent="0.25">
      <c r="B49" s="15" t="s">
        <v>236</v>
      </c>
      <c r="D49" s="14">
        <f>Assumptions!$C$47/D48</f>
        <v>183170.89113818313</v>
      </c>
      <c r="E49" s="14">
        <f>Assumptions!$C$47/E48</f>
        <v>192165.52339231168</v>
      </c>
      <c r="F49" s="14">
        <f>Assumptions!$C$47/F48</f>
        <v>192649.11667073934</v>
      </c>
      <c r="G49" s="14">
        <f>Assumptions!$C$47/G48</f>
        <v>192655.59974169702</v>
      </c>
      <c r="H49" s="14">
        <f>Assumptions!$C$47/H48</f>
        <v>192655.6866540073</v>
      </c>
      <c r="I49" s="14">
        <f>Assumptions!$C$47/I48</f>
        <v>192655.68781915726</v>
      </c>
      <c r="J49" s="14">
        <f>Assumptions!$C$47/J48</f>
        <v>192655.68783477726</v>
      </c>
      <c r="K49" s="14">
        <f>Assumptions!$C$47/K48</f>
        <v>192655.68783498663</v>
      </c>
      <c r="L49" s="14">
        <f>Assumptions!$C$47/L48</f>
        <v>192655.68783498948</v>
      </c>
      <c r="M49" s="14">
        <f>Assumptions!$C$47/M48</f>
        <v>192655.68783498957</v>
      </c>
    </row>
    <row r="50" spans="2:13" x14ac:dyDescent="0.25">
      <c r="B50" s="15" t="s">
        <v>237</v>
      </c>
      <c r="D50" s="14">
        <f>Assumptions!$C$51/(D44+0+0)</f>
        <v>43.67506185229422</v>
      </c>
      <c r="E50" s="14">
        <f>Assumptions!$C$51/(E44+D54+D49)</f>
        <v>43.3943979326286</v>
      </c>
      <c r="F50" s="14">
        <f>Assumptions!$C$51/(F44+E54+E49)</f>
        <v>43.38324041164838</v>
      </c>
      <c r="G50" s="14">
        <f>Assumptions!$C$51/(G44+F54+F49)</f>
        <v>43.382663864104195</v>
      </c>
      <c r="H50" s="14">
        <f>Assumptions!$C$51/(H44+G54+G49)</f>
        <v>43.3826561349887</v>
      </c>
      <c r="I50" s="14">
        <f>Assumptions!$C$51/(I44+H54+H49)</f>
        <v>43.382656031371894</v>
      </c>
      <c r="J50" s="14">
        <f>Assumptions!$C$51/(J44+I54+I49)</f>
        <v>43.38265602998279</v>
      </c>
      <c r="K50" s="14">
        <f>Assumptions!$C$51/(K44+J54+J49)</f>
        <v>43.38265602996418</v>
      </c>
      <c r="L50" s="14">
        <f>Assumptions!$C$51/(L44+K54+K49)</f>
        <v>43.38265602996393</v>
      </c>
      <c r="M50" s="14">
        <f>Assumptions!$C$51/(M44+L54+L49)</f>
        <v>43.38265602996392</v>
      </c>
    </row>
    <row r="51" spans="2:13" x14ac:dyDescent="0.25">
      <c r="B51" s="15" t="s">
        <v>238</v>
      </c>
      <c r="D51" s="14">
        <f>D39*(1-Assumptions!$C$52)</f>
        <v>38.25</v>
      </c>
      <c r="E51" s="14">
        <f>E39*(1-Assumptions!$C$52)</f>
        <v>27.645437673824414</v>
      </c>
      <c r="F51" s="14">
        <f>F39*(1-Assumptions!$C$52)</f>
        <v>27.5760413118307</v>
      </c>
      <c r="G51" s="14">
        <f>G39*(1-Assumptions!$C$52)</f>
        <v>27.57511334797812</v>
      </c>
      <c r="H51" s="14">
        <f>H39*(1-Assumptions!$C$52)</f>
        <v>27.5751009080816</v>
      </c>
      <c r="I51" s="14">
        <f>I39*(1-Assumptions!$C$52)</f>
        <v>27.57510074131191</v>
      </c>
      <c r="J51" s="14">
        <f>J39*(1-Assumptions!$C$52)</f>
        <v>27.575100739076202</v>
      </c>
      <c r="K51" s="14">
        <f>K39*(1-Assumptions!$C$52)</f>
        <v>27.575100739046228</v>
      </c>
      <c r="L51" s="14">
        <f>L39*(1-Assumptions!$C$52)</f>
        <v>27.575100739045823</v>
      </c>
      <c r="M51" s="14">
        <f>M39*(1-Assumptions!$C$52)</f>
        <v>27.575100739045812</v>
      </c>
    </row>
    <row r="52" spans="2:13" x14ac:dyDescent="0.25">
      <c r="B52" s="15" t="s">
        <v>239</v>
      </c>
      <c r="D52" s="14">
        <f>MIN(D50,D51)</f>
        <v>38.25</v>
      </c>
      <c r="E52" s="14">
        <f>MIN(E50,E51)</f>
        <v>27.645437673824414</v>
      </c>
      <c r="F52" s="14">
        <f>MIN(F50,F51)</f>
        <v>27.5760413118307</v>
      </c>
      <c r="G52" s="14">
        <f>MIN(G50,G51)</f>
        <v>27.57511334797812</v>
      </c>
      <c r="H52" s="14">
        <f>MIN(H50,H51)</f>
        <v>27.5751009080816</v>
      </c>
      <c r="I52" s="14">
        <f>MIN(I50,I51)</f>
        <v>27.57510074131191</v>
      </c>
      <c r="J52" s="14">
        <f>MIN(J50,J51)</f>
        <v>27.575100739076202</v>
      </c>
      <c r="K52" s="14">
        <f>MIN(K50,K51)</f>
        <v>27.575100739046228</v>
      </c>
      <c r="L52" s="14">
        <f>MIN(L50,L51)</f>
        <v>27.575100739045823</v>
      </c>
      <c r="M52" s="14">
        <f>MIN(M50,M51)</f>
        <v>27.575100739045812</v>
      </c>
    </row>
    <row r="53" spans="2:13" x14ac:dyDescent="0.25">
      <c r="B53" s="15" t="s">
        <v>240</v>
      </c>
      <c r="D53" s="14">
        <f>Assumptions!$C$50/D52</f>
        <v>78431.37254901961</v>
      </c>
      <c r="E53" s="14">
        <f>Assumptions!$C$50/E52</f>
        <v>108517.00144507013</v>
      </c>
      <c r="F53" s="14">
        <f>Assumptions!$C$50/F52</f>
        <v>108790.08941406455</v>
      </c>
      <c r="G53" s="14">
        <f>Assumptions!$C$50/G52</f>
        <v>108793.75044237009</v>
      </c>
      <c r="H53" s="14">
        <f>Assumptions!$C$50/H52</f>
        <v>108793.79952226293</v>
      </c>
      <c r="I53" s="14">
        <f>Assumptions!$C$50/I52</f>
        <v>108793.80018023</v>
      </c>
      <c r="J53" s="14">
        <f>Assumptions!$C$50/J52</f>
        <v>108793.80018905067</v>
      </c>
      <c r="K53" s="14">
        <f>Assumptions!$C$50/K52</f>
        <v>108793.80018916893</v>
      </c>
      <c r="L53" s="14">
        <f>Assumptions!$C$50/L52</f>
        <v>108793.80018917054</v>
      </c>
      <c r="M53" s="14">
        <f>Assumptions!$C$50/M52</f>
        <v>108793.80018917058</v>
      </c>
    </row>
    <row r="54" spans="2:13" x14ac:dyDescent="0.25">
      <c r="B54" s="5" t="s">
        <v>88</v>
      </c>
      <c r="D54" s="14">
        <f>MAX(0,(Assumptions!$C$59*(D44+D49+D53+D45)-Assumptions!$C$56)/(1-Assumptions!$C$59))</f>
        <v>0</v>
      </c>
      <c r="E54" s="14">
        <f>MAX(0,(Assumptions!$C$59*(E44+E49+E53+E45)-Assumptions!$C$56)/(1-Assumptions!$C$59))</f>
        <v>0</v>
      </c>
      <c r="F54" s="14">
        <f>MAX(0,(Assumptions!$C$59*(F44+F49+F53+F45)-Assumptions!$C$56)/(1-Assumptions!$C$59))</f>
        <v>0</v>
      </c>
      <c r="G54" s="14">
        <f>MAX(0,(Assumptions!$C$59*(G44+G49+G53+G45)-Assumptions!$C$56)/(1-Assumptions!$C$59))</f>
        <v>0</v>
      </c>
      <c r="H54" s="14">
        <f>MAX(0,(Assumptions!$C$59*(H44+H49+H53+H45)-Assumptions!$C$56)/(1-Assumptions!$C$59))</f>
        <v>0</v>
      </c>
      <c r="I54" s="14">
        <f>MAX(0,(Assumptions!$C$59*(I44+I49+I53+I45)-Assumptions!$C$56)/(1-Assumptions!$C$59))</f>
        <v>0</v>
      </c>
      <c r="J54" s="14">
        <f>MAX(0,(Assumptions!$C$59*(J44+J49+J53+J45)-Assumptions!$C$56)/(1-Assumptions!$C$59))</f>
        <v>0</v>
      </c>
      <c r="K54" s="14">
        <f>MAX(0,(Assumptions!$C$59*(K44+K49+K53+K45)-Assumptions!$C$56)/(1-Assumptions!$C$59))</f>
        <v>0</v>
      </c>
      <c r="L54" s="14">
        <f>MAX(0,(Assumptions!$C$59*(L44+L49+L53+L45)-Assumptions!$C$56)/(1-Assumptions!$C$59))</f>
        <v>0</v>
      </c>
      <c r="M54" s="14">
        <f>MAX(0,(Assumptions!$C$59*(M44+M49+M53+M45)-Assumptions!$C$56)/(1-Assumptions!$C$59))</f>
        <v>0</v>
      </c>
    </row>
    <row r="55" spans="2:13" x14ac:dyDescent="0.25">
      <c r="B55" s="9" t="s">
        <v>241</v>
      </c>
      <c r="D55" s="14">
        <f>D44+D54+D49+D53+D45</f>
        <v>37562447.1579905</v>
      </c>
      <c r="E55" s="14">
        <f>E44+E54+E49+E53+E45</f>
        <v>37911024.91306505</v>
      </c>
      <c r="F55" s="14">
        <f>F44+F54+F49+F53+F45</f>
        <v>37914590.91042538</v>
      </c>
      <c r="G55" s="14">
        <f>G44+G54+G49+G53+G45</f>
        <v>37914638.716329545</v>
      </c>
      <c r="H55" s="14">
        <f>H44+H54+H49+H53+H45</f>
        <v>37914639.35721743</v>
      </c>
      <c r="I55" s="14">
        <f>I44+I54+I49+I53+I45</f>
        <v>37914639.36580919</v>
      </c>
      <c r="J55" s="14">
        <f>J44+J54+J49+J53+J45</f>
        <v>37914639.36592437</v>
      </c>
      <c r="K55" s="14">
        <f>K44+K54+K49+K53+K45</f>
        <v>37914639.365925916</v>
      </c>
      <c r="L55" s="14">
        <f>L44+L54+L49+L53+L45</f>
        <v>37914639.365925945</v>
      </c>
      <c r="M55" s="14">
        <f>M44+M54+M49+M53+M45</f>
        <v>37914639.365925945</v>
      </c>
    </row>
    <row r="56" spans="2:13" x14ac:dyDescent="0.25">
      <c r="B56" s="5" t="s">
        <v>242</v>
      </c>
      <c r="D56" s="14">
        <f>D55-D45</f>
        <v>36895780.491323836</v>
      </c>
      <c r="E56" s="14">
        <f>E55-E45</f>
        <v>36988630.40078195</v>
      </c>
      <c r="F56" s="14">
        <f>F55-F45</f>
        <v>36989875.15040583</v>
      </c>
      <c r="G56" s="14">
        <f>G55-G45</f>
        <v>36989891.8375694</v>
      </c>
      <c r="H56" s="14">
        <f>H55-H45</f>
        <v>36989892.061278194</v>
      </c>
      <c r="I56" s="14">
        <f>I55-I45</f>
        <v>36989892.06427723</v>
      </c>
      <c r="J56" s="14">
        <f>J55-J45</f>
        <v>36989892.06431744</v>
      </c>
      <c r="K56" s="14">
        <f>K55-K45</f>
        <v>36989892.06431798</v>
      </c>
      <c r="L56" s="14">
        <f>L55-L45</f>
        <v>36989892.064317994</v>
      </c>
      <c r="M56" s="14">
        <f>M55-M45</f>
        <v>36989892.064317994</v>
      </c>
    </row>
    <row r="57" spans="2:13" x14ac:dyDescent="0.25">
      <c r="B57" s="9" t="s">
        <v>91</v>
      </c>
      <c r="D57" s="14">
        <f>Assumptions!$C$62/D56</f>
        <v>32.52404432214637</v>
      </c>
      <c r="E57" s="14">
        <f>Assumptions!$C$62/E56</f>
        <v>32.442401543330234</v>
      </c>
      <c r="F57" s="14">
        <f>Assumptions!$C$62/F56</f>
        <v>32.44130982115073</v>
      </c>
      <c r="G57" s="14">
        <f>Assumptions!$C$62/G56</f>
        <v>32.44129518597835</v>
      </c>
      <c r="H57" s="14">
        <f>Assumptions!$C$62/H56</f>
        <v>32.44129498977872</v>
      </c>
      <c r="I57" s="14">
        <f>Assumptions!$C$62/I56</f>
        <v>32.441294987148474</v>
      </c>
      <c r="J57" s="14">
        <f>Assumptions!$C$62/J56</f>
        <v>32.44129498711321</v>
      </c>
      <c r="K57" s="14">
        <f>Assumptions!$C$62/K56</f>
        <v>32.441294987112734</v>
      </c>
      <c r="L57" s="14">
        <f>Assumptions!$C$62/L56</f>
        <v>32.44129498711272</v>
      </c>
      <c r="M57" s="14">
        <f>Assumptions!$C$62/M56</f>
        <v>32.44129498711272</v>
      </c>
    </row>
    <row r="59" spans="2:8" x14ac:dyDescent="0.25">
      <c r="B59" s="5" t="s">
        <v>243</v>
      </c>
      <c r="D59" s="11">
        <f>Assumptions!$C$17+Assumptions!$C$42*Assumptions!$C$55</f>
        <v>2002500000</v>
      </c>
      <c r="E59" s="11">
        <f>Assumptions!$C$17+Assumptions!$C$42*Assumptions!$C$55</f>
        <v>2002500000</v>
      </c>
      <c r="F59" s="11">
        <f>Assumptions!$C$17+Assumptions!$C$42*Assumptions!$C$55</f>
        <v>2002500000</v>
      </c>
      <c r="G59" s="11">
        <f>Assumptions!$C$17+Assumptions!$C$42*Assumptions!$C$55</f>
        <v>2002500000</v>
      </c>
      <c r="H59" s="11">
        <f>Assumptions!$C$17+Assumptions!$C$42*Assumptions!$C$55</f>
        <v>2002500000</v>
      </c>
    </row>
    <row r="60" spans="2:8" x14ac:dyDescent="0.25">
      <c r="B60" s="15" t="s">
        <v>244</v>
      </c>
      <c r="D60" s="14" t="b">
        <v>0</v>
      </c>
      <c r="E60" s="14">
        <f>Assumptions!$C$7&gt;D71</f>
        <v>0</v>
      </c>
      <c r="F60" s="14">
        <f>Assumptions!$C$7&gt;E71</f>
        <v>0</v>
      </c>
      <c r="G60" s="14">
        <f>Assumptions!$C$7&gt;F71</f>
        <v>0</v>
      </c>
      <c r="H60" s="14">
        <f>Assumptions!$C$7&gt;G71</f>
        <v>0</v>
      </c>
    </row>
    <row r="61" spans="2:8" x14ac:dyDescent="0.25">
      <c r="B61" s="15" t="s">
        <v>245</v>
      </c>
      <c r="D61" s="14" t="b">
        <v>0</v>
      </c>
      <c r="E61" s="14">
        <f>Assumptions!$C$41*Assumptions!$C$28&gt;D72</f>
        <v>0</v>
      </c>
      <c r="F61" s="14">
        <f>Assumptions!$C$41*Assumptions!$C$28&gt;E72</f>
        <v>0</v>
      </c>
      <c r="G61" s="14">
        <f>Assumptions!$C$41*Assumptions!$C$28&gt;F72</f>
        <v>0</v>
      </c>
      <c r="H61" s="14">
        <f>Assumptions!$C$41*Assumptions!$C$28&gt;G72</f>
        <v>0</v>
      </c>
    </row>
    <row r="62" spans="2:8" x14ac:dyDescent="0.25">
      <c r="B62" s="15" t="s">
        <v>246</v>
      </c>
      <c r="D62" s="14" t="b">
        <v>0</v>
      </c>
      <c r="E62" s="14">
        <f>Assumptions!$C$40*Assumptions!$C$27&gt;D73</f>
        <v>1</v>
      </c>
      <c r="F62" s="14">
        <f>Assumptions!$C$40*Assumptions!$C$27&gt;E73</f>
        <v>1</v>
      </c>
      <c r="G62" s="14">
        <f>Assumptions!$C$40*Assumptions!$C$27&gt;F73</f>
        <v>1</v>
      </c>
      <c r="H62" s="14">
        <f>Assumptions!$C$40*Assumptions!$C$27&gt;G73</f>
        <v>1</v>
      </c>
    </row>
    <row r="63" spans="2:8" x14ac:dyDescent="0.25">
      <c r="B63" s="15" t="s">
        <v>247</v>
      </c>
      <c r="D63" s="14" t="b">
        <v>0</v>
      </c>
      <c r="E63" s="14">
        <f>Assumptions!$C$38*Assumptions!$C$25&gt;D74</f>
        <v>0</v>
      </c>
      <c r="F63" s="14">
        <f>Assumptions!$C$38*Assumptions!$C$25&gt;E74</f>
        <v>0</v>
      </c>
      <c r="G63" s="14">
        <f>Assumptions!$C$38*Assumptions!$C$25&gt;F74</f>
        <v>0</v>
      </c>
      <c r="H63" s="14">
        <f>Assumptions!$C$38*Assumptions!$C$25&gt;G74</f>
        <v>0</v>
      </c>
    </row>
    <row r="64" spans="2:8" x14ac:dyDescent="0.25">
      <c r="B64" s="15" t="s">
        <v>248</v>
      </c>
      <c r="D64" s="14" t="b">
        <v>0</v>
      </c>
      <c r="E64" s="14">
        <f>Assumptions!$C$37*Assumptions!$C$24&gt;D75</f>
        <v>0</v>
      </c>
      <c r="F64" s="14">
        <f>Assumptions!$C$37*Assumptions!$C$24&gt;E75</f>
        <v>0</v>
      </c>
      <c r="G64" s="14">
        <f>Assumptions!$C$37*Assumptions!$C$24&gt;F75</f>
        <v>0</v>
      </c>
      <c r="H64" s="14">
        <f>Assumptions!$C$37*Assumptions!$C$24&gt;G75</f>
        <v>0</v>
      </c>
    </row>
    <row r="65" spans="2:8" x14ac:dyDescent="0.25">
      <c r="B65" s="15" t="s">
        <v>249</v>
      </c>
      <c r="D65" s="14" t="b">
        <v>0</v>
      </c>
      <c r="E65" s="14">
        <f>Assumptions!$C$36*Assumptions!$C$23&gt;D76</f>
        <v>0</v>
      </c>
      <c r="F65" s="14">
        <f>Assumptions!$C$36*Assumptions!$C$23&gt;E76</f>
        <v>0</v>
      </c>
      <c r="G65" s="14">
        <f>Assumptions!$C$36*Assumptions!$C$23&gt;F76</f>
        <v>0</v>
      </c>
      <c r="H65" s="14">
        <f>Assumptions!$C$36*Assumptions!$C$23&gt;G76</f>
        <v>0</v>
      </c>
    </row>
    <row r="66" spans="2:8" x14ac:dyDescent="0.25">
      <c r="B66" s="15" t="s">
        <v>250</v>
      </c>
      <c r="D66" s="14" t="b">
        <v>0</v>
      </c>
      <c r="E66" s="14">
        <f>Assumptions!$C$35*Assumptions!$C$22&gt;D77</f>
        <v>0</v>
      </c>
      <c r="F66" s="14">
        <f>Assumptions!$C$35*Assumptions!$C$22&gt;E77</f>
        <v>0</v>
      </c>
      <c r="G66" s="14">
        <f>Assumptions!$C$35*Assumptions!$C$22&gt;F77</f>
        <v>0</v>
      </c>
      <c r="H66" s="14">
        <f>Assumptions!$C$35*Assumptions!$C$22&gt;G77</f>
        <v>0</v>
      </c>
    </row>
    <row r="67" spans="2:8" x14ac:dyDescent="0.25">
      <c r="B67" s="5" t="s">
        <v>251</v>
      </c>
      <c r="D67" s="11">
        <f>IF(D60,Assumptions!$C$7,0)+IF(D61,Assumptions!$C$41*Assumptions!$C$28,0)+IF(D62,Assumptions!$C$40*Assumptions!$C$27,0)+IF(D63,Assumptions!$C$38*Assumptions!$C$25,0)+IF(D64,Assumptions!$C$37*Assumptions!$C$24,0)+IF(D65,Assumptions!$C$36*Assumptions!$C$23,0)+IF(D66,Assumptions!$C$35*Assumptions!$C$22,0)</f>
        <v>0</v>
      </c>
      <c r="E67" s="11">
        <f>IF(E60,Assumptions!$C$7,0)+IF(E61,Assumptions!$C$41*Assumptions!$C$28,0)+IF(E62,Assumptions!$C$40*Assumptions!$C$27,0)+IF(E63,Assumptions!$C$38*Assumptions!$C$25,0)+IF(E64,Assumptions!$C$37*Assumptions!$C$24,0)+IF(E65,Assumptions!$C$36*Assumptions!$C$23,0)+IF(E66,Assumptions!$C$35*Assumptions!$C$22,0)</f>
        <v>100000020</v>
      </c>
      <c r="F67" s="11">
        <f>IF(F60,Assumptions!$C$7,0)+IF(F61,Assumptions!$C$41*Assumptions!$C$28,0)+IF(F62,Assumptions!$C$40*Assumptions!$C$27,0)+IF(F63,Assumptions!$C$38*Assumptions!$C$25,0)+IF(F64,Assumptions!$C$37*Assumptions!$C$24,0)+IF(F65,Assumptions!$C$36*Assumptions!$C$23,0)+IF(F66,Assumptions!$C$35*Assumptions!$C$22,0)</f>
        <v>100000020</v>
      </c>
      <c r="G67" s="11">
        <f>IF(G60,Assumptions!$C$7,0)+IF(G61,Assumptions!$C$41*Assumptions!$C$28,0)+IF(G62,Assumptions!$C$40*Assumptions!$C$27,0)+IF(G63,Assumptions!$C$38*Assumptions!$C$25,0)+IF(G64,Assumptions!$C$37*Assumptions!$C$24,0)+IF(G65,Assumptions!$C$36*Assumptions!$C$23,0)+IF(G66,Assumptions!$C$35*Assumptions!$C$22,0)</f>
        <v>100000020</v>
      </c>
      <c r="H67" s="11">
        <f>IF(H60,Assumptions!$C$7,0)+IF(H61,Assumptions!$C$41*Assumptions!$C$28,0)+IF(H62,Assumptions!$C$40*Assumptions!$C$27,0)+IF(H63,Assumptions!$C$38*Assumptions!$C$25,0)+IF(H64,Assumptions!$C$37*Assumptions!$C$24,0)+IF(H65,Assumptions!$C$36*Assumptions!$C$23,0)+IF(H66,Assumptions!$C$35*Assumptions!$C$22,0)</f>
        <v>100000020</v>
      </c>
    </row>
    <row r="68" spans="2:8" x14ac:dyDescent="0.25">
      <c r="B68" s="5" t="s">
        <v>252</v>
      </c>
      <c r="D68" s="14">
        <f>IF(D60,0,M45)+IF(D61,0,Assumptions!$C$41*Assumptions!$C$28/M42)+IF(D62,0,Assumptions!$C$40*Assumptions!$C$27/M40)+IF(D63,0,Assumptions!$C$38)+IF(D64,0,Assumptions!$C$37)+IF(D65,0,Assumptions!$C$36)+IF(D66,0,Assumptions!$C$35)+((Assumptions!$C$31+Assumptions!$C$32+Assumptions!$C$33+Assumptions!$C$34)+M49+M53+Assumptions!$C$42)</f>
        <v>36019972.36592594</v>
      </c>
      <c r="E68" s="14">
        <f>IF(E60,0,M45)+IF(E61,0,Assumptions!$C$41*Assumptions!$C$28/M42)+IF(E62,0,Assumptions!$C$40*Assumptions!$C$27/M40)+IF(E63,0,Assumptions!$C$38)+IF(E64,0,Assumptions!$C$37)+IF(E65,0,Assumptions!$C$36)+IF(E66,0,Assumptions!$C$35)+((Assumptions!$C$31+Assumptions!$C$32+Assumptions!$C$33+Assumptions!$C$34)+M49+M53+Assumptions!$C$42)</f>
        <v>34280414.19844151</v>
      </c>
      <c r="F68" s="14">
        <f>IF(F60,0,M45)+IF(F61,0,Assumptions!$C$41*Assumptions!$C$28/M42)+IF(F62,0,Assumptions!$C$40*Assumptions!$C$27/M40)+IF(F63,0,Assumptions!$C$38)+IF(F64,0,Assumptions!$C$37)+IF(F65,0,Assumptions!$C$36)+IF(F66,0,Assumptions!$C$35)+((Assumptions!$C$31+Assumptions!$C$32+Assumptions!$C$33+Assumptions!$C$34)+M49+M53+Assumptions!$C$42)</f>
        <v>34280414.19844151</v>
      </c>
      <c r="G68" s="14">
        <f>IF(G60,0,M45)+IF(G61,0,Assumptions!$C$41*Assumptions!$C$28/M42)+IF(G62,0,Assumptions!$C$40*Assumptions!$C$27/M40)+IF(G63,0,Assumptions!$C$38)+IF(G64,0,Assumptions!$C$37)+IF(G65,0,Assumptions!$C$36)+IF(G66,0,Assumptions!$C$35)+((Assumptions!$C$31+Assumptions!$C$32+Assumptions!$C$33+Assumptions!$C$34)+M49+M53+Assumptions!$C$42)</f>
        <v>34280414.19844151</v>
      </c>
      <c r="H68" s="14">
        <f>IF(H60,0,M45)+IF(H61,0,Assumptions!$C$41*Assumptions!$C$28/M42)+IF(H62,0,Assumptions!$C$40*Assumptions!$C$27/M40)+IF(H63,0,Assumptions!$C$38)+IF(H64,0,Assumptions!$C$37)+IF(H65,0,Assumptions!$C$36)+IF(H66,0,Assumptions!$C$35)+((Assumptions!$C$31+Assumptions!$C$32+Assumptions!$C$33+Assumptions!$C$34)+M49+M53+Assumptions!$C$42)</f>
        <v>34280414.19844151</v>
      </c>
    </row>
    <row r="69" spans="2:8" x14ac:dyDescent="0.25">
      <c r="B69" s="5" t="s">
        <v>253</v>
      </c>
      <c r="D69" s="11">
        <f>D59-D67</f>
        <v>2002500000</v>
      </c>
      <c r="E69" s="11">
        <f>E59-E67</f>
        <v>1902499980</v>
      </c>
      <c r="F69" s="11">
        <f>F59-F67</f>
        <v>1902499980</v>
      </c>
      <c r="G69" s="11">
        <f>G59-G67</f>
        <v>1902499980</v>
      </c>
      <c r="H69" s="11">
        <f>H59-H67</f>
        <v>1902499980</v>
      </c>
    </row>
    <row r="70" spans="2:8" x14ac:dyDescent="0.25">
      <c r="B70" s="9" t="s">
        <v>254</v>
      </c>
      <c r="D70" s="11">
        <f>D69/D68</f>
        <v>55.59415703201146</v>
      </c>
      <c r="E70" s="11">
        <f>E69/E68</f>
        <v>55.4981619821412</v>
      </c>
      <c r="F70" s="11">
        <f>F69/F68</f>
        <v>55.4981619821412</v>
      </c>
      <c r="G70" s="11">
        <f>G69/G68</f>
        <v>55.4981619821412</v>
      </c>
      <c r="H70" s="11">
        <f>H69/H68</f>
        <v>55.4981619821412</v>
      </c>
    </row>
    <row r="71" spans="2:8" x14ac:dyDescent="0.25">
      <c r="B71" s="15" t="s">
        <v>255</v>
      </c>
      <c r="D71" s="11">
        <f>M45*D70</f>
        <v>51410546.70052123</v>
      </c>
      <c r="E71" s="11">
        <f>M45*E70</f>
        <v>51321775.53718599</v>
      </c>
      <c r="F71" s="11">
        <f>M45*F70</f>
        <v>51321775.53718599</v>
      </c>
      <c r="G71" s="11">
        <f>M45*G70</f>
        <v>51321775.53718599</v>
      </c>
      <c r="H71" s="11">
        <f>M45*H70</f>
        <v>51321775.53718599</v>
      </c>
    </row>
    <row r="72" spans="2:8" x14ac:dyDescent="0.25">
      <c r="B72" s="15" t="s">
        <v>256</v>
      </c>
      <c r="D72" s="11">
        <f>Assumptions!$C$41*Assumptions!$C$28/M42*D70</f>
        <v>342138529.0344886</v>
      </c>
      <c r="E72" s="11">
        <f>Assumptions!$C$41*Assumptions!$C$28/M42*E70</f>
        <v>341547754.62741756</v>
      </c>
      <c r="F72" s="11">
        <f>Assumptions!$C$41*Assumptions!$C$28/M42*F70</f>
        <v>341547754.62741756</v>
      </c>
      <c r="G72" s="11">
        <f>Assumptions!$C$41*Assumptions!$C$28/M42*G70</f>
        <v>341547754.62741756</v>
      </c>
      <c r="H72" s="11">
        <f>Assumptions!$C$41*Assumptions!$C$28/M42*H70</f>
        <v>341547754.62741756</v>
      </c>
    </row>
    <row r="73" spans="2:8" x14ac:dyDescent="0.25">
      <c r="B73" s="15" t="s">
        <v>257</v>
      </c>
      <c r="D73" s="11">
        <f>Assumptions!$C$40*Assumptions!$C$27/M40*D70</f>
        <v>96709269.92944728</v>
      </c>
      <c r="E73" s="11">
        <f>Assumptions!$C$40*Assumptions!$C$27/M40*E70</f>
        <v>96542280.9564074</v>
      </c>
      <c r="F73" s="11">
        <f>Assumptions!$C$40*Assumptions!$C$27/M40*F70</f>
        <v>96542280.9564074</v>
      </c>
      <c r="G73" s="11">
        <f>Assumptions!$C$40*Assumptions!$C$27/M40*G70</f>
        <v>96542280.9564074</v>
      </c>
      <c r="H73" s="11">
        <f>Assumptions!$C$40*Assumptions!$C$27/M40*H70</f>
        <v>96542280.9564074</v>
      </c>
    </row>
    <row r="74" spans="2:8" x14ac:dyDescent="0.25">
      <c r="B74" s="15" t="s">
        <v>258</v>
      </c>
      <c r="D74" s="11">
        <f>Assumptions!$C$38*D70</f>
        <v>133425976.87682751</v>
      </c>
      <c r="E74" s="11">
        <f>Assumptions!$C$38*E70</f>
        <v>133195588.75713888</v>
      </c>
      <c r="F74" s="11">
        <f>Assumptions!$C$38*F70</f>
        <v>133195588.75713888</v>
      </c>
      <c r="G74" s="11">
        <f>Assumptions!$C$38*G70</f>
        <v>133195588.75713888</v>
      </c>
      <c r="H74" s="11">
        <f>Assumptions!$C$38*H70</f>
        <v>133195588.75713888</v>
      </c>
    </row>
    <row r="75" spans="2:8" x14ac:dyDescent="0.25">
      <c r="B75" s="15" t="s">
        <v>259</v>
      </c>
      <c r="D75" s="11">
        <f>Assumptions!$C$37*D70</f>
        <v>166782471.09603438</v>
      </c>
      <c r="E75" s="11">
        <f>Assumptions!$C$37*E70</f>
        <v>166494485.9464236</v>
      </c>
      <c r="F75" s="11">
        <f>Assumptions!$C$37*F70</f>
        <v>166494485.9464236</v>
      </c>
      <c r="G75" s="11">
        <f>Assumptions!$C$37*G70</f>
        <v>166494485.9464236</v>
      </c>
      <c r="H75" s="11">
        <f>Assumptions!$C$37*H70</f>
        <v>166494485.9464236</v>
      </c>
    </row>
    <row r="76" spans="2:8" x14ac:dyDescent="0.25">
      <c r="B76" s="15" t="s">
        <v>260</v>
      </c>
      <c r="D76" s="11">
        <f>Assumptions!$C$36*D70</f>
        <v>277970785.1600573</v>
      </c>
      <c r="E76" s="11">
        <f>Assumptions!$C$36*E70</f>
        <v>277490809.910706</v>
      </c>
      <c r="F76" s="11">
        <f>Assumptions!$C$36*F70</f>
        <v>277490809.910706</v>
      </c>
      <c r="G76" s="11">
        <f>Assumptions!$C$36*G70</f>
        <v>277490809.910706</v>
      </c>
      <c r="H76" s="11">
        <f>Assumptions!$C$36*H70</f>
        <v>277490809.910706</v>
      </c>
    </row>
    <row r="77" spans="2:8" x14ac:dyDescent="0.25">
      <c r="B77" s="15" t="s">
        <v>261</v>
      </c>
      <c r="D77" s="11">
        <f>Assumptions!$C$35*D70</f>
        <v>277970785.1600573</v>
      </c>
      <c r="E77" s="11">
        <f>Assumptions!$C$35*E70</f>
        <v>277490809.910706</v>
      </c>
      <c r="F77" s="11">
        <f>Assumptions!$C$35*F70</f>
        <v>277490809.910706</v>
      </c>
      <c r="G77" s="11">
        <f>Assumptions!$C$35*G70</f>
        <v>277490809.910706</v>
      </c>
      <c r="H77" s="11">
        <f>Assumptions!$C$35*H70</f>
        <v>277490809.910706</v>
      </c>
    </row>
    <row r="80" spans="2:13" x14ac:dyDescent="0.25">
      <c r="B80" s="3" t="s">
        <v>262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2:3" x14ac:dyDescent="0.25">
      <c r="B81" s="5" t="s">
        <v>225</v>
      </c>
      <c r="C81" s="11">
        <f>Assumptions!$C$62</f>
        <v>1200000000</v>
      </c>
    </row>
    <row r="82" spans="2:3" x14ac:dyDescent="0.25">
      <c r="B82" s="5" t="s">
        <v>226</v>
      </c>
      <c r="C82" s="18">
        <f>Assumptions!$C$60</f>
        <v>0.13</v>
      </c>
    </row>
    <row r="83" spans="2:13" x14ac:dyDescent="0.25">
      <c r="B83" s="12" t="s">
        <v>62</v>
      </c>
      <c r="D83" s="13" t="s">
        <v>63</v>
      </c>
      <c r="E83" s="13" t="s">
        <v>64</v>
      </c>
      <c r="F83" s="13" t="s">
        <v>65</v>
      </c>
      <c r="G83" s="13" t="s">
        <v>66</v>
      </c>
      <c r="H83" s="13" t="s">
        <v>67</v>
      </c>
      <c r="I83" s="13" t="s">
        <v>68</v>
      </c>
      <c r="J83" s="13" t="s">
        <v>69</v>
      </c>
      <c r="K83" s="13" t="s">
        <v>70</v>
      </c>
      <c r="L83" s="13" t="s">
        <v>71</v>
      </c>
      <c r="M83" s="13" t="s">
        <v>72</v>
      </c>
    </row>
    <row r="84" spans="2:13" x14ac:dyDescent="0.25">
      <c r="B84" s="5" t="s">
        <v>73</v>
      </c>
      <c r="D84" s="8">
        <v>45</v>
      </c>
      <c r="E84" s="14">
        <f>D102</f>
        <v>32.036548514152535</v>
      </c>
      <c r="F84" s="14">
        <f>E102</f>
        <v>31.903944900699017</v>
      </c>
      <c r="G84" s="14">
        <f>F102</f>
        <v>31.901416929509246</v>
      </c>
      <c r="H84" s="14">
        <f>G102</f>
        <v>31.901368535728007</v>
      </c>
      <c r="I84" s="14">
        <f>H102</f>
        <v>31.901367609236605</v>
      </c>
      <c r="J84" s="14">
        <f>I102</f>
        <v>31.901367591499035</v>
      </c>
      <c r="K84" s="14">
        <f>J102</f>
        <v>31.901367591159453</v>
      </c>
      <c r="L84" s="14">
        <f>K102</f>
        <v>31.901367591152965</v>
      </c>
      <c r="M84" s="14">
        <f>L102</f>
        <v>31.901367591152816</v>
      </c>
    </row>
    <row r="85" spans="2:13" x14ac:dyDescent="0.25">
      <c r="B85" s="5" t="s">
        <v>227</v>
      </c>
      <c r="D85" s="14">
        <f>IF(D84&lt;Assumptions!$C$26,Assumptions!$C$26*(Assumptions!$C$44+Assumptions!$C$7/Assumptions!$C$26)/(Assumptions!$C$44+Assumptions!$C$7/D84),Assumptions!$C$26)</f>
        <v>57.88378478994243</v>
      </c>
      <c r="E85" s="14">
        <f>IF(E84&lt;Assumptions!$C$26,Assumptions!$C$26*(Assumptions!$C$44+Assumptions!$C$7/Assumptions!$C$26)/(Assumptions!$C$44+Assumptions!$C$7/E84),Assumptions!$C$26)</f>
        <v>57.46798921988911</v>
      </c>
      <c r="F85" s="14">
        <f>IF(F84&lt;Assumptions!$C$26,Assumptions!$C$26*(Assumptions!$C$44+Assumptions!$C$7/Assumptions!$C$26)/(Assumptions!$C$44+Assumptions!$C$7/F84),Assumptions!$C$26)</f>
        <v>57.462033877012246</v>
      </c>
      <c r="G85" s="14">
        <f>IF(G84&lt;Assumptions!$C$26,Assumptions!$C$26*(Assumptions!$C$44+Assumptions!$C$7/Assumptions!$C$26)/(Assumptions!$C$44+Assumptions!$C$7/G84),Assumptions!$C$26)</f>
        <v>57.46191987476545</v>
      </c>
      <c r="H85" s="14">
        <f>IF(H84&lt;Assumptions!$C$26,Assumptions!$C$26*(Assumptions!$C$44+Assumptions!$C$7/Assumptions!$C$26)/(Assumptions!$C$44+Assumptions!$C$7/H84),Assumptions!$C$26)</f>
        <v>57.46191769221123</v>
      </c>
      <c r="I85" s="14">
        <f>IF(I84&lt;Assumptions!$C$26,Assumptions!$C$26*(Assumptions!$C$44+Assumptions!$C$7/Assumptions!$C$26)/(Assumptions!$C$44+Assumptions!$C$7/I84),Assumptions!$C$26)</f>
        <v>57.46191765042651</v>
      </c>
      <c r="J85" s="14">
        <f>IF(J84&lt;Assumptions!$C$26,Assumptions!$C$26*(Assumptions!$C$44+Assumptions!$C$7/Assumptions!$C$26)/(Assumptions!$C$44+Assumptions!$C$7/J84),Assumptions!$C$26)</f>
        <v>57.461917649626535</v>
      </c>
      <c r="K85" s="14">
        <f>IF(K84&lt;Assumptions!$C$26,Assumptions!$C$26*(Assumptions!$C$44+Assumptions!$C$7/Assumptions!$C$26)/(Assumptions!$C$44+Assumptions!$C$7/K84),Assumptions!$C$26)</f>
        <v>57.461917649611216</v>
      </c>
      <c r="L85" s="14">
        <f>IF(L84&lt;Assumptions!$C$26,Assumptions!$C$26*(Assumptions!$C$44+Assumptions!$C$7/Assumptions!$C$26)/(Assumptions!$C$44+Assumptions!$C$7/L84),Assumptions!$C$26)</f>
        <v>57.461917649610925</v>
      </c>
      <c r="M85" s="14">
        <f>IF(M84&lt;Assumptions!$C$26,Assumptions!$C$26*(Assumptions!$C$44+Assumptions!$C$7/Assumptions!$C$26)/(Assumptions!$C$44+Assumptions!$C$7/M84),Assumptions!$C$26)</f>
        <v>57.46191764961092</v>
      </c>
    </row>
    <row r="86" spans="2:13" x14ac:dyDescent="0.25">
      <c r="B86" s="15" t="s">
        <v>228</v>
      </c>
      <c r="D86" s="14">
        <f>Assumptions!$C$40*Assumptions!$C$27/D85-Assumptions!$C$39</f>
        <v>6972.8859247963</v>
      </c>
      <c r="E86" s="14">
        <f>Assumptions!$C$40*Assumptions!$C$27/E85-Assumptions!$C$39</f>
        <v>19472.5120495877</v>
      </c>
      <c r="F86" s="14">
        <f>Assumptions!$C$40*Assumptions!$C$27/F85-Assumptions!$C$39</f>
        <v>19652.855287286</v>
      </c>
      <c r="G86" s="14">
        <f>Assumptions!$C$40*Assumptions!$C$27/G85-Assumptions!$C$39</f>
        <v>19656.3079358225</v>
      </c>
      <c r="H86" s="14">
        <f>Assumptions!$C$40*Assumptions!$C$27/H85-Assumptions!$C$39</f>
        <v>19656.374036343</v>
      </c>
      <c r="I86" s="14">
        <f>Assumptions!$C$40*Assumptions!$C$27/I85-Assumptions!$C$39</f>
        <v>19656.375301829</v>
      </c>
      <c r="J86" s="14">
        <f>Assumptions!$C$40*Assumptions!$C$27/J85-Assumptions!$C$39</f>
        <v>19656.3753260572</v>
      </c>
      <c r="K86" s="14">
        <f>Assumptions!$C$40*Assumptions!$C$27/K85-Assumptions!$C$39</f>
        <v>19656.375326521</v>
      </c>
      <c r="L86" s="14">
        <f>Assumptions!$C$40*Assumptions!$C$27/L85-Assumptions!$C$39</f>
        <v>19656.3753265298</v>
      </c>
      <c r="M86" s="14">
        <f>Assumptions!$C$40*Assumptions!$C$27/M85-Assumptions!$C$39</f>
        <v>19656.37532653</v>
      </c>
    </row>
    <row r="87" spans="2:13" x14ac:dyDescent="0.25">
      <c r="B87" s="5" t="s">
        <v>229</v>
      </c>
      <c r="D87" s="14">
        <f>IF(D84&lt;Assumptions!$C$28,Assumptions!$C$28*(Assumptions!$C$44+Assumptions!$C$7/Assumptions!$C$28)/(Assumptions!$C$44+Assumptions!$C$7/D84),Assumptions!$C$28)</f>
        <v>49.08395844489023</v>
      </c>
      <c r="E87" s="14">
        <f>IF(E84&lt;Assumptions!$C$28,Assumptions!$C$28*(Assumptions!$C$44+Assumptions!$C$7/Assumptions!$C$28)/(Assumptions!$C$44+Assumptions!$C$7/E84),Assumptions!$C$28)</f>
        <v>48.731374512168316</v>
      </c>
      <c r="F87" s="14">
        <f>IF(F84&lt;Assumptions!$C$28,Assumptions!$C$28*(Assumptions!$C$44+Assumptions!$C$7/Assumptions!$C$28)/(Assumptions!$C$44+Assumptions!$C$7/F84),Assumptions!$C$28)</f>
        <v>48.72632453481535</v>
      </c>
      <c r="G87" s="14">
        <f>IF(G84&lt;Assumptions!$C$28,Assumptions!$C$28*(Assumptions!$C$44+Assumptions!$C$7/Assumptions!$C$28)/(Assumptions!$C$44+Assumptions!$C$7/G84),Assumptions!$C$28)</f>
        <v>48.7262278638467</v>
      </c>
      <c r="H87" s="14">
        <f>IF(H84&lt;Assumptions!$C$28,Assumptions!$C$28*(Assumptions!$C$44+Assumptions!$C$7/Assumptions!$C$28)/(Assumptions!$C$44+Assumptions!$C$7/H84),Assumptions!$C$28)</f>
        <v>48.72622601309695</v>
      </c>
      <c r="I87" s="14">
        <f>IF(I84&lt;Assumptions!$C$28,Assumptions!$C$28*(Assumptions!$C$44+Assumptions!$C$7/Assumptions!$C$28)/(Assumptions!$C$44+Assumptions!$C$7/I84),Assumptions!$C$28)</f>
        <v>48.726225977664576</v>
      </c>
      <c r="J87" s="14">
        <f>IF(J84&lt;Assumptions!$C$28,Assumptions!$C$28*(Assumptions!$C$44+Assumptions!$C$7/Assumptions!$C$28)/(Assumptions!$C$44+Assumptions!$C$7/J84),Assumptions!$C$28)</f>
        <v>48.72622597698622</v>
      </c>
      <c r="K87" s="14">
        <f>IF(K84&lt;Assumptions!$C$28,Assumptions!$C$28*(Assumptions!$C$44+Assumptions!$C$7/Assumptions!$C$28)/(Assumptions!$C$44+Assumptions!$C$7/K84),Assumptions!$C$28)</f>
        <v>48.72622597697323</v>
      </c>
      <c r="L87" s="14">
        <f>IF(L84&lt;Assumptions!$C$28,Assumptions!$C$28*(Assumptions!$C$44+Assumptions!$C$7/Assumptions!$C$28)/(Assumptions!$C$44+Assumptions!$C$7/L84),Assumptions!$C$28)</f>
        <v>48.72622597697299</v>
      </c>
      <c r="M87" s="14">
        <f>IF(M84&lt;Assumptions!$C$28,Assumptions!$C$28*(Assumptions!$C$44+Assumptions!$C$7/Assumptions!$C$28)/(Assumptions!$C$44+Assumptions!$C$7/M84),Assumptions!$C$28)</f>
        <v>48.726225976972984</v>
      </c>
    </row>
    <row r="88" spans="2:13" x14ac:dyDescent="0.25">
      <c r="B88" s="15" t="s">
        <v>230</v>
      </c>
      <c r="D88" s="14">
        <f>Assumptions!$C$41*Assumptions!$C$28/D87-Assumptions!$C$41</f>
        <v>9244.341711835</v>
      </c>
      <c r="E88" s="14">
        <f>Assumptions!$C$41*Assumptions!$C$28/E87-Assumptions!$C$41</f>
        <v>53465.580264635</v>
      </c>
      <c r="F88" s="14">
        <f>Assumptions!$C$41*Assumptions!$C$28/F87-Assumptions!$C$41</f>
        <v>54103.599454652</v>
      </c>
      <c r="G88" s="14">
        <f>Assumptions!$C$41*Assumptions!$C$28/G87-Assumptions!$C$41</f>
        <v>54115.814251563</v>
      </c>
      <c r="H88" s="14">
        <f>Assumptions!$C$41*Assumptions!$C$28/H87-Assumptions!$C$41</f>
        <v>54116.048102308</v>
      </c>
      <c r="I88" s="14">
        <f>Assumptions!$C$41*Assumptions!$C$28/I87-Assumptions!$C$41</f>
        <v>54116.052579352</v>
      </c>
      <c r="J88" s="14">
        <f>Assumptions!$C$41*Assumptions!$C$28/J87-Assumptions!$C$41</f>
        <v>54116.052665065</v>
      </c>
      <c r="K88" s="14">
        <f>Assumptions!$C$41*Assumptions!$C$28/K87-Assumptions!$C$41</f>
        <v>54116.052666706</v>
      </c>
      <c r="L88" s="14">
        <f>Assumptions!$C$41*Assumptions!$C$28/L87-Assumptions!$C$41</f>
        <v>54116.052666737</v>
      </c>
      <c r="M88" s="14">
        <f>Assumptions!$C$41*Assumptions!$C$28/M87-Assumptions!$C$41</f>
        <v>54116.052666738</v>
      </c>
    </row>
    <row r="89" spans="2:13" x14ac:dyDescent="0.25">
      <c r="B89" s="5" t="s">
        <v>231</v>
      </c>
      <c r="D89" s="14">
        <f>Assumptions!$C$44+D86+D88</f>
        <v>36634178.22763663</v>
      </c>
      <c r="E89" s="14">
        <f>Assumptions!$C$44+E86+E88</f>
        <v>36690899.09231422</v>
      </c>
      <c r="F89" s="14">
        <f>Assumptions!$C$44+F86+F88</f>
        <v>36691717.45474193</v>
      </c>
      <c r="G89" s="14">
        <f>Assumptions!$C$44+G86+G88</f>
        <v>36691733.12218738</v>
      </c>
      <c r="H89" s="14">
        <f>Assumptions!$C$44+H86+H88</f>
        <v>36691733.422138646</v>
      </c>
      <c r="I89" s="14">
        <f>Assumptions!$C$44+I86+I88</f>
        <v>36691733.42788118</v>
      </c>
      <c r="J89" s="14">
        <f>Assumptions!$C$44+J86+J88</f>
        <v>36691733.42799112</v>
      </c>
      <c r="K89" s="14">
        <f>Assumptions!$C$44+K86+K88</f>
        <v>36691733.42799322</v>
      </c>
      <c r="L89" s="14">
        <f>Assumptions!$C$44+L86+L88</f>
        <v>36691733.42799327</v>
      </c>
      <c r="M89" s="14">
        <f>Assumptions!$C$44+M86+M88</f>
        <v>36691733.42799327</v>
      </c>
    </row>
    <row r="90" spans="2:13" x14ac:dyDescent="0.25">
      <c r="B90" s="5" t="s">
        <v>232</v>
      </c>
      <c r="D90" s="14">
        <f>Assumptions!$C$7/D84</f>
        <v>666666.6666666666</v>
      </c>
      <c r="E90" s="14">
        <f>Assumptions!$C$7/E84</f>
        <v>936430.4643100718</v>
      </c>
      <c r="F90" s="14">
        <f>Assumptions!$C$7/F84</f>
        <v>940322.5868579876</v>
      </c>
      <c r="G90" s="14">
        <f>Assumptions!$C$7/G84</f>
        <v>940397.1010532009</v>
      </c>
      <c r="H90" s="14">
        <f>Assumptions!$C$7/H84</f>
        <v>940398.5276180686</v>
      </c>
      <c r="I90" s="14">
        <f>Assumptions!$C$7/I84</f>
        <v>940398.554929473</v>
      </c>
      <c r="J90" s="14">
        <f>Assumptions!$C$7/J84</f>
        <v>940398.5554523467</v>
      </c>
      <c r="K90" s="14">
        <f>Assumptions!$C$7/K84</f>
        <v>940398.555462357</v>
      </c>
      <c r="L90" s="14">
        <f>Assumptions!$C$7/L84</f>
        <v>940398.5554625483</v>
      </c>
      <c r="M90" s="14">
        <f>Assumptions!$C$7/M84</f>
        <v>940398.5554625526</v>
      </c>
    </row>
    <row r="91" spans="2:13" x14ac:dyDescent="0.25">
      <c r="B91" s="15" t="s">
        <v>233</v>
      </c>
      <c r="D91" s="14">
        <f>Assumptions!$C$48/(D89+0+0)</f>
        <v>27.296913657683888</v>
      </c>
      <c r="E91" s="14">
        <f>Assumptions!$C$48/(E89+D99+D98)</f>
        <v>26.78755458166683</v>
      </c>
      <c r="F91" s="14">
        <f>Assumptions!$C$48/(F89+E99+E98)</f>
        <v>26.72465406572618</v>
      </c>
      <c r="G91" s="14">
        <f>Assumptions!$C$48/(G89+F99+F98)</f>
        <v>26.723677770267845</v>
      </c>
      <c r="H91" s="14">
        <f>Assumptions!$C$48/(H89+G99+G98)</f>
        <v>26.723659079910334</v>
      </c>
      <c r="I91" s="14">
        <f>Assumptions!$C$48/(I89+H99+H98)</f>
        <v>26.723658722086054</v>
      </c>
      <c r="J91" s="14">
        <f>Assumptions!$C$48/(J89+I99+I98)</f>
        <v>26.72365871523555</v>
      </c>
      <c r="K91" s="14">
        <f>Assumptions!$C$48/(K89+J99+J98)</f>
        <v>26.723658715104403</v>
      </c>
      <c r="L91" s="14">
        <f>Assumptions!$C$48/(L89+K99+K98)</f>
        <v>26.723658715101884</v>
      </c>
      <c r="M91" s="14">
        <f>Assumptions!$C$48/(M89+L99+L98)</f>
        <v>26.723658715101834</v>
      </c>
    </row>
    <row r="92" spans="2:13" x14ac:dyDescent="0.25">
      <c r="B92" s="15" t="s">
        <v>234</v>
      </c>
      <c r="D92" s="14">
        <f>D84*(1-Assumptions!$C$49)</f>
        <v>36</v>
      </c>
      <c r="E92" s="14">
        <f>E84*(1-Assumptions!$C$49)</f>
        <v>25.62923881132203</v>
      </c>
      <c r="F92" s="14">
        <f>F84*(1-Assumptions!$C$49)</f>
        <v>25.523155920559212</v>
      </c>
      <c r="G92" s="14">
        <f>G84*(1-Assumptions!$C$49)</f>
        <v>25.521133543607398</v>
      </c>
      <c r="H92" s="14">
        <f>H84*(1-Assumptions!$C$49)</f>
        <v>25.521094828582406</v>
      </c>
      <c r="I92" s="14">
        <f>I84*(1-Assumptions!$C$49)</f>
        <v>25.521094087389283</v>
      </c>
      <c r="J92" s="14">
        <f>J84*(1-Assumptions!$C$49)</f>
        <v>25.52109407319923</v>
      </c>
      <c r="K92" s="14">
        <f>K84*(1-Assumptions!$C$49)</f>
        <v>25.521094072927564</v>
      </c>
      <c r="L92" s="14">
        <f>L84*(1-Assumptions!$C$49)</f>
        <v>25.521094072922374</v>
      </c>
      <c r="M92" s="14">
        <f>M84*(1-Assumptions!$C$49)</f>
        <v>25.521094072922253</v>
      </c>
    </row>
    <row r="93" spans="2:13" x14ac:dyDescent="0.25">
      <c r="B93" s="15" t="s">
        <v>235</v>
      </c>
      <c r="D93" s="14">
        <f>MIN(D91,D92)</f>
        <v>27.296913657683888</v>
      </c>
      <c r="E93" s="14">
        <f>MIN(E91,E92)</f>
        <v>25.62923881132203</v>
      </c>
      <c r="F93" s="14">
        <f>MIN(F91,F92)</f>
        <v>25.523155920559212</v>
      </c>
      <c r="G93" s="14">
        <f>MIN(G91,G92)</f>
        <v>25.521133543607398</v>
      </c>
      <c r="H93" s="14">
        <f>MIN(H91,H92)</f>
        <v>25.521094828582406</v>
      </c>
      <c r="I93" s="14">
        <f>MIN(I91,I92)</f>
        <v>25.521094087389283</v>
      </c>
      <c r="J93" s="14">
        <f>MIN(J91,J92)</f>
        <v>25.52109407319923</v>
      </c>
      <c r="K93" s="14">
        <f>MIN(K91,K92)</f>
        <v>25.521094072927564</v>
      </c>
      <c r="L93" s="14">
        <f>MIN(L91,L92)</f>
        <v>25.521094072922374</v>
      </c>
      <c r="M93" s="14">
        <f>MIN(M91,M92)</f>
        <v>25.521094072922253</v>
      </c>
    </row>
    <row r="94" spans="2:13" x14ac:dyDescent="0.25">
      <c r="B94" s="15" t="s">
        <v>236</v>
      </c>
      <c r="D94" s="14">
        <f>Assumptions!$C$47/D93</f>
        <v>183170.89113818313</v>
      </c>
      <c r="E94" s="14">
        <f>Assumptions!$C$47/E93</f>
        <v>195089.68006459827</v>
      </c>
      <c r="F94" s="14">
        <f>Assumptions!$C$47/F93</f>
        <v>195900.5389287474</v>
      </c>
      <c r="G94" s="14">
        <f>Assumptions!$C$47/G93</f>
        <v>195916.06271941683</v>
      </c>
      <c r="H94" s="14">
        <f>Assumptions!$C$47/H93</f>
        <v>195916.35992043096</v>
      </c>
      <c r="I94" s="14">
        <f>Assumptions!$C$47/I93</f>
        <v>195916.36561030688</v>
      </c>
      <c r="J94" s="14">
        <f>Assumptions!$C$47/J93</f>
        <v>195916.36571923888</v>
      </c>
      <c r="K94" s="14">
        <f>Assumptions!$C$47/K93</f>
        <v>195916.36572132434</v>
      </c>
      <c r="L94" s="14">
        <f>Assumptions!$C$47/L93</f>
        <v>195916.36572136419</v>
      </c>
      <c r="M94" s="14">
        <f>Assumptions!$C$47/M93</f>
        <v>195916.36572136512</v>
      </c>
    </row>
    <row r="95" spans="2:13" x14ac:dyDescent="0.25">
      <c r="B95" s="15" t="s">
        <v>237</v>
      </c>
      <c r="D95" s="14">
        <f>Assumptions!$C$51/(D89+0+0)</f>
        <v>43.67506185229422</v>
      </c>
      <c r="E95" s="14">
        <f>Assumptions!$C$51/(E89+D99+D94)</f>
        <v>42.74017056859266</v>
      </c>
      <c r="F95" s="14">
        <f>Assumptions!$C$51/(F89+E99+E94)</f>
        <v>42.662623903150376</v>
      </c>
      <c r="G95" s="14">
        <f>Assumptions!$C$51/(G89+F99+F94)</f>
        <v>42.66066741317698</v>
      </c>
      <c r="H95" s="14">
        <f>Assumptions!$C$51/(H89+G99+G94)</f>
        <v>42.66062995817388</v>
      </c>
      <c r="I95" s="14">
        <f>Assumptions!$C$51/(I89+H99+H94)</f>
        <v>42.6606292411032</v>
      </c>
      <c r="J95" s="14">
        <f>Assumptions!$C$51/(J89+I99+I94)</f>
        <v>42.66062922737497</v>
      </c>
      <c r="K95" s="14">
        <f>Assumptions!$C$51/(K89+J99+J94)</f>
        <v>42.66062922711215</v>
      </c>
      <c r="L95" s="14">
        <f>Assumptions!$C$51/(L89+K99+K94)</f>
        <v>42.660629227107115</v>
      </c>
      <c r="M95" s="14">
        <f>Assumptions!$C$51/(M89+L99+L94)</f>
        <v>42.66062922710701</v>
      </c>
    </row>
    <row r="96" spans="2:13" x14ac:dyDescent="0.25">
      <c r="B96" s="15" t="s">
        <v>238</v>
      </c>
      <c r="D96" s="14">
        <f>D84*(1-Assumptions!$C$52)</f>
        <v>38.25</v>
      </c>
      <c r="E96" s="14">
        <f>E84*(1-Assumptions!$C$52)</f>
        <v>27.231066237029655</v>
      </c>
      <c r="F96" s="14">
        <f>F84*(1-Assumptions!$C$52)</f>
        <v>27.118353165594165</v>
      </c>
      <c r="G96" s="14">
        <f>G84*(1-Assumptions!$C$52)</f>
        <v>27.11620439008286</v>
      </c>
      <c r="H96" s="14">
        <f>H84*(1-Assumptions!$C$52)</f>
        <v>27.116163255368807</v>
      </c>
      <c r="I96" s="14">
        <f>I84*(1-Assumptions!$C$52)</f>
        <v>27.116162467851115</v>
      </c>
      <c r="J96" s="14">
        <f>J84*(1-Assumptions!$C$52)</f>
        <v>27.11616245277418</v>
      </c>
      <c r="K96" s="14">
        <f>K84*(1-Assumptions!$C$52)</f>
        <v>27.116162452485536</v>
      </c>
      <c r="L96" s="14">
        <f>L84*(1-Assumptions!$C$52)</f>
        <v>27.11616245248002</v>
      </c>
      <c r="M96" s="14">
        <f>M84*(1-Assumptions!$C$52)</f>
        <v>27.116162452479895</v>
      </c>
    </row>
    <row r="97" spans="2:13" x14ac:dyDescent="0.25">
      <c r="B97" s="15" t="s">
        <v>239</v>
      </c>
      <c r="D97" s="14">
        <f>MIN(D95,D96)</f>
        <v>38.25</v>
      </c>
      <c r="E97" s="14">
        <f>MIN(E95,E96)</f>
        <v>27.231066237029655</v>
      </c>
      <c r="F97" s="14">
        <f>MIN(F95,F96)</f>
        <v>27.118353165594165</v>
      </c>
      <c r="G97" s="14">
        <f>MIN(G95,G96)</f>
        <v>27.11620439008286</v>
      </c>
      <c r="H97" s="14">
        <f>MIN(H95,H96)</f>
        <v>27.116163255368807</v>
      </c>
      <c r="I97" s="14">
        <f>MIN(I95,I96)</f>
        <v>27.116162467851115</v>
      </c>
      <c r="J97" s="14">
        <f>MIN(J95,J96)</f>
        <v>27.11616245277418</v>
      </c>
      <c r="K97" s="14">
        <f>MIN(K95,K96)</f>
        <v>27.116162452485536</v>
      </c>
      <c r="L97" s="14">
        <f>MIN(L95,L96)</f>
        <v>27.11616245248002</v>
      </c>
      <c r="M97" s="14">
        <f>MIN(M95,M96)</f>
        <v>27.116162452479895</v>
      </c>
    </row>
    <row r="98" spans="2:13" x14ac:dyDescent="0.25">
      <c r="B98" s="15" t="s">
        <v>240</v>
      </c>
      <c r="D98" s="14">
        <f>Assumptions!$C$50/D97</f>
        <v>78431.37254901961</v>
      </c>
      <c r="E98" s="14">
        <f>Assumptions!$C$50/E97</f>
        <v>110168.28991883197</v>
      </c>
      <c r="F98" s="14">
        <f>Assumptions!$C$50/F97</f>
        <v>110626.186689175</v>
      </c>
      <c r="G98" s="14">
        <f>Assumptions!$C$50/G97</f>
        <v>110634.95306508246</v>
      </c>
      <c r="H98" s="14">
        <f>Assumptions!$C$50/H97</f>
        <v>110635.12089624336</v>
      </c>
      <c r="I98" s="14">
        <f>Assumptions!$C$50/I97</f>
        <v>110635.12410934977</v>
      </c>
      <c r="J98" s="14">
        <f>Assumptions!$C$50/J97</f>
        <v>110635.1241708643</v>
      </c>
      <c r="K98" s="14">
        <f>Assumptions!$C$50/K97</f>
        <v>110635.124172042</v>
      </c>
      <c r="L98" s="14">
        <f>Assumptions!$C$50/L97</f>
        <v>110635.1241720645</v>
      </c>
      <c r="M98" s="14">
        <f>Assumptions!$C$50/M97</f>
        <v>110635.12417206501</v>
      </c>
    </row>
    <row r="99" spans="2:13" x14ac:dyDescent="0.25">
      <c r="B99" s="5" t="s">
        <v>88</v>
      </c>
      <c r="D99" s="14">
        <f>MAX(0,(Assumptions!$C$60*(D89+D94+D98+D90)-Assumptions!$C$56)/(1-Assumptions!$C$60))</f>
        <v>561438.0810790402</v>
      </c>
      <c r="E99" s="14">
        <f>MAX(0,(Assumptions!$C$60*(E89+E94+E98+E90)-Assumptions!$C$56)/(1-Assumptions!$C$60))</f>
        <v>616746.4120218437</v>
      </c>
      <c r="F99" s="14">
        <f>MAX(0,(Assumptions!$C$60*(F89+F94+F98+F90)-Assumptions!$C$56)/(1-Assumptions!$C$60))</f>
        <v>617639.8617681833</v>
      </c>
      <c r="G99" s="14">
        <f>MAX(0,(Assumptions!$C$60*(G89+G94+G98+G90)-Assumptions!$C$56)/(1-Assumptions!$C$60))</f>
        <v>617656.9667508736</v>
      </c>
      <c r="H99" s="14">
        <f>MAX(0,(Assumptions!$C$60*(H89+H94+H98+H90)-Assumptions!$C$56)/(1-Assumptions!$C$60))</f>
        <v>617657.2942236081</v>
      </c>
      <c r="I99" s="14">
        <f>MAX(0,(Assumptions!$C$60*(I89+I94+I98+I90)-Assumptions!$C$56)/(1-Assumptions!$C$60))</f>
        <v>617657.3004930345</v>
      </c>
      <c r="J99" s="14">
        <f>MAX(0,(Assumptions!$C$60*(J89+J94+J98+J90)-Assumptions!$C$56)/(1-Assumptions!$C$60))</f>
        <v>617657.3006130627</v>
      </c>
      <c r="K99" s="14">
        <f>MAX(0,(Assumptions!$C$60*(K89+K94+K98+K90)-Assumptions!$C$56)/(1-Assumptions!$C$60))</f>
        <v>617657.3006153598</v>
      </c>
      <c r="L99" s="14">
        <f>MAX(0,(Assumptions!$C$60*(L89+L94+L98+L90)-Assumptions!$C$56)/(1-Assumptions!$C$60))</f>
        <v>617657.3006154046</v>
      </c>
      <c r="M99" s="14">
        <f>MAX(0,(Assumptions!$C$60*(M89+M94+M98+M90)-Assumptions!$C$56)/(1-Assumptions!$C$60))</f>
        <v>617657.3006154046</v>
      </c>
    </row>
    <row r="100" spans="2:13" x14ac:dyDescent="0.25">
      <c r="B100" s="9" t="s">
        <v>241</v>
      </c>
      <c r="D100" s="14">
        <f>D89+D99+D94+D98+D90</f>
        <v>38123885.23906954</v>
      </c>
      <c r="E100" s="14">
        <f>E89+E99+E94+E98+E90</f>
        <v>38549333.938629575</v>
      </c>
      <c r="F100" s="14">
        <f>F89+F99+F94+F98+F90</f>
        <v>38556206.62898602</v>
      </c>
      <c r="G100" s="14">
        <f>G89+G99+G94+G98+G90</f>
        <v>38556338.20577595</v>
      </c>
      <c r="H100" s="14">
        <f>H89+H99+H94+H98+H90</f>
        <v>38556340.72479699</v>
      </c>
      <c r="I100" s="14">
        <f>I89+I99+I94+I98+I90</f>
        <v>38556340.77302334</v>
      </c>
      <c r="J100" s="14">
        <f>J89+J99+J94+J98+J90</f>
        <v>38556340.77394663</v>
      </c>
      <c r="K100" s="14">
        <f>K89+K99+K94+K98+K90</f>
        <v>38556340.77396429</v>
      </c>
      <c r="L100" s="14">
        <f>L89+L99+L94+L98+L90</f>
        <v>38556340.77396465</v>
      </c>
      <c r="M100" s="14">
        <f>M89+M99+M94+M98+M90</f>
        <v>38556340.77396466</v>
      </c>
    </row>
    <row r="101" spans="2:13" x14ac:dyDescent="0.25">
      <c r="B101" s="5" t="s">
        <v>242</v>
      </c>
      <c r="D101" s="14">
        <f>D100-D90</f>
        <v>37457218.57240287</v>
      </c>
      <c r="E101" s="14">
        <f>E100-E90</f>
        <v>37612903.4743195</v>
      </c>
      <c r="F101" s="14">
        <f>F100-F90</f>
        <v>37615884.042128034</v>
      </c>
      <c r="G101" s="14">
        <f>G100-G90</f>
        <v>37615941.104722746</v>
      </c>
      <c r="H101" s="14">
        <f>H100-H90</f>
        <v>37615942.19717892</v>
      </c>
      <c r="I101" s="14">
        <f>I100-I90</f>
        <v>37615942.218093865</v>
      </c>
      <c r="J101" s="14">
        <f>J100-J90</f>
        <v>37615942.21849428</v>
      </c>
      <c r="K101" s="14">
        <f>K100-K90</f>
        <v>37615942.21850193</v>
      </c>
      <c r="L101" s="14">
        <f>L100-L90</f>
        <v>37615942.218502104</v>
      </c>
      <c r="M101" s="14">
        <f>M100-M90</f>
        <v>37615942.218502104</v>
      </c>
    </row>
    <row r="102" spans="2:13" x14ac:dyDescent="0.25">
      <c r="B102" s="9" t="s">
        <v>91</v>
      </c>
      <c r="D102" s="14">
        <f>Assumptions!$C$62/D101</f>
        <v>32.036548514152535</v>
      </c>
      <c r="E102" s="14">
        <f>Assumptions!$C$62/E101</f>
        <v>31.903944900699017</v>
      </c>
      <c r="F102" s="14">
        <f>Assumptions!$C$62/F101</f>
        <v>31.901416929509246</v>
      </c>
      <c r="G102" s="14">
        <f>Assumptions!$C$62/G101</f>
        <v>31.901368535728007</v>
      </c>
      <c r="H102" s="14">
        <f>Assumptions!$C$62/H101</f>
        <v>31.901367609236605</v>
      </c>
      <c r="I102" s="14">
        <f>Assumptions!$C$62/I101</f>
        <v>31.901367591499035</v>
      </c>
      <c r="J102" s="14">
        <f>Assumptions!$C$62/J101</f>
        <v>31.901367591159453</v>
      </c>
      <c r="K102" s="14">
        <f>Assumptions!$C$62/K101</f>
        <v>31.901367591152965</v>
      </c>
      <c r="L102" s="14">
        <f>Assumptions!$C$62/L101</f>
        <v>31.901367591152816</v>
      </c>
      <c r="M102" s="14">
        <f>Assumptions!$C$62/M101</f>
        <v>31.901367591152816</v>
      </c>
    </row>
    <row r="104" spans="2:8" x14ac:dyDescent="0.25">
      <c r="B104" s="5" t="s">
        <v>243</v>
      </c>
      <c r="D104" s="11">
        <f>Assumptions!$C$17+Assumptions!$C$42*Assumptions!$C$55</f>
        <v>2002500000</v>
      </c>
      <c r="E104" s="11">
        <f>Assumptions!$C$17+Assumptions!$C$42*Assumptions!$C$55</f>
        <v>2002500000</v>
      </c>
      <c r="F104" s="11">
        <f>Assumptions!$C$17+Assumptions!$C$42*Assumptions!$C$55</f>
        <v>2002500000</v>
      </c>
      <c r="G104" s="11">
        <f>Assumptions!$C$17+Assumptions!$C$42*Assumptions!$C$55</f>
        <v>2002500000</v>
      </c>
      <c r="H104" s="11">
        <f>Assumptions!$C$17+Assumptions!$C$42*Assumptions!$C$55</f>
        <v>2002500000</v>
      </c>
    </row>
    <row r="105" spans="2:8" x14ac:dyDescent="0.25">
      <c r="B105" s="15" t="s">
        <v>244</v>
      </c>
      <c r="D105" s="14" t="b">
        <v>0</v>
      </c>
      <c r="E105" s="14">
        <f>Assumptions!$C$7&gt;D116</f>
        <v>0</v>
      </c>
      <c r="F105" s="14">
        <f>Assumptions!$C$7&gt;E116</f>
        <v>0</v>
      </c>
      <c r="G105" s="14">
        <f>Assumptions!$C$7&gt;F116</f>
        <v>0</v>
      </c>
      <c r="H105" s="14">
        <f>Assumptions!$C$7&gt;G116</f>
        <v>0</v>
      </c>
    </row>
    <row r="106" spans="2:8" x14ac:dyDescent="0.25">
      <c r="B106" s="15" t="s">
        <v>245</v>
      </c>
      <c r="D106" s="14" t="b">
        <v>0</v>
      </c>
      <c r="E106" s="14">
        <f>Assumptions!$C$41*Assumptions!$C$28&gt;D117</f>
        <v>0</v>
      </c>
      <c r="F106" s="14">
        <f>Assumptions!$C$41*Assumptions!$C$28&gt;E117</f>
        <v>0</v>
      </c>
      <c r="G106" s="14">
        <f>Assumptions!$C$41*Assumptions!$C$28&gt;F117</f>
        <v>0</v>
      </c>
      <c r="H106" s="14">
        <f>Assumptions!$C$41*Assumptions!$C$28&gt;G117</f>
        <v>0</v>
      </c>
    </row>
    <row r="107" spans="2:8" x14ac:dyDescent="0.25">
      <c r="B107" s="15" t="s">
        <v>246</v>
      </c>
      <c r="D107" s="14" t="b">
        <v>0</v>
      </c>
      <c r="E107" s="14">
        <f>Assumptions!$C$40*Assumptions!$C$27&gt;D118</f>
        <v>1</v>
      </c>
      <c r="F107" s="14">
        <f>Assumptions!$C$40*Assumptions!$C$27&gt;E118</f>
        <v>1</v>
      </c>
      <c r="G107" s="14">
        <f>Assumptions!$C$40*Assumptions!$C$27&gt;F118</f>
        <v>1</v>
      </c>
      <c r="H107" s="14">
        <f>Assumptions!$C$40*Assumptions!$C$27&gt;G118</f>
        <v>1</v>
      </c>
    </row>
    <row r="108" spans="2:8" x14ac:dyDescent="0.25">
      <c r="B108" s="15" t="s">
        <v>247</v>
      </c>
      <c r="D108" s="14" t="b">
        <v>0</v>
      </c>
      <c r="E108" s="14">
        <f>Assumptions!$C$38*Assumptions!$C$25&gt;D119</f>
        <v>0</v>
      </c>
      <c r="F108" s="14">
        <f>Assumptions!$C$38*Assumptions!$C$25&gt;E119</f>
        <v>0</v>
      </c>
      <c r="G108" s="14">
        <f>Assumptions!$C$38*Assumptions!$C$25&gt;F119</f>
        <v>0</v>
      </c>
      <c r="H108" s="14">
        <f>Assumptions!$C$38*Assumptions!$C$25&gt;G119</f>
        <v>0</v>
      </c>
    </row>
    <row r="109" spans="2:8" x14ac:dyDescent="0.25">
      <c r="B109" s="15" t="s">
        <v>248</v>
      </c>
      <c r="D109" s="14" t="b">
        <v>0</v>
      </c>
      <c r="E109" s="14">
        <f>Assumptions!$C$37*Assumptions!$C$24&gt;D120</f>
        <v>0</v>
      </c>
      <c r="F109" s="14">
        <f>Assumptions!$C$37*Assumptions!$C$24&gt;E120</f>
        <v>0</v>
      </c>
      <c r="G109" s="14">
        <f>Assumptions!$C$37*Assumptions!$C$24&gt;F120</f>
        <v>0</v>
      </c>
      <c r="H109" s="14">
        <f>Assumptions!$C$37*Assumptions!$C$24&gt;G120</f>
        <v>0</v>
      </c>
    </row>
    <row r="110" spans="2:8" x14ac:dyDescent="0.25">
      <c r="B110" s="15" t="s">
        <v>249</v>
      </c>
      <c r="D110" s="14" t="b">
        <v>0</v>
      </c>
      <c r="E110" s="14">
        <f>Assumptions!$C$36*Assumptions!$C$23&gt;D121</f>
        <v>0</v>
      </c>
      <c r="F110" s="14">
        <f>Assumptions!$C$36*Assumptions!$C$23&gt;E121</f>
        <v>0</v>
      </c>
      <c r="G110" s="14">
        <f>Assumptions!$C$36*Assumptions!$C$23&gt;F121</f>
        <v>0</v>
      </c>
      <c r="H110" s="14">
        <f>Assumptions!$C$36*Assumptions!$C$23&gt;G121</f>
        <v>0</v>
      </c>
    </row>
    <row r="111" spans="2:8" x14ac:dyDescent="0.25">
      <c r="B111" s="15" t="s">
        <v>250</v>
      </c>
      <c r="D111" s="14" t="b">
        <v>0</v>
      </c>
      <c r="E111" s="14">
        <f>Assumptions!$C$35*Assumptions!$C$22&gt;D122</f>
        <v>0</v>
      </c>
      <c r="F111" s="14">
        <f>Assumptions!$C$35*Assumptions!$C$22&gt;E122</f>
        <v>0</v>
      </c>
      <c r="G111" s="14">
        <f>Assumptions!$C$35*Assumptions!$C$22&gt;F122</f>
        <v>0</v>
      </c>
      <c r="H111" s="14">
        <f>Assumptions!$C$35*Assumptions!$C$22&gt;G122</f>
        <v>0</v>
      </c>
    </row>
    <row r="112" spans="2:8" x14ac:dyDescent="0.25">
      <c r="B112" s="5" t="s">
        <v>251</v>
      </c>
      <c r="D112" s="11">
        <f>IF(D105,Assumptions!$C$7,0)+IF(D106,Assumptions!$C$41*Assumptions!$C$28,0)+IF(D107,Assumptions!$C$40*Assumptions!$C$27,0)+IF(D108,Assumptions!$C$38*Assumptions!$C$25,0)+IF(D109,Assumptions!$C$37*Assumptions!$C$24,0)+IF(D110,Assumptions!$C$36*Assumptions!$C$23,0)+IF(D111,Assumptions!$C$35*Assumptions!$C$22,0)</f>
        <v>0</v>
      </c>
      <c r="E112" s="11">
        <f>IF(E105,Assumptions!$C$7,0)+IF(E106,Assumptions!$C$41*Assumptions!$C$28,0)+IF(E107,Assumptions!$C$40*Assumptions!$C$27,0)+IF(E108,Assumptions!$C$38*Assumptions!$C$25,0)+IF(E109,Assumptions!$C$37*Assumptions!$C$24,0)+IF(E110,Assumptions!$C$36*Assumptions!$C$23,0)+IF(E111,Assumptions!$C$35*Assumptions!$C$22,0)</f>
        <v>100000020</v>
      </c>
      <c r="F112" s="11">
        <f>IF(F105,Assumptions!$C$7,0)+IF(F106,Assumptions!$C$41*Assumptions!$C$28,0)+IF(F107,Assumptions!$C$40*Assumptions!$C$27,0)+IF(F108,Assumptions!$C$38*Assumptions!$C$25,0)+IF(F109,Assumptions!$C$37*Assumptions!$C$24,0)+IF(F110,Assumptions!$C$36*Assumptions!$C$23,0)+IF(F111,Assumptions!$C$35*Assumptions!$C$22,0)</f>
        <v>100000020</v>
      </c>
      <c r="G112" s="11">
        <f>IF(G105,Assumptions!$C$7,0)+IF(G106,Assumptions!$C$41*Assumptions!$C$28,0)+IF(G107,Assumptions!$C$40*Assumptions!$C$27,0)+IF(G108,Assumptions!$C$38*Assumptions!$C$25,0)+IF(G109,Assumptions!$C$37*Assumptions!$C$24,0)+IF(G110,Assumptions!$C$36*Assumptions!$C$23,0)+IF(G111,Assumptions!$C$35*Assumptions!$C$22,0)</f>
        <v>100000020</v>
      </c>
      <c r="H112" s="11">
        <f>IF(H105,Assumptions!$C$7,0)+IF(H106,Assumptions!$C$41*Assumptions!$C$28,0)+IF(H107,Assumptions!$C$40*Assumptions!$C$27,0)+IF(H108,Assumptions!$C$38*Assumptions!$C$25,0)+IF(H109,Assumptions!$C$37*Assumptions!$C$24,0)+IF(H110,Assumptions!$C$36*Assumptions!$C$23,0)+IF(H111,Assumptions!$C$35*Assumptions!$C$22,0)</f>
        <v>100000020</v>
      </c>
    </row>
    <row r="113" spans="2:8" x14ac:dyDescent="0.25">
      <c r="B113" s="5" t="s">
        <v>252</v>
      </c>
      <c r="D113" s="14">
        <f>IF(D105,0,M90)+IF(D106,0,Assumptions!$C$41*Assumptions!$C$28/M87)+IF(D107,0,Assumptions!$C$40*Assumptions!$C$27/M85)+IF(D108,0,Assumptions!$C$38)+IF(D109,0,Assumptions!$C$37)+IF(D110,0,Assumptions!$C$36)+IF(D111,0,Assumptions!$C$35)+((Assumptions!$C$31+Assumptions!$C$32+Assumptions!$C$33+Assumptions!$C$34)+M94+M98+Assumptions!$C$42)</f>
        <v>36044016.47334925</v>
      </c>
      <c r="E113" s="14">
        <f>IF(E105,0,M90)+IF(E106,0,Assumptions!$C$41*Assumptions!$C$28/M87)+IF(E107,0,Assumptions!$C$40*Assumptions!$C$27/M85)+IF(E108,0,Assumptions!$C$38)+IF(E109,0,Assumptions!$C$37)+IF(E110,0,Assumptions!$C$36)+IF(E111,0,Assumptions!$C$35)+((Assumptions!$C$31+Assumptions!$C$32+Assumptions!$C$33+Assumptions!$C$34)+M94+M98+Assumptions!$C$42)</f>
        <v>34303733.09802272</v>
      </c>
      <c r="F113" s="14">
        <f>IF(F105,0,M90)+IF(F106,0,Assumptions!$C$41*Assumptions!$C$28/M87)+IF(F107,0,Assumptions!$C$40*Assumptions!$C$27/M85)+IF(F108,0,Assumptions!$C$38)+IF(F109,0,Assumptions!$C$37)+IF(F110,0,Assumptions!$C$36)+IF(F111,0,Assumptions!$C$35)+((Assumptions!$C$31+Assumptions!$C$32+Assumptions!$C$33+Assumptions!$C$34)+M94+M98+Assumptions!$C$42)</f>
        <v>34303733.09802272</v>
      </c>
      <c r="G113" s="14">
        <f>IF(G105,0,M90)+IF(G106,0,Assumptions!$C$41*Assumptions!$C$28/M87)+IF(G107,0,Assumptions!$C$40*Assumptions!$C$27/M85)+IF(G108,0,Assumptions!$C$38)+IF(G109,0,Assumptions!$C$37)+IF(G110,0,Assumptions!$C$36)+IF(G111,0,Assumptions!$C$35)+((Assumptions!$C$31+Assumptions!$C$32+Assumptions!$C$33+Assumptions!$C$34)+M94+M98+Assumptions!$C$42)</f>
        <v>34303733.09802272</v>
      </c>
      <c r="H113" s="14">
        <f>IF(H105,0,M90)+IF(H106,0,Assumptions!$C$41*Assumptions!$C$28/M87)+IF(H107,0,Assumptions!$C$40*Assumptions!$C$27/M85)+IF(H108,0,Assumptions!$C$38)+IF(H109,0,Assumptions!$C$37)+IF(H110,0,Assumptions!$C$36)+IF(H111,0,Assumptions!$C$35)+((Assumptions!$C$31+Assumptions!$C$32+Assumptions!$C$33+Assumptions!$C$34)+M94+M98+Assumptions!$C$42)</f>
        <v>34303733.09802272</v>
      </c>
    </row>
    <row r="114" spans="2:8" x14ac:dyDescent="0.25">
      <c r="B114" s="5" t="s">
        <v>253</v>
      </c>
      <c r="D114" s="11">
        <f>D104-D112</f>
        <v>2002500000</v>
      </c>
      <c r="E114" s="11">
        <f>E104-E112</f>
        <v>1902499980</v>
      </c>
      <c r="F114" s="11">
        <f>F104-F112</f>
        <v>1902499980</v>
      </c>
      <c r="G114" s="11">
        <f>G104-G112</f>
        <v>1902499980</v>
      </c>
      <c r="H114" s="11">
        <f>H104-H112</f>
        <v>1902499980</v>
      </c>
    </row>
    <row r="115" spans="2:8" x14ac:dyDescent="0.25">
      <c r="B115" s="9" t="s">
        <v>254</v>
      </c>
      <c r="D115" s="11">
        <f>D114/D113</f>
        <v>55.55707149009427</v>
      </c>
      <c r="E115" s="11">
        <f>E114/E113</f>
        <v>55.460435590599346</v>
      </c>
      <c r="F115" s="11">
        <f>F114/F113</f>
        <v>55.460435590599346</v>
      </c>
      <c r="G115" s="11">
        <f>G114/G113</f>
        <v>55.460435590599346</v>
      </c>
      <c r="H115" s="11">
        <f>H114/H113</f>
        <v>55.460435590599346</v>
      </c>
    </row>
    <row r="116" spans="2:8" x14ac:dyDescent="0.25">
      <c r="B116" s="15" t="s">
        <v>255</v>
      </c>
      <c r="D116" s="11">
        <f>M90*D115</f>
        <v>52245789.775014415</v>
      </c>
      <c r="E116" s="11">
        <f>M90*E115</f>
        <v>52154913.51472356</v>
      </c>
      <c r="F116" s="11">
        <f>M90*F115</f>
        <v>52154913.51472356</v>
      </c>
      <c r="G116" s="11">
        <f>M90*G115</f>
        <v>52154913.51472356</v>
      </c>
      <c r="H116" s="11">
        <f>M90*H115</f>
        <v>52154913.51472356</v>
      </c>
    </row>
    <row r="117" spans="2:8" x14ac:dyDescent="0.25">
      <c r="B117" s="15" t="s">
        <v>256</v>
      </c>
      <c r="D117" s="11">
        <f>Assumptions!$C$41*Assumptions!$C$28/M87*D115</f>
        <v>342052836.2060068</v>
      </c>
      <c r="E117" s="11">
        <f>Assumptions!$C$41*Assumptions!$C$28/M87*E115</f>
        <v>341457869.93771726</v>
      </c>
      <c r="F117" s="11">
        <f>Assumptions!$C$41*Assumptions!$C$28/M87*F115</f>
        <v>341457869.93771726</v>
      </c>
      <c r="G117" s="11">
        <f>Assumptions!$C$41*Assumptions!$C$28/M87*G115</f>
        <v>341457869.93771726</v>
      </c>
      <c r="H117" s="11">
        <f>Assumptions!$C$41*Assumptions!$C$28/M87*H115</f>
        <v>341457869.93771726</v>
      </c>
    </row>
    <row r="118" spans="2:8" x14ac:dyDescent="0.25">
      <c r="B118" s="15" t="s">
        <v>257</v>
      </c>
      <c r="D118" s="11">
        <f>Assumptions!$C$40*Assumptions!$C$27/M85*D115</f>
        <v>96685047.89603859</v>
      </c>
      <c r="E118" s="11">
        <f>Assumptions!$C$40*Assumptions!$C$27/M85*E115</f>
        <v>96516874.04668784</v>
      </c>
      <c r="F118" s="11">
        <f>Assumptions!$C$40*Assumptions!$C$27/M85*F115</f>
        <v>96516874.04668784</v>
      </c>
      <c r="G118" s="11">
        <f>Assumptions!$C$40*Assumptions!$C$27/M85*G115</f>
        <v>96516874.04668784</v>
      </c>
      <c r="H118" s="11">
        <f>Assumptions!$C$40*Assumptions!$C$27/M85*H115</f>
        <v>96516874.04668784</v>
      </c>
    </row>
    <row r="119" spans="2:8" x14ac:dyDescent="0.25">
      <c r="B119" s="15" t="s">
        <v>258</v>
      </c>
      <c r="D119" s="11">
        <f>Assumptions!$C$38*D115</f>
        <v>133336971.57622625</v>
      </c>
      <c r="E119" s="11">
        <f>Assumptions!$C$38*E115</f>
        <v>133105045.41743843</v>
      </c>
      <c r="F119" s="11">
        <f>Assumptions!$C$38*F115</f>
        <v>133105045.41743843</v>
      </c>
      <c r="G119" s="11">
        <f>Assumptions!$C$38*G115</f>
        <v>133105045.41743843</v>
      </c>
      <c r="H119" s="11">
        <f>Assumptions!$C$38*H115</f>
        <v>133105045.41743843</v>
      </c>
    </row>
    <row r="120" spans="2:8" x14ac:dyDescent="0.25">
      <c r="B120" s="15" t="s">
        <v>259</v>
      </c>
      <c r="D120" s="11">
        <f>Assumptions!$C$37*D115</f>
        <v>166671214.47028282</v>
      </c>
      <c r="E120" s="11">
        <f>Assumptions!$C$37*E115</f>
        <v>166381306.77179804</v>
      </c>
      <c r="F120" s="11">
        <f>Assumptions!$C$37*F115</f>
        <v>166381306.77179804</v>
      </c>
      <c r="G120" s="11">
        <f>Assumptions!$C$37*G115</f>
        <v>166381306.77179804</v>
      </c>
      <c r="H120" s="11">
        <f>Assumptions!$C$37*H115</f>
        <v>166381306.77179804</v>
      </c>
    </row>
    <row r="121" spans="2:8" x14ac:dyDescent="0.25">
      <c r="B121" s="15" t="s">
        <v>260</v>
      </c>
      <c r="D121" s="11">
        <f>Assumptions!$C$36*D115</f>
        <v>277785357.45047134</v>
      </c>
      <c r="E121" s="11">
        <f>Assumptions!$C$36*E115</f>
        <v>277302177.95299673</v>
      </c>
      <c r="F121" s="11">
        <f>Assumptions!$C$36*F115</f>
        <v>277302177.95299673</v>
      </c>
      <c r="G121" s="11">
        <f>Assumptions!$C$36*G115</f>
        <v>277302177.95299673</v>
      </c>
      <c r="H121" s="11">
        <f>Assumptions!$C$36*H115</f>
        <v>277302177.95299673</v>
      </c>
    </row>
    <row r="122" spans="2:8" x14ac:dyDescent="0.25">
      <c r="B122" s="15" t="s">
        <v>261</v>
      </c>
      <c r="D122" s="11">
        <f>Assumptions!$C$35*D115</f>
        <v>277785357.45047134</v>
      </c>
      <c r="E122" s="11">
        <f>Assumptions!$C$35*E115</f>
        <v>277302177.95299673</v>
      </c>
      <c r="F122" s="11">
        <f>Assumptions!$C$35*F115</f>
        <v>277302177.95299673</v>
      </c>
      <c r="G122" s="11">
        <f>Assumptions!$C$35*G115</f>
        <v>277302177.95299673</v>
      </c>
      <c r="H122" s="11">
        <f>Assumptions!$C$35*H115</f>
        <v>277302177.95299673</v>
      </c>
    </row>
    <row r="125" spans="2:13" x14ac:dyDescent="0.25">
      <c r="B125" s="3" t="s">
        <v>263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2:3" x14ac:dyDescent="0.25">
      <c r="B126" s="5" t="s">
        <v>225</v>
      </c>
      <c r="C126" s="11">
        <f>Assumptions!$C$62</f>
        <v>1200000000</v>
      </c>
    </row>
    <row r="127" spans="2:3" x14ac:dyDescent="0.25">
      <c r="B127" s="5" t="s">
        <v>226</v>
      </c>
      <c r="C127" s="18">
        <f>Assumptions!$C$61</f>
        <v>0.15</v>
      </c>
    </row>
    <row r="128" spans="2:13" x14ac:dyDescent="0.25">
      <c r="B128" s="12" t="s">
        <v>62</v>
      </c>
      <c r="D128" s="13" t="s">
        <v>63</v>
      </c>
      <c r="E128" s="13" t="s">
        <v>64</v>
      </c>
      <c r="F128" s="13" t="s">
        <v>65</v>
      </c>
      <c r="G128" s="13" t="s">
        <v>66</v>
      </c>
      <c r="H128" s="13" t="s">
        <v>67</v>
      </c>
      <c r="I128" s="13" t="s">
        <v>68</v>
      </c>
      <c r="J128" s="13" t="s">
        <v>69</v>
      </c>
      <c r="K128" s="13" t="s">
        <v>70</v>
      </c>
      <c r="L128" s="13" t="s">
        <v>71</v>
      </c>
      <c r="M128" s="13" t="s">
        <v>72</v>
      </c>
    </row>
    <row r="129" spans="2:13" x14ac:dyDescent="0.25">
      <c r="B129" s="5" t="s">
        <v>73</v>
      </c>
      <c r="D129" s="8">
        <v>45</v>
      </c>
      <c r="E129" s="14">
        <f>D147</f>
        <v>31.287274904627218</v>
      </c>
      <c r="F129" s="14">
        <f>E147</f>
        <v>31.138055485870446</v>
      </c>
      <c r="G129" s="14">
        <f>F147</f>
        <v>31.13505835697447</v>
      </c>
      <c r="H129" s="14">
        <f>G147</f>
        <v>31.13499787013342</v>
      </c>
      <c r="I129" s="14">
        <f>H147</f>
        <v>31.134996649295047</v>
      </c>
      <c r="J129" s="14">
        <f>I147</f>
        <v>31.13499662465416</v>
      </c>
      <c r="K129" s="14">
        <f>J147</f>
        <v>31.134996624156813</v>
      </c>
      <c r="L129" s="14">
        <f>K147</f>
        <v>31.134996624146794</v>
      </c>
      <c r="M129" s="14">
        <f>L147</f>
        <v>31.13499662414658</v>
      </c>
    </row>
    <row r="130" spans="2:13" x14ac:dyDescent="0.25">
      <c r="B130" s="5" t="s">
        <v>227</v>
      </c>
      <c r="D130" s="14">
        <f>IF(D129&lt;Assumptions!$C$26,Assumptions!$C$26*(Assumptions!$C$44+Assumptions!$C$7/Assumptions!$C$26)/(Assumptions!$C$44+Assumptions!$C$7/D129),Assumptions!$C$26)</f>
        <v>57.88378478994243</v>
      </c>
      <c r="E130" s="14">
        <f>IF(E129&lt;Assumptions!$C$26,Assumptions!$C$26*(Assumptions!$C$44+Assumptions!$C$7/Assumptions!$C$26)/(Assumptions!$C$44+Assumptions!$C$7/E129),Assumptions!$C$26)</f>
        <v>57.43369236935298</v>
      </c>
      <c r="F130" s="14">
        <f>IF(F129&lt;Assumptions!$C$26,Assumptions!$C$26*(Assumptions!$C$44+Assumptions!$C$7/Assumptions!$C$26)/(Assumptions!$C$44+Assumptions!$C$7/F129),Assumptions!$C$26)</f>
        <v>57.42667004292758</v>
      </c>
      <c r="G130" s="14">
        <f>IF(G129&lt;Assumptions!$C$26,Assumptions!$C$26*(Assumptions!$C$44+Assumptions!$C$7/Assumptions!$C$26)/(Assumptions!$C$44+Assumptions!$C$7/G129),Assumptions!$C$26)</f>
        <v>57.426528324942595</v>
      </c>
      <c r="H130" s="14">
        <f>IF(H129&lt;Assumptions!$C$26,Assumptions!$C$26*(Assumptions!$C$44+Assumptions!$C$7/Assumptions!$C$26)/(Assumptions!$C$44+Assumptions!$C$7/H129),Assumptions!$C$26)</f>
        <v>57.42652546457397</v>
      </c>
      <c r="I130" s="14">
        <f>IF(I129&lt;Assumptions!$C$26,Assumptions!$C$26*(Assumptions!$C$44+Assumptions!$C$7/Assumptions!$C$26)/(Assumptions!$C$44+Assumptions!$C$7/I129),Assumptions!$C$26)</f>
        <v>57.42652540684149</v>
      </c>
      <c r="J130" s="14">
        <f>IF(J129&lt;Assumptions!$C$26,Assumptions!$C$26*(Assumptions!$C$44+Assumptions!$C$7/Assumptions!$C$26)/(Assumptions!$C$44+Assumptions!$C$7/J129),Assumptions!$C$26)</f>
        <v>57.42652540567625</v>
      </c>
      <c r="K130" s="14">
        <f>IF(K129&lt;Assumptions!$C$26,Assumptions!$C$26*(Assumptions!$C$44+Assumptions!$C$7/Assumptions!$C$26)/(Assumptions!$C$44+Assumptions!$C$7/K129),Assumptions!$C$26)</f>
        <v>57.426525405652725</v>
      </c>
      <c r="L130" s="14">
        <f>IF(L129&lt;Assumptions!$C$26,Assumptions!$C$26*(Assumptions!$C$44+Assumptions!$C$7/Assumptions!$C$26)/(Assumptions!$C$44+Assumptions!$C$7/L129),Assumptions!$C$26)</f>
        <v>57.42652540565227</v>
      </c>
      <c r="M130" s="14">
        <f>IF(M129&lt;Assumptions!$C$26,Assumptions!$C$26*(Assumptions!$C$44+Assumptions!$C$7/Assumptions!$C$26)/(Assumptions!$C$44+Assumptions!$C$7/M129),Assumptions!$C$26)</f>
        <v>57.42652540565226</v>
      </c>
    </row>
    <row r="131" spans="2:13" x14ac:dyDescent="0.25">
      <c r="B131" s="15" t="s">
        <v>228</v>
      </c>
      <c r="D131" s="14">
        <f>Assumptions!$C$40*Assumptions!$C$27/D130-Assumptions!$C$39</f>
        <v>6972.8859247963</v>
      </c>
      <c r="E131" s="14">
        <f>Assumptions!$C$40*Assumptions!$C$27/E130-Assumptions!$C$39</f>
        <v>20511.622202892</v>
      </c>
      <c r="F131" s="14">
        <f>Assumptions!$C$40*Assumptions!$C$27/F130-Assumptions!$C$39</f>
        <v>20724.5344916917</v>
      </c>
      <c r="G131" s="14">
        <f>Assumptions!$C$40*Assumptions!$C$27/G130-Assumptions!$C$39</f>
        <v>20728.831823218</v>
      </c>
      <c r="H131" s="14">
        <f>Assumptions!$C$40*Assumptions!$C$27/H130-Assumptions!$C$39</f>
        <v>20728.9185587387</v>
      </c>
      <c r="I131" s="14">
        <f>Assumptions!$C$40*Assumptions!$C$27/I130-Assumptions!$C$39</f>
        <v>20728.920309372</v>
      </c>
      <c r="J131" s="14">
        <f>Assumptions!$C$40*Assumptions!$C$27/J130-Assumptions!$C$39</f>
        <v>20728.920344706</v>
      </c>
      <c r="K131" s="14">
        <f>Assumptions!$C$40*Assumptions!$C$27/K130-Assumptions!$C$39</f>
        <v>20728.9203454193</v>
      </c>
      <c r="L131" s="14">
        <f>Assumptions!$C$40*Assumptions!$C$27/L130-Assumptions!$C$39</f>
        <v>20728.920345433</v>
      </c>
      <c r="M131" s="14">
        <f>Assumptions!$C$40*Assumptions!$C$27/M130-Assumptions!$C$39</f>
        <v>20728.9203454333</v>
      </c>
    </row>
    <row r="132" spans="2:13" x14ac:dyDescent="0.25">
      <c r="B132" s="5" t="s">
        <v>229</v>
      </c>
      <c r="D132" s="14">
        <f>IF(D129&lt;Assumptions!$C$28,Assumptions!$C$28*(Assumptions!$C$44+Assumptions!$C$7/Assumptions!$C$28)/(Assumptions!$C$44+Assumptions!$C$7/D129),Assumptions!$C$28)</f>
        <v>49.08395844489023</v>
      </c>
      <c r="E132" s="14">
        <f>IF(E129&lt;Assumptions!$C$28,Assumptions!$C$28*(Assumptions!$C$44+Assumptions!$C$7/Assumptions!$C$28)/(Assumptions!$C$44+Assumptions!$C$7/E129),Assumptions!$C$28)</f>
        <v>48.70229166638318</v>
      </c>
      <c r="F132" s="14">
        <f>IF(F129&lt;Assumptions!$C$28,Assumptions!$C$28*(Assumptions!$C$44+Assumptions!$C$7/Assumptions!$C$28)/(Assumptions!$C$44+Assumptions!$C$7/F129),Assumptions!$C$28)</f>
        <v>48.69633691446601</v>
      </c>
      <c r="G132" s="14">
        <f>IF(G129&lt;Assumptions!$C$28,Assumptions!$C$28*(Assumptions!$C$44+Assumptions!$C$7/Assumptions!$C$28)/(Assumptions!$C$44+Assumptions!$C$7/G129),Assumptions!$C$28)</f>
        <v>48.696216741265324</v>
      </c>
      <c r="H132" s="14">
        <f>IF(H129&lt;Assumptions!$C$28,Assumptions!$C$28*(Assumptions!$C$44+Assumptions!$C$7/Assumptions!$C$28)/(Assumptions!$C$44+Assumptions!$C$7/H129),Assumptions!$C$28)</f>
        <v>48.69621431574641</v>
      </c>
      <c r="I132" s="14">
        <f>IF(I129&lt;Assumptions!$C$28,Assumptions!$C$28*(Assumptions!$C$44+Assumptions!$C$7/Assumptions!$C$28)/(Assumptions!$C$44+Assumptions!$C$7/I129),Assumptions!$C$28)</f>
        <v>48.69621426679076</v>
      </c>
      <c r="J132" s="14">
        <f>IF(J129&lt;Assumptions!$C$28,Assumptions!$C$28*(Assumptions!$C$44+Assumptions!$C$7/Assumptions!$C$28)/(Assumptions!$C$44+Assumptions!$C$7/J129),Assumptions!$C$28)</f>
        <v>48.696214265802666</v>
      </c>
      <c r="K132" s="14">
        <f>IF(K129&lt;Assumptions!$C$28,Assumptions!$C$28*(Assumptions!$C$44+Assumptions!$C$7/Assumptions!$C$28)/(Assumptions!$C$44+Assumptions!$C$7/K129),Assumptions!$C$28)</f>
        <v>48.696214265782714</v>
      </c>
      <c r="L132" s="14">
        <f>IF(L129&lt;Assumptions!$C$28,Assumptions!$C$28*(Assumptions!$C$44+Assumptions!$C$7/Assumptions!$C$28)/(Assumptions!$C$44+Assumptions!$C$7/L129),Assumptions!$C$28)</f>
        <v>48.69621426578233</v>
      </c>
      <c r="M132" s="14">
        <f>IF(M129&lt;Assumptions!$C$28,Assumptions!$C$28*(Assumptions!$C$44+Assumptions!$C$7/Assumptions!$C$28)/(Assumptions!$C$44+Assumptions!$C$7/M129),Assumptions!$C$28)</f>
        <v>48.69621426578232</v>
      </c>
    </row>
    <row r="133" spans="2:13" x14ac:dyDescent="0.25">
      <c r="B133" s="15" t="s">
        <v>230</v>
      </c>
      <c r="D133" s="14">
        <f>Assumptions!$C$41*Assumptions!$C$28/D132-Assumptions!$C$41</f>
        <v>9244.341711835</v>
      </c>
      <c r="E133" s="14">
        <f>Assumptions!$C$41*Assumptions!$C$28/E132-Assumptions!$C$41</f>
        <v>57141.749256663</v>
      </c>
      <c r="F133" s="14">
        <f>Assumptions!$C$41*Assumptions!$C$28/F132-Assumptions!$C$41</f>
        <v>57894.991395256</v>
      </c>
      <c r="G133" s="14">
        <f>Assumptions!$C$41*Assumptions!$C$28/G132-Assumptions!$C$41</f>
        <v>57910.194515786</v>
      </c>
      <c r="H133" s="14">
        <f>Assumptions!$C$41*Assumptions!$C$28/H132-Assumptions!$C$41</f>
        <v>57910.501369136</v>
      </c>
      <c r="I133" s="14">
        <f>Assumptions!$C$41*Assumptions!$C$28/I132-Assumptions!$C$41</f>
        <v>57910.507562536</v>
      </c>
      <c r="J133" s="14">
        <f>Assumptions!$C$41*Assumptions!$C$28/J132-Assumptions!$C$41</f>
        <v>57910.50768754</v>
      </c>
      <c r="K133" s="14">
        <f>Assumptions!$C$41*Assumptions!$C$28/K132-Assumptions!$C$41</f>
        <v>57910.507690064</v>
      </c>
      <c r="L133" s="14">
        <f>Assumptions!$C$41*Assumptions!$C$28/L132-Assumptions!$C$41</f>
        <v>57910.507690112</v>
      </c>
      <c r="M133" s="14">
        <f>Assumptions!$C$41*Assumptions!$C$28/M132-Assumptions!$C$41</f>
        <v>57910.507690114</v>
      </c>
    </row>
    <row r="134" spans="2:13" x14ac:dyDescent="0.25">
      <c r="B134" s="5" t="s">
        <v>231</v>
      </c>
      <c r="D134" s="14">
        <f>Assumptions!$C$44+D131+D133</f>
        <v>36634178.22763663</v>
      </c>
      <c r="E134" s="14">
        <f>Assumptions!$C$44+E131+E133</f>
        <v>36695614.37145956</v>
      </c>
      <c r="F134" s="14">
        <f>Assumptions!$C$44+F131+F133</f>
        <v>36696580.525886945</v>
      </c>
      <c r="G134" s="14">
        <f>Assumptions!$C$44+G131+G133</f>
        <v>36696600.026339</v>
      </c>
      <c r="H134" s="14">
        <f>Assumptions!$C$44+H131+H133</f>
        <v>36696600.41992787</v>
      </c>
      <c r="I134" s="14">
        <f>Assumptions!$C$44+I131+I133</f>
        <v>36696600.427871905</v>
      </c>
      <c r="J134" s="14">
        <f>Assumptions!$C$44+J131+J133</f>
        <v>36696600.42803224</v>
      </c>
      <c r="K134" s="14">
        <f>Assumptions!$C$44+K131+K133</f>
        <v>36696600.42803548</v>
      </c>
      <c r="L134" s="14">
        <f>Assumptions!$C$44+L131+L133</f>
        <v>36696600.42803554</v>
      </c>
      <c r="M134" s="14">
        <f>Assumptions!$C$44+M131+M133</f>
        <v>36696600.42803554</v>
      </c>
    </row>
    <row r="135" spans="2:13" x14ac:dyDescent="0.25">
      <c r="B135" s="5" t="s">
        <v>232</v>
      </c>
      <c r="D135" s="14">
        <f>Assumptions!$C$7/D129</f>
        <v>666666.6666666666</v>
      </c>
      <c r="E135" s="14">
        <f>Assumptions!$C$7/E129</f>
        <v>958856.2791565834</v>
      </c>
      <c r="F135" s="14">
        <f>Assumptions!$C$7/F129</f>
        <v>963451.2988010165</v>
      </c>
      <c r="G135" s="14">
        <f>Assumptions!$C$7/G129</f>
        <v>963544.0427327733</v>
      </c>
      <c r="H135" s="14">
        <f>Assumptions!$C$7/H129</f>
        <v>963545.91463704</v>
      </c>
      <c r="I135" s="14">
        <f>Assumptions!$C$7/I129</f>
        <v>963545.9524187633</v>
      </c>
      <c r="J135" s="14">
        <f>Assumptions!$C$7/J129</f>
        <v>963545.9531813337</v>
      </c>
      <c r="K135" s="14">
        <f>Assumptions!$C$7/K129</f>
        <v>963545.9531967252</v>
      </c>
      <c r="L135" s="14">
        <f>Assumptions!$C$7/L129</f>
        <v>963545.9531970354</v>
      </c>
      <c r="M135" s="14">
        <f>Assumptions!$C$7/M129</f>
        <v>963545.953197042</v>
      </c>
    </row>
    <row r="136" spans="2:13" x14ac:dyDescent="0.25">
      <c r="B136" s="15" t="s">
        <v>233</v>
      </c>
      <c r="D136" s="14">
        <f>Assumptions!$C$48/(D134+0+0)</f>
        <v>27.296913657683888</v>
      </c>
      <c r="E136" s="14">
        <f>Assumptions!$C$48/(E134+D144+D143)</f>
        <v>26.155746303541736</v>
      </c>
      <c r="F136" s="14">
        <f>Assumptions!$C$48/(F134+E144+E143)</f>
        <v>26.082926336536463</v>
      </c>
      <c r="G136" s="14">
        <f>Assumptions!$C$48/(G134+F144+F143)</f>
        <v>26.08169786913776</v>
      </c>
      <c r="H136" s="14">
        <f>Assumptions!$C$48/(H134+G144+G143)</f>
        <v>26.08167307546309</v>
      </c>
      <c r="I136" s="14">
        <f>Assumptions!$C$48/(I134+H144+H143)</f>
        <v>26.08167257503853</v>
      </c>
      <c r="J136" s="14">
        <f>Assumptions!$C$48/(J134+I144+I143)</f>
        <v>26.081672564938177</v>
      </c>
      <c r="K136" s="14">
        <f>Assumptions!$C$48/(K134+J144+J143)</f>
        <v>26.081672564734312</v>
      </c>
      <c r="L136" s="14">
        <f>Assumptions!$C$48/(L134+K144+K143)</f>
        <v>26.081672564730205</v>
      </c>
      <c r="M136" s="14">
        <f>Assumptions!$C$48/(M134+L144+L143)</f>
        <v>26.08167256473012</v>
      </c>
    </row>
    <row r="137" spans="2:13" x14ac:dyDescent="0.25">
      <c r="B137" s="15" t="s">
        <v>234</v>
      </c>
      <c r="D137" s="14">
        <f>D129*(1-Assumptions!$C$49)</f>
        <v>36</v>
      </c>
      <c r="E137" s="14">
        <f>E129*(1-Assumptions!$C$49)</f>
        <v>25.029819923701773</v>
      </c>
      <c r="F137" s="14">
        <f>F129*(1-Assumptions!$C$49)</f>
        <v>24.910444388696355</v>
      </c>
      <c r="G137" s="14">
        <f>G129*(1-Assumptions!$C$49)</f>
        <v>24.908046685579578</v>
      </c>
      <c r="H137" s="14">
        <f>H129*(1-Assumptions!$C$49)</f>
        <v>24.907998296106737</v>
      </c>
      <c r="I137" s="14">
        <f>I129*(1-Assumptions!$C$49)</f>
        <v>24.90799731943604</v>
      </c>
      <c r="J137" s="14">
        <f>J129*(1-Assumptions!$C$49)</f>
        <v>24.907997299723327</v>
      </c>
      <c r="K137" s="14">
        <f>K129*(1-Assumptions!$C$49)</f>
        <v>24.90799729932545</v>
      </c>
      <c r="L137" s="14">
        <f>L129*(1-Assumptions!$C$49)</f>
        <v>24.907997299317437</v>
      </c>
      <c r="M137" s="14">
        <f>M129*(1-Assumptions!$C$49)</f>
        <v>24.907997299317262</v>
      </c>
    </row>
    <row r="138" spans="2:13" x14ac:dyDescent="0.25">
      <c r="B138" s="15" t="s">
        <v>235</v>
      </c>
      <c r="D138" s="14">
        <f>MIN(D136,D137)</f>
        <v>27.296913657683888</v>
      </c>
      <c r="E138" s="14">
        <f>MIN(E136,E137)</f>
        <v>25.029819923701773</v>
      </c>
      <c r="F138" s="14">
        <f>MIN(F136,F137)</f>
        <v>24.910444388696355</v>
      </c>
      <c r="G138" s="14">
        <f>MIN(G136,G137)</f>
        <v>24.908046685579578</v>
      </c>
      <c r="H138" s="14">
        <f>MIN(H136,H137)</f>
        <v>24.907998296106737</v>
      </c>
      <c r="I138" s="14">
        <f>MIN(I136,I137)</f>
        <v>24.90799731943604</v>
      </c>
      <c r="J138" s="14">
        <f>MIN(J136,J137)</f>
        <v>24.907997299723327</v>
      </c>
      <c r="K138" s="14">
        <f>MIN(K136,K137)</f>
        <v>24.90799729932545</v>
      </c>
      <c r="L138" s="14">
        <f>MIN(L136,L137)</f>
        <v>24.907997299317437</v>
      </c>
      <c r="M138" s="14">
        <f>MIN(M136,M137)</f>
        <v>24.907997299317262</v>
      </c>
    </row>
    <row r="139" spans="2:13" x14ac:dyDescent="0.25">
      <c r="B139" s="15" t="s">
        <v>236</v>
      </c>
      <c r="D139" s="14">
        <f>Assumptions!$C$47/D138</f>
        <v>183170.89113818313</v>
      </c>
      <c r="E139" s="14">
        <f>Assumptions!$C$47/E138</f>
        <v>199761.72482428822</v>
      </c>
      <c r="F139" s="14">
        <f>Assumptions!$C$47/F138</f>
        <v>200719.02058354512</v>
      </c>
      <c r="G139" s="14">
        <f>Assumptions!$C$47/G138</f>
        <v>200738.34223599444</v>
      </c>
      <c r="H139" s="14">
        <f>Assumptions!$C$47/H138</f>
        <v>200738.73221605</v>
      </c>
      <c r="I139" s="14">
        <f>Assumptions!$C$47/I138</f>
        <v>200738.74008724233</v>
      </c>
      <c r="J139" s="14">
        <f>Assumptions!$C$47/J138</f>
        <v>200738.7402461112</v>
      </c>
      <c r="K139" s="14">
        <f>Assumptions!$C$47/K138</f>
        <v>200738.74024931778</v>
      </c>
      <c r="L139" s="14">
        <f>Assumptions!$C$47/L138</f>
        <v>200738.74024938236</v>
      </c>
      <c r="M139" s="14">
        <f>Assumptions!$C$47/M138</f>
        <v>200738.74024938376</v>
      </c>
    </row>
    <row r="140" spans="2:13" x14ac:dyDescent="0.25">
      <c r="B140" s="15" t="s">
        <v>237</v>
      </c>
      <c r="D140" s="14">
        <f>Assumptions!$C$51/(D134+0+0)</f>
        <v>43.67506185229422</v>
      </c>
      <c r="E140" s="14">
        <f>Assumptions!$C$51/(E134+D144+D139)</f>
        <v>41.734859756443555</v>
      </c>
      <c r="F140" s="14">
        <f>Assumptions!$C$51/(F134+E144+E139)</f>
        <v>41.63824478528935</v>
      </c>
      <c r="G140" s="14">
        <f>Assumptions!$C$51/(G134+F144+F139)</f>
        <v>41.63583663277743</v>
      </c>
      <c r="H140" s="14">
        <f>Assumptions!$C$51/(H134+G144+G139)</f>
        <v>41.63578803051417</v>
      </c>
      <c r="I140" s="14">
        <f>Assumptions!$C$51/(I134+H144+H139)</f>
        <v>41.635787049547815</v>
      </c>
      <c r="J140" s="14">
        <f>Assumptions!$C$51/(J134+I144+I139)</f>
        <v>41.63578702974841</v>
      </c>
      <c r="K140" s="14">
        <f>Assumptions!$C$51/(K134+J144+J139)</f>
        <v>41.63578702934878</v>
      </c>
      <c r="L140" s="14">
        <f>Assumptions!$C$51/(L134+K144+K139)</f>
        <v>41.63578702934073</v>
      </c>
      <c r="M140" s="14">
        <f>Assumptions!$C$51/(M134+L144+L139)</f>
        <v>41.63578702934056</v>
      </c>
    </row>
    <row r="141" spans="2:13" x14ac:dyDescent="0.25">
      <c r="B141" s="15" t="s">
        <v>238</v>
      </c>
      <c r="D141" s="14">
        <f>D129*(1-Assumptions!$C$52)</f>
        <v>38.25</v>
      </c>
      <c r="E141" s="14">
        <f>E129*(1-Assumptions!$C$52)</f>
        <v>26.594183668933134</v>
      </c>
      <c r="F141" s="14">
        <f>F129*(1-Assumptions!$C$52)</f>
        <v>26.467347162989878</v>
      </c>
      <c r="G141" s="14">
        <f>G129*(1-Assumptions!$C$52)</f>
        <v>26.4647996034283</v>
      </c>
      <c r="H141" s="14">
        <f>H129*(1-Assumptions!$C$52)</f>
        <v>26.464748189613406</v>
      </c>
      <c r="I141" s="14">
        <f>I129*(1-Assumptions!$C$52)</f>
        <v>26.46474715190079</v>
      </c>
      <c r="J141" s="14">
        <f>J129*(1-Assumptions!$C$52)</f>
        <v>26.464747130956034</v>
      </c>
      <c r="K141" s="14">
        <f>K129*(1-Assumptions!$C$52)</f>
        <v>26.46474713053329</v>
      </c>
      <c r="L141" s="14">
        <f>L129*(1-Assumptions!$C$52)</f>
        <v>26.464747130524774</v>
      </c>
      <c r="M141" s="14">
        <f>M129*(1-Assumptions!$C$52)</f>
        <v>26.464747130524593</v>
      </c>
    </row>
    <row r="142" spans="2:13" x14ac:dyDescent="0.25">
      <c r="B142" s="15" t="s">
        <v>239</v>
      </c>
      <c r="D142" s="14">
        <f>MIN(D140,D141)</f>
        <v>38.25</v>
      </c>
      <c r="E142" s="14">
        <f>MIN(E140,E141)</f>
        <v>26.594183668933134</v>
      </c>
      <c r="F142" s="14">
        <f>MIN(F140,F141)</f>
        <v>26.467347162989878</v>
      </c>
      <c r="G142" s="14">
        <f>MIN(G140,G141)</f>
        <v>26.4647996034283</v>
      </c>
      <c r="H142" s="14">
        <f>MIN(H140,H141)</f>
        <v>26.464748189613406</v>
      </c>
      <c r="I142" s="14">
        <f>MIN(I140,I141)</f>
        <v>26.46474715190079</v>
      </c>
      <c r="J142" s="14">
        <f>MIN(J140,J141)</f>
        <v>26.464747130956034</v>
      </c>
      <c r="K142" s="14">
        <f>MIN(K140,K141)</f>
        <v>26.46474713053329</v>
      </c>
      <c r="L142" s="14">
        <f>MIN(L140,L141)</f>
        <v>26.464747130524774</v>
      </c>
      <c r="M142" s="14">
        <f>MIN(M140,M141)</f>
        <v>26.464747130524593</v>
      </c>
    </row>
    <row r="143" spans="2:13" x14ac:dyDescent="0.25">
      <c r="B143" s="15" t="s">
        <v>240</v>
      </c>
      <c r="D143" s="14">
        <f>Assumptions!$C$50/D142</f>
        <v>78431.37254901961</v>
      </c>
      <c r="E143" s="14">
        <f>Assumptions!$C$50/E142</f>
        <v>112806.6210772451</v>
      </c>
      <c r="F143" s="14">
        <f>Assumptions!$C$50/F142</f>
        <v>113347.21162364901</v>
      </c>
      <c r="G143" s="14">
        <f>Assumptions!$C$50/G142</f>
        <v>113358.12267444392</v>
      </c>
      <c r="H143" s="14">
        <f>Assumptions!$C$50/H142</f>
        <v>113358.3428984753</v>
      </c>
      <c r="I143" s="14">
        <f>Assumptions!$C$50/I142</f>
        <v>113358.34734338391</v>
      </c>
      <c r="J143" s="14">
        <f>Assumptions!$C$50/J142</f>
        <v>113358.3474330981</v>
      </c>
      <c r="K143" s="14">
        <f>Assumptions!$C$50/K142</f>
        <v>113358.34743490886</v>
      </c>
      <c r="L143" s="14">
        <f>Assumptions!$C$50/L142</f>
        <v>113358.34743494533</v>
      </c>
      <c r="M143" s="14">
        <f>Assumptions!$C$50/M142</f>
        <v>113358.34743494612</v>
      </c>
    </row>
    <row r="144" spans="2:13" x14ac:dyDescent="0.25">
      <c r="B144" s="5" t="s">
        <v>88</v>
      </c>
      <c r="D144" s="14">
        <f>MAX(0,(Assumptions!$C$61*(D134+D139+D143+D135)-Assumptions!$C$56)/(1-Assumptions!$C$61))</f>
        <v>1458470.6749395</v>
      </c>
      <c r="E144" s="14">
        <f>MAX(0,(Assumptions!$C$61*(E134+E139+E143+E135)-Assumptions!$C$56)/(1-Assumptions!$C$61))</f>
        <v>1529869.2346795895</v>
      </c>
      <c r="F144" s="14">
        <f>MAX(0,(Assumptions!$C$61*(F134+F139+F143+F135)-Assumptions!$C$56)/(1-Assumptions!$C$61))</f>
        <v>1531114.951216793</v>
      </c>
      <c r="G144" s="14">
        <f>MAX(0,(Assumptions!$C$61*(G134+G139+G143+G135)-Assumptions!$C$56)/(1-Assumptions!$C$61))</f>
        <v>1531140.0942321552</v>
      </c>
      <c r="H144" s="14">
        <f>MAX(0,(Assumptions!$C$61*(H134+H139+H143+H135)-Assumptions!$C$56)/(1-Assumptions!$C$61))</f>
        <v>1531140.6017081365</v>
      </c>
      <c r="I144" s="14">
        <f>MAX(0,(Assumptions!$C$61*(I134+I139+I143+I135)-Assumptions!$C$56)/(1-Assumptions!$C$61))</f>
        <v>1531140.6119508152</v>
      </c>
      <c r="J144" s="14">
        <f>MAX(0,(Assumptions!$C$61*(J134+J139+J143+J135)-Assumptions!$C$56)/(1-Assumptions!$C$61))</f>
        <v>1531140.6121575495</v>
      </c>
      <c r="K144" s="14">
        <f>MAX(0,(Assumptions!$C$61*(K134+K139+K143+K135)-Assumptions!$C$56)/(1-Assumptions!$C$61))</f>
        <v>1531140.6121617223</v>
      </c>
      <c r="L144" s="14">
        <f>MAX(0,(Assumptions!$C$61*(L134+L139+L143+L135)-Assumptions!$C$56)/(1-Assumptions!$C$61))</f>
        <v>1531140.6121618082</v>
      </c>
      <c r="M144" s="14">
        <f>MAX(0,(Assumptions!$C$61*(M134+M139+M143+M135)-Assumptions!$C$56)/(1-Assumptions!$C$61))</f>
        <v>1531140.6121618082</v>
      </c>
    </row>
    <row r="145" spans="2:13" x14ac:dyDescent="0.25">
      <c r="B145" s="9" t="s">
        <v>241</v>
      </c>
      <c r="D145" s="14">
        <f>D134+D144+D139+D143+D135</f>
        <v>39020917.83293</v>
      </c>
      <c r="E145" s="14">
        <f>E134+E144+E139+E143+E135</f>
        <v>39496908.23119725</v>
      </c>
      <c r="F145" s="14">
        <f>F134+F144+F139+F143+F135</f>
        <v>39505213.008111954</v>
      </c>
      <c r="G145" s="14">
        <f>G134+G144+G139+G143+G135</f>
        <v>39505380.628214374</v>
      </c>
      <c r="H145" s="14">
        <f>H134+H144+H139+H143+H135</f>
        <v>39505384.01138757</v>
      </c>
      <c r="I145" s="14">
        <f>I134+I144+I139+I143+I135</f>
        <v>39505384.079672106</v>
      </c>
      <c r="J145" s="14">
        <f>J134+J144+J139+J143+J135</f>
        <v>39505384.08105034</v>
      </c>
      <c r="K145" s="14">
        <f>K134+K144+K139+K143+K135</f>
        <v>39505384.08107814</v>
      </c>
      <c r="L145" s="14">
        <f>L134+L144+L139+L143+L135</f>
        <v>39505384.08107871</v>
      </c>
      <c r="M145" s="14">
        <f>M134+M144+M139+M143+M135</f>
        <v>39505384.081078716</v>
      </c>
    </row>
    <row r="146" spans="2:13" x14ac:dyDescent="0.25">
      <c r="B146" s="5" t="s">
        <v>242</v>
      </c>
      <c r="D146" s="14">
        <f>D145-D135</f>
        <v>38354251.166263334</v>
      </c>
      <c r="E146" s="14">
        <f>E145-E135</f>
        <v>38538051.952040665</v>
      </c>
      <c r="F146" s="14">
        <f>F145-F135</f>
        <v>38541761.709310934</v>
      </c>
      <c r="G146" s="14">
        <f>G145-G135</f>
        <v>38541836.5854816</v>
      </c>
      <c r="H146" s="14">
        <f>H145-H135</f>
        <v>38541838.09675053</v>
      </c>
      <c r="I146" s="14">
        <f>I145-I135</f>
        <v>38541838.127253346</v>
      </c>
      <c r="J146" s="14">
        <f>J145-J135</f>
        <v>38541838.12786901</v>
      </c>
      <c r="K146" s="14">
        <f>K145-K135</f>
        <v>38541838.127881415</v>
      </c>
      <c r="L146" s="14">
        <f>L145-L135</f>
        <v>38541838.127881676</v>
      </c>
      <c r="M146" s="14">
        <f>M145-M135</f>
        <v>38541838.127881676</v>
      </c>
    </row>
    <row r="147" spans="2:13" x14ac:dyDescent="0.25">
      <c r="B147" s="9" t="s">
        <v>91</v>
      </c>
      <c r="D147" s="14">
        <f>Assumptions!$C$62/D146</f>
        <v>31.287274904627218</v>
      </c>
      <c r="E147" s="14">
        <f>Assumptions!$C$62/E146</f>
        <v>31.138055485870446</v>
      </c>
      <c r="F147" s="14">
        <f>Assumptions!$C$62/F146</f>
        <v>31.13505835697447</v>
      </c>
      <c r="G147" s="14">
        <f>Assumptions!$C$62/G146</f>
        <v>31.13499787013342</v>
      </c>
      <c r="H147" s="14">
        <f>Assumptions!$C$62/H146</f>
        <v>31.134996649295047</v>
      </c>
      <c r="I147" s="14">
        <f>Assumptions!$C$62/I146</f>
        <v>31.13499662465416</v>
      </c>
      <c r="J147" s="14">
        <f>Assumptions!$C$62/J146</f>
        <v>31.134996624156813</v>
      </c>
      <c r="K147" s="14">
        <f>Assumptions!$C$62/K146</f>
        <v>31.134996624146794</v>
      </c>
      <c r="L147" s="14">
        <f>Assumptions!$C$62/L146</f>
        <v>31.13499662414658</v>
      </c>
      <c r="M147" s="14">
        <f>Assumptions!$C$62/M146</f>
        <v>31.13499662414658</v>
      </c>
    </row>
    <row r="149" spans="2:8" x14ac:dyDescent="0.25">
      <c r="B149" s="5" t="s">
        <v>243</v>
      </c>
      <c r="D149" s="11">
        <f>Assumptions!$C$17+Assumptions!$C$42*Assumptions!$C$55</f>
        <v>2002500000</v>
      </c>
      <c r="E149" s="11">
        <f>Assumptions!$C$17+Assumptions!$C$42*Assumptions!$C$55</f>
        <v>2002500000</v>
      </c>
      <c r="F149" s="11">
        <f>Assumptions!$C$17+Assumptions!$C$42*Assumptions!$C$55</f>
        <v>2002500000</v>
      </c>
      <c r="G149" s="11">
        <f>Assumptions!$C$17+Assumptions!$C$42*Assumptions!$C$55</f>
        <v>2002500000</v>
      </c>
      <c r="H149" s="11">
        <f>Assumptions!$C$17+Assumptions!$C$42*Assumptions!$C$55</f>
        <v>2002500000</v>
      </c>
    </row>
    <row r="150" spans="2:8" x14ac:dyDescent="0.25">
      <c r="B150" s="15" t="s">
        <v>244</v>
      </c>
      <c r="D150" s="14" t="b">
        <v>0</v>
      </c>
      <c r="E150" s="14">
        <f>Assumptions!$C$7&gt;D161</f>
        <v>0</v>
      </c>
      <c r="F150" s="14">
        <f>Assumptions!$C$7&gt;E161</f>
        <v>0</v>
      </c>
      <c r="G150" s="14">
        <f>Assumptions!$C$7&gt;F161</f>
        <v>0</v>
      </c>
      <c r="H150" s="14">
        <f>Assumptions!$C$7&gt;G161</f>
        <v>0</v>
      </c>
    </row>
    <row r="151" spans="2:8" x14ac:dyDescent="0.25">
      <c r="B151" s="15" t="s">
        <v>245</v>
      </c>
      <c r="D151" s="14" t="b">
        <v>0</v>
      </c>
      <c r="E151" s="14">
        <f>Assumptions!$C$41*Assumptions!$C$28&gt;D162</f>
        <v>0</v>
      </c>
      <c r="F151" s="14">
        <f>Assumptions!$C$41*Assumptions!$C$28&gt;E162</f>
        <v>0</v>
      </c>
      <c r="G151" s="14">
        <f>Assumptions!$C$41*Assumptions!$C$28&gt;F162</f>
        <v>0</v>
      </c>
      <c r="H151" s="14">
        <f>Assumptions!$C$41*Assumptions!$C$28&gt;G162</f>
        <v>0</v>
      </c>
    </row>
    <row r="152" spans="2:8" x14ac:dyDescent="0.25">
      <c r="B152" s="15" t="s">
        <v>246</v>
      </c>
      <c r="D152" s="14" t="b">
        <v>0</v>
      </c>
      <c r="E152" s="14">
        <f>Assumptions!$C$40*Assumptions!$C$27&gt;D163</f>
        <v>1</v>
      </c>
      <c r="F152" s="14">
        <f>Assumptions!$C$40*Assumptions!$C$27&gt;E163</f>
        <v>1</v>
      </c>
      <c r="G152" s="14">
        <f>Assumptions!$C$40*Assumptions!$C$27&gt;F163</f>
        <v>1</v>
      </c>
      <c r="H152" s="14">
        <f>Assumptions!$C$40*Assumptions!$C$27&gt;G163</f>
        <v>1</v>
      </c>
    </row>
    <row r="153" spans="2:8" x14ac:dyDescent="0.25">
      <c r="B153" s="15" t="s">
        <v>247</v>
      </c>
      <c r="D153" s="14" t="b">
        <v>0</v>
      </c>
      <c r="E153" s="14">
        <f>Assumptions!$C$38*Assumptions!$C$25&gt;D164</f>
        <v>0</v>
      </c>
      <c r="F153" s="14">
        <f>Assumptions!$C$38*Assumptions!$C$25&gt;E164</f>
        <v>0</v>
      </c>
      <c r="G153" s="14">
        <f>Assumptions!$C$38*Assumptions!$C$25&gt;F164</f>
        <v>0</v>
      </c>
      <c r="H153" s="14">
        <f>Assumptions!$C$38*Assumptions!$C$25&gt;G164</f>
        <v>0</v>
      </c>
    </row>
    <row r="154" spans="2:8" x14ac:dyDescent="0.25">
      <c r="B154" s="15" t="s">
        <v>248</v>
      </c>
      <c r="D154" s="14" t="b">
        <v>0</v>
      </c>
      <c r="E154" s="14">
        <f>Assumptions!$C$37*Assumptions!$C$24&gt;D165</f>
        <v>0</v>
      </c>
      <c r="F154" s="14">
        <f>Assumptions!$C$37*Assumptions!$C$24&gt;E165</f>
        <v>0</v>
      </c>
      <c r="G154" s="14">
        <f>Assumptions!$C$37*Assumptions!$C$24&gt;F165</f>
        <v>0</v>
      </c>
      <c r="H154" s="14">
        <f>Assumptions!$C$37*Assumptions!$C$24&gt;G165</f>
        <v>0</v>
      </c>
    </row>
    <row r="155" spans="2:8" x14ac:dyDescent="0.25">
      <c r="B155" s="15" t="s">
        <v>249</v>
      </c>
      <c r="D155" s="14" t="b">
        <v>0</v>
      </c>
      <c r="E155" s="14">
        <f>Assumptions!$C$36*Assumptions!$C$23&gt;D166</f>
        <v>0</v>
      </c>
      <c r="F155" s="14">
        <f>Assumptions!$C$36*Assumptions!$C$23&gt;E166</f>
        <v>0</v>
      </c>
      <c r="G155" s="14">
        <f>Assumptions!$C$36*Assumptions!$C$23&gt;F166</f>
        <v>0</v>
      </c>
      <c r="H155" s="14">
        <f>Assumptions!$C$36*Assumptions!$C$23&gt;G166</f>
        <v>0</v>
      </c>
    </row>
    <row r="156" spans="2:8" x14ac:dyDescent="0.25">
      <c r="B156" s="15" t="s">
        <v>250</v>
      </c>
      <c r="D156" s="14" t="b">
        <v>0</v>
      </c>
      <c r="E156" s="14">
        <f>Assumptions!$C$35*Assumptions!$C$22&gt;D167</f>
        <v>0</v>
      </c>
      <c r="F156" s="14">
        <f>Assumptions!$C$35*Assumptions!$C$22&gt;E167</f>
        <v>0</v>
      </c>
      <c r="G156" s="14">
        <f>Assumptions!$C$35*Assumptions!$C$22&gt;F167</f>
        <v>0</v>
      </c>
      <c r="H156" s="14">
        <f>Assumptions!$C$35*Assumptions!$C$22&gt;G167</f>
        <v>0</v>
      </c>
    </row>
    <row r="157" spans="2:8" x14ac:dyDescent="0.25">
      <c r="B157" s="5" t="s">
        <v>251</v>
      </c>
      <c r="D157" s="11">
        <f>IF(D150,Assumptions!$C$7,0)+IF(D151,Assumptions!$C$41*Assumptions!$C$28,0)+IF(D152,Assumptions!$C$40*Assumptions!$C$27,0)+IF(D153,Assumptions!$C$38*Assumptions!$C$25,0)+IF(D154,Assumptions!$C$37*Assumptions!$C$24,0)+IF(D155,Assumptions!$C$36*Assumptions!$C$23,0)+IF(D156,Assumptions!$C$35*Assumptions!$C$22,0)</f>
        <v>0</v>
      </c>
      <c r="E157" s="11">
        <f>IF(E150,Assumptions!$C$7,0)+IF(E151,Assumptions!$C$41*Assumptions!$C$28,0)+IF(E152,Assumptions!$C$40*Assumptions!$C$27,0)+IF(E153,Assumptions!$C$38*Assumptions!$C$25,0)+IF(E154,Assumptions!$C$37*Assumptions!$C$24,0)+IF(E155,Assumptions!$C$36*Assumptions!$C$23,0)+IF(E156,Assumptions!$C$35*Assumptions!$C$22,0)</f>
        <v>100000020</v>
      </c>
      <c r="F157" s="11">
        <f>IF(F150,Assumptions!$C$7,0)+IF(F151,Assumptions!$C$41*Assumptions!$C$28,0)+IF(F152,Assumptions!$C$40*Assumptions!$C$27,0)+IF(F153,Assumptions!$C$38*Assumptions!$C$25,0)+IF(F154,Assumptions!$C$37*Assumptions!$C$24,0)+IF(F155,Assumptions!$C$36*Assumptions!$C$23,0)+IF(F156,Assumptions!$C$35*Assumptions!$C$22,0)</f>
        <v>100000020</v>
      </c>
      <c r="G157" s="11">
        <f>IF(G150,Assumptions!$C$7,0)+IF(G151,Assumptions!$C$41*Assumptions!$C$28,0)+IF(G152,Assumptions!$C$40*Assumptions!$C$27,0)+IF(G153,Assumptions!$C$38*Assumptions!$C$25,0)+IF(G154,Assumptions!$C$37*Assumptions!$C$24,0)+IF(G155,Assumptions!$C$36*Assumptions!$C$23,0)+IF(G156,Assumptions!$C$35*Assumptions!$C$22,0)</f>
        <v>100000020</v>
      </c>
      <c r="H157" s="11">
        <f>IF(H150,Assumptions!$C$7,0)+IF(H151,Assumptions!$C$41*Assumptions!$C$28,0)+IF(H152,Assumptions!$C$40*Assumptions!$C$27,0)+IF(H153,Assumptions!$C$38*Assumptions!$C$25,0)+IF(H154,Assumptions!$C$37*Assumptions!$C$24,0)+IF(H155,Assumptions!$C$36*Assumptions!$C$23,0)+IF(H156,Assumptions!$C$35*Assumptions!$C$22,0)</f>
        <v>100000020</v>
      </c>
    </row>
    <row r="158" spans="2:8" x14ac:dyDescent="0.25">
      <c r="B158" s="5" t="s">
        <v>252</v>
      </c>
      <c r="D158" s="14">
        <f>IF(D150,0,M135)+IF(D151,0,Assumptions!$C$41*Assumptions!$C$28/M132)+IF(D152,0,Assumptions!$C$40*Assumptions!$C$27/M130)+IF(D153,0,Assumptions!$C$38)+IF(D154,0,Assumptions!$C$37)+IF(D155,0,Assumptions!$C$36)+IF(D156,0,Assumptions!$C$35)+((Assumptions!$C$31+Assumptions!$C$32+Assumptions!$C$33+Assumptions!$C$34)+M139+M143+Assumptions!$C$42)</f>
        <v>36079576.46891692</v>
      </c>
      <c r="E158" s="14">
        <f>IF(E150,0,M135)+IF(E151,0,Assumptions!$C$41*Assumptions!$C$28/M132)+IF(E152,0,Assumptions!$C$40*Assumptions!$C$27/M130)+IF(E153,0,Assumptions!$C$38)+IF(E154,0,Assumptions!$C$37)+IF(E155,0,Assumptions!$C$36)+IF(E156,0,Assumptions!$C$35)+((Assumptions!$C$31+Assumptions!$C$32+Assumptions!$C$33+Assumptions!$C$34)+M139+M143+Assumptions!$C$42)</f>
        <v>34338220.54857148</v>
      </c>
      <c r="F158" s="14">
        <f>IF(F150,0,M135)+IF(F151,0,Assumptions!$C$41*Assumptions!$C$28/M132)+IF(F152,0,Assumptions!$C$40*Assumptions!$C$27/M130)+IF(F153,0,Assumptions!$C$38)+IF(F154,0,Assumptions!$C$37)+IF(F155,0,Assumptions!$C$36)+IF(F156,0,Assumptions!$C$35)+((Assumptions!$C$31+Assumptions!$C$32+Assumptions!$C$33+Assumptions!$C$34)+M139+M143+Assumptions!$C$42)</f>
        <v>34338220.54857148</v>
      </c>
      <c r="G158" s="14">
        <f>IF(G150,0,M135)+IF(G151,0,Assumptions!$C$41*Assumptions!$C$28/M132)+IF(G152,0,Assumptions!$C$40*Assumptions!$C$27/M130)+IF(G153,0,Assumptions!$C$38)+IF(G154,0,Assumptions!$C$37)+IF(G155,0,Assumptions!$C$36)+IF(G156,0,Assumptions!$C$35)+((Assumptions!$C$31+Assumptions!$C$32+Assumptions!$C$33+Assumptions!$C$34)+M139+M143+Assumptions!$C$42)</f>
        <v>34338220.54857148</v>
      </c>
      <c r="H158" s="14">
        <f>IF(H150,0,M135)+IF(H151,0,Assumptions!$C$41*Assumptions!$C$28/M132)+IF(H152,0,Assumptions!$C$40*Assumptions!$C$27/M130)+IF(H153,0,Assumptions!$C$38)+IF(H154,0,Assumptions!$C$37)+IF(H155,0,Assumptions!$C$36)+IF(H156,0,Assumptions!$C$35)+((Assumptions!$C$31+Assumptions!$C$32+Assumptions!$C$33+Assumptions!$C$34)+M139+M143+Assumptions!$C$42)</f>
        <v>34338220.54857148</v>
      </c>
    </row>
    <row r="159" spans="2:8" x14ac:dyDescent="0.25">
      <c r="B159" s="5" t="s">
        <v>253</v>
      </c>
      <c r="D159" s="11">
        <f>D149-D157</f>
        <v>2002500000</v>
      </c>
      <c r="E159" s="11">
        <f>E149-E157</f>
        <v>1902499980</v>
      </c>
      <c r="F159" s="11">
        <f>F149-F157</f>
        <v>1902499980</v>
      </c>
      <c r="G159" s="11">
        <f>G149-G157</f>
        <v>1902499980</v>
      </c>
      <c r="H159" s="11">
        <f>H149-H157</f>
        <v>1902499980</v>
      </c>
    </row>
    <row r="160" spans="2:8" x14ac:dyDescent="0.25">
      <c r="B160" s="9" t="s">
        <v>254</v>
      </c>
      <c r="D160" s="11">
        <f>D159/D158</f>
        <v>55.50231449432847</v>
      </c>
      <c r="E160" s="11">
        <f>E159/E158</f>
        <v>55.40473413026485</v>
      </c>
      <c r="F160" s="11">
        <f>F159/F158</f>
        <v>55.40473413026485</v>
      </c>
      <c r="G160" s="11">
        <f>G159/G158</f>
        <v>55.40473413026485</v>
      </c>
      <c r="H160" s="11">
        <f>H159/H158</f>
        <v>55.40473413026485</v>
      </c>
    </row>
    <row r="161" spans="2:8" x14ac:dyDescent="0.25">
      <c r="B161" s="15" t="s">
        <v>255</v>
      </c>
      <c r="D161" s="11">
        <f>M135*D160</f>
        <v>53479030.524079725</v>
      </c>
      <c r="E161" s="11">
        <f>M135*E160</f>
        <v>53385007.35917473</v>
      </c>
      <c r="F161" s="11">
        <f>M135*F160</f>
        <v>53385007.35917473</v>
      </c>
      <c r="G161" s="11">
        <f>M135*G160</f>
        <v>53385007.35917473</v>
      </c>
      <c r="H161" s="11">
        <f>M135*H160</f>
        <v>53385007.35917473</v>
      </c>
    </row>
    <row r="162" spans="2:8" x14ac:dyDescent="0.25">
      <c r="B162" s="15" t="s">
        <v>256</v>
      </c>
      <c r="D162" s="11">
        <f>Assumptions!$C$41*Assumptions!$C$28/M132*D160</f>
        <v>341926310.298503</v>
      </c>
      <c r="E162" s="11">
        <f>Assumptions!$C$41*Assumptions!$C$28/M132*E160</f>
        <v>341325158.9024604</v>
      </c>
      <c r="F162" s="11">
        <f>Assumptions!$C$41*Assumptions!$C$28/M132*F160</f>
        <v>341325158.9024604</v>
      </c>
      <c r="G162" s="11">
        <f>Assumptions!$C$41*Assumptions!$C$28/M132*G160</f>
        <v>341325158.9024604</v>
      </c>
      <c r="H162" s="11">
        <f>Assumptions!$C$41*Assumptions!$C$28/M132*H160</f>
        <v>341325158.9024604</v>
      </c>
    </row>
    <row r="163" spans="2:8" x14ac:dyDescent="0.25">
      <c r="B163" s="15" t="s">
        <v>257</v>
      </c>
      <c r="D163" s="11">
        <f>Assumptions!$C$40*Assumptions!$C$27/M130*D160</f>
        <v>96649283.93757303</v>
      </c>
      <c r="E163" s="11">
        <f>Assumptions!$C$40*Assumptions!$C$27/M130*E160</f>
        <v>96479361.79290138</v>
      </c>
      <c r="F163" s="11">
        <f>Assumptions!$C$40*Assumptions!$C$27/M130*F160</f>
        <v>96479361.79290138</v>
      </c>
      <c r="G163" s="11">
        <f>Assumptions!$C$40*Assumptions!$C$27/M130*G160</f>
        <v>96479361.79290138</v>
      </c>
      <c r="H163" s="11">
        <f>Assumptions!$C$40*Assumptions!$C$27/M130*H160</f>
        <v>96479361.79290138</v>
      </c>
    </row>
    <row r="164" spans="2:8" x14ac:dyDescent="0.25">
      <c r="B164" s="15" t="s">
        <v>258</v>
      </c>
      <c r="D164" s="11">
        <f>Assumptions!$C$38*D160</f>
        <v>133205554.78638832</v>
      </c>
      <c r="E164" s="11">
        <f>Assumptions!$C$38*E160</f>
        <v>132971361.91263564</v>
      </c>
      <c r="F164" s="11">
        <f>Assumptions!$C$38*F160</f>
        <v>132971361.91263564</v>
      </c>
      <c r="G164" s="11">
        <f>Assumptions!$C$38*G160</f>
        <v>132971361.91263564</v>
      </c>
      <c r="H164" s="11">
        <f>Assumptions!$C$38*H160</f>
        <v>132971361.91263564</v>
      </c>
    </row>
    <row r="165" spans="2:8" x14ac:dyDescent="0.25">
      <c r="B165" s="15" t="s">
        <v>259</v>
      </c>
      <c r="D165" s="11">
        <f>Assumptions!$C$37*D160</f>
        <v>166506943.4829854</v>
      </c>
      <c r="E165" s="11">
        <f>Assumptions!$C$37*E160</f>
        <v>166214202.39079455</v>
      </c>
      <c r="F165" s="11">
        <f>Assumptions!$C$37*F160</f>
        <v>166214202.39079455</v>
      </c>
      <c r="G165" s="11">
        <f>Assumptions!$C$37*G160</f>
        <v>166214202.39079455</v>
      </c>
      <c r="H165" s="11">
        <f>Assumptions!$C$37*H160</f>
        <v>166214202.39079455</v>
      </c>
    </row>
    <row r="166" spans="2:8" x14ac:dyDescent="0.25">
      <c r="B166" s="15" t="s">
        <v>260</v>
      </c>
      <c r="D166" s="11">
        <f>Assumptions!$C$36*D160</f>
        <v>277511572.4716424</v>
      </c>
      <c r="E166" s="11">
        <f>Assumptions!$C$36*E160</f>
        <v>277023670.6513243</v>
      </c>
      <c r="F166" s="11">
        <f>Assumptions!$C$36*F160</f>
        <v>277023670.6513243</v>
      </c>
      <c r="G166" s="11">
        <f>Assumptions!$C$36*G160</f>
        <v>277023670.6513243</v>
      </c>
      <c r="H166" s="11">
        <f>Assumptions!$C$36*H160</f>
        <v>277023670.6513243</v>
      </c>
    </row>
    <row r="167" spans="2:8" x14ac:dyDescent="0.25">
      <c r="B167" s="15" t="s">
        <v>261</v>
      </c>
      <c r="D167" s="11">
        <f>Assumptions!$C$35*D160</f>
        <v>277511572.4716424</v>
      </c>
      <c r="E167" s="11">
        <f>Assumptions!$C$35*E160</f>
        <v>277023670.6513243</v>
      </c>
      <c r="F167" s="11">
        <f>Assumptions!$C$35*F160</f>
        <v>277023670.6513243</v>
      </c>
      <c r="G167" s="11">
        <f>Assumptions!$C$35*G160</f>
        <v>277023670.6513243</v>
      </c>
      <c r="H167" s="11">
        <f>Assumptions!$C$35*H160</f>
        <v>277023670.6513243</v>
      </c>
    </row>
    <row r="170" spans="2:13" x14ac:dyDescent="0.25">
      <c r="B170" s="3" t="s">
        <v>264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2:3" x14ac:dyDescent="0.25">
      <c r="B171" s="5" t="s">
        <v>225</v>
      </c>
      <c r="C171" s="11">
        <f>Assumptions!$C$63</f>
        <v>1400000000</v>
      </c>
    </row>
    <row r="172" spans="2:3" x14ac:dyDescent="0.25">
      <c r="B172" s="5" t="s">
        <v>226</v>
      </c>
      <c r="C172" s="18">
        <f>Assumptions!$C$59</f>
        <v>0.11</v>
      </c>
    </row>
    <row r="173" spans="2:13" x14ac:dyDescent="0.25">
      <c r="B173" s="12" t="s">
        <v>62</v>
      </c>
      <c r="D173" s="13" t="s">
        <v>63</v>
      </c>
      <c r="E173" s="13" t="s">
        <v>64</v>
      </c>
      <c r="F173" s="13" t="s">
        <v>65</v>
      </c>
      <c r="G173" s="13" t="s">
        <v>66</v>
      </c>
      <c r="H173" s="13" t="s">
        <v>67</v>
      </c>
      <c r="I173" s="13" t="s">
        <v>68</v>
      </c>
      <c r="J173" s="13" t="s">
        <v>69</v>
      </c>
      <c r="K173" s="13" t="s">
        <v>70</v>
      </c>
      <c r="L173" s="13" t="s">
        <v>71</v>
      </c>
      <c r="M173" s="13" t="s">
        <v>72</v>
      </c>
    </row>
    <row r="174" spans="2:13" x14ac:dyDescent="0.25">
      <c r="B174" s="5" t="s">
        <v>73</v>
      </c>
      <c r="D174" s="8">
        <v>45</v>
      </c>
      <c r="E174" s="14">
        <f>D192</f>
        <v>37.94471837583744</v>
      </c>
      <c r="F174" s="14">
        <f>E192</f>
        <v>37.90242607411042</v>
      </c>
      <c r="G174" s="14">
        <f>F192</f>
        <v>37.90205346404142</v>
      </c>
      <c r="H174" s="14">
        <f>G192</f>
        <v>37.90205030499762</v>
      </c>
      <c r="I174" s="14">
        <f>H192</f>
        <v>37.902050278032384</v>
      </c>
      <c r="J174" s="14">
        <f>I192</f>
        <v>37.902050277802495</v>
      </c>
      <c r="K174" s="14">
        <f>J192</f>
        <v>37.902050277800534</v>
      </c>
      <c r="L174" s="14">
        <f>K192</f>
        <v>37.902050277800505</v>
      </c>
      <c r="M174" s="14">
        <f>L192</f>
        <v>37.902050277800505</v>
      </c>
    </row>
    <row r="175" spans="2:13" x14ac:dyDescent="0.25">
      <c r="B175" s="5" t="s">
        <v>227</v>
      </c>
      <c r="D175" s="14">
        <f>IF(D174&lt;Assumptions!$C$26,Assumptions!$C$26*(Assumptions!$C$44+Assumptions!$C$7/Assumptions!$C$26)/(Assumptions!$C$44+Assumptions!$C$7/D174),Assumptions!$C$26)</f>
        <v>57.88378478994243</v>
      </c>
      <c r="E175" s="14">
        <f>IF(E174&lt;Assumptions!$C$26,Assumptions!$C$26*(Assumptions!$C$44+Assumptions!$C$7/Assumptions!$C$26)/(Assumptions!$C$44+Assumptions!$C$7/E174),Assumptions!$C$26)</f>
        <v>57.69198090397635</v>
      </c>
      <c r="F175" s="14">
        <f>IF(F174&lt;Assumptions!$C$26,Assumptions!$C$26*(Assumptions!$C$44+Assumptions!$C$7/Assumptions!$C$26)/(Assumptions!$C$44+Assumptions!$C$7/F174),Assumptions!$C$26)</f>
        <v>57.690620405175615</v>
      </c>
      <c r="G175" s="14">
        <f>IF(G174&lt;Assumptions!$C$26,Assumptions!$C$26*(Assumptions!$C$44+Assumptions!$C$7/Assumptions!$C$26)/(Assumptions!$C$44+Assumptions!$C$7/G174),Assumptions!$C$26)</f>
        <v>57.69060840549492</v>
      </c>
      <c r="H175" s="14">
        <f>IF(H174&lt;Assumptions!$C$26,Assumptions!$C$26*(Assumptions!$C$44+Assumptions!$C$7/Assumptions!$C$26)/(Assumptions!$C$44+Assumptions!$C$7/H174),Assumptions!$C$26)</f>
        <v>57.69060830375885</v>
      </c>
      <c r="I175" s="14">
        <f>IF(I174&lt;Assumptions!$C$26,Assumptions!$C$26*(Assumptions!$C$44+Assumptions!$C$7/Assumptions!$C$26)/(Assumptions!$C$44+Assumptions!$C$7/I174),Assumptions!$C$26)</f>
        <v>57.690608302890446</v>
      </c>
      <c r="J175" s="14">
        <f>IF(J174&lt;Assumptions!$C$26,Assumptions!$C$26*(Assumptions!$C$44+Assumptions!$C$7/Assumptions!$C$26)/(Assumptions!$C$44+Assumptions!$C$7/J174),Assumptions!$C$26)</f>
        <v>57.69060830288304</v>
      </c>
      <c r="K175" s="14">
        <f>IF(K174&lt;Assumptions!$C$26,Assumptions!$C$26*(Assumptions!$C$44+Assumptions!$C$7/Assumptions!$C$26)/(Assumptions!$C$44+Assumptions!$C$7/K174),Assumptions!$C$26)</f>
        <v>57.69060830288298</v>
      </c>
      <c r="L175" s="14">
        <f>IF(L174&lt;Assumptions!$C$26,Assumptions!$C$26*(Assumptions!$C$44+Assumptions!$C$7/Assumptions!$C$26)/(Assumptions!$C$44+Assumptions!$C$7/L174),Assumptions!$C$26)</f>
        <v>57.69060830288298</v>
      </c>
      <c r="M175" s="14">
        <f>IF(M174&lt;Assumptions!$C$26,Assumptions!$C$26*(Assumptions!$C$44+Assumptions!$C$7/Assumptions!$C$26)/(Assumptions!$C$44+Assumptions!$C$7/M174),Assumptions!$C$26)</f>
        <v>57.69060830288298</v>
      </c>
    </row>
    <row r="176" spans="2:13" x14ac:dyDescent="0.25">
      <c r="B176" s="15" t="s">
        <v>228</v>
      </c>
      <c r="D176" s="14">
        <f>Assumptions!$C$40*Assumptions!$C$27/D175-Assumptions!$C$39</f>
        <v>6972.8859247963</v>
      </c>
      <c r="E176" s="14">
        <f>Assumptions!$C$40*Assumptions!$C$27/E175-Assumptions!$C$39</f>
        <v>12716.4982314433</v>
      </c>
      <c r="F176" s="14">
        <f>Assumptions!$C$40*Assumptions!$C$27/F175-Assumptions!$C$39</f>
        <v>12757.3750972848</v>
      </c>
      <c r="G176" s="14">
        <f>Assumptions!$C$40*Assumptions!$C$27/G175-Assumptions!$C$39</f>
        <v>12757.7356422609</v>
      </c>
      <c r="H176" s="14">
        <f>Assumptions!$C$40*Assumptions!$C$27/H175-Assumptions!$C$39</f>
        <v>12757.7386990453</v>
      </c>
      <c r="I176" s="14">
        <f>Assumptions!$C$40*Assumptions!$C$27/I175-Assumptions!$C$39</f>
        <v>12757.7387251374</v>
      </c>
      <c r="J176" s="14">
        <f>Assumptions!$C$40*Assumptions!$C$27/J175-Assumptions!$C$39</f>
        <v>12757.73872536</v>
      </c>
      <c r="K176" s="14">
        <f>Assumptions!$C$40*Assumptions!$C$27/K175-Assumptions!$C$39</f>
        <v>12757.7387253616</v>
      </c>
      <c r="L176" s="14">
        <f>Assumptions!$C$40*Assumptions!$C$27/L175-Assumptions!$C$39</f>
        <v>12757.7387253616</v>
      </c>
      <c r="M176" s="14">
        <f>Assumptions!$C$40*Assumptions!$C$27/M175-Assumptions!$C$39</f>
        <v>12757.7387253616</v>
      </c>
    </row>
    <row r="177" spans="2:13" x14ac:dyDescent="0.25">
      <c r="B177" s="5" t="s">
        <v>229</v>
      </c>
      <c r="D177" s="14">
        <f>IF(D174&lt;Assumptions!$C$28,Assumptions!$C$28*(Assumptions!$C$44+Assumptions!$C$7/Assumptions!$C$28)/(Assumptions!$C$44+Assumptions!$C$7/D174),Assumptions!$C$28)</f>
        <v>49.08395844489023</v>
      </c>
      <c r="E177" s="14">
        <f>IF(E174&lt;Assumptions!$C$28,Assumptions!$C$28*(Assumptions!$C$44+Assumptions!$C$7/Assumptions!$C$28)/(Assumptions!$C$44+Assumptions!$C$7/E174),Assumptions!$C$28)</f>
        <v>48.92131369036195</v>
      </c>
      <c r="F177" s="14">
        <f>IF(F174&lt;Assumptions!$C$28,Assumptions!$C$28*(Assumptions!$C$44+Assumptions!$C$7/Assumptions!$C$28)/(Assumptions!$C$44+Assumptions!$C$7/F174),Assumptions!$C$28)</f>
        <v>48.92016002242469</v>
      </c>
      <c r="G177" s="14">
        <f>IF(G174&lt;Assumptions!$C$28,Assumptions!$C$28*(Assumptions!$C$44+Assumptions!$C$7/Assumptions!$C$28)/(Assumptions!$C$44+Assumptions!$C$7/G174),Assumptions!$C$28)</f>
        <v>48.920149847004566</v>
      </c>
      <c r="H177" s="14">
        <f>IF(H174&lt;Assumptions!$C$28,Assumptions!$C$28*(Assumptions!$C$44+Assumptions!$C$7/Assumptions!$C$28)/(Assumptions!$C$44+Assumptions!$C$7/H174),Assumptions!$C$28)</f>
        <v>48.920149760735</v>
      </c>
      <c r="I177" s="14">
        <f>IF(I174&lt;Assumptions!$C$28,Assumptions!$C$28*(Assumptions!$C$44+Assumptions!$C$7/Assumptions!$C$28)/(Assumptions!$C$44+Assumptions!$C$7/I174),Assumptions!$C$28)</f>
        <v>48.920149759998615</v>
      </c>
      <c r="J177" s="14">
        <f>IF(J174&lt;Assumptions!$C$28,Assumptions!$C$28*(Assumptions!$C$44+Assumptions!$C$7/Assumptions!$C$28)/(Assumptions!$C$44+Assumptions!$C$7/J174),Assumptions!$C$28)</f>
        <v>48.920149759992334</v>
      </c>
      <c r="K177" s="14">
        <f>IF(K174&lt;Assumptions!$C$28,Assumptions!$C$28*(Assumptions!$C$44+Assumptions!$C$7/Assumptions!$C$28)/(Assumptions!$C$44+Assumptions!$C$7/K174),Assumptions!$C$28)</f>
        <v>48.920149759992285</v>
      </c>
      <c r="L177" s="14">
        <f>IF(L174&lt;Assumptions!$C$28,Assumptions!$C$28*(Assumptions!$C$44+Assumptions!$C$7/Assumptions!$C$28)/(Assumptions!$C$44+Assumptions!$C$7/L174),Assumptions!$C$28)</f>
        <v>48.920149759992285</v>
      </c>
      <c r="M177" s="14">
        <f>IF(M174&lt;Assumptions!$C$28,Assumptions!$C$28*(Assumptions!$C$44+Assumptions!$C$7/Assumptions!$C$28)/(Assumptions!$C$44+Assumptions!$C$7/M174),Assumptions!$C$28)</f>
        <v>48.920149759992285</v>
      </c>
    </row>
    <row r="178" spans="2:13" x14ac:dyDescent="0.25">
      <c r="B178" s="15" t="s">
        <v>230</v>
      </c>
      <c r="D178" s="14">
        <f>Assumptions!$C$41*Assumptions!$C$28/D177-Assumptions!$C$41</f>
        <v>9244.341711835</v>
      </c>
      <c r="E178" s="14">
        <f>Assumptions!$C$41*Assumptions!$C$28/E177-Assumptions!$C$41</f>
        <v>29564.1214741515</v>
      </c>
      <c r="F178" s="14">
        <f>Assumptions!$C$41*Assumptions!$C$28/F177-Assumptions!$C$41</f>
        <v>29708.735850422</v>
      </c>
      <c r="G178" s="14">
        <f>Assumptions!$C$41*Assumptions!$C$28/G177-Assumptions!$C$41</f>
        <v>29710.011388205</v>
      </c>
      <c r="H178" s="14">
        <f>Assumptions!$C$41*Assumptions!$C$28/H177-Assumptions!$C$41</f>
        <v>29710.022202511</v>
      </c>
      <c r="I178" s="14">
        <f>Assumptions!$C$41*Assumptions!$C$28/I177-Assumptions!$C$41</f>
        <v>29710.022294821</v>
      </c>
      <c r="J178" s="14">
        <f>Assumptions!$C$41*Assumptions!$C$28/J177-Assumptions!$C$41</f>
        <v>29710.022295608</v>
      </c>
      <c r="K178" s="14">
        <f>Assumptions!$C$41*Assumptions!$C$28/K177-Assumptions!$C$41</f>
        <v>29710.022295615</v>
      </c>
      <c r="L178" s="14">
        <f>Assumptions!$C$41*Assumptions!$C$28/L177-Assumptions!$C$41</f>
        <v>29710.022295615</v>
      </c>
      <c r="M178" s="14">
        <f>Assumptions!$C$41*Assumptions!$C$28/M177-Assumptions!$C$41</f>
        <v>29710.022295615</v>
      </c>
    </row>
    <row r="179" spans="2:13" x14ac:dyDescent="0.25">
      <c r="B179" s="5" t="s">
        <v>231</v>
      </c>
      <c r="D179" s="14">
        <f>Assumptions!$C$44+D176+D178</f>
        <v>36634178.22763663</v>
      </c>
      <c r="E179" s="14">
        <f>Assumptions!$C$44+E176+E178</f>
        <v>36660241.619705595</v>
      </c>
      <c r="F179" s="14">
        <f>Assumptions!$C$44+F176+F178</f>
        <v>36660427.1109477</v>
      </c>
      <c r="G179" s="14">
        <f>Assumptions!$C$44+G176+G178</f>
        <v>36660428.74703047</v>
      </c>
      <c r="H179" s="14">
        <f>Assumptions!$C$44+H176+H178</f>
        <v>36660428.76090156</v>
      </c>
      <c r="I179" s="14">
        <f>Assumptions!$C$44+I176+I178</f>
        <v>36660428.76101996</v>
      </c>
      <c r="J179" s="14">
        <f>Assumptions!$C$44+J176+J178</f>
        <v>36660428.761020966</v>
      </c>
      <c r="K179" s="14">
        <f>Assumptions!$C$44+K176+K178</f>
        <v>36660428.76102098</v>
      </c>
      <c r="L179" s="14">
        <f>Assumptions!$C$44+L176+L178</f>
        <v>36660428.76102098</v>
      </c>
      <c r="M179" s="14">
        <f>Assumptions!$C$44+M176+M178</f>
        <v>36660428.76102098</v>
      </c>
    </row>
    <row r="180" spans="2:13" x14ac:dyDescent="0.25">
      <c r="B180" s="5" t="s">
        <v>232</v>
      </c>
      <c r="D180" s="14">
        <f>Assumptions!$C$7/D174</f>
        <v>666666.6666666666</v>
      </c>
      <c r="E180" s="14">
        <f>Assumptions!$C$7/E174</f>
        <v>790623.867671225</v>
      </c>
      <c r="F180" s="14">
        <f>Assumptions!$C$7/F174</f>
        <v>791506.0619428728</v>
      </c>
      <c r="G180" s="14">
        <f>Assumptions!$C$7/G174</f>
        <v>791513.8431341646</v>
      </c>
      <c r="H180" s="14">
        <f>Assumptions!$C$7/H174</f>
        <v>791513.9091049202</v>
      </c>
      <c r="I180" s="14">
        <f>Assumptions!$C$7/I174</f>
        <v>791513.9096680391</v>
      </c>
      <c r="J180" s="14">
        <f>Assumptions!$C$7/J174</f>
        <v>791513.9096728399</v>
      </c>
      <c r="K180" s="14">
        <f>Assumptions!$C$7/K174</f>
        <v>791513.9096728809</v>
      </c>
      <c r="L180" s="14">
        <f>Assumptions!$C$7/L174</f>
        <v>791513.9096728815</v>
      </c>
      <c r="M180" s="14">
        <f>Assumptions!$C$7/M174</f>
        <v>791513.9096728815</v>
      </c>
    </row>
    <row r="181" spans="2:13" x14ac:dyDescent="0.25">
      <c r="B181" s="15" t="s">
        <v>233</v>
      </c>
      <c r="D181" s="14">
        <f>Assumptions!$C$48/(D179+0+0)</f>
        <v>27.296913657683888</v>
      </c>
      <c r="E181" s="14">
        <f>Assumptions!$C$48/(E179+D189+D188)</f>
        <v>27.219273821099193</v>
      </c>
      <c r="F181" s="14">
        <f>Assumptions!$C$48/(F179+E189+E188)</f>
        <v>27.20833625890909</v>
      </c>
      <c r="G181" s="14">
        <f>Assumptions!$C$48/(G179+F189+F188)</f>
        <v>27.208258214687913</v>
      </c>
      <c r="H181" s="14">
        <f>Assumptions!$C$48/(H179+G189+G188)</f>
        <v>27.208257526733103</v>
      </c>
      <c r="I181" s="14">
        <f>Assumptions!$C$48/(I179+H189+H188)</f>
        <v>27.208257520899867</v>
      </c>
      <c r="J181" s="14">
        <f>Assumptions!$C$48/(J179+I189+I188)</f>
        <v>27.20825752085008</v>
      </c>
      <c r="K181" s="14">
        <f>Assumptions!$C$48/(K179+J189+J188)</f>
        <v>27.208257520849653</v>
      </c>
      <c r="L181" s="14">
        <f>Assumptions!$C$48/(L179+K189+K188)</f>
        <v>27.208257520849646</v>
      </c>
      <c r="M181" s="14">
        <f>Assumptions!$C$48/(M179+L189+L188)</f>
        <v>27.208257520849646</v>
      </c>
    </row>
    <row r="182" spans="2:13" x14ac:dyDescent="0.25">
      <c r="B182" s="15" t="s">
        <v>234</v>
      </c>
      <c r="D182" s="14">
        <f>D174*(1-Assumptions!$C$49)</f>
        <v>36</v>
      </c>
      <c r="E182" s="14">
        <f>E174*(1-Assumptions!$C$49)</f>
        <v>30.35577470066995</v>
      </c>
      <c r="F182" s="14">
        <f>F174*(1-Assumptions!$C$49)</f>
        <v>30.321940859288336</v>
      </c>
      <c r="G182" s="14">
        <f>G174*(1-Assumptions!$C$49)</f>
        <v>30.321642771233137</v>
      </c>
      <c r="H182" s="14">
        <f>H174*(1-Assumptions!$C$49)</f>
        <v>30.321640243998097</v>
      </c>
      <c r="I182" s="14">
        <f>I174*(1-Assumptions!$C$49)</f>
        <v>30.321640222425906</v>
      </c>
      <c r="J182" s="14">
        <f>J174*(1-Assumptions!$C$49)</f>
        <v>30.321640222241996</v>
      </c>
      <c r="K182" s="14">
        <f>K174*(1-Assumptions!$C$49)</f>
        <v>30.321640222240426</v>
      </c>
      <c r="L182" s="14">
        <f>L174*(1-Assumptions!$C$49)</f>
        <v>30.321640222240404</v>
      </c>
      <c r="M182" s="14">
        <f>M174*(1-Assumptions!$C$49)</f>
        <v>30.321640222240404</v>
      </c>
    </row>
    <row r="183" spans="2:13" x14ac:dyDescent="0.25">
      <c r="B183" s="15" t="s">
        <v>235</v>
      </c>
      <c r="D183" s="14">
        <f>MIN(D181,D182)</f>
        <v>27.296913657683888</v>
      </c>
      <c r="E183" s="14">
        <f>MIN(E181,E182)</f>
        <v>27.219273821099193</v>
      </c>
      <c r="F183" s="14">
        <f>MIN(F181,F182)</f>
        <v>27.20833625890909</v>
      </c>
      <c r="G183" s="14">
        <f>MIN(G181,G182)</f>
        <v>27.208258214687913</v>
      </c>
      <c r="H183" s="14">
        <f>MIN(H181,H182)</f>
        <v>27.208257526733103</v>
      </c>
      <c r="I183" s="14">
        <f>MIN(I181,I182)</f>
        <v>27.208257520899867</v>
      </c>
      <c r="J183" s="14">
        <f>MIN(J181,J182)</f>
        <v>27.20825752085008</v>
      </c>
      <c r="K183" s="14">
        <f>MIN(K181,K182)</f>
        <v>27.208257520849653</v>
      </c>
      <c r="L183" s="14">
        <f>MIN(L181,L182)</f>
        <v>27.208257520849646</v>
      </c>
      <c r="M183" s="14">
        <f>MIN(M181,M182)</f>
        <v>27.208257520849646</v>
      </c>
    </row>
    <row r="184" spans="2:13" x14ac:dyDescent="0.25">
      <c r="B184" s="15" t="s">
        <v>236</v>
      </c>
      <c r="D184" s="14">
        <f>Assumptions!$C$47/D183</f>
        <v>183170.89113818313</v>
      </c>
      <c r="E184" s="14">
        <f>Assumptions!$C$47/E183</f>
        <v>183693.36496127307</v>
      </c>
      <c r="F184" s="14">
        <f>Assumptions!$C$47/F183</f>
        <v>183767.2084180745</v>
      </c>
      <c r="G184" s="14">
        <f>Assumptions!$C$47/G183</f>
        <v>183767.73553629522</v>
      </c>
      <c r="H184" s="14">
        <f>Assumptions!$C$47/H183</f>
        <v>183767.740182822</v>
      </c>
      <c r="I184" s="14">
        <f>Assumptions!$C$47/I183</f>
        <v>183767.74022222037</v>
      </c>
      <c r="J184" s="14">
        <f>Assumptions!$C$47/J183</f>
        <v>183767.74022255663</v>
      </c>
      <c r="K184" s="14">
        <f>Assumptions!$C$47/K183</f>
        <v>183767.7402225595</v>
      </c>
      <c r="L184" s="14">
        <f>Assumptions!$C$47/L183</f>
        <v>183767.74022255954</v>
      </c>
      <c r="M184" s="14">
        <f>Assumptions!$C$47/M183</f>
        <v>183767.74022255954</v>
      </c>
    </row>
    <row r="185" spans="2:13" x14ac:dyDescent="0.25">
      <c r="B185" s="15" t="s">
        <v>237</v>
      </c>
      <c r="D185" s="14">
        <f>Assumptions!$C$51/(D179+0+0)</f>
        <v>43.67506185229422</v>
      </c>
      <c r="E185" s="14">
        <f>Assumptions!$C$51/(E179+D189+D184)</f>
        <v>43.42703053168832</v>
      </c>
      <c r="F185" s="14">
        <f>Assumptions!$C$51/(F179+E189+E184)</f>
        <v>43.4261960750612</v>
      </c>
      <c r="G185" s="14">
        <f>Assumptions!$C$51/(G179+F189+F184)</f>
        <v>43.426107111543324</v>
      </c>
      <c r="H185" s="14">
        <f>Assumptions!$C$51/(H179+G189+G184)</f>
        <v>43.42610647391076</v>
      </c>
      <c r="I185" s="14">
        <f>Assumptions!$C$51/(I179+H189+H184)</f>
        <v>43.42610646829461</v>
      </c>
      <c r="J185" s="14">
        <f>Assumptions!$C$51/(J179+I189+I184)</f>
        <v>43.42610646824699</v>
      </c>
      <c r="K185" s="14">
        <f>Assumptions!$C$51/(K179+J189+J184)</f>
        <v>43.42610646824658</v>
      </c>
      <c r="L185" s="14">
        <f>Assumptions!$C$51/(L179+K189+K184)</f>
        <v>43.42610646824658</v>
      </c>
      <c r="M185" s="14">
        <f>Assumptions!$C$51/(M179+L189+L184)</f>
        <v>43.42610646824658</v>
      </c>
    </row>
    <row r="186" spans="2:13" x14ac:dyDescent="0.25">
      <c r="B186" s="15" t="s">
        <v>238</v>
      </c>
      <c r="D186" s="14">
        <f>D174*(1-Assumptions!$C$52)</f>
        <v>38.25</v>
      </c>
      <c r="E186" s="14">
        <f>E174*(1-Assumptions!$C$52)</f>
        <v>32.253010619461826</v>
      </c>
      <c r="F186" s="14">
        <f>F174*(1-Assumptions!$C$52)</f>
        <v>32.217062162993855</v>
      </c>
      <c r="G186" s="14">
        <f>G174*(1-Assumptions!$C$52)</f>
        <v>32.216745444435205</v>
      </c>
      <c r="H186" s="14">
        <f>H174*(1-Assumptions!$C$52)</f>
        <v>32.21674275924798</v>
      </c>
      <c r="I186" s="14">
        <f>I174*(1-Assumptions!$C$52)</f>
        <v>32.216742736327525</v>
      </c>
      <c r="J186" s="14">
        <f>J174*(1-Assumptions!$C$52)</f>
        <v>32.21674273613212</v>
      </c>
      <c r="K186" s="14">
        <f>K174*(1-Assumptions!$C$52)</f>
        <v>32.216742736130456</v>
      </c>
      <c r="L186" s="14">
        <f>L174*(1-Assumptions!$C$52)</f>
        <v>32.21674273613043</v>
      </c>
      <c r="M186" s="14">
        <f>M174*(1-Assumptions!$C$52)</f>
        <v>32.21674273613043</v>
      </c>
    </row>
    <row r="187" spans="2:13" x14ac:dyDescent="0.25">
      <c r="B187" s="15" t="s">
        <v>239</v>
      </c>
      <c r="D187" s="14">
        <f>MIN(D185,D186)</f>
        <v>38.25</v>
      </c>
      <c r="E187" s="14">
        <f>MIN(E185,E186)</f>
        <v>32.253010619461826</v>
      </c>
      <c r="F187" s="14">
        <f>MIN(F185,F186)</f>
        <v>32.217062162993855</v>
      </c>
      <c r="G187" s="14">
        <f>MIN(G185,G186)</f>
        <v>32.216745444435205</v>
      </c>
      <c r="H187" s="14">
        <f>MIN(H185,H186)</f>
        <v>32.21674275924798</v>
      </c>
      <c r="I187" s="14">
        <f>MIN(I185,I186)</f>
        <v>32.216742736327525</v>
      </c>
      <c r="J187" s="14">
        <f>MIN(J185,J186)</f>
        <v>32.21674273613212</v>
      </c>
      <c r="K187" s="14">
        <f>MIN(K185,K186)</f>
        <v>32.216742736130456</v>
      </c>
      <c r="L187" s="14">
        <f>MIN(L185,L186)</f>
        <v>32.21674273613043</v>
      </c>
      <c r="M187" s="14">
        <f>MIN(M185,M186)</f>
        <v>32.21674273613043</v>
      </c>
    </row>
    <row r="188" spans="2:13" x14ac:dyDescent="0.25">
      <c r="B188" s="15" t="s">
        <v>240</v>
      </c>
      <c r="D188" s="14">
        <f>Assumptions!$C$50/D187</f>
        <v>78431.37254901961</v>
      </c>
      <c r="E188" s="14">
        <f>Assumptions!$C$50/E187</f>
        <v>93014.57266720294</v>
      </c>
      <c r="F188" s="14">
        <f>Assumptions!$C$50/F187</f>
        <v>93118.36022857328</v>
      </c>
      <c r="G188" s="14">
        <f>Assumptions!$C$50/G187</f>
        <v>93119.2756628429</v>
      </c>
      <c r="H188" s="14">
        <f>Assumptions!$C$50/H187</f>
        <v>93119.28342410826</v>
      </c>
      <c r="I188" s="14">
        <f>Assumptions!$C$50/I187</f>
        <v>93119.28349035754</v>
      </c>
      <c r="J188" s="14">
        <f>Assumptions!$C$50/J187</f>
        <v>93119.28349092235</v>
      </c>
      <c r="K188" s="14">
        <f>Assumptions!$C$50/K187</f>
        <v>93119.28349092715</v>
      </c>
      <c r="L188" s="14">
        <f>Assumptions!$C$50/L187</f>
        <v>93119.28349092722</v>
      </c>
      <c r="M188" s="14">
        <f>Assumptions!$C$50/M187</f>
        <v>93119.28349092722</v>
      </c>
    </row>
    <row r="189" spans="2:13" x14ac:dyDescent="0.25">
      <c r="B189" s="5" t="s">
        <v>88</v>
      </c>
      <c r="D189" s="14">
        <f>MAX(0,(Assumptions!$C$59*(D179+D184+D188+D180)-Assumptions!$C$56)/(1-Assumptions!$C$59))</f>
        <v>0</v>
      </c>
      <c r="E189" s="14">
        <f>MAX(0,(Assumptions!$C$59*(E179+E184+E188+E180)-Assumptions!$C$56)/(1-Assumptions!$C$59))</f>
        <v>0</v>
      </c>
      <c r="F189" s="14">
        <f>MAX(0,(Assumptions!$C$59*(F179+F184+F188+F180)-Assumptions!$C$56)/(1-Assumptions!$C$59))</f>
        <v>0</v>
      </c>
      <c r="G189" s="14">
        <f>MAX(0,(Assumptions!$C$59*(G179+G184+G188+G180)-Assumptions!$C$56)/(1-Assumptions!$C$59))</f>
        <v>0</v>
      </c>
      <c r="H189" s="14">
        <f>MAX(0,(Assumptions!$C$59*(H179+H184+H188+H180)-Assumptions!$C$56)/(1-Assumptions!$C$59))</f>
        <v>0</v>
      </c>
      <c r="I189" s="14">
        <f>MAX(0,(Assumptions!$C$59*(I179+I184+I188+I180)-Assumptions!$C$56)/(1-Assumptions!$C$59))</f>
        <v>0</v>
      </c>
      <c r="J189" s="14">
        <f>MAX(0,(Assumptions!$C$59*(J179+J184+J188+J180)-Assumptions!$C$56)/(1-Assumptions!$C$59))</f>
        <v>0</v>
      </c>
      <c r="K189" s="14">
        <f>MAX(0,(Assumptions!$C$59*(K179+K184+K188+K180)-Assumptions!$C$56)/(1-Assumptions!$C$59))</f>
        <v>0</v>
      </c>
      <c r="L189" s="14">
        <f>MAX(0,(Assumptions!$C$59*(L179+L184+L188+L180)-Assumptions!$C$56)/(1-Assumptions!$C$59))</f>
        <v>0</v>
      </c>
      <c r="M189" s="14">
        <f>MAX(0,(Assumptions!$C$59*(M179+M184+M188+M180)-Assumptions!$C$56)/(1-Assumptions!$C$59))</f>
        <v>0</v>
      </c>
    </row>
    <row r="190" spans="2:13" x14ac:dyDescent="0.25">
      <c r="B190" s="9" t="s">
        <v>241</v>
      </c>
      <c r="D190" s="14">
        <f>D179+D189+D184+D188+D180</f>
        <v>37562447.1579905</v>
      </c>
      <c r="E190" s="14">
        <f>E179+E189+E184+E188+E180</f>
        <v>37727573.425005294</v>
      </c>
      <c r="F190" s="14">
        <f>F179+F189+F184+F188+F180</f>
        <v>37728818.74153722</v>
      </c>
      <c r="G190" s="14">
        <f>G179+G189+G184+G188+G180</f>
        <v>37728829.60136378</v>
      </c>
      <c r="H190" s="14">
        <f>H179+H189+H184+H188+H180</f>
        <v>37728829.69361341</v>
      </c>
      <c r="I190" s="14">
        <f>I179+I189+I184+I188+I180</f>
        <v>37728829.69440057</v>
      </c>
      <c r="J190" s="14">
        <f>J179+J189+J184+J188+J180</f>
        <v>37728829.69440728</v>
      </c>
      <c r="K190" s="14">
        <f>K179+K189+K184+K188+K180</f>
        <v>37728829.694407344</v>
      </c>
      <c r="L190" s="14">
        <f>L179+L189+L184+L188+L180</f>
        <v>37728829.694407344</v>
      </c>
      <c r="M190" s="14">
        <f>M179+M189+M184+M188+M180</f>
        <v>37728829.694407344</v>
      </c>
    </row>
    <row r="191" spans="2:13" x14ac:dyDescent="0.25">
      <c r="B191" s="5" t="s">
        <v>242</v>
      </c>
      <c r="D191" s="14">
        <f>D190-D180</f>
        <v>36895780.491323836</v>
      </c>
      <c r="E191" s="14">
        <f>E190-E180</f>
        <v>36936949.557334065</v>
      </c>
      <c r="F191" s="14">
        <f>F190-F180</f>
        <v>36937312.679594345</v>
      </c>
      <c r="G191" s="14">
        <f>G190-G180</f>
        <v>36937315.75822961</v>
      </c>
      <c r="H191" s="14">
        <f>H190-H180</f>
        <v>36937315.78450849</v>
      </c>
      <c r="I191" s="14">
        <f>I190-I180</f>
        <v>36937315.78473253</v>
      </c>
      <c r="J191" s="14">
        <f>J190-J180</f>
        <v>36937315.78473444</v>
      </c>
      <c r="K191" s="14">
        <f>K190-K180</f>
        <v>36937315.784734465</v>
      </c>
      <c r="L191" s="14">
        <f>L190-L180</f>
        <v>36937315.784734465</v>
      </c>
      <c r="M191" s="14">
        <f>M190-M180</f>
        <v>36937315.784734465</v>
      </c>
    </row>
    <row r="192" spans="2:13" x14ac:dyDescent="0.25">
      <c r="B192" s="9" t="s">
        <v>91</v>
      </c>
      <c r="D192" s="14">
        <f>Assumptions!$C$63/D191</f>
        <v>37.94471837583744</v>
      </c>
      <c r="E192" s="14">
        <f>Assumptions!$C$63/E191</f>
        <v>37.90242607411042</v>
      </c>
      <c r="F192" s="14">
        <f>Assumptions!$C$63/F191</f>
        <v>37.90205346404142</v>
      </c>
      <c r="G192" s="14">
        <f>Assumptions!$C$63/G191</f>
        <v>37.90205030499762</v>
      </c>
      <c r="H192" s="14">
        <f>Assumptions!$C$63/H191</f>
        <v>37.902050278032384</v>
      </c>
      <c r="I192" s="14">
        <f>Assumptions!$C$63/I191</f>
        <v>37.902050277802495</v>
      </c>
      <c r="J192" s="14">
        <f>Assumptions!$C$63/J191</f>
        <v>37.902050277800534</v>
      </c>
      <c r="K192" s="14">
        <f>Assumptions!$C$63/K191</f>
        <v>37.902050277800505</v>
      </c>
      <c r="L192" s="14">
        <f>Assumptions!$C$63/L191</f>
        <v>37.902050277800505</v>
      </c>
      <c r="M192" s="14">
        <f>Assumptions!$C$63/M191</f>
        <v>37.902050277800505</v>
      </c>
    </row>
    <row r="194" spans="2:8" x14ac:dyDescent="0.25">
      <c r="B194" s="5" t="s">
        <v>243</v>
      </c>
      <c r="D194" s="11">
        <f>Assumptions!$C$17+Assumptions!$C$42*Assumptions!$C$55</f>
        <v>2002500000</v>
      </c>
      <c r="E194" s="11">
        <f>Assumptions!$C$17+Assumptions!$C$42*Assumptions!$C$55</f>
        <v>2002500000</v>
      </c>
      <c r="F194" s="11">
        <f>Assumptions!$C$17+Assumptions!$C$42*Assumptions!$C$55</f>
        <v>2002500000</v>
      </c>
      <c r="G194" s="11">
        <f>Assumptions!$C$17+Assumptions!$C$42*Assumptions!$C$55</f>
        <v>2002500000</v>
      </c>
      <c r="H194" s="11">
        <f>Assumptions!$C$17+Assumptions!$C$42*Assumptions!$C$55</f>
        <v>2002500000</v>
      </c>
    </row>
    <row r="195" spans="2:8" x14ac:dyDescent="0.25">
      <c r="B195" s="15" t="s">
        <v>244</v>
      </c>
      <c r="D195" s="14" t="b">
        <v>0</v>
      </c>
      <c r="E195" s="14">
        <f>Assumptions!$C$7&gt;D206</f>
        <v>0</v>
      </c>
      <c r="F195" s="14">
        <f>Assumptions!$C$7&gt;E206</f>
        <v>0</v>
      </c>
      <c r="G195" s="14">
        <f>Assumptions!$C$7&gt;F206</f>
        <v>0</v>
      </c>
      <c r="H195" s="14">
        <f>Assumptions!$C$7&gt;G206</f>
        <v>0</v>
      </c>
    </row>
    <row r="196" spans="2:8" x14ac:dyDescent="0.25">
      <c r="B196" s="15" t="s">
        <v>245</v>
      </c>
      <c r="D196" s="14" t="b">
        <v>0</v>
      </c>
      <c r="E196" s="14">
        <f>Assumptions!$C$41*Assumptions!$C$28&gt;D207</f>
        <v>0</v>
      </c>
      <c r="F196" s="14">
        <f>Assumptions!$C$41*Assumptions!$C$28&gt;E207</f>
        <v>0</v>
      </c>
      <c r="G196" s="14">
        <f>Assumptions!$C$41*Assumptions!$C$28&gt;F207</f>
        <v>0</v>
      </c>
      <c r="H196" s="14">
        <f>Assumptions!$C$41*Assumptions!$C$28&gt;G207</f>
        <v>0</v>
      </c>
    </row>
    <row r="197" spans="2:8" x14ac:dyDescent="0.25">
      <c r="B197" s="15" t="s">
        <v>246</v>
      </c>
      <c r="D197" s="14" t="b">
        <v>0</v>
      </c>
      <c r="E197" s="14">
        <f>Assumptions!$C$40*Assumptions!$C$27&gt;D208</f>
        <v>1</v>
      </c>
      <c r="F197" s="14">
        <f>Assumptions!$C$40*Assumptions!$C$27&gt;E208</f>
        <v>1</v>
      </c>
      <c r="G197" s="14">
        <f>Assumptions!$C$40*Assumptions!$C$27&gt;F208</f>
        <v>1</v>
      </c>
      <c r="H197" s="14">
        <f>Assumptions!$C$40*Assumptions!$C$27&gt;G208</f>
        <v>1</v>
      </c>
    </row>
    <row r="198" spans="2:8" x14ac:dyDescent="0.25">
      <c r="B198" s="15" t="s">
        <v>247</v>
      </c>
      <c r="D198" s="14" t="b">
        <v>0</v>
      </c>
      <c r="E198" s="14">
        <f>Assumptions!$C$38*Assumptions!$C$25&gt;D209</f>
        <v>0</v>
      </c>
      <c r="F198" s="14">
        <f>Assumptions!$C$38*Assumptions!$C$25&gt;E209</f>
        <v>0</v>
      </c>
      <c r="G198" s="14">
        <f>Assumptions!$C$38*Assumptions!$C$25&gt;F209</f>
        <v>0</v>
      </c>
      <c r="H198" s="14">
        <f>Assumptions!$C$38*Assumptions!$C$25&gt;G209</f>
        <v>0</v>
      </c>
    </row>
    <row r="199" spans="2:8" x14ac:dyDescent="0.25">
      <c r="B199" s="15" t="s">
        <v>248</v>
      </c>
      <c r="D199" s="14" t="b">
        <v>0</v>
      </c>
      <c r="E199" s="14">
        <f>Assumptions!$C$37*Assumptions!$C$24&gt;D210</f>
        <v>0</v>
      </c>
      <c r="F199" s="14">
        <f>Assumptions!$C$37*Assumptions!$C$24&gt;E210</f>
        <v>0</v>
      </c>
      <c r="G199" s="14">
        <f>Assumptions!$C$37*Assumptions!$C$24&gt;F210</f>
        <v>0</v>
      </c>
      <c r="H199" s="14">
        <f>Assumptions!$C$37*Assumptions!$C$24&gt;G210</f>
        <v>0</v>
      </c>
    </row>
    <row r="200" spans="2:8" x14ac:dyDescent="0.25">
      <c r="B200" s="15" t="s">
        <v>249</v>
      </c>
      <c r="D200" s="14" t="b">
        <v>0</v>
      </c>
      <c r="E200" s="14">
        <f>Assumptions!$C$36*Assumptions!$C$23&gt;D211</f>
        <v>0</v>
      </c>
      <c r="F200" s="14">
        <f>Assumptions!$C$36*Assumptions!$C$23&gt;E211</f>
        <v>0</v>
      </c>
      <c r="G200" s="14">
        <f>Assumptions!$C$36*Assumptions!$C$23&gt;F211</f>
        <v>0</v>
      </c>
      <c r="H200" s="14">
        <f>Assumptions!$C$36*Assumptions!$C$23&gt;G211</f>
        <v>0</v>
      </c>
    </row>
    <row r="201" spans="2:8" x14ac:dyDescent="0.25">
      <c r="B201" s="15" t="s">
        <v>250</v>
      </c>
      <c r="D201" s="14" t="b">
        <v>0</v>
      </c>
      <c r="E201" s="14">
        <f>Assumptions!$C$35*Assumptions!$C$22&gt;D212</f>
        <v>0</v>
      </c>
      <c r="F201" s="14">
        <f>Assumptions!$C$35*Assumptions!$C$22&gt;E212</f>
        <v>0</v>
      </c>
      <c r="G201" s="14">
        <f>Assumptions!$C$35*Assumptions!$C$22&gt;F212</f>
        <v>0</v>
      </c>
      <c r="H201" s="14">
        <f>Assumptions!$C$35*Assumptions!$C$22&gt;G212</f>
        <v>0</v>
      </c>
    </row>
    <row r="202" spans="2:8" x14ac:dyDescent="0.25">
      <c r="B202" s="5" t="s">
        <v>251</v>
      </c>
      <c r="D202" s="11">
        <f>IF(D195,Assumptions!$C$7,0)+IF(D196,Assumptions!$C$41*Assumptions!$C$28,0)+IF(D197,Assumptions!$C$40*Assumptions!$C$27,0)+IF(D198,Assumptions!$C$38*Assumptions!$C$25,0)+IF(D199,Assumptions!$C$37*Assumptions!$C$24,0)+IF(D200,Assumptions!$C$36*Assumptions!$C$23,0)+IF(D201,Assumptions!$C$35*Assumptions!$C$22,0)</f>
        <v>0</v>
      </c>
      <c r="E202" s="11">
        <f>IF(E195,Assumptions!$C$7,0)+IF(E196,Assumptions!$C$41*Assumptions!$C$28,0)+IF(E197,Assumptions!$C$40*Assumptions!$C$27,0)+IF(E198,Assumptions!$C$38*Assumptions!$C$25,0)+IF(E199,Assumptions!$C$37*Assumptions!$C$24,0)+IF(E200,Assumptions!$C$36*Assumptions!$C$23,0)+IF(E201,Assumptions!$C$35*Assumptions!$C$22,0)</f>
        <v>100000020</v>
      </c>
      <c r="F202" s="11">
        <f>IF(F195,Assumptions!$C$7,0)+IF(F196,Assumptions!$C$41*Assumptions!$C$28,0)+IF(F197,Assumptions!$C$40*Assumptions!$C$27,0)+IF(F198,Assumptions!$C$38*Assumptions!$C$25,0)+IF(F199,Assumptions!$C$37*Assumptions!$C$24,0)+IF(F200,Assumptions!$C$36*Assumptions!$C$23,0)+IF(F201,Assumptions!$C$35*Assumptions!$C$22,0)</f>
        <v>100000020</v>
      </c>
      <c r="G202" s="11">
        <f>IF(G195,Assumptions!$C$7,0)+IF(G196,Assumptions!$C$41*Assumptions!$C$28,0)+IF(G197,Assumptions!$C$40*Assumptions!$C$27,0)+IF(G198,Assumptions!$C$38*Assumptions!$C$25,0)+IF(G199,Assumptions!$C$37*Assumptions!$C$24,0)+IF(G200,Assumptions!$C$36*Assumptions!$C$23,0)+IF(G201,Assumptions!$C$35*Assumptions!$C$22,0)</f>
        <v>100000020</v>
      </c>
      <c r="H202" s="11">
        <f>IF(H195,Assumptions!$C$7,0)+IF(H196,Assumptions!$C$41*Assumptions!$C$28,0)+IF(H197,Assumptions!$C$40*Assumptions!$C$27,0)+IF(H198,Assumptions!$C$38*Assumptions!$C$25,0)+IF(H199,Assumptions!$C$37*Assumptions!$C$24,0)+IF(H200,Assumptions!$C$36*Assumptions!$C$23,0)+IF(H201,Assumptions!$C$35*Assumptions!$C$22,0)</f>
        <v>100000020</v>
      </c>
    </row>
    <row r="203" spans="2:8" x14ac:dyDescent="0.25">
      <c r="B203" s="5" t="s">
        <v>252</v>
      </c>
      <c r="D203" s="14">
        <f>IF(D195,0,M180)+IF(D196,0,Assumptions!$C$41*Assumptions!$C$28/M177)+IF(D197,0,Assumptions!$C$40*Assumptions!$C$27/M175)+IF(D198,0,Assumptions!$C$38)+IF(D199,0,Assumptions!$C$37)+IF(D200,0,Assumptions!$C$36)+IF(D201,0,Assumptions!$C$35)+((Assumptions!$C$31+Assumptions!$C$32+Assumptions!$C$33+Assumptions!$C$34)+M184+M188+Assumptions!$C$42)</f>
        <v>35834162.69440735</v>
      </c>
      <c r="E203" s="14">
        <f>IF(E195,0,M180)+IF(E196,0,Assumptions!$C$41*Assumptions!$C$28/M177)+IF(E197,0,Assumptions!$C$40*Assumptions!$C$27/M175)+IF(E198,0,Assumptions!$C$38)+IF(E199,0,Assumptions!$C$37)+IF(E200,0,Assumptions!$C$36)+IF(E201,0,Assumptions!$C$35)+((Assumptions!$C$31+Assumptions!$C$32+Assumptions!$C$33+Assumptions!$C$34)+M184+M188+Assumptions!$C$42)</f>
        <v>34100777.95568198</v>
      </c>
      <c r="F203" s="14">
        <f>IF(F195,0,M180)+IF(F196,0,Assumptions!$C$41*Assumptions!$C$28/M177)+IF(F197,0,Assumptions!$C$40*Assumptions!$C$27/M175)+IF(F198,0,Assumptions!$C$38)+IF(F199,0,Assumptions!$C$37)+IF(F200,0,Assumptions!$C$36)+IF(F201,0,Assumptions!$C$35)+((Assumptions!$C$31+Assumptions!$C$32+Assumptions!$C$33+Assumptions!$C$34)+M184+M188+Assumptions!$C$42)</f>
        <v>34100777.95568198</v>
      </c>
      <c r="G203" s="14">
        <f>IF(G195,0,M180)+IF(G196,0,Assumptions!$C$41*Assumptions!$C$28/M177)+IF(G197,0,Assumptions!$C$40*Assumptions!$C$27/M175)+IF(G198,0,Assumptions!$C$38)+IF(G199,0,Assumptions!$C$37)+IF(G200,0,Assumptions!$C$36)+IF(G201,0,Assumptions!$C$35)+((Assumptions!$C$31+Assumptions!$C$32+Assumptions!$C$33+Assumptions!$C$34)+M184+M188+Assumptions!$C$42)</f>
        <v>34100777.95568198</v>
      </c>
      <c r="H203" s="14">
        <f>IF(H195,0,M180)+IF(H196,0,Assumptions!$C$41*Assumptions!$C$28/M177)+IF(H197,0,Assumptions!$C$40*Assumptions!$C$27/M175)+IF(H198,0,Assumptions!$C$38)+IF(H199,0,Assumptions!$C$37)+IF(H200,0,Assumptions!$C$36)+IF(H201,0,Assumptions!$C$35)+((Assumptions!$C$31+Assumptions!$C$32+Assumptions!$C$33+Assumptions!$C$34)+M184+M188+Assumptions!$C$42)</f>
        <v>34100777.95568198</v>
      </c>
    </row>
    <row r="204" spans="2:8" x14ac:dyDescent="0.25">
      <c r="B204" s="5" t="s">
        <v>253</v>
      </c>
      <c r="D204" s="11">
        <f>D194-D202</f>
        <v>2002500000</v>
      </c>
      <c r="E204" s="11">
        <f>E194-E202</f>
        <v>1902499980</v>
      </c>
      <c r="F204" s="11">
        <f>F194-F202</f>
        <v>1902499980</v>
      </c>
      <c r="G204" s="11">
        <f>G194-G202</f>
        <v>1902499980</v>
      </c>
      <c r="H204" s="11">
        <f>H194-H202</f>
        <v>1902499980</v>
      </c>
    </row>
    <row r="205" spans="2:8" x14ac:dyDescent="0.25">
      <c r="B205" s="9" t="s">
        <v>254</v>
      </c>
      <c r="D205" s="11">
        <f>D204/D203</f>
        <v>55.88242753367113</v>
      </c>
      <c r="E205" s="11">
        <f>E204/E203</f>
        <v>55.79051546778567</v>
      </c>
      <c r="F205" s="11">
        <f>F204/F203</f>
        <v>55.79051546778567</v>
      </c>
      <c r="G205" s="11">
        <f>G204/G203</f>
        <v>55.79051546778567</v>
      </c>
      <c r="H205" s="11">
        <f>H204/H203</f>
        <v>55.79051546778567</v>
      </c>
    </row>
    <row r="206" spans="2:8" x14ac:dyDescent="0.25">
      <c r="B206" s="15" t="s">
        <v>255</v>
      </c>
      <c r="D206" s="11">
        <f>M180*D205</f>
        <v>44231718.69918752</v>
      </c>
      <c r="E206" s="11">
        <f>M180*E205</f>
        <v>44158969.0205724</v>
      </c>
      <c r="F206" s="11">
        <f>M180*F205</f>
        <v>44158969.0205724</v>
      </c>
      <c r="G206" s="11">
        <f>M180*G205</f>
        <v>44158969.0205724</v>
      </c>
      <c r="H206" s="11">
        <f>M180*H205</f>
        <v>44158969.0205724</v>
      </c>
    </row>
    <row r="207" spans="2:8" x14ac:dyDescent="0.25">
      <c r="B207" s="15" t="s">
        <v>256</v>
      </c>
      <c r="D207" s="11">
        <f>Assumptions!$C$41*Assumptions!$C$28/M177*D205</f>
        <v>342692114.55758464</v>
      </c>
      <c r="E207" s="11">
        <f>Assumptions!$C$41*Assumptions!$C$28/M177*E205</f>
        <v>342128475.1166769</v>
      </c>
      <c r="F207" s="11">
        <f>Assumptions!$C$41*Assumptions!$C$28/M177*F205</f>
        <v>342128475.1166769</v>
      </c>
      <c r="G207" s="11">
        <f>Assumptions!$C$41*Assumptions!$C$28/M177*G205</f>
        <v>342128475.1166769</v>
      </c>
      <c r="H207" s="11">
        <f>Assumptions!$C$41*Assumptions!$C$28/M177*H205</f>
        <v>342128475.1166769</v>
      </c>
    </row>
    <row r="208" spans="2:8" x14ac:dyDescent="0.25">
      <c r="B208" s="15" t="s">
        <v>257</v>
      </c>
      <c r="D208" s="11">
        <f>Assumptions!$C$40*Assumptions!$C$27/M175*D205</f>
        <v>96865747.04979149</v>
      </c>
      <c r="E208" s="11">
        <f>Assumptions!$C$40*Assumptions!$C$27/M175*E205</f>
        <v>96706428.07748091</v>
      </c>
      <c r="F208" s="11">
        <f>Assumptions!$C$40*Assumptions!$C$27/M175*F205</f>
        <v>96706428.07748091</v>
      </c>
      <c r="G208" s="11">
        <f>Assumptions!$C$40*Assumptions!$C$27/M175*G205</f>
        <v>96706428.07748091</v>
      </c>
      <c r="H208" s="11">
        <f>Assumptions!$C$40*Assumptions!$C$27/M175*H205</f>
        <v>96706428.07748091</v>
      </c>
    </row>
    <row r="209" spans="2:8" x14ac:dyDescent="0.25">
      <c r="B209" s="15" t="s">
        <v>258</v>
      </c>
      <c r="D209" s="11">
        <f>Assumptions!$C$38*D205</f>
        <v>134117826.08081071</v>
      </c>
      <c r="E209" s="11">
        <f>Assumptions!$C$38*E205</f>
        <v>133897237.12268561</v>
      </c>
      <c r="F209" s="11">
        <f>Assumptions!$C$38*F205</f>
        <v>133897237.12268561</v>
      </c>
      <c r="G209" s="11">
        <f>Assumptions!$C$38*G205</f>
        <v>133897237.12268561</v>
      </c>
      <c r="H209" s="11">
        <f>Assumptions!$C$38*H205</f>
        <v>133897237.12268561</v>
      </c>
    </row>
    <row r="210" spans="2:8" x14ac:dyDescent="0.25">
      <c r="B210" s="15" t="s">
        <v>259</v>
      </c>
      <c r="D210" s="11">
        <f>Assumptions!$C$37*D205</f>
        <v>167647282.6010134</v>
      </c>
      <c r="E210" s="11">
        <f>Assumptions!$C$37*E205</f>
        <v>167371546.403357</v>
      </c>
      <c r="F210" s="11">
        <f>Assumptions!$C$37*F205</f>
        <v>167371546.403357</v>
      </c>
      <c r="G210" s="11">
        <f>Assumptions!$C$37*G205</f>
        <v>167371546.403357</v>
      </c>
      <c r="H210" s="11">
        <f>Assumptions!$C$37*H205</f>
        <v>167371546.403357</v>
      </c>
    </row>
    <row r="211" spans="2:8" x14ac:dyDescent="0.25">
      <c r="B211" s="15" t="s">
        <v>260</v>
      </c>
      <c r="D211" s="11">
        <f>Assumptions!$C$36*D205</f>
        <v>279412137.66835564</v>
      </c>
      <c r="E211" s="11">
        <f>Assumptions!$C$36*E205</f>
        <v>278952577.33892834</v>
      </c>
      <c r="F211" s="11">
        <f>Assumptions!$C$36*F205</f>
        <v>278952577.33892834</v>
      </c>
      <c r="G211" s="11">
        <f>Assumptions!$C$36*G205</f>
        <v>278952577.33892834</v>
      </c>
      <c r="H211" s="11">
        <f>Assumptions!$C$36*H205</f>
        <v>278952577.33892834</v>
      </c>
    </row>
    <row r="212" spans="2:8" x14ac:dyDescent="0.25">
      <c r="B212" s="15" t="s">
        <v>261</v>
      </c>
      <c r="D212" s="11">
        <f>Assumptions!$C$35*D205</f>
        <v>279412137.66835564</v>
      </c>
      <c r="E212" s="11">
        <f>Assumptions!$C$35*E205</f>
        <v>278952577.33892834</v>
      </c>
      <c r="F212" s="11">
        <f>Assumptions!$C$35*F205</f>
        <v>278952577.33892834</v>
      </c>
      <c r="G212" s="11">
        <f>Assumptions!$C$35*G205</f>
        <v>278952577.33892834</v>
      </c>
      <c r="H212" s="11">
        <f>Assumptions!$C$35*H205</f>
        <v>278952577.33892834</v>
      </c>
    </row>
    <row r="215" spans="2:13" x14ac:dyDescent="0.25">
      <c r="B215" s="3" t="s">
        <v>265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2:3" x14ac:dyDescent="0.25">
      <c r="B216" s="5" t="s">
        <v>225</v>
      </c>
      <c r="C216" s="11">
        <f>Assumptions!$C$63</f>
        <v>1400000000</v>
      </c>
    </row>
    <row r="217" spans="2:3" x14ac:dyDescent="0.25">
      <c r="B217" s="5" t="s">
        <v>226</v>
      </c>
      <c r="C217" s="18">
        <f>Assumptions!$C$60</f>
        <v>0.13</v>
      </c>
    </row>
    <row r="218" spans="2:13" x14ac:dyDescent="0.25">
      <c r="B218" s="12" t="s">
        <v>62</v>
      </c>
      <c r="D218" s="13" t="s">
        <v>63</v>
      </c>
      <c r="E218" s="13" t="s">
        <v>64</v>
      </c>
      <c r="F218" s="13" t="s">
        <v>65</v>
      </c>
      <c r="G218" s="13" t="s">
        <v>66</v>
      </c>
      <c r="H218" s="13" t="s">
        <v>67</v>
      </c>
      <c r="I218" s="13" t="s">
        <v>68</v>
      </c>
      <c r="J218" s="13" t="s">
        <v>69</v>
      </c>
      <c r="K218" s="13" t="s">
        <v>70</v>
      </c>
      <c r="L218" s="13" t="s">
        <v>71</v>
      </c>
      <c r="M218" s="13" t="s">
        <v>72</v>
      </c>
    </row>
    <row r="219" spans="2:13" x14ac:dyDescent="0.25">
      <c r="B219" s="5" t="s">
        <v>73</v>
      </c>
      <c r="D219" s="8">
        <v>45</v>
      </c>
      <c r="E219" s="14">
        <f>D237</f>
        <v>37.375973266511295</v>
      </c>
      <c r="F219" s="14">
        <f>E237</f>
        <v>37.30087156090165</v>
      </c>
      <c r="G219" s="14">
        <f>F237</f>
        <v>37.29977596878215</v>
      </c>
      <c r="H219" s="14">
        <f>G237</f>
        <v>37.29976047984788</v>
      </c>
      <c r="I219" s="14">
        <f>H237</f>
        <v>37.29976025976951</v>
      </c>
      <c r="J219" s="14">
        <f>I237</f>
        <v>37.299760256644824</v>
      </c>
      <c r="K219" s="14">
        <f>J237</f>
        <v>37.29976025660047</v>
      </c>
      <c r="L219" s="14">
        <f>K237</f>
        <v>37.29976025659983</v>
      </c>
      <c r="M219" s="14">
        <f>L237</f>
        <v>37.29976025659983</v>
      </c>
    </row>
    <row r="220" spans="2:13" x14ac:dyDescent="0.25">
      <c r="B220" s="5" t="s">
        <v>227</v>
      </c>
      <c r="D220" s="14">
        <f>IF(D219&lt;Assumptions!$C$26,Assumptions!$C$26*(Assumptions!$C$44+Assumptions!$C$7/Assumptions!$C$26)/(Assumptions!$C$44+Assumptions!$C$7/D219),Assumptions!$C$26)</f>
        <v>57.88378478994243</v>
      </c>
      <c r="E220" s="14">
        <f>IF(E219&lt;Assumptions!$C$26,Assumptions!$C$26*(Assumptions!$C$44+Assumptions!$C$7/Assumptions!$C$26)/(Assumptions!$C$44+Assumptions!$C$7/E219),Assumptions!$C$26)</f>
        <v>57.673432796320064</v>
      </c>
      <c r="F220" s="14">
        <f>IF(F219&lt;Assumptions!$C$26,Assumptions!$C$26*(Assumptions!$C$44+Assumptions!$C$7/Assumptions!$C$26)/(Assumptions!$C$44+Assumptions!$C$7/F219),Assumptions!$C$26)</f>
        <v>57.670942186575616</v>
      </c>
      <c r="G220" s="14">
        <f>IF(G219&lt;Assumptions!$C$26,Assumptions!$C$26*(Assumptions!$C$44+Assumptions!$C$7/Assumptions!$C$26)/(Assumptions!$C$44+Assumptions!$C$7/G219),Assumptions!$C$26)</f>
        <v>57.67090578065313</v>
      </c>
      <c r="H220" s="14">
        <f>IF(H219&lt;Assumptions!$C$26,Assumptions!$C$26*(Assumptions!$C$44+Assumptions!$C$7/Assumptions!$C$26)/(Assumptions!$C$44+Assumptions!$C$7/H219),Assumptions!$C$26)</f>
        <v>57.67090526594937</v>
      </c>
      <c r="I220" s="14">
        <f>IF(I219&lt;Assumptions!$C$26,Assumptions!$C$26*(Assumptions!$C$44+Assumptions!$C$7/Assumptions!$C$26)/(Assumptions!$C$44+Assumptions!$C$7/I219),Assumptions!$C$26)</f>
        <v>57.670905258636076</v>
      </c>
      <c r="J220" s="14">
        <f>IF(J219&lt;Assumptions!$C$26,Assumptions!$C$26*(Assumptions!$C$44+Assumptions!$C$7/Assumptions!$C$26)/(Assumptions!$C$44+Assumptions!$C$7/J219),Assumptions!$C$26)</f>
        <v>57.67090525853224</v>
      </c>
      <c r="K220" s="14">
        <f>IF(K219&lt;Assumptions!$C$26,Assumptions!$C$26*(Assumptions!$C$44+Assumptions!$C$7/Assumptions!$C$26)/(Assumptions!$C$44+Assumptions!$C$7/K219),Assumptions!$C$26)</f>
        <v>57.670905258530766</v>
      </c>
      <c r="L220" s="14">
        <f>IF(L219&lt;Assumptions!$C$26,Assumptions!$C$26*(Assumptions!$C$44+Assumptions!$C$7/Assumptions!$C$26)/(Assumptions!$C$44+Assumptions!$C$7/L219),Assumptions!$C$26)</f>
        <v>57.670905258530745</v>
      </c>
      <c r="M220" s="14">
        <f>IF(M219&lt;Assumptions!$C$26,Assumptions!$C$26*(Assumptions!$C$44+Assumptions!$C$7/Assumptions!$C$26)/(Assumptions!$C$44+Assumptions!$C$7/M219),Assumptions!$C$26)</f>
        <v>57.670905258530745</v>
      </c>
    </row>
    <row r="221" spans="2:13" x14ac:dyDescent="0.25">
      <c r="B221" s="15" t="s">
        <v>228</v>
      </c>
      <c r="D221" s="14">
        <f>Assumptions!$C$40*Assumptions!$C$27/D220-Assumptions!$C$39</f>
        <v>6972.8859247963</v>
      </c>
      <c r="E221" s="14">
        <f>Assumptions!$C$40*Assumptions!$C$27/E220-Assumptions!$C$39</f>
        <v>13273.9514686048</v>
      </c>
      <c r="F221" s="14">
        <f>Assumptions!$C$40*Assumptions!$C$27/F220-Assumptions!$C$39</f>
        <v>13348.8326902722</v>
      </c>
      <c r="G221" s="14">
        <f>Assumptions!$C$40*Assumptions!$C$27/G220-Assumptions!$C$39</f>
        <v>13349.9272974906</v>
      </c>
      <c r="H221" s="14">
        <f>Assumptions!$C$40*Assumptions!$C$27/H220-Assumptions!$C$39</f>
        <v>13349.942772962</v>
      </c>
      <c r="I221" s="14">
        <f>Assumptions!$C$40*Assumptions!$C$27/I220-Assumptions!$C$39</f>
        <v>13349.942992849</v>
      </c>
      <c r="J221" s="14">
        <f>Assumptions!$C$40*Assumptions!$C$27/J220-Assumptions!$C$39</f>
        <v>13349.942995971</v>
      </c>
      <c r="K221" s="14">
        <f>Assumptions!$C$40*Assumptions!$C$27/K220-Assumptions!$C$39</f>
        <v>13349.9429960153</v>
      </c>
      <c r="L221" s="14">
        <f>Assumptions!$C$40*Assumptions!$C$27/L220-Assumptions!$C$39</f>
        <v>13349.942996016</v>
      </c>
      <c r="M221" s="14">
        <f>Assumptions!$C$40*Assumptions!$C$27/M220-Assumptions!$C$39</f>
        <v>13349.942996016</v>
      </c>
    </row>
    <row r="222" spans="2:13" x14ac:dyDescent="0.25">
      <c r="B222" s="5" t="s">
        <v>229</v>
      </c>
      <c r="D222" s="14">
        <f>IF(D219&lt;Assumptions!$C$28,Assumptions!$C$28*(Assumptions!$C$44+Assumptions!$C$7/Assumptions!$C$28)/(Assumptions!$C$44+Assumptions!$C$7/D219),Assumptions!$C$28)</f>
        <v>49.08395844489023</v>
      </c>
      <c r="E222" s="14">
        <f>IF(E219&lt;Assumptions!$C$28,Assumptions!$C$28*(Assumptions!$C$44+Assumptions!$C$7/Assumptions!$C$28)/(Assumptions!$C$44+Assumptions!$C$7/E219),Assumptions!$C$28)</f>
        <v>48.90558537285928</v>
      </c>
      <c r="F222" s="14">
        <f>IF(F219&lt;Assumptions!$C$28,Assumptions!$C$28*(Assumptions!$C$44+Assumptions!$C$7/Assumptions!$C$28)/(Assumptions!$C$44+Assumptions!$C$7/F219),Assumptions!$C$28)</f>
        <v>48.90347339995284</v>
      </c>
      <c r="G222" s="14">
        <f>IF(G219&lt;Assumptions!$C$28,Assumptions!$C$28*(Assumptions!$C$44+Assumptions!$C$7/Assumptions!$C$28)/(Assumptions!$C$44+Assumptions!$C$7/G219),Assumptions!$C$28)</f>
        <v>48.903442528668364</v>
      </c>
      <c r="H222" s="14">
        <f>IF(H219&lt;Assumptions!$C$28,Assumptions!$C$28*(Assumptions!$C$44+Assumptions!$C$7/Assumptions!$C$28)/(Assumptions!$C$44+Assumptions!$C$7/H219),Assumptions!$C$28)</f>
        <v>48.903442092212835</v>
      </c>
      <c r="I222" s="14">
        <f>IF(I219&lt;Assumptions!$C$28,Assumptions!$C$28*(Assumptions!$C$44+Assumptions!$C$7/Assumptions!$C$28)/(Assumptions!$C$44+Assumptions!$C$7/I219),Assumptions!$C$28)</f>
        <v>48.903442086011346</v>
      </c>
      <c r="J222" s="14">
        <f>IF(J219&lt;Assumptions!$C$28,Assumptions!$C$28*(Assumptions!$C$44+Assumptions!$C$7/Assumptions!$C$28)/(Assumptions!$C$44+Assumptions!$C$7/J219),Assumptions!$C$28)</f>
        <v>48.903442085923295</v>
      </c>
      <c r="K222" s="14">
        <f>IF(K219&lt;Assumptions!$C$28,Assumptions!$C$28*(Assumptions!$C$44+Assumptions!$C$7/Assumptions!$C$28)/(Assumptions!$C$44+Assumptions!$C$7/K219),Assumptions!$C$28)</f>
        <v>48.903442085922045</v>
      </c>
      <c r="L222" s="14">
        <f>IF(L219&lt;Assumptions!$C$28,Assumptions!$C$28*(Assumptions!$C$44+Assumptions!$C$7/Assumptions!$C$28)/(Assumptions!$C$44+Assumptions!$C$7/L219),Assumptions!$C$28)</f>
        <v>48.90344208592203</v>
      </c>
      <c r="M222" s="14">
        <f>IF(M219&lt;Assumptions!$C$28,Assumptions!$C$28*(Assumptions!$C$44+Assumptions!$C$7/Assumptions!$C$28)/(Assumptions!$C$44+Assumptions!$C$7/M219),Assumptions!$C$28)</f>
        <v>48.90344208592203</v>
      </c>
    </row>
    <row r="223" spans="2:13" x14ac:dyDescent="0.25">
      <c r="B223" s="15" t="s">
        <v>230</v>
      </c>
      <c r="D223" s="14">
        <f>Assumptions!$C$41*Assumptions!$C$28/D222-Assumptions!$C$41</f>
        <v>9244.341711835</v>
      </c>
      <c r="E223" s="14">
        <f>Assumptions!$C$41*Assumptions!$C$28/E222-Assumptions!$C$41</f>
        <v>31536.282268117</v>
      </c>
      <c r="F223" s="14">
        <f>Assumptions!$C$41*Assumptions!$C$28/F222-Assumptions!$C$41</f>
        <v>31801.197421051</v>
      </c>
      <c r="G223" s="14">
        <f>Assumptions!$C$41*Assumptions!$C$28/G222-Assumptions!$C$41</f>
        <v>31805.069927832</v>
      </c>
      <c r="H223" s="14">
        <f>Assumptions!$C$41*Assumptions!$C$28/H222-Assumptions!$C$41</f>
        <v>31805.12467703</v>
      </c>
      <c r="I223" s="14">
        <f>Assumptions!$C$41*Assumptions!$C$28/I222-Assumptions!$C$41</f>
        <v>31805.125454948</v>
      </c>
      <c r="J223" s="14">
        <f>Assumptions!$C$41*Assumptions!$C$28/J222-Assumptions!$C$41</f>
        <v>31805.125465994</v>
      </c>
      <c r="K223" s="14">
        <f>Assumptions!$C$41*Assumptions!$C$28/K222-Assumptions!$C$41</f>
        <v>31805.12546615</v>
      </c>
      <c r="L223" s="14">
        <f>Assumptions!$C$41*Assumptions!$C$28/L222-Assumptions!$C$41</f>
        <v>31805.125466152</v>
      </c>
      <c r="M223" s="14">
        <f>Assumptions!$C$41*Assumptions!$C$28/M222-Assumptions!$C$41</f>
        <v>31805.125466152</v>
      </c>
    </row>
    <row r="224" spans="2:13" x14ac:dyDescent="0.25">
      <c r="B224" s="5" t="s">
        <v>231</v>
      </c>
      <c r="D224" s="14">
        <f>Assumptions!$C$44+D221+D223</f>
        <v>36634178.22763663</v>
      </c>
      <c r="E224" s="14">
        <f>Assumptions!$C$44+E221+E223</f>
        <v>36662771.233736716</v>
      </c>
      <c r="F224" s="14">
        <f>Assumptions!$C$44+F221+F223</f>
        <v>36663111.03011132</v>
      </c>
      <c r="G224" s="14">
        <f>Assumptions!$C$44+G221+G223</f>
        <v>36663115.99722532</v>
      </c>
      <c r="H224" s="14">
        <f>Assumptions!$C$44+H221+H223</f>
        <v>36663116.06744999</v>
      </c>
      <c r="I224" s="14">
        <f>Assumptions!$C$44+I221+I223</f>
        <v>36663116.0684478</v>
      </c>
      <c r="J224" s="14">
        <f>Assumptions!$C$44+J221+J223</f>
        <v>36663116.06846196</v>
      </c>
      <c r="K224" s="14">
        <f>Assumptions!$C$44+K221+K223</f>
        <v>36663116.06846217</v>
      </c>
      <c r="L224" s="14">
        <f>Assumptions!$C$44+L221+L223</f>
        <v>36663116.06846217</v>
      </c>
      <c r="M224" s="14">
        <f>Assumptions!$C$44+M221+M223</f>
        <v>36663116.06846217</v>
      </c>
    </row>
    <row r="225" spans="2:13" x14ac:dyDescent="0.25">
      <c r="B225" s="5" t="s">
        <v>232</v>
      </c>
      <c r="D225" s="14">
        <f>Assumptions!$C$7/D219</f>
        <v>666666.6666666666</v>
      </c>
      <c r="E225" s="14">
        <f>Assumptions!$C$7/E219</f>
        <v>802654.6836943472</v>
      </c>
      <c r="F225" s="14">
        <f>Assumptions!$C$7/F219</f>
        <v>804270.7514492949</v>
      </c>
      <c r="G225" s="14">
        <f>Assumptions!$C$7/G219</f>
        <v>804294.3749878911</v>
      </c>
      <c r="H225" s="14">
        <f>Assumptions!$C$7/H219</f>
        <v>804294.7089756312</v>
      </c>
      <c r="I225" s="14">
        <f>Assumptions!$C$7/I219</f>
        <v>804294.7137211809</v>
      </c>
      <c r="J225" s="14">
        <f>Assumptions!$C$7/J219</f>
        <v>804294.7137885585</v>
      </c>
      <c r="K225" s="14">
        <f>Assumptions!$C$7/K219</f>
        <v>804294.713789515</v>
      </c>
      <c r="L225" s="14">
        <f>Assumptions!$C$7/L219</f>
        <v>804294.7137895287</v>
      </c>
      <c r="M225" s="14">
        <f>Assumptions!$C$7/M219</f>
        <v>804294.7137895287</v>
      </c>
    </row>
    <row r="226" spans="2:13" x14ac:dyDescent="0.25">
      <c r="B226" s="15" t="s">
        <v>233</v>
      </c>
      <c r="D226" s="14">
        <f>Assumptions!$C$48/(D224+0+0)</f>
        <v>27.296913657683888</v>
      </c>
      <c r="E226" s="14">
        <f>Assumptions!$C$48/(E224+D234+D233)</f>
        <v>26.807753595276214</v>
      </c>
      <c r="F226" s="14">
        <f>Assumptions!$C$48/(F224+E234+E233)</f>
        <v>26.7762983569538</v>
      </c>
      <c r="G226" s="14">
        <f>Assumptions!$C$48/(G224+F234+F233)</f>
        <v>26.775905106267363</v>
      </c>
      <c r="H226" s="14">
        <f>Assumptions!$C$48/(H224+G234+G233)</f>
        <v>26.775899408877155</v>
      </c>
      <c r="I226" s="14">
        <f>Assumptions!$C$48/(I224+H234+H233)</f>
        <v>26.77589932822145</v>
      </c>
      <c r="J226" s="14">
        <f>Assumptions!$C$48/(J224+I234+I233)</f>
        <v>26.775899327075663</v>
      </c>
      <c r="K226" s="14">
        <f>Assumptions!$C$48/(K224+J234+J233)</f>
        <v>26.77589932705939</v>
      </c>
      <c r="L226" s="14">
        <f>Assumptions!$C$48/(L224+K234+K233)</f>
        <v>26.775899327059165</v>
      </c>
      <c r="M226" s="14">
        <f>Assumptions!$C$48/(M224+L234+L233)</f>
        <v>26.77589932705916</v>
      </c>
    </row>
    <row r="227" spans="2:13" x14ac:dyDescent="0.25">
      <c r="B227" s="15" t="s">
        <v>234</v>
      </c>
      <c r="D227" s="14">
        <f>D219*(1-Assumptions!$C$49)</f>
        <v>36</v>
      </c>
      <c r="E227" s="14">
        <f>E219*(1-Assumptions!$C$49)</f>
        <v>29.900778613209035</v>
      </c>
      <c r="F227" s="14">
        <f>F219*(1-Assumptions!$C$49)</f>
        <v>29.84069724872132</v>
      </c>
      <c r="G227" s="14">
        <f>G219*(1-Assumptions!$C$49)</f>
        <v>29.83982077502572</v>
      </c>
      <c r="H227" s="14">
        <f>H219*(1-Assumptions!$C$49)</f>
        <v>29.839808383878303</v>
      </c>
      <c r="I227" s="14">
        <f>I219*(1-Assumptions!$C$49)</f>
        <v>29.839808207815608</v>
      </c>
      <c r="J227" s="14">
        <f>J219*(1-Assumptions!$C$49)</f>
        <v>29.839808205315858</v>
      </c>
      <c r="K227" s="14">
        <f>K219*(1-Assumptions!$C$49)</f>
        <v>29.839808205280377</v>
      </c>
      <c r="L227" s="14">
        <f>L219*(1-Assumptions!$C$49)</f>
        <v>29.839808205279866</v>
      </c>
      <c r="M227" s="14">
        <f>M219*(1-Assumptions!$C$49)</f>
        <v>29.839808205279866</v>
      </c>
    </row>
    <row r="228" spans="2:13" x14ac:dyDescent="0.25">
      <c r="B228" s="15" t="s">
        <v>235</v>
      </c>
      <c r="D228" s="14">
        <f>MIN(D226,D227)</f>
        <v>27.296913657683888</v>
      </c>
      <c r="E228" s="14">
        <f>MIN(E226,E227)</f>
        <v>26.807753595276214</v>
      </c>
      <c r="F228" s="14">
        <f>MIN(F226,F227)</f>
        <v>26.7762983569538</v>
      </c>
      <c r="G228" s="14">
        <f>MIN(G226,G227)</f>
        <v>26.775905106267363</v>
      </c>
      <c r="H228" s="14">
        <f>MIN(H226,H227)</f>
        <v>26.775899408877155</v>
      </c>
      <c r="I228" s="14">
        <f>MIN(I226,I227)</f>
        <v>26.77589932822145</v>
      </c>
      <c r="J228" s="14">
        <f>MIN(J226,J227)</f>
        <v>26.775899327075663</v>
      </c>
      <c r="K228" s="14">
        <f>MIN(K226,K227)</f>
        <v>26.77589932705939</v>
      </c>
      <c r="L228" s="14">
        <f>MIN(L226,L227)</f>
        <v>26.775899327059165</v>
      </c>
      <c r="M228" s="14">
        <f>MIN(M226,M227)</f>
        <v>26.77589932705916</v>
      </c>
    </row>
    <row r="229" spans="2:13" x14ac:dyDescent="0.25">
      <c r="B229" s="15" t="s">
        <v>236</v>
      </c>
      <c r="D229" s="14">
        <f>Assumptions!$C$47/D228</f>
        <v>183170.89113818313</v>
      </c>
      <c r="E229" s="14">
        <f>Assumptions!$C$47/E228</f>
        <v>186513.2034368239</v>
      </c>
      <c r="F229" s="14">
        <f>Assumptions!$C$47/F228</f>
        <v>186732.30830285774</v>
      </c>
      <c r="G229" s="14">
        <f>Assumptions!$C$47/G228</f>
        <v>186735.05079123034</v>
      </c>
      <c r="H229" s="14">
        <f>Assumptions!$C$47/H228</f>
        <v>186735.0905248144</v>
      </c>
      <c r="I229" s="14">
        <f>Assumptions!$C$47/I228</f>
        <v>186735.0910873072</v>
      </c>
      <c r="J229" s="14">
        <f>Assumptions!$C$47/J228</f>
        <v>186735.09109529792</v>
      </c>
      <c r="K229" s="14">
        <f>Assumptions!$C$47/K228</f>
        <v>186735.0910954114</v>
      </c>
      <c r="L229" s="14">
        <f>Assumptions!$C$47/L228</f>
        <v>186735.09109541296</v>
      </c>
      <c r="M229" s="14">
        <f>Assumptions!$C$47/M228</f>
        <v>186735.091095413</v>
      </c>
    </row>
    <row r="230" spans="2:13" x14ac:dyDescent="0.25">
      <c r="B230" s="15" t="s">
        <v>237</v>
      </c>
      <c r="D230" s="14">
        <f>Assumptions!$C$51/(D224+0+0)</f>
        <v>43.67506185229422</v>
      </c>
      <c r="E230" s="14">
        <f>Assumptions!$C$51/(E224+D234+D229)</f>
        <v>42.77230833035819</v>
      </c>
      <c r="F230" s="14">
        <f>Assumptions!$C$51/(F224+E234+E229)</f>
        <v>42.73670368924586</v>
      </c>
      <c r="G230" s="14">
        <f>Assumptions!$C$51/(G224+F234+F229)</f>
        <v>42.73604450017975</v>
      </c>
      <c r="H230" s="14">
        <f>Assumptions!$C$51/(H224+G234+G229)</f>
        <v>42.736035471107</v>
      </c>
      <c r="I230" s="14">
        <f>Assumptions!$C$51/(I224+H234+H229)</f>
        <v>42.7360353421888</v>
      </c>
      <c r="J230" s="14">
        <f>Assumptions!$C$51/(J224+I234+I229)</f>
        <v>42.73603534035977</v>
      </c>
      <c r="K230" s="14">
        <f>Assumptions!$C$51/(K224+J234+J229)</f>
        <v>42.736035340333785</v>
      </c>
      <c r="L230" s="14">
        <f>Assumptions!$C$51/(L224+K234+K229)</f>
        <v>42.73603534033342</v>
      </c>
      <c r="M230" s="14">
        <f>Assumptions!$C$51/(M224+L234+L229)</f>
        <v>42.736035340333416</v>
      </c>
    </row>
    <row r="231" spans="2:13" x14ac:dyDescent="0.25">
      <c r="B231" s="15" t="s">
        <v>238</v>
      </c>
      <c r="D231" s="14">
        <f>D219*(1-Assumptions!$C$52)</f>
        <v>38.25</v>
      </c>
      <c r="E231" s="14">
        <f>E219*(1-Assumptions!$C$52)</f>
        <v>31.7695772765346</v>
      </c>
      <c r="F231" s="14">
        <f>F219*(1-Assumptions!$C$52)</f>
        <v>31.7057408267664</v>
      </c>
      <c r="G231" s="14">
        <f>G219*(1-Assumptions!$C$52)</f>
        <v>31.70480957346483</v>
      </c>
      <c r="H231" s="14">
        <f>H219*(1-Assumptions!$C$52)</f>
        <v>31.7047964078707</v>
      </c>
      <c r="I231" s="14">
        <f>I219*(1-Assumptions!$C$52)</f>
        <v>31.704796220804084</v>
      </c>
      <c r="J231" s="14">
        <f>J219*(1-Assumptions!$C$52)</f>
        <v>31.7047962181481</v>
      </c>
      <c r="K231" s="14">
        <f>K219*(1-Assumptions!$C$52)</f>
        <v>31.7047962181104</v>
      </c>
      <c r="L231" s="14">
        <f>L219*(1-Assumptions!$C$52)</f>
        <v>31.704796218109855</v>
      </c>
      <c r="M231" s="14">
        <f>M219*(1-Assumptions!$C$52)</f>
        <v>31.704796218109855</v>
      </c>
    </row>
    <row r="232" spans="2:13" x14ac:dyDescent="0.25">
      <c r="B232" s="15" t="s">
        <v>239</v>
      </c>
      <c r="D232" s="14">
        <f>MIN(D230,D231)</f>
        <v>38.25</v>
      </c>
      <c r="E232" s="14">
        <f>MIN(E230,E231)</f>
        <v>31.7695772765346</v>
      </c>
      <c r="F232" s="14">
        <f>MIN(F230,F231)</f>
        <v>31.7057408267664</v>
      </c>
      <c r="G232" s="14">
        <f>MIN(G230,G231)</f>
        <v>31.70480957346483</v>
      </c>
      <c r="H232" s="14">
        <f>MIN(H230,H231)</f>
        <v>31.7047964078707</v>
      </c>
      <c r="I232" s="14">
        <f>MIN(I230,I231)</f>
        <v>31.704796220804084</v>
      </c>
      <c r="J232" s="14">
        <f>MIN(J230,J231)</f>
        <v>31.7047962181481</v>
      </c>
      <c r="K232" s="14">
        <f>MIN(K230,K231)</f>
        <v>31.7047962181104</v>
      </c>
      <c r="L232" s="14">
        <f>MIN(L230,L231)</f>
        <v>31.704796218109855</v>
      </c>
      <c r="M232" s="14">
        <f>MIN(M230,M231)</f>
        <v>31.704796218109855</v>
      </c>
    </row>
    <row r="233" spans="2:13" x14ac:dyDescent="0.25">
      <c r="B233" s="15" t="s">
        <v>240</v>
      </c>
      <c r="D233" s="14">
        <f>Assumptions!$C$50/D232</f>
        <v>78431.37254901961</v>
      </c>
      <c r="E233" s="14">
        <f>Assumptions!$C$50/E232</f>
        <v>94429.96278757026</v>
      </c>
      <c r="F233" s="14">
        <f>Assumptions!$C$50/F232</f>
        <v>94620.0884057994</v>
      </c>
      <c r="G233" s="14">
        <f>Assumptions!$C$50/G232</f>
        <v>94622.86764563424</v>
      </c>
      <c r="H233" s="14">
        <f>Assumptions!$C$50/H232</f>
        <v>94622.90693830955</v>
      </c>
      <c r="I233" s="14">
        <f>Assumptions!$C$50/I232</f>
        <v>94622.90749660952</v>
      </c>
      <c r="J233" s="14">
        <f>Assumptions!$C$50/J232</f>
        <v>94622.9075045363</v>
      </c>
      <c r="K233" s="14">
        <f>Assumptions!$C$50/K232</f>
        <v>94622.90750464881</v>
      </c>
      <c r="L233" s="14">
        <f>Assumptions!$C$50/L232</f>
        <v>94622.90750465044</v>
      </c>
      <c r="M233" s="14">
        <f>Assumptions!$C$50/M232</f>
        <v>94622.90750465044</v>
      </c>
    </row>
    <row r="234" spans="2:13" x14ac:dyDescent="0.25">
      <c r="B234" s="5" t="s">
        <v>88</v>
      </c>
      <c r="D234" s="14">
        <f>MAX(0,(Assumptions!$C$60*(D224+D229+D233+D225)-Assumptions!$C$56)/(1-Assumptions!$C$60))</f>
        <v>561438.0810790402</v>
      </c>
      <c r="E234" s="14">
        <f>MAX(0,(Assumptions!$C$60*(E224+E229+E233+E225)-Assumptions!$C$56)/(1-Assumptions!$C$60))</f>
        <v>588920.6676726552</v>
      </c>
      <c r="F234" s="14">
        <f>MAX(0,(Assumptions!$C$60*(F224+F229+F233+F225)-Assumptions!$C$56)/(1-Assumptions!$C$60))</f>
        <v>589274.0726149494</v>
      </c>
      <c r="G234" s="14">
        <f>MAX(0,(Assumptions!$C$60*(G224+G229+G233+G225)-Assumptions!$C$56)/(1-Assumptions!$C$60))</f>
        <v>589279.1698672529</v>
      </c>
      <c r="H234" s="14">
        <f>MAX(0,(Assumptions!$C$60*(H224+H229+H233+H225)-Assumptions!$C$56)/(1-Assumptions!$C$60))</f>
        <v>589279.2420753299</v>
      </c>
      <c r="I234" s="14">
        <f>MAX(0,(Assumptions!$C$60*(I224+I229+I233+I225)-Assumptions!$C$56)/(1-Assumptions!$C$60))</f>
        <v>589279.243101008</v>
      </c>
      <c r="J234" s="14">
        <f>MAX(0,(Assumptions!$C$60*(J224+J229+J233+J225)-Assumptions!$C$56)/(1-Assumptions!$C$60))</f>
        <v>589279.2431155712</v>
      </c>
      <c r="K234" s="14">
        <f>MAX(0,(Assumptions!$C$60*(K224+K229+K233+K225)-Assumptions!$C$56)/(1-Assumptions!$C$60))</f>
        <v>589279.2431157782</v>
      </c>
      <c r="L234" s="14">
        <f>MAX(0,(Assumptions!$C$60*(L224+L229+L233+L225)-Assumptions!$C$56)/(1-Assumptions!$C$60))</f>
        <v>589279.2431157804</v>
      </c>
      <c r="M234" s="14">
        <f>MAX(0,(Assumptions!$C$60*(M224+M229+M233+M225)-Assumptions!$C$56)/(1-Assumptions!$C$60))</f>
        <v>589279.2431157804</v>
      </c>
    </row>
    <row r="235" spans="2:13" x14ac:dyDescent="0.25">
      <c r="B235" s="9" t="s">
        <v>241</v>
      </c>
      <c r="D235" s="14">
        <f>D224+D234+D229+D233+D225</f>
        <v>38123885.23906954</v>
      </c>
      <c r="E235" s="14">
        <f>E224+E234+E229+E233+E225</f>
        <v>38335289.75132811</v>
      </c>
      <c r="F235" s="14">
        <f>F224+F234+F229+F233+F225</f>
        <v>38338008.25088421</v>
      </c>
      <c r="G235" s="14">
        <f>G224+G234+G229+G233+G225</f>
        <v>38338047.46051734</v>
      </c>
      <c r="H235" s="14">
        <f>H224+H234+H229+H233+H225</f>
        <v>38338048.01596407</v>
      </c>
      <c r="I235" s="14">
        <f>I224+I234+I229+I233+I225</f>
        <v>38338048.02385391</v>
      </c>
      <c r="J235" s="14">
        <f>J224+J234+J229+J233+J225</f>
        <v>38338048.02396592</v>
      </c>
      <c r="K235" s="14">
        <f>K224+K234+K229+K233+K225</f>
        <v>38338048.02396752</v>
      </c>
      <c r="L235" s="14">
        <f>L224+L234+L229+L233+L225</f>
        <v>38338048.02396754</v>
      </c>
      <c r="M235" s="14">
        <f>M224+M234+M229+M233+M225</f>
        <v>38338048.02396754</v>
      </c>
    </row>
    <row r="236" spans="2:13" x14ac:dyDescent="0.25">
      <c r="B236" s="5" t="s">
        <v>242</v>
      </c>
      <c r="D236" s="14">
        <f>D235-D225</f>
        <v>37457218.57240287</v>
      </c>
      <c r="E236" s="14">
        <f>E235-E225</f>
        <v>37532635.06763376</v>
      </c>
      <c r="F236" s="14">
        <f>F235-F225</f>
        <v>37533737.49943492</v>
      </c>
      <c r="G236" s="14">
        <f>G235-G225</f>
        <v>37533753.08552945</v>
      </c>
      <c r="H236" s="14">
        <f>H235-H225</f>
        <v>37533753.30698844</v>
      </c>
      <c r="I236" s="14">
        <f>I235-I225</f>
        <v>37533753.31013273</v>
      </c>
      <c r="J236" s="14">
        <f>J235-J225</f>
        <v>37533753.31017736</v>
      </c>
      <c r="K236" s="14">
        <f>K235-K225</f>
        <v>37533753.310178004</v>
      </c>
      <c r="L236" s="14">
        <f>L235-L225</f>
        <v>37533753.31017801</v>
      </c>
      <c r="M236" s="14">
        <f>M235-M225</f>
        <v>37533753.31017801</v>
      </c>
    </row>
    <row r="237" spans="2:13" x14ac:dyDescent="0.25">
      <c r="B237" s="9" t="s">
        <v>91</v>
      </c>
      <c r="D237" s="14">
        <f>Assumptions!$C$63/D236</f>
        <v>37.375973266511295</v>
      </c>
      <c r="E237" s="14">
        <f>Assumptions!$C$63/E236</f>
        <v>37.30087156090165</v>
      </c>
      <c r="F237" s="14">
        <f>Assumptions!$C$63/F236</f>
        <v>37.29977596878215</v>
      </c>
      <c r="G237" s="14">
        <f>Assumptions!$C$63/G236</f>
        <v>37.29976047984788</v>
      </c>
      <c r="H237" s="14">
        <f>Assumptions!$C$63/H236</f>
        <v>37.29976025976951</v>
      </c>
      <c r="I237" s="14">
        <f>Assumptions!$C$63/I236</f>
        <v>37.299760256644824</v>
      </c>
      <c r="J237" s="14">
        <f>Assumptions!$C$63/J236</f>
        <v>37.29976025660047</v>
      </c>
      <c r="K237" s="14">
        <f>Assumptions!$C$63/K236</f>
        <v>37.29976025659983</v>
      </c>
      <c r="L237" s="14">
        <f>Assumptions!$C$63/L236</f>
        <v>37.29976025659983</v>
      </c>
      <c r="M237" s="14">
        <f>Assumptions!$C$63/M236</f>
        <v>37.29976025659983</v>
      </c>
    </row>
    <row r="239" spans="2:8" x14ac:dyDescent="0.25">
      <c r="B239" s="5" t="s">
        <v>243</v>
      </c>
      <c r="D239" s="11">
        <f>Assumptions!$C$17+Assumptions!$C$42*Assumptions!$C$55</f>
        <v>2002500000</v>
      </c>
      <c r="E239" s="11">
        <f>Assumptions!$C$17+Assumptions!$C$42*Assumptions!$C$55</f>
        <v>2002500000</v>
      </c>
      <c r="F239" s="11">
        <f>Assumptions!$C$17+Assumptions!$C$42*Assumptions!$C$55</f>
        <v>2002500000</v>
      </c>
      <c r="G239" s="11">
        <f>Assumptions!$C$17+Assumptions!$C$42*Assumptions!$C$55</f>
        <v>2002500000</v>
      </c>
      <c r="H239" s="11">
        <f>Assumptions!$C$17+Assumptions!$C$42*Assumptions!$C$55</f>
        <v>2002500000</v>
      </c>
    </row>
    <row r="240" spans="2:8" x14ac:dyDescent="0.25">
      <c r="B240" s="15" t="s">
        <v>244</v>
      </c>
      <c r="D240" s="14" t="b">
        <v>0</v>
      </c>
      <c r="E240" s="14">
        <f>Assumptions!$C$7&gt;D251</f>
        <v>0</v>
      </c>
      <c r="F240" s="14">
        <f>Assumptions!$C$7&gt;E251</f>
        <v>0</v>
      </c>
      <c r="G240" s="14">
        <f>Assumptions!$C$7&gt;F251</f>
        <v>0</v>
      </c>
      <c r="H240" s="14">
        <f>Assumptions!$C$7&gt;G251</f>
        <v>0</v>
      </c>
    </row>
    <row r="241" spans="2:8" x14ac:dyDescent="0.25">
      <c r="B241" s="15" t="s">
        <v>245</v>
      </c>
      <c r="D241" s="14" t="b">
        <v>0</v>
      </c>
      <c r="E241" s="14">
        <f>Assumptions!$C$41*Assumptions!$C$28&gt;D252</f>
        <v>0</v>
      </c>
      <c r="F241" s="14">
        <f>Assumptions!$C$41*Assumptions!$C$28&gt;E252</f>
        <v>0</v>
      </c>
      <c r="G241" s="14">
        <f>Assumptions!$C$41*Assumptions!$C$28&gt;F252</f>
        <v>0</v>
      </c>
      <c r="H241" s="14">
        <f>Assumptions!$C$41*Assumptions!$C$28&gt;G252</f>
        <v>0</v>
      </c>
    </row>
    <row r="242" spans="2:8" x14ac:dyDescent="0.25">
      <c r="B242" s="15" t="s">
        <v>246</v>
      </c>
      <c r="D242" s="14" t="b">
        <v>0</v>
      </c>
      <c r="E242" s="14">
        <f>Assumptions!$C$40*Assumptions!$C$27&gt;D253</f>
        <v>1</v>
      </c>
      <c r="F242" s="14">
        <f>Assumptions!$C$40*Assumptions!$C$27&gt;E253</f>
        <v>1</v>
      </c>
      <c r="G242" s="14">
        <f>Assumptions!$C$40*Assumptions!$C$27&gt;F253</f>
        <v>1</v>
      </c>
      <c r="H242" s="14">
        <f>Assumptions!$C$40*Assumptions!$C$27&gt;G253</f>
        <v>1</v>
      </c>
    </row>
    <row r="243" spans="2:8" x14ac:dyDescent="0.25">
      <c r="B243" s="15" t="s">
        <v>247</v>
      </c>
      <c r="D243" s="14" t="b">
        <v>0</v>
      </c>
      <c r="E243" s="14">
        <f>Assumptions!$C$38*Assumptions!$C$25&gt;D254</f>
        <v>0</v>
      </c>
      <c r="F243" s="14">
        <f>Assumptions!$C$38*Assumptions!$C$25&gt;E254</f>
        <v>0</v>
      </c>
      <c r="G243" s="14">
        <f>Assumptions!$C$38*Assumptions!$C$25&gt;F254</f>
        <v>0</v>
      </c>
      <c r="H243" s="14">
        <f>Assumptions!$C$38*Assumptions!$C$25&gt;G254</f>
        <v>0</v>
      </c>
    </row>
    <row r="244" spans="2:8" x14ac:dyDescent="0.25">
      <c r="B244" s="15" t="s">
        <v>248</v>
      </c>
      <c r="D244" s="14" t="b">
        <v>0</v>
      </c>
      <c r="E244" s="14">
        <f>Assumptions!$C$37*Assumptions!$C$24&gt;D255</f>
        <v>0</v>
      </c>
      <c r="F244" s="14">
        <f>Assumptions!$C$37*Assumptions!$C$24&gt;E255</f>
        <v>0</v>
      </c>
      <c r="G244" s="14">
        <f>Assumptions!$C$37*Assumptions!$C$24&gt;F255</f>
        <v>0</v>
      </c>
      <c r="H244" s="14">
        <f>Assumptions!$C$37*Assumptions!$C$24&gt;G255</f>
        <v>0</v>
      </c>
    </row>
    <row r="245" spans="2:8" x14ac:dyDescent="0.25">
      <c r="B245" s="15" t="s">
        <v>249</v>
      </c>
      <c r="D245" s="14" t="b">
        <v>0</v>
      </c>
      <c r="E245" s="14">
        <f>Assumptions!$C$36*Assumptions!$C$23&gt;D256</f>
        <v>0</v>
      </c>
      <c r="F245" s="14">
        <f>Assumptions!$C$36*Assumptions!$C$23&gt;E256</f>
        <v>0</v>
      </c>
      <c r="G245" s="14">
        <f>Assumptions!$C$36*Assumptions!$C$23&gt;F256</f>
        <v>0</v>
      </c>
      <c r="H245" s="14">
        <f>Assumptions!$C$36*Assumptions!$C$23&gt;G256</f>
        <v>0</v>
      </c>
    </row>
    <row r="246" spans="2:8" x14ac:dyDescent="0.25">
      <c r="B246" s="15" t="s">
        <v>250</v>
      </c>
      <c r="D246" s="14" t="b">
        <v>0</v>
      </c>
      <c r="E246" s="14">
        <f>Assumptions!$C$35*Assumptions!$C$22&gt;D257</f>
        <v>0</v>
      </c>
      <c r="F246" s="14">
        <f>Assumptions!$C$35*Assumptions!$C$22&gt;E257</f>
        <v>0</v>
      </c>
      <c r="G246" s="14">
        <f>Assumptions!$C$35*Assumptions!$C$22&gt;F257</f>
        <v>0</v>
      </c>
      <c r="H246" s="14">
        <f>Assumptions!$C$35*Assumptions!$C$22&gt;G257</f>
        <v>0</v>
      </c>
    </row>
    <row r="247" spans="2:8" x14ac:dyDescent="0.25">
      <c r="B247" s="5" t="s">
        <v>251</v>
      </c>
      <c r="D247" s="11">
        <f>IF(D240,Assumptions!$C$7,0)+IF(D241,Assumptions!$C$41*Assumptions!$C$28,0)+IF(D242,Assumptions!$C$40*Assumptions!$C$27,0)+IF(D243,Assumptions!$C$38*Assumptions!$C$25,0)+IF(D244,Assumptions!$C$37*Assumptions!$C$24,0)+IF(D245,Assumptions!$C$36*Assumptions!$C$23,0)+IF(D246,Assumptions!$C$35*Assumptions!$C$22,0)</f>
        <v>0</v>
      </c>
      <c r="E247" s="11">
        <f>IF(E240,Assumptions!$C$7,0)+IF(E241,Assumptions!$C$41*Assumptions!$C$28,0)+IF(E242,Assumptions!$C$40*Assumptions!$C$27,0)+IF(E243,Assumptions!$C$38*Assumptions!$C$25,0)+IF(E244,Assumptions!$C$37*Assumptions!$C$24,0)+IF(E245,Assumptions!$C$36*Assumptions!$C$23,0)+IF(E246,Assumptions!$C$35*Assumptions!$C$22,0)</f>
        <v>100000020</v>
      </c>
      <c r="F247" s="11">
        <f>IF(F240,Assumptions!$C$7,0)+IF(F241,Assumptions!$C$41*Assumptions!$C$28,0)+IF(F242,Assumptions!$C$40*Assumptions!$C$27,0)+IF(F243,Assumptions!$C$38*Assumptions!$C$25,0)+IF(F244,Assumptions!$C$37*Assumptions!$C$24,0)+IF(F245,Assumptions!$C$36*Assumptions!$C$23,0)+IF(F246,Assumptions!$C$35*Assumptions!$C$22,0)</f>
        <v>100000020</v>
      </c>
      <c r="G247" s="11">
        <f>IF(G240,Assumptions!$C$7,0)+IF(G241,Assumptions!$C$41*Assumptions!$C$28,0)+IF(G242,Assumptions!$C$40*Assumptions!$C$27,0)+IF(G243,Assumptions!$C$38*Assumptions!$C$25,0)+IF(G244,Assumptions!$C$37*Assumptions!$C$24,0)+IF(G245,Assumptions!$C$36*Assumptions!$C$23,0)+IF(G246,Assumptions!$C$35*Assumptions!$C$22,0)</f>
        <v>100000020</v>
      </c>
      <c r="H247" s="11">
        <f>IF(H240,Assumptions!$C$7,0)+IF(H241,Assumptions!$C$41*Assumptions!$C$28,0)+IF(H242,Assumptions!$C$40*Assumptions!$C$27,0)+IF(H243,Assumptions!$C$38*Assumptions!$C$25,0)+IF(H244,Assumptions!$C$37*Assumptions!$C$24,0)+IF(H245,Assumptions!$C$36*Assumptions!$C$23,0)+IF(H246,Assumptions!$C$35*Assumptions!$C$22,0)</f>
        <v>100000020</v>
      </c>
    </row>
    <row r="248" spans="2:8" x14ac:dyDescent="0.25">
      <c r="B248" s="5" t="s">
        <v>252</v>
      </c>
      <c r="D248" s="14">
        <f>IF(D240,0,M225)+IF(D241,0,Assumptions!$C$41*Assumptions!$C$28/M222)+IF(D242,0,Assumptions!$C$40*Assumptions!$C$27/M220)+IF(D243,0,Assumptions!$C$38)+IF(D244,0,Assumptions!$C$37)+IF(D245,0,Assumptions!$C$36)+IF(D246,0,Assumptions!$C$35)+((Assumptions!$C$31+Assumptions!$C$32+Assumptions!$C$33+Assumptions!$C$34)+M229+M233+Assumptions!$C$42)</f>
        <v>35854101.78085175</v>
      </c>
      <c r="E248" s="14">
        <f>IF(E240,0,M225)+IF(E241,0,Assumptions!$C$41*Assumptions!$C$28/M222)+IF(E242,0,Assumptions!$C$40*Assumptions!$C$27/M220)+IF(E243,0,Assumptions!$C$38)+IF(E244,0,Assumptions!$C$37)+IF(E245,0,Assumptions!$C$36)+IF(E246,0,Assumptions!$C$35)+((Assumptions!$C$31+Assumptions!$C$32+Assumptions!$C$33+Assumptions!$C$34)+M229+M233+Assumptions!$C$42)</f>
        <v>34120124.83785574</v>
      </c>
      <c r="F248" s="14">
        <f>IF(F240,0,M225)+IF(F241,0,Assumptions!$C$41*Assumptions!$C$28/M222)+IF(F242,0,Assumptions!$C$40*Assumptions!$C$27/M220)+IF(F243,0,Assumptions!$C$38)+IF(F244,0,Assumptions!$C$37)+IF(F245,0,Assumptions!$C$36)+IF(F246,0,Assumptions!$C$35)+((Assumptions!$C$31+Assumptions!$C$32+Assumptions!$C$33+Assumptions!$C$34)+M229+M233+Assumptions!$C$42)</f>
        <v>34120124.83785574</v>
      </c>
      <c r="G248" s="14">
        <f>IF(G240,0,M225)+IF(G241,0,Assumptions!$C$41*Assumptions!$C$28/M222)+IF(G242,0,Assumptions!$C$40*Assumptions!$C$27/M220)+IF(G243,0,Assumptions!$C$38)+IF(G244,0,Assumptions!$C$37)+IF(G245,0,Assumptions!$C$36)+IF(G246,0,Assumptions!$C$35)+((Assumptions!$C$31+Assumptions!$C$32+Assumptions!$C$33+Assumptions!$C$34)+M229+M233+Assumptions!$C$42)</f>
        <v>34120124.83785574</v>
      </c>
      <c r="H248" s="14">
        <f>IF(H240,0,M225)+IF(H241,0,Assumptions!$C$41*Assumptions!$C$28/M222)+IF(H242,0,Assumptions!$C$40*Assumptions!$C$27/M220)+IF(H243,0,Assumptions!$C$38)+IF(H244,0,Assumptions!$C$37)+IF(H245,0,Assumptions!$C$36)+IF(H246,0,Assumptions!$C$35)+((Assumptions!$C$31+Assumptions!$C$32+Assumptions!$C$33+Assumptions!$C$34)+M229+M233+Assumptions!$C$42)</f>
        <v>34120124.83785574</v>
      </c>
    </row>
    <row r="249" spans="2:8" x14ac:dyDescent="0.25">
      <c r="B249" s="5" t="s">
        <v>253</v>
      </c>
      <c r="D249" s="11">
        <f>D239-D247</f>
        <v>2002500000</v>
      </c>
      <c r="E249" s="11">
        <f>E239-E247</f>
        <v>1902499980</v>
      </c>
      <c r="F249" s="11">
        <f>F239-F247</f>
        <v>1902499980</v>
      </c>
      <c r="G249" s="11">
        <f>G239-G247</f>
        <v>1902499980</v>
      </c>
      <c r="H249" s="11">
        <f>H239-H247</f>
        <v>1902499980</v>
      </c>
    </row>
    <row r="250" spans="2:8" x14ac:dyDescent="0.25">
      <c r="B250" s="9" t="s">
        <v>254</v>
      </c>
      <c r="D250" s="11">
        <f>D249/D248</f>
        <v>55.85135034869164</v>
      </c>
      <c r="E250" s="11">
        <f>E249/E248</f>
        <v>55.7588809841987</v>
      </c>
      <c r="F250" s="11">
        <f>F249/F248</f>
        <v>55.7588809841987</v>
      </c>
      <c r="G250" s="11">
        <f>G249/G248</f>
        <v>55.7588809841987</v>
      </c>
      <c r="H250" s="11">
        <f>H249/H248</f>
        <v>55.7588809841987</v>
      </c>
    </row>
    <row r="251" spans="2:8" x14ac:dyDescent="0.25">
      <c r="B251" s="15" t="s">
        <v>255</v>
      </c>
      <c r="D251" s="11">
        <f>M225*D250</f>
        <v>44920945.843459636</v>
      </c>
      <c r="E251" s="11">
        <f>M225*E250</f>
        <v>44846573.222410485</v>
      </c>
      <c r="F251" s="11">
        <f>M225*F250</f>
        <v>44846573.222410485</v>
      </c>
      <c r="G251" s="11">
        <f>M225*G250</f>
        <v>44846573.222410485</v>
      </c>
      <c r="H251" s="11">
        <f>M225*H250</f>
        <v>44846573.222410485</v>
      </c>
    </row>
    <row r="252" spans="2:8" x14ac:dyDescent="0.25">
      <c r="B252" s="15" t="s">
        <v>256</v>
      </c>
      <c r="D252" s="11">
        <f>Assumptions!$C$41*Assumptions!$C$28/M222*D250</f>
        <v>342618551.8836931</v>
      </c>
      <c r="E252" s="11">
        <f>Assumptions!$C$41*Assumptions!$C$28/M222*E250</f>
        <v>342051301.1447516</v>
      </c>
      <c r="F252" s="11">
        <f>Assumptions!$C$41*Assumptions!$C$28/M222*F250</f>
        <v>342051301.1447516</v>
      </c>
      <c r="G252" s="11">
        <f>Assumptions!$C$41*Assumptions!$C$28/M222*G250</f>
        <v>342051301.1447516</v>
      </c>
      <c r="H252" s="11">
        <f>Assumptions!$C$41*Assumptions!$C$28/M222*H250</f>
        <v>342051301.1447516</v>
      </c>
    </row>
    <row r="253" spans="2:8" x14ac:dyDescent="0.25">
      <c r="B253" s="15" t="s">
        <v>257</v>
      </c>
      <c r="D253" s="11">
        <f>Assumptions!$C$40*Assumptions!$C$27/M220*D250</f>
        <v>96844953.7398238</v>
      </c>
      <c r="E253" s="11">
        <f>Assumptions!$C$40*Assumptions!$C$27/M220*E250</f>
        <v>96684613.99385954</v>
      </c>
      <c r="F253" s="11">
        <f>Assumptions!$C$40*Assumptions!$C$27/M220*F250</f>
        <v>96684613.99385954</v>
      </c>
      <c r="G253" s="11">
        <f>Assumptions!$C$40*Assumptions!$C$27/M220*G250</f>
        <v>96684613.99385954</v>
      </c>
      <c r="H253" s="11">
        <f>Assumptions!$C$40*Assumptions!$C$27/M220*H250</f>
        <v>96684613.99385954</v>
      </c>
    </row>
    <row r="254" spans="2:8" x14ac:dyDescent="0.25">
      <c r="B254" s="15" t="s">
        <v>258</v>
      </c>
      <c r="D254" s="11">
        <f>Assumptions!$C$38*D250</f>
        <v>134043240.83685994</v>
      </c>
      <c r="E254" s="11">
        <f>Assumptions!$C$38*E250</f>
        <v>133821314.36207688</v>
      </c>
      <c r="F254" s="11">
        <f>Assumptions!$C$38*F250</f>
        <v>133821314.36207688</v>
      </c>
      <c r="G254" s="11">
        <f>Assumptions!$C$38*G250</f>
        <v>133821314.36207688</v>
      </c>
      <c r="H254" s="11">
        <f>Assumptions!$C$38*H250</f>
        <v>133821314.36207688</v>
      </c>
    </row>
    <row r="255" spans="2:8" x14ac:dyDescent="0.25">
      <c r="B255" s="15" t="s">
        <v>259</v>
      </c>
      <c r="D255" s="11">
        <f>Assumptions!$C$37*D250</f>
        <v>167554051.04607493</v>
      </c>
      <c r="E255" s="11">
        <f>Assumptions!$C$37*E250</f>
        <v>167276642.9525961</v>
      </c>
      <c r="F255" s="11">
        <f>Assumptions!$C$37*F250</f>
        <v>167276642.9525961</v>
      </c>
      <c r="G255" s="11">
        <f>Assumptions!$C$37*G250</f>
        <v>167276642.9525961</v>
      </c>
      <c r="H255" s="11">
        <f>Assumptions!$C$37*H250</f>
        <v>167276642.9525961</v>
      </c>
    </row>
    <row r="256" spans="2:8" x14ac:dyDescent="0.25">
      <c r="B256" s="15" t="s">
        <v>260</v>
      </c>
      <c r="D256" s="11">
        <f>Assumptions!$C$36*D250</f>
        <v>279256751.7434582</v>
      </c>
      <c r="E256" s="11">
        <f>Assumptions!$C$36*E250</f>
        <v>278794404.9209935</v>
      </c>
      <c r="F256" s="11">
        <f>Assumptions!$C$36*F250</f>
        <v>278794404.9209935</v>
      </c>
      <c r="G256" s="11">
        <f>Assumptions!$C$36*G250</f>
        <v>278794404.9209935</v>
      </c>
      <c r="H256" s="11">
        <f>Assumptions!$C$36*H250</f>
        <v>278794404.9209935</v>
      </c>
    </row>
    <row r="257" spans="2:8" x14ac:dyDescent="0.25">
      <c r="B257" s="15" t="s">
        <v>261</v>
      </c>
      <c r="D257" s="11">
        <f>Assumptions!$C$35*D250</f>
        <v>279256751.7434582</v>
      </c>
      <c r="E257" s="11">
        <f>Assumptions!$C$35*E250</f>
        <v>278794404.9209935</v>
      </c>
      <c r="F257" s="11">
        <f>Assumptions!$C$35*F250</f>
        <v>278794404.9209935</v>
      </c>
      <c r="G257" s="11">
        <f>Assumptions!$C$35*G250</f>
        <v>278794404.9209935</v>
      </c>
      <c r="H257" s="11">
        <f>Assumptions!$C$35*H250</f>
        <v>278794404.9209935</v>
      </c>
    </row>
    <row r="260" spans="2:13" x14ac:dyDescent="0.25">
      <c r="B260" s="3" t="s">
        <v>266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2:3" x14ac:dyDescent="0.25">
      <c r="B261" s="5" t="s">
        <v>225</v>
      </c>
      <c r="C261" s="11">
        <f>Assumptions!$C$63</f>
        <v>1400000000</v>
      </c>
    </row>
    <row r="262" spans="2:3" x14ac:dyDescent="0.25">
      <c r="B262" s="5" t="s">
        <v>226</v>
      </c>
      <c r="C262" s="18">
        <f>Assumptions!$C$61</f>
        <v>0.15</v>
      </c>
    </row>
    <row r="263" spans="2:13" x14ac:dyDescent="0.25">
      <c r="B263" s="12" t="s">
        <v>62</v>
      </c>
      <c r="D263" s="13" t="s">
        <v>63</v>
      </c>
      <c r="E263" s="13" t="s">
        <v>64</v>
      </c>
      <c r="F263" s="13" t="s">
        <v>65</v>
      </c>
      <c r="G263" s="13" t="s">
        <v>66</v>
      </c>
      <c r="H263" s="13" t="s">
        <v>67</v>
      </c>
      <c r="I263" s="13" t="s">
        <v>68</v>
      </c>
      <c r="J263" s="13" t="s">
        <v>69</v>
      </c>
      <c r="K263" s="13" t="s">
        <v>70</v>
      </c>
      <c r="L263" s="13" t="s">
        <v>71</v>
      </c>
      <c r="M263" s="13" t="s">
        <v>72</v>
      </c>
    </row>
    <row r="264" spans="2:13" x14ac:dyDescent="0.25">
      <c r="B264" s="5" t="s">
        <v>73</v>
      </c>
      <c r="D264" s="8">
        <v>45</v>
      </c>
      <c r="E264" s="14">
        <f>D282</f>
        <v>36.501820722065084</v>
      </c>
      <c r="F264" s="14">
        <f>E282</f>
        <v>36.410213190181224</v>
      </c>
      <c r="G264" s="14">
        <f>F282</f>
        <v>36.40879787456332</v>
      </c>
      <c r="H264" s="14">
        <f>G282</f>
        <v>36.408776454525295</v>
      </c>
      <c r="I264" s="14">
        <f>H282</f>
        <v>36.40877612924018</v>
      </c>
      <c r="J264" s="14">
        <f>I282</f>
        <v>36.408776124302804</v>
      </c>
      <c r="K264" s="14">
        <f>J282</f>
        <v>36.40877612422788</v>
      </c>
      <c r="L264" s="14">
        <f>K282</f>
        <v>36.408776124226726</v>
      </c>
      <c r="M264" s="14">
        <f>L282</f>
        <v>36.40877612422672</v>
      </c>
    </row>
    <row r="265" spans="2:13" x14ac:dyDescent="0.25">
      <c r="B265" s="5" t="s">
        <v>227</v>
      </c>
      <c r="D265" s="14">
        <f>IF(D264&lt;Assumptions!$C$26,Assumptions!$C$26*(Assumptions!$C$44+Assumptions!$C$7/Assumptions!$C$26)/(Assumptions!$C$44+Assumptions!$C$7/D264),Assumptions!$C$26)</f>
        <v>57.88378478994243</v>
      </c>
      <c r="E265" s="14">
        <f>IF(E264&lt;Assumptions!$C$26,Assumptions!$C$26*(Assumptions!$C$44+Assumptions!$C$7/Assumptions!$C$26)/(Assumptions!$C$44+Assumptions!$C$7/E264),Assumptions!$C$26)</f>
        <v>57.64382246371144</v>
      </c>
      <c r="F265" s="14">
        <f>IF(F264&lt;Assumptions!$C$26,Assumptions!$C$26*(Assumptions!$C$44+Assumptions!$C$7/Assumptions!$C$26)/(Assumptions!$C$44+Assumptions!$C$7/F264),Assumptions!$C$26)</f>
        <v>57.64063892954594</v>
      </c>
      <c r="G265" s="14">
        <f>IF(G264&lt;Assumptions!$C$26,Assumptions!$C$26*(Assumptions!$C$44+Assumptions!$C$7/Assumptions!$C$26)/(Assumptions!$C$44+Assumptions!$C$7/G264),Assumptions!$C$26)</f>
        <v>57.6405896217645</v>
      </c>
      <c r="H265" s="14">
        <f>IF(H264&lt;Assumptions!$C$26,Assumptions!$C$26*(Assumptions!$C$44+Assumptions!$C$7/Assumptions!$C$26)/(Assumptions!$C$44+Assumptions!$C$7/H264),Assumptions!$C$26)</f>
        <v>57.64058887548903</v>
      </c>
      <c r="I265" s="14">
        <f>IF(I264&lt;Assumptions!$C$26,Assumptions!$C$26*(Assumptions!$C$44+Assumptions!$C$7/Assumptions!$C$26)/(Assumptions!$C$44+Assumptions!$C$7/I264),Assumptions!$C$26)</f>
        <v>57.64058886415607</v>
      </c>
      <c r="J265" s="14">
        <f>IF(J264&lt;Assumptions!$C$26,Assumptions!$C$26*(Assumptions!$C$44+Assumptions!$C$7/Assumptions!$C$26)/(Assumptions!$C$44+Assumptions!$C$7/J264),Assumptions!$C$26)</f>
        <v>57.64058886398406</v>
      </c>
      <c r="K265" s="14">
        <f>IF(K264&lt;Assumptions!$C$26,Assumptions!$C$26*(Assumptions!$C$44+Assumptions!$C$7/Assumptions!$C$26)/(Assumptions!$C$44+Assumptions!$C$7/K264),Assumptions!$C$26)</f>
        <v>57.64058886398144</v>
      </c>
      <c r="L265" s="14">
        <f>IF(L264&lt;Assumptions!$C$26,Assumptions!$C$26*(Assumptions!$C$44+Assumptions!$C$7/Assumptions!$C$26)/(Assumptions!$C$44+Assumptions!$C$7/L264),Assumptions!$C$26)</f>
        <v>57.6405888639814</v>
      </c>
      <c r="M265" s="14">
        <f>IF(M264&lt;Assumptions!$C$26,Assumptions!$C$26*(Assumptions!$C$44+Assumptions!$C$7/Assumptions!$C$26)/(Assumptions!$C$44+Assumptions!$C$7/M264),Assumptions!$C$26)</f>
        <v>57.6405888639814</v>
      </c>
    </row>
    <row r="266" spans="2:13" x14ac:dyDescent="0.25">
      <c r="B266" s="15" t="s">
        <v>228</v>
      </c>
      <c r="D266" s="14">
        <f>Assumptions!$C$40*Assumptions!$C$27/D265-Assumptions!$C$39</f>
        <v>6972.8859247963</v>
      </c>
      <c r="E266" s="14">
        <f>Assumptions!$C$40*Assumptions!$C$27/E265-Assumptions!$C$39</f>
        <v>14164.617314294</v>
      </c>
      <c r="F266" s="14">
        <f>Assumptions!$C$40*Assumptions!$C$27/F265-Assumptions!$C$39</f>
        <v>14260.43110967</v>
      </c>
      <c r="G266" s="14">
        <f>Assumptions!$C$40*Assumptions!$C$27/G265-Assumptions!$C$39</f>
        <v>14261.91519321</v>
      </c>
      <c r="H266" s="14">
        <f>Assumptions!$C$40*Assumptions!$C$27/H265-Assumptions!$C$39</f>
        <v>14261.9376549</v>
      </c>
      <c r="I266" s="14">
        <f>Assumptions!$C$40*Assumptions!$C$27/I265-Assumptions!$C$39</f>
        <v>14261.9379960038</v>
      </c>
      <c r="J266" s="14">
        <f>Assumptions!$C$40*Assumptions!$C$27/J265-Assumptions!$C$39</f>
        <v>14261.938001181</v>
      </c>
      <c r="K266" s="14">
        <f>Assumptions!$C$40*Assumptions!$C$27/K265-Assumptions!$C$39</f>
        <v>14261.9380012597</v>
      </c>
      <c r="L266" s="14">
        <f>Assumptions!$C$40*Assumptions!$C$27/L265-Assumptions!$C$39</f>
        <v>14261.9380012609</v>
      </c>
      <c r="M266" s="14">
        <f>Assumptions!$C$40*Assumptions!$C$27/M265-Assumptions!$C$39</f>
        <v>14261.9380012609</v>
      </c>
    </row>
    <row r="267" spans="2:13" x14ac:dyDescent="0.25">
      <c r="B267" s="5" t="s">
        <v>229</v>
      </c>
      <c r="D267" s="14">
        <f>IF(D264&lt;Assumptions!$C$28,Assumptions!$C$28*(Assumptions!$C$44+Assumptions!$C$7/Assumptions!$C$28)/(Assumptions!$C$44+Assumptions!$C$7/D264),Assumptions!$C$28)</f>
        <v>49.08395844489023</v>
      </c>
      <c r="E267" s="14">
        <f>IF(E264&lt;Assumptions!$C$28,Assumptions!$C$28*(Assumptions!$C$44+Assumptions!$C$7/Assumptions!$C$28)/(Assumptions!$C$44+Assumptions!$C$7/E264),Assumptions!$C$28)</f>
        <v>48.88047657355434</v>
      </c>
      <c r="F267" s="14">
        <f>IF(F264&lt;Assumptions!$C$28,Assumptions!$C$28*(Assumptions!$C$44+Assumptions!$C$7/Assumptions!$C$28)/(Assumptions!$C$44+Assumptions!$C$7/F264),Assumptions!$C$28)</f>
        <v>48.877777018588226</v>
      </c>
      <c r="G267" s="14">
        <f>IF(G264&lt;Assumptions!$C$28,Assumptions!$C$28*(Assumptions!$C$44+Assumptions!$C$7/Assumptions!$C$28)/(Assumptions!$C$44+Assumptions!$C$7/G264),Assumptions!$C$28)</f>
        <v>48.877735206859704</v>
      </c>
      <c r="H267" s="14">
        <f>IF(H264&lt;Assumptions!$C$28,Assumptions!$C$28*(Assumptions!$C$44+Assumptions!$C$7/Assumptions!$C$28)/(Assumptions!$C$44+Assumptions!$C$7/H264),Assumptions!$C$28)</f>
        <v>48.87773457403733</v>
      </c>
      <c r="I267" s="14">
        <f>IF(I264&lt;Assumptions!$C$28,Assumptions!$C$28*(Assumptions!$C$44+Assumptions!$C$7/Assumptions!$C$28)/(Assumptions!$C$44+Assumptions!$C$7/I264),Assumptions!$C$28)</f>
        <v>48.87773456442727</v>
      </c>
      <c r="J267" s="14">
        <f>IF(J264&lt;Assumptions!$C$28,Assumptions!$C$28*(Assumptions!$C$44+Assumptions!$C$7/Assumptions!$C$28)/(Assumptions!$C$44+Assumptions!$C$7/J264),Assumptions!$C$28)</f>
        <v>48.87773456428141</v>
      </c>
      <c r="K267" s="14">
        <f>IF(K264&lt;Assumptions!$C$28,Assumptions!$C$28*(Assumptions!$C$44+Assumptions!$C$7/Assumptions!$C$28)/(Assumptions!$C$44+Assumptions!$C$7/K264),Assumptions!$C$28)</f>
        <v>48.877734564279194</v>
      </c>
      <c r="L267" s="14">
        <f>IF(L264&lt;Assumptions!$C$28,Assumptions!$C$28*(Assumptions!$C$44+Assumptions!$C$7/Assumptions!$C$28)/(Assumptions!$C$44+Assumptions!$C$7/L264),Assumptions!$C$28)</f>
        <v>48.87773456427916</v>
      </c>
      <c r="M267" s="14">
        <f>IF(M264&lt;Assumptions!$C$28,Assumptions!$C$28*(Assumptions!$C$44+Assumptions!$C$7/Assumptions!$C$28)/(Assumptions!$C$44+Assumptions!$C$7/M264),Assumptions!$C$28)</f>
        <v>48.87773456427916</v>
      </c>
    </row>
    <row r="268" spans="2:13" x14ac:dyDescent="0.25">
      <c r="B268" s="15" t="s">
        <v>230</v>
      </c>
      <c r="D268" s="14">
        <f>Assumptions!$C$41*Assumptions!$C$28/D267-Assumptions!$C$41</f>
        <v>9244.341711835</v>
      </c>
      <c r="E268" s="14">
        <f>Assumptions!$C$41*Assumptions!$C$28/E267-Assumptions!$C$41</f>
        <v>34687.2842612825</v>
      </c>
      <c r="F268" s="14">
        <f>Assumptions!$C$41*Assumptions!$C$28/F267-Assumptions!$C$41</f>
        <v>35026.254776054</v>
      </c>
      <c r="G268" s="14">
        <f>Assumptions!$C$41*Assumptions!$C$28/G267-Assumptions!$C$41</f>
        <v>35031.505174073</v>
      </c>
      <c r="H268" s="14">
        <f>Assumptions!$C$41*Assumptions!$C$28/H267-Assumptions!$C$41</f>
        <v>35031.584639151</v>
      </c>
      <c r="I268" s="14">
        <f>Assumptions!$C$41*Assumptions!$C$28/I267-Assumptions!$C$41</f>
        <v>35031.58584591</v>
      </c>
      <c r="J268" s="14">
        <f>Assumptions!$C$41*Assumptions!$C$28/J267-Assumptions!$C$41</f>
        <v>35031.585864225</v>
      </c>
      <c r="K268" s="14">
        <f>Assumptions!$C$41*Assumptions!$C$28/K267-Assumptions!$C$41</f>
        <v>35031.585864504</v>
      </c>
      <c r="L268" s="14">
        <f>Assumptions!$C$41*Assumptions!$C$28/L267-Assumptions!$C$41</f>
        <v>35031.5858645085</v>
      </c>
      <c r="M268" s="14">
        <f>Assumptions!$C$41*Assumptions!$C$28/M267-Assumptions!$C$41</f>
        <v>35031.5858645085</v>
      </c>
    </row>
    <row r="269" spans="2:13" x14ac:dyDescent="0.25">
      <c r="B269" s="5" t="s">
        <v>231</v>
      </c>
      <c r="D269" s="14">
        <f>Assumptions!$C$44+D266+D268</f>
        <v>36634178.22763663</v>
      </c>
      <c r="E269" s="14">
        <f>Assumptions!$C$44+E266+E268</f>
        <v>36666812.90157557</v>
      </c>
      <c r="F269" s="14">
        <f>Assumptions!$C$44+F266+F268</f>
        <v>36667247.68588573</v>
      </c>
      <c r="G269" s="14">
        <f>Assumptions!$C$44+G266+G268</f>
        <v>36667254.420367286</v>
      </c>
      <c r="H269" s="14">
        <f>Assumptions!$C$44+H266+H268</f>
        <v>36667254.52229405</v>
      </c>
      <c r="I269" s="14">
        <f>Assumptions!$C$44+I266+I268</f>
        <v>36667254.52384192</v>
      </c>
      <c r="J269" s="14">
        <f>Assumptions!$C$44+J266+J268</f>
        <v>36667254.5238654</v>
      </c>
      <c r="K269" s="14">
        <f>Assumptions!$C$44+K266+K268</f>
        <v>36667254.52386577</v>
      </c>
      <c r="L269" s="14">
        <f>Assumptions!$C$44+L266+L268</f>
        <v>36667254.52386577</v>
      </c>
      <c r="M269" s="14">
        <f>Assumptions!$C$44+M266+M268</f>
        <v>36667254.52386577</v>
      </c>
    </row>
    <row r="270" spans="2:13" x14ac:dyDescent="0.25">
      <c r="B270" s="5" t="s">
        <v>232</v>
      </c>
      <c r="D270" s="14">
        <f>Assumptions!$C$7/D264</f>
        <v>666666.6666666666</v>
      </c>
      <c r="E270" s="14">
        <f>Assumptions!$C$7/E264</f>
        <v>821876.8107056429</v>
      </c>
      <c r="F270" s="14">
        <f>Assumptions!$C$7/F264</f>
        <v>823944.6400190298</v>
      </c>
      <c r="G270" s="14">
        <f>Assumptions!$C$7/G264</f>
        <v>823976.6691379622</v>
      </c>
      <c r="H270" s="14">
        <f>Assumptions!$C$7/H264</f>
        <v>823977.1539005195</v>
      </c>
      <c r="I270" s="14">
        <f>Assumptions!$C$7/I264</f>
        <v>823977.1612621376</v>
      </c>
      <c r="J270" s="14">
        <f>Assumptions!$C$7/J264</f>
        <v>823977.1613738767</v>
      </c>
      <c r="K270" s="14">
        <f>Assumptions!$C$7/K264</f>
        <v>823977.1613755723</v>
      </c>
      <c r="L270" s="14">
        <f>Assumptions!$C$7/L264</f>
        <v>823977.1613755984</v>
      </c>
      <c r="M270" s="14">
        <f>Assumptions!$C$7/M264</f>
        <v>823977.1613755985</v>
      </c>
    </row>
    <row r="271" spans="2:13" x14ac:dyDescent="0.25">
      <c r="B271" s="15" t="s">
        <v>233</v>
      </c>
      <c r="D271" s="14">
        <f>Assumptions!$C$48/(D269+0+0)</f>
        <v>27.296913657683888</v>
      </c>
      <c r="E271" s="14">
        <f>Assumptions!$C$48/(E269+D279+D278)</f>
        <v>26.175464907883203</v>
      </c>
      <c r="F271" s="14">
        <f>Assumptions!$C$48/(F269+E279+E278)</f>
        <v>26.136844204605335</v>
      </c>
      <c r="G271" s="14">
        <f>Assumptions!$C$48/(G269+F279+F278)</f>
        <v>26.1363083738437</v>
      </c>
      <c r="H271" s="14">
        <f>Assumptions!$C$48/(H269+G279+G278)</f>
        <v>26.136300130276783</v>
      </c>
      <c r="I271" s="14">
        <f>Assumptions!$C$48/(I269+H279+H278)</f>
        <v>26.13630000538826</v>
      </c>
      <c r="J271" s="14">
        <f>Assumptions!$C$48/(J269+I279+I278)</f>
        <v>26.13630000349198</v>
      </c>
      <c r="K271" s="14">
        <f>Assumptions!$C$48/(K269+J279+J278)</f>
        <v>26.136300003463187</v>
      </c>
      <c r="L271" s="14">
        <f>Assumptions!$C$48/(L269+K279+K278)</f>
        <v>26.136300003462754</v>
      </c>
      <c r="M271" s="14">
        <f>Assumptions!$C$48/(M269+L279+L278)</f>
        <v>26.136300003462747</v>
      </c>
    </row>
    <row r="272" spans="2:13" x14ac:dyDescent="0.25">
      <c r="B272" s="15" t="s">
        <v>234</v>
      </c>
      <c r="D272" s="14">
        <f>D264*(1-Assumptions!$C$49)</f>
        <v>36</v>
      </c>
      <c r="E272" s="14">
        <f>E264*(1-Assumptions!$C$49)</f>
        <v>29.201456577652067</v>
      </c>
      <c r="F272" s="14">
        <f>F264*(1-Assumptions!$C$49)</f>
        <v>29.12817055214498</v>
      </c>
      <c r="G272" s="14">
        <f>G264*(1-Assumptions!$C$49)</f>
        <v>29.127038299650657</v>
      </c>
      <c r="H272" s="14">
        <f>H264*(1-Assumptions!$C$49)</f>
        <v>29.127021163620235</v>
      </c>
      <c r="I272" s="14">
        <f>I264*(1-Assumptions!$C$49)</f>
        <v>29.127020903392143</v>
      </c>
      <c r="J272" s="14">
        <f>J264*(1-Assumptions!$C$49)</f>
        <v>29.127020899442243</v>
      </c>
      <c r="K272" s="14">
        <f>K264*(1-Assumptions!$C$49)</f>
        <v>29.127020899382305</v>
      </c>
      <c r="L272" s="14">
        <f>L264*(1-Assumptions!$C$49)</f>
        <v>29.12702089938138</v>
      </c>
      <c r="M272" s="14">
        <f>M264*(1-Assumptions!$C$49)</f>
        <v>29.127020899381375</v>
      </c>
    </row>
    <row r="273" spans="2:13" x14ac:dyDescent="0.25">
      <c r="B273" s="15" t="s">
        <v>235</v>
      </c>
      <c r="D273" s="14">
        <f>MIN(D271,D272)</f>
        <v>27.296913657683888</v>
      </c>
      <c r="E273" s="14">
        <f>MIN(E271,E272)</f>
        <v>26.175464907883203</v>
      </c>
      <c r="F273" s="14">
        <f>MIN(F271,F272)</f>
        <v>26.136844204605335</v>
      </c>
      <c r="G273" s="14">
        <f>MIN(G271,G272)</f>
        <v>26.1363083738437</v>
      </c>
      <c r="H273" s="14">
        <f>MIN(H271,H272)</f>
        <v>26.136300130276783</v>
      </c>
      <c r="I273" s="14">
        <f>MIN(I271,I272)</f>
        <v>26.13630000538826</v>
      </c>
      <c r="J273" s="14">
        <f>MIN(J271,J272)</f>
        <v>26.13630000349198</v>
      </c>
      <c r="K273" s="14">
        <f>MIN(K271,K272)</f>
        <v>26.136300003463187</v>
      </c>
      <c r="L273" s="14">
        <f>MIN(L271,L272)</f>
        <v>26.136300003462754</v>
      </c>
      <c r="M273" s="14">
        <f>MIN(M271,M272)</f>
        <v>26.136300003462747</v>
      </c>
    </row>
    <row r="274" spans="2:13" x14ac:dyDescent="0.25">
      <c r="B274" s="15" t="s">
        <v>236</v>
      </c>
      <c r="D274" s="14">
        <f>Assumptions!$C$47/D273</f>
        <v>183170.89113818313</v>
      </c>
      <c r="E274" s="14">
        <f>Assumptions!$C$47/E273</f>
        <v>191018.57474532045</v>
      </c>
      <c r="F274" s="14">
        <f>Assumptions!$C$47/F273</f>
        <v>191300.8303855978</v>
      </c>
      <c r="G274" s="14">
        <f>Assumptions!$C$47/G273</f>
        <v>191304.75231933765</v>
      </c>
      <c r="H274" s="14">
        <f>Assumptions!$C$47/H273</f>
        <v>191304.81265815836</v>
      </c>
      <c r="I274" s="14">
        <f>Assumptions!$C$47/I273</f>
        <v>191304.8135722807</v>
      </c>
      <c r="J274" s="14">
        <f>Assumptions!$C$47/J273</f>
        <v>191304.81358616054</v>
      </c>
      <c r="K274" s="14">
        <f>Assumptions!$C$47/K273</f>
        <v>191304.81358637128</v>
      </c>
      <c r="L274" s="14">
        <f>Assumptions!$C$47/L273</f>
        <v>191304.81358637445</v>
      </c>
      <c r="M274" s="14">
        <f>Assumptions!$C$47/M273</f>
        <v>191304.8135863745</v>
      </c>
    </row>
    <row r="275" spans="2:13" x14ac:dyDescent="0.25">
      <c r="B275" s="15" t="s">
        <v>237</v>
      </c>
      <c r="D275" s="14">
        <f>Assumptions!$C$51/(D269+0+0)</f>
        <v>43.67506185229422</v>
      </c>
      <c r="E275" s="14">
        <f>Assumptions!$C$51/(E269+D279+D274)</f>
        <v>41.76623730281268</v>
      </c>
      <c r="F275" s="14">
        <f>Assumptions!$C$51/(F269+E279+E274)</f>
        <v>41.716103223028966</v>
      </c>
      <c r="G275" s="14">
        <f>Assumptions!$C$51/(G269+F279+F274)</f>
        <v>41.715207709130134</v>
      </c>
      <c r="H275" s="14">
        <f>Assumptions!$C$51/(H269+G279+G274)</f>
        <v>41.71519441696997</v>
      </c>
      <c r="I275" s="14">
        <f>Assumptions!$C$51/(I269+H279+H274)</f>
        <v>41.71519421453267</v>
      </c>
      <c r="J275" s="14">
        <f>Assumptions!$C$51/(J269+I279+I274)</f>
        <v>41.71519421146128</v>
      </c>
      <c r="K275" s="14">
        <f>Assumptions!$C$51/(K269+J279+J274)</f>
        <v>41.715194211414634</v>
      </c>
      <c r="L275" s="14">
        <f>Assumptions!$C$51/(L269+K279+K274)</f>
        <v>41.71519421141394</v>
      </c>
      <c r="M275" s="14">
        <f>Assumptions!$C$51/(M269+L279+L274)</f>
        <v>41.71519421141392</v>
      </c>
    </row>
    <row r="276" spans="2:13" x14ac:dyDescent="0.25">
      <c r="B276" s="15" t="s">
        <v>238</v>
      </c>
      <c r="D276" s="14">
        <f>D264*(1-Assumptions!$C$52)</f>
        <v>38.25</v>
      </c>
      <c r="E276" s="14">
        <f>E264*(1-Assumptions!$C$52)</f>
        <v>31.026547613755323</v>
      </c>
      <c r="F276" s="14">
        <f>F264*(1-Assumptions!$C$52)</f>
        <v>30.94868121165404</v>
      </c>
      <c r="G276" s="14">
        <f>G264*(1-Assumptions!$C$52)</f>
        <v>30.94747819337882</v>
      </c>
      <c r="H276" s="14">
        <f>H264*(1-Assumptions!$C$52)</f>
        <v>30.9474599863465</v>
      </c>
      <c r="I276" s="14">
        <f>I264*(1-Assumptions!$C$52)</f>
        <v>30.947459709854154</v>
      </c>
      <c r="J276" s="14">
        <f>J264*(1-Assumptions!$C$52)</f>
        <v>30.947459705657383</v>
      </c>
      <c r="K276" s="14">
        <f>K264*(1-Assumptions!$C$52)</f>
        <v>30.947459705593698</v>
      </c>
      <c r="L276" s="14">
        <f>L264*(1-Assumptions!$C$52)</f>
        <v>30.947459705592717</v>
      </c>
      <c r="M276" s="14">
        <f>M264*(1-Assumptions!$C$52)</f>
        <v>30.947459705592713</v>
      </c>
    </row>
    <row r="277" spans="2:13" x14ac:dyDescent="0.25">
      <c r="B277" s="15" t="s">
        <v>239</v>
      </c>
      <c r="D277" s="14">
        <f>MIN(D275,D276)</f>
        <v>38.25</v>
      </c>
      <c r="E277" s="14">
        <f>MIN(E275,E276)</f>
        <v>31.026547613755323</v>
      </c>
      <c r="F277" s="14">
        <f>MIN(F275,F276)</f>
        <v>30.94868121165404</v>
      </c>
      <c r="G277" s="14">
        <f>MIN(G275,G276)</f>
        <v>30.94747819337882</v>
      </c>
      <c r="H277" s="14">
        <f>MIN(H275,H276)</f>
        <v>30.9474599863465</v>
      </c>
      <c r="I277" s="14">
        <f>MIN(I275,I276)</f>
        <v>30.947459709854154</v>
      </c>
      <c r="J277" s="14">
        <f>MIN(J275,J276)</f>
        <v>30.947459705657383</v>
      </c>
      <c r="K277" s="14">
        <f>MIN(K275,K276)</f>
        <v>30.947459705593698</v>
      </c>
      <c r="L277" s="14">
        <f>MIN(L275,L276)</f>
        <v>30.947459705592717</v>
      </c>
      <c r="M277" s="14">
        <f>MIN(M275,M276)</f>
        <v>30.947459705592713</v>
      </c>
    </row>
    <row r="278" spans="2:13" x14ac:dyDescent="0.25">
      <c r="B278" s="15" t="s">
        <v>240</v>
      </c>
      <c r="D278" s="14">
        <f>Assumptions!$C$50/D277</f>
        <v>78431.37254901961</v>
      </c>
      <c r="E278" s="14">
        <f>Assumptions!$C$50/E277</f>
        <v>96691.38949478151</v>
      </c>
      <c r="F278" s="14">
        <f>Assumptions!$C$50/F277</f>
        <v>96934.66353165057</v>
      </c>
      <c r="G278" s="14">
        <f>Assumptions!$C$50/G277</f>
        <v>96938.43166328967</v>
      </c>
      <c r="H278" s="14">
        <f>Assumptions!$C$50/H277</f>
        <v>96938.48869417877</v>
      </c>
      <c r="I278" s="14">
        <f>Assumptions!$C$50/I277</f>
        <v>96938.48956025147</v>
      </c>
      <c r="J278" s="14">
        <f>Assumptions!$C$50/J277</f>
        <v>96938.48957339725</v>
      </c>
      <c r="K278" s="14">
        <f>Assumptions!$C$50/K277</f>
        <v>96938.48957359674</v>
      </c>
      <c r="L278" s="14">
        <f>Assumptions!$C$50/L277</f>
        <v>96938.48957359981</v>
      </c>
      <c r="M278" s="14">
        <f>Assumptions!$C$50/M277</f>
        <v>96938.48957359983</v>
      </c>
    </row>
    <row r="279" spans="2:13" x14ac:dyDescent="0.25">
      <c r="B279" s="5" t="s">
        <v>88</v>
      </c>
      <c r="D279" s="14">
        <f>MAX(0,(Assumptions!$C$61*(D269+D274+D278+D270)-Assumptions!$C$56)/(1-Assumptions!$C$61))</f>
        <v>1458470.6749395</v>
      </c>
      <c r="E279" s="14">
        <f>MAX(0,(Assumptions!$C$61*(E269+E274+E278+E270)-Assumptions!$C$56)/(1-Assumptions!$C$61))</f>
        <v>1496227.0017390554</v>
      </c>
      <c r="F279" s="14">
        <f>MAX(0,(Assumptions!$C$61*(F269+F274+F278+F270)-Assumptions!$C$56)/(1-Assumptions!$C$61))</f>
        <v>1496761.3799685894</v>
      </c>
      <c r="G279" s="14">
        <f>MAX(0,(Assumptions!$C$61*(G269+G274+G278+G270)-Assumptions!$C$56)/(1-Assumptions!$C$61))</f>
        <v>1496769.5776743295</v>
      </c>
      <c r="H279" s="14">
        <f>MAX(0,(Assumptions!$C$61*(H269+H274+H278+H270)-Assumptions!$C$56)/(1-Assumptions!$C$61))</f>
        <v>1496769.701920041</v>
      </c>
      <c r="I279" s="14">
        <f>MAX(0,(Assumptions!$C$61*(I269+I274+I278+I270)-Assumptions!$C$56)/(1-Assumptions!$C$61))</f>
        <v>1496769.7038064564</v>
      </c>
      <c r="J279" s="14">
        <f>MAX(0,(Assumptions!$C$61*(J269+J274+J278+J270)-Assumptions!$C$56)/(1-Assumptions!$C$61))</f>
        <v>1496769.7038350895</v>
      </c>
      <c r="K279" s="14">
        <f>MAX(0,(Assumptions!$C$61*(K269+K274+K278+K270)-Assumptions!$C$56)/(1-Assumptions!$C$61))</f>
        <v>1496769.7038355246</v>
      </c>
      <c r="L279" s="14">
        <f>MAX(0,(Assumptions!$C$61*(L269+L274+L278+L270)-Assumptions!$C$56)/(1-Assumptions!$C$61))</f>
        <v>1496769.7038355307</v>
      </c>
      <c r="M279" s="14">
        <f>MAX(0,(Assumptions!$C$61*(M269+M274+M278+M270)-Assumptions!$C$56)/(1-Assumptions!$C$61))</f>
        <v>1496769.7038355307</v>
      </c>
    </row>
    <row r="280" spans="2:13" x14ac:dyDescent="0.25">
      <c r="B280" s="9" t="s">
        <v>241</v>
      </c>
      <c r="D280" s="14">
        <f>D269+D279+D274+D278+D270</f>
        <v>39020917.83293</v>
      </c>
      <c r="E280" s="14">
        <f>E269+E279+E274+E278+E270</f>
        <v>39272626.67826037</v>
      </c>
      <c r="F280" s="14">
        <f>F269+F279+F274+F278+F270</f>
        <v>39276189.1997906</v>
      </c>
      <c r="G280" s="14">
        <f>G269+G279+G274+G278+G270</f>
        <v>39276243.8511622</v>
      </c>
      <c r="H280" s="14">
        <f>H269+H279+H274+H278+H270</f>
        <v>39276244.67946694</v>
      </c>
      <c r="I280" s="14">
        <f>I269+I279+I274+I278+I270</f>
        <v>39276244.69204305</v>
      </c>
      <c r="J280" s="14">
        <f>J269+J279+J274+J278+J270</f>
        <v>39276244.69223392</v>
      </c>
      <c r="K280" s="14">
        <f>K269+K279+K274+K278+K270</f>
        <v>39276244.69223683</v>
      </c>
      <c r="L280" s="14">
        <f>L269+L279+L274+L278+L270</f>
        <v>39276244.69223687</v>
      </c>
      <c r="M280" s="14">
        <f>M269+M279+M274+M278+M270</f>
        <v>39276244.69223687</v>
      </c>
    </row>
    <row r="281" spans="2:13" x14ac:dyDescent="0.25">
      <c r="B281" s="5" t="s">
        <v>242</v>
      </c>
      <c r="D281" s="14">
        <f>D280-D270</f>
        <v>38354251.166263334</v>
      </c>
      <c r="E281" s="14">
        <f>E280-E270</f>
        <v>38450749.867554724</v>
      </c>
      <c r="F281" s="14">
        <f>F280-F270</f>
        <v>38452244.55977157</v>
      </c>
      <c r="G281" s="14">
        <f>G280-G270</f>
        <v>38452267.18202424</v>
      </c>
      <c r="H281" s="14">
        <f>H280-H270</f>
        <v>38452267.52556642</v>
      </c>
      <c r="I281" s="14">
        <f>I280-I270</f>
        <v>38452267.53078091</v>
      </c>
      <c r="J281" s="14">
        <f>J280-J270</f>
        <v>38452267.530860044</v>
      </c>
      <c r="K281" s="14">
        <f>K280-K270</f>
        <v>38452267.53086126</v>
      </c>
      <c r="L281" s="14">
        <f>L280-L270</f>
        <v>38452267.53086127</v>
      </c>
      <c r="M281" s="14">
        <f>M280-M270</f>
        <v>38452267.53086127</v>
      </c>
    </row>
    <row r="282" spans="2:13" x14ac:dyDescent="0.25">
      <c r="B282" s="9" t="s">
        <v>91</v>
      </c>
      <c r="D282" s="14">
        <f>Assumptions!$C$63/D281</f>
        <v>36.501820722065084</v>
      </c>
      <c r="E282" s="14">
        <f>Assumptions!$C$63/E281</f>
        <v>36.410213190181224</v>
      </c>
      <c r="F282" s="14">
        <f>Assumptions!$C$63/F281</f>
        <v>36.40879787456332</v>
      </c>
      <c r="G282" s="14">
        <f>Assumptions!$C$63/G281</f>
        <v>36.408776454525295</v>
      </c>
      <c r="H282" s="14">
        <f>Assumptions!$C$63/H281</f>
        <v>36.40877612924018</v>
      </c>
      <c r="I282" s="14">
        <f>Assumptions!$C$63/I281</f>
        <v>36.408776124302804</v>
      </c>
      <c r="J282" s="14">
        <f>Assumptions!$C$63/J281</f>
        <v>36.40877612422788</v>
      </c>
      <c r="K282" s="14">
        <f>Assumptions!$C$63/K281</f>
        <v>36.408776124226726</v>
      </c>
      <c r="L282" s="14">
        <f>Assumptions!$C$63/L281</f>
        <v>36.40877612422672</v>
      </c>
      <c r="M282" s="14">
        <f>Assumptions!$C$63/M281</f>
        <v>36.40877612422672</v>
      </c>
    </row>
    <row r="284" spans="2:8" x14ac:dyDescent="0.25">
      <c r="B284" s="5" t="s">
        <v>243</v>
      </c>
      <c r="D284" s="11">
        <f>Assumptions!$C$17+Assumptions!$C$42*Assumptions!$C$55</f>
        <v>2002500000</v>
      </c>
      <c r="E284" s="11">
        <f>Assumptions!$C$17+Assumptions!$C$42*Assumptions!$C$55</f>
        <v>2002500000</v>
      </c>
      <c r="F284" s="11">
        <f>Assumptions!$C$17+Assumptions!$C$42*Assumptions!$C$55</f>
        <v>2002500000</v>
      </c>
      <c r="G284" s="11">
        <f>Assumptions!$C$17+Assumptions!$C$42*Assumptions!$C$55</f>
        <v>2002500000</v>
      </c>
      <c r="H284" s="11">
        <f>Assumptions!$C$17+Assumptions!$C$42*Assumptions!$C$55</f>
        <v>2002500000</v>
      </c>
    </row>
    <row r="285" spans="2:8" x14ac:dyDescent="0.25">
      <c r="B285" s="15" t="s">
        <v>244</v>
      </c>
      <c r="D285" s="14" t="b">
        <v>0</v>
      </c>
      <c r="E285" s="14">
        <f>Assumptions!$C$7&gt;D296</f>
        <v>0</v>
      </c>
      <c r="F285" s="14">
        <f>Assumptions!$C$7&gt;E296</f>
        <v>0</v>
      </c>
      <c r="G285" s="14">
        <f>Assumptions!$C$7&gt;F296</f>
        <v>0</v>
      </c>
      <c r="H285" s="14">
        <f>Assumptions!$C$7&gt;G296</f>
        <v>0</v>
      </c>
    </row>
    <row r="286" spans="2:8" x14ac:dyDescent="0.25">
      <c r="B286" s="15" t="s">
        <v>245</v>
      </c>
      <c r="D286" s="14" t="b">
        <v>0</v>
      </c>
      <c r="E286" s="14">
        <f>Assumptions!$C$41*Assumptions!$C$28&gt;D297</f>
        <v>0</v>
      </c>
      <c r="F286" s="14">
        <f>Assumptions!$C$41*Assumptions!$C$28&gt;E297</f>
        <v>0</v>
      </c>
      <c r="G286" s="14">
        <f>Assumptions!$C$41*Assumptions!$C$28&gt;F297</f>
        <v>0</v>
      </c>
      <c r="H286" s="14">
        <f>Assumptions!$C$41*Assumptions!$C$28&gt;G297</f>
        <v>0</v>
      </c>
    </row>
    <row r="287" spans="2:8" x14ac:dyDescent="0.25">
      <c r="B287" s="15" t="s">
        <v>246</v>
      </c>
      <c r="D287" s="14" t="b">
        <v>0</v>
      </c>
      <c r="E287" s="14">
        <f>Assumptions!$C$40*Assumptions!$C$27&gt;D298</f>
        <v>1</v>
      </c>
      <c r="F287" s="14">
        <f>Assumptions!$C$40*Assumptions!$C$27&gt;E298</f>
        <v>1</v>
      </c>
      <c r="G287" s="14">
        <f>Assumptions!$C$40*Assumptions!$C$27&gt;F298</f>
        <v>1</v>
      </c>
      <c r="H287" s="14">
        <f>Assumptions!$C$40*Assumptions!$C$27&gt;G298</f>
        <v>1</v>
      </c>
    </row>
    <row r="288" spans="2:8" x14ac:dyDescent="0.25">
      <c r="B288" s="15" t="s">
        <v>247</v>
      </c>
      <c r="D288" s="14" t="b">
        <v>0</v>
      </c>
      <c r="E288" s="14">
        <f>Assumptions!$C$38*Assumptions!$C$25&gt;D299</f>
        <v>0</v>
      </c>
      <c r="F288" s="14">
        <f>Assumptions!$C$38*Assumptions!$C$25&gt;E299</f>
        <v>0</v>
      </c>
      <c r="G288" s="14">
        <f>Assumptions!$C$38*Assumptions!$C$25&gt;F299</f>
        <v>0</v>
      </c>
      <c r="H288" s="14">
        <f>Assumptions!$C$38*Assumptions!$C$25&gt;G299</f>
        <v>0</v>
      </c>
    </row>
    <row r="289" spans="2:8" x14ac:dyDescent="0.25">
      <c r="B289" s="15" t="s">
        <v>248</v>
      </c>
      <c r="D289" s="14" t="b">
        <v>0</v>
      </c>
      <c r="E289" s="14">
        <f>Assumptions!$C$37*Assumptions!$C$24&gt;D300</f>
        <v>0</v>
      </c>
      <c r="F289" s="14">
        <f>Assumptions!$C$37*Assumptions!$C$24&gt;E300</f>
        <v>0</v>
      </c>
      <c r="G289" s="14">
        <f>Assumptions!$C$37*Assumptions!$C$24&gt;F300</f>
        <v>0</v>
      </c>
      <c r="H289" s="14">
        <f>Assumptions!$C$37*Assumptions!$C$24&gt;G300</f>
        <v>0</v>
      </c>
    </row>
    <row r="290" spans="2:8" x14ac:dyDescent="0.25">
      <c r="B290" s="15" t="s">
        <v>249</v>
      </c>
      <c r="D290" s="14" t="b">
        <v>0</v>
      </c>
      <c r="E290" s="14">
        <f>Assumptions!$C$36*Assumptions!$C$23&gt;D301</f>
        <v>0</v>
      </c>
      <c r="F290" s="14">
        <f>Assumptions!$C$36*Assumptions!$C$23&gt;E301</f>
        <v>0</v>
      </c>
      <c r="G290" s="14">
        <f>Assumptions!$C$36*Assumptions!$C$23&gt;F301</f>
        <v>0</v>
      </c>
      <c r="H290" s="14">
        <f>Assumptions!$C$36*Assumptions!$C$23&gt;G301</f>
        <v>0</v>
      </c>
    </row>
    <row r="291" spans="2:8" x14ac:dyDescent="0.25">
      <c r="B291" s="15" t="s">
        <v>250</v>
      </c>
      <c r="D291" s="14" t="b">
        <v>0</v>
      </c>
      <c r="E291" s="14">
        <f>Assumptions!$C$35*Assumptions!$C$22&gt;D302</f>
        <v>0</v>
      </c>
      <c r="F291" s="14">
        <f>Assumptions!$C$35*Assumptions!$C$22&gt;E302</f>
        <v>0</v>
      </c>
      <c r="G291" s="14">
        <f>Assumptions!$C$35*Assumptions!$C$22&gt;F302</f>
        <v>0</v>
      </c>
      <c r="H291" s="14">
        <f>Assumptions!$C$35*Assumptions!$C$22&gt;G302</f>
        <v>0</v>
      </c>
    </row>
    <row r="292" spans="2:8" x14ac:dyDescent="0.25">
      <c r="B292" s="5" t="s">
        <v>251</v>
      </c>
      <c r="D292" s="11">
        <f>IF(D285,Assumptions!$C$7,0)+IF(D286,Assumptions!$C$41*Assumptions!$C$28,0)+IF(D287,Assumptions!$C$40*Assumptions!$C$27,0)+IF(D288,Assumptions!$C$38*Assumptions!$C$25,0)+IF(D289,Assumptions!$C$37*Assumptions!$C$24,0)+IF(D290,Assumptions!$C$36*Assumptions!$C$23,0)+IF(D291,Assumptions!$C$35*Assumptions!$C$22,0)</f>
        <v>0</v>
      </c>
      <c r="E292" s="11">
        <f>IF(E285,Assumptions!$C$7,0)+IF(E286,Assumptions!$C$41*Assumptions!$C$28,0)+IF(E287,Assumptions!$C$40*Assumptions!$C$27,0)+IF(E288,Assumptions!$C$38*Assumptions!$C$25,0)+IF(E289,Assumptions!$C$37*Assumptions!$C$24,0)+IF(E290,Assumptions!$C$36*Assumptions!$C$23,0)+IF(E291,Assumptions!$C$35*Assumptions!$C$22,0)</f>
        <v>100000020</v>
      </c>
      <c r="F292" s="11">
        <f>IF(F285,Assumptions!$C$7,0)+IF(F286,Assumptions!$C$41*Assumptions!$C$28,0)+IF(F287,Assumptions!$C$40*Assumptions!$C$27,0)+IF(F288,Assumptions!$C$38*Assumptions!$C$25,0)+IF(F289,Assumptions!$C$37*Assumptions!$C$24,0)+IF(F290,Assumptions!$C$36*Assumptions!$C$23,0)+IF(F291,Assumptions!$C$35*Assumptions!$C$22,0)</f>
        <v>100000020</v>
      </c>
      <c r="G292" s="11">
        <f>IF(G285,Assumptions!$C$7,0)+IF(G286,Assumptions!$C$41*Assumptions!$C$28,0)+IF(G287,Assumptions!$C$40*Assumptions!$C$27,0)+IF(G288,Assumptions!$C$38*Assumptions!$C$25,0)+IF(G289,Assumptions!$C$37*Assumptions!$C$24,0)+IF(G290,Assumptions!$C$36*Assumptions!$C$23,0)+IF(G291,Assumptions!$C$35*Assumptions!$C$22,0)</f>
        <v>100000020</v>
      </c>
      <c r="H292" s="11">
        <f>IF(H285,Assumptions!$C$7,0)+IF(H286,Assumptions!$C$41*Assumptions!$C$28,0)+IF(H287,Assumptions!$C$40*Assumptions!$C$27,0)+IF(H288,Assumptions!$C$38*Assumptions!$C$25,0)+IF(H289,Assumptions!$C$37*Assumptions!$C$24,0)+IF(H290,Assumptions!$C$36*Assumptions!$C$23,0)+IF(H291,Assumptions!$C$35*Assumptions!$C$22,0)</f>
        <v>100000020</v>
      </c>
    </row>
    <row r="293" spans="2:8" x14ac:dyDescent="0.25">
      <c r="B293" s="5" t="s">
        <v>252</v>
      </c>
      <c r="D293" s="14">
        <f>IF(D285,0,M270)+IF(D286,0,Assumptions!$C$41*Assumptions!$C$28/M267)+IF(D287,0,Assumptions!$C$40*Assumptions!$C$27/M265)+IF(D288,0,Assumptions!$C$38)+IF(D289,0,Assumptions!$C$37)+IF(D290,0,Assumptions!$C$36)+IF(D291,0,Assumptions!$C$35)+((Assumptions!$C$31+Assumptions!$C$32+Assumptions!$C$33+Assumptions!$C$34)+M274+M278+Assumptions!$C$42)</f>
        <v>35884807.988401346</v>
      </c>
      <c r="E293" s="14">
        <f>IF(E285,0,M270)+IF(E286,0,Assumptions!$C$41*Assumptions!$C$28/M267)+IF(E287,0,Assumptions!$C$40*Assumptions!$C$27/M265)+IF(E288,0,Assumptions!$C$38)+IF(E289,0,Assumptions!$C$37)+IF(E290,0,Assumptions!$C$36)+IF(E291,0,Assumptions!$C$35)+((Assumptions!$C$31+Assumptions!$C$32+Assumptions!$C$33+Assumptions!$C$34)+M274+M278+Assumptions!$C$42)</f>
        <v>34149919.050400086</v>
      </c>
      <c r="F293" s="14">
        <f>IF(F285,0,M270)+IF(F286,0,Assumptions!$C$41*Assumptions!$C$28/M267)+IF(F287,0,Assumptions!$C$40*Assumptions!$C$27/M265)+IF(F288,0,Assumptions!$C$38)+IF(F289,0,Assumptions!$C$37)+IF(F290,0,Assumptions!$C$36)+IF(F291,0,Assumptions!$C$35)+((Assumptions!$C$31+Assumptions!$C$32+Assumptions!$C$33+Assumptions!$C$34)+M274+M278+Assumptions!$C$42)</f>
        <v>34149919.050400086</v>
      </c>
      <c r="G293" s="14">
        <f>IF(G285,0,M270)+IF(G286,0,Assumptions!$C$41*Assumptions!$C$28/M267)+IF(G287,0,Assumptions!$C$40*Assumptions!$C$27/M265)+IF(G288,0,Assumptions!$C$38)+IF(G289,0,Assumptions!$C$37)+IF(G290,0,Assumptions!$C$36)+IF(G291,0,Assumptions!$C$35)+((Assumptions!$C$31+Assumptions!$C$32+Assumptions!$C$33+Assumptions!$C$34)+M274+M278+Assumptions!$C$42)</f>
        <v>34149919.050400086</v>
      </c>
      <c r="H293" s="14">
        <f>IF(H285,0,M270)+IF(H286,0,Assumptions!$C$41*Assumptions!$C$28/M267)+IF(H287,0,Assumptions!$C$40*Assumptions!$C$27/M265)+IF(H288,0,Assumptions!$C$38)+IF(H289,0,Assumptions!$C$37)+IF(H290,0,Assumptions!$C$36)+IF(H291,0,Assumptions!$C$35)+((Assumptions!$C$31+Assumptions!$C$32+Assumptions!$C$33+Assumptions!$C$34)+M274+M278+Assumptions!$C$42)</f>
        <v>34149919.050400086</v>
      </c>
    </row>
    <row r="294" spans="2:8" x14ac:dyDescent="0.25">
      <c r="B294" s="5" t="s">
        <v>253</v>
      </c>
      <c r="D294" s="11">
        <f>D284-D292</f>
        <v>2002500000</v>
      </c>
      <c r="E294" s="11">
        <f>E284-E292</f>
        <v>1902499980</v>
      </c>
      <c r="F294" s="11">
        <f>F284-F292</f>
        <v>1902499980</v>
      </c>
      <c r="G294" s="11">
        <f>G284-G292</f>
        <v>1902499980</v>
      </c>
      <c r="H294" s="11">
        <f>H284-H292</f>
        <v>1902499980</v>
      </c>
    </row>
    <row r="295" spans="2:8" x14ac:dyDescent="0.25">
      <c r="B295" s="9" t="s">
        <v>254</v>
      </c>
      <c r="D295" s="11">
        <f>D294/D293</f>
        <v>55.8035590060074</v>
      </c>
      <c r="E295" s="11">
        <f>E294/E293</f>
        <v>55.71023395962372</v>
      </c>
      <c r="F295" s="11">
        <f>F294/F293</f>
        <v>55.71023395962372</v>
      </c>
      <c r="G295" s="11">
        <f>G294/G293</f>
        <v>55.71023395962372</v>
      </c>
      <c r="H295" s="11">
        <f>H294/H293</f>
        <v>55.71023395962372</v>
      </c>
    </row>
    <row r="296" spans="2:8" x14ac:dyDescent="0.25">
      <c r="B296" s="15" t="s">
        <v>255</v>
      </c>
      <c r="D296" s="11">
        <f>M270*D295</f>
        <v>45980858.14442569</v>
      </c>
      <c r="E296" s="11">
        <f>M270*E295</f>
        <v>45903960.43762122</v>
      </c>
      <c r="F296" s="11">
        <f>M270*F295</f>
        <v>45903960.43762122</v>
      </c>
      <c r="G296" s="11">
        <f>M270*G295</f>
        <v>45903960.43762122</v>
      </c>
      <c r="H296" s="11">
        <f>M270*H295</f>
        <v>45903960.43762122</v>
      </c>
    </row>
    <row r="297" spans="2:8" x14ac:dyDescent="0.25">
      <c r="B297" s="15" t="s">
        <v>256</v>
      </c>
      <c r="D297" s="11">
        <f>Assumptions!$C$41*Assumptions!$C$28/M267*D295</f>
        <v>342505425.1973783</v>
      </c>
      <c r="E297" s="11">
        <f>Assumptions!$C$41*Assumptions!$C$28/M267*E295</f>
        <v>341932624.1921634</v>
      </c>
      <c r="F297" s="11">
        <f>Assumptions!$C$41*Assumptions!$C$28/M267*F295</f>
        <v>341932624.1921634</v>
      </c>
      <c r="G297" s="11">
        <f>Assumptions!$C$41*Assumptions!$C$28/M267*G295</f>
        <v>341932624.1921634</v>
      </c>
      <c r="H297" s="11">
        <f>Assumptions!$C$41*Assumptions!$C$28/M267*H295</f>
        <v>341932624.1921634</v>
      </c>
    </row>
    <row r="298" spans="2:8" x14ac:dyDescent="0.25">
      <c r="B298" s="15" t="s">
        <v>257</v>
      </c>
      <c r="D298" s="11">
        <f>Assumptions!$C$40*Assumptions!$C$27/M265*D295</f>
        <v>96812977.22062288</v>
      </c>
      <c r="E298" s="11">
        <f>Assumptions!$C$40*Assumptions!$C$27/M265*E295</f>
        <v>96651068.63001338</v>
      </c>
      <c r="F298" s="11">
        <f>Assumptions!$C$40*Assumptions!$C$27/M265*F295</f>
        <v>96651068.63001338</v>
      </c>
      <c r="G298" s="11">
        <f>Assumptions!$C$40*Assumptions!$C$27/M265*G295</f>
        <v>96651068.63001338</v>
      </c>
      <c r="H298" s="11">
        <f>Assumptions!$C$40*Assumptions!$C$27/M265*H295</f>
        <v>96651068.63001338</v>
      </c>
    </row>
    <row r="299" spans="2:8" x14ac:dyDescent="0.25">
      <c r="B299" s="15" t="s">
        <v>258</v>
      </c>
      <c r="D299" s="11">
        <f>Assumptions!$C$38*D295</f>
        <v>133928541.61441776</v>
      </c>
      <c r="E299" s="11">
        <f>Assumptions!$C$38*E295</f>
        <v>133704561.50309692</v>
      </c>
      <c r="F299" s="11">
        <f>Assumptions!$C$38*F295</f>
        <v>133704561.50309692</v>
      </c>
      <c r="G299" s="11">
        <f>Assumptions!$C$38*G295</f>
        <v>133704561.50309692</v>
      </c>
      <c r="H299" s="11">
        <f>Assumptions!$C$38*H295</f>
        <v>133704561.50309692</v>
      </c>
    </row>
    <row r="300" spans="2:8" x14ac:dyDescent="0.25">
      <c r="B300" s="15" t="s">
        <v>259</v>
      </c>
      <c r="D300" s="11">
        <f>Assumptions!$C$37*D295</f>
        <v>167410677.0180222</v>
      </c>
      <c r="E300" s="11">
        <f>Assumptions!$C$37*E295</f>
        <v>167130701.87887117</v>
      </c>
      <c r="F300" s="11">
        <f>Assumptions!$C$37*F295</f>
        <v>167130701.87887117</v>
      </c>
      <c r="G300" s="11">
        <f>Assumptions!$C$37*G295</f>
        <v>167130701.87887117</v>
      </c>
      <c r="H300" s="11">
        <f>Assumptions!$C$37*H295</f>
        <v>167130701.87887117</v>
      </c>
    </row>
    <row r="301" spans="2:8" x14ac:dyDescent="0.25">
      <c r="B301" s="15" t="s">
        <v>260</v>
      </c>
      <c r="D301" s="11">
        <f>Assumptions!$C$36*D295</f>
        <v>279017795.030037</v>
      </c>
      <c r="E301" s="11">
        <f>Assumptions!$C$36*E295</f>
        <v>278551169.7981186</v>
      </c>
      <c r="F301" s="11">
        <f>Assumptions!$C$36*F295</f>
        <v>278551169.7981186</v>
      </c>
      <c r="G301" s="11">
        <f>Assumptions!$C$36*G295</f>
        <v>278551169.7981186</v>
      </c>
      <c r="H301" s="11">
        <f>Assumptions!$C$36*H295</f>
        <v>278551169.7981186</v>
      </c>
    </row>
    <row r="302" spans="2:8" x14ac:dyDescent="0.25">
      <c r="B302" s="15" t="s">
        <v>261</v>
      </c>
      <c r="D302" s="11">
        <f>Assumptions!$C$35*D295</f>
        <v>279017795.030037</v>
      </c>
      <c r="E302" s="11">
        <f>Assumptions!$C$35*E295</f>
        <v>278551169.7981186</v>
      </c>
      <c r="F302" s="11">
        <f>Assumptions!$C$35*F295</f>
        <v>278551169.7981186</v>
      </c>
      <c r="G302" s="11">
        <f>Assumptions!$C$35*G295</f>
        <v>278551169.7981186</v>
      </c>
      <c r="H302" s="11">
        <f>Assumptions!$C$35*H295</f>
        <v>278551169.7981186</v>
      </c>
    </row>
    <row r="305" spans="2:13" x14ac:dyDescent="0.25">
      <c r="B305" s="3" t="s">
        <v>267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2:3" x14ac:dyDescent="0.25">
      <c r="B306" s="5" t="s">
        <v>225</v>
      </c>
      <c r="C306" s="11">
        <f>Assumptions!$C$64</f>
        <v>1800000000</v>
      </c>
    </row>
    <row r="307" spans="2:3" x14ac:dyDescent="0.25">
      <c r="B307" s="5" t="s">
        <v>226</v>
      </c>
      <c r="C307" s="18">
        <f>Assumptions!$C$59</f>
        <v>0.11</v>
      </c>
    </row>
    <row r="308" spans="2:13" x14ac:dyDescent="0.25">
      <c r="B308" s="12" t="s">
        <v>62</v>
      </c>
      <c r="D308" s="13" t="s">
        <v>63</v>
      </c>
      <c r="E308" s="13" t="s">
        <v>64</v>
      </c>
      <c r="F308" s="13" t="s">
        <v>65</v>
      </c>
      <c r="G308" s="13" t="s">
        <v>66</v>
      </c>
      <c r="H308" s="13" t="s">
        <v>67</v>
      </c>
      <c r="I308" s="13" t="s">
        <v>68</v>
      </c>
      <c r="J308" s="13" t="s">
        <v>69</v>
      </c>
      <c r="K308" s="13" t="s">
        <v>70</v>
      </c>
      <c r="L308" s="13" t="s">
        <v>71</v>
      </c>
      <c r="M308" s="13" t="s">
        <v>72</v>
      </c>
    </row>
    <row r="309" spans="2:13" x14ac:dyDescent="0.25">
      <c r="B309" s="5" t="s">
        <v>73</v>
      </c>
      <c r="D309" s="8">
        <v>45</v>
      </c>
      <c r="E309" s="14">
        <f>D327</f>
        <v>48.786066483219564</v>
      </c>
      <c r="F309" s="14">
        <f>E327</f>
        <v>48.80806202012616</v>
      </c>
      <c r="G309" s="14">
        <f>F327</f>
        <v>48.808222946605724</v>
      </c>
      <c r="H309" s="14">
        <f>G327</f>
        <v>48.808224044654935</v>
      </c>
      <c r="I309" s="14">
        <f>H327</f>
        <v>48.80822405225289</v>
      </c>
      <c r="J309" s="14">
        <f>I327</f>
        <v>48.8082240523053</v>
      </c>
      <c r="K309" s="14">
        <f>J327</f>
        <v>48.80822405230568</v>
      </c>
      <c r="L309" s="14">
        <f>K327</f>
        <v>48.808224052305675</v>
      </c>
      <c r="M309" s="14">
        <f>L327</f>
        <v>48.808224052305675</v>
      </c>
    </row>
    <row r="310" spans="2:13" x14ac:dyDescent="0.25">
      <c r="B310" s="5" t="s">
        <v>227</v>
      </c>
      <c r="D310" s="14">
        <f>IF(D309&lt;Assumptions!$C$26,Assumptions!$C$26*(Assumptions!$C$44+Assumptions!$C$7/Assumptions!$C$26)/(Assumptions!$C$44+Assumptions!$C$7/D309),Assumptions!$C$26)</f>
        <v>57.88378478994243</v>
      </c>
      <c r="E310" s="14">
        <f>IF(E309&lt;Assumptions!$C$26,Assumptions!$C$26*(Assumptions!$C$44+Assumptions!$C$7/Assumptions!$C$26)/(Assumptions!$C$44+Assumptions!$C$7/E309),Assumptions!$C$26)</f>
        <v>57.96421724751965</v>
      </c>
      <c r="F310" s="14">
        <f>IF(F309&lt;Assumptions!$C$26,Assumptions!$C$26*(Assumptions!$C$44+Assumptions!$C$7/Assumptions!$C$26)/(Assumptions!$C$44+Assumptions!$C$7/F309),Assumptions!$C$26)</f>
        <v>57.96464867212237</v>
      </c>
      <c r="G310" s="14">
        <f>IF(G309&lt;Assumptions!$C$26,Assumptions!$C$26*(Assumptions!$C$44+Assumptions!$C$7/Assumptions!$C$26)/(Assumptions!$C$44+Assumptions!$C$7/G309),Assumptions!$C$26)</f>
        <v>57.96465182715544</v>
      </c>
      <c r="H310" s="14">
        <f>IF(H309&lt;Assumptions!$C$26,Assumptions!$C$26*(Assumptions!$C$44+Assumptions!$C$7/Assumptions!$C$26)/(Assumptions!$C$44+Assumptions!$C$7/H309),Assumptions!$C$26)</f>
        <v>57.964651848683104</v>
      </c>
      <c r="I310" s="14">
        <f>IF(I309&lt;Assumptions!$C$26,Assumptions!$C$26*(Assumptions!$C$44+Assumptions!$C$7/Assumptions!$C$26)/(Assumptions!$C$44+Assumptions!$C$7/I309),Assumptions!$C$26)</f>
        <v>57.96465184883206</v>
      </c>
      <c r="J310" s="14">
        <f>IF(J309&lt;Assumptions!$C$26,Assumptions!$C$26*(Assumptions!$C$44+Assumptions!$C$7/Assumptions!$C$26)/(Assumptions!$C$44+Assumptions!$C$7/J309),Assumptions!$C$26)</f>
        <v>57.96465184883308</v>
      </c>
      <c r="K310" s="14">
        <f>IF(K309&lt;Assumptions!$C$26,Assumptions!$C$26*(Assumptions!$C$44+Assumptions!$C$7/Assumptions!$C$26)/(Assumptions!$C$44+Assumptions!$C$7/K309),Assumptions!$C$26)</f>
        <v>57.964651848833086</v>
      </c>
      <c r="L310" s="14">
        <f>IF(L309&lt;Assumptions!$C$26,Assumptions!$C$26*(Assumptions!$C$44+Assumptions!$C$7/Assumptions!$C$26)/(Assumptions!$C$44+Assumptions!$C$7/L309),Assumptions!$C$26)</f>
        <v>57.964651848833086</v>
      </c>
      <c r="M310" s="14">
        <f>IF(M309&lt;Assumptions!$C$26,Assumptions!$C$26*(Assumptions!$C$44+Assumptions!$C$7/Assumptions!$C$26)/(Assumptions!$C$44+Assumptions!$C$7/M309),Assumptions!$C$26)</f>
        <v>57.964651848833086</v>
      </c>
    </row>
    <row r="311" spans="2:13" x14ac:dyDescent="0.25">
      <c r="B311" s="15" t="s">
        <v>228</v>
      </c>
      <c r="D311" s="14">
        <f>Assumptions!$C$40*Assumptions!$C$27/D310-Assumptions!$C$39</f>
        <v>6972.8859247963</v>
      </c>
      <c r="E311" s="14">
        <f>Assumptions!$C$40*Assumptions!$C$27/E310-Assumptions!$C$39</f>
        <v>4575.62928728</v>
      </c>
      <c r="F311" s="14">
        <f>Assumptions!$C$40*Assumptions!$C$27/F310-Assumptions!$C$39</f>
        <v>4562.7887909429</v>
      </c>
      <c r="G311" s="14">
        <f>Assumptions!$C$40*Assumptions!$C$27/G310-Assumptions!$C$39</f>
        <v>4562.6948883545</v>
      </c>
      <c r="H311" s="14">
        <f>Assumptions!$C$40*Assumptions!$C$27/H310-Assumptions!$C$39</f>
        <v>4562.6942476314</v>
      </c>
      <c r="I311" s="14">
        <f>Assumptions!$C$40*Assumptions!$C$27/I310-Assumptions!$C$39</f>
        <v>4562.694243198</v>
      </c>
      <c r="J311" s="14">
        <f>Assumptions!$C$40*Assumptions!$C$27/J310-Assumptions!$C$39</f>
        <v>4562.6942431675</v>
      </c>
      <c r="K311" s="14">
        <f>Assumptions!$C$40*Assumptions!$C$27/K310-Assumptions!$C$39</f>
        <v>4562.6942431673</v>
      </c>
      <c r="L311" s="14">
        <f>Assumptions!$C$40*Assumptions!$C$27/L310-Assumptions!$C$39</f>
        <v>4562.6942431673</v>
      </c>
      <c r="M311" s="14">
        <f>Assumptions!$C$40*Assumptions!$C$27/M310-Assumptions!$C$39</f>
        <v>4562.6942431673</v>
      </c>
    </row>
    <row r="312" spans="2:13" x14ac:dyDescent="0.25">
      <c r="B312" s="5" t="s">
        <v>229</v>
      </c>
      <c r="D312" s="14">
        <f>IF(D309&lt;Assumptions!$C$28,Assumptions!$C$28*(Assumptions!$C$44+Assumptions!$C$7/Assumptions!$C$28)/(Assumptions!$C$44+Assumptions!$C$7/D309),Assumptions!$C$28)</f>
        <v>49.08395844489023</v>
      </c>
      <c r="E312" s="14">
        <f>IF(E309&lt;Assumptions!$C$28,Assumptions!$C$28*(Assumptions!$C$44+Assumptions!$C$7/Assumptions!$C$28)/(Assumptions!$C$44+Assumptions!$C$7/E309),Assumptions!$C$28)</f>
        <v>49.152163097016334</v>
      </c>
      <c r="F312" s="14">
        <f>IF(F309&lt;Assumptions!$C$28,Assumptions!$C$28*(Assumptions!$C$44+Assumptions!$C$7/Assumptions!$C$28)/(Assumptions!$C$44+Assumptions!$C$7/F309),Assumptions!$C$28)</f>
        <v>49.15252893396616</v>
      </c>
      <c r="G312" s="14">
        <f>IF(G309&lt;Assumptions!$C$28,Assumptions!$C$28*(Assumptions!$C$44+Assumptions!$C$7/Assumptions!$C$28)/(Assumptions!$C$44+Assumptions!$C$7/G309),Assumptions!$C$28)</f>
        <v>49.152531609352934</v>
      </c>
      <c r="H312" s="14">
        <f>IF(H309&lt;Assumptions!$C$28,Assumptions!$C$28*(Assumptions!$C$44+Assumptions!$C$7/Assumptions!$C$28)/(Assumptions!$C$44+Assumptions!$C$7/H309),Assumptions!$C$28)</f>
        <v>49.152531627607836</v>
      </c>
      <c r="I312" s="14">
        <f>IF(I309&lt;Assumptions!$C$28,Assumptions!$C$28*(Assumptions!$C$44+Assumptions!$C$7/Assumptions!$C$28)/(Assumptions!$C$44+Assumptions!$C$7/I309),Assumptions!$C$28)</f>
        <v>49.15253162773415</v>
      </c>
      <c r="J312" s="14">
        <f>IF(J309&lt;Assumptions!$C$28,Assumptions!$C$28*(Assumptions!$C$44+Assumptions!$C$7/Assumptions!$C$28)/(Assumptions!$C$44+Assumptions!$C$7/J309),Assumptions!$C$28)</f>
        <v>49.15253162773501</v>
      </c>
      <c r="K312" s="14">
        <f>IF(K309&lt;Assumptions!$C$28,Assumptions!$C$28*(Assumptions!$C$44+Assumptions!$C$7/Assumptions!$C$28)/(Assumptions!$C$44+Assumptions!$C$7/K309),Assumptions!$C$28)</f>
        <v>49.15253162773502</v>
      </c>
      <c r="L312" s="14">
        <f>IF(L309&lt;Assumptions!$C$28,Assumptions!$C$28*(Assumptions!$C$44+Assumptions!$C$7/Assumptions!$C$28)/(Assumptions!$C$44+Assumptions!$C$7/L309),Assumptions!$C$28)</f>
        <v>49.15253162773502</v>
      </c>
      <c r="M312" s="14">
        <f>IF(M309&lt;Assumptions!$C$28,Assumptions!$C$28*(Assumptions!$C$44+Assumptions!$C$7/Assumptions!$C$28)/(Assumptions!$C$44+Assumptions!$C$7/M309),Assumptions!$C$28)</f>
        <v>49.15253162773502</v>
      </c>
    </row>
    <row r="313" spans="2:13" x14ac:dyDescent="0.25">
      <c r="B313" s="15" t="s">
        <v>230</v>
      </c>
      <c r="D313" s="14">
        <f>Assumptions!$C$41*Assumptions!$C$28/D312-Assumptions!$C$41</f>
        <v>9244.341711835</v>
      </c>
      <c r="E313" s="14">
        <f>Assumptions!$C$41*Assumptions!$C$28/E312-Assumptions!$C$41</f>
        <v>763.315433007</v>
      </c>
      <c r="F313" s="14">
        <f>Assumptions!$C$41*Assumptions!$C$28/F312-Assumptions!$C$41</f>
        <v>717.888262147</v>
      </c>
      <c r="G313" s="14">
        <f>Assumptions!$C$41*Assumptions!$C$28/G312-Assumptions!$C$41</f>
        <v>717.5560531095</v>
      </c>
      <c r="H313" s="14">
        <f>Assumptions!$C$41*Assumptions!$C$28/H312-Assumptions!$C$41</f>
        <v>717.553786356</v>
      </c>
      <c r="I313" s="14">
        <f>Assumptions!$C$41*Assumptions!$C$28/I312-Assumptions!$C$41</f>
        <v>717.553770672</v>
      </c>
      <c r="J313" s="14">
        <f>Assumptions!$C$41*Assumptions!$C$28/J312-Assumptions!$C$41</f>
        <v>717.5537705645</v>
      </c>
      <c r="K313" s="14">
        <f>Assumptions!$C$41*Assumptions!$C$28/K312-Assumptions!$C$41</f>
        <v>717.553770564</v>
      </c>
      <c r="L313" s="14">
        <f>Assumptions!$C$41*Assumptions!$C$28/L312-Assumptions!$C$41</f>
        <v>717.553770564</v>
      </c>
      <c r="M313" s="14">
        <f>Assumptions!$C$41*Assumptions!$C$28/M312-Assumptions!$C$41</f>
        <v>717.553770564</v>
      </c>
    </row>
    <row r="314" spans="2:13" x14ac:dyDescent="0.25">
      <c r="B314" s="5" t="s">
        <v>231</v>
      </c>
      <c r="D314" s="14">
        <f>Assumptions!$C$44+D311+D313</f>
        <v>36634178.22763663</v>
      </c>
      <c r="E314" s="14">
        <f>Assumptions!$C$44+E311+E313</f>
        <v>36623299.94472029</v>
      </c>
      <c r="F314" s="14">
        <f>Assumptions!$C$44+F311+F313</f>
        <v>36623241.67705309</v>
      </c>
      <c r="G314" s="14">
        <f>Assumptions!$C$44+G311+G313</f>
        <v>36623241.25094146</v>
      </c>
      <c r="H314" s="14">
        <f>Assumptions!$C$44+H311+H313</f>
        <v>36623241.248033985</v>
      </c>
      <c r="I314" s="14">
        <f>Assumptions!$C$44+I311+I313</f>
        <v>36623241.24801387</v>
      </c>
      <c r="J314" s="14">
        <f>Assumptions!$C$44+J311+J313</f>
        <v>36623241.248013735</v>
      </c>
      <c r="K314" s="14">
        <f>Assumptions!$C$44+K311+K313</f>
        <v>36623241.248013735</v>
      </c>
      <c r="L314" s="14">
        <f>Assumptions!$C$44+L311+L313</f>
        <v>36623241.248013735</v>
      </c>
      <c r="M314" s="14">
        <f>Assumptions!$C$44+M311+M313</f>
        <v>36623241.248013735</v>
      </c>
    </row>
    <row r="315" spans="2:13" x14ac:dyDescent="0.25">
      <c r="B315" s="5" t="s">
        <v>232</v>
      </c>
      <c r="D315" s="14">
        <f>Assumptions!$C$7/D309</f>
        <v>666666.6666666666</v>
      </c>
      <c r="E315" s="14">
        <f>Assumptions!$C$7/E309</f>
        <v>614929.6748553972</v>
      </c>
      <c r="F315" s="14">
        <f>Assumptions!$C$7/F309</f>
        <v>614652.5544822781</v>
      </c>
      <c r="G315" s="14">
        <f>Assumptions!$C$7/G309</f>
        <v>614650.5279001618</v>
      </c>
      <c r="H315" s="14">
        <f>Assumptions!$C$7/H309</f>
        <v>614650.5140722354</v>
      </c>
      <c r="I315" s="14">
        <f>Assumptions!$C$7/I309</f>
        <v>614650.5139765531</v>
      </c>
      <c r="J315" s="14">
        <f>Assumptions!$C$7/J309</f>
        <v>614650.513975893</v>
      </c>
      <c r="K315" s="14">
        <f>Assumptions!$C$7/K309</f>
        <v>614650.5139758883</v>
      </c>
      <c r="L315" s="14">
        <f>Assumptions!$C$7/L309</f>
        <v>614650.5139758884</v>
      </c>
      <c r="M315" s="14">
        <f>Assumptions!$C$7/M309</f>
        <v>614650.5139758884</v>
      </c>
    </row>
    <row r="316" spans="2:13" x14ac:dyDescent="0.25">
      <c r="B316" s="15" t="s">
        <v>233</v>
      </c>
      <c r="D316" s="14">
        <f>Assumptions!$C$48/(D314+0+0)</f>
        <v>27.296913657683888</v>
      </c>
      <c r="E316" s="14">
        <f>Assumptions!$C$48/(E314+D324+D323)</f>
        <v>27.246671045446533</v>
      </c>
      <c r="F316" s="14">
        <f>Assumptions!$C$48/(F314+E324+E323)</f>
        <v>27.25123372077937</v>
      </c>
      <c r="G316" s="14">
        <f>Assumptions!$C$48/(G314+F324+F323)</f>
        <v>27.251258248754077</v>
      </c>
      <c r="H316" s="14">
        <f>Assumptions!$C$48/(H314+G324+G323)</f>
        <v>27.25125842797242</v>
      </c>
      <c r="I316" s="14">
        <f>Assumptions!$C$48/(I314+H324+H323)</f>
        <v>27.25125842919548</v>
      </c>
      <c r="J316" s="14">
        <f>Assumptions!$C$48/(J314+I324+I323)</f>
        <v>27.25125842920394</v>
      </c>
      <c r="K316" s="14">
        <f>Assumptions!$C$48/(K314+J324+J323)</f>
        <v>27.251258429204</v>
      </c>
      <c r="L316" s="14">
        <f>Assumptions!$C$48/(L314+K324+K323)</f>
        <v>27.251258429204</v>
      </c>
      <c r="M316" s="14">
        <f>Assumptions!$C$48/(M314+L324+L323)</f>
        <v>27.251258429204</v>
      </c>
    </row>
    <row r="317" spans="2:13" x14ac:dyDescent="0.25">
      <c r="B317" s="15" t="s">
        <v>234</v>
      </c>
      <c r="D317" s="14">
        <f>D309*(1-Assumptions!$C$49)</f>
        <v>36</v>
      </c>
      <c r="E317" s="14">
        <f>E309*(1-Assumptions!$C$49)</f>
        <v>39.02885318657565</v>
      </c>
      <c r="F317" s="14">
        <f>F309*(1-Assumptions!$C$49)</f>
        <v>39.04644961610093</v>
      </c>
      <c r="G317" s="14">
        <f>G309*(1-Assumptions!$C$49)</f>
        <v>39.04657835728458</v>
      </c>
      <c r="H317" s="14">
        <f>H309*(1-Assumptions!$C$49)</f>
        <v>39.04657923572395</v>
      </c>
      <c r="I317" s="14">
        <f>I309*(1-Assumptions!$C$49)</f>
        <v>39.04657924180231</v>
      </c>
      <c r="J317" s="14">
        <f>J309*(1-Assumptions!$C$49)</f>
        <v>39.04657924184424</v>
      </c>
      <c r="K317" s="14">
        <f>K309*(1-Assumptions!$C$49)</f>
        <v>39.04657924184455</v>
      </c>
      <c r="L317" s="14">
        <f>L309*(1-Assumptions!$C$49)</f>
        <v>39.04657924184454</v>
      </c>
      <c r="M317" s="14">
        <f>M309*(1-Assumptions!$C$49)</f>
        <v>39.04657924184454</v>
      </c>
    </row>
    <row r="318" spans="2:13" x14ac:dyDescent="0.25">
      <c r="B318" s="15" t="s">
        <v>235</v>
      </c>
      <c r="D318" s="14">
        <f>MIN(D316,D317)</f>
        <v>27.296913657683888</v>
      </c>
      <c r="E318" s="14">
        <f>MIN(E316,E317)</f>
        <v>27.246671045446533</v>
      </c>
      <c r="F318" s="14">
        <f>MIN(F316,F317)</f>
        <v>27.25123372077937</v>
      </c>
      <c r="G318" s="14">
        <f>MIN(G316,G317)</f>
        <v>27.251258248754077</v>
      </c>
      <c r="H318" s="14">
        <f>MIN(H316,H317)</f>
        <v>27.25125842797242</v>
      </c>
      <c r="I318" s="14">
        <f>MIN(I316,I317)</f>
        <v>27.25125842919548</v>
      </c>
      <c r="J318" s="14">
        <f>MIN(J316,J317)</f>
        <v>27.25125842920394</v>
      </c>
      <c r="K318" s="14">
        <f>MIN(K316,K317)</f>
        <v>27.251258429204</v>
      </c>
      <c r="L318" s="14">
        <f>MIN(L316,L317)</f>
        <v>27.251258429204</v>
      </c>
      <c r="M318" s="14">
        <f>MIN(M316,M317)</f>
        <v>27.251258429204</v>
      </c>
    </row>
    <row r="319" spans="2:13" x14ac:dyDescent="0.25">
      <c r="B319" s="15" t="s">
        <v>236</v>
      </c>
      <c r="D319" s="14">
        <f>Assumptions!$C$47/D318</f>
        <v>183170.89113818313</v>
      </c>
      <c r="E319" s="14">
        <f>Assumptions!$C$47/E318</f>
        <v>183508.65658634657</v>
      </c>
      <c r="F319" s="14">
        <f>Assumptions!$C$47/F318</f>
        <v>183477.93172341568</v>
      </c>
      <c r="G319" s="14">
        <f>Assumptions!$C$47/G318</f>
        <v>183477.76658087334</v>
      </c>
      <c r="H319" s="14">
        <f>Assumptions!$C$47/H318</f>
        <v>183477.76537422885</v>
      </c>
      <c r="I319" s="14">
        <f>Assumptions!$C$47/I318</f>
        <v>183477.76536599422</v>
      </c>
      <c r="J319" s="14">
        <f>Assumptions!$C$47/J318</f>
        <v>183477.76536593723</v>
      </c>
      <c r="K319" s="14">
        <f>Assumptions!$C$47/K318</f>
        <v>183477.76536593685</v>
      </c>
      <c r="L319" s="14">
        <f>Assumptions!$C$47/L318</f>
        <v>183477.76536593685</v>
      </c>
      <c r="M319" s="14">
        <f>Assumptions!$C$47/M318</f>
        <v>183477.76536593685</v>
      </c>
    </row>
    <row r="320" spans="2:13" x14ac:dyDescent="0.25">
      <c r="B320" s="15" t="s">
        <v>237</v>
      </c>
      <c r="D320" s="14">
        <f>Assumptions!$C$51/(D314+0+0)</f>
        <v>43.67506185229422</v>
      </c>
      <c r="E320" s="14">
        <f>Assumptions!$C$51/(E314+D324+D319)</f>
        <v>43.47061708620024</v>
      </c>
      <c r="F320" s="14">
        <f>Assumptions!$C$51/(F314+E324+E319)</f>
        <v>43.47028698531106</v>
      </c>
      <c r="G320" s="14">
        <f>Assumptions!$C$51/(G314+F324+F319)</f>
        <v>43.470323775925216</v>
      </c>
      <c r="H320" s="14">
        <f>Assumptions!$C$51/(H314+G324+G319)</f>
        <v>43.47032397439955</v>
      </c>
      <c r="I320" s="14">
        <f>Assumptions!$C$51/(I314+H324+H319)</f>
        <v>43.4703239758484</v>
      </c>
      <c r="J320" s="14">
        <f>Assumptions!$C$51/(J314+I324+I319)</f>
        <v>43.470323975858285</v>
      </c>
      <c r="K320" s="14">
        <f>Assumptions!$C$51/(K314+J324+J319)</f>
        <v>43.470323975858356</v>
      </c>
      <c r="L320" s="14">
        <f>Assumptions!$C$51/(L314+K324+K319)</f>
        <v>43.470323975858356</v>
      </c>
      <c r="M320" s="14">
        <f>Assumptions!$C$51/(M314+L324+L319)</f>
        <v>43.470323975858356</v>
      </c>
    </row>
    <row r="321" spans="2:13" x14ac:dyDescent="0.25">
      <c r="B321" s="15" t="s">
        <v>238</v>
      </c>
      <c r="D321" s="14">
        <f>D309*(1-Assumptions!$C$52)</f>
        <v>38.25</v>
      </c>
      <c r="E321" s="14">
        <f>E309*(1-Assumptions!$C$52)</f>
        <v>41.46815651073663</v>
      </c>
      <c r="F321" s="14">
        <f>F309*(1-Assumptions!$C$52)</f>
        <v>41.48685271710723</v>
      </c>
      <c r="G321" s="14">
        <f>G309*(1-Assumptions!$C$52)</f>
        <v>41.48698950461487</v>
      </c>
      <c r="H321" s="14">
        <f>H309*(1-Assumptions!$C$52)</f>
        <v>41.48699043795669</v>
      </c>
      <c r="I321" s="14">
        <f>I309*(1-Assumptions!$C$52)</f>
        <v>41.48699044441496</v>
      </c>
      <c r="J321" s="14">
        <f>J309*(1-Assumptions!$C$52)</f>
        <v>41.48699044445951</v>
      </c>
      <c r="K321" s="14">
        <f>K309*(1-Assumptions!$C$52)</f>
        <v>41.48699044445983</v>
      </c>
      <c r="L321" s="14">
        <f>L309*(1-Assumptions!$C$52)</f>
        <v>41.48699044445982</v>
      </c>
      <c r="M321" s="14">
        <f>M309*(1-Assumptions!$C$52)</f>
        <v>41.48699044445982</v>
      </c>
    </row>
    <row r="322" spans="2:13" x14ac:dyDescent="0.25">
      <c r="B322" s="15" t="s">
        <v>239</v>
      </c>
      <c r="D322" s="14">
        <f>MIN(D320,D321)</f>
        <v>38.25</v>
      </c>
      <c r="E322" s="14">
        <f>MIN(E320,E321)</f>
        <v>41.46815651073663</v>
      </c>
      <c r="F322" s="14">
        <f>MIN(F320,F321)</f>
        <v>41.48685271710723</v>
      </c>
      <c r="G322" s="14">
        <f>MIN(G320,G321)</f>
        <v>41.48698950461487</v>
      </c>
      <c r="H322" s="14">
        <f>MIN(H320,H321)</f>
        <v>41.48699043795669</v>
      </c>
      <c r="I322" s="14">
        <f>MIN(I320,I321)</f>
        <v>41.48699044441496</v>
      </c>
      <c r="J322" s="14">
        <f>MIN(J320,J321)</f>
        <v>41.48699044445951</v>
      </c>
      <c r="K322" s="14">
        <f>MIN(K320,K321)</f>
        <v>41.48699044445983</v>
      </c>
      <c r="L322" s="14">
        <f>MIN(L320,L321)</f>
        <v>41.48699044445982</v>
      </c>
      <c r="M322" s="14">
        <f>MIN(M320,M321)</f>
        <v>41.48699044445982</v>
      </c>
    </row>
    <row r="323" spans="2:13" x14ac:dyDescent="0.25">
      <c r="B323" s="15" t="s">
        <v>240</v>
      </c>
      <c r="D323" s="14">
        <f>Assumptions!$C$50/D322</f>
        <v>78431.37254901961</v>
      </c>
      <c r="E323" s="14">
        <f>Assumptions!$C$50/E322</f>
        <v>72344.66763004674</v>
      </c>
      <c r="F323" s="14">
        <f>Assumptions!$C$50/F322</f>
        <v>72312.06523320918</v>
      </c>
      <c r="G323" s="14">
        <f>Assumptions!$C$50/G322</f>
        <v>72311.82681178373</v>
      </c>
      <c r="H323" s="14">
        <f>Assumptions!$C$50/H322</f>
        <v>72311.82518496888</v>
      </c>
      <c r="I323" s="14">
        <f>Assumptions!$C$50/I322</f>
        <v>72311.82517371212</v>
      </c>
      <c r="J323" s="14">
        <f>Assumptions!$C$50/J322</f>
        <v>72311.82517363447</v>
      </c>
      <c r="K323" s="14">
        <f>Assumptions!$C$50/K322</f>
        <v>72311.82517363392</v>
      </c>
      <c r="L323" s="14">
        <f>Assumptions!$C$50/L322</f>
        <v>72311.82517363393</v>
      </c>
      <c r="M323" s="14">
        <f>Assumptions!$C$50/M322</f>
        <v>72311.82517363393</v>
      </c>
    </row>
    <row r="324" spans="2:13" x14ac:dyDescent="0.25">
      <c r="B324" s="5" t="s">
        <v>88</v>
      </c>
      <c r="D324" s="14">
        <f>MAX(0,(Assumptions!$C$59*(D314+D319+D323+D315)-Assumptions!$C$56)/(1-Assumptions!$C$59))</f>
        <v>0</v>
      </c>
      <c r="E324" s="14">
        <f>MAX(0,(Assumptions!$C$59*(E314+E319+E323+E315)-Assumptions!$C$56)/(1-Assumptions!$C$59))</f>
        <v>0</v>
      </c>
      <c r="F324" s="14">
        <f>MAX(0,(Assumptions!$C$59*(F314+F319+F323+F315)-Assumptions!$C$56)/(1-Assumptions!$C$59))</f>
        <v>0</v>
      </c>
      <c r="G324" s="14">
        <f>MAX(0,(Assumptions!$C$59*(G314+G319+G323+G315)-Assumptions!$C$56)/(1-Assumptions!$C$59))</f>
        <v>0</v>
      </c>
      <c r="H324" s="14">
        <f>MAX(0,(Assumptions!$C$59*(H314+H319+H323+H315)-Assumptions!$C$56)/(1-Assumptions!$C$59))</f>
        <v>0</v>
      </c>
      <c r="I324" s="14">
        <f>MAX(0,(Assumptions!$C$59*(I314+I319+I323+I315)-Assumptions!$C$56)/(1-Assumptions!$C$59))</f>
        <v>0</v>
      </c>
      <c r="J324" s="14">
        <f>MAX(0,(Assumptions!$C$59*(J314+J319+J323+J315)-Assumptions!$C$56)/(1-Assumptions!$C$59))</f>
        <v>0</v>
      </c>
      <c r="K324" s="14">
        <f>MAX(0,(Assumptions!$C$59*(K314+K319+K323+K315)-Assumptions!$C$56)/(1-Assumptions!$C$59))</f>
        <v>0</v>
      </c>
      <c r="L324" s="14">
        <f>MAX(0,(Assumptions!$C$59*(L314+L319+L323+L315)-Assumptions!$C$56)/(1-Assumptions!$C$59))</f>
        <v>0</v>
      </c>
      <c r="M324" s="14">
        <f>MAX(0,(Assumptions!$C$59*(M314+M319+M323+M315)-Assumptions!$C$56)/(1-Assumptions!$C$59))</f>
        <v>0</v>
      </c>
    </row>
    <row r="325" spans="2:13" x14ac:dyDescent="0.25">
      <c r="B325" s="9" t="s">
        <v>241</v>
      </c>
      <c r="D325" s="14">
        <f>D314+D324+D319+D323+D315</f>
        <v>37562447.1579905</v>
      </c>
      <c r="E325" s="14">
        <f>E314+E324+E319+E323+E315</f>
        <v>37494082.94379208</v>
      </c>
      <c r="F325" s="14">
        <f>F314+F324+F319+F323+F315</f>
        <v>37493684.22849199</v>
      </c>
      <c r="G325" s="14">
        <f>G314+G324+G319+G323+G315</f>
        <v>37493681.372234285</v>
      </c>
      <c r="H325" s="14">
        <f>H314+H324+H319+H323+H315</f>
        <v>37493681.35266542</v>
      </c>
      <c r="I325" s="14">
        <f>I314+I324+I319+I323+I315</f>
        <v>37493681.35253014</v>
      </c>
      <c r="J325" s="14">
        <f>J314+J324+J319+J323+J315</f>
        <v>37493681.35252919</v>
      </c>
      <c r="K325" s="14">
        <f>K314+K324+K319+K323+K315</f>
        <v>37493681.35252919</v>
      </c>
      <c r="L325" s="14">
        <f>L314+L324+L319+L323+L315</f>
        <v>37493681.35252919</v>
      </c>
      <c r="M325" s="14">
        <f>M314+M324+M319+M323+M315</f>
        <v>37493681.35252919</v>
      </c>
    </row>
    <row r="326" spans="2:13" x14ac:dyDescent="0.25">
      <c r="B326" s="5" t="s">
        <v>242</v>
      </c>
      <c r="D326" s="14">
        <f>D325-D315</f>
        <v>36895780.491323836</v>
      </c>
      <c r="E326" s="14">
        <f>E325-E315</f>
        <v>36879153.268936686</v>
      </c>
      <c r="F326" s="14">
        <f>F325-F315</f>
        <v>36879031.67400971</v>
      </c>
      <c r="G326" s="14">
        <f>G325-G315</f>
        <v>36879030.844334126</v>
      </c>
      <c r="H326" s="14">
        <f>H325-H315</f>
        <v>36879030.838593185</v>
      </c>
      <c r="I326" s="14">
        <f>I325-I315</f>
        <v>36879030.838553585</v>
      </c>
      <c r="J326" s="14">
        <f>J325-J315</f>
        <v>36879030.838553295</v>
      </c>
      <c r="K326" s="14">
        <f>K325-K315</f>
        <v>36879030.8385533</v>
      </c>
      <c r="L326" s="14">
        <f>L325-L315</f>
        <v>36879030.8385533</v>
      </c>
      <c r="M326" s="14">
        <f>M325-M315</f>
        <v>36879030.8385533</v>
      </c>
    </row>
    <row r="327" spans="2:13" x14ac:dyDescent="0.25">
      <c r="B327" s="9" t="s">
        <v>91</v>
      </c>
      <c r="D327" s="14">
        <f>Assumptions!$C$64/D326</f>
        <v>48.786066483219564</v>
      </c>
      <c r="E327" s="14">
        <f>Assumptions!$C$64/E326</f>
        <v>48.80806202012616</v>
      </c>
      <c r="F327" s="14">
        <f>Assumptions!$C$64/F326</f>
        <v>48.808222946605724</v>
      </c>
      <c r="G327" s="14">
        <f>Assumptions!$C$64/G326</f>
        <v>48.808224044654935</v>
      </c>
      <c r="H327" s="14">
        <f>Assumptions!$C$64/H326</f>
        <v>48.80822405225289</v>
      </c>
      <c r="I327" s="14">
        <f>Assumptions!$C$64/I326</f>
        <v>48.8082240523053</v>
      </c>
      <c r="J327" s="14">
        <f>Assumptions!$C$64/J326</f>
        <v>48.80822405230568</v>
      </c>
      <c r="K327" s="14">
        <f>Assumptions!$C$64/K326</f>
        <v>48.808224052305675</v>
      </c>
      <c r="L327" s="14">
        <f>Assumptions!$C$64/L326</f>
        <v>48.808224052305675</v>
      </c>
      <c r="M327" s="14">
        <f>Assumptions!$C$64/M326</f>
        <v>48.808224052305675</v>
      </c>
    </row>
    <row r="329" spans="2:8" x14ac:dyDescent="0.25">
      <c r="B329" s="5" t="s">
        <v>243</v>
      </c>
      <c r="D329" s="11">
        <f>Assumptions!$C$17+Assumptions!$C$42*Assumptions!$C$55</f>
        <v>2002500000</v>
      </c>
      <c r="E329" s="11">
        <f>Assumptions!$C$17+Assumptions!$C$42*Assumptions!$C$55</f>
        <v>2002500000</v>
      </c>
      <c r="F329" s="11">
        <f>Assumptions!$C$17+Assumptions!$C$42*Assumptions!$C$55</f>
        <v>2002500000</v>
      </c>
      <c r="G329" s="11">
        <f>Assumptions!$C$17+Assumptions!$C$42*Assumptions!$C$55</f>
        <v>2002500000</v>
      </c>
      <c r="H329" s="11">
        <f>Assumptions!$C$17+Assumptions!$C$42*Assumptions!$C$55</f>
        <v>2002500000</v>
      </c>
    </row>
    <row r="330" spans="2:8" x14ac:dyDescent="0.25">
      <c r="B330" s="15" t="s">
        <v>244</v>
      </c>
      <c r="D330" s="14" t="b">
        <v>0</v>
      </c>
      <c r="E330" s="14">
        <f>Assumptions!$C$7&gt;D341</f>
        <v>0</v>
      </c>
      <c r="F330" s="14">
        <f>Assumptions!$C$7&gt;E341</f>
        <v>0</v>
      </c>
      <c r="G330" s="14">
        <f>Assumptions!$C$7&gt;F341</f>
        <v>0</v>
      </c>
      <c r="H330" s="14">
        <f>Assumptions!$C$7&gt;G341</f>
        <v>0</v>
      </c>
    </row>
    <row r="331" spans="2:8" x14ac:dyDescent="0.25">
      <c r="B331" s="15" t="s">
        <v>245</v>
      </c>
      <c r="D331" s="14" t="b">
        <v>0</v>
      </c>
      <c r="E331" s="14">
        <f>Assumptions!$C$41*Assumptions!$C$28&gt;D342</f>
        <v>0</v>
      </c>
      <c r="F331" s="14">
        <f>Assumptions!$C$41*Assumptions!$C$28&gt;E342</f>
        <v>0</v>
      </c>
      <c r="G331" s="14">
        <f>Assumptions!$C$41*Assumptions!$C$28&gt;F342</f>
        <v>0</v>
      </c>
      <c r="H331" s="14">
        <f>Assumptions!$C$41*Assumptions!$C$28&gt;G342</f>
        <v>0</v>
      </c>
    </row>
    <row r="332" spans="2:8" x14ac:dyDescent="0.25">
      <c r="B332" s="15" t="s">
        <v>246</v>
      </c>
      <c r="D332" s="14" t="b">
        <v>0</v>
      </c>
      <c r="E332" s="14">
        <f>Assumptions!$C$40*Assumptions!$C$27&gt;D343</f>
        <v>1</v>
      </c>
      <c r="F332" s="14">
        <f>Assumptions!$C$40*Assumptions!$C$27&gt;E343</f>
        <v>1</v>
      </c>
      <c r="G332" s="14">
        <f>Assumptions!$C$40*Assumptions!$C$27&gt;F343</f>
        <v>1</v>
      </c>
      <c r="H332" s="14">
        <f>Assumptions!$C$40*Assumptions!$C$27&gt;G343</f>
        <v>1</v>
      </c>
    </row>
    <row r="333" spans="2:8" x14ac:dyDescent="0.25">
      <c r="B333" s="15" t="s">
        <v>247</v>
      </c>
      <c r="D333" s="14" t="b">
        <v>0</v>
      </c>
      <c r="E333" s="14">
        <f>Assumptions!$C$38*Assumptions!$C$25&gt;D344</f>
        <v>0</v>
      </c>
      <c r="F333" s="14">
        <f>Assumptions!$C$38*Assumptions!$C$25&gt;E344</f>
        <v>0</v>
      </c>
      <c r="G333" s="14">
        <f>Assumptions!$C$38*Assumptions!$C$25&gt;F344</f>
        <v>0</v>
      </c>
      <c r="H333" s="14">
        <f>Assumptions!$C$38*Assumptions!$C$25&gt;G344</f>
        <v>0</v>
      </c>
    </row>
    <row r="334" spans="2:8" x14ac:dyDescent="0.25">
      <c r="B334" s="15" t="s">
        <v>248</v>
      </c>
      <c r="D334" s="14" t="b">
        <v>0</v>
      </c>
      <c r="E334" s="14">
        <f>Assumptions!$C$37*Assumptions!$C$24&gt;D345</f>
        <v>0</v>
      </c>
      <c r="F334" s="14">
        <f>Assumptions!$C$37*Assumptions!$C$24&gt;E345</f>
        <v>0</v>
      </c>
      <c r="G334" s="14">
        <f>Assumptions!$C$37*Assumptions!$C$24&gt;F345</f>
        <v>0</v>
      </c>
      <c r="H334" s="14">
        <f>Assumptions!$C$37*Assumptions!$C$24&gt;G345</f>
        <v>0</v>
      </c>
    </row>
    <row r="335" spans="2:8" x14ac:dyDescent="0.25">
      <c r="B335" s="15" t="s">
        <v>249</v>
      </c>
      <c r="D335" s="14" t="b">
        <v>0</v>
      </c>
      <c r="E335" s="14">
        <f>Assumptions!$C$36*Assumptions!$C$23&gt;D346</f>
        <v>0</v>
      </c>
      <c r="F335" s="14">
        <f>Assumptions!$C$36*Assumptions!$C$23&gt;E346</f>
        <v>0</v>
      </c>
      <c r="G335" s="14">
        <f>Assumptions!$C$36*Assumptions!$C$23&gt;F346</f>
        <v>0</v>
      </c>
      <c r="H335" s="14">
        <f>Assumptions!$C$36*Assumptions!$C$23&gt;G346</f>
        <v>0</v>
      </c>
    </row>
    <row r="336" spans="2:8" x14ac:dyDescent="0.25">
      <c r="B336" s="15" t="s">
        <v>250</v>
      </c>
      <c r="D336" s="14" t="b">
        <v>0</v>
      </c>
      <c r="E336" s="14">
        <f>Assumptions!$C$35*Assumptions!$C$22&gt;D347</f>
        <v>0</v>
      </c>
      <c r="F336" s="14">
        <f>Assumptions!$C$35*Assumptions!$C$22&gt;E347</f>
        <v>0</v>
      </c>
      <c r="G336" s="14">
        <f>Assumptions!$C$35*Assumptions!$C$22&gt;F347</f>
        <v>0</v>
      </c>
      <c r="H336" s="14">
        <f>Assumptions!$C$35*Assumptions!$C$22&gt;G347</f>
        <v>0</v>
      </c>
    </row>
    <row r="337" spans="2:8" x14ac:dyDescent="0.25">
      <c r="B337" s="5" t="s">
        <v>251</v>
      </c>
      <c r="D337" s="11">
        <f>IF(D330,Assumptions!$C$7,0)+IF(D331,Assumptions!$C$41*Assumptions!$C$28,0)+IF(D332,Assumptions!$C$40*Assumptions!$C$27,0)+IF(D333,Assumptions!$C$38*Assumptions!$C$25,0)+IF(D334,Assumptions!$C$37*Assumptions!$C$24,0)+IF(D335,Assumptions!$C$36*Assumptions!$C$23,0)+IF(D336,Assumptions!$C$35*Assumptions!$C$22,0)</f>
        <v>0</v>
      </c>
      <c r="E337" s="11">
        <f>IF(E330,Assumptions!$C$7,0)+IF(E331,Assumptions!$C$41*Assumptions!$C$28,0)+IF(E332,Assumptions!$C$40*Assumptions!$C$27,0)+IF(E333,Assumptions!$C$38*Assumptions!$C$25,0)+IF(E334,Assumptions!$C$37*Assumptions!$C$24,0)+IF(E335,Assumptions!$C$36*Assumptions!$C$23,0)+IF(E336,Assumptions!$C$35*Assumptions!$C$22,0)</f>
        <v>100000020</v>
      </c>
      <c r="F337" s="11">
        <f>IF(F330,Assumptions!$C$7,0)+IF(F331,Assumptions!$C$41*Assumptions!$C$28,0)+IF(F332,Assumptions!$C$40*Assumptions!$C$27,0)+IF(F333,Assumptions!$C$38*Assumptions!$C$25,0)+IF(F334,Assumptions!$C$37*Assumptions!$C$24,0)+IF(F335,Assumptions!$C$36*Assumptions!$C$23,0)+IF(F336,Assumptions!$C$35*Assumptions!$C$22,0)</f>
        <v>100000020</v>
      </c>
      <c r="G337" s="11">
        <f>IF(G330,Assumptions!$C$7,0)+IF(G331,Assumptions!$C$41*Assumptions!$C$28,0)+IF(G332,Assumptions!$C$40*Assumptions!$C$27,0)+IF(G333,Assumptions!$C$38*Assumptions!$C$25,0)+IF(G334,Assumptions!$C$37*Assumptions!$C$24,0)+IF(G335,Assumptions!$C$36*Assumptions!$C$23,0)+IF(G336,Assumptions!$C$35*Assumptions!$C$22,0)</f>
        <v>100000020</v>
      </c>
      <c r="H337" s="11">
        <f>IF(H330,Assumptions!$C$7,0)+IF(H331,Assumptions!$C$41*Assumptions!$C$28,0)+IF(H332,Assumptions!$C$40*Assumptions!$C$27,0)+IF(H333,Assumptions!$C$38*Assumptions!$C$25,0)+IF(H334,Assumptions!$C$37*Assumptions!$C$24,0)+IF(H335,Assumptions!$C$36*Assumptions!$C$23,0)+IF(H336,Assumptions!$C$35*Assumptions!$C$22,0)</f>
        <v>100000020</v>
      </c>
    </row>
    <row r="338" spans="2:8" x14ac:dyDescent="0.25">
      <c r="B338" s="5" t="s">
        <v>252</v>
      </c>
      <c r="D338" s="14">
        <f>IF(D330,0,M315)+IF(D331,0,Assumptions!$C$41*Assumptions!$C$28/M312)+IF(D332,0,Assumptions!$C$40*Assumptions!$C$27/M310)+IF(D333,0,Assumptions!$C$38)+IF(D334,0,Assumptions!$C$37)+IF(D335,0,Assumptions!$C$36)+IF(D336,0,Assumptions!$C$35)+((Assumptions!$C$31+Assumptions!$C$32+Assumptions!$C$33+Assumptions!$C$34)+M319+M323+Assumptions!$C$42)</f>
        <v>35599014.35252919</v>
      </c>
      <c r="E338" s="14">
        <f>IF(E330,0,M315)+IF(E331,0,Assumptions!$C$41*Assumptions!$C$28/M312)+IF(E332,0,Assumptions!$C$40*Assumptions!$C$27/M310)+IF(E333,0,Assumptions!$C$38)+IF(E334,0,Assumptions!$C$37)+IF(E335,0,Assumptions!$C$36)+IF(E336,0,Assumptions!$C$35)+((Assumptions!$C$31+Assumptions!$C$32+Assumptions!$C$33+Assumptions!$C$34)+M319+M323+Assumptions!$C$42)</f>
        <v>33873824.65828602</v>
      </c>
      <c r="F338" s="14">
        <f>IF(F330,0,M315)+IF(F331,0,Assumptions!$C$41*Assumptions!$C$28/M312)+IF(F332,0,Assumptions!$C$40*Assumptions!$C$27/M310)+IF(F333,0,Assumptions!$C$38)+IF(F334,0,Assumptions!$C$37)+IF(F335,0,Assumptions!$C$36)+IF(F336,0,Assumptions!$C$35)+((Assumptions!$C$31+Assumptions!$C$32+Assumptions!$C$33+Assumptions!$C$34)+M319+M323+Assumptions!$C$42)</f>
        <v>33873824.65828602</v>
      </c>
      <c r="G338" s="14">
        <f>IF(G330,0,M315)+IF(G331,0,Assumptions!$C$41*Assumptions!$C$28/M312)+IF(G332,0,Assumptions!$C$40*Assumptions!$C$27/M310)+IF(G333,0,Assumptions!$C$38)+IF(G334,0,Assumptions!$C$37)+IF(G335,0,Assumptions!$C$36)+IF(G336,0,Assumptions!$C$35)+((Assumptions!$C$31+Assumptions!$C$32+Assumptions!$C$33+Assumptions!$C$34)+M319+M323+Assumptions!$C$42)</f>
        <v>33873824.65828602</v>
      </c>
      <c r="H338" s="14">
        <f>IF(H330,0,M315)+IF(H331,0,Assumptions!$C$41*Assumptions!$C$28/M312)+IF(H332,0,Assumptions!$C$40*Assumptions!$C$27/M310)+IF(H333,0,Assumptions!$C$38)+IF(H334,0,Assumptions!$C$37)+IF(H335,0,Assumptions!$C$36)+IF(H336,0,Assumptions!$C$35)+((Assumptions!$C$31+Assumptions!$C$32+Assumptions!$C$33+Assumptions!$C$34)+M319+M323+Assumptions!$C$42)</f>
        <v>33873824.65828602</v>
      </c>
    </row>
    <row r="339" spans="2:8" x14ac:dyDescent="0.25">
      <c r="B339" s="5" t="s">
        <v>253</v>
      </c>
      <c r="D339" s="11">
        <f>D329-D337</f>
        <v>2002500000</v>
      </c>
      <c r="E339" s="11">
        <f>E329-E337</f>
        <v>1902499980</v>
      </c>
      <c r="F339" s="11">
        <f>F329-F337</f>
        <v>1902499980</v>
      </c>
      <c r="G339" s="11">
        <f>G329-G337</f>
        <v>1902499980</v>
      </c>
      <c r="H339" s="11">
        <f>H329-H337</f>
        <v>1902499980</v>
      </c>
    </row>
    <row r="340" spans="2:8" x14ac:dyDescent="0.25">
      <c r="B340" s="9" t="s">
        <v>254</v>
      </c>
      <c r="D340" s="11">
        <f>D339/D338</f>
        <v>56.25155742149724</v>
      </c>
      <c r="E340" s="11">
        <f>E339/E338</f>
        <v>56.16430973449647</v>
      </c>
      <c r="F340" s="11">
        <f>F339/F338</f>
        <v>56.16430973449647</v>
      </c>
      <c r="G340" s="11">
        <f>G339/G338</f>
        <v>56.16430973449647</v>
      </c>
      <c r="H340" s="11">
        <f>H339/H338</f>
        <v>56.16430973449647</v>
      </c>
    </row>
    <row r="341" spans="2:8" x14ac:dyDescent="0.25">
      <c r="B341" s="15" t="s">
        <v>255</v>
      </c>
      <c r="D341" s="11">
        <f>M315*D340</f>
        <v>34575048.68106748</v>
      </c>
      <c r="E341" s="11">
        <f>M315*E340</f>
        <v>34521421.845409244</v>
      </c>
      <c r="F341" s="11">
        <f>M315*F340</f>
        <v>34521421.845409244</v>
      </c>
      <c r="G341" s="11">
        <f>M315*G340</f>
        <v>34521421.845409244</v>
      </c>
      <c r="H341" s="11">
        <f>M315*H340</f>
        <v>34521421.845409244</v>
      </c>
    </row>
    <row r="342" spans="2:8" x14ac:dyDescent="0.25">
      <c r="B342" s="15" t="s">
        <v>256</v>
      </c>
      <c r="D342" s="11">
        <f>Assumptions!$C$41*Assumptions!$C$28/M312*D340</f>
        <v>343324886.6919042</v>
      </c>
      <c r="E342" s="11">
        <f>Assumptions!$C$41*Assumptions!$C$28/M312*E340</f>
        <v>342792380.5067115</v>
      </c>
      <c r="F342" s="11">
        <f>Assumptions!$C$41*Assumptions!$C$28/M312*F340</f>
        <v>342792380.5067115</v>
      </c>
      <c r="G342" s="11">
        <f>Assumptions!$C$41*Assumptions!$C$28/M312*G340</f>
        <v>342792380.5067115</v>
      </c>
      <c r="H342" s="11">
        <f>Assumptions!$C$41*Assumptions!$C$28/M312*H340</f>
        <v>342792380.5067115</v>
      </c>
    </row>
    <row r="343" spans="2:8" x14ac:dyDescent="0.25">
      <c r="B343" s="15" t="s">
        <v>257</v>
      </c>
      <c r="D343" s="11">
        <f>Assumptions!$C$40*Assumptions!$C$27/M310*D340</f>
        <v>97044607.1486948</v>
      </c>
      <c r="E343" s="11">
        <f>Assumptions!$C$40*Assumptions!$C$27/M310*E340</f>
        <v>96894088.33823451</v>
      </c>
      <c r="F343" s="11">
        <f>Assumptions!$C$40*Assumptions!$C$27/M310*F340</f>
        <v>96894088.33823451</v>
      </c>
      <c r="G343" s="11">
        <f>Assumptions!$C$40*Assumptions!$C$27/M310*G340</f>
        <v>96894088.33823451</v>
      </c>
      <c r="H343" s="11">
        <f>Assumptions!$C$40*Assumptions!$C$27/M310*H340</f>
        <v>96894088.33823451</v>
      </c>
    </row>
    <row r="344" spans="2:8" x14ac:dyDescent="0.25">
      <c r="B344" s="15" t="s">
        <v>258</v>
      </c>
      <c r="D344" s="11">
        <f>Assumptions!$C$38*D340</f>
        <v>135003737.81159338</v>
      </c>
      <c r="E344" s="11">
        <f>Assumptions!$C$38*E340</f>
        <v>134794343.36279154</v>
      </c>
      <c r="F344" s="11">
        <f>Assumptions!$C$38*F340</f>
        <v>134794343.36279154</v>
      </c>
      <c r="G344" s="11">
        <f>Assumptions!$C$38*G340</f>
        <v>134794343.36279154</v>
      </c>
      <c r="H344" s="11">
        <f>Assumptions!$C$38*H340</f>
        <v>134794343.36279154</v>
      </c>
    </row>
    <row r="345" spans="2:8" x14ac:dyDescent="0.25">
      <c r="B345" s="15" t="s">
        <v>259</v>
      </c>
      <c r="D345" s="11">
        <f>Assumptions!$C$37*D340</f>
        <v>168754672.2644917</v>
      </c>
      <c r="E345" s="11">
        <f>Assumptions!$C$37*E340</f>
        <v>168492929.20348942</v>
      </c>
      <c r="F345" s="11">
        <f>Assumptions!$C$37*F340</f>
        <v>168492929.20348942</v>
      </c>
      <c r="G345" s="11">
        <f>Assumptions!$C$37*G340</f>
        <v>168492929.20348942</v>
      </c>
      <c r="H345" s="11">
        <f>Assumptions!$C$37*H340</f>
        <v>168492929.20348942</v>
      </c>
    </row>
    <row r="346" spans="2:8" x14ac:dyDescent="0.25">
      <c r="B346" s="15" t="s">
        <v>260</v>
      </c>
      <c r="D346" s="11">
        <f>Assumptions!$C$36*D340</f>
        <v>281257787.1074862</v>
      </c>
      <c r="E346" s="11">
        <f>Assumptions!$C$36*E340</f>
        <v>280821548.6724824</v>
      </c>
      <c r="F346" s="11">
        <f>Assumptions!$C$36*F340</f>
        <v>280821548.6724824</v>
      </c>
      <c r="G346" s="11">
        <f>Assumptions!$C$36*G340</f>
        <v>280821548.6724824</v>
      </c>
      <c r="H346" s="11">
        <f>Assumptions!$C$36*H340</f>
        <v>280821548.6724824</v>
      </c>
    </row>
    <row r="347" spans="2:8" x14ac:dyDescent="0.25">
      <c r="B347" s="15" t="s">
        <v>261</v>
      </c>
      <c r="D347" s="11">
        <f>Assumptions!$C$35*D340</f>
        <v>281257787.1074862</v>
      </c>
      <c r="E347" s="11">
        <f>Assumptions!$C$35*E340</f>
        <v>280821548.6724824</v>
      </c>
      <c r="F347" s="11">
        <f>Assumptions!$C$35*F340</f>
        <v>280821548.6724824</v>
      </c>
      <c r="G347" s="11">
        <f>Assumptions!$C$35*G340</f>
        <v>280821548.6724824</v>
      </c>
      <c r="H347" s="11">
        <f>Assumptions!$C$35*H340</f>
        <v>280821548.6724824</v>
      </c>
    </row>
    <row r="350" spans="2:13" x14ac:dyDescent="0.25">
      <c r="B350" s="3" t="s">
        <v>268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2:3" x14ac:dyDescent="0.25">
      <c r="B351" s="5" t="s">
        <v>225</v>
      </c>
      <c r="C351" s="11">
        <f>Assumptions!$C$64</f>
        <v>1800000000</v>
      </c>
    </row>
    <row r="352" spans="2:3" x14ac:dyDescent="0.25">
      <c r="B352" s="5" t="s">
        <v>226</v>
      </c>
      <c r="C352" s="18">
        <f>Assumptions!$C$60</f>
        <v>0.13</v>
      </c>
    </row>
    <row r="353" spans="2:13" x14ac:dyDescent="0.25">
      <c r="B353" s="12" t="s">
        <v>62</v>
      </c>
      <c r="D353" s="13" t="s">
        <v>63</v>
      </c>
      <c r="E353" s="13" t="s">
        <v>64</v>
      </c>
      <c r="F353" s="13" t="s">
        <v>65</v>
      </c>
      <c r="G353" s="13" t="s">
        <v>66</v>
      </c>
      <c r="H353" s="13" t="s">
        <v>67</v>
      </c>
      <c r="I353" s="13" t="s">
        <v>68</v>
      </c>
      <c r="J353" s="13" t="s">
        <v>69</v>
      </c>
      <c r="K353" s="13" t="s">
        <v>70</v>
      </c>
      <c r="L353" s="13" t="s">
        <v>71</v>
      </c>
      <c r="M353" s="13" t="s">
        <v>72</v>
      </c>
    </row>
    <row r="354" spans="2:13" x14ac:dyDescent="0.25">
      <c r="B354" s="5" t="s">
        <v>73</v>
      </c>
      <c r="D354" s="8">
        <v>45</v>
      </c>
      <c r="E354" s="14">
        <f>D372</f>
        <v>48.05482277122881</v>
      </c>
      <c r="F354" s="14">
        <f>E372</f>
        <v>48.078799213729106</v>
      </c>
      <c r="G354" s="14">
        <f>F372</f>
        <v>48.079105511817744</v>
      </c>
      <c r="H354" s="14">
        <f>G372</f>
        <v>48.07910900278943</v>
      </c>
      <c r="I354" s="14">
        <f>H372</f>
        <v>48.07910904335712</v>
      </c>
      <c r="J354" s="14">
        <f>I372</f>
        <v>48.079109043826925</v>
      </c>
      <c r="K354" s="14">
        <f>J372</f>
        <v>48.079109043832375</v>
      </c>
      <c r="L354" s="14">
        <f>K372</f>
        <v>48.079109043832446</v>
      </c>
      <c r="M354" s="14">
        <f>L372</f>
        <v>48.079109043832446</v>
      </c>
    </row>
    <row r="355" spans="2:13" x14ac:dyDescent="0.25">
      <c r="B355" s="5" t="s">
        <v>227</v>
      </c>
      <c r="D355" s="14">
        <f>IF(D354&lt;Assumptions!$C$26,Assumptions!$C$26*(Assumptions!$C$44+Assumptions!$C$7/Assumptions!$C$26)/(Assumptions!$C$44+Assumptions!$C$7/D354),Assumptions!$C$26)</f>
        <v>57.88378478994243</v>
      </c>
      <c r="E355" s="14">
        <f>IF(E354&lt;Assumptions!$C$26,Assumptions!$C$26*(Assumptions!$C$44+Assumptions!$C$7/Assumptions!$C$26)/(Assumptions!$C$44+Assumptions!$C$7/E354),Assumptions!$C$26)</f>
        <v>57.94965344759209</v>
      </c>
      <c r="F355" s="14">
        <f>IF(F354&lt;Assumptions!$C$26,Assumptions!$C$26*(Assumptions!$C$44+Assumptions!$C$7/Assumptions!$C$26)/(Assumptions!$C$44+Assumptions!$C$7/F354),Assumptions!$C$26)</f>
        <v>57.95013788089735</v>
      </c>
      <c r="G355" s="14">
        <f>IF(G354&lt;Assumptions!$C$26,Assumptions!$C$26*(Assumptions!$C$44+Assumptions!$C$7/Assumptions!$C$26)/(Assumptions!$C$44+Assumptions!$C$7/G354),Assumptions!$C$26)</f>
        <v>57.95014406644009</v>
      </c>
      <c r="H355" s="14">
        <f>IF(H354&lt;Assumptions!$C$26,Assumptions!$C$26*(Assumptions!$C$44+Assumptions!$C$7/Assumptions!$C$26)/(Assumptions!$C$44+Assumptions!$C$7/H354),Assumptions!$C$26)</f>
        <v>57.95014413693815</v>
      </c>
      <c r="I355" s="14">
        <f>IF(I354&lt;Assumptions!$C$26,Assumptions!$C$26*(Assumptions!$C$44+Assumptions!$C$7/Assumptions!$C$26)/(Assumptions!$C$44+Assumptions!$C$7/I354),Assumptions!$C$26)</f>
        <v>57.95014413775739</v>
      </c>
      <c r="J355" s="14">
        <f>IF(J354&lt;Assumptions!$C$26,Assumptions!$C$26*(Assumptions!$C$44+Assumptions!$C$7/Assumptions!$C$26)/(Assumptions!$C$44+Assumptions!$C$7/J354),Assumptions!$C$26)</f>
        <v>57.95014413776687</v>
      </c>
      <c r="K355" s="14">
        <f>IF(K354&lt;Assumptions!$C$26,Assumptions!$C$26*(Assumptions!$C$44+Assumptions!$C$7/Assumptions!$C$26)/(Assumptions!$C$44+Assumptions!$C$7/K354),Assumptions!$C$26)</f>
        <v>57.95014413776698</v>
      </c>
      <c r="L355" s="14">
        <f>IF(L354&lt;Assumptions!$C$26,Assumptions!$C$26*(Assumptions!$C$44+Assumptions!$C$7/Assumptions!$C$26)/(Assumptions!$C$44+Assumptions!$C$7/L354),Assumptions!$C$26)</f>
        <v>57.95014413776698</v>
      </c>
      <c r="M355" s="14">
        <f>IF(M354&lt;Assumptions!$C$26,Assumptions!$C$26*(Assumptions!$C$44+Assumptions!$C$7/Assumptions!$C$26)/(Assumptions!$C$44+Assumptions!$C$7/M354),Assumptions!$C$26)</f>
        <v>57.95014413776698</v>
      </c>
    </row>
    <row r="356" spans="2:13" x14ac:dyDescent="0.25">
      <c r="B356" s="15" t="s">
        <v>228</v>
      </c>
      <c r="D356" s="14">
        <f>Assumptions!$C$40*Assumptions!$C$27/D355-Assumptions!$C$39</f>
        <v>6972.8859247963</v>
      </c>
      <c r="E356" s="14">
        <f>Assumptions!$C$40*Assumptions!$C$27/E355-Assumptions!$C$39</f>
        <v>5009.204027294</v>
      </c>
      <c r="F356" s="14">
        <f>Assumptions!$C$40*Assumptions!$C$27/F355-Assumptions!$C$39</f>
        <v>4994.7785974233</v>
      </c>
      <c r="G356" s="14">
        <f>Assumptions!$C$40*Assumptions!$C$27/G355-Assumptions!$C$39</f>
        <v>4994.5944062115</v>
      </c>
      <c r="H356" s="14">
        <f>Assumptions!$C$40*Assumptions!$C$27/H355-Assumptions!$C$39</f>
        <v>4994.5923069417</v>
      </c>
      <c r="I356" s="14">
        <f>Assumptions!$C$40*Assumptions!$C$27/I355-Assumptions!$C$39</f>
        <v>4994.5922825467</v>
      </c>
      <c r="J356" s="14">
        <f>Assumptions!$C$40*Assumptions!$C$27/J355-Assumptions!$C$39</f>
        <v>4994.5922822645</v>
      </c>
      <c r="K356" s="14">
        <f>Assumptions!$C$40*Assumptions!$C$27/K355-Assumptions!$C$39</f>
        <v>4994.5922822612</v>
      </c>
      <c r="L356" s="14">
        <f>Assumptions!$C$40*Assumptions!$C$27/L355-Assumptions!$C$39</f>
        <v>4994.5922822612</v>
      </c>
      <c r="M356" s="14">
        <f>Assumptions!$C$40*Assumptions!$C$27/M355-Assumptions!$C$39</f>
        <v>4994.5922822612</v>
      </c>
    </row>
    <row r="357" spans="2:13" x14ac:dyDescent="0.25">
      <c r="B357" s="5" t="s">
        <v>229</v>
      </c>
      <c r="D357" s="14">
        <f>IF(D354&lt;Assumptions!$C$28,Assumptions!$C$28*(Assumptions!$C$44+Assumptions!$C$7/Assumptions!$C$28)/(Assumptions!$C$44+Assumptions!$C$7/D354),Assumptions!$C$28)</f>
        <v>49.08395844489023</v>
      </c>
      <c r="E357" s="14">
        <f>IF(E354&lt;Assumptions!$C$28,Assumptions!$C$28*(Assumptions!$C$44+Assumptions!$C$7/Assumptions!$C$28)/(Assumptions!$C$44+Assumptions!$C$7/E354),Assumptions!$C$28)</f>
        <v>49.139813369833874</v>
      </c>
      <c r="F357" s="14">
        <f>IF(F354&lt;Assumptions!$C$28,Assumptions!$C$28*(Assumptions!$C$44+Assumptions!$C$7/Assumptions!$C$28)/(Assumptions!$C$44+Assumptions!$C$7/F354),Assumptions!$C$28)</f>
        <v>49.14022415679798</v>
      </c>
      <c r="G357" s="14">
        <f>IF(G354&lt;Assumptions!$C$28,Assumptions!$C$28*(Assumptions!$C$44+Assumptions!$C$7/Assumptions!$C$28)/(Assumptions!$C$44+Assumptions!$C$7/G354),Assumptions!$C$28)</f>
        <v>49.140229401978885</v>
      </c>
      <c r="H357" s="14">
        <f>IF(H354&lt;Assumptions!$C$28,Assumptions!$C$28*(Assumptions!$C$44+Assumptions!$C$7/Assumptions!$C$28)/(Assumptions!$C$44+Assumptions!$C$7/H354),Assumptions!$C$28)</f>
        <v>49.140229461759425</v>
      </c>
      <c r="I357" s="14">
        <f>IF(I354&lt;Assumptions!$C$28,Assumptions!$C$28*(Assumptions!$C$44+Assumptions!$C$7/Assumptions!$C$28)/(Assumptions!$C$44+Assumptions!$C$7/I354),Assumptions!$C$28)</f>
        <v>49.140229462454116</v>
      </c>
      <c r="J357" s="14">
        <f>IF(J354&lt;Assumptions!$C$28,Assumptions!$C$28*(Assumptions!$C$44+Assumptions!$C$7/Assumptions!$C$28)/(Assumptions!$C$44+Assumptions!$C$7/J354),Assumptions!$C$28)</f>
        <v>49.14022946246215</v>
      </c>
      <c r="K357" s="14">
        <f>IF(K354&lt;Assumptions!$C$28,Assumptions!$C$28*(Assumptions!$C$44+Assumptions!$C$7/Assumptions!$C$28)/(Assumptions!$C$44+Assumptions!$C$7/K354),Assumptions!$C$28)</f>
        <v>49.14022946246225</v>
      </c>
      <c r="L357" s="14">
        <f>IF(L354&lt;Assumptions!$C$28,Assumptions!$C$28*(Assumptions!$C$44+Assumptions!$C$7/Assumptions!$C$28)/(Assumptions!$C$44+Assumptions!$C$7/L354),Assumptions!$C$28)</f>
        <v>49.14022946246225</v>
      </c>
      <c r="M357" s="14">
        <f>IF(M354&lt;Assumptions!$C$28,Assumptions!$C$28*(Assumptions!$C$44+Assumptions!$C$7/Assumptions!$C$28)/(Assumptions!$C$44+Assumptions!$C$7/M354),Assumptions!$C$28)</f>
        <v>49.14022946246225</v>
      </c>
    </row>
    <row r="358" spans="2:13" x14ac:dyDescent="0.25">
      <c r="B358" s="15" t="s">
        <v>230</v>
      </c>
      <c r="D358" s="14">
        <f>Assumptions!$C$41*Assumptions!$C$28/D357-Assumptions!$C$41</f>
        <v>9244.341711835</v>
      </c>
      <c r="E358" s="14">
        <f>Assumptions!$C$41*Assumptions!$C$28/E357-Assumptions!$C$41</f>
        <v>2297.218272757</v>
      </c>
      <c r="F358" s="14">
        <f>Assumptions!$C$41*Assumptions!$C$28/F357-Assumptions!$C$41</f>
        <v>2246.183916274</v>
      </c>
      <c r="G358" s="14">
        <f>Assumptions!$C$41*Assumptions!$C$28/G357-Assumptions!$C$41</f>
        <v>2245.532283703</v>
      </c>
      <c r="H358" s="14">
        <f>Assumptions!$C$41*Assumptions!$C$28/H357-Assumptions!$C$41</f>
        <v>2245.524856897</v>
      </c>
      <c r="I358" s="14">
        <f>Assumptions!$C$41*Assumptions!$C$28/I357-Assumptions!$C$41</f>
        <v>2245.524770592</v>
      </c>
      <c r="J358" s="14">
        <f>Assumptions!$C$41*Assumptions!$C$28/J357-Assumptions!$C$41</f>
        <v>2245.524769594</v>
      </c>
      <c r="K358" s="14">
        <f>Assumptions!$C$41*Assumptions!$C$28/K357-Assumptions!$C$41</f>
        <v>2245.524769582</v>
      </c>
      <c r="L358" s="14">
        <f>Assumptions!$C$41*Assumptions!$C$28/L357-Assumptions!$C$41</f>
        <v>2245.524769582</v>
      </c>
      <c r="M358" s="14">
        <f>Assumptions!$C$41*Assumptions!$C$28/M357-Assumptions!$C$41</f>
        <v>2245.524769582</v>
      </c>
    </row>
    <row r="359" spans="2:13" x14ac:dyDescent="0.25">
      <c r="B359" s="5" t="s">
        <v>231</v>
      </c>
      <c r="D359" s="14">
        <f>Assumptions!$C$44+D356+D358</f>
        <v>36634178.22763663</v>
      </c>
      <c r="E359" s="14">
        <f>Assumptions!$C$44+E356+E358</f>
        <v>36625267.422300056</v>
      </c>
      <c r="F359" s="14">
        <f>Assumptions!$C$44+F356+F358</f>
        <v>36625201.96251369</v>
      </c>
      <c r="G359" s="14">
        <f>Assumptions!$C$44+G356+G358</f>
        <v>36625201.12668991</v>
      </c>
      <c r="H359" s="14">
        <f>Assumptions!$C$44+H356+H358</f>
        <v>36625201.11716384</v>
      </c>
      <c r="I359" s="14">
        <f>Assumptions!$C$44+I356+I358</f>
        <v>36625201.11705314</v>
      </c>
      <c r="J359" s="14">
        <f>Assumptions!$C$44+J356+J358</f>
        <v>36625201.11705186</v>
      </c>
      <c r="K359" s="14">
        <f>Assumptions!$C$44+K356+K358</f>
        <v>36625201.11705184</v>
      </c>
      <c r="L359" s="14">
        <f>Assumptions!$C$44+L356+L358</f>
        <v>36625201.11705184</v>
      </c>
      <c r="M359" s="14">
        <f>Assumptions!$C$44+M356+M358</f>
        <v>36625201.11705184</v>
      </c>
    </row>
    <row r="360" spans="2:13" x14ac:dyDescent="0.25">
      <c r="B360" s="5" t="s">
        <v>232</v>
      </c>
      <c r="D360" s="14">
        <f>Assumptions!$C$7/D354</f>
        <v>666666.6666666666</v>
      </c>
      <c r="E360" s="14">
        <f>Assumptions!$C$7/E354</f>
        <v>624286.9762067144</v>
      </c>
      <c r="F360" s="14">
        <f>Assumptions!$C$7/F354</f>
        <v>623975.6501953853</v>
      </c>
      <c r="G360" s="14">
        <f>Assumptions!$C$7/G354</f>
        <v>623971.6750268172</v>
      </c>
      <c r="H360" s="14">
        <f>Assumptions!$C$7/H354</f>
        <v>623971.6297209142</v>
      </c>
      <c r="I360" s="14">
        <f>Assumptions!$C$7/I354</f>
        <v>623971.629194426</v>
      </c>
      <c r="J360" s="14">
        <f>Assumptions!$C$7/J354</f>
        <v>623971.6291883287</v>
      </c>
      <c r="K360" s="14">
        <f>Assumptions!$C$7/K354</f>
        <v>623971.6291882581</v>
      </c>
      <c r="L360" s="14">
        <f>Assumptions!$C$7/L354</f>
        <v>623971.6291882572</v>
      </c>
      <c r="M360" s="14">
        <f>Assumptions!$C$7/M354</f>
        <v>623971.6291882572</v>
      </c>
    </row>
    <row r="361" spans="2:13" x14ac:dyDescent="0.25">
      <c r="B361" s="15" t="s">
        <v>233</v>
      </c>
      <c r="D361" s="14">
        <f>Assumptions!$C$48/(D359+0+0)</f>
        <v>27.296913657683888</v>
      </c>
      <c r="E361" s="14">
        <f>Assumptions!$C$48/(E359+D369+D368)</f>
        <v>26.834733046317147</v>
      </c>
      <c r="F361" s="14">
        <f>Assumptions!$C$48/(F359+E369+E368)</f>
        <v>26.84408973021659</v>
      </c>
      <c r="G361" s="14">
        <f>Assumptions!$C$48/(G359+F369+F368)</f>
        <v>26.84416823397121</v>
      </c>
      <c r="H361" s="14">
        <f>Assumptions!$C$48/(H359+G369+G368)</f>
        <v>26.84416920488493</v>
      </c>
      <c r="I361" s="14">
        <f>Assumptions!$C$48/(I359+H369+H368)</f>
        <v>26.844169216009114</v>
      </c>
      <c r="J361" s="14">
        <f>Assumptions!$C$48/(J359+I369+I368)</f>
        <v>26.844169216138262</v>
      </c>
      <c r="K361" s="14">
        <f>Assumptions!$C$48/(K359+J369+J368)</f>
        <v>26.844169216139758</v>
      </c>
      <c r="L361" s="14">
        <f>Assumptions!$C$48/(L359+K369+K368)</f>
        <v>26.84416921613978</v>
      </c>
      <c r="M361" s="14">
        <f>Assumptions!$C$48/(M359+L369+L368)</f>
        <v>26.84416921613978</v>
      </c>
    </row>
    <row r="362" spans="2:13" x14ac:dyDescent="0.25">
      <c r="B362" s="15" t="s">
        <v>234</v>
      </c>
      <c r="D362" s="14">
        <f>D354*(1-Assumptions!$C$49)</f>
        <v>36</v>
      </c>
      <c r="E362" s="14">
        <f>E354*(1-Assumptions!$C$49)</f>
        <v>38.443858216983045</v>
      </c>
      <c r="F362" s="14">
        <f>F354*(1-Assumptions!$C$49)</f>
        <v>38.46303937098328</v>
      </c>
      <c r="G362" s="14">
        <f>G354*(1-Assumptions!$C$49)</f>
        <v>38.4632844094542</v>
      </c>
      <c r="H362" s="14">
        <f>H354*(1-Assumptions!$C$49)</f>
        <v>38.46328720223154</v>
      </c>
      <c r="I362" s="14">
        <f>I354*(1-Assumptions!$C$49)</f>
        <v>38.463287234685694</v>
      </c>
      <c r="J362" s="14">
        <f>J354*(1-Assumptions!$C$49)</f>
        <v>38.46328723506154</v>
      </c>
      <c r="K362" s="14">
        <f>K354*(1-Assumptions!$C$49)</f>
        <v>38.4632872350659</v>
      </c>
      <c r="L362" s="14">
        <f>L354*(1-Assumptions!$C$49)</f>
        <v>38.463287235065955</v>
      </c>
      <c r="M362" s="14">
        <f>M354*(1-Assumptions!$C$49)</f>
        <v>38.463287235065955</v>
      </c>
    </row>
    <row r="363" spans="2:13" x14ac:dyDescent="0.25">
      <c r="B363" s="15" t="s">
        <v>235</v>
      </c>
      <c r="D363" s="14">
        <f>MIN(D361,D362)</f>
        <v>27.296913657683888</v>
      </c>
      <c r="E363" s="14">
        <f>MIN(E361,E362)</f>
        <v>26.834733046317147</v>
      </c>
      <c r="F363" s="14">
        <f>MIN(F361,F362)</f>
        <v>26.84408973021659</v>
      </c>
      <c r="G363" s="14">
        <f>MIN(G361,G362)</f>
        <v>26.84416823397121</v>
      </c>
      <c r="H363" s="14">
        <f>MIN(H361,H362)</f>
        <v>26.84416920488493</v>
      </c>
      <c r="I363" s="14">
        <f>MIN(I361,I362)</f>
        <v>26.844169216009114</v>
      </c>
      <c r="J363" s="14">
        <f>MIN(J361,J362)</f>
        <v>26.844169216138262</v>
      </c>
      <c r="K363" s="14">
        <f>MIN(K361,K362)</f>
        <v>26.844169216139758</v>
      </c>
      <c r="L363" s="14">
        <f>MIN(L361,L362)</f>
        <v>26.84416921613978</v>
      </c>
      <c r="M363" s="14">
        <f>MIN(M361,M362)</f>
        <v>26.84416921613978</v>
      </c>
    </row>
    <row r="364" spans="2:13" x14ac:dyDescent="0.25">
      <c r="B364" s="15" t="s">
        <v>236</v>
      </c>
      <c r="D364" s="14">
        <f>Assumptions!$C$47/D363</f>
        <v>183170.89113818313</v>
      </c>
      <c r="E364" s="14">
        <f>Assumptions!$C$47/E363</f>
        <v>186325.6843796406</v>
      </c>
      <c r="F364" s="14">
        <f>Assumptions!$C$47/F363</f>
        <v>186260.7393377856</v>
      </c>
      <c r="G364" s="14">
        <f>Assumptions!$C$47/G363</f>
        <v>186260.1946322373</v>
      </c>
      <c r="H364" s="14">
        <f>Assumptions!$C$47/H363</f>
        <v>186260.18789548278</v>
      </c>
      <c r="I364" s="14">
        <f>Assumptions!$C$47/I363</f>
        <v>186260.18781829684</v>
      </c>
      <c r="J364" s="14">
        <f>Assumptions!$C$47/J363</f>
        <v>186260.18781740076</v>
      </c>
      <c r="K364" s="14">
        <f>Assumptions!$C$47/K363</f>
        <v>186260.18781739037</v>
      </c>
      <c r="L364" s="14">
        <f>Assumptions!$C$47/L363</f>
        <v>186260.18781739022</v>
      </c>
      <c r="M364" s="14">
        <f>Assumptions!$C$47/M363</f>
        <v>186260.18781739022</v>
      </c>
    </row>
    <row r="365" spans="2:13" x14ac:dyDescent="0.25">
      <c r="B365" s="15" t="s">
        <v>237</v>
      </c>
      <c r="D365" s="14">
        <f>Assumptions!$C$51/(D359+0+0)</f>
        <v>43.67506185229422</v>
      </c>
      <c r="E365" s="14">
        <f>Assumptions!$C$51/(E359+D369+D364)</f>
        <v>42.81523393624989</v>
      </c>
      <c r="F365" s="14">
        <f>Assumptions!$C$51/(F359+E369+E364)</f>
        <v>42.820789507118725</v>
      </c>
      <c r="G365" s="14">
        <f>Assumptions!$C$51/(G359+F369+F364)</f>
        <v>42.82094680887151</v>
      </c>
      <c r="H365" s="14">
        <f>Assumptions!$C$51/(H359+G369+G364)</f>
        <v>42.820948441251815</v>
      </c>
      <c r="I365" s="14">
        <f>Assumptions!$C$51/(I359+H369+H364)</f>
        <v>42.82094846055521</v>
      </c>
      <c r="J365" s="14">
        <f>Assumptions!$C$51/(J359+I369+I364)</f>
        <v>42.82094846077807</v>
      </c>
      <c r="K365" s="14">
        <f>Assumptions!$C$51/(K359+J369+J364)</f>
        <v>42.820948460780656</v>
      </c>
      <c r="L365" s="14">
        <f>Assumptions!$C$51/(L359+K369+K364)</f>
        <v>42.82094846078069</v>
      </c>
      <c r="M365" s="14">
        <f>Assumptions!$C$51/(M359+L369+L364)</f>
        <v>42.82094846078069</v>
      </c>
    </row>
    <row r="366" spans="2:13" x14ac:dyDescent="0.25">
      <c r="B366" s="15" t="s">
        <v>238</v>
      </c>
      <c r="D366" s="14">
        <f>D354*(1-Assumptions!$C$52)</f>
        <v>38.25</v>
      </c>
      <c r="E366" s="14">
        <f>E354*(1-Assumptions!$C$52)</f>
        <v>40.84659935554449</v>
      </c>
      <c r="F366" s="14">
        <f>F354*(1-Assumptions!$C$52)</f>
        <v>40.86697933166974</v>
      </c>
      <c r="G366" s="14">
        <f>G354*(1-Assumptions!$C$52)</f>
        <v>40.867239685045085</v>
      </c>
      <c r="H366" s="14">
        <f>H354*(1-Assumptions!$C$52)</f>
        <v>40.86724265237102</v>
      </c>
      <c r="I366" s="14">
        <f>I354*(1-Assumptions!$C$52)</f>
        <v>40.86724268685355</v>
      </c>
      <c r="J366" s="14">
        <f>J354*(1-Assumptions!$C$52)</f>
        <v>40.86724268725288</v>
      </c>
      <c r="K366" s="14">
        <f>K354*(1-Assumptions!$C$52)</f>
        <v>40.867242687257516</v>
      </c>
      <c r="L366" s="14">
        <f>L354*(1-Assumptions!$C$52)</f>
        <v>40.86724268725758</v>
      </c>
      <c r="M366" s="14">
        <f>M354*(1-Assumptions!$C$52)</f>
        <v>40.86724268725758</v>
      </c>
    </row>
    <row r="367" spans="2:13" x14ac:dyDescent="0.25">
      <c r="B367" s="15" t="s">
        <v>239</v>
      </c>
      <c r="D367" s="14">
        <f>MIN(D365,D366)</f>
        <v>38.25</v>
      </c>
      <c r="E367" s="14">
        <f>MIN(E365,E366)</f>
        <v>40.84659935554449</v>
      </c>
      <c r="F367" s="14">
        <f>MIN(F365,F366)</f>
        <v>40.86697933166974</v>
      </c>
      <c r="G367" s="14">
        <f>MIN(G365,G366)</f>
        <v>40.867239685045085</v>
      </c>
      <c r="H367" s="14">
        <f>MIN(H365,H366)</f>
        <v>40.86724265237102</v>
      </c>
      <c r="I367" s="14">
        <f>MIN(I365,I366)</f>
        <v>40.86724268685355</v>
      </c>
      <c r="J367" s="14">
        <f>MIN(J365,J366)</f>
        <v>40.86724268725288</v>
      </c>
      <c r="K367" s="14">
        <f>MIN(K365,K366)</f>
        <v>40.867242687257516</v>
      </c>
      <c r="L367" s="14">
        <f>MIN(L365,L366)</f>
        <v>40.86724268725758</v>
      </c>
      <c r="M367" s="14">
        <f>MIN(M365,M366)</f>
        <v>40.86724268725758</v>
      </c>
    </row>
    <row r="368" spans="2:13" x14ac:dyDescent="0.25">
      <c r="B368" s="15" t="s">
        <v>240</v>
      </c>
      <c r="D368" s="14">
        <f>Assumptions!$C$50/D367</f>
        <v>78431.37254901961</v>
      </c>
      <c r="E368" s="14">
        <f>Assumptions!$C$50/E367</f>
        <v>73445.52661255463</v>
      </c>
      <c r="F368" s="14">
        <f>Assumptions!$C$50/F367</f>
        <v>73408.9000229865</v>
      </c>
      <c r="G368" s="14">
        <f>Assumptions!$C$50/G367</f>
        <v>73408.43235609615</v>
      </c>
      <c r="H368" s="14">
        <f>Assumptions!$C$50/H367</f>
        <v>73408.4270259899</v>
      </c>
      <c r="I368" s="14">
        <f>Assumptions!$C$50/I367</f>
        <v>73408.42696405012</v>
      </c>
      <c r="J368" s="14">
        <f>Assumptions!$C$50/J367</f>
        <v>73408.42696333281</v>
      </c>
      <c r="K368" s="14">
        <f>Assumptions!$C$50/K367</f>
        <v>73408.42696332448</v>
      </c>
      <c r="L368" s="14">
        <f>Assumptions!$C$50/L367</f>
        <v>73408.42696332437</v>
      </c>
      <c r="M368" s="14">
        <f>Assumptions!$C$50/M367</f>
        <v>73408.42696332437</v>
      </c>
    </row>
    <row r="369" spans="2:13" x14ac:dyDescent="0.25">
      <c r="B369" s="5" t="s">
        <v>88</v>
      </c>
      <c r="D369" s="14">
        <f>MAX(0,(Assumptions!$C$60*(D359+D364+D368+D360)-Assumptions!$C$56)/(1-Assumptions!$C$60))</f>
        <v>561438.0810790402</v>
      </c>
      <c r="E369" s="14">
        <f>MAX(0,(Assumptions!$C$60*(E359+E364+E368+E360)-Assumptions!$C$56)/(1-Assumptions!$C$60))</f>
        <v>553500.3784308817</v>
      </c>
      <c r="F369" s="14">
        <f>MAX(0,(Assumptions!$C$60*(F359+F364+F368+F360)-Assumptions!$C$56)/(1-Assumptions!$C$60))</f>
        <v>553428.8997345747</v>
      </c>
      <c r="G369" s="14">
        <f>MAX(0,(Assumptions!$C$60*(G359+G364+G368+G360)-Assumptions!$C$56)/(1-Assumptions!$C$60))</f>
        <v>553428.0295766195</v>
      </c>
      <c r="H369" s="14">
        <f>MAX(0,(Assumptions!$C$60*(H359+H364+H368+H360)-Assumptions!$C$56)/(1-Assumptions!$C$60))</f>
        <v>553428.0195802397</v>
      </c>
      <c r="I369" s="14">
        <f>MAX(0,(Assumptions!$C$60*(I359+I364+I368+I360)-Assumptions!$C$56)/(1-Assumptions!$C$60))</f>
        <v>553428.0194642402</v>
      </c>
      <c r="J369" s="14">
        <f>MAX(0,(Assumptions!$C$60*(J359+J364+J368+J360)-Assumptions!$C$56)/(1-Assumptions!$C$60))</f>
        <v>553428.0194628953</v>
      </c>
      <c r="K369" s="14">
        <f>MAX(0,(Assumptions!$C$60*(K359+K364+K368+K360)-Assumptions!$C$56)/(1-Assumptions!$C$60))</f>
        <v>553428.0194628816</v>
      </c>
      <c r="L369" s="14">
        <f>MAX(0,(Assumptions!$C$60*(L359+L364+L368+L360)-Assumptions!$C$56)/(1-Assumptions!$C$60))</f>
        <v>553428.0194628816</v>
      </c>
      <c r="M369" s="14">
        <f>MAX(0,(Assumptions!$C$60*(M359+M364+M368+M360)-Assumptions!$C$56)/(1-Assumptions!$C$60))</f>
        <v>553428.0194628816</v>
      </c>
    </row>
    <row r="370" spans="2:13" x14ac:dyDescent="0.25">
      <c r="B370" s="9" t="s">
        <v>241</v>
      </c>
      <c r="D370" s="14">
        <f>D359+D369+D364+D368+D360</f>
        <v>38123885.23906954</v>
      </c>
      <c r="E370" s="14">
        <f>E359+E369+E364+E368+E360</f>
        <v>38062825.987929836</v>
      </c>
      <c r="F370" s="14">
        <f>F359+F369+F364+F368+F360</f>
        <v>38062276.15180442</v>
      </c>
      <c r="G370" s="14">
        <f>G359+G369+G364+G368+G360</f>
        <v>38062269.45828167</v>
      </c>
      <c r="H370" s="14">
        <f>H359+H369+H364+H368+H360</f>
        <v>38062269.38138647</v>
      </c>
      <c r="I370" s="14">
        <f>I359+I369+I364+I368+I360</f>
        <v>38062269.380494155</v>
      </c>
      <c r="J370" s="14">
        <f>J359+J369+J364+J368+J360</f>
        <v>38062269.38048381</v>
      </c>
      <c r="K370" s="14">
        <f>K359+K369+K364+K368+K360</f>
        <v>38062269.38048369</v>
      </c>
      <c r="L370" s="14">
        <f>L359+L369+L364+L368+L360</f>
        <v>38062269.38048369</v>
      </c>
      <c r="M370" s="14">
        <f>M359+M369+M364+M368+M360</f>
        <v>38062269.38048369</v>
      </c>
    </row>
    <row r="371" spans="2:13" x14ac:dyDescent="0.25">
      <c r="B371" s="5" t="s">
        <v>242</v>
      </c>
      <c r="D371" s="14">
        <f>D370-D360</f>
        <v>37457218.57240287</v>
      </c>
      <c r="E371" s="14">
        <f>E370-E360</f>
        <v>37438539.01172312</v>
      </c>
      <c r="F371" s="14">
        <f>F370-F360</f>
        <v>37438300.501609035</v>
      </c>
      <c r="G371" s="14">
        <f>G370-G360</f>
        <v>37438297.783254854</v>
      </c>
      <c r="H371" s="14">
        <f>H370-H360</f>
        <v>37438297.751665555</v>
      </c>
      <c r="I371" s="14">
        <f>I370-I360</f>
        <v>37438297.75129973</v>
      </c>
      <c r="J371" s="14">
        <f>J370-J360</f>
        <v>37438297.751295485</v>
      </c>
      <c r="K371" s="14">
        <f>K370-K360</f>
        <v>37438297.75129543</v>
      </c>
      <c r="L371" s="14">
        <f>L370-L360</f>
        <v>37438297.75129543</v>
      </c>
      <c r="M371" s="14">
        <f>M370-M360</f>
        <v>37438297.75129543</v>
      </c>
    </row>
    <row r="372" spans="2:13" x14ac:dyDescent="0.25">
      <c r="B372" s="9" t="s">
        <v>91</v>
      </c>
      <c r="D372" s="14">
        <f>Assumptions!$C$64/D371</f>
        <v>48.05482277122881</v>
      </c>
      <c r="E372" s="14">
        <f>Assumptions!$C$64/E371</f>
        <v>48.078799213729106</v>
      </c>
      <c r="F372" s="14">
        <f>Assumptions!$C$64/F371</f>
        <v>48.079105511817744</v>
      </c>
      <c r="G372" s="14">
        <f>Assumptions!$C$64/G371</f>
        <v>48.07910900278943</v>
      </c>
      <c r="H372" s="14">
        <f>Assumptions!$C$64/H371</f>
        <v>48.07910904335712</v>
      </c>
      <c r="I372" s="14">
        <f>Assumptions!$C$64/I371</f>
        <v>48.079109043826925</v>
      </c>
      <c r="J372" s="14">
        <f>Assumptions!$C$64/J371</f>
        <v>48.079109043832375</v>
      </c>
      <c r="K372" s="14">
        <f>Assumptions!$C$64/K371</f>
        <v>48.079109043832446</v>
      </c>
      <c r="L372" s="14">
        <f>Assumptions!$C$64/L371</f>
        <v>48.079109043832446</v>
      </c>
      <c r="M372" s="14">
        <f>Assumptions!$C$64/M371</f>
        <v>48.079109043832446</v>
      </c>
    </row>
    <row r="374" spans="2:8" x14ac:dyDescent="0.25">
      <c r="B374" s="5" t="s">
        <v>243</v>
      </c>
      <c r="D374" s="11">
        <f>Assumptions!$C$17+Assumptions!$C$42*Assumptions!$C$55</f>
        <v>2002500000</v>
      </c>
      <c r="E374" s="11">
        <f>Assumptions!$C$17+Assumptions!$C$42*Assumptions!$C$55</f>
        <v>2002500000</v>
      </c>
      <c r="F374" s="11">
        <f>Assumptions!$C$17+Assumptions!$C$42*Assumptions!$C$55</f>
        <v>2002500000</v>
      </c>
      <c r="G374" s="11">
        <f>Assumptions!$C$17+Assumptions!$C$42*Assumptions!$C$55</f>
        <v>2002500000</v>
      </c>
      <c r="H374" s="11">
        <f>Assumptions!$C$17+Assumptions!$C$42*Assumptions!$C$55</f>
        <v>2002500000</v>
      </c>
    </row>
    <row r="375" spans="2:8" x14ac:dyDescent="0.25">
      <c r="B375" s="15" t="s">
        <v>244</v>
      </c>
      <c r="D375" s="14" t="b">
        <v>0</v>
      </c>
      <c r="E375" s="14">
        <f>Assumptions!$C$7&gt;D386</f>
        <v>0</v>
      </c>
      <c r="F375" s="14">
        <f>Assumptions!$C$7&gt;E386</f>
        <v>0</v>
      </c>
      <c r="G375" s="14">
        <f>Assumptions!$C$7&gt;F386</f>
        <v>0</v>
      </c>
      <c r="H375" s="14">
        <f>Assumptions!$C$7&gt;G386</f>
        <v>0</v>
      </c>
    </row>
    <row r="376" spans="2:8" x14ac:dyDescent="0.25">
      <c r="B376" s="15" t="s">
        <v>245</v>
      </c>
      <c r="D376" s="14" t="b">
        <v>0</v>
      </c>
      <c r="E376" s="14">
        <f>Assumptions!$C$41*Assumptions!$C$28&gt;D387</f>
        <v>0</v>
      </c>
      <c r="F376" s="14">
        <f>Assumptions!$C$41*Assumptions!$C$28&gt;E387</f>
        <v>0</v>
      </c>
      <c r="G376" s="14">
        <f>Assumptions!$C$41*Assumptions!$C$28&gt;F387</f>
        <v>0</v>
      </c>
      <c r="H376" s="14">
        <f>Assumptions!$C$41*Assumptions!$C$28&gt;G387</f>
        <v>0</v>
      </c>
    </row>
    <row r="377" spans="2:8" x14ac:dyDescent="0.25">
      <c r="B377" s="15" t="s">
        <v>246</v>
      </c>
      <c r="D377" s="14" t="b">
        <v>0</v>
      </c>
      <c r="E377" s="14">
        <f>Assumptions!$C$40*Assumptions!$C$27&gt;D388</f>
        <v>1</v>
      </c>
      <c r="F377" s="14">
        <f>Assumptions!$C$40*Assumptions!$C$27&gt;E388</f>
        <v>1</v>
      </c>
      <c r="G377" s="14">
        <f>Assumptions!$C$40*Assumptions!$C$27&gt;F388</f>
        <v>1</v>
      </c>
      <c r="H377" s="14">
        <f>Assumptions!$C$40*Assumptions!$C$27&gt;G388</f>
        <v>1</v>
      </c>
    </row>
    <row r="378" spans="2:8" x14ac:dyDescent="0.25">
      <c r="B378" s="15" t="s">
        <v>247</v>
      </c>
      <c r="D378" s="14" t="b">
        <v>0</v>
      </c>
      <c r="E378" s="14">
        <f>Assumptions!$C$38*Assumptions!$C$25&gt;D389</f>
        <v>0</v>
      </c>
      <c r="F378" s="14">
        <f>Assumptions!$C$38*Assumptions!$C$25&gt;E389</f>
        <v>0</v>
      </c>
      <c r="G378" s="14">
        <f>Assumptions!$C$38*Assumptions!$C$25&gt;F389</f>
        <v>0</v>
      </c>
      <c r="H378" s="14">
        <f>Assumptions!$C$38*Assumptions!$C$25&gt;G389</f>
        <v>0</v>
      </c>
    </row>
    <row r="379" spans="2:8" x14ac:dyDescent="0.25">
      <c r="B379" s="15" t="s">
        <v>248</v>
      </c>
      <c r="D379" s="14" t="b">
        <v>0</v>
      </c>
      <c r="E379" s="14">
        <f>Assumptions!$C$37*Assumptions!$C$24&gt;D390</f>
        <v>0</v>
      </c>
      <c r="F379" s="14">
        <f>Assumptions!$C$37*Assumptions!$C$24&gt;E390</f>
        <v>0</v>
      </c>
      <c r="G379" s="14">
        <f>Assumptions!$C$37*Assumptions!$C$24&gt;F390</f>
        <v>0</v>
      </c>
      <c r="H379" s="14">
        <f>Assumptions!$C$37*Assumptions!$C$24&gt;G390</f>
        <v>0</v>
      </c>
    </row>
    <row r="380" spans="2:8" x14ac:dyDescent="0.25">
      <c r="B380" s="15" t="s">
        <v>249</v>
      </c>
      <c r="D380" s="14" t="b">
        <v>0</v>
      </c>
      <c r="E380" s="14">
        <f>Assumptions!$C$36*Assumptions!$C$23&gt;D391</f>
        <v>0</v>
      </c>
      <c r="F380" s="14">
        <f>Assumptions!$C$36*Assumptions!$C$23&gt;E391</f>
        <v>0</v>
      </c>
      <c r="G380" s="14">
        <f>Assumptions!$C$36*Assumptions!$C$23&gt;F391</f>
        <v>0</v>
      </c>
      <c r="H380" s="14">
        <f>Assumptions!$C$36*Assumptions!$C$23&gt;G391</f>
        <v>0</v>
      </c>
    </row>
    <row r="381" spans="2:8" x14ac:dyDescent="0.25">
      <c r="B381" s="15" t="s">
        <v>250</v>
      </c>
      <c r="D381" s="14" t="b">
        <v>0</v>
      </c>
      <c r="E381" s="14">
        <f>Assumptions!$C$35*Assumptions!$C$22&gt;D392</f>
        <v>0</v>
      </c>
      <c r="F381" s="14">
        <f>Assumptions!$C$35*Assumptions!$C$22&gt;E392</f>
        <v>0</v>
      </c>
      <c r="G381" s="14">
        <f>Assumptions!$C$35*Assumptions!$C$22&gt;F392</f>
        <v>0</v>
      </c>
      <c r="H381" s="14">
        <f>Assumptions!$C$35*Assumptions!$C$22&gt;G392</f>
        <v>0</v>
      </c>
    </row>
    <row r="382" spans="2:8" x14ac:dyDescent="0.25">
      <c r="B382" s="5" t="s">
        <v>251</v>
      </c>
      <c r="D382" s="11">
        <f>IF(D375,Assumptions!$C$7,0)+IF(D376,Assumptions!$C$41*Assumptions!$C$28,0)+IF(D377,Assumptions!$C$40*Assumptions!$C$27,0)+IF(D378,Assumptions!$C$38*Assumptions!$C$25,0)+IF(D379,Assumptions!$C$37*Assumptions!$C$24,0)+IF(D380,Assumptions!$C$36*Assumptions!$C$23,0)+IF(D381,Assumptions!$C$35*Assumptions!$C$22,0)</f>
        <v>0</v>
      </c>
      <c r="E382" s="11">
        <f>IF(E375,Assumptions!$C$7,0)+IF(E376,Assumptions!$C$41*Assumptions!$C$28,0)+IF(E377,Assumptions!$C$40*Assumptions!$C$27,0)+IF(E378,Assumptions!$C$38*Assumptions!$C$25,0)+IF(E379,Assumptions!$C$37*Assumptions!$C$24,0)+IF(E380,Assumptions!$C$36*Assumptions!$C$23,0)+IF(E381,Assumptions!$C$35*Assumptions!$C$22,0)</f>
        <v>100000020</v>
      </c>
      <c r="F382" s="11">
        <f>IF(F375,Assumptions!$C$7,0)+IF(F376,Assumptions!$C$41*Assumptions!$C$28,0)+IF(F377,Assumptions!$C$40*Assumptions!$C$27,0)+IF(F378,Assumptions!$C$38*Assumptions!$C$25,0)+IF(F379,Assumptions!$C$37*Assumptions!$C$24,0)+IF(F380,Assumptions!$C$36*Assumptions!$C$23,0)+IF(F381,Assumptions!$C$35*Assumptions!$C$22,0)</f>
        <v>100000020</v>
      </c>
      <c r="G382" s="11">
        <f>IF(G375,Assumptions!$C$7,0)+IF(G376,Assumptions!$C$41*Assumptions!$C$28,0)+IF(G377,Assumptions!$C$40*Assumptions!$C$27,0)+IF(G378,Assumptions!$C$38*Assumptions!$C$25,0)+IF(G379,Assumptions!$C$37*Assumptions!$C$24,0)+IF(G380,Assumptions!$C$36*Assumptions!$C$23,0)+IF(G381,Assumptions!$C$35*Assumptions!$C$22,0)</f>
        <v>100000020</v>
      </c>
      <c r="H382" s="11">
        <f>IF(H375,Assumptions!$C$7,0)+IF(H376,Assumptions!$C$41*Assumptions!$C$28,0)+IF(H377,Assumptions!$C$40*Assumptions!$C$27,0)+IF(H378,Assumptions!$C$38*Assumptions!$C$25,0)+IF(H379,Assumptions!$C$37*Assumptions!$C$24,0)+IF(H380,Assumptions!$C$36*Assumptions!$C$23,0)+IF(H381,Assumptions!$C$35*Assumptions!$C$22,0)</f>
        <v>100000020</v>
      </c>
    </row>
    <row r="383" spans="2:8" x14ac:dyDescent="0.25">
      <c r="B383" s="5" t="s">
        <v>252</v>
      </c>
      <c r="D383" s="14">
        <f>IF(D375,0,M360)+IF(D376,0,Assumptions!$C$41*Assumptions!$C$28/M357)+IF(D377,0,Assumptions!$C$40*Assumptions!$C$27/M355)+IF(D378,0,Assumptions!$C$38)+IF(D379,0,Assumptions!$C$37)+IF(D380,0,Assumptions!$C$36)+IF(D381,0,Assumptions!$C$35)+((Assumptions!$C$31+Assumptions!$C$32+Assumptions!$C$33+Assumptions!$C$34)+M364+M368+Assumptions!$C$42)</f>
        <v>35614174.36102082</v>
      </c>
      <c r="E383" s="14">
        <f>IF(E375,0,M360)+IF(E376,0,Assumptions!$C$41*Assumptions!$C$28/M357)+IF(E377,0,Assumptions!$C$40*Assumptions!$C$27/M355)+IF(E378,0,Assumptions!$C$38)+IF(E379,0,Assumptions!$C$37)+IF(E380,0,Assumptions!$C$36)+IF(E381,0,Assumptions!$C$35)+((Assumptions!$C$31+Assumptions!$C$32+Assumptions!$C$33+Assumptions!$C$34)+M364+M368+Assumptions!$C$42)</f>
        <v>33888552.76873855</v>
      </c>
      <c r="F383" s="14">
        <f>IF(F375,0,M360)+IF(F376,0,Assumptions!$C$41*Assumptions!$C$28/M357)+IF(F377,0,Assumptions!$C$40*Assumptions!$C$27/M355)+IF(F378,0,Assumptions!$C$38)+IF(F379,0,Assumptions!$C$37)+IF(F380,0,Assumptions!$C$36)+IF(F381,0,Assumptions!$C$35)+((Assumptions!$C$31+Assumptions!$C$32+Assumptions!$C$33+Assumptions!$C$34)+M364+M368+Assumptions!$C$42)</f>
        <v>33888552.76873855</v>
      </c>
      <c r="G383" s="14">
        <f>IF(G375,0,M360)+IF(G376,0,Assumptions!$C$41*Assumptions!$C$28/M357)+IF(G377,0,Assumptions!$C$40*Assumptions!$C$27/M355)+IF(G378,0,Assumptions!$C$38)+IF(G379,0,Assumptions!$C$37)+IF(G380,0,Assumptions!$C$36)+IF(G381,0,Assumptions!$C$35)+((Assumptions!$C$31+Assumptions!$C$32+Assumptions!$C$33+Assumptions!$C$34)+M364+M368+Assumptions!$C$42)</f>
        <v>33888552.76873855</v>
      </c>
      <c r="H383" s="14">
        <f>IF(H375,0,M360)+IF(H376,0,Assumptions!$C$41*Assumptions!$C$28/M357)+IF(H377,0,Assumptions!$C$40*Assumptions!$C$27/M355)+IF(H378,0,Assumptions!$C$38)+IF(H379,0,Assumptions!$C$37)+IF(H380,0,Assumptions!$C$36)+IF(H381,0,Assumptions!$C$35)+((Assumptions!$C$31+Assumptions!$C$32+Assumptions!$C$33+Assumptions!$C$34)+M364+M368+Assumptions!$C$42)</f>
        <v>33888552.76873855</v>
      </c>
    </row>
    <row r="384" spans="2:8" x14ac:dyDescent="0.25">
      <c r="B384" s="5" t="s">
        <v>253</v>
      </c>
      <c r="D384" s="11">
        <f>D374-D382</f>
        <v>2002500000</v>
      </c>
      <c r="E384" s="11">
        <f>E374-E382</f>
        <v>1902499980</v>
      </c>
      <c r="F384" s="11">
        <f>F374-F382</f>
        <v>1902499980</v>
      </c>
      <c r="G384" s="11">
        <f>G374-G382</f>
        <v>1902499980</v>
      </c>
      <c r="H384" s="11">
        <f>H374-H382</f>
        <v>1902499980</v>
      </c>
    </row>
    <row r="385" spans="2:8" x14ac:dyDescent="0.25">
      <c r="B385" s="9" t="s">
        <v>254</v>
      </c>
      <c r="D385" s="11">
        <f>D384/D383</f>
        <v>56.22761262694626</v>
      </c>
      <c r="E385" s="11">
        <f>E384/E383</f>
        <v>56.13990048447907</v>
      </c>
      <c r="F385" s="11">
        <f>F384/F383</f>
        <v>56.13990048447907</v>
      </c>
      <c r="G385" s="11">
        <f>G384/G383</f>
        <v>56.13990048447907</v>
      </c>
      <c r="H385" s="11">
        <f>H384/H383</f>
        <v>56.13990048447907</v>
      </c>
    </row>
    <row r="386" spans="2:8" x14ac:dyDescent="0.25">
      <c r="B386" s="15" t="s">
        <v>255</v>
      </c>
      <c r="D386" s="11">
        <f>M360*D385</f>
        <v>35084435.05620188</v>
      </c>
      <c r="E386" s="11">
        <f>M360*E385</f>
        <v>35029705.16776703</v>
      </c>
      <c r="F386" s="11">
        <f>M360*F385</f>
        <v>35029705.16776703</v>
      </c>
      <c r="G386" s="11">
        <f>M360*G385</f>
        <v>35029705.16776703</v>
      </c>
      <c r="H386" s="11">
        <f>M360*H385</f>
        <v>35029705.16776703</v>
      </c>
    </row>
    <row r="387" spans="2:8" x14ac:dyDescent="0.25">
      <c r="B387" s="15" t="s">
        <v>256</v>
      </c>
      <c r="D387" s="11">
        <f>Assumptions!$C$41*Assumptions!$C$28/M357*D385</f>
        <v>343264656.5641365</v>
      </c>
      <c r="E387" s="11">
        <f>Assumptions!$C$41*Assumptions!$C$28/M357*E385</f>
        <v>342729181.6070142</v>
      </c>
      <c r="F387" s="11">
        <f>Assumptions!$C$41*Assumptions!$C$28/M357*F385</f>
        <v>342729181.6070142</v>
      </c>
      <c r="G387" s="11">
        <f>Assumptions!$C$41*Assumptions!$C$28/M357*G385</f>
        <v>342729181.6070142</v>
      </c>
      <c r="H387" s="11">
        <f>Assumptions!$C$41*Assumptions!$C$28/M357*H385</f>
        <v>342729181.6070142</v>
      </c>
    </row>
    <row r="388" spans="2:8" x14ac:dyDescent="0.25">
      <c r="B388" s="15" t="s">
        <v>257</v>
      </c>
      <c r="D388" s="11">
        <f>Assumptions!$C$40*Assumptions!$C$27/M355*D385</f>
        <v>97027582.43154117</v>
      </c>
      <c r="E388" s="11">
        <f>Assumptions!$C$40*Assumptions!$C$27/M355*E385</f>
        <v>96876224.46459445</v>
      </c>
      <c r="F388" s="11">
        <f>Assumptions!$C$40*Assumptions!$C$27/M355*F385</f>
        <v>96876224.46459445</v>
      </c>
      <c r="G388" s="11">
        <f>Assumptions!$C$40*Assumptions!$C$27/M355*G385</f>
        <v>96876224.46459445</v>
      </c>
      <c r="H388" s="11">
        <f>Assumptions!$C$40*Assumptions!$C$27/M355*H385</f>
        <v>96876224.46459445</v>
      </c>
    </row>
    <row r="389" spans="2:8" x14ac:dyDescent="0.25">
      <c r="B389" s="15" t="s">
        <v>258</v>
      </c>
      <c r="D389" s="11">
        <f>Assumptions!$C$38*D385</f>
        <v>134946270.30467102</v>
      </c>
      <c r="E389" s="11">
        <f>Assumptions!$C$38*E385</f>
        <v>134735761.16274977</v>
      </c>
      <c r="F389" s="11">
        <f>Assumptions!$C$38*F385</f>
        <v>134735761.16274977</v>
      </c>
      <c r="G389" s="11">
        <f>Assumptions!$C$38*G385</f>
        <v>134735761.16274977</v>
      </c>
      <c r="H389" s="11">
        <f>Assumptions!$C$38*H385</f>
        <v>134735761.16274977</v>
      </c>
    </row>
    <row r="390" spans="2:8" x14ac:dyDescent="0.25">
      <c r="B390" s="15" t="s">
        <v>259</v>
      </c>
      <c r="D390" s="11">
        <f>Assumptions!$C$37*D385</f>
        <v>168682837.88083878</v>
      </c>
      <c r="E390" s="11">
        <f>Assumptions!$C$37*E385</f>
        <v>168419701.4534372</v>
      </c>
      <c r="F390" s="11">
        <f>Assumptions!$C$37*F385</f>
        <v>168419701.4534372</v>
      </c>
      <c r="G390" s="11">
        <f>Assumptions!$C$37*G385</f>
        <v>168419701.4534372</v>
      </c>
      <c r="H390" s="11">
        <f>Assumptions!$C$37*H385</f>
        <v>168419701.4534372</v>
      </c>
    </row>
    <row r="391" spans="2:8" x14ac:dyDescent="0.25">
      <c r="B391" s="15" t="s">
        <v>260</v>
      </c>
      <c r="D391" s="11">
        <f>Assumptions!$C$36*D385</f>
        <v>281138063.1347313</v>
      </c>
      <c r="E391" s="11">
        <f>Assumptions!$C$36*E385</f>
        <v>280699502.42239535</v>
      </c>
      <c r="F391" s="11">
        <f>Assumptions!$C$36*F385</f>
        <v>280699502.42239535</v>
      </c>
      <c r="G391" s="11">
        <f>Assumptions!$C$36*G385</f>
        <v>280699502.42239535</v>
      </c>
      <c r="H391" s="11">
        <f>Assumptions!$C$36*H385</f>
        <v>280699502.42239535</v>
      </c>
    </row>
    <row r="392" spans="2:8" x14ac:dyDescent="0.25">
      <c r="B392" s="15" t="s">
        <v>261</v>
      </c>
      <c r="D392" s="11">
        <f>Assumptions!$C$35*D385</f>
        <v>281138063.1347313</v>
      </c>
      <c r="E392" s="11">
        <f>Assumptions!$C$35*E385</f>
        <v>280699502.42239535</v>
      </c>
      <c r="F392" s="11">
        <f>Assumptions!$C$35*F385</f>
        <v>280699502.42239535</v>
      </c>
      <c r="G392" s="11">
        <f>Assumptions!$C$35*G385</f>
        <v>280699502.42239535</v>
      </c>
      <c r="H392" s="11">
        <f>Assumptions!$C$35*H385</f>
        <v>280699502.42239535</v>
      </c>
    </row>
    <row r="395" spans="2:13" x14ac:dyDescent="0.25">
      <c r="B395" s="3" t="s">
        <v>269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2:3" x14ac:dyDescent="0.25">
      <c r="B396" s="5" t="s">
        <v>225</v>
      </c>
      <c r="C396" s="11">
        <f>Assumptions!$C$64</f>
        <v>1800000000</v>
      </c>
    </row>
    <row r="397" spans="2:3" x14ac:dyDescent="0.25">
      <c r="B397" s="5" t="s">
        <v>226</v>
      </c>
      <c r="C397" s="18">
        <f>Assumptions!$C$61</f>
        <v>0.15</v>
      </c>
    </row>
    <row r="398" spans="2:13" x14ac:dyDescent="0.25">
      <c r="B398" s="12" t="s">
        <v>62</v>
      </c>
      <c r="D398" s="13" t="s">
        <v>63</v>
      </c>
      <c r="E398" s="13" t="s">
        <v>64</v>
      </c>
      <c r="F398" s="13" t="s">
        <v>65</v>
      </c>
      <c r="G398" s="13" t="s">
        <v>66</v>
      </c>
      <c r="H398" s="13" t="s">
        <v>67</v>
      </c>
      <c r="I398" s="13" t="s">
        <v>68</v>
      </c>
      <c r="J398" s="13" t="s">
        <v>69</v>
      </c>
      <c r="K398" s="13" t="s">
        <v>70</v>
      </c>
      <c r="L398" s="13" t="s">
        <v>71</v>
      </c>
      <c r="M398" s="13" t="s">
        <v>72</v>
      </c>
    </row>
    <row r="399" spans="2:13" x14ac:dyDescent="0.25">
      <c r="B399" s="5" t="s">
        <v>73</v>
      </c>
      <c r="D399" s="8">
        <v>45</v>
      </c>
      <c r="E399" s="14">
        <f>D417</f>
        <v>46.93091235694082</v>
      </c>
      <c r="F399" s="14">
        <f>E417</f>
        <v>46.938763450329006</v>
      </c>
      <c r="G399" s="14">
        <f>F417</f>
        <v>46.93889698283672</v>
      </c>
      <c r="H399" s="14">
        <f>G417</f>
        <v>46.9388985607635</v>
      </c>
      <c r="I399" s="14">
        <f>H417</f>
        <v>46.938898580478565</v>
      </c>
      <c r="J399" s="14">
        <f>I417</f>
        <v>46.938898580722515</v>
      </c>
      <c r="K399" s="14">
        <f>J417</f>
        <v>46.93889858072555</v>
      </c>
      <c r="L399" s="14">
        <f>K417</f>
        <v>46.938898580725585</v>
      </c>
      <c r="M399" s="14">
        <f>L417</f>
        <v>46.93889858072559</v>
      </c>
    </row>
    <row r="400" spans="2:13" x14ac:dyDescent="0.25">
      <c r="B400" s="5" t="s">
        <v>227</v>
      </c>
      <c r="D400" s="14">
        <f>IF(D399&lt;Assumptions!$C$26,Assumptions!$C$26*(Assumptions!$C$44+Assumptions!$C$7/Assumptions!$C$26)/(Assumptions!$C$44+Assumptions!$C$7/D399),Assumptions!$C$26)</f>
        <v>57.88378478994243</v>
      </c>
      <c r="E400" s="14">
        <f>IF(E399&lt;Assumptions!$C$26,Assumptions!$C$26*(Assumptions!$C$44+Assumptions!$C$7/Assumptions!$C$26)/(Assumptions!$C$44+Assumptions!$C$7/E399),Assumptions!$C$26)</f>
        <v>57.92639945014947</v>
      </c>
      <c r="F400" s="14">
        <f>IF(F399&lt;Assumptions!$C$26,Assumptions!$C$26*(Assumptions!$C$44+Assumptions!$C$7/Assumptions!$C$26)/(Assumptions!$C$44+Assumptions!$C$7/F399),Assumptions!$C$26)</f>
        <v>57.92656568739784</v>
      </c>
      <c r="G400" s="14">
        <f>IF(G399&lt;Assumptions!$C$26,Assumptions!$C$26*(Assumptions!$C$44+Assumptions!$C$7/Assumptions!$C$26)/(Assumptions!$C$44+Assumptions!$C$7/G399),Assumptions!$C$26)</f>
        <v>57.92656851431178</v>
      </c>
      <c r="H400" s="14">
        <f>IF(H399&lt;Assumptions!$C$26,Assumptions!$C$26*(Assumptions!$C$44+Assumptions!$C$7/Assumptions!$C$26)/(Assumptions!$C$44+Assumptions!$C$7/H399),Assumptions!$C$26)</f>
        <v>57.926568547716755</v>
      </c>
      <c r="I400" s="14">
        <f>IF(I399&lt;Assumptions!$C$26,Assumptions!$C$26*(Assumptions!$C$44+Assumptions!$C$7/Assumptions!$C$26)/(Assumptions!$C$44+Assumptions!$C$7/I399),Assumptions!$C$26)</f>
        <v>57.92656854813413</v>
      </c>
      <c r="J400" s="14">
        <f>IF(J399&lt;Assumptions!$C$26,Assumptions!$C$26*(Assumptions!$C$44+Assumptions!$C$7/Assumptions!$C$26)/(Assumptions!$C$44+Assumptions!$C$7/J399),Assumptions!$C$26)</f>
        <v>57.9265685481393</v>
      </c>
      <c r="K400" s="14">
        <f>IF(K399&lt;Assumptions!$C$26,Assumptions!$C$26*(Assumptions!$C$44+Assumptions!$C$7/Assumptions!$C$26)/(Assumptions!$C$44+Assumptions!$C$7/K399),Assumptions!$C$26)</f>
        <v>57.92656854813936</v>
      </c>
      <c r="L400" s="14">
        <f>IF(L399&lt;Assumptions!$C$26,Assumptions!$C$26*(Assumptions!$C$44+Assumptions!$C$7/Assumptions!$C$26)/(Assumptions!$C$44+Assumptions!$C$7/L399),Assumptions!$C$26)</f>
        <v>57.926568548139365</v>
      </c>
      <c r="M400" s="14">
        <f>IF(M399&lt;Assumptions!$C$26,Assumptions!$C$26*(Assumptions!$C$44+Assumptions!$C$7/Assumptions!$C$26)/(Assumptions!$C$44+Assumptions!$C$7/M399),Assumptions!$C$26)</f>
        <v>57.926568548139365</v>
      </c>
    </row>
    <row r="401" spans="2:13" x14ac:dyDescent="0.25">
      <c r="B401" s="15" t="s">
        <v>228</v>
      </c>
      <c r="D401" s="14">
        <f>Assumptions!$C$40*Assumptions!$C$27/D400-Assumptions!$C$39</f>
        <v>6972.8859247963</v>
      </c>
      <c r="E401" s="14">
        <f>Assumptions!$C$40*Assumptions!$C$27/E400-Assumptions!$C$39</f>
        <v>5701.9441294968</v>
      </c>
      <c r="F401" s="14">
        <f>Assumptions!$C$40*Assumptions!$C$27/F400-Assumptions!$C$39</f>
        <v>5696.989922907</v>
      </c>
      <c r="G401" s="14">
        <f>Assumptions!$C$40*Assumptions!$C$27/G400-Assumptions!$C$39</f>
        <v>5696.9056753938</v>
      </c>
      <c r="H401" s="14">
        <f>Assumptions!$C$40*Assumptions!$C$27/H400-Assumptions!$C$39</f>
        <v>5696.9046798607</v>
      </c>
      <c r="I401" s="14">
        <f>Assumptions!$C$40*Assumptions!$C$27/I400-Assumptions!$C$39</f>
        <v>5696.9046674222</v>
      </c>
      <c r="J401" s="14">
        <f>Assumptions!$C$40*Assumptions!$C$27/J400-Assumptions!$C$39</f>
        <v>5696.904667268</v>
      </c>
      <c r="K401" s="14">
        <f>Assumptions!$C$40*Assumptions!$C$27/K400-Assumptions!$C$39</f>
        <v>5696.9046672664</v>
      </c>
      <c r="L401" s="14">
        <f>Assumptions!$C$40*Assumptions!$C$27/L400-Assumptions!$C$39</f>
        <v>5696.9046672662</v>
      </c>
      <c r="M401" s="14">
        <f>Assumptions!$C$40*Assumptions!$C$27/M400-Assumptions!$C$39</f>
        <v>5696.9046672662</v>
      </c>
    </row>
    <row r="402" spans="2:13" x14ac:dyDescent="0.25">
      <c r="B402" s="5" t="s">
        <v>229</v>
      </c>
      <c r="D402" s="14">
        <f>IF(D399&lt;Assumptions!$C$28,Assumptions!$C$28*(Assumptions!$C$44+Assumptions!$C$7/Assumptions!$C$28)/(Assumptions!$C$44+Assumptions!$C$7/D399),Assumptions!$C$28)</f>
        <v>49.08395844489023</v>
      </c>
      <c r="E402" s="14">
        <f>IF(E399&lt;Assumptions!$C$28,Assumptions!$C$28*(Assumptions!$C$44+Assumptions!$C$7/Assumptions!$C$28)/(Assumptions!$C$44+Assumptions!$C$7/E399),Assumptions!$C$28)</f>
        <v>49.120094579013724</v>
      </c>
      <c r="F402" s="14">
        <f>IF(F399&lt;Assumptions!$C$28,Assumptions!$C$28*(Assumptions!$C$44+Assumptions!$C$7/Assumptions!$C$28)/(Assumptions!$C$44+Assumptions!$C$7/F399),Assumptions!$C$28)</f>
        <v>49.120235543918156</v>
      </c>
      <c r="G402" s="14">
        <f>IF(G399&lt;Assumptions!$C$28,Assumptions!$C$28*(Assumptions!$C$44+Assumptions!$C$7/Assumptions!$C$28)/(Assumptions!$C$44+Assumptions!$C$7/G399),Assumptions!$C$28)</f>
        <v>49.12023794106836</v>
      </c>
      <c r="H402" s="14">
        <f>IF(H399&lt;Assumptions!$C$28,Assumptions!$C$28*(Assumptions!$C$44+Assumptions!$C$7/Assumptions!$C$28)/(Assumptions!$C$44+Assumptions!$C$7/H399),Assumptions!$C$28)</f>
        <v>49.12023796939492</v>
      </c>
      <c r="I402" s="14">
        <f>IF(I399&lt;Assumptions!$C$28,Assumptions!$C$28*(Assumptions!$C$44+Assumptions!$C$7/Assumptions!$C$28)/(Assumptions!$C$44+Assumptions!$C$7/I399),Assumptions!$C$28)</f>
        <v>49.12023796974884</v>
      </c>
      <c r="J402" s="14">
        <f>IF(J399&lt;Assumptions!$C$28,Assumptions!$C$28*(Assumptions!$C$44+Assumptions!$C$7/Assumptions!$C$28)/(Assumptions!$C$44+Assumptions!$C$7/J399),Assumptions!$C$28)</f>
        <v>49.12023796975323</v>
      </c>
      <c r="K402" s="14">
        <f>IF(K399&lt;Assumptions!$C$28,Assumptions!$C$28*(Assumptions!$C$44+Assumptions!$C$7/Assumptions!$C$28)/(Assumptions!$C$44+Assumptions!$C$7/K399),Assumptions!$C$28)</f>
        <v>49.12023796975327</v>
      </c>
      <c r="L402" s="14">
        <f>IF(L399&lt;Assumptions!$C$28,Assumptions!$C$28*(Assumptions!$C$44+Assumptions!$C$7/Assumptions!$C$28)/(Assumptions!$C$44+Assumptions!$C$7/L399),Assumptions!$C$28)</f>
        <v>49.12023796975328</v>
      </c>
      <c r="M402" s="14">
        <f>IF(M399&lt;Assumptions!$C$28,Assumptions!$C$28*(Assumptions!$C$44+Assumptions!$C$7/Assumptions!$C$28)/(Assumptions!$C$44+Assumptions!$C$7/M399),Assumptions!$C$28)</f>
        <v>49.12023796975328</v>
      </c>
    </row>
    <row r="403" spans="2:13" x14ac:dyDescent="0.25">
      <c r="B403" s="15" t="s">
        <v>230</v>
      </c>
      <c r="D403" s="14">
        <f>Assumptions!$C$41*Assumptions!$C$28/D402-Assumptions!$C$41</f>
        <v>9244.341711835</v>
      </c>
      <c r="E403" s="14">
        <f>Assumptions!$C$41*Assumptions!$C$28/E402-Assumptions!$C$41</f>
        <v>4747.997600776</v>
      </c>
      <c r="F403" s="14">
        <f>Assumptions!$C$41*Assumptions!$C$28/F402-Assumptions!$C$41</f>
        <v>4730.470584427</v>
      </c>
      <c r="G403" s="14">
        <f>Assumptions!$C$41*Assumptions!$C$28/G402-Assumptions!$C$41</f>
        <v>4730.172533161</v>
      </c>
      <c r="H403" s="14">
        <f>Assumptions!$C$41*Assumptions!$C$28/H402-Assumptions!$C$41</f>
        <v>4730.16901116</v>
      </c>
      <c r="I403" s="14">
        <f>Assumptions!$C$41*Assumptions!$C$28/I402-Assumptions!$C$41</f>
        <v>4730.168967155</v>
      </c>
      <c r="J403" s="14">
        <f>Assumptions!$C$41*Assumptions!$C$28/J402-Assumptions!$C$41</f>
        <v>4730.168966609</v>
      </c>
      <c r="K403" s="14">
        <f>Assumptions!$C$41*Assumptions!$C$28/K402-Assumptions!$C$41</f>
        <v>4730.168966603</v>
      </c>
      <c r="L403" s="14">
        <f>Assumptions!$C$41*Assumptions!$C$28/L402-Assumptions!$C$41</f>
        <v>4730.1689666025</v>
      </c>
      <c r="M403" s="14">
        <f>Assumptions!$C$41*Assumptions!$C$28/M402-Assumptions!$C$41</f>
        <v>4730.1689666025</v>
      </c>
    </row>
    <row r="404" spans="2:13" x14ac:dyDescent="0.25">
      <c r="B404" s="5" t="s">
        <v>231</v>
      </c>
      <c r="D404" s="14">
        <f>Assumptions!$C$44+D401+D403</f>
        <v>36634178.22763663</v>
      </c>
      <c r="E404" s="14">
        <f>Assumptions!$C$44+E401+E403</f>
        <v>36628410.941730276</v>
      </c>
      <c r="F404" s="14">
        <f>Assumptions!$C$44+F401+F403</f>
        <v>36628388.460507326</v>
      </c>
      <c r="G404" s="14">
        <f>Assumptions!$C$44+G401+G403</f>
        <v>36628388.07820856</v>
      </c>
      <c r="H404" s="14">
        <f>Assumptions!$C$44+H401+H403</f>
        <v>36628388.07369102</v>
      </c>
      <c r="I404" s="14">
        <f>Assumptions!$C$44+I401+I403</f>
        <v>36628388.07363457</v>
      </c>
      <c r="J404" s="14">
        <f>Assumptions!$C$44+J401+J403</f>
        <v>36628388.07363387</v>
      </c>
      <c r="K404" s="14">
        <f>Assumptions!$C$44+K401+K403</f>
        <v>36628388.07363387</v>
      </c>
      <c r="L404" s="14">
        <f>Assumptions!$C$44+L401+L403</f>
        <v>36628388.07363387</v>
      </c>
      <c r="M404" s="14">
        <f>Assumptions!$C$44+M401+M403</f>
        <v>36628388.07363387</v>
      </c>
    </row>
    <row r="405" spans="2:13" x14ac:dyDescent="0.25">
      <c r="B405" s="5" t="s">
        <v>232</v>
      </c>
      <c r="D405" s="14">
        <f>Assumptions!$C$7/D399</f>
        <v>666666.6666666666</v>
      </c>
      <c r="E405" s="14">
        <f>Assumptions!$C$7/E399</f>
        <v>639237.5194377223</v>
      </c>
      <c r="F405" s="14">
        <f>Assumptions!$C$7/F399</f>
        <v>639130.5989930104</v>
      </c>
      <c r="G405" s="14">
        <f>Assumptions!$C$7/G399</f>
        <v>639128.7807842938</v>
      </c>
      <c r="H405" s="14">
        <f>Assumptions!$C$7/H399</f>
        <v>639128.759298949</v>
      </c>
      <c r="I405" s="14">
        <f>Assumptions!$C$7/I399</f>
        <v>639128.7590305051</v>
      </c>
      <c r="J405" s="14">
        <f>Assumptions!$C$7/J399</f>
        <v>639128.7590271834</v>
      </c>
      <c r="K405" s="14">
        <f>Assumptions!$C$7/K399</f>
        <v>639128.7590271421</v>
      </c>
      <c r="L405" s="14">
        <f>Assumptions!$C$7/L399</f>
        <v>639128.7590271416</v>
      </c>
      <c r="M405" s="14">
        <f>Assumptions!$C$7/M399</f>
        <v>639128.7590271415</v>
      </c>
    </row>
    <row r="406" spans="2:13" x14ac:dyDescent="0.25">
      <c r="B406" s="15" t="s">
        <v>233</v>
      </c>
      <c r="D406" s="14">
        <f>Assumptions!$C$48/(D404+0+0)</f>
        <v>27.296913657683888</v>
      </c>
      <c r="E406" s="14">
        <f>Assumptions!$C$48/(E404+D414+D413)</f>
        <v>26.201802675704165</v>
      </c>
      <c r="F406" s="14">
        <f>Assumptions!$C$48/(F404+E414+E413)</f>
        <v>26.207520074722307</v>
      </c>
      <c r="G406" s="14">
        <f>Assumptions!$C$48/(G404+F414+F413)</f>
        <v>26.20755123169728</v>
      </c>
      <c r="H406" s="14">
        <f>Assumptions!$C$48/(H404+G414+G413)</f>
        <v>26.207551701852744</v>
      </c>
      <c r="I406" s="14">
        <f>Assumptions!$C$48/(I404+H414+H413)</f>
        <v>26.207551707500542</v>
      </c>
      <c r="J406" s="14">
        <f>Assumptions!$C$48/(J404+I414+I413)</f>
        <v>26.207551707570904</v>
      </c>
      <c r="K406" s="14">
        <f>Assumptions!$C$48/(K404+J414+J413)</f>
        <v>26.20755170757177</v>
      </c>
      <c r="L406" s="14">
        <f>Assumptions!$C$48/(L404+K414+K413)</f>
        <v>26.207551707571785</v>
      </c>
      <c r="M406" s="14">
        <f>Assumptions!$C$48/(M404+L414+L413)</f>
        <v>26.207551707571785</v>
      </c>
    </row>
    <row r="407" spans="2:13" x14ac:dyDescent="0.25">
      <c r="B407" s="15" t="s">
        <v>234</v>
      </c>
      <c r="D407" s="14">
        <f>D399*(1-Assumptions!$C$49)</f>
        <v>36</v>
      </c>
      <c r="E407" s="14">
        <f>E399*(1-Assumptions!$C$49)</f>
        <v>37.544729885552655</v>
      </c>
      <c r="F407" s="14">
        <f>F399*(1-Assumptions!$C$49)</f>
        <v>37.5510107602632</v>
      </c>
      <c r="G407" s="14">
        <f>G399*(1-Assumptions!$C$49)</f>
        <v>37.55111758626938</v>
      </c>
      <c r="H407" s="14">
        <f>H399*(1-Assumptions!$C$49)</f>
        <v>37.5511188486108</v>
      </c>
      <c r="I407" s="14">
        <f>I399*(1-Assumptions!$C$49)</f>
        <v>37.55111886438285</v>
      </c>
      <c r="J407" s="14">
        <f>J399*(1-Assumptions!$C$49)</f>
        <v>37.551118864578015</v>
      </c>
      <c r="K407" s="14">
        <f>K399*(1-Assumptions!$C$49)</f>
        <v>37.55111886458044</v>
      </c>
      <c r="L407" s="14">
        <f>L399*(1-Assumptions!$C$49)</f>
        <v>37.55111886458047</v>
      </c>
      <c r="M407" s="14">
        <f>M399*(1-Assumptions!$C$49)</f>
        <v>37.551118864580474</v>
      </c>
    </row>
    <row r="408" spans="2:13" x14ac:dyDescent="0.25">
      <c r="B408" s="15" t="s">
        <v>235</v>
      </c>
      <c r="D408" s="14">
        <f>MIN(D406,D407)</f>
        <v>27.296913657683888</v>
      </c>
      <c r="E408" s="14">
        <f>MIN(E406,E407)</f>
        <v>26.201802675704165</v>
      </c>
      <c r="F408" s="14">
        <f>MIN(F406,F407)</f>
        <v>26.207520074722307</v>
      </c>
      <c r="G408" s="14">
        <f>MIN(G406,G407)</f>
        <v>26.20755123169728</v>
      </c>
      <c r="H408" s="14">
        <f>MIN(H406,H407)</f>
        <v>26.207551701852744</v>
      </c>
      <c r="I408" s="14">
        <f>MIN(I406,I407)</f>
        <v>26.207551707500542</v>
      </c>
      <c r="J408" s="14">
        <f>MIN(J406,J407)</f>
        <v>26.207551707570904</v>
      </c>
      <c r="K408" s="14">
        <f>MIN(K406,K407)</f>
        <v>26.20755170757177</v>
      </c>
      <c r="L408" s="14">
        <f>MIN(L406,L407)</f>
        <v>26.207551707571785</v>
      </c>
      <c r="M408" s="14">
        <f>MIN(M406,M407)</f>
        <v>26.207551707571785</v>
      </c>
    </row>
    <row r="409" spans="2:13" x14ac:dyDescent="0.25">
      <c r="B409" s="15" t="s">
        <v>236</v>
      </c>
      <c r="D409" s="14">
        <f>Assumptions!$C$47/D408</f>
        <v>183170.89113818313</v>
      </c>
      <c r="E409" s="14">
        <f>Assumptions!$C$47/E408</f>
        <v>190826.56494609397</v>
      </c>
      <c r="F409" s="14">
        <f>Assumptions!$C$47/F408</f>
        <v>190784.9344670579</v>
      </c>
      <c r="G409" s="14">
        <f>Assumptions!$C$47/G408</f>
        <v>190784.707651459</v>
      </c>
      <c r="H409" s="14">
        <f>Assumptions!$C$47/H408</f>
        <v>190784.7042288397</v>
      </c>
      <c r="I409" s="14">
        <f>Assumptions!$C$47/I408</f>
        <v>190784.70418772506</v>
      </c>
      <c r="J409" s="14">
        <f>Assumptions!$C$47/J408</f>
        <v>190784.70418721286</v>
      </c>
      <c r="K409" s="14">
        <f>Assumptions!$C$47/K408</f>
        <v>190784.70418720655</v>
      </c>
      <c r="L409" s="14">
        <f>Assumptions!$C$47/L408</f>
        <v>190784.70418720643</v>
      </c>
      <c r="M409" s="14">
        <f>Assumptions!$C$47/M408</f>
        <v>190784.70418720643</v>
      </c>
    </row>
    <row r="410" spans="2:13" x14ac:dyDescent="0.25">
      <c r="B410" s="15" t="s">
        <v>237</v>
      </c>
      <c r="D410" s="14">
        <f>Assumptions!$C$51/(D404+0+0)</f>
        <v>43.67506185229422</v>
      </c>
      <c r="E410" s="14">
        <f>Assumptions!$C$51/(E404+D414+D409)</f>
        <v>41.808147497931024</v>
      </c>
      <c r="F410" s="14">
        <f>Assumptions!$C$51/(F404+E414+E409)</f>
        <v>41.805354794280284</v>
      </c>
      <c r="G410" s="14">
        <f>Assumptions!$C$51/(G404+F414+F409)</f>
        <v>41.80543607799785</v>
      </c>
      <c r="H410" s="14">
        <f>Assumptions!$C$51/(H404+G414+G409)</f>
        <v>41.80543683980975</v>
      </c>
      <c r="I410" s="14">
        <f>Assumptions!$C$51/(I404+H414+H409)</f>
        <v>41.80543684976927</v>
      </c>
      <c r="J410" s="14">
        <f>Assumptions!$C$51/(J404+I414+I409)</f>
        <v>41.80543684989159</v>
      </c>
      <c r="K410" s="14">
        <f>Assumptions!$C$51/(K404+J414+J409)</f>
        <v>41.80543684989309</v>
      </c>
      <c r="L410" s="14">
        <f>Assumptions!$C$51/(L404+K414+K409)</f>
        <v>41.80543684989312</v>
      </c>
      <c r="M410" s="14">
        <f>Assumptions!$C$51/(M404+L414+L409)</f>
        <v>41.80543684989312</v>
      </c>
    </row>
    <row r="411" spans="2:13" x14ac:dyDescent="0.25">
      <c r="B411" s="15" t="s">
        <v>238</v>
      </c>
      <c r="D411" s="14">
        <f>D399*(1-Assumptions!$C$52)</f>
        <v>38.25</v>
      </c>
      <c r="E411" s="14">
        <f>E399*(1-Assumptions!$C$52)</f>
        <v>39.8912755033997</v>
      </c>
      <c r="F411" s="14">
        <f>F399*(1-Assumptions!$C$52)</f>
        <v>39.897948932779656</v>
      </c>
      <c r="G411" s="14">
        <f>G399*(1-Assumptions!$C$52)</f>
        <v>39.89806243541121</v>
      </c>
      <c r="H411" s="14">
        <f>H399*(1-Assumptions!$C$52)</f>
        <v>39.898063776648975</v>
      </c>
      <c r="I411" s="14">
        <f>I399*(1-Assumptions!$C$52)</f>
        <v>39.89806379340678</v>
      </c>
      <c r="J411" s="14">
        <f>J399*(1-Assumptions!$C$52)</f>
        <v>39.898063793614135</v>
      </c>
      <c r="K411" s="14">
        <f>K399*(1-Assumptions!$C$52)</f>
        <v>39.898063793616714</v>
      </c>
      <c r="L411" s="14">
        <f>L399*(1-Assumptions!$C$52)</f>
        <v>39.89806379361675</v>
      </c>
      <c r="M411" s="14">
        <f>M399*(1-Assumptions!$C$52)</f>
        <v>39.89806379361675</v>
      </c>
    </row>
    <row r="412" spans="2:13" x14ac:dyDescent="0.25">
      <c r="B412" s="15" t="s">
        <v>239</v>
      </c>
      <c r="D412" s="14">
        <f>MIN(D410,D411)</f>
        <v>38.25</v>
      </c>
      <c r="E412" s="14">
        <f>MIN(E410,E411)</f>
        <v>39.8912755033997</v>
      </c>
      <c r="F412" s="14">
        <f>MIN(F410,F411)</f>
        <v>39.897948932779656</v>
      </c>
      <c r="G412" s="14">
        <f>MIN(G410,G411)</f>
        <v>39.89806243541121</v>
      </c>
      <c r="H412" s="14">
        <f>MIN(H410,H411)</f>
        <v>39.898063776648975</v>
      </c>
      <c r="I412" s="14">
        <f>MIN(I410,I411)</f>
        <v>39.89806379340678</v>
      </c>
      <c r="J412" s="14">
        <f>MIN(J410,J411)</f>
        <v>39.898063793614135</v>
      </c>
      <c r="K412" s="14">
        <f>MIN(K410,K411)</f>
        <v>39.898063793616714</v>
      </c>
      <c r="L412" s="14">
        <f>MIN(L410,L411)</f>
        <v>39.89806379361675</v>
      </c>
      <c r="M412" s="14">
        <f>MIN(M410,M411)</f>
        <v>39.89806379361675</v>
      </c>
    </row>
    <row r="413" spans="2:13" x14ac:dyDescent="0.25">
      <c r="B413" s="15" t="s">
        <v>240</v>
      </c>
      <c r="D413" s="14">
        <f>Assumptions!$C$50/D412</f>
        <v>78431.37254901961</v>
      </c>
      <c r="E413" s="14">
        <f>Assumptions!$C$50/E412</f>
        <v>75204.41405149674</v>
      </c>
      <c r="F413" s="14">
        <f>Assumptions!$C$50/F412</f>
        <v>75191.83517564827</v>
      </c>
      <c r="G413" s="14">
        <f>Assumptions!$C$50/G412</f>
        <v>75191.62126874045</v>
      </c>
      <c r="H413" s="14">
        <f>Assumptions!$C$50/H412</f>
        <v>75191.61874105282</v>
      </c>
      <c r="I413" s="14">
        <f>Assumptions!$C$50/I412</f>
        <v>75191.61870947118</v>
      </c>
      <c r="J413" s="14">
        <f>Assumptions!$C$50/J412</f>
        <v>75191.6187090804</v>
      </c>
      <c r="K413" s="14">
        <f>Assumptions!$C$50/K412</f>
        <v>75191.61870907554</v>
      </c>
      <c r="L413" s="14">
        <f>Assumptions!$C$50/L412</f>
        <v>75191.61870907547</v>
      </c>
      <c r="M413" s="14">
        <f>Assumptions!$C$50/M412</f>
        <v>75191.61870907547</v>
      </c>
    </row>
    <row r="414" spans="2:13" x14ac:dyDescent="0.25">
      <c r="B414" s="5" t="s">
        <v>88</v>
      </c>
      <c r="D414" s="14">
        <f>MAX(0,(Assumptions!$C$61*(D404+D409+D413+D405)-Assumptions!$C$56)/(1-Assumptions!$C$61))</f>
        <v>1458470.6749395</v>
      </c>
      <c r="E414" s="14">
        <f>MAX(0,(Assumptions!$C$61*(E404+E409+E413+E405)-Assumptions!$C$56)/(1-Assumptions!$C$61))</f>
        <v>1453394.0188527517</v>
      </c>
      <c r="F414" s="14">
        <f>MAX(0,(Assumptions!$C$61*(F404+F409+F413+F405)-Assumptions!$C$56)/(1-Assumptions!$C$61))</f>
        <v>1453361.6169075952</v>
      </c>
      <c r="G414" s="14">
        <f>MAX(0,(Assumptions!$C$61*(G404+G409+G413+G405)-Assumptions!$C$56)/(1-Assumptions!$C$61))</f>
        <v>1453361.1508081858</v>
      </c>
      <c r="H414" s="14">
        <f>MAX(0,(Assumptions!$C$61*(H404+H409+H413+H405)-Assumptions!$C$56)/(1-Assumptions!$C$61))</f>
        <v>1453361.1451693883</v>
      </c>
      <c r="I414" s="14">
        <f>MAX(0,(Assumptions!$C$61*(I404+I409+I413+I405)-Assumptions!$C$56)/(1-Assumptions!$C$61))</f>
        <v>1453361.1450992236</v>
      </c>
      <c r="J414" s="14">
        <f>MAX(0,(Assumptions!$C$61*(J404+J409+J413+J405)-Assumptions!$C$56)/(1-Assumptions!$C$61))</f>
        <v>1453361.1450983577</v>
      </c>
      <c r="K414" s="14">
        <f>MAX(0,(Assumptions!$C$61*(K404+K409+K413+K405)-Assumptions!$C$56)/(1-Assumptions!$C$61))</f>
        <v>1453361.145098347</v>
      </c>
      <c r="L414" s="14">
        <f>MAX(0,(Assumptions!$C$61*(L404+L409+L413+L405)-Assumptions!$C$56)/(1-Assumptions!$C$61))</f>
        <v>1453361.145098347</v>
      </c>
      <c r="M414" s="14">
        <f>MAX(0,(Assumptions!$C$61*(M404+M409+M413+M405)-Assumptions!$C$56)/(1-Assumptions!$C$61))</f>
        <v>1453361.145098347</v>
      </c>
    </row>
    <row r="415" spans="2:13" x14ac:dyDescent="0.25">
      <c r="B415" s="9" t="s">
        <v>241</v>
      </c>
      <c r="D415" s="14">
        <f>D404+D414+D409+D413+D405</f>
        <v>39020917.83293</v>
      </c>
      <c r="E415" s="14">
        <f>E404+E414+E409+E413+E405</f>
        <v>38987073.45901834</v>
      </c>
      <c r="F415" s="14">
        <f>F404+F414+F409+F413+F405</f>
        <v>38986857.44605064</v>
      </c>
      <c r="G415" s="14">
        <f>G404+G414+G409+G413+G405</f>
        <v>38986854.33872124</v>
      </c>
      <c r="H415" s="14">
        <f>H404+H414+H409+H413+H405</f>
        <v>38986854.30112925</v>
      </c>
      <c r="I415" s="14">
        <f>I404+I414+I409+I413+I405</f>
        <v>38986854.3006615</v>
      </c>
      <c r="J415" s="14">
        <f>J404+J414+J409+J413+J405</f>
        <v>38986854.30065571</v>
      </c>
      <c r="K415" s="14">
        <f>K404+K414+K409+K413+K405</f>
        <v>38986854.30065564</v>
      </c>
      <c r="L415" s="14">
        <f>L404+L414+L409+L413+L405</f>
        <v>38986854.30065563</v>
      </c>
      <c r="M415" s="14">
        <f>M404+M414+M409+M413+M405</f>
        <v>38986854.30065563</v>
      </c>
    </row>
    <row r="416" spans="2:13" x14ac:dyDescent="0.25">
      <c r="B416" s="5" t="s">
        <v>242</v>
      </c>
      <c r="D416" s="14">
        <f>D415-D405</f>
        <v>38354251.166263334</v>
      </c>
      <c r="E416" s="14">
        <f>E415-E405</f>
        <v>38347835.93958062</v>
      </c>
      <c r="F416" s="14">
        <f>F415-F405</f>
        <v>38347726.84705763</v>
      </c>
      <c r="G416" s="14">
        <f>G415-G405</f>
        <v>38347725.557936944</v>
      </c>
      <c r="H416" s="14">
        <f>H415-H405</f>
        <v>38347725.5418303</v>
      </c>
      <c r="I416" s="14">
        <f>I415-I405</f>
        <v>38347725.541631</v>
      </c>
      <c r="J416" s="14">
        <f>J415-J405</f>
        <v>38347725.541628525</v>
      </c>
      <c r="K416" s="14">
        <f>K415-K405</f>
        <v>38347725.541628495</v>
      </c>
      <c r="L416" s="14">
        <f>L415-L405</f>
        <v>38347725.54162849</v>
      </c>
      <c r="M416" s="14">
        <f>M415-M405</f>
        <v>38347725.54162849</v>
      </c>
    </row>
    <row r="417" spans="2:13" x14ac:dyDescent="0.25">
      <c r="B417" s="9" t="s">
        <v>91</v>
      </c>
      <c r="D417" s="14">
        <f>Assumptions!$C$64/D416</f>
        <v>46.93091235694082</v>
      </c>
      <c r="E417" s="14">
        <f>Assumptions!$C$64/E416</f>
        <v>46.938763450329006</v>
      </c>
      <c r="F417" s="14">
        <f>Assumptions!$C$64/F416</f>
        <v>46.93889698283672</v>
      </c>
      <c r="G417" s="14">
        <f>Assumptions!$C$64/G416</f>
        <v>46.9388985607635</v>
      </c>
      <c r="H417" s="14">
        <f>Assumptions!$C$64/H416</f>
        <v>46.938898580478565</v>
      </c>
      <c r="I417" s="14">
        <f>Assumptions!$C$64/I416</f>
        <v>46.938898580722515</v>
      </c>
      <c r="J417" s="14">
        <f>Assumptions!$C$64/J416</f>
        <v>46.93889858072555</v>
      </c>
      <c r="K417" s="14">
        <f>Assumptions!$C$64/K416</f>
        <v>46.938898580725585</v>
      </c>
      <c r="L417" s="14">
        <f>Assumptions!$C$64/L416</f>
        <v>46.93889858072559</v>
      </c>
      <c r="M417" s="14">
        <f>Assumptions!$C$64/M416</f>
        <v>46.93889858072559</v>
      </c>
    </row>
    <row r="419" spans="2:8" x14ac:dyDescent="0.25">
      <c r="B419" s="5" t="s">
        <v>243</v>
      </c>
      <c r="D419" s="11">
        <f>Assumptions!$C$17+Assumptions!$C$42*Assumptions!$C$55</f>
        <v>2002500000</v>
      </c>
      <c r="E419" s="11">
        <f>Assumptions!$C$17+Assumptions!$C$42*Assumptions!$C$55</f>
        <v>2002500000</v>
      </c>
      <c r="F419" s="11">
        <f>Assumptions!$C$17+Assumptions!$C$42*Assumptions!$C$55</f>
        <v>2002500000</v>
      </c>
      <c r="G419" s="11">
        <f>Assumptions!$C$17+Assumptions!$C$42*Assumptions!$C$55</f>
        <v>2002500000</v>
      </c>
      <c r="H419" s="11">
        <f>Assumptions!$C$17+Assumptions!$C$42*Assumptions!$C$55</f>
        <v>2002500000</v>
      </c>
    </row>
    <row r="420" spans="2:8" x14ac:dyDescent="0.25">
      <c r="B420" s="15" t="s">
        <v>244</v>
      </c>
      <c r="D420" s="14" t="b">
        <v>0</v>
      </c>
      <c r="E420" s="14">
        <f>Assumptions!$C$7&gt;D431</f>
        <v>0</v>
      </c>
      <c r="F420" s="14">
        <f>Assumptions!$C$7&gt;E431</f>
        <v>0</v>
      </c>
      <c r="G420" s="14">
        <f>Assumptions!$C$7&gt;F431</f>
        <v>0</v>
      </c>
      <c r="H420" s="14">
        <f>Assumptions!$C$7&gt;G431</f>
        <v>0</v>
      </c>
    </row>
    <row r="421" spans="2:8" x14ac:dyDescent="0.25">
      <c r="B421" s="15" t="s">
        <v>245</v>
      </c>
      <c r="D421" s="14" t="b">
        <v>0</v>
      </c>
      <c r="E421" s="14">
        <f>Assumptions!$C$41*Assumptions!$C$28&gt;D432</f>
        <v>0</v>
      </c>
      <c r="F421" s="14">
        <f>Assumptions!$C$41*Assumptions!$C$28&gt;E432</f>
        <v>0</v>
      </c>
      <c r="G421" s="14">
        <f>Assumptions!$C$41*Assumptions!$C$28&gt;F432</f>
        <v>0</v>
      </c>
      <c r="H421" s="14">
        <f>Assumptions!$C$41*Assumptions!$C$28&gt;G432</f>
        <v>0</v>
      </c>
    </row>
    <row r="422" spans="2:8" x14ac:dyDescent="0.25">
      <c r="B422" s="15" t="s">
        <v>246</v>
      </c>
      <c r="D422" s="14" t="b">
        <v>0</v>
      </c>
      <c r="E422" s="14">
        <f>Assumptions!$C$40*Assumptions!$C$27&gt;D433</f>
        <v>1</v>
      </c>
      <c r="F422" s="14">
        <f>Assumptions!$C$40*Assumptions!$C$27&gt;E433</f>
        <v>1</v>
      </c>
      <c r="G422" s="14">
        <f>Assumptions!$C$40*Assumptions!$C$27&gt;F433</f>
        <v>1</v>
      </c>
      <c r="H422" s="14">
        <f>Assumptions!$C$40*Assumptions!$C$27&gt;G433</f>
        <v>1</v>
      </c>
    </row>
    <row r="423" spans="2:8" x14ac:dyDescent="0.25">
      <c r="B423" s="15" t="s">
        <v>247</v>
      </c>
      <c r="D423" s="14" t="b">
        <v>0</v>
      </c>
      <c r="E423" s="14">
        <f>Assumptions!$C$38*Assumptions!$C$25&gt;D434</f>
        <v>0</v>
      </c>
      <c r="F423" s="14">
        <f>Assumptions!$C$38*Assumptions!$C$25&gt;E434</f>
        <v>0</v>
      </c>
      <c r="G423" s="14">
        <f>Assumptions!$C$38*Assumptions!$C$25&gt;F434</f>
        <v>0</v>
      </c>
      <c r="H423" s="14">
        <f>Assumptions!$C$38*Assumptions!$C$25&gt;G434</f>
        <v>0</v>
      </c>
    </row>
    <row r="424" spans="2:8" x14ac:dyDescent="0.25">
      <c r="B424" s="15" t="s">
        <v>248</v>
      </c>
      <c r="D424" s="14" t="b">
        <v>0</v>
      </c>
      <c r="E424" s="14">
        <f>Assumptions!$C$37*Assumptions!$C$24&gt;D435</f>
        <v>0</v>
      </c>
      <c r="F424" s="14">
        <f>Assumptions!$C$37*Assumptions!$C$24&gt;E435</f>
        <v>0</v>
      </c>
      <c r="G424" s="14">
        <f>Assumptions!$C$37*Assumptions!$C$24&gt;F435</f>
        <v>0</v>
      </c>
      <c r="H424" s="14">
        <f>Assumptions!$C$37*Assumptions!$C$24&gt;G435</f>
        <v>0</v>
      </c>
    </row>
    <row r="425" spans="2:8" x14ac:dyDescent="0.25">
      <c r="B425" s="15" t="s">
        <v>249</v>
      </c>
      <c r="D425" s="14" t="b">
        <v>0</v>
      </c>
      <c r="E425" s="14">
        <f>Assumptions!$C$36*Assumptions!$C$23&gt;D436</f>
        <v>0</v>
      </c>
      <c r="F425" s="14">
        <f>Assumptions!$C$36*Assumptions!$C$23&gt;E436</f>
        <v>0</v>
      </c>
      <c r="G425" s="14">
        <f>Assumptions!$C$36*Assumptions!$C$23&gt;F436</f>
        <v>0</v>
      </c>
      <c r="H425" s="14">
        <f>Assumptions!$C$36*Assumptions!$C$23&gt;G436</f>
        <v>0</v>
      </c>
    </row>
    <row r="426" spans="2:8" x14ac:dyDescent="0.25">
      <c r="B426" s="15" t="s">
        <v>250</v>
      </c>
      <c r="D426" s="14" t="b">
        <v>0</v>
      </c>
      <c r="E426" s="14">
        <f>Assumptions!$C$35*Assumptions!$C$22&gt;D437</f>
        <v>0</v>
      </c>
      <c r="F426" s="14">
        <f>Assumptions!$C$35*Assumptions!$C$22&gt;E437</f>
        <v>0</v>
      </c>
      <c r="G426" s="14">
        <f>Assumptions!$C$35*Assumptions!$C$22&gt;F437</f>
        <v>0</v>
      </c>
      <c r="H426" s="14">
        <f>Assumptions!$C$35*Assumptions!$C$22&gt;G437</f>
        <v>0</v>
      </c>
    </row>
    <row r="427" spans="2:8" x14ac:dyDescent="0.25">
      <c r="B427" s="5" t="s">
        <v>251</v>
      </c>
      <c r="D427" s="11">
        <f>IF(D420,Assumptions!$C$7,0)+IF(D421,Assumptions!$C$41*Assumptions!$C$28,0)+IF(D422,Assumptions!$C$40*Assumptions!$C$27,0)+IF(D423,Assumptions!$C$38*Assumptions!$C$25,0)+IF(D424,Assumptions!$C$37*Assumptions!$C$24,0)+IF(D425,Assumptions!$C$36*Assumptions!$C$23,0)+IF(D426,Assumptions!$C$35*Assumptions!$C$22,0)</f>
        <v>0</v>
      </c>
      <c r="E427" s="11">
        <f>IF(E420,Assumptions!$C$7,0)+IF(E421,Assumptions!$C$41*Assumptions!$C$28,0)+IF(E422,Assumptions!$C$40*Assumptions!$C$27,0)+IF(E423,Assumptions!$C$38*Assumptions!$C$25,0)+IF(E424,Assumptions!$C$37*Assumptions!$C$24,0)+IF(E425,Assumptions!$C$36*Assumptions!$C$23,0)+IF(E426,Assumptions!$C$35*Assumptions!$C$22,0)</f>
        <v>100000020</v>
      </c>
      <c r="F427" s="11">
        <f>IF(F420,Assumptions!$C$7,0)+IF(F421,Assumptions!$C$41*Assumptions!$C$28,0)+IF(F422,Assumptions!$C$40*Assumptions!$C$27,0)+IF(F423,Assumptions!$C$38*Assumptions!$C$25,0)+IF(F424,Assumptions!$C$37*Assumptions!$C$24,0)+IF(F425,Assumptions!$C$36*Assumptions!$C$23,0)+IF(F426,Assumptions!$C$35*Assumptions!$C$22,0)</f>
        <v>100000020</v>
      </c>
      <c r="G427" s="11">
        <f>IF(G420,Assumptions!$C$7,0)+IF(G421,Assumptions!$C$41*Assumptions!$C$28,0)+IF(G422,Assumptions!$C$40*Assumptions!$C$27,0)+IF(G423,Assumptions!$C$38*Assumptions!$C$25,0)+IF(G424,Assumptions!$C$37*Assumptions!$C$24,0)+IF(G425,Assumptions!$C$36*Assumptions!$C$23,0)+IF(G426,Assumptions!$C$35*Assumptions!$C$22,0)</f>
        <v>100000020</v>
      </c>
      <c r="H427" s="11">
        <f>IF(H420,Assumptions!$C$7,0)+IF(H421,Assumptions!$C$41*Assumptions!$C$28,0)+IF(H422,Assumptions!$C$40*Assumptions!$C$27,0)+IF(H423,Assumptions!$C$38*Assumptions!$C$25,0)+IF(H424,Assumptions!$C$37*Assumptions!$C$24,0)+IF(H425,Assumptions!$C$36*Assumptions!$C$23,0)+IF(H426,Assumptions!$C$35*Assumptions!$C$22,0)</f>
        <v>100000020</v>
      </c>
    </row>
    <row r="428" spans="2:8" x14ac:dyDescent="0.25">
      <c r="B428" s="5" t="s">
        <v>252</v>
      </c>
      <c r="D428" s="14">
        <f>IF(D420,0,M405)+IF(D421,0,Assumptions!$C$41*Assumptions!$C$28/M402)+IF(D422,0,Assumptions!$C$40*Assumptions!$C$27/M400)+IF(D423,0,Assumptions!$C$38)+IF(D424,0,Assumptions!$C$37)+IF(D425,0,Assumptions!$C$36)+IF(D426,0,Assumptions!$C$35)+((Assumptions!$C$31+Assumptions!$C$32+Assumptions!$C$33+Assumptions!$C$34)+M409+M413+Assumptions!$C$42)</f>
        <v>35638826.15555729</v>
      </c>
      <c r="E428" s="14">
        <f>IF(E420,0,M405)+IF(E421,0,Assumptions!$C$41*Assumptions!$C$28/M402)+IF(E422,0,Assumptions!$C$40*Assumptions!$C$27/M400)+IF(E423,0,Assumptions!$C$38)+IF(E424,0,Assumptions!$C$37)+IF(E425,0,Assumptions!$C$36)+IF(E426,0,Assumptions!$C$35)+((Assumptions!$C$31+Assumptions!$C$32+Assumptions!$C$33+Assumptions!$C$34)+M409+M413+Assumptions!$C$42)</f>
        <v>33912502.25089003</v>
      </c>
      <c r="F428" s="14">
        <f>IF(F420,0,M405)+IF(F421,0,Assumptions!$C$41*Assumptions!$C$28/M402)+IF(F422,0,Assumptions!$C$40*Assumptions!$C$27/M400)+IF(F423,0,Assumptions!$C$38)+IF(F424,0,Assumptions!$C$37)+IF(F425,0,Assumptions!$C$36)+IF(F426,0,Assumptions!$C$35)+((Assumptions!$C$31+Assumptions!$C$32+Assumptions!$C$33+Assumptions!$C$34)+M409+M413+Assumptions!$C$42)</f>
        <v>33912502.25089003</v>
      </c>
      <c r="G428" s="14">
        <f>IF(G420,0,M405)+IF(G421,0,Assumptions!$C$41*Assumptions!$C$28/M402)+IF(G422,0,Assumptions!$C$40*Assumptions!$C$27/M400)+IF(G423,0,Assumptions!$C$38)+IF(G424,0,Assumptions!$C$37)+IF(G425,0,Assumptions!$C$36)+IF(G426,0,Assumptions!$C$35)+((Assumptions!$C$31+Assumptions!$C$32+Assumptions!$C$33+Assumptions!$C$34)+M409+M413+Assumptions!$C$42)</f>
        <v>33912502.25089003</v>
      </c>
      <c r="H428" s="14">
        <f>IF(H420,0,M405)+IF(H421,0,Assumptions!$C$41*Assumptions!$C$28/M402)+IF(H422,0,Assumptions!$C$40*Assumptions!$C$27/M400)+IF(H423,0,Assumptions!$C$38)+IF(H424,0,Assumptions!$C$37)+IF(H425,0,Assumptions!$C$36)+IF(H426,0,Assumptions!$C$35)+((Assumptions!$C$31+Assumptions!$C$32+Assumptions!$C$33+Assumptions!$C$34)+M409+M413+Assumptions!$C$42)</f>
        <v>33912502.25089003</v>
      </c>
    </row>
    <row r="429" spans="2:8" x14ac:dyDescent="0.25">
      <c r="B429" s="5" t="s">
        <v>253</v>
      </c>
      <c r="D429" s="11">
        <f>D419-D427</f>
        <v>2002500000</v>
      </c>
      <c r="E429" s="11">
        <f>E419-E427</f>
        <v>1902499980</v>
      </c>
      <c r="F429" s="11">
        <f>F419-F427</f>
        <v>1902499980</v>
      </c>
      <c r="G429" s="11">
        <f>G419-G427</f>
        <v>1902499980</v>
      </c>
      <c r="H429" s="11">
        <f>H419-H427</f>
        <v>1902499980</v>
      </c>
    </row>
    <row r="430" spans="2:8" x14ac:dyDescent="0.25">
      <c r="B430" s="9" t="s">
        <v>254</v>
      </c>
      <c r="D430" s="11">
        <f>D429/D428</f>
        <v>56.18871932704616</v>
      </c>
      <c r="E430" s="11">
        <f>E429/E428</f>
        <v>56.1002537036343</v>
      </c>
      <c r="F430" s="11">
        <f>F429/F428</f>
        <v>56.1002537036343</v>
      </c>
      <c r="G430" s="11">
        <f>G429/G428</f>
        <v>56.1002537036343</v>
      </c>
      <c r="H430" s="11">
        <f>H429/H428</f>
        <v>56.1002537036343</v>
      </c>
    </row>
    <row r="431" spans="2:8" x14ac:dyDescent="0.25">
      <c r="B431" s="15" t="s">
        <v>255</v>
      </c>
      <c r="D431" s="11">
        <f>M405*D430</f>
        <v>35911826.454819374</v>
      </c>
      <c r="E431" s="11">
        <f>M405*E430</f>
        <v>35855285.53071159</v>
      </c>
      <c r="F431" s="11">
        <f>M405*F430</f>
        <v>35855285.53071159</v>
      </c>
      <c r="G431" s="11">
        <f>M405*G430</f>
        <v>35855285.53071159</v>
      </c>
      <c r="H431" s="11">
        <f>M405*H430</f>
        <v>35855285.53071159</v>
      </c>
    </row>
    <row r="432" spans="2:8" x14ac:dyDescent="0.25">
      <c r="B432" s="15" t="s">
        <v>256</v>
      </c>
      <c r="D432" s="11">
        <f>Assumptions!$C$41*Assumptions!$C$28/M402*D430</f>
        <v>343166825.3458607</v>
      </c>
      <c r="E432" s="11">
        <f>Assumptions!$C$41*Assumptions!$C$28/M402*E430</f>
        <v>342626530.6478843</v>
      </c>
      <c r="F432" s="11">
        <f>Assumptions!$C$41*Assumptions!$C$28/M402*F430</f>
        <v>342626530.6478843</v>
      </c>
      <c r="G432" s="11">
        <f>Assumptions!$C$41*Assumptions!$C$28/M402*G430</f>
        <v>342626530.6478843</v>
      </c>
      <c r="H432" s="11">
        <f>Assumptions!$C$41*Assumptions!$C$28/M402*H430</f>
        <v>342626530.6478843</v>
      </c>
    </row>
    <row r="433" spans="2:8" x14ac:dyDescent="0.25">
      <c r="B433" s="15" t="s">
        <v>257</v>
      </c>
      <c r="D433" s="11">
        <f>Assumptions!$C$40*Assumptions!$C$27/M400*D430</f>
        <v>96999929.34691942</v>
      </c>
      <c r="E433" s="11">
        <f>Assumptions!$C$40*Assumptions!$C$27/M400*E430</f>
        <v>96847209.02648222</v>
      </c>
      <c r="F433" s="11">
        <f>Assumptions!$C$40*Assumptions!$C$27/M400*F430</f>
        <v>96847209.02648222</v>
      </c>
      <c r="G433" s="11">
        <f>Assumptions!$C$40*Assumptions!$C$27/M400*G430</f>
        <v>96847209.02648222</v>
      </c>
      <c r="H433" s="11">
        <f>Assumptions!$C$40*Assumptions!$C$27/M400*H430</f>
        <v>96847209.02648222</v>
      </c>
    </row>
    <row r="434" spans="2:8" x14ac:dyDescent="0.25">
      <c r="B434" s="15" t="s">
        <v>258</v>
      </c>
      <c r="D434" s="11">
        <f>Assumptions!$C$38*D430</f>
        <v>134852926.3849108</v>
      </c>
      <c r="E434" s="11">
        <f>Assumptions!$C$38*E430</f>
        <v>134640608.88872233</v>
      </c>
      <c r="F434" s="11">
        <f>Assumptions!$C$38*F430</f>
        <v>134640608.88872233</v>
      </c>
      <c r="G434" s="11">
        <f>Assumptions!$C$38*G430</f>
        <v>134640608.88872233</v>
      </c>
      <c r="H434" s="11">
        <f>Assumptions!$C$38*H430</f>
        <v>134640608.88872233</v>
      </c>
    </row>
    <row r="435" spans="2:8" x14ac:dyDescent="0.25">
      <c r="B435" s="15" t="s">
        <v>259</v>
      </c>
      <c r="D435" s="11">
        <f>Assumptions!$C$37*D430</f>
        <v>168566157.98113847</v>
      </c>
      <c r="E435" s="11">
        <f>Assumptions!$C$37*E430</f>
        <v>168300761.1109029</v>
      </c>
      <c r="F435" s="11">
        <f>Assumptions!$C$37*F430</f>
        <v>168300761.1109029</v>
      </c>
      <c r="G435" s="11">
        <f>Assumptions!$C$37*G430</f>
        <v>168300761.1109029</v>
      </c>
      <c r="H435" s="11">
        <f>Assumptions!$C$37*H430</f>
        <v>168300761.1109029</v>
      </c>
    </row>
    <row r="436" spans="2:8" x14ac:dyDescent="0.25">
      <c r="B436" s="15" t="s">
        <v>260</v>
      </c>
      <c r="D436" s="11">
        <f>Assumptions!$C$36*D430</f>
        <v>280943596.6352308</v>
      </c>
      <c r="E436" s="11">
        <f>Assumptions!$C$36*E430</f>
        <v>280501268.5181715</v>
      </c>
      <c r="F436" s="11">
        <f>Assumptions!$C$36*F430</f>
        <v>280501268.5181715</v>
      </c>
      <c r="G436" s="11">
        <f>Assumptions!$C$36*G430</f>
        <v>280501268.5181715</v>
      </c>
      <c r="H436" s="11">
        <f>Assumptions!$C$36*H430</f>
        <v>280501268.5181715</v>
      </c>
    </row>
    <row r="437" spans="2:8" x14ac:dyDescent="0.25">
      <c r="B437" s="15" t="s">
        <v>261</v>
      </c>
      <c r="D437" s="11">
        <f>Assumptions!$C$35*D430</f>
        <v>280943596.6352308</v>
      </c>
      <c r="E437" s="11">
        <f>Assumptions!$C$35*E430</f>
        <v>280501268.5181715</v>
      </c>
      <c r="F437" s="11">
        <f>Assumptions!$C$35*F430</f>
        <v>280501268.5181715</v>
      </c>
      <c r="G437" s="11">
        <f>Assumptions!$C$35*G430</f>
        <v>280501268.5181715</v>
      </c>
      <c r="H437" s="11">
        <f>Assumptions!$C$35*H430</f>
        <v>280501268.5181715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4"/>
  <sheetViews>
    <sheetView workbookViewId="0" showGridLines="0"/>
  </sheetViews>
  <sheetFormatPr defaultRowHeight="12.75" outlineLevelRow="0" outlineLevelCol="0" x14ac:dyDescent="0" defaultColWidth="12.705" customHeight="1"/>
  <cols>
    <col min="1" max="1" width="1.705" customWidth="1"/>
    <col min="2" max="2" width="35.205" customWidth="1"/>
    <col min="3" max="7" width="16.455" customWidth="1"/>
  </cols>
  <sheetData>
    <row r="2" ht="18" customHeight="1" spans="2:2" x14ac:dyDescent="0.25">
      <c r="B2" s="1" t="s">
        <v>270</v>
      </c>
    </row>
    <row r="3" spans="2:2" x14ac:dyDescent="0.25">
      <c r="B3" s="2" t="s">
        <v>271</v>
      </c>
    </row>
    <row r="5" spans="2:7" x14ac:dyDescent="0.25">
      <c r="B5" s="3" t="s">
        <v>272</v>
      </c>
      <c r="C5" s="4"/>
      <c r="D5" s="4"/>
      <c r="E5" s="4"/>
      <c r="F5" s="4"/>
      <c r="G5" s="4"/>
    </row>
    <row r="6" spans="2:7" x14ac:dyDescent="0.25">
      <c r="B6" s="9" t="s">
        <v>178</v>
      </c>
      <c r="C6" s="11">
        <f>Waterfall!C6</f>
        <v>700000000</v>
      </c>
      <c r="D6" s="11">
        <f>Waterfall!D6</f>
        <v>1200000000</v>
      </c>
      <c r="E6" s="11">
        <f>Waterfall!E6</f>
        <v>2000000000</v>
      </c>
      <c r="F6" s="11">
        <f>Waterfall!F6</f>
        <v>4000000000</v>
      </c>
      <c r="G6" s="11">
        <f>Waterfall!G6</f>
        <v>8000000000</v>
      </c>
    </row>
    <row r="7" spans="2:7" x14ac:dyDescent="0.25">
      <c r="B7" s="5" t="s">
        <v>273</v>
      </c>
      <c r="C7" s="11">
        <f>Waterfall!C20</f>
        <v>30000000</v>
      </c>
      <c r="D7" s="11">
        <f>Waterfall!D20</f>
        <v>30000000</v>
      </c>
      <c r="E7" s="11">
        <f>Waterfall!E20</f>
        <v>44846573.222410485</v>
      </c>
      <c r="F7" s="11">
        <f>Waterfall!F20</f>
        <v>89785810.60596612</v>
      </c>
      <c r="G7" s="11">
        <f>Waterfall!G20</f>
        <v>179515540.1309791</v>
      </c>
    </row>
    <row r="8" spans="2:7" x14ac:dyDescent="0.25">
      <c r="B8" s="5" t="s">
        <v>274</v>
      </c>
      <c r="C8" s="14" t="str">
        <f>Waterfall!C11</f>
        <v>preference</v>
      </c>
      <c r="D8" s="14" t="str">
        <f>Waterfall!D11</f>
        <v>preference</v>
      </c>
      <c r="E8" s="14" t="str">
        <f>Waterfall!E11</f>
        <v>convert</v>
      </c>
      <c r="F8" s="14" t="str">
        <f>Waterfall!F11</f>
        <v>convert</v>
      </c>
      <c r="G8" s="14" t="str">
        <f>Waterfall!G11</f>
        <v>convert</v>
      </c>
    </row>
    <row r="9" spans="2:7" x14ac:dyDescent="0.25">
      <c r="B9" s="5" t="s">
        <v>275</v>
      </c>
      <c r="C9" s="11">
        <f>C7/'Pro-Forma'!$C$29</f>
        <v>37.29976025659983</v>
      </c>
      <c r="D9" s="11">
        <f>D7/'Pro-Forma'!$C$29</f>
        <v>37.29976025659983</v>
      </c>
      <c r="E9" s="11">
        <f>E7/'Pro-Forma'!$C$29</f>
        <v>55.7588809841987</v>
      </c>
      <c r="F9" s="11">
        <f>F7/'Pro-Forma'!$C$29</f>
        <v>111.63297366823383</v>
      </c>
      <c r="G9" s="11">
        <f>G7/'Pro-Forma'!$C$29</f>
        <v>223.1962203073182</v>
      </c>
    </row>
    <row r="10" spans="2:7" x14ac:dyDescent="0.25">
      <c r="B10" s="15" t="s">
        <v>276</v>
      </c>
      <c r="C10" s="11">
        <f>'Pro-Forma'!$C$31*C9*0.01</f>
        <v>14300000</v>
      </c>
      <c r="D10" s="11">
        <f>'Pro-Forma'!$C$31*D9*0.01</f>
        <v>14300000</v>
      </c>
      <c r="E10" s="11">
        <f>'Pro-Forma'!$C$31*E9*0.01</f>
        <v>21376866.569349002</v>
      </c>
      <c r="F10" s="11">
        <f>'Pro-Forma'!$C$31*F9*0.01</f>
        <v>42797903.05551053</v>
      </c>
      <c r="G10" s="11">
        <f>'Pro-Forma'!$C$31*G9*0.01</f>
        <v>85569074.12910005</v>
      </c>
    </row>
    <row r="12" spans="2:7" x14ac:dyDescent="0.25">
      <c r="B12" s="3" t="s">
        <v>277</v>
      </c>
      <c r="C12" s="4"/>
      <c r="D12" s="4"/>
      <c r="E12" s="4"/>
      <c r="F12" s="4"/>
      <c r="G12" s="4"/>
    </row>
    <row r="13" spans="2:7" x14ac:dyDescent="0.25">
      <c r="B13" s="5" t="s">
        <v>57</v>
      </c>
      <c r="C13" s="11">
        <f>Assumptions!$C$67</f>
        <v>30000000</v>
      </c>
      <c r="D13" s="11">
        <f>Assumptions!$C$67</f>
        <v>30000000</v>
      </c>
      <c r="E13" s="11">
        <f>Assumptions!$C$67</f>
        <v>30000000</v>
      </c>
      <c r="F13" s="11">
        <f>Assumptions!$C$67</f>
        <v>30000000</v>
      </c>
      <c r="G13" s="11">
        <f>Assumptions!$C$67</f>
        <v>30000000</v>
      </c>
    </row>
    <row r="14" spans="2:7" x14ac:dyDescent="0.25">
      <c r="B14" s="9" t="s">
        <v>278</v>
      </c>
      <c r="C14" s="19">
        <f>Assumptions!$C$67*'Pro-Forma'!$C$29/('Pro-Forma'!$C$31*C7)</f>
        <v>0.020979020979020976</v>
      </c>
      <c r="D14" s="19">
        <f>Assumptions!$C$67*'Pro-Forma'!$C$29/('Pro-Forma'!$C$31*D7)</f>
        <v>0.020979020979020976</v>
      </c>
      <c r="E14" s="19">
        <f>Assumptions!$C$67*'Pro-Forma'!$C$29/('Pro-Forma'!$C$31*E7)</f>
        <v>0.01403386221393887</v>
      </c>
      <c r="F14" s="19">
        <f>Assumptions!$C$67*'Pro-Forma'!$C$29/('Pro-Forma'!$C$31*F7)</f>
        <v>0.0070096892273177145</v>
      </c>
      <c r="G14" s="19">
        <f>Assumptions!$C$67*'Pro-Forma'!$C$29/('Pro-Forma'!$C$31*G7)</f>
        <v>0.0035059395354375697</v>
      </c>
    </row>
    <row r="15" spans="2:7" x14ac:dyDescent="0.25">
      <c r="B15" s="15" t="s">
        <v>279</v>
      </c>
      <c r="C15" s="14" t="str">
        <f>IF(OR(C14&lt;=0,C14&gt;1),"INFEASIBLE","feasible")</f>
        <v>feasible</v>
      </c>
      <c r="D15" s="14" t="str">
        <f>IF(OR(D14&lt;=0,D14&gt;1),"INFEASIBLE","feasible")</f>
        <v>feasible</v>
      </c>
      <c r="E15" s="14" t="str">
        <f>IF(OR(E14&lt;=0,E14&gt;1),"INFEASIBLE","feasible")</f>
        <v>feasible</v>
      </c>
      <c r="F15" s="14" t="str">
        <f>IF(OR(F14&lt;=0,F14&gt;1),"INFEASIBLE","feasible")</f>
        <v>feasible</v>
      </c>
      <c r="G15" s="14" t="str">
        <f>IF(OR(G14&lt;=0,G14&gt;1),"INFEASIBLE","feasible")</f>
        <v>feasible</v>
      </c>
    </row>
    <row r="16" spans="2:7" x14ac:dyDescent="0.25">
      <c r="B16" s="5" t="s">
        <v>58</v>
      </c>
      <c r="C16" s="11">
        <f>Assumptions!$C$68</f>
        <v>40000000</v>
      </c>
      <c r="D16" s="11">
        <f>Assumptions!$C$68</f>
        <v>40000000</v>
      </c>
      <c r="E16" s="11">
        <f>Assumptions!$C$68</f>
        <v>40000000</v>
      </c>
      <c r="F16" s="11">
        <f>Assumptions!$C$68</f>
        <v>40000000</v>
      </c>
      <c r="G16" s="11">
        <f>Assumptions!$C$68</f>
        <v>40000000</v>
      </c>
    </row>
    <row r="17" spans="2:7" x14ac:dyDescent="0.25">
      <c r="B17" s="9" t="s">
        <v>280</v>
      </c>
      <c r="C17" s="19">
        <f>Assumptions!$C$68*'Pro-Forma'!$C$29/('Pro-Forma'!$C$31*C7)</f>
        <v>0.02797202797202797</v>
      </c>
      <c r="D17" s="19">
        <f>Assumptions!$C$68*'Pro-Forma'!$C$29/('Pro-Forma'!$C$31*D7)</f>
        <v>0.02797202797202797</v>
      </c>
      <c r="E17" s="19">
        <f>Assumptions!$C$68*'Pro-Forma'!$C$29/('Pro-Forma'!$C$31*E7)</f>
        <v>0.01871181628525183</v>
      </c>
      <c r="F17" s="19">
        <f>Assumptions!$C$68*'Pro-Forma'!$C$29/('Pro-Forma'!$C$31*F7)</f>
        <v>0.009346252303090287</v>
      </c>
      <c r="G17" s="19">
        <f>Assumptions!$C$68*'Pro-Forma'!$C$29/('Pro-Forma'!$C$31*G7)</f>
        <v>0.004674586047250093</v>
      </c>
    </row>
    <row r="18" spans="2:7" x14ac:dyDescent="0.25">
      <c r="B18" s="15" t="s">
        <v>281</v>
      </c>
      <c r="C18" s="14" t="str">
        <f>IF(OR(C17&lt;=0,C17&gt;1),"INFEASIBLE","feasible")</f>
        <v>feasible</v>
      </c>
      <c r="D18" s="14" t="str">
        <f>IF(OR(D17&lt;=0,D17&gt;1),"INFEASIBLE","feasible")</f>
        <v>feasible</v>
      </c>
      <c r="E18" s="14" t="str">
        <f>IF(OR(E17&lt;=0,E17&gt;1),"INFEASIBLE","feasible")</f>
        <v>feasible</v>
      </c>
      <c r="F18" s="14" t="str">
        <f>IF(OR(F17&lt;=0,F17&gt;1),"INFEASIBLE","feasible")</f>
        <v>feasible</v>
      </c>
      <c r="G18" s="14" t="str">
        <f>IF(OR(G17&lt;=0,G17&gt;1),"INFEASIBLE","feasible")</f>
        <v>feasible</v>
      </c>
    </row>
    <row r="20" spans="2:7" x14ac:dyDescent="0.25">
      <c r="B20" s="3" t="s">
        <v>282</v>
      </c>
      <c r="C20" s="4"/>
      <c r="D20" s="4"/>
      <c r="E20" s="4"/>
      <c r="F20" s="4"/>
      <c r="G20" s="4"/>
    </row>
    <row r="21" spans="2:3" x14ac:dyDescent="0.25">
      <c r="B21" s="5" t="s">
        <v>89</v>
      </c>
      <c r="C21" s="14">
        <f>'Pro-Forma'!$C$31</f>
        <v>38338048.02396754</v>
      </c>
    </row>
    <row r="22" spans="2:3" x14ac:dyDescent="0.25">
      <c r="B22" s="5" t="s">
        <v>283</v>
      </c>
      <c r="C22" s="14">
        <f>'Pro-Forma'!$C$29</f>
        <v>804294.7137895287</v>
      </c>
    </row>
    <row r="23" spans="2:3" x14ac:dyDescent="0.25">
      <c r="B23" s="5" t="s">
        <v>284</v>
      </c>
      <c r="C23" s="18">
        <f>(Assumptions!$C$11/'Pro-Forma'!$C$28)/'Pro-Forma'!$C$31</f>
        <v>0.006993006993006992</v>
      </c>
    </row>
    <row r="24" spans="2:3" x14ac:dyDescent="0.25">
      <c r="B24" s="5" t="s">
        <v>285</v>
      </c>
      <c r="C24" s="11">
        <f>C23*'Pro-Forma'!$C$31*E9</f>
        <v>14948857.740803495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Pro-Forma</vt:lpstr>
      <vt:lpstr>Waterfall</vt:lpstr>
      <vt:lpstr>Sensitivity</vt:lpstr>
      <vt:lpstr>Return-Solver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2026-04-26T23:56:25Z</dcterms:created>
  <dcterms:modified xsi:type="dcterms:W3CDTF">2026-04-26T23:56:25Z</dcterms:modified>
</cp:coreProperties>
</file>