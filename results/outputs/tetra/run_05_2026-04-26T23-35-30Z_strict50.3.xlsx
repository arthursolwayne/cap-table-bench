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Return-Solver" state="visible" r:id="rId7"/>
    <sheet sheetId="4" name="Sensitivity" state="visible" r:id="rId8"/>
    <sheet sheetId="5" name="Waterfall" state="visible" r:id="rId9"/>
  </sheets>
  <calcPr calcId="171027" fullCalcOnLoad="1"/>
</workbook>
</file>

<file path=xl/sharedStrings.xml><?xml version="1.0" encoding="utf-8"?>
<sst xmlns="http://schemas.openxmlformats.org/spreadsheetml/2006/main" count="856" uniqueCount="294">
  <si>
    <t>Assumptions</t>
  </si>
  <si>
    <t>Kelvin Dynamics — Series F Round Inputs</t>
  </si>
  <si>
    <t>Round Terms</t>
  </si>
  <si>
    <t>Series F pre-money valuation</t>
  </si>
  <si>
    <t>USD</t>
  </si>
  <si>
    <t>Series F primary raise</t>
  </si>
  <si>
    <t>Series F post-money</t>
  </si>
  <si>
    <t>Series F secondary raise (tender)</t>
  </si>
  <si>
    <t>Tender PPS multiplier</t>
  </si>
  <si>
    <t>× F PPS</t>
  </si>
  <si>
    <t>ESOP refresh target (post-F FD)</t>
  </si>
  <si>
    <t>of T_F</t>
  </si>
  <si>
    <t>Our fund check size</t>
  </si>
  <si>
    <t>F_LEAD primary check</t>
  </si>
  <si>
    <t>Option strike (issued options)</t>
  </si>
  <si>
    <t>USD/share</t>
  </si>
  <si>
    <t>Pre-F Capitalization (carryover from Series E)</t>
  </si>
  <si>
    <t>Pre-F broad-based FD (A in WA AD formula)</t>
  </si>
  <si>
    <t>shares</t>
  </si>
  <si>
    <t>Pre-F options issued</t>
  </si>
  <si>
    <t>Pre-F options unissued (existing pool)</t>
  </si>
  <si>
    <t>Pre-F existing option pool (issued + unissued)</t>
  </si>
  <si>
    <t>Common Stock Holdings</t>
  </si>
  <si>
    <t>Founder F1 (CEO) common</t>
  </si>
  <si>
    <t>Founder F2 (CTO) common</t>
  </si>
  <si>
    <t>Founder F3 (Chief Sci) common</t>
  </si>
  <si>
    <t>Founders subtotal</t>
  </si>
  <si>
    <t>Employee RSAs (E1-E10, 100k each)</t>
  </si>
  <si>
    <t>Total common + RSAs</t>
  </si>
  <si>
    <t>Prior Round OCPs (for Anti-Dilution)</t>
  </si>
  <si>
    <t>Seed OCP</t>
  </si>
  <si>
    <t>USD/sh</t>
  </si>
  <si>
    <t>Series A OCP</t>
  </si>
  <si>
    <t>Series B OCP</t>
  </si>
  <si>
    <t>Series C OCP</t>
  </si>
  <si>
    <t>Series D OCP (compound v3·v4 = post-E NCP)</t>
  </si>
  <si>
    <t>Series D original PPS (issued at)</t>
  </si>
  <si>
    <t>Series E OCP / PPS</t>
  </si>
  <si>
    <t>Prior Round Shares Outstanding</t>
  </si>
  <si>
    <t>Seed shares</t>
  </si>
  <si>
    <t>Series A shares</t>
  </si>
  <si>
    <t>Series B shares</t>
  </si>
  <si>
    <t>Series C shares</t>
  </si>
  <si>
    <t>Series D shares (originally issued at $60)</t>
  </si>
  <si>
    <t>Series E shares</t>
  </si>
  <si>
    <t>Invested USD per Class</t>
  </si>
  <si>
    <t>Seed invested</t>
  </si>
  <si>
    <t>Series A invested</t>
  </si>
  <si>
    <t>Series B invested</t>
  </si>
  <si>
    <t>Series C invested</t>
  </si>
  <si>
    <t>Series D invested</t>
  </si>
  <si>
    <t>Series E invested</t>
  </si>
  <si>
    <t>Convertible Notes</t>
  </si>
  <si>
    <t>Note A principal</t>
  </si>
  <si>
    <t>Note A valuation cap</t>
  </si>
  <si>
    <t>Note A discount</t>
  </si>
  <si>
    <t>Note B principal</t>
  </si>
  <si>
    <t>Note B valuation cap</t>
  </si>
  <si>
    <t>Note B discount</t>
  </si>
  <si>
    <t>Exit Scenarios</t>
  </si>
  <si>
    <t>Exit 1</t>
  </si>
  <si>
    <t>Exit 2</t>
  </si>
  <si>
    <t>Exit 3 (sensitivity ref)</t>
  </si>
  <si>
    <t>Exit 4</t>
  </si>
  <si>
    <t>Exit 5</t>
  </si>
  <si>
    <t>Sensitivity Axes</t>
  </si>
  <si>
    <t>ESOP low / base / high</t>
  </si>
  <si>
    <t>Pre-money low / base / high</t>
  </si>
  <si>
    <t>Return Multiples</t>
  </si>
  <si>
    <t>Target multiple (3×)</t>
  </si>
  <si>
    <t>Target multiple (4×)</t>
  </si>
  <si>
    <t>Pro-Forma Cap Table</t>
  </si>
  <si>
    <t>Series F closing — fully-diluted ownership</t>
  </si>
  <si>
    <t>Round Solve (Fixed Point)</t>
  </si>
  <si>
    <t>Series F pre-money</t>
  </si>
  <si>
    <t>ESOP target % of post-F FD</t>
  </si>
  <si>
    <t>Pre-F broad-based FD (A in WA AD)</t>
  </si>
  <si>
    <t>Existing option pool (issued + unissued)</t>
  </si>
  <si>
    <t>Common + RSAs</t>
  </si>
  <si>
    <t>Series E AD Coefficients</t>
  </si>
  <si>
    <t>OCP_E</t>
  </si>
  <si>
    <t>α_E  (E shares constant)</t>
  </si>
  <si>
    <t>β_E  (E shares × p)</t>
  </si>
  <si>
    <t>Series D AD Coefficients</t>
  </si>
  <si>
    <t>OCP_D (compound v3·v4 = post-E NCP)</t>
  </si>
  <si>
    <t>Original D PPS</t>
  </si>
  <si>
    <t>α_D</t>
  </si>
  <si>
    <t>β_D</t>
  </si>
  <si>
    <t>Note A Branch Determination</t>
  </si>
  <si>
    <t>Note A cap</t>
  </si>
  <si>
    <t>Cap branch wins iff pre &gt; threshold</t>
  </si>
  <si>
    <t>Note A branch</t>
  </si>
  <si>
    <t>β_NA  (NA shares × p)</t>
  </si>
  <si>
    <t>Note B Branch Determination</t>
  </si>
  <si>
    <t>Note B cap</t>
  </si>
  <si>
    <t>Note B branch</t>
  </si>
  <si>
    <t>β_NB</t>
  </si>
  <si>
    <t>Closed-Form Solve</t>
  </si>
  <si>
    <t>Pre-F constant shares (Common+Seed+A+B+C)</t>
  </si>
  <si>
    <t>M = constants + α_E + α_D</t>
  </si>
  <si>
    <t>K = (1-esop)·post − raise − β_E − β_D − β_NA − β_NB</t>
  </si>
  <si>
    <t>F_PPS = K / M (top-up triggered branch)</t>
  </si>
  <si>
    <t>T_F = post / F_PPS</t>
  </si>
  <si>
    <t>ESOP top-up triggered? (0.13·T_F &gt; 4.39M)</t>
  </si>
  <si>
    <t>F_PPS (final)</t>
  </si>
  <si>
    <t>T_F (final)</t>
  </si>
  <si>
    <t>Anti-Dilution Block (Broad-Based WA)</t>
  </si>
  <si>
    <t>Class</t>
  </si>
  <si>
    <t>OCP</t>
  </si>
  <si>
    <t>Trigger?</t>
  </si>
  <si>
    <t>New Conv. Price</t>
  </si>
  <si>
    <t>New Ratio</t>
  </si>
  <si>
    <t>As-Conv Shares</t>
  </si>
  <si>
    <t>Original Shares</t>
  </si>
  <si>
    <t>Seed</t>
  </si>
  <si>
    <t>Series A</t>
  </si>
  <si>
    <t>Series B</t>
  </si>
  <si>
    <t>Series C</t>
  </si>
  <si>
    <t>Series D</t>
  </si>
  <si>
    <t>Series E</t>
  </si>
  <si>
    <t>Convertible Notes Block</t>
  </si>
  <si>
    <t>Note</t>
  </si>
  <si>
    <t>Cap-Implied PPS</t>
  </si>
  <si>
    <t>Discount-Implied PPS</t>
  </si>
  <si>
    <t>Conversion PPS</t>
  </si>
  <si>
    <t>Branch</t>
  </si>
  <si>
    <t>Shares Issued</t>
  </si>
  <si>
    <t>Principal</t>
  </si>
  <si>
    <t>Note A</t>
  </si>
  <si>
    <t>Note B</t>
  </si>
  <si>
    <t>Secondary Tender Block</t>
  </si>
  <si>
    <t>Tender raise ($)</t>
  </si>
  <si>
    <t>Tender PPS</t>
  </si>
  <si>
    <t>Tender shares (transferred from founders)</t>
  </si>
  <si>
    <t>Founders' total common (pre-tender)</t>
  </si>
  <si>
    <t>F1 tender give-up (50.00% of founders)</t>
  </si>
  <si>
    <t>F2 tender give-up (31.25%)</t>
  </si>
  <si>
    <t>F3 tender give-up (18.75%)</t>
  </si>
  <si>
    <t>F_LEAD secondary common holding</t>
  </si>
  <si>
    <t>Post-F Capitalization Table</t>
  </si>
  <si>
    <t>Stakeholder</t>
  </si>
  <si>
    <t>Shares</t>
  </si>
  <si>
    <t>% of Post-F FD</t>
  </si>
  <si>
    <t>Notes</t>
  </si>
  <si>
    <t>F1 (CEO)</t>
  </si>
  <si>
    <t>Common</t>
  </si>
  <si>
    <t>F2 (CTO)</t>
  </si>
  <si>
    <t>F3 (Chief Sci)</t>
  </si>
  <si>
    <t>Employee RSAs (E1-E10)</t>
  </si>
  <si>
    <t>Seed holder</t>
  </si>
  <si>
    <t>Seed Pref (AS-CONV)</t>
  </si>
  <si>
    <t>Series A holder</t>
  </si>
  <si>
    <t>Series A Pref (AS-CONV)</t>
  </si>
  <si>
    <t>Series B holder</t>
  </si>
  <si>
    <t>Series B Pref (AS-CONV)</t>
  </si>
  <si>
    <t>Series C holder</t>
  </si>
  <si>
    <t>Series C Pref (AS-CONV)</t>
  </si>
  <si>
    <t>Series D holder</t>
  </si>
  <si>
    <t>Series D Pref (AS-CONV)</t>
  </si>
  <si>
    <t>Series E holders (10)</t>
  </si>
  <si>
    <t>Series E Pref (AS-CONV)</t>
  </si>
  <si>
    <t>Note A holder</t>
  </si>
  <si>
    <t>Common (post-conv)</t>
  </si>
  <si>
    <t>Note B holder</t>
  </si>
  <si>
    <t>F_LEAD (primary)</t>
  </si>
  <si>
    <t>Series F Pref</t>
  </si>
  <si>
    <t>F_LEAD (secondary)</t>
  </si>
  <si>
    <t>Common (from founders)</t>
  </si>
  <si>
    <t>Our fund (F_FUND)</t>
  </si>
  <si>
    <t>ESOP issued options</t>
  </si>
  <si>
    <t>Options</t>
  </si>
  <si>
    <t>ESOP unissued (post-F top-up)</t>
  </si>
  <si>
    <t>Options Pool</t>
  </si>
  <si>
    <t>Total</t>
  </si>
  <si>
    <t>Check</t>
  </si>
  <si>
    <t>Return Solver</t>
  </si>
  <si>
    <t>Required Series F ownership for 3× / 4× return on our $10M check</t>
  </si>
  <si>
    <t>Inputs (Base Case)</t>
  </si>
  <si>
    <t>Our fund check</t>
  </si>
  <si>
    <t>Series F primary raise (total)</t>
  </si>
  <si>
    <t>Target multiple 3×</t>
  </si>
  <si>
    <t>Target multiple 4×</t>
  </si>
  <si>
    <t>3× target proceeds</t>
  </si>
  <si>
    <t>4× target proceeds</t>
  </si>
  <si>
    <t>Post-F T_F (base case)</t>
  </si>
  <si>
    <t>Post-money (base)</t>
  </si>
  <si>
    <t>Per-Exit Required Ownership</t>
  </si>
  <si>
    <t>Exit Scenario</t>
  </si>
  <si>
    <t>Exit Value</t>
  </si>
  <si>
    <t>F Election (base)</t>
  </si>
  <si>
    <t>PPS at Exit</t>
  </si>
  <si>
    <t>Req % for 3× ($30M)</t>
  </si>
  <si>
    <t>Req % for 4× ($40M)</t>
  </si>
  <si>
    <t>Feasibility Flag</t>
  </si>
  <si>
    <t>Exit 3</t>
  </si>
  <si>
    <t>If F takes preference at an exit, max F-class proceeds = $30M total</t>
  </si>
  <si>
    <t>regardless of ownership %; 4× target requires $40M, infeasible by definition</t>
  </si>
  <si>
    <t>When F converts, required ownership scales as target / (PPS × T_F)</t>
  </si>
  <si>
    <t>Sensitivity Analysis</t>
  </si>
  <si>
    <t>Our $10M check — ownership % and $ proceeds at $2B exit</t>
  </si>
  <si>
    <t>Global Constants (independent of cell)</t>
  </si>
  <si>
    <t>OCP_D</t>
  </si>
  <si>
    <t>α_E (constant)</t>
  </si>
  <si>
    <t>β_E (constant)</t>
  </si>
  <si>
    <t>α_D (constant)</t>
  </si>
  <si>
    <t>β_D (constant)</t>
  </si>
  <si>
    <t>M (constant pre-F shares)</t>
  </si>
  <si>
    <t>Common (9M + RSAs)</t>
  </si>
  <si>
    <t>Options issued</t>
  </si>
  <si>
    <t>Option strike</t>
  </si>
  <si>
    <t>Existing option pool</t>
  </si>
  <si>
    <t>Note A principal / cap / disc</t>
  </si>
  <si>
    <t>Note B principal / cap / disc</t>
  </si>
  <si>
    <t>Cap branch threshold (NA, NB)</t>
  </si>
  <si>
    <t>$2B exit target</t>
  </si>
  <si>
    <t>Cell (11%, $1.2B)</t>
  </si>
  <si>
    <t>Pre-money</t>
  </si>
  <si>
    <t>ESOP refresh</t>
  </si>
  <si>
    <t>Post-money</t>
  </si>
  <si>
    <t>Note A branch / β_NA</t>
  </si>
  <si>
    <t>Note B branch / β_NB</t>
  </si>
  <si>
    <t>K</t>
  </si>
  <si>
    <t>F_PPS</t>
  </si>
  <si>
    <t>T_F</t>
  </si>
  <si>
    <t>F_pri shares</t>
  </si>
  <si>
    <t>E_sh (with AD)</t>
  </si>
  <si>
    <t>D_sh (with AD)</t>
  </si>
  <si>
    <t>NA_sh / NB_sh</t>
  </si>
  <si>
    <t>Opts (max)</t>
  </si>
  <si>
    <t>Common-eq base (common+opts+notes)</t>
  </si>
  <si>
    <t>$2B Waterfall — Iteration</t>
  </si>
  <si>
    <t>Class →</t>
  </si>
  <si>
    <t>F</t>
  </si>
  <si>
    <t>E</t>
  </si>
  <si>
    <t>D</t>
  </si>
  <si>
    <t>C</t>
  </si>
  <si>
    <t>B</t>
  </si>
  <si>
    <t>A</t>
  </si>
  <si>
    <t>ΣPref</t>
  </si>
  <si>
    <t>ΣConvN</t>
  </si>
  <si>
    <t>S (pref $)</t>
  </si>
  <si>
    <t>n (as-conv shares)</t>
  </si>
  <si>
    <t>Iter 0</t>
  </si>
  <si>
    <t>convert</t>
  </si>
  <si>
    <t>Iter 1</t>
  </si>
  <si>
    <t>Iter 2</t>
  </si>
  <si>
    <t>Iter 3</t>
  </si>
  <si>
    <t>Iter 4</t>
  </si>
  <si>
    <t>Iter 5</t>
  </si>
  <si>
    <t>PPS at $2B</t>
  </si>
  <si>
    <t>F election / our proceeds</t>
  </si>
  <si>
    <t>Our ownership %</t>
  </si>
  <si>
    <t>Cell (11%, $1.4B)</t>
  </si>
  <si>
    <t>Cell (11%, $1.8B)</t>
  </si>
  <si>
    <t>Cell (13%, $1.2B)</t>
  </si>
  <si>
    <t>Cell (13%, $1.4B)</t>
  </si>
  <si>
    <t>Cell (13%, $1.8B)</t>
  </si>
  <si>
    <t>Cell (15%, $1.2B)</t>
  </si>
  <si>
    <t>Cell (15%, $1.4B)</t>
  </si>
  <si>
    <t>Cell (15%, $1.8B)</t>
  </si>
  <si>
    <t>Sensitivity Output Grids</t>
  </si>
  <si>
    <t>Our $10M check — Post-F Ownership %</t>
  </si>
  <si>
    <t>ESOP \ Pre-money</t>
  </si>
  <si>
    <t>Our $10M check — $ Proceeds at $2B Exit</t>
  </si>
  <si>
    <t>Waterfall Analysis</t>
  </si>
  <si>
    <t>Per-class elections (Nash equilibrium) and payoffs at five exits</t>
  </si>
  <si>
    <t>Class Constants</t>
  </si>
  <si>
    <t>Pref ($)</t>
  </si>
  <si>
    <t>Series F</t>
  </si>
  <si>
    <t>Notes (A + B common-eq post-conv)</t>
  </si>
  <si>
    <t>Options issued (ITM at exit)</t>
  </si>
  <si>
    <t>Common-equivalent base (always in pool)</t>
  </si>
  <si>
    <t>Exit Scenarios ($)</t>
  </si>
  <si>
    <t>Exit value</t>
  </si>
  <si>
    <t>Effective exit (+ options strike cash)</t>
  </si>
  <si>
    <t>Election Decisions (Nash Equilibrium) — 35 cells</t>
  </si>
  <si>
    <t>$700M</t>
  </si>
  <si>
    <t>$1.2B</t>
  </si>
  <si>
    <t>$2.0B</t>
  </si>
  <si>
    <t>$4.0B</t>
  </si>
  <si>
    <t>$8.0B</t>
  </si>
  <si>
    <t>Exit 1: $700M — Iteration &amp; Payoffs</t>
  </si>
  <si>
    <t>Iter / Class</t>
  </si>
  <si>
    <t>Iter 0 (init)</t>
  </si>
  <si>
    <t>PPS (post conversions)</t>
  </si>
  <si>
    <t>Class payoff ($)</t>
  </si>
  <si>
    <t>Common + RSA payoff</t>
  </si>
  <si>
    <t>Notes (A+B common-eq) payoff</t>
  </si>
  <si>
    <t>Options issued (net of strike)</t>
  </si>
  <si>
    <t>Total proceeds</t>
  </si>
  <si>
    <t>Exit 2: $1.2B — Iteration &amp; Payoffs</t>
  </si>
  <si>
    <t>Exit 3: $2.0B — Iteration &amp; Payoffs</t>
  </si>
  <si>
    <t>Exit 4: $4.0B — Iteration &amp; Payoffs</t>
  </si>
  <si>
    <t>Exit 5: $8.0B — Iteration &amp; Payoffs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</si>
</sst>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;\-\-_)"/>
    <numFmt numFmtId="165" formatCode="0.0%"/>
    <numFmt numFmtId="166" formatCode="#,##0_);\(#,##0\);\-\-_)"/>
    <numFmt numFmtId="167" formatCode="&quot;$&quot;#,##0.0_);\(&quot;$&quot;#,##0.0\);\-\-_)"/>
    <numFmt numFmtId="168" formatCode="0.0&quot;x&quot;_);\(0.0&quot;x&quot;\);\-\-_)"/>
    <numFmt numFmtId="169" formatCode="0.0%_);\(0.0%\);\-\-_)"/>
  </numFmts>
  <fonts count="10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i/>
      <charset val="134"/>
      <color rgb="FF666666"/>
      <family val="1"/>
      <sz val="8"/>
      <name val="Arial"/>
    </font>
    <font>
      <b/>
      <charset val="134"/>
      <color rgb="FF000000"/>
      <family val="1"/>
      <sz val="10"/>
      <name val="Arial"/>
    </font>
    <font>
      <charset val="134"/>
      <color rgb="FF00B050"/>
      <family val="1"/>
      <sz val="10"/>
      <name val="Arial"/>
    </font>
    <font>
      <b/>
      <charset val="134"/>
      <color rgb="FF7030A0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6" fontId="7" fillId="0" borderId="1" xfId="0" applyNumberFormat="1" applyFont="1" applyBorder="1" applyAlignment="1">
      <alignment horizontal="right"/>
    </xf>
    <xf numFmtId="167" fontId="5" fillId="3" borderId="0" xfId="0" applyNumberFormat="1" applyFont="1" applyFill="1" applyAlignment="1">
      <alignment horizontal="right"/>
    </xf>
    <xf numFmtId="168" fontId="5" fillId="3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9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164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0" fontId="7" fillId="0" borderId="2" xfId="0" applyFont="1" applyBorder="1" applyAlignment="1">
      <alignment horizontal="center"/>
    </xf>
    <xf numFmtId="167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right"/>
    </xf>
    <xf numFmtId="166" fontId="7" fillId="0" borderId="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/>
    </xf>
    <xf numFmtId="169" fontId="7" fillId="4" borderId="0" xfId="0" applyNumberFormat="1" applyFont="1" applyFill="1" applyAlignment="1">
      <alignment horizontal="right"/>
    </xf>
    <xf numFmtId="164" fontId="7" fillId="5" borderId="0" xfId="0" applyNumberFormat="1" applyFont="1" applyFill="1" applyAlignment="1">
      <alignment horizontal="right"/>
    </xf>
    <xf numFmtId="164" fontId="7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6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40.205" customWidth="1"/>
    <col min="3" max="5" width="16.45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5" x14ac:dyDescent="0.25">
      <c r="B5" s="3" t="s">
        <v>2</v>
      </c>
      <c r="C5" s="4"/>
      <c r="D5" s="4"/>
      <c r="E5" s="4"/>
    </row>
    <row r="6" spans="2:4" x14ac:dyDescent="0.25">
      <c r="B6" s="5" t="s">
        <v>3</v>
      </c>
      <c r="C6" s="6">
        <v>1400000000</v>
      </c>
      <c r="D6" s="7" t="s">
        <v>4</v>
      </c>
    </row>
    <row r="7" spans="2:4" x14ac:dyDescent="0.25">
      <c r="B7" s="5" t="s">
        <v>5</v>
      </c>
      <c r="C7" s="6">
        <v>30000000</v>
      </c>
      <c r="D7" s="7" t="s">
        <v>4</v>
      </c>
    </row>
    <row r="8" spans="2:4" x14ac:dyDescent="0.25">
      <c r="B8" s="5" t="s">
        <v>6</v>
      </c>
      <c r="C8" s="8">
        <f>C6+C7</f>
        <v>1430000000</v>
      </c>
      <c r="D8" s="7" t="s">
        <v>4</v>
      </c>
    </row>
    <row r="9" spans="2:4" x14ac:dyDescent="0.25">
      <c r="B9" s="5" t="s">
        <v>7</v>
      </c>
      <c r="C9" s="6">
        <v>15000000</v>
      </c>
      <c r="D9" s="7" t="s">
        <v>4</v>
      </c>
    </row>
    <row r="10" spans="2:4" x14ac:dyDescent="0.25">
      <c r="B10" s="5" t="s">
        <v>8</v>
      </c>
      <c r="C10" s="9">
        <v>0.85</v>
      </c>
      <c r="D10" s="7" t="s">
        <v>9</v>
      </c>
    </row>
    <row r="11" spans="2:4" x14ac:dyDescent="0.25">
      <c r="B11" s="5" t="s">
        <v>10</v>
      </c>
      <c r="C11" s="9">
        <v>0.13</v>
      </c>
      <c r="D11" s="7" t="s">
        <v>11</v>
      </c>
    </row>
    <row r="12" spans="2:4" x14ac:dyDescent="0.25">
      <c r="B12" s="5" t="s">
        <v>12</v>
      </c>
      <c r="C12" s="6">
        <v>10000000</v>
      </c>
      <c r="D12" s="7" t="s">
        <v>4</v>
      </c>
    </row>
    <row r="13" spans="2:4" x14ac:dyDescent="0.25">
      <c r="B13" s="5" t="s">
        <v>13</v>
      </c>
      <c r="C13" s="6">
        <v>20000000</v>
      </c>
      <c r="D13" s="7" t="s">
        <v>4</v>
      </c>
    </row>
    <row r="14" spans="2:4" x14ac:dyDescent="0.25">
      <c r="B14" s="5" t="s">
        <v>14</v>
      </c>
      <c r="C14" s="6">
        <v>1</v>
      </c>
      <c r="D14" s="7" t="s">
        <v>15</v>
      </c>
    </row>
    <row r="16" spans="2:5" x14ac:dyDescent="0.25">
      <c r="B16" s="3" t="s">
        <v>16</v>
      </c>
      <c r="C16" s="4"/>
      <c r="D16" s="4"/>
      <c r="E16" s="4"/>
    </row>
    <row r="17" spans="2:4" x14ac:dyDescent="0.25">
      <c r="B17" s="5" t="s">
        <v>17</v>
      </c>
      <c r="C17" s="10">
        <v>36617961</v>
      </c>
      <c r="D17" s="7" t="s">
        <v>18</v>
      </c>
    </row>
    <row r="18" spans="2:4" x14ac:dyDescent="0.25">
      <c r="B18" s="5" t="s">
        <v>19</v>
      </c>
      <c r="C18" s="10">
        <v>2500000</v>
      </c>
      <c r="D18" s="7" t="s">
        <v>18</v>
      </c>
    </row>
    <row r="19" spans="2:4" x14ac:dyDescent="0.25">
      <c r="B19" s="5" t="s">
        <v>20</v>
      </c>
      <c r="C19" s="10">
        <v>1894667</v>
      </c>
      <c r="D19" s="7" t="s">
        <v>18</v>
      </c>
    </row>
    <row r="20" spans="2:4" x14ac:dyDescent="0.25">
      <c r="B20" s="5" t="s">
        <v>21</v>
      </c>
      <c r="C20" s="11">
        <f>C18+C19</f>
        <v>4394667</v>
      </c>
      <c r="D20" s="7" t="s">
        <v>18</v>
      </c>
    </row>
    <row r="22" spans="2:5" x14ac:dyDescent="0.25">
      <c r="B22" s="3" t="s">
        <v>22</v>
      </c>
      <c r="C22" s="4"/>
      <c r="D22" s="4"/>
      <c r="E22" s="4"/>
    </row>
    <row r="23" spans="2:4" x14ac:dyDescent="0.25">
      <c r="B23" s="5" t="s">
        <v>23</v>
      </c>
      <c r="C23" s="10">
        <v>4000000</v>
      </c>
      <c r="D23" s="7" t="s">
        <v>18</v>
      </c>
    </row>
    <row r="24" spans="2:4" x14ac:dyDescent="0.25">
      <c r="B24" s="5" t="s">
        <v>24</v>
      </c>
      <c r="C24" s="10">
        <v>2500000</v>
      </c>
      <c r="D24" s="7" t="s">
        <v>18</v>
      </c>
    </row>
    <row r="25" spans="2:4" x14ac:dyDescent="0.25">
      <c r="B25" s="5" t="s">
        <v>25</v>
      </c>
      <c r="C25" s="10">
        <v>1500000</v>
      </c>
      <c r="D25" s="7" t="s">
        <v>18</v>
      </c>
    </row>
    <row r="26" spans="2:4" x14ac:dyDescent="0.25">
      <c r="B26" s="12" t="s">
        <v>26</v>
      </c>
      <c r="C26" s="13">
        <f>SUM(C23:C25)</f>
        <v>8000000</v>
      </c>
      <c r="D26" s="7" t="s">
        <v>18</v>
      </c>
    </row>
    <row r="27" spans="2:4" x14ac:dyDescent="0.25">
      <c r="B27" s="5" t="s">
        <v>27</v>
      </c>
      <c r="C27" s="10">
        <v>1000000</v>
      </c>
      <c r="D27" s="7" t="s">
        <v>18</v>
      </c>
    </row>
    <row r="28" spans="2:4" x14ac:dyDescent="0.25">
      <c r="B28" s="12" t="s">
        <v>28</v>
      </c>
      <c r="C28" s="13">
        <f>C26+C27</f>
        <v>9000000</v>
      </c>
      <c r="D28" s="7" t="s">
        <v>18</v>
      </c>
    </row>
    <row r="30" spans="2:5" x14ac:dyDescent="0.25">
      <c r="B30" s="3" t="s">
        <v>29</v>
      </c>
      <c r="C30" s="4"/>
      <c r="D30" s="4"/>
      <c r="E30" s="4"/>
    </row>
    <row r="31" spans="2:4" x14ac:dyDescent="0.25">
      <c r="B31" s="5" t="s">
        <v>30</v>
      </c>
      <c r="C31" s="6">
        <v>1</v>
      </c>
      <c r="D31" s="7" t="s">
        <v>31</v>
      </c>
    </row>
    <row r="32" spans="2:4" x14ac:dyDescent="0.25">
      <c r="B32" s="5" t="s">
        <v>32</v>
      </c>
      <c r="C32" s="6">
        <v>3</v>
      </c>
      <c r="D32" s="7" t="s">
        <v>31</v>
      </c>
    </row>
    <row r="33" spans="2:4" x14ac:dyDescent="0.25">
      <c r="B33" s="5" t="s">
        <v>33</v>
      </c>
      <c r="C33" s="6">
        <v>10</v>
      </c>
      <c r="D33" s="7" t="s">
        <v>31</v>
      </c>
    </row>
    <row r="34" spans="2:4" x14ac:dyDescent="0.25">
      <c r="B34" s="5" t="s">
        <v>34</v>
      </c>
      <c r="C34" s="6">
        <v>25</v>
      </c>
      <c r="D34" s="7" t="s">
        <v>31</v>
      </c>
    </row>
    <row r="35" spans="2:4" x14ac:dyDescent="0.25">
      <c r="B35" s="5" t="s">
        <v>35</v>
      </c>
      <c r="C35" s="14">
        <v>58.118347</v>
      </c>
      <c r="D35" s="7" t="s">
        <v>31</v>
      </c>
    </row>
    <row r="36" spans="2:4" x14ac:dyDescent="0.25">
      <c r="B36" s="5" t="s">
        <v>36</v>
      </c>
      <c r="C36" s="6">
        <v>60</v>
      </c>
      <c r="D36" s="7" t="s">
        <v>31</v>
      </c>
    </row>
    <row r="37" spans="2:4" x14ac:dyDescent="0.25">
      <c r="B37" s="5" t="s">
        <v>37</v>
      </c>
      <c r="C37" s="14">
        <v>49.158311</v>
      </c>
      <c r="D37" s="7" t="s">
        <v>31</v>
      </c>
    </row>
    <row r="39" spans="2:5" x14ac:dyDescent="0.25">
      <c r="B39" s="3" t="s">
        <v>38</v>
      </c>
      <c r="C39" s="4"/>
      <c r="D39" s="4"/>
      <c r="E39" s="4"/>
    </row>
    <row r="40" spans="2:4" x14ac:dyDescent="0.25">
      <c r="B40" s="5" t="s">
        <v>39</v>
      </c>
      <c r="C40" s="10">
        <v>5000000</v>
      </c>
      <c r="D40" s="7" t="s">
        <v>18</v>
      </c>
    </row>
    <row r="41" spans="2:4" x14ac:dyDescent="0.25">
      <c r="B41" s="5" t="s">
        <v>40</v>
      </c>
      <c r="C41" s="10">
        <v>5000000</v>
      </c>
      <c r="D41" s="7" t="s">
        <v>18</v>
      </c>
    </row>
    <row r="42" spans="2:4" x14ac:dyDescent="0.25">
      <c r="B42" s="5" t="s">
        <v>41</v>
      </c>
      <c r="C42" s="10">
        <v>3000000</v>
      </c>
      <c r="D42" s="7" t="s">
        <v>18</v>
      </c>
    </row>
    <row r="43" spans="2:4" x14ac:dyDescent="0.25">
      <c r="B43" s="5" t="s">
        <v>42</v>
      </c>
      <c r="C43" s="10">
        <v>2400000</v>
      </c>
      <c r="D43" s="7" t="s">
        <v>18</v>
      </c>
    </row>
    <row r="44" spans="2:4" x14ac:dyDescent="0.25">
      <c r="B44" s="5" t="s">
        <v>43</v>
      </c>
      <c r="C44" s="10">
        <v>1666667</v>
      </c>
      <c r="D44" s="7" t="s">
        <v>18</v>
      </c>
    </row>
    <row r="45" spans="2:4" x14ac:dyDescent="0.25">
      <c r="B45" s="5" t="s">
        <v>44</v>
      </c>
      <c r="C45" s="10">
        <v>6102667</v>
      </c>
      <c r="D45" s="7" t="s">
        <v>18</v>
      </c>
    </row>
    <row r="47" spans="2:5" x14ac:dyDescent="0.25">
      <c r="B47" s="3" t="s">
        <v>45</v>
      </c>
      <c r="C47" s="4"/>
      <c r="D47" s="4"/>
      <c r="E47" s="4"/>
    </row>
    <row r="48" spans="2:3" x14ac:dyDescent="0.25">
      <c r="B48" s="5" t="s">
        <v>46</v>
      </c>
      <c r="C48" s="6">
        <v>5000000</v>
      </c>
    </row>
    <row r="49" spans="2:3" x14ac:dyDescent="0.25">
      <c r="B49" s="5" t="s">
        <v>47</v>
      </c>
      <c r="C49" s="6">
        <v>15000000</v>
      </c>
    </row>
    <row r="50" spans="2:3" x14ac:dyDescent="0.25">
      <c r="B50" s="5" t="s">
        <v>48</v>
      </c>
      <c r="C50" s="6">
        <v>30000000</v>
      </c>
    </row>
    <row r="51" spans="2:3" x14ac:dyDescent="0.25">
      <c r="B51" s="5" t="s">
        <v>49</v>
      </c>
      <c r="C51" s="6">
        <v>60000000</v>
      </c>
    </row>
    <row r="52" spans="2:3" x14ac:dyDescent="0.25">
      <c r="B52" s="5" t="s">
        <v>50</v>
      </c>
      <c r="C52" s="6">
        <v>100000000</v>
      </c>
    </row>
    <row r="53" spans="2:3" x14ac:dyDescent="0.25">
      <c r="B53" s="5" t="s">
        <v>51</v>
      </c>
      <c r="C53" s="6">
        <v>300000000</v>
      </c>
    </row>
    <row r="55" spans="2:5" x14ac:dyDescent="0.25">
      <c r="B55" s="3" t="s">
        <v>52</v>
      </c>
      <c r="C55" s="4"/>
      <c r="D55" s="4"/>
      <c r="E55" s="4"/>
    </row>
    <row r="56" spans="2:3" x14ac:dyDescent="0.25">
      <c r="B56" s="5" t="s">
        <v>53</v>
      </c>
      <c r="C56" s="6">
        <v>5000000</v>
      </c>
    </row>
    <row r="57" spans="2:3" x14ac:dyDescent="0.25">
      <c r="B57" s="5" t="s">
        <v>54</v>
      </c>
      <c r="C57" s="6">
        <v>1000000000</v>
      </c>
    </row>
    <row r="58" spans="2:3" x14ac:dyDescent="0.25">
      <c r="B58" s="5" t="s">
        <v>55</v>
      </c>
      <c r="C58" s="9">
        <v>0.2</v>
      </c>
    </row>
    <row r="59" spans="2:3" x14ac:dyDescent="0.25">
      <c r="B59" s="5" t="s">
        <v>56</v>
      </c>
      <c r="C59" s="6">
        <v>3000000</v>
      </c>
    </row>
    <row r="60" spans="2:3" x14ac:dyDescent="0.25">
      <c r="B60" s="5" t="s">
        <v>57</v>
      </c>
      <c r="C60" s="6">
        <v>1600000000</v>
      </c>
    </row>
    <row r="61" spans="2:3" x14ac:dyDescent="0.25">
      <c r="B61" s="5" t="s">
        <v>58</v>
      </c>
      <c r="C61" s="9">
        <v>0.15</v>
      </c>
    </row>
    <row r="63" spans="2:5" x14ac:dyDescent="0.25">
      <c r="B63" s="3" t="s">
        <v>59</v>
      </c>
      <c r="C63" s="4"/>
      <c r="D63" s="4"/>
      <c r="E63" s="4"/>
    </row>
    <row r="64" spans="2:3" x14ac:dyDescent="0.25">
      <c r="B64" s="5" t="s">
        <v>60</v>
      </c>
      <c r="C64" s="6">
        <v>700000000</v>
      </c>
    </row>
    <row r="65" spans="2:3" x14ac:dyDescent="0.25">
      <c r="B65" s="5" t="s">
        <v>61</v>
      </c>
      <c r="C65" s="6">
        <v>1200000000</v>
      </c>
    </row>
    <row r="66" spans="2:3" x14ac:dyDescent="0.25">
      <c r="B66" s="5" t="s">
        <v>62</v>
      </c>
      <c r="C66" s="6">
        <v>2000000000</v>
      </c>
    </row>
    <row r="67" spans="2:3" x14ac:dyDescent="0.25">
      <c r="B67" s="5" t="s">
        <v>63</v>
      </c>
      <c r="C67" s="6">
        <v>4000000000</v>
      </c>
    </row>
    <row r="68" spans="2:3" x14ac:dyDescent="0.25">
      <c r="B68" s="5" t="s">
        <v>64</v>
      </c>
      <c r="C68" s="6">
        <v>8000000000</v>
      </c>
    </row>
    <row r="70" spans="2:5" x14ac:dyDescent="0.25">
      <c r="B70" s="3" t="s">
        <v>65</v>
      </c>
      <c r="C70" s="4"/>
      <c r="D70" s="4"/>
      <c r="E70" s="4"/>
    </row>
    <row r="71" spans="2:5" x14ac:dyDescent="0.25">
      <c r="B71" s="5" t="s">
        <v>66</v>
      </c>
      <c r="C71" s="9">
        <v>0.11</v>
      </c>
      <c r="D71" s="9">
        <v>0.13</v>
      </c>
      <c r="E71" s="9">
        <v>0.15</v>
      </c>
    </row>
    <row r="72" spans="2:5" x14ac:dyDescent="0.25">
      <c r="B72" s="5" t="s">
        <v>67</v>
      </c>
      <c r="C72" s="6">
        <v>1200000000</v>
      </c>
      <c r="D72" s="6">
        <v>1400000000</v>
      </c>
      <c r="E72" s="6">
        <v>1800000000</v>
      </c>
    </row>
    <row r="74" spans="2:5" x14ac:dyDescent="0.25">
      <c r="B74" s="3" t="s">
        <v>68</v>
      </c>
      <c r="C74" s="4"/>
      <c r="D74" s="4"/>
      <c r="E74" s="4"/>
    </row>
    <row r="75" spans="2:3" x14ac:dyDescent="0.25">
      <c r="B75" s="5" t="s">
        <v>69</v>
      </c>
      <c r="C75" s="15">
        <v>3</v>
      </c>
    </row>
    <row r="76" spans="2:3" x14ac:dyDescent="0.25">
      <c r="B76" s="5" t="s">
        <v>70</v>
      </c>
      <c r="C76" s="1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7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3" width="25.205" customWidth="1"/>
    <col min="4" max="5" width="16.455" customWidth="1"/>
    <col min="6" max="6" width="13.955" customWidth="1"/>
    <col min="7" max="8" width="16.455" customWidth="1"/>
  </cols>
  <sheetData>
    <row r="2" ht="18" customHeight="1" spans="2:2" x14ac:dyDescent="0.25">
      <c r="B2" s="1" t="s">
        <v>71</v>
      </c>
    </row>
    <row r="3" spans="2:2" x14ac:dyDescent="0.25">
      <c r="B3" s="2" t="s">
        <v>72</v>
      </c>
    </row>
    <row r="5" spans="2:8" x14ac:dyDescent="0.25">
      <c r="B5" s="3" t="s">
        <v>73</v>
      </c>
      <c r="C5" s="4"/>
      <c r="D5" s="4"/>
      <c r="E5" s="4"/>
      <c r="F5" s="4"/>
      <c r="G5" s="4"/>
      <c r="H5" s="4"/>
    </row>
    <row r="6" spans="2:3" x14ac:dyDescent="0.25">
      <c r="B6" s="5" t="s">
        <v>74</v>
      </c>
      <c r="C6" s="16">
        <f>Assumptions!C6</f>
        <v>1400000000</v>
      </c>
    </row>
    <row r="7" spans="2:3" x14ac:dyDescent="0.25">
      <c r="B7" s="5" t="s">
        <v>5</v>
      </c>
      <c r="C7" s="16">
        <f>Assumptions!C7</f>
        <v>30000000</v>
      </c>
    </row>
    <row r="8" spans="2:3" x14ac:dyDescent="0.25">
      <c r="B8" s="5" t="s">
        <v>6</v>
      </c>
      <c r="C8" s="8">
        <f>C6+C7</f>
        <v>1430000000</v>
      </c>
    </row>
    <row r="9" spans="2:3" x14ac:dyDescent="0.25">
      <c r="B9" s="5" t="s">
        <v>75</v>
      </c>
      <c r="C9" s="17">
        <f>Assumptions!C11</f>
        <v>0.13</v>
      </c>
    </row>
    <row r="10" spans="2:3" x14ac:dyDescent="0.25">
      <c r="B10" s="5" t="s">
        <v>76</v>
      </c>
      <c r="C10" s="18">
        <f>Assumptions!C17</f>
        <v>36617961</v>
      </c>
    </row>
    <row r="11" spans="2:3" x14ac:dyDescent="0.25">
      <c r="B11" s="5" t="s">
        <v>77</v>
      </c>
      <c r="C11" s="18">
        <f>Assumptions!C20</f>
        <v>4394667</v>
      </c>
    </row>
    <row r="12" spans="2:3" x14ac:dyDescent="0.25">
      <c r="B12" s="5" t="s">
        <v>78</v>
      </c>
      <c r="C12" s="18">
        <f>Assumptions!C28</f>
        <v>9000000</v>
      </c>
    </row>
    <row r="14" spans="2:4" x14ac:dyDescent="0.25">
      <c r="B14" s="19" t="s">
        <v>79</v>
      </c>
      <c r="C14" s="20"/>
      <c r="D14" s="20"/>
    </row>
    <row r="15" spans="2:3" x14ac:dyDescent="0.25">
      <c r="B15" s="5" t="s">
        <v>80</v>
      </c>
      <c r="C15" s="16">
        <f>Assumptions!C37</f>
        <v>49.158311</v>
      </c>
    </row>
    <row r="16" spans="2:3" x14ac:dyDescent="0.25">
      <c r="B16" s="5" t="s">
        <v>81</v>
      </c>
      <c r="C16" s="11">
        <f>Assumptions!C45*C15*C10/(C15*C10+C7)</f>
        <v>6002627.4942890005</v>
      </c>
    </row>
    <row r="17" spans="2:3" x14ac:dyDescent="0.25">
      <c r="B17" s="5" t="s">
        <v>82</v>
      </c>
      <c r="C17" s="11">
        <f>Assumptions!C45*C15*C7/(C15*C10+C7)</f>
        <v>4917773.134027589</v>
      </c>
    </row>
    <row r="19" spans="2:4" x14ac:dyDescent="0.25">
      <c r="B19" s="19" t="s">
        <v>83</v>
      </c>
      <c r="C19" s="20"/>
      <c r="D19" s="20"/>
    </row>
    <row r="20" spans="2:3" x14ac:dyDescent="0.25">
      <c r="B20" s="5" t="s">
        <v>84</v>
      </c>
      <c r="C20" s="16">
        <f>Assumptions!C35</f>
        <v>58.118347</v>
      </c>
    </row>
    <row r="21" spans="2:3" x14ac:dyDescent="0.25">
      <c r="B21" s="5" t="s">
        <v>85</v>
      </c>
      <c r="C21" s="16">
        <f>Assumptions!C36</f>
        <v>60</v>
      </c>
    </row>
    <row r="22" spans="2:3" x14ac:dyDescent="0.25">
      <c r="B22" s="5" t="s">
        <v>86</v>
      </c>
      <c r="C22" s="11">
        <f>Assumptions!C44*C21*C10/(C20*C10+C7)</f>
        <v>1696709.5879827067</v>
      </c>
    </row>
    <row r="23" spans="2:3" x14ac:dyDescent="0.25">
      <c r="B23" s="5" t="s">
        <v>87</v>
      </c>
      <c r="C23" s="11">
        <f>Assumptions!C44*C21*C7/(C20*C10+C7)</f>
        <v>1390063.4073940164</v>
      </c>
    </row>
    <row r="25" spans="2:4" x14ac:dyDescent="0.25">
      <c r="B25" s="19" t="s">
        <v>88</v>
      </c>
      <c r="C25" s="20"/>
      <c r="D25" s="20"/>
    </row>
    <row r="26" spans="2:3" x14ac:dyDescent="0.25">
      <c r="B26" s="5" t="s">
        <v>53</v>
      </c>
      <c r="C26" s="16">
        <f>Assumptions!C56</f>
        <v>5000000</v>
      </c>
    </row>
    <row r="27" spans="2:3" x14ac:dyDescent="0.25">
      <c r="B27" s="5" t="s">
        <v>89</v>
      </c>
      <c r="C27" s="16">
        <f>Assumptions!C57</f>
        <v>1000000000</v>
      </c>
    </row>
    <row r="28" spans="2:3" x14ac:dyDescent="0.25">
      <c r="B28" s="5" t="s">
        <v>55</v>
      </c>
      <c r="C28" s="17">
        <f>Assumptions!C58</f>
        <v>0.2</v>
      </c>
    </row>
    <row r="29" spans="2:3" x14ac:dyDescent="0.25">
      <c r="B29" s="5" t="s">
        <v>90</v>
      </c>
      <c r="C29" s="8">
        <f>(C27+C26)/(1-C28)</f>
        <v>1256250000</v>
      </c>
    </row>
    <row r="30" spans="2:3" x14ac:dyDescent="0.25">
      <c r="B30" s="5" t="s">
        <v>91</v>
      </c>
      <c r="C30" s="11" t="str">
        <f>IF(C6&gt;C29,"cap","discount")</f>
        <v>cap</v>
      </c>
    </row>
    <row r="31" spans="2:3" x14ac:dyDescent="0.25">
      <c r="B31" s="5" t="s">
        <v>92</v>
      </c>
      <c r="C31" s="11">
        <f>IF(C30="cap",C26*C6/(C27+C26),C26/(1-C28))</f>
        <v>6965174.129353234</v>
      </c>
    </row>
    <row r="33" spans="2:4" x14ac:dyDescent="0.25">
      <c r="B33" s="19" t="s">
        <v>93</v>
      </c>
      <c r="C33" s="20"/>
      <c r="D33" s="20"/>
    </row>
    <row r="34" spans="2:3" x14ac:dyDescent="0.25">
      <c r="B34" s="5" t="s">
        <v>56</v>
      </c>
      <c r="C34" s="16">
        <f>Assumptions!C59</f>
        <v>3000000</v>
      </c>
    </row>
    <row r="35" spans="2:3" x14ac:dyDescent="0.25">
      <c r="B35" s="5" t="s">
        <v>94</v>
      </c>
      <c r="C35" s="16">
        <f>Assumptions!C60</f>
        <v>1600000000</v>
      </c>
    </row>
    <row r="36" spans="2:3" x14ac:dyDescent="0.25">
      <c r="B36" s="5" t="s">
        <v>58</v>
      </c>
      <c r="C36" s="17">
        <f>Assumptions!C61</f>
        <v>0.15</v>
      </c>
    </row>
    <row r="37" spans="2:3" x14ac:dyDescent="0.25">
      <c r="B37" s="5" t="s">
        <v>90</v>
      </c>
      <c r="C37" s="8">
        <f>(C35+C34)/(1-C36)</f>
        <v>1885882352.9411764</v>
      </c>
    </row>
    <row r="38" spans="2:3" x14ac:dyDescent="0.25">
      <c r="B38" s="5" t="s">
        <v>95</v>
      </c>
      <c r="C38" s="11" t="str">
        <f>IF(C6&gt;C37,"cap","discount")</f>
        <v>discount</v>
      </c>
    </row>
    <row r="39" spans="2:3" x14ac:dyDescent="0.25">
      <c r="B39" s="5" t="s">
        <v>96</v>
      </c>
      <c r="C39" s="11">
        <f>IF(C38="cap",C34*C6/(C35+C34),C34/(1-C36))</f>
        <v>3529411.7647058824</v>
      </c>
    </row>
    <row r="41" spans="2:4" x14ac:dyDescent="0.25">
      <c r="B41" s="19" t="s">
        <v>97</v>
      </c>
      <c r="C41" s="20"/>
      <c r="D41" s="20"/>
    </row>
    <row r="42" spans="2:3" x14ac:dyDescent="0.25">
      <c r="B42" s="5" t="s">
        <v>98</v>
      </c>
      <c r="C42" s="11">
        <f>C12+Assumptions!C40+Assumptions!C41+Assumptions!C42+Assumptions!C43</f>
        <v>24400000</v>
      </c>
    </row>
    <row r="43" spans="2:3" x14ac:dyDescent="0.25">
      <c r="B43" s="5" t="s">
        <v>99</v>
      </c>
      <c r="C43" s="11">
        <f>C42+C16+C22</f>
        <v>32099337.082271706</v>
      </c>
    </row>
    <row r="44" spans="2:3" x14ac:dyDescent="0.25">
      <c r="B44" s="5" t="s">
        <v>100</v>
      </c>
      <c r="C44" s="8">
        <f>(1-C9)*C8-C7-C17-C23-C31-C39</f>
        <v>1197297577.5645194</v>
      </c>
    </row>
    <row r="45" spans="2:3" x14ac:dyDescent="0.25">
      <c r="B45" s="12" t="s">
        <v>101</v>
      </c>
      <c r="C45" s="21">
        <f>C44/C43</f>
        <v>37.29976025659983</v>
      </c>
    </row>
    <row r="46" spans="2:3" x14ac:dyDescent="0.25">
      <c r="B46" s="5" t="s">
        <v>102</v>
      </c>
      <c r="C46" s="11">
        <f>C8/C45</f>
        <v>38338048.023967534</v>
      </c>
    </row>
    <row r="47" spans="2:3" x14ac:dyDescent="0.25">
      <c r="B47" s="5" t="s">
        <v>103</v>
      </c>
      <c r="C47" s="11" t="str">
        <f>IF(C9*C46&gt;C11,"Yes","No")</f>
        <v>Yes</v>
      </c>
    </row>
    <row r="49" spans="2:3" x14ac:dyDescent="0.25">
      <c r="B49" s="12" t="s">
        <v>104</v>
      </c>
      <c r="C49" s="21">
        <f>C45</f>
        <v>37.29976025659983</v>
      </c>
    </row>
    <row r="50" spans="2:3" x14ac:dyDescent="0.25">
      <c r="B50" s="12" t="s">
        <v>105</v>
      </c>
      <c r="C50" s="22">
        <f>C46</f>
        <v>38338048.023967534</v>
      </c>
    </row>
    <row r="52" spans="2:8" x14ac:dyDescent="0.25">
      <c r="B52" s="3" t="s">
        <v>106</v>
      </c>
      <c r="C52" s="4"/>
      <c r="D52" s="4"/>
      <c r="E52" s="4"/>
      <c r="F52" s="4"/>
      <c r="G52" s="4"/>
      <c r="H52" s="4"/>
    </row>
    <row r="53" spans="2:8" x14ac:dyDescent="0.25">
      <c r="B53" s="23" t="s">
        <v>107</v>
      </c>
      <c r="C53" s="23" t="s">
        <v>108</v>
      </c>
      <c r="D53" s="23" t="s">
        <v>109</v>
      </c>
      <c r="E53" s="23" t="s">
        <v>110</v>
      </c>
      <c r="F53" s="23" t="s">
        <v>111</v>
      </c>
      <c r="G53" s="23" t="s">
        <v>112</v>
      </c>
      <c r="H53" s="23" t="s">
        <v>113</v>
      </c>
    </row>
    <row r="54" spans="2:8" x14ac:dyDescent="0.25">
      <c r="B54" s="5" t="s">
        <v>114</v>
      </c>
      <c r="C54" s="16">
        <f>Assumptions!C31</f>
        <v>1</v>
      </c>
      <c r="D54" s="11" t="str">
        <f>IF(C49&lt;C54,"Yes","No")</f>
        <v>No</v>
      </c>
      <c r="E54" s="24">
        <f>IF(D54="Yes",C54*(C10+C7/C54)/(C10+C7/C49),C54)</f>
        <v>1</v>
      </c>
      <c r="F54" s="25">
        <f>C54/E54</f>
        <v>1</v>
      </c>
      <c r="G54" s="11">
        <f>Assumptions!C40*F54</f>
        <v>5000000</v>
      </c>
      <c r="H54" s="18">
        <f>Assumptions!C40</f>
        <v>5000000</v>
      </c>
    </row>
    <row r="55" spans="2:8" x14ac:dyDescent="0.25">
      <c r="B55" s="5" t="s">
        <v>115</v>
      </c>
      <c r="C55" s="16">
        <f>Assumptions!C32</f>
        <v>3</v>
      </c>
      <c r="D55" s="11" t="str">
        <f>IF(C49&lt;C55,"Yes","No")</f>
        <v>No</v>
      </c>
      <c r="E55" s="24">
        <f>IF(D55="Yes",C55*(C10+C7/C55)/(C10+C7/C49),C55)</f>
        <v>3</v>
      </c>
      <c r="F55" s="25">
        <f>C55/E55</f>
        <v>1</v>
      </c>
      <c r="G55" s="11">
        <f>Assumptions!C41*F55</f>
        <v>5000000</v>
      </c>
      <c r="H55" s="18">
        <f>Assumptions!C41</f>
        <v>5000000</v>
      </c>
    </row>
    <row r="56" spans="2:8" x14ac:dyDescent="0.25">
      <c r="B56" s="5" t="s">
        <v>116</v>
      </c>
      <c r="C56" s="16">
        <f>Assumptions!C33</f>
        <v>10</v>
      </c>
      <c r="D56" s="11" t="str">
        <f>IF(C49&lt;C56,"Yes","No")</f>
        <v>No</v>
      </c>
      <c r="E56" s="24">
        <f>IF(D56="Yes",C56*(C10+C7/C56)/(C10+C7/C49),C56)</f>
        <v>10</v>
      </c>
      <c r="F56" s="25">
        <f>C56/E56</f>
        <v>1</v>
      </c>
      <c r="G56" s="11">
        <f>Assumptions!C42*F56</f>
        <v>3000000</v>
      </c>
      <c r="H56" s="18">
        <f>Assumptions!C42</f>
        <v>3000000</v>
      </c>
    </row>
    <row r="57" spans="2:8" x14ac:dyDescent="0.25">
      <c r="B57" s="5" t="s">
        <v>117</v>
      </c>
      <c r="C57" s="16">
        <f>Assumptions!C34</f>
        <v>25</v>
      </c>
      <c r="D57" s="11" t="str">
        <f>IF(C49&lt;C57,"Yes","No")</f>
        <v>No</v>
      </c>
      <c r="E57" s="24">
        <f>IF(D57="Yes",C57*(C10+C7/C57)/(C10+C7/C49),C57)</f>
        <v>25</v>
      </c>
      <c r="F57" s="25">
        <f>C57/E57</f>
        <v>1</v>
      </c>
      <c r="G57" s="11">
        <f>Assumptions!C43*F57</f>
        <v>2400000</v>
      </c>
      <c r="H57" s="18">
        <f>Assumptions!C43</f>
        <v>2400000</v>
      </c>
    </row>
    <row r="58" spans="2:8" x14ac:dyDescent="0.25">
      <c r="B58" s="5" t="s">
        <v>118</v>
      </c>
      <c r="C58" s="24">
        <f>C20</f>
        <v>58.118347</v>
      </c>
      <c r="D58" s="11" t="str">
        <f>IF(C49&lt;C58,"Yes","No")</f>
        <v>Yes</v>
      </c>
      <c r="E58" s="24">
        <f>IF(D58="Yes",C58*(C10+C7/C58)/(C10+C7/C49),C58)</f>
        <v>57.670905258530745</v>
      </c>
      <c r="F58" s="25">
        <f>C21/E58</f>
        <v>1.040385957720418</v>
      </c>
      <c r="G58" s="11">
        <f>Assumptions!C44*F58</f>
        <v>1733976.942996016</v>
      </c>
      <c r="H58" s="18">
        <f>Assumptions!C44</f>
        <v>1666667</v>
      </c>
    </row>
    <row r="59" spans="2:8" x14ac:dyDescent="0.25">
      <c r="B59" s="5" t="s">
        <v>119</v>
      </c>
      <c r="C59" s="24">
        <f>C15</f>
        <v>49.158311</v>
      </c>
      <c r="D59" s="11" t="str">
        <f>IF(C49&lt;C59,"Yes","No")</f>
        <v>Yes</v>
      </c>
      <c r="E59" s="24">
        <f>IF(D59="Yes",C59*(C10+C7/C59)/(C10+C7/C49),C59)</f>
        <v>48.90344208592203</v>
      </c>
      <c r="F59" s="25">
        <f>C59/E59</f>
        <v>1.0052116763811876</v>
      </c>
      <c r="G59" s="11">
        <f>Assumptions!C45*F59</f>
        <v>6134472.125466153</v>
      </c>
      <c r="H59" s="18">
        <f>Assumptions!C45</f>
        <v>6102667</v>
      </c>
    </row>
    <row r="61" spans="2:8" x14ac:dyDescent="0.25">
      <c r="B61" s="3" t="s">
        <v>120</v>
      </c>
      <c r="C61" s="4"/>
      <c r="D61" s="4"/>
      <c r="E61" s="4"/>
      <c r="F61" s="4"/>
      <c r="G61" s="4"/>
      <c r="H61" s="4"/>
    </row>
    <row r="62" spans="2:8" x14ac:dyDescent="0.25">
      <c r="B62" s="23" t="s">
        <v>121</v>
      </c>
      <c r="C62" s="23" t="s">
        <v>122</v>
      </c>
      <c r="D62" s="23" t="s">
        <v>123</v>
      </c>
      <c r="E62" s="23" t="s">
        <v>124</v>
      </c>
      <c r="F62" s="23" t="s">
        <v>125</v>
      </c>
      <c r="G62" s="23" t="s">
        <v>126</v>
      </c>
      <c r="H62" s="23" t="s">
        <v>127</v>
      </c>
    </row>
    <row r="63" spans="2:8" x14ac:dyDescent="0.25">
      <c r="B63" s="5" t="s">
        <v>128</v>
      </c>
      <c r="C63" s="24">
        <f>C27*C49/(C6-C31)</f>
        <v>26.775899327059165</v>
      </c>
      <c r="D63" s="24">
        <f>C49*(1-C28)</f>
        <v>29.839808205279866</v>
      </c>
      <c r="E63" s="24">
        <f>MIN(C63,D63)</f>
        <v>26.775899327059165</v>
      </c>
      <c r="F63" s="11" t="str">
        <f>IF(C63&lt;D63,"cap","discount")</f>
        <v>cap</v>
      </c>
      <c r="G63" s="11">
        <f>C26/E63</f>
        <v>186735.09109541296</v>
      </c>
      <c r="H63" s="8">
        <f>C26</f>
        <v>5000000</v>
      </c>
    </row>
    <row r="64" spans="2:8" x14ac:dyDescent="0.25">
      <c r="B64" s="5" t="s">
        <v>129</v>
      </c>
      <c r="C64" s="24">
        <f>C35*C49/(C6-C39)</f>
        <v>42.73603534033342</v>
      </c>
      <c r="D64" s="24">
        <f>C49*(1-C36)</f>
        <v>31.704796218109855</v>
      </c>
      <c r="E64" s="24">
        <f>MIN(C64,D64)</f>
        <v>31.704796218109855</v>
      </c>
      <c r="F64" s="11" t="str">
        <f>IF(C64&lt;D64,"cap","discount")</f>
        <v>discount</v>
      </c>
      <c r="G64" s="11">
        <f>C34/E64</f>
        <v>94622.90750465044</v>
      </c>
      <c r="H64" s="8">
        <f>C34</f>
        <v>3000000</v>
      </c>
    </row>
    <row r="66" spans="2:8" x14ac:dyDescent="0.25">
      <c r="B66" s="3" t="s">
        <v>130</v>
      </c>
      <c r="C66" s="4"/>
      <c r="D66" s="4"/>
      <c r="E66" s="4"/>
      <c r="F66" s="4"/>
      <c r="G66" s="4"/>
      <c r="H66" s="4"/>
    </row>
    <row r="67" spans="2:3" x14ac:dyDescent="0.25">
      <c r="B67" s="5" t="s">
        <v>131</v>
      </c>
      <c r="C67" s="16">
        <f>Assumptions!C9</f>
        <v>15000000</v>
      </c>
    </row>
    <row r="68" spans="2:3" x14ac:dyDescent="0.25">
      <c r="B68" s="5" t="s">
        <v>8</v>
      </c>
      <c r="C68" s="17">
        <f>Assumptions!C10</f>
        <v>0.85</v>
      </c>
    </row>
    <row r="69" spans="2:3" x14ac:dyDescent="0.25">
      <c r="B69" s="5" t="s">
        <v>132</v>
      </c>
      <c r="C69" s="24">
        <f>C68*C49</f>
        <v>31.704796218109855</v>
      </c>
    </row>
    <row r="70" spans="2:3" x14ac:dyDescent="0.25">
      <c r="B70" s="5" t="s">
        <v>133</v>
      </c>
      <c r="C70" s="11">
        <f>C67/C69</f>
        <v>473114.5375232522</v>
      </c>
    </row>
    <row r="71" spans="2:3" x14ac:dyDescent="0.25">
      <c r="B71" s="5" t="s">
        <v>134</v>
      </c>
      <c r="C71" s="18">
        <f>Assumptions!C26</f>
        <v>8000000</v>
      </c>
    </row>
    <row r="72" spans="2:3" x14ac:dyDescent="0.25">
      <c r="B72" s="5" t="s">
        <v>135</v>
      </c>
      <c r="C72" s="11">
        <f>C70*Assumptions!C23/C71</f>
        <v>236557.2687616261</v>
      </c>
    </row>
    <row r="73" spans="2:3" x14ac:dyDescent="0.25">
      <c r="B73" s="5" t="s">
        <v>136</v>
      </c>
      <c r="C73" s="11">
        <f>C70*Assumptions!C24/C71</f>
        <v>147848.29297601632</v>
      </c>
    </row>
    <row r="74" spans="2:3" x14ac:dyDescent="0.25">
      <c r="B74" s="5" t="s">
        <v>137</v>
      </c>
      <c r="C74" s="11">
        <f>C70*Assumptions!C25/C71</f>
        <v>88708.97578560979</v>
      </c>
    </row>
    <row r="75" spans="2:3" x14ac:dyDescent="0.25">
      <c r="B75" s="5" t="s">
        <v>138</v>
      </c>
      <c r="C75" s="11">
        <f>C70</f>
        <v>473114.5375232522</v>
      </c>
    </row>
    <row r="77" spans="2:8" x14ac:dyDescent="0.25">
      <c r="B77" s="3" t="s">
        <v>139</v>
      </c>
      <c r="C77" s="4"/>
      <c r="D77" s="4"/>
      <c r="E77" s="4"/>
      <c r="F77" s="4"/>
      <c r="G77" s="4"/>
      <c r="H77" s="4"/>
    </row>
    <row r="78" spans="2:8" x14ac:dyDescent="0.25">
      <c r="B78" s="23" t="s">
        <v>140</v>
      </c>
      <c r="C78" s="23" t="s">
        <v>107</v>
      </c>
      <c r="D78" s="23" t="s">
        <v>141</v>
      </c>
      <c r="E78" s="23" t="s">
        <v>142</v>
      </c>
      <c r="F78" s="23" t="s">
        <v>143</v>
      </c>
      <c r="G78" s="23"/>
      <c r="H78" s="23"/>
    </row>
    <row r="79" spans="2:5" x14ac:dyDescent="0.25">
      <c r="B79" s="5" t="s">
        <v>144</v>
      </c>
      <c r="C79" s="5" t="s">
        <v>145</v>
      </c>
      <c r="D79" s="11">
        <f>Assumptions!C23-C72</f>
        <v>3763442.731238374</v>
      </c>
      <c r="E79" s="26">
        <f>D79/C50</f>
        <v>0.09816469343680743</v>
      </c>
    </row>
    <row r="80" spans="2:5" x14ac:dyDescent="0.25">
      <c r="B80" s="5" t="s">
        <v>146</v>
      </c>
      <c r="C80" s="5" t="s">
        <v>145</v>
      </c>
      <c r="D80" s="11">
        <f>Assumptions!C24-C73</f>
        <v>2352151.707023984</v>
      </c>
      <c r="E80" s="26">
        <f>D80/C50</f>
        <v>0.061352933398004655</v>
      </c>
    </row>
    <row r="81" spans="2:5" x14ac:dyDescent="0.25">
      <c r="B81" s="5" t="s">
        <v>147</v>
      </c>
      <c r="C81" s="5" t="s">
        <v>145</v>
      </c>
      <c r="D81" s="11">
        <f>Assumptions!C25-C74</f>
        <v>1411291.0242143902</v>
      </c>
      <c r="E81" s="26">
        <f>D81/C50</f>
        <v>0.036811760038802786</v>
      </c>
    </row>
    <row r="82" spans="2:5" x14ac:dyDescent="0.25">
      <c r="B82" s="5" t="s">
        <v>148</v>
      </c>
      <c r="C82" s="5" t="s">
        <v>145</v>
      </c>
      <c r="D82" s="18">
        <f>Assumptions!C27</f>
        <v>1000000</v>
      </c>
      <c r="E82" s="26">
        <f>D82/C50</f>
        <v>0.026083748431188696</v>
      </c>
    </row>
    <row r="83" spans="2:5" x14ac:dyDescent="0.25">
      <c r="B83" s="5" t="s">
        <v>149</v>
      </c>
      <c r="C83" s="5" t="s">
        <v>150</v>
      </c>
      <c r="D83" s="11">
        <f>G54</f>
        <v>5000000</v>
      </c>
      <c r="E83" s="26">
        <f>D83/C50</f>
        <v>0.13041874215594348</v>
      </c>
    </row>
    <row r="84" spans="2:5" x14ac:dyDescent="0.25">
      <c r="B84" s="5" t="s">
        <v>151</v>
      </c>
      <c r="C84" s="5" t="s">
        <v>152</v>
      </c>
      <c r="D84" s="11">
        <f>G55</f>
        <v>5000000</v>
      </c>
      <c r="E84" s="26">
        <f>D84/C50</f>
        <v>0.13041874215594348</v>
      </c>
    </row>
    <row r="85" spans="2:5" x14ac:dyDescent="0.25">
      <c r="B85" s="5" t="s">
        <v>153</v>
      </c>
      <c r="C85" s="5" t="s">
        <v>154</v>
      </c>
      <c r="D85" s="11">
        <f>G56</f>
        <v>3000000</v>
      </c>
      <c r="E85" s="26">
        <f>D85/C50</f>
        <v>0.07825124529356609</v>
      </c>
    </row>
    <row r="86" spans="2:5" x14ac:dyDescent="0.25">
      <c r="B86" s="5" t="s">
        <v>155</v>
      </c>
      <c r="C86" s="5" t="s">
        <v>156</v>
      </c>
      <c r="D86" s="11">
        <f>G57</f>
        <v>2400000</v>
      </c>
      <c r="E86" s="26">
        <f>D86/C50</f>
        <v>0.06260099623485287</v>
      </c>
    </row>
    <row r="87" spans="2:5" x14ac:dyDescent="0.25">
      <c r="B87" s="5" t="s">
        <v>157</v>
      </c>
      <c r="C87" s="5" t="s">
        <v>158</v>
      </c>
      <c r="D87" s="11">
        <f>G58</f>
        <v>1733976.942996016</v>
      </c>
      <c r="E87" s="26">
        <f>D87/C50</f>
        <v>0.0452286183665897</v>
      </c>
    </row>
    <row r="88" spans="2:5" x14ac:dyDescent="0.25">
      <c r="B88" s="5" t="s">
        <v>159</v>
      </c>
      <c r="C88" s="5" t="s">
        <v>160</v>
      </c>
      <c r="D88" s="11">
        <f>G59</f>
        <v>6134472.125466153</v>
      </c>
      <c r="E88" s="26">
        <f>D88/C50</f>
        <v>0.16001002767879854</v>
      </c>
    </row>
    <row r="89" spans="2:5" x14ac:dyDescent="0.25">
      <c r="B89" s="5" t="s">
        <v>161</v>
      </c>
      <c r="C89" s="5" t="s">
        <v>162</v>
      </c>
      <c r="D89" s="11">
        <f>G63</f>
        <v>186735.09109541296</v>
      </c>
      <c r="E89" s="26">
        <f>D89/C50</f>
        <v>0.0048707511394078555</v>
      </c>
    </row>
    <row r="90" spans="2:5" x14ac:dyDescent="0.25">
      <c r="B90" s="5" t="s">
        <v>163</v>
      </c>
      <c r="C90" s="5" t="s">
        <v>162</v>
      </c>
      <c r="D90" s="11">
        <f>G64</f>
        <v>94622.90750465044</v>
      </c>
      <c r="E90" s="26">
        <f>D90/C50</f>
        <v>0.0024681201151789387</v>
      </c>
    </row>
    <row r="91" spans="2:5" x14ac:dyDescent="0.25">
      <c r="B91" s="5" t="s">
        <v>164</v>
      </c>
      <c r="C91" s="5" t="s">
        <v>165</v>
      </c>
      <c r="D91" s="11">
        <f>Assumptions!C13/C49</f>
        <v>536196.4758596858</v>
      </c>
      <c r="E91" s="26">
        <f>D91/C50</f>
        <v>0.013986013986013986</v>
      </c>
    </row>
    <row r="92" spans="2:5" x14ac:dyDescent="0.25">
      <c r="B92" s="5" t="s">
        <v>166</v>
      </c>
      <c r="C92" s="5" t="s">
        <v>167</v>
      </c>
      <c r="D92" s="11">
        <f>C70</f>
        <v>473114.5375232522</v>
      </c>
      <c r="E92" s="26">
        <f>D92/C50</f>
        <v>0.012340600575894695</v>
      </c>
    </row>
    <row r="93" spans="2:5" x14ac:dyDescent="0.25">
      <c r="B93" s="12" t="s">
        <v>168</v>
      </c>
      <c r="C93" s="12" t="s">
        <v>165</v>
      </c>
      <c r="D93" s="11">
        <f>Assumptions!C12/C49</f>
        <v>268098.2379298429</v>
      </c>
      <c r="E93" s="27">
        <f>D93/C50</f>
        <v>0.006993006993006993</v>
      </c>
    </row>
    <row r="94" spans="2:5" x14ac:dyDescent="0.25">
      <c r="B94" s="5" t="s">
        <v>169</v>
      </c>
      <c r="C94" s="5" t="s">
        <v>170</v>
      </c>
      <c r="D94" s="18">
        <f>Assumptions!C18</f>
        <v>2500000</v>
      </c>
      <c r="E94" s="26">
        <f>D94/C50</f>
        <v>0.06520937107797174</v>
      </c>
    </row>
    <row r="95" spans="2:5" x14ac:dyDescent="0.25">
      <c r="B95" s="5" t="s">
        <v>171</v>
      </c>
      <c r="C95" s="5" t="s">
        <v>172</v>
      </c>
      <c r="D95" s="11">
        <f>C9*C50-Assumptions!C18</f>
        <v>2483946.243115779</v>
      </c>
      <c r="E95" s="26">
        <f>D95/C50</f>
        <v>0.06479062892202825</v>
      </c>
    </row>
    <row r="96" spans="2:5" x14ac:dyDescent="0.25">
      <c r="B96" s="12" t="s">
        <v>173</v>
      </c>
      <c r="D96" s="28">
        <f>SUM(D79:D95)</f>
        <v>38338048.02396754</v>
      </c>
      <c r="E96" s="27">
        <f>SUM(E79:E95)</f>
        <v>1.0000000000000002</v>
      </c>
    </row>
    <row r="97" spans="2:5" x14ac:dyDescent="0.25">
      <c r="B97" s="29" t="s">
        <v>174</v>
      </c>
      <c r="D97" s="29">
        <f>ROUND(D96-C50,2)</f>
        <v>0</v>
      </c>
      <c r="E97" s="29">
        <f>ROUND(E96-1,8)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5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27.705" customWidth="1"/>
    <col min="3" max="4" width="17.705" customWidth="1"/>
    <col min="5" max="5" width="16.455" customWidth="1"/>
    <col min="6" max="7" width="20.205" customWidth="1"/>
    <col min="8" max="8" width="17.705" customWidth="1"/>
  </cols>
  <sheetData>
    <row r="2" ht="18" customHeight="1" spans="2:2" x14ac:dyDescent="0.25">
      <c r="B2" s="1" t="s">
        <v>175</v>
      </c>
    </row>
    <row r="3" spans="2:2" x14ac:dyDescent="0.25">
      <c r="B3" s="2" t="s">
        <v>176</v>
      </c>
    </row>
    <row r="5" spans="2:8" x14ac:dyDescent="0.25">
      <c r="B5" s="3" t="s">
        <v>177</v>
      </c>
      <c r="C5" s="4"/>
      <c r="D5" s="4"/>
      <c r="E5" s="4"/>
      <c r="F5" s="4"/>
      <c r="G5" s="4"/>
      <c r="H5" s="4"/>
    </row>
    <row r="6" spans="2:3" x14ac:dyDescent="0.25">
      <c r="B6" s="5" t="s">
        <v>178</v>
      </c>
      <c r="C6" s="16">
        <f>Assumptions!C12</f>
        <v>10000000</v>
      </c>
    </row>
    <row r="7" spans="2:3" x14ac:dyDescent="0.25">
      <c r="B7" s="5" t="s">
        <v>179</v>
      </c>
      <c r="C7" s="16">
        <f>Assumptions!C7</f>
        <v>30000000</v>
      </c>
    </row>
    <row r="8" spans="2:3" x14ac:dyDescent="0.25">
      <c r="B8" s="5" t="s">
        <v>180</v>
      </c>
      <c r="C8" s="16">
        <f>Assumptions!C75</f>
        <v>3</v>
      </c>
    </row>
    <row r="9" spans="2:3" x14ac:dyDescent="0.25">
      <c r="B9" s="5" t="s">
        <v>181</v>
      </c>
      <c r="C9" s="16">
        <f>Assumptions!C76</f>
        <v>4</v>
      </c>
    </row>
    <row r="10" spans="2:3" x14ac:dyDescent="0.25">
      <c r="B10" s="5" t="s">
        <v>182</v>
      </c>
      <c r="C10" s="8">
        <f>C6*C8</f>
        <v>30000000</v>
      </c>
    </row>
    <row r="11" spans="2:3" x14ac:dyDescent="0.25">
      <c r="B11" s="5" t="s">
        <v>183</v>
      </c>
      <c r="C11" s="8">
        <f>C6*C9</f>
        <v>40000000</v>
      </c>
    </row>
    <row r="12" spans="2:3" x14ac:dyDescent="0.25">
      <c r="B12" s="5" t="s">
        <v>184</v>
      </c>
      <c r="C12" s="18">
        <f>'Pro-Forma'!C50</f>
        <v>38338048.023967534</v>
      </c>
    </row>
    <row r="13" spans="2:3" x14ac:dyDescent="0.25">
      <c r="B13" s="5" t="s">
        <v>185</v>
      </c>
      <c r="C13" s="16">
        <f>'Pro-Forma'!C8</f>
        <v>1430000000</v>
      </c>
    </row>
    <row r="14" spans="2:8" x14ac:dyDescent="0.25">
      <c r="B14" s="3" t="s">
        <v>186</v>
      </c>
      <c r="C14" s="4"/>
      <c r="D14" s="4"/>
      <c r="E14" s="4"/>
      <c r="F14" s="4"/>
      <c r="G14" s="4"/>
      <c r="H14" s="4"/>
    </row>
    <row r="15" spans="2:8" x14ac:dyDescent="0.25">
      <c r="B15" s="23" t="s">
        <v>187</v>
      </c>
      <c r="C15" s="23" t="s">
        <v>188</v>
      </c>
      <c r="D15" s="23" t="s">
        <v>189</v>
      </c>
      <c r="E15" s="23" t="s">
        <v>190</v>
      </c>
      <c r="F15" s="23" t="s">
        <v>191</v>
      </c>
      <c r="G15" s="23" t="s">
        <v>192</v>
      </c>
      <c r="H15" s="23" t="s">
        <v>193</v>
      </c>
    </row>
    <row r="16" spans="2:8" x14ac:dyDescent="0.25">
      <c r="B16" s="5" t="s">
        <v>60</v>
      </c>
      <c r="C16" s="16">
        <f>Assumptions!C64</f>
        <v>700000000</v>
      </c>
      <c r="D16" s="5" t="str">
        <f>'Waterfall'!D43</f>
        <v>preference</v>
      </c>
      <c r="E16" s="16">
        <f>'Waterfall'!C44</f>
        <v>8.378724596130768</v>
      </c>
      <c r="F16" s="26">
        <f>IF(D16="convert",$C$10/(E16*$C$12),$C$10/$C$13)</f>
        <v>0.02097902097902098</v>
      </c>
      <c r="G16" s="26">
        <f>IF(D16="convert",$C$11/(E16*$C$12),$C$11/$C$13)</f>
        <v>0.027972027972027972</v>
      </c>
      <c r="H16" s="5" t="str">
        <f>IF(OR(F16&lt;=0,F16&gt;1,G16&lt;=0,G16&gt;1),"INFEASIBLE","feasible")</f>
        <v>feasible</v>
      </c>
    </row>
    <row r="17" spans="2:8" x14ac:dyDescent="0.25">
      <c r="B17" s="5" t="s">
        <v>61</v>
      </c>
      <c r="C17" s="16">
        <f>Assumptions!C65</f>
        <v>1200000000</v>
      </c>
      <c r="D17" s="5" t="str">
        <f>'Waterfall'!D58</f>
        <v>preference</v>
      </c>
      <c r="E17" s="16">
        <f>'Waterfall'!C59</f>
        <v>28.420213590497813</v>
      </c>
      <c r="F17" s="26">
        <f>IF(D17="convert",$C$10/(E17*$C$12),$C$10/$C$13)</f>
        <v>0.02097902097902098</v>
      </c>
      <c r="G17" s="26">
        <f>IF(D17="convert",$C$11/(E17*$C$12),$C$11/$C$13)</f>
        <v>0.027972027972027972</v>
      </c>
      <c r="H17" s="5" t="str">
        <f>IF(OR(F17&lt;=0,F17&gt;1,G17&lt;=0,G17&gt;1),"INFEASIBLE","feasible")</f>
        <v>feasible</v>
      </c>
    </row>
    <row r="18" spans="2:8" x14ac:dyDescent="0.25">
      <c r="B18" s="5" t="s">
        <v>194</v>
      </c>
      <c r="C18" s="16">
        <f>Assumptions!C66</f>
        <v>2000000000</v>
      </c>
      <c r="D18" s="5" t="str">
        <f>'Waterfall'!D73</f>
        <v>convert</v>
      </c>
      <c r="E18" s="16">
        <f>'Waterfall'!C74</f>
        <v>55.75888157036302</v>
      </c>
      <c r="F18" s="26">
        <f>IF(D18="convert",$C$10/(E18*$C$12),$C$10/$C$13)</f>
        <v>0.014033862066408128</v>
      </c>
      <c r="G18" s="26">
        <f>IF(D18="convert",$C$11/(E18*$C$12),$C$11/$C$13)</f>
        <v>0.01871181608854417</v>
      </c>
      <c r="H18" s="5" t="str">
        <f>IF(OR(F18&lt;=0,F18&gt;1,G18&lt;=0,G18&gt;1),"INFEASIBLE","feasible")</f>
        <v>feasible</v>
      </c>
    </row>
    <row r="19" spans="2:8" x14ac:dyDescent="0.25">
      <c r="B19" s="5" t="s">
        <v>63</v>
      </c>
      <c r="C19" s="16">
        <f>Assumptions!C67</f>
        <v>4000000000</v>
      </c>
      <c r="D19" s="5" t="str">
        <f>'Waterfall'!D88</f>
        <v>convert</v>
      </c>
      <c r="E19" s="16">
        <f>'Waterfall'!C89</f>
        <v>111.63297366823383</v>
      </c>
      <c r="F19" s="26">
        <f>IF(D19="convert",$C$10/(E19*$C$12),$C$10/$C$13)</f>
        <v>0.007009689227317715</v>
      </c>
      <c r="G19" s="26">
        <f>IF(D19="convert",$C$11/(E19*$C$12),$C$11/$C$13)</f>
        <v>0.009346252303090287</v>
      </c>
      <c r="H19" s="5" t="str">
        <f>IF(OR(F19&lt;=0,F19&gt;1,G19&lt;=0,G19&gt;1),"INFEASIBLE","feasible")</f>
        <v>feasible</v>
      </c>
    </row>
    <row r="20" spans="2:8" x14ac:dyDescent="0.25">
      <c r="B20" s="5" t="s">
        <v>64</v>
      </c>
      <c r="C20" s="16">
        <f>Assumptions!C68</f>
        <v>8000000000</v>
      </c>
      <c r="D20" s="5" t="str">
        <f>'Waterfall'!D103</f>
        <v>convert</v>
      </c>
      <c r="E20" s="16">
        <f>'Waterfall'!C104</f>
        <v>223.1962203073182</v>
      </c>
      <c r="F20" s="26">
        <f>IF(D20="convert",$C$10/(E20*$C$12),$C$10/$C$13)</f>
        <v>0.0035059395354375706</v>
      </c>
      <c r="G20" s="26">
        <f>IF(D20="convert",$C$11/(E20*$C$12),$C$11/$C$13)</f>
        <v>0.004674586047250094</v>
      </c>
      <c r="H20" s="5" t="str">
        <f>IF(OR(F20&lt;=0,F20&gt;1,G20&lt;=0,G20&gt;1),"INFEASIBLE","feasible")</f>
        <v>feasible</v>
      </c>
    </row>
    <row r="22" spans="2:8" x14ac:dyDescent="0.25">
      <c r="B22" s="3" t="s">
        <v>143</v>
      </c>
      <c r="C22" s="4"/>
      <c r="D22" s="4"/>
      <c r="E22" s="4"/>
      <c r="F22" s="4"/>
      <c r="G22" s="4"/>
      <c r="H22" s="4"/>
    </row>
    <row r="23" spans="2:2" x14ac:dyDescent="0.25">
      <c r="B23" s="7" t="s">
        <v>195</v>
      </c>
    </row>
    <row r="24" spans="2:2" x14ac:dyDescent="0.25">
      <c r="B24" s="7" t="s">
        <v>196</v>
      </c>
    </row>
    <row r="25" spans="2:2" x14ac:dyDescent="0.25">
      <c r="B25" s="7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98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12" width="16.455" customWidth="1"/>
  </cols>
  <sheetData>
    <row r="2" ht="18" customHeight="1" spans="2:2" x14ac:dyDescent="0.25">
      <c r="B2" s="1" t="s">
        <v>198</v>
      </c>
    </row>
    <row r="3" spans="2:2" x14ac:dyDescent="0.25">
      <c r="B3" s="2" t="s">
        <v>199</v>
      </c>
    </row>
    <row r="5" spans="2:12" x14ac:dyDescent="0.25">
      <c r="B5" s="3" t="s">
        <v>200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2:3" x14ac:dyDescent="0.25">
      <c r="B6" s="5" t="s">
        <v>76</v>
      </c>
      <c r="C6" s="18">
        <f>Assumptions!C17</f>
        <v>36617961</v>
      </c>
    </row>
    <row r="7" spans="2:3" x14ac:dyDescent="0.25">
      <c r="B7" s="5" t="s">
        <v>5</v>
      </c>
      <c r="C7" s="16">
        <f>Assumptions!C7</f>
        <v>30000000</v>
      </c>
    </row>
    <row r="8" spans="2:3" x14ac:dyDescent="0.25">
      <c r="B8" s="5" t="s">
        <v>80</v>
      </c>
      <c r="C8" s="16">
        <f>Assumptions!C37</f>
        <v>49.158311</v>
      </c>
    </row>
    <row r="9" spans="2:3" x14ac:dyDescent="0.25">
      <c r="B9" s="5" t="s">
        <v>201</v>
      </c>
      <c r="C9" s="16">
        <f>Assumptions!C35</f>
        <v>58.118347</v>
      </c>
    </row>
    <row r="10" spans="2:3" x14ac:dyDescent="0.25">
      <c r="B10" s="5" t="s">
        <v>85</v>
      </c>
      <c r="C10" s="16">
        <f>Assumptions!C36</f>
        <v>60</v>
      </c>
    </row>
    <row r="11" spans="2:3" x14ac:dyDescent="0.25">
      <c r="B11" s="5" t="s">
        <v>202</v>
      </c>
      <c r="C11" s="11">
        <f>Assumptions!C45*C8*C6/(C8*C6+C7)</f>
        <v>6002627.4942890005</v>
      </c>
    </row>
    <row r="12" spans="2:3" x14ac:dyDescent="0.25">
      <c r="B12" s="5" t="s">
        <v>203</v>
      </c>
      <c r="C12" s="11">
        <f>Assumptions!C45*C8*C7/(C8*C6+C7)</f>
        <v>4917773.134027589</v>
      </c>
    </row>
    <row r="13" spans="2:3" x14ac:dyDescent="0.25">
      <c r="B13" s="5" t="s">
        <v>204</v>
      </c>
      <c r="C13" s="11">
        <f>Assumptions!C44*C10*C6/(C9*C6+C7)</f>
        <v>1696709.5879827067</v>
      </c>
    </row>
    <row r="14" spans="2:3" x14ac:dyDescent="0.25">
      <c r="B14" s="5" t="s">
        <v>205</v>
      </c>
      <c r="C14" s="11">
        <f>Assumptions!C44*C10*C7/(C9*C6+C7)</f>
        <v>1390063.4073940164</v>
      </c>
    </row>
    <row r="15" spans="2:3" x14ac:dyDescent="0.25">
      <c r="B15" s="5" t="s">
        <v>206</v>
      </c>
      <c r="C15" s="11">
        <f>Assumptions!C28+Assumptions!C40+Assumptions!C41+Assumptions!C42+Assumptions!C43+C11+C13</f>
        <v>32099337.082271706</v>
      </c>
    </row>
    <row r="16" spans="2:3" x14ac:dyDescent="0.25">
      <c r="B16" s="5" t="s">
        <v>207</v>
      </c>
      <c r="C16" s="18">
        <f>Assumptions!C28</f>
        <v>9000000</v>
      </c>
    </row>
    <row r="17" spans="2:3" x14ac:dyDescent="0.25">
      <c r="B17" s="5" t="s">
        <v>208</v>
      </c>
      <c r="C17" s="18">
        <f>Assumptions!C18</f>
        <v>2500000</v>
      </c>
    </row>
    <row r="18" spans="2:3" x14ac:dyDescent="0.25">
      <c r="B18" s="5" t="s">
        <v>209</v>
      </c>
      <c r="C18" s="16">
        <f>Assumptions!C14</f>
        <v>1</v>
      </c>
    </row>
    <row r="19" spans="2:3" x14ac:dyDescent="0.25">
      <c r="B19" s="5" t="s">
        <v>210</v>
      </c>
      <c r="C19" s="18">
        <f>Assumptions!C20</f>
        <v>4394667</v>
      </c>
    </row>
    <row r="20" spans="2:5" x14ac:dyDescent="0.25">
      <c r="B20" s="5" t="s">
        <v>211</v>
      </c>
      <c r="C20" s="16">
        <f>Assumptions!C56</f>
        <v>5000000</v>
      </c>
      <c r="D20" s="16">
        <f>Assumptions!C57</f>
        <v>1000000000</v>
      </c>
      <c r="E20" s="17">
        <f>Assumptions!C58</f>
        <v>0.2</v>
      </c>
    </row>
    <row r="21" spans="2:5" x14ac:dyDescent="0.25">
      <c r="B21" s="5" t="s">
        <v>212</v>
      </c>
      <c r="C21" s="16">
        <f>Assumptions!C59</f>
        <v>3000000</v>
      </c>
      <c r="D21" s="16">
        <f>Assumptions!C60</f>
        <v>1600000000</v>
      </c>
      <c r="E21" s="17">
        <f>Assumptions!C61</f>
        <v>0.15</v>
      </c>
    </row>
    <row r="22" spans="2:4" x14ac:dyDescent="0.25">
      <c r="B22" s="5" t="s">
        <v>213</v>
      </c>
      <c r="C22" s="8">
        <f>(D20+C20)/(1-E20)</f>
        <v>1256250000</v>
      </c>
      <c r="D22" s="8">
        <f>(D21+C21)/(1-E21)</f>
        <v>1885882352.9411764</v>
      </c>
    </row>
    <row r="23" spans="2:3" x14ac:dyDescent="0.25">
      <c r="B23" s="5" t="s">
        <v>214</v>
      </c>
      <c r="C23" s="16">
        <f>Assumptions!C66</f>
        <v>2000000000</v>
      </c>
    </row>
    <row r="24" spans="2:3" x14ac:dyDescent="0.25">
      <c r="B24" s="5" t="s">
        <v>178</v>
      </c>
      <c r="C24" s="16">
        <f>Assumptions!C12</f>
        <v>10000000</v>
      </c>
    </row>
    <row r="28" spans="2:12" x14ac:dyDescent="0.25">
      <c r="B28" s="19" t="s">
        <v>215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2:3" x14ac:dyDescent="0.25">
      <c r="B29" s="5" t="s">
        <v>216</v>
      </c>
      <c r="C29" s="16">
        <f>Assumptions!C72</f>
        <v>1200000000</v>
      </c>
    </row>
    <row r="30" spans="2:3" x14ac:dyDescent="0.25">
      <c r="B30" s="5" t="s">
        <v>217</v>
      </c>
      <c r="C30" s="17">
        <f>Assumptions!C71</f>
        <v>0.11</v>
      </c>
    </row>
    <row r="31" spans="2:3" x14ac:dyDescent="0.25">
      <c r="B31" s="5" t="s">
        <v>218</v>
      </c>
      <c r="C31" s="8">
        <f>C29+$C$7</f>
        <v>1230000000</v>
      </c>
    </row>
    <row r="32" spans="2:4" x14ac:dyDescent="0.25">
      <c r="B32" s="5" t="s">
        <v>219</v>
      </c>
      <c r="C32" s="11" t="str">
        <f>IF(C29&gt;$C$22,"cap","discount")</f>
        <v>discount</v>
      </c>
      <c r="D32" s="11">
        <f>IF(C32="cap",$C$20*C29/($D$20+$C$20),$C$20/(1-$E$20))</f>
        <v>6250000</v>
      </c>
    </row>
    <row r="33" spans="2:4" x14ac:dyDescent="0.25">
      <c r="B33" s="5" t="s">
        <v>220</v>
      </c>
      <c r="C33" s="11" t="str">
        <f>IF(C29&gt;$D$22,"cap","discount")</f>
        <v>discount</v>
      </c>
      <c r="D33" s="11">
        <f>IF(C33="cap",$C$21*C29/($D$21+$C$21),$C$21/(1-$E$21))</f>
        <v>3529411.7647058824</v>
      </c>
    </row>
    <row r="34" spans="2:3" x14ac:dyDescent="0.25">
      <c r="B34" s="5" t="s">
        <v>221</v>
      </c>
      <c r="C34" s="8">
        <f>(1-C30)*C31-$C$7-$C$12-$C$14-D32-D33</f>
        <v>1048612751.6938725</v>
      </c>
    </row>
    <row r="35" spans="2:3" x14ac:dyDescent="0.25">
      <c r="B35" s="12" t="s">
        <v>222</v>
      </c>
      <c r="C35" s="21">
        <f>C34/$C$15</f>
        <v>32.667738558159066</v>
      </c>
    </row>
    <row r="36" spans="2:3" x14ac:dyDescent="0.25">
      <c r="B36" s="5" t="s">
        <v>223</v>
      </c>
      <c r="C36" s="11">
        <f>C31/C35</f>
        <v>37651825.75494796</v>
      </c>
    </row>
    <row r="37" spans="2:3" x14ac:dyDescent="0.25">
      <c r="B37" s="5" t="s">
        <v>224</v>
      </c>
      <c r="C37" s="11">
        <f>$C$7/C35</f>
        <v>918337.213535316</v>
      </c>
    </row>
    <row r="38" spans="2:3" x14ac:dyDescent="0.25">
      <c r="B38" s="5" t="s">
        <v>225</v>
      </c>
      <c r="C38" s="11">
        <f>$C$11+$C$12/C35</f>
        <v>6153166.630179059</v>
      </c>
    </row>
    <row r="39" spans="2:3" x14ac:dyDescent="0.25">
      <c r="B39" s="5" t="s">
        <v>226</v>
      </c>
      <c r="C39" s="11">
        <f>$C$13+$C$14/C35</f>
        <v>1739261.1531888277</v>
      </c>
    </row>
    <row r="40" spans="2:4" x14ac:dyDescent="0.25">
      <c r="B40" s="5" t="s">
        <v>227</v>
      </c>
      <c r="C40" s="11">
        <f>D32/C35</f>
        <v>191320.2528198575</v>
      </c>
      <c r="D40" s="11">
        <f>D33/C35</f>
        <v>108039.67218062542</v>
      </c>
    </row>
    <row r="41" spans="2:3" x14ac:dyDescent="0.25">
      <c r="B41" s="5" t="s">
        <v>228</v>
      </c>
      <c r="C41" s="11">
        <f>MAX($C$19,C30*C36)</f>
        <v>4394667</v>
      </c>
    </row>
    <row r="42" spans="2:3" x14ac:dyDescent="0.25">
      <c r="B42" s="5" t="s">
        <v>229</v>
      </c>
      <c r="C42" s="11">
        <f>$C$16+$C$17+C40+D40</f>
        <v>11799359.925000483</v>
      </c>
    </row>
    <row r="43" spans="2:12" x14ac:dyDescent="0.25">
      <c r="B43" s="19" t="s">
        <v>230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2:12" x14ac:dyDescent="0.25">
      <c r="B44" s="23" t="s">
        <v>231</v>
      </c>
      <c r="D44" s="23" t="s">
        <v>232</v>
      </c>
      <c r="E44" s="23" t="s">
        <v>233</v>
      </c>
      <c r="F44" s="23" t="s">
        <v>234</v>
      </c>
      <c r="G44" s="23" t="s">
        <v>235</v>
      </c>
      <c r="H44" s="23" t="s">
        <v>236</v>
      </c>
      <c r="I44" s="23" t="s">
        <v>237</v>
      </c>
      <c r="J44" s="23" t="s">
        <v>114</v>
      </c>
      <c r="K44" s="23" t="s">
        <v>238</v>
      </c>
      <c r="L44" s="23" t="s">
        <v>239</v>
      </c>
    </row>
    <row r="45" spans="2:10" x14ac:dyDescent="0.25">
      <c r="B45" s="5" t="s">
        <v>240</v>
      </c>
      <c r="D45" s="8">
        <f>$C$7</f>
      </c>
      <c r="E45" s="8">
        <f>Assumptions!C53</f>
        <v>300000000</v>
      </c>
      <c r="F45" s="8">
        <f>Assumptions!C52</f>
        <v>100000000</v>
      </c>
      <c r="G45" s="8">
        <f>Assumptions!C51</f>
        <v>60000000</v>
      </c>
      <c r="H45" s="8">
        <f>Assumptions!C50</f>
        <v>30000000</v>
      </c>
      <c r="I45" s="8">
        <f>Assumptions!C49</f>
        <v>15000000</v>
      </c>
      <c r="J45" s="8">
        <f>Assumptions!C48</f>
        <v>5000000</v>
      </c>
    </row>
    <row r="46" spans="2:10" x14ac:dyDescent="0.25">
      <c r="B46" s="5" t="s">
        <v>241</v>
      </c>
      <c r="D46" s="11">
        <f>C37</f>
        <v>918337.213535316</v>
      </c>
      <c r="E46" s="11">
        <f>C38</f>
        <v>6153166.630179059</v>
      </c>
      <c r="F46" s="11">
        <f>C39</f>
        <v>1739261.1531888277</v>
      </c>
      <c r="G46" s="11">
        <f>Assumptions!C43</f>
        <v>2400000</v>
      </c>
      <c r="H46" s="11">
        <f>Assumptions!C42</f>
        <v>3000000</v>
      </c>
      <c r="I46" s="11">
        <f>Assumptions!C41</f>
        <v>5000000</v>
      </c>
      <c r="J46" s="11">
        <f>Assumptions!C40</f>
        <v>5000000</v>
      </c>
    </row>
    <row r="47" spans="2:12" x14ac:dyDescent="0.25">
      <c r="B47" s="5" t="s">
        <v>242</v>
      </c>
      <c r="D47" s="5" t="s">
        <v>243</v>
      </c>
      <c r="E47" s="5" t="s">
        <v>243</v>
      </c>
      <c r="F47" s="5" t="s">
        <v>243</v>
      </c>
      <c r="G47" s="5" t="s">
        <v>243</v>
      </c>
      <c r="H47" s="5" t="s">
        <v>243</v>
      </c>
      <c r="I47" s="5" t="s">
        <v>243</v>
      </c>
      <c r="J47" s="5" t="s">
        <v>243</v>
      </c>
      <c r="K47" s="8">
        <f>IF(D47="preference",D45,0)+IF(E47="preference",E45,0)+IF(F47="preference",F45,0)+IF(G47="preference",G45,0)+IF(H47="preference",H45,0)+IF(I47="preference",I45,0)+IF(J47="preference",J45,0)</f>
        <v>0</v>
      </c>
      <c r="L47" s="11">
        <f>IF(D47="convert",D46,0)+IF(E47="convert",E46,0)+IF(F47="convert",F46,0)+IF(G47="convert",G46,0)+IF(H47="convert",H46,0)+IF(I47="convert",I46,0)+IF(J47="convert",J46,0)</f>
        <v>24210764.996903203</v>
      </c>
    </row>
    <row r="48" spans="2:12" x14ac:dyDescent="0.25">
      <c r="B48" s="5" t="s">
        <v>244</v>
      </c>
      <c r="D48" s="5" t="str">
        <f>IF(D$45&gt;((($C$23+$C$17*$C$18)-(K47-IF(D47="preference",D$45,0)))/(C$42+(L47-IF(D47="convert",D$46,0))+D$46)*D$46),"preference","convert")</f>
        <v>convert</v>
      </c>
      <c r="E48" s="5" t="str">
        <f>IF(E$45&gt;((($C$23+$C$17*$C$18)-(K47-IF(E47="preference",E$45,0)))/(C$42+(L47-IF(E47="convert",E$46,0))+E$46)*E$46),"preference","convert")</f>
        <v>convert</v>
      </c>
      <c r="F48" s="5" t="str">
        <f>IF(F$45&gt;((($C$23+$C$17*$C$18)-(K47-IF(F47="preference",F$45,0)))/(C$42+(L47-IF(F47="convert",F$46,0))+F$46)*F$46),"preference","convert")</f>
        <v>preference</v>
      </c>
      <c r="G48" s="5" t="str">
        <f>IF(G$45&gt;((($C$23+$C$17*$C$18)-(K47-IF(G47="preference",G$45,0)))/(C$42+(L47-IF(G47="convert",G$46,0))+G$46)*G$46),"preference","convert")</f>
        <v>convert</v>
      </c>
      <c r="H48" s="5" t="str">
        <f>IF(H$45&gt;((($C$23+$C$17*$C$18)-(K47-IF(H47="preference",H$45,0)))/(C$42+(L47-IF(H47="convert",H$46,0))+H$46)*H$46),"preference","convert")</f>
        <v>convert</v>
      </c>
      <c r="I48" s="5" t="str">
        <f>IF(I$45&gt;((($C$23+$C$17*$C$18)-(K47-IF(I47="preference",I$45,0)))/(C$42+(L47-IF(I47="convert",I$46,0))+I$46)*I$46),"preference","convert")</f>
        <v>convert</v>
      </c>
      <c r="J48" s="5" t="str">
        <f>IF(J$45&gt;((($C$23+$C$17*$C$18)-(K47-IF(J47="preference",J$45,0)))/(C$42+(L47-IF(J47="convert",J$46,0))+J$46)*J$46),"preference","convert")</f>
        <v>convert</v>
      </c>
      <c r="K48" s="8">
        <f>IF(D48="preference",D45,0)+IF(E48="preference",E45,0)+IF(F48="preference",F45,0)+IF(G48="preference",G45,0)+IF(H48="preference",H45,0)+IF(I48="preference",I45,0)+IF(J48="preference",J45,0)</f>
        <v>100000000</v>
      </c>
      <c r="L48" s="11">
        <f>IF(D48="convert",D46,0)+IF(E48="convert",E46,0)+IF(F48="convert",F46,0)+IF(G48="convert",G46,0)+IF(H48="convert",H46,0)+IF(I48="convert",I46,0)+IF(J48="convert",J46,0)</f>
        <v>22471503.843714375</v>
      </c>
    </row>
    <row r="49" spans="2:12" x14ac:dyDescent="0.25">
      <c r="B49" s="5" t="s">
        <v>245</v>
      </c>
      <c r="D49" s="5" t="str">
        <f>IF(D$45&gt;((($C$23+$C$17*$C$18)-(K48-IF(D48="preference",D$45,0)))/(C$42+(L48-IF(D48="convert",D$46,0))+D$46)*D$46),"preference","convert")</f>
        <v>convert</v>
      </c>
      <c r="E49" s="5" t="str">
        <f>IF(E$45&gt;((($C$23+$C$17*$C$18)-(K48-IF(E48="preference",E$45,0)))/(C$42+(L48-IF(E48="convert",E$46,0))+E$46)*E$46),"preference","convert")</f>
        <v>convert</v>
      </c>
      <c r="F49" s="5" t="str">
        <f>IF(F$45&gt;((($C$23+$C$17*$C$18)-(K48-IF(F48="preference",F$45,0)))/(C$42+(L48-IF(F48="convert",F$46,0))+F$46)*F$46),"preference","convert")</f>
        <v>preference</v>
      </c>
      <c r="G49" s="5" t="str">
        <f>IF(G$45&gt;((($C$23+$C$17*$C$18)-(K48-IF(G48="preference",G$45,0)))/(C$42+(L48-IF(G48="convert",G$46,0))+G$46)*G$46),"preference","convert")</f>
        <v>convert</v>
      </c>
      <c r="H49" s="5" t="str">
        <f>IF(H$45&gt;((($C$23+$C$17*$C$18)-(K48-IF(H48="preference",H$45,0)))/(C$42+(L48-IF(H48="convert",H$46,0))+H$46)*H$46),"preference","convert")</f>
        <v>convert</v>
      </c>
      <c r="I49" s="5" t="str">
        <f>IF(I$45&gt;((($C$23+$C$17*$C$18)-(K48-IF(I48="preference",I$45,0)))/(C$42+(L48-IF(I48="convert",I$46,0))+I$46)*I$46),"preference","convert")</f>
        <v>convert</v>
      </c>
      <c r="J49" s="5" t="str">
        <f>IF(J$45&gt;((($C$23+$C$17*$C$18)-(K48-IF(J48="preference",J$45,0)))/(C$42+(L48-IF(J48="convert",J$46,0))+J$46)*J$46),"preference","convert")</f>
        <v>convert</v>
      </c>
      <c r="K49" s="8">
        <f>IF(D49="preference",D45,0)+IF(E49="preference",E45,0)+IF(F49="preference",F45,0)+IF(G49="preference",G45,0)+IF(H49="preference",H45,0)+IF(I49="preference",I45,0)+IF(J49="preference",J45,0)</f>
        <v>100000000</v>
      </c>
      <c r="L49" s="11">
        <f>IF(D49="convert",D46,0)+IF(E49="convert",E46,0)+IF(F49="convert",F46,0)+IF(G49="convert",G46,0)+IF(H49="convert",H46,0)+IF(I49="convert",I46,0)+IF(J49="convert",J46,0)</f>
        <v>22471503.843714375</v>
      </c>
    </row>
    <row r="50" spans="2:12" x14ac:dyDescent="0.25">
      <c r="B50" s="5" t="s">
        <v>246</v>
      </c>
      <c r="D50" s="5" t="str">
        <f>IF(D$45&gt;((($C$23+$C$17*$C$18)-(K49-IF(D49="preference",D$45,0)))/(C$42+(L49-IF(D49="convert",D$46,0))+D$46)*D$46),"preference","convert")</f>
        <v>convert</v>
      </c>
      <c r="E50" s="5" t="str">
        <f>IF(E$45&gt;((($C$23+$C$17*$C$18)-(K49-IF(E49="preference",E$45,0)))/(C$42+(L49-IF(E49="convert",E$46,0))+E$46)*E$46),"preference","convert")</f>
        <v>convert</v>
      </c>
      <c r="F50" s="5" t="str">
        <f>IF(F$45&gt;((($C$23+$C$17*$C$18)-(K49-IF(F49="preference",F$45,0)))/(C$42+(L49-IF(F49="convert",F$46,0))+F$46)*F$46),"preference","convert")</f>
        <v>preference</v>
      </c>
      <c r="G50" s="5" t="str">
        <f>IF(G$45&gt;((($C$23+$C$17*$C$18)-(K49-IF(G49="preference",G$45,0)))/(C$42+(L49-IF(G49="convert",G$46,0))+G$46)*G$46),"preference","convert")</f>
        <v>convert</v>
      </c>
      <c r="H50" s="5" t="str">
        <f>IF(H$45&gt;((($C$23+$C$17*$C$18)-(K49-IF(H49="preference",H$45,0)))/(C$42+(L49-IF(H49="convert",H$46,0))+H$46)*H$46),"preference","convert")</f>
        <v>convert</v>
      </c>
      <c r="I50" s="5" t="str">
        <f>IF(I$45&gt;((($C$23+$C$17*$C$18)-(K49-IF(I49="preference",I$45,0)))/(C$42+(L49-IF(I49="convert",I$46,0))+I$46)*I$46),"preference","convert")</f>
        <v>convert</v>
      </c>
      <c r="J50" s="5" t="str">
        <f>IF(J$45&gt;((($C$23+$C$17*$C$18)-(K49-IF(J49="preference",J$45,0)))/(C$42+(L49-IF(J49="convert",J$46,0))+J$46)*J$46),"preference","convert")</f>
        <v>convert</v>
      </c>
      <c r="K50" s="8">
        <f>IF(D50="preference",D45,0)+IF(E50="preference",E45,0)+IF(F50="preference",F45,0)+IF(G50="preference",G45,0)+IF(H50="preference",H45,0)+IF(I50="preference",I45,0)+IF(J50="preference",J45,0)</f>
        <v>100000000</v>
      </c>
      <c r="L50" s="11">
        <f>IF(D50="convert",D46,0)+IF(E50="convert",E46,0)+IF(F50="convert",F46,0)+IF(G50="convert",G46,0)+IF(H50="convert",H46,0)+IF(I50="convert",I46,0)+IF(J50="convert",J46,0)</f>
        <v>22471503.843714375</v>
      </c>
    </row>
    <row r="51" spans="2:12" x14ac:dyDescent="0.25">
      <c r="B51" s="5" t="s">
        <v>247</v>
      </c>
      <c r="D51" s="5" t="str">
        <f>IF(D$45&gt;((($C$23+$C$17*$C$18)-(K50-IF(D50="preference",D$45,0)))/(C$42+(L50-IF(D50="convert",D$46,0))+D$46)*D$46),"preference","convert")</f>
        <v>convert</v>
      </c>
      <c r="E51" s="5" t="str">
        <f>IF(E$45&gt;((($C$23+$C$17*$C$18)-(K50-IF(E50="preference",E$45,0)))/(C$42+(L50-IF(E50="convert",E$46,0))+E$46)*E$46),"preference","convert")</f>
        <v>convert</v>
      </c>
      <c r="F51" s="5" t="str">
        <f>IF(F$45&gt;((($C$23+$C$17*$C$18)-(K50-IF(F50="preference",F$45,0)))/(C$42+(L50-IF(F50="convert",F$46,0))+F$46)*F$46),"preference","convert")</f>
        <v>preference</v>
      </c>
      <c r="G51" s="5" t="str">
        <f>IF(G$45&gt;((($C$23+$C$17*$C$18)-(K50-IF(G50="preference",G$45,0)))/(C$42+(L50-IF(G50="convert",G$46,0))+G$46)*G$46),"preference","convert")</f>
        <v>convert</v>
      </c>
      <c r="H51" s="5" t="str">
        <f>IF(H$45&gt;((($C$23+$C$17*$C$18)-(K50-IF(H50="preference",H$45,0)))/(C$42+(L50-IF(H50="convert",H$46,0))+H$46)*H$46),"preference","convert")</f>
        <v>convert</v>
      </c>
      <c r="I51" s="5" t="str">
        <f>IF(I$45&gt;((($C$23+$C$17*$C$18)-(K50-IF(I50="preference",I$45,0)))/(C$42+(L50-IF(I50="convert",I$46,0))+I$46)*I$46),"preference","convert")</f>
        <v>convert</v>
      </c>
      <c r="J51" s="5" t="str">
        <f>IF(J$45&gt;((($C$23+$C$17*$C$18)-(K50-IF(J50="preference",J$45,0)))/(C$42+(L50-IF(J50="convert",J$46,0))+J$46)*J$46),"preference","convert")</f>
        <v>convert</v>
      </c>
      <c r="K51" s="8">
        <f>IF(D51="preference",D45,0)+IF(E51="preference",E45,0)+IF(F51="preference",F45,0)+IF(G51="preference",G45,0)+IF(H51="preference",H45,0)+IF(I51="preference",I45,0)+IF(J51="preference",J45,0)</f>
        <v>100000000</v>
      </c>
      <c r="L51" s="11">
        <f>IF(D51="convert",D46,0)+IF(E51="convert",E46,0)+IF(F51="convert",F46,0)+IF(G51="convert",G46,0)+IF(H51="convert",H46,0)+IF(I51="convert",I46,0)+IF(J51="convert",J46,0)</f>
        <v>22471503.843714375</v>
      </c>
    </row>
    <row r="52" spans="2:12" x14ac:dyDescent="0.25">
      <c r="B52" s="12" t="s">
        <v>248</v>
      </c>
      <c r="D52" s="12" t="str">
        <f>IF(D$45&gt;((($C$23+$C$17*$C$18)-(K51-IF(D51="preference",D$45,0)))/(C$42+(L51-IF(D51="convert",D$46,0))+D$46)*D$46),"preference","convert")</f>
        <v>convert</v>
      </c>
      <c r="E52" s="12" t="str">
        <f>IF(E$45&gt;((($C$23+$C$17*$C$18)-(K51-IF(E51="preference",E$45,0)))/(C$42+(L51-IF(E51="convert",E$46,0))+E$46)*E$46),"preference","convert")</f>
        <v>convert</v>
      </c>
      <c r="F52" s="12" t="str">
        <f>IF(F$45&gt;((($C$23+$C$17*$C$18)-(K51-IF(F51="preference",F$45,0)))/(C$42+(L51-IF(F51="convert",F$46,0))+F$46)*F$46),"preference","convert")</f>
        <v>preference</v>
      </c>
      <c r="G52" s="12" t="str">
        <f>IF(G$45&gt;((($C$23+$C$17*$C$18)-(K51-IF(G51="preference",G$45,0)))/(C$42+(L51-IF(G51="convert",G$46,0))+G$46)*G$46),"preference","convert")</f>
        <v>convert</v>
      </c>
      <c r="H52" s="12" t="str">
        <f>IF(H$45&gt;((($C$23+$C$17*$C$18)-(K51-IF(H51="preference",H$45,0)))/(C$42+(L51-IF(H51="convert",H$46,0))+H$46)*H$46),"preference","convert")</f>
        <v>convert</v>
      </c>
      <c r="I52" s="12" t="str">
        <f>IF(I$45&gt;((($C$23+$C$17*$C$18)-(K51-IF(I51="preference",I$45,0)))/(C$42+(L51-IF(I51="convert",I$46,0))+I$46)*I$46),"preference","convert")</f>
        <v>convert</v>
      </c>
      <c r="J52" s="12" t="str">
        <f>IF(J$45&gt;((($C$23+$C$17*$C$18)-(K51-IF(J51="preference",J$45,0)))/(C$42+(L51-IF(J51="convert",J$46,0))+J$46)*J$46),"preference","convert")</f>
        <v>convert</v>
      </c>
      <c r="K52" s="8">
        <f>IF(D52="preference",D45,0)+IF(E52="preference",E45,0)+IF(F52="preference",F45,0)+IF(G52="preference",G45,0)+IF(H52="preference",H45,0)+IF(I52="preference",I45,0)+IF(J52="preference",J45,0)</f>
        <v>100000000</v>
      </c>
      <c r="L52" s="11">
        <f>IF(D52="convert",D46,0)+IF(E52="convert",E46,0)+IF(F52="convert",F46,0)+IF(G52="convert",G46,0)+IF(H52="convert",H46,0)+IF(I52="convert",I46,0)+IF(J52="convert",J46,0)</f>
        <v>22471503.843714375</v>
      </c>
    </row>
    <row r="53" spans="2:3" x14ac:dyDescent="0.25">
      <c r="B53" s="12" t="s">
        <v>249</v>
      </c>
      <c r="C53" s="21">
        <f>(($C$23+$C$17*$C$18)-K52)/(C42+L52)</f>
        <v>55.51362851078039</v>
      </c>
    </row>
    <row r="54" spans="2:4" x14ac:dyDescent="0.25">
      <c r="B54" s="5" t="s">
        <v>250</v>
      </c>
      <c r="C54" s="5" t="str">
        <f>D52</f>
        <v>convert</v>
      </c>
      <c r="D54" s="8">
        <f>IF(D52="preference",$C$24,C53*$C$24/C35)</f>
        <v>16993410.30660825</v>
      </c>
    </row>
    <row r="55" spans="2:3" x14ac:dyDescent="0.25">
      <c r="B55" s="12" t="s">
        <v>251</v>
      </c>
      <c r="C55" s="27">
        <f>($C$24/C35)/C36</f>
        <v>0.008130081300813009</v>
      </c>
    </row>
    <row r="56" spans="2:12" x14ac:dyDescent="0.25">
      <c r="B56" s="19" t="s">
        <v>252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2:3" x14ac:dyDescent="0.25">
      <c r="B57" s="5" t="s">
        <v>216</v>
      </c>
      <c r="C57" s="16">
        <f>Assumptions!D72</f>
        <v>1400000000</v>
      </c>
    </row>
    <row r="58" spans="2:3" x14ac:dyDescent="0.25">
      <c r="B58" s="5" t="s">
        <v>217</v>
      </c>
      <c r="C58" s="17">
        <f>Assumptions!C71</f>
        <v>0.11</v>
      </c>
    </row>
    <row r="59" spans="2:3" x14ac:dyDescent="0.25">
      <c r="B59" s="5" t="s">
        <v>218</v>
      </c>
      <c r="C59" s="8">
        <f>C57+$C$7</f>
        <v>1430000000</v>
      </c>
    </row>
    <row r="60" spans="2:4" x14ac:dyDescent="0.25">
      <c r="B60" s="5" t="s">
        <v>219</v>
      </c>
      <c r="C60" s="11" t="str">
        <f>IF(C57&gt;$C$22,"cap","discount")</f>
        <v>cap</v>
      </c>
      <c r="D60" s="11">
        <f>IF(C60="cap",$C$20*C57/($D$20+$C$20),$C$20/(1-$E$20))</f>
        <v>6965174.129353234</v>
      </c>
    </row>
    <row r="61" spans="2:4" x14ac:dyDescent="0.25">
      <c r="B61" s="5" t="s">
        <v>220</v>
      </c>
      <c r="C61" s="11" t="str">
        <f>IF(C57&gt;$D$22,"cap","discount")</f>
        <v>discount</v>
      </c>
      <c r="D61" s="11">
        <f>IF(C61="cap",$C$21*C57/($D$21+$C$21),$C$21/(1-$E$21))</f>
        <v>3529411.7647058824</v>
      </c>
    </row>
    <row r="62" spans="2:3" x14ac:dyDescent="0.25">
      <c r="B62" s="5" t="s">
        <v>221</v>
      </c>
      <c r="C62" s="8">
        <f>(1-C58)*C59-$C$7-$C$12-$C$14-D60-D61</f>
        <v>1225897577.5645194</v>
      </c>
    </row>
    <row r="63" spans="2:3" x14ac:dyDescent="0.25">
      <c r="B63" s="12" t="s">
        <v>222</v>
      </c>
      <c r="C63" s="21">
        <f>C62/$C$15</f>
        <v>38.190744388972945</v>
      </c>
    </row>
    <row r="64" spans="2:3" x14ac:dyDescent="0.25">
      <c r="B64" s="5" t="s">
        <v>223</v>
      </c>
      <c r="C64" s="11">
        <f>C59/C63</f>
        <v>37443627.32067859</v>
      </c>
    </row>
    <row r="65" spans="2:3" x14ac:dyDescent="0.25">
      <c r="B65" s="5" t="s">
        <v>224</v>
      </c>
      <c r="C65" s="11">
        <f>$C$7/C63</f>
        <v>785530.6430911593</v>
      </c>
    </row>
    <row r="66" spans="2:3" x14ac:dyDescent="0.25">
      <c r="B66" s="5" t="s">
        <v>225</v>
      </c>
      <c r="C66" s="11">
        <f>$C$11+$C$12/C63</f>
        <v>6131396.210707304</v>
      </c>
    </row>
    <row r="67" spans="2:3" x14ac:dyDescent="0.25">
      <c r="B67" s="5" t="s">
        <v>226</v>
      </c>
      <c r="C67" s="11">
        <f>$C$13+$C$14/C63</f>
        <v>1733107.501394297</v>
      </c>
    </row>
    <row r="68" spans="2:4" x14ac:dyDescent="0.25">
      <c r="B68" s="5" t="s">
        <v>227</v>
      </c>
      <c r="C68" s="11">
        <f>D60/C63</f>
        <v>182378.59043575838</v>
      </c>
      <c r="D68" s="11">
        <f>D61/C63</f>
        <v>92415.3697754305</v>
      </c>
    </row>
    <row r="69" spans="2:3" x14ac:dyDescent="0.25">
      <c r="B69" s="5" t="s">
        <v>228</v>
      </c>
      <c r="C69" s="11">
        <f>MAX($C$19,C58*C64)</f>
        <v>4394667</v>
      </c>
    </row>
    <row r="70" spans="2:3" x14ac:dyDescent="0.25">
      <c r="B70" s="5" t="s">
        <v>229</v>
      </c>
      <c r="C70" s="11">
        <f>$C$16+$C$17+C68+D68</f>
        <v>11774793.960211188</v>
      </c>
    </row>
    <row r="71" spans="2:12" x14ac:dyDescent="0.25">
      <c r="B71" s="19" t="s">
        <v>230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spans="2:12" x14ac:dyDescent="0.25">
      <c r="B72" s="23" t="s">
        <v>231</v>
      </c>
      <c r="D72" s="23" t="s">
        <v>232</v>
      </c>
      <c r="E72" s="23" t="s">
        <v>233</v>
      </c>
      <c r="F72" s="23" t="s">
        <v>234</v>
      </c>
      <c r="G72" s="23" t="s">
        <v>235</v>
      </c>
      <c r="H72" s="23" t="s">
        <v>236</v>
      </c>
      <c r="I72" s="23" t="s">
        <v>237</v>
      </c>
      <c r="J72" s="23" t="s">
        <v>114</v>
      </c>
      <c r="K72" s="23" t="s">
        <v>238</v>
      </c>
      <c r="L72" s="23" t="s">
        <v>239</v>
      </c>
    </row>
    <row r="73" spans="2:10" x14ac:dyDescent="0.25">
      <c r="B73" s="5" t="s">
        <v>240</v>
      </c>
      <c r="D73" s="8">
        <f>$C$7</f>
      </c>
      <c r="E73" s="8">
        <f>Assumptions!C53</f>
        <v>300000000</v>
      </c>
      <c r="F73" s="8">
        <f>Assumptions!C52</f>
        <v>100000000</v>
      </c>
      <c r="G73" s="8">
        <f>Assumptions!C51</f>
        <v>60000000</v>
      </c>
      <c r="H73" s="8">
        <f>Assumptions!C50</f>
        <v>30000000</v>
      </c>
      <c r="I73" s="8">
        <f>Assumptions!C49</f>
        <v>15000000</v>
      </c>
      <c r="J73" s="8">
        <f>Assumptions!C48</f>
        <v>5000000</v>
      </c>
    </row>
    <row r="74" spans="2:10" x14ac:dyDescent="0.25">
      <c r="B74" s="5" t="s">
        <v>241</v>
      </c>
      <c r="D74" s="11">
        <f>C65</f>
        <v>785530.6430911593</v>
      </c>
      <c r="E74" s="11">
        <f>C66</f>
        <v>6131396.210707304</v>
      </c>
      <c r="F74" s="11">
        <f>C67</f>
        <v>1733107.501394297</v>
      </c>
      <c r="G74" s="11">
        <f>Assumptions!C43</f>
        <v>2400000</v>
      </c>
      <c r="H74" s="11">
        <f>Assumptions!C42</f>
        <v>3000000</v>
      </c>
      <c r="I74" s="11">
        <f>Assumptions!C41</f>
        <v>5000000</v>
      </c>
      <c r="J74" s="11">
        <f>Assumptions!C40</f>
        <v>5000000</v>
      </c>
    </row>
    <row r="75" spans="2:12" x14ac:dyDescent="0.25">
      <c r="B75" s="5" t="s">
        <v>242</v>
      </c>
      <c r="D75" s="5" t="s">
        <v>243</v>
      </c>
      <c r="E75" s="5" t="s">
        <v>243</v>
      </c>
      <c r="F75" s="5" t="s">
        <v>243</v>
      </c>
      <c r="G75" s="5" t="s">
        <v>243</v>
      </c>
      <c r="H75" s="5" t="s">
        <v>243</v>
      </c>
      <c r="I75" s="5" t="s">
        <v>243</v>
      </c>
      <c r="J75" s="5" t="s">
        <v>243</v>
      </c>
      <c r="K75" s="8">
        <f>IF(D75="preference",D73,0)+IF(E75="preference",E73,0)+IF(F75="preference",F73,0)+IF(G75="preference",G73,0)+IF(H75="preference",H73,0)+IF(I75="preference",I73,0)+IF(J75="preference",J73,0)</f>
        <v>0</v>
      </c>
      <c r="L75" s="11">
        <f>IF(D75="convert",D74,0)+IF(E75="convert",E74,0)+IF(F75="convert",F74,0)+IF(G75="convert",G74,0)+IF(H75="convert",H74,0)+IF(I75="convert",I74,0)+IF(J75="convert",J74,0)</f>
        <v>24050034.35519276</v>
      </c>
    </row>
    <row r="76" spans="2:12" x14ac:dyDescent="0.25">
      <c r="B76" s="5" t="s">
        <v>244</v>
      </c>
      <c r="D76" s="5" t="str">
        <f>IF(D$73&gt;((($C$23+$C$17*$C$18)-(K75-IF(D75="preference",D$73,0)))/(C$70+(L75-IF(D75="convert",D$74,0))+D$74)*D$74),"preference","convert")</f>
        <v>convert</v>
      </c>
      <c r="E76" s="5" t="str">
        <f>IF(E$73&gt;((($C$23+$C$17*$C$18)-(K75-IF(E75="preference",E$73,0)))/(C$70+(L75-IF(E75="convert",E$74,0))+E$74)*E$74),"preference","convert")</f>
        <v>convert</v>
      </c>
      <c r="F76" s="5" t="str">
        <f>IF(F$73&gt;((($C$23+$C$17*$C$18)-(K75-IF(F75="preference",F$73,0)))/(C$70+(L75-IF(F75="convert",F$74,0))+F$74)*F$74),"preference","convert")</f>
        <v>preference</v>
      </c>
      <c r="G76" s="5" t="str">
        <f>IF(G$73&gt;((($C$23+$C$17*$C$18)-(K75-IF(G75="preference",G$73,0)))/(C$70+(L75-IF(G75="convert",G$74,0))+G$74)*G$74),"preference","convert")</f>
        <v>convert</v>
      </c>
      <c r="H76" s="5" t="str">
        <f>IF(H$73&gt;((($C$23+$C$17*$C$18)-(K75-IF(H75="preference",H$73,0)))/(C$70+(L75-IF(H75="convert",H$74,0))+H$74)*H$74),"preference","convert")</f>
        <v>convert</v>
      </c>
      <c r="I76" s="5" t="str">
        <f>IF(I$73&gt;((($C$23+$C$17*$C$18)-(K75-IF(I75="preference",I$73,0)))/(C$70+(L75-IF(I75="convert",I$74,0))+I$74)*I$74),"preference","convert")</f>
        <v>convert</v>
      </c>
      <c r="J76" s="5" t="str">
        <f>IF(J$73&gt;((($C$23+$C$17*$C$18)-(K75-IF(J75="preference",J$73,0)))/(C$70+(L75-IF(J75="convert",J$74,0))+J$74)*J$74),"preference","convert")</f>
        <v>convert</v>
      </c>
      <c r="K76" s="8">
        <f>IF(D76="preference",D73,0)+IF(E76="preference",E73,0)+IF(F76="preference",F73,0)+IF(G76="preference",G73,0)+IF(H76="preference",H73,0)+IF(I76="preference",I73,0)+IF(J76="preference",J73,0)</f>
        <v>100000000</v>
      </c>
      <c r="L76" s="11">
        <f>IF(D76="convert",D74,0)+IF(E76="convert",E74,0)+IF(F76="convert",F74,0)+IF(G76="convert",G74,0)+IF(H76="convert",H74,0)+IF(I76="convert",I74,0)+IF(J76="convert",J74,0)</f>
        <v>22316926.85379846</v>
      </c>
    </row>
    <row r="77" spans="2:12" x14ac:dyDescent="0.25">
      <c r="B77" s="5" t="s">
        <v>245</v>
      </c>
      <c r="D77" s="5" t="str">
        <f>IF(D$73&gt;((($C$23+$C$17*$C$18)-(K76-IF(D76="preference",D$73,0)))/(C$70+(L76-IF(D76="convert",D$74,0))+D$74)*D$74),"preference","convert")</f>
        <v>convert</v>
      </c>
      <c r="E77" s="5" t="str">
        <f>IF(E$73&gt;((($C$23+$C$17*$C$18)-(K76-IF(E76="preference",E$73,0)))/(C$70+(L76-IF(E76="convert",E$74,0))+E$74)*E$74),"preference","convert")</f>
        <v>convert</v>
      </c>
      <c r="F77" s="5" t="str">
        <f>IF(F$73&gt;((($C$23+$C$17*$C$18)-(K76-IF(F76="preference",F$73,0)))/(C$70+(L76-IF(F76="convert",F$74,0))+F$74)*F$74),"preference","convert")</f>
        <v>preference</v>
      </c>
      <c r="G77" s="5" t="str">
        <f>IF(G$73&gt;((($C$23+$C$17*$C$18)-(K76-IF(G76="preference",G$73,0)))/(C$70+(L76-IF(G76="convert",G$74,0))+G$74)*G$74),"preference","convert")</f>
        <v>convert</v>
      </c>
      <c r="H77" s="5" t="str">
        <f>IF(H$73&gt;((($C$23+$C$17*$C$18)-(K76-IF(H76="preference",H$73,0)))/(C$70+(L76-IF(H76="convert",H$74,0))+H$74)*H$74),"preference","convert")</f>
        <v>convert</v>
      </c>
      <c r="I77" s="5" t="str">
        <f>IF(I$73&gt;((($C$23+$C$17*$C$18)-(K76-IF(I76="preference",I$73,0)))/(C$70+(L76-IF(I76="convert",I$74,0))+I$74)*I$74),"preference","convert")</f>
        <v>convert</v>
      </c>
      <c r="J77" s="5" t="str">
        <f>IF(J$73&gt;((($C$23+$C$17*$C$18)-(K76-IF(J76="preference",J$73,0)))/(C$70+(L76-IF(J76="convert",J$74,0))+J$74)*J$74),"preference","convert")</f>
        <v>convert</v>
      </c>
      <c r="K77" s="8">
        <f>IF(D77="preference",D73,0)+IF(E77="preference",E73,0)+IF(F77="preference",F73,0)+IF(G77="preference",G73,0)+IF(H77="preference",H73,0)+IF(I77="preference",I73,0)+IF(J77="preference",J73,0)</f>
        <v>100000000</v>
      </c>
      <c r="L77" s="11">
        <f>IF(D77="convert",D74,0)+IF(E77="convert",E74,0)+IF(F77="convert",F74,0)+IF(G77="convert",G74,0)+IF(H77="convert",H74,0)+IF(I77="convert",I74,0)+IF(J77="convert",J74,0)</f>
        <v>22316926.85379846</v>
      </c>
    </row>
    <row r="78" spans="2:12" x14ac:dyDescent="0.25">
      <c r="B78" s="5" t="s">
        <v>246</v>
      </c>
      <c r="D78" s="5" t="str">
        <f>IF(D$73&gt;((($C$23+$C$17*$C$18)-(K77-IF(D77="preference",D$73,0)))/(C$70+(L77-IF(D77="convert",D$74,0))+D$74)*D$74),"preference","convert")</f>
        <v>convert</v>
      </c>
      <c r="E78" s="5" t="str">
        <f>IF(E$73&gt;((($C$23+$C$17*$C$18)-(K77-IF(E77="preference",E$73,0)))/(C$70+(L77-IF(E77="convert",E$74,0))+E$74)*E$74),"preference","convert")</f>
        <v>convert</v>
      </c>
      <c r="F78" s="5" t="str">
        <f>IF(F$73&gt;((($C$23+$C$17*$C$18)-(K77-IF(F77="preference",F$73,0)))/(C$70+(L77-IF(F77="convert",F$74,0))+F$74)*F$74),"preference","convert")</f>
        <v>preference</v>
      </c>
      <c r="G78" s="5" t="str">
        <f>IF(G$73&gt;((($C$23+$C$17*$C$18)-(K77-IF(G77="preference",G$73,0)))/(C$70+(L77-IF(G77="convert",G$74,0))+G$74)*G$74),"preference","convert")</f>
        <v>convert</v>
      </c>
      <c r="H78" s="5" t="str">
        <f>IF(H$73&gt;((($C$23+$C$17*$C$18)-(K77-IF(H77="preference",H$73,0)))/(C$70+(L77-IF(H77="convert",H$74,0))+H$74)*H$74),"preference","convert")</f>
        <v>convert</v>
      </c>
      <c r="I78" s="5" t="str">
        <f>IF(I$73&gt;((($C$23+$C$17*$C$18)-(K77-IF(I77="preference",I$73,0)))/(C$70+(L77-IF(I77="convert",I$74,0))+I$74)*I$74),"preference","convert")</f>
        <v>convert</v>
      </c>
      <c r="J78" s="5" t="str">
        <f>IF(J$73&gt;((($C$23+$C$17*$C$18)-(K77-IF(J77="preference",J$73,0)))/(C$70+(L77-IF(J77="convert",J$74,0))+J$74)*J$74),"preference","convert")</f>
        <v>convert</v>
      </c>
      <c r="K78" s="8">
        <f>IF(D78="preference",D73,0)+IF(E78="preference",E73,0)+IF(F78="preference",F73,0)+IF(G78="preference",G73,0)+IF(H78="preference",H73,0)+IF(I78="preference",I73,0)+IF(J78="preference",J73,0)</f>
        <v>100000000</v>
      </c>
      <c r="L78" s="11">
        <f>IF(D78="convert",D74,0)+IF(E78="convert",E74,0)+IF(F78="convert",F74,0)+IF(G78="convert",G74,0)+IF(H78="convert",H74,0)+IF(I78="convert",I74,0)+IF(J78="convert",J74,0)</f>
        <v>22316926.85379846</v>
      </c>
    </row>
    <row r="79" spans="2:12" x14ac:dyDescent="0.25">
      <c r="B79" s="5" t="s">
        <v>247</v>
      </c>
      <c r="D79" s="5" t="str">
        <f>IF(D$73&gt;((($C$23+$C$17*$C$18)-(K78-IF(D78="preference",D$73,0)))/(C$70+(L78-IF(D78="convert",D$74,0))+D$74)*D$74),"preference","convert")</f>
        <v>convert</v>
      </c>
      <c r="E79" s="5" t="str">
        <f>IF(E$73&gt;((($C$23+$C$17*$C$18)-(K78-IF(E78="preference",E$73,0)))/(C$70+(L78-IF(E78="convert",E$74,0))+E$74)*E$74),"preference","convert")</f>
        <v>convert</v>
      </c>
      <c r="F79" s="5" t="str">
        <f>IF(F$73&gt;((($C$23+$C$17*$C$18)-(K78-IF(F78="preference",F$73,0)))/(C$70+(L78-IF(F78="convert",F$74,0))+F$74)*F$74),"preference","convert")</f>
        <v>preference</v>
      </c>
      <c r="G79" s="5" t="str">
        <f>IF(G$73&gt;((($C$23+$C$17*$C$18)-(K78-IF(G78="preference",G$73,0)))/(C$70+(L78-IF(G78="convert",G$74,0))+G$74)*G$74),"preference","convert")</f>
        <v>convert</v>
      </c>
      <c r="H79" s="5" t="str">
        <f>IF(H$73&gt;((($C$23+$C$17*$C$18)-(K78-IF(H78="preference",H$73,0)))/(C$70+(L78-IF(H78="convert",H$74,0))+H$74)*H$74),"preference","convert")</f>
        <v>convert</v>
      </c>
      <c r="I79" s="5" t="str">
        <f>IF(I$73&gt;((($C$23+$C$17*$C$18)-(K78-IF(I78="preference",I$73,0)))/(C$70+(L78-IF(I78="convert",I$74,0))+I$74)*I$74),"preference","convert")</f>
        <v>convert</v>
      </c>
      <c r="J79" s="5" t="str">
        <f>IF(J$73&gt;((($C$23+$C$17*$C$18)-(K78-IF(J78="preference",J$73,0)))/(C$70+(L78-IF(J78="convert",J$74,0))+J$74)*J$74),"preference","convert")</f>
        <v>convert</v>
      </c>
      <c r="K79" s="8">
        <f>IF(D79="preference",D73,0)+IF(E79="preference",E73,0)+IF(F79="preference",F73,0)+IF(G79="preference",G73,0)+IF(H79="preference",H73,0)+IF(I79="preference",I73,0)+IF(J79="preference",J73,0)</f>
        <v>100000000</v>
      </c>
      <c r="L79" s="11">
        <f>IF(D79="convert",D74,0)+IF(E79="convert",E74,0)+IF(F79="convert",F74,0)+IF(G79="convert",G74,0)+IF(H79="convert",H74,0)+IF(I79="convert",I74,0)+IF(J79="convert",J74,0)</f>
        <v>22316926.85379846</v>
      </c>
    </row>
    <row r="80" spans="2:12" x14ac:dyDescent="0.25">
      <c r="B80" s="12" t="s">
        <v>248</v>
      </c>
      <c r="D80" s="12" t="str">
        <f>IF(D$73&gt;((($C$23+$C$17*$C$18)-(K79-IF(D79="preference",D$73,0)))/(C$70+(L79-IF(D79="convert",D$74,0))+D$74)*D$74),"preference","convert")</f>
        <v>convert</v>
      </c>
      <c r="E80" s="12" t="str">
        <f>IF(E$73&gt;((($C$23+$C$17*$C$18)-(K79-IF(E79="preference",E$73,0)))/(C$70+(L79-IF(E79="convert",E$74,0))+E$74)*E$74),"preference","convert")</f>
        <v>convert</v>
      </c>
      <c r="F80" s="12" t="str">
        <f>IF(F$73&gt;((($C$23+$C$17*$C$18)-(K79-IF(F79="preference",F$73,0)))/(C$70+(L79-IF(F79="convert",F$74,0))+F$74)*F$74),"preference","convert")</f>
        <v>preference</v>
      </c>
      <c r="G80" s="12" t="str">
        <f>IF(G$73&gt;((($C$23+$C$17*$C$18)-(K79-IF(G79="preference",G$73,0)))/(C$70+(L79-IF(G79="convert",G$74,0))+G$74)*G$74),"preference","convert")</f>
        <v>convert</v>
      </c>
      <c r="H80" s="12" t="str">
        <f>IF(H$73&gt;((($C$23+$C$17*$C$18)-(K79-IF(H79="preference",H$73,0)))/(C$70+(L79-IF(H79="convert",H$74,0))+H$74)*H$74),"preference","convert")</f>
        <v>convert</v>
      </c>
      <c r="I80" s="12" t="str">
        <f>IF(I$73&gt;((($C$23+$C$17*$C$18)-(K79-IF(I79="preference",I$73,0)))/(C$70+(L79-IF(I79="convert",I$74,0))+I$74)*I$74),"preference","convert")</f>
        <v>convert</v>
      </c>
      <c r="J80" s="12" t="str">
        <f>IF(J$73&gt;((($C$23+$C$17*$C$18)-(K79-IF(J79="preference",J$73,0)))/(C$70+(L79-IF(J79="convert",J$74,0))+J$74)*J$74),"preference","convert")</f>
        <v>convert</v>
      </c>
      <c r="K80" s="8">
        <f>IF(D80="preference",D73,0)+IF(E80="preference",E73,0)+IF(F80="preference",F73,0)+IF(G80="preference",G73,0)+IF(H80="preference",H73,0)+IF(I80="preference",I73,0)+IF(J80="preference",J73,0)</f>
        <v>100000000</v>
      </c>
      <c r="L80" s="11">
        <f>IF(D80="convert",D74,0)+IF(E80="convert",E74,0)+IF(F80="convert",F74,0)+IF(G80="convert",G74,0)+IF(H80="convert",H74,0)+IF(I80="convert",I74,0)+IF(J80="convert",J74,0)</f>
        <v>22316926.85379846</v>
      </c>
    </row>
    <row r="81" spans="2:3" x14ac:dyDescent="0.25">
      <c r="B81" s="12" t="s">
        <v>249</v>
      </c>
      <c r="C81" s="21">
        <f>(($C$23+$C$17*$C$18)-K80)/(C70+L80)</f>
        <v>55.8053379111971</v>
      </c>
    </row>
    <row r="82" spans="2:4" x14ac:dyDescent="0.25">
      <c r="B82" s="5" t="s">
        <v>250</v>
      </c>
      <c r="C82" s="5" t="str">
        <f>D80</f>
        <v>convert</v>
      </c>
      <c r="D82" s="8">
        <f>IF(D80="preference",$C$24,C81*$C$24/C63)</f>
        <v>14612267.659100702</v>
      </c>
    </row>
    <row r="83" spans="2:3" x14ac:dyDescent="0.25">
      <c r="B83" s="12" t="s">
        <v>251</v>
      </c>
      <c r="C83" s="27">
        <f>($C$24/C63)/C64</f>
        <v>0.006993006993006994</v>
      </c>
    </row>
    <row r="84" spans="2:12" x14ac:dyDescent="0.25">
      <c r="B84" s="19" t="s">
        <v>253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</row>
    <row r="85" spans="2:3" x14ac:dyDescent="0.25">
      <c r="B85" s="5" t="s">
        <v>216</v>
      </c>
      <c r="C85" s="16">
        <f>Assumptions!E72</f>
        <v>1800000000</v>
      </c>
    </row>
    <row r="86" spans="2:3" x14ac:dyDescent="0.25">
      <c r="B86" s="5" t="s">
        <v>217</v>
      </c>
      <c r="C86" s="17">
        <f>Assumptions!C71</f>
        <v>0.11</v>
      </c>
    </row>
    <row r="87" spans="2:3" x14ac:dyDescent="0.25">
      <c r="B87" s="5" t="s">
        <v>218</v>
      </c>
      <c r="C87" s="8">
        <f>C85+$C$7</f>
        <v>1830000000</v>
      </c>
    </row>
    <row r="88" spans="2:4" x14ac:dyDescent="0.25">
      <c r="B88" s="5" t="s">
        <v>219</v>
      </c>
      <c r="C88" s="11" t="str">
        <f>IF(C85&gt;$C$22,"cap","discount")</f>
        <v>cap</v>
      </c>
      <c r="D88" s="11">
        <f>IF(C88="cap",$C$20*C85/($D$20+$C$20),$C$20/(1-$E$20))</f>
        <v>8955223.880597016</v>
      </c>
    </row>
    <row r="89" spans="2:4" x14ac:dyDescent="0.25">
      <c r="B89" s="5" t="s">
        <v>220</v>
      </c>
      <c r="C89" s="11" t="str">
        <f>IF(C85&gt;$D$22,"cap","discount")</f>
        <v>discount</v>
      </c>
      <c r="D89" s="11">
        <f>IF(C89="cap",$C$21*C85/($D$21+$C$21),$C$21/(1-$E$21))</f>
        <v>3529411.7647058824</v>
      </c>
    </row>
    <row r="90" spans="2:3" x14ac:dyDescent="0.25">
      <c r="B90" s="5" t="s">
        <v>221</v>
      </c>
      <c r="C90" s="8">
        <f>(1-C86)*C87-$C$7-$C$12-$C$14-D88-D89</f>
        <v>1579907527.8132756</v>
      </c>
    </row>
    <row r="91" spans="2:3" x14ac:dyDescent="0.25">
      <c r="B91" s="12" t="s">
        <v>222</v>
      </c>
      <c r="C91" s="21">
        <f>C90/$C$15</f>
        <v>49.21931950693929</v>
      </c>
    </row>
    <row r="92" spans="2:3" x14ac:dyDescent="0.25">
      <c r="B92" s="5" t="s">
        <v>223</v>
      </c>
      <c r="C92" s="11">
        <f>C87/C91</f>
        <v>37180522.16756052</v>
      </c>
    </row>
    <row r="93" spans="2:3" x14ac:dyDescent="0.25">
      <c r="B93" s="5" t="s">
        <v>224</v>
      </c>
      <c r="C93" s="11">
        <f>$C$7/C91</f>
        <v>609516.7568452543</v>
      </c>
    </row>
    <row r="94" spans="2:3" x14ac:dyDescent="0.25">
      <c r="B94" s="5" t="s">
        <v>225</v>
      </c>
      <c r="C94" s="11">
        <f>$C$11+$C$12/C91</f>
        <v>6102542.998674108</v>
      </c>
    </row>
    <row r="95" spans="2:3" x14ac:dyDescent="0.25">
      <c r="B95" s="5" t="s">
        <v>226</v>
      </c>
      <c r="C95" s="11">
        <f>$C$13+$C$14/C91</f>
        <v>1724951.8193121755</v>
      </c>
    </row>
    <row r="96" spans="2:4" x14ac:dyDescent="0.25">
      <c r="B96" s="5" t="s">
        <v>227</v>
      </c>
      <c r="C96" s="11">
        <f>D88/C91</f>
        <v>181945.30055082223</v>
      </c>
      <c r="D96" s="11">
        <f>D89/C91</f>
        <v>71707.85374650052</v>
      </c>
    </row>
    <row r="97" spans="2:3" x14ac:dyDescent="0.25">
      <c r="B97" s="5" t="s">
        <v>228</v>
      </c>
      <c r="C97" s="11">
        <f>MAX($C$19,C86*C92)</f>
        <v>4394667</v>
      </c>
    </row>
    <row r="98" spans="2:3" x14ac:dyDescent="0.25">
      <c r="B98" s="5" t="s">
        <v>229</v>
      </c>
      <c r="C98" s="11">
        <f>$C$16+$C$17+C96+D96</f>
        <v>11753653.154297322</v>
      </c>
    </row>
    <row r="99" spans="2:12" x14ac:dyDescent="0.25">
      <c r="B99" s="19" t="s">
        <v>230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 spans="2:12" x14ac:dyDescent="0.25">
      <c r="B100" s="23" t="s">
        <v>231</v>
      </c>
      <c r="D100" s="23" t="s">
        <v>232</v>
      </c>
      <c r="E100" s="23" t="s">
        <v>233</v>
      </c>
      <c r="F100" s="23" t="s">
        <v>234</v>
      </c>
      <c r="G100" s="23" t="s">
        <v>235</v>
      </c>
      <c r="H100" s="23" t="s">
        <v>236</v>
      </c>
      <c r="I100" s="23" t="s">
        <v>237</v>
      </c>
      <c r="J100" s="23" t="s">
        <v>114</v>
      </c>
      <c r="K100" s="23" t="s">
        <v>238</v>
      </c>
      <c r="L100" s="23" t="s">
        <v>239</v>
      </c>
    </row>
    <row r="101" spans="2:10" x14ac:dyDescent="0.25">
      <c r="B101" s="5" t="s">
        <v>240</v>
      </c>
      <c r="D101" s="8">
        <f>$C$7</f>
      </c>
      <c r="E101" s="8">
        <f>Assumptions!C53</f>
        <v>300000000</v>
      </c>
      <c r="F101" s="8">
        <f>Assumptions!C52</f>
        <v>100000000</v>
      </c>
      <c r="G101" s="8">
        <f>Assumptions!C51</f>
        <v>60000000</v>
      </c>
      <c r="H101" s="8">
        <f>Assumptions!C50</f>
        <v>30000000</v>
      </c>
      <c r="I101" s="8">
        <f>Assumptions!C49</f>
        <v>15000000</v>
      </c>
      <c r="J101" s="8">
        <f>Assumptions!C48</f>
        <v>5000000</v>
      </c>
    </row>
    <row r="102" spans="2:10" x14ac:dyDescent="0.25">
      <c r="B102" s="5" t="s">
        <v>241</v>
      </c>
      <c r="D102" s="11">
        <f>C93</f>
        <v>609516.7568452543</v>
      </c>
      <c r="E102" s="11">
        <f>C94</f>
        <v>6102542.998674108</v>
      </c>
      <c r="F102" s="11">
        <f>C95</f>
        <v>1724951.8193121755</v>
      </c>
      <c r="G102" s="11">
        <f>Assumptions!C43</f>
        <v>2400000</v>
      </c>
      <c r="H102" s="11">
        <f>Assumptions!C42</f>
        <v>3000000</v>
      </c>
      <c r="I102" s="11">
        <f>Assumptions!C41</f>
        <v>5000000</v>
      </c>
      <c r="J102" s="11">
        <f>Assumptions!C40</f>
        <v>5000000</v>
      </c>
    </row>
    <row r="103" spans="2:12" x14ac:dyDescent="0.25">
      <c r="B103" s="5" t="s">
        <v>242</v>
      </c>
      <c r="D103" s="5" t="s">
        <v>243</v>
      </c>
      <c r="E103" s="5" t="s">
        <v>243</v>
      </c>
      <c r="F103" s="5" t="s">
        <v>243</v>
      </c>
      <c r="G103" s="5" t="s">
        <v>243</v>
      </c>
      <c r="H103" s="5" t="s">
        <v>243</v>
      </c>
      <c r="I103" s="5" t="s">
        <v>243</v>
      </c>
      <c r="J103" s="5" t="s">
        <v>243</v>
      </c>
      <c r="K103" s="8">
        <f>IF(D103="preference",D101,0)+IF(E103="preference",E101,0)+IF(F103="preference",F101,0)+IF(G103="preference",G101,0)+IF(H103="preference",H101,0)+IF(I103="preference",I101,0)+IF(J103="preference",J101,0)</f>
        <v>0</v>
      </c>
      <c r="L103" s="11">
        <f>IF(D103="convert",D102,0)+IF(E103="convert",E102,0)+IF(F103="convert",F102,0)+IF(G103="convert",G102,0)+IF(H103="convert",H102,0)+IF(I103="convert",I102,0)+IF(J103="convert",J102,0)</f>
        <v>23837011.574831538</v>
      </c>
    </row>
    <row r="104" spans="2:12" x14ac:dyDescent="0.25">
      <c r="B104" s="5" t="s">
        <v>244</v>
      </c>
      <c r="D104" s="5" t="str">
        <f>IF(D$101&gt;((($C$23+$C$17*$C$18)-(K103-IF(D103="preference",D$101,0)))/(C$98+(L103-IF(D103="convert",D$102,0))+D$102)*D$102),"preference","convert")</f>
        <v>convert</v>
      </c>
      <c r="E104" s="5" t="str">
        <f>IF(E$101&gt;((($C$23+$C$17*$C$18)-(K103-IF(E103="preference",E$101,0)))/(C$98+(L103-IF(E103="convert",E$102,0))+E$102)*E$102),"preference","convert")</f>
        <v>convert</v>
      </c>
      <c r="F104" s="5" t="str">
        <f>IF(F$101&gt;((($C$23+$C$17*$C$18)-(K103-IF(F103="preference",F$101,0)))/(C$98+(L103-IF(F103="convert",F$102,0))+F$102)*F$102),"preference","convert")</f>
        <v>preference</v>
      </c>
      <c r="G104" s="5" t="str">
        <f>IF(G$101&gt;((($C$23+$C$17*$C$18)-(K103-IF(G103="preference",G$101,0)))/(C$98+(L103-IF(G103="convert",G$102,0))+G$102)*G$102),"preference","convert")</f>
        <v>convert</v>
      </c>
      <c r="H104" s="5" t="str">
        <f>IF(H$101&gt;((($C$23+$C$17*$C$18)-(K103-IF(H103="preference",H$101,0)))/(C$98+(L103-IF(H103="convert",H$102,0))+H$102)*H$102),"preference","convert")</f>
        <v>convert</v>
      </c>
      <c r="I104" s="5" t="str">
        <f>IF(I$101&gt;((($C$23+$C$17*$C$18)-(K103-IF(I103="preference",I$101,0)))/(C$98+(L103-IF(I103="convert",I$102,0))+I$102)*I$102),"preference","convert")</f>
        <v>convert</v>
      </c>
      <c r="J104" s="5" t="str">
        <f>IF(J$101&gt;((($C$23+$C$17*$C$18)-(K103-IF(J103="preference",J$101,0)))/(C$98+(L103-IF(J103="convert",J$102,0))+J$102)*J$102),"preference","convert")</f>
        <v>convert</v>
      </c>
      <c r="K104" s="8">
        <f>IF(D104="preference",D101,0)+IF(E104="preference",E101,0)+IF(F104="preference",F101,0)+IF(G104="preference",G101,0)+IF(H104="preference",H101,0)+IF(I104="preference",I101,0)+IF(J104="preference",J101,0)</f>
        <v>100000000</v>
      </c>
      <c r="L104" s="11">
        <f>IF(D104="convert",D102,0)+IF(E104="convert",E102,0)+IF(F104="convert",F102,0)+IF(G104="convert",G102,0)+IF(H104="convert",H102,0)+IF(I104="convert",I102,0)+IF(J104="convert",J102,0)</f>
        <v>22112059.75551936</v>
      </c>
    </row>
    <row r="105" spans="2:12" x14ac:dyDescent="0.25">
      <c r="B105" s="5" t="s">
        <v>245</v>
      </c>
      <c r="D105" s="5" t="str">
        <f>IF(D$101&gt;((($C$23+$C$17*$C$18)-(K104-IF(D104="preference",D$101,0)))/(C$98+(L104-IF(D104="convert",D$102,0))+D$102)*D$102),"preference","convert")</f>
        <v>convert</v>
      </c>
      <c r="E105" s="5" t="str">
        <f>IF(E$101&gt;((($C$23+$C$17*$C$18)-(K104-IF(E104="preference",E$101,0)))/(C$98+(L104-IF(E104="convert",E$102,0))+E$102)*E$102),"preference","convert")</f>
        <v>convert</v>
      </c>
      <c r="F105" s="5" t="str">
        <f>IF(F$101&gt;((($C$23+$C$17*$C$18)-(K104-IF(F104="preference",F$101,0)))/(C$98+(L104-IF(F104="convert",F$102,0))+F$102)*F$102),"preference","convert")</f>
        <v>preference</v>
      </c>
      <c r="G105" s="5" t="str">
        <f>IF(G$101&gt;((($C$23+$C$17*$C$18)-(K104-IF(G104="preference",G$101,0)))/(C$98+(L104-IF(G104="convert",G$102,0))+G$102)*G$102),"preference","convert")</f>
        <v>convert</v>
      </c>
      <c r="H105" s="5" t="str">
        <f>IF(H$101&gt;((($C$23+$C$17*$C$18)-(K104-IF(H104="preference",H$101,0)))/(C$98+(L104-IF(H104="convert",H$102,0))+H$102)*H$102),"preference","convert")</f>
        <v>convert</v>
      </c>
      <c r="I105" s="5" t="str">
        <f>IF(I$101&gt;((($C$23+$C$17*$C$18)-(K104-IF(I104="preference",I$101,0)))/(C$98+(L104-IF(I104="convert",I$102,0))+I$102)*I$102),"preference","convert")</f>
        <v>convert</v>
      </c>
      <c r="J105" s="5" t="str">
        <f>IF(J$101&gt;((($C$23+$C$17*$C$18)-(K104-IF(J104="preference",J$101,0)))/(C$98+(L104-IF(J104="convert",J$102,0))+J$102)*J$102),"preference","convert")</f>
        <v>convert</v>
      </c>
      <c r="K105" s="8">
        <f>IF(D105="preference",D101,0)+IF(E105="preference",E101,0)+IF(F105="preference",F101,0)+IF(G105="preference",G101,0)+IF(H105="preference",H101,0)+IF(I105="preference",I101,0)+IF(J105="preference",J101,0)</f>
        <v>100000000</v>
      </c>
      <c r="L105" s="11">
        <f>IF(D105="convert",D102,0)+IF(E105="convert",E102,0)+IF(F105="convert",F102,0)+IF(G105="convert",G102,0)+IF(H105="convert",H102,0)+IF(I105="convert",I102,0)+IF(J105="convert",J102,0)</f>
        <v>22112059.75551936</v>
      </c>
    </row>
    <row r="106" spans="2:12" x14ac:dyDescent="0.25">
      <c r="B106" s="5" t="s">
        <v>246</v>
      </c>
      <c r="D106" s="5" t="str">
        <f>IF(D$101&gt;((($C$23+$C$17*$C$18)-(K105-IF(D105="preference",D$101,0)))/(C$98+(L105-IF(D105="convert",D$102,0))+D$102)*D$102),"preference","convert")</f>
        <v>convert</v>
      </c>
      <c r="E106" s="5" t="str">
        <f>IF(E$101&gt;((($C$23+$C$17*$C$18)-(K105-IF(E105="preference",E$101,0)))/(C$98+(L105-IF(E105="convert",E$102,0))+E$102)*E$102),"preference","convert")</f>
        <v>convert</v>
      </c>
      <c r="F106" s="5" t="str">
        <f>IF(F$101&gt;((($C$23+$C$17*$C$18)-(K105-IF(F105="preference",F$101,0)))/(C$98+(L105-IF(F105="convert",F$102,0))+F$102)*F$102),"preference","convert")</f>
        <v>preference</v>
      </c>
      <c r="G106" s="5" t="str">
        <f>IF(G$101&gt;((($C$23+$C$17*$C$18)-(K105-IF(G105="preference",G$101,0)))/(C$98+(L105-IF(G105="convert",G$102,0))+G$102)*G$102),"preference","convert")</f>
        <v>convert</v>
      </c>
      <c r="H106" s="5" t="str">
        <f>IF(H$101&gt;((($C$23+$C$17*$C$18)-(K105-IF(H105="preference",H$101,0)))/(C$98+(L105-IF(H105="convert",H$102,0))+H$102)*H$102),"preference","convert")</f>
        <v>convert</v>
      </c>
      <c r="I106" s="5" t="str">
        <f>IF(I$101&gt;((($C$23+$C$17*$C$18)-(K105-IF(I105="preference",I$101,0)))/(C$98+(L105-IF(I105="convert",I$102,0))+I$102)*I$102),"preference","convert")</f>
        <v>convert</v>
      </c>
      <c r="J106" s="5" t="str">
        <f>IF(J$101&gt;((($C$23+$C$17*$C$18)-(K105-IF(J105="preference",J$101,0)))/(C$98+(L105-IF(J105="convert",J$102,0))+J$102)*J$102),"preference","convert")</f>
        <v>convert</v>
      </c>
      <c r="K106" s="8">
        <f>IF(D106="preference",D101,0)+IF(E106="preference",E101,0)+IF(F106="preference",F101,0)+IF(G106="preference",G101,0)+IF(H106="preference",H101,0)+IF(I106="preference",I101,0)+IF(J106="preference",J101,0)</f>
        <v>100000000</v>
      </c>
      <c r="L106" s="11">
        <f>IF(D106="convert",D102,0)+IF(E106="convert",E102,0)+IF(F106="convert",F102,0)+IF(G106="convert",G102,0)+IF(H106="convert",H102,0)+IF(I106="convert",I102,0)+IF(J106="convert",J102,0)</f>
        <v>22112059.75551936</v>
      </c>
    </row>
    <row r="107" spans="2:12" x14ac:dyDescent="0.25">
      <c r="B107" s="5" t="s">
        <v>247</v>
      </c>
      <c r="D107" s="5" t="str">
        <f>IF(D$101&gt;((($C$23+$C$17*$C$18)-(K106-IF(D106="preference",D$101,0)))/(C$98+(L106-IF(D106="convert",D$102,0))+D$102)*D$102),"preference","convert")</f>
        <v>convert</v>
      </c>
      <c r="E107" s="5" t="str">
        <f>IF(E$101&gt;((($C$23+$C$17*$C$18)-(K106-IF(E106="preference",E$101,0)))/(C$98+(L106-IF(E106="convert",E$102,0))+E$102)*E$102),"preference","convert")</f>
        <v>convert</v>
      </c>
      <c r="F107" s="5" t="str">
        <f>IF(F$101&gt;((($C$23+$C$17*$C$18)-(K106-IF(F106="preference",F$101,0)))/(C$98+(L106-IF(F106="convert",F$102,0))+F$102)*F$102),"preference","convert")</f>
        <v>preference</v>
      </c>
      <c r="G107" s="5" t="str">
        <f>IF(G$101&gt;((($C$23+$C$17*$C$18)-(K106-IF(G106="preference",G$101,0)))/(C$98+(L106-IF(G106="convert",G$102,0))+G$102)*G$102),"preference","convert")</f>
        <v>convert</v>
      </c>
      <c r="H107" s="5" t="str">
        <f>IF(H$101&gt;((($C$23+$C$17*$C$18)-(K106-IF(H106="preference",H$101,0)))/(C$98+(L106-IF(H106="convert",H$102,0))+H$102)*H$102),"preference","convert")</f>
        <v>convert</v>
      </c>
      <c r="I107" s="5" t="str">
        <f>IF(I$101&gt;((($C$23+$C$17*$C$18)-(K106-IF(I106="preference",I$101,0)))/(C$98+(L106-IF(I106="convert",I$102,0))+I$102)*I$102),"preference","convert")</f>
        <v>convert</v>
      </c>
      <c r="J107" s="5" t="str">
        <f>IF(J$101&gt;((($C$23+$C$17*$C$18)-(K106-IF(J106="preference",J$101,0)))/(C$98+(L106-IF(J106="convert",J$102,0))+J$102)*J$102),"preference","convert")</f>
        <v>convert</v>
      </c>
      <c r="K107" s="8">
        <f>IF(D107="preference",D101,0)+IF(E107="preference",E101,0)+IF(F107="preference",F101,0)+IF(G107="preference",G101,0)+IF(H107="preference",H101,0)+IF(I107="preference",I101,0)+IF(J107="preference",J101,0)</f>
        <v>100000000</v>
      </c>
      <c r="L107" s="11">
        <f>IF(D107="convert",D102,0)+IF(E107="convert",E102,0)+IF(F107="convert",F102,0)+IF(G107="convert",G102,0)+IF(H107="convert",H102,0)+IF(I107="convert",I102,0)+IF(J107="convert",J102,0)</f>
        <v>22112059.75551936</v>
      </c>
    </row>
    <row r="108" spans="2:12" x14ac:dyDescent="0.25">
      <c r="B108" s="12" t="s">
        <v>248</v>
      </c>
      <c r="D108" s="12" t="str">
        <f>IF(D$101&gt;((($C$23+$C$17*$C$18)-(K107-IF(D107="preference",D$101,0)))/(C$98+(L107-IF(D107="convert",D$102,0))+D$102)*D$102),"preference","convert")</f>
        <v>convert</v>
      </c>
      <c r="E108" s="12" t="str">
        <f>IF(E$101&gt;((($C$23+$C$17*$C$18)-(K107-IF(E107="preference",E$101,0)))/(C$98+(L107-IF(E107="convert",E$102,0))+E$102)*E$102),"preference","convert")</f>
        <v>convert</v>
      </c>
      <c r="F108" s="12" t="str">
        <f>IF(F$101&gt;((($C$23+$C$17*$C$18)-(K107-IF(F107="preference",F$101,0)))/(C$98+(L107-IF(F107="convert",F$102,0))+F$102)*F$102),"preference","convert")</f>
        <v>preference</v>
      </c>
      <c r="G108" s="12" t="str">
        <f>IF(G$101&gt;((($C$23+$C$17*$C$18)-(K107-IF(G107="preference",G$101,0)))/(C$98+(L107-IF(G107="convert",G$102,0))+G$102)*G$102),"preference","convert")</f>
        <v>convert</v>
      </c>
      <c r="H108" s="12" t="str">
        <f>IF(H$101&gt;((($C$23+$C$17*$C$18)-(K107-IF(H107="preference",H$101,0)))/(C$98+(L107-IF(H107="convert",H$102,0))+H$102)*H$102),"preference","convert")</f>
        <v>convert</v>
      </c>
      <c r="I108" s="12" t="str">
        <f>IF(I$101&gt;((($C$23+$C$17*$C$18)-(K107-IF(I107="preference",I$101,0)))/(C$98+(L107-IF(I107="convert",I$102,0))+I$102)*I$102),"preference","convert")</f>
        <v>convert</v>
      </c>
      <c r="J108" s="12" t="str">
        <f>IF(J$101&gt;((($C$23+$C$17*$C$18)-(K107-IF(J107="preference",J$101,0)))/(C$98+(L107-IF(J107="convert",J$102,0))+J$102)*J$102),"preference","convert")</f>
        <v>convert</v>
      </c>
      <c r="K108" s="8">
        <f>IF(D108="preference",D101,0)+IF(E108="preference",E101,0)+IF(F108="preference",F101,0)+IF(G108="preference",G101,0)+IF(H108="preference",H101,0)+IF(I108="preference",I101,0)+IF(J108="preference",J101,0)</f>
        <v>100000000</v>
      </c>
      <c r="L108" s="11">
        <f>IF(D108="convert",D102,0)+IF(E108="convert",E102,0)+IF(F108="convert",F102,0)+IF(G108="convert",G102,0)+IF(H108="convert",H102,0)+IF(I108="convert",I102,0)+IF(J108="convert",J102,0)</f>
        <v>22112059.75551936</v>
      </c>
    </row>
    <row r="109" spans="2:3" x14ac:dyDescent="0.25">
      <c r="B109" s="12" t="s">
        <v>249</v>
      </c>
      <c r="C109" s="21">
        <f>(($C$23+$C$17*$C$18)-K108)/(C98+L108)</f>
        <v>56.17776318680481</v>
      </c>
    </row>
    <row r="110" spans="2:4" x14ac:dyDescent="0.25">
      <c r="B110" s="5" t="s">
        <v>250</v>
      </c>
      <c r="C110" s="5" t="str">
        <f>D108</f>
        <v>convert</v>
      </c>
      <c r="D110" s="8">
        <f>IF(D108="preference",$C$24,C109*$C$24/C91)</f>
        <v>11413762.674813997</v>
      </c>
    </row>
    <row r="111" spans="2:3" x14ac:dyDescent="0.25">
      <c r="B111" s="12" t="s">
        <v>251</v>
      </c>
      <c r="C111" s="27">
        <f>($C$24/C91)/C92</f>
        <v>0.005464480874316939</v>
      </c>
    </row>
    <row r="112" spans="2:12" x14ac:dyDescent="0.25">
      <c r="B112" s="19" t="s">
        <v>254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 spans="2:3" x14ac:dyDescent="0.25">
      <c r="B113" s="5" t="s">
        <v>216</v>
      </c>
      <c r="C113" s="16">
        <f>Assumptions!C72</f>
        <v>1200000000</v>
      </c>
    </row>
    <row r="114" spans="2:3" x14ac:dyDescent="0.25">
      <c r="B114" s="5" t="s">
        <v>217</v>
      </c>
      <c r="C114" s="17">
        <f>Assumptions!D71</f>
        <v>0.13</v>
      </c>
    </row>
    <row r="115" spans="2:3" x14ac:dyDescent="0.25">
      <c r="B115" s="5" t="s">
        <v>218</v>
      </c>
      <c r="C115" s="8">
        <f>C113+$C$7</f>
        <v>1230000000</v>
      </c>
    </row>
    <row r="116" spans="2:4" x14ac:dyDescent="0.25">
      <c r="B116" s="5" t="s">
        <v>219</v>
      </c>
      <c r="C116" s="11" t="str">
        <f>IF(C113&gt;$C$22,"cap","discount")</f>
        <v>discount</v>
      </c>
      <c r="D116" s="11">
        <f>IF(C116="cap",$C$20*C113/($D$20+$C$20),$C$20/(1-$E$20))</f>
        <v>6250000</v>
      </c>
    </row>
    <row r="117" spans="2:4" x14ac:dyDescent="0.25">
      <c r="B117" s="5" t="s">
        <v>220</v>
      </c>
      <c r="C117" s="11" t="str">
        <f>IF(C113&gt;$D$22,"cap","discount")</f>
        <v>discount</v>
      </c>
      <c r="D117" s="11">
        <f>IF(C117="cap",$C$21*C113/($D$21+$C$21),$C$21/(1-$E$21))</f>
        <v>3529411.7647058824</v>
      </c>
    </row>
    <row r="118" spans="2:3" x14ac:dyDescent="0.25">
      <c r="B118" s="5" t="s">
        <v>221</v>
      </c>
      <c r="C118" s="8">
        <f>(1-C114)*C115-$C$7-$C$12-$C$14-D116-D117</f>
        <v>1024012751.6938725</v>
      </c>
    </row>
    <row r="119" spans="2:3" x14ac:dyDescent="0.25">
      <c r="B119" s="12" t="s">
        <v>222</v>
      </c>
      <c r="C119" s="21">
        <f>C118/$C$15</f>
        <v>31.90136759115282</v>
      </c>
    </row>
    <row r="120" spans="2:3" x14ac:dyDescent="0.25">
      <c r="B120" s="5" t="s">
        <v>223</v>
      </c>
      <c r="C120" s="11">
        <f>C115/C119</f>
        <v>38556340.77396465</v>
      </c>
    </row>
    <row r="121" spans="2:3" x14ac:dyDescent="0.25">
      <c r="B121" s="5" t="s">
        <v>224</v>
      </c>
      <c r="C121" s="11">
        <f>$C$7/C119</f>
        <v>940398.5554625525</v>
      </c>
    </row>
    <row r="122" spans="2:3" x14ac:dyDescent="0.25">
      <c r="B122" s="5" t="s">
        <v>225</v>
      </c>
      <c r="C122" s="11">
        <f>$C$11+$C$12/C119</f>
        <v>6156783.052666737</v>
      </c>
    </row>
    <row r="123" spans="2:3" x14ac:dyDescent="0.25">
      <c r="B123" s="5" t="s">
        <v>226</v>
      </c>
      <c r="C123" s="11">
        <f>$C$13+$C$14/C119</f>
        <v>1740283.3753265296</v>
      </c>
    </row>
    <row r="124" spans="2:4" x14ac:dyDescent="0.25">
      <c r="B124" s="5" t="s">
        <v>227</v>
      </c>
      <c r="C124" s="11">
        <f>D116/C119</f>
        <v>195916.36572136512</v>
      </c>
      <c r="D124" s="11">
        <f>D117/C119</f>
        <v>110635.124172065</v>
      </c>
    </row>
    <row r="125" spans="2:3" x14ac:dyDescent="0.25">
      <c r="B125" s="5" t="s">
        <v>228</v>
      </c>
      <c r="C125" s="11">
        <f>MAX($C$19,C114*C120)</f>
        <v>5012324.300615405</v>
      </c>
    </row>
    <row r="126" spans="2:3" x14ac:dyDescent="0.25">
      <c r="B126" s="5" t="s">
        <v>229</v>
      </c>
      <c r="C126" s="11">
        <f>$C$16+$C$17+C124+D124</f>
        <v>11806551.48989343</v>
      </c>
    </row>
    <row r="127" spans="2:12" x14ac:dyDescent="0.25">
      <c r="B127" s="19" t="s">
        <v>230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 spans="2:12" x14ac:dyDescent="0.25">
      <c r="B128" s="23" t="s">
        <v>231</v>
      </c>
      <c r="D128" s="23" t="s">
        <v>232</v>
      </c>
      <c r="E128" s="23" t="s">
        <v>233</v>
      </c>
      <c r="F128" s="23" t="s">
        <v>234</v>
      </c>
      <c r="G128" s="23" t="s">
        <v>235</v>
      </c>
      <c r="H128" s="23" t="s">
        <v>236</v>
      </c>
      <c r="I128" s="23" t="s">
        <v>237</v>
      </c>
      <c r="J128" s="23" t="s">
        <v>114</v>
      </c>
      <c r="K128" s="23" t="s">
        <v>238</v>
      </c>
      <c r="L128" s="23" t="s">
        <v>239</v>
      </c>
    </row>
    <row r="129" spans="2:10" x14ac:dyDescent="0.25">
      <c r="B129" s="5" t="s">
        <v>240</v>
      </c>
      <c r="D129" s="8">
        <f>$C$7</f>
      </c>
      <c r="E129" s="8">
        <f>Assumptions!C53</f>
        <v>300000000</v>
      </c>
      <c r="F129" s="8">
        <f>Assumptions!C52</f>
        <v>100000000</v>
      </c>
      <c r="G129" s="8">
        <f>Assumptions!C51</f>
        <v>60000000</v>
      </c>
      <c r="H129" s="8">
        <f>Assumptions!C50</f>
        <v>30000000</v>
      </c>
      <c r="I129" s="8">
        <f>Assumptions!C49</f>
        <v>15000000</v>
      </c>
      <c r="J129" s="8">
        <f>Assumptions!C48</f>
        <v>5000000</v>
      </c>
    </row>
    <row r="130" spans="2:10" x14ac:dyDescent="0.25">
      <c r="B130" s="5" t="s">
        <v>241</v>
      </c>
      <c r="D130" s="11">
        <f>C121</f>
        <v>940398.5554625525</v>
      </c>
      <c r="E130" s="11">
        <f>C122</f>
        <v>6156783.052666737</v>
      </c>
      <c r="F130" s="11">
        <f>C123</f>
        <v>1740283.3753265296</v>
      </c>
      <c r="G130" s="11">
        <f>Assumptions!C43</f>
        <v>2400000</v>
      </c>
      <c r="H130" s="11">
        <f>Assumptions!C42</f>
        <v>3000000</v>
      </c>
      <c r="I130" s="11">
        <f>Assumptions!C41</f>
        <v>5000000</v>
      </c>
      <c r="J130" s="11">
        <f>Assumptions!C40</f>
        <v>5000000</v>
      </c>
    </row>
    <row r="131" spans="2:12" x14ac:dyDescent="0.25">
      <c r="B131" s="5" t="s">
        <v>242</v>
      </c>
      <c r="D131" s="5" t="s">
        <v>243</v>
      </c>
      <c r="E131" s="5" t="s">
        <v>243</v>
      </c>
      <c r="F131" s="5" t="s">
        <v>243</v>
      </c>
      <c r="G131" s="5" t="s">
        <v>243</v>
      </c>
      <c r="H131" s="5" t="s">
        <v>243</v>
      </c>
      <c r="I131" s="5" t="s">
        <v>243</v>
      </c>
      <c r="J131" s="5" t="s">
        <v>243</v>
      </c>
      <c r="K131" s="8">
        <f>IF(D131="preference",D129,0)+IF(E131="preference",E129,0)+IF(F131="preference",F129,0)+IF(G131="preference",G129,0)+IF(H131="preference",H129,0)+IF(I131="preference",I129,0)+IF(J131="preference",J129,0)</f>
        <v>0</v>
      </c>
      <c r="L131" s="11">
        <f>IF(D131="convert",D130,0)+IF(E131="convert",E130,0)+IF(F131="convert",F130,0)+IF(G131="convert",G130,0)+IF(H131="convert",H130,0)+IF(I131="convert",I130,0)+IF(J131="convert",J130,0)</f>
        <v>24237464.98345582</v>
      </c>
    </row>
    <row r="132" spans="2:12" x14ac:dyDescent="0.25">
      <c r="B132" s="5" t="s">
        <v>244</v>
      </c>
      <c r="D132" s="5" t="str">
        <f>IF(D$129&gt;((($C$23+$C$17*$C$18)-(K131-IF(D131="preference",D$129,0)))/(C$126+(L131-IF(D131="convert",D$130,0))+D$130)*D$130),"preference","convert")</f>
        <v>convert</v>
      </c>
      <c r="E132" s="5" t="str">
        <f>IF(E$129&gt;((($C$23+$C$17*$C$18)-(K131-IF(E131="preference",E$129,0)))/(C$126+(L131-IF(E131="convert",E$130,0))+E$130)*E$130),"preference","convert")</f>
        <v>convert</v>
      </c>
      <c r="F132" s="5" t="str">
        <f>IF(F$129&gt;((($C$23+$C$17*$C$18)-(K131-IF(F131="preference",F$129,0)))/(C$126+(L131-IF(F131="convert",F$130,0))+F$130)*F$130),"preference","convert")</f>
        <v>preference</v>
      </c>
      <c r="G132" s="5" t="str">
        <f>IF(G$129&gt;((($C$23+$C$17*$C$18)-(K131-IF(G131="preference",G$129,0)))/(C$126+(L131-IF(G131="convert",G$130,0))+G$130)*G$130),"preference","convert")</f>
        <v>convert</v>
      </c>
      <c r="H132" s="5" t="str">
        <f>IF(H$129&gt;((($C$23+$C$17*$C$18)-(K131-IF(H131="preference",H$129,0)))/(C$126+(L131-IF(H131="convert",H$130,0))+H$130)*H$130),"preference","convert")</f>
        <v>convert</v>
      </c>
      <c r="I132" s="5" t="str">
        <f>IF(I$129&gt;((($C$23+$C$17*$C$18)-(K131-IF(I131="preference",I$129,0)))/(C$126+(L131-IF(I131="convert",I$130,0))+I$130)*I$130),"preference","convert")</f>
        <v>convert</v>
      </c>
      <c r="J132" s="5" t="str">
        <f>IF(J$129&gt;((($C$23+$C$17*$C$18)-(K131-IF(J131="preference",J$129,0)))/(C$126+(L131-IF(J131="convert",J$130,0))+J$130)*J$130),"preference","convert")</f>
        <v>convert</v>
      </c>
      <c r="K132" s="8">
        <f>IF(D132="preference",D129,0)+IF(E132="preference",E129,0)+IF(F132="preference",F129,0)+IF(G132="preference",G129,0)+IF(H132="preference",H129,0)+IF(I132="preference",I129,0)+IF(J132="preference",J129,0)</f>
        <v>100000000</v>
      </c>
      <c r="L132" s="11">
        <f>IF(D132="convert",D130,0)+IF(E132="convert",E130,0)+IF(F132="convert",F130,0)+IF(G132="convert",G130,0)+IF(H132="convert",H130,0)+IF(I132="convert",I130,0)+IF(J132="convert",J130,0)</f>
        <v>22497181.60812929</v>
      </c>
    </row>
    <row r="133" spans="2:12" x14ac:dyDescent="0.25">
      <c r="B133" s="5" t="s">
        <v>245</v>
      </c>
      <c r="D133" s="5" t="str">
        <f>IF(D$129&gt;((($C$23+$C$17*$C$18)-(K132-IF(D132="preference",D$129,0)))/(C$126+(L132-IF(D132="convert",D$130,0))+D$130)*D$130),"preference","convert")</f>
        <v>convert</v>
      </c>
      <c r="E133" s="5" t="str">
        <f>IF(E$129&gt;((($C$23+$C$17*$C$18)-(K132-IF(E132="preference",E$129,0)))/(C$126+(L132-IF(E132="convert",E$130,0))+E$130)*E$130),"preference","convert")</f>
        <v>convert</v>
      </c>
      <c r="F133" s="5" t="str">
        <f>IF(F$129&gt;((($C$23+$C$17*$C$18)-(K132-IF(F132="preference",F$129,0)))/(C$126+(L132-IF(F132="convert",F$130,0))+F$130)*F$130),"preference","convert")</f>
        <v>preference</v>
      </c>
      <c r="G133" s="5" t="str">
        <f>IF(G$129&gt;((($C$23+$C$17*$C$18)-(K132-IF(G132="preference",G$129,0)))/(C$126+(L132-IF(G132="convert",G$130,0))+G$130)*G$130),"preference","convert")</f>
        <v>convert</v>
      </c>
      <c r="H133" s="5" t="str">
        <f>IF(H$129&gt;((($C$23+$C$17*$C$18)-(K132-IF(H132="preference",H$129,0)))/(C$126+(L132-IF(H132="convert",H$130,0))+H$130)*H$130),"preference","convert")</f>
        <v>convert</v>
      </c>
      <c r="I133" s="5" t="str">
        <f>IF(I$129&gt;((($C$23+$C$17*$C$18)-(K132-IF(I132="preference",I$129,0)))/(C$126+(L132-IF(I132="convert",I$130,0))+I$130)*I$130),"preference","convert")</f>
        <v>convert</v>
      </c>
      <c r="J133" s="5" t="str">
        <f>IF(J$129&gt;((($C$23+$C$17*$C$18)-(K132-IF(J132="preference",J$129,0)))/(C$126+(L132-IF(J132="convert",J$130,0))+J$130)*J$130),"preference","convert")</f>
        <v>convert</v>
      </c>
      <c r="K133" s="8">
        <f>IF(D133="preference",D129,0)+IF(E133="preference",E129,0)+IF(F133="preference",F129,0)+IF(G133="preference",G129,0)+IF(H133="preference",H129,0)+IF(I133="preference",I129,0)+IF(J133="preference",J129,0)</f>
        <v>100000000</v>
      </c>
      <c r="L133" s="11">
        <f>IF(D133="convert",D130,0)+IF(E133="convert",E130,0)+IF(F133="convert",F130,0)+IF(G133="convert",G130,0)+IF(H133="convert",H130,0)+IF(I133="convert",I130,0)+IF(J133="convert",J130,0)</f>
        <v>22497181.60812929</v>
      </c>
    </row>
    <row r="134" spans="2:12" x14ac:dyDescent="0.25">
      <c r="B134" s="5" t="s">
        <v>246</v>
      </c>
      <c r="D134" s="5" t="str">
        <f>IF(D$129&gt;((($C$23+$C$17*$C$18)-(K133-IF(D133="preference",D$129,0)))/(C$126+(L133-IF(D133="convert",D$130,0))+D$130)*D$130),"preference","convert")</f>
        <v>convert</v>
      </c>
      <c r="E134" s="5" t="str">
        <f>IF(E$129&gt;((($C$23+$C$17*$C$18)-(K133-IF(E133="preference",E$129,0)))/(C$126+(L133-IF(E133="convert",E$130,0))+E$130)*E$130),"preference","convert")</f>
        <v>convert</v>
      </c>
      <c r="F134" s="5" t="str">
        <f>IF(F$129&gt;((($C$23+$C$17*$C$18)-(K133-IF(F133="preference",F$129,0)))/(C$126+(L133-IF(F133="convert",F$130,0))+F$130)*F$130),"preference","convert")</f>
        <v>preference</v>
      </c>
      <c r="G134" s="5" t="str">
        <f>IF(G$129&gt;((($C$23+$C$17*$C$18)-(K133-IF(G133="preference",G$129,0)))/(C$126+(L133-IF(G133="convert",G$130,0))+G$130)*G$130),"preference","convert")</f>
        <v>convert</v>
      </c>
      <c r="H134" s="5" t="str">
        <f>IF(H$129&gt;((($C$23+$C$17*$C$18)-(K133-IF(H133="preference",H$129,0)))/(C$126+(L133-IF(H133="convert",H$130,0))+H$130)*H$130),"preference","convert")</f>
        <v>convert</v>
      </c>
      <c r="I134" s="5" t="str">
        <f>IF(I$129&gt;((($C$23+$C$17*$C$18)-(K133-IF(I133="preference",I$129,0)))/(C$126+(L133-IF(I133="convert",I$130,0))+I$130)*I$130),"preference","convert")</f>
        <v>convert</v>
      </c>
      <c r="J134" s="5" t="str">
        <f>IF(J$129&gt;((($C$23+$C$17*$C$18)-(K133-IF(J133="preference",J$129,0)))/(C$126+(L133-IF(J133="convert",J$130,0))+J$130)*J$130),"preference","convert")</f>
        <v>convert</v>
      </c>
      <c r="K134" s="8">
        <f>IF(D134="preference",D129,0)+IF(E134="preference",E129,0)+IF(F134="preference",F129,0)+IF(G134="preference",G129,0)+IF(H134="preference",H129,0)+IF(I134="preference",I129,0)+IF(J134="preference",J129,0)</f>
        <v>100000000</v>
      </c>
      <c r="L134" s="11">
        <f>IF(D134="convert",D130,0)+IF(E134="convert",E130,0)+IF(F134="convert",F130,0)+IF(G134="convert",G130,0)+IF(H134="convert",H130,0)+IF(I134="convert",I130,0)+IF(J134="convert",J130,0)</f>
        <v>22497181.60812929</v>
      </c>
    </row>
    <row r="135" spans="2:12" x14ac:dyDescent="0.25">
      <c r="B135" s="5" t="s">
        <v>247</v>
      </c>
      <c r="D135" s="5" t="str">
        <f>IF(D$129&gt;((($C$23+$C$17*$C$18)-(K134-IF(D134="preference",D$129,0)))/(C$126+(L134-IF(D134="convert",D$130,0))+D$130)*D$130),"preference","convert")</f>
        <v>convert</v>
      </c>
      <c r="E135" s="5" t="str">
        <f>IF(E$129&gt;((($C$23+$C$17*$C$18)-(K134-IF(E134="preference",E$129,0)))/(C$126+(L134-IF(E134="convert",E$130,0))+E$130)*E$130),"preference","convert")</f>
        <v>convert</v>
      </c>
      <c r="F135" s="5" t="str">
        <f>IF(F$129&gt;((($C$23+$C$17*$C$18)-(K134-IF(F134="preference",F$129,0)))/(C$126+(L134-IF(F134="convert",F$130,0))+F$130)*F$130),"preference","convert")</f>
        <v>preference</v>
      </c>
      <c r="G135" s="5" t="str">
        <f>IF(G$129&gt;((($C$23+$C$17*$C$18)-(K134-IF(G134="preference",G$129,0)))/(C$126+(L134-IF(G134="convert",G$130,0))+G$130)*G$130),"preference","convert")</f>
        <v>convert</v>
      </c>
      <c r="H135" s="5" t="str">
        <f>IF(H$129&gt;((($C$23+$C$17*$C$18)-(K134-IF(H134="preference",H$129,0)))/(C$126+(L134-IF(H134="convert",H$130,0))+H$130)*H$130),"preference","convert")</f>
        <v>convert</v>
      </c>
      <c r="I135" s="5" t="str">
        <f>IF(I$129&gt;((($C$23+$C$17*$C$18)-(K134-IF(I134="preference",I$129,0)))/(C$126+(L134-IF(I134="convert",I$130,0))+I$130)*I$130),"preference","convert")</f>
        <v>convert</v>
      </c>
      <c r="J135" s="5" t="str">
        <f>IF(J$129&gt;((($C$23+$C$17*$C$18)-(K134-IF(J134="preference",J$129,0)))/(C$126+(L134-IF(J134="convert",J$130,0))+J$130)*J$130),"preference","convert")</f>
        <v>convert</v>
      </c>
      <c r="K135" s="8">
        <f>IF(D135="preference",D129,0)+IF(E135="preference",E129,0)+IF(F135="preference",F129,0)+IF(G135="preference",G129,0)+IF(H135="preference",H129,0)+IF(I135="preference",I129,0)+IF(J135="preference",J129,0)</f>
        <v>100000000</v>
      </c>
      <c r="L135" s="11">
        <f>IF(D135="convert",D130,0)+IF(E135="convert",E130,0)+IF(F135="convert",F130,0)+IF(G135="convert",G130,0)+IF(H135="convert",H130,0)+IF(I135="convert",I130,0)+IF(J135="convert",J130,0)</f>
        <v>22497181.60812929</v>
      </c>
    </row>
    <row r="136" spans="2:12" x14ac:dyDescent="0.25">
      <c r="B136" s="12" t="s">
        <v>248</v>
      </c>
      <c r="D136" s="12" t="str">
        <f>IF(D$129&gt;((($C$23+$C$17*$C$18)-(K135-IF(D135="preference",D$129,0)))/(C$126+(L135-IF(D135="convert",D$130,0))+D$130)*D$130),"preference","convert")</f>
        <v>convert</v>
      </c>
      <c r="E136" s="12" t="str">
        <f>IF(E$129&gt;((($C$23+$C$17*$C$18)-(K135-IF(E135="preference",E$129,0)))/(C$126+(L135-IF(E135="convert",E$130,0))+E$130)*E$130),"preference","convert")</f>
        <v>convert</v>
      </c>
      <c r="F136" s="12" t="str">
        <f>IF(F$129&gt;((($C$23+$C$17*$C$18)-(K135-IF(F135="preference",F$129,0)))/(C$126+(L135-IF(F135="convert",F$130,0))+F$130)*F$130),"preference","convert")</f>
        <v>preference</v>
      </c>
      <c r="G136" s="12" t="str">
        <f>IF(G$129&gt;((($C$23+$C$17*$C$18)-(K135-IF(G135="preference",G$129,0)))/(C$126+(L135-IF(G135="convert",G$130,0))+G$130)*G$130),"preference","convert")</f>
        <v>convert</v>
      </c>
      <c r="H136" s="12" t="str">
        <f>IF(H$129&gt;((($C$23+$C$17*$C$18)-(K135-IF(H135="preference",H$129,0)))/(C$126+(L135-IF(H135="convert",H$130,0))+H$130)*H$130),"preference","convert")</f>
        <v>convert</v>
      </c>
      <c r="I136" s="12" t="str">
        <f>IF(I$129&gt;((($C$23+$C$17*$C$18)-(K135-IF(I135="preference",I$129,0)))/(C$126+(L135-IF(I135="convert",I$130,0))+I$130)*I$130),"preference","convert")</f>
        <v>convert</v>
      </c>
      <c r="J136" s="12" t="str">
        <f>IF(J$129&gt;((($C$23+$C$17*$C$18)-(K135-IF(J135="preference",J$129,0)))/(C$126+(L135-IF(J135="convert",J$130,0))+J$130)*J$130),"preference","convert")</f>
        <v>convert</v>
      </c>
      <c r="K136" s="8">
        <f>IF(D136="preference",D129,0)+IF(E136="preference",E129,0)+IF(F136="preference",F129,0)+IF(G136="preference",G129,0)+IF(H136="preference",H129,0)+IF(I136="preference",I129,0)+IF(J136="preference",J129,0)</f>
        <v>100000000</v>
      </c>
      <c r="L136" s="11">
        <f>IF(D136="convert",D130,0)+IF(E136="convert",E130,0)+IF(F136="convert",F130,0)+IF(G136="convert",G130,0)+IF(H136="convert",H130,0)+IF(I136="convert",I130,0)+IF(J136="convert",J130,0)</f>
        <v>22497181.60812929</v>
      </c>
    </row>
    <row r="137" spans="2:3" x14ac:dyDescent="0.25">
      <c r="B137" s="12" t="s">
        <v>249</v>
      </c>
      <c r="C137" s="21">
        <f>(($C$23+$C$17*$C$18)-K136)/(C126+L136)</f>
        <v>55.46043617362627</v>
      </c>
    </row>
    <row r="138" spans="2:4" x14ac:dyDescent="0.25">
      <c r="B138" s="5" t="s">
        <v>250</v>
      </c>
      <c r="C138" s="5" t="str">
        <f>D136</f>
        <v>convert</v>
      </c>
      <c r="D138" s="8">
        <f>IF(D136="preference",$C$24,C137*$C$24/C119)</f>
        <v>17384971.354333747</v>
      </c>
    </row>
    <row r="139" spans="2:3" x14ac:dyDescent="0.25">
      <c r="B139" s="12" t="s">
        <v>251</v>
      </c>
      <c r="C139" s="27">
        <f>($C$24/C119)/C120</f>
        <v>0.008130081300813009</v>
      </c>
    </row>
    <row r="140" spans="2:12" x14ac:dyDescent="0.25">
      <c r="B140" s="19" t="s">
        <v>255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</row>
    <row r="141" spans="2:3" x14ac:dyDescent="0.25">
      <c r="B141" s="5" t="s">
        <v>216</v>
      </c>
      <c r="C141" s="16">
        <f>Assumptions!D72</f>
        <v>1400000000</v>
      </c>
    </row>
    <row r="142" spans="2:3" x14ac:dyDescent="0.25">
      <c r="B142" s="5" t="s">
        <v>217</v>
      </c>
      <c r="C142" s="17">
        <f>Assumptions!D71</f>
        <v>0.13</v>
      </c>
    </row>
    <row r="143" spans="2:3" x14ac:dyDescent="0.25">
      <c r="B143" s="5" t="s">
        <v>218</v>
      </c>
      <c r="C143" s="8">
        <f>C141+$C$7</f>
        <v>1430000000</v>
      </c>
    </row>
    <row r="144" spans="2:4" x14ac:dyDescent="0.25">
      <c r="B144" s="5" t="s">
        <v>219</v>
      </c>
      <c r="C144" s="11" t="str">
        <f>IF(C141&gt;$C$22,"cap","discount")</f>
        <v>cap</v>
      </c>
      <c r="D144" s="11">
        <f>IF(C144="cap",$C$20*C141/($D$20+$C$20),$C$20/(1-$E$20))</f>
        <v>6965174.129353234</v>
      </c>
    </row>
    <row r="145" spans="2:4" x14ac:dyDescent="0.25">
      <c r="B145" s="5" t="s">
        <v>220</v>
      </c>
      <c r="C145" s="11" t="str">
        <f>IF(C141&gt;$D$22,"cap","discount")</f>
        <v>discount</v>
      </c>
      <c r="D145" s="11">
        <f>IF(C145="cap",$C$21*C141/($D$21+$C$21),$C$21/(1-$E$21))</f>
        <v>3529411.7647058824</v>
      </c>
    </row>
    <row r="146" spans="2:3" x14ac:dyDescent="0.25">
      <c r="B146" s="5" t="s">
        <v>221</v>
      </c>
      <c r="C146" s="8">
        <f>(1-C142)*C143-$C$7-$C$12-$C$14-D144-D145</f>
        <v>1197297577.5645194</v>
      </c>
    </row>
    <row r="147" spans="2:3" x14ac:dyDescent="0.25">
      <c r="B147" s="12" t="s">
        <v>222</v>
      </c>
      <c r="C147" s="21">
        <f>C146/$C$15</f>
        <v>37.29976025659983</v>
      </c>
    </row>
    <row r="148" spans="2:3" x14ac:dyDescent="0.25">
      <c r="B148" s="5" t="s">
        <v>223</v>
      </c>
      <c r="C148" s="11">
        <f>C143/C147</f>
        <v>38338048.023967534</v>
      </c>
    </row>
    <row r="149" spans="2:3" x14ac:dyDescent="0.25">
      <c r="B149" s="5" t="s">
        <v>224</v>
      </c>
      <c r="C149" s="11">
        <f>$C$7/C147</f>
        <v>804294.7137895287</v>
      </c>
    </row>
    <row r="150" spans="2:3" x14ac:dyDescent="0.25">
      <c r="B150" s="5" t="s">
        <v>225</v>
      </c>
      <c r="C150" s="11">
        <f>$C$11+$C$12/C147</f>
        <v>6134472.125466152</v>
      </c>
    </row>
    <row r="151" spans="2:3" x14ac:dyDescent="0.25">
      <c r="B151" s="5" t="s">
        <v>226</v>
      </c>
      <c r="C151" s="11">
        <f>$C$13+$C$14/C147</f>
        <v>1733976.9429960155</v>
      </c>
    </row>
    <row r="152" spans="2:4" x14ac:dyDescent="0.25">
      <c r="B152" s="5" t="s">
        <v>227</v>
      </c>
      <c r="C152" s="11">
        <f>D144/C147</f>
        <v>186735.091095413</v>
      </c>
      <c r="D152" s="11">
        <f>D145/C147</f>
        <v>94622.90750465044</v>
      </c>
    </row>
    <row r="153" spans="2:3" x14ac:dyDescent="0.25">
      <c r="B153" s="5" t="s">
        <v>228</v>
      </c>
      <c r="C153" s="11">
        <f>MAX($C$19,C142*C148)</f>
        <v>4983946.243115779</v>
      </c>
    </row>
    <row r="154" spans="2:3" x14ac:dyDescent="0.25">
      <c r="B154" s="5" t="s">
        <v>229</v>
      </c>
      <c r="C154" s="11">
        <f>$C$16+$C$17+C152+D152</f>
        <v>11781357.998600062</v>
      </c>
    </row>
    <row r="155" spans="2:12" x14ac:dyDescent="0.25">
      <c r="B155" s="19" t="s">
        <v>230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 spans="2:12" x14ac:dyDescent="0.25">
      <c r="B156" s="23" t="s">
        <v>231</v>
      </c>
      <c r="D156" s="23" t="s">
        <v>232</v>
      </c>
      <c r="E156" s="23" t="s">
        <v>233</v>
      </c>
      <c r="F156" s="23" t="s">
        <v>234</v>
      </c>
      <c r="G156" s="23" t="s">
        <v>235</v>
      </c>
      <c r="H156" s="23" t="s">
        <v>236</v>
      </c>
      <c r="I156" s="23" t="s">
        <v>237</v>
      </c>
      <c r="J156" s="23" t="s">
        <v>114</v>
      </c>
      <c r="K156" s="23" t="s">
        <v>238</v>
      </c>
      <c r="L156" s="23" t="s">
        <v>239</v>
      </c>
    </row>
    <row r="157" spans="2:10" x14ac:dyDescent="0.25">
      <c r="B157" s="5" t="s">
        <v>240</v>
      </c>
      <c r="D157" s="8">
        <f>$C$7</f>
      </c>
      <c r="E157" s="8">
        <f>Assumptions!C53</f>
        <v>300000000</v>
      </c>
      <c r="F157" s="8">
        <f>Assumptions!C52</f>
        <v>100000000</v>
      </c>
      <c r="G157" s="8">
        <f>Assumptions!C51</f>
        <v>60000000</v>
      </c>
      <c r="H157" s="8">
        <f>Assumptions!C50</f>
        <v>30000000</v>
      </c>
      <c r="I157" s="8">
        <f>Assumptions!C49</f>
        <v>15000000</v>
      </c>
      <c r="J157" s="8">
        <f>Assumptions!C48</f>
        <v>5000000</v>
      </c>
    </row>
    <row r="158" spans="2:10" x14ac:dyDescent="0.25">
      <c r="B158" s="5" t="s">
        <v>241</v>
      </c>
      <c r="D158" s="11">
        <f>C149</f>
        <v>804294.7137895287</v>
      </c>
      <c r="E158" s="11">
        <f>C150</f>
        <v>6134472.125466152</v>
      </c>
      <c r="F158" s="11">
        <f>C151</f>
        <v>1733976.9429960155</v>
      </c>
      <c r="G158" s="11">
        <f>Assumptions!C43</f>
        <v>2400000</v>
      </c>
      <c r="H158" s="11">
        <f>Assumptions!C42</f>
        <v>3000000</v>
      </c>
      <c r="I158" s="11">
        <f>Assumptions!C41</f>
        <v>5000000</v>
      </c>
      <c r="J158" s="11">
        <f>Assumptions!C40</f>
        <v>5000000</v>
      </c>
    </row>
    <row r="159" spans="2:12" x14ac:dyDescent="0.25">
      <c r="B159" s="5" t="s">
        <v>242</v>
      </c>
      <c r="D159" s="5" t="s">
        <v>243</v>
      </c>
      <c r="E159" s="5" t="s">
        <v>243</v>
      </c>
      <c r="F159" s="5" t="s">
        <v>243</v>
      </c>
      <c r="G159" s="5" t="s">
        <v>243</v>
      </c>
      <c r="H159" s="5" t="s">
        <v>243</v>
      </c>
      <c r="I159" s="5" t="s">
        <v>243</v>
      </c>
      <c r="J159" s="5" t="s">
        <v>243</v>
      </c>
      <c r="K159" s="8">
        <f>IF(D159="preference",D157,0)+IF(E159="preference",E157,0)+IF(F159="preference",F157,0)+IF(G159="preference",G157,0)+IF(H159="preference",H157,0)+IF(I159="preference",I157,0)+IF(J159="preference",J157,0)</f>
        <v>0</v>
      </c>
      <c r="L159" s="11">
        <f>IF(D159="convert",D158,0)+IF(E159="convert",E158,0)+IF(F159="convert",F158,0)+IF(G159="convert",G158,0)+IF(H159="convert",H158,0)+IF(I159="convert",I158,0)+IF(J159="convert",J158,0)</f>
        <v>24072743.782251693</v>
      </c>
    </row>
    <row r="160" spans="2:12" x14ac:dyDescent="0.25">
      <c r="B160" s="5" t="s">
        <v>244</v>
      </c>
      <c r="D160" s="5" t="str">
        <f>IF(D$157&gt;((($C$23+$C$17*$C$18)-(K159-IF(D159="preference",D$157,0)))/(C$154+(L159-IF(D159="convert",D$158,0))+D$158)*D$158),"preference","convert")</f>
        <v>convert</v>
      </c>
      <c r="E160" s="5" t="str">
        <f>IF(E$157&gt;((($C$23+$C$17*$C$18)-(K159-IF(E159="preference",E$157,0)))/(C$154+(L159-IF(E159="convert",E$158,0))+E$158)*E$158),"preference","convert")</f>
        <v>convert</v>
      </c>
      <c r="F160" s="5" t="str">
        <f>IF(F$157&gt;((($C$23+$C$17*$C$18)-(K159-IF(F159="preference",F$157,0)))/(C$154+(L159-IF(F159="convert",F$158,0))+F$158)*F$158),"preference","convert")</f>
        <v>preference</v>
      </c>
      <c r="G160" s="5" t="str">
        <f>IF(G$157&gt;((($C$23+$C$17*$C$18)-(K159-IF(G159="preference",G$157,0)))/(C$154+(L159-IF(G159="convert",G$158,0))+G$158)*G$158),"preference","convert")</f>
        <v>convert</v>
      </c>
      <c r="H160" s="5" t="str">
        <f>IF(H$157&gt;((($C$23+$C$17*$C$18)-(K159-IF(H159="preference",H$157,0)))/(C$154+(L159-IF(H159="convert",H$158,0))+H$158)*H$158),"preference","convert")</f>
        <v>convert</v>
      </c>
      <c r="I160" s="5" t="str">
        <f>IF(I$157&gt;((($C$23+$C$17*$C$18)-(K159-IF(I159="preference",I$157,0)))/(C$154+(L159-IF(I159="convert",I$158,0))+I$158)*I$158),"preference","convert")</f>
        <v>convert</v>
      </c>
      <c r="J160" s="5" t="str">
        <f>IF(J$157&gt;((($C$23+$C$17*$C$18)-(K159-IF(J159="preference",J$157,0)))/(C$154+(L159-IF(J159="convert",J$158,0))+J$158)*J$158),"preference","convert")</f>
        <v>convert</v>
      </c>
      <c r="K160" s="8">
        <f>IF(D160="preference",D157,0)+IF(E160="preference",E157,0)+IF(F160="preference",F157,0)+IF(G160="preference",G157,0)+IF(H160="preference",H157,0)+IF(I160="preference",I157,0)+IF(J160="preference",J157,0)</f>
        <v>100000000</v>
      </c>
      <c r="L160" s="11">
        <f>IF(D160="convert",D158,0)+IF(E160="convert",E158,0)+IF(F160="convert",F158,0)+IF(G160="convert",G158,0)+IF(H160="convert",H158,0)+IF(I160="convert",I158,0)+IF(J160="convert",J158,0)</f>
        <v>22338766.83925568</v>
      </c>
    </row>
    <row r="161" spans="2:12" x14ac:dyDescent="0.25">
      <c r="B161" s="5" t="s">
        <v>245</v>
      </c>
      <c r="D161" s="5" t="str">
        <f>IF(D$157&gt;((($C$23+$C$17*$C$18)-(K160-IF(D160="preference",D$157,0)))/(C$154+(L160-IF(D160="convert",D$158,0))+D$158)*D$158),"preference","convert")</f>
        <v>convert</v>
      </c>
      <c r="E161" s="5" t="str">
        <f>IF(E$157&gt;((($C$23+$C$17*$C$18)-(K160-IF(E160="preference",E$157,0)))/(C$154+(L160-IF(E160="convert",E$158,0))+E$158)*E$158),"preference","convert")</f>
        <v>convert</v>
      </c>
      <c r="F161" s="5" t="str">
        <f>IF(F$157&gt;((($C$23+$C$17*$C$18)-(K160-IF(F160="preference",F$157,0)))/(C$154+(L160-IF(F160="convert",F$158,0))+F$158)*F$158),"preference","convert")</f>
        <v>preference</v>
      </c>
      <c r="G161" s="5" t="str">
        <f>IF(G$157&gt;((($C$23+$C$17*$C$18)-(K160-IF(G160="preference",G$157,0)))/(C$154+(L160-IF(G160="convert",G$158,0))+G$158)*G$158),"preference","convert")</f>
        <v>convert</v>
      </c>
      <c r="H161" s="5" t="str">
        <f>IF(H$157&gt;((($C$23+$C$17*$C$18)-(K160-IF(H160="preference",H$157,0)))/(C$154+(L160-IF(H160="convert",H$158,0))+H$158)*H$158),"preference","convert")</f>
        <v>convert</v>
      </c>
      <c r="I161" s="5" t="str">
        <f>IF(I$157&gt;((($C$23+$C$17*$C$18)-(K160-IF(I160="preference",I$157,0)))/(C$154+(L160-IF(I160="convert",I$158,0))+I$158)*I$158),"preference","convert")</f>
        <v>convert</v>
      </c>
      <c r="J161" s="5" t="str">
        <f>IF(J$157&gt;((($C$23+$C$17*$C$18)-(K160-IF(J160="preference",J$157,0)))/(C$154+(L160-IF(J160="convert",J$158,0))+J$158)*J$158),"preference","convert")</f>
        <v>convert</v>
      </c>
      <c r="K161" s="8">
        <f>IF(D161="preference",D157,0)+IF(E161="preference",E157,0)+IF(F161="preference",F157,0)+IF(G161="preference",G157,0)+IF(H161="preference",H157,0)+IF(I161="preference",I157,0)+IF(J161="preference",J157,0)</f>
        <v>100000000</v>
      </c>
      <c r="L161" s="11">
        <f>IF(D161="convert",D158,0)+IF(E161="convert",E158,0)+IF(F161="convert",F158,0)+IF(G161="convert",G158,0)+IF(H161="convert",H158,0)+IF(I161="convert",I158,0)+IF(J161="convert",J158,0)</f>
        <v>22338766.83925568</v>
      </c>
    </row>
    <row r="162" spans="2:12" x14ac:dyDescent="0.25">
      <c r="B162" s="5" t="s">
        <v>246</v>
      </c>
      <c r="D162" s="5" t="str">
        <f>IF(D$157&gt;((($C$23+$C$17*$C$18)-(K161-IF(D161="preference",D$157,0)))/(C$154+(L161-IF(D161="convert",D$158,0))+D$158)*D$158),"preference","convert")</f>
        <v>convert</v>
      </c>
      <c r="E162" s="5" t="str">
        <f>IF(E$157&gt;((($C$23+$C$17*$C$18)-(K161-IF(E161="preference",E$157,0)))/(C$154+(L161-IF(E161="convert",E$158,0))+E$158)*E$158),"preference","convert")</f>
        <v>convert</v>
      </c>
      <c r="F162" s="5" t="str">
        <f>IF(F$157&gt;((($C$23+$C$17*$C$18)-(K161-IF(F161="preference",F$157,0)))/(C$154+(L161-IF(F161="convert",F$158,0))+F$158)*F$158),"preference","convert")</f>
        <v>preference</v>
      </c>
      <c r="G162" s="5" t="str">
        <f>IF(G$157&gt;((($C$23+$C$17*$C$18)-(K161-IF(G161="preference",G$157,0)))/(C$154+(L161-IF(G161="convert",G$158,0))+G$158)*G$158),"preference","convert")</f>
        <v>convert</v>
      </c>
      <c r="H162" s="5" t="str">
        <f>IF(H$157&gt;((($C$23+$C$17*$C$18)-(K161-IF(H161="preference",H$157,0)))/(C$154+(L161-IF(H161="convert",H$158,0))+H$158)*H$158),"preference","convert")</f>
        <v>convert</v>
      </c>
      <c r="I162" s="5" t="str">
        <f>IF(I$157&gt;((($C$23+$C$17*$C$18)-(K161-IF(I161="preference",I$157,0)))/(C$154+(L161-IF(I161="convert",I$158,0))+I$158)*I$158),"preference","convert")</f>
        <v>convert</v>
      </c>
      <c r="J162" s="5" t="str">
        <f>IF(J$157&gt;((($C$23+$C$17*$C$18)-(K161-IF(J161="preference",J$157,0)))/(C$154+(L161-IF(J161="convert",J$158,0))+J$158)*J$158),"preference","convert")</f>
        <v>convert</v>
      </c>
      <c r="K162" s="8">
        <f>IF(D162="preference",D157,0)+IF(E162="preference",E157,0)+IF(F162="preference",F157,0)+IF(G162="preference",G157,0)+IF(H162="preference",H157,0)+IF(I162="preference",I157,0)+IF(J162="preference",J157,0)</f>
        <v>100000000</v>
      </c>
      <c r="L162" s="11">
        <f>IF(D162="convert",D158,0)+IF(E162="convert",E158,0)+IF(F162="convert",F158,0)+IF(G162="convert",G158,0)+IF(H162="convert",H158,0)+IF(I162="convert",I158,0)+IF(J162="convert",J158,0)</f>
        <v>22338766.83925568</v>
      </c>
    </row>
    <row r="163" spans="2:12" x14ac:dyDescent="0.25">
      <c r="B163" s="5" t="s">
        <v>247</v>
      </c>
      <c r="D163" s="5" t="str">
        <f>IF(D$157&gt;((($C$23+$C$17*$C$18)-(K162-IF(D162="preference",D$157,0)))/(C$154+(L162-IF(D162="convert",D$158,0))+D$158)*D$158),"preference","convert")</f>
        <v>convert</v>
      </c>
      <c r="E163" s="5" t="str">
        <f>IF(E$157&gt;((($C$23+$C$17*$C$18)-(K162-IF(E162="preference",E$157,0)))/(C$154+(L162-IF(E162="convert",E$158,0))+E$158)*E$158),"preference","convert")</f>
        <v>convert</v>
      </c>
      <c r="F163" s="5" t="str">
        <f>IF(F$157&gt;((($C$23+$C$17*$C$18)-(K162-IF(F162="preference",F$157,0)))/(C$154+(L162-IF(F162="convert",F$158,0))+F$158)*F$158),"preference","convert")</f>
        <v>preference</v>
      </c>
      <c r="G163" s="5" t="str">
        <f>IF(G$157&gt;((($C$23+$C$17*$C$18)-(K162-IF(G162="preference",G$157,0)))/(C$154+(L162-IF(G162="convert",G$158,0))+G$158)*G$158),"preference","convert")</f>
        <v>convert</v>
      </c>
      <c r="H163" s="5" t="str">
        <f>IF(H$157&gt;((($C$23+$C$17*$C$18)-(K162-IF(H162="preference",H$157,0)))/(C$154+(L162-IF(H162="convert",H$158,0))+H$158)*H$158),"preference","convert")</f>
        <v>convert</v>
      </c>
      <c r="I163" s="5" t="str">
        <f>IF(I$157&gt;((($C$23+$C$17*$C$18)-(K162-IF(I162="preference",I$157,0)))/(C$154+(L162-IF(I162="convert",I$158,0))+I$158)*I$158),"preference","convert")</f>
        <v>convert</v>
      </c>
      <c r="J163" s="5" t="str">
        <f>IF(J$157&gt;((($C$23+$C$17*$C$18)-(K162-IF(J162="preference",J$157,0)))/(C$154+(L162-IF(J162="convert",J$158,0))+J$158)*J$158),"preference","convert")</f>
        <v>convert</v>
      </c>
      <c r="K163" s="8">
        <f>IF(D163="preference",D157,0)+IF(E163="preference",E157,0)+IF(F163="preference",F157,0)+IF(G163="preference",G157,0)+IF(H163="preference",H157,0)+IF(I163="preference",I157,0)+IF(J163="preference",J157,0)</f>
        <v>100000000</v>
      </c>
      <c r="L163" s="11">
        <f>IF(D163="convert",D158,0)+IF(E163="convert",E158,0)+IF(F163="convert",F158,0)+IF(G163="convert",G158,0)+IF(H163="convert",H158,0)+IF(I163="convert",I158,0)+IF(J163="convert",J158,0)</f>
        <v>22338766.83925568</v>
      </c>
    </row>
    <row r="164" spans="2:12" x14ac:dyDescent="0.25">
      <c r="B164" s="12" t="s">
        <v>248</v>
      </c>
      <c r="D164" s="12" t="str">
        <f>IF(D$157&gt;((($C$23+$C$17*$C$18)-(K163-IF(D163="preference",D$157,0)))/(C$154+(L163-IF(D163="convert",D$158,0))+D$158)*D$158),"preference","convert")</f>
        <v>convert</v>
      </c>
      <c r="E164" s="12" t="str">
        <f>IF(E$157&gt;((($C$23+$C$17*$C$18)-(K163-IF(E163="preference",E$157,0)))/(C$154+(L163-IF(E163="convert",E$158,0))+E$158)*E$158),"preference","convert")</f>
        <v>convert</v>
      </c>
      <c r="F164" s="12" t="str">
        <f>IF(F$157&gt;((($C$23+$C$17*$C$18)-(K163-IF(F163="preference",F$157,0)))/(C$154+(L163-IF(F163="convert",F$158,0))+F$158)*F$158),"preference","convert")</f>
        <v>preference</v>
      </c>
      <c r="G164" s="12" t="str">
        <f>IF(G$157&gt;((($C$23+$C$17*$C$18)-(K163-IF(G163="preference",G$157,0)))/(C$154+(L163-IF(G163="convert",G$158,0))+G$158)*G$158),"preference","convert")</f>
        <v>convert</v>
      </c>
      <c r="H164" s="12" t="str">
        <f>IF(H$157&gt;((($C$23+$C$17*$C$18)-(K163-IF(H163="preference",H$157,0)))/(C$154+(L163-IF(H163="convert",H$158,0))+H$158)*H$158),"preference","convert")</f>
        <v>convert</v>
      </c>
      <c r="I164" s="12" t="str">
        <f>IF(I$157&gt;((($C$23+$C$17*$C$18)-(K163-IF(I163="preference",I$157,0)))/(C$154+(L163-IF(I163="convert",I$158,0))+I$158)*I$158),"preference","convert")</f>
        <v>convert</v>
      </c>
      <c r="J164" s="12" t="str">
        <f>IF(J$157&gt;((($C$23+$C$17*$C$18)-(K163-IF(J163="preference",J$157,0)))/(C$154+(L163-IF(J163="convert",J$158,0))+J$158)*J$158),"preference","convert")</f>
        <v>convert</v>
      </c>
      <c r="K164" s="8">
        <f>IF(D164="preference",D157,0)+IF(E164="preference",E157,0)+IF(F164="preference",F157,0)+IF(G164="preference",G157,0)+IF(H164="preference",H157,0)+IF(I164="preference",I157,0)+IF(J164="preference",J157,0)</f>
        <v>100000000</v>
      </c>
      <c r="L164" s="11">
        <f>IF(D164="convert",D158,0)+IF(E164="convert",E158,0)+IF(F164="convert",F158,0)+IF(G164="convert",G158,0)+IF(H164="convert",H158,0)+IF(I164="convert",I158,0)+IF(J164="convert",J158,0)</f>
        <v>22338766.83925568</v>
      </c>
    </row>
    <row r="165" spans="2:3" x14ac:dyDescent="0.25">
      <c r="B165" s="12" t="s">
        <v>249</v>
      </c>
      <c r="C165" s="21">
        <f>(($C$23+$C$17*$C$18)-K164)/(C154+L164)</f>
        <v>55.75888157036302</v>
      </c>
    </row>
    <row r="166" spans="2:4" x14ac:dyDescent="0.25">
      <c r="B166" s="5" t="s">
        <v>250</v>
      </c>
      <c r="C166" s="5" t="str">
        <f>D164</f>
        <v>convert</v>
      </c>
      <c r="D166" s="8">
        <f>IF(D164="preference",$C$24,C165*$C$24/C147)</f>
        <v>14948857.89795312</v>
      </c>
    </row>
    <row r="167" spans="2:3" x14ac:dyDescent="0.25">
      <c r="B167" s="12" t="s">
        <v>251</v>
      </c>
      <c r="C167" s="27">
        <f>($C$24/C147)/C148</f>
        <v>0.006993006993006993</v>
      </c>
    </row>
    <row r="168" spans="2:12" x14ac:dyDescent="0.25">
      <c r="B168" s="19" t="s">
        <v>256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</row>
    <row r="169" spans="2:3" x14ac:dyDescent="0.25">
      <c r="B169" s="5" t="s">
        <v>216</v>
      </c>
      <c r="C169" s="16">
        <f>Assumptions!E72</f>
        <v>1800000000</v>
      </c>
    </row>
    <row r="170" spans="2:3" x14ac:dyDescent="0.25">
      <c r="B170" s="5" t="s">
        <v>217</v>
      </c>
      <c r="C170" s="17">
        <f>Assumptions!D71</f>
        <v>0.13</v>
      </c>
    </row>
    <row r="171" spans="2:3" x14ac:dyDescent="0.25">
      <c r="B171" s="5" t="s">
        <v>218</v>
      </c>
      <c r="C171" s="8">
        <f>C169+$C$7</f>
        <v>1830000000</v>
      </c>
    </row>
    <row r="172" spans="2:4" x14ac:dyDescent="0.25">
      <c r="B172" s="5" t="s">
        <v>219</v>
      </c>
      <c r="C172" s="11" t="str">
        <f>IF(C169&gt;$C$22,"cap","discount")</f>
        <v>cap</v>
      </c>
      <c r="D172" s="11">
        <f>IF(C172="cap",$C$20*C169/($D$20+$C$20),$C$20/(1-$E$20))</f>
        <v>8955223.880597016</v>
      </c>
    </row>
    <row r="173" spans="2:4" x14ac:dyDescent="0.25">
      <c r="B173" s="5" t="s">
        <v>220</v>
      </c>
      <c r="C173" s="11" t="str">
        <f>IF(C169&gt;$D$22,"cap","discount")</f>
        <v>discount</v>
      </c>
      <c r="D173" s="11">
        <f>IF(C173="cap",$C$21*C169/($D$21+$C$21),$C$21/(1-$E$21))</f>
        <v>3529411.7647058824</v>
      </c>
    </row>
    <row r="174" spans="2:3" x14ac:dyDescent="0.25">
      <c r="B174" s="5" t="s">
        <v>221</v>
      </c>
      <c r="C174" s="8">
        <f>(1-C170)*C171-$C$7-$C$12-$C$14-D172-D173</f>
        <v>1543307527.8132756</v>
      </c>
    </row>
    <row r="175" spans="2:3" x14ac:dyDescent="0.25">
      <c r="B175" s="12" t="s">
        <v>222</v>
      </c>
      <c r="C175" s="21">
        <f>C174/$C$15</f>
        <v>48.07910904383244</v>
      </c>
    </row>
    <row r="176" spans="2:3" x14ac:dyDescent="0.25">
      <c r="B176" s="5" t="s">
        <v>223</v>
      </c>
      <c r="C176" s="11">
        <f>C171/C175</f>
        <v>38062269.380483694</v>
      </c>
    </row>
    <row r="177" spans="2:3" x14ac:dyDescent="0.25">
      <c r="B177" s="5" t="s">
        <v>224</v>
      </c>
      <c r="C177" s="11">
        <f>$C$7/C175</f>
        <v>623971.6291882573</v>
      </c>
    </row>
    <row r="178" spans="2:3" x14ac:dyDescent="0.25">
      <c r="B178" s="5" t="s">
        <v>225</v>
      </c>
      <c r="C178" s="11">
        <f>$C$11+$C$12/C175</f>
        <v>6104912.524769582</v>
      </c>
    </row>
    <row r="179" spans="2:3" x14ac:dyDescent="0.25">
      <c r="B179" s="5" t="s">
        <v>226</v>
      </c>
      <c r="C179" s="11">
        <f>$C$13+$C$14/C175</f>
        <v>1725621.5922822608</v>
      </c>
    </row>
    <row r="180" spans="2:4" x14ac:dyDescent="0.25">
      <c r="B180" s="5" t="s">
        <v>227</v>
      </c>
      <c r="C180" s="11">
        <f>D172/C175</f>
        <v>186260.18781739025</v>
      </c>
      <c r="D180" s="11">
        <f>D173/C175</f>
        <v>73408.42696332438</v>
      </c>
    </row>
    <row r="181" spans="2:3" x14ac:dyDescent="0.25">
      <c r="B181" s="5" t="s">
        <v>228</v>
      </c>
      <c r="C181" s="11">
        <f>MAX($C$19,C170*C176)</f>
        <v>4948095.019462881</v>
      </c>
    </row>
    <row r="182" spans="2:3" x14ac:dyDescent="0.25">
      <c r="B182" s="5" t="s">
        <v>229</v>
      </c>
      <c r="C182" s="11">
        <f>$C$16+$C$17+C180+D180</f>
        <v>11759668.614780715</v>
      </c>
    </row>
    <row r="183" spans="2:12" x14ac:dyDescent="0.25">
      <c r="B183" s="19" t="s">
        <v>230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</row>
    <row r="184" spans="2:12" x14ac:dyDescent="0.25">
      <c r="B184" s="23" t="s">
        <v>231</v>
      </c>
      <c r="D184" s="23" t="s">
        <v>232</v>
      </c>
      <c r="E184" s="23" t="s">
        <v>233</v>
      </c>
      <c r="F184" s="23" t="s">
        <v>234</v>
      </c>
      <c r="G184" s="23" t="s">
        <v>235</v>
      </c>
      <c r="H184" s="23" t="s">
        <v>236</v>
      </c>
      <c r="I184" s="23" t="s">
        <v>237</v>
      </c>
      <c r="J184" s="23" t="s">
        <v>114</v>
      </c>
      <c r="K184" s="23" t="s">
        <v>238</v>
      </c>
      <c r="L184" s="23" t="s">
        <v>239</v>
      </c>
    </row>
    <row r="185" spans="2:10" x14ac:dyDescent="0.25">
      <c r="B185" s="5" t="s">
        <v>240</v>
      </c>
      <c r="D185" s="8">
        <f>$C$7</f>
      </c>
      <c r="E185" s="8">
        <f>Assumptions!C53</f>
        <v>300000000</v>
      </c>
      <c r="F185" s="8">
        <f>Assumptions!C52</f>
        <v>100000000</v>
      </c>
      <c r="G185" s="8">
        <f>Assumptions!C51</f>
        <v>60000000</v>
      </c>
      <c r="H185" s="8">
        <f>Assumptions!C50</f>
        <v>30000000</v>
      </c>
      <c r="I185" s="8">
        <f>Assumptions!C49</f>
        <v>15000000</v>
      </c>
      <c r="J185" s="8">
        <f>Assumptions!C48</f>
        <v>5000000</v>
      </c>
    </row>
    <row r="186" spans="2:10" x14ac:dyDescent="0.25">
      <c r="B186" s="5" t="s">
        <v>241</v>
      </c>
      <c r="D186" s="11">
        <f>C177</f>
        <v>623971.6291882573</v>
      </c>
      <c r="E186" s="11">
        <f>C178</f>
        <v>6104912.524769582</v>
      </c>
      <c r="F186" s="11">
        <f>C179</f>
        <v>1725621.5922822608</v>
      </c>
      <c r="G186" s="11">
        <f>Assumptions!C43</f>
        <v>2400000</v>
      </c>
      <c r="H186" s="11">
        <f>Assumptions!C42</f>
        <v>3000000</v>
      </c>
      <c r="I186" s="11">
        <f>Assumptions!C41</f>
        <v>5000000</v>
      </c>
      <c r="J186" s="11">
        <f>Assumptions!C40</f>
        <v>5000000</v>
      </c>
    </row>
    <row r="187" spans="2:12" x14ac:dyDescent="0.25">
      <c r="B187" s="5" t="s">
        <v>242</v>
      </c>
      <c r="D187" s="5" t="s">
        <v>243</v>
      </c>
      <c r="E187" s="5" t="s">
        <v>243</v>
      </c>
      <c r="F187" s="5" t="s">
        <v>243</v>
      </c>
      <c r="G187" s="5" t="s">
        <v>243</v>
      </c>
      <c r="H187" s="5" t="s">
        <v>243</v>
      </c>
      <c r="I187" s="5" t="s">
        <v>243</v>
      </c>
      <c r="J187" s="5" t="s">
        <v>243</v>
      </c>
      <c r="K187" s="8">
        <f>IF(D187="preference",D185,0)+IF(E187="preference",E185,0)+IF(F187="preference",F185,0)+IF(G187="preference",G185,0)+IF(H187="preference",H185,0)+IF(I187="preference",I185,0)+IF(J187="preference",J185,0)</f>
        <v>0</v>
      </c>
      <c r="L187" s="11">
        <f>IF(D187="convert",D186,0)+IF(E187="convert",E186,0)+IF(F187="convert",F186,0)+IF(G187="convert",G186,0)+IF(H187="convert",H186,0)+IF(I187="convert",I186,0)+IF(J187="convert",J186,0)</f>
        <v>23854505.7462401</v>
      </c>
    </row>
    <row r="188" spans="2:12" x14ac:dyDescent="0.25">
      <c r="B188" s="5" t="s">
        <v>244</v>
      </c>
      <c r="D188" s="5" t="str">
        <f>IF(D$185&gt;((($C$23+$C$17*$C$18)-(K187-IF(D187="preference",D$185,0)))/(C$182+(L187-IF(D187="convert",D$186,0))+D$186)*D$186),"preference","convert")</f>
        <v>convert</v>
      </c>
      <c r="E188" s="5" t="str">
        <f>IF(E$185&gt;((($C$23+$C$17*$C$18)-(K187-IF(E187="preference",E$185,0)))/(C$182+(L187-IF(E187="convert",E$186,0))+E$186)*E$186),"preference","convert")</f>
        <v>convert</v>
      </c>
      <c r="F188" s="5" t="str">
        <f>IF(F$185&gt;((($C$23+$C$17*$C$18)-(K187-IF(F187="preference",F$185,0)))/(C$182+(L187-IF(F187="convert",F$186,0))+F$186)*F$186),"preference","convert")</f>
        <v>preference</v>
      </c>
      <c r="G188" s="5" t="str">
        <f>IF(G$185&gt;((($C$23+$C$17*$C$18)-(K187-IF(G187="preference",G$185,0)))/(C$182+(L187-IF(G187="convert",G$186,0))+G$186)*G$186),"preference","convert")</f>
        <v>convert</v>
      </c>
      <c r="H188" s="5" t="str">
        <f>IF(H$185&gt;((($C$23+$C$17*$C$18)-(K187-IF(H187="preference",H$185,0)))/(C$182+(L187-IF(H187="convert",H$186,0))+H$186)*H$186),"preference","convert")</f>
        <v>convert</v>
      </c>
      <c r="I188" s="5" t="str">
        <f>IF(I$185&gt;((($C$23+$C$17*$C$18)-(K187-IF(I187="preference",I$185,0)))/(C$182+(L187-IF(I187="convert",I$186,0))+I$186)*I$186),"preference","convert")</f>
        <v>convert</v>
      </c>
      <c r="J188" s="5" t="str">
        <f>IF(J$185&gt;((($C$23+$C$17*$C$18)-(K187-IF(J187="preference",J$185,0)))/(C$182+(L187-IF(J187="convert",J$186,0))+J$186)*J$186),"preference","convert")</f>
        <v>convert</v>
      </c>
      <c r="K188" s="8">
        <f>IF(D188="preference",D185,0)+IF(E188="preference",E185,0)+IF(F188="preference",F185,0)+IF(G188="preference",G185,0)+IF(H188="preference",H185,0)+IF(I188="preference",I185,0)+IF(J188="preference",J185,0)</f>
        <v>100000000</v>
      </c>
      <c r="L188" s="11">
        <f>IF(D188="convert",D186,0)+IF(E188="convert",E186,0)+IF(F188="convert",F186,0)+IF(G188="convert",G186,0)+IF(H188="convert",H186,0)+IF(I188="convert",I186,0)+IF(J188="convert",J186,0)</f>
        <v>22128884.153957836</v>
      </c>
    </row>
    <row r="189" spans="2:12" x14ac:dyDescent="0.25">
      <c r="B189" s="5" t="s">
        <v>245</v>
      </c>
      <c r="D189" s="5" t="str">
        <f>IF(D$185&gt;((($C$23+$C$17*$C$18)-(K188-IF(D188="preference",D$185,0)))/(C$182+(L188-IF(D188="convert",D$186,0))+D$186)*D$186),"preference","convert")</f>
        <v>convert</v>
      </c>
      <c r="E189" s="5" t="str">
        <f>IF(E$185&gt;((($C$23+$C$17*$C$18)-(K188-IF(E188="preference",E$185,0)))/(C$182+(L188-IF(E188="convert",E$186,0))+E$186)*E$186),"preference","convert")</f>
        <v>convert</v>
      </c>
      <c r="F189" s="5" t="str">
        <f>IF(F$185&gt;((($C$23+$C$17*$C$18)-(K188-IF(F188="preference",F$185,0)))/(C$182+(L188-IF(F188="convert",F$186,0))+F$186)*F$186),"preference","convert")</f>
        <v>preference</v>
      </c>
      <c r="G189" s="5" t="str">
        <f>IF(G$185&gt;((($C$23+$C$17*$C$18)-(K188-IF(G188="preference",G$185,0)))/(C$182+(L188-IF(G188="convert",G$186,0))+G$186)*G$186),"preference","convert")</f>
        <v>convert</v>
      </c>
      <c r="H189" s="5" t="str">
        <f>IF(H$185&gt;((($C$23+$C$17*$C$18)-(K188-IF(H188="preference",H$185,0)))/(C$182+(L188-IF(H188="convert",H$186,0))+H$186)*H$186),"preference","convert")</f>
        <v>convert</v>
      </c>
      <c r="I189" s="5" t="str">
        <f>IF(I$185&gt;((($C$23+$C$17*$C$18)-(K188-IF(I188="preference",I$185,0)))/(C$182+(L188-IF(I188="convert",I$186,0))+I$186)*I$186),"preference","convert")</f>
        <v>convert</v>
      </c>
      <c r="J189" s="5" t="str">
        <f>IF(J$185&gt;((($C$23+$C$17*$C$18)-(K188-IF(J188="preference",J$185,0)))/(C$182+(L188-IF(J188="convert",J$186,0))+J$186)*J$186),"preference","convert")</f>
        <v>convert</v>
      </c>
      <c r="K189" s="8">
        <f>IF(D189="preference",D185,0)+IF(E189="preference",E185,0)+IF(F189="preference",F185,0)+IF(G189="preference",G185,0)+IF(H189="preference",H185,0)+IF(I189="preference",I185,0)+IF(J189="preference",J185,0)</f>
        <v>100000000</v>
      </c>
      <c r="L189" s="11">
        <f>IF(D189="convert",D186,0)+IF(E189="convert",E186,0)+IF(F189="convert",F186,0)+IF(G189="convert",G186,0)+IF(H189="convert",H186,0)+IF(I189="convert",I186,0)+IF(J189="convert",J186,0)</f>
        <v>22128884.153957836</v>
      </c>
    </row>
    <row r="190" spans="2:12" x14ac:dyDescent="0.25">
      <c r="B190" s="5" t="s">
        <v>246</v>
      </c>
      <c r="D190" s="5" t="str">
        <f>IF(D$185&gt;((($C$23+$C$17*$C$18)-(K189-IF(D189="preference",D$185,0)))/(C$182+(L189-IF(D189="convert",D$186,0))+D$186)*D$186),"preference","convert")</f>
        <v>convert</v>
      </c>
      <c r="E190" s="5" t="str">
        <f>IF(E$185&gt;((($C$23+$C$17*$C$18)-(K189-IF(E189="preference",E$185,0)))/(C$182+(L189-IF(E189="convert",E$186,0))+E$186)*E$186),"preference","convert")</f>
        <v>convert</v>
      </c>
      <c r="F190" s="5" t="str">
        <f>IF(F$185&gt;((($C$23+$C$17*$C$18)-(K189-IF(F189="preference",F$185,0)))/(C$182+(L189-IF(F189="convert",F$186,0))+F$186)*F$186),"preference","convert")</f>
        <v>preference</v>
      </c>
      <c r="G190" s="5" t="str">
        <f>IF(G$185&gt;((($C$23+$C$17*$C$18)-(K189-IF(G189="preference",G$185,0)))/(C$182+(L189-IF(G189="convert",G$186,0))+G$186)*G$186),"preference","convert")</f>
        <v>convert</v>
      </c>
      <c r="H190" s="5" t="str">
        <f>IF(H$185&gt;((($C$23+$C$17*$C$18)-(K189-IF(H189="preference",H$185,0)))/(C$182+(L189-IF(H189="convert",H$186,0))+H$186)*H$186),"preference","convert")</f>
        <v>convert</v>
      </c>
      <c r="I190" s="5" t="str">
        <f>IF(I$185&gt;((($C$23+$C$17*$C$18)-(K189-IF(I189="preference",I$185,0)))/(C$182+(L189-IF(I189="convert",I$186,0))+I$186)*I$186),"preference","convert")</f>
        <v>convert</v>
      </c>
      <c r="J190" s="5" t="str">
        <f>IF(J$185&gt;((($C$23+$C$17*$C$18)-(K189-IF(J189="preference",J$185,0)))/(C$182+(L189-IF(J189="convert",J$186,0))+J$186)*J$186),"preference","convert")</f>
        <v>convert</v>
      </c>
      <c r="K190" s="8">
        <f>IF(D190="preference",D185,0)+IF(E190="preference",E185,0)+IF(F190="preference",F185,0)+IF(G190="preference",G185,0)+IF(H190="preference",H185,0)+IF(I190="preference",I185,0)+IF(J190="preference",J185,0)</f>
        <v>100000000</v>
      </c>
      <c r="L190" s="11">
        <f>IF(D190="convert",D186,0)+IF(E190="convert",E186,0)+IF(F190="convert",F186,0)+IF(G190="convert",G186,0)+IF(H190="convert",H186,0)+IF(I190="convert",I186,0)+IF(J190="convert",J186,0)</f>
        <v>22128884.153957836</v>
      </c>
    </row>
    <row r="191" spans="2:12" x14ac:dyDescent="0.25">
      <c r="B191" s="5" t="s">
        <v>247</v>
      </c>
      <c r="D191" s="5" t="str">
        <f>IF(D$185&gt;((($C$23+$C$17*$C$18)-(K190-IF(D190="preference",D$185,0)))/(C$182+(L190-IF(D190="convert",D$186,0))+D$186)*D$186),"preference","convert")</f>
        <v>convert</v>
      </c>
      <c r="E191" s="5" t="str">
        <f>IF(E$185&gt;((($C$23+$C$17*$C$18)-(K190-IF(E190="preference",E$185,0)))/(C$182+(L190-IF(E190="convert",E$186,0))+E$186)*E$186),"preference","convert")</f>
        <v>convert</v>
      </c>
      <c r="F191" s="5" t="str">
        <f>IF(F$185&gt;((($C$23+$C$17*$C$18)-(K190-IF(F190="preference",F$185,0)))/(C$182+(L190-IF(F190="convert",F$186,0))+F$186)*F$186),"preference","convert")</f>
        <v>preference</v>
      </c>
      <c r="G191" s="5" t="str">
        <f>IF(G$185&gt;((($C$23+$C$17*$C$18)-(K190-IF(G190="preference",G$185,0)))/(C$182+(L190-IF(G190="convert",G$186,0))+G$186)*G$186),"preference","convert")</f>
        <v>convert</v>
      </c>
      <c r="H191" s="5" t="str">
        <f>IF(H$185&gt;((($C$23+$C$17*$C$18)-(K190-IF(H190="preference",H$185,0)))/(C$182+(L190-IF(H190="convert",H$186,0))+H$186)*H$186),"preference","convert")</f>
        <v>convert</v>
      </c>
      <c r="I191" s="5" t="str">
        <f>IF(I$185&gt;((($C$23+$C$17*$C$18)-(K190-IF(I190="preference",I$185,0)))/(C$182+(L190-IF(I190="convert",I$186,0))+I$186)*I$186),"preference","convert")</f>
        <v>convert</v>
      </c>
      <c r="J191" s="5" t="str">
        <f>IF(J$185&gt;((($C$23+$C$17*$C$18)-(K190-IF(J190="preference",J$185,0)))/(C$182+(L190-IF(J190="convert",J$186,0))+J$186)*J$186),"preference","convert")</f>
        <v>convert</v>
      </c>
      <c r="K191" s="8">
        <f>IF(D191="preference",D185,0)+IF(E191="preference",E185,0)+IF(F191="preference",F185,0)+IF(G191="preference",G185,0)+IF(H191="preference",H185,0)+IF(I191="preference",I185,0)+IF(J191="preference",J185,0)</f>
        <v>100000000</v>
      </c>
      <c r="L191" s="11">
        <f>IF(D191="convert",D186,0)+IF(E191="convert",E186,0)+IF(F191="convert",F186,0)+IF(G191="convert",G186,0)+IF(H191="convert",H186,0)+IF(I191="convert",I186,0)+IF(J191="convert",J186,0)</f>
        <v>22128884.153957836</v>
      </c>
    </row>
    <row r="192" spans="2:12" x14ac:dyDescent="0.25">
      <c r="B192" s="12" t="s">
        <v>248</v>
      </c>
      <c r="D192" s="12" t="str">
        <f>IF(D$185&gt;((($C$23+$C$17*$C$18)-(K191-IF(D191="preference",D$185,0)))/(C$182+(L191-IF(D191="convert",D$186,0))+D$186)*D$186),"preference","convert")</f>
        <v>convert</v>
      </c>
      <c r="E192" s="12" t="str">
        <f>IF(E$185&gt;((($C$23+$C$17*$C$18)-(K191-IF(E191="preference",E$185,0)))/(C$182+(L191-IF(E191="convert",E$186,0))+E$186)*E$186),"preference","convert")</f>
        <v>convert</v>
      </c>
      <c r="F192" s="12" t="str">
        <f>IF(F$185&gt;((($C$23+$C$17*$C$18)-(K191-IF(F191="preference",F$185,0)))/(C$182+(L191-IF(F191="convert",F$186,0))+F$186)*F$186),"preference","convert")</f>
        <v>preference</v>
      </c>
      <c r="G192" s="12" t="str">
        <f>IF(G$185&gt;((($C$23+$C$17*$C$18)-(K191-IF(G191="preference",G$185,0)))/(C$182+(L191-IF(G191="convert",G$186,0))+G$186)*G$186),"preference","convert")</f>
        <v>convert</v>
      </c>
      <c r="H192" s="12" t="str">
        <f>IF(H$185&gt;((($C$23+$C$17*$C$18)-(K191-IF(H191="preference",H$185,0)))/(C$182+(L191-IF(H191="convert",H$186,0))+H$186)*H$186),"preference","convert")</f>
        <v>convert</v>
      </c>
      <c r="I192" s="12" t="str">
        <f>IF(I$185&gt;((($C$23+$C$17*$C$18)-(K191-IF(I191="preference",I$185,0)))/(C$182+(L191-IF(I191="convert",I$186,0))+I$186)*I$186),"preference","convert")</f>
        <v>convert</v>
      </c>
      <c r="J192" s="12" t="str">
        <f>IF(J$185&gt;((($C$23+$C$17*$C$18)-(K191-IF(J191="preference",J$185,0)))/(C$182+(L191-IF(J191="convert",J$186,0))+J$186)*J$186),"preference","convert")</f>
        <v>convert</v>
      </c>
      <c r="K192" s="8">
        <f>IF(D192="preference",D185,0)+IF(E192="preference",E185,0)+IF(F192="preference",F185,0)+IF(G192="preference",G185,0)+IF(H192="preference",H185,0)+IF(I192="preference",I185,0)+IF(J192="preference",J185,0)</f>
        <v>100000000</v>
      </c>
      <c r="L192" s="11">
        <f>IF(D192="convert",D186,0)+IF(E192="convert",E186,0)+IF(F192="convert",F186,0)+IF(G192="convert",G186,0)+IF(H192="convert",H186,0)+IF(I192="convert",I186,0)+IF(J192="convert",J186,0)</f>
        <v>22128884.153957836</v>
      </c>
    </row>
    <row r="193" spans="2:3" x14ac:dyDescent="0.25">
      <c r="B193" s="12" t="s">
        <v>249</v>
      </c>
      <c r="C193" s="21">
        <f>(($C$23+$C$17*$C$18)-K192)/(C182+L192)</f>
        <v>56.13990107464886</v>
      </c>
    </row>
    <row r="194" spans="2:4" x14ac:dyDescent="0.25">
      <c r="B194" s="5" t="s">
        <v>250</v>
      </c>
      <c r="C194" s="5" t="str">
        <f>D192</f>
        <v>convert</v>
      </c>
      <c r="D194" s="8">
        <f>IF(D192="preference",$C$24,C193*$C$24/C175)</f>
        <v>11676568.512005415</v>
      </c>
    </row>
    <row r="195" spans="2:3" x14ac:dyDescent="0.25">
      <c r="B195" s="12" t="s">
        <v>251</v>
      </c>
      <c r="C195" s="27">
        <f>($C$24/C175)/C176</f>
        <v>0.005464480874316939</v>
      </c>
    </row>
    <row r="196" spans="2:12" x14ac:dyDescent="0.25">
      <c r="B196" s="19" t="s">
        <v>257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</row>
    <row r="197" spans="2:3" x14ac:dyDescent="0.25">
      <c r="B197" s="5" t="s">
        <v>216</v>
      </c>
      <c r="C197" s="16">
        <f>Assumptions!C72</f>
        <v>1200000000</v>
      </c>
    </row>
    <row r="198" spans="2:3" x14ac:dyDescent="0.25">
      <c r="B198" s="5" t="s">
        <v>217</v>
      </c>
      <c r="C198" s="17">
        <f>Assumptions!E71</f>
        <v>0.15</v>
      </c>
    </row>
    <row r="199" spans="2:3" x14ac:dyDescent="0.25">
      <c r="B199" s="5" t="s">
        <v>218</v>
      </c>
      <c r="C199" s="8">
        <f>C197+$C$7</f>
        <v>1230000000</v>
      </c>
    </row>
    <row r="200" spans="2:4" x14ac:dyDescent="0.25">
      <c r="B200" s="5" t="s">
        <v>219</v>
      </c>
      <c r="C200" s="11" t="str">
        <f>IF(C197&gt;$C$22,"cap","discount")</f>
        <v>discount</v>
      </c>
      <c r="D200" s="11">
        <f>IF(C200="cap",$C$20*C197/($D$20+$C$20),$C$20/(1-$E$20))</f>
        <v>6250000</v>
      </c>
    </row>
    <row r="201" spans="2:4" x14ac:dyDescent="0.25">
      <c r="B201" s="5" t="s">
        <v>220</v>
      </c>
      <c r="C201" s="11" t="str">
        <f>IF(C197&gt;$D$22,"cap","discount")</f>
        <v>discount</v>
      </c>
      <c r="D201" s="11">
        <f>IF(C201="cap",$C$21*C197/($D$21+$C$21),$C$21/(1-$E$21))</f>
        <v>3529411.7647058824</v>
      </c>
    </row>
    <row r="202" spans="2:3" x14ac:dyDescent="0.25">
      <c r="B202" s="5" t="s">
        <v>221</v>
      </c>
      <c r="C202" s="8">
        <f>(1-C198)*C199-$C$7-$C$12-$C$14-D200-D201</f>
        <v>999412751.6938725</v>
      </c>
    </row>
    <row r="203" spans="2:3" x14ac:dyDescent="0.25">
      <c r="B203" s="12" t="s">
        <v>222</v>
      </c>
      <c r="C203" s="21">
        <f>C202/$C$15</f>
        <v>31.134996624146574</v>
      </c>
    </row>
    <row r="204" spans="2:3" x14ac:dyDescent="0.25">
      <c r="B204" s="5" t="s">
        <v>223</v>
      </c>
      <c r="C204" s="11">
        <f>C199/C203</f>
        <v>39505384.08107873</v>
      </c>
    </row>
    <row r="205" spans="2:3" x14ac:dyDescent="0.25">
      <c r="B205" s="5" t="s">
        <v>224</v>
      </c>
      <c r="C205" s="11">
        <f>$C$7/C203</f>
        <v>963545.9531970421</v>
      </c>
    </row>
    <row r="206" spans="2:3" x14ac:dyDescent="0.25">
      <c r="B206" s="5" t="s">
        <v>225</v>
      </c>
      <c r="C206" s="11">
        <f>$C$11+$C$12/C203</f>
        <v>6160577.507690115</v>
      </c>
    </row>
    <row r="207" spans="2:3" x14ac:dyDescent="0.25">
      <c r="B207" s="5" t="s">
        <v>226</v>
      </c>
      <c r="C207" s="11">
        <f>$C$13+$C$14/C203</f>
        <v>1741355.9203454333</v>
      </c>
    </row>
    <row r="208" spans="2:4" x14ac:dyDescent="0.25">
      <c r="B208" s="5" t="s">
        <v>227</v>
      </c>
      <c r="C208" s="11">
        <f>D200/C203</f>
        <v>200738.7402493838</v>
      </c>
      <c r="D208" s="11">
        <f>D201/C203</f>
        <v>113358.34743494613</v>
      </c>
    </row>
    <row r="209" spans="2:3" x14ac:dyDescent="0.25">
      <c r="B209" s="5" t="s">
        <v>228</v>
      </c>
      <c r="C209" s="11">
        <f>MAX($C$19,C198*C204)</f>
        <v>5925807.61216181</v>
      </c>
    </row>
    <row r="210" spans="2:3" x14ac:dyDescent="0.25">
      <c r="B210" s="5" t="s">
        <v>229</v>
      </c>
      <c r="C210" s="11">
        <f>$C$16+$C$17+C208+D208</f>
        <v>11814097.08768433</v>
      </c>
    </row>
    <row r="211" spans="2:12" x14ac:dyDescent="0.25">
      <c r="B211" s="19" t="s">
        <v>230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</row>
    <row r="212" spans="2:12" x14ac:dyDescent="0.25">
      <c r="B212" s="23" t="s">
        <v>231</v>
      </c>
      <c r="D212" s="23" t="s">
        <v>232</v>
      </c>
      <c r="E212" s="23" t="s">
        <v>233</v>
      </c>
      <c r="F212" s="23" t="s">
        <v>234</v>
      </c>
      <c r="G212" s="23" t="s">
        <v>235</v>
      </c>
      <c r="H212" s="23" t="s">
        <v>236</v>
      </c>
      <c r="I212" s="23" t="s">
        <v>237</v>
      </c>
      <c r="J212" s="23" t="s">
        <v>114</v>
      </c>
      <c r="K212" s="23" t="s">
        <v>238</v>
      </c>
      <c r="L212" s="23" t="s">
        <v>239</v>
      </c>
    </row>
    <row r="213" spans="2:10" x14ac:dyDescent="0.25">
      <c r="B213" s="5" t="s">
        <v>240</v>
      </c>
      <c r="D213" s="8">
        <f>$C$7</f>
      </c>
      <c r="E213" s="8">
        <f>Assumptions!C53</f>
        <v>300000000</v>
      </c>
      <c r="F213" s="8">
        <f>Assumptions!C52</f>
        <v>100000000</v>
      </c>
      <c r="G213" s="8">
        <f>Assumptions!C51</f>
        <v>60000000</v>
      </c>
      <c r="H213" s="8">
        <f>Assumptions!C50</f>
        <v>30000000</v>
      </c>
      <c r="I213" s="8">
        <f>Assumptions!C49</f>
        <v>15000000</v>
      </c>
      <c r="J213" s="8">
        <f>Assumptions!C48</f>
        <v>5000000</v>
      </c>
    </row>
    <row r="214" spans="2:10" x14ac:dyDescent="0.25">
      <c r="B214" s="5" t="s">
        <v>241</v>
      </c>
      <c r="D214" s="11">
        <f>C205</f>
        <v>963545.9531970421</v>
      </c>
      <c r="E214" s="11">
        <f>C206</f>
        <v>6160577.507690115</v>
      </c>
      <c r="F214" s="11">
        <f>C207</f>
        <v>1741355.9203454333</v>
      </c>
      <c r="G214" s="11">
        <f>Assumptions!C43</f>
        <v>2400000</v>
      </c>
      <c r="H214" s="11">
        <f>Assumptions!C42</f>
        <v>3000000</v>
      </c>
      <c r="I214" s="11">
        <f>Assumptions!C41</f>
        <v>5000000</v>
      </c>
      <c r="J214" s="11">
        <f>Assumptions!C40</f>
        <v>5000000</v>
      </c>
    </row>
    <row r="215" spans="2:12" x14ac:dyDescent="0.25">
      <c r="B215" s="5" t="s">
        <v>242</v>
      </c>
      <c r="D215" s="5" t="s">
        <v>243</v>
      </c>
      <c r="E215" s="5" t="s">
        <v>243</v>
      </c>
      <c r="F215" s="5" t="s">
        <v>243</v>
      </c>
      <c r="G215" s="5" t="s">
        <v>243</v>
      </c>
      <c r="H215" s="5" t="s">
        <v>243</v>
      </c>
      <c r="I215" s="5" t="s">
        <v>243</v>
      </c>
      <c r="J215" s="5" t="s">
        <v>243</v>
      </c>
      <c r="K215" s="8">
        <f>IF(D215="preference",D213,0)+IF(E215="preference",E213,0)+IF(F215="preference",F213,0)+IF(G215="preference",G213,0)+IF(H215="preference",H213,0)+IF(I215="preference",I213,0)+IF(J215="preference",J213,0)</f>
        <v>0</v>
      </c>
      <c r="L215" s="11">
        <f>IF(D215="convert",D214,0)+IF(E215="convert",E214,0)+IF(F215="convert",F214,0)+IF(G215="convert",G214,0)+IF(H215="convert",H214,0)+IF(I215="convert",I214,0)+IF(J215="convert",J214,0)</f>
        <v>24265479.38123259</v>
      </c>
    </row>
    <row r="216" spans="2:12" x14ac:dyDescent="0.25">
      <c r="B216" s="5" t="s">
        <v>244</v>
      </c>
      <c r="D216" s="5" t="str">
        <f>IF(D$213&gt;((($C$23+$C$17*$C$18)-(K215-IF(D215="preference",D$213,0)))/(C$210+(L215-IF(D215="convert",D$214,0))+D$214)*D$214),"preference","convert")</f>
        <v>convert</v>
      </c>
      <c r="E216" s="5" t="str">
        <f>IF(E$213&gt;((($C$23+$C$17*$C$18)-(K215-IF(E215="preference",E$213,0)))/(C$210+(L215-IF(E215="convert",E$214,0))+E$214)*E$214),"preference","convert")</f>
        <v>convert</v>
      </c>
      <c r="F216" s="5" t="str">
        <f>IF(F$213&gt;((($C$23+$C$17*$C$18)-(K215-IF(F215="preference",F$213,0)))/(C$210+(L215-IF(F215="convert",F$214,0))+F$214)*F$214),"preference","convert")</f>
        <v>preference</v>
      </c>
      <c r="G216" s="5" t="str">
        <f>IF(G$213&gt;((($C$23+$C$17*$C$18)-(K215-IF(G215="preference",G$213,0)))/(C$210+(L215-IF(G215="convert",G$214,0))+G$214)*G$214),"preference","convert")</f>
        <v>convert</v>
      </c>
      <c r="H216" s="5" t="str">
        <f>IF(H$213&gt;((($C$23+$C$17*$C$18)-(K215-IF(H215="preference",H$213,0)))/(C$210+(L215-IF(H215="convert",H$214,0))+H$214)*H$214),"preference","convert")</f>
        <v>convert</v>
      </c>
      <c r="I216" s="5" t="str">
        <f>IF(I$213&gt;((($C$23+$C$17*$C$18)-(K215-IF(I215="preference",I$213,0)))/(C$210+(L215-IF(I215="convert",I$214,0))+I$214)*I$214),"preference","convert")</f>
        <v>convert</v>
      </c>
      <c r="J216" s="5" t="str">
        <f>IF(J$213&gt;((($C$23+$C$17*$C$18)-(K215-IF(J215="preference",J$213,0)))/(C$210+(L215-IF(J215="convert",J$214,0))+J$214)*J$214),"preference","convert")</f>
        <v>convert</v>
      </c>
      <c r="K216" s="8">
        <f>IF(D216="preference",D213,0)+IF(E216="preference",E213,0)+IF(F216="preference",F213,0)+IF(G216="preference",G213,0)+IF(H216="preference",H213,0)+IF(I216="preference",I213,0)+IF(J216="preference",J213,0)</f>
        <v>100000000</v>
      </c>
      <c r="L216" s="11">
        <f>IF(D216="convert",D214,0)+IF(E216="convert",E214,0)+IF(F216="convert",F214,0)+IF(G216="convert",G214,0)+IF(H216="convert",H214,0)+IF(I216="convert",I214,0)+IF(J216="convert",J214,0)</f>
        <v>22524123.460887156</v>
      </c>
    </row>
    <row r="217" spans="2:12" x14ac:dyDescent="0.25">
      <c r="B217" s="5" t="s">
        <v>245</v>
      </c>
      <c r="D217" s="5" t="str">
        <f>IF(D$213&gt;((($C$23+$C$17*$C$18)-(K216-IF(D216="preference",D$213,0)))/(C$210+(L216-IF(D216="convert",D$214,0))+D$214)*D$214),"preference","convert")</f>
        <v>convert</v>
      </c>
      <c r="E217" s="5" t="str">
        <f>IF(E$213&gt;((($C$23+$C$17*$C$18)-(K216-IF(E216="preference",E$213,0)))/(C$210+(L216-IF(E216="convert",E$214,0))+E$214)*E$214),"preference","convert")</f>
        <v>convert</v>
      </c>
      <c r="F217" s="5" t="str">
        <f>IF(F$213&gt;((($C$23+$C$17*$C$18)-(K216-IF(F216="preference",F$213,0)))/(C$210+(L216-IF(F216="convert",F$214,0))+F$214)*F$214),"preference","convert")</f>
        <v>preference</v>
      </c>
      <c r="G217" s="5" t="str">
        <f>IF(G$213&gt;((($C$23+$C$17*$C$18)-(K216-IF(G216="preference",G$213,0)))/(C$210+(L216-IF(G216="convert",G$214,0))+G$214)*G$214),"preference","convert")</f>
        <v>convert</v>
      </c>
      <c r="H217" s="5" t="str">
        <f>IF(H$213&gt;((($C$23+$C$17*$C$18)-(K216-IF(H216="preference",H$213,0)))/(C$210+(L216-IF(H216="convert",H$214,0))+H$214)*H$214),"preference","convert")</f>
        <v>convert</v>
      </c>
      <c r="I217" s="5" t="str">
        <f>IF(I$213&gt;((($C$23+$C$17*$C$18)-(K216-IF(I216="preference",I$213,0)))/(C$210+(L216-IF(I216="convert",I$214,0))+I$214)*I$214),"preference","convert")</f>
        <v>convert</v>
      </c>
      <c r="J217" s="5" t="str">
        <f>IF(J$213&gt;((($C$23+$C$17*$C$18)-(K216-IF(J216="preference",J$213,0)))/(C$210+(L216-IF(J216="convert",J$214,0))+J$214)*J$214),"preference","convert")</f>
        <v>convert</v>
      </c>
      <c r="K217" s="8">
        <f>IF(D217="preference",D213,0)+IF(E217="preference",E213,0)+IF(F217="preference",F213,0)+IF(G217="preference",G213,0)+IF(H217="preference",H213,0)+IF(I217="preference",I213,0)+IF(J217="preference",J213,0)</f>
        <v>100000000</v>
      </c>
      <c r="L217" s="11">
        <f>IF(D217="convert",D214,0)+IF(E217="convert",E214,0)+IF(F217="convert",F214,0)+IF(G217="convert",G214,0)+IF(H217="convert",H214,0)+IF(I217="convert",I214,0)+IF(J217="convert",J214,0)</f>
        <v>22524123.460887156</v>
      </c>
    </row>
    <row r="218" spans="2:12" x14ac:dyDescent="0.25">
      <c r="B218" s="5" t="s">
        <v>246</v>
      </c>
      <c r="D218" s="5" t="str">
        <f>IF(D$213&gt;((($C$23+$C$17*$C$18)-(K217-IF(D217="preference",D$213,0)))/(C$210+(L217-IF(D217="convert",D$214,0))+D$214)*D$214),"preference","convert")</f>
        <v>convert</v>
      </c>
      <c r="E218" s="5" t="str">
        <f>IF(E$213&gt;((($C$23+$C$17*$C$18)-(K217-IF(E217="preference",E$213,0)))/(C$210+(L217-IF(E217="convert",E$214,0))+E$214)*E$214),"preference","convert")</f>
        <v>convert</v>
      </c>
      <c r="F218" s="5" t="str">
        <f>IF(F$213&gt;((($C$23+$C$17*$C$18)-(K217-IF(F217="preference",F$213,0)))/(C$210+(L217-IF(F217="convert",F$214,0))+F$214)*F$214),"preference","convert")</f>
        <v>preference</v>
      </c>
      <c r="G218" s="5" t="str">
        <f>IF(G$213&gt;((($C$23+$C$17*$C$18)-(K217-IF(G217="preference",G$213,0)))/(C$210+(L217-IF(G217="convert",G$214,0))+G$214)*G$214),"preference","convert")</f>
        <v>convert</v>
      </c>
      <c r="H218" s="5" t="str">
        <f>IF(H$213&gt;((($C$23+$C$17*$C$18)-(K217-IF(H217="preference",H$213,0)))/(C$210+(L217-IF(H217="convert",H$214,0))+H$214)*H$214),"preference","convert")</f>
        <v>convert</v>
      </c>
      <c r="I218" s="5" t="str">
        <f>IF(I$213&gt;((($C$23+$C$17*$C$18)-(K217-IF(I217="preference",I$213,0)))/(C$210+(L217-IF(I217="convert",I$214,0))+I$214)*I$214),"preference","convert")</f>
        <v>convert</v>
      </c>
      <c r="J218" s="5" t="str">
        <f>IF(J$213&gt;((($C$23+$C$17*$C$18)-(K217-IF(J217="preference",J$213,0)))/(C$210+(L217-IF(J217="convert",J$214,0))+J$214)*J$214),"preference","convert")</f>
        <v>convert</v>
      </c>
      <c r="K218" s="8">
        <f>IF(D218="preference",D213,0)+IF(E218="preference",E213,0)+IF(F218="preference",F213,0)+IF(G218="preference",G213,0)+IF(H218="preference",H213,0)+IF(I218="preference",I213,0)+IF(J218="preference",J213,0)</f>
        <v>100000000</v>
      </c>
      <c r="L218" s="11">
        <f>IF(D218="convert",D214,0)+IF(E218="convert",E214,0)+IF(F218="convert",F214,0)+IF(G218="convert",G214,0)+IF(H218="convert",H214,0)+IF(I218="convert",I214,0)+IF(J218="convert",J214,0)</f>
        <v>22524123.460887156</v>
      </c>
    </row>
    <row r="219" spans="2:12" x14ac:dyDescent="0.25">
      <c r="B219" s="5" t="s">
        <v>247</v>
      </c>
      <c r="D219" s="5" t="str">
        <f>IF(D$213&gt;((($C$23+$C$17*$C$18)-(K218-IF(D218="preference",D$213,0)))/(C$210+(L218-IF(D218="convert",D$214,0))+D$214)*D$214),"preference","convert")</f>
        <v>convert</v>
      </c>
      <c r="E219" s="5" t="str">
        <f>IF(E$213&gt;((($C$23+$C$17*$C$18)-(K218-IF(E218="preference",E$213,0)))/(C$210+(L218-IF(E218="convert",E$214,0))+E$214)*E$214),"preference","convert")</f>
        <v>convert</v>
      </c>
      <c r="F219" s="5" t="str">
        <f>IF(F$213&gt;((($C$23+$C$17*$C$18)-(K218-IF(F218="preference",F$213,0)))/(C$210+(L218-IF(F218="convert",F$214,0))+F$214)*F$214),"preference","convert")</f>
        <v>preference</v>
      </c>
      <c r="G219" s="5" t="str">
        <f>IF(G$213&gt;((($C$23+$C$17*$C$18)-(K218-IF(G218="preference",G$213,0)))/(C$210+(L218-IF(G218="convert",G$214,0))+G$214)*G$214),"preference","convert")</f>
        <v>convert</v>
      </c>
      <c r="H219" s="5" t="str">
        <f>IF(H$213&gt;((($C$23+$C$17*$C$18)-(K218-IF(H218="preference",H$213,0)))/(C$210+(L218-IF(H218="convert",H$214,0))+H$214)*H$214),"preference","convert")</f>
        <v>convert</v>
      </c>
      <c r="I219" s="5" t="str">
        <f>IF(I$213&gt;((($C$23+$C$17*$C$18)-(K218-IF(I218="preference",I$213,0)))/(C$210+(L218-IF(I218="convert",I$214,0))+I$214)*I$214),"preference","convert")</f>
        <v>convert</v>
      </c>
      <c r="J219" s="5" t="str">
        <f>IF(J$213&gt;((($C$23+$C$17*$C$18)-(K218-IF(J218="preference",J$213,0)))/(C$210+(L218-IF(J218="convert",J$214,0))+J$214)*J$214),"preference","convert")</f>
        <v>convert</v>
      </c>
      <c r="K219" s="8">
        <f>IF(D219="preference",D213,0)+IF(E219="preference",E213,0)+IF(F219="preference",F213,0)+IF(G219="preference",G213,0)+IF(H219="preference",H213,0)+IF(I219="preference",I213,0)+IF(J219="preference",J213,0)</f>
        <v>100000000</v>
      </c>
      <c r="L219" s="11">
        <f>IF(D219="convert",D214,0)+IF(E219="convert",E214,0)+IF(F219="convert",F214,0)+IF(G219="convert",G214,0)+IF(H219="convert",H214,0)+IF(I219="convert",I214,0)+IF(J219="convert",J214,0)</f>
        <v>22524123.460887156</v>
      </c>
    </row>
    <row r="220" spans="2:12" x14ac:dyDescent="0.25">
      <c r="B220" s="12" t="s">
        <v>248</v>
      </c>
      <c r="D220" s="12" t="str">
        <f>IF(D$213&gt;((($C$23+$C$17*$C$18)-(K219-IF(D219="preference",D$213,0)))/(C$210+(L219-IF(D219="convert",D$214,0))+D$214)*D$214),"preference","convert")</f>
        <v>convert</v>
      </c>
      <c r="E220" s="12" t="str">
        <f>IF(E$213&gt;((($C$23+$C$17*$C$18)-(K219-IF(E219="preference",E$213,0)))/(C$210+(L219-IF(E219="convert",E$214,0))+E$214)*E$214),"preference","convert")</f>
        <v>convert</v>
      </c>
      <c r="F220" s="12" t="str">
        <f>IF(F$213&gt;((($C$23+$C$17*$C$18)-(K219-IF(F219="preference",F$213,0)))/(C$210+(L219-IF(F219="convert",F$214,0))+F$214)*F$214),"preference","convert")</f>
        <v>preference</v>
      </c>
      <c r="G220" s="12" t="str">
        <f>IF(G$213&gt;((($C$23+$C$17*$C$18)-(K219-IF(G219="preference",G$213,0)))/(C$210+(L219-IF(G219="convert",G$214,0))+G$214)*G$214),"preference","convert")</f>
        <v>convert</v>
      </c>
      <c r="H220" s="12" t="str">
        <f>IF(H$213&gt;((($C$23+$C$17*$C$18)-(K219-IF(H219="preference",H$213,0)))/(C$210+(L219-IF(H219="convert",H$214,0))+H$214)*H$214),"preference","convert")</f>
        <v>convert</v>
      </c>
      <c r="I220" s="12" t="str">
        <f>IF(I$213&gt;((($C$23+$C$17*$C$18)-(K219-IF(I219="preference",I$213,0)))/(C$210+(L219-IF(I219="convert",I$214,0))+I$214)*I$214),"preference","convert")</f>
        <v>convert</v>
      </c>
      <c r="J220" s="12" t="str">
        <f>IF(J$213&gt;((($C$23+$C$17*$C$18)-(K219-IF(J219="preference",J$213,0)))/(C$210+(L219-IF(J219="convert",J$214,0))+J$214)*J$214),"preference","convert")</f>
        <v>convert</v>
      </c>
      <c r="K220" s="8">
        <f>IF(D220="preference",D213,0)+IF(E220="preference",E213,0)+IF(F220="preference",F213,0)+IF(G220="preference",G213,0)+IF(H220="preference",H213,0)+IF(I220="preference",I213,0)+IF(J220="preference",J213,0)</f>
        <v>100000000</v>
      </c>
      <c r="L220" s="11">
        <f>IF(D220="convert",D214,0)+IF(E220="convert",E214,0)+IF(F220="convert",F214,0)+IF(G220="convert",G214,0)+IF(H220="convert",H214,0)+IF(I220="convert",I214,0)+IF(J220="convert",J214,0)</f>
        <v>22524123.460887156</v>
      </c>
    </row>
    <row r="221" spans="2:3" x14ac:dyDescent="0.25">
      <c r="B221" s="12" t="s">
        <v>249</v>
      </c>
      <c r="C221" s="21">
        <f>(($C$23+$C$17*$C$18)-K220)/(C210+L220)</f>
        <v>55.40473471270621</v>
      </c>
    </row>
    <row r="222" spans="2:4" x14ac:dyDescent="0.25">
      <c r="B222" s="5" t="s">
        <v>250</v>
      </c>
      <c r="C222" s="5" t="str">
        <f>D220</f>
        <v>convert</v>
      </c>
      <c r="D222" s="8">
        <f>IF(D220="preference",$C$24,C221*$C$24/C203)</f>
        <v>17795002.64012792</v>
      </c>
    </row>
    <row r="223" spans="2:3" x14ac:dyDescent="0.25">
      <c r="B223" s="12" t="s">
        <v>251</v>
      </c>
      <c r="C223" s="27">
        <f>($C$24/C203)/C204</f>
        <v>0.008130081300813007</v>
      </c>
    </row>
    <row r="224" spans="2:12" x14ac:dyDescent="0.25">
      <c r="B224" s="19" t="s">
        <v>258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</row>
    <row r="225" spans="2:3" x14ac:dyDescent="0.25">
      <c r="B225" s="5" t="s">
        <v>216</v>
      </c>
      <c r="C225" s="16">
        <f>Assumptions!D72</f>
        <v>1400000000</v>
      </c>
    </row>
    <row r="226" spans="2:3" x14ac:dyDescent="0.25">
      <c r="B226" s="5" t="s">
        <v>217</v>
      </c>
      <c r="C226" s="17">
        <f>Assumptions!E71</f>
        <v>0.15</v>
      </c>
    </row>
    <row r="227" spans="2:3" x14ac:dyDescent="0.25">
      <c r="B227" s="5" t="s">
        <v>218</v>
      </c>
      <c r="C227" s="8">
        <f>C225+$C$7</f>
        <v>1430000000</v>
      </c>
    </row>
    <row r="228" spans="2:4" x14ac:dyDescent="0.25">
      <c r="B228" s="5" t="s">
        <v>219</v>
      </c>
      <c r="C228" s="11" t="str">
        <f>IF(C225&gt;$C$22,"cap","discount")</f>
        <v>cap</v>
      </c>
      <c r="D228" s="11">
        <f>IF(C228="cap",$C$20*C225/($D$20+$C$20),$C$20/(1-$E$20))</f>
        <v>6965174.129353234</v>
      </c>
    </row>
    <row r="229" spans="2:4" x14ac:dyDescent="0.25">
      <c r="B229" s="5" t="s">
        <v>220</v>
      </c>
      <c r="C229" s="11" t="str">
        <f>IF(C225&gt;$D$22,"cap","discount")</f>
        <v>discount</v>
      </c>
      <c r="D229" s="11">
        <f>IF(C229="cap",$C$21*C225/($D$21+$C$21),$C$21/(1-$E$21))</f>
        <v>3529411.7647058824</v>
      </c>
    </row>
    <row r="230" spans="2:3" x14ac:dyDescent="0.25">
      <c r="B230" s="5" t="s">
        <v>221</v>
      </c>
      <c r="C230" s="8">
        <f>(1-C226)*C227-$C$7-$C$12-$C$14-D228-D229</f>
        <v>1168697577.5645194</v>
      </c>
    </row>
    <row r="231" spans="2:3" x14ac:dyDescent="0.25">
      <c r="B231" s="12" t="s">
        <v>222</v>
      </c>
      <c r="C231" s="21">
        <f>C230/$C$15</f>
        <v>36.40877612422672</v>
      </c>
    </row>
    <row r="232" spans="2:3" x14ac:dyDescent="0.25">
      <c r="B232" s="5" t="s">
        <v>223</v>
      </c>
      <c r="C232" s="11">
        <f>C227/C231</f>
        <v>39276244.69223686</v>
      </c>
    </row>
    <row r="233" spans="2:3" x14ac:dyDescent="0.25">
      <c r="B233" s="5" t="s">
        <v>224</v>
      </c>
      <c r="C233" s="11">
        <f>$C$7/C231</f>
        <v>823977.1613755985</v>
      </c>
    </row>
    <row r="234" spans="2:3" x14ac:dyDescent="0.25">
      <c r="B234" s="5" t="s">
        <v>225</v>
      </c>
      <c r="C234" s="11">
        <f>$C$11+$C$12/C231</f>
        <v>6137698.5858645085</v>
      </c>
    </row>
    <row r="235" spans="2:3" x14ac:dyDescent="0.25">
      <c r="B235" s="5" t="s">
        <v>226</v>
      </c>
      <c r="C235" s="11">
        <f>$C$13+$C$14/C231</f>
        <v>1734888.9380012604</v>
      </c>
    </row>
    <row r="236" spans="2:4" x14ac:dyDescent="0.25">
      <c r="B236" s="5" t="s">
        <v>227</v>
      </c>
      <c r="C236" s="11">
        <f>D228/C231</f>
        <v>191304.81358637445</v>
      </c>
      <c r="D236" s="11">
        <f>D229/C231</f>
        <v>96938.48957359983</v>
      </c>
    </row>
    <row r="237" spans="2:3" x14ac:dyDescent="0.25">
      <c r="B237" s="5" t="s">
        <v>228</v>
      </c>
      <c r="C237" s="11">
        <f>MAX($C$19,C226*C232)</f>
        <v>5891436.703835529</v>
      </c>
    </row>
    <row r="238" spans="2:3" x14ac:dyDescent="0.25">
      <c r="B238" s="5" t="s">
        <v>229</v>
      </c>
      <c r="C238" s="11">
        <f>$C$16+$C$17+C236+D236</f>
        <v>11788243.303159975</v>
      </c>
    </row>
    <row r="239" spans="2:12" x14ac:dyDescent="0.25">
      <c r="B239" s="19" t="s">
        <v>230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</row>
    <row r="240" spans="2:12" x14ac:dyDescent="0.25">
      <c r="B240" s="23" t="s">
        <v>231</v>
      </c>
      <c r="D240" s="23" t="s">
        <v>232</v>
      </c>
      <c r="E240" s="23" t="s">
        <v>233</v>
      </c>
      <c r="F240" s="23" t="s">
        <v>234</v>
      </c>
      <c r="G240" s="23" t="s">
        <v>235</v>
      </c>
      <c r="H240" s="23" t="s">
        <v>236</v>
      </c>
      <c r="I240" s="23" t="s">
        <v>237</v>
      </c>
      <c r="J240" s="23" t="s">
        <v>114</v>
      </c>
      <c r="K240" s="23" t="s">
        <v>238</v>
      </c>
      <c r="L240" s="23" t="s">
        <v>239</v>
      </c>
    </row>
    <row r="241" spans="2:10" x14ac:dyDescent="0.25">
      <c r="B241" s="5" t="s">
        <v>240</v>
      </c>
      <c r="D241" s="8">
        <f>$C$7</f>
      </c>
      <c r="E241" s="8">
        <f>Assumptions!C53</f>
        <v>300000000</v>
      </c>
      <c r="F241" s="8">
        <f>Assumptions!C52</f>
        <v>100000000</v>
      </c>
      <c r="G241" s="8">
        <f>Assumptions!C51</f>
        <v>60000000</v>
      </c>
      <c r="H241" s="8">
        <f>Assumptions!C50</f>
        <v>30000000</v>
      </c>
      <c r="I241" s="8">
        <f>Assumptions!C49</f>
        <v>15000000</v>
      </c>
      <c r="J241" s="8">
        <f>Assumptions!C48</f>
        <v>5000000</v>
      </c>
    </row>
    <row r="242" spans="2:10" x14ac:dyDescent="0.25">
      <c r="B242" s="5" t="s">
        <v>241</v>
      </c>
      <c r="D242" s="11">
        <f>C233</f>
        <v>823977.1613755985</v>
      </c>
      <c r="E242" s="11">
        <f>C234</f>
        <v>6137698.5858645085</v>
      </c>
      <c r="F242" s="11">
        <f>C235</f>
        <v>1734888.9380012604</v>
      </c>
      <c r="G242" s="11">
        <f>Assumptions!C43</f>
        <v>2400000</v>
      </c>
      <c r="H242" s="11">
        <f>Assumptions!C42</f>
        <v>3000000</v>
      </c>
      <c r="I242" s="11">
        <f>Assumptions!C41</f>
        <v>5000000</v>
      </c>
      <c r="J242" s="11">
        <f>Assumptions!C40</f>
        <v>5000000</v>
      </c>
    </row>
    <row r="243" spans="2:12" x14ac:dyDescent="0.25">
      <c r="B243" s="5" t="s">
        <v>242</v>
      </c>
      <c r="D243" s="5" t="s">
        <v>243</v>
      </c>
      <c r="E243" s="5" t="s">
        <v>243</v>
      </c>
      <c r="F243" s="5" t="s">
        <v>243</v>
      </c>
      <c r="G243" s="5" t="s">
        <v>243</v>
      </c>
      <c r="H243" s="5" t="s">
        <v>243</v>
      </c>
      <c r="I243" s="5" t="s">
        <v>243</v>
      </c>
      <c r="J243" s="5" t="s">
        <v>243</v>
      </c>
      <c r="K243" s="8">
        <f>IF(D243="preference",D241,0)+IF(E243="preference",E241,0)+IF(F243="preference",F241,0)+IF(G243="preference",G241,0)+IF(H243="preference",H241,0)+IF(I243="preference",I241,0)+IF(J243="preference",J241,0)</f>
        <v>0</v>
      </c>
      <c r="L243" s="11">
        <f>IF(D243="convert",D242,0)+IF(E243="convert",E242,0)+IF(F243="convert",F242,0)+IF(G243="convert",G242,0)+IF(H243="convert",H242,0)+IF(I243="convert",I242,0)+IF(J243="convert",J242,0)</f>
        <v>24096564.685241368</v>
      </c>
    </row>
    <row r="244" spans="2:12" x14ac:dyDescent="0.25">
      <c r="B244" s="5" t="s">
        <v>244</v>
      </c>
      <c r="D244" s="5" t="str">
        <f>IF(D$241&gt;((($C$23+$C$17*$C$18)-(K243-IF(D243="preference",D$241,0)))/(C$238+(L243-IF(D243="convert",D$242,0))+D$242)*D$242),"preference","convert")</f>
        <v>convert</v>
      </c>
      <c r="E244" s="5" t="str">
        <f>IF(E$241&gt;((($C$23+$C$17*$C$18)-(K243-IF(E243="preference",E$241,0)))/(C$238+(L243-IF(E243="convert",E$242,0))+E$242)*E$242),"preference","convert")</f>
        <v>convert</v>
      </c>
      <c r="F244" s="5" t="str">
        <f>IF(F$241&gt;((($C$23+$C$17*$C$18)-(K243-IF(F243="preference",F$241,0)))/(C$238+(L243-IF(F243="convert",F$242,0))+F$242)*F$242),"preference","convert")</f>
        <v>preference</v>
      </c>
      <c r="G244" s="5" t="str">
        <f>IF(G$241&gt;((($C$23+$C$17*$C$18)-(K243-IF(G243="preference",G$241,0)))/(C$238+(L243-IF(G243="convert",G$242,0))+G$242)*G$242),"preference","convert")</f>
        <v>convert</v>
      </c>
      <c r="H244" s="5" t="str">
        <f>IF(H$241&gt;((($C$23+$C$17*$C$18)-(K243-IF(H243="preference",H$241,0)))/(C$238+(L243-IF(H243="convert",H$242,0))+H$242)*H$242),"preference","convert")</f>
        <v>convert</v>
      </c>
      <c r="I244" s="5" t="str">
        <f>IF(I$241&gt;((($C$23+$C$17*$C$18)-(K243-IF(I243="preference",I$241,0)))/(C$238+(L243-IF(I243="convert",I$242,0))+I$242)*I$242),"preference","convert")</f>
        <v>convert</v>
      </c>
      <c r="J244" s="5" t="str">
        <f>IF(J$241&gt;((($C$23+$C$17*$C$18)-(K243-IF(J243="preference",J$241,0)))/(C$238+(L243-IF(J243="convert",J$242,0))+J$242)*J$242),"preference","convert")</f>
        <v>convert</v>
      </c>
      <c r="K244" s="8">
        <f>IF(D244="preference",D241,0)+IF(E244="preference",E241,0)+IF(F244="preference",F241,0)+IF(G244="preference",G241,0)+IF(H244="preference",H241,0)+IF(I244="preference",I241,0)+IF(J244="preference",J241,0)</f>
        <v>100000000</v>
      </c>
      <c r="L244" s="11">
        <f>IF(D244="convert",D242,0)+IF(E244="convert",E242,0)+IF(F244="convert",F242,0)+IF(G244="convert",G242,0)+IF(H244="convert",H242,0)+IF(I244="convert",I242,0)+IF(J244="convert",J242,0)</f>
        <v>22361675.747240108</v>
      </c>
    </row>
    <row r="245" spans="2:12" x14ac:dyDescent="0.25">
      <c r="B245" s="5" t="s">
        <v>245</v>
      </c>
      <c r="D245" s="5" t="str">
        <f>IF(D$241&gt;((($C$23+$C$17*$C$18)-(K244-IF(D244="preference",D$241,0)))/(C$238+(L244-IF(D244="convert",D$242,0))+D$242)*D$242),"preference","convert")</f>
        <v>convert</v>
      </c>
      <c r="E245" s="5" t="str">
        <f>IF(E$241&gt;((($C$23+$C$17*$C$18)-(K244-IF(E244="preference",E$241,0)))/(C$238+(L244-IF(E244="convert",E$242,0))+E$242)*E$242),"preference","convert")</f>
        <v>convert</v>
      </c>
      <c r="F245" s="5" t="str">
        <f>IF(F$241&gt;((($C$23+$C$17*$C$18)-(K244-IF(F244="preference",F$241,0)))/(C$238+(L244-IF(F244="convert",F$242,0))+F$242)*F$242),"preference","convert")</f>
        <v>preference</v>
      </c>
      <c r="G245" s="5" t="str">
        <f>IF(G$241&gt;((($C$23+$C$17*$C$18)-(K244-IF(G244="preference",G$241,0)))/(C$238+(L244-IF(G244="convert",G$242,0))+G$242)*G$242),"preference","convert")</f>
        <v>convert</v>
      </c>
      <c r="H245" s="5" t="str">
        <f>IF(H$241&gt;((($C$23+$C$17*$C$18)-(K244-IF(H244="preference",H$241,0)))/(C$238+(L244-IF(H244="convert",H$242,0))+H$242)*H$242),"preference","convert")</f>
        <v>convert</v>
      </c>
      <c r="I245" s="5" t="str">
        <f>IF(I$241&gt;((($C$23+$C$17*$C$18)-(K244-IF(I244="preference",I$241,0)))/(C$238+(L244-IF(I244="convert",I$242,0))+I$242)*I$242),"preference","convert")</f>
        <v>convert</v>
      </c>
      <c r="J245" s="5" t="str">
        <f>IF(J$241&gt;((($C$23+$C$17*$C$18)-(K244-IF(J244="preference",J$241,0)))/(C$238+(L244-IF(J244="convert",J$242,0))+J$242)*J$242),"preference","convert")</f>
        <v>convert</v>
      </c>
      <c r="K245" s="8">
        <f>IF(D245="preference",D241,0)+IF(E245="preference",E241,0)+IF(F245="preference",F241,0)+IF(G245="preference",G241,0)+IF(H245="preference",H241,0)+IF(I245="preference",I241,0)+IF(J245="preference",J241,0)</f>
        <v>100000000</v>
      </c>
      <c r="L245" s="11">
        <f>IF(D245="convert",D242,0)+IF(E245="convert",E242,0)+IF(F245="convert",F242,0)+IF(G245="convert",G242,0)+IF(H245="convert",H242,0)+IF(I245="convert",I242,0)+IF(J245="convert",J242,0)</f>
        <v>22361675.747240108</v>
      </c>
    </row>
    <row r="246" spans="2:12" x14ac:dyDescent="0.25">
      <c r="B246" s="5" t="s">
        <v>246</v>
      </c>
      <c r="D246" s="5" t="str">
        <f>IF(D$241&gt;((($C$23+$C$17*$C$18)-(K245-IF(D245="preference",D$241,0)))/(C$238+(L245-IF(D245="convert",D$242,0))+D$242)*D$242),"preference","convert")</f>
        <v>convert</v>
      </c>
      <c r="E246" s="5" t="str">
        <f>IF(E$241&gt;((($C$23+$C$17*$C$18)-(K245-IF(E245="preference",E$241,0)))/(C$238+(L245-IF(E245="convert",E$242,0))+E$242)*E$242),"preference","convert")</f>
        <v>convert</v>
      </c>
      <c r="F246" s="5" t="str">
        <f>IF(F$241&gt;((($C$23+$C$17*$C$18)-(K245-IF(F245="preference",F$241,0)))/(C$238+(L245-IF(F245="convert",F$242,0))+F$242)*F$242),"preference","convert")</f>
        <v>preference</v>
      </c>
      <c r="G246" s="5" t="str">
        <f>IF(G$241&gt;((($C$23+$C$17*$C$18)-(K245-IF(G245="preference",G$241,0)))/(C$238+(L245-IF(G245="convert",G$242,0))+G$242)*G$242),"preference","convert")</f>
        <v>convert</v>
      </c>
      <c r="H246" s="5" t="str">
        <f>IF(H$241&gt;((($C$23+$C$17*$C$18)-(K245-IF(H245="preference",H$241,0)))/(C$238+(L245-IF(H245="convert",H$242,0))+H$242)*H$242),"preference","convert")</f>
        <v>convert</v>
      </c>
      <c r="I246" s="5" t="str">
        <f>IF(I$241&gt;((($C$23+$C$17*$C$18)-(K245-IF(I245="preference",I$241,0)))/(C$238+(L245-IF(I245="convert",I$242,0))+I$242)*I$242),"preference","convert")</f>
        <v>convert</v>
      </c>
      <c r="J246" s="5" t="str">
        <f>IF(J$241&gt;((($C$23+$C$17*$C$18)-(K245-IF(J245="preference",J$241,0)))/(C$238+(L245-IF(J245="convert",J$242,0))+J$242)*J$242),"preference","convert")</f>
        <v>convert</v>
      </c>
      <c r="K246" s="8">
        <f>IF(D246="preference",D241,0)+IF(E246="preference",E241,0)+IF(F246="preference",F241,0)+IF(G246="preference",G241,0)+IF(H246="preference",H241,0)+IF(I246="preference",I241,0)+IF(J246="preference",J241,0)</f>
        <v>100000000</v>
      </c>
      <c r="L246" s="11">
        <f>IF(D246="convert",D242,0)+IF(E246="convert",E242,0)+IF(F246="convert",F242,0)+IF(G246="convert",G242,0)+IF(H246="convert",H242,0)+IF(I246="convert",I242,0)+IF(J246="convert",J242,0)</f>
        <v>22361675.747240108</v>
      </c>
    </row>
    <row r="247" spans="2:12" x14ac:dyDescent="0.25">
      <c r="B247" s="5" t="s">
        <v>247</v>
      </c>
      <c r="D247" s="5" t="str">
        <f>IF(D$241&gt;((($C$23+$C$17*$C$18)-(K246-IF(D246="preference",D$241,0)))/(C$238+(L246-IF(D246="convert",D$242,0))+D$242)*D$242),"preference","convert")</f>
        <v>convert</v>
      </c>
      <c r="E247" s="5" t="str">
        <f>IF(E$241&gt;((($C$23+$C$17*$C$18)-(K246-IF(E246="preference",E$241,0)))/(C$238+(L246-IF(E246="convert",E$242,0))+E$242)*E$242),"preference","convert")</f>
        <v>convert</v>
      </c>
      <c r="F247" s="5" t="str">
        <f>IF(F$241&gt;((($C$23+$C$17*$C$18)-(K246-IF(F246="preference",F$241,0)))/(C$238+(L246-IF(F246="convert",F$242,0))+F$242)*F$242),"preference","convert")</f>
        <v>preference</v>
      </c>
      <c r="G247" s="5" t="str">
        <f>IF(G$241&gt;((($C$23+$C$17*$C$18)-(K246-IF(G246="preference",G$241,0)))/(C$238+(L246-IF(G246="convert",G$242,0))+G$242)*G$242),"preference","convert")</f>
        <v>convert</v>
      </c>
      <c r="H247" s="5" t="str">
        <f>IF(H$241&gt;((($C$23+$C$17*$C$18)-(K246-IF(H246="preference",H$241,0)))/(C$238+(L246-IF(H246="convert",H$242,0))+H$242)*H$242),"preference","convert")</f>
        <v>convert</v>
      </c>
      <c r="I247" s="5" t="str">
        <f>IF(I$241&gt;((($C$23+$C$17*$C$18)-(K246-IF(I246="preference",I$241,0)))/(C$238+(L246-IF(I246="convert",I$242,0))+I$242)*I$242),"preference","convert")</f>
        <v>convert</v>
      </c>
      <c r="J247" s="5" t="str">
        <f>IF(J$241&gt;((($C$23+$C$17*$C$18)-(K246-IF(J246="preference",J$241,0)))/(C$238+(L246-IF(J246="convert",J$242,0))+J$242)*J$242),"preference","convert")</f>
        <v>convert</v>
      </c>
      <c r="K247" s="8">
        <f>IF(D247="preference",D241,0)+IF(E247="preference",E241,0)+IF(F247="preference",F241,0)+IF(G247="preference",G241,0)+IF(H247="preference",H241,0)+IF(I247="preference",I241,0)+IF(J247="preference",J241,0)</f>
        <v>100000000</v>
      </c>
      <c r="L247" s="11">
        <f>IF(D247="convert",D242,0)+IF(E247="convert",E242,0)+IF(F247="convert",F242,0)+IF(G247="convert",G242,0)+IF(H247="convert",H242,0)+IF(I247="convert",I242,0)+IF(J247="convert",J242,0)</f>
        <v>22361675.747240108</v>
      </c>
    </row>
    <row r="248" spans="2:12" x14ac:dyDescent="0.25">
      <c r="B248" s="12" t="s">
        <v>248</v>
      </c>
      <c r="D248" s="12" t="str">
        <f>IF(D$241&gt;((($C$23+$C$17*$C$18)-(K247-IF(D247="preference",D$241,0)))/(C$238+(L247-IF(D247="convert",D$242,0))+D$242)*D$242),"preference","convert")</f>
        <v>convert</v>
      </c>
      <c r="E248" s="12" t="str">
        <f>IF(E$241&gt;((($C$23+$C$17*$C$18)-(K247-IF(E247="preference",E$241,0)))/(C$238+(L247-IF(E247="convert",E$242,0))+E$242)*E$242),"preference","convert")</f>
        <v>convert</v>
      </c>
      <c r="F248" s="12" t="str">
        <f>IF(F$241&gt;((($C$23+$C$17*$C$18)-(K247-IF(F247="preference",F$241,0)))/(C$238+(L247-IF(F247="convert",F$242,0))+F$242)*F$242),"preference","convert")</f>
        <v>preference</v>
      </c>
      <c r="G248" s="12" t="str">
        <f>IF(G$241&gt;((($C$23+$C$17*$C$18)-(K247-IF(G247="preference",G$241,0)))/(C$238+(L247-IF(G247="convert",G$242,0))+G$242)*G$242),"preference","convert")</f>
        <v>convert</v>
      </c>
      <c r="H248" s="12" t="str">
        <f>IF(H$241&gt;((($C$23+$C$17*$C$18)-(K247-IF(H247="preference",H$241,0)))/(C$238+(L247-IF(H247="convert",H$242,0))+H$242)*H$242),"preference","convert")</f>
        <v>convert</v>
      </c>
      <c r="I248" s="12" t="str">
        <f>IF(I$241&gt;((($C$23+$C$17*$C$18)-(K247-IF(I247="preference",I$241,0)))/(C$238+(L247-IF(I247="convert",I$242,0))+I$242)*I$242),"preference","convert")</f>
        <v>convert</v>
      </c>
      <c r="J248" s="12" t="str">
        <f>IF(J$241&gt;((($C$23+$C$17*$C$18)-(K247-IF(J247="preference",J$241,0)))/(C$238+(L247-IF(J247="convert",J$242,0))+J$242)*J$242),"preference","convert")</f>
        <v>convert</v>
      </c>
      <c r="K248" s="8">
        <f>IF(D248="preference",D241,0)+IF(E248="preference",E241,0)+IF(F248="preference",F241,0)+IF(G248="preference",G241,0)+IF(H248="preference",H241,0)+IF(I248="preference",I241,0)+IF(J248="preference",J241,0)</f>
        <v>100000000</v>
      </c>
      <c r="L248" s="11">
        <f>IF(D248="convert",D242,0)+IF(E248="convert",E242,0)+IF(F248="convert",F242,0)+IF(G248="convert",G242,0)+IF(H248="convert",H242,0)+IF(I248="convert",I242,0)+IF(J248="convert",J242,0)</f>
        <v>22361675.747240108</v>
      </c>
    </row>
    <row r="249" spans="2:3" x14ac:dyDescent="0.25">
      <c r="B249" s="12" t="s">
        <v>249</v>
      </c>
      <c r="C249" s="21">
        <f>(($C$23+$C$17*$C$18)-K248)/(C238+L248)</f>
        <v>55.71023454527665</v>
      </c>
    </row>
    <row r="250" spans="2:4" x14ac:dyDescent="0.25">
      <c r="B250" s="5" t="s">
        <v>250</v>
      </c>
      <c r="C250" s="5" t="str">
        <f>D248</f>
        <v>convert</v>
      </c>
      <c r="D250" s="8">
        <f>IF(D248="preference",$C$24,C249*$C$24/C231)</f>
        <v>15301320.306728622</v>
      </c>
    </row>
    <row r="251" spans="2:3" x14ac:dyDescent="0.25">
      <c r="B251" s="12" t="s">
        <v>251</v>
      </c>
      <c r="C251" s="27">
        <f>($C$24/C231)/C232</f>
        <v>0.006993006993006994</v>
      </c>
    </row>
    <row r="252" spans="2:12" x14ac:dyDescent="0.25">
      <c r="B252" s="19" t="s">
        <v>259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</row>
    <row r="253" spans="2:3" x14ac:dyDescent="0.25">
      <c r="B253" s="5" t="s">
        <v>216</v>
      </c>
      <c r="C253" s="16">
        <f>Assumptions!E72</f>
        <v>1800000000</v>
      </c>
    </row>
    <row r="254" spans="2:3" x14ac:dyDescent="0.25">
      <c r="B254" s="5" t="s">
        <v>217</v>
      </c>
      <c r="C254" s="17">
        <f>Assumptions!E71</f>
        <v>0.15</v>
      </c>
    </row>
    <row r="255" spans="2:3" x14ac:dyDescent="0.25">
      <c r="B255" s="5" t="s">
        <v>218</v>
      </c>
      <c r="C255" s="8">
        <f>C253+$C$7</f>
        <v>1830000000</v>
      </c>
    </row>
    <row r="256" spans="2:4" x14ac:dyDescent="0.25">
      <c r="B256" s="5" t="s">
        <v>219</v>
      </c>
      <c r="C256" s="11" t="str">
        <f>IF(C253&gt;$C$22,"cap","discount")</f>
        <v>cap</v>
      </c>
      <c r="D256" s="11">
        <f>IF(C256="cap",$C$20*C253/($D$20+$C$20),$C$20/(1-$E$20))</f>
        <v>8955223.880597016</v>
      </c>
    </row>
    <row r="257" spans="2:4" x14ac:dyDescent="0.25">
      <c r="B257" s="5" t="s">
        <v>220</v>
      </c>
      <c r="C257" s="11" t="str">
        <f>IF(C253&gt;$D$22,"cap","discount")</f>
        <v>discount</v>
      </c>
      <c r="D257" s="11">
        <f>IF(C257="cap",$C$21*C253/($D$21+$C$21),$C$21/(1-$E$21))</f>
        <v>3529411.7647058824</v>
      </c>
    </row>
    <row r="258" spans="2:3" x14ac:dyDescent="0.25">
      <c r="B258" s="5" t="s">
        <v>221</v>
      </c>
      <c r="C258" s="8">
        <f>(1-C254)*C255-$C$7-$C$12-$C$14-D256-D257</f>
        <v>1506707527.8132756</v>
      </c>
    </row>
    <row r="259" spans="2:3" x14ac:dyDescent="0.25">
      <c r="B259" s="12" t="s">
        <v>222</v>
      </c>
      <c r="C259" s="21">
        <f>C258/$C$15</f>
        <v>46.938898580725585</v>
      </c>
    </row>
    <row r="260" spans="2:3" x14ac:dyDescent="0.25">
      <c r="B260" s="5" t="s">
        <v>223</v>
      </c>
      <c r="C260" s="11">
        <f>C255/C259</f>
        <v>38986854.30065563</v>
      </c>
    </row>
    <row r="261" spans="2:3" x14ac:dyDescent="0.25">
      <c r="B261" s="5" t="s">
        <v>224</v>
      </c>
      <c r="C261" s="11">
        <f>$C$7/C259</f>
        <v>639128.7590271416</v>
      </c>
    </row>
    <row r="262" spans="2:3" x14ac:dyDescent="0.25">
      <c r="B262" s="5" t="s">
        <v>225</v>
      </c>
      <c r="C262" s="11">
        <f>$C$11+$C$12/C259</f>
        <v>6107397.1689666025</v>
      </c>
    </row>
    <row r="263" spans="2:3" x14ac:dyDescent="0.25">
      <c r="B263" s="5" t="s">
        <v>226</v>
      </c>
      <c r="C263" s="11">
        <f>$C$13+$C$14/C259</f>
        <v>1726323.904667266</v>
      </c>
    </row>
    <row r="264" spans="2:4" x14ac:dyDescent="0.25">
      <c r="B264" s="5" t="s">
        <v>227</v>
      </c>
      <c r="C264" s="11">
        <f>D256/C259</f>
        <v>190784.70418720646</v>
      </c>
      <c r="D264" s="11">
        <f>D257/C259</f>
        <v>75191.61870907548</v>
      </c>
    </row>
    <row r="265" spans="2:3" x14ac:dyDescent="0.25">
      <c r="B265" s="5" t="s">
        <v>228</v>
      </c>
      <c r="C265" s="11">
        <f>MAX($C$19,C254*C260)</f>
        <v>5848028.145098344</v>
      </c>
    </row>
    <row r="266" spans="2:3" x14ac:dyDescent="0.25">
      <c r="B266" s="5" t="s">
        <v>229</v>
      </c>
      <c r="C266" s="11">
        <f>$C$16+$C$17+C264+D264</f>
        <v>11765976.322896283</v>
      </c>
    </row>
    <row r="267" spans="2:12" x14ac:dyDescent="0.25">
      <c r="B267" s="19" t="s">
        <v>230</v>
      </c>
      <c r="C267" s="20"/>
      <c r="D267" s="20"/>
      <c r="E267" s="20"/>
      <c r="F267" s="20"/>
      <c r="G267" s="20"/>
      <c r="H267" s="20"/>
      <c r="I267" s="20"/>
      <c r="J267" s="20"/>
      <c r="K267" s="20"/>
      <c r="L267" s="20"/>
    </row>
    <row r="268" spans="2:12" x14ac:dyDescent="0.25">
      <c r="B268" s="23" t="s">
        <v>231</v>
      </c>
      <c r="D268" s="23" t="s">
        <v>232</v>
      </c>
      <c r="E268" s="23" t="s">
        <v>233</v>
      </c>
      <c r="F268" s="23" t="s">
        <v>234</v>
      </c>
      <c r="G268" s="23" t="s">
        <v>235</v>
      </c>
      <c r="H268" s="23" t="s">
        <v>236</v>
      </c>
      <c r="I268" s="23" t="s">
        <v>237</v>
      </c>
      <c r="J268" s="23" t="s">
        <v>114</v>
      </c>
      <c r="K268" s="23" t="s">
        <v>238</v>
      </c>
      <c r="L268" s="23" t="s">
        <v>239</v>
      </c>
    </row>
    <row r="269" spans="2:10" x14ac:dyDescent="0.25">
      <c r="B269" s="5" t="s">
        <v>240</v>
      </c>
      <c r="D269" s="8">
        <f>$C$7</f>
      </c>
      <c r="E269" s="8">
        <f>Assumptions!C53</f>
        <v>300000000</v>
      </c>
      <c r="F269" s="8">
        <f>Assumptions!C52</f>
        <v>100000000</v>
      </c>
      <c r="G269" s="8">
        <f>Assumptions!C51</f>
        <v>60000000</v>
      </c>
      <c r="H269" s="8">
        <f>Assumptions!C50</f>
        <v>30000000</v>
      </c>
      <c r="I269" s="8">
        <f>Assumptions!C49</f>
        <v>15000000</v>
      </c>
      <c r="J269" s="8">
        <f>Assumptions!C48</f>
        <v>5000000</v>
      </c>
    </row>
    <row r="270" spans="2:10" x14ac:dyDescent="0.25">
      <c r="B270" s="5" t="s">
        <v>241</v>
      </c>
      <c r="D270" s="11">
        <f>C261</f>
        <v>639128.7590271416</v>
      </c>
      <c r="E270" s="11">
        <f>C262</f>
        <v>6107397.1689666025</v>
      </c>
      <c r="F270" s="11">
        <f>C263</f>
        <v>1726323.904667266</v>
      </c>
      <c r="G270" s="11">
        <f>Assumptions!C43</f>
        <v>2400000</v>
      </c>
      <c r="H270" s="11">
        <f>Assumptions!C42</f>
        <v>3000000</v>
      </c>
      <c r="I270" s="11">
        <f>Assumptions!C41</f>
        <v>5000000</v>
      </c>
      <c r="J270" s="11">
        <f>Assumptions!C40</f>
        <v>5000000</v>
      </c>
    </row>
    <row r="271" spans="2:12" x14ac:dyDescent="0.25">
      <c r="B271" s="5" t="s">
        <v>242</v>
      </c>
      <c r="D271" s="5" t="s">
        <v>243</v>
      </c>
      <c r="E271" s="5" t="s">
        <v>243</v>
      </c>
      <c r="F271" s="5" t="s">
        <v>243</v>
      </c>
      <c r="G271" s="5" t="s">
        <v>243</v>
      </c>
      <c r="H271" s="5" t="s">
        <v>243</v>
      </c>
      <c r="I271" s="5" t="s">
        <v>243</v>
      </c>
      <c r="J271" s="5" t="s">
        <v>243</v>
      </c>
      <c r="K271" s="8">
        <f>IF(D271="preference",D269,0)+IF(E271="preference",E269,0)+IF(F271="preference",F269,0)+IF(G271="preference",G269,0)+IF(H271="preference",H269,0)+IF(I271="preference",I269,0)+IF(J271="preference",J269,0)</f>
        <v>0</v>
      </c>
      <c r="L271" s="11">
        <f>IF(D271="convert",D270,0)+IF(E271="convert",E270,0)+IF(F271="convert",F270,0)+IF(G271="convert",G270,0)+IF(H271="convert",H270,0)+IF(I271="convert",I270,0)+IF(J271="convert",J270,0)</f>
        <v>23872849.83266101</v>
      </c>
    </row>
    <row r="272" spans="2:12" x14ac:dyDescent="0.25">
      <c r="B272" s="5" t="s">
        <v>244</v>
      </c>
      <c r="D272" s="5" t="str">
        <f>IF(D$269&gt;((($C$23+$C$17*$C$18)-(K271-IF(D271="preference",D$269,0)))/(C$266+(L271-IF(D271="convert",D$270,0))+D$270)*D$270),"preference","convert")</f>
        <v>convert</v>
      </c>
      <c r="E272" s="5" t="str">
        <f>IF(E$269&gt;((($C$23+$C$17*$C$18)-(K271-IF(E271="preference",E$269,0)))/(C$266+(L271-IF(E271="convert",E$270,0))+E$270)*E$270),"preference","convert")</f>
        <v>convert</v>
      </c>
      <c r="F272" s="5" t="str">
        <f>IF(F$269&gt;((($C$23+$C$17*$C$18)-(K271-IF(F271="preference",F$269,0)))/(C$266+(L271-IF(F271="convert",F$270,0))+F$270)*F$270),"preference","convert")</f>
        <v>preference</v>
      </c>
      <c r="G272" s="5" t="str">
        <f>IF(G$269&gt;((($C$23+$C$17*$C$18)-(K271-IF(G271="preference",G$269,0)))/(C$266+(L271-IF(G271="convert",G$270,0))+G$270)*G$270),"preference","convert")</f>
        <v>convert</v>
      </c>
      <c r="H272" s="5" t="str">
        <f>IF(H$269&gt;((($C$23+$C$17*$C$18)-(K271-IF(H271="preference",H$269,0)))/(C$266+(L271-IF(H271="convert",H$270,0))+H$270)*H$270),"preference","convert")</f>
        <v>convert</v>
      </c>
      <c r="I272" s="5" t="str">
        <f>IF(I$269&gt;((($C$23+$C$17*$C$18)-(K271-IF(I271="preference",I$269,0)))/(C$266+(L271-IF(I271="convert",I$270,0))+I$270)*I$270),"preference","convert")</f>
        <v>convert</v>
      </c>
      <c r="J272" s="5" t="str">
        <f>IF(J$269&gt;((($C$23+$C$17*$C$18)-(K271-IF(J271="preference",J$269,0)))/(C$266+(L271-IF(J271="convert",J$270,0))+J$270)*J$270),"preference","convert")</f>
        <v>convert</v>
      </c>
      <c r="K272" s="8">
        <f>IF(D272="preference",D269,0)+IF(E272="preference",E269,0)+IF(F272="preference",F269,0)+IF(G272="preference",G269,0)+IF(H272="preference",H269,0)+IF(I272="preference",I269,0)+IF(J272="preference",J269,0)</f>
        <v>100000000</v>
      </c>
      <c r="L272" s="11">
        <f>IF(D272="convert",D270,0)+IF(E272="convert",E270,0)+IF(F272="convert",F270,0)+IF(G272="convert",G270,0)+IF(H272="convert",H270,0)+IF(I272="convert",I270,0)+IF(J272="convert",J270,0)</f>
        <v>22146525.927993745</v>
      </c>
    </row>
    <row r="273" spans="2:12" x14ac:dyDescent="0.25">
      <c r="B273" s="5" t="s">
        <v>245</v>
      </c>
      <c r="D273" s="5" t="str">
        <f>IF(D$269&gt;((($C$23+$C$17*$C$18)-(K272-IF(D272="preference",D$269,0)))/(C$266+(L272-IF(D272="convert",D$270,0))+D$270)*D$270),"preference","convert")</f>
        <v>convert</v>
      </c>
      <c r="E273" s="5" t="str">
        <f>IF(E$269&gt;((($C$23+$C$17*$C$18)-(K272-IF(E272="preference",E$269,0)))/(C$266+(L272-IF(E272="convert",E$270,0))+E$270)*E$270),"preference","convert")</f>
        <v>convert</v>
      </c>
      <c r="F273" s="5" t="str">
        <f>IF(F$269&gt;((($C$23+$C$17*$C$18)-(K272-IF(F272="preference",F$269,0)))/(C$266+(L272-IF(F272="convert",F$270,0))+F$270)*F$270),"preference","convert")</f>
        <v>preference</v>
      </c>
      <c r="G273" s="5" t="str">
        <f>IF(G$269&gt;((($C$23+$C$17*$C$18)-(K272-IF(G272="preference",G$269,0)))/(C$266+(L272-IF(G272="convert",G$270,0))+G$270)*G$270),"preference","convert")</f>
        <v>convert</v>
      </c>
      <c r="H273" s="5" t="str">
        <f>IF(H$269&gt;((($C$23+$C$17*$C$18)-(K272-IF(H272="preference",H$269,0)))/(C$266+(L272-IF(H272="convert",H$270,0))+H$270)*H$270),"preference","convert")</f>
        <v>convert</v>
      </c>
      <c r="I273" s="5" t="str">
        <f>IF(I$269&gt;((($C$23+$C$17*$C$18)-(K272-IF(I272="preference",I$269,0)))/(C$266+(L272-IF(I272="convert",I$270,0))+I$270)*I$270),"preference","convert")</f>
        <v>convert</v>
      </c>
      <c r="J273" s="5" t="str">
        <f>IF(J$269&gt;((($C$23+$C$17*$C$18)-(K272-IF(J272="preference",J$269,0)))/(C$266+(L272-IF(J272="convert",J$270,0))+J$270)*J$270),"preference","convert")</f>
        <v>convert</v>
      </c>
      <c r="K273" s="8">
        <f>IF(D273="preference",D269,0)+IF(E273="preference",E269,0)+IF(F273="preference",F269,0)+IF(G273="preference",G269,0)+IF(H273="preference",H269,0)+IF(I273="preference",I269,0)+IF(J273="preference",J269,0)</f>
        <v>100000000</v>
      </c>
      <c r="L273" s="11">
        <f>IF(D273="convert",D270,0)+IF(E273="convert",E270,0)+IF(F273="convert",F270,0)+IF(G273="convert",G270,0)+IF(H273="convert",H270,0)+IF(I273="convert",I270,0)+IF(J273="convert",J270,0)</f>
        <v>22146525.927993745</v>
      </c>
    </row>
    <row r="274" spans="2:12" x14ac:dyDescent="0.25">
      <c r="B274" s="5" t="s">
        <v>246</v>
      </c>
      <c r="D274" s="5" t="str">
        <f>IF(D$269&gt;((($C$23+$C$17*$C$18)-(K273-IF(D273="preference",D$269,0)))/(C$266+(L273-IF(D273="convert",D$270,0))+D$270)*D$270),"preference","convert")</f>
        <v>convert</v>
      </c>
      <c r="E274" s="5" t="str">
        <f>IF(E$269&gt;((($C$23+$C$17*$C$18)-(K273-IF(E273="preference",E$269,0)))/(C$266+(L273-IF(E273="convert",E$270,0))+E$270)*E$270),"preference","convert")</f>
        <v>convert</v>
      </c>
      <c r="F274" s="5" t="str">
        <f>IF(F$269&gt;((($C$23+$C$17*$C$18)-(K273-IF(F273="preference",F$269,0)))/(C$266+(L273-IF(F273="convert",F$270,0))+F$270)*F$270),"preference","convert")</f>
        <v>preference</v>
      </c>
      <c r="G274" s="5" t="str">
        <f>IF(G$269&gt;((($C$23+$C$17*$C$18)-(K273-IF(G273="preference",G$269,0)))/(C$266+(L273-IF(G273="convert",G$270,0))+G$270)*G$270),"preference","convert")</f>
        <v>convert</v>
      </c>
      <c r="H274" s="5" t="str">
        <f>IF(H$269&gt;((($C$23+$C$17*$C$18)-(K273-IF(H273="preference",H$269,0)))/(C$266+(L273-IF(H273="convert",H$270,0))+H$270)*H$270),"preference","convert")</f>
        <v>convert</v>
      </c>
      <c r="I274" s="5" t="str">
        <f>IF(I$269&gt;((($C$23+$C$17*$C$18)-(K273-IF(I273="preference",I$269,0)))/(C$266+(L273-IF(I273="convert",I$270,0))+I$270)*I$270),"preference","convert")</f>
        <v>convert</v>
      </c>
      <c r="J274" s="5" t="str">
        <f>IF(J$269&gt;((($C$23+$C$17*$C$18)-(K273-IF(J273="preference",J$269,0)))/(C$266+(L273-IF(J273="convert",J$270,0))+J$270)*J$270),"preference","convert")</f>
        <v>convert</v>
      </c>
      <c r="K274" s="8">
        <f>IF(D274="preference",D269,0)+IF(E274="preference",E269,0)+IF(F274="preference",F269,0)+IF(G274="preference",G269,0)+IF(H274="preference",H269,0)+IF(I274="preference",I269,0)+IF(J274="preference",J269,0)</f>
        <v>100000000</v>
      </c>
      <c r="L274" s="11">
        <f>IF(D274="convert",D270,0)+IF(E274="convert",E270,0)+IF(F274="convert",F270,0)+IF(G274="convert",G270,0)+IF(H274="convert",H270,0)+IF(I274="convert",I270,0)+IF(J274="convert",J270,0)</f>
        <v>22146525.927993745</v>
      </c>
    </row>
    <row r="275" spans="2:12" x14ac:dyDescent="0.25">
      <c r="B275" s="5" t="s">
        <v>247</v>
      </c>
      <c r="D275" s="5" t="str">
        <f>IF(D$269&gt;((($C$23+$C$17*$C$18)-(K274-IF(D274="preference",D$269,0)))/(C$266+(L274-IF(D274="convert",D$270,0))+D$270)*D$270),"preference","convert")</f>
        <v>convert</v>
      </c>
      <c r="E275" s="5" t="str">
        <f>IF(E$269&gt;((($C$23+$C$17*$C$18)-(K274-IF(E274="preference",E$269,0)))/(C$266+(L274-IF(E274="convert",E$270,0))+E$270)*E$270),"preference","convert")</f>
        <v>convert</v>
      </c>
      <c r="F275" s="5" t="str">
        <f>IF(F$269&gt;((($C$23+$C$17*$C$18)-(K274-IF(F274="preference",F$269,0)))/(C$266+(L274-IF(F274="convert",F$270,0))+F$270)*F$270),"preference","convert")</f>
        <v>preference</v>
      </c>
      <c r="G275" s="5" t="str">
        <f>IF(G$269&gt;((($C$23+$C$17*$C$18)-(K274-IF(G274="preference",G$269,0)))/(C$266+(L274-IF(G274="convert",G$270,0))+G$270)*G$270),"preference","convert")</f>
        <v>convert</v>
      </c>
      <c r="H275" s="5" t="str">
        <f>IF(H$269&gt;((($C$23+$C$17*$C$18)-(K274-IF(H274="preference",H$269,0)))/(C$266+(L274-IF(H274="convert",H$270,0))+H$270)*H$270),"preference","convert")</f>
        <v>convert</v>
      </c>
      <c r="I275" s="5" t="str">
        <f>IF(I$269&gt;((($C$23+$C$17*$C$18)-(K274-IF(I274="preference",I$269,0)))/(C$266+(L274-IF(I274="convert",I$270,0))+I$270)*I$270),"preference","convert")</f>
        <v>convert</v>
      </c>
      <c r="J275" s="5" t="str">
        <f>IF(J$269&gt;((($C$23+$C$17*$C$18)-(K274-IF(J274="preference",J$269,0)))/(C$266+(L274-IF(J274="convert",J$270,0))+J$270)*J$270),"preference","convert")</f>
        <v>convert</v>
      </c>
      <c r="K275" s="8">
        <f>IF(D275="preference",D269,0)+IF(E275="preference",E269,0)+IF(F275="preference",F269,0)+IF(G275="preference",G269,0)+IF(H275="preference",H269,0)+IF(I275="preference",I269,0)+IF(J275="preference",J269,0)</f>
        <v>100000000</v>
      </c>
      <c r="L275" s="11">
        <f>IF(D275="convert",D270,0)+IF(E275="convert",E270,0)+IF(F275="convert",F270,0)+IF(G275="convert",G270,0)+IF(H275="convert",H270,0)+IF(I275="convert",I270,0)+IF(J275="convert",J270,0)</f>
        <v>22146525.927993745</v>
      </c>
    </row>
    <row r="276" spans="2:12" x14ac:dyDescent="0.25">
      <c r="B276" s="12" t="s">
        <v>248</v>
      </c>
      <c r="D276" s="12" t="str">
        <f>IF(D$269&gt;((($C$23+$C$17*$C$18)-(K275-IF(D275="preference",D$269,0)))/(C$266+(L275-IF(D275="convert",D$270,0))+D$270)*D$270),"preference","convert")</f>
        <v>convert</v>
      </c>
      <c r="E276" s="12" t="str">
        <f>IF(E$269&gt;((($C$23+$C$17*$C$18)-(K275-IF(E275="preference",E$269,0)))/(C$266+(L275-IF(E275="convert",E$270,0))+E$270)*E$270),"preference","convert")</f>
        <v>convert</v>
      </c>
      <c r="F276" s="12" t="str">
        <f>IF(F$269&gt;((($C$23+$C$17*$C$18)-(K275-IF(F275="preference",F$269,0)))/(C$266+(L275-IF(F275="convert",F$270,0))+F$270)*F$270),"preference","convert")</f>
        <v>preference</v>
      </c>
      <c r="G276" s="12" t="str">
        <f>IF(G$269&gt;((($C$23+$C$17*$C$18)-(K275-IF(G275="preference",G$269,0)))/(C$266+(L275-IF(G275="convert",G$270,0))+G$270)*G$270),"preference","convert")</f>
        <v>convert</v>
      </c>
      <c r="H276" s="12" t="str">
        <f>IF(H$269&gt;((($C$23+$C$17*$C$18)-(K275-IF(H275="preference",H$269,0)))/(C$266+(L275-IF(H275="convert",H$270,0))+H$270)*H$270),"preference","convert")</f>
        <v>convert</v>
      </c>
      <c r="I276" s="12" t="str">
        <f>IF(I$269&gt;((($C$23+$C$17*$C$18)-(K275-IF(I275="preference",I$269,0)))/(C$266+(L275-IF(I275="convert",I$270,0))+I$270)*I$270),"preference","convert")</f>
        <v>convert</v>
      </c>
      <c r="J276" s="12" t="str">
        <f>IF(J$269&gt;((($C$23+$C$17*$C$18)-(K275-IF(J275="preference",J$269,0)))/(C$266+(L275-IF(J275="convert",J$270,0))+J$270)*J$270),"preference","convert")</f>
        <v>convert</v>
      </c>
      <c r="K276" s="8">
        <f>IF(D276="preference",D269,0)+IF(E276="preference",E269,0)+IF(F276="preference",F269,0)+IF(G276="preference",G269,0)+IF(H276="preference",H269,0)+IF(I276="preference",I269,0)+IF(J276="preference",J269,0)</f>
        <v>100000000</v>
      </c>
      <c r="L276" s="11">
        <f>IF(D276="convert",D270,0)+IF(E276="convert",E270,0)+IF(F276="convert",F270,0)+IF(G276="convert",G270,0)+IF(H276="convert",H270,0)+IF(I276="convert",I270,0)+IF(J276="convert",J270,0)</f>
        <v>22146525.927993745</v>
      </c>
    </row>
    <row r="277" spans="2:3" x14ac:dyDescent="0.25">
      <c r="B277" s="12" t="s">
        <v>249</v>
      </c>
      <c r="C277" s="21">
        <f>(($C$23+$C$17*$C$18)-K276)/(C266+L276)</f>
        <v>56.1002542933873</v>
      </c>
    </row>
    <row r="278" spans="2:4" x14ac:dyDescent="0.25">
      <c r="B278" s="5" t="s">
        <v>250</v>
      </c>
      <c r="C278" s="5" t="str">
        <f>D276</f>
        <v>convert</v>
      </c>
      <c r="D278" s="8">
        <f>IF(D276="preference",$C$24,C277*$C$24/C259)</f>
        <v>11951761.969213232</v>
      </c>
    </row>
    <row r="279" spans="2:3" x14ac:dyDescent="0.25">
      <c r="B279" s="12" t="s">
        <v>251</v>
      </c>
      <c r="C279" s="27">
        <f>($C$24/C259)/C260</f>
        <v>0.005464480874316941</v>
      </c>
    </row>
    <row r="285" spans="2:12" x14ac:dyDescent="0.25">
      <c r="B285" s="3" t="s">
        <v>260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7" spans="2:7" x14ac:dyDescent="0.25">
      <c r="B287" s="19" t="s">
        <v>261</v>
      </c>
      <c r="C287" s="20"/>
      <c r="D287" s="20"/>
      <c r="E287" s="20"/>
      <c r="F287" s="20"/>
      <c r="G287" s="20"/>
    </row>
    <row r="288" spans="2:5" x14ac:dyDescent="0.25">
      <c r="B288" s="30" t="s">
        <v>262</v>
      </c>
      <c r="C288" s="31">
        <f>Assumptions!C72</f>
        <v>1200000000</v>
      </c>
      <c r="D288" s="31">
        <f>Assumptions!D72</f>
        <v>1400000000</v>
      </c>
      <c r="E288" s="31">
        <f>Assumptions!E72</f>
        <v>1800000000</v>
      </c>
    </row>
    <row r="289" spans="2:5" x14ac:dyDescent="0.25">
      <c r="B289" s="32">
        <f>Assumptions!C71</f>
        <v>0.11</v>
      </c>
      <c r="C289" s="8">
        <f>C55</f>
        <v>0.008130081300813009</v>
      </c>
      <c r="D289" s="8">
        <f>C83</f>
        <v>0.006993006993006994</v>
      </c>
      <c r="E289" s="8">
        <f>C111</f>
        <v>0.005464480874316939</v>
      </c>
    </row>
    <row r="290" spans="2:5" x14ac:dyDescent="0.25">
      <c r="B290" s="32">
        <f>Assumptions!D71</f>
        <v>0.13</v>
      </c>
      <c r="C290" s="8">
        <f>C139</f>
        <v>0.008130081300813009</v>
      </c>
      <c r="D290" s="33">
        <f>C167</f>
        <v>0.006993006993006993</v>
      </c>
      <c r="E290" s="8">
        <f>C195</f>
        <v>0.005464480874316939</v>
      </c>
    </row>
    <row r="291" spans="2:5" x14ac:dyDescent="0.25">
      <c r="B291" s="32">
        <f>Assumptions!E71</f>
        <v>0.15</v>
      </c>
      <c r="C291" s="8">
        <f>C223</f>
        <v>0.008130081300813007</v>
      </c>
      <c r="D291" s="8">
        <f>C251</f>
        <v>0.006993006993006994</v>
      </c>
      <c r="E291" s="8">
        <f>C279</f>
        <v>0.005464480874316941</v>
      </c>
    </row>
    <row r="294" spans="2:7" x14ac:dyDescent="0.25">
      <c r="B294" s="19" t="s">
        <v>263</v>
      </c>
      <c r="C294" s="20"/>
      <c r="D294" s="20"/>
      <c r="E294" s="20"/>
      <c r="F294" s="20"/>
      <c r="G294" s="20"/>
    </row>
    <row r="295" spans="2:5" x14ac:dyDescent="0.25">
      <c r="B295" s="30" t="s">
        <v>262</v>
      </c>
      <c r="C295" s="31">
        <f>Assumptions!C72</f>
        <v>1200000000</v>
      </c>
      <c r="D295" s="31">
        <f>Assumptions!D72</f>
        <v>1400000000</v>
      </c>
      <c r="E295" s="31">
        <f>Assumptions!E72</f>
        <v>1800000000</v>
      </c>
    </row>
    <row r="296" spans="2:5" x14ac:dyDescent="0.25">
      <c r="B296" s="32">
        <f>Assumptions!C71</f>
        <v>0.11</v>
      </c>
      <c r="C296" s="8">
        <f>D54</f>
        <v>16993410.30660825</v>
      </c>
      <c r="D296" s="8">
        <f>D82</f>
        <v>14612267.659100702</v>
      </c>
      <c r="E296" s="8">
        <f>D110</f>
        <v>11413762.674813997</v>
      </c>
    </row>
    <row r="297" spans="2:5" x14ac:dyDescent="0.25">
      <c r="B297" s="32">
        <f>Assumptions!D71</f>
        <v>0.13</v>
      </c>
      <c r="C297" s="8">
        <f>D138</f>
        <v>17384971.354333747</v>
      </c>
      <c r="D297" s="33">
        <f>D166</f>
        <v>14948857.89795312</v>
      </c>
      <c r="E297" s="8">
        <f>D194</f>
        <v>11676568.512005415</v>
      </c>
    </row>
    <row r="298" spans="2:5" x14ac:dyDescent="0.25">
      <c r="B298" s="32">
        <f>Assumptions!E71</f>
        <v>0.15</v>
      </c>
      <c r="C298" s="8">
        <f>D222</f>
        <v>17795002.64012792</v>
      </c>
      <c r="D298" s="8">
        <f>D250</f>
        <v>15301320.306728622</v>
      </c>
      <c r="E298" s="8">
        <f>D278</f>
        <v>11951761.969213232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10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3" width="13.955" customWidth="1"/>
    <col min="4" max="10" width="16.455" customWidth="1"/>
  </cols>
  <sheetData>
    <row r="2" ht="18" customHeight="1" spans="2:2" x14ac:dyDescent="0.25">
      <c r="B2" s="1" t="s">
        <v>264</v>
      </c>
    </row>
    <row r="3" spans="2:2" x14ac:dyDescent="0.25">
      <c r="B3" s="2" t="s">
        <v>265</v>
      </c>
    </row>
    <row r="5" spans="2:12" x14ac:dyDescent="0.25">
      <c r="B5" s="3" t="s">
        <v>266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2:4" x14ac:dyDescent="0.25">
      <c r="B6" s="23" t="s">
        <v>107</v>
      </c>
      <c r="C6" s="23" t="s">
        <v>267</v>
      </c>
      <c r="D6" s="23" t="s">
        <v>112</v>
      </c>
    </row>
    <row r="7" spans="2:4" x14ac:dyDescent="0.25">
      <c r="B7" s="5" t="s">
        <v>268</v>
      </c>
      <c r="C7" s="16">
        <f>'Pro-Forma'!C7</f>
        <v>30000000</v>
      </c>
      <c r="D7" s="11">
        <f>'Pro-Forma'!C7/'Pro-Forma'!C49</f>
        <v>804294.7137895287</v>
      </c>
    </row>
    <row r="8" spans="2:4" x14ac:dyDescent="0.25">
      <c r="B8" s="5" t="s">
        <v>119</v>
      </c>
      <c r="C8" s="16">
        <f>Assumptions!C53</f>
        <v>300000000</v>
      </c>
      <c r="D8" s="11">
        <f>'Pro-Forma'!G59</f>
        <v>6134472.125466153</v>
      </c>
    </row>
    <row r="9" spans="2:4" x14ac:dyDescent="0.25">
      <c r="B9" s="5" t="s">
        <v>118</v>
      </c>
      <c r="C9" s="16">
        <f>Assumptions!C52</f>
        <v>100000000</v>
      </c>
      <c r="D9" s="11">
        <f>'Pro-Forma'!G58</f>
        <v>1733976.942996016</v>
      </c>
    </row>
    <row r="10" spans="2:4" x14ac:dyDescent="0.25">
      <c r="B10" s="5" t="s">
        <v>117</v>
      </c>
      <c r="C10" s="16">
        <f>Assumptions!C51</f>
        <v>60000000</v>
      </c>
      <c r="D10" s="11">
        <f>'Pro-Forma'!G57</f>
        <v>2400000</v>
      </c>
    </row>
    <row r="11" spans="2:4" x14ac:dyDescent="0.25">
      <c r="B11" s="5" t="s">
        <v>116</v>
      </c>
      <c r="C11" s="16">
        <f>Assumptions!C50</f>
        <v>30000000</v>
      </c>
      <c r="D11" s="11">
        <f>'Pro-Forma'!G56</f>
        <v>3000000</v>
      </c>
    </row>
    <row r="12" spans="2:4" x14ac:dyDescent="0.25">
      <c r="B12" s="5" t="s">
        <v>115</v>
      </c>
      <c r="C12" s="16">
        <f>Assumptions!C49</f>
        <v>15000000</v>
      </c>
      <c r="D12" s="11">
        <f>'Pro-Forma'!G55</f>
        <v>5000000</v>
      </c>
    </row>
    <row r="13" spans="2:4" x14ac:dyDescent="0.25">
      <c r="B13" s="5" t="s">
        <v>114</v>
      </c>
      <c r="C13" s="16">
        <f>Assumptions!C48</f>
        <v>5000000</v>
      </c>
      <c r="D13" s="11">
        <f>'Pro-Forma'!G54</f>
        <v>5000000</v>
      </c>
    </row>
    <row r="15" spans="2:4" x14ac:dyDescent="0.25">
      <c r="B15" s="5" t="s">
        <v>78</v>
      </c>
      <c r="D15" s="18">
        <f>Assumptions!C28</f>
        <v>9000000</v>
      </c>
    </row>
    <row r="16" spans="2:4" x14ac:dyDescent="0.25">
      <c r="B16" s="5" t="s">
        <v>269</v>
      </c>
      <c r="D16" s="11">
        <f>'Pro-Forma'!G63+'Pro-Forma'!G64</f>
        <v>281357.9986000634</v>
      </c>
    </row>
    <row r="17" spans="2:4" x14ac:dyDescent="0.25">
      <c r="B17" s="5" t="s">
        <v>270</v>
      </c>
      <c r="D17" s="18">
        <f>Assumptions!C18</f>
        <v>2500000</v>
      </c>
    </row>
    <row r="18" spans="2:3" x14ac:dyDescent="0.25">
      <c r="B18" s="5" t="s">
        <v>209</v>
      </c>
      <c r="C18" s="16">
        <f>Assumptions!C14</f>
        <v>1</v>
      </c>
    </row>
    <row r="19" spans="2:4" x14ac:dyDescent="0.25">
      <c r="B19" s="12" t="s">
        <v>271</v>
      </c>
      <c r="D19" s="13">
        <f>D15+D16+D17</f>
        <v>11781357.998600064</v>
      </c>
    </row>
    <row r="21" spans="2:12" x14ac:dyDescent="0.25">
      <c r="B21" s="3" t="s">
        <v>272</v>
      </c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8" x14ac:dyDescent="0.25">
      <c r="B22" s="12" t="s">
        <v>273</v>
      </c>
      <c r="D22" s="16">
        <f>Assumptions!C64</f>
        <v>700000000</v>
      </c>
      <c r="E22" s="16">
        <f>Assumptions!C65</f>
        <v>1200000000</v>
      </c>
      <c r="F22" s="16">
        <f>Assumptions!C66</f>
        <v>2000000000</v>
      </c>
      <c r="G22" s="16">
        <f>Assumptions!C67</f>
        <v>4000000000</v>
      </c>
      <c r="H22" s="16">
        <f>Assumptions!C68</f>
        <v>8000000000</v>
      </c>
    </row>
    <row r="23" spans="2:8" x14ac:dyDescent="0.25">
      <c r="B23" s="5" t="s">
        <v>274</v>
      </c>
      <c r="D23" s="8">
        <f>D22+$D$17*$C$18</f>
        <v>702500000</v>
      </c>
      <c r="E23" s="8">
        <f>E22+$D$17*$C$18</f>
        <v>1202500000</v>
      </c>
      <c r="F23" s="8">
        <f>F22+$D$17*$C$18</f>
        <v>2002500000</v>
      </c>
      <c r="G23" s="8">
        <f>G22+$D$17*$C$18</f>
        <v>4002500000</v>
      </c>
      <c r="H23" s="8">
        <f>H22+$D$17*$C$18</f>
        <v>8002500000</v>
      </c>
    </row>
    <row r="25" spans="2:12" x14ac:dyDescent="0.25">
      <c r="B25" s="3" t="s">
        <v>275</v>
      </c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2:8" x14ac:dyDescent="0.25">
      <c r="B26" s="23" t="s">
        <v>107</v>
      </c>
      <c r="C26" s="23"/>
      <c r="D26" s="23" t="s">
        <v>276</v>
      </c>
      <c r="E26" s="23" t="s">
        <v>277</v>
      </c>
      <c r="F26" s="23" t="s">
        <v>278</v>
      </c>
      <c r="G26" s="23" t="s">
        <v>279</v>
      </c>
      <c r="H26" s="23" t="s">
        <v>280</v>
      </c>
    </row>
    <row r="27" spans="2:8" x14ac:dyDescent="0.25">
      <c r="B27" s="5" t="s">
        <v>268</v>
      </c>
      <c r="D27" s="5" t="str">
        <f>D43</f>
        <v>preference</v>
      </c>
      <c r="E27" s="5" t="str">
        <f>D58</f>
        <v>preference</v>
      </c>
      <c r="F27" s="5" t="str">
        <f>D73</f>
        <v>convert</v>
      </c>
      <c r="G27" s="5" t="str">
        <f>D88</f>
        <v>convert</v>
      </c>
      <c r="H27" s="5" t="str">
        <f>D103</f>
        <v>convert</v>
      </c>
    </row>
    <row r="28" spans="2:8" x14ac:dyDescent="0.25">
      <c r="B28" s="5" t="s">
        <v>119</v>
      </c>
      <c r="D28" s="5" t="str">
        <f>E43</f>
        <v>preference</v>
      </c>
      <c r="E28" s="5" t="str">
        <f>E58</f>
        <v>preference</v>
      </c>
      <c r="F28" s="5" t="str">
        <f>E73</f>
        <v>convert</v>
      </c>
      <c r="G28" s="5" t="str">
        <f>E88</f>
        <v>convert</v>
      </c>
      <c r="H28" s="5" t="str">
        <f>E103</f>
        <v>convert</v>
      </c>
    </row>
    <row r="29" spans="2:8" x14ac:dyDescent="0.25">
      <c r="B29" s="5" t="s">
        <v>118</v>
      </c>
      <c r="D29" s="5" t="str">
        <f>F43</f>
        <v>preference</v>
      </c>
      <c r="E29" s="5" t="str">
        <f>F58</f>
        <v>preference</v>
      </c>
      <c r="F29" s="5" t="str">
        <f>F73</f>
        <v>preference</v>
      </c>
      <c r="G29" s="5" t="str">
        <f>F88</f>
        <v>convert</v>
      </c>
      <c r="H29" s="5" t="str">
        <f>F103</f>
        <v>convert</v>
      </c>
    </row>
    <row r="30" spans="2:8" x14ac:dyDescent="0.25">
      <c r="B30" s="5" t="s">
        <v>117</v>
      </c>
      <c r="D30" s="5" t="str">
        <f>G43</f>
        <v>preference</v>
      </c>
      <c r="E30" s="5" t="str">
        <f>G58</f>
        <v>convert</v>
      </c>
      <c r="F30" s="5" t="str">
        <f>G73</f>
        <v>convert</v>
      </c>
      <c r="G30" s="5" t="str">
        <f>G88</f>
        <v>convert</v>
      </c>
      <c r="H30" s="5" t="str">
        <f>G103</f>
        <v>convert</v>
      </c>
    </row>
    <row r="31" spans="2:8" x14ac:dyDescent="0.25">
      <c r="B31" s="5" t="s">
        <v>116</v>
      </c>
      <c r="D31" s="5" t="str">
        <f>H43</f>
        <v>preference</v>
      </c>
      <c r="E31" s="5" t="str">
        <f>H58</f>
        <v>convert</v>
      </c>
      <c r="F31" s="5" t="str">
        <f>H73</f>
        <v>convert</v>
      </c>
      <c r="G31" s="5" t="str">
        <f>H88</f>
        <v>convert</v>
      </c>
      <c r="H31" s="5" t="str">
        <f>H103</f>
        <v>convert</v>
      </c>
    </row>
    <row r="32" spans="2:8" x14ac:dyDescent="0.25">
      <c r="B32" s="5" t="s">
        <v>115</v>
      </c>
      <c r="D32" s="5" t="str">
        <f>I43</f>
        <v>convert</v>
      </c>
      <c r="E32" s="5" t="str">
        <f>I58</f>
        <v>convert</v>
      </c>
      <c r="F32" s="5" t="str">
        <f>I73</f>
        <v>convert</v>
      </c>
      <c r="G32" s="5" t="str">
        <f>I88</f>
        <v>convert</v>
      </c>
      <c r="H32" s="5" t="str">
        <f>I103</f>
        <v>convert</v>
      </c>
    </row>
    <row r="33" spans="2:8" x14ac:dyDescent="0.25">
      <c r="B33" s="5" t="s">
        <v>114</v>
      </c>
      <c r="D33" s="5" t="str">
        <f>J43</f>
        <v>convert</v>
      </c>
      <c r="E33" s="5" t="str">
        <f>J58</f>
        <v>convert</v>
      </c>
      <c r="F33" s="5" t="str">
        <f>J73</f>
        <v>convert</v>
      </c>
      <c r="G33" s="5" t="str">
        <f>J88</f>
        <v>convert</v>
      </c>
      <c r="H33" s="5" t="str">
        <f>J103</f>
        <v>convert</v>
      </c>
    </row>
    <row r="36" spans="2:10" x14ac:dyDescent="0.25">
      <c r="B36" s="19" t="s">
        <v>281</v>
      </c>
      <c r="C36" s="20"/>
      <c r="D36" s="20"/>
      <c r="E36" s="20"/>
      <c r="F36" s="20"/>
      <c r="G36" s="20"/>
      <c r="H36" s="20"/>
      <c r="I36" s="20"/>
      <c r="J36" s="20"/>
    </row>
    <row r="37" spans="2:12" x14ac:dyDescent="0.25">
      <c r="B37" s="23" t="s">
        <v>282</v>
      </c>
      <c r="C37" s="23"/>
      <c r="D37" s="23" t="s">
        <v>232</v>
      </c>
      <c r="E37" s="23" t="s">
        <v>233</v>
      </c>
      <c r="F37" s="23" t="s">
        <v>234</v>
      </c>
      <c r="G37" s="23" t="s">
        <v>235</v>
      </c>
      <c r="H37" s="23" t="s">
        <v>236</v>
      </c>
      <c r="I37" s="23" t="s">
        <v>237</v>
      </c>
      <c r="J37" s="23" t="s">
        <v>114</v>
      </c>
      <c r="K37" s="23" t="s">
        <v>238</v>
      </c>
      <c r="L37" s="23" t="s">
        <v>239</v>
      </c>
    </row>
    <row r="38" spans="2:12" x14ac:dyDescent="0.25">
      <c r="B38" s="5" t="s">
        <v>283</v>
      </c>
      <c r="D38" s="5" t="s">
        <v>243</v>
      </c>
      <c r="E38" s="5" t="s">
        <v>243</v>
      </c>
      <c r="F38" s="5" t="s">
        <v>243</v>
      </c>
      <c r="G38" s="5" t="s">
        <v>243</v>
      </c>
      <c r="H38" s="5" t="s">
        <v>243</v>
      </c>
      <c r="I38" s="5" t="s">
        <v>243</v>
      </c>
      <c r="J38" s="5" t="s">
        <v>243</v>
      </c>
      <c r="K38" s="8">
        <f>IF(D38="preference",$C$7,0)+IF(E38="preference",$C$8,0)+IF(F38="preference",$C$9,0)+IF(G38="preference",$C$10,0)+IF(H38="preference",$C$11,0)+IF(I38="preference",$C$12,0)+IF(J38="preference",$C$13,0)</f>
        <v>0</v>
      </c>
      <c r="L38" s="11">
        <f>IF(D38="convert",$D$7,0)+IF(E38="convert",$D$8,0)+IF(F38="convert",$D$9,0)+IF(G38="convert",$D$10,0)+IF(H38="convert",$D$11,0)+IF(I38="convert",$D$12,0)+IF(J38="convert",$D$13,0)</f>
        <v>24072743.782251697</v>
      </c>
    </row>
    <row r="39" spans="2:12" x14ac:dyDescent="0.25">
      <c r="B39" s="5" t="s">
        <v>244</v>
      </c>
      <c r="D39" s="5" t="str">
        <f>IF($C$7&gt;((D$23-(K38-IF(D38="preference",$C$7,0)))/($D$19+(L38-IF(D38="convert",$D$7,0))+$D$7)*$D$7),"preference","convert")</f>
        <v>preference</v>
      </c>
      <c r="E39" s="5" t="str">
        <f>IF($C$8&gt;((D$23-(K38-IF(E38="preference",$C$8,0)))/($D$19+(L38-IF(E38="convert",$D$8,0))+$D$8)*$D$8),"preference","convert")</f>
        <v>preference</v>
      </c>
      <c r="F39" s="5" t="str">
        <f>IF($C$9&gt;((D$23-(K38-IF(F38="preference",$C$9,0)))/($D$19+(L38-IF(F38="convert",$D$9,0))+$D$9)*$D$9),"preference","convert")</f>
        <v>preference</v>
      </c>
      <c r="G39" s="5" t="str">
        <f>IF($C$10&gt;((D$23-(K38-IF(G38="preference",$C$10,0)))/($D$19+(L38-IF(G38="convert",$D$10,0))+$D$10)*$D$10),"preference","convert")</f>
        <v>preference</v>
      </c>
      <c r="H39" s="5" t="str">
        <f>IF($C$11&gt;((D$23-(K38-IF(H38="preference",$C$11,0)))/($D$19+(L38-IF(H38="convert",$D$11,0))+$D$11)*$D$11),"preference","convert")</f>
        <v>convert</v>
      </c>
      <c r="I39" s="5" t="str">
        <f>IF($C$12&gt;((D$23-(K38-IF(I38="preference",$C$12,0)))/($D$19+(L38-IF(I38="convert",$D$12,0))+$D$12)*$D$12),"preference","convert")</f>
        <v>convert</v>
      </c>
      <c r="J39" s="5" t="str">
        <f>IF($C$13&gt;((D$23-(K38-IF(J38="preference",$C$13,0)))/($D$19+(L38-IF(J38="convert",$D$13,0))+$D$13)*$D$13),"preference","convert")</f>
        <v>convert</v>
      </c>
      <c r="K39" s="8">
        <f>IF(D39="preference",$C$7,0)+IF(E39="preference",$C$8,0)+IF(F39="preference",$C$9,0)+IF(G39="preference",$C$10,0)+IF(H39="preference",$C$11,0)+IF(I39="preference",$C$12,0)+IF(J39="preference",$C$13,0)</f>
        <v>490000000</v>
      </c>
      <c r="L39" s="11">
        <f>IF(D39="convert",$D$7,0)+IF(E39="convert",$D$8,0)+IF(F39="convert",$D$9,0)+IF(G39="convert",$D$10,0)+IF(H39="convert",$D$11,0)+IF(I39="convert",$D$12,0)+IF(J39="convert",$D$13,0)</f>
        <v>13000000</v>
      </c>
    </row>
    <row r="40" spans="2:12" x14ac:dyDescent="0.25">
      <c r="B40" s="5" t="s">
        <v>245</v>
      </c>
      <c r="D40" s="5" t="str">
        <f>IF($C$7&gt;((D$23-(K39-IF(D39="preference",$C$7,0)))/($D$19+(L39-IF(D39="convert",$D$7,0))+$D$7)*$D$7),"preference","convert")</f>
        <v>preference</v>
      </c>
      <c r="E40" s="5" t="str">
        <f>IF($C$8&gt;((D$23-(K39-IF(E39="preference",$C$8,0)))/($D$19+(L39-IF(E39="convert",$D$8,0))+$D$8)*$D$8),"preference","convert")</f>
        <v>preference</v>
      </c>
      <c r="F40" s="5" t="str">
        <f>IF($C$9&gt;((D$23-(K39-IF(F39="preference",$C$9,0)))/($D$19+(L39-IF(F39="convert",$D$9,0))+$D$9)*$D$9),"preference","convert")</f>
        <v>preference</v>
      </c>
      <c r="G40" s="5" t="str">
        <f>IF($C$10&gt;((D$23-(K39-IF(G39="preference",$C$10,0)))/($D$19+(L39-IF(G39="convert",$D$10,0))+$D$10)*$D$10),"preference","convert")</f>
        <v>preference</v>
      </c>
      <c r="H40" s="5" t="str">
        <f>IF($C$11&gt;((D$23-(K39-IF(H39="preference",$C$11,0)))/($D$19+(L39-IF(H39="convert",$D$11,0))+$D$11)*$D$11),"preference","convert")</f>
        <v>preference</v>
      </c>
      <c r="I40" s="5" t="str">
        <f>IF($C$12&gt;((D$23-(K39-IF(I39="preference",$C$12,0)))/($D$19+(L39-IF(I39="convert",$D$12,0))+$D$12)*$D$12),"preference","convert")</f>
        <v>convert</v>
      </c>
      <c r="J40" s="5" t="str">
        <f>IF($C$13&gt;((D$23-(K39-IF(J39="preference",$C$13,0)))/($D$19+(L39-IF(J39="convert",$D$13,0))+$D$13)*$D$13),"preference","convert")</f>
        <v>convert</v>
      </c>
      <c r="K40" s="8">
        <f>IF(D40="preference",$C$7,0)+IF(E40="preference",$C$8,0)+IF(F40="preference",$C$9,0)+IF(G40="preference",$C$10,0)+IF(H40="preference",$C$11,0)+IF(I40="preference",$C$12,0)+IF(J40="preference",$C$13,0)</f>
        <v>520000000</v>
      </c>
      <c r="L40" s="11">
        <f>IF(D40="convert",$D$7,0)+IF(E40="convert",$D$8,0)+IF(F40="convert",$D$9,0)+IF(G40="convert",$D$10,0)+IF(H40="convert",$D$11,0)+IF(I40="convert",$D$12,0)+IF(J40="convert",$D$13,0)</f>
        <v>10000000</v>
      </c>
    </row>
    <row r="41" spans="2:12" x14ac:dyDescent="0.25">
      <c r="B41" s="5" t="s">
        <v>246</v>
      </c>
      <c r="D41" s="5" t="str">
        <f>IF($C$7&gt;((D$23-(K40-IF(D40="preference",$C$7,0)))/($D$19+(L40-IF(D40="convert",$D$7,0))+$D$7)*$D$7),"preference","convert")</f>
        <v>preference</v>
      </c>
      <c r="E41" s="5" t="str">
        <f>IF($C$8&gt;((D$23-(K40-IF(E40="preference",$C$8,0)))/($D$19+(L40-IF(E40="convert",$D$8,0))+$D$8)*$D$8),"preference","convert")</f>
        <v>preference</v>
      </c>
      <c r="F41" s="5" t="str">
        <f>IF($C$9&gt;((D$23-(K40-IF(F40="preference",$C$9,0)))/($D$19+(L40-IF(F40="convert",$D$9,0))+$D$9)*$D$9),"preference","convert")</f>
        <v>preference</v>
      </c>
      <c r="G41" s="5" t="str">
        <f>IF($C$10&gt;((D$23-(K40-IF(G40="preference",$C$10,0)))/($D$19+(L40-IF(G40="convert",$D$10,0))+$D$10)*$D$10),"preference","convert")</f>
        <v>preference</v>
      </c>
      <c r="H41" s="5" t="str">
        <f>IF($C$11&gt;((D$23-(K40-IF(H40="preference",$C$11,0)))/($D$19+(L40-IF(H40="convert",$D$11,0))+$D$11)*$D$11),"preference","convert")</f>
        <v>preference</v>
      </c>
      <c r="I41" s="5" t="str">
        <f>IF($C$12&gt;((D$23-(K40-IF(I40="preference",$C$12,0)))/($D$19+(L40-IF(I40="convert",$D$12,0))+$D$12)*$D$12),"preference","convert")</f>
        <v>convert</v>
      </c>
      <c r="J41" s="5" t="str">
        <f>IF($C$13&gt;((D$23-(K40-IF(J40="preference",$C$13,0)))/($D$19+(L40-IF(J40="convert",$D$13,0))+$D$13)*$D$13),"preference","convert")</f>
        <v>convert</v>
      </c>
      <c r="K41" s="8">
        <f>IF(D41="preference",$C$7,0)+IF(E41="preference",$C$8,0)+IF(F41="preference",$C$9,0)+IF(G41="preference",$C$10,0)+IF(H41="preference",$C$11,0)+IF(I41="preference",$C$12,0)+IF(J41="preference",$C$13,0)</f>
        <v>520000000</v>
      </c>
      <c r="L41" s="11">
        <f>IF(D41="convert",$D$7,0)+IF(E41="convert",$D$8,0)+IF(F41="convert",$D$9,0)+IF(G41="convert",$D$10,0)+IF(H41="convert",$D$11,0)+IF(I41="convert",$D$12,0)+IF(J41="convert",$D$13,0)</f>
        <v>10000000</v>
      </c>
    </row>
    <row r="42" spans="2:12" x14ac:dyDescent="0.25">
      <c r="B42" s="5" t="s">
        <v>247</v>
      </c>
      <c r="D42" s="5" t="str">
        <f>IF($C$7&gt;((D$23-(K41-IF(D41="preference",$C$7,0)))/($D$19+(L41-IF(D41="convert",$D$7,0))+$D$7)*$D$7),"preference","convert")</f>
        <v>preference</v>
      </c>
      <c r="E42" s="5" t="str">
        <f>IF($C$8&gt;((D$23-(K41-IF(E41="preference",$C$8,0)))/($D$19+(L41-IF(E41="convert",$D$8,0))+$D$8)*$D$8),"preference","convert")</f>
        <v>preference</v>
      </c>
      <c r="F42" s="5" t="str">
        <f>IF($C$9&gt;((D$23-(K41-IF(F41="preference",$C$9,0)))/($D$19+(L41-IF(F41="convert",$D$9,0))+$D$9)*$D$9),"preference","convert")</f>
        <v>preference</v>
      </c>
      <c r="G42" s="5" t="str">
        <f>IF($C$10&gt;((D$23-(K41-IF(G41="preference",$C$10,0)))/($D$19+(L41-IF(G41="convert",$D$10,0))+$D$10)*$D$10),"preference","convert")</f>
        <v>preference</v>
      </c>
      <c r="H42" s="5" t="str">
        <f>IF($C$11&gt;((D$23-(K41-IF(H41="preference",$C$11,0)))/($D$19+(L41-IF(H41="convert",$D$11,0))+$D$11)*$D$11),"preference","convert")</f>
        <v>preference</v>
      </c>
      <c r="I42" s="5" t="str">
        <f>IF($C$12&gt;((D$23-(K41-IF(I41="preference",$C$12,0)))/($D$19+(L41-IF(I41="convert",$D$12,0))+$D$12)*$D$12),"preference","convert")</f>
        <v>convert</v>
      </c>
      <c r="J42" s="5" t="str">
        <f>IF($C$13&gt;((D$23-(K41-IF(J41="preference",$C$13,0)))/($D$19+(L41-IF(J41="convert",$D$13,0))+$D$13)*$D$13),"preference","convert")</f>
        <v>convert</v>
      </c>
      <c r="K42" s="8">
        <f>IF(D42="preference",$C$7,0)+IF(E42="preference",$C$8,0)+IF(F42="preference",$C$9,0)+IF(G42="preference",$C$10,0)+IF(H42="preference",$C$11,0)+IF(I42="preference",$C$12,0)+IF(J42="preference",$C$13,0)</f>
        <v>520000000</v>
      </c>
      <c r="L42" s="11">
        <f>IF(D42="convert",$D$7,0)+IF(E42="convert",$D$8,0)+IF(F42="convert",$D$9,0)+IF(G42="convert",$D$10,0)+IF(H42="convert",$D$11,0)+IF(I42="convert",$D$12,0)+IF(J42="convert",$D$13,0)</f>
        <v>10000000</v>
      </c>
    </row>
    <row r="43" spans="2:12" x14ac:dyDescent="0.25">
      <c r="B43" s="5" t="s">
        <v>248</v>
      </c>
      <c r="D43" s="12" t="str">
        <f>IF($C$7&gt;((D$23-(K42-IF(D42="preference",$C$7,0)))/($D$19+(L42-IF(D42="convert",$D$7,0))+$D$7)*$D$7),"preference","convert")</f>
        <v>preference</v>
      </c>
      <c r="E43" s="12" t="str">
        <f>IF($C$8&gt;((D$23-(K42-IF(E42="preference",$C$8,0)))/($D$19+(L42-IF(E42="convert",$D$8,0))+$D$8)*$D$8),"preference","convert")</f>
        <v>preference</v>
      </c>
      <c r="F43" s="12" t="str">
        <f>IF($C$9&gt;((D$23-(K42-IF(F42="preference",$C$9,0)))/($D$19+(L42-IF(F42="convert",$D$9,0))+$D$9)*$D$9),"preference","convert")</f>
        <v>preference</v>
      </c>
      <c r="G43" s="12" t="str">
        <f>IF($C$10&gt;((D$23-(K42-IF(G42="preference",$C$10,0)))/($D$19+(L42-IF(G42="convert",$D$10,0))+$D$10)*$D$10),"preference","convert")</f>
        <v>preference</v>
      </c>
      <c r="H43" s="12" t="str">
        <f>IF($C$11&gt;((D$23-(K42-IF(H42="preference",$C$11,0)))/($D$19+(L42-IF(H42="convert",$D$11,0))+$D$11)*$D$11),"preference","convert")</f>
        <v>preference</v>
      </c>
      <c r="I43" s="12" t="str">
        <f>IF($C$12&gt;((D$23-(K42-IF(I42="preference",$C$12,0)))/($D$19+(L42-IF(I42="convert",$D$12,0))+$D$12)*$D$12),"preference","convert")</f>
        <v>convert</v>
      </c>
      <c r="J43" s="12" t="str">
        <f>IF($C$13&gt;((D$23-(K42-IF(J42="preference",$C$13,0)))/($D$19+(L42-IF(J42="convert",$D$13,0))+$D$13)*$D$13),"preference","convert")</f>
        <v>convert</v>
      </c>
      <c r="K43" s="8">
        <f>IF(D43="preference",$C$7,0)+IF(E43="preference",$C$8,0)+IF(F43="preference",$C$9,0)+IF(G43="preference",$C$10,0)+IF(H43="preference",$C$11,0)+IF(I43="preference",$C$12,0)+IF(J43="preference",$C$13,0)</f>
        <v>520000000</v>
      </c>
      <c r="L43" s="11">
        <f>IF(D43="convert",$D$7,0)+IF(E43="convert",$D$8,0)+IF(F43="convert",$D$9,0)+IF(G43="convert",$D$10,0)+IF(H43="convert",$D$11,0)+IF(I43="convert",$D$12,0)+IF(J43="convert",$D$13,0)</f>
        <v>10000000</v>
      </c>
    </row>
    <row r="44" spans="2:3" x14ac:dyDescent="0.25">
      <c r="B44" s="12" t="s">
        <v>284</v>
      </c>
      <c r="C44" s="21">
        <f>(D$23-K43)/($D$19+L43)</f>
        <v>8.378724596130768</v>
      </c>
    </row>
    <row r="45" spans="2:10" x14ac:dyDescent="0.25">
      <c r="B45" s="5" t="s">
        <v>285</v>
      </c>
      <c r="D45" s="8">
        <f>IF(D43="preference",$C$7,$C$44*$D$7)</f>
        <v>30000000</v>
      </c>
      <c r="E45" s="8">
        <f>IF(E43="preference",$C$8,$C$44*$D$8)</f>
        <v>300000000</v>
      </c>
      <c r="F45" s="8">
        <f>IF(F43="preference",$C$9,$C$44*$D$9)</f>
        <v>100000000</v>
      </c>
      <c r="G45" s="8">
        <f>IF(G43="preference",$C$10,$C$44*$D$10)</f>
        <v>60000000</v>
      </c>
      <c r="H45" s="8">
        <f>IF(H43="preference",$C$11,$C$44*$D$11)</f>
        <v>30000000</v>
      </c>
      <c r="I45" s="8">
        <f>IF(I43="preference",$C$12,$C$44*$D$12)</f>
        <v>41893622.98065384</v>
      </c>
      <c r="J45" s="8">
        <f>IF(J43="preference",$C$13,$C$44*$D$13)</f>
        <v>41893622.98065384</v>
      </c>
    </row>
    <row r="46" spans="2:3" x14ac:dyDescent="0.25">
      <c r="B46" s="5" t="s">
        <v>286</v>
      </c>
      <c r="C46" s="8">
        <f>$C$44*$D$15</f>
        <v>75408521.36517692</v>
      </c>
    </row>
    <row r="47" spans="2:3" x14ac:dyDescent="0.25">
      <c r="B47" s="5" t="s">
        <v>287</v>
      </c>
      <c r="C47" s="8">
        <f>$C$44*$D$16</f>
        <v>2357421.1831884775</v>
      </c>
    </row>
    <row r="48" spans="2:3" x14ac:dyDescent="0.25">
      <c r="B48" s="5" t="s">
        <v>288</v>
      </c>
      <c r="C48" s="8">
        <f>MAX(0,($C$44-$C$18)*$D$17)</f>
        <v>18446811.49032692</v>
      </c>
    </row>
    <row r="49" spans="2:3" x14ac:dyDescent="0.25">
      <c r="B49" s="12" t="s">
        <v>289</v>
      </c>
      <c r="C49" s="34">
        <f>C46+C47+C48+D45+E45+F45+G45+H45+I45+J45</f>
        <v>700000000</v>
      </c>
    </row>
    <row r="50" spans="2:3" x14ac:dyDescent="0.25">
      <c r="B50" s="29" t="s">
        <v>174</v>
      </c>
      <c r="C50" s="29">
        <f>ROUND(C49-D$22,0)</f>
        <v>0</v>
      </c>
    </row>
    <row r="51" spans="2:10" x14ac:dyDescent="0.25">
      <c r="B51" s="19" t="s">
        <v>290</v>
      </c>
      <c r="C51" s="20"/>
      <c r="D51" s="20"/>
      <c r="E51" s="20"/>
      <c r="F51" s="20"/>
      <c r="G51" s="20"/>
      <c r="H51" s="20"/>
      <c r="I51" s="20"/>
      <c r="J51" s="20"/>
    </row>
    <row r="52" spans="2:12" x14ac:dyDescent="0.25">
      <c r="B52" s="23" t="s">
        <v>282</v>
      </c>
      <c r="C52" s="23"/>
      <c r="D52" s="23" t="s">
        <v>232</v>
      </c>
      <c r="E52" s="23" t="s">
        <v>233</v>
      </c>
      <c r="F52" s="23" t="s">
        <v>234</v>
      </c>
      <c r="G52" s="23" t="s">
        <v>235</v>
      </c>
      <c r="H52" s="23" t="s">
        <v>236</v>
      </c>
      <c r="I52" s="23" t="s">
        <v>237</v>
      </c>
      <c r="J52" s="23" t="s">
        <v>114</v>
      </c>
      <c r="K52" s="23" t="s">
        <v>238</v>
      </c>
      <c r="L52" s="23" t="s">
        <v>239</v>
      </c>
    </row>
    <row r="53" spans="2:12" x14ac:dyDescent="0.25">
      <c r="B53" s="5" t="s">
        <v>283</v>
      </c>
      <c r="D53" s="5" t="s">
        <v>243</v>
      </c>
      <c r="E53" s="5" t="s">
        <v>243</v>
      </c>
      <c r="F53" s="5" t="s">
        <v>243</v>
      </c>
      <c r="G53" s="5" t="s">
        <v>243</v>
      </c>
      <c r="H53" s="5" t="s">
        <v>243</v>
      </c>
      <c r="I53" s="5" t="s">
        <v>243</v>
      </c>
      <c r="J53" s="5" t="s">
        <v>243</v>
      </c>
      <c r="K53" s="8">
        <f>IF(D53="preference",$C$7,0)+IF(E53="preference",$C$8,0)+IF(F53="preference",$C$9,0)+IF(G53="preference",$C$10,0)+IF(H53="preference",$C$11,0)+IF(I53="preference",$C$12,0)+IF(J53="preference",$C$13,0)</f>
        <v>0</v>
      </c>
      <c r="L53" s="11">
        <f>IF(D53="convert",$D$7,0)+IF(E53="convert",$D$8,0)+IF(F53="convert",$D$9,0)+IF(G53="convert",$D$10,0)+IF(H53="convert",$D$11,0)+IF(I53="convert",$D$12,0)+IF(J53="convert",$D$13,0)</f>
        <v>24072743.782251697</v>
      </c>
    </row>
    <row r="54" spans="2:12" x14ac:dyDescent="0.25">
      <c r="B54" s="5" t="s">
        <v>244</v>
      </c>
      <c r="D54" s="5" t="str">
        <f>IF($C$7&gt;((E$23-(K53-IF(D53="preference",$C$7,0)))/($D$19+(L53-IF(D53="convert",$D$7,0))+$D$7)*$D$7),"preference","convert")</f>
        <v>preference</v>
      </c>
      <c r="E54" s="5" t="str">
        <f>IF($C$8&gt;((E$23-(K53-IF(E53="preference",$C$8,0)))/($D$19+(L53-IF(E53="convert",$D$8,0))+$D$8)*$D$8),"preference","convert")</f>
        <v>preference</v>
      </c>
      <c r="F54" s="5" t="str">
        <f>IF($C$9&gt;((E$23-(K53-IF(F53="preference",$C$9,0)))/($D$19+(L53-IF(F53="convert",$D$9,0))+$D$9)*$D$9),"preference","convert")</f>
        <v>preference</v>
      </c>
      <c r="G54" s="5" t="str">
        <f>IF($C$10&gt;((E$23-(K53-IF(G53="preference",$C$10,0)))/($D$19+(L53-IF(G53="convert",$D$10,0))+$D$10)*$D$10),"preference","convert")</f>
        <v>convert</v>
      </c>
      <c r="H54" s="5" t="str">
        <f>IF($C$11&gt;((E$23-(K53-IF(H53="preference",$C$11,0)))/($D$19+(L53-IF(H53="convert",$D$11,0))+$D$11)*$D$11),"preference","convert")</f>
        <v>convert</v>
      </c>
      <c r="I54" s="5" t="str">
        <f>IF($C$12&gt;((E$23-(K53-IF(I53="preference",$C$12,0)))/($D$19+(L53-IF(I53="convert",$D$12,0))+$D$12)*$D$12),"preference","convert")</f>
        <v>convert</v>
      </c>
      <c r="J54" s="5" t="str">
        <f>IF($C$13&gt;((E$23-(K53-IF(J53="preference",$C$13,0)))/($D$19+(L53-IF(J53="convert",$D$13,0))+$D$13)*$D$13),"preference","convert")</f>
        <v>convert</v>
      </c>
      <c r="K54" s="8">
        <f>IF(D54="preference",$C$7,0)+IF(E54="preference",$C$8,0)+IF(F54="preference",$C$9,0)+IF(G54="preference",$C$10,0)+IF(H54="preference",$C$11,0)+IF(I54="preference",$C$12,0)+IF(J54="preference",$C$13,0)</f>
        <v>430000000</v>
      </c>
      <c r="L54" s="11">
        <f>IF(D54="convert",$D$7,0)+IF(E54="convert",$D$8,0)+IF(F54="convert",$D$9,0)+IF(G54="convert",$D$10,0)+IF(H54="convert",$D$11,0)+IF(I54="convert",$D$12,0)+IF(J54="convert",$D$13,0)</f>
        <v>15400000</v>
      </c>
    </row>
    <row r="55" spans="2:12" x14ac:dyDescent="0.25">
      <c r="B55" s="5" t="s">
        <v>245</v>
      </c>
      <c r="D55" s="5" t="str">
        <f>IF($C$7&gt;((E$23-(K54-IF(D54="preference",$C$7,0)))/($D$19+(L54-IF(D54="convert",$D$7,0))+$D$7)*$D$7),"preference","convert")</f>
        <v>preference</v>
      </c>
      <c r="E55" s="5" t="str">
        <f>IF($C$8&gt;((E$23-(K54-IF(E54="preference",$C$8,0)))/($D$19+(L54-IF(E54="convert",$D$8,0))+$D$8)*$D$8),"preference","convert")</f>
        <v>preference</v>
      </c>
      <c r="F55" s="5" t="str">
        <f>IF($C$9&gt;((E$23-(K54-IF(F54="preference",$C$9,0)))/($D$19+(L54-IF(F54="convert",$D$9,0))+$D$9)*$D$9),"preference","convert")</f>
        <v>preference</v>
      </c>
      <c r="G55" s="5" t="str">
        <f>IF($C$10&gt;((E$23-(K54-IF(G54="preference",$C$10,0)))/($D$19+(L54-IF(G54="convert",$D$10,0))+$D$10)*$D$10),"preference","convert")</f>
        <v>convert</v>
      </c>
      <c r="H55" s="5" t="str">
        <f>IF($C$11&gt;((E$23-(K54-IF(H54="preference",$C$11,0)))/($D$19+(L54-IF(H54="convert",$D$11,0))+$D$11)*$D$11),"preference","convert")</f>
        <v>convert</v>
      </c>
      <c r="I55" s="5" t="str">
        <f>IF($C$12&gt;((E$23-(K54-IF(I54="preference",$C$12,0)))/($D$19+(L54-IF(I54="convert",$D$12,0))+$D$12)*$D$12),"preference","convert")</f>
        <v>convert</v>
      </c>
      <c r="J55" s="5" t="str">
        <f>IF($C$13&gt;((E$23-(K54-IF(J54="preference",$C$13,0)))/($D$19+(L54-IF(J54="convert",$D$13,0))+$D$13)*$D$13),"preference","convert")</f>
        <v>convert</v>
      </c>
      <c r="K55" s="8">
        <f>IF(D55="preference",$C$7,0)+IF(E55="preference",$C$8,0)+IF(F55="preference",$C$9,0)+IF(G55="preference",$C$10,0)+IF(H55="preference",$C$11,0)+IF(I55="preference",$C$12,0)+IF(J55="preference",$C$13,0)</f>
        <v>430000000</v>
      </c>
      <c r="L55" s="11">
        <f>IF(D55="convert",$D$7,0)+IF(E55="convert",$D$8,0)+IF(F55="convert",$D$9,0)+IF(G55="convert",$D$10,0)+IF(H55="convert",$D$11,0)+IF(I55="convert",$D$12,0)+IF(J55="convert",$D$13,0)</f>
        <v>15400000</v>
      </c>
    </row>
    <row r="56" spans="2:12" x14ac:dyDescent="0.25">
      <c r="B56" s="5" t="s">
        <v>246</v>
      </c>
      <c r="D56" s="5" t="str">
        <f>IF($C$7&gt;((E$23-(K55-IF(D55="preference",$C$7,0)))/($D$19+(L55-IF(D55="convert",$D$7,0))+$D$7)*$D$7),"preference","convert")</f>
        <v>preference</v>
      </c>
      <c r="E56" s="5" t="str">
        <f>IF($C$8&gt;((E$23-(K55-IF(E55="preference",$C$8,0)))/($D$19+(L55-IF(E55="convert",$D$8,0))+$D$8)*$D$8),"preference","convert")</f>
        <v>preference</v>
      </c>
      <c r="F56" s="5" t="str">
        <f>IF($C$9&gt;((E$23-(K55-IF(F55="preference",$C$9,0)))/($D$19+(L55-IF(F55="convert",$D$9,0))+$D$9)*$D$9),"preference","convert")</f>
        <v>preference</v>
      </c>
      <c r="G56" s="5" t="str">
        <f>IF($C$10&gt;((E$23-(K55-IF(G55="preference",$C$10,0)))/($D$19+(L55-IF(G55="convert",$D$10,0))+$D$10)*$D$10),"preference","convert")</f>
        <v>convert</v>
      </c>
      <c r="H56" s="5" t="str">
        <f>IF($C$11&gt;((E$23-(K55-IF(H55="preference",$C$11,0)))/($D$19+(L55-IF(H55="convert",$D$11,0))+$D$11)*$D$11),"preference","convert")</f>
        <v>convert</v>
      </c>
      <c r="I56" s="5" t="str">
        <f>IF($C$12&gt;((E$23-(K55-IF(I55="preference",$C$12,0)))/($D$19+(L55-IF(I55="convert",$D$12,0))+$D$12)*$D$12),"preference","convert")</f>
        <v>convert</v>
      </c>
      <c r="J56" s="5" t="str">
        <f>IF($C$13&gt;((E$23-(K55-IF(J55="preference",$C$13,0)))/($D$19+(L55-IF(J55="convert",$D$13,0))+$D$13)*$D$13),"preference","convert")</f>
        <v>convert</v>
      </c>
      <c r="K56" s="8">
        <f>IF(D56="preference",$C$7,0)+IF(E56="preference",$C$8,0)+IF(F56="preference",$C$9,0)+IF(G56="preference",$C$10,0)+IF(H56="preference",$C$11,0)+IF(I56="preference",$C$12,0)+IF(J56="preference",$C$13,0)</f>
        <v>430000000</v>
      </c>
      <c r="L56" s="11">
        <f>IF(D56="convert",$D$7,0)+IF(E56="convert",$D$8,0)+IF(F56="convert",$D$9,0)+IF(G56="convert",$D$10,0)+IF(H56="convert",$D$11,0)+IF(I56="convert",$D$12,0)+IF(J56="convert",$D$13,0)</f>
        <v>15400000</v>
      </c>
    </row>
    <row r="57" spans="2:12" x14ac:dyDescent="0.25">
      <c r="B57" s="5" t="s">
        <v>247</v>
      </c>
      <c r="D57" s="5" t="str">
        <f>IF($C$7&gt;((E$23-(K56-IF(D56="preference",$C$7,0)))/($D$19+(L56-IF(D56="convert",$D$7,0))+$D$7)*$D$7),"preference","convert")</f>
        <v>preference</v>
      </c>
      <c r="E57" s="5" t="str">
        <f>IF($C$8&gt;((E$23-(K56-IF(E56="preference",$C$8,0)))/($D$19+(L56-IF(E56="convert",$D$8,0))+$D$8)*$D$8),"preference","convert")</f>
        <v>preference</v>
      </c>
      <c r="F57" s="5" t="str">
        <f>IF($C$9&gt;((E$23-(K56-IF(F56="preference",$C$9,0)))/($D$19+(L56-IF(F56="convert",$D$9,0))+$D$9)*$D$9),"preference","convert")</f>
        <v>preference</v>
      </c>
      <c r="G57" s="5" t="str">
        <f>IF($C$10&gt;((E$23-(K56-IF(G56="preference",$C$10,0)))/($D$19+(L56-IF(G56="convert",$D$10,0))+$D$10)*$D$10),"preference","convert")</f>
        <v>convert</v>
      </c>
      <c r="H57" s="5" t="str">
        <f>IF($C$11&gt;((E$23-(K56-IF(H56="preference",$C$11,0)))/($D$19+(L56-IF(H56="convert",$D$11,0))+$D$11)*$D$11),"preference","convert")</f>
        <v>convert</v>
      </c>
      <c r="I57" s="5" t="str">
        <f>IF($C$12&gt;((E$23-(K56-IF(I56="preference",$C$12,0)))/($D$19+(L56-IF(I56="convert",$D$12,0))+$D$12)*$D$12),"preference","convert")</f>
        <v>convert</v>
      </c>
      <c r="J57" s="5" t="str">
        <f>IF($C$13&gt;((E$23-(K56-IF(J56="preference",$C$13,0)))/($D$19+(L56-IF(J56="convert",$D$13,0))+$D$13)*$D$13),"preference","convert")</f>
        <v>convert</v>
      </c>
      <c r="K57" s="8">
        <f>IF(D57="preference",$C$7,0)+IF(E57="preference",$C$8,0)+IF(F57="preference",$C$9,0)+IF(G57="preference",$C$10,0)+IF(H57="preference",$C$11,0)+IF(I57="preference",$C$12,0)+IF(J57="preference",$C$13,0)</f>
        <v>430000000</v>
      </c>
      <c r="L57" s="11">
        <f>IF(D57="convert",$D$7,0)+IF(E57="convert",$D$8,0)+IF(F57="convert",$D$9,0)+IF(G57="convert",$D$10,0)+IF(H57="convert",$D$11,0)+IF(I57="convert",$D$12,0)+IF(J57="convert",$D$13,0)</f>
        <v>15400000</v>
      </c>
    </row>
    <row r="58" spans="2:12" x14ac:dyDescent="0.25">
      <c r="B58" s="5" t="s">
        <v>248</v>
      </c>
      <c r="D58" s="12" t="str">
        <f>IF($C$7&gt;((E$23-(K57-IF(D57="preference",$C$7,0)))/($D$19+(L57-IF(D57="convert",$D$7,0))+$D$7)*$D$7),"preference","convert")</f>
        <v>preference</v>
      </c>
      <c r="E58" s="12" t="str">
        <f>IF($C$8&gt;((E$23-(K57-IF(E57="preference",$C$8,0)))/($D$19+(L57-IF(E57="convert",$D$8,0))+$D$8)*$D$8),"preference","convert")</f>
        <v>preference</v>
      </c>
      <c r="F58" s="12" t="str">
        <f>IF($C$9&gt;((E$23-(K57-IF(F57="preference",$C$9,0)))/($D$19+(L57-IF(F57="convert",$D$9,0))+$D$9)*$D$9),"preference","convert")</f>
        <v>preference</v>
      </c>
      <c r="G58" s="12" t="str">
        <f>IF($C$10&gt;((E$23-(K57-IF(G57="preference",$C$10,0)))/($D$19+(L57-IF(G57="convert",$D$10,0))+$D$10)*$D$10),"preference","convert")</f>
        <v>convert</v>
      </c>
      <c r="H58" s="12" t="str">
        <f>IF($C$11&gt;((E$23-(K57-IF(H57="preference",$C$11,0)))/($D$19+(L57-IF(H57="convert",$D$11,0))+$D$11)*$D$11),"preference","convert")</f>
        <v>convert</v>
      </c>
      <c r="I58" s="12" t="str">
        <f>IF($C$12&gt;((E$23-(K57-IF(I57="preference",$C$12,0)))/($D$19+(L57-IF(I57="convert",$D$12,0))+$D$12)*$D$12),"preference","convert")</f>
        <v>convert</v>
      </c>
      <c r="J58" s="12" t="str">
        <f>IF($C$13&gt;((E$23-(K57-IF(J57="preference",$C$13,0)))/($D$19+(L57-IF(J57="convert",$D$13,0))+$D$13)*$D$13),"preference","convert")</f>
        <v>convert</v>
      </c>
      <c r="K58" s="8">
        <f>IF(D58="preference",$C$7,0)+IF(E58="preference",$C$8,0)+IF(F58="preference",$C$9,0)+IF(G58="preference",$C$10,0)+IF(H58="preference",$C$11,0)+IF(I58="preference",$C$12,0)+IF(J58="preference",$C$13,0)</f>
        <v>430000000</v>
      </c>
      <c r="L58" s="11">
        <f>IF(D58="convert",$D$7,0)+IF(E58="convert",$D$8,0)+IF(F58="convert",$D$9,0)+IF(G58="convert",$D$10,0)+IF(H58="convert",$D$11,0)+IF(I58="convert",$D$12,0)+IF(J58="convert",$D$13,0)</f>
        <v>15400000</v>
      </c>
    </row>
    <row r="59" spans="2:3" x14ac:dyDescent="0.25">
      <c r="B59" s="12" t="s">
        <v>284</v>
      </c>
      <c r="C59" s="21">
        <f>(E$23-K58)/($D$19+L58)</f>
        <v>28.420213590497813</v>
      </c>
    </row>
    <row r="60" spans="2:10" x14ac:dyDescent="0.25">
      <c r="B60" s="5" t="s">
        <v>285</v>
      </c>
      <c r="D60" s="8">
        <f>IF(D58="preference",$C$7,$C$59*$D$7)</f>
        <v>30000000</v>
      </c>
      <c r="E60" s="8">
        <f>IF(E58="preference",$C$8,$C$59*$D$8)</f>
        <v>300000000</v>
      </c>
      <c r="F60" s="8">
        <f>IF(F58="preference",$C$9,$C$59*$D$9)</f>
        <v>100000000</v>
      </c>
      <c r="G60" s="8">
        <f>IF(G58="preference",$C$10,$C$59*$D$10)</f>
        <v>68208512.61719476</v>
      </c>
      <c r="H60" s="8">
        <f>IF(H58="preference",$C$11,$C$59*$D$11)</f>
        <v>85260640.77149343</v>
      </c>
      <c r="I60" s="8">
        <f>IF(I58="preference",$C$12,$C$59*$D$12)</f>
        <v>142101067.95248908</v>
      </c>
      <c r="J60" s="8">
        <f>IF(J58="preference",$C$13,$C$59*$D$13)</f>
        <v>142101067.95248908</v>
      </c>
    </row>
    <row r="61" spans="2:3" x14ac:dyDescent="0.25">
      <c r="B61" s="5" t="s">
        <v>286</v>
      </c>
      <c r="C61" s="8">
        <f>$C$59*$D$15</f>
        <v>255781922.3144803</v>
      </c>
    </row>
    <row r="62" spans="2:3" x14ac:dyDescent="0.25">
      <c r="B62" s="5" t="s">
        <v>287</v>
      </c>
      <c r="C62" s="8">
        <f>$C$59*$D$16</f>
        <v>7996254.415608786</v>
      </c>
    </row>
    <row r="63" spans="2:3" x14ac:dyDescent="0.25">
      <c r="B63" s="5" t="s">
        <v>288</v>
      </c>
      <c r="C63" s="8">
        <f>MAX(0,($C$59-$C$18)*$D$17)</f>
        <v>68550533.97624454</v>
      </c>
    </row>
    <row r="64" spans="2:3" x14ac:dyDescent="0.25">
      <c r="B64" s="12" t="s">
        <v>289</v>
      </c>
      <c r="C64" s="34">
        <f>C61+C62+C63+D60+E60+F60+G60+H60+I60+J60</f>
        <v>1200000000</v>
      </c>
    </row>
    <row r="65" spans="2:3" x14ac:dyDescent="0.25">
      <c r="B65" s="29" t="s">
        <v>174</v>
      </c>
      <c r="C65" s="29">
        <f>ROUND(C64-E$22,0)</f>
        <v>0</v>
      </c>
    </row>
    <row r="66" spans="2:10" x14ac:dyDescent="0.25">
      <c r="B66" s="19" t="s">
        <v>291</v>
      </c>
      <c r="C66" s="20"/>
      <c r="D66" s="20"/>
      <c r="E66" s="20"/>
      <c r="F66" s="20"/>
      <c r="G66" s="20"/>
      <c r="H66" s="20"/>
      <c r="I66" s="20"/>
      <c r="J66" s="20"/>
    </row>
    <row r="67" spans="2:12" x14ac:dyDescent="0.25">
      <c r="B67" s="23" t="s">
        <v>282</v>
      </c>
      <c r="C67" s="23"/>
      <c r="D67" s="23" t="s">
        <v>232</v>
      </c>
      <c r="E67" s="23" t="s">
        <v>233</v>
      </c>
      <c r="F67" s="23" t="s">
        <v>234</v>
      </c>
      <c r="G67" s="23" t="s">
        <v>235</v>
      </c>
      <c r="H67" s="23" t="s">
        <v>236</v>
      </c>
      <c r="I67" s="23" t="s">
        <v>237</v>
      </c>
      <c r="J67" s="23" t="s">
        <v>114</v>
      </c>
      <c r="K67" s="23" t="s">
        <v>238</v>
      </c>
      <c r="L67" s="23" t="s">
        <v>239</v>
      </c>
    </row>
    <row r="68" spans="2:12" x14ac:dyDescent="0.25">
      <c r="B68" s="5" t="s">
        <v>283</v>
      </c>
      <c r="D68" s="5" t="s">
        <v>243</v>
      </c>
      <c r="E68" s="5" t="s">
        <v>243</v>
      </c>
      <c r="F68" s="5" t="s">
        <v>243</v>
      </c>
      <c r="G68" s="5" t="s">
        <v>243</v>
      </c>
      <c r="H68" s="5" t="s">
        <v>243</v>
      </c>
      <c r="I68" s="5" t="s">
        <v>243</v>
      </c>
      <c r="J68" s="5" t="s">
        <v>243</v>
      </c>
      <c r="K68" s="8">
        <f>IF(D68="preference",$C$7,0)+IF(E68="preference",$C$8,0)+IF(F68="preference",$C$9,0)+IF(G68="preference",$C$10,0)+IF(H68="preference",$C$11,0)+IF(I68="preference",$C$12,0)+IF(J68="preference",$C$13,0)</f>
        <v>0</v>
      </c>
      <c r="L68" s="11">
        <f>IF(D68="convert",$D$7,0)+IF(E68="convert",$D$8,0)+IF(F68="convert",$D$9,0)+IF(G68="convert",$D$10,0)+IF(H68="convert",$D$11,0)+IF(I68="convert",$D$12,0)+IF(J68="convert",$D$13,0)</f>
        <v>24072743.782251697</v>
      </c>
    </row>
    <row r="69" spans="2:12" x14ac:dyDescent="0.25">
      <c r="B69" s="5" t="s">
        <v>244</v>
      </c>
      <c r="D69" s="5" t="str">
        <f>IF($C$7&gt;((F$23-(K68-IF(D68="preference",$C$7,0)))/($D$19+(L68-IF(D68="convert",$D$7,0))+$D$7)*$D$7),"preference","convert")</f>
        <v>convert</v>
      </c>
      <c r="E69" s="5" t="str">
        <f>IF($C$8&gt;((F$23-(K68-IF(E68="preference",$C$8,0)))/($D$19+(L68-IF(E68="convert",$D$8,0))+$D$8)*$D$8),"preference","convert")</f>
        <v>convert</v>
      </c>
      <c r="F69" s="5" t="str">
        <f>IF($C$9&gt;((F$23-(K68-IF(F68="preference",$C$9,0)))/($D$19+(L68-IF(F68="convert",$D$9,0))+$D$9)*$D$9),"preference","convert")</f>
        <v>preference</v>
      </c>
      <c r="G69" s="5" t="str">
        <f>IF($C$10&gt;((F$23-(K68-IF(G68="preference",$C$10,0)))/($D$19+(L68-IF(G68="convert",$D$10,0))+$D$10)*$D$10),"preference","convert")</f>
        <v>convert</v>
      </c>
      <c r="H69" s="5" t="str">
        <f>IF($C$11&gt;((F$23-(K68-IF(H68="preference",$C$11,0)))/($D$19+(L68-IF(H68="convert",$D$11,0))+$D$11)*$D$11),"preference","convert")</f>
        <v>convert</v>
      </c>
      <c r="I69" s="5" t="str">
        <f>IF($C$12&gt;((F$23-(K68-IF(I68="preference",$C$12,0)))/($D$19+(L68-IF(I68="convert",$D$12,0))+$D$12)*$D$12),"preference","convert")</f>
        <v>convert</v>
      </c>
      <c r="J69" s="5" t="str">
        <f>IF($C$13&gt;((F$23-(K68-IF(J68="preference",$C$13,0)))/($D$19+(L68-IF(J68="convert",$D$13,0))+$D$13)*$D$13),"preference","convert")</f>
        <v>convert</v>
      </c>
      <c r="K69" s="8">
        <f>IF(D69="preference",$C$7,0)+IF(E69="preference",$C$8,0)+IF(F69="preference",$C$9,0)+IF(G69="preference",$C$10,0)+IF(H69="preference",$C$11,0)+IF(I69="preference",$C$12,0)+IF(J69="preference",$C$13,0)</f>
        <v>100000000</v>
      </c>
      <c r="L69" s="11">
        <f>IF(D69="convert",$D$7,0)+IF(E69="convert",$D$8,0)+IF(F69="convert",$D$9,0)+IF(G69="convert",$D$10,0)+IF(H69="convert",$D$11,0)+IF(I69="convert",$D$12,0)+IF(J69="convert",$D$13,0)</f>
        <v>22338766.83925568</v>
      </c>
    </row>
    <row r="70" spans="2:12" x14ac:dyDescent="0.25">
      <c r="B70" s="5" t="s">
        <v>245</v>
      </c>
      <c r="D70" s="5" t="str">
        <f>IF($C$7&gt;((F$23-(K69-IF(D69="preference",$C$7,0)))/($D$19+(L69-IF(D69="convert",$D$7,0))+$D$7)*$D$7),"preference","convert")</f>
        <v>convert</v>
      </c>
      <c r="E70" s="5" t="str">
        <f>IF($C$8&gt;((F$23-(K69-IF(E69="preference",$C$8,0)))/($D$19+(L69-IF(E69="convert",$D$8,0))+$D$8)*$D$8),"preference","convert")</f>
        <v>convert</v>
      </c>
      <c r="F70" s="5" t="str">
        <f>IF($C$9&gt;((F$23-(K69-IF(F69="preference",$C$9,0)))/($D$19+(L69-IF(F69="convert",$D$9,0))+$D$9)*$D$9),"preference","convert")</f>
        <v>preference</v>
      </c>
      <c r="G70" s="5" t="str">
        <f>IF($C$10&gt;((F$23-(K69-IF(G69="preference",$C$10,0)))/($D$19+(L69-IF(G69="convert",$D$10,0))+$D$10)*$D$10),"preference","convert")</f>
        <v>convert</v>
      </c>
      <c r="H70" s="5" t="str">
        <f>IF($C$11&gt;((F$23-(K69-IF(H69="preference",$C$11,0)))/($D$19+(L69-IF(H69="convert",$D$11,0))+$D$11)*$D$11),"preference","convert")</f>
        <v>convert</v>
      </c>
      <c r="I70" s="5" t="str">
        <f>IF($C$12&gt;((F$23-(K69-IF(I69="preference",$C$12,0)))/($D$19+(L69-IF(I69="convert",$D$12,0))+$D$12)*$D$12),"preference","convert")</f>
        <v>convert</v>
      </c>
      <c r="J70" s="5" t="str">
        <f>IF($C$13&gt;((F$23-(K69-IF(J69="preference",$C$13,0)))/($D$19+(L69-IF(J69="convert",$D$13,0))+$D$13)*$D$13),"preference","convert")</f>
        <v>convert</v>
      </c>
      <c r="K70" s="8">
        <f>IF(D70="preference",$C$7,0)+IF(E70="preference",$C$8,0)+IF(F70="preference",$C$9,0)+IF(G70="preference",$C$10,0)+IF(H70="preference",$C$11,0)+IF(I70="preference",$C$12,0)+IF(J70="preference",$C$13,0)</f>
        <v>100000000</v>
      </c>
      <c r="L70" s="11">
        <f>IF(D70="convert",$D$7,0)+IF(E70="convert",$D$8,0)+IF(F70="convert",$D$9,0)+IF(G70="convert",$D$10,0)+IF(H70="convert",$D$11,0)+IF(I70="convert",$D$12,0)+IF(J70="convert",$D$13,0)</f>
        <v>22338766.83925568</v>
      </c>
    </row>
    <row r="71" spans="2:12" x14ac:dyDescent="0.25">
      <c r="B71" s="5" t="s">
        <v>246</v>
      </c>
      <c r="D71" s="5" t="str">
        <f>IF($C$7&gt;((F$23-(K70-IF(D70="preference",$C$7,0)))/($D$19+(L70-IF(D70="convert",$D$7,0))+$D$7)*$D$7),"preference","convert")</f>
        <v>convert</v>
      </c>
      <c r="E71" s="5" t="str">
        <f>IF($C$8&gt;((F$23-(K70-IF(E70="preference",$C$8,0)))/($D$19+(L70-IF(E70="convert",$D$8,0))+$D$8)*$D$8),"preference","convert")</f>
        <v>convert</v>
      </c>
      <c r="F71" s="5" t="str">
        <f>IF($C$9&gt;((F$23-(K70-IF(F70="preference",$C$9,0)))/($D$19+(L70-IF(F70="convert",$D$9,0))+$D$9)*$D$9),"preference","convert")</f>
        <v>preference</v>
      </c>
      <c r="G71" s="5" t="str">
        <f>IF($C$10&gt;((F$23-(K70-IF(G70="preference",$C$10,0)))/($D$19+(L70-IF(G70="convert",$D$10,0))+$D$10)*$D$10),"preference","convert")</f>
        <v>convert</v>
      </c>
      <c r="H71" s="5" t="str">
        <f>IF($C$11&gt;((F$23-(K70-IF(H70="preference",$C$11,0)))/($D$19+(L70-IF(H70="convert",$D$11,0))+$D$11)*$D$11),"preference","convert")</f>
        <v>convert</v>
      </c>
      <c r="I71" s="5" t="str">
        <f>IF($C$12&gt;((F$23-(K70-IF(I70="preference",$C$12,0)))/($D$19+(L70-IF(I70="convert",$D$12,0))+$D$12)*$D$12),"preference","convert")</f>
        <v>convert</v>
      </c>
      <c r="J71" s="5" t="str">
        <f>IF($C$13&gt;((F$23-(K70-IF(J70="preference",$C$13,0)))/($D$19+(L70-IF(J70="convert",$D$13,0))+$D$13)*$D$13),"preference","convert")</f>
        <v>convert</v>
      </c>
      <c r="K71" s="8">
        <f>IF(D71="preference",$C$7,0)+IF(E71="preference",$C$8,0)+IF(F71="preference",$C$9,0)+IF(G71="preference",$C$10,0)+IF(H71="preference",$C$11,0)+IF(I71="preference",$C$12,0)+IF(J71="preference",$C$13,0)</f>
        <v>100000000</v>
      </c>
      <c r="L71" s="11">
        <f>IF(D71="convert",$D$7,0)+IF(E71="convert",$D$8,0)+IF(F71="convert",$D$9,0)+IF(G71="convert",$D$10,0)+IF(H71="convert",$D$11,0)+IF(I71="convert",$D$12,0)+IF(J71="convert",$D$13,0)</f>
        <v>22338766.83925568</v>
      </c>
    </row>
    <row r="72" spans="2:12" x14ac:dyDescent="0.25">
      <c r="B72" s="5" t="s">
        <v>247</v>
      </c>
      <c r="D72" s="5" t="str">
        <f>IF($C$7&gt;((F$23-(K71-IF(D71="preference",$C$7,0)))/($D$19+(L71-IF(D71="convert",$D$7,0))+$D$7)*$D$7),"preference","convert")</f>
        <v>convert</v>
      </c>
      <c r="E72" s="5" t="str">
        <f>IF($C$8&gt;((F$23-(K71-IF(E71="preference",$C$8,0)))/($D$19+(L71-IF(E71="convert",$D$8,0))+$D$8)*$D$8),"preference","convert")</f>
        <v>convert</v>
      </c>
      <c r="F72" s="5" t="str">
        <f>IF($C$9&gt;((F$23-(K71-IF(F71="preference",$C$9,0)))/($D$19+(L71-IF(F71="convert",$D$9,0))+$D$9)*$D$9),"preference","convert")</f>
        <v>preference</v>
      </c>
      <c r="G72" s="5" t="str">
        <f>IF($C$10&gt;((F$23-(K71-IF(G71="preference",$C$10,0)))/($D$19+(L71-IF(G71="convert",$D$10,0))+$D$10)*$D$10),"preference","convert")</f>
        <v>convert</v>
      </c>
      <c r="H72" s="5" t="str">
        <f>IF($C$11&gt;((F$23-(K71-IF(H71="preference",$C$11,0)))/($D$19+(L71-IF(H71="convert",$D$11,0))+$D$11)*$D$11),"preference","convert")</f>
        <v>convert</v>
      </c>
      <c r="I72" s="5" t="str">
        <f>IF($C$12&gt;((F$23-(K71-IF(I71="preference",$C$12,0)))/($D$19+(L71-IF(I71="convert",$D$12,0))+$D$12)*$D$12),"preference","convert")</f>
        <v>convert</v>
      </c>
      <c r="J72" s="5" t="str">
        <f>IF($C$13&gt;((F$23-(K71-IF(J71="preference",$C$13,0)))/($D$19+(L71-IF(J71="convert",$D$13,0))+$D$13)*$D$13),"preference","convert")</f>
        <v>convert</v>
      </c>
      <c r="K72" s="8">
        <f>IF(D72="preference",$C$7,0)+IF(E72="preference",$C$8,0)+IF(F72="preference",$C$9,0)+IF(G72="preference",$C$10,0)+IF(H72="preference",$C$11,0)+IF(I72="preference",$C$12,0)+IF(J72="preference",$C$13,0)</f>
        <v>100000000</v>
      </c>
      <c r="L72" s="11">
        <f>IF(D72="convert",$D$7,0)+IF(E72="convert",$D$8,0)+IF(F72="convert",$D$9,0)+IF(G72="convert",$D$10,0)+IF(H72="convert",$D$11,0)+IF(I72="convert",$D$12,0)+IF(J72="convert",$D$13,0)</f>
        <v>22338766.83925568</v>
      </c>
    </row>
    <row r="73" spans="2:12" x14ac:dyDescent="0.25">
      <c r="B73" s="5" t="s">
        <v>248</v>
      </c>
      <c r="D73" s="12" t="str">
        <f>IF($C$7&gt;((F$23-(K72-IF(D72="preference",$C$7,0)))/($D$19+(L72-IF(D72="convert",$D$7,0))+$D$7)*$D$7),"preference","convert")</f>
        <v>convert</v>
      </c>
      <c r="E73" s="12" t="str">
        <f>IF($C$8&gt;((F$23-(K72-IF(E72="preference",$C$8,0)))/($D$19+(L72-IF(E72="convert",$D$8,0))+$D$8)*$D$8),"preference","convert")</f>
        <v>convert</v>
      </c>
      <c r="F73" s="12" t="str">
        <f>IF($C$9&gt;((F$23-(K72-IF(F72="preference",$C$9,0)))/($D$19+(L72-IF(F72="convert",$D$9,0))+$D$9)*$D$9),"preference","convert")</f>
        <v>preference</v>
      </c>
      <c r="G73" s="12" t="str">
        <f>IF($C$10&gt;((F$23-(K72-IF(G72="preference",$C$10,0)))/($D$19+(L72-IF(G72="convert",$D$10,0))+$D$10)*$D$10),"preference","convert")</f>
        <v>convert</v>
      </c>
      <c r="H73" s="12" t="str">
        <f>IF($C$11&gt;((F$23-(K72-IF(H72="preference",$C$11,0)))/($D$19+(L72-IF(H72="convert",$D$11,0))+$D$11)*$D$11),"preference","convert")</f>
        <v>convert</v>
      </c>
      <c r="I73" s="12" t="str">
        <f>IF($C$12&gt;((F$23-(K72-IF(I72="preference",$C$12,0)))/($D$19+(L72-IF(I72="convert",$D$12,0))+$D$12)*$D$12),"preference","convert")</f>
        <v>convert</v>
      </c>
      <c r="J73" s="12" t="str">
        <f>IF($C$13&gt;((F$23-(K72-IF(J72="preference",$C$13,0)))/($D$19+(L72-IF(J72="convert",$D$13,0))+$D$13)*$D$13),"preference","convert")</f>
        <v>convert</v>
      </c>
      <c r="K73" s="8">
        <f>IF(D73="preference",$C$7,0)+IF(E73="preference",$C$8,0)+IF(F73="preference",$C$9,0)+IF(G73="preference",$C$10,0)+IF(H73="preference",$C$11,0)+IF(I73="preference",$C$12,0)+IF(J73="preference",$C$13,0)</f>
        <v>100000000</v>
      </c>
      <c r="L73" s="11">
        <f>IF(D73="convert",$D$7,0)+IF(E73="convert",$D$8,0)+IF(F73="convert",$D$9,0)+IF(G73="convert",$D$10,0)+IF(H73="convert",$D$11,0)+IF(I73="convert",$D$12,0)+IF(J73="convert",$D$13,0)</f>
        <v>22338766.83925568</v>
      </c>
    </row>
    <row r="74" spans="2:3" x14ac:dyDescent="0.25">
      <c r="B74" s="12" t="s">
        <v>284</v>
      </c>
      <c r="C74" s="21">
        <f>(F$23-K73)/($D$19+L73)</f>
        <v>55.75888157036302</v>
      </c>
    </row>
    <row r="75" spans="2:10" x14ac:dyDescent="0.25">
      <c r="B75" s="5" t="s">
        <v>285</v>
      </c>
      <c r="D75" s="8">
        <f>IF(D73="preference",$C$7,$C$74*$D$7)</f>
        <v>44846573.69385935</v>
      </c>
      <c r="E75" s="8">
        <f>IF(E73="preference",$C$8,$C$74*$D$8)</f>
        <v>342051304.74056035</v>
      </c>
      <c r="F75" s="8">
        <f>IF(F73="preference",$C$9,$C$74*$D$9)</f>
        <v>100000000</v>
      </c>
      <c r="G75" s="8">
        <f>IF(G73="preference",$C$10,$C$74*$D$10)</f>
        <v>133821315.76887125</v>
      </c>
      <c r="H75" s="8">
        <f>IF(H73="preference",$C$11,$C$74*$D$11)</f>
        <v>167276644.71108907</v>
      </c>
      <c r="I75" s="8">
        <f>IF(I73="preference",$C$12,$C$74*$D$12)</f>
        <v>278794407.8518151</v>
      </c>
      <c r="J75" s="8">
        <f>IF(J73="preference",$C$13,$C$74*$D$13)</f>
        <v>278794407.8518151</v>
      </c>
    </row>
    <row r="76" spans="2:3" x14ac:dyDescent="0.25">
      <c r="B76" s="5" t="s">
        <v>286</v>
      </c>
      <c r="C76" s="8">
        <f>$C$74*$D$15</f>
        <v>501829934.13326716</v>
      </c>
    </row>
    <row r="77" spans="2:3" x14ac:dyDescent="0.25">
      <c r="B77" s="5" t="s">
        <v>287</v>
      </c>
      <c r="C77" s="8">
        <f>$C$74*$D$16</f>
        <v>15688207.322815299</v>
      </c>
    </row>
    <row r="78" spans="2:3" x14ac:dyDescent="0.25">
      <c r="B78" s="5" t="s">
        <v>288</v>
      </c>
      <c r="C78" s="8">
        <f>MAX(0,($C$74-$C$18)*$D$17)</f>
        <v>136897203.92590755</v>
      </c>
    </row>
    <row r="79" spans="2:3" x14ac:dyDescent="0.25">
      <c r="B79" s="12" t="s">
        <v>289</v>
      </c>
      <c r="C79" s="34">
        <f>C76+C77+C78+D75+E75+F75+G75+H75+I75+J75</f>
        <v>2000000000</v>
      </c>
    </row>
    <row r="80" spans="2:3" x14ac:dyDescent="0.25">
      <c r="B80" s="29" t="s">
        <v>174</v>
      </c>
      <c r="C80" s="29">
        <f>ROUND(C79-F$22,0)</f>
        <v>0</v>
      </c>
    </row>
    <row r="81" spans="2:10" x14ac:dyDescent="0.25">
      <c r="B81" s="19" t="s">
        <v>292</v>
      </c>
      <c r="C81" s="20"/>
      <c r="D81" s="20"/>
      <c r="E81" s="20"/>
      <c r="F81" s="20"/>
      <c r="G81" s="20"/>
      <c r="H81" s="20"/>
      <c r="I81" s="20"/>
      <c r="J81" s="20"/>
    </row>
    <row r="82" spans="2:12" x14ac:dyDescent="0.25">
      <c r="B82" s="23" t="s">
        <v>282</v>
      </c>
      <c r="C82" s="23"/>
      <c r="D82" s="23" t="s">
        <v>232</v>
      </c>
      <c r="E82" s="23" t="s">
        <v>233</v>
      </c>
      <c r="F82" s="23" t="s">
        <v>234</v>
      </c>
      <c r="G82" s="23" t="s">
        <v>235</v>
      </c>
      <c r="H82" s="23" t="s">
        <v>236</v>
      </c>
      <c r="I82" s="23" t="s">
        <v>237</v>
      </c>
      <c r="J82" s="23" t="s">
        <v>114</v>
      </c>
      <c r="K82" s="23" t="s">
        <v>238</v>
      </c>
      <c r="L82" s="23" t="s">
        <v>239</v>
      </c>
    </row>
    <row r="83" spans="2:12" x14ac:dyDescent="0.25">
      <c r="B83" s="5" t="s">
        <v>283</v>
      </c>
      <c r="D83" s="5" t="s">
        <v>243</v>
      </c>
      <c r="E83" s="5" t="s">
        <v>243</v>
      </c>
      <c r="F83" s="5" t="s">
        <v>243</v>
      </c>
      <c r="G83" s="5" t="s">
        <v>243</v>
      </c>
      <c r="H83" s="5" t="s">
        <v>243</v>
      </c>
      <c r="I83" s="5" t="s">
        <v>243</v>
      </c>
      <c r="J83" s="5" t="s">
        <v>243</v>
      </c>
      <c r="K83" s="8">
        <f>IF(D83="preference",$C$7,0)+IF(E83="preference",$C$8,0)+IF(F83="preference",$C$9,0)+IF(G83="preference",$C$10,0)+IF(H83="preference",$C$11,0)+IF(I83="preference",$C$12,0)+IF(J83="preference",$C$13,0)</f>
        <v>0</v>
      </c>
      <c r="L83" s="11">
        <f>IF(D83="convert",$D$7,0)+IF(E83="convert",$D$8,0)+IF(F83="convert",$D$9,0)+IF(G83="convert",$D$10,0)+IF(H83="convert",$D$11,0)+IF(I83="convert",$D$12,0)+IF(J83="convert",$D$13,0)</f>
        <v>24072743.782251697</v>
      </c>
    </row>
    <row r="84" spans="2:12" x14ac:dyDescent="0.25">
      <c r="B84" s="5" t="s">
        <v>244</v>
      </c>
      <c r="D84" s="5" t="str">
        <f>IF($C$7&gt;((G$23-(K83-IF(D83="preference",$C$7,0)))/($D$19+(L83-IF(D83="convert",$D$7,0))+$D$7)*$D$7),"preference","convert")</f>
        <v>convert</v>
      </c>
      <c r="E84" s="5" t="str">
        <f>IF($C$8&gt;((G$23-(K83-IF(E83="preference",$C$8,0)))/($D$19+(L83-IF(E83="convert",$D$8,0))+$D$8)*$D$8),"preference","convert")</f>
        <v>convert</v>
      </c>
      <c r="F84" s="5" t="str">
        <f>IF($C$9&gt;((G$23-(K83-IF(F83="preference",$C$9,0)))/($D$19+(L83-IF(F83="convert",$D$9,0))+$D$9)*$D$9),"preference","convert")</f>
        <v>convert</v>
      </c>
      <c r="G84" s="5" t="str">
        <f>IF($C$10&gt;((G$23-(K83-IF(G83="preference",$C$10,0)))/($D$19+(L83-IF(G83="convert",$D$10,0))+$D$10)*$D$10),"preference","convert")</f>
        <v>convert</v>
      </c>
      <c r="H84" s="5" t="str">
        <f>IF($C$11&gt;((G$23-(K83-IF(H83="preference",$C$11,0)))/($D$19+(L83-IF(H83="convert",$D$11,0))+$D$11)*$D$11),"preference","convert")</f>
        <v>convert</v>
      </c>
      <c r="I84" s="5" t="str">
        <f>IF($C$12&gt;((G$23-(K83-IF(I83="preference",$C$12,0)))/($D$19+(L83-IF(I83="convert",$D$12,0))+$D$12)*$D$12),"preference","convert")</f>
        <v>convert</v>
      </c>
      <c r="J84" s="5" t="str">
        <f>IF($C$13&gt;((G$23-(K83-IF(J83="preference",$C$13,0)))/($D$19+(L83-IF(J83="convert",$D$13,0))+$D$13)*$D$13),"preference","convert")</f>
        <v>convert</v>
      </c>
      <c r="K84" s="8">
        <f>IF(D84="preference",$C$7,0)+IF(E84="preference",$C$8,0)+IF(F84="preference",$C$9,0)+IF(G84="preference",$C$10,0)+IF(H84="preference",$C$11,0)+IF(I84="preference",$C$12,0)+IF(J84="preference",$C$13,0)</f>
        <v>0</v>
      </c>
      <c r="L84" s="11">
        <f>IF(D84="convert",$D$7,0)+IF(E84="convert",$D$8,0)+IF(F84="convert",$D$9,0)+IF(G84="convert",$D$10,0)+IF(H84="convert",$D$11,0)+IF(I84="convert",$D$12,0)+IF(J84="convert",$D$13,0)</f>
        <v>24072743.782251697</v>
      </c>
    </row>
    <row r="85" spans="2:12" x14ac:dyDescent="0.25">
      <c r="B85" s="5" t="s">
        <v>245</v>
      </c>
      <c r="D85" s="5" t="str">
        <f>IF($C$7&gt;((G$23-(K84-IF(D84="preference",$C$7,0)))/($D$19+(L84-IF(D84="convert",$D$7,0))+$D$7)*$D$7),"preference","convert")</f>
        <v>convert</v>
      </c>
      <c r="E85" s="5" t="str">
        <f>IF($C$8&gt;((G$23-(K84-IF(E84="preference",$C$8,0)))/($D$19+(L84-IF(E84="convert",$D$8,0))+$D$8)*$D$8),"preference","convert")</f>
        <v>convert</v>
      </c>
      <c r="F85" s="5" t="str">
        <f>IF($C$9&gt;((G$23-(K84-IF(F84="preference",$C$9,0)))/($D$19+(L84-IF(F84="convert",$D$9,0))+$D$9)*$D$9),"preference","convert")</f>
        <v>convert</v>
      </c>
      <c r="G85" s="5" t="str">
        <f>IF($C$10&gt;((G$23-(K84-IF(G84="preference",$C$10,0)))/($D$19+(L84-IF(G84="convert",$D$10,0))+$D$10)*$D$10),"preference","convert")</f>
        <v>convert</v>
      </c>
      <c r="H85" s="5" t="str">
        <f>IF($C$11&gt;((G$23-(K84-IF(H84="preference",$C$11,0)))/($D$19+(L84-IF(H84="convert",$D$11,0))+$D$11)*$D$11),"preference","convert")</f>
        <v>convert</v>
      </c>
      <c r="I85" s="5" t="str">
        <f>IF($C$12&gt;((G$23-(K84-IF(I84="preference",$C$12,0)))/($D$19+(L84-IF(I84="convert",$D$12,0))+$D$12)*$D$12),"preference","convert")</f>
        <v>convert</v>
      </c>
      <c r="J85" s="5" t="str">
        <f>IF($C$13&gt;((G$23-(K84-IF(J84="preference",$C$13,0)))/($D$19+(L84-IF(J84="convert",$D$13,0))+$D$13)*$D$13),"preference","convert")</f>
        <v>convert</v>
      </c>
      <c r="K85" s="8">
        <f>IF(D85="preference",$C$7,0)+IF(E85="preference",$C$8,0)+IF(F85="preference",$C$9,0)+IF(G85="preference",$C$10,0)+IF(H85="preference",$C$11,0)+IF(I85="preference",$C$12,0)+IF(J85="preference",$C$13,0)</f>
        <v>0</v>
      </c>
      <c r="L85" s="11">
        <f>IF(D85="convert",$D$7,0)+IF(E85="convert",$D$8,0)+IF(F85="convert",$D$9,0)+IF(G85="convert",$D$10,0)+IF(H85="convert",$D$11,0)+IF(I85="convert",$D$12,0)+IF(J85="convert",$D$13,0)</f>
        <v>24072743.782251697</v>
      </c>
    </row>
    <row r="86" spans="2:12" x14ac:dyDescent="0.25">
      <c r="B86" s="5" t="s">
        <v>246</v>
      </c>
      <c r="D86" s="5" t="str">
        <f>IF($C$7&gt;((G$23-(K85-IF(D85="preference",$C$7,0)))/($D$19+(L85-IF(D85="convert",$D$7,0))+$D$7)*$D$7),"preference","convert")</f>
        <v>convert</v>
      </c>
      <c r="E86" s="5" t="str">
        <f>IF($C$8&gt;((G$23-(K85-IF(E85="preference",$C$8,0)))/($D$19+(L85-IF(E85="convert",$D$8,0))+$D$8)*$D$8),"preference","convert")</f>
        <v>convert</v>
      </c>
      <c r="F86" s="5" t="str">
        <f>IF($C$9&gt;((G$23-(K85-IF(F85="preference",$C$9,0)))/($D$19+(L85-IF(F85="convert",$D$9,0))+$D$9)*$D$9),"preference","convert")</f>
        <v>convert</v>
      </c>
      <c r="G86" s="5" t="str">
        <f>IF($C$10&gt;((G$23-(K85-IF(G85="preference",$C$10,0)))/($D$19+(L85-IF(G85="convert",$D$10,0))+$D$10)*$D$10),"preference","convert")</f>
        <v>convert</v>
      </c>
      <c r="H86" s="5" t="str">
        <f>IF($C$11&gt;((G$23-(K85-IF(H85="preference",$C$11,0)))/($D$19+(L85-IF(H85="convert",$D$11,0))+$D$11)*$D$11),"preference","convert")</f>
        <v>convert</v>
      </c>
      <c r="I86" s="5" t="str">
        <f>IF($C$12&gt;((G$23-(K85-IF(I85="preference",$C$12,0)))/($D$19+(L85-IF(I85="convert",$D$12,0))+$D$12)*$D$12),"preference","convert")</f>
        <v>convert</v>
      </c>
      <c r="J86" s="5" t="str">
        <f>IF($C$13&gt;((G$23-(K85-IF(J85="preference",$C$13,0)))/($D$19+(L85-IF(J85="convert",$D$13,0))+$D$13)*$D$13),"preference","convert")</f>
        <v>convert</v>
      </c>
      <c r="K86" s="8">
        <f>IF(D86="preference",$C$7,0)+IF(E86="preference",$C$8,0)+IF(F86="preference",$C$9,0)+IF(G86="preference",$C$10,0)+IF(H86="preference",$C$11,0)+IF(I86="preference",$C$12,0)+IF(J86="preference",$C$13,0)</f>
        <v>0</v>
      </c>
      <c r="L86" s="11">
        <f>IF(D86="convert",$D$7,0)+IF(E86="convert",$D$8,0)+IF(F86="convert",$D$9,0)+IF(G86="convert",$D$10,0)+IF(H86="convert",$D$11,0)+IF(I86="convert",$D$12,0)+IF(J86="convert",$D$13,0)</f>
        <v>24072743.782251697</v>
      </c>
    </row>
    <row r="87" spans="2:12" x14ac:dyDescent="0.25">
      <c r="B87" s="5" t="s">
        <v>247</v>
      </c>
      <c r="D87" s="5" t="str">
        <f>IF($C$7&gt;((G$23-(K86-IF(D86="preference",$C$7,0)))/($D$19+(L86-IF(D86="convert",$D$7,0))+$D$7)*$D$7),"preference","convert")</f>
        <v>convert</v>
      </c>
      <c r="E87" s="5" t="str">
        <f>IF($C$8&gt;((G$23-(K86-IF(E86="preference",$C$8,0)))/($D$19+(L86-IF(E86="convert",$D$8,0))+$D$8)*$D$8),"preference","convert")</f>
        <v>convert</v>
      </c>
      <c r="F87" s="5" t="str">
        <f>IF($C$9&gt;((G$23-(K86-IF(F86="preference",$C$9,0)))/($D$19+(L86-IF(F86="convert",$D$9,0))+$D$9)*$D$9),"preference","convert")</f>
        <v>convert</v>
      </c>
      <c r="G87" s="5" t="str">
        <f>IF($C$10&gt;((G$23-(K86-IF(G86="preference",$C$10,0)))/($D$19+(L86-IF(G86="convert",$D$10,0))+$D$10)*$D$10),"preference","convert")</f>
        <v>convert</v>
      </c>
      <c r="H87" s="5" t="str">
        <f>IF($C$11&gt;((G$23-(K86-IF(H86="preference",$C$11,0)))/($D$19+(L86-IF(H86="convert",$D$11,0))+$D$11)*$D$11),"preference","convert")</f>
        <v>convert</v>
      </c>
      <c r="I87" s="5" t="str">
        <f>IF($C$12&gt;((G$23-(K86-IF(I86="preference",$C$12,0)))/($D$19+(L86-IF(I86="convert",$D$12,0))+$D$12)*$D$12),"preference","convert")</f>
        <v>convert</v>
      </c>
      <c r="J87" s="5" t="str">
        <f>IF($C$13&gt;((G$23-(K86-IF(J86="preference",$C$13,0)))/($D$19+(L86-IF(J86="convert",$D$13,0))+$D$13)*$D$13),"preference","convert")</f>
        <v>convert</v>
      </c>
      <c r="K87" s="8">
        <f>IF(D87="preference",$C$7,0)+IF(E87="preference",$C$8,0)+IF(F87="preference",$C$9,0)+IF(G87="preference",$C$10,0)+IF(H87="preference",$C$11,0)+IF(I87="preference",$C$12,0)+IF(J87="preference",$C$13,0)</f>
        <v>0</v>
      </c>
      <c r="L87" s="11">
        <f>IF(D87="convert",$D$7,0)+IF(E87="convert",$D$8,0)+IF(F87="convert",$D$9,0)+IF(G87="convert",$D$10,0)+IF(H87="convert",$D$11,0)+IF(I87="convert",$D$12,0)+IF(J87="convert",$D$13,0)</f>
        <v>24072743.782251697</v>
      </c>
    </row>
    <row r="88" spans="2:12" x14ac:dyDescent="0.25">
      <c r="B88" s="5" t="s">
        <v>248</v>
      </c>
      <c r="D88" s="12" t="str">
        <f>IF($C$7&gt;((G$23-(K87-IF(D87="preference",$C$7,0)))/($D$19+(L87-IF(D87="convert",$D$7,0))+$D$7)*$D$7),"preference","convert")</f>
        <v>convert</v>
      </c>
      <c r="E88" s="12" t="str">
        <f>IF($C$8&gt;((G$23-(K87-IF(E87="preference",$C$8,0)))/($D$19+(L87-IF(E87="convert",$D$8,0))+$D$8)*$D$8),"preference","convert")</f>
        <v>convert</v>
      </c>
      <c r="F88" s="12" t="str">
        <f>IF($C$9&gt;((G$23-(K87-IF(F87="preference",$C$9,0)))/($D$19+(L87-IF(F87="convert",$D$9,0))+$D$9)*$D$9),"preference","convert")</f>
        <v>convert</v>
      </c>
      <c r="G88" s="12" t="str">
        <f>IF($C$10&gt;((G$23-(K87-IF(G87="preference",$C$10,0)))/($D$19+(L87-IF(G87="convert",$D$10,0))+$D$10)*$D$10),"preference","convert")</f>
        <v>convert</v>
      </c>
      <c r="H88" s="12" t="str">
        <f>IF($C$11&gt;((G$23-(K87-IF(H87="preference",$C$11,0)))/($D$19+(L87-IF(H87="convert",$D$11,0))+$D$11)*$D$11),"preference","convert")</f>
        <v>convert</v>
      </c>
      <c r="I88" s="12" t="str">
        <f>IF($C$12&gt;((G$23-(K87-IF(I87="preference",$C$12,0)))/($D$19+(L87-IF(I87="convert",$D$12,0))+$D$12)*$D$12),"preference","convert")</f>
        <v>convert</v>
      </c>
      <c r="J88" s="12" t="str">
        <f>IF($C$13&gt;((G$23-(K87-IF(J87="preference",$C$13,0)))/($D$19+(L87-IF(J87="convert",$D$13,0))+$D$13)*$D$13),"preference","convert")</f>
        <v>convert</v>
      </c>
      <c r="K88" s="8">
        <f>IF(D88="preference",$C$7,0)+IF(E88="preference",$C$8,0)+IF(F88="preference",$C$9,0)+IF(G88="preference",$C$10,0)+IF(H88="preference",$C$11,0)+IF(I88="preference",$C$12,0)+IF(J88="preference",$C$13,0)</f>
        <v>0</v>
      </c>
      <c r="L88" s="11">
        <f>IF(D88="convert",$D$7,0)+IF(E88="convert",$D$8,0)+IF(F88="convert",$D$9,0)+IF(G88="convert",$D$10,0)+IF(H88="convert",$D$11,0)+IF(I88="convert",$D$12,0)+IF(J88="convert",$D$13,0)</f>
        <v>24072743.782251697</v>
      </c>
    </row>
    <row r="89" spans="2:3" x14ac:dyDescent="0.25">
      <c r="B89" s="12" t="s">
        <v>284</v>
      </c>
      <c r="C89" s="21">
        <f>(G$23-K88)/($D$19+L88)</f>
        <v>111.63297366823383</v>
      </c>
    </row>
    <row r="90" spans="2:10" x14ac:dyDescent="0.25">
      <c r="B90" s="5" t="s">
        <v>285</v>
      </c>
      <c r="D90" s="8">
        <f>IF(D88="preference",$C$7,$C$89*$D$7)</f>
        <v>89785810.60596612</v>
      </c>
      <c r="E90" s="8">
        <f>IF(E88="preference",$C$8,$C$89*$D$8)</f>
        <v>684809365.2506775</v>
      </c>
      <c r="F90" s="8">
        <f>IF(F88="preference",$C$9,$C$89*$D$9)</f>
        <v>193569002.41879883</v>
      </c>
      <c r="G90" s="8">
        <f>IF(G88="preference",$C$10,$C$89*$D$10)</f>
        <v>267919136.80376118</v>
      </c>
      <c r="H90" s="8">
        <f>IF(H88="preference",$C$11,$C$89*$D$11)</f>
        <v>334898921.0047015</v>
      </c>
      <c r="I90" s="8">
        <f>IF(I88="preference",$C$12,$C$89*$D$12)</f>
        <v>558164868.3411691</v>
      </c>
      <c r="J90" s="8">
        <f>IF(J88="preference",$C$13,$C$89*$D$13)</f>
        <v>558164868.3411691</v>
      </c>
    </row>
    <row r="91" spans="2:3" x14ac:dyDescent="0.25">
      <c r="B91" s="5" t="s">
        <v>286</v>
      </c>
      <c r="C91" s="8">
        <f>$C$89*$D$15</f>
        <v>1004696763.0141045</v>
      </c>
    </row>
    <row r="92" spans="2:3" x14ac:dyDescent="0.25">
      <c r="B92" s="5" t="s">
        <v>287</v>
      </c>
      <c r="C92" s="8">
        <f>$C$89*$D$16</f>
        <v>31408830.049067847</v>
      </c>
    </row>
    <row r="93" spans="2:3" x14ac:dyDescent="0.25">
      <c r="B93" s="5" t="s">
        <v>288</v>
      </c>
      <c r="C93" s="8">
        <f>MAX(0,($C$89-$C$18)*$D$17)</f>
        <v>276582434.17058456</v>
      </c>
    </row>
    <row r="94" spans="2:3" x14ac:dyDescent="0.25">
      <c r="B94" s="12" t="s">
        <v>289</v>
      </c>
      <c r="C94" s="34">
        <f>C91+C92+C93+D90+E90+F90+G90+H90+I90+J90</f>
        <v>3999999999.999999</v>
      </c>
    </row>
    <row r="95" spans="2:3" x14ac:dyDescent="0.25">
      <c r="B95" s="29" t="s">
        <v>174</v>
      </c>
      <c r="C95" s="29">
        <f>ROUND(C94-G$22,0)</f>
        <v>0</v>
      </c>
    </row>
    <row r="96" spans="2:10" x14ac:dyDescent="0.25">
      <c r="B96" s="19" t="s">
        <v>293</v>
      </c>
      <c r="C96" s="20"/>
      <c r="D96" s="20"/>
      <c r="E96" s="20"/>
      <c r="F96" s="20"/>
      <c r="G96" s="20"/>
      <c r="H96" s="20"/>
      <c r="I96" s="20"/>
      <c r="J96" s="20"/>
    </row>
    <row r="97" spans="2:12" x14ac:dyDescent="0.25">
      <c r="B97" s="23" t="s">
        <v>282</v>
      </c>
      <c r="C97" s="23"/>
      <c r="D97" s="23" t="s">
        <v>232</v>
      </c>
      <c r="E97" s="23" t="s">
        <v>233</v>
      </c>
      <c r="F97" s="23" t="s">
        <v>234</v>
      </c>
      <c r="G97" s="23" t="s">
        <v>235</v>
      </c>
      <c r="H97" s="23" t="s">
        <v>236</v>
      </c>
      <c r="I97" s="23" t="s">
        <v>237</v>
      </c>
      <c r="J97" s="23" t="s">
        <v>114</v>
      </c>
      <c r="K97" s="23" t="s">
        <v>238</v>
      </c>
      <c r="L97" s="23" t="s">
        <v>239</v>
      </c>
    </row>
    <row r="98" spans="2:12" x14ac:dyDescent="0.25">
      <c r="B98" s="5" t="s">
        <v>283</v>
      </c>
      <c r="D98" s="5" t="s">
        <v>243</v>
      </c>
      <c r="E98" s="5" t="s">
        <v>243</v>
      </c>
      <c r="F98" s="5" t="s">
        <v>243</v>
      </c>
      <c r="G98" s="5" t="s">
        <v>243</v>
      </c>
      <c r="H98" s="5" t="s">
        <v>243</v>
      </c>
      <c r="I98" s="5" t="s">
        <v>243</v>
      </c>
      <c r="J98" s="5" t="s">
        <v>243</v>
      </c>
      <c r="K98" s="8">
        <f>IF(D98="preference",$C$7,0)+IF(E98="preference",$C$8,0)+IF(F98="preference",$C$9,0)+IF(G98="preference",$C$10,0)+IF(H98="preference",$C$11,0)+IF(I98="preference",$C$12,0)+IF(J98="preference",$C$13,0)</f>
        <v>0</v>
      </c>
      <c r="L98" s="11">
        <f>IF(D98="convert",$D$7,0)+IF(E98="convert",$D$8,0)+IF(F98="convert",$D$9,0)+IF(G98="convert",$D$10,0)+IF(H98="convert",$D$11,0)+IF(I98="convert",$D$12,0)+IF(J98="convert",$D$13,0)</f>
        <v>24072743.782251697</v>
      </c>
    </row>
    <row r="99" spans="2:12" x14ac:dyDescent="0.25">
      <c r="B99" s="5" t="s">
        <v>244</v>
      </c>
      <c r="D99" s="5" t="str">
        <f>IF($C$7&gt;((H$23-(K98-IF(D98="preference",$C$7,0)))/($D$19+(L98-IF(D98="convert",$D$7,0))+$D$7)*$D$7),"preference","convert")</f>
        <v>convert</v>
      </c>
      <c r="E99" s="5" t="str">
        <f>IF($C$8&gt;((H$23-(K98-IF(E98="preference",$C$8,0)))/($D$19+(L98-IF(E98="convert",$D$8,0))+$D$8)*$D$8),"preference","convert")</f>
        <v>convert</v>
      </c>
      <c r="F99" s="5" t="str">
        <f>IF($C$9&gt;((H$23-(K98-IF(F98="preference",$C$9,0)))/($D$19+(L98-IF(F98="convert",$D$9,0))+$D$9)*$D$9),"preference","convert")</f>
        <v>convert</v>
      </c>
      <c r="G99" s="5" t="str">
        <f>IF($C$10&gt;((H$23-(K98-IF(G98="preference",$C$10,0)))/($D$19+(L98-IF(G98="convert",$D$10,0))+$D$10)*$D$10),"preference","convert")</f>
        <v>convert</v>
      </c>
      <c r="H99" s="5" t="str">
        <f>IF($C$11&gt;((H$23-(K98-IF(H98="preference",$C$11,0)))/($D$19+(L98-IF(H98="convert",$D$11,0))+$D$11)*$D$11),"preference","convert")</f>
        <v>convert</v>
      </c>
      <c r="I99" s="5" t="str">
        <f>IF($C$12&gt;((H$23-(K98-IF(I98="preference",$C$12,0)))/($D$19+(L98-IF(I98="convert",$D$12,0))+$D$12)*$D$12),"preference","convert")</f>
        <v>convert</v>
      </c>
      <c r="J99" s="5" t="str">
        <f>IF($C$13&gt;((H$23-(K98-IF(J98="preference",$C$13,0)))/($D$19+(L98-IF(J98="convert",$D$13,0))+$D$13)*$D$13),"preference","convert")</f>
        <v>convert</v>
      </c>
      <c r="K99" s="8">
        <f>IF(D99="preference",$C$7,0)+IF(E99="preference",$C$8,0)+IF(F99="preference",$C$9,0)+IF(G99="preference",$C$10,0)+IF(H99="preference",$C$11,0)+IF(I99="preference",$C$12,0)+IF(J99="preference",$C$13,0)</f>
        <v>0</v>
      </c>
      <c r="L99" s="11">
        <f>IF(D99="convert",$D$7,0)+IF(E99="convert",$D$8,0)+IF(F99="convert",$D$9,0)+IF(G99="convert",$D$10,0)+IF(H99="convert",$D$11,0)+IF(I99="convert",$D$12,0)+IF(J99="convert",$D$13,0)</f>
        <v>24072743.782251697</v>
      </c>
    </row>
    <row r="100" spans="2:12" x14ac:dyDescent="0.25">
      <c r="B100" s="5" t="s">
        <v>245</v>
      </c>
      <c r="D100" s="5" t="str">
        <f>IF($C$7&gt;((H$23-(K99-IF(D99="preference",$C$7,0)))/($D$19+(L99-IF(D99="convert",$D$7,0))+$D$7)*$D$7),"preference","convert")</f>
        <v>convert</v>
      </c>
      <c r="E100" s="5" t="str">
        <f>IF($C$8&gt;((H$23-(K99-IF(E99="preference",$C$8,0)))/($D$19+(L99-IF(E99="convert",$D$8,0))+$D$8)*$D$8),"preference","convert")</f>
        <v>convert</v>
      </c>
      <c r="F100" s="5" t="str">
        <f>IF($C$9&gt;((H$23-(K99-IF(F99="preference",$C$9,0)))/($D$19+(L99-IF(F99="convert",$D$9,0))+$D$9)*$D$9),"preference","convert")</f>
        <v>convert</v>
      </c>
      <c r="G100" s="5" t="str">
        <f>IF($C$10&gt;((H$23-(K99-IF(G99="preference",$C$10,0)))/($D$19+(L99-IF(G99="convert",$D$10,0))+$D$10)*$D$10),"preference","convert")</f>
        <v>convert</v>
      </c>
      <c r="H100" s="5" t="str">
        <f>IF($C$11&gt;((H$23-(K99-IF(H99="preference",$C$11,0)))/($D$19+(L99-IF(H99="convert",$D$11,0))+$D$11)*$D$11),"preference","convert")</f>
        <v>convert</v>
      </c>
      <c r="I100" s="5" t="str">
        <f>IF($C$12&gt;((H$23-(K99-IF(I99="preference",$C$12,0)))/($D$19+(L99-IF(I99="convert",$D$12,0))+$D$12)*$D$12),"preference","convert")</f>
        <v>convert</v>
      </c>
      <c r="J100" s="5" t="str">
        <f>IF($C$13&gt;((H$23-(K99-IF(J99="preference",$C$13,0)))/($D$19+(L99-IF(J99="convert",$D$13,0))+$D$13)*$D$13),"preference","convert")</f>
        <v>convert</v>
      </c>
      <c r="K100" s="8">
        <f>IF(D100="preference",$C$7,0)+IF(E100="preference",$C$8,0)+IF(F100="preference",$C$9,0)+IF(G100="preference",$C$10,0)+IF(H100="preference",$C$11,0)+IF(I100="preference",$C$12,0)+IF(J100="preference",$C$13,0)</f>
        <v>0</v>
      </c>
      <c r="L100" s="11">
        <f>IF(D100="convert",$D$7,0)+IF(E100="convert",$D$8,0)+IF(F100="convert",$D$9,0)+IF(G100="convert",$D$10,0)+IF(H100="convert",$D$11,0)+IF(I100="convert",$D$12,0)+IF(J100="convert",$D$13,0)</f>
        <v>24072743.782251697</v>
      </c>
    </row>
    <row r="101" spans="2:12" x14ac:dyDescent="0.25">
      <c r="B101" s="5" t="s">
        <v>246</v>
      </c>
      <c r="D101" s="5" t="str">
        <f>IF($C$7&gt;((H$23-(K100-IF(D100="preference",$C$7,0)))/($D$19+(L100-IF(D100="convert",$D$7,0))+$D$7)*$D$7),"preference","convert")</f>
        <v>convert</v>
      </c>
      <c r="E101" s="5" t="str">
        <f>IF($C$8&gt;((H$23-(K100-IF(E100="preference",$C$8,0)))/($D$19+(L100-IF(E100="convert",$D$8,0))+$D$8)*$D$8),"preference","convert")</f>
        <v>convert</v>
      </c>
      <c r="F101" s="5" t="str">
        <f>IF($C$9&gt;((H$23-(K100-IF(F100="preference",$C$9,0)))/($D$19+(L100-IF(F100="convert",$D$9,0))+$D$9)*$D$9),"preference","convert")</f>
        <v>convert</v>
      </c>
      <c r="G101" s="5" t="str">
        <f>IF($C$10&gt;((H$23-(K100-IF(G100="preference",$C$10,0)))/($D$19+(L100-IF(G100="convert",$D$10,0))+$D$10)*$D$10),"preference","convert")</f>
        <v>convert</v>
      </c>
      <c r="H101" s="5" t="str">
        <f>IF($C$11&gt;((H$23-(K100-IF(H100="preference",$C$11,0)))/($D$19+(L100-IF(H100="convert",$D$11,0))+$D$11)*$D$11),"preference","convert")</f>
        <v>convert</v>
      </c>
      <c r="I101" s="5" t="str">
        <f>IF($C$12&gt;((H$23-(K100-IF(I100="preference",$C$12,0)))/($D$19+(L100-IF(I100="convert",$D$12,0))+$D$12)*$D$12),"preference","convert")</f>
        <v>convert</v>
      </c>
      <c r="J101" s="5" t="str">
        <f>IF($C$13&gt;((H$23-(K100-IF(J100="preference",$C$13,0)))/($D$19+(L100-IF(J100="convert",$D$13,0))+$D$13)*$D$13),"preference","convert")</f>
        <v>convert</v>
      </c>
      <c r="K101" s="8">
        <f>IF(D101="preference",$C$7,0)+IF(E101="preference",$C$8,0)+IF(F101="preference",$C$9,0)+IF(G101="preference",$C$10,0)+IF(H101="preference",$C$11,0)+IF(I101="preference",$C$12,0)+IF(J101="preference",$C$13,0)</f>
        <v>0</v>
      </c>
      <c r="L101" s="11">
        <f>IF(D101="convert",$D$7,0)+IF(E101="convert",$D$8,0)+IF(F101="convert",$D$9,0)+IF(G101="convert",$D$10,0)+IF(H101="convert",$D$11,0)+IF(I101="convert",$D$12,0)+IF(J101="convert",$D$13,0)</f>
        <v>24072743.782251697</v>
      </c>
    </row>
    <row r="102" spans="2:12" x14ac:dyDescent="0.25">
      <c r="B102" s="5" t="s">
        <v>247</v>
      </c>
      <c r="D102" s="5" t="str">
        <f>IF($C$7&gt;((H$23-(K101-IF(D101="preference",$C$7,0)))/($D$19+(L101-IF(D101="convert",$D$7,0))+$D$7)*$D$7),"preference","convert")</f>
        <v>convert</v>
      </c>
      <c r="E102" s="5" t="str">
        <f>IF($C$8&gt;((H$23-(K101-IF(E101="preference",$C$8,0)))/($D$19+(L101-IF(E101="convert",$D$8,0))+$D$8)*$D$8),"preference","convert")</f>
        <v>convert</v>
      </c>
      <c r="F102" s="5" t="str">
        <f>IF($C$9&gt;((H$23-(K101-IF(F101="preference",$C$9,0)))/($D$19+(L101-IF(F101="convert",$D$9,0))+$D$9)*$D$9),"preference","convert")</f>
        <v>convert</v>
      </c>
      <c r="G102" s="5" t="str">
        <f>IF($C$10&gt;((H$23-(K101-IF(G101="preference",$C$10,0)))/($D$19+(L101-IF(G101="convert",$D$10,0))+$D$10)*$D$10),"preference","convert")</f>
        <v>convert</v>
      </c>
      <c r="H102" s="5" t="str">
        <f>IF($C$11&gt;((H$23-(K101-IF(H101="preference",$C$11,0)))/($D$19+(L101-IF(H101="convert",$D$11,0))+$D$11)*$D$11),"preference","convert")</f>
        <v>convert</v>
      </c>
      <c r="I102" s="5" t="str">
        <f>IF($C$12&gt;((H$23-(K101-IF(I101="preference",$C$12,0)))/($D$19+(L101-IF(I101="convert",$D$12,0))+$D$12)*$D$12),"preference","convert")</f>
        <v>convert</v>
      </c>
      <c r="J102" s="5" t="str">
        <f>IF($C$13&gt;((H$23-(K101-IF(J101="preference",$C$13,0)))/($D$19+(L101-IF(J101="convert",$D$13,0))+$D$13)*$D$13),"preference","convert")</f>
        <v>convert</v>
      </c>
      <c r="K102" s="8">
        <f>IF(D102="preference",$C$7,0)+IF(E102="preference",$C$8,0)+IF(F102="preference",$C$9,0)+IF(G102="preference",$C$10,0)+IF(H102="preference",$C$11,0)+IF(I102="preference",$C$12,0)+IF(J102="preference",$C$13,0)</f>
        <v>0</v>
      </c>
      <c r="L102" s="11">
        <f>IF(D102="convert",$D$7,0)+IF(E102="convert",$D$8,0)+IF(F102="convert",$D$9,0)+IF(G102="convert",$D$10,0)+IF(H102="convert",$D$11,0)+IF(I102="convert",$D$12,0)+IF(J102="convert",$D$13,0)</f>
        <v>24072743.782251697</v>
      </c>
    </row>
    <row r="103" spans="2:12" x14ac:dyDescent="0.25">
      <c r="B103" s="5" t="s">
        <v>248</v>
      </c>
      <c r="D103" s="12" t="str">
        <f>IF($C$7&gt;((H$23-(K102-IF(D102="preference",$C$7,0)))/($D$19+(L102-IF(D102="convert",$D$7,0))+$D$7)*$D$7),"preference","convert")</f>
        <v>convert</v>
      </c>
      <c r="E103" s="12" t="str">
        <f>IF($C$8&gt;((H$23-(K102-IF(E102="preference",$C$8,0)))/($D$19+(L102-IF(E102="convert",$D$8,0))+$D$8)*$D$8),"preference","convert")</f>
        <v>convert</v>
      </c>
      <c r="F103" s="12" t="str">
        <f>IF($C$9&gt;((H$23-(K102-IF(F102="preference",$C$9,0)))/($D$19+(L102-IF(F102="convert",$D$9,0))+$D$9)*$D$9),"preference","convert")</f>
        <v>convert</v>
      </c>
      <c r="G103" s="12" t="str">
        <f>IF($C$10&gt;((H$23-(K102-IF(G102="preference",$C$10,0)))/($D$19+(L102-IF(G102="convert",$D$10,0))+$D$10)*$D$10),"preference","convert")</f>
        <v>convert</v>
      </c>
      <c r="H103" s="12" t="str">
        <f>IF($C$11&gt;((H$23-(K102-IF(H102="preference",$C$11,0)))/($D$19+(L102-IF(H102="convert",$D$11,0))+$D$11)*$D$11),"preference","convert")</f>
        <v>convert</v>
      </c>
      <c r="I103" s="12" t="str">
        <f>IF($C$12&gt;((H$23-(K102-IF(I102="preference",$C$12,0)))/($D$19+(L102-IF(I102="convert",$D$12,0))+$D$12)*$D$12),"preference","convert")</f>
        <v>convert</v>
      </c>
      <c r="J103" s="12" t="str">
        <f>IF($C$13&gt;((H$23-(K102-IF(J102="preference",$C$13,0)))/($D$19+(L102-IF(J102="convert",$D$13,0))+$D$13)*$D$13),"preference","convert")</f>
        <v>convert</v>
      </c>
      <c r="K103" s="8">
        <f>IF(D103="preference",$C$7,0)+IF(E103="preference",$C$8,0)+IF(F103="preference",$C$9,0)+IF(G103="preference",$C$10,0)+IF(H103="preference",$C$11,0)+IF(I103="preference",$C$12,0)+IF(J103="preference",$C$13,0)</f>
        <v>0</v>
      </c>
      <c r="L103" s="11">
        <f>IF(D103="convert",$D$7,0)+IF(E103="convert",$D$8,0)+IF(F103="convert",$D$9,0)+IF(G103="convert",$D$10,0)+IF(H103="convert",$D$11,0)+IF(I103="convert",$D$12,0)+IF(J103="convert",$D$13,0)</f>
        <v>24072743.782251697</v>
      </c>
    </row>
    <row r="104" spans="2:3" x14ac:dyDescent="0.25">
      <c r="B104" s="12" t="s">
        <v>284</v>
      </c>
      <c r="C104" s="21">
        <f>(H$23-K103)/($D$19+L103)</f>
        <v>223.1962203073182</v>
      </c>
    </row>
    <row r="105" spans="2:10" x14ac:dyDescent="0.25">
      <c r="B105" s="5" t="s">
        <v>285</v>
      </c>
      <c r="D105" s="8">
        <f>IF(D103="preference",$C$7,$C$104*$D$7)</f>
        <v>179515540.1309791</v>
      </c>
      <c r="E105" s="8">
        <f>IF(E103="preference",$C$8,$C$104*$D$8)</f>
        <v>1369190991.984646</v>
      </c>
      <c r="F105" s="8">
        <f>IF(F103="preference",$C$9,$C$104*$D$9)</f>
        <v>387017099.7767489</v>
      </c>
      <c r="G105" s="8">
        <f>IF(G103="preference",$C$10,$C$104*$D$10)</f>
        <v>535670928.73756367</v>
      </c>
      <c r="H105" s="8">
        <f>IF(H103="preference",$C$11,$C$104*$D$11)</f>
        <v>669588660.9219546</v>
      </c>
      <c r="I105" s="8">
        <f>IF(I103="preference",$C$12,$C$104*$D$12)</f>
        <v>1115981101.536591</v>
      </c>
      <c r="J105" s="8">
        <f>IF(J103="preference",$C$13,$C$104*$D$13)</f>
        <v>1115981101.536591</v>
      </c>
    </row>
    <row r="106" spans="2:3" x14ac:dyDescent="0.25">
      <c r="B106" s="5" t="s">
        <v>286</v>
      </c>
      <c r="C106" s="8">
        <f>$C$104*$D$15</f>
        <v>2008765982.765864</v>
      </c>
    </row>
    <row r="107" spans="2:3" x14ac:dyDescent="0.25">
      <c r="B107" s="5" t="s">
        <v>287</v>
      </c>
      <c r="C107" s="8">
        <f>$C$104*$D$16</f>
        <v>62798041.84076588</v>
      </c>
    </row>
    <row r="108" spans="2:3" x14ac:dyDescent="0.25">
      <c r="B108" s="5" t="s">
        <v>288</v>
      </c>
      <c r="C108" s="8">
        <f>MAX(0,($C$104-$C$18)*$D$17)</f>
        <v>555490550.7682955</v>
      </c>
    </row>
    <row r="109" spans="2:3" x14ac:dyDescent="0.25">
      <c r="B109" s="12" t="s">
        <v>289</v>
      </c>
      <c r="C109" s="34">
        <f>C106+C107+C108+D105+E105+F105+G105+H105+I105+J105</f>
        <v>8000000000</v>
      </c>
    </row>
    <row r="110" spans="2:3" x14ac:dyDescent="0.25">
      <c r="B110" s="29" t="s">
        <v>174</v>
      </c>
      <c r="C110" s="29">
        <f>ROUND(C109-H$22,0)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Pro-Forma</vt:lpstr>
      <vt:lpstr>Return-Solver</vt:lpstr>
      <vt:lpstr>Sensitivity</vt:lpstr>
      <vt:lpstr>Waterfall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2026-04-27T00:09:44Z</dcterms:created>
  <dcterms:modified xsi:type="dcterms:W3CDTF">2026-04-27T00:09:44Z</dcterms:modified>
</cp:coreProperties>
</file>