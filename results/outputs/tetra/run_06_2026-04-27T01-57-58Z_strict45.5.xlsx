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5"/>
    <sheet sheetId="2" name="Pro-Forma" state="visible" r:id="rId6"/>
    <sheet sheetId="3" name="Return-Solver" state="visible" r:id="rId7"/>
    <sheet sheetId="4" name="Sensitivity" state="visible" r:id="rId8"/>
    <sheet sheetId="5" name="Waterfall" state="visible" r:id="rId9"/>
  </sheets>
  <calcPr calcId="171027" fullCalcOnLoad="1"/>
</workbook>
</file>

<file path=xl/sharedStrings.xml><?xml version="1.0" encoding="utf-8"?>
<sst xmlns="http://schemas.openxmlformats.org/spreadsheetml/2006/main" count="398" uniqueCount="332">
  <si>
    <t>Kelvin Dynamics — Assumptions</t>
  </si>
  <si>
    <t>Series F Round Modeling — All Inputs</t>
  </si>
  <si>
    <t>Series F Round Terms</t>
  </si>
  <si>
    <t>Pre-money valuation ($)</t>
  </si>
  <si>
    <t>Primary raise ($)</t>
  </si>
  <si>
    <t>Secondary raise ($)</t>
  </si>
  <si>
    <t>Tender PPS multiplier</t>
  </si>
  <si>
    <t>ESOP refresh target (% post-F FD)</t>
  </si>
  <si>
    <t>Our fund check ($)</t>
  </si>
  <si>
    <t>F_LEAD primary check ($)</t>
  </si>
  <si>
    <t>Prior Round OCPs (for AD)</t>
  </si>
  <si>
    <t>Seed OCP ($/sh)</t>
  </si>
  <si>
    <t>Series A OCP ($/sh)</t>
  </si>
  <si>
    <t>Series B OCP ($/sh)</t>
  </si>
  <si>
    <t>Series C OCP ($/sh)</t>
  </si>
  <si>
    <t>Series D OCP — post-E NCP ($/sh)</t>
  </si>
  <si>
    <t>Series E OCP ($/sh)</t>
  </si>
  <si>
    <t>Series D original PPS (informational)</t>
  </si>
  <si>
    <t>Existing Cap Table (Pre-F)</t>
  </si>
  <si>
    <t>F1 founder common</t>
  </si>
  <si>
    <t>F2 founder common</t>
  </si>
  <si>
    <t>F3 founder common</t>
  </si>
  <si>
    <t>Employee RSAs (10 holders × 100K)</t>
  </si>
  <si>
    <t>Pre-F options issued</t>
  </si>
  <si>
    <t>Pre-F options unissued</t>
  </si>
  <si>
    <t>Pre-F option pool total</t>
  </si>
  <si>
    <t>Seed shares issued</t>
  </si>
  <si>
    <t>Series A shares issued</t>
  </si>
  <si>
    <t>Series B shares issued</t>
  </si>
  <si>
    <t>Series C shares issued</t>
  </si>
  <si>
    <t>Series D shares issued (original)</t>
  </si>
  <si>
    <t>Series E shares issued</t>
  </si>
  <si>
    <t>Pre-F broad-based FD (post-E AD on D)</t>
  </si>
  <si>
    <t>Cumulative Invested by Class</t>
  </si>
  <si>
    <t>Seed invested ($)</t>
  </si>
  <si>
    <t>Series A invested ($)</t>
  </si>
  <si>
    <t>Series B invested ($)</t>
  </si>
  <si>
    <t>Series C invested ($)</t>
  </si>
  <si>
    <t>Series D invested ($)</t>
  </si>
  <si>
    <t>Series E invested ($)</t>
  </si>
  <si>
    <t>Convertible Notes</t>
  </si>
  <si>
    <t>Note A principal ($)</t>
  </si>
  <si>
    <t>Note A cap ($)</t>
  </si>
  <si>
    <t>Note A discount</t>
  </si>
  <si>
    <t>Note B principal ($)</t>
  </si>
  <si>
    <t>Note B cap ($)</t>
  </si>
  <si>
    <t>Note B discount</t>
  </si>
  <si>
    <t>Options</t>
  </si>
  <si>
    <t>Option strike ($/sh)</t>
  </si>
  <si>
    <t>Exit Scenarios</t>
  </si>
  <si>
    <t>Exit 1 ($)</t>
  </si>
  <si>
    <t>Exit 2 ($)</t>
  </si>
  <si>
    <t>Exit 3 ($)</t>
  </si>
  <si>
    <t>Exit 4 ($)</t>
  </si>
  <si>
    <t>Exit 5 ($)</t>
  </si>
  <si>
    <t>Sensitivity Axes</t>
  </si>
  <si>
    <t>ESOP low</t>
  </si>
  <si>
    <t>ESOP base</t>
  </si>
  <si>
    <t>ESOP high</t>
  </si>
  <si>
    <t>Pre-money low ($)</t>
  </si>
  <si>
    <t>Pre-money base ($)</t>
  </si>
  <si>
    <t>Pre-money high ($)</t>
  </si>
  <si>
    <t>Sensitivity exit value ($)</t>
  </si>
  <si>
    <t>Return Targets</t>
  </si>
  <si>
    <t>Target multiple — low</t>
  </si>
  <si>
    <t>Target multiple — high</t>
  </si>
  <si>
    <t>Kelvin Dynamics — Pro-Forma Cap Table (Post-F)</t>
  </si>
  <si>
    <t>F PPS fixed-point solve · AD · Notes · Tender · Ownership</t>
  </si>
  <si>
    <t>Pre-F Constants</t>
  </si>
  <si>
    <t>Founders + RSAs common (sh)</t>
  </si>
  <si>
    <t>Seed+A+B+C issued shares (sh)</t>
  </si>
  <si>
    <t>Pre-F option pool (sh)</t>
  </si>
  <si>
    <t>Pre-F broad-based FD — constant A (sh)</t>
  </si>
  <si>
    <t>Notional B for E (30M / E_OCP) (sh)</t>
  </si>
  <si>
    <t>Notional B for D (30M / D_OCP) (sh)</t>
  </si>
  <si>
    <t>Constant subtotal (founders + early pref + options) (sh)</t>
  </si>
  <si>
    <t>F PPS Fixed-Point Solver (4 iterations)</t>
  </si>
  <si>
    <t>Iter</t>
  </si>
  <si>
    <t>F_PPS</t>
  </si>
  <si>
    <t>NCP_E</t>
  </si>
  <si>
    <t>NCP_D</t>
  </si>
  <si>
    <t>D_AD sh</t>
  </si>
  <si>
    <t>E_AD sh</t>
  </si>
  <si>
    <t>pre_F w/AD</t>
  </si>
  <si>
    <t>ESOP topup</t>
  </si>
  <si>
    <t>cap_PPS_A</t>
  </si>
  <si>
    <t>disc_PPS_A</t>
  </si>
  <si>
    <t>branch_A</t>
  </si>
  <si>
    <t>conv_PPS_A</t>
  </si>
  <si>
    <t>N_A sh</t>
  </si>
  <si>
    <t>cap_PPS_B</t>
  </si>
  <si>
    <t>disc_PPS_B</t>
  </si>
  <si>
    <t>branch_B</t>
  </si>
  <si>
    <t>conv_PPS_B</t>
  </si>
  <si>
    <t>N_B sh</t>
  </si>
  <si>
    <t>T_F</t>
  </si>
  <si>
    <t>new pre_FD</t>
  </si>
  <si>
    <t>Iter 0</t>
  </si>
  <si>
    <t>Iter 1</t>
  </si>
  <si>
    <t>Iter 2</t>
  </si>
  <si>
    <t>Iter 3</t>
  </si>
  <si>
    <t>Final Round Results (= Iter 3)</t>
  </si>
  <si>
    <t>F PPS ($/sh)</t>
  </si>
  <si>
    <t>New F primary shares</t>
  </si>
  <si>
    <t>Pre-money FD (sh)</t>
  </si>
  <si>
    <t>Post-F FD T_F (sh)</t>
  </si>
  <si>
    <t>ESOP top-up (sh)</t>
  </si>
  <si>
    <t>Post-F option pool (sh)</t>
  </si>
  <si>
    <t>Post-F option pool % of T_F</t>
  </si>
  <si>
    <t>Anti-Dilution Block (Broad-Based WA)</t>
  </si>
  <si>
    <t>Class</t>
  </si>
  <si>
    <t>OCP</t>
  </si>
  <si>
    <t>F_PPS&lt;OCP?</t>
  </si>
  <si>
    <t>NCP</t>
  </si>
  <si>
    <t>New ratio</t>
  </si>
  <si>
    <t>Invested</t>
  </si>
  <si>
    <t>As-conv shares</t>
  </si>
  <si>
    <t>Seed</t>
  </si>
  <si>
    <t>Series A</t>
  </si>
  <si>
    <t>Series B</t>
  </si>
  <si>
    <t>Series C</t>
  </si>
  <si>
    <t>Series D</t>
  </si>
  <si>
    <t>Series E</t>
  </si>
  <si>
    <t>Total preferred (Seed–E) as-conv</t>
  </si>
  <si>
    <t>Convertible Notes Conversion Block</t>
  </si>
  <si>
    <t>Note</t>
  </si>
  <si>
    <t>Principal</t>
  </si>
  <si>
    <t>Cap</t>
  </si>
  <si>
    <t>Discount</t>
  </si>
  <si>
    <t>cap-PPS</t>
  </si>
  <si>
    <t>disc-PPS</t>
  </si>
  <si>
    <t>branch</t>
  </si>
  <si>
    <t>conv-PPS</t>
  </si>
  <si>
    <t>Shares</t>
  </si>
  <si>
    <t>Note A</t>
  </si>
  <si>
    <t>Note B</t>
  </si>
  <si>
    <t>Total notes shares</t>
  </si>
  <si>
    <t>Secondary Tender Block</t>
  </si>
  <si>
    <t>Tender PPS ($/sh)</t>
  </si>
  <si>
    <t>Tender raise ($)</t>
  </si>
  <si>
    <t>Tender shares (transferred)</t>
  </si>
  <si>
    <t>F1 share-out (50.00%)</t>
  </si>
  <si>
    <t>F2 share-out (31.25%)</t>
  </si>
  <si>
    <t>F3 share-out (18.75%)</t>
  </si>
  <si>
    <t>Check</t>
  </si>
  <si>
    <t>Final Cap Table (Post-F) by Stakeholder × Class</t>
  </si>
  <si>
    <t>Stakeholder</t>
  </si>
  <si>
    <t>% Ownership</t>
  </si>
  <si>
    <t>Notes</t>
  </si>
  <si>
    <t>F1 (CEO)</t>
  </si>
  <si>
    <t>Common</t>
  </si>
  <si>
    <t>Net of tender</t>
  </si>
  <si>
    <t>F2 (CTO)</t>
  </si>
  <si>
    <t>F3 (Chief Sci)</t>
  </si>
  <si>
    <t>Employee RSAs</t>
  </si>
  <si>
    <t>10 × 100K</t>
  </si>
  <si>
    <t>Seed LP</t>
  </si>
  <si>
    <t>Seed Pref</t>
  </si>
  <si>
    <t>AD-adjusted as-conv</t>
  </si>
  <si>
    <t>Series A LP</t>
  </si>
  <si>
    <t>A Pref</t>
  </si>
  <si>
    <t>Series B LP</t>
  </si>
  <si>
    <t>B Pref</t>
  </si>
  <si>
    <t>Series C LP</t>
  </si>
  <si>
    <t>C Pref</t>
  </si>
  <si>
    <t>Series D LP</t>
  </si>
  <si>
    <t>D Pref</t>
  </si>
  <si>
    <t>Series E LPs (10)</t>
  </si>
  <si>
    <t>E Pref</t>
  </si>
  <si>
    <t>Note A holder</t>
  </si>
  <si>
    <t>Common-equiv</t>
  </si>
  <si>
    <t>Cap branch (binding)</t>
  </si>
  <si>
    <t>Note B holder</t>
  </si>
  <si>
    <t>Discount branch (binding)</t>
  </si>
  <si>
    <t>F_LEAD (primary)</t>
  </si>
  <si>
    <t>Series F Pref</t>
  </si>
  <si>
    <t>$20M / F_PPS</t>
  </si>
  <si>
    <t>F_LEAD (secondary)</t>
  </si>
  <si>
    <t>Common (tendered)</t>
  </si>
  <si>
    <t>From founders</t>
  </si>
  <si>
    <t>Our fund (primary)</t>
  </si>
  <si>
    <t>$10M / F_PPS</t>
  </si>
  <si>
    <t>Option holders (issued)</t>
  </si>
  <si>
    <t>Options-issued</t>
  </si>
  <si>
    <t>Vested + outstanding</t>
  </si>
  <si>
    <t>Option pool (unissued)</t>
  </si>
  <si>
    <t>Options-unissued</t>
  </si>
  <si>
    <t>Existing + ESOP top-up</t>
  </si>
  <si>
    <t>Total post-F FD</t>
  </si>
  <si>
    <t>Kelvin Dynamics — Return Solver</t>
  </si>
  <si>
    <t>Required Series F ownership % for our $10M check at 3× / 4× returns</t>
  </si>
  <si>
    <t>Per-Exit Inputs (from Waterfall)</t>
  </si>
  <si>
    <t>Metric</t>
  </si>
  <si>
    <t>Exit 1</t>
  </si>
  <si>
    <t>Exit 2</t>
  </si>
  <si>
    <t>Exit 3</t>
  </si>
  <si>
    <t>Exit 4</t>
  </si>
  <si>
    <t>Exit 5</t>
  </si>
  <si>
    <t>Exit value ($)</t>
  </si>
  <si>
    <t>V_final ($/sh)</t>
  </si>
  <si>
    <t>F class election</t>
  </si>
  <si>
    <t>T_F (post-F FD, sh)</t>
  </si>
  <si>
    <t>F class OCP (= F_PPS)</t>
  </si>
  <si>
    <t>3× Target — Need $30M from $10M Check</t>
  </si>
  <si>
    <t>Target $ proceeds</t>
  </si>
  <si>
    <t>Required our ownership %</t>
  </si>
  <si>
    <t>Feasible?</t>
  </si>
  <si>
    <t>4× Target — Need $40M from $10M Check</t>
  </si>
  <si>
    <t>For Reference — Base Case</t>
  </si>
  <si>
    <t>Our base-case ownership %</t>
  </si>
  <si>
    <t>(constant; round-fixed)</t>
  </si>
  <si>
    <t>Our base-case $ proceeds @ exit</t>
  </si>
  <si>
    <t>Base-case multiple</t>
  </si>
  <si>
    <t>Note: "Required our ownership %" assumes round structure (T_F, F_PPS) is held at base case; only our slice is varied. F class = our + F_LEAD primary. Our check is 1/3 of F primary. F preference always returns exactly our check ($10M = 1× MOIC), so 3×/4× impossible at exits where F elects preference.</t>
  </si>
  <si>
    <t>Kelvin Dynamics — Sensitivity</t>
  </si>
  <si>
    <t>Our $10M check at $2B exit · ESOP {11/13/15%} × Pre-money {$1.2B/$1.4B/$1.8B}</t>
  </si>
  <si>
    <t>3×3 Sensitivity — Our $10M Check</t>
  </si>
  <si>
    <t>Our $ Proceeds @ $2B Exit</t>
  </si>
  <si>
    <t>ESOP \ Pre</t>
  </si>
  <si>
    <t>$1.2B</t>
  </si>
  <si>
    <t>$1.4B</t>
  </si>
  <si>
    <t>$1.8B</t>
  </si>
  <si>
    <t>11%</t>
  </si>
  <si>
    <t>13%</t>
  </si>
  <si>
    <t>15%</t>
  </si>
  <si>
    <t>Our Post-F Ownership %</t>
  </si>
  <si>
    <t>Per-Scenario Detailed Solves (3 iterations each)</t>
  </si>
  <si>
    <t>Scenario (ESOP / Pre)</t>
  </si>
  <si>
    <t>11% / $1.2B</t>
  </si>
  <si>
    <t>11% / $1.4B</t>
  </si>
  <si>
    <t>11% / $1.8B</t>
  </si>
  <si>
    <t>13% / $1.2B</t>
  </si>
  <si>
    <t>13% / $1.4B</t>
  </si>
  <si>
    <t>13% / $1.8B</t>
  </si>
  <si>
    <t>15% / $1.2B</t>
  </si>
  <si>
    <t>15% / $1.4B</t>
  </si>
  <si>
    <t>15% / $1.8B</t>
  </si>
  <si>
    <t>ESOP target</t>
  </si>
  <si>
    <t>Pre-money ($)</t>
  </si>
  <si>
    <t>— Iteration 0 (initial guess) —</t>
  </si>
  <si>
    <t>I0: F_PPS</t>
  </si>
  <si>
    <t>I0: NCP_E</t>
  </si>
  <si>
    <t>I0: NCP_D</t>
  </si>
  <si>
    <t>I0: D_AD sh</t>
  </si>
  <si>
    <t>I0: E_AD sh</t>
  </si>
  <si>
    <t>I0: pre_F_AD</t>
  </si>
  <si>
    <t>I0: topup</t>
  </si>
  <si>
    <t>I0: cap_A</t>
  </si>
  <si>
    <t>I0: disc_A</t>
  </si>
  <si>
    <t>I0: branch_A</t>
  </si>
  <si>
    <t>I0: N_A sh</t>
  </si>
  <si>
    <t>I0: cap_B</t>
  </si>
  <si>
    <t>I0: disc_B</t>
  </si>
  <si>
    <t>I0: branch_B</t>
  </si>
  <si>
    <t>I0: N_B sh</t>
  </si>
  <si>
    <t>I0: new_pre_FD</t>
  </si>
  <si>
    <t>I1: F_PPS</t>
  </si>
  <si>
    <t>I1: NCP_E</t>
  </si>
  <si>
    <t>I1: NCP_D</t>
  </si>
  <si>
    <t>I1: D_AD sh</t>
  </si>
  <si>
    <t>I1: E_AD sh</t>
  </si>
  <si>
    <t>I1: pre_F_AD</t>
  </si>
  <si>
    <t>I1: topup</t>
  </si>
  <si>
    <t>I1: cap_A</t>
  </si>
  <si>
    <t>I1: disc_A</t>
  </si>
  <si>
    <t>I1: branch_A</t>
  </si>
  <si>
    <t>I1: N_A sh</t>
  </si>
  <si>
    <t>I1: cap_B</t>
  </si>
  <si>
    <t>I1: disc_B</t>
  </si>
  <si>
    <t>I1: branch_B</t>
  </si>
  <si>
    <t>I1: N_B sh</t>
  </si>
  <si>
    <t>I1: new_pre_FD</t>
  </si>
  <si>
    <t>I2: F_PPS</t>
  </si>
  <si>
    <t>I2: NCP_E</t>
  </si>
  <si>
    <t>I2: NCP_D</t>
  </si>
  <si>
    <t>I2: D_AD sh</t>
  </si>
  <si>
    <t>I2: E_AD sh</t>
  </si>
  <si>
    <t>I2: pre_F_AD</t>
  </si>
  <si>
    <t>I2: topup</t>
  </si>
  <si>
    <t>I2: cap_A</t>
  </si>
  <si>
    <t>I2: disc_A</t>
  </si>
  <si>
    <t>I2: branch_A</t>
  </si>
  <si>
    <t>I2: N_A sh</t>
  </si>
  <si>
    <t>I2: cap_B</t>
  </si>
  <si>
    <t>I2: disc_B</t>
  </si>
  <si>
    <t>I2: branch_B</t>
  </si>
  <si>
    <t>I2: N_B sh</t>
  </si>
  <si>
    <t>— Final Results &amp; $2B Exit —</t>
  </si>
  <si>
    <t>F_PPS final</t>
  </si>
  <si>
    <t>T_F (post-F FD)</t>
  </si>
  <si>
    <t>Our shares (10M / F_PPS)</t>
  </si>
  <si>
    <t>Our $ proceeds @ $2B</t>
  </si>
  <si>
    <t>Our ownership %</t>
  </si>
  <si>
    <t>Note: Each scenario column re-solves F_PPS via 3 iterations, then computes per-cell elections at $2B exit. Note A may flip between cap and discount branches across scenarios — see I2: branch_A row.</t>
  </si>
  <si>
    <t>Kelvin Dynamics — Exit Waterfall</t>
  </si>
  <si>
    <t>5 exits · 7-class election Nash via MIN(V_k) · reconciles to exit</t>
  </si>
  <si>
    <t>Priced Classes — Sorted by Effective OCP (Descending)</t>
  </si>
  <si>
    <t>OCP-eff ($)</t>
  </si>
  <si>
    <t>LP ($)</t>
  </si>
  <si>
    <t>F Pref</t>
  </si>
  <si>
    <t>Always-Convert Constituents</t>
  </si>
  <si>
    <t>Common + RSAs</t>
  </si>
  <si>
    <t>Notes (A + B combined)</t>
  </si>
  <si>
    <t>Issued options</t>
  </si>
  <si>
    <t>Total priced shares (Seed–F)</t>
  </si>
  <si>
    <t>Constant convert pool (common+notes+options)</t>
  </si>
  <si>
    <t>V_k Per Exit (k = top-k OCP classes take preference)</t>
  </si>
  <si>
    <t>k</t>
  </si>
  <si>
    <t>cum LP top-k</t>
  </si>
  <si>
    <t>cum sh top-k</t>
  </si>
  <si>
    <t>Convert denom</t>
  </si>
  <si>
    <t>Exit 1 V_k</t>
  </si>
  <si>
    <t>Exit 2 V_k</t>
  </si>
  <si>
    <t>Exit 3 V_k</t>
  </si>
  <si>
    <t>Exit 4 V_k</t>
  </si>
  <si>
    <t>Exit 5 V_k</t>
  </si>
  <si>
    <t>k = 0</t>
  </si>
  <si>
    <t>k = 1</t>
  </si>
  <si>
    <t>k = 2</t>
  </si>
  <si>
    <t>k = 3</t>
  </si>
  <si>
    <t>k = 4</t>
  </si>
  <si>
    <t>k = 5</t>
  </si>
  <si>
    <t>k = 6</t>
  </si>
  <si>
    <t>k = 7</t>
  </si>
  <si>
    <t>Equilibrium V (per common-equiv share) — MIN(V_k)</t>
  </si>
  <si>
    <t>Exit value</t>
  </si>
  <si>
    <t>Elections — IF(OCP_class &gt; V_final, "preference", "convert")</t>
  </si>
  <si>
    <t>OCP-eff</t>
  </si>
  <si>
    <t>Proceeds by Class × Exit ($)</t>
  </si>
  <si>
    <t>Issued options (net of strike)</t>
  </si>
  <si>
    <t>Unissued options (forfeit)</t>
  </si>
  <si>
    <t>Total proceeds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</si>
</sst>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;\-\-_)"/>
    <numFmt numFmtId="165" formatCode="0.0%"/>
    <numFmt numFmtId="166" formatCode="&quot;$&quot;#,##0.0_);\(&quot;$&quot;#,##0.0\);\-\-_)"/>
    <numFmt numFmtId="167" formatCode="#,##0_);\(#,##0\);\-\-_)"/>
    <numFmt numFmtId="168" formatCode="0.0&quot;x&quot;_);\(0.0&quot;x&quot;\);\-\-_)"/>
    <numFmt numFmtId="169" formatCode="0.0%_);\(0.0%\);\-\-_)"/>
  </numFmts>
  <fonts count="11" x14ac:knownFonts="1">
    <font>
      <color theme="1"/>
      <family val="2"/>
      <scheme val="minor"/>
      <sz val="11"/>
      <name val="Calibri"/>
    </font>
    <font>
      <b/>
      <charset val="134"/>
      <color rgb="FF000000"/>
      <family val="1"/>
      <sz val="14"/>
      <name val="Arial"/>
    </font>
    <font>
      <i/>
      <charset val="134"/>
      <color rgb="FF666666"/>
      <family val="1"/>
      <sz val="10"/>
      <name val="Arial"/>
    </font>
    <font>
      <b/>
      <charset val="134"/>
      <color rgb="FFFFFFFF"/>
      <family val="1"/>
      <sz val="10"/>
      <name val="Arial"/>
    </font>
    <font>
      <charset val="134"/>
      <color rgb="FF000000"/>
      <family val="1"/>
      <sz val="10"/>
      <name val="Arial"/>
    </font>
    <font>
      <charset val="134"/>
      <color rgb="FF0000FF"/>
      <family val="1"/>
      <sz val="10"/>
      <name val="Arial"/>
    </font>
    <font>
      <charset val="134"/>
      <color rgb="FF666666"/>
      <family val="1"/>
      <sz val="10"/>
      <name val="Arial"/>
    </font>
    <font>
      <b/>
      <charset val="134"/>
      <color rgb="FF000000"/>
      <family val="1"/>
      <sz val="10"/>
      <name val="Arial"/>
    </font>
    <font>
      <charset val="134"/>
      <color rgb="FF00B050"/>
      <family val="1"/>
      <sz val="10"/>
      <name val="Arial"/>
    </font>
    <font>
      <b/>
      <charset val="134"/>
      <color rgb="FF7030A0"/>
      <family val="1"/>
      <sz val="10"/>
      <name val="Arial"/>
    </font>
    <font>
      <i/>
      <charset val="134"/>
      <color rgb="FF666666"/>
      <family val="1"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CF8E3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167" fontId="5" fillId="3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167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8" fontId="5" fillId="3" borderId="0" xfId="0" applyNumberFormat="1" applyFont="1" applyFill="1" applyAlignment="1">
      <alignment horizontal="right"/>
    </xf>
    <xf numFmtId="167" fontId="8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center"/>
    </xf>
    <xf numFmtId="166" fontId="4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7" fontId="7" fillId="0" borderId="2" xfId="0" applyNumberFormat="1" applyFont="1" applyBorder="1" applyAlignment="1">
      <alignment horizontal="right"/>
    </xf>
    <xf numFmtId="169" fontId="8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7" fontId="7" fillId="0" borderId="3" xfId="0" applyNumberFormat="1" applyFont="1" applyBorder="1" applyAlignment="1">
      <alignment horizontal="right"/>
    </xf>
    <xf numFmtId="169" fontId="9" fillId="0" borderId="0" xfId="0" applyNumberFormat="1" applyFont="1" applyAlignment="1">
      <alignment horizontal="right"/>
    </xf>
    <xf numFmtId="0" fontId="7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164" fontId="7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6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40.205" customWidth="1"/>
    <col min="3" max="3" width="20.205" customWidth="1"/>
  </cols>
  <sheetData>
    <row r="2" ht="18" customHeight="1" spans="2:2" x14ac:dyDescent="0.25">
      <c r="B2" s="1" t="s">
        <v>0</v>
      </c>
    </row>
    <row r="3" spans="2:2" x14ac:dyDescent="0.25">
      <c r="B3" s="2" t="s">
        <v>1</v>
      </c>
    </row>
    <row r="5" spans="2:3" x14ac:dyDescent="0.25">
      <c r="B5" s="3" t="s">
        <v>2</v>
      </c>
      <c r="C5" s="4"/>
    </row>
    <row r="6" spans="2:3" x14ac:dyDescent="0.25">
      <c r="B6" s="5" t="s">
        <v>3</v>
      </c>
      <c r="C6" s="6">
        <v>1400000000</v>
      </c>
    </row>
    <row r="7" spans="2:3" x14ac:dyDescent="0.25">
      <c r="B7" s="5" t="s">
        <v>4</v>
      </c>
      <c r="C7" s="6">
        <v>30000000</v>
      </c>
    </row>
    <row r="8" spans="2:3" x14ac:dyDescent="0.25">
      <c r="B8" s="5" t="s">
        <v>5</v>
      </c>
      <c r="C8" s="6">
        <v>15000000</v>
      </c>
    </row>
    <row r="9" spans="2:3" x14ac:dyDescent="0.25">
      <c r="B9" s="5" t="s">
        <v>6</v>
      </c>
      <c r="C9" s="7">
        <v>0.85</v>
      </c>
    </row>
    <row r="10" spans="2:3" x14ac:dyDescent="0.25">
      <c r="B10" s="5" t="s">
        <v>7</v>
      </c>
      <c r="C10" s="7">
        <v>0.13</v>
      </c>
    </row>
    <row r="11" spans="2:3" x14ac:dyDescent="0.25">
      <c r="B11" s="5" t="s">
        <v>8</v>
      </c>
      <c r="C11" s="6">
        <v>10000000</v>
      </c>
    </row>
    <row r="12" spans="2:3" x14ac:dyDescent="0.25">
      <c r="B12" s="5" t="s">
        <v>9</v>
      </c>
      <c r="C12" s="6">
        <v>20000000</v>
      </c>
    </row>
    <row r="14" spans="2:3" x14ac:dyDescent="0.25">
      <c r="B14" s="3" t="s">
        <v>10</v>
      </c>
      <c r="C14" s="4"/>
    </row>
    <row r="15" spans="2:3" x14ac:dyDescent="0.25">
      <c r="B15" s="5" t="s">
        <v>11</v>
      </c>
      <c r="C15" s="8">
        <v>1</v>
      </c>
    </row>
    <row r="16" spans="2:3" x14ac:dyDescent="0.25">
      <c r="B16" s="5" t="s">
        <v>12</v>
      </c>
      <c r="C16" s="8">
        <v>3</v>
      </c>
    </row>
    <row r="17" spans="2:3" x14ac:dyDescent="0.25">
      <c r="B17" s="5" t="s">
        <v>13</v>
      </c>
      <c r="C17" s="8">
        <v>10</v>
      </c>
    </row>
    <row r="18" spans="2:3" x14ac:dyDescent="0.25">
      <c r="B18" s="5" t="s">
        <v>14</v>
      </c>
      <c r="C18" s="8">
        <v>25</v>
      </c>
    </row>
    <row r="19" spans="2:3" x14ac:dyDescent="0.25">
      <c r="B19" s="5" t="s">
        <v>15</v>
      </c>
      <c r="C19" s="8">
        <v>58.118347</v>
      </c>
    </row>
    <row r="20" spans="2:3" x14ac:dyDescent="0.25">
      <c r="B20" s="5" t="s">
        <v>16</v>
      </c>
      <c r="C20" s="8">
        <v>49.158311</v>
      </c>
    </row>
    <row r="21" spans="2:3" x14ac:dyDescent="0.25">
      <c r="B21" s="9" t="s">
        <v>17</v>
      </c>
      <c r="C21" s="8">
        <v>60</v>
      </c>
    </row>
    <row r="23" spans="2:3" x14ac:dyDescent="0.25">
      <c r="B23" s="3" t="s">
        <v>18</v>
      </c>
      <c r="C23" s="4"/>
    </row>
    <row r="24" spans="2:3" x14ac:dyDescent="0.25">
      <c r="B24" s="5" t="s">
        <v>19</v>
      </c>
      <c r="C24" s="10">
        <v>4000000</v>
      </c>
    </row>
    <row r="25" spans="2:3" x14ac:dyDescent="0.25">
      <c r="B25" s="5" t="s">
        <v>20</v>
      </c>
      <c r="C25" s="10">
        <v>2500000</v>
      </c>
    </row>
    <row r="26" spans="2:3" x14ac:dyDescent="0.25">
      <c r="B26" s="5" t="s">
        <v>21</v>
      </c>
      <c r="C26" s="10">
        <v>1500000</v>
      </c>
    </row>
    <row r="27" spans="2:3" x14ac:dyDescent="0.25">
      <c r="B27" s="5" t="s">
        <v>22</v>
      </c>
      <c r="C27" s="10">
        <v>1000000</v>
      </c>
    </row>
    <row r="28" spans="2:3" x14ac:dyDescent="0.25">
      <c r="B28" s="5" t="s">
        <v>23</v>
      </c>
      <c r="C28" s="10">
        <v>2500000</v>
      </c>
    </row>
    <row r="29" spans="2:3" x14ac:dyDescent="0.25">
      <c r="B29" s="5" t="s">
        <v>24</v>
      </c>
      <c r="C29" s="10">
        <v>1894667</v>
      </c>
    </row>
    <row r="30" spans="2:3" x14ac:dyDescent="0.25">
      <c r="B30" s="11" t="s">
        <v>25</v>
      </c>
      <c r="C30" s="12">
        <f>C28+C29</f>
      </c>
    </row>
    <row r="31" spans="2:3" x14ac:dyDescent="0.25">
      <c r="B31" s="5" t="s">
        <v>26</v>
      </c>
      <c r="C31" s="10">
        <v>5000000</v>
      </c>
    </row>
    <row r="32" spans="2:3" x14ac:dyDescent="0.25">
      <c r="B32" s="5" t="s">
        <v>27</v>
      </c>
      <c r="C32" s="10">
        <v>5000000</v>
      </c>
    </row>
    <row r="33" spans="2:3" x14ac:dyDescent="0.25">
      <c r="B33" s="5" t="s">
        <v>28</v>
      </c>
      <c r="C33" s="10">
        <v>3000000</v>
      </c>
    </row>
    <row r="34" spans="2:3" x14ac:dyDescent="0.25">
      <c r="B34" s="5" t="s">
        <v>29</v>
      </c>
      <c r="C34" s="10">
        <v>2400000</v>
      </c>
    </row>
    <row r="35" spans="2:3" x14ac:dyDescent="0.25">
      <c r="B35" s="5" t="s">
        <v>30</v>
      </c>
      <c r="C35" s="10">
        <v>1666667</v>
      </c>
    </row>
    <row r="36" spans="2:3" x14ac:dyDescent="0.25">
      <c r="B36" s="5" t="s">
        <v>31</v>
      </c>
      <c r="C36" s="10">
        <v>6102667</v>
      </c>
    </row>
    <row r="37" spans="2:3" x14ac:dyDescent="0.25">
      <c r="B37" s="11" t="s">
        <v>32</v>
      </c>
      <c r="C37" s="10">
        <v>36617961</v>
      </c>
    </row>
    <row r="39" spans="2:3" x14ac:dyDescent="0.25">
      <c r="B39" s="3" t="s">
        <v>33</v>
      </c>
      <c r="C39" s="4"/>
    </row>
    <row r="40" spans="2:3" x14ac:dyDescent="0.25">
      <c r="B40" s="5" t="s">
        <v>34</v>
      </c>
      <c r="C40" s="6">
        <v>5000000</v>
      </c>
    </row>
    <row r="41" spans="2:3" x14ac:dyDescent="0.25">
      <c r="B41" s="5" t="s">
        <v>35</v>
      </c>
      <c r="C41" s="6">
        <v>15000000</v>
      </c>
    </row>
    <row r="42" spans="2:3" x14ac:dyDescent="0.25">
      <c r="B42" s="5" t="s">
        <v>36</v>
      </c>
      <c r="C42" s="6">
        <v>30000000</v>
      </c>
    </row>
    <row r="43" spans="2:3" x14ac:dyDescent="0.25">
      <c r="B43" s="5" t="s">
        <v>37</v>
      </c>
      <c r="C43" s="6">
        <v>60000000</v>
      </c>
    </row>
    <row r="44" spans="2:3" x14ac:dyDescent="0.25">
      <c r="B44" s="5" t="s">
        <v>38</v>
      </c>
      <c r="C44" s="6">
        <v>100000000</v>
      </c>
    </row>
    <row r="45" spans="2:3" x14ac:dyDescent="0.25">
      <c r="B45" s="5" t="s">
        <v>39</v>
      </c>
      <c r="C45" s="6">
        <v>300000000</v>
      </c>
    </row>
    <row r="47" spans="2:3" x14ac:dyDescent="0.25">
      <c r="B47" s="3" t="s">
        <v>40</v>
      </c>
      <c r="C47" s="4"/>
    </row>
    <row r="48" spans="2:3" x14ac:dyDescent="0.25">
      <c r="B48" s="5" t="s">
        <v>41</v>
      </c>
      <c r="C48" s="6">
        <v>5000000</v>
      </c>
    </row>
    <row r="49" spans="2:3" x14ac:dyDescent="0.25">
      <c r="B49" s="5" t="s">
        <v>42</v>
      </c>
      <c r="C49" s="6">
        <v>1000000000</v>
      </c>
    </row>
    <row r="50" spans="2:3" x14ac:dyDescent="0.25">
      <c r="B50" s="5" t="s">
        <v>43</v>
      </c>
      <c r="C50" s="7">
        <v>0.2</v>
      </c>
    </row>
    <row r="51" spans="2:3" x14ac:dyDescent="0.25">
      <c r="B51" s="5" t="s">
        <v>44</v>
      </c>
      <c r="C51" s="6">
        <v>3000000</v>
      </c>
    </row>
    <row r="52" spans="2:3" x14ac:dyDescent="0.25">
      <c r="B52" s="5" t="s">
        <v>45</v>
      </c>
      <c r="C52" s="6">
        <v>1600000000</v>
      </c>
    </row>
    <row r="53" spans="2:3" x14ac:dyDescent="0.25">
      <c r="B53" s="5" t="s">
        <v>46</v>
      </c>
      <c r="C53" s="7">
        <v>0.15</v>
      </c>
    </row>
    <row r="55" spans="2:3" x14ac:dyDescent="0.25">
      <c r="B55" s="3" t="s">
        <v>47</v>
      </c>
      <c r="C55" s="4"/>
    </row>
    <row r="56" spans="2:3" x14ac:dyDescent="0.25">
      <c r="B56" s="5" t="s">
        <v>48</v>
      </c>
      <c r="C56" s="8">
        <v>1</v>
      </c>
    </row>
    <row r="58" spans="2:3" x14ac:dyDescent="0.25">
      <c r="B58" s="3" t="s">
        <v>49</v>
      </c>
      <c r="C58" s="4"/>
    </row>
    <row r="59" spans="2:3" x14ac:dyDescent="0.25">
      <c r="B59" s="5" t="s">
        <v>50</v>
      </c>
      <c r="C59" s="6">
        <v>700000000</v>
      </c>
    </row>
    <row r="60" spans="2:3" x14ac:dyDescent="0.25">
      <c r="B60" s="5" t="s">
        <v>51</v>
      </c>
      <c r="C60" s="6">
        <v>1200000000</v>
      </c>
    </row>
    <row r="61" spans="2:3" x14ac:dyDescent="0.25">
      <c r="B61" s="5" t="s">
        <v>52</v>
      </c>
      <c r="C61" s="6">
        <v>2000000000</v>
      </c>
    </row>
    <row r="62" spans="2:3" x14ac:dyDescent="0.25">
      <c r="B62" s="5" t="s">
        <v>53</v>
      </c>
      <c r="C62" s="6">
        <v>4000000000</v>
      </c>
    </row>
    <row r="63" spans="2:3" x14ac:dyDescent="0.25">
      <c r="B63" s="5" t="s">
        <v>54</v>
      </c>
      <c r="C63" s="6">
        <v>8000000000</v>
      </c>
    </row>
    <row r="65" spans="2:3" x14ac:dyDescent="0.25">
      <c r="B65" s="3" t="s">
        <v>55</v>
      </c>
      <c r="C65" s="4"/>
    </row>
    <row r="66" spans="2:3" x14ac:dyDescent="0.25">
      <c r="B66" s="5" t="s">
        <v>56</v>
      </c>
      <c r="C66" s="7">
        <v>0.11</v>
      </c>
    </row>
    <row r="67" spans="2:3" x14ac:dyDescent="0.25">
      <c r="B67" s="5" t="s">
        <v>57</v>
      </c>
      <c r="C67" s="7">
        <v>0.13</v>
      </c>
    </row>
    <row r="68" spans="2:3" x14ac:dyDescent="0.25">
      <c r="B68" s="5" t="s">
        <v>58</v>
      </c>
      <c r="C68" s="7">
        <v>0.15</v>
      </c>
    </row>
    <row r="69" spans="2:3" x14ac:dyDescent="0.25">
      <c r="B69" s="5" t="s">
        <v>59</v>
      </c>
      <c r="C69" s="6">
        <v>1200000000</v>
      </c>
    </row>
    <row r="70" spans="2:3" x14ac:dyDescent="0.25">
      <c r="B70" s="5" t="s">
        <v>60</v>
      </c>
      <c r="C70" s="6">
        <v>1400000000</v>
      </c>
    </row>
    <row r="71" spans="2:3" x14ac:dyDescent="0.25">
      <c r="B71" s="5" t="s">
        <v>61</v>
      </c>
      <c r="C71" s="6">
        <v>1800000000</v>
      </c>
    </row>
    <row r="72" spans="2:3" x14ac:dyDescent="0.25">
      <c r="B72" s="5" t="s">
        <v>62</v>
      </c>
      <c r="C72" s="13">
        <f>C61</f>
      </c>
    </row>
    <row r="74" spans="2:3" x14ac:dyDescent="0.25">
      <c r="B74" s="3" t="s">
        <v>63</v>
      </c>
      <c r="C74" s="4"/>
    </row>
    <row r="75" spans="2:3" x14ac:dyDescent="0.25">
      <c r="B75" s="5" t="s">
        <v>64</v>
      </c>
      <c r="C75" s="14">
        <v>3</v>
      </c>
    </row>
    <row r="76" spans="2:3" x14ac:dyDescent="0.25">
      <c r="B76" s="5" t="s">
        <v>65</v>
      </c>
      <c r="C76" s="1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75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26.455" customWidth="1"/>
    <col min="3" max="7" width="12.705" customWidth="1"/>
    <col min="8" max="8" width="13.955" customWidth="1"/>
    <col min="9" max="11" width="12.705" customWidth="1"/>
    <col min="12" max="12" width="10.205" customWidth="1"/>
    <col min="13" max="16" width="12.705" customWidth="1"/>
    <col min="17" max="17" width="10.205" customWidth="1"/>
    <col min="18" max="19" width="12.705" customWidth="1"/>
    <col min="20" max="21" width="13.955" customWidth="1"/>
    <col min="22" max="22" width="17.705" customWidth="1"/>
  </cols>
  <sheetData>
    <row r="2" ht="18" customHeight="1" spans="2:2" x14ac:dyDescent="0.25">
      <c r="B2" s="1" t="s">
        <v>66</v>
      </c>
    </row>
    <row r="3" spans="2:2" x14ac:dyDescent="0.25">
      <c r="B3" s="2" t="s">
        <v>67</v>
      </c>
    </row>
    <row r="5" spans="2:21" x14ac:dyDescent="0.25">
      <c r="B5" s="3" t="s">
        <v>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3" x14ac:dyDescent="0.25">
      <c r="B6" s="5" t="s">
        <v>69</v>
      </c>
      <c r="C6" s="15">
        <f>SUM(Assumptions!C24:C27)</f>
      </c>
    </row>
    <row r="7" spans="2:3" x14ac:dyDescent="0.25">
      <c r="B7" s="5" t="s">
        <v>70</v>
      </c>
      <c r="C7" s="15">
        <f>SUM(Assumptions!C31:C34)</f>
      </c>
    </row>
    <row r="8" spans="2:3" x14ac:dyDescent="0.25">
      <c r="B8" s="5" t="s">
        <v>71</v>
      </c>
      <c r="C8" s="15">
        <f>Assumptions!C30</f>
      </c>
    </row>
    <row r="9" spans="2:3" x14ac:dyDescent="0.25">
      <c r="B9" s="11" t="s">
        <v>72</v>
      </c>
      <c r="C9" s="15">
        <f>Assumptions!C37</f>
      </c>
    </row>
    <row r="10" spans="2:3" x14ac:dyDescent="0.25">
      <c r="B10" s="5" t="s">
        <v>73</v>
      </c>
      <c r="C10" s="12">
        <f>Assumptions!C7/Assumptions!C20</f>
      </c>
    </row>
    <row r="11" spans="2:3" x14ac:dyDescent="0.25">
      <c r="B11" s="5" t="s">
        <v>74</v>
      </c>
      <c r="C11" s="12">
        <f>Assumptions!C7/Assumptions!C19</f>
      </c>
    </row>
    <row r="12" spans="2:3" x14ac:dyDescent="0.25">
      <c r="B12" s="5" t="s">
        <v>75</v>
      </c>
      <c r="C12" s="12">
        <f>C6+C7+C8</f>
      </c>
    </row>
    <row r="14" spans="2:21" x14ac:dyDescent="0.25">
      <c r="B14" s="3" t="s">
        <v>76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2:21" x14ac:dyDescent="0.25">
      <c r="B15" s="16" t="s">
        <v>77</v>
      </c>
      <c r="C15" s="16" t="s">
        <v>78</v>
      </c>
      <c r="D15" s="16" t="s">
        <v>79</v>
      </c>
      <c r="E15" s="16" t="s">
        <v>80</v>
      </c>
      <c r="F15" s="16" t="s">
        <v>81</v>
      </c>
      <c r="G15" s="16" t="s">
        <v>82</v>
      </c>
      <c r="H15" s="16" t="s">
        <v>83</v>
      </c>
      <c r="I15" s="16" t="s">
        <v>84</v>
      </c>
      <c r="J15" s="16" t="s">
        <v>85</v>
      </c>
      <c r="K15" s="16" t="s">
        <v>86</v>
      </c>
      <c r="L15" s="16" t="s">
        <v>87</v>
      </c>
      <c r="M15" s="16" t="s">
        <v>88</v>
      </c>
      <c r="N15" s="16" t="s">
        <v>89</v>
      </c>
      <c r="O15" s="16" t="s">
        <v>90</v>
      </c>
      <c r="P15" s="16" t="s">
        <v>91</v>
      </c>
      <c r="Q15" s="16" t="s">
        <v>92</v>
      </c>
      <c r="R15" s="16" t="s">
        <v>93</v>
      </c>
      <c r="S15" s="16" t="s">
        <v>94</v>
      </c>
      <c r="T15" s="16" t="s">
        <v>95</v>
      </c>
      <c r="U15" s="16" t="s">
        <v>96</v>
      </c>
    </row>
    <row r="16" spans="2:21" x14ac:dyDescent="0.25">
      <c r="B16" s="5" t="s">
        <v>97</v>
      </c>
      <c r="C16" s="17">
        <f>Assumptions!C6/C9</f>
      </c>
      <c r="D16" s="17">
        <f>Assumptions!C20*(C9+C10)/(C9+Assumptions!C7/C16)</f>
      </c>
      <c r="E16" s="17">
        <f>Assumptions!C19*(C9+C11)/(C9+Assumptions!C7/C16)</f>
      </c>
      <c r="F16" s="12">
        <f>Assumptions!C44/E16</f>
      </c>
      <c r="G16" s="12">
        <f>Assumptions!C45/D16</f>
      </c>
      <c r="H16" s="12">
        <f>C12+F16+G16</f>
      </c>
      <c r="I16" s="12">
        <f>MAX(0,(0.13*(H16+Assumptions!C7/C16)-Assumptions!C30)/0.87)</f>
      </c>
      <c r="J16" s="17">
        <f>Assumptions!C49/(H16+I16)</f>
      </c>
      <c r="K16" s="17">
        <f>C16*(1-Assumptions!C50)</f>
      </c>
      <c r="L16" s="12">
        <f>IF(J16&lt;K16,"cap","discount")</f>
      </c>
      <c r="M16" s="17">
        <f>MIN(J16,K16)</f>
      </c>
      <c r="N16" s="12">
        <f>Assumptions!C48/M16</f>
      </c>
      <c r="O16" s="17">
        <f>Assumptions!C52/(H16+I16+N16)</f>
      </c>
      <c r="P16" s="17">
        <f>C16*(1-Assumptions!C53)</f>
      </c>
      <c r="Q16" s="12">
        <f>IF(O16&lt;P16,"cap","discount")</f>
      </c>
      <c r="R16" s="17">
        <f>MIN(O16,P16)</f>
      </c>
      <c r="S16" s="12">
        <f>Assumptions!C51/R16</f>
      </c>
      <c r="T16" s="12">
        <f>H16+I16+N16+S16+Assumptions!C7/C16</f>
      </c>
      <c r="U16" s="12">
        <f>H16+I16+N16+S16</f>
      </c>
    </row>
    <row r="17" spans="2:21" x14ac:dyDescent="0.25">
      <c r="B17" s="5" t="s">
        <v>98</v>
      </c>
      <c r="C17" s="17">
        <f>Assumptions!C6/U16</f>
      </c>
      <c r="D17" s="17">
        <f>Assumptions!C20*(C9+C10)/(C9+Assumptions!C7/C17)</f>
      </c>
      <c r="E17" s="17">
        <f>Assumptions!C19*(C9+C11)/(C9+Assumptions!C7/C17)</f>
      </c>
      <c r="F17" s="12">
        <f>Assumptions!C44/E17</f>
      </c>
      <c r="G17" s="12">
        <f>Assumptions!C45/D17</f>
      </c>
      <c r="H17" s="12">
        <f>C12+F17+G17</f>
      </c>
      <c r="I17" s="12">
        <f>MAX(0,(0.13*(H17+N16+S16+Assumptions!C7/C17)-Assumptions!C30)/0.87)</f>
      </c>
      <c r="J17" s="17">
        <f>Assumptions!C49/(H17+I17+S16)</f>
      </c>
      <c r="K17" s="17">
        <f>C17*(1-Assumptions!C50)</f>
      </c>
      <c r="L17" s="12">
        <f>IF(J17&lt;K17,"cap","discount")</f>
      </c>
      <c r="M17" s="17">
        <f>MIN(J17,K17)</f>
      </c>
      <c r="N17" s="12">
        <f>Assumptions!C48/M17</f>
      </c>
      <c r="O17" s="17">
        <f>Assumptions!C52/(H17+I17+N17)</f>
      </c>
      <c r="P17" s="17">
        <f>C17*(1-Assumptions!C53)</f>
      </c>
      <c r="Q17" s="12">
        <f>IF(O17&lt;P17,"cap","discount")</f>
      </c>
      <c r="R17" s="17">
        <f>MIN(O17,P17)</f>
      </c>
      <c r="S17" s="12">
        <f>Assumptions!C51/R17</f>
      </c>
      <c r="T17" s="12">
        <f>H17+I17+N17+S17+Assumptions!C7/C17</f>
      </c>
      <c r="U17" s="12">
        <f>H17+I17+N17+S17</f>
      </c>
    </row>
    <row r="18" spans="2:21" x14ac:dyDescent="0.25">
      <c r="B18" s="5" t="s">
        <v>99</v>
      </c>
      <c r="C18" s="17">
        <f>Assumptions!C6/U17</f>
      </c>
      <c r="D18" s="17">
        <f>Assumptions!C20*(C9+C10)/(C9+Assumptions!C7/C18)</f>
      </c>
      <c r="E18" s="17">
        <f>Assumptions!C19*(C9+C11)/(C9+Assumptions!C7/C18)</f>
      </c>
      <c r="F18" s="12">
        <f>Assumptions!C44/E18</f>
      </c>
      <c r="G18" s="12">
        <f>Assumptions!C45/D18</f>
      </c>
      <c r="H18" s="12">
        <f>C12+F18+G18</f>
      </c>
      <c r="I18" s="12">
        <f>MAX(0,(0.13*(H18+N17+S17+Assumptions!C7/C18)-Assumptions!C30)/0.87)</f>
      </c>
      <c r="J18" s="17">
        <f>Assumptions!C49/(H18+I18+S17)</f>
      </c>
      <c r="K18" s="17">
        <f>C18*(1-Assumptions!C50)</f>
      </c>
      <c r="L18" s="12">
        <f>IF(J18&lt;K18,"cap","discount")</f>
      </c>
      <c r="M18" s="17">
        <f>MIN(J18,K18)</f>
      </c>
      <c r="N18" s="12">
        <f>Assumptions!C48/M18</f>
      </c>
      <c r="O18" s="17">
        <f>Assumptions!C52/(H18+I18+N18)</f>
      </c>
      <c r="P18" s="17">
        <f>C18*(1-Assumptions!C53)</f>
      </c>
      <c r="Q18" s="12">
        <f>IF(O18&lt;P18,"cap","discount")</f>
      </c>
      <c r="R18" s="17">
        <f>MIN(O18,P18)</f>
      </c>
      <c r="S18" s="12">
        <f>Assumptions!C51/R18</f>
      </c>
      <c r="T18" s="12">
        <f>H18+I18+N18+S18+Assumptions!C7/C18</f>
      </c>
      <c r="U18" s="12">
        <f>H18+I18+N18+S18</f>
      </c>
    </row>
    <row r="19" spans="2:21" x14ac:dyDescent="0.25">
      <c r="B19" s="5" t="s">
        <v>100</v>
      </c>
      <c r="C19" s="17">
        <f>Assumptions!C6/U18</f>
      </c>
      <c r="D19" s="17">
        <f>Assumptions!C20*(C9+C10)/(C9+Assumptions!C7/C19)</f>
      </c>
      <c r="E19" s="17">
        <f>Assumptions!C19*(C9+C11)/(C9+Assumptions!C7/C19)</f>
      </c>
      <c r="F19" s="12">
        <f>Assumptions!C44/E19</f>
      </c>
      <c r="G19" s="12">
        <f>Assumptions!C45/D19</f>
      </c>
      <c r="H19" s="12">
        <f>C12+F19+G19</f>
      </c>
      <c r="I19" s="12">
        <f>MAX(0,(0.13*(H19+N18+S18+Assumptions!C7/C19)-Assumptions!C30)/0.87)</f>
      </c>
      <c r="J19" s="17">
        <f>Assumptions!C49/(H19+I19+S18)</f>
      </c>
      <c r="K19" s="17">
        <f>C19*(1-Assumptions!C50)</f>
      </c>
      <c r="L19" s="12">
        <f>IF(J19&lt;K19,"cap","discount")</f>
      </c>
      <c r="M19" s="17">
        <f>MIN(J19,K19)</f>
      </c>
      <c r="N19" s="12">
        <f>Assumptions!C48/M19</f>
      </c>
      <c r="O19" s="17">
        <f>Assumptions!C52/(H19+I19+N19)</f>
      </c>
      <c r="P19" s="17">
        <f>C19*(1-Assumptions!C53)</f>
      </c>
      <c r="Q19" s="12">
        <f>IF(O19&lt;P19,"cap","discount")</f>
      </c>
      <c r="R19" s="17">
        <f>MIN(O19,P19)</f>
      </c>
      <c r="S19" s="12">
        <f>Assumptions!C51/R19</f>
      </c>
      <c r="T19" s="12">
        <f>H19+I19+N19+S19+Assumptions!C7/C19</f>
      </c>
      <c r="U19" s="12">
        <f>H19+I19+N19+S19</f>
      </c>
    </row>
    <row r="21" spans="2:21" x14ac:dyDescent="0.25">
      <c r="B21" s="3" t="s">
        <v>101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2:3" x14ac:dyDescent="0.25">
      <c r="B22" s="11" t="s">
        <v>102</v>
      </c>
      <c r="C22" s="18">
        <f>C19</f>
      </c>
    </row>
    <row r="23" spans="2:3" x14ac:dyDescent="0.25">
      <c r="B23" s="5" t="s">
        <v>103</v>
      </c>
      <c r="C23" s="12">
        <f>Assumptions!C7/C22</f>
      </c>
    </row>
    <row r="24" spans="2:3" x14ac:dyDescent="0.25">
      <c r="B24" s="5" t="s">
        <v>104</v>
      </c>
      <c r="C24" s="12">
        <f>U19</f>
      </c>
    </row>
    <row r="25" spans="2:3" x14ac:dyDescent="0.25">
      <c r="B25" s="11" t="s">
        <v>105</v>
      </c>
      <c r="C25" s="12">
        <f>T19</f>
      </c>
    </row>
    <row r="26" spans="2:3" x14ac:dyDescent="0.25">
      <c r="B26" s="5" t="s">
        <v>106</v>
      </c>
      <c r="C26" s="12">
        <f>I19</f>
      </c>
    </row>
    <row r="27" spans="2:3" x14ac:dyDescent="0.25">
      <c r="B27" s="5" t="s">
        <v>107</v>
      </c>
      <c r="C27" s="12">
        <f>Assumptions!C30+C26</f>
      </c>
    </row>
    <row r="28" spans="2:3" x14ac:dyDescent="0.25">
      <c r="B28" s="5" t="s">
        <v>108</v>
      </c>
      <c r="C28" s="19">
        <f>C27/C25</f>
      </c>
    </row>
    <row r="30" spans="2:21" x14ac:dyDescent="0.25">
      <c r="B30" s="3" t="s">
        <v>109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2:8" x14ac:dyDescent="0.25">
      <c r="B31" s="16" t="s">
        <v>110</v>
      </c>
      <c r="C31" s="16" t="s">
        <v>111</v>
      </c>
      <c r="D31" s="16" t="s">
        <v>112</v>
      </c>
      <c r="E31" s="16" t="s">
        <v>113</v>
      </c>
      <c r="F31" s="16" t="s">
        <v>114</v>
      </c>
      <c r="G31" s="16" t="s">
        <v>115</v>
      </c>
      <c r="H31" s="16" t="s">
        <v>116</v>
      </c>
    </row>
    <row r="32" spans="2:8" x14ac:dyDescent="0.25">
      <c r="B32" s="5" t="s">
        <v>117</v>
      </c>
      <c r="C32" s="15">
        <f>Assumptions!C15</f>
      </c>
      <c r="D32" s="12">
        <f>IF(C22&lt;C32,"YES","no")</f>
      </c>
      <c r="E32" s="17">
        <f>C32*(C9+Assumptions!C7/C32)/(C9+Assumptions!C7/C22)</f>
      </c>
      <c r="F32" s="20">
        <f>C32/E32</f>
      </c>
      <c r="G32" s="21">
        <f>Assumptions!C40</f>
      </c>
      <c r="H32" s="12">
        <f>IF(D32="YES",G32/E32,Assumptions!C31)</f>
      </c>
    </row>
    <row r="33" spans="2:8" x14ac:dyDescent="0.25">
      <c r="B33" s="5" t="s">
        <v>118</v>
      </c>
      <c r="C33" s="15">
        <f>Assumptions!C16</f>
      </c>
      <c r="D33" s="12">
        <f>IF(C22&lt;C33,"YES","no")</f>
      </c>
      <c r="E33" s="17">
        <f>C33*(C9+Assumptions!C7/C33)/(C9+Assumptions!C7/C22)</f>
      </c>
      <c r="F33" s="20">
        <f>C33/E33</f>
      </c>
      <c r="G33" s="21">
        <f>Assumptions!C41</f>
      </c>
      <c r="H33" s="12">
        <f>IF(D33="YES",G33/E33,Assumptions!C32)</f>
      </c>
    </row>
    <row r="34" spans="2:8" x14ac:dyDescent="0.25">
      <c r="B34" s="5" t="s">
        <v>119</v>
      </c>
      <c r="C34" s="15">
        <f>Assumptions!C17</f>
      </c>
      <c r="D34" s="12">
        <f>IF(C22&lt;C34,"YES","no")</f>
      </c>
      <c r="E34" s="17">
        <f>C34*(C9+Assumptions!C7/C34)/(C9+Assumptions!C7/C22)</f>
      </c>
      <c r="F34" s="20">
        <f>C34/E34</f>
      </c>
      <c r="G34" s="21">
        <f>Assumptions!C42</f>
      </c>
      <c r="H34" s="12">
        <f>IF(D34="YES",G34/E34,Assumptions!C33)</f>
      </c>
    </row>
    <row r="35" spans="2:8" x14ac:dyDescent="0.25">
      <c r="B35" s="5" t="s">
        <v>120</v>
      </c>
      <c r="C35" s="15">
        <f>Assumptions!C18</f>
      </c>
      <c r="D35" s="12">
        <f>IF(C22&lt;C35,"YES","no")</f>
      </c>
      <c r="E35" s="17">
        <f>C35*(C9+Assumptions!C7/C35)/(C9+Assumptions!C7/C22)</f>
      </c>
      <c r="F35" s="20">
        <f>C35/E35</f>
      </c>
      <c r="G35" s="21">
        <f>Assumptions!C43</f>
      </c>
      <c r="H35" s="12">
        <f>IF(D35="YES",G35/E35,Assumptions!C34)</f>
      </c>
    </row>
    <row r="36" spans="2:8" x14ac:dyDescent="0.25">
      <c r="B36" s="5" t="s">
        <v>121</v>
      </c>
      <c r="C36" s="15">
        <f>Assumptions!C19</f>
      </c>
      <c r="D36" s="12">
        <f>IF(C22&lt;C36,"YES","no")</f>
      </c>
      <c r="E36" s="17">
        <f>C36*(C9+Assumptions!C7/C36)/(C9+Assumptions!C7/C22)</f>
      </c>
      <c r="F36" s="20">
        <f>C36/E36</f>
      </c>
      <c r="G36" s="21">
        <f>Assumptions!C44</f>
      </c>
      <c r="H36" s="12">
        <f>IF(D36="YES",G36/E36,Assumptions!C35)</f>
      </c>
    </row>
    <row r="37" spans="2:8" x14ac:dyDescent="0.25">
      <c r="B37" s="5" t="s">
        <v>122</v>
      </c>
      <c r="C37" s="15">
        <f>Assumptions!C20</f>
      </c>
      <c r="D37" s="12">
        <f>IF(C22&lt;C37,"YES","no")</f>
      </c>
      <c r="E37" s="17">
        <f>C37*(C9+Assumptions!C7/C37)/(C9+Assumptions!C7/C22)</f>
      </c>
      <c r="F37" s="20">
        <f>C37/E37</f>
      </c>
      <c r="G37" s="21">
        <f>Assumptions!C45</f>
      </c>
      <c r="H37" s="12">
        <f>IF(D37="YES",G37/E37,Assumptions!C36)</f>
      </c>
    </row>
    <row r="38" spans="2:8" x14ac:dyDescent="0.25">
      <c r="B38" s="22" t="s">
        <v>123</v>
      </c>
      <c r="C38" s="22"/>
      <c r="D38" s="22"/>
      <c r="E38" s="22"/>
      <c r="F38" s="22"/>
      <c r="G38" s="22"/>
      <c r="H38" s="22">
        <f>SUM(H32:H37)</f>
      </c>
    </row>
    <row r="40" spans="2:21" x14ac:dyDescent="0.25">
      <c r="B40" s="3" t="s">
        <v>124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2:10" x14ac:dyDescent="0.25">
      <c r="B41" s="16" t="s">
        <v>125</v>
      </c>
      <c r="C41" s="16" t="s">
        <v>126</v>
      </c>
      <c r="D41" s="16" t="s">
        <v>127</v>
      </c>
      <c r="E41" s="16" t="s">
        <v>128</v>
      </c>
      <c r="F41" s="16" t="s">
        <v>129</v>
      </c>
      <c r="G41" s="16" t="s">
        <v>130</v>
      </c>
      <c r="H41" s="16" t="s">
        <v>131</v>
      </c>
      <c r="I41" s="16" t="s">
        <v>132</v>
      </c>
      <c r="J41" s="16" t="s">
        <v>133</v>
      </c>
    </row>
    <row r="42" spans="2:10" x14ac:dyDescent="0.25">
      <c r="B42" s="5" t="s">
        <v>134</v>
      </c>
      <c r="C42" s="21">
        <f>Assumptions!C48</f>
      </c>
      <c r="D42" s="21">
        <f>Assumptions!C49</f>
      </c>
      <c r="E42" s="23">
        <f>Assumptions!C50</f>
      </c>
      <c r="F42" s="17">
        <f>J19</f>
      </c>
      <c r="G42" s="17">
        <f>K19</f>
      </c>
      <c r="H42" s="12">
        <f>L19</f>
      </c>
      <c r="I42" s="17">
        <f>M19</f>
      </c>
      <c r="J42" s="12">
        <f>N19</f>
      </c>
    </row>
    <row r="43" spans="2:10" x14ac:dyDescent="0.25">
      <c r="B43" s="5" t="s">
        <v>135</v>
      </c>
      <c r="C43" s="21">
        <f>Assumptions!C51</f>
      </c>
      <c r="D43" s="21">
        <f>Assumptions!C52</f>
      </c>
      <c r="E43" s="23">
        <f>Assumptions!C53</f>
      </c>
      <c r="F43" s="17">
        <f>O19</f>
      </c>
      <c r="G43" s="17">
        <f>P19</f>
      </c>
      <c r="H43" s="12">
        <f>Q19</f>
      </c>
      <c r="I43" s="17">
        <f>R19</f>
      </c>
      <c r="J43" s="12">
        <f>S19</f>
      </c>
    </row>
    <row r="44" spans="2:10" x14ac:dyDescent="0.25">
      <c r="B44" s="22" t="s">
        <v>136</v>
      </c>
      <c r="C44" s="22"/>
      <c r="D44" s="22"/>
      <c r="E44" s="22"/>
      <c r="F44" s="22"/>
      <c r="G44" s="22"/>
      <c r="H44" s="22"/>
      <c r="I44" s="22"/>
      <c r="J44" s="22">
        <f>J42+J43</f>
      </c>
    </row>
    <row r="46" spans="2:21" x14ac:dyDescent="0.25">
      <c r="B46" s="3" t="s">
        <v>137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3" x14ac:dyDescent="0.25">
      <c r="B47" s="5" t="s">
        <v>138</v>
      </c>
      <c r="C47" s="17">
        <f>Assumptions!C9*C22</f>
      </c>
    </row>
    <row r="48" spans="2:3" x14ac:dyDescent="0.25">
      <c r="B48" s="5" t="s">
        <v>139</v>
      </c>
      <c r="C48" s="21">
        <f>Assumptions!C8</f>
      </c>
    </row>
    <row r="49" spans="2:3" x14ac:dyDescent="0.25">
      <c r="B49" s="11" t="s">
        <v>140</v>
      </c>
      <c r="C49" s="12">
        <f>C48/C47</f>
      </c>
    </row>
    <row r="50" spans="2:3" x14ac:dyDescent="0.25">
      <c r="B50" s="9" t="s">
        <v>141</v>
      </c>
      <c r="C50" s="12">
        <f>C49*Assumptions!C24/C6</f>
      </c>
    </row>
    <row r="51" spans="2:3" x14ac:dyDescent="0.25">
      <c r="B51" s="9" t="s">
        <v>142</v>
      </c>
      <c r="C51" s="12">
        <f>C49*Assumptions!C25/C6</f>
      </c>
    </row>
    <row r="52" spans="2:3" x14ac:dyDescent="0.25">
      <c r="B52" s="9" t="s">
        <v>143</v>
      </c>
      <c r="C52" s="12">
        <f>C49*Assumptions!C26/C6</f>
      </c>
    </row>
    <row r="53" spans="2:3" x14ac:dyDescent="0.25">
      <c r="B53" s="5" t="s">
        <v>144</v>
      </c>
      <c r="C53" s="24">
        <f>ROUND(C50+C51+C52-C49,2)</f>
      </c>
    </row>
    <row r="55" spans="2:21" x14ac:dyDescent="0.25">
      <c r="B55" s="3" t="s">
        <v>145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2:6" x14ac:dyDescent="0.25">
      <c r="B56" s="16" t="s">
        <v>146</v>
      </c>
      <c r="C56" s="16" t="s">
        <v>110</v>
      </c>
      <c r="D56" s="16" t="s">
        <v>133</v>
      </c>
      <c r="E56" s="16" t="s">
        <v>147</v>
      </c>
      <c r="F56" s="16" t="s">
        <v>148</v>
      </c>
    </row>
    <row r="57" spans="2:6" x14ac:dyDescent="0.25">
      <c r="B57" s="5" t="s">
        <v>149</v>
      </c>
      <c r="C57" s="5" t="s">
        <v>150</v>
      </c>
      <c r="D57" s="12">
        <f>Assumptions!C24-C50</f>
      </c>
      <c r="E57" s="19">
        <f>D57/C25</f>
      </c>
      <c r="F57" s="25" t="s">
        <v>151</v>
      </c>
    </row>
    <row r="58" spans="2:6" x14ac:dyDescent="0.25">
      <c r="B58" s="5" t="s">
        <v>152</v>
      </c>
      <c r="C58" s="5" t="s">
        <v>150</v>
      </c>
      <c r="D58" s="12">
        <f>Assumptions!C25-C51</f>
      </c>
      <c r="E58" s="19">
        <f>D58/C25</f>
      </c>
      <c r="F58" s="25" t="s">
        <v>151</v>
      </c>
    </row>
    <row r="59" spans="2:6" x14ac:dyDescent="0.25">
      <c r="B59" s="5" t="s">
        <v>153</v>
      </c>
      <c r="C59" s="5" t="s">
        <v>150</v>
      </c>
      <c r="D59" s="12">
        <f>Assumptions!C26-C52</f>
      </c>
      <c r="E59" s="19">
        <f>D59/C25</f>
      </c>
      <c r="F59" s="25" t="s">
        <v>151</v>
      </c>
    </row>
    <row r="60" spans="2:6" x14ac:dyDescent="0.25">
      <c r="B60" s="5" t="s">
        <v>154</v>
      </c>
      <c r="C60" s="5" t="s">
        <v>150</v>
      </c>
      <c r="D60" s="12">
        <f>Assumptions!C27</f>
      </c>
      <c r="E60" s="19">
        <f>D60/C25</f>
      </c>
      <c r="F60" s="25" t="s">
        <v>155</v>
      </c>
    </row>
    <row r="61" spans="2:6" x14ac:dyDescent="0.25">
      <c r="B61" s="5" t="s">
        <v>156</v>
      </c>
      <c r="C61" s="5" t="s">
        <v>157</v>
      </c>
      <c r="D61" s="12">
        <f>H32</f>
      </c>
      <c r="E61" s="19">
        <f>D61/C25</f>
      </c>
      <c r="F61" s="25" t="s">
        <v>158</v>
      </c>
    </row>
    <row r="62" spans="2:6" x14ac:dyDescent="0.25">
      <c r="B62" s="5" t="s">
        <v>159</v>
      </c>
      <c r="C62" s="5" t="s">
        <v>160</v>
      </c>
      <c r="D62" s="12">
        <f>H33</f>
      </c>
      <c r="E62" s="19">
        <f>D62/C25</f>
      </c>
      <c r="F62" s="25" t="s">
        <v>158</v>
      </c>
    </row>
    <row r="63" spans="2:6" x14ac:dyDescent="0.25">
      <c r="B63" s="5" t="s">
        <v>161</v>
      </c>
      <c r="C63" s="5" t="s">
        <v>162</v>
      </c>
      <c r="D63" s="12">
        <f>H34</f>
      </c>
      <c r="E63" s="19">
        <f>D63/C25</f>
      </c>
      <c r="F63" s="25" t="s">
        <v>158</v>
      </c>
    </row>
    <row r="64" spans="2:6" x14ac:dyDescent="0.25">
      <c r="B64" s="5" t="s">
        <v>163</v>
      </c>
      <c r="C64" s="5" t="s">
        <v>164</v>
      </c>
      <c r="D64" s="12">
        <f>H35</f>
      </c>
      <c r="E64" s="19">
        <f>D64/C25</f>
      </c>
      <c r="F64" s="25" t="s">
        <v>158</v>
      </c>
    </row>
    <row r="65" spans="2:6" x14ac:dyDescent="0.25">
      <c r="B65" s="5" t="s">
        <v>165</v>
      </c>
      <c r="C65" s="5" t="s">
        <v>166</v>
      </c>
      <c r="D65" s="12">
        <f>H36</f>
      </c>
      <c r="E65" s="19">
        <f>D65/C25</f>
      </c>
      <c r="F65" s="25" t="s">
        <v>158</v>
      </c>
    </row>
    <row r="66" spans="2:6" x14ac:dyDescent="0.25">
      <c r="B66" s="5" t="s">
        <v>167</v>
      </c>
      <c r="C66" s="5" t="s">
        <v>168</v>
      </c>
      <c r="D66" s="12">
        <f>H37</f>
      </c>
      <c r="E66" s="19">
        <f>D66/C25</f>
      </c>
      <c r="F66" s="25" t="s">
        <v>158</v>
      </c>
    </row>
    <row r="67" spans="2:6" x14ac:dyDescent="0.25">
      <c r="B67" s="5" t="s">
        <v>169</v>
      </c>
      <c r="C67" s="5" t="s">
        <v>170</v>
      </c>
      <c r="D67" s="12">
        <f>J42</f>
      </c>
      <c r="E67" s="19">
        <f>D67/C25</f>
      </c>
      <c r="F67" s="25" t="s">
        <v>171</v>
      </c>
    </row>
    <row r="68" spans="2:6" x14ac:dyDescent="0.25">
      <c r="B68" s="5" t="s">
        <v>172</v>
      </c>
      <c r="C68" s="5" t="s">
        <v>170</v>
      </c>
      <c r="D68" s="12">
        <f>J43</f>
      </c>
      <c r="E68" s="19">
        <f>D68/C25</f>
      </c>
      <c r="F68" s="25" t="s">
        <v>173</v>
      </c>
    </row>
    <row r="69" spans="2:6" x14ac:dyDescent="0.25">
      <c r="B69" s="5" t="s">
        <v>174</v>
      </c>
      <c r="C69" s="5" t="s">
        <v>175</v>
      </c>
      <c r="D69" s="12">
        <f>Assumptions!C12/C22</f>
      </c>
      <c r="E69" s="19">
        <f>D69/C25</f>
      </c>
      <c r="F69" s="25" t="s">
        <v>176</v>
      </c>
    </row>
    <row r="70" spans="2:6" x14ac:dyDescent="0.25">
      <c r="B70" s="5" t="s">
        <v>177</v>
      </c>
      <c r="C70" s="5" t="s">
        <v>178</v>
      </c>
      <c r="D70" s="12">
        <f>C49</f>
      </c>
      <c r="E70" s="19">
        <f>D70/C25</f>
      </c>
      <c r="F70" s="25" t="s">
        <v>179</v>
      </c>
    </row>
    <row r="71" spans="2:6" x14ac:dyDescent="0.25">
      <c r="B71" s="5" t="s">
        <v>180</v>
      </c>
      <c r="C71" s="5" t="s">
        <v>175</v>
      </c>
      <c r="D71" s="12">
        <f>Assumptions!C11/C22</f>
      </c>
      <c r="E71" s="19">
        <f>D71/C25</f>
      </c>
      <c r="F71" s="25" t="s">
        <v>181</v>
      </c>
    </row>
    <row r="72" spans="2:6" x14ac:dyDescent="0.25">
      <c r="B72" s="5" t="s">
        <v>182</v>
      </c>
      <c r="C72" s="5" t="s">
        <v>183</v>
      </c>
      <c r="D72" s="12">
        <f>Assumptions!C28</f>
      </c>
      <c r="E72" s="19">
        <f>D72/C25</f>
      </c>
      <c r="F72" s="25" t="s">
        <v>184</v>
      </c>
    </row>
    <row r="73" spans="2:6" x14ac:dyDescent="0.25">
      <c r="B73" s="5" t="s">
        <v>185</v>
      </c>
      <c r="C73" s="5" t="s">
        <v>186</v>
      </c>
      <c r="D73" s="12">
        <f>Assumptions!C29+C26</f>
      </c>
      <c r="E73" s="19">
        <f>D73/C25</f>
      </c>
      <c r="F73" s="25" t="s">
        <v>187</v>
      </c>
    </row>
    <row r="74" spans="2:6" x14ac:dyDescent="0.25">
      <c r="B74" s="26" t="s">
        <v>188</v>
      </c>
      <c r="C74" s="26"/>
      <c r="D74" s="26">
        <f>SUM(D57:D73)</f>
      </c>
      <c r="E74" s="19">
        <f>SUM(E57:E73)</f>
      </c>
      <c r="F74" s="26"/>
    </row>
    <row r="75" spans="2:5" x14ac:dyDescent="0.25">
      <c r="B75" s="5" t="s">
        <v>144</v>
      </c>
      <c r="D75" s="24">
        <f>ROUND(D74-C25,2)</f>
      </c>
      <c r="E75" s="24">
        <f>ROUND(E74-1,6)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8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2.705" customWidth="1"/>
    <col min="3" max="7" width="16.455" customWidth="1"/>
  </cols>
  <sheetData>
    <row r="2" ht="18" customHeight="1" spans="2:2" x14ac:dyDescent="0.25">
      <c r="B2" s="1" t="s">
        <v>189</v>
      </c>
    </row>
    <row r="3" spans="2:2" x14ac:dyDescent="0.25">
      <c r="B3" s="2" t="s">
        <v>190</v>
      </c>
    </row>
    <row r="5" spans="2:7" x14ac:dyDescent="0.25">
      <c r="B5" s="3" t="s">
        <v>191</v>
      </c>
      <c r="C5" s="4"/>
      <c r="D5" s="4"/>
      <c r="E5" s="4"/>
      <c r="F5" s="4"/>
      <c r="G5" s="4"/>
    </row>
    <row r="6" spans="2:7" x14ac:dyDescent="0.25">
      <c r="B6" s="16" t="s">
        <v>192</v>
      </c>
      <c r="C6" s="16" t="s">
        <v>193</v>
      </c>
      <c r="D6" s="16" t="s">
        <v>194</v>
      </c>
      <c r="E6" s="16" t="s">
        <v>195</v>
      </c>
      <c r="F6" s="16" t="s">
        <v>196</v>
      </c>
      <c r="G6" s="16" t="s">
        <v>197</v>
      </c>
    </row>
    <row r="7" spans="2:7" x14ac:dyDescent="0.25">
      <c r="B7" s="5" t="s">
        <v>198</v>
      </c>
      <c r="C7" s="13">
        <f>Assumptions!C59</f>
      </c>
      <c r="D7" s="13">
        <f>Assumptions!C60</f>
      </c>
      <c r="E7" s="13">
        <f>Assumptions!C61</f>
      </c>
      <c r="F7" s="13">
        <f>Assumptions!C62</f>
      </c>
      <c r="G7" s="13">
        <f>Assumptions!C63</f>
      </c>
    </row>
    <row r="8" spans="2:7" x14ac:dyDescent="0.25">
      <c r="B8" s="5" t="s">
        <v>199</v>
      </c>
      <c r="C8" s="17">
        <f>Waterfall!F35</f>
      </c>
      <c r="D8" s="17">
        <f>Waterfall!G35</f>
      </c>
      <c r="E8" s="17">
        <f>Waterfall!H35</f>
      </c>
      <c r="F8" s="17">
        <f>Waterfall!I35</f>
      </c>
      <c r="G8" s="17">
        <f>Waterfall!J35</f>
      </c>
    </row>
    <row r="9" spans="2:7" x14ac:dyDescent="0.25">
      <c r="B9" s="5" t="s">
        <v>200</v>
      </c>
      <c r="C9" s="12">
        <f>Waterfall!F41</f>
      </c>
      <c r="D9" s="12">
        <f>Waterfall!G41</f>
      </c>
      <c r="E9" s="12">
        <f>Waterfall!H41</f>
      </c>
      <c r="F9" s="12">
        <f>Waterfall!I41</f>
      </c>
      <c r="G9" s="12">
        <f>Waterfall!J41</f>
      </c>
    </row>
    <row r="10" spans="2:7" x14ac:dyDescent="0.25">
      <c r="B10" s="5" t="s">
        <v>201</v>
      </c>
      <c r="C10" s="12">
        <f>'Pro-Forma'!C25</f>
      </c>
      <c r="D10" s="12">
        <f>'Pro-Forma'!C25</f>
      </c>
      <c r="E10" s="12">
        <f>'Pro-Forma'!C25</f>
      </c>
      <c r="F10" s="12">
        <f>'Pro-Forma'!C25</f>
      </c>
      <c r="G10" s="12">
        <f>'Pro-Forma'!C25</f>
      </c>
    </row>
    <row r="11" spans="2:7" x14ac:dyDescent="0.25">
      <c r="B11" s="5" t="s">
        <v>202</v>
      </c>
      <c r="C11" s="17">
        <f>'Pro-Forma'!C22</f>
      </c>
      <c r="D11" s="17">
        <f>'Pro-Forma'!C22</f>
      </c>
      <c r="E11" s="17">
        <f>'Pro-Forma'!C22</f>
      </c>
      <c r="F11" s="17">
        <f>'Pro-Forma'!C22</f>
      </c>
      <c r="G11" s="17">
        <f>'Pro-Forma'!C22</f>
      </c>
    </row>
    <row r="13" spans="2:7" x14ac:dyDescent="0.25">
      <c r="B13" s="3" t="s">
        <v>203</v>
      </c>
      <c r="C13" s="4"/>
      <c r="D13" s="4"/>
      <c r="E13" s="4"/>
      <c r="F13" s="4"/>
      <c r="G13" s="4"/>
    </row>
    <row r="14" spans="2:7" x14ac:dyDescent="0.25">
      <c r="B14" s="5" t="s">
        <v>204</v>
      </c>
      <c r="C14" s="13">
        <f>Assumptions!C75*Assumptions!C11</f>
      </c>
      <c r="D14" s="13">
        <f>Assumptions!C75*Assumptions!C11</f>
      </c>
      <c r="E14" s="13">
        <f>Assumptions!C75*Assumptions!C11</f>
      </c>
      <c r="F14" s="13">
        <f>Assumptions!C75*Assumptions!C11</f>
      </c>
      <c r="G14" s="13">
        <f>Assumptions!C75*Assumptions!C11</f>
      </c>
    </row>
    <row r="15" spans="2:7" x14ac:dyDescent="0.25">
      <c r="B15" s="11" t="s">
        <v>205</v>
      </c>
      <c r="C15" s="27">
        <f>IF(C9="convert",C14/(C10*C8),"infeasible — F preference caps at $10M")</f>
      </c>
      <c r="D15" s="27">
        <f>IF(D9="convert",D14/(D10*D8),"infeasible — F preference caps at $10M")</f>
      </c>
      <c r="E15" s="27">
        <f>IF(E9="convert",E14/(E10*E8),"infeasible — F preference caps at $10M")</f>
      </c>
      <c r="F15" s="27">
        <f>IF(F9="convert",F14/(F10*F8),"infeasible — F preference caps at $10M")</f>
      </c>
      <c r="G15" s="27">
        <f>IF(G9="convert",G14/(G10*G8),"infeasible — F preference caps at $10M")</f>
      </c>
    </row>
    <row r="16" spans="2:7" x14ac:dyDescent="0.25">
      <c r="B16" s="5" t="s">
        <v>206</v>
      </c>
      <c r="C16" s="12">
        <f>IF(C9="preference","infeasible (F pref)",IF(OR(C15&lt;=0,C15&gt;1),"infeasible (out of bounds)","feasible"))</f>
      </c>
      <c r="D16" s="12">
        <f>IF(D9="preference","infeasible (F pref)",IF(OR(D15&lt;=0,D15&gt;1),"infeasible (out of bounds)","feasible"))</f>
      </c>
      <c r="E16" s="12">
        <f>IF(E9="preference","infeasible (F pref)",IF(OR(E15&lt;=0,E15&gt;1),"infeasible (out of bounds)","feasible"))</f>
      </c>
      <c r="F16" s="12">
        <f>IF(F9="preference","infeasible (F pref)",IF(OR(F15&lt;=0,F15&gt;1),"infeasible (out of bounds)","feasible"))</f>
      </c>
      <c r="G16" s="12">
        <f>IF(G9="preference","infeasible (F pref)",IF(OR(G15&lt;=0,G15&gt;1),"infeasible (out of bounds)","feasible"))</f>
      </c>
    </row>
    <row r="18" spans="2:7" x14ac:dyDescent="0.25">
      <c r="B18" s="3" t="s">
        <v>207</v>
      </c>
      <c r="C18" s="4"/>
      <c r="D18" s="4"/>
      <c r="E18" s="4"/>
      <c r="F18" s="4"/>
      <c r="G18" s="4"/>
    </row>
    <row r="19" spans="2:7" x14ac:dyDescent="0.25">
      <c r="B19" s="5" t="s">
        <v>204</v>
      </c>
      <c r="C19" s="13">
        <f>Assumptions!C76*Assumptions!C11</f>
      </c>
      <c r="D19" s="13">
        <f>Assumptions!C76*Assumptions!C11</f>
      </c>
      <c r="E19" s="13">
        <f>Assumptions!C76*Assumptions!C11</f>
      </c>
      <c r="F19" s="13">
        <f>Assumptions!C76*Assumptions!C11</f>
      </c>
      <c r="G19" s="13">
        <f>Assumptions!C76*Assumptions!C11</f>
      </c>
    </row>
    <row r="20" spans="2:7" x14ac:dyDescent="0.25">
      <c r="B20" s="11" t="s">
        <v>205</v>
      </c>
      <c r="C20" s="27">
        <f>IF(C9="convert",C19/(C10*C8),"infeasible — F preference caps at $10M")</f>
      </c>
      <c r="D20" s="27">
        <f>IF(D9="convert",D19/(D10*D8),"infeasible — F preference caps at $10M")</f>
      </c>
      <c r="E20" s="27">
        <f>IF(E9="convert",E19/(E10*E8),"infeasible — F preference caps at $10M")</f>
      </c>
      <c r="F20" s="27">
        <f>IF(F9="convert",F19/(F10*F8),"infeasible — F preference caps at $10M")</f>
      </c>
      <c r="G20" s="27">
        <f>IF(G9="convert",G19/(G10*G8),"infeasible — F preference caps at $10M")</f>
      </c>
    </row>
    <row r="21" spans="2:7" x14ac:dyDescent="0.25">
      <c r="B21" s="5" t="s">
        <v>206</v>
      </c>
      <c r="C21" s="12">
        <f>IF(C9="preference","infeasible (F pref)",IF(OR(C20&lt;=0,C20&gt;1),"infeasible (out of bounds)","feasible"))</f>
      </c>
      <c r="D21" s="12">
        <f>IF(D9="preference","infeasible (F pref)",IF(OR(D20&lt;=0,D20&gt;1),"infeasible (out of bounds)","feasible"))</f>
      </c>
      <c r="E21" s="12">
        <f>IF(E9="preference","infeasible (F pref)",IF(OR(E20&lt;=0,E20&gt;1),"infeasible (out of bounds)","feasible"))</f>
      </c>
      <c r="F21" s="12">
        <f>IF(F9="preference","infeasible (F pref)",IF(OR(F20&lt;=0,F20&gt;1),"infeasible (out of bounds)","feasible"))</f>
      </c>
      <c r="G21" s="12">
        <f>IF(G9="preference","infeasible (F pref)",IF(OR(G20&lt;=0,G20&gt;1),"infeasible (out of bounds)","feasible"))</f>
      </c>
    </row>
    <row r="23" spans="2:7" x14ac:dyDescent="0.25">
      <c r="B23" s="3" t="s">
        <v>208</v>
      </c>
      <c r="C23" s="4"/>
      <c r="D23" s="4"/>
      <c r="E23" s="4"/>
      <c r="F23" s="4"/>
      <c r="G23" s="4"/>
    </row>
    <row r="24" spans="2:4" x14ac:dyDescent="0.25">
      <c r="B24" s="5" t="s">
        <v>209</v>
      </c>
      <c r="C24" s="19">
        <f>Assumptions!C11/'Pro-Forma'!C22/'Pro-Forma'!C25</f>
      </c>
      <c r="D24" s="25" t="s">
        <v>210</v>
      </c>
    </row>
    <row r="25" spans="2:7" x14ac:dyDescent="0.25">
      <c r="B25" s="5" t="s">
        <v>211</v>
      </c>
      <c r="C25" s="13">
        <f>IF(C9="preference",Assumptions!C11,Assumptions!C11/C11*C8)</f>
      </c>
      <c r="D25" s="13">
        <f>IF(D9="preference",Assumptions!C11,Assumptions!C11/D11*D8)</f>
      </c>
      <c r="E25" s="13">
        <f>IF(E9="preference",Assumptions!C11,Assumptions!C11/E11*E8)</f>
      </c>
      <c r="F25" s="13">
        <f>IF(F9="preference",Assumptions!C11,Assumptions!C11/F11*F8)</f>
      </c>
      <c r="G25" s="13">
        <f>IF(G9="preference",Assumptions!C11,Assumptions!C11/G11*G8)</f>
      </c>
    </row>
    <row r="26" spans="2:7" x14ac:dyDescent="0.25">
      <c r="B26" s="5" t="s">
        <v>212</v>
      </c>
      <c r="C26" s="20">
        <f>C25/Assumptions!C11</f>
      </c>
      <c r="D26" s="20">
        <f>D25/Assumptions!C11</f>
      </c>
      <c r="E26" s="20">
        <f>E25/Assumptions!C11</f>
      </c>
      <c r="F26" s="20">
        <f>F25/Assumptions!C11</f>
      </c>
      <c r="G26" s="20">
        <f>G25/Assumptions!C11</f>
      </c>
    </row>
    <row r="28" spans="2:2" x14ac:dyDescent="0.25">
      <c r="B28" s="25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9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25.205" customWidth="1"/>
    <col min="3" max="11" width="13.955" customWidth="1"/>
  </cols>
  <sheetData>
    <row r="2" ht="18" customHeight="1" spans="2:2" x14ac:dyDescent="0.25">
      <c r="B2" s="1" t="s">
        <v>214</v>
      </c>
    </row>
    <row r="3" spans="2:2" x14ac:dyDescent="0.25">
      <c r="B3" s="2" t="s">
        <v>215</v>
      </c>
    </row>
    <row r="5" spans="2:11" x14ac:dyDescent="0.25">
      <c r="B5" s="3" t="s">
        <v>216</v>
      </c>
      <c r="C5" s="4"/>
      <c r="D5" s="4"/>
      <c r="E5" s="4"/>
      <c r="F5" s="4"/>
      <c r="G5" s="4"/>
      <c r="H5" s="4"/>
      <c r="I5" s="4"/>
      <c r="J5" s="4"/>
      <c r="K5" s="4"/>
    </row>
    <row r="6" spans="2:6" x14ac:dyDescent="0.25">
      <c r="B6" s="28" t="s">
        <v>217</v>
      </c>
      <c r="C6" s="29"/>
      <c r="D6" s="29"/>
      <c r="E6" s="29"/>
      <c r="F6" s="29"/>
    </row>
    <row r="7" spans="2:6" x14ac:dyDescent="0.25">
      <c r="B7" s="30" t="s">
        <v>218</v>
      </c>
      <c r="D7" s="29" t="s">
        <v>219</v>
      </c>
      <c r="E7" s="29" t="s">
        <v>220</v>
      </c>
      <c r="F7" s="29" t="s">
        <v>221</v>
      </c>
    </row>
    <row r="8" spans="3:6" x14ac:dyDescent="0.25">
      <c r="C8" s="29" t="s">
        <v>222</v>
      </c>
      <c r="D8" s="13">
        <f>C76</f>
      </c>
      <c r="E8" s="13">
        <f>D76</f>
      </c>
      <c r="F8" s="13">
        <f>E76</f>
      </c>
    </row>
    <row r="9" spans="3:6" x14ac:dyDescent="0.25">
      <c r="C9" s="29" t="s">
        <v>223</v>
      </c>
      <c r="D9" s="13">
        <f>F76</f>
      </c>
      <c r="E9" s="31">
        <f>G76</f>
      </c>
      <c r="F9" s="13">
        <f>H76</f>
      </c>
    </row>
    <row r="10" spans="3:6" x14ac:dyDescent="0.25">
      <c r="C10" s="29" t="s">
        <v>224</v>
      </c>
      <c r="D10" s="13">
        <f>I76</f>
      </c>
      <c r="E10" s="13">
        <f>J76</f>
      </c>
      <c r="F10" s="13">
        <f>K76</f>
      </c>
    </row>
    <row r="12" spans="2:6" x14ac:dyDescent="0.25">
      <c r="B12" s="28" t="s">
        <v>225</v>
      </c>
      <c r="C12" s="29"/>
      <c r="D12" s="29"/>
      <c r="E12" s="29"/>
      <c r="F12" s="29"/>
    </row>
    <row r="13" spans="2:6" x14ac:dyDescent="0.25">
      <c r="B13" s="30" t="s">
        <v>218</v>
      </c>
      <c r="D13" s="29" t="s">
        <v>219</v>
      </c>
      <c r="E13" s="29" t="s">
        <v>220</v>
      </c>
      <c r="F13" s="29" t="s">
        <v>221</v>
      </c>
    </row>
    <row r="14" spans="3:6" x14ac:dyDescent="0.25">
      <c r="C14" s="29" t="s">
        <v>222</v>
      </c>
      <c r="D14" s="19">
        <f>C77</f>
      </c>
      <c r="E14" s="19">
        <f>D77</f>
      </c>
      <c r="F14" s="19">
        <f>E77</f>
      </c>
    </row>
    <row r="15" spans="3:6" x14ac:dyDescent="0.25">
      <c r="C15" s="29" t="s">
        <v>223</v>
      </c>
      <c r="D15" s="19">
        <f>F77</f>
      </c>
      <c r="E15" s="32">
        <f>G77</f>
      </c>
      <c r="F15" s="19">
        <f>H77</f>
      </c>
    </row>
    <row r="16" spans="3:6" x14ac:dyDescent="0.25">
      <c r="C16" s="29" t="s">
        <v>224</v>
      </c>
      <c r="D16" s="19">
        <f>I77</f>
      </c>
      <c r="E16" s="19">
        <f>J77</f>
      </c>
      <c r="F16" s="19">
        <f>K77</f>
      </c>
    </row>
    <row r="18" spans="2:11" x14ac:dyDescent="0.25">
      <c r="B18" s="3" t="s">
        <v>226</v>
      </c>
      <c r="C18" s="4"/>
      <c r="D18" s="4"/>
      <c r="E18" s="4"/>
      <c r="F18" s="4"/>
      <c r="G18" s="4"/>
      <c r="H18" s="4"/>
      <c r="I18" s="4"/>
      <c r="J18" s="4"/>
      <c r="K18" s="4"/>
    </row>
    <row r="19" spans="2:11" x14ac:dyDescent="0.25">
      <c r="B19" s="16" t="s">
        <v>227</v>
      </c>
      <c r="C19" s="16" t="s">
        <v>228</v>
      </c>
      <c r="D19" s="16" t="s">
        <v>229</v>
      </c>
      <c r="E19" s="16" t="s">
        <v>230</v>
      </c>
      <c r="F19" s="16" t="s">
        <v>231</v>
      </c>
      <c r="G19" s="16" t="s">
        <v>232</v>
      </c>
      <c r="H19" s="16" t="s">
        <v>233</v>
      </c>
      <c r="I19" s="16" t="s">
        <v>234</v>
      </c>
      <c r="J19" s="16" t="s">
        <v>235</v>
      </c>
      <c r="K19" s="16" t="s">
        <v>236</v>
      </c>
    </row>
    <row r="21" spans="2:11" x14ac:dyDescent="0.25">
      <c r="B21" s="5" t="s">
        <v>237</v>
      </c>
      <c r="C21" s="19">
        <f>Assumptions!C66</f>
      </c>
      <c r="D21" s="19">
        <f>Assumptions!C66</f>
      </c>
      <c r="E21" s="19">
        <f>Assumptions!C66</f>
      </c>
      <c r="F21" s="19">
        <f>Assumptions!C67</f>
      </c>
      <c r="G21" s="19">
        <f>Assumptions!C67</f>
      </c>
      <c r="H21" s="19">
        <f>Assumptions!C67</f>
      </c>
      <c r="I21" s="19">
        <f>Assumptions!C68</f>
      </c>
      <c r="J21" s="19">
        <f>Assumptions!C68</f>
      </c>
      <c r="K21" s="19">
        <f>Assumptions!C68</f>
      </c>
    </row>
    <row r="22" spans="2:11" x14ac:dyDescent="0.25">
      <c r="B22" s="5" t="s">
        <v>238</v>
      </c>
      <c r="C22" s="13">
        <f>Assumptions!C69</f>
      </c>
      <c r="D22" s="13">
        <f>Assumptions!C70</f>
      </c>
      <c r="E22" s="13">
        <f>Assumptions!C71</f>
      </c>
      <c r="F22" s="13">
        <f>Assumptions!C69</f>
      </c>
      <c r="G22" s="13">
        <f>Assumptions!C70</f>
      </c>
      <c r="H22" s="13">
        <f>Assumptions!C71</f>
      </c>
      <c r="I22" s="13">
        <f>Assumptions!C69</f>
      </c>
      <c r="J22" s="13">
        <f>Assumptions!C70</f>
      </c>
      <c r="K22" s="13">
        <f>Assumptions!C71</f>
      </c>
    </row>
    <row r="24" spans="2:11" x14ac:dyDescent="0.25">
      <c r="B24" s="28" t="s">
        <v>239</v>
      </c>
      <c r="C24" s="29"/>
      <c r="D24" s="29"/>
      <c r="E24" s="29"/>
      <c r="F24" s="29"/>
      <c r="G24" s="29"/>
      <c r="H24" s="29"/>
      <c r="I24" s="29"/>
      <c r="J24" s="29"/>
      <c r="K24" s="29"/>
    </row>
    <row r="25" spans="2:11" x14ac:dyDescent="0.25">
      <c r="B25" s="9" t="s">
        <v>240</v>
      </c>
      <c r="C25" s="17">
        <f>C22/Assumptions!C37</f>
      </c>
      <c r="D25" s="17">
        <f>D22/Assumptions!C37</f>
      </c>
      <c r="E25" s="17">
        <f>E22/Assumptions!C37</f>
      </c>
      <c r="F25" s="17">
        <f>F22/Assumptions!C37</f>
      </c>
      <c r="G25" s="17">
        <f>G22/Assumptions!C37</f>
      </c>
      <c r="H25" s="17">
        <f>H22/Assumptions!C37</f>
      </c>
      <c r="I25" s="17">
        <f>I22/Assumptions!C37</f>
      </c>
      <c r="J25" s="17">
        <f>J22/Assumptions!C37</f>
      </c>
      <c r="K25" s="17">
        <f>K22/Assumptions!C37</f>
      </c>
    </row>
    <row r="26" spans="2:11" x14ac:dyDescent="0.25">
      <c r="B26" s="9" t="s">
        <v>241</v>
      </c>
      <c r="C26" s="17">
        <f>Assumptions!C20*(Assumptions!C37+Assumptions!C7/Assumptions!C20)/(Assumptions!C37+Assumptions!C7/C25)</f>
      </c>
      <c r="D26" s="17">
        <f>Assumptions!C20*(Assumptions!C37+Assumptions!C7/Assumptions!C20)/(Assumptions!C37+Assumptions!C7/D25)</f>
      </c>
      <c r="E26" s="17">
        <f>Assumptions!C20*(Assumptions!C37+Assumptions!C7/Assumptions!C20)/(Assumptions!C37+Assumptions!C7/E25)</f>
      </c>
      <c r="F26" s="17">
        <f>Assumptions!C20*(Assumptions!C37+Assumptions!C7/Assumptions!C20)/(Assumptions!C37+Assumptions!C7/F25)</f>
      </c>
      <c r="G26" s="17">
        <f>Assumptions!C20*(Assumptions!C37+Assumptions!C7/Assumptions!C20)/(Assumptions!C37+Assumptions!C7/G25)</f>
      </c>
      <c r="H26" s="17">
        <f>Assumptions!C20*(Assumptions!C37+Assumptions!C7/Assumptions!C20)/(Assumptions!C37+Assumptions!C7/H25)</f>
      </c>
      <c r="I26" s="17">
        <f>Assumptions!C20*(Assumptions!C37+Assumptions!C7/Assumptions!C20)/(Assumptions!C37+Assumptions!C7/I25)</f>
      </c>
      <c r="J26" s="17">
        <f>Assumptions!C20*(Assumptions!C37+Assumptions!C7/Assumptions!C20)/(Assumptions!C37+Assumptions!C7/J25)</f>
      </c>
      <c r="K26" s="17">
        <f>Assumptions!C20*(Assumptions!C37+Assumptions!C7/Assumptions!C20)/(Assumptions!C37+Assumptions!C7/K25)</f>
      </c>
    </row>
    <row r="27" spans="2:11" x14ac:dyDescent="0.25">
      <c r="B27" s="9" t="s">
        <v>242</v>
      </c>
      <c r="C27" s="17">
        <f>Assumptions!C19*(Assumptions!C37+Assumptions!C7/Assumptions!C19)/(Assumptions!C37+Assumptions!C7/C25)</f>
      </c>
      <c r="D27" s="17">
        <f>Assumptions!C19*(Assumptions!C37+Assumptions!C7/Assumptions!C19)/(Assumptions!C37+Assumptions!C7/D25)</f>
      </c>
      <c r="E27" s="17">
        <f>Assumptions!C19*(Assumptions!C37+Assumptions!C7/Assumptions!C19)/(Assumptions!C37+Assumptions!C7/E25)</f>
      </c>
      <c r="F27" s="17">
        <f>Assumptions!C19*(Assumptions!C37+Assumptions!C7/Assumptions!C19)/(Assumptions!C37+Assumptions!C7/F25)</f>
      </c>
      <c r="G27" s="17">
        <f>Assumptions!C19*(Assumptions!C37+Assumptions!C7/Assumptions!C19)/(Assumptions!C37+Assumptions!C7/G25)</f>
      </c>
      <c r="H27" s="17">
        <f>Assumptions!C19*(Assumptions!C37+Assumptions!C7/Assumptions!C19)/(Assumptions!C37+Assumptions!C7/H25)</f>
      </c>
      <c r="I27" s="17">
        <f>Assumptions!C19*(Assumptions!C37+Assumptions!C7/Assumptions!C19)/(Assumptions!C37+Assumptions!C7/I25)</f>
      </c>
      <c r="J27" s="17">
        <f>Assumptions!C19*(Assumptions!C37+Assumptions!C7/Assumptions!C19)/(Assumptions!C37+Assumptions!C7/J25)</f>
      </c>
      <c r="K27" s="17">
        <f>Assumptions!C19*(Assumptions!C37+Assumptions!C7/Assumptions!C19)/(Assumptions!C37+Assumptions!C7/K25)</f>
      </c>
    </row>
    <row r="28" spans="2:11" x14ac:dyDescent="0.25">
      <c r="B28" s="9" t="s">
        <v>243</v>
      </c>
      <c r="C28" s="12">
        <f>Assumptions!C44/C27</f>
      </c>
      <c r="D28" s="12">
        <f>Assumptions!C44/D27</f>
      </c>
      <c r="E28" s="12">
        <f>Assumptions!C44/E27</f>
      </c>
      <c r="F28" s="12">
        <f>Assumptions!C44/F27</f>
      </c>
      <c r="G28" s="12">
        <f>Assumptions!C44/G27</f>
      </c>
      <c r="H28" s="12">
        <f>Assumptions!C44/H27</f>
      </c>
      <c r="I28" s="12">
        <f>Assumptions!C44/I27</f>
      </c>
      <c r="J28" s="12">
        <f>Assumptions!C44/J27</f>
      </c>
      <c r="K28" s="12">
        <f>Assumptions!C44/K27</f>
      </c>
    </row>
    <row r="29" spans="2:11" x14ac:dyDescent="0.25">
      <c r="B29" s="9" t="s">
        <v>244</v>
      </c>
      <c r="C29" s="12">
        <f>Assumptions!C45/C26</f>
      </c>
      <c r="D29" s="12">
        <f>Assumptions!C45/D26</f>
      </c>
      <c r="E29" s="12">
        <f>Assumptions!C45/E26</f>
      </c>
      <c r="F29" s="12">
        <f>Assumptions!C45/F26</f>
      </c>
      <c r="G29" s="12">
        <f>Assumptions!C45/G26</f>
      </c>
      <c r="H29" s="12">
        <f>Assumptions!C45/H26</f>
      </c>
      <c r="I29" s="12">
        <f>Assumptions!C45/I26</f>
      </c>
      <c r="J29" s="12">
        <f>Assumptions!C45/J26</f>
      </c>
      <c r="K29" s="12">
        <f>Assumptions!C45/K26</f>
      </c>
    </row>
    <row r="30" spans="2:11" x14ac:dyDescent="0.25">
      <c r="B30" s="9" t="s">
        <v>245</v>
      </c>
      <c r="C30" s="12">
        <f>'Pro-Forma'!C12+C28+C29</f>
      </c>
      <c r="D30" s="12">
        <f>'Pro-Forma'!C12+D28+D29</f>
      </c>
      <c r="E30" s="12">
        <f>'Pro-Forma'!C12+E28+E29</f>
      </c>
      <c r="F30" s="12">
        <f>'Pro-Forma'!C12+F28+F29</f>
      </c>
      <c r="G30" s="12">
        <f>'Pro-Forma'!C12+G28+G29</f>
      </c>
      <c r="H30" s="12">
        <f>'Pro-Forma'!C12+H28+H29</f>
      </c>
      <c r="I30" s="12">
        <f>'Pro-Forma'!C12+I28+I29</f>
      </c>
      <c r="J30" s="12">
        <f>'Pro-Forma'!C12+J28+J29</f>
      </c>
      <c r="K30" s="12">
        <f>'Pro-Forma'!C12+K28+K29</f>
      </c>
    </row>
    <row r="31" spans="2:11" x14ac:dyDescent="0.25">
      <c r="B31" s="9" t="s">
        <v>246</v>
      </c>
      <c r="C31" s="12">
        <f>MAX(0,(C21*(C30+Assumptions!C7/C25)-Assumptions!C30)/(1-C21))</f>
      </c>
      <c r="D31" s="12">
        <f>MAX(0,(D21*(D30+Assumptions!C7/D25)-Assumptions!C30)/(1-D21))</f>
      </c>
      <c r="E31" s="12">
        <f>MAX(0,(E21*(E30+Assumptions!C7/E25)-Assumptions!C30)/(1-E21))</f>
      </c>
      <c r="F31" s="12">
        <f>MAX(0,(F21*(F30+Assumptions!C7/F25)-Assumptions!C30)/(1-F21))</f>
      </c>
      <c r="G31" s="12">
        <f>MAX(0,(G21*(G30+Assumptions!C7/G25)-Assumptions!C30)/(1-G21))</f>
      </c>
      <c r="H31" s="12">
        <f>MAX(0,(H21*(H30+Assumptions!C7/H25)-Assumptions!C30)/(1-H21))</f>
      </c>
      <c r="I31" s="12">
        <f>MAX(0,(I21*(I30+Assumptions!C7/I25)-Assumptions!C30)/(1-I21))</f>
      </c>
      <c r="J31" s="12">
        <f>MAX(0,(J21*(J30+Assumptions!C7/J25)-Assumptions!C30)/(1-J21))</f>
      </c>
      <c r="K31" s="12">
        <f>MAX(0,(K21*(K30+Assumptions!C7/K25)-Assumptions!C30)/(1-K21))</f>
      </c>
    </row>
    <row r="32" spans="2:11" x14ac:dyDescent="0.25">
      <c r="B32" s="9" t="s">
        <v>247</v>
      </c>
      <c r="C32" s="17">
        <f>Assumptions!C49/(C30+C31+0)</f>
      </c>
      <c r="D32" s="17">
        <f>Assumptions!C49/(D30+D31+0)</f>
      </c>
      <c r="E32" s="17">
        <f>Assumptions!C49/(E30+E31+0)</f>
      </c>
      <c r="F32" s="17">
        <f>Assumptions!C49/(F30+F31+0)</f>
      </c>
      <c r="G32" s="17">
        <f>Assumptions!C49/(G30+G31+0)</f>
      </c>
      <c r="H32" s="17">
        <f>Assumptions!C49/(H30+H31+0)</f>
      </c>
      <c r="I32" s="17">
        <f>Assumptions!C49/(I30+I31+0)</f>
      </c>
      <c r="J32" s="17">
        <f>Assumptions!C49/(J30+J31+0)</f>
      </c>
      <c r="K32" s="17">
        <f>Assumptions!C49/(K30+K31+0)</f>
      </c>
    </row>
    <row r="33" spans="2:11" x14ac:dyDescent="0.25">
      <c r="B33" s="9" t="s">
        <v>248</v>
      </c>
      <c r="C33" s="17">
        <f>C25*(1-Assumptions!C50)</f>
      </c>
      <c r="D33" s="17">
        <f>D25*(1-Assumptions!C50)</f>
      </c>
      <c r="E33" s="17">
        <f>E25*(1-Assumptions!C50)</f>
      </c>
      <c r="F33" s="17">
        <f>F25*(1-Assumptions!C50)</f>
      </c>
      <c r="G33" s="17">
        <f>G25*(1-Assumptions!C50)</f>
      </c>
      <c r="H33" s="17">
        <f>H25*(1-Assumptions!C50)</f>
      </c>
      <c r="I33" s="17">
        <f>I25*(1-Assumptions!C50)</f>
      </c>
      <c r="J33" s="17">
        <f>J25*(1-Assumptions!C50)</f>
      </c>
      <c r="K33" s="17">
        <f>K25*(1-Assumptions!C50)</f>
      </c>
    </row>
    <row r="34" spans="2:11" x14ac:dyDescent="0.25">
      <c r="B34" s="9" t="s">
        <v>249</v>
      </c>
      <c r="C34" s="12">
        <f>IF(C32&lt;C33,"cap","discount")</f>
      </c>
      <c r="D34" s="12">
        <f>IF(D32&lt;D33,"cap","discount")</f>
      </c>
      <c r="E34" s="12">
        <f>IF(E32&lt;E33,"cap","discount")</f>
      </c>
      <c r="F34" s="12">
        <f>IF(F32&lt;F33,"cap","discount")</f>
      </c>
      <c r="G34" s="12">
        <f>IF(G32&lt;G33,"cap","discount")</f>
      </c>
      <c r="H34" s="12">
        <f>IF(H32&lt;H33,"cap","discount")</f>
      </c>
      <c r="I34" s="12">
        <f>IF(I32&lt;I33,"cap","discount")</f>
      </c>
      <c r="J34" s="12">
        <f>IF(J32&lt;J33,"cap","discount")</f>
      </c>
      <c r="K34" s="12">
        <f>IF(K32&lt;K33,"cap","discount")</f>
      </c>
    </row>
    <row r="35" spans="2:11" x14ac:dyDescent="0.25">
      <c r="B35" s="9" t="s">
        <v>250</v>
      </c>
      <c r="C35" s="12">
        <f>Assumptions!C48/MIN(C32,C33)</f>
      </c>
      <c r="D35" s="12">
        <f>Assumptions!C48/MIN(D32,D33)</f>
      </c>
      <c r="E35" s="12">
        <f>Assumptions!C48/MIN(E32,E33)</f>
      </c>
      <c r="F35" s="12">
        <f>Assumptions!C48/MIN(F32,F33)</f>
      </c>
      <c r="G35" s="12">
        <f>Assumptions!C48/MIN(G32,G33)</f>
      </c>
      <c r="H35" s="12">
        <f>Assumptions!C48/MIN(H32,H33)</f>
      </c>
      <c r="I35" s="12">
        <f>Assumptions!C48/MIN(I32,I33)</f>
      </c>
      <c r="J35" s="12">
        <f>Assumptions!C48/MIN(J32,J33)</f>
      </c>
      <c r="K35" s="12">
        <f>Assumptions!C48/MIN(K32,K33)</f>
      </c>
    </row>
    <row r="36" spans="2:11" x14ac:dyDescent="0.25">
      <c r="B36" s="9" t="s">
        <v>251</v>
      </c>
      <c r="C36" s="17">
        <f>Assumptions!C52/(C30+C31+C35)</f>
      </c>
      <c r="D36" s="17">
        <f>Assumptions!C52/(D30+D31+D35)</f>
      </c>
      <c r="E36" s="17">
        <f>Assumptions!C52/(E30+E31+E35)</f>
      </c>
      <c r="F36" s="17">
        <f>Assumptions!C52/(F30+F31+F35)</f>
      </c>
      <c r="G36" s="17">
        <f>Assumptions!C52/(G30+G31+G35)</f>
      </c>
      <c r="H36" s="17">
        <f>Assumptions!C52/(H30+H31+H35)</f>
      </c>
      <c r="I36" s="17">
        <f>Assumptions!C52/(I30+I31+I35)</f>
      </c>
      <c r="J36" s="17">
        <f>Assumptions!C52/(J30+J31+J35)</f>
      </c>
      <c r="K36" s="17">
        <f>Assumptions!C52/(K30+K31+K35)</f>
      </c>
    </row>
    <row r="37" spans="2:11" x14ac:dyDescent="0.25">
      <c r="B37" s="9" t="s">
        <v>252</v>
      </c>
      <c r="C37" s="17">
        <f>C25*(1-Assumptions!C53)</f>
      </c>
      <c r="D37" s="17">
        <f>D25*(1-Assumptions!C53)</f>
      </c>
      <c r="E37" s="17">
        <f>E25*(1-Assumptions!C53)</f>
      </c>
      <c r="F37" s="17">
        <f>F25*(1-Assumptions!C53)</f>
      </c>
      <c r="G37" s="17">
        <f>G25*(1-Assumptions!C53)</f>
      </c>
      <c r="H37" s="17">
        <f>H25*(1-Assumptions!C53)</f>
      </c>
      <c r="I37" s="17">
        <f>I25*(1-Assumptions!C53)</f>
      </c>
      <c r="J37" s="17">
        <f>J25*(1-Assumptions!C53)</f>
      </c>
      <c r="K37" s="17">
        <f>K25*(1-Assumptions!C53)</f>
      </c>
    </row>
    <row r="38" spans="2:11" x14ac:dyDescent="0.25">
      <c r="B38" s="9" t="s">
        <v>253</v>
      </c>
      <c r="C38" s="12">
        <f>IF(C36&lt;C37,"cap","discount")</f>
      </c>
      <c r="D38" s="12">
        <f>IF(D36&lt;D37,"cap","discount")</f>
      </c>
      <c r="E38" s="12">
        <f>IF(E36&lt;E37,"cap","discount")</f>
      </c>
      <c r="F38" s="12">
        <f>IF(F36&lt;F37,"cap","discount")</f>
      </c>
      <c r="G38" s="12">
        <f>IF(G36&lt;G37,"cap","discount")</f>
      </c>
      <c r="H38" s="12">
        <f>IF(H36&lt;H37,"cap","discount")</f>
      </c>
      <c r="I38" s="12">
        <f>IF(I36&lt;I37,"cap","discount")</f>
      </c>
      <c r="J38" s="12">
        <f>IF(J36&lt;J37,"cap","discount")</f>
      </c>
      <c r="K38" s="12">
        <f>IF(K36&lt;K37,"cap","discount")</f>
      </c>
    </row>
    <row r="39" spans="2:11" x14ac:dyDescent="0.25">
      <c r="B39" s="9" t="s">
        <v>254</v>
      </c>
      <c r="C39" s="12">
        <f>Assumptions!C51/MIN(C36,C37)</f>
      </c>
      <c r="D39" s="12">
        <f>Assumptions!C51/MIN(D36,D37)</f>
      </c>
      <c r="E39" s="12">
        <f>Assumptions!C51/MIN(E36,E37)</f>
      </c>
      <c r="F39" s="12">
        <f>Assumptions!C51/MIN(F36,F37)</f>
      </c>
      <c r="G39" s="12">
        <f>Assumptions!C51/MIN(G36,G37)</f>
      </c>
      <c r="H39" s="12">
        <f>Assumptions!C51/MIN(H36,H37)</f>
      </c>
      <c r="I39" s="12">
        <f>Assumptions!C51/MIN(I36,I37)</f>
      </c>
      <c r="J39" s="12">
        <f>Assumptions!C51/MIN(J36,J37)</f>
      </c>
      <c r="K39" s="12">
        <f>Assumptions!C51/MIN(K36,K37)</f>
      </c>
    </row>
    <row r="40" spans="2:11" x14ac:dyDescent="0.25">
      <c r="B40" s="9" t="s">
        <v>255</v>
      </c>
      <c r="C40" s="12">
        <f>C30+C31+C35+C39</f>
      </c>
      <c r="D40" s="12">
        <f>D30+D31+D35+D39</f>
      </c>
      <c r="E40" s="12">
        <f>E30+E31+E35+E39</f>
      </c>
      <c r="F40" s="12">
        <f>F30+F31+F35+F39</f>
      </c>
      <c r="G40" s="12">
        <f>G30+G31+G35+G39</f>
      </c>
      <c r="H40" s="12">
        <f>H30+H31+H35+H39</f>
      </c>
      <c r="I40" s="12">
        <f>I30+I31+I35+I39</f>
      </c>
      <c r="J40" s="12">
        <f>J30+J31+J35+J39</f>
      </c>
      <c r="K40" s="12">
        <f>K30+K31+K35+K39</f>
      </c>
    </row>
    <row r="41" spans="2:11" x14ac:dyDescent="0.25">
      <c r="B41" s="9" t="s">
        <v>256</v>
      </c>
      <c r="C41" s="17">
        <f>C22/C40</f>
      </c>
      <c r="D41" s="17">
        <f>D22/D40</f>
      </c>
      <c r="E41" s="17">
        <f>E22/E40</f>
      </c>
      <c r="F41" s="17">
        <f>F22/F40</f>
      </c>
      <c r="G41" s="17">
        <f>G22/G40</f>
      </c>
      <c r="H41" s="17">
        <f>H22/H40</f>
      </c>
      <c r="I41" s="17">
        <f>I22/I40</f>
      </c>
      <c r="J41" s="17">
        <f>J22/J40</f>
      </c>
      <c r="K41" s="17">
        <f>K22/K40</f>
      </c>
    </row>
    <row r="42" spans="2:11" x14ac:dyDescent="0.25">
      <c r="B42" s="9" t="s">
        <v>257</v>
      </c>
      <c r="C42" s="17">
        <f>Assumptions!C20*(Assumptions!C37+Assumptions!C7/Assumptions!C20)/(Assumptions!C37+Assumptions!C7/C41)</f>
      </c>
      <c r="D42" s="17">
        <f>Assumptions!C20*(Assumptions!C37+Assumptions!C7/Assumptions!C20)/(Assumptions!C37+Assumptions!C7/D41)</f>
      </c>
      <c r="E42" s="17">
        <f>Assumptions!C20*(Assumptions!C37+Assumptions!C7/Assumptions!C20)/(Assumptions!C37+Assumptions!C7/E41)</f>
      </c>
      <c r="F42" s="17">
        <f>Assumptions!C20*(Assumptions!C37+Assumptions!C7/Assumptions!C20)/(Assumptions!C37+Assumptions!C7/F41)</f>
      </c>
      <c r="G42" s="17">
        <f>Assumptions!C20*(Assumptions!C37+Assumptions!C7/Assumptions!C20)/(Assumptions!C37+Assumptions!C7/G41)</f>
      </c>
      <c r="H42" s="17">
        <f>Assumptions!C20*(Assumptions!C37+Assumptions!C7/Assumptions!C20)/(Assumptions!C37+Assumptions!C7/H41)</f>
      </c>
      <c r="I42" s="17">
        <f>Assumptions!C20*(Assumptions!C37+Assumptions!C7/Assumptions!C20)/(Assumptions!C37+Assumptions!C7/I41)</f>
      </c>
      <c r="J42" s="17">
        <f>Assumptions!C20*(Assumptions!C37+Assumptions!C7/Assumptions!C20)/(Assumptions!C37+Assumptions!C7/J41)</f>
      </c>
      <c r="K42" s="17">
        <f>Assumptions!C20*(Assumptions!C37+Assumptions!C7/Assumptions!C20)/(Assumptions!C37+Assumptions!C7/K41)</f>
      </c>
    </row>
    <row r="43" spans="2:11" x14ac:dyDescent="0.25">
      <c r="B43" s="9" t="s">
        <v>258</v>
      </c>
      <c r="C43" s="17">
        <f>Assumptions!C19*(Assumptions!C37+Assumptions!C7/Assumptions!C19)/(Assumptions!C37+Assumptions!C7/C41)</f>
      </c>
      <c r="D43" s="17">
        <f>Assumptions!C19*(Assumptions!C37+Assumptions!C7/Assumptions!C19)/(Assumptions!C37+Assumptions!C7/D41)</f>
      </c>
      <c r="E43" s="17">
        <f>Assumptions!C19*(Assumptions!C37+Assumptions!C7/Assumptions!C19)/(Assumptions!C37+Assumptions!C7/E41)</f>
      </c>
      <c r="F43" s="17">
        <f>Assumptions!C19*(Assumptions!C37+Assumptions!C7/Assumptions!C19)/(Assumptions!C37+Assumptions!C7/F41)</f>
      </c>
      <c r="G43" s="17">
        <f>Assumptions!C19*(Assumptions!C37+Assumptions!C7/Assumptions!C19)/(Assumptions!C37+Assumptions!C7/G41)</f>
      </c>
      <c r="H43" s="17">
        <f>Assumptions!C19*(Assumptions!C37+Assumptions!C7/Assumptions!C19)/(Assumptions!C37+Assumptions!C7/H41)</f>
      </c>
      <c r="I43" s="17">
        <f>Assumptions!C19*(Assumptions!C37+Assumptions!C7/Assumptions!C19)/(Assumptions!C37+Assumptions!C7/I41)</f>
      </c>
      <c r="J43" s="17">
        <f>Assumptions!C19*(Assumptions!C37+Assumptions!C7/Assumptions!C19)/(Assumptions!C37+Assumptions!C7/J41)</f>
      </c>
      <c r="K43" s="17">
        <f>Assumptions!C19*(Assumptions!C37+Assumptions!C7/Assumptions!C19)/(Assumptions!C37+Assumptions!C7/K41)</f>
      </c>
    </row>
    <row r="44" spans="2:11" x14ac:dyDescent="0.25">
      <c r="B44" s="9" t="s">
        <v>259</v>
      </c>
      <c r="C44" s="12">
        <f>Assumptions!C44/C43</f>
      </c>
      <c r="D44" s="12">
        <f>Assumptions!C44/D43</f>
      </c>
      <c r="E44" s="12">
        <f>Assumptions!C44/E43</f>
      </c>
      <c r="F44" s="12">
        <f>Assumptions!C44/F43</f>
      </c>
      <c r="G44" s="12">
        <f>Assumptions!C44/G43</f>
      </c>
      <c r="H44" s="12">
        <f>Assumptions!C44/H43</f>
      </c>
      <c r="I44" s="12">
        <f>Assumptions!C44/I43</f>
      </c>
      <c r="J44" s="12">
        <f>Assumptions!C44/J43</f>
      </c>
      <c r="K44" s="12">
        <f>Assumptions!C44/K43</f>
      </c>
    </row>
    <row r="45" spans="2:11" x14ac:dyDescent="0.25">
      <c r="B45" s="9" t="s">
        <v>260</v>
      </c>
      <c r="C45" s="12">
        <f>Assumptions!C45/C42</f>
      </c>
      <c r="D45" s="12">
        <f>Assumptions!C45/D42</f>
      </c>
      <c r="E45" s="12">
        <f>Assumptions!C45/E42</f>
      </c>
      <c r="F45" s="12">
        <f>Assumptions!C45/F42</f>
      </c>
      <c r="G45" s="12">
        <f>Assumptions!C45/G42</f>
      </c>
      <c r="H45" s="12">
        <f>Assumptions!C45/H42</f>
      </c>
      <c r="I45" s="12">
        <f>Assumptions!C45/I42</f>
      </c>
      <c r="J45" s="12">
        <f>Assumptions!C45/J42</f>
      </c>
      <c r="K45" s="12">
        <f>Assumptions!C45/K42</f>
      </c>
    </row>
    <row r="46" spans="2:11" x14ac:dyDescent="0.25">
      <c r="B46" s="9" t="s">
        <v>261</v>
      </c>
      <c r="C46" s="12">
        <f>'Pro-Forma'!C12+C44+C45</f>
      </c>
      <c r="D46" s="12">
        <f>'Pro-Forma'!C12+D44+D45</f>
      </c>
      <c r="E46" s="12">
        <f>'Pro-Forma'!C12+E44+E45</f>
      </c>
      <c r="F46" s="12">
        <f>'Pro-Forma'!C12+F44+F45</f>
      </c>
      <c r="G46" s="12">
        <f>'Pro-Forma'!C12+G44+G45</f>
      </c>
      <c r="H46" s="12">
        <f>'Pro-Forma'!C12+H44+H45</f>
      </c>
      <c r="I46" s="12">
        <f>'Pro-Forma'!C12+I44+I45</f>
      </c>
      <c r="J46" s="12">
        <f>'Pro-Forma'!C12+J44+J45</f>
      </c>
      <c r="K46" s="12">
        <f>'Pro-Forma'!C12+K44+K45</f>
      </c>
    </row>
    <row r="47" spans="2:11" x14ac:dyDescent="0.25">
      <c r="B47" s="9" t="s">
        <v>262</v>
      </c>
      <c r="C47" s="12">
        <f>MAX(0,(C21*(C46+C35+C39+Assumptions!C7/C41)-Assumptions!C30)/(1-C21))</f>
      </c>
      <c r="D47" s="12">
        <f>MAX(0,(D21*(D46+D35+D39+Assumptions!C7/D41)-Assumptions!C30)/(1-D21))</f>
      </c>
      <c r="E47" s="12">
        <f>MAX(0,(E21*(E46+E35+E39+Assumptions!C7/E41)-Assumptions!C30)/(1-E21))</f>
      </c>
      <c r="F47" s="12">
        <f>MAX(0,(F21*(F46+F35+F39+Assumptions!C7/F41)-Assumptions!C30)/(1-F21))</f>
      </c>
      <c r="G47" s="12">
        <f>MAX(0,(G21*(G46+G35+G39+Assumptions!C7/G41)-Assumptions!C30)/(1-G21))</f>
      </c>
      <c r="H47" s="12">
        <f>MAX(0,(H21*(H46+H35+H39+Assumptions!C7/H41)-Assumptions!C30)/(1-H21))</f>
      </c>
      <c r="I47" s="12">
        <f>MAX(0,(I21*(I46+I35+I39+Assumptions!C7/I41)-Assumptions!C30)/(1-I21))</f>
      </c>
      <c r="J47" s="12">
        <f>MAX(0,(J21*(J46+J35+J39+Assumptions!C7/J41)-Assumptions!C30)/(1-J21))</f>
      </c>
      <c r="K47" s="12">
        <f>MAX(0,(K21*(K46+K35+K39+Assumptions!C7/K41)-Assumptions!C30)/(1-K21))</f>
      </c>
    </row>
    <row r="48" spans="2:11" x14ac:dyDescent="0.25">
      <c r="B48" s="9" t="s">
        <v>263</v>
      </c>
      <c r="C48" s="17">
        <f>Assumptions!C49/(C46+C47+C39)</f>
      </c>
      <c r="D48" s="17">
        <f>Assumptions!C49/(D46+D47+D39)</f>
      </c>
      <c r="E48" s="17">
        <f>Assumptions!C49/(E46+E47+E39)</f>
      </c>
      <c r="F48" s="17">
        <f>Assumptions!C49/(F46+F47+F39)</f>
      </c>
      <c r="G48" s="17">
        <f>Assumptions!C49/(G46+G47+G39)</f>
      </c>
      <c r="H48" s="17">
        <f>Assumptions!C49/(H46+H47+H39)</f>
      </c>
      <c r="I48" s="17">
        <f>Assumptions!C49/(I46+I47+I39)</f>
      </c>
      <c r="J48" s="17">
        <f>Assumptions!C49/(J46+J47+J39)</f>
      </c>
      <c r="K48" s="17">
        <f>Assumptions!C49/(K46+K47+K39)</f>
      </c>
    </row>
    <row r="49" spans="2:11" x14ac:dyDescent="0.25">
      <c r="B49" s="9" t="s">
        <v>264</v>
      </c>
      <c r="C49" s="17">
        <f>C41*(1-Assumptions!C50)</f>
      </c>
      <c r="D49" s="17">
        <f>D41*(1-Assumptions!C50)</f>
      </c>
      <c r="E49" s="17">
        <f>E41*(1-Assumptions!C50)</f>
      </c>
      <c r="F49" s="17">
        <f>F41*(1-Assumptions!C50)</f>
      </c>
      <c r="G49" s="17">
        <f>G41*(1-Assumptions!C50)</f>
      </c>
      <c r="H49" s="17">
        <f>H41*(1-Assumptions!C50)</f>
      </c>
      <c r="I49" s="17">
        <f>I41*(1-Assumptions!C50)</f>
      </c>
      <c r="J49" s="17">
        <f>J41*(1-Assumptions!C50)</f>
      </c>
      <c r="K49" s="17">
        <f>K41*(1-Assumptions!C50)</f>
      </c>
    </row>
    <row r="50" spans="2:11" x14ac:dyDescent="0.25">
      <c r="B50" s="9" t="s">
        <v>265</v>
      </c>
      <c r="C50" s="12">
        <f>IF(C48&lt;C49,"cap","discount")</f>
      </c>
      <c r="D50" s="12">
        <f>IF(D48&lt;D49,"cap","discount")</f>
      </c>
      <c r="E50" s="12">
        <f>IF(E48&lt;E49,"cap","discount")</f>
      </c>
      <c r="F50" s="12">
        <f>IF(F48&lt;F49,"cap","discount")</f>
      </c>
      <c r="G50" s="12">
        <f>IF(G48&lt;G49,"cap","discount")</f>
      </c>
      <c r="H50" s="12">
        <f>IF(H48&lt;H49,"cap","discount")</f>
      </c>
      <c r="I50" s="12">
        <f>IF(I48&lt;I49,"cap","discount")</f>
      </c>
      <c r="J50" s="12">
        <f>IF(J48&lt;J49,"cap","discount")</f>
      </c>
      <c r="K50" s="12">
        <f>IF(K48&lt;K49,"cap","discount")</f>
      </c>
    </row>
    <row r="51" spans="2:11" x14ac:dyDescent="0.25">
      <c r="B51" s="9" t="s">
        <v>266</v>
      </c>
      <c r="C51" s="12">
        <f>Assumptions!C48/MIN(C48,C49)</f>
      </c>
      <c r="D51" s="12">
        <f>Assumptions!C48/MIN(D48,D49)</f>
      </c>
      <c r="E51" s="12">
        <f>Assumptions!C48/MIN(E48,E49)</f>
      </c>
      <c r="F51" s="12">
        <f>Assumptions!C48/MIN(F48,F49)</f>
      </c>
      <c r="G51" s="12">
        <f>Assumptions!C48/MIN(G48,G49)</f>
      </c>
      <c r="H51" s="12">
        <f>Assumptions!C48/MIN(H48,H49)</f>
      </c>
      <c r="I51" s="12">
        <f>Assumptions!C48/MIN(I48,I49)</f>
      </c>
      <c r="J51" s="12">
        <f>Assumptions!C48/MIN(J48,J49)</f>
      </c>
      <c r="K51" s="12">
        <f>Assumptions!C48/MIN(K48,K49)</f>
      </c>
    </row>
    <row r="52" spans="2:11" x14ac:dyDescent="0.25">
      <c r="B52" s="9" t="s">
        <v>267</v>
      </c>
      <c r="C52" s="17">
        <f>Assumptions!C52/(C46+C47+C51)</f>
      </c>
      <c r="D52" s="17">
        <f>Assumptions!C52/(D46+D47+D51)</f>
      </c>
      <c r="E52" s="17">
        <f>Assumptions!C52/(E46+E47+E51)</f>
      </c>
      <c r="F52" s="17">
        <f>Assumptions!C52/(F46+F47+F51)</f>
      </c>
      <c r="G52" s="17">
        <f>Assumptions!C52/(G46+G47+G51)</f>
      </c>
      <c r="H52" s="17">
        <f>Assumptions!C52/(H46+H47+H51)</f>
      </c>
      <c r="I52" s="17">
        <f>Assumptions!C52/(I46+I47+I51)</f>
      </c>
      <c r="J52" s="17">
        <f>Assumptions!C52/(J46+J47+J51)</f>
      </c>
      <c r="K52" s="17">
        <f>Assumptions!C52/(K46+K47+K51)</f>
      </c>
    </row>
    <row r="53" spans="2:11" x14ac:dyDescent="0.25">
      <c r="B53" s="9" t="s">
        <v>268</v>
      </c>
      <c r="C53" s="17">
        <f>C41*(1-Assumptions!C53)</f>
      </c>
      <c r="D53" s="17">
        <f>D41*(1-Assumptions!C53)</f>
      </c>
      <c r="E53" s="17">
        <f>E41*(1-Assumptions!C53)</f>
      </c>
      <c r="F53" s="17">
        <f>F41*(1-Assumptions!C53)</f>
      </c>
      <c r="G53" s="17">
        <f>G41*(1-Assumptions!C53)</f>
      </c>
      <c r="H53" s="17">
        <f>H41*(1-Assumptions!C53)</f>
      </c>
      <c r="I53" s="17">
        <f>I41*(1-Assumptions!C53)</f>
      </c>
      <c r="J53" s="17">
        <f>J41*(1-Assumptions!C53)</f>
      </c>
      <c r="K53" s="17">
        <f>K41*(1-Assumptions!C53)</f>
      </c>
    </row>
    <row r="54" spans="2:11" x14ac:dyDescent="0.25">
      <c r="B54" s="9" t="s">
        <v>269</v>
      </c>
      <c r="C54" s="12">
        <f>IF(C52&lt;C53,"cap","discount")</f>
      </c>
      <c r="D54" s="12">
        <f>IF(D52&lt;D53,"cap","discount")</f>
      </c>
      <c r="E54" s="12">
        <f>IF(E52&lt;E53,"cap","discount")</f>
      </c>
      <c r="F54" s="12">
        <f>IF(F52&lt;F53,"cap","discount")</f>
      </c>
      <c r="G54" s="12">
        <f>IF(G52&lt;G53,"cap","discount")</f>
      </c>
      <c r="H54" s="12">
        <f>IF(H52&lt;H53,"cap","discount")</f>
      </c>
      <c r="I54" s="12">
        <f>IF(I52&lt;I53,"cap","discount")</f>
      </c>
      <c r="J54" s="12">
        <f>IF(J52&lt;J53,"cap","discount")</f>
      </c>
      <c r="K54" s="12">
        <f>IF(K52&lt;K53,"cap","discount")</f>
      </c>
    </row>
    <row r="55" spans="2:11" x14ac:dyDescent="0.25">
      <c r="B55" s="9" t="s">
        <v>270</v>
      </c>
      <c r="C55" s="12">
        <f>Assumptions!C51/MIN(C52,C53)</f>
      </c>
      <c r="D55" s="12">
        <f>Assumptions!C51/MIN(D52,D53)</f>
      </c>
      <c r="E55" s="12">
        <f>Assumptions!C51/MIN(E52,E53)</f>
      </c>
      <c r="F55" s="12">
        <f>Assumptions!C51/MIN(F52,F53)</f>
      </c>
      <c r="G55" s="12">
        <f>Assumptions!C51/MIN(G52,G53)</f>
      </c>
      <c r="H55" s="12">
        <f>Assumptions!C51/MIN(H52,H53)</f>
      </c>
      <c r="I55" s="12">
        <f>Assumptions!C51/MIN(I52,I53)</f>
      </c>
      <c r="J55" s="12">
        <f>Assumptions!C51/MIN(J52,J53)</f>
      </c>
      <c r="K55" s="12">
        <f>Assumptions!C51/MIN(K52,K53)</f>
      </c>
    </row>
    <row r="56" spans="2:11" x14ac:dyDescent="0.25">
      <c r="B56" s="9" t="s">
        <v>271</v>
      </c>
      <c r="C56" s="12">
        <f>C46+C47+C51+C55</f>
      </c>
      <c r="D56" s="12">
        <f>D46+D47+D51+D55</f>
      </c>
      <c r="E56" s="12">
        <f>E46+E47+E51+E55</f>
      </c>
      <c r="F56" s="12">
        <f>F46+F47+F51+F55</f>
      </c>
      <c r="G56" s="12">
        <f>G46+G47+G51+G55</f>
      </c>
      <c r="H56" s="12">
        <f>H46+H47+H51+H55</f>
      </c>
      <c r="I56" s="12">
        <f>I46+I47+I51+I55</f>
      </c>
      <c r="J56" s="12">
        <f>J46+J47+J51+J55</f>
      </c>
      <c r="K56" s="12">
        <f>K46+K47+K51+K55</f>
      </c>
    </row>
    <row r="57" spans="2:11" x14ac:dyDescent="0.25">
      <c r="B57" s="9" t="s">
        <v>272</v>
      </c>
      <c r="C57" s="17">
        <f>C22/C56</f>
      </c>
      <c r="D57" s="17">
        <f>D22/D56</f>
      </c>
      <c r="E57" s="17">
        <f>E22/E56</f>
      </c>
      <c r="F57" s="17">
        <f>F22/F56</f>
      </c>
      <c r="G57" s="17">
        <f>G22/G56</f>
      </c>
      <c r="H57" s="17">
        <f>H22/H56</f>
      </c>
      <c r="I57" s="17">
        <f>I22/I56</f>
      </c>
      <c r="J57" s="17">
        <f>J22/J56</f>
      </c>
      <c r="K57" s="17">
        <f>K22/K56</f>
      </c>
    </row>
    <row r="58" spans="2:11" x14ac:dyDescent="0.25">
      <c r="B58" s="9" t="s">
        <v>273</v>
      </c>
      <c r="C58" s="17">
        <f>Assumptions!C20*(Assumptions!C37+Assumptions!C7/Assumptions!C20)/(Assumptions!C37+Assumptions!C7/C57)</f>
      </c>
      <c r="D58" s="17">
        <f>Assumptions!C20*(Assumptions!C37+Assumptions!C7/Assumptions!C20)/(Assumptions!C37+Assumptions!C7/D57)</f>
      </c>
      <c r="E58" s="17">
        <f>Assumptions!C20*(Assumptions!C37+Assumptions!C7/Assumptions!C20)/(Assumptions!C37+Assumptions!C7/E57)</f>
      </c>
      <c r="F58" s="17">
        <f>Assumptions!C20*(Assumptions!C37+Assumptions!C7/Assumptions!C20)/(Assumptions!C37+Assumptions!C7/F57)</f>
      </c>
      <c r="G58" s="17">
        <f>Assumptions!C20*(Assumptions!C37+Assumptions!C7/Assumptions!C20)/(Assumptions!C37+Assumptions!C7/G57)</f>
      </c>
      <c r="H58" s="17">
        <f>Assumptions!C20*(Assumptions!C37+Assumptions!C7/Assumptions!C20)/(Assumptions!C37+Assumptions!C7/H57)</f>
      </c>
      <c r="I58" s="17">
        <f>Assumptions!C20*(Assumptions!C37+Assumptions!C7/Assumptions!C20)/(Assumptions!C37+Assumptions!C7/I57)</f>
      </c>
      <c r="J58" s="17">
        <f>Assumptions!C20*(Assumptions!C37+Assumptions!C7/Assumptions!C20)/(Assumptions!C37+Assumptions!C7/J57)</f>
      </c>
      <c r="K58" s="17">
        <f>Assumptions!C20*(Assumptions!C37+Assumptions!C7/Assumptions!C20)/(Assumptions!C37+Assumptions!C7/K57)</f>
      </c>
    </row>
    <row r="59" spans="2:11" x14ac:dyDescent="0.25">
      <c r="B59" s="9" t="s">
        <v>274</v>
      </c>
      <c r="C59" s="17">
        <f>Assumptions!C19*(Assumptions!C37+Assumptions!C7/Assumptions!C19)/(Assumptions!C37+Assumptions!C7/C57)</f>
      </c>
      <c r="D59" s="17">
        <f>Assumptions!C19*(Assumptions!C37+Assumptions!C7/Assumptions!C19)/(Assumptions!C37+Assumptions!C7/D57)</f>
      </c>
      <c r="E59" s="17">
        <f>Assumptions!C19*(Assumptions!C37+Assumptions!C7/Assumptions!C19)/(Assumptions!C37+Assumptions!C7/E57)</f>
      </c>
      <c r="F59" s="17">
        <f>Assumptions!C19*(Assumptions!C37+Assumptions!C7/Assumptions!C19)/(Assumptions!C37+Assumptions!C7/F57)</f>
      </c>
      <c r="G59" s="17">
        <f>Assumptions!C19*(Assumptions!C37+Assumptions!C7/Assumptions!C19)/(Assumptions!C37+Assumptions!C7/G57)</f>
      </c>
      <c r="H59" s="17">
        <f>Assumptions!C19*(Assumptions!C37+Assumptions!C7/Assumptions!C19)/(Assumptions!C37+Assumptions!C7/H57)</f>
      </c>
      <c r="I59" s="17">
        <f>Assumptions!C19*(Assumptions!C37+Assumptions!C7/Assumptions!C19)/(Assumptions!C37+Assumptions!C7/I57)</f>
      </c>
      <c r="J59" s="17">
        <f>Assumptions!C19*(Assumptions!C37+Assumptions!C7/Assumptions!C19)/(Assumptions!C37+Assumptions!C7/J57)</f>
      </c>
      <c r="K59" s="17">
        <f>Assumptions!C19*(Assumptions!C37+Assumptions!C7/Assumptions!C19)/(Assumptions!C37+Assumptions!C7/K57)</f>
      </c>
    </row>
    <row r="60" spans="2:11" x14ac:dyDescent="0.25">
      <c r="B60" s="9" t="s">
        <v>275</v>
      </c>
      <c r="C60" s="12">
        <f>Assumptions!C44/C59</f>
      </c>
      <c r="D60" s="12">
        <f>Assumptions!C44/D59</f>
      </c>
      <c r="E60" s="12">
        <f>Assumptions!C44/E59</f>
      </c>
      <c r="F60" s="12">
        <f>Assumptions!C44/F59</f>
      </c>
      <c r="G60" s="12">
        <f>Assumptions!C44/G59</f>
      </c>
      <c r="H60" s="12">
        <f>Assumptions!C44/H59</f>
      </c>
      <c r="I60" s="12">
        <f>Assumptions!C44/I59</f>
      </c>
      <c r="J60" s="12">
        <f>Assumptions!C44/J59</f>
      </c>
      <c r="K60" s="12">
        <f>Assumptions!C44/K59</f>
      </c>
    </row>
    <row r="61" spans="2:11" x14ac:dyDescent="0.25">
      <c r="B61" s="9" t="s">
        <v>276</v>
      </c>
      <c r="C61" s="12">
        <f>Assumptions!C45/C58</f>
      </c>
      <c r="D61" s="12">
        <f>Assumptions!C45/D58</f>
      </c>
      <c r="E61" s="12">
        <f>Assumptions!C45/E58</f>
      </c>
      <c r="F61" s="12">
        <f>Assumptions!C45/F58</f>
      </c>
      <c r="G61" s="12">
        <f>Assumptions!C45/G58</f>
      </c>
      <c r="H61" s="12">
        <f>Assumptions!C45/H58</f>
      </c>
      <c r="I61" s="12">
        <f>Assumptions!C45/I58</f>
      </c>
      <c r="J61" s="12">
        <f>Assumptions!C45/J58</f>
      </c>
      <c r="K61" s="12">
        <f>Assumptions!C45/K58</f>
      </c>
    </row>
    <row r="62" spans="2:11" x14ac:dyDescent="0.25">
      <c r="B62" s="9" t="s">
        <v>277</v>
      </c>
      <c r="C62" s="12">
        <f>'Pro-Forma'!C12+C60+C61</f>
      </c>
      <c r="D62" s="12">
        <f>'Pro-Forma'!C12+D60+D61</f>
      </c>
      <c r="E62" s="12">
        <f>'Pro-Forma'!C12+E60+E61</f>
      </c>
      <c r="F62" s="12">
        <f>'Pro-Forma'!C12+F60+F61</f>
      </c>
      <c r="G62" s="12">
        <f>'Pro-Forma'!C12+G60+G61</f>
      </c>
      <c r="H62" s="12">
        <f>'Pro-Forma'!C12+H60+H61</f>
      </c>
      <c r="I62" s="12">
        <f>'Pro-Forma'!C12+I60+I61</f>
      </c>
      <c r="J62" s="12">
        <f>'Pro-Forma'!C12+J60+J61</f>
      </c>
      <c r="K62" s="12">
        <f>'Pro-Forma'!C12+K60+K61</f>
      </c>
    </row>
    <row r="63" spans="2:11" x14ac:dyDescent="0.25">
      <c r="B63" s="9" t="s">
        <v>278</v>
      </c>
      <c r="C63" s="12">
        <f>MAX(0,(C21*(C62+C51+C55+Assumptions!C7/C57)-Assumptions!C30)/(1-C21))</f>
      </c>
      <c r="D63" s="12">
        <f>MAX(0,(D21*(D62+D51+D55+Assumptions!C7/D57)-Assumptions!C30)/(1-D21))</f>
      </c>
      <c r="E63" s="12">
        <f>MAX(0,(E21*(E62+E51+E55+Assumptions!C7/E57)-Assumptions!C30)/(1-E21))</f>
      </c>
      <c r="F63" s="12">
        <f>MAX(0,(F21*(F62+F51+F55+Assumptions!C7/F57)-Assumptions!C30)/(1-F21))</f>
      </c>
      <c r="G63" s="12">
        <f>MAX(0,(G21*(G62+G51+G55+Assumptions!C7/G57)-Assumptions!C30)/(1-G21))</f>
      </c>
      <c r="H63" s="12">
        <f>MAX(0,(H21*(H62+H51+H55+Assumptions!C7/H57)-Assumptions!C30)/(1-H21))</f>
      </c>
      <c r="I63" s="12">
        <f>MAX(0,(I21*(I62+I51+I55+Assumptions!C7/I57)-Assumptions!C30)/(1-I21))</f>
      </c>
      <c r="J63" s="12">
        <f>MAX(0,(J21*(J62+J51+J55+Assumptions!C7/J57)-Assumptions!C30)/(1-J21))</f>
      </c>
      <c r="K63" s="12">
        <f>MAX(0,(K21*(K62+K51+K55+Assumptions!C7/K57)-Assumptions!C30)/(1-K21))</f>
      </c>
    </row>
    <row r="64" spans="2:11" x14ac:dyDescent="0.25">
      <c r="B64" s="9" t="s">
        <v>279</v>
      </c>
      <c r="C64" s="17">
        <f>Assumptions!C49/(C62+C63+C55)</f>
      </c>
      <c r="D64" s="17">
        <f>Assumptions!C49/(D62+D63+D55)</f>
      </c>
      <c r="E64" s="17">
        <f>Assumptions!C49/(E62+E63+E55)</f>
      </c>
      <c r="F64" s="17">
        <f>Assumptions!C49/(F62+F63+F55)</f>
      </c>
      <c r="G64" s="17">
        <f>Assumptions!C49/(G62+G63+G55)</f>
      </c>
      <c r="H64" s="17">
        <f>Assumptions!C49/(H62+H63+H55)</f>
      </c>
      <c r="I64" s="17">
        <f>Assumptions!C49/(I62+I63+I55)</f>
      </c>
      <c r="J64" s="17">
        <f>Assumptions!C49/(J62+J63+J55)</f>
      </c>
      <c r="K64" s="17">
        <f>Assumptions!C49/(K62+K63+K55)</f>
      </c>
    </row>
    <row r="65" spans="2:11" x14ac:dyDescent="0.25">
      <c r="B65" s="9" t="s">
        <v>280</v>
      </c>
      <c r="C65" s="17">
        <f>C57*(1-Assumptions!C50)</f>
      </c>
      <c r="D65" s="17">
        <f>D57*(1-Assumptions!C50)</f>
      </c>
      <c r="E65" s="17">
        <f>E57*(1-Assumptions!C50)</f>
      </c>
      <c r="F65" s="17">
        <f>F57*(1-Assumptions!C50)</f>
      </c>
      <c r="G65" s="17">
        <f>G57*(1-Assumptions!C50)</f>
      </c>
      <c r="H65" s="17">
        <f>H57*(1-Assumptions!C50)</f>
      </c>
      <c r="I65" s="17">
        <f>I57*(1-Assumptions!C50)</f>
      </c>
      <c r="J65" s="17">
        <f>J57*(1-Assumptions!C50)</f>
      </c>
      <c r="K65" s="17">
        <f>K57*(1-Assumptions!C50)</f>
      </c>
    </row>
    <row r="66" spans="2:11" x14ac:dyDescent="0.25">
      <c r="B66" s="9" t="s">
        <v>281</v>
      </c>
      <c r="C66" s="12">
        <f>IF(C64&lt;C65,"cap","discount")</f>
      </c>
      <c r="D66" s="12">
        <f>IF(D64&lt;D65,"cap","discount")</f>
      </c>
      <c r="E66" s="12">
        <f>IF(E64&lt;E65,"cap","discount")</f>
      </c>
      <c r="F66" s="12">
        <f>IF(F64&lt;F65,"cap","discount")</f>
      </c>
      <c r="G66" s="12">
        <f>IF(G64&lt;G65,"cap","discount")</f>
      </c>
      <c r="H66" s="12">
        <f>IF(H64&lt;H65,"cap","discount")</f>
      </c>
      <c r="I66" s="12">
        <f>IF(I64&lt;I65,"cap","discount")</f>
      </c>
      <c r="J66" s="12">
        <f>IF(J64&lt;J65,"cap","discount")</f>
      </c>
      <c r="K66" s="12">
        <f>IF(K64&lt;K65,"cap","discount")</f>
      </c>
    </row>
    <row r="67" spans="2:11" x14ac:dyDescent="0.25">
      <c r="B67" s="9" t="s">
        <v>282</v>
      </c>
      <c r="C67" s="12">
        <f>Assumptions!C48/MIN(C64,C65)</f>
      </c>
      <c r="D67" s="12">
        <f>Assumptions!C48/MIN(D64,D65)</f>
      </c>
      <c r="E67" s="12">
        <f>Assumptions!C48/MIN(E64,E65)</f>
      </c>
      <c r="F67" s="12">
        <f>Assumptions!C48/MIN(F64,F65)</f>
      </c>
      <c r="G67" s="12">
        <f>Assumptions!C48/MIN(G64,G65)</f>
      </c>
      <c r="H67" s="12">
        <f>Assumptions!C48/MIN(H64,H65)</f>
      </c>
      <c r="I67" s="12">
        <f>Assumptions!C48/MIN(I64,I65)</f>
      </c>
      <c r="J67" s="12">
        <f>Assumptions!C48/MIN(J64,J65)</f>
      </c>
      <c r="K67" s="12">
        <f>Assumptions!C48/MIN(K64,K65)</f>
      </c>
    </row>
    <row r="68" spans="2:11" x14ac:dyDescent="0.25">
      <c r="B68" s="9" t="s">
        <v>283</v>
      </c>
      <c r="C68" s="17">
        <f>Assumptions!C52/(C62+C63+C67)</f>
      </c>
      <c r="D68" s="17">
        <f>Assumptions!C52/(D62+D63+D67)</f>
      </c>
      <c r="E68" s="17">
        <f>Assumptions!C52/(E62+E63+E67)</f>
      </c>
      <c r="F68" s="17">
        <f>Assumptions!C52/(F62+F63+F67)</f>
      </c>
      <c r="G68" s="17">
        <f>Assumptions!C52/(G62+G63+G67)</f>
      </c>
      <c r="H68" s="17">
        <f>Assumptions!C52/(H62+H63+H67)</f>
      </c>
      <c r="I68" s="17">
        <f>Assumptions!C52/(I62+I63+I67)</f>
      </c>
      <c r="J68" s="17">
        <f>Assumptions!C52/(J62+J63+J67)</f>
      </c>
      <c r="K68" s="17">
        <f>Assumptions!C52/(K62+K63+K67)</f>
      </c>
    </row>
    <row r="69" spans="2:11" x14ac:dyDescent="0.25">
      <c r="B69" s="9" t="s">
        <v>284</v>
      </c>
      <c r="C69" s="17">
        <f>C57*(1-Assumptions!C53)</f>
      </c>
      <c r="D69" s="17">
        <f>D57*(1-Assumptions!C53)</f>
      </c>
      <c r="E69" s="17">
        <f>E57*(1-Assumptions!C53)</f>
      </c>
      <c r="F69" s="17">
        <f>F57*(1-Assumptions!C53)</f>
      </c>
      <c r="G69" s="17">
        <f>G57*(1-Assumptions!C53)</f>
      </c>
      <c r="H69" s="17">
        <f>H57*(1-Assumptions!C53)</f>
      </c>
      <c r="I69" s="17">
        <f>I57*(1-Assumptions!C53)</f>
      </c>
      <c r="J69" s="17">
        <f>J57*(1-Assumptions!C53)</f>
      </c>
      <c r="K69" s="17">
        <f>K57*(1-Assumptions!C53)</f>
      </c>
    </row>
    <row r="70" spans="2:11" x14ac:dyDescent="0.25">
      <c r="B70" s="9" t="s">
        <v>285</v>
      </c>
      <c r="C70" s="12">
        <f>IF(C68&lt;C69,"cap","discount")</f>
      </c>
      <c r="D70" s="12">
        <f>IF(D68&lt;D69,"cap","discount")</f>
      </c>
      <c r="E70" s="12">
        <f>IF(E68&lt;E69,"cap","discount")</f>
      </c>
      <c r="F70" s="12">
        <f>IF(F68&lt;F69,"cap","discount")</f>
      </c>
      <c r="G70" s="12">
        <f>IF(G68&lt;G69,"cap","discount")</f>
      </c>
      <c r="H70" s="12">
        <f>IF(H68&lt;H69,"cap","discount")</f>
      </c>
      <c r="I70" s="12">
        <f>IF(I68&lt;I69,"cap","discount")</f>
      </c>
      <c r="J70" s="12">
        <f>IF(J68&lt;J69,"cap","discount")</f>
      </c>
      <c r="K70" s="12">
        <f>IF(K68&lt;K69,"cap","discount")</f>
      </c>
    </row>
    <row r="71" spans="2:11" x14ac:dyDescent="0.25">
      <c r="B71" s="9" t="s">
        <v>286</v>
      </c>
      <c r="C71" s="12">
        <f>Assumptions!C51/MIN(C68,C69)</f>
      </c>
      <c r="D71" s="12">
        <f>Assumptions!C51/MIN(D68,D69)</f>
      </c>
      <c r="E71" s="12">
        <f>Assumptions!C51/MIN(E68,E69)</f>
      </c>
      <c r="F71" s="12">
        <f>Assumptions!C51/MIN(F68,F69)</f>
      </c>
      <c r="G71" s="12">
        <f>Assumptions!C51/MIN(G68,G69)</f>
      </c>
      <c r="H71" s="12">
        <f>Assumptions!C51/MIN(H68,H69)</f>
      </c>
      <c r="I71" s="12">
        <f>Assumptions!C51/MIN(I68,I69)</f>
      </c>
      <c r="J71" s="12">
        <f>Assumptions!C51/MIN(J68,J69)</f>
      </c>
      <c r="K71" s="12">
        <f>Assumptions!C51/MIN(K68,K69)</f>
      </c>
    </row>
    <row r="72" spans="2:11" x14ac:dyDescent="0.25">
      <c r="B72" s="28" t="s">
        <v>287</v>
      </c>
      <c r="C72" s="12">
        <f>C62+C63+C67+C71</f>
      </c>
      <c r="D72" s="12">
        <f>D62+D63+D67+D71</f>
      </c>
      <c r="E72" s="12">
        <f>E62+E63+E67+E71</f>
      </c>
      <c r="F72" s="12">
        <f>F62+F63+F67+F71</f>
      </c>
      <c r="G72" s="12">
        <f>G62+G63+G67+G71</f>
      </c>
      <c r="H72" s="12">
        <f>H62+H63+H67+H71</f>
      </c>
      <c r="I72" s="12">
        <f>I62+I63+I67+I71</f>
      </c>
      <c r="J72" s="12">
        <f>J62+J63+J67+J71</f>
      </c>
      <c r="K72" s="12">
        <f>K62+K63+K67+K71</f>
      </c>
    </row>
    <row r="73" spans="2:11" x14ac:dyDescent="0.25">
      <c r="B73" s="11" t="s">
        <v>288</v>
      </c>
      <c r="C73" s="18">
        <f>C22/C72</f>
      </c>
      <c r="D73" s="18">
        <f>D22/D72</f>
      </c>
      <c r="E73" s="18">
        <f>E22/E72</f>
      </c>
      <c r="F73" s="18">
        <f>F22/F72</f>
      </c>
      <c r="G73" s="18">
        <f>G22/G72</f>
      </c>
      <c r="H73" s="18">
        <f>H22/H72</f>
      </c>
      <c r="I73" s="18">
        <f>I22/I72</f>
      </c>
      <c r="J73" s="18">
        <f>J22/J72</f>
      </c>
      <c r="K73" s="18">
        <f>K22/K72</f>
      </c>
    </row>
    <row r="74" spans="2:11" x14ac:dyDescent="0.25">
      <c r="B74" s="11" t="s">
        <v>289</v>
      </c>
      <c r="C74" s="12">
        <f>C72+Assumptions!C7/C73</f>
      </c>
      <c r="D74" s="12">
        <f>D72+Assumptions!C7/D73</f>
      </c>
      <c r="E74" s="12">
        <f>E72+Assumptions!C7/E73</f>
      </c>
      <c r="F74" s="12">
        <f>F72+Assumptions!C7/F73</f>
      </c>
      <c r="G74" s="12">
        <f>G72+Assumptions!C7/G73</f>
      </c>
      <c r="H74" s="12">
        <f>H72+Assumptions!C7/H73</f>
      </c>
      <c r="I74" s="12">
        <f>I72+Assumptions!C7/I73</f>
      </c>
      <c r="J74" s="12">
        <f>J72+Assumptions!C7/J73</f>
      </c>
      <c r="K74" s="12">
        <f>K72+Assumptions!C7/K73</f>
      </c>
    </row>
    <row r="75" spans="2:11" x14ac:dyDescent="0.25">
      <c r="B75" s="5" t="s">
        <v>290</v>
      </c>
      <c r="C75" s="12">
        <f>Assumptions!C11/C73</f>
      </c>
      <c r="D75" s="12">
        <f>Assumptions!C11/D73</f>
      </c>
      <c r="E75" s="12">
        <f>Assumptions!C11/E73</f>
      </c>
      <c r="F75" s="12">
        <f>Assumptions!C11/F73</f>
      </c>
      <c r="G75" s="12">
        <f>Assumptions!C11/G73</f>
      </c>
      <c r="H75" s="12">
        <f>Assumptions!C11/H73</f>
      </c>
      <c r="I75" s="12">
        <f>Assumptions!C11/I73</f>
      </c>
      <c r="J75" s="12">
        <f>Assumptions!C11/J73</f>
      </c>
      <c r="K75" s="12">
        <f>Assumptions!C11/K73</f>
      </c>
    </row>
    <row r="76" spans="2:11" x14ac:dyDescent="0.25">
      <c r="B76" s="11" t="s">
        <v>291</v>
      </c>
      <c r="C76" s="18">
        <f>IF(C73&gt;MIN((Assumptions!C61-0+Assumptions!C28*Assumptions!C56)/(('Pro-Forma'!C6+C67+C71+Assumptions!C28)+(C60+C61+(Assumptions!C7/C73)+'Pro-Forma'!H35+'Pro-Forma'!H34+'Pro-Forma'!H33+'Pro-Forma'!H32)-0),(Assumptions!C61-Assumptions!C44+Assumptions!C28*Assumptions!C56)/(('Pro-Forma'!C6+C67+C71+Assumptions!C28)+(C60+C61+(Assumptions!C7/C73)+'Pro-Forma'!H35+'Pro-Forma'!H34+'Pro-Forma'!H33+'Pro-Forma'!H32)-C60),(Assumptions!C61-(Assumptions!C44+Assumptions!C45)+Assumptions!C28*Assumptions!C56)/(('Pro-Forma'!C6+C67+C71+Assumptions!C28)+(C60+C61+(Assumptions!C7/C73)+'Pro-Forma'!H35+'Pro-Forma'!H34+'Pro-Forma'!H33+'Pro-Forma'!H32)-(C60+C61)),(Assumptions!C61-(Assumptions!C44+Assumptions!C45+Assumptions!C7)+Assumptions!C28*Assumptions!C56)/(('Pro-Forma'!C6+C67+C71+Assumptions!C28)+(C60+C61+(Assumptions!C7/C73)+'Pro-Forma'!H35+'Pro-Forma'!H34+'Pro-Forma'!H33+'Pro-Forma'!H32)-(C60+C61+(Assumptions!C7/C73))),(Assumptions!C61-(Assumptions!C44+Assumptions!C45+Assumptions!C7+Assumptions!C43)+Assumptions!C28*Assumptions!C56)/(('Pro-Forma'!C6+C67+C71+Assumptions!C28)+(C60+C61+(Assumptions!C7/C73)+'Pro-Forma'!H35+'Pro-Forma'!H34+'Pro-Forma'!H33+'Pro-Forma'!H32)-(C60+C61+(Assumptions!C7/C73)+'Pro-Forma'!H35)),(Assumptions!C61-(Assumptions!C44+Assumptions!C45+Assumptions!C7+Assumptions!C43+Assumptions!C42)+Assumptions!C28*Assumptions!C56)/(('Pro-Forma'!C6+C67+C71+Assumptions!C28)+(C60+C61+(Assumptions!C7/C73)+'Pro-Forma'!H35+'Pro-Forma'!H34+'Pro-Forma'!H33+'Pro-Forma'!H32)-(C60+C61+(Assumptions!C7/C73)+'Pro-Forma'!H35+'Pro-Forma'!H34)),(Assumptions!C61-(Assumptions!C44+Assumptions!C45+Assumptions!C7+Assumptions!C43+Assumptions!C42+Assumptions!C41)+Assumptions!C28*Assumptions!C56)/(('Pro-Forma'!C6+C67+C71+Assumptions!C28)+(C60+C61+(Assumptions!C7/C73)+'Pro-Forma'!H35+'Pro-Forma'!H34+'Pro-Forma'!H33+'Pro-Forma'!H32)-(C60+C61+(Assumptions!C7/C73)+'Pro-Forma'!H35+'Pro-Forma'!H34+'Pro-Forma'!H33)),(Assumptions!C61-(Assumptions!C44+Assumptions!C45+Assumptions!C7+Assumptions!C43+Assumptions!C42+Assumptions!C41+Assumptions!C40)+Assumptions!C28*Assumptions!C56)/(('Pro-Forma'!C6+C67+C71+Assumptions!C28)+(C60+C61+(Assumptions!C7/C73)+'Pro-Forma'!H35+'Pro-Forma'!H34+'Pro-Forma'!H33+'Pro-Forma'!H32)-(C60+C61+(Assumptions!C7/C73)+'Pro-Forma'!H35+'Pro-Forma'!H34+'Pro-Forma'!H33+'Pro-Forma'!H32))),Assumptions!C11,C75*MIN((Assumptions!C61-0+Assumptions!C28*Assumptions!C56)/(('Pro-Forma'!C6+C67+C71+Assumptions!C28)+(C60+C61+(Assumptions!C7/C73)+'Pro-Forma'!H35+'Pro-Forma'!H34+'Pro-Forma'!H33+'Pro-Forma'!H32)-0),(Assumptions!C61-Assumptions!C44+Assumptions!C28*Assumptions!C56)/(('Pro-Forma'!C6+C67+C71+Assumptions!C28)+(C60+C61+(Assumptions!C7/C73)+'Pro-Forma'!H35+'Pro-Forma'!H34+'Pro-Forma'!H33+'Pro-Forma'!H32)-C60),(Assumptions!C61-(Assumptions!C44+Assumptions!C45)+Assumptions!C28*Assumptions!C56)/(('Pro-Forma'!C6+C67+C71+Assumptions!C28)+(C60+C61+(Assumptions!C7/C73)+'Pro-Forma'!H35+'Pro-Forma'!H34+'Pro-Forma'!H33+'Pro-Forma'!H32)-(C60+C61)),(Assumptions!C61-(Assumptions!C44+Assumptions!C45+Assumptions!C7)+Assumptions!C28*Assumptions!C56)/(('Pro-Forma'!C6+C67+C71+Assumptions!C28)+(C60+C61+(Assumptions!C7/C73)+'Pro-Forma'!H35+'Pro-Forma'!H34+'Pro-Forma'!H33+'Pro-Forma'!H32)-(C60+C61+(Assumptions!C7/C73))),(Assumptions!C61-(Assumptions!C44+Assumptions!C45+Assumptions!C7+Assumptions!C43)+Assumptions!C28*Assumptions!C56)/(('Pro-Forma'!C6+C67+C71+Assumptions!C28)+(C60+C61+(Assumptions!C7/C73)+'Pro-Forma'!H35+'Pro-Forma'!H34+'Pro-Forma'!H33+'Pro-Forma'!H32)-(C60+C61+(Assumptions!C7/C73)+'Pro-Forma'!H35)),(Assumptions!C61-(Assumptions!C44+Assumptions!C45+Assumptions!C7+Assumptions!C43+Assumptions!C42)+Assumptions!C28*Assumptions!C56)/(('Pro-Forma'!C6+C67+C71+Assumptions!C28)+(C60+C61+(Assumptions!C7/C73)+'Pro-Forma'!H35+'Pro-Forma'!H34+'Pro-Forma'!H33+'Pro-Forma'!H32)-(C60+C61+(Assumptions!C7/C73)+'Pro-Forma'!H35+'Pro-Forma'!H34)),(Assumptions!C61-(Assumptions!C44+Assumptions!C45+Assumptions!C7+Assumptions!C43+Assumptions!C42+Assumptions!C41)+Assumptions!C28*Assumptions!C56)/(('Pro-Forma'!C6+C67+C71+Assumptions!C28)+(C60+C61+(Assumptions!C7/C73)+'Pro-Forma'!H35+'Pro-Forma'!H34+'Pro-Forma'!H33+'Pro-Forma'!H32)-(C60+C61+(Assumptions!C7/C73)+'Pro-Forma'!H35+'Pro-Forma'!H34+'Pro-Forma'!H33)),(Assumptions!C61-(Assumptions!C44+Assumptions!C45+Assumptions!C7+Assumptions!C43+Assumptions!C42+Assumptions!C41+Assumptions!C40)+Assumptions!C28*Assumptions!C56)/(('Pro-Forma'!C6+C67+C71+Assumptions!C28)+(C60+C61+(Assumptions!C7/C73)+'Pro-Forma'!H35+'Pro-Forma'!H34+'Pro-Forma'!H33+'Pro-Forma'!H32)-(C60+C61+(Assumptions!C7/C73)+'Pro-Forma'!H35+'Pro-Forma'!H34+'Pro-Forma'!H33+'Pro-Forma'!H32))))</f>
      </c>
      <c r="D76" s="18">
        <f>IF(D73&gt;MIN((Assumptions!C61-0+Assumptions!C28*Assumptions!C56)/(('Pro-Forma'!C6+D67+D71+Assumptions!C28)+(D60+D61+(Assumptions!C7/D73)+'Pro-Forma'!H35+'Pro-Forma'!H34+'Pro-Forma'!H33+'Pro-Forma'!H32)-0),(Assumptions!C61-Assumptions!C44+Assumptions!C28*Assumptions!C56)/(('Pro-Forma'!C6+D67+D71+Assumptions!C28)+(D60+D61+(Assumptions!C7/D73)+'Pro-Forma'!H35+'Pro-Forma'!H34+'Pro-Forma'!H33+'Pro-Forma'!H32)-D60),(Assumptions!C61-(Assumptions!C44+Assumptions!C45)+Assumptions!C28*Assumptions!C56)/(('Pro-Forma'!C6+D67+D71+Assumptions!C28)+(D60+D61+(Assumptions!C7/D73)+'Pro-Forma'!H35+'Pro-Forma'!H34+'Pro-Forma'!H33+'Pro-Forma'!H32)-(D60+D61)),(Assumptions!C61-(Assumptions!C44+Assumptions!C45+Assumptions!C7)+Assumptions!C28*Assumptions!C56)/(('Pro-Forma'!C6+D67+D71+Assumptions!C28)+(D60+D61+(Assumptions!C7/D73)+'Pro-Forma'!H35+'Pro-Forma'!H34+'Pro-Forma'!H33+'Pro-Forma'!H32)-(D60+D61+(Assumptions!C7/D73))),(Assumptions!C61-(Assumptions!C44+Assumptions!C45+Assumptions!C7+Assumptions!C43)+Assumptions!C28*Assumptions!C56)/(('Pro-Forma'!C6+D67+D71+Assumptions!C28)+(D60+D61+(Assumptions!C7/D73)+'Pro-Forma'!H35+'Pro-Forma'!H34+'Pro-Forma'!H33+'Pro-Forma'!H32)-(D60+D61+(Assumptions!C7/D73)+'Pro-Forma'!H35)),(Assumptions!C61-(Assumptions!C44+Assumptions!C45+Assumptions!C7+Assumptions!C43+Assumptions!C42)+Assumptions!C28*Assumptions!C56)/(('Pro-Forma'!C6+D67+D71+Assumptions!C28)+(D60+D61+(Assumptions!C7/D73)+'Pro-Forma'!H35+'Pro-Forma'!H34+'Pro-Forma'!H33+'Pro-Forma'!H32)-(D60+D61+(Assumptions!C7/D73)+'Pro-Forma'!H35+'Pro-Forma'!H34)),(Assumptions!C61-(Assumptions!C44+Assumptions!C45+Assumptions!C7+Assumptions!C43+Assumptions!C42+Assumptions!C41)+Assumptions!C28*Assumptions!C56)/(('Pro-Forma'!C6+D67+D71+Assumptions!C28)+(D60+D61+(Assumptions!C7/D73)+'Pro-Forma'!H35+'Pro-Forma'!H34+'Pro-Forma'!H33+'Pro-Forma'!H32)-(D60+D61+(Assumptions!C7/D73)+'Pro-Forma'!H35+'Pro-Forma'!H34+'Pro-Forma'!H33)),(Assumptions!C61-(Assumptions!C44+Assumptions!C45+Assumptions!C7+Assumptions!C43+Assumptions!C42+Assumptions!C41+Assumptions!C40)+Assumptions!C28*Assumptions!C56)/(('Pro-Forma'!C6+D67+D71+Assumptions!C28)+(D60+D61+(Assumptions!C7/D73)+'Pro-Forma'!H35+'Pro-Forma'!H34+'Pro-Forma'!H33+'Pro-Forma'!H32)-(D60+D61+(Assumptions!C7/D73)+'Pro-Forma'!H35+'Pro-Forma'!H34+'Pro-Forma'!H33+'Pro-Forma'!H32))),Assumptions!C11,D75*MIN((Assumptions!C61-0+Assumptions!C28*Assumptions!C56)/(('Pro-Forma'!C6+D67+D71+Assumptions!C28)+(D60+D61+(Assumptions!C7/D73)+'Pro-Forma'!H35+'Pro-Forma'!H34+'Pro-Forma'!H33+'Pro-Forma'!H32)-0),(Assumptions!C61-Assumptions!C44+Assumptions!C28*Assumptions!C56)/(('Pro-Forma'!C6+D67+D71+Assumptions!C28)+(D60+D61+(Assumptions!C7/D73)+'Pro-Forma'!H35+'Pro-Forma'!H34+'Pro-Forma'!H33+'Pro-Forma'!H32)-D60),(Assumptions!C61-(Assumptions!C44+Assumptions!C45)+Assumptions!C28*Assumptions!C56)/(('Pro-Forma'!C6+D67+D71+Assumptions!C28)+(D60+D61+(Assumptions!C7/D73)+'Pro-Forma'!H35+'Pro-Forma'!H34+'Pro-Forma'!H33+'Pro-Forma'!H32)-(D60+D61)),(Assumptions!C61-(Assumptions!C44+Assumptions!C45+Assumptions!C7)+Assumptions!C28*Assumptions!C56)/(('Pro-Forma'!C6+D67+D71+Assumptions!C28)+(D60+D61+(Assumptions!C7/D73)+'Pro-Forma'!H35+'Pro-Forma'!H34+'Pro-Forma'!H33+'Pro-Forma'!H32)-(D60+D61+(Assumptions!C7/D73))),(Assumptions!C61-(Assumptions!C44+Assumptions!C45+Assumptions!C7+Assumptions!C43)+Assumptions!C28*Assumptions!C56)/(('Pro-Forma'!C6+D67+D71+Assumptions!C28)+(D60+D61+(Assumptions!C7/D73)+'Pro-Forma'!H35+'Pro-Forma'!H34+'Pro-Forma'!H33+'Pro-Forma'!H32)-(D60+D61+(Assumptions!C7/D73)+'Pro-Forma'!H35)),(Assumptions!C61-(Assumptions!C44+Assumptions!C45+Assumptions!C7+Assumptions!C43+Assumptions!C42)+Assumptions!C28*Assumptions!C56)/(('Pro-Forma'!C6+D67+D71+Assumptions!C28)+(D60+D61+(Assumptions!C7/D73)+'Pro-Forma'!H35+'Pro-Forma'!H34+'Pro-Forma'!H33+'Pro-Forma'!H32)-(D60+D61+(Assumptions!C7/D73)+'Pro-Forma'!H35+'Pro-Forma'!H34)),(Assumptions!C61-(Assumptions!C44+Assumptions!C45+Assumptions!C7+Assumptions!C43+Assumptions!C42+Assumptions!C41)+Assumptions!C28*Assumptions!C56)/(('Pro-Forma'!C6+D67+D71+Assumptions!C28)+(D60+D61+(Assumptions!C7/D73)+'Pro-Forma'!H35+'Pro-Forma'!H34+'Pro-Forma'!H33+'Pro-Forma'!H32)-(D60+D61+(Assumptions!C7/D73)+'Pro-Forma'!H35+'Pro-Forma'!H34+'Pro-Forma'!H33)),(Assumptions!C61-(Assumptions!C44+Assumptions!C45+Assumptions!C7+Assumptions!C43+Assumptions!C42+Assumptions!C41+Assumptions!C40)+Assumptions!C28*Assumptions!C56)/(('Pro-Forma'!C6+D67+D71+Assumptions!C28)+(D60+D61+(Assumptions!C7/D73)+'Pro-Forma'!H35+'Pro-Forma'!H34+'Pro-Forma'!H33+'Pro-Forma'!H32)-(D60+D61+(Assumptions!C7/D73)+'Pro-Forma'!H35+'Pro-Forma'!H34+'Pro-Forma'!H33+'Pro-Forma'!H32))))</f>
      </c>
      <c r="E76" s="18">
        <f>IF(E73&gt;MIN((Assumptions!C61-0+Assumptions!C28*Assumptions!C56)/(('Pro-Forma'!C6+E67+E71+Assumptions!C28)+(E60+E61+(Assumptions!C7/E73)+'Pro-Forma'!H35+'Pro-Forma'!H34+'Pro-Forma'!H33+'Pro-Forma'!H32)-0),(Assumptions!C61-Assumptions!C44+Assumptions!C28*Assumptions!C56)/(('Pro-Forma'!C6+E67+E71+Assumptions!C28)+(E60+E61+(Assumptions!C7/E73)+'Pro-Forma'!H35+'Pro-Forma'!H34+'Pro-Forma'!H33+'Pro-Forma'!H32)-E60),(Assumptions!C61-(Assumptions!C44+Assumptions!C45)+Assumptions!C28*Assumptions!C56)/(('Pro-Forma'!C6+E67+E71+Assumptions!C28)+(E60+E61+(Assumptions!C7/E73)+'Pro-Forma'!H35+'Pro-Forma'!H34+'Pro-Forma'!H33+'Pro-Forma'!H32)-(E60+E61)),(Assumptions!C61-(Assumptions!C44+Assumptions!C45+Assumptions!C7)+Assumptions!C28*Assumptions!C56)/(('Pro-Forma'!C6+E67+E71+Assumptions!C28)+(E60+E61+(Assumptions!C7/E73)+'Pro-Forma'!H35+'Pro-Forma'!H34+'Pro-Forma'!H33+'Pro-Forma'!H32)-(E60+E61+(Assumptions!C7/E73))),(Assumptions!C61-(Assumptions!C44+Assumptions!C45+Assumptions!C7+Assumptions!C43)+Assumptions!C28*Assumptions!C56)/(('Pro-Forma'!C6+E67+E71+Assumptions!C28)+(E60+E61+(Assumptions!C7/E73)+'Pro-Forma'!H35+'Pro-Forma'!H34+'Pro-Forma'!H33+'Pro-Forma'!H32)-(E60+E61+(Assumptions!C7/E73)+'Pro-Forma'!H35)),(Assumptions!C61-(Assumptions!C44+Assumptions!C45+Assumptions!C7+Assumptions!C43+Assumptions!C42)+Assumptions!C28*Assumptions!C56)/(('Pro-Forma'!C6+E67+E71+Assumptions!C28)+(E60+E61+(Assumptions!C7/E73)+'Pro-Forma'!H35+'Pro-Forma'!H34+'Pro-Forma'!H33+'Pro-Forma'!H32)-(E60+E61+(Assumptions!C7/E73)+'Pro-Forma'!H35+'Pro-Forma'!H34)),(Assumptions!C61-(Assumptions!C44+Assumptions!C45+Assumptions!C7+Assumptions!C43+Assumptions!C42+Assumptions!C41)+Assumptions!C28*Assumptions!C56)/(('Pro-Forma'!C6+E67+E71+Assumptions!C28)+(E60+E61+(Assumptions!C7/E73)+'Pro-Forma'!H35+'Pro-Forma'!H34+'Pro-Forma'!H33+'Pro-Forma'!H32)-(E60+E61+(Assumptions!C7/E73)+'Pro-Forma'!H35+'Pro-Forma'!H34+'Pro-Forma'!H33)),(Assumptions!C61-(Assumptions!C44+Assumptions!C45+Assumptions!C7+Assumptions!C43+Assumptions!C42+Assumptions!C41+Assumptions!C40)+Assumptions!C28*Assumptions!C56)/(('Pro-Forma'!C6+E67+E71+Assumptions!C28)+(E60+E61+(Assumptions!C7/E73)+'Pro-Forma'!H35+'Pro-Forma'!H34+'Pro-Forma'!H33+'Pro-Forma'!H32)-(E60+E61+(Assumptions!C7/E73)+'Pro-Forma'!H35+'Pro-Forma'!H34+'Pro-Forma'!H33+'Pro-Forma'!H32))),Assumptions!C11,E75*MIN((Assumptions!C61-0+Assumptions!C28*Assumptions!C56)/(('Pro-Forma'!C6+E67+E71+Assumptions!C28)+(E60+E61+(Assumptions!C7/E73)+'Pro-Forma'!H35+'Pro-Forma'!H34+'Pro-Forma'!H33+'Pro-Forma'!H32)-0),(Assumptions!C61-Assumptions!C44+Assumptions!C28*Assumptions!C56)/(('Pro-Forma'!C6+E67+E71+Assumptions!C28)+(E60+E61+(Assumptions!C7/E73)+'Pro-Forma'!H35+'Pro-Forma'!H34+'Pro-Forma'!H33+'Pro-Forma'!H32)-E60),(Assumptions!C61-(Assumptions!C44+Assumptions!C45)+Assumptions!C28*Assumptions!C56)/(('Pro-Forma'!C6+E67+E71+Assumptions!C28)+(E60+E61+(Assumptions!C7/E73)+'Pro-Forma'!H35+'Pro-Forma'!H34+'Pro-Forma'!H33+'Pro-Forma'!H32)-(E60+E61)),(Assumptions!C61-(Assumptions!C44+Assumptions!C45+Assumptions!C7)+Assumptions!C28*Assumptions!C56)/(('Pro-Forma'!C6+E67+E71+Assumptions!C28)+(E60+E61+(Assumptions!C7/E73)+'Pro-Forma'!H35+'Pro-Forma'!H34+'Pro-Forma'!H33+'Pro-Forma'!H32)-(E60+E61+(Assumptions!C7/E73))),(Assumptions!C61-(Assumptions!C44+Assumptions!C45+Assumptions!C7+Assumptions!C43)+Assumptions!C28*Assumptions!C56)/(('Pro-Forma'!C6+E67+E71+Assumptions!C28)+(E60+E61+(Assumptions!C7/E73)+'Pro-Forma'!H35+'Pro-Forma'!H34+'Pro-Forma'!H33+'Pro-Forma'!H32)-(E60+E61+(Assumptions!C7/E73)+'Pro-Forma'!H35)),(Assumptions!C61-(Assumptions!C44+Assumptions!C45+Assumptions!C7+Assumptions!C43+Assumptions!C42)+Assumptions!C28*Assumptions!C56)/(('Pro-Forma'!C6+E67+E71+Assumptions!C28)+(E60+E61+(Assumptions!C7/E73)+'Pro-Forma'!H35+'Pro-Forma'!H34+'Pro-Forma'!H33+'Pro-Forma'!H32)-(E60+E61+(Assumptions!C7/E73)+'Pro-Forma'!H35+'Pro-Forma'!H34)),(Assumptions!C61-(Assumptions!C44+Assumptions!C45+Assumptions!C7+Assumptions!C43+Assumptions!C42+Assumptions!C41)+Assumptions!C28*Assumptions!C56)/(('Pro-Forma'!C6+E67+E71+Assumptions!C28)+(E60+E61+(Assumptions!C7/E73)+'Pro-Forma'!H35+'Pro-Forma'!H34+'Pro-Forma'!H33+'Pro-Forma'!H32)-(E60+E61+(Assumptions!C7/E73)+'Pro-Forma'!H35+'Pro-Forma'!H34+'Pro-Forma'!H33)),(Assumptions!C61-(Assumptions!C44+Assumptions!C45+Assumptions!C7+Assumptions!C43+Assumptions!C42+Assumptions!C41+Assumptions!C40)+Assumptions!C28*Assumptions!C56)/(('Pro-Forma'!C6+E67+E71+Assumptions!C28)+(E60+E61+(Assumptions!C7/E73)+'Pro-Forma'!H35+'Pro-Forma'!H34+'Pro-Forma'!H33+'Pro-Forma'!H32)-(E60+E61+(Assumptions!C7/E73)+'Pro-Forma'!H35+'Pro-Forma'!H34+'Pro-Forma'!H33+'Pro-Forma'!H32))))</f>
      </c>
      <c r="F76" s="18">
        <f>IF(F73&gt;MIN((Assumptions!C61-0+Assumptions!C28*Assumptions!C56)/(('Pro-Forma'!C6+F67+F71+Assumptions!C28)+(F60+F61+(Assumptions!C7/F73)+'Pro-Forma'!H35+'Pro-Forma'!H34+'Pro-Forma'!H33+'Pro-Forma'!H32)-0),(Assumptions!C61-Assumptions!C44+Assumptions!C28*Assumptions!C56)/(('Pro-Forma'!C6+F67+F71+Assumptions!C28)+(F60+F61+(Assumptions!C7/F73)+'Pro-Forma'!H35+'Pro-Forma'!H34+'Pro-Forma'!H33+'Pro-Forma'!H32)-F60),(Assumptions!C61-(Assumptions!C44+Assumptions!C45)+Assumptions!C28*Assumptions!C56)/(('Pro-Forma'!C6+F67+F71+Assumptions!C28)+(F60+F61+(Assumptions!C7/F73)+'Pro-Forma'!H35+'Pro-Forma'!H34+'Pro-Forma'!H33+'Pro-Forma'!H32)-(F60+F61)),(Assumptions!C61-(Assumptions!C44+Assumptions!C45+Assumptions!C7)+Assumptions!C28*Assumptions!C56)/(('Pro-Forma'!C6+F67+F71+Assumptions!C28)+(F60+F61+(Assumptions!C7/F73)+'Pro-Forma'!H35+'Pro-Forma'!H34+'Pro-Forma'!H33+'Pro-Forma'!H32)-(F60+F61+(Assumptions!C7/F73))),(Assumptions!C61-(Assumptions!C44+Assumptions!C45+Assumptions!C7+Assumptions!C43)+Assumptions!C28*Assumptions!C56)/(('Pro-Forma'!C6+F67+F71+Assumptions!C28)+(F60+F61+(Assumptions!C7/F73)+'Pro-Forma'!H35+'Pro-Forma'!H34+'Pro-Forma'!H33+'Pro-Forma'!H32)-(F60+F61+(Assumptions!C7/F73)+'Pro-Forma'!H35)),(Assumptions!C61-(Assumptions!C44+Assumptions!C45+Assumptions!C7+Assumptions!C43+Assumptions!C42)+Assumptions!C28*Assumptions!C56)/(('Pro-Forma'!C6+F67+F71+Assumptions!C28)+(F60+F61+(Assumptions!C7/F73)+'Pro-Forma'!H35+'Pro-Forma'!H34+'Pro-Forma'!H33+'Pro-Forma'!H32)-(F60+F61+(Assumptions!C7/F73)+'Pro-Forma'!H35+'Pro-Forma'!H34)),(Assumptions!C61-(Assumptions!C44+Assumptions!C45+Assumptions!C7+Assumptions!C43+Assumptions!C42+Assumptions!C41)+Assumptions!C28*Assumptions!C56)/(('Pro-Forma'!C6+F67+F71+Assumptions!C28)+(F60+F61+(Assumptions!C7/F73)+'Pro-Forma'!H35+'Pro-Forma'!H34+'Pro-Forma'!H33+'Pro-Forma'!H32)-(F60+F61+(Assumptions!C7/F73)+'Pro-Forma'!H35+'Pro-Forma'!H34+'Pro-Forma'!H33)),(Assumptions!C61-(Assumptions!C44+Assumptions!C45+Assumptions!C7+Assumptions!C43+Assumptions!C42+Assumptions!C41+Assumptions!C40)+Assumptions!C28*Assumptions!C56)/(('Pro-Forma'!C6+F67+F71+Assumptions!C28)+(F60+F61+(Assumptions!C7/F73)+'Pro-Forma'!H35+'Pro-Forma'!H34+'Pro-Forma'!H33+'Pro-Forma'!H32)-(F60+F61+(Assumptions!C7/F73)+'Pro-Forma'!H35+'Pro-Forma'!H34+'Pro-Forma'!H33+'Pro-Forma'!H32))),Assumptions!C11,F75*MIN((Assumptions!C61-0+Assumptions!C28*Assumptions!C56)/(('Pro-Forma'!C6+F67+F71+Assumptions!C28)+(F60+F61+(Assumptions!C7/F73)+'Pro-Forma'!H35+'Pro-Forma'!H34+'Pro-Forma'!H33+'Pro-Forma'!H32)-0),(Assumptions!C61-Assumptions!C44+Assumptions!C28*Assumptions!C56)/(('Pro-Forma'!C6+F67+F71+Assumptions!C28)+(F60+F61+(Assumptions!C7/F73)+'Pro-Forma'!H35+'Pro-Forma'!H34+'Pro-Forma'!H33+'Pro-Forma'!H32)-F60),(Assumptions!C61-(Assumptions!C44+Assumptions!C45)+Assumptions!C28*Assumptions!C56)/(('Pro-Forma'!C6+F67+F71+Assumptions!C28)+(F60+F61+(Assumptions!C7/F73)+'Pro-Forma'!H35+'Pro-Forma'!H34+'Pro-Forma'!H33+'Pro-Forma'!H32)-(F60+F61)),(Assumptions!C61-(Assumptions!C44+Assumptions!C45+Assumptions!C7)+Assumptions!C28*Assumptions!C56)/(('Pro-Forma'!C6+F67+F71+Assumptions!C28)+(F60+F61+(Assumptions!C7/F73)+'Pro-Forma'!H35+'Pro-Forma'!H34+'Pro-Forma'!H33+'Pro-Forma'!H32)-(F60+F61+(Assumptions!C7/F73))),(Assumptions!C61-(Assumptions!C44+Assumptions!C45+Assumptions!C7+Assumptions!C43)+Assumptions!C28*Assumptions!C56)/(('Pro-Forma'!C6+F67+F71+Assumptions!C28)+(F60+F61+(Assumptions!C7/F73)+'Pro-Forma'!H35+'Pro-Forma'!H34+'Pro-Forma'!H33+'Pro-Forma'!H32)-(F60+F61+(Assumptions!C7/F73)+'Pro-Forma'!H35)),(Assumptions!C61-(Assumptions!C44+Assumptions!C45+Assumptions!C7+Assumptions!C43+Assumptions!C42)+Assumptions!C28*Assumptions!C56)/(('Pro-Forma'!C6+F67+F71+Assumptions!C28)+(F60+F61+(Assumptions!C7/F73)+'Pro-Forma'!H35+'Pro-Forma'!H34+'Pro-Forma'!H33+'Pro-Forma'!H32)-(F60+F61+(Assumptions!C7/F73)+'Pro-Forma'!H35+'Pro-Forma'!H34)),(Assumptions!C61-(Assumptions!C44+Assumptions!C45+Assumptions!C7+Assumptions!C43+Assumptions!C42+Assumptions!C41)+Assumptions!C28*Assumptions!C56)/(('Pro-Forma'!C6+F67+F71+Assumptions!C28)+(F60+F61+(Assumptions!C7/F73)+'Pro-Forma'!H35+'Pro-Forma'!H34+'Pro-Forma'!H33+'Pro-Forma'!H32)-(F60+F61+(Assumptions!C7/F73)+'Pro-Forma'!H35+'Pro-Forma'!H34+'Pro-Forma'!H33)),(Assumptions!C61-(Assumptions!C44+Assumptions!C45+Assumptions!C7+Assumptions!C43+Assumptions!C42+Assumptions!C41+Assumptions!C40)+Assumptions!C28*Assumptions!C56)/(('Pro-Forma'!C6+F67+F71+Assumptions!C28)+(F60+F61+(Assumptions!C7/F73)+'Pro-Forma'!H35+'Pro-Forma'!H34+'Pro-Forma'!H33+'Pro-Forma'!H32)-(F60+F61+(Assumptions!C7/F73)+'Pro-Forma'!H35+'Pro-Forma'!H34+'Pro-Forma'!H33+'Pro-Forma'!H32))))</f>
      </c>
      <c r="G76" s="18">
        <f>IF(G73&gt;MIN((Assumptions!C61-0+Assumptions!C28*Assumptions!C56)/(('Pro-Forma'!C6+G67+G71+Assumptions!C28)+(G60+G61+(Assumptions!C7/G73)+'Pro-Forma'!H35+'Pro-Forma'!H34+'Pro-Forma'!H33+'Pro-Forma'!H32)-0),(Assumptions!C61-Assumptions!C44+Assumptions!C28*Assumptions!C56)/(('Pro-Forma'!C6+G67+G71+Assumptions!C28)+(G60+G61+(Assumptions!C7/G73)+'Pro-Forma'!H35+'Pro-Forma'!H34+'Pro-Forma'!H33+'Pro-Forma'!H32)-G60),(Assumptions!C61-(Assumptions!C44+Assumptions!C45)+Assumptions!C28*Assumptions!C56)/(('Pro-Forma'!C6+G67+G71+Assumptions!C28)+(G60+G61+(Assumptions!C7/G73)+'Pro-Forma'!H35+'Pro-Forma'!H34+'Pro-Forma'!H33+'Pro-Forma'!H32)-(G60+G61)),(Assumptions!C61-(Assumptions!C44+Assumptions!C45+Assumptions!C7)+Assumptions!C28*Assumptions!C56)/(('Pro-Forma'!C6+G67+G71+Assumptions!C28)+(G60+G61+(Assumptions!C7/G73)+'Pro-Forma'!H35+'Pro-Forma'!H34+'Pro-Forma'!H33+'Pro-Forma'!H32)-(G60+G61+(Assumptions!C7/G73))),(Assumptions!C61-(Assumptions!C44+Assumptions!C45+Assumptions!C7+Assumptions!C43)+Assumptions!C28*Assumptions!C56)/(('Pro-Forma'!C6+G67+G71+Assumptions!C28)+(G60+G61+(Assumptions!C7/G73)+'Pro-Forma'!H35+'Pro-Forma'!H34+'Pro-Forma'!H33+'Pro-Forma'!H32)-(G60+G61+(Assumptions!C7/G73)+'Pro-Forma'!H35)),(Assumptions!C61-(Assumptions!C44+Assumptions!C45+Assumptions!C7+Assumptions!C43+Assumptions!C42)+Assumptions!C28*Assumptions!C56)/(('Pro-Forma'!C6+G67+G71+Assumptions!C28)+(G60+G61+(Assumptions!C7/G73)+'Pro-Forma'!H35+'Pro-Forma'!H34+'Pro-Forma'!H33+'Pro-Forma'!H32)-(G60+G61+(Assumptions!C7/G73)+'Pro-Forma'!H35+'Pro-Forma'!H34)),(Assumptions!C61-(Assumptions!C44+Assumptions!C45+Assumptions!C7+Assumptions!C43+Assumptions!C42+Assumptions!C41)+Assumptions!C28*Assumptions!C56)/(('Pro-Forma'!C6+G67+G71+Assumptions!C28)+(G60+G61+(Assumptions!C7/G73)+'Pro-Forma'!H35+'Pro-Forma'!H34+'Pro-Forma'!H33+'Pro-Forma'!H32)-(G60+G61+(Assumptions!C7/G73)+'Pro-Forma'!H35+'Pro-Forma'!H34+'Pro-Forma'!H33)),(Assumptions!C61-(Assumptions!C44+Assumptions!C45+Assumptions!C7+Assumptions!C43+Assumptions!C42+Assumptions!C41+Assumptions!C40)+Assumptions!C28*Assumptions!C56)/(('Pro-Forma'!C6+G67+G71+Assumptions!C28)+(G60+G61+(Assumptions!C7/G73)+'Pro-Forma'!H35+'Pro-Forma'!H34+'Pro-Forma'!H33+'Pro-Forma'!H32)-(G60+G61+(Assumptions!C7/G73)+'Pro-Forma'!H35+'Pro-Forma'!H34+'Pro-Forma'!H33+'Pro-Forma'!H32))),Assumptions!C11,G75*MIN((Assumptions!C61-0+Assumptions!C28*Assumptions!C56)/(('Pro-Forma'!C6+G67+G71+Assumptions!C28)+(G60+G61+(Assumptions!C7/G73)+'Pro-Forma'!H35+'Pro-Forma'!H34+'Pro-Forma'!H33+'Pro-Forma'!H32)-0),(Assumptions!C61-Assumptions!C44+Assumptions!C28*Assumptions!C56)/(('Pro-Forma'!C6+G67+G71+Assumptions!C28)+(G60+G61+(Assumptions!C7/G73)+'Pro-Forma'!H35+'Pro-Forma'!H34+'Pro-Forma'!H33+'Pro-Forma'!H32)-G60),(Assumptions!C61-(Assumptions!C44+Assumptions!C45)+Assumptions!C28*Assumptions!C56)/(('Pro-Forma'!C6+G67+G71+Assumptions!C28)+(G60+G61+(Assumptions!C7/G73)+'Pro-Forma'!H35+'Pro-Forma'!H34+'Pro-Forma'!H33+'Pro-Forma'!H32)-(G60+G61)),(Assumptions!C61-(Assumptions!C44+Assumptions!C45+Assumptions!C7)+Assumptions!C28*Assumptions!C56)/(('Pro-Forma'!C6+G67+G71+Assumptions!C28)+(G60+G61+(Assumptions!C7/G73)+'Pro-Forma'!H35+'Pro-Forma'!H34+'Pro-Forma'!H33+'Pro-Forma'!H32)-(G60+G61+(Assumptions!C7/G73))),(Assumptions!C61-(Assumptions!C44+Assumptions!C45+Assumptions!C7+Assumptions!C43)+Assumptions!C28*Assumptions!C56)/(('Pro-Forma'!C6+G67+G71+Assumptions!C28)+(G60+G61+(Assumptions!C7/G73)+'Pro-Forma'!H35+'Pro-Forma'!H34+'Pro-Forma'!H33+'Pro-Forma'!H32)-(G60+G61+(Assumptions!C7/G73)+'Pro-Forma'!H35)),(Assumptions!C61-(Assumptions!C44+Assumptions!C45+Assumptions!C7+Assumptions!C43+Assumptions!C42)+Assumptions!C28*Assumptions!C56)/(('Pro-Forma'!C6+G67+G71+Assumptions!C28)+(G60+G61+(Assumptions!C7/G73)+'Pro-Forma'!H35+'Pro-Forma'!H34+'Pro-Forma'!H33+'Pro-Forma'!H32)-(G60+G61+(Assumptions!C7/G73)+'Pro-Forma'!H35+'Pro-Forma'!H34)),(Assumptions!C61-(Assumptions!C44+Assumptions!C45+Assumptions!C7+Assumptions!C43+Assumptions!C42+Assumptions!C41)+Assumptions!C28*Assumptions!C56)/(('Pro-Forma'!C6+G67+G71+Assumptions!C28)+(G60+G61+(Assumptions!C7/G73)+'Pro-Forma'!H35+'Pro-Forma'!H34+'Pro-Forma'!H33+'Pro-Forma'!H32)-(G60+G61+(Assumptions!C7/G73)+'Pro-Forma'!H35+'Pro-Forma'!H34+'Pro-Forma'!H33)),(Assumptions!C61-(Assumptions!C44+Assumptions!C45+Assumptions!C7+Assumptions!C43+Assumptions!C42+Assumptions!C41+Assumptions!C40)+Assumptions!C28*Assumptions!C56)/(('Pro-Forma'!C6+G67+G71+Assumptions!C28)+(G60+G61+(Assumptions!C7/G73)+'Pro-Forma'!H35+'Pro-Forma'!H34+'Pro-Forma'!H33+'Pro-Forma'!H32)-(G60+G61+(Assumptions!C7/G73)+'Pro-Forma'!H35+'Pro-Forma'!H34+'Pro-Forma'!H33+'Pro-Forma'!H32))))</f>
      </c>
      <c r="H76" s="18">
        <f>IF(H73&gt;MIN((Assumptions!C61-0+Assumptions!C28*Assumptions!C56)/(('Pro-Forma'!C6+H67+H71+Assumptions!C28)+(H60+H61+(Assumptions!C7/H73)+'Pro-Forma'!H35+'Pro-Forma'!H34+'Pro-Forma'!H33+'Pro-Forma'!H32)-0),(Assumptions!C61-Assumptions!C44+Assumptions!C28*Assumptions!C56)/(('Pro-Forma'!C6+H67+H71+Assumptions!C28)+(H60+H61+(Assumptions!C7/H73)+'Pro-Forma'!H35+'Pro-Forma'!H34+'Pro-Forma'!H33+'Pro-Forma'!H32)-H60),(Assumptions!C61-(Assumptions!C44+Assumptions!C45)+Assumptions!C28*Assumptions!C56)/(('Pro-Forma'!C6+H67+H71+Assumptions!C28)+(H60+H61+(Assumptions!C7/H73)+'Pro-Forma'!H35+'Pro-Forma'!H34+'Pro-Forma'!H33+'Pro-Forma'!H32)-(H60+H61)),(Assumptions!C61-(Assumptions!C44+Assumptions!C45+Assumptions!C7)+Assumptions!C28*Assumptions!C56)/(('Pro-Forma'!C6+H67+H71+Assumptions!C28)+(H60+H61+(Assumptions!C7/H73)+'Pro-Forma'!H35+'Pro-Forma'!H34+'Pro-Forma'!H33+'Pro-Forma'!H32)-(H60+H61+(Assumptions!C7/H73))),(Assumptions!C61-(Assumptions!C44+Assumptions!C45+Assumptions!C7+Assumptions!C43)+Assumptions!C28*Assumptions!C56)/(('Pro-Forma'!C6+H67+H71+Assumptions!C28)+(H60+H61+(Assumptions!C7/H73)+'Pro-Forma'!H35+'Pro-Forma'!H34+'Pro-Forma'!H33+'Pro-Forma'!H32)-(H60+H61+(Assumptions!C7/H73)+'Pro-Forma'!H35)),(Assumptions!C61-(Assumptions!C44+Assumptions!C45+Assumptions!C7+Assumptions!C43+Assumptions!C42)+Assumptions!C28*Assumptions!C56)/(('Pro-Forma'!C6+H67+H71+Assumptions!C28)+(H60+H61+(Assumptions!C7/H73)+'Pro-Forma'!H35+'Pro-Forma'!H34+'Pro-Forma'!H33+'Pro-Forma'!H32)-(H60+H61+(Assumptions!C7/H73)+'Pro-Forma'!H35+'Pro-Forma'!H34)),(Assumptions!C61-(Assumptions!C44+Assumptions!C45+Assumptions!C7+Assumptions!C43+Assumptions!C42+Assumptions!C41)+Assumptions!C28*Assumptions!C56)/(('Pro-Forma'!C6+H67+H71+Assumptions!C28)+(H60+H61+(Assumptions!C7/H73)+'Pro-Forma'!H35+'Pro-Forma'!H34+'Pro-Forma'!H33+'Pro-Forma'!H32)-(H60+H61+(Assumptions!C7/H73)+'Pro-Forma'!H35+'Pro-Forma'!H34+'Pro-Forma'!H33)),(Assumptions!C61-(Assumptions!C44+Assumptions!C45+Assumptions!C7+Assumptions!C43+Assumptions!C42+Assumptions!C41+Assumptions!C40)+Assumptions!C28*Assumptions!C56)/(('Pro-Forma'!C6+H67+H71+Assumptions!C28)+(H60+H61+(Assumptions!C7/H73)+'Pro-Forma'!H35+'Pro-Forma'!H34+'Pro-Forma'!H33+'Pro-Forma'!H32)-(H60+H61+(Assumptions!C7/H73)+'Pro-Forma'!H35+'Pro-Forma'!H34+'Pro-Forma'!H33+'Pro-Forma'!H32))),Assumptions!C11,H75*MIN((Assumptions!C61-0+Assumptions!C28*Assumptions!C56)/(('Pro-Forma'!C6+H67+H71+Assumptions!C28)+(H60+H61+(Assumptions!C7/H73)+'Pro-Forma'!H35+'Pro-Forma'!H34+'Pro-Forma'!H33+'Pro-Forma'!H32)-0),(Assumptions!C61-Assumptions!C44+Assumptions!C28*Assumptions!C56)/(('Pro-Forma'!C6+H67+H71+Assumptions!C28)+(H60+H61+(Assumptions!C7/H73)+'Pro-Forma'!H35+'Pro-Forma'!H34+'Pro-Forma'!H33+'Pro-Forma'!H32)-H60),(Assumptions!C61-(Assumptions!C44+Assumptions!C45)+Assumptions!C28*Assumptions!C56)/(('Pro-Forma'!C6+H67+H71+Assumptions!C28)+(H60+H61+(Assumptions!C7/H73)+'Pro-Forma'!H35+'Pro-Forma'!H34+'Pro-Forma'!H33+'Pro-Forma'!H32)-(H60+H61)),(Assumptions!C61-(Assumptions!C44+Assumptions!C45+Assumptions!C7)+Assumptions!C28*Assumptions!C56)/(('Pro-Forma'!C6+H67+H71+Assumptions!C28)+(H60+H61+(Assumptions!C7/H73)+'Pro-Forma'!H35+'Pro-Forma'!H34+'Pro-Forma'!H33+'Pro-Forma'!H32)-(H60+H61+(Assumptions!C7/H73))),(Assumptions!C61-(Assumptions!C44+Assumptions!C45+Assumptions!C7+Assumptions!C43)+Assumptions!C28*Assumptions!C56)/(('Pro-Forma'!C6+H67+H71+Assumptions!C28)+(H60+H61+(Assumptions!C7/H73)+'Pro-Forma'!H35+'Pro-Forma'!H34+'Pro-Forma'!H33+'Pro-Forma'!H32)-(H60+H61+(Assumptions!C7/H73)+'Pro-Forma'!H35)),(Assumptions!C61-(Assumptions!C44+Assumptions!C45+Assumptions!C7+Assumptions!C43+Assumptions!C42)+Assumptions!C28*Assumptions!C56)/(('Pro-Forma'!C6+H67+H71+Assumptions!C28)+(H60+H61+(Assumptions!C7/H73)+'Pro-Forma'!H35+'Pro-Forma'!H34+'Pro-Forma'!H33+'Pro-Forma'!H32)-(H60+H61+(Assumptions!C7/H73)+'Pro-Forma'!H35+'Pro-Forma'!H34)),(Assumptions!C61-(Assumptions!C44+Assumptions!C45+Assumptions!C7+Assumptions!C43+Assumptions!C42+Assumptions!C41)+Assumptions!C28*Assumptions!C56)/(('Pro-Forma'!C6+H67+H71+Assumptions!C28)+(H60+H61+(Assumptions!C7/H73)+'Pro-Forma'!H35+'Pro-Forma'!H34+'Pro-Forma'!H33+'Pro-Forma'!H32)-(H60+H61+(Assumptions!C7/H73)+'Pro-Forma'!H35+'Pro-Forma'!H34+'Pro-Forma'!H33)),(Assumptions!C61-(Assumptions!C44+Assumptions!C45+Assumptions!C7+Assumptions!C43+Assumptions!C42+Assumptions!C41+Assumptions!C40)+Assumptions!C28*Assumptions!C56)/(('Pro-Forma'!C6+H67+H71+Assumptions!C28)+(H60+H61+(Assumptions!C7/H73)+'Pro-Forma'!H35+'Pro-Forma'!H34+'Pro-Forma'!H33+'Pro-Forma'!H32)-(H60+H61+(Assumptions!C7/H73)+'Pro-Forma'!H35+'Pro-Forma'!H34+'Pro-Forma'!H33+'Pro-Forma'!H32))))</f>
      </c>
      <c r="I76" s="18">
        <f>IF(I73&gt;MIN((Assumptions!C61-0+Assumptions!C28*Assumptions!C56)/(('Pro-Forma'!C6+I67+I71+Assumptions!C28)+(I60+I61+(Assumptions!C7/I73)+'Pro-Forma'!H35+'Pro-Forma'!H34+'Pro-Forma'!H33+'Pro-Forma'!H32)-0),(Assumptions!C61-Assumptions!C44+Assumptions!C28*Assumptions!C56)/(('Pro-Forma'!C6+I67+I71+Assumptions!C28)+(I60+I61+(Assumptions!C7/I73)+'Pro-Forma'!H35+'Pro-Forma'!H34+'Pro-Forma'!H33+'Pro-Forma'!H32)-I60),(Assumptions!C61-(Assumptions!C44+Assumptions!C45)+Assumptions!C28*Assumptions!C56)/(('Pro-Forma'!C6+I67+I71+Assumptions!C28)+(I60+I61+(Assumptions!C7/I73)+'Pro-Forma'!H35+'Pro-Forma'!H34+'Pro-Forma'!H33+'Pro-Forma'!H32)-(I60+I61)),(Assumptions!C61-(Assumptions!C44+Assumptions!C45+Assumptions!C7)+Assumptions!C28*Assumptions!C56)/(('Pro-Forma'!C6+I67+I71+Assumptions!C28)+(I60+I61+(Assumptions!C7/I73)+'Pro-Forma'!H35+'Pro-Forma'!H34+'Pro-Forma'!H33+'Pro-Forma'!H32)-(I60+I61+(Assumptions!C7/I73))),(Assumptions!C61-(Assumptions!C44+Assumptions!C45+Assumptions!C7+Assumptions!C43)+Assumptions!C28*Assumptions!C56)/(('Pro-Forma'!C6+I67+I71+Assumptions!C28)+(I60+I61+(Assumptions!C7/I73)+'Pro-Forma'!H35+'Pro-Forma'!H34+'Pro-Forma'!H33+'Pro-Forma'!H32)-(I60+I61+(Assumptions!C7/I73)+'Pro-Forma'!H35)),(Assumptions!C61-(Assumptions!C44+Assumptions!C45+Assumptions!C7+Assumptions!C43+Assumptions!C42)+Assumptions!C28*Assumptions!C56)/(('Pro-Forma'!C6+I67+I71+Assumptions!C28)+(I60+I61+(Assumptions!C7/I73)+'Pro-Forma'!H35+'Pro-Forma'!H34+'Pro-Forma'!H33+'Pro-Forma'!H32)-(I60+I61+(Assumptions!C7/I73)+'Pro-Forma'!H35+'Pro-Forma'!H34)),(Assumptions!C61-(Assumptions!C44+Assumptions!C45+Assumptions!C7+Assumptions!C43+Assumptions!C42+Assumptions!C41)+Assumptions!C28*Assumptions!C56)/(('Pro-Forma'!C6+I67+I71+Assumptions!C28)+(I60+I61+(Assumptions!C7/I73)+'Pro-Forma'!H35+'Pro-Forma'!H34+'Pro-Forma'!H33+'Pro-Forma'!H32)-(I60+I61+(Assumptions!C7/I73)+'Pro-Forma'!H35+'Pro-Forma'!H34+'Pro-Forma'!H33)),(Assumptions!C61-(Assumptions!C44+Assumptions!C45+Assumptions!C7+Assumptions!C43+Assumptions!C42+Assumptions!C41+Assumptions!C40)+Assumptions!C28*Assumptions!C56)/(('Pro-Forma'!C6+I67+I71+Assumptions!C28)+(I60+I61+(Assumptions!C7/I73)+'Pro-Forma'!H35+'Pro-Forma'!H34+'Pro-Forma'!H33+'Pro-Forma'!H32)-(I60+I61+(Assumptions!C7/I73)+'Pro-Forma'!H35+'Pro-Forma'!H34+'Pro-Forma'!H33+'Pro-Forma'!H32))),Assumptions!C11,I75*MIN((Assumptions!C61-0+Assumptions!C28*Assumptions!C56)/(('Pro-Forma'!C6+I67+I71+Assumptions!C28)+(I60+I61+(Assumptions!C7/I73)+'Pro-Forma'!H35+'Pro-Forma'!H34+'Pro-Forma'!H33+'Pro-Forma'!H32)-0),(Assumptions!C61-Assumptions!C44+Assumptions!C28*Assumptions!C56)/(('Pro-Forma'!C6+I67+I71+Assumptions!C28)+(I60+I61+(Assumptions!C7/I73)+'Pro-Forma'!H35+'Pro-Forma'!H34+'Pro-Forma'!H33+'Pro-Forma'!H32)-I60),(Assumptions!C61-(Assumptions!C44+Assumptions!C45)+Assumptions!C28*Assumptions!C56)/(('Pro-Forma'!C6+I67+I71+Assumptions!C28)+(I60+I61+(Assumptions!C7/I73)+'Pro-Forma'!H35+'Pro-Forma'!H34+'Pro-Forma'!H33+'Pro-Forma'!H32)-(I60+I61)),(Assumptions!C61-(Assumptions!C44+Assumptions!C45+Assumptions!C7)+Assumptions!C28*Assumptions!C56)/(('Pro-Forma'!C6+I67+I71+Assumptions!C28)+(I60+I61+(Assumptions!C7/I73)+'Pro-Forma'!H35+'Pro-Forma'!H34+'Pro-Forma'!H33+'Pro-Forma'!H32)-(I60+I61+(Assumptions!C7/I73))),(Assumptions!C61-(Assumptions!C44+Assumptions!C45+Assumptions!C7+Assumptions!C43)+Assumptions!C28*Assumptions!C56)/(('Pro-Forma'!C6+I67+I71+Assumptions!C28)+(I60+I61+(Assumptions!C7/I73)+'Pro-Forma'!H35+'Pro-Forma'!H34+'Pro-Forma'!H33+'Pro-Forma'!H32)-(I60+I61+(Assumptions!C7/I73)+'Pro-Forma'!H35)),(Assumptions!C61-(Assumptions!C44+Assumptions!C45+Assumptions!C7+Assumptions!C43+Assumptions!C42)+Assumptions!C28*Assumptions!C56)/(('Pro-Forma'!C6+I67+I71+Assumptions!C28)+(I60+I61+(Assumptions!C7/I73)+'Pro-Forma'!H35+'Pro-Forma'!H34+'Pro-Forma'!H33+'Pro-Forma'!H32)-(I60+I61+(Assumptions!C7/I73)+'Pro-Forma'!H35+'Pro-Forma'!H34)),(Assumptions!C61-(Assumptions!C44+Assumptions!C45+Assumptions!C7+Assumptions!C43+Assumptions!C42+Assumptions!C41)+Assumptions!C28*Assumptions!C56)/(('Pro-Forma'!C6+I67+I71+Assumptions!C28)+(I60+I61+(Assumptions!C7/I73)+'Pro-Forma'!H35+'Pro-Forma'!H34+'Pro-Forma'!H33+'Pro-Forma'!H32)-(I60+I61+(Assumptions!C7/I73)+'Pro-Forma'!H35+'Pro-Forma'!H34+'Pro-Forma'!H33)),(Assumptions!C61-(Assumptions!C44+Assumptions!C45+Assumptions!C7+Assumptions!C43+Assumptions!C42+Assumptions!C41+Assumptions!C40)+Assumptions!C28*Assumptions!C56)/(('Pro-Forma'!C6+I67+I71+Assumptions!C28)+(I60+I61+(Assumptions!C7/I73)+'Pro-Forma'!H35+'Pro-Forma'!H34+'Pro-Forma'!H33+'Pro-Forma'!H32)-(I60+I61+(Assumptions!C7/I73)+'Pro-Forma'!H35+'Pro-Forma'!H34+'Pro-Forma'!H33+'Pro-Forma'!H32))))</f>
      </c>
      <c r="J76" s="18">
        <f>IF(J73&gt;MIN((Assumptions!C61-0+Assumptions!C28*Assumptions!C56)/(('Pro-Forma'!C6+J67+J71+Assumptions!C28)+(J60+J61+(Assumptions!C7/J73)+'Pro-Forma'!H35+'Pro-Forma'!H34+'Pro-Forma'!H33+'Pro-Forma'!H32)-0),(Assumptions!C61-Assumptions!C44+Assumptions!C28*Assumptions!C56)/(('Pro-Forma'!C6+J67+J71+Assumptions!C28)+(J60+J61+(Assumptions!C7/J73)+'Pro-Forma'!H35+'Pro-Forma'!H34+'Pro-Forma'!H33+'Pro-Forma'!H32)-J60),(Assumptions!C61-(Assumptions!C44+Assumptions!C45)+Assumptions!C28*Assumptions!C56)/(('Pro-Forma'!C6+J67+J71+Assumptions!C28)+(J60+J61+(Assumptions!C7/J73)+'Pro-Forma'!H35+'Pro-Forma'!H34+'Pro-Forma'!H33+'Pro-Forma'!H32)-(J60+J61)),(Assumptions!C61-(Assumptions!C44+Assumptions!C45+Assumptions!C7)+Assumptions!C28*Assumptions!C56)/(('Pro-Forma'!C6+J67+J71+Assumptions!C28)+(J60+J61+(Assumptions!C7/J73)+'Pro-Forma'!H35+'Pro-Forma'!H34+'Pro-Forma'!H33+'Pro-Forma'!H32)-(J60+J61+(Assumptions!C7/J73))),(Assumptions!C61-(Assumptions!C44+Assumptions!C45+Assumptions!C7+Assumptions!C43)+Assumptions!C28*Assumptions!C56)/(('Pro-Forma'!C6+J67+J71+Assumptions!C28)+(J60+J61+(Assumptions!C7/J73)+'Pro-Forma'!H35+'Pro-Forma'!H34+'Pro-Forma'!H33+'Pro-Forma'!H32)-(J60+J61+(Assumptions!C7/J73)+'Pro-Forma'!H35)),(Assumptions!C61-(Assumptions!C44+Assumptions!C45+Assumptions!C7+Assumptions!C43+Assumptions!C42)+Assumptions!C28*Assumptions!C56)/(('Pro-Forma'!C6+J67+J71+Assumptions!C28)+(J60+J61+(Assumptions!C7/J73)+'Pro-Forma'!H35+'Pro-Forma'!H34+'Pro-Forma'!H33+'Pro-Forma'!H32)-(J60+J61+(Assumptions!C7/J73)+'Pro-Forma'!H35+'Pro-Forma'!H34)),(Assumptions!C61-(Assumptions!C44+Assumptions!C45+Assumptions!C7+Assumptions!C43+Assumptions!C42+Assumptions!C41)+Assumptions!C28*Assumptions!C56)/(('Pro-Forma'!C6+J67+J71+Assumptions!C28)+(J60+J61+(Assumptions!C7/J73)+'Pro-Forma'!H35+'Pro-Forma'!H34+'Pro-Forma'!H33+'Pro-Forma'!H32)-(J60+J61+(Assumptions!C7/J73)+'Pro-Forma'!H35+'Pro-Forma'!H34+'Pro-Forma'!H33)),(Assumptions!C61-(Assumptions!C44+Assumptions!C45+Assumptions!C7+Assumptions!C43+Assumptions!C42+Assumptions!C41+Assumptions!C40)+Assumptions!C28*Assumptions!C56)/(('Pro-Forma'!C6+J67+J71+Assumptions!C28)+(J60+J61+(Assumptions!C7/J73)+'Pro-Forma'!H35+'Pro-Forma'!H34+'Pro-Forma'!H33+'Pro-Forma'!H32)-(J60+J61+(Assumptions!C7/J73)+'Pro-Forma'!H35+'Pro-Forma'!H34+'Pro-Forma'!H33+'Pro-Forma'!H32))),Assumptions!C11,J75*MIN((Assumptions!C61-0+Assumptions!C28*Assumptions!C56)/(('Pro-Forma'!C6+J67+J71+Assumptions!C28)+(J60+J61+(Assumptions!C7/J73)+'Pro-Forma'!H35+'Pro-Forma'!H34+'Pro-Forma'!H33+'Pro-Forma'!H32)-0),(Assumptions!C61-Assumptions!C44+Assumptions!C28*Assumptions!C56)/(('Pro-Forma'!C6+J67+J71+Assumptions!C28)+(J60+J61+(Assumptions!C7/J73)+'Pro-Forma'!H35+'Pro-Forma'!H34+'Pro-Forma'!H33+'Pro-Forma'!H32)-J60),(Assumptions!C61-(Assumptions!C44+Assumptions!C45)+Assumptions!C28*Assumptions!C56)/(('Pro-Forma'!C6+J67+J71+Assumptions!C28)+(J60+J61+(Assumptions!C7/J73)+'Pro-Forma'!H35+'Pro-Forma'!H34+'Pro-Forma'!H33+'Pro-Forma'!H32)-(J60+J61)),(Assumptions!C61-(Assumptions!C44+Assumptions!C45+Assumptions!C7)+Assumptions!C28*Assumptions!C56)/(('Pro-Forma'!C6+J67+J71+Assumptions!C28)+(J60+J61+(Assumptions!C7/J73)+'Pro-Forma'!H35+'Pro-Forma'!H34+'Pro-Forma'!H33+'Pro-Forma'!H32)-(J60+J61+(Assumptions!C7/J73))),(Assumptions!C61-(Assumptions!C44+Assumptions!C45+Assumptions!C7+Assumptions!C43)+Assumptions!C28*Assumptions!C56)/(('Pro-Forma'!C6+J67+J71+Assumptions!C28)+(J60+J61+(Assumptions!C7/J73)+'Pro-Forma'!H35+'Pro-Forma'!H34+'Pro-Forma'!H33+'Pro-Forma'!H32)-(J60+J61+(Assumptions!C7/J73)+'Pro-Forma'!H35)),(Assumptions!C61-(Assumptions!C44+Assumptions!C45+Assumptions!C7+Assumptions!C43+Assumptions!C42)+Assumptions!C28*Assumptions!C56)/(('Pro-Forma'!C6+J67+J71+Assumptions!C28)+(J60+J61+(Assumptions!C7/J73)+'Pro-Forma'!H35+'Pro-Forma'!H34+'Pro-Forma'!H33+'Pro-Forma'!H32)-(J60+J61+(Assumptions!C7/J73)+'Pro-Forma'!H35+'Pro-Forma'!H34)),(Assumptions!C61-(Assumptions!C44+Assumptions!C45+Assumptions!C7+Assumptions!C43+Assumptions!C42+Assumptions!C41)+Assumptions!C28*Assumptions!C56)/(('Pro-Forma'!C6+J67+J71+Assumptions!C28)+(J60+J61+(Assumptions!C7/J73)+'Pro-Forma'!H35+'Pro-Forma'!H34+'Pro-Forma'!H33+'Pro-Forma'!H32)-(J60+J61+(Assumptions!C7/J73)+'Pro-Forma'!H35+'Pro-Forma'!H34+'Pro-Forma'!H33)),(Assumptions!C61-(Assumptions!C44+Assumptions!C45+Assumptions!C7+Assumptions!C43+Assumptions!C42+Assumptions!C41+Assumptions!C40)+Assumptions!C28*Assumptions!C56)/(('Pro-Forma'!C6+J67+J71+Assumptions!C28)+(J60+J61+(Assumptions!C7/J73)+'Pro-Forma'!H35+'Pro-Forma'!H34+'Pro-Forma'!H33+'Pro-Forma'!H32)-(J60+J61+(Assumptions!C7/J73)+'Pro-Forma'!H35+'Pro-Forma'!H34+'Pro-Forma'!H33+'Pro-Forma'!H32))))</f>
      </c>
      <c r="K76" s="18">
        <f>IF(K73&gt;MIN((Assumptions!C61-0+Assumptions!C28*Assumptions!C56)/(('Pro-Forma'!C6+K67+K71+Assumptions!C28)+(K60+K61+(Assumptions!C7/K73)+'Pro-Forma'!H35+'Pro-Forma'!H34+'Pro-Forma'!H33+'Pro-Forma'!H32)-0),(Assumptions!C61-Assumptions!C44+Assumptions!C28*Assumptions!C56)/(('Pro-Forma'!C6+K67+K71+Assumptions!C28)+(K60+K61+(Assumptions!C7/K73)+'Pro-Forma'!H35+'Pro-Forma'!H34+'Pro-Forma'!H33+'Pro-Forma'!H32)-K60),(Assumptions!C61-(Assumptions!C44+Assumptions!C45)+Assumptions!C28*Assumptions!C56)/(('Pro-Forma'!C6+K67+K71+Assumptions!C28)+(K60+K61+(Assumptions!C7/K73)+'Pro-Forma'!H35+'Pro-Forma'!H34+'Pro-Forma'!H33+'Pro-Forma'!H32)-(K60+K61)),(Assumptions!C61-(Assumptions!C44+Assumptions!C45+Assumptions!C7)+Assumptions!C28*Assumptions!C56)/(('Pro-Forma'!C6+K67+K71+Assumptions!C28)+(K60+K61+(Assumptions!C7/K73)+'Pro-Forma'!H35+'Pro-Forma'!H34+'Pro-Forma'!H33+'Pro-Forma'!H32)-(K60+K61+(Assumptions!C7/K73))),(Assumptions!C61-(Assumptions!C44+Assumptions!C45+Assumptions!C7+Assumptions!C43)+Assumptions!C28*Assumptions!C56)/(('Pro-Forma'!C6+K67+K71+Assumptions!C28)+(K60+K61+(Assumptions!C7/K73)+'Pro-Forma'!H35+'Pro-Forma'!H34+'Pro-Forma'!H33+'Pro-Forma'!H32)-(K60+K61+(Assumptions!C7/K73)+'Pro-Forma'!H35)),(Assumptions!C61-(Assumptions!C44+Assumptions!C45+Assumptions!C7+Assumptions!C43+Assumptions!C42)+Assumptions!C28*Assumptions!C56)/(('Pro-Forma'!C6+K67+K71+Assumptions!C28)+(K60+K61+(Assumptions!C7/K73)+'Pro-Forma'!H35+'Pro-Forma'!H34+'Pro-Forma'!H33+'Pro-Forma'!H32)-(K60+K61+(Assumptions!C7/K73)+'Pro-Forma'!H35+'Pro-Forma'!H34)),(Assumptions!C61-(Assumptions!C44+Assumptions!C45+Assumptions!C7+Assumptions!C43+Assumptions!C42+Assumptions!C41)+Assumptions!C28*Assumptions!C56)/(('Pro-Forma'!C6+K67+K71+Assumptions!C28)+(K60+K61+(Assumptions!C7/K73)+'Pro-Forma'!H35+'Pro-Forma'!H34+'Pro-Forma'!H33+'Pro-Forma'!H32)-(K60+K61+(Assumptions!C7/K73)+'Pro-Forma'!H35+'Pro-Forma'!H34+'Pro-Forma'!H33)),(Assumptions!C61-(Assumptions!C44+Assumptions!C45+Assumptions!C7+Assumptions!C43+Assumptions!C42+Assumptions!C41+Assumptions!C40)+Assumptions!C28*Assumptions!C56)/(('Pro-Forma'!C6+K67+K71+Assumptions!C28)+(K60+K61+(Assumptions!C7/K73)+'Pro-Forma'!H35+'Pro-Forma'!H34+'Pro-Forma'!H33+'Pro-Forma'!H32)-(K60+K61+(Assumptions!C7/K73)+'Pro-Forma'!H35+'Pro-Forma'!H34+'Pro-Forma'!H33+'Pro-Forma'!H32))),Assumptions!C11,K75*MIN((Assumptions!C61-0+Assumptions!C28*Assumptions!C56)/(('Pro-Forma'!C6+K67+K71+Assumptions!C28)+(K60+K61+(Assumptions!C7/K73)+'Pro-Forma'!H35+'Pro-Forma'!H34+'Pro-Forma'!H33+'Pro-Forma'!H32)-0),(Assumptions!C61-Assumptions!C44+Assumptions!C28*Assumptions!C56)/(('Pro-Forma'!C6+K67+K71+Assumptions!C28)+(K60+K61+(Assumptions!C7/K73)+'Pro-Forma'!H35+'Pro-Forma'!H34+'Pro-Forma'!H33+'Pro-Forma'!H32)-K60),(Assumptions!C61-(Assumptions!C44+Assumptions!C45)+Assumptions!C28*Assumptions!C56)/(('Pro-Forma'!C6+K67+K71+Assumptions!C28)+(K60+K61+(Assumptions!C7/K73)+'Pro-Forma'!H35+'Pro-Forma'!H34+'Pro-Forma'!H33+'Pro-Forma'!H32)-(K60+K61)),(Assumptions!C61-(Assumptions!C44+Assumptions!C45+Assumptions!C7)+Assumptions!C28*Assumptions!C56)/(('Pro-Forma'!C6+K67+K71+Assumptions!C28)+(K60+K61+(Assumptions!C7/K73)+'Pro-Forma'!H35+'Pro-Forma'!H34+'Pro-Forma'!H33+'Pro-Forma'!H32)-(K60+K61+(Assumptions!C7/K73))),(Assumptions!C61-(Assumptions!C44+Assumptions!C45+Assumptions!C7+Assumptions!C43)+Assumptions!C28*Assumptions!C56)/(('Pro-Forma'!C6+K67+K71+Assumptions!C28)+(K60+K61+(Assumptions!C7/K73)+'Pro-Forma'!H35+'Pro-Forma'!H34+'Pro-Forma'!H33+'Pro-Forma'!H32)-(K60+K61+(Assumptions!C7/K73)+'Pro-Forma'!H35)),(Assumptions!C61-(Assumptions!C44+Assumptions!C45+Assumptions!C7+Assumptions!C43+Assumptions!C42)+Assumptions!C28*Assumptions!C56)/(('Pro-Forma'!C6+K67+K71+Assumptions!C28)+(K60+K61+(Assumptions!C7/K73)+'Pro-Forma'!H35+'Pro-Forma'!H34+'Pro-Forma'!H33+'Pro-Forma'!H32)-(K60+K61+(Assumptions!C7/K73)+'Pro-Forma'!H35+'Pro-Forma'!H34)),(Assumptions!C61-(Assumptions!C44+Assumptions!C45+Assumptions!C7+Assumptions!C43+Assumptions!C42+Assumptions!C41)+Assumptions!C28*Assumptions!C56)/(('Pro-Forma'!C6+K67+K71+Assumptions!C28)+(K60+K61+(Assumptions!C7/K73)+'Pro-Forma'!H35+'Pro-Forma'!H34+'Pro-Forma'!H33+'Pro-Forma'!H32)-(K60+K61+(Assumptions!C7/K73)+'Pro-Forma'!H35+'Pro-Forma'!H34+'Pro-Forma'!H33)),(Assumptions!C61-(Assumptions!C44+Assumptions!C45+Assumptions!C7+Assumptions!C43+Assumptions!C42+Assumptions!C41+Assumptions!C40)+Assumptions!C28*Assumptions!C56)/(('Pro-Forma'!C6+K67+K71+Assumptions!C28)+(K60+K61+(Assumptions!C7/K73)+'Pro-Forma'!H35+'Pro-Forma'!H34+'Pro-Forma'!H33+'Pro-Forma'!H32)-(K60+K61+(Assumptions!C7/K73)+'Pro-Forma'!H35+'Pro-Forma'!H34+'Pro-Forma'!H33+'Pro-Forma'!H32))))</f>
      </c>
    </row>
    <row r="77" spans="2:11" x14ac:dyDescent="0.25">
      <c r="B77" s="11" t="s">
        <v>292</v>
      </c>
      <c r="C77" s="27">
        <f>C75/C74</f>
      </c>
      <c r="D77" s="27">
        <f>D75/D74</f>
      </c>
      <c r="E77" s="27">
        <f>E75/E74</f>
      </c>
      <c r="F77" s="27">
        <f>F75/F74</f>
      </c>
      <c r="G77" s="27">
        <f>G75/G74</f>
      </c>
      <c r="H77" s="27">
        <f>H75/H74</f>
      </c>
      <c r="I77" s="27">
        <f>I75/I74</f>
      </c>
      <c r="J77" s="27">
        <f>J75/J74</f>
      </c>
      <c r="K77" s="27">
        <f>K75/K74</f>
      </c>
    </row>
    <row r="79" spans="2:2" x14ac:dyDescent="0.25">
      <c r="B79" s="25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2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27.705" customWidth="1"/>
    <col min="3" max="3" width="12.705" customWidth="1"/>
    <col min="4" max="5" width="13.955" customWidth="1"/>
    <col min="6" max="10" width="14.58" customWidth="1"/>
  </cols>
  <sheetData>
    <row r="2" ht="18" customHeight="1" spans="2:2" x14ac:dyDescent="0.25">
      <c r="B2" s="1" t="s">
        <v>294</v>
      </c>
    </row>
    <row r="3" spans="2:2" x14ac:dyDescent="0.25">
      <c r="B3" s="2" t="s">
        <v>295</v>
      </c>
    </row>
    <row r="5" spans="2:10" x14ac:dyDescent="0.25">
      <c r="B5" s="3" t="s">
        <v>296</v>
      </c>
      <c r="C5" s="4"/>
      <c r="D5" s="4"/>
      <c r="E5" s="4"/>
      <c r="F5" s="4"/>
      <c r="G5" s="4"/>
      <c r="H5" s="4"/>
      <c r="I5" s="4"/>
      <c r="J5" s="4"/>
    </row>
    <row r="6" spans="2:5" x14ac:dyDescent="0.25">
      <c r="B6" s="16" t="s">
        <v>110</v>
      </c>
      <c r="C6" s="16" t="s">
        <v>297</v>
      </c>
      <c r="D6" s="16" t="s">
        <v>133</v>
      </c>
      <c r="E6" s="16" t="s">
        <v>298</v>
      </c>
    </row>
    <row r="7" spans="2:5" x14ac:dyDescent="0.25">
      <c r="B7" s="5" t="s">
        <v>166</v>
      </c>
      <c r="C7" s="17">
        <f>'Pro-Forma'!E36</f>
      </c>
      <c r="D7" s="12">
        <f>'Pro-Forma'!H36</f>
      </c>
      <c r="E7" s="13">
        <f>Assumptions!C44</f>
      </c>
    </row>
    <row r="8" spans="2:5" x14ac:dyDescent="0.25">
      <c r="B8" s="5" t="s">
        <v>168</v>
      </c>
      <c r="C8" s="17">
        <f>'Pro-Forma'!E37</f>
      </c>
      <c r="D8" s="12">
        <f>'Pro-Forma'!H37</f>
      </c>
      <c r="E8" s="13">
        <f>Assumptions!C45</f>
      </c>
    </row>
    <row r="9" spans="2:5" x14ac:dyDescent="0.25">
      <c r="B9" s="5" t="s">
        <v>299</v>
      </c>
      <c r="C9" s="17">
        <f>'Pro-Forma'!C22</f>
      </c>
      <c r="D9" s="12">
        <f>'Pro-Forma'!C23</f>
      </c>
      <c r="E9" s="13">
        <f>Assumptions!C7</f>
      </c>
    </row>
    <row r="10" spans="2:5" x14ac:dyDescent="0.25">
      <c r="B10" s="5" t="s">
        <v>164</v>
      </c>
      <c r="C10" s="17">
        <f>Assumptions!C18</f>
      </c>
      <c r="D10" s="12">
        <f>'Pro-Forma'!H35</f>
      </c>
      <c r="E10" s="13">
        <f>Assumptions!C43</f>
      </c>
    </row>
    <row r="11" spans="2:5" x14ac:dyDescent="0.25">
      <c r="B11" s="5" t="s">
        <v>162</v>
      </c>
      <c r="C11" s="17">
        <f>Assumptions!C17</f>
      </c>
      <c r="D11" s="12">
        <f>'Pro-Forma'!H34</f>
      </c>
      <c r="E11" s="13">
        <f>Assumptions!C42</f>
      </c>
    </row>
    <row r="12" spans="2:5" x14ac:dyDescent="0.25">
      <c r="B12" s="5" t="s">
        <v>160</v>
      </c>
      <c r="C12" s="17">
        <f>Assumptions!C16</f>
      </c>
      <c r="D12" s="12">
        <f>'Pro-Forma'!H33</f>
      </c>
      <c r="E12" s="13">
        <f>Assumptions!C41</f>
      </c>
    </row>
    <row r="13" spans="2:5" x14ac:dyDescent="0.25">
      <c r="B13" s="5" t="s">
        <v>157</v>
      </c>
      <c r="C13" s="17">
        <f>Assumptions!C15</f>
      </c>
      <c r="D13" s="12">
        <f>'Pro-Forma'!H32</f>
      </c>
      <c r="E13" s="13">
        <f>Assumptions!C40</f>
      </c>
    </row>
    <row r="15" spans="2:10" x14ac:dyDescent="0.25">
      <c r="B15" s="3" t="s">
        <v>300</v>
      </c>
      <c r="C15" s="4"/>
      <c r="D15" s="4"/>
      <c r="E15" s="4"/>
      <c r="F15" s="4"/>
      <c r="G15" s="4"/>
      <c r="H15" s="4"/>
      <c r="I15" s="4"/>
      <c r="J15" s="4"/>
    </row>
    <row r="16" spans="2:4" x14ac:dyDescent="0.25">
      <c r="B16" s="5" t="s">
        <v>301</v>
      </c>
      <c r="D16" s="12">
        <f>'Pro-Forma'!C6</f>
      </c>
    </row>
    <row r="17" spans="2:4" x14ac:dyDescent="0.25">
      <c r="B17" s="5" t="s">
        <v>302</v>
      </c>
      <c r="D17" s="12">
        <f>'Pro-Forma'!J42+'Pro-Forma'!J43</f>
      </c>
    </row>
    <row r="18" spans="2:4" x14ac:dyDescent="0.25">
      <c r="B18" s="5" t="s">
        <v>303</v>
      </c>
      <c r="C18" s="17">
        <f>Assumptions!C56</f>
      </c>
      <c r="D18" s="12">
        <f>Assumptions!C28</f>
      </c>
    </row>
    <row r="19" spans="2:4" x14ac:dyDescent="0.25">
      <c r="B19" s="11" t="s">
        <v>304</v>
      </c>
      <c r="D19" s="12">
        <f>SUM(D7:D13)</f>
      </c>
    </row>
    <row r="20" spans="2:4" x14ac:dyDescent="0.25">
      <c r="B20" s="11" t="s">
        <v>305</v>
      </c>
      <c r="D20" s="12">
        <f>D16+D17+D18</f>
      </c>
    </row>
    <row r="22" spans="2:10" x14ac:dyDescent="0.25">
      <c r="B22" s="3" t="s">
        <v>306</v>
      </c>
      <c r="C22" s="4"/>
      <c r="D22" s="4"/>
      <c r="E22" s="4"/>
      <c r="F22" s="4"/>
      <c r="G22" s="4"/>
      <c r="H22" s="4"/>
      <c r="I22" s="4"/>
      <c r="J22" s="4"/>
    </row>
    <row r="23" spans="2:10" x14ac:dyDescent="0.25">
      <c r="B23" s="16" t="s">
        <v>307</v>
      </c>
      <c r="C23" s="16" t="s">
        <v>308</v>
      </c>
      <c r="D23" s="16" t="s">
        <v>309</v>
      </c>
      <c r="E23" s="16" t="s">
        <v>310</v>
      </c>
      <c r="F23" s="16" t="s">
        <v>311</v>
      </c>
      <c r="G23" s="16" t="s">
        <v>312</v>
      </c>
      <c r="H23" s="16" t="s">
        <v>313</v>
      </c>
      <c r="I23" s="16" t="s">
        <v>314</v>
      </c>
      <c r="J23" s="16" t="s">
        <v>315</v>
      </c>
    </row>
    <row r="24" spans="2:10" x14ac:dyDescent="0.25">
      <c r="B24" s="5" t="s">
        <v>316</v>
      </c>
      <c r="C24" s="13">
        <v>0</v>
      </c>
      <c r="D24" s="12">
        <v>0</v>
      </c>
      <c r="E24" s="12">
        <f>D20+D19-D24</f>
      </c>
      <c r="F24" s="17">
        <f>(Assumptions!C59-C24+D18*C18)/E24</f>
      </c>
      <c r="G24" s="17">
        <f>(Assumptions!C60-C24+D18*C18)/E24</f>
      </c>
      <c r="H24" s="17">
        <f>(Assumptions!C61-C24+D18*C18)/E24</f>
      </c>
      <c r="I24" s="17">
        <f>(Assumptions!C62-C24+D18*C18)/E24</f>
      </c>
      <c r="J24" s="17">
        <f>(Assumptions!C63-C24+D18*C18)/E24</f>
      </c>
    </row>
    <row r="25" spans="2:10" x14ac:dyDescent="0.25">
      <c r="B25" s="5" t="s">
        <v>317</v>
      </c>
      <c r="C25" s="13">
        <f>C24+E7</f>
      </c>
      <c r="D25" s="12">
        <f>D24+D7</f>
      </c>
      <c r="E25" s="12">
        <f>D20+D19-D25</f>
      </c>
      <c r="F25" s="17">
        <f>(Assumptions!C59-C25+D18*C18)/E25</f>
      </c>
      <c r="G25" s="17">
        <f>(Assumptions!C60-C25+D18*C18)/E25</f>
      </c>
      <c r="H25" s="17">
        <f>(Assumptions!C61-C25+D18*C18)/E25</f>
      </c>
      <c r="I25" s="17">
        <f>(Assumptions!C62-C25+D18*C18)/E25</f>
      </c>
      <c r="J25" s="17">
        <f>(Assumptions!C63-C25+D18*C18)/E25</f>
      </c>
    </row>
    <row r="26" spans="2:10" x14ac:dyDescent="0.25">
      <c r="B26" s="5" t="s">
        <v>318</v>
      </c>
      <c r="C26" s="13">
        <f>C25+E8</f>
      </c>
      <c r="D26" s="12">
        <f>D25+D8</f>
      </c>
      <c r="E26" s="12">
        <f>D20+D19-D26</f>
      </c>
      <c r="F26" s="17">
        <f>(Assumptions!C59-C26+D18*C18)/E26</f>
      </c>
      <c r="G26" s="17">
        <f>(Assumptions!C60-C26+D18*C18)/E26</f>
      </c>
      <c r="H26" s="17">
        <f>(Assumptions!C61-C26+D18*C18)/E26</f>
      </c>
      <c r="I26" s="17">
        <f>(Assumptions!C62-C26+D18*C18)/E26</f>
      </c>
      <c r="J26" s="17">
        <f>(Assumptions!C63-C26+D18*C18)/E26</f>
      </c>
    </row>
    <row r="27" spans="2:10" x14ac:dyDescent="0.25">
      <c r="B27" s="5" t="s">
        <v>319</v>
      </c>
      <c r="C27" s="13">
        <f>C26+E9</f>
      </c>
      <c r="D27" s="12">
        <f>D26+D9</f>
      </c>
      <c r="E27" s="12">
        <f>D20+D19-D27</f>
      </c>
      <c r="F27" s="17">
        <f>(Assumptions!C59-C27+D18*C18)/E27</f>
      </c>
      <c r="G27" s="17">
        <f>(Assumptions!C60-C27+D18*C18)/E27</f>
      </c>
      <c r="H27" s="17">
        <f>(Assumptions!C61-C27+D18*C18)/E27</f>
      </c>
      <c r="I27" s="17">
        <f>(Assumptions!C62-C27+D18*C18)/E27</f>
      </c>
      <c r="J27" s="17">
        <f>(Assumptions!C63-C27+D18*C18)/E27</f>
      </c>
    </row>
    <row r="28" spans="2:10" x14ac:dyDescent="0.25">
      <c r="B28" s="5" t="s">
        <v>320</v>
      </c>
      <c r="C28" s="13">
        <f>C27+E10</f>
      </c>
      <c r="D28" s="12">
        <f>D27+D10</f>
      </c>
      <c r="E28" s="12">
        <f>D20+D19-D28</f>
      </c>
      <c r="F28" s="17">
        <f>(Assumptions!C59-C28+D18*C18)/E28</f>
      </c>
      <c r="G28" s="17">
        <f>(Assumptions!C60-C28+D18*C18)/E28</f>
      </c>
      <c r="H28" s="17">
        <f>(Assumptions!C61-C28+D18*C18)/E28</f>
      </c>
      <c r="I28" s="17">
        <f>(Assumptions!C62-C28+D18*C18)/E28</f>
      </c>
      <c r="J28" s="17">
        <f>(Assumptions!C63-C28+D18*C18)/E28</f>
      </c>
    </row>
    <row r="29" spans="2:10" x14ac:dyDescent="0.25">
      <c r="B29" s="5" t="s">
        <v>321</v>
      </c>
      <c r="C29" s="13">
        <f>C28+E11</f>
      </c>
      <c r="D29" s="12">
        <f>D28+D11</f>
      </c>
      <c r="E29" s="12">
        <f>D20+D19-D29</f>
      </c>
      <c r="F29" s="17">
        <f>(Assumptions!C59-C29+D18*C18)/E29</f>
      </c>
      <c r="G29" s="17">
        <f>(Assumptions!C60-C29+D18*C18)/E29</f>
      </c>
      <c r="H29" s="17">
        <f>(Assumptions!C61-C29+D18*C18)/E29</f>
      </c>
      <c r="I29" s="17">
        <f>(Assumptions!C62-C29+D18*C18)/E29</f>
      </c>
      <c r="J29" s="17">
        <f>(Assumptions!C63-C29+D18*C18)/E29</f>
      </c>
    </row>
    <row r="30" spans="2:10" x14ac:dyDescent="0.25">
      <c r="B30" s="5" t="s">
        <v>322</v>
      </c>
      <c r="C30" s="13">
        <f>C29+E12</f>
      </c>
      <c r="D30" s="12">
        <f>D29+D12</f>
      </c>
      <c r="E30" s="12">
        <f>D20+D19-D30</f>
      </c>
      <c r="F30" s="17">
        <f>(Assumptions!C59-C30+D18*C18)/E30</f>
      </c>
      <c r="G30" s="17">
        <f>(Assumptions!C60-C30+D18*C18)/E30</f>
      </c>
      <c r="H30" s="17">
        <f>(Assumptions!C61-C30+D18*C18)/E30</f>
      </c>
      <c r="I30" s="17">
        <f>(Assumptions!C62-C30+D18*C18)/E30</f>
      </c>
      <c r="J30" s="17">
        <f>(Assumptions!C63-C30+D18*C18)/E30</f>
      </c>
    </row>
    <row r="31" spans="2:10" x14ac:dyDescent="0.25">
      <c r="B31" s="5" t="s">
        <v>323</v>
      </c>
      <c r="C31" s="13">
        <f>C30+E13</f>
      </c>
      <c r="D31" s="12">
        <f>D30+D13</f>
      </c>
      <c r="E31" s="12">
        <f>D20+D19-D31</f>
      </c>
      <c r="F31" s="17">
        <f>(Assumptions!C59-C31+D18*C18)/E31</f>
      </c>
      <c r="G31" s="17">
        <f>(Assumptions!C60-C31+D18*C18)/E31</f>
      </c>
      <c r="H31" s="17">
        <f>(Assumptions!C61-C31+D18*C18)/E31</f>
      </c>
      <c r="I31" s="17">
        <f>(Assumptions!C62-C31+D18*C18)/E31</f>
      </c>
      <c r="J31" s="17">
        <f>(Assumptions!C63-C31+D18*C18)/E31</f>
      </c>
    </row>
    <row r="33" spans="2:10" x14ac:dyDescent="0.25">
      <c r="B33" s="3" t="s">
        <v>324</v>
      </c>
      <c r="C33" s="4"/>
      <c r="D33" s="4"/>
      <c r="E33" s="4"/>
      <c r="F33" s="4"/>
      <c r="G33" s="4"/>
      <c r="H33" s="4"/>
      <c r="I33" s="4"/>
      <c r="J33" s="4"/>
    </row>
    <row r="34" spans="2:10" x14ac:dyDescent="0.25">
      <c r="B34" s="5" t="s">
        <v>325</v>
      </c>
      <c r="F34" s="13">
        <f>Assumptions!C59</f>
      </c>
      <c r="G34" s="13">
        <f>Assumptions!C60</f>
      </c>
      <c r="H34" s="13">
        <f>Assumptions!C61</f>
      </c>
      <c r="I34" s="13">
        <f>Assumptions!C62</f>
      </c>
      <c r="J34" s="13">
        <f>Assumptions!C63</f>
      </c>
    </row>
    <row r="35" spans="2:10" x14ac:dyDescent="0.25">
      <c r="B35" s="11" t="s">
        <v>199</v>
      </c>
      <c r="F35" s="18">
        <f>MIN(F24:F31)</f>
      </c>
      <c r="G35" s="18">
        <f>MIN(G24:G31)</f>
      </c>
      <c r="H35" s="18">
        <f>MIN(H24:H31)</f>
      </c>
      <c r="I35" s="18">
        <f>MIN(I24:I31)</f>
      </c>
      <c r="J35" s="18">
        <f>MIN(J24:J31)</f>
      </c>
    </row>
    <row r="37" spans="2:10" x14ac:dyDescent="0.25">
      <c r="B37" s="3" t="s">
        <v>326</v>
      </c>
      <c r="C37" s="4"/>
      <c r="D37" s="4"/>
      <c r="E37" s="4"/>
      <c r="F37" s="4"/>
      <c r="G37" s="4"/>
      <c r="H37" s="4"/>
      <c r="I37" s="4"/>
      <c r="J37" s="4"/>
    </row>
    <row r="38" spans="2:10" x14ac:dyDescent="0.25">
      <c r="B38" s="16" t="s">
        <v>110</v>
      </c>
      <c r="C38" s="16" t="s">
        <v>327</v>
      </c>
      <c r="F38" s="16" t="s">
        <v>193</v>
      </c>
      <c r="G38" s="16" t="s">
        <v>194</v>
      </c>
      <c r="H38" s="16" t="s">
        <v>195</v>
      </c>
      <c r="I38" s="16" t="s">
        <v>196</v>
      </c>
      <c r="J38" s="16" t="s">
        <v>197</v>
      </c>
    </row>
    <row r="39" spans="2:10" x14ac:dyDescent="0.25">
      <c r="B39" s="5" t="s">
        <v>166</v>
      </c>
      <c r="C39" s="17">
        <f>C7</f>
      </c>
      <c r="F39" s="12">
        <f>IF(C39&gt;F$35,"preference","convert")</f>
      </c>
      <c r="G39" s="12">
        <f>IF(C39&gt;G$35,"preference","convert")</f>
      </c>
      <c r="H39" s="12">
        <f>IF(C39&gt;H$35,"preference","convert")</f>
      </c>
      <c r="I39" s="12">
        <f>IF(C39&gt;I$35,"preference","convert")</f>
      </c>
      <c r="J39" s="12">
        <f>IF(C39&gt;J$35,"preference","convert")</f>
      </c>
    </row>
    <row r="40" spans="2:10" x14ac:dyDescent="0.25">
      <c r="B40" s="5" t="s">
        <v>168</v>
      </c>
      <c r="C40" s="17">
        <f>C8</f>
      </c>
      <c r="F40" s="12">
        <f>IF(C40&gt;F$35,"preference","convert")</f>
      </c>
      <c r="G40" s="12">
        <f>IF(C40&gt;G$35,"preference","convert")</f>
      </c>
      <c r="H40" s="12">
        <f>IF(C40&gt;H$35,"preference","convert")</f>
      </c>
      <c r="I40" s="12">
        <f>IF(C40&gt;I$35,"preference","convert")</f>
      </c>
      <c r="J40" s="12">
        <f>IF(C40&gt;J$35,"preference","convert")</f>
      </c>
    </row>
    <row r="41" spans="2:10" x14ac:dyDescent="0.25">
      <c r="B41" s="5" t="s">
        <v>299</v>
      </c>
      <c r="C41" s="17">
        <f>C9</f>
      </c>
      <c r="F41" s="12">
        <f>IF(C41&gt;F$35,"preference","convert")</f>
      </c>
      <c r="G41" s="12">
        <f>IF(C41&gt;G$35,"preference","convert")</f>
      </c>
      <c r="H41" s="12">
        <f>IF(C41&gt;H$35,"preference","convert")</f>
      </c>
      <c r="I41" s="12">
        <f>IF(C41&gt;I$35,"preference","convert")</f>
      </c>
      <c r="J41" s="12">
        <f>IF(C41&gt;J$35,"preference","convert")</f>
      </c>
    </row>
    <row r="42" spans="2:10" x14ac:dyDescent="0.25">
      <c r="B42" s="5" t="s">
        <v>164</v>
      </c>
      <c r="C42" s="17">
        <f>C10</f>
      </c>
      <c r="F42" s="12">
        <f>IF(C42&gt;F$35,"preference","convert")</f>
      </c>
      <c r="G42" s="12">
        <f>IF(C42&gt;G$35,"preference","convert")</f>
      </c>
      <c r="H42" s="12">
        <f>IF(C42&gt;H$35,"preference","convert")</f>
      </c>
      <c r="I42" s="12">
        <f>IF(C42&gt;I$35,"preference","convert")</f>
      </c>
      <c r="J42" s="12">
        <f>IF(C42&gt;J$35,"preference","convert")</f>
      </c>
    </row>
    <row r="43" spans="2:10" x14ac:dyDescent="0.25">
      <c r="B43" s="5" t="s">
        <v>162</v>
      </c>
      <c r="C43" s="17">
        <f>C11</f>
      </c>
      <c r="F43" s="12">
        <f>IF(C43&gt;F$35,"preference","convert")</f>
      </c>
      <c r="G43" s="12">
        <f>IF(C43&gt;G$35,"preference","convert")</f>
      </c>
      <c r="H43" s="12">
        <f>IF(C43&gt;H$35,"preference","convert")</f>
      </c>
      <c r="I43" s="12">
        <f>IF(C43&gt;I$35,"preference","convert")</f>
      </c>
      <c r="J43" s="12">
        <f>IF(C43&gt;J$35,"preference","convert")</f>
      </c>
    </row>
    <row r="44" spans="2:10" x14ac:dyDescent="0.25">
      <c r="B44" s="5" t="s">
        <v>160</v>
      </c>
      <c r="C44" s="17">
        <f>C12</f>
      </c>
      <c r="F44" s="12">
        <f>IF(C44&gt;F$35,"preference","convert")</f>
      </c>
      <c r="G44" s="12">
        <f>IF(C44&gt;G$35,"preference","convert")</f>
      </c>
      <c r="H44" s="12">
        <f>IF(C44&gt;H$35,"preference","convert")</f>
      </c>
      <c r="I44" s="12">
        <f>IF(C44&gt;I$35,"preference","convert")</f>
      </c>
      <c r="J44" s="12">
        <f>IF(C44&gt;J$35,"preference","convert")</f>
      </c>
    </row>
    <row r="45" spans="2:10" x14ac:dyDescent="0.25">
      <c r="B45" s="5" t="s">
        <v>157</v>
      </c>
      <c r="C45" s="17">
        <f>C13</f>
      </c>
      <c r="F45" s="12">
        <f>IF(C45&gt;F$35,"preference","convert")</f>
      </c>
      <c r="G45" s="12">
        <f>IF(C45&gt;G$35,"preference","convert")</f>
      </c>
      <c r="H45" s="12">
        <f>IF(C45&gt;H$35,"preference","convert")</f>
      </c>
      <c r="I45" s="12">
        <f>IF(C45&gt;I$35,"preference","convert")</f>
      </c>
      <c r="J45" s="12">
        <f>IF(C45&gt;J$35,"preference","convert")</f>
      </c>
    </row>
    <row r="47" spans="2:10" x14ac:dyDescent="0.25">
      <c r="B47" s="3" t="s">
        <v>328</v>
      </c>
      <c r="C47" s="4"/>
      <c r="D47" s="4"/>
      <c r="E47" s="4"/>
      <c r="F47" s="4"/>
      <c r="G47" s="4"/>
      <c r="H47" s="4"/>
      <c r="I47" s="4"/>
      <c r="J47" s="4"/>
    </row>
    <row r="48" spans="2:10" x14ac:dyDescent="0.25">
      <c r="B48" s="16" t="s">
        <v>110</v>
      </c>
      <c r="C48" s="16" t="s">
        <v>133</v>
      </c>
      <c r="D48" s="16" t="s">
        <v>298</v>
      </c>
      <c r="F48" s="16" t="s">
        <v>193</v>
      </c>
      <c r="G48" s="16" t="s">
        <v>194</v>
      </c>
      <c r="H48" s="16" t="s">
        <v>195</v>
      </c>
      <c r="I48" s="16" t="s">
        <v>196</v>
      </c>
      <c r="J48" s="16" t="s">
        <v>197</v>
      </c>
    </row>
    <row r="49" spans="2:10" x14ac:dyDescent="0.25">
      <c r="B49" s="5" t="s">
        <v>166</v>
      </c>
      <c r="C49" s="12">
        <f>D7</f>
      </c>
      <c r="D49" s="13">
        <f>E7</f>
      </c>
      <c r="F49" s="13">
        <f>IF(F39="preference",E7,D7*F$35)</f>
      </c>
      <c r="G49" s="13">
        <f>IF(G39="preference",E7,D7*G$35)</f>
      </c>
      <c r="H49" s="13">
        <f>IF(H39="preference",E7,D7*H$35)</f>
      </c>
      <c r="I49" s="13">
        <f>IF(I39="preference",E7,D7*I$35)</f>
      </c>
      <c r="J49" s="13">
        <f>IF(J39="preference",E7,D7*J$35)</f>
      </c>
    </row>
    <row r="50" spans="2:10" x14ac:dyDescent="0.25">
      <c r="B50" s="5" t="s">
        <v>168</v>
      </c>
      <c r="C50" s="12">
        <f>D8</f>
      </c>
      <c r="D50" s="13">
        <f>E8</f>
      </c>
      <c r="F50" s="13">
        <f>IF(F40="preference",E8,D8*F$35)</f>
      </c>
      <c r="G50" s="13">
        <f>IF(G40="preference",E8,D8*G$35)</f>
      </c>
      <c r="H50" s="13">
        <f>IF(H40="preference",E8,D8*H$35)</f>
      </c>
      <c r="I50" s="13">
        <f>IF(I40="preference",E8,D8*I$35)</f>
      </c>
      <c r="J50" s="13">
        <f>IF(J40="preference",E8,D8*J$35)</f>
      </c>
    </row>
    <row r="51" spans="2:10" x14ac:dyDescent="0.25">
      <c r="B51" s="5" t="s">
        <v>299</v>
      </c>
      <c r="C51" s="12">
        <f>D9</f>
      </c>
      <c r="D51" s="13">
        <f>E9</f>
      </c>
      <c r="F51" s="13">
        <f>IF(F41="preference",E9,D9*F$35)</f>
      </c>
      <c r="G51" s="13">
        <f>IF(G41="preference",E9,D9*G$35)</f>
      </c>
      <c r="H51" s="13">
        <f>IF(H41="preference",E9,D9*H$35)</f>
      </c>
      <c r="I51" s="13">
        <f>IF(I41="preference",E9,D9*I$35)</f>
      </c>
      <c r="J51" s="13">
        <f>IF(J41="preference",E9,D9*J$35)</f>
      </c>
    </row>
    <row r="52" spans="2:10" x14ac:dyDescent="0.25">
      <c r="B52" s="5" t="s">
        <v>164</v>
      </c>
      <c r="C52" s="12">
        <f>D10</f>
      </c>
      <c r="D52" s="13">
        <f>E10</f>
      </c>
      <c r="F52" s="13">
        <f>IF(F42="preference",E10,D10*F$35)</f>
      </c>
      <c r="G52" s="13">
        <f>IF(G42="preference",E10,D10*G$35)</f>
      </c>
      <c r="H52" s="13">
        <f>IF(H42="preference",E10,D10*H$35)</f>
      </c>
      <c r="I52" s="13">
        <f>IF(I42="preference",E10,D10*I$35)</f>
      </c>
      <c r="J52" s="13">
        <f>IF(J42="preference",E10,D10*J$35)</f>
      </c>
    </row>
    <row r="53" spans="2:10" x14ac:dyDescent="0.25">
      <c r="B53" s="5" t="s">
        <v>162</v>
      </c>
      <c r="C53" s="12">
        <f>D11</f>
      </c>
      <c r="D53" s="13">
        <f>E11</f>
      </c>
      <c r="F53" s="13">
        <f>IF(F43="preference",E11,D11*F$35)</f>
      </c>
      <c r="G53" s="13">
        <f>IF(G43="preference",E11,D11*G$35)</f>
      </c>
      <c r="H53" s="13">
        <f>IF(H43="preference",E11,D11*H$35)</f>
      </c>
      <c r="I53" s="13">
        <f>IF(I43="preference",E11,D11*I$35)</f>
      </c>
      <c r="J53" s="13">
        <f>IF(J43="preference",E11,D11*J$35)</f>
      </c>
    </row>
    <row r="54" spans="2:10" x14ac:dyDescent="0.25">
      <c r="B54" s="5" t="s">
        <v>160</v>
      </c>
      <c r="C54" s="12">
        <f>D12</f>
      </c>
      <c r="D54" s="13">
        <f>E12</f>
      </c>
      <c r="F54" s="13">
        <f>IF(F44="preference",E12,D12*F$35)</f>
      </c>
      <c r="G54" s="13">
        <f>IF(G44="preference",E12,D12*G$35)</f>
      </c>
      <c r="H54" s="13">
        <f>IF(H44="preference",E12,D12*H$35)</f>
      </c>
      <c r="I54" s="13">
        <f>IF(I44="preference",E12,D12*I$35)</f>
      </c>
      <c r="J54" s="13">
        <f>IF(J44="preference",E12,D12*J$35)</f>
      </c>
    </row>
    <row r="55" spans="2:10" x14ac:dyDescent="0.25">
      <c r="B55" s="5" t="s">
        <v>157</v>
      </c>
      <c r="C55" s="12">
        <f>D13</f>
      </c>
      <c r="D55" s="13">
        <f>E13</f>
      </c>
      <c r="F55" s="13">
        <f>IF(F45="preference",E13,D13*F$35)</f>
      </c>
      <c r="G55" s="13">
        <f>IF(G45="preference",E13,D13*G$35)</f>
      </c>
      <c r="H55" s="13">
        <f>IF(H45="preference",E13,D13*H$35)</f>
      </c>
      <c r="I55" s="13">
        <f>IF(I45="preference",E13,D13*I$35)</f>
      </c>
      <c r="J55" s="13">
        <f>IF(J45="preference",E13,D13*J$35)</f>
      </c>
    </row>
    <row r="56" spans="2:10" x14ac:dyDescent="0.25">
      <c r="B56" s="5" t="s">
        <v>302</v>
      </c>
      <c r="C56" s="12">
        <f>D17</f>
      </c>
      <c r="F56" s="13">
        <f>D17*F$35</f>
      </c>
      <c r="G56" s="13">
        <f>D17*G$35</f>
      </c>
      <c r="H56" s="13">
        <f>D17*H$35</f>
      </c>
      <c r="I56" s="13">
        <f>D17*I$35</f>
      </c>
      <c r="J56" s="13">
        <f>D17*J$35</f>
      </c>
    </row>
    <row r="57" spans="2:10" x14ac:dyDescent="0.25">
      <c r="B57" s="5" t="s">
        <v>301</v>
      </c>
      <c r="C57" s="12">
        <f>D16</f>
      </c>
      <c r="F57" s="13">
        <f>D16*F$35</f>
      </c>
      <c r="G57" s="13">
        <f>D16*G$35</f>
      </c>
      <c r="H57" s="13">
        <f>D16*H$35</f>
      </c>
      <c r="I57" s="13">
        <f>D16*I$35</f>
      </c>
      <c r="J57" s="13">
        <f>D16*J$35</f>
      </c>
    </row>
    <row r="58" spans="2:10" x14ac:dyDescent="0.25">
      <c r="B58" s="5" t="s">
        <v>329</v>
      </c>
      <c r="C58" s="12">
        <f>D18</f>
      </c>
      <c r="F58" s="13">
        <f>IF(F$35&gt;C18,D18*(F$35-C18),0)</f>
      </c>
      <c r="G58" s="13">
        <f>IF(G$35&gt;C18,D18*(G$35-C18),0)</f>
      </c>
      <c r="H58" s="13">
        <f>IF(H$35&gt;C18,D18*(H$35-C18),0)</f>
      </c>
      <c r="I58" s="13">
        <f>IF(I$35&gt;C18,D18*(I$35-C18),0)</f>
      </c>
      <c r="J58" s="13">
        <f>IF(J$35&gt;C18,D18*(J$35-C18),0)</f>
      </c>
    </row>
    <row r="59" spans="2:10" x14ac:dyDescent="0.25">
      <c r="B59" s="9" t="s">
        <v>330</v>
      </c>
      <c r="C59" s="12">
        <f>Assumptions!C29+'Pro-Forma'!C26</f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</row>
    <row r="60" spans="2:10" x14ac:dyDescent="0.25">
      <c r="B60" s="26" t="s">
        <v>331</v>
      </c>
      <c r="C60" s="26"/>
      <c r="D60" s="26"/>
      <c r="F60" s="33">
        <f>SUM(F49:F59)</f>
      </c>
      <c r="G60" s="33">
        <f>SUM(G49:G59)</f>
      </c>
      <c r="H60" s="33">
        <f>SUM(H49:H59)</f>
      </c>
      <c r="I60" s="33">
        <f>SUM(I49:I59)</f>
      </c>
      <c r="J60" s="33">
        <f>SUM(J49:J59)</f>
      </c>
    </row>
    <row r="61" spans="2:10" x14ac:dyDescent="0.25">
      <c r="B61" s="5" t="s">
        <v>325</v>
      </c>
      <c r="F61" s="13">
        <f>Assumptions!C59</f>
      </c>
      <c r="G61" s="13">
        <f>Assumptions!C60</f>
      </c>
      <c r="H61" s="13">
        <f>Assumptions!C61</f>
      </c>
      <c r="I61" s="13">
        <f>Assumptions!C62</f>
      </c>
      <c r="J61" s="13">
        <f>Assumptions!C63</f>
      </c>
    </row>
    <row r="62" spans="2:10" x14ac:dyDescent="0.25">
      <c r="B62" s="5" t="s">
        <v>144</v>
      </c>
      <c r="F62" s="24">
        <f>ROUND(F60-F61,0)</f>
      </c>
      <c r="G62" s="24">
        <f>ROUND(G60-G61,0)</f>
      </c>
      <c r="H62" s="24">
        <f>ROUND(H60-H61,0)</f>
      </c>
      <c r="I62" s="24">
        <f>ROUND(I60-I61,0)</f>
      </c>
      <c r="J62" s="24">
        <f>ROUND(J60-J61,0)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Pro-Forma</vt:lpstr>
      <vt:lpstr>Return-Solver</vt:lpstr>
      <vt:lpstr>Sensitivity</vt:lpstr>
      <vt:lpstr>Waterfall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2026-04-27T02:31:15Z</dcterms:created>
  <dcterms:modified xsi:type="dcterms:W3CDTF">2026-04-27T02:31:15Z</dcterms:modified>
</cp:coreProperties>
</file>