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Waterfall" state="visible" r:id="rId7"/>
    <sheet sheetId="4" name="Sensitivity" state="visible" r:id="rId8"/>
    <sheet sheetId="5" name="Return-Solver" state="visible" r:id="rId9"/>
  </sheets>
  <calcPr calcId="171027" fullCalcOnLoad="1"/>
</workbook>
</file>

<file path=xl/sharedStrings.xml><?xml version="1.0" encoding="utf-8"?>
<sst xmlns="http://schemas.openxmlformats.org/spreadsheetml/2006/main" count="578" uniqueCount="307">
  <si>
    <t>Kelvin Dynamics — Series F Analysis</t>
  </si>
  <si>
    <t>$ in actuals; shares in actuals</t>
  </si>
  <si>
    <t>Round Terms</t>
  </si>
  <si>
    <t/>
  </si>
  <si>
    <t>Series F pre-money</t>
  </si>
  <si>
    <t>series_f_pre_money_usd</t>
  </si>
  <si>
    <t>Series F primary raise</t>
  </si>
  <si>
    <t>series_f_primary_raise_usd</t>
  </si>
  <si>
    <t>Series F secondary raise</t>
  </si>
  <si>
    <t>series_f_secondary_raise_usd</t>
  </si>
  <si>
    <t>Tender PPS multiplier</t>
  </si>
  <si>
    <t>series_f_tender_pps_multiplier</t>
  </si>
  <si>
    <t>ESOP refresh target (% post-F FD)</t>
  </si>
  <si>
    <t>esop_refresh_target_post_f</t>
  </si>
  <si>
    <t>Our fund check</t>
  </si>
  <si>
    <t>our_fund_check_usd</t>
  </si>
  <si>
    <t>F_LEAD primary check</t>
  </si>
  <si>
    <t>f_lead_primary_check_usd</t>
  </si>
  <si>
    <t>Option strike price</t>
  </si>
  <si>
    <t>option_strike_usd</t>
  </si>
  <si>
    <t>Existing Equity (pre-F)</t>
  </si>
  <si>
    <t>Pre-F fully-diluted shares</t>
  </si>
  <si>
    <t>pre_f_fd_total — also AD denominator A</t>
  </si>
  <si>
    <t>Pre-F options issued</t>
  </si>
  <si>
    <t>Pre-F options unissued</t>
  </si>
  <si>
    <t>Pre-F option pool total</t>
  </si>
  <si>
    <t>Founders &amp; RSAs</t>
  </si>
  <si>
    <t>F1 — Founder (CEO) common</t>
  </si>
  <si>
    <t>F2 — Founder (CTO) common</t>
  </si>
  <si>
    <t>F3 — Chief Scientist common</t>
  </si>
  <si>
    <t>Employee RSAs (E1–E10)</t>
  </si>
  <si>
    <t>Founder split: F1 share</t>
  </si>
  <si>
    <t>Founder split: F2 share</t>
  </si>
  <si>
    <t>Founder split: F3 share</t>
  </si>
  <si>
    <t>Prior-Round Pricing</t>
  </si>
  <si>
    <t>Class</t>
  </si>
  <si>
    <t>OCP for AD</t>
  </si>
  <si>
    <t>PPS issued</t>
  </si>
  <si>
    <t>Shares (current)</t>
  </si>
  <si>
    <t>Invested (USD)</t>
  </si>
  <si>
    <t>Seed</t>
  </si>
  <si>
    <t>Series A</t>
  </si>
  <si>
    <t>Series B</t>
  </si>
  <si>
    <t>Series C</t>
  </si>
  <si>
    <t>Series D</t>
  </si>
  <si>
    <t>Series E</t>
  </si>
  <si>
    <t>Series D original issuance</t>
  </si>
  <si>
    <t>orig D shares (ratio anchor)</t>
  </si>
  <si>
    <t>Series D original OCP</t>
  </si>
  <si>
    <t>orig D OCP for compound ratio</t>
  </si>
  <si>
    <t>Convertible Notes</t>
  </si>
  <si>
    <t>Note</t>
  </si>
  <si>
    <t>Principal</t>
  </si>
  <si>
    <t>Cap</t>
  </si>
  <si>
    <t>Discount</t>
  </si>
  <si>
    <t>Interest</t>
  </si>
  <si>
    <t>Note A</t>
  </si>
  <si>
    <t>Note B</t>
  </si>
  <si>
    <t>Exit Scenarios</t>
  </si>
  <si>
    <t>Exit 1</t>
  </si>
  <si>
    <t>Exit 2</t>
  </si>
  <si>
    <t>Exit 3</t>
  </si>
  <si>
    <t>Exit 4</t>
  </si>
  <si>
    <t>Exit 5</t>
  </si>
  <si>
    <t>Sensitivity Axes</t>
  </si>
  <si>
    <t>ESOP refresh — low</t>
  </si>
  <si>
    <t>ESOP refresh — base</t>
  </si>
  <si>
    <t>ESOP refresh — high</t>
  </si>
  <si>
    <t>Pre-money — low</t>
  </si>
  <si>
    <t>Pre-money — base</t>
  </si>
  <si>
    <t>Pre-money — high</t>
  </si>
  <si>
    <t>Return Targets</t>
  </si>
  <si>
    <t>3x our check</t>
  </si>
  <si>
    <t>4x our check</t>
  </si>
  <si>
    <t>AD broad-based WA constants</t>
  </si>
  <si>
    <t>A — pre-F broad-based FD</t>
  </si>
  <si>
    <t>denominator constant</t>
  </si>
  <si>
    <t>Pro-Forma Cap Table — Post Series F</t>
  </si>
  <si>
    <t>Round mechanics + AD + notes + tender + cap table</t>
  </si>
  <si>
    <t>Round Mechanics</t>
  </si>
  <si>
    <t>Pre-F FD (N)</t>
  </si>
  <si>
    <t>ESOP target (R)</t>
  </si>
  <si>
    <t>Existing pool (P_existing)</t>
  </si>
  <si>
    <t>α = primary / pre-money</t>
  </si>
  <si>
    <t>R(1+α)</t>
  </si>
  <si>
    <t>ESOP top-up (closed-form)</t>
  </si>
  <si>
    <t>Pre-money FD (= N + ESOP top-up)</t>
  </si>
  <si>
    <t>Series F PPS</t>
  </si>
  <si>
    <t>Series F new shares (primary)</t>
  </si>
  <si>
    <t xml:space="preserve">  F_LEAD primary shares</t>
  </si>
  <si>
    <t xml:space="preserve">  Our fund primary shares</t>
  </si>
  <si>
    <t>Tender PPS (= 0.85 × F PPS)</t>
  </si>
  <si>
    <t>Tender shares (= secondary / tender PPS)</t>
  </si>
  <si>
    <t>Anti-Dilution Block (Broad-Based WA)</t>
  </si>
  <si>
    <t>Triggered? (F_PPS &lt; OCP)</t>
  </si>
  <si>
    <t>NCP</t>
  </si>
  <si>
    <t>New ratio (compound)</t>
  </si>
  <si>
    <t>As-converted shares</t>
  </si>
  <si>
    <t>Shares delta</t>
  </si>
  <si>
    <t>Total AD top-up shares</t>
  </si>
  <si>
    <t>Convertible Notes Block</t>
  </si>
  <si>
    <t>Cap-implied PPS</t>
  </si>
  <si>
    <t>Discount-implied PPS</t>
  </si>
  <si>
    <t>Conversion PPS</t>
  </si>
  <si>
    <t>Branch</t>
  </si>
  <si>
    <t>Shares issued</t>
  </si>
  <si>
    <t>Helper</t>
  </si>
  <si>
    <t>Disc shares only</t>
  </si>
  <si>
    <t>Total notes shares</t>
  </si>
  <si>
    <t>Secondary Tender Block</t>
  </si>
  <si>
    <t>Tender PPS</t>
  </si>
  <si>
    <t>Tender shares (transferred)</t>
  </si>
  <si>
    <t>Founders pre-tender common (total)</t>
  </si>
  <si>
    <t>F1 tender outflow</t>
  </si>
  <si>
    <t>F2 tender outflow</t>
  </si>
  <si>
    <t>F3 tender outflow</t>
  </si>
  <si>
    <t>F_LEAD secondary common acquired</t>
  </si>
  <si>
    <t>Post-F Fully-Diluted Total</t>
  </si>
  <si>
    <t>Pre-F FD</t>
  </si>
  <si>
    <t>ESOP top-up</t>
  </si>
  <si>
    <t>AD top-up</t>
  </si>
  <si>
    <t>Series F primary new shares</t>
  </si>
  <si>
    <t>Note A converted shares</t>
  </si>
  <si>
    <t>Note B converted shares</t>
  </si>
  <si>
    <t>Post-F FD total (T_F)</t>
  </si>
  <si>
    <t>Stakeholder Cap Table — Post-F</t>
  </si>
  <si>
    <t>Stakeholder</t>
  </si>
  <si>
    <t>Common</t>
  </si>
  <si>
    <t>Preferred (as-conv)</t>
  </si>
  <si>
    <t>Options</t>
  </si>
  <si>
    <t>Total FD</t>
  </si>
  <si>
    <t>Ownership %</t>
  </si>
  <si>
    <t>F1 — Founder (CEO)</t>
  </si>
  <si>
    <t>F2 — Founder (CTO)</t>
  </si>
  <si>
    <t>F3 — Chief Scientist</t>
  </si>
  <si>
    <t>Seed (SEED1)</t>
  </si>
  <si>
    <t>Series A (A1)</t>
  </si>
  <si>
    <t>Series B (B1)</t>
  </si>
  <si>
    <t>Series C (C1)</t>
  </si>
  <si>
    <t>Series D (D1)</t>
  </si>
  <si>
    <t>Series E (E1_INV–E10_INV)</t>
  </si>
  <si>
    <t>Note A holder (NA1)</t>
  </si>
  <si>
    <t>Note B holder (NB1)</t>
  </si>
  <si>
    <t>F_LEAD — Series F lead</t>
  </si>
  <si>
    <t>Our fund — Series F primary</t>
  </si>
  <si>
    <t>Issued options (employee pool)</t>
  </si>
  <si>
    <t>Unissued options + ESOP top-up</t>
  </si>
  <si>
    <t>Total post-F FD</t>
  </si>
  <si>
    <t xml:space="preserve">  T_F (sum) − T_F (calc)</t>
  </si>
  <si>
    <t xml:space="preserve">  Ownership sum − 100%</t>
  </si>
  <si>
    <t>Check</t>
  </si>
  <si>
    <t>Liquidation Waterfall — Five Exit Scenarios</t>
  </si>
  <si>
    <t>Non-participating preferred with conversion election; sequential F→Seed; proceeds at final per-share</t>
  </si>
  <si>
    <t>Setup</t>
  </si>
  <si>
    <t>Post-F FD (T_F)</t>
  </si>
  <si>
    <t>Less: unissued + ESOP top-up (forfeit)</t>
  </si>
  <si>
    <t>Convert pool initial</t>
  </si>
  <si>
    <t>Issued options strike</t>
  </si>
  <si>
    <t>Class / Metric</t>
  </si>
  <si>
    <t>Shares</t>
  </si>
  <si>
    <t>Preference</t>
  </si>
  <si>
    <t>Exit 1 ($700M)</t>
  </si>
  <si>
    <t>Exit 2 ($1.2B)</t>
  </si>
  <si>
    <t>Exit 3 ($2B)</t>
  </si>
  <si>
    <t>Exit 4 ($4B)</t>
  </si>
  <si>
    <t>Exit 5 ($8B)</t>
  </si>
  <si>
    <t>Exit value</t>
  </si>
  <si>
    <t>Series F</t>
  </si>
  <si>
    <t xml:space="preserve">  Shares / Preference</t>
  </si>
  <si>
    <t xml:space="preserve">  Residual in</t>
  </si>
  <si>
    <t xml:space="preserve">  Pool in</t>
  </si>
  <si>
    <t xml:space="preserve">  Convert proceeds (decision)</t>
  </si>
  <si>
    <t xml:space="preserve">  Election</t>
  </si>
  <si>
    <t xml:space="preserve">  Residual out</t>
  </si>
  <si>
    <t xml:space="preserve">  Pool out</t>
  </si>
  <si>
    <t>Final residual</t>
  </si>
  <si>
    <t>Final pool</t>
  </si>
  <si>
    <t>Per-share value</t>
  </si>
  <si>
    <t>Final Class Proceeds</t>
  </si>
  <si>
    <t>Series F proceeds</t>
  </si>
  <si>
    <t>Series E proceeds</t>
  </si>
  <si>
    <t>Series D proceeds</t>
  </si>
  <si>
    <t>Series C proceeds</t>
  </si>
  <si>
    <t>Series B proceeds</t>
  </si>
  <si>
    <t>Series A proceeds</t>
  </si>
  <si>
    <t>Seed proceeds</t>
  </si>
  <si>
    <t>Common + RSAs</t>
  </si>
  <si>
    <t>Issued options (net of strike if ITM)</t>
  </si>
  <si>
    <t>Note A holder</t>
  </si>
  <si>
    <t>Note B holder</t>
  </si>
  <si>
    <t>Reconciliation</t>
  </si>
  <si>
    <t>Sum of class proceeds</t>
  </si>
  <si>
    <t>Common + RSA</t>
  </si>
  <si>
    <t>Options net</t>
  </si>
  <si>
    <t>Notes (A + B)</t>
  </si>
  <si>
    <t>Strike paid (option exercise)</t>
  </si>
  <si>
    <t>Total distributed</t>
  </si>
  <si>
    <t>Election Summary — 35 cells</t>
  </si>
  <si>
    <t>Sensitivity — Our Check at $2B Exit</t>
  </si>
  <si>
    <t>3×3: ESOP refresh × Series F pre-money. Each cell re-solves the full round mechanics.</t>
  </si>
  <si>
    <t>Sensitivity Grid</t>
  </si>
  <si>
    <t>Per-cell Calculations (each column = one grid cell)</t>
  </si>
  <si>
    <t>Combo (ESOP / Pre)</t>
  </si>
  <si>
    <t>low/low</t>
  </si>
  <si>
    <t>low/base</t>
  </si>
  <si>
    <t>low/high</t>
  </si>
  <si>
    <t>base/low</t>
  </si>
  <si>
    <t>base/base</t>
  </si>
  <si>
    <t>base/high</t>
  </si>
  <si>
    <t>high/low</t>
  </si>
  <si>
    <t>high/base</t>
  </si>
  <si>
    <t>high/high</t>
  </si>
  <si>
    <t>ESOP refresh \ Pre-money</t>
  </si>
  <si>
    <t>ESOP rate (R)</t>
  </si>
  <si>
    <t>Pre-money</t>
  </si>
  <si>
    <t>α = primary / pre</t>
  </si>
  <si>
    <t>Pre-money FD</t>
  </si>
  <si>
    <t>F_PPS</t>
  </si>
  <si>
    <t>new_F shares</t>
  </si>
  <si>
    <t>— Anti-dilution —</t>
  </si>
  <si>
    <t>NCP_D</t>
  </si>
  <si>
    <t>D_postF shares</t>
  </si>
  <si>
    <t>AD_D delta</t>
  </si>
  <si>
    <t>NCP_E</t>
  </si>
  <si>
    <t>E_postF shares</t>
  </si>
  <si>
    <t>AD_E delta</t>
  </si>
  <si>
    <t>AD total</t>
  </si>
  <si>
    <t>— Notes (mutual solve) —</t>
  </si>
  <si>
    <t>Note B disc-only shares (helper)</t>
  </si>
  <si>
    <t>Note A cap-implied PPS</t>
  </si>
  <si>
    <t>Note A disc-implied PPS</t>
  </si>
  <si>
    <t>Note A conv PPS</t>
  </si>
  <si>
    <t>Note A branch</t>
  </si>
  <si>
    <t>Note A shares</t>
  </si>
  <si>
    <t>Note A disc-only shares (helper)</t>
  </si>
  <si>
    <t>Note B cap-implied PPS</t>
  </si>
  <si>
    <t>Note B disc-implied PPS</t>
  </si>
  <si>
    <t>Note B conv PPS</t>
  </si>
  <si>
    <t>Note B branch</t>
  </si>
  <si>
    <t>Note B shares</t>
  </si>
  <si>
    <t>T_F (post-F FD)</t>
  </si>
  <si>
    <t>Our F shares</t>
  </si>
  <si>
    <t>Our ownership %</t>
  </si>
  <si>
    <t>— Waterfall @ $2B exit (sequential F→Seed) —</t>
  </si>
  <si>
    <t>F: residual_in</t>
  </si>
  <si>
    <t>F: pool_in</t>
  </si>
  <si>
    <t>F: convert (decision)</t>
  </si>
  <si>
    <t>F: election</t>
  </si>
  <si>
    <t>F: residual_out</t>
  </si>
  <si>
    <t>F: pool_out</t>
  </si>
  <si>
    <t>E: residual_in</t>
  </si>
  <si>
    <t>E: pool_in</t>
  </si>
  <si>
    <t>E: convert (decision)</t>
  </si>
  <si>
    <t>E: election</t>
  </si>
  <si>
    <t>E: residual_out</t>
  </si>
  <si>
    <t>E: pool_out</t>
  </si>
  <si>
    <t>D: residual_in</t>
  </si>
  <si>
    <t>D: pool_in</t>
  </si>
  <si>
    <t>D: convert (decision)</t>
  </si>
  <si>
    <t>D: election</t>
  </si>
  <si>
    <t>D: residual_out</t>
  </si>
  <si>
    <t>D: pool_out</t>
  </si>
  <si>
    <t>C: residual_in</t>
  </si>
  <si>
    <t>C: pool_in</t>
  </si>
  <si>
    <t>C: convert (decision)</t>
  </si>
  <si>
    <t>C: election</t>
  </si>
  <si>
    <t>C: residual_out</t>
  </si>
  <si>
    <t>C: pool_out</t>
  </si>
  <si>
    <t>B: residual_in</t>
  </si>
  <si>
    <t>B: pool_in</t>
  </si>
  <si>
    <t>B: convert (decision)</t>
  </si>
  <si>
    <t>B: election</t>
  </si>
  <si>
    <t>B: residual_out</t>
  </si>
  <si>
    <t>B: pool_out</t>
  </si>
  <si>
    <t>A: residual_in</t>
  </si>
  <si>
    <t>A: pool_in</t>
  </si>
  <si>
    <t>A: convert (decision)</t>
  </si>
  <si>
    <t>A: election</t>
  </si>
  <si>
    <t>A: residual_out</t>
  </si>
  <si>
    <t>A: pool_out</t>
  </si>
  <si>
    <t>Seed: residual_in</t>
  </si>
  <si>
    <t>Seed: pool_in</t>
  </si>
  <si>
    <t>Seed: convert (decision)</t>
  </si>
  <si>
    <t>Seed: election</t>
  </si>
  <si>
    <t>Seed: residual_out (=final)</t>
  </si>
  <si>
    <t>Seed: pool_out (=final)</t>
  </si>
  <si>
    <t>Final per-share</t>
  </si>
  <si>
    <t>Our $ proceeds</t>
  </si>
  <si>
    <t>Return Solver — Required F Ownership %</t>
  </si>
  <si>
    <t>For each exit: solve for our post-F ownership % required to hit 3× ($30M) and 4× ($40M) on our $10M check</t>
  </si>
  <si>
    <t>Base Case Inputs</t>
  </si>
  <si>
    <t>Our check</t>
  </si>
  <si>
    <t>3× target</t>
  </si>
  <si>
    <t>4× target</t>
  </si>
  <si>
    <t>F PPS</t>
  </si>
  <si>
    <t>Exit Scenario</t>
  </si>
  <si>
    <t>F election</t>
  </si>
  <si>
    <t>Final per-share value</t>
  </si>
  <si>
    <t>3× Return Solve</t>
  </si>
  <si>
    <t>Required F shares (target / per-share)</t>
  </si>
  <si>
    <t>Required ownership %</t>
  </si>
  <si>
    <t>Feasibility flag</t>
  </si>
  <si>
    <t>4× Return Solve</t>
  </si>
  <si>
    <t>Reference</t>
  </si>
  <si>
    <t>Base-case our ownership %</t>
  </si>
  <si>
    <t>Base-case our $ proceeds</t>
  </si>
  <si>
    <t>Base-case multiple on $10M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</si>
</sst>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;\-\-_)"/>
    <numFmt numFmtId="165" formatCode="0.0%"/>
    <numFmt numFmtId="166" formatCode="#,##0_);\(#,##0\);\-\-_)"/>
    <numFmt numFmtId="167" formatCode="0.0%_);\(0.0%\);\-\-_)"/>
    <numFmt numFmtId="168" formatCode="0.0&quot;x&quot;_);\(0.0&quot;x&quot;\);\-\-_)"/>
  </numFmts>
  <fonts count="10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i/>
      <charset val="134"/>
      <color rgb="FF666666"/>
      <family val="1"/>
      <sz val="8"/>
      <name val="Arial"/>
    </font>
    <font>
      <charset val="134"/>
      <color rgb="FF666666"/>
      <family val="1"/>
      <sz val="10"/>
      <name val="Arial"/>
    </font>
    <font>
      <b/>
      <charset val="134"/>
      <color rgb="FF000000"/>
      <family val="1"/>
      <sz val="10"/>
      <name val="Arial"/>
    </font>
    <font>
      <b/>
      <charset val="134"/>
      <color rgb="FF7030A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4" fillId="0" borderId="0" xfId="0" applyNumberFormat="1" applyFont="1" applyAlignment="1">
      <alignment horizontal="right"/>
    </xf>
    <xf numFmtId="0" fontId="8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8" fillId="0" borderId="2" xfId="0" applyNumberFormat="1" applyFont="1" applyBorder="1" applyAlignment="1">
      <alignment horizontal="right"/>
    </xf>
    <xf numFmtId="0" fontId="8" fillId="4" borderId="0" xfId="0" applyFont="1" applyFill="1" applyAlignment="1">
      <alignment horizontal="left"/>
    </xf>
    <xf numFmtId="166" fontId="2" fillId="0" borderId="0" xfId="0" applyNumberFormat="1" applyFont="1" applyAlignment="1">
      <alignment horizontal="right"/>
    </xf>
    <xf numFmtId="164" fontId="8" fillId="0" borderId="2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/>
    </xf>
    <xf numFmtId="167" fontId="8" fillId="4" borderId="0" xfId="0" applyNumberFormat="1" applyFont="1" applyFill="1" applyAlignment="1">
      <alignment horizontal="right"/>
    </xf>
    <xf numFmtId="164" fontId="8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2.705" customWidth="1"/>
    <col min="3" max="3" width="20.205" customWidth="1"/>
    <col min="4" max="4" width="35.205" customWidth="1"/>
    <col min="5" max="6" width="16.45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6" x14ac:dyDescent="0.25">
      <c r="B5" s="3" t="s">
        <v>2</v>
      </c>
      <c r="C5" s="3" t="s">
        <v>3</v>
      </c>
      <c r="D5" s="3" t="s">
        <v>3</v>
      </c>
      <c r="E5" s="3" t="s">
        <v>3</v>
      </c>
      <c r="F5" s="3" t="s">
        <v>3</v>
      </c>
    </row>
    <row r="6" spans="2:4" x14ac:dyDescent="0.25">
      <c r="B6" s="4" t="s">
        <v>4</v>
      </c>
      <c r="C6" s="5">
        <v>1400000000</v>
      </c>
      <c r="D6" s="6" t="s">
        <v>5</v>
      </c>
    </row>
    <row r="7" spans="2:4" x14ac:dyDescent="0.25">
      <c r="B7" s="4" t="s">
        <v>6</v>
      </c>
      <c r="C7" s="5">
        <v>30000000</v>
      </c>
      <c r="D7" s="6" t="s">
        <v>7</v>
      </c>
    </row>
    <row r="8" spans="2:4" x14ac:dyDescent="0.25">
      <c r="B8" s="4" t="s">
        <v>8</v>
      </c>
      <c r="C8" s="5">
        <v>15000000</v>
      </c>
      <c r="D8" s="6" t="s">
        <v>9</v>
      </c>
    </row>
    <row r="9" spans="2:4" x14ac:dyDescent="0.25">
      <c r="B9" s="4" t="s">
        <v>10</v>
      </c>
      <c r="C9" s="7">
        <v>0.85</v>
      </c>
      <c r="D9" s="6" t="s">
        <v>11</v>
      </c>
    </row>
    <row r="10" spans="2:4" x14ac:dyDescent="0.25">
      <c r="B10" s="4" t="s">
        <v>12</v>
      </c>
      <c r="C10" s="7">
        <v>0.13</v>
      </c>
      <c r="D10" s="6" t="s">
        <v>13</v>
      </c>
    </row>
    <row r="11" spans="2:4" x14ac:dyDescent="0.25">
      <c r="B11" s="4" t="s">
        <v>14</v>
      </c>
      <c r="C11" s="5">
        <v>10000000</v>
      </c>
      <c r="D11" s="6" t="s">
        <v>15</v>
      </c>
    </row>
    <row r="12" spans="2:4" x14ac:dyDescent="0.25">
      <c r="B12" s="4" t="s">
        <v>16</v>
      </c>
      <c r="C12" s="5">
        <v>20000000</v>
      </c>
      <c r="D12" s="6" t="s">
        <v>17</v>
      </c>
    </row>
    <row r="13" spans="2:4" x14ac:dyDescent="0.25">
      <c r="B13" s="4" t="s">
        <v>18</v>
      </c>
      <c r="C13" s="5">
        <v>1</v>
      </c>
      <c r="D13" s="6" t="s">
        <v>19</v>
      </c>
    </row>
    <row r="15" spans="2:6" x14ac:dyDescent="0.25">
      <c r="B15" s="3" t="s">
        <v>20</v>
      </c>
      <c r="C15" s="3" t="s">
        <v>3</v>
      </c>
      <c r="D15" s="3" t="s">
        <v>3</v>
      </c>
      <c r="E15" s="3" t="s">
        <v>3</v>
      </c>
      <c r="F15" s="3" t="s">
        <v>3</v>
      </c>
    </row>
    <row r="16" spans="2:4" x14ac:dyDescent="0.25">
      <c r="B16" s="4" t="s">
        <v>21</v>
      </c>
      <c r="C16" s="8">
        <v>36617961</v>
      </c>
      <c r="D16" s="6" t="s">
        <v>22</v>
      </c>
    </row>
    <row r="17" spans="2:3" x14ac:dyDescent="0.25">
      <c r="B17" s="4" t="s">
        <v>23</v>
      </c>
      <c r="C17" s="8">
        <v>2500000</v>
      </c>
    </row>
    <row r="18" spans="2:3" x14ac:dyDescent="0.25">
      <c r="B18" s="4" t="s">
        <v>24</v>
      </c>
      <c r="C18" s="8">
        <v>1894667</v>
      </c>
    </row>
    <row r="19" spans="2:3" x14ac:dyDescent="0.25">
      <c r="B19" s="4" t="s">
        <v>25</v>
      </c>
      <c r="C19" s="9">
        <f>C17+C18</f>
        <v>4394667</v>
      </c>
    </row>
    <row r="21" spans="2:6" x14ac:dyDescent="0.25">
      <c r="B21" s="3" t="s">
        <v>26</v>
      </c>
      <c r="C21" s="3" t="s">
        <v>3</v>
      </c>
      <c r="D21" s="3" t="s">
        <v>3</v>
      </c>
      <c r="E21" s="3" t="s">
        <v>3</v>
      </c>
      <c r="F21" s="3" t="s">
        <v>3</v>
      </c>
    </row>
    <row r="22" spans="2:3" x14ac:dyDescent="0.25">
      <c r="B22" s="4" t="s">
        <v>27</v>
      </c>
      <c r="C22" s="8">
        <v>4000000</v>
      </c>
    </row>
    <row r="23" spans="2:3" x14ac:dyDescent="0.25">
      <c r="B23" s="4" t="s">
        <v>28</v>
      </c>
      <c r="C23" s="8">
        <v>2500000</v>
      </c>
    </row>
    <row r="24" spans="2:3" x14ac:dyDescent="0.25">
      <c r="B24" s="4" t="s">
        <v>29</v>
      </c>
      <c r="C24" s="8">
        <v>1500000</v>
      </c>
    </row>
    <row r="25" spans="2:3" x14ac:dyDescent="0.25">
      <c r="B25" s="4" t="s">
        <v>30</v>
      </c>
      <c r="C25" s="8">
        <v>1000000</v>
      </c>
    </row>
    <row r="26" spans="2:3" x14ac:dyDescent="0.25">
      <c r="B26" s="10" t="s">
        <v>31</v>
      </c>
      <c r="C26" s="11">
        <f>C22/(C22+C23+C24)</f>
        <v>0.5</v>
      </c>
    </row>
    <row r="27" spans="2:3" x14ac:dyDescent="0.25">
      <c r="B27" s="10" t="s">
        <v>32</v>
      </c>
      <c r="C27" s="11">
        <f>C23/(C22+C23+C24)</f>
        <v>0.3125</v>
      </c>
    </row>
    <row r="28" spans="2:3" x14ac:dyDescent="0.25">
      <c r="B28" s="10" t="s">
        <v>33</v>
      </c>
      <c r="C28" s="11">
        <f>C24/(C22+C23+C24)</f>
        <v>0.1875</v>
      </c>
    </row>
    <row r="30" spans="2:6" x14ac:dyDescent="0.25">
      <c r="B30" s="3" t="s">
        <v>34</v>
      </c>
      <c r="C30" s="3" t="s">
        <v>3</v>
      </c>
      <c r="D30" s="3" t="s">
        <v>3</v>
      </c>
      <c r="E30" s="3" t="s">
        <v>3</v>
      </c>
      <c r="F30" s="3" t="s">
        <v>3</v>
      </c>
    </row>
    <row r="31" spans="2:6" x14ac:dyDescent="0.25">
      <c r="B31" s="12" t="s">
        <v>35</v>
      </c>
      <c r="C31" s="12" t="s">
        <v>36</v>
      </c>
      <c r="D31" s="12" t="s">
        <v>37</v>
      </c>
      <c r="E31" s="12" t="s">
        <v>38</v>
      </c>
      <c r="F31" s="12" t="s">
        <v>39</v>
      </c>
    </row>
    <row r="32" spans="2:6" x14ac:dyDescent="0.25">
      <c r="B32" s="4" t="s">
        <v>40</v>
      </c>
      <c r="C32" s="5">
        <v>1</v>
      </c>
      <c r="D32" s="5">
        <v>1</v>
      </c>
      <c r="E32" s="8">
        <v>5000000</v>
      </c>
      <c r="F32" s="5">
        <v>5000000</v>
      </c>
    </row>
    <row r="33" spans="2:6" x14ac:dyDescent="0.25">
      <c r="B33" s="4" t="s">
        <v>41</v>
      </c>
      <c r="C33" s="5">
        <v>3</v>
      </c>
      <c r="D33" s="5">
        <v>3</v>
      </c>
      <c r="E33" s="8">
        <v>5000000</v>
      </c>
      <c r="F33" s="5">
        <v>15000000</v>
      </c>
    </row>
    <row r="34" spans="2:6" x14ac:dyDescent="0.25">
      <c r="B34" s="4" t="s">
        <v>42</v>
      </c>
      <c r="C34" s="5">
        <v>10</v>
      </c>
      <c r="D34" s="5">
        <v>10</v>
      </c>
      <c r="E34" s="8">
        <v>3000000</v>
      </c>
      <c r="F34" s="5">
        <v>30000000</v>
      </c>
    </row>
    <row r="35" spans="2:6" x14ac:dyDescent="0.25">
      <c r="B35" s="4" t="s">
        <v>43</v>
      </c>
      <c r="C35" s="5">
        <v>25</v>
      </c>
      <c r="D35" s="5">
        <v>25</v>
      </c>
      <c r="E35" s="8">
        <v>2400000</v>
      </c>
      <c r="F35" s="5">
        <v>60000000</v>
      </c>
    </row>
    <row r="36" spans="2:6" x14ac:dyDescent="0.25">
      <c r="B36" s="4" t="s">
        <v>44</v>
      </c>
      <c r="C36" s="5">
        <v>58.118347</v>
      </c>
      <c r="D36" s="5">
        <v>60</v>
      </c>
      <c r="E36" s="8">
        <v>1720627</v>
      </c>
      <c r="F36" s="5">
        <v>100000000</v>
      </c>
    </row>
    <row r="37" spans="2:6" x14ac:dyDescent="0.25">
      <c r="B37" s="4" t="s">
        <v>45</v>
      </c>
      <c r="C37" s="5">
        <v>49.158311</v>
      </c>
      <c r="D37" s="5">
        <v>49.158311</v>
      </c>
      <c r="E37" s="8">
        <v>6102667</v>
      </c>
      <c r="F37" s="5">
        <v>300000000</v>
      </c>
    </row>
    <row r="39" spans="2:4" x14ac:dyDescent="0.25">
      <c r="B39" s="10" t="s">
        <v>46</v>
      </c>
      <c r="C39" s="8">
        <v>1666667</v>
      </c>
      <c r="D39" s="6" t="s">
        <v>47</v>
      </c>
    </row>
    <row r="40" spans="2:4" x14ac:dyDescent="0.25">
      <c r="B40" s="10" t="s">
        <v>48</v>
      </c>
      <c r="C40" s="5">
        <v>60</v>
      </c>
      <c r="D40" s="6" t="s">
        <v>49</v>
      </c>
    </row>
    <row r="42" spans="2:6" x14ac:dyDescent="0.25">
      <c r="B42" s="3" t="s">
        <v>50</v>
      </c>
      <c r="C42" s="3" t="s">
        <v>3</v>
      </c>
      <c r="D42" s="3" t="s">
        <v>3</v>
      </c>
      <c r="E42" s="3" t="s">
        <v>3</v>
      </c>
      <c r="F42" s="3" t="s">
        <v>3</v>
      </c>
    </row>
    <row r="43" spans="2:6" x14ac:dyDescent="0.25">
      <c r="B43" s="12" t="s">
        <v>51</v>
      </c>
      <c r="C43" s="12" t="s">
        <v>52</v>
      </c>
      <c r="D43" s="12" t="s">
        <v>53</v>
      </c>
      <c r="E43" s="12" t="s">
        <v>54</v>
      </c>
      <c r="F43" s="12" t="s">
        <v>55</v>
      </c>
    </row>
    <row r="44" spans="2:6" x14ac:dyDescent="0.25">
      <c r="B44" s="4" t="s">
        <v>56</v>
      </c>
      <c r="C44" s="5">
        <v>5000000</v>
      </c>
      <c r="D44" s="5">
        <v>1000000000</v>
      </c>
      <c r="E44" s="7">
        <v>0.2</v>
      </c>
      <c r="F44" s="7">
        <v>0</v>
      </c>
    </row>
    <row r="45" spans="2:6" x14ac:dyDescent="0.25">
      <c r="B45" s="4" t="s">
        <v>57</v>
      </c>
      <c r="C45" s="5">
        <v>3000000</v>
      </c>
      <c r="D45" s="5">
        <v>1600000000</v>
      </c>
      <c r="E45" s="7">
        <v>0.15</v>
      </c>
      <c r="F45" s="7">
        <v>0</v>
      </c>
    </row>
    <row r="47" spans="2:6" x14ac:dyDescent="0.25">
      <c r="B47" s="3" t="s">
        <v>58</v>
      </c>
      <c r="C47" s="3" t="s">
        <v>3</v>
      </c>
      <c r="D47" s="3" t="s">
        <v>3</v>
      </c>
      <c r="E47" s="3" t="s">
        <v>3</v>
      </c>
      <c r="F47" s="3" t="s">
        <v>3</v>
      </c>
    </row>
    <row r="48" spans="2:3" x14ac:dyDescent="0.25">
      <c r="B48" s="4" t="s">
        <v>59</v>
      </c>
      <c r="C48" s="5">
        <v>700000000</v>
      </c>
    </row>
    <row r="49" spans="2:3" x14ac:dyDescent="0.25">
      <c r="B49" s="4" t="s">
        <v>60</v>
      </c>
      <c r="C49" s="5">
        <v>1200000000</v>
      </c>
    </row>
    <row r="50" spans="2:3" x14ac:dyDescent="0.25">
      <c r="B50" s="4" t="s">
        <v>61</v>
      </c>
      <c r="C50" s="5">
        <v>2000000000</v>
      </c>
    </row>
    <row r="51" spans="2:3" x14ac:dyDescent="0.25">
      <c r="B51" s="4" t="s">
        <v>62</v>
      </c>
      <c r="C51" s="5">
        <v>4000000000</v>
      </c>
    </row>
    <row r="52" spans="2:3" x14ac:dyDescent="0.25">
      <c r="B52" s="4" t="s">
        <v>63</v>
      </c>
      <c r="C52" s="5">
        <v>8000000000</v>
      </c>
    </row>
    <row r="54" spans="2:6" x14ac:dyDescent="0.25">
      <c r="B54" s="3" t="s">
        <v>64</v>
      </c>
      <c r="C54" s="3" t="s">
        <v>3</v>
      </c>
      <c r="D54" s="3" t="s">
        <v>3</v>
      </c>
      <c r="E54" s="3" t="s">
        <v>3</v>
      </c>
      <c r="F54" s="3" t="s">
        <v>3</v>
      </c>
    </row>
    <row r="55" spans="2:3" x14ac:dyDescent="0.25">
      <c r="B55" s="4" t="s">
        <v>65</v>
      </c>
      <c r="C55" s="7">
        <v>0.11</v>
      </c>
    </row>
    <row r="56" spans="2:3" x14ac:dyDescent="0.25">
      <c r="B56" s="4" t="s">
        <v>66</v>
      </c>
      <c r="C56" s="7">
        <v>0.13</v>
      </c>
    </row>
    <row r="57" spans="2:3" x14ac:dyDescent="0.25">
      <c r="B57" s="4" t="s">
        <v>67</v>
      </c>
      <c r="C57" s="7">
        <v>0.15</v>
      </c>
    </row>
    <row r="58" spans="2:3" x14ac:dyDescent="0.25">
      <c r="B58" s="4" t="s">
        <v>68</v>
      </c>
      <c r="C58" s="5">
        <v>1200000000</v>
      </c>
    </row>
    <row r="59" spans="2:3" x14ac:dyDescent="0.25">
      <c r="B59" s="4" t="s">
        <v>69</v>
      </c>
      <c r="C59" s="5">
        <v>1400000000</v>
      </c>
    </row>
    <row r="60" spans="2:3" x14ac:dyDescent="0.25">
      <c r="B60" s="4" t="s">
        <v>70</v>
      </c>
      <c r="C60" s="5">
        <v>1800000000</v>
      </c>
    </row>
    <row r="62" spans="2:6" x14ac:dyDescent="0.25">
      <c r="B62" s="3" t="s">
        <v>71</v>
      </c>
      <c r="C62" s="3" t="s">
        <v>3</v>
      </c>
      <c r="D62" s="3" t="s">
        <v>3</v>
      </c>
      <c r="E62" s="3" t="s">
        <v>3</v>
      </c>
      <c r="F62" s="3" t="s">
        <v>3</v>
      </c>
    </row>
    <row r="63" spans="2:3" x14ac:dyDescent="0.25">
      <c r="B63" s="4" t="s">
        <v>72</v>
      </c>
      <c r="C63" s="13">
        <f>3*C11</f>
        <v>30000000</v>
      </c>
    </row>
    <row r="64" spans="2:3" x14ac:dyDescent="0.25">
      <c r="B64" s="4" t="s">
        <v>73</v>
      </c>
      <c r="C64" s="13">
        <f>4*C11</f>
        <v>40000000</v>
      </c>
    </row>
    <row r="66" spans="2:6" x14ac:dyDescent="0.25">
      <c r="B66" s="3" t="s">
        <v>74</v>
      </c>
      <c r="C66" s="3" t="s">
        <v>3</v>
      </c>
      <c r="D66" s="3" t="s">
        <v>3</v>
      </c>
      <c r="E66" s="3" t="s">
        <v>3</v>
      </c>
      <c r="F66" s="3" t="s">
        <v>3</v>
      </c>
    </row>
    <row r="67" spans="2:4" x14ac:dyDescent="0.25">
      <c r="B67" s="4" t="s">
        <v>75</v>
      </c>
      <c r="C67" s="9">
        <f>C16</f>
        <v>36617961</v>
      </c>
      <c r="D67" s="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0.205" customWidth="1"/>
    <col min="3" max="6" width="16.455" customWidth="1"/>
    <col min="7" max="7" width="13.955" customWidth="1"/>
    <col min="8" max="8" width="16.455" customWidth="1"/>
    <col min="11" max="11" width="11.455" customWidth="1"/>
    <col min="12" max="12" width="16.455" customWidth="1"/>
  </cols>
  <sheetData>
    <row r="2" ht="18" customHeight="1" spans="2:2" x14ac:dyDescent="0.25">
      <c r="B2" s="1" t="s">
        <v>77</v>
      </c>
    </row>
    <row r="3" spans="2:2" x14ac:dyDescent="0.25">
      <c r="B3" s="2" t="s">
        <v>78</v>
      </c>
    </row>
    <row r="5" spans="2:8" x14ac:dyDescent="0.25">
      <c r="B5" s="3" t="s">
        <v>79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</row>
    <row r="6" spans="2:3" x14ac:dyDescent="0.25">
      <c r="B6" s="4" t="s">
        <v>80</v>
      </c>
      <c r="C6" s="9">
        <f>Assumptions!C16</f>
        <v>36617961</v>
      </c>
    </row>
    <row r="7" spans="2:3" x14ac:dyDescent="0.25">
      <c r="B7" s="4" t="s">
        <v>81</v>
      </c>
      <c r="C7" s="11">
        <f>Assumptions!C10</f>
        <v>0.13</v>
      </c>
    </row>
    <row r="8" spans="2:3" x14ac:dyDescent="0.25">
      <c r="B8" s="4" t="s">
        <v>82</v>
      </c>
      <c r="C8" s="9">
        <f>Assumptions!C19</f>
        <v>4394667</v>
      </c>
    </row>
    <row r="9" spans="2:3" x14ac:dyDescent="0.25">
      <c r="B9" s="4" t="s">
        <v>83</v>
      </c>
      <c r="C9" s="11">
        <f>Assumptions!C7/Assumptions!C6</f>
        <v>0.02142857142857143</v>
      </c>
    </row>
    <row r="10" spans="2:3" x14ac:dyDescent="0.25">
      <c r="B10" s="4" t="s">
        <v>84</v>
      </c>
      <c r="C10" s="11">
        <f>C7*(1+C9)</f>
        <v>0.13278571428571428</v>
      </c>
    </row>
    <row r="11" spans="2:3" x14ac:dyDescent="0.25">
      <c r="B11" s="14" t="s">
        <v>85</v>
      </c>
      <c r="C11" s="9">
        <f>MAX(0, (C10*C6 - C8) / (1 - C10))</f>
        <v>539284.3669384734</v>
      </c>
    </row>
    <row r="12" spans="2:3" x14ac:dyDescent="0.25">
      <c r="B12" s="4" t="s">
        <v>86</v>
      </c>
      <c r="C12" s="9">
        <f>C6+C11</f>
        <v>37157245.36693847</v>
      </c>
    </row>
    <row r="13" spans="2:3" x14ac:dyDescent="0.25">
      <c r="B13" s="14" t="s">
        <v>87</v>
      </c>
      <c r="C13" s="15">
        <f>Assumptions!C6/C12</f>
        <v>37.67771227857711</v>
      </c>
    </row>
    <row r="14" spans="2:3" x14ac:dyDescent="0.25">
      <c r="B14" s="4" t="s">
        <v>88</v>
      </c>
      <c r="C14" s="9">
        <f>Assumptions!C7/C13</f>
        <v>796226.6864343957</v>
      </c>
    </row>
    <row r="15" spans="2:3" x14ac:dyDescent="0.25">
      <c r="B15" s="10" t="s">
        <v>89</v>
      </c>
      <c r="C15" s="9">
        <f>Assumptions!C12/C13</f>
        <v>530817.7909562639</v>
      </c>
    </row>
    <row r="16" spans="2:3" x14ac:dyDescent="0.25">
      <c r="B16" s="10" t="s">
        <v>90</v>
      </c>
      <c r="C16" s="9">
        <f>Assumptions!C11/C13</f>
        <v>265408.89547813195</v>
      </c>
    </row>
    <row r="17" spans="2:3" x14ac:dyDescent="0.25">
      <c r="B17" s="4" t="s">
        <v>91</v>
      </c>
      <c r="C17" s="13">
        <f>Assumptions!C9*C13</f>
        <v>32.02605543679054</v>
      </c>
    </row>
    <row r="18" spans="2:3" x14ac:dyDescent="0.25">
      <c r="B18" s="4" t="s">
        <v>92</v>
      </c>
      <c r="C18" s="9">
        <f>Assumptions!C8/C17</f>
        <v>468368.6390790564</v>
      </c>
    </row>
    <row r="20" spans="2:8" x14ac:dyDescent="0.25">
      <c r="B20" s="3" t="s">
        <v>93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</row>
    <row r="21" spans="2:8" x14ac:dyDescent="0.25">
      <c r="B21" s="12" t="s">
        <v>35</v>
      </c>
      <c r="C21" s="12" t="s">
        <v>36</v>
      </c>
      <c r="D21" s="12" t="s">
        <v>94</v>
      </c>
      <c r="E21" s="12" t="s">
        <v>95</v>
      </c>
      <c r="F21" s="12" t="s">
        <v>96</v>
      </c>
      <c r="G21" s="12" t="s">
        <v>97</v>
      </c>
      <c r="H21" s="12" t="s">
        <v>98</v>
      </c>
    </row>
    <row r="22" spans="2:8" x14ac:dyDescent="0.25">
      <c r="B22" s="4" t="s">
        <v>40</v>
      </c>
      <c r="C22" s="13">
        <f>Assumptions!C32</f>
        <v>1</v>
      </c>
      <c r="D22" s="9" t="str">
        <f>IF(C13&lt;C22,"Yes","No")</f>
        <v>No</v>
      </c>
      <c r="E22" s="13">
        <f>IF(C13&lt;C22, C22*(Assumptions!C16 + Assumptions!C7/C22)/(Assumptions!C16 + Assumptions!C7/C13), C22)</f>
        <v>1</v>
      </c>
      <c r="F22" s="16">
        <f>C22/E22</f>
        <v>1</v>
      </c>
      <c r="G22" s="9">
        <f>Assumptions!E32*F22</f>
        <v>5000000</v>
      </c>
      <c r="H22" s="9">
        <f>G22 - Assumptions!E32</f>
        <v>0</v>
      </c>
    </row>
    <row r="23" spans="2:8" x14ac:dyDescent="0.25">
      <c r="B23" s="4" t="s">
        <v>41</v>
      </c>
      <c r="C23" s="13">
        <f>Assumptions!C33</f>
        <v>3</v>
      </c>
      <c r="D23" s="9" t="str">
        <f>IF(C13&lt;C23,"Yes","No")</f>
        <v>No</v>
      </c>
      <c r="E23" s="13">
        <f>IF(C13&lt;C23, C23*(Assumptions!C16 + Assumptions!C7/C23)/(Assumptions!C16 + Assumptions!C7/C13), C23)</f>
        <v>3</v>
      </c>
      <c r="F23" s="16">
        <f>C23/E23</f>
        <v>1</v>
      </c>
      <c r="G23" s="9">
        <f>Assumptions!E33*F23</f>
        <v>5000000</v>
      </c>
      <c r="H23" s="9">
        <f>G23 - Assumptions!E33</f>
        <v>0</v>
      </c>
    </row>
    <row r="24" spans="2:8" x14ac:dyDescent="0.25">
      <c r="B24" s="4" t="s">
        <v>42</v>
      </c>
      <c r="C24" s="13">
        <f>Assumptions!C34</f>
        <v>10</v>
      </c>
      <c r="D24" s="9" t="str">
        <f>IF(C13&lt;C24,"Yes","No")</f>
        <v>No</v>
      </c>
      <c r="E24" s="13">
        <f>IF(C13&lt;C24, C24*(Assumptions!C16 + Assumptions!C7/C24)/(Assumptions!C16 + Assumptions!C7/C13), C24)</f>
        <v>10</v>
      </c>
      <c r="F24" s="16">
        <f>C24/E24</f>
        <v>1</v>
      </c>
      <c r="G24" s="9">
        <f>Assumptions!E34*F24</f>
        <v>3000000</v>
      </c>
      <c r="H24" s="9">
        <f>G24 - Assumptions!E34</f>
        <v>0</v>
      </c>
    </row>
    <row r="25" spans="2:8" x14ac:dyDescent="0.25">
      <c r="B25" s="4" t="s">
        <v>43</v>
      </c>
      <c r="C25" s="13">
        <f>Assumptions!C35</f>
        <v>25</v>
      </c>
      <c r="D25" s="9" t="str">
        <f>IF(C13&lt;C25,"Yes","No")</f>
        <v>No</v>
      </c>
      <c r="E25" s="13">
        <f>IF(C13&lt;C25, C25*(Assumptions!C16 + Assumptions!C7/C25)/(Assumptions!C16 + Assumptions!C7/C13), C25)</f>
        <v>25</v>
      </c>
      <c r="F25" s="16">
        <f>C25/E25</f>
        <v>1</v>
      </c>
      <c r="G25" s="9">
        <f>Assumptions!E35*F25</f>
        <v>2400000</v>
      </c>
      <c r="H25" s="9">
        <f>G25 - Assumptions!E35</f>
        <v>0</v>
      </c>
    </row>
    <row r="26" spans="2:8" x14ac:dyDescent="0.25">
      <c r="B26" s="4" t="s">
        <v>44</v>
      </c>
      <c r="C26" s="13">
        <f>Assumptions!C36</f>
        <v>58.118347</v>
      </c>
      <c r="D26" s="9" t="str">
        <f>IF(C13&lt;C26,"Yes","No")</f>
        <v>Yes</v>
      </c>
      <c r="E26" s="13">
        <f>IF(C13&lt;C26, C26*(Assumptions!C16 + Assumptions!C7/C26)/(Assumptions!C16 + Assumptions!C7/C13), C26)</f>
        <v>57.6833414617465</v>
      </c>
      <c r="F26" s="16">
        <f>Assumptions!C40/E26</f>
        <v>1.0401616563733538</v>
      </c>
      <c r="G26" s="9">
        <f>Assumptions!C39*F26</f>
        <v>1733603.1073428085</v>
      </c>
      <c r="H26" s="9">
        <f>G26 - Assumptions!E36</f>
        <v>12976.1073428085</v>
      </c>
    </row>
    <row r="27" spans="2:8" x14ac:dyDescent="0.25">
      <c r="B27" s="4" t="s">
        <v>45</v>
      </c>
      <c r="C27" s="13">
        <f>Assumptions!C37</f>
        <v>49.158311</v>
      </c>
      <c r="D27" s="9" t="str">
        <f>IF(C13&lt;C27,"Yes","No")</f>
        <v>Yes</v>
      </c>
      <c r="E27" s="13">
        <f>IF(C13&lt;C27, C27*(Assumptions!C16 + Assumptions!C7/C27)/(Assumptions!C16 + Assumptions!C7/C13), C27)</f>
        <v>48.913987665898695</v>
      </c>
      <c r="F27" s="16">
        <f>C27/E27</f>
        <v>1.0049949584108768</v>
      </c>
      <c r="G27" s="9">
        <f>Assumptions!E37*F27</f>
        <v>6133149.56786043</v>
      </c>
      <c r="H27" s="9">
        <f>G27 - Assumptions!E37</f>
        <v>30482.56786043</v>
      </c>
    </row>
    <row r="28" spans="2:8" x14ac:dyDescent="0.25">
      <c r="B28" s="14" t="s">
        <v>99</v>
      </c>
      <c r="H28" s="17">
        <f>SUM(H22:H27)</f>
        <v>43458.6752032385</v>
      </c>
    </row>
    <row r="30" spans="2:8" x14ac:dyDescent="0.25">
      <c r="B30" s="3" t="s">
        <v>100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</row>
    <row r="31" spans="2:12" x14ac:dyDescent="0.25">
      <c r="B31" s="12" t="s">
        <v>51</v>
      </c>
      <c r="C31" s="12" t="s">
        <v>101</v>
      </c>
      <c r="D31" s="12" t="s">
        <v>102</v>
      </c>
      <c r="E31" s="12" t="s">
        <v>103</v>
      </c>
      <c r="F31" s="12" t="s">
        <v>104</v>
      </c>
      <c r="G31" s="12" t="s">
        <v>105</v>
      </c>
      <c r="K31" s="18" t="s">
        <v>106</v>
      </c>
      <c r="L31" s="18" t="s">
        <v>107</v>
      </c>
    </row>
    <row r="32" spans="2:12" x14ac:dyDescent="0.25">
      <c r="B32" s="4" t="s">
        <v>56</v>
      </c>
      <c r="C32" s="13">
        <f>Assumptions!D44/(C12 + H28 + L33)</f>
        <v>26.813693103241686</v>
      </c>
      <c r="D32" s="13">
        <f>(1-Assumptions!E44)*C13</f>
        <v>30.14216982286169</v>
      </c>
      <c r="E32" s="13">
        <f>MIN(C32, D32)</f>
        <v>26.813693103241686</v>
      </c>
      <c r="F32" s="9" t="str">
        <f>IF(C32&lt;D32,"cap","discount")</f>
        <v>cap</v>
      </c>
      <c r="G32" s="9">
        <f>Assumptions!C44/E32</f>
        <v>186471.8888497876</v>
      </c>
      <c r="K32" s="4" t="s">
        <v>56</v>
      </c>
      <c r="L32" s="9">
        <f>Assumptions!C44/((1-Assumptions!E44)*C13)</f>
        <v>165880.55967383244</v>
      </c>
    </row>
    <row r="33" spans="2:12" x14ac:dyDescent="0.25">
      <c r="B33" s="4" t="s">
        <v>57</v>
      </c>
      <c r="C33" s="13">
        <f>Assumptions!D45/(C12 + H28 + L32)</f>
        <v>42.81900572529876</v>
      </c>
      <c r="D33" s="13">
        <f>(1-Assumptions!E45)*C13</f>
        <v>32.02605543679054</v>
      </c>
      <c r="E33" s="13">
        <f>MIN(C33, D33)</f>
        <v>32.02605543679054</v>
      </c>
      <c r="F33" s="9" t="str">
        <f>IF(C33&lt;D33,"cap","discount")</f>
        <v>discount</v>
      </c>
      <c r="G33" s="9">
        <f>Assumptions!C45/E33</f>
        <v>93673.72781581127</v>
      </c>
      <c r="K33" s="4" t="s">
        <v>57</v>
      </c>
      <c r="L33" s="9">
        <f>Assumptions!C45/((1-Assumptions!E45)*C13)</f>
        <v>93673.72781581127</v>
      </c>
    </row>
    <row r="34" spans="2:7" x14ac:dyDescent="0.25">
      <c r="B34" s="14" t="s">
        <v>108</v>
      </c>
      <c r="G34" s="17">
        <f>G32+G33</f>
        <v>280145.6166655989</v>
      </c>
    </row>
    <row r="36" spans="2:8" x14ac:dyDescent="0.25">
      <c r="B36" s="3" t="s">
        <v>109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</row>
    <row r="37" spans="2:3" x14ac:dyDescent="0.25">
      <c r="B37" s="4" t="s">
        <v>110</v>
      </c>
      <c r="C37" s="13">
        <f>C17</f>
        <v>32.02605543679054</v>
      </c>
    </row>
    <row r="38" spans="2:3" x14ac:dyDescent="0.25">
      <c r="B38" s="4" t="s">
        <v>111</v>
      </c>
      <c r="C38" s="9">
        <f>C18</f>
        <v>468368.6390790564</v>
      </c>
    </row>
    <row r="39" spans="2:3" x14ac:dyDescent="0.25">
      <c r="B39" s="4" t="s">
        <v>112</v>
      </c>
      <c r="C39" s="9">
        <f>Assumptions!C22+Assumptions!C23+Assumptions!C24</f>
        <v>8000000</v>
      </c>
    </row>
    <row r="40" spans="2:3" x14ac:dyDescent="0.25">
      <c r="B40" s="10" t="s">
        <v>113</v>
      </c>
      <c r="C40" s="9">
        <f>C38*Assumptions!C26</f>
        <v>234184.3195395282</v>
      </c>
    </row>
    <row r="41" spans="2:3" x14ac:dyDescent="0.25">
      <c r="B41" s="10" t="s">
        <v>114</v>
      </c>
      <c r="C41" s="9">
        <f>C38*Assumptions!C27</f>
        <v>146365.19971220513</v>
      </c>
    </row>
    <row r="42" spans="2:3" x14ac:dyDescent="0.25">
      <c r="B42" s="10" t="s">
        <v>115</v>
      </c>
      <c r="C42" s="9">
        <f>C38*Assumptions!C28</f>
        <v>87819.11982732307</v>
      </c>
    </row>
    <row r="43" spans="2:3" x14ac:dyDescent="0.25">
      <c r="B43" s="14" t="s">
        <v>116</v>
      </c>
      <c r="C43" s="9">
        <f>C38</f>
        <v>468368.6390790564</v>
      </c>
    </row>
    <row r="45" spans="2:8" x14ac:dyDescent="0.25">
      <c r="B45" s="3" t="s">
        <v>117</v>
      </c>
      <c r="C45" s="3" t="s">
        <v>3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</row>
    <row r="46" spans="2:3" x14ac:dyDescent="0.25">
      <c r="B46" s="4" t="s">
        <v>118</v>
      </c>
      <c r="C46" s="9">
        <f>Assumptions!C16</f>
        <v>36617961</v>
      </c>
    </row>
    <row r="47" spans="2:3" x14ac:dyDescent="0.25">
      <c r="B47" s="4" t="s">
        <v>119</v>
      </c>
      <c r="C47" s="9">
        <f>C11</f>
        <v>539284.3669384734</v>
      </c>
    </row>
    <row r="48" spans="2:3" x14ac:dyDescent="0.25">
      <c r="B48" s="4" t="s">
        <v>120</v>
      </c>
      <c r="C48" s="9">
        <f>H28</f>
        <v>43458.6752032385</v>
      </c>
    </row>
    <row r="49" spans="2:3" x14ac:dyDescent="0.25">
      <c r="B49" s="4" t="s">
        <v>121</v>
      </c>
      <c r="C49" s="9">
        <f>C14</f>
        <v>796226.6864343957</v>
      </c>
    </row>
    <row r="50" spans="2:3" x14ac:dyDescent="0.25">
      <c r="B50" s="4" t="s">
        <v>122</v>
      </c>
      <c r="C50" s="9">
        <f>G32</f>
        <v>186471.8888497876</v>
      </c>
    </row>
    <row r="51" spans="2:3" x14ac:dyDescent="0.25">
      <c r="B51" s="4" t="s">
        <v>123</v>
      </c>
      <c r="C51" s="9">
        <f>G33</f>
        <v>93673.72781581127</v>
      </c>
    </row>
    <row r="52" spans="2:3" x14ac:dyDescent="0.25">
      <c r="B52" s="14" t="s">
        <v>124</v>
      </c>
      <c r="C52" s="17">
        <f>SUM(C46:C51)</f>
        <v>38277076.3452417</v>
      </c>
    </row>
    <row r="54" spans="2:8" x14ac:dyDescent="0.25">
      <c r="B54" s="3" t="s">
        <v>125</v>
      </c>
      <c r="C54" s="3" t="s">
        <v>3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</row>
    <row r="55" spans="2:7" x14ac:dyDescent="0.25">
      <c r="B55" s="12" t="s">
        <v>126</v>
      </c>
      <c r="C55" s="12" t="s">
        <v>127</v>
      </c>
      <c r="D55" s="12" t="s">
        <v>128</v>
      </c>
      <c r="E55" s="12" t="s">
        <v>129</v>
      </c>
      <c r="F55" s="12" t="s">
        <v>130</v>
      </c>
      <c r="G55" s="12" t="s">
        <v>131</v>
      </c>
    </row>
    <row r="56" spans="2:7" x14ac:dyDescent="0.25">
      <c r="B56" s="4" t="s">
        <v>132</v>
      </c>
      <c r="C56" s="9">
        <f>Assumptions!C22 - C40</f>
        <v>3765815.6804604717</v>
      </c>
      <c r="D56" s="9">
        <f>0</f>
        <v>0</v>
      </c>
      <c r="E56" s="9">
        <f>0</f>
        <v>0</v>
      </c>
      <c r="F56" s="9">
        <f>C56+D56+E56</f>
        <v>3765815.6804604717</v>
      </c>
      <c r="G56" s="11">
        <f>F56/$C$52</f>
        <v>0.09838305429846676</v>
      </c>
    </row>
    <row r="57" spans="2:7" x14ac:dyDescent="0.25">
      <c r="B57" s="4" t="s">
        <v>133</v>
      </c>
      <c r="C57" s="9">
        <f>Assumptions!C23 - C41</f>
        <v>2353634.800287795</v>
      </c>
      <c r="D57" s="9">
        <f>0</f>
        <v>0</v>
      </c>
      <c r="E57" s="9">
        <f>0</f>
        <v>0</v>
      </c>
      <c r="F57" s="9">
        <f>C57+D57+E57</f>
        <v>2353634.800287795</v>
      </c>
      <c r="G57" s="11">
        <f>F57/$C$52</f>
        <v>0.06148940893654173</v>
      </c>
    </row>
    <row r="58" spans="2:7" x14ac:dyDescent="0.25">
      <c r="B58" s="4" t="s">
        <v>134</v>
      </c>
      <c r="C58" s="9">
        <f>Assumptions!C24 - C42</f>
        <v>1412180.8801726769</v>
      </c>
      <c r="D58" s="9">
        <f>0</f>
        <v>0</v>
      </c>
      <c r="E58" s="9">
        <f>0</f>
        <v>0</v>
      </c>
      <c r="F58" s="9">
        <f>C58+D58+E58</f>
        <v>1412180.8801726769</v>
      </c>
      <c r="G58" s="11">
        <f>F58/$C$52</f>
        <v>0.036893645361925034</v>
      </c>
    </row>
    <row r="59" spans="2:7" x14ac:dyDescent="0.25">
      <c r="B59" s="4" t="s">
        <v>30</v>
      </c>
      <c r="C59" s="9">
        <f>Assumptions!C25</f>
        <v>1000000</v>
      </c>
      <c r="D59" s="9">
        <f>0</f>
        <v>0</v>
      </c>
      <c r="E59" s="9">
        <f>0</f>
        <v>0</v>
      </c>
      <c r="F59" s="9">
        <f>C59+D59+E59</f>
        <v>1000000</v>
      </c>
      <c r="G59" s="11">
        <f>F59/$C$52</f>
        <v>0.02612529731843827</v>
      </c>
    </row>
    <row r="60" spans="2:7" x14ac:dyDescent="0.25">
      <c r="B60" s="4" t="s">
        <v>135</v>
      </c>
      <c r="C60" s="9">
        <f>0</f>
        <v>0</v>
      </c>
      <c r="D60" s="9">
        <f>G22</f>
        <v>5000000</v>
      </c>
      <c r="E60" s="9">
        <f>0</f>
        <v>0</v>
      </c>
      <c r="F60" s="9">
        <f>C60+D60+E60</f>
        <v>5000000</v>
      </c>
      <c r="G60" s="11">
        <f>F60/$C$52</f>
        <v>0.13062648659219137</v>
      </c>
    </row>
    <row r="61" spans="2:7" x14ac:dyDescent="0.25">
      <c r="B61" s="4" t="s">
        <v>136</v>
      </c>
      <c r="C61" s="9">
        <f>0</f>
        <v>0</v>
      </c>
      <c r="D61" s="9">
        <f>G23</f>
        <v>5000000</v>
      </c>
      <c r="E61" s="9">
        <f>0</f>
        <v>0</v>
      </c>
      <c r="F61" s="9">
        <f>C61+D61+E61</f>
        <v>5000000</v>
      </c>
      <c r="G61" s="11">
        <f>F61/$C$52</f>
        <v>0.13062648659219137</v>
      </c>
    </row>
    <row r="62" spans="2:7" x14ac:dyDescent="0.25">
      <c r="B62" s="4" t="s">
        <v>137</v>
      </c>
      <c r="C62" s="9">
        <f>0</f>
        <v>0</v>
      </c>
      <c r="D62" s="9">
        <f>G24</f>
        <v>3000000</v>
      </c>
      <c r="E62" s="9">
        <f>0</f>
        <v>0</v>
      </c>
      <c r="F62" s="9">
        <f>C62+D62+E62</f>
        <v>3000000</v>
      </c>
      <c r="G62" s="11">
        <f>F62/$C$52</f>
        <v>0.07837589195531482</v>
      </c>
    </row>
    <row r="63" spans="2:7" x14ac:dyDescent="0.25">
      <c r="B63" s="4" t="s">
        <v>138</v>
      </c>
      <c r="C63" s="9">
        <f>0</f>
        <v>0</v>
      </c>
      <c r="D63" s="9">
        <f>G25</f>
        <v>2400000</v>
      </c>
      <c r="E63" s="9">
        <f>0</f>
        <v>0</v>
      </c>
      <c r="F63" s="9">
        <f>C63+D63+E63</f>
        <v>2400000</v>
      </c>
      <c r="G63" s="11">
        <f>F63/$C$52</f>
        <v>0.06270071356425186</v>
      </c>
    </row>
    <row r="64" spans="2:7" x14ac:dyDescent="0.25">
      <c r="B64" s="4" t="s">
        <v>139</v>
      </c>
      <c r="C64" s="9">
        <f>0</f>
        <v>0</v>
      </c>
      <c r="D64" s="9">
        <f>G26</f>
        <v>1733603.1073428085</v>
      </c>
      <c r="E64" s="9">
        <f>0</f>
        <v>0</v>
      </c>
      <c r="F64" s="9">
        <f>C64+D64+E64</f>
        <v>1733603.1073428085</v>
      </c>
      <c r="G64" s="11">
        <f>F64/$C$52</f>
        <v>0.04529089661149933</v>
      </c>
    </row>
    <row r="65" spans="2:7" x14ac:dyDescent="0.25">
      <c r="B65" s="4" t="s">
        <v>140</v>
      </c>
      <c r="C65" s="9">
        <f>0</f>
        <v>0</v>
      </c>
      <c r="D65" s="9">
        <f>G27</f>
        <v>6133149.56786043</v>
      </c>
      <c r="E65" s="9">
        <f>0</f>
        <v>0</v>
      </c>
      <c r="F65" s="9">
        <f>C65+D65+E65</f>
        <v>6133149.56786043</v>
      </c>
      <c r="G65" s="11">
        <f>F65/$C$52</f>
        <v>0.16023035595880494</v>
      </c>
    </row>
    <row r="66" spans="2:7" x14ac:dyDescent="0.25">
      <c r="B66" s="4" t="s">
        <v>141</v>
      </c>
      <c r="C66" s="9">
        <f>0</f>
        <v>0</v>
      </c>
      <c r="D66" s="9">
        <f>G32</f>
        <v>186471.8888497876</v>
      </c>
      <c r="E66" s="9">
        <f>0</f>
        <v>0</v>
      </c>
      <c r="F66" s="9">
        <f>C66+D66+E66</f>
        <v>186471.8888497876</v>
      </c>
      <c r="G66" s="11">
        <f>F66/$C$52</f>
        <v>0.004871633537731476</v>
      </c>
    </row>
    <row r="67" spans="2:7" x14ac:dyDescent="0.25">
      <c r="B67" s="4" t="s">
        <v>142</v>
      </c>
      <c r="C67" s="9">
        <f>0</f>
        <v>0</v>
      </c>
      <c r="D67" s="9">
        <f>G33</f>
        <v>93673.72781581127</v>
      </c>
      <c r="E67" s="9">
        <f>0</f>
        <v>0</v>
      </c>
      <c r="F67" s="9">
        <f>C67+D67+E67</f>
        <v>93673.72781581127</v>
      </c>
      <c r="G67" s="11">
        <f>F67/$C$52</f>
        <v>0.0024472539901145307</v>
      </c>
    </row>
    <row r="68" spans="2:7" x14ac:dyDescent="0.25">
      <c r="B68" s="4" t="s">
        <v>143</v>
      </c>
      <c r="C68" s="9">
        <f>C38</f>
        <v>468368.6390790564</v>
      </c>
      <c r="D68" s="9">
        <f>C15</f>
        <v>530817.7909562639</v>
      </c>
      <c r="E68" s="9">
        <f>0</f>
        <v>0</v>
      </c>
      <c r="F68" s="9">
        <f>C68+D68+E68</f>
        <v>999186.4300353203</v>
      </c>
      <c r="G68" s="11">
        <f>F68/$C$52</f>
        <v>0.026104042561221664</v>
      </c>
    </row>
    <row r="69" spans="2:7" x14ac:dyDescent="0.25">
      <c r="B69" s="4" t="s">
        <v>144</v>
      </c>
      <c r="C69" s="9">
        <f>0</f>
        <v>0</v>
      </c>
      <c r="D69" s="9">
        <f>C16</f>
        <v>265408.89547813195</v>
      </c>
      <c r="E69" s="9">
        <f>0</f>
        <v>0</v>
      </c>
      <c r="F69" s="9">
        <f>C69+D69+E69</f>
        <v>265408.89547813195</v>
      </c>
      <c r="G69" s="11">
        <f>F69/$C$52</f>
        <v>0.006933886305324505</v>
      </c>
    </row>
    <row r="70" spans="2:7" x14ac:dyDescent="0.25">
      <c r="B70" s="4" t="s">
        <v>145</v>
      </c>
      <c r="C70" s="9">
        <f>0</f>
        <v>0</v>
      </c>
      <c r="D70" s="9">
        <f>0</f>
        <v>0</v>
      </c>
      <c r="E70" s="9">
        <f>Assumptions!C17</f>
        <v>2500000</v>
      </c>
      <c r="F70" s="9">
        <f>C70+D70+E70</f>
        <v>2500000</v>
      </c>
      <c r="G70" s="11">
        <f>F70/$C$52</f>
        <v>0.06531324329609568</v>
      </c>
    </row>
    <row r="71" spans="2:7" x14ac:dyDescent="0.25">
      <c r="B71" s="4" t="s">
        <v>146</v>
      </c>
      <c r="C71" s="9">
        <f>0</f>
        <v>0</v>
      </c>
      <c r="D71" s="9">
        <f>0</f>
        <v>0</v>
      </c>
      <c r="E71" s="9">
        <f>Assumptions!C18 + C11</f>
        <v>2433951.366938473</v>
      </c>
      <c r="F71" s="9">
        <f>C71+D71+E71</f>
        <v>2433951.366938473</v>
      </c>
      <c r="G71" s="11">
        <f>F71/$C$52</f>
        <v>0.06358770311988686</v>
      </c>
    </row>
    <row r="72" spans="2:7" x14ac:dyDescent="0.25">
      <c r="B72" s="14" t="s">
        <v>147</v>
      </c>
      <c r="C72" s="17">
        <f>SUM(C56:C71)</f>
        <v>9000000</v>
      </c>
      <c r="D72" s="17">
        <f>SUM(D56:D71)</f>
        <v>24343124.97830324</v>
      </c>
      <c r="E72" s="17">
        <f>SUM(E56:E71)</f>
        <v>4933951.366938473</v>
      </c>
      <c r="F72" s="17">
        <f>SUM(F56:F71)</f>
        <v>38277076.3452417</v>
      </c>
      <c r="G72" s="19">
        <f>SUM(G56:G71)</f>
        <v>1.0000000000000002</v>
      </c>
    </row>
    <row r="75" spans="2:6" x14ac:dyDescent="0.25">
      <c r="B75" s="10" t="s">
        <v>148</v>
      </c>
      <c r="F75" s="19">
        <f>ROUND(F72 - C52, 2)</f>
        <v>0</v>
      </c>
    </row>
    <row r="76" spans="2:6" x14ac:dyDescent="0.25">
      <c r="B76" s="10" t="s">
        <v>149</v>
      </c>
      <c r="F76" s="19">
        <f>ROUND(G72 - 1, 6)</f>
        <v>0</v>
      </c>
    </row>
    <row r="77" spans="2:6" x14ac:dyDescent="0.25">
      <c r="B77" s="4" t="s">
        <v>150</v>
      </c>
      <c r="F77" s="19">
        <f>ROUND((F72 - C52) + (G72 - 1)*1000000, 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3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0.205" customWidth="1"/>
    <col min="3" max="9" width="13.955" customWidth="1"/>
  </cols>
  <sheetData>
    <row r="2" ht="18" customHeight="1" spans="2:2" x14ac:dyDescent="0.25">
      <c r="B2" s="1" t="s">
        <v>151</v>
      </c>
    </row>
    <row r="3" spans="2:2" x14ac:dyDescent="0.25">
      <c r="B3" s="2" t="s">
        <v>152</v>
      </c>
    </row>
    <row r="5" spans="2:9" x14ac:dyDescent="0.25">
      <c r="B5" s="3" t="s">
        <v>153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</row>
    <row r="6" spans="2:3" x14ac:dyDescent="0.25">
      <c r="B6" s="4" t="s">
        <v>154</v>
      </c>
      <c r="C6" s="9">
        <f>'Pro-Forma'!C52</f>
        <v>38277076.3452417</v>
      </c>
    </row>
    <row r="7" spans="2:3" x14ac:dyDescent="0.25">
      <c r="B7" s="4" t="s">
        <v>155</v>
      </c>
      <c r="C7" s="9">
        <f>-Assumptions!C18 - 'Pro-Forma'!C11</f>
        <v>-2433951.366938473</v>
      </c>
    </row>
    <row r="8" spans="2:3" x14ac:dyDescent="0.25">
      <c r="B8" s="14" t="s">
        <v>156</v>
      </c>
      <c r="C8" s="17">
        <f>C6+C7</f>
        <v>35843124.978303224</v>
      </c>
    </row>
    <row r="9" spans="2:3" x14ac:dyDescent="0.25">
      <c r="B9" s="4" t="s">
        <v>157</v>
      </c>
      <c r="C9" s="13">
        <f>Assumptions!C13</f>
        <v>1</v>
      </c>
    </row>
    <row r="11" spans="2:9" x14ac:dyDescent="0.25">
      <c r="B11" s="12" t="s">
        <v>158</v>
      </c>
      <c r="C11" s="12" t="s">
        <v>159</v>
      </c>
      <c r="D11" s="12" t="s">
        <v>160</v>
      </c>
      <c r="E11" s="12" t="s">
        <v>161</v>
      </c>
      <c r="F11" s="12" t="s">
        <v>162</v>
      </c>
      <c r="G11" s="12" t="s">
        <v>163</v>
      </c>
      <c r="H11" s="12" t="s">
        <v>164</v>
      </c>
      <c r="I11" s="12" t="s">
        <v>165</v>
      </c>
    </row>
    <row r="12" spans="2:9" x14ac:dyDescent="0.25">
      <c r="B12" s="14" t="s">
        <v>166</v>
      </c>
      <c r="E12" s="13">
        <f>Assumptions!C48</f>
        <v>700000000</v>
      </c>
      <c r="F12" s="13">
        <f>Assumptions!C49</f>
        <v>1200000000</v>
      </c>
      <c r="G12" s="13">
        <f>Assumptions!C50</f>
        <v>2000000000</v>
      </c>
      <c r="H12" s="13">
        <f>Assumptions!C51</f>
        <v>4000000000</v>
      </c>
      <c r="I12" s="13">
        <f>Assumptions!C52</f>
        <v>8000000000</v>
      </c>
    </row>
    <row r="14" spans="2:9" x14ac:dyDescent="0.25">
      <c r="B14" s="18" t="s">
        <v>167</v>
      </c>
      <c r="C14" s="18" t="s">
        <v>3</v>
      </c>
      <c r="D14" s="18" t="s">
        <v>3</v>
      </c>
      <c r="E14" s="18" t="s">
        <v>3</v>
      </c>
      <c r="F14" s="18" t="s">
        <v>3</v>
      </c>
      <c r="G14" s="18" t="s">
        <v>3</v>
      </c>
      <c r="H14" s="18" t="s">
        <v>3</v>
      </c>
      <c r="I14" s="18" t="s">
        <v>3</v>
      </c>
    </row>
    <row r="15" spans="2:4" x14ac:dyDescent="0.25">
      <c r="B15" s="10" t="s">
        <v>168</v>
      </c>
      <c r="C15" s="9">
        <f>'Pro-Forma'!C14</f>
        <v>796226.6864343957</v>
      </c>
      <c r="D15" s="13">
        <f>Assumptions!C7</f>
        <v>30000000</v>
      </c>
    </row>
    <row r="16" spans="2:9" x14ac:dyDescent="0.25">
      <c r="B16" s="10" t="s">
        <v>169</v>
      </c>
      <c r="E16" s="13">
        <f>$E$12</f>
        <v>700000000</v>
      </c>
      <c r="F16" s="13">
        <f>$F$12</f>
        <v>1200000000</v>
      </c>
      <c r="G16" s="13">
        <f>$G$12</f>
        <v>2000000000</v>
      </c>
      <c r="H16" s="13">
        <f>$H$12</f>
        <v>4000000000</v>
      </c>
      <c r="I16" s="13">
        <f>$I$12</f>
        <v>8000000000</v>
      </c>
    </row>
    <row r="17" spans="2:9" x14ac:dyDescent="0.25">
      <c r="B17" s="10" t="s">
        <v>170</v>
      </c>
      <c r="E17" s="9">
        <f>$C$8</f>
        <v>35843124.978303224</v>
      </c>
      <c r="F17" s="9">
        <f>$C$8</f>
        <v>35843124.978303224</v>
      </c>
      <c r="G17" s="9">
        <f>$C$8</f>
        <v>35843124.978303224</v>
      </c>
      <c r="H17" s="9">
        <f>$C$8</f>
        <v>35843124.978303224</v>
      </c>
      <c r="I17" s="9">
        <f>$C$8</f>
        <v>35843124.978303224</v>
      </c>
    </row>
    <row r="18" spans="2:9" x14ac:dyDescent="0.25">
      <c r="B18" s="10" t="s">
        <v>171</v>
      </c>
      <c r="E18" s="13">
        <f>$C$15/E17*E16</f>
        <v>15549946.631089246</v>
      </c>
      <c r="F18" s="13">
        <f>$C$15/F17*F16</f>
        <v>26657051.367581565</v>
      </c>
      <c r="G18" s="13">
        <f>$C$15/G17*G16</f>
        <v>44428418.94596927</v>
      </c>
      <c r="H18" s="13">
        <f>$C$15/H17*H16</f>
        <v>88856837.89193854</v>
      </c>
      <c r="I18" s="13">
        <f>$C$15/I17*I16</f>
        <v>177713675.78387707</v>
      </c>
    </row>
    <row r="19" spans="2:9" x14ac:dyDescent="0.25">
      <c r="B19" s="14" t="s">
        <v>172</v>
      </c>
      <c r="E19" s="9" t="str">
        <f>IF(E18&gt;$D$15,"convert","preference")</f>
        <v>preference</v>
      </c>
      <c r="F19" s="9" t="str">
        <f>IF(F18&gt;$D$15,"convert","preference")</f>
        <v>preference</v>
      </c>
      <c r="G19" s="9" t="str">
        <f>IF(G18&gt;$D$15,"convert","preference")</f>
        <v>convert</v>
      </c>
      <c r="H19" s="9" t="str">
        <f>IF(H18&gt;$D$15,"convert","preference")</f>
        <v>convert</v>
      </c>
      <c r="I19" s="9" t="str">
        <f>IF(I18&gt;$D$15,"convert","preference")</f>
        <v>convert</v>
      </c>
    </row>
    <row r="20" spans="2:9" x14ac:dyDescent="0.25">
      <c r="B20" s="10" t="s">
        <v>173</v>
      </c>
      <c r="E20" s="13">
        <f>E16-IF(E19="preference",$D$15,0)</f>
        <v>670000000</v>
      </c>
      <c r="F20" s="13">
        <f>F16-IF(F19="preference",$D$15,0)</f>
        <v>1170000000</v>
      </c>
      <c r="G20" s="13">
        <f>G16-IF(G19="preference",$D$15,0)</f>
        <v>2000000000</v>
      </c>
      <c r="H20" s="13">
        <f>H16-IF(H19="preference",$D$15,0)</f>
        <v>4000000000</v>
      </c>
      <c r="I20" s="13">
        <f>I16-IF(I19="preference",$D$15,0)</f>
        <v>8000000000</v>
      </c>
    </row>
    <row r="21" spans="2:9" x14ac:dyDescent="0.25">
      <c r="B21" s="10" t="s">
        <v>174</v>
      </c>
      <c r="E21" s="9">
        <f>E17-IF(E19="preference",$C$15,0)</f>
        <v>35046898.29186883</v>
      </c>
      <c r="F21" s="9">
        <f>F17-IF(F19="preference",$C$15,0)</f>
        <v>35046898.29186883</v>
      </c>
      <c r="G21" s="9">
        <f>G17-IF(G19="preference",$C$15,0)</f>
        <v>35843124.978303224</v>
      </c>
      <c r="H21" s="9">
        <f>H17-IF(H19="preference",$C$15,0)</f>
        <v>35843124.978303224</v>
      </c>
      <c r="I21" s="9">
        <f>I17-IF(I19="preference",$C$15,0)</f>
        <v>35843124.978303224</v>
      </c>
    </row>
    <row r="23" spans="2:9" x14ac:dyDescent="0.25">
      <c r="B23" s="18" t="s">
        <v>45</v>
      </c>
      <c r="C23" s="18" t="s">
        <v>3</v>
      </c>
      <c r="D23" s="18" t="s">
        <v>3</v>
      </c>
      <c r="E23" s="18" t="s">
        <v>3</v>
      </c>
      <c r="F23" s="18" t="s">
        <v>3</v>
      </c>
      <c r="G23" s="18" t="s">
        <v>3</v>
      </c>
      <c r="H23" s="18" t="s">
        <v>3</v>
      </c>
      <c r="I23" s="18" t="s">
        <v>3</v>
      </c>
    </row>
    <row r="24" spans="2:4" x14ac:dyDescent="0.25">
      <c r="B24" s="10" t="s">
        <v>168</v>
      </c>
      <c r="C24" s="9">
        <f>'Pro-Forma'!G27</f>
        <v>6133149.56786043</v>
      </c>
      <c r="D24" s="13">
        <f>Assumptions!F37</f>
        <v>300000000</v>
      </c>
    </row>
    <row r="25" spans="2:9" x14ac:dyDescent="0.25">
      <c r="B25" s="10" t="s">
        <v>169</v>
      </c>
      <c r="E25" s="13">
        <f>$E$20</f>
        <v>670000000</v>
      </c>
      <c r="F25" s="13">
        <f>$F$20</f>
        <v>1170000000</v>
      </c>
      <c r="G25" s="13">
        <f>$G$20</f>
        <v>2000000000</v>
      </c>
      <c r="H25" s="13">
        <f>$H$20</f>
        <v>4000000000</v>
      </c>
      <c r="I25" s="13">
        <f>$I$20</f>
        <v>8000000000</v>
      </c>
    </row>
    <row r="26" spans="2:9" x14ac:dyDescent="0.25">
      <c r="B26" s="10" t="s">
        <v>170</v>
      </c>
      <c r="E26" s="9">
        <f>$E$21</f>
        <v>35046898.29186883</v>
      </c>
      <c r="F26" s="9">
        <f>$F$21</f>
        <v>35046898.29186883</v>
      </c>
      <c r="G26" s="9">
        <f>$G$21</f>
        <v>35843124.978303224</v>
      </c>
      <c r="H26" s="9">
        <f>$H$21</f>
        <v>35843124.978303224</v>
      </c>
      <c r="I26" s="9">
        <f>$I$21</f>
        <v>35843124.978303224</v>
      </c>
    </row>
    <row r="27" spans="2:9" x14ac:dyDescent="0.25">
      <c r="B27" s="10" t="s">
        <v>171</v>
      </c>
      <c r="E27" s="13">
        <f>$C$24/E26*E25</f>
        <v>117248898.21190992</v>
      </c>
      <c r="F27" s="13">
        <f>$C$24/F26*F25</f>
        <v>204748075.98199195</v>
      </c>
      <c r="G27" s="13">
        <f>$C$24/G26*G25</f>
        <v>342221810.82553405</v>
      </c>
      <c r="H27" s="13">
        <f>$C$24/H26*H25</f>
        <v>684443621.6510681</v>
      </c>
      <c r="I27" s="13">
        <f>$C$24/I26*I25</f>
        <v>1368887243.3021362</v>
      </c>
    </row>
    <row r="28" spans="2:9" x14ac:dyDescent="0.25">
      <c r="B28" s="14" t="s">
        <v>172</v>
      </c>
      <c r="E28" s="9" t="str">
        <f>IF(E27&gt;$D$24,"convert","preference")</f>
        <v>preference</v>
      </c>
      <c r="F28" s="9" t="str">
        <f>IF(F27&gt;$D$24,"convert","preference")</f>
        <v>preference</v>
      </c>
      <c r="G28" s="9" t="str">
        <f>IF(G27&gt;$D$24,"convert","preference")</f>
        <v>convert</v>
      </c>
      <c r="H28" s="9" t="str">
        <f>IF(H27&gt;$D$24,"convert","preference")</f>
        <v>convert</v>
      </c>
      <c r="I28" s="9" t="str">
        <f>IF(I27&gt;$D$24,"convert","preference")</f>
        <v>convert</v>
      </c>
    </row>
    <row r="29" spans="2:9" x14ac:dyDescent="0.25">
      <c r="B29" s="10" t="s">
        <v>173</v>
      </c>
      <c r="E29" s="13">
        <f>E25-IF(E28="preference",$D$24,0)</f>
        <v>370000000</v>
      </c>
      <c r="F29" s="13">
        <f>F25-IF(F28="preference",$D$24,0)</f>
        <v>870000000</v>
      </c>
      <c r="G29" s="13">
        <f>G25-IF(G28="preference",$D$24,0)</f>
        <v>2000000000</v>
      </c>
      <c r="H29" s="13">
        <f>H25-IF(H28="preference",$D$24,0)</f>
        <v>4000000000</v>
      </c>
      <c r="I29" s="13">
        <f>I25-IF(I28="preference",$D$24,0)</f>
        <v>8000000000</v>
      </c>
    </row>
    <row r="30" spans="2:9" x14ac:dyDescent="0.25">
      <c r="B30" s="10" t="s">
        <v>174</v>
      </c>
      <c r="E30" s="9">
        <f>E26-IF(E28="preference",$C$24,0)</f>
        <v>28913748.7240084</v>
      </c>
      <c r="F30" s="9">
        <f>F26-IF(F28="preference",$C$24,0)</f>
        <v>28913748.7240084</v>
      </c>
      <c r="G30" s="9">
        <f>G26-IF(G28="preference",$C$24,0)</f>
        <v>35843124.978303224</v>
      </c>
      <c r="H30" s="9">
        <f>H26-IF(H28="preference",$C$24,0)</f>
        <v>35843124.978303224</v>
      </c>
      <c r="I30" s="9">
        <f>I26-IF(I28="preference",$C$24,0)</f>
        <v>35843124.978303224</v>
      </c>
    </row>
    <row r="32" spans="2:9" x14ac:dyDescent="0.25">
      <c r="B32" s="18" t="s">
        <v>44</v>
      </c>
      <c r="C32" s="18" t="s">
        <v>3</v>
      </c>
      <c r="D32" s="18" t="s">
        <v>3</v>
      </c>
      <c r="E32" s="18" t="s">
        <v>3</v>
      </c>
      <c r="F32" s="18" t="s">
        <v>3</v>
      </c>
      <c r="G32" s="18" t="s">
        <v>3</v>
      </c>
      <c r="H32" s="18" t="s">
        <v>3</v>
      </c>
      <c r="I32" s="18" t="s">
        <v>3</v>
      </c>
    </row>
    <row r="33" spans="2:4" x14ac:dyDescent="0.25">
      <c r="B33" s="10" t="s">
        <v>168</v>
      </c>
      <c r="C33" s="9">
        <f>'Pro-Forma'!G26</f>
        <v>1733603.1073428085</v>
      </c>
      <c r="D33" s="13">
        <f>Assumptions!F36</f>
        <v>100000000</v>
      </c>
    </row>
    <row r="34" spans="2:9" x14ac:dyDescent="0.25">
      <c r="B34" s="10" t="s">
        <v>169</v>
      </c>
      <c r="E34" s="13">
        <f>$E$29</f>
        <v>370000000</v>
      </c>
      <c r="F34" s="13">
        <f>$F$29</f>
        <v>870000000</v>
      </c>
      <c r="G34" s="13">
        <f>$G$29</f>
        <v>2000000000</v>
      </c>
      <c r="H34" s="13">
        <f>$H$29</f>
        <v>4000000000</v>
      </c>
      <c r="I34" s="13">
        <f>$I$29</f>
        <v>8000000000</v>
      </c>
    </row>
    <row r="35" spans="2:9" x14ac:dyDescent="0.25">
      <c r="B35" s="10" t="s">
        <v>170</v>
      </c>
      <c r="E35" s="9">
        <f>$E$30</f>
        <v>28913748.7240084</v>
      </c>
      <c r="F35" s="9">
        <f>$F$30</f>
        <v>28913748.7240084</v>
      </c>
      <c r="G35" s="9">
        <f>$G$30</f>
        <v>35843124.978303224</v>
      </c>
      <c r="H35" s="9">
        <f>$H$30</f>
        <v>35843124.978303224</v>
      </c>
      <c r="I35" s="9">
        <f>$I$30</f>
        <v>35843124.978303224</v>
      </c>
    </row>
    <row r="36" spans="2:9" x14ac:dyDescent="0.25">
      <c r="B36" s="10" t="s">
        <v>171</v>
      </c>
      <c r="E36" s="13">
        <f>$C$33/E35*E34</f>
        <v>22184364.809957277</v>
      </c>
      <c r="F36" s="13">
        <f>$C$33/F35*F34</f>
        <v>52163236.17476441</v>
      </c>
      <c r="G36" s="13">
        <f>$C$33/G35*G34</f>
        <v>96732810.4562425</v>
      </c>
      <c r="H36" s="13">
        <f>$C$33/H35*H34</f>
        <v>193465620.912485</v>
      </c>
      <c r="I36" s="13">
        <f>$C$33/I35*I34</f>
        <v>386931241.82497</v>
      </c>
    </row>
    <row r="37" spans="2:9" x14ac:dyDescent="0.25">
      <c r="B37" s="14" t="s">
        <v>172</v>
      </c>
      <c r="E37" s="9" t="str">
        <f>IF(E36&gt;$D$33,"convert","preference")</f>
        <v>preference</v>
      </c>
      <c r="F37" s="9" t="str">
        <f>IF(F36&gt;$D$33,"convert","preference")</f>
        <v>preference</v>
      </c>
      <c r="G37" s="9" t="str">
        <f>IF(G36&gt;$D$33,"convert","preference")</f>
        <v>preference</v>
      </c>
      <c r="H37" s="9" t="str">
        <f>IF(H36&gt;$D$33,"convert","preference")</f>
        <v>convert</v>
      </c>
      <c r="I37" s="9" t="str">
        <f>IF(I36&gt;$D$33,"convert","preference")</f>
        <v>convert</v>
      </c>
    </row>
    <row r="38" spans="2:9" x14ac:dyDescent="0.25">
      <c r="B38" s="10" t="s">
        <v>173</v>
      </c>
      <c r="E38" s="13">
        <f>E34-IF(E37="preference",$D$33,0)</f>
        <v>270000000</v>
      </c>
      <c r="F38" s="13">
        <f>F34-IF(F37="preference",$D$33,0)</f>
        <v>770000000</v>
      </c>
      <c r="G38" s="13">
        <f>G34-IF(G37="preference",$D$33,0)</f>
        <v>1900000000</v>
      </c>
      <c r="H38" s="13">
        <f>H34-IF(H37="preference",$D$33,0)</f>
        <v>4000000000</v>
      </c>
      <c r="I38" s="13">
        <f>I34-IF(I37="preference",$D$33,0)</f>
        <v>8000000000</v>
      </c>
    </row>
    <row r="39" spans="2:9" x14ac:dyDescent="0.25">
      <c r="B39" s="10" t="s">
        <v>174</v>
      </c>
      <c r="E39" s="9">
        <f>E35-IF(E37="preference",$C$33,0)</f>
        <v>27180145.61666559</v>
      </c>
      <c r="F39" s="9">
        <f>F35-IF(F37="preference",$C$33,0)</f>
        <v>27180145.61666559</v>
      </c>
      <c r="G39" s="9">
        <f>G35-IF(G37="preference",$C$33,0)</f>
        <v>34109521.870960414</v>
      </c>
      <c r="H39" s="9">
        <f>H35-IF(H37="preference",$C$33,0)</f>
        <v>35843124.978303224</v>
      </c>
      <c r="I39" s="9">
        <f>I35-IF(I37="preference",$C$33,0)</f>
        <v>35843124.978303224</v>
      </c>
    </row>
    <row r="41" spans="2:9" x14ac:dyDescent="0.25">
      <c r="B41" s="18" t="s">
        <v>43</v>
      </c>
      <c r="C41" s="18" t="s">
        <v>3</v>
      </c>
      <c r="D41" s="18" t="s">
        <v>3</v>
      </c>
      <c r="E41" s="18" t="s">
        <v>3</v>
      </c>
      <c r="F41" s="18" t="s">
        <v>3</v>
      </c>
      <c r="G41" s="18" t="s">
        <v>3</v>
      </c>
      <c r="H41" s="18" t="s">
        <v>3</v>
      </c>
      <c r="I41" s="18" t="s">
        <v>3</v>
      </c>
    </row>
    <row r="42" spans="2:4" x14ac:dyDescent="0.25">
      <c r="B42" s="10" t="s">
        <v>168</v>
      </c>
      <c r="C42" s="9">
        <f>'Pro-Forma'!G25</f>
        <v>2400000</v>
      </c>
      <c r="D42" s="13">
        <f>Assumptions!F35</f>
        <v>60000000</v>
      </c>
    </row>
    <row r="43" spans="2:9" x14ac:dyDescent="0.25">
      <c r="B43" s="10" t="s">
        <v>169</v>
      </c>
      <c r="E43" s="13">
        <f>$E$38</f>
        <v>270000000</v>
      </c>
      <c r="F43" s="13">
        <f>$F$38</f>
        <v>770000000</v>
      </c>
      <c r="G43" s="13">
        <f>$G$38</f>
        <v>1900000000</v>
      </c>
      <c r="H43" s="13">
        <f>$H$38</f>
        <v>4000000000</v>
      </c>
      <c r="I43" s="13">
        <f>$I$38</f>
        <v>8000000000</v>
      </c>
    </row>
    <row r="44" spans="2:9" x14ac:dyDescent="0.25">
      <c r="B44" s="10" t="s">
        <v>170</v>
      </c>
      <c r="E44" s="9">
        <f>$E$39</f>
        <v>27180145.61666559</v>
      </c>
      <c r="F44" s="9">
        <f>$F$39</f>
        <v>27180145.61666559</v>
      </c>
      <c r="G44" s="9">
        <f>$G$39</f>
        <v>34109521.870960414</v>
      </c>
      <c r="H44" s="9">
        <f>$H$39</f>
        <v>35843124.978303224</v>
      </c>
      <c r="I44" s="9">
        <f>$I$39</f>
        <v>35843124.978303224</v>
      </c>
    </row>
    <row r="45" spans="2:9" x14ac:dyDescent="0.25">
      <c r="B45" s="10" t="s">
        <v>171</v>
      </c>
      <c r="E45" s="13">
        <f>$C$42/E44*E43</f>
        <v>23840931.87501824</v>
      </c>
      <c r="F45" s="13">
        <f>$C$42/F44*F43</f>
        <v>67990805.71764462</v>
      </c>
      <c r="G45" s="13">
        <f>$C$42/G44*G43</f>
        <v>133687010.2504197</v>
      </c>
      <c r="H45" s="13">
        <f>$C$42/H44*H43</f>
        <v>267833789.76613033</v>
      </c>
      <c r="I45" s="13">
        <f>$C$42/I44*I43</f>
        <v>535667579.53226066</v>
      </c>
    </row>
    <row r="46" spans="2:9" x14ac:dyDescent="0.25">
      <c r="B46" s="14" t="s">
        <v>172</v>
      </c>
      <c r="E46" s="9" t="str">
        <f>IF(E45&gt;$D$42,"convert","preference")</f>
        <v>preference</v>
      </c>
      <c r="F46" s="9" t="str">
        <f>IF(F45&gt;$D$42,"convert","preference")</f>
        <v>convert</v>
      </c>
      <c r="G46" s="9" t="str">
        <f>IF(G45&gt;$D$42,"convert","preference")</f>
        <v>convert</v>
      </c>
      <c r="H46" s="9" t="str">
        <f>IF(H45&gt;$D$42,"convert","preference")</f>
        <v>convert</v>
      </c>
      <c r="I46" s="9" t="str">
        <f>IF(I45&gt;$D$42,"convert","preference")</f>
        <v>convert</v>
      </c>
    </row>
    <row r="47" spans="2:9" x14ac:dyDescent="0.25">
      <c r="B47" s="10" t="s">
        <v>173</v>
      </c>
      <c r="E47" s="13">
        <f>E43-IF(E46="preference",$D$42,0)</f>
        <v>210000000</v>
      </c>
      <c r="F47" s="13">
        <f>F43-IF(F46="preference",$D$42,0)</f>
        <v>770000000</v>
      </c>
      <c r="G47" s="13">
        <f>G43-IF(G46="preference",$D$42,0)</f>
        <v>1900000000</v>
      </c>
      <c r="H47" s="13">
        <f>H43-IF(H46="preference",$D$42,0)</f>
        <v>4000000000</v>
      </c>
      <c r="I47" s="13">
        <f>I43-IF(I46="preference",$D$42,0)</f>
        <v>8000000000</v>
      </c>
    </row>
    <row r="48" spans="2:9" x14ac:dyDescent="0.25">
      <c r="B48" s="10" t="s">
        <v>174</v>
      </c>
      <c r="E48" s="9">
        <f>E44-IF(E46="preference",$C$42,0)</f>
        <v>24780145.61666559</v>
      </c>
      <c r="F48" s="9">
        <f>F44-IF(F46="preference",$C$42,0)</f>
        <v>27180145.61666559</v>
      </c>
      <c r="G48" s="9">
        <f>G44-IF(G46="preference",$C$42,0)</f>
        <v>34109521.870960414</v>
      </c>
      <c r="H48" s="9">
        <f>H44-IF(H46="preference",$C$42,0)</f>
        <v>35843124.978303224</v>
      </c>
      <c r="I48" s="9">
        <f>I44-IF(I46="preference",$C$42,0)</f>
        <v>35843124.978303224</v>
      </c>
    </row>
    <row r="50" spans="2:9" x14ac:dyDescent="0.25">
      <c r="B50" s="18" t="s">
        <v>42</v>
      </c>
      <c r="C50" s="18" t="s">
        <v>3</v>
      </c>
      <c r="D50" s="18" t="s">
        <v>3</v>
      </c>
      <c r="E50" s="18" t="s">
        <v>3</v>
      </c>
      <c r="F50" s="18" t="s">
        <v>3</v>
      </c>
      <c r="G50" s="18" t="s">
        <v>3</v>
      </c>
      <c r="H50" s="18" t="s">
        <v>3</v>
      </c>
      <c r="I50" s="18" t="s">
        <v>3</v>
      </c>
    </row>
    <row r="51" spans="2:4" x14ac:dyDescent="0.25">
      <c r="B51" s="10" t="s">
        <v>168</v>
      </c>
      <c r="C51" s="9">
        <f>'Pro-Forma'!G24</f>
        <v>3000000</v>
      </c>
      <c r="D51" s="13">
        <f>Assumptions!F34</f>
        <v>30000000</v>
      </c>
    </row>
    <row r="52" spans="2:9" x14ac:dyDescent="0.25">
      <c r="B52" s="10" t="s">
        <v>169</v>
      </c>
      <c r="E52" s="13">
        <f>$E$47</f>
        <v>210000000</v>
      </c>
      <c r="F52" s="13">
        <f>$F$47</f>
        <v>770000000</v>
      </c>
      <c r="G52" s="13">
        <f>$G$47</f>
        <v>1900000000</v>
      </c>
      <c r="H52" s="13">
        <f>$H$47</f>
        <v>4000000000</v>
      </c>
      <c r="I52" s="13">
        <f>$I$47</f>
        <v>8000000000</v>
      </c>
    </row>
    <row r="53" spans="2:9" x14ac:dyDescent="0.25">
      <c r="B53" s="10" t="s">
        <v>170</v>
      </c>
      <c r="E53" s="9">
        <f>$E$48</f>
        <v>24780145.61666559</v>
      </c>
      <c r="F53" s="9">
        <f>$F$48</f>
        <v>27180145.61666559</v>
      </c>
      <c r="G53" s="9">
        <f>$G$48</f>
        <v>34109521.870960414</v>
      </c>
      <c r="H53" s="9">
        <f>$H$48</f>
        <v>35843124.978303224</v>
      </c>
      <c r="I53" s="9">
        <f>$I$48</f>
        <v>35843124.978303224</v>
      </c>
    </row>
    <row r="54" spans="2:9" x14ac:dyDescent="0.25">
      <c r="B54" s="10" t="s">
        <v>171</v>
      </c>
      <c r="E54" s="13">
        <f>$C$51/E53*E52</f>
        <v>25423579.41497733</v>
      </c>
      <c r="F54" s="13">
        <f>$C$51/F53*F52</f>
        <v>84988507.14705577</v>
      </c>
      <c r="G54" s="13">
        <f>$C$51/G53*G52</f>
        <v>167108762.81302464</v>
      </c>
      <c r="H54" s="13">
        <f>$C$51/H53*H52</f>
        <v>334792237.2076629</v>
      </c>
      <c r="I54" s="13">
        <f>$C$51/I53*I52</f>
        <v>669584474.4153258</v>
      </c>
    </row>
    <row r="55" spans="2:9" x14ac:dyDescent="0.25">
      <c r="B55" s="14" t="s">
        <v>172</v>
      </c>
      <c r="E55" s="9" t="str">
        <f>IF(E54&gt;$D$51,"convert","preference")</f>
        <v>preference</v>
      </c>
      <c r="F55" s="9" t="str">
        <f>IF(F54&gt;$D$51,"convert","preference")</f>
        <v>convert</v>
      </c>
      <c r="G55" s="9" t="str">
        <f>IF(G54&gt;$D$51,"convert","preference")</f>
        <v>convert</v>
      </c>
      <c r="H55" s="9" t="str">
        <f>IF(H54&gt;$D$51,"convert","preference")</f>
        <v>convert</v>
      </c>
      <c r="I55" s="9" t="str">
        <f>IF(I54&gt;$D$51,"convert","preference")</f>
        <v>convert</v>
      </c>
    </row>
    <row r="56" spans="2:9" x14ac:dyDescent="0.25">
      <c r="B56" s="10" t="s">
        <v>173</v>
      </c>
      <c r="E56" s="13">
        <f>E52-IF(E55="preference",$D$51,0)</f>
        <v>180000000</v>
      </c>
      <c r="F56" s="13">
        <f>F52-IF(F55="preference",$D$51,0)</f>
        <v>770000000</v>
      </c>
      <c r="G56" s="13">
        <f>G52-IF(G55="preference",$D$51,0)</f>
        <v>1900000000</v>
      </c>
      <c r="H56" s="13">
        <f>H52-IF(H55="preference",$D$51,0)</f>
        <v>4000000000</v>
      </c>
      <c r="I56" s="13">
        <f>I52-IF(I55="preference",$D$51,0)</f>
        <v>8000000000</v>
      </c>
    </row>
    <row r="57" spans="2:9" x14ac:dyDescent="0.25">
      <c r="B57" s="10" t="s">
        <v>174</v>
      </c>
      <c r="E57" s="9">
        <f>E53-IF(E55="preference",$C$51,0)</f>
        <v>21780145.61666559</v>
      </c>
      <c r="F57" s="9">
        <f>F53-IF(F55="preference",$C$51,0)</f>
        <v>27180145.61666559</v>
      </c>
      <c r="G57" s="9">
        <f>G53-IF(G55="preference",$C$51,0)</f>
        <v>34109521.870960414</v>
      </c>
      <c r="H57" s="9">
        <f>H53-IF(H55="preference",$C$51,0)</f>
        <v>35843124.978303224</v>
      </c>
      <c r="I57" s="9">
        <f>I53-IF(I55="preference",$C$51,0)</f>
        <v>35843124.978303224</v>
      </c>
    </row>
    <row r="59" spans="2:9" x14ac:dyDescent="0.25">
      <c r="B59" s="18" t="s">
        <v>41</v>
      </c>
      <c r="C59" s="18" t="s">
        <v>3</v>
      </c>
      <c r="D59" s="18" t="s">
        <v>3</v>
      </c>
      <c r="E59" s="18" t="s">
        <v>3</v>
      </c>
      <c r="F59" s="18" t="s">
        <v>3</v>
      </c>
      <c r="G59" s="18" t="s">
        <v>3</v>
      </c>
      <c r="H59" s="18" t="s">
        <v>3</v>
      </c>
      <c r="I59" s="18" t="s">
        <v>3</v>
      </c>
    </row>
    <row r="60" spans="2:4" x14ac:dyDescent="0.25">
      <c r="B60" s="10" t="s">
        <v>168</v>
      </c>
      <c r="C60" s="9">
        <f>'Pro-Forma'!G23</f>
        <v>5000000</v>
      </c>
      <c r="D60" s="13">
        <f>Assumptions!F33</f>
        <v>15000000</v>
      </c>
    </row>
    <row r="61" spans="2:9" x14ac:dyDescent="0.25">
      <c r="B61" s="10" t="s">
        <v>169</v>
      </c>
      <c r="E61" s="13">
        <f>$E$56</f>
        <v>180000000</v>
      </c>
      <c r="F61" s="13">
        <f>$F$56</f>
        <v>770000000</v>
      </c>
      <c r="G61" s="13">
        <f>$G$56</f>
        <v>1900000000</v>
      </c>
      <c r="H61" s="13">
        <f>$H$56</f>
        <v>4000000000</v>
      </c>
      <c r="I61" s="13">
        <f>$I$56</f>
        <v>8000000000</v>
      </c>
    </row>
    <row r="62" spans="2:9" x14ac:dyDescent="0.25">
      <c r="B62" s="10" t="s">
        <v>170</v>
      </c>
      <c r="E62" s="9">
        <f>$E$57</f>
        <v>21780145.61666559</v>
      </c>
      <c r="F62" s="9">
        <f>$F$57</f>
        <v>27180145.61666559</v>
      </c>
      <c r="G62" s="9">
        <f>$G$57</f>
        <v>34109521.870960414</v>
      </c>
      <c r="H62" s="9">
        <f>$H$57</f>
        <v>35843124.978303224</v>
      </c>
      <c r="I62" s="9">
        <f>$I$57</f>
        <v>35843124.978303224</v>
      </c>
    </row>
    <row r="63" spans="2:9" x14ac:dyDescent="0.25">
      <c r="B63" s="10" t="s">
        <v>171</v>
      </c>
      <c r="E63" s="13">
        <f>$C$60/E62*E61</f>
        <v>41322037.778817415</v>
      </c>
      <c r="F63" s="13">
        <f>$C$60/F62*F61</f>
        <v>141647511.91175961</v>
      </c>
      <c r="G63" s="13">
        <f>$C$60/G62*G61</f>
        <v>278514604.6883744</v>
      </c>
      <c r="H63" s="13">
        <f>$C$60/H62*H61</f>
        <v>557987062.0127715</v>
      </c>
      <c r="I63" s="13">
        <f>$C$60/I62*I61</f>
        <v>1115974124.025543</v>
      </c>
    </row>
    <row r="64" spans="2:9" x14ac:dyDescent="0.25">
      <c r="B64" s="14" t="s">
        <v>172</v>
      </c>
      <c r="E64" s="9" t="str">
        <f>IF(E63&gt;$D$60,"convert","preference")</f>
        <v>convert</v>
      </c>
      <c r="F64" s="9" t="str">
        <f>IF(F63&gt;$D$60,"convert","preference")</f>
        <v>convert</v>
      </c>
      <c r="G64" s="9" t="str">
        <f>IF(G63&gt;$D$60,"convert","preference")</f>
        <v>convert</v>
      </c>
      <c r="H64" s="9" t="str">
        <f>IF(H63&gt;$D$60,"convert","preference")</f>
        <v>convert</v>
      </c>
      <c r="I64" s="9" t="str">
        <f>IF(I63&gt;$D$60,"convert","preference")</f>
        <v>convert</v>
      </c>
    </row>
    <row r="65" spans="2:9" x14ac:dyDescent="0.25">
      <c r="B65" s="10" t="s">
        <v>173</v>
      </c>
      <c r="E65" s="13">
        <f>E61-IF(E64="preference",$D$60,0)</f>
        <v>180000000</v>
      </c>
      <c r="F65" s="13">
        <f>F61-IF(F64="preference",$D$60,0)</f>
        <v>770000000</v>
      </c>
      <c r="G65" s="13">
        <f>G61-IF(G64="preference",$D$60,0)</f>
        <v>1900000000</v>
      </c>
      <c r="H65" s="13">
        <f>H61-IF(H64="preference",$D$60,0)</f>
        <v>4000000000</v>
      </c>
      <c r="I65" s="13">
        <f>I61-IF(I64="preference",$D$60,0)</f>
        <v>8000000000</v>
      </c>
    </row>
    <row r="66" spans="2:9" x14ac:dyDescent="0.25">
      <c r="B66" s="10" t="s">
        <v>174</v>
      </c>
      <c r="E66" s="9">
        <f>E62-IF(E64="preference",$C$60,0)</f>
        <v>21780145.61666559</v>
      </c>
      <c r="F66" s="9">
        <f>F62-IF(F64="preference",$C$60,0)</f>
        <v>27180145.61666559</v>
      </c>
      <c r="G66" s="9">
        <f>G62-IF(G64="preference",$C$60,0)</f>
        <v>34109521.870960414</v>
      </c>
      <c r="H66" s="9">
        <f>H62-IF(H64="preference",$C$60,0)</f>
        <v>35843124.978303224</v>
      </c>
      <c r="I66" s="9">
        <f>I62-IF(I64="preference",$C$60,0)</f>
        <v>35843124.978303224</v>
      </c>
    </row>
    <row r="68" spans="2:9" x14ac:dyDescent="0.25">
      <c r="B68" s="18" t="s">
        <v>40</v>
      </c>
      <c r="C68" s="18" t="s">
        <v>3</v>
      </c>
      <c r="D68" s="18" t="s">
        <v>3</v>
      </c>
      <c r="E68" s="18" t="s">
        <v>3</v>
      </c>
      <c r="F68" s="18" t="s">
        <v>3</v>
      </c>
      <c r="G68" s="18" t="s">
        <v>3</v>
      </c>
      <c r="H68" s="18" t="s">
        <v>3</v>
      </c>
      <c r="I68" s="18" t="s">
        <v>3</v>
      </c>
    </row>
    <row r="69" spans="2:4" x14ac:dyDescent="0.25">
      <c r="B69" s="10" t="s">
        <v>168</v>
      </c>
      <c r="C69" s="9">
        <f>'Pro-Forma'!G22</f>
        <v>5000000</v>
      </c>
      <c r="D69" s="13">
        <f>Assumptions!F32</f>
        <v>5000000</v>
      </c>
    </row>
    <row r="70" spans="2:9" x14ac:dyDescent="0.25">
      <c r="B70" s="10" t="s">
        <v>169</v>
      </c>
      <c r="E70" s="13">
        <f>$E$65</f>
        <v>180000000</v>
      </c>
      <c r="F70" s="13">
        <f>$F$65</f>
        <v>770000000</v>
      </c>
      <c r="G70" s="13">
        <f>$G$65</f>
        <v>1900000000</v>
      </c>
      <c r="H70" s="13">
        <f>$H$65</f>
        <v>4000000000</v>
      </c>
      <c r="I70" s="13">
        <f>$I$65</f>
        <v>8000000000</v>
      </c>
    </row>
    <row r="71" spans="2:9" x14ac:dyDescent="0.25">
      <c r="B71" s="10" t="s">
        <v>170</v>
      </c>
      <c r="E71" s="9">
        <f>$E$66</f>
        <v>21780145.61666559</v>
      </c>
      <c r="F71" s="9">
        <f>$F$66</f>
        <v>27180145.61666559</v>
      </c>
      <c r="G71" s="9">
        <f>$G$66</f>
        <v>34109521.870960414</v>
      </c>
      <c r="H71" s="9">
        <f>$H$66</f>
        <v>35843124.978303224</v>
      </c>
      <c r="I71" s="9">
        <f>$I$66</f>
        <v>35843124.978303224</v>
      </c>
    </row>
    <row r="72" spans="2:9" x14ac:dyDescent="0.25">
      <c r="B72" s="10" t="s">
        <v>171</v>
      </c>
      <c r="E72" s="13">
        <f>$C$69/E71*E70</f>
        <v>41322037.778817415</v>
      </c>
      <c r="F72" s="13">
        <f>$C$69/F71*F70</f>
        <v>141647511.91175961</v>
      </c>
      <c r="G72" s="13">
        <f>$C$69/G71*G70</f>
        <v>278514604.6883744</v>
      </c>
      <c r="H72" s="13">
        <f>$C$69/H71*H70</f>
        <v>557987062.0127715</v>
      </c>
      <c r="I72" s="13">
        <f>$C$69/I71*I70</f>
        <v>1115974124.025543</v>
      </c>
    </row>
    <row r="73" spans="2:9" x14ac:dyDescent="0.25">
      <c r="B73" s="14" t="s">
        <v>172</v>
      </c>
      <c r="E73" s="9" t="str">
        <f>IF(E72&gt;$D$69,"convert","preference")</f>
        <v>convert</v>
      </c>
      <c r="F73" s="9" t="str">
        <f>IF(F72&gt;$D$69,"convert","preference")</f>
        <v>convert</v>
      </c>
      <c r="G73" s="9" t="str">
        <f>IF(G72&gt;$D$69,"convert","preference")</f>
        <v>convert</v>
      </c>
      <c r="H73" s="9" t="str">
        <f>IF(H72&gt;$D$69,"convert","preference")</f>
        <v>convert</v>
      </c>
      <c r="I73" s="9" t="str">
        <f>IF(I72&gt;$D$69,"convert","preference")</f>
        <v>convert</v>
      </c>
    </row>
    <row r="74" spans="2:9" x14ac:dyDescent="0.25">
      <c r="B74" s="10" t="s">
        <v>173</v>
      </c>
      <c r="E74" s="13">
        <f>E70-IF(E73="preference",$D$69,0)</f>
        <v>180000000</v>
      </c>
      <c r="F74" s="13">
        <f>F70-IF(F73="preference",$D$69,0)</f>
        <v>770000000</v>
      </c>
      <c r="G74" s="13">
        <f>G70-IF(G73="preference",$D$69,0)</f>
        <v>1900000000</v>
      </c>
      <c r="H74" s="13">
        <f>H70-IF(H73="preference",$D$69,0)</f>
        <v>4000000000</v>
      </c>
      <c r="I74" s="13">
        <f>I70-IF(I73="preference",$D$69,0)</f>
        <v>8000000000</v>
      </c>
    </row>
    <row r="75" spans="2:9" x14ac:dyDescent="0.25">
      <c r="B75" s="10" t="s">
        <v>174</v>
      </c>
      <c r="E75" s="9">
        <f>E71-IF(E73="preference",$C$69,0)</f>
        <v>21780145.61666559</v>
      </c>
      <c r="F75" s="9">
        <f>F71-IF(F73="preference",$C$69,0)</f>
        <v>27180145.61666559</v>
      </c>
      <c r="G75" s="9">
        <f>G71-IF(G73="preference",$C$69,0)</f>
        <v>34109521.870960414</v>
      </c>
      <c r="H75" s="9">
        <f>H71-IF(H73="preference",$C$69,0)</f>
        <v>35843124.978303224</v>
      </c>
      <c r="I75" s="9">
        <f>I71-IF(I73="preference",$C$69,0)</f>
        <v>35843124.978303224</v>
      </c>
    </row>
    <row r="77" spans="2:9" x14ac:dyDescent="0.25">
      <c r="B77" s="4" t="s">
        <v>175</v>
      </c>
      <c r="E77" s="13">
        <f>E74</f>
        <v>180000000</v>
      </c>
      <c r="F77" s="13">
        <f>F74</f>
        <v>770000000</v>
      </c>
      <c r="G77" s="13">
        <f>G74</f>
        <v>1900000000</v>
      </c>
      <c r="H77" s="13">
        <f>H74</f>
        <v>4000000000</v>
      </c>
      <c r="I77" s="13">
        <f>I74</f>
        <v>8000000000</v>
      </c>
    </row>
    <row r="78" spans="2:9" x14ac:dyDescent="0.25">
      <c r="B78" s="4" t="s">
        <v>176</v>
      </c>
      <c r="E78" s="9">
        <f>E75</f>
        <v>21780145.61666559</v>
      </c>
      <c r="F78" s="9">
        <f>F75</f>
        <v>27180145.61666559</v>
      </c>
      <c r="G78" s="9">
        <f>G75</f>
        <v>34109521.870960414</v>
      </c>
      <c r="H78" s="9">
        <f>H75</f>
        <v>35843124.978303224</v>
      </c>
      <c r="I78" s="9">
        <f>I75</f>
        <v>35843124.978303224</v>
      </c>
    </row>
    <row r="79" spans="2:9" x14ac:dyDescent="0.25">
      <c r="B79" s="14" t="s">
        <v>177</v>
      </c>
      <c r="E79" s="13">
        <f>E77/E78</f>
        <v>8.264407555763484</v>
      </c>
      <c r="F79" s="13">
        <f>F77/F78</f>
        <v>28.329502382351922</v>
      </c>
      <c r="G79" s="13">
        <f>G77/G78</f>
        <v>55.702920937674875</v>
      </c>
      <c r="H79" s="13">
        <f>H77/H78</f>
        <v>111.5974124025543</v>
      </c>
      <c r="I79" s="13">
        <f>I77/I78</f>
        <v>223.1948248051086</v>
      </c>
    </row>
    <row r="81" spans="2:9" x14ac:dyDescent="0.25">
      <c r="B81" s="3" t="s">
        <v>178</v>
      </c>
      <c r="C81" s="3" t="s">
        <v>3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</row>
    <row r="82" spans="2:9" x14ac:dyDescent="0.25">
      <c r="B82" s="4" t="s">
        <v>179</v>
      </c>
      <c r="E82" s="13">
        <f>IF(E19="preference",$D$15,$C$15*E79)</f>
        <v>30000000</v>
      </c>
      <c r="F82" s="13">
        <f>IF(F19="preference",$D$15,$C$15*F79)</f>
        <v>30000000</v>
      </c>
      <c r="G82" s="13">
        <f>IF(G19="preference",$D$15,$C$15*G79)</f>
        <v>44352152.16292199</v>
      </c>
      <c r="H82" s="13">
        <f>IF(H19="preference",$D$15,$C$15*H79)</f>
        <v>88856837.89193854</v>
      </c>
      <c r="I82" s="13">
        <f>IF(I19="preference",$D$15,$C$15*I79)</f>
        <v>177713675.78387707</v>
      </c>
    </row>
    <row r="83" spans="2:9" x14ac:dyDescent="0.25">
      <c r="B83" s="4" t="s">
        <v>180</v>
      </c>
      <c r="E83" s="13">
        <f>IF(E28="preference",$D$24,$C$24*E79)</f>
        <v>300000000</v>
      </c>
      <c r="F83" s="13">
        <f>IF(F28="preference",$D$24,$C$24*F79)</f>
        <v>300000000</v>
      </c>
      <c r="G83" s="13">
        <f>IF(G28="preference",$D$24,$C$24*G79)</f>
        <v>341634345.4774644</v>
      </c>
      <c r="H83" s="13">
        <f>IF(H28="preference",$D$24,$C$24*H79)</f>
        <v>684443621.6510681</v>
      </c>
      <c r="I83" s="13">
        <f>IF(I28="preference",$D$24,$C$24*I79)</f>
        <v>1368887243.3021362</v>
      </c>
    </row>
    <row r="84" spans="2:9" x14ac:dyDescent="0.25">
      <c r="B84" s="4" t="s">
        <v>181</v>
      </c>
      <c r="E84" s="13">
        <f>IF(E37="preference",$D$33,$C$33*E79)</f>
        <v>100000000</v>
      </c>
      <c r="F84" s="13">
        <f>IF(F37="preference",$D$33,$C$33*F79)</f>
        <v>100000000</v>
      </c>
      <c r="G84" s="13">
        <f>IF(G37="preference",$D$33,$C$33*G79)</f>
        <v>100000000</v>
      </c>
      <c r="H84" s="13">
        <f>IF(H37="preference",$D$33,$C$33*H79)</f>
        <v>193465620.912485</v>
      </c>
      <c r="I84" s="13">
        <f>IF(I37="preference",$D$33,$C$33*I79)</f>
        <v>386931241.82497</v>
      </c>
    </row>
    <row r="85" spans="2:9" x14ac:dyDescent="0.25">
      <c r="B85" s="4" t="s">
        <v>182</v>
      </c>
      <c r="E85" s="13">
        <f>IF(E46="preference",$D$42,$C$42*E79)</f>
        <v>60000000</v>
      </c>
      <c r="F85" s="13">
        <f>IF(F46="preference",$D$42,$C$42*F79)</f>
        <v>67990805.71764462</v>
      </c>
      <c r="G85" s="13">
        <f>IF(G46="preference",$D$42,$C$42*G79)</f>
        <v>133687010.2504197</v>
      </c>
      <c r="H85" s="13">
        <f>IF(H46="preference",$D$42,$C$42*H79)</f>
        <v>267833789.76613033</v>
      </c>
      <c r="I85" s="13">
        <f>IF(I46="preference",$D$42,$C$42*I79)</f>
        <v>535667579.53226066</v>
      </c>
    </row>
    <row r="86" spans="2:9" x14ac:dyDescent="0.25">
      <c r="B86" s="4" t="s">
        <v>183</v>
      </c>
      <c r="E86" s="13">
        <f>IF(E55="preference",$D$51,$C$51*E79)</f>
        <v>30000000</v>
      </c>
      <c r="F86" s="13">
        <f>IF(F55="preference",$D$51,$C$51*F79)</f>
        <v>84988507.14705576</v>
      </c>
      <c r="G86" s="13">
        <f>IF(G55="preference",$D$51,$C$51*G79)</f>
        <v>167108762.8130246</v>
      </c>
      <c r="H86" s="13">
        <f>IF(H55="preference",$D$51,$C$51*H79)</f>
        <v>334792237.2076629</v>
      </c>
      <c r="I86" s="13">
        <f>IF(I55="preference",$D$51,$C$51*I79)</f>
        <v>669584474.4153258</v>
      </c>
    </row>
    <row r="87" spans="2:9" x14ac:dyDescent="0.25">
      <c r="B87" s="4" t="s">
        <v>184</v>
      </c>
      <c r="E87" s="13">
        <f>IF(E64="preference",$D$60,$C$60*E79)</f>
        <v>41322037.77881742</v>
      </c>
      <c r="F87" s="13">
        <f>IF(F64="preference",$D$60,$C$60*F79)</f>
        <v>141647511.91175961</v>
      </c>
      <c r="G87" s="13">
        <f>IF(G64="preference",$D$60,$C$60*G79)</f>
        <v>278514604.6883744</v>
      </c>
      <c r="H87" s="13">
        <f>IF(H64="preference",$D$60,$C$60*H79)</f>
        <v>557987062.0127715</v>
      </c>
      <c r="I87" s="13">
        <f>IF(I64="preference",$D$60,$C$60*I79)</f>
        <v>1115974124.025543</v>
      </c>
    </row>
    <row r="88" spans="2:9" x14ac:dyDescent="0.25">
      <c r="B88" s="4" t="s">
        <v>185</v>
      </c>
      <c r="E88" s="13">
        <f>IF(E73="preference",$D$69,$C$69*E79)</f>
        <v>41322037.77881742</v>
      </c>
      <c r="F88" s="13">
        <f>IF(F73="preference",$D$69,$C$69*F79)</f>
        <v>141647511.91175961</v>
      </c>
      <c r="G88" s="13">
        <f>IF(G73="preference",$D$69,$C$69*G79)</f>
        <v>278514604.6883744</v>
      </c>
      <c r="H88" s="13">
        <f>IF(H73="preference",$D$69,$C$69*H79)</f>
        <v>557987062.0127715</v>
      </c>
      <c r="I88" s="13">
        <f>IF(I73="preference",$D$69,$C$69*I79)</f>
        <v>1115974124.025543</v>
      </c>
    </row>
    <row r="90" spans="2:9" x14ac:dyDescent="0.25">
      <c r="B90" s="4" t="s">
        <v>186</v>
      </c>
      <c r="C90" s="9">
        <f>Assumptions!C22+Assumptions!C23+Assumptions!C24+Assumptions!C25</f>
        <v>9000000</v>
      </c>
      <c r="E90" s="13">
        <f>$C$90*E79</f>
        <v>74379668.00187136</v>
      </c>
      <c r="F90" s="13">
        <f>$C$90*F79</f>
        <v>254965521.4411673</v>
      </c>
      <c r="G90" s="13">
        <f>$C$90*G79</f>
        <v>501326288.43907386</v>
      </c>
      <c r="H90" s="13">
        <f>$C$90*H79</f>
        <v>1004376711.6229887</v>
      </c>
      <c r="I90" s="13">
        <f>$C$90*I79</f>
        <v>2008753423.2459774</v>
      </c>
    </row>
    <row r="91" spans="2:9" x14ac:dyDescent="0.25">
      <c r="B91" s="4" t="s">
        <v>187</v>
      </c>
      <c r="C91" s="9">
        <f>Assumptions!C17</f>
        <v>2500000</v>
      </c>
      <c r="E91" s="13">
        <f>IF(E79&gt;$C$9, $C$91*(E79-$C$9), 0)</f>
        <v>18161018.88940871</v>
      </c>
      <c r="F91" s="13">
        <f>IF(F79&gt;$C$9, $C$91*(F79-$C$9), 0)</f>
        <v>68323755.95587981</v>
      </c>
      <c r="G91" s="13">
        <f>IF(G79&gt;$C$9, $C$91*(G79-$C$9), 0)</f>
        <v>136757302.3441872</v>
      </c>
      <c r="H91" s="13">
        <f>IF(H79&gt;$C$9, $C$91*(H79-$C$9), 0)</f>
        <v>276493531.00638574</v>
      </c>
      <c r="I91" s="13">
        <f>IF(I79&gt;$C$9, $C$91*(I79-$C$9), 0)</f>
        <v>555487062.0127715</v>
      </c>
    </row>
    <row r="92" spans="2:9" x14ac:dyDescent="0.25">
      <c r="B92" s="4" t="s">
        <v>188</v>
      </c>
      <c r="C92" s="9">
        <f>'Pro-Forma'!G32</f>
        <v>186471.8888497876</v>
      </c>
      <c r="E92" s="13">
        <f>$C$92*E79</f>
        <v>1541079.6871476732</v>
      </c>
      <c r="F92" s="13">
        <f>$C$92*F79</f>
        <v>5282655.81941172</v>
      </c>
      <c r="G92" s="13">
        <f>$C$92*G79</f>
        <v>10387028.881698616</v>
      </c>
      <c r="H92" s="13">
        <f>$C$92*H79</f>
        <v>20809780.281453013</v>
      </c>
      <c r="I92" s="13">
        <f>$C$92*I79</f>
        <v>41619560.56290603</v>
      </c>
    </row>
    <row r="93" spans="2:9" x14ac:dyDescent="0.25">
      <c r="B93" s="4" t="s">
        <v>189</v>
      </c>
      <c r="C93" s="9">
        <f>'Pro-Forma'!G33</f>
        <v>93673.72781581127</v>
      </c>
      <c r="E93" s="13">
        <f>$C$93*E79</f>
        <v>774157.8639375228</v>
      </c>
      <c r="F93" s="13">
        <f>$C$93*F79</f>
        <v>2653730.095321811</v>
      </c>
      <c r="G93" s="13">
        <f>$C$93*G79</f>
        <v>5217900.254461411</v>
      </c>
      <c r="H93" s="13">
        <f>$C$93*H79</f>
        <v>10453745.634345712</v>
      </c>
      <c r="I93" s="13">
        <f>$C$93*I79</f>
        <v>20907491.268691424</v>
      </c>
    </row>
    <row r="95" spans="2:9" x14ac:dyDescent="0.25">
      <c r="B95" s="3" t="s">
        <v>190</v>
      </c>
      <c r="C95" s="3" t="s">
        <v>3</v>
      </c>
      <c r="D95" s="3" t="s">
        <v>3</v>
      </c>
      <c r="E95" s="3" t="s">
        <v>3</v>
      </c>
      <c r="F95" s="3" t="s">
        <v>3</v>
      </c>
      <c r="G95" s="3" t="s">
        <v>3</v>
      </c>
      <c r="H95" s="3" t="s">
        <v>3</v>
      </c>
      <c r="I95" s="3" t="s">
        <v>3</v>
      </c>
    </row>
    <row r="96" spans="2:9" x14ac:dyDescent="0.25">
      <c r="B96" s="4" t="s">
        <v>191</v>
      </c>
      <c r="E96" s="13">
        <f>SUM(E82:E88)</f>
        <v>602644075.5576348</v>
      </c>
      <c r="F96" s="13">
        <f>SUM(F82:F88)</f>
        <v>866274336.6882197</v>
      </c>
      <c r="G96" s="13">
        <f>SUM(G82:G88)</f>
        <v>1343811480.0805795</v>
      </c>
      <c r="H96" s="13">
        <f>SUM(H82:H88)</f>
        <v>2685366231.454828</v>
      </c>
      <c r="I96" s="13">
        <f>SUM(I82:I88)</f>
        <v>5370732462.909656</v>
      </c>
    </row>
    <row r="97" spans="2:9" x14ac:dyDescent="0.25">
      <c r="B97" s="4" t="s">
        <v>192</v>
      </c>
      <c r="E97" s="13">
        <f>E90</f>
        <v>74379668.00187136</v>
      </c>
      <c r="F97" s="13">
        <f>F90</f>
        <v>254965521.4411673</v>
      </c>
      <c r="G97" s="13">
        <f>G90</f>
        <v>501326288.43907386</v>
      </c>
      <c r="H97" s="13">
        <f>H90</f>
        <v>1004376711.6229887</v>
      </c>
      <c r="I97" s="13">
        <f>I90</f>
        <v>2008753423.2459774</v>
      </c>
    </row>
    <row r="98" spans="2:9" x14ac:dyDescent="0.25">
      <c r="B98" s="4" t="s">
        <v>193</v>
      </c>
      <c r="E98" s="13">
        <f>E91</f>
        <v>18161018.88940871</v>
      </c>
      <c r="F98" s="13">
        <f>F91</f>
        <v>68323755.95587981</v>
      </c>
      <c r="G98" s="13">
        <f>G91</f>
        <v>136757302.3441872</v>
      </c>
      <c r="H98" s="13">
        <f>H91</f>
        <v>276493531.00638574</v>
      </c>
      <c r="I98" s="13">
        <f>I91</f>
        <v>555487062.0127715</v>
      </c>
    </row>
    <row r="99" spans="2:9" x14ac:dyDescent="0.25">
      <c r="B99" s="4" t="s">
        <v>194</v>
      </c>
      <c r="E99" s="13">
        <f>E92+E93</f>
        <v>2315237.551085196</v>
      </c>
      <c r="F99" s="13">
        <f>F92+F93</f>
        <v>7936385.914733531</v>
      </c>
      <c r="G99" s="13">
        <f>G92+G93</f>
        <v>15604929.136160027</v>
      </c>
      <c r="H99" s="13">
        <f>H92+H93</f>
        <v>31263525.915798724</v>
      </c>
      <c r="I99" s="13">
        <f>I92+I93</f>
        <v>62527051.831597455</v>
      </c>
    </row>
    <row r="100" spans="2:9" x14ac:dyDescent="0.25">
      <c r="B100" s="10" t="s">
        <v>195</v>
      </c>
      <c r="E100" s="13">
        <f>IF(E79&gt;$C$9, $C$91*$C$9, 0)</f>
        <v>2500000</v>
      </c>
      <c r="F100" s="13">
        <f>IF(F79&gt;$C$9, $C$91*$C$9, 0)</f>
        <v>2500000</v>
      </c>
      <c r="G100" s="13">
        <f>IF(G79&gt;$C$9, $C$91*$C$9, 0)</f>
        <v>2500000</v>
      </c>
      <c r="H100" s="13">
        <f>IF(H79&gt;$C$9, $C$91*$C$9, 0)</f>
        <v>2500000</v>
      </c>
      <c r="I100" s="13">
        <f>IF(I79&gt;$C$9, $C$91*$C$9, 0)</f>
        <v>2500000</v>
      </c>
    </row>
    <row r="101" spans="2:9" x14ac:dyDescent="0.25">
      <c r="B101" s="14" t="s">
        <v>196</v>
      </c>
      <c r="E101" s="20">
        <f>E96+E97+E98+E99+E100</f>
        <v>700000000.0000001</v>
      </c>
      <c r="F101" s="20">
        <f>F96+F97+F98+F99+F100</f>
        <v>1200000000.0000002</v>
      </c>
      <c r="G101" s="20">
        <f>G96+G97+G98+G99+G100</f>
        <v>2000000000.0000007</v>
      </c>
      <c r="H101" s="20">
        <f>H96+H97+H98+H99+H100</f>
        <v>4000000000.000001</v>
      </c>
      <c r="I101" s="20">
        <f>I96+I97+I98+I99+I100</f>
        <v>8000000000.000003</v>
      </c>
    </row>
    <row r="102" spans="2:9" x14ac:dyDescent="0.25">
      <c r="B102" s="4" t="s">
        <v>166</v>
      </c>
      <c r="E102" s="13">
        <f>E12</f>
        <v>700000000</v>
      </c>
      <c r="F102" s="13">
        <f>F12</f>
        <v>1200000000</v>
      </c>
      <c r="G102" s="13">
        <f>G12</f>
        <v>2000000000</v>
      </c>
      <c r="H102" s="13">
        <f>H12</f>
        <v>4000000000</v>
      </c>
      <c r="I102" s="13">
        <f>I12</f>
        <v>8000000000</v>
      </c>
    </row>
    <row r="103" spans="2:9" x14ac:dyDescent="0.25">
      <c r="B103" s="4" t="s">
        <v>150</v>
      </c>
      <c r="E103" s="19">
        <f>ROUND(E101-E102,2)</f>
        <v>0</v>
      </c>
      <c r="F103" s="19">
        <f>ROUND(F101-F102,2)</f>
        <v>0</v>
      </c>
      <c r="G103" s="19">
        <f>ROUND(G101-G102,2)</f>
        <v>0</v>
      </c>
      <c r="H103" s="19">
        <f>ROUND(H101-H102,2)</f>
        <v>0</v>
      </c>
      <c r="I103" s="19">
        <f>ROUND(I101-I102,2)</f>
        <v>0</v>
      </c>
    </row>
    <row r="105" spans="2:9" x14ac:dyDescent="0.25">
      <c r="B105" s="3" t="s">
        <v>197</v>
      </c>
      <c r="C105" s="3" t="s">
        <v>3</v>
      </c>
      <c r="D105" s="3" t="s">
        <v>3</v>
      </c>
      <c r="E105" s="3" t="s">
        <v>3</v>
      </c>
      <c r="F105" s="3" t="s">
        <v>3</v>
      </c>
      <c r="G105" s="3" t="s">
        <v>3</v>
      </c>
      <c r="H105" s="3" t="s">
        <v>3</v>
      </c>
      <c r="I105" s="3" t="s">
        <v>3</v>
      </c>
    </row>
    <row r="106" spans="2:9" x14ac:dyDescent="0.25">
      <c r="B106" s="12" t="s">
        <v>35</v>
      </c>
      <c r="E106" s="12" t="s">
        <v>161</v>
      </c>
      <c r="F106" s="12" t="s">
        <v>162</v>
      </c>
      <c r="G106" s="12" t="s">
        <v>163</v>
      </c>
      <c r="H106" s="12" t="s">
        <v>164</v>
      </c>
      <c r="I106" s="12" t="s">
        <v>165</v>
      </c>
    </row>
    <row r="107" spans="2:9" x14ac:dyDescent="0.25">
      <c r="B107" s="4" t="s">
        <v>167</v>
      </c>
      <c r="E107" s="9" t="str">
        <f>E19</f>
        <v>preference</v>
      </c>
      <c r="F107" s="9" t="str">
        <f>F19</f>
        <v>preference</v>
      </c>
      <c r="G107" s="9" t="str">
        <f>G19</f>
        <v>convert</v>
      </c>
      <c r="H107" s="9" t="str">
        <f>H19</f>
        <v>convert</v>
      </c>
      <c r="I107" s="9" t="str">
        <f>I19</f>
        <v>convert</v>
      </c>
    </row>
    <row r="108" spans="2:9" x14ac:dyDescent="0.25">
      <c r="B108" s="4" t="s">
        <v>45</v>
      </c>
      <c r="E108" s="9" t="str">
        <f>E28</f>
        <v>preference</v>
      </c>
      <c r="F108" s="9" t="str">
        <f>F28</f>
        <v>preference</v>
      </c>
      <c r="G108" s="9" t="str">
        <f>G28</f>
        <v>convert</v>
      </c>
      <c r="H108" s="9" t="str">
        <f>H28</f>
        <v>convert</v>
      </c>
      <c r="I108" s="9" t="str">
        <f>I28</f>
        <v>convert</v>
      </c>
    </row>
    <row r="109" spans="2:9" x14ac:dyDescent="0.25">
      <c r="B109" s="4" t="s">
        <v>44</v>
      </c>
      <c r="E109" s="9" t="str">
        <f>E37</f>
        <v>preference</v>
      </c>
      <c r="F109" s="9" t="str">
        <f>F37</f>
        <v>preference</v>
      </c>
      <c r="G109" s="9" t="str">
        <f>G37</f>
        <v>preference</v>
      </c>
      <c r="H109" s="9" t="str">
        <f>H37</f>
        <v>convert</v>
      </c>
      <c r="I109" s="9" t="str">
        <f>I37</f>
        <v>convert</v>
      </c>
    </row>
    <row r="110" spans="2:9" x14ac:dyDescent="0.25">
      <c r="B110" s="4" t="s">
        <v>43</v>
      </c>
      <c r="E110" s="9" t="str">
        <f>E46</f>
        <v>preference</v>
      </c>
      <c r="F110" s="9" t="str">
        <f>F46</f>
        <v>convert</v>
      </c>
      <c r="G110" s="9" t="str">
        <f>G46</f>
        <v>convert</v>
      </c>
      <c r="H110" s="9" t="str">
        <f>H46</f>
        <v>convert</v>
      </c>
      <c r="I110" s="9" t="str">
        <f>I46</f>
        <v>convert</v>
      </c>
    </row>
    <row r="111" spans="2:9" x14ac:dyDescent="0.25">
      <c r="B111" s="4" t="s">
        <v>42</v>
      </c>
      <c r="E111" s="9" t="str">
        <f>E55</f>
        <v>preference</v>
      </c>
      <c r="F111" s="9" t="str">
        <f>F55</f>
        <v>convert</v>
      </c>
      <c r="G111" s="9" t="str">
        <f>G55</f>
        <v>convert</v>
      </c>
      <c r="H111" s="9" t="str">
        <f>H55</f>
        <v>convert</v>
      </c>
      <c r="I111" s="9" t="str">
        <f>I55</f>
        <v>convert</v>
      </c>
    </row>
    <row r="112" spans="2:9" x14ac:dyDescent="0.25">
      <c r="B112" s="4" t="s">
        <v>41</v>
      </c>
      <c r="E112" s="9" t="str">
        <f>E64</f>
        <v>convert</v>
      </c>
      <c r="F112" s="9" t="str">
        <f>F64</f>
        <v>convert</v>
      </c>
      <c r="G112" s="9" t="str">
        <f>G64</f>
        <v>convert</v>
      </c>
      <c r="H112" s="9" t="str">
        <f>H64</f>
        <v>convert</v>
      </c>
      <c r="I112" s="9" t="str">
        <f>I64</f>
        <v>convert</v>
      </c>
    </row>
    <row r="113" spans="2:9" x14ac:dyDescent="0.25">
      <c r="B113" s="4" t="s">
        <v>40</v>
      </c>
      <c r="E113" s="9" t="str">
        <f>E73</f>
        <v>convert</v>
      </c>
      <c r="F113" s="9" t="str">
        <f>F73</f>
        <v>convert</v>
      </c>
      <c r="G113" s="9" t="str">
        <f>G73</f>
        <v>convert</v>
      </c>
      <c r="H113" s="9" t="str">
        <f>H73</f>
        <v>convert</v>
      </c>
      <c r="I113" s="9" t="str">
        <f>I73</f>
        <v>convert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9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5.205" customWidth="1"/>
    <col min="3" max="5" width="16.455" customWidth="1"/>
    <col min="6" max="6" width="3.955" customWidth="1"/>
    <col min="11" max="11" width="28.955" customWidth="1"/>
    <col min="12" max="20" width="11.455" customWidth="1"/>
  </cols>
  <sheetData>
    <row r="2" ht="18" customHeight="1" spans="2:2" x14ac:dyDescent="0.25">
      <c r="B2" s="1" t="s">
        <v>198</v>
      </c>
    </row>
    <row r="3" spans="2:2" x14ac:dyDescent="0.25">
      <c r="B3" s="2" t="s">
        <v>199</v>
      </c>
    </row>
    <row r="5" spans="2:20" x14ac:dyDescent="0.25">
      <c r="B5" s="3" t="s">
        <v>200</v>
      </c>
      <c r="C5" s="3" t="s">
        <v>3</v>
      </c>
      <c r="D5" s="3" t="s">
        <v>3</v>
      </c>
      <c r="E5" s="3" t="s">
        <v>3</v>
      </c>
      <c r="F5" s="3" t="s">
        <v>3</v>
      </c>
      <c r="K5" s="3" t="s">
        <v>201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  <c r="S5" s="3" t="s">
        <v>3</v>
      </c>
      <c r="T5" s="3" t="s">
        <v>3</v>
      </c>
    </row>
    <row r="6" spans="11:20" x14ac:dyDescent="0.25">
      <c r="K6" s="4" t="s">
        <v>202</v>
      </c>
      <c r="L6" s="12" t="s">
        <v>203</v>
      </c>
      <c r="M6" s="12" t="s">
        <v>204</v>
      </c>
      <c r="N6" s="12" t="s">
        <v>205</v>
      </c>
      <c r="O6" s="12" t="s">
        <v>206</v>
      </c>
      <c r="P6" s="12" t="s">
        <v>207</v>
      </c>
      <c r="Q6" s="12" t="s">
        <v>208</v>
      </c>
      <c r="R6" s="12" t="s">
        <v>209</v>
      </c>
      <c r="S6" s="12" t="s">
        <v>210</v>
      </c>
      <c r="T6" s="12" t="s">
        <v>211</v>
      </c>
    </row>
    <row r="7" spans="2:5" x14ac:dyDescent="0.25">
      <c r="B7" s="21" t="s">
        <v>212</v>
      </c>
      <c r="C7" s="22">
        <f>Assumptions!C58</f>
        <v>1200000000</v>
      </c>
      <c r="D7" s="22">
        <f>Assumptions!C59</f>
        <v>1400000000</v>
      </c>
      <c r="E7" s="22">
        <f>Assumptions!C60</f>
        <v>1800000000</v>
      </c>
    </row>
    <row r="8" spans="2:20" x14ac:dyDescent="0.25">
      <c r="B8" s="23" t="str">
        <f>TEXT(Assumptions!C55,"0.0%") &amp; " — Our %"</f>
        <v>11.0% — Our %</v>
      </c>
      <c r="C8" s="13">
        <f>L43</f>
        <v>0.00805136720407342</v>
      </c>
      <c r="D8" s="13">
        <f>M43</f>
        <v>0.006934218673381598</v>
      </c>
      <c r="E8" s="13">
        <f>N43</f>
        <v>0.005426634644709028</v>
      </c>
      <c r="K8" s="4" t="s">
        <v>213</v>
      </c>
      <c r="L8" s="11">
        <f>Assumptions!C55</f>
        <v>0.11</v>
      </c>
      <c r="M8" s="11">
        <f>Assumptions!C55</f>
        <v>0.11</v>
      </c>
      <c r="N8" s="11">
        <f>Assumptions!C55</f>
        <v>0.11</v>
      </c>
      <c r="O8" s="11">
        <f>Assumptions!C56</f>
        <v>0.13</v>
      </c>
      <c r="P8" s="11">
        <f>Assumptions!C56</f>
        <v>0.13</v>
      </c>
      <c r="Q8" s="11">
        <f>Assumptions!C56</f>
        <v>0.13</v>
      </c>
      <c r="R8" s="11">
        <f>Assumptions!C57</f>
        <v>0.15</v>
      </c>
      <c r="S8" s="11">
        <f>Assumptions!C57</f>
        <v>0.15</v>
      </c>
      <c r="T8" s="11">
        <f>Assumptions!C57</f>
        <v>0.15</v>
      </c>
    </row>
    <row r="9" spans="2:20" x14ac:dyDescent="0.25">
      <c r="B9" s="23" t="str">
        <f>TEXT(Assumptions!C55,"0.0%") &amp; " — Our $"</f>
        <v>11.0% — Our $</v>
      </c>
      <c r="C9" s="13">
        <f>L97</f>
        <v>16919830.052720588</v>
      </c>
      <c r="D9" s="13">
        <f>M97</f>
        <v>14576970.924861625</v>
      </c>
      <c r="E9" s="13">
        <f>N97</f>
        <v>11412547.805144895</v>
      </c>
      <c r="K9" s="4" t="s">
        <v>214</v>
      </c>
      <c r="L9" s="13">
        <f>Assumptions!C58</f>
        <v>1200000000</v>
      </c>
      <c r="M9" s="13">
        <f>Assumptions!C59</f>
        <v>1400000000</v>
      </c>
      <c r="N9" s="13">
        <f>Assumptions!C60</f>
        <v>1800000000</v>
      </c>
      <c r="O9" s="13">
        <f>Assumptions!C58</f>
        <v>1200000000</v>
      </c>
      <c r="P9" s="13">
        <f>Assumptions!C59</f>
        <v>1400000000</v>
      </c>
      <c r="Q9" s="13">
        <f>Assumptions!C60</f>
        <v>1800000000</v>
      </c>
      <c r="R9" s="13">
        <f>Assumptions!C58</f>
        <v>1200000000</v>
      </c>
      <c r="S9" s="13">
        <f>Assumptions!C59</f>
        <v>1400000000</v>
      </c>
      <c r="T9" s="13">
        <f>Assumptions!C60</f>
        <v>1800000000</v>
      </c>
    </row>
    <row r="10" spans="2:20" x14ac:dyDescent="0.25">
      <c r="B10" s="23" t="str">
        <f>TEXT(Assumptions!C56,"0.0%") &amp; " — Our %"</f>
        <v>13.0% — Our %</v>
      </c>
      <c r="C10" s="13">
        <f>O43</f>
        <v>0.008050971147145545</v>
      </c>
      <c r="D10" s="24">
        <f>P43</f>
        <v>0.006933886305324505</v>
      </c>
      <c r="E10" s="13">
        <f>Q43</f>
        <v>0.005426385613847214</v>
      </c>
      <c r="K10" s="4" t="s">
        <v>215</v>
      </c>
      <c r="L10" s="11">
        <f>Assumptions!C7/L9</f>
        <v>0.025</v>
      </c>
      <c r="M10" s="11">
        <f>Assumptions!C7/M9</f>
        <v>0.02142857142857143</v>
      </c>
      <c r="N10" s="11">
        <f>Assumptions!C7/N9</f>
        <v>0.016666666666666666</v>
      </c>
      <c r="O10" s="11">
        <f>Assumptions!C7/O9</f>
        <v>0.025</v>
      </c>
      <c r="P10" s="11">
        <f>Assumptions!C7/P9</f>
        <v>0.02142857142857143</v>
      </c>
      <c r="Q10" s="11">
        <f>Assumptions!C7/Q9</f>
        <v>0.016666666666666666</v>
      </c>
      <c r="R10" s="11">
        <f>Assumptions!C7/R9</f>
        <v>0.025</v>
      </c>
      <c r="S10" s="11">
        <f>Assumptions!C7/S9</f>
        <v>0.02142857142857143</v>
      </c>
      <c r="T10" s="11">
        <f>Assumptions!C7/T9</f>
        <v>0.016666666666666666</v>
      </c>
    </row>
    <row r="11" spans="2:20" x14ac:dyDescent="0.25">
      <c r="B11" s="23" t="str">
        <f>TEXT(Assumptions!C56,"0.0%") &amp; " — Our $"</f>
        <v>13.0% — Our $</v>
      </c>
      <c r="C11" s="13">
        <f>O97</f>
        <v>17167775.38686138</v>
      </c>
      <c r="D11" s="24">
        <f>P97</f>
        <v>14784050.720973998</v>
      </c>
      <c r="E11" s="13">
        <f>Q97</f>
        <v>11567741.867990153</v>
      </c>
      <c r="K11" s="4" t="s">
        <v>84</v>
      </c>
      <c r="L11" s="11">
        <f>L8*(1+L10)</f>
        <v>0.11275</v>
      </c>
      <c r="M11" s="11">
        <f>M8*(1+M10)</f>
        <v>0.11235714285714285</v>
      </c>
      <c r="N11" s="11">
        <f>N8*(1+N10)</f>
        <v>0.11183333333333333</v>
      </c>
      <c r="O11" s="11">
        <f>O8*(1+O10)</f>
        <v>0.13325</v>
      </c>
      <c r="P11" s="11">
        <f>P8*(1+P10)</f>
        <v>0.13278571428571428</v>
      </c>
      <c r="Q11" s="11">
        <f>Q8*(1+Q10)</f>
        <v>0.13216666666666665</v>
      </c>
      <c r="R11" s="11">
        <f>R8*(1+R10)</f>
        <v>0.15375</v>
      </c>
      <c r="S11" s="11">
        <f>S8*(1+S10)</f>
        <v>0.15321428571428572</v>
      </c>
      <c r="T11" s="11">
        <f>T8*(1+T10)</f>
        <v>0.1525</v>
      </c>
    </row>
    <row r="12" spans="2:20" x14ac:dyDescent="0.25">
      <c r="B12" s="23" t="str">
        <f>TEXT(Assumptions!C57,"0.0%") &amp; " — Our %"</f>
        <v>15.0% — Our %</v>
      </c>
      <c r="C12" s="13">
        <f>R43</f>
        <v>0.008050357809818894</v>
      </c>
      <c r="D12" s="13">
        <f>S43</f>
        <v>0.006933354744376263</v>
      </c>
      <c r="E12" s="13">
        <f>T43</f>
        <v>0.0054259689978492206</v>
      </c>
      <c r="K12" s="4" t="s">
        <v>119</v>
      </c>
      <c r="L12" s="9">
        <f>MAX(0, (L11*Assumptions!C16 - Assumptions!C19)/(1 - L11))</f>
        <v>0</v>
      </c>
      <c r="M12" s="9">
        <f>MAX(0, (M11*Assumptions!C16 - Assumptions!C19)/(1 - M11))</f>
        <v>0</v>
      </c>
      <c r="N12" s="9">
        <f>MAX(0, (N11*Assumptions!C16 - Assumptions!C19)/(1 - N11))</f>
        <v>0</v>
      </c>
      <c r="O12" s="9">
        <f>MAX(0, (O11*Assumptions!C16 - Assumptions!C19)/(1 - O11))</f>
        <v>559188.1202768964</v>
      </c>
      <c r="P12" s="9">
        <f>MAX(0, (P11*Assumptions!C16 - Assumptions!C19)/(1 - P11))</f>
        <v>539284.3669384734</v>
      </c>
      <c r="Q12" s="9">
        <f>MAX(0, (Q11*Assumptions!C16 - Assumptions!C19)/(1 - Q11))</f>
        <v>512779.15748031496</v>
      </c>
      <c r="R12" s="9">
        <f>MAX(0, (R11*Assumptions!C16 - Assumptions!C19)/(1 - R11))</f>
        <v>1459786.7104874447</v>
      </c>
      <c r="S12" s="9">
        <f>MAX(0, (S11*Assumptions!C16 - Assumptions!C19)/(1 - S11))</f>
        <v>1435697.034584563</v>
      </c>
      <c r="T12" s="9">
        <f>MAX(0, (T11*Assumptions!C16 - Assumptions!C19)/(1 - T11))</f>
        <v>1403624.8407079645</v>
      </c>
    </row>
    <row r="13" spans="2:20" x14ac:dyDescent="0.25">
      <c r="B13" s="23" t="str">
        <f>TEXT(Assumptions!C57,"0.0%") &amp; " — Our $"</f>
        <v>15.0% — Our $</v>
      </c>
      <c r="C13" s="13">
        <f>R97</f>
        <v>17566470.287582945</v>
      </c>
      <c r="D13" s="13">
        <f>S97</f>
        <v>15127793.780157994</v>
      </c>
      <c r="E13" s="13">
        <f>T97</f>
        <v>11837064.311769502</v>
      </c>
      <c r="K13" s="4" t="s">
        <v>216</v>
      </c>
      <c r="L13" s="9">
        <f>Assumptions!C16 + L12</f>
        <v>36617961</v>
      </c>
      <c r="M13" s="9">
        <f>Assumptions!C16 + M12</f>
        <v>36617961</v>
      </c>
      <c r="N13" s="9">
        <f>Assumptions!C16 + N12</f>
        <v>36617961</v>
      </c>
      <c r="O13" s="9">
        <f>Assumptions!C16 + O12</f>
        <v>37177149.1202769</v>
      </c>
      <c r="P13" s="9">
        <f>Assumptions!C16 + P12</f>
        <v>37157245.36693847</v>
      </c>
      <c r="Q13" s="9">
        <f>Assumptions!C16 + Q12</f>
        <v>37130740.157480314</v>
      </c>
      <c r="R13" s="9">
        <f>Assumptions!C16 + R12</f>
        <v>38077747.71048745</v>
      </c>
      <c r="S13" s="9">
        <f>Assumptions!C16 + S12</f>
        <v>38053658.03458456</v>
      </c>
      <c r="T13" s="9">
        <f>Assumptions!C16 + T12</f>
        <v>38021585.840707965</v>
      </c>
    </row>
    <row r="14" spans="11:20" x14ac:dyDescent="0.25">
      <c r="K14" s="4" t="s">
        <v>217</v>
      </c>
      <c r="L14" s="13">
        <f>L9 / L13</f>
        <v>32.770803377064055</v>
      </c>
      <c r="M14" s="13">
        <f>M9 / M13</f>
        <v>38.23260393990807</v>
      </c>
      <c r="N14" s="13">
        <f>N9 / N13</f>
        <v>49.15620506559609</v>
      </c>
      <c r="O14" s="13">
        <f>O9 / O13</f>
        <v>32.27789188777535</v>
      </c>
      <c r="P14" s="13">
        <f>P9 / P13</f>
        <v>37.67771227857711</v>
      </c>
      <c r="Q14" s="13">
        <f>Q9 / Q13</f>
        <v>48.477353060180626</v>
      </c>
      <c r="R14" s="13">
        <f>R9 / R13</f>
        <v>31.51446900493785</v>
      </c>
      <c r="S14" s="13">
        <f>S9 / S13</f>
        <v>36.79015559365222</v>
      </c>
      <c r="T14" s="13">
        <f>T9 / T13</f>
        <v>47.341528771080945</v>
      </c>
    </row>
    <row r="15" spans="11:20" x14ac:dyDescent="0.25">
      <c r="K15" s="4" t="s">
        <v>218</v>
      </c>
      <c r="L15" s="9">
        <f>Assumptions!C7/L14</f>
        <v>915449.0250000001</v>
      </c>
      <c r="M15" s="9">
        <f>Assumptions!C7/M14</f>
        <v>784670.5928571428</v>
      </c>
      <c r="N15" s="9">
        <f>Assumptions!C7/N14</f>
        <v>610299.35</v>
      </c>
      <c r="O15" s="9">
        <f>Assumptions!C7/O14</f>
        <v>929428.7280069223</v>
      </c>
      <c r="P15" s="9">
        <f>Assumptions!C7/P14</f>
        <v>796226.6864343957</v>
      </c>
      <c r="Q15" s="9">
        <f>Assumptions!C7/Q14</f>
        <v>618845.6692913385</v>
      </c>
      <c r="R15" s="9">
        <f>Assumptions!C7/R14</f>
        <v>951943.6927621863</v>
      </c>
      <c r="S15" s="9">
        <f>Assumptions!C7/S14</f>
        <v>815435.5293125263</v>
      </c>
      <c r="T15" s="9">
        <f>Assumptions!C7/T14</f>
        <v>633693.0973451327</v>
      </c>
    </row>
    <row r="17" spans="11:11" x14ac:dyDescent="0.25">
      <c r="K17" s="18" t="s">
        <v>219</v>
      </c>
    </row>
    <row r="18" spans="11:20" x14ac:dyDescent="0.25">
      <c r="K18" s="4" t="s">
        <v>220</v>
      </c>
      <c r="L18" s="13">
        <f>IF(L14&lt;Assumptions!C36, Assumptions!C36*(Assumptions!C16+Assumptions!C7/Assumptions!C36)/(Assumptions!C16+L15), Assumptions!C36)</f>
        <v>57.500114228708874</v>
      </c>
      <c r="M18" s="13">
        <f>IF(M14&lt;Assumptions!C36, Assumptions!C36*(Assumptions!C16+Assumptions!C7/Assumptions!C36)/(Assumptions!C16+M15), Assumptions!C36)</f>
        <v>57.7011635791589</v>
      </c>
      <c r="N18" s="13">
        <f>IF(N14&lt;Assumptions!C36, Assumptions!C36*(Assumptions!C16+Assumptions!C7/Assumptions!C36)/(Assumptions!C16+N15), Assumptions!C36)</f>
        <v>57.9714266404196</v>
      </c>
      <c r="O18" s="13">
        <f>IF(O14&lt;Assumptions!C36, Assumptions!C36*(Assumptions!C16+Assumptions!C7/Assumptions!C36)/(Assumptions!C16+O15), Assumptions!C36)</f>
        <v>57.47870569603578</v>
      </c>
      <c r="P18" s="13">
        <f>IF(P14&lt;Assumptions!C36, Assumptions!C36*(Assumptions!C16+Assumptions!C7/Assumptions!C36)/(Assumptions!C16+P15), Assumptions!C36)</f>
        <v>57.6833414617465</v>
      </c>
      <c r="Q18" s="13">
        <f>IF(Q14&lt;Assumptions!C36, Assumptions!C36*(Assumptions!C16+Assumptions!C7/Assumptions!C36)/(Assumptions!C16+Q15), Assumptions!C36)</f>
        <v>57.958121462931004</v>
      </c>
      <c r="R18" s="13">
        <f>IF(R14&lt;Assumptions!C36, Assumptions!C36*(Assumptions!C16+Assumptions!C7/Assumptions!C36)/(Assumptions!C16+R15), Assumptions!C36)</f>
        <v>57.44425974671789</v>
      </c>
      <c r="S18" s="13">
        <f>IF(S14&lt;Assumptions!C36, Assumptions!C36*(Assumptions!C16+Assumptions!C7/Assumptions!C36)/(Assumptions!C16+S15), Assumptions!C36)</f>
        <v>57.65374141618407</v>
      </c>
      <c r="T18" s="13">
        <f>IF(T14&lt;Assumptions!C36, Assumptions!C36*(Assumptions!C16+Assumptions!C7/Assumptions!C36)/(Assumptions!C16+T15), Assumptions!C36)</f>
        <v>57.93502103801281</v>
      </c>
    </row>
    <row r="19" spans="11:20" x14ac:dyDescent="0.25">
      <c r="K19" s="4" t="s">
        <v>221</v>
      </c>
      <c r="L19" s="9">
        <f>Assumptions!C39*Assumptions!C40/L18</f>
        <v>1739127.3276822746</v>
      </c>
      <c r="M19" s="9">
        <f>Assumptions!C39*Assumptions!C40/M18</f>
        <v>1733067.6505823366</v>
      </c>
      <c r="N19" s="9">
        <f>Assumptions!C39*Assumptions!C40/N18</f>
        <v>1724988.0811157522</v>
      </c>
      <c r="O19" s="9">
        <f>Assumptions!C39*Assumptions!C40/O18</f>
        <v>1739775.0834688132</v>
      </c>
      <c r="P19" s="9">
        <f>Assumptions!C39*Assumptions!C40/P18</f>
        <v>1733603.1073428085</v>
      </c>
      <c r="Q19" s="9">
        <f>Assumptions!C39*Assumptions!C40/Q18</f>
        <v>1725384.0786395788</v>
      </c>
      <c r="R19" s="9">
        <f>Assumptions!C39*Assumptions!C40/R18</f>
        <v>1740818.3244229823</v>
      </c>
      <c r="S19" s="9">
        <f>Assumptions!C39*Assumptions!C40/S18</f>
        <v>1734493.1576622508</v>
      </c>
      <c r="T19" s="9">
        <f>Assumptions!C39*Assumptions!C40/T18</f>
        <v>1726072.040853962</v>
      </c>
    </row>
    <row r="20" spans="11:20" x14ac:dyDescent="0.25">
      <c r="K20" s="4" t="s">
        <v>222</v>
      </c>
      <c r="L20" s="9">
        <f>L19 - Assumptions!E36</f>
        <v>18500.3276822746</v>
      </c>
      <c r="M20" s="9">
        <f>M19 - Assumptions!E36</f>
        <v>12440.6505823366</v>
      </c>
      <c r="N20" s="9">
        <f>N19 - Assumptions!E36</f>
        <v>4361.0811157522</v>
      </c>
      <c r="O20" s="9">
        <f>O19 - Assumptions!E36</f>
        <v>19148.0834688132</v>
      </c>
      <c r="P20" s="9">
        <f>P19 - Assumptions!E36</f>
        <v>12976.1073428085</v>
      </c>
      <c r="Q20" s="9">
        <f>Q19 - Assumptions!E36</f>
        <v>4757.0786395788</v>
      </c>
      <c r="R20" s="9">
        <f>R19 - Assumptions!E36</f>
        <v>20191.3244229823</v>
      </c>
      <c r="S20" s="9">
        <f>S19 - Assumptions!E36</f>
        <v>13866.1576622508</v>
      </c>
      <c r="T20" s="9">
        <f>T19 - Assumptions!E36</f>
        <v>5445.040853962</v>
      </c>
    </row>
    <row r="21" spans="11:20" x14ac:dyDescent="0.25">
      <c r="K21" s="4" t="s">
        <v>223</v>
      </c>
      <c r="L21" s="13">
        <f>IF(L14&lt;Assumptions!C37, Assumptions!C37*(Assumptions!C16+Assumptions!C7/Assumptions!C37)/(Assumptions!C16+L15), Assumptions!C37)</f>
        <v>48.75861569212351</v>
      </c>
      <c r="M21" s="13">
        <f>IF(M14&lt;Assumptions!C37, Assumptions!C37*(Assumptions!C16+Assumptions!C7/Assumptions!C37)/(Assumptions!C16+M15), Assumptions!C37)</f>
        <v>48.92910036237569</v>
      </c>
      <c r="N21" s="13">
        <f>IF(N14&lt;Assumptions!C37, Assumptions!C37*(Assumptions!C16+Assumptions!C7/Assumptions!C37)/(Assumptions!C16+N15), Assumptions!C37)</f>
        <v>49.158276476485185</v>
      </c>
      <c r="O21" s="13">
        <f>IF(O14&lt;Assumptions!C37, Assumptions!C37*(Assumptions!C16+Assumptions!C7/Assumptions!C37)/(Assumptions!C16+O15), Assumptions!C37)</f>
        <v>48.740461807889695</v>
      </c>
      <c r="P21" s="13">
        <f>IF(P14&lt;Assumptions!C37, Assumptions!C37*(Assumptions!C16+Assumptions!C7/Assumptions!C37)/(Assumptions!C16+P15), Assumptions!C37)</f>
        <v>48.913987665898695</v>
      </c>
      <c r="Q21" s="13">
        <f>IF(Q14&lt;Assumptions!C37, Assumptions!C37*(Assumptions!C16+Assumptions!C7/Assumptions!C37)/(Assumptions!C16+Q15), Assumptions!C37)</f>
        <v>49.146994028709486</v>
      </c>
      <c r="R21" s="13">
        <f>IF(R14&lt;Assumptions!C37, Assumptions!C37*(Assumptions!C16+Assumptions!C7/Assumptions!C37)/(Assumptions!C16+R15), Assumptions!C37)</f>
        <v>48.711252530178335</v>
      </c>
      <c r="S21" s="13">
        <f>IF(S14&lt;Assumptions!C37, Assumptions!C37*(Assumptions!C16+Assumptions!C7/Assumptions!C37)/(Assumptions!C16+S15), Assumptions!C37)</f>
        <v>48.88888758974393</v>
      </c>
      <c r="T21" s="13">
        <f>IF(T14&lt;Assumptions!C37, Assumptions!C37*(Assumptions!C16+Assumptions!C7/Assumptions!C37)/(Assumptions!C16+T15), Assumptions!C37)</f>
        <v>49.12740546343411</v>
      </c>
    </row>
    <row r="22" spans="11:20" x14ac:dyDescent="0.25">
      <c r="K22" s="4" t="s">
        <v>224</v>
      </c>
      <c r="L22" s="9">
        <f>Assumptions!E37*Assumptions!C37/L21</f>
        <v>6152693.181646226</v>
      </c>
      <c r="M22" s="9">
        <f>Assumptions!E37*Assumptions!C37/M21</f>
        <v>6131255.226309479</v>
      </c>
      <c r="N22" s="9">
        <f>Assumptions!E37*Assumptions!C37/N21</f>
        <v>6102671.285860484</v>
      </c>
      <c r="O22" s="9">
        <f>Assumptions!E37*Assumptions!C37/O21</f>
        <v>6154984.815241862</v>
      </c>
      <c r="P22" s="9">
        <f>Assumptions!E37*Assumptions!C37/P21</f>
        <v>6133149.56786043</v>
      </c>
      <c r="Q22" s="9">
        <f>Assumptions!E37*Assumptions!C37/Q21</f>
        <v>6104072.247840676</v>
      </c>
      <c r="R22" s="9">
        <f>Assumptions!E37*Assumptions!C37/R21</f>
        <v>6158675.59820143</v>
      </c>
      <c r="S22" s="9">
        <f>Assumptions!E37*Assumptions!C37/S21</f>
        <v>6136298.392241825</v>
      </c>
      <c r="T22" s="9">
        <f>Assumptions!E37*Assumptions!C37/T21</f>
        <v>6106506.123933755</v>
      </c>
    </row>
    <row r="23" spans="11:20" x14ac:dyDescent="0.25">
      <c r="K23" s="4" t="s">
        <v>225</v>
      </c>
      <c r="L23" s="9">
        <f>L22 - Assumptions!E37</f>
        <v>50026.181646226</v>
      </c>
      <c r="M23" s="9">
        <f>M22 - Assumptions!E37</f>
        <v>28588.226309479</v>
      </c>
      <c r="N23" s="9">
        <f>N22 - Assumptions!E37</f>
        <v>4.285860484</v>
      </c>
      <c r="O23" s="9">
        <f>O22 - Assumptions!E37</f>
        <v>52317.815241862</v>
      </c>
      <c r="P23" s="9">
        <f>P22 - Assumptions!E37</f>
        <v>30482.56786043</v>
      </c>
      <c r="Q23" s="9">
        <f>Q22 - Assumptions!E37</f>
        <v>1405.247840676</v>
      </c>
      <c r="R23" s="9">
        <f>R22 - Assumptions!E37</f>
        <v>56008.59820143</v>
      </c>
      <c r="S23" s="9">
        <f>S22 - Assumptions!E37</f>
        <v>33631.392241825</v>
      </c>
      <c r="T23" s="9">
        <f>T22 - Assumptions!E37</f>
        <v>3839.123933755</v>
      </c>
    </row>
    <row r="24" spans="11:20" x14ac:dyDescent="0.25">
      <c r="K24" s="4" t="s">
        <v>226</v>
      </c>
      <c r="L24" s="9">
        <f>L20+L23</f>
        <v>68526.5093285006</v>
      </c>
      <c r="M24" s="9">
        <f>M20+M23</f>
        <v>41028.8768918156</v>
      </c>
      <c r="N24" s="9">
        <f>N20+N23</f>
        <v>4365.3669762362</v>
      </c>
      <c r="O24" s="9">
        <f>O20+O23</f>
        <v>71465.8987106752</v>
      </c>
      <c r="P24" s="9">
        <f>P20+P23</f>
        <v>43458.6752032385</v>
      </c>
      <c r="Q24" s="9">
        <f>Q20+Q23</f>
        <v>6162.3264802548</v>
      </c>
      <c r="R24" s="9">
        <f>R20+R23</f>
        <v>76199.9226244123</v>
      </c>
      <c r="S24" s="9">
        <f>S20+S23</f>
        <v>47497.5499040758</v>
      </c>
      <c r="T24" s="9">
        <f>T20+T23</f>
        <v>9284.164787717</v>
      </c>
    </row>
    <row r="26" spans="11:11" x14ac:dyDescent="0.25">
      <c r="K26" s="18" t="s">
        <v>227</v>
      </c>
    </row>
    <row r="27" spans="11:20" x14ac:dyDescent="0.25">
      <c r="K27" s="4" t="s">
        <v>228</v>
      </c>
      <c r="L27" s="9">
        <f>Assumptions!C45/((1-Assumptions!E45)*L14)</f>
        <v>107699.88529411766</v>
      </c>
      <c r="M27" s="9">
        <f>Assumptions!C45/((1-Assumptions!E45)*M14)</f>
        <v>92314.18739495797</v>
      </c>
      <c r="N27" s="9">
        <f>Assumptions!C45/((1-Assumptions!E45)*N14)</f>
        <v>71799.92352941177</v>
      </c>
      <c r="O27" s="9">
        <f>Assumptions!C45/((1-Assumptions!E45)*O14)</f>
        <v>109344.5562361085</v>
      </c>
      <c r="P27" s="9">
        <f>Assumptions!C45/((1-Assumptions!E45)*P14)</f>
        <v>93673.72781581127</v>
      </c>
      <c r="Q27" s="9">
        <f>Assumptions!C45/((1-Assumptions!E45)*Q14)</f>
        <v>72805.37285780454</v>
      </c>
      <c r="R27" s="9">
        <f>Assumptions!C45/((1-Assumptions!E45)*R14)</f>
        <v>111993.37561908075</v>
      </c>
      <c r="S27" s="9">
        <f>Assumptions!C45/((1-Assumptions!E45)*S14)</f>
        <v>95933.59168382663</v>
      </c>
      <c r="T27" s="9">
        <f>Assumptions!C45/((1-Assumptions!E45)*T14)</f>
        <v>74552.12909942739</v>
      </c>
    </row>
    <row r="28" spans="11:20" x14ac:dyDescent="0.25">
      <c r="K28" s="4" t="s">
        <v>229</v>
      </c>
      <c r="L28" s="13">
        <f>Assumptions!D44/(L13 + L24 + L27)</f>
        <v>27.178205874609084</v>
      </c>
      <c r="M28" s="13">
        <f>Assumptions!D44/(M13 + M24 + M27)</f>
        <v>27.209918816778917</v>
      </c>
      <c r="N28" s="13">
        <f>Assumptions!D44/(N13 + N24 + N27)</f>
        <v>27.252318043575897</v>
      </c>
      <c r="O28" s="13">
        <f>Assumptions!D44/(O13 + O24 + O27)</f>
        <v>26.76805723252653</v>
      </c>
      <c r="P28" s="13">
        <f>Assumptions!D44/(P13 + P24 + P27)</f>
        <v>26.813693103241686</v>
      </c>
      <c r="Q28" s="13">
        <f>Assumptions!D44/(Q13 + Q24 + Q27)</f>
        <v>26.874707101919856</v>
      </c>
      <c r="R28" s="13">
        <f>Assumptions!D44/(R13 + R24 + R27)</f>
        <v>26.132899744235612</v>
      </c>
      <c r="S28" s="13">
        <f>Assumptions!D44/(S13 + S24 + S27)</f>
        <v>26.180005376530236</v>
      </c>
      <c r="T28" s="13">
        <f>Assumptions!D44/(T13 + T24 + T27)</f>
        <v>26.242984435858567</v>
      </c>
    </row>
    <row r="29" spans="11:20" x14ac:dyDescent="0.25">
      <c r="K29" s="4" t="s">
        <v>230</v>
      </c>
      <c r="L29" s="13">
        <f>(1-Assumptions!E44)*L14</f>
        <v>26.216642701651246</v>
      </c>
      <c r="M29" s="13">
        <f>(1-Assumptions!E44)*M14</f>
        <v>30.586083151926456</v>
      </c>
      <c r="N29" s="13">
        <f>(1-Assumptions!E44)*N14</f>
        <v>39.32496405247687</v>
      </c>
      <c r="O29" s="13">
        <f>(1-Assumptions!E44)*O14</f>
        <v>25.82231351022028</v>
      </c>
      <c r="P29" s="13">
        <f>(1-Assumptions!E44)*P14</f>
        <v>30.14216982286169</v>
      </c>
      <c r="Q29" s="13">
        <f>(1-Assumptions!E44)*Q14</f>
        <v>38.7818824481445</v>
      </c>
      <c r="R29" s="13">
        <f>(1-Assumptions!E44)*R14</f>
        <v>25.21157520395028</v>
      </c>
      <c r="S29" s="13">
        <f>(1-Assumptions!E44)*S14</f>
        <v>29.432124474921775</v>
      </c>
      <c r="T29" s="13">
        <f>(1-Assumptions!E44)*T14</f>
        <v>37.873223016864756</v>
      </c>
    </row>
    <row r="30" spans="11:20" x14ac:dyDescent="0.25">
      <c r="K30" s="4" t="s">
        <v>231</v>
      </c>
      <c r="L30" s="13">
        <f>MIN(L28,L29)</f>
        <v>26.216642701651246</v>
      </c>
      <c r="M30" s="13">
        <f>MIN(M28,M29)</f>
        <v>27.209918816778917</v>
      </c>
      <c r="N30" s="13">
        <f>MIN(N28,N29)</f>
        <v>27.252318043575897</v>
      </c>
      <c r="O30" s="13">
        <f>MIN(O28,O29)</f>
        <v>25.82231351022028</v>
      </c>
      <c r="P30" s="13">
        <f>MIN(P28,P29)</f>
        <v>26.813693103241686</v>
      </c>
      <c r="Q30" s="13">
        <f>MIN(Q28,Q29)</f>
        <v>26.874707101919856</v>
      </c>
      <c r="R30" s="13">
        <f>MIN(R28,R29)</f>
        <v>25.21157520395028</v>
      </c>
      <c r="S30" s="13">
        <f>MIN(S28,S29)</f>
        <v>26.180005376530236</v>
      </c>
      <c r="T30" s="13">
        <f>MIN(T28,T29)</f>
        <v>26.242984435858567</v>
      </c>
    </row>
    <row r="31" spans="11:20" x14ac:dyDescent="0.25">
      <c r="K31" s="4" t="s">
        <v>232</v>
      </c>
      <c r="L31" s="9" t="str">
        <f>IF(L28&lt;L29,"cap","discount")</f>
        <v>discount</v>
      </c>
      <c r="M31" s="9" t="str">
        <f>IF(M28&lt;M29,"cap","discount")</f>
        <v>cap</v>
      </c>
      <c r="N31" s="9" t="str">
        <f>IF(N28&lt;N29,"cap","discount")</f>
        <v>cap</v>
      </c>
      <c r="O31" s="9" t="str">
        <f>IF(O28&lt;O29,"cap","discount")</f>
        <v>discount</v>
      </c>
      <c r="P31" s="9" t="str">
        <f>IF(P28&lt;P29,"cap","discount")</f>
        <v>cap</v>
      </c>
      <c r="Q31" s="9" t="str">
        <f>IF(Q28&lt;Q29,"cap","discount")</f>
        <v>cap</v>
      </c>
      <c r="R31" s="9" t="str">
        <f>IF(R28&lt;R29,"cap","discount")</f>
        <v>discount</v>
      </c>
      <c r="S31" s="9" t="str">
        <f>IF(S28&lt;S29,"cap","discount")</f>
        <v>cap</v>
      </c>
      <c r="T31" s="9" t="str">
        <f>IF(T28&lt;T29,"cap","discount")</f>
        <v>cap</v>
      </c>
    </row>
    <row r="32" spans="11:20" x14ac:dyDescent="0.25">
      <c r="K32" s="4" t="s">
        <v>233</v>
      </c>
      <c r="L32" s="9">
        <f>Assumptions!C44/L30</f>
        <v>190718.546875</v>
      </c>
      <c r="M32" s="9">
        <f>Assumptions!C44/M30</f>
        <v>183756.52032143384</v>
      </c>
      <c r="N32" s="9">
        <f>Assumptions!C44/N30</f>
        <v>183470.6314525283</v>
      </c>
      <c r="O32" s="9">
        <f>Assumptions!C44/O30</f>
        <v>193630.98500144214</v>
      </c>
      <c r="P32" s="9">
        <f>Assumptions!C44/P30</f>
        <v>186471.8888497876</v>
      </c>
      <c r="Q32" s="9">
        <f>Assumptions!C44/Q30</f>
        <v>186048.5392840919</v>
      </c>
      <c r="R32" s="9">
        <f>Assumptions!C44/R30</f>
        <v>198321.60265878882</v>
      </c>
      <c r="S32" s="9">
        <f>Assumptions!C44/S30</f>
        <v>190985.44588086233</v>
      </c>
      <c r="T32" s="9">
        <f>Assumptions!C44/T30</f>
        <v>190527.11067297554</v>
      </c>
    </row>
    <row r="33" spans="11:20" x14ac:dyDescent="0.25">
      <c r="K33" s="4" t="s">
        <v>234</v>
      </c>
      <c r="L33" s="9">
        <f>Assumptions!C44/((1-Assumptions!E44)*L14)</f>
        <v>190718.546875</v>
      </c>
      <c r="M33" s="9">
        <f>Assumptions!C44/((1-Assumptions!E44)*M14)</f>
        <v>163473.04017857142</v>
      </c>
      <c r="N33" s="9">
        <f>Assumptions!C44/((1-Assumptions!E44)*N14)</f>
        <v>127145.69791666667</v>
      </c>
      <c r="O33" s="9">
        <f>Assumptions!C44/((1-Assumptions!E44)*O14)</f>
        <v>193630.98500144214</v>
      </c>
      <c r="P33" s="9">
        <f>Assumptions!C44/((1-Assumptions!E44)*P14)</f>
        <v>165880.55967383244</v>
      </c>
      <c r="Q33" s="9">
        <f>Assumptions!C44/((1-Assumptions!E44)*Q14)</f>
        <v>128926.18110236221</v>
      </c>
      <c r="R33" s="9">
        <f>Assumptions!C44/((1-Assumptions!E44)*R14)</f>
        <v>198321.60265878882</v>
      </c>
      <c r="S33" s="9">
        <f>Assumptions!C44/((1-Assumptions!E44)*S14)</f>
        <v>169882.40194010967</v>
      </c>
      <c r="T33" s="9">
        <f>Assumptions!C44/((1-Assumptions!E44)*T14)</f>
        <v>132019.395280236</v>
      </c>
    </row>
    <row r="34" spans="11:20" x14ac:dyDescent="0.25">
      <c r="K34" s="4" t="s">
        <v>235</v>
      </c>
      <c r="L34" s="13">
        <f>Assumptions!D45/(L13 + L24 + L33)</f>
        <v>43.387234856173365</v>
      </c>
      <c r="M34" s="13">
        <f>Assumptions!D45/(M13 + M24 + M33)</f>
        <v>43.45173769618387</v>
      </c>
      <c r="N34" s="13">
        <f>Assumptions!D45/(N13 + N24 + N33)</f>
        <v>43.538040415238896</v>
      </c>
      <c r="O34" s="13">
        <f>Assumptions!D45/(O13 + O24 + O33)</f>
        <v>42.732479238279126</v>
      </c>
      <c r="P34" s="13">
        <f>Assumptions!D45/(P13 + P24 + P33)</f>
        <v>42.81900572529876</v>
      </c>
      <c r="Q34" s="13">
        <f>Assumptions!D45/(Q13 + Q24 + Q33)</f>
        <v>42.93477583392678</v>
      </c>
      <c r="R34" s="13">
        <f>Assumptions!D45/(R13 + R24 + R33)</f>
        <v>41.71852231647616</v>
      </c>
      <c r="S34" s="13">
        <f>Assumptions!D45/(S13 + S24 + S33)</f>
        <v>41.80707093879644</v>
      </c>
      <c r="T34" s="13">
        <f>Assumptions!D45/(T13 + T24 + T33)</f>
        <v>41.92554665337968</v>
      </c>
    </row>
    <row r="35" spans="11:20" x14ac:dyDescent="0.25">
      <c r="K35" s="4" t="s">
        <v>236</v>
      </c>
      <c r="L35" s="13">
        <f>(1-Assumptions!E45)*L14</f>
        <v>27.855182870504446</v>
      </c>
      <c r="M35" s="13">
        <f>(1-Assumptions!E45)*M14</f>
        <v>32.49771334892186</v>
      </c>
      <c r="N35" s="13">
        <f>(1-Assumptions!E45)*N14</f>
        <v>41.782774305756675</v>
      </c>
      <c r="O35" s="13">
        <f>(1-Assumptions!E45)*O14</f>
        <v>27.436208104609047</v>
      </c>
      <c r="P35" s="13">
        <f>(1-Assumptions!E45)*P14</f>
        <v>32.02605543679054</v>
      </c>
      <c r="Q35" s="13">
        <f>(1-Assumptions!E45)*Q14</f>
        <v>41.205750101153534</v>
      </c>
      <c r="R35" s="13">
        <f>(1-Assumptions!E45)*R14</f>
        <v>26.787298654197173</v>
      </c>
      <c r="S35" s="13">
        <f>(1-Assumptions!E45)*S14</f>
        <v>31.271632254604388</v>
      </c>
      <c r="T35" s="13">
        <f>(1-Assumptions!E45)*T14</f>
        <v>40.2402994554188</v>
      </c>
    </row>
    <row r="36" spans="11:20" x14ac:dyDescent="0.25">
      <c r="K36" s="4" t="s">
        <v>237</v>
      </c>
      <c r="L36" s="13">
        <f>MIN(L34,L35)</f>
        <v>27.855182870504446</v>
      </c>
      <c r="M36" s="13">
        <f>MIN(M34,M35)</f>
        <v>32.49771334892186</v>
      </c>
      <c r="N36" s="13">
        <f>MIN(N34,N35)</f>
        <v>41.782774305756675</v>
      </c>
      <c r="O36" s="13">
        <f>MIN(O34,O35)</f>
        <v>27.436208104609047</v>
      </c>
      <c r="P36" s="13">
        <f>MIN(P34,P35)</f>
        <v>32.02605543679054</v>
      </c>
      <c r="Q36" s="13">
        <f>MIN(Q34,Q35)</f>
        <v>41.205750101153534</v>
      </c>
      <c r="R36" s="13">
        <f>MIN(R34,R35)</f>
        <v>26.787298654197173</v>
      </c>
      <c r="S36" s="13">
        <f>MIN(S34,S35)</f>
        <v>31.271632254604388</v>
      </c>
      <c r="T36" s="13">
        <f>MIN(T34,T35)</f>
        <v>40.2402994554188</v>
      </c>
    </row>
    <row r="37" spans="11:20" x14ac:dyDescent="0.25">
      <c r="K37" s="4" t="s">
        <v>238</v>
      </c>
      <c r="L37" s="9" t="str">
        <f>IF(L34&lt;L35,"cap","discount")</f>
        <v>discount</v>
      </c>
      <c r="M37" s="9" t="str">
        <f>IF(M34&lt;M35,"cap","discount")</f>
        <v>discount</v>
      </c>
      <c r="N37" s="9" t="str">
        <f>IF(N34&lt;N35,"cap","discount")</f>
        <v>discount</v>
      </c>
      <c r="O37" s="9" t="str">
        <f>IF(O34&lt;O35,"cap","discount")</f>
        <v>discount</v>
      </c>
      <c r="P37" s="9" t="str">
        <f>IF(P34&lt;P35,"cap","discount")</f>
        <v>discount</v>
      </c>
      <c r="Q37" s="9" t="str">
        <f>IF(Q34&lt;Q35,"cap","discount")</f>
        <v>discount</v>
      </c>
      <c r="R37" s="9" t="str">
        <f>IF(R34&lt;R35,"cap","discount")</f>
        <v>discount</v>
      </c>
      <c r="S37" s="9" t="str">
        <f>IF(S34&lt;S35,"cap","discount")</f>
        <v>discount</v>
      </c>
      <c r="T37" s="9" t="str">
        <f>IF(T34&lt;T35,"cap","discount")</f>
        <v>discount</v>
      </c>
    </row>
    <row r="38" spans="11:20" x14ac:dyDescent="0.25">
      <c r="K38" s="4" t="s">
        <v>239</v>
      </c>
      <c r="L38" s="9">
        <f>Assumptions!C45/L36</f>
        <v>107699.88529411766</v>
      </c>
      <c r="M38" s="9">
        <f>Assumptions!C45/M36</f>
        <v>92314.18739495797</v>
      </c>
      <c r="N38" s="9">
        <f>Assumptions!C45/N36</f>
        <v>71799.92352941177</v>
      </c>
      <c r="O38" s="9">
        <f>Assumptions!C45/O36</f>
        <v>109344.5562361085</v>
      </c>
      <c r="P38" s="9">
        <f>Assumptions!C45/P36</f>
        <v>93673.72781581127</v>
      </c>
      <c r="Q38" s="9">
        <f>Assumptions!C45/Q36</f>
        <v>72805.37285780454</v>
      </c>
      <c r="R38" s="9">
        <f>Assumptions!C45/R36</f>
        <v>111993.37561908075</v>
      </c>
      <c r="S38" s="9">
        <f>Assumptions!C45/S36</f>
        <v>95933.59168382663</v>
      </c>
      <c r="T38" s="9">
        <f>Assumptions!C45/T36</f>
        <v>74552.12909942739</v>
      </c>
    </row>
    <row r="40" spans="11:20" x14ac:dyDescent="0.25">
      <c r="K40" s="4" t="s">
        <v>240</v>
      </c>
      <c r="L40" s="9">
        <f>Assumptions!C16+L12+L24+L15+L32+L38</f>
        <v>37900354.966497615</v>
      </c>
      <c r="M40" s="9">
        <f>Assumptions!C16+M12+M24+M15+M32+M38</f>
        <v>37719731.17746535</v>
      </c>
      <c r="N40" s="9">
        <f>Assumptions!C16+N12+N24+N15+N32+N38</f>
        <v>37487896.27195818</v>
      </c>
      <c r="O40" s="9">
        <f>Assumptions!C16+O12+O24+O15+O32+O38</f>
        <v>38481019.28823205</v>
      </c>
      <c r="P40" s="9">
        <f>Assumptions!C16+P12+P24+P15+P32+P38</f>
        <v>38277076.3452417</v>
      </c>
      <c r="Q40" s="9">
        <f>Assumptions!C16+Q12+Q24+Q15+Q32+Q38</f>
        <v>38014602.065393806</v>
      </c>
      <c r="R40" s="9">
        <f>Assumptions!C16+R12+R24+R15+R32+R38</f>
        <v>39416206.30415192</v>
      </c>
      <c r="S40" s="9">
        <f>Assumptions!C16+S12+S24+S15+S32+S38</f>
        <v>39203510.15136586</v>
      </c>
      <c r="T40" s="9">
        <f>Assumptions!C16+T12+T24+T15+T32+T38</f>
        <v>38929642.34261321</v>
      </c>
    </row>
    <row r="41" spans="11:20" x14ac:dyDescent="0.25">
      <c r="K41" s="4" t="s">
        <v>156</v>
      </c>
      <c r="L41" s="9">
        <f>L40 - Assumptions!C18 - L12</f>
        <v>36005687.966497615</v>
      </c>
      <c r="M41" s="9">
        <f>M40 - Assumptions!C18 - M12</f>
        <v>35825064.17746535</v>
      </c>
      <c r="N41" s="9">
        <f>N40 - Assumptions!C18 - N12</f>
        <v>35593229.27195818</v>
      </c>
      <c r="O41" s="9">
        <f>O40 - Assumptions!C18 - O12</f>
        <v>36027164.16795515</v>
      </c>
      <c r="P41" s="9">
        <f>P40 - Assumptions!C18 - P12</f>
        <v>35843124.978303224</v>
      </c>
      <c r="Q41" s="9">
        <f>Q40 - Assumptions!C18 - Q12</f>
        <v>35607155.90791349</v>
      </c>
      <c r="R41" s="9">
        <f>R40 - Assumptions!C18 - R12</f>
        <v>36061752.593664475</v>
      </c>
      <c r="S41" s="9">
        <f>S40 - Assumptions!C18 - S12</f>
        <v>35873146.116781294</v>
      </c>
      <c r="T41" s="9">
        <f>T40 - Assumptions!C18 - T12</f>
        <v>35631350.50190525</v>
      </c>
    </row>
    <row r="42" spans="11:20" x14ac:dyDescent="0.25">
      <c r="K42" s="4" t="s">
        <v>241</v>
      </c>
      <c r="L42" s="9">
        <f>Assumptions!C11/L14</f>
        <v>305149.67500000005</v>
      </c>
      <c r="M42" s="9">
        <f>Assumptions!C11/M14</f>
        <v>261556.86428571428</v>
      </c>
      <c r="N42" s="9">
        <f>Assumptions!C11/N14</f>
        <v>203433.11666666667</v>
      </c>
      <c r="O42" s="9">
        <f>Assumptions!C11/O14</f>
        <v>309809.5760023074</v>
      </c>
      <c r="P42" s="9">
        <f>Assumptions!C11/P14</f>
        <v>265408.89547813195</v>
      </c>
      <c r="Q42" s="9">
        <f>Assumptions!C11/Q14</f>
        <v>206281.88976377953</v>
      </c>
      <c r="R42" s="9">
        <f>Assumptions!C11/R14</f>
        <v>317314.5642540621</v>
      </c>
      <c r="S42" s="9">
        <f>Assumptions!C11/S14</f>
        <v>271811.84310417547</v>
      </c>
      <c r="T42" s="9">
        <f>Assumptions!C11/T14</f>
        <v>211231.03244837758</v>
      </c>
    </row>
    <row r="43" spans="11:20" x14ac:dyDescent="0.25">
      <c r="K43" s="4" t="s">
        <v>242</v>
      </c>
      <c r="L43" s="11">
        <f>L42/L40</f>
        <v>0.00805136720407342</v>
      </c>
      <c r="M43" s="11">
        <f>M42/M40</f>
        <v>0.006934218673381598</v>
      </c>
      <c r="N43" s="11">
        <f>N42/N40</f>
        <v>0.005426634644709028</v>
      </c>
      <c r="O43" s="11">
        <f>O42/O40</f>
        <v>0.008050971147145545</v>
      </c>
      <c r="P43" s="11">
        <f>P42/P40</f>
        <v>0.006933886305324505</v>
      </c>
      <c r="Q43" s="11">
        <f>Q42/Q40</f>
        <v>0.005426385613847214</v>
      </c>
      <c r="R43" s="11">
        <f>R42/R40</f>
        <v>0.008050357809818894</v>
      </c>
      <c r="S43" s="11">
        <f>S42/S40</f>
        <v>0.006933354744376263</v>
      </c>
      <c r="T43" s="11">
        <f>T42/T40</f>
        <v>0.0054259689978492206</v>
      </c>
    </row>
    <row r="45" spans="11:11" x14ac:dyDescent="0.25">
      <c r="K45" s="18" t="s">
        <v>243</v>
      </c>
    </row>
    <row r="47" spans="11:20" x14ac:dyDescent="0.25">
      <c r="K47" s="4" t="s">
        <v>244</v>
      </c>
      <c r="L47" s="13">
        <f>Assumptions!C50</f>
        <v>2000000000</v>
      </c>
      <c r="M47" s="13">
        <f>Assumptions!C50</f>
        <v>2000000000</v>
      </c>
      <c r="N47" s="13">
        <f>Assumptions!C50</f>
        <v>2000000000</v>
      </c>
      <c r="O47" s="13">
        <f>Assumptions!C50</f>
        <v>2000000000</v>
      </c>
      <c r="P47" s="13">
        <f>Assumptions!C50</f>
        <v>2000000000</v>
      </c>
      <c r="Q47" s="13">
        <f>Assumptions!C50</f>
        <v>2000000000</v>
      </c>
      <c r="R47" s="13">
        <f>Assumptions!C50</f>
        <v>2000000000</v>
      </c>
      <c r="S47" s="13">
        <f>Assumptions!C50</f>
        <v>2000000000</v>
      </c>
      <c r="T47" s="13">
        <f>Assumptions!C50</f>
        <v>2000000000</v>
      </c>
    </row>
    <row r="48" spans="11:20" x14ac:dyDescent="0.25">
      <c r="K48" s="4" t="s">
        <v>245</v>
      </c>
      <c r="L48" s="9">
        <f>L41</f>
        <v>36005687.966497615</v>
      </c>
      <c r="M48" s="9">
        <f>M41</f>
        <v>35825064.17746535</v>
      </c>
      <c r="N48" s="9">
        <f>N41</f>
        <v>35593229.27195818</v>
      </c>
      <c r="O48" s="9">
        <f>O41</f>
        <v>36027164.16795515</v>
      </c>
      <c r="P48" s="9">
        <f>P41</f>
        <v>35843124.978303224</v>
      </c>
      <c r="Q48" s="9">
        <f>Q41</f>
        <v>35607155.90791349</v>
      </c>
      <c r="R48" s="9">
        <f>R41</f>
        <v>36061752.593664475</v>
      </c>
      <c r="S48" s="9">
        <f>S41</f>
        <v>35873146.116781294</v>
      </c>
      <c r="T48" s="9">
        <f>T41</f>
        <v>35631350.50190525</v>
      </c>
    </row>
    <row r="49" spans="11:20" x14ac:dyDescent="0.25">
      <c r="K49" s="4" t="s">
        <v>246</v>
      </c>
      <c r="L49" s="13">
        <f>L15/L48*L47</f>
        <v>50850244.87529872</v>
      </c>
      <c r="M49" s="13">
        <f>M15/M48*M47</f>
        <v>43805676.884214245</v>
      </c>
      <c r="N49" s="13">
        <f>N15/N48*N47</f>
        <v>34293002.48858392</v>
      </c>
      <c r="O49" s="13">
        <f>O15/O48*O47</f>
        <v>51595997.04678479</v>
      </c>
      <c r="P49" s="13">
        <f>P15/P48*P47</f>
        <v>44428418.94596927</v>
      </c>
      <c r="Q49" s="13">
        <f>Q15/Q48*Q47</f>
        <v>34759623.64934648</v>
      </c>
      <c r="R49" s="13">
        <f>R15/R48*R47</f>
        <v>52795198.47459821</v>
      </c>
      <c r="S49" s="13">
        <f>S15/S48*S47</f>
        <v>45462169.76107759</v>
      </c>
      <c r="T49" s="13">
        <f>T15/T48*T47</f>
        <v>35569412.24056318</v>
      </c>
    </row>
    <row r="50" spans="11:20" x14ac:dyDescent="0.25">
      <c r="K50" s="4" t="s">
        <v>247</v>
      </c>
      <c r="L50" s="9" t="str">
        <f>IF(L49&gt;Assumptions!C7,"convert","preference")</f>
        <v>convert</v>
      </c>
      <c r="M50" s="9" t="str">
        <f>IF(M49&gt;Assumptions!C7,"convert","preference")</f>
        <v>convert</v>
      </c>
      <c r="N50" s="9" t="str">
        <f>IF(N49&gt;Assumptions!C7,"convert","preference")</f>
        <v>convert</v>
      </c>
      <c r="O50" s="9" t="str">
        <f>IF(O49&gt;Assumptions!C7,"convert","preference")</f>
        <v>convert</v>
      </c>
      <c r="P50" s="9" t="str">
        <f>IF(P49&gt;Assumptions!C7,"convert","preference")</f>
        <v>convert</v>
      </c>
      <c r="Q50" s="9" t="str">
        <f>IF(Q49&gt;Assumptions!C7,"convert","preference")</f>
        <v>convert</v>
      </c>
      <c r="R50" s="9" t="str">
        <f>IF(R49&gt;Assumptions!C7,"convert","preference")</f>
        <v>convert</v>
      </c>
      <c r="S50" s="9" t="str">
        <f>IF(S49&gt;Assumptions!C7,"convert","preference")</f>
        <v>convert</v>
      </c>
      <c r="T50" s="9" t="str">
        <f>IF(T49&gt;Assumptions!C7,"convert","preference")</f>
        <v>convert</v>
      </c>
    </row>
    <row r="51" spans="11:20" x14ac:dyDescent="0.25">
      <c r="K51" s="4" t="s">
        <v>248</v>
      </c>
      <c r="L51" s="13">
        <f>L47-IF(L50="preference",Assumptions!C7,0)</f>
        <v>2000000000</v>
      </c>
      <c r="M51" s="13">
        <f>M47-IF(M50="preference",Assumptions!C7,0)</f>
        <v>2000000000</v>
      </c>
      <c r="N51" s="13">
        <f>N47-IF(N50="preference",Assumptions!C7,0)</f>
        <v>2000000000</v>
      </c>
      <c r="O51" s="13">
        <f>O47-IF(O50="preference",Assumptions!C7,0)</f>
        <v>2000000000</v>
      </c>
      <c r="P51" s="13">
        <f>P47-IF(P50="preference",Assumptions!C7,0)</f>
        <v>2000000000</v>
      </c>
      <c r="Q51" s="13">
        <f>Q47-IF(Q50="preference",Assumptions!C7,0)</f>
        <v>2000000000</v>
      </c>
      <c r="R51" s="13">
        <f>R47-IF(R50="preference",Assumptions!C7,0)</f>
        <v>2000000000</v>
      </c>
      <c r="S51" s="13">
        <f>S47-IF(S50="preference",Assumptions!C7,0)</f>
        <v>2000000000</v>
      </c>
      <c r="T51" s="13">
        <f>T47-IF(T50="preference",Assumptions!C7,0)</f>
        <v>2000000000</v>
      </c>
    </row>
    <row r="52" spans="11:20" x14ac:dyDescent="0.25">
      <c r="K52" s="4" t="s">
        <v>249</v>
      </c>
      <c r="L52" s="9">
        <f>L48-IF(L50="preference",L15,0)</f>
        <v>36005687.966497615</v>
      </c>
      <c r="M52" s="9">
        <f>M48-IF(M50="preference",M15,0)</f>
        <v>35825064.17746535</v>
      </c>
      <c r="N52" s="9">
        <f>N48-IF(N50="preference",N15,0)</f>
        <v>35593229.27195818</v>
      </c>
      <c r="O52" s="9">
        <f>O48-IF(O50="preference",O15,0)</f>
        <v>36027164.16795515</v>
      </c>
      <c r="P52" s="9">
        <f>P48-IF(P50="preference",P15,0)</f>
        <v>35843124.978303224</v>
      </c>
      <c r="Q52" s="9">
        <f>Q48-IF(Q50="preference",Q15,0)</f>
        <v>35607155.90791349</v>
      </c>
      <c r="R52" s="9">
        <f>R48-IF(R50="preference",R15,0)</f>
        <v>36061752.593664475</v>
      </c>
      <c r="S52" s="9">
        <f>S48-IF(S50="preference",S15,0)</f>
        <v>35873146.116781294</v>
      </c>
      <c r="T52" s="9">
        <f>T48-IF(T50="preference",T15,0)</f>
        <v>35631350.50190525</v>
      </c>
    </row>
    <row r="54" spans="11:20" x14ac:dyDescent="0.25">
      <c r="K54" s="4" t="s">
        <v>250</v>
      </c>
      <c r="L54" s="13">
        <f>L51</f>
        <v>2000000000</v>
      </c>
      <c r="M54" s="13">
        <f>M51</f>
        <v>2000000000</v>
      </c>
      <c r="N54" s="13">
        <f>N51</f>
        <v>2000000000</v>
      </c>
      <c r="O54" s="13">
        <f>O51</f>
        <v>2000000000</v>
      </c>
      <c r="P54" s="13">
        <f>P51</f>
        <v>2000000000</v>
      </c>
      <c r="Q54" s="13">
        <f>Q51</f>
        <v>2000000000</v>
      </c>
      <c r="R54" s="13">
        <f>R51</f>
        <v>2000000000</v>
      </c>
      <c r="S54" s="13">
        <f>S51</f>
        <v>2000000000</v>
      </c>
      <c r="T54" s="13">
        <f>T51</f>
        <v>2000000000</v>
      </c>
    </row>
    <row r="55" spans="11:20" x14ac:dyDescent="0.25">
      <c r="K55" s="4" t="s">
        <v>251</v>
      </c>
      <c r="L55" s="9">
        <f>L52</f>
        <v>36005687.966497615</v>
      </c>
      <c r="M55" s="9">
        <f>M52</f>
        <v>35825064.17746535</v>
      </c>
      <c r="N55" s="9">
        <f>N52</f>
        <v>35593229.27195818</v>
      </c>
      <c r="O55" s="9">
        <f>O52</f>
        <v>36027164.16795515</v>
      </c>
      <c r="P55" s="9">
        <f>P52</f>
        <v>35843124.978303224</v>
      </c>
      <c r="Q55" s="9">
        <f>Q52</f>
        <v>35607155.90791349</v>
      </c>
      <c r="R55" s="9">
        <f>R52</f>
        <v>36061752.593664475</v>
      </c>
      <c r="S55" s="9">
        <f>S52</f>
        <v>35873146.116781294</v>
      </c>
      <c r="T55" s="9">
        <f>T52</f>
        <v>35631350.50190525</v>
      </c>
    </row>
    <row r="56" spans="11:20" x14ac:dyDescent="0.25">
      <c r="K56" s="4" t="s">
        <v>252</v>
      </c>
      <c r="L56" s="13">
        <f>L22/L55*L54</f>
        <v>341762289.74550647</v>
      </c>
      <c r="M56" s="13">
        <f>M22/M55*M54</f>
        <v>342288582.98409724</v>
      </c>
      <c r="N56" s="13">
        <f>N22/N55*N54</f>
        <v>342911919.5244485</v>
      </c>
      <c r="O56" s="13">
        <f>O22/O55*O54</f>
        <v>341685778.3503536</v>
      </c>
      <c r="P56" s="13">
        <f>P22/P55*P54</f>
        <v>342221810.82553405</v>
      </c>
      <c r="Q56" s="13">
        <f>Q22/Q55*Q54</f>
        <v>342856490.0621046</v>
      </c>
      <c r="R56" s="13">
        <f>R22/R55*R54</f>
        <v>341562744.7504268</v>
      </c>
      <c r="S56" s="13">
        <f>S22/S55*S54</f>
        <v>342110969.15033567</v>
      </c>
      <c r="T56" s="13">
        <f>T22/T55*T54</f>
        <v>342760296.08292466</v>
      </c>
    </row>
    <row r="57" spans="11:20" x14ac:dyDescent="0.25">
      <c r="K57" s="4" t="s">
        <v>253</v>
      </c>
      <c r="L57" s="9" t="str">
        <f>IF(L56&gt;Assumptions!F37,"convert","preference")</f>
        <v>convert</v>
      </c>
      <c r="M57" s="9" t="str">
        <f>IF(M56&gt;Assumptions!F37,"convert","preference")</f>
        <v>convert</v>
      </c>
      <c r="N57" s="9" t="str">
        <f>IF(N56&gt;Assumptions!F37,"convert","preference")</f>
        <v>convert</v>
      </c>
      <c r="O57" s="9" t="str">
        <f>IF(O56&gt;Assumptions!F37,"convert","preference")</f>
        <v>convert</v>
      </c>
      <c r="P57" s="9" t="str">
        <f>IF(P56&gt;Assumptions!F37,"convert","preference")</f>
        <v>convert</v>
      </c>
      <c r="Q57" s="9" t="str">
        <f>IF(Q56&gt;Assumptions!F37,"convert","preference")</f>
        <v>convert</v>
      </c>
      <c r="R57" s="9" t="str">
        <f>IF(R56&gt;Assumptions!F37,"convert","preference")</f>
        <v>convert</v>
      </c>
      <c r="S57" s="9" t="str">
        <f>IF(S56&gt;Assumptions!F37,"convert","preference")</f>
        <v>convert</v>
      </c>
      <c r="T57" s="9" t="str">
        <f>IF(T56&gt;Assumptions!F37,"convert","preference")</f>
        <v>convert</v>
      </c>
    </row>
    <row r="58" spans="11:20" x14ac:dyDescent="0.25">
      <c r="K58" s="4" t="s">
        <v>254</v>
      </c>
      <c r="L58" s="13">
        <f>L54-IF(L57="preference",Assumptions!F37,0)</f>
        <v>2000000000</v>
      </c>
      <c r="M58" s="13">
        <f>M54-IF(M57="preference",Assumptions!F37,0)</f>
        <v>2000000000</v>
      </c>
      <c r="N58" s="13">
        <f>N54-IF(N57="preference",Assumptions!F37,0)</f>
        <v>2000000000</v>
      </c>
      <c r="O58" s="13">
        <f>O54-IF(O57="preference",Assumptions!F37,0)</f>
        <v>2000000000</v>
      </c>
      <c r="P58" s="13">
        <f>P54-IF(P57="preference",Assumptions!F37,0)</f>
        <v>2000000000</v>
      </c>
      <c r="Q58" s="13">
        <f>Q54-IF(Q57="preference",Assumptions!F37,0)</f>
        <v>2000000000</v>
      </c>
      <c r="R58" s="13">
        <f>R54-IF(R57="preference",Assumptions!F37,0)</f>
        <v>2000000000</v>
      </c>
      <c r="S58" s="13">
        <f>S54-IF(S57="preference",Assumptions!F37,0)</f>
        <v>2000000000</v>
      </c>
      <c r="T58" s="13">
        <f>T54-IF(T57="preference",Assumptions!F37,0)</f>
        <v>2000000000</v>
      </c>
    </row>
    <row r="59" spans="11:20" x14ac:dyDescent="0.25">
      <c r="K59" s="4" t="s">
        <v>255</v>
      </c>
      <c r="L59" s="9">
        <f>L55-IF(L57="preference",L22,0)</f>
        <v>36005687.966497615</v>
      </c>
      <c r="M59" s="9">
        <f>M55-IF(M57="preference",M22,0)</f>
        <v>35825064.17746535</v>
      </c>
      <c r="N59" s="9">
        <f>N55-IF(N57="preference",N22,0)</f>
        <v>35593229.27195818</v>
      </c>
      <c r="O59" s="9">
        <f>O55-IF(O57="preference",O22,0)</f>
        <v>36027164.16795515</v>
      </c>
      <c r="P59" s="9">
        <f>P55-IF(P57="preference",P22,0)</f>
        <v>35843124.978303224</v>
      </c>
      <c r="Q59" s="9">
        <f>Q55-IF(Q57="preference",Q22,0)</f>
        <v>35607155.90791349</v>
      </c>
      <c r="R59" s="9">
        <f>R55-IF(R57="preference",R22,0)</f>
        <v>36061752.593664475</v>
      </c>
      <c r="S59" s="9">
        <f>S55-IF(S57="preference",S22,0)</f>
        <v>35873146.116781294</v>
      </c>
      <c r="T59" s="9">
        <f>T55-IF(T57="preference",T22,0)</f>
        <v>35631350.50190525</v>
      </c>
    </row>
    <row r="61" spans="11:20" x14ac:dyDescent="0.25">
      <c r="K61" s="4" t="s">
        <v>256</v>
      </c>
      <c r="L61" s="13">
        <f>L58</f>
        <v>2000000000</v>
      </c>
      <c r="M61" s="13">
        <f>M58</f>
        <v>2000000000</v>
      </c>
      <c r="N61" s="13">
        <f>N58</f>
        <v>2000000000</v>
      </c>
      <c r="O61" s="13">
        <f>O58</f>
        <v>2000000000</v>
      </c>
      <c r="P61" s="13">
        <f>P58</f>
        <v>2000000000</v>
      </c>
      <c r="Q61" s="13">
        <f>Q58</f>
        <v>2000000000</v>
      </c>
      <c r="R61" s="13">
        <f>R58</f>
        <v>2000000000</v>
      </c>
      <c r="S61" s="13">
        <f>S58</f>
        <v>2000000000</v>
      </c>
      <c r="T61" s="13">
        <f>T58</f>
        <v>2000000000</v>
      </c>
    </row>
    <row r="62" spans="11:20" x14ac:dyDescent="0.25">
      <c r="K62" s="4" t="s">
        <v>257</v>
      </c>
      <c r="L62" s="9">
        <f>L59</f>
        <v>36005687.966497615</v>
      </c>
      <c r="M62" s="9">
        <f>M59</f>
        <v>35825064.17746535</v>
      </c>
      <c r="N62" s="9">
        <f>N59</f>
        <v>35593229.27195818</v>
      </c>
      <c r="O62" s="9">
        <f>O59</f>
        <v>36027164.16795515</v>
      </c>
      <c r="P62" s="9">
        <f>P59</f>
        <v>35843124.978303224</v>
      </c>
      <c r="Q62" s="9">
        <f>Q59</f>
        <v>35607155.90791349</v>
      </c>
      <c r="R62" s="9">
        <f>R59</f>
        <v>36061752.593664475</v>
      </c>
      <c r="S62" s="9">
        <f>S59</f>
        <v>35873146.116781294</v>
      </c>
      <c r="T62" s="9">
        <f>T59</f>
        <v>35631350.50190525</v>
      </c>
    </row>
    <row r="63" spans="11:20" x14ac:dyDescent="0.25">
      <c r="K63" s="4" t="s">
        <v>258</v>
      </c>
      <c r="L63" s="13">
        <f>L19/L62*L61</f>
        <v>96602921.69950974</v>
      </c>
      <c r="M63" s="13">
        <f>M19/M62*M61</f>
        <v>96751684.35134134</v>
      </c>
      <c r="N63" s="13">
        <f>N19/N62*N61</f>
        <v>96927877.37440667</v>
      </c>
      <c r="O63" s="13">
        <f>O19/O62*O61</f>
        <v>96581294.90060058</v>
      </c>
      <c r="P63" s="13">
        <f>P19/P62*P61</f>
        <v>96732810.4562425</v>
      </c>
      <c r="Q63" s="13">
        <f>Q19/Q62*Q61</f>
        <v>96912209.61886045</v>
      </c>
      <c r="R63" s="13">
        <f>R19/R62*R61</f>
        <v>96546518.0818094</v>
      </c>
      <c r="S63" s="13">
        <f>S19/S62*S61</f>
        <v>96701479.82091054</v>
      </c>
      <c r="T63" s="13">
        <f>T19/T62*T61</f>
        <v>96885019.31812362</v>
      </c>
    </row>
    <row r="64" spans="11:20" x14ac:dyDescent="0.25">
      <c r="K64" s="4" t="s">
        <v>259</v>
      </c>
      <c r="L64" s="9" t="str">
        <f>IF(L63&gt;Assumptions!F36,"convert","preference")</f>
        <v>preference</v>
      </c>
      <c r="M64" s="9" t="str">
        <f>IF(M63&gt;Assumptions!F36,"convert","preference")</f>
        <v>preference</v>
      </c>
      <c r="N64" s="9" t="str">
        <f>IF(N63&gt;Assumptions!F36,"convert","preference")</f>
        <v>preference</v>
      </c>
      <c r="O64" s="9" t="str">
        <f>IF(O63&gt;Assumptions!F36,"convert","preference")</f>
        <v>preference</v>
      </c>
      <c r="P64" s="9" t="str">
        <f>IF(P63&gt;Assumptions!F36,"convert","preference")</f>
        <v>preference</v>
      </c>
      <c r="Q64" s="9" t="str">
        <f>IF(Q63&gt;Assumptions!F36,"convert","preference")</f>
        <v>preference</v>
      </c>
      <c r="R64" s="9" t="str">
        <f>IF(R63&gt;Assumptions!F36,"convert","preference")</f>
        <v>preference</v>
      </c>
      <c r="S64" s="9" t="str">
        <f>IF(S63&gt;Assumptions!F36,"convert","preference")</f>
        <v>preference</v>
      </c>
      <c r="T64" s="9" t="str">
        <f>IF(T63&gt;Assumptions!F36,"convert","preference")</f>
        <v>preference</v>
      </c>
    </row>
    <row r="65" spans="11:20" x14ac:dyDescent="0.25">
      <c r="K65" s="4" t="s">
        <v>260</v>
      </c>
      <c r="L65" s="13">
        <f>L61-IF(L64="preference",Assumptions!F36,0)</f>
        <v>1900000000</v>
      </c>
      <c r="M65" s="13">
        <f>M61-IF(M64="preference",Assumptions!F36,0)</f>
        <v>1900000000</v>
      </c>
      <c r="N65" s="13">
        <f>N61-IF(N64="preference",Assumptions!F36,0)</f>
        <v>1900000000</v>
      </c>
      <c r="O65" s="13">
        <f>O61-IF(O64="preference",Assumptions!F36,0)</f>
        <v>1900000000</v>
      </c>
      <c r="P65" s="13">
        <f>P61-IF(P64="preference",Assumptions!F36,0)</f>
        <v>1900000000</v>
      </c>
      <c r="Q65" s="13">
        <f>Q61-IF(Q64="preference",Assumptions!F36,0)</f>
        <v>1900000000</v>
      </c>
      <c r="R65" s="13">
        <f>R61-IF(R64="preference",Assumptions!F36,0)</f>
        <v>1900000000</v>
      </c>
      <c r="S65" s="13">
        <f>S61-IF(S64="preference",Assumptions!F36,0)</f>
        <v>1900000000</v>
      </c>
      <c r="T65" s="13">
        <f>T61-IF(T64="preference",Assumptions!F36,0)</f>
        <v>1900000000</v>
      </c>
    </row>
    <row r="66" spans="11:20" x14ac:dyDescent="0.25">
      <c r="K66" s="4" t="s">
        <v>261</v>
      </c>
      <c r="L66" s="9">
        <f>L62-IF(L64="preference",L19,0)</f>
        <v>34266560.63881534</v>
      </c>
      <c r="M66" s="9">
        <f>M62-IF(M64="preference",M19,0)</f>
        <v>34091996.52688301</v>
      </c>
      <c r="N66" s="9">
        <f>N62-IF(N64="preference",N19,0)</f>
        <v>33868241.19084243</v>
      </c>
      <c r="O66" s="9">
        <f>O62-IF(O64="preference",O19,0)</f>
        <v>34287389.084486336</v>
      </c>
      <c r="P66" s="9">
        <f>P62-IF(P64="preference",P19,0)</f>
        <v>34109521.870960414</v>
      </c>
      <c r="Q66" s="9">
        <f>Q62-IF(Q64="preference",Q19,0)</f>
        <v>33881771.82927391</v>
      </c>
      <c r="R66" s="9">
        <f>R62-IF(R64="preference",R19,0)</f>
        <v>34320934.26924149</v>
      </c>
      <c r="S66" s="9">
        <f>S62-IF(S64="preference",S19,0)</f>
        <v>34138652.959119044</v>
      </c>
      <c r="T66" s="9">
        <f>T62-IF(T64="preference",T19,0)</f>
        <v>33905278.461051285</v>
      </c>
    </row>
    <row r="68" spans="11:20" x14ac:dyDescent="0.25">
      <c r="K68" s="4" t="s">
        <v>262</v>
      </c>
      <c r="L68" s="13">
        <f>L65</f>
        <v>1900000000</v>
      </c>
      <c r="M68" s="13">
        <f>M65</f>
        <v>1900000000</v>
      </c>
      <c r="N68" s="13">
        <f>N65</f>
        <v>1900000000</v>
      </c>
      <c r="O68" s="13">
        <f>O65</f>
        <v>1900000000</v>
      </c>
      <c r="P68" s="13">
        <f>P65</f>
        <v>1900000000</v>
      </c>
      <c r="Q68" s="13">
        <f>Q65</f>
        <v>1900000000</v>
      </c>
      <c r="R68" s="13">
        <f>R65</f>
        <v>1900000000</v>
      </c>
      <c r="S68" s="13">
        <f>S65</f>
        <v>1900000000</v>
      </c>
      <c r="T68" s="13">
        <f>T65</f>
        <v>1900000000</v>
      </c>
    </row>
    <row r="69" spans="11:20" x14ac:dyDescent="0.25">
      <c r="K69" s="4" t="s">
        <v>263</v>
      </c>
      <c r="L69" s="9">
        <f>L66</f>
        <v>34266560.63881534</v>
      </c>
      <c r="M69" s="9">
        <f>M66</f>
        <v>34091996.52688301</v>
      </c>
      <c r="N69" s="9">
        <f>N66</f>
        <v>33868241.19084243</v>
      </c>
      <c r="O69" s="9">
        <f>O66</f>
        <v>34287389.084486336</v>
      </c>
      <c r="P69" s="9">
        <f>P66</f>
        <v>34109521.870960414</v>
      </c>
      <c r="Q69" s="9">
        <f>Q66</f>
        <v>33881771.82927391</v>
      </c>
      <c r="R69" s="9">
        <f>R66</f>
        <v>34320934.26924149</v>
      </c>
      <c r="S69" s="9">
        <f>S66</f>
        <v>34138652.959119044</v>
      </c>
      <c r="T69" s="9">
        <f>T66</f>
        <v>33905278.461051285</v>
      </c>
    </row>
    <row r="70" spans="11:20" x14ac:dyDescent="0.25">
      <c r="K70" s="4" t="s">
        <v>264</v>
      </c>
      <c r="L70" s="13">
        <f>Assumptions!E35/L69*L68</f>
        <v>133074341.71945095</v>
      </c>
      <c r="M70" s="13">
        <f>Assumptions!E35/M69*M68</f>
        <v>133755733.44330959</v>
      </c>
      <c r="N70" s="13">
        <f>Assumptions!E35/N69*N68</f>
        <v>134639409.65534902</v>
      </c>
      <c r="O70" s="13">
        <f>Assumptions!E35/O69*O68</f>
        <v>132993503.49377336</v>
      </c>
      <c r="P70" s="13">
        <f>Assumptions!E35/P69*P68</f>
        <v>133687010.2504197</v>
      </c>
      <c r="Q70" s="13">
        <f>Assumptions!E35/Q69*Q68</f>
        <v>134585641.59446207</v>
      </c>
      <c r="R70" s="13">
        <f>Assumptions!E35/R69*R68</f>
        <v>132863516.01700668</v>
      </c>
      <c r="S70" s="13">
        <f>Assumptions!E35/S69*S68</f>
        <v>133572932.87056723</v>
      </c>
      <c r="T70" s="13">
        <f>Assumptions!E35/T69*T68</f>
        <v>134492332.96338516</v>
      </c>
    </row>
    <row r="71" spans="11:20" x14ac:dyDescent="0.25">
      <c r="K71" s="4" t="s">
        <v>265</v>
      </c>
      <c r="L71" s="9" t="str">
        <f>IF(L70&gt;Assumptions!F35,"convert","preference")</f>
        <v>convert</v>
      </c>
      <c r="M71" s="9" t="str">
        <f>IF(M70&gt;Assumptions!F35,"convert","preference")</f>
        <v>convert</v>
      </c>
      <c r="N71" s="9" t="str">
        <f>IF(N70&gt;Assumptions!F35,"convert","preference")</f>
        <v>convert</v>
      </c>
      <c r="O71" s="9" t="str">
        <f>IF(O70&gt;Assumptions!F35,"convert","preference")</f>
        <v>convert</v>
      </c>
      <c r="P71" s="9" t="str">
        <f>IF(P70&gt;Assumptions!F35,"convert","preference")</f>
        <v>convert</v>
      </c>
      <c r="Q71" s="9" t="str">
        <f>IF(Q70&gt;Assumptions!F35,"convert","preference")</f>
        <v>convert</v>
      </c>
      <c r="R71" s="9" t="str">
        <f>IF(R70&gt;Assumptions!F35,"convert","preference")</f>
        <v>convert</v>
      </c>
      <c r="S71" s="9" t="str">
        <f>IF(S70&gt;Assumptions!F35,"convert","preference")</f>
        <v>convert</v>
      </c>
      <c r="T71" s="9" t="str">
        <f>IF(T70&gt;Assumptions!F35,"convert","preference")</f>
        <v>convert</v>
      </c>
    </row>
    <row r="72" spans="11:20" x14ac:dyDescent="0.25">
      <c r="K72" s="4" t="s">
        <v>266</v>
      </c>
      <c r="L72" s="13">
        <f>L68-IF(L71="preference",Assumptions!F35,0)</f>
        <v>1900000000</v>
      </c>
      <c r="M72" s="13">
        <f>M68-IF(M71="preference",Assumptions!F35,0)</f>
        <v>1900000000</v>
      </c>
      <c r="N72" s="13">
        <f>N68-IF(N71="preference",Assumptions!F35,0)</f>
        <v>1900000000</v>
      </c>
      <c r="O72" s="13">
        <f>O68-IF(O71="preference",Assumptions!F35,0)</f>
        <v>1900000000</v>
      </c>
      <c r="P72" s="13">
        <f>P68-IF(P71="preference",Assumptions!F35,0)</f>
        <v>1900000000</v>
      </c>
      <c r="Q72" s="13">
        <f>Q68-IF(Q71="preference",Assumptions!F35,0)</f>
        <v>1900000000</v>
      </c>
      <c r="R72" s="13">
        <f>R68-IF(R71="preference",Assumptions!F35,0)</f>
        <v>1900000000</v>
      </c>
      <c r="S72" s="13">
        <f>S68-IF(S71="preference",Assumptions!F35,0)</f>
        <v>1900000000</v>
      </c>
      <c r="T72" s="13">
        <f>T68-IF(T71="preference",Assumptions!F35,0)</f>
        <v>1900000000</v>
      </c>
    </row>
    <row r="73" spans="11:20" x14ac:dyDescent="0.25">
      <c r="K73" s="4" t="s">
        <v>267</v>
      </c>
      <c r="L73" s="9">
        <f>L69-IF(L71="preference",Assumptions!E35,0)</f>
        <v>34266560.63881534</v>
      </c>
      <c r="M73" s="9">
        <f>M69-IF(M71="preference",Assumptions!E35,0)</f>
        <v>34091996.52688301</v>
      </c>
      <c r="N73" s="9">
        <f>N69-IF(N71="preference",Assumptions!E35,0)</f>
        <v>33868241.19084243</v>
      </c>
      <c r="O73" s="9">
        <f>O69-IF(O71="preference",Assumptions!E35,0)</f>
        <v>34287389.084486336</v>
      </c>
      <c r="P73" s="9">
        <f>P69-IF(P71="preference",Assumptions!E35,0)</f>
        <v>34109521.870960414</v>
      </c>
      <c r="Q73" s="9">
        <f>Q69-IF(Q71="preference",Assumptions!E35,0)</f>
        <v>33881771.82927391</v>
      </c>
      <c r="R73" s="9">
        <f>R69-IF(R71="preference",Assumptions!E35,0)</f>
        <v>34320934.26924149</v>
      </c>
      <c r="S73" s="9">
        <f>S69-IF(S71="preference",Assumptions!E35,0)</f>
        <v>34138652.959119044</v>
      </c>
      <c r="T73" s="9">
        <f>T69-IF(T71="preference",Assumptions!E35,0)</f>
        <v>33905278.461051285</v>
      </c>
    </row>
    <row r="75" spans="11:20" x14ac:dyDescent="0.25">
      <c r="K75" s="4" t="s">
        <v>268</v>
      </c>
      <c r="L75" s="13">
        <f>L72</f>
        <v>1900000000</v>
      </c>
      <c r="M75" s="13">
        <f>M72</f>
        <v>1900000000</v>
      </c>
      <c r="N75" s="13">
        <f>N72</f>
        <v>1900000000</v>
      </c>
      <c r="O75" s="13">
        <f>O72</f>
        <v>1900000000</v>
      </c>
      <c r="P75" s="13">
        <f>P72</f>
        <v>1900000000</v>
      </c>
      <c r="Q75" s="13">
        <f>Q72</f>
        <v>1900000000</v>
      </c>
      <c r="R75" s="13">
        <f>R72</f>
        <v>1900000000</v>
      </c>
      <c r="S75" s="13">
        <f>S72</f>
        <v>1900000000</v>
      </c>
      <c r="T75" s="13">
        <f>T72</f>
        <v>1900000000</v>
      </c>
    </row>
    <row r="76" spans="11:20" x14ac:dyDescent="0.25">
      <c r="K76" s="4" t="s">
        <v>269</v>
      </c>
      <c r="L76" s="9">
        <f>L73</f>
        <v>34266560.63881534</v>
      </c>
      <c r="M76" s="9">
        <f>M73</f>
        <v>34091996.52688301</v>
      </c>
      <c r="N76" s="9">
        <f>N73</f>
        <v>33868241.19084243</v>
      </c>
      <c r="O76" s="9">
        <f>O73</f>
        <v>34287389.084486336</v>
      </c>
      <c r="P76" s="9">
        <f>P73</f>
        <v>34109521.870960414</v>
      </c>
      <c r="Q76" s="9">
        <f>Q73</f>
        <v>33881771.82927391</v>
      </c>
      <c r="R76" s="9">
        <f>R73</f>
        <v>34320934.26924149</v>
      </c>
      <c r="S76" s="9">
        <f>S73</f>
        <v>34138652.959119044</v>
      </c>
      <c r="T76" s="9">
        <f>T73</f>
        <v>33905278.461051285</v>
      </c>
    </row>
    <row r="77" spans="11:20" x14ac:dyDescent="0.25">
      <c r="K77" s="4" t="s">
        <v>270</v>
      </c>
      <c r="L77" s="13">
        <f>Assumptions!E34/L76*L75</f>
        <v>166342927.1493137</v>
      </c>
      <c r="M77" s="13">
        <f>Assumptions!E34/M76*M75</f>
        <v>167194666.804137</v>
      </c>
      <c r="N77" s="13">
        <f>Assumptions!E34/N76*N75</f>
        <v>168299262.06918627</v>
      </c>
      <c r="O77" s="13">
        <f>Assumptions!E34/O76*O75</f>
        <v>166241879.3672167</v>
      </c>
      <c r="P77" s="13">
        <f>Assumptions!E34/P76*P75</f>
        <v>167108762.81302464</v>
      </c>
      <c r="Q77" s="13">
        <f>Assumptions!E34/Q76*Q75</f>
        <v>168232051.99307758</v>
      </c>
      <c r="R77" s="13">
        <f>Assumptions!E34/R76*R75</f>
        <v>166079395.02125835</v>
      </c>
      <c r="S77" s="13">
        <f>Assumptions!E34/S76*S75</f>
        <v>166966166.08820906</v>
      </c>
      <c r="T77" s="13">
        <f>Assumptions!E34/T76*T75</f>
        <v>168115416.20423144</v>
      </c>
    </row>
    <row r="78" spans="11:20" x14ac:dyDescent="0.25">
      <c r="K78" s="4" t="s">
        <v>271</v>
      </c>
      <c r="L78" s="9" t="str">
        <f>IF(L77&gt;Assumptions!F34,"convert","preference")</f>
        <v>convert</v>
      </c>
      <c r="M78" s="9" t="str">
        <f>IF(M77&gt;Assumptions!F34,"convert","preference")</f>
        <v>convert</v>
      </c>
      <c r="N78" s="9" t="str">
        <f>IF(N77&gt;Assumptions!F34,"convert","preference")</f>
        <v>convert</v>
      </c>
      <c r="O78" s="9" t="str">
        <f>IF(O77&gt;Assumptions!F34,"convert","preference")</f>
        <v>convert</v>
      </c>
      <c r="P78" s="9" t="str">
        <f>IF(P77&gt;Assumptions!F34,"convert","preference")</f>
        <v>convert</v>
      </c>
      <c r="Q78" s="9" t="str">
        <f>IF(Q77&gt;Assumptions!F34,"convert","preference")</f>
        <v>convert</v>
      </c>
      <c r="R78" s="9" t="str">
        <f>IF(R77&gt;Assumptions!F34,"convert","preference")</f>
        <v>convert</v>
      </c>
      <c r="S78" s="9" t="str">
        <f>IF(S77&gt;Assumptions!F34,"convert","preference")</f>
        <v>convert</v>
      </c>
      <c r="T78" s="9" t="str">
        <f>IF(T77&gt;Assumptions!F34,"convert","preference")</f>
        <v>convert</v>
      </c>
    </row>
    <row r="79" spans="11:20" x14ac:dyDescent="0.25">
      <c r="K79" s="4" t="s">
        <v>272</v>
      </c>
      <c r="L79" s="13">
        <f>L75-IF(L78="preference",Assumptions!F34,0)</f>
        <v>1900000000</v>
      </c>
      <c r="M79" s="13">
        <f>M75-IF(M78="preference",Assumptions!F34,0)</f>
        <v>1900000000</v>
      </c>
      <c r="N79" s="13">
        <f>N75-IF(N78="preference",Assumptions!F34,0)</f>
        <v>1900000000</v>
      </c>
      <c r="O79" s="13">
        <f>O75-IF(O78="preference",Assumptions!F34,0)</f>
        <v>1900000000</v>
      </c>
      <c r="P79" s="13">
        <f>P75-IF(P78="preference",Assumptions!F34,0)</f>
        <v>1900000000</v>
      </c>
      <c r="Q79" s="13">
        <f>Q75-IF(Q78="preference",Assumptions!F34,0)</f>
        <v>1900000000</v>
      </c>
      <c r="R79" s="13">
        <f>R75-IF(R78="preference",Assumptions!F34,0)</f>
        <v>1900000000</v>
      </c>
      <c r="S79" s="13">
        <f>S75-IF(S78="preference",Assumptions!F34,0)</f>
        <v>1900000000</v>
      </c>
      <c r="T79" s="13">
        <f>T75-IF(T78="preference",Assumptions!F34,0)</f>
        <v>1900000000</v>
      </c>
    </row>
    <row r="80" spans="11:20" x14ac:dyDescent="0.25">
      <c r="K80" s="4" t="s">
        <v>273</v>
      </c>
      <c r="L80" s="9">
        <f>L76-IF(L78="preference",Assumptions!E34,0)</f>
        <v>34266560.63881534</v>
      </c>
      <c r="M80" s="9">
        <f>M76-IF(M78="preference",Assumptions!E34,0)</f>
        <v>34091996.52688301</v>
      </c>
      <c r="N80" s="9">
        <f>N76-IF(N78="preference",Assumptions!E34,0)</f>
        <v>33868241.19084243</v>
      </c>
      <c r="O80" s="9">
        <f>O76-IF(O78="preference",Assumptions!E34,0)</f>
        <v>34287389.084486336</v>
      </c>
      <c r="P80" s="9">
        <f>P76-IF(P78="preference",Assumptions!E34,0)</f>
        <v>34109521.870960414</v>
      </c>
      <c r="Q80" s="9">
        <f>Q76-IF(Q78="preference",Assumptions!E34,0)</f>
        <v>33881771.82927391</v>
      </c>
      <c r="R80" s="9">
        <f>R76-IF(R78="preference",Assumptions!E34,0)</f>
        <v>34320934.26924149</v>
      </c>
      <c r="S80" s="9">
        <f>S76-IF(S78="preference",Assumptions!E34,0)</f>
        <v>34138652.959119044</v>
      </c>
      <c r="T80" s="9">
        <f>T76-IF(T78="preference",Assumptions!E34,0)</f>
        <v>33905278.461051285</v>
      </c>
    </row>
    <row r="82" spans="11:20" x14ac:dyDescent="0.25">
      <c r="K82" s="4" t="s">
        <v>274</v>
      </c>
      <c r="L82" s="13">
        <f>L79</f>
        <v>1900000000</v>
      </c>
      <c r="M82" s="13">
        <f>M79</f>
        <v>1900000000</v>
      </c>
      <c r="N82" s="13">
        <f>N79</f>
        <v>1900000000</v>
      </c>
      <c r="O82" s="13">
        <f>O79</f>
        <v>1900000000</v>
      </c>
      <c r="P82" s="13">
        <f>P79</f>
        <v>1900000000</v>
      </c>
      <c r="Q82" s="13">
        <f>Q79</f>
        <v>1900000000</v>
      </c>
      <c r="R82" s="13">
        <f>R79</f>
        <v>1900000000</v>
      </c>
      <c r="S82" s="13">
        <f>S79</f>
        <v>1900000000</v>
      </c>
      <c r="T82" s="13">
        <f>T79</f>
        <v>1900000000</v>
      </c>
    </row>
    <row r="83" spans="11:20" x14ac:dyDescent="0.25">
      <c r="K83" s="4" t="s">
        <v>275</v>
      </c>
      <c r="L83" s="9">
        <f>L80</f>
        <v>34266560.63881534</v>
      </c>
      <c r="M83" s="9">
        <f>M80</f>
        <v>34091996.52688301</v>
      </c>
      <c r="N83" s="9">
        <f>N80</f>
        <v>33868241.19084243</v>
      </c>
      <c r="O83" s="9">
        <f>O80</f>
        <v>34287389.084486336</v>
      </c>
      <c r="P83" s="9">
        <f>P80</f>
        <v>34109521.870960414</v>
      </c>
      <c r="Q83" s="9">
        <f>Q80</f>
        <v>33881771.82927391</v>
      </c>
      <c r="R83" s="9">
        <f>R80</f>
        <v>34320934.26924149</v>
      </c>
      <c r="S83" s="9">
        <f>S80</f>
        <v>34138652.959119044</v>
      </c>
      <c r="T83" s="9">
        <f>T80</f>
        <v>33905278.461051285</v>
      </c>
    </row>
    <row r="84" spans="11:20" x14ac:dyDescent="0.25">
      <c r="K84" s="4" t="s">
        <v>276</v>
      </c>
      <c r="L84" s="13">
        <f>Assumptions!E33/L83*L82</f>
        <v>277238211.9155228</v>
      </c>
      <c r="M84" s="13">
        <f>Assumptions!E33/M83*M82</f>
        <v>278657778.00689495</v>
      </c>
      <c r="N84" s="13">
        <f>Assumptions!E33/N83*N82</f>
        <v>280498770.1153105</v>
      </c>
      <c r="O84" s="13">
        <f>Assumptions!E33/O83*O82</f>
        <v>277069798.94536114</v>
      </c>
      <c r="P84" s="13">
        <f>Assumptions!E33/P83*P82</f>
        <v>278514604.6883744</v>
      </c>
      <c r="Q84" s="13">
        <f>Assumptions!E33/Q83*Q82</f>
        <v>280386753.321796</v>
      </c>
      <c r="R84" s="13">
        <f>Assumptions!E33/R83*R82</f>
        <v>276798991.70209724</v>
      </c>
      <c r="S84" s="13">
        <f>Assumptions!E33/S83*S82</f>
        <v>278276943.48034847</v>
      </c>
      <c r="T84" s="13">
        <f>Assumptions!E33/T83*T82</f>
        <v>280192360.34038574</v>
      </c>
    </row>
    <row r="85" spans="11:20" x14ac:dyDescent="0.25">
      <c r="K85" s="4" t="s">
        <v>277</v>
      </c>
      <c r="L85" s="9" t="str">
        <f>IF(L84&gt;Assumptions!F33,"convert","preference")</f>
        <v>convert</v>
      </c>
      <c r="M85" s="9" t="str">
        <f>IF(M84&gt;Assumptions!F33,"convert","preference")</f>
        <v>convert</v>
      </c>
      <c r="N85" s="9" t="str">
        <f>IF(N84&gt;Assumptions!F33,"convert","preference")</f>
        <v>convert</v>
      </c>
      <c r="O85" s="9" t="str">
        <f>IF(O84&gt;Assumptions!F33,"convert","preference")</f>
        <v>convert</v>
      </c>
      <c r="P85" s="9" t="str">
        <f>IF(P84&gt;Assumptions!F33,"convert","preference")</f>
        <v>convert</v>
      </c>
      <c r="Q85" s="9" t="str">
        <f>IF(Q84&gt;Assumptions!F33,"convert","preference")</f>
        <v>convert</v>
      </c>
      <c r="R85" s="9" t="str">
        <f>IF(R84&gt;Assumptions!F33,"convert","preference")</f>
        <v>convert</v>
      </c>
      <c r="S85" s="9" t="str">
        <f>IF(S84&gt;Assumptions!F33,"convert","preference")</f>
        <v>convert</v>
      </c>
      <c r="T85" s="9" t="str">
        <f>IF(T84&gt;Assumptions!F33,"convert","preference")</f>
        <v>convert</v>
      </c>
    </row>
    <row r="86" spans="11:20" x14ac:dyDescent="0.25">
      <c r="K86" s="4" t="s">
        <v>278</v>
      </c>
      <c r="L86" s="13">
        <f>L82-IF(L85="preference",Assumptions!F33,0)</f>
        <v>1900000000</v>
      </c>
      <c r="M86" s="13">
        <f>M82-IF(M85="preference",Assumptions!F33,0)</f>
        <v>1900000000</v>
      </c>
      <c r="N86" s="13">
        <f>N82-IF(N85="preference",Assumptions!F33,0)</f>
        <v>1900000000</v>
      </c>
      <c r="O86" s="13">
        <f>O82-IF(O85="preference",Assumptions!F33,0)</f>
        <v>1900000000</v>
      </c>
      <c r="P86" s="13">
        <f>P82-IF(P85="preference",Assumptions!F33,0)</f>
        <v>1900000000</v>
      </c>
      <c r="Q86" s="13">
        <f>Q82-IF(Q85="preference",Assumptions!F33,0)</f>
        <v>1900000000</v>
      </c>
      <c r="R86" s="13">
        <f>R82-IF(R85="preference",Assumptions!F33,0)</f>
        <v>1900000000</v>
      </c>
      <c r="S86" s="13">
        <f>S82-IF(S85="preference",Assumptions!F33,0)</f>
        <v>1900000000</v>
      </c>
      <c r="T86" s="13">
        <f>T82-IF(T85="preference",Assumptions!F33,0)</f>
        <v>1900000000</v>
      </c>
    </row>
    <row r="87" spans="11:20" x14ac:dyDescent="0.25">
      <c r="K87" s="4" t="s">
        <v>279</v>
      </c>
      <c r="L87" s="9">
        <f>L83-IF(L85="preference",Assumptions!E33,0)</f>
        <v>34266560.63881534</v>
      </c>
      <c r="M87" s="9">
        <f>M83-IF(M85="preference",Assumptions!E33,0)</f>
        <v>34091996.52688301</v>
      </c>
      <c r="N87" s="9">
        <f>N83-IF(N85="preference",Assumptions!E33,0)</f>
        <v>33868241.19084243</v>
      </c>
      <c r="O87" s="9">
        <f>O83-IF(O85="preference",Assumptions!E33,0)</f>
        <v>34287389.084486336</v>
      </c>
      <c r="P87" s="9">
        <f>P83-IF(P85="preference",Assumptions!E33,0)</f>
        <v>34109521.870960414</v>
      </c>
      <c r="Q87" s="9">
        <f>Q83-IF(Q85="preference",Assumptions!E33,0)</f>
        <v>33881771.82927391</v>
      </c>
      <c r="R87" s="9">
        <f>R83-IF(R85="preference",Assumptions!E33,0)</f>
        <v>34320934.26924149</v>
      </c>
      <c r="S87" s="9">
        <f>S83-IF(S85="preference",Assumptions!E33,0)</f>
        <v>34138652.959119044</v>
      </c>
      <c r="T87" s="9">
        <f>T83-IF(T85="preference",Assumptions!E33,0)</f>
        <v>33905278.461051285</v>
      </c>
    </row>
    <row r="89" spans="11:20" x14ac:dyDescent="0.25">
      <c r="K89" s="4" t="s">
        <v>280</v>
      </c>
      <c r="L89" s="13">
        <f>L86</f>
        <v>1900000000</v>
      </c>
      <c r="M89" s="13">
        <f>M86</f>
        <v>1900000000</v>
      </c>
      <c r="N89" s="13">
        <f>N86</f>
        <v>1900000000</v>
      </c>
      <c r="O89" s="13">
        <f>O86</f>
        <v>1900000000</v>
      </c>
      <c r="P89" s="13">
        <f>P86</f>
        <v>1900000000</v>
      </c>
      <c r="Q89" s="13">
        <f>Q86</f>
        <v>1900000000</v>
      </c>
      <c r="R89" s="13">
        <f>R86</f>
        <v>1900000000</v>
      </c>
      <c r="S89" s="13">
        <f>S86</f>
        <v>1900000000</v>
      </c>
      <c r="T89" s="13">
        <f>T86</f>
        <v>1900000000</v>
      </c>
    </row>
    <row r="90" spans="11:20" x14ac:dyDescent="0.25">
      <c r="K90" s="4" t="s">
        <v>281</v>
      </c>
      <c r="L90" s="9">
        <f>L87</f>
        <v>34266560.63881534</v>
      </c>
      <c r="M90" s="9">
        <f>M87</f>
        <v>34091996.52688301</v>
      </c>
      <c r="N90" s="9">
        <f>N87</f>
        <v>33868241.19084243</v>
      </c>
      <c r="O90" s="9">
        <f>O87</f>
        <v>34287389.084486336</v>
      </c>
      <c r="P90" s="9">
        <f>P87</f>
        <v>34109521.870960414</v>
      </c>
      <c r="Q90" s="9">
        <f>Q87</f>
        <v>33881771.82927391</v>
      </c>
      <c r="R90" s="9">
        <f>R87</f>
        <v>34320934.26924149</v>
      </c>
      <c r="S90" s="9">
        <f>S87</f>
        <v>34138652.959119044</v>
      </c>
      <c r="T90" s="9">
        <f>T87</f>
        <v>33905278.461051285</v>
      </c>
    </row>
    <row r="91" spans="11:20" x14ac:dyDescent="0.25">
      <c r="K91" s="4" t="s">
        <v>282</v>
      </c>
      <c r="L91" s="13">
        <f>Assumptions!E32/L90*L89</f>
        <v>277238211.9155228</v>
      </c>
      <c r="M91" s="13">
        <f>Assumptions!E32/M90*M89</f>
        <v>278657778.00689495</v>
      </c>
      <c r="N91" s="13">
        <f>Assumptions!E32/N90*N89</f>
        <v>280498770.1153105</v>
      </c>
      <c r="O91" s="13">
        <f>Assumptions!E32/O90*O89</f>
        <v>277069798.94536114</v>
      </c>
      <c r="P91" s="13">
        <f>Assumptions!E32/P90*P89</f>
        <v>278514604.6883744</v>
      </c>
      <c r="Q91" s="13">
        <f>Assumptions!E32/Q90*Q89</f>
        <v>280386753.321796</v>
      </c>
      <c r="R91" s="13">
        <f>Assumptions!E32/R90*R89</f>
        <v>276798991.70209724</v>
      </c>
      <c r="S91" s="13">
        <f>Assumptions!E32/S90*S89</f>
        <v>278276943.48034847</v>
      </c>
      <c r="T91" s="13">
        <f>Assumptions!E32/T90*T89</f>
        <v>280192360.34038574</v>
      </c>
    </row>
    <row r="92" spans="11:20" x14ac:dyDescent="0.25">
      <c r="K92" s="4" t="s">
        <v>283</v>
      </c>
      <c r="L92" s="9" t="str">
        <f>IF(L91&gt;Assumptions!F32,"convert","preference")</f>
        <v>convert</v>
      </c>
      <c r="M92" s="9" t="str">
        <f>IF(M91&gt;Assumptions!F32,"convert","preference")</f>
        <v>convert</v>
      </c>
      <c r="N92" s="9" t="str">
        <f>IF(N91&gt;Assumptions!F32,"convert","preference")</f>
        <v>convert</v>
      </c>
      <c r="O92" s="9" t="str">
        <f>IF(O91&gt;Assumptions!F32,"convert","preference")</f>
        <v>convert</v>
      </c>
      <c r="P92" s="9" t="str">
        <f>IF(P91&gt;Assumptions!F32,"convert","preference")</f>
        <v>convert</v>
      </c>
      <c r="Q92" s="9" t="str">
        <f>IF(Q91&gt;Assumptions!F32,"convert","preference")</f>
        <v>convert</v>
      </c>
      <c r="R92" s="9" t="str">
        <f>IF(R91&gt;Assumptions!F32,"convert","preference")</f>
        <v>convert</v>
      </c>
      <c r="S92" s="9" t="str">
        <f>IF(S91&gt;Assumptions!F32,"convert","preference")</f>
        <v>convert</v>
      </c>
      <c r="T92" s="9" t="str">
        <f>IF(T91&gt;Assumptions!F32,"convert","preference")</f>
        <v>convert</v>
      </c>
    </row>
    <row r="93" spans="11:20" x14ac:dyDescent="0.25">
      <c r="K93" s="4" t="s">
        <v>284</v>
      </c>
      <c r="L93" s="13">
        <f>L89-IF(L92="preference",Assumptions!F32,0)</f>
        <v>1900000000</v>
      </c>
      <c r="M93" s="13">
        <f>M89-IF(M92="preference",Assumptions!F32,0)</f>
        <v>1900000000</v>
      </c>
      <c r="N93" s="13">
        <f>N89-IF(N92="preference",Assumptions!F32,0)</f>
        <v>1900000000</v>
      </c>
      <c r="O93" s="13">
        <f>O89-IF(O92="preference",Assumptions!F32,0)</f>
        <v>1900000000</v>
      </c>
      <c r="P93" s="13">
        <f>P89-IF(P92="preference",Assumptions!F32,0)</f>
        <v>1900000000</v>
      </c>
      <c r="Q93" s="13">
        <f>Q89-IF(Q92="preference",Assumptions!F32,0)</f>
        <v>1900000000</v>
      </c>
      <c r="R93" s="13">
        <f>R89-IF(R92="preference",Assumptions!F32,0)</f>
        <v>1900000000</v>
      </c>
      <c r="S93" s="13">
        <f>S89-IF(S92="preference",Assumptions!F32,0)</f>
        <v>1900000000</v>
      </c>
      <c r="T93" s="13">
        <f>T89-IF(T92="preference",Assumptions!F32,0)</f>
        <v>1900000000</v>
      </c>
    </row>
    <row r="94" spans="11:20" x14ac:dyDescent="0.25">
      <c r="K94" s="4" t="s">
        <v>285</v>
      </c>
      <c r="L94" s="9">
        <f>L90-IF(L92="preference",Assumptions!E32,0)</f>
        <v>34266560.63881534</v>
      </c>
      <c r="M94" s="9">
        <f>M90-IF(M92="preference",Assumptions!E32,0)</f>
        <v>34091996.52688301</v>
      </c>
      <c r="N94" s="9">
        <f>N90-IF(N92="preference",Assumptions!E32,0)</f>
        <v>33868241.19084243</v>
      </c>
      <c r="O94" s="9">
        <f>O90-IF(O92="preference",Assumptions!E32,0)</f>
        <v>34287389.084486336</v>
      </c>
      <c r="P94" s="9">
        <f>P90-IF(P92="preference",Assumptions!E32,0)</f>
        <v>34109521.870960414</v>
      </c>
      <c r="Q94" s="9">
        <f>Q90-IF(Q92="preference",Assumptions!E32,0)</f>
        <v>33881771.82927391</v>
      </c>
      <c r="R94" s="9">
        <f>R90-IF(R92="preference",Assumptions!E32,0)</f>
        <v>34320934.26924149</v>
      </c>
      <c r="S94" s="9">
        <f>S90-IF(S92="preference",Assumptions!E32,0)</f>
        <v>34138652.959119044</v>
      </c>
      <c r="T94" s="9">
        <f>T90-IF(T92="preference",Assumptions!E32,0)</f>
        <v>33905278.461051285</v>
      </c>
    </row>
    <row r="96" spans="11:20" x14ac:dyDescent="0.25">
      <c r="K96" s="4" t="s">
        <v>286</v>
      </c>
      <c r="L96" s="13">
        <f>L93/L94</f>
        <v>55.447642383104565</v>
      </c>
      <c r="M96" s="13">
        <f>M93/M94</f>
        <v>55.73155560137899</v>
      </c>
      <c r="N96" s="13">
        <f>N93/N94</f>
        <v>56.0997540230621</v>
      </c>
      <c r="O96" s="13">
        <f>O93/O94</f>
        <v>55.41395978907223</v>
      </c>
      <c r="P96" s="13">
        <f>P93/P94</f>
        <v>55.702920937674875</v>
      </c>
      <c r="Q96" s="13">
        <f>Q93/Q94</f>
        <v>56.077350664359194</v>
      </c>
      <c r="R96" s="13">
        <f>R93/R94</f>
        <v>55.359798340419445</v>
      </c>
      <c r="S96" s="13">
        <f>S93/S94</f>
        <v>55.655388696069686</v>
      </c>
      <c r="T96" s="13">
        <f>T93/T94</f>
        <v>56.03847206807714</v>
      </c>
    </row>
    <row r="97" spans="11:20" x14ac:dyDescent="0.25">
      <c r="K97" s="14" t="s">
        <v>287</v>
      </c>
      <c r="L97" s="13">
        <f>IF(L50="preference",Assumptions!C11,L42*L96)</f>
        <v>16919830.052720588</v>
      </c>
      <c r="M97" s="13">
        <f>IF(M50="preference",Assumptions!C11,M42*M96)</f>
        <v>14576970.924861625</v>
      </c>
      <c r="N97" s="13">
        <f>IF(N50="preference",Assumptions!C11,N42*N96)</f>
        <v>11412547.805144895</v>
      </c>
      <c r="O97" s="13">
        <f>IF(O50="preference",Assumptions!C11,O42*O96)</f>
        <v>17167775.38686138</v>
      </c>
      <c r="P97" s="13">
        <f>IF(P50="preference",Assumptions!C11,P42*P96)</f>
        <v>14784050.720973998</v>
      </c>
      <c r="Q97" s="13">
        <f>IF(Q50="preference",Assumptions!C11,Q42*Q96)</f>
        <v>11567741.867990153</v>
      </c>
      <c r="R97" s="13">
        <f>IF(R50="preference",Assumptions!C11,R42*R96)</f>
        <v>17566470.287582945</v>
      </c>
      <c r="S97" s="13">
        <f>IF(S50="preference",Assumptions!C11,S42*S96)</f>
        <v>15127793.780157994</v>
      </c>
      <c r="T97" s="13">
        <f>IF(T50="preference",Assumptions!C11,T42*T96)</f>
        <v>11837064.311769502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1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7" width="18.955" customWidth="1"/>
  </cols>
  <sheetData>
    <row r="2" ht="18" customHeight="1" spans="2:2" x14ac:dyDescent="0.25">
      <c r="B2" s="1" t="s">
        <v>288</v>
      </c>
    </row>
    <row r="3" spans="2:2" x14ac:dyDescent="0.25">
      <c r="B3" s="2" t="s">
        <v>289</v>
      </c>
    </row>
    <row r="5" spans="2:7" x14ac:dyDescent="0.25">
      <c r="B5" s="3" t="s">
        <v>290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 spans="2:3" x14ac:dyDescent="0.25">
      <c r="B6" s="4" t="s">
        <v>291</v>
      </c>
      <c r="C6" s="13">
        <f>Assumptions!C11</f>
        <v>10000000</v>
      </c>
    </row>
    <row r="7" spans="2:3" x14ac:dyDescent="0.25">
      <c r="B7" s="4" t="s">
        <v>292</v>
      </c>
      <c r="C7" s="13">
        <f>Assumptions!C63</f>
        <v>30000000</v>
      </c>
    </row>
    <row r="8" spans="2:3" x14ac:dyDescent="0.25">
      <c r="B8" s="4" t="s">
        <v>293</v>
      </c>
      <c r="C8" s="13">
        <f>Assumptions!C64</f>
        <v>40000000</v>
      </c>
    </row>
    <row r="9" spans="2:3" x14ac:dyDescent="0.25">
      <c r="B9" s="4" t="s">
        <v>154</v>
      </c>
      <c r="C9" s="9">
        <f>'Pro-Forma'!C52</f>
        <v>38277076.3452417</v>
      </c>
    </row>
    <row r="10" spans="2:3" x14ac:dyDescent="0.25">
      <c r="B10" s="4" t="s">
        <v>294</v>
      </c>
      <c r="C10" s="13">
        <f>'Pro-Forma'!C13</f>
        <v>37.67771227857711</v>
      </c>
    </row>
    <row r="12" spans="2:7" x14ac:dyDescent="0.25">
      <c r="B12" s="12" t="s">
        <v>295</v>
      </c>
      <c r="C12" s="12" t="s">
        <v>161</v>
      </c>
      <c r="D12" s="12" t="s">
        <v>162</v>
      </c>
      <c r="E12" s="12" t="s">
        <v>163</v>
      </c>
      <c r="F12" s="12" t="s">
        <v>164</v>
      </c>
      <c r="G12" s="12" t="s">
        <v>165</v>
      </c>
    </row>
    <row r="14" spans="2:7" x14ac:dyDescent="0.25">
      <c r="B14" s="4" t="s">
        <v>166</v>
      </c>
      <c r="C14" s="13">
        <f>Waterfall!E12</f>
        <v>700000000</v>
      </c>
      <c r="D14" s="13">
        <f>Waterfall!F12</f>
        <v>1200000000</v>
      </c>
      <c r="E14" s="13">
        <f>Waterfall!G12</f>
        <v>2000000000</v>
      </c>
      <c r="F14" s="13">
        <f>Waterfall!H12</f>
        <v>4000000000</v>
      </c>
      <c r="G14" s="13">
        <f>Waterfall!I12</f>
        <v>8000000000</v>
      </c>
    </row>
    <row r="15" spans="2:7" x14ac:dyDescent="0.25">
      <c r="B15" s="4" t="s">
        <v>296</v>
      </c>
      <c r="C15" s="9" t="str">
        <f>Waterfall!E19</f>
        <v>preference</v>
      </c>
      <c r="D15" s="9" t="str">
        <f>Waterfall!F19</f>
        <v>preference</v>
      </c>
      <c r="E15" s="9" t="str">
        <f>Waterfall!G19</f>
        <v>convert</v>
      </c>
      <c r="F15" s="9" t="str">
        <f>Waterfall!H19</f>
        <v>convert</v>
      </c>
      <c r="G15" s="9" t="str">
        <f>Waterfall!I19</f>
        <v>convert</v>
      </c>
    </row>
    <row r="16" spans="2:7" x14ac:dyDescent="0.25">
      <c r="B16" s="4" t="s">
        <v>297</v>
      </c>
      <c r="C16" s="13">
        <f>Waterfall!E79</f>
        <v>8.264407555763484</v>
      </c>
      <c r="D16" s="13">
        <f>Waterfall!F79</f>
        <v>28.329502382351922</v>
      </c>
      <c r="E16" s="13">
        <f>Waterfall!G79</f>
        <v>55.702920937674875</v>
      </c>
      <c r="F16" s="13">
        <f>Waterfall!H79</f>
        <v>111.5974124025543</v>
      </c>
      <c r="G16" s="13">
        <f>Waterfall!I79</f>
        <v>223.1948248051086</v>
      </c>
    </row>
    <row r="18" spans="2:7" x14ac:dyDescent="0.25">
      <c r="B18" s="3" t="s">
        <v>298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</row>
    <row r="19" spans="2:7" x14ac:dyDescent="0.25">
      <c r="B19" s="4" t="s">
        <v>299</v>
      </c>
      <c r="C19" s="9" t="str">
        <f>IF(C15="convert", $C$7/C16, "n/a — F prefers")</f>
        <v>n/a — F prefers</v>
      </c>
      <c r="D19" s="9" t="str">
        <f>IF(D15="convert", $C$7/D16, "n/a — F prefers")</f>
        <v>n/a — F prefers</v>
      </c>
      <c r="E19" s="9">
        <f>IF(E15="convert", $C$7/E16, "n/a — F prefers")</f>
        <v>538571.3979625328</v>
      </c>
      <c r="F19" s="9">
        <f>IF(F15="convert", $C$7/F16, "n/a — F prefers")</f>
        <v>268823.4373372742</v>
      </c>
      <c r="G19" s="9">
        <f>IF(G15="convert", $C$7/G16, "n/a — F prefers")</f>
        <v>134411.7186686371</v>
      </c>
    </row>
    <row r="20" spans="2:7" x14ac:dyDescent="0.25">
      <c r="B20" s="14" t="s">
        <v>300</v>
      </c>
      <c r="C20" s="9" t="str">
        <f>IF(C15="convert", $C$7/(C16*$C$9), "Infeasible — F prefers")</f>
        <v>Infeasible — F prefers</v>
      </c>
      <c r="D20" s="9" t="str">
        <f>IF(D15="convert", $C$7/(D16*$C$9), "Infeasible — F prefers")</f>
        <v>Infeasible — F prefers</v>
      </c>
      <c r="E20" s="9">
        <f>IF(E15="convert", $C$7/(E16*$C$9), "Infeasible — F prefers")</f>
        <v>0.014070337898978111</v>
      </c>
      <c r="F20" s="9">
        <f>IF(F15="convert", $C$7/(F16*$C$9), "Infeasible — F prefers")</f>
        <v>0.007023092226600848</v>
      </c>
      <c r="G20" s="9">
        <f>IF(G15="convert", $C$7/(G16*$C$9), "Infeasible — F prefers")</f>
        <v>0.003511546113300424</v>
      </c>
    </row>
    <row r="21" spans="2:7" x14ac:dyDescent="0.25">
      <c r="B21" s="4" t="s">
        <v>301</v>
      </c>
      <c r="C21" s="9" t="str">
        <f>IF(C15="preference","Infeasible (F prefers — caps at 1x)",IF(C20&lt;=0,"Infeasible (≤ 0%)",IF(C20&gt;1,"Infeasible (&gt; 100%)","Feasible")))</f>
        <v>Infeasible (F prefers — caps at 1x)</v>
      </c>
      <c r="D21" s="9" t="str">
        <f>IF(D15="preference","Infeasible (F prefers — caps at 1x)",IF(D20&lt;=0,"Infeasible (≤ 0%)",IF(D20&gt;1,"Infeasible (&gt; 100%)","Feasible")))</f>
        <v>Infeasible (F prefers — caps at 1x)</v>
      </c>
      <c r="E21" s="9" t="str">
        <f>IF(E15="preference","Infeasible (F prefers — caps at 1x)",IF(E20&lt;=0,"Infeasible (≤ 0%)",IF(E20&gt;1,"Infeasible (&gt; 100%)","Feasible")))</f>
        <v>Feasible</v>
      </c>
      <c r="F21" s="9" t="str">
        <f>IF(F15="preference","Infeasible (F prefers — caps at 1x)",IF(F20&lt;=0,"Infeasible (≤ 0%)",IF(F20&gt;1,"Infeasible (&gt; 100%)","Feasible")))</f>
        <v>Feasible</v>
      </c>
      <c r="G21" s="9" t="str">
        <f>IF(G15="preference","Infeasible (F prefers — caps at 1x)",IF(G20&lt;=0,"Infeasible (≤ 0%)",IF(G20&gt;1,"Infeasible (&gt; 100%)","Feasible")))</f>
        <v>Feasible</v>
      </c>
    </row>
    <row r="23" spans="2:7" x14ac:dyDescent="0.25">
      <c r="B23" s="3" t="s">
        <v>302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</row>
    <row r="24" spans="2:7" x14ac:dyDescent="0.25">
      <c r="B24" s="4" t="s">
        <v>299</v>
      </c>
      <c r="C24" s="9" t="str">
        <f>IF(C15="convert", $C$8/C16, "n/a — F prefers")</f>
        <v>n/a — F prefers</v>
      </c>
      <c r="D24" s="9" t="str">
        <f>IF(D15="convert", $C$8/D16, "n/a — F prefers")</f>
        <v>n/a — F prefers</v>
      </c>
      <c r="E24" s="9">
        <f>IF(E15="convert", $C$8/E16, "n/a — F prefers")</f>
        <v>718095.1972833772</v>
      </c>
      <c r="F24" s="9">
        <f>IF(F15="convert", $C$8/F16, "n/a — F prefers")</f>
        <v>358431.2497830322</v>
      </c>
      <c r="G24" s="9">
        <f>IF(G15="convert", $C$8/G16, "n/a — F prefers")</f>
        <v>179215.6248915161</v>
      </c>
    </row>
    <row r="25" spans="2:7" x14ac:dyDescent="0.25">
      <c r="B25" s="14" t="s">
        <v>300</v>
      </c>
      <c r="C25" s="9" t="str">
        <f>IF(C15="convert", $C$8/(C16*$C$9), "Infeasible — F prefers")</f>
        <v>Infeasible — F prefers</v>
      </c>
      <c r="D25" s="9" t="str">
        <f>IF(D15="convert", $C$8/(D16*$C$9), "Infeasible — F prefers")</f>
        <v>Infeasible — F prefers</v>
      </c>
      <c r="E25" s="9">
        <f>IF(E15="convert", $C$8/(E16*$C$9), "Infeasible — F prefers")</f>
        <v>0.018760450531970816</v>
      </c>
      <c r="F25" s="9">
        <f>IF(F15="convert", $C$8/(F16*$C$9), "Infeasible — F prefers")</f>
        <v>0.00936412296880113</v>
      </c>
      <c r="G25" s="9">
        <f>IF(G15="convert", $C$8/(G16*$C$9), "Infeasible — F prefers")</f>
        <v>0.004682061484400565</v>
      </c>
    </row>
    <row r="26" spans="2:7" x14ac:dyDescent="0.25">
      <c r="B26" s="4" t="s">
        <v>301</v>
      </c>
      <c r="C26" s="9" t="str">
        <f>IF(C15="preference","Infeasible (F prefers — caps at 1x)",IF(C25&lt;=0,"Infeasible (≤ 0%)",IF(C25&gt;1,"Infeasible (&gt; 100%)","Feasible")))</f>
        <v>Infeasible (F prefers — caps at 1x)</v>
      </c>
      <c r="D26" s="9" t="str">
        <f>IF(D15="preference","Infeasible (F prefers — caps at 1x)",IF(D25&lt;=0,"Infeasible (≤ 0%)",IF(D25&gt;1,"Infeasible (&gt; 100%)","Feasible")))</f>
        <v>Infeasible (F prefers — caps at 1x)</v>
      </c>
      <c r="E26" s="9" t="str">
        <f>IF(E15="preference","Infeasible (F prefers — caps at 1x)",IF(E25&lt;=0,"Infeasible (≤ 0%)",IF(E25&gt;1,"Infeasible (&gt; 100%)","Feasible")))</f>
        <v>Feasible</v>
      </c>
      <c r="F26" s="9" t="str">
        <f>IF(F15="preference","Infeasible (F prefers — caps at 1x)",IF(F25&lt;=0,"Infeasible (≤ 0%)",IF(F25&gt;1,"Infeasible (&gt; 100%)","Feasible")))</f>
        <v>Feasible</v>
      </c>
      <c r="G26" s="9" t="str">
        <f>IF(G15="preference","Infeasible (F prefers — caps at 1x)",IF(G25&lt;=0,"Infeasible (≤ 0%)",IF(G25&gt;1,"Infeasible (&gt; 100%)","Feasible")))</f>
        <v>Feasible</v>
      </c>
    </row>
    <row r="28" spans="2:7" x14ac:dyDescent="0.25">
      <c r="B28" s="3" t="s">
        <v>303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</row>
    <row r="29" spans="2:7" x14ac:dyDescent="0.25">
      <c r="B29" s="4" t="s">
        <v>304</v>
      </c>
      <c r="C29" s="11">
        <f>$C$6/$C$10/$C$9</f>
        <v>0.006933886305324505</v>
      </c>
      <c r="D29" s="11">
        <f>$C$6/$C$10/$C$9</f>
        <v>0.006933886305324505</v>
      </c>
      <c r="E29" s="11">
        <f>$C$6/$C$10/$C$9</f>
        <v>0.006933886305324505</v>
      </c>
      <c r="F29" s="11">
        <f>$C$6/$C$10/$C$9</f>
        <v>0.006933886305324505</v>
      </c>
      <c r="G29" s="11">
        <f>$C$6/$C$10/$C$9</f>
        <v>0.006933886305324505</v>
      </c>
    </row>
    <row r="30" spans="2:7" x14ac:dyDescent="0.25">
      <c r="B30" s="4" t="s">
        <v>305</v>
      </c>
      <c r="C30" s="13">
        <f>IF(C15="preference",$C$6,Waterfall!E82/Assumptions!C7*$C$6)</f>
        <v>10000000</v>
      </c>
      <c r="D30" s="13">
        <f>IF(D15="preference",$C$6,Waterfall!F82/Assumptions!C7*$C$6)</f>
        <v>10000000</v>
      </c>
      <c r="E30" s="13">
        <f>IF(E15="preference",$C$6,Waterfall!G82/Assumptions!C7*$C$6)</f>
        <v>14784050.720973996</v>
      </c>
      <c r="F30" s="13">
        <f>IF(F15="preference",$C$6,Waterfall!H82/Assumptions!C7*$C$6)</f>
        <v>29618945.963979516</v>
      </c>
      <c r="G30" s="13">
        <f>IF(G15="preference",$C$6,Waterfall!I82/Assumptions!C7*$C$6)</f>
        <v>59237891.92795902</v>
      </c>
    </row>
    <row r="31" spans="2:7" x14ac:dyDescent="0.25">
      <c r="B31" s="4" t="s">
        <v>306</v>
      </c>
      <c r="C31" s="16">
        <f>C30/$C$6</f>
        <v>1</v>
      </c>
      <c r="D31" s="16">
        <f>D30/$C$6</f>
        <v>1</v>
      </c>
      <c r="E31" s="16">
        <f>E30/$C$6</f>
        <v>1.4784050720973996</v>
      </c>
      <c r="F31" s="16">
        <f>F30/$C$6</f>
        <v>2.9618945963979515</v>
      </c>
      <c r="G31" s="16">
        <f>G30/$C$6</f>
        <v>5.923789192795902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Waterfall</vt:lpstr>
      <vt:lpstr>Sensitivity</vt:lpstr>
      <vt:lpstr>Return-Solver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2026-04-26T20:33:59Z</dcterms:created>
  <dcterms:modified xsi:type="dcterms:W3CDTF">2026-04-26T20:33:59Z</dcterms:modified>
</cp:coreProperties>
</file>