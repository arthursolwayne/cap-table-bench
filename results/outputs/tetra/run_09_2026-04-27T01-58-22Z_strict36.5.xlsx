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Return-Solver" state="visible" r:id="rId7"/>
    <sheet sheetId="4" name="Sens-Helper" state="visible" r:id="rId8"/>
    <sheet sheetId="5" name="Sensitivity" state="visible" r:id="rId9"/>
    <sheet sheetId="6" name="Solver" state="visible" r:id="rId10"/>
    <sheet sheetId="7" name="Waterfall" state="visible" r:id="rId11"/>
  </sheets>
  <calcPr calcId="171027" fullCalcOnLoad="1"/>
</workbook>
</file>

<file path=xl/sharedStrings.xml><?xml version="1.0" encoding="utf-8"?>
<sst xmlns="http://schemas.openxmlformats.org/spreadsheetml/2006/main" count="729" uniqueCount="260">
  <si>
    <t>Kelvin Dynamics — Series F Assumptions</t>
  </si>
  <si>
    <t>$ in actual dollars; shares in actual count</t>
  </si>
  <si>
    <t>Round Terms</t>
  </si>
  <si>
    <t/>
  </si>
  <si>
    <t>Series F pre-money (USD)</t>
  </si>
  <si>
    <t>Series F primary raise (USD)</t>
  </si>
  <si>
    <t>Series F secondary raise (USD)</t>
  </si>
  <si>
    <t>Tender PPS multiplier</t>
  </si>
  <si>
    <t>ESOP refresh target (% post-F FD)</t>
  </si>
  <si>
    <t>Our fund check (USD)</t>
  </si>
  <si>
    <t>F_LEAD primary check (USD)</t>
  </si>
  <si>
    <t>Option strike (USD)</t>
  </si>
  <si>
    <t>Pre-F Cap Table (shares)</t>
  </si>
  <si>
    <t>Founder F1 (CEO) common</t>
  </si>
  <si>
    <t>Founder F2 (CTO) common</t>
  </si>
  <si>
    <t>Founder F3 (Chief Sci) common</t>
  </si>
  <si>
    <t>Employee RSAs (10 holders)</t>
  </si>
  <si>
    <t>Seed preferred shares</t>
  </si>
  <si>
    <t>Series A preferred shares</t>
  </si>
  <si>
    <t>Series B preferred shares</t>
  </si>
  <si>
    <t>Series C preferred shares</t>
  </si>
  <si>
    <t>Series D preferred shares (post-AD v3)</t>
  </si>
  <si>
    <t>Series E preferred shares</t>
  </si>
  <si>
    <t>Pre-F options issued</t>
  </si>
  <si>
    <t>Pre-F options unissued</t>
  </si>
  <si>
    <t>Pre-F FD total</t>
  </si>
  <si>
    <t>Original Conversion Prices (OCP)</t>
  </si>
  <si>
    <t>Seed OCP</t>
  </si>
  <si>
    <t>Series A OCP</t>
  </si>
  <si>
    <t>Series B OCP</t>
  </si>
  <si>
    <t>Series C OCP</t>
  </si>
  <si>
    <t>Series D OCP (post-E NCP, compound v3·v4)</t>
  </si>
  <si>
    <t>Series E OCP</t>
  </si>
  <si>
    <t>Liquidation Preferences (1x)</t>
  </si>
  <si>
    <t>Seed invested USD</t>
  </si>
  <si>
    <t>Series A invested USD</t>
  </si>
  <si>
    <t>Series B invested USD</t>
  </si>
  <si>
    <t>Series C invested USD</t>
  </si>
  <si>
    <t>Series D invested USD</t>
  </si>
  <si>
    <t>Series E invested USD</t>
  </si>
  <si>
    <t>Series F invested USD (= primary raise)</t>
  </si>
  <si>
    <t>Convertible Notes</t>
  </si>
  <si>
    <t>Note A principal (USD)</t>
  </si>
  <si>
    <t>Note A cap (USD)</t>
  </si>
  <si>
    <t>Note A discount</t>
  </si>
  <si>
    <t>Note B principal (USD)</t>
  </si>
  <si>
    <t>Note B cap (USD)</t>
  </si>
  <si>
    <t>Note B discount</t>
  </si>
  <si>
    <t>Existing pre-F option pool (issued + unissued)</t>
  </si>
  <si>
    <t>Exit Scenarios (USD)</t>
  </si>
  <si>
    <t>Exit 1</t>
  </si>
  <si>
    <t>Exit 2</t>
  </si>
  <si>
    <t>Exit 3 (sensitivity ref)</t>
  </si>
  <si>
    <t>Exit 4</t>
  </si>
  <si>
    <t>Exit 5</t>
  </si>
  <si>
    <t>Sensitivity Axes</t>
  </si>
  <si>
    <t>ESOP refresh - low</t>
  </si>
  <si>
    <t>ESOP refresh - base</t>
  </si>
  <si>
    <t>ESOP refresh - high</t>
  </si>
  <si>
    <t>Pre-money - low (USD)</t>
  </si>
  <si>
    <t>Pre-money - base (USD)</t>
  </si>
  <si>
    <t>Pre-money - high (USD)</t>
  </si>
  <si>
    <t>Return Targets</t>
  </si>
  <si>
    <t>Multiple - 3x</t>
  </si>
  <si>
    <t>Multiple - 4x</t>
  </si>
  <si>
    <t>Founder Ownership of Founder Common</t>
  </si>
  <si>
    <t>F1 % of founder common</t>
  </si>
  <si>
    <t>F2 % of founder common</t>
  </si>
  <si>
    <t>F3 % of founder common</t>
  </si>
  <si>
    <t>Pro-Forma Series F Cap Table</t>
  </si>
  <si>
    <t>Solves F PPS, AD, notes, ESOP simultaneously via fixed-point iteration</t>
  </si>
  <si>
    <t>Solved Round Mechanics</t>
  </si>
  <si>
    <t>Series F PPS (USD)</t>
  </si>
  <si>
    <t>AD-adjusted NCP, Series D</t>
  </si>
  <si>
    <t>AD-adjusted NCP, Series E</t>
  </si>
  <si>
    <t>AD trigger test (Seed)</t>
  </si>
  <si>
    <t>AD trigger test (Series A)</t>
  </si>
  <si>
    <t>AD trigger test (Series B)</t>
  </si>
  <si>
    <t>AD trigger test (Series C)</t>
  </si>
  <si>
    <t>AD trigger test (Series D)</t>
  </si>
  <si>
    <t>AD trigger test (Series E)</t>
  </si>
  <si>
    <t>AD ratio (Series D, new/old)</t>
  </si>
  <si>
    <t>AD ratio (Series E, new/old)</t>
  </si>
  <si>
    <t>AD extra shares — Series D</t>
  </si>
  <si>
    <t>AD extra shares — Series E</t>
  </si>
  <si>
    <t>ESOP top-up shares</t>
  </si>
  <si>
    <t>Note A shares converted</t>
  </si>
  <si>
    <t>Note B shares converted</t>
  </si>
  <si>
    <t>F primary shares</t>
  </si>
  <si>
    <t>Tender shares (founders → F_LEAD)</t>
  </si>
  <si>
    <t>Pre-money FD (denominator for F_PPS)</t>
  </si>
  <si>
    <t>Total post-F FD (T_F)</t>
  </si>
  <si>
    <t>Note Conversion Branches</t>
  </si>
  <si>
    <t>Note A: cap-implied PPS</t>
  </si>
  <si>
    <t>Note A: discount-implied PPS</t>
  </si>
  <si>
    <t>Note A: branch (cap | discount)</t>
  </si>
  <si>
    <t>Note A: conversion PPS</t>
  </si>
  <si>
    <t>Note A: shares</t>
  </si>
  <si>
    <t>Note B: cap-implied PPS</t>
  </si>
  <si>
    <t>Note B: discount-implied PPS</t>
  </si>
  <si>
    <t>Note B: branch</t>
  </si>
  <si>
    <t>Note B: conversion PPS</t>
  </si>
  <si>
    <t>Note B: shares</t>
  </si>
  <si>
    <t>Anti-Dilution Block (broad-based WA)</t>
  </si>
  <si>
    <t>Class</t>
  </si>
  <si>
    <t>OCP</t>
  </si>
  <si>
    <t>Trigger</t>
  </si>
  <si>
    <t>New CP</t>
  </si>
  <si>
    <t>Ratio (new/old)</t>
  </si>
  <si>
    <t>Seed</t>
  </si>
  <si>
    <t>Series A</t>
  </si>
  <si>
    <t>Series B</t>
  </si>
  <si>
    <t>Series C</t>
  </si>
  <si>
    <t>Series D</t>
  </si>
  <si>
    <t>Series E</t>
  </si>
  <si>
    <t>Tender Block (Secondary)</t>
  </si>
  <si>
    <t>Secondary raise (USD)</t>
  </si>
  <si>
    <t>Tender PPS (= 0.85 × F_PPS)</t>
  </si>
  <si>
    <t>Tender shares total</t>
  </si>
  <si>
    <t>F1 tender shares (founder pro rata)</t>
  </si>
  <si>
    <t>F2 tender shares</t>
  </si>
  <si>
    <t>F3 tender shares</t>
  </si>
  <si>
    <t>F_LEAD secondary common holding</t>
  </si>
  <si>
    <t>Post-F Cap Table by Stakeholder</t>
  </si>
  <si>
    <t>Stakeholder</t>
  </si>
  <si>
    <t>Security Class</t>
  </si>
  <si>
    <t>Shares</t>
  </si>
  <si>
    <t>% of FD</t>
  </si>
  <si>
    <t>Notes</t>
  </si>
  <si>
    <t>Founder F1 (CEO)</t>
  </si>
  <si>
    <t>Common</t>
  </si>
  <si>
    <t>post-tender</t>
  </si>
  <si>
    <t>Founder F2 (CTO)</t>
  </si>
  <si>
    <t>Founder F3 (Chief Sci)</t>
  </si>
  <si>
    <t>Employee RSAs</t>
  </si>
  <si>
    <t>Common (RSA)</t>
  </si>
  <si>
    <t>Seed LP</t>
  </si>
  <si>
    <t>Series Seed</t>
  </si>
  <si>
    <t>Series A LP</t>
  </si>
  <si>
    <t>Series B LP</t>
  </si>
  <si>
    <t>Series C LP</t>
  </si>
  <si>
    <t>Series D LP</t>
  </si>
  <si>
    <t>incl. AD top-up</t>
  </si>
  <si>
    <t>Series E LPs (10 holders)</t>
  </si>
  <si>
    <t>Note A holder</t>
  </si>
  <si>
    <t>Common-equiv</t>
  </si>
  <si>
    <t>Note B holder</t>
  </si>
  <si>
    <t>F_LEAD (primary)</t>
  </si>
  <si>
    <t>Series F</t>
  </si>
  <si>
    <t>F_LEAD (secondary common)</t>
  </si>
  <si>
    <t>Our fund (Series F primary)</t>
  </si>
  <si>
    <t>Options (issued)</t>
  </si>
  <si>
    <t>Option pool (unissued + top-up)</t>
  </si>
  <si>
    <t>Options (unissued)</t>
  </si>
  <si>
    <t>Total</t>
  </si>
  <si>
    <t>Check</t>
  </si>
  <si>
    <t>Return-Solver — Required F Ownership for 3x and 4x</t>
  </si>
  <si>
    <t>Per exit, solve for company % needed by our $10M check to hit target multiples</t>
  </si>
  <si>
    <t>Reference Mechanics (base case)</t>
  </si>
  <si>
    <t>F PPS</t>
  </si>
  <si>
    <t>F preference (1x)</t>
  </si>
  <si>
    <t>Our check</t>
  </si>
  <si>
    <t>Exit Scenarios</t>
  </si>
  <si>
    <t>Exit value</t>
  </si>
  <si>
    <t>F election</t>
  </si>
  <si>
    <t>Common per-share value at exit</t>
  </si>
  <si>
    <t>Per-F-share proceeds (pref vs convert)</t>
  </si>
  <si>
    <t>F class total proceeds</t>
  </si>
  <si>
    <t>Required Company Ownership % to hit target</t>
  </si>
  <si>
    <t>Target 3x ($30M)</t>
  </si>
  <si>
    <t>Status (3x)</t>
  </si>
  <si>
    <t>Target 4x ($40M)</t>
  </si>
  <si>
    <t>Status (4x)</t>
  </si>
  <si>
    <t>Implied Required $ Check</t>
  </si>
  <si>
    <t>Required check for 3x ($)</t>
  </si>
  <si>
    <t>Required check for 4x ($)</t>
  </si>
  <si>
    <t>Methodology: Required ownership % = target proceeds ÷ (T_F × per-F-share proceeds at exit).</t>
  </si>
  <si>
    <t>F-converts case: per-F-share = common per-share value (Waterfall row 85). F-prefers case: per-F-share = F PPS (1x preference).</t>
  </si>
  <si>
    <t>Infeasible if target exceeds F class total proceeds or required ownership &gt; 100%.</t>
  </si>
  <si>
    <t>Sensitivity Helpers — 9 Scenario Solvers</t>
  </si>
  <si>
    <t>Each solver re-solves F PPS, AD, notes, ESOP for one (pre, esop) cell</t>
  </si>
  <si>
    <t>Scenario 1: ESOP=11%, Pre=$1.2B</t>
  </si>
  <si>
    <t>ESOP target</t>
  </si>
  <si>
    <t>Pre-money</t>
  </si>
  <si>
    <t>iter</t>
  </si>
  <si>
    <t>F_PPS</t>
  </si>
  <si>
    <t>NCP_D</t>
  </si>
  <si>
    <t>NCP_E</t>
  </si>
  <si>
    <t>AD_D</t>
  </si>
  <si>
    <t>AD_E</t>
  </si>
  <si>
    <t>n_A</t>
  </si>
  <si>
    <t>n_B</t>
  </si>
  <si>
    <t>ESOP_top</t>
  </si>
  <si>
    <t>FD_pre</t>
  </si>
  <si>
    <t>T_F</t>
  </si>
  <si>
    <t>F_PPS_new</t>
  </si>
  <si>
    <t>Note A branch</t>
  </si>
  <si>
    <t>Note B branch</t>
  </si>
  <si>
    <t>Scenario 2: ESOP=11%, Pre=$1.4B</t>
  </si>
  <si>
    <t>Scenario 3: ESOP=11%, Pre=$1.8B</t>
  </si>
  <si>
    <t>Scenario 4: ESOP=13%, Pre=$1.2B</t>
  </si>
  <si>
    <t>Scenario 5: ESOP=13%, Pre=$1.4B</t>
  </si>
  <si>
    <t>Scenario 6: ESOP=13%, Pre=$1.8B</t>
  </si>
  <si>
    <t>Scenario 7: ESOP=15%, Pre=$1.2B</t>
  </si>
  <si>
    <t>Scenario 8: ESOP=15%, Pre=$1.4B</t>
  </si>
  <si>
    <t>Scenario 9: ESOP=15%, Pre=$1.8B</t>
  </si>
  <si>
    <t>Sensitivity — $10M Check at $2B Exit</t>
  </si>
  <si>
    <t>3x3 grid: ESOP refresh × Series F pre-money | per-cell full re-solve</t>
  </si>
  <si>
    <t>Reference: Exit value</t>
  </si>
  <si>
    <t>Reference: Our check</t>
  </si>
  <si>
    <t>Our $10M Post-F Ownership %</t>
  </si>
  <si>
    <t>Pre-money →</t>
  </si>
  <si>
    <t>ESOP ↓</t>
  </si>
  <si>
    <t>Our $10M Proceeds at $2B Exit ($M)</t>
  </si>
  <si>
    <t>Each cell uses Sens-Helper scenarios 1-9 for F PPS, AD, notes, ESOP fixed point.</t>
  </si>
  <si>
    <t>At $2B exit: F=convert, E=convert, D=preference, C=convert, B=convert, A=convert, Seed=convert.</t>
  </si>
  <si>
    <t>Fixed-Point Solver — Base Case</t>
  </si>
  <si>
    <t>Fixed-Point Solver (F_PPS)</t>
  </si>
  <si>
    <t>Iterative refinement of F PPS, AD, notes, ESOP</t>
  </si>
  <si>
    <t>Waterfall — Nash Equilibrium Across 5 Exits</t>
  </si>
  <si>
    <t>Each priced class elects pref or convert; iterated under reverse-chronological seniority</t>
  </si>
  <si>
    <t>Class Inputs</t>
  </si>
  <si>
    <t>Pref ($)</t>
  </si>
  <si>
    <t>Per-share Pref</t>
  </si>
  <si>
    <t>F</t>
  </si>
  <si>
    <t>E</t>
  </si>
  <si>
    <t>D</t>
  </si>
  <si>
    <t>C</t>
  </si>
  <si>
    <t>B</t>
  </si>
  <si>
    <t>A</t>
  </si>
  <si>
    <t>Always-Common Shares</t>
  </si>
  <si>
    <t>Founders + RSAs</t>
  </si>
  <si>
    <t>Note A shares</t>
  </si>
  <si>
    <t>Note B shares</t>
  </si>
  <si>
    <t>Common always (excl options)</t>
  </si>
  <si>
    <t>Issued options (if ITM)</t>
  </si>
  <si>
    <t>Option strike ($)</t>
  </si>
  <si>
    <t>Exit value ($)</t>
  </si>
  <si>
    <t>Pass 1 elections (TRUE=convert)</t>
  </si>
  <si>
    <t>Pass 2 elections (TRUE=convert)</t>
  </si>
  <si>
    <t>Pass 3 elections (TRUE=convert)</t>
  </si>
  <si>
    <t>Pass 4 elections (TRUE=convert)</t>
  </si>
  <si>
    <t>Pass 5 elections (TRUE=convert)</t>
  </si>
  <si>
    <t>Final Elections (35 cells)</t>
  </si>
  <si>
    <t>Proceeds by Class ($M)</t>
  </si>
  <si>
    <t>Σ preferences (non-convert)</t>
  </si>
  <si>
    <t>Σ converting shares</t>
  </si>
  <si>
    <t>Common pool ($)</t>
  </si>
  <si>
    <t>Pool denominator (shares)</t>
  </si>
  <si>
    <t>Options ITM (TRUE/FALSE)</t>
  </si>
  <si>
    <t>Common per-share value ($)</t>
  </si>
  <si>
    <t>F class</t>
  </si>
  <si>
    <t>E class</t>
  </si>
  <si>
    <t>D class</t>
  </si>
  <si>
    <t>C class</t>
  </si>
  <si>
    <t>B class</t>
  </si>
  <si>
    <t>A class</t>
  </si>
  <si>
    <t>Seed class</t>
  </si>
  <si>
    <t>Common + RSAs</t>
  </si>
  <si>
    <t>Issued options (net of strike)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</si>
</sst>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;\-\-_)"/>
    <numFmt numFmtId="165" formatCode="0.0%"/>
    <numFmt numFmtId="166" formatCode="#,##0_);\(#,##0\);\-\-_)"/>
    <numFmt numFmtId="167" formatCode="0.0&quot;x&quot;_);\(0.0&quot;x&quot;\);\-\-_)"/>
    <numFmt numFmtId="168" formatCode="0.0%_);\(0.0%\);\-\-_)"/>
    <numFmt numFmtId="169" formatCode="&quot;$&quot;#,##0,,&quot;M&quot;_)"/>
  </numFmts>
  <fonts count="11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b/>
      <charset val="134"/>
      <color rgb="FF000000"/>
      <family val="1"/>
      <sz val="10"/>
      <name val="Arial"/>
    </font>
    <font>
      <b/>
      <charset val="134"/>
      <color rgb="FF7030A0"/>
      <family val="1"/>
      <sz val="10"/>
      <name val="Arial"/>
    </font>
    <font>
      <charset val="134"/>
      <color rgb="FF00B050"/>
      <family val="1"/>
      <sz val="10"/>
      <name val="Arial"/>
    </font>
    <font>
      <i/>
      <charset val="134"/>
      <color rgb="FF666666"/>
      <family val="1"/>
      <sz val="8"/>
      <name val="Arial"/>
    </font>
    <font>
      <charset val="134"/>
      <color rgb="FF666666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7" fontId="5" fillId="3" borderId="0" xfId="0" applyNumberFormat="1" applyFont="1" applyFill="1" applyAlignment="1">
      <alignment horizontal="right"/>
    </xf>
    <xf numFmtId="168" fontId="4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/>
    </xf>
    <xf numFmtId="164" fontId="8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66" fontId="6" fillId="0" borderId="2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 vertical="center"/>
    </xf>
    <xf numFmtId="169" fontId="6" fillId="4" borderId="0" xfId="0" applyNumberFormat="1" applyFont="1" applyFill="1" applyAlignment="1">
      <alignment horizontal="center"/>
    </xf>
    <xf numFmtId="168" fontId="6" fillId="4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164" fontId="6" fillId="0" borderId="1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9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3" width="16.455" customWidth="1"/>
    <col min="4" max="4" width="1.70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4" x14ac:dyDescent="0.25">
      <c r="B5" s="3" t="s">
        <v>2</v>
      </c>
      <c r="C5" s="4" t="s">
        <v>3</v>
      </c>
      <c r="D5" s="4" t="s">
        <v>3</v>
      </c>
    </row>
    <row r="6" spans="2:3" x14ac:dyDescent="0.25">
      <c r="B6" s="5" t="s">
        <v>4</v>
      </c>
      <c r="C6" s="6">
        <v>1400000000</v>
      </c>
    </row>
    <row r="7" spans="2:3" x14ac:dyDescent="0.25">
      <c r="B7" s="5" t="s">
        <v>5</v>
      </c>
      <c r="C7" s="6">
        <v>30000000</v>
      </c>
    </row>
    <row r="8" spans="2:3" x14ac:dyDescent="0.25">
      <c r="B8" s="5" t="s">
        <v>6</v>
      </c>
      <c r="C8" s="6">
        <v>15000000</v>
      </c>
    </row>
    <row r="9" spans="2:3" x14ac:dyDescent="0.25">
      <c r="B9" s="5" t="s">
        <v>7</v>
      </c>
      <c r="C9" s="7">
        <v>0.85</v>
      </c>
    </row>
    <row r="10" spans="2:3" x14ac:dyDescent="0.25">
      <c r="B10" s="5" t="s">
        <v>8</v>
      </c>
      <c r="C10" s="7">
        <v>0.13</v>
      </c>
    </row>
    <row r="11" spans="2:3" x14ac:dyDescent="0.25">
      <c r="B11" s="5" t="s">
        <v>9</v>
      </c>
      <c r="C11" s="6">
        <v>10000000</v>
      </c>
    </row>
    <row r="12" spans="2:3" x14ac:dyDescent="0.25">
      <c r="B12" s="5" t="s">
        <v>10</v>
      </c>
      <c r="C12" s="6">
        <v>20000000</v>
      </c>
    </row>
    <row r="13" spans="2:3" x14ac:dyDescent="0.25">
      <c r="B13" s="5" t="s">
        <v>11</v>
      </c>
      <c r="C13" s="6">
        <v>1</v>
      </c>
    </row>
    <row r="15" spans="2:4" x14ac:dyDescent="0.25">
      <c r="B15" s="3" t="s">
        <v>12</v>
      </c>
      <c r="C15" s="4" t="s">
        <v>3</v>
      </c>
      <c r="D15" s="4" t="s">
        <v>3</v>
      </c>
    </row>
    <row r="16" spans="2:3" x14ac:dyDescent="0.25">
      <c r="B16" s="5" t="s">
        <v>13</v>
      </c>
      <c r="C16" s="8">
        <v>4000000</v>
      </c>
    </row>
    <row r="17" spans="2:3" x14ac:dyDescent="0.25">
      <c r="B17" s="5" t="s">
        <v>14</v>
      </c>
      <c r="C17" s="8">
        <v>2500000</v>
      </c>
    </row>
    <row r="18" spans="2:3" x14ac:dyDescent="0.25">
      <c r="B18" s="5" t="s">
        <v>15</v>
      </c>
      <c r="C18" s="8">
        <v>1500000</v>
      </c>
    </row>
    <row r="19" spans="2:3" x14ac:dyDescent="0.25">
      <c r="B19" s="5" t="s">
        <v>16</v>
      </c>
      <c r="C19" s="8">
        <v>1000000</v>
      </c>
    </row>
    <row r="20" spans="2:3" x14ac:dyDescent="0.25">
      <c r="B20" s="5" t="s">
        <v>17</v>
      </c>
      <c r="C20" s="8">
        <v>5000000</v>
      </c>
    </row>
    <row r="21" spans="2:3" x14ac:dyDescent="0.25">
      <c r="B21" s="5" t="s">
        <v>18</v>
      </c>
      <c r="C21" s="8">
        <v>5000000</v>
      </c>
    </row>
    <row r="22" spans="2:3" x14ac:dyDescent="0.25">
      <c r="B22" s="5" t="s">
        <v>19</v>
      </c>
      <c r="C22" s="8">
        <v>3000000</v>
      </c>
    </row>
    <row r="23" spans="2:3" x14ac:dyDescent="0.25">
      <c r="B23" s="5" t="s">
        <v>20</v>
      </c>
      <c r="C23" s="8">
        <v>2400000</v>
      </c>
    </row>
    <row r="24" spans="2:3" x14ac:dyDescent="0.25">
      <c r="B24" s="5" t="s">
        <v>21</v>
      </c>
      <c r="C24" s="8">
        <v>1720627</v>
      </c>
    </row>
    <row r="25" spans="2:3" x14ac:dyDescent="0.25">
      <c r="B25" s="5" t="s">
        <v>22</v>
      </c>
      <c r="C25" s="8">
        <v>6102667</v>
      </c>
    </row>
    <row r="26" spans="2:3" x14ac:dyDescent="0.25">
      <c r="B26" s="5" t="s">
        <v>23</v>
      </c>
      <c r="C26" s="8">
        <v>2500000</v>
      </c>
    </row>
    <row r="27" spans="2:3" x14ac:dyDescent="0.25">
      <c r="B27" s="5" t="s">
        <v>24</v>
      </c>
      <c r="C27" s="8">
        <v>1894667</v>
      </c>
    </row>
    <row r="28" spans="2:3" x14ac:dyDescent="0.25">
      <c r="B28" s="9" t="s">
        <v>25</v>
      </c>
      <c r="C28" s="10">
        <f>SUM(C16:C27)</f>
        <v>36617961</v>
      </c>
    </row>
    <row r="30" spans="2:4" x14ac:dyDescent="0.25">
      <c r="B30" s="3" t="s">
        <v>26</v>
      </c>
      <c r="C30" s="4" t="s">
        <v>3</v>
      </c>
      <c r="D30" s="4" t="s">
        <v>3</v>
      </c>
    </row>
    <row r="31" spans="2:3" x14ac:dyDescent="0.25">
      <c r="B31" s="5" t="s">
        <v>27</v>
      </c>
      <c r="C31" s="6">
        <v>1</v>
      </c>
    </row>
    <row r="32" spans="2:3" x14ac:dyDescent="0.25">
      <c r="B32" s="5" t="s">
        <v>28</v>
      </c>
      <c r="C32" s="6">
        <v>3</v>
      </c>
    </row>
    <row r="33" spans="2:3" x14ac:dyDescent="0.25">
      <c r="B33" s="5" t="s">
        <v>29</v>
      </c>
      <c r="C33" s="6">
        <v>10</v>
      </c>
    </row>
    <row r="34" spans="2:3" x14ac:dyDescent="0.25">
      <c r="B34" s="5" t="s">
        <v>30</v>
      </c>
      <c r="C34" s="6">
        <v>25</v>
      </c>
    </row>
    <row r="35" spans="2:3" x14ac:dyDescent="0.25">
      <c r="B35" s="5" t="s">
        <v>31</v>
      </c>
      <c r="C35" s="6">
        <v>58.118347</v>
      </c>
    </row>
    <row r="36" spans="2:3" x14ac:dyDescent="0.25">
      <c r="B36" s="5" t="s">
        <v>32</v>
      </c>
      <c r="C36" s="6">
        <v>49.158311</v>
      </c>
    </row>
    <row r="38" spans="2:4" x14ac:dyDescent="0.25">
      <c r="B38" s="3" t="s">
        <v>33</v>
      </c>
      <c r="C38" s="4" t="s">
        <v>3</v>
      </c>
      <c r="D38" s="4" t="s">
        <v>3</v>
      </c>
    </row>
    <row r="39" spans="2:3" x14ac:dyDescent="0.25">
      <c r="B39" s="5" t="s">
        <v>34</v>
      </c>
      <c r="C39" s="6">
        <v>5000000</v>
      </c>
    </row>
    <row r="40" spans="2:3" x14ac:dyDescent="0.25">
      <c r="B40" s="5" t="s">
        <v>35</v>
      </c>
      <c r="C40" s="6">
        <v>15000000</v>
      </c>
    </row>
    <row r="41" spans="2:3" x14ac:dyDescent="0.25">
      <c r="B41" s="5" t="s">
        <v>36</v>
      </c>
      <c r="C41" s="6">
        <v>30000000</v>
      </c>
    </row>
    <row r="42" spans="2:3" x14ac:dyDescent="0.25">
      <c r="B42" s="5" t="s">
        <v>37</v>
      </c>
      <c r="C42" s="6">
        <v>60000000</v>
      </c>
    </row>
    <row r="43" spans="2:3" x14ac:dyDescent="0.25">
      <c r="B43" s="5" t="s">
        <v>38</v>
      </c>
      <c r="C43" s="6">
        <v>100000000</v>
      </c>
    </row>
    <row r="44" spans="2:3" x14ac:dyDescent="0.25">
      <c r="B44" s="5" t="s">
        <v>39</v>
      </c>
      <c r="C44" s="6">
        <v>300000000</v>
      </c>
    </row>
    <row r="45" spans="2:3" x14ac:dyDescent="0.25">
      <c r="B45" s="5" t="s">
        <v>40</v>
      </c>
      <c r="C45" s="11">
        <f>C7</f>
        <v>30000000</v>
      </c>
    </row>
    <row r="47" spans="2:4" x14ac:dyDescent="0.25">
      <c r="B47" s="3" t="s">
        <v>41</v>
      </c>
      <c r="C47" s="4" t="s">
        <v>3</v>
      </c>
      <c r="D47" s="4" t="s">
        <v>3</v>
      </c>
    </row>
    <row r="48" spans="2:3" x14ac:dyDescent="0.25">
      <c r="B48" s="5" t="s">
        <v>42</v>
      </c>
      <c r="C48" s="6">
        <v>5000000</v>
      </c>
    </row>
    <row r="49" spans="2:3" x14ac:dyDescent="0.25">
      <c r="B49" s="5" t="s">
        <v>43</v>
      </c>
      <c r="C49" s="6">
        <v>1000000000</v>
      </c>
    </row>
    <row r="50" spans="2:3" x14ac:dyDescent="0.25">
      <c r="B50" s="5" t="s">
        <v>44</v>
      </c>
      <c r="C50" s="7">
        <v>0.2</v>
      </c>
    </row>
    <row r="51" spans="2:3" x14ac:dyDescent="0.25">
      <c r="B51" s="5" t="s">
        <v>45</v>
      </c>
      <c r="C51" s="6">
        <v>3000000</v>
      </c>
    </row>
    <row r="52" spans="2:3" x14ac:dyDescent="0.25">
      <c r="B52" s="5" t="s">
        <v>46</v>
      </c>
      <c r="C52" s="6">
        <v>1600000000</v>
      </c>
    </row>
    <row r="53" spans="2:3" x14ac:dyDescent="0.25">
      <c r="B53" s="5" t="s">
        <v>47</v>
      </c>
      <c r="C53" s="7">
        <v>0.15</v>
      </c>
    </row>
    <row r="55" spans="2:3" x14ac:dyDescent="0.25">
      <c r="B55" s="5" t="s">
        <v>48</v>
      </c>
      <c r="C55" s="10">
        <f>C26+C27</f>
        <v>4394667</v>
      </c>
    </row>
    <row r="57" spans="2:4" x14ac:dyDescent="0.25">
      <c r="B57" s="3" t="s">
        <v>49</v>
      </c>
      <c r="C57" s="4" t="s">
        <v>3</v>
      </c>
      <c r="D57" s="4" t="s">
        <v>3</v>
      </c>
    </row>
    <row r="58" spans="2:3" x14ac:dyDescent="0.25">
      <c r="B58" s="5" t="s">
        <v>50</v>
      </c>
      <c r="C58" s="6">
        <v>700000000</v>
      </c>
    </row>
    <row r="59" spans="2:3" x14ac:dyDescent="0.25">
      <c r="B59" s="5" t="s">
        <v>51</v>
      </c>
      <c r="C59" s="6">
        <v>1200000000</v>
      </c>
    </row>
    <row r="60" spans="2:3" x14ac:dyDescent="0.25">
      <c r="B60" s="5" t="s">
        <v>52</v>
      </c>
      <c r="C60" s="6">
        <v>2000000000</v>
      </c>
    </row>
    <row r="61" spans="2:3" x14ac:dyDescent="0.25">
      <c r="B61" s="5" t="s">
        <v>53</v>
      </c>
      <c r="C61" s="6">
        <v>4000000000</v>
      </c>
    </row>
    <row r="62" spans="2:3" x14ac:dyDescent="0.25">
      <c r="B62" s="5" t="s">
        <v>54</v>
      </c>
      <c r="C62" s="6">
        <v>8000000000</v>
      </c>
    </row>
    <row r="64" spans="2:4" x14ac:dyDescent="0.25">
      <c r="B64" s="3" t="s">
        <v>55</v>
      </c>
      <c r="C64" s="4" t="s">
        <v>3</v>
      </c>
      <c r="D64" s="4" t="s">
        <v>3</v>
      </c>
    </row>
    <row r="65" spans="2:3" x14ac:dyDescent="0.25">
      <c r="B65" s="5" t="s">
        <v>56</v>
      </c>
      <c r="C65" s="7">
        <v>0.11</v>
      </c>
    </row>
    <row r="66" spans="2:3" x14ac:dyDescent="0.25">
      <c r="B66" s="5" t="s">
        <v>57</v>
      </c>
      <c r="C66" s="7">
        <v>0.13</v>
      </c>
    </row>
    <row r="67" spans="2:3" x14ac:dyDescent="0.25">
      <c r="B67" s="5" t="s">
        <v>58</v>
      </c>
      <c r="C67" s="7">
        <v>0.15</v>
      </c>
    </row>
    <row r="68" spans="2:3" x14ac:dyDescent="0.25">
      <c r="B68" s="5" t="s">
        <v>59</v>
      </c>
      <c r="C68" s="6">
        <v>1200000000</v>
      </c>
    </row>
    <row r="69" spans="2:3" x14ac:dyDescent="0.25">
      <c r="B69" s="5" t="s">
        <v>60</v>
      </c>
      <c r="C69" s="6">
        <v>1400000000</v>
      </c>
    </row>
    <row r="70" spans="2:3" x14ac:dyDescent="0.25">
      <c r="B70" s="5" t="s">
        <v>61</v>
      </c>
      <c r="C70" s="6">
        <v>1800000000</v>
      </c>
    </row>
    <row r="72" spans="2:4" x14ac:dyDescent="0.25">
      <c r="B72" s="3" t="s">
        <v>62</v>
      </c>
      <c r="C72" s="4" t="s">
        <v>3</v>
      </c>
      <c r="D72" s="4" t="s">
        <v>3</v>
      </c>
    </row>
    <row r="73" spans="2:3" x14ac:dyDescent="0.25">
      <c r="B73" s="5" t="s">
        <v>63</v>
      </c>
      <c r="C73" s="12">
        <v>3</v>
      </c>
    </row>
    <row r="74" spans="2:3" x14ac:dyDescent="0.25">
      <c r="B74" s="5" t="s">
        <v>64</v>
      </c>
      <c r="C74" s="12">
        <v>4</v>
      </c>
    </row>
    <row r="76" spans="2:4" x14ac:dyDescent="0.25">
      <c r="B76" s="3" t="s">
        <v>65</v>
      </c>
      <c r="C76" s="4" t="s">
        <v>3</v>
      </c>
      <c r="D76" s="4" t="s">
        <v>3</v>
      </c>
    </row>
    <row r="77" spans="2:3" x14ac:dyDescent="0.25">
      <c r="B77" s="5" t="s">
        <v>66</v>
      </c>
      <c r="C77" s="13">
        <f>C16/(C16+C17+C18)</f>
        <v>0.5</v>
      </c>
    </row>
    <row r="78" spans="2:3" x14ac:dyDescent="0.25">
      <c r="B78" s="5" t="s">
        <v>67</v>
      </c>
      <c r="C78" s="13">
        <f>C17/(C16+C17+C18)</f>
        <v>0.3125</v>
      </c>
    </row>
    <row r="79" spans="2:3" x14ac:dyDescent="0.25">
      <c r="B79" s="5" t="s">
        <v>68</v>
      </c>
      <c r="C79" s="13">
        <f>C18/(C16+C17+C18)</f>
        <v>0.1875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9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3" width="16.455" customWidth="1"/>
    <col min="4" max="6" width="13.955" customWidth="1"/>
  </cols>
  <sheetData>
    <row r="2" ht="18" customHeight="1" spans="2:2" x14ac:dyDescent="0.25">
      <c r="B2" s="1" t="s">
        <v>69</v>
      </c>
    </row>
    <row r="3" spans="2:2" x14ac:dyDescent="0.25">
      <c r="B3" s="2" t="s">
        <v>70</v>
      </c>
    </row>
    <row r="5" spans="2:6" x14ac:dyDescent="0.25">
      <c r="B5" s="3" t="s">
        <v>71</v>
      </c>
      <c r="C5" s="4" t="s">
        <v>3</v>
      </c>
      <c r="D5" s="4" t="s">
        <v>3</v>
      </c>
      <c r="E5" s="4" t="s">
        <v>3</v>
      </c>
      <c r="F5" s="4" t="s">
        <v>3</v>
      </c>
    </row>
    <row r="6" spans="2:3" x14ac:dyDescent="0.25">
      <c r="B6" s="9" t="s">
        <v>72</v>
      </c>
      <c r="C6" s="14">
        <f>Solver!R28</f>
        <v>37.299760719148644</v>
      </c>
    </row>
    <row r="7" spans="2:3" x14ac:dyDescent="0.25">
      <c r="B7" s="5" t="s">
        <v>73</v>
      </c>
      <c r="C7" s="11">
        <f>Solver!I28</f>
        <v>57.67090527390144</v>
      </c>
    </row>
    <row r="8" spans="2:3" x14ac:dyDescent="0.25">
      <c r="B8" s="5" t="s">
        <v>74</v>
      </c>
      <c r="C8" s="11">
        <f>Solver!J28</f>
        <v>48.903442098955985</v>
      </c>
    </row>
    <row r="9" spans="2:3" x14ac:dyDescent="0.25">
      <c r="B9" s="5" t="s">
        <v>75</v>
      </c>
      <c r="C9" s="10" t="str">
        <f>IF(C6&lt;Assumptions!C31,"trigger","dormant")</f>
        <v>dormant</v>
      </c>
    </row>
    <row r="10" spans="2:3" x14ac:dyDescent="0.25">
      <c r="B10" s="5" t="s">
        <v>76</v>
      </c>
      <c r="C10" s="10" t="str">
        <f>IF(C6&lt;Assumptions!C32,"trigger","dormant")</f>
        <v>dormant</v>
      </c>
    </row>
    <row r="11" spans="2:3" x14ac:dyDescent="0.25">
      <c r="B11" s="5" t="s">
        <v>77</v>
      </c>
      <c r="C11" s="10" t="str">
        <f>IF(C6&lt;Assumptions!C33,"trigger","dormant")</f>
        <v>dormant</v>
      </c>
    </row>
    <row r="12" spans="2:3" x14ac:dyDescent="0.25">
      <c r="B12" s="5" t="s">
        <v>78</v>
      </c>
      <c r="C12" s="10" t="str">
        <f>IF(C6&lt;Assumptions!C34,"trigger","dormant")</f>
        <v>dormant</v>
      </c>
    </row>
    <row r="13" spans="2:3" x14ac:dyDescent="0.25">
      <c r="B13" s="5" t="s">
        <v>79</v>
      </c>
      <c r="C13" s="10" t="str">
        <f>IF(C6&lt;Assumptions!C35,"trigger","dormant")</f>
        <v>trigger</v>
      </c>
    </row>
    <row r="14" spans="2:3" x14ac:dyDescent="0.25">
      <c r="B14" s="5" t="s">
        <v>80</v>
      </c>
      <c r="C14" s="10" t="str">
        <f>IF(C6&lt;Assumptions!C36,"trigger","dormant")</f>
        <v>trigger</v>
      </c>
    </row>
    <row r="15" spans="2:3" x14ac:dyDescent="0.25">
      <c r="B15" s="5" t="s">
        <v>81</v>
      </c>
      <c r="C15" s="15">
        <f>Assumptions!C35/Solver!I28</f>
        <v>1.0077585348101177</v>
      </c>
    </row>
    <row r="16" spans="2:3" x14ac:dyDescent="0.25">
      <c r="B16" s="5" t="s">
        <v>82</v>
      </c>
      <c r="C16" s="15">
        <f>Assumptions!C36/Solver!J28</f>
        <v>1.005211676113274</v>
      </c>
    </row>
    <row r="17" spans="2:3" x14ac:dyDescent="0.25">
      <c r="B17" s="5" t="s">
        <v>83</v>
      </c>
      <c r="C17" s="10">
        <f>Solver!K28</f>
        <v>13349.544474728387</v>
      </c>
    </row>
    <row r="18" spans="2:3" x14ac:dyDescent="0.25">
      <c r="B18" s="5" t="s">
        <v>84</v>
      </c>
      <c r="C18" s="10">
        <f>Solver!L28</f>
        <v>31805.123831165503</v>
      </c>
    </row>
    <row r="19" spans="2:3" x14ac:dyDescent="0.25">
      <c r="B19" s="5" t="s">
        <v>85</v>
      </c>
      <c r="C19" s="10">
        <f>Solver!O28</f>
        <v>589279.1813105989</v>
      </c>
    </row>
    <row r="20" spans="2:3" x14ac:dyDescent="0.25">
      <c r="B20" s="5" t="s">
        <v>86</v>
      </c>
      <c r="C20" s="10">
        <f>Solver!M28</f>
        <v>186735.08877973875</v>
      </c>
    </row>
    <row r="21" spans="2:3" x14ac:dyDescent="0.25">
      <c r="B21" s="5" t="s">
        <v>87</v>
      </c>
      <c r="C21" s="10">
        <f>Solver!N28</f>
        <v>94622.90633124577</v>
      </c>
    </row>
    <row r="22" spans="2:3" x14ac:dyDescent="0.25">
      <c r="B22" s="5" t="s">
        <v>88</v>
      </c>
      <c r="C22" s="10">
        <f>Assumptions!C7/C6</f>
        <v>804294.703815589</v>
      </c>
    </row>
    <row r="23" spans="2:3" x14ac:dyDescent="0.25">
      <c r="B23" s="5" t="s">
        <v>89</v>
      </c>
      <c r="C23" s="10">
        <f>Assumptions!C8/(Assumptions!C9*C6)</f>
        <v>473114.5316562288</v>
      </c>
    </row>
    <row r="24" spans="2:3" x14ac:dyDescent="0.25">
      <c r="B24" s="9" t="s">
        <v>90</v>
      </c>
      <c r="C24" s="10">
        <f>Solver!P28</f>
        <v>37533752.84472749</v>
      </c>
    </row>
    <row r="25" spans="2:3" x14ac:dyDescent="0.25">
      <c r="B25" s="9" t="s">
        <v>91</v>
      </c>
      <c r="C25" s="10">
        <f>Solver!Q28</f>
        <v>38338047.54854308</v>
      </c>
    </row>
    <row r="27" spans="2:6" x14ac:dyDescent="0.25">
      <c r="B27" s="3" t="s">
        <v>92</v>
      </c>
      <c r="C27" s="4" t="s">
        <v>3</v>
      </c>
      <c r="D27" s="4" t="s">
        <v>3</v>
      </c>
      <c r="E27" s="4" t="s">
        <v>3</v>
      </c>
      <c r="F27" s="4" t="s">
        <v>3</v>
      </c>
    </row>
    <row r="28" spans="2:3" x14ac:dyDescent="0.25">
      <c r="B28" s="5" t="s">
        <v>93</v>
      </c>
      <c r="C28" s="11">
        <f>Assumptions!C49/(Assumptions!C28+Solver!O28+Solver!K28+Solver!L28+Solver!N28)</f>
        <v>26.775899659103132</v>
      </c>
    </row>
    <row r="29" spans="2:3" x14ac:dyDescent="0.25">
      <c r="B29" s="5" t="s">
        <v>94</v>
      </c>
      <c r="C29" s="11">
        <f>C6*(1-Assumptions!C50)</f>
        <v>29.839808575318916</v>
      </c>
    </row>
    <row r="30" spans="2:3" x14ac:dyDescent="0.25">
      <c r="B30" s="5" t="s">
        <v>95</v>
      </c>
      <c r="C30" s="10" t="str">
        <f>IF(C28&lt;C29,"cap","discount")</f>
        <v>cap</v>
      </c>
    </row>
    <row r="31" spans="2:3" x14ac:dyDescent="0.25">
      <c r="B31" s="5" t="s">
        <v>96</v>
      </c>
      <c r="C31" s="11">
        <f>MIN(C28,C29)</f>
        <v>26.775899659103132</v>
      </c>
    </row>
    <row r="32" spans="2:3" x14ac:dyDescent="0.25">
      <c r="B32" s="5" t="s">
        <v>97</v>
      </c>
      <c r="C32" s="10">
        <f>Assumptions!C48/C31</f>
        <v>186735.08877973875</v>
      </c>
    </row>
    <row r="33" spans="2:3" x14ac:dyDescent="0.25">
      <c r="B33" s="5" t="s">
        <v>98</v>
      </c>
      <c r="C33" s="11">
        <f>Assumptions!C52/(Assumptions!C28+Solver!O28+Solver!K28+Solver!L28+Solver!M28)</f>
        <v>42.73603587029668</v>
      </c>
    </row>
    <row r="34" spans="2:3" x14ac:dyDescent="0.25">
      <c r="B34" s="5" t="s">
        <v>99</v>
      </c>
      <c r="C34" s="11">
        <f>C6*(1-Assumptions!C53)</f>
        <v>31.704796611276347</v>
      </c>
    </row>
    <row r="35" spans="2:3" x14ac:dyDescent="0.25">
      <c r="B35" s="5" t="s">
        <v>100</v>
      </c>
      <c r="C35" s="10" t="str">
        <f>IF(C33&lt;C34,"cap","discount")</f>
        <v>discount</v>
      </c>
    </row>
    <row r="36" spans="2:3" x14ac:dyDescent="0.25">
      <c r="B36" s="5" t="s">
        <v>101</v>
      </c>
      <c r="C36" s="11">
        <f>MIN(C33,C34)</f>
        <v>31.704796611276347</v>
      </c>
    </row>
    <row r="37" spans="2:3" x14ac:dyDescent="0.25">
      <c r="B37" s="5" t="s">
        <v>102</v>
      </c>
      <c r="C37" s="10">
        <f>Assumptions!C51/C36</f>
        <v>94622.90633124577</v>
      </c>
    </row>
    <row r="39" spans="2:6" x14ac:dyDescent="0.25">
      <c r="B39" s="3" t="s">
        <v>103</v>
      </c>
      <c r="C39" s="4" t="s">
        <v>3</v>
      </c>
      <c r="D39" s="4" t="s">
        <v>3</v>
      </c>
      <c r="E39" s="4" t="s">
        <v>3</v>
      </c>
      <c r="F39" s="4" t="s">
        <v>3</v>
      </c>
    </row>
    <row r="40" spans="2:6" x14ac:dyDescent="0.25">
      <c r="B40" s="16" t="s">
        <v>104</v>
      </c>
      <c r="C40" s="16" t="s">
        <v>105</v>
      </c>
      <c r="D40" s="16" t="s">
        <v>106</v>
      </c>
      <c r="E40" s="16" t="s">
        <v>107</v>
      </c>
      <c r="F40" s="16" t="s">
        <v>108</v>
      </c>
    </row>
    <row r="41" spans="2:6" x14ac:dyDescent="0.25">
      <c r="B41" s="5" t="s">
        <v>109</v>
      </c>
      <c r="C41" s="11">
        <f>Assumptions!C31</f>
        <v>1</v>
      </c>
      <c r="D41" s="10" t="str">
        <f>IF(C6&lt;Assumptions!C31,"trigger","dormant")</f>
        <v>dormant</v>
      </c>
      <c r="E41" s="11">
        <f>IF(D41="dormant",C41,Assumptions!C31*(Assumptions!C28+Assumptions!C7/Assumptions!C31)/(Assumptions!C28+Assumptions!C7/C6))</f>
        <v>1</v>
      </c>
      <c r="F41" s="15">
        <f>C41/E41</f>
        <v>1</v>
      </c>
    </row>
    <row r="42" spans="2:6" x14ac:dyDescent="0.25">
      <c r="B42" s="5" t="s">
        <v>110</v>
      </c>
      <c r="C42" s="11">
        <f>Assumptions!C32</f>
        <v>3</v>
      </c>
      <c r="D42" s="10" t="str">
        <f>IF(C6&lt;Assumptions!C32,"trigger","dormant")</f>
        <v>dormant</v>
      </c>
      <c r="E42" s="11">
        <f>IF(D42="dormant",C42,Assumptions!C32*(Assumptions!C28+Assumptions!C7/Assumptions!C32)/(Assumptions!C28+Assumptions!C7/C6))</f>
        <v>3</v>
      </c>
      <c r="F42" s="15">
        <f>C42/E42</f>
        <v>1</v>
      </c>
    </row>
    <row r="43" spans="2:6" x14ac:dyDescent="0.25">
      <c r="B43" s="5" t="s">
        <v>111</v>
      </c>
      <c r="C43" s="11">
        <f>Assumptions!C33</f>
        <v>10</v>
      </c>
      <c r="D43" s="10" t="str">
        <f>IF(C6&lt;Assumptions!C33,"trigger","dormant")</f>
        <v>dormant</v>
      </c>
      <c r="E43" s="11">
        <f>IF(D43="dormant",C43,Assumptions!C33*(Assumptions!C28+Assumptions!C7/Assumptions!C33)/(Assumptions!C28+Assumptions!C7/C6))</f>
        <v>10</v>
      </c>
      <c r="F43" s="15">
        <f>C43/E43</f>
        <v>1</v>
      </c>
    </row>
    <row r="44" spans="2:6" x14ac:dyDescent="0.25">
      <c r="B44" s="5" t="s">
        <v>112</v>
      </c>
      <c r="C44" s="11">
        <f>Assumptions!C34</f>
        <v>25</v>
      </c>
      <c r="D44" s="10" t="str">
        <f>IF(C6&lt;Assumptions!C34,"trigger","dormant")</f>
        <v>dormant</v>
      </c>
      <c r="E44" s="11">
        <f>IF(D44="dormant",C44,Assumptions!C34*(Assumptions!C28+Assumptions!C7/Assumptions!C34)/(Assumptions!C28+Assumptions!C7/C6))</f>
        <v>25</v>
      </c>
      <c r="F44" s="15">
        <f>C44/E44</f>
        <v>1</v>
      </c>
    </row>
    <row r="45" spans="2:6" x14ac:dyDescent="0.25">
      <c r="B45" s="5" t="s">
        <v>113</v>
      </c>
      <c r="C45" s="11">
        <f>Assumptions!C35</f>
        <v>58.118347</v>
      </c>
      <c r="D45" s="10" t="str">
        <f>IF(C6&lt;Assumptions!C35,"trigger","dormant")</f>
        <v>trigger</v>
      </c>
      <c r="E45" s="11">
        <f>Solver!I28</f>
        <v>57.67090527390144</v>
      </c>
      <c r="F45" s="15">
        <f>C45/E45</f>
        <v>1.0077585348101177</v>
      </c>
    </row>
    <row r="46" spans="2:6" x14ac:dyDescent="0.25">
      <c r="B46" s="5" t="s">
        <v>114</v>
      </c>
      <c r="C46" s="11">
        <f>Assumptions!C36</f>
        <v>49.158311</v>
      </c>
      <c r="D46" s="10" t="str">
        <f>IF(C6&lt;Assumptions!C36,"trigger","dormant")</f>
        <v>trigger</v>
      </c>
      <c r="E46" s="11">
        <f>Solver!J28</f>
        <v>48.903442098955985</v>
      </c>
      <c r="F46" s="15">
        <f>C46/E46</f>
        <v>1.005211676113274</v>
      </c>
    </row>
    <row r="49" spans="2:6" x14ac:dyDescent="0.25">
      <c r="B49" s="3" t="s">
        <v>115</v>
      </c>
      <c r="C49" s="4" t="s">
        <v>3</v>
      </c>
      <c r="D49" s="4" t="s">
        <v>3</v>
      </c>
      <c r="E49" s="4" t="s">
        <v>3</v>
      </c>
      <c r="F49" s="4" t="s">
        <v>3</v>
      </c>
    </row>
    <row r="50" spans="2:3" x14ac:dyDescent="0.25">
      <c r="B50" s="5" t="s">
        <v>116</v>
      </c>
      <c r="C50" s="17">
        <f>Assumptions!C8</f>
        <v>15000000</v>
      </c>
    </row>
    <row r="51" spans="2:3" x14ac:dyDescent="0.25">
      <c r="B51" s="5" t="s">
        <v>117</v>
      </c>
      <c r="C51" s="11">
        <f>Assumptions!C9*C6</f>
        <v>31.704796611276347</v>
      </c>
    </row>
    <row r="52" spans="2:3" x14ac:dyDescent="0.25">
      <c r="B52" s="5" t="s">
        <v>118</v>
      </c>
      <c r="C52" s="10">
        <f>C23</f>
        <v>473114.5316562288</v>
      </c>
    </row>
    <row r="53" spans="2:3" x14ac:dyDescent="0.25">
      <c r="B53" s="5" t="s">
        <v>119</v>
      </c>
      <c r="C53" s="10">
        <f>C52*Assumptions!C77</f>
        <v>236557.2658281144</v>
      </c>
    </row>
    <row r="54" spans="2:3" x14ac:dyDescent="0.25">
      <c r="B54" s="5" t="s">
        <v>120</v>
      </c>
      <c r="C54" s="10">
        <f>C52*Assumptions!C78</f>
        <v>147848.2911425715</v>
      </c>
    </row>
    <row r="55" spans="2:3" x14ac:dyDescent="0.25">
      <c r="B55" s="5" t="s">
        <v>121</v>
      </c>
      <c r="C55" s="10">
        <f>C52*Assumptions!C79</f>
        <v>88708.9746855429</v>
      </c>
    </row>
    <row r="56" spans="2:3" x14ac:dyDescent="0.25">
      <c r="B56" s="5" t="s">
        <v>122</v>
      </c>
      <c r="C56" s="10">
        <f>C52</f>
        <v>473114.5316562288</v>
      </c>
    </row>
    <row r="59" spans="2:6" x14ac:dyDescent="0.25">
      <c r="B59" s="3" t="s">
        <v>123</v>
      </c>
      <c r="C59" s="4" t="s">
        <v>3</v>
      </c>
      <c r="D59" s="4" t="s">
        <v>3</v>
      </c>
      <c r="E59" s="4" t="s">
        <v>3</v>
      </c>
      <c r="F59" s="4" t="s">
        <v>3</v>
      </c>
    </row>
    <row r="60" spans="2:6" x14ac:dyDescent="0.25">
      <c r="B60" s="16" t="s">
        <v>124</v>
      </c>
      <c r="C60" s="16" t="s">
        <v>125</v>
      </c>
      <c r="D60" s="16" t="s">
        <v>126</v>
      </c>
      <c r="E60" s="16" t="s">
        <v>127</v>
      </c>
      <c r="F60" s="16" t="s">
        <v>128</v>
      </c>
    </row>
    <row r="61" spans="2:6" x14ac:dyDescent="0.25">
      <c r="B61" s="5" t="s">
        <v>129</v>
      </c>
      <c r="C61" s="5" t="s">
        <v>130</v>
      </c>
      <c r="D61" s="10">
        <f>Assumptions!C16-C53</f>
        <v>3763442.7341718855</v>
      </c>
      <c r="E61" s="13">
        <f>D61/C25</f>
        <v>0.09816469473065025</v>
      </c>
      <c r="F61" s="18" t="s">
        <v>131</v>
      </c>
    </row>
    <row r="62" spans="2:5" x14ac:dyDescent="0.25">
      <c r="B62" s="5" t="s">
        <v>132</v>
      </c>
      <c r="C62" s="5" t="s">
        <v>130</v>
      </c>
      <c r="D62" s="10">
        <f>Assumptions!C17-C54</f>
        <v>2352151.7088574283</v>
      </c>
      <c r="E62" s="13">
        <f>D62/C25</f>
        <v>0.0613529342066564</v>
      </c>
    </row>
    <row r="63" spans="2:5" x14ac:dyDescent="0.25">
      <c r="B63" s="5" t="s">
        <v>133</v>
      </c>
      <c r="C63" s="5" t="s">
        <v>130</v>
      </c>
      <c r="D63" s="10">
        <f>Assumptions!C18-C55</f>
        <v>1411291.025314457</v>
      </c>
      <c r="E63" s="13">
        <f>D63/C25</f>
        <v>0.03681176052399384</v>
      </c>
    </row>
    <row r="64" spans="2:5" x14ac:dyDescent="0.25">
      <c r="B64" s="5" t="s">
        <v>134</v>
      </c>
      <c r="C64" s="5" t="s">
        <v>135</v>
      </c>
      <c r="D64" s="10">
        <f>Assumptions!C19</f>
        <v>1000000</v>
      </c>
      <c r="E64" s="13">
        <f>D64/C25</f>
        <v>0.0260837487546494</v>
      </c>
    </row>
    <row r="65" spans="2:5" x14ac:dyDescent="0.25">
      <c r="B65" s="5" t="s">
        <v>136</v>
      </c>
      <c r="C65" s="5" t="s">
        <v>137</v>
      </c>
      <c r="D65" s="10">
        <f>Assumptions!C20</f>
        <v>5000000</v>
      </c>
      <c r="E65" s="13">
        <f>D65/C25</f>
        <v>0.130418743773247</v>
      </c>
    </row>
    <row r="66" spans="2:5" x14ac:dyDescent="0.25">
      <c r="B66" s="5" t="s">
        <v>138</v>
      </c>
      <c r="C66" s="5" t="s">
        <v>110</v>
      </c>
      <c r="D66" s="10">
        <f>Assumptions!C21</f>
        <v>5000000</v>
      </c>
      <c r="E66" s="13">
        <f>D66/C25</f>
        <v>0.130418743773247</v>
      </c>
    </row>
    <row r="67" spans="2:5" x14ac:dyDescent="0.25">
      <c r="B67" s="5" t="s">
        <v>139</v>
      </c>
      <c r="C67" s="5" t="s">
        <v>111</v>
      </c>
      <c r="D67" s="10">
        <f>Assumptions!C22</f>
        <v>3000000</v>
      </c>
      <c r="E67" s="13">
        <f>D67/C25</f>
        <v>0.0782512462639482</v>
      </c>
    </row>
    <row r="68" spans="2:5" x14ac:dyDescent="0.25">
      <c r="B68" s="5" t="s">
        <v>140</v>
      </c>
      <c r="C68" s="5" t="s">
        <v>112</v>
      </c>
      <c r="D68" s="10">
        <f>Assumptions!C23</f>
        <v>2400000</v>
      </c>
      <c r="E68" s="13">
        <f>D68/C25</f>
        <v>0.06260099701115855</v>
      </c>
    </row>
    <row r="69" spans="2:6" x14ac:dyDescent="0.25">
      <c r="B69" s="5" t="s">
        <v>141</v>
      </c>
      <c r="C69" s="5" t="s">
        <v>113</v>
      </c>
      <c r="D69" s="10">
        <f>Assumptions!C24+C17</f>
        <v>1733976.5444747284</v>
      </c>
      <c r="E69" s="13">
        <f>D69/C25</f>
        <v>0.045228608532533965</v>
      </c>
      <c r="F69" s="18" t="s">
        <v>142</v>
      </c>
    </row>
    <row r="70" spans="2:6" x14ac:dyDescent="0.25">
      <c r="B70" s="5" t="s">
        <v>143</v>
      </c>
      <c r="C70" s="5" t="s">
        <v>114</v>
      </c>
      <c r="D70" s="10">
        <f>Assumptions!C25+C18</f>
        <v>6134472.123831166</v>
      </c>
      <c r="E70" s="13">
        <f>D70/C25</f>
        <v>0.16001002962041264</v>
      </c>
      <c r="F70" s="18" t="s">
        <v>142</v>
      </c>
    </row>
    <row r="71" spans="2:5" x14ac:dyDescent="0.25">
      <c r="B71" s="5" t="s">
        <v>144</v>
      </c>
      <c r="C71" s="5" t="s">
        <v>145</v>
      </c>
      <c r="D71" s="10">
        <f>C32</f>
        <v>186735.08877973875</v>
      </c>
      <c r="E71" s="13">
        <f>D71/C25</f>
        <v>0.0048707511394078555</v>
      </c>
    </row>
    <row r="72" spans="2:5" x14ac:dyDescent="0.25">
      <c r="B72" s="5" t="s">
        <v>146</v>
      </c>
      <c r="C72" s="5" t="s">
        <v>145</v>
      </c>
      <c r="D72" s="10">
        <f>C37</f>
        <v>94622.90633124577</v>
      </c>
      <c r="E72" s="13">
        <f>D72/C25</f>
        <v>0.0024681201151789387</v>
      </c>
    </row>
    <row r="73" spans="2:5" x14ac:dyDescent="0.25">
      <c r="B73" s="5" t="s">
        <v>147</v>
      </c>
      <c r="C73" s="5" t="s">
        <v>148</v>
      </c>
      <c r="D73" s="10">
        <f>Assumptions!C12/C6</f>
        <v>536196.4692103927</v>
      </c>
      <c r="E73" s="13">
        <f>D73/C25</f>
        <v>0.013986013986013986</v>
      </c>
    </row>
    <row r="74" spans="2:5" x14ac:dyDescent="0.25">
      <c r="B74" s="5" t="s">
        <v>149</v>
      </c>
      <c r="C74" s="5" t="s">
        <v>130</v>
      </c>
      <c r="D74" s="10">
        <f>C56</f>
        <v>473114.5316562288</v>
      </c>
      <c r="E74" s="13">
        <f>D74/C25</f>
        <v>0.012340600575894691</v>
      </c>
    </row>
    <row r="75" spans="2:5" x14ac:dyDescent="0.25">
      <c r="B75" s="5" t="s">
        <v>150</v>
      </c>
      <c r="C75" s="5" t="s">
        <v>148</v>
      </c>
      <c r="D75" s="10">
        <f>Assumptions!C11/C6</f>
        <v>268098.23460519634</v>
      </c>
      <c r="E75" s="13">
        <f>D75/C25</f>
        <v>0.006993006993006992</v>
      </c>
    </row>
    <row r="76" spans="2:5" x14ac:dyDescent="0.25">
      <c r="B76" s="5" t="s">
        <v>23</v>
      </c>
      <c r="C76" s="5" t="s">
        <v>151</v>
      </c>
      <c r="D76" s="10">
        <f>Assumptions!C26</f>
        <v>2500000</v>
      </c>
      <c r="E76" s="13">
        <f>D76/C25</f>
        <v>0.0652093718866235</v>
      </c>
    </row>
    <row r="77" spans="2:5" x14ac:dyDescent="0.25">
      <c r="B77" s="5" t="s">
        <v>152</v>
      </c>
      <c r="C77" s="5" t="s">
        <v>153</v>
      </c>
      <c r="D77" s="10">
        <f>Assumptions!C27+C19</f>
        <v>2483946.1813105987</v>
      </c>
      <c r="E77" s="13">
        <f>D77/C25</f>
        <v>0.06479062811337646</v>
      </c>
    </row>
    <row r="78" spans="2:5" x14ac:dyDescent="0.25">
      <c r="B78" s="9" t="s">
        <v>154</v>
      </c>
      <c r="D78" s="19">
        <f>SUM(D61:D77)</f>
        <v>38338047.548543066</v>
      </c>
      <c r="E78" s="19">
        <f>SUM(E61:E77)</f>
        <v>0.9999999999999998</v>
      </c>
    </row>
    <row r="79" spans="2:5" x14ac:dyDescent="0.25">
      <c r="B79" s="5" t="s">
        <v>155</v>
      </c>
      <c r="D79" s="20">
        <f>ROUND(D78-C25,2)</f>
        <v>0</v>
      </c>
      <c r="E79" s="20">
        <f>ROUND(E78-1,4)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7" width="16.455" customWidth="1"/>
  </cols>
  <sheetData>
    <row r="2" ht="18" customHeight="1" spans="2:2" x14ac:dyDescent="0.25">
      <c r="B2" s="1" t="s">
        <v>156</v>
      </c>
    </row>
    <row r="3" spans="2:2" x14ac:dyDescent="0.25">
      <c r="B3" s="2" t="s">
        <v>157</v>
      </c>
    </row>
    <row r="5" spans="2:7" x14ac:dyDescent="0.25">
      <c r="B5" s="3" t="s">
        <v>158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</row>
    <row r="6" spans="2:3" x14ac:dyDescent="0.25">
      <c r="B6" s="5" t="s">
        <v>159</v>
      </c>
      <c r="C6" s="17">
        <f>'Pro-Forma'!C6</f>
        <v>37.299760719148644</v>
      </c>
    </row>
    <row r="7" spans="2:3" x14ac:dyDescent="0.25">
      <c r="B7" s="5" t="s">
        <v>91</v>
      </c>
      <c r="C7" s="17">
        <f>'Pro-Forma'!C25</f>
        <v>38338047.54854308</v>
      </c>
    </row>
    <row r="8" spans="2:3" x14ac:dyDescent="0.25">
      <c r="B8" s="5" t="s">
        <v>88</v>
      </c>
      <c r="C8" s="17">
        <f>'Pro-Forma'!C22</f>
        <v>804294.703815589</v>
      </c>
    </row>
    <row r="9" spans="2:3" x14ac:dyDescent="0.25">
      <c r="B9" s="5" t="s">
        <v>160</v>
      </c>
      <c r="C9" s="17">
        <f>Assumptions!C45</f>
        <v>30000000</v>
      </c>
    </row>
    <row r="10" spans="2:3" x14ac:dyDescent="0.25">
      <c r="B10" s="5" t="s">
        <v>161</v>
      </c>
      <c r="C10" s="17">
        <f>Assumptions!C11</f>
        <v>10000000</v>
      </c>
    </row>
    <row r="12" spans="2:7" x14ac:dyDescent="0.25">
      <c r="B12" s="3" t="s">
        <v>162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</row>
    <row r="13" spans="2:7" x14ac:dyDescent="0.25">
      <c r="B13" s="9" t="s">
        <v>163</v>
      </c>
      <c r="C13" s="17">
        <f>'Waterfall'!C24</f>
        <v>700000000</v>
      </c>
      <c r="D13" s="17">
        <f>'Waterfall'!D24</f>
        <v>1200000000</v>
      </c>
      <c r="E13" s="17">
        <f>'Waterfall'!E24</f>
        <v>2000000000</v>
      </c>
      <c r="F13" s="17">
        <f>'Waterfall'!F24</f>
        <v>4000000000</v>
      </c>
      <c r="G13" s="17">
        <f>'Waterfall'!G24</f>
        <v>8000000000</v>
      </c>
    </row>
    <row r="14" spans="2:7" x14ac:dyDescent="0.25">
      <c r="B14" s="5" t="s">
        <v>164</v>
      </c>
      <c r="C14" s="10" t="str">
        <f>IF('Waterfall'!C59,"convert","preference")</f>
        <v>preference</v>
      </c>
      <c r="D14" s="10" t="str">
        <f>IF('Waterfall'!D59,"convert","preference")</f>
        <v>preference</v>
      </c>
      <c r="E14" s="10" t="str">
        <f>IF('Waterfall'!E59,"convert","preference")</f>
        <v>convert</v>
      </c>
      <c r="F14" s="10" t="str">
        <f>IF('Waterfall'!F59,"convert","preference")</f>
        <v>convert</v>
      </c>
      <c r="G14" s="10" t="str">
        <f>IF('Waterfall'!G59,"convert","preference")</f>
        <v>convert</v>
      </c>
    </row>
    <row r="15" spans="2:7" x14ac:dyDescent="0.25">
      <c r="B15" s="5" t="s">
        <v>165</v>
      </c>
      <c r="C15" s="17">
        <f>'Waterfall'!C85</f>
        <v>8.378724597472928</v>
      </c>
      <c r="D15" s="17">
        <f>'Waterfall'!D85</f>
        <v>28.42021359414592</v>
      </c>
      <c r="E15" s="17">
        <f>'Waterfall'!E85</f>
        <v>55.75888159503607</v>
      </c>
      <c r="F15" s="17">
        <f>'Waterfall'!F85</f>
        <v>111.63297495605168</v>
      </c>
      <c r="G15" s="17">
        <f>'Waterfall'!G85</f>
        <v>223.19622288214956</v>
      </c>
    </row>
    <row r="16" spans="2:7" x14ac:dyDescent="0.25">
      <c r="B16" s="5" t="s">
        <v>166</v>
      </c>
      <c r="C16" s="11">
        <f>IF('Waterfall'!C59,C15,$C$6)</f>
        <v>37.299760719148644</v>
      </c>
      <c r="D16" s="11">
        <f>IF('Waterfall'!D59,D15,$C$6)</f>
        <v>37.299760719148644</v>
      </c>
      <c r="E16" s="11">
        <f>IF('Waterfall'!E59,E15,$C$6)</f>
        <v>55.75888159503607</v>
      </c>
      <c r="F16" s="11">
        <f>IF('Waterfall'!F59,F15,$C$6)</f>
        <v>111.63297495605168</v>
      </c>
      <c r="G16" s="11">
        <f>IF('Waterfall'!G59,G15,$C$6)</f>
        <v>223.19622288214956</v>
      </c>
    </row>
    <row r="17" spans="2:7" x14ac:dyDescent="0.25">
      <c r="B17" s="5" t="s">
        <v>167</v>
      </c>
      <c r="C17" s="11">
        <f>$C$8*C16</f>
        <v>30000000</v>
      </c>
      <c r="D17" s="11">
        <f>$C$8*D16</f>
        <v>30000000</v>
      </c>
      <c r="E17" s="11">
        <f>$C$8*E16</f>
        <v>44846573.15756803</v>
      </c>
      <c r="F17" s="11">
        <f>$C$8*F16</f>
        <v>89785810.52833065</v>
      </c>
      <c r="G17" s="11">
        <f>$C$8*G16</f>
        <v>179515539.97575668</v>
      </c>
    </row>
    <row r="19" spans="2:7" x14ac:dyDescent="0.25">
      <c r="B19" s="3" t="s">
        <v>168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</row>
    <row r="20" spans="2:7" x14ac:dyDescent="0.25">
      <c r="B20" s="9" t="s">
        <v>169</v>
      </c>
      <c r="C20" s="21">
        <f>IF(OR(($C$10*Assumptions!C73)&gt;C17,(($C$10*Assumptions!C73)/($C$7*C16))&gt;1),NA(),(($C$10*Assumptions!C73)/($C$7*C16)))</f>
        <v>0.020979020979020976</v>
      </c>
      <c r="D20" s="21">
        <f>IF(OR(($C$10*Assumptions!C73)&gt;D17,(($C$10*Assumptions!C73)/($C$7*D16))&gt;1),NA(),(($C$10*Assumptions!C73)/($C$7*D16)))</f>
        <v>0.020979020979020976</v>
      </c>
      <c r="E20" s="21">
        <f>IF(OR(($C$10*Assumptions!C73)&gt;E17,(($C$10*Assumptions!C73)/($C$7*E16))&gt;1),NA(),(($C$10*Assumptions!C73)/($C$7*E16)))</f>
        <v>0.014033862234230055</v>
      </c>
      <c r="F20" s="21">
        <f>IF(OR(($C$10*Assumptions!C73)&gt;F17,(($C$10*Assumptions!C73)/($C$7*F16))&gt;1),NA(),(($C$10*Assumptions!C73)/($C$7*F16)))</f>
        <v>0.0070096892333788114</v>
      </c>
      <c r="G20" s="21">
        <f>IF(OR(($C$10*Assumptions!C73)&gt;G17,(($C$10*Assumptions!C73)/($C$7*G16))&gt;1),NA(),(($C$10*Assumptions!C73)/($C$7*G16)))</f>
        <v>0.003505939538469065</v>
      </c>
    </row>
    <row r="21" spans="2:7" x14ac:dyDescent="0.25">
      <c r="B21" s="5" t="s">
        <v>170</v>
      </c>
      <c r="C21" s="10" t="str">
        <f>IF(OR(($C$10*Assumptions!C73)&gt;C17,(($C$10*Assumptions!C73)/($C$7*C16))&gt;1),"infeasible","feasible")</f>
        <v>feasible</v>
      </c>
      <c r="D21" s="10" t="str">
        <f>IF(OR(($C$10*Assumptions!C73)&gt;D17,(($C$10*Assumptions!C73)/($C$7*D16))&gt;1),"infeasible","feasible")</f>
        <v>feasible</v>
      </c>
      <c r="E21" s="10" t="str">
        <f>IF(OR(($C$10*Assumptions!C73)&gt;E17,(($C$10*Assumptions!C73)/($C$7*E16))&gt;1),"infeasible","feasible")</f>
        <v>feasible</v>
      </c>
      <c r="F21" s="10" t="str">
        <f>IF(OR(($C$10*Assumptions!C73)&gt;F17,(($C$10*Assumptions!C73)/($C$7*F16))&gt;1),"infeasible","feasible")</f>
        <v>feasible</v>
      </c>
      <c r="G21" s="10" t="str">
        <f>IF(OR(($C$10*Assumptions!C73)&gt;G17,(($C$10*Assumptions!C73)/($C$7*G16))&gt;1),"infeasible","feasible")</f>
        <v>feasible</v>
      </c>
    </row>
    <row r="23" spans="2:7" x14ac:dyDescent="0.25">
      <c r="B23" s="9" t="s">
        <v>171</v>
      </c>
      <c r="C23" s="21" t="str">
        <f>IF(OR(($C$10*Assumptions!C74)&gt;C17,(($C$10*Assumptions!C74)/($C$7*C16))&gt;1),NA(),(($C$10*Assumptions!C74)/($C$7*C16)))</f>
        <v>#N/A</v>
      </c>
      <c r="D23" s="21" t="str">
        <f>IF(OR(($C$10*Assumptions!C74)&gt;D17,(($C$10*Assumptions!C74)/($C$7*D16))&gt;1),NA(),(($C$10*Assumptions!C74)/($C$7*D16)))</f>
        <v>#N/A</v>
      </c>
      <c r="E23" s="21">
        <f>IF(OR(($C$10*Assumptions!C74)&gt;E17,(($C$10*Assumptions!C74)/($C$7*E16))&gt;1),NA(),(($C$10*Assumptions!C74)/($C$7*E16)))</f>
        <v>0.01871181631230674</v>
      </c>
      <c r="F23" s="21">
        <f>IF(OR(($C$10*Assumptions!C74)&gt;F17,(($C$10*Assumptions!C74)/($C$7*F16))&gt;1),NA(),(($C$10*Assumptions!C74)/($C$7*F16)))</f>
        <v>0.00934625231117175</v>
      </c>
      <c r="G23" s="21">
        <f>IF(OR(($C$10*Assumptions!C74)&gt;G17,(($C$10*Assumptions!C74)/($C$7*G16))&gt;1),NA(),(($C$10*Assumptions!C74)/($C$7*G16)))</f>
        <v>0.004674586051292087</v>
      </c>
    </row>
    <row r="24" spans="2:7" x14ac:dyDescent="0.25">
      <c r="B24" s="5" t="s">
        <v>172</v>
      </c>
      <c r="C24" s="10" t="str">
        <f>IF(OR(($C$10*Assumptions!C74)&gt;C17,(($C$10*Assumptions!C74)/($C$7*C16))&gt;1),"infeasible","feasible")</f>
        <v>infeasible</v>
      </c>
      <c r="D24" s="10" t="str">
        <f>IF(OR(($C$10*Assumptions!C74)&gt;D17,(($C$10*Assumptions!C74)/($C$7*D16))&gt;1),"infeasible","feasible")</f>
        <v>infeasible</v>
      </c>
      <c r="E24" s="10" t="str">
        <f>IF(OR(($C$10*Assumptions!C74)&gt;E17,(($C$10*Assumptions!C74)/($C$7*E16))&gt;1),"infeasible","feasible")</f>
        <v>feasible</v>
      </c>
      <c r="F24" s="10" t="str">
        <f>IF(OR(($C$10*Assumptions!C74)&gt;F17,(($C$10*Assumptions!C74)/($C$7*F16))&gt;1),"infeasible","feasible")</f>
        <v>feasible</v>
      </c>
      <c r="G24" s="10" t="str">
        <f>IF(OR(($C$10*Assumptions!C74)&gt;G17,(($C$10*Assumptions!C74)/($C$7*G16))&gt;1),"infeasible","feasible")</f>
        <v>feasible</v>
      </c>
    </row>
    <row r="26" spans="2:7" x14ac:dyDescent="0.25">
      <c r="B26" s="3" t="s">
        <v>173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</row>
    <row r="27" spans="2:7" x14ac:dyDescent="0.25">
      <c r="B27" s="5" t="s">
        <v>174</v>
      </c>
      <c r="C27" s="11">
        <f>IF(($C$10*Assumptions!C73)&gt;C17,NA(),($C$10*Assumptions!C73)*$C$6/C16)</f>
        <v>30000000</v>
      </c>
      <c r="D27" s="11">
        <f>IF(($C$10*Assumptions!C73)&gt;D17,NA(),($C$10*Assumptions!C73)*$C$6/D16)</f>
        <v>30000000</v>
      </c>
      <c r="E27" s="11">
        <f>IF(($C$10*Assumptions!C73)&gt;E17,NA(),($C$10*Assumptions!C73)*$C$6/E16)</f>
        <v>20068422.99494898</v>
      </c>
      <c r="F27" s="11">
        <f>IF(($C$10*Assumptions!C73)&gt;F17,NA(),($C$10*Assumptions!C73)*$C$6/F16)</f>
        <v>10023855.603731701</v>
      </c>
      <c r="G27" s="11">
        <f>IF(($C$10*Assumptions!C73)&gt;G17,NA(),($C$10*Assumptions!C73)*$C$6/G16)</f>
        <v>5013493.540010763</v>
      </c>
    </row>
    <row r="28" spans="2:7" x14ac:dyDescent="0.25">
      <c r="B28" s="5" t="s">
        <v>175</v>
      </c>
      <c r="C28" s="11" t="str">
        <f>IF(($C$10*Assumptions!C74)&gt;C17,NA(),($C$10*Assumptions!C74)*$C$6/C16)</f>
        <v>#N/A</v>
      </c>
      <c r="D28" s="11" t="str">
        <f>IF(($C$10*Assumptions!C74)&gt;D17,NA(),($C$10*Assumptions!C74)*$C$6/D16)</f>
        <v>#N/A</v>
      </c>
      <c r="E28" s="11">
        <f>IF(($C$10*Assumptions!C74)&gt;E17,NA(),($C$10*Assumptions!C74)*$C$6/E16)</f>
        <v>26757897.32659864</v>
      </c>
      <c r="F28" s="11">
        <f>IF(($C$10*Assumptions!C74)&gt;F17,NA(),($C$10*Assumptions!C74)*$C$6/F16)</f>
        <v>13365140.8049756</v>
      </c>
      <c r="G28" s="11">
        <f>IF(($C$10*Assumptions!C74)&gt;G17,NA(),($C$10*Assumptions!C74)*$C$6/G16)</f>
        <v>6684658.053347684</v>
      </c>
    </row>
    <row r="30" spans="2:2" x14ac:dyDescent="0.25">
      <c r="B30" s="18" t="s">
        <v>176</v>
      </c>
    </row>
    <row r="31" spans="2:2" x14ac:dyDescent="0.25">
      <c r="B31" s="18" t="s">
        <v>177</v>
      </c>
    </row>
    <row r="32" spans="2:2" x14ac:dyDescent="0.25">
      <c r="B32" s="18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84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25.205" customWidth="1"/>
    <col min="3" max="4" width="9.58" customWidth="1"/>
    <col min="5" max="6" width="10.205" customWidth="1"/>
    <col min="7" max="8" width="9.58" customWidth="1"/>
    <col min="9" max="10" width="12.08" customWidth="1"/>
    <col min="11" max="11" width="10.205" customWidth="1"/>
    <col min="12" max="13" width="12.08" customWidth="1"/>
    <col min="14" max="14" width="9.58" customWidth="1"/>
  </cols>
  <sheetData>
    <row r="2" ht="18" customHeight="1" spans="2:2" x14ac:dyDescent="0.25">
      <c r="B2" s="1" t="s">
        <v>179</v>
      </c>
    </row>
    <row r="3" spans="2:2" x14ac:dyDescent="0.25">
      <c r="B3" s="2" t="s">
        <v>180</v>
      </c>
    </row>
    <row r="5" spans="2:14" x14ac:dyDescent="0.25">
      <c r="B5" s="3" t="s">
        <v>181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</row>
    <row r="6" spans="2:5" x14ac:dyDescent="0.25">
      <c r="B6" s="5" t="s">
        <v>182</v>
      </c>
      <c r="C6" s="13">
        <f>Assumptions!C65</f>
        <v>0.11</v>
      </c>
      <c r="D6" s="5" t="s">
        <v>183</v>
      </c>
      <c r="E6" s="11">
        <f>Assumptions!C68</f>
        <v>1200000000</v>
      </c>
    </row>
    <row r="8" spans="3:14" x14ac:dyDescent="0.25">
      <c r="C8" s="16" t="s">
        <v>184</v>
      </c>
      <c r="D8" s="16" t="s">
        <v>185</v>
      </c>
      <c r="E8" s="16" t="s">
        <v>186</v>
      </c>
      <c r="F8" s="16" t="s">
        <v>187</v>
      </c>
      <c r="G8" s="16" t="s">
        <v>188</v>
      </c>
      <c r="H8" s="16" t="s">
        <v>189</v>
      </c>
      <c r="I8" s="16" t="s">
        <v>190</v>
      </c>
      <c r="J8" s="16" t="s">
        <v>191</v>
      </c>
      <c r="K8" s="16" t="s">
        <v>192</v>
      </c>
      <c r="L8" s="16" t="s">
        <v>193</v>
      </c>
      <c r="M8" s="16" t="s">
        <v>194</v>
      </c>
      <c r="N8" s="16" t="s">
        <v>195</v>
      </c>
    </row>
    <row r="9" spans="3:14" x14ac:dyDescent="0.25">
      <c r="C9" s="10">
        <v>0</v>
      </c>
      <c r="D9" s="10">
        <f>$E$6/Assumptions!C28</f>
        <v>32.770803377064055</v>
      </c>
      <c r="E9" s="10">
        <f>IF(D9&lt;Assumptions!C35,Assumptions!C35*(Assumptions!C28+Assumptions!C7/Assumptions!C35)/(Assumptions!C28+Assumptions!C7/D9),Assumptions!C35)</f>
        <v>57.500114228708874</v>
      </c>
      <c r="F9" s="10">
        <f>IF(D9&lt;Assumptions!C36,Assumptions!C36*(Assumptions!C28+Assumptions!C7/Assumptions!C36)/(Assumptions!C28+Assumptions!C7/D9),Assumptions!C36)</f>
        <v>48.75861569212351</v>
      </c>
      <c r="G9" s="10">
        <f>Assumptions!C24*(Assumptions!C35/E9-1)</f>
        <v>18499.928440789423</v>
      </c>
      <c r="H9" s="10">
        <f>Assumptions!C25*(Assumptions!C36/F9-1)</f>
        <v>50026.18164622532</v>
      </c>
      <c r="I9" s="10">
        <f>Assumptions!C48/MIN((Assumptions!C49/(Assumptions!C28+0+G9+H9+0)),(D9*(1-Assumptions!C50)))</f>
        <v>190718.546875</v>
      </c>
      <c r="J9" s="10">
        <f>Assumptions!C51/MIN((Assumptions!C52/(Assumptions!C28+0+G9+H9+I9)),(D9*(1-Assumptions!C53)))</f>
        <v>107699.88529411766</v>
      </c>
      <c r="K9" s="10">
        <f>MAX(0,($C$6*(Assumptions!C28+G9+H9+I9+J9+Assumptions!C7/D9)-Assumptions!C55)/(1-$C$6))</f>
        <v>0</v>
      </c>
      <c r="L9" s="10">
        <f>Assumptions!C28+K9+G9+H9+I9+J9</f>
        <v>36984905.54225613</v>
      </c>
      <c r="M9" s="10">
        <f>L9+Assumptions!C7/D9</f>
        <v>37900354.56725613</v>
      </c>
      <c r="N9" s="10">
        <f>$E$6/L9</f>
        <v>32.44566891292913</v>
      </c>
    </row>
    <row r="10" spans="3:14" x14ac:dyDescent="0.25">
      <c r="C10" s="10">
        <v>1</v>
      </c>
      <c r="D10" s="10">
        <f>N9</f>
        <v>32.44566891292913</v>
      </c>
      <c r="E10" s="10">
        <f>IF(D10&lt;Assumptions!C35,Assumptions!C35*(Assumptions!C28+Assumptions!C7/Assumptions!C35)/(Assumptions!C28+Assumptions!C7/D10),Assumptions!C35)</f>
        <v>57.48606394830031</v>
      </c>
      <c r="F10" s="10">
        <f>IF(D10&lt;Assumptions!C36,Assumptions!C36*(Assumptions!C28+Assumptions!C7/Assumptions!C36)/(Assumptions!C28+Assumptions!C7/D10),Assumptions!C36)</f>
        <v>48.74670141626517</v>
      </c>
      <c r="G10" s="10">
        <f>Assumptions!C24*(Assumptions!C35/E10-1)</f>
        <v>18924.9918271549</v>
      </c>
      <c r="H10" s="10">
        <f>Assumptions!C25*(Assumptions!C36/F10-1)</f>
        <v>51529.973322547004</v>
      </c>
      <c r="I10" s="10">
        <f>Assumptions!C48/MIN((Assumptions!C49/(Assumptions!C28+K9+G10+H10+J9)),(D10*(1-Assumptions!C50)))</f>
        <v>192629.71636591732</v>
      </c>
      <c r="J10" s="10">
        <f>Assumptions!C51/MIN((Assumptions!C52/(Assumptions!C28+K9+G10+H10+I10)),(D10*(1-Assumptions!C53)))</f>
        <v>108779.13394781215</v>
      </c>
      <c r="K10" s="10">
        <f>MAX(0,($C$6*(Assumptions!C28+G10+H10+I10+J10+Assumptions!C7/D10)-Assumptions!C55)/(1-$C$6))</f>
        <v>0</v>
      </c>
      <c r="L10" s="10">
        <f>Assumptions!C28+K10+G10+H10+I10+J10</f>
        <v>36989824.81546343</v>
      </c>
      <c r="M10" s="10">
        <f>L10+Assumptions!C7/D10</f>
        <v>37914447.45401983</v>
      </c>
      <c r="N10" s="10">
        <f>$E$6/L10</f>
        <v>32.44135396657368</v>
      </c>
    </row>
    <row r="11" spans="3:14" x14ac:dyDescent="0.25">
      <c r="C11" s="10">
        <v>2</v>
      </c>
      <c r="D11" s="10">
        <f>N10</f>
        <v>32.44135396657368</v>
      </c>
      <c r="E11" s="10">
        <f>IF(D11&lt;Assumptions!C35,Assumptions!C35*(Assumptions!C28+Assumptions!C7/Assumptions!C35)/(Assumptions!C28+Assumptions!C7/D11),Assumptions!C35)</f>
        <v>57.48587563632202</v>
      </c>
      <c r="F11" s="10">
        <f>IF(D11&lt;Assumptions!C36,Assumptions!C36*(Assumptions!C28+Assumptions!C7/Assumptions!C36)/(Assumptions!C28+Assumptions!C7/D11),Assumptions!C36)</f>
        <v>48.74654173255839</v>
      </c>
      <c r="G11" s="10">
        <f>Assumptions!C24*(Assumptions!C35/E11-1)</f>
        <v>18930.690243910092</v>
      </c>
      <c r="H11" s="10">
        <f>Assumptions!C25*(Assumptions!C36/F11-1)</f>
        <v>51550.13321389539</v>
      </c>
      <c r="I11" s="10">
        <f>Assumptions!C48/MIN((Assumptions!C49/(Assumptions!C28+K10+G11+H11+J10)),(D11*(1-Assumptions!C50)))</f>
        <v>192655.3375805387</v>
      </c>
      <c r="J11" s="10">
        <f>Assumptions!C51/MIN((Assumptions!C52/(Assumptions!C28+K10+G11+H11+I11)),(D11*(1-Assumptions!C53)))</f>
        <v>108793.60239842185</v>
      </c>
      <c r="K11" s="10">
        <f>MAX(0,($C$6*(Assumptions!C28+G11+H11+I11+J11+Assumptions!C7/D11)-Assumptions!C55)/(1-$C$6))</f>
        <v>0</v>
      </c>
      <c r="L11" s="10">
        <f>Assumptions!C28+K11+G11+H11+I11+J11</f>
        <v>36989890.76343677</v>
      </c>
      <c r="M11" s="10">
        <f>L11+Assumptions!C7/D11</f>
        <v>37914636.38382336</v>
      </c>
      <c r="N11" s="10">
        <f>$E$6/L11</f>
        <v>32.44129612802638</v>
      </c>
    </row>
    <row r="12" spans="3:14" x14ac:dyDescent="0.25">
      <c r="C12" s="10">
        <v>3</v>
      </c>
      <c r="D12" s="10">
        <f>N11</f>
        <v>32.44129612802638</v>
      </c>
      <c r="E12" s="10">
        <f>IF(D12&lt;Assumptions!C35,Assumptions!C35*(Assumptions!C28+Assumptions!C7/Assumptions!C35)/(Assumptions!C28+Assumptions!C7/D12),Assumptions!C35)</f>
        <v>57.48587311181249</v>
      </c>
      <c r="F12" s="10">
        <f>IF(D12&lt;Assumptions!C36,Assumptions!C36*(Assumptions!C28+Assumptions!C7/Assumptions!C36)/(Assumptions!C28+Assumptions!C7/D12),Assumptions!C36)</f>
        <v>48.746539591839344</v>
      </c>
      <c r="G12" s="10">
        <f>Assumptions!C24*(Assumptions!C35/E12-1)</f>
        <v>18930.76663711289</v>
      </c>
      <c r="H12" s="10">
        <f>Assumptions!C25*(Assumptions!C36/F12-1)</f>
        <v>51550.40347820322</v>
      </c>
      <c r="I12" s="10">
        <f>Assumptions!C48/MIN((Assumptions!C49/(Assumptions!C28+K11+G12+H12+J11)),(D12*(1-Assumptions!C50)))</f>
        <v>192655.6810595665</v>
      </c>
      <c r="J12" s="10">
        <f>Assumptions!C51/MIN((Assumptions!C52/(Assumptions!C28+K11+G12+H12+I12)),(D12*(1-Assumptions!C53)))</f>
        <v>108793.79636304932</v>
      </c>
      <c r="K12" s="10">
        <f>MAX(0,($C$6*(Assumptions!C28+G12+H12+I12+J12+Assumptions!C7/D12)-Assumptions!C55)/(1-$C$6))</f>
        <v>0</v>
      </c>
      <c r="L12" s="10">
        <f>Assumptions!C28+K12+G12+H12+I12+J12</f>
        <v>36989891.64753793</v>
      </c>
      <c r="M12" s="10">
        <f>L12+Assumptions!C7/D12</f>
        <v>37914638.916623846</v>
      </c>
      <c r="N12" s="10">
        <f>$E$6/L12</f>
        <v>32.44129535264191</v>
      </c>
    </row>
    <row r="13" spans="3:14" x14ac:dyDescent="0.25">
      <c r="C13" s="10">
        <v>4</v>
      </c>
      <c r="D13" s="10">
        <f>N12</f>
        <v>32.44129535264191</v>
      </c>
      <c r="E13" s="10">
        <f>IF(D13&lt;Assumptions!C35,Assumptions!C35*(Assumptions!C28+Assumptions!C7/Assumptions!C35)/(Assumptions!C28+Assumptions!C7/D13),Assumptions!C35)</f>
        <v>57.48587307796881</v>
      </c>
      <c r="F13" s="10">
        <f>IF(D13&lt;Assumptions!C36,Assumptions!C36*(Assumptions!C28+Assumptions!C7/Assumptions!C36)/(Assumptions!C28+Assumptions!C7/D13),Assumptions!C36)</f>
        <v>48.74653956314078</v>
      </c>
      <c r="G13" s="10">
        <f>Assumptions!C24*(Assumptions!C35/E13-1)</f>
        <v>18930.767661243157</v>
      </c>
      <c r="H13" s="10">
        <f>Assumptions!C25*(Assumptions!C36/F13-1)</f>
        <v>51550.407101377976</v>
      </c>
      <c r="I13" s="10">
        <f>Assumptions!C48/MIN((Assumptions!C49/(Assumptions!C28+K12+G13+H13+J12)),(D13*(1-Assumptions!C50)))</f>
        <v>192655.68566426006</v>
      </c>
      <c r="J13" s="10">
        <f>Assumptions!C51/MIN((Assumptions!C52/(Assumptions!C28+K12+G13+H13+I13)),(D13*(1-Assumptions!C53)))</f>
        <v>108793.79896334685</v>
      </c>
      <c r="K13" s="10">
        <f>MAX(0,($C$6*(Assumptions!C28+G13+H13+I13+J13+Assumptions!C7/D13)-Assumptions!C55)/(1-$C$6))</f>
        <v>0</v>
      </c>
      <c r="L13" s="10">
        <f>Assumptions!C28+K13+G13+H13+I13+J13</f>
        <v>36989891.659390226</v>
      </c>
      <c r="M13" s="10">
        <f>L13+Assumptions!C7/D13</f>
        <v>37914638.950578675</v>
      </c>
      <c r="N13" s="10">
        <f>$E$6/L13</f>
        <v>32.441295342247074</v>
      </c>
    </row>
    <row r="14" spans="3:14" x14ac:dyDescent="0.25">
      <c r="C14" s="10">
        <v>5</v>
      </c>
      <c r="D14" s="10">
        <f>N13</f>
        <v>32.441295342247074</v>
      </c>
      <c r="E14" s="10">
        <f>IF(D14&lt;Assumptions!C35,Assumptions!C35*(Assumptions!C28+Assumptions!C7/Assumptions!C35)/(Assumptions!C28+Assumptions!C7/D14),Assumptions!C35)</f>
        <v>57.4858730775151</v>
      </c>
      <c r="F14" s="10">
        <f>IF(D14&lt;Assumptions!C36,Assumptions!C36*(Assumptions!C28+Assumptions!C7/Assumptions!C36)/(Assumptions!C28+Assumptions!C7/D14),Assumptions!C36)</f>
        <v>48.74653956275604</v>
      </c>
      <c r="G14" s="10">
        <f>Assumptions!C24*(Assumptions!C35/E14-1)</f>
        <v>18930.7676749729</v>
      </c>
      <c r="H14" s="10">
        <f>Assumptions!C25*(Assumptions!C36/F14-1)</f>
        <v>51550.40714995215</v>
      </c>
      <c r="I14" s="10">
        <f>Assumptions!C48/MIN((Assumptions!C49/(Assumptions!C28+K13+G14+H14+J13)),(D14*(1-Assumptions!C50)))</f>
        <v>192655.68572599077</v>
      </c>
      <c r="J14" s="10">
        <f>Assumptions!C51/MIN((Assumptions!C52/(Assumptions!C28+K13+G14+H14+I14)),(D14*(1-Assumptions!C53)))</f>
        <v>108793.79899820655</v>
      </c>
      <c r="K14" s="10">
        <f>MAX(0,($C$6*(Assumptions!C28+G14+H14+I14+J14+Assumptions!C7/D14)-Assumptions!C55)/(1-$C$6))</f>
        <v>0</v>
      </c>
      <c r="L14" s="10">
        <f>Assumptions!C28+K14+G14+H14+I14+J14</f>
        <v>36989891.659549125</v>
      </c>
      <c r="M14" s="10">
        <f>L14+Assumptions!C7/D14</f>
        <v>37914638.95103388</v>
      </c>
      <c r="N14" s="10">
        <f>$E$6/L14</f>
        <v>32.441295342107715</v>
      </c>
    </row>
    <row r="15" spans="3:14" x14ac:dyDescent="0.25">
      <c r="C15" s="10">
        <v>6</v>
      </c>
      <c r="D15" s="10">
        <f>N14</f>
        <v>32.441295342107715</v>
      </c>
      <c r="E15" s="10">
        <f>IF(D15&lt;Assumptions!C35,Assumptions!C35*(Assumptions!C28+Assumptions!C7/Assumptions!C35)/(Assumptions!C28+Assumptions!C7/D15),Assumptions!C35)</f>
        <v>57.48587307750902</v>
      </c>
      <c r="F15" s="10">
        <f>IF(D15&lt;Assumptions!C36,Assumptions!C36*(Assumptions!C28+Assumptions!C7/Assumptions!C36)/(Assumptions!C28+Assumptions!C7/D15),Assumptions!C36)</f>
        <v>48.74653956275088</v>
      </c>
      <c r="G15" s="10">
        <f>Assumptions!C24*(Assumptions!C35/E15-1)</f>
        <v>18930.767675157007</v>
      </c>
      <c r="H15" s="10">
        <f>Assumptions!C25*(Assumptions!C36/F15-1)</f>
        <v>51550.40715060209</v>
      </c>
      <c r="I15" s="10">
        <f>Assumptions!C48/MIN((Assumptions!C49/(Assumptions!C28+K14+G15+H15+J14)),(D15*(1-Assumptions!C50)))</f>
        <v>192655.68572681834</v>
      </c>
      <c r="J15" s="10">
        <f>Assumptions!C51/MIN((Assumptions!C52/(Assumptions!C28+K14+G15+H15+I15)),(D15*(1-Assumptions!C53)))</f>
        <v>108793.79899867388</v>
      </c>
      <c r="K15" s="10">
        <f>MAX(0,($C$6*(Assumptions!C28+G15+H15+I15+J15+Assumptions!C7/D15)-Assumptions!C55)/(1-$C$6))</f>
        <v>0</v>
      </c>
      <c r="L15" s="10">
        <f>Assumptions!C28+K15+G15+H15+I15+J15</f>
        <v>36989891.659551255</v>
      </c>
      <c r="M15" s="10">
        <f>L15+Assumptions!C7/D15</f>
        <v>37914638.951039985</v>
      </c>
      <c r="N15" s="10">
        <f>$E$6/L15</f>
        <v>32.441295342105846</v>
      </c>
    </row>
    <row r="16" spans="3:14" x14ac:dyDescent="0.25">
      <c r="C16" s="10">
        <v>7</v>
      </c>
      <c r="D16" s="10">
        <f>N15</f>
        <v>32.441295342105846</v>
      </c>
      <c r="E16" s="10">
        <f>IF(D16&lt;Assumptions!C35,Assumptions!C35*(Assumptions!C28+Assumptions!C7/Assumptions!C35)/(Assumptions!C28+Assumptions!C7/D16),Assumptions!C35)</f>
        <v>57.48587307750895</v>
      </c>
      <c r="F16" s="10">
        <f>IF(D16&lt;Assumptions!C36,Assumptions!C36*(Assumptions!C28+Assumptions!C7/Assumptions!C36)/(Assumptions!C28+Assumptions!C7/D16),Assumptions!C36)</f>
        <v>48.74653956275082</v>
      </c>
      <c r="G16" s="10">
        <f>Assumptions!C24*(Assumptions!C35/E16-1)</f>
        <v>18930.767675158902</v>
      </c>
      <c r="H16" s="10">
        <f>Assumptions!C25*(Assumptions!C36/F16-1)</f>
        <v>51550.407150610634</v>
      </c>
      <c r="I16" s="10">
        <f>Assumptions!C48/MIN((Assumptions!C49/(Assumptions!C28+K15+G16+H16+J15)),(D16*(1-Assumptions!C50)))</f>
        <v>192655.68572682946</v>
      </c>
      <c r="J16" s="10">
        <f>Assumptions!C51/MIN((Assumptions!C52/(Assumptions!C28+K15+G16+H16+I16)),(D16*(1-Assumptions!C53)))</f>
        <v>108793.79899868015</v>
      </c>
      <c r="K16" s="10">
        <f>MAX(0,($C$6*(Assumptions!C28+G16+H16+I16+J16+Assumptions!C7/D16)-Assumptions!C55)/(1-$C$6))</f>
        <v>0</v>
      </c>
      <c r="L16" s="10">
        <f>Assumptions!C28+K16+G16+H16+I16+J16</f>
        <v>36989891.65955128</v>
      </c>
      <c r="M16" s="10">
        <f>L16+Assumptions!C7/D16</f>
        <v>37914638.95104006</v>
      </c>
      <c r="N16" s="10">
        <f>$E$6/L16</f>
        <v>32.441295342105825</v>
      </c>
    </row>
    <row r="17" spans="3:14" x14ac:dyDescent="0.25">
      <c r="C17" s="10">
        <v>8</v>
      </c>
      <c r="D17" s="10">
        <f>N16</f>
        <v>32.441295342105825</v>
      </c>
      <c r="E17" s="10">
        <f>IF(D17&lt;Assumptions!C35,Assumptions!C35*(Assumptions!C28+Assumptions!C7/Assumptions!C35)/(Assumptions!C28+Assumptions!C7/D17),Assumptions!C35)</f>
        <v>57.48587307750895</v>
      </c>
      <c r="F17" s="10">
        <f>IF(D17&lt;Assumptions!C36,Assumptions!C36*(Assumptions!C28+Assumptions!C7/Assumptions!C36)/(Assumptions!C28+Assumptions!C7/D17),Assumptions!C36)</f>
        <v>48.74653956275082</v>
      </c>
      <c r="G17" s="10">
        <f>Assumptions!C24*(Assumptions!C35/E17-1)</f>
        <v>18930.767675158902</v>
      </c>
      <c r="H17" s="10">
        <f>Assumptions!C25*(Assumptions!C36/F17-1)</f>
        <v>51550.407150610634</v>
      </c>
      <c r="I17" s="10">
        <f>Assumptions!C48/MIN((Assumptions!C49/(Assumptions!C28+K16+G17+H17+J16)),(D17*(1-Assumptions!C50)))</f>
        <v>192655.68572682957</v>
      </c>
      <c r="J17" s="10">
        <f>Assumptions!C51/MIN((Assumptions!C52/(Assumptions!C28+K16+G17+H17+I17)),(D17*(1-Assumptions!C53)))</f>
        <v>108793.79899868023</v>
      </c>
      <c r="K17" s="10">
        <f>MAX(0,($C$6*(Assumptions!C28+G17+H17+I17+J17+Assumptions!C7/D17)-Assumptions!C55)/(1-$C$6))</f>
        <v>0</v>
      </c>
      <c r="L17" s="10">
        <f>Assumptions!C28+K17+G17+H17+I17+J17</f>
        <v>36989891.65955128</v>
      </c>
      <c r="M17" s="10">
        <f>L17+Assumptions!C7/D17</f>
        <v>37914638.95104006</v>
      </c>
      <c r="N17" s="10">
        <f>$E$6/L17</f>
        <v>32.441295342105825</v>
      </c>
    </row>
    <row r="18" spans="3:14" x14ac:dyDescent="0.25">
      <c r="C18" s="10">
        <v>9</v>
      </c>
      <c r="D18" s="10">
        <f>N17</f>
        <v>32.441295342105825</v>
      </c>
      <c r="E18" s="10">
        <f>IF(D18&lt;Assumptions!C35,Assumptions!C35*(Assumptions!C28+Assumptions!C7/Assumptions!C35)/(Assumptions!C28+Assumptions!C7/D18),Assumptions!C35)</f>
        <v>57.48587307750895</v>
      </c>
      <c r="F18" s="10">
        <f>IF(D18&lt;Assumptions!C36,Assumptions!C36*(Assumptions!C28+Assumptions!C7/Assumptions!C36)/(Assumptions!C28+Assumptions!C7/D18),Assumptions!C36)</f>
        <v>48.74653956275082</v>
      </c>
      <c r="G18" s="10">
        <f>Assumptions!C24*(Assumptions!C35/E18-1)</f>
        <v>18930.767675158902</v>
      </c>
      <c r="H18" s="10">
        <f>Assumptions!C25*(Assumptions!C36/F18-1)</f>
        <v>51550.407150610634</v>
      </c>
      <c r="I18" s="10">
        <f>Assumptions!C48/MIN((Assumptions!C49/(Assumptions!C28+K17+G18+H18+J17)),(D18*(1-Assumptions!C50)))</f>
        <v>192655.68572682957</v>
      </c>
      <c r="J18" s="10">
        <f>Assumptions!C51/MIN((Assumptions!C52/(Assumptions!C28+K17+G18+H18+I18)),(D18*(1-Assumptions!C53)))</f>
        <v>108793.79899868023</v>
      </c>
      <c r="K18" s="10">
        <f>MAX(0,($C$6*(Assumptions!C28+G18+H18+I18+J18+Assumptions!C7/D18)-Assumptions!C55)/(1-$C$6))</f>
        <v>0</v>
      </c>
      <c r="L18" s="10">
        <f>Assumptions!C28+K18+G18+H18+I18+J18</f>
        <v>36989891.65955128</v>
      </c>
      <c r="M18" s="10">
        <f>L18+Assumptions!C7/D18</f>
        <v>37914638.95104006</v>
      </c>
      <c r="N18" s="10">
        <f>$E$6/L18</f>
        <v>32.441295342105825</v>
      </c>
    </row>
    <row r="19" spans="3:14" x14ac:dyDescent="0.25">
      <c r="C19" s="10">
        <v>10</v>
      </c>
      <c r="D19" s="10">
        <f>N18</f>
        <v>32.441295342105825</v>
      </c>
      <c r="E19" s="10">
        <f>IF(D19&lt;Assumptions!C35,Assumptions!C35*(Assumptions!C28+Assumptions!C7/Assumptions!C35)/(Assumptions!C28+Assumptions!C7/D19),Assumptions!C35)</f>
        <v>57.48587307750895</v>
      </c>
      <c r="F19" s="10">
        <f>IF(D19&lt;Assumptions!C36,Assumptions!C36*(Assumptions!C28+Assumptions!C7/Assumptions!C36)/(Assumptions!C28+Assumptions!C7/D19),Assumptions!C36)</f>
        <v>48.74653956275082</v>
      </c>
      <c r="G19" s="10">
        <f>Assumptions!C24*(Assumptions!C35/E19-1)</f>
        <v>18930.767675158902</v>
      </c>
      <c r="H19" s="10">
        <f>Assumptions!C25*(Assumptions!C36/F19-1)</f>
        <v>51550.407150610634</v>
      </c>
      <c r="I19" s="10">
        <f>Assumptions!C48/MIN((Assumptions!C49/(Assumptions!C28+K18+G19+H19+J18)),(D19*(1-Assumptions!C50)))</f>
        <v>192655.68572682957</v>
      </c>
      <c r="J19" s="10">
        <f>Assumptions!C51/MIN((Assumptions!C52/(Assumptions!C28+K18+G19+H19+I19)),(D19*(1-Assumptions!C53)))</f>
        <v>108793.79899868023</v>
      </c>
      <c r="K19" s="10">
        <f>MAX(0,($C$6*(Assumptions!C28+G19+H19+I19+J19+Assumptions!C7/D19)-Assumptions!C55)/(1-$C$6))</f>
        <v>0</v>
      </c>
      <c r="L19" s="10">
        <f>Assumptions!C28+K19+G19+H19+I19+J19</f>
        <v>36989891.65955128</v>
      </c>
      <c r="M19" s="10">
        <f>L19+Assumptions!C7/D19</f>
        <v>37914638.95104006</v>
      </c>
      <c r="N19" s="10">
        <f>$E$6/L19</f>
        <v>32.441295342105825</v>
      </c>
    </row>
    <row r="20" spans="3:14" x14ac:dyDescent="0.25">
      <c r="C20" s="10">
        <v>11</v>
      </c>
      <c r="D20" s="10">
        <f>N19</f>
        <v>32.441295342105825</v>
      </c>
      <c r="E20" s="10">
        <f>IF(D20&lt;Assumptions!C35,Assumptions!C35*(Assumptions!C28+Assumptions!C7/Assumptions!C35)/(Assumptions!C28+Assumptions!C7/D20),Assumptions!C35)</f>
        <v>57.48587307750895</v>
      </c>
      <c r="F20" s="10">
        <f>IF(D20&lt;Assumptions!C36,Assumptions!C36*(Assumptions!C28+Assumptions!C7/Assumptions!C36)/(Assumptions!C28+Assumptions!C7/D20),Assumptions!C36)</f>
        <v>48.74653956275082</v>
      </c>
      <c r="G20" s="10">
        <f>Assumptions!C24*(Assumptions!C35/E20-1)</f>
        <v>18930.767675158902</v>
      </c>
      <c r="H20" s="10">
        <f>Assumptions!C25*(Assumptions!C36/F20-1)</f>
        <v>51550.407150610634</v>
      </c>
      <c r="I20" s="10">
        <f>Assumptions!C48/MIN((Assumptions!C49/(Assumptions!C28+K19+G20+H20+J19)),(D20*(1-Assumptions!C50)))</f>
        <v>192655.68572682957</v>
      </c>
      <c r="J20" s="10">
        <f>Assumptions!C51/MIN((Assumptions!C52/(Assumptions!C28+K19+G20+H20+I20)),(D20*(1-Assumptions!C53)))</f>
        <v>108793.79899868023</v>
      </c>
      <c r="K20" s="10">
        <f>MAX(0,($C$6*(Assumptions!C28+G20+H20+I20+J20+Assumptions!C7/D20)-Assumptions!C55)/(1-$C$6))</f>
        <v>0</v>
      </c>
      <c r="L20" s="10">
        <f>Assumptions!C28+K20+G20+H20+I20+J20</f>
        <v>36989891.65955128</v>
      </c>
      <c r="M20" s="10">
        <f>L20+Assumptions!C7/D20</f>
        <v>37914638.95104006</v>
      </c>
      <c r="N20" s="10">
        <f>$E$6/L20</f>
        <v>32.441295342105825</v>
      </c>
    </row>
    <row r="21" spans="3:14" x14ac:dyDescent="0.25">
      <c r="C21" s="10">
        <v>12</v>
      </c>
      <c r="D21" s="10">
        <f>N20</f>
        <v>32.441295342105825</v>
      </c>
      <c r="E21" s="10">
        <f>IF(D21&lt;Assumptions!C35,Assumptions!C35*(Assumptions!C28+Assumptions!C7/Assumptions!C35)/(Assumptions!C28+Assumptions!C7/D21),Assumptions!C35)</f>
        <v>57.48587307750895</v>
      </c>
      <c r="F21" s="10">
        <f>IF(D21&lt;Assumptions!C36,Assumptions!C36*(Assumptions!C28+Assumptions!C7/Assumptions!C36)/(Assumptions!C28+Assumptions!C7/D21),Assumptions!C36)</f>
        <v>48.74653956275082</v>
      </c>
      <c r="G21" s="10">
        <f>Assumptions!C24*(Assumptions!C35/E21-1)</f>
        <v>18930.767675158902</v>
      </c>
      <c r="H21" s="10">
        <f>Assumptions!C25*(Assumptions!C36/F21-1)</f>
        <v>51550.407150610634</v>
      </c>
      <c r="I21" s="10">
        <f>Assumptions!C48/MIN((Assumptions!C49/(Assumptions!C28+K20+G21+H21+J20)),(D21*(1-Assumptions!C50)))</f>
        <v>192655.68572682957</v>
      </c>
      <c r="J21" s="10">
        <f>Assumptions!C51/MIN((Assumptions!C52/(Assumptions!C28+K20+G21+H21+I21)),(D21*(1-Assumptions!C53)))</f>
        <v>108793.79899868023</v>
      </c>
      <c r="K21" s="10">
        <f>MAX(0,($C$6*(Assumptions!C28+G21+H21+I21+J21+Assumptions!C7/D21)-Assumptions!C55)/(1-$C$6))</f>
        <v>0</v>
      </c>
      <c r="L21" s="10">
        <f>Assumptions!C28+K21+G21+H21+I21+J21</f>
        <v>36989891.65955128</v>
      </c>
      <c r="M21" s="10">
        <f>L21+Assumptions!C7/D21</f>
        <v>37914638.95104006</v>
      </c>
      <c r="N21" s="10">
        <f>$E$6/L21</f>
        <v>32.441295342105825</v>
      </c>
    </row>
    <row r="22" spans="3:14" x14ac:dyDescent="0.25">
      <c r="C22" s="10">
        <v>13</v>
      </c>
      <c r="D22" s="10">
        <f>N21</f>
        <v>32.441295342105825</v>
      </c>
      <c r="E22" s="10">
        <f>IF(D22&lt;Assumptions!C35,Assumptions!C35*(Assumptions!C28+Assumptions!C7/Assumptions!C35)/(Assumptions!C28+Assumptions!C7/D22),Assumptions!C35)</f>
        <v>57.48587307750895</v>
      </c>
      <c r="F22" s="10">
        <f>IF(D22&lt;Assumptions!C36,Assumptions!C36*(Assumptions!C28+Assumptions!C7/Assumptions!C36)/(Assumptions!C28+Assumptions!C7/D22),Assumptions!C36)</f>
        <v>48.74653956275082</v>
      </c>
      <c r="G22" s="10">
        <f>Assumptions!C24*(Assumptions!C35/E22-1)</f>
        <v>18930.767675158902</v>
      </c>
      <c r="H22" s="10">
        <f>Assumptions!C25*(Assumptions!C36/F22-1)</f>
        <v>51550.407150610634</v>
      </c>
      <c r="I22" s="10">
        <f>Assumptions!C48/MIN((Assumptions!C49/(Assumptions!C28+K21+G22+H22+J21)),(D22*(1-Assumptions!C50)))</f>
        <v>192655.68572682957</v>
      </c>
      <c r="J22" s="10">
        <f>Assumptions!C51/MIN((Assumptions!C52/(Assumptions!C28+K21+G22+H22+I22)),(D22*(1-Assumptions!C53)))</f>
        <v>108793.79899868023</v>
      </c>
      <c r="K22" s="10">
        <f>MAX(0,($C$6*(Assumptions!C28+G22+H22+I22+J22+Assumptions!C7/D22)-Assumptions!C55)/(1-$C$6))</f>
        <v>0</v>
      </c>
      <c r="L22" s="10">
        <f>Assumptions!C28+K22+G22+H22+I22+J22</f>
        <v>36989891.65955128</v>
      </c>
      <c r="M22" s="10">
        <f>L22+Assumptions!C7/D22</f>
        <v>37914638.95104006</v>
      </c>
      <c r="N22" s="10">
        <f>$E$6/L22</f>
        <v>32.441295342105825</v>
      </c>
    </row>
    <row r="23" spans="3:14" x14ac:dyDescent="0.25">
      <c r="C23" s="10">
        <v>14</v>
      </c>
      <c r="D23" s="10">
        <f>N22</f>
        <v>32.441295342105825</v>
      </c>
      <c r="E23" s="10">
        <f>IF(D23&lt;Assumptions!C35,Assumptions!C35*(Assumptions!C28+Assumptions!C7/Assumptions!C35)/(Assumptions!C28+Assumptions!C7/D23),Assumptions!C35)</f>
        <v>57.48587307750895</v>
      </c>
      <c r="F23" s="10">
        <f>IF(D23&lt;Assumptions!C36,Assumptions!C36*(Assumptions!C28+Assumptions!C7/Assumptions!C36)/(Assumptions!C28+Assumptions!C7/D23),Assumptions!C36)</f>
        <v>48.74653956275082</v>
      </c>
      <c r="G23" s="10">
        <f>Assumptions!C24*(Assumptions!C35/E23-1)</f>
        <v>18930.767675158902</v>
      </c>
      <c r="H23" s="10">
        <f>Assumptions!C25*(Assumptions!C36/F23-1)</f>
        <v>51550.407150610634</v>
      </c>
      <c r="I23" s="10">
        <f>Assumptions!C48/MIN((Assumptions!C49/(Assumptions!C28+K22+G23+H23+J22)),(D23*(1-Assumptions!C50)))</f>
        <v>192655.68572682957</v>
      </c>
      <c r="J23" s="10">
        <f>Assumptions!C51/MIN((Assumptions!C52/(Assumptions!C28+K22+G23+H23+I23)),(D23*(1-Assumptions!C53)))</f>
        <v>108793.79899868023</v>
      </c>
      <c r="K23" s="10">
        <f>MAX(0,($C$6*(Assumptions!C28+G23+H23+I23+J23+Assumptions!C7/D23)-Assumptions!C55)/(1-$C$6))</f>
        <v>0</v>
      </c>
      <c r="L23" s="10">
        <f>Assumptions!C28+K23+G23+H23+I23+J23</f>
        <v>36989891.65955128</v>
      </c>
      <c r="M23" s="10">
        <f>L23+Assumptions!C7/D23</f>
        <v>37914638.95104006</v>
      </c>
      <c r="N23" s="10">
        <f>$E$6/L23</f>
        <v>32.441295342105825</v>
      </c>
    </row>
    <row r="24" spans="2:9" x14ac:dyDescent="0.25">
      <c r="B24" s="9" t="s">
        <v>159</v>
      </c>
      <c r="C24" s="14">
        <f>N23</f>
        <v>32.441295342105825</v>
      </c>
      <c r="D24" s="5" t="s">
        <v>194</v>
      </c>
      <c r="E24" s="10">
        <f>M23</f>
        <v>37914638.95104006</v>
      </c>
      <c r="F24" s="5" t="s">
        <v>196</v>
      </c>
      <c r="G24" s="10" t="str">
        <f>IF((Assumptions!C49/(Assumptions!C28+K23+G23+H23+J23))&lt;(N23*(1-Assumptions!C50)),"cap","discount")</f>
        <v>discount</v>
      </c>
      <c r="H24" s="5" t="s">
        <v>197</v>
      </c>
      <c r="I24" s="10" t="str">
        <f>IF((Assumptions!C52/(Assumptions!C28+K23+G23+H23+I23))&lt;(N23*(1-Assumptions!C53)),"cap","discount")</f>
        <v>discount</v>
      </c>
    </row>
    <row r="25" spans="2:14" x14ac:dyDescent="0.25">
      <c r="B25" s="3" t="s">
        <v>198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</row>
    <row r="26" spans="2:5" x14ac:dyDescent="0.25">
      <c r="B26" s="5" t="s">
        <v>182</v>
      </c>
      <c r="C26" s="13">
        <f>Assumptions!C65</f>
        <v>0.11</v>
      </c>
      <c r="D26" s="5" t="s">
        <v>183</v>
      </c>
      <c r="E26" s="11">
        <f>Assumptions!C69</f>
        <v>1400000000</v>
      </c>
    </row>
    <row r="28" spans="3:14" x14ac:dyDescent="0.25">
      <c r="C28" s="16" t="s">
        <v>184</v>
      </c>
      <c r="D28" s="16" t="s">
        <v>185</v>
      </c>
      <c r="E28" s="16" t="s">
        <v>186</v>
      </c>
      <c r="F28" s="16" t="s">
        <v>187</v>
      </c>
      <c r="G28" s="16" t="s">
        <v>188</v>
      </c>
      <c r="H28" s="16" t="s">
        <v>189</v>
      </c>
      <c r="I28" s="16" t="s">
        <v>190</v>
      </c>
      <c r="J28" s="16" t="s">
        <v>191</v>
      </c>
      <c r="K28" s="16" t="s">
        <v>192</v>
      </c>
      <c r="L28" s="16" t="s">
        <v>193</v>
      </c>
      <c r="M28" s="16" t="s">
        <v>194</v>
      </c>
      <c r="N28" s="16" t="s">
        <v>195</v>
      </c>
    </row>
    <row r="29" spans="3:14" x14ac:dyDescent="0.25">
      <c r="C29" s="10">
        <v>0</v>
      </c>
      <c r="D29" s="10">
        <f>$E$26/Assumptions!C28</f>
        <v>38.23260393990807</v>
      </c>
      <c r="E29" s="10">
        <f>IF(D29&lt;Assumptions!C35,Assumptions!C35*(Assumptions!C28+Assumptions!C7/Assumptions!C35)/(Assumptions!C28+Assumptions!C7/D29),Assumptions!C35)</f>
        <v>57.7011635791589</v>
      </c>
      <c r="F29" s="10">
        <f>IF(D29&lt;Assumptions!C36,Assumptions!C36*(Assumptions!C28+Assumptions!C7/Assumptions!C36)/(Assumptions!C28+Assumptions!C7/D29),Assumptions!C36)</f>
        <v>48.92910036237569</v>
      </c>
      <c r="G29" s="10">
        <f>Assumptions!C24*(Assumptions!C35/E29-1)</f>
        <v>12440.252731936758</v>
      </c>
      <c r="H29" s="10">
        <f>Assumptions!C25*(Assumptions!C36/F29-1)</f>
        <v>28588.2263094802</v>
      </c>
      <c r="I29" s="10">
        <f>Assumptions!C48/MIN((Assumptions!C49/(Assumptions!C28+0+G29+H29+0)),(D29*(1-Assumptions!C50)))</f>
        <v>183294.94739520707</v>
      </c>
      <c r="J29" s="10">
        <f>Assumptions!C51/MIN((Assumptions!C52/(Assumptions!C28+0+G29+H29+I29)),(D29*(1-Assumptions!C53)))</f>
        <v>92314.18739495797</v>
      </c>
      <c r="K29" s="10">
        <f>MAX(0,($C$26*(Assumptions!C28+G29+H29+I29+J29+Assumptions!C7/D29)-Assumptions!C55)/(1-$C$26))</f>
        <v>0</v>
      </c>
      <c r="L29" s="10">
        <f>Assumptions!C28+K29+G29+H29+I29+J29</f>
        <v>36934598.61383158</v>
      </c>
      <c r="M29" s="10">
        <f>L29+Assumptions!C7/D29</f>
        <v>37719269.206688724</v>
      </c>
      <c r="N29" s="10">
        <f>$E$26/L29</f>
        <v>37.90483862130605</v>
      </c>
    </row>
    <row r="30" spans="3:14" x14ac:dyDescent="0.25">
      <c r="C30" s="10">
        <v>1</v>
      </c>
      <c r="D30" s="10">
        <f>N29</f>
        <v>37.90483862130605</v>
      </c>
      <c r="E30" s="10">
        <f>IF(D30&lt;Assumptions!C35,Assumptions!C35*(Assumptions!C28+Assumptions!C7/Assumptions!C35)/(Assumptions!C28+Assumptions!C7/D30),Assumptions!C35)</f>
        <v>57.69069809420299</v>
      </c>
      <c r="F30" s="10">
        <f>IF(D30&lt;Assumptions!C36,Assumptions!C36*(Assumptions!C28+Assumptions!C7/Assumptions!C36)/(Assumptions!C28+Assumptions!C7/D30),Assumptions!C36)</f>
        <v>48.92022590071867</v>
      </c>
      <c r="G30" s="10">
        <f>Assumptions!C24*(Assumptions!C35/E30-1)</f>
        <v>12754.642917186964</v>
      </c>
      <c r="H30" s="10">
        <f>Assumptions!C25*(Assumptions!C36/F30-1)</f>
        <v>29700.477702711243</v>
      </c>
      <c r="I30" s="10">
        <f>Assumptions!C48/MIN((Assumptions!C49/(Assumptions!C28+K29+G30+H30+J29)),(D30*(1-Assumptions!C50)))</f>
        <v>183763.65154007426</v>
      </c>
      <c r="J30" s="10">
        <f>Assumptions!C51/MIN((Assumptions!C52/(Assumptions!C28+K29+G30+H30+I30)),(D30*(1-Assumptions!C53)))</f>
        <v>93112.43348024768</v>
      </c>
      <c r="K30" s="10">
        <f>MAX(0,($C$26*(Assumptions!C28+G30+H30+I30+J30+Assumptions!C7/D30)-Assumptions!C55)/(1-$C$26))</f>
        <v>0</v>
      </c>
      <c r="L30" s="10">
        <f>Assumptions!C28+K30+G30+H30+I30+J30</f>
        <v>36937292.20564022</v>
      </c>
      <c r="M30" s="10">
        <f>L30+Assumptions!C7/D30</f>
        <v>37728747.890222326</v>
      </c>
      <c r="N30" s="10">
        <f>$E$26/L30</f>
        <v>37.90207447275261</v>
      </c>
    </row>
    <row r="31" spans="3:14" x14ac:dyDescent="0.25">
      <c r="C31" s="10">
        <v>2</v>
      </c>
      <c r="D31" s="10">
        <f>N30</f>
        <v>37.90207447275261</v>
      </c>
      <c r="E31" s="10">
        <f>IF(D31&lt;Assumptions!C35,Assumptions!C35*(Assumptions!C28+Assumptions!C7/Assumptions!C35)/(Assumptions!C28+Assumptions!C7/D31),Assumptions!C35)</f>
        <v>57.69060908207383</v>
      </c>
      <c r="F31" s="10">
        <f>IF(D31&lt;Assumptions!C36,Assumptions!C36*(Assumptions!C28+Assumptions!C7/Assumptions!C36)/(Assumptions!C28+Assumptions!C7/D31),Assumptions!C36)</f>
        <v>48.92015042072605</v>
      </c>
      <c r="G31" s="10">
        <f>Assumptions!C24*(Assumptions!C35/E31-1)</f>
        <v>12757.317390435568</v>
      </c>
      <c r="H31" s="10">
        <f>Assumptions!C25*(Assumptions!C36/F31-1)</f>
        <v>29709.93946944646</v>
      </c>
      <c r="I31" s="10">
        <f>Assumptions!C48/MIN((Assumptions!C49/(Assumptions!C28+K30+G31+H31+J30)),(D31*(1-Assumptions!C50)))</f>
        <v>183767.70345170063</v>
      </c>
      <c r="J31" s="10">
        <f>Assumptions!C51/MIN((Assumptions!C52/(Assumptions!C28+K30+G31+H31+I31)),(D31*(1-Assumptions!C53)))</f>
        <v>93119.22404783247</v>
      </c>
      <c r="K31" s="10">
        <f>MAX(0,($C$26*(Assumptions!C28+G31+H31+I31+J31+Assumptions!C7/D31)-Assumptions!C55)/(1-$C$26))</f>
        <v>0</v>
      </c>
      <c r="L31" s="10">
        <f>Assumptions!C28+K31+G31+H31+I31+J31</f>
        <v>36937315.18435942</v>
      </c>
      <c r="M31" s="10">
        <f>L31+Assumptions!C7/D31</f>
        <v>37728828.58876599</v>
      </c>
      <c r="N31" s="10">
        <f>$E$26/L31</f>
        <v>37.90205089385625</v>
      </c>
    </row>
    <row r="32" spans="3:14" x14ac:dyDescent="0.25">
      <c r="C32" s="10">
        <v>3</v>
      </c>
      <c r="D32" s="10">
        <f>N31</f>
        <v>37.90205089385625</v>
      </c>
      <c r="E32" s="10">
        <f>IF(D32&lt;Assumptions!C35,Assumptions!C35*(Assumptions!C28+Assumptions!C7/Assumptions!C35)/(Assumptions!C28+Assumptions!C7/D32),Assumptions!C35)</f>
        <v>57.69060832272287</v>
      </c>
      <c r="F32" s="10">
        <f>IF(D32&lt;Assumptions!C36,Assumptions!C36*(Assumptions!C28+Assumptions!C7/Assumptions!C36)/(Assumptions!C28+Assumptions!C7/D32),Assumptions!C36)</f>
        <v>48.920149776816004</v>
      </c>
      <c r="G32" s="10">
        <f>Assumptions!C24*(Assumptions!C35/E32-1)</f>
        <v>12757.340206056095</v>
      </c>
      <c r="H32" s="10">
        <f>Assumptions!C25*(Assumptions!C36/F32-1)</f>
        <v>29710.02018667972</v>
      </c>
      <c r="I32" s="10">
        <f>Assumptions!C48/MIN((Assumptions!C49/(Assumptions!C28+K31+G32+H32+J31)),(D32*(1-Assumptions!C50)))</f>
        <v>183767.73792220288</v>
      </c>
      <c r="J32" s="10">
        <f>Assumptions!C51/MIN((Assumptions!C52/(Assumptions!C28+K31+G32+H32+I32)),(D32*(1-Assumptions!C53)))</f>
        <v>93119.28197737668</v>
      </c>
      <c r="K32" s="10">
        <f>MAX(0,($C$26*(Assumptions!C28+G32+H32+I32+J32+Assumptions!C7/D32)-Assumptions!C55)/(1-$C$26))</f>
        <v>0</v>
      </c>
      <c r="L32" s="10">
        <f>Assumptions!C28+K32+G32+H32+I32+J32</f>
        <v>36937315.38029232</v>
      </c>
      <c r="M32" s="10">
        <f>L32+Assumptions!C7/D32</f>
        <v>37728829.27710002</v>
      </c>
      <c r="N32" s="10">
        <f>$E$26/L32</f>
        <v>37.902050692805936</v>
      </c>
    </row>
    <row r="33" spans="3:14" x14ac:dyDescent="0.25">
      <c r="C33" s="10">
        <v>4</v>
      </c>
      <c r="D33" s="10">
        <f>N32</f>
        <v>37.902050692805936</v>
      </c>
      <c r="E33" s="10">
        <f>IF(D33&lt;Assumptions!C35,Assumptions!C35*(Assumptions!C28+Assumptions!C7/Assumptions!C35)/(Assumptions!C28+Assumptions!C7/D33),Assumptions!C35)</f>
        <v>57.690608316248095</v>
      </c>
      <c r="F33" s="10">
        <f>IF(D33&lt;Assumptions!C36,Assumptions!C36*(Assumptions!C28+Assumptions!C7/Assumptions!C36)/(Assumptions!C28+Assumptions!C7/D33),Assumptions!C36)</f>
        <v>48.920149771325555</v>
      </c>
      <c r="G33" s="10">
        <f>Assumptions!C24*(Assumptions!C35/E33-1)</f>
        <v>12757.340400598616</v>
      </c>
      <c r="H33" s="10">
        <f>Assumptions!C25*(Assumptions!C36/F33-1)</f>
        <v>29710.020874934846</v>
      </c>
      <c r="I33" s="10">
        <f>Assumptions!C48/MIN((Assumptions!C49/(Assumptions!C28+K32+G33+H33+J32)),(D33*(1-Assumptions!C50)))</f>
        <v>183767.73821626455</v>
      </c>
      <c r="J33" s="10">
        <f>Assumptions!C51/MIN((Assumptions!C52/(Assumptions!C28+K32+G33+H33+I33)),(D33*(1-Assumptions!C53)))</f>
        <v>93119.28247132519</v>
      </c>
      <c r="K33" s="10">
        <f>MAX(0,($C$26*(Assumptions!C28+G33+H33+I33+J33+Assumptions!C7/D33)-Assumptions!C55)/(1-$C$26))</f>
        <v>0</v>
      </c>
      <c r="L33" s="10">
        <f>Assumptions!C28+K33+G33+H33+I33+J33</f>
        <v>36937315.38196313</v>
      </c>
      <c r="M33" s="10">
        <f>L33+Assumptions!C7/D33</f>
        <v>37728829.28296939</v>
      </c>
      <c r="N33" s="10">
        <f>$E$26/L33</f>
        <v>37.90205069109149</v>
      </c>
    </row>
    <row r="34" spans="3:14" x14ac:dyDescent="0.25">
      <c r="C34" s="10">
        <v>5</v>
      </c>
      <c r="D34" s="10">
        <f>N33</f>
        <v>37.90205069109149</v>
      </c>
      <c r="E34" s="10">
        <f>IF(D34&lt;Assumptions!C35,Assumptions!C35*(Assumptions!C28+Assumptions!C7/Assumptions!C35)/(Assumptions!C28+Assumptions!C7/D34),Assumptions!C35)</f>
        <v>57.690608316192886</v>
      </c>
      <c r="F34" s="10">
        <f>IF(D34&lt;Assumptions!C36,Assumptions!C36*(Assumptions!C28+Assumptions!C7/Assumptions!C36)/(Assumptions!C28+Assumptions!C7/D34),Assumptions!C36)</f>
        <v>48.92014977127874</v>
      </c>
      <c r="G34" s="10">
        <f>Assumptions!C24*(Assumptions!C35/E34-1)</f>
        <v>12757.340402257472</v>
      </c>
      <c r="H34" s="10">
        <f>Assumptions!C25*(Assumptions!C36/F34-1)</f>
        <v>29710.02088080195</v>
      </c>
      <c r="I34" s="10">
        <f>Assumptions!C48/MIN((Assumptions!C49/(Assumptions!C28+K33+G34+H34+J33)),(D34*(1-Assumptions!C50)))</f>
        <v>183767.73821877193</v>
      </c>
      <c r="J34" s="10">
        <f>Assumptions!C51/MIN((Assumptions!C52/(Assumptions!C28+K33+G34+H34+I34)),(D34*(1-Assumptions!C53)))</f>
        <v>93119.2824755373</v>
      </c>
      <c r="K34" s="10">
        <f>MAX(0,($C$26*(Assumptions!C28+G34+H34+I34+J34+Assumptions!C7/D34)-Assumptions!C55)/(1-$C$26))</f>
        <v>0</v>
      </c>
      <c r="L34" s="10">
        <f>Assumptions!C28+K34+G34+H34+I34+J34</f>
        <v>36937315.381977364</v>
      </c>
      <c r="M34" s="10">
        <f>L34+Assumptions!C7/D34</f>
        <v>37728829.28301943</v>
      </c>
      <c r="N34" s="10">
        <f>$E$26/L34</f>
        <v>37.90205069107689</v>
      </c>
    </row>
    <row r="35" spans="3:14" x14ac:dyDescent="0.25">
      <c r="C35" s="10">
        <v>6</v>
      </c>
      <c r="D35" s="10">
        <f>N34</f>
        <v>37.90205069107689</v>
      </c>
      <c r="E35" s="10">
        <f>IF(D35&lt;Assumptions!C35,Assumptions!C35*(Assumptions!C28+Assumptions!C7/Assumptions!C35)/(Assumptions!C28+Assumptions!C7/D35),Assumptions!C35)</f>
        <v>57.690608316192424</v>
      </c>
      <c r="F35" s="10">
        <f>IF(D35&lt;Assumptions!C36,Assumptions!C36*(Assumptions!C28+Assumptions!C7/Assumptions!C36)/(Assumptions!C28+Assumptions!C7/D35),Assumptions!C36)</f>
        <v>48.920149771278346</v>
      </c>
      <c r="G35" s="10">
        <f>Assumptions!C24*(Assumptions!C35/E35-1)</f>
        <v>12757.340402271237</v>
      </c>
      <c r="H35" s="10">
        <f>Assumptions!C25*(Assumptions!C36/F35-1)</f>
        <v>29710.02088085199</v>
      </c>
      <c r="I35" s="10">
        <f>Assumptions!C48/MIN((Assumptions!C49/(Assumptions!C28+K34+G35+H35+J34)),(D35*(1-Assumptions!C50)))</f>
        <v>183767.73821879327</v>
      </c>
      <c r="J35" s="10">
        <f>Assumptions!C51/MIN((Assumptions!C52/(Assumptions!C28+K34+G35+H35+I35)),(D35*(1-Assumptions!C53)))</f>
        <v>93119.28247557317</v>
      </c>
      <c r="K35" s="10">
        <f>MAX(0,($C$26*(Assumptions!C28+G35+H35+I35+J35+Assumptions!C7/D35)-Assumptions!C55)/(1-$C$26))</f>
        <v>0</v>
      </c>
      <c r="L35" s="10">
        <f>Assumptions!C28+K35+G35+H35+I35+J35</f>
        <v>36937315.38197749</v>
      </c>
      <c r="M35" s="10">
        <f>L35+Assumptions!C7/D35</f>
        <v>37728829.28301986</v>
      </c>
      <c r="N35" s="10">
        <f>$E$26/L35</f>
        <v>37.90205069107675</v>
      </c>
    </row>
    <row r="36" spans="3:14" x14ac:dyDescent="0.25">
      <c r="C36" s="10">
        <v>7</v>
      </c>
      <c r="D36" s="10">
        <f>N35</f>
        <v>37.90205069107675</v>
      </c>
      <c r="E36" s="10">
        <f>IF(D36&lt;Assumptions!C35,Assumptions!C35*(Assumptions!C28+Assumptions!C7/Assumptions!C35)/(Assumptions!C28+Assumptions!C7/D36),Assumptions!C35)</f>
        <v>57.690608316192424</v>
      </c>
      <c r="F36" s="10">
        <f>IF(D36&lt;Assumptions!C36,Assumptions!C36*(Assumptions!C28+Assumptions!C7/Assumptions!C36)/(Assumptions!C28+Assumptions!C7/D36),Assumptions!C36)</f>
        <v>48.920149771278346</v>
      </c>
      <c r="G36" s="10">
        <f>Assumptions!C24*(Assumptions!C35/E36-1)</f>
        <v>12757.340402271237</v>
      </c>
      <c r="H36" s="10">
        <f>Assumptions!C25*(Assumptions!C36/F36-1)</f>
        <v>29710.02088085199</v>
      </c>
      <c r="I36" s="10">
        <f>Assumptions!C48/MIN((Assumptions!C49/(Assumptions!C28+K35+G36+H36+J35)),(D36*(1-Assumptions!C50)))</f>
        <v>183767.73821879344</v>
      </c>
      <c r="J36" s="10">
        <f>Assumptions!C51/MIN((Assumptions!C52/(Assumptions!C28+K35+G36+H36+I36)),(D36*(1-Assumptions!C53)))</f>
        <v>93119.2824755735</v>
      </c>
      <c r="K36" s="10">
        <f>MAX(0,($C$26*(Assumptions!C28+G36+H36+I36+J36+Assumptions!C7/D36)-Assumptions!C55)/(1-$C$26))</f>
        <v>0</v>
      </c>
      <c r="L36" s="10">
        <f>Assumptions!C28+K36+G36+H36+I36+J36</f>
        <v>36937315.38197749</v>
      </c>
      <c r="M36" s="10">
        <f>L36+Assumptions!C7/D36</f>
        <v>37728829.28301986</v>
      </c>
      <c r="N36" s="10">
        <f>$E$26/L36</f>
        <v>37.90205069107675</v>
      </c>
    </row>
    <row r="37" spans="3:14" x14ac:dyDescent="0.25">
      <c r="C37" s="10">
        <v>8</v>
      </c>
      <c r="D37" s="10">
        <f>N36</f>
        <v>37.90205069107675</v>
      </c>
      <c r="E37" s="10">
        <f>IF(D37&lt;Assumptions!C35,Assumptions!C35*(Assumptions!C28+Assumptions!C7/Assumptions!C35)/(Assumptions!C28+Assumptions!C7/D37),Assumptions!C35)</f>
        <v>57.690608316192424</v>
      </c>
      <c r="F37" s="10">
        <f>IF(D37&lt;Assumptions!C36,Assumptions!C36*(Assumptions!C28+Assumptions!C7/Assumptions!C36)/(Assumptions!C28+Assumptions!C7/D37),Assumptions!C36)</f>
        <v>48.920149771278346</v>
      </c>
      <c r="G37" s="10">
        <f>Assumptions!C24*(Assumptions!C35/E37-1)</f>
        <v>12757.340402271237</v>
      </c>
      <c r="H37" s="10">
        <f>Assumptions!C25*(Assumptions!C36/F37-1)</f>
        <v>29710.02088085199</v>
      </c>
      <c r="I37" s="10">
        <f>Assumptions!C48/MIN((Assumptions!C49/(Assumptions!C28+K36+G37+H37+J36)),(D37*(1-Assumptions!C50)))</f>
        <v>183767.73821879344</v>
      </c>
      <c r="J37" s="10">
        <f>Assumptions!C51/MIN((Assumptions!C52/(Assumptions!C28+K36+G37+H37+I37)),(D37*(1-Assumptions!C53)))</f>
        <v>93119.2824755735</v>
      </c>
      <c r="K37" s="10">
        <f>MAX(0,($C$26*(Assumptions!C28+G37+H37+I37+J37+Assumptions!C7/D37)-Assumptions!C55)/(1-$C$26))</f>
        <v>0</v>
      </c>
      <c r="L37" s="10">
        <f>Assumptions!C28+K37+G37+H37+I37+J37</f>
        <v>36937315.38197749</v>
      </c>
      <c r="M37" s="10">
        <f>L37+Assumptions!C7/D37</f>
        <v>37728829.28301986</v>
      </c>
      <c r="N37" s="10">
        <f>$E$26/L37</f>
        <v>37.90205069107675</v>
      </c>
    </row>
    <row r="38" spans="3:14" x14ac:dyDescent="0.25">
      <c r="C38" s="10">
        <v>9</v>
      </c>
      <c r="D38" s="10">
        <f>N37</f>
        <v>37.90205069107675</v>
      </c>
      <c r="E38" s="10">
        <f>IF(D38&lt;Assumptions!C35,Assumptions!C35*(Assumptions!C28+Assumptions!C7/Assumptions!C35)/(Assumptions!C28+Assumptions!C7/D38),Assumptions!C35)</f>
        <v>57.690608316192424</v>
      </c>
      <c r="F38" s="10">
        <f>IF(D38&lt;Assumptions!C36,Assumptions!C36*(Assumptions!C28+Assumptions!C7/Assumptions!C36)/(Assumptions!C28+Assumptions!C7/D38),Assumptions!C36)</f>
        <v>48.920149771278346</v>
      </c>
      <c r="G38" s="10">
        <f>Assumptions!C24*(Assumptions!C35/E38-1)</f>
        <v>12757.340402271237</v>
      </c>
      <c r="H38" s="10">
        <f>Assumptions!C25*(Assumptions!C36/F38-1)</f>
        <v>29710.02088085199</v>
      </c>
      <c r="I38" s="10">
        <f>Assumptions!C48/MIN((Assumptions!C49/(Assumptions!C28+K37+G38+H38+J37)),(D38*(1-Assumptions!C50)))</f>
        <v>183767.73821879344</v>
      </c>
      <c r="J38" s="10">
        <f>Assumptions!C51/MIN((Assumptions!C52/(Assumptions!C28+K37+G38+H38+I38)),(D38*(1-Assumptions!C53)))</f>
        <v>93119.2824755735</v>
      </c>
      <c r="K38" s="10">
        <f>MAX(0,($C$26*(Assumptions!C28+G38+H38+I38+J38+Assumptions!C7/D38)-Assumptions!C55)/(1-$C$26))</f>
        <v>0</v>
      </c>
      <c r="L38" s="10">
        <f>Assumptions!C28+K38+G38+H38+I38+J38</f>
        <v>36937315.38197749</v>
      </c>
      <c r="M38" s="10">
        <f>L38+Assumptions!C7/D38</f>
        <v>37728829.28301986</v>
      </c>
      <c r="N38" s="10">
        <f>$E$26/L38</f>
        <v>37.90205069107675</v>
      </c>
    </row>
    <row r="39" spans="3:14" x14ac:dyDescent="0.25">
      <c r="C39" s="10">
        <v>10</v>
      </c>
      <c r="D39" s="10">
        <f>N38</f>
        <v>37.90205069107675</v>
      </c>
      <c r="E39" s="10">
        <f>IF(D39&lt;Assumptions!C35,Assumptions!C35*(Assumptions!C28+Assumptions!C7/Assumptions!C35)/(Assumptions!C28+Assumptions!C7/D39),Assumptions!C35)</f>
        <v>57.690608316192424</v>
      </c>
      <c r="F39" s="10">
        <f>IF(D39&lt;Assumptions!C36,Assumptions!C36*(Assumptions!C28+Assumptions!C7/Assumptions!C36)/(Assumptions!C28+Assumptions!C7/D39),Assumptions!C36)</f>
        <v>48.920149771278346</v>
      </c>
      <c r="G39" s="10">
        <f>Assumptions!C24*(Assumptions!C35/E39-1)</f>
        <v>12757.340402271237</v>
      </c>
      <c r="H39" s="10">
        <f>Assumptions!C25*(Assumptions!C36/F39-1)</f>
        <v>29710.02088085199</v>
      </c>
      <c r="I39" s="10">
        <f>Assumptions!C48/MIN((Assumptions!C49/(Assumptions!C28+K38+G39+H39+J38)),(D39*(1-Assumptions!C50)))</f>
        <v>183767.73821879344</v>
      </c>
      <c r="J39" s="10">
        <f>Assumptions!C51/MIN((Assumptions!C52/(Assumptions!C28+K38+G39+H39+I39)),(D39*(1-Assumptions!C53)))</f>
        <v>93119.2824755735</v>
      </c>
      <c r="K39" s="10">
        <f>MAX(0,($C$26*(Assumptions!C28+G39+H39+I39+J39+Assumptions!C7/D39)-Assumptions!C55)/(1-$C$26))</f>
        <v>0</v>
      </c>
      <c r="L39" s="10">
        <f>Assumptions!C28+K39+G39+H39+I39+J39</f>
        <v>36937315.38197749</v>
      </c>
      <c r="M39" s="10">
        <f>L39+Assumptions!C7/D39</f>
        <v>37728829.28301986</v>
      </c>
      <c r="N39" s="10">
        <f>$E$26/L39</f>
        <v>37.90205069107675</v>
      </c>
    </row>
    <row r="40" spans="3:14" x14ac:dyDescent="0.25">
      <c r="C40" s="10">
        <v>11</v>
      </c>
      <c r="D40" s="10">
        <f>N39</f>
        <v>37.90205069107675</v>
      </c>
      <c r="E40" s="10">
        <f>IF(D40&lt;Assumptions!C35,Assumptions!C35*(Assumptions!C28+Assumptions!C7/Assumptions!C35)/(Assumptions!C28+Assumptions!C7/D40),Assumptions!C35)</f>
        <v>57.690608316192424</v>
      </c>
      <c r="F40" s="10">
        <f>IF(D40&lt;Assumptions!C36,Assumptions!C36*(Assumptions!C28+Assumptions!C7/Assumptions!C36)/(Assumptions!C28+Assumptions!C7/D40),Assumptions!C36)</f>
        <v>48.920149771278346</v>
      </c>
      <c r="G40" s="10">
        <f>Assumptions!C24*(Assumptions!C35/E40-1)</f>
        <v>12757.340402271237</v>
      </c>
      <c r="H40" s="10">
        <f>Assumptions!C25*(Assumptions!C36/F40-1)</f>
        <v>29710.02088085199</v>
      </c>
      <c r="I40" s="10">
        <f>Assumptions!C48/MIN((Assumptions!C49/(Assumptions!C28+K39+G40+H40+J39)),(D40*(1-Assumptions!C50)))</f>
        <v>183767.73821879344</v>
      </c>
      <c r="J40" s="10">
        <f>Assumptions!C51/MIN((Assumptions!C52/(Assumptions!C28+K39+G40+H40+I40)),(D40*(1-Assumptions!C53)))</f>
        <v>93119.2824755735</v>
      </c>
      <c r="K40" s="10">
        <f>MAX(0,($C$26*(Assumptions!C28+G40+H40+I40+J40+Assumptions!C7/D40)-Assumptions!C55)/(1-$C$26))</f>
        <v>0</v>
      </c>
      <c r="L40" s="10">
        <f>Assumptions!C28+K40+G40+H40+I40+J40</f>
        <v>36937315.38197749</v>
      </c>
      <c r="M40" s="10">
        <f>L40+Assumptions!C7/D40</f>
        <v>37728829.28301986</v>
      </c>
      <c r="N40" s="10">
        <f>$E$26/L40</f>
        <v>37.90205069107675</v>
      </c>
    </row>
    <row r="41" spans="3:14" x14ac:dyDescent="0.25">
      <c r="C41" s="10">
        <v>12</v>
      </c>
      <c r="D41" s="10">
        <f>N40</f>
        <v>37.90205069107675</v>
      </c>
      <c r="E41" s="10">
        <f>IF(D41&lt;Assumptions!C35,Assumptions!C35*(Assumptions!C28+Assumptions!C7/Assumptions!C35)/(Assumptions!C28+Assumptions!C7/D41),Assumptions!C35)</f>
        <v>57.690608316192424</v>
      </c>
      <c r="F41" s="10">
        <f>IF(D41&lt;Assumptions!C36,Assumptions!C36*(Assumptions!C28+Assumptions!C7/Assumptions!C36)/(Assumptions!C28+Assumptions!C7/D41),Assumptions!C36)</f>
        <v>48.920149771278346</v>
      </c>
      <c r="G41" s="10">
        <f>Assumptions!C24*(Assumptions!C35/E41-1)</f>
        <v>12757.340402271237</v>
      </c>
      <c r="H41" s="10">
        <f>Assumptions!C25*(Assumptions!C36/F41-1)</f>
        <v>29710.02088085199</v>
      </c>
      <c r="I41" s="10">
        <f>Assumptions!C48/MIN((Assumptions!C49/(Assumptions!C28+K40+G41+H41+J40)),(D41*(1-Assumptions!C50)))</f>
        <v>183767.73821879344</v>
      </c>
      <c r="J41" s="10">
        <f>Assumptions!C51/MIN((Assumptions!C52/(Assumptions!C28+K40+G41+H41+I41)),(D41*(1-Assumptions!C53)))</f>
        <v>93119.2824755735</v>
      </c>
      <c r="K41" s="10">
        <f>MAX(0,($C$26*(Assumptions!C28+G41+H41+I41+J41+Assumptions!C7/D41)-Assumptions!C55)/(1-$C$26))</f>
        <v>0</v>
      </c>
      <c r="L41" s="10">
        <f>Assumptions!C28+K41+G41+H41+I41+J41</f>
        <v>36937315.38197749</v>
      </c>
      <c r="M41" s="10">
        <f>L41+Assumptions!C7/D41</f>
        <v>37728829.28301986</v>
      </c>
      <c r="N41" s="10">
        <f>$E$26/L41</f>
        <v>37.90205069107675</v>
      </c>
    </row>
    <row r="42" spans="3:14" x14ac:dyDescent="0.25">
      <c r="C42" s="10">
        <v>13</v>
      </c>
      <c r="D42" s="10">
        <f>N41</f>
        <v>37.90205069107675</v>
      </c>
      <c r="E42" s="10">
        <f>IF(D42&lt;Assumptions!C35,Assumptions!C35*(Assumptions!C28+Assumptions!C7/Assumptions!C35)/(Assumptions!C28+Assumptions!C7/D42),Assumptions!C35)</f>
        <v>57.690608316192424</v>
      </c>
      <c r="F42" s="10">
        <f>IF(D42&lt;Assumptions!C36,Assumptions!C36*(Assumptions!C28+Assumptions!C7/Assumptions!C36)/(Assumptions!C28+Assumptions!C7/D42),Assumptions!C36)</f>
        <v>48.920149771278346</v>
      </c>
      <c r="G42" s="10">
        <f>Assumptions!C24*(Assumptions!C35/E42-1)</f>
        <v>12757.340402271237</v>
      </c>
      <c r="H42" s="10">
        <f>Assumptions!C25*(Assumptions!C36/F42-1)</f>
        <v>29710.02088085199</v>
      </c>
      <c r="I42" s="10">
        <f>Assumptions!C48/MIN((Assumptions!C49/(Assumptions!C28+K41+G42+H42+J41)),(D42*(1-Assumptions!C50)))</f>
        <v>183767.73821879344</v>
      </c>
      <c r="J42" s="10">
        <f>Assumptions!C51/MIN((Assumptions!C52/(Assumptions!C28+K41+G42+H42+I42)),(D42*(1-Assumptions!C53)))</f>
        <v>93119.2824755735</v>
      </c>
      <c r="K42" s="10">
        <f>MAX(0,($C$26*(Assumptions!C28+G42+H42+I42+J42+Assumptions!C7/D42)-Assumptions!C55)/(1-$C$26))</f>
        <v>0</v>
      </c>
      <c r="L42" s="10">
        <f>Assumptions!C28+K42+G42+H42+I42+J42</f>
        <v>36937315.38197749</v>
      </c>
      <c r="M42" s="10">
        <f>L42+Assumptions!C7/D42</f>
        <v>37728829.28301986</v>
      </c>
      <c r="N42" s="10">
        <f>$E$26/L42</f>
        <v>37.90205069107675</v>
      </c>
    </row>
    <row r="43" spans="3:14" x14ac:dyDescent="0.25">
      <c r="C43" s="10">
        <v>14</v>
      </c>
      <c r="D43" s="10">
        <f>N42</f>
        <v>37.90205069107675</v>
      </c>
      <c r="E43" s="10">
        <f>IF(D43&lt;Assumptions!C35,Assumptions!C35*(Assumptions!C28+Assumptions!C7/Assumptions!C35)/(Assumptions!C28+Assumptions!C7/D43),Assumptions!C35)</f>
        <v>57.690608316192424</v>
      </c>
      <c r="F43" s="10">
        <f>IF(D43&lt;Assumptions!C36,Assumptions!C36*(Assumptions!C28+Assumptions!C7/Assumptions!C36)/(Assumptions!C28+Assumptions!C7/D43),Assumptions!C36)</f>
        <v>48.920149771278346</v>
      </c>
      <c r="G43" s="10">
        <f>Assumptions!C24*(Assumptions!C35/E43-1)</f>
        <v>12757.340402271237</v>
      </c>
      <c r="H43" s="10">
        <f>Assumptions!C25*(Assumptions!C36/F43-1)</f>
        <v>29710.02088085199</v>
      </c>
      <c r="I43" s="10">
        <f>Assumptions!C48/MIN((Assumptions!C49/(Assumptions!C28+K42+G43+H43+J42)),(D43*(1-Assumptions!C50)))</f>
        <v>183767.73821879344</v>
      </c>
      <c r="J43" s="10">
        <f>Assumptions!C51/MIN((Assumptions!C52/(Assumptions!C28+K42+G43+H43+I43)),(D43*(1-Assumptions!C53)))</f>
        <v>93119.2824755735</v>
      </c>
      <c r="K43" s="10">
        <f>MAX(0,($C$26*(Assumptions!C28+G43+H43+I43+J43+Assumptions!C7/D43)-Assumptions!C55)/(1-$C$26))</f>
        <v>0</v>
      </c>
      <c r="L43" s="10">
        <f>Assumptions!C28+K43+G43+H43+I43+J43</f>
        <v>36937315.38197749</v>
      </c>
      <c r="M43" s="10">
        <f>L43+Assumptions!C7/D43</f>
        <v>37728829.28301986</v>
      </c>
      <c r="N43" s="10">
        <f>$E$26/L43</f>
        <v>37.90205069107675</v>
      </c>
    </row>
    <row r="44" spans="2:9" x14ac:dyDescent="0.25">
      <c r="B44" s="9" t="s">
        <v>159</v>
      </c>
      <c r="C44" s="14">
        <f>N43</f>
        <v>37.90205069107675</v>
      </c>
      <c r="D44" s="5" t="s">
        <v>194</v>
      </c>
      <c r="E44" s="10">
        <f>M43</f>
        <v>37728829.28301986</v>
      </c>
      <c r="F44" s="5" t="s">
        <v>196</v>
      </c>
      <c r="G44" s="10" t="str">
        <f>IF((Assumptions!C49/(Assumptions!C28+K43+G43+H43+J43))&lt;(N43*(1-Assumptions!C50)),"cap","discount")</f>
        <v>cap</v>
      </c>
      <c r="H44" s="5" t="s">
        <v>197</v>
      </c>
      <c r="I44" s="10" t="str">
        <f>IF((Assumptions!C52/(Assumptions!C28+K43+G43+H43+I43))&lt;(N43*(1-Assumptions!C53)),"cap","discount")</f>
        <v>discount</v>
      </c>
    </row>
    <row r="45" spans="2:14" x14ac:dyDescent="0.25">
      <c r="B45" s="3" t="s">
        <v>199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</row>
    <row r="46" spans="2:5" x14ac:dyDescent="0.25">
      <c r="B46" s="5" t="s">
        <v>182</v>
      </c>
      <c r="C46" s="13">
        <f>Assumptions!C65</f>
        <v>0.11</v>
      </c>
      <c r="D46" s="5" t="s">
        <v>183</v>
      </c>
      <c r="E46" s="11">
        <f>Assumptions!C70</f>
        <v>1800000000</v>
      </c>
    </row>
    <row r="48" spans="3:14" x14ac:dyDescent="0.25">
      <c r="C48" s="16" t="s">
        <v>184</v>
      </c>
      <c r="D48" s="16" t="s">
        <v>185</v>
      </c>
      <c r="E48" s="16" t="s">
        <v>186</v>
      </c>
      <c r="F48" s="16" t="s">
        <v>187</v>
      </c>
      <c r="G48" s="16" t="s">
        <v>188</v>
      </c>
      <c r="H48" s="16" t="s">
        <v>189</v>
      </c>
      <c r="I48" s="16" t="s">
        <v>190</v>
      </c>
      <c r="J48" s="16" t="s">
        <v>191</v>
      </c>
      <c r="K48" s="16" t="s">
        <v>192</v>
      </c>
      <c r="L48" s="16" t="s">
        <v>193</v>
      </c>
      <c r="M48" s="16" t="s">
        <v>194</v>
      </c>
      <c r="N48" s="16" t="s">
        <v>195</v>
      </c>
    </row>
    <row r="49" spans="3:14" x14ac:dyDescent="0.25">
      <c r="C49" s="10">
        <v>0</v>
      </c>
      <c r="D49" s="10">
        <f>$E$46/Assumptions!C28</f>
        <v>49.15620506559609</v>
      </c>
      <c r="E49" s="10">
        <f>IF(D49&lt;Assumptions!C35,Assumptions!C35*(Assumptions!C28+Assumptions!C7/Assumptions!C35)/(Assumptions!C28+Assumptions!C7/D49),Assumptions!C35)</f>
        <v>57.9714266404196</v>
      </c>
      <c r="F49" s="10">
        <f>IF(D49&lt;Assumptions!C36,Assumptions!C36*(Assumptions!C28+Assumptions!C7/Assumptions!C36)/(Assumptions!C28+Assumptions!C7/D49),Assumptions!C36)</f>
        <v>49.158276476485185</v>
      </c>
      <c r="G49" s="10">
        <f>Assumptions!C24*(Assumptions!C35/E49-1)</f>
        <v>4360.685120132803</v>
      </c>
      <c r="H49" s="10">
        <f>Assumptions!C25*(Assumptions!C36/F49-1)</f>
        <v>4.285860483254343</v>
      </c>
      <c r="I49" s="10">
        <f>Assumptions!C48/MIN((Assumptions!C49/(Assumptions!C28+0+G49+H49+0)),(D49*(1-Assumptions!C50)))</f>
        <v>183111.62985490312</v>
      </c>
      <c r="J49" s="10">
        <f>Assumptions!C51/MIN((Assumptions!C52/(Assumptions!C28+0+G49+H49+I49)),(D49*(1-Assumptions!C53)))</f>
        <v>71799.92352941177</v>
      </c>
      <c r="K49" s="10">
        <f>MAX(0,($C$46*(Assumptions!C28+G49+H49+I49+J49+Assumptions!C7/D49)-Assumptions!C55)/(1-$C$46))</f>
        <v>0</v>
      </c>
      <c r="L49" s="10">
        <f>Assumptions!C28+K49+G49+H49+I49+J49</f>
        <v>36877237.52436493</v>
      </c>
      <c r="M49" s="10">
        <f>L49+Assumptions!C7/D49</f>
        <v>37487536.87436493</v>
      </c>
      <c r="N49" s="10">
        <f>$E$46/L49</f>
        <v>48.81059756199833</v>
      </c>
    </row>
    <row r="50" spans="3:14" x14ac:dyDescent="0.25">
      <c r="C50" s="10">
        <v>1</v>
      </c>
      <c r="D50" s="10">
        <f>N49</f>
        <v>48.81059756199833</v>
      </c>
      <c r="E50" s="10">
        <f>IF(D50&lt;Assumptions!C35,Assumptions!C35*(Assumptions!C28+Assumptions!C7/Assumptions!C35)/(Assumptions!C28+Assumptions!C7/D50),Assumptions!C35)</f>
        <v>57.964698380136255</v>
      </c>
      <c r="F50" s="10">
        <f>IF(D50&lt;Assumptions!C36,Assumptions!C36*(Assumptions!C28+Assumptions!C7/Assumptions!C36)/(Assumptions!C28+Assumptions!C7/D50),Assumptions!C36)</f>
        <v>49.15257108508148</v>
      </c>
      <c r="G50" s="10">
        <f>Assumptions!C24*(Assumptions!C35/E50-1)</f>
        <v>4560.913301342811</v>
      </c>
      <c r="H50" s="10">
        <f>Assumptions!C25*(Assumptions!C36/F50-1)</f>
        <v>712.6542637104691</v>
      </c>
      <c r="I50" s="10">
        <f>Assumptions!C48/MIN((Assumptions!C49/(Assumptions!C28+K49+G50+H50+J49)),(D50*(1-Assumptions!C50)))</f>
        <v>183475.17245547232</v>
      </c>
      <c r="J50" s="10">
        <f>Assumptions!C51/MIN((Assumptions!C52/(Assumptions!C28+K49+G50+H50+I50)),(D50*(1-Assumptions!C53)))</f>
        <v>72308.30887130377</v>
      </c>
      <c r="K50" s="10">
        <f>MAX(0,($C$46*(Assumptions!C28+G50+H50+I50+J50+Assumptions!C7/D50)-Assumptions!C55)/(1-$C$46))</f>
        <v>0</v>
      </c>
      <c r="L50" s="10">
        <f>Assumptions!C28+K50+G50+H50+I50+J50</f>
        <v>36879018.04889183</v>
      </c>
      <c r="M50" s="10">
        <f>L50+Assumptions!C7/D50</f>
        <v>37493638.674297914</v>
      </c>
      <c r="N50" s="10">
        <f>$E$46/L50</f>
        <v>48.80824097902162</v>
      </c>
    </row>
    <row r="51" spans="3:14" x14ac:dyDescent="0.25">
      <c r="C51" s="10">
        <v>2</v>
      </c>
      <c r="D51" s="10">
        <f>N50</f>
        <v>48.80824097902162</v>
      </c>
      <c r="E51" s="10">
        <f>IF(D51&lt;Assumptions!C35,Assumptions!C35*(Assumptions!C28+Assumptions!C7/Assumptions!C35)/(Assumptions!C28+Assumptions!C7/D51),Assumptions!C35)</f>
        <v>57.964652180687445</v>
      </c>
      <c r="F51" s="10">
        <f>IF(D51&lt;Assumptions!C36,Assumptions!C36*(Assumptions!C28+Assumptions!C7/Assumptions!C36)/(Assumptions!C28+Assumptions!C7/D51),Assumptions!C36)</f>
        <v>49.152531909138965</v>
      </c>
      <c r="G51" s="10">
        <f>Assumptions!C24*(Assumptions!C35/E51-1)</f>
        <v>4562.2883243558945</v>
      </c>
      <c r="H51" s="10">
        <f>Assumptions!C25*(Assumptions!C36/F51-1)</f>
        <v>717.5188279787238</v>
      </c>
      <c r="I51" s="10">
        <f>Assumptions!C48/MIN((Assumptions!C49/(Assumptions!C28+K50+G51+H51+J50)),(D51*(1-Assumptions!C50)))</f>
        <v>183477.74558011824</v>
      </c>
      <c r="J51" s="10">
        <f>Assumptions!C51/MIN((Assumptions!C52/(Assumptions!C28+K50+G51+H51+I51)),(D51*(1-Assumptions!C53)))</f>
        <v>72311.80009586633</v>
      </c>
      <c r="K51" s="10">
        <f>MAX(0,($C$46*(Assumptions!C28+G51+H51+I51+J51+Assumptions!C7/D51)-Assumptions!C55)/(1-$C$46))</f>
        <v>0</v>
      </c>
      <c r="L51" s="10">
        <f>Assumptions!C28+K51+G51+H51+I51+J51</f>
        <v>36879030.352828324</v>
      </c>
      <c r="M51" s="10">
        <f>L51+Assumptions!C7/D51</f>
        <v>37493680.65364319</v>
      </c>
      <c r="N51" s="10">
        <f>$E$46/L51</f>
        <v>48.80822469514724</v>
      </c>
    </row>
    <row r="52" spans="3:14" x14ac:dyDescent="0.25">
      <c r="C52" s="10">
        <v>3</v>
      </c>
      <c r="D52" s="10">
        <f>N51</f>
        <v>48.80822469514724</v>
      </c>
      <c r="E52" s="10">
        <f>IF(D52&lt;Assumptions!C35,Assumptions!C35*(Assumptions!C28+Assumptions!C7/Assumptions!C35)/(Assumptions!C28+Assumptions!C7/D52),Assumptions!C35)</f>
        <v>57.96465186143623</v>
      </c>
      <c r="F52" s="10">
        <f>IF(D52&lt;Assumptions!C36,Assumptions!C36*(Assumptions!C28+Assumptions!C7/Assumptions!C36)/(Assumptions!C28+Assumptions!C7/D52),Assumptions!C36)</f>
        <v>49.15253163842216</v>
      </c>
      <c r="G52" s="10">
        <f>Assumptions!C24*(Assumptions!C35/E52-1)</f>
        <v>4562.297826160096</v>
      </c>
      <c r="H52" s="10">
        <f>Assumptions!C25*(Assumptions!C36/F52-1)</f>
        <v>717.5524435166149</v>
      </c>
      <c r="I52" s="10">
        <f>Assumptions!C48/MIN((Assumptions!C49/(Assumptions!C28+K51+G52+H52+J51)),(D52*(1-Assumptions!C50)))</f>
        <v>183477.7632518277</v>
      </c>
      <c r="J52" s="10">
        <f>Assumptions!C51/MIN((Assumptions!C52/(Assumptions!C28+K51+G52+H52+I52)),(D52*(1-Assumptions!C53)))</f>
        <v>72311.82422123199</v>
      </c>
      <c r="K52" s="10">
        <f>MAX(0,($C$46*(Assumptions!C28+G52+H52+I52+J52+Assumptions!C7/D52)-Assumptions!C55)/(1-$C$46))</f>
        <v>0</v>
      </c>
      <c r="L52" s="10">
        <f>Assumptions!C28+K52+G52+H52+I52+J52</f>
        <v>36879030.43774273</v>
      </c>
      <c r="M52" s="10">
        <f>L52+Assumptions!C7/D52</f>
        <v>37493680.9436232</v>
      </c>
      <c r="N52" s="10">
        <f>$E$46/L52</f>
        <v>48.808224582765725</v>
      </c>
    </row>
    <row r="53" spans="3:14" x14ac:dyDescent="0.25">
      <c r="C53" s="10">
        <v>4</v>
      </c>
      <c r="D53" s="10">
        <f>N52</f>
        <v>48.808224582765725</v>
      </c>
      <c r="E53" s="10">
        <f>IF(D53&lt;Assumptions!C35,Assumptions!C35*(Assumptions!C28+Assumptions!C7/Assumptions!C35)/(Assumptions!C28+Assumptions!C7/D53),Assumptions!C35)</f>
        <v>57.96465185923296</v>
      </c>
      <c r="F53" s="10">
        <f>IF(D53&lt;Assumptions!C36,Assumptions!C36*(Assumptions!C28+Assumptions!C7/Assumptions!C36)/(Assumptions!C28+Assumptions!C7/D53),Assumptions!C36)</f>
        <v>49.15253163655384</v>
      </c>
      <c r="G53" s="10">
        <f>Assumptions!C24*(Assumptions!C35/E53-1)</f>
        <v>4562.297891735771</v>
      </c>
      <c r="H53" s="10">
        <f>Assumptions!C25*(Assumptions!C36/F53-1)</f>
        <v>717.5526755101112</v>
      </c>
      <c r="I53" s="10">
        <f>Assumptions!C48/MIN((Assumptions!C49/(Assumptions!C28+K52+G53+H53+J52)),(D53*(1-Assumptions!C50)))</f>
        <v>183477.76337394238</v>
      </c>
      <c r="J53" s="10">
        <f>Assumptions!C51/MIN((Assumptions!C52/(Assumptions!C28+K52+G53+H53+I53)),(D53*(1-Assumptions!C53)))</f>
        <v>72311.82438773084</v>
      </c>
      <c r="K53" s="10">
        <f>MAX(0,($C$46*(Assumptions!C28+G53+H53+I53+J53+Assumptions!C7/D53)-Assumptions!C55)/(1-$C$46))</f>
        <v>0</v>
      </c>
      <c r="L53" s="10">
        <f>Assumptions!C28+K53+G53+H53+I53+J53</f>
        <v>36879030.438328914</v>
      </c>
      <c r="M53" s="10">
        <f>L53+Assumptions!C7/D53</f>
        <v>37493680.94562463</v>
      </c>
      <c r="N53" s="10">
        <f>$E$46/L53</f>
        <v>48.808224581989926</v>
      </c>
    </row>
    <row r="54" spans="3:14" x14ac:dyDescent="0.25">
      <c r="C54" s="10">
        <v>5</v>
      </c>
      <c r="D54" s="10">
        <f>N53</f>
        <v>48.808224581989926</v>
      </c>
      <c r="E54" s="10">
        <f>IF(D54&lt;Assumptions!C35,Assumptions!C35*(Assumptions!C28+Assumptions!C7/Assumptions!C35)/(Assumptions!C28+Assumptions!C7/D54),Assumptions!C35)</f>
        <v>57.964651859217746</v>
      </c>
      <c r="F54" s="10">
        <f>IF(D54&lt;Assumptions!C36,Assumptions!C36*(Assumptions!C28+Assumptions!C7/Assumptions!C36)/(Assumptions!C28+Assumptions!C7/D54),Assumptions!C36)</f>
        <v>49.15253163654094</v>
      </c>
      <c r="G54" s="10">
        <f>Assumptions!C24*(Assumptions!C35/E54-1)</f>
        <v>4562.297892188469</v>
      </c>
      <c r="H54" s="10">
        <f>Assumptions!C25*(Assumptions!C36/F54-1)</f>
        <v>717.5526771120612</v>
      </c>
      <c r="I54" s="10">
        <f>Assumptions!C48/MIN((Assumptions!C49/(Assumptions!C28+K53+G54+H54+J53)),(D54*(1-Assumptions!C50)))</f>
        <v>183477.76337478514</v>
      </c>
      <c r="J54" s="10">
        <f>Assumptions!C51/MIN((Assumptions!C52/(Assumptions!C28+K53+G54+H54+I54)),(D54*(1-Assumptions!C53)))</f>
        <v>72311.82438888022</v>
      </c>
      <c r="K54" s="10">
        <f>MAX(0,($C$46*(Assumptions!C28+G54+H54+I54+J54+Assumptions!C7/D54)-Assumptions!C55)/(1-$C$46))</f>
        <v>0</v>
      </c>
      <c r="L54" s="10">
        <f>Assumptions!C28+K54+G54+H54+I54+J54</f>
        <v>36879030.43833296</v>
      </c>
      <c r="M54" s="10">
        <f>L54+Assumptions!C7/D54</f>
        <v>37493680.94563844</v>
      </c>
      <c r="N54" s="10">
        <f>$E$46/L54</f>
        <v>48.80822458198457</v>
      </c>
    </row>
    <row r="55" spans="3:14" x14ac:dyDescent="0.25">
      <c r="C55" s="10">
        <v>6</v>
      </c>
      <c r="D55" s="10">
        <f>N54</f>
        <v>48.80822458198457</v>
      </c>
      <c r="E55" s="10">
        <f>IF(D55&lt;Assumptions!C35,Assumptions!C35*(Assumptions!C28+Assumptions!C7/Assumptions!C35)/(Assumptions!C28+Assumptions!C7/D55),Assumptions!C35)</f>
        <v>57.96465185921764</v>
      </c>
      <c r="F55" s="10">
        <f>IF(D55&lt;Assumptions!C36,Assumptions!C36*(Assumptions!C28+Assumptions!C7/Assumptions!C36)/(Assumptions!C28+Assumptions!C7/D55),Assumptions!C36)</f>
        <v>49.15253163654085</v>
      </c>
      <c r="G55" s="10">
        <f>Assumptions!C24*(Assumptions!C35/E55-1)</f>
        <v>4562.297892191566</v>
      </c>
      <c r="H55" s="10">
        <f>Assumptions!C25*(Assumptions!C36/F55-1)</f>
        <v>717.552677123046</v>
      </c>
      <c r="I55" s="10">
        <f>Assumptions!C48/MIN((Assumptions!C49/(Assumptions!C28+K54+G55+H55+J54)),(D55*(1-Assumptions!C50)))</f>
        <v>183477.76337479096</v>
      </c>
      <c r="J55" s="10">
        <f>Assumptions!C51/MIN((Assumptions!C52/(Assumptions!C28+K54+G55+H55+I55)),(D55*(1-Assumptions!C53)))</f>
        <v>72311.82438888817</v>
      </c>
      <c r="K55" s="10">
        <f>MAX(0,($C$46*(Assumptions!C28+G55+H55+I55+J55+Assumptions!C7/D55)-Assumptions!C55)/(1-$C$46))</f>
        <v>0</v>
      </c>
      <c r="L55" s="10">
        <f>Assumptions!C28+K55+G55+H55+I55+J55</f>
        <v>36879030.438333</v>
      </c>
      <c r="M55" s="10">
        <f>L55+Assumptions!C7/D55</f>
        <v>37493680.94563855</v>
      </c>
      <c r="N55" s="10">
        <f>$E$46/L55</f>
        <v>48.80822458198452</v>
      </c>
    </row>
    <row r="56" spans="3:14" x14ac:dyDescent="0.25">
      <c r="C56" s="10">
        <v>7</v>
      </c>
      <c r="D56" s="10">
        <f>N55</f>
        <v>48.80822458198452</v>
      </c>
      <c r="E56" s="10">
        <f>IF(D56&lt;Assumptions!C35,Assumptions!C35*(Assumptions!C28+Assumptions!C7/Assumptions!C35)/(Assumptions!C28+Assumptions!C7/D56),Assumptions!C35)</f>
        <v>57.96465185921764</v>
      </c>
      <c r="F56" s="10">
        <f>IF(D56&lt;Assumptions!C36,Assumptions!C36*(Assumptions!C28+Assumptions!C7/Assumptions!C36)/(Assumptions!C28+Assumptions!C7/D56),Assumptions!C36)</f>
        <v>49.15253163654085</v>
      </c>
      <c r="G56" s="10">
        <f>Assumptions!C24*(Assumptions!C35/E56-1)</f>
        <v>4562.297892191566</v>
      </c>
      <c r="H56" s="10">
        <f>Assumptions!C25*(Assumptions!C36/F56-1)</f>
        <v>717.552677123046</v>
      </c>
      <c r="I56" s="10">
        <f>Assumptions!C48/MIN((Assumptions!C49/(Assumptions!C28+K55+G56+H56+J55)),(D56*(1-Assumptions!C50)))</f>
        <v>183477.76337479104</v>
      </c>
      <c r="J56" s="10">
        <f>Assumptions!C51/MIN((Assumptions!C52/(Assumptions!C28+K55+G56+H56+I56)),(D56*(1-Assumptions!C53)))</f>
        <v>72311.82438888824</v>
      </c>
      <c r="K56" s="10">
        <f>MAX(0,($C$46*(Assumptions!C28+G56+H56+I56+J56+Assumptions!C7/D56)-Assumptions!C55)/(1-$C$46))</f>
        <v>0</v>
      </c>
      <c r="L56" s="10">
        <f>Assumptions!C28+K56+G56+H56+I56+J56</f>
        <v>36879030.438333</v>
      </c>
      <c r="M56" s="10">
        <f>L56+Assumptions!C7/D56</f>
        <v>37493680.94563855</v>
      </c>
      <c r="N56" s="10">
        <f>$E$46/L56</f>
        <v>48.80822458198452</v>
      </c>
    </row>
    <row r="57" spans="3:14" x14ac:dyDescent="0.25">
      <c r="C57" s="10">
        <v>8</v>
      </c>
      <c r="D57" s="10">
        <f>N56</f>
        <v>48.80822458198452</v>
      </c>
      <c r="E57" s="10">
        <f>IF(D57&lt;Assumptions!C35,Assumptions!C35*(Assumptions!C28+Assumptions!C7/Assumptions!C35)/(Assumptions!C28+Assumptions!C7/D57),Assumptions!C35)</f>
        <v>57.96465185921764</v>
      </c>
      <c r="F57" s="10">
        <f>IF(D57&lt;Assumptions!C36,Assumptions!C36*(Assumptions!C28+Assumptions!C7/Assumptions!C36)/(Assumptions!C28+Assumptions!C7/D57),Assumptions!C36)</f>
        <v>49.15253163654085</v>
      </c>
      <c r="G57" s="10">
        <f>Assumptions!C24*(Assumptions!C35/E57-1)</f>
        <v>4562.297892191566</v>
      </c>
      <c r="H57" s="10">
        <f>Assumptions!C25*(Assumptions!C36/F57-1)</f>
        <v>717.552677123046</v>
      </c>
      <c r="I57" s="10">
        <f>Assumptions!C48/MIN((Assumptions!C49/(Assumptions!C28+K56+G57+H57+J56)),(D57*(1-Assumptions!C50)))</f>
        <v>183477.76337479104</v>
      </c>
      <c r="J57" s="10">
        <f>Assumptions!C51/MIN((Assumptions!C52/(Assumptions!C28+K56+G57+H57+I57)),(D57*(1-Assumptions!C53)))</f>
        <v>72311.82438888824</v>
      </c>
      <c r="K57" s="10">
        <f>MAX(0,($C$46*(Assumptions!C28+G57+H57+I57+J57+Assumptions!C7/D57)-Assumptions!C55)/(1-$C$46))</f>
        <v>0</v>
      </c>
      <c r="L57" s="10">
        <f>Assumptions!C28+K57+G57+H57+I57+J57</f>
        <v>36879030.438333</v>
      </c>
      <c r="M57" s="10">
        <f>L57+Assumptions!C7/D57</f>
        <v>37493680.94563855</v>
      </c>
      <c r="N57" s="10">
        <f>$E$46/L57</f>
        <v>48.80822458198452</v>
      </c>
    </row>
    <row r="58" spans="3:14" x14ac:dyDescent="0.25">
      <c r="C58" s="10">
        <v>9</v>
      </c>
      <c r="D58" s="10">
        <f>N57</f>
        <v>48.80822458198452</v>
      </c>
      <c r="E58" s="10">
        <f>IF(D58&lt;Assumptions!C35,Assumptions!C35*(Assumptions!C28+Assumptions!C7/Assumptions!C35)/(Assumptions!C28+Assumptions!C7/D58),Assumptions!C35)</f>
        <v>57.96465185921764</v>
      </c>
      <c r="F58" s="10">
        <f>IF(D58&lt;Assumptions!C36,Assumptions!C36*(Assumptions!C28+Assumptions!C7/Assumptions!C36)/(Assumptions!C28+Assumptions!C7/D58),Assumptions!C36)</f>
        <v>49.15253163654085</v>
      </c>
      <c r="G58" s="10">
        <f>Assumptions!C24*(Assumptions!C35/E58-1)</f>
        <v>4562.297892191566</v>
      </c>
      <c r="H58" s="10">
        <f>Assumptions!C25*(Assumptions!C36/F58-1)</f>
        <v>717.552677123046</v>
      </c>
      <c r="I58" s="10">
        <f>Assumptions!C48/MIN((Assumptions!C49/(Assumptions!C28+K57+G58+H58+J57)),(D58*(1-Assumptions!C50)))</f>
        <v>183477.76337479104</v>
      </c>
      <c r="J58" s="10">
        <f>Assumptions!C51/MIN((Assumptions!C52/(Assumptions!C28+K57+G58+H58+I58)),(D58*(1-Assumptions!C53)))</f>
        <v>72311.82438888824</v>
      </c>
      <c r="K58" s="10">
        <f>MAX(0,($C$46*(Assumptions!C28+G58+H58+I58+J58+Assumptions!C7/D58)-Assumptions!C55)/(1-$C$46))</f>
        <v>0</v>
      </c>
      <c r="L58" s="10">
        <f>Assumptions!C28+K58+G58+H58+I58+J58</f>
        <v>36879030.438333</v>
      </c>
      <c r="M58" s="10">
        <f>L58+Assumptions!C7/D58</f>
        <v>37493680.94563855</v>
      </c>
      <c r="N58" s="10">
        <f>$E$46/L58</f>
        <v>48.80822458198452</v>
      </c>
    </row>
    <row r="59" spans="3:14" x14ac:dyDescent="0.25">
      <c r="C59" s="10">
        <v>10</v>
      </c>
      <c r="D59" s="10">
        <f>N58</f>
        <v>48.80822458198452</v>
      </c>
      <c r="E59" s="10">
        <f>IF(D59&lt;Assumptions!C35,Assumptions!C35*(Assumptions!C28+Assumptions!C7/Assumptions!C35)/(Assumptions!C28+Assumptions!C7/D59),Assumptions!C35)</f>
        <v>57.96465185921764</v>
      </c>
      <c r="F59" s="10">
        <f>IF(D59&lt;Assumptions!C36,Assumptions!C36*(Assumptions!C28+Assumptions!C7/Assumptions!C36)/(Assumptions!C28+Assumptions!C7/D59),Assumptions!C36)</f>
        <v>49.15253163654085</v>
      </c>
      <c r="G59" s="10">
        <f>Assumptions!C24*(Assumptions!C35/E59-1)</f>
        <v>4562.297892191566</v>
      </c>
      <c r="H59" s="10">
        <f>Assumptions!C25*(Assumptions!C36/F59-1)</f>
        <v>717.552677123046</v>
      </c>
      <c r="I59" s="10">
        <f>Assumptions!C48/MIN((Assumptions!C49/(Assumptions!C28+K58+G59+H59+J58)),(D59*(1-Assumptions!C50)))</f>
        <v>183477.76337479104</v>
      </c>
      <c r="J59" s="10">
        <f>Assumptions!C51/MIN((Assumptions!C52/(Assumptions!C28+K58+G59+H59+I59)),(D59*(1-Assumptions!C53)))</f>
        <v>72311.82438888824</v>
      </c>
      <c r="K59" s="10">
        <f>MAX(0,($C$46*(Assumptions!C28+G59+H59+I59+J59+Assumptions!C7/D59)-Assumptions!C55)/(1-$C$46))</f>
        <v>0</v>
      </c>
      <c r="L59" s="10">
        <f>Assumptions!C28+K59+G59+H59+I59+J59</f>
        <v>36879030.438333</v>
      </c>
      <c r="M59" s="10">
        <f>L59+Assumptions!C7/D59</f>
        <v>37493680.94563855</v>
      </c>
      <c r="N59" s="10">
        <f>$E$46/L59</f>
        <v>48.80822458198452</v>
      </c>
    </row>
    <row r="60" spans="3:14" x14ac:dyDescent="0.25">
      <c r="C60" s="10">
        <v>11</v>
      </c>
      <c r="D60" s="10">
        <f>N59</f>
        <v>48.80822458198452</v>
      </c>
      <c r="E60" s="10">
        <f>IF(D60&lt;Assumptions!C35,Assumptions!C35*(Assumptions!C28+Assumptions!C7/Assumptions!C35)/(Assumptions!C28+Assumptions!C7/D60),Assumptions!C35)</f>
        <v>57.96465185921764</v>
      </c>
      <c r="F60" s="10">
        <f>IF(D60&lt;Assumptions!C36,Assumptions!C36*(Assumptions!C28+Assumptions!C7/Assumptions!C36)/(Assumptions!C28+Assumptions!C7/D60),Assumptions!C36)</f>
        <v>49.15253163654085</v>
      </c>
      <c r="G60" s="10">
        <f>Assumptions!C24*(Assumptions!C35/E60-1)</f>
        <v>4562.297892191566</v>
      </c>
      <c r="H60" s="10">
        <f>Assumptions!C25*(Assumptions!C36/F60-1)</f>
        <v>717.552677123046</v>
      </c>
      <c r="I60" s="10">
        <f>Assumptions!C48/MIN((Assumptions!C49/(Assumptions!C28+K59+G60+H60+J59)),(D60*(1-Assumptions!C50)))</f>
        <v>183477.76337479104</v>
      </c>
      <c r="J60" s="10">
        <f>Assumptions!C51/MIN((Assumptions!C52/(Assumptions!C28+K59+G60+H60+I60)),(D60*(1-Assumptions!C53)))</f>
        <v>72311.82438888824</v>
      </c>
      <c r="K60" s="10">
        <f>MAX(0,($C$46*(Assumptions!C28+G60+H60+I60+J60+Assumptions!C7/D60)-Assumptions!C55)/(1-$C$46))</f>
        <v>0</v>
      </c>
      <c r="L60" s="10">
        <f>Assumptions!C28+K60+G60+H60+I60+J60</f>
        <v>36879030.438333</v>
      </c>
      <c r="M60" s="10">
        <f>L60+Assumptions!C7/D60</f>
        <v>37493680.94563855</v>
      </c>
      <c r="N60" s="10">
        <f>$E$46/L60</f>
        <v>48.80822458198452</v>
      </c>
    </row>
    <row r="61" spans="3:14" x14ac:dyDescent="0.25">
      <c r="C61" s="10">
        <v>12</v>
      </c>
      <c r="D61" s="10">
        <f>N60</f>
        <v>48.80822458198452</v>
      </c>
      <c r="E61" s="10">
        <f>IF(D61&lt;Assumptions!C35,Assumptions!C35*(Assumptions!C28+Assumptions!C7/Assumptions!C35)/(Assumptions!C28+Assumptions!C7/D61),Assumptions!C35)</f>
        <v>57.96465185921764</v>
      </c>
      <c r="F61" s="10">
        <f>IF(D61&lt;Assumptions!C36,Assumptions!C36*(Assumptions!C28+Assumptions!C7/Assumptions!C36)/(Assumptions!C28+Assumptions!C7/D61),Assumptions!C36)</f>
        <v>49.15253163654085</v>
      </c>
      <c r="G61" s="10">
        <f>Assumptions!C24*(Assumptions!C35/E61-1)</f>
        <v>4562.297892191566</v>
      </c>
      <c r="H61" s="10">
        <f>Assumptions!C25*(Assumptions!C36/F61-1)</f>
        <v>717.552677123046</v>
      </c>
      <c r="I61" s="10">
        <f>Assumptions!C48/MIN((Assumptions!C49/(Assumptions!C28+K60+G61+H61+J60)),(D61*(1-Assumptions!C50)))</f>
        <v>183477.76337479104</v>
      </c>
      <c r="J61" s="10">
        <f>Assumptions!C51/MIN((Assumptions!C52/(Assumptions!C28+K60+G61+H61+I61)),(D61*(1-Assumptions!C53)))</f>
        <v>72311.82438888824</v>
      </c>
      <c r="K61" s="10">
        <f>MAX(0,($C$46*(Assumptions!C28+G61+H61+I61+J61+Assumptions!C7/D61)-Assumptions!C55)/(1-$C$46))</f>
        <v>0</v>
      </c>
      <c r="L61" s="10">
        <f>Assumptions!C28+K61+G61+H61+I61+J61</f>
        <v>36879030.438333</v>
      </c>
      <c r="M61" s="10">
        <f>L61+Assumptions!C7/D61</f>
        <v>37493680.94563855</v>
      </c>
      <c r="N61" s="10">
        <f>$E$46/L61</f>
        <v>48.80822458198452</v>
      </c>
    </row>
    <row r="62" spans="3:14" x14ac:dyDescent="0.25">
      <c r="C62" s="10">
        <v>13</v>
      </c>
      <c r="D62" s="10">
        <f>N61</f>
        <v>48.80822458198452</v>
      </c>
      <c r="E62" s="10">
        <f>IF(D62&lt;Assumptions!C35,Assumptions!C35*(Assumptions!C28+Assumptions!C7/Assumptions!C35)/(Assumptions!C28+Assumptions!C7/D62),Assumptions!C35)</f>
        <v>57.96465185921764</v>
      </c>
      <c r="F62" s="10">
        <f>IF(D62&lt;Assumptions!C36,Assumptions!C36*(Assumptions!C28+Assumptions!C7/Assumptions!C36)/(Assumptions!C28+Assumptions!C7/D62),Assumptions!C36)</f>
        <v>49.15253163654085</v>
      </c>
      <c r="G62" s="10">
        <f>Assumptions!C24*(Assumptions!C35/E62-1)</f>
        <v>4562.297892191566</v>
      </c>
      <c r="H62" s="10">
        <f>Assumptions!C25*(Assumptions!C36/F62-1)</f>
        <v>717.552677123046</v>
      </c>
      <c r="I62" s="10">
        <f>Assumptions!C48/MIN((Assumptions!C49/(Assumptions!C28+K61+G62+H62+J61)),(D62*(1-Assumptions!C50)))</f>
        <v>183477.76337479104</v>
      </c>
      <c r="J62" s="10">
        <f>Assumptions!C51/MIN((Assumptions!C52/(Assumptions!C28+K61+G62+H62+I62)),(D62*(1-Assumptions!C53)))</f>
        <v>72311.82438888824</v>
      </c>
      <c r="K62" s="10">
        <f>MAX(0,($C$46*(Assumptions!C28+G62+H62+I62+J62+Assumptions!C7/D62)-Assumptions!C55)/(1-$C$46))</f>
        <v>0</v>
      </c>
      <c r="L62" s="10">
        <f>Assumptions!C28+K62+G62+H62+I62+J62</f>
        <v>36879030.438333</v>
      </c>
      <c r="M62" s="10">
        <f>L62+Assumptions!C7/D62</f>
        <v>37493680.94563855</v>
      </c>
      <c r="N62" s="10">
        <f>$E$46/L62</f>
        <v>48.80822458198452</v>
      </c>
    </row>
    <row r="63" spans="3:14" x14ac:dyDescent="0.25">
      <c r="C63" s="10">
        <v>14</v>
      </c>
      <c r="D63" s="10">
        <f>N62</f>
        <v>48.80822458198452</v>
      </c>
      <c r="E63" s="10">
        <f>IF(D63&lt;Assumptions!C35,Assumptions!C35*(Assumptions!C28+Assumptions!C7/Assumptions!C35)/(Assumptions!C28+Assumptions!C7/D63),Assumptions!C35)</f>
        <v>57.96465185921764</v>
      </c>
      <c r="F63" s="10">
        <f>IF(D63&lt;Assumptions!C36,Assumptions!C36*(Assumptions!C28+Assumptions!C7/Assumptions!C36)/(Assumptions!C28+Assumptions!C7/D63),Assumptions!C36)</f>
        <v>49.15253163654085</v>
      </c>
      <c r="G63" s="10">
        <f>Assumptions!C24*(Assumptions!C35/E63-1)</f>
        <v>4562.297892191566</v>
      </c>
      <c r="H63" s="10">
        <f>Assumptions!C25*(Assumptions!C36/F63-1)</f>
        <v>717.552677123046</v>
      </c>
      <c r="I63" s="10">
        <f>Assumptions!C48/MIN((Assumptions!C49/(Assumptions!C28+K62+G63+H63+J62)),(D63*(1-Assumptions!C50)))</f>
        <v>183477.76337479104</v>
      </c>
      <c r="J63" s="10">
        <f>Assumptions!C51/MIN((Assumptions!C52/(Assumptions!C28+K62+G63+H63+I63)),(D63*(1-Assumptions!C53)))</f>
        <v>72311.82438888824</v>
      </c>
      <c r="K63" s="10">
        <f>MAX(0,($C$46*(Assumptions!C28+G63+H63+I63+J63+Assumptions!C7/D63)-Assumptions!C55)/(1-$C$46))</f>
        <v>0</v>
      </c>
      <c r="L63" s="10">
        <f>Assumptions!C28+K63+G63+H63+I63+J63</f>
        <v>36879030.438333</v>
      </c>
      <c r="M63" s="10">
        <f>L63+Assumptions!C7/D63</f>
        <v>37493680.94563855</v>
      </c>
      <c r="N63" s="10">
        <f>$E$46/L63</f>
        <v>48.80822458198452</v>
      </c>
    </row>
    <row r="64" spans="2:9" x14ac:dyDescent="0.25">
      <c r="B64" s="9" t="s">
        <v>159</v>
      </c>
      <c r="C64" s="14">
        <f>N63</f>
        <v>48.80822458198452</v>
      </c>
      <c r="D64" s="5" t="s">
        <v>194</v>
      </c>
      <c r="E64" s="10">
        <f>M63</f>
        <v>37493680.94563855</v>
      </c>
      <c r="F64" s="5" t="s">
        <v>196</v>
      </c>
      <c r="G64" s="10" t="str">
        <f>IF((Assumptions!C49/(Assumptions!C28+K63+G63+H63+J63))&lt;(N63*(1-Assumptions!C50)),"cap","discount")</f>
        <v>cap</v>
      </c>
      <c r="H64" s="5" t="s">
        <v>197</v>
      </c>
      <c r="I64" s="10" t="str">
        <f>IF((Assumptions!C52/(Assumptions!C28+K63+G63+H63+I63))&lt;(N63*(1-Assumptions!C53)),"cap","discount")</f>
        <v>discount</v>
      </c>
    </row>
    <row r="65" spans="2:14" x14ac:dyDescent="0.25">
      <c r="B65" s="3" t="s">
        <v>200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</row>
    <row r="66" spans="2:5" x14ac:dyDescent="0.25">
      <c r="B66" s="5" t="s">
        <v>182</v>
      </c>
      <c r="C66" s="13">
        <f>Assumptions!C66</f>
        <v>0.13</v>
      </c>
      <c r="D66" s="5" t="s">
        <v>183</v>
      </c>
      <c r="E66" s="11">
        <f>Assumptions!C68</f>
        <v>1200000000</v>
      </c>
    </row>
    <row r="68" spans="3:14" x14ac:dyDescent="0.25">
      <c r="C68" s="16" t="s">
        <v>184</v>
      </c>
      <c r="D68" s="16" t="s">
        <v>185</v>
      </c>
      <c r="E68" s="16" t="s">
        <v>186</v>
      </c>
      <c r="F68" s="16" t="s">
        <v>187</v>
      </c>
      <c r="G68" s="16" t="s">
        <v>188</v>
      </c>
      <c r="H68" s="16" t="s">
        <v>189</v>
      </c>
      <c r="I68" s="16" t="s">
        <v>190</v>
      </c>
      <c r="J68" s="16" t="s">
        <v>191</v>
      </c>
      <c r="K68" s="16" t="s">
        <v>192</v>
      </c>
      <c r="L68" s="16" t="s">
        <v>193</v>
      </c>
      <c r="M68" s="16" t="s">
        <v>194</v>
      </c>
      <c r="N68" s="16" t="s">
        <v>195</v>
      </c>
    </row>
    <row r="69" spans="3:14" x14ac:dyDescent="0.25">
      <c r="C69" s="10">
        <v>0</v>
      </c>
      <c r="D69" s="10">
        <f>$E$66/Assumptions!C28</f>
        <v>32.770803377064055</v>
      </c>
      <c r="E69" s="10">
        <f>IF(D69&lt;Assumptions!C35,Assumptions!C35*(Assumptions!C28+Assumptions!C7/Assumptions!C35)/(Assumptions!C28+Assumptions!C7/D69),Assumptions!C35)</f>
        <v>57.500114228708874</v>
      </c>
      <c r="F69" s="10">
        <f>IF(D69&lt;Assumptions!C36,Assumptions!C36*(Assumptions!C28+Assumptions!C7/Assumptions!C36)/(Assumptions!C28+Assumptions!C7/D69),Assumptions!C36)</f>
        <v>48.75861569212351</v>
      </c>
      <c r="G69" s="10">
        <f>Assumptions!C24*(Assumptions!C35/E69-1)</f>
        <v>18499.928440789423</v>
      </c>
      <c r="H69" s="10">
        <f>Assumptions!C25*(Assumptions!C36/F69-1)</f>
        <v>50026.18164622532</v>
      </c>
      <c r="I69" s="10">
        <f>Assumptions!C48/MIN((Assumptions!C49/(Assumptions!C28+0+G69+H69+0)),(D69*(1-Assumptions!C50)))</f>
        <v>190718.546875</v>
      </c>
      <c r="J69" s="10">
        <f>Assumptions!C51/MIN((Assumptions!C52/(Assumptions!C28+0+G69+H69+I69)),(D69*(1-Assumptions!C53)))</f>
        <v>107699.88529411766</v>
      </c>
      <c r="K69" s="10">
        <f>MAX(0,($C$66*(Assumptions!C28+G69+H69+I69+J69+Assumptions!C7/D69)-Assumptions!C55)/(1-$C$66))</f>
        <v>611929.9928083874</v>
      </c>
      <c r="L69" s="10">
        <f>Assumptions!C28+K69+G69+H69+I69+J69</f>
        <v>37596835.535064526</v>
      </c>
      <c r="M69" s="10">
        <f>L69+Assumptions!C7/D69</f>
        <v>38512284.560064524</v>
      </c>
      <c r="N69" s="10">
        <f>$E$66/L69</f>
        <v>31.91757984208073</v>
      </c>
    </row>
    <row r="70" spans="3:14" x14ac:dyDescent="0.25">
      <c r="C70" s="10">
        <v>1</v>
      </c>
      <c r="D70" s="10">
        <f>N69</f>
        <v>31.91757984208073</v>
      </c>
      <c r="E70" s="10">
        <f>IF(D70&lt;Assumptions!C35,Assumptions!C35*(Assumptions!C28+Assumptions!C7/Assumptions!C35)/(Assumptions!C28+Assumptions!C7/D70),Assumptions!C35)</f>
        <v>57.462648459373774</v>
      </c>
      <c r="F70" s="10">
        <f>IF(D70&lt;Assumptions!C36,Assumptions!C36*(Assumptions!C28+Assumptions!C7/Assumptions!C36)/(Assumptions!C28+Assumptions!C7/D70),Assumptions!C36)</f>
        <v>48.72684568482659</v>
      </c>
      <c r="G70" s="10">
        <f>Assumptions!C24*(Assumptions!C35/E70-1)</f>
        <v>19633.84290683567</v>
      </c>
      <c r="H70" s="10">
        <f>Assumptions!C25*(Assumptions!C36/F70-1)</f>
        <v>54037.750721329394</v>
      </c>
      <c r="I70" s="10">
        <f>Assumptions!C48/MIN((Assumptions!C49/(Assumptions!C28+K69+G70+H70+J69)),(D70*(1-Assumptions!C50)))</f>
        <v>195816.85174512773</v>
      </c>
      <c r="J70" s="10">
        <f>Assumptions!C51/MIN((Assumptions!C52/(Assumptions!C28+K69+G70+H70+I70)),(D70*(1-Assumptions!C53)))</f>
        <v>110578.92804430744</v>
      </c>
      <c r="K70" s="10">
        <f>MAX(0,($C$66*(Assumptions!C28+G70+H70+I70+J70+Assumptions!C7/D70)-Assumptions!C55)/(1-$C$66))</f>
        <v>617547.5908428127</v>
      </c>
      <c r="L70" s="10">
        <f>Assumptions!C28+K70+G70+H70+I70+J70</f>
        <v>37615575.96426041</v>
      </c>
      <c r="M70" s="10">
        <f>L70+Assumptions!C7/D70</f>
        <v>38555496.85263702</v>
      </c>
      <c r="N70" s="10">
        <f>$E$66/L70</f>
        <v>31.901678207457277</v>
      </c>
    </row>
    <row r="71" spans="3:14" x14ac:dyDescent="0.25">
      <c r="C71" s="10">
        <v>2</v>
      </c>
      <c r="D71" s="10">
        <f>N70</f>
        <v>31.901678207457277</v>
      </c>
      <c r="E71" s="10">
        <f>IF(D71&lt;Assumptions!C35,Assumptions!C35*(Assumptions!C28+Assumptions!C7/Assumptions!C35)/(Assumptions!C28+Assumptions!C7/D71),Assumptions!C35)</f>
        <v>57.461931658260696</v>
      </c>
      <c r="F71" s="10">
        <f>IF(D71&lt;Assumptions!C36,Assumptions!C36*(Assumptions!C28+Assumptions!C7/Assumptions!C36)/(Assumptions!C28+Assumptions!C7/D71),Assumptions!C36)</f>
        <v>48.72623785594714</v>
      </c>
      <c r="G71" s="10">
        <f>Assumptions!C24*(Assumptions!C35/E71-1)</f>
        <v>19655.551555905808</v>
      </c>
      <c r="H71" s="10">
        <f>Assumptions!C25*(Assumptions!C36/F71-1)</f>
        <v>54114.55170401219</v>
      </c>
      <c r="I71" s="10">
        <f>Assumptions!C48/MIN((Assumptions!C49/(Assumptions!C28+K70+G71+H71+J70)),(D71*(1-Assumptions!C50)))</f>
        <v>195914.45814718964</v>
      </c>
      <c r="J71" s="10">
        <f>Assumptions!C51/MIN((Assumptions!C52/(Assumptions!C28+K70+G71+H71+I71)),(D71*(1-Assumptions!C53)))</f>
        <v>110634.04695370709</v>
      </c>
      <c r="K71" s="10">
        <f>MAX(0,($C$66*(Assumptions!C28+G71+H71+I71+J71+Assumptions!C7/D71)-Assumptions!C55)/(1-$C$66))</f>
        <v>617655.1390468426</v>
      </c>
      <c r="L71" s="10">
        <f>Assumptions!C28+K71+G71+H71+I71+J71</f>
        <v>37615934.74740765</v>
      </c>
      <c r="M71" s="10">
        <f>L71+Assumptions!C7/D71</f>
        <v>38556324.14651416</v>
      </c>
      <c r="N71" s="10">
        <f>$E$66/L71</f>
        <v>31.90137392724767</v>
      </c>
    </row>
    <row r="72" spans="3:14" x14ac:dyDescent="0.25">
      <c r="C72" s="10">
        <v>3</v>
      </c>
      <c r="D72" s="10">
        <f>N71</f>
        <v>31.90137392724767</v>
      </c>
      <c r="E72" s="10">
        <f>IF(D72&lt;Assumptions!C35,Assumptions!C35*(Assumptions!C28+Assumptions!C7/Assumptions!C35)/(Assumptions!C28+Assumptions!C7/D72),Assumptions!C35)</f>
        <v>57.46191793536849</v>
      </c>
      <c r="F72" s="10">
        <f>IF(D72&lt;Assumptions!C36,Assumptions!C36*(Assumptions!C28+Assumptions!C7/Assumptions!C36)/(Assumptions!C28+Assumptions!C7/D72),Assumptions!C36)</f>
        <v>48.726226219288044</v>
      </c>
      <c r="G72" s="10">
        <f>Assumptions!C24*(Assumptions!C35/E72-1)</f>
        <v>19655.967165246966</v>
      </c>
      <c r="H72" s="10">
        <f>Assumptions!C25*(Assumptions!C36/F72-1)</f>
        <v>54116.02204911368</v>
      </c>
      <c r="I72" s="10">
        <f>Assumptions!C48/MIN((Assumptions!C49/(Assumptions!C28+K71+G72+H72+J71)),(D72*(1-Assumptions!C50)))</f>
        <v>195916.32680941484</v>
      </c>
      <c r="J72" s="10">
        <f>Assumptions!C51/MIN((Assumptions!C52/(Assumptions!C28+K71+G72+H72+I72)),(D72*(1-Assumptions!C53)))</f>
        <v>110635.1021982578</v>
      </c>
      <c r="K72" s="10">
        <f>MAX(0,($C$66*(Assumptions!C28+G72+H72+I72+J72+Assumptions!C7/D72)-Assumptions!C55)/(1-$C$66))</f>
        <v>617657.198043608</v>
      </c>
      <c r="L72" s="10">
        <f>Assumptions!C28+K72+G72+H72+I72+J72</f>
        <v>37615941.61626564</v>
      </c>
      <c r="M72" s="10">
        <f>L72+Assumptions!C7/D72</f>
        <v>38556339.98495083</v>
      </c>
      <c r="N72" s="10">
        <f>$E$66/L72</f>
        <v>31.901368101898154</v>
      </c>
    </row>
    <row r="73" spans="3:14" x14ac:dyDescent="0.25">
      <c r="C73" s="10">
        <v>4</v>
      </c>
      <c r="D73" s="10">
        <f>N72</f>
        <v>31.901368101898154</v>
      </c>
      <c r="E73" s="10">
        <f>IF(D73&lt;Assumptions!C35,Assumptions!C35*(Assumptions!C28+Assumptions!C7/Assumptions!C35)/(Assumptions!C28+Assumptions!C7/D73),Assumptions!C35)</f>
        <v>57.46191767264551</v>
      </c>
      <c r="F73" s="10">
        <f>IF(D73&lt;Assumptions!C36,Assumptions!C36*(Assumptions!C28+Assumptions!C7/Assumptions!C36)/(Assumptions!C28+Assumptions!C7/D73),Assumptions!C36)</f>
        <v>48.726225996505725</v>
      </c>
      <c r="G73" s="10">
        <f>Assumptions!C24*(Assumptions!C35/E73-1)</f>
        <v>19655.975122035317</v>
      </c>
      <c r="H73" s="10">
        <f>Assumptions!C25*(Assumptions!C36/F73-1)</f>
        <v>54116.05019868558</v>
      </c>
      <c r="I73" s="10">
        <f>Assumptions!C48/MIN((Assumptions!C49/(Assumptions!C28+K72+G73+H73+J72)),(D73*(1-Assumptions!C50)))</f>
        <v>195916.36258471687</v>
      </c>
      <c r="J73" s="10">
        <f>Assumptions!C51/MIN((Assumptions!C52/(Assumptions!C28+K72+G73+H73+I73)),(D73*(1-Assumptions!C53)))</f>
        <v>110635.1224007813</v>
      </c>
      <c r="K73" s="10">
        <f>MAX(0,($C$66*(Assumptions!C28+G73+H73+I73+J73+Assumptions!C7/D73)-Assumptions!C55)/(1-$C$66))</f>
        <v>617657.2374628403</v>
      </c>
      <c r="L73" s="10">
        <f>Assumptions!C28+K73+G73+H73+I73+J73</f>
        <v>37615941.74776906</v>
      </c>
      <c r="M73" s="10">
        <f>L73+Assumptions!C7/D73</f>
        <v>38556340.2881757</v>
      </c>
      <c r="N73" s="10">
        <f>$E$66/L73</f>
        <v>31.901367990372595</v>
      </c>
    </row>
    <row r="74" spans="3:14" x14ac:dyDescent="0.25">
      <c r="C74" s="10">
        <v>5</v>
      </c>
      <c r="D74" s="10">
        <f>N73</f>
        <v>31.901367990372595</v>
      </c>
      <c r="E74" s="10">
        <f>IF(D74&lt;Assumptions!C35,Assumptions!C35*(Assumptions!C28+Assumptions!C7/Assumptions!C35)/(Assumptions!C28+Assumptions!C7/D74),Assumptions!C35)</f>
        <v>57.461917667615715</v>
      </c>
      <c r="F74" s="10">
        <f>IF(D74&lt;Assumptions!C36,Assumptions!C36*(Assumptions!C28+Assumptions!C7/Assumptions!C36)/(Assumptions!C28+Assumptions!C7/D74),Assumptions!C36)</f>
        <v>48.726225992240586</v>
      </c>
      <c r="G74" s="10">
        <f>Assumptions!C24*(Assumptions!C35/E74-1)</f>
        <v>19655.975274367243</v>
      </c>
      <c r="H74" s="10">
        <f>Assumptions!C25*(Assumptions!C36/F74-1)</f>
        <v>54116.050737605394</v>
      </c>
      <c r="I74" s="10">
        <f>Assumptions!C48/MIN((Assumptions!C49/(Assumptions!C28+K73+G74+H74+J73)),(D74*(1-Assumptions!C50)))</f>
        <v>195916.36326963053</v>
      </c>
      <c r="J74" s="10">
        <f>Assumptions!C51/MIN((Assumptions!C52/(Assumptions!C28+K73+G74+H74+I74)),(D74*(1-Assumptions!C53)))</f>
        <v>110635.12278755606</v>
      </c>
      <c r="K74" s="10">
        <f>MAX(0,($C$66*(Assumptions!C28+G74+H74+I74+J74+Assumptions!C7/D74)-Assumptions!C55)/(1-$C$66))</f>
        <v>617657.2382175173</v>
      </c>
      <c r="L74" s="10">
        <f>Assumptions!C28+K74+G74+H74+I74+J74</f>
        <v>37615941.75028668</v>
      </c>
      <c r="M74" s="10">
        <f>L74+Assumptions!C7/D74</f>
        <v>38556340.293980904</v>
      </c>
      <c r="N74" s="10">
        <f>$E$66/L74</f>
        <v>31.901367988237446</v>
      </c>
    </row>
    <row r="75" spans="3:14" x14ac:dyDescent="0.25">
      <c r="C75" s="10">
        <v>6</v>
      </c>
      <c r="D75" s="10">
        <f>N74</f>
        <v>31.901367988237446</v>
      </c>
      <c r="E75" s="10">
        <f>IF(D75&lt;Assumptions!C35,Assumptions!C35*(Assumptions!C28+Assumptions!C7/Assumptions!C35)/(Assumptions!C28+Assumptions!C7/D75),Assumptions!C35)</f>
        <v>57.461917667519415</v>
      </c>
      <c r="F75" s="10">
        <f>IF(D75&lt;Assumptions!C36,Assumptions!C36*(Assumptions!C28+Assumptions!C7/Assumptions!C36)/(Assumptions!C28+Assumptions!C7/D75),Assumptions!C36)</f>
        <v>48.72622599215893</v>
      </c>
      <c r="G75" s="10">
        <f>Assumptions!C24*(Assumptions!C35/E75-1)</f>
        <v>19655.975277283876</v>
      </c>
      <c r="H75" s="10">
        <f>Assumptions!C25*(Assumptions!C36/F75-1)</f>
        <v>54116.05074792256</v>
      </c>
      <c r="I75" s="10">
        <f>Assumptions!C48/MIN((Assumptions!C49/(Assumptions!C28+K74+G75+H75+J74)),(D75*(1-Assumptions!C50)))</f>
        <v>195916.3632827431</v>
      </c>
      <c r="J75" s="10">
        <f>Assumptions!C51/MIN((Assumptions!C52/(Assumptions!C28+K74+G75+H75+I75)),(D75*(1-Assumptions!C53)))</f>
        <v>110635.12279496083</v>
      </c>
      <c r="K75" s="10">
        <f>MAX(0,($C$66*(Assumptions!C28+G75+H75+I75+J75+Assumptions!C7/D75)-Assumptions!C55)/(1-$C$66))</f>
        <v>617657.2382319666</v>
      </c>
      <c r="L75" s="10">
        <f>Assumptions!C28+K75+G75+H75+I75+J75</f>
        <v>37615941.750334874</v>
      </c>
      <c r="M75" s="10">
        <f>L75+Assumptions!C7/D75</f>
        <v>38556340.294092044</v>
      </c>
      <c r="N75" s="10">
        <f>$E$66/L75</f>
        <v>31.901367988196576</v>
      </c>
    </row>
    <row r="76" spans="3:14" x14ac:dyDescent="0.25">
      <c r="C76" s="10">
        <v>7</v>
      </c>
      <c r="D76" s="10">
        <f>N75</f>
        <v>31.901367988196576</v>
      </c>
      <c r="E76" s="10">
        <f>IF(D76&lt;Assumptions!C35,Assumptions!C35*(Assumptions!C28+Assumptions!C7/Assumptions!C35)/(Assumptions!C28+Assumptions!C7/D76),Assumptions!C35)</f>
        <v>57.46191766751758</v>
      </c>
      <c r="F76" s="10">
        <f>IF(D76&lt;Assumptions!C36,Assumptions!C36*(Assumptions!C28+Assumptions!C7/Assumptions!C36)/(Assumptions!C28+Assumptions!C7/D76),Assumptions!C36)</f>
        <v>48.726225992157374</v>
      </c>
      <c r="G76" s="10">
        <f>Assumptions!C24*(Assumptions!C35/E76-1)</f>
        <v>19655.975277339283</v>
      </c>
      <c r="H76" s="10">
        <f>Assumptions!C25*(Assumptions!C36/F76-1)</f>
        <v>54116.050748119065</v>
      </c>
      <c r="I76" s="10">
        <f>Assumptions!C48/MIN((Assumptions!C49/(Assumptions!C28+K75+G76+H76+J75)),(D76*(1-Assumptions!C50)))</f>
        <v>195916.36328299413</v>
      </c>
      <c r="J76" s="10">
        <f>Assumptions!C51/MIN((Assumptions!C52/(Assumptions!C28+K75+G76+H76+I76)),(D76*(1-Assumptions!C53)))</f>
        <v>110635.12279510256</v>
      </c>
      <c r="K76" s="10">
        <f>MAX(0,($C$66*(Assumptions!C28+G76+H76+I76+J76+Assumptions!C7/D76)-Assumptions!C55)/(1-$C$66))</f>
        <v>617657.2382322402</v>
      </c>
      <c r="L76" s="10">
        <f>Assumptions!C28+K76+G76+H76+I76+J76</f>
        <v>37615941.75033579</v>
      </c>
      <c r="M76" s="10">
        <f>L76+Assumptions!C7/D76</f>
        <v>38556340.29409416</v>
      </c>
      <c r="N76" s="10">
        <f>$E$66/L76</f>
        <v>31.901367988195798</v>
      </c>
    </row>
    <row r="77" spans="3:14" x14ac:dyDescent="0.25">
      <c r="C77" s="10">
        <v>8</v>
      </c>
      <c r="D77" s="10">
        <f>N76</f>
        <v>31.901367988195798</v>
      </c>
      <c r="E77" s="10">
        <f>IF(D77&lt;Assumptions!C35,Assumptions!C35*(Assumptions!C28+Assumptions!C7/Assumptions!C35)/(Assumptions!C28+Assumptions!C7/D77),Assumptions!C35)</f>
        <v>57.461917667517554</v>
      </c>
      <c r="F77" s="10">
        <f>IF(D77&lt;Assumptions!C36,Assumptions!C36*(Assumptions!C28+Assumptions!C7/Assumptions!C36)/(Assumptions!C28+Assumptions!C7/D77),Assumptions!C36)</f>
        <v>48.726225992157346</v>
      </c>
      <c r="G77" s="10">
        <f>Assumptions!C24*(Assumptions!C35/E77-1)</f>
        <v>19655.97527733997</v>
      </c>
      <c r="H77" s="10">
        <f>Assumptions!C25*(Assumptions!C36/F77-1)</f>
        <v>54116.05074812334</v>
      </c>
      <c r="I77" s="10">
        <f>Assumptions!C48/MIN((Assumptions!C49/(Assumptions!C28+K76+G77+H77+J76)),(D77*(1-Assumptions!C50)))</f>
        <v>195916.3632829989</v>
      </c>
      <c r="J77" s="10">
        <f>Assumptions!C51/MIN((Assumptions!C52/(Assumptions!C28+K76+G77+H77+I77)),(D77*(1-Assumptions!C53)))</f>
        <v>110635.12279510527</v>
      </c>
      <c r="K77" s="10">
        <f>MAX(0,($C$66*(Assumptions!C28+G77+H77+I77+J77+Assumptions!C7/D77)-Assumptions!C55)/(1-$C$66))</f>
        <v>617657.2382322482</v>
      </c>
      <c r="L77" s="10">
        <f>Assumptions!C28+K77+G77+H77+I77+J77</f>
        <v>37615941.75033582</v>
      </c>
      <c r="M77" s="10">
        <f>L77+Assumptions!C7/D77</f>
        <v>38556340.29409421</v>
      </c>
      <c r="N77" s="10">
        <f>$E$66/L77</f>
        <v>31.901367988195773</v>
      </c>
    </row>
    <row r="78" spans="3:14" x14ac:dyDescent="0.25">
      <c r="C78" s="10">
        <v>9</v>
      </c>
      <c r="D78" s="10">
        <f>N77</f>
        <v>31.901367988195773</v>
      </c>
      <c r="E78" s="10">
        <f>IF(D78&lt;Assumptions!C35,Assumptions!C35*(Assumptions!C28+Assumptions!C7/Assumptions!C35)/(Assumptions!C28+Assumptions!C7/D78),Assumptions!C35)</f>
        <v>57.461917667517554</v>
      </c>
      <c r="F78" s="10">
        <f>IF(D78&lt;Assumptions!C36,Assumptions!C36*(Assumptions!C28+Assumptions!C7/Assumptions!C36)/(Assumptions!C28+Assumptions!C7/D78),Assumptions!C36)</f>
        <v>48.726225992157346</v>
      </c>
      <c r="G78" s="10">
        <f>Assumptions!C24*(Assumptions!C35/E78-1)</f>
        <v>19655.97527733997</v>
      </c>
      <c r="H78" s="10">
        <f>Assumptions!C25*(Assumptions!C36/F78-1)</f>
        <v>54116.05074812334</v>
      </c>
      <c r="I78" s="10">
        <f>Assumptions!C48/MIN((Assumptions!C49/(Assumptions!C28+K77+G78+H78+J77)),(D78*(1-Assumptions!C50)))</f>
        <v>195916.36328299905</v>
      </c>
      <c r="J78" s="10">
        <f>Assumptions!C51/MIN((Assumptions!C52/(Assumptions!C28+K77+G78+H78+I78)),(D78*(1-Assumptions!C53)))</f>
        <v>110635.12279510536</v>
      </c>
      <c r="K78" s="10">
        <f>MAX(0,($C$66*(Assumptions!C28+G78+H78+I78+J78+Assumptions!C7/D78)-Assumptions!C55)/(1-$C$66))</f>
        <v>617657.2382322482</v>
      </c>
      <c r="L78" s="10">
        <f>Assumptions!C28+K78+G78+H78+I78+J78</f>
        <v>37615941.75033582</v>
      </c>
      <c r="M78" s="10">
        <f>L78+Assumptions!C7/D78</f>
        <v>38556340.29409421</v>
      </c>
      <c r="N78" s="10">
        <f>$E$66/L78</f>
        <v>31.901367988195773</v>
      </c>
    </row>
    <row r="79" spans="3:14" x14ac:dyDescent="0.25">
      <c r="C79" s="10">
        <v>10</v>
      </c>
      <c r="D79" s="10">
        <f>N78</f>
        <v>31.901367988195773</v>
      </c>
      <c r="E79" s="10">
        <f>IF(D79&lt;Assumptions!C35,Assumptions!C35*(Assumptions!C28+Assumptions!C7/Assumptions!C35)/(Assumptions!C28+Assumptions!C7/D79),Assumptions!C35)</f>
        <v>57.461917667517554</v>
      </c>
      <c r="F79" s="10">
        <f>IF(D79&lt;Assumptions!C36,Assumptions!C36*(Assumptions!C28+Assumptions!C7/Assumptions!C36)/(Assumptions!C28+Assumptions!C7/D79),Assumptions!C36)</f>
        <v>48.726225992157346</v>
      </c>
      <c r="G79" s="10">
        <f>Assumptions!C24*(Assumptions!C35/E79-1)</f>
        <v>19655.97527733997</v>
      </c>
      <c r="H79" s="10">
        <f>Assumptions!C25*(Assumptions!C36/F79-1)</f>
        <v>54116.05074812334</v>
      </c>
      <c r="I79" s="10">
        <f>Assumptions!C48/MIN((Assumptions!C49/(Assumptions!C28+K78+G79+H79+J78)),(D79*(1-Assumptions!C50)))</f>
        <v>195916.36328299905</v>
      </c>
      <c r="J79" s="10">
        <f>Assumptions!C51/MIN((Assumptions!C52/(Assumptions!C28+K78+G79+H79+I79)),(D79*(1-Assumptions!C53)))</f>
        <v>110635.12279510536</v>
      </c>
      <c r="K79" s="10">
        <f>MAX(0,($C$66*(Assumptions!C28+G79+H79+I79+J79+Assumptions!C7/D79)-Assumptions!C55)/(1-$C$66))</f>
        <v>617657.2382322482</v>
      </c>
      <c r="L79" s="10">
        <f>Assumptions!C28+K79+G79+H79+I79+J79</f>
        <v>37615941.75033582</v>
      </c>
      <c r="M79" s="10">
        <f>L79+Assumptions!C7/D79</f>
        <v>38556340.29409421</v>
      </c>
      <c r="N79" s="10">
        <f>$E$66/L79</f>
        <v>31.901367988195773</v>
      </c>
    </row>
    <row r="80" spans="3:14" x14ac:dyDescent="0.25">
      <c r="C80" s="10">
        <v>11</v>
      </c>
      <c r="D80" s="10">
        <f>N79</f>
        <v>31.901367988195773</v>
      </c>
      <c r="E80" s="10">
        <f>IF(D80&lt;Assumptions!C35,Assumptions!C35*(Assumptions!C28+Assumptions!C7/Assumptions!C35)/(Assumptions!C28+Assumptions!C7/D80),Assumptions!C35)</f>
        <v>57.461917667517554</v>
      </c>
      <c r="F80" s="10">
        <f>IF(D80&lt;Assumptions!C36,Assumptions!C36*(Assumptions!C28+Assumptions!C7/Assumptions!C36)/(Assumptions!C28+Assumptions!C7/D80),Assumptions!C36)</f>
        <v>48.726225992157346</v>
      </c>
      <c r="G80" s="10">
        <f>Assumptions!C24*(Assumptions!C35/E80-1)</f>
        <v>19655.97527733997</v>
      </c>
      <c r="H80" s="10">
        <f>Assumptions!C25*(Assumptions!C36/F80-1)</f>
        <v>54116.05074812334</v>
      </c>
      <c r="I80" s="10">
        <f>Assumptions!C48/MIN((Assumptions!C49/(Assumptions!C28+K79+G80+H80+J79)),(D80*(1-Assumptions!C50)))</f>
        <v>195916.36328299905</v>
      </c>
      <c r="J80" s="10">
        <f>Assumptions!C51/MIN((Assumptions!C52/(Assumptions!C28+K79+G80+H80+I80)),(D80*(1-Assumptions!C53)))</f>
        <v>110635.12279510536</v>
      </c>
      <c r="K80" s="10">
        <f>MAX(0,($C$66*(Assumptions!C28+G80+H80+I80+J80+Assumptions!C7/D80)-Assumptions!C55)/(1-$C$66))</f>
        <v>617657.2382322482</v>
      </c>
      <c r="L80" s="10">
        <f>Assumptions!C28+K80+G80+H80+I80+J80</f>
        <v>37615941.75033582</v>
      </c>
      <c r="M80" s="10">
        <f>L80+Assumptions!C7/D80</f>
        <v>38556340.29409421</v>
      </c>
      <c r="N80" s="10">
        <f>$E$66/L80</f>
        <v>31.901367988195773</v>
      </c>
    </row>
    <row r="81" spans="3:14" x14ac:dyDescent="0.25">
      <c r="C81" s="10">
        <v>12</v>
      </c>
      <c r="D81" s="10">
        <f>N80</f>
        <v>31.901367988195773</v>
      </c>
      <c r="E81" s="10">
        <f>IF(D81&lt;Assumptions!C35,Assumptions!C35*(Assumptions!C28+Assumptions!C7/Assumptions!C35)/(Assumptions!C28+Assumptions!C7/D81),Assumptions!C35)</f>
        <v>57.461917667517554</v>
      </c>
      <c r="F81" s="10">
        <f>IF(D81&lt;Assumptions!C36,Assumptions!C36*(Assumptions!C28+Assumptions!C7/Assumptions!C36)/(Assumptions!C28+Assumptions!C7/D81),Assumptions!C36)</f>
        <v>48.726225992157346</v>
      </c>
      <c r="G81" s="10">
        <f>Assumptions!C24*(Assumptions!C35/E81-1)</f>
        <v>19655.97527733997</v>
      </c>
      <c r="H81" s="10">
        <f>Assumptions!C25*(Assumptions!C36/F81-1)</f>
        <v>54116.05074812334</v>
      </c>
      <c r="I81" s="10">
        <f>Assumptions!C48/MIN((Assumptions!C49/(Assumptions!C28+K80+G81+H81+J80)),(D81*(1-Assumptions!C50)))</f>
        <v>195916.36328299905</v>
      </c>
      <c r="J81" s="10">
        <f>Assumptions!C51/MIN((Assumptions!C52/(Assumptions!C28+K80+G81+H81+I81)),(D81*(1-Assumptions!C53)))</f>
        <v>110635.12279510536</v>
      </c>
      <c r="K81" s="10">
        <f>MAX(0,($C$66*(Assumptions!C28+G81+H81+I81+J81+Assumptions!C7/D81)-Assumptions!C55)/(1-$C$66))</f>
        <v>617657.2382322482</v>
      </c>
      <c r="L81" s="10">
        <f>Assumptions!C28+K81+G81+H81+I81+J81</f>
        <v>37615941.75033582</v>
      </c>
      <c r="M81" s="10">
        <f>L81+Assumptions!C7/D81</f>
        <v>38556340.29409421</v>
      </c>
      <c r="N81" s="10">
        <f>$E$66/L81</f>
        <v>31.901367988195773</v>
      </c>
    </row>
    <row r="82" spans="3:14" x14ac:dyDescent="0.25">
      <c r="C82" s="10">
        <v>13</v>
      </c>
      <c r="D82" s="10">
        <f>N81</f>
        <v>31.901367988195773</v>
      </c>
      <c r="E82" s="10">
        <f>IF(D82&lt;Assumptions!C35,Assumptions!C35*(Assumptions!C28+Assumptions!C7/Assumptions!C35)/(Assumptions!C28+Assumptions!C7/D82),Assumptions!C35)</f>
        <v>57.461917667517554</v>
      </c>
      <c r="F82" s="10">
        <f>IF(D82&lt;Assumptions!C36,Assumptions!C36*(Assumptions!C28+Assumptions!C7/Assumptions!C36)/(Assumptions!C28+Assumptions!C7/D82),Assumptions!C36)</f>
        <v>48.726225992157346</v>
      </c>
      <c r="G82" s="10">
        <f>Assumptions!C24*(Assumptions!C35/E82-1)</f>
        <v>19655.97527733997</v>
      </c>
      <c r="H82" s="10">
        <f>Assumptions!C25*(Assumptions!C36/F82-1)</f>
        <v>54116.05074812334</v>
      </c>
      <c r="I82" s="10">
        <f>Assumptions!C48/MIN((Assumptions!C49/(Assumptions!C28+K81+G82+H82+J81)),(D82*(1-Assumptions!C50)))</f>
        <v>195916.36328299905</v>
      </c>
      <c r="J82" s="10">
        <f>Assumptions!C51/MIN((Assumptions!C52/(Assumptions!C28+K81+G82+H82+I82)),(D82*(1-Assumptions!C53)))</f>
        <v>110635.12279510536</v>
      </c>
      <c r="K82" s="10">
        <f>MAX(0,($C$66*(Assumptions!C28+G82+H82+I82+J82+Assumptions!C7/D82)-Assumptions!C55)/(1-$C$66))</f>
        <v>617657.2382322482</v>
      </c>
      <c r="L82" s="10">
        <f>Assumptions!C28+K82+G82+H82+I82+J82</f>
        <v>37615941.75033582</v>
      </c>
      <c r="M82" s="10">
        <f>L82+Assumptions!C7/D82</f>
        <v>38556340.29409421</v>
      </c>
      <c r="N82" s="10">
        <f>$E$66/L82</f>
        <v>31.901367988195773</v>
      </c>
    </row>
    <row r="83" spans="3:14" x14ac:dyDescent="0.25">
      <c r="C83" s="10">
        <v>14</v>
      </c>
      <c r="D83" s="10">
        <f>N82</f>
        <v>31.901367988195773</v>
      </c>
      <c r="E83" s="10">
        <f>IF(D83&lt;Assumptions!C35,Assumptions!C35*(Assumptions!C28+Assumptions!C7/Assumptions!C35)/(Assumptions!C28+Assumptions!C7/D83),Assumptions!C35)</f>
        <v>57.461917667517554</v>
      </c>
      <c r="F83" s="10">
        <f>IF(D83&lt;Assumptions!C36,Assumptions!C36*(Assumptions!C28+Assumptions!C7/Assumptions!C36)/(Assumptions!C28+Assumptions!C7/D83),Assumptions!C36)</f>
        <v>48.726225992157346</v>
      </c>
      <c r="G83" s="10">
        <f>Assumptions!C24*(Assumptions!C35/E83-1)</f>
        <v>19655.97527733997</v>
      </c>
      <c r="H83" s="10">
        <f>Assumptions!C25*(Assumptions!C36/F83-1)</f>
        <v>54116.05074812334</v>
      </c>
      <c r="I83" s="10">
        <f>Assumptions!C48/MIN((Assumptions!C49/(Assumptions!C28+K82+G83+H83+J82)),(D83*(1-Assumptions!C50)))</f>
        <v>195916.36328299905</v>
      </c>
      <c r="J83" s="10">
        <f>Assumptions!C51/MIN((Assumptions!C52/(Assumptions!C28+K82+G83+H83+I83)),(D83*(1-Assumptions!C53)))</f>
        <v>110635.12279510536</v>
      </c>
      <c r="K83" s="10">
        <f>MAX(0,($C$66*(Assumptions!C28+G83+H83+I83+J83+Assumptions!C7/D83)-Assumptions!C55)/(1-$C$66))</f>
        <v>617657.2382322482</v>
      </c>
      <c r="L83" s="10">
        <f>Assumptions!C28+K83+G83+H83+I83+J83</f>
        <v>37615941.75033582</v>
      </c>
      <c r="M83" s="10">
        <f>L83+Assumptions!C7/D83</f>
        <v>38556340.29409421</v>
      </c>
      <c r="N83" s="10">
        <f>$E$66/L83</f>
        <v>31.901367988195773</v>
      </c>
    </row>
    <row r="84" spans="2:9" x14ac:dyDescent="0.25">
      <c r="B84" s="9" t="s">
        <v>159</v>
      </c>
      <c r="C84" s="14">
        <f>N83</f>
        <v>31.901367988195773</v>
      </c>
      <c r="D84" s="5" t="s">
        <v>194</v>
      </c>
      <c r="E84" s="10">
        <f>M83</f>
        <v>38556340.29409421</v>
      </c>
      <c r="F84" s="5" t="s">
        <v>196</v>
      </c>
      <c r="G84" s="10" t="str">
        <f>IF((Assumptions!C49/(Assumptions!C28+K83+G83+H83+J83))&lt;(N83*(1-Assumptions!C50)),"cap","discount")</f>
        <v>discount</v>
      </c>
      <c r="H84" s="5" t="s">
        <v>197</v>
      </c>
      <c r="I84" s="10" t="str">
        <f>IF((Assumptions!C52/(Assumptions!C28+K83+G83+H83+I83))&lt;(N83*(1-Assumptions!C53)),"cap","discount")</f>
        <v>discount</v>
      </c>
    </row>
    <row r="85" spans="2:14" x14ac:dyDescent="0.25">
      <c r="B85" s="3" t="s">
        <v>201</v>
      </c>
      <c r="C85" s="4" t="s">
        <v>3</v>
      </c>
      <c r="D85" s="4" t="s">
        <v>3</v>
      </c>
      <c r="E85" s="4" t="s">
        <v>3</v>
      </c>
      <c r="F85" s="4" t="s">
        <v>3</v>
      </c>
      <c r="G85" s="4" t="s">
        <v>3</v>
      </c>
      <c r="H85" s="4" t="s">
        <v>3</v>
      </c>
      <c r="I85" s="4" t="s">
        <v>3</v>
      </c>
      <c r="J85" s="4" t="s">
        <v>3</v>
      </c>
      <c r="K85" s="4" t="s">
        <v>3</v>
      </c>
      <c r="L85" s="4" t="s">
        <v>3</v>
      </c>
      <c r="M85" s="4" t="s">
        <v>3</v>
      </c>
      <c r="N85" s="4" t="s">
        <v>3</v>
      </c>
    </row>
    <row r="86" spans="2:5" x14ac:dyDescent="0.25">
      <c r="B86" s="5" t="s">
        <v>182</v>
      </c>
      <c r="C86" s="13">
        <f>Assumptions!C66</f>
        <v>0.13</v>
      </c>
      <c r="D86" s="5" t="s">
        <v>183</v>
      </c>
      <c r="E86" s="11">
        <f>Assumptions!C69</f>
        <v>1400000000</v>
      </c>
    </row>
    <row r="88" spans="3:14" x14ac:dyDescent="0.25">
      <c r="C88" s="16" t="s">
        <v>184</v>
      </c>
      <c r="D88" s="16" t="s">
        <v>185</v>
      </c>
      <c r="E88" s="16" t="s">
        <v>186</v>
      </c>
      <c r="F88" s="16" t="s">
        <v>187</v>
      </c>
      <c r="G88" s="16" t="s">
        <v>188</v>
      </c>
      <c r="H88" s="16" t="s">
        <v>189</v>
      </c>
      <c r="I88" s="16" t="s">
        <v>190</v>
      </c>
      <c r="J88" s="16" t="s">
        <v>191</v>
      </c>
      <c r="K88" s="16" t="s">
        <v>192</v>
      </c>
      <c r="L88" s="16" t="s">
        <v>193</v>
      </c>
      <c r="M88" s="16" t="s">
        <v>194</v>
      </c>
      <c r="N88" s="16" t="s">
        <v>195</v>
      </c>
    </row>
    <row r="89" spans="3:14" x14ac:dyDescent="0.25">
      <c r="C89" s="10">
        <v>0</v>
      </c>
      <c r="D89" s="10">
        <f>$E$86/Assumptions!C28</f>
        <v>38.23260393990807</v>
      </c>
      <c r="E89" s="10">
        <f>IF(D89&lt;Assumptions!C35,Assumptions!C35*(Assumptions!C28+Assumptions!C7/Assumptions!C35)/(Assumptions!C28+Assumptions!C7/D89),Assumptions!C35)</f>
        <v>57.7011635791589</v>
      </c>
      <c r="F89" s="10">
        <f>IF(D89&lt;Assumptions!C36,Assumptions!C36*(Assumptions!C28+Assumptions!C7/Assumptions!C36)/(Assumptions!C28+Assumptions!C7/D89),Assumptions!C36)</f>
        <v>48.92910036237569</v>
      </c>
      <c r="G89" s="10">
        <f>Assumptions!C24*(Assumptions!C35/E89-1)</f>
        <v>12440.252731936758</v>
      </c>
      <c r="H89" s="10">
        <f>Assumptions!C25*(Assumptions!C36/F89-1)</f>
        <v>28588.2263094802</v>
      </c>
      <c r="I89" s="10">
        <f>Assumptions!C48/MIN((Assumptions!C49/(Assumptions!C28+0+G89+H89+0)),(D89*(1-Assumptions!C50)))</f>
        <v>183294.94739520707</v>
      </c>
      <c r="J89" s="10">
        <f>Assumptions!C51/MIN((Assumptions!C52/(Assumptions!C28+0+G89+H89+I89)),(D89*(1-Assumptions!C53)))</f>
        <v>92314.18739495797</v>
      </c>
      <c r="K89" s="10">
        <f>MAX(0,($C$86*(Assumptions!C28+G89+H89+I89+J89+Assumptions!C7/D89)-Assumptions!C55)/(1-$C$86))</f>
        <v>584871.2607695793</v>
      </c>
      <c r="L89" s="10">
        <f>Assumptions!C28+K89+G89+H89+I89+J89</f>
        <v>37519469.874601156</v>
      </c>
      <c r="M89" s="10">
        <f>L89+Assumptions!C7/D89</f>
        <v>38304140.4674583</v>
      </c>
      <c r="N89" s="10">
        <f>$E$86/L89</f>
        <v>37.31396005005208</v>
      </c>
    </row>
    <row r="90" spans="3:14" x14ac:dyDescent="0.25">
      <c r="C90" s="10">
        <v>1</v>
      </c>
      <c r="D90" s="10">
        <f>N89</f>
        <v>37.31396005005208</v>
      </c>
      <c r="E90" s="10">
        <f>IF(D90&lt;Assumptions!C35,Assumptions!C35*(Assumptions!C28+Assumptions!C7/Assumptions!C35)/(Assumptions!C28+Assumptions!C7/D90),Assumptions!C35)</f>
        <v>57.67137694808414</v>
      </c>
      <c r="F90" s="10">
        <f>IF(D90&lt;Assumptions!C36,Assumptions!C36*(Assumptions!C28+Assumptions!C7/Assumptions!C36)/(Assumptions!C28+Assumptions!C7/D90),Assumptions!C36)</f>
        <v>48.90384206651282</v>
      </c>
      <c r="G90" s="10">
        <f>Assumptions!C24*(Assumptions!C35/E90-1)</f>
        <v>13335.362882182359</v>
      </c>
      <c r="H90" s="10">
        <f>Assumptions!C25*(Assumptions!C36/F90-1)</f>
        <v>31754.952112050545</v>
      </c>
      <c r="I90" s="10">
        <f>Assumptions!C48/MIN((Assumptions!C49/(Assumptions!C28+K89+G90+H90+J89)),(D90*(1-Assumptions!C50)))</f>
        <v>186701.18381579386</v>
      </c>
      <c r="J90" s="10">
        <f>Assumptions!C51/MIN((Assumptions!C52/(Assumptions!C28+K89+G90+H90+I90)),(D90*(1-Assumptions!C53)))</f>
        <v>94586.89884353233</v>
      </c>
      <c r="K90" s="10">
        <f>MAX(0,($C$86*(Assumptions!C28+G90+H90+I90+J90+Assumptions!C7/D90)-Assumptions!C55)/(1-$C$86))</f>
        <v>589213.3849621426</v>
      </c>
      <c r="L90" s="10">
        <f>Assumptions!C28+K90+G90+H90+I90+J90</f>
        <v>37533552.7826157</v>
      </c>
      <c r="M90" s="10">
        <f>L90+Assumptions!C7/D90</f>
        <v>38337541.42278572</v>
      </c>
      <c r="N90" s="10">
        <f>$E$86/L90</f>
        <v>37.29995953509719</v>
      </c>
    </row>
    <row r="91" spans="3:14" x14ac:dyDescent="0.25">
      <c r="C91" s="10">
        <v>2</v>
      </c>
      <c r="D91" s="10">
        <f>N90</f>
        <v>37.29995953509719</v>
      </c>
      <c r="E91" s="10">
        <f>IF(D91&lt;Assumptions!C35,Assumptions!C35*(Assumptions!C28+Assumptions!C7/Assumptions!C35)/(Assumptions!C28+Assumptions!C7/D91),Assumptions!C35)</f>
        <v>57.670911880606575</v>
      </c>
      <c r="F91" s="10">
        <f>IF(D91&lt;Assumptions!C36,Assumptions!C36*(Assumptions!C28+Assumptions!C7/Assumptions!C36)/(Assumptions!C28+Assumptions!C7/D91),Assumptions!C36)</f>
        <v>48.90344770127175</v>
      </c>
      <c r="G91" s="10">
        <f>Assumptions!C24*(Assumptions!C35/E91-1)</f>
        <v>13349.345832615963</v>
      </c>
      <c r="H91" s="10">
        <f>Assumptions!C25*(Assumptions!C36/F91-1)</f>
        <v>31804.421073967675</v>
      </c>
      <c r="I91" s="10">
        <f>Assumptions!C48/MIN((Assumptions!C49/(Assumptions!C28+K90+G91+H91+J90)),(D91*(1-Assumptions!C50)))</f>
        <v>186734.5752535613</v>
      </c>
      <c r="J91" s="10">
        <f>Assumptions!C51/MIN((Assumptions!C52/(Assumptions!C28+K90+G91+H91+I91)),(D91*(1-Assumptions!C53)))</f>
        <v>94622.40197298075</v>
      </c>
      <c r="K91" s="10">
        <f>MAX(0,($C$86*(Assumptions!C28+G91+H91+I91+J91+Assumptions!C7/D91)-Assumptions!C55)/(1-$C$86))</f>
        <v>589278.2539281023</v>
      </c>
      <c r="L91" s="10">
        <f>Assumptions!C28+K91+G91+H91+I91+J91</f>
        <v>37533749.998061225</v>
      </c>
      <c r="M91" s="10">
        <f>L91+Assumptions!C7/D91</f>
        <v>38338040.414831564</v>
      </c>
      <c r="N91" s="10">
        <f>$E$86/L91</f>
        <v>37.2997635480685</v>
      </c>
    </row>
    <row r="92" spans="3:14" x14ac:dyDescent="0.25">
      <c r="C92" s="10">
        <v>3</v>
      </c>
      <c r="D92" s="10">
        <f>N91</f>
        <v>37.2997635480685</v>
      </c>
      <c r="E92" s="10">
        <f>IF(D92&lt;Assumptions!C35,Assumptions!C35*(Assumptions!C28+Assumptions!C7/Assumptions!C35)/(Assumptions!C28+Assumptions!C7/D92),Assumptions!C35)</f>
        <v>57.67090536790766</v>
      </c>
      <c r="F92" s="10">
        <f>IF(D92&lt;Assumptions!C36,Assumptions!C36*(Assumptions!C28+Assumptions!C7/Assumptions!C36)/(Assumptions!C28+Assumptions!C7/D92),Assumptions!C36)</f>
        <v>48.903442178670836</v>
      </c>
      <c r="G92" s="10">
        <f>Assumptions!C24*(Assumptions!C35/E92-1)</f>
        <v>13349.541648266975</v>
      </c>
      <c r="H92" s="10">
        <f>Assumptions!C25*(Assumptions!C36/F92-1)</f>
        <v>31805.113831695413</v>
      </c>
      <c r="I92" s="10">
        <f>Assumptions!C48/MIN((Assumptions!C49/(Assumptions!C28+K91+G92+H92+J91)),(D92*(1-Assumptions!C50)))</f>
        <v>186735.0815569052</v>
      </c>
      <c r="J92" s="10">
        <f>Assumptions!C51/MIN((Assumptions!C52/(Assumptions!C28+K91+G92+H92+I92)),(D92*(1-Assumptions!C53)))</f>
        <v>94622.89915477618</v>
      </c>
      <c r="K92" s="10">
        <f>MAX(0,($C$86*(Assumptions!C28+G92+H92+I92+J92+Assumptions!C7/D92)-Assumptions!C55)/(1-$C$86))</f>
        <v>589279.1681275207</v>
      </c>
      <c r="L92" s="10">
        <f>Assumptions!C28+K92+G92+H92+I92+J92</f>
        <v>37533752.80431916</v>
      </c>
      <c r="M92" s="10">
        <f>L92+Assumptions!C7/D92</f>
        <v>38338047.447134756</v>
      </c>
      <c r="N92" s="10">
        <f>$E$86/L92</f>
        <v>37.29976075930506</v>
      </c>
    </row>
    <row r="93" spans="3:14" x14ac:dyDescent="0.25">
      <c r="C93" s="10">
        <v>4</v>
      </c>
      <c r="D93" s="10">
        <f>N92</f>
        <v>37.29976075930506</v>
      </c>
      <c r="E93" s="10">
        <f>IF(D93&lt;Assumptions!C35,Assumptions!C35*(Assumptions!C28+Assumptions!C7/Assumptions!C35)/(Assumptions!C28+Assumptions!C7/D93),Assumptions!C35)</f>
        <v>57.67090527523586</v>
      </c>
      <c r="F93" s="10">
        <f>IF(D93&lt;Assumptions!C36,Assumptions!C36*(Assumptions!C28+Assumptions!C7/Assumptions!C36)/(Assumptions!C28+Assumptions!C7/D93),Assumptions!C36)</f>
        <v>48.90344210008754</v>
      </c>
      <c r="G93" s="10">
        <f>Assumptions!C24*(Assumptions!C35/E93-1)</f>
        <v>13349.544434606807</v>
      </c>
      <c r="H93" s="10">
        <f>Assumptions!C25*(Assumptions!C36/F93-1)</f>
        <v>31805.12368922357</v>
      </c>
      <c r="I93" s="10">
        <f>Assumptions!C48/MIN((Assumptions!C49/(Assumptions!C28+K92+G93+H93+J92)),(D93*(1-Assumptions!C50)))</f>
        <v>186735.08867703064</v>
      </c>
      <c r="J93" s="10">
        <f>Assumptions!C51/MIN((Assumptions!C52/(Assumptions!C28+K92+G93+H93+I93)),(D93*(1-Assumptions!C53)))</f>
        <v>94622.90622937604</v>
      </c>
      <c r="K93" s="10">
        <f>MAX(0,($C$86*(Assumptions!C28+G93+H93+I93+J93+Assumptions!C7/D93)-Assumptions!C55)/(1-$C$86))</f>
        <v>589279.1811234391</v>
      </c>
      <c r="L93" s="10">
        <f>Assumptions!C28+K93+G93+H93+I93+J93</f>
        <v>37533752.844153665</v>
      </c>
      <c r="M93" s="10">
        <f>L93+Assumptions!C7/D93</f>
        <v>38338047.54710336</v>
      </c>
      <c r="N93" s="10">
        <f>$E$86/L93</f>
        <v>37.29976071971889</v>
      </c>
    </row>
    <row r="94" spans="3:14" x14ac:dyDescent="0.25">
      <c r="C94" s="10">
        <v>5</v>
      </c>
      <c r="D94" s="10">
        <f>N93</f>
        <v>37.29976071971889</v>
      </c>
      <c r="E94" s="10">
        <f>IF(D94&lt;Assumptions!C35,Assumptions!C35*(Assumptions!C28+Assumptions!C7/Assumptions!C35)/(Assumptions!C28+Assumptions!C7/D94),Assumptions!C35)</f>
        <v>57.6709052739204</v>
      </c>
      <c r="F94" s="10">
        <f>IF(D94&lt;Assumptions!C36,Assumptions!C36*(Assumptions!C28+Assumptions!C7/Assumptions!C36)/(Assumptions!C28+Assumptions!C7/D94),Assumptions!C36)</f>
        <v>48.90344209897206</v>
      </c>
      <c r="G94" s="10">
        <f>Assumptions!C24*(Assumptions!C35/E94-1)</f>
        <v>13349.544474158343</v>
      </c>
      <c r="H94" s="10">
        <f>Assumptions!C25*(Assumptions!C36/F94-1)</f>
        <v>31805.12382914979</v>
      </c>
      <c r="I94" s="10">
        <f>Assumptions!C48/MIN((Assumptions!C49/(Assumptions!C28+K93+G94+H94+J93)),(D94*(1-Assumptions!C50)))</f>
        <v>186735.08877828057</v>
      </c>
      <c r="J94" s="10">
        <f>Assumptions!C51/MIN((Assumptions!C52/(Assumptions!C28+K93+G94+H94+I94)),(D94*(1-Assumptions!C53)))</f>
        <v>94622.90632979915</v>
      </c>
      <c r="K94" s="10">
        <f>MAX(0,($C$86*(Assumptions!C28+G94+H94+I94+J94+Assumptions!C7/D94)-Assumptions!C55)/(1-$C$86))</f>
        <v>589279.1813079397</v>
      </c>
      <c r="L94" s="10">
        <f>Assumptions!C28+K94+G94+H94+I94+J94</f>
        <v>37533752.84471933</v>
      </c>
      <c r="M94" s="10">
        <f>L94+Assumptions!C7/D94</f>
        <v>38338047.54852262</v>
      </c>
      <c r="N94" s="10">
        <f>$E$86/L94</f>
        <v>37.29976071915675</v>
      </c>
    </row>
    <row r="95" spans="3:14" x14ac:dyDescent="0.25">
      <c r="C95" s="10">
        <v>6</v>
      </c>
      <c r="D95" s="10">
        <f>N94</f>
        <v>37.29976071915675</v>
      </c>
      <c r="E95" s="10">
        <f>IF(D95&lt;Assumptions!C35,Assumptions!C35*(Assumptions!C28+Assumptions!C7/Assumptions!C35)/(Assumptions!C28+Assumptions!C7/D95),Assumptions!C35)</f>
        <v>57.67090527390171</v>
      </c>
      <c r="F95" s="10">
        <f>IF(D95&lt;Assumptions!C36,Assumptions!C36*(Assumptions!C28+Assumptions!C7/Assumptions!C36)/(Assumptions!C28+Assumptions!C7/D95),Assumptions!C36)</f>
        <v>48.90344209895621</v>
      </c>
      <c r="G95" s="10">
        <f>Assumptions!C24*(Assumptions!C35/E95-1)</f>
        <v>13349.544474719956</v>
      </c>
      <c r="H95" s="10">
        <f>Assumptions!C25*(Assumptions!C36/F95-1)</f>
        <v>31805.12383113743</v>
      </c>
      <c r="I95" s="10">
        <f>Assumptions!C48/MIN((Assumptions!C49/(Assumptions!C28+K94+G95+H95+J94)),(D95*(1-Assumptions!C50)))</f>
        <v>186735.08877971797</v>
      </c>
      <c r="J95" s="10">
        <f>Assumptions!C51/MIN((Assumptions!C52/(Assumptions!C28+K94+G95+H95+I95)),(D95*(1-Assumptions!C53)))</f>
        <v>94622.9063312252</v>
      </c>
      <c r="K95" s="10">
        <f>MAX(0,($C$86*(Assumptions!C28+G95+H95+I95+J95+Assumptions!C7/D95)-Assumptions!C55)/(1-$C$86))</f>
        <v>589279.1813105597</v>
      </c>
      <c r="L95" s="10">
        <f>Assumptions!C28+K95+G95+H95+I95+J95</f>
        <v>37533752.84472735</v>
      </c>
      <c r="M95" s="10">
        <f>L95+Assumptions!C7/D95</f>
        <v>38338047.54854277</v>
      </c>
      <c r="N95" s="10">
        <f>$E$86/L95</f>
        <v>37.29976071914878</v>
      </c>
    </row>
    <row r="96" spans="3:14" x14ac:dyDescent="0.25">
      <c r="C96" s="10">
        <v>7</v>
      </c>
      <c r="D96" s="10">
        <f>N95</f>
        <v>37.29976071914878</v>
      </c>
      <c r="E96" s="10">
        <f>IF(D96&lt;Assumptions!C35,Assumptions!C35*(Assumptions!C28+Assumptions!C7/Assumptions!C35)/(Assumptions!C28+Assumptions!C7/D96),Assumptions!C35)</f>
        <v>57.67090527390144</v>
      </c>
      <c r="F96" s="10">
        <f>IF(D96&lt;Assumptions!C36,Assumptions!C36*(Assumptions!C28+Assumptions!C7/Assumptions!C36)/(Assumptions!C28+Assumptions!C7/D96),Assumptions!C36)</f>
        <v>48.903442098955985</v>
      </c>
      <c r="G96" s="10">
        <f>Assumptions!C24*(Assumptions!C35/E96-1)</f>
        <v>13349.544474728387</v>
      </c>
      <c r="H96" s="10">
        <f>Assumptions!C25*(Assumptions!C36/F96-1)</f>
        <v>31805.123831165503</v>
      </c>
      <c r="I96" s="10">
        <f>Assumptions!C48/MIN((Assumptions!C49/(Assumptions!C28+K95+G96+H96+J95)),(D96*(1-Assumptions!C50)))</f>
        <v>186735.08877973835</v>
      </c>
      <c r="J96" s="10">
        <f>Assumptions!C51/MIN((Assumptions!C52/(Assumptions!C28+K95+G96+H96+I96)),(D96*(1-Assumptions!C53)))</f>
        <v>94622.90633124542</v>
      </c>
      <c r="K96" s="10">
        <f>MAX(0,($C$86*(Assumptions!C28+G96+H96+I96+J96+Assumptions!C7/D96)-Assumptions!C55)/(1-$C$86))</f>
        <v>589279.1813105989</v>
      </c>
      <c r="L96" s="10">
        <f>Assumptions!C28+K96+G96+H96+I96+J96</f>
        <v>37533752.84472749</v>
      </c>
      <c r="M96" s="10">
        <f>L96+Assumptions!C7/D96</f>
        <v>38338047.54854307</v>
      </c>
      <c r="N96" s="10">
        <f>$E$86/L96</f>
        <v>37.299760719148644</v>
      </c>
    </row>
    <row r="97" spans="3:14" x14ac:dyDescent="0.25">
      <c r="C97" s="10">
        <v>8</v>
      </c>
      <c r="D97" s="10">
        <f>N96</f>
        <v>37.299760719148644</v>
      </c>
      <c r="E97" s="10">
        <f>IF(D97&lt;Assumptions!C35,Assumptions!C35*(Assumptions!C28+Assumptions!C7/Assumptions!C35)/(Assumptions!C28+Assumptions!C7/D97),Assumptions!C35)</f>
        <v>57.67090527390144</v>
      </c>
      <c r="F97" s="10">
        <f>IF(D97&lt;Assumptions!C36,Assumptions!C36*(Assumptions!C28+Assumptions!C7/Assumptions!C36)/(Assumptions!C28+Assumptions!C7/D97),Assumptions!C36)</f>
        <v>48.903442098955985</v>
      </c>
      <c r="G97" s="10">
        <f>Assumptions!C24*(Assumptions!C35/E97-1)</f>
        <v>13349.544474728387</v>
      </c>
      <c r="H97" s="10">
        <f>Assumptions!C25*(Assumptions!C36/F97-1)</f>
        <v>31805.123831165503</v>
      </c>
      <c r="I97" s="10">
        <f>Assumptions!C48/MIN((Assumptions!C49/(Assumptions!C28+K96+G97+H97+J96)),(D97*(1-Assumptions!C50)))</f>
        <v>186735.08877973875</v>
      </c>
      <c r="J97" s="10">
        <f>Assumptions!C51/MIN((Assumptions!C52/(Assumptions!C28+K96+G97+H97+I97)),(D97*(1-Assumptions!C53)))</f>
        <v>94622.90633124577</v>
      </c>
      <c r="K97" s="10">
        <f>MAX(0,($C$86*(Assumptions!C28+G97+H97+I97+J97+Assumptions!C7/D97)-Assumptions!C55)/(1-$C$86))</f>
        <v>589279.1813105989</v>
      </c>
      <c r="L97" s="10">
        <f>Assumptions!C28+K97+G97+H97+I97+J97</f>
        <v>37533752.84472749</v>
      </c>
      <c r="M97" s="10">
        <f>L97+Assumptions!C7/D97</f>
        <v>38338047.54854308</v>
      </c>
      <c r="N97" s="10">
        <f>$E$86/L97</f>
        <v>37.299760719148644</v>
      </c>
    </row>
    <row r="98" spans="3:14" x14ac:dyDescent="0.25">
      <c r="C98" s="10">
        <v>9</v>
      </c>
      <c r="D98" s="10">
        <f>N97</f>
        <v>37.299760719148644</v>
      </c>
      <c r="E98" s="10">
        <f>IF(D98&lt;Assumptions!C35,Assumptions!C35*(Assumptions!C28+Assumptions!C7/Assumptions!C35)/(Assumptions!C28+Assumptions!C7/D98),Assumptions!C35)</f>
        <v>57.67090527390144</v>
      </c>
      <c r="F98" s="10">
        <f>IF(D98&lt;Assumptions!C36,Assumptions!C36*(Assumptions!C28+Assumptions!C7/Assumptions!C36)/(Assumptions!C28+Assumptions!C7/D98),Assumptions!C36)</f>
        <v>48.903442098955985</v>
      </c>
      <c r="G98" s="10">
        <f>Assumptions!C24*(Assumptions!C35/E98-1)</f>
        <v>13349.544474728387</v>
      </c>
      <c r="H98" s="10">
        <f>Assumptions!C25*(Assumptions!C36/F98-1)</f>
        <v>31805.123831165503</v>
      </c>
      <c r="I98" s="10">
        <f>Assumptions!C48/MIN((Assumptions!C49/(Assumptions!C28+K97+G98+H98+J97)),(D98*(1-Assumptions!C50)))</f>
        <v>186735.08877973875</v>
      </c>
      <c r="J98" s="10">
        <f>Assumptions!C51/MIN((Assumptions!C52/(Assumptions!C28+K97+G98+H98+I98)),(D98*(1-Assumptions!C53)))</f>
        <v>94622.90633124577</v>
      </c>
      <c r="K98" s="10">
        <f>MAX(0,($C$86*(Assumptions!C28+G98+H98+I98+J98+Assumptions!C7/D98)-Assumptions!C55)/(1-$C$86))</f>
        <v>589279.1813105989</v>
      </c>
      <c r="L98" s="10">
        <f>Assumptions!C28+K98+G98+H98+I98+J98</f>
        <v>37533752.84472749</v>
      </c>
      <c r="M98" s="10">
        <f>L98+Assumptions!C7/D98</f>
        <v>38338047.54854308</v>
      </c>
      <c r="N98" s="10">
        <f>$E$86/L98</f>
        <v>37.299760719148644</v>
      </c>
    </row>
    <row r="99" spans="3:14" x14ac:dyDescent="0.25">
      <c r="C99" s="10">
        <v>10</v>
      </c>
      <c r="D99" s="10">
        <f>N98</f>
        <v>37.299760719148644</v>
      </c>
      <c r="E99" s="10">
        <f>IF(D99&lt;Assumptions!C35,Assumptions!C35*(Assumptions!C28+Assumptions!C7/Assumptions!C35)/(Assumptions!C28+Assumptions!C7/D99),Assumptions!C35)</f>
        <v>57.67090527390144</v>
      </c>
      <c r="F99" s="10">
        <f>IF(D99&lt;Assumptions!C36,Assumptions!C36*(Assumptions!C28+Assumptions!C7/Assumptions!C36)/(Assumptions!C28+Assumptions!C7/D99),Assumptions!C36)</f>
        <v>48.903442098955985</v>
      </c>
      <c r="G99" s="10">
        <f>Assumptions!C24*(Assumptions!C35/E99-1)</f>
        <v>13349.544474728387</v>
      </c>
      <c r="H99" s="10">
        <f>Assumptions!C25*(Assumptions!C36/F99-1)</f>
        <v>31805.123831165503</v>
      </c>
      <c r="I99" s="10">
        <f>Assumptions!C48/MIN((Assumptions!C49/(Assumptions!C28+K98+G99+H99+J98)),(D99*(1-Assumptions!C50)))</f>
        <v>186735.08877973875</v>
      </c>
      <c r="J99" s="10">
        <f>Assumptions!C51/MIN((Assumptions!C52/(Assumptions!C28+K98+G99+H99+I99)),(D99*(1-Assumptions!C53)))</f>
        <v>94622.90633124577</v>
      </c>
      <c r="K99" s="10">
        <f>MAX(0,($C$86*(Assumptions!C28+G99+H99+I99+J99+Assumptions!C7/D99)-Assumptions!C55)/(1-$C$86))</f>
        <v>589279.1813105989</v>
      </c>
      <c r="L99" s="10">
        <f>Assumptions!C28+K99+G99+H99+I99+J99</f>
        <v>37533752.84472749</v>
      </c>
      <c r="M99" s="10">
        <f>L99+Assumptions!C7/D99</f>
        <v>38338047.54854308</v>
      </c>
      <c r="N99" s="10">
        <f>$E$86/L99</f>
        <v>37.299760719148644</v>
      </c>
    </row>
    <row r="100" spans="3:14" x14ac:dyDescent="0.25">
      <c r="C100" s="10">
        <v>11</v>
      </c>
      <c r="D100" s="10">
        <f>N99</f>
        <v>37.299760719148644</v>
      </c>
      <c r="E100" s="10">
        <f>IF(D100&lt;Assumptions!C35,Assumptions!C35*(Assumptions!C28+Assumptions!C7/Assumptions!C35)/(Assumptions!C28+Assumptions!C7/D100),Assumptions!C35)</f>
        <v>57.67090527390144</v>
      </c>
      <c r="F100" s="10">
        <f>IF(D100&lt;Assumptions!C36,Assumptions!C36*(Assumptions!C28+Assumptions!C7/Assumptions!C36)/(Assumptions!C28+Assumptions!C7/D100),Assumptions!C36)</f>
        <v>48.903442098955985</v>
      </c>
      <c r="G100" s="10">
        <f>Assumptions!C24*(Assumptions!C35/E100-1)</f>
        <v>13349.544474728387</v>
      </c>
      <c r="H100" s="10">
        <f>Assumptions!C25*(Assumptions!C36/F100-1)</f>
        <v>31805.123831165503</v>
      </c>
      <c r="I100" s="10">
        <f>Assumptions!C48/MIN((Assumptions!C49/(Assumptions!C28+K99+G100+H100+J99)),(D100*(1-Assumptions!C50)))</f>
        <v>186735.08877973875</v>
      </c>
      <c r="J100" s="10">
        <f>Assumptions!C51/MIN((Assumptions!C52/(Assumptions!C28+K99+G100+H100+I100)),(D100*(1-Assumptions!C53)))</f>
        <v>94622.90633124577</v>
      </c>
      <c r="K100" s="10">
        <f>MAX(0,($C$86*(Assumptions!C28+G100+H100+I100+J100+Assumptions!C7/D100)-Assumptions!C55)/(1-$C$86))</f>
        <v>589279.1813105989</v>
      </c>
      <c r="L100" s="10">
        <f>Assumptions!C28+K100+G100+H100+I100+J100</f>
        <v>37533752.84472749</v>
      </c>
      <c r="M100" s="10">
        <f>L100+Assumptions!C7/D100</f>
        <v>38338047.54854308</v>
      </c>
      <c r="N100" s="10">
        <f>$E$86/L100</f>
        <v>37.299760719148644</v>
      </c>
    </row>
    <row r="101" spans="3:14" x14ac:dyDescent="0.25">
      <c r="C101" s="10">
        <v>12</v>
      </c>
      <c r="D101" s="10">
        <f>N100</f>
        <v>37.299760719148644</v>
      </c>
      <c r="E101" s="10">
        <f>IF(D101&lt;Assumptions!C35,Assumptions!C35*(Assumptions!C28+Assumptions!C7/Assumptions!C35)/(Assumptions!C28+Assumptions!C7/D101),Assumptions!C35)</f>
        <v>57.67090527390144</v>
      </c>
      <c r="F101" s="10">
        <f>IF(D101&lt;Assumptions!C36,Assumptions!C36*(Assumptions!C28+Assumptions!C7/Assumptions!C36)/(Assumptions!C28+Assumptions!C7/D101),Assumptions!C36)</f>
        <v>48.903442098955985</v>
      </c>
      <c r="G101" s="10">
        <f>Assumptions!C24*(Assumptions!C35/E101-1)</f>
        <v>13349.544474728387</v>
      </c>
      <c r="H101" s="10">
        <f>Assumptions!C25*(Assumptions!C36/F101-1)</f>
        <v>31805.123831165503</v>
      </c>
      <c r="I101" s="10">
        <f>Assumptions!C48/MIN((Assumptions!C49/(Assumptions!C28+K100+G101+H101+J100)),(D101*(1-Assumptions!C50)))</f>
        <v>186735.08877973875</v>
      </c>
      <c r="J101" s="10">
        <f>Assumptions!C51/MIN((Assumptions!C52/(Assumptions!C28+K100+G101+H101+I101)),(D101*(1-Assumptions!C53)))</f>
        <v>94622.90633124577</v>
      </c>
      <c r="K101" s="10">
        <f>MAX(0,($C$86*(Assumptions!C28+G101+H101+I101+J101+Assumptions!C7/D101)-Assumptions!C55)/(1-$C$86))</f>
        <v>589279.1813105989</v>
      </c>
      <c r="L101" s="10">
        <f>Assumptions!C28+K101+G101+H101+I101+J101</f>
        <v>37533752.84472749</v>
      </c>
      <c r="M101" s="10">
        <f>L101+Assumptions!C7/D101</f>
        <v>38338047.54854308</v>
      </c>
      <c r="N101" s="10">
        <f>$E$86/L101</f>
        <v>37.299760719148644</v>
      </c>
    </row>
    <row r="102" spans="3:14" x14ac:dyDescent="0.25">
      <c r="C102" s="10">
        <v>13</v>
      </c>
      <c r="D102" s="10">
        <f>N101</f>
        <v>37.299760719148644</v>
      </c>
      <c r="E102" s="10">
        <f>IF(D102&lt;Assumptions!C35,Assumptions!C35*(Assumptions!C28+Assumptions!C7/Assumptions!C35)/(Assumptions!C28+Assumptions!C7/D102),Assumptions!C35)</f>
        <v>57.67090527390144</v>
      </c>
      <c r="F102" s="10">
        <f>IF(D102&lt;Assumptions!C36,Assumptions!C36*(Assumptions!C28+Assumptions!C7/Assumptions!C36)/(Assumptions!C28+Assumptions!C7/D102),Assumptions!C36)</f>
        <v>48.903442098955985</v>
      </c>
      <c r="G102" s="10">
        <f>Assumptions!C24*(Assumptions!C35/E102-1)</f>
        <v>13349.544474728387</v>
      </c>
      <c r="H102" s="10">
        <f>Assumptions!C25*(Assumptions!C36/F102-1)</f>
        <v>31805.123831165503</v>
      </c>
      <c r="I102" s="10">
        <f>Assumptions!C48/MIN((Assumptions!C49/(Assumptions!C28+K101+G102+H102+J101)),(D102*(1-Assumptions!C50)))</f>
        <v>186735.08877973875</v>
      </c>
      <c r="J102" s="10">
        <f>Assumptions!C51/MIN((Assumptions!C52/(Assumptions!C28+K101+G102+H102+I102)),(D102*(1-Assumptions!C53)))</f>
        <v>94622.90633124577</v>
      </c>
      <c r="K102" s="10">
        <f>MAX(0,($C$86*(Assumptions!C28+G102+H102+I102+J102+Assumptions!C7/D102)-Assumptions!C55)/(1-$C$86))</f>
        <v>589279.1813105989</v>
      </c>
      <c r="L102" s="10">
        <f>Assumptions!C28+K102+G102+H102+I102+J102</f>
        <v>37533752.84472749</v>
      </c>
      <c r="M102" s="10">
        <f>L102+Assumptions!C7/D102</f>
        <v>38338047.54854308</v>
      </c>
      <c r="N102" s="10">
        <f>$E$86/L102</f>
        <v>37.299760719148644</v>
      </c>
    </row>
    <row r="103" spans="3:14" x14ac:dyDescent="0.25">
      <c r="C103" s="10">
        <v>14</v>
      </c>
      <c r="D103" s="10">
        <f>N102</f>
        <v>37.299760719148644</v>
      </c>
      <c r="E103" s="10">
        <f>IF(D103&lt;Assumptions!C35,Assumptions!C35*(Assumptions!C28+Assumptions!C7/Assumptions!C35)/(Assumptions!C28+Assumptions!C7/D103),Assumptions!C35)</f>
        <v>57.67090527390144</v>
      </c>
      <c r="F103" s="10">
        <f>IF(D103&lt;Assumptions!C36,Assumptions!C36*(Assumptions!C28+Assumptions!C7/Assumptions!C36)/(Assumptions!C28+Assumptions!C7/D103),Assumptions!C36)</f>
        <v>48.903442098955985</v>
      </c>
      <c r="G103" s="10">
        <f>Assumptions!C24*(Assumptions!C35/E103-1)</f>
        <v>13349.544474728387</v>
      </c>
      <c r="H103" s="10">
        <f>Assumptions!C25*(Assumptions!C36/F103-1)</f>
        <v>31805.123831165503</v>
      </c>
      <c r="I103" s="10">
        <f>Assumptions!C48/MIN((Assumptions!C49/(Assumptions!C28+K102+G103+H103+J102)),(D103*(1-Assumptions!C50)))</f>
        <v>186735.08877973875</v>
      </c>
      <c r="J103" s="10">
        <f>Assumptions!C51/MIN((Assumptions!C52/(Assumptions!C28+K102+G103+H103+I103)),(D103*(1-Assumptions!C53)))</f>
        <v>94622.90633124577</v>
      </c>
      <c r="K103" s="10">
        <f>MAX(0,($C$86*(Assumptions!C28+G103+H103+I103+J103+Assumptions!C7/D103)-Assumptions!C55)/(1-$C$86))</f>
        <v>589279.1813105989</v>
      </c>
      <c r="L103" s="10">
        <f>Assumptions!C28+K103+G103+H103+I103+J103</f>
        <v>37533752.84472749</v>
      </c>
      <c r="M103" s="10">
        <f>L103+Assumptions!C7/D103</f>
        <v>38338047.54854308</v>
      </c>
      <c r="N103" s="10">
        <f>$E$86/L103</f>
        <v>37.299760719148644</v>
      </c>
    </row>
    <row r="104" spans="2:9" x14ac:dyDescent="0.25">
      <c r="B104" s="9" t="s">
        <v>159</v>
      </c>
      <c r="C104" s="14">
        <f>N103</f>
        <v>37.299760719148644</v>
      </c>
      <c r="D104" s="5" t="s">
        <v>194</v>
      </c>
      <c r="E104" s="10">
        <f>M103</f>
        <v>38338047.54854308</v>
      </c>
      <c r="F104" s="5" t="s">
        <v>196</v>
      </c>
      <c r="G104" s="10" t="str">
        <f>IF((Assumptions!C49/(Assumptions!C28+K103+G103+H103+J103))&lt;(N103*(1-Assumptions!C50)),"cap","discount")</f>
        <v>cap</v>
      </c>
      <c r="H104" s="5" t="s">
        <v>197</v>
      </c>
      <c r="I104" s="10" t="str">
        <f>IF((Assumptions!C52/(Assumptions!C28+K103+G103+H103+I103))&lt;(N103*(1-Assumptions!C53)),"cap","discount")</f>
        <v>discount</v>
      </c>
    </row>
    <row r="105" spans="2:14" x14ac:dyDescent="0.25">
      <c r="B105" s="3" t="s">
        <v>202</v>
      </c>
      <c r="C105" s="4" t="s">
        <v>3</v>
      </c>
      <c r="D105" s="4" t="s">
        <v>3</v>
      </c>
      <c r="E105" s="4" t="s">
        <v>3</v>
      </c>
      <c r="F105" s="4" t="s">
        <v>3</v>
      </c>
      <c r="G105" s="4" t="s">
        <v>3</v>
      </c>
      <c r="H105" s="4" t="s">
        <v>3</v>
      </c>
      <c r="I105" s="4" t="s">
        <v>3</v>
      </c>
      <c r="J105" s="4" t="s">
        <v>3</v>
      </c>
      <c r="K105" s="4" t="s">
        <v>3</v>
      </c>
      <c r="L105" s="4" t="s">
        <v>3</v>
      </c>
      <c r="M105" s="4" t="s">
        <v>3</v>
      </c>
      <c r="N105" s="4" t="s">
        <v>3</v>
      </c>
    </row>
    <row r="106" spans="2:5" x14ac:dyDescent="0.25">
      <c r="B106" s="5" t="s">
        <v>182</v>
      </c>
      <c r="C106" s="13">
        <f>Assumptions!C66</f>
        <v>0.13</v>
      </c>
      <c r="D106" s="5" t="s">
        <v>183</v>
      </c>
      <c r="E106" s="11">
        <f>Assumptions!C70</f>
        <v>1800000000</v>
      </c>
    </row>
    <row r="108" spans="3:14" x14ac:dyDescent="0.25">
      <c r="C108" s="16" t="s">
        <v>184</v>
      </c>
      <c r="D108" s="16" t="s">
        <v>185</v>
      </c>
      <c r="E108" s="16" t="s">
        <v>186</v>
      </c>
      <c r="F108" s="16" t="s">
        <v>187</v>
      </c>
      <c r="G108" s="16" t="s">
        <v>188</v>
      </c>
      <c r="H108" s="16" t="s">
        <v>189</v>
      </c>
      <c r="I108" s="16" t="s">
        <v>190</v>
      </c>
      <c r="J108" s="16" t="s">
        <v>191</v>
      </c>
      <c r="K108" s="16" t="s">
        <v>192</v>
      </c>
      <c r="L108" s="16" t="s">
        <v>193</v>
      </c>
      <c r="M108" s="16" t="s">
        <v>194</v>
      </c>
      <c r="N108" s="16" t="s">
        <v>195</v>
      </c>
    </row>
    <row r="109" spans="3:14" x14ac:dyDescent="0.25">
      <c r="C109" s="10">
        <v>0</v>
      </c>
      <c r="D109" s="10">
        <f>$E$106/Assumptions!C28</f>
        <v>49.15620506559609</v>
      </c>
      <c r="E109" s="10">
        <f>IF(D109&lt;Assumptions!C35,Assumptions!C35*(Assumptions!C28+Assumptions!C7/Assumptions!C35)/(Assumptions!C28+Assumptions!C7/D109),Assumptions!C35)</f>
        <v>57.9714266404196</v>
      </c>
      <c r="F109" s="10">
        <f>IF(D109&lt;Assumptions!C36,Assumptions!C36*(Assumptions!C28+Assumptions!C7/Assumptions!C36)/(Assumptions!C28+Assumptions!C7/D109),Assumptions!C36)</f>
        <v>49.158276476485185</v>
      </c>
      <c r="G109" s="10">
        <f>Assumptions!C24*(Assumptions!C35/E109-1)</f>
        <v>4360.685120132803</v>
      </c>
      <c r="H109" s="10">
        <f>Assumptions!C25*(Assumptions!C36/F109-1)</f>
        <v>4.285860483254343</v>
      </c>
      <c r="I109" s="10">
        <f>Assumptions!C48/MIN((Assumptions!C49/(Assumptions!C28+0+G109+H109+0)),(D109*(1-Assumptions!C50)))</f>
        <v>183111.62985490312</v>
      </c>
      <c r="J109" s="10">
        <f>Assumptions!C51/MIN((Assumptions!C52/(Assumptions!C28+0+G109+H109+I109)),(D109*(1-Assumptions!C53)))</f>
        <v>71799.92352941177</v>
      </c>
      <c r="K109" s="10">
        <f>MAX(0,($C$106*(Assumptions!C28+G109+H109+I109+J109+Assumptions!C7/D109)-Assumptions!C55)/(1-$C$106))</f>
        <v>550244.590422346</v>
      </c>
      <c r="L109" s="10">
        <f>Assumptions!C28+K109+G109+H109+I109+J109</f>
        <v>37427482.11478727</v>
      </c>
      <c r="M109" s="10">
        <f>L109+Assumptions!C7/D109</f>
        <v>38037781.46478727</v>
      </c>
      <c r="N109" s="10">
        <f>$E$106/L109</f>
        <v>48.09300274273154</v>
      </c>
    </row>
    <row r="110" spans="3:14" x14ac:dyDescent="0.25">
      <c r="C110" s="10">
        <v>1</v>
      </c>
      <c r="D110" s="10">
        <f>N109</f>
        <v>48.09300274273154</v>
      </c>
      <c r="E110" s="10">
        <f>IF(D110&lt;Assumptions!C35,Assumptions!C35*(Assumptions!C28+Assumptions!C7/Assumptions!C35)/(Assumptions!C28+Assumptions!C7/D110),Assumptions!C35)</f>
        <v>57.950424632845184</v>
      </c>
      <c r="F110" s="10">
        <f>IF(D110&lt;Assumptions!C36,Assumptions!C36*(Assumptions!C28+Assumptions!C7/Assumptions!C36)/(Assumptions!C28+Assumptions!C7/D110),Assumptions!C36)</f>
        <v>49.140467315063155</v>
      </c>
      <c r="G110" s="10">
        <f>Assumptions!C24*(Assumptions!C35/E110-1)</f>
        <v>4985.8436872734765</v>
      </c>
      <c r="H110" s="10">
        <f>Assumptions!C25*(Assumptions!C36/F110-1)</f>
        <v>2215.9754103337095</v>
      </c>
      <c r="I110" s="10">
        <f>Assumptions!C48/MIN((Assumptions!C49/(Assumptions!C28+K109+G110+H110+J109)),(D110*(1-Assumptions!C50)))</f>
        <v>186236.03666524682</v>
      </c>
      <c r="J110" s="10">
        <f>Assumptions!C51/MIN((Assumptions!C52/(Assumptions!C28+K109+G110+H110+I110)),(D110*(1-Assumptions!C53)))</f>
        <v>73387.21983291622</v>
      </c>
      <c r="K110" s="10">
        <f>MAX(0,($C$106*(Assumptions!C28+G110+H110+I110+J110+Assumptions!C7/D110)-Assumptions!C55)/(1-$C$106))</f>
        <v>553388.5836124403</v>
      </c>
      <c r="L110" s="10">
        <f>Assumptions!C28+K110+G110+H110+I110+J110</f>
        <v>37438174.659208216</v>
      </c>
      <c r="M110" s="10">
        <f>L110+Assumptions!C7/D110</f>
        <v>38061966.027788006</v>
      </c>
      <c r="N110" s="10">
        <f>$E$106/L110</f>
        <v>48.07926712199564</v>
      </c>
    </row>
    <row r="111" spans="3:14" x14ac:dyDescent="0.25">
      <c r="C111" s="10">
        <v>2</v>
      </c>
      <c r="D111" s="10">
        <f>N110</f>
        <v>48.07926712199564</v>
      </c>
      <c r="E111" s="10">
        <f>IF(D111&lt;Assumptions!C35,Assumptions!C35*(Assumptions!C28+Assumptions!C7/Assumptions!C35)/(Assumptions!C28+Assumptions!C7/D111),Assumptions!C35)</f>
        <v>57.950147330048765</v>
      </c>
      <c r="F111" s="10">
        <f>IF(D111&lt;Assumptions!C36,Assumptions!C36*(Assumptions!C28+Assumptions!C7/Assumptions!C36)/(Assumptions!C28+Assumptions!C7/D111),Assumptions!C36)</f>
        <v>49.140232169434974</v>
      </c>
      <c r="G111" s="10">
        <f>Assumptions!C24*(Assumptions!C35/E111-1)</f>
        <v>4994.101082450801</v>
      </c>
      <c r="H111" s="10">
        <f>Assumptions!C25*(Assumptions!C36/F111-1)</f>
        <v>2245.188470158676</v>
      </c>
      <c r="I111" s="10">
        <f>Assumptions!C48/MIN((Assumptions!C49/(Assumptions!C28+K110+G111+H111+J110)),(D111*(1-Assumptions!C50)))</f>
        <v>186259.88046498984</v>
      </c>
      <c r="J111" s="10">
        <f>Assumptions!C51/MIN((Assumptions!C52/(Assumptions!C28+K110+G111+H111+I111)),(D111*(1-Assumptions!C53)))</f>
        <v>73408.18560629062</v>
      </c>
      <c r="K111" s="10">
        <f>MAX(0,($C$106*(Assumptions!C28+G111+H111+I111+J111+Assumptions!C7/D111)-Assumptions!C55)/(1-$C$106))</f>
        <v>553427.5072713299</v>
      </c>
      <c r="L111" s="10">
        <f>Assumptions!C28+K111+G111+H111+I111+J111</f>
        <v>37438295.86289522</v>
      </c>
      <c r="M111" s="10">
        <f>L111+Assumptions!C7/D111</f>
        <v>38062265.44054869</v>
      </c>
      <c r="N111" s="10">
        <f>$E$106/L111</f>
        <v>48.07911146895884</v>
      </c>
    </row>
    <row r="112" spans="3:14" x14ac:dyDescent="0.25">
      <c r="C112" s="10">
        <v>3</v>
      </c>
      <c r="D112" s="10">
        <f>N111</f>
        <v>48.07911146895884</v>
      </c>
      <c r="E112" s="10">
        <f>IF(D112&lt;Assumptions!C35,Assumptions!C35*(Assumptions!C28+Assumptions!C7/Assumptions!C35)/(Assumptions!C28+Assumptions!C7/D112),Assumptions!C35)</f>
        <v>57.95014418674093</v>
      </c>
      <c r="F112" s="10">
        <f>IF(D112&lt;Assumptions!C36,Assumptions!C36*(Assumptions!C28+Assumptions!C7/Assumptions!C36)/(Assumptions!C28+Assumptions!C7/D112),Assumptions!C36)</f>
        <v>49.140229503990895</v>
      </c>
      <c r="G112" s="10">
        <f>Assumptions!C24*(Assumptions!C35/E112-1)</f>
        <v>4994.19468287941</v>
      </c>
      <c r="H112" s="10">
        <f>Assumptions!C25*(Assumptions!C36/F112-1)</f>
        <v>2245.519610290783</v>
      </c>
      <c r="I112" s="10">
        <f>Assumptions!C48/MIN((Assumptions!C49/(Assumptions!C28+K111+G112+H112+J111)),(D112*(1-Assumptions!C50)))</f>
        <v>186260.18203585394</v>
      </c>
      <c r="J112" s="10">
        <f>Assumptions!C51/MIN((Assumptions!C52/(Assumptions!C28+K111+G112+H112+I112)),(D112*(1-Assumptions!C53)))</f>
        <v>73408.42326057887</v>
      </c>
      <c r="K112" s="10">
        <f>MAX(0,($C$106*(Assumptions!C28+G112+H112+I112+J112+Assumptions!C7/D112)-Assumptions!C55)/(1-$C$106))</f>
        <v>553427.9531604471</v>
      </c>
      <c r="L112" s="10">
        <f>Assumptions!C28+K112+G112+H112+I112+J112</f>
        <v>37438297.27275006</v>
      </c>
      <c r="M112" s="10">
        <f>L112+Assumptions!C7/D112</f>
        <v>38062268.87046498</v>
      </c>
      <c r="N112" s="10">
        <f>$E$106/L112</f>
        <v>48.079109658391246</v>
      </c>
    </row>
    <row r="113" spans="3:14" x14ac:dyDescent="0.25">
      <c r="C113" s="10">
        <v>4</v>
      </c>
      <c r="D113" s="10">
        <f>N112</f>
        <v>48.079109658391246</v>
      </c>
      <c r="E113" s="10">
        <f>IF(D113&lt;Assumptions!C35,Assumptions!C35*(Assumptions!C28+Assumptions!C7/Assumptions!C35)/(Assumptions!C28+Assumptions!C7/D113),Assumptions!C35)</f>
        <v>57.95014415017762</v>
      </c>
      <c r="F113" s="10">
        <f>IF(D113&lt;Assumptions!C36,Assumptions!C36*(Assumptions!C28+Assumptions!C7/Assumptions!C36)/(Assumptions!C28+Assumptions!C7/D113),Assumptions!C36)</f>
        <v>49.14022947298616</v>
      </c>
      <c r="G113" s="10">
        <f>Assumptions!C24*(Assumptions!C35/E113-1)</f>
        <v>4994.195771650192</v>
      </c>
      <c r="H113" s="10">
        <f>Assumptions!C25*(Assumptions!C36/F113-1)</f>
        <v>2245.5234621495606</v>
      </c>
      <c r="I113" s="10">
        <f>Assumptions!C48/MIN((Assumptions!C49/(Assumptions!C28+K112+G113+H113+J112)),(D113*(1-Assumptions!C50)))</f>
        <v>186260.1854782741</v>
      </c>
      <c r="J113" s="10">
        <f>Assumptions!C51/MIN((Assumptions!C52/(Assumptions!C28+K112+G113+H113+I113)),(D113*(1-Assumptions!C53)))</f>
        <v>73408.42602500011</v>
      </c>
      <c r="K113" s="10">
        <f>MAX(0,($C$106*(Assumptions!C28+G113+H113+I113+J113+Assumptions!C7/D113)-Assumptions!C55)/(1-$C$106))</f>
        <v>553427.9583372925</v>
      </c>
      <c r="L113" s="10">
        <f>Assumptions!C28+K113+G113+H113+I113+J113</f>
        <v>37438297.28907437</v>
      </c>
      <c r="M113" s="10">
        <f>L113+Assumptions!C7/D113</f>
        <v>38062268.91028687</v>
      </c>
      <c r="N113" s="10">
        <f>$E$106/L113</f>
        <v>48.079109637427194</v>
      </c>
    </row>
    <row r="114" spans="3:14" x14ac:dyDescent="0.25">
      <c r="C114" s="10">
        <v>5</v>
      </c>
      <c r="D114" s="10">
        <f>N113</f>
        <v>48.079109637427194</v>
      </c>
      <c r="E114" s="10">
        <f>IF(D114&lt;Assumptions!C35,Assumptions!C35*(Assumptions!C28+Assumptions!C7/Assumptions!C35)/(Assumptions!C28+Assumptions!C7/D114),Assumptions!C35)</f>
        <v>57.950144149754266</v>
      </c>
      <c r="F114" s="10">
        <f>IF(D114&lt;Assumptions!C36,Assumptions!C36*(Assumptions!C28+Assumptions!C7/Assumptions!C36)/(Assumptions!C28+Assumptions!C7/D114),Assumptions!C36)</f>
        <v>49.14022947262716</v>
      </c>
      <c r="G114" s="10">
        <f>Assumptions!C24*(Assumptions!C35/E114-1)</f>
        <v>4994.195784256537</v>
      </c>
      <c r="H114" s="10">
        <f>Assumptions!C25*(Assumptions!C36/F114-1)</f>
        <v>2245.523506748461</v>
      </c>
      <c r="I114" s="10">
        <f>Assumptions!C48/MIN((Assumptions!C49/(Assumptions!C28+K113+G114+H114+J113)),(D114*(1-Assumptions!C50)))</f>
        <v>186260.1855182665</v>
      </c>
      <c r="J114" s="10">
        <f>Assumptions!C51/MIN((Assumptions!C52/(Assumptions!C28+K113+G114+H114+I114)),(D114*(1-Assumptions!C53)))</f>
        <v>73408.42605700856</v>
      </c>
      <c r="K114" s="10">
        <f>MAX(0,($C$106*(Assumptions!C28+G114+H114+I114+J114+Assumptions!C7/D114)-Assumptions!C55)/(1-$C$106))</f>
        <v>553427.9583972552</v>
      </c>
      <c r="L114" s="10">
        <f>Assumptions!C28+K114+G114+H114+I114+J114</f>
        <v>37438297.28926353</v>
      </c>
      <c r="M114" s="10">
        <f>L114+Assumptions!C7/D114</f>
        <v>38062268.9107481</v>
      </c>
      <c r="N114" s="10">
        <f>$E$106/L114</f>
        <v>48.079109637184274</v>
      </c>
    </row>
    <row r="115" spans="3:14" x14ac:dyDescent="0.25">
      <c r="C115" s="10">
        <v>6</v>
      </c>
      <c r="D115" s="10">
        <f>N114</f>
        <v>48.079109637184274</v>
      </c>
      <c r="E115" s="10">
        <f>IF(D115&lt;Assumptions!C35,Assumptions!C35*(Assumptions!C28+Assumptions!C7/Assumptions!C35)/(Assumptions!C28+Assumptions!C7/D115),Assumptions!C35)</f>
        <v>57.95014414974937</v>
      </c>
      <c r="F115" s="10">
        <f>IF(D115&lt;Assumptions!C36,Assumptions!C36*(Assumptions!C28+Assumptions!C7/Assumptions!C36)/(Assumptions!C28+Assumptions!C7/D115),Assumptions!C36)</f>
        <v>49.140229472623005</v>
      </c>
      <c r="G115" s="10">
        <f>Assumptions!C24*(Assumptions!C35/E115-1)</f>
        <v>4994.195784402446</v>
      </c>
      <c r="H115" s="10">
        <f>Assumptions!C25*(Assumptions!C36/F115-1)</f>
        <v>2245.5235072647465</v>
      </c>
      <c r="I115" s="10">
        <f>Assumptions!C48/MIN((Assumptions!C49/(Assumptions!C28+K114+G115+H115+J114)),(D115*(1-Assumptions!C50)))</f>
        <v>186260.1855187297</v>
      </c>
      <c r="J115" s="10">
        <f>Assumptions!C51/MIN((Assumptions!C52/(Assumptions!C28+K114+G115+H115+I115)),(D115*(1-Assumptions!C53)))</f>
        <v>73408.42605737947</v>
      </c>
      <c r="K115" s="10">
        <f>MAX(0,($C$106*(Assumptions!C28+G115+H115+I115+J115+Assumptions!C7/D115)-Assumptions!C55)/(1-$C$106))</f>
        <v>553427.9583979483</v>
      </c>
      <c r="L115" s="10">
        <f>Assumptions!C28+K115+G115+H115+I115+J115</f>
        <v>37438297.28926572</v>
      </c>
      <c r="M115" s="10">
        <f>L115+Assumptions!C7/D115</f>
        <v>38062268.910753444</v>
      </c>
      <c r="N115" s="10">
        <f>$E$106/L115</f>
        <v>48.07910963718146</v>
      </c>
    </row>
    <row r="116" spans="3:14" x14ac:dyDescent="0.25">
      <c r="C116" s="10">
        <v>7</v>
      </c>
      <c r="D116" s="10">
        <f>N115</f>
        <v>48.07910963718146</v>
      </c>
      <c r="E116" s="10">
        <f>IF(D116&lt;Assumptions!C35,Assumptions!C35*(Assumptions!C28+Assumptions!C7/Assumptions!C35)/(Assumptions!C28+Assumptions!C7/D116),Assumptions!C35)</f>
        <v>57.950144149749306</v>
      </c>
      <c r="F116" s="10">
        <f>IF(D116&lt;Assumptions!C36,Assumptions!C36*(Assumptions!C28+Assumptions!C7/Assumptions!C36)/(Assumptions!C28+Assumptions!C7/D116),Assumptions!C36)</f>
        <v>49.140229472622956</v>
      </c>
      <c r="G116" s="10">
        <f>Assumptions!C24*(Assumptions!C35/E116-1)</f>
        <v>4994.195784404511</v>
      </c>
      <c r="H116" s="10">
        <f>Assumptions!C25*(Assumptions!C36/F116-1)</f>
        <v>2245.5235072714595</v>
      </c>
      <c r="I116" s="10">
        <f>Assumptions!C48/MIN((Assumptions!C49/(Assumptions!C28+K115+G116+H116+J115)),(D116*(1-Assumptions!C50)))</f>
        <v>186260.185518735</v>
      </c>
      <c r="J116" s="10">
        <f>Assumptions!C51/MIN((Assumptions!C52/(Assumptions!C28+K115+G116+H116+I116)),(D116*(1-Assumptions!C53)))</f>
        <v>73408.42605738377</v>
      </c>
      <c r="K116" s="10">
        <f>MAX(0,($C$106*(Assumptions!C28+G116+H116+I116+J116+Assumptions!C7/D116)-Assumptions!C55)/(1-$C$106))</f>
        <v>553427.9583979569</v>
      </c>
      <c r="L116" s="10">
        <f>Assumptions!C28+K116+G116+H116+I116+J116</f>
        <v>37438297.28926575</v>
      </c>
      <c r="M116" s="10">
        <f>L116+Assumptions!C7/D116</f>
        <v>38062268.91075351</v>
      </c>
      <c r="N116" s="10">
        <f>$E$106/L116</f>
        <v>48.07910963718142</v>
      </c>
    </row>
    <row r="117" spans="3:14" x14ac:dyDescent="0.25">
      <c r="C117" s="10">
        <v>8</v>
      </c>
      <c r="D117" s="10">
        <f>N116</f>
        <v>48.07910963718142</v>
      </c>
      <c r="E117" s="10">
        <f>IF(D117&lt;Assumptions!C35,Assumptions!C35*(Assumptions!C28+Assumptions!C7/Assumptions!C35)/(Assumptions!C28+Assumptions!C7/D117),Assumptions!C35)</f>
        <v>57.950144149749306</v>
      </c>
      <c r="F117" s="10">
        <f>IF(D117&lt;Assumptions!C36,Assumptions!C36*(Assumptions!C28+Assumptions!C7/Assumptions!C36)/(Assumptions!C28+Assumptions!C7/D117),Assumptions!C36)</f>
        <v>49.140229472622956</v>
      </c>
      <c r="G117" s="10">
        <f>Assumptions!C24*(Assumptions!C35/E117-1)</f>
        <v>4994.195784404511</v>
      </c>
      <c r="H117" s="10">
        <f>Assumptions!C25*(Assumptions!C36/F117-1)</f>
        <v>2245.5235072714595</v>
      </c>
      <c r="I117" s="10">
        <f>Assumptions!C48/MIN((Assumptions!C49/(Assumptions!C28+K116+G117+H117+J116)),(D117*(1-Assumptions!C50)))</f>
        <v>186260.1855187351</v>
      </c>
      <c r="J117" s="10">
        <f>Assumptions!C51/MIN((Assumptions!C52/(Assumptions!C28+K116+G117+H117+I117)),(D117*(1-Assumptions!C53)))</f>
        <v>73408.42605738383</v>
      </c>
      <c r="K117" s="10">
        <f>MAX(0,($C$106*(Assumptions!C28+G117+H117+I117+J117+Assumptions!C7/D117)-Assumptions!C55)/(1-$C$106))</f>
        <v>553427.9583979569</v>
      </c>
      <c r="L117" s="10">
        <f>Assumptions!C28+K117+G117+H117+I117+J117</f>
        <v>37438297.28926575</v>
      </c>
      <c r="M117" s="10">
        <f>L117+Assumptions!C7/D117</f>
        <v>38062268.91075351</v>
      </c>
      <c r="N117" s="10">
        <f>$E$106/L117</f>
        <v>48.07910963718142</v>
      </c>
    </row>
    <row r="118" spans="3:14" x14ac:dyDescent="0.25">
      <c r="C118" s="10">
        <v>9</v>
      </c>
      <c r="D118" s="10">
        <f>N117</f>
        <v>48.07910963718142</v>
      </c>
      <c r="E118" s="10">
        <f>IF(D118&lt;Assumptions!C35,Assumptions!C35*(Assumptions!C28+Assumptions!C7/Assumptions!C35)/(Assumptions!C28+Assumptions!C7/D118),Assumptions!C35)</f>
        <v>57.950144149749306</v>
      </c>
      <c r="F118" s="10">
        <f>IF(D118&lt;Assumptions!C36,Assumptions!C36*(Assumptions!C28+Assumptions!C7/Assumptions!C36)/(Assumptions!C28+Assumptions!C7/D118),Assumptions!C36)</f>
        <v>49.140229472622956</v>
      </c>
      <c r="G118" s="10">
        <f>Assumptions!C24*(Assumptions!C35/E118-1)</f>
        <v>4994.195784404511</v>
      </c>
      <c r="H118" s="10">
        <f>Assumptions!C25*(Assumptions!C36/F118-1)</f>
        <v>2245.5235072714595</v>
      </c>
      <c r="I118" s="10">
        <f>Assumptions!C48/MIN((Assumptions!C49/(Assumptions!C28+K117+G118+H118+J117)),(D118*(1-Assumptions!C50)))</f>
        <v>186260.1855187351</v>
      </c>
      <c r="J118" s="10">
        <f>Assumptions!C51/MIN((Assumptions!C52/(Assumptions!C28+K117+G118+H118+I118)),(D118*(1-Assumptions!C53)))</f>
        <v>73408.42605738383</v>
      </c>
      <c r="K118" s="10">
        <f>MAX(0,($C$106*(Assumptions!C28+G118+H118+I118+J118+Assumptions!C7/D118)-Assumptions!C55)/(1-$C$106))</f>
        <v>553427.9583979569</v>
      </c>
      <c r="L118" s="10">
        <f>Assumptions!C28+K118+G118+H118+I118+J118</f>
        <v>37438297.28926575</v>
      </c>
      <c r="M118" s="10">
        <f>L118+Assumptions!C7/D118</f>
        <v>38062268.91075351</v>
      </c>
      <c r="N118" s="10">
        <f>$E$106/L118</f>
        <v>48.07910963718142</v>
      </c>
    </row>
    <row r="119" spans="3:14" x14ac:dyDescent="0.25">
      <c r="C119" s="10">
        <v>10</v>
      </c>
      <c r="D119" s="10">
        <f>N118</f>
        <v>48.07910963718142</v>
      </c>
      <c r="E119" s="10">
        <f>IF(D119&lt;Assumptions!C35,Assumptions!C35*(Assumptions!C28+Assumptions!C7/Assumptions!C35)/(Assumptions!C28+Assumptions!C7/D119),Assumptions!C35)</f>
        <v>57.950144149749306</v>
      </c>
      <c r="F119" s="10">
        <f>IF(D119&lt;Assumptions!C36,Assumptions!C36*(Assumptions!C28+Assumptions!C7/Assumptions!C36)/(Assumptions!C28+Assumptions!C7/D119),Assumptions!C36)</f>
        <v>49.140229472622956</v>
      </c>
      <c r="G119" s="10">
        <f>Assumptions!C24*(Assumptions!C35/E119-1)</f>
        <v>4994.195784404511</v>
      </c>
      <c r="H119" s="10">
        <f>Assumptions!C25*(Assumptions!C36/F119-1)</f>
        <v>2245.5235072714595</v>
      </c>
      <c r="I119" s="10">
        <f>Assumptions!C48/MIN((Assumptions!C49/(Assumptions!C28+K118+G119+H119+J118)),(D119*(1-Assumptions!C50)))</f>
        <v>186260.1855187351</v>
      </c>
      <c r="J119" s="10">
        <f>Assumptions!C51/MIN((Assumptions!C52/(Assumptions!C28+K118+G119+H119+I119)),(D119*(1-Assumptions!C53)))</f>
        <v>73408.42605738383</v>
      </c>
      <c r="K119" s="10">
        <f>MAX(0,($C$106*(Assumptions!C28+G119+H119+I119+J119+Assumptions!C7/D119)-Assumptions!C55)/(1-$C$106))</f>
        <v>553427.9583979569</v>
      </c>
      <c r="L119" s="10">
        <f>Assumptions!C28+K119+G119+H119+I119+J119</f>
        <v>37438297.28926575</v>
      </c>
      <c r="M119" s="10">
        <f>L119+Assumptions!C7/D119</f>
        <v>38062268.91075351</v>
      </c>
      <c r="N119" s="10">
        <f>$E$106/L119</f>
        <v>48.07910963718142</v>
      </c>
    </row>
    <row r="120" spans="3:14" x14ac:dyDescent="0.25">
      <c r="C120" s="10">
        <v>11</v>
      </c>
      <c r="D120" s="10">
        <f>N119</f>
        <v>48.07910963718142</v>
      </c>
      <c r="E120" s="10">
        <f>IF(D120&lt;Assumptions!C35,Assumptions!C35*(Assumptions!C28+Assumptions!C7/Assumptions!C35)/(Assumptions!C28+Assumptions!C7/D120),Assumptions!C35)</f>
        <v>57.950144149749306</v>
      </c>
      <c r="F120" s="10">
        <f>IF(D120&lt;Assumptions!C36,Assumptions!C36*(Assumptions!C28+Assumptions!C7/Assumptions!C36)/(Assumptions!C28+Assumptions!C7/D120),Assumptions!C36)</f>
        <v>49.140229472622956</v>
      </c>
      <c r="G120" s="10">
        <f>Assumptions!C24*(Assumptions!C35/E120-1)</f>
        <v>4994.195784404511</v>
      </c>
      <c r="H120" s="10">
        <f>Assumptions!C25*(Assumptions!C36/F120-1)</f>
        <v>2245.5235072714595</v>
      </c>
      <c r="I120" s="10">
        <f>Assumptions!C48/MIN((Assumptions!C49/(Assumptions!C28+K119+G120+H120+J119)),(D120*(1-Assumptions!C50)))</f>
        <v>186260.1855187351</v>
      </c>
      <c r="J120" s="10">
        <f>Assumptions!C51/MIN((Assumptions!C52/(Assumptions!C28+K119+G120+H120+I120)),(D120*(1-Assumptions!C53)))</f>
        <v>73408.42605738383</v>
      </c>
      <c r="K120" s="10">
        <f>MAX(0,($C$106*(Assumptions!C28+G120+H120+I120+J120+Assumptions!C7/D120)-Assumptions!C55)/(1-$C$106))</f>
        <v>553427.9583979569</v>
      </c>
      <c r="L120" s="10">
        <f>Assumptions!C28+K120+G120+H120+I120+J120</f>
        <v>37438297.28926575</v>
      </c>
      <c r="M120" s="10">
        <f>L120+Assumptions!C7/D120</f>
        <v>38062268.91075351</v>
      </c>
      <c r="N120" s="10">
        <f>$E$106/L120</f>
        <v>48.07910963718142</v>
      </c>
    </row>
    <row r="121" spans="3:14" x14ac:dyDescent="0.25">
      <c r="C121" s="10">
        <v>12</v>
      </c>
      <c r="D121" s="10">
        <f>N120</f>
        <v>48.07910963718142</v>
      </c>
      <c r="E121" s="10">
        <f>IF(D121&lt;Assumptions!C35,Assumptions!C35*(Assumptions!C28+Assumptions!C7/Assumptions!C35)/(Assumptions!C28+Assumptions!C7/D121),Assumptions!C35)</f>
        <v>57.950144149749306</v>
      </c>
      <c r="F121" s="10">
        <f>IF(D121&lt;Assumptions!C36,Assumptions!C36*(Assumptions!C28+Assumptions!C7/Assumptions!C36)/(Assumptions!C28+Assumptions!C7/D121),Assumptions!C36)</f>
        <v>49.140229472622956</v>
      </c>
      <c r="G121" s="10">
        <f>Assumptions!C24*(Assumptions!C35/E121-1)</f>
        <v>4994.195784404511</v>
      </c>
      <c r="H121" s="10">
        <f>Assumptions!C25*(Assumptions!C36/F121-1)</f>
        <v>2245.5235072714595</v>
      </c>
      <c r="I121" s="10">
        <f>Assumptions!C48/MIN((Assumptions!C49/(Assumptions!C28+K120+G121+H121+J120)),(D121*(1-Assumptions!C50)))</f>
        <v>186260.1855187351</v>
      </c>
      <c r="J121" s="10">
        <f>Assumptions!C51/MIN((Assumptions!C52/(Assumptions!C28+K120+G121+H121+I121)),(D121*(1-Assumptions!C53)))</f>
        <v>73408.42605738383</v>
      </c>
      <c r="K121" s="10">
        <f>MAX(0,($C$106*(Assumptions!C28+G121+H121+I121+J121+Assumptions!C7/D121)-Assumptions!C55)/(1-$C$106))</f>
        <v>553427.9583979569</v>
      </c>
      <c r="L121" s="10">
        <f>Assumptions!C28+K121+G121+H121+I121+J121</f>
        <v>37438297.28926575</v>
      </c>
      <c r="M121" s="10">
        <f>L121+Assumptions!C7/D121</f>
        <v>38062268.91075351</v>
      </c>
      <c r="N121" s="10">
        <f>$E$106/L121</f>
        <v>48.07910963718142</v>
      </c>
    </row>
    <row r="122" spans="3:14" x14ac:dyDescent="0.25">
      <c r="C122" s="10">
        <v>13</v>
      </c>
      <c r="D122" s="10">
        <f>N121</f>
        <v>48.07910963718142</v>
      </c>
      <c r="E122" s="10">
        <f>IF(D122&lt;Assumptions!C35,Assumptions!C35*(Assumptions!C28+Assumptions!C7/Assumptions!C35)/(Assumptions!C28+Assumptions!C7/D122),Assumptions!C35)</f>
        <v>57.950144149749306</v>
      </c>
      <c r="F122" s="10">
        <f>IF(D122&lt;Assumptions!C36,Assumptions!C36*(Assumptions!C28+Assumptions!C7/Assumptions!C36)/(Assumptions!C28+Assumptions!C7/D122),Assumptions!C36)</f>
        <v>49.140229472622956</v>
      </c>
      <c r="G122" s="10">
        <f>Assumptions!C24*(Assumptions!C35/E122-1)</f>
        <v>4994.195784404511</v>
      </c>
      <c r="H122" s="10">
        <f>Assumptions!C25*(Assumptions!C36/F122-1)</f>
        <v>2245.5235072714595</v>
      </c>
      <c r="I122" s="10">
        <f>Assumptions!C48/MIN((Assumptions!C49/(Assumptions!C28+K121+G122+H122+J121)),(D122*(1-Assumptions!C50)))</f>
        <v>186260.1855187351</v>
      </c>
      <c r="J122" s="10">
        <f>Assumptions!C51/MIN((Assumptions!C52/(Assumptions!C28+K121+G122+H122+I122)),(D122*(1-Assumptions!C53)))</f>
        <v>73408.42605738383</v>
      </c>
      <c r="K122" s="10">
        <f>MAX(0,($C$106*(Assumptions!C28+G122+H122+I122+J122+Assumptions!C7/D122)-Assumptions!C55)/(1-$C$106))</f>
        <v>553427.9583979569</v>
      </c>
      <c r="L122" s="10">
        <f>Assumptions!C28+K122+G122+H122+I122+J122</f>
        <v>37438297.28926575</v>
      </c>
      <c r="M122" s="10">
        <f>L122+Assumptions!C7/D122</f>
        <v>38062268.91075351</v>
      </c>
      <c r="N122" s="10">
        <f>$E$106/L122</f>
        <v>48.07910963718142</v>
      </c>
    </row>
    <row r="123" spans="3:14" x14ac:dyDescent="0.25">
      <c r="C123" s="10">
        <v>14</v>
      </c>
      <c r="D123" s="10">
        <f>N122</f>
        <v>48.07910963718142</v>
      </c>
      <c r="E123" s="10">
        <f>IF(D123&lt;Assumptions!C35,Assumptions!C35*(Assumptions!C28+Assumptions!C7/Assumptions!C35)/(Assumptions!C28+Assumptions!C7/D123),Assumptions!C35)</f>
        <v>57.950144149749306</v>
      </c>
      <c r="F123" s="10">
        <f>IF(D123&lt;Assumptions!C36,Assumptions!C36*(Assumptions!C28+Assumptions!C7/Assumptions!C36)/(Assumptions!C28+Assumptions!C7/D123),Assumptions!C36)</f>
        <v>49.140229472622956</v>
      </c>
      <c r="G123" s="10">
        <f>Assumptions!C24*(Assumptions!C35/E123-1)</f>
        <v>4994.195784404511</v>
      </c>
      <c r="H123" s="10">
        <f>Assumptions!C25*(Assumptions!C36/F123-1)</f>
        <v>2245.5235072714595</v>
      </c>
      <c r="I123" s="10">
        <f>Assumptions!C48/MIN((Assumptions!C49/(Assumptions!C28+K122+G123+H123+J122)),(D123*(1-Assumptions!C50)))</f>
        <v>186260.1855187351</v>
      </c>
      <c r="J123" s="10">
        <f>Assumptions!C51/MIN((Assumptions!C52/(Assumptions!C28+K122+G123+H123+I123)),(D123*(1-Assumptions!C53)))</f>
        <v>73408.42605738383</v>
      </c>
      <c r="K123" s="10">
        <f>MAX(0,($C$106*(Assumptions!C28+G123+H123+I123+J123+Assumptions!C7/D123)-Assumptions!C55)/(1-$C$106))</f>
        <v>553427.9583979569</v>
      </c>
      <c r="L123" s="10">
        <f>Assumptions!C28+K123+G123+H123+I123+J123</f>
        <v>37438297.28926575</v>
      </c>
      <c r="M123" s="10">
        <f>L123+Assumptions!C7/D123</f>
        <v>38062268.91075351</v>
      </c>
      <c r="N123" s="10">
        <f>$E$106/L123</f>
        <v>48.07910963718142</v>
      </c>
    </row>
    <row r="124" spans="2:9" x14ac:dyDescent="0.25">
      <c r="B124" s="9" t="s">
        <v>159</v>
      </c>
      <c r="C124" s="14">
        <f>N123</f>
        <v>48.07910963718142</v>
      </c>
      <c r="D124" s="5" t="s">
        <v>194</v>
      </c>
      <c r="E124" s="10">
        <f>M123</f>
        <v>38062268.91075351</v>
      </c>
      <c r="F124" s="5" t="s">
        <v>196</v>
      </c>
      <c r="G124" s="10" t="str">
        <f>IF((Assumptions!C49/(Assumptions!C28+K123+G123+H123+J123))&lt;(N123*(1-Assumptions!C50)),"cap","discount")</f>
        <v>cap</v>
      </c>
      <c r="H124" s="5" t="s">
        <v>197</v>
      </c>
      <c r="I124" s="10" t="str">
        <f>IF((Assumptions!C52/(Assumptions!C28+K123+G123+H123+I123))&lt;(N123*(1-Assumptions!C53)),"cap","discount")</f>
        <v>discount</v>
      </c>
    </row>
    <row r="125" spans="2:14" x14ac:dyDescent="0.25">
      <c r="B125" s="3" t="s">
        <v>203</v>
      </c>
      <c r="C125" s="4" t="s">
        <v>3</v>
      </c>
      <c r="D125" s="4" t="s">
        <v>3</v>
      </c>
      <c r="E125" s="4" t="s">
        <v>3</v>
      </c>
      <c r="F125" s="4" t="s">
        <v>3</v>
      </c>
      <c r="G125" s="4" t="s">
        <v>3</v>
      </c>
      <c r="H125" s="4" t="s">
        <v>3</v>
      </c>
      <c r="I125" s="4" t="s">
        <v>3</v>
      </c>
      <c r="J125" s="4" t="s">
        <v>3</v>
      </c>
      <c r="K125" s="4" t="s">
        <v>3</v>
      </c>
      <c r="L125" s="4" t="s">
        <v>3</v>
      </c>
      <c r="M125" s="4" t="s">
        <v>3</v>
      </c>
      <c r="N125" s="4" t="s">
        <v>3</v>
      </c>
    </row>
    <row r="126" spans="2:5" x14ac:dyDescent="0.25">
      <c r="B126" s="5" t="s">
        <v>182</v>
      </c>
      <c r="C126" s="13">
        <f>Assumptions!C67</f>
        <v>0.15</v>
      </c>
      <c r="D126" s="5" t="s">
        <v>183</v>
      </c>
      <c r="E126" s="11">
        <f>Assumptions!C68</f>
        <v>1200000000</v>
      </c>
    </row>
    <row r="128" spans="3:14" x14ac:dyDescent="0.25">
      <c r="C128" s="16" t="s">
        <v>184</v>
      </c>
      <c r="D128" s="16" t="s">
        <v>185</v>
      </c>
      <c r="E128" s="16" t="s">
        <v>186</v>
      </c>
      <c r="F128" s="16" t="s">
        <v>187</v>
      </c>
      <c r="G128" s="16" t="s">
        <v>188</v>
      </c>
      <c r="H128" s="16" t="s">
        <v>189</v>
      </c>
      <c r="I128" s="16" t="s">
        <v>190</v>
      </c>
      <c r="J128" s="16" t="s">
        <v>191</v>
      </c>
      <c r="K128" s="16" t="s">
        <v>192</v>
      </c>
      <c r="L128" s="16" t="s">
        <v>193</v>
      </c>
      <c r="M128" s="16" t="s">
        <v>194</v>
      </c>
      <c r="N128" s="16" t="s">
        <v>195</v>
      </c>
    </row>
    <row r="129" spans="3:14" x14ac:dyDescent="0.25">
      <c r="C129" s="10">
        <v>0</v>
      </c>
      <c r="D129" s="10">
        <f>$E$126/Assumptions!C28</f>
        <v>32.770803377064055</v>
      </c>
      <c r="E129" s="10">
        <f>IF(D129&lt;Assumptions!C35,Assumptions!C35*(Assumptions!C28+Assumptions!C7/Assumptions!C35)/(Assumptions!C28+Assumptions!C7/D129),Assumptions!C35)</f>
        <v>57.500114228708874</v>
      </c>
      <c r="F129" s="10">
        <f>IF(D129&lt;Assumptions!C36,Assumptions!C36*(Assumptions!C28+Assumptions!C7/Assumptions!C36)/(Assumptions!C28+Assumptions!C7/D129),Assumptions!C36)</f>
        <v>48.75861569212351</v>
      </c>
      <c r="G129" s="10">
        <f>Assumptions!C24*(Assumptions!C35/E129-1)</f>
        <v>18499.928440789423</v>
      </c>
      <c r="H129" s="10">
        <f>Assumptions!C25*(Assumptions!C36/F129-1)</f>
        <v>50026.18164622532</v>
      </c>
      <c r="I129" s="10">
        <f>Assumptions!C48/MIN((Assumptions!C49/(Assumptions!C28+0+G129+H129+0)),(D129*(1-Assumptions!C50)))</f>
        <v>190718.546875</v>
      </c>
      <c r="J129" s="10">
        <f>Assumptions!C51/MIN((Assumptions!C52/(Assumptions!C28+0+G129+H129+I129)),(D129*(1-Assumptions!C53)))</f>
        <v>107699.88529411766</v>
      </c>
      <c r="K129" s="10">
        <f>MAX(0,($C$126*(Assumptions!C28+G129+H129+I129+J129+Assumptions!C7/D129)-Assumptions!C55)/(1-$C$126))</f>
        <v>1518101.3942216693</v>
      </c>
      <c r="L129" s="10">
        <f>Assumptions!C28+K129+G129+H129+I129+J129</f>
        <v>38503006.9364778</v>
      </c>
      <c r="M129" s="10">
        <f>L129+Assumptions!C7/D129</f>
        <v>39418455.9614778</v>
      </c>
      <c r="N129" s="10">
        <f>$E$126/L129</f>
        <v>31.166397003219984</v>
      </c>
    </row>
    <row r="130" spans="3:14" x14ac:dyDescent="0.25">
      <c r="C130" s="10">
        <v>1</v>
      </c>
      <c r="D130" s="10">
        <f>N129</f>
        <v>31.166397003219984</v>
      </c>
      <c r="E130" s="10">
        <f>IF(D130&lt;Assumptions!C35,Assumptions!C35*(Assumptions!C28+Assumptions!C7/Assumptions!C35)/(Assumptions!C28+Assumptions!C7/D130),Assumptions!C35)</f>
        <v>57.42800884670097</v>
      </c>
      <c r="F130" s="10">
        <f>IF(D130&lt;Assumptions!C36,Assumptions!C36*(Assumptions!C28+Assumptions!C7/Assumptions!C36)/(Assumptions!C28+Assumptions!C7/D130),Assumptions!C36)</f>
        <v>48.69747218557894</v>
      </c>
      <c r="G130" s="10">
        <f>Assumptions!C24*(Assumptions!C35/E130-1)</f>
        <v>20683.539087472425</v>
      </c>
      <c r="H130" s="10">
        <f>Assumptions!C25*(Assumptions!C36/F130-1)</f>
        <v>57751.37186523994</v>
      </c>
      <c r="I130" s="10">
        <f>Assumptions!C48/MIN((Assumptions!C49/(Assumptions!C28+K129+G130+H130+J129)),(D130*(1-Assumptions!C50)))</f>
        <v>200536.49446082188</v>
      </c>
      <c r="J130" s="10">
        <f>Assumptions!C51/MIN((Assumptions!C52/(Assumptions!C28+K129+G130+H130+I130)),(D130*(1-Assumptions!C53)))</f>
        <v>113244.13804846413</v>
      </c>
      <c r="K130" s="10">
        <f>MAX(0,($C$126*(Assumptions!C28+G130+H130+I130+J130+Assumptions!C7/D130)-Assumptions!C55)/(1-$C$126))</f>
        <v>1530877.3618012846</v>
      </c>
      <c r="L130" s="10">
        <f>Assumptions!C28+K130+G130+H130+I130+J130</f>
        <v>38541053.90526328</v>
      </c>
      <c r="M130" s="10">
        <f>L130+Assumptions!C7/D130</f>
        <v>39503629.078675225</v>
      </c>
      <c r="N130" s="10">
        <f>$E$126/L130</f>
        <v>31.135630150376464</v>
      </c>
    </row>
    <row r="131" spans="3:14" x14ac:dyDescent="0.25">
      <c r="C131" s="10">
        <v>2</v>
      </c>
      <c r="D131" s="10">
        <f>N130</f>
        <v>31.135630150376464</v>
      </c>
      <c r="E131" s="10">
        <f>IF(D131&lt;Assumptions!C35,Assumptions!C35*(Assumptions!C28+Assumptions!C7/Assumptions!C35)/(Assumptions!C28+Assumptions!C7/D131),Assumptions!C35)</f>
        <v>57.42655536400628</v>
      </c>
      <c r="F131" s="10">
        <f>IF(D131&lt;Assumptions!C36,Assumptions!C36*(Assumptions!C28+Assumptions!C7/Assumptions!C36)/(Assumptions!C28+Assumptions!C7/D131),Assumptions!C36)</f>
        <v>48.69623966969482</v>
      </c>
      <c r="G131" s="10">
        <f>Assumptions!C24*(Assumptions!C35/E131-1)</f>
        <v>20727.61215991429</v>
      </c>
      <c r="H131" s="10">
        <f>Assumptions!C25*(Assumptions!C36/F131-1)</f>
        <v>57907.29383267867</v>
      </c>
      <c r="I131" s="10">
        <f>Assumptions!C48/MIN((Assumptions!C49/(Assumptions!C28+K130+G131+H131+J130)),(D131*(1-Assumptions!C50)))</f>
        <v>200734.6557565796</v>
      </c>
      <c r="J131" s="10">
        <f>Assumptions!C51/MIN((Assumptions!C52/(Assumptions!C28+K130+G131+H131+I131)),(D131*(1-Assumptions!C53)))</f>
        <v>113356.04089783318</v>
      </c>
      <c r="K131" s="10">
        <f>MAX(0,($C$126*(Assumptions!C28+G131+H131+I131+J131+Assumptions!C7/D131)-Assumptions!C55)/(1-$C$126))</f>
        <v>1531135.2265197518</v>
      </c>
      <c r="L131" s="10">
        <f>Assumptions!C28+K131+G131+H131+I131+J131</f>
        <v>38541821.829166755</v>
      </c>
      <c r="M131" s="10">
        <f>L131+Assumptions!C7/D131</f>
        <v>39505348.176798336</v>
      </c>
      <c r="N131" s="10">
        <f>$E$126/L131</f>
        <v>31.135009790634566</v>
      </c>
    </row>
    <row r="132" spans="3:14" x14ac:dyDescent="0.25">
      <c r="C132" s="10">
        <v>3</v>
      </c>
      <c r="D132" s="10">
        <f>N131</f>
        <v>31.135009790634566</v>
      </c>
      <c r="E132" s="10">
        <f>IF(D132&lt;Assumptions!C35,Assumptions!C35*(Assumptions!C28+Assumptions!C7/Assumptions!C35)/(Assumptions!C28+Assumptions!C7/D132),Assumptions!C35)</f>
        <v>57.42652602828466</v>
      </c>
      <c r="F132" s="10">
        <f>IF(D132&lt;Assumptions!C36,Assumptions!C36*(Assumptions!C28+Assumptions!C7/Assumptions!C36)/(Assumptions!C28+Assumptions!C7/D132),Assumptions!C36)</f>
        <v>48.696214793758564</v>
      </c>
      <c r="G132" s="10">
        <f>Assumptions!C24*(Assumptions!C35/E132-1)</f>
        <v>20728.501712141602</v>
      </c>
      <c r="H132" s="10">
        <f>Assumptions!C25*(Assumptions!C36/F132-1)</f>
        <v>57910.440895629166</v>
      </c>
      <c r="I132" s="10">
        <f>Assumptions!C48/MIN((Assumptions!C49/(Assumptions!C28+K131+G132+H132+J131)),(D132*(1-Assumptions!C50)))</f>
        <v>200738.65536024352</v>
      </c>
      <c r="J132" s="10">
        <f>Assumptions!C51/MIN((Assumptions!C52/(Assumptions!C28+K131+G132+H132+I132)),(D132*(1-Assumptions!C53)))</f>
        <v>113358.29949754929</v>
      </c>
      <c r="K132" s="10">
        <f>MAX(0,($C$126*(Assumptions!C28+G132+H132+I132+J132+Assumptions!C7/D132)-Assumptions!C55)/(1-$C$126))</f>
        <v>1531140.4311520117</v>
      </c>
      <c r="L132" s="10">
        <f>Assumptions!C28+K132+G132+H132+I132+J132</f>
        <v>38541837.32861757</v>
      </c>
      <c r="M132" s="10">
        <f>L132+Assumptions!C7/D132</f>
        <v>39505382.87434674</v>
      </c>
      <c r="N132" s="10">
        <f>$E$126/L132</f>
        <v>31.1349972698108</v>
      </c>
    </row>
    <row r="133" spans="3:14" x14ac:dyDescent="0.25">
      <c r="C133" s="10">
        <v>4</v>
      </c>
      <c r="D133" s="10">
        <f>N132</f>
        <v>31.1349972698108</v>
      </c>
      <c r="E133" s="10">
        <f>IF(D133&lt;Assumptions!C35,Assumptions!C35*(Assumptions!C28+Assumptions!C7/Assumptions!C35)/(Assumptions!C28+Assumptions!C7/D133),Assumptions!C35)</f>
        <v>57.426525436185194</v>
      </c>
      <c r="F133" s="10">
        <f>IF(D133&lt;Assumptions!C36,Assumptions!C36*(Assumptions!C28+Assumptions!C7/Assumptions!C36)/(Assumptions!C28+Assumptions!C7/D133),Assumptions!C36)</f>
        <v>48.69621429167346</v>
      </c>
      <c r="G133" s="10">
        <f>Assumptions!C24*(Assumptions!C35/E133-1)</f>
        <v>20728.51966648688</v>
      </c>
      <c r="H133" s="10">
        <f>Assumptions!C25*(Assumptions!C36/F133-1)</f>
        <v>57910.504414615556</v>
      </c>
      <c r="I133" s="10">
        <f>Assumptions!C48/MIN((Assumptions!C49/(Assumptions!C28+K132+G133+H133+J132)),(D133*(1-Assumptions!C50)))</f>
        <v>200738.73608654985</v>
      </c>
      <c r="J133" s="10">
        <f>Assumptions!C51/MIN((Assumptions!C52/(Assumptions!C28+K132+G133+H133+I133)),(D133*(1-Assumptions!C53)))</f>
        <v>113358.34508416933</v>
      </c>
      <c r="K133" s="10">
        <f>MAX(0,($C$126*(Assumptions!C28+G133+H133+I133+J133+Assumptions!C7/D133)-Assumptions!C55)/(1-$C$126))</f>
        <v>1531140.5362001047</v>
      </c>
      <c r="L133" s="10">
        <f>Assumptions!C28+K133+G133+H133+I133+J133</f>
        <v>38541837.64145192</v>
      </c>
      <c r="M133" s="10">
        <f>L133+Assumptions!C7/D133</f>
        <v>39505383.57466736</v>
      </c>
      <c r="N133" s="10">
        <f>$E$126/L133</f>
        <v>31.1349970170959</v>
      </c>
    </row>
    <row r="134" spans="3:14" x14ac:dyDescent="0.25">
      <c r="C134" s="10">
        <v>5</v>
      </c>
      <c r="D134" s="10">
        <f>N133</f>
        <v>31.1349970170959</v>
      </c>
      <c r="E134" s="10">
        <f>IF(D134&lt;Assumptions!C35,Assumptions!C35*(Assumptions!C28+Assumptions!C7/Assumptions!C35)/(Assumptions!C28+Assumptions!C7/D134),Assumptions!C35)</f>
        <v>57.426525424234505</v>
      </c>
      <c r="F134" s="10">
        <f>IF(D134&lt;Assumptions!C36,Assumptions!C36*(Assumptions!C28+Assumptions!C7/Assumptions!C36)/(Assumptions!C28+Assumptions!C7/D134),Assumptions!C36)</f>
        <v>48.69621428153959</v>
      </c>
      <c r="G134" s="10">
        <f>Assumptions!C24*(Assumptions!C35/E134-1)</f>
        <v>20728.52002887003</v>
      </c>
      <c r="H134" s="10">
        <f>Assumptions!C25*(Assumptions!C36/F134-1)</f>
        <v>57910.505696655295</v>
      </c>
      <c r="I134" s="10">
        <f>Assumptions!C48/MIN((Assumptions!C49/(Assumptions!C28+K133+G134+H134+J133)),(D134*(1-Assumptions!C50)))</f>
        <v>200738.7377158954</v>
      </c>
      <c r="J134" s="10">
        <f>Assumptions!C51/MIN((Assumptions!C52/(Assumptions!C28+K133+G134+H134+I134)),(D134*(1-Assumptions!C53)))</f>
        <v>113358.34600427035</v>
      </c>
      <c r="K134" s="10">
        <f>MAX(0,($C$126*(Assumptions!C28+G134+H134+I134+J134+Assumptions!C7/D134)-Assumptions!C55)/(1-$C$126))</f>
        <v>1531140.538320353</v>
      </c>
      <c r="L134" s="10">
        <f>Assumptions!C28+K134+G134+H134+I134+J134</f>
        <v>38541837.64776604</v>
      </c>
      <c r="M134" s="10">
        <f>L134+Assumptions!C7/D134</f>
        <v>39505383.58880234</v>
      </c>
      <c r="N134" s="10">
        <f>$E$126/L134</f>
        <v>31.134997011995207</v>
      </c>
    </row>
    <row r="135" spans="3:14" x14ac:dyDescent="0.25">
      <c r="C135" s="10">
        <v>6</v>
      </c>
      <c r="D135" s="10">
        <f>N134</f>
        <v>31.134997011995207</v>
      </c>
      <c r="E135" s="10">
        <f>IF(D135&lt;Assumptions!C35,Assumptions!C35*(Assumptions!C28+Assumptions!C7/Assumptions!C35)/(Assumptions!C28+Assumptions!C7/D135),Assumptions!C35)</f>
        <v>57.4265254239933</v>
      </c>
      <c r="F135" s="10">
        <f>IF(D135&lt;Assumptions!C36,Assumptions!C36*(Assumptions!C28+Assumptions!C7/Assumptions!C36)/(Assumptions!C28+Assumptions!C7/D135),Assumptions!C36)</f>
        <v>48.696214281335045</v>
      </c>
      <c r="G135" s="10">
        <f>Assumptions!C24*(Assumptions!C35/E135-1)</f>
        <v>20728.52003618407</v>
      </c>
      <c r="H135" s="10">
        <f>Assumptions!C25*(Assumptions!C36/F135-1)</f>
        <v>57910.50572253182</v>
      </c>
      <c r="I135" s="10">
        <f>Assumptions!C48/MIN((Assumptions!C49/(Assumptions!C28+K134+G135+H135+J134)),(D135*(1-Assumptions!C50)))</f>
        <v>200738.73774878145</v>
      </c>
      <c r="J135" s="10">
        <f>Assumptions!C51/MIN((Assumptions!C52/(Assumptions!C28+K134+G135+H135+I135)),(D135*(1-Assumptions!C53)))</f>
        <v>113358.34602284129</v>
      </c>
      <c r="K135" s="10">
        <f>MAX(0,($C$126*(Assumptions!C28+G135+H135+I135+J135+Assumptions!C7/D135)-Assumptions!C55)/(1-$C$126))</f>
        <v>1531140.5383631447</v>
      </c>
      <c r="L135" s="10">
        <f>Assumptions!C28+K135+G135+H135+I135+J135</f>
        <v>38541837.64789349</v>
      </c>
      <c r="M135" s="10">
        <f>L135+Assumptions!C7/D135</f>
        <v>39505383.58908764</v>
      </c>
      <c r="N135" s="10">
        <f>$E$126/L135</f>
        <v>31.13499701189225</v>
      </c>
    </row>
    <row r="136" spans="3:14" x14ac:dyDescent="0.25">
      <c r="C136" s="10">
        <v>7</v>
      </c>
      <c r="D136" s="10">
        <f>N135</f>
        <v>31.13499701189225</v>
      </c>
      <c r="E136" s="10">
        <f>IF(D136&lt;Assumptions!C35,Assumptions!C35*(Assumptions!C28+Assumptions!C7/Assumptions!C35)/(Assumptions!C28+Assumptions!C7/D136),Assumptions!C35)</f>
        <v>57.42652542398844</v>
      </c>
      <c r="F136" s="10">
        <f>IF(D136&lt;Assumptions!C36,Assumptions!C36*(Assumptions!C28+Assumptions!C7/Assumptions!C36)/(Assumptions!C28+Assumptions!C7/D136),Assumptions!C36)</f>
        <v>48.696214281330924</v>
      </c>
      <c r="G136" s="10">
        <f>Assumptions!C24*(Assumptions!C35/E136-1)</f>
        <v>20728.520036331698</v>
      </c>
      <c r="H136" s="10">
        <f>Assumptions!C25*(Assumptions!C36/F136-1)</f>
        <v>57910.50572305299</v>
      </c>
      <c r="I136" s="10">
        <f>Assumptions!C48/MIN((Assumptions!C49/(Assumptions!C28+K135+G136+H136+J135)),(D136*(1-Assumptions!C50)))</f>
        <v>200738.73774944525</v>
      </c>
      <c r="J136" s="10">
        <f>Assumptions!C51/MIN((Assumptions!C52/(Assumptions!C28+K135+G136+H136+I136)),(D136*(1-Assumptions!C53)))</f>
        <v>113358.34602321615</v>
      </c>
      <c r="K136" s="10">
        <f>MAX(0,($C$126*(Assumptions!C28+G136+H136+I136+J136+Assumptions!C7/D136)-Assumptions!C55)/(1-$C$126))</f>
        <v>1531140.5383640083</v>
      </c>
      <c r="L136" s="10">
        <f>Assumptions!C28+K136+G136+H136+I136+J136</f>
        <v>38541837.64789605</v>
      </c>
      <c r="M136" s="10">
        <f>L136+Assumptions!C7/D136</f>
        <v>39505383.58909339</v>
      </c>
      <c r="N136" s="10">
        <f>$E$126/L136</f>
        <v>31.13499701189018</v>
      </c>
    </row>
    <row r="137" spans="3:14" x14ac:dyDescent="0.25">
      <c r="C137" s="10">
        <v>8</v>
      </c>
      <c r="D137" s="10">
        <f>N136</f>
        <v>31.13499701189018</v>
      </c>
      <c r="E137" s="10">
        <f>IF(D137&lt;Assumptions!C35,Assumptions!C35*(Assumptions!C28+Assumptions!C7/Assumptions!C35)/(Assumptions!C28+Assumptions!C7/D137),Assumptions!C35)</f>
        <v>57.42652542398834</v>
      </c>
      <c r="F137" s="10">
        <f>IF(D137&lt;Assumptions!C36,Assumptions!C36*(Assumptions!C28+Assumptions!C7/Assumptions!C36)/(Assumptions!C28+Assumptions!C7/D137),Assumptions!C36)</f>
        <v>48.69621428133084</v>
      </c>
      <c r="G137" s="10">
        <f>Assumptions!C24*(Assumptions!C35/E137-1)</f>
        <v>20728.520036334798</v>
      </c>
      <c r="H137" s="10">
        <f>Assumptions!C25*(Assumptions!C36/F137-1)</f>
        <v>57910.50572306397</v>
      </c>
      <c r="I137" s="10">
        <f>Assumptions!C48/MIN((Assumptions!C49/(Assumptions!C28+K136+G137+H137+J136)),(D137*(1-Assumptions!C50)))</f>
        <v>200738.7377494586</v>
      </c>
      <c r="J137" s="10">
        <f>Assumptions!C51/MIN((Assumptions!C52/(Assumptions!C28+K136+G137+H137+I137)),(D137*(1-Assumptions!C53)))</f>
        <v>113358.34602322368</v>
      </c>
      <c r="K137" s="10">
        <f>MAX(0,($C$126*(Assumptions!C28+G137+H137+I137+J137+Assumptions!C7/D137)-Assumptions!C55)/(1-$C$126))</f>
        <v>1531140.5383640246</v>
      </c>
      <c r="L137" s="10">
        <f>Assumptions!C28+K137+G137+H137+I137+J137</f>
        <v>38541837.6478961</v>
      </c>
      <c r="M137" s="10">
        <f>L137+Assumptions!C7/D137</f>
        <v>39505383.5890935</v>
      </c>
      <c r="N137" s="10">
        <f>$E$126/L137</f>
        <v>31.13499701189014</v>
      </c>
    </row>
    <row r="138" spans="3:14" x14ac:dyDescent="0.25">
      <c r="C138" s="10">
        <v>9</v>
      </c>
      <c r="D138" s="10">
        <f>N137</f>
        <v>31.13499701189014</v>
      </c>
      <c r="E138" s="10">
        <f>IF(D138&lt;Assumptions!C35,Assumptions!C35*(Assumptions!C28+Assumptions!C7/Assumptions!C35)/(Assumptions!C28+Assumptions!C7/D138),Assumptions!C35)</f>
        <v>57.42652542398834</v>
      </c>
      <c r="F138" s="10">
        <f>IF(D138&lt;Assumptions!C36,Assumptions!C36*(Assumptions!C28+Assumptions!C7/Assumptions!C36)/(Assumptions!C28+Assumptions!C7/D138),Assumptions!C36)</f>
        <v>48.69621428133084</v>
      </c>
      <c r="G138" s="10">
        <f>Assumptions!C24*(Assumptions!C35/E138-1)</f>
        <v>20728.520036334798</v>
      </c>
      <c r="H138" s="10">
        <f>Assumptions!C25*(Assumptions!C36/F138-1)</f>
        <v>57910.50572306397</v>
      </c>
      <c r="I138" s="10">
        <f>Assumptions!C48/MIN((Assumptions!C49/(Assumptions!C28+K137+G138+H138+J137)),(D138*(1-Assumptions!C50)))</f>
        <v>200738.73774945887</v>
      </c>
      <c r="J138" s="10">
        <f>Assumptions!C51/MIN((Assumptions!C52/(Assumptions!C28+K137+G138+H138+I138)),(D138*(1-Assumptions!C53)))</f>
        <v>113358.34602322383</v>
      </c>
      <c r="K138" s="10">
        <f>MAX(0,($C$126*(Assumptions!C28+G138+H138+I138+J138+Assumptions!C7/D138)-Assumptions!C55)/(1-$C$126))</f>
        <v>1531140.538364026</v>
      </c>
      <c r="L138" s="10">
        <f>Assumptions!C28+K138+G138+H138+I138+J138</f>
        <v>38541837.6478961</v>
      </c>
      <c r="M138" s="10">
        <f>L138+Assumptions!C7/D138</f>
        <v>39505383.5890935</v>
      </c>
      <c r="N138" s="10">
        <f>$E$126/L138</f>
        <v>31.13499701189014</v>
      </c>
    </row>
    <row r="139" spans="3:14" x14ac:dyDescent="0.25">
      <c r="C139" s="10">
        <v>10</v>
      </c>
      <c r="D139" s="10">
        <f>N138</f>
        <v>31.13499701189014</v>
      </c>
      <c r="E139" s="10">
        <f>IF(D139&lt;Assumptions!C35,Assumptions!C35*(Assumptions!C28+Assumptions!C7/Assumptions!C35)/(Assumptions!C28+Assumptions!C7/D139),Assumptions!C35)</f>
        <v>57.42652542398834</v>
      </c>
      <c r="F139" s="10">
        <f>IF(D139&lt;Assumptions!C36,Assumptions!C36*(Assumptions!C28+Assumptions!C7/Assumptions!C36)/(Assumptions!C28+Assumptions!C7/D139),Assumptions!C36)</f>
        <v>48.69621428133084</v>
      </c>
      <c r="G139" s="10">
        <f>Assumptions!C24*(Assumptions!C35/E139-1)</f>
        <v>20728.520036334798</v>
      </c>
      <c r="H139" s="10">
        <f>Assumptions!C25*(Assumptions!C36/F139-1)</f>
        <v>57910.50572306397</v>
      </c>
      <c r="I139" s="10">
        <f>Assumptions!C48/MIN((Assumptions!C49/(Assumptions!C28+K138+G139+H139+J138)),(D139*(1-Assumptions!C50)))</f>
        <v>200738.73774945887</v>
      </c>
      <c r="J139" s="10">
        <f>Assumptions!C51/MIN((Assumptions!C52/(Assumptions!C28+K138+G139+H139+I139)),(D139*(1-Assumptions!C53)))</f>
        <v>113358.34602322383</v>
      </c>
      <c r="K139" s="10">
        <f>MAX(0,($C$126*(Assumptions!C28+G139+H139+I139+J139+Assumptions!C7/D139)-Assumptions!C55)/(1-$C$126))</f>
        <v>1531140.538364026</v>
      </c>
      <c r="L139" s="10">
        <f>Assumptions!C28+K139+G139+H139+I139+J139</f>
        <v>38541837.6478961</v>
      </c>
      <c r="M139" s="10">
        <f>L139+Assumptions!C7/D139</f>
        <v>39505383.5890935</v>
      </c>
      <c r="N139" s="10">
        <f>$E$126/L139</f>
        <v>31.13499701189014</v>
      </c>
    </row>
    <row r="140" spans="3:14" x14ac:dyDescent="0.25">
      <c r="C140" s="10">
        <v>11</v>
      </c>
      <c r="D140" s="10">
        <f>N139</f>
        <v>31.13499701189014</v>
      </c>
      <c r="E140" s="10">
        <f>IF(D140&lt;Assumptions!C35,Assumptions!C35*(Assumptions!C28+Assumptions!C7/Assumptions!C35)/(Assumptions!C28+Assumptions!C7/D140),Assumptions!C35)</f>
        <v>57.42652542398834</v>
      </c>
      <c r="F140" s="10">
        <f>IF(D140&lt;Assumptions!C36,Assumptions!C36*(Assumptions!C28+Assumptions!C7/Assumptions!C36)/(Assumptions!C28+Assumptions!C7/D140),Assumptions!C36)</f>
        <v>48.69621428133084</v>
      </c>
      <c r="G140" s="10">
        <f>Assumptions!C24*(Assumptions!C35/E140-1)</f>
        <v>20728.520036334798</v>
      </c>
      <c r="H140" s="10">
        <f>Assumptions!C25*(Assumptions!C36/F140-1)</f>
        <v>57910.50572306397</v>
      </c>
      <c r="I140" s="10">
        <f>Assumptions!C48/MIN((Assumptions!C49/(Assumptions!C28+K139+G140+H140+J139)),(D140*(1-Assumptions!C50)))</f>
        <v>200738.73774945887</v>
      </c>
      <c r="J140" s="10">
        <f>Assumptions!C51/MIN((Assumptions!C52/(Assumptions!C28+K139+G140+H140+I140)),(D140*(1-Assumptions!C53)))</f>
        <v>113358.34602322383</v>
      </c>
      <c r="K140" s="10">
        <f>MAX(0,($C$126*(Assumptions!C28+G140+H140+I140+J140+Assumptions!C7/D140)-Assumptions!C55)/(1-$C$126))</f>
        <v>1531140.538364026</v>
      </c>
      <c r="L140" s="10">
        <f>Assumptions!C28+K140+G140+H140+I140+J140</f>
        <v>38541837.6478961</v>
      </c>
      <c r="M140" s="10">
        <f>L140+Assumptions!C7/D140</f>
        <v>39505383.5890935</v>
      </c>
      <c r="N140" s="10">
        <f>$E$126/L140</f>
        <v>31.13499701189014</v>
      </c>
    </row>
    <row r="141" spans="3:14" x14ac:dyDescent="0.25">
      <c r="C141" s="10">
        <v>12</v>
      </c>
      <c r="D141" s="10">
        <f>N140</f>
        <v>31.13499701189014</v>
      </c>
      <c r="E141" s="10">
        <f>IF(D141&lt;Assumptions!C35,Assumptions!C35*(Assumptions!C28+Assumptions!C7/Assumptions!C35)/(Assumptions!C28+Assumptions!C7/D141),Assumptions!C35)</f>
        <v>57.42652542398834</v>
      </c>
      <c r="F141" s="10">
        <f>IF(D141&lt;Assumptions!C36,Assumptions!C36*(Assumptions!C28+Assumptions!C7/Assumptions!C36)/(Assumptions!C28+Assumptions!C7/D141),Assumptions!C36)</f>
        <v>48.69621428133084</v>
      </c>
      <c r="G141" s="10">
        <f>Assumptions!C24*(Assumptions!C35/E141-1)</f>
        <v>20728.520036334798</v>
      </c>
      <c r="H141" s="10">
        <f>Assumptions!C25*(Assumptions!C36/F141-1)</f>
        <v>57910.50572306397</v>
      </c>
      <c r="I141" s="10">
        <f>Assumptions!C48/MIN((Assumptions!C49/(Assumptions!C28+K140+G141+H141+J140)),(D141*(1-Assumptions!C50)))</f>
        <v>200738.73774945887</v>
      </c>
      <c r="J141" s="10">
        <f>Assumptions!C51/MIN((Assumptions!C52/(Assumptions!C28+K140+G141+H141+I141)),(D141*(1-Assumptions!C53)))</f>
        <v>113358.34602322383</v>
      </c>
      <c r="K141" s="10">
        <f>MAX(0,($C$126*(Assumptions!C28+G141+H141+I141+J141+Assumptions!C7/D141)-Assumptions!C55)/(1-$C$126))</f>
        <v>1531140.538364026</v>
      </c>
      <c r="L141" s="10">
        <f>Assumptions!C28+K141+G141+H141+I141+J141</f>
        <v>38541837.6478961</v>
      </c>
      <c r="M141" s="10">
        <f>L141+Assumptions!C7/D141</f>
        <v>39505383.5890935</v>
      </c>
      <c r="N141" s="10">
        <f>$E$126/L141</f>
        <v>31.13499701189014</v>
      </c>
    </row>
    <row r="142" spans="3:14" x14ac:dyDescent="0.25">
      <c r="C142" s="10">
        <v>13</v>
      </c>
      <c r="D142" s="10">
        <f>N141</f>
        <v>31.13499701189014</v>
      </c>
      <c r="E142" s="10">
        <f>IF(D142&lt;Assumptions!C35,Assumptions!C35*(Assumptions!C28+Assumptions!C7/Assumptions!C35)/(Assumptions!C28+Assumptions!C7/D142),Assumptions!C35)</f>
        <v>57.42652542398834</v>
      </c>
      <c r="F142" s="10">
        <f>IF(D142&lt;Assumptions!C36,Assumptions!C36*(Assumptions!C28+Assumptions!C7/Assumptions!C36)/(Assumptions!C28+Assumptions!C7/D142),Assumptions!C36)</f>
        <v>48.69621428133084</v>
      </c>
      <c r="G142" s="10">
        <f>Assumptions!C24*(Assumptions!C35/E142-1)</f>
        <v>20728.520036334798</v>
      </c>
      <c r="H142" s="10">
        <f>Assumptions!C25*(Assumptions!C36/F142-1)</f>
        <v>57910.50572306397</v>
      </c>
      <c r="I142" s="10">
        <f>Assumptions!C48/MIN((Assumptions!C49/(Assumptions!C28+K141+G142+H142+J141)),(D142*(1-Assumptions!C50)))</f>
        <v>200738.73774945887</v>
      </c>
      <c r="J142" s="10">
        <f>Assumptions!C51/MIN((Assumptions!C52/(Assumptions!C28+K141+G142+H142+I142)),(D142*(1-Assumptions!C53)))</f>
        <v>113358.34602322383</v>
      </c>
      <c r="K142" s="10">
        <f>MAX(0,($C$126*(Assumptions!C28+G142+H142+I142+J142+Assumptions!C7/D142)-Assumptions!C55)/(1-$C$126))</f>
        <v>1531140.538364026</v>
      </c>
      <c r="L142" s="10">
        <f>Assumptions!C28+K142+G142+H142+I142+J142</f>
        <v>38541837.6478961</v>
      </c>
      <c r="M142" s="10">
        <f>L142+Assumptions!C7/D142</f>
        <v>39505383.5890935</v>
      </c>
      <c r="N142" s="10">
        <f>$E$126/L142</f>
        <v>31.13499701189014</v>
      </c>
    </row>
    <row r="143" spans="3:14" x14ac:dyDescent="0.25">
      <c r="C143" s="10">
        <v>14</v>
      </c>
      <c r="D143" s="10">
        <f>N142</f>
        <v>31.13499701189014</v>
      </c>
      <c r="E143" s="10">
        <f>IF(D143&lt;Assumptions!C35,Assumptions!C35*(Assumptions!C28+Assumptions!C7/Assumptions!C35)/(Assumptions!C28+Assumptions!C7/D143),Assumptions!C35)</f>
        <v>57.42652542398834</v>
      </c>
      <c r="F143" s="10">
        <f>IF(D143&lt;Assumptions!C36,Assumptions!C36*(Assumptions!C28+Assumptions!C7/Assumptions!C36)/(Assumptions!C28+Assumptions!C7/D143),Assumptions!C36)</f>
        <v>48.69621428133084</v>
      </c>
      <c r="G143" s="10">
        <f>Assumptions!C24*(Assumptions!C35/E143-1)</f>
        <v>20728.520036334798</v>
      </c>
      <c r="H143" s="10">
        <f>Assumptions!C25*(Assumptions!C36/F143-1)</f>
        <v>57910.50572306397</v>
      </c>
      <c r="I143" s="10">
        <f>Assumptions!C48/MIN((Assumptions!C49/(Assumptions!C28+K142+G143+H143+J142)),(D143*(1-Assumptions!C50)))</f>
        <v>200738.73774945887</v>
      </c>
      <c r="J143" s="10">
        <f>Assumptions!C51/MIN((Assumptions!C52/(Assumptions!C28+K142+G143+H143+I143)),(D143*(1-Assumptions!C53)))</f>
        <v>113358.34602322383</v>
      </c>
      <c r="K143" s="10">
        <f>MAX(0,($C$126*(Assumptions!C28+G143+H143+I143+J143+Assumptions!C7/D143)-Assumptions!C55)/(1-$C$126))</f>
        <v>1531140.538364026</v>
      </c>
      <c r="L143" s="10">
        <f>Assumptions!C28+K143+G143+H143+I143+J143</f>
        <v>38541837.6478961</v>
      </c>
      <c r="M143" s="10">
        <f>L143+Assumptions!C7/D143</f>
        <v>39505383.5890935</v>
      </c>
      <c r="N143" s="10">
        <f>$E$126/L143</f>
        <v>31.13499701189014</v>
      </c>
    </row>
    <row r="144" spans="2:9" x14ac:dyDescent="0.25">
      <c r="B144" s="9" t="s">
        <v>159</v>
      </c>
      <c r="C144" s="14">
        <f>N143</f>
        <v>31.13499701189014</v>
      </c>
      <c r="D144" s="5" t="s">
        <v>194</v>
      </c>
      <c r="E144" s="10">
        <f>M143</f>
        <v>39505383.5890935</v>
      </c>
      <c r="F144" s="5" t="s">
        <v>196</v>
      </c>
      <c r="G144" s="10" t="str">
        <f>IF((Assumptions!C49/(Assumptions!C28+K143+G143+H143+J143))&lt;(N143*(1-Assumptions!C50)),"cap","discount")</f>
        <v>discount</v>
      </c>
      <c r="H144" s="5" t="s">
        <v>197</v>
      </c>
      <c r="I144" s="10" t="str">
        <f>IF((Assumptions!C52/(Assumptions!C28+K143+G143+H143+I143))&lt;(N143*(1-Assumptions!C53)),"cap","discount")</f>
        <v>discount</v>
      </c>
    </row>
    <row r="145" spans="2:14" x14ac:dyDescent="0.25">
      <c r="B145" s="3" t="s">
        <v>204</v>
      </c>
      <c r="C145" s="4" t="s">
        <v>3</v>
      </c>
      <c r="D145" s="4" t="s">
        <v>3</v>
      </c>
      <c r="E145" s="4" t="s">
        <v>3</v>
      </c>
      <c r="F145" s="4" t="s">
        <v>3</v>
      </c>
      <c r="G145" s="4" t="s">
        <v>3</v>
      </c>
      <c r="H145" s="4" t="s">
        <v>3</v>
      </c>
      <c r="I145" s="4" t="s">
        <v>3</v>
      </c>
      <c r="J145" s="4" t="s">
        <v>3</v>
      </c>
      <c r="K145" s="4" t="s">
        <v>3</v>
      </c>
      <c r="L145" s="4" t="s">
        <v>3</v>
      </c>
      <c r="M145" s="4" t="s">
        <v>3</v>
      </c>
      <c r="N145" s="4" t="s">
        <v>3</v>
      </c>
    </row>
    <row r="146" spans="2:5" x14ac:dyDescent="0.25">
      <c r="B146" s="5" t="s">
        <v>182</v>
      </c>
      <c r="C146" s="13">
        <f>Assumptions!C67</f>
        <v>0.15</v>
      </c>
      <c r="D146" s="5" t="s">
        <v>183</v>
      </c>
      <c r="E146" s="11">
        <f>Assumptions!C69</f>
        <v>1400000000</v>
      </c>
    </row>
    <row r="148" spans="3:14" x14ac:dyDescent="0.25">
      <c r="C148" s="16" t="s">
        <v>184</v>
      </c>
      <c r="D148" s="16" t="s">
        <v>185</v>
      </c>
      <c r="E148" s="16" t="s">
        <v>186</v>
      </c>
      <c r="F148" s="16" t="s">
        <v>187</v>
      </c>
      <c r="G148" s="16" t="s">
        <v>188</v>
      </c>
      <c r="H148" s="16" t="s">
        <v>189</v>
      </c>
      <c r="I148" s="16" t="s">
        <v>190</v>
      </c>
      <c r="J148" s="16" t="s">
        <v>191</v>
      </c>
      <c r="K148" s="16" t="s">
        <v>192</v>
      </c>
      <c r="L148" s="16" t="s">
        <v>193</v>
      </c>
      <c r="M148" s="16" t="s">
        <v>194</v>
      </c>
      <c r="N148" s="16" t="s">
        <v>195</v>
      </c>
    </row>
    <row r="149" spans="3:14" x14ac:dyDescent="0.25">
      <c r="C149" s="10">
        <v>0</v>
      </c>
      <c r="D149" s="10">
        <f>$E$146/Assumptions!C28</f>
        <v>38.23260393990807</v>
      </c>
      <c r="E149" s="10">
        <f>IF(D149&lt;Assumptions!C35,Assumptions!C35*(Assumptions!C28+Assumptions!C7/Assumptions!C35)/(Assumptions!C28+Assumptions!C7/D149),Assumptions!C35)</f>
        <v>57.7011635791589</v>
      </c>
      <c r="F149" s="10">
        <f>IF(D149&lt;Assumptions!C36,Assumptions!C36*(Assumptions!C28+Assumptions!C7/Assumptions!C36)/(Assumptions!C28+Assumptions!C7/D149),Assumptions!C36)</f>
        <v>48.92910036237569</v>
      </c>
      <c r="G149" s="10">
        <f>Assumptions!C24*(Assumptions!C35/E149-1)</f>
        <v>12440.252731936758</v>
      </c>
      <c r="H149" s="10">
        <f>Assumptions!C25*(Assumptions!C36/F149-1)</f>
        <v>28588.2263094802</v>
      </c>
      <c r="I149" s="10">
        <f>Assumptions!C48/MIN((Assumptions!C49/(Assumptions!C28+0+G149+H149+0)),(D149*(1-Assumptions!C50)))</f>
        <v>183294.94739520707</v>
      </c>
      <c r="J149" s="10">
        <f>Assumptions!C51/MIN((Assumptions!C52/(Assumptions!C28+0+G149+H149+I149)),(D149*(1-Assumptions!C53)))</f>
        <v>92314.18739495797</v>
      </c>
      <c r="K149" s="10">
        <f>MAX(0,($C$146*(Assumptions!C28+G149+H149+I149+J149+Assumptions!C7/D149)-Assumptions!C55)/(1-$C$146))</f>
        <v>1486145.15412154</v>
      </c>
      <c r="L149" s="10">
        <f>Assumptions!C28+K149+G149+H149+I149+J149</f>
        <v>38420743.76795312</v>
      </c>
      <c r="M149" s="10">
        <f>L149+Assumptions!C7/D149</f>
        <v>39205414.360810265</v>
      </c>
      <c r="N149" s="10">
        <f>$E$146/L149</f>
        <v>36.43864909163328</v>
      </c>
    </row>
    <row r="150" spans="3:14" x14ac:dyDescent="0.25">
      <c r="C150" s="10">
        <v>1</v>
      </c>
      <c r="D150" s="10">
        <f>N149</f>
        <v>36.43864909163328</v>
      </c>
      <c r="E150" s="10">
        <f>IF(D150&lt;Assumptions!C35,Assumptions!C35*(Assumptions!C28+Assumptions!C7/Assumptions!C35)/(Assumptions!C28+Assumptions!C7/D150),Assumptions!C35)</f>
        <v>57.641628806163126</v>
      </c>
      <c r="F150" s="10">
        <f>IF(D150&lt;Assumptions!C36,Assumptions!C36*(Assumptions!C28+Assumptions!C7/Assumptions!C36)/(Assumptions!C28+Assumptions!C7/D150),Assumptions!C36)</f>
        <v>48.87861640846088</v>
      </c>
      <c r="G150" s="10">
        <f>Assumptions!C24*(Assumptions!C35/E150-1)</f>
        <v>14230.239719028334</v>
      </c>
      <c r="H150" s="10">
        <f>Assumptions!C25*(Assumptions!C36/F150-1)</f>
        <v>34920.85249714293</v>
      </c>
      <c r="I150" s="10">
        <f>Assumptions!C48/MIN((Assumptions!C49/(Assumptions!C28+K149+G150+H150+J149)),(D150*(1-Assumptions!C50)))</f>
        <v>191227.85716866332</v>
      </c>
      <c r="J150" s="10">
        <f>Assumptions!C51/MIN((Assumptions!C52/(Assumptions!C28+K149+G150+H150+I150)),(D150*(1-Assumptions!C53)))</f>
        <v>96859.01790240283</v>
      </c>
      <c r="K150" s="10">
        <f>MAX(0,($C$146*(Assumptions!C28+G150+H150+I150+J150+Assumptions!C7/D150)-Assumptions!C55)/(1-$C$146))</f>
        <v>1496597.7563748811</v>
      </c>
      <c r="L150" s="10">
        <f>Assumptions!C28+K150+G150+H150+I150+J150</f>
        <v>38451796.723662116</v>
      </c>
      <c r="M150" s="10">
        <f>L150+Assumptions!C7/D150</f>
        <v>39275098.37583254</v>
      </c>
      <c r="N150" s="10">
        <f>$E$146/L150</f>
        <v>36.409221916501</v>
      </c>
    </row>
    <row r="151" spans="3:14" x14ac:dyDescent="0.25">
      <c r="C151" s="10">
        <v>2</v>
      </c>
      <c r="D151" s="10">
        <f>N150</f>
        <v>36.409221916501</v>
      </c>
      <c r="E151" s="10">
        <f>IF(D151&lt;Assumptions!C35,Assumptions!C35*(Assumptions!C28+Assumptions!C7/Assumptions!C35)/(Assumptions!C28+Assumptions!C7/D151),Assumptions!C35)</f>
        <v>57.64060439523527</v>
      </c>
      <c r="F151" s="10">
        <f>IF(D151&lt;Assumptions!C36,Assumptions!C36*(Assumptions!C28+Assumptions!C7/Assumptions!C36)/(Assumptions!C28+Assumptions!C7/D151),Assumptions!C36)</f>
        <v>48.87774773438236</v>
      </c>
      <c r="G151" s="10">
        <f>Assumptions!C24*(Assumptions!C35/E151-1)</f>
        <v>14261.072267251919</v>
      </c>
      <c r="H151" s="10">
        <f>Assumptions!C25*(Assumptions!C36/F151-1)</f>
        <v>35029.93206236897</v>
      </c>
      <c r="I151" s="10">
        <f>Assumptions!C48/MIN((Assumptions!C49/(Assumptions!C28+K150+G151+H151+J150)),(D151*(1-Assumptions!C50)))</f>
        <v>191303.54389303457</v>
      </c>
      <c r="J151" s="10">
        <f>Assumptions!C51/MIN((Assumptions!C52/(Assumptions!C28+K150+G151+H151+I151)),(D151*(1-Assumptions!C53)))</f>
        <v>96937.3026646944</v>
      </c>
      <c r="K151" s="10">
        <f>MAX(0,($C$146*(Assumptions!C28+G151+H151+I151+J151+Assumptions!C7/D151)-Assumptions!C55)/(1-$C$146))</f>
        <v>1496767.0453301012</v>
      </c>
      <c r="L151" s="10">
        <f>Assumptions!C28+K151+G151+H151+I151+J151</f>
        <v>38452259.89621744</v>
      </c>
      <c r="M151" s="10">
        <f>L151+Assumptions!C7/D151</f>
        <v>39276226.96886734</v>
      </c>
      <c r="N151" s="10">
        <f>$E$146/L151</f>
        <v>36.408783353139626</v>
      </c>
    </row>
    <row r="152" spans="3:14" x14ac:dyDescent="0.25">
      <c r="C152" s="10">
        <v>3</v>
      </c>
      <c r="D152" s="10">
        <f>N151</f>
        <v>36.408783353139626</v>
      </c>
      <c r="E152" s="10">
        <f>IF(D152&lt;Assumptions!C35,Assumptions!C35*(Assumptions!C28+Assumptions!C7/Assumptions!C35)/(Assumptions!C28+Assumptions!C7/D152),Assumptions!C35)</f>
        <v>57.64058911583728</v>
      </c>
      <c r="F152" s="10">
        <f>IF(D152&lt;Assumptions!C36,Assumptions!C36*(Assumptions!C28+Assumptions!C7/Assumptions!C36)/(Assumptions!C28+Assumptions!C7/D152),Assumptions!C36)</f>
        <v>48.877734777846456</v>
      </c>
      <c r="G152" s="10">
        <f>Assumptions!C24*(Assumptions!C35/E152-1)</f>
        <v>14261.532152303706</v>
      </c>
      <c r="H152" s="10">
        <f>Assumptions!C25*(Assumptions!C36/F152-1)</f>
        <v>35031.559046333095</v>
      </c>
      <c r="I152" s="10">
        <f>Assumptions!C48/MIN((Assumptions!C49/(Assumptions!C28+K151+G152+H152+J151)),(D152*(1-Assumptions!C50)))</f>
        <v>191304.79219596717</v>
      </c>
      <c r="J152" s="10">
        <f>Assumptions!C51/MIN((Assumptions!C52/(Assumptions!C28+K151+G152+H152+I152)),(D152*(1-Assumptions!C53)))</f>
        <v>96938.47032659859</v>
      </c>
      <c r="K152" s="10">
        <f>MAX(0,($C$146*(Assumptions!C28+G152+H152+I152+J152+Assumptions!C7/D152)-Assumptions!C55)/(1-$C$146))</f>
        <v>1496769.5914406977</v>
      </c>
      <c r="L152" s="10">
        <f>Assumptions!C28+K152+G152+H152+I152+J152</f>
        <v>38452266.9451619</v>
      </c>
      <c r="M152" s="10">
        <f>L152+Assumptions!C7/D152</f>
        <v>39276243.942937985</v>
      </c>
      <c r="N152" s="10">
        <f>$E$146/L152</f>
        <v>36.40877667879993</v>
      </c>
    </row>
    <row r="153" spans="3:14" x14ac:dyDescent="0.25">
      <c r="C153" s="10">
        <v>4</v>
      </c>
      <c r="D153" s="10">
        <f>N152</f>
        <v>36.40877667879993</v>
      </c>
      <c r="E153" s="10">
        <f>IF(D153&lt;Assumptions!C35,Assumptions!C35*(Assumptions!C28+Assumptions!C7/Assumptions!C35)/(Assumptions!C28+Assumptions!C7/D153),Assumptions!C35)</f>
        <v>57.640588883302776</v>
      </c>
      <c r="F153" s="10">
        <f>IF(D153&lt;Assumptions!C36,Assumptions!C36*(Assumptions!C28+Assumptions!C7/Assumptions!C36)/(Assumptions!C28+Assumptions!C7/D153),Assumptions!C36)</f>
        <v>48.87773458066319</v>
      </c>
      <c r="G153" s="10">
        <f>Assumptions!C24*(Assumptions!C35/E153-1)</f>
        <v>14261.539151216251</v>
      </c>
      <c r="H153" s="10">
        <f>Assumptions!C25*(Assumptions!C36/F153-1)</f>
        <v>35031.583807125746</v>
      </c>
      <c r="I153" s="10">
        <f>Assumptions!C48/MIN((Assumptions!C49/(Assumptions!C28+K152+G153+H153+J152)),(D153*(1-Assumptions!C50)))</f>
        <v>191304.8109236282</v>
      </c>
      <c r="J153" s="10">
        <f>Assumptions!C51/MIN((Assumptions!C52/(Assumptions!C28+K152+G153+H153+I153)),(D153*(1-Assumptions!C53)))</f>
        <v>96938.48809704681</v>
      </c>
      <c r="K153" s="10">
        <f>MAX(0,($C$146*(Assumptions!C28+G153+H153+I153+J153+Assumptions!C7/D153)-Assumptions!C55)/(1-$C$146))</f>
        <v>1496769.6301418683</v>
      </c>
      <c r="L153" s="10">
        <f>Assumptions!C28+K153+G153+H153+I153+J153</f>
        <v>38452267.05212089</v>
      </c>
      <c r="M153" s="10">
        <f>L153+Assumptions!C7/D153</f>
        <v>39276244.20094579</v>
      </c>
      <c r="N153" s="10">
        <f>$E$146/L153</f>
        <v>36.408776577525124</v>
      </c>
    </row>
    <row r="154" spans="3:14" x14ac:dyDescent="0.25">
      <c r="C154" s="10">
        <v>5</v>
      </c>
      <c r="D154" s="10">
        <f>N153</f>
        <v>36.408776577525124</v>
      </c>
      <c r="E154" s="10">
        <f>IF(D154&lt;Assumptions!C35,Assumptions!C35*(Assumptions!C28+Assumptions!C7/Assumptions!C35)/(Assumptions!C28+Assumptions!C7/D154),Assumptions!C35)</f>
        <v>57.64058887977435</v>
      </c>
      <c r="F154" s="10">
        <f>IF(D154&lt;Assumptions!C36,Assumptions!C36*(Assumptions!C28+Assumptions!C7/Assumptions!C36)/(Assumptions!C28+Assumptions!C7/D154),Assumptions!C36)</f>
        <v>48.87773457767117</v>
      </c>
      <c r="G154" s="10">
        <f>Assumptions!C24*(Assumptions!C35/E154-1)</f>
        <v>14261.539257416447</v>
      </c>
      <c r="H154" s="10">
        <f>Assumptions!C25*(Assumptions!C36/F154-1)</f>
        <v>35031.5841828401</v>
      </c>
      <c r="I154" s="10">
        <f>Assumptions!C48/MIN((Assumptions!C49/(Assumptions!C28+K153+G154+H154+J153)),(D154*(1-Assumptions!C50)))</f>
        <v>191304.8112083959</v>
      </c>
      <c r="J154" s="10">
        <f>Assumptions!C51/MIN((Assumptions!C52/(Assumptions!C28+K153+G154+H154+I154)),(D154*(1-Assumptions!C53)))</f>
        <v>96938.48836669131</v>
      </c>
      <c r="K154" s="10">
        <f>MAX(0,($C$146*(Assumptions!C28+G154+H154+I154+J154+Assumptions!C7/D154)-Assumptions!C55)/(1-$C$146))</f>
        <v>1496769.6307292175</v>
      </c>
      <c r="L154" s="10">
        <f>Assumptions!C28+K154+G154+H154+I154+J154</f>
        <v>38452267.05374456</v>
      </c>
      <c r="M154" s="10">
        <f>L154+Assumptions!C7/D154</f>
        <v>39276244.20486144</v>
      </c>
      <c r="N154" s="10">
        <f>$E$146/L154</f>
        <v>36.40877657598774</v>
      </c>
    </row>
    <row r="155" spans="3:14" x14ac:dyDescent="0.25">
      <c r="C155" s="10">
        <v>6</v>
      </c>
      <c r="D155" s="10">
        <f>N154</f>
        <v>36.40877657598774</v>
      </c>
      <c r="E155" s="10">
        <f>IF(D155&lt;Assumptions!C35,Assumptions!C35*(Assumptions!C28+Assumptions!C7/Assumptions!C35)/(Assumptions!C28+Assumptions!C7/D155),Assumptions!C35)</f>
        <v>57.640588879720795</v>
      </c>
      <c r="F155" s="10">
        <f>IF(D155&lt;Assumptions!C36,Assumptions!C36*(Assumptions!C28+Assumptions!C7/Assumptions!C36)/(Assumptions!C28+Assumptions!C7/D155),Assumptions!C36)</f>
        <v>48.87773457762576</v>
      </c>
      <c r="G155" s="10">
        <f>Assumptions!C24*(Assumptions!C35/E155-1)</f>
        <v>14261.53925902833</v>
      </c>
      <c r="H155" s="10">
        <f>Assumptions!C25*(Assumptions!C36/F155-1)</f>
        <v>35031.58418854243</v>
      </c>
      <c r="I155" s="10">
        <f>Assumptions!C48/MIN((Assumptions!C49/(Assumptions!C28+K154+G155+H155+J154)),(D155*(1-Assumptions!C50)))</f>
        <v>191304.81121271738</v>
      </c>
      <c r="J155" s="10">
        <f>Assumptions!C51/MIN((Assumptions!C52/(Assumptions!C28+K154+G155+H155+I155)),(D155*(1-Assumptions!C53)))</f>
        <v>96938.4883707846</v>
      </c>
      <c r="K155" s="10">
        <f>MAX(0,($C$146*(Assumptions!C28+G155+H155+I155+J155+Assumptions!C7/D155)-Assumptions!C55)/(1-$C$146))</f>
        <v>1496769.6307381317</v>
      </c>
      <c r="L155" s="10">
        <f>Assumptions!C28+K155+G155+H155+I155+J155</f>
        <v>38452267.0537692</v>
      </c>
      <c r="M155" s="10">
        <f>L155+Assumptions!C7/D155</f>
        <v>39276244.204920866</v>
      </c>
      <c r="N155" s="10">
        <f>$E$146/L155</f>
        <v>36.40877657596441</v>
      </c>
    </row>
    <row r="156" spans="3:14" x14ac:dyDescent="0.25">
      <c r="C156" s="10">
        <v>7</v>
      </c>
      <c r="D156" s="10">
        <f>N155</f>
        <v>36.40877657596441</v>
      </c>
      <c r="E156" s="10">
        <f>IF(D156&lt;Assumptions!C35,Assumptions!C35*(Assumptions!C28+Assumptions!C7/Assumptions!C35)/(Assumptions!C28+Assumptions!C7/D156),Assumptions!C35)</f>
        <v>57.64058887971999</v>
      </c>
      <c r="F156" s="10">
        <f>IF(D156&lt;Assumptions!C36,Assumptions!C36*(Assumptions!C28+Assumptions!C7/Assumptions!C36)/(Assumptions!C28+Assumptions!C7/D156),Assumptions!C36)</f>
        <v>48.87773457762508</v>
      </c>
      <c r="G156" s="10">
        <f>Assumptions!C24*(Assumptions!C35/E156-1)</f>
        <v>14261.539259052763</v>
      </c>
      <c r="H156" s="10">
        <f>Assumptions!C25*(Assumptions!C36/F156-1)</f>
        <v>35031.58418862726</v>
      </c>
      <c r="I156" s="10">
        <f>Assumptions!C48/MIN((Assumptions!C49/(Assumptions!C28+K155+G156+H156+J155)),(D156*(1-Assumptions!C50)))</f>
        <v>191304.81121278298</v>
      </c>
      <c r="J156" s="10">
        <f>Assumptions!C51/MIN((Assumptions!C52/(Assumptions!C28+K155+G156+H156+I156)),(D156*(1-Assumptions!C53)))</f>
        <v>96938.48837084671</v>
      </c>
      <c r="K156" s="10">
        <f>MAX(0,($C$146*(Assumptions!C28+G156+H156+I156+J156+Assumptions!C7/D156)-Assumptions!C55)/(1-$C$146))</f>
        <v>1496769.630738267</v>
      </c>
      <c r="L156" s="10">
        <f>Assumptions!C28+K156+G156+H156+I156+J156</f>
        <v>38452267.05376957</v>
      </c>
      <c r="M156" s="10">
        <f>L156+Assumptions!C7/D156</f>
        <v>39276244.20492177</v>
      </c>
      <c r="N156" s="10">
        <f>$E$146/L156</f>
        <v>36.408776575964055</v>
      </c>
    </row>
    <row r="157" spans="3:14" x14ac:dyDescent="0.25">
      <c r="C157" s="10">
        <v>8</v>
      </c>
      <c r="D157" s="10">
        <f>N156</f>
        <v>36.408776575964055</v>
      </c>
      <c r="E157" s="10">
        <f>IF(D157&lt;Assumptions!C35,Assumptions!C35*(Assumptions!C28+Assumptions!C7/Assumptions!C35)/(Assumptions!C28+Assumptions!C7/D157),Assumptions!C35)</f>
        <v>57.640588879719964</v>
      </c>
      <c r="F157" s="10">
        <f>IF(D157&lt;Assumptions!C36,Assumptions!C36*(Assumptions!C28+Assumptions!C7/Assumptions!C36)/(Assumptions!C28+Assumptions!C7/D157),Assumptions!C36)</f>
        <v>48.877734577625056</v>
      </c>
      <c r="G157" s="10">
        <f>Assumptions!C24*(Assumptions!C35/E157-1)</f>
        <v>14261.539259053452</v>
      </c>
      <c r="H157" s="10">
        <f>Assumptions!C25*(Assumptions!C36/F157-1)</f>
        <v>35031.58418863153</v>
      </c>
      <c r="I157" s="10">
        <f>Assumptions!C48/MIN((Assumptions!C49/(Assumptions!C28+K156+G157+H157+J156)),(D157*(1-Assumptions!C50)))</f>
        <v>191304.81121278397</v>
      </c>
      <c r="J157" s="10">
        <f>Assumptions!C51/MIN((Assumptions!C52/(Assumptions!C28+K156+G157+H157+I157)),(D157*(1-Assumptions!C53)))</f>
        <v>96938.48837084767</v>
      </c>
      <c r="K157" s="10">
        <f>MAX(0,($C$146*(Assumptions!C28+G157+H157+I157+J157+Assumptions!C7/D157)-Assumptions!C55)/(1-$C$146))</f>
        <v>1496769.6307382681</v>
      </c>
      <c r="L157" s="10">
        <f>Assumptions!C28+K157+G157+H157+I157+J157</f>
        <v>38452267.05376958</v>
      </c>
      <c r="M157" s="10">
        <f>L157+Assumptions!C7/D157</f>
        <v>39276244.20492178</v>
      </c>
      <c r="N157" s="10">
        <f>$E$146/L157</f>
        <v>36.40877657596405</v>
      </c>
    </row>
    <row r="158" spans="3:14" x14ac:dyDescent="0.25">
      <c r="C158" s="10">
        <v>9</v>
      </c>
      <c r="D158" s="10">
        <f>N157</f>
        <v>36.40877657596405</v>
      </c>
      <c r="E158" s="10">
        <f>IF(D158&lt;Assumptions!C35,Assumptions!C35*(Assumptions!C28+Assumptions!C7/Assumptions!C35)/(Assumptions!C28+Assumptions!C7/D158),Assumptions!C35)</f>
        <v>57.640588879719964</v>
      </c>
      <c r="F158" s="10">
        <f>IF(D158&lt;Assumptions!C36,Assumptions!C36*(Assumptions!C28+Assumptions!C7/Assumptions!C36)/(Assumptions!C28+Assumptions!C7/D158),Assumptions!C36)</f>
        <v>48.877734577625056</v>
      </c>
      <c r="G158" s="10">
        <f>Assumptions!C24*(Assumptions!C35/E158-1)</f>
        <v>14261.539259053452</v>
      </c>
      <c r="H158" s="10">
        <f>Assumptions!C25*(Assumptions!C36/F158-1)</f>
        <v>35031.58418863153</v>
      </c>
      <c r="I158" s="10">
        <f>Assumptions!C48/MIN((Assumptions!C49/(Assumptions!C28+K157+G158+H158+J157)),(D158*(1-Assumptions!C50)))</f>
        <v>191304.81121278397</v>
      </c>
      <c r="J158" s="10">
        <f>Assumptions!C51/MIN((Assumptions!C52/(Assumptions!C28+K157+G158+H158+I158)),(D158*(1-Assumptions!C53)))</f>
        <v>96938.48837084767</v>
      </c>
      <c r="K158" s="10">
        <f>MAX(0,($C$146*(Assumptions!C28+G158+H158+I158+J158+Assumptions!C7/D158)-Assumptions!C55)/(1-$C$146))</f>
        <v>1496769.6307382681</v>
      </c>
      <c r="L158" s="10">
        <f>Assumptions!C28+K158+G158+H158+I158+J158</f>
        <v>38452267.05376958</v>
      </c>
      <c r="M158" s="10">
        <f>L158+Assumptions!C7/D158</f>
        <v>39276244.20492178</v>
      </c>
      <c r="N158" s="10">
        <f>$E$146/L158</f>
        <v>36.40877657596405</v>
      </c>
    </row>
    <row r="159" spans="3:14" x14ac:dyDescent="0.25">
      <c r="C159" s="10">
        <v>10</v>
      </c>
      <c r="D159" s="10">
        <f>N158</f>
        <v>36.40877657596405</v>
      </c>
      <c r="E159" s="10">
        <f>IF(D159&lt;Assumptions!C35,Assumptions!C35*(Assumptions!C28+Assumptions!C7/Assumptions!C35)/(Assumptions!C28+Assumptions!C7/D159),Assumptions!C35)</f>
        <v>57.640588879719964</v>
      </c>
      <c r="F159" s="10">
        <f>IF(D159&lt;Assumptions!C36,Assumptions!C36*(Assumptions!C28+Assumptions!C7/Assumptions!C36)/(Assumptions!C28+Assumptions!C7/D159),Assumptions!C36)</f>
        <v>48.877734577625056</v>
      </c>
      <c r="G159" s="10">
        <f>Assumptions!C24*(Assumptions!C35/E159-1)</f>
        <v>14261.539259053452</v>
      </c>
      <c r="H159" s="10">
        <f>Assumptions!C25*(Assumptions!C36/F159-1)</f>
        <v>35031.58418863153</v>
      </c>
      <c r="I159" s="10">
        <f>Assumptions!C48/MIN((Assumptions!C49/(Assumptions!C28+K158+G159+H159+J158)),(D159*(1-Assumptions!C50)))</f>
        <v>191304.81121278397</v>
      </c>
      <c r="J159" s="10">
        <f>Assumptions!C51/MIN((Assumptions!C52/(Assumptions!C28+K158+G159+H159+I159)),(D159*(1-Assumptions!C53)))</f>
        <v>96938.48837084767</v>
      </c>
      <c r="K159" s="10">
        <f>MAX(0,($C$146*(Assumptions!C28+G159+H159+I159+J159+Assumptions!C7/D159)-Assumptions!C55)/(1-$C$146))</f>
        <v>1496769.6307382681</v>
      </c>
      <c r="L159" s="10">
        <f>Assumptions!C28+K159+G159+H159+I159+J159</f>
        <v>38452267.05376958</v>
      </c>
      <c r="M159" s="10">
        <f>L159+Assumptions!C7/D159</f>
        <v>39276244.20492178</v>
      </c>
      <c r="N159" s="10">
        <f>$E$146/L159</f>
        <v>36.40877657596405</v>
      </c>
    </row>
    <row r="160" spans="3:14" x14ac:dyDescent="0.25">
      <c r="C160" s="10">
        <v>11</v>
      </c>
      <c r="D160" s="10">
        <f>N159</f>
        <v>36.40877657596405</v>
      </c>
      <c r="E160" s="10">
        <f>IF(D160&lt;Assumptions!C35,Assumptions!C35*(Assumptions!C28+Assumptions!C7/Assumptions!C35)/(Assumptions!C28+Assumptions!C7/D160),Assumptions!C35)</f>
        <v>57.640588879719964</v>
      </c>
      <c r="F160" s="10">
        <f>IF(D160&lt;Assumptions!C36,Assumptions!C36*(Assumptions!C28+Assumptions!C7/Assumptions!C36)/(Assumptions!C28+Assumptions!C7/D160),Assumptions!C36)</f>
        <v>48.877734577625056</v>
      </c>
      <c r="G160" s="10">
        <f>Assumptions!C24*(Assumptions!C35/E160-1)</f>
        <v>14261.539259053452</v>
      </c>
      <c r="H160" s="10">
        <f>Assumptions!C25*(Assumptions!C36/F160-1)</f>
        <v>35031.58418863153</v>
      </c>
      <c r="I160" s="10">
        <f>Assumptions!C48/MIN((Assumptions!C49/(Assumptions!C28+K159+G160+H160+J159)),(D160*(1-Assumptions!C50)))</f>
        <v>191304.81121278397</v>
      </c>
      <c r="J160" s="10">
        <f>Assumptions!C51/MIN((Assumptions!C52/(Assumptions!C28+K159+G160+H160+I160)),(D160*(1-Assumptions!C53)))</f>
        <v>96938.48837084767</v>
      </c>
      <c r="K160" s="10">
        <f>MAX(0,($C$146*(Assumptions!C28+G160+H160+I160+J160+Assumptions!C7/D160)-Assumptions!C55)/(1-$C$146))</f>
        <v>1496769.6307382681</v>
      </c>
      <c r="L160" s="10">
        <f>Assumptions!C28+K160+G160+H160+I160+J160</f>
        <v>38452267.05376958</v>
      </c>
      <c r="M160" s="10">
        <f>L160+Assumptions!C7/D160</f>
        <v>39276244.20492178</v>
      </c>
      <c r="N160" s="10">
        <f>$E$146/L160</f>
        <v>36.40877657596405</v>
      </c>
    </row>
    <row r="161" spans="3:14" x14ac:dyDescent="0.25">
      <c r="C161" s="10">
        <v>12</v>
      </c>
      <c r="D161" s="10">
        <f>N160</f>
        <v>36.40877657596405</v>
      </c>
      <c r="E161" s="10">
        <f>IF(D161&lt;Assumptions!C35,Assumptions!C35*(Assumptions!C28+Assumptions!C7/Assumptions!C35)/(Assumptions!C28+Assumptions!C7/D161),Assumptions!C35)</f>
        <v>57.640588879719964</v>
      </c>
      <c r="F161" s="10">
        <f>IF(D161&lt;Assumptions!C36,Assumptions!C36*(Assumptions!C28+Assumptions!C7/Assumptions!C36)/(Assumptions!C28+Assumptions!C7/D161),Assumptions!C36)</f>
        <v>48.877734577625056</v>
      </c>
      <c r="G161" s="10">
        <f>Assumptions!C24*(Assumptions!C35/E161-1)</f>
        <v>14261.539259053452</v>
      </c>
      <c r="H161" s="10">
        <f>Assumptions!C25*(Assumptions!C36/F161-1)</f>
        <v>35031.58418863153</v>
      </c>
      <c r="I161" s="10">
        <f>Assumptions!C48/MIN((Assumptions!C49/(Assumptions!C28+K160+G161+H161+J160)),(D161*(1-Assumptions!C50)))</f>
        <v>191304.81121278397</v>
      </c>
      <c r="J161" s="10">
        <f>Assumptions!C51/MIN((Assumptions!C52/(Assumptions!C28+K160+G161+H161+I161)),(D161*(1-Assumptions!C53)))</f>
        <v>96938.48837084767</v>
      </c>
      <c r="K161" s="10">
        <f>MAX(0,($C$146*(Assumptions!C28+G161+H161+I161+J161+Assumptions!C7/D161)-Assumptions!C55)/(1-$C$146))</f>
        <v>1496769.6307382681</v>
      </c>
      <c r="L161" s="10">
        <f>Assumptions!C28+K161+G161+H161+I161+J161</f>
        <v>38452267.05376958</v>
      </c>
      <c r="M161" s="10">
        <f>L161+Assumptions!C7/D161</f>
        <v>39276244.20492178</v>
      </c>
      <c r="N161" s="10">
        <f>$E$146/L161</f>
        <v>36.40877657596405</v>
      </c>
    </row>
    <row r="162" spans="3:14" x14ac:dyDescent="0.25">
      <c r="C162" s="10">
        <v>13</v>
      </c>
      <c r="D162" s="10">
        <f>N161</f>
        <v>36.40877657596405</v>
      </c>
      <c r="E162" s="10">
        <f>IF(D162&lt;Assumptions!C35,Assumptions!C35*(Assumptions!C28+Assumptions!C7/Assumptions!C35)/(Assumptions!C28+Assumptions!C7/D162),Assumptions!C35)</f>
        <v>57.640588879719964</v>
      </c>
      <c r="F162" s="10">
        <f>IF(D162&lt;Assumptions!C36,Assumptions!C36*(Assumptions!C28+Assumptions!C7/Assumptions!C36)/(Assumptions!C28+Assumptions!C7/D162),Assumptions!C36)</f>
        <v>48.877734577625056</v>
      </c>
      <c r="G162" s="10">
        <f>Assumptions!C24*(Assumptions!C35/E162-1)</f>
        <v>14261.539259053452</v>
      </c>
      <c r="H162" s="10">
        <f>Assumptions!C25*(Assumptions!C36/F162-1)</f>
        <v>35031.58418863153</v>
      </c>
      <c r="I162" s="10">
        <f>Assumptions!C48/MIN((Assumptions!C49/(Assumptions!C28+K161+G162+H162+J161)),(D162*(1-Assumptions!C50)))</f>
        <v>191304.81121278397</v>
      </c>
      <c r="J162" s="10">
        <f>Assumptions!C51/MIN((Assumptions!C52/(Assumptions!C28+K161+G162+H162+I162)),(D162*(1-Assumptions!C53)))</f>
        <v>96938.48837084767</v>
      </c>
      <c r="K162" s="10">
        <f>MAX(0,($C$146*(Assumptions!C28+G162+H162+I162+J162+Assumptions!C7/D162)-Assumptions!C55)/(1-$C$146))</f>
        <v>1496769.6307382681</v>
      </c>
      <c r="L162" s="10">
        <f>Assumptions!C28+K162+G162+H162+I162+J162</f>
        <v>38452267.05376958</v>
      </c>
      <c r="M162" s="10">
        <f>L162+Assumptions!C7/D162</f>
        <v>39276244.20492178</v>
      </c>
      <c r="N162" s="10">
        <f>$E$146/L162</f>
        <v>36.40877657596405</v>
      </c>
    </row>
    <row r="163" spans="3:14" x14ac:dyDescent="0.25">
      <c r="C163" s="10">
        <v>14</v>
      </c>
      <c r="D163" s="10">
        <f>N162</f>
        <v>36.40877657596405</v>
      </c>
      <c r="E163" s="10">
        <f>IF(D163&lt;Assumptions!C35,Assumptions!C35*(Assumptions!C28+Assumptions!C7/Assumptions!C35)/(Assumptions!C28+Assumptions!C7/D163),Assumptions!C35)</f>
        <v>57.640588879719964</v>
      </c>
      <c r="F163" s="10">
        <f>IF(D163&lt;Assumptions!C36,Assumptions!C36*(Assumptions!C28+Assumptions!C7/Assumptions!C36)/(Assumptions!C28+Assumptions!C7/D163),Assumptions!C36)</f>
        <v>48.877734577625056</v>
      </c>
      <c r="G163" s="10">
        <f>Assumptions!C24*(Assumptions!C35/E163-1)</f>
        <v>14261.539259053452</v>
      </c>
      <c r="H163" s="10">
        <f>Assumptions!C25*(Assumptions!C36/F163-1)</f>
        <v>35031.58418863153</v>
      </c>
      <c r="I163" s="10">
        <f>Assumptions!C48/MIN((Assumptions!C49/(Assumptions!C28+K162+G163+H163+J162)),(D163*(1-Assumptions!C50)))</f>
        <v>191304.81121278397</v>
      </c>
      <c r="J163" s="10">
        <f>Assumptions!C51/MIN((Assumptions!C52/(Assumptions!C28+K162+G163+H163+I163)),(D163*(1-Assumptions!C53)))</f>
        <v>96938.48837084767</v>
      </c>
      <c r="K163" s="10">
        <f>MAX(0,($C$146*(Assumptions!C28+G163+H163+I163+J163+Assumptions!C7/D163)-Assumptions!C55)/(1-$C$146))</f>
        <v>1496769.6307382681</v>
      </c>
      <c r="L163" s="10">
        <f>Assumptions!C28+K163+G163+H163+I163+J163</f>
        <v>38452267.05376958</v>
      </c>
      <c r="M163" s="10">
        <f>L163+Assumptions!C7/D163</f>
        <v>39276244.20492178</v>
      </c>
      <c r="N163" s="10">
        <f>$E$146/L163</f>
        <v>36.40877657596405</v>
      </c>
    </row>
    <row r="164" spans="2:9" x14ac:dyDescent="0.25">
      <c r="B164" s="9" t="s">
        <v>159</v>
      </c>
      <c r="C164" s="14">
        <f>N163</f>
        <v>36.40877657596405</v>
      </c>
      <c r="D164" s="5" t="s">
        <v>194</v>
      </c>
      <c r="E164" s="10">
        <f>M163</f>
        <v>39276244.20492178</v>
      </c>
      <c r="F164" s="5" t="s">
        <v>196</v>
      </c>
      <c r="G164" s="10" t="str">
        <f>IF((Assumptions!C49/(Assumptions!C28+K163+G163+H163+J163))&lt;(N163*(1-Assumptions!C50)),"cap","discount")</f>
        <v>cap</v>
      </c>
      <c r="H164" s="5" t="s">
        <v>197</v>
      </c>
      <c r="I164" s="10" t="str">
        <f>IF((Assumptions!C52/(Assumptions!C28+K163+G163+H163+I163))&lt;(N163*(1-Assumptions!C53)),"cap","discount")</f>
        <v>discount</v>
      </c>
    </row>
    <row r="165" spans="2:14" x14ac:dyDescent="0.25">
      <c r="B165" s="3" t="s">
        <v>205</v>
      </c>
      <c r="C165" s="4" t="s">
        <v>3</v>
      </c>
      <c r="D165" s="4" t="s">
        <v>3</v>
      </c>
      <c r="E165" s="4" t="s">
        <v>3</v>
      </c>
      <c r="F165" s="4" t="s">
        <v>3</v>
      </c>
      <c r="G165" s="4" t="s">
        <v>3</v>
      </c>
      <c r="H165" s="4" t="s">
        <v>3</v>
      </c>
      <c r="I165" s="4" t="s">
        <v>3</v>
      </c>
      <c r="J165" s="4" t="s">
        <v>3</v>
      </c>
      <c r="K165" s="4" t="s">
        <v>3</v>
      </c>
      <c r="L165" s="4" t="s">
        <v>3</v>
      </c>
      <c r="M165" s="4" t="s">
        <v>3</v>
      </c>
      <c r="N165" s="4" t="s">
        <v>3</v>
      </c>
    </row>
    <row r="166" spans="2:5" x14ac:dyDescent="0.25">
      <c r="B166" s="5" t="s">
        <v>182</v>
      </c>
      <c r="C166" s="13">
        <f>Assumptions!C67</f>
        <v>0.15</v>
      </c>
      <c r="D166" s="5" t="s">
        <v>183</v>
      </c>
      <c r="E166" s="11">
        <f>Assumptions!C70</f>
        <v>1800000000</v>
      </c>
    </row>
    <row r="168" spans="3:14" x14ac:dyDescent="0.25">
      <c r="C168" s="16" t="s">
        <v>184</v>
      </c>
      <c r="D168" s="16" t="s">
        <v>185</v>
      </c>
      <c r="E168" s="16" t="s">
        <v>186</v>
      </c>
      <c r="F168" s="16" t="s">
        <v>187</v>
      </c>
      <c r="G168" s="16" t="s">
        <v>188</v>
      </c>
      <c r="H168" s="16" t="s">
        <v>189</v>
      </c>
      <c r="I168" s="16" t="s">
        <v>190</v>
      </c>
      <c r="J168" s="16" t="s">
        <v>191</v>
      </c>
      <c r="K168" s="16" t="s">
        <v>192</v>
      </c>
      <c r="L168" s="16" t="s">
        <v>193</v>
      </c>
      <c r="M168" s="16" t="s">
        <v>194</v>
      </c>
      <c r="N168" s="16" t="s">
        <v>195</v>
      </c>
    </row>
    <row r="169" spans="3:14" x14ac:dyDescent="0.25">
      <c r="C169" s="10">
        <v>0</v>
      </c>
      <c r="D169" s="10">
        <f>$E$166/Assumptions!C28</f>
        <v>49.15620506559609</v>
      </c>
      <c r="E169" s="10">
        <f>IF(D169&lt;Assumptions!C35,Assumptions!C35*(Assumptions!C28+Assumptions!C7/Assumptions!C35)/(Assumptions!C28+Assumptions!C7/D169),Assumptions!C35)</f>
        <v>57.9714266404196</v>
      </c>
      <c r="F169" s="10">
        <f>IF(D169&lt;Assumptions!C36,Assumptions!C36*(Assumptions!C28+Assumptions!C7/Assumptions!C36)/(Assumptions!C28+Assumptions!C7/D169),Assumptions!C36)</f>
        <v>49.158276476485185</v>
      </c>
      <c r="G169" s="10">
        <f>Assumptions!C24*(Assumptions!C35/E169-1)</f>
        <v>4360.685120132803</v>
      </c>
      <c r="H169" s="10">
        <f>Assumptions!C25*(Assumptions!C36/F169-1)</f>
        <v>4.285860483254343</v>
      </c>
      <c r="I169" s="10">
        <f>Assumptions!C48/MIN((Assumptions!C49/(Assumptions!C28+0+G169+H169+0)),(D169*(1-Assumptions!C50)))</f>
        <v>183111.62985490312</v>
      </c>
      <c r="J169" s="10">
        <f>Assumptions!C51/MIN((Assumptions!C52/(Assumptions!C28+0+G169+H169+I169)),(D169*(1-Assumptions!C53)))</f>
        <v>71799.92352941177</v>
      </c>
      <c r="K169" s="10">
        <f>MAX(0,($C$166*(Assumptions!C28+G169+H169+I169+J169+Assumptions!C7/D169)-Assumptions!C55)/(1-$C$166))</f>
        <v>1445251.2131232235</v>
      </c>
      <c r="L169" s="10">
        <f>Assumptions!C28+K169+G169+H169+I169+J169</f>
        <v>38322488.73748817</v>
      </c>
      <c r="M169" s="10">
        <f>L169+Assumptions!C7/D169</f>
        <v>38932788.08748817</v>
      </c>
      <c r="N169" s="10">
        <f>$E$166/L169</f>
        <v>46.969809615709735</v>
      </c>
    </row>
    <row r="170" spans="3:14" x14ac:dyDescent="0.25">
      <c r="C170" s="10">
        <v>1</v>
      </c>
      <c r="D170" s="10">
        <f>N169</f>
        <v>46.969809615709735</v>
      </c>
      <c r="E170" s="10">
        <f>IF(D170&lt;Assumptions!C35,Assumptions!C35*(Assumptions!C28+Assumptions!C7/Assumptions!C35)/(Assumptions!C28+Assumptions!C7/D170),Assumptions!C35)</f>
        <v>57.92722251672114</v>
      </c>
      <c r="F170" s="10">
        <f>IF(D170&lt;Assumptions!C36,Assumptions!C36*(Assumptions!C28+Assumptions!C7/Assumptions!C36)/(Assumptions!C28+Assumptions!C7/D170),Assumptions!C36)</f>
        <v>49.12079251826473</v>
      </c>
      <c r="G170" s="10">
        <f>Assumptions!C24*(Assumptions!C35/E170-1)</f>
        <v>5677.019059488424</v>
      </c>
      <c r="H170" s="10">
        <f>Assumptions!C25*(Assumptions!C36/F170-1)</f>
        <v>4661.219590274005</v>
      </c>
      <c r="I170" s="10">
        <f>Assumptions!C48/MIN((Assumptions!C49/(Assumptions!C28+K169+G170+H170+J169)),(D170*(1-Assumptions!C50)))</f>
        <v>190726.75187651196</v>
      </c>
      <c r="J170" s="10">
        <f>Assumptions!C51/MIN((Assumptions!C52/(Assumptions!C28+K169+G170+H170+I170)),(D170*(1-Assumptions!C53)))</f>
        <v>75142.13477938857</v>
      </c>
      <c r="K170" s="10">
        <f>MAX(0,($C$166*(Assumptions!C28+G170+H170+I170+J170+Assumptions!C7/D170)-Assumptions!C55)/(1-$C$166))</f>
        <v>1453252.2831053752</v>
      </c>
      <c r="L170" s="10">
        <f>Assumptions!C28+K170+G170+H170+I170+J170</f>
        <v>38347420.40841104</v>
      </c>
      <c r="M170" s="10">
        <f>L170+Assumptions!C7/D170</f>
        <v>38986128.55403584</v>
      </c>
      <c r="N170" s="10">
        <f>$E$166/L170</f>
        <v>46.93927207696067</v>
      </c>
    </row>
    <row r="171" spans="3:14" x14ac:dyDescent="0.25">
      <c r="C171" s="10">
        <v>2</v>
      </c>
      <c r="D171" s="10">
        <f>N170</f>
        <v>46.93927207696067</v>
      </c>
      <c r="E171" s="10">
        <f>IF(D171&lt;Assumptions!C35,Assumptions!C35*(Assumptions!C28+Assumptions!C7/Assumptions!C35)/(Assumptions!C28+Assumptions!C7/D171),Assumptions!C35)</f>
        <v>57.926576455056214</v>
      </c>
      <c r="F171" s="10">
        <f>IF(D171&lt;Assumptions!C36,Assumptions!C36*(Assumptions!C28+Assumptions!C7/Assumptions!C36)/(Assumptions!C28+Assumptions!C7/D171),Assumptions!C36)</f>
        <v>49.120244674615094</v>
      </c>
      <c r="G171" s="10">
        <f>Assumptions!C24*(Assumptions!C35/E171-1)</f>
        <v>5696.272723643357</v>
      </c>
      <c r="H171" s="10">
        <f>Assumptions!C25*(Assumptions!C36/F171-1)</f>
        <v>4729.335313302443</v>
      </c>
      <c r="I171" s="10">
        <f>Assumptions!C48/MIN((Assumptions!C49/(Assumptions!C28+K170+G171+H171+J170)),(D171*(1-Assumptions!C50)))</f>
        <v>190783.9051296085</v>
      </c>
      <c r="J171" s="10">
        <f>Assumptions!C51/MIN((Assumptions!C52/(Assumptions!C28+K170+G171+H171+I171)),(D171*(1-Assumptions!C53)))</f>
        <v>75191.0204086491</v>
      </c>
      <c r="K171" s="10">
        <f>MAX(0,($C$166*(Assumptions!C28+G171+H171+I171+J171+Assumptions!C7/D171)-Assumptions!C55)/(1-$C$166))</f>
        <v>1453359.7424203635</v>
      </c>
      <c r="L171" s="10">
        <f>Assumptions!C28+K171+G171+H171+I171+J171</f>
        <v>38347721.27599557</v>
      </c>
      <c r="M171" s="10">
        <f>L171+Assumptions!C7/D171</f>
        <v>38986844.94946909</v>
      </c>
      <c r="N171" s="10">
        <f>$E$166/L171</f>
        <v>46.93890380200353</v>
      </c>
    </row>
    <row r="172" spans="3:14" x14ac:dyDescent="0.25">
      <c r="C172" s="10">
        <v>3</v>
      </c>
      <c r="D172" s="10">
        <f>N171</f>
        <v>46.93890380200353</v>
      </c>
      <c r="E172" s="10">
        <f>IF(D172&lt;Assumptions!C35,Assumptions!C35*(Assumptions!C28+Assumptions!C7/Assumptions!C35)/(Assumptions!C28+Assumptions!C7/D172),Assumptions!C35)</f>
        <v>57.92656865867469</v>
      </c>
      <c r="F172" s="10">
        <f>IF(D172&lt;Assumptions!C36,Assumptions!C36*(Assumptions!C28+Assumptions!C7/Assumptions!C36)/(Assumptions!C28+Assumptions!C7/D172),Assumptions!C36)</f>
        <v>49.120238063484386</v>
      </c>
      <c r="G172" s="10">
        <f>Assumptions!C24*(Assumptions!C35/E172-1)</f>
        <v>5696.505070823513</v>
      </c>
      <c r="H172" s="10">
        <f>Assumptions!C25*(Assumptions!C36/F172-1)</f>
        <v>4730.157312484384</v>
      </c>
      <c r="I172" s="10">
        <f>Assumptions!C48/MIN((Assumptions!C49/(Assumptions!C28+K171+G172+H172+J171)),(D172*(1-Assumptions!C50)))</f>
        <v>190784.69212606156</v>
      </c>
      <c r="J172" s="10">
        <f>Assumptions!C51/MIN((Assumptions!C52/(Assumptions!C28+K171+G172+H172+I172)),(D172*(1-Assumptions!C53)))</f>
        <v>75191.61034508934</v>
      </c>
      <c r="K172" s="10">
        <f>MAX(0,($C$166*(Assumptions!C28+G172+H172+I172+J172+Assumptions!C7/D172)-Assumptions!C55)/(1-$C$166))</f>
        <v>1453361.0563743012</v>
      </c>
      <c r="L172" s="10">
        <f>Assumptions!C28+K172+G172+H172+I172+J172</f>
        <v>38347725.02122876</v>
      </c>
      <c r="M172" s="10">
        <f>L172+Assumptions!C7/D172</f>
        <v>38986853.70916202</v>
      </c>
      <c r="N172" s="10">
        <f>$E$166/L172</f>
        <v>46.938899217712276</v>
      </c>
    </row>
    <row r="173" spans="3:14" x14ac:dyDescent="0.25">
      <c r="C173" s="10">
        <v>4</v>
      </c>
      <c r="D173" s="10">
        <f>N172</f>
        <v>46.938899217712276</v>
      </c>
      <c r="E173" s="10">
        <f>IF(D173&lt;Assumptions!C35,Assumptions!C35*(Assumptions!C28+Assumptions!C7/Assumptions!C35)/(Assumptions!C28+Assumptions!C7/D173),Assumptions!C35)</f>
        <v>57.92656856162448</v>
      </c>
      <c r="F173" s="10">
        <f>IF(D173&lt;Assumptions!C36,Assumptions!C36*(Assumptions!C28+Assumptions!C7/Assumptions!C36)/(Assumptions!C28+Assumptions!C7/D173),Assumptions!C36)</f>
        <v>49.12023798118831</v>
      </c>
      <c r="G173" s="10">
        <f>Assumptions!C24*(Assumptions!C35/E173-1)</f>
        <v>5696.507963106823</v>
      </c>
      <c r="H173" s="10">
        <f>Assumptions!C25*(Assumptions!C36/F173-1)</f>
        <v>4730.167544820041</v>
      </c>
      <c r="I173" s="10">
        <f>Assumptions!C48/MIN((Assumptions!C49/(Assumptions!C28+K172+G173+H173+J172)),(D173*(1-Assumptions!C50)))</f>
        <v>190784.70171113661</v>
      </c>
      <c r="J173" s="10">
        <f>Assumptions!C51/MIN((Assumptions!C52/(Assumptions!C28+K172+G173+H173+I173)),(D173*(1-Assumptions!C53)))</f>
        <v>75191.61768868382</v>
      </c>
      <c r="K173" s="10">
        <f>MAX(0,($C$166*(Assumptions!C28+G173+H173+I173+J173+Assumptions!C7/D173)-Assumptions!C55)/(1-$C$166))</f>
        <v>1453361.0726932164</v>
      </c>
      <c r="L173" s="10">
        <f>Assumptions!C28+K173+G173+H173+I173+J173</f>
        <v>38347725.067600965</v>
      </c>
      <c r="M173" s="10">
        <f>L173+Assumptions!C7/D173</f>
        <v>38986853.81795478</v>
      </c>
      <c r="N173" s="10">
        <f>$E$166/L173</f>
        <v>46.938899160951145</v>
      </c>
    </row>
    <row r="174" spans="3:14" x14ac:dyDescent="0.25">
      <c r="C174" s="10">
        <v>5</v>
      </c>
      <c r="D174" s="10">
        <f>N173</f>
        <v>46.938899160951145</v>
      </c>
      <c r="E174" s="10">
        <f>IF(D174&lt;Assumptions!C35,Assumptions!C35*(Assumptions!C28+Assumptions!C7/Assumptions!C35)/(Assumptions!C28+Assumptions!C7/D174),Assumptions!C35)</f>
        <v>57.92656856042283</v>
      </c>
      <c r="F174" s="10">
        <f>IF(D174&lt;Assumptions!C36,Assumptions!C36*(Assumptions!C28+Assumptions!C7/Assumptions!C36)/(Assumptions!C28+Assumptions!C7/D174),Assumptions!C36)</f>
        <v>49.12023798016934</v>
      </c>
      <c r="G174" s="10">
        <f>Assumptions!C24*(Assumptions!C35/E174-1)</f>
        <v>5696.507998918576</v>
      </c>
      <c r="H174" s="10">
        <f>Assumptions!C25*(Assumptions!C36/F174-1)</f>
        <v>4730.16767151507</v>
      </c>
      <c r="I174" s="10">
        <f>Assumptions!C48/MIN((Assumptions!C49/(Assumptions!C28+K173+G174+H174+J173)),(D174*(1-Assumptions!C50)))</f>
        <v>190784.70183026168</v>
      </c>
      <c r="J174" s="10">
        <f>Assumptions!C51/MIN((Assumptions!C52/(Assumptions!C28+K173+G174+H174+I174)),(D174*(1-Assumptions!C53)))</f>
        <v>75191.61777960973</v>
      </c>
      <c r="K174" s="10">
        <f>MAX(0,($C$166*(Assumptions!C28+G174+H174+I174+J174+Assumptions!C7/D174)-Assumptions!C55)/(1-$C$166))</f>
        <v>1453361.0728953518</v>
      </c>
      <c r="L174" s="10">
        <f>Assumptions!C28+K174+G174+H174+I174+J174</f>
        <v>38347725.06817566</v>
      </c>
      <c r="M174" s="10">
        <f>L174+Assumptions!C7/D174</f>
        <v>38986853.81930234</v>
      </c>
      <c r="N174" s="10">
        <f>$E$166/L174</f>
        <v>46.93889916024769</v>
      </c>
    </row>
    <row r="175" spans="3:14" x14ac:dyDescent="0.25">
      <c r="C175" s="10">
        <v>6</v>
      </c>
      <c r="D175" s="10">
        <f>N174</f>
        <v>46.93889916024769</v>
      </c>
      <c r="E175" s="10">
        <f>IF(D175&lt;Assumptions!C35,Assumptions!C35*(Assumptions!C28+Assumptions!C7/Assumptions!C35)/(Assumptions!C28+Assumptions!C7/D175),Assumptions!C35)</f>
        <v>57.926568560407944</v>
      </c>
      <c r="F175" s="10">
        <f>IF(D175&lt;Assumptions!C36,Assumptions!C36*(Assumptions!C28+Assumptions!C7/Assumptions!C36)/(Assumptions!C28+Assumptions!C7/D175),Assumptions!C36)</f>
        <v>49.12023798015672</v>
      </c>
      <c r="G175" s="10">
        <f>Assumptions!C24*(Assumptions!C35/E175-1)</f>
        <v>5696.507999361982</v>
      </c>
      <c r="H175" s="10">
        <f>Assumptions!C25*(Assumptions!C36/F175-1)</f>
        <v>4730.167673083455</v>
      </c>
      <c r="I175" s="10">
        <f>Assumptions!C48/MIN((Assumptions!C49/(Assumptions!C28+K174+G175+H175+J174)),(D175*(1-Assumptions!C50)))</f>
        <v>190784.70183173704</v>
      </c>
      <c r="J175" s="10">
        <f>Assumptions!C51/MIN((Assumptions!C52/(Assumptions!C28+K174+G175+H175+I175)),(D175*(1-Assumptions!C53)))</f>
        <v>75191.6177807366</v>
      </c>
      <c r="K175" s="10">
        <f>MAX(0,($C$166*(Assumptions!C28+G175+H175+I175+J175+Assumptions!C7/D175)-Assumptions!C55)/(1-$C$166))</f>
        <v>1453361.0728978529</v>
      </c>
      <c r="L175" s="10">
        <f>Assumptions!C28+K175+G175+H175+I175+J175</f>
        <v>38347725.06818277</v>
      </c>
      <c r="M175" s="10">
        <f>L175+Assumptions!C7/D175</f>
        <v>38986853.81931903</v>
      </c>
      <c r="N175" s="10">
        <f>$E$166/L175</f>
        <v>46.938899160238996</v>
      </c>
    </row>
    <row r="176" spans="3:14" x14ac:dyDescent="0.25">
      <c r="C176" s="10">
        <v>7</v>
      </c>
      <c r="D176" s="10">
        <f>N175</f>
        <v>46.938899160238996</v>
      </c>
      <c r="E176" s="10">
        <f>IF(D176&lt;Assumptions!C35,Assumptions!C35*(Assumptions!C28+Assumptions!C7/Assumptions!C35)/(Assumptions!C28+Assumptions!C7/D176),Assumptions!C35)</f>
        <v>57.92656856040776</v>
      </c>
      <c r="F176" s="10">
        <f>IF(D176&lt;Assumptions!C36,Assumptions!C36*(Assumptions!C28+Assumptions!C7/Assumptions!C36)/(Assumptions!C28+Assumptions!C7/D176),Assumptions!C36)</f>
        <v>49.12023798015656</v>
      </c>
      <c r="G176" s="10">
        <f>Assumptions!C24*(Assumptions!C35/E176-1)</f>
        <v>5696.507999367488</v>
      </c>
      <c r="H176" s="10">
        <f>Assumptions!C25*(Assumptions!C36/F176-1)</f>
        <v>4730.1676731042035</v>
      </c>
      <c r="I176" s="10">
        <f>Assumptions!C48/MIN((Assumptions!C49/(Assumptions!C28+K175+G176+H176+J175)),(D176*(1-Assumptions!C50)))</f>
        <v>190784.70183175526</v>
      </c>
      <c r="J176" s="10">
        <f>Assumptions!C51/MIN((Assumptions!C52/(Assumptions!C28+K175+G176+H176+I176)),(D176*(1-Assumptions!C53)))</f>
        <v>75191.61778075053</v>
      </c>
      <c r="K176" s="10">
        <f>MAX(0,($C$166*(Assumptions!C28+G176+H176+I176+J176+Assumptions!C7/D176)-Assumptions!C55)/(1-$C$166))</f>
        <v>1453361.0728978848</v>
      </c>
      <c r="L176" s="10">
        <f>Assumptions!C28+K176+G176+H176+I176+J176</f>
        <v>38347725.06818285</v>
      </c>
      <c r="M176" s="10">
        <f>L176+Assumptions!C7/D176</f>
        <v>38986853.819319226</v>
      </c>
      <c r="N176" s="10">
        <f>$E$166/L176</f>
        <v>46.9388991602389</v>
      </c>
    </row>
    <row r="177" spans="3:14" x14ac:dyDescent="0.25">
      <c r="C177" s="10">
        <v>8</v>
      </c>
      <c r="D177" s="10">
        <f>N176</f>
        <v>46.9388991602389</v>
      </c>
      <c r="E177" s="10">
        <f>IF(D177&lt;Assumptions!C35,Assumptions!C35*(Assumptions!C28+Assumptions!C7/Assumptions!C35)/(Assumptions!C28+Assumptions!C7/D177),Assumptions!C35)</f>
        <v>57.92656856040776</v>
      </c>
      <c r="F177" s="10">
        <f>IF(D177&lt;Assumptions!C36,Assumptions!C36*(Assumptions!C28+Assumptions!C7/Assumptions!C36)/(Assumptions!C28+Assumptions!C7/D177),Assumptions!C36)</f>
        <v>49.12023798015656</v>
      </c>
      <c r="G177" s="10">
        <f>Assumptions!C24*(Assumptions!C35/E177-1)</f>
        <v>5696.507999367488</v>
      </c>
      <c r="H177" s="10">
        <f>Assumptions!C25*(Assumptions!C36/F177-1)</f>
        <v>4730.1676731042035</v>
      </c>
      <c r="I177" s="10">
        <f>Assumptions!C48/MIN((Assumptions!C49/(Assumptions!C28+K176+G177+H177+J176)),(D177*(1-Assumptions!C50)))</f>
        <v>190784.7018317555</v>
      </c>
      <c r="J177" s="10">
        <f>Assumptions!C51/MIN((Assumptions!C52/(Assumptions!C28+K176+G177+H177+I177)),(D177*(1-Assumptions!C53)))</f>
        <v>75191.61778075068</v>
      </c>
      <c r="K177" s="10">
        <f>MAX(0,($C$166*(Assumptions!C28+G177+H177+I177+J177+Assumptions!C7/D177)-Assumptions!C55)/(1-$C$166))</f>
        <v>1453361.0728978848</v>
      </c>
      <c r="L177" s="10">
        <f>Assumptions!C28+K177+G177+H177+I177+J177</f>
        <v>38347725.06818285</v>
      </c>
      <c r="M177" s="10">
        <f>L177+Assumptions!C7/D177</f>
        <v>38986853.81931923</v>
      </c>
      <c r="N177" s="10">
        <f>$E$166/L177</f>
        <v>46.9388991602389</v>
      </c>
    </row>
    <row r="178" spans="3:14" x14ac:dyDescent="0.25">
      <c r="C178" s="10">
        <v>9</v>
      </c>
      <c r="D178" s="10">
        <f>N177</f>
        <v>46.9388991602389</v>
      </c>
      <c r="E178" s="10">
        <f>IF(D178&lt;Assumptions!C35,Assumptions!C35*(Assumptions!C28+Assumptions!C7/Assumptions!C35)/(Assumptions!C28+Assumptions!C7/D178),Assumptions!C35)</f>
        <v>57.92656856040776</v>
      </c>
      <c r="F178" s="10">
        <f>IF(D178&lt;Assumptions!C36,Assumptions!C36*(Assumptions!C28+Assumptions!C7/Assumptions!C36)/(Assumptions!C28+Assumptions!C7/D178),Assumptions!C36)</f>
        <v>49.12023798015656</v>
      </c>
      <c r="G178" s="10">
        <f>Assumptions!C24*(Assumptions!C35/E178-1)</f>
        <v>5696.507999367488</v>
      </c>
      <c r="H178" s="10">
        <f>Assumptions!C25*(Assumptions!C36/F178-1)</f>
        <v>4730.1676731042035</v>
      </c>
      <c r="I178" s="10">
        <f>Assumptions!C48/MIN((Assumptions!C49/(Assumptions!C28+K177+G178+H178+J177)),(D178*(1-Assumptions!C50)))</f>
        <v>190784.7018317555</v>
      </c>
      <c r="J178" s="10">
        <f>Assumptions!C51/MIN((Assumptions!C52/(Assumptions!C28+K177+G178+H178+I178)),(D178*(1-Assumptions!C53)))</f>
        <v>75191.61778075068</v>
      </c>
      <c r="K178" s="10">
        <f>MAX(0,($C$166*(Assumptions!C28+G178+H178+I178+J178+Assumptions!C7/D178)-Assumptions!C55)/(1-$C$166))</f>
        <v>1453361.0728978848</v>
      </c>
      <c r="L178" s="10">
        <f>Assumptions!C28+K178+G178+H178+I178+J178</f>
        <v>38347725.06818285</v>
      </c>
      <c r="M178" s="10">
        <f>L178+Assumptions!C7/D178</f>
        <v>38986853.81931923</v>
      </c>
      <c r="N178" s="10">
        <f>$E$166/L178</f>
        <v>46.9388991602389</v>
      </c>
    </row>
    <row r="179" spans="3:14" x14ac:dyDescent="0.25">
      <c r="C179" s="10">
        <v>10</v>
      </c>
      <c r="D179" s="10">
        <f>N178</f>
        <v>46.9388991602389</v>
      </c>
      <c r="E179" s="10">
        <f>IF(D179&lt;Assumptions!C35,Assumptions!C35*(Assumptions!C28+Assumptions!C7/Assumptions!C35)/(Assumptions!C28+Assumptions!C7/D179),Assumptions!C35)</f>
        <v>57.92656856040776</v>
      </c>
      <c r="F179" s="10">
        <f>IF(D179&lt;Assumptions!C36,Assumptions!C36*(Assumptions!C28+Assumptions!C7/Assumptions!C36)/(Assumptions!C28+Assumptions!C7/D179),Assumptions!C36)</f>
        <v>49.12023798015656</v>
      </c>
      <c r="G179" s="10">
        <f>Assumptions!C24*(Assumptions!C35/E179-1)</f>
        <v>5696.507999367488</v>
      </c>
      <c r="H179" s="10">
        <f>Assumptions!C25*(Assumptions!C36/F179-1)</f>
        <v>4730.1676731042035</v>
      </c>
      <c r="I179" s="10">
        <f>Assumptions!C48/MIN((Assumptions!C49/(Assumptions!C28+K178+G179+H179+J178)),(D179*(1-Assumptions!C50)))</f>
        <v>190784.7018317555</v>
      </c>
      <c r="J179" s="10">
        <f>Assumptions!C51/MIN((Assumptions!C52/(Assumptions!C28+K178+G179+H179+I179)),(D179*(1-Assumptions!C53)))</f>
        <v>75191.61778075068</v>
      </c>
      <c r="K179" s="10">
        <f>MAX(0,($C$166*(Assumptions!C28+G179+H179+I179+J179+Assumptions!C7/D179)-Assumptions!C55)/(1-$C$166))</f>
        <v>1453361.0728978848</v>
      </c>
      <c r="L179" s="10">
        <f>Assumptions!C28+K179+G179+H179+I179+J179</f>
        <v>38347725.06818285</v>
      </c>
      <c r="M179" s="10">
        <f>L179+Assumptions!C7/D179</f>
        <v>38986853.81931923</v>
      </c>
      <c r="N179" s="10">
        <f>$E$166/L179</f>
        <v>46.9388991602389</v>
      </c>
    </row>
    <row r="180" spans="3:14" x14ac:dyDescent="0.25">
      <c r="C180" s="10">
        <v>11</v>
      </c>
      <c r="D180" s="10">
        <f>N179</f>
        <v>46.9388991602389</v>
      </c>
      <c r="E180" s="10">
        <f>IF(D180&lt;Assumptions!C35,Assumptions!C35*(Assumptions!C28+Assumptions!C7/Assumptions!C35)/(Assumptions!C28+Assumptions!C7/D180),Assumptions!C35)</f>
        <v>57.92656856040776</v>
      </c>
      <c r="F180" s="10">
        <f>IF(D180&lt;Assumptions!C36,Assumptions!C36*(Assumptions!C28+Assumptions!C7/Assumptions!C36)/(Assumptions!C28+Assumptions!C7/D180),Assumptions!C36)</f>
        <v>49.12023798015656</v>
      </c>
      <c r="G180" s="10">
        <f>Assumptions!C24*(Assumptions!C35/E180-1)</f>
        <v>5696.507999367488</v>
      </c>
      <c r="H180" s="10">
        <f>Assumptions!C25*(Assumptions!C36/F180-1)</f>
        <v>4730.1676731042035</v>
      </c>
      <c r="I180" s="10">
        <f>Assumptions!C48/MIN((Assumptions!C49/(Assumptions!C28+K179+G180+H180+J179)),(D180*(1-Assumptions!C50)))</f>
        <v>190784.7018317555</v>
      </c>
      <c r="J180" s="10">
        <f>Assumptions!C51/MIN((Assumptions!C52/(Assumptions!C28+K179+G180+H180+I180)),(D180*(1-Assumptions!C53)))</f>
        <v>75191.61778075068</v>
      </c>
      <c r="K180" s="10">
        <f>MAX(0,($C$166*(Assumptions!C28+G180+H180+I180+J180+Assumptions!C7/D180)-Assumptions!C55)/(1-$C$166))</f>
        <v>1453361.0728978848</v>
      </c>
      <c r="L180" s="10">
        <f>Assumptions!C28+K180+G180+H180+I180+J180</f>
        <v>38347725.06818285</v>
      </c>
      <c r="M180" s="10">
        <f>L180+Assumptions!C7/D180</f>
        <v>38986853.81931923</v>
      </c>
      <c r="N180" s="10">
        <f>$E$166/L180</f>
        <v>46.9388991602389</v>
      </c>
    </row>
    <row r="181" spans="3:14" x14ac:dyDescent="0.25">
      <c r="C181" s="10">
        <v>12</v>
      </c>
      <c r="D181" s="10">
        <f>N180</f>
        <v>46.9388991602389</v>
      </c>
      <c r="E181" s="10">
        <f>IF(D181&lt;Assumptions!C35,Assumptions!C35*(Assumptions!C28+Assumptions!C7/Assumptions!C35)/(Assumptions!C28+Assumptions!C7/D181),Assumptions!C35)</f>
        <v>57.92656856040776</v>
      </c>
      <c r="F181" s="10">
        <f>IF(D181&lt;Assumptions!C36,Assumptions!C36*(Assumptions!C28+Assumptions!C7/Assumptions!C36)/(Assumptions!C28+Assumptions!C7/D181),Assumptions!C36)</f>
        <v>49.12023798015656</v>
      </c>
      <c r="G181" s="10">
        <f>Assumptions!C24*(Assumptions!C35/E181-1)</f>
        <v>5696.507999367488</v>
      </c>
      <c r="H181" s="10">
        <f>Assumptions!C25*(Assumptions!C36/F181-1)</f>
        <v>4730.1676731042035</v>
      </c>
      <c r="I181" s="10">
        <f>Assumptions!C48/MIN((Assumptions!C49/(Assumptions!C28+K180+G181+H181+J180)),(D181*(1-Assumptions!C50)))</f>
        <v>190784.7018317555</v>
      </c>
      <c r="J181" s="10">
        <f>Assumptions!C51/MIN((Assumptions!C52/(Assumptions!C28+K180+G181+H181+I181)),(D181*(1-Assumptions!C53)))</f>
        <v>75191.61778075068</v>
      </c>
      <c r="K181" s="10">
        <f>MAX(0,($C$166*(Assumptions!C28+G181+H181+I181+J181+Assumptions!C7/D181)-Assumptions!C55)/(1-$C$166))</f>
        <v>1453361.0728978848</v>
      </c>
      <c r="L181" s="10">
        <f>Assumptions!C28+K181+G181+H181+I181+J181</f>
        <v>38347725.06818285</v>
      </c>
      <c r="M181" s="10">
        <f>L181+Assumptions!C7/D181</f>
        <v>38986853.81931923</v>
      </c>
      <c r="N181" s="10">
        <f>$E$166/L181</f>
        <v>46.9388991602389</v>
      </c>
    </row>
    <row r="182" spans="3:14" x14ac:dyDescent="0.25">
      <c r="C182" s="10">
        <v>13</v>
      </c>
      <c r="D182" s="10">
        <f>N181</f>
        <v>46.9388991602389</v>
      </c>
      <c r="E182" s="10">
        <f>IF(D182&lt;Assumptions!C35,Assumptions!C35*(Assumptions!C28+Assumptions!C7/Assumptions!C35)/(Assumptions!C28+Assumptions!C7/D182),Assumptions!C35)</f>
        <v>57.92656856040776</v>
      </c>
      <c r="F182" s="10">
        <f>IF(D182&lt;Assumptions!C36,Assumptions!C36*(Assumptions!C28+Assumptions!C7/Assumptions!C36)/(Assumptions!C28+Assumptions!C7/D182),Assumptions!C36)</f>
        <v>49.12023798015656</v>
      </c>
      <c r="G182" s="10">
        <f>Assumptions!C24*(Assumptions!C35/E182-1)</f>
        <v>5696.507999367488</v>
      </c>
      <c r="H182" s="10">
        <f>Assumptions!C25*(Assumptions!C36/F182-1)</f>
        <v>4730.1676731042035</v>
      </c>
      <c r="I182" s="10">
        <f>Assumptions!C48/MIN((Assumptions!C49/(Assumptions!C28+K181+G182+H182+J181)),(D182*(1-Assumptions!C50)))</f>
        <v>190784.7018317555</v>
      </c>
      <c r="J182" s="10">
        <f>Assumptions!C51/MIN((Assumptions!C52/(Assumptions!C28+K181+G182+H182+I182)),(D182*(1-Assumptions!C53)))</f>
        <v>75191.61778075068</v>
      </c>
      <c r="K182" s="10">
        <f>MAX(0,($C$166*(Assumptions!C28+G182+H182+I182+J182+Assumptions!C7/D182)-Assumptions!C55)/(1-$C$166))</f>
        <v>1453361.0728978848</v>
      </c>
      <c r="L182" s="10">
        <f>Assumptions!C28+K182+G182+H182+I182+J182</f>
        <v>38347725.06818285</v>
      </c>
      <c r="M182" s="10">
        <f>L182+Assumptions!C7/D182</f>
        <v>38986853.81931923</v>
      </c>
      <c r="N182" s="10">
        <f>$E$166/L182</f>
        <v>46.9388991602389</v>
      </c>
    </row>
    <row r="183" spans="3:14" x14ac:dyDescent="0.25">
      <c r="C183" s="10">
        <v>14</v>
      </c>
      <c r="D183" s="10">
        <f>N182</f>
        <v>46.9388991602389</v>
      </c>
      <c r="E183" s="10">
        <f>IF(D183&lt;Assumptions!C35,Assumptions!C35*(Assumptions!C28+Assumptions!C7/Assumptions!C35)/(Assumptions!C28+Assumptions!C7/D183),Assumptions!C35)</f>
        <v>57.92656856040776</v>
      </c>
      <c r="F183" s="10">
        <f>IF(D183&lt;Assumptions!C36,Assumptions!C36*(Assumptions!C28+Assumptions!C7/Assumptions!C36)/(Assumptions!C28+Assumptions!C7/D183),Assumptions!C36)</f>
        <v>49.12023798015656</v>
      </c>
      <c r="G183" s="10">
        <f>Assumptions!C24*(Assumptions!C35/E183-1)</f>
        <v>5696.507999367488</v>
      </c>
      <c r="H183" s="10">
        <f>Assumptions!C25*(Assumptions!C36/F183-1)</f>
        <v>4730.1676731042035</v>
      </c>
      <c r="I183" s="10">
        <f>Assumptions!C48/MIN((Assumptions!C49/(Assumptions!C28+K182+G183+H183+J182)),(D183*(1-Assumptions!C50)))</f>
        <v>190784.7018317555</v>
      </c>
      <c r="J183" s="10">
        <f>Assumptions!C51/MIN((Assumptions!C52/(Assumptions!C28+K182+G183+H183+I183)),(D183*(1-Assumptions!C53)))</f>
        <v>75191.61778075068</v>
      </c>
      <c r="K183" s="10">
        <f>MAX(0,($C$166*(Assumptions!C28+G183+H183+I183+J183+Assumptions!C7/D183)-Assumptions!C55)/(1-$C$166))</f>
        <v>1453361.0728978848</v>
      </c>
      <c r="L183" s="10">
        <f>Assumptions!C28+K183+G183+H183+I183+J183</f>
        <v>38347725.06818285</v>
      </c>
      <c r="M183" s="10">
        <f>L183+Assumptions!C7/D183</f>
        <v>38986853.81931923</v>
      </c>
      <c r="N183" s="10">
        <f>$E$166/L183</f>
        <v>46.9388991602389</v>
      </c>
    </row>
    <row r="184" spans="2:9" x14ac:dyDescent="0.25">
      <c r="B184" s="9" t="s">
        <v>159</v>
      </c>
      <c r="C184" s="14">
        <f>N183</f>
        <v>46.9388991602389</v>
      </c>
      <c r="D184" s="5" t="s">
        <v>194</v>
      </c>
      <c r="E184" s="10">
        <f>M183</f>
        <v>38986853.81931923</v>
      </c>
      <c r="F184" s="5" t="s">
        <v>196</v>
      </c>
      <c r="G184" s="10" t="str">
        <f>IF((Assumptions!C49/(Assumptions!C28+K183+G183+H183+J183))&lt;(N183*(1-Assumptions!C50)),"cap","discount")</f>
        <v>cap</v>
      </c>
      <c r="H184" s="5" t="s">
        <v>197</v>
      </c>
      <c r="I184" s="10" t="str">
        <f>IF((Assumptions!C52/(Assumptions!C28+K183+G183+H183+I183))&lt;(N183*(1-Assumptions!C53)),"cap","discount")</f>
        <v>discount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17.705" customWidth="1"/>
    <col min="3" max="3" width="13.955" customWidth="1"/>
    <col min="4" max="6" width="16.455" customWidth="1"/>
  </cols>
  <sheetData>
    <row r="2" ht="18" customHeight="1" spans="2:2" x14ac:dyDescent="0.25">
      <c r="B2" s="1" t="s">
        <v>206</v>
      </c>
    </row>
    <row r="3" spans="2:2" x14ac:dyDescent="0.25">
      <c r="B3" s="2" t="s">
        <v>207</v>
      </c>
    </row>
    <row r="5" spans="2:3" x14ac:dyDescent="0.25">
      <c r="B5" s="5" t="s">
        <v>208</v>
      </c>
      <c r="C5" s="17">
        <f>Assumptions!C60</f>
        <v>2000000000</v>
      </c>
    </row>
    <row r="6" spans="2:3" x14ac:dyDescent="0.25">
      <c r="B6" s="5" t="s">
        <v>209</v>
      </c>
      <c r="C6" s="17">
        <f>Assumptions!C11</f>
        <v>10000000</v>
      </c>
    </row>
    <row r="9" spans="2:6" x14ac:dyDescent="0.25">
      <c r="B9" s="3" t="s">
        <v>210</v>
      </c>
      <c r="C9" s="4" t="s">
        <v>3</v>
      </c>
      <c r="D9" s="4" t="s">
        <v>3</v>
      </c>
      <c r="E9" s="4" t="s">
        <v>3</v>
      </c>
      <c r="F9" s="4" t="s">
        <v>3</v>
      </c>
    </row>
    <row r="11" spans="2:6" x14ac:dyDescent="0.25">
      <c r="B11" s="22" t="s">
        <v>3</v>
      </c>
      <c r="C11" s="22" t="s">
        <v>211</v>
      </c>
      <c r="D11" s="23">
        <f>Assumptions!C68</f>
        <v>1200000000</v>
      </c>
      <c r="E11" s="23">
        <f>Assumptions!C69</f>
        <v>1400000000</v>
      </c>
      <c r="F11" s="23">
        <f>Assumptions!C70</f>
        <v>1800000000</v>
      </c>
    </row>
    <row r="12" spans="2:3" x14ac:dyDescent="0.25">
      <c r="B12" s="22" t="s">
        <v>212</v>
      </c>
      <c r="C12" s="24" t="s">
        <v>3</v>
      </c>
    </row>
    <row r="13" spans="2:6" x14ac:dyDescent="0.25">
      <c r="B13" s="24">
        <f>Assumptions!C65</f>
        <v>0.11</v>
      </c>
      <c r="C13" s="24" t="s">
        <v>3</v>
      </c>
      <c r="D13" s="11">
        <f>(Assumptions!C11/'Sens-Helper'!N23)/'Sens-Helper'!M23</f>
        <v>0.008130081300813007</v>
      </c>
      <c r="E13" s="11">
        <f>(Assumptions!C11/'Sens-Helper'!N43)/'Sens-Helper'!M43</f>
        <v>0.006993006993006995</v>
      </c>
      <c r="F13" s="11">
        <f>(Assumptions!C11/'Sens-Helper'!N63)/'Sens-Helper'!M63</f>
        <v>0.00546448087431694</v>
      </c>
    </row>
    <row r="14" spans="2:6" x14ac:dyDescent="0.25">
      <c r="B14" s="24">
        <f>Assumptions!C66</f>
        <v>0.13</v>
      </c>
      <c r="C14" s="24" t="s">
        <v>3</v>
      </c>
      <c r="D14" s="11">
        <f>(Assumptions!C11/'Sens-Helper'!N83)/'Sens-Helper'!M83</f>
        <v>0.008130081300813009</v>
      </c>
      <c r="E14" s="25">
        <f>(Assumptions!C11/'Sens-Helper'!N103)/'Sens-Helper'!M103</f>
        <v>0.006993006993006992</v>
      </c>
      <c r="F14" s="11">
        <f>(Assumptions!C11/'Sens-Helper'!N123)/'Sens-Helper'!M123</f>
        <v>0.005464480874316941</v>
      </c>
    </row>
    <row r="15" spans="2:6" x14ac:dyDescent="0.25">
      <c r="B15" s="24">
        <f>Assumptions!C67</f>
        <v>0.15</v>
      </c>
      <c r="C15" s="24" t="s">
        <v>3</v>
      </c>
      <c r="D15" s="11">
        <f>(Assumptions!C11/'Sens-Helper'!N143)/'Sens-Helper'!M143</f>
        <v>0.008130081300813009</v>
      </c>
      <c r="E15" s="11">
        <f>(Assumptions!C11/'Sens-Helper'!N163)/'Sens-Helper'!M163</f>
        <v>0.006993006993006993</v>
      </c>
      <c r="F15" s="11">
        <f>(Assumptions!C11/'Sens-Helper'!N183)/'Sens-Helper'!M183</f>
        <v>0.00546448087431694</v>
      </c>
    </row>
    <row r="18" spans="2:6" x14ac:dyDescent="0.25">
      <c r="B18" s="3" t="s">
        <v>213</v>
      </c>
      <c r="C18" s="4" t="s">
        <v>3</v>
      </c>
      <c r="D18" s="4" t="s">
        <v>3</v>
      </c>
      <c r="E18" s="4" t="s">
        <v>3</v>
      </c>
      <c r="F18" s="4" t="s">
        <v>3</v>
      </c>
    </row>
    <row r="20" spans="2:6" x14ac:dyDescent="0.25">
      <c r="B20" s="22" t="s">
        <v>3</v>
      </c>
      <c r="C20" s="22" t="s">
        <v>211</v>
      </c>
      <c r="D20" s="23">
        <f>Assumptions!C68</f>
        <v>1200000000</v>
      </c>
      <c r="E20" s="23">
        <f>Assumptions!C69</f>
        <v>1400000000</v>
      </c>
      <c r="F20" s="23">
        <f>Assumptions!C70</f>
        <v>1800000000</v>
      </c>
    </row>
    <row r="21" spans="2:3" x14ac:dyDescent="0.25">
      <c r="B21" s="22" t="s">
        <v>212</v>
      </c>
      <c r="C21" s="24" t="s">
        <v>3</v>
      </c>
    </row>
    <row r="22" spans="2:6" x14ac:dyDescent="0.25">
      <c r="B22" s="24">
        <f>Assumptions!C65</f>
        <v>0.11</v>
      </c>
      <c r="C22" s="24" t="s">
        <v>3</v>
      </c>
      <c r="D22" s="11">
        <f>(Assumptions!C11/'Sens-Helper'!N23)*IF(((Assumptions!C60-Assumptions!C43)/(((Assumptions!C16+Assumptions!C17+Assumptions!C18+Assumptions!C19)+'Sens-Helper'!I23+'Sens-Helper'!J23)+((Assumptions!C7/'Sens-Helper'!N23)+(Assumptions!C25+'Sens-Helper'!H23)+Assumptions!C23+Assumptions!C22+Assumptions!C21+Assumptions!C20)))&gt;Assumptions!C13,((Assumptions!C60-Assumptions!C43)+Assumptions!C26*Assumptions!C13)/((((Assumptions!C16+Assumptions!C17+Assumptions!C18+Assumptions!C19)+'Sens-Helper'!I23+'Sens-Helper'!J23)+((Assumptions!C7/'Sens-Helper'!N23)+(Assumptions!C25+'Sens-Helper'!H23)+Assumptions!C23+Assumptions!C22+Assumptions!C21+Assumptions!C20))+Assumptions!C26),((Assumptions!C60-Assumptions!C43)/(((Assumptions!C16+Assumptions!C17+Assumptions!C18+Assumptions!C19)+'Sens-Helper'!I23+'Sens-Helper'!J23)+((Assumptions!C7/'Sens-Helper'!N23)+(Assumptions!C25+'Sens-Helper'!H23)+Assumptions!C23+Assumptions!C22+Assumptions!C21+Assumptions!C20))))</f>
        <v>17107258.51256051</v>
      </c>
      <c r="E22" s="11">
        <f>(Assumptions!C11/'Sens-Helper'!N43)*IF(((Assumptions!C60-Assumptions!C43)/(((Assumptions!C16+Assumptions!C17+Assumptions!C18+Assumptions!C19)+'Sens-Helper'!I43+'Sens-Helper'!J43)+((Assumptions!C7/'Sens-Helper'!N43)+(Assumptions!C25+'Sens-Helper'!H43)+Assumptions!C23+Assumptions!C22+Assumptions!C21+Assumptions!C20)))&gt;Assumptions!C13,((Assumptions!C60-Assumptions!C43)+Assumptions!C26*Assumptions!C13)/((((Assumptions!C16+Assumptions!C17+Assumptions!C18+Assumptions!C19)+'Sens-Helper'!I43+'Sens-Helper'!J43)+((Assumptions!C7/'Sens-Helper'!N43)+(Assumptions!C25+'Sens-Helper'!H43)+Assumptions!C23+Assumptions!C22+Assumptions!C21+Assumptions!C20))+Assumptions!C26),((Assumptions!C60-Assumptions!C43)/(((Assumptions!C16+Assumptions!C17+Assumptions!C18+Assumptions!C19)+'Sens-Helper'!I43+'Sens-Helper'!J43)+((Assumptions!C7/'Sens-Helper'!N43)+(Assumptions!C25+'Sens-Helper'!H43)+Assumptions!C23+Assumptions!C22+Assumptions!C21+Assumptions!C20))))</f>
        <v>14719656.34007007</v>
      </c>
      <c r="F22" s="11">
        <f>(Assumptions!C11/'Sens-Helper'!N63)*IF(((Assumptions!C60-Assumptions!C43)/(((Assumptions!C16+Assumptions!C17+Assumptions!C18+Assumptions!C19)+'Sens-Helper'!I63+'Sens-Helper'!J63)+((Assumptions!C7/'Sens-Helper'!N63)+(Assumptions!C25+'Sens-Helper'!H63)+Assumptions!C23+Assumptions!C22+Assumptions!C21+Assumptions!C20)))&gt;Assumptions!C13,((Assumptions!C60-Assumptions!C43)+Assumptions!C26*Assumptions!C13)/((((Assumptions!C16+Assumptions!C17+Assumptions!C18+Assumptions!C19)+'Sens-Helper'!I63+'Sens-Helper'!J63)+((Assumptions!C7/'Sens-Helper'!N63)+(Assumptions!C25+'Sens-Helper'!H63)+Assumptions!C23+Assumptions!C22+Assumptions!C21+Assumptions!C20))+Assumptions!C26),((Assumptions!C60-Assumptions!C43)/(((Assumptions!C16+Assumptions!C17+Assumptions!C18+Assumptions!C19)+'Sens-Helper'!I63+'Sens-Helper'!J63)+((Assumptions!C7/'Sens-Helper'!N63)+(Assumptions!C25+'Sens-Helper'!H63)+Assumptions!C23+Assumptions!C22+Assumptions!C21+Assumptions!C20))))</f>
        <v>11507140.614807114</v>
      </c>
    </row>
    <row r="23" spans="2:6" x14ac:dyDescent="0.25">
      <c r="B23" s="24">
        <f>Assumptions!C66</f>
        <v>0.13</v>
      </c>
      <c r="C23" s="24" t="s">
        <v>3</v>
      </c>
      <c r="D23" s="11">
        <f>(Assumptions!C11/'Sens-Helper'!N83)*IF(((Assumptions!C60-Assumptions!C43)/(((Assumptions!C16+Assumptions!C17+Assumptions!C18+Assumptions!C19)+'Sens-Helper'!I83+'Sens-Helper'!J83)+((Assumptions!C7/'Sens-Helper'!N83)+(Assumptions!C25+'Sens-Helper'!H83)+Assumptions!C23+Assumptions!C22+Assumptions!C21+Assumptions!C20)))&gt;Assumptions!C13,((Assumptions!C60-Assumptions!C43)+Assumptions!C26*Assumptions!C13)/((((Assumptions!C16+Assumptions!C17+Assumptions!C18+Assumptions!C19)+'Sens-Helper'!I83+'Sens-Helper'!J83)+((Assumptions!C7/'Sens-Helper'!N83)+(Assumptions!C25+'Sens-Helper'!H83)+Assumptions!C23+Assumptions!C22+Assumptions!C21+Assumptions!C20))+Assumptions!C26),((Assumptions!C60-Assumptions!C43)/(((Assumptions!C16+Assumptions!C17+Assumptions!C18+Assumptions!C19)+'Sens-Helper'!I83+'Sens-Helper'!J83)+((Assumptions!C7/'Sens-Helper'!N83)+(Assumptions!C25+'Sens-Helper'!H83)+Assumptions!C23+Assumptions!C22+Assumptions!C21+Assumptions!C20))))</f>
        <v>17384971.14679874</v>
      </c>
      <c r="E23" s="25">
        <f>(Assumptions!C11/'Sens-Helper'!N103)*IF(((Assumptions!C60-Assumptions!C43)/(((Assumptions!C16+Assumptions!C17+Assumptions!C18+Assumptions!C19)+'Sens-Helper'!I103+'Sens-Helper'!J103)+((Assumptions!C7/'Sens-Helper'!N103)+(Assumptions!C25+'Sens-Helper'!H103)+Assumptions!C23+Assumptions!C22+Assumptions!C21+Assumptions!C20)))&gt;Assumptions!C13,((Assumptions!C60-Assumptions!C43)+Assumptions!C26*Assumptions!C13)/((((Assumptions!C16+Assumptions!C17+Assumptions!C18+Assumptions!C19)+'Sens-Helper'!I103+'Sens-Helper'!J103)+((Assumptions!C7/'Sens-Helper'!N103)+(Assumptions!C25+'Sens-Helper'!H103)+Assumptions!C23+Assumptions!C22+Assumptions!C21+Assumptions!C20))+Assumptions!C26),((Assumptions!C60-Assumptions!C43)/(((Assumptions!C16+Assumptions!C17+Assumptions!C18+Assumptions!C19)+'Sens-Helper'!I103+'Sens-Helper'!J103)+((Assumptions!C7/'Sens-Helper'!N103)+(Assumptions!C25+'Sens-Helper'!H103)+Assumptions!C23+Assumptions!C22+Assumptions!C21+Assumptions!C20))))</f>
        <v>14948857.719189344</v>
      </c>
      <c r="F23" s="11">
        <f>(Assumptions!C11/'Sens-Helper'!N123)*IF(((Assumptions!C60-Assumptions!C43)/(((Assumptions!C16+Assumptions!C17+Assumptions!C18+Assumptions!C19)+'Sens-Helper'!I123+'Sens-Helper'!J123)+((Assumptions!C7/'Sens-Helper'!N123)+(Assumptions!C25+'Sens-Helper'!H123)+Assumptions!C23+Assumptions!C22+Assumptions!C21+Assumptions!C20)))&gt;Assumptions!C13,((Assumptions!C60-Assumptions!C43)+Assumptions!C26*Assumptions!C13)/((((Assumptions!C16+Assumptions!C17+Assumptions!C18+Assumptions!C19)+'Sens-Helper'!I123+'Sens-Helper'!J123)+((Assumptions!C7/'Sens-Helper'!N123)+(Assumptions!C25+'Sens-Helper'!H123)+Assumptions!C23+Assumptions!C22+Assumptions!C21+Assumptions!C20))+Assumptions!C26),((Assumptions!C60-Assumptions!C43)/(((Assumptions!C16+Assumptions!C17+Assumptions!C18+Assumptions!C19)+'Sens-Helper'!I123+'Sens-Helper'!J123)+((Assumptions!C7/'Sens-Helper'!N123)+(Assumptions!C25+'Sens-Helper'!H123)+Assumptions!C23+Assumptions!C22+Assumptions!C21+Assumptions!C20))))</f>
        <v>11676568.372096114</v>
      </c>
    </row>
    <row r="24" spans="2:6" x14ac:dyDescent="0.25">
      <c r="B24" s="24">
        <f>Assumptions!C67</f>
        <v>0.15</v>
      </c>
      <c r="C24" s="24" t="s">
        <v>3</v>
      </c>
      <c r="D24" s="11">
        <f>(Assumptions!C11/'Sens-Helper'!N143)*IF(((Assumptions!C60-Assumptions!C43)/(((Assumptions!C16+Assumptions!C17+Assumptions!C18+Assumptions!C19)+'Sens-Helper'!I143+'Sens-Helper'!J143)+((Assumptions!C7/'Sens-Helper'!N143)+(Assumptions!C25+'Sens-Helper'!H143)+Assumptions!C23+Assumptions!C22+Assumptions!C21+Assumptions!C20)))&gt;Assumptions!C13,((Assumptions!C60-Assumptions!C43)+Assumptions!C26*Assumptions!C13)/((((Assumptions!C16+Assumptions!C17+Assumptions!C18+Assumptions!C19)+'Sens-Helper'!I143+'Sens-Helper'!J143)+((Assumptions!C7/'Sens-Helper'!N143)+(Assumptions!C25+'Sens-Helper'!H143)+Assumptions!C23+Assumptions!C22+Assumptions!C21+Assumptions!C20))+Assumptions!C26),((Assumptions!C60-Assumptions!C43)/(((Assumptions!C16+Assumptions!C17+Assumptions!C18+Assumptions!C19)+'Sens-Helper'!I143+'Sens-Helper'!J143)+((Assumptions!C7/'Sens-Helper'!N143)+(Assumptions!C25+'Sens-Helper'!H143)+Assumptions!C23+Assumptions!C22+Assumptions!C21+Assumptions!C20))))</f>
        <v>17795002.427780665</v>
      </c>
      <c r="E24" s="11">
        <f>(Assumptions!C11/'Sens-Helper'!N163)*IF(((Assumptions!C60-Assumptions!C43)/(((Assumptions!C16+Assumptions!C17+Assumptions!C18+Assumptions!C19)+'Sens-Helper'!I163+'Sens-Helper'!J163)+((Assumptions!C7/'Sens-Helper'!N163)+(Assumptions!C25+'Sens-Helper'!H163)+Assumptions!C23+Assumptions!C22+Assumptions!C21+Assumptions!C20)))&gt;Assumptions!C13,((Assumptions!C60-Assumptions!C43)+Assumptions!C26*Assumptions!C13)/((((Assumptions!C16+Assumptions!C17+Assumptions!C18+Assumptions!C19)+'Sens-Helper'!I163+'Sens-Helper'!J163)+((Assumptions!C7/'Sens-Helper'!N163)+(Assumptions!C25+'Sens-Helper'!H163)+Assumptions!C23+Assumptions!C22+Assumptions!C21+Assumptions!C20))+Assumptions!C26),((Assumptions!C60-Assumptions!C43)/(((Assumptions!C16+Assumptions!C17+Assumptions!C18+Assumptions!C19)+'Sens-Helper'!I163+'Sens-Helper'!J163)+((Assumptions!C7/'Sens-Helper'!N163)+(Assumptions!C25+'Sens-Helper'!H163)+Assumptions!C23+Assumptions!C22+Assumptions!C21+Assumptions!C20))))</f>
        <v>15301320.123813462</v>
      </c>
      <c r="F24" s="11">
        <f>(Assumptions!C11/'Sens-Helper'!N183)*IF(((Assumptions!C60-Assumptions!C43)/(((Assumptions!C16+Assumptions!C17+Assumptions!C18+Assumptions!C19)+'Sens-Helper'!I183+'Sens-Helper'!J183)+((Assumptions!C7/'Sens-Helper'!N183)+(Assumptions!C25+'Sens-Helper'!H183)+Assumptions!C23+Assumptions!C22+Assumptions!C21+Assumptions!C20)))&gt;Assumptions!C13,((Assumptions!C60-Assumptions!C43)+Assumptions!C26*Assumptions!C13)/((((Assumptions!C16+Assumptions!C17+Assumptions!C18+Assumptions!C19)+'Sens-Helper'!I183+'Sens-Helper'!J183)+((Assumptions!C7/'Sens-Helper'!N183)+(Assumptions!C25+'Sens-Helper'!H183)+Assumptions!C23+Assumptions!C22+Assumptions!C21+Assumptions!C20))+Assumptions!C26),((Assumptions!C60-Assumptions!C43)/(((Assumptions!C16+Assumptions!C17+Assumptions!C18+Assumptions!C19)+'Sens-Helper'!I183+'Sens-Helper'!J183)+((Assumptions!C7/'Sens-Helper'!N183)+(Assumptions!C25+'Sens-Helper'!H183)+Assumptions!C23+Assumptions!C22+Assumptions!C21+Assumptions!C20))))</f>
        <v>11951761.826049441</v>
      </c>
    </row>
    <row r="27" spans="2:2" x14ac:dyDescent="0.25">
      <c r="B27" s="18" t="s">
        <v>214</v>
      </c>
    </row>
    <row r="28" spans="2:2" x14ac:dyDescent="0.25">
      <c r="B28" s="18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8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7" max="7" width="6.455" customWidth="1"/>
    <col min="16" max="17" width="10.205" customWidth="1"/>
  </cols>
  <sheetData>
    <row r="2" ht="18" customHeight="1" spans="2:18" x14ac:dyDescent="0.25">
      <c r="B2" s="1" t="s">
        <v>216</v>
      </c>
      <c r="G2" s="3" t="s">
        <v>217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</row>
    <row r="3" spans="2:18" x14ac:dyDescent="0.25">
      <c r="B3" s="2" t="s">
        <v>218</v>
      </c>
      <c r="G3" s="16" t="s">
        <v>184</v>
      </c>
      <c r="H3" s="16" t="s">
        <v>185</v>
      </c>
      <c r="I3" s="16" t="s">
        <v>186</v>
      </c>
      <c r="J3" s="16" t="s">
        <v>187</v>
      </c>
      <c r="K3" s="16" t="s">
        <v>188</v>
      </c>
      <c r="L3" s="16" t="s">
        <v>189</v>
      </c>
      <c r="M3" s="16" t="s">
        <v>190</v>
      </c>
      <c r="N3" s="16" t="s">
        <v>191</v>
      </c>
      <c r="O3" s="16" t="s">
        <v>192</v>
      </c>
      <c r="P3" s="16" t="s">
        <v>193</v>
      </c>
      <c r="Q3" s="16" t="s">
        <v>194</v>
      </c>
      <c r="R3" s="16" t="s">
        <v>195</v>
      </c>
    </row>
    <row r="4" spans="7:18" x14ac:dyDescent="0.25">
      <c r="G4" s="10">
        <v>0</v>
      </c>
      <c r="H4" s="10">
        <f>Assumptions!C6/Assumptions!C28</f>
        <v>38.23260393990807</v>
      </c>
      <c r="I4" s="10">
        <f>IF(H4&lt;Assumptions!C35,Assumptions!C35*(Assumptions!C28+Assumptions!C7/Assumptions!C35)/(Assumptions!C28+Assumptions!C7/H4),Assumptions!C35)</f>
        <v>57.7011635791589</v>
      </c>
      <c r="J4" s="10">
        <f>IF(H4&lt;Assumptions!C36,Assumptions!C36*(Assumptions!C28+Assumptions!C7/Assumptions!C36)/(Assumptions!C28+Assumptions!C7/H4),Assumptions!C36)</f>
        <v>48.92910036237569</v>
      </c>
      <c r="K4" s="10">
        <f>Assumptions!C24*(Assumptions!C35/I4-1)</f>
        <v>12440.252731936758</v>
      </c>
      <c r="L4" s="10">
        <f>Assumptions!C25*(Assumptions!C36/J4-1)</f>
        <v>28588.2263094802</v>
      </c>
      <c r="M4" s="10">
        <f>Assumptions!C48/MIN((Assumptions!C49/(Assumptions!C28+0+K4+L4+0)),(H4*(1-Assumptions!C50)))</f>
        <v>183294.94739520707</v>
      </c>
      <c r="N4" s="10">
        <f>Assumptions!C51/MIN((Assumptions!C52/(Assumptions!C28+0+K4+L4+M4)),(H4*(1-Assumptions!C53)))</f>
        <v>92314.18739495797</v>
      </c>
      <c r="O4" s="10">
        <f>MAX(0,(Assumptions!C10*(Assumptions!C28+K4+L4+M4+N4+Assumptions!C7/H4)-Assumptions!C55)/(1-Assumptions!C10))</f>
        <v>584871.2607695793</v>
      </c>
      <c r="P4" s="10">
        <f>Assumptions!C28+O4+K4+L4+M4+N4</f>
        <v>37519469.874601156</v>
      </c>
      <c r="Q4" s="10">
        <f>P4+Assumptions!C7/H4</f>
        <v>38304140.4674583</v>
      </c>
      <c r="R4" s="10">
        <f>Assumptions!C6/P4</f>
        <v>37.31396005005208</v>
      </c>
    </row>
    <row r="5" spans="7:18" x14ac:dyDescent="0.25">
      <c r="G5" s="10">
        <v>1</v>
      </c>
      <c r="H5" s="10">
        <f>R4</f>
        <v>37.31396005005208</v>
      </c>
      <c r="I5" s="10">
        <f>IF(H5&lt;Assumptions!C35,Assumptions!C35*(Assumptions!C28+Assumptions!C7/Assumptions!C35)/(Assumptions!C28+Assumptions!C7/H5),Assumptions!C35)</f>
        <v>57.67137694808414</v>
      </c>
      <c r="J5" s="10">
        <f>IF(H5&lt;Assumptions!C36,Assumptions!C36*(Assumptions!C28+Assumptions!C7/Assumptions!C36)/(Assumptions!C28+Assumptions!C7/H5),Assumptions!C36)</f>
        <v>48.90384206651282</v>
      </c>
      <c r="K5" s="10">
        <f>Assumptions!C24*(Assumptions!C35/I5-1)</f>
        <v>13335.362882182359</v>
      </c>
      <c r="L5" s="10">
        <f>Assumptions!C25*(Assumptions!C36/J5-1)</f>
        <v>31754.952112050545</v>
      </c>
      <c r="M5" s="10">
        <f>Assumptions!C48/MIN((Assumptions!C49/(Assumptions!C28+O4+K5+L5+N4)),(H5*(1-Assumptions!C50)))</f>
        <v>186701.18381579386</v>
      </c>
      <c r="N5" s="10">
        <f>Assumptions!C51/MIN((Assumptions!C52/(Assumptions!C28+O4+K5+L5+M5)),(H5*(1-Assumptions!C53)))</f>
        <v>94586.89884353233</v>
      </c>
      <c r="O5" s="10">
        <f>MAX(0,(Assumptions!C10*(Assumptions!C28+K5+L5+M5+N5+Assumptions!C7/H5)-Assumptions!C55)/(1-Assumptions!C10))</f>
        <v>589213.3849621426</v>
      </c>
      <c r="P5" s="10">
        <f>Assumptions!C28+O5+K5+L5+M5+N5</f>
        <v>37533552.7826157</v>
      </c>
      <c r="Q5" s="10">
        <f>P5+Assumptions!C7/H5</f>
        <v>38337541.42278572</v>
      </c>
      <c r="R5" s="10">
        <f>Assumptions!C6/P5</f>
        <v>37.29995953509719</v>
      </c>
    </row>
    <row r="6" spans="7:18" x14ac:dyDescent="0.25">
      <c r="G6" s="10">
        <v>2</v>
      </c>
      <c r="H6" s="10">
        <f>R5</f>
        <v>37.29995953509719</v>
      </c>
      <c r="I6" s="10">
        <f>IF(H6&lt;Assumptions!C35,Assumptions!C35*(Assumptions!C28+Assumptions!C7/Assumptions!C35)/(Assumptions!C28+Assumptions!C7/H6),Assumptions!C35)</f>
        <v>57.670911880606575</v>
      </c>
      <c r="J6" s="10">
        <f>IF(H6&lt;Assumptions!C36,Assumptions!C36*(Assumptions!C28+Assumptions!C7/Assumptions!C36)/(Assumptions!C28+Assumptions!C7/H6),Assumptions!C36)</f>
        <v>48.90344770127175</v>
      </c>
      <c r="K6" s="10">
        <f>Assumptions!C24*(Assumptions!C35/I6-1)</f>
        <v>13349.345832615963</v>
      </c>
      <c r="L6" s="10">
        <f>Assumptions!C25*(Assumptions!C36/J6-1)</f>
        <v>31804.421073967675</v>
      </c>
      <c r="M6" s="10">
        <f>Assumptions!C48/MIN((Assumptions!C49/(Assumptions!C28+O5+K6+L6+N5)),(H6*(1-Assumptions!C50)))</f>
        <v>186734.5752535613</v>
      </c>
      <c r="N6" s="10">
        <f>Assumptions!C51/MIN((Assumptions!C52/(Assumptions!C28+O5+K6+L6+M6)),(H6*(1-Assumptions!C53)))</f>
        <v>94622.40197298075</v>
      </c>
      <c r="O6" s="10">
        <f>MAX(0,(Assumptions!C10*(Assumptions!C28+K6+L6+M6+N6+Assumptions!C7/H6)-Assumptions!C55)/(1-Assumptions!C10))</f>
        <v>589278.2539281023</v>
      </c>
      <c r="P6" s="10">
        <f>Assumptions!C28+O6+K6+L6+M6+N6</f>
        <v>37533749.998061225</v>
      </c>
      <c r="Q6" s="10">
        <f>P6+Assumptions!C7/H6</f>
        <v>38338040.414831564</v>
      </c>
      <c r="R6" s="10">
        <f>Assumptions!C6/P6</f>
        <v>37.2997635480685</v>
      </c>
    </row>
    <row r="7" spans="7:18" x14ac:dyDescent="0.25">
      <c r="G7" s="10">
        <v>3</v>
      </c>
      <c r="H7" s="10">
        <f>R6</f>
        <v>37.2997635480685</v>
      </c>
      <c r="I7" s="10">
        <f>IF(H7&lt;Assumptions!C35,Assumptions!C35*(Assumptions!C28+Assumptions!C7/Assumptions!C35)/(Assumptions!C28+Assumptions!C7/H7),Assumptions!C35)</f>
        <v>57.67090536790766</v>
      </c>
      <c r="J7" s="10">
        <f>IF(H7&lt;Assumptions!C36,Assumptions!C36*(Assumptions!C28+Assumptions!C7/Assumptions!C36)/(Assumptions!C28+Assumptions!C7/H7),Assumptions!C36)</f>
        <v>48.903442178670836</v>
      </c>
      <c r="K7" s="10">
        <f>Assumptions!C24*(Assumptions!C35/I7-1)</f>
        <v>13349.541648266975</v>
      </c>
      <c r="L7" s="10">
        <f>Assumptions!C25*(Assumptions!C36/J7-1)</f>
        <v>31805.113831695413</v>
      </c>
      <c r="M7" s="10">
        <f>Assumptions!C48/MIN((Assumptions!C49/(Assumptions!C28+O6+K7+L7+N6)),(H7*(1-Assumptions!C50)))</f>
        <v>186735.0815569052</v>
      </c>
      <c r="N7" s="10">
        <f>Assumptions!C51/MIN((Assumptions!C52/(Assumptions!C28+O6+K7+L7+M7)),(H7*(1-Assumptions!C53)))</f>
        <v>94622.89915477618</v>
      </c>
      <c r="O7" s="10">
        <f>MAX(0,(Assumptions!C10*(Assumptions!C28+K7+L7+M7+N7+Assumptions!C7/H7)-Assumptions!C55)/(1-Assumptions!C10))</f>
        <v>589279.1681275207</v>
      </c>
      <c r="P7" s="10">
        <f>Assumptions!C28+O7+K7+L7+M7+N7</f>
        <v>37533752.80431916</v>
      </c>
      <c r="Q7" s="10">
        <f>P7+Assumptions!C7/H7</f>
        <v>38338047.447134756</v>
      </c>
      <c r="R7" s="10">
        <f>Assumptions!C6/P7</f>
        <v>37.29976075930506</v>
      </c>
    </row>
    <row r="8" spans="7:18" x14ac:dyDescent="0.25">
      <c r="G8" s="10">
        <v>4</v>
      </c>
      <c r="H8" s="10">
        <f>R7</f>
        <v>37.29976075930506</v>
      </c>
      <c r="I8" s="10">
        <f>IF(H8&lt;Assumptions!C35,Assumptions!C35*(Assumptions!C28+Assumptions!C7/Assumptions!C35)/(Assumptions!C28+Assumptions!C7/H8),Assumptions!C35)</f>
        <v>57.67090527523586</v>
      </c>
      <c r="J8" s="10">
        <f>IF(H8&lt;Assumptions!C36,Assumptions!C36*(Assumptions!C28+Assumptions!C7/Assumptions!C36)/(Assumptions!C28+Assumptions!C7/H8),Assumptions!C36)</f>
        <v>48.90344210008754</v>
      </c>
      <c r="K8" s="10">
        <f>Assumptions!C24*(Assumptions!C35/I8-1)</f>
        <v>13349.544434606807</v>
      </c>
      <c r="L8" s="10">
        <f>Assumptions!C25*(Assumptions!C36/J8-1)</f>
        <v>31805.12368922357</v>
      </c>
      <c r="M8" s="10">
        <f>Assumptions!C48/MIN((Assumptions!C49/(Assumptions!C28+O7+K8+L8+N7)),(H8*(1-Assumptions!C50)))</f>
        <v>186735.08867703064</v>
      </c>
      <c r="N8" s="10">
        <f>Assumptions!C51/MIN((Assumptions!C52/(Assumptions!C28+O7+K8+L8+M8)),(H8*(1-Assumptions!C53)))</f>
        <v>94622.90622937604</v>
      </c>
      <c r="O8" s="10">
        <f>MAX(0,(Assumptions!C10*(Assumptions!C28+K8+L8+M8+N8+Assumptions!C7/H8)-Assumptions!C55)/(1-Assumptions!C10))</f>
        <v>589279.1811234391</v>
      </c>
      <c r="P8" s="10">
        <f>Assumptions!C28+O8+K8+L8+M8+N8</f>
        <v>37533752.844153665</v>
      </c>
      <c r="Q8" s="10">
        <f>P8+Assumptions!C7/H8</f>
        <v>38338047.54710336</v>
      </c>
      <c r="R8" s="10">
        <f>Assumptions!C6/P8</f>
        <v>37.29976071971889</v>
      </c>
    </row>
    <row r="9" spans="7:18" x14ac:dyDescent="0.25">
      <c r="G9" s="10">
        <v>5</v>
      </c>
      <c r="H9" s="10">
        <f>R8</f>
        <v>37.29976071971889</v>
      </c>
      <c r="I9" s="10">
        <f>IF(H9&lt;Assumptions!C35,Assumptions!C35*(Assumptions!C28+Assumptions!C7/Assumptions!C35)/(Assumptions!C28+Assumptions!C7/H9),Assumptions!C35)</f>
        <v>57.6709052739204</v>
      </c>
      <c r="J9" s="10">
        <f>IF(H9&lt;Assumptions!C36,Assumptions!C36*(Assumptions!C28+Assumptions!C7/Assumptions!C36)/(Assumptions!C28+Assumptions!C7/H9),Assumptions!C36)</f>
        <v>48.90344209897206</v>
      </c>
      <c r="K9" s="10">
        <f>Assumptions!C24*(Assumptions!C35/I9-1)</f>
        <v>13349.544474158343</v>
      </c>
      <c r="L9" s="10">
        <f>Assumptions!C25*(Assumptions!C36/J9-1)</f>
        <v>31805.12382914979</v>
      </c>
      <c r="M9" s="10">
        <f>Assumptions!C48/MIN((Assumptions!C49/(Assumptions!C28+O8+K9+L9+N8)),(H9*(1-Assumptions!C50)))</f>
        <v>186735.08877828057</v>
      </c>
      <c r="N9" s="10">
        <f>Assumptions!C51/MIN((Assumptions!C52/(Assumptions!C28+O8+K9+L9+M9)),(H9*(1-Assumptions!C53)))</f>
        <v>94622.90632979915</v>
      </c>
      <c r="O9" s="10">
        <f>MAX(0,(Assumptions!C10*(Assumptions!C28+K9+L9+M9+N9+Assumptions!C7/H9)-Assumptions!C55)/(1-Assumptions!C10))</f>
        <v>589279.1813079397</v>
      </c>
      <c r="P9" s="10">
        <f>Assumptions!C28+O9+K9+L9+M9+N9</f>
        <v>37533752.84471933</v>
      </c>
      <c r="Q9" s="10">
        <f>P9+Assumptions!C7/H9</f>
        <v>38338047.54852262</v>
      </c>
      <c r="R9" s="10">
        <f>Assumptions!C6/P9</f>
        <v>37.29976071915675</v>
      </c>
    </row>
    <row r="10" spans="7:18" x14ac:dyDescent="0.25">
      <c r="G10" s="10">
        <v>6</v>
      </c>
      <c r="H10" s="10">
        <f>R9</f>
        <v>37.29976071915675</v>
      </c>
      <c r="I10" s="10">
        <f>IF(H10&lt;Assumptions!C35,Assumptions!C35*(Assumptions!C28+Assumptions!C7/Assumptions!C35)/(Assumptions!C28+Assumptions!C7/H10),Assumptions!C35)</f>
        <v>57.67090527390171</v>
      </c>
      <c r="J10" s="10">
        <f>IF(H10&lt;Assumptions!C36,Assumptions!C36*(Assumptions!C28+Assumptions!C7/Assumptions!C36)/(Assumptions!C28+Assumptions!C7/H10),Assumptions!C36)</f>
        <v>48.90344209895621</v>
      </c>
      <c r="K10" s="10">
        <f>Assumptions!C24*(Assumptions!C35/I10-1)</f>
        <v>13349.544474719956</v>
      </c>
      <c r="L10" s="10">
        <f>Assumptions!C25*(Assumptions!C36/J10-1)</f>
        <v>31805.12383113743</v>
      </c>
      <c r="M10" s="10">
        <f>Assumptions!C48/MIN((Assumptions!C49/(Assumptions!C28+O9+K10+L10+N9)),(H10*(1-Assumptions!C50)))</f>
        <v>186735.08877971797</v>
      </c>
      <c r="N10" s="10">
        <f>Assumptions!C51/MIN((Assumptions!C52/(Assumptions!C28+O9+K10+L10+M10)),(H10*(1-Assumptions!C53)))</f>
        <v>94622.9063312252</v>
      </c>
      <c r="O10" s="10">
        <f>MAX(0,(Assumptions!C10*(Assumptions!C28+K10+L10+M10+N10+Assumptions!C7/H10)-Assumptions!C55)/(1-Assumptions!C10))</f>
        <v>589279.1813105597</v>
      </c>
      <c r="P10" s="10">
        <f>Assumptions!C28+O10+K10+L10+M10+N10</f>
        <v>37533752.84472735</v>
      </c>
      <c r="Q10" s="10">
        <f>P10+Assumptions!C7/H10</f>
        <v>38338047.54854277</v>
      </c>
      <c r="R10" s="10">
        <f>Assumptions!C6/P10</f>
        <v>37.29976071914878</v>
      </c>
    </row>
    <row r="11" spans="7:18" x14ac:dyDescent="0.25">
      <c r="G11" s="10">
        <v>7</v>
      </c>
      <c r="H11" s="10">
        <f>R10</f>
        <v>37.29976071914878</v>
      </c>
      <c r="I11" s="10">
        <f>IF(H11&lt;Assumptions!C35,Assumptions!C35*(Assumptions!C28+Assumptions!C7/Assumptions!C35)/(Assumptions!C28+Assumptions!C7/H11),Assumptions!C35)</f>
        <v>57.67090527390144</v>
      </c>
      <c r="J11" s="10">
        <f>IF(H11&lt;Assumptions!C36,Assumptions!C36*(Assumptions!C28+Assumptions!C7/Assumptions!C36)/(Assumptions!C28+Assumptions!C7/H11),Assumptions!C36)</f>
        <v>48.903442098955985</v>
      </c>
      <c r="K11" s="10">
        <f>Assumptions!C24*(Assumptions!C35/I11-1)</f>
        <v>13349.544474728387</v>
      </c>
      <c r="L11" s="10">
        <f>Assumptions!C25*(Assumptions!C36/J11-1)</f>
        <v>31805.123831165503</v>
      </c>
      <c r="M11" s="10">
        <f>Assumptions!C48/MIN((Assumptions!C49/(Assumptions!C28+O10+K11+L11+N10)),(H11*(1-Assumptions!C50)))</f>
        <v>186735.08877973835</v>
      </c>
      <c r="N11" s="10">
        <f>Assumptions!C51/MIN((Assumptions!C52/(Assumptions!C28+O10+K11+L11+M11)),(H11*(1-Assumptions!C53)))</f>
        <v>94622.90633124542</v>
      </c>
      <c r="O11" s="10">
        <f>MAX(0,(Assumptions!C10*(Assumptions!C28+K11+L11+M11+N11+Assumptions!C7/H11)-Assumptions!C55)/(1-Assumptions!C10))</f>
        <v>589279.1813105989</v>
      </c>
      <c r="P11" s="10">
        <f>Assumptions!C28+O11+K11+L11+M11+N11</f>
        <v>37533752.84472749</v>
      </c>
      <c r="Q11" s="10">
        <f>P11+Assumptions!C7/H11</f>
        <v>38338047.54854307</v>
      </c>
      <c r="R11" s="10">
        <f>Assumptions!C6/P11</f>
        <v>37.299760719148644</v>
      </c>
    </row>
    <row r="12" spans="7:18" x14ac:dyDescent="0.25">
      <c r="G12" s="10">
        <v>8</v>
      </c>
      <c r="H12" s="10">
        <f>R11</f>
        <v>37.299760719148644</v>
      </c>
      <c r="I12" s="10">
        <f>IF(H12&lt;Assumptions!C35,Assumptions!C35*(Assumptions!C28+Assumptions!C7/Assumptions!C35)/(Assumptions!C28+Assumptions!C7/H12),Assumptions!C35)</f>
        <v>57.67090527390144</v>
      </c>
      <c r="J12" s="10">
        <f>IF(H12&lt;Assumptions!C36,Assumptions!C36*(Assumptions!C28+Assumptions!C7/Assumptions!C36)/(Assumptions!C28+Assumptions!C7/H12),Assumptions!C36)</f>
        <v>48.903442098955985</v>
      </c>
      <c r="K12" s="10">
        <f>Assumptions!C24*(Assumptions!C35/I12-1)</f>
        <v>13349.544474728387</v>
      </c>
      <c r="L12" s="10">
        <f>Assumptions!C25*(Assumptions!C36/J12-1)</f>
        <v>31805.123831165503</v>
      </c>
      <c r="M12" s="10">
        <f>Assumptions!C48/MIN((Assumptions!C49/(Assumptions!C28+O11+K12+L12+N11)),(H12*(1-Assumptions!C50)))</f>
        <v>186735.08877973875</v>
      </c>
      <c r="N12" s="10">
        <f>Assumptions!C51/MIN((Assumptions!C52/(Assumptions!C28+O11+K12+L12+M12)),(H12*(1-Assumptions!C53)))</f>
        <v>94622.90633124577</v>
      </c>
      <c r="O12" s="10">
        <f>MAX(0,(Assumptions!C10*(Assumptions!C28+K12+L12+M12+N12+Assumptions!C7/H12)-Assumptions!C55)/(1-Assumptions!C10))</f>
        <v>589279.1813105989</v>
      </c>
      <c r="P12" s="10">
        <f>Assumptions!C28+O12+K12+L12+M12+N12</f>
        <v>37533752.84472749</v>
      </c>
      <c r="Q12" s="10">
        <f>P12+Assumptions!C7/H12</f>
        <v>38338047.54854308</v>
      </c>
      <c r="R12" s="10">
        <f>Assumptions!C6/P12</f>
        <v>37.299760719148644</v>
      </c>
    </row>
    <row r="13" spans="7:18" x14ac:dyDescent="0.25">
      <c r="G13" s="10">
        <v>9</v>
      </c>
      <c r="H13" s="10">
        <f>R12</f>
        <v>37.299760719148644</v>
      </c>
      <c r="I13" s="10">
        <f>IF(H13&lt;Assumptions!C35,Assumptions!C35*(Assumptions!C28+Assumptions!C7/Assumptions!C35)/(Assumptions!C28+Assumptions!C7/H13),Assumptions!C35)</f>
        <v>57.67090527390144</v>
      </c>
      <c r="J13" s="10">
        <f>IF(H13&lt;Assumptions!C36,Assumptions!C36*(Assumptions!C28+Assumptions!C7/Assumptions!C36)/(Assumptions!C28+Assumptions!C7/H13),Assumptions!C36)</f>
        <v>48.903442098955985</v>
      </c>
      <c r="K13" s="10">
        <f>Assumptions!C24*(Assumptions!C35/I13-1)</f>
        <v>13349.544474728387</v>
      </c>
      <c r="L13" s="10">
        <f>Assumptions!C25*(Assumptions!C36/J13-1)</f>
        <v>31805.123831165503</v>
      </c>
      <c r="M13" s="10">
        <f>Assumptions!C48/MIN((Assumptions!C49/(Assumptions!C28+O12+K13+L13+N12)),(H13*(1-Assumptions!C50)))</f>
        <v>186735.08877973875</v>
      </c>
      <c r="N13" s="10">
        <f>Assumptions!C51/MIN((Assumptions!C52/(Assumptions!C28+O12+K13+L13+M13)),(H13*(1-Assumptions!C53)))</f>
        <v>94622.90633124577</v>
      </c>
      <c r="O13" s="10">
        <f>MAX(0,(Assumptions!C10*(Assumptions!C28+K13+L13+M13+N13+Assumptions!C7/H13)-Assumptions!C55)/(1-Assumptions!C10))</f>
        <v>589279.1813105989</v>
      </c>
      <c r="P13" s="10">
        <f>Assumptions!C28+O13+K13+L13+M13+N13</f>
        <v>37533752.84472749</v>
      </c>
      <c r="Q13" s="10">
        <f>P13+Assumptions!C7/H13</f>
        <v>38338047.54854308</v>
      </c>
      <c r="R13" s="10">
        <f>Assumptions!C6/P13</f>
        <v>37.299760719148644</v>
      </c>
    </row>
    <row r="14" spans="7:18" x14ac:dyDescent="0.25">
      <c r="G14" s="10">
        <v>10</v>
      </c>
      <c r="H14" s="10">
        <f>R13</f>
        <v>37.299760719148644</v>
      </c>
      <c r="I14" s="10">
        <f>IF(H14&lt;Assumptions!C35,Assumptions!C35*(Assumptions!C28+Assumptions!C7/Assumptions!C35)/(Assumptions!C28+Assumptions!C7/H14),Assumptions!C35)</f>
        <v>57.67090527390144</v>
      </c>
      <c r="J14" s="10">
        <f>IF(H14&lt;Assumptions!C36,Assumptions!C36*(Assumptions!C28+Assumptions!C7/Assumptions!C36)/(Assumptions!C28+Assumptions!C7/H14),Assumptions!C36)</f>
        <v>48.903442098955985</v>
      </c>
      <c r="K14" s="10">
        <f>Assumptions!C24*(Assumptions!C35/I14-1)</f>
        <v>13349.544474728387</v>
      </c>
      <c r="L14" s="10">
        <f>Assumptions!C25*(Assumptions!C36/J14-1)</f>
        <v>31805.123831165503</v>
      </c>
      <c r="M14" s="10">
        <f>Assumptions!C48/MIN((Assumptions!C49/(Assumptions!C28+O13+K14+L14+N13)),(H14*(1-Assumptions!C50)))</f>
        <v>186735.08877973875</v>
      </c>
      <c r="N14" s="10">
        <f>Assumptions!C51/MIN((Assumptions!C52/(Assumptions!C28+O13+K14+L14+M14)),(H14*(1-Assumptions!C53)))</f>
        <v>94622.90633124577</v>
      </c>
      <c r="O14" s="10">
        <f>MAX(0,(Assumptions!C10*(Assumptions!C28+K14+L14+M14+N14+Assumptions!C7/H14)-Assumptions!C55)/(1-Assumptions!C10))</f>
        <v>589279.1813105989</v>
      </c>
      <c r="P14" s="10">
        <f>Assumptions!C28+O14+K14+L14+M14+N14</f>
        <v>37533752.84472749</v>
      </c>
      <c r="Q14" s="10">
        <f>P14+Assumptions!C7/H14</f>
        <v>38338047.54854308</v>
      </c>
      <c r="R14" s="10">
        <f>Assumptions!C6/P14</f>
        <v>37.299760719148644</v>
      </c>
    </row>
    <row r="15" spans="7:18" x14ac:dyDescent="0.25">
      <c r="G15" s="10">
        <v>11</v>
      </c>
      <c r="H15" s="10">
        <f>R14</f>
        <v>37.299760719148644</v>
      </c>
      <c r="I15" s="10">
        <f>IF(H15&lt;Assumptions!C35,Assumptions!C35*(Assumptions!C28+Assumptions!C7/Assumptions!C35)/(Assumptions!C28+Assumptions!C7/H15),Assumptions!C35)</f>
        <v>57.67090527390144</v>
      </c>
      <c r="J15" s="10">
        <f>IF(H15&lt;Assumptions!C36,Assumptions!C36*(Assumptions!C28+Assumptions!C7/Assumptions!C36)/(Assumptions!C28+Assumptions!C7/H15),Assumptions!C36)</f>
        <v>48.903442098955985</v>
      </c>
      <c r="K15" s="10">
        <f>Assumptions!C24*(Assumptions!C35/I15-1)</f>
        <v>13349.544474728387</v>
      </c>
      <c r="L15" s="10">
        <f>Assumptions!C25*(Assumptions!C36/J15-1)</f>
        <v>31805.123831165503</v>
      </c>
      <c r="M15" s="10">
        <f>Assumptions!C48/MIN((Assumptions!C49/(Assumptions!C28+O14+K15+L15+N14)),(H15*(1-Assumptions!C50)))</f>
        <v>186735.08877973875</v>
      </c>
      <c r="N15" s="10">
        <f>Assumptions!C51/MIN((Assumptions!C52/(Assumptions!C28+O14+K15+L15+M15)),(H15*(1-Assumptions!C53)))</f>
        <v>94622.90633124577</v>
      </c>
      <c r="O15" s="10">
        <f>MAX(0,(Assumptions!C10*(Assumptions!C28+K15+L15+M15+N15+Assumptions!C7/H15)-Assumptions!C55)/(1-Assumptions!C10))</f>
        <v>589279.1813105989</v>
      </c>
      <c r="P15" s="10">
        <f>Assumptions!C28+O15+K15+L15+M15+N15</f>
        <v>37533752.84472749</v>
      </c>
      <c r="Q15" s="10">
        <f>P15+Assumptions!C7/H15</f>
        <v>38338047.54854308</v>
      </c>
      <c r="R15" s="10">
        <f>Assumptions!C6/P15</f>
        <v>37.299760719148644</v>
      </c>
    </row>
    <row r="16" spans="7:18" x14ac:dyDescent="0.25">
      <c r="G16" s="10">
        <v>12</v>
      </c>
      <c r="H16" s="10">
        <f>R15</f>
        <v>37.299760719148644</v>
      </c>
      <c r="I16" s="10">
        <f>IF(H16&lt;Assumptions!C35,Assumptions!C35*(Assumptions!C28+Assumptions!C7/Assumptions!C35)/(Assumptions!C28+Assumptions!C7/H16),Assumptions!C35)</f>
        <v>57.67090527390144</v>
      </c>
      <c r="J16" s="10">
        <f>IF(H16&lt;Assumptions!C36,Assumptions!C36*(Assumptions!C28+Assumptions!C7/Assumptions!C36)/(Assumptions!C28+Assumptions!C7/H16),Assumptions!C36)</f>
        <v>48.903442098955985</v>
      </c>
      <c r="K16" s="10">
        <f>Assumptions!C24*(Assumptions!C35/I16-1)</f>
        <v>13349.544474728387</v>
      </c>
      <c r="L16" s="10">
        <f>Assumptions!C25*(Assumptions!C36/J16-1)</f>
        <v>31805.123831165503</v>
      </c>
      <c r="M16" s="10">
        <f>Assumptions!C48/MIN((Assumptions!C49/(Assumptions!C28+O15+K16+L16+N15)),(H16*(1-Assumptions!C50)))</f>
        <v>186735.08877973875</v>
      </c>
      <c r="N16" s="10">
        <f>Assumptions!C51/MIN((Assumptions!C52/(Assumptions!C28+O15+K16+L16+M16)),(H16*(1-Assumptions!C53)))</f>
        <v>94622.90633124577</v>
      </c>
      <c r="O16" s="10">
        <f>MAX(0,(Assumptions!C10*(Assumptions!C28+K16+L16+M16+N16+Assumptions!C7/H16)-Assumptions!C55)/(1-Assumptions!C10))</f>
        <v>589279.1813105989</v>
      </c>
      <c r="P16" s="10">
        <f>Assumptions!C28+O16+K16+L16+M16+N16</f>
        <v>37533752.84472749</v>
      </c>
      <c r="Q16" s="10">
        <f>P16+Assumptions!C7/H16</f>
        <v>38338047.54854308</v>
      </c>
      <c r="R16" s="10">
        <f>Assumptions!C6/P16</f>
        <v>37.299760719148644</v>
      </c>
    </row>
    <row r="17" spans="7:18" x14ac:dyDescent="0.25">
      <c r="G17" s="10">
        <v>13</v>
      </c>
      <c r="H17" s="10">
        <f>R16</f>
        <v>37.299760719148644</v>
      </c>
      <c r="I17" s="10">
        <f>IF(H17&lt;Assumptions!C35,Assumptions!C35*(Assumptions!C28+Assumptions!C7/Assumptions!C35)/(Assumptions!C28+Assumptions!C7/H17),Assumptions!C35)</f>
        <v>57.67090527390144</v>
      </c>
      <c r="J17" s="10">
        <f>IF(H17&lt;Assumptions!C36,Assumptions!C36*(Assumptions!C28+Assumptions!C7/Assumptions!C36)/(Assumptions!C28+Assumptions!C7/H17),Assumptions!C36)</f>
        <v>48.903442098955985</v>
      </c>
      <c r="K17" s="10">
        <f>Assumptions!C24*(Assumptions!C35/I17-1)</f>
        <v>13349.544474728387</v>
      </c>
      <c r="L17" s="10">
        <f>Assumptions!C25*(Assumptions!C36/J17-1)</f>
        <v>31805.123831165503</v>
      </c>
      <c r="M17" s="10">
        <f>Assumptions!C48/MIN((Assumptions!C49/(Assumptions!C28+O16+K17+L17+N16)),(H17*(1-Assumptions!C50)))</f>
        <v>186735.08877973875</v>
      </c>
      <c r="N17" s="10">
        <f>Assumptions!C51/MIN((Assumptions!C52/(Assumptions!C28+O16+K17+L17+M17)),(H17*(1-Assumptions!C53)))</f>
        <v>94622.90633124577</v>
      </c>
      <c r="O17" s="10">
        <f>MAX(0,(Assumptions!C10*(Assumptions!C28+K17+L17+M17+N17+Assumptions!C7/H17)-Assumptions!C55)/(1-Assumptions!C10))</f>
        <v>589279.1813105989</v>
      </c>
      <c r="P17" s="10">
        <f>Assumptions!C28+O17+K17+L17+M17+N17</f>
        <v>37533752.84472749</v>
      </c>
      <c r="Q17" s="10">
        <f>P17+Assumptions!C7/H17</f>
        <v>38338047.54854308</v>
      </c>
      <c r="R17" s="10">
        <f>Assumptions!C6/P17</f>
        <v>37.299760719148644</v>
      </c>
    </row>
    <row r="18" spans="7:18" x14ac:dyDescent="0.25">
      <c r="G18" s="10">
        <v>14</v>
      </c>
      <c r="H18" s="10">
        <f>R17</f>
        <v>37.299760719148644</v>
      </c>
      <c r="I18" s="10">
        <f>IF(H18&lt;Assumptions!C35,Assumptions!C35*(Assumptions!C28+Assumptions!C7/Assumptions!C35)/(Assumptions!C28+Assumptions!C7/H18),Assumptions!C35)</f>
        <v>57.67090527390144</v>
      </c>
      <c r="J18" s="10">
        <f>IF(H18&lt;Assumptions!C36,Assumptions!C36*(Assumptions!C28+Assumptions!C7/Assumptions!C36)/(Assumptions!C28+Assumptions!C7/H18),Assumptions!C36)</f>
        <v>48.903442098955985</v>
      </c>
      <c r="K18" s="10">
        <f>Assumptions!C24*(Assumptions!C35/I18-1)</f>
        <v>13349.544474728387</v>
      </c>
      <c r="L18" s="10">
        <f>Assumptions!C25*(Assumptions!C36/J18-1)</f>
        <v>31805.123831165503</v>
      </c>
      <c r="M18" s="10">
        <f>Assumptions!C48/MIN((Assumptions!C49/(Assumptions!C28+O17+K18+L18+N17)),(H18*(1-Assumptions!C50)))</f>
        <v>186735.08877973875</v>
      </c>
      <c r="N18" s="10">
        <f>Assumptions!C51/MIN((Assumptions!C52/(Assumptions!C28+O17+K18+L18+M18)),(H18*(1-Assumptions!C53)))</f>
        <v>94622.90633124577</v>
      </c>
      <c r="O18" s="10">
        <f>MAX(0,(Assumptions!C10*(Assumptions!C28+K18+L18+M18+N18+Assumptions!C7/H18)-Assumptions!C55)/(1-Assumptions!C10))</f>
        <v>589279.1813105989</v>
      </c>
      <c r="P18" s="10">
        <f>Assumptions!C28+O18+K18+L18+M18+N18</f>
        <v>37533752.84472749</v>
      </c>
      <c r="Q18" s="10">
        <f>P18+Assumptions!C7/H18</f>
        <v>38338047.54854308</v>
      </c>
      <c r="R18" s="10">
        <f>Assumptions!C6/P18</f>
        <v>37.299760719148644</v>
      </c>
    </row>
    <row r="19" spans="7:18" x14ac:dyDescent="0.25">
      <c r="G19" s="10">
        <v>15</v>
      </c>
      <c r="H19" s="10">
        <f>R18</f>
        <v>37.299760719148644</v>
      </c>
      <c r="I19" s="10">
        <f>IF(H19&lt;Assumptions!C35,Assumptions!C35*(Assumptions!C28+Assumptions!C7/Assumptions!C35)/(Assumptions!C28+Assumptions!C7/H19),Assumptions!C35)</f>
        <v>57.67090527390144</v>
      </c>
      <c r="J19" s="10">
        <f>IF(H19&lt;Assumptions!C36,Assumptions!C36*(Assumptions!C28+Assumptions!C7/Assumptions!C36)/(Assumptions!C28+Assumptions!C7/H19),Assumptions!C36)</f>
        <v>48.903442098955985</v>
      </c>
      <c r="K19" s="10">
        <f>Assumptions!C24*(Assumptions!C35/I19-1)</f>
        <v>13349.544474728387</v>
      </c>
      <c r="L19" s="10">
        <f>Assumptions!C25*(Assumptions!C36/J19-1)</f>
        <v>31805.123831165503</v>
      </c>
      <c r="M19" s="10">
        <f>Assumptions!C48/MIN((Assumptions!C49/(Assumptions!C28+O18+K19+L19+N18)),(H19*(1-Assumptions!C50)))</f>
        <v>186735.08877973875</v>
      </c>
      <c r="N19" s="10">
        <f>Assumptions!C51/MIN((Assumptions!C52/(Assumptions!C28+O18+K19+L19+M19)),(H19*(1-Assumptions!C53)))</f>
        <v>94622.90633124577</v>
      </c>
      <c r="O19" s="10">
        <f>MAX(0,(Assumptions!C10*(Assumptions!C28+K19+L19+M19+N19+Assumptions!C7/H19)-Assumptions!C55)/(1-Assumptions!C10))</f>
        <v>589279.1813105989</v>
      </c>
      <c r="P19" s="10">
        <f>Assumptions!C28+O19+K19+L19+M19+N19</f>
        <v>37533752.84472749</v>
      </c>
      <c r="Q19" s="10">
        <f>P19+Assumptions!C7/H19</f>
        <v>38338047.54854308</v>
      </c>
      <c r="R19" s="10">
        <f>Assumptions!C6/P19</f>
        <v>37.299760719148644</v>
      </c>
    </row>
    <row r="20" spans="7:18" x14ac:dyDescent="0.25">
      <c r="G20" s="10">
        <v>16</v>
      </c>
      <c r="H20" s="10">
        <f>R19</f>
        <v>37.299760719148644</v>
      </c>
      <c r="I20" s="10">
        <f>IF(H20&lt;Assumptions!C35,Assumptions!C35*(Assumptions!C28+Assumptions!C7/Assumptions!C35)/(Assumptions!C28+Assumptions!C7/H20),Assumptions!C35)</f>
        <v>57.67090527390144</v>
      </c>
      <c r="J20" s="10">
        <f>IF(H20&lt;Assumptions!C36,Assumptions!C36*(Assumptions!C28+Assumptions!C7/Assumptions!C36)/(Assumptions!C28+Assumptions!C7/H20),Assumptions!C36)</f>
        <v>48.903442098955985</v>
      </c>
      <c r="K20" s="10">
        <f>Assumptions!C24*(Assumptions!C35/I20-1)</f>
        <v>13349.544474728387</v>
      </c>
      <c r="L20" s="10">
        <f>Assumptions!C25*(Assumptions!C36/J20-1)</f>
        <v>31805.123831165503</v>
      </c>
      <c r="M20" s="10">
        <f>Assumptions!C48/MIN((Assumptions!C49/(Assumptions!C28+O19+K20+L20+N19)),(H20*(1-Assumptions!C50)))</f>
        <v>186735.08877973875</v>
      </c>
      <c r="N20" s="10">
        <f>Assumptions!C51/MIN((Assumptions!C52/(Assumptions!C28+O19+K20+L20+M20)),(H20*(1-Assumptions!C53)))</f>
        <v>94622.90633124577</v>
      </c>
      <c r="O20" s="10">
        <f>MAX(0,(Assumptions!C10*(Assumptions!C28+K20+L20+M20+N20+Assumptions!C7/H20)-Assumptions!C55)/(1-Assumptions!C10))</f>
        <v>589279.1813105989</v>
      </c>
      <c r="P20" s="10">
        <f>Assumptions!C28+O20+K20+L20+M20+N20</f>
        <v>37533752.84472749</v>
      </c>
      <c r="Q20" s="10">
        <f>P20+Assumptions!C7/H20</f>
        <v>38338047.54854308</v>
      </c>
      <c r="R20" s="10">
        <f>Assumptions!C6/P20</f>
        <v>37.299760719148644</v>
      </c>
    </row>
    <row r="21" spans="7:18" x14ac:dyDescent="0.25">
      <c r="G21" s="10">
        <v>17</v>
      </c>
      <c r="H21" s="10">
        <f>R20</f>
        <v>37.299760719148644</v>
      </c>
      <c r="I21" s="10">
        <f>IF(H21&lt;Assumptions!C35,Assumptions!C35*(Assumptions!C28+Assumptions!C7/Assumptions!C35)/(Assumptions!C28+Assumptions!C7/H21),Assumptions!C35)</f>
        <v>57.67090527390144</v>
      </c>
      <c r="J21" s="10">
        <f>IF(H21&lt;Assumptions!C36,Assumptions!C36*(Assumptions!C28+Assumptions!C7/Assumptions!C36)/(Assumptions!C28+Assumptions!C7/H21),Assumptions!C36)</f>
        <v>48.903442098955985</v>
      </c>
      <c r="K21" s="10">
        <f>Assumptions!C24*(Assumptions!C35/I21-1)</f>
        <v>13349.544474728387</v>
      </c>
      <c r="L21" s="10">
        <f>Assumptions!C25*(Assumptions!C36/J21-1)</f>
        <v>31805.123831165503</v>
      </c>
      <c r="M21" s="10">
        <f>Assumptions!C48/MIN((Assumptions!C49/(Assumptions!C28+O20+K21+L21+N20)),(H21*(1-Assumptions!C50)))</f>
        <v>186735.08877973875</v>
      </c>
      <c r="N21" s="10">
        <f>Assumptions!C51/MIN((Assumptions!C52/(Assumptions!C28+O20+K21+L21+M21)),(H21*(1-Assumptions!C53)))</f>
        <v>94622.90633124577</v>
      </c>
      <c r="O21" s="10">
        <f>MAX(0,(Assumptions!C10*(Assumptions!C28+K21+L21+M21+N21+Assumptions!C7/H21)-Assumptions!C55)/(1-Assumptions!C10))</f>
        <v>589279.1813105989</v>
      </c>
      <c r="P21" s="10">
        <f>Assumptions!C28+O21+K21+L21+M21+N21</f>
        <v>37533752.84472749</v>
      </c>
      <c r="Q21" s="10">
        <f>P21+Assumptions!C7/H21</f>
        <v>38338047.54854308</v>
      </c>
      <c r="R21" s="10">
        <f>Assumptions!C6/P21</f>
        <v>37.299760719148644</v>
      </c>
    </row>
    <row r="22" spans="7:18" x14ac:dyDescent="0.25">
      <c r="G22" s="10">
        <v>18</v>
      </c>
      <c r="H22" s="10">
        <f>R21</f>
        <v>37.299760719148644</v>
      </c>
      <c r="I22" s="10">
        <f>IF(H22&lt;Assumptions!C35,Assumptions!C35*(Assumptions!C28+Assumptions!C7/Assumptions!C35)/(Assumptions!C28+Assumptions!C7/H22),Assumptions!C35)</f>
        <v>57.67090527390144</v>
      </c>
      <c r="J22" s="10">
        <f>IF(H22&lt;Assumptions!C36,Assumptions!C36*(Assumptions!C28+Assumptions!C7/Assumptions!C36)/(Assumptions!C28+Assumptions!C7/H22),Assumptions!C36)</f>
        <v>48.903442098955985</v>
      </c>
      <c r="K22" s="10">
        <f>Assumptions!C24*(Assumptions!C35/I22-1)</f>
        <v>13349.544474728387</v>
      </c>
      <c r="L22" s="10">
        <f>Assumptions!C25*(Assumptions!C36/J22-1)</f>
        <v>31805.123831165503</v>
      </c>
      <c r="M22" s="10">
        <f>Assumptions!C48/MIN((Assumptions!C49/(Assumptions!C28+O21+K22+L22+N21)),(H22*(1-Assumptions!C50)))</f>
        <v>186735.08877973875</v>
      </c>
      <c r="N22" s="10">
        <f>Assumptions!C51/MIN((Assumptions!C52/(Assumptions!C28+O21+K22+L22+M22)),(H22*(1-Assumptions!C53)))</f>
        <v>94622.90633124577</v>
      </c>
      <c r="O22" s="10">
        <f>MAX(0,(Assumptions!C10*(Assumptions!C28+K22+L22+M22+N22+Assumptions!C7/H22)-Assumptions!C55)/(1-Assumptions!C10))</f>
        <v>589279.1813105989</v>
      </c>
      <c r="P22" s="10">
        <f>Assumptions!C28+O22+K22+L22+M22+N22</f>
        <v>37533752.84472749</v>
      </c>
      <c r="Q22" s="10">
        <f>P22+Assumptions!C7/H22</f>
        <v>38338047.54854308</v>
      </c>
      <c r="R22" s="10">
        <f>Assumptions!C6/P22</f>
        <v>37.299760719148644</v>
      </c>
    </row>
    <row r="23" spans="7:18" x14ac:dyDescent="0.25">
      <c r="G23" s="10">
        <v>19</v>
      </c>
      <c r="H23" s="10">
        <f>R22</f>
        <v>37.299760719148644</v>
      </c>
      <c r="I23" s="10">
        <f>IF(H23&lt;Assumptions!C35,Assumptions!C35*(Assumptions!C28+Assumptions!C7/Assumptions!C35)/(Assumptions!C28+Assumptions!C7/H23),Assumptions!C35)</f>
        <v>57.67090527390144</v>
      </c>
      <c r="J23" s="10">
        <f>IF(H23&lt;Assumptions!C36,Assumptions!C36*(Assumptions!C28+Assumptions!C7/Assumptions!C36)/(Assumptions!C28+Assumptions!C7/H23),Assumptions!C36)</f>
        <v>48.903442098955985</v>
      </c>
      <c r="K23" s="10">
        <f>Assumptions!C24*(Assumptions!C35/I23-1)</f>
        <v>13349.544474728387</v>
      </c>
      <c r="L23" s="10">
        <f>Assumptions!C25*(Assumptions!C36/J23-1)</f>
        <v>31805.123831165503</v>
      </c>
      <c r="M23" s="10">
        <f>Assumptions!C48/MIN((Assumptions!C49/(Assumptions!C28+O22+K23+L23+N22)),(H23*(1-Assumptions!C50)))</f>
        <v>186735.08877973875</v>
      </c>
      <c r="N23" s="10">
        <f>Assumptions!C51/MIN((Assumptions!C52/(Assumptions!C28+O22+K23+L23+M23)),(H23*(1-Assumptions!C53)))</f>
        <v>94622.90633124577</v>
      </c>
      <c r="O23" s="10">
        <f>MAX(0,(Assumptions!C10*(Assumptions!C28+K23+L23+M23+N23+Assumptions!C7/H23)-Assumptions!C55)/(1-Assumptions!C10))</f>
        <v>589279.1813105989</v>
      </c>
      <c r="P23" s="10">
        <f>Assumptions!C28+O23+K23+L23+M23+N23</f>
        <v>37533752.84472749</v>
      </c>
      <c r="Q23" s="10">
        <f>P23+Assumptions!C7/H23</f>
        <v>38338047.54854308</v>
      </c>
      <c r="R23" s="10">
        <f>Assumptions!C6/P23</f>
        <v>37.299760719148644</v>
      </c>
    </row>
    <row r="24" spans="7:18" x14ac:dyDescent="0.25">
      <c r="G24" s="10">
        <v>20</v>
      </c>
      <c r="H24" s="10">
        <f>R23</f>
        <v>37.299760719148644</v>
      </c>
      <c r="I24" s="10">
        <f>IF(H24&lt;Assumptions!C35,Assumptions!C35*(Assumptions!C28+Assumptions!C7/Assumptions!C35)/(Assumptions!C28+Assumptions!C7/H24),Assumptions!C35)</f>
        <v>57.67090527390144</v>
      </c>
      <c r="J24" s="10">
        <f>IF(H24&lt;Assumptions!C36,Assumptions!C36*(Assumptions!C28+Assumptions!C7/Assumptions!C36)/(Assumptions!C28+Assumptions!C7/H24),Assumptions!C36)</f>
        <v>48.903442098955985</v>
      </c>
      <c r="K24" s="10">
        <f>Assumptions!C24*(Assumptions!C35/I24-1)</f>
        <v>13349.544474728387</v>
      </c>
      <c r="L24" s="10">
        <f>Assumptions!C25*(Assumptions!C36/J24-1)</f>
        <v>31805.123831165503</v>
      </c>
      <c r="M24" s="10">
        <f>Assumptions!C48/MIN((Assumptions!C49/(Assumptions!C28+O23+K24+L24+N23)),(H24*(1-Assumptions!C50)))</f>
        <v>186735.08877973875</v>
      </c>
      <c r="N24" s="10">
        <f>Assumptions!C51/MIN((Assumptions!C52/(Assumptions!C28+O23+K24+L24+M24)),(H24*(1-Assumptions!C53)))</f>
        <v>94622.90633124577</v>
      </c>
      <c r="O24" s="10">
        <f>MAX(0,(Assumptions!C10*(Assumptions!C28+K24+L24+M24+N24+Assumptions!C7/H24)-Assumptions!C55)/(1-Assumptions!C10))</f>
        <v>589279.1813105989</v>
      </c>
      <c r="P24" s="10">
        <f>Assumptions!C28+O24+K24+L24+M24+N24</f>
        <v>37533752.84472749</v>
      </c>
      <c r="Q24" s="10">
        <f>P24+Assumptions!C7/H24</f>
        <v>38338047.54854308</v>
      </c>
      <c r="R24" s="10">
        <f>Assumptions!C6/P24</f>
        <v>37.299760719148644</v>
      </c>
    </row>
    <row r="25" spans="7:18" x14ac:dyDescent="0.25">
      <c r="G25" s="10">
        <v>21</v>
      </c>
      <c r="H25" s="10">
        <f>R24</f>
        <v>37.299760719148644</v>
      </c>
      <c r="I25" s="10">
        <f>IF(H25&lt;Assumptions!C35,Assumptions!C35*(Assumptions!C28+Assumptions!C7/Assumptions!C35)/(Assumptions!C28+Assumptions!C7/H25),Assumptions!C35)</f>
        <v>57.67090527390144</v>
      </c>
      <c r="J25" s="10">
        <f>IF(H25&lt;Assumptions!C36,Assumptions!C36*(Assumptions!C28+Assumptions!C7/Assumptions!C36)/(Assumptions!C28+Assumptions!C7/H25),Assumptions!C36)</f>
        <v>48.903442098955985</v>
      </c>
      <c r="K25" s="10">
        <f>Assumptions!C24*(Assumptions!C35/I25-1)</f>
        <v>13349.544474728387</v>
      </c>
      <c r="L25" s="10">
        <f>Assumptions!C25*(Assumptions!C36/J25-1)</f>
        <v>31805.123831165503</v>
      </c>
      <c r="M25" s="10">
        <f>Assumptions!C48/MIN((Assumptions!C49/(Assumptions!C28+O24+K25+L25+N24)),(H25*(1-Assumptions!C50)))</f>
        <v>186735.08877973875</v>
      </c>
      <c r="N25" s="10">
        <f>Assumptions!C51/MIN((Assumptions!C52/(Assumptions!C28+O24+K25+L25+M25)),(H25*(1-Assumptions!C53)))</f>
        <v>94622.90633124577</v>
      </c>
      <c r="O25" s="10">
        <f>MAX(0,(Assumptions!C10*(Assumptions!C28+K25+L25+M25+N25+Assumptions!C7/H25)-Assumptions!C55)/(1-Assumptions!C10))</f>
        <v>589279.1813105989</v>
      </c>
      <c r="P25" s="10">
        <f>Assumptions!C28+O25+K25+L25+M25+N25</f>
        <v>37533752.84472749</v>
      </c>
      <c r="Q25" s="10">
        <f>P25+Assumptions!C7/H25</f>
        <v>38338047.54854308</v>
      </c>
      <c r="R25" s="10">
        <f>Assumptions!C6/P25</f>
        <v>37.299760719148644</v>
      </c>
    </row>
    <row r="26" spans="7:18" x14ac:dyDescent="0.25">
      <c r="G26" s="10">
        <v>22</v>
      </c>
      <c r="H26" s="10">
        <f>R25</f>
        <v>37.299760719148644</v>
      </c>
      <c r="I26" s="10">
        <f>IF(H26&lt;Assumptions!C35,Assumptions!C35*(Assumptions!C28+Assumptions!C7/Assumptions!C35)/(Assumptions!C28+Assumptions!C7/H26),Assumptions!C35)</f>
        <v>57.67090527390144</v>
      </c>
      <c r="J26" s="10">
        <f>IF(H26&lt;Assumptions!C36,Assumptions!C36*(Assumptions!C28+Assumptions!C7/Assumptions!C36)/(Assumptions!C28+Assumptions!C7/H26),Assumptions!C36)</f>
        <v>48.903442098955985</v>
      </c>
      <c r="K26" s="10">
        <f>Assumptions!C24*(Assumptions!C35/I26-1)</f>
        <v>13349.544474728387</v>
      </c>
      <c r="L26" s="10">
        <f>Assumptions!C25*(Assumptions!C36/J26-1)</f>
        <v>31805.123831165503</v>
      </c>
      <c r="M26" s="10">
        <f>Assumptions!C48/MIN((Assumptions!C49/(Assumptions!C28+O25+K26+L26+N25)),(H26*(1-Assumptions!C50)))</f>
        <v>186735.08877973875</v>
      </c>
      <c r="N26" s="10">
        <f>Assumptions!C51/MIN((Assumptions!C52/(Assumptions!C28+O25+K26+L26+M26)),(H26*(1-Assumptions!C53)))</f>
        <v>94622.90633124577</v>
      </c>
      <c r="O26" s="10">
        <f>MAX(0,(Assumptions!C10*(Assumptions!C28+K26+L26+M26+N26+Assumptions!C7/H26)-Assumptions!C55)/(1-Assumptions!C10))</f>
        <v>589279.1813105989</v>
      </c>
      <c r="P26" s="10">
        <f>Assumptions!C28+O26+K26+L26+M26+N26</f>
        <v>37533752.84472749</v>
      </c>
      <c r="Q26" s="10">
        <f>P26+Assumptions!C7/H26</f>
        <v>38338047.54854308</v>
      </c>
      <c r="R26" s="10">
        <f>Assumptions!C6/P26</f>
        <v>37.299760719148644</v>
      </c>
    </row>
    <row r="27" spans="7:18" x14ac:dyDescent="0.25">
      <c r="G27" s="10">
        <v>23</v>
      </c>
      <c r="H27" s="10">
        <f>R26</f>
        <v>37.299760719148644</v>
      </c>
      <c r="I27" s="10">
        <f>IF(H27&lt;Assumptions!C35,Assumptions!C35*(Assumptions!C28+Assumptions!C7/Assumptions!C35)/(Assumptions!C28+Assumptions!C7/H27),Assumptions!C35)</f>
        <v>57.67090527390144</v>
      </c>
      <c r="J27" s="10">
        <f>IF(H27&lt;Assumptions!C36,Assumptions!C36*(Assumptions!C28+Assumptions!C7/Assumptions!C36)/(Assumptions!C28+Assumptions!C7/H27),Assumptions!C36)</f>
        <v>48.903442098955985</v>
      </c>
      <c r="K27" s="10">
        <f>Assumptions!C24*(Assumptions!C35/I27-1)</f>
        <v>13349.544474728387</v>
      </c>
      <c r="L27" s="10">
        <f>Assumptions!C25*(Assumptions!C36/J27-1)</f>
        <v>31805.123831165503</v>
      </c>
      <c r="M27" s="10">
        <f>Assumptions!C48/MIN((Assumptions!C49/(Assumptions!C28+O26+K27+L27+N26)),(H27*(1-Assumptions!C50)))</f>
        <v>186735.08877973875</v>
      </c>
      <c r="N27" s="10">
        <f>Assumptions!C51/MIN((Assumptions!C52/(Assumptions!C28+O26+K27+L27+M27)),(H27*(1-Assumptions!C53)))</f>
        <v>94622.90633124577</v>
      </c>
      <c r="O27" s="10">
        <f>MAX(0,(Assumptions!C10*(Assumptions!C28+K27+L27+M27+N27+Assumptions!C7/H27)-Assumptions!C55)/(1-Assumptions!C10))</f>
        <v>589279.1813105989</v>
      </c>
      <c r="P27" s="10">
        <f>Assumptions!C28+O27+K27+L27+M27+N27</f>
        <v>37533752.84472749</v>
      </c>
      <c r="Q27" s="10">
        <f>P27+Assumptions!C7/H27</f>
        <v>38338047.54854308</v>
      </c>
      <c r="R27" s="10">
        <f>Assumptions!C6/P27</f>
        <v>37.299760719148644</v>
      </c>
    </row>
    <row r="28" spans="7:18" x14ac:dyDescent="0.25">
      <c r="G28" s="10">
        <v>24</v>
      </c>
      <c r="H28" s="10">
        <f>R27</f>
        <v>37.299760719148644</v>
      </c>
      <c r="I28" s="10">
        <f>IF(H28&lt;Assumptions!C35,Assumptions!C35*(Assumptions!C28+Assumptions!C7/Assumptions!C35)/(Assumptions!C28+Assumptions!C7/H28),Assumptions!C35)</f>
        <v>57.67090527390144</v>
      </c>
      <c r="J28" s="10">
        <f>IF(H28&lt;Assumptions!C36,Assumptions!C36*(Assumptions!C28+Assumptions!C7/Assumptions!C36)/(Assumptions!C28+Assumptions!C7/H28),Assumptions!C36)</f>
        <v>48.903442098955985</v>
      </c>
      <c r="K28" s="10">
        <f>Assumptions!C24*(Assumptions!C35/I28-1)</f>
        <v>13349.544474728387</v>
      </c>
      <c r="L28" s="10">
        <f>Assumptions!C25*(Assumptions!C36/J28-1)</f>
        <v>31805.123831165503</v>
      </c>
      <c r="M28" s="10">
        <f>Assumptions!C48/MIN((Assumptions!C49/(Assumptions!C28+O27+K28+L28+N27)),(H28*(1-Assumptions!C50)))</f>
        <v>186735.08877973875</v>
      </c>
      <c r="N28" s="10">
        <f>Assumptions!C51/MIN((Assumptions!C52/(Assumptions!C28+O27+K28+L28+M28)),(H28*(1-Assumptions!C53)))</f>
        <v>94622.90633124577</v>
      </c>
      <c r="O28" s="10">
        <f>MAX(0,(Assumptions!C10*(Assumptions!C28+K28+L28+M28+N28+Assumptions!C7/H28)-Assumptions!C55)/(1-Assumptions!C10))</f>
        <v>589279.1813105989</v>
      </c>
      <c r="P28" s="10">
        <f>Assumptions!C28+O28+K28+L28+M28+N28</f>
        <v>37533752.84472749</v>
      </c>
      <c r="Q28" s="10">
        <f>P28+Assumptions!C7/H28</f>
        <v>38338047.54854308</v>
      </c>
      <c r="R28" s="10">
        <f>Assumptions!C6/P28</f>
        <v>37.299760719148644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9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7" width="13.955" customWidth="1"/>
  </cols>
  <sheetData>
    <row r="2" ht="18" customHeight="1" spans="2:2" x14ac:dyDescent="0.25">
      <c r="B2" s="1" t="s">
        <v>219</v>
      </c>
    </row>
    <row r="3" spans="2:2" x14ac:dyDescent="0.25">
      <c r="B3" s="2" t="s">
        <v>220</v>
      </c>
    </row>
    <row r="5" spans="2:7" x14ac:dyDescent="0.25">
      <c r="B5" s="3" t="s">
        <v>221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</row>
    <row r="6" spans="2:5" x14ac:dyDescent="0.25">
      <c r="B6" s="16" t="s">
        <v>104</v>
      </c>
      <c r="C6" s="16" t="s">
        <v>222</v>
      </c>
      <c r="D6" s="16" t="s">
        <v>126</v>
      </c>
      <c r="E6" s="16" t="s">
        <v>223</v>
      </c>
    </row>
    <row r="7" spans="2:5" x14ac:dyDescent="0.25">
      <c r="B7" s="5" t="s">
        <v>224</v>
      </c>
      <c r="C7" s="11">
        <f>Assumptions!C45</f>
        <v>30000000</v>
      </c>
      <c r="D7" s="10">
        <f>'Pro-Forma'!C22</f>
        <v>804294.703815589</v>
      </c>
      <c r="E7" s="11">
        <f>C7/D7</f>
        <v>37.299760719148644</v>
      </c>
    </row>
    <row r="8" spans="2:5" x14ac:dyDescent="0.25">
      <c r="B8" s="5" t="s">
        <v>225</v>
      </c>
      <c r="C8" s="11">
        <f>Assumptions!C44</f>
        <v>300000000</v>
      </c>
      <c r="D8" s="10">
        <f>Assumptions!C25+'Pro-Forma'!C18</f>
        <v>6134472.123831166</v>
      </c>
      <c r="E8" s="11">
        <f>C8/D8</f>
        <v>48.903963363785046</v>
      </c>
    </row>
    <row r="9" spans="2:5" x14ac:dyDescent="0.25">
      <c r="B9" s="5" t="s">
        <v>226</v>
      </c>
      <c r="C9" s="11">
        <f>Assumptions!C43</f>
        <v>100000000</v>
      </c>
      <c r="D9" s="10">
        <f>Assumptions!C24+'Pro-Forma'!C17</f>
        <v>1733976.5444747284</v>
      </c>
      <c r="E9" s="11">
        <f>C9/D9</f>
        <v>57.670906978902</v>
      </c>
    </row>
    <row r="10" spans="2:5" x14ac:dyDescent="0.25">
      <c r="B10" s="5" t="s">
        <v>227</v>
      </c>
      <c r="C10" s="11">
        <f>Assumptions!C42</f>
        <v>60000000</v>
      </c>
      <c r="D10" s="10">
        <f>Assumptions!C23</f>
        <v>2400000</v>
      </c>
      <c r="E10" s="11">
        <f>C10/D10</f>
        <v>25</v>
      </c>
    </row>
    <row r="11" spans="2:5" x14ac:dyDescent="0.25">
      <c r="B11" s="5" t="s">
        <v>228</v>
      </c>
      <c r="C11" s="11">
        <f>Assumptions!C41</f>
        <v>30000000</v>
      </c>
      <c r="D11" s="10">
        <f>Assumptions!C22</f>
        <v>3000000</v>
      </c>
      <c r="E11" s="11">
        <f>C11/D11</f>
        <v>10</v>
      </c>
    </row>
    <row r="12" spans="2:5" x14ac:dyDescent="0.25">
      <c r="B12" s="5" t="s">
        <v>229</v>
      </c>
      <c r="C12" s="11">
        <f>Assumptions!C40</f>
        <v>15000000</v>
      </c>
      <c r="D12" s="10">
        <f>Assumptions!C21</f>
        <v>5000000</v>
      </c>
      <c r="E12" s="11">
        <f>C12/D12</f>
        <v>3</v>
      </c>
    </row>
    <row r="13" spans="2:5" x14ac:dyDescent="0.25">
      <c r="B13" s="5" t="s">
        <v>109</v>
      </c>
      <c r="C13" s="11">
        <f>Assumptions!C39</f>
        <v>5000000</v>
      </c>
      <c r="D13" s="10">
        <f>Assumptions!C20</f>
        <v>5000000</v>
      </c>
      <c r="E13" s="11">
        <f>C13/D13</f>
        <v>1</v>
      </c>
    </row>
    <row r="15" spans="2:7" x14ac:dyDescent="0.25">
      <c r="B15" s="3" t="s">
        <v>230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</row>
    <row r="16" spans="2:3" x14ac:dyDescent="0.25">
      <c r="B16" s="5" t="s">
        <v>231</v>
      </c>
      <c r="C16" s="10">
        <f>Assumptions!C16+Assumptions!C17+Assumptions!C18+Assumptions!C19</f>
        <v>9000000</v>
      </c>
    </row>
    <row r="17" spans="2:3" x14ac:dyDescent="0.25">
      <c r="B17" s="5" t="s">
        <v>232</v>
      </c>
      <c r="C17" s="10">
        <f>'Pro-Forma'!C32</f>
        <v>186735.08877973875</v>
      </c>
    </row>
    <row r="18" spans="2:3" x14ac:dyDescent="0.25">
      <c r="B18" s="5" t="s">
        <v>233</v>
      </c>
      <c r="C18" s="10">
        <f>'Pro-Forma'!C37</f>
        <v>94622.90633124577</v>
      </c>
    </row>
    <row r="19" spans="2:3" x14ac:dyDescent="0.25">
      <c r="B19" s="9" t="s">
        <v>234</v>
      </c>
      <c r="C19" s="10">
        <f>C16+C17+C18</f>
        <v>9281357.995110983</v>
      </c>
    </row>
    <row r="20" spans="2:3" x14ac:dyDescent="0.25">
      <c r="B20" s="5" t="s">
        <v>235</v>
      </c>
      <c r="C20" s="10">
        <f>Assumptions!C26</f>
        <v>2500000</v>
      </c>
    </row>
    <row r="21" spans="2:3" x14ac:dyDescent="0.25">
      <c r="B21" s="5" t="s">
        <v>236</v>
      </c>
      <c r="C21" s="11">
        <f>Assumptions!C13</f>
        <v>1</v>
      </c>
    </row>
    <row r="23" spans="2:7" x14ac:dyDescent="0.25">
      <c r="B23" s="3" t="s">
        <v>162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</row>
    <row r="24" spans="2:7" x14ac:dyDescent="0.25">
      <c r="B24" s="9" t="s">
        <v>237</v>
      </c>
      <c r="C24" s="17">
        <f>Assumptions!C58</f>
        <v>700000000</v>
      </c>
      <c r="D24" s="17">
        <f>Assumptions!C59</f>
        <v>1200000000</v>
      </c>
      <c r="E24" s="17">
        <f>Assumptions!C60</f>
        <v>2000000000</v>
      </c>
      <c r="F24" s="17">
        <f>Assumptions!C61</f>
        <v>4000000000</v>
      </c>
      <c r="G24" s="17">
        <f>Assumptions!C62</f>
        <v>8000000000</v>
      </c>
    </row>
    <row r="26" spans="2:7" x14ac:dyDescent="0.25">
      <c r="B26" s="26" t="s">
        <v>238</v>
      </c>
      <c r="C26" s="27" t="s">
        <v>3</v>
      </c>
      <c r="D26" s="27" t="s">
        <v>3</v>
      </c>
      <c r="E26" s="27" t="s">
        <v>3</v>
      </c>
      <c r="F26" s="27" t="s">
        <v>3</v>
      </c>
      <c r="G26" s="27" t="s">
        <v>3</v>
      </c>
    </row>
    <row r="27" spans="2:7" x14ac:dyDescent="0.25">
      <c r="B27" s="28" t="s">
        <v>224</v>
      </c>
      <c r="C27" s="10">
        <f>(D7*IF(((C24-(SUM(C7:C13)-C7))/($C$19+(0-0)+D7))&gt;$C$21,((C24-(SUM(C7:C13)-C7))+$C$20*$C$21)/(($C$19+(0-0)+D7)+$C$20),((C24-(SUM(C7:C13)-C7))/($C$19+(0-0)+D7))))&gt;C7</f>
        <v>0</v>
      </c>
      <c r="D27" s="10">
        <f>(D7*IF(((D24-(SUM(C7:C13)-C7))/($C$19+(0-0)+D7))&gt;$C$21,((D24-(SUM(C7:C13)-C7))+$C$20*$C$21)/(($C$19+(0-0)+D7)+$C$20),((D24-(SUM(C7:C13)-C7))/($C$19+(0-0)+D7))))&gt;C7</f>
        <v>1</v>
      </c>
      <c r="E27" s="10">
        <f>(D7*IF(((E24-(SUM(C7:C13)-C7))/($C$19+(0-0)+D7))&gt;$C$21,((E24-(SUM(C7:C13)-C7))+$C$20*$C$21)/(($C$19+(0-0)+D7)+$C$20),((E24-(SUM(C7:C13)-C7))/($C$19+(0-0)+D7))))&gt;C7</f>
        <v>1</v>
      </c>
      <c r="F27" s="10">
        <f>(D7*IF(((F24-(SUM(C7:C13)-C7))/($C$19+(0-0)+D7))&gt;$C$21,((F24-(SUM(C7:C13)-C7))+$C$20*$C$21)/(($C$19+(0-0)+D7)+$C$20),((F24-(SUM(C7:C13)-C7))/($C$19+(0-0)+D7))))&gt;C7</f>
        <v>1</v>
      </c>
      <c r="G27" s="10">
        <f>(D7*IF(((G24-(SUM(C7:C13)-C7))/($C$19+(0-0)+D7))&gt;$C$21,((G24-(SUM(C7:C13)-C7))+$C$20*$C$21)/(($C$19+(0-0)+D7)+$C$20),((G24-(SUM(C7:C13)-C7))/($C$19+(0-0)+D7))))&gt;C7</f>
        <v>1</v>
      </c>
    </row>
    <row r="28" spans="2:7" x14ac:dyDescent="0.25">
      <c r="B28" s="28" t="s">
        <v>225</v>
      </c>
      <c r="C28" s="10">
        <f>(D8*IF(((C24-(SUM(C7:C13)-C8))/($C$19+(0-0)+D8))&gt;$C$21,((C24-(SUM(C7:C13)-C8))+$C$20*$C$21)/(($C$19+(0-0)+D8)+$C$20),((C24-(SUM(C7:C13)-C8))/($C$19+(0-0)+D8))))&gt;C8</f>
        <v>0</v>
      </c>
      <c r="D28" s="10">
        <f>(D8*IF(((D24-(SUM(C7:C13)-C8))/($C$19+(0-0)+D8))&gt;$C$21,((D24-(SUM(C7:C13)-C8))+$C$20*$C$21)/(($C$19+(0-0)+D8)+$C$20),((D24-(SUM(C7:C13)-C8))/($C$19+(0-0)+D8))))&gt;C8</f>
        <v>1</v>
      </c>
      <c r="E28" s="10">
        <f>(D8*IF(((E24-(SUM(C7:C13)-C8))/($C$19+(0-0)+D8))&gt;$C$21,((E24-(SUM(C7:C13)-C8))+$C$20*$C$21)/(($C$19+(0-0)+D8)+$C$20),((E24-(SUM(C7:C13)-C8))/($C$19+(0-0)+D8))))&gt;C8</f>
        <v>1</v>
      </c>
      <c r="F28" s="10">
        <f>(D8*IF(((F24-(SUM(C7:C13)-C8))/($C$19+(0-0)+D8))&gt;$C$21,((F24-(SUM(C7:C13)-C8))+$C$20*$C$21)/(($C$19+(0-0)+D8)+$C$20),((F24-(SUM(C7:C13)-C8))/($C$19+(0-0)+D8))))&gt;C8</f>
        <v>1</v>
      </c>
      <c r="G28" s="10">
        <f>(D8*IF(((G24-(SUM(C7:C13)-C8))/($C$19+(0-0)+D8))&gt;$C$21,((G24-(SUM(C7:C13)-C8))+$C$20*$C$21)/(($C$19+(0-0)+D8)+$C$20),((G24-(SUM(C7:C13)-C8))/($C$19+(0-0)+D8))))&gt;C8</f>
        <v>1</v>
      </c>
    </row>
    <row r="29" spans="2:7" x14ac:dyDescent="0.25">
      <c r="B29" s="28" t="s">
        <v>226</v>
      </c>
      <c r="C29" s="10">
        <f>(D9*IF(((C24-(SUM(C7:C13)-C9))/($C$19+(0-0)+D9))&gt;$C$21,((C24-(SUM(C7:C13)-C9))+$C$20*$C$21)/(($C$19+(0-0)+D9)+$C$20),((C24-(SUM(C7:C13)-C9))/($C$19+(0-0)+D9))))&gt;C9</f>
        <v>0</v>
      </c>
      <c r="D29" s="10">
        <f>(D9*IF(((D24-(SUM(C7:C13)-C9))/($C$19+(0-0)+D9))&gt;$C$21,((D24-(SUM(C7:C13)-C9))+$C$20*$C$21)/(($C$19+(0-0)+D9)+$C$20),((D24-(SUM(C7:C13)-C9))/($C$19+(0-0)+D9))))&gt;C9</f>
        <v>0</v>
      </c>
      <c r="E29" s="10">
        <f>(D9*IF(((E24-(SUM(C7:C13)-C9))/($C$19+(0-0)+D9))&gt;$C$21,((E24-(SUM(C7:C13)-C9))+$C$20*$C$21)/(($C$19+(0-0)+D9)+$C$20),((E24-(SUM(C7:C13)-C9))/($C$19+(0-0)+D9))))&gt;C9</f>
        <v>1</v>
      </c>
      <c r="F29" s="10">
        <f>(D9*IF(((F24-(SUM(C7:C13)-C9))/($C$19+(0-0)+D9))&gt;$C$21,((F24-(SUM(C7:C13)-C9))+$C$20*$C$21)/(($C$19+(0-0)+D9)+$C$20),((F24-(SUM(C7:C13)-C9))/($C$19+(0-0)+D9))))&gt;C9</f>
        <v>1</v>
      </c>
      <c r="G29" s="10">
        <f>(D9*IF(((G24-(SUM(C7:C13)-C9))/($C$19+(0-0)+D9))&gt;$C$21,((G24-(SUM(C7:C13)-C9))+$C$20*$C$21)/(($C$19+(0-0)+D9)+$C$20),((G24-(SUM(C7:C13)-C9))/($C$19+(0-0)+D9))))&gt;C9</f>
        <v>1</v>
      </c>
    </row>
    <row r="30" spans="2:7" x14ac:dyDescent="0.25">
      <c r="B30" s="28" t="s">
        <v>227</v>
      </c>
      <c r="C30" s="10">
        <f>(D10*IF(((C24-(SUM(C7:C13)-C10))/($C$19+(0-0)+D10))&gt;$C$21,((C24-(SUM(C7:C13)-C10))+$C$20*$C$21)/(($C$19+(0-0)+D10)+$C$20),((C24-(SUM(C7:C13)-C10))/($C$19+(0-0)+D10))))&gt;C10</f>
        <v>0</v>
      </c>
      <c r="D30" s="10">
        <f>(D10*IF(((D24-(SUM(C7:C13)-C10))/($C$19+(0-0)+D10))&gt;$C$21,((D24-(SUM(C7:C13)-C10))+$C$20*$C$21)/(($C$19+(0-0)+D10)+$C$20),((D24-(SUM(C7:C13)-C10))/($C$19+(0-0)+D10))))&gt;C10</f>
        <v>1</v>
      </c>
      <c r="E30" s="10">
        <f>(D10*IF(((E24-(SUM(C7:C13)-C10))/($C$19+(0-0)+D10))&gt;$C$21,((E24-(SUM(C7:C13)-C10))+$C$20*$C$21)/(($C$19+(0-0)+D10)+$C$20),((E24-(SUM(C7:C13)-C10))/($C$19+(0-0)+D10))))&gt;C10</f>
        <v>1</v>
      </c>
      <c r="F30" s="10">
        <f>(D10*IF(((F24-(SUM(C7:C13)-C10))/($C$19+(0-0)+D10))&gt;$C$21,((F24-(SUM(C7:C13)-C10))+$C$20*$C$21)/(($C$19+(0-0)+D10)+$C$20),((F24-(SUM(C7:C13)-C10))/($C$19+(0-0)+D10))))&gt;C10</f>
        <v>1</v>
      </c>
      <c r="G30" s="10">
        <f>(D10*IF(((G24-(SUM(C7:C13)-C10))/($C$19+(0-0)+D10))&gt;$C$21,((G24-(SUM(C7:C13)-C10))+$C$20*$C$21)/(($C$19+(0-0)+D10)+$C$20),((G24-(SUM(C7:C13)-C10))/($C$19+(0-0)+D10))))&gt;C10</f>
        <v>1</v>
      </c>
    </row>
    <row r="31" spans="2:7" x14ac:dyDescent="0.25">
      <c r="B31" s="28" t="s">
        <v>228</v>
      </c>
      <c r="C31" s="10">
        <f>(D11*IF(((C24-(SUM(C7:C13)-C11))/($C$19+(0-0)+D11))&gt;$C$21,((C24-(SUM(C7:C13)-C11))+$C$20*$C$21)/(($C$19+(0-0)+D11)+$C$20),((C24-(SUM(C7:C13)-C11))/($C$19+(0-0)+D11))))&gt;C11</f>
        <v>1</v>
      </c>
      <c r="D31" s="10">
        <f>(D11*IF(((D24-(SUM(C7:C13)-C11))/($C$19+(0-0)+D11))&gt;$C$21,((D24-(SUM(C7:C13)-C11))+$C$20*$C$21)/(($C$19+(0-0)+D11)+$C$20),((D24-(SUM(C7:C13)-C11))/($C$19+(0-0)+D11))))&gt;C11</f>
        <v>1</v>
      </c>
      <c r="E31" s="10">
        <f>(D11*IF(((E24-(SUM(C7:C13)-C11))/($C$19+(0-0)+D11))&gt;$C$21,((E24-(SUM(C7:C13)-C11))+$C$20*$C$21)/(($C$19+(0-0)+D11)+$C$20),((E24-(SUM(C7:C13)-C11))/($C$19+(0-0)+D11))))&gt;C11</f>
        <v>1</v>
      </c>
      <c r="F31" s="10">
        <f>(D11*IF(((F24-(SUM(C7:C13)-C11))/($C$19+(0-0)+D11))&gt;$C$21,((F24-(SUM(C7:C13)-C11))+$C$20*$C$21)/(($C$19+(0-0)+D11)+$C$20),((F24-(SUM(C7:C13)-C11))/($C$19+(0-0)+D11))))&gt;C11</f>
        <v>1</v>
      </c>
      <c r="G31" s="10">
        <f>(D11*IF(((G24-(SUM(C7:C13)-C11))/($C$19+(0-0)+D11))&gt;$C$21,((G24-(SUM(C7:C13)-C11))+$C$20*$C$21)/(($C$19+(0-0)+D11)+$C$20),((G24-(SUM(C7:C13)-C11))/($C$19+(0-0)+D11))))&gt;C11</f>
        <v>1</v>
      </c>
    </row>
    <row r="32" spans="2:7" x14ac:dyDescent="0.25">
      <c r="B32" s="28" t="s">
        <v>229</v>
      </c>
      <c r="C32" s="10">
        <f>(D12*IF(((C24-(SUM(C7:C13)-C12))/($C$19+(0-0)+D12))&gt;$C$21,((C24-(SUM(C7:C13)-C12))+$C$20*$C$21)/(($C$19+(0-0)+D12)+$C$20),((C24-(SUM(C7:C13)-C12))/($C$19+(0-0)+D12))))&gt;C12</f>
        <v>1</v>
      </c>
      <c r="D32" s="10">
        <f>(D12*IF(((D24-(SUM(C7:C13)-C12))/($C$19+(0-0)+D12))&gt;$C$21,((D24-(SUM(C7:C13)-C12))+$C$20*$C$21)/(($C$19+(0-0)+D12)+$C$20),((D24-(SUM(C7:C13)-C12))/($C$19+(0-0)+D12))))&gt;C12</f>
        <v>1</v>
      </c>
      <c r="E32" s="10">
        <f>(D12*IF(((E24-(SUM(C7:C13)-C12))/($C$19+(0-0)+D12))&gt;$C$21,((E24-(SUM(C7:C13)-C12))+$C$20*$C$21)/(($C$19+(0-0)+D12)+$C$20),((E24-(SUM(C7:C13)-C12))/($C$19+(0-0)+D12))))&gt;C12</f>
        <v>1</v>
      </c>
      <c r="F32" s="10">
        <f>(D12*IF(((F24-(SUM(C7:C13)-C12))/($C$19+(0-0)+D12))&gt;$C$21,((F24-(SUM(C7:C13)-C12))+$C$20*$C$21)/(($C$19+(0-0)+D12)+$C$20),((F24-(SUM(C7:C13)-C12))/($C$19+(0-0)+D12))))&gt;C12</f>
        <v>1</v>
      </c>
      <c r="G32" s="10">
        <f>(D12*IF(((G24-(SUM(C7:C13)-C12))/($C$19+(0-0)+D12))&gt;$C$21,((G24-(SUM(C7:C13)-C12))+$C$20*$C$21)/(($C$19+(0-0)+D12)+$C$20),((G24-(SUM(C7:C13)-C12))/($C$19+(0-0)+D12))))&gt;C12</f>
        <v>1</v>
      </c>
    </row>
    <row r="33" spans="2:7" x14ac:dyDescent="0.25">
      <c r="B33" s="28" t="s">
        <v>109</v>
      </c>
      <c r="C33" s="10">
        <f>(D13*IF(((C24-(SUM(C7:C13)-C13))/($C$19+(0-0)+D13))&gt;$C$21,((C24-(SUM(C7:C13)-C13))+$C$20*$C$21)/(($C$19+(0-0)+D13)+$C$20),((C24-(SUM(C7:C13)-C13))/($C$19+(0-0)+D13))))&gt;C13</f>
        <v>1</v>
      </c>
      <c r="D33" s="10">
        <f>(D13*IF(((D24-(SUM(C7:C13)-C13))/($C$19+(0-0)+D13))&gt;$C$21,((D24-(SUM(C7:C13)-C13))+$C$20*$C$21)/(($C$19+(0-0)+D13)+$C$20),((D24-(SUM(C7:C13)-C13))/($C$19+(0-0)+D13))))&gt;C13</f>
        <v>1</v>
      </c>
      <c r="E33" s="10">
        <f>(D13*IF(((E24-(SUM(C7:C13)-C13))/($C$19+(0-0)+D13))&gt;$C$21,((E24-(SUM(C7:C13)-C13))+$C$20*$C$21)/(($C$19+(0-0)+D13)+$C$20),((E24-(SUM(C7:C13)-C13))/($C$19+(0-0)+D13))))&gt;C13</f>
        <v>1</v>
      </c>
      <c r="F33" s="10">
        <f>(D13*IF(((F24-(SUM(C7:C13)-C13))/($C$19+(0-0)+D13))&gt;$C$21,((F24-(SUM(C7:C13)-C13))+$C$20*$C$21)/(($C$19+(0-0)+D13)+$C$20),((F24-(SUM(C7:C13)-C13))/($C$19+(0-0)+D13))))&gt;C13</f>
        <v>1</v>
      </c>
      <c r="G33" s="10">
        <f>(D13*IF(((G24-(SUM(C7:C13)-C13))/($C$19+(0-0)+D13))&gt;$C$21,((G24-(SUM(C7:C13)-C13))+$C$20*$C$21)/(($C$19+(0-0)+D13)+$C$20),((G24-(SUM(C7:C13)-C13))/($C$19+(0-0)+D13))))&gt;C13</f>
        <v>1</v>
      </c>
    </row>
    <row r="34" spans="2:7" x14ac:dyDescent="0.25">
      <c r="B34" s="26" t="s">
        <v>239</v>
      </c>
      <c r="C34" s="27" t="s">
        <v>3</v>
      </c>
      <c r="D34" s="27" t="s">
        <v>3</v>
      </c>
      <c r="E34" s="27" t="s">
        <v>3</v>
      </c>
      <c r="F34" s="27" t="s">
        <v>3</v>
      </c>
      <c r="G34" s="27" t="s">
        <v>3</v>
      </c>
    </row>
    <row r="35" spans="2:7" x14ac:dyDescent="0.25">
      <c r="B35" s="28" t="s">
        <v>224</v>
      </c>
      <c r="C35" s="10">
        <f>(D7*IF(((C24-(SUMPRODUCT((1-C27:C33)*C7:C13)-IF(C27=FALSE,C7,0)))/($C$19+(SUMPRODUCT(C27:C33*D7:D13)-IF(C27=TRUE,D7,0))+D7))&gt;$C$21,((C24-(SUMPRODUCT((1-C27:C33)*C7:C13)-IF(C27=FALSE,C7,0)))+$C$20*$C$21)/(($C$19+(SUMPRODUCT(C27:C33*D7:D13)-IF(C27=TRUE,D7,0))+D7)+$C$20),((C24-(SUMPRODUCT((1-C27:C33)*C7:C13)-IF(C27=FALSE,C7,0)))/($C$19+(SUMPRODUCT(C27:C33*D7:D13)-IF(C27=TRUE,D7,0))+D7))))&gt;C7</f>
        <v>0</v>
      </c>
      <c r="D35" s="10">
        <f>(D7*IF(((D24-(SUMPRODUCT((1-D27:D33)*C7:C13)-IF(D27=FALSE,C7,0)))/($C$19+(SUMPRODUCT(D27:D33*D7:D13)-IF(D27=TRUE,D7,0))+D7))&gt;$C$21,((D24-(SUMPRODUCT((1-D27:D33)*C7:C13)-IF(D27=FALSE,C7,0)))+$C$20*$C$21)/(($C$19+(SUMPRODUCT(D27:D33*D7:D13)-IF(D27=TRUE,D7,0))+D7)+$C$20),((D24-(SUMPRODUCT((1-D27:D33)*C7:C13)-IF(D27=FALSE,C7,0)))/($C$19+(SUMPRODUCT(D27:D33*D7:D13)-IF(D27=TRUE,D7,0))+D7))))&gt;C7</f>
        <v>0</v>
      </c>
      <c r="E35" s="10">
        <f>(D7*IF(((E24-(SUMPRODUCT((1-E27:E33)*C7:C13)-IF(E27=FALSE,C7,0)))/($C$19+(SUMPRODUCT(E27:E33*D7:D13)-IF(E27=TRUE,D7,0))+D7))&gt;$C$21,((E24-(SUMPRODUCT((1-E27:E33)*C7:C13)-IF(E27=FALSE,C7,0)))+$C$20*$C$21)/(($C$19+(SUMPRODUCT(E27:E33*D7:D13)-IF(E27=TRUE,D7,0))+D7)+$C$20),((E24-(SUMPRODUCT((1-E27:E33)*C7:C13)-IF(E27=FALSE,C7,0)))/($C$19+(SUMPRODUCT(E27:E33*D7:D13)-IF(E27=TRUE,D7,0))+D7))))&gt;C7</f>
        <v>1</v>
      </c>
      <c r="F35" s="10">
        <f>(D7*IF(((F24-(SUMPRODUCT((1-F27:F33)*C7:C13)-IF(F27=FALSE,C7,0)))/($C$19+(SUMPRODUCT(F27:F33*D7:D13)-IF(F27=TRUE,D7,0))+D7))&gt;$C$21,((F24-(SUMPRODUCT((1-F27:F33)*C7:C13)-IF(F27=FALSE,C7,0)))+$C$20*$C$21)/(($C$19+(SUMPRODUCT(F27:F33*D7:D13)-IF(F27=TRUE,D7,0))+D7)+$C$20),((F24-(SUMPRODUCT((1-F27:F33)*C7:C13)-IF(F27=FALSE,C7,0)))/($C$19+(SUMPRODUCT(F27:F33*D7:D13)-IF(F27=TRUE,D7,0))+D7))))&gt;C7</f>
        <v>1</v>
      </c>
      <c r="G35" s="10">
        <f>(D7*IF(((G24-(SUMPRODUCT((1-G27:G33)*C7:C13)-IF(G27=FALSE,C7,0)))/($C$19+(SUMPRODUCT(G27:G33*D7:D13)-IF(G27=TRUE,D7,0))+D7))&gt;$C$21,((G24-(SUMPRODUCT((1-G27:G33)*C7:C13)-IF(G27=FALSE,C7,0)))+$C$20*$C$21)/(($C$19+(SUMPRODUCT(G27:G33*D7:D13)-IF(G27=TRUE,D7,0))+D7)+$C$20),((G24-(SUMPRODUCT((1-G27:G33)*C7:C13)-IF(G27=FALSE,C7,0)))/($C$19+(SUMPRODUCT(G27:G33*D7:D13)-IF(G27=TRUE,D7,0))+D7))))&gt;C7</f>
        <v>1</v>
      </c>
    </row>
    <row r="36" spans="2:7" x14ac:dyDescent="0.25">
      <c r="B36" s="28" t="s">
        <v>225</v>
      </c>
      <c r="C36" s="10">
        <f>(D8*IF(((C24-(SUMPRODUCT((1-C27:C33)*C7:C13)-IF(C28=FALSE,C8,0)))/($C$19+(SUMPRODUCT(C27:C33*D7:D13)-IF(C28=TRUE,D8,0))+D8))&gt;$C$21,((C24-(SUMPRODUCT((1-C27:C33)*C7:C13)-IF(C28=FALSE,C8,0)))+$C$20*$C$21)/(($C$19+(SUMPRODUCT(C27:C33*D7:D13)-IF(C28=TRUE,D8,0))+D8)+$C$20),((C24-(SUMPRODUCT((1-C27:C33)*C7:C13)-IF(C28=FALSE,C8,0)))/($C$19+(SUMPRODUCT(C27:C33*D7:D13)-IF(C28=TRUE,D8,0))+D8))))&gt;C8</f>
        <v>0</v>
      </c>
      <c r="D36" s="10">
        <f>(D8*IF(((D24-(SUMPRODUCT((1-D27:D33)*C7:C13)-IF(D28=FALSE,C8,0)))/($C$19+(SUMPRODUCT(D27:D33*D7:D13)-IF(D28=TRUE,D8,0))+D8))&gt;$C$21,((D24-(SUMPRODUCT((1-D27:D33)*C7:C13)-IF(D28=FALSE,C8,0)))+$C$20*$C$21)/(($C$19+(SUMPRODUCT(D27:D33*D7:D13)-IF(D28=TRUE,D8,0))+D8)+$C$20),((D24-(SUMPRODUCT((1-D27:D33)*C7:C13)-IF(D28=FALSE,C8,0)))/($C$19+(SUMPRODUCT(D27:D33*D7:D13)-IF(D28=TRUE,D8,0))+D8))))&gt;C8</f>
        <v>0</v>
      </c>
      <c r="E36" s="10">
        <f>(D8*IF(((E24-(SUMPRODUCT((1-E27:E33)*C7:C13)-IF(E28=FALSE,C8,0)))/($C$19+(SUMPRODUCT(E27:E33*D7:D13)-IF(E28=TRUE,D8,0))+D8))&gt;$C$21,((E24-(SUMPRODUCT((1-E27:E33)*C7:C13)-IF(E28=FALSE,C8,0)))+$C$20*$C$21)/(($C$19+(SUMPRODUCT(E27:E33*D7:D13)-IF(E28=TRUE,D8,0))+D8)+$C$20),((E24-(SUMPRODUCT((1-E27:E33)*C7:C13)-IF(E28=FALSE,C8,0)))/($C$19+(SUMPRODUCT(E27:E33*D7:D13)-IF(E28=TRUE,D8,0))+D8))))&gt;C8</f>
        <v>1</v>
      </c>
      <c r="F36" s="10">
        <f>(D8*IF(((F24-(SUMPRODUCT((1-F27:F33)*C7:C13)-IF(F28=FALSE,C8,0)))/($C$19+(SUMPRODUCT(F27:F33*D7:D13)-IF(F28=TRUE,D8,0))+D8))&gt;$C$21,((F24-(SUMPRODUCT((1-F27:F33)*C7:C13)-IF(F28=FALSE,C8,0)))+$C$20*$C$21)/(($C$19+(SUMPRODUCT(F27:F33*D7:D13)-IF(F28=TRUE,D8,0))+D8)+$C$20),((F24-(SUMPRODUCT((1-F27:F33)*C7:C13)-IF(F28=FALSE,C8,0)))/($C$19+(SUMPRODUCT(F27:F33*D7:D13)-IF(F28=TRUE,D8,0))+D8))))&gt;C8</f>
        <v>1</v>
      </c>
      <c r="G36" s="10">
        <f>(D8*IF(((G24-(SUMPRODUCT((1-G27:G33)*C7:C13)-IF(G28=FALSE,C8,0)))/($C$19+(SUMPRODUCT(G27:G33*D7:D13)-IF(G28=TRUE,D8,0))+D8))&gt;$C$21,((G24-(SUMPRODUCT((1-G27:G33)*C7:C13)-IF(G28=FALSE,C8,0)))+$C$20*$C$21)/(($C$19+(SUMPRODUCT(G27:G33*D7:D13)-IF(G28=TRUE,D8,0))+D8)+$C$20),((G24-(SUMPRODUCT((1-G27:G33)*C7:C13)-IF(G28=FALSE,C8,0)))/($C$19+(SUMPRODUCT(G27:G33*D7:D13)-IF(G28=TRUE,D8,0))+D8))))&gt;C8</f>
        <v>1</v>
      </c>
    </row>
    <row r="37" spans="2:7" x14ac:dyDescent="0.25">
      <c r="B37" s="28" t="s">
        <v>226</v>
      </c>
      <c r="C37" s="10">
        <f>(D9*IF(((C24-(SUMPRODUCT((1-C27:C33)*C7:C13)-IF(C29=FALSE,C9,0)))/($C$19+(SUMPRODUCT(C27:C33*D7:D13)-IF(C29=TRUE,D9,0))+D9))&gt;$C$21,((C24-(SUMPRODUCT((1-C27:C33)*C7:C13)-IF(C29=FALSE,C9,0)))+$C$20*$C$21)/(($C$19+(SUMPRODUCT(C27:C33*D7:D13)-IF(C29=TRUE,D9,0))+D9)+$C$20),((C24-(SUMPRODUCT((1-C27:C33)*C7:C13)-IF(C29=FALSE,C9,0)))/($C$19+(SUMPRODUCT(C27:C33*D7:D13)-IF(C29=TRUE,D9,0))+D9))))&gt;C9</f>
        <v>0</v>
      </c>
      <c r="D37" s="10">
        <f>(D9*IF(((D24-(SUMPRODUCT((1-D27:D33)*C7:C13)-IF(D29=FALSE,C9,0)))/($C$19+(SUMPRODUCT(D27:D33*D7:D13)-IF(D29=TRUE,D9,0))+D9))&gt;$C$21,((D24-(SUMPRODUCT((1-D27:D33)*C7:C13)-IF(D29=FALSE,C9,0)))+$C$20*$C$21)/(($C$19+(SUMPRODUCT(D27:D33*D7:D13)-IF(D29=TRUE,D9,0))+D9)+$C$20),((D24-(SUMPRODUCT((1-D27:D33)*C7:C13)-IF(D29=FALSE,C9,0)))/($C$19+(SUMPRODUCT(D27:D33*D7:D13)-IF(D29=TRUE,D9,0))+D9))))&gt;C9</f>
        <v>0</v>
      </c>
      <c r="E37" s="10">
        <f>(D9*IF(((E24-(SUMPRODUCT((1-E27:E33)*C7:C13)-IF(E29=FALSE,C9,0)))/($C$19+(SUMPRODUCT(E27:E33*D7:D13)-IF(E29=TRUE,D9,0))+D9))&gt;$C$21,((E24-(SUMPRODUCT((1-E27:E33)*C7:C13)-IF(E29=FALSE,C9,0)))+$C$20*$C$21)/(($C$19+(SUMPRODUCT(E27:E33*D7:D13)-IF(E29=TRUE,D9,0))+D9)+$C$20),((E24-(SUMPRODUCT((1-E27:E33)*C7:C13)-IF(E29=FALSE,C9,0)))/($C$19+(SUMPRODUCT(E27:E33*D7:D13)-IF(E29=TRUE,D9,0))+D9))))&gt;C9</f>
        <v>0</v>
      </c>
      <c r="F37" s="10">
        <f>(D9*IF(((F24-(SUMPRODUCT((1-F27:F33)*C7:C13)-IF(F29=FALSE,C9,0)))/($C$19+(SUMPRODUCT(F27:F33*D7:D13)-IF(F29=TRUE,D9,0))+D9))&gt;$C$21,((F24-(SUMPRODUCT((1-F27:F33)*C7:C13)-IF(F29=FALSE,C9,0)))+$C$20*$C$21)/(($C$19+(SUMPRODUCT(F27:F33*D7:D13)-IF(F29=TRUE,D9,0))+D9)+$C$20),((F24-(SUMPRODUCT((1-F27:F33)*C7:C13)-IF(F29=FALSE,C9,0)))/($C$19+(SUMPRODUCT(F27:F33*D7:D13)-IF(F29=TRUE,D9,0))+D9))))&gt;C9</f>
        <v>1</v>
      </c>
      <c r="G37" s="10">
        <f>(D9*IF(((G24-(SUMPRODUCT((1-G27:G33)*C7:C13)-IF(G29=FALSE,C9,0)))/($C$19+(SUMPRODUCT(G27:G33*D7:D13)-IF(G29=TRUE,D9,0))+D9))&gt;$C$21,((G24-(SUMPRODUCT((1-G27:G33)*C7:C13)-IF(G29=FALSE,C9,0)))+$C$20*$C$21)/(($C$19+(SUMPRODUCT(G27:G33*D7:D13)-IF(G29=TRUE,D9,0))+D9)+$C$20),((G24-(SUMPRODUCT((1-G27:G33)*C7:C13)-IF(G29=FALSE,C9,0)))/($C$19+(SUMPRODUCT(G27:G33*D7:D13)-IF(G29=TRUE,D9,0))+D9))))&gt;C9</f>
        <v>1</v>
      </c>
    </row>
    <row r="38" spans="2:7" x14ac:dyDescent="0.25">
      <c r="B38" s="28" t="s">
        <v>227</v>
      </c>
      <c r="C38" s="10">
        <f>(D10*IF(((C24-(SUMPRODUCT((1-C27:C33)*C7:C13)-IF(C30=FALSE,C10,0)))/($C$19+(SUMPRODUCT(C27:C33*D7:D13)-IF(C30=TRUE,D10,0))+D10))&gt;$C$21,((C24-(SUMPRODUCT((1-C27:C33)*C7:C13)-IF(C30=FALSE,C10,0)))+$C$20*$C$21)/(($C$19+(SUMPRODUCT(C27:C33*D7:D13)-IF(C30=TRUE,D10,0))+D10)+$C$20),((C24-(SUMPRODUCT((1-C27:C33)*C7:C13)-IF(C30=FALSE,C10,0)))/($C$19+(SUMPRODUCT(C27:C33*D7:D13)-IF(C30=TRUE,D10,0))+D10))))&gt;C10</f>
        <v>0</v>
      </c>
      <c r="D38" s="10">
        <f>(D10*IF(((D24-(SUMPRODUCT((1-D27:D33)*C7:C13)-IF(D30=FALSE,C10,0)))/($C$19+(SUMPRODUCT(D27:D33*D7:D13)-IF(D30=TRUE,D10,0))+D10))&gt;$C$21,((D24-(SUMPRODUCT((1-D27:D33)*C7:C13)-IF(D30=FALSE,C10,0)))+$C$20*$C$21)/(($C$19+(SUMPRODUCT(D27:D33*D7:D13)-IF(D30=TRUE,D10,0))+D10)+$C$20),((D24-(SUMPRODUCT((1-D27:D33)*C7:C13)-IF(D30=FALSE,C10,0)))/($C$19+(SUMPRODUCT(D27:D33*D7:D13)-IF(D30=TRUE,D10,0))+D10))))&gt;C10</f>
        <v>1</v>
      </c>
      <c r="E38" s="10">
        <f>(D10*IF(((E24-(SUMPRODUCT((1-E27:E33)*C7:C13)-IF(E30=FALSE,C10,0)))/($C$19+(SUMPRODUCT(E27:E33*D7:D13)-IF(E30=TRUE,D10,0))+D10))&gt;$C$21,((E24-(SUMPRODUCT((1-E27:E33)*C7:C13)-IF(E30=FALSE,C10,0)))+$C$20*$C$21)/(($C$19+(SUMPRODUCT(E27:E33*D7:D13)-IF(E30=TRUE,D10,0))+D10)+$C$20),((E24-(SUMPRODUCT((1-E27:E33)*C7:C13)-IF(E30=FALSE,C10,0)))/($C$19+(SUMPRODUCT(E27:E33*D7:D13)-IF(E30=TRUE,D10,0))+D10))))&gt;C10</f>
        <v>1</v>
      </c>
      <c r="F38" s="10">
        <f>(D10*IF(((F24-(SUMPRODUCT((1-F27:F33)*C7:C13)-IF(F30=FALSE,C10,0)))/($C$19+(SUMPRODUCT(F27:F33*D7:D13)-IF(F30=TRUE,D10,0))+D10))&gt;$C$21,((F24-(SUMPRODUCT((1-F27:F33)*C7:C13)-IF(F30=FALSE,C10,0)))+$C$20*$C$21)/(($C$19+(SUMPRODUCT(F27:F33*D7:D13)-IF(F30=TRUE,D10,0))+D10)+$C$20),((F24-(SUMPRODUCT((1-F27:F33)*C7:C13)-IF(F30=FALSE,C10,0)))/($C$19+(SUMPRODUCT(F27:F33*D7:D13)-IF(F30=TRUE,D10,0))+D10))))&gt;C10</f>
        <v>1</v>
      </c>
      <c r="G38" s="10">
        <f>(D10*IF(((G24-(SUMPRODUCT((1-G27:G33)*C7:C13)-IF(G30=FALSE,C10,0)))/($C$19+(SUMPRODUCT(G27:G33*D7:D13)-IF(G30=TRUE,D10,0))+D10))&gt;$C$21,((G24-(SUMPRODUCT((1-G27:G33)*C7:C13)-IF(G30=FALSE,C10,0)))+$C$20*$C$21)/(($C$19+(SUMPRODUCT(G27:G33*D7:D13)-IF(G30=TRUE,D10,0))+D10)+$C$20),((G24-(SUMPRODUCT((1-G27:G33)*C7:C13)-IF(G30=FALSE,C10,0)))/($C$19+(SUMPRODUCT(G27:G33*D7:D13)-IF(G30=TRUE,D10,0))+D10))))&gt;C10</f>
        <v>1</v>
      </c>
    </row>
    <row r="39" spans="2:7" x14ac:dyDescent="0.25">
      <c r="B39" s="28" t="s">
        <v>228</v>
      </c>
      <c r="C39" s="10">
        <f>(D11*IF(((C24-(SUMPRODUCT((1-C27:C33)*C7:C13)-IF(C31=FALSE,C11,0)))/($C$19+(SUMPRODUCT(C27:C33*D7:D13)-IF(C31=TRUE,D11,0))+D11))&gt;$C$21,((C24-(SUMPRODUCT((1-C27:C33)*C7:C13)-IF(C31=FALSE,C11,0)))+$C$20*$C$21)/(($C$19+(SUMPRODUCT(C27:C33*D7:D13)-IF(C31=TRUE,D11,0))+D11)+$C$20),((C24-(SUMPRODUCT((1-C27:C33)*C7:C13)-IF(C31=FALSE,C11,0)))/($C$19+(SUMPRODUCT(C27:C33*D7:D13)-IF(C31=TRUE,D11,0))+D11))))&gt;C11</f>
        <v>0</v>
      </c>
      <c r="D39" s="10">
        <f>(D11*IF(((D24-(SUMPRODUCT((1-D27:D33)*C7:C13)-IF(D31=FALSE,C11,0)))/($C$19+(SUMPRODUCT(D27:D33*D7:D13)-IF(D31=TRUE,D11,0))+D11))&gt;$C$21,((D24-(SUMPRODUCT((1-D27:D33)*C7:C13)-IF(D31=FALSE,C11,0)))+$C$20*$C$21)/(($C$19+(SUMPRODUCT(D27:D33*D7:D13)-IF(D31=TRUE,D11,0))+D11)+$C$20),((D24-(SUMPRODUCT((1-D27:D33)*C7:C13)-IF(D31=FALSE,C11,0)))/($C$19+(SUMPRODUCT(D27:D33*D7:D13)-IF(D31=TRUE,D11,0))+D11))))&gt;C11</f>
        <v>1</v>
      </c>
      <c r="E39" s="10">
        <f>(D11*IF(((E24-(SUMPRODUCT((1-E27:E33)*C7:C13)-IF(E31=FALSE,C11,0)))/($C$19+(SUMPRODUCT(E27:E33*D7:D13)-IF(E31=TRUE,D11,0))+D11))&gt;$C$21,((E24-(SUMPRODUCT((1-E27:E33)*C7:C13)-IF(E31=FALSE,C11,0)))+$C$20*$C$21)/(($C$19+(SUMPRODUCT(E27:E33*D7:D13)-IF(E31=TRUE,D11,0))+D11)+$C$20),((E24-(SUMPRODUCT((1-E27:E33)*C7:C13)-IF(E31=FALSE,C11,0)))/($C$19+(SUMPRODUCT(E27:E33*D7:D13)-IF(E31=TRUE,D11,0))+D11))))&gt;C11</f>
        <v>1</v>
      </c>
      <c r="F39" s="10">
        <f>(D11*IF(((F24-(SUMPRODUCT((1-F27:F33)*C7:C13)-IF(F31=FALSE,C11,0)))/($C$19+(SUMPRODUCT(F27:F33*D7:D13)-IF(F31=TRUE,D11,0))+D11))&gt;$C$21,((F24-(SUMPRODUCT((1-F27:F33)*C7:C13)-IF(F31=FALSE,C11,0)))+$C$20*$C$21)/(($C$19+(SUMPRODUCT(F27:F33*D7:D13)-IF(F31=TRUE,D11,0))+D11)+$C$20),((F24-(SUMPRODUCT((1-F27:F33)*C7:C13)-IF(F31=FALSE,C11,0)))/($C$19+(SUMPRODUCT(F27:F33*D7:D13)-IF(F31=TRUE,D11,0))+D11))))&gt;C11</f>
        <v>1</v>
      </c>
      <c r="G39" s="10">
        <f>(D11*IF(((G24-(SUMPRODUCT((1-G27:G33)*C7:C13)-IF(G31=FALSE,C11,0)))/($C$19+(SUMPRODUCT(G27:G33*D7:D13)-IF(G31=TRUE,D11,0))+D11))&gt;$C$21,((G24-(SUMPRODUCT((1-G27:G33)*C7:C13)-IF(G31=FALSE,C11,0)))+$C$20*$C$21)/(($C$19+(SUMPRODUCT(G27:G33*D7:D13)-IF(G31=TRUE,D11,0))+D11)+$C$20),((G24-(SUMPRODUCT((1-G27:G33)*C7:C13)-IF(G31=FALSE,C11,0)))/($C$19+(SUMPRODUCT(G27:G33*D7:D13)-IF(G31=TRUE,D11,0))+D11))))&gt;C11</f>
        <v>1</v>
      </c>
    </row>
    <row r="40" spans="2:7" x14ac:dyDescent="0.25">
      <c r="B40" s="28" t="s">
        <v>229</v>
      </c>
      <c r="C40" s="10">
        <f>(D12*IF(((C24-(SUMPRODUCT((1-C27:C33)*C7:C13)-IF(C32=FALSE,C12,0)))/($C$19+(SUMPRODUCT(C27:C33*D7:D13)-IF(C32=TRUE,D12,0))+D12))&gt;$C$21,((C24-(SUMPRODUCT((1-C27:C33)*C7:C13)-IF(C32=FALSE,C12,0)))+$C$20*$C$21)/(($C$19+(SUMPRODUCT(C27:C33*D7:D13)-IF(C32=TRUE,D12,0))+D12)+$C$20),((C24-(SUMPRODUCT((1-C27:C33)*C7:C13)-IF(C32=FALSE,C12,0)))/($C$19+(SUMPRODUCT(C27:C33*D7:D13)-IF(C32=TRUE,D12,0))+D12))))&gt;C12</f>
        <v>1</v>
      </c>
      <c r="D40" s="10">
        <f>(D12*IF(((D24-(SUMPRODUCT((1-D27:D33)*C7:C13)-IF(D32=FALSE,C12,0)))/($C$19+(SUMPRODUCT(D27:D33*D7:D13)-IF(D32=TRUE,D12,0))+D12))&gt;$C$21,((D24-(SUMPRODUCT((1-D27:D33)*C7:C13)-IF(D32=FALSE,C12,0)))+$C$20*$C$21)/(($C$19+(SUMPRODUCT(D27:D33*D7:D13)-IF(D32=TRUE,D12,0))+D12)+$C$20),((D24-(SUMPRODUCT((1-D27:D33)*C7:C13)-IF(D32=FALSE,C12,0)))/($C$19+(SUMPRODUCT(D27:D33*D7:D13)-IF(D32=TRUE,D12,0))+D12))))&gt;C12</f>
        <v>1</v>
      </c>
      <c r="E40" s="10">
        <f>(D12*IF(((E24-(SUMPRODUCT((1-E27:E33)*C7:C13)-IF(E32=FALSE,C12,0)))/($C$19+(SUMPRODUCT(E27:E33*D7:D13)-IF(E32=TRUE,D12,0))+D12))&gt;$C$21,((E24-(SUMPRODUCT((1-E27:E33)*C7:C13)-IF(E32=FALSE,C12,0)))+$C$20*$C$21)/(($C$19+(SUMPRODUCT(E27:E33*D7:D13)-IF(E32=TRUE,D12,0))+D12)+$C$20),((E24-(SUMPRODUCT((1-E27:E33)*C7:C13)-IF(E32=FALSE,C12,0)))/($C$19+(SUMPRODUCT(E27:E33*D7:D13)-IF(E32=TRUE,D12,0))+D12))))&gt;C12</f>
        <v>1</v>
      </c>
      <c r="F40" s="10">
        <f>(D12*IF(((F24-(SUMPRODUCT((1-F27:F33)*C7:C13)-IF(F32=FALSE,C12,0)))/($C$19+(SUMPRODUCT(F27:F33*D7:D13)-IF(F32=TRUE,D12,0))+D12))&gt;$C$21,((F24-(SUMPRODUCT((1-F27:F33)*C7:C13)-IF(F32=FALSE,C12,0)))+$C$20*$C$21)/(($C$19+(SUMPRODUCT(F27:F33*D7:D13)-IF(F32=TRUE,D12,0))+D12)+$C$20),((F24-(SUMPRODUCT((1-F27:F33)*C7:C13)-IF(F32=FALSE,C12,0)))/($C$19+(SUMPRODUCT(F27:F33*D7:D13)-IF(F32=TRUE,D12,0))+D12))))&gt;C12</f>
        <v>1</v>
      </c>
      <c r="G40" s="10">
        <f>(D12*IF(((G24-(SUMPRODUCT((1-G27:G33)*C7:C13)-IF(G32=FALSE,C12,0)))/($C$19+(SUMPRODUCT(G27:G33*D7:D13)-IF(G32=TRUE,D12,0))+D12))&gt;$C$21,((G24-(SUMPRODUCT((1-G27:G33)*C7:C13)-IF(G32=FALSE,C12,0)))+$C$20*$C$21)/(($C$19+(SUMPRODUCT(G27:G33*D7:D13)-IF(G32=TRUE,D12,0))+D12)+$C$20),((G24-(SUMPRODUCT((1-G27:G33)*C7:C13)-IF(G32=FALSE,C12,0)))/($C$19+(SUMPRODUCT(G27:G33*D7:D13)-IF(G32=TRUE,D12,0))+D12))))&gt;C12</f>
        <v>1</v>
      </c>
    </row>
    <row r="41" spans="2:7" x14ac:dyDescent="0.25">
      <c r="B41" s="28" t="s">
        <v>109</v>
      </c>
      <c r="C41" s="10">
        <f>(D13*IF(((C24-(SUMPRODUCT((1-C27:C33)*C7:C13)-IF(C33=FALSE,C13,0)))/($C$19+(SUMPRODUCT(C27:C33*D7:D13)-IF(C33=TRUE,D13,0))+D13))&gt;$C$21,((C24-(SUMPRODUCT((1-C27:C33)*C7:C13)-IF(C33=FALSE,C13,0)))+$C$20*$C$21)/(($C$19+(SUMPRODUCT(C27:C33*D7:D13)-IF(C33=TRUE,D13,0))+D13)+$C$20),((C24-(SUMPRODUCT((1-C27:C33)*C7:C13)-IF(C33=FALSE,C13,0)))/($C$19+(SUMPRODUCT(C27:C33*D7:D13)-IF(C33=TRUE,D13,0))+D13))))&gt;C13</f>
        <v>1</v>
      </c>
      <c r="D41" s="10">
        <f>(D13*IF(((D24-(SUMPRODUCT((1-D27:D33)*C7:C13)-IF(D33=FALSE,C13,0)))/($C$19+(SUMPRODUCT(D27:D33*D7:D13)-IF(D33=TRUE,D13,0))+D13))&gt;$C$21,((D24-(SUMPRODUCT((1-D27:D33)*C7:C13)-IF(D33=FALSE,C13,0)))+$C$20*$C$21)/(($C$19+(SUMPRODUCT(D27:D33*D7:D13)-IF(D33=TRUE,D13,0))+D13)+$C$20),((D24-(SUMPRODUCT((1-D27:D33)*C7:C13)-IF(D33=FALSE,C13,0)))/($C$19+(SUMPRODUCT(D27:D33*D7:D13)-IF(D33=TRUE,D13,0))+D13))))&gt;C13</f>
        <v>1</v>
      </c>
      <c r="E41" s="10">
        <f>(D13*IF(((E24-(SUMPRODUCT((1-E27:E33)*C7:C13)-IF(E33=FALSE,C13,0)))/($C$19+(SUMPRODUCT(E27:E33*D7:D13)-IF(E33=TRUE,D13,0))+D13))&gt;$C$21,((E24-(SUMPRODUCT((1-E27:E33)*C7:C13)-IF(E33=FALSE,C13,0)))+$C$20*$C$21)/(($C$19+(SUMPRODUCT(E27:E33*D7:D13)-IF(E33=TRUE,D13,0))+D13)+$C$20),((E24-(SUMPRODUCT((1-E27:E33)*C7:C13)-IF(E33=FALSE,C13,0)))/($C$19+(SUMPRODUCT(E27:E33*D7:D13)-IF(E33=TRUE,D13,0))+D13))))&gt;C13</f>
        <v>1</v>
      </c>
      <c r="F41" s="10">
        <f>(D13*IF(((F24-(SUMPRODUCT((1-F27:F33)*C7:C13)-IF(F33=FALSE,C13,0)))/($C$19+(SUMPRODUCT(F27:F33*D7:D13)-IF(F33=TRUE,D13,0))+D13))&gt;$C$21,((F24-(SUMPRODUCT((1-F27:F33)*C7:C13)-IF(F33=FALSE,C13,0)))+$C$20*$C$21)/(($C$19+(SUMPRODUCT(F27:F33*D7:D13)-IF(F33=TRUE,D13,0))+D13)+$C$20),((F24-(SUMPRODUCT((1-F27:F33)*C7:C13)-IF(F33=FALSE,C13,0)))/($C$19+(SUMPRODUCT(F27:F33*D7:D13)-IF(F33=TRUE,D13,0))+D13))))&gt;C13</f>
        <v>1</v>
      </c>
      <c r="G41" s="10">
        <f>(D13*IF(((G24-(SUMPRODUCT((1-G27:G33)*C7:C13)-IF(G33=FALSE,C13,0)))/($C$19+(SUMPRODUCT(G27:G33*D7:D13)-IF(G33=TRUE,D13,0))+D13))&gt;$C$21,((G24-(SUMPRODUCT((1-G27:G33)*C7:C13)-IF(G33=FALSE,C13,0)))+$C$20*$C$21)/(($C$19+(SUMPRODUCT(G27:G33*D7:D13)-IF(G33=TRUE,D13,0))+D13)+$C$20),((G24-(SUMPRODUCT((1-G27:G33)*C7:C13)-IF(G33=FALSE,C13,0)))/($C$19+(SUMPRODUCT(G27:G33*D7:D13)-IF(G33=TRUE,D13,0))+D13))))&gt;C13</f>
        <v>1</v>
      </c>
    </row>
    <row r="42" spans="2:7" x14ac:dyDescent="0.25">
      <c r="B42" s="26" t="s">
        <v>240</v>
      </c>
      <c r="C42" s="27" t="s">
        <v>3</v>
      </c>
      <c r="D42" s="27" t="s">
        <v>3</v>
      </c>
      <c r="E42" s="27" t="s">
        <v>3</v>
      </c>
      <c r="F42" s="27" t="s">
        <v>3</v>
      </c>
      <c r="G42" s="27" t="s">
        <v>3</v>
      </c>
    </row>
    <row r="43" spans="2:7" x14ac:dyDescent="0.25">
      <c r="B43" s="28" t="s">
        <v>224</v>
      </c>
      <c r="C43" s="10">
        <f>(D7*IF(((C24-(SUMPRODUCT((1-C35:C41)*C7:C13)-IF(C35=FALSE,C7,0)))/($C$19+(SUMPRODUCT(C35:C41*D7:D13)-IF(C35=TRUE,D7,0))+D7))&gt;$C$21,((C24-(SUMPRODUCT((1-C35:C41)*C7:C13)-IF(C35=FALSE,C7,0)))+$C$20*$C$21)/(($C$19+(SUMPRODUCT(C35:C41*D7:D13)-IF(C35=TRUE,D7,0))+D7)+$C$20),((C24-(SUMPRODUCT((1-C35:C41)*C7:C13)-IF(C35=FALSE,C7,0)))/($C$19+(SUMPRODUCT(C35:C41*D7:D13)-IF(C35=TRUE,D7,0))+D7))))&gt;C7</f>
        <v>0</v>
      </c>
      <c r="D43" s="10">
        <f>(D7*IF(((D24-(SUMPRODUCT((1-D35:D41)*C7:C13)-IF(D35=FALSE,C7,0)))/($C$19+(SUMPRODUCT(D35:D41*D7:D13)-IF(D35=TRUE,D7,0))+D7))&gt;$C$21,((D24-(SUMPRODUCT((1-D35:D41)*C7:C13)-IF(D35=FALSE,C7,0)))+$C$20*$C$21)/(($C$19+(SUMPRODUCT(D35:D41*D7:D13)-IF(D35=TRUE,D7,0))+D7)+$C$20),((D24-(SUMPRODUCT((1-D35:D41)*C7:C13)-IF(D35=FALSE,C7,0)))/($C$19+(SUMPRODUCT(D35:D41*D7:D13)-IF(D35=TRUE,D7,0))+D7))))&gt;C7</f>
        <v>0</v>
      </c>
      <c r="E43" s="10">
        <f>(D7*IF(((E24-(SUMPRODUCT((1-E35:E41)*C7:C13)-IF(E35=FALSE,C7,0)))/($C$19+(SUMPRODUCT(E35:E41*D7:D13)-IF(E35=TRUE,D7,0))+D7))&gt;$C$21,((E24-(SUMPRODUCT((1-E35:E41)*C7:C13)-IF(E35=FALSE,C7,0)))+$C$20*$C$21)/(($C$19+(SUMPRODUCT(E35:E41*D7:D13)-IF(E35=TRUE,D7,0))+D7)+$C$20),((E24-(SUMPRODUCT((1-E35:E41)*C7:C13)-IF(E35=FALSE,C7,0)))/($C$19+(SUMPRODUCT(E35:E41*D7:D13)-IF(E35=TRUE,D7,0))+D7))))&gt;C7</f>
        <v>1</v>
      </c>
      <c r="F43" s="10">
        <f>(D7*IF(((F24-(SUMPRODUCT((1-F35:F41)*C7:C13)-IF(F35=FALSE,C7,0)))/($C$19+(SUMPRODUCT(F35:F41*D7:D13)-IF(F35=TRUE,D7,0))+D7))&gt;$C$21,((F24-(SUMPRODUCT((1-F35:F41)*C7:C13)-IF(F35=FALSE,C7,0)))+$C$20*$C$21)/(($C$19+(SUMPRODUCT(F35:F41*D7:D13)-IF(F35=TRUE,D7,0))+D7)+$C$20),((F24-(SUMPRODUCT((1-F35:F41)*C7:C13)-IF(F35=FALSE,C7,0)))/($C$19+(SUMPRODUCT(F35:F41*D7:D13)-IF(F35=TRUE,D7,0))+D7))))&gt;C7</f>
        <v>1</v>
      </c>
      <c r="G43" s="10">
        <f>(D7*IF(((G24-(SUMPRODUCT((1-G35:G41)*C7:C13)-IF(G35=FALSE,C7,0)))/($C$19+(SUMPRODUCT(G35:G41*D7:D13)-IF(G35=TRUE,D7,0))+D7))&gt;$C$21,((G24-(SUMPRODUCT((1-G35:G41)*C7:C13)-IF(G35=FALSE,C7,0)))+$C$20*$C$21)/(($C$19+(SUMPRODUCT(G35:G41*D7:D13)-IF(G35=TRUE,D7,0))+D7)+$C$20),((G24-(SUMPRODUCT((1-G35:G41)*C7:C13)-IF(G35=FALSE,C7,0)))/($C$19+(SUMPRODUCT(G35:G41*D7:D13)-IF(G35=TRUE,D7,0))+D7))))&gt;C7</f>
        <v>1</v>
      </c>
    </row>
    <row r="44" spans="2:7" x14ac:dyDescent="0.25">
      <c r="B44" s="28" t="s">
        <v>225</v>
      </c>
      <c r="C44" s="10">
        <f>(D8*IF(((C24-(SUMPRODUCT((1-C35:C41)*C7:C13)-IF(C36=FALSE,C8,0)))/($C$19+(SUMPRODUCT(C35:C41*D7:D13)-IF(C36=TRUE,D8,0))+D8))&gt;$C$21,((C24-(SUMPRODUCT((1-C35:C41)*C7:C13)-IF(C36=FALSE,C8,0)))+$C$20*$C$21)/(($C$19+(SUMPRODUCT(C35:C41*D7:D13)-IF(C36=TRUE,D8,0))+D8)+$C$20),((C24-(SUMPRODUCT((1-C35:C41)*C7:C13)-IF(C36=FALSE,C8,0)))/($C$19+(SUMPRODUCT(C35:C41*D7:D13)-IF(C36=TRUE,D8,0))+D8))))&gt;C8</f>
        <v>0</v>
      </c>
      <c r="D44" s="10">
        <f>(D8*IF(((D24-(SUMPRODUCT((1-D35:D41)*C7:C13)-IF(D36=FALSE,C8,0)))/($C$19+(SUMPRODUCT(D35:D41*D7:D13)-IF(D36=TRUE,D8,0))+D8))&gt;$C$21,((D24-(SUMPRODUCT((1-D35:D41)*C7:C13)-IF(D36=FALSE,C8,0)))+$C$20*$C$21)/(($C$19+(SUMPRODUCT(D35:D41*D7:D13)-IF(D36=TRUE,D8,0))+D8)+$C$20),((D24-(SUMPRODUCT((1-D35:D41)*C7:C13)-IF(D36=FALSE,C8,0)))/($C$19+(SUMPRODUCT(D35:D41*D7:D13)-IF(D36=TRUE,D8,0))+D8))))&gt;C8</f>
        <v>0</v>
      </c>
      <c r="E44" s="10">
        <f>(D8*IF(((E24-(SUMPRODUCT((1-E35:E41)*C7:C13)-IF(E36=FALSE,C8,0)))/($C$19+(SUMPRODUCT(E35:E41*D7:D13)-IF(E36=TRUE,D8,0))+D8))&gt;$C$21,((E24-(SUMPRODUCT((1-E35:E41)*C7:C13)-IF(E36=FALSE,C8,0)))+$C$20*$C$21)/(($C$19+(SUMPRODUCT(E35:E41*D7:D13)-IF(E36=TRUE,D8,0))+D8)+$C$20),((E24-(SUMPRODUCT((1-E35:E41)*C7:C13)-IF(E36=FALSE,C8,0)))/($C$19+(SUMPRODUCT(E35:E41*D7:D13)-IF(E36=TRUE,D8,0))+D8))))&gt;C8</f>
        <v>1</v>
      </c>
      <c r="F44" s="10">
        <f>(D8*IF(((F24-(SUMPRODUCT((1-F35:F41)*C7:C13)-IF(F36=FALSE,C8,0)))/($C$19+(SUMPRODUCT(F35:F41*D7:D13)-IF(F36=TRUE,D8,0))+D8))&gt;$C$21,((F24-(SUMPRODUCT((1-F35:F41)*C7:C13)-IF(F36=FALSE,C8,0)))+$C$20*$C$21)/(($C$19+(SUMPRODUCT(F35:F41*D7:D13)-IF(F36=TRUE,D8,0))+D8)+$C$20),((F24-(SUMPRODUCT((1-F35:F41)*C7:C13)-IF(F36=FALSE,C8,0)))/($C$19+(SUMPRODUCT(F35:F41*D7:D13)-IF(F36=TRUE,D8,0))+D8))))&gt;C8</f>
        <v>1</v>
      </c>
      <c r="G44" s="10">
        <f>(D8*IF(((G24-(SUMPRODUCT((1-G35:G41)*C7:C13)-IF(G36=FALSE,C8,0)))/($C$19+(SUMPRODUCT(G35:G41*D7:D13)-IF(G36=TRUE,D8,0))+D8))&gt;$C$21,((G24-(SUMPRODUCT((1-G35:G41)*C7:C13)-IF(G36=FALSE,C8,0)))+$C$20*$C$21)/(($C$19+(SUMPRODUCT(G35:G41*D7:D13)-IF(G36=TRUE,D8,0))+D8)+$C$20),((G24-(SUMPRODUCT((1-G35:G41)*C7:C13)-IF(G36=FALSE,C8,0)))/($C$19+(SUMPRODUCT(G35:G41*D7:D13)-IF(G36=TRUE,D8,0))+D8))))&gt;C8</f>
        <v>1</v>
      </c>
    </row>
    <row r="45" spans="2:7" x14ac:dyDescent="0.25">
      <c r="B45" s="28" t="s">
        <v>226</v>
      </c>
      <c r="C45" s="10">
        <f>(D9*IF(((C24-(SUMPRODUCT((1-C35:C41)*C7:C13)-IF(C37=FALSE,C9,0)))/($C$19+(SUMPRODUCT(C35:C41*D7:D13)-IF(C37=TRUE,D9,0))+D9))&gt;$C$21,((C24-(SUMPRODUCT((1-C35:C41)*C7:C13)-IF(C37=FALSE,C9,0)))+$C$20*$C$21)/(($C$19+(SUMPRODUCT(C35:C41*D7:D13)-IF(C37=TRUE,D9,0))+D9)+$C$20),((C24-(SUMPRODUCT((1-C35:C41)*C7:C13)-IF(C37=FALSE,C9,0)))/($C$19+(SUMPRODUCT(C35:C41*D7:D13)-IF(C37=TRUE,D9,0))+D9))))&gt;C9</f>
        <v>0</v>
      </c>
      <c r="D45" s="10">
        <f>(D9*IF(((D24-(SUMPRODUCT((1-D35:D41)*C7:C13)-IF(D37=FALSE,C9,0)))/($C$19+(SUMPRODUCT(D35:D41*D7:D13)-IF(D37=TRUE,D9,0))+D9))&gt;$C$21,((D24-(SUMPRODUCT((1-D35:D41)*C7:C13)-IF(D37=FALSE,C9,0)))+$C$20*$C$21)/(($C$19+(SUMPRODUCT(D35:D41*D7:D13)-IF(D37=TRUE,D9,0))+D9)+$C$20),((D24-(SUMPRODUCT((1-D35:D41)*C7:C13)-IF(D37=FALSE,C9,0)))/($C$19+(SUMPRODUCT(D35:D41*D7:D13)-IF(D37=TRUE,D9,0))+D9))))&gt;C9</f>
        <v>0</v>
      </c>
      <c r="E45" s="10">
        <f>(D9*IF(((E24-(SUMPRODUCT((1-E35:E41)*C7:C13)-IF(E37=FALSE,C9,0)))/($C$19+(SUMPRODUCT(E35:E41*D7:D13)-IF(E37=TRUE,D9,0))+D9))&gt;$C$21,((E24-(SUMPRODUCT((1-E35:E41)*C7:C13)-IF(E37=FALSE,C9,0)))+$C$20*$C$21)/(($C$19+(SUMPRODUCT(E35:E41*D7:D13)-IF(E37=TRUE,D9,0))+D9)+$C$20),((E24-(SUMPRODUCT((1-E35:E41)*C7:C13)-IF(E37=FALSE,C9,0)))/($C$19+(SUMPRODUCT(E35:E41*D7:D13)-IF(E37=TRUE,D9,0))+D9))))&gt;C9</f>
        <v>0</v>
      </c>
      <c r="F45" s="10">
        <f>(D9*IF(((F24-(SUMPRODUCT((1-F35:F41)*C7:C13)-IF(F37=FALSE,C9,0)))/($C$19+(SUMPRODUCT(F35:F41*D7:D13)-IF(F37=TRUE,D9,0))+D9))&gt;$C$21,((F24-(SUMPRODUCT((1-F35:F41)*C7:C13)-IF(F37=FALSE,C9,0)))+$C$20*$C$21)/(($C$19+(SUMPRODUCT(F35:F41*D7:D13)-IF(F37=TRUE,D9,0))+D9)+$C$20),((F24-(SUMPRODUCT((1-F35:F41)*C7:C13)-IF(F37=FALSE,C9,0)))/($C$19+(SUMPRODUCT(F35:F41*D7:D13)-IF(F37=TRUE,D9,0))+D9))))&gt;C9</f>
        <v>1</v>
      </c>
      <c r="G45" s="10">
        <f>(D9*IF(((G24-(SUMPRODUCT((1-G35:G41)*C7:C13)-IF(G37=FALSE,C9,0)))/($C$19+(SUMPRODUCT(G35:G41*D7:D13)-IF(G37=TRUE,D9,0))+D9))&gt;$C$21,((G24-(SUMPRODUCT((1-G35:G41)*C7:C13)-IF(G37=FALSE,C9,0)))+$C$20*$C$21)/(($C$19+(SUMPRODUCT(G35:G41*D7:D13)-IF(G37=TRUE,D9,0))+D9)+$C$20),((G24-(SUMPRODUCT((1-G35:G41)*C7:C13)-IF(G37=FALSE,C9,0)))/($C$19+(SUMPRODUCT(G35:G41*D7:D13)-IF(G37=TRUE,D9,0))+D9))))&gt;C9</f>
        <v>1</v>
      </c>
    </row>
    <row r="46" spans="2:7" x14ac:dyDescent="0.25">
      <c r="B46" s="28" t="s">
        <v>227</v>
      </c>
      <c r="C46" s="10">
        <f>(D10*IF(((C24-(SUMPRODUCT((1-C35:C41)*C7:C13)-IF(C38=FALSE,C10,0)))/($C$19+(SUMPRODUCT(C35:C41*D7:D13)-IF(C38=TRUE,D10,0))+D10))&gt;$C$21,((C24-(SUMPRODUCT((1-C35:C41)*C7:C13)-IF(C38=FALSE,C10,0)))+$C$20*$C$21)/(($C$19+(SUMPRODUCT(C35:C41*D7:D13)-IF(C38=TRUE,D10,0))+D10)+$C$20),((C24-(SUMPRODUCT((1-C35:C41)*C7:C13)-IF(C38=FALSE,C10,0)))/($C$19+(SUMPRODUCT(C35:C41*D7:D13)-IF(C38=TRUE,D10,0))+D10))))&gt;C10</f>
        <v>0</v>
      </c>
      <c r="D46" s="10">
        <f>(D10*IF(((D24-(SUMPRODUCT((1-D35:D41)*C7:C13)-IF(D38=FALSE,C10,0)))/($C$19+(SUMPRODUCT(D35:D41*D7:D13)-IF(D38=TRUE,D10,0))+D10))&gt;$C$21,((D24-(SUMPRODUCT((1-D35:D41)*C7:C13)-IF(D38=FALSE,C10,0)))+$C$20*$C$21)/(($C$19+(SUMPRODUCT(D35:D41*D7:D13)-IF(D38=TRUE,D10,0))+D10)+$C$20),((D24-(SUMPRODUCT((1-D35:D41)*C7:C13)-IF(D38=FALSE,C10,0)))/($C$19+(SUMPRODUCT(D35:D41*D7:D13)-IF(D38=TRUE,D10,0))+D10))))&gt;C10</f>
        <v>1</v>
      </c>
      <c r="E46" s="10">
        <f>(D10*IF(((E24-(SUMPRODUCT((1-E35:E41)*C7:C13)-IF(E38=FALSE,C10,0)))/($C$19+(SUMPRODUCT(E35:E41*D7:D13)-IF(E38=TRUE,D10,0))+D10))&gt;$C$21,((E24-(SUMPRODUCT((1-E35:E41)*C7:C13)-IF(E38=FALSE,C10,0)))+$C$20*$C$21)/(($C$19+(SUMPRODUCT(E35:E41*D7:D13)-IF(E38=TRUE,D10,0))+D10)+$C$20),((E24-(SUMPRODUCT((1-E35:E41)*C7:C13)-IF(E38=FALSE,C10,0)))/($C$19+(SUMPRODUCT(E35:E41*D7:D13)-IF(E38=TRUE,D10,0))+D10))))&gt;C10</f>
        <v>1</v>
      </c>
      <c r="F46" s="10">
        <f>(D10*IF(((F24-(SUMPRODUCT((1-F35:F41)*C7:C13)-IF(F38=FALSE,C10,0)))/($C$19+(SUMPRODUCT(F35:F41*D7:D13)-IF(F38=TRUE,D10,0))+D10))&gt;$C$21,((F24-(SUMPRODUCT((1-F35:F41)*C7:C13)-IF(F38=FALSE,C10,0)))+$C$20*$C$21)/(($C$19+(SUMPRODUCT(F35:F41*D7:D13)-IF(F38=TRUE,D10,0))+D10)+$C$20),((F24-(SUMPRODUCT((1-F35:F41)*C7:C13)-IF(F38=FALSE,C10,0)))/($C$19+(SUMPRODUCT(F35:F41*D7:D13)-IF(F38=TRUE,D10,0))+D10))))&gt;C10</f>
        <v>1</v>
      </c>
      <c r="G46" s="10">
        <f>(D10*IF(((G24-(SUMPRODUCT((1-G35:G41)*C7:C13)-IF(G38=FALSE,C10,0)))/($C$19+(SUMPRODUCT(G35:G41*D7:D13)-IF(G38=TRUE,D10,0))+D10))&gt;$C$21,((G24-(SUMPRODUCT((1-G35:G41)*C7:C13)-IF(G38=FALSE,C10,0)))+$C$20*$C$21)/(($C$19+(SUMPRODUCT(G35:G41*D7:D13)-IF(G38=TRUE,D10,0))+D10)+$C$20),((G24-(SUMPRODUCT((1-G35:G41)*C7:C13)-IF(G38=FALSE,C10,0)))/($C$19+(SUMPRODUCT(G35:G41*D7:D13)-IF(G38=TRUE,D10,0))+D10))))&gt;C10</f>
        <v>1</v>
      </c>
    </row>
    <row r="47" spans="2:7" x14ac:dyDescent="0.25">
      <c r="B47" s="28" t="s">
        <v>228</v>
      </c>
      <c r="C47" s="10">
        <f>(D11*IF(((C24-(SUMPRODUCT((1-C35:C41)*C7:C13)-IF(C39=FALSE,C11,0)))/($C$19+(SUMPRODUCT(C35:C41*D7:D13)-IF(C39=TRUE,D11,0))+D11))&gt;$C$21,((C24-(SUMPRODUCT((1-C35:C41)*C7:C13)-IF(C39=FALSE,C11,0)))+$C$20*$C$21)/(($C$19+(SUMPRODUCT(C35:C41*D7:D13)-IF(C39=TRUE,D11,0))+D11)+$C$20),((C24-(SUMPRODUCT((1-C35:C41)*C7:C13)-IF(C39=FALSE,C11,0)))/($C$19+(SUMPRODUCT(C35:C41*D7:D13)-IF(C39=TRUE,D11,0))+D11))))&gt;C11</f>
        <v>0</v>
      </c>
      <c r="D47" s="10">
        <f>(D11*IF(((D24-(SUMPRODUCT((1-D35:D41)*C7:C13)-IF(D39=FALSE,C11,0)))/($C$19+(SUMPRODUCT(D35:D41*D7:D13)-IF(D39=TRUE,D11,0))+D11))&gt;$C$21,((D24-(SUMPRODUCT((1-D35:D41)*C7:C13)-IF(D39=FALSE,C11,0)))+$C$20*$C$21)/(($C$19+(SUMPRODUCT(D35:D41*D7:D13)-IF(D39=TRUE,D11,0))+D11)+$C$20),((D24-(SUMPRODUCT((1-D35:D41)*C7:C13)-IF(D39=FALSE,C11,0)))/($C$19+(SUMPRODUCT(D35:D41*D7:D13)-IF(D39=TRUE,D11,0))+D11))))&gt;C11</f>
        <v>1</v>
      </c>
      <c r="E47" s="10">
        <f>(D11*IF(((E24-(SUMPRODUCT((1-E35:E41)*C7:C13)-IF(E39=FALSE,C11,0)))/($C$19+(SUMPRODUCT(E35:E41*D7:D13)-IF(E39=TRUE,D11,0))+D11))&gt;$C$21,((E24-(SUMPRODUCT((1-E35:E41)*C7:C13)-IF(E39=FALSE,C11,0)))+$C$20*$C$21)/(($C$19+(SUMPRODUCT(E35:E41*D7:D13)-IF(E39=TRUE,D11,0))+D11)+$C$20),((E24-(SUMPRODUCT((1-E35:E41)*C7:C13)-IF(E39=FALSE,C11,0)))/($C$19+(SUMPRODUCT(E35:E41*D7:D13)-IF(E39=TRUE,D11,0))+D11))))&gt;C11</f>
        <v>1</v>
      </c>
      <c r="F47" s="10">
        <f>(D11*IF(((F24-(SUMPRODUCT((1-F35:F41)*C7:C13)-IF(F39=FALSE,C11,0)))/($C$19+(SUMPRODUCT(F35:F41*D7:D13)-IF(F39=TRUE,D11,0))+D11))&gt;$C$21,((F24-(SUMPRODUCT((1-F35:F41)*C7:C13)-IF(F39=FALSE,C11,0)))+$C$20*$C$21)/(($C$19+(SUMPRODUCT(F35:F41*D7:D13)-IF(F39=TRUE,D11,0))+D11)+$C$20),((F24-(SUMPRODUCT((1-F35:F41)*C7:C13)-IF(F39=FALSE,C11,0)))/($C$19+(SUMPRODUCT(F35:F41*D7:D13)-IF(F39=TRUE,D11,0))+D11))))&gt;C11</f>
        <v>1</v>
      </c>
      <c r="G47" s="10">
        <f>(D11*IF(((G24-(SUMPRODUCT((1-G35:G41)*C7:C13)-IF(G39=FALSE,C11,0)))/($C$19+(SUMPRODUCT(G35:G41*D7:D13)-IF(G39=TRUE,D11,0))+D11))&gt;$C$21,((G24-(SUMPRODUCT((1-G35:G41)*C7:C13)-IF(G39=FALSE,C11,0)))+$C$20*$C$21)/(($C$19+(SUMPRODUCT(G35:G41*D7:D13)-IF(G39=TRUE,D11,0))+D11)+$C$20),((G24-(SUMPRODUCT((1-G35:G41)*C7:C13)-IF(G39=FALSE,C11,0)))/($C$19+(SUMPRODUCT(G35:G41*D7:D13)-IF(G39=TRUE,D11,0))+D11))))&gt;C11</f>
        <v>1</v>
      </c>
    </row>
    <row r="48" spans="2:7" x14ac:dyDescent="0.25">
      <c r="B48" s="28" t="s">
        <v>229</v>
      </c>
      <c r="C48" s="10">
        <f>(D12*IF(((C24-(SUMPRODUCT((1-C35:C41)*C7:C13)-IF(C40=FALSE,C12,0)))/($C$19+(SUMPRODUCT(C35:C41*D7:D13)-IF(C40=TRUE,D12,0))+D12))&gt;$C$21,((C24-(SUMPRODUCT((1-C35:C41)*C7:C13)-IF(C40=FALSE,C12,0)))+$C$20*$C$21)/(($C$19+(SUMPRODUCT(C35:C41*D7:D13)-IF(C40=TRUE,D12,0))+D12)+$C$20),((C24-(SUMPRODUCT((1-C35:C41)*C7:C13)-IF(C40=FALSE,C12,0)))/($C$19+(SUMPRODUCT(C35:C41*D7:D13)-IF(C40=TRUE,D12,0))+D12))))&gt;C12</f>
        <v>1</v>
      </c>
      <c r="D48" s="10">
        <f>(D12*IF(((D24-(SUMPRODUCT((1-D35:D41)*C7:C13)-IF(D40=FALSE,C12,0)))/($C$19+(SUMPRODUCT(D35:D41*D7:D13)-IF(D40=TRUE,D12,0))+D12))&gt;$C$21,((D24-(SUMPRODUCT((1-D35:D41)*C7:C13)-IF(D40=FALSE,C12,0)))+$C$20*$C$21)/(($C$19+(SUMPRODUCT(D35:D41*D7:D13)-IF(D40=TRUE,D12,0))+D12)+$C$20),((D24-(SUMPRODUCT((1-D35:D41)*C7:C13)-IF(D40=FALSE,C12,0)))/($C$19+(SUMPRODUCT(D35:D41*D7:D13)-IF(D40=TRUE,D12,0))+D12))))&gt;C12</f>
        <v>1</v>
      </c>
      <c r="E48" s="10">
        <f>(D12*IF(((E24-(SUMPRODUCT((1-E35:E41)*C7:C13)-IF(E40=FALSE,C12,0)))/($C$19+(SUMPRODUCT(E35:E41*D7:D13)-IF(E40=TRUE,D12,0))+D12))&gt;$C$21,((E24-(SUMPRODUCT((1-E35:E41)*C7:C13)-IF(E40=FALSE,C12,0)))+$C$20*$C$21)/(($C$19+(SUMPRODUCT(E35:E41*D7:D13)-IF(E40=TRUE,D12,0))+D12)+$C$20),((E24-(SUMPRODUCT((1-E35:E41)*C7:C13)-IF(E40=FALSE,C12,0)))/($C$19+(SUMPRODUCT(E35:E41*D7:D13)-IF(E40=TRUE,D12,0))+D12))))&gt;C12</f>
        <v>1</v>
      </c>
      <c r="F48" s="10">
        <f>(D12*IF(((F24-(SUMPRODUCT((1-F35:F41)*C7:C13)-IF(F40=FALSE,C12,0)))/($C$19+(SUMPRODUCT(F35:F41*D7:D13)-IF(F40=TRUE,D12,0))+D12))&gt;$C$21,((F24-(SUMPRODUCT((1-F35:F41)*C7:C13)-IF(F40=FALSE,C12,0)))+$C$20*$C$21)/(($C$19+(SUMPRODUCT(F35:F41*D7:D13)-IF(F40=TRUE,D12,0))+D12)+$C$20),((F24-(SUMPRODUCT((1-F35:F41)*C7:C13)-IF(F40=FALSE,C12,0)))/($C$19+(SUMPRODUCT(F35:F41*D7:D13)-IF(F40=TRUE,D12,0))+D12))))&gt;C12</f>
        <v>1</v>
      </c>
      <c r="G48" s="10">
        <f>(D12*IF(((G24-(SUMPRODUCT((1-G35:G41)*C7:C13)-IF(G40=FALSE,C12,0)))/($C$19+(SUMPRODUCT(G35:G41*D7:D13)-IF(G40=TRUE,D12,0))+D12))&gt;$C$21,((G24-(SUMPRODUCT((1-G35:G41)*C7:C13)-IF(G40=FALSE,C12,0)))+$C$20*$C$21)/(($C$19+(SUMPRODUCT(G35:G41*D7:D13)-IF(G40=TRUE,D12,0))+D12)+$C$20),((G24-(SUMPRODUCT((1-G35:G41)*C7:C13)-IF(G40=FALSE,C12,0)))/($C$19+(SUMPRODUCT(G35:G41*D7:D13)-IF(G40=TRUE,D12,0))+D12))))&gt;C12</f>
        <v>1</v>
      </c>
    </row>
    <row r="49" spans="2:7" x14ac:dyDescent="0.25">
      <c r="B49" s="28" t="s">
        <v>109</v>
      </c>
      <c r="C49" s="10">
        <f>(D13*IF(((C24-(SUMPRODUCT((1-C35:C41)*C7:C13)-IF(C41=FALSE,C13,0)))/($C$19+(SUMPRODUCT(C35:C41*D7:D13)-IF(C41=TRUE,D13,0))+D13))&gt;$C$21,((C24-(SUMPRODUCT((1-C35:C41)*C7:C13)-IF(C41=FALSE,C13,0)))+$C$20*$C$21)/(($C$19+(SUMPRODUCT(C35:C41*D7:D13)-IF(C41=TRUE,D13,0))+D13)+$C$20),((C24-(SUMPRODUCT((1-C35:C41)*C7:C13)-IF(C41=FALSE,C13,0)))/($C$19+(SUMPRODUCT(C35:C41*D7:D13)-IF(C41=TRUE,D13,0))+D13))))&gt;C13</f>
        <v>1</v>
      </c>
      <c r="D49" s="10">
        <f>(D13*IF(((D24-(SUMPRODUCT((1-D35:D41)*C7:C13)-IF(D41=FALSE,C13,0)))/($C$19+(SUMPRODUCT(D35:D41*D7:D13)-IF(D41=TRUE,D13,0))+D13))&gt;$C$21,((D24-(SUMPRODUCT((1-D35:D41)*C7:C13)-IF(D41=FALSE,C13,0)))+$C$20*$C$21)/(($C$19+(SUMPRODUCT(D35:D41*D7:D13)-IF(D41=TRUE,D13,0))+D13)+$C$20),((D24-(SUMPRODUCT((1-D35:D41)*C7:C13)-IF(D41=FALSE,C13,0)))/($C$19+(SUMPRODUCT(D35:D41*D7:D13)-IF(D41=TRUE,D13,0))+D13))))&gt;C13</f>
        <v>1</v>
      </c>
      <c r="E49" s="10">
        <f>(D13*IF(((E24-(SUMPRODUCT((1-E35:E41)*C7:C13)-IF(E41=FALSE,C13,0)))/($C$19+(SUMPRODUCT(E35:E41*D7:D13)-IF(E41=TRUE,D13,0))+D13))&gt;$C$21,((E24-(SUMPRODUCT((1-E35:E41)*C7:C13)-IF(E41=FALSE,C13,0)))+$C$20*$C$21)/(($C$19+(SUMPRODUCT(E35:E41*D7:D13)-IF(E41=TRUE,D13,0))+D13)+$C$20),((E24-(SUMPRODUCT((1-E35:E41)*C7:C13)-IF(E41=FALSE,C13,0)))/($C$19+(SUMPRODUCT(E35:E41*D7:D13)-IF(E41=TRUE,D13,0))+D13))))&gt;C13</f>
        <v>1</v>
      </c>
      <c r="F49" s="10">
        <f>(D13*IF(((F24-(SUMPRODUCT((1-F35:F41)*C7:C13)-IF(F41=FALSE,C13,0)))/($C$19+(SUMPRODUCT(F35:F41*D7:D13)-IF(F41=TRUE,D13,0))+D13))&gt;$C$21,((F24-(SUMPRODUCT((1-F35:F41)*C7:C13)-IF(F41=FALSE,C13,0)))+$C$20*$C$21)/(($C$19+(SUMPRODUCT(F35:F41*D7:D13)-IF(F41=TRUE,D13,0))+D13)+$C$20),((F24-(SUMPRODUCT((1-F35:F41)*C7:C13)-IF(F41=FALSE,C13,0)))/($C$19+(SUMPRODUCT(F35:F41*D7:D13)-IF(F41=TRUE,D13,0))+D13))))&gt;C13</f>
        <v>1</v>
      </c>
      <c r="G49" s="10">
        <f>(D13*IF(((G24-(SUMPRODUCT((1-G35:G41)*C7:C13)-IF(G41=FALSE,C13,0)))/($C$19+(SUMPRODUCT(G35:G41*D7:D13)-IF(G41=TRUE,D13,0))+D13))&gt;$C$21,((G24-(SUMPRODUCT((1-G35:G41)*C7:C13)-IF(G41=FALSE,C13,0)))+$C$20*$C$21)/(($C$19+(SUMPRODUCT(G35:G41*D7:D13)-IF(G41=TRUE,D13,0))+D13)+$C$20),((G24-(SUMPRODUCT((1-G35:G41)*C7:C13)-IF(G41=FALSE,C13,0)))/($C$19+(SUMPRODUCT(G35:G41*D7:D13)-IF(G41=TRUE,D13,0))+D13))))&gt;C13</f>
        <v>1</v>
      </c>
    </row>
    <row r="50" spans="2:7" x14ac:dyDescent="0.25">
      <c r="B50" s="26" t="s">
        <v>241</v>
      </c>
      <c r="C50" s="27" t="s">
        <v>3</v>
      </c>
      <c r="D50" s="27" t="s">
        <v>3</v>
      </c>
      <c r="E50" s="27" t="s">
        <v>3</v>
      </c>
      <c r="F50" s="27" t="s">
        <v>3</v>
      </c>
      <c r="G50" s="27" t="s">
        <v>3</v>
      </c>
    </row>
    <row r="51" spans="2:7" x14ac:dyDescent="0.25">
      <c r="B51" s="28" t="s">
        <v>224</v>
      </c>
      <c r="C51" s="10">
        <f>(D7*IF(((C24-(SUMPRODUCT((1-C43:C49)*C7:C13)-IF(C43=FALSE,C7,0)))/($C$19+(SUMPRODUCT(C43:C49*D7:D13)-IF(C43=TRUE,D7,0))+D7))&gt;$C$21,((C24-(SUMPRODUCT((1-C43:C49)*C7:C13)-IF(C43=FALSE,C7,0)))+$C$20*$C$21)/(($C$19+(SUMPRODUCT(C43:C49*D7:D13)-IF(C43=TRUE,D7,0))+D7)+$C$20),((C24-(SUMPRODUCT((1-C43:C49)*C7:C13)-IF(C43=FALSE,C7,0)))/($C$19+(SUMPRODUCT(C43:C49*D7:D13)-IF(C43=TRUE,D7,0))+D7))))&gt;C7</f>
        <v>0</v>
      </c>
      <c r="D51" s="10">
        <f>(D7*IF(((D24-(SUMPRODUCT((1-D43:D49)*C7:C13)-IF(D43=FALSE,C7,0)))/($C$19+(SUMPRODUCT(D43:D49*D7:D13)-IF(D43=TRUE,D7,0))+D7))&gt;$C$21,((D24-(SUMPRODUCT((1-D43:D49)*C7:C13)-IF(D43=FALSE,C7,0)))+$C$20*$C$21)/(($C$19+(SUMPRODUCT(D43:D49*D7:D13)-IF(D43=TRUE,D7,0))+D7)+$C$20),((D24-(SUMPRODUCT((1-D43:D49)*C7:C13)-IF(D43=FALSE,C7,0)))/($C$19+(SUMPRODUCT(D43:D49*D7:D13)-IF(D43=TRUE,D7,0))+D7))))&gt;C7</f>
        <v>0</v>
      </c>
      <c r="E51" s="10">
        <f>(D7*IF(((E24-(SUMPRODUCT((1-E43:E49)*C7:C13)-IF(E43=FALSE,C7,0)))/($C$19+(SUMPRODUCT(E43:E49*D7:D13)-IF(E43=TRUE,D7,0))+D7))&gt;$C$21,((E24-(SUMPRODUCT((1-E43:E49)*C7:C13)-IF(E43=FALSE,C7,0)))+$C$20*$C$21)/(($C$19+(SUMPRODUCT(E43:E49*D7:D13)-IF(E43=TRUE,D7,0))+D7)+$C$20),((E24-(SUMPRODUCT((1-E43:E49)*C7:C13)-IF(E43=FALSE,C7,0)))/($C$19+(SUMPRODUCT(E43:E49*D7:D13)-IF(E43=TRUE,D7,0))+D7))))&gt;C7</f>
        <v>1</v>
      </c>
      <c r="F51" s="10">
        <f>(D7*IF(((F24-(SUMPRODUCT((1-F43:F49)*C7:C13)-IF(F43=FALSE,C7,0)))/($C$19+(SUMPRODUCT(F43:F49*D7:D13)-IF(F43=TRUE,D7,0))+D7))&gt;$C$21,((F24-(SUMPRODUCT((1-F43:F49)*C7:C13)-IF(F43=FALSE,C7,0)))+$C$20*$C$21)/(($C$19+(SUMPRODUCT(F43:F49*D7:D13)-IF(F43=TRUE,D7,0))+D7)+$C$20),((F24-(SUMPRODUCT((1-F43:F49)*C7:C13)-IF(F43=FALSE,C7,0)))/($C$19+(SUMPRODUCT(F43:F49*D7:D13)-IF(F43=TRUE,D7,0))+D7))))&gt;C7</f>
        <v>1</v>
      </c>
      <c r="G51" s="10">
        <f>(D7*IF(((G24-(SUMPRODUCT((1-G43:G49)*C7:C13)-IF(G43=FALSE,C7,0)))/($C$19+(SUMPRODUCT(G43:G49*D7:D13)-IF(G43=TRUE,D7,0))+D7))&gt;$C$21,((G24-(SUMPRODUCT((1-G43:G49)*C7:C13)-IF(G43=FALSE,C7,0)))+$C$20*$C$21)/(($C$19+(SUMPRODUCT(G43:G49*D7:D13)-IF(G43=TRUE,D7,0))+D7)+$C$20),((G24-(SUMPRODUCT((1-G43:G49)*C7:C13)-IF(G43=FALSE,C7,0)))/($C$19+(SUMPRODUCT(G43:G49*D7:D13)-IF(G43=TRUE,D7,0))+D7))))&gt;C7</f>
        <v>1</v>
      </c>
    </row>
    <row r="52" spans="2:7" x14ac:dyDescent="0.25">
      <c r="B52" s="28" t="s">
        <v>225</v>
      </c>
      <c r="C52" s="10">
        <f>(D8*IF(((C24-(SUMPRODUCT((1-C43:C49)*C7:C13)-IF(C44=FALSE,C8,0)))/($C$19+(SUMPRODUCT(C43:C49*D7:D13)-IF(C44=TRUE,D8,0))+D8))&gt;$C$21,((C24-(SUMPRODUCT((1-C43:C49)*C7:C13)-IF(C44=FALSE,C8,0)))+$C$20*$C$21)/(($C$19+(SUMPRODUCT(C43:C49*D7:D13)-IF(C44=TRUE,D8,0))+D8)+$C$20),((C24-(SUMPRODUCT((1-C43:C49)*C7:C13)-IF(C44=FALSE,C8,0)))/($C$19+(SUMPRODUCT(C43:C49*D7:D13)-IF(C44=TRUE,D8,0))+D8))))&gt;C8</f>
        <v>0</v>
      </c>
      <c r="D52" s="10">
        <f>(D8*IF(((D24-(SUMPRODUCT((1-D43:D49)*C7:C13)-IF(D44=FALSE,C8,0)))/($C$19+(SUMPRODUCT(D43:D49*D7:D13)-IF(D44=TRUE,D8,0))+D8))&gt;$C$21,((D24-(SUMPRODUCT((1-D43:D49)*C7:C13)-IF(D44=FALSE,C8,0)))+$C$20*$C$21)/(($C$19+(SUMPRODUCT(D43:D49*D7:D13)-IF(D44=TRUE,D8,0))+D8)+$C$20),((D24-(SUMPRODUCT((1-D43:D49)*C7:C13)-IF(D44=FALSE,C8,0)))/($C$19+(SUMPRODUCT(D43:D49*D7:D13)-IF(D44=TRUE,D8,0))+D8))))&gt;C8</f>
        <v>0</v>
      </c>
      <c r="E52" s="10">
        <f>(D8*IF(((E24-(SUMPRODUCT((1-E43:E49)*C7:C13)-IF(E44=FALSE,C8,0)))/($C$19+(SUMPRODUCT(E43:E49*D7:D13)-IF(E44=TRUE,D8,0))+D8))&gt;$C$21,((E24-(SUMPRODUCT((1-E43:E49)*C7:C13)-IF(E44=FALSE,C8,0)))+$C$20*$C$21)/(($C$19+(SUMPRODUCT(E43:E49*D7:D13)-IF(E44=TRUE,D8,0))+D8)+$C$20),((E24-(SUMPRODUCT((1-E43:E49)*C7:C13)-IF(E44=FALSE,C8,0)))/($C$19+(SUMPRODUCT(E43:E49*D7:D13)-IF(E44=TRUE,D8,0))+D8))))&gt;C8</f>
        <v>1</v>
      </c>
      <c r="F52" s="10">
        <f>(D8*IF(((F24-(SUMPRODUCT((1-F43:F49)*C7:C13)-IF(F44=FALSE,C8,0)))/($C$19+(SUMPRODUCT(F43:F49*D7:D13)-IF(F44=TRUE,D8,0))+D8))&gt;$C$21,((F24-(SUMPRODUCT((1-F43:F49)*C7:C13)-IF(F44=FALSE,C8,0)))+$C$20*$C$21)/(($C$19+(SUMPRODUCT(F43:F49*D7:D13)-IF(F44=TRUE,D8,0))+D8)+$C$20),((F24-(SUMPRODUCT((1-F43:F49)*C7:C13)-IF(F44=FALSE,C8,0)))/($C$19+(SUMPRODUCT(F43:F49*D7:D13)-IF(F44=TRUE,D8,0))+D8))))&gt;C8</f>
        <v>1</v>
      </c>
      <c r="G52" s="10">
        <f>(D8*IF(((G24-(SUMPRODUCT((1-G43:G49)*C7:C13)-IF(G44=FALSE,C8,0)))/($C$19+(SUMPRODUCT(G43:G49*D7:D13)-IF(G44=TRUE,D8,0))+D8))&gt;$C$21,((G24-(SUMPRODUCT((1-G43:G49)*C7:C13)-IF(G44=FALSE,C8,0)))+$C$20*$C$21)/(($C$19+(SUMPRODUCT(G43:G49*D7:D13)-IF(G44=TRUE,D8,0))+D8)+$C$20),((G24-(SUMPRODUCT((1-G43:G49)*C7:C13)-IF(G44=FALSE,C8,0)))/($C$19+(SUMPRODUCT(G43:G49*D7:D13)-IF(G44=TRUE,D8,0))+D8))))&gt;C8</f>
        <v>1</v>
      </c>
    </row>
    <row r="53" spans="2:7" x14ac:dyDescent="0.25">
      <c r="B53" s="28" t="s">
        <v>226</v>
      </c>
      <c r="C53" s="10">
        <f>(D9*IF(((C24-(SUMPRODUCT((1-C43:C49)*C7:C13)-IF(C45=FALSE,C9,0)))/($C$19+(SUMPRODUCT(C43:C49*D7:D13)-IF(C45=TRUE,D9,0))+D9))&gt;$C$21,((C24-(SUMPRODUCT((1-C43:C49)*C7:C13)-IF(C45=FALSE,C9,0)))+$C$20*$C$21)/(($C$19+(SUMPRODUCT(C43:C49*D7:D13)-IF(C45=TRUE,D9,0))+D9)+$C$20),((C24-(SUMPRODUCT((1-C43:C49)*C7:C13)-IF(C45=FALSE,C9,0)))/($C$19+(SUMPRODUCT(C43:C49*D7:D13)-IF(C45=TRUE,D9,0))+D9))))&gt;C9</f>
        <v>0</v>
      </c>
      <c r="D53" s="10">
        <f>(D9*IF(((D24-(SUMPRODUCT((1-D43:D49)*C7:C13)-IF(D45=FALSE,C9,0)))/($C$19+(SUMPRODUCT(D43:D49*D7:D13)-IF(D45=TRUE,D9,0))+D9))&gt;$C$21,((D24-(SUMPRODUCT((1-D43:D49)*C7:C13)-IF(D45=FALSE,C9,0)))+$C$20*$C$21)/(($C$19+(SUMPRODUCT(D43:D49*D7:D13)-IF(D45=TRUE,D9,0))+D9)+$C$20),((D24-(SUMPRODUCT((1-D43:D49)*C7:C13)-IF(D45=FALSE,C9,0)))/($C$19+(SUMPRODUCT(D43:D49*D7:D13)-IF(D45=TRUE,D9,0))+D9))))&gt;C9</f>
        <v>0</v>
      </c>
      <c r="E53" s="10">
        <f>(D9*IF(((E24-(SUMPRODUCT((1-E43:E49)*C7:C13)-IF(E45=FALSE,C9,0)))/($C$19+(SUMPRODUCT(E43:E49*D7:D13)-IF(E45=TRUE,D9,0))+D9))&gt;$C$21,((E24-(SUMPRODUCT((1-E43:E49)*C7:C13)-IF(E45=FALSE,C9,0)))+$C$20*$C$21)/(($C$19+(SUMPRODUCT(E43:E49*D7:D13)-IF(E45=TRUE,D9,0))+D9)+$C$20),((E24-(SUMPRODUCT((1-E43:E49)*C7:C13)-IF(E45=FALSE,C9,0)))/($C$19+(SUMPRODUCT(E43:E49*D7:D13)-IF(E45=TRUE,D9,0))+D9))))&gt;C9</f>
        <v>0</v>
      </c>
      <c r="F53" s="10">
        <f>(D9*IF(((F24-(SUMPRODUCT((1-F43:F49)*C7:C13)-IF(F45=FALSE,C9,0)))/($C$19+(SUMPRODUCT(F43:F49*D7:D13)-IF(F45=TRUE,D9,0))+D9))&gt;$C$21,((F24-(SUMPRODUCT((1-F43:F49)*C7:C13)-IF(F45=FALSE,C9,0)))+$C$20*$C$21)/(($C$19+(SUMPRODUCT(F43:F49*D7:D13)-IF(F45=TRUE,D9,0))+D9)+$C$20),((F24-(SUMPRODUCT((1-F43:F49)*C7:C13)-IF(F45=FALSE,C9,0)))/($C$19+(SUMPRODUCT(F43:F49*D7:D13)-IF(F45=TRUE,D9,0))+D9))))&gt;C9</f>
        <v>1</v>
      </c>
      <c r="G53" s="10">
        <f>(D9*IF(((G24-(SUMPRODUCT((1-G43:G49)*C7:C13)-IF(G45=FALSE,C9,0)))/($C$19+(SUMPRODUCT(G43:G49*D7:D13)-IF(G45=TRUE,D9,0))+D9))&gt;$C$21,((G24-(SUMPRODUCT((1-G43:G49)*C7:C13)-IF(G45=FALSE,C9,0)))+$C$20*$C$21)/(($C$19+(SUMPRODUCT(G43:G49*D7:D13)-IF(G45=TRUE,D9,0))+D9)+$C$20),((G24-(SUMPRODUCT((1-G43:G49)*C7:C13)-IF(G45=FALSE,C9,0)))/($C$19+(SUMPRODUCT(G43:G49*D7:D13)-IF(G45=TRUE,D9,0))+D9))))&gt;C9</f>
        <v>1</v>
      </c>
    </row>
    <row r="54" spans="2:7" x14ac:dyDescent="0.25">
      <c r="B54" s="28" t="s">
        <v>227</v>
      </c>
      <c r="C54" s="10">
        <f>(D10*IF(((C24-(SUMPRODUCT((1-C43:C49)*C7:C13)-IF(C46=FALSE,C10,0)))/($C$19+(SUMPRODUCT(C43:C49*D7:D13)-IF(C46=TRUE,D10,0))+D10))&gt;$C$21,((C24-(SUMPRODUCT((1-C43:C49)*C7:C13)-IF(C46=FALSE,C10,0)))+$C$20*$C$21)/(($C$19+(SUMPRODUCT(C43:C49*D7:D13)-IF(C46=TRUE,D10,0))+D10)+$C$20),((C24-(SUMPRODUCT((1-C43:C49)*C7:C13)-IF(C46=FALSE,C10,0)))/($C$19+(SUMPRODUCT(C43:C49*D7:D13)-IF(C46=TRUE,D10,0))+D10))))&gt;C10</f>
        <v>0</v>
      </c>
      <c r="D54" s="10">
        <f>(D10*IF(((D24-(SUMPRODUCT((1-D43:D49)*C7:C13)-IF(D46=FALSE,C10,0)))/($C$19+(SUMPRODUCT(D43:D49*D7:D13)-IF(D46=TRUE,D10,0))+D10))&gt;$C$21,((D24-(SUMPRODUCT((1-D43:D49)*C7:C13)-IF(D46=FALSE,C10,0)))+$C$20*$C$21)/(($C$19+(SUMPRODUCT(D43:D49*D7:D13)-IF(D46=TRUE,D10,0))+D10)+$C$20),((D24-(SUMPRODUCT((1-D43:D49)*C7:C13)-IF(D46=FALSE,C10,0)))/($C$19+(SUMPRODUCT(D43:D49*D7:D13)-IF(D46=TRUE,D10,0))+D10))))&gt;C10</f>
        <v>1</v>
      </c>
      <c r="E54" s="10">
        <f>(D10*IF(((E24-(SUMPRODUCT((1-E43:E49)*C7:C13)-IF(E46=FALSE,C10,0)))/($C$19+(SUMPRODUCT(E43:E49*D7:D13)-IF(E46=TRUE,D10,0))+D10))&gt;$C$21,((E24-(SUMPRODUCT((1-E43:E49)*C7:C13)-IF(E46=FALSE,C10,0)))+$C$20*$C$21)/(($C$19+(SUMPRODUCT(E43:E49*D7:D13)-IF(E46=TRUE,D10,0))+D10)+$C$20),((E24-(SUMPRODUCT((1-E43:E49)*C7:C13)-IF(E46=FALSE,C10,0)))/($C$19+(SUMPRODUCT(E43:E49*D7:D13)-IF(E46=TRUE,D10,0))+D10))))&gt;C10</f>
        <v>1</v>
      </c>
      <c r="F54" s="10">
        <f>(D10*IF(((F24-(SUMPRODUCT((1-F43:F49)*C7:C13)-IF(F46=FALSE,C10,0)))/($C$19+(SUMPRODUCT(F43:F49*D7:D13)-IF(F46=TRUE,D10,0))+D10))&gt;$C$21,((F24-(SUMPRODUCT((1-F43:F49)*C7:C13)-IF(F46=FALSE,C10,0)))+$C$20*$C$21)/(($C$19+(SUMPRODUCT(F43:F49*D7:D13)-IF(F46=TRUE,D10,0))+D10)+$C$20),((F24-(SUMPRODUCT((1-F43:F49)*C7:C13)-IF(F46=FALSE,C10,0)))/($C$19+(SUMPRODUCT(F43:F49*D7:D13)-IF(F46=TRUE,D10,0))+D10))))&gt;C10</f>
        <v>1</v>
      </c>
      <c r="G54" s="10">
        <f>(D10*IF(((G24-(SUMPRODUCT((1-G43:G49)*C7:C13)-IF(G46=FALSE,C10,0)))/($C$19+(SUMPRODUCT(G43:G49*D7:D13)-IF(G46=TRUE,D10,0))+D10))&gt;$C$21,((G24-(SUMPRODUCT((1-G43:G49)*C7:C13)-IF(G46=FALSE,C10,0)))+$C$20*$C$21)/(($C$19+(SUMPRODUCT(G43:G49*D7:D13)-IF(G46=TRUE,D10,0))+D10)+$C$20),((G24-(SUMPRODUCT((1-G43:G49)*C7:C13)-IF(G46=FALSE,C10,0)))/($C$19+(SUMPRODUCT(G43:G49*D7:D13)-IF(G46=TRUE,D10,0))+D10))))&gt;C10</f>
        <v>1</v>
      </c>
    </row>
    <row r="55" spans="2:7" x14ac:dyDescent="0.25">
      <c r="B55" s="28" t="s">
        <v>228</v>
      </c>
      <c r="C55" s="10">
        <f>(D11*IF(((C24-(SUMPRODUCT((1-C43:C49)*C7:C13)-IF(C47=FALSE,C11,0)))/($C$19+(SUMPRODUCT(C43:C49*D7:D13)-IF(C47=TRUE,D11,0))+D11))&gt;$C$21,((C24-(SUMPRODUCT((1-C43:C49)*C7:C13)-IF(C47=FALSE,C11,0)))+$C$20*$C$21)/(($C$19+(SUMPRODUCT(C43:C49*D7:D13)-IF(C47=TRUE,D11,0))+D11)+$C$20),((C24-(SUMPRODUCT((1-C43:C49)*C7:C13)-IF(C47=FALSE,C11,0)))/($C$19+(SUMPRODUCT(C43:C49*D7:D13)-IF(C47=TRUE,D11,0))+D11))))&gt;C11</f>
        <v>0</v>
      </c>
      <c r="D55" s="10">
        <f>(D11*IF(((D24-(SUMPRODUCT((1-D43:D49)*C7:C13)-IF(D47=FALSE,C11,0)))/($C$19+(SUMPRODUCT(D43:D49*D7:D13)-IF(D47=TRUE,D11,0))+D11))&gt;$C$21,((D24-(SUMPRODUCT((1-D43:D49)*C7:C13)-IF(D47=FALSE,C11,0)))+$C$20*$C$21)/(($C$19+(SUMPRODUCT(D43:D49*D7:D13)-IF(D47=TRUE,D11,0))+D11)+$C$20),((D24-(SUMPRODUCT((1-D43:D49)*C7:C13)-IF(D47=FALSE,C11,0)))/($C$19+(SUMPRODUCT(D43:D49*D7:D13)-IF(D47=TRUE,D11,0))+D11))))&gt;C11</f>
        <v>1</v>
      </c>
      <c r="E55" s="10">
        <f>(D11*IF(((E24-(SUMPRODUCT((1-E43:E49)*C7:C13)-IF(E47=FALSE,C11,0)))/($C$19+(SUMPRODUCT(E43:E49*D7:D13)-IF(E47=TRUE,D11,0))+D11))&gt;$C$21,((E24-(SUMPRODUCT((1-E43:E49)*C7:C13)-IF(E47=FALSE,C11,0)))+$C$20*$C$21)/(($C$19+(SUMPRODUCT(E43:E49*D7:D13)-IF(E47=TRUE,D11,0))+D11)+$C$20),((E24-(SUMPRODUCT((1-E43:E49)*C7:C13)-IF(E47=FALSE,C11,0)))/($C$19+(SUMPRODUCT(E43:E49*D7:D13)-IF(E47=TRUE,D11,0))+D11))))&gt;C11</f>
        <v>1</v>
      </c>
      <c r="F55" s="10">
        <f>(D11*IF(((F24-(SUMPRODUCT((1-F43:F49)*C7:C13)-IF(F47=FALSE,C11,0)))/($C$19+(SUMPRODUCT(F43:F49*D7:D13)-IF(F47=TRUE,D11,0))+D11))&gt;$C$21,((F24-(SUMPRODUCT((1-F43:F49)*C7:C13)-IF(F47=FALSE,C11,0)))+$C$20*$C$21)/(($C$19+(SUMPRODUCT(F43:F49*D7:D13)-IF(F47=TRUE,D11,0))+D11)+$C$20),((F24-(SUMPRODUCT((1-F43:F49)*C7:C13)-IF(F47=FALSE,C11,0)))/($C$19+(SUMPRODUCT(F43:F49*D7:D13)-IF(F47=TRUE,D11,0))+D11))))&gt;C11</f>
        <v>1</v>
      </c>
      <c r="G55" s="10">
        <f>(D11*IF(((G24-(SUMPRODUCT((1-G43:G49)*C7:C13)-IF(G47=FALSE,C11,0)))/($C$19+(SUMPRODUCT(G43:G49*D7:D13)-IF(G47=TRUE,D11,0))+D11))&gt;$C$21,((G24-(SUMPRODUCT((1-G43:G49)*C7:C13)-IF(G47=FALSE,C11,0)))+$C$20*$C$21)/(($C$19+(SUMPRODUCT(G43:G49*D7:D13)-IF(G47=TRUE,D11,0))+D11)+$C$20),((G24-(SUMPRODUCT((1-G43:G49)*C7:C13)-IF(G47=FALSE,C11,0)))/($C$19+(SUMPRODUCT(G43:G49*D7:D13)-IF(G47=TRUE,D11,0))+D11))))&gt;C11</f>
        <v>1</v>
      </c>
    </row>
    <row r="56" spans="2:7" x14ac:dyDescent="0.25">
      <c r="B56" s="28" t="s">
        <v>229</v>
      </c>
      <c r="C56" s="10">
        <f>(D12*IF(((C24-(SUMPRODUCT((1-C43:C49)*C7:C13)-IF(C48=FALSE,C12,0)))/($C$19+(SUMPRODUCT(C43:C49*D7:D13)-IF(C48=TRUE,D12,0))+D12))&gt;$C$21,((C24-(SUMPRODUCT((1-C43:C49)*C7:C13)-IF(C48=FALSE,C12,0)))+$C$20*$C$21)/(($C$19+(SUMPRODUCT(C43:C49*D7:D13)-IF(C48=TRUE,D12,0))+D12)+$C$20),((C24-(SUMPRODUCT((1-C43:C49)*C7:C13)-IF(C48=FALSE,C12,0)))/($C$19+(SUMPRODUCT(C43:C49*D7:D13)-IF(C48=TRUE,D12,0))+D12))))&gt;C12</f>
        <v>1</v>
      </c>
      <c r="D56" s="10">
        <f>(D12*IF(((D24-(SUMPRODUCT((1-D43:D49)*C7:C13)-IF(D48=FALSE,C12,0)))/($C$19+(SUMPRODUCT(D43:D49*D7:D13)-IF(D48=TRUE,D12,0))+D12))&gt;$C$21,((D24-(SUMPRODUCT((1-D43:D49)*C7:C13)-IF(D48=FALSE,C12,0)))+$C$20*$C$21)/(($C$19+(SUMPRODUCT(D43:D49*D7:D13)-IF(D48=TRUE,D12,0))+D12)+$C$20),((D24-(SUMPRODUCT((1-D43:D49)*C7:C13)-IF(D48=FALSE,C12,0)))/($C$19+(SUMPRODUCT(D43:D49*D7:D13)-IF(D48=TRUE,D12,0))+D12))))&gt;C12</f>
        <v>1</v>
      </c>
      <c r="E56" s="10">
        <f>(D12*IF(((E24-(SUMPRODUCT((1-E43:E49)*C7:C13)-IF(E48=FALSE,C12,0)))/($C$19+(SUMPRODUCT(E43:E49*D7:D13)-IF(E48=TRUE,D12,0))+D12))&gt;$C$21,((E24-(SUMPRODUCT((1-E43:E49)*C7:C13)-IF(E48=FALSE,C12,0)))+$C$20*$C$21)/(($C$19+(SUMPRODUCT(E43:E49*D7:D13)-IF(E48=TRUE,D12,0))+D12)+$C$20),((E24-(SUMPRODUCT((1-E43:E49)*C7:C13)-IF(E48=FALSE,C12,0)))/($C$19+(SUMPRODUCT(E43:E49*D7:D13)-IF(E48=TRUE,D12,0))+D12))))&gt;C12</f>
        <v>1</v>
      </c>
      <c r="F56" s="10">
        <f>(D12*IF(((F24-(SUMPRODUCT((1-F43:F49)*C7:C13)-IF(F48=FALSE,C12,0)))/($C$19+(SUMPRODUCT(F43:F49*D7:D13)-IF(F48=TRUE,D12,0))+D12))&gt;$C$21,((F24-(SUMPRODUCT((1-F43:F49)*C7:C13)-IF(F48=FALSE,C12,0)))+$C$20*$C$21)/(($C$19+(SUMPRODUCT(F43:F49*D7:D13)-IF(F48=TRUE,D12,0))+D12)+$C$20),((F24-(SUMPRODUCT((1-F43:F49)*C7:C13)-IF(F48=FALSE,C12,0)))/($C$19+(SUMPRODUCT(F43:F49*D7:D13)-IF(F48=TRUE,D12,0))+D12))))&gt;C12</f>
        <v>1</v>
      </c>
      <c r="G56" s="10">
        <f>(D12*IF(((G24-(SUMPRODUCT((1-G43:G49)*C7:C13)-IF(G48=FALSE,C12,0)))/($C$19+(SUMPRODUCT(G43:G49*D7:D13)-IF(G48=TRUE,D12,0))+D12))&gt;$C$21,((G24-(SUMPRODUCT((1-G43:G49)*C7:C13)-IF(G48=FALSE,C12,0)))+$C$20*$C$21)/(($C$19+(SUMPRODUCT(G43:G49*D7:D13)-IF(G48=TRUE,D12,0))+D12)+$C$20),((G24-(SUMPRODUCT((1-G43:G49)*C7:C13)-IF(G48=FALSE,C12,0)))/($C$19+(SUMPRODUCT(G43:G49*D7:D13)-IF(G48=TRUE,D12,0))+D12))))&gt;C12</f>
        <v>1</v>
      </c>
    </row>
    <row r="57" spans="2:7" x14ac:dyDescent="0.25">
      <c r="B57" s="28" t="s">
        <v>109</v>
      </c>
      <c r="C57" s="10">
        <f>(D13*IF(((C24-(SUMPRODUCT((1-C43:C49)*C7:C13)-IF(C49=FALSE,C13,0)))/($C$19+(SUMPRODUCT(C43:C49*D7:D13)-IF(C49=TRUE,D13,0))+D13))&gt;$C$21,((C24-(SUMPRODUCT((1-C43:C49)*C7:C13)-IF(C49=FALSE,C13,0)))+$C$20*$C$21)/(($C$19+(SUMPRODUCT(C43:C49*D7:D13)-IF(C49=TRUE,D13,0))+D13)+$C$20),((C24-(SUMPRODUCT((1-C43:C49)*C7:C13)-IF(C49=FALSE,C13,0)))/($C$19+(SUMPRODUCT(C43:C49*D7:D13)-IF(C49=TRUE,D13,0))+D13))))&gt;C13</f>
        <v>1</v>
      </c>
      <c r="D57" s="10">
        <f>(D13*IF(((D24-(SUMPRODUCT((1-D43:D49)*C7:C13)-IF(D49=FALSE,C13,0)))/($C$19+(SUMPRODUCT(D43:D49*D7:D13)-IF(D49=TRUE,D13,0))+D13))&gt;$C$21,((D24-(SUMPRODUCT((1-D43:D49)*C7:C13)-IF(D49=FALSE,C13,0)))+$C$20*$C$21)/(($C$19+(SUMPRODUCT(D43:D49*D7:D13)-IF(D49=TRUE,D13,0))+D13)+$C$20),((D24-(SUMPRODUCT((1-D43:D49)*C7:C13)-IF(D49=FALSE,C13,0)))/($C$19+(SUMPRODUCT(D43:D49*D7:D13)-IF(D49=TRUE,D13,0))+D13))))&gt;C13</f>
        <v>1</v>
      </c>
      <c r="E57" s="10">
        <f>(D13*IF(((E24-(SUMPRODUCT((1-E43:E49)*C7:C13)-IF(E49=FALSE,C13,0)))/($C$19+(SUMPRODUCT(E43:E49*D7:D13)-IF(E49=TRUE,D13,0))+D13))&gt;$C$21,((E24-(SUMPRODUCT((1-E43:E49)*C7:C13)-IF(E49=FALSE,C13,0)))+$C$20*$C$21)/(($C$19+(SUMPRODUCT(E43:E49*D7:D13)-IF(E49=TRUE,D13,0))+D13)+$C$20),((E24-(SUMPRODUCT((1-E43:E49)*C7:C13)-IF(E49=FALSE,C13,0)))/($C$19+(SUMPRODUCT(E43:E49*D7:D13)-IF(E49=TRUE,D13,0))+D13))))&gt;C13</f>
        <v>1</v>
      </c>
      <c r="F57" s="10">
        <f>(D13*IF(((F24-(SUMPRODUCT((1-F43:F49)*C7:C13)-IF(F49=FALSE,C13,0)))/($C$19+(SUMPRODUCT(F43:F49*D7:D13)-IF(F49=TRUE,D13,0))+D13))&gt;$C$21,((F24-(SUMPRODUCT((1-F43:F49)*C7:C13)-IF(F49=FALSE,C13,0)))+$C$20*$C$21)/(($C$19+(SUMPRODUCT(F43:F49*D7:D13)-IF(F49=TRUE,D13,0))+D13)+$C$20),((F24-(SUMPRODUCT((1-F43:F49)*C7:C13)-IF(F49=FALSE,C13,0)))/($C$19+(SUMPRODUCT(F43:F49*D7:D13)-IF(F49=TRUE,D13,0))+D13))))&gt;C13</f>
        <v>1</v>
      </c>
      <c r="G57" s="10">
        <f>(D13*IF(((G24-(SUMPRODUCT((1-G43:G49)*C7:C13)-IF(G49=FALSE,C13,0)))/($C$19+(SUMPRODUCT(G43:G49*D7:D13)-IF(G49=TRUE,D13,0))+D13))&gt;$C$21,((G24-(SUMPRODUCT((1-G43:G49)*C7:C13)-IF(G49=FALSE,C13,0)))+$C$20*$C$21)/(($C$19+(SUMPRODUCT(G43:G49*D7:D13)-IF(G49=TRUE,D13,0))+D13)+$C$20),((G24-(SUMPRODUCT((1-G43:G49)*C7:C13)-IF(G49=FALSE,C13,0)))/($C$19+(SUMPRODUCT(G43:G49*D7:D13)-IF(G49=TRUE,D13,0))+D13))))&gt;C13</f>
        <v>1</v>
      </c>
    </row>
    <row r="58" spans="2:7" x14ac:dyDescent="0.25">
      <c r="B58" s="26" t="s">
        <v>242</v>
      </c>
      <c r="C58" s="27" t="s">
        <v>3</v>
      </c>
      <c r="D58" s="27" t="s">
        <v>3</v>
      </c>
      <c r="E58" s="27" t="s">
        <v>3</v>
      </c>
      <c r="F58" s="27" t="s">
        <v>3</v>
      </c>
      <c r="G58" s="27" t="s">
        <v>3</v>
      </c>
    </row>
    <row r="59" spans="2:7" x14ac:dyDescent="0.25">
      <c r="B59" s="28" t="s">
        <v>224</v>
      </c>
      <c r="C59" s="10">
        <f>(D7*IF(((C24-(SUMPRODUCT((1-C51:C57)*C7:C13)-IF(C51=FALSE,C7,0)))/($C$19+(SUMPRODUCT(C51:C57*D7:D13)-IF(C51=TRUE,D7,0))+D7))&gt;$C$21,((C24-(SUMPRODUCT((1-C51:C57)*C7:C13)-IF(C51=FALSE,C7,0)))+$C$20*$C$21)/(($C$19+(SUMPRODUCT(C51:C57*D7:D13)-IF(C51=TRUE,D7,0))+D7)+$C$20),((C24-(SUMPRODUCT((1-C51:C57)*C7:C13)-IF(C51=FALSE,C7,0)))/($C$19+(SUMPRODUCT(C51:C57*D7:D13)-IF(C51=TRUE,D7,0))+D7))))&gt;C7</f>
        <v>0</v>
      </c>
      <c r="D59" s="10">
        <f>(D7*IF(((D24-(SUMPRODUCT((1-D51:D57)*C7:C13)-IF(D51=FALSE,C7,0)))/($C$19+(SUMPRODUCT(D51:D57*D7:D13)-IF(D51=TRUE,D7,0))+D7))&gt;$C$21,((D24-(SUMPRODUCT((1-D51:D57)*C7:C13)-IF(D51=FALSE,C7,0)))+$C$20*$C$21)/(($C$19+(SUMPRODUCT(D51:D57*D7:D13)-IF(D51=TRUE,D7,0))+D7)+$C$20),((D24-(SUMPRODUCT((1-D51:D57)*C7:C13)-IF(D51=FALSE,C7,0)))/($C$19+(SUMPRODUCT(D51:D57*D7:D13)-IF(D51=TRUE,D7,0))+D7))))&gt;C7</f>
        <v>0</v>
      </c>
      <c r="E59" s="10">
        <f>(D7*IF(((E24-(SUMPRODUCT((1-E51:E57)*C7:C13)-IF(E51=FALSE,C7,0)))/($C$19+(SUMPRODUCT(E51:E57*D7:D13)-IF(E51=TRUE,D7,0))+D7))&gt;$C$21,((E24-(SUMPRODUCT((1-E51:E57)*C7:C13)-IF(E51=FALSE,C7,0)))+$C$20*$C$21)/(($C$19+(SUMPRODUCT(E51:E57*D7:D13)-IF(E51=TRUE,D7,0))+D7)+$C$20),((E24-(SUMPRODUCT((1-E51:E57)*C7:C13)-IF(E51=FALSE,C7,0)))/($C$19+(SUMPRODUCT(E51:E57*D7:D13)-IF(E51=TRUE,D7,0))+D7))))&gt;C7</f>
        <v>1</v>
      </c>
      <c r="F59" s="10">
        <f>(D7*IF(((F24-(SUMPRODUCT((1-F51:F57)*C7:C13)-IF(F51=FALSE,C7,0)))/($C$19+(SUMPRODUCT(F51:F57*D7:D13)-IF(F51=TRUE,D7,0))+D7))&gt;$C$21,((F24-(SUMPRODUCT((1-F51:F57)*C7:C13)-IF(F51=FALSE,C7,0)))+$C$20*$C$21)/(($C$19+(SUMPRODUCT(F51:F57*D7:D13)-IF(F51=TRUE,D7,0))+D7)+$C$20),((F24-(SUMPRODUCT((1-F51:F57)*C7:C13)-IF(F51=FALSE,C7,0)))/($C$19+(SUMPRODUCT(F51:F57*D7:D13)-IF(F51=TRUE,D7,0))+D7))))&gt;C7</f>
        <v>1</v>
      </c>
      <c r="G59" s="10">
        <f>(D7*IF(((G24-(SUMPRODUCT((1-G51:G57)*C7:C13)-IF(G51=FALSE,C7,0)))/($C$19+(SUMPRODUCT(G51:G57*D7:D13)-IF(G51=TRUE,D7,0))+D7))&gt;$C$21,((G24-(SUMPRODUCT((1-G51:G57)*C7:C13)-IF(G51=FALSE,C7,0)))+$C$20*$C$21)/(($C$19+(SUMPRODUCT(G51:G57*D7:D13)-IF(G51=TRUE,D7,0))+D7)+$C$20),((G24-(SUMPRODUCT((1-G51:G57)*C7:C13)-IF(G51=FALSE,C7,0)))/($C$19+(SUMPRODUCT(G51:G57*D7:D13)-IF(G51=TRUE,D7,0))+D7))))&gt;C7</f>
        <v>1</v>
      </c>
    </row>
    <row r="60" spans="2:7" x14ac:dyDescent="0.25">
      <c r="B60" s="28" t="s">
        <v>225</v>
      </c>
      <c r="C60" s="10">
        <f>(D8*IF(((C24-(SUMPRODUCT((1-C51:C57)*C7:C13)-IF(C52=FALSE,C8,0)))/($C$19+(SUMPRODUCT(C51:C57*D7:D13)-IF(C52=TRUE,D8,0))+D8))&gt;$C$21,((C24-(SUMPRODUCT((1-C51:C57)*C7:C13)-IF(C52=FALSE,C8,0)))+$C$20*$C$21)/(($C$19+(SUMPRODUCT(C51:C57*D7:D13)-IF(C52=TRUE,D8,0))+D8)+$C$20),((C24-(SUMPRODUCT((1-C51:C57)*C7:C13)-IF(C52=FALSE,C8,0)))/($C$19+(SUMPRODUCT(C51:C57*D7:D13)-IF(C52=TRUE,D8,0))+D8))))&gt;C8</f>
        <v>0</v>
      </c>
      <c r="D60" s="10">
        <f>(D8*IF(((D24-(SUMPRODUCT((1-D51:D57)*C7:C13)-IF(D52=FALSE,C8,0)))/($C$19+(SUMPRODUCT(D51:D57*D7:D13)-IF(D52=TRUE,D8,0))+D8))&gt;$C$21,((D24-(SUMPRODUCT((1-D51:D57)*C7:C13)-IF(D52=FALSE,C8,0)))+$C$20*$C$21)/(($C$19+(SUMPRODUCT(D51:D57*D7:D13)-IF(D52=TRUE,D8,0))+D8)+$C$20),((D24-(SUMPRODUCT((1-D51:D57)*C7:C13)-IF(D52=FALSE,C8,0)))/($C$19+(SUMPRODUCT(D51:D57*D7:D13)-IF(D52=TRUE,D8,0))+D8))))&gt;C8</f>
        <v>0</v>
      </c>
      <c r="E60" s="10">
        <f>(D8*IF(((E24-(SUMPRODUCT((1-E51:E57)*C7:C13)-IF(E52=FALSE,C8,0)))/($C$19+(SUMPRODUCT(E51:E57*D7:D13)-IF(E52=TRUE,D8,0))+D8))&gt;$C$21,((E24-(SUMPRODUCT((1-E51:E57)*C7:C13)-IF(E52=FALSE,C8,0)))+$C$20*$C$21)/(($C$19+(SUMPRODUCT(E51:E57*D7:D13)-IF(E52=TRUE,D8,0))+D8)+$C$20),((E24-(SUMPRODUCT((1-E51:E57)*C7:C13)-IF(E52=FALSE,C8,0)))/($C$19+(SUMPRODUCT(E51:E57*D7:D13)-IF(E52=TRUE,D8,0))+D8))))&gt;C8</f>
        <v>1</v>
      </c>
      <c r="F60" s="10">
        <f>(D8*IF(((F24-(SUMPRODUCT((1-F51:F57)*C7:C13)-IF(F52=FALSE,C8,0)))/($C$19+(SUMPRODUCT(F51:F57*D7:D13)-IF(F52=TRUE,D8,0))+D8))&gt;$C$21,((F24-(SUMPRODUCT((1-F51:F57)*C7:C13)-IF(F52=FALSE,C8,0)))+$C$20*$C$21)/(($C$19+(SUMPRODUCT(F51:F57*D7:D13)-IF(F52=TRUE,D8,0))+D8)+$C$20),((F24-(SUMPRODUCT((1-F51:F57)*C7:C13)-IF(F52=FALSE,C8,0)))/($C$19+(SUMPRODUCT(F51:F57*D7:D13)-IF(F52=TRUE,D8,0))+D8))))&gt;C8</f>
        <v>1</v>
      </c>
      <c r="G60" s="10">
        <f>(D8*IF(((G24-(SUMPRODUCT((1-G51:G57)*C7:C13)-IF(G52=FALSE,C8,0)))/($C$19+(SUMPRODUCT(G51:G57*D7:D13)-IF(G52=TRUE,D8,0))+D8))&gt;$C$21,((G24-(SUMPRODUCT((1-G51:G57)*C7:C13)-IF(G52=FALSE,C8,0)))+$C$20*$C$21)/(($C$19+(SUMPRODUCT(G51:G57*D7:D13)-IF(G52=TRUE,D8,0))+D8)+$C$20),((G24-(SUMPRODUCT((1-G51:G57)*C7:C13)-IF(G52=FALSE,C8,0)))/($C$19+(SUMPRODUCT(G51:G57*D7:D13)-IF(G52=TRUE,D8,0))+D8))))&gt;C8</f>
        <v>1</v>
      </c>
    </row>
    <row r="61" spans="2:7" x14ac:dyDescent="0.25">
      <c r="B61" s="28" t="s">
        <v>226</v>
      </c>
      <c r="C61" s="10">
        <f>(D9*IF(((C24-(SUMPRODUCT((1-C51:C57)*C7:C13)-IF(C53=FALSE,C9,0)))/($C$19+(SUMPRODUCT(C51:C57*D7:D13)-IF(C53=TRUE,D9,0))+D9))&gt;$C$21,((C24-(SUMPRODUCT((1-C51:C57)*C7:C13)-IF(C53=FALSE,C9,0)))+$C$20*$C$21)/(($C$19+(SUMPRODUCT(C51:C57*D7:D13)-IF(C53=TRUE,D9,0))+D9)+$C$20),((C24-(SUMPRODUCT((1-C51:C57)*C7:C13)-IF(C53=FALSE,C9,0)))/($C$19+(SUMPRODUCT(C51:C57*D7:D13)-IF(C53=TRUE,D9,0))+D9))))&gt;C9</f>
        <v>0</v>
      </c>
      <c r="D61" s="10">
        <f>(D9*IF(((D24-(SUMPRODUCT((1-D51:D57)*C7:C13)-IF(D53=FALSE,C9,0)))/($C$19+(SUMPRODUCT(D51:D57*D7:D13)-IF(D53=TRUE,D9,0))+D9))&gt;$C$21,((D24-(SUMPRODUCT((1-D51:D57)*C7:C13)-IF(D53=FALSE,C9,0)))+$C$20*$C$21)/(($C$19+(SUMPRODUCT(D51:D57*D7:D13)-IF(D53=TRUE,D9,0))+D9)+$C$20),((D24-(SUMPRODUCT((1-D51:D57)*C7:C13)-IF(D53=FALSE,C9,0)))/($C$19+(SUMPRODUCT(D51:D57*D7:D13)-IF(D53=TRUE,D9,0))+D9))))&gt;C9</f>
        <v>0</v>
      </c>
      <c r="E61" s="10">
        <f>(D9*IF(((E24-(SUMPRODUCT((1-E51:E57)*C7:C13)-IF(E53=FALSE,C9,0)))/($C$19+(SUMPRODUCT(E51:E57*D7:D13)-IF(E53=TRUE,D9,0))+D9))&gt;$C$21,((E24-(SUMPRODUCT((1-E51:E57)*C7:C13)-IF(E53=FALSE,C9,0)))+$C$20*$C$21)/(($C$19+(SUMPRODUCT(E51:E57*D7:D13)-IF(E53=TRUE,D9,0))+D9)+$C$20),((E24-(SUMPRODUCT((1-E51:E57)*C7:C13)-IF(E53=FALSE,C9,0)))/($C$19+(SUMPRODUCT(E51:E57*D7:D13)-IF(E53=TRUE,D9,0))+D9))))&gt;C9</f>
        <v>0</v>
      </c>
      <c r="F61" s="10">
        <f>(D9*IF(((F24-(SUMPRODUCT((1-F51:F57)*C7:C13)-IF(F53=FALSE,C9,0)))/($C$19+(SUMPRODUCT(F51:F57*D7:D13)-IF(F53=TRUE,D9,0))+D9))&gt;$C$21,((F24-(SUMPRODUCT((1-F51:F57)*C7:C13)-IF(F53=FALSE,C9,0)))+$C$20*$C$21)/(($C$19+(SUMPRODUCT(F51:F57*D7:D13)-IF(F53=TRUE,D9,0))+D9)+$C$20),((F24-(SUMPRODUCT((1-F51:F57)*C7:C13)-IF(F53=FALSE,C9,0)))/($C$19+(SUMPRODUCT(F51:F57*D7:D13)-IF(F53=TRUE,D9,0))+D9))))&gt;C9</f>
        <v>1</v>
      </c>
      <c r="G61" s="10">
        <f>(D9*IF(((G24-(SUMPRODUCT((1-G51:G57)*C7:C13)-IF(G53=FALSE,C9,0)))/($C$19+(SUMPRODUCT(G51:G57*D7:D13)-IF(G53=TRUE,D9,0))+D9))&gt;$C$21,((G24-(SUMPRODUCT((1-G51:G57)*C7:C13)-IF(G53=FALSE,C9,0)))+$C$20*$C$21)/(($C$19+(SUMPRODUCT(G51:G57*D7:D13)-IF(G53=TRUE,D9,0))+D9)+$C$20),((G24-(SUMPRODUCT((1-G51:G57)*C7:C13)-IF(G53=FALSE,C9,0)))/($C$19+(SUMPRODUCT(G51:G57*D7:D13)-IF(G53=TRUE,D9,0))+D9))))&gt;C9</f>
        <v>1</v>
      </c>
    </row>
    <row r="62" spans="2:7" x14ac:dyDescent="0.25">
      <c r="B62" s="28" t="s">
        <v>227</v>
      </c>
      <c r="C62" s="10">
        <f>(D10*IF(((C24-(SUMPRODUCT((1-C51:C57)*C7:C13)-IF(C54=FALSE,C10,0)))/($C$19+(SUMPRODUCT(C51:C57*D7:D13)-IF(C54=TRUE,D10,0))+D10))&gt;$C$21,((C24-(SUMPRODUCT((1-C51:C57)*C7:C13)-IF(C54=FALSE,C10,0)))+$C$20*$C$21)/(($C$19+(SUMPRODUCT(C51:C57*D7:D13)-IF(C54=TRUE,D10,0))+D10)+$C$20),((C24-(SUMPRODUCT((1-C51:C57)*C7:C13)-IF(C54=FALSE,C10,0)))/($C$19+(SUMPRODUCT(C51:C57*D7:D13)-IF(C54=TRUE,D10,0))+D10))))&gt;C10</f>
        <v>0</v>
      </c>
      <c r="D62" s="10">
        <f>(D10*IF(((D24-(SUMPRODUCT((1-D51:D57)*C7:C13)-IF(D54=FALSE,C10,0)))/($C$19+(SUMPRODUCT(D51:D57*D7:D13)-IF(D54=TRUE,D10,0))+D10))&gt;$C$21,((D24-(SUMPRODUCT((1-D51:D57)*C7:C13)-IF(D54=FALSE,C10,0)))+$C$20*$C$21)/(($C$19+(SUMPRODUCT(D51:D57*D7:D13)-IF(D54=TRUE,D10,0))+D10)+$C$20),((D24-(SUMPRODUCT((1-D51:D57)*C7:C13)-IF(D54=FALSE,C10,0)))/($C$19+(SUMPRODUCT(D51:D57*D7:D13)-IF(D54=TRUE,D10,0))+D10))))&gt;C10</f>
        <v>1</v>
      </c>
      <c r="E62" s="10">
        <f>(D10*IF(((E24-(SUMPRODUCT((1-E51:E57)*C7:C13)-IF(E54=FALSE,C10,0)))/($C$19+(SUMPRODUCT(E51:E57*D7:D13)-IF(E54=TRUE,D10,0))+D10))&gt;$C$21,((E24-(SUMPRODUCT((1-E51:E57)*C7:C13)-IF(E54=FALSE,C10,0)))+$C$20*$C$21)/(($C$19+(SUMPRODUCT(E51:E57*D7:D13)-IF(E54=TRUE,D10,0))+D10)+$C$20),((E24-(SUMPRODUCT((1-E51:E57)*C7:C13)-IF(E54=FALSE,C10,0)))/($C$19+(SUMPRODUCT(E51:E57*D7:D13)-IF(E54=TRUE,D10,0))+D10))))&gt;C10</f>
        <v>1</v>
      </c>
      <c r="F62" s="10">
        <f>(D10*IF(((F24-(SUMPRODUCT((1-F51:F57)*C7:C13)-IF(F54=FALSE,C10,0)))/($C$19+(SUMPRODUCT(F51:F57*D7:D13)-IF(F54=TRUE,D10,0))+D10))&gt;$C$21,((F24-(SUMPRODUCT((1-F51:F57)*C7:C13)-IF(F54=FALSE,C10,0)))+$C$20*$C$21)/(($C$19+(SUMPRODUCT(F51:F57*D7:D13)-IF(F54=TRUE,D10,0))+D10)+$C$20),((F24-(SUMPRODUCT((1-F51:F57)*C7:C13)-IF(F54=FALSE,C10,0)))/($C$19+(SUMPRODUCT(F51:F57*D7:D13)-IF(F54=TRUE,D10,0))+D10))))&gt;C10</f>
        <v>1</v>
      </c>
      <c r="G62" s="10">
        <f>(D10*IF(((G24-(SUMPRODUCT((1-G51:G57)*C7:C13)-IF(G54=FALSE,C10,0)))/($C$19+(SUMPRODUCT(G51:G57*D7:D13)-IF(G54=TRUE,D10,0))+D10))&gt;$C$21,((G24-(SUMPRODUCT((1-G51:G57)*C7:C13)-IF(G54=FALSE,C10,0)))+$C$20*$C$21)/(($C$19+(SUMPRODUCT(G51:G57*D7:D13)-IF(G54=TRUE,D10,0))+D10)+$C$20),((G24-(SUMPRODUCT((1-G51:G57)*C7:C13)-IF(G54=FALSE,C10,0)))/($C$19+(SUMPRODUCT(G51:G57*D7:D13)-IF(G54=TRUE,D10,0))+D10))))&gt;C10</f>
        <v>1</v>
      </c>
    </row>
    <row r="63" spans="2:7" x14ac:dyDescent="0.25">
      <c r="B63" s="28" t="s">
        <v>228</v>
      </c>
      <c r="C63" s="10">
        <f>(D11*IF(((C24-(SUMPRODUCT((1-C51:C57)*C7:C13)-IF(C55=FALSE,C11,0)))/($C$19+(SUMPRODUCT(C51:C57*D7:D13)-IF(C55=TRUE,D11,0))+D11))&gt;$C$21,((C24-(SUMPRODUCT((1-C51:C57)*C7:C13)-IF(C55=FALSE,C11,0)))+$C$20*$C$21)/(($C$19+(SUMPRODUCT(C51:C57*D7:D13)-IF(C55=TRUE,D11,0))+D11)+$C$20),((C24-(SUMPRODUCT((1-C51:C57)*C7:C13)-IF(C55=FALSE,C11,0)))/($C$19+(SUMPRODUCT(C51:C57*D7:D13)-IF(C55=TRUE,D11,0))+D11))))&gt;C11</f>
        <v>0</v>
      </c>
      <c r="D63" s="10">
        <f>(D11*IF(((D24-(SUMPRODUCT((1-D51:D57)*C7:C13)-IF(D55=FALSE,C11,0)))/($C$19+(SUMPRODUCT(D51:D57*D7:D13)-IF(D55=TRUE,D11,0))+D11))&gt;$C$21,((D24-(SUMPRODUCT((1-D51:D57)*C7:C13)-IF(D55=FALSE,C11,0)))+$C$20*$C$21)/(($C$19+(SUMPRODUCT(D51:D57*D7:D13)-IF(D55=TRUE,D11,0))+D11)+$C$20),((D24-(SUMPRODUCT((1-D51:D57)*C7:C13)-IF(D55=FALSE,C11,0)))/($C$19+(SUMPRODUCT(D51:D57*D7:D13)-IF(D55=TRUE,D11,0))+D11))))&gt;C11</f>
        <v>1</v>
      </c>
      <c r="E63" s="10">
        <f>(D11*IF(((E24-(SUMPRODUCT((1-E51:E57)*C7:C13)-IF(E55=FALSE,C11,0)))/($C$19+(SUMPRODUCT(E51:E57*D7:D13)-IF(E55=TRUE,D11,0))+D11))&gt;$C$21,((E24-(SUMPRODUCT((1-E51:E57)*C7:C13)-IF(E55=FALSE,C11,0)))+$C$20*$C$21)/(($C$19+(SUMPRODUCT(E51:E57*D7:D13)-IF(E55=TRUE,D11,0))+D11)+$C$20),((E24-(SUMPRODUCT((1-E51:E57)*C7:C13)-IF(E55=FALSE,C11,0)))/($C$19+(SUMPRODUCT(E51:E57*D7:D13)-IF(E55=TRUE,D11,0))+D11))))&gt;C11</f>
        <v>1</v>
      </c>
      <c r="F63" s="10">
        <f>(D11*IF(((F24-(SUMPRODUCT((1-F51:F57)*C7:C13)-IF(F55=FALSE,C11,0)))/($C$19+(SUMPRODUCT(F51:F57*D7:D13)-IF(F55=TRUE,D11,0))+D11))&gt;$C$21,((F24-(SUMPRODUCT((1-F51:F57)*C7:C13)-IF(F55=FALSE,C11,0)))+$C$20*$C$21)/(($C$19+(SUMPRODUCT(F51:F57*D7:D13)-IF(F55=TRUE,D11,0))+D11)+$C$20),((F24-(SUMPRODUCT((1-F51:F57)*C7:C13)-IF(F55=FALSE,C11,0)))/($C$19+(SUMPRODUCT(F51:F57*D7:D13)-IF(F55=TRUE,D11,0))+D11))))&gt;C11</f>
        <v>1</v>
      </c>
      <c r="G63" s="10">
        <f>(D11*IF(((G24-(SUMPRODUCT((1-G51:G57)*C7:C13)-IF(G55=FALSE,C11,0)))/($C$19+(SUMPRODUCT(G51:G57*D7:D13)-IF(G55=TRUE,D11,0))+D11))&gt;$C$21,((G24-(SUMPRODUCT((1-G51:G57)*C7:C13)-IF(G55=FALSE,C11,0)))+$C$20*$C$21)/(($C$19+(SUMPRODUCT(G51:G57*D7:D13)-IF(G55=TRUE,D11,0))+D11)+$C$20),((G24-(SUMPRODUCT((1-G51:G57)*C7:C13)-IF(G55=FALSE,C11,0)))/($C$19+(SUMPRODUCT(G51:G57*D7:D13)-IF(G55=TRUE,D11,0))+D11))))&gt;C11</f>
        <v>1</v>
      </c>
    </row>
    <row r="64" spans="2:7" x14ac:dyDescent="0.25">
      <c r="B64" s="28" t="s">
        <v>229</v>
      </c>
      <c r="C64" s="10">
        <f>(D12*IF(((C24-(SUMPRODUCT((1-C51:C57)*C7:C13)-IF(C56=FALSE,C12,0)))/($C$19+(SUMPRODUCT(C51:C57*D7:D13)-IF(C56=TRUE,D12,0))+D12))&gt;$C$21,((C24-(SUMPRODUCT((1-C51:C57)*C7:C13)-IF(C56=FALSE,C12,0)))+$C$20*$C$21)/(($C$19+(SUMPRODUCT(C51:C57*D7:D13)-IF(C56=TRUE,D12,0))+D12)+$C$20),((C24-(SUMPRODUCT((1-C51:C57)*C7:C13)-IF(C56=FALSE,C12,0)))/($C$19+(SUMPRODUCT(C51:C57*D7:D13)-IF(C56=TRUE,D12,0))+D12))))&gt;C12</f>
        <v>1</v>
      </c>
      <c r="D64" s="10">
        <f>(D12*IF(((D24-(SUMPRODUCT((1-D51:D57)*C7:C13)-IF(D56=FALSE,C12,0)))/($C$19+(SUMPRODUCT(D51:D57*D7:D13)-IF(D56=TRUE,D12,0))+D12))&gt;$C$21,((D24-(SUMPRODUCT((1-D51:D57)*C7:C13)-IF(D56=FALSE,C12,0)))+$C$20*$C$21)/(($C$19+(SUMPRODUCT(D51:D57*D7:D13)-IF(D56=TRUE,D12,0))+D12)+$C$20),((D24-(SUMPRODUCT((1-D51:D57)*C7:C13)-IF(D56=FALSE,C12,0)))/($C$19+(SUMPRODUCT(D51:D57*D7:D13)-IF(D56=TRUE,D12,0))+D12))))&gt;C12</f>
        <v>1</v>
      </c>
      <c r="E64" s="10">
        <f>(D12*IF(((E24-(SUMPRODUCT((1-E51:E57)*C7:C13)-IF(E56=FALSE,C12,0)))/($C$19+(SUMPRODUCT(E51:E57*D7:D13)-IF(E56=TRUE,D12,0))+D12))&gt;$C$21,((E24-(SUMPRODUCT((1-E51:E57)*C7:C13)-IF(E56=FALSE,C12,0)))+$C$20*$C$21)/(($C$19+(SUMPRODUCT(E51:E57*D7:D13)-IF(E56=TRUE,D12,0))+D12)+$C$20),((E24-(SUMPRODUCT((1-E51:E57)*C7:C13)-IF(E56=FALSE,C12,0)))/($C$19+(SUMPRODUCT(E51:E57*D7:D13)-IF(E56=TRUE,D12,0))+D12))))&gt;C12</f>
        <v>1</v>
      </c>
      <c r="F64" s="10">
        <f>(D12*IF(((F24-(SUMPRODUCT((1-F51:F57)*C7:C13)-IF(F56=FALSE,C12,0)))/($C$19+(SUMPRODUCT(F51:F57*D7:D13)-IF(F56=TRUE,D12,0))+D12))&gt;$C$21,((F24-(SUMPRODUCT((1-F51:F57)*C7:C13)-IF(F56=FALSE,C12,0)))+$C$20*$C$21)/(($C$19+(SUMPRODUCT(F51:F57*D7:D13)-IF(F56=TRUE,D12,0))+D12)+$C$20),((F24-(SUMPRODUCT((1-F51:F57)*C7:C13)-IF(F56=FALSE,C12,0)))/($C$19+(SUMPRODUCT(F51:F57*D7:D13)-IF(F56=TRUE,D12,0))+D12))))&gt;C12</f>
        <v>1</v>
      </c>
      <c r="G64" s="10">
        <f>(D12*IF(((G24-(SUMPRODUCT((1-G51:G57)*C7:C13)-IF(G56=FALSE,C12,0)))/($C$19+(SUMPRODUCT(G51:G57*D7:D13)-IF(G56=TRUE,D12,0))+D12))&gt;$C$21,((G24-(SUMPRODUCT((1-G51:G57)*C7:C13)-IF(G56=FALSE,C12,0)))+$C$20*$C$21)/(($C$19+(SUMPRODUCT(G51:G57*D7:D13)-IF(G56=TRUE,D12,0))+D12)+$C$20),((G24-(SUMPRODUCT((1-G51:G57)*C7:C13)-IF(G56=FALSE,C12,0)))/($C$19+(SUMPRODUCT(G51:G57*D7:D13)-IF(G56=TRUE,D12,0))+D12))))&gt;C12</f>
        <v>1</v>
      </c>
    </row>
    <row r="65" spans="2:7" x14ac:dyDescent="0.25">
      <c r="B65" s="28" t="s">
        <v>109</v>
      </c>
      <c r="C65" s="10">
        <f>(D13*IF(((C24-(SUMPRODUCT((1-C51:C57)*C7:C13)-IF(C57=FALSE,C13,0)))/($C$19+(SUMPRODUCT(C51:C57*D7:D13)-IF(C57=TRUE,D13,0))+D13))&gt;$C$21,((C24-(SUMPRODUCT((1-C51:C57)*C7:C13)-IF(C57=FALSE,C13,0)))+$C$20*$C$21)/(($C$19+(SUMPRODUCT(C51:C57*D7:D13)-IF(C57=TRUE,D13,0))+D13)+$C$20),((C24-(SUMPRODUCT((1-C51:C57)*C7:C13)-IF(C57=FALSE,C13,0)))/($C$19+(SUMPRODUCT(C51:C57*D7:D13)-IF(C57=TRUE,D13,0))+D13))))&gt;C13</f>
        <v>1</v>
      </c>
      <c r="D65" s="10">
        <f>(D13*IF(((D24-(SUMPRODUCT((1-D51:D57)*C7:C13)-IF(D57=FALSE,C13,0)))/($C$19+(SUMPRODUCT(D51:D57*D7:D13)-IF(D57=TRUE,D13,0))+D13))&gt;$C$21,((D24-(SUMPRODUCT((1-D51:D57)*C7:C13)-IF(D57=FALSE,C13,0)))+$C$20*$C$21)/(($C$19+(SUMPRODUCT(D51:D57*D7:D13)-IF(D57=TRUE,D13,0))+D13)+$C$20),((D24-(SUMPRODUCT((1-D51:D57)*C7:C13)-IF(D57=FALSE,C13,0)))/($C$19+(SUMPRODUCT(D51:D57*D7:D13)-IF(D57=TRUE,D13,0))+D13))))&gt;C13</f>
        <v>1</v>
      </c>
      <c r="E65" s="10">
        <f>(D13*IF(((E24-(SUMPRODUCT((1-E51:E57)*C7:C13)-IF(E57=FALSE,C13,0)))/($C$19+(SUMPRODUCT(E51:E57*D7:D13)-IF(E57=TRUE,D13,0))+D13))&gt;$C$21,((E24-(SUMPRODUCT((1-E51:E57)*C7:C13)-IF(E57=FALSE,C13,0)))+$C$20*$C$21)/(($C$19+(SUMPRODUCT(E51:E57*D7:D13)-IF(E57=TRUE,D13,0))+D13)+$C$20),((E24-(SUMPRODUCT((1-E51:E57)*C7:C13)-IF(E57=FALSE,C13,0)))/($C$19+(SUMPRODUCT(E51:E57*D7:D13)-IF(E57=TRUE,D13,0))+D13))))&gt;C13</f>
        <v>1</v>
      </c>
      <c r="F65" s="10">
        <f>(D13*IF(((F24-(SUMPRODUCT((1-F51:F57)*C7:C13)-IF(F57=FALSE,C13,0)))/($C$19+(SUMPRODUCT(F51:F57*D7:D13)-IF(F57=TRUE,D13,0))+D13))&gt;$C$21,((F24-(SUMPRODUCT((1-F51:F57)*C7:C13)-IF(F57=FALSE,C13,0)))+$C$20*$C$21)/(($C$19+(SUMPRODUCT(F51:F57*D7:D13)-IF(F57=TRUE,D13,0))+D13)+$C$20),((F24-(SUMPRODUCT((1-F51:F57)*C7:C13)-IF(F57=FALSE,C13,0)))/($C$19+(SUMPRODUCT(F51:F57*D7:D13)-IF(F57=TRUE,D13,0))+D13))))&gt;C13</f>
        <v>1</v>
      </c>
      <c r="G65" s="10">
        <f>(D13*IF(((G24-(SUMPRODUCT((1-G51:G57)*C7:C13)-IF(G57=FALSE,C13,0)))/($C$19+(SUMPRODUCT(G51:G57*D7:D13)-IF(G57=TRUE,D13,0))+D13))&gt;$C$21,((G24-(SUMPRODUCT((1-G51:G57)*C7:C13)-IF(G57=FALSE,C13,0)))+$C$20*$C$21)/(($C$19+(SUMPRODUCT(G51:G57*D7:D13)-IF(G57=TRUE,D13,0))+D13)+$C$20),((G24-(SUMPRODUCT((1-G51:G57)*C7:C13)-IF(G57=FALSE,C13,0)))/($C$19+(SUMPRODUCT(G51:G57*D7:D13)-IF(G57=TRUE,D13,0))+D13))))&gt;C13</f>
        <v>1</v>
      </c>
    </row>
    <row r="68" spans="2:7" x14ac:dyDescent="0.25">
      <c r="B68" s="3" t="s">
        <v>243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</row>
    <row r="69" spans="2:7" x14ac:dyDescent="0.25">
      <c r="B69" s="16" t="s">
        <v>104</v>
      </c>
      <c r="C69" s="29">
        <f>C24</f>
        <v>700000000</v>
      </c>
      <c r="D69" s="29">
        <f>D24</f>
        <v>1200000000</v>
      </c>
      <c r="E69" s="29">
        <f>E24</f>
        <v>2000000000</v>
      </c>
      <c r="F69" s="29">
        <f>F24</f>
        <v>4000000000</v>
      </c>
      <c r="G69" s="29">
        <f>G24</f>
        <v>8000000000</v>
      </c>
    </row>
    <row r="70" spans="2:7" x14ac:dyDescent="0.25">
      <c r="B70" s="5" t="s">
        <v>224</v>
      </c>
      <c r="C70" s="10" t="str">
        <f>IF(C59,"convert","preference")</f>
        <v>preference</v>
      </c>
      <c r="D70" s="10" t="str">
        <f>IF(D59,"convert","preference")</f>
        <v>preference</v>
      </c>
      <c r="E70" s="10" t="str">
        <f>IF(E59,"convert","preference")</f>
        <v>convert</v>
      </c>
      <c r="F70" s="10" t="str">
        <f>IF(F59,"convert","preference")</f>
        <v>convert</v>
      </c>
      <c r="G70" s="10" t="str">
        <f>IF(G59,"convert","preference")</f>
        <v>convert</v>
      </c>
    </row>
    <row r="71" spans="2:7" x14ac:dyDescent="0.25">
      <c r="B71" s="5" t="s">
        <v>225</v>
      </c>
      <c r="C71" s="10" t="str">
        <f>IF(C60,"convert","preference")</f>
        <v>preference</v>
      </c>
      <c r="D71" s="10" t="str">
        <f>IF(D60,"convert","preference")</f>
        <v>preference</v>
      </c>
      <c r="E71" s="10" t="str">
        <f>IF(E60,"convert","preference")</f>
        <v>convert</v>
      </c>
      <c r="F71" s="10" t="str">
        <f>IF(F60,"convert","preference")</f>
        <v>convert</v>
      </c>
      <c r="G71" s="10" t="str">
        <f>IF(G60,"convert","preference")</f>
        <v>convert</v>
      </c>
    </row>
    <row r="72" spans="2:7" x14ac:dyDescent="0.25">
      <c r="B72" s="5" t="s">
        <v>226</v>
      </c>
      <c r="C72" s="10" t="str">
        <f>IF(C61,"convert","preference")</f>
        <v>preference</v>
      </c>
      <c r="D72" s="10" t="str">
        <f>IF(D61,"convert","preference")</f>
        <v>preference</v>
      </c>
      <c r="E72" s="10" t="str">
        <f>IF(E61,"convert","preference")</f>
        <v>preference</v>
      </c>
      <c r="F72" s="10" t="str">
        <f>IF(F61,"convert","preference")</f>
        <v>convert</v>
      </c>
      <c r="G72" s="10" t="str">
        <f>IF(G61,"convert","preference")</f>
        <v>convert</v>
      </c>
    </row>
    <row r="73" spans="2:7" x14ac:dyDescent="0.25">
      <c r="B73" s="5" t="s">
        <v>227</v>
      </c>
      <c r="C73" s="10" t="str">
        <f>IF(C62,"convert","preference")</f>
        <v>preference</v>
      </c>
      <c r="D73" s="10" t="str">
        <f>IF(D62,"convert","preference")</f>
        <v>convert</v>
      </c>
      <c r="E73" s="10" t="str">
        <f>IF(E62,"convert","preference")</f>
        <v>convert</v>
      </c>
      <c r="F73" s="10" t="str">
        <f>IF(F62,"convert","preference")</f>
        <v>convert</v>
      </c>
      <c r="G73" s="10" t="str">
        <f>IF(G62,"convert","preference")</f>
        <v>convert</v>
      </c>
    </row>
    <row r="74" spans="2:7" x14ac:dyDescent="0.25">
      <c r="B74" s="5" t="s">
        <v>228</v>
      </c>
      <c r="C74" s="10" t="str">
        <f>IF(C63,"convert","preference")</f>
        <v>preference</v>
      </c>
      <c r="D74" s="10" t="str">
        <f>IF(D63,"convert","preference")</f>
        <v>convert</v>
      </c>
      <c r="E74" s="10" t="str">
        <f>IF(E63,"convert","preference")</f>
        <v>convert</v>
      </c>
      <c r="F74" s="10" t="str">
        <f>IF(F63,"convert","preference")</f>
        <v>convert</v>
      </c>
      <c r="G74" s="10" t="str">
        <f>IF(G63,"convert","preference")</f>
        <v>convert</v>
      </c>
    </row>
    <row r="75" spans="2:7" x14ac:dyDescent="0.25">
      <c r="B75" s="5" t="s">
        <v>229</v>
      </c>
      <c r="C75" s="10" t="str">
        <f>IF(C64,"convert","preference")</f>
        <v>convert</v>
      </c>
      <c r="D75" s="10" t="str">
        <f>IF(D64,"convert","preference")</f>
        <v>convert</v>
      </c>
      <c r="E75" s="10" t="str">
        <f>IF(E64,"convert","preference")</f>
        <v>convert</v>
      </c>
      <c r="F75" s="10" t="str">
        <f>IF(F64,"convert","preference")</f>
        <v>convert</v>
      </c>
      <c r="G75" s="10" t="str">
        <f>IF(G64,"convert","preference")</f>
        <v>convert</v>
      </c>
    </row>
    <row r="76" spans="2:7" x14ac:dyDescent="0.25">
      <c r="B76" s="5" t="s">
        <v>109</v>
      </c>
      <c r="C76" s="10" t="str">
        <f>IF(C65,"convert","preference")</f>
        <v>convert</v>
      </c>
      <c r="D76" s="10" t="str">
        <f>IF(D65,"convert","preference")</f>
        <v>convert</v>
      </c>
      <c r="E76" s="10" t="str">
        <f>IF(E65,"convert","preference")</f>
        <v>convert</v>
      </c>
      <c r="F76" s="10" t="str">
        <f>IF(F65,"convert","preference")</f>
        <v>convert</v>
      </c>
      <c r="G76" s="10" t="str">
        <f>IF(G65,"convert","preference")</f>
        <v>convert</v>
      </c>
    </row>
    <row r="79" spans="2:7" x14ac:dyDescent="0.25">
      <c r="B79" s="3" t="s">
        <v>244</v>
      </c>
      <c r="C79" s="4" t="s">
        <v>3</v>
      </c>
      <c r="D79" s="4" t="s">
        <v>3</v>
      </c>
      <c r="E79" s="4" t="s">
        <v>3</v>
      </c>
      <c r="F79" s="4" t="s">
        <v>3</v>
      </c>
      <c r="G79" s="4" t="s">
        <v>3</v>
      </c>
    </row>
    <row r="80" spans="2:7" x14ac:dyDescent="0.25">
      <c r="B80" s="28" t="s">
        <v>245</v>
      </c>
      <c r="C80" s="11">
        <f>SUMPRODUCT((1-C59:C65)*C7:C13)</f>
        <v>520000000</v>
      </c>
      <c r="D80" s="11">
        <f>SUMPRODUCT((1-D59:D65)*C7:C13)</f>
        <v>430000000</v>
      </c>
      <c r="E80" s="11">
        <f>SUMPRODUCT((1-E59:E65)*C7:C13)</f>
        <v>100000000</v>
      </c>
      <c r="F80" s="11">
        <f>SUMPRODUCT((1-F59:F65)*C7:C13)</f>
        <v>0</v>
      </c>
      <c r="G80" s="11">
        <f>SUMPRODUCT((1-G59:G65)*C7:C13)</f>
        <v>0</v>
      </c>
    </row>
    <row r="81" spans="2:7" x14ac:dyDescent="0.25">
      <c r="B81" s="28" t="s">
        <v>246</v>
      </c>
      <c r="C81" s="10">
        <f>SUMPRODUCT(C59:C65*D7:D13)</f>
        <v>10000000</v>
      </c>
      <c r="D81" s="10">
        <f>SUMPRODUCT(D59:D65*D7:D13)</f>
        <v>15400000</v>
      </c>
      <c r="E81" s="10">
        <f>SUMPRODUCT(E59:E65*D7:D13)</f>
        <v>22338766.827646755</v>
      </c>
      <c r="F81" s="10">
        <f>SUMPRODUCT(F59:F65*D7:D13)</f>
        <v>24072743.372121483</v>
      </c>
      <c r="G81" s="10">
        <f>SUMPRODUCT(G59:G65*D7:D13)</f>
        <v>24072743.372121483</v>
      </c>
    </row>
    <row r="82" spans="2:7" x14ac:dyDescent="0.25">
      <c r="B82" s="28" t="s">
        <v>247</v>
      </c>
      <c r="C82" s="11">
        <f>C24-C80</f>
        <v>180000000</v>
      </c>
      <c r="D82" s="11">
        <f>D24-D80</f>
        <v>770000000</v>
      </c>
      <c r="E82" s="11">
        <f>E24-E80</f>
        <v>1900000000</v>
      </c>
      <c r="F82" s="11">
        <f>F24-F80</f>
        <v>4000000000</v>
      </c>
      <c r="G82" s="11">
        <f>G24-G80</f>
        <v>8000000000</v>
      </c>
    </row>
    <row r="83" spans="2:7" x14ac:dyDescent="0.25">
      <c r="B83" s="28" t="s">
        <v>248</v>
      </c>
      <c r="C83" s="10">
        <f>$C$19+C81</f>
        <v>19281357.99511098</v>
      </c>
      <c r="D83" s="10">
        <f>$C$19+D81</f>
        <v>24681357.99511098</v>
      </c>
      <c r="E83" s="10">
        <f>$C$19+E81</f>
        <v>31620124.82275774</v>
      </c>
      <c r="F83" s="10">
        <f>$C$19+F81</f>
        <v>33354101.367232464</v>
      </c>
      <c r="G83" s="10">
        <f>$C$19+G81</f>
        <v>33354101.367232464</v>
      </c>
    </row>
    <row r="84" spans="2:7" x14ac:dyDescent="0.25">
      <c r="B84" s="28" t="s">
        <v>249</v>
      </c>
      <c r="C84" s="10">
        <f>C82/C83&gt;$C$21</f>
        <v>1</v>
      </c>
      <c r="D84" s="10">
        <f>D82/D83&gt;$C$21</f>
        <v>1</v>
      </c>
      <c r="E84" s="10">
        <f>E82/E83&gt;$C$21</f>
        <v>1</v>
      </c>
      <c r="F84" s="10">
        <f>F82/F83&gt;$C$21</f>
        <v>1</v>
      </c>
      <c r="G84" s="10">
        <f>G82/G83&gt;$C$21</f>
        <v>1</v>
      </c>
    </row>
    <row r="85" spans="2:7" x14ac:dyDescent="0.25">
      <c r="B85" s="9" t="s">
        <v>250</v>
      </c>
      <c r="C85" s="11">
        <f>IF(C84,(C82+$C$20*$C$21)/(C83+$C$20),C82/C83)</f>
        <v>8.378724597472928</v>
      </c>
      <c r="D85" s="11">
        <f>IF(D84,(D82+$C$20*$C$21)/(D83+$C$20),D82/D83)</f>
        <v>28.42021359414592</v>
      </c>
      <c r="E85" s="11">
        <f>IF(E84,(E82+$C$20*$C$21)/(E83+$C$20),E82/E83)</f>
        <v>55.75888159503607</v>
      </c>
      <c r="F85" s="11">
        <f>IF(F84,(F82+$C$20*$C$21)/(F83+$C$20),F82/F83)</f>
        <v>111.63297495605168</v>
      </c>
      <c r="G85" s="11">
        <f>IF(G84,(G82+$C$20*$C$21)/(G83+$C$20),G82/G83)</f>
        <v>223.19622288214956</v>
      </c>
    </row>
    <row r="87" spans="2:7" x14ac:dyDescent="0.25">
      <c r="B87" s="5" t="s">
        <v>251</v>
      </c>
      <c r="C87" s="11">
        <f>IF(C59,D7*C85,C7)</f>
        <v>30000000</v>
      </c>
      <c r="D87" s="11">
        <f>IF(D59,D7*D85,C7)</f>
        <v>30000000</v>
      </c>
      <c r="E87" s="11">
        <f>IF(E59,D7*E85,C7)</f>
        <v>44846573.15756803</v>
      </c>
      <c r="F87" s="11">
        <f>IF(F59,D7*F85,C7)</f>
        <v>89785810.52833065</v>
      </c>
      <c r="G87" s="11">
        <f>IF(G59,D7*G85,C7)</f>
        <v>179515539.97575668</v>
      </c>
    </row>
    <row r="88" spans="2:7" x14ac:dyDescent="0.25">
      <c r="B88" s="5" t="s">
        <v>252</v>
      </c>
      <c r="C88" s="11">
        <f>IF(C60,D8*C85,C8)</f>
        <v>300000000</v>
      </c>
      <c r="D88" s="11">
        <f>IF(D60,D8*D85,C8)</f>
        <v>300000000</v>
      </c>
      <c r="E88" s="11">
        <f>IF(E60,D8*E85,C8)</f>
        <v>342051304.80075145</v>
      </c>
      <c r="F88" s="11">
        <f>IF(F60,D8*F85,C8)</f>
        <v>684809372.9682417</v>
      </c>
      <c r="G88" s="11">
        <f>IF(G60,D8*G85,C8)</f>
        <v>1369191007.4149542</v>
      </c>
    </row>
    <row r="89" spans="2:7" x14ac:dyDescent="0.25">
      <c r="B89" s="5" t="s">
        <v>253</v>
      </c>
      <c r="C89" s="11">
        <f>IF(C61,D9*C85,C9)</f>
        <v>100000000</v>
      </c>
      <c r="D89" s="11">
        <f>IF(D61,D9*D85,C9)</f>
        <v>100000000</v>
      </c>
      <c r="E89" s="11">
        <f>IF(E61,D9*E85,C9)</f>
        <v>100000000</v>
      </c>
      <c r="F89" s="11">
        <f>IF(F61,D9*F85,C9)</f>
        <v>193568960.1637284</v>
      </c>
      <c r="G89" s="11">
        <f>IF(G61,D9*G85,C9)</f>
        <v>387017015.293001</v>
      </c>
    </row>
    <row r="90" spans="2:7" x14ac:dyDescent="0.25">
      <c r="B90" s="5" t="s">
        <v>254</v>
      </c>
      <c r="C90" s="11">
        <f>IF(C62,D10*C85,C10)</f>
        <v>60000000</v>
      </c>
      <c r="D90" s="11">
        <f>IF(D62,D10*D85,C10)</f>
        <v>68208512.6259502</v>
      </c>
      <c r="E90" s="11">
        <f>IF(E62,D10*E85,C10)</f>
        <v>133821315.82808657</v>
      </c>
      <c r="F90" s="11">
        <f>IF(F62,D10*F85,C10)</f>
        <v>267919139.89452404</v>
      </c>
      <c r="G90" s="11">
        <f>IF(G62,D10*G85,C10)</f>
        <v>535670934.91715896</v>
      </c>
    </row>
    <row r="91" spans="2:7" x14ac:dyDescent="0.25">
      <c r="B91" s="5" t="s">
        <v>255</v>
      </c>
      <c r="C91" s="11">
        <f>IF(C63,D11*C85,C11)</f>
        <v>30000000</v>
      </c>
      <c r="D91" s="11">
        <f>IF(D63,D11*D85,C11)</f>
        <v>85260640.78243776</v>
      </c>
      <c r="E91" s="11">
        <f>IF(E63,D11*E85,C11)</f>
        <v>167276644.7851082</v>
      </c>
      <c r="F91" s="11">
        <f>IF(F63,D11*F85,C11)</f>
        <v>334898924.86815506</v>
      </c>
      <c r="G91" s="11">
        <f>IF(G63,D11*G85,C11)</f>
        <v>669588668.6464487</v>
      </c>
    </row>
    <row r="92" spans="2:7" x14ac:dyDescent="0.25">
      <c r="B92" s="5" t="s">
        <v>256</v>
      </c>
      <c r="C92" s="11">
        <f>IF(C64,D12*C85,C12)</f>
        <v>41893622.98736464</v>
      </c>
      <c r="D92" s="11">
        <f>IF(D64,D12*D85,C12)</f>
        <v>142101067.9707296</v>
      </c>
      <c r="E92" s="11">
        <f>IF(E64,D12*E85,C12)</f>
        <v>278794407.9751803</v>
      </c>
      <c r="F92" s="11">
        <f>IF(F64,D12*F85,C12)</f>
        <v>558164874.7802584</v>
      </c>
      <c r="G92" s="11">
        <f>IF(G64,D12*G85,C12)</f>
        <v>1115981114.4107478</v>
      </c>
    </row>
    <row r="93" spans="2:7" x14ac:dyDescent="0.25">
      <c r="B93" s="5" t="s">
        <v>257</v>
      </c>
      <c r="C93" s="11">
        <f>IF(C65,D13*C85,C13)</f>
        <v>41893622.98736464</v>
      </c>
      <c r="D93" s="11">
        <f>IF(D65,D13*D85,C13)</f>
        <v>142101067.9707296</v>
      </c>
      <c r="E93" s="11">
        <f>IF(E65,D13*E85,C13)</f>
        <v>278794407.9751803</v>
      </c>
      <c r="F93" s="11">
        <f>IF(F65,D13*F85,C13)</f>
        <v>558164874.7802584</v>
      </c>
      <c r="G93" s="11">
        <f>IF(G65,D13*G85,C13)</f>
        <v>1115981114.4107478</v>
      </c>
    </row>
    <row r="94" spans="2:7" x14ac:dyDescent="0.25">
      <c r="B94" s="5" t="s">
        <v>144</v>
      </c>
      <c r="C94" s="11">
        <f>C17*C85</f>
        <v>1564601.881570088</v>
      </c>
      <c r="D94" s="11">
        <f>C17*D85</f>
        <v>5307051.1086419765</v>
      </c>
      <c r="E94" s="11">
        <f>C17*E85</f>
        <v>10412139.704908002</v>
      </c>
      <c r="F94" s="11">
        <f>C17*F85</f>
        <v>20845793.48916466</v>
      </c>
      <c r="G94" s="11">
        <f>C17*G85</f>
        <v>41678566.49520055</v>
      </c>
    </row>
    <row r="95" spans="2:7" x14ac:dyDescent="0.25">
      <c r="B95" s="5" t="s">
        <v>146</v>
      </c>
      <c r="C95" s="11">
        <f>C18*C85</f>
        <v>792819.2727619858</v>
      </c>
      <c r="D95" s="11">
        <f>C18*D85</f>
        <v>2689203.208832867</v>
      </c>
      <c r="E95" s="11">
        <f>C18*E85</f>
        <v>5276067.430302122</v>
      </c>
      <c r="F95" s="11">
        <f>C18*F85</f>
        <v>10563036.532744784</v>
      </c>
      <c r="G95" s="11">
        <f>C18*G85</f>
        <v>21119475.29126549</v>
      </c>
    </row>
    <row r="96" spans="2:7" x14ac:dyDescent="0.25">
      <c r="B96" s="5" t="s">
        <v>258</v>
      </c>
      <c r="C96" s="11">
        <f>C16*C85</f>
        <v>75408521.37725635</v>
      </c>
      <c r="D96" s="11">
        <f>C16*D85</f>
        <v>255781922.34731328</v>
      </c>
      <c r="E96" s="11">
        <f>C16*E85</f>
        <v>501829934.3553246</v>
      </c>
      <c r="F96" s="11">
        <f>C16*F85</f>
        <v>1004696774.6044651</v>
      </c>
      <c r="G96" s="11">
        <f>C16*G85</f>
        <v>2008766005.939346</v>
      </c>
    </row>
    <row r="97" spans="2:7" x14ac:dyDescent="0.25">
      <c r="B97" s="5" t="s">
        <v>259</v>
      </c>
      <c r="C97" s="11">
        <f>IF(C84,$C$20*(C85-$C$21),0)</f>
        <v>18446811.49368232</v>
      </c>
      <c r="D97" s="11">
        <f>IF(D84,$C$20*(D85-$C$21),0)</f>
        <v>68550533.9853648</v>
      </c>
      <c r="E97" s="11">
        <f>IF(E84,$C$20*(E85-$C$21),0)</f>
        <v>136897203.98759016</v>
      </c>
      <c r="F97" s="11">
        <f>IF(F84,$C$20*(F85-$C$21),0)</f>
        <v>276582437.3901292</v>
      </c>
      <c r="G97" s="11">
        <f>IF(G84,$C$20*(G85-$C$21),0)</f>
        <v>555490557.2053739</v>
      </c>
    </row>
    <row r="98" spans="2:7" x14ac:dyDescent="0.25">
      <c r="B98" s="9" t="s">
        <v>154</v>
      </c>
      <c r="C98" s="30">
        <f>SUM(C87:C97)</f>
        <v>699999999.9999999</v>
      </c>
      <c r="D98" s="30">
        <f>SUM(D87:D97)</f>
        <v>1200000000</v>
      </c>
      <c r="E98" s="30">
        <f>SUM(E87:E97)</f>
        <v>1999999999.9999998</v>
      </c>
      <c r="F98" s="30">
        <f>SUM(F87:F97)</f>
        <v>4000000000.0000005</v>
      </c>
      <c r="G98" s="30">
        <f>SUM(G87:G97)</f>
        <v>8000000000</v>
      </c>
    </row>
    <row r="99" spans="2:7" x14ac:dyDescent="0.25">
      <c r="B99" s="5" t="s">
        <v>155</v>
      </c>
      <c r="C99" s="20">
        <f>ROUND(C98-C24,2)</f>
        <v>0</v>
      </c>
      <c r="D99" s="20">
        <f>ROUND(D98-D24,2)</f>
        <v>0</v>
      </c>
      <c r="E99" s="20">
        <f>ROUND(E98-E24,2)</f>
        <v>0</v>
      </c>
      <c r="F99" s="20">
        <f>ROUND(F98-F24,2)</f>
        <v>0</v>
      </c>
      <c r="G99" s="20">
        <f>ROUND(G98-G24,2)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Pro-Forma</vt:lpstr>
      <vt:lpstr>Return-Solver</vt:lpstr>
      <vt:lpstr>Sens-Helper</vt:lpstr>
      <vt:lpstr>Sensitivity</vt:lpstr>
      <vt:lpstr>Solver</vt:lpstr>
      <vt:lpstr>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2026-04-27T02:35:32Z</dcterms:created>
  <dcterms:modified xsi:type="dcterms:W3CDTF">2026-04-27T02:35:32Z</dcterms:modified>
</cp:coreProperties>
</file>