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itivity" state="visible" r:id="rId8"/>
    <sheet sheetId="5" name="Waterfall" state="visible" r:id="rId9"/>
  </sheets>
  <calcPr calcId="171027" fullCalcOnLoad="1"/>
</workbook>
</file>

<file path=xl/sharedStrings.xml><?xml version="1.0" encoding="utf-8"?>
<sst xmlns="http://schemas.openxmlformats.org/spreadsheetml/2006/main" count="759" uniqueCount="311">
  <si>
    <t>Kelvin Dynamics — Series F Assumptions &amp; Solver</t>
  </si>
  <si>
    <t>All inputs in USD or shares unless noted</t>
  </si>
  <si>
    <t>Series F Round Terms</t>
  </si>
  <si>
    <t>Series F pre-money valuation ($)</t>
  </si>
  <si>
    <t>Series F primary raise ($)</t>
  </si>
  <si>
    <t>Series F secondary raise ($)</t>
  </si>
  <si>
    <t>Tender PPS multiplier (× F PPS)</t>
  </si>
  <si>
    <t>ESOP refresh target (% of post-F FD)</t>
  </si>
  <si>
    <t>Our fund check ($)</t>
  </si>
  <si>
    <t>F_LEAD primary check ($)</t>
  </si>
  <si>
    <t>Option strike ($)</t>
  </si>
  <si>
    <t>Prior Round OCPs (for AD)</t>
  </si>
  <si>
    <t>Seed OCP</t>
  </si>
  <si>
    <t>Series A OCP</t>
  </si>
  <si>
    <t>Series B OCP</t>
  </si>
  <si>
    <t>Series C OCP</t>
  </si>
  <si>
    <t>Series D OCP (post-E NCP, compound base)</t>
  </si>
  <si>
    <t>Series D original OCP (issued at)</t>
  </si>
  <si>
    <t>Series E OCP</t>
  </si>
  <si>
    <t>Invested Capital by Series</t>
  </si>
  <si>
    <t>Seed invested ($)</t>
  </si>
  <si>
    <t>Series A invested ($)</t>
  </si>
  <si>
    <t>Series B invested ($)</t>
  </si>
  <si>
    <t>Series C invested ($)</t>
  </si>
  <si>
    <t>Series D invested ($)</t>
  </si>
  <si>
    <t>Series E invested ($)</t>
  </si>
  <si>
    <t>Convertible Notes</t>
  </si>
  <si>
    <t>Note A principal ($)</t>
  </si>
  <si>
    <t>Note A valuation cap ($)</t>
  </si>
  <si>
    <t>Note A discount</t>
  </si>
  <si>
    <t>Note B principal ($)</t>
  </si>
  <si>
    <t>Note B valuation cap ($)</t>
  </si>
  <si>
    <t>Note B discount</t>
  </si>
  <si>
    <t>Pre-F Share Counts (broad-based AD inputs)</t>
  </si>
  <si>
    <t>Founders common (F1+F2+F3)</t>
  </si>
  <si>
    <t>(F1 / F2 / F3 →)</t>
  </si>
  <si>
    <t>Employee RSAs (10 × 100,000)</t>
  </si>
  <si>
    <t>Seed preferred shares</t>
  </si>
  <si>
    <t>Series A preferred shares</t>
  </si>
  <si>
    <t>Series B preferred shares</t>
  </si>
  <si>
    <t>Series C preferred shares</t>
  </si>
  <si>
    <t>Series D preferred shares (post v3 AD)</t>
  </si>
  <si>
    <t>Series E preferred shares</t>
  </si>
  <si>
    <t>Pre-F issued options</t>
  </si>
  <si>
    <t>Pre-F unissued options</t>
  </si>
  <si>
    <t>Pre-F existing pool (issued + unissued)</t>
  </si>
  <si>
    <t>Pre-F fully-diluted total (broad-based A)</t>
  </si>
  <si>
    <t>Exit Scenarios</t>
  </si>
  <si>
    <t>Exit 1 ($)</t>
  </si>
  <si>
    <t>Exit 2 ($)</t>
  </si>
  <si>
    <t>Exit 3 ($) — sensitivity ref</t>
  </si>
  <si>
    <t>Exit 4 ($)</t>
  </si>
  <si>
    <t>Exit 5 ($)</t>
  </si>
  <si>
    <t>Sensitivity Axes &amp; Return Targets</t>
  </si>
  <si>
    <t>ESOP low / base / high</t>
  </si>
  <si>
    <t>Pre-money low / base / high ($)</t>
  </si>
  <si>
    <t>Return targets (3× / 4×)</t>
  </si>
  <si>
    <t>Fixed-Point Solver (6 iterations)</t>
  </si>
  <si>
    <t>Iteration</t>
  </si>
  <si>
    <t>F PPS ($)</t>
  </si>
  <si>
    <t>F primary new shares</t>
  </si>
  <si>
    <t>AD D denom (A + 30M/F_PPS)</t>
  </si>
  <si>
    <t>AD D numer (A + 30M/D_OCP)</t>
  </si>
  <si>
    <t>NCP_D (post-F)</t>
  </si>
  <si>
    <t>AD_D top-up shares</t>
  </si>
  <si>
    <t>NCP_E (post-F)</t>
  </si>
  <si>
    <t>AD_E top-up shares</t>
  </si>
  <si>
    <t>Other shares (for ESOP base)</t>
  </si>
  <si>
    <t>ESOP top-up shares</t>
  </si>
  <si>
    <t>Note A cap PPS</t>
  </si>
  <si>
    <t>Note A discount PPS</t>
  </si>
  <si>
    <t>Note A conversion PPS</t>
  </si>
  <si>
    <t>Note B cap PPS</t>
  </si>
  <si>
    <t>Note B discount PPS</t>
  </si>
  <si>
    <t>Note B conversion PPS</t>
  </si>
  <si>
    <t>Note A shares (current)</t>
  </si>
  <si>
    <t>Note B shares (current)</t>
  </si>
  <si>
    <t>Solved Values (from final iteration)</t>
  </si>
  <si>
    <t>F PPS ($) — solved</t>
  </si>
  <si>
    <t>F primary new shares — solved</t>
  </si>
  <si>
    <t>ESOP top-up shares — solved</t>
  </si>
  <si>
    <t>AD D top-up shares — solved</t>
  </si>
  <si>
    <t>AD E top-up shares — solved</t>
  </si>
  <si>
    <t>Note A conversion PPS — solved</t>
  </si>
  <si>
    <t>Note A shares — solved</t>
  </si>
  <si>
    <t>Note B conversion PPS — solved</t>
  </si>
  <si>
    <t>Note B shares — solved</t>
  </si>
  <si>
    <t>Tender PPS ($)</t>
  </si>
  <si>
    <t>Tender shares (transferred from founders)</t>
  </si>
  <si>
    <t>Post-F NCP for D (effective)</t>
  </si>
  <si>
    <t>Post-F NCP for E (effective)</t>
  </si>
  <si>
    <t>Post-F FD total (T_F)</t>
  </si>
  <si>
    <t>Our fund F primary shares</t>
  </si>
  <si>
    <t>F_LEAD F primary shares</t>
  </si>
  <si>
    <t>Kelvin Dynamics — Pro-Forma Cap Table (Post-Series F)</t>
  </si>
  <si>
    <t>Shares and ownership % after F closing, AD adjustments, note conversions, and tender</t>
  </si>
  <si>
    <t>Anti-Dilution Block (Broad-Based WA)</t>
  </si>
  <si>
    <t>Class</t>
  </si>
  <si>
    <t>OCP-for-AD</t>
  </si>
  <si>
    <t>F PPS</t>
  </si>
  <si>
    <t>Trigger?</t>
  </si>
  <si>
    <t>NCP (post-F)</t>
  </si>
  <si>
    <t>New Ratio</t>
  </si>
  <si>
    <t>As-Converted Shares</t>
  </si>
  <si>
    <t>Seed</t>
  </si>
  <si>
    <t>Series A</t>
  </si>
  <si>
    <t>Series B</t>
  </si>
  <si>
    <t>Series C</t>
  </si>
  <si>
    <t>Series D</t>
  </si>
  <si>
    <t>Series E</t>
  </si>
  <si>
    <t>Total AD top-up shares</t>
  </si>
  <si>
    <t>Convertible Notes Conversion</t>
  </si>
  <si>
    <t>Note</t>
  </si>
  <si>
    <t>Principal</t>
  </si>
  <si>
    <t>Cap-Implied PPS</t>
  </si>
  <si>
    <t>Discount-Implied PPS</t>
  </si>
  <si>
    <t>Conversion PPS</t>
  </si>
  <si>
    <t>Branch</t>
  </si>
  <si>
    <t>Shares Issued</t>
  </si>
  <si>
    <t>Note A</t>
  </si>
  <si>
    <t>Note B</t>
  </si>
  <si>
    <t>Total notes shares</t>
  </si>
  <si>
    <t>Secondary Tender (founder share-out → F_LEAD)</t>
  </si>
  <si>
    <t>Tender PPS (= 0.85 × F_PPS)</t>
  </si>
  <si>
    <t>Tender size ($)</t>
  </si>
  <si>
    <t>Total tender shares (transferred)</t>
  </si>
  <si>
    <t>Founder</t>
  </si>
  <si>
    <t>Pre-F Common</t>
  </si>
  <si>
    <t>Pro-Rata Share</t>
  </si>
  <si>
    <t>Tendered to F_LEAD</t>
  </si>
  <si>
    <t>Post-F Common</t>
  </si>
  <si>
    <t>F1 (CEO)</t>
  </si>
  <si>
    <t>F2 (CTO)</t>
  </si>
  <si>
    <t>F3 (Chief Sci.)</t>
  </si>
  <si>
    <t>Total founders</t>
  </si>
  <si>
    <t>F_LEAD secondary common (from tender)</t>
  </si>
  <si>
    <t>Post-F Cap Table by Stakeholder</t>
  </si>
  <si>
    <t>Stakeholder</t>
  </si>
  <si>
    <t>Role / Class</t>
  </si>
  <si>
    <t>Common (incl. RSAs)</t>
  </si>
  <si>
    <t>Preferred (as-conv.)</t>
  </si>
  <si>
    <t>Note-Conv.</t>
  </si>
  <si>
    <t>F Primary</t>
  </si>
  <si>
    <t>F Secondary</t>
  </si>
  <si>
    <t>Total Shares</t>
  </si>
  <si>
    <t>Ownership %</t>
  </si>
  <si>
    <t>F1</t>
  </si>
  <si>
    <t>Founder (CEO)</t>
  </si>
  <si>
    <t>F2</t>
  </si>
  <si>
    <t>Founder (CTO)</t>
  </si>
  <si>
    <t>F3</t>
  </si>
  <si>
    <t>Founder (Chief Sci.)</t>
  </si>
  <si>
    <t>E1</t>
  </si>
  <si>
    <t>Employee RSA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</si>
  <si>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</si>
  <si>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</si>
  <si>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</si>
  <si>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</si>
  <si>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</si>
  <si>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</si>
  <si>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</si>
  <si>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</si>
  <si>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</si>
  <si>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SEED1</t>
  </si>
  <si>
    <t>Seed pref LP</t>
  </si>
  <si>
    <t>A1</t>
  </si>
  <si>
    <t>Series A pref LP</t>
  </si>
  <si>
    <t>B1</t>
  </si>
  <si>
    <t>Series B pref LP</t>
  </si>
  <si>
    <t>C1</t>
  </si>
  <si>
    <t>Series C pref LP</t>
  </si>
  <si>
    <t>D1</t>
  </si>
  <si>
    <t>Series D pref LP</t>
  </si>
  <si>
    <t>E1_INV</t>
  </si>
  <si>
    <t>Series E pref LP</t>
  </si>
  <si>
    <t>E2_INV</t>
  </si>
  <si>
    <t>E3_INV</t>
  </si>
  <si>
    <t>E4_INV</t>
  </si>
  <si>
    <t>E5_INV</t>
  </si>
  <si>
    <t>E6_INV</t>
  </si>
  <si>
    <t>E7_INV</t>
  </si>
  <si>
    <t>E8_INV</t>
  </si>
  <si>
    <t>E9_INV</t>
  </si>
  <si>
    <t>E10_INV</t>
  </si>
  <si>
    <t>NA1</t>
  </si>
  <si>
    <t>Note A holder</t>
  </si>
  <si>
    <t>NB1</t>
  </si>
  <si>
    <t>Note B holder</t>
  </si>
  <si>
    <t>F_LEAD</t>
  </si>
  <si>
    <t>F lead investor</t>
  </si>
  <si>
    <t>F_FUND</t>
  </si>
  <si>
    <t>Our fund (F primary)</t>
  </si>
  <si>
    <t>Pool</t>
  </si>
  <si>
    <t>Unallocated option pool</t>
  </si>
  <si>
    <t>Issued Options</t>
  </si>
  <si>
    <t>Vested ESOP (employees)</t>
  </si>
  <si>
    <t>Total post-F FD</t>
  </si>
  <si>
    <t>Check</t>
  </si>
  <si>
    <t>Kelvin Dynamics — Return Solver</t>
  </si>
  <si>
    <t>Required Series F class ownership % to return 3× / 4× our $10M check, by exit</t>
  </si>
  <si>
    <t>Inputs (base case)</t>
  </si>
  <si>
    <t>Our check ($)</t>
  </si>
  <si>
    <t>3× target ($)</t>
  </si>
  <si>
    <t>4× target ($)</t>
  </si>
  <si>
    <t>F primary new shares (base)</t>
  </si>
  <si>
    <t>Post-F FD T_F (base)</t>
  </si>
  <si>
    <t>Required F-Class Ownership % per Exit (incl. F's equilibrium election)</t>
  </si>
  <si>
    <t>Exit Value</t>
  </si>
  <si>
    <t>F Class Total $ (waterfall)</t>
  </si>
  <si>
    <t>F Election (waterfall)</t>
  </si>
  <si>
    <t>Req. F-Class % for 3×</t>
  </si>
  <si>
    <t>Req. F-Class % for 4×</t>
  </si>
  <si>
    <t>Req. Company % for 3×</t>
  </si>
  <si>
    <t>Req. Company % for 4×</t>
  </si>
  <si>
    <t>Feasibility</t>
  </si>
  <si>
    <t>Exit 1: $700M</t>
  </si>
  <si>
    <t>Exit 2: $1.2B</t>
  </si>
  <si>
    <t>Exit 3: $2B</t>
  </si>
  <si>
    <t>Exit 4: $4B</t>
  </si>
  <si>
    <t>Exit 5: $8B</t>
  </si>
  <si>
    <t>Reference: at base-case (1/3 of F class) our return =</t>
  </si>
  <si>
    <t>Our $ proceeds at base-case ownership</t>
  </si>
  <si>
    <t>Our MOIC at base-case ownership</t>
  </si>
  <si>
    <t>Notes</t>
  </si>
  <si>
    <t>F-Class % is share of Series F class (vs F_LEAD's 2/3 + our 1/3 = 100%).</t>
  </si>
  <si>
    <t>Company % = Required F-Class % × F_class_shares / T_F (post-F FD).</t>
  </si>
  <si>
    <t>Infeasibility triggered when target exceeds the entire F-class proceeds at that exit.</t>
  </si>
  <si>
    <t>Kelvin Dynamics — Sensitivity (ESOP × Pre-Money @ $2B Exit)</t>
  </si>
  <si>
    <t>Per-cell fixed-point solve (F PPS, ESOP top-up, AD on D and E, both notes branches)</t>
  </si>
  <si>
    <t>Our $10M Check — Post-F Ownership %</t>
  </si>
  <si>
    <t>ESOP refresh ↓ / Pre-money →</t>
  </si>
  <si>
    <t>Our $10M Check — $ Proceeds at $2B Exit</t>
  </si>
  <si>
    <t>Our $10M Check — Multiple of Invested Capital (MOIC)</t>
  </si>
  <si>
    <t>Scenario 1: ESOP=11%, Pre=$1.2B</t>
  </si>
  <si>
    <t>Iter →</t>
  </si>
  <si>
    <t>F primary shares</t>
  </si>
  <si>
    <t>NCP_D</t>
  </si>
  <si>
    <t>AD_D shares</t>
  </si>
  <si>
    <t>NCP_E</t>
  </si>
  <si>
    <t>AD_E shares</t>
  </si>
  <si>
    <t>ESOP top-up</t>
  </si>
  <si>
    <t>N_A cap PPS</t>
  </si>
  <si>
    <t>N_A disc PPS</t>
  </si>
  <si>
    <t>N_A conv PPS</t>
  </si>
  <si>
    <t>N_A shares</t>
  </si>
  <si>
    <t>N_B cap PPS</t>
  </si>
  <si>
    <t>N_B disc PPS</t>
  </si>
  <si>
    <t>N_B conv PPS</t>
  </si>
  <si>
    <t>N_B shares</t>
  </si>
  <si>
    <t>Post-F FD (T_F)</t>
  </si>
  <si>
    <t>Mini-waterfall @ $2B exit</t>
  </si>
  <si>
    <t>Shares</t>
  </si>
  <si>
    <t>Pref ($)</t>
  </si>
  <si>
    <t>Iter1</t>
  </si>
  <si>
    <t>Iter2</t>
  </si>
  <si>
    <t>Iter3</t>
  </si>
  <si>
    <t>Iter4</t>
  </si>
  <si>
    <t>Convert@final</t>
  </si>
  <si>
    <t>Final $</t>
  </si>
  <si>
    <t>Series F</t>
  </si>
  <si>
    <t>Notes (combined)</t>
  </si>
  <si>
    <t>Common+RSAs</t>
  </si>
  <si>
    <t>Our shares (10M / F_PPS)</t>
  </si>
  <si>
    <t>Our ownership %</t>
  </si>
  <si>
    <t>Our $ proceeds @ $2B</t>
  </si>
  <si>
    <t>Total proceeds (waterfall)</t>
  </si>
  <si>
    <t>Scenario 2: ESOP=11%, Pre=$1.4B</t>
  </si>
  <si>
    <t>Scenario 3: ESOP=11%, Pre=$1.8B</t>
  </si>
  <si>
    <t>Scenario 4: ESOP=13%, Pre=$1.2B</t>
  </si>
  <si>
    <t>Scenario 5: ESOP=13%, Pre=$1.4B</t>
  </si>
  <si>
    <t>Scenario 6: ESOP=13%, Pre=$1.8B</t>
  </si>
  <si>
    <t>Scenario 7: ESOP=15%, Pre=$1.2B</t>
  </si>
  <si>
    <t>Scenario 8: ESOP=15%, Pre=$1.4B</t>
  </si>
  <si>
    <t>Scenario 9: ESOP=15%, Pre=$1.8B</t>
  </si>
  <si>
    <t>Kelvin Dynamics — Exit Waterfall (5 Scenarios × 7 Election Cells)</t>
  </si>
  <si>
    <t>1× non-participating preferred with conversion election; notes ride convert pool</t>
  </si>
  <si>
    <t>Class Reference Schedule</t>
  </si>
  <si>
    <t>Shares (post-F)</t>
  </si>
  <si>
    <t>Liquidation Pref ($)</t>
  </si>
  <si>
    <t>Notes A+B (combined)</t>
  </si>
  <si>
    <t>Common + RSAs + F_LEAD secondary</t>
  </si>
  <si>
    <t>Issued options (vested, ITM only)</t>
  </si>
  <si>
    <t>Total pref ($, max if all take pref)</t>
  </si>
  <si>
    <t>Total convert pool (priced + common + notes + ITM opts)</t>
  </si>
  <si>
    <t>Exit Scenarios — Final Elections and Proceeds</t>
  </si>
  <si>
    <t>Exit Value ($)</t>
  </si>
  <si>
    <t>Proceeds Matrix ($)</t>
  </si>
  <si>
    <t>$700M</t>
  </si>
  <si>
    <t>$1.2B</t>
  </si>
  <si>
    <t>$2B</t>
  </si>
  <si>
    <t>$4B</t>
  </si>
  <si>
    <t>$8B</t>
  </si>
  <si>
    <t>Notes A+B</t>
  </si>
  <si>
    <t>Common + RSAs + F_LEAD sec.</t>
  </si>
  <si>
    <t>Issued options (net of strike)</t>
  </si>
  <si>
    <t>Total</t>
  </si>
  <si>
    <t>Iteration block: $700M</t>
  </si>
  <si>
    <t>Ind iter1</t>
  </si>
  <si>
    <t>Ind iter2</t>
  </si>
  <si>
    <t>Ind iter3</t>
  </si>
  <si>
    <t>Ind iter4</t>
  </si>
  <si>
    <t>Convert@iter4</t>
  </si>
  <si>
    <t>Final $ proceeds</t>
  </si>
  <si>
    <t>Aggregates</t>
  </si>
  <si>
    <t>Common+RSAs+F_LEAD sec</t>
  </si>
  <si>
    <t>Issued options (net)</t>
  </si>
  <si>
    <t>Total proceeds</t>
  </si>
  <si>
    <t>Iteration block: $1.2B</t>
  </si>
  <si>
    <t>Iteration block: $2B</t>
  </si>
  <si>
    <t>Iteration block: $4B</t>
  </si>
  <si>
    <t>Iteration block: $8B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</si>
</sst>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;\-\-_)"/>
    <numFmt numFmtId="165" formatCode="0.0%"/>
    <numFmt numFmtId="166" formatCode="#,##0_);\(#,##0\);\-\-_)"/>
    <numFmt numFmtId="167" formatCode="0.0&quot;x&quot;_);\(0.0&quot;x&quot;\);\-\-_)"/>
    <numFmt numFmtId="168" formatCode="0.0%_);\(0.0%\);\-\-_)"/>
    <numFmt numFmtId="169" formatCode="&quot;$&quot;#,##0,,&quot;M&quot;_);\(&quot;$&quot;#,##0,,&quot;M&quot;\);\-\-_)"/>
    <numFmt numFmtId="170" formatCode="0.00%_);\(0.00%\);\-\-_)"/>
    <numFmt numFmtId="171" formatCode="0.00&quot;x&quot;_);\(0.00&quot;x&quot;\);\-\-_)"/>
  </numFmts>
  <fonts count="10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i/>
      <charset val="134"/>
      <color rgb="FF666666"/>
      <family val="1"/>
      <sz val="8"/>
      <name val="Arial"/>
    </font>
    <font>
      <b/>
      <charset val="134"/>
      <color rgb="FF000000"/>
      <family val="1"/>
      <sz val="10"/>
      <name val="Arial"/>
    </font>
    <font>
      <b/>
      <charset val="134"/>
      <color rgb="FF7030A0"/>
      <family val="1"/>
      <sz val="10"/>
      <name val="Arial"/>
    </font>
    <font>
      <charset val="134"/>
      <color rgb="FF00B05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6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8" fontId="4" fillId="0" borderId="0" xfId="0" applyNumberFormat="1" applyFont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9" fontId="7" fillId="4" borderId="0" xfId="0" applyNumberFormat="1" applyFont="1" applyFill="1" applyAlignment="1">
      <alignment horizontal="center"/>
    </xf>
    <xf numFmtId="168" fontId="7" fillId="4" borderId="0" xfId="0" applyNumberFormat="1" applyFont="1" applyFill="1" applyAlignment="1">
      <alignment horizontal="right"/>
    </xf>
    <xf numFmtId="170" fontId="4" fillId="0" borderId="0" xfId="0" applyNumberFormat="1" applyFont="1" applyAlignment="1">
      <alignment horizontal="right"/>
    </xf>
    <xf numFmtId="170" fontId="7" fillId="5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171" fontId="4" fillId="0" borderId="0" xfId="0" applyNumberFormat="1" applyFont="1" applyAlignment="1">
      <alignment horizontal="right"/>
    </xf>
    <xf numFmtId="171" fontId="7" fillId="5" borderId="0" xfId="0" applyNumberFormat="1" applyFont="1" applyFill="1" applyAlignment="1">
      <alignment horizontal="right"/>
    </xf>
    <xf numFmtId="168" fontId="8" fillId="0" borderId="0" xfId="0" applyNumberFormat="1" applyFont="1" applyAlignment="1">
      <alignment horizontal="right"/>
    </xf>
    <xf numFmtId="164" fontId="7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3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0.205" customWidth="1"/>
    <col min="3" max="9" width="13.95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9" x14ac:dyDescent="0.25">
      <c r="B5" s="3" t="s">
        <v>2</v>
      </c>
      <c r="C5" s="4"/>
      <c r="D5" s="4"/>
      <c r="E5" s="4"/>
      <c r="F5" s="4"/>
      <c r="G5" s="4"/>
      <c r="H5" s="4"/>
      <c r="I5" s="4"/>
    </row>
    <row r="6" spans="2:3" x14ac:dyDescent="0.25">
      <c r="B6" s="5" t="s">
        <v>3</v>
      </c>
      <c r="C6" s="6">
        <v>1400000000</v>
      </c>
    </row>
    <row r="7" spans="2:3" x14ac:dyDescent="0.25">
      <c r="B7" s="5" t="s">
        <v>4</v>
      </c>
      <c r="C7" s="6">
        <v>30000000</v>
      </c>
    </row>
    <row r="8" spans="2:3" x14ac:dyDescent="0.25">
      <c r="B8" s="5" t="s">
        <v>5</v>
      </c>
      <c r="C8" s="6">
        <v>15000000</v>
      </c>
    </row>
    <row r="9" spans="2:3" x14ac:dyDescent="0.25">
      <c r="B9" s="5" t="s">
        <v>6</v>
      </c>
      <c r="C9" s="7">
        <v>0.85</v>
      </c>
    </row>
    <row r="10" spans="2:3" x14ac:dyDescent="0.25">
      <c r="B10" s="5" t="s">
        <v>7</v>
      </c>
      <c r="C10" s="7">
        <v>0.13</v>
      </c>
    </row>
    <row r="11" spans="2:3" x14ac:dyDescent="0.25">
      <c r="B11" s="5" t="s">
        <v>8</v>
      </c>
      <c r="C11" s="6">
        <v>10000000</v>
      </c>
    </row>
    <row r="12" spans="2:3" x14ac:dyDescent="0.25">
      <c r="B12" s="5" t="s">
        <v>9</v>
      </c>
      <c r="C12" s="6">
        <v>20000000</v>
      </c>
    </row>
    <row r="13" spans="2:3" x14ac:dyDescent="0.25">
      <c r="B13" s="5" t="s">
        <v>10</v>
      </c>
      <c r="C13" s="6">
        <v>1</v>
      </c>
    </row>
    <row r="15" spans="2:9" x14ac:dyDescent="0.25">
      <c r="B15" s="3" t="s">
        <v>11</v>
      </c>
      <c r="C15" s="4"/>
      <c r="D15" s="4"/>
      <c r="E15" s="4"/>
      <c r="F15" s="4"/>
      <c r="G15" s="4"/>
      <c r="H15" s="4"/>
      <c r="I15" s="4"/>
    </row>
    <row r="16" spans="2:3" x14ac:dyDescent="0.25">
      <c r="B16" s="5" t="s">
        <v>12</v>
      </c>
      <c r="C16" s="6">
        <v>1</v>
      </c>
    </row>
    <row r="17" spans="2:3" x14ac:dyDescent="0.25">
      <c r="B17" s="5" t="s">
        <v>13</v>
      </c>
      <c r="C17" s="6">
        <v>3</v>
      </c>
    </row>
    <row r="18" spans="2:3" x14ac:dyDescent="0.25">
      <c r="B18" s="5" t="s">
        <v>14</v>
      </c>
      <c r="C18" s="6">
        <v>10</v>
      </c>
    </row>
    <row r="19" spans="2:3" x14ac:dyDescent="0.25">
      <c r="B19" s="5" t="s">
        <v>15</v>
      </c>
      <c r="C19" s="6">
        <v>25</v>
      </c>
    </row>
    <row r="20" spans="2:3" x14ac:dyDescent="0.25">
      <c r="B20" s="5" t="s">
        <v>16</v>
      </c>
      <c r="C20" s="6">
        <v>58.118347</v>
      </c>
    </row>
    <row r="21" spans="2:3" x14ac:dyDescent="0.25">
      <c r="B21" s="5" t="s">
        <v>17</v>
      </c>
      <c r="C21" s="6">
        <v>60</v>
      </c>
    </row>
    <row r="22" spans="2:3" x14ac:dyDescent="0.25">
      <c r="B22" s="5" t="s">
        <v>18</v>
      </c>
      <c r="C22" s="6">
        <v>49.158311</v>
      </c>
    </row>
    <row r="24" spans="2:9" x14ac:dyDescent="0.25">
      <c r="B24" s="3" t="s">
        <v>19</v>
      </c>
      <c r="C24" s="4"/>
      <c r="D24" s="4"/>
      <c r="E24" s="4"/>
      <c r="F24" s="4"/>
      <c r="G24" s="4"/>
      <c r="H24" s="4"/>
      <c r="I24" s="4"/>
    </row>
    <row r="25" spans="2:3" x14ac:dyDescent="0.25">
      <c r="B25" s="5" t="s">
        <v>20</v>
      </c>
      <c r="C25" s="6">
        <v>5000000</v>
      </c>
    </row>
    <row r="26" spans="2:3" x14ac:dyDescent="0.25">
      <c r="B26" s="5" t="s">
        <v>21</v>
      </c>
      <c r="C26" s="6">
        <v>15000000</v>
      </c>
    </row>
    <row r="27" spans="2:3" x14ac:dyDescent="0.25">
      <c r="B27" s="5" t="s">
        <v>22</v>
      </c>
      <c r="C27" s="6">
        <v>30000000</v>
      </c>
    </row>
    <row r="28" spans="2:3" x14ac:dyDescent="0.25">
      <c r="B28" s="5" t="s">
        <v>23</v>
      </c>
      <c r="C28" s="6">
        <v>60000000</v>
      </c>
    </row>
    <row r="29" spans="2:3" x14ac:dyDescent="0.25">
      <c r="B29" s="5" t="s">
        <v>24</v>
      </c>
      <c r="C29" s="6">
        <v>100000000</v>
      </c>
    </row>
    <row r="30" spans="2:3" x14ac:dyDescent="0.25">
      <c r="B30" s="5" t="s">
        <v>25</v>
      </c>
      <c r="C30" s="6">
        <v>300000000</v>
      </c>
    </row>
    <row r="32" spans="2:9" x14ac:dyDescent="0.25">
      <c r="B32" s="3" t="s">
        <v>26</v>
      </c>
      <c r="C32" s="4"/>
      <c r="D32" s="4"/>
      <c r="E32" s="4"/>
      <c r="F32" s="4"/>
      <c r="G32" s="4"/>
      <c r="H32" s="4"/>
      <c r="I32" s="4"/>
    </row>
    <row r="33" spans="2:3" x14ac:dyDescent="0.25">
      <c r="B33" s="5" t="s">
        <v>27</v>
      </c>
      <c r="C33" s="6">
        <v>5000000</v>
      </c>
    </row>
    <row r="34" spans="2:3" x14ac:dyDescent="0.25">
      <c r="B34" s="5" t="s">
        <v>28</v>
      </c>
      <c r="C34" s="6">
        <v>1000000000</v>
      </c>
    </row>
    <row r="35" spans="2:3" x14ac:dyDescent="0.25">
      <c r="B35" s="5" t="s">
        <v>29</v>
      </c>
      <c r="C35" s="7">
        <v>0.2</v>
      </c>
    </row>
    <row r="36" spans="2:3" x14ac:dyDescent="0.25">
      <c r="B36" s="5" t="s">
        <v>30</v>
      </c>
      <c r="C36" s="6">
        <v>3000000</v>
      </c>
    </row>
    <row r="37" spans="2:3" x14ac:dyDescent="0.25">
      <c r="B37" s="5" t="s">
        <v>31</v>
      </c>
      <c r="C37" s="6">
        <v>1600000000</v>
      </c>
    </row>
    <row r="38" spans="2:3" x14ac:dyDescent="0.25">
      <c r="B38" s="5" t="s">
        <v>32</v>
      </c>
      <c r="C38" s="7">
        <v>0.15</v>
      </c>
    </row>
    <row r="40" spans="2:9" x14ac:dyDescent="0.25">
      <c r="B40" s="3" t="s">
        <v>33</v>
      </c>
      <c r="C40" s="4"/>
      <c r="D40" s="4"/>
      <c r="E40" s="4"/>
      <c r="F40" s="4"/>
      <c r="G40" s="4"/>
      <c r="H40" s="4"/>
      <c r="I40" s="4"/>
    </row>
    <row r="41" spans="2:7" x14ac:dyDescent="0.25">
      <c r="B41" s="5" t="s">
        <v>34</v>
      </c>
      <c r="C41" s="8">
        <f>E41+F41+G41</f>
        <v>8000000</v>
      </c>
      <c r="D41" s="9" t="s">
        <v>35</v>
      </c>
      <c r="E41" s="10">
        <v>4000000</v>
      </c>
      <c r="F41" s="10">
        <v>2500000</v>
      </c>
      <c r="G41" s="10">
        <v>1500000</v>
      </c>
    </row>
    <row r="42" spans="2:3" x14ac:dyDescent="0.25">
      <c r="B42" s="5" t="s">
        <v>36</v>
      </c>
      <c r="C42" s="10">
        <v>1000000</v>
      </c>
    </row>
    <row r="43" spans="2:3" x14ac:dyDescent="0.25">
      <c r="B43" s="5" t="s">
        <v>37</v>
      </c>
      <c r="C43" s="10">
        <v>5000000</v>
      </c>
    </row>
    <row r="44" spans="2:3" x14ac:dyDescent="0.25">
      <c r="B44" s="5" t="s">
        <v>38</v>
      </c>
      <c r="C44" s="10">
        <v>5000000</v>
      </c>
    </row>
    <row r="45" spans="2:3" x14ac:dyDescent="0.25">
      <c r="B45" s="5" t="s">
        <v>39</v>
      </c>
      <c r="C45" s="10">
        <v>3000000</v>
      </c>
    </row>
    <row r="46" spans="2:3" x14ac:dyDescent="0.25">
      <c r="B46" s="5" t="s">
        <v>40</v>
      </c>
      <c r="C46" s="10">
        <v>2400000</v>
      </c>
    </row>
    <row r="47" spans="2:3" x14ac:dyDescent="0.25">
      <c r="B47" s="5" t="s">
        <v>41</v>
      </c>
      <c r="C47" s="10">
        <v>1720627</v>
      </c>
    </row>
    <row r="48" spans="2:3" x14ac:dyDescent="0.25">
      <c r="B48" s="5" t="s">
        <v>42</v>
      </c>
      <c r="C48" s="10">
        <v>6102667</v>
      </c>
    </row>
    <row r="49" spans="2:3" x14ac:dyDescent="0.25">
      <c r="B49" s="5" t="s">
        <v>43</v>
      </c>
      <c r="C49" s="10">
        <v>2500000</v>
      </c>
    </row>
    <row r="50" spans="2:3" x14ac:dyDescent="0.25">
      <c r="B50" s="5" t="s">
        <v>44</v>
      </c>
      <c r="C50" s="10">
        <v>1894667</v>
      </c>
    </row>
    <row r="51" spans="2:3" x14ac:dyDescent="0.25">
      <c r="B51" s="5" t="s">
        <v>45</v>
      </c>
      <c r="C51" s="8">
        <f>C49+C50</f>
        <v>4394667</v>
      </c>
    </row>
    <row r="52" spans="2:3" x14ac:dyDescent="0.25">
      <c r="B52" s="5" t="s">
        <v>46</v>
      </c>
      <c r="C52" s="8">
        <f>C41+C42+C43+C44+C45+C46+C47+C48+C49+C50</f>
        <v>36617961</v>
      </c>
    </row>
    <row r="54" spans="2:9" x14ac:dyDescent="0.25">
      <c r="B54" s="3" t="s">
        <v>47</v>
      </c>
      <c r="C54" s="4"/>
      <c r="D54" s="4"/>
      <c r="E54" s="4"/>
      <c r="F54" s="4"/>
      <c r="G54" s="4"/>
      <c r="H54" s="4"/>
      <c r="I54" s="4"/>
    </row>
    <row r="55" spans="2:3" x14ac:dyDescent="0.25">
      <c r="B55" s="5" t="s">
        <v>48</v>
      </c>
      <c r="C55" s="6">
        <v>700000000</v>
      </c>
    </row>
    <row r="56" spans="2:3" x14ac:dyDescent="0.25">
      <c r="B56" s="5" t="s">
        <v>49</v>
      </c>
      <c r="C56" s="6">
        <v>1200000000</v>
      </c>
    </row>
    <row r="57" spans="2:3" x14ac:dyDescent="0.25">
      <c r="B57" s="5" t="s">
        <v>50</v>
      </c>
      <c r="C57" s="6">
        <v>2000000000</v>
      </c>
    </row>
    <row r="58" spans="2:3" x14ac:dyDescent="0.25">
      <c r="B58" s="5" t="s">
        <v>51</v>
      </c>
      <c r="C58" s="6">
        <v>4000000000</v>
      </c>
    </row>
    <row r="59" spans="2:3" x14ac:dyDescent="0.25">
      <c r="B59" s="5" t="s">
        <v>52</v>
      </c>
      <c r="C59" s="6">
        <v>8000000000</v>
      </c>
    </row>
    <row r="61" spans="2:9" x14ac:dyDescent="0.25">
      <c r="B61" s="3" t="s">
        <v>53</v>
      </c>
      <c r="C61" s="4"/>
      <c r="D61" s="4"/>
      <c r="E61" s="4"/>
      <c r="F61" s="4"/>
      <c r="G61" s="4"/>
      <c r="H61" s="4"/>
      <c r="I61" s="4"/>
    </row>
    <row r="62" spans="2:5" x14ac:dyDescent="0.25">
      <c r="B62" s="5" t="s">
        <v>54</v>
      </c>
      <c r="C62" s="7">
        <v>0.11</v>
      </c>
      <c r="D62" s="7">
        <v>0.13</v>
      </c>
      <c r="E62" s="7">
        <v>0.15</v>
      </c>
    </row>
    <row r="63" spans="2:5" x14ac:dyDescent="0.25">
      <c r="B63" s="5" t="s">
        <v>55</v>
      </c>
      <c r="C63" s="6">
        <v>1200000000</v>
      </c>
      <c r="D63" s="6">
        <v>1400000000</v>
      </c>
      <c r="E63" s="6">
        <v>1800000000</v>
      </c>
    </row>
    <row r="64" spans="2:4" x14ac:dyDescent="0.25">
      <c r="B64" s="5" t="s">
        <v>56</v>
      </c>
      <c r="C64" s="11">
        <v>3</v>
      </c>
      <c r="D64" s="11">
        <v>4</v>
      </c>
    </row>
    <row r="66" spans="2:9" x14ac:dyDescent="0.25">
      <c r="B66" s="3" t="s">
        <v>57</v>
      </c>
      <c r="C66" s="4"/>
      <c r="D66" s="4"/>
      <c r="E66" s="4"/>
      <c r="F66" s="4"/>
      <c r="G66" s="4"/>
      <c r="H66" s="4"/>
      <c r="I66" s="4"/>
    </row>
    <row r="67" spans="2:9" x14ac:dyDescent="0.25">
      <c r="B67" s="12" t="s">
        <v>58</v>
      </c>
      <c r="C67" s="13">
        <v>0</v>
      </c>
      <c r="D67" s="13">
        <v>1</v>
      </c>
      <c r="E67" s="13">
        <v>2</v>
      </c>
      <c r="F67" s="13">
        <v>3</v>
      </c>
      <c r="G67" s="13">
        <v>4</v>
      </c>
      <c r="H67" s="13">
        <v>5</v>
      </c>
      <c r="I67" s="13">
        <v>6</v>
      </c>
    </row>
    <row r="68" spans="2:9" x14ac:dyDescent="0.25">
      <c r="B68" s="5" t="s">
        <v>59</v>
      </c>
      <c r="C68" s="14">
        <f>C6/C52</f>
        <v>38.23260393990807</v>
      </c>
      <c r="D68" s="14">
        <f>C6/(C52+C77+C84+C85)</f>
        <v>37.67323729412285</v>
      </c>
      <c r="E68" s="14">
        <f>C6/(C52+D77+D84+D85)</f>
        <v>37.34825021747386</v>
      </c>
      <c r="F68" s="14">
        <f>C6/(C52+E77+E84+E85)</f>
        <v>37.34528066210184</v>
      </c>
      <c r="G68" s="14">
        <f>C6/(C52+F77+F84+F85)</f>
        <v>37.34524742375141</v>
      </c>
      <c r="H68" s="14">
        <f>C6/(C52+G77+G84+G85)</f>
        <v>37.34524707324227</v>
      </c>
      <c r="I68" s="14">
        <f>C6/(C52+H77+H84+H85)</f>
        <v>37.3452470694808</v>
      </c>
    </row>
    <row r="69" spans="2:9" x14ac:dyDescent="0.25">
      <c r="B69" s="5" t="s">
        <v>60</v>
      </c>
      <c r="C69" s="8">
        <f>C7/C68</f>
        <v>784670.5928571428</v>
      </c>
      <c r="D69" s="8">
        <f>C7/D68</f>
        <v>796321.2655653593</v>
      </c>
      <c r="E69" s="8">
        <f>C7/E68</f>
        <v>803250.4822933876</v>
      </c>
      <c r="F69" s="8">
        <f>C7/F68</f>
        <v>803314.3537315583</v>
      </c>
      <c r="G69" s="8">
        <f>C7/G68</f>
        <v>803315.0687045692</v>
      </c>
      <c r="H69" s="8">
        <f>C7/H68</f>
        <v>803315.0762441973</v>
      </c>
      <c r="I69" s="8">
        <f>C7/I68</f>
        <v>803315.0763251084</v>
      </c>
    </row>
    <row r="70" spans="2:9" x14ac:dyDescent="0.25">
      <c r="B70" s="5" t="s">
        <v>61</v>
      </c>
      <c r="C70" s="8">
        <f>C52+C7/C68</f>
        <v>37402631.592857145</v>
      </c>
      <c r="D70" s="8">
        <f>C52+C7/D68</f>
        <v>37414282.26556536</v>
      </c>
      <c r="E70" s="8">
        <f>C52+C7/E68</f>
        <v>37421211.48229339</v>
      </c>
      <c r="F70" s="8">
        <f>C52+C7/F68</f>
        <v>37421275.35373156</v>
      </c>
      <c r="G70" s="8">
        <f>C52+C7/G68</f>
        <v>37421276.06870457</v>
      </c>
      <c r="H70" s="8">
        <f>C52+C7/H68</f>
        <v>37421276.0762442</v>
      </c>
      <c r="I70" s="8">
        <f>C52+C7/I68</f>
        <v>37421276.07632511</v>
      </c>
    </row>
    <row r="71" spans="2:9" x14ac:dyDescent="0.25">
      <c r="B71" s="5" t="s">
        <v>62</v>
      </c>
      <c r="C71" s="8">
        <f>C52+C7/C20</f>
        <v>37134149.11526074</v>
      </c>
      <c r="D71" s="8">
        <f>C52+C7/C20</f>
        <v>37134149.11526074</v>
      </c>
      <c r="E71" s="8">
        <f>C52+C7/C20</f>
        <v>37134149.11526074</v>
      </c>
      <c r="F71" s="8">
        <f>C52+C7/C20</f>
        <v>37134149.11526074</v>
      </c>
      <c r="G71" s="8">
        <f>C52+C7/C20</f>
        <v>37134149.11526074</v>
      </c>
      <c r="H71" s="8">
        <f>C52+C7/C20</f>
        <v>37134149.11526074</v>
      </c>
      <c r="I71" s="8">
        <f>C52+C7/C20</f>
        <v>37134149.11526074</v>
      </c>
    </row>
    <row r="72" spans="2:9" x14ac:dyDescent="0.25">
      <c r="B72" s="5" t="s">
        <v>63</v>
      </c>
      <c r="C72" s="14">
        <f>C20*C71/C70</f>
        <v>57.7011635791589</v>
      </c>
      <c r="D72" s="14">
        <f>C20*D71/D70</f>
        <v>57.683195644695466</v>
      </c>
      <c r="E72" s="14">
        <f>C20*E71/E70</f>
        <v>57.6725145537218</v>
      </c>
      <c r="F72" s="14">
        <f>C20*F71/F70</f>
        <v>57.672416117032704</v>
      </c>
      <c r="G72" s="14">
        <f>C20*G71/G70</f>
        <v>57.67241501514027</v>
      </c>
      <c r="H72" s="14">
        <f>C20*H71/H70</f>
        <v>57.67241500352045</v>
      </c>
      <c r="I72" s="14">
        <f>C20*I71/I70</f>
        <v>57.67241500339575</v>
      </c>
    </row>
    <row r="73" spans="2:9" x14ac:dyDescent="0.25">
      <c r="B73" s="5" t="s">
        <v>64</v>
      </c>
      <c r="C73" s="8">
        <f>MAX(0,IF(C68&lt;C20,C29/C72-C47,0))</f>
        <v>12440.3039688757</v>
      </c>
      <c r="D73" s="8">
        <f>MAX(0,IF(D68&lt;C20,C29/D72-C47,0))</f>
        <v>12980.1429876818</v>
      </c>
      <c r="E73" s="8">
        <f>MAX(0,IF(E68&lt;C20,C29/E72-C47,0))</f>
        <v>13301.2112773191</v>
      </c>
      <c r="F73" s="8">
        <f>MAX(0,IF(F68&lt;C20,C29/F72-C47,0))</f>
        <v>13304.17078836</v>
      </c>
      <c r="G73" s="8">
        <f>MAX(0,IF(G68&lt;C20,C29/G72-C47,0))</f>
        <v>13304.2039169474</v>
      </c>
      <c r="H73" s="8">
        <f>MAX(0,IF(H68&lt;C20,C29/H72-C47,0))</f>
        <v>13304.2042662993</v>
      </c>
      <c r="I73" s="8">
        <f>MAX(0,IF(I68&lt;C20,C29/I72-C47,0))</f>
        <v>13304.2042700483</v>
      </c>
    </row>
    <row r="74" spans="2:9" x14ac:dyDescent="0.25">
      <c r="B74" s="5" t="s">
        <v>65</v>
      </c>
      <c r="C74" s="14">
        <f>C22*(C52+C7/C22)/(C52+C7/C68)</f>
        <v>48.92910036237569</v>
      </c>
      <c r="D74" s="14">
        <f>C22*(C52+C7/C22)/(C52+C7/D68)</f>
        <v>48.91386401679559</v>
      </c>
      <c r="E74" s="14">
        <f>C22*(C52+C7/C22)/(C52+C7/E68)</f>
        <v>48.90480672678941</v>
      </c>
      <c r="F74" s="14">
        <f>C22*(C52+C7/C22)/(C52+C7/F68)</f>
        <v>48.90472325501274</v>
      </c>
      <c r="G74" s="14">
        <f>C22*(C52+C7/C22)/(C52+C7/G68)</f>
        <v>48.904722320636346</v>
      </c>
      <c r="H74" s="14">
        <f>C22*(C52+C7/C22)/(C52+C7/H68)</f>
        <v>48.90472231078303</v>
      </c>
      <c r="I74" s="14">
        <f>C22*(C52+C7/C22)/(C52+C7/I68)</f>
        <v>48.90472231067729</v>
      </c>
    </row>
    <row r="75" spans="2:9" x14ac:dyDescent="0.25">
      <c r="B75" s="5" t="s">
        <v>66</v>
      </c>
      <c r="C75" s="8">
        <f>MAX(0,IF(C68&lt;C22,C30/C74-C48,0))</f>
        <v>28653.579740042</v>
      </c>
      <c r="D75" s="8">
        <f>MAX(0,IF(D68&lt;C22,C30/D74-C48,0))</f>
        <v>30563.445605131</v>
      </c>
      <c r="E75" s="8">
        <f>MAX(0,IF(E68&lt;C22,C30/E74-C48,0))</f>
        <v>31699.334908015</v>
      </c>
      <c r="F75" s="8">
        <f>MAX(0,IF(F68&lt;C22,C30/F74-C48,0))</f>
        <v>31709.805194373</v>
      </c>
      <c r="G75" s="8">
        <f>MAX(0,IF(G68&lt;C22,C30/G74-C48,0))</f>
        <v>31709.922398123</v>
      </c>
      <c r="H75" s="8">
        <f>MAX(0,IF(H68&lt;C22,C30/H74-C48,0))</f>
        <v>31709.9236340765</v>
      </c>
      <c r="I75" s="8">
        <f>MAX(0,IF(I68&lt;C22,C30/I74-C48,0))</f>
        <v>31709.92364734</v>
      </c>
    </row>
    <row r="76" spans="2:9" x14ac:dyDescent="0.25">
      <c r="B76" s="5" t="s">
        <v>67</v>
      </c>
      <c r="C76" s="8">
        <f>C52+C73+C75+C69+C84+C85</f>
        <v>37443725.47656607</v>
      </c>
      <c r="D76" s="8">
        <f>C52+D73+D75+D69+D84+D85</f>
        <v>37737319.00422915</v>
      </c>
      <c r="E76" s="8">
        <f>C52+E73+E75+E69+E84+E85</f>
        <v>37747208.15627776</v>
      </c>
      <c r="F76" s="8">
        <f>C52+F73+F75+F69+F84+F85</f>
        <v>37747304.43625694</v>
      </c>
      <c r="G76" s="8">
        <f>C52+G73+G75+G69+G84+G85</f>
        <v>37747305.49518149</v>
      </c>
      <c r="H76" s="8">
        <f>C52+H73+H75+H69+H84+H85</f>
        <v>37747305.50640519</v>
      </c>
      <c r="I76" s="8">
        <f>C52+I73+I75+I69+I84+I85</f>
        <v>37747305.50652545</v>
      </c>
    </row>
    <row r="77" spans="2:9" x14ac:dyDescent="0.25">
      <c r="B77" s="5" t="s">
        <v>68</v>
      </c>
      <c r="C77" s="8">
        <f>MAX(0,(C10*C76-C51)/(1-C10))</f>
        <v>543698.0597167689</v>
      </c>
      <c r="D77" s="8">
        <f>MAX(0,(C10*D76-C51)/(1-C10))</f>
        <v>587568.3569537805</v>
      </c>
      <c r="E77" s="8">
        <f>MAX(0,(C10*E76-C51)/(1-C10))</f>
        <v>589046.0463403552</v>
      </c>
      <c r="F77" s="8">
        <f>MAX(0,(C10*F76-C51)/(1-C10))</f>
        <v>589060.4330039104</v>
      </c>
      <c r="G77" s="8">
        <f>MAX(0,(C10*G76-C51)/(1-C10))</f>
        <v>589060.5912340161</v>
      </c>
      <c r="H77" s="8">
        <f>MAX(0,(C10*H76-C51)/(1-C10))</f>
        <v>589060.5929111207</v>
      </c>
      <c r="I77" s="8">
        <f>MAX(0,(C10*I76-C51)/(1-C10))</f>
        <v>589060.5929290897</v>
      </c>
    </row>
    <row r="78" spans="2:9" x14ac:dyDescent="0.25">
      <c r="B78" s="5" t="s">
        <v>69</v>
      </c>
      <c r="C78" s="14">
        <f>C34/(C52+C77+C85)</f>
        <v>26.90945521008775</v>
      </c>
      <c r="D78" s="14">
        <f>C34/(C52+C77+C85)</f>
        <v>26.90945521008775</v>
      </c>
      <c r="E78" s="14">
        <f>C34/(C52+D77+D85)</f>
        <v>26.810216277575595</v>
      </c>
      <c r="F78" s="14">
        <f>C34/(C52+E77+E85)</f>
        <v>26.80856827678712</v>
      </c>
      <c r="G78" s="14">
        <f>C34/(C52+F77+F85)</f>
        <v>26.808552536597915</v>
      </c>
      <c r="H78" s="14">
        <f>C34/(C52+G77+G85)</f>
        <v>26.808552362425235</v>
      </c>
      <c r="I78" s="14">
        <f>C34/(C52+H77+H85)</f>
        <v>26.808552360582404</v>
      </c>
    </row>
    <row r="79" spans="2:9" x14ac:dyDescent="0.25">
      <c r="B79" s="5" t="s">
        <v>70</v>
      </c>
      <c r="C79" s="14">
        <f>C68*(1-C35)</f>
        <v>30.586083151926456</v>
      </c>
      <c r="D79" s="14">
        <f>D68*(1-C35)</f>
        <v>30.13858983529828</v>
      </c>
      <c r="E79" s="14">
        <f>E68*(1-C35)</f>
        <v>29.878600173979088</v>
      </c>
      <c r="F79" s="14">
        <f>F68*(1-C35)</f>
        <v>29.876224529681473</v>
      </c>
      <c r="G79" s="14">
        <f>G68*(1-C35)</f>
        <v>29.876197939001127</v>
      </c>
      <c r="H79" s="14">
        <f>H68*(1-C35)</f>
        <v>29.876197658593817</v>
      </c>
      <c r="I79" s="14">
        <f>I68*(1-C35)</f>
        <v>29.87619765558464</v>
      </c>
    </row>
    <row r="80" spans="2:9" x14ac:dyDescent="0.25">
      <c r="B80" s="5" t="s">
        <v>71</v>
      </c>
      <c r="C80" s="14">
        <f>MIN(C78,C79)</f>
        <v>26.90945521008775</v>
      </c>
      <c r="D80" s="14">
        <f>MIN(D78,D79)</f>
        <v>26.90945521008775</v>
      </c>
      <c r="E80" s="14">
        <f>MIN(E78,E79)</f>
        <v>26.810216277575595</v>
      </c>
      <c r="F80" s="14">
        <f>MIN(F78,F79)</f>
        <v>26.80856827678712</v>
      </c>
      <c r="G80" s="14">
        <f>MIN(G78,G79)</f>
        <v>26.808552536597915</v>
      </c>
      <c r="H80" s="14">
        <f>MIN(H78,H79)</f>
        <v>26.808552362425235</v>
      </c>
      <c r="I80" s="14">
        <f>MIN(I78,I79)</f>
        <v>26.808552360582404</v>
      </c>
    </row>
    <row r="81" spans="2:9" x14ac:dyDescent="0.25">
      <c r="B81" s="5" t="s">
        <v>72</v>
      </c>
      <c r="C81" s="14">
        <f>C37/(C52+C77+C84)</f>
        <v>43.0551283361404</v>
      </c>
      <c r="D81" s="14">
        <f>C37/(C52+C77+C84)</f>
        <v>43.0551283361404</v>
      </c>
      <c r="E81" s="14">
        <f>C37/(C52+D77+D84)</f>
        <v>42.79065956078787</v>
      </c>
      <c r="F81" s="14">
        <f>C37/(C52+E77+E84)</f>
        <v>42.78818154524627</v>
      </c>
      <c r="G81" s="14">
        <f>C37/(C52+F77+F84)</f>
        <v>42.78815196466213</v>
      </c>
      <c r="H81" s="14">
        <f>C37/(C52+G77+G84)</f>
        <v>42.78815165830219</v>
      </c>
      <c r="I81" s="14">
        <f>C37/(C52+H77+H84)</f>
        <v>42.78815165499659</v>
      </c>
    </row>
    <row r="82" spans="2:9" x14ac:dyDescent="0.25">
      <c r="B82" s="5" t="s">
        <v>73</v>
      </c>
      <c r="C82" s="14">
        <f>C68*(1-C38)</f>
        <v>32.49771334892186</v>
      </c>
      <c r="D82" s="14">
        <f>D68*(1-C38)</f>
        <v>32.022251700004425</v>
      </c>
      <c r="E82" s="14">
        <f>E68*(1-C38)</f>
        <v>31.74601268485278</v>
      </c>
      <c r="F82" s="14">
        <f>F68*(1-C38)</f>
        <v>31.743488562786563</v>
      </c>
      <c r="G82" s="14">
        <f>G68*(1-C38)</f>
        <v>31.7434603101887</v>
      </c>
      <c r="H82" s="14">
        <f>H68*(1-C38)</f>
        <v>31.74346001225593</v>
      </c>
      <c r="I82" s="14">
        <f>I68*(1-C38)</f>
        <v>31.74346000905868</v>
      </c>
    </row>
    <row r="83" spans="2:9" x14ac:dyDescent="0.25">
      <c r="B83" s="5" t="s">
        <v>74</v>
      </c>
      <c r="C83" s="14">
        <f>MIN(C81,C82)</f>
        <v>32.49771334892186</v>
      </c>
      <c r="D83" s="14">
        <f>MIN(D81,D82)</f>
        <v>32.022251700004425</v>
      </c>
      <c r="E83" s="14">
        <f>MIN(E81,E82)</f>
        <v>31.74601268485278</v>
      </c>
      <c r="F83" s="14">
        <f>MIN(F81,F82)</f>
        <v>31.743488562786563</v>
      </c>
      <c r="G83" s="14">
        <f>MIN(G81,G82)</f>
        <v>31.7434603101887</v>
      </c>
      <c r="H83" s="14">
        <f>MIN(H81,H82)</f>
        <v>31.74346001225593</v>
      </c>
      <c r="I83" s="14">
        <f>MIN(I81,I82)</f>
        <v>31.74346000905868</v>
      </c>
    </row>
    <row r="84" spans="2:9" x14ac:dyDescent="0.25">
      <c r="B84" s="5" t="s">
        <v>75</v>
      </c>
      <c r="C84" s="8">
        <v>0</v>
      </c>
      <c r="D84" s="8">
        <f>C33/D80</f>
        <v>185808.29529858383</v>
      </c>
      <c r="E84" s="8">
        <f>C33/E80</f>
        <v>186496.07105863086</v>
      </c>
      <c r="F84" s="8">
        <f>C33/F80</f>
        <v>186507.53551540375</v>
      </c>
      <c r="G84" s="8">
        <f>C33/G80</f>
        <v>186507.64502015576</v>
      </c>
      <c r="H84" s="8">
        <f>C33/H80</f>
        <v>186507.64623187864</v>
      </c>
      <c r="I84" s="8">
        <f>C33/I80</f>
        <v>186507.64624469925</v>
      </c>
    </row>
    <row r="85" spans="2:9" x14ac:dyDescent="0.25">
      <c r="B85" s="5" t="s">
        <v>76</v>
      </c>
      <c r="C85" s="8">
        <v>0</v>
      </c>
      <c r="D85" s="8">
        <f>C36/D83</f>
        <v>93684.8547723952</v>
      </c>
      <c r="E85" s="8">
        <f>C36/E83</f>
        <v>94500.05674039856</v>
      </c>
      <c r="F85" s="8">
        <f>C36/F83</f>
        <v>94507.57102724216</v>
      </c>
      <c r="G85" s="8">
        <f>C36/G83</f>
        <v>94507.65514171401</v>
      </c>
      <c r="H85" s="8">
        <f>C36/H83</f>
        <v>94507.65602872909</v>
      </c>
      <c r="I85" s="8">
        <f>C36/I83</f>
        <v>94507.65603824805</v>
      </c>
    </row>
    <row r="87" spans="2:9" x14ac:dyDescent="0.25">
      <c r="B87" s="3" t="s">
        <v>77</v>
      </c>
      <c r="C87" s="4"/>
      <c r="D87" s="4"/>
      <c r="E87" s="4"/>
      <c r="F87" s="4"/>
      <c r="G87" s="4"/>
      <c r="H87" s="4"/>
      <c r="I87" s="4"/>
    </row>
    <row r="88" spans="2:3" x14ac:dyDescent="0.25">
      <c r="B88" s="12" t="s">
        <v>78</v>
      </c>
      <c r="C88" s="15">
        <f>I68</f>
        <v>37.3452470694808</v>
      </c>
    </row>
    <row r="89" spans="2:3" x14ac:dyDescent="0.25">
      <c r="B89" s="12" t="s">
        <v>79</v>
      </c>
      <c r="C89" s="8">
        <f>I69</f>
        <v>803315.0763251084</v>
      </c>
    </row>
    <row r="90" spans="2:3" x14ac:dyDescent="0.25">
      <c r="B90" s="12" t="s">
        <v>80</v>
      </c>
      <c r="C90" s="8">
        <f>I77</f>
        <v>589060.5929290897</v>
      </c>
    </row>
    <row r="91" spans="2:3" x14ac:dyDescent="0.25">
      <c r="B91" s="12" t="s">
        <v>81</v>
      </c>
      <c r="C91" s="8">
        <f>I73</f>
        <v>13304.2042700483</v>
      </c>
    </row>
    <row r="92" spans="2:3" x14ac:dyDescent="0.25">
      <c r="B92" s="12" t="s">
        <v>82</v>
      </c>
      <c r="C92" s="8">
        <f>I75</f>
        <v>31709.92364734</v>
      </c>
    </row>
    <row r="93" spans="2:3" x14ac:dyDescent="0.25">
      <c r="B93" s="12" t="s">
        <v>83</v>
      </c>
      <c r="C93" s="14">
        <f>I80</f>
        <v>26.808552360582404</v>
      </c>
    </row>
    <row r="94" spans="2:3" x14ac:dyDescent="0.25">
      <c r="B94" s="12" t="s">
        <v>84</v>
      </c>
      <c r="C94" s="8">
        <f>I84</f>
        <v>186507.64624469925</v>
      </c>
    </row>
    <row r="95" spans="2:3" x14ac:dyDescent="0.25">
      <c r="B95" s="12" t="s">
        <v>85</v>
      </c>
      <c r="C95" s="14">
        <f>I83</f>
        <v>31.74346000905868</v>
      </c>
    </row>
    <row r="96" spans="2:3" x14ac:dyDescent="0.25">
      <c r="B96" s="12" t="s">
        <v>86</v>
      </c>
      <c r="C96" s="8">
        <f>I85</f>
        <v>94507.65603824805</v>
      </c>
    </row>
    <row r="97" spans="2:3" x14ac:dyDescent="0.25">
      <c r="B97" s="12" t="s">
        <v>87</v>
      </c>
      <c r="C97" s="14">
        <f>C88*C9</f>
        <v>31.74346000905868</v>
      </c>
    </row>
    <row r="98" spans="2:3" x14ac:dyDescent="0.25">
      <c r="B98" s="12" t="s">
        <v>88</v>
      </c>
      <c r="C98" s="8">
        <f>C8/C97</f>
        <v>472538.28019124025</v>
      </c>
    </row>
    <row r="99" spans="2:3" x14ac:dyDescent="0.25">
      <c r="B99" s="12" t="s">
        <v>89</v>
      </c>
      <c r="C99" s="14">
        <f>I72</f>
        <v>57.67241500339575</v>
      </c>
    </row>
    <row r="100" spans="2:3" x14ac:dyDescent="0.25">
      <c r="B100" s="12" t="s">
        <v>90</v>
      </c>
      <c r="C100" s="14">
        <f>I74</f>
        <v>48.90472231067729</v>
      </c>
    </row>
    <row r="101" spans="2:3" x14ac:dyDescent="0.25">
      <c r="B101" s="12" t="s">
        <v>91</v>
      </c>
      <c r="C101" s="8">
        <f>C52+C90+C91+C92+C94+C96+C89</f>
        <v>38336366.09945454</v>
      </c>
    </row>
    <row r="102" spans="2:3" x14ac:dyDescent="0.25">
      <c r="B102" s="12" t="s">
        <v>92</v>
      </c>
      <c r="C102" s="8">
        <f>C11/C88</f>
        <v>267771.6921083695</v>
      </c>
    </row>
    <row r="103" spans="2:3" x14ac:dyDescent="0.25">
      <c r="B103" s="12" t="s">
        <v>93</v>
      </c>
      <c r="C103" s="8">
        <f>C12/C88</f>
        <v>535543.384216739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1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16.455" customWidth="1"/>
    <col min="3" max="3" width="22.705" customWidth="1"/>
    <col min="4" max="4" width="15.205" customWidth="1"/>
    <col min="5" max="5" width="16.455" customWidth="1"/>
    <col min="6" max="6" width="12.705" customWidth="1"/>
    <col min="7" max="7" width="13.955" customWidth="1"/>
    <col min="8" max="8" width="15.205" customWidth="1"/>
    <col min="9" max="9" width="16.455" customWidth="1"/>
    <col min="10" max="10" width="13.955" customWidth="1"/>
  </cols>
  <sheetData>
    <row r="2" ht="18" customHeight="1" spans="2:2" x14ac:dyDescent="0.25">
      <c r="B2" s="1" t="s">
        <v>94</v>
      </c>
    </row>
    <row r="3" spans="2:2" x14ac:dyDescent="0.25">
      <c r="B3" s="2" t="s">
        <v>95</v>
      </c>
    </row>
    <row r="5" spans="2:10" x14ac:dyDescent="0.25">
      <c r="B5" s="3" t="s">
        <v>96</v>
      </c>
      <c r="C5" s="4"/>
      <c r="D5" s="4"/>
      <c r="E5" s="4"/>
      <c r="F5" s="4"/>
      <c r="G5" s="4"/>
      <c r="H5" s="4"/>
      <c r="I5" s="4"/>
      <c r="J5" s="4"/>
    </row>
    <row r="6" spans="2:8" x14ac:dyDescent="0.25">
      <c r="B6" s="13" t="s">
        <v>97</v>
      </c>
      <c r="C6" s="13" t="s">
        <v>98</v>
      </c>
      <c r="D6" s="13" t="s">
        <v>99</v>
      </c>
      <c r="E6" s="13" t="s">
        <v>100</v>
      </c>
      <c r="F6" s="13" t="s">
        <v>101</v>
      </c>
      <c r="G6" s="13" t="s">
        <v>102</v>
      </c>
      <c r="H6" s="13" t="s">
        <v>103</v>
      </c>
    </row>
    <row r="7" spans="2:8" x14ac:dyDescent="0.25">
      <c r="B7" s="5" t="s">
        <v>104</v>
      </c>
      <c r="C7" s="16">
        <f>Assumptions!C16</f>
        <v>1</v>
      </c>
      <c r="D7" s="16">
        <f>Assumptions!C88</f>
        <v>37.3452470694808</v>
      </c>
      <c r="E7" s="8" t="str">
        <f>IF(D7&lt;C7,"Yes","No")</f>
        <v>No</v>
      </c>
      <c r="F7" s="14">
        <f>IF(E7="Yes",C7*(Assumptions!C52+Assumptions!C7/C7)/(Assumptions!C52+Assumptions!C7/D7),C7)</f>
        <v>1</v>
      </c>
      <c r="G7" s="17">
        <f>C7/F7</f>
        <v>1</v>
      </c>
      <c r="H7" s="8">
        <f>Assumptions!C25/F7</f>
        <v>5000000</v>
      </c>
    </row>
    <row r="8" spans="2:8" x14ac:dyDescent="0.25">
      <c r="B8" s="5" t="s">
        <v>105</v>
      </c>
      <c r="C8" s="16">
        <f>Assumptions!C17</f>
        <v>3</v>
      </c>
      <c r="D8" s="16">
        <f>Assumptions!C88</f>
        <v>37.3452470694808</v>
      </c>
      <c r="E8" s="8" t="str">
        <f>IF(D8&lt;C8,"Yes","No")</f>
        <v>No</v>
      </c>
      <c r="F8" s="14">
        <f>IF(E8="Yes",C8*(Assumptions!C52+Assumptions!C7/C8)/(Assumptions!C52+Assumptions!C7/D8),C8)</f>
        <v>3</v>
      </c>
      <c r="G8" s="17">
        <f>C8/F8</f>
        <v>1</v>
      </c>
      <c r="H8" s="8">
        <f>Assumptions!C26/F8</f>
        <v>5000000</v>
      </c>
    </row>
    <row r="9" spans="2:8" x14ac:dyDescent="0.25">
      <c r="B9" s="5" t="s">
        <v>106</v>
      </c>
      <c r="C9" s="16">
        <f>Assumptions!C18</f>
        <v>10</v>
      </c>
      <c r="D9" s="16">
        <f>Assumptions!C88</f>
        <v>37.3452470694808</v>
      </c>
      <c r="E9" s="8" t="str">
        <f>IF(D9&lt;C9,"Yes","No")</f>
        <v>No</v>
      </c>
      <c r="F9" s="14">
        <f>IF(E9="Yes",C9*(Assumptions!C52+Assumptions!C7/C9)/(Assumptions!C52+Assumptions!C7/D9),C9)</f>
        <v>10</v>
      </c>
      <c r="G9" s="17">
        <f>C9/F9</f>
        <v>1</v>
      </c>
      <c r="H9" s="8">
        <f>Assumptions!C27/F9</f>
        <v>3000000</v>
      </c>
    </row>
    <row r="10" spans="2:8" x14ac:dyDescent="0.25">
      <c r="B10" s="5" t="s">
        <v>107</v>
      </c>
      <c r="C10" s="16">
        <f>Assumptions!C19</f>
        <v>25</v>
      </c>
      <c r="D10" s="16">
        <f>Assumptions!C88</f>
        <v>37.3452470694808</v>
      </c>
      <c r="E10" s="8" t="str">
        <f>IF(D10&lt;C10,"Yes","No")</f>
        <v>No</v>
      </c>
      <c r="F10" s="14">
        <f>IF(E10="Yes",C10*(Assumptions!C52+Assumptions!C7/C10)/(Assumptions!C52+Assumptions!C7/D10),C10)</f>
        <v>25</v>
      </c>
      <c r="G10" s="17">
        <f>C10/F10</f>
        <v>1</v>
      </c>
      <c r="H10" s="8">
        <f>Assumptions!C28/F10</f>
        <v>2400000</v>
      </c>
    </row>
    <row r="11" spans="2:8" x14ac:dyDescent="0.25">
      <c r="B11" s="5" t="s">
        <v>108</v>
      </c>
      <c r="C11" s="16">
        <f>Assumptions!C20</f>
        <v>58.118347</v>
      </c>
      <c r="D11" s="16">
        <f>Assumptions!C88</f>
        <v>37.3452470694808</v>
      </c>
      <c r="E11" s="8" t="str">
        <f>IF(D11&lt;C11,"Yes","No")</f>
        <v>Yes</v>
      </c>
      <c r="F11" s="14">
        <f>IF(E11="Yes",C11*(Assumptions!C52+Assumptions!C7/C11)/(Assumptions!C52+Assumptions!C7/D11),C11)</f>
        <v>57.67241500339575</v>
      </c>
      <c r="G11" s="17">
        <f>Assumptions!C21/F11</f>
        <v>1.040358722562029</v>
      </c>
      <c r="H11" s="8">
        <f>Assumptions!C29/F11</f>
        <v>1733931.2042700483</v>
      </c>
    </row>
    <row r="12" spans="2:8" x14ac:dyDescent="0.25">
      <c r="B12" s="5" t="s">
        <v>109</v>
      </c>
      <c r="C12" s="16">
        <f>Assumptions!C22</f>
        <v>49.158311</v>
      </c>
      <c r="D12" s="16">
        <f>Assumptions!C88</f>
        <v>37.3452470694808</v>
      </c>
      <c r="E12" s="8" t="str">
        <f>IF(D12&lt;C12,"Yes","No")</f>
        <v>Yes</v>
      </c>
      <c r="F12" s="14">
        <f>IF(E12="Yes",C12*(Assumptions!C52+Assumptions!C7/C12)/(Assumptions!C52+Assumptions!C7/D12),C12)</f>
        <v>48.90472231067729</v>
      </c>
      <c r="G12" s="17">
        <f>C12/F12</f>
        <v>1.0051853620129307</v>
      </c>
      <c r="H12" s="8">
        <f>Assumptions!C30/F12</f>
        <v>6134376.92364734</v>
      </c>
    </row>
    <row r="13" spans="2:8" x14ac:dyDescent="0.25">
      <c r="B13" s="12" t="s">
        <v>110</v>
      </c>
      <c r="H13" s="18" t="str">
        <f>SUM(H7:H12)-({A}C43+{A}C44+{A}C45+{A}C46+{A}C47+{A}C48)</f>
        <v>#VALUE!</v>
      </c>
    </row>
    <row r="15" spans="2:10" x14ac:dyDescent="0.25">
      <c r="B15" s="3" t="s">
        <v>111</v>
      </c>
      <c r="C15" s="4"/>
      <c r="D15" s="4"/>
      <c r="E15" s="4"/>
      <c r="F15" s="4"/>
      <c r="G15" s="4"/>
      <c r="H15" s="4"/>
      <c r="I15" s="4"/>
      <c r="J15" s="4"/>
    </row>
    <row r="16" spans="2:8" x14ac:dyDescent="0.25">
      <c r="B16" s="13" t="s">
        <v>112</v>
      </c>
      <c r="C16" s="13" t="s">
        <v>113</v>
      </c>
      <c r="D16" s="13" t="s">
        <v>114</v>
      </c>
      <c r="E16" s="13" t="s">
        <v>115</v>
      </c>
      <c r="F16" s="13" t="s">
        <v>116</v>
      </c>
      <c r="G16" s="13" t="s">
        <v>117</v>
      </c>
      <c r="H16" s="13" t="s">
        <v>118</v>
      </c>
    </row>
    <row r="17" spans="2:8" x14ac:dyDescent="0.25">
      <c r="B17" s="5" t="s">
        <v>119</v>
      </c>
      <c r="C17" s="16">
        <f>Assumptions!C33</f>
        <v>5000000</v>
      </c>
      <c r="D17" s="14">
        <f>Assumptions!C34/(Assumptions!C52+Assumptions!C90+Assumptions!C96)</f>
        <v>26.80855236056265</v>
      </c>
      <c r="E17" s="14">
        <f>Assumptions!C88*(1-Assumptions!C35)</f>
        <v>29.87619765558464</v>
      </c>
      <c r="F17" s="14">
        <f>MIN(D17,E17)</f>
        <v>26.80855236056265</v>
      </c>
      <c r="G17" s="8" t="str">
        <f>IF(D17&lt;=E17,"cap","discount")</f>
        <v>cap</v>
      </c>
      <c r="H17" s="8">
        <f>C17/F17</f>
        <v>186507.64624483668</v>
      </c>
    </row>
    <row r="18" spans="2:8" x14ac:dyDescent="0.25">
      <c r="B18" s="5" t="s">
        <v>120</v>
      </c>
      <c r="C18" s="16">
        <f>Assumptions!C36</f>
        <v>3000000</v>
      </c>
      <c r="D18" s="14">
        <f>Assumptions!C37/(Assumptions!C52+Assumptions!C90+Assumptions!C94)</f>
        <v>42.78815165496136</v>
      </c>
      <c r="E18" s="14">
        <f>Assumptions!C88*(1-Assumptions!C38)</f>
        <v>31.74346000905868</v>
      </c>
      <c r="F18" s="14">
        <f>MIN(D18,E18)</f>
        <v>31.74346000905868</v>
      </c>
      <c r="G18" s="8" t="str">
        <f>IF(D18&lt;=E18,"cap","discount")</f>
        <v>discount</v>
      </c>
      <c r="H18" s="8">
        <f>C18/F18</f>
        <v>94507.65603824805</v>
      </c>
    </row>
    <row r="19" spans="2:8" x14ac:dyDescent="0.25">
      <c r="B19" s="12" t="s">
        <v>121</v>
      </c>
      <c r="H19" s="18">
        <f>SUM(H17:H18)</f>
        <v>281015.3022830847</v>
      </c>
    </row>
    <row r="21" spans="2:10" x14ac:dyDescent="0.25">
      <c r="B21" s="3" t="s">
        <v>122</v>
      </c>
      <c r="C21" s="4"/>
      <c r="D21" s="4"/>
      <c r="E21" s="4"/>
      <c r="F21" s="4"/>
      <c r="G21" s="4"/>
      <c r="H21" s="4"/>
      <c r="I21" s="4"/>
      <c r="J21" s="4"/>
    </row>
    <row r="22" spans="2:3" x14ac:dyDescent="0.25">
      <c r="B22" s="5" t="s">
        <v>123</v>
      </c>
      <c r="C22" s="16">
        <f>Assumptions!C97</f>
        <v>31.74346000905868</v>
      </c>
    </row>
    <row r="23" spans="2:3" x14ac:dyDescent="0.25">
      <c r="B23" s="5" t="s">
        <v>124</v>
      </c>
      <c r="C23" s="16">
        <f>Assumptions!C8</f>
        <v>15000000</v>
      </c>
    </row>
    <row r="24" spans="2:3" x14ac:dyDescent="0.25">
      <c r="B24" s="5" t="s">
        <v>125</v>
      </c>
      <c r="C24" s="8">
        <f>C23/C22</f>
        <v>472538.28019124025</v>
      </c>
    </row>
    <row r="26" spans="2:6" x14ac:dyDescent="0.25">
      <c r="B26" s="13" t="s">
        <v>126</v>
      </c>
      <c r="C26" s="13" t="s">
        <v>127</v>
      </c>
      <c r="D26" s="13" t="s">
        <v>128</v>
      </c>
      <c r="E26" s="13" t="s">
        <v>129</v>
      </c>
      <c r="F26" s="13" t="s">
        <v>130</v>
      </c>
    </row>
    <row r="27" spans="2:6" x14ac:dyDescent="0.25">
      <c r="B27" s="5" t="s">
        <v>131</v>
      </c>
      <c r="C27" s="16">
        <f>Assumptions!E41</f>
        <v>4000000</v>
      </c>
      <c r="D27" s="19">
        <f>C27/Assumptions!C41</f>
        <v>0.5</v>
      </c>
      <c r="E27" s="8">
        <f>$C$24*D27</f>
        <v>236269.14009562013</v>
      </c>
      <c r="F27" s="8">
        <f>C27-E27</f>
        <v>3763730.85990438</v>
      </c>
    </row>
    <row r="28" spans="2:6" x14ac:dyDescent="0.25">
      <c r="B28" s="5" t="s">
        <v>132</v>
      </c>
      <c r="C28" s="16">
        <f>Assumptions!F41</f>
        <v>2500000</v>
      </c>
      <c r="D28" s="19">
        <f>C28/Assumptions!C41</f>
        <v>0.3125</v>
      </c>
      <c r="E28" s="8">
        <f>$C$24*D28</f>
        <v>147668.21255976259</v>
      </c>
      <c r="F28" s="8">
        <f>C28-E28</f>
        <v>2352331.7874402376</v>
      </c>
    </row>
    <row r="29" spans="2:6" x14ac:dyDescent="0.25">
      <c r="B29" s="5" t="s">
        <v>133</v>
      </c>
      <c r="C29" s="16">
        <f>Assumptions!G41</f>
        <v>1500000</v>
      </c>
      <c r="D29" s="19">
        <f>C29/Assumptions!C41</f>
        <v>0.1875</v>
      </c>
      <c r="E29" s="8">
        <f>$C$24*D29</f>
        <v>88600.92753585754</v>
      </c>
      <c r="F29" s="8">
        <f>C29-E29</f>
        <v>1411399.0724641425</v>
      </c>
    </row>
    <row r="30" spans="2:6" x14ac:dyDescent="0.25">
      <c r="B30" s="12" t="s">
        <v>134</v>
      </c>
      <c r="C30" s="18">
        <f>SUM(C27:C29)</f>
        <v>8000000</v>
      </c>
      <c r="D30" s="18">
        <f>SUM(D27:D29)</f>
        <v>1</v>
      </c>
      <c r="E30" s="18">
        <f>SUM(E27:E29)</f>
        <v>472538.28019124025</v>
      </c>
      <c r="F30" s="18">
        <f>SUM(F27:F29)</f>
        <v>7527461.719808759</v>
      </c>
    </row>
    <row r="32" spans="2:3" x14ac:dyDescent="0.25">
      <c r="B32" s="5" t="s">
        <v>135</v>
      </c>
      <c r="C32" s="8">
        <f>C24</f>
        <v>472538.28019124025</v>
      </c>
    </row>
    <row r="34" spans="2:10" x14ac:dyDescent="0.25">
      <c r="B34" s="3" t="s">
        <v>136</v>
      </c>
      <c r="C34" s="4"/>
      <c r="D34" s="4"/>
      <c r="E34" s="4"/>
      <c r="F34" s="4"/>
      <c r="G34" s="4"/>
      <c r="H34" s="4"/>
      <c r="I34" s="4"/>
      <c r="J34" s="4"/>
    </row>
    <row r="35" spans="2:10" x14ac:dyDescent="0.25">
      <c r="B35" s="13" t="s">
        <v>137</v>
      </c>
      <c r="C35" s="13" t="s">
        <v>138</v>
      </c>
      <c r="D35" s="13" t="s">
        <v>139</v>
      </c>
      <c r="E35" s="13" t="s">
        <v>140</v>
      </c>
      <c r="F35" s="13" t="s">
        <v>141</v>
      </c>
      <c r="G35" s="13" t="s">
        <v>142</v>
      </c>
      <c r="H35" s="13" t="s">
        <v>143</v>
      </c>
      <c r="I35" s="13" t="s">
        <v>144</v>
      </c>
      <c r="J35" s="13" t="s">
        <v>145</v>
      </c>
    </row>
    <row r="36" spans="2:10" x14ac:dyDescent="0.25">
      <c r="B36" s="5" t="s">
        <v>146</v>
      </c>
      <c r="C36" s="5" t="s">
        <v>147</v>
      </c>
      <c r="D36" s="8">
        <f>F27</f>
        <v>3763730.85990438</v>
      </c>
      <c r="E36" s="8">
        <v>0</v>
      </c>
      <c r="F36" s="8">
        <v>0</v>
      </c>
      <c r="G36" s="8">
        <v>0</v>
      </c>
      <c r="H36" s="8">
        <v>0</v>
      </c>
      <c r="I36" s="8">
        <f>D36+E36+F36+G36+H36</f>
        <v>3763730.85990438</v>
      </c>
      <c r="J36" s="19">
        <f>I36/I$70</f>
        <v>0.09817651600415825</v>
      </c>
    </row>
    <row r="37" spans="2:10" x14ac:dyDescent="0.25">
      <c r="B37" s="5" t="s">
        <v>148</v>
      </c>
      <c r="C37" s="5" t="s">
        <v>149</v>
      </c>
      <c r="D37" s="8">
        <f>F28</f>
        <v>2352331.7874402376</v>
      </c>
      <c r="E37" s="8">
        <v>0</v>
      </c>
      <c r="F37" s="8">
        <v>0</v>
      </c>
      <c r="G37" s="8">
        <v>0</v>
      </c>
      <c r="H37" s="8">
        <v>0</v>
      </c>
      <c r="I37" s="8">
        <f>D37+E37+F37+G37+H37</f>
        <v>2352331.7874402376</v>
      </c>
      <c r="J37" s="19">
        <f>I37/I$70</f>
        <v>0.06136032250259891</v>
      </c>
    </row>
    <row r="38" spans="2:10" x14ac:dyDescent="0.25">
      <c r="B38" s="5" t="s">
        <v>150</v>
      </c>
      <c r="C38" s="5" t="s">
        <v>151</v>
      </c>
      <c r="D38" s="8">
        <f>F29</f>
        <v>1411399.0724641425</v>
      </c>
      <c r="E38" s="8">
        <v>0</v>
      </c>
      <c r="F38" s="8">
        <v>0</v>
      </c>
      <c r="G38" s="8">
        <v>0</v>
      </c>
      <c r="H38" s="8">
        <v>0</v>
      </c>
      <c r="I38" s="8">
        <f>D38+E38+F38+G38+H38</f>
        <v>1411399.0724641425</v>
      </c>
      <c r="J38" s="19">
        <f>I38/I$70</f>
        <v>0.03681619350155934</v>
      </c>
    </row>
    <row r="39" spans="2:10" x14ac:dyDescent="0.25">
      <c r="B39" s="5" t="s">
        <v>152</v>
      </c>
      <c r="C39" s="5" t="s">
        <v>153</v>
      </c>
      <c r="D39" s="8">
        <f>Assumptions!C42/10</f>
        <v>100000</v>
      </c>
      <c r="E39" s="8">
        <v>0</v>
      </c>
      <c r="F39" s="8">
        <v>0</v>
      </c>
      <c r="G39" s="8">
        <v>0</v>
      </c>
      <c r="H39" s="8">
        <v>0</v>
      </c>
      <c r="I39" s="8">
        <f>D39+E39+F39+G39+H39</f>
        <v>100000</v>
      </c>
      <c r="J39" s="19">
        <f>I39/I$70</f>
        <v>0.0026084892798804555</v>
      </c>
    </row>
    <row r="40" spans="2:10" x14ac:dyDescent="0.25">
      <c r="B40" s="5" t="s">
        <v>154</v>
      </c>
      <c r="C40" s="5" t="s">
        <v>153</v>
      </c>
      <c r="D40" s="8">
        <f>Assumptions!C42/10</f>
        <v>100000</v>
      </c>
      <c r="E40" s="8">
        <v>0</v>
      </c>
      <c r="F40" s="8">
        <v>0</v>
      </c>
      <c r="G40" s="8">
        <v>0</v>
      </c>
      <c r="H40" s="8">
        <v>0</v>
      </c>
      <c r="I40" s="8">
        <f>D40+E40+F40+G40+H40</f>
        <v>100000</v>
      </c>
      <c r="J40" s="19">
        <f>I40/I$70</f>
        <v>0.0026084892798804555</v>
      </c>
    </row>
    <row r="41" spans="2:10" x14ac:dyDescent="0.25">
      <c r="B41" s="5" t="s">
        <v>155</v>
      </c>
      <c r="C41" s="5" t="s">
        <v>153</v>
      </c>
      <c r="D41" s="8">
        <f>Assumptions!C42/10</f>
        <v>100000</v>
      </c>
      <c r="E41" s="8">
        <v>0</v>
      </c>
      <c r="F41" s="8">
        <v>0</v>
      </c>
      <c r="G41" s="8">
        <v>0</v>
      </c>
      <c r="H41" s="8">
        <v>0</v>
      </c>
      <c r="I41" s="8">
        <f>D41+E41+F41+G41+H41</f>
        <v>100000</v>
      </c>
      <c r="J41" s="19">
        <f>I41/I$70</f>
        <v>0.0026084892798804555</v>
      </c>
    </row>
    <row r="42" spans="2:10" x14ac:dyDescent="0.25">
      <c r="B42" s="5" t="s">
        <v>156</v>
      </c>
      <c r="C42" s="5" t="s">
        <v>153</v>
      </c>
      <c r="D42" s="8">
        <f>Assumptions!C42/10</f>
        <v>100000</v>
      </c>
      <c r="E42" s="8">
        <v>0</v>
      </c>
      <c r="F42" s="8">
        <v>0</v>
      </c>
      <c r="G42" s="8">
        <v>0</v>
      </c>
      <c r="H42" s="8">
        <v>0</v>
      </c>
      <c r="I42" s="8">
        <f>D42+E42+F42+G42+H42</f>
        <v>100000</v>
      </c>
      <c r="J42" s="19">
        <f>I42/I$70</f>
        <v>0.0026084892798804555</v>
      </c>
    </row>
    <row r="43" spans="2:10" x14ac:dyDescent="0.25">
      <c r="B43" s="5" t="s">
        <v>157</v>
      </c>
      <c r="C43" s="5" t="s">
        <v>153</v>
      </c>
      <c r="D43" s="8">
        <f>Assumptions!C42/10</f>
        <v>100000</v>
      </c>
      <c r="E43" s="8">
        <v>0</v>
      </c>
      <c r="F43" s="8">
        <v>0</v>
      </c>
      <c r="G43" s="8">
        <v>0</v>
      </c>
      <c r="H43" s="8">
        <v>0</v>
      </c>
      <c r="I43" s="8">
        <f>D43+E43+F43+G43+H43</f>
        <v>100000</v>
      </c>
      <c r="J43" s="19">
        <f>I43/I$70</f>
        <v>0.0026084892798804555</v>
      </c>
    </row>
    <row r="44" spans="2:10" x14ac:dyDescent="0.25">
      <c r="B44" s="5" t="s">
        <v>158</v>
      </c>
      <c r="C44" s="5" t="s">
        <v>153</v>
      </c>
      <c r="D44" s="8">
        <f>Assumptions!C42/10</f>
        <v>100000</v>
      </c>
      <c r="E44" s="8">
        <v>0</v>
      </c>
      <c r="F44" s="8">
        <v>0</v>
      </c>
      <c r="G44" s="8">
        <v>0</v>
      </c>
      <c r="H44" s="8">
        <v>0</v>
      </c>
      <c r="I44" s="8">
        <f>D44+E44+F44+G44+H44</f>
        <v>100000</v>
      </c>
      <c r="J44" s="19">
        <f>I44/I$70</f>
        <v>0.0026084892798804555</v>
      </c>
    </row>
    <row r="45" spans="2:10" x14ac:dyDescent="0.25">
      <c r="B45" s="5" t="s">
        <v>159</v>
      </c>
      <c r="C45" s="5" t="s">
        <v>153</v>
      </c>
      <c r="D45" s="8">
        <f>Assumptions!C42/10</f>
        <v>100000</v>
      </c>
      <c r="E45" s="8">
        <v>0</v>
      </c>
      <c r="F45" s="8">
        <v>0</v>
      </c>
      <c r="G45" s="8">
        <v>0</v>
      </c>
      <c r="H45" s="8">
        <v>0</v>
      </c>
      <c r="I45" s="8">
        <f>D45+E45+F45+G45+H45</f>
        <v>100000</v>
      </c>
      <c r="J45" s="19">
        <f>I45/I$70</f>
        <v>0.0026084892798804555</v>
      </c>
    </row>
    <row r="46" spans="2:10" x14ac:dyDescent="0.25">
      <c r="B46" s="5" t="s">
        <v>160</v>
      </c>
      <c r="C46" s="5" t="s">
        <v>153</v>
      </c>
      <c r="D46" s="8">
        <f>Assumptions!C42/10</f>
        <v>100000</v>
      </c>
      <c r="E46" s="8">
        <v>0</v>
      </c>
      <c r="F46" s="8">
        <v>0</v>
      </c>
      <c r="G46" s="8">
        <v>0</v>
      </c>
      <c r="H46" s="8">
        <v>0</v>
      </c>
      <c r="I46" s="8">
        <f>D46+E46+F46+G46+H46</f>
        <v>100000</v>
      </c>
      <c r="J46" s="19">
        <f>I46/I$70</f>
        <v>0.0026084892798804555</v>
      </c>
    </row>
    <row r="47" spans="2:10" x14ac:dyDescent="0.25">
      <c r="B47" s="5" t="s">
        <v>161</v>
      </c>
      <c r="C47" s="5" t="s">
        <v>153</v>
      </c>
      <c r="D47" s="8">
        <f>Assumptions!C42/10</f>
        <v>100000</v>
      </c>
      <c r="E47" s="8">
        <v>0</v>
      </c>
      <c r="F47" s="8">
        <v>0</v>
      </c>
      <c r="G47" s="8">
        <v>0</v>
      </c>
      <c r="H47" s="8">
        <v>0</v>
      </c>
      <c r="I47" s="8">
        <f>D47+E47+F47+G47+H47</f>
        <v>100000</v>
      </c>
      <c r="J47" s="19">
        <f>I47/I$70</f>
        <v>0.0026084892798804555</v>
      </c>
    </row>
    <row r="48" spans="2:10" x14ac:dyDescent="0.25">
      <c r="B48" s="5" t="s">
        <v>162</v>
      </c>
      <c r="C48" s="5" t="s">
        <v>153</v>
      </c>
      <c r="D48" s="8">
        <f>Assumptions!C42/10</f>
        <v>100000</v>
      </c>
      <c r="E48" s="8">
        <v>0</v>
      </c>
      <c r="F48" s="8">
        <v>0</v>
      </c>
      <c r="G48" s="8">
        <v>0</v>
      </c>
      <c r="H48" s="8">
        <v>0</v>
      </c>
      <c r="I48" s="8">
        <f>D48+E48+F48+G48+H48</f>
        <v>100000</v>
      </c>
      <c r="J48" s="19">
        <f>I48/I$70</f>
        <v>0.0026084892798804555</v>
      </c>
    </row>
    <row r="49" spans="2:10" x14ac:dyDescent="0.25">
      <c r="B49" s="5" t="s">
        <v>163</v>
      </c>
      <c r="C49" s="5" t="s">
        <v>164</v>
      </c>
      <c r="D49" s="8">
        <v>0</v>
      </c>
      <c r="E49" s="8">
        <f>H7</f>
        <v>5000000</v>
      </c>
      <c r="F49" s="8">
        <v>0</v>
      </c>
      <c r="G49" s="8">
        <v>0</v>
      </c>
      <c r="H49" s="8">
        <v>0</v>
      </c>
      <c r="I49" s="8">
        <f>D49+E49+F49+G49+H49</f>
        <v>5000000</v>
      </c>
      <c r="J49" s="19">
        <f>I49/I$70</f>
        <v>0.13042446399402277</v>
      </c>
    </row>
    <row r="50" spans="2:10" x14ac:dyDescent="0.25">
      <c r="B50" s="5" t="s">
        <v>165</v>
      </c>
      <c r="C50" s="5" t="s">
        <v>166</v>
      </c>
      <c r="D50" s="8">
        <v>0</v>
      </c>
      <c r="E50" s="8">
        <f>H8</f>
        <v>5000000</v>
      </c>
      <c r="F50" s="8">
        <v>0</v>
      </c>
      <c r="G50" s="8">
        <v>0</v>
      </c>
      <c r="H50" s="8">
        <v>0</v>
      </c>
      <c r="I50" s="8">
        <f>D50+E50+F50+G50+H50</f>
        <v>5000000</v>
      </c>
      <c r="J50" s="19">
        <f>I50/I$70</f>
        <v>0.13042446399402277</v>
      </c>
    </row>
    <row r="51" spans="2:10" x14ac:dyDescent="0.25">
      <c r="B51" s="5" t="s">
        <v>167</v>
      </c>
      <c r="C51" s="5" t="s">
        <v>168</v>
      </c>
      <c r="D51" s="8">
        <v>0</v>
      </c>
      <c r="E51" s="8">
        <f>H9</f>
        <v>3000000</v>
      </c>
      <c r="F51" s="8">
        <v>0</v>
      </c>
      <c r="G51" s="8">
        <v>0</v>
      </c>
      <c r="H51" s="8">
        <v>0</v>
      </c>
      <c r="I51" s="8">
        <f>D51+E51+F51+G51+H51</f>
        <v>3000000</v>
      </c>
      <c r="J51" s="19">
        <f>I51/I$70</f>
        <v>0.07825467839641367</v>
      </c>
    </row>
    <row r="52" spans="2:10" x14ac:dyDescent="0.25">
      <c r="B52" s="5" t="s">
        <v>169</v>
      </c>
      <c r="C52" s="5" t="s">
        <v>170</v>
      </c>
      <c r="D52" s="8">
        <v>0</v>
      </c>
      <c r="E52" s="8">
        <f>H10</f>
        <v>2400000</v>
      </c>
      <c r="F52" s="8">
        <v>0</v>
      </c>
      <c r="G52" s="8">
        <v>0</v>
      </c>
      <c r="H52" s="8">
        <v>0</v>
      </c>
      <c r="I52" s="8">
        <f>D52+E52+F52+G52+H52</f>
        <v>2400000</v>
      </c>
      <c r="J52" s="19">
        <f>I52/I$70</f>
        <v>0.06260374271713094</v>
      </c>
    </row>
    <row r="53" spans="2:10" x14ac:dyDescent="0.25">
      <c r="B53" s="5" t="s">
        <v>171</v>
      </c>
      <c r="C53" s="5" t="s">
        <v>172</v>
      </c>
      <c r="D53" s="8">
        <v>0</v>
      </c>
      <c r="E53" s="8">
        <f>H11</f>
        <v>1733931.2042700483</v>
      </c>
      <c r="F53" s="8">
        <v>0</v>
      </c>
      <c r="G53" s="8">
        <v>0</v>
      </c>
      <c r="H53" s="8">
        <v>0</v>
      </c>
      <c r="I53" s="8">
        <f>D53+E53+F53+G53+H53</f>
        <v>1733931.2042700483</v>
      </c>
      <c r="J53" s="19">
        <f>I53/I$70</f>
        <v>0.0452294095838863</v>
      </c>
    </row>
    <row r="54" spans="2:10" x14ac:dyDescent="0.25">
      <c r="B54" s="5" t="s">
        <v>173</v>
      </c>
      <c r="C54" s="5" t="s">
        <v>174</v>
      </c>
      <c r="D54" s="8">
        <v>0</v>
      </c>
      <c r="E54" s="8">
        <f>H12*Assumptions!C48/Assumptions!C48*(610267/6102667)</f>
        <v>613437.9939235568</v>
      </c>
      <c r="F54" s="8">
        <v>0</v>
      </c>
      <c r="G54" s="8">
        <v>0</v>
      </c>
      <c r="H54" s="8">
        <v>0</v>
      </c>
      <c r="I54" s="8">
        <f>D54+E54+F54+G54+H54</f>
        <v>613437.9939235568</v>
      </c>
      <c r="J54" s="19">
        <f>I54/I$70</f>
        <v>0.0160014643102097</v>
      </c>
    </row>
    <row r="55" spans="2:10" x14ac:dyDescent="0.25">
      <c r="B55" s="5" t="s">
        <v>175</v>
      </c>
      <c r="C55" s="5" t="s">
        <v>174</v>
      </c>
      <c r="D55" s="8">
        <v>0</v>
      </c>
      <c r="E55" s="8">
        <f>H12*Assumptions!C48/Assumptions!C48*(610267/6102667)</f>
        <v>613437.9939235568</v>
      </c>
      <c r="F55" s="8">
        <v>0</v>
      </c>
      <c r="G55" s="8">
        <v>0</v>
      </c>
      <c r="H55" s="8">
        <v>0</v>
      </c>
      <c r="I55" s="8">
        <f>D55+E55+F55+G55+H55</f>
        <v>613437.9939235568</v>
      </c>
      <c r="J55" s="19">
        <f>I55/I$70</f>
        <v>0.0160014643102097</v>
      </c>
    </row>
    <row r="56" spans="2:10" x14ac:dyDescent="0.25">
      <c r="B56" s="5" t="s">
        <v>176</v>
      </c>
      <c r="C56" s="5" t="s">
        <v>174</v>
      </c>
      <c r="D56" s="8">
        <v>0</v>
      </c>
      <c r="E56" s="8">
        <f>H12*Assumptions!C48/Assumptions!C48*(610267/6102667)</f>
        <v>613437.9939235568</v>
      </c>
      <c r="F56" s="8">
        <v>0</v>
      </c>
      <c r="G56" s="8">
        <v>0</v>
      </c>
      <c r="H56" s="8">
        <v>0</v>
      </c>
      <c r="I56" s="8">
        <f>D56+E56+F56+G56+H56</f>
        <v>613437.9939235568</v>
      </c>
      <c r="J56" s="19">
        <f>I56/I$70</f>
        <v>0.0160014643102097</v>
      </c>
    </row>
    <row r="57" spans="2:10" x14ac:dyDescent="0.25">
      <c r="B57" s="5" t="s">
        <v>177</v>
      </c>
      <c r="C57" s="5" t="s">
        <v>174</v>
      </c>
      <c r="D57" s="8">
        <v>0</v>
      </c>
      <c r="E57" s="8">
        <f>H12*Assumptions!C48/Assumptions!C48*(610267/6102667)</f>
        <v>613437.9939235568</v>
      </c>
      <c r="F57" s="8">
        <v>0</v>
      </c>
      <c r="G57" s="8">
        <v>0</v>
      </c>
      <c r="H57" s="8">
        <v>0</v>
      </c>
      <c r="I57" s="8">
        <f>D57+E57+F57+G57+H57</f>
        <v>613437.9939235568</v>
      </c>
      <c r="J57" s="19">
        <f>I57/I$70</f>
        <v>0.0160014643102097</v>
      </c>
    </row>
    <row r="58" spans="2:10" x14ac:dyDescent="0.25">
      <c r="B58" s="5" t="s">
        <v>178</v>
      </c>
      <c r="C58" s="5" t="s">
        <v>174</v>
      </c>
      <c r="D58" s="8">
        <v>0</v>
      </c>
      <c r="E58" s="8">
        <f>H12*Assumptions!C48/Assumptions!C48*(610267/6102667)</f>
        <v>613437.9939235568</v>
      </c>
      <c r="F58" s="8">
        <v>0</v>
      </c>
      <c r="G58" s="8">
        <v>0</v>
      </c>
      <c r="H58" s="8">
        <v>0</v>
      </c>
      <c r="I58" s="8">
        <f>D58+E58+F58+G58+H58</f>
        <v>613437.9939235568</v>
      </c>
      <c r="J58" s="19">
        <f>I58/I$70</f>
        <v>0.0160014643102097</v>
      </c>
    </row>
    <row r="59" spans="2:10" x14ac:dyDescent="0.25">
      <c r="B59" s="5" t="s">
        <v>179</v>
      </c>
      <c r="C59" s="5" t="s">
        <v>174</v>
      </c>
      <c r="D59" s="8">
        <v>0</v>
      </c>
      <c r="E59" s="8">
        <f>H12*Assumptions!C48/Assumptions!C48*(610267/6102667)</f>
        <v>613437.9939235568</v>
      </c>
      <c r="F59" s="8">
        <v>0</v>
      </c>
      <c r="G59" s="8">
        <v>0</v>
      </c>
      <c r="H59" s="8">
        <v>0</v>
      </c>
      <c r="I59" s="8">
        <f>D59+E59+F59+G59+H59</f>
        <v>613437.9939235568</v>
      </c>
      <c r="J59" s="19">
        <f>I59/I$70</f>
        <v>0.0160014643102097</v>
      </c>
    </row>
    <row r="60" spans="2:10" x14ac:dyDescent="0.25">
      <c r="B60" s="5" t="s">
        <v>180</v>
      </c>
      <c r="C60" s="5" t="s">
        <v>174</v>
      </c>
      <c r="D60" s="8">
        <v>0</v>
      </c>
      <c r="E60" s="8">
        <f>H12*Assumptions!C48/Assumptions!C48*(610267/6102667)</f>
        <v>613437.9939235568</v>
      </c>
      <c r="F60" s="8">
        <v>0</v>
      </c>
      <c r="G60" s="8">
        <v>0</v>
      </c>
      <c r="H60" s="8">
        <v>0</v>
      </c>
      <c r="I60" s="8">
        <f>D60+E60+F60+G60+H60</f>
        <v>613437.9939235568</v>
      </c>
      <c r="J60" s="19">
        <f>I60/I$70</f>
        <v>0.0160014643102097</v>
      </c>
    </row>
    <row r="61" spans="2:10" x14ac:dyDescent="0.25">
      <c r="B61" s="5" t="s">
        <v>181</v>
      </c>
      <c r="C61" s="5" t="s">
        <v>174</v>
      </c>
      <c r="D61" s="8">
        <v>0</v>
      </c>
      <c r="E61" s="8">
        <f>H12*Assumptions!C48/Assumptions!C48*(610267/6102667)</f>
        <v>613437.9939235568</v>
      </c>
      <c r="F61" s="8">
        <v>0</v>
      </c>
      <c r="G61" s="8">
        <v>0</v>
      </c>
      <c r="H61" s="8">
        <v>0</v>
      </c>
      <c r="I61" s="8">
        <f>D61+E61+F61+G61+H61</f>
        <v>613437.9939235568</v>
      </c>
      <c r="J61" s="19">
        <f>I61/I$70</f>
        <v>0.0160014643102097</v>
      </c>
    </row>
    <row r="62" spans="2:10" x14ac:dyDescent="0.25">
      <c r="B62" s="5" t="s">
        <v>182</v>
      </c>
      <c r="C62" s="5" t="s">
        <v>174</v>
      </c>
      <c r="D62" s="8">
        <v>0</v>
      </c>
      <c r="E62" s="8">
        <f>H12*Assumptions!C48/Assumptions!C48*(610267/6102667)</f>
        <v>613437.9939235568</v>
      </c>
      <c r="F62" s="8">
        <v>0</v>
      </c>
      <c r="G62" s="8">
        <v>0</v>
      </c>
      <c r="H62" s="8">
        <v>0</v>
      </c>
      <c r="I62" s="8">
        <f>D62+E62+F62+G62+H62</f>
        <v>613437.9939235568</v>
      </c>
      <c r="J62" s="19">
        <f>I62/I$70</f>
        <v>0.0160014643102097</v>
      </c>
    </row>
    <row r="63" spans="2:10" x14ac:dyDescent="0.25">
      <c r="B63" s="5" t="s">
        <v>183</v>
      </c>
      <c r="C63" s="5" t="s">
        <v>174</v>
      </c>
      <c r="D63" s="8">
        <v>0</v>
      </c>
      <c r="E63" s="8">
        <f>H12*(610264/6102667)</f>
        <v>613434.9783353278</v>
      </c>
      <c r="F63" s="8">
        <v>0</v>
      </c>
      <c r="G63" s="8">
        <v>0</v>
      </c>
      <c r="H63" s="8">
        <v>0</v>
      </c>
      <c r="I63" s="8">
        <f>D63+E63+F63+G63+H63</f>
        <v>613434.9783353278</v>
      </c>
      <c r="J63" s="19">
        <f>I63/I$70</f>
        <v>0.016001385648914023</v>
      </c>
    </row>
    <row r="64" spans="2:10" x14ac:dyDescent="0.25">
      <c r="B64" s="5" t="s">
        <v>184</v>
      </c>
      <c r="C64" s="5" t="s">
        <v>185</v>
      </c>
      <c r="D64" s="8">
        <v>0</v>
      </c>
      <c r="E64" s="8">
        <v>0</v>
      </c>
      <c r="F64" s="8">
        <f>H17</f>
        <v>186507.64624483668</v>
      </c>
      <c r="G64" s="8">
        <v>0</v>
      </c>
      <c r="H64" s="8">
        <v>0</v>
      </c>
      <c r="I64" s="8">
        <f>D64+E64+F64+G64+H64</f>
        <v>186507.64624483668</v>
      </c>
      <c r="J64" s="19">
        <f>I64/I$70</f>
        <v>0.004865031958453928</v>
      </c>
    </row>
    <row r="65" spans="2:10" x14ac:dyDescent="0.25">
      <c r="B65" s="5" t="s">
        <v>186</v>
      </c>
      <c r="C65" s="5" t="s">
        <v>187</v>
      </c>
      <c r="D65" s="8">
        <v>0</v>
      </c>
      <c r="E65" s="8">
        <v>0</v>
      </c>
      <c r="F65" s="8">
        <f>H18</f>
        <v>94507.65603824805</v>
      </c>
      <c r="G65" s="8">
        <v>0</v>
      </c>
      <c r="H65" s="8">
        <v>0</v>
      </c>
      <c r="I65" s="8">
        <f>D65+E65+F65+G65+H65</f>
        <v>94507.65603824805</v>
      </c>
      <c r="J65" s="19">
        <f>I65/I$70</f>
        <v>0.0024652220764239947</v>
      </c>
    </row>
    <row r="66" spans="2:10" x14ac:dyDescent="0.25">
      <c r="B66" s="5" t="s">
        <v>188</v>
      </c>
      <c r="C66" s="5" t="s">
        <v>189</v>
      </c>
      <c r="D66" s="8">
        <v>0</v>
      </c>
      <c r="E66" s="8">
        <v>0</v>
      </c>
      <c r="F66" s="8">
        <v>0</v>
      </c>
      <c r="G66" s="8">
        <f>Assumptions!C103</f>
        <v>535543.384216739</v>
      </c>
      <c r="H66" s="8">
        <f>C32</f>
        <v>472538.28019124025</v>
      </c>
      <c r="I66" s="8">
        <f>D66+E66+F66+G66+H66</f>
        <v>1008081.6644079792</v>
      </c>
      <c r="J66" s="19">
        <f>I66/I$70</f>
        <v>0.026295702148522608</v>
      </c>
    </row>
    <row r="67" spans="2:10" x14ac:dyDescent="0.25">
      <c r="B67" s="5" t="s">
        <v>190</v>
      </c>
      <c r="C67" s="5" t="s">
        <v>191</v>
      </c>
      <c r="D67" s="8">
        <v>0</v>
      </c>
      <c r="E67" s="8">
        <v>0</v>
      </c>
      <c r="F67" s="8">
        <v>0</v>
      </c>
      <c r="G67" s="8">
        <f>Assumptions!C102</f>
        <v>267771.6921083695</v>
      </c>
      <c r="H67" s="8">
        <v>0</v>
      </c>
      <c r="I67" s="8">
        <f>D67+E67+F67+G67+H67</f>
        <v>267771.6921083695</v>
      </c>
      <c r="J67" s="19">
        <f>I67/I$70</f>
        <v>0.006984795883201319</v>
      </c>
    </row>
    <row r="68" spans="2:10" x14ac:dyDescent="0.25">
      <c r="B68" s="5" t="s">
        <v>192</v>
      </c>
      <c r="C68" s="5" t="s">
        <v>193</v>
      </c>
      <c r="D68" s="8">
        <f>Assumptions!C50+Assumptions!C90</f>
        <v>2483727.59292909</v>
      </c>
      <c r="E68" s="8">
        <v>0</v>
      </c>
      <c r="F68" s="8">
        <v>0</v>
      </c>
      <c r="G68" s="8">
        <v>0</v>
      </c>
      <c r="H68" s="8">
        <v>0</v>
      </c>
      <c r="I68" s="8">
        <f>D68+E68+F68+G68+H68</f>
        <v>2483727.59292909</v>
      </c>
      <c r="J68" s="19">
        <f>I68/I$70</f>
        <v>0.0647877680029882</v>
      </c>
    </row>
    <row r="69" spans="2:10" x14ac:dyDescent="0.25">
      <c r="B69" s="5" t="s">
        <v>194</v>
      </c>
      <c r="C69" s="5" t="s">
        <v>195</v>
      </c>
      <c r="D69" s="8">
        <f>Assumptions!C49</f>
        <v>2500000</v>
      </c>
      <c r="E69" s="8">
        <v>0</v>
      </c>
      <c r="F69" s="8">
        <v>0</v>
      </c>
      <c r="G69" s="8">
        <v>0</v>
      </c>
      <c r="H69" s="8">
        <v>0</v>
      </c>
      <c r="I69" s="8">
        <f>D69+E69+F69+G69+H69</f>
        <v>2500000</v>
      </c>
      <c r="J69" s="19">
        <f>I69/I$70</f>
        <v>0.06521223199701139</v>
      </c>
    </row>
    <row r="70" spans="2:10" x14ac:dyDescent="0.25">
      <c r="B70" s="12" t="s">
        <v>196</v>
      </c>
      <c r="D70" s="20">
        <f>SUM(D36:D69)</f>
        <v>13511189.31273785</v>
      </c>
      <c r="E70" s="20">
        <f>SUM(E36:E69)</f>
        <v>23268308.127917387</v>
      </c>
      <c r="F70" s="20">
        <f>SUM(F36:F69)</f>
        <v>281015.3022830847</v>
      </c>
      <c r="G70" s="20">
        <f>SUM(G36:G69)</f>
        <v>803315.0763251085</v>
      </c>
      <c r="H70" s="20">
        <f>SUM(H36:H69)</f>
        <v>472538.28019124025</v>
      </c>
      <c r="I70" s="21">
        <f>SUM(I36:I69)</f>
        <v>38336366.09945466</v>
      </c>
      <c r="J70" s="21">
        <f>SUM(J36:J69)</f>
        <v>1.0000000000000002</v>
      </c>
    </row>
    <row r="71" spans="2:9" x14ac:dyDescent="0.25">
      <c r="B71" s="5" t="s">
        <v>197</v>
      </c>
      <c r="I71" s="22">
        <f>ROUND(I70-Assumptions!C101,2)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0.205" customWidth="1"/>
    <col min="3" max="3" width="18.955" customWidth="1"/>
    <col min="4" max="4" width="16.455" customWidth="1"/>
    <col min="5" max="6" width="17.705" customWidth="1"/>
    <col min="7" max="9" width="18.955" customWidth="1"/>
  </cols>
  <sheetData>
    <row r="2" ht="18" customHeight="1" spans="2:2" x14ac:dyDescent="0.25">
      <c r="B2" s="1" t="s">
        <v>198</v>
      </c>
    </row>
    <row r="3" spans="2:2" x14ac:dyDescent="0.25">
      <c r="B3" s="2" t="s">
        <v>199</v>
      </c>
    </row>
    <row r="5" spans="2:9" x14ac:dyDescent="0.25">
      <c r="B5" s="3" t="s">
        <v>200</v>
      </c>
      <c r="C5" s="4"/>
      <c r="D5" s="4"/>
      <c r="E5" s="4"/>
      <c r="F5" s="4"/>
      <c r="G5" s="4"/>
      <c r="H5" s="4"/>
      <c r="I5" s="4"/>
    </row>
    <row r="6" spans="2:3" x14ac:dyDescent="0.25">
      <c r="B6" s="5" t="s">
        <v>201</v>
      </c>
      <c r="C6" s="16">
        <f>Assumptions!C11</f>
        <v>10000000</v>
      </c>
    </row>
    <row r="7" spans="2:3" x14ac:dyDescent="0.25">
      <c r="B7" s="5" t="s">
        <v>202</v>
      </c>
      <c r="C7" s="14">
        <f>Assumptions!C64*C6</f>
        <v>30000000</v>
      </c>
    </row>
    <row r="8" spans="2:3" x14ac:dyDescent="0.25">
      <c r="B8" s="5" t="s">
        <v>203</v>
      </c>
      <c r="C8" s="14">
        <f>Assumptions!D64*C6</f>
        <v>40000000</v>
      </c>
    </row>
    <row r="9" spans="2:3" x14ac:dyDescent="0.25">
      <c r="B9" s="5" t="s">
        <v>204</v>
      </c>
      <c r="C9" s="16">
        <f>Assumptions!C89</f>
        <v>803315.0763251084</v>
      </c>
    </row>
    <row r="10" spans="2:3" x14ac:dyDescent="0.25">
      <c r="B10" s="5" t="s">
        <v>205</v>
      </c>
      <c r="C10" s="16">
        <f>Assumptions!C101</f>
        <v>38336366.09945454</v>
      </c>
    </row>
    <row r="12" spans="2:9" x14ac:dyDescent="0.25">
      <c r="B12" s="3" t="s">
        <v>206</v>
      </c>
      <c r="C12" s="4"/>
      <c r="D12" s="4"/>
      <c r="E12" s="4"/>
      <c r="F12" s="4"/>
      <c r="G12" s="4"/>
      <c r="H12" s="4"/>
      <c r="I12" s="4"/>
    </row>
    <row r="13" spans="2:9" x14ac:dyDescent="0.25">
      <c r="B13" s="13" t="s">
        <v>207</v>
      </c>
      <c r="C13" s="13" t="s">
        <v>208</v>
      </c>
      <c r="D13" s="13" t="s">
        <v>209</v>
      </c>
      <c r="E13" s="13" t="s">
        <v>210</v>
      </c>
      <c r="F13" s="13" t="s">
        <v>211</v>
      </c>
      <c r="G13" s="13" t="s">
        <v>212</v>
      </c>
      <c r="H13" s="13" t="s">
        <v>213</v>
      </c>
      <c r="I13" s="13" t="s">
        <v>214</v>
      </c>
    </row>
    <row r="14" spans="2:9" x14ac:dyDescent="0.25">
      <c r="B14" s="5" t="s">
        <v>215</v>
      </c>
      <c r="C14" s="16">
        <f>Waterfall!C34</f>
        <v>30000000</v>
      </c>
      <c r="D14" s="8" t="str">
        <f>Waterfall!C24</f>
        <v>preference</v>
      </c>
      <c r="E14" s="19">
        <f>$C$7/C14</f>
        <v>1</v>
      </c>
      <c r="F14" s="19">
        <f>$C$8/C14</f>
        <v>1.3333333333333333</v>
      </c>
      <c r="G14" s="19">
        <f>E14*$C$9/$C$10</f>
        <v>0.020954387649604018</v>
      </c>
      <c r="H14" s="19">
        <f>F14*$C$9/$C$10</f>
        <v>0.027939183532805355</v>
      </c>
      <c r="I14" s="8" t="str">
        <f>IF(F14&gt;1,"4× infeasible",IF(E14&gt;1,"3× infeasible","Both feasible"))</f>
        <v>4× infeasible</v>
      </c>
    </row>
    <row r="15" spans="2:9" x14ac:dyDescent="0.25">
      <c r="B15" s="5" t="s">
        <v>216</v>
      </c>
      <c r="C15" s="16">
        <f>Waterfall!D34</f>
        <v>30000000</v>
      </c>
      <c r="D15" s="8" t="str">
        <f>Waterfall!D24</f>
        <v>preference</v>
      </c>
      <c r="E15" s="19">
        <f>$C$7/C15</f>
        <v>1</v>
      </c>
      <c r="F15" s="19">
        <f>$C$8/C15</f>
        <v>1.3333333333333333</v>
      </c>
      <c r="G15" s="19">
        <f>E15*$C$9/$C$10</f>
        <v>0.020954387649604018</v>
      </c>
      <c r="H15" s="19">
        <f>F15*$C$9/$C$10</f>
        <v>0.027939183532805355</v>
      </c>
      <c r="I15" s="8" t="str">
        <f>IF(F15&gt;1,"4× infeasible",IF(E15&gt;1,"3× infeasible","Both feasible"))</f>
        <v>4× infeasible</v>
      </c>
    </row>
    <row r="16" spans="2:9" x14ac:dyDescent="0.25">
      <c r="B16" s="5" t="s">
        <v>217</v>
      </c>
      <c r="C16" s="16">
        <f>Waterfall!E34</f>
        <v>44793811.183095</v>
      </c>
      <c r="D16" s="8" t="str">
        <f>Waterfall!E24</f>
        <v>convert</v>
      </c>
      <c r="E16" s="19">
        <f>$C$7/C16</f>
        <v>0.6697353765540244</v>
      </c>
      <c r="F16" s="19">
        <f>$C$8/C16</f>
        <v>0.8929805020720326</v>
      </c>
      <c r="G16" s="19">
        <f>E16*$C$9/$C$10</f>
        <v>0.014033894702966544</v>
      </c>
      <c r="H16" s="19">
        <f>F16*$C$9/$C$10</f>
        <v>0.018711859603955393</v>
      </c>
      <c r="I16" s="8" t="str">
        <f>IF(F16&gt;1,"4× infeasible",IF(E16&gt;1,"3× infeasible","Both feasible"))</f>
        <v>Both feasible</v>
      </c>
    </row>
    <row r="17" spans="2:9" x14ac:dyDescent="0.25">
      <c r="B17" s="5" t="s">
        <v>218</v>
      </c>
      <c r="C17" s="16">
        <f>Waterfall!F34</f>
        <v>89680110.77918385</v>
      </c>
      <c r="D17" s="8" t="str">
        <f>Waterfall!F24</f>
        <v>convert</v>
      </c>
      <c r="E17" s="19">
        <f>$C$7/C17</f>
        <v>0.3345223343207942</v>
      </c>
      <c r="F17" s="19">
        <f>$C$8/C17</f>
        <v>0.4460297790943923</v>
      </c>
      <c r="G17" s="19">
        <f>E17*$C$9/$C$10</f>
        <v>0.007009710670808356</v>
      </c>
      <c r="H17" s="19">
        <f>F17*$C$9/$C$10</f>
        <v>0.009346280894411143</v>
      </c>
      <c r="I17" s="8" t="str">
        <f>IF(F17&gt;1,"4× infeasible",IF(E17&gt;1,"3× infeasible","Both feasible"))</f>
        <v>Both feasible</v>
      </c>
    </row>
    <row r="18" spans="2:9" x14ac:dyDescent="0.25">
      <c r="B18" s="5" t="s">
        <v>219</v>
      </c>
      <c r="C18" s="16">
        <f>Waterfall!G34</f>
        <v>179304206.4985431</v>
      </c>
      <c r="D18" s="8" t="str">
        <f>Waterfall!G24</f>
        <v>convert</v>
      </c>
      <c r="E18" s="19">
        <f>$C$7/C18</f>
        <v>0.16731341994613919</v>
      </c>
      <c r="F18" s="19">
        <f>$C$8/C18</f>
        <v>0.22308455992818557</v>
      </c>
      <c r="G18" s="19">
        <f>E18*$C$9/$C$10</f>
        <v>0.00350595026053239</v>
      </c>
      <c r="H18" s="19">
        <f>F18*$C$9/$C$10</f>
        <v>0.004674600347376519</v>
      </c>
      <c r="I18" s="8" t="str">
        <f>IF(F18&gt;1,"4× infeasible",IF(E18&gt;1,"3× infeasible","Both feasible"))</f>
        <v>Both feasible</v>
      </c>
    </row>
    <row r="20" spans="2:7" x14ac:dyDescent="0.25">
      <c r="B20" s="5" t="s">
        <v>220</v>
      </c>
      <c r="C20" s="16">
        <f>Waterfall!C22</f>
        <v>700000000</v>
      </c>
      <c r="D20" s="16">
        <f>Waterfall!D22</f>
        <v>1200000000</v>
      </c>
      <c r="E20" s="16">
        <f>Waterfall!E22</f>
        <v>2000000000</v>
      </c>
      <c r="F20" s="16">
        <f>Waterfall!F22</f>
        <v>4000000000</v>
      </c>
      <c r="G20" s="16">
        <f>Waterfall!G22</f>
        <v>8000000000</v>
      </c>
    </row>
    <row r="21" spans="2:7" x14ac:dyDescent="0.25">
      <c r="B21" s="5" t="s">
        <v>221</v>
      </c>
      <c r="C21" s="16">
        <f>Waterfall!C34*(Assumptions!C11/Assumptions!C7)</f>
        <v>10000000</v>
      </c>
      <c r="D21" s="16">
        <f>Waterfall!D34*(Assumptions!C11/Assumptions!C7)</f>
        <v>10000000</v>
      </c>
      <c r="E21" s="16">
        <f>Waterfall!E34*(Assumptions!C11/Assumptions!C7)</f>
        <v>14931270.394364998</v>
      </c>
      <c r="F21" s="16">
        <f>Waterfall!F34*(Assumptions!C11/Assumptions!C7)</f>
        <v>29893370.259727947</v>
      </c>
      <c r="G21" s="16">
        <f>Waterfall!G34*(Assumptions!C11/Assumptions!C7)</f>
        <v>59768068.83284769</v>
      </c>
    </row>
    <row r="22" spans="2:7" x14ac:dyDescent="0.25">
      <c r="B22" s="5" t="s">
        <v>222</v>
      </c>
      <c r="C22" s="17">
        <f>C21/Assumptions!C11</f>
        <v>1</v>
      </c>
      <c r="D22" s="17">
        <f>D21/Assumptions!C11</f>
        <v>1</v>
      </c>
      <c r="E22" s="17">
        <f>E21/Assumptions!C11</f>
        <v>1.4931270394364997</v>
      </c>
      <c r="F22" s="17">
        <f>F21/Assumptions!C11</f>
        <v>2.9893370259727945</v>
      </c>
      <c r="G22" s="17">
        <f>G21/Assumptions!C11</f>
        <v>5.976806883284769</v>
      </c>
    </row>
    <row r="24" spans="2:9" x14ac:dyDescent="0.25">
      <c r="B24" s="23" t="s">
        <v>223</v>
      </c>
      <c r="C24" s="24"/>
      <c r="D24" s="24"/>
      <c r="E24" s="24"/>
      <c r="F24" s="24"/>
      <c r="G24" s="24"/>
      <c r="H24" s="24"/>
      <c r="I24" s="24"/>
    </row>
    <row r="25" spans="2:2" x14ac:dyDescent="0.25">
      <c r="B25" s="9" t="s">
        <v>224</v>
      </c>
    </row>
    <row r="26" spans="2:2" x14ac:dyDescent="0.25">
      <c r="B26" s="9" t="s">
        <v>225</v>
      </c>
    </row>
    <row r="27" spans="2:2" x14ac:dyDescent="0.25">
      <c r="B27" s="9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4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8" width="16.455" customWidth="1"/>
    <col min="9" max="9" width="15.205" customWidth="1"/>
    <col min="10" max="10" width="16.455" customWidth="1"/>
    <col min="11" max="12" width="11.455" customWidth="1"/>
    <col min="13" max="13" width="17.705" customWidth="1"/>
  </cols>
  <sheetData>
    <row r="2" ht="18" customHeight="1" spans="2:2" x14ac:dyDescent="0.25">
      <c r="B2" s="1" t="s">
        <v>227</v>
      </c>
    </row>
    <row r="3" spans="2:2" x14ac:dyDescent="0.25">
      <c r="B3" s="2" t="s">
        <v>228</v>
      </c>
    </row>
    <row r="5" spans="2:13" x14ac:dyDescent="0.25">
      <c r="B5" s="3" t="s">
        <v>229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2:5" x14ac:dyDescent="0.25">
      <c r="B6" s="25" t="s">
        <v>230</v>
      </c>
      <c r="C6" s="26">
        <f>Assumptions!C63</f>
        <v>1200000000</v>
      </c>
      <c r="D6" s="26">
        <f>Assumptions!D63</f>
        <v>1400000000</v>
      </c>
      <c r="E6" s="26">
        <f>Assumptions!E63</f>
        <v>1800000000</v>
      </c>
    </row>
    <row r="7" spans="2:5" x14ac:dyDescent="0.25">
      <c r="B7" s="27">
        <f>Assumptions!C62</f>
        <v>0.11</v>
      </c>
      <c r="C7" s="28">
        <f>M61</f>
        <v>0.008115032900846088</v>
      </c>
      <c r="D7" s="28">
        <f>M111</f>
        <v>0.0069851590272010725</v>
      </c>
      <c r="E7" s="28">
        <f>M161</f>
        <v>0.005463704592340452</v>
      </c>
    </row>
    <row r="8" spans="2:5" x14ac:dyDescent="0.25">
      <c r="B8" s="27">
        <f>Assumptions!D62</f>
        <v>0.13</v>
      </c>
      <c r="C8" s="28">
        <f>M211</f>
        <v>0.008114593319424199</v>
      </c>
      <c r="D8" s="29">
        <f>M261</f>
        <v>0.006984795882523005</v>
      </c>
      <c r="E8" s="28">
        <f>M311</f>
        <v>0.005463435814337759</v>
      </c>
    </row>
    <row r="9" spans="2:5" x14ac:dyDescent="0.25">
      <c r="B9" s="27">
        <f>Assumptions!E62</f>
        <v>0.15</v>
      </c>
      <c r="C9" s="28">
        <f>M361</f>
        <v>0.008113969020750204</v>
      </c>
      <c r="D9" s="28">
        <f>M411</f>
        <v>0.006984258505733409</v>
      </c>
      <c r="E9" s="28">
        <f>M461</f>
        <v>0.005463015483859299</v>
      </c>
    </row>
    <row r="11" spans="2:13" x14ac:dyDescent="0.25">
      <c r="B11" s="3" t="s">
        <v>231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5" x14ac:dyDescent="0.25">
      <c r="B12" s="25" t="s">
        <v>230</v>
      </c>
      <c r="C12" s="26">
        <f>Assumptions!C63</f>
        <v>1200000000</v>
      </c>
      <c r="D12" s="26">
        <f>Assumptions!D63</f>
        <v>1400000000</v>
      </c>
      <c r="E12" s="26">
        <f>Assumptions!E63</f>
        <v>1800000000</v>
      </c>
    </row>
    <row r="13" spans="2:5" x14ac:dyDescent="0.25">
      <c r="B13" s="27">
        <f>Assumptions!C62</f>
        <v>0.11</v>
      </c>
      <c r="C13" s="14">
        <f>M62</f>
        <v>17075679.978043426</v>
      </c>
      <c r="D13" s="14">
        <f>M112</f>
        <v>14703175.372570718</v>
      </c>
      <c r="E13" s="14">
        <f>M162</f>
        <v>11505507.128759984</v>
      </c>
    </row>
    <row r="14" spans="2:5" x14ac:dyDescent="0.25">
      <c r="B14" s="27">
        <f>Assumptions!D62</f>
        <v>0.13</v>
      </c>
      <c r="C14" s="14">
        <f>M212</f>
        <v>17351776.43070267</v>
      </c>
      <c r="D14" s="30">
        <f>M262</f>
        <v>14931270.39291214</v>
      </c>
      <c r="E14" s="14">
        <f>M312</f>
        <v>11674332.276396032</v>
      </c>
    </row>
    <row r="15" spans="2:5" x14ac:dyDescent="0.25">
      <c r="B15" s="27">
        <f>Assumptions!E62</f>
        <v>0.15</v>
      </c>
      <c r="C15" s="14">
        <f>M362</f>
        <v>17759653.252486974</v>
      </c>
      <c r="D15" s="14">
        <f>M412</f>
        <v>15282139.029346162</v>
      </c>
      <c r="E15" s="14">
        <f>M462</f>
        <v>11948552.100946456</v>
      </c>
    </row>
    <row r="17" spans="2:13" x14ac:dyDescent="0.25">
      <c r="B17" s="3" t="s">
        <v>232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5" x14ac:dyDescent="0.25">
      <c r="B18" s="25" t="s">
        <v>230</v>
      </c>
      <c r="C18" s="26">
        <f>Assumptions!C63</f>
        <v>1200000000</v>
      </c>
      <c r="D18" s="26">
        <f>Assumptions!D63</f>
        <v>1400000000</v>
      </c>
      <c r="E18" s="26">
        <f>Assumptions!E63</f>
        <v>1800000000</v>
      </c>
    </row>
    <row r="19" spans="2:5" x14ac:dyDescent="0.25">
      <c r="B19" s="27">
        <f>Assumptions!C62</f>
        <v>0.11</v>
      </c>
      <c r="C19" s="31">
        <f>M62/Assumptions!C11</f>
        <v>1.7075679978043425</v>
      </c>
      <c r="D19" s="31">
        <f>M112/Assumptions!C11</f>
        <v>1.4703175372570718</v>
      </c>
      <c r="E19" s="31">
        <f>M162/Assumptions!C11</f>
        <v>1.1505507128759984</v>
      </c>
    </row>
    <row r="20" spans="2:5" x14ac:dyDescent="0.25">
      <c r="B20" s="27">
        <f>Assumptions!D62</f>
        <v>0.13</v>
      </c>
      <c r="C20" s="31">
        <f>M212/Assumptions!C11</f>
        <v>1.735177643070267</v>
      </c>
      <c r="D20" s="32">
        <f>M262/Assumptions!C11</f>
        <v>1.493127039291214</v>
      </c>
      <c r="E20" s="31">
        <f>M312/Assumptions!C11</f>
        <v>1.167433227639603</v>
      </c>
    </row>
    <row r="21" spans="2:5" x14ac:dyDescent="0.25">
      <c r="B21" s="27">
        <f>Assumptions!E62</f>
        <v>0.15</v>
      </c>
      <c r="C21" s="31">
        <f>M362/Assumptions!C11</f>
        <v>1.7759653252486973</v>
      </c>
      <c r="D21" s="31">
        <f>M412/Assumptions!C11</f>
        <v>1.5282139029346162</v>
      </c>
      <c r="E21" s="31">
        <f>M462/Assumptions!C11</f>
        <v>1.1948552100946457</v>
      </c>
    </row>
    <row r="30" spans="2:13" x14ac:dyDescent="0.25">
      <c r="B30" s="3" t="s">
        <v>233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2:8" x14ac:dyDescent="0.25">
      <c r="B31" s="13" t="s">
        <v>234</v>
      </c>
      <c r="C31" s="13">
        <v>0</v>
      </c>
      <c r="D31" s="13">
        <v>1</v>
      </c>
      <c r="E31" s="13">
        <v>2</v>
      </c>
      <c r="F31" s="13">
        <v>3</v>
      </c>
      <c r="G31" s="13">
        <v>4</v>
      </c>
      <c r="H31" s="13">
        <v>5</v>
      </c>
    </row>
    <row r="32" spans="2:8" x14ac:dyDescent="0.25">
      <c r="B32" s="5" t="s">
        <v>99</v>
      </c>
      <c r="C32" s="14">
        <f>Assumptions!C63/Assumptions!C52</f>
        <v>32.770803377064055</v>
      </c>
      <c r="D32" s="14">
        <f>Assumptions!C63/(Assumptions!C52+C38+C42+C46)</f>
        <v>32.770803377064055</v>
      </c>
      <c r="E32" s="14">
        <f>Assumptions!C63/(Assumptions!C52+D38+D42+D46)</f>
        <v>32.50589625683373</v>
      </c>
      <c r="F32" s="14">
        <f>Assumptions!C63/(Assumptions!C52+E38+E42+E46)</f>
        <v>32.50375498617793</v>
      </c>
      <c r="G32" s="14">
        <f>Assumptions!C63/(Assumptions!C52+F38+F42+F46)</f>
        <v>32.5037375370306</v>
      </c>
      <c r="H32" s="14">
        <f>Assumptions!C63/(Assumptions!C52+G38+G42+G46)</f>
        <v>32.50373739482868</v>
      </c>
    </row>
    <row r="33" spans="2:8" x14ac:dyDescent="0.25">
      <c r="B33" s="5" t="s">
        <v>235</v>
      </c>
      <c r="C33" s="8">
        <f>Assumptions!C7/C32</f>
        <v>915449.0250000001</v>
      </c>
      <c r="D33" s="8">
        <f>Assumptions!C7/D32</f>
        <v>915449.0250000001</v>
      </c>
      <c r="E33" s="8">
        <f>Assumptions!C7/E32</f>
        <v>922909.4858042281</v>
      </c>
      <c r="F33" s="8">
        <f>Assumptions!C7/F32</f>
        <v>922970.2849026938</v>
      </c>
      <c r="G33" s="8">
        <f>Assumptions!C7/G32</f>
        <v>922970.780385543</v>
      </c>
      <c r="H33" s="8">
        <f>Assumptions!C7/H32</f>
        <v>922970.7844234853</v>
      </c>
    </row>
    <row r="34" spans="2:8" x14ac:dyDescent="0.25">
      <c r="B34" s="5" t="s">
        <v>236</v>
      </c>
      <c r="C34" s="14">
        <f>Assumptions!C20*(Assumptions!C52+Assumptions!C7/Assumptions!C20)/(Assumptions!C52+Assumptions!C7/C32)</f>
        <v>57.500114228708874</v>
      </c>
      <c r="D34" s="14">
        <f>Assumptions!C20*(Assumptions!C52+Assumptions!C7/Assumptions!C20)/(Assumptions!C52+Assumptions!C7/D32)</f>
        <v>57.500114228708874</v>
      </c>
      <c r="E34" s="14">
        <f>Assumptions!C20*(Assumptions!C52+Assumptions!C7/Assumptions!C20)/(Assumptions!C52+Assumptions!C7/E32)</f>
        <v>57.4886872867416</v>
      </c>
      <c r="F34" s="14">
        <f>Assumptions!C20*(Assumptions!C52+Assumptions!C7/Assumptions!C20)/(Assumptions!C52+Assumptions!C7/F32)</f>
        <v>57.488594181423245</v>
      </c>
      <c r="G34" s="14">
        <f>Assumptions!C20*(Assumptions!C52+Assumptions!C7/Assumptions!C20)/(Assumptions!C52+Assumptions!C7/G32)</f>
        <v>57.488593422661765</v>
      </c>
      <c r="H34" s="14">
        <f>Assumptions!C20*(Assumptions!C52+Assumptions!C7/Assumptions!C20)/(Assumptions!C52+Assumptions!C7/H32)</f>
        <v>57.48859341647824</v>
      </c>
    </row>
    <row r="35" spans="2:8" x14ac:dyDescent="0.25">
      <c r="B35" s="5" t="s">
        <v>237</v>
      </c>
      <c r="C35" s="8">
        <f>MAX(0,IF(C32&lt;Assumptions!C20,Assumptions!C29/C34-Assumptions!C47,0))</f>
        <v>18499.9798568788</v>
      </c>
      <c r="D35" s="8">
        <f>MAX(0,IF(D32&lt;Assumptions!C20,Assumptions!C29/D34-Assumptions!C47,0))</f>
        <v>18499.9798568788</v>
      </c>
      <c r="E35" s="8">
        <f>MAX(0,IF(E32&lt;Assumptions!C20,Assumptions!C29/E34-Assumptions!C47,0))</f>
        <v>18845.663573284</v>
      </c>
      <c r="F35" s="8">
        <f>MAX(0,IF(F32&lt;Assumptions!C20,Assumptions!C29/F34-Assumptions!C47,0))</f>
        <v>18848.4807261196</v>
      </c>
      <c r="G35" s="8">
        <f>MAX(0,IF(G32&lt;Assumptions!C20,Assumptions!C29/G34-Assumptions!C47,0))</f>
        <v>18848.5036845347</v>
      </c>
      <c r="H35" s="8">
        <f>MAX(0,IF(H32&lt;Assumptions!C20,Assumptions!C29/H34-Assumptions!C47,0))</f>
        <v>18848.5038716341</v>
      </c>
    </row>
    <row r="36" spans="2:8" x14ac:dyDescent="0.25">
      <c r="B36" s="5" t="s">
        <v>238</v>
      </c>
      <c r="C36" s="14">
        <f>Assumptions!C22*(Assumptions!C52+Assumptions!C7/Assumptions!C22)/(Assumptions!C52+Assumptions!C7/C32)</f>
        <v>48.75861569212351</v>
      </c>
      <c r="D36" s="14">
        <f>Assumptions!C22*(Assumptions!C52+Assumptions!C7/Assumptions!C22)/(Assumptions!C52+Assumptions!C7/D32)</f>
        <v>48.75861569212351</v>
      </c>
      <c r="E36" s="14">
        <f>Assumptions!C22*(Assumptions!C52+Assumptions!C7/Assumptions!C22)/(Assumptions!C52+Assumptions!C7/E32)</f>
        <v>48.74892593968751</v>
      </c>
      <c r="F36" s="14">
        <f>Assumptions!C22*(Assumptions!C52+Assumptions!C7/Assumptions!C22)/(Assumptions!C52+Assumptions!C7/F32)</f>
        <v>48.74884698877589</v>
      </c>
      <c r="G36" s="14">
        <f>Assumptions!C22*(Assumptions!C52+Assumptions!C7/Assumptions!C22)/(Assumptions!C52+Assumptions!C7/G32)</f>
        <v>48.74884634536569</v>
      </c>
      <c r="H36" s="14">
        <f>Assumptions!C22*(Assumptions!C52+Assumptions!C7/Assumptions!C22)/(Assumptions!C52+Assumptions!C7/H32)</f>
        <v>48.74884634012223</v>
      </c>
    </row>
    <row r="37" spans="2:8" x14ac:dyDescent="0.25">
      <c r="B37" s="5" t="s">
        <v>239</v>
      </c>
      <c r="C37" s="8">
        <f>MAX(0,IF(C32&lt;Assumptions!C22,Assumptions!C30/C36-Assumptions!C48,0))</f>
        <v>50091.763585286</v>
      </c>
      <c r="D37" s="8">
        <f>MAX(0,IF(D32&lt;Assumptions!C22,Assumptions!C30/D36-Assumptions!C48,0))</f>
        <v>50091.763585286</v>
      </c>
      <c r="E37" s="8">
        <f>MAX(0,IF(E32&lt;Assumptions!C22,Assumptions!C30/E36-Assumptions!C48,0))</f>
        <v>51314.738411262</v>
      </c>
      <c r="F37" s="8">
        <f>MAX(0,IF(F32&lt;Assumptions!C22,Assumptions!C30/F36-Assumptions!C48,0))</f>
        <v>51324.705056595</v>
      </c>
      <c r="G37" s="8">
        <f>MAX(0,IF(G32&lt;Assumptions!C22,Assumptions!C30/G36-Assumptions!C48,0))</f>
        <v>51324.786279872</v>
      </c>
      <c r="H37" s="8">
        <f>MAX(0,IF(H32&lt;Assumptions!C22,Assumptions!C30/H36-Assumptions!C48,0))</f>
        <v>51324.786941799</v>
      </c>
    </row>
    <row r="38" spans="2:8" x14ac:dyDescent="0.25">
      <c r="B38" s="5" t="s">
        <v>240</v>
      </c>
      <c r="C38" s="8">
        <f>MAX(0,(Assumptions!C62*(Assumptions!C52+C35+C37+C33+C42+C46)-Assumptions!C51)/(1-Assumptions!C62))</f>
        <v>0</v>
      </c>
      <c r="D38" s="8">
        <f>MAX(0,(Assumptions!C62*(Assumptions!C52+D35+D37+D33+D42+D46)-Assumptions!C51)/(1-Assumptions!C62))</f>
        <v>0</v>
      </c>
      <c r="E38" s="8">
        <f>MAX(0,(Assumptions!C62*(Assumptions!C52+E35+E37+E33+E42+E46)-Assumptions!C51)/(1-Assumptions!C62))</f>
        <v>0</v>
      </c>
      <c r="F38" s="8">
        <f>MAX(0,(Assumptions!C62*(Assumptions!C52+F35+F37+F33+F42+F46)-Assumptions!C51)/(1-Assumptions!C62))</f>
        <v>0</v>
      </c>
      <c r="G38" s="8">
        <f>MAX(0,(Assumptions!C62*(Assumptions!C52+G35+G37+G33+G42+G46)-Assumptions!C51)/(1-Assumptions!C62))</f>
        <v>0</v>
      </c>
      <c r="H38" s="8">
        <f>MAX(0,(Assumptions!C62*(Assumptions!C52+H35+H37+H33+H42+H46)-Assumptions!C51)/(1-Assumptions!C62))</f>
        <v>0</v>
      </c>
    </row>
    <row r="39" spans="2:8" x14ac:dyDescent="0.25">
      <c r="B39" s="5" t="s">
        <v>241</v>
      </c>
      <c r="C39" s="14">
        <f>Assumptions!C34/(Assumptions!C52+C38+C46)</f>
        <v>27.309002814220047</v>
      </c>
      <c r="D39" s="14">
        <f>Assumptions!C34/(Assumptions!C52+C38+C46)</f>
        <v>27.309002814220047</v>
      </c>
      <c r="E39" s="14">
        <f>Assumptions!C34/(Assumptions!C52+D38+D46)</f>
        <v>27.228917761978934</v>
      </c>
      <c r="F39" s="14">
        <f>Assumptions!C34/(Assumptions!C52+E38+E46)</f>
        <v>27.228267037553227</v>
      </c>
      <c r="G39" s="14">
        <f>Assumptions!C34/(Assumptions!C52+F38+F46)</f>
        <v>27.228261734595904</v>
      </c>
      <c r="H39" s="14">
        <f>Assumptions!C34/(Assumptions!C52+G38+G46)</f>
        <v>27.228261691379412</v>
      </c>
    </row>
    <row r="40" spans="2:8" x14ac:dyDescent="0.25">
      <c r="B40" s="5" t="s">
        <v>242</v>
      </c>
      <c r="C40" s="14">
        <f>C32*(1-Assumptions!C35)</f>
        <v>26.216642701651246</v>
      </c>
      <c r="D40" s="14">
        <f>D32*(1-Assumptions!C35)</f>
        <v>26.216642701651246</v>
      </c>
      <c r="E40" s="14">
        <f>E32*(1-Assumptions!C35)</f>
        <v>26.004717005466983</v>
      </c>
      <c r="F40" s="14">
        <f>F32*(1-Assumptions!C35)</f>
        <v>26.003003988942343</v>
      </c>
      <c r="G40" s="14">
        <f>G32*(1-Assumptions!C35)</f>
        <v>26.00299002962448</v>
      </c>
      <c r="H40" s="14">
        <f>H32*(1-Assumptions!C35)</f>
        <v>26.002989915862944</v>
      </c>
    </row>
    <row r="41" spans="2:8" x14ac:dyDescent="0.25">
      <c r="B41" s="5" t="s">
        <v>243</v>
      </c>
      <c r="C41" s="14">
        <f>MIN(C39,C40)</f>
        <v>26.216642701651246</v>
      </c>
      <c r="D41" s="14">
        <f>MIN(D39,D40)</f>
        <v>26.216642701651246</v>
      </c>
      <c r="E41" s="14">
        <f>MIN(E39,E40)</f>
        <v>26.004717005466983</v>
      </c>
      <c r="F41" s="14">
        <f>MIN(F39,F40)</f>
        <v>26.003003988942343</v>
      </c>
      <c r="G41" s="14">
        <f>MIN(G39,G40)</f>
        <v>26.00299002962448</v>
      </c>
      <c r="H41" s="14">
        <f>MIN(H39,H40)</f>
        <v>26.002989915862944</v>
      </c>
    </row>
    <row r="42" spans="2:8" x14ac:dyDescent="0.25">
      <c r="B42" s="5" t="s">
        <v>244</v>
      </c>
      <c r="C42" s="8">
        <v>0</v>
      </c>
      <c r="D42" s="8">
        <f>Assumptions!C33/D41</f>
        <v>190718.546875</v>
      </c>
      <c r="E42" s="8">
        <f>Assumptions!C33/E41</f>
        <v>192272.80954254753</v>
      </c>
      <c r="F42" s="8">
        <f>Assumptions!C33/F41</f>
        <v>192285.47602139457</v>
      </c>
      <c r="G42" s="8">
        <f>Assumptions!C33/G41</f>
        <v>192285.5792469881</v>
      </c>
      <c r="H42" s="8">
        <f>Assumptions!C33/H41</f>
        <v>192285.5800882261</v>
      </c>
    </row>
    <row r="43" spans="2:8" x14ac:dyDescent="0.25">
      <c r="B43" s="5" t="s">
        <v>245</v>
      </c>
      <c r="C43" s="14">
        <f>Assumptions!C37/(Assumptions!C52+C38+C42)</f>
        <v>43.69440450275208</v>
      </c>
      <c r="D43" s="14">
        <f>Assumptions!C37/(Assumptions!C52+C38+C42)</f>
        <v>43.69440450275208</v>
      </c>
      <c r="E43" s="14">
        <f>Assumptions!C37/(Assumptions!C52+D38+D42)</f>
        <v>43.468008624499475</v>
      </c>
      <c r="F43" s="14">
        <f>Assumptions!C37/(Assumptions!C52+E38+E42)</f>
        <v>43.466173246235186</v>
      </c>
      <c r="G43" s="14">
        <f>Assumptions!C37/(Assumptions!C52+F38+F42)</f>
        <v>43.466158289438724</v>
      </c>
      <c r="H43" s="14">
        <f>Assumptions!C37/(Assumptions!C52+G38+G42)</f>
        <v>43.46615816754821</v>
      </c>
    </row>
    <row r="44" spans="2:8" x14ac:dyDescent="0.25">
      <c r="B44" s="5" t="s">
        <v>246</v>
      </c>
      <c r="C44" s="14">
        <f>C32*(1-Assumptions!C38)</f>
        <v>27.855182870504446</v>
      </c>
      <c r="D44" s="14">
        <f>D32*(1-Assumptions!C38)</f>
        <v>27.855182870504446</v>
      </c>
      <c r="E44" s="14">
        <f>E32*(1-Assumptions!C38)</f>
        <v>27.63001181830867</v>
      </c>
      <c r="F44" s="14">
        <f>F32*(1-Assumptions!C38)</f>
        <v>27.62819173825124</v>
      </c>
      <c r="G44" s="14">
        <f>G32*(1-Assumptions!C38)</f>
        <v>27.62817690647601</v>
      </c>
      <c r="H44" s="14">
        <f>H32*(1-Assumptions!C38)</f>
        <v>27.628176785604378</v>
      </c>
    </row>
    <row r="45" spans="2:8" x14ac:dyDescent="0.25">
      <c r="B45" s="5" t="s">
        <v>247</v>
      </c>
      <c r="C45" s="14">
        <f>MIN(C43,C44)</f>
        <v>27.855182870504446</v>
      </c>
      <c r="D45" s="14">
        <f>MIN(D43,D44)</f>
        <v>27.855182870504446</v>
      </c>
      <c r="E45" s="14">
        <f>MIN(E43,E44)</f>
        <v>27.63001181830867</v>
      </c>
      <c r="F45" s="14">
        <f>MIN(F43,F44)</f>
        <v>27.62819173825124</v>
      </c>
      <c r="G45" s="14">
        <f>MIN(G43,G44)</f>
        <v>27.62817690647601</v>
      </c>
      <c r="H45" s="14">
        <f>MIN(H43,H44)</f>
        <v>27.628176785604378</v>
      </c>
    </row>
    <row r="46" spans="2:8" x14ac:dyDescent="0.25">
      <c r="B46" s="5" t="s">
        <v>248</v>
      </c>
      <c r="C46" s="8">
        <v>0</v>
      </c>
      <c r="D46" s="8">
        <f>Assumptions!C36/D45</f>
        <v>107699.88529411766</v>
      </c>
      <c r="E46" s="8">
        <f>Assumptions!C36/E45</f>
        <v>108577.58656520331</v>
      </c>
      <c r="F46" s="8">
        <f>Assumptions!C36/F45</f>
        <v>108584.73940031693</v>
      </c>
      <c r="G46" s="8">
        <f>Assumptions!C36/G45</f>
        <v>108584.79769241682</v>
      </c>
      <c r="H46" s="8">
        <f>Assumptions!C36/H45</f>
        <v>108584.79816746886</v>
      </c>
    </row>
    <row r="47" spans="2:8" x14ac:dyDescent="0.25">
      <c r="B47" s="5" t="s">
        <v>249</v>
      </c>
      <c r="H47" s="8">
        <f>Assumptions!C52+H38+H35+H37+H42+H46+H33</f>
        <v>37911975.45349261</v>
      </c>
    </row>
    <row r="49" spans="2:13" x14ac:dyDescent="0.25">
      <c r="B49" s="23" t="s">
        <v>250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2:10" x14ac:dyDescent="0.25">
      <c r="B50" s="13" t="s">
        <v>97</v>
      </c>
      <c r="C50" s="13" t="s">
        <v>251</v>
      </c>
      <c r="D50" s="13" t="s">
        <v>252</v>
      </c>
      <c r="E50" s="13" t="s">
        <v>253</v>
      </c>
      <c r="F50" s="13" t="s">
        <v>254</v>
      </c>
      <c r="G50" s="13" t="s">
        <v>255</v>
      </c>
      <c r="H50" s="13" t="s">
        <v>256</v>
      </c>
      <c r="I50" s="13" t="s">
        <v>257</v>
      </c>
      <c r="J50" s="13" t="s">
        <v>258</v>
      </c>
    </row>
    <row r="51" spans="2:10" x14ac:dyDescent="0.25">
      <c r="B51" s="5" t="s">
        <v>259</v>
      </c>
      <c r="C51" s="8">
        <f>H33</f>
        <v>922970.7844234853</v>
      </c>
      <c r="D51" s="14">
        <f>Assumptions!C7</f>
        <v>30000000</v>
      </c>
      <c r="E51" s="8">
        <f>IF(D51&gt;((Assumptions!C57+IF(D62=1,C61*C60,0))*C51/(SUM($C$51:$C$57)+C58+C59+IF(D62=1,C60,0))),1,0)</f>
        <v>0</v>
      </c>
      <c r="F51" s="8">
        <f>IF(D51&gt;((Assumptions!C57+IF(D62=1,C61*C60,0)-(SUMPRODUCT($D$51:$D$57,$E$51:$E$57)-D51*E51))*C51/((((SUM($C$51:$C$57)-SUMPRODUCT($C$51:$C$57,$E$51:$E$57))-C51*(1-E51))+C58+C59+IF(D62=1,C60,0))+C51)),1,0)</f>
        <v>0</v>
      </c>
      <c r="G51" s="8">
        <f>IF(D51&gt;((Assumptions!C57+IF(D62=1,C61*C60,0)-(SUMPRODUCT($D$51:$D$57,$F$51:$F$57)-D51*F51))*C51/((((SUM($C$51:$C$57)-SUMPRODUCT($C$51:$C$57,$F$51:$F$57))-C51*(1-F51))+C58+C59+IF(D62=1,C60,0))+C51)),1,0)</f>
        <v>0</v>
      </c>
      <c r="H51" s="8">
        <f>IF(D51&gt;((Assumptions!C57+IF(D62=1,C61*C60,0)-(SUMPRODUCT($D$51:$D$57,$G$51:$G$57)-D51*G51))*C51/((((SUM($C$51:$C$57)-SUMPRODUCT($C$51:$C$57,$G$51:$G$57))-C51*(1-G51))+C58+C59+IF(D62=1,C60,0))+C51)),1,0)</f>
        <v>0</v>
      </c>
      <c r="I51" s="14">
        <f>((Assumptions!C57+IF(D62=1,C61*C60,0)-(SUMPRODUCT($D$51:$D$57,$H$51:$H$57)-D51*H51))*C51/((((SUM($C$51:$C$57)-SUMPRODUCT($C$51:$C$57,$H$51:$H$57))-C51*(1-H51))+C58+C59+IF(D62=1,C60,0))+C51))</f>
        <v>51227039.93413028</v>
      </c>
      <c r="J51" s="14">
        <f>IF(H51=1,D51,I51)</f>
        <v>51227039.93413028</v>
      </c>
    </row>
    <row r="52" spans="2:10" x14ac:dyDescent="0.25">
      <c r="B52" s="5" t="s">
        <v>109</v>
      </c>
      <c r="C52" s="8">
        <f>Assumptions!C48+H37</f>
        <v>6153991.786941799</v>
      </c>
      <c r="D52" s="14">
        <f>Assumptions!C30</f>
        <v>300000000</v>
      </c>
      <c r="E52" s="8">
        <f>IF(D52&gt;((Assumptions!C57+IF(D62=1,C61*C60,0))*C52/(SUM($C$51:$C$57)+C58+C59+IF(D62=1,C60,0))),1,0)</f>
        <v>0</v>
      </c>
      <c r="F52" s="8">
        <f>IF(D52&gt;((Assumptions!C57+IF(D62=1,C61*C60,0)-(SUMPRODUCT($D$51:$D$57,$E$51:$E$57)-D52*E52))*C52/((((SUM($C$51:$C$57)-SUMPRODUCT($C$51:$C$57,$E$51:$E$57))-C52*(1-E52))+C58+C59+IF(D62=1,C60,0))+C52)),1,0)</f>
        <v>0</v>
      </c>
      <c r="G52" s="8">
        <f>IF(D52&gt;((Assumptions!C57+IF(D62=1,C61*C60,0)-(SUMPRODUCT($D$51:$D$57,$F$51:$F$57)-D52*F52))*C52/((((SUM($C$51:$C$57)-SUMPRODUCT($C$51:$C$57,$F$51:$F$57))-C52*(1-F52))+C58+C59+IF(D62=1,C60,0))+C52)),1,0)</f>
        <v>0</v>
      </c>
      <c r="H52" s="8">
        <f>IF(D52&gt;((Assumptions!C57+IF(D62=1,C61*C60,0)-(SUMPRODUCT($D$51:$D$57,$G$51:$G$57)-D52*G52))*C52/((((SUM($C$51:$C$57)-SUMPRODUCT($C$51:$C$57,$G$51:$G$57))-C52*(1-G52))+C58+C59+IF(D62=1,C60,0))+C52)),1,0)</f>
        <v>0</v>
      </c>
      <c r="I52" s="14">
        <f>((Assumptions!C57+IF(D62=1,C61*C60,0)-(SUMPRODUCT($D$51:$D$57,$H$51:$H$57)-D52*H52))*C52/((((SUM($C$51:$C$57)-SUMPRODUCT($C$51:$C$57,$H$51:$H$57))-C52*(1-H52))+C58+C59+IF(D62=1,C60,0))+C52))</f>
        <v>341560955.4975158</v>
      </c>
      <c r="J52" s="14">
        <f>IF(H52=1,D52,I52)</f>
        <v>341560955.4975158</v>
      </c>
    </row>
    <row r="53" spans="2:10" x14ac:dyDescent="0.25">
      <c r="B53" s="5" t="s">
        <v>108</v>
      </c>
      <c r="C53" s="8">
        <f>Assumptions!C47+H35</f>
        <v>1739475.5038716341</v>
      </c>
      <c r="D53" s="14">
        <f>Assumptions!C29</f>
        <v>100000000</v>
      </c>
      <c r="E53" s="8">
        <f>IF(D53&gt;((Assumptions!C57+IF(D62=1,C61*C60,0))*C53/(SUM($C$51:$C$57)+C58+C59+IF(D62=1,C60,0))),1,0)</f>
        <v>1</v>
      </c>
      <c r="F53" s="8">
        <f>IF(D53&gt;((Assumptions!C57+IF(D62=1,C61*C60,0)-(SUMPRODUCT($D$51:$D$57,$E$51:$E$57)-D53*E53))*C53/((((SUM($C$51:$C$57)-SUMPRODUCT($C$51:$C$57,$E$51:$E$57))-C53*(1-E53))+C58+C59+IF(D62=1,C60,0))+C53)),1,0)</f>
        <v>1</v>
      </c>
      <c r="G53" s="8">
        <f>IF(D53&gt;((Assumptions!C57+IF(D62=1,C61*C60,0)-(SUMPRODUCT($D$51:$D$57,$F$51:$F$57)-D53*F53))*C53/((((SUM($C$51:$C$57)-SUMPRODUCT($C$51:$C$57,$F$51:$F$57))-C53*(1-F53))+C58+C59+IF(D62=1,C60,0))+C53)),1,0)</f>
        <v>1</v>
      </c>
      <c r="H53" s="8">
        <f>IF(D53&gt;((Assumptions!C57+IF(D62=1,C61*C60,0)-(SUMPRODUCT($D$51:$D$57,$G$51:$G$57)-D53*G53))*C53/((((SUM($C$51:$C$57)-SUMPRODUCT($C$51:$C$57,$G$51:$G$57))-C53*(1-G53))+C58+C59+IF(D62=1,C60,0))+C53)),1,0)</f>
        <v>1</v>
      </c>
      <c r="I53" s="14">
        <f>((Assumptions!C57+IF(D62=1,C61*C60,0)-(SUMPRODUCT($D$51:$D$57,$H$51:$H$57)-D53*H53))*C53/((((SUM($C$51:$C$57)-SUMPRODUCT($C$51:$C$57,$H$51:$H$57))-C53*(1-H53))+C58+C59+IF(D62=1,C60,0))+C53))</f>
        <v>96711826.78741145</v>
      </c>
      <c r="J53" s="14">
        <f>IF(H53=1,D53,I53)</f>
        <v>100000000</v>
      </c>
    </row>
    <row r="54" spans="2:10" x14ac:dyDescent="0.25">
      <c r="B54" s="5" t="s">
        <v>107</v>
      </c>
      <c r="C54" s="8">
        <f>Assumptions!C46</f>
        <v>2400000</v>
      </c>
      <c r="D54" s="14">
        <f>Assumptions!C28</f>
        <v>60000000</v>
      </c>
      <c r="E54" s="8">
        <f>IF(D54&gt;((Assumptions!C57+IF(D62=1,C61*C60,0))*C54/(SUM($C$51:$C$57)+C58+C59+IF(D62=1,C60,0))),1,0)</f>
        <v>0</v>
      </c>
      <c r="F54" s="8">
        <f>IF(D54&gt;((Assumptions!C57+IF(D62=1,C61*C60,0)-(SUMPRODUCT($D$51:$D$57,$E$51:$E$57)-D54*E54))*C54/((((SUM($C$51:$C$57)-SUMPRODUCT($C$51:$C$57,$E$51:$E$57))-C54*(1-E54))+C58+C59+IF(D62=1,C60,0))+C54)),1,0)</f>
        <v>0</v>
      </c>
      <c r="G54" s="8">
        <f>IF(D54&gt;((Assumptions!C57+IF(D62=1,C61*C60,0)-(SUMPRODUCT($D$51:$D$57,$F$51:$F$57)-D54*F54))*C54/((((SUM($C$51:$C$57)-SUMPRODUCT($C$51:$C$57,$F$51:$F$57))-C54*(1-F54))+C58+C59+IF(D62=1,C60,0))+C54)),1,0)</f>
        <v>0</v>
      </c>
      <c r="H54" s="8">
        <f>IF(D54&gt;((Assumptions!C57+IF(D62=1,C61*C60,0)-(SUMPRODUCT($D$51:$D$57,$G$51:$G$57)-D54*G54))*C54/((((SUM($C$51:$C$57)-SUMPRODUCT($C$51:$C$57,$G$51:$G$57))-C54*(1-G54))+C58+C59+IF(D62=1,C60,0))+C54)),1,0)</f>
        <v>0</v>
      </c>
      <c r="I54" s="14">
        <f>((Assumptions!C57+IF(D62=1,C61*C60,0)-(SUMPRODUCT($D$51:$D$57,$H$51:$H$57)-D54*H54))*C54/((((SUM($C$51:$C$57)-SUMPRODUCT($C$51:$C$57,$H$51:$H$57))-C54*(1-H54))+C58+C59+IF(D62=1,C60,0))+C54))</f>
        <v>133205620.28266981</v>
      </c>
      <c r="J54" s="14">
        <f>IF(H54=1,D54,I54)</f>
        <v>133205620.28266981</v>
      </c>
    </row>
    <row r="55" spans="2:10" x14ac:dyDescent="0.25">
      <c r="B55" s="5" t="s">
        <v>106</v>
      </c>
      <c r="C55" s="8">
        <f>Assumptions!C45</f>
        <v>3000000</v>
      </c>
      <c r="D55" s="14">
        <f>Assumptions!C27</f>
        <v>30000000</v>
      </c>
      <c r="E55" s="8">
        <f>IF(D55&gt;((Assumptions!C57+IF(D62=1,C61*C60,0))*C55/(SUM($C$51:$C$57)+C58+C59+IF(D62=1,C60,0))),1,0)</f>
        <v>0</v>
      </c>
      <c r="F55" s="8">
        <f>IF(D55&gt;((Assumptions!C57+IF(D62=1,C61*C60,0)-(SUMPRODUCT($D$51:$D$57,$E$51:$E$57)-D55*E55))*C55/((((SUM($C$51:$C$57)-SUMPRODUCT($C$51:$C$57,$E$51:$E$57))-C55*(1-E55))+C58+C59+IF(D62=1,C60,0))+C55)),1,0)</f>
        <v>0</v>
      </c>
      <c r="G55" s="8">
        <f>IF(D55&gt;((Assumptions!C57+IF(D62=1,C61*C60,0)-(SUMPRODUCT($D$51:$D$57,$F$51:$F$57)-D55*F55))*C55/((((SUM($C$51:$C$57)-SUMPRODUCT($C$51:$C$57,$F$51:$F$57))-C55*(1-F55))+C58+C59+IF(D62=1,C60,0))+C55)),1,0)</f>
        <v>0</v>
      </c>
      <c r="H55" s="8">
        <f>IF(D55&gt;((Assumptions!C57+IF(D62=1,C61*C60,0)-(SUMPRODUCT($D$51:$D$57,$G$51:$G$57)-D55*G55))*C55/((((SUM($C$51:$C$57)-SUMPRODUCT($C$51:$C$57,$G$51:$G$57))-C55*(1-G55))+C58+C59+IF(D62=1,C60,0))+C55)),1,0)</f>
        <v>0</v>
      </c>
      <c r="I55" s="14">
        <f>((Assumptions!C57+IF(D62=1,C61*C60,0)-(SUMPRODUCT($D$51:$D$57,$H$51:$H$57)-D55*H55))*C55/((((SUM($C$51:$C$57)-SUMPRODUCT($C$51:$C$57,$H$51:$H$57))-C55*(1-H55))+C58+C59+IF(D62=1,C60,0))+C55))</f>
        <v>166507025.35333726</v>
      </c>
      <c r="J55" s="14">
        <f>IF(H55=1,D55,I55)</f>
        <v>166507025.35333726</v>
      </c>
    </row>
    <row r="56" spans="2:10" x14ac:dyDescent="0.25">
      <c r="B56" s="5" t="s">
        <v>105</v>
      </c>
      <c r="C56" s="8">
        <f>Assumptions!C44</f>
        <v>5000000</v>
      </c>
      <c r="D56" s="14">
        <f>Assumptions!C26</f>
        <v>15000000</v>
      </c>
      <c r="E56" s="8">
        <f>IF(D56&gt;((Assumptions!C57+IF(D62=1,C61*C60,0))*C56/(SUM($C$51:$C$57)+C58+C59+IF(D62=1,C60,0))),1,0)</f>
        <v>0</v>
      </c>
      <c r="F56" s="8">
        <f>IF(D56&gt;((Assumptions!C57+IF(D62=1,C61*C60,0)-(SUMPRODUCT($D$51:$D$57,$E$51:$E$57)-D56*E56))*C56/((((SUM($C$51:$C$57)-SUMPRODUCT($C$51:$C$57,$E$51:$E$57))-C56*(1-E56))+C58+C59+IF(D62=1,C60,0))+C56)),1,0)</f>
        <v>0</v>
      </c>
      <c r="G56" s="8">
        <f>IF(D56&gt;((Assumptions!C57+IF(D62=1,C61*C60,0)-(SUMPRODUCT($D$51:$D$57,$F$51:$F$57)-D56*F56))*C56/((((SUM($C$51:$C$57)-SUMPRODUCT($C$51:$C$57,$F$51:$F$57))-C56*(1-F56))+C58+C59+IF(D62=1,C60,0))+C56)),1,0)</f>
        <v>0</v>
      </c>
      <c r="H56" s="8">
        <f>IF(D56&gt;((Assumptions!C57+IF(D62=1,C61*C60,0)-(SUMPRODUCT($D$51:$D$57,$G$51:$G$57)-D56*G56))*C56/((((SUM($C$51:$C$57)-SUMPRODUCT($C$51:$C$57,$G$51:$G$57))-C56*(1-G56))+C58+C59+IF(D62=1,C60,0))+C56)),1,0)</f>
        <v>0</v>
      </c>
      <c r="I56" s="14">
        <f>((Assumptions!C57+IF(D62=1,C61*C60,0)-(SUMPRODUCT($D$51:$D$57,$H$51:$H$57)-D56*H56))*C56/((((SUM($C$51:$C$57)-SUMPRODUCT($C$51:$C$57,$H$51:$H$57))-C56*(1-H56))+C58+C59+IF(D62=1,C60,0))+C56))</f>
        <v>277511708.92222875</v>
      </c>
      <c r="J56" s="14">
        <f>IF(H56=1,D56,I56)</f>
        <v>277511708.92222875</v>
      </c>
    </row>
    <row r="57" spans="2:10" x14ac:dyDescent="0.25">
      <c r="B57" s="5" t="s">
        <v>104</v>
      </c>
      <c r="C57" s="8">
        <f>Assumptions!C43</f>
        <v>5000000</v>
      </c>
      <c r="D57" s="14">
        <f>Assumptions!C25</f>
        <v>5000000</v>
      </c>
      <c r="E57" s="8">
        <f>IF(D57&gt;((Assumptions!C57+IF(D62=1,C61*C60,0))*C57/(SUM($C$51:$C$57)+C58+C59+IF(D62=1,C60,0))),1,0)</f>
        <v>0</v>
      </c>
      <c r="F57" s="8">
        <f>IF(D57&gt;((Assumptions!C57+IF(D62=1,C61*C60,0)-(SUMPRODUCT($D$51:$D$57,$E$51:$E$57)-D57*E57))*C57/((((SUM($C$51:$C$57)-SUMPRODUCT($C$51:$C$57,$E$51:$E$57))-C57*(1-E57))+C58+C59+IF(D62=1,C60,0))+C57)),1,0)</f>
        <v>0</v>
      </c>
      <c r="G57" s="8">
        <f>IF(D57&gt;((Assumptions!C57+IF(D62=1,C61*C60,0)-(SUMPRODUCT($D$51:$D$57,$F$51:$F$57)-D57*F57))*C57/((((SUM($C$51:$C$57)-SUMPRODUCT($C$51:$C$57,$F$51:$F$57))-C57*(1-F57))+C58+C59+IF(D62=1,C60,0))+C57)),1,0)</f>
        <v>0</v>
      </c>
      <c r="H57" s="8">
        <f>IF(D57&gt;((Assumptions!C57+IF(D62=1,C61*C60,0)-(SUMPRODUCT($D$51:$D$57,$G$51:$G$57)-D57*G57))*C57/((((SUM($C$51:$C$57)-SUMPRODUCT($C$51:$C$57,$G$51:$G$57))-C57*(1-G57))+C58+C59+IF(D62=1,C60,0))+C57)),1,0)</f>
        <v>0</v>
      </c>
      <c r="I57" s="14">
        <f>((Assumptions!C57+IF(D62=1,C61*C60,0)-(SUMPRODUCT($D$51:$D$57,$H$51:$H$57)-D57*H57))*C57/((((SUM($C$51:$C$57)-SUMPRODUCT($C$51:$C$57,$H$51:$H$57))-C57*(1-H57))+C58+C59+IF(D62=1,C60,0))+C57))</f>
        <v>277511708.92222875</v>
      </c>
      <c r="J57" s="14">
        <f>IF(H57=1,D57,I57)</f>
        <v>277511708.92222875</v>
      </c>
    </row>
    <row r="58" spans="2:10" x14ac:dyDescent="0.25">
      <c r="B58" s="5" t="s">
        <v>260</v>
      </c>
      <c r="C58" s="8">
        <f>H42+H46</f>
        <v>300870.378255695</v>
      </c>
      <c r="J58" s="14">
        <f>(Assumptions!C57+IF(D62=1,C61*C60,0)-SUMPRODUCT($D$51:$D$57,$H$51:$H$57))*C58/((SUM($C$51:$C$57)-SUMPRODUCT($C$51:$C$57,$H$51:$H$57))+C58+C59+IF(D62=1,C60,0))</f>
        <v>16699010.566763062</v>
      </c>
    </row>
    <row r="59" spans="2:10" x14ac:dyDescent="0.25">
      <c r="B59" s="5" t="s">
        <v>261</v>
      </c>
      <c r="C59" s="8">
        <f>Assumptions!C41+Assumptions!C42</f>
        <v>9000000</v>
      </c>
      <c r="J59" s="14">
        <f>(Assumptions!C57+IF(D62=1,C61*C60,0)-SUMPRODUCT($D$51:$D$57,$H$51:$H$57))*C59/((SUM($C$51:$C$57)-SUMPRODUCT($C$51:$C$57,$H$51:$H$57))+C58+C59+IF(D62=1,C60,0))</f>
        <v>499521076.0600118</v>
      </c>
    </row>
    <row r="60" spans="2:13" x14ac:dyDescent="0.25">
      <c r="B60" s="5" t="s">
        <v>262</v>
      </c>
      <c r="C60" s="8">
        <f>Assumptions!C49</f>
        <v>2500000</v>
      </c>
      <c r="J60" s="14">
        <f>IF(D62=1,(Assumptions!C57+IF(D62=1,C61*C60,0)-SUMPRODUCT($D$51:$D$57,$H$51:$H$57))*C60/((SUM($C$51:$C$57)-SUMPRODUCT($C$51:$C$57,$H$51:$H$57))+C58+C59+IF(D62=1,C60,0))-C61*C60,0)</f>
        <v>136255854.46111438</v>
      </c>
      <c r="M60" s="8">
        <f>Assumptions!C11/H32</f>
        <v>307656.9281411618</v>
      </c>
    </row>
    <row r="61" spans="2:13" x14ac:dyDescent="0.25">
      <c r="B61" s="12" t="s">
        <v>263</v>
      </c>
      <c r="C61" s="14">
        <f>Assumptions!C13</f>
        <v>1</v>
      </c>
      <c r="M61" s="33">
        <f>M60/H47</f>
        <v>0.008115032900846088</v>
      </c>
    </row>
    <row r="62" spans="2:13" x14ac:dyDescent="0.25">
      <c r="B62" s="12" t="s">
        <v>264</v>
      </c>
      <c r="C62" s="14">
        <f>(Assumptions!C57+C61*C60)/(SUM(C51:C57)+C58+C59+C60)</f>
        <v>55.59826888746366</v>
      </c>
      <c r="D62" s="8">
        <f>IF(C62&gt;C61,1,0)</f>
        <v>1</v>
      </c>
      <c r="M62" s="15">
        <f>J51*(Assumptions!C11/Assumptions!C7)</f>
        <v>17075679.978043426</v>
      </c>
    </row>
    <row r="63" spans="2:10" x14ac:dyDescent="0.25">
      <c r="B63" s="12" t="s">
        <v>265</v>
      </c>
      <c r="J63" s="34">
        <f>SUM(J51:J60)</f>
        <v>2000000000.0000002</v>
      </c>
    </row>
    <row r="64" spans="2:10" x14ac:dyDescent="0.25">
      <c r="B64" s="5" t="s">
        <v>197</v>
      </c>
      <c r="J64" s="22">
        <f>ROUND(J63-Assumptions!C57,2)</f>
        <v>0</v>
      </c>
    </row>
    <row r="80" spans="2:13" x14ac:dyDescent="0.25">
      <c r="B80" s="3" t="s">
        <v>266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2:8" x14ac:dyDescent="0.25">
      <c r="B81" s="13" t="s">
        <v>234</v>
      </c>
      <c r="C81" s="13">
        <v>0</v>
      </c>
      <c r="D81" s="13">
        <v>1</v>
      </c>
      <c r="E81" s="13">
        <v>2</v>
      </c>
      <c r="F81" s="13">
        <v>3</v>
      </c>
      <c r="G81" s="13">
        <v>4</v>
      </c>
      <c r="H81" s="13">
        <v>5</v>
      </c>
    </row>
    <row r="82" spans="2:8" x14ac:dyDescent="0.25">
      <c r="B82" s="5" t="s">
        <v>99</v>
      </c>
      <c r="C82" s="14">
        <f>Assumptions!D63/Assumptions!C52</f>
        <v>38.23260393990807</v>
      </c>
      <c r="D82" s="14">
        <f>Assumptions!D63/(Assumptions!C52+C88+C92+C96)</f>
        <v>38.23260393990807</v>
      </c>
      <c r="E82" s="14">
        <f>Assumptions!D63/(Assumptions!C52+D88+D92+D96)</f>
        <v>37.947202709446266</v>
      </c>
      <c r="F82" s="14">
        <f>Assumptions!D63/(Assumptions!C52+E88+E92+E96)</f>
        <v>37.94601386330975</v>
      </c>
      <c r="G82" s="14">
        <f>Assumptions!D63/(Assumptions!C52+F88+F92+F96)</f>
        <v>37.94600729589772</v>
      </c>
      <c r="H82" s="14">
        <f>Assumptions!D63/(Assumptions!C52+G88+G92+G96)</f>
        <v>37.94600726435624</v>
      </c>
    </row>
    <row r="83" spans="2:8" x14ac:dyDescent="0.25">
      <c r="B83" s="5" t="s">
        <v>235</v>
      </c>
      <c r="C83" s="8">
        <f>Assumptions!C7/C82</f>
        <v>784670.5928571428</v>
      </c>
      <c r="D83" s="8">
        <f>Assumptions!C7/D82</f>
        <v>784670.5928571428</v>
      </c>
      <c r="E83" s="8">
        <f>Assumptions!C7/E82</f>
        <v>790572.106979892</v>
      </c>
      <c r="F83" s="8">
        <f>Assumptions!C7/F82</f>
        <v>790596.8755523805</v>
      </c>
      <c r="G83" s="8">
        <f>Assumptions!C7/G82</f>
        <v>790597.0123829932</v>
      </c>
      <c r="H83" s="8">
        <f>Assumptions!C7/H82</f>
        <v>790597.0130401532</v>
      </c>
    </row>
    <row r="84" spans="2:8" x14ac:dyDescent="0.25">
      <c r="B84" s="5" t="s">
        <v>236</v>
      </c>
      <c r="C84" s="14">
        <f>Assumptions!C20*(Assumptions!C52+Assumptions!C7/Assumptions!C20)/(Assumptions!C52+Assumptions!C7/C82)</f>
        <v>57.7011635791589</v>
      </c>
      <c r="D84" s="14">
        <f>Assumptions!C20*(Assumptions!C52+Assumptions!C7/Assumptions!C20)/(Assumptions!C52+Assumptions!C7/D82)</f>
        <v>57.7011635791589</v>
      </c>
      <c r="E84" s="14">
        <f>Assumptions!C20*(Assumptions!C52+Assumptions!C7/Assumptions!C20)/(Assumptions!C52+Assumptions!C7/E82)</f>
        <v>57.69206073006328</v>
      </c>
      <c r="F84" s="14">
        <f>Assumptions!C20*(Assumptions!C52+Assumptions!C7/Assumptions!C20)/(Assumptions!C52+Assumptions!C7/F82)</f>
        <v>57.692022531584925</v>
      </c>
      <c r="G84" s="14">
        <f>Assumptions!C20*(Assumptions!C52+Assumptions!C7/Assumptions!C20)/(Assumptions!C52+Assumptions!C7/G82)</f>
        <v>57.69202232056277</v>
      </c>
      <c r="H84" s="14">
        <f>Assumptions!C20*(Assumptions!C52+Assumptions!C7/Assumptions!C20)/(Assumptions!C52+Assumptions!C7/H82)</f>
        <v>57.69202231954928</v>
      </c>
    </row>
    <row r="85" spans="2:8" x14ac:dyDescent="0.25">
      <c r="B85" s="5" t="s">
        <v>237</v>
      </c>
      <c r="C85" s="8">
        <f>MAX(0,IF(C82&lt;Assumptions!C20,Assumptions!C29/C84-Assumptions!C47,0))</f>
        <v>12440.3039688757</v>
      </c>
      <c r="D85" s="8">
        <f>MAX(0,IF(D82&lt;Assumptions!C20,Assumptions!C29/D84-Assumptions!C47,0))</f>
        <v>12440.3039688757</v>
      </c>
      <c r="E85" s="8">
        <f>MAX(0,IF(E82&lt;Assumptions!C20,Assumptions!C29/E84-Assumptions!C47,0))</f>
        <v>12713.7532085276</v>
      </c>
      <c r="F85" s="8">
        <f>MAX(0,IF(F82&lt;Assumptions!C20,Assumptions!C29/F84-Assumptions!C47,0))</f>
        <v>12714.9008711737</v>
      </c>
      <c r="G85" s="8">
        <f>MAX(0,IF(G82&lt;Assumptions!C20,Assumptions!C29/G84-Assumptions!C47,0))</f>
        <v>12714.90721128</v>
      </c>
      <c r="H85" s="8">
        <f>MAX(0,IF(H82&lt;Assumptions!C20,Assumptions!C29/H84-Assumptions!C47,0))</f>
        <v>12714.90724173</v>
      </c>
    </row>
    <row r="86" spans="2:8" x14ac:dyDescent="0.25">
      <c r="B86" s="5" t="s">
        <v>238</v>
      </c>
      <c r="C86" s="14">
        <f>Assumptions!C22*(Assumptions!C52+Assumptions!C7/Assumptions!C22)/(Assumptions!C52+Assumptions!C7/C82)</f>
        <v>48.92910036237569</v>
      </c>
      <c r="D86" s="14">
        <f>Assumptions!C22*(Assumptions!C52+Assumptions!C7/Assumptions!C22)/(Assumptions!C52+Assumptions!C7/D82)</f>
        <v>48.92910036237569</v>
      </c>
      <c r="E86" s="14">
        <f>Assumptions!C22*(Assumptions!C52+Assumptions!C7/Assumptions!C22)/(Assumptions!C52+Assumptions!C7/E82)</f>
        <v>48.92138138082739</v>
      </c>
      <c r="F86" s="14">
        <f>Assumptions!C22*(Assumptions!C52+Assumptions!C7/Assumptions!C22)/(Assumptions!C52+Assumptions!C7/F82)</f>
        <v>48.921348989501716</v>
      </c>
      <c r="G86" s="14">
        <f>Assumptions!C22*(Assumptions!C52+Assumptions!C7/Assumptions!C22)/(Assumptions!C52+Assumptions!C7/G82)</f>
        <v>48.92134881056037</v>
      </c>
      <c r="H86" s="14">
        <f>Assumptions!C22*(Assumptions!C52+Assumptions!C7/Assumptions!C22)/(Assumptions!C52+Assumptions!C7/H82)</f>
        <v>48.92134880970095</v>
      </c>
    </row>
    <row r="87" spans="2:8" x14ac:dyDescent="0.25">
      <c r="B87" s="5" t="s">
        <v>239</v>
      </c>
      <c r="C87" s="8">
        <f>MAX(0,IF(C82&lt;Assumptions!C22,Assumptions!C30/C86-Assumptions!C48,0))</f>
        <v>28653.579740042</v>
      </c>
      <c r="D87" s="8">
        <f>MAX(0,IF(D82&lt;Assumptions!C22,Assumptions!C30/D86-Assumptions!C48,0))</f>
        <v>28653.579740042</v>
      </c>
      <c r="E87" s="8">
        <f>MAX(0,IF(E82&lt;Assumptions!C22,Assumptions!C30/E86-Assumptions!C48,0))</f>
        <v>29621.000305158</v>
      </c>
      <c r="F87" s="8">
        <f>MAX(0,IF(F82&lt;Assumptions!C22,Assumptions!C30/F86-Assumptions!C48,0))</f>
        <v>29625.060555782</v>
      </c>
      <c r="G87" s="8">
        <f>MAX(0,IF(G82&lt;Assumptions!C22,Assumptions!C30/G86-Assumptions!C48,0))</f>
        <v>29625.082986083</v>
      </c>
      <c r="H87" s="8">
        <f>MAX(0,IF(H82&lt;Assumptions!C22,Assumptions!C30/H86-Assumptions!C48,0))</f>
        <v>29625.083093812</v>
      </c>
    </row>
    <row r="88" spans="2:8" x14ac:dyDescent="0.25">
      <c r="B88" s="5" t="s">
        <v>240</v>
      </c>
      <c r="C88" s="8">
        <f>MAX(0,(Assumptions!C62*(Assumptions!C52+C85+C87+C83+C92+C96)-Assumptions!C51)/(1-Assumptions!C62))</f>
        <v>0</v>
      </c>
      <c r="D88" s="8">
        <f>MAX(0,(Assumptions!C62*(Assumptions!C52+D85+D87+D83+D92+D96)-Assumptions!C51)/(1-Assumptions!C62))</f>
        <v>0</v>
      </c>
      <c r="E88" s="8">
        <f>MAX(0,(Assumptions!C62*(Assumptions!C52+E85+E87+E83+E92+E96)-Assumptions!C51)/(1-Assumptions!C62))</f>
        <v>0</v>
      </c>
      <c r="F88" s="8">
        <f>MAX(0,(Assumptions!C62*(Assumptions!C52+F85+F87+F83+F92+F96)-Assumptions!C51)/(1-Assumptions!C62))</f>
        <v>0</v>
      </c>
      <c r="G88" s="8">
        <f>MAX(0,(Assumptions!C62*(Assumptions!C52+G85+G87+G83+G92+G96)-Assumptions!C51)/(1-Assumptions!C62))</f>
        <v>0</v>
      </c>
      <c r="H88" s="8">
        <f>MAX(0,(Assumptions!C62*(Assumptions!C52+H85+H87+H83+H92+H96)-Assumptions!C51)/(1-Assumptions!C62))</f>
        <v>0</v>
      </c>
    </row>
    <row r="89" spans="2:8" x14ac:dyDescent="0.25">
      <c r="B89" s="5" t="s">
        <v>241</v>
      </c>
      <c r="C89" s="14">
        <f>Assumptions!C34/(Assumptions!C52+C88+C96)</f>
        <v>27.309002814220047</v>
      </c>
      <c r="D89" s="14">
        <f>Assumptions!C34/(Assumptions!C52+C88+C96)</f>
        <v>27.309002814220047</v>
      </c>
      <c r="E89" s="14">
        <f>Assumptions!C34/(Assumptions!C52+D88+D96)</f>
        <v>27.240329714100472</v>
      </c>
      <c r="F89" s="14">
        <f>Assumptions!C34/(Assumptions!C52+E88+E96)</f>
        <v>27.239814531684708</v>
      </c>
      <c r="G89" s="14">
        <f>Assumptions!C34/(Assumptions!C52+F88+F96)</f>
        <v>27.239812369512364</v>
      </c>
      <c r="H89" s="14">
        <f>Assumptions!C34/(Assumptions!C52+G88+G96)</f>
        <v>27.239812357567732</v>
      </c>
    </row>
    <row r="90" spans="2:8" x14ac:dyDescent="0.25">
      <c r="B90" s="5" t="s">
        <v>242</v>
      </c>
      <c r="C90" s="14">
        <f>C82*(1-Assumptions!C35)</f>
        <v>30.586083151926456</v>
      </c>
      <c r="D90" s="14">
        <f>D82*(1-Assumptions!C35)</f>
        <v>30.586083151926456</v>
      </c>
      <c r="E90" s="14">
        <f>E82*(1-Assumptions!C35)</f>
        <v>30.357762167557013</v>
      </c>
      <c r="F90" s="14">
        <f>F82*(1-Assumptions!C35)</f>
        <v>30.3568110906478</v>
      </c>
      <c r="G90" s="14">
        <f>G82*(1-Assumptions!C35)</f>
        <v>30.356805836718177</v>
      </c>
      <c r="H90" s="14">
        <f>H82*(1-Assumptions!C35)</f>
        <v>30.356805811484993</v>
      </c>
    </row>
    <row r="91" spans="2:8" x14ac:dyDescent="0.25">
      <c r="B91" s="5" t="s">
        <v>243</v>
      </c>
      <c r="C91" s="14">
        <f>MIN(C89,C90)</f>
        <v>27.309002814220047</v>
      </c>
      <c r="D91" s="14">
        <f>MIN(D89,D90)</f>
        <v>27.309002814220047</v>
      </c>
      <c r="E91" s="14">
        <f>MIN(E89,E90)</f>
        <v>27.240329714100472</v>
      </c>
      <c r="F91" s="14">
        <f>MIN(F89,F90)</f>
        <v>27.239814531684708</v>
      </c>
      <c r="G91" s="14">
        <f>MIN(G89,G90)</f>
        <v>27.239812369512364</v>
      </c>
      <c r="H91" s="14">
        <f>MIN(H89,H90)</f>
        <v>27.239812357567732</v>
      </c>
    </row>
    <row r="92" spans="2:8" x14ac:dyDescent="0.25">
      <c r="B92" s="5" t="s">
        <v>244</v>
      </c>
      <c r="C92" s="8">
        <v>0</v>
      </c>
      <c r="D92" s="8">
        <f>Assumptions!C33/D91</f>
        <v>183089.80500000002</v>
      </c>
      <c r="E92" s="8">
        <f>Assumptions!C33/E91</f>
        <v>183551.37593697477</v>
      </c>
      <c r="F92" s="8">
        <f>Assumptions!C33/F91</f>
        <v>183554.84741587055</v>
      </c>
      <c r="G92" s="8">
        <f>Assumptions!C33/G91</f>
        <v>183554.86198561903</v>
      </c>
      <c r="H92" s="8">
        <f>Assumptions!C33/H91</f>
        <v>183554.86206610766</v>
      </c>
    </row>
    <row r="93" spans="2:8" x14ac:dyDescent="0.25">
      <c r="B93" s="5" t="s">
        <v>245</v>
      </c>
      <c r="C93" s="14">
        <f>Assumptions!C37/(Assumptions!C52+C88+C92)</f>
        <v>43.69440450275208</v>
      </c>
      <c r="D93" s="14">
        <f>Assumptions!C37/(Assumptions!C52+C88+C92)</f>
        <v>43.69440450275208</v>
      </c>
      <c r="E93" s="14">
        <f>Assumptions!C37/(Assumptions!C52+D88+D92)</f>
        <v>43.47701940572346</v>
      </c>
      <c r="F93" s="14">
        <f>Assumptions!C37/(Assumptions!C52+E88+E92)</f>
        <v>43.47647410942207</v>
      </c>
      <c r="G93" s="14">
        <f>Assumptions!C37/(Assumptions!C52+F88+F92)</f>
        <v>43.476470008295834</v>
      </c>
      <c r="H93" s="14">
        <f>Assumptions!C37/(Assumptions!C52+G88+G92)</f>
        <v>43.47646999108347</v>
      </c>
    </row>
    <row r="94" spans="2:8" x14ac:dyDescent="0.25">
      <c r="B94" s="5" t="s">
        <v>246</v>
      </c>
      <c r="C94" s="14">
        <f>C82*(1-Assumptions!C38)</f>
        <v>32.49771334892186</v>
      </c>
      <c r="D94" s="14">
        <f>D82*(1-Assumptions!C38)</f>
        <v>32.49771334892186</v>
      </c>
      <c r="E94" s="14">
        <f>E82*(1-Assumptions!C38)</f>
        <v>32.255122303029324</v>
      </c>
      <c r="F94" s="14">
        <f>F82*(1-Assumptions!C38)</f>
        <v>32.254111783813286</v>
      </c>
      <c r="G94" s="14">
        <f>G82*(1-Assumptions!C38)</f>
        <v>32.25410620151306</v>
      </c>
      <c r="H94" s="14">
        <f>H82*(1-Assumptions!C38)</f>
        <v>32.254106174702805</v>
      </c>
    </row>
    <row r="95" spans="2:8" x14ac:dyDescent="0.25">
      <c r="B95" s="5" t="s">
        <v>247</v>
      </c>
      <c r="C95" s="14">
        <f>MIN(C93,C94)</f>
        <v>32.49771334892186</v>
      </c>
      <c r="D95" s="14">
        <f>MIN(D93,D94)</f>
        <v>32.49771334892186</v>
      </c>
      <c r="E95" s="14">
        <f>MIN(E93,E94)</f>
        <v>32.255122303029324</v>
      </c>
      <c r="F95" s="14">
        <f>MIN(F93,F94)</f>
        <v>32.254111783813286</v>
      </c>
      <c r="G95" s="14">
        <f>MIN(G93,G94)</f>
        <v>32.25410620151306</v>
      </c>
      <c r="H95" s="14">
        <f>MIN(H93,H94)</f>
        <v>32.254106174702805</v>
      </c>
    </row>
    <row r="96" spans="2:8" x14ac:dyDescent="0.25">
      <c r="B96" s="5" t="s">
        <v>248</v>
      </c>
      <c r="C96" s="8">
        <v>0</v>
      </c>
      <c r="D96" s="8">
        <f>Assumptions!C36/D95</f>
        <v>92314.18739495797</v>
      </c>
      <c r="E96" s="8">
        <f>Assumptions!C36/E95</f>
        <v>93008.48317410494</v>
      </c>
      <c r="F96" s="8">
        <f>Assumptions!C36/F95</f>
        <v>93011.39712380947</v>
      </c>
      <c r="G96" s="8">
        <f>Assumptions!C36/G95</f>
        <v>93011.41322152862</v>
      </c>
      <c r="H96" s="8">
        <f>Assumptions!C36/H95</f>
        <v>93011.41329884155</v>
      </c>
    </row>
    <row r="97" spans="2:8" x14ac:dyDescent="0.25">
      <c r="B97" s="5" t="s">
        <v>249</v>
      </c>
      <c r="H97" s="8">
        <f>Assumptions!C52+H88+H85+H87+H92+H96+H83</f>
        <v>37727464.27874063</v>
      </c>
    </row>
    <row r="99" spans="2:13" x14ac:dyDescent="0.25">
      <c r="B99" s="23" t="s">
        <v>250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spans="2:10" x14ac:dyDescent="0.25">
      <c r="B100" s="13" t="s">
        <v>97</v>
      </c>
      <c r="C100" s="13" t="s">
        <v>251</v>
      </c>
      <c r="D100" s="13" t="s">
        <v>252</v>
      </c>
      <c r="E100" s="13" t="s">
        <v>253</v>
      </c>
      <c r="F100" s="13" t="s">
        <v>254</v>
      </c>
      <c r="G100" s="13" t="s">
        <v>255</v>
      </c>
      <c r="H100" s="13" t="s">
        <v>256</v>
      </c>
      <c r="I100" s="13" t="s">
        <v>257</v>
      </c>
      <c r="J100" s="13" t="s">
        <v>258</v>
      </c>
    </row>
    <row r="101" spans="2:10" x14ac:dyDescent="0.25">
      <c r="B101" s="5" t="s">
        <v>259</v>
      </c>
      <c r="C101" s="8">
        <f>H83</f>
        <v>790597.0130401532</v>
      </c>
      <c r="D101" s="14">
        <f>Assumptions!C7</f>
        <v>30000000</v>
      </c>
      <c r="E101" s="8">
        <f>IF(D101&gt;((Assumptions!C57+IF(D112=1,C111*C110,0))*C101/(SUM($C$101:$C$107)+C108+C109+IF(D112=1,C110,0))),1,0)</f>
        <v>0</v>
      </c>
      <c r="F101" s="8">
        <f>IF(D101&gt;((Assumptions!C57+IF(D112=1,C111*C110,0)-(SUMPRODUCT($D$101:$D$107,$E$101:$E$107)-D101*E101))*C101/((((SUM($C$101:$C$107)-SUMPRODUCT($C$101:$C$107,$E$101:$E$107))-C101*(1-E101))+C108+C109+IF(D112=1,C110,0))+C101)),1,0)</f>
        <v>0</v>
      </c>
      <c r="G101" s="8">
        <f>IF(D101&gt;((Assumptions!C57+IF(D112=1,C111*C110,0)-(SUMPRODUCT($D$101:$D$107,$F$101:$F$107)-D101*F101))*C101/((((SUM($C$101:$C$107)-SUMPRODUCT($C$101:$C$107,$F$101:$F$107))-C101*(1-F101))+C108+C109+IF(D112=1,C110,0))+C101)),1,0)</f>
        <v>0</v>
      </c>
      <c r="H101" s="8">
        <f>IF(D101&gt;((Assumptions!C57+IF(D112=1,C111*C110,0)-(SUMPRODUCT($D$101:$D$107,$G$101:$G$107)-D101*G101))*C101/((((SUM($C$101:$C$107)-SUMPRODUCT($C$101:$C$107,$G$101:$G$107))-C101*(1-G101))+C108+C109+IF(D112=1,C110,0))+C101)),1,0)</f>
        <v>0</v>
      </c>
      <c r="I101" s="14">
        <f>((Assumptions!C57+IF(D112=1,C111*C110,0)-(SUMPRODUCT($D$101:$D$107,$H$101:$H$107)-D101*H101))*C101/((((SUM($C$101:$C$107)-SUMPRODUCT($C$101:$C$107,$H$101:$H$107))-C101*(1-H101))+C108+C109+IF(D112=1,C110,0))+C101))</f>
        <v>44109526.11771216</v>
      </c>
      <c r="J101" s="14">
        <f>IF(H101=1,D101,I101)</f>
        <v>44109526.11771216</v>
      </c>
    </row>
    <row r="102" spans="2:10" x14ac:dyDescent="0.25">
      <c r="B102" s="5" t="s">
        <v>109</v>
      </c>
      <c r="C102" s="8">
        <f>Assumptions!C48+H87</f>
        <v>6132292.083093812</v>
      </c>
      <c r="D102" s="14">
        <f>Assumptions!C30</f>
        <v>300000000</v>
      </c>
      <c r="E102" s="8">
        <f>IF(D102&gt;((Assumptions!C57+IF(D112=1,C111*C110,0))*C102/(SUM($C$101:$C$107)+C108+C109+IF(D112=1,C110,0))),1,0)</f>
        <v>0</v>
      </c>
      <c r="F102" s="8">
        <f>IF(D102&gt;((Assumptions!C57+IF(D112=1,C111*C110,0)-(SUMPRODUCT($D$101:$D$107,$E$101:$E$107)-D102*E102))*C102/((((SUM($C$101:$C$107)-SUMPRODUCT($C$101:$C$107,$E$101:$E$107))-C102*(1-E102))+C108+C109+IF(D112=1,C110,0))+C102)),1,0)</f>
        <v>0</v>
      </c>
      <c r="G102" s="8">
        <f>IF(D102&gt;((Assumptions!C57+IF(D112=1,C111*C110,0)-(SUMPRODUCT($D$101:$D$107,$F$101:$F$107)-D102*F102))*C102/((((SUM($C$101:$C$107)-SUMPRODUCT($C$101:$C$107,$F$101:$F$107))-C102*(1-F102))+C108+C109+IF(D112=1,C110,0))+C102)),1,0)</f>
        <v>0</v>
      </c>
      <c r="H102" s="8">
        <f>IF(D102&gt;((Assumptions!C57+IF(D112=1,C111*C110,0)-(SUMPRODUCT($D$101:$D$107,$G$101:$G$107)-D102*G102))*C102/((((SUM($C$101:$C$107)-SUMPRODUCT($C$101:$C$107,$G$101:$G$107))-C102*(1-G102))+C108+C109+IF(D112=1,C110,0))+C102)),1,0)</f>
        <v>0</v>
      </c>
      <c r="I102" s="14">
        <f>((Assumptions!C57+IF(D112=1,C111*C110,0)-(SUMPRODUCT($D$101:$D$107,$H$101:$H$107)-D102*H102))*C102/((((SUM($C$101:$C$107)-SUMPRODUCT($C$101:$C$107,$H$101:$H$107))-C102*(1-H102))+C108+C109+IF(D112=1,C110,0))+C102))</f>
        <v>342137009.5499313</v>
      </c>
      <c r="J102" s="14">
        <f>IF(H102=1,D102,I102)</f>
        <v>342137009.5499313</v>
      </c>
    </row>
    <row r="103" spans="2:10" x14ac:dyDescent="0.25">
      <c r="B103" s="5" t="s">
        <v>108</v>
      </c>
      <c r="C103" s="8">
        <f>Assumptions!C47+H85</f>
        <v>1733341.90724173</v>
      </c>
      <c r="D103" s="14">
        <f>Assumptions!C29</f>
        <v>100000000</v>
      </c>
      <c r="E103" s="8">
        <f>IF(D103&gt;((Assumptions!C57+IF(D112=1,C111*C110,0))*C103/(SUM($C$101:$C$107)+C108+C109+IF(D112=1,C110,0))),1,0)</f>
        <v>1</v>
      </c>
      <c r="F103" s="8">
        <f>IF(D103&gt;((Assumptions!C57+IF(D112=1,C111*C110,0)-(SUMPRODUCT($D$101:$D$107,$E$101:$E$107)-D103*E103))*C103/((((SUM($C$101:$C$107)-SUMPRODUCT($C$101:$C$107,$E$101:$E$107))-C103*(1-E103))+C108+C109+IF(D112=1,C110,0))+C103)),1,0)</f>
        <v>1</v>
      </c>
      <c r="G103" s="8">
        <f>IF(D103&gt;((Assumptions!C57+IF(D112=1,C111*C110,0)-(SUMPRODUCT($D$101:$D$107,$F$101:$F$107)-D103*F103))*C103/((((SUM($C$101:$C$107)-SUMPRODUCT($C$101:$C$107,$F$101:$F$107))-C103*(1-F103))+C108+C109+IF(D112=1,C110,0))+C103)),1,0)</f>
        <v>1</v>
      </c>
      <c r="H103" s="8">
        <f>IF(D103&gt;((Assumptions!C57+IF(D112=1,C111*C110,0)-(SUMPRODUCT($D$101:$D$107,$G$101:$G$107)-D103*G103))*C103/((((SUM($C$101:$C$107)-SUMPRODUCT($C$101:$C$107,$G$101:$G$107))-C103*(1-G103))+C108+C109+IF(D112=1,C110,0))+C103)),1,0)</f>
        <v>1</v>
      </c>
      <c r="I103" s="14">
        <f>((Assumptions!C57+IF(D112=1,C111*C110,0)-(SUMPRODUCT($D$101:$D$107,$H$101:$H$107)-D103*H103))*C103/((((SUM($C$101:$C$107)-SUMPRODUCT($C$101:$C$107,$H$101:$H$107))-C103*(1-H103))+C108+C109+IF(D112=1,C110,0))+C103))</f>
        <v>96867044.51932074</v>
      </c>
      <c r="J103" s="14">
        <f>IF(H103=1,D103,I103)</f>
        <v>100000000</v>
      </c>
    </row>
    <row r="104" spans="2:10" x14ac:dyDescent="0.25">
      <c r="B104" s="5" t="s">
        <v>107</v>
      </c>
      <c r="C104" s="8">
        <f>Assumptions!C46</f>
        <v>2400000</v>
      </c>
      <c r="D104" s="14">
        <f>Assumptions!C28</f>
        <v>60000000</v>
      </c>
      <c r="E104" s="8">
        <f>IF(D104&gt;((Assumptions!C57+IF(D112=1,C111*C110,0))*C104/(SUM($C$101:$C$107)+C108+C109+IF(D112=1,C110,0))),1,0)</f>
        <v>0</v>
      </c>
      <c r="F104" s="8">
        <f>IF(D104&gt;((Assumptions!C57+IF(D112=1,C111*C110,0)-(SUMPRODUCT($D$101:$D$107,$E$101:$E$107)-D104*E104))*C104/((((SUM($C$101:$C$107)-SUMPRODUCT($C$101:$C$107,$E$101:$E$107))-C104*(1-E104))+C108+C109+IF(D112=1,C110,0))+C104)),1,0)</f>
        <v>0</v>
      </c>
      <c r="G104" s="8">
        <f>IF(D104&gt;((Assumptions!C57+IF(D112=1,C111*C110,0)-(SUMPRODUCT($D$101:$D$107,$F$101:$F$107)-D104*F104))*C104/((((SUM($C$101:$C$107)-SUMPRODUCT($C$101:$C$107,$F$101:$F$107))-C104*(1-F104))+C108+C109+IF(D112=1,C110,0))+C104)),1,0)</f>
        <v>0</v>
      </c>
      <c r="H104" s="8">
        <f>IF(D104&gt;((Assumptions!C57+IF(D112=1,C111*C110,0)-(SUMPRODUCT($D$101:$D$107,$G$101:$G$107)-D104*G104))*C104/((((SUM($C$101:$C$107)-SUMPRODUCT($C$101:$C$107,$G$101:$G$107))-C104*(1-G104))+C108+C109+IF(D112=1,C110,0))+C104)),1,0)</f>
        <v>0</v>
      </c>
      <c r="I104" s="14">
        <f>((Assumptions!C57+IF(D112=1,C111*C110,0)-(SUMPRODUCT($D$101:$D$107,$H$101:$H$107)-D104*H104))*C104/((((SUM($C$101:$C$107)-SUMPRODUCT($C$101:$C$107,$H$101:$H$107))-C104*(1-H104))+C108+C109+IF(D112=1,C110,0))+C104))</f>
        <v>133902431.87920137</v>
      </c>
      <c r="J104" s="14">
        <f>IF(H104=1,D104,I104)</f>
        <v>133902431.87920137</v>
      </c>
    </row>
    <row r="105" spans="2:10" x14ac:dyDescent="0.25">
      <c r="B105" s="5" t="s">
        <v>106</v>
      </c>
      <c r="C105" s="8">
        <f>Assumptions!C45</f>
        <v>3000000</v>
      </c>
      <c r="D105" s="14">
        <f>Assumptions!C27</f>
        <v>30000000</v>
      </c>
      <c r="E105" s="8">
        <f>IF(D105&gt;((Assumptions!C57+IF(D112=1,C111*C110,0))*C105/(SUM($C$101:$C$107)+C108+C109+IF(D112=1,C110,0))),1,0)</f>
        <v>0</v>
      </c>
      <c r="F105" s="8">
        <f>IF(D105&gt;((Assumptions!C57+IF(D112=1,C111*C110,0)-(SUMPRODUCT($D$101:$D$107,$E$101:$E$107)-D105*E105))*C105/((((SUM($C$101:$C$107)-SUMPRODUCT($C$101:$C$107,$E$101:$E$107))-C105*(1-E105))+C108+C109+IF(D112=1,C110,0))+C105)),1,0)</f>
        <v>0</v>
      </c>
      <c r="G105" s="8">
        <f>IF(D105&gt;((Assumptions!C57+IF(D112=1,C111*C110,0)-(SUMPRODUCT($D$101:$D$107,$F$101:$F$107)-D105*F105))*C105/((((SUM($C$101:$C$107)-SUMPRODUCT($C$101:$C$107,$F$101:$F$107))-C105*(1-F105))+C108+C109+IF(D112=1,C110,0))+C105)),1,0)</f>
        <v>0</v>
      </c>
      <c r="H105" s="8">
        <f>IF(D105&gt;((Assumptions!C57+IF(D112=1,C111*C110,0)-(SUMPRODUCT($D$101:$D$107,$G$101:$G$107)-D105*G105))*C105/((((SUM($C$101:$C$107)-SUMPRODUCT($C$101:$C$107,$G$101:$G$107))-C105*(1-G105))+C108+C109+IF(D112=1,C110,0))+C105)),1,0)</f>
        <v>0</v>
      </c>
      <c r="I105" s="14">
        <f>((Assumptions!C57+IF(D112=1,C111*C110,0)-(SUMPRODUCT($D$101:$D$107,$H$101:$H$107)-D105*H105))*C105/((((SUM($C$101:$C$107)-SUMPRODUCT($C$101:$C$107,$H$101:$H$107))-C105*(1-H105))+C108+C109+IF(D112=1,C110,0))+C105))</f>
        <v>167378039.8490017</v>
      </c>
      <c r="J105" s="14">
        <f>IF(H105=1,D105,I105)</f>
        <v>167378039.8490017</v>
      </c>
    </row>
    <row r="106" spans="2:10" x14ac:dyDescent="0.25">
      <c r="B106" s="5" t="s">
        <v>105</v>
      </c>
      <c r="C106" s="8">
        <f>Assumptions!C44</f>
        <v>5000000</v>
      </c>
      <c r="D106" s="14">
        <f>Assumptions!C26</f>
        <v>15000000</v>
      </c>
      <c r="E106" s="8">
        <f>IF(D106&gt;((Assumptions!C57+IF(D112=1,C111*C110,0))*C106/(SUM($C$101:$C$107)+C108+C109+IF(D112=1,C110,0))),1,0)</f>
        <v>0</v>
      </c>
      <c r="F106" s="8">
        <f>IF(D106&gt;((Assumptions!C57+IF(D112=1,C111*C110,0)-(SUMPRODUCT($D$101:$D$107,$E$101:$E$107)-D106*E106))*C106/((((SUM($C$101:$C$107)-SUMPRODUCT($C$101:$C$107,$E$101:$E$107))-C106*(1-E106))+C108+C109+IF(D112=1,C110,0))+C106)),1,0)</f>
        <v>0</v>
      </c>
      <c r="G106" s="8">
        <f>IF(D106&gt;((Assumptions!C57+IF(D112=1,C111*C110,0)-(SUMPRODUCT($D$101:$D$107,$F$101:$F$107)-D106*F106))*C106/((((SUM($C$101:$C$107)-SUMPRODUCT($C$101:$C$107,$F$101:$F$107))-C106*(1-F106))+C108+C109+IF(D112=1,C110,0))+C106)),1,0)</f>
        <v>0</v>
      </c>
      <c r="H106" s="8">
        <f>IF(D106&gt;((Assumptions!C57+IF(D112=1,C111*C110,0)-(SUMPRODUCT($D$101:$D$107,$G$101:$G$107)-D106*G106))*C106/((((SUM($C$101:$C$107)-SUMPRODUCT($C$101:$C$107,$G$101:$G$107))-C106*(1-G106))+C108+C109+IF(D112=1,C110,0))+C106)),1,0)</f>
        <v>0</v>
      </c>
      <c r="I106" s="14">
        <f>((Assumptions!C57+IF(D112=1,C111*C110,0)-(SUMPRODUCT($D$101:$D$107,$H$101:$H$107)-D106*H106))*C106/((((SUM($C$101:$C$107)-SUMPRODUCT($C$101:$C$107,$H$101:$H$107))-C106*(1-H106))+C108+C109+IF(D112=1,C110,0))+C106))</f>
        <v>278963399.7483362</v>
      </c>
      <c r="J106" s="14">
        <f>IF(H106=1,D106,I106)</f>
        <v>278963399.7483362</v>
      </c>
    </row>
    <row r="107" spans="2:10" x14ac:dyDescent="0.25">
      <c r="B107" s="5" t="s">
        <v>104</v>
      </c>
      <c r="C107" s="8">
        <f>Assumptions!C43</f>
        <v>5000000</v>
      </c>
      <c r="D107" s="14">
        <f>Assumptions!C25</f>
        <v>5000000</v>
      </c>
      <c r="E107" s="8">
        <f>IF(D107&gt;((Assumptions!C57+IF(D112=1,C111*C110,0))*C107/(SUM($C$101:$C$107)+C108+C109+IF(D112=1,C110,0))),1,0)</f>
        <v>0</v>
      </c>
      <c r="F107" s="8">
        <f>IF(D107&gt;((Assumptions!C57+IF(D112=1,C111*C110,0)-(SUMPRODUCT($D$101:$D$107,$E$101:$E$107)-D107*E107))*C107/((((SUM($C$101:$C$107)-SUMPRODUCT($C$101:$C$107,$E$101:$E$107))-C107*(1-E107))+C108+C109+IF(D112=1,C110,0))+C107)),1,0)</f>
        <v>0</v>
      </c>
      <c r="G107" s="8">
        <f>IF(D107&gt;((Assumptions!C57+IF(D112=1,C111*C110,0)-(SUMPRODUCT($D$101:$D$107,$F$101:$F$107)-D107*F107))*C107/((((SUM($C$101:$C$107)-SUMPRODUCT($C$101:$C$107,$F$101:$F$107))-C107*(1-F107))+C108+C109+IF(D112=1,C110,0))+C107)),1,0)</f>
        <v>0</v>
      </c>
      <c r="H107" s="8">
        <f>IF(D107&gt;((Assumptions!C57+IF(D112=1,C111*C110,0)-(SUMPRODUCT($D$101:$D$107,$G$101:$G$107)-D107*G107))*C107/((((SUM($C$101:$C$107)-SUMPRODUCT($C$101:$C$107,$G$101:$G$107))-C107*(1-G107))+C108+C109+IF(D112=1,C110,0))+C107)),1,0)</f>
        <v>0</v>
      </c>
      <c r="I107" s="14">
        <f>((Assumptions!C57+IF(D112=1,C111*C110,0)-(SUMPRODUCT($D$101:$D$107,$H$101:$H$107)-D107*H107))*C107/((((SUM($C$101:$C$107)-SUMPRODUCT($C$101:$C$107,$H$101:$H$107))-C107*(1-H107))+C108+C109+IF(D112=1,C110,0))+C107))</f>
        <v>278963399.7483362</v>
      </c>
      <c r="J107" s="14">
        <f>IF(H107=1,D107,I107)</f>
        <v>278963399.7483362</v>
      </c>
    </row>
    <row r="108" spans="2:10" x14ac:dyDescent="0.25">
      <c r="B108" s="5" t="s">
        <v>260</v>
      </c>
      <c r="C108" s="8">
        <f>H92+H96</f>
        <v>276566.2753649492</v>
      </c>
      <c r="J108" s="14">
        <f>(Assumptions!C57+IF(D112=1,C111*C110,0)-SUMPRODUCT($D$101:$D$107,$H$101:$H$107))*C108/((SUM($C$101:$C$107)-SUMPRODUCT($C$101:$C$107,$H$101:$H$107))+C108+C109+IF(D112=1,C110,0))</f>
        <v>15430373.686308151</v>
      </c>
    </row>
    <row r="109" spans="2:10" x14ac:dyDescent="0.25">
      <c r="B109" s="5" t="s">
        <v>261</v>
      </c>
      <c r="C109" s="8">
        <f>Assumptions!C41+Assumptions!C42</f>
        <v>9000000</v>
      </c>
      <c r="J109" s="14">
        <f>(Assumptions!C57+IF(D112=1,C111*C110,0)-SUMPRODUCT($D$101:$D$107,$H$101:$H$107))*C109/((SUM($C$101:$C$107)-SUMPRODUCT($C$101:$C$107,$H$101:$H$107))+C108+C109+IF(D112=1,C110,0))</f>
        <v>502134119.5470051</v>
      </c>
    </row>
    <row r="110" spans="2:13" x14ac:dyDescent="0.25">
      <c r="B110" s="5" t="s">
        <v>262</v>
      </c>
      <c r="C110" s="8">
        <f>Assumptions!C49</f>
        <v>2500000</v>
      </c>
      <c r="J110" s="14">
        <f>IF(D112=1,(Assumptions!C57+IF(D112=1,C111*C110,0)-SUMPRODUCT($D$101:$D$107,$H$101:$H$107))*C110/((SUM($C$101:$C$107)-SUMPRODUCT($C$101:$C$107,$H$101:$H$107))+C108+C109+IF(D112=1,C110,0))-C111*C110,0)</f>
        <v>136981699.8741681</v>
      </c>
      <c r="M110" s="8">
        <f>Assumptions!C11/H82</f>
        <v>263532.3376800511</v>
      </c>
    </row>
    <row r="111" spans="2:13" x14ac:dyDescent="0.25">
      <c r="B111" s="12" t="s">
        <v>263</v>
      </c>
      <c r="C111" s="14">
        <f>Assumptions!C13</f>
        <v>1</v>
      </c>
      <c r="M111" s="33">
        <f>M110/H97</f>
        <v>0.0069851590272010725</v>
      </c>
    </row>
    <row r="112" spans="2:13" x14ac:dyDescent="0.25">
      <c r="B112" s="12" t="s">
        <v>264</v>
      </c>
      <c r="C112" s="14">
        <f>(Assumptions!C57+C111*C110)/(SUM(C101:C107)+C108+C109+C110)</f>
        <v>55.884556944374246</v>
      </c>
      <c r="D112" s="8">
        <f>IF(C112&gt;C111,1,0)</f>
        <v>1</v>
      </c>
      <c r="M112" s="15">
        <f>J101*(Assumptions!C11/Assumptions!C7)</f>
        <v>14703175.372570718</v>
      </c>
    </row>
    <row r="113" spans="2:10" x14ac:dyDescent="0.25">
      <c r="B113" s="12" t="s">
        <v>265</v>
      </c>
      <c r="J113" s="34">
        <f>SUM(J101:J110)</f>
        <v>2000000000</v>
      </c>
    </row>
    <row r="114" spans="2:10" x14ac:dyDescent="0.25">
      <c r="B114" s="5" t="s">
        <v>197</v>
      </c>
      <c r="J114" s="22">
        <f>ROUND(J113-Assumptions!C57,2)</f>
        <v>0</v>
      </c>
    </row>
    <row r="130" spans="2:13" x14ac:dyDescent="0.25">
      <c r="B130" s="3" t="s">
        <v>267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2:8" x14ac:dyDescent="0.25">
      <c r="B131" s="13" t="s">
        <v>234</v>
      </c>
      <c r="C131" s="13">
        <v>0</v>
      </c>
      <c r="D131" s="13">
        <v>1</v>
      </c>
      <c r="E131" s="13">
        <v>2</v>
      </c>
      <c r="F131" s="13">
        <v>3</v>
      </c>
      <c r="G131" s="13">
        <v>4</v>
      </c>
      <c r="H131" s="13">
        <v>5</v>
      </c>
    </row>
    <row r="132" spans="2:8" x14ac:dyDescent="0.25">
      <c r="B132" s="5" t="s">
        <v>99</v>
      </c>
      <c r="C132" s="14">
        <f>Assumptions!E63/Assumptions!C52</f>
        <v>49.15620506559609</v>
      </c>
      <c r="D132" s="14">
        <f>Assumptions!E63/(Assumptions!C52+C138+C142+C146)</f>
        <v>49.15620506559609</v>
      </c>
      <c r="E132" s="14">
        <f>Assumptions!E63/(Assumptions!C52+D138+D142+D146)</f>
        <v>48.8164046021887</v>
      </c>
      <c r="F132" s="14">
        <f>Assumptions!E63/(Assumptions!C52+E138+E142+E146)</f>
        <v>48.81526767513607</v>
      </c>
      <c r="G132" s="14">
        <f>Assumptions!E63/(Assumptions!C52+F138+F142+F146)</f>
        <v>48.81526213772558</v>
      </c>
      <c r="H132" s="14">
        <f>Assumptions!E63/(Assumptions!C52+G138+G142+G146)</f>
        <v>48.81526211572184</v>
      </c>
    </row>
    <row r="133" spans="2:8" x14ac:dyDescent="0.25">
      <c r="B133" s="5" t="s">
        <v>235</v>
      </c>
      <c r="C133" s="8">
        <f>Assumptions!C7/C132</f>
        <v>610299.35</v>
      </c>
      <c r="D133" s="8">
        <f>Assumptions!C7/D132</f>
        <v>610299.35</v>
      </c>
      <c r="E133" s="8">
        <f>Assumptions!C7/E132</f>
        <v>614547.5121421568</v>
      </c>
      <c r="F133" s="8">
        <f>Assumptions!C7/F132</f>
        <v>614561.8251988081</v>
      </c>
      <c r="G133" s="8">
        <f>Assumptions!C7/G132</f>
        <v>614561.8949122736</v>
      </c>
      <c r="H133" s="8">
        <f>Assumptions!C7/H132</f>
        <v>614561.8951892907</v>
      </c>
    </row>
    <row r="134" spans="2:8" x14ac:dyDescent="0.25">
      <c r="B134" s="5" t="s">
        <v>236</v>
      </c>
      <c r="C134" s="14">
        <f>Assumptions!C20*(Assumptions!C52+Assumptions!C7/Assumptions!C20)/(Assumptions!C52+Assumptions!C7/C132)</f>
        <v>57.9714266404196</v>
      </c>
      <c r="D134" s="14">
        <f>Assumptions!C20*(Assumptions!C52+Assumptions!C7/Assumptions!C20)/(Assumptions!C52+Assumptions!C7/D132)</f>
        <v>57.9714266404196</v>
      </c>
      <c r="E134" s="14">
        <f>Assumptions!C20*(Assumptions!C52+Assumptions!C7/Assumptions!C20)/(Assumptions!C52+Assumptions!C7/E132)</f>
        <v>57.96481220508279</v>
      </c>
      <c r="F134" s="14">
        <f>Assumptions!C20*(Assumptions!C52+Assumptions!C7/Assumptions!C20)/(Assumptions!C52+Assumptions!C7/F132)</f>
        <v>57.96478992204694</v>
      </c>
      <c r="G134" s="14">
        <f>Assumptions!C20*(Assumptions!C52+Assumptions!C7/Assumptions!C20)/(Assumptions!C52+Assumptions!C7/G132)</f>
        <v>57.964789813514784</v>
      </c>
      <c r="H134" s="14">
        <f>Assumptions!C20*(Assumptions!C52+Assumptions!C7/Assumptions!C20)/(Assumptions!C52+Assumptions!C7/H132)</f>
        <v>57.96478981308351</v>
      </c>
    </row>
    <row r="135" spans="2:8" x14ac:dyDescent="0.25">
      <c r="B135" s="5" t="s">
        <v>237</v>
      </c>
      <c r="C135" s="8">
        <f>MAX(0,IF(C132&lt;Assumptions!C20,Assumptions!C29/C134-Assumptions!C47,0))</f>
        <v>4360.736118205</v>
      </c>
      <c r="D135" s="8">
        <f>MAX(0,IF(D132&lt;Assumptions!C20,Assumptions!C29/D134-Assumptions!C47,0))</f>
        <v>4360.736118205</v>
      </c>
      <c r="E135" s="8">
        <f>MAX(0,IF(E132&lt;Assumptions!C20,Assumptions!C29/E134-Assumptions!C47,0))</f>
        <v>4557.5765702534</v>
      </c>
      <c r="F135" s="8">
        <f>MAX(0,IF(F132&lt;Assumptions!C20,Assumptions!C29/F134-Assumptions!C47,0))</f>
        <v>4558.2397719973</v>
      </c>
      <c r="G135" s="8">
        <f>MAX(0,IF(G132&lt;Assumptions!C20,Assumptions!C29/G134-Assumptions!C47,0))</f>
        <v>4558.243002201</v>
      </c>
      <c r="H135" s="8">
        <f>MAX(0,IF(H132&lt;Assumptions!C20,Assumptions!C29/H134-Assumptions!C47,0))</f>
        <v>4558.2430150367</v>
      </c>
    </row>
    <row r="136" spans="2:8" x14ac:dyDescent="0.25">
      <c r="B136" s="5" t="s">
        <v>238</v>
      </c>
      <c r="C136" s="14">
        <f>Assumptions!C22*(Assumptions!C52+Assumptions!C7/Assumptions!C22)/(Assumptions!C52+Assumptions!C7/C132)</f>
        <v>49.158276476485185</v>
      </c>
      <c r="D136" s="14">
        <f>Assumptions!C22*(Assumptions!C52+Assumptions!C7/Assumptions!C22)/(Assumptions!C52+Assumptions!C7/D132)</f>
        <v>49.158276476485185</v>
      </c>
      <c r="E136" s="14">
        <f>Assumptions!C22*(Assumptions!C52+Assumptions!C7/Assumptions!C22)/(Assumptions!C52+Assumptions!C7/E132)</f>
        <v>49.15266760570407</v>
      </c>
      <c r="F136" s="14">
        <f>Assumptions!C22*(Assumptions!C52+Assumptions!C7/Assumptions!C22)/(Assumptions!C52+Assumptions!C7/F132)</f>
        <v>49.15264871026367</v>
      </c>
      <c r="G136" s="14">
        <f>Assumptions!C22*(Assumptions!C52+Assumptions!C7/Assumptions!C22)/(Assumptions!C52+Assumptions!C7/G132)</f>
        <v>49.1526486182312</v>
      </c>
      <c r="H136" s="14">
        <f>Assumptions!C22*(Assumptions!C52+Assumptions!C7/Assumptions!C22)/(Assumptions!C52+Assumptions!C7/H132)</f>
        <v>49.15264861786549</v>
      </c>
    </row>
    <row r="137" spans="2:8" x14ac:dyDescent="0.25">
      <c r="B137" s="5" t="s">
        <v>239</v>
      </c>
      <c r="C137" s="8">
        <f>MAX(0,IF(C132&lt;Assumptions!C22,Assumptions!C30/C136-Assumptions!C48,0))</f>
        <v>69.334613048</v>
      </c>
      <c r="D137" s="8">
        <f>MAX(0,IF(D132&lt;Assumptions!C22,Assumptions!C30/D136-Assumptions!C48,0))</f>
        <v>69.334613048</v>
      </c>
      <c r="E137" s="8">
        <f>MAX(0,IF(E132&lt;Assumptions!C22,Assumptions!C30/E136-Assumptions!C48,0))</f>
        <v>765.725290897</v>
      </c>
      <c r="F137" s="8">
        <f>MAX(0,IF(F132&lt;Assumptions!C22,Assumptions!C30/F136-Assumptions!C48,0))</f>
        <v>768.071594755</v>
      </c>
      <c r="G137" s="8">
        <f>MAX(0,IF(G132&lt;Assumptions!C22,Assumptions!C30/G136-Assumptions!C48,0))</f>
        <v>768.083022709</v>
      </c>
      <c r="H137" s="8">
        <f>MAX(0,IF(H132&lt;Assumptions!C22,Assumptions!C30/H136-Assumptions!C48,0))</f>
        <v>768.08306812</v>
      </c>
    </row>
    <row r="138" spans="2:8" x14ac:dyDescent="0.25">
      <c r="B138" s="5" t="s">
        <v>240</v>
      </c>
      <c r="C138" s="8">
        <f>MAX(0,(Assumptions!C62*(Assumptions!C52+C135+C137+C133+C142+C146)-Assumptions!C51)/(1-Assumptions!C62))</f>
        <v>0</v>
      </c>
      <c r="D138" s="8">
        <f>MAX(0,(Assumptions!C62*(Assumptions!C52+D135+D137+D133+D142+D146)-Assumptions!C51)/(1-Assumptions!C62))</f>
        <v>0</v>
      </c>
      <c r="E138" s="8">
        <f>MAX(0,(Assumptions!C62*(Assumptions!C52+E135+E137+E133+E142+E146)-Assumptions!C51)/(1-Assumptions!C62))</f>
        <v>0</v>
      </c>
      <c r="F138" s="8">
        <f>MAX(0,(Assumptions!C62*(Assumptions!C52+F135+F137+F133+F142+F146)-Assumptions!C51)/(1-Assumptions!C62))</f>
        <v>0</v>
      </c>
      <c r="G138" s="8">
        <f>MAX(0,(Assumptions!C62*(Assumptions!C52+G135+G137+G133+G142+G146)-Assumptions!C51)/(1-Assumptions!C62))</f>
        <v>0</v>
      </c>
      <c r="H138" s="8">
        <f>MAX(0,(Assumptions!C62*(Assumptions!C52+H135+H137+H133+H142+H146)-Assumptions!C51)/(1-Assumptions!C62))</f>
        <v>0</v>
      </c>
    </row>
    <row r="139" spans="2:8" x14ac:dyDescent="0.25">
      <c r="B139" s="5" t="s">
        <v>241</v>
      </c>
      <c r="C139" s="14">
        <f>Assumptions!C34/(Assumptions!C52+C138+C146)</f>
        <v>27.309002814220047</v>
      </c>
      <c r="D139" s="14">
        <f>Assumptions!C34/(Assumptions!C52+C138+C146)</f>
        <v>27.309002814220047</v>
      </c>
      <c r="E139" s="14">
        <f>Assumptions!C34/(Assumptions!C52+D138+D146)</f>
        <v>27.255560538654063</v>
      </c>
      <c r="F139" s="14">
        <f>Assumptions!C34/(Assumptions!C52+E138+E146)</f>
        <v>27.255189271542616</v>
      </c>
      <c r="G139" s="14">
        <f>Assumptions!C34/(Assumptions!C52+F138+F146)</f>
        <v>27.255188020673558</v>
      </c>
      <c r="H139" s="14">
        <f>Assumptions!C34/(Assumptions!C52+G138+G146)</f>
        <v>27.25518801458105</v>
      </c>
    </row>
    <row r="140" spans="2:8" x14ac:dyDescent="0.25">
      <c r="B140" s="5" t="s">
        <v>242</v>
      </c>
      <c r="C140" s="14">
        <f>C132*(1-Assumptions!C35)</f>
        <v>39.32496405247687</v>
      </c>
      <c r="D140" s="14">
        <f>D132*(1-Assumptions!C35)</f>
        <v>39.32496405247687</v>
      </c>
      <c r="E140" s="14">
        <f>E132*(1-Assumptions!C35)</f>
        <v>39.05312368175096</v>
      </c>
      <c r="F140" s="14">
        <f>F132*(1-Assumptions!C35)</f>
        <v>39.05221414010886</v>
      </c>
      <c r="G140" s="14">
        <f>G132*(1-Assumptions!C35)</f>
        <v>39.05220971018046</v>
      </c>
      <c r="H140" s="14">
        <f>H132*(1-Assumptions!C35)</f>
        <v>39.05220969257747</v>
      </c>
    </row>
    <row r="141" spans="2:8" x14ac:dyDescent="0.25">
      <c r="B141" s="5" t="s">
        <v>243</v>
      </c>
      <c r="C141" s="14">
        <f>MIN(C139,C140)</f>
        <v>27.309002814220047</v>
      </c>
      <c r="D141" s="14">
        <f>MIN(D139,D140)</f>
        <v>27.309002814220047</v>
      </c>
      <c r="E141" s="14">
        <f>MIN(E139,E140)</f>
        <v>27.255560538654063</v>
      </c>
      <c r="F141" s="14">
        <f>MIN(F139,F140)</f>
        <v>27.255189271542616</v>
      </c>
      <c r="G141" s="14">
        <f>MIN(G139,G140)</f>
        <v>27.255188020673558</v>
      </c>
      <c r="H141" s="14">
        <f>MIN(H139,H140)</f>
        <v>27.25518801458105</v>
      </c>
    </row>
    <row r="142" spans="2:8" x14ac:dyDescent="0.25">
      <c r="B142" s="5" t="s">
        <v>244</v>
      </c>
      <c r="C142" s="8">
        <v>0</v>
      </c>
      <c r="D142" s="8">
        <f>Assumptions!C33/D141</f>
        <v>183089.80500000002</v>
      </c>
      <c r="E142" s="8">
        <f>Assumptions!C33/E141</f>
        <v>183448.80461764705</v>
      </c>
      <c r="F142" s="8">
        <f>Assumptions!C33/F141</f>
        <v>183451.3035365542</v>
      </c>
      <c r="G142" s="8">
        <f>Assumptions!C33/G141</f>
        <v>183451.3119559993</v>
      </c>
      <c r="H142" s="8">
        <f>Assumptions!C33/H141</f>
        <v>183451.31199700723</v>
      </c>
    </row>
    <row r="143" spans="2:8" x14ac:dyDescent="0.25">
      <c r="B143" s="5" t="s">
        <v>245</v>
      </c>
      <c r="C143" s="14">
        <f>Assumptions!C37/(Assumptions!C52+C138+C142)</f>
        <v>43.69440450275208</v>
      </c>
      <c r="D143" s="14">
        <f>Assumptions!C37/(Assumptions!C52+C138+C142)</f>
        <v>43.69440450275208</v>
      </c>
      <c r="E143" s="14">
        <f>Assumptions!C37/(Assumptions!C52+D138+D142)</f>
        <v>43.47701940572346</v>
      </c>
      <c r="F143" s="14">
        <f>Assumptions!C37/(Assumptions!C52+E138+E142)</f>
        <v>43.47659528519586</v>
      </c>
      <c r="G143" s="14">
        <f>Assumptions!C37/(Assumptions!C52+F138+F142)</f>
        <v>43.47659233301333</v>
      </c>
      <c r="H143" s="14">
        <f>Assumptions!C37/(Assumptions!C52+G138+G142)</f>
        <v>43.47659232306675</v>
      </c>
    </row>
    <row r="144" spans="2:8" x14ac:dyDescent="0.25">
      <c r="B144" s="5" t="s">
        <v>246</v>
      </c>
      <c r="C144" s="14">
        <f>C132*(1-Assumptions!C38)</f>
        <v>41.782774305756675</v>
      </c>
      <c r="D144" s="14">
        <f>D132*(1-Assumptions!C38)</f>
        <v>41.782774305756675</v>
      </c>
      <c r="E144" s="14">
        <f>E132*(1-Assumptions!C38)</f>
        <v>41.4939439118604</v>
      </c>
      <c r="F144" s="14">
        <f>F132*(1-Assumptions!C38)</f>
        <v>41.49297752386566</v>
      </c>
      <c r="G144" s="14">
        <f>G132*(1-Assumptions!C38)</f>
        <v>41.49297281706674</v>
      </c>
      <c r="H144" s="14">
        <f>H132*(1-Assumptions!C38)</f>
        <v>41.49297279836357</v>
      </c>
    </row>
    <row r="145" spans="2:8" x14ac:dyDescent="0.25">
      <c r="B145" s="5" t="s">
        <v>247</v>
      </c>
      <c r="C145" s="14">
        <f>MIN(C143,C144)</f>
        <v>41.782774305756675</v>
      </c>
      <c r="D145" s="14">
        <f>MIN(D143,D144)</f>
        <v>41.782774305756675</v>
      </c>
      <c r="E145" s="14">
        <f>MIN(E143,E144)</f>
        <v>41.4939439118604</v>
      </c>
      <c r="F145" s="14">
        <f>MIN(F143,F144)</f>
        <v>41.49297752386566</v>
      </c>
      <c r="G145" s="14">
        <f>MIN(G143,G144)</f>
        <v>41.49297281706674</v>
      </c>
      <c r="H145" s="14">
        <f>MIN(H143,H144)</f>
        <v>41.49297279836357</v>
      </c>
    </row>
    <row r="146" spans="2:8" x14ac:dyDescent="0.25">
      <c r="B146" s="5" t="s">
        <v>248</v>
      </c>
      <c r="C146" s="8">
        <v>0</v>
      </c>
      <c r="D146" s="8">
        <f>Assumptions!C36/D145</f>
        <v>71799.92352941177</v>
      </c>
      <c r="E146" s="8">
        <f>Assumptions!C36/E145</f>
        <v>72299.70731084197</v>
      </c>
      <c r="F146" s="8">
        <f>Assumptions!C36/F145</f>
        <v>72301.39119985978</v>
      </c>
      <c r="G146" s="8">
        <f>Assumptions!C36/G145</f>
        <v>72301.39940144397</v>
      </c>
      <c r="H146" s="8">
        <f>Assumptions!C36/H145</f>
        <v>72301.39943403419</v>
      </c>
    </row>
    <row r="147" spans="2:8" x14ac:dyDescent="0.25">
      <c r="B147" s="5" t="s">
        <v>249</v>
      </c>
      <c r="H147" s="8">
        <f>Assumptions!C52+H138+H135+H137+H142+H146+H133</f>
        <v>37493601.93270349</v>
      </c>
    </row>
    <row r="149" spans="2:13" x14ac:dyDescent="0.25">
      <c r="B149" s="23" t="s">
        <v>250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spans="2:10" x14ac:dyDescent="0.25">
      <c r="B150" s="13" t="s">
        <v>97</v>
      </c>
      <c r="C150" s="13" t="s">
        <v>251</v>
      </c>
      <c r="D150" s="13" t="s">
        <v>252</v>
      </c>
      <c r="E150" s="13" t="s">
        <v>253</v>
      </c>
      <c r="F150" s="13" t="s">
        <v>254</v>
      </c>
      <c r="G150" s="13" t="s">
        <v>255</v>
      </c>
      <c r="H150" s="13" t="s">
        <v>256</v>
      </c>
      <c r="I150" s="13" t="s">
        <v>257</v>
      </c>
      <c r="J150" s="13" t="s">
        <v>258</v>
      </c>
    </row>
    <row r="151" spans="2:10" x14ac:dyDescent="0.25">
      <c r="B151" s="5" t="s">
        <v>259</v>
      </c>
      <c r="C151" s="8">
        <f>H133</f>
        <v>614561.8951892907</v>
      </c>
      <c r="D151" s="14">
        <f>Assumptions!C7</f>
        <v>30000000</v>
      </c>
      <c r="E151" s="8">
        <f>IF(D151&gt;((Assumptions!C57+IF(D162=1,C161*C160,0))*C151/(SUM($C$151:$C$157)+C158+C159+IF(D162=1,C160,0))),1,0)</f>
        <v>0</v>
      </c>
      <c r="F151" s="8">
        <f>IF(D151&gt;((Assumptions!C57+IF(D162=1,C161*C160,0)-(SUMPRODUCT($D$151:$D$157,$E$151:$E$157)-D151*E151))*C151/((((SUM($C$151:$C$157)-SUMPRODUCT($C$151:$C$157,$E$151:$E$157))-C151*(1-E151))+C158+C159+IF(D162=1,C160,0))+C151)),1,0)</f>
        <v>0</v>
      </c>
      <c r="G151" s="8">
        <f>IF(D151&gt;((Assumptions!C57+IF(D162=1,C161*C160,0)-(SUMPRODUCT($D$151:$D$157,$F$151:$F$157)-D151*F151))*C151/((((SUM($C$151:$C$157)-SUMPRODUCT($C$151:$C$157,$F$151:$F$157))-C151*(1-F151))+C158+C159+IF(D162=1,C160,0))+C151)),1,0)</f>
        <v>0</v>
      </c>
      <c r="H151" s="8">
        <f>IF(D151&gt;((Assumptions!C57+IF(D162=1,C161*C160,0)-(SUMPRODUCT($D$151:$D$157,$G$151:$G$157)-D151*G151))*C151/((((SUM($C$151:$C$157)-SUMPRODUCT($C$151:$C$157,$G$151:$G$157))-C151*(1-G151))+C158+C159+IF(D162=1,C160,0))+C151)),1,0)</f>
        <v>0</v>
      </c>
      <c r="I151" s="14">
        <f>((Assumptions!C57+IF(D162=1,C161*C160,0)-(SUMPRODUCT($D$151:$D$157,$H$151:$H$157)-D151*H151))*C151/((((SUM($C$151:$C$157)-SUMPRODUCT($C$151:$C$157,$H$151:$H$157))-C151*(1-H151))+C158+C159+IF(D162=1,C160,0))+C151))</f>
        <v>34516521.386279956</v>
      </c>
      <c r="J151" s="14">
        <f>IF(H151=1,D151,I151)</f>
        <v>34516521.386279956</v>
      </c>
    </row>
    <row r="152" spans="2:10" x14ac:dyDescent="0.25">
      <c r="B152" s="5" t="s">
        <v>109</v>
      </c>
      <c r="C152" s="8">
        <f>Assumptions!C48+H137</f>
        <v>6103435.08306812</v>
      </c>
      <c r="D152" s="14">
        <f>Assumptions!C30</f>
        <v>300000000</v>
      </c>
      <c r="E152" s="8">
        <f>IF(D152&gt;((Assumptions!C57+IF(D162=1,C161*C160,0))*C152/(SUM($C$151:$C$157)+C158+C159+IF(D162=1,C160,0))),1,0)</f>
        <v>0</v>
      </c>
      <c r="F152" s="8">
        <f>IF(D152&gt;((Assumptions!C57+IF(D162=1,C161*C160,0)-(SUMPRODUCT($D$151:$D$157,$E$151:$E$157)-D152*E152))*C152/((((SUM($C$151:$C$157)-SUMPRODUCT($C$151:$C$157,$E$151:$E$157))-C152*(1-E152))+C158+C159+IF(D162=1,C160,0))+C152)),1,0)</f>
        <v>0</v>
      </c>
      <c r="G152" s="8">
        <f>IF(D152&gt;((Assumptions!C57+IF(D162=1,C161*C160,0)-(SUMPRODUCT($D$151:$D$157,$F$151:$F$157)-D152*F152))*C152/((((SUM($C$151:$C$157)-SUMPRODUCT($C$151:$C$157,$F$151:$F$157))-C152*(1-F152))+C158+C159+IF(D162=1,C160,0))+C152)),1,0)</f>
        <v>0</v>
      </c>
      <c r="H152" s="8">
        <f>IF(D152&gt;((Assumptions!C57+IF(D162=1,C161*C160,0)-(SUMPRODUCT($D$151:$D$157,$G$151:$G$157)-D152*G152))*C152/((((SUM($C$151:$C$157)-SUMPRODUCT($C$151:$C$157,$G$151:$G$157))-C152*(1-G152))+C158+C159+IF(D162=1,C160,0))+C152)),1,0)</f>
        <v>0</v>
      </c>
      <c r="I152" s="14">
        <f>((Assumptions!C57+IF(D162=1,C161*C160,0)-(SUMPRODUCT($D$151:$D$157,$H$151:$H$157)-D152*H152))*C152/((((SUM($C$151:$C$157)-SUMPRODUCT($C$151:$C$157,$H$151:$H$157))-C152*(1-H152))+C158+C159+IF(D162=1,C160,0))+C152))</f>
        <v>342795980.71989816</v>
      </c>
      <c r="J152" s="14">
        <f>IF(H152=1,D152,I152)</f>
        <v>342795980.71989816</v>
      </c>
    </row>
    <row r="153" spans="2:10" x14ac:dyDescent="0.25">
      <c r="B153" s="5" t="s">
        <v>108</v>
      </c>
      <c r="C153" s="8">
        <f>Assumptions!C47+H135</f>
        <v>1725185.2430150367</v>
      </c>
      <c r="D153" s="14">
        <f>Assumptions!C29</f>
        <v>100000000</v>
      </c>
      <c r="E153" s="8">
        <f>IF(D153&gt;((Assumptions!C57+IF(D162=1,C161*C160,0))*C153/(SUM($C$151:$C$157)+C158+C159+IF(D162=1,C160,0))),1,0)</f>
        <v>1</v>
      </c>
      <c r="F153" s="8">
        <f>IF(D153&gt;((Assumptions!C57+IF(D162=1,C161*C160,0)-(SUMPRODUCT($D$151:$D$157,$E$151:$E$157)-D153*E153))*C153/((((SUM($C$151:$C$157)-SUMPRODUCT($C$151:$C$157,$E$151:$E$157))-C153*(1-E153))+C158+C159+IF(D162=1,C160,0))+C153)),1,0)</f>
        <v>1</v>
      </c>
      <c r="G153" s="8">
        <f>IF(D153&gt;((Assumptions!C57+IF(D162=1,C161*C160,0)-(SUMPRODUCT($D$151:$D$157,$F$151:$F$157)-D153*F153))*C153/((((SUM($C$151:$C$157)-SUMPRODUCT($C$151:$C$157,$F$151:$F$157))-C153*(1-F153))+C158+C159+IF(D162=1,C160,0))+C153)),1,0)</f>
        <v>1</v>
      </c>
      <c r="H153" s="8">
        <f>IF(D153&gt;((Assumptions!C57+IF(D162=1,C161*C160,0)-(SUMPRODUCT($D$151:$D$157,$G$151:$G$157)-D153*G153))*C153/((((SUM($C$151:$C$157)-SUMPRODUCT($C$151:$C$157,$G$151:$G$157))-C153*(1-G153))+C158+C159+IF(D162=1,C160,0))+C153)),1,0)</f>
        <v>1</v>
      </c>
      <c r="I153" s="14">
        <f>((Assumptions!C57+IF(D162=1,C161*C160,0)-(SUMPRODUCT($D$151:$D$157,$H$151:$H$157)-D153*H153))*C153/((((SUM($C$151:$C$157)-SUMPRODUCT($C$151:$C$157,$H$151:$H$157))-C153*(1-H153))+C158+C159+IF(D162=1,C160,0))+C153))</f>
        <v>97044573.26232855</v>
      </c>
      <c r="J153" s="14">
        <f>IF(H153=1,D153,I153)</f>
        <v>100000000</v>
      </c>
    </row>
    <row r="154" spans="2:10" x14ac:dyDescent="0.25">
      <c r="B154" s="5" t="s">
        <v>107</v>
      </c>
      <c r="C154" s="8">
        <f>Assumptions!C46</f>
        <v>2400000</v>
      </c>
      <c r="D154" s="14">
        <f>Assumptions!C28</f>
        <v>60000000</v>
      </c>
      <c r="E154" s="8">
        <f>IF(D154&gt;((Assumptions!C57+IF(D162=1,C161*C160,0))*C154/(SUM($C$151:$C$157)+C158+C159+IF(D162=1,C160,0))),1,0)</f>
        <v>0</v>
      </c>
      <c r="F154" s="8">
        <f>IF(D154&gt;((Assumptions!C57+IF(D162=1,C161*C160,0)-(SUMPRODUCT($D$151:$D$157,$E$151:$E$157)-D154*E154))*C154/((((SUM($C$151:$C$157)-SUMPRODUCT($C$151:$C$157,$E$151:$E$157))-C154*(1-E154))+C158+C159+IF(D162=1,C160,0))+C154)),1,0)</f>
        <v>0</v>
      </c>
      <c r="G154" s="8">
        <f>IF(D154&gt;((Assumptions!C57+IF(D162=1,C161*C160,0)-(SUMPRODUCT($D$151:$D$157,$F$151:$F$157)-D154*F154))*C154/((((SUM($C$151:$C$157)-SUMPRODUCT($C$151:$C$157,$F$151:$F$157))-C154*(1-F154))+C158+C159+IF(D162=1,C160,0))+C154)),1,0)</f>
        <v>0</v>
      </c>
      <c r="H154" s="8">
        <f>IF(D154&gt;((Assumptions!C57+IF(D162=1,C161*C160,0)-(SUMPRODUCT($D$151:$D$157,$G$151:$G$157)-D154*G154))*C154/((((SUM($C$151:$C$157)-SUMPRODUCT($C$151:$C$157,$G$151:$G$157))-C154*(1-G154))+C158+C159+IF(D162=1,C160,0))+C154)),1,0)</f>
        <v>0</v>
      </c>
      <c r="I154" s="14">
        <f>((Assumptions!C57+IF(D162=1,C161*C160,0)-(SUMPRODUCT($D$151:$D$157,$H$151:$H$157)-D154*H154))*C154/((((SUM($C$151:$C$157)-SUMPRODUCT($C$151:$C$157,$H$151:$H$157))-C154*(1-H154))+C158+C159+IF(D162=1,C160,0))+C154))</f>
        <v>134794643.10353398</v>
      </c>
      <c r="J154" s="14">
        <f>IF(H154=1,D154,I154)</f>
        <v>134794643.10353398</v>
      </c>
    </row>
    <row r="155" spans="2:10" x14ac:dyDescent="0.25">
      <c r="B155" s="5" t="s">
        <v>106</v>
      </c>
      <c r="C155" s="8">
        <f>Assumptions!C45</f>
        <v>3000000</v>
      </c>
      <c r="D155" s="14">
        <f>Assumptions!C27</f>
        <v>30000000</v>
      </c>
      <c r="E155" s="8">
        <f>IF(D155&gt;((Assumptions!C57+IF(D162=1,C161*C160,0))*C155/(SUM($C$151:$C$157)+C158+C159+IF(D162=1,C160,0))),1,0)</f>
        <v>0</v>
      </c>
      <c r="F155" s="8">
        <f>IF(D155&gt;((Assumptions!C57+IF(D162=1,C161*C160,0)-(SUMPRODUCT($D$151:$D$157,$E$151:$E$157)-D155*E155))*C155/((((SUM($C$151:$C$157)-SUMPRODUCT($C$151:$C$157,$E$151:$E$157))-C155*(1-E155))+C158+C159+IF(D162=1,C160,0))+C155)),1,0)</f>
        <v>0</v>
      </c>
      <c r="G155" s="8">
        <f>IF(D155&gt;((Assumptions!C57+IF(D162=1,C161*C160,0)-(SUMPRODUCT($D$151:$D$157,$F$151:$F$157)-D155*F155))*C155/((((SUM($C$151:$C$157)-SUMPRODUCT($C$151:$C$157,$F$151:$F$157))-C155*(1-F155))+C158+C159+IF(D162=1,C160,0))+C155)),1,0)</f>
        <v>0</v>
      </c>
      <c r="H155" s="8">
        <f>IF(D155&gt;((Assumptions!C57+IF(D162=1,C161*C160,0)-(SUMPRODUCT($D$151:$D$157,$G$151:$G$157)-D155*G155))*C155/((((SUM($C$151:$C$157)-SUMPRODUCT($C$151:$C$157,$G$151:$G$157))-C155*(1-G155))+C158+C159+IF(D162=1,C160,0))+C155)),1,0)</f>
        <v>0</v>
      </c>
      <c r="I155" s="14">
        <f>((Assumptions!C57+IF(D162=1,C161*C160,0)-(SUMPRODUCT($D$151:$D$157,$H$151:$H$157)-D155*H155))*C155/((((SUM($C$151:$C$157)-SUMPRODUCT($C$151:$C$157,$H$151:$H$157))-C155*(1-H155))+C158+C159+IF(D162=1,C160,0))+C155))</f>
        <v>168493303.87941748</v>
      </c>
      <c r="J155" s="14">
        <f>IF(H155=1,D155,I155)</f>
        <v>168493303.87941748</v>
      </c>
    </row>
    <row r="156" spans="2:10" x14ac:dyDescent="0.25">
      <c r="B156" s="5" t="s">
        <v>105</v>
      </c>
      <c r="C156" s="8">
        <f>Assumptions!C44</f>
        <v>5000000</v>
      </c>
      <c r="D156" s="14">
        <f>Assumptions!C26</f>
        <v>15000000</v>
      </c>
      <c r="E156" s="8">
        <f>IF(D156&gt;((Assumptions!C57+IF(D162=1,C161*C160,0))*C156/(SUM($C$151:$C$157)+C158+C159+IF(D162=1,C160,0))),1,0)</f>
        <v>0</v>
      </c>
      <c r="F156" s="8">
        <f>IF(D156&gt;((Assumptions!C57+IF(D162=1,C161*C160,0)-(SUMPRODUCT($D$151:$D$157,$E$151:$E$157)-D156*E156))*C156/((((SUM($C$151:$C$157)-SUMPRODUCT($C$151:$C$157,$E$151:$E$157))-C156*(1-E156))+C158+C159+IF(D162=1,C160,0))+C156)),1,0)</f>
        <v>0</v>
      </c>
      <c r="G156" s="8">
        <f>IF(D156&gt;((Assumptions!C57+IF(D162=1,C161*C160,0)-(SUMPRODUCT($D$151:$D$157,$F$151:$F$157)-D156*F156))*C156/((((SUM($C$151:$C$157)-SUMPRODUCT($C$151:$C$157,$F$151:$F$157))-C156*(1-F156))+C158+C159+IF(D162=1,C160,0))+C156)),1,0)</f>
        <v>0</v>
      </c>
      <c r="H156" s="8">
        <f>IF(D156&gt;((Assumptions!C57+IF(D162=1,C161*C160,0)-(SUMPRODUCT($D$151:$D$157,$G$151:$G$157)-D156*G156))*C156/((((SUM($C$151:$C$157)-SUMPRODUCT($C$151:$C$157,$G$151:$G$157))-C156*(1-G156))+C158+C159+IF(D162=1,C160,0))+C156)),1,0)</f>
        <v>0</v>
      </c>
      <c r="I156" s="14">
        <f>((Assumptions!C57+IF(D162=1,C161*C160,0)-(SUMPRODUCT($D$151:$D$157,$H$151:$H$157)-D156*H156))*C156/((((SUM($C$151:$C$157)-SUMPRODUCT($C$151:$C$157,$H$151:$H$157))-C156*(1-H156))+C158+C159+IF(D162=1,C160,0))+C156))</f>
        <v>280822173.1323625</v>
      </c>
      <c r="J156" s="14">
        <f>IF(H156=1,D156,I156)</f>
        <v>280822173.1323625</v>
      </c>
    </row>
    <row r="157" spans="2:10" x14ac:dyDescent="0.25">
      <c r="B157" s="5" t="s">
        <v>104</v>
      </c>
      <c r="C157" s="8">
        <f>Assumptions!C43</f>
        <v>5000000</v>
      </c>
      <c r="D157" s="14">
        <f>Assumptions!C25</f>
        <v>5000000</v>
      </c>
      <c r="E157" s="8">
        <f>IF(D157&gt;((Assumptions!C57+IF(D162=1,C161*C160,0))*C157/(SUM($C$151:$C$157)+C158+C159+IF(D162=1,C160,0))),1,0)</f>
        <v>0</v>
      </c>
      <c r="F157" s="8">
        <f>IF(D157&gt;((Assumptions!C57+IF(D162=1,C161*C160,0)-(SUMPRODUCT($D$151:$D$157,$E$151:$E$157)-D157*E157))*C157/((((SUM($C$151:$C$157)-SUMPRODUCT($C$151:$C$157,$E$151:$E$157))-C157*(1-E157))+C158+C159+IF(D162=1,C160,0))+C157)),1,0)</f>
        <v>0</v>
      </c>
      <c r="G157" s="8">
        <f>IF(D157&gt;((Assumptions!C57+IF(D162=1,C161*C160,0)-(SUMPRODUCT($D$151:$D$157,$F$151:$F$157)-D157*F157))*C157/((((SUM($C$151:$C$157)-SUMPRODUCT($C$151:$C$157,$F$151:$F$157))-C157*(1-F157))+C158+C159+IF(D162=1,C160,0))+C157)),1,0)</f>
        <v>0</v>
      </c>
      <c r="H157" s="8">
        <f>IF(D157&gt;((Assumptions!C57+IF(D162=1,C161*C160,0)-(SUMPRODUCT($D$151:$D$157,$G$151:$G$157)-D157*G157))*C157/((((SUM($C$151:$C$157)-SUMPRODUCT($C$151:$C$157,$G$151:$G$157))-C157*(1-G157))+C158+C159+IF(D162=1,C160,0))+C157)),1,0)</f>
        <v>0</v>
      </c>
      <c r="I157" s="14">
        <f>((Assumptions!C57+IF(D162=1,C161*C160,0)-(SUMPRODUCT($D$151:$D$157,$H$151:$H$157)-D157*H157))*C157/((((SUM($C$151:$C$157)-SUMPRODUCT($C$151:$C$157,$H$151:$H$157))-C157*(1-H157))+C158+C159+IF(D162=1,C160,0))+C157))</f>
        <v>280822173.1323625</v>
      </c>
      <c r="J157" s="14">
        <f>IF(H157=1,D157,I157)</f>
        <v>280822173.1323625</v>
      </c>
    </row>
    <row r="158" spans="2:10" x14ac:dyDescent="0.25">
      <c r="B158" s="5" t="s">
        <v>260</v>
      </c>
      <c r="C158" s="8">
        <f>H142+H146</f>
        <v>255752.71143104142</v>
      </c>
      <c r="J158" s="14">
        <f>(Assumptions!C57+IF(D162=1,C161*C160,0)-SUMPRODUCT($D$151:$D$157,$H$151:$H$157))*C158/((SUM($C$151:$C$157)-SUMPRODUCT($C$151:$C$157,$H$151:$H$157))+C158+C159+IF(D162=1,C160,0))</f>
        <v>14364206.441711811</v>
      </c>
    </row>
    <row r="159" spans="2:10" x14ac:dyDescent="0.25">
      <c r="B159" s="5" t="s">
        <v>261</v>
      </c>
      <c r="C159" s="8">
        <f>Assumptions!C41+Assumptions!C42</f>
        <v>9000000</v>
      </c>
      <c r="J159" s="14">
        <f>(Assumptions!C57+IF(D162=1,C161*C160,0)-SUMPRODUCT($D$151:$D$157,$H$151:$H$157))*C159/((SUM($C$151:$C$157)-SUMPRODUCT($C$151:$C$157,$H$151:$H$157))+C158+C159+IF(D162=1,C160,0))</f>
        <v>505479911.6382525</v>
      </c>
    </row>
    <row r="160" spans="2:13" x14ac:dyDescent="0.25">
      <c r="B160" s="5" t="s">
        <v>262</v>
      </c>
      <c r="C160" s="8">
        <f>Assumptions!C49</f>
        <v>2500000</v>
      </c>
      <c r="J160" s="14">
        <f>IF(D162=1,(Assumptions!C57+IF(D162=1,C161*C160,0)-SUMPRODUCT($D$151:$D$157,$H$151:$H$157))*C160/((SUM($C$151:$C$157)-SUMPRODUCT($C$151:$C$157,$H$151:$H$157))+C158+C159+IF(D162=1,C160,0))-C161*C160,0)</f>
        <v>137911086.56618124</v>
      </c>
      <c r="M160" s="8">
        <f>Assumptions!C11/H132</f>
        <v>204853.9650630969</v>
      </c>
    </row>
    <row r="161" spans="2:13" x14ac:dyDescent="0.25">
      <c r="B161" s="12" t="s">
        <v>263</v>
      </c>
      <c r="C161" s="14">
        <f>Assumptions!C13</f>
        <v>1</v>
      </c>
      <c r="M161" s="33">
        <f>M160/H147</f>
        <v>0.005463704592340452</v>
      </c>
    </row>
    <row r="162" spans="2:13" x14ac:dyDescent="0.25">
      <c r="B162" s="12" t="s">
        <v>264</v>
      </c>
      <c r="C162" s="14">
        <f>(Assumptions!C57+C161*C160)/(SUM(C151:C157)+C158+C159+C160)</f>
        <v>56.251682916512586</v>
      </c>
      <c r="D162" s="8">
        <f>IF(C162&gt;C161,1,0)</f>
        <v>1</v>
      </c>
      <c r="M162" s="15">
        <f>J151*(Assumptions!C11/Assumptions!C7)</f>
        <v>11505507.128759984</v>
      </c>
    </row>
    <row r="163" spans="2:10" x14ac:dyDescent="0.25">
      <c r="B163" s="12" t="s">
        <v>265</v>
      </c>
      <c r="J163" s="34">
        <f>SUM(J151:J160)</f>
        <v>2000000000</v>
      </c>
    </row>
    <row r="164" spans="2:10" x14ac:dyDescent="0.25">
      <c r="B164" s="5" t="s">
        <v>197</v>
      </c>
      <c r="J164" s="22">
        <f>ROUND(J163-Assumptions!C57,2)</f>
        <v>0</v>
      </c>
    </row>
    <row r="180" spans="2:13" x14ac:dyDescent="0.25">
      <c r="B180" s="3" t="s">
        <v>268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2:8" x14ac:dyDescent="0.25">
      <c r="B181" s="13" t="s">
        <v>234</v>
      </c>
      <c r="C181" s="13">
        <v>0</v>
      </c>
      <c r="D181" s="13">
        <v>1</v>
      </c>
      <c r="E181" s="13">
        <v>2</v>
      </c>
      <c r="F181" s="13">
        <v>3</v>
      </c>
      <c r="G181" s="13">
        <v>4</v>
      </c>
      <c r="H181" s="13">
        <v>5</v>
      </c>
    </row>
    <row r="182" spans="2:8" x14ac:dyDescent="0.25">
      <c r="B182" s="5" t="s">
        <v>99</v>
      </c>
      <c r="C182" s="14">
        <f>Assumptions!C63/Assumptions!C52</f>
        <v>32.770803377064055</v>
      </c>
      <c r="D182" s="14">
        <f>Assumptions!C63/(Assumptions!C52+C188+C192+C196)</f>
        <v>32.27080841442376</v>
      </c>
      <c r="E182" s="14">
        <f>Assumptions!C63/(Assumptions!C52+D188+D192+D196)</f>
        <v>31.969140174241723</v>
      </c>
      <c r="F182" s="14">
        <f>Assumptions!C63/(Assumptions!C52+E188+E192+E196)</f>
        <v>31.964990204120944</v>
      </c>
      <c r="G182" s="14">
        <f>Assumptions!C63/(Assumptions!C52+F188+F192+F196)</f>
        <v>31.9649325754696</v>
      </c>
      <c r="H182" s="14">
        <f>Assumptions!C63/(Assumptions!C52+G188+G192+G196)</f>
        <v>31.964931775104183</v>
      </c>
    </row>
    <row r="183" spans="2:8" x14ac:dyDescent="0.25">
      <c r="B183" s="5" t="s">
        <v>235</v>
      </c>
      <c r="C183" s="8">
        <f>Assumptions!C7/C182</f>
        <v>915449.0250000001</v>
      </c>
      <c r="D183" s="8">
        <f>Assumptions!C7/D182</f>
        <v>929632.7385028012</v>
      </c>
      <c r="E183" s="8">
        <f>Assumptions!C7/E182</f>
        <v>938404.9691824898</v>
      </c>
      <c r="F183" s="8">
        <f>Assumptions!C7/F182</f>
        <v>938526.8009915543</v>
      </c>
      <c r="G183" s="8">
        <f>Assumptions!C7/G182</f>
        <v>938528.4930343472</v>
      </c>
      <c r="H183" s="8">
        <f>Assumptions!C7/H182</f>
        <v>938528.5165340297</v>
      </c>
    </row>
    <row r="184" spans="2:8" x14ac:dyDescent="0.25">
      <c r="B184" s="5" t="s">
        <v>236</v>
      </c>
      <c r="C184" s="14">
        <f>Assumptions!C20*(Assumptions!C52+Assumptions!C7/Assumptions!C20)/(Assumptions!C52+Assumptions!C7/C182)</f>
        <v>57.500114228708874</v>
      </c>
      <c r="D184" s="14">
        <f>Assumptions!C20*(Assumptions!C52+Assumptions!C7/Assumptions!C20)/(Assumptions!C52+Assumptions!C7/D182)</f>
        <v>57.47839339215465</v>
      </c>
      <c r="E184" s="14">
        <f>Assumptions!C20*(Assumptions!C52+Assumptions!C7/Assumptions!C20)/(Assumptions!C52+Assumptions!C7/E182)</f>
        <v>57.46496787259433</v>
      </c>
      <c r="F184" s="14">
        <f>Assumptions!C20*(Assumptions!C52+Assumptions!C7/Assumptions!C20)/(Assumptions!C52+Assumptions!C7/F182)</f>
        <v>57.46478145843784</v>
      </c>
      <c r="G184" s="14">
        <f>Assumptions!C20*(Assumptions!C52+Assumptions!C7/Assumptions!C20)/(Assumptions!C52+Assumptions!C7/G182)</f>
        <v>57.46477886946133</v>
      </c>
      <c r="H184" s="14">
        <f>Assumptions!C20*(Assumptions!C52+Assumptions!C7/Assumptions!C20)/(Assumptions!C52+Assumptions!C7/H182)</f>
        <v>57.464778833504724</v>
      </c>
    </row>
    <row r="185" spans="2:8" x14ac:dyDescent="0.25">
      <c r="B185" s="5" t="s">
        <v>237</v>
      </c>
      <c r="C185" s="8">
        <f>MAX(0,IF(C182&lt;Assumptions!C20,Assumptions!C29/C184-Assumptions!C47,0))</f>
        <v>18499.9798568788</v>
      </c>
      <c r="D185" s="8">
        <f>MAX(0,IF(D182&lt;Assumptions!C20,Assumptions!C29/D184-Assumptions!C47,0))</f>
        <v>19157.1884294772</v>
      </c>
      <c r="E185" s="8">
        <f>MAX(0,IF(E182&lt;Assumptions!C20,Assumptions!C29/E184-Assumptions!C47,0))</f>
        <v>19563.6535771526</v>
      </c>
      <c r="F185" s="8">
        <f>MAX(0,IF(F182&lt;Assumptions!C20,Assumptions!C29/F184-Assumptions!C47,0))</f>
        <v>19569.298707345</v>
      </c>
      <c r="G185" s="8">
        <f>MAX(0,IF(G182&lt;Assumptions!C20,Assumptions!C29/G184-Assumptions!C47,0))</f>
        <v>19569.3771088882</v>
      </c>
      <c r="H185" s="8">
        <f>MAX(0,IF(H182&lt;Assumptions!C20,Assumptions!C29/H184-Assumptions!C47,0))</f>
        <v>19569.3781977561</v>
      </c>
    </row>
    <row r="186" spans="2:8" x14ac:dyDescent="0.25">
      <c r="B186" s="5" t="s">
        <v>238</v>
      </c>
      <c r="C186" s="14">
        <f>Assumptions!C22*(Assumptions!C52+Assumptions!C7/Assumptions!C22)/(Assumptions!C52+Assumptions!C7/C182)</f>
        <v>48.75861569212351</v>
      </c>
      <c r="D186" s="14">
        <f>Assumptions!C22*(Assumptions!C52+Assumptions!C7/Assumptions!C22)/(Assumptions!C52+Assumptions!C7/D182)</f>
        <v>48.74019698224328</v>
      </c>
      <c r="E186" s="14">
        <f>Assumptions!C22*(Assumptions!C52+Assumptions!C7/Assumptions!C22)/(Assumptions!C52+Assumptions!C7/E182)</f>
        <v>48.728812487490714</v>
      </c>
      <c r="F186" s="14">
        <f>Assumptions!C22*(Assumptions!C52+Assumptions!C7/Assumptions!C22)/(Assumptions!C52+Assumptions!C7/F182)</f>
        <v>48.728654413087945</v>
      </c>
      <c r="G186" s="14">
        <f>Assumptions!C22*(Assumptions!C52+Assumptions!C7/Assumptions!C22)/(Assumptions!C52+Assumptions!C7/G182)</f>
        <v>48.72865221770255</v>
      </c>
      <c r="H186" s="14">
        <f>Assumptions!C22*(Assumptions!C52+Assumptions!C7/Assumptions!C22)/(Assumptions!C52+Assumptions!C7/H182)</f>
        <v>48.728652187212276</v>
      </c>
    </row>
    <row r="187" spans="2:8" x14ac:dyDescent="0.25">
      <c r="B187" s="5" t="s">
        <v>239</v>
      </c>
      <c r="C187" s="8">
        <f>MAX(0,IF(C182&lt;Assumptions!C22,Assumptions!C30/C186-Assumptions!C48,0))</f>
        <v>50091.763585286</v>
      </c>
      <c r="D187" s="8">
        <f>MAX(0,IF(D182&lt;Assumptions!C22,Assumptions!C30/D186-Assumptions!C48,0))</f>
        <v>52416.8645419115</v>
      </c>
      <c r="E187" s="8">
        <f>MAX(0,IF(E182&lt;Assumptions!C22,Assumptions!C30/E186-Assumptions!C48,0))</f>
        <v>53854.874548322</v>
      </c>
      <c r="F187" s="8">
        <f>MAX(0,IF(F182&lt;Assumptions!C22,Assumptions!C30/F186-Assumptions!C48,0))</f>
        <v>53874.846134448</v>
      </c>
      <c r="G187" s="8">
        <f>MAX(0,IF(G182&lt;Assumptions!C22,Assumptions!C30/G186-Assumptions!C48,0))</f>
        <v>53875.1235068245</v>
      </c>
      <c r="H187" s="8">
        <f>MAX(0,IF(H182&lt;Assumptions!C22,Assumptions!C30/H186-Assumptions!C48,0))</f>
        <v>53875.127359069</v>
      </c>
    </row>
    <row r="188" spans="2:8" x14ac:dyDescent="0.25">
      <c r="B188" s="5" t="s">
        <v>240</v>
      </c>
      <c r="C188" s="8">
        <f>MAX(0,(Assumptions!D62*(Assumptions!C52+C185+C187+C183+C192+C196)-Assumptions!C51)/(1-Assumptions!D62))</f>
        <v>567348.540112046</v>
      </c>
      <c r="D188" s="8">
        <f>MAX(0,(Assumptions!D62*(Assumptions!C52+D185+D187+D183+D192+D196)-Assumptions!C51)/(1-Assumptions!D62))</f>
        <v>615195.7226405919</v>
      </c>
      <c r="E188" s="8">
        <f>MAX(0,(Assumptions!D62*(Assumptions!C52+E185+E187+E183+E192+E196)-Assumptions!C51)/(1-Assumptions!D62))</f>
        <v>617209.4198061161</v>
      </c>
      <c r="F188" s="8">
        <f>MAX(0,(Assumptions!D62*(Assumptions!C52+F185+F187+F183+F192+F196)-Assumptions!C51)/(1-Assumptions!D62))</f>
        <v>617237.3867369414</v>
      </c>
      <c r="G188" s="8">
        <f>MAX(0,(Assumptions!D62*(Assumptions!C52+G185+G187+G183+G192+G196)-Assumptions!C51)/(1-Assumptions!D62))</f>
        <v>617237.7751514626</v>
      </c>
      <c r="H188" s="8">
        <f>MAX(0,(Assumptions!D62*(Assumptions!C52+H185+H187+H183+H192+H196)-Assumptions!C51)/(1-Assumptions!D62))</f>
        <v>617237.7805459012</v>
      </c>
    </row>
    <row r="189" spans="2:8" x14ac:dyDescent="0.25">
      <c r="B189" s="5" t="s">
        <v>241</v>
      </c>
      <c r="C189" s="14">
        <f>Assumptions!C34/(Assumptions!C52+C188+C196)</f>
        <v>26.892340345353134</v>
      </c>
      <c r="D189" s="14">
        <f>Assumptions!C34/(Assumptions!C52+C188+C196)</f>
        <v>26.892340345353134</v>
      </c>
      <c r="E189" s="14">
        <f>Assumptions!C34/(Assumptions!C52+D188+D196)</f>
        <v>26.77912092176038</v>
      </c>
      <c r="F189" s="14">
        <f>Assumptions!C34/(Assumptions!C52+E188+E196)</f>
        <v>26.776936946064044</v>
      </c>
      <c r="G189" s="14">
        <f>Assumptions!C34/(Assumptions!C52+F188+F196)</f>
        <v>26.77690661675347</v>
      </c>
      <c r="H189" s="14">
        <f>Assumptions!C34/(Assumptions!C52+G188+G196)</f>
        <v>26.77690619552988</v>
      </c>
    </row>
    <row r="190" spans="2:8" x14ac:dyDescent="0.25">
      <c r="B190" s="5" t="s">
        <v>242</v>
      </c>
      <c r="C190" s="14">
        <f>C182*(1-Assumptions!C35)</f>
        <v>26.216642701651246</v>
      </c>
      <c r="D190" s="14">
        <f>D182*(1-Assumptions!C35)</f>
        <v>25.81664673153901</v>
      </c>
      <c r="E190" s="14">
        <f>E182*(1-Assumptions!C35)</f>
        <v>25.57531213939338</v>
      </c>
      <c r="F190" s="14">
        <f>F182*(1-Assumptions!C35)</f>
        <v>25.571992163296756</v>
      </c>
      <c r="G190" s="14">
        <f>G182*(1-Assumptions!C35)</f>
        <v>25.57194606037568</v>
      </c>
      <c r="H190" s="14">
        <f>H182*(1-Assumptions!C35)</f>
        <v>25.571945420083345</v>
      </c>
    </row>
    <row r="191" spans="2:8" x14ac:dyDescent="0.25">
      <c r="B191" s="5" t="s">
        <v>243</v>
      </c>
      <c r="C191" s="14">
        <f>MIN(C189,C190)</f>
        <v>26.216642701651246</v>
      </c>
      <c r="D191" s="14">
        <f>MIN(D189,D190)</f>
        <v>25.81664673153901</v>
      </c>
      <c r="E191" s="14">
        <f>MIN(E189,E190)</f>
        <v>25.57531213939338</v>
      </c>
      <c r="F191" s="14">
        <f>MIN(F189,F190)</f>
        <v>25.571992163296756</v>
      </c>
      <c r="G191" s="14">
        <f>MIN(G189,G190)</f>
        <v>25.57194606037568</v>
      </c>
      <c r="H191" s="14">
        <f>MIN(H189,H190)</f>
        <v>25.571945420083345</v>
      </c>
    </row>
    <row r="192" spans="2:8" x14ac:dyDescent="0.25">
      <c r="B192" s="5" t="s">
        <v>244</v>
      </c>
      <c r="C192" s="8">
        <v>0</v>
      </c>
      <c r="D192" s="8">
        <f>Assumptions!C33/D191</f>
        <v>193673.48718808356</v>
      </c>
      <c r="E192" s="8">
        <f>Assumptions!C33/E191</f>
        <v>195501.03524635202</v>
      </c>
      <c r="F192" s="8">
        <f>Assumptions!C33/F191</f>
        <v>195526.41687324047</v>
      </c>
      <c r="G192" s="8">
        <f>Assumptions!C33/G191</f>
        <v>195526.76938215567</v>
      </c>
      <c r="H192" s="8">
        <f>Assumptions!C33/H191</f>
        <v>195526.77427792287</v>
      </c>
    </row>
    <row r="193" spans="2:8" x14ac:dyDescent="0.25">
      <c r="B193" s="5" t="s">
        <v>245</v>
      </c>
      <c r="C193" s="14">
        <f>Assumptions!C37/(Assumptions!C52+C188+C192)</f>
        <v>43.02774455256501</v>
      </c>
      <c r="D193" s="14">
        <f>Assumptions!C37/(Assumptions!C52+C188+C192)</f>
        <v>43.02774455256501</v>
      </c>
      <c r="E193" s="14">
        <f>Assumptions!C37/(Assumptions!C52+D188+D192)</f>
        <v>42.75008038430739</v>
      </c>
      <c r="F193" s="14">
        <f>Assumptions!C37/(Assumptions!C52+E188+E192)</f>
        <v>42.7456932457467</v>
      </c>
      <c r="G193" s="14">
        <f>Assumptions!C37/(Assumptions!C52+F188+F192)</f>
        <v>42.74563232197097</v>
      </c>
      <c r="H193" s="14">
        <f>Assumptions!C37/(Assumptions!C52+G188+G192)</f>
        <v>42.74563147584148</v>
      </c>
    </row>
    <row r="194" spans="2:8" x14ac:dyDescent="0.25">
      <c r="B194" s="5" t="s">
        <v>246</v>
      </c>
      <c r="C194" s="14">
        <f>C182*(1-Assumptions!C38)</f>
        <v>27.855182870504446</v>
      </c>
      <c r="D194" s="14">
        <f>D182*(1-Assumptions!C38)</f>
        <v>27.430187152260196</v>
      </c>
      <c r="E194" s="14">
        <f>E182*(1-Assumptions!C38)</f>
        <v>27.173769148105464</v>
      </c>
      <c r="F194" s="14">
        <f>F182*(1-Assumptions!C38)</f>
        <v>27.1702416735028</v>
      </c>
      <c r="G194" s="14">
        <f>G182*(1-Assumptions!C38)</f>
        <v>27.17019268914916</v>
      </c>
      <c r="H194" s="14">
        <f>H182*(1-Assumptions!C38)</f>
        <v>27.170192008838555</v>
      </c>
    </row>
    <row r="195" spans="2:8" x14ac:dyDescent="0.25">
      <c r="B195" s="5" t="s">
        <v>247</v>
      </c>
      <c r="C195" s="14">
        <f>MIN(C193,C194)</f>
        <v>27.855182870504446</v>
      </c>
      <c r="D195" s="14">
        <f>MIN(D193,D194)</f>
        <v>27.430187152260196</v>
      </c>
      <c r="E195" s="14">
        <f>MIN(E193,E194)</f>
        <v>27.173769148105464</v>
      </c>
      <c r="F195" s="14">
        <f>MIN(F193,F194)</f>
        <v>27.1702416735028</v>
      </c>
      <c r="G195" s="14">
        <f>MIN(G193,G194)</f>
        <v>27.17019268914916</v>
      </c>
      <c r="H195" s="14">
        <f>MIN(H193,H194)</f>
        <v>27.170192008838555</v>
      </c>
    </row>
    <row r="196" spans="2:8" x14ac:dyDescent="0.25">
      <c r="B196" s="5" t="s">
        <v>248</v>
      </c>
      <c r="C196" s="8">
        <v>0</v>
      </c>
      <c r="D196" s="8">
        <f>Assumptions!C36/D195</f>
        <v>109368.55747091779</v>
      </c>
      <c r="E196" s="8">
        <f>Assumptions!C36/E195</f>
        <v>110400.58460970469</v>
      </c>
      <c r="F196" s="8">
        <f>Assumptions!C36/F195</f>
        <v>110414.91776371228</v>
      </c>
      <c r="G196" s="8">
        <f>Assumptions!C36/G195</f>
        <v>110415.11682757027</v>
      </c>
      <c r="H196" s="8">
        <f>Assumptions!C36/H195</f>
        <v>110415.1195922388</v>
      </c>
    </row>
    <row r="197" spans="2:8" x14ac:dyDescent="0.25">
      <c r="B197" s="5" t="s">
        <v>249</v>
      </c>
      <c r="H197" s="8">
        <f>Assumptions!C52+H188+H185+H187+H192+H196+H183</f>
        <v>38553113.69650692</v>
      </c>
    </row>
    <row r="199" spans="2:13" x14ac:dyDescent="0.25">
      <c r="B199" s="23" t="s">
        <v>250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spans="2:10" x14ac:dyDescent="0.25">
      <c r="B200" s="13" t="s">
        <v>97</v>
      </c>
      <c r="C200" s="13" t="s">
        <v>251</v>
      </c>
      <c r="D200" s="13" t="s">
        <v>252</v>
      </c>
      <c r="E200" s="13" t="s">
        <v>253</v>
      </c>
      <c r="F200" s="13" t="s">
        <v>254</v>
      </c>
      <c r="G200" s="13" t="s">
        <v>255</v>
      </c>
      <c r="H200" s="13" t="s">
        <v>256</v>
      </c>
      <c r="I200" s="13" t="s">
        <v>257</v>
      </c>
      <c r="J200" s="13" t="s">
        <v>258</v>
      </c>
    </row>
    <row r="201" spans="2:10" x14ac:dyDescent="0.25">
      <c r="B201" s="5" t="s">
        <v>259</v>
      </c>
      <c r="C201" s="8">
        <f>H183</f>
        <v>938528.5165340297</v>
      </c>
      <c r="D201" s="14">
        <f>Assumptions!C7</f>
        <v>30000000</v>
      </c>
      <c r="E201" s="8">
        <f>IF(D201&gt;((Assumptions!C57+IF(D212=1,C211*C210,0))*C201/(SUM($C$201:$C$207)+C208+C209+IF(D212=1,C210,0))),1,0)</f>
        <v>0</v>
      </c>
      <c r="F201" s="8">
        <f>IF(D201&gt;((Assumptions!C57+IF(D212=1,C211*C210,0)-(SUMPRODUCT($D$201:$D$207,$E$201:$E$207)-D201*E201))*C201/((((SUM($C$201:$C$207)-SUMPRODUCT($C$201:$C$207,$E$201:$E$207))-C201*(1-E201))+C208+C209+IF(D212=1,C210,0))+C201)),1,0)</f>
        <v>0</v>
      </c>
      <c r="G201" s="8">
        <f>IF(D201&gt;((Assumptions!C57+IF(D212=1,C211*C210,0)-(SUMPRODUCT($D$201:$D$207,$F$201:$F$207)-D201*F201))*C201/((((SUM($C$201:$C$207)-SUMPRODUCT($C$201:$C$207,$F$201:$F$207))-C201*(1-F201))+C208+C209+IF(D212=1,C210,0))+C201)),1,0)</f>
        <v>0</v>
      </c>
      <c r="H201" s="8">
        <f>IF(D201&gt;((Assumptions!C57+IF(D212=1,C211*C210,0)-(SUMPRODUCT($D$201:$D$207,$G$201:$G$207)-D201*G201))*C201/((((SUM($C$201:$C$207)-SUMPRODUCT($C$201:$C$207,$G$201:$G$207))-C201*(1-G201))+C208+C209+IF(D212=1,C210,0))+C201)),1,0)</f>
        <v>0</v>
      </c>
      <c r="I201" s="14">
        <f>((Assumptions!C57+IF(D212=1,C211*C210,0)-(SUMPRODUCT($D$201:$D$207,$H$201:$H$207)-D201*H201))*C201/((((SUM($C$201:$C$207)-SUMPRODUCT($C$201:$C$207,$H$201:$H$207))-C201*(1-H201))+C208+C209+IF(D212=1,C210,0))+C201))</f>
        <v>52055329.292108014</v>
      </c>
      <c r="J201" s="14">
        <f>IF(H201=1,D201,I201)</f>
        <v>52055329.292108014</v>
      </c>
    </row>
    <row r="202" spans="2:10" x14ac:dyDescent="0.25">
      <c r="B202" s="5" t="s">
        <v>109</v>
      </c>
      <c r="C202" s="8">
        <f>Assumptions!C48+H187</f>
        <v>6156542.127359069</v>
      </c>
      <c r="D202" s="14">
        <f>Assumptions!C30</f>
        <v>300000000</v>
      </c>
      <c r="E202" s="8">
        <f>IF(D202&gt;((Assumptions!C57+IF(D212=1,C211*C210,0))*C202/(SUM($C$201:$C$207)+C208+C209+IF(D212=1,C210,0))),1,0)</f>
        <v>0</v>
      </c>
      <c r="F202" s="8">
        <f>IF(D202&gt;((Assumptions!C57+IF(D212=1,C211*C210,0)-(SUMPRODUCT($D$201:$D$207,$E$201:$E$207)-D202*E202))*C202/((((SUM($C$201:$C$207)-SUMPRODUCT($C$201:$C$207,$E$201:$E$207))-C202*(1-E202))+C208+C209+IF(D212=1,C210,0))+C202)),1,0)</f>
        <v>0</v>
      </c>
      <c r="G202" s="8">
        <f>IF(D202&gt;((Assumptions!C57+IF(D212=1,C211*C210,0)-(SUMPRODUCT($D$201:$D$207,$F$201:$F$207)-D202*F202))*C202/((((SUM($C$201:$C$207)-SUMPRODUCT($C$201:$C$207,$F$201:$F$207))-C202*(1-F202))+C208+C209+IF(D212=1,C210,0))+C202)),1,0)</f>
        <v>0</v>
      </c>
      <c r="H202" s="8">
        <f>IF(D202&gt;((Assumptions!C57+IF(D212=1,C211*C210,0)-(SUMPRODUCT($D$201:$D$207,$G$201:$G$207)-D202*G202))*C202/((((SUM($C$201:$C$207)-SUMPRODUCT($C$201:$C$207,$G$201:$G$207))-C202*(1-G202))+C208+C209+IF(D212=1,C210,0))+C202)),1,0)</f>
        <v>0</v>
      </c>
      <c r="I202" s="14">
        <f>((Assumptions!C57+IF(D212=1,C211*C210,0)-(SUMPRODUCT($D$201:$D$207,$H$201:$H$207)-D202*H202))*C202/((((SUM($C$201:$C$207)-SUMPRODUCT($C$201:$C$207,$H$201:$H$207))-C202*(1-H202))+C208+C209+IF(D212=1,C210,0))+C202))</f>
        <v>341471593.1317056</v>
      </c>
      <c r="J202" s="14">
        <f>IF(H202=1,D202,I202)</f>
        <v>341471593.1317056</v>
      </c>
    </row>
    <row r="203" spans="2:10" x14ac:dyDescent="0.25">
      <c r="B203" s="5" t="s">
        <v>108</v>
      </c>
      <c r="C203" s="8">
        <f>Assumptions!C47+H185</f>
        <v>1740196.3781977561</v>
      </c>
      <c r="D203" s="14">
        <f>Assumptions!C29</f>
        <v>100000000</v>
      </c>
      <c r="E203" s="8">
        <f>IF(D203&gt;((Assumptions!C57+IF(D212=1,C211*C210,0))*C203/(SUM($C$201:$C$207)+C208+C209+IF(D212=1,C210,0))),1,0)</f>
        <v>1</v>
      </c>
      <c r="F203" s="8">
        <f>IF(D203&gt;((Assumptions!C57+IF(D212=1,C211*C210,0)-(SUMPRODUCT($D$201:$D$207,$E$201:$E$207)-D203*E203))*C203/((((SUM($C$201:$C$207)-SUMPRODUCT($C$201:$C$207,$E$201:$E$207))-C203*(1-E203))+C208+C209+IF(D212=1,C210,0))+C203)),1,0)</f>
        <v>1</v>
      </c>
      <c r="G203" s="8">
        <f>IF(D203&gt;((Assumptions!C57+IF(D212=1,C211*C210,0)-(SUMPRODUCT($D$201:$D$207,$F$201:$F$207)-D203*F203))*C203/((((SUM($C$201:$C$207)-SUMPRODUCT($C$201:$C$207,$F$201:$F$207))-C203*(1-F203))+C208+C209+IF(D212=1,C210,0))+C203)),1,0)</f>
        <v>1</v>
      </c>
      <c r="H203" s="8">
        <f>IF(D203&gt;((Assumptions!C57+IF(D212=1,C211*C210,0)-(SUMPRODUCT($D$201:$D$207,$G$201:$G$207)-D203*G203))*C203/((((SUM($C$201:$C$207)-SUMPRODUCT($C$201:$C$207,$G$201:$G$207))-C203*(1-G203))+C208+C209+IF(D212=1,C210,0))+C203)),1,0)</f>
        <v>1</v>
      </c>
      <c r="I203" s="14">
        <f>((Assumptions!C57+IF(D212=1,C211*C210,0)-(SUMPRODUCT($D$201:$D$207,$H$201:$H$207)-D203*H203))*C203/((((SUM($C$201:$C$207)-SUMPRODUCT($C$201:$C$207,$H$201:$H$207))-C203*(1-H203))+C208+C209+IF(D212=1,C210,0))+C203))</f>
        <v>96687745.83745362</v>
      </c>
      <c r="J203" s="14">
        <f>IF(H203=1,D203,I203)</f>
        <v>100000000</v>
      </c>
    </row>
    <row r="204" spans="2:10" x14ac:dyDescent="0.25">
      <c r="B204" s="5" t="s">
        <v>107</v>
      </c>
      <c r="C204" s="8">
        <f>Assumptions!C46</f>
        <v>2400000</v>
      </c>
      <c r="D204" s="14">
        <f>Assumptions!C28</f>
        <v>60000000</v>
      </c>
      <c r="E204" s="8">
        <f>IF(D204&gt;((Assumptions!C57+IF(D212=1,C211*C210,0))*C204/(SUM($C$201:$C$207)+C208+C209+IF(D212=1,C210,0))),1,0)</f>
        <v>0</v>
      </c>
      <c r="F204" s="8">
        <f>IF(D204&gt;((Assumptions!C57+IF(D212=1,C211*C210,0)-(SUMPRODUCT($D$201:$D$207,$E$201:$E$207)-D204*E204))*C204/((((SUM($C$201:$C$207)-SUMPRODUCT($C$201:$C$207,$E$201:$E$207))-C204*(1-E204))+C208+C209+IF(D212=1,C210,0))+C204)),1,0)</f>
        <v>0</v>
      </c>
      <c r="G204" s="8">
        <f>IF(D204&gt;((Assumptions!C57+IF(D212=1,C211*C210,0)-(SUMPRODUCT($D$201:$D$207,$F$201:$F$207)-D204*F204))*C204/((((SUM($C$201:$C$207)-SUMPRODUCT($C$201:$C$207,$F$201:$F$207))-C204*(1-F204))+C208+C209+IF(D212=1,C210,0))+C204)),1,0)</f>
        <v>0</v>
      </c>
      <c r="H204" s="8">
        <f>IF(D204&gt;((Assumptions!C57+IF(D212=1,C211*C210,0)-(SUMPRODUCT($D$201:$D$207,$G$201:$G$207)-D204*G204))*C204/((((SUM($C$201:$C$207)-SUMPRODUCT($C$201:$C$207,$G$201:$G$207))-C204*(1-G204))+C208+C209+IF(D212=1,C210,0))+C204)),1,0)</f>
        <v>0</v>
      </c>
      <c r="I204" s="14">
        <f>((Assumptions!C57+IF(D212=1,C211*C210,0)-(SUMPRODUCT($D$201:$D$207,$H$201:$H$207)-D204*H204))*C204/((((SUM($C$201:$C$207)-SUMPRODUCT($C$201:$C$207,$H$201:$H$207))-C204*(1-H204))+C208+C209+IF(D212=1,C210,0))+C204))</f>
        <v>133115603.94822517</v>
      </c>
      <c r="J204" s="14">
        <f>IF(H204=1,D204,I204)</f>
        <v>133115603.94822517</v>
      </c>
    </row>
    <row r="205" spans="2:10" x14ac:dyDescent="0.25">
      <c r="B205" s="5" t="s">
        <v>106</v>
      </c>
      <c r="C205" s="8">
        <f>Assumptions!C45</f>
        <v>3000000</v>
      </c>
      <c r="D205" s="14">
        <f>Assumptions!C27</f>
        <v>30000000</v>
      </c>
      <c r="E205" s="8">
        <f>IF(D205&gt;((Assumptions!C57+IF(D212=1,C211*C210,0))*C205/(SUM($C$201:$C$207)+C208+C209+IF(D212=1,C210,0))),1,0)</f>
        <v>0</v>
      </c>
      <c r="F205" s="8">
        <f>IF(D205&gt;((Assumptions!C57+IF(D212=1,C211*C210,0)-(SUMPRODUCT($D$201:$D$207,$E$201:$E$207)-D205*E205))*C205/((((SUM($C$201:$C$207)-SUMPRODUCT($C$201:$C$207,$E$201:$E$207))-C205*(1-E205))+C208+C209+IF(D212=1,C210,0))+C205)),1,0)</f>
        <v>0</v>
      </c>
      <c r="G205" s="8">
        <f>IF(D205&gt;((Assumptions!C57+IF(D212=1,C211*C210,0)-(SUMPRODUCT($D$201:$D$207,$F$201:$F$207)-D205*F205))*C205/((((SUM($C$201:$C$207)-SUMPRODUCT($C$201:$C$207,$F$201:$F$207))-C205*(1-F205))+C208+C209+IF(D212=1,C210,0))+C205)),1,0)</f>
        <v>0</v>
      </c>
      <c r="H205" s="8">
        <f>IF(D205&gt;((Assumptions!C57+IF(D212=1,C211*C210,0)-(SUMPRODUCT($D$201:$D$207,$G$201:$G$207)-D205*G205))*C205/((((SUM($C$201:$C$207)-SUMPRODUCT($C$201:$C$207,$G$201:$G$207))-C205*(1-G205))+C208+C209+IF(D212=1,C210,0))+C205)),1,0)</f>
        <v>0</v>
      </c>
      <c r="I205" s="14">
        <f>((Assumptions!C57+IF(D212=1,C211*C210,0)-(SUMPRODUCT($D$201:$D$207,$H$201:$H$207)-D205*H205))*C205/((((SUM($C$201:$C$207)-SUMPRODUCT($C$201:$C$207,$H$201:$H$207))-C205*(1-H205))+C208+C209+IF(D212=1,C210,0))+C205))</f>
        <v>166394504.93528146</v>
      </c>
      <c r="J205" s="14">
        <f>IF(H205=1,D205,I205)</f>
        <v>166394504.93528146</v>
      </c>
    </row>
    <row r="206" spans="2:10" x14ac:dyDescent="0.25">
      <c r="B206" s="5" t="s">
        <v>105</v>
      </c>
      <c r="C206" s="8">
        <f>Assumptions!C44</f>
        <v>5000000</v>
      </c>
      <c r="D206" s="14">
        <f>Assumptions!C26</f>
        <v>15000000</v>
      </c>
      <c r="E206" s="8">
        <f>IF(D206&gt;((Assumptions!C57+IF(D212=1,C211*C210,0))*C206/(SUM($C$201:$C$207)+C208+C209+IF(D212=1,C210,0))),1,0)</f>
        <v>0</v>
      </c>
      <c r="F206" s="8">
        <f>IF(D206&gt;((Assumptions!C57+IF(D212=1,C211*C210,0)-(SUMPRODUCT($D$201:$D$207,$E$201:$E$207)-D206*E206))*C206/((((SUM($C$201:$C$207)-SUMPRODUCT($C$201:$C$207,$E$201:$E$207))-C206*(1-E206))+C208+C209+IF(D212=1,C210,0))+C206)),1,0)</f>
        <v>0</v>
      </c>
      <c r="G206" s="8">
        <f>IF(D206&gt;((Assumptions!C57+IF(D212=1,C211*C210,0)-(SUMPRODUCT($D$201:$D$207,$F$201:$F$207)-D206*F206))*C206/((((SUM($C$201:$C$207)-SUMPRODUCT($C$201:$C$207,$F$201:$F$207))-C206*(1-F206))+C208+C209+IF(D212=1,C210,0))+C206)),1,0)</f>
        <v>0</v>
      </c>
      <c r="H206" s="8">
        <f>IF(D206&gt;((Assumptions!C57+IF(D212=1,C211*C210,0)-(SUMPRODUCT($D$201:$D$207,$G$201:$G$207)-D206*G206))*C206/((((SUM($C$201:$C$207)-SUMPRODUCT($C$201:$C$207,$G$201:$G$207))-C206*(1-G206))+C208+C209+IF(D212=1,C210,0))+C206)),1,0)</f>
        <v>0</v>
      </c>
      <c r="I206" s="14">
        <f>((Assumptions!C57+IF(D212=1,C211*C210,0)-(SUMPRODUCT($D$201:$D$207,$H$201:$H$207)-D206*H206))*C206/((((SUM($C$201:$C$207)-SUMPRODUCT($C$201:$C$207,$H$201:$H$207))-C206*(1-H206))+C208+C209+IF(D212=1,C210,0))+C206))</f>
        <v>277324174.89213574</v>
      </c>
      <c r="J206" s="14">
        <f>IF(H206=1,D206,I206)</f>
        <v>277324174.89213574</v>
      </c>
    </row>
    <row r="207" spans="2:10" x14ac:dyDescent="0.25">
      <c r="B207" s="5" t="s">
        <v>104</v>
      </c>
      <c r="C207" s="8">
        <f>Assumptions!C43</f>
        <v>5000000</v>
      </c>
      <c r="D207" s="14">
        <f>Assumptions!C25</f>
        <v>5000000</v>
      </c>
      <c r="E207" s="8">
        <f>IF(D207&gt;((Assumptions!C57+IF(D212=1,C211*C210,0))*C207/(SUM($C$201:$C$207)+C208+C209+IF(D212=1,C210,0))),1,0)</f>
        <v>0</v>
      </c>
      <c r="F207" s="8">
        <f>IF(D207&gt;((Assumptions!C57+IF(D212=1,C211*C210,0)-(SUMPRODUCT($D$201:$D$207,$E$201:$E$207)-D207*E207))*C207/((((SUM($C$201:$C$207)-SUMPRODUCT($C$201:$C$207,$E$201:$E$207))-C207*(1-E207))+C208+C209+IF(D212=1,C210,0))+C207)),1,0)</f>
        <v>0</v>
      </c>
      <c r="G207" s="8">
        <f>IF(D207&gt;((Assumptions!C57+IF(D212=1,C211*C210,0)-(SUMPRODUCT($D$201:$D$207,$F$201:$F$207)-D207*F207))*C207/((((SUM($C$201:$C$207)-SUMPRODUCT($C$201:$C$207,$F$201:$F$207))-C207*(1-F207))+C208+C209+IF(D212=1,C210,0))+C207)),1,0)</f>
        <v>0</v>
      </c>
      <c r="H207" s="8">
        <f>IF(D207&gt;((Assumptions!C57+IF(D212=1,C211*C210,0)-(SUMPRODUCT($D$201:$D$207,$G$201:$G$207)-D207*G207))*C207/((((SUM($C$201:$C$207)-SUMPRODUCT($C$201:$C$207,$G$201:$G$207))-C207*(1-G207))+C208+C209+IF(D212=1,C210,0))+C207)),1,0)</f>
        <v>0</v>
      </c>
      <c r="I207" s="14">
        <f>((Assumptions!C57+IF(D212=1,C211*C210,0)-(SUMPRODUCT($D$201:$D$207,$H$201:$H$207)-D207*H207))*C207/((((SUM($C$201:$C$207)-SUMPRODUCT($C$201:$C$207,$H$201:$H$207))-C207*(1-H207))+C208+C209+IF(D212=1,C210,0))+C207))</f>
        <v>277324174.89213574</v>
      </c>
      <c r="J207" s="14">
        <f>IF(H207=1,D207,I207)</f>
        <v>277324174.89213574</v>
      </c>
    </row>
    <row r="208" spans="2:10" x14ac:dyDescent="0.25">
      <c r="B208" s="5" t="s">
        <v>260</v>
      </c>
      <c r="C208" s="8">
        <f>H192+H196</f>
        <v>305941.8938701617</v>
      </c>
      <c r="J208" s="14">
        <f>(Assumptions!C57+IF(D212=1,C211*C210,0)-SUMPRODUCT($D$201:$D$207,$H$201:$H$207))*C208/((SUM($C$201:$C$207)-SUMPRODUCT($C$201:$C$207,$H$201:$H$207))+C208+C209+IF(D212=1,C210,0))</f>
        <v>16969016.656495992</v>
      </c>
    </row>
    <row r="209" spans="2:10" x14ac:dyDescent="0.25">
      <c r="B209" s="5" t="s">
        <v>261</v>
      </c>
      <c r="C209" s="8">
        <f>Assumptions!C41+Assumptions!C42</f>
        <v>9000000</v>
      </c>
      <c r="J209" s="14">
        <f>(Assumptions!C57+IF(D212=1,C211*C210,0)-SUMPRODUCT($D$201:$D$207,$H$201:$H$207))*C209/((SUM($C$201:$C$207)-SUMPRODUCT($C$201:$C$207,$H$201:$H$207))+C208+C209+IF(D212=1,C210,0))</f>
        <v>499183514.80584437</v>
      </c>
    </row>
    <row r="210" spans="2:13" x14ac:dyDescent="0.25">
      <c r="B210" s="5" t="s">
        <v>262</v>
      </c>
      <c r="C210" s="8">
        <f>Assumptions!C49</f>
        <v>2500000</v>
      </c>
      <c r="J210" s="14">
        <f>IF(D212=1,(Assumptions!C57+IF(D212=1,C211*C210,0)-SUMPRODUCT($D$201:$D$207,$H$201:$H$207))*C210/((SUM($C$201:$C$207)-SUMPRODUCT($C$201:$C$207,$H$201:$H$207))+C208+C209+IF(D212=1,C210,0))-C211*C210,0)</f>
        <v>136162087.44606787</v>
      </c>
      <c r="M210" s="8">
        <f>Assumptions!C11/H182</f>
        <v>312842.8388446766</v>
      </c>
    </row>
    <row r="211" spans="2:13" x14ac:dyDescent="0.25">
      <c r="B211" s="12" t="s">
        <v>263</v>
      </c>
      <c r="C211" s="14">
        <f>Assumptions!C13</f>
        <v>1</v>
      </c>
      <c r="M211" s="33">
        <f>M210/H197</f>
        <v>0.008114593319424199</v>
      </c>
    </row>
    <row r="212" spans="2:13" x14ac:dyDescent="0.25">
      <c r="B212" s="12" t="s">
        <v>264</v>
      </c>
      <c r="C212" s="14">
        <f>(Assumptions!C57+C211*C210)/(SUM(C201:C207)+C208+C209+C210)</f>
        <v>55.56139930459391</v>
      </c>
      <c r="D212" s="8">
        <f>IF(C212&gt;C211,1,0)</f>
        <v>1</v>
      </c>
      <c r="M212" s="15">
        <f>J201*(Assumptions!C11/Assumptions!C7)</f>
        <v>17351776.43070267</v>
      </c>
    </row>
    <row r="213" spans="2:10" x14ac:dyDescent="0.25">
      <c r="B213" s="12" t="s">
        <v>265</v>
      </c>
      <c r="J213" s="34">
        <f>SUM(J201:J210)</f>
        <v>2000000000.0000002</v>
      </c>
    </row>
    <row r="214" spans="2:10" x14ac:dyDescent="0.25">
      <c r="B214" s="5" t="s">
        <v>197</v>
      </c>
      <c r="J214" s="22">
        <f>ROUND(J213-Assumptions!C57,2)</f>
        <v>0</v>
      </c>
    </row>
    <row r="230" spans="2:13" x14ac:dyDescent="0.25">
      <c r="B230" s="3" t="s">
        <v>269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2:8" x14ac:dyDescent="0.25">
      <c r="B231" s="13" t="s">
        <v>234</v>
      </c>
      <c r="C231" s="13">
        <v>0</v>
      </c>
      <c r="D231" s="13">
        <v>1</v>
      </c>
      <c r="E231" s="13">
        <v>2</v>
      </c>
      <c r="F231" s="13">
        <v>3</v>
      </c>
      <c r="G231" s="13">
        <v>4</v>
      </c>
      <c r="H231" s="13">
        <v>5</v>
      </c>
    </row>
    <row r="232" spans="2:8" x14ac:dyDescent="0.25">
      <c r="B232" s="5" t="s">
        <v>99</v>
      </c>
      <c r="C232" s="14">
        <f>Assumptions!D63/Assumptions!C52</f>
        <v>38.23260393990807</v>
      </c>
      <c r="D232" s="14">
        <f>Assumptions!D63/(Assumptions!C52+C238+C242+C246)</f>
        <v>37.67323729412285</v>
      </c>
      <c r="E232" s="14">
        <f>Assumptions!D63/(Assumptions!C52+D238+D242+D246)</f>
        <v>37.34825021747386</v>
      </c>
      <c r="F232" s="14">
        <f>Assumptions!D63/(Assumptions!C52+E238+E242+E246)</f>
        <v>37.34528066210184</v>
      </c>
      <c r="G232" s="14">
        <f>Assumptions!D63/(Assumptions!C52+F238+F242+F246)</f>
        <v>37.34524742375141</v>
      </c>
      <c r="H232" s="14">
        <f>Assumptions!D63/(Assumptions!C52+G238+G242+G246)</f>
        <v>37.34524707324227</v>
      </c>
    </row>
    <row r="233" spans="2:8" x14ac:dyDescent="0.25">
      <c r="B233" s="5" t="s">
        <v>235</v>
      </c>
      <c r="C233" s="8">
        <f>Assumptions!C7/C232</f>
        <v>784670.5928571428</v>
      </c>
      <c r="D233" s="8">
        <f>Assumptions!C7/D232</f>
        <v>796321.2655653593</v>
      </c>
      <c r="E233" s="8">
        <f>Assumptions!C7/E232</f>
        <v>803250.4822933876</v>
      </c>
      <c r="F233" s="8">
        <f>Assumptions!C7/F232</f>
        <v>803314.3537315583</v>
      </c>
      <c r="G233" s="8">
        <f>Assumptions!C7/G232</f>
        <v>803315.0687045692</v>
      </c>
      <c r="H233" s="8">
        <f>Assumptions!C7/H232</f>
        <v>803315.0762441973</v>
      </c>
    </row>
    <row r="234" spans="2:8" x14ac:dyDescent="0.25">
      <c r="B234" s="5" t="s">
        <v>236</v>
      </c>
      <c r="C234" s="14">
        <f>Assumptions!C20*(Assumptions!C52+Assumptions!C7/Assumptions!C20)/(Assumptions!C52+Assumptions!C7/C232)</f>
        <v>57.7011635791589</v>
      </c>
      <c r="D234" s="14">
        <f>Assumptions!C20*(Assumptions!C52+Assumptions!C7/Assumptions!C20)/(Assumptions!C52+Assumptions!C7/D232)</f>
        <v>57.683195644695466</v>
      </c>
      <c r="E234" s="14">
        <f>Assumptions!C20*(Assumptions!C52+Assumptions!C7/Assumptions!C20)/(Assumptions!C52+Assumptions!C7/E232)</f>
        <v>57.6725145537218</v>
      </c>
      <c r="F234" s="14">
        <f>Assumptions!C20*(Assumptions!C52+Assumptions!C7/Assumptions!C20)/(Assumptions!C52+Assumptions!C7/F232)</f>
        <v>57.672416117032704</v>
      </c>
      <c r="G234" s="14">
        <f>Assumptions!C20*(Assumptions!C52+Assumptions!C7/Assumptions!C20)/(Assumptions!C52+Assumptions!C7/G232)</f>
        <v>57.67241501514027</v>
      </c>
      <c r="H234" s="14">
        <f>Assumptions!C20*(Assumptions!C52+Assumptions!C7/Assumptions!C20)/(Assumptions!C52+Assumptions!C7/H232)</f>
        <v>57.67241500352045</v>
      </c>
    </row>
    <row r="235" spans="2:8" x14ac:dyDescent="0.25">
      <c r="B235" s="5" t="s">
        <v>237</v>
      </c>
      <c r="C235" s="8">
        <f>MAX(0,IF(C232&lt;Assumptions!C20,Assumptions!C29/C234-Assumptions!C47,0))</f>
        <v>12440.3039688757</v>
      </c>
      <c r="D235" s="8">
        <f>MAX(0,IF(D232&lt;Assumptions!C20,Assumptions!C29/D234-Assumptions!C47,0))</f>
        <v>12980.1429876818</v>
      </c>
      <c r="E235" s="8">
        <f>MAX(0,IF(E232&lt;Assumptions!C20,Assumptions!C29/E234-Assumptions!C47,0))</f>
        <v>13301.2112773191</v>
      </c>
      <c r="F235" s="8">
        <f>MAX(0,IF(F232&lt;Assumptions!C20,Assumptions!C29/F234-Assumptions!C47,0))</f>
        <v>13304.17078836</v>
      </c>
      <c r="G235" s="8">
        <f>MAX(0,IF(G232&lt;Assumptions!C20,Assumptions!C29/G234-Assumptions!C47,0))</f>
        <v>13304.2039169474</v>
      </c>
      <c r="H235" s="8">
        <f>MAX(0,IF(H232&lt;Assumptions!C20,Assumptions!C29/H234-Assumptions!C47,0))</f>
        <v>13304.2042662993</v>
      </c>
    </row>
    <row r="236" spans="2:8" x14ac:dyDescent="0.25">
      <c r="B236" s="5" t="s">
        <v>238</v>
      </c>
      <c r="C236" s="14">
        <f>Assumptions!C22*(Assumptions!C52+Assumptions!C7/Assumptions!C22)/(Assumptions!C52+Assumptions!C7/C232)</f>
        <v>48.92910036237569</v>
      </c>
      <c r="D236" s="14">
        <f>Assumptions!C22*(Assumptions!C52+Assumptions!C7/Assumptions!C22)/(Assumptions!C52+Assumptions!C7/D232)</f>
        <v>48.91386401679559</v>
      </c>
      <c r="E236" s="14">
        <f>Assumptions!C22*(Assumptions!C52+Assumptions!C7/Assumptions!C22)/(Assumptions!C52+Assumptions!C7/E232)</f>
        <v>48.90480672678941</v>
      </c>
      <c r="F236" s="14">
        <f>Assumptions!C22*(Assumptions!C52+Assumptions!C7/Assumptions!C22)/(Assumptions!C52+Assumptions!C7/F232)</f>
        <v>48.90472325501274</v>
      </c>
      <c r="G236" s="14">
        <f>Assumptions!C22*(Assumptions!C52+Assumptions!C7/Assumptions!C22)/(Assumptions!C52+Assumptions!C7/G232)</f>
        <v>48.904722320636346</v>
      </c>
      <c r="H236" s="14">
        <f>Assumptions!C22*(Assumptions!C52+Assumptions!C7/Assumptions!C22)/(Assumptions!C52+Assumptions!C7/H232)</f>
        <v>48.90472231078303</v>
      </c>
    </row>
    <row r="237" spans="2:8" x14ac:dyDescent="0.25">
      <c r="B237" s="5" t="s">
        <v>239</v>
      </c>
      <c r="C237" s="8">
        <f>MAX(0,IF(C232&lt;Assumptions!C22,Assumptions!C30/C236-Assumptions!C48,0))</f>
        <v>28653.579740042</v>
      </c>
      <c r="D237" s="8">
        <f>MAX(0,IF(D232&lt;Assumptions!C22,Assumptions!C30/D236-Assumptions!C48,0))</f>
        <v>30563.445605131</v>
      </c>
      <c r="E237" s="8">
        <f>MAX(0,IF(E232&lt;Assumptions!C22,Assumptions!C30/E236-Assumptions!C48,0))</f>
        <v>31699.334908015</v>
      </c>
      <c r="F237" s="8">
        <f>MAX(0,IF(F232&lt;Assumptions!C22,Assumptions!C30/F236-Assumptions!C48,0))</f>
        <v>31709.805194373</v>
      </c>
      <c r="G237" s="8">
        <f>MAX(0,IF(G232&lt;Assumptions!C22,Assumptions!C30/G236-Assumptions!C48,0))</f>
        <v>31709.922398123</v>
      </c>
      <c r="H237" s="8">
        <f>MAX(0,IF(H232&lt;Assumptions!C22,Assumptions!C30/H236-Assumptions!C48,0))</f>
        <v>31709.9236340765</v>
      </c>
    </row>
    <row r="238" spans="2:8" x14ac:dyDescent="0.25">
      <c r="B238" s="5" t="s">
        <v>240</v>
      </c>
      <c r="C238" s="8">
        <f>MAX(0,(Assumptions!D62*(Assumptions!C52+C235+C237+C233+C242+C246)-Assumptions!C51)/(1-Assumptions!D62))</f>
        <v>543698.0597167689</v>
      </c>
      <c r="D238" s="8">
        <f>MAX(0,(Assumptions!D62*(Assumptions!C52+D235+D237+D233+D242+D246)-Assumptions!C51)/(1-Assumptions!D62))</f>
        <v>587568.3569537805</v>
      </c>
      <c r="E238" s="8">
        <f>MAX(0,(Assumptions!D62*(Assumptions!C52+E235+E237+E233+E242+E246)-Assumptions!C51)/(1-Assumptions!D62))</f>
        <v>589046.0463403552</v>
      </c>
      <c r="F238" s="8">
        <f>MAX(0,(Assumptions!D62*(Assumptions!C52+F235+F237+F233+F242+F246)-Assumptions!C51)/(1-Assumptions!D62))</f>
        <v>589060.4330039104</v>
      </c>
      <c r="G238" s="8">
        <f>MAX(0,(Assumptions!D62*(Assumptions!C52+G235+G237+G233+G242+G246)-Assumptions!C51)/(1-Assumptions!D62))</f>
        <v>589060.5912340161</v>
      </c>
      <c r="H238" s="8">
        <f>MAX(0,(Assumptions!D62*(Assumptions!C52+H235+H237+H233+H242+H246)-Assumptions!C51)/(1-Assumptions!D62))</f>
        <v>589060.5929111207</v>
      </c>
    </row>
    <row r="239" spans="2:8" x14ac:dyDescent="0.25">
      <c r="B239" s="5" t="s">
        <v>241</v>
      </c>
      <c r="C239" s="14">
        <f>Assumptions!C34/(Assumptions!C52+C238+C246)</f>
        <v>26.90945521008775</v>
      </c>
      <c r="D239" s="14">
        <f>Assumptions!C34/(Assumptions!C52+C238+C246)</f>
        <v>26.90945521008775</v>
      </c>
      <c r="E239" s="14">
        <f>Assumptions!C34/(Assumptions!C52+D238+D246)</f>
        <v>26.810216277575595</v>
      </c>
      <c r="F239" s="14">
        <f>Assumptions!C34/(Assumptions!C52+E238+E246)</f>
        <v>26.80856827678712</v>
      </c>
      <c r="G239" s="14">
        <f>Assumptions!C34/(Assumptions!C52+F238+F246)</f>
        <v>26.808552536597915</v>
      </c>
      <c r="H239" s="14">
        <f>Assumptions!C34/(Assumptions!C52+G238+G246)</f>
        <v>26.808552362425235</v>
      </c>
    </row>
    <row r="240" spans="2:8" x14ac:dyDescent="0.25">
      <c r="B240" s="5" t="s">
        <v>242</v>
      </c>
      <c r="C240" s="14">
        <f>C232*(1-Assumptions!C35)</f>
        <v>30.586083151926456</v>
      </c>
      <c r="D240" s="14">
        <f>D232*(1-Assumptions!C35)</f>
        <v>30.13858983529828</v>
      </c>
      <c r="E240" s="14">
        <f>E232*(1-Assumptions!C35)</f>
        <v>29.878600173979088</v>
      </c>
      <c r="F240" s="14">
        <f>F232*(1-Assumptions!C35)</f>
        <v>29.876224529681473</v>
      </c>
      <c r="G240" s="14">
        <f>G232*(1-Assumptions!C35)</f>
        <v>29.876197939001127</v>
      </c>
      <c r="H240" s="14">
        <f>H232*(1-Assumptions!C35)</f>
        <v>29.876197658593817</v>
      </c>
    </row>
    <row r="241" spans="2:8" x14ac:dyDescent="0.25">
      <c r="B241" s="5" t="s">
        <v>243</v>
      </c>
      <c r="C241" s="14">
        <f>MIN(C239,C240)</f>
        <v>26.90945521008775</v>
      </c>
      <c r="D241" s="14">
        <f>MIN(D239,D240)</f>
        <v>26.90945521008775</v>
      </c>
      <c r="E241" s="14">
        <f>MIN(E239,E240)</f>
        <v>26.810216277575595</v>
      </c>
      <c r="F241" s="14">
        <f>MIN(F239,F240)</f>
        <v>26.80856827678712</v>
      </c>
      <c r="G241" s="14">
        <f>MIN(G239,G240)</f>
        <v>26.808552536597915</v>
      </c>
      <c r="H241" s="14">
        <f>MIN(H239,H240)</f>
        <v>26.808552362425235</v>
      </c>
    </row>
    <row r="242" spans="2:8" x14ac:dyDescent="0.25">
      <c r="B242" s="5" t="s">
        <v>244</v>
      </c>
      <c r="C242" s="8">
        <v>0</v>
      </c>
      <c r="D242" s="8">
        <f>Assumptions!C33/D241</f>
        <v>185808.29529858383</v>
      </c>
      <c r="E242" s="8">
        <f>Assumptions!C33/E241</f>
        <v>186496.07105863086</v>
      </c>
      <c r="F242" s="8">
        <f>Assumptions!C33/F241</f>
        <v>186507.53551540375</v>
      </c>
      <c r="G242" s="8">
        <f>Assumptions!C33/G241</f>
        <v>186507.64502015576</v>
      </c>
      <c r="H242" s="8">
        <f>Assumptions!C33/H241</f>
        <v>186507.64623187864</v>
      </c>
    </row>
    <row r="243" spans="2:8" x14ac:dyDescent="0.25">
      <c r="B243" s="5" t="s">
        <v>245</v>
      </c>
      <c r="C243" s="14">
        <f>Assumptions!C37/(Assumptions!C52+C238+C242)</f>
        <v>43.0551283361404</v>
      </c>
      <c r="D243" s="14">
        <f>Assumptions!C37/(Assumptions!C52+C238+C242)</f>
        <v>43.0551283361404</v>
      </c>
      <c r="E243" s="14">
        <f>Assumptions!C37/(Assumptions!C52+D238+D242)</f>
        <v>42.79065956078787</v>
      </c>
      <c r="F243" s="14">
        <f>Assumptions!C37/(Assumptions!C52+E238+E242)</f>
        <v>42.78818154524627</v>
      </c>
      <c r="G243" s="14">
        <f>Assumptions!C37/(Assumptions!C52+F238+F242)</f>
        <v>42.78815196466213</v>
      </c>
      <c r="H243" s="14">
        <f>Assumptions!C37/(Assumptions!C52+G238+G242)</f>
        <v>42.78815165830219</v>
      </c>
    </row>
    <row r="244" spans="2:8" x14ac:dyDescent="0.25">
      <c r="B244" s="5" t="s">
        <v>246</v>
      </c>
      <c r="C244" s="14">
        <f>C232*(1-Assumptions!C38)</f>
        <v>32.49771334892186</v>
      </c>
      <c r="D244" s="14">
        <f>D232*(1-Assumptions!C38)</f>
        <v>32.022251700004425</v>
      </c>
      <c r="E244" s="14">
        <f>E232*(1-Assumptions!C38)</f>
        <v>31.74601268485278</v>
      </c>
      <c r="F244" s="14">
        <f>F232*(1-Assumptions!C38)</f>
        <v>31.743488562786563</v>
      </c>
      <c r="G244" s="14">
        <f>G232*(1-Assumptions!C38)</f>
        <v>31.7434603101887</v>
      </c>
      <c r="H244" s="14">
        <f>H232*(1-Assumptions!C38)</f>
        <v>31.74346001225593</v>
      </c>
    </row>
    <row r="245" spans="2:8" x14ac:dyDescent="0.25">
      <c r="B245" s="5" t="s">
        <v>247</v>
      </c>
      <c r="C245" s="14">
        <f>MIN(C243,C244)</f>
        <v>32.49771334892186</v>
      </c>
      <c r="D245" s="14">
        <f>MIN(D243,D244)</f>
        <v>32.022251700004425</v>
      </c>
      <c r="E245" s="14">
        <f>MIN(E243,E244)</f>
        <v>31.74601268485278</v>
      </c>
      <c r="F245" s="14">
        <f>MIN(F243,F244)</f>
        <v>31.743488562786563</v>
      </c>
      <c r="G245" s="14">
        <f>MIN(G243,G244)</f>
        <v>31.7434603101887</v>
      </c>
      <c r="H245" s="14">
        <f>MIN(H243,H244)</f>
        <v>31.74346001225593</v>
      </c>
    </row>
    <row r="246" spans="2:8" x14ac:dyDescent="0.25">
      <c r="B246" s="5" t="s">
        <v>248</v>
      </c>
      <c r="C246" s="8">
        <v>0</v>
      </c>
      <c r="D246" s="8">
        <f>Assumptions!C36/D245</f>
        <v>93684.8547723952</v>
      </c>
      <c r="E246" s="8">
        <f>Assumptions!C36/E245</f>
        <v>94500.05674039856</v>
      </c>
      <c r="F246" s="8">
        <f>Assumptions!C36/F245</f>
        <v>94507.57102724216</v>
      </c>
      <c r="G246" s="8">
        <f>Assumptions!C36/G245</f>
        <v>94507.65514171401</v>
      </c>
      <c r="H246" s="8">
        <f>Assumptions!C36/H245</f>
        <v>94507.65602872909</v>
      </c>
    </row>
    <row r="247" spans="2:8" x14ac:dyDescent="0.25">
      <c r="B247" s="5" t="s">
        <v>249</v>
      </c>
      <c r="H247" s="8">
        <f>Assumptions!C52+H238+H235+H237+H242+H246+H233</f>
        <v>38336366.099316314</v>
      </c>
    </row>
    <row r="249" spans="2:13" x14ac:dyDescent="0.25">
      <c r="B249" s="23" t="s">
        <v>250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</row>
    <row r="250" spans="2:10" x14ac:dyDescent="0.25">
      <c r="B250" s="13" t="s">
        <v>97</v>
      </c>
      <c r="C250" s="13" t="s">
        <v>251</v>
      </c>
      <c r="D250" s="13" t="s">
        <v>252</v>
      </c>
      <c r="E250" s="13" t="s">
        <v>253</v>
      </c>
      <c r="F250" s="13" t="s">
        <v>254</v>
      </c>
      <c r="G250" s="13" t="s">
        <v>255</v>
      </c>
      <c r="H250" s="13" t="s">
        <v>256</v>
      </c>
      <c r="I250" s="13" t="s">
        <v>257</v>
      </c>
      <c r="J250" s="13" t="s">
        <v>258</v>
      </c>
    </row>
    <row r="251" spans="2:10" x14ac:dyDescent="0.25">
      <c r="B251" s="5" t="s">
        <v>259</v>
      </c>
      <c r="C251" s="8">
        <f>H233</f>
        <v>803315.0762441973</v>
      </c>
      <c r="D251" s="14">
        <f>Assumptions!C7</f>
        <v>30000000</v>
      </c>
      <c r="E251" s="8">
        <f>IF(D251&gt;((Assumptions!C57+IF(D262=1,C261*C260,0))*C251/(SUM($C$251:$C$257)+C258+C259+IF(D262=1,C260,0))),1,0)</f>
        <v>0</v>
      </c>
      <c r="F251" s="8">
        <f>IF(D251&gt;((Assumptions!C57+IF(D262=1,C261*C260,0)-(SUMPRODUCT($D$251:$D$257,$E$251:$E$257)-D251*E251))*C251/((((SUM($C$251:$C$257)-SUMPRODUCT($C$251:$C$257,$E$251:$E$257))-C251*(1-E251))+C258+C259+IF(D262=1,C260,0))+C251)),1,0)</f>
        <v>0</v>
      </c>
      <c r="G251" s="8">
        <f>IF(D251&gt;((Assumptions!C57+IF(D262=1,C261*C260,0)-(SUMPRODUCT($D$251:$D$257,$F$251:$F$257)-D251*F251))*C251/((((SUM($C$251:$C$257)-SUMPRODUCT($C$251:$C$257,$F$251:$F$257))-C251*(1-F251))+C258+C259+IF(D262=1,C260,0))+C251)),1,0)</f>
        <v>0</v>
      </c>
      <c r="H251" s="8">
        <f>IF(D251&gt;((Assumptions!C57+IF(D262=1,C261*C260,0)-(SUMPRODUCT($D$251:$D$257,$G$251:$G$257)-D251*G251))*C251/((((SUM($C$251:$C$257)-SUMPRODUCT($C$251:$C$257,$G$251:$G$257))-C251*(1-G251))+C258+C259+IF(D262=1,C260,0))+C251)),1,0)</f>
        <v>0</v>
      </c>
      <c r="I251" s="14">
        <f>((Assumptions!C57+IF(D262=1,C261*C260,0)-(SUMPRODUCT($D$251:$D$257,$H$251:$H$257)-D251*H251))*C251/((((SUM($C$251:$C$257)-SUMPRODUCT($C$251:$C$257,$H$251:$H$257))-C251*(1-H251))+C258+C259+IF(D262=1,C260,0))+C251))</f>
        <v>44793811.178736426</v>
      </c>
      <c r="J251" s="14">
        <f>IF(H251=1,D251,I251)</f>
        <v>44793811.178736426</v>
      </c>
    </row>
    <row r="252" spans="2:10" x14ac:dyDescent="0.25">
      <c r="B252" s="5" t="s">
        <v>109</v>
      </c>
      <c r="C252" s="8">
        <f>Assumptions!C48+H237</f>
        <v>6134376.9236340765</v>
      </c>
      <c r="D252" s="14">
        <f>Assumptions!C30</f>
        <v>300000000</v>
      </c>
      <c r="E252" s="8">
        <f>IF(D252&gt;((Assumptions!C57+IF(D262=1,C261*C260,0))*C252/(SUM($C$251:$C$257)+C258+C259+IF(D262=1,C260,0))),1,0)</f>
        <v>0</v>
      </c>
      <c r="F252" s="8">
        <f>IF(D252&gt;((Assumptions!C57+IF(D262=1,C261*C260,0)-(SUMPRODUCT($D$251:$D$257,$E$251:$E$257)-D252*E252))*C252/((((SUM($C$251:$C$257)-SUMPRODUCT($C$251:$C$257,$E$251:$E$257))-C252*(1-E252))+C258+C259+IF(D262=1,C260,0))+C252)),1,0)</f>
        <v>0</v>
      </c>
      <c r="G252" s="8">
        <f>IF(D252&gt;((Assumptions!C57+IF(D262=1,C261*C260,0)-(SUMPRODUCT($D$251:$D$257,$F$251:$F$257)-D252*F252))*C252/((((SUM($C$251:$C$257)-SUMPRODUCT($C$251:$C$257,$F$251:$F$257))-C252*(1-F252))+C258+C259+IF(D262=1,C260,0))+C252)),1,0)</f>
        <v>0</v>
      </c>
      <c r="H252" s="8">
        <f>IF(D252&gt;((Assumptions!C57+IF(D262=1,C261*C260,0)-(SUMPRODUCT($D$251:$D$257,$G$251:$G$257)-D252*G252))*C252/((((SUM($C$251:$C$257)-SUMPRODUCT($C$251:$C$257,$G$251:$G$257))-C252*(1-G252))+C258+C259+IF(D262=1,C260,0))+C252)),1,0)</f>
        <v>0</v>
      </c>
      <c r="I252" s="14">
        <f>((Assumptions!C57+IF(D262=1,C261*C260,0)-(SUMPRODUCT($D$251:$D$257,$H$251:$H$257)-D252*H252))*C252/((((SUM($C$251:$C$257)-SUMPRODUCT($C$251:$C$257,$H$251:$H$257))-C252*(1-H252))+C258+C259+IF(D262=1,C260,0))+C252))</f>
        <v>342060207.4358838</v>
      </c>
      <c r="J252" s="14">
        <f>IF(H252=1,D252,I252)</f>
        <v>342060207.4358838</v>
      </c>
    </row>
    <row r="253" spans="2:10" x14ac:dyDescent="0.25">
      <c r="B253" s="5" t="s">
        <v>108</v>
      </c>
      <c r="C253" s="8">
        <f>Assumptions!C47+H235</f>
        <v>1733931.2042662993</v>
      </c>
      <c r="D253" s="14">
        <f>Assumptions!C29</f>
        <v>100000000</v>
      </c>
      <c r="E253" s="8">
        <f>IF(D253&gt;((Assumptions!C57+IF(D262=1,C261*C260,0))*C253/(SUM($C$251:$C$257)+C258+C259+IF(D262=1,C260,0))),1,0)</f>
        <v>1</v>
      </c>
      <c r="F253" s="8">
        <f>IF(D253&gt;((Assumptions!C57+IF(D262=1,C261*C260,0)-(SUMPRODUCT($D$251:$D$257,$E$251:$E$257)-D253*E253))*C253/((((SUM($C$251:$C$257)-SUMPRODUCT($C$251:$C$257,$E$251:$E$257))-C253*(1-E253))+C258+C259+IF(D262=1,C260,0))+C253)),1,0)</f>
        <v>1</v>
      </c>
      <c r="G253" s="8">
        <f>IF(D253&gt;((Assumptions!C57+IF(D262=1,C261*C260,0)-(SUMPRODUCT($D$251:$D$257,$F$251:$F$257)-D253*F253))*C253/((((SUM($C$251:$C$257)-SUMPRODUCT($C$251:$C$257,$F$251:$F$257))-C253*(1-F253))+C258+C259+IF(D262=1,C260,0))+C253)),1,0)</f>
        <v>1</v>
      </c>
      <c r="H253" s="8">
        <f>IF(D253&gt;((Assumptions!C57+IF(D262=1,C261*C260,0)-(SUMPRODUCT($D$251:$D$257,$G$251:$G$257)-D253*G253))*C253/((((SUM($C$251:$C$257)-SUMPRODUCT($C$251:$C$257,$G$251:$G$257))-C253*(1-G253))+C258+C259+IF(D262=1,C260,0))+C253)),1,0)</f>
        <v>1</v>
      </c>
      <c r="I253" s="14">
        <f>((Assumptions!C57+IF(D262=1,C261*C260,0)-(SUMPRODUCT($D$251:$D$257,$H$251:$H$257)-D253*H253))*C253/((((SUM($C$251:$C$257)-SUMPRODUCT($C$251:$C$257,$H$251:$H$257))-C253*(1-H253))+C258+C259+IF(D262=1,C260,0))+C253))</f>
        <v>96846351.65478672</v>
      </c>
      <c r="J253" s="14">
        <f>IF(H253=1,D253,I253)</f>
        <v>100000000</v>
      </c>
    </row>
    <row r="254" spans="2:10" x14ac:dyDescent="0.25">
      <c r="B254" s="5" t="s">
        <v>107</v>
      </c>
      <c r="C254" s="8">
        <f>Assumptions!C46</f>
        <v>2400000</v>
      </c>
      <c r="D254" s="14">
        <f>Assumptions!C28</f>
        <v>60000000</v>
      </c>
      <c r="E254" s="8">
        <f>IF(D254&gt;((Assumptions!C57+IF(D262=1,C261*C260,0))*C254/(SUM($C$251:$C$257)+C258+C259+IF(D262=1,C260,0))),1,0)</f>
        <v>0</v>
      </c>
      <c r="F254" s="8">
        <f>IF(D254&gt;((Assumptions!C57+IF(D262=1,C261*C260,0)-(SUMPRODUCT($D$251:$D$257,$E$251:$E$257)-D254*E254))*C254/((((SUM($C$251:$C$257)-SUMPRODUCT($C$251:$C$257,$E$251:$E$257))-C254*(1-E254))+C258+C259+IF(D262=1,C260,0))+C254)),1,0)</f>
        <v>0</v>
      </c>
      <c r="G254" s="8">
        <f>IF(D254&gt;((Assumptions!C57+IF(D262=1,C261*C260,0)-(SUMPRODUCT($D$251:$D$257,$F$251:$F$257)-D254*F254))*C254/((((SUM($C$251:$C$257)-SUMPRODUCT($C$251:$C$257,$F$251:$F$257))-C254*(1-F254))+C258+C259+IF(D262=1,C260,0))+C254)),1,0)</f>
        <v>0</v>
      </c>
      <c r="H254" s="8">
        <f>IF(D254&gt;((Assumptions!C57+IF(D262=1,C261*C260,0)-(SUMPRODUCT($D$251:$D$257,$G$251:$G$257)-D254*G254))*C254/((((SUM($C$251:$C$257)-SUMPRODUCT($C$251:$C$257,$G$251:$G$257))-C254*(1-G254))+C258+C259+IF(D262=1,C260,0))+C254)),1,0)</f>
        <v>0</v>
      </c>
      <c r="I254" s="14">
        <f>((Assumptions!C57+IF(D262=1,C261*C260,0)-(SUMPRODUCT($D$251:$D$257,$H$251:$H$257)-D254*H254))*C254/((((SUM($C$251:$C$257)-SUMPRODUCT($C$251:$C$257,$H$251:$H$257))-C254*(1-H254))+C258+C259+IF(D262=1,C260,0))+C254))</f>
        <v>133826875.6657659</v>
      </c>
      <c r="J254" s="14">
        <f>IF(H254=1,D254,I254)</f>
        <v>133826875.6657659</v>
      </c>
    </row>
    <row r="255" spans="2:10" x14ac:dyDescent="0.25">
      <c r="B255" s="5" t="s">
        <v>106</v>
      </c>
      <c r="C255" s="8">
        <f>Assumptions!C45</f>
        <v>3000000</v>
      </c>
      <c r="D255" s="14">
        <f>Assumptions!C27</f>
        <v>30000000</v>
      </c>
      <c r="E255" s="8">
        <f>IF(D255&gt;((Assumptions!C57+IF(D262=1,C261*C260,0))*C255/(SUM($C$251:$C$257)+C258+C259+IF(D262=1,C260,0))),1,0)</f>
        <v>0</v>
      </c>
      <c r="F255" s="8">
        <f>IF(D255&gt;((Assumptions!C57+IF(D262=1,C261*C260,0)-(SUMPRODUCT($D$251:$D$257,$E$251:$E$257)-D255*E255))*C255/((((SUM($C$251:$C$257)-SUMPRODUCT($C$251:$C$257,$E$251:$E$257))-C255*(1-E255))+C258+C259+IF(D262=1,C260,0))+C255)),1,0)</f>
        <v>0</v>
      </c>
      <c r="G255" s="8">
        <f>IF(D255&gt;((Assumptions!C57+IF(D262=1,C261*C260,0)-(SUMPRODUCT($D$251:$D$257,$F$251:$F$257)-D255*F255))*C255/((((SUM($C$251:$C$257)-SUMPRODUCT($C$251:$C$257,$F$251:$F$257))-C255*(1-F255))+C258+C259+IF(D262=1,C260,0))+C255)),1,0)</f>
        <v>0</v>
      </c>
      <c r="H255" s="8">
        <f>IF(D255&gt;((Assumptions!C57+IF(D262=1,C261*C260,0)-(SUMPRODUCT($D$251:$D$257,$G$251:$G$257)-D255*G255))*C255/((((SUM($C$251:$C$257)-SUMPRODUCT($C$251:$C$257,$G$251:$G$257))-C255*(1-G255))+C258+C259+IF(D262=1,C260,0))+C255)),1,0)</f>
        <v>0</v>
      </c>
      <c r="I255" s="14">
        <f>((Assumptions!C57+IF(D262=1,C261*C260,0)-(SUMPRODUCT($D$251:$D$257,$H$251:$H$257)-D255*H255))*C255/((((SUM($C$251:$C$257)-SUMPRODUCT($C$251:$C$257,$H$251:$H$257))-C255*(1-H255))+C258+C259+IF(D262=1,C260,0))+C255))</f>
        <v>167283594.58220735</v>
      </c>
      <c r="J255" s="14">
        <f>IF(H255=1,D255,I255)</f>
        <v>167283594.58220735</v>
      </c>
    </row>
    <row r="256" spans="2:10" x14ac:dyDescent="0.25">
      <c r="B256" s="5" t="s">
        <v>105</v>
      </c>
      <c r="C256" s="8">
        <f>Assumptions!C44</f>
        <v>5000000</v>
      </c>
      <c r="D256" s="14">
        <f>Assumptions!C26</f>
        <v>15000000</v>
      </c>
      <c r="E256" s="8">
        <f>IF(D256&gt;((Assumptions!C57+IF(D262=1,C261*C260,0))*C256/(SUM($C$251:$C$257)+C258+C259+IF(D262=1,C260,0))),1,0)</f>
        <v>0</v>
      </c>
      <c r="F256" s="8">
        <f>IF(D256&gt;((Assumptions!C57+IF(D262=1,C261*C260,0)-(SUMPRODUCT($D$251:$D$257,$E$251:$E$257)-D256*E256))*C256/((((SUM($C$251:$C$257)-SUMPRODUCT($C$251:$C$257,$E$251:$E$257))-C256*(1-E256))+C258+C259+IF(D262=1,C260,0))+C256)),1,0)</f>
        <v>0</v>
      </c>
      <c r="G256" s="8">
        <f>IF(D256&gt;((Assumptions!C57+IF(D262=1,C261*C260,0)-(SUMPRODUCT($D$251:$D$257,$F$251:$F$257)-D256*F256))*C256/((((SUM($C$251:$C$257)-SUMPRODUCT($C$251:$C$257,$F$251:$F$257))-C256*(1-F256))+C258+C259+IF(D262=1,C260,0))+C256)),1,0)</f>
        <v>0</v>
      </c>
      <c r="H256" s="8">
        <f>IF(D256&gt;((Assumptions!C57+IF(D262=1,C261*C260,0)-(SUMPRODUCT($D$251:$D$257,$G$251:$G$257)-D256*G256))*C256/((((SUM($C$251:$C$257)-SUMPRODUCT($C$251:$C$257,$G$251:$G$257))-C256*(1-G256))+C258+C259+IF(D262=1,C260,0))+C256)),1,0)</f>
        <v>0</v>
      </c>
      <c r="I256" s="14">
        <f>((Assumptions!C57+IF(D262=1,C261*C260,0)-(SUMPRODUCT($D$251:$D$257,$H$251:$H$257)-D256*H256))*C256/((((SUM($C$251:$C$257)-SUMPRODUCT($C$251:$C$257,$H$251:$H$257))-C256*(1-H256))+C258+C259+IF(D262=1,C260,0))+C256))</f>
        <v>278805990.9703456</v>
      </c>
      <c r="J256" s="14">
        <f>IF(H256=1,D256,I256)</f>
        <v>278805990.9703456</v>
      </c>
    </row>
    <row r="257" spans="2:10" x14ac:dyDescent="0.25">
      <c r="B257" s="5" t="s">
        <v>104</v>
      </c>
      <c r="C257" s="8">
        <f>Assumptions!C43</f>
        <v>5000000</v>
      </c>
      <c r="D257" s="14">
        <f>Assumptions!C25</f>
        <v>5000000</v>
      </c>
      <c r="E257" s="8">
        <f>IF(D257&gt;((Assumptions!C57+IF(D262=1,C261*C260,0))*C257/(SUM($C$251:$C$257)+C258+C259+IF(D262=1,C260,0))),1,0)</f>
        <v>0</v>
      </c>
      <c r="F257" s="8">
        <f>IF(D257&gt;((Assumptions!C57+IF(D262=1,C261*C260,0)-(SUMPRODUCT($D$251:$D$257,$E$251:$E$257)-D257*E257))*C257/((((SUM($C$251:$C$257)-SUMPRODUCT($C$251:$C$257,$E$251:$E$257))-C257*(1-E257))+C258+C259+IF(D262=1,C260,0))+C257)),1,0)</f>
        <v>0</v>
      </c>
      <c r="G257" s="8">
        <f>IF(D257&gt;((Assumptions!C57+IF(D262=1,C261*C260,0)-(SUMPRODUCT($D$251:$D$257,$F$251:$F$257)-D257*F257))*C257/((((SUM($C$251:$C$257)-SUMPRODUCT($C$251:$C$257,$F$251:$F$257))-C257*(1-F257))+C258+C259+IF(D262=1,C260,0))+C257)),1,0)</f>
        <v>0</v>
      </c>
      <c r="H257" s="8">
        <f>IF(D257&gt;((Assumptions!C57+IF(D262=1,C261*C260,0)-(SUMPRODUCT($D$251:$D$257,$G$251:$G$257)-D257*G257))*C257/((((SUM($C$251:$C$257)-SUMPRODUCT($C$251:$C$257,$G$251:$G$257))-C257*(1-G257))+C258+C259+IF(D262=1,C260,0))+C257)),1,0)</f>
        <v>0</v>
      </c>
      <c r="I257" s="14">
        <f>((Assumptions!C57+IF(D262=1,C261*C260,0)-(SUMPRODUCT($D$251:$D$257,$H$251:$H$257)-D257*H257))*C257/((((SUM($C$251:$C$257)-SUMPRODUCT($C$251:$C$257,$H$251:$H$257))-C257*(1-H257))+C258+C259+IF(D262=1,C260,0))+C257))</f>
        <v>278805990.9703456</v>
      </c>
      <c r="J257" s="14">
        <f>IF(H257=1,D257,I257)</f>
        <v>278805990.9703456</v>
      </c>
    </row>
    <row r="258" spans="2:10" x14ac:dyDescent="0.25">
      <c r="B258" s="5" t="s">
        <v>260</v>
      </c>
      <c r="C258" s="8">
        <f>H242+H246</f>
        <v>281015.3022606077</v>
      </c>
      <c r="J258" s="14">
        <f>(Assumptions!C57+IF(D262=1,C261*C260,0)-SUMPRODUCT($D$251:$D$257,$H$251:$H$257))*C258/((SUM($C$251:$C$257)-SUMPRODUCT($C$251:$C$257,$H$251:$H$257))+C258+C259+IF(D262=1,C260,0))</f>
        <v>15669749.964919984</v>
      </c>
    </row>
    <row r="259" spans="2:10" x14ac:dyDescent="0.25">
      <c r="B259" s="5" t="s">
        <v>261</v>
      </c>
      <c r="C259" s="8">
        <f>Assumptions!C41+Assumptions!C42</f>
        <v>9000000</v>
      </c>
      <c r="J259" s="14">
        <f>(Assumptions!C57+IF(D262=1,C261*C260,0)-SUMPRODUCT($D$251:$D$257,$H$251:$H$257))*C259/((SUM($C$251:$C$257)-SUMPRODUCT($C$251:$C$257,$H$251:$H$257))+C258+C259+IF(D262=1,C260,0))</f>
        <v>501850783.7466221</v>
      </c>
    </row>
    <row r="260" spans="2:13" x14ac:dyDescent="0.25">
      <c r="B260" s="5" t="s">
        <v>262</v>
      </c>
      <c r="C260" s="8">
        <f>Assumptions!C49</f>
        <v>2500000</v>
      </c>
      <c r="J260" s="14">
        <f>IF(D262=1,(Assumptions!C57+IF(D262=1,C261*C260,0)-SUMPRODUCT($D$251:$D$257,$H$251:$H$257))*C260/((SUM($C$251:$C$257)-SUMPRODUCT($C$251:$C$257,$H$251:$H$257))+C258+C259+IF(D262=1,C260,0))-C261*C260,0)</f>
        <v>136902995.4851728</v>
      </c>
      <c r="M260" s="8">
        <f>Assumptions!C11/H232</f>
        <v>267771.6920813991</v>
      </c>
    </row>
    <row r="261" spans="2:13" x14ac:dyDescent="0.25">
      <c r="B261" s="12" t="s">
        <v>263</v>
      </c>
      <c r="C261" s="14">
        <f>Assumptions!C13</f>
        <v>1</v>
      </c>
      <c r="M261" s="33">
        <f>M260/H247</f>
        <v>0.006984795882523005</v>
      </c>
    </row>
    <row r="262" spans="2:13" x14ac:dyDescent="0.25">
      <c r="B262" s="12" t="s">
        <v>264</v>
      </c>
      <c r="C262" s="14">
        <f>(Assumptions!C57+C261*C260)/(SUM(C251:C257)+C258+C259+C260)</f>
        <v>55.85362984211741</v>
      </c>
      <c r="D262" s="8">
        <f>IF(C262&gt;C261,1,0)</f>
        <v>1</v>
      </c>
      <c r="M262" s="15">
        <f>J251*(Assumptions!C11/Assumptions!C7)</f>
        <v>14931270.39291214</v>
      </c>
    </row>
    <row r="263" spans="2:10" x14ac:dyDescent="0.25">
      <c r="B263" s="12" t="s">
        <v>265</v>
      </c>
      <c r="J263" s="34">
        <f>SUM(J251:J260)</f>
        <v>1999999999.9999995</v>
      </c>
    </row>
    <row r="264" spans="2:10" x14ac:dyDescent="0.25">
      <c r="B264" s="5" t="s">
        <v>197</v>
      </c>
      <c r="J264" s="22">
        <f>ROUND(J263-Assumptions!C57,2)</f>
        <v>0</v>
      </c>
    </row>
    <row r="280" spans="2:13" x14ac:dyDescent="0.25">
      <c r="B280" s="3" t="s">
        <v>270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2:8" x14ac:dyDescent="0.25">
      <c r="B281" s="13" t="s">
        <v>234</v>
      </c>
      <c r="C281" s="13">
        <v>0</v>
      </c>
      <c r="D281" s="13">
        <v>1</v>
      </c>
      <c r="E281" s="13">
        <v>2</v>
      </c>
      <c r="F281" s="13">
        <v>3</v>
      </c>
      <c r="G281" s="13">
        <v>4</v>
      </c>
      <c r="H281" s="13">
        <v>5</v>
      </c>
    </row>
    <row r="282" spans="2:8" x14ac:dyDescent="0.25">
      <c r="B282" s="5" t="s">
        <v>99</v>
      </c>
      <c r="C282" s="14">
        <f>Assumptions!E63/Assumptions!C52</f>
        <v>49.15620506559609</v>
      </c>
      <c r="D282" s="14">
        <f>Assumptions!E63/(Assumptions!C52+C288+C292+C296)</f>
        <v>48.478156102028755</v>
      </c>
      <c r="E282" s="14">
        <f>Assumptions!E63/(Assumptions!C52+D288+D292+D296)</f>
        <v>48.091382275740635</v>
      </c>
      <c r="F282" s="14">
        <f>Assumptions!E63/(Assumptions!C52+E288+E292+E296)</f>
        <v>48.08852704534931</v>
      </c>
      <c r="G282" s="14">
        <f>Assumptions!E63/(Assumptions!C52+F288+F292+F296)</f>
        <v>48.08849976743427</v>
      </c>
      <c r="H282" s="14">
        <f>Assumptions!E63/(Assumptions!C52+G288+G292+G296)</f>
        <v>48.08849952815869</v>
      </c>
    </row>
    <row r="283" spans="2:8" x14ac:dyDescent="0.25">
      <c r="B283" s="5" t="s">
        <v>235</v>
      </c>
      <c r="C283" s="8">
        <f>Assumptions!C7/C282</f>
        <v>610299.35</v>
      </c>
      <c r="D283" s="8">
        <f>Assumptions!C7/D282</f>
        <v>618835.4180976065</v>
      </c>
      <c r="E283" s="8">
        <f>Assumptions!C7/E282</f>
        <v>623812.3875913896</v>
      </c>
      <c r="F283" s="8">
        <f>Assumptions!C7/F282</f>
        <v>623849.4261158978</v>
      </c>
      <c r="G283" s="8">
        <f>Assumptions!C7/G282</f>
        <v>623849.7799907686</v>
      </c>
      <c r="H283" s="8">
        <f>Assumptions!C7/H282</f>
        <v>623849.7830948792</v>
      </c>
    </row>
    <row r="284" spans="2:8" x14ac:dyDescent="0.25">
      <c r="B284" s="5" t="s">
        <v>236</v>
      </c>
      <c r="C284" s="14">
        <f>Assumptions!C20*(Assumptions!C52+Assumptions!C7/Assumptions!C20)/(Assumptions!C52+Assumptions!C7/C282)</f>
        <v>57.9714266404196</v>
      </c>
      <c r="D284" s="14">
        <f>Assumptions!C20*(Assumptions!C52+Assumptions!C7/Assumptions!C20)/(Assumptions!C52+Assumptions!C7/D282)</f>
        <v>57.958137418651916</v>
      </c>
      <c r="E284" s="14">
        <f>Assumptions!C20*(Assumptions!C52+Assumptions!C7/Assumptions!C20)/(Assumptions!C52+Assumptions!C7/E282)</f>
        <v>57.95039192600722</v>
      </c>
      <c r="F284" s="14">
        <f>Assumptions!C20*(Assumptions!C52+Assumptions!C7/Assumptions!C20)/(Assumptions!C52+Assumptions!C7/F282)</f>
        <v>57.95033429193983</v>
      </c>
      <c r="G284" s="14">
        <f>Assumptions!C20*(Assumptions!C52+Assumptions!C7/Assumptions!C20)/(Assumptions!C52+Assumptions!C7/G282)</f>
        <v>57.950333741290805</v>
      </c>
      <c r="H284" s="14">
        <f>Assumptions!C20*(Assumptions!C52+Assumptions!C7/Assumptions!C20)/(Assumptions!C52+Assumptions!C7/H282)</f>
        <v>57.95033373646064</v>
      </c>
    </row>
    <row r="285" spans="2:8" x14ac:dyDescent="0.25">
      <c r="B285" s="5" t="s">
        <v>237</v>
      </c>
      <c r="C285" s="8">
        <f>MAX(0,IF(C282&lt;Assumptions!C20,Assumptions!C29/C284-Assumptions!C47,0))</f>
        <v>4360.736118205</v>
      </c>
      <c r="D285" s="8">
        <f>MAX(0,IF(D282&lt;Assumptions!C20,Assumptions!C29/D284-Assumptions!C47,0))</f>
        <v>4756.258569284</v>
      </c>
      <c r="E285" s="8">
        <f>MAX(0,IF(E282&lt;Assumptions!C20,Assumptions!C29/E284-Assumptions!C47,0))</f>
        <v>4986.8686289296</v>
      </c>
      <c r="F285" s="8">
        <f>MAX(0,IF(F282&lt;Assumptions!C20,Assumptions!C29/F284-Assumptions!C47,0))</f>
        <v>4988.5848251726</v>
      </c>
      <c r="G285" s="8">
        <f>MAX(0,IF(G282&lt;Assumptions!C20,Assumptions!C29/G284-Assumptions!C47,0))</f>
        <v>4988.6012221193</v>
      </c>
      <c r="H285" s="8">
        <f>MAX(0,IF(H282&lt;Assumptions!C20,Assumptions!C29/H284-Assumptions!C47,0))</f>
        <v>4988.6013659495</v>
      </c>
    </row>
    <row r="286" spans="2:8" x14ac:dyDescent="0.25">
      <c r="B286" s="5" t="s">
        <v>238</v>
      </c>
      <c r="C286" s="14">
        <f>Assumptions!C22*(Assumptions!C52+Assumptions!C7/Assumptions!C22)/(Assumptions!C52+Assumptions!C7/C282)</f>
        <v>49.158276476485185</v>
      </c>
      <c r="D286" s="14">
        <f>Assumptions!C22*(Assumptions!C52+Assumptions!C7/Assumptions!C22)/(Assumptions!C52+Assumptions!C7/D282)</f>
        <v>49.147007558749806</v>
      </c>
      <c r="E286" s="14">
        <f>Assumptions!C22*(Assumptions!C52+Assumptions!C7/Assumptions!C22)/(Assumptions!C52+Assumptions!C7/E282)</f>
        <v>49.14043958050708</v>
      </c>
      <c r="F286" s="14">
        <f>Assumptions!C22*(Assumptions!C52+Assumptions!C7/Assumptions!C22)/(Assumptions!C52+Assumptions!C7/F282)</f>
        <v>49.140390708302554</v>
      </c>
      <c r="G286" s="14">
        <f>Assumptions!C22*(Assumptions!C52+Assumptions!C7/Assumptions!C22)/(Assumptions!C52+Assumptions!C7/G282)</f>
        <v>49.14039024136636</v>
      </c>
      <c r="H286" s="14">
        <f>Assumptions!C22*(Assumptions!C52+Assumptions!C7/Assumptions!C22)/(Assumptions!C52+Assumptions!C7/H282)</f>
        <v>49.14039023727051</v>
      </c>
    </row>
    <row r="287" spans="2:8" x14ac:dyDescent="0.25">
      <c r="B287" s="5" t="s">
        <v>239</v>
      </c>
      <c r="C287" s="8">
        <f>MAX(0,IF(C282&lt;Assumptions!C22,Assumptions!C30/C286-Assumptions!C48,0))</f>
        <v>69.334613048</v>
      </c>
      <c r="D287" s="8">
        <f>MAX(0,IF(D282&lt;Assumptions!C22,Assumptions!C30/D286-Assumptions!C48,0))</f>
        <v>1468.631073432</v>
      </c>
      <c r="E287" s="8">
        <f>MAX(0,IF(E282&lt;Assumptions!C22,Assumptions!C30/E286-Assumptions!C48,0))</f>
        <v>2284.493331845</v>
      </c>
      <c r="F287" s="8">
        <f>MAX(0,IF(F282&lt;Assumptions!C22,Assumptions!C30/F286-Assumptions!C48,0))</f>
        <v>2290.564965255</v>
      </c>
      <c r="G287" s="8">
        <f>MAX(0,IF(G282&lt;Assumptions!C22,Assumptions!C30/G286-Assumptions!C48,0))</f>
        <v>2290.622975084</v>
      </c>
      <c r="H287" s="8">
        <f>MAX(0,IF(H282&lt;Assumptions!C22,Assumptions!C30/H286-Assumptions!C48,0))</f>
        <v>2290.623483933</v>
      </c>
    </row>
    <row r="288" spans="2:8" x14ac:dyDescent="0.25">
      <c r="B288" s="5" t="s">
        <v>240</v>
      </c>
      <c r="C288" s="8">
        <f>MAX(0,(Assumptions!D62*(Assumptions!C52+C285+C287+C283+C292+C296)-Assumptions!C51)/(1-Assumptions!D62))</f>
        <v>512164.0858563937</v>
      </c>
      <c r="D288" s="8">
        <f>MAX(0,(Assumptions!D62*(Assumptions!C52+D285+D287+D283+D292+D296)-Assumptions!C51)/(1-Assumptions!D62))</f>
        <v>552327.4632190793</v>
      </c>
      <c r="E288" s="8">
        <f>MAX(0,(Assumptions!D62*(Assumptions!C52+E285+E287+E283+E292+E296)-Assumptions!C51)/(1-Assumptions!D62))</f>
        <v>553399.411145784</v>
      </c>
      <c r="F288" s="8">
        <f>MAX(0,(Assumptions!D62*(Assumptions!C52+F285+F287+F283+F292+F296)-Assumptions!C51)/(1-Assumptions!D62))</f>
        <v>553407.9987958196</v>
      </c>
      <c r="G288" s="8">
        <f>MAX(0,(Assumptions!D62*(Assumptions!C52+G285+G287+G283+G292+G296)-Assumptions!C51)/(1-Assumptions!D62))</f>
        <v>553408.0786844942</v>
      </c>
      <c r="H288" s="8">
        <f>MAX(0,(Assumptions!D62*(Assumptions!C52+H285+H287+H283+H292+H296)-Assumptions!C51)/(1-Assumptions!D62))</f>
        <v>553408.0793912127</v>
      </c>
    </row>
    <row r="289" spans="2:8" x14ac:dyDescent="0.25">
      <c r="B289" s="5" t="s">
        <v>241</v>
      </c>
      <c r="C289" s="14">
        <f>Assumptions!C34/(Assumptions!C52+C288+C296)</f>
        <v>26.93230894557153</v>
      </c>
      <c r="D289" s="14">
        <f>Assumptions!C34/(Assumptions!C52+C288+C296)</f>
        <v>26.93230894557153</v>
      </c>
      <c r="E289" s="14">
        <f>Assumptions!C34/(Assumptions!C52+D288+D296)</f>
        <v>26.850616567567997</v>
      </c>
      <c r="F289" s="14">
        <f>Assumptions!C34/(Assumptions!C52+E288+E296)</f>
        <v>26.84942165574835</v>
      </c>
      <c r="G289" s="14">
        <f>Assumptions!C34/(Assumptions!C52+F288+F296)</f>
        <v>26.84941232372283</v>
      </c>
      <c r="H289" s="14">
        <f>Assumptions!C34/(Assumptions!C52+G288+G296)</f>
        <v>26.849412236119427</v>
      </c>
    </row>
    <row r="290" spans="2:8" x14ac:dyDescent="0.25">
      <c r="B290" s="5" t="s">
        <v>242</v>
      </c>
      <c r="C290" s="14">
        <f>C282*(1-Assumptions!C35)</f>
        <v>39.32496405247687</v>
      </c>
      <c r="D290" s="14">
        <f>D282*(1-Assumptions!C35)</f>
        <v>38.782524881623004</v>
      </c>
      <c r="E290" s="14">
        <f>E282*(1-Assumptions!C35)</f>
        <v>38.47310582059251</v>
      </c>
      <c r="F290" s="14">
        <f>F282*(1-Assumptions!C35)</f>
        <v>38.470821636279446</v>
      </c>
      <c r="G290" s="14">
        <f>G282*(1-Assumptions!C35)</f>
        <v>38.470799813947416</v>
      </c>
      <c r="H290" s="14">
        <f>H282*(1-Assumptions!C35)</f>
        <v>38.470799622526954</v>
      </c>
    </row>
    <row r="291" spans="2:8" x14ac:dyDescent="0.25">
      <c r="B291" s="5" t="s">
        <v>243</v>
      </c>
      <c r="C291" s="14">
        <f>MIN(C289,C290)</f>
        <v>26.93230894557153</v>
      </c>
      <c r="D291" s="14">
        <f>MIN(D289,D290)</f>
        <v>26.93230894557153</v>
      </c>
      <c r="E291" s="14">
        <f>MIN(E289,E290)</f>
        <v>26.850616567567997</v>
      </c>
      <c r="F291" s="14">
        <f>MIN(F289,F290)</f>
        <v>26.84942165574835</v>
      </c>
      <c r="G291" s="14">
        <f>MIN(G289,G290)</f>
        <v>26.84941232372283</v>
      </c>
      <c r="H291" s="14">
        <f>MIN(H289,H290)</f>
        <v>26.849412236119427</v>
      </c>
    </row>
    <row r="292" spans="2:8" x14ac:dyDescent="0.25">
      <c r="B292" s="5" t="s">
        <v>244</v>
      </c>
      <c r="C292" s="8">
        <v>0</v>
      </c>
      <c r="D292" s="8">
        <f>Assumptions!C33/D291</f>
        <v>185650.62542928196</v>
      </c>
      <c r="E292" s="8">
        <f>Assumptions!C33/E291</f>
        <v>186215.46315027046</v>
      </c>
      <c r="F292" s="8">
        <f>Assumptions!C33/F291</f>
        <v>186223.750519018</v>
      </c>
      <c r="G292" s="8">
        <f>Assumptions!C33/G291</f>
        <v>186223.8152446355</v>
      </c>
      <c r="H292" s="8">
        <f>Assumptions!C33/H291</f>
        <v>186223.8158522406</v>
      </c>
    </row>
    <row r="293" spans="2:8" x14ac:dyDescent="0.25">
      <c r="B293" s="5" t="s">
        <v>245</v>
      </c>
      <c r="C293" s="14">
        <f>Assumptions!C37/(Assumptions!C52+C288+C292)</f>
        <v>43.09169431291445</v>
      </c>
      <c r="D293" s="14">
        <f>Assumptions!C37/(Assumptions!C52+C288+C292)</f>
        <v>43.09169431291445</v>
      </c>
      <c r="E293" s="14">
        <f>Assumptions!C37/(Assumptions!C52+D288+D292)</f>
        <v>42.8312080765279</v>
      </c>
      <c r="F293" s="14">
        <f>Assumptions!C37/(Assumptions!C52+E288+E292)</f>
        <v>42.829331469039</v>
      </c>
      <c r="G293" s="14">
        <f>Assumptions!C37/(Assumptions!C52+F288+F292)</f>
        <v>42.82931212234881</v>
      </c>
      <c r="H293" s="14">
        <f>Assumptions!C37/(Assumptions!C52+G288+G292)</f>
        <v>42.82931195655305</v>
      </c>
    </row>
    <row r="294" spans="2:8" x14ac:dyDescent="0.25">
      <c r="B294" s="5" t="s">
        <v>246</v>
      </c>
      <c r="C294" s="14">
        <f>C282*(1-Assumptions!C38)</f>
        <v>41.782774305756675</v>
      </c>
      <c r="D294" s="14">
        <f>D282*(1-Assumptions!C38)</f>
        <v>41.20643268672444</v>
      </c>
      <c r="E294" s="14">
        <f>E282*(1-Assumptions!C38)</f>
        <v>40.87767493437954</v>
      </c>
      <c r="F294" s="14">
        <f>F282*(1-Assumptions!C38)</f>
        <v>40.87524798854691</v>
      </c>
      <c r="G294" s="14">
        <f>G282*(1-Assumptions!C38)</f>
        <v>40.87522480231913</v>
      </c>
      <c r="H294" s="14">
        <f>H282*(1-Assumptions!C38)</f>
        <v>40.875224598934885</v>
      </c>
    </row>
    <row r="295" spans="2:8" x14ac:dyDescent="0.25">
      <c r="B295" s="5" t="s">
        <v>247</v>
      </c>
      <c r="C295" s="14">
        <f>MIN(C293,C294)</f>
        <v>41.782774305756675</v>
      </c>
      <c r="D295" s="14">
        <f>MIN(D293,D294)</f>
        <v>41.20643268672444</v>
      </c>
      <c r="E295" s="14">
        <f>MIN(E293,E294)</f>
        <v>40.87767493437954</v>
      </c>
      <c r="F295" s="14">
        <f>MIN(F293,F294)</f>
        <v>40.87524798854691</v>
      </c>
      <c r="G295" s="14">
        <f>MIN(G293,G294)</f>
        <v>40.87522480231913</v>
      </c>
      <c r="H295" s="14">
        <f>MIN(H293,H294)</f>
        <v>40.875224598934885</v>
      </c>
    </row>
    <row r="296" spans="2:8" x14ac:dyDescent="0.25">
      <c r="B296" s="5" t="s">
        <v>248</v>
      </c>
      <c r="C296" s="8">
        <v>0</v>
      </c>
      <c r="D296" s="8">
        <f>Assumptions!C36/D295</f>
        <v>72804.16683501254</v>
      </c>
      <c r="E296" s="8">
        <f>Assumptions!C36/E295</f>
        <v>73389.69265781053</v>
      </c>
      <c r="F296" s="8">
        <f>Assumptions!C36/F295</f>
        <v>73394.0501312821</v>
      </c>
      <c r="G296" s="8">
        <f>Assumptions!C36/G295</f>
        <v>73394.09176361984</v>
      </c>
      <c r="H296" s="8">
        <f>Assumptions!C36/H295</f>
        <v>73394.09212880932</v>
      </c>
    </row>
    <row r="297" spans="2:8" x14ac:dyDescent="0.25">
      <c r="B297" s="5" t="s">
        <v>249</v>
      </c>
      <c r="H297" s="8">
        <f>Assumptions!C52+H288+H285+H287+H292+H296+H283</f>
        <v>38062115.99531702</v>
      </c>
    </row>
    <row r="299" spans="2:13" x14ac:dyDescent="0.25">
      <c r="B299" s="23" t="s">
        <v>250</v>
      </c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</row>
    <row r="300" spans="2:10" x14ac:dyDescent="0.25">
      <c r="B300" s="13" t="s">
        <v>97</v>
      </c>
      <c r="C300" s="13" t="s">
        <v>251</v>
      </c>
      <c r="D300" s="13" t="s">
        <v>252</v>
      </c>
      <c r="E300" s="13" t="s">
        <v>253</v>
      </c>
      <c r="F300" s="13" t="s">
        <v>254</v>
      </c>
      <c r="G300" s="13" t="s">
        <v>255</v>
      </c>
      <c r="H300" s="13" t="s">
        <v>256</v>
      </c>
      <c r="I300" s="13" t="s">
        <v>257</v>
      </c>
      <c r="J300" s="13" t="s">
        <v>258</v>
      </c>
    </row>
    <row r="301" spans="2:10" x14ac:dyDescent="0.25">
      <c r="B301" s="5" t="s">
        <v>259</v>
      </c>
      <c r="C301" s="8">
        <f>H283</f>
        <v>623849.7830948792</v>
      </c>
      <c r="D301" s="14">
        <f>Assumptions!C7</f>
        <v>30000000</v>
      </c>
      <c r="E301" s="8">
        <f>IF(D301&gt;((Assumptions!C57+IF(D312=1,C311*C310,0))*C301/(SUM($C$301:$C$307)+C308+C309+IF(D312=1,C310,0))),1,0)</f>
        <v>0</v>
      </c>
      <c r="F301" s="8">
        <f>IF(D301&gt;((Assumptions!C57+IF(D312=1,C311*C310,0)-(SUMPRODUCT($D$301:$D$307,$E$301:$E$307)-D301*E301))*C301/((((SUM($C$301:$C$307)-SUMPRODUCT($C$301:$C$307,$E$301:$E$307))-C301*(1-E301))+C308+C309+IF(D312=1,C310,0))+C301)),1,0)</f>
        <v>0</v>
      </c>
      <c r="G301" s="8">
        <f>IF(D301&gt;((Assumptions!C57+IF(D312=1,C311*C310,0)-(SUMPRODUCT($D$301:$D$307,$F$301:$F$307)-D301*F301))*C301/((((SUM($C$301:$C$307)-SUMPRODUCT($C$301:$C$307,$F$301:$F$307))-C301*(1-F301))+C308+C309+IF(D312=1,C310,0))+C301)),1,0)</f>
        <v>0</v>
      </c>
      <c r="H301" s="8">
        <f>IF(D301&gt;((Assumptions!C57+IF(D312=1,C311*C310,0)-(SUMPRODUCT($D$301:$D$307,$G$301:$G$307)-D301*G301))*C301/((((SUM($C$301:$C$307)-SUMPRODUCT($C$301:$C$307,$G$301:$G$307))-C301*(1-G301))+C308+C309+IF(D312=1,C310,0))+C301)),1,0)</f>
        <v>0</v>
      </c>
      <c r="I301" s="14">
        <f>((Assumptions!C57+IF(D312=1,C311*C310,0)-(SUMPRODUCT($D$301:$D$307,$H$301:$H$307)-D301*H301))*C301/((((SUM($C$301:$C$307)-SUMPRODUCT($C$301:$C$307,$H$301:$H$307))-C301*(1-H301))+C308+C309+IF(D312=1,C310,0))+C301))</f>
        <v>35022996.8291881</v>
      </c>
      <c r="J301" s="14">
        <f>IF(H301=1,D301,I301)</f>
        <v>35022996.8291881</v>
      </c>
    </row>
    <row r="302" spans="2:10" x14ac:dyDescent="0.25">
      <c r="B302" s="5" t="s">
        <v>109</v>
      </c>
      <c r="C302" s="8">
        <f>Assumptions!C48+H287</f>
        <v>6104957.623483933</v>
      </c>
      <c r="D302" s="14">
        <f>Assumptions!C30</f>
        <v>300000000</v>
      </c>
      <c r="E302" s="8">
        <f>IF(D302&gt;((Assumptions!C57+IF(D312=1,C311*C310,0))*C302/(SUM($C$301:$C$307)+C308+C309+IF(D312=1,C310,0))),1,0)</f>
        <v>0</v>
      </c>
      <c r="F302" s="8">
        <f>IF(D302&gt;((Assumptions!C57+IF(D312=1,C311*C310,0)-(SUMPRODUCT($D$301:$D$307,$E$301:$E$307)-D302*E302))*C302/((((SUM($C$301:$C$307)-SUMPRODUCT($C$301:$C$307,$E$301:$E$307))-C302*(1-E302))+C308+C309+IF(D312=1,C310,0))+C302)),1,0)</f>
        <v>0</v>
      </c>
      <c r="G302" s="8">
        <f>IF(D302&gt;((Assumptions!C57+IF(D312=1,C311*C310,0)-(SUMPRODUCT($D$301:$D$307,$F$301:$F$307)-D302*F302))*C302/((((SUM($C$301:$C$307)-SUMPRODUCT($C$301:$C$307,$F$301:$F$307))-C302*(1-F302))+C308+C309+IF(D312=1,C310,0))+C302)),1,0)</f>
        <v>0</v>
      </c>
      <c r="H302" s="8">
        <f>IF(D302&gt;((Assumptions!C57+IF(D312=1,C311*C310,0)-(SUMPRODUCT($D$301:$D$307,$G$301:$G$307)-D302*G302))*C302/((((SUM($C$301:$C$307)-SUMPRODUCT($C$301:$C$307,$G$301:$G$307))-C302*(1-G302))+C308+C309+IF(D312=1,C310,0))+C302)),1,0)</f>
        <v>0</v>
      </c>
      <c r="I302" s="14">
        <f>((Assumptions!C57+IF(D312=1,C311*C310,0)-(SUMPRODUCT($D$301:$D$307,$H$301:$H$307)-D302*H302))*C302/((((SUM($C$301:$C$307)-SUMPRODUCT($C$301:$C$307,$H$301:$H$307))-C302*(1-H302))+C308+C309+IF(D312=1,C310,0))+C302))</f>
        <v>342733006.0593886</v>
      </c>
      <c r="J302" s="14">
        <f>IF(H302=1,D302,I302)</f>
        <v>342733006.0593886</v>
      </c>
    </row>
    <row r="303" spans="2:10" x14ac:dyDescent="0.25">
      <c r="B303" s="5" t="s">
        <v>108</v>
      </c>
      <c r="C303" s="8">
        <f>Assumptions!C47+H285</f>
        <v>1725615.6013659495</v>
      </c>
      <c r="D303" s="14">
        <f>Assumptions!C29</f>
        <v>100000000</v>
      </c>
      <c r="E303" s="8">
        <f>IF(D303&gt;((Assumptions!C57+IF(D312=1,C311*C310,0))*C303/(SUM($C$301:$C$307)+C308+C309+IF(D312=1,C310,0))),1,0)</f>
        <v>1</v>
      </c>
      <c r="F303" s="8">
        <f>IF(D303&gt;((Assumptions!C57+IF(D312=1,C311*C310,0)-(SUMPRODUCT($D$301:$D$307,$E$301:$E$307)-D303*E303))*C303/((((SUM($C$301:$C$307)-SUMPRODUCT($C$301:$C$307,$E$301:$E$307))-C303*(1-E303))+C308+C309+IF(D312=1,C310,0))+C303)),1,0)</f>
        <v>1</v>
      </c>
      <c r="G303" s="8">
        <f>IF(D303&gt;((Assumptions!C57+IF(D312=1,C311*C310,0)-(SUMPRODUCT($D$301:$D$307,$F$301:$F$307)-D303*F303))*C303/((((SUM($C$301:$C$307)-SUMPRODUCT($C$301:$C$307,$F$301:$F$307))-C303*(1-F303))+C308+C309+IF(D312=1,C310,0))+C303)),1,0)</f>
        <v>1</v>
      </c>
      <c r="H303" s="8">
        <f>IF(D303&gt;((Assumptions!C57+IF(D312=1,C311*C310,0)-(SUMPRODUCT($D$301:$D$307,$G$301:$G$307)-D303*G303))*C303/((((SUM($C$301:$C$307)-SUMPRODUCT($C$301:$C$307,$G$301:$G$307))-C303*(1-G303))+C308+C309+IF(D312=1,C310,0))+C303)),1,0)</f>
        <v>1</v>
      </c>
      <c r="I303" s="14">
        <f>((Assumptions!C57+IF(D312=1,C311*C310,0)-(SUMPRODUCT($D$301:$D$307,$H$301:$H$307)-D303*H303))*C303/((((SUM($C$301:$C$307)-SUMPRODUCT($C$301:$C$307,$H$301:$H$307))-C303*(1-H303))+C308+C309+IF(D312=1,C310,0))+C303))</f>
        <v>97027609.13575721</v>
      </c>
      <c r="J303" s="14">
        <f>IF(H303=1,D303,I303)</f>
        <v>100000000</v>
      </c>
    </row>
    <row r="304" spans="2:10" x14ac:dyDescent="0.25">
      <c r="B304" s="5" t="s">
        <v>107</v>
      </c>
      <c r="C304" s="8">
        <f>Assumptions!C46</f>
        <v>2400000</v>
      </c>
      <c r="D304" s="14">
        <f>Assumptions!C28</f>
        <v>60000000</v>
      </c>
      <c r="E304" s="8">
        <f>IF(D304&gt;((Assumptions!C57+IF(D312=1,C311*C310,0))*C304/(SUM($C$301:$C$307)+C308+C309+IF(D312=1,C310,0))),1,0)</f>
        <v>0</v>
      </c>
      <c r="F304" s="8">
        <f>IF(D304&gt;((Assumptions!C57+IF(D312=1,C311*C310,0)-(SUMPRODUCT($D$301:$D$307,$E$301:$E$307)-D304*E304))*C304/((((SUM($C$301:$C$307)-SUMPRODUCT($C$301:$C$307,$E$301:$E$307))-C304*(1-E304))+C308+C309+IF(D312=1,C310,0))+C304)),1,0)</f>
        <v>0</v>
      </c>
      <c r="G304" s="8">
        <f>IF(D304&gt;((Assumptions!C57+IF(D312=1,C311*C310,0)-(SUMPRODUCT($D$301:$D$307,$F$301:$F$307)-D304*F304))*C304/((((SUM($C$301:$C$307)-SUMPRODUCT($C$301:$C$307,$F$301:$F$307))-C304*(1-F304))+C308+C309+IF(D312=1,C310,0))+C304)),1,0)</f>
        <v>0</v>
      </c>
      <c r="H304" s="8">
        <f>IF(D304&gt;((Assumptions!C57+IF(D312=1,C311*C310,0)-(SUMPRODUCT($D$301:$D$307,$G$301:$G$307)-D304*G304))*C304/((((SUM($C$301:$C$307)-SUMPRODUCT($C$301:$C$307,$G$301:$G$307))-C304*(1-G304))+C308+C309+IF(D312=1,C310,0))+C304)),1,0)</f>
        <v>0</v>
      </c>
      <c r="I304" s="14">
        <f>((Assumptions!C57+IF(D312=1,C311*C310,0)-(SUMPRODUCT($D$301:$D$307,$H$301:$H$307)-D304*H304))*C304/((((SUM($C$301:$C$307)-SUMPRODUCT($C$301:$C$307,$H$301:$H$307))-C304*(1-H304))+C308+C309+IF(D312=1,C310,0))+C304))</f>
        <v>134736269.31960922</v>
      </c>
      <c r="J304" s="14">
        <f>IF(H304=1,D304,I304)</f>
        <v>134736269.31960922</v>
      </c>
    </row>
    <row r="305" spans="2:10" x14ac:dyDescent="0.25">
      <c r="B305" s="5" t="s">
        <v>106</v>
      </c>
      <c r="C305" s="8">
        <f>Assumptions!C45</f>
        <v>3000000</v>
      </c>
      <c r="D305" s="14">
        <f>Assumptions!C27</f>
        <v>30000000</v>
      </c>
      <c r="E305" s="8">
        <f>IF(D305&gt;((Assumptions!C57+IF(D312=1,C311*C310,0))*C305/(SUM($C$301:$C$307)+C308+C309+IF(D312=1,C310,0))),1,0)</f>
        <v>0</v>
      </c>
      <c r="F305" s="8">
        <f>IF(D305&gt;((Assumptions!C57+IF(D312=1,C311*C310,0)-(SUMPRODUCT($D$301:$D$307,$E$301:$E$307)-D305*E305))*C305/((((SUM($C$301:$C$307)-SUMPRODUCT($C$301:$C$307,$E$301:$E$307))-C305*(1-E305))+C308+C309+IF(D312=1,C310,0))+C305)),1,0)</f>
        <v>0</v>
      </c>
      <c r="G305" s="8">
        <f>IF(D305&gt;((Assumptions!C57+IF(D312=1,C311*C310,0)-(SUMPRODUCT($D$301:$D$307,$F$301:$F$307)-D305*F305))*C305/((((SUM($C$301:$C$307)-SUMPRODUCT($C$301:$C$307,$F$301:$F$307))-C305*(1-F305))+C308+C309+IF(D312=1,C310,0))+C305)),1,0)</f>
        <v>0</v>
      </c>
      <c r="H305" s="8">
        <f>IF(D305&gt;((Assumptions!C57+IF(D312=1,C311*C310,0)-(SUMPRODUCT($D$301:$D$307,$G$301:$G$307)-D305*G305))*C305/((((SUM($C$301:$C$307)-SUMPRODUCT($C$301:$C$307,$G$301:$G$307))-C305*(1-G305))+C308+C309+IF(D312=1,C310,0))+C305)),1,0)</f>
        <v>0</v>
      </c>
      <c r="I305" s="14">
        <f>((Assumptions!C57+IF(D312=1,C311*C310,0)-(SUMPRODUCT($D$301:$D$307,$H$301:$H$307)-D305*H305))*C305/((((SUM($C$301:$C$307)-SUMPRODUCT($C$301:$C$307,$H$301:$H$307))-C305*(1-H305))+C308+C309+IF(D312=1,C310,0))+C305))</f>
        <v>168420336.64951152</v>
      </c>
      <c r="J305" s="14">
        <f>IF(H305=1,D305,I305)</f>
        <v>168420336.64951152</v>
      </c>
    </row>
    <row r="306" spans="2:10" x14ac:dyDescent="0.25">
      <c r="B306" s="5" t="s">
        <v>105</v>
      </c>
      <c r="C306" s="8">
        <f>Assumptions!C44</f>
        <v>5000000</v>
      </c>
      <c r="D306" s="14">
        <f>Assumptions!C26</f>
        <v>15000000</v>
      </c>
      <c r="E306" s="8">
        <f>IF(D306&gt;((Assumptions!C57+IF(D312=1,C311*C310,0))*C306/(SUM($C$301:$C$307)+C308+C309+IF(D312=1,C310,0))),1,0)</f>
        <v>0</v>
      </c>
      <c r="F306" s="8">
        <f>IF(D306&gt;((Assumptions!C57+IF(D312=1,C311*C310,0)-(SUMPRODUCT($D$301:$D$307,$E$301:$E$307)-D306*E306))*C306/((((SUM($C$301:$C$307)-SUMPRODUCT($C$301:$C$307,$E$301:$E$307))-C306*(1-E306))+C308+C309+IF(D312=1,C310,0))+C306)),1,0)</f>
        <v>0</v>
      </c>
      <c r="G306" s="8">
        <f>IF(D306&gt;((Assumptions!C57+IF(D312=1,C311*C310,0)-(SUMPRODUCT($D$301:$D$307,$F$301:$F$307)-D306*F306))*C306/((((SUM($C$301:$C$307)-SUMPRODUCT($C$301:$C$307,$F$301:$F$307))-C306*(1-F306))+C308+C309+IF(D312=1,C310,0))+C306)),1,0)</f>
        <v>0</v>
      </c>
      <c r="H306" s="8">
        <f>IF(D306&gt;((Assumptions!C57+IF(D312=1,C311*C310,0)-(SUMPRODUCT($D$301:$D$307,$G$301:$G$307)-D306*G306))*C306/((((SUM($C$301:$C$307)-SUMPRODUCT($C$301:$C$307,$G$301:$G$307))-C306*(1-G306))+C308+C309+IF(D312=1,C310,0))+C306)),1,0)</f>
        <v>0</v>
      </c>
      <c r="I306" s="14">
        <f>((Assumptions!C57+IF(D312=1,C311*C310,0)-(SUMPRODUCT($D$301:$D$307,$H$301:$H$307)-D306*H306))*C306/((((SUM($C$301:$C$307)-SUMPRODUCT($C$301:$C$307,$H$301:$H$307))-C306*(1-H306))+C308+C309+IF(D312=1,C310,0))+C306))</f>
        <v>280700561.0825192</v>
      </c>
      <c r="J306" s="14">
        <f>IF(H306=1,D306,I306)</f>
        <v>280700561.0825192</v>
      </c>
    </row>
    <row r="307" spans="2:10" x14ac:dyDescent="0.25">
      <c r="B307" s="5" t="s">
        <v>104</v>
      </c>
      <c r="C307" s="8">
        <f>Assumptions!C43</f>
        <v>5000000</v>
      </c>
      <c r="D307" s="14">
        <f>Assumptions!C25</f>
        <v>5000000</v>
      </c>
      <c r="E307" s="8">
        <f>IF(D307&gt;((Assumptions!C57+IF(D312=1,C311*C310,0))*C307/(SUM($C$301:$C$307)+C308+C309+IF(D312=1,C310,0))),1,0)</f>
        <v>0</v>
      </c>
      <c r="F307" s="8">
        <f>IF(D307&gt;((Assumptions!C57+IF(D312=1,C311*C310,0)-(SUMPRODUCT($D$301:$D$307,$E$301:$E$307)-D307*E307))*C307/((((SUM($C$301:$C$307)-SUMPRODUCT($C$301:$C$307,$E$301:$E$307))-C307*(1-E307))+C308+C309+IF(D312=1,C310,0))+C307)),1,0)</f>
        <v>0</v>
      </c>
      <c r="G307" s="8">
        <f>IF(D307&gt;((Assumptions!C57+IF(D312=1,C311*C310,0)-(SUMPRODUCT($D$301:$D$307,$F$301:$F$307)-D307*F307))*C307/((((SUM($C$301:$C$307)-SUMPRODUCT($C$301:$C$307,$F$301:$F$307))-C307*(1-F307))+C308+C309+IF(D312=1,C310,0))+C307)),1,0)</f>
        <v>0</v>
      </c>
      <c r="H307" s="8">
        <f>IF(D307&gt;((Assumptions!C57+IF(D312=1,C311*C310,0)-(SUMPRODUCT($D$301:$D$307,$G$301:$G$307)-D307*G307))*C307/((((SUM($C$301:$C$307)-SUMPRODUCT($C$301:$C$307,$G$301:$G$307))-C307*(1-G307))+C308+C309+IF(D312=1,C310,0))+C307)),1,0)</f>
        <v>0</v>
      </c>
      <c r="I307" s="14">
        <f>((Assumptions!C57+IF(D312=1,C311*C310,0)-(SUMPRODUCT($D$301:$D$307,$H$301:$H$307)-D307*H307))*C307/((((SUM($C$301:$C$307)-SUMPRODUCT($C$301:$C$307,$H$301:$H$307))-C307*(1-H307))+C308+C309+IF(D312=1,C310,0))+C307))</f>
        <v>280700561.0825192</v>
      </c>
      <c r="J307" s="14">
        <f>IF(H307=1,D307,I307)</f>
        <v>280700561.0825192</v>
      </c>
    </row>
    <row r="308" spans="2:10" x14ac:dyDescent="0.25">
      <c r="B308" s="5" t="s">
        <v>260</v>
      </c>
      <c r="C308" s="8">
        <f>H292+H296</f>
        <v>259617.9079810499</v>
      </c>
      <c r="J308" s="14">
        <f>(Assumptions!C57+IF(D312=1,C311*C310,0)-SUMPRODUCT($D$301:$D$307,$H$301:$H$307))*C308/((SUM($C$301:$C$307)-SUMPRODUCT($C$301:$C$307,$H$301:$H$307))+C308+C309+IF(D312=1,C310,0))</f>
        <v>14574978.487470109</v>
      </c>
    </row>
    <row r="309" spans="2:10" x14ac:dyDescent="0.25">
      <c r="B309" s="5" t="s">
        <v>261</v>
      </c>
      <c r="C309" s="8">
        <f>Assumptions!C41+Assumptions!C42</f>
        <v>9000000</v>
      </c>
      <c r="J309" s="14">
        <f>(Assumptions!C57+IF(D312=1,C311*C310,0)-SUMPRODUCT($D$301:$D$307,$H$301:$H$307))*C309/((SUM($C$301:$C$307)-SUMPRODUCT($C$301:$C$307,$H$301:$H$307))+C308+C309+IF(D312=1,C310,0))</f>
        <v>505261009.94853455</v>
      </c>
    </row>
    <row r="310" spans="2:13" x14ac:dyDescent="0.25">
      <c r="B310" s="5" t="s">
        <v>262</v>
      </c>
      <c r="C310" s="8">
        <f>Assumptions!C49</f>
        <v>2500000</v>
      </c>
      <c r="J310" s="14">
        <f>IF(D312=1,(Assumptions!C57+IF(D312=1,C311*C310,0)-SUMPRODUCT($D$301:$D$307,$H$301:$H$307))*C310/((SUM($C$301:$C$307)-SUMPRODUCT($C$301:$C$307,$H$301:$H$307))+C308+C309+IF(D312=1,C310,0))-C311*C310,0)</f>
        <v>137850280.5412596</v>
      </c>
      <c r="M310" s="8">
        <f>Assumptions!C11/H282</f>
        <v>207949.92769829306</v>
      </c>
    </row>
    <row r="311" spans="2:13" x14ac:dyDescent="0.25">
      <c r="B311" s="12" t="s">
        <v>263</v>
      </c>
      <c r="C311" s="14">
        <f>Assumptions!C13</f>
        <v>1</v>
      </c>
      <c r="M311" s="33">
        <f>M310/H297</f>
        <v>0.005463435814337759</v>
      </c>
    </row>
    <row r="312" spans="2:13" x14ac:dyDescent="0.25">
      <c r="B312" s="12" t="s">
        <v>264</v>
      </c>
      <c r="C312" s="14">
        <f>(Assumptions!C57+C311*C310)/(SUM(C301:C307)+C308+C309+C310)</f>
        <v>56.227823310679874</v>
      </c>
      <c r="D312" s="8">
        <f>IF(C312&gt;C311,1,0)</f>
        <v>1</v>
      </c>
      <c r="M312" s="15">
        <f>J301*(Assumptions!C11/Assumptions!C7)</f>
        <v>11674332.276396032</v>
      </c>
    </row>
    <row r="313" spans="2:10" x14ac:dyDescent="0.25">
      <c r="B313" s="12" t="s">
        <v>265</v>
      </c>
      <c r="J313" s="34">
        <f>SUM(J301:J310)</f>
        <v>1999999999.9999998</v>
      </c>
    </row>
    <row r="314" spans="2:10" x14ac:dyDescent="0.25">
      <c r="B314" s="5" t="s">
        <v>197</v>
      </c>
      <c r="J314" s="22">
        <f>ROUND(J313-Assumptions!C57,2)</f>
        <v>0</v>
      </c>
    </row>
    <row r="330" spans="2:13" x14ac:dyDescent="0.25">
      <c r="B330" s="3" t="s">
        <v>271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2:8" x14ac:dyDescent="0.25">
      <c r="B331" s="13" t="s">
        <v>234</v>
      </c>
      <c r="C331" s="13">
        <v>0</v>
      </c>
      <c r="D331" s="13">
        <v>1</v>
      </c>
      <c r="E331" s="13">
        <v>2</v>
      </c>
      <c r="F331" s="13">
        <v>3</v>
      </c>
      <c r="G331" s="13">
        <v>4</v>
      </c>
      <c r="H331" s="13">
        <v>5</v>
      </c>
    </row>
    <row r="332" spans="2:8" x14ac:dyDescent="0.25">
      <c r="B332" s="5" t="s">
        <v>99</v>
      </c>
      <c r="C332" s="14">
        <f>Assumptions!C63/Assumptions!C52</f>
        <v>32.770803377064055</v>
      </c>
      <c r="D332" s="14">
        <f>Assumptions!C63/(Assumptions!C52+C338+C342+C346)</f>
        <v>31.509781821573796</v>
      </c>
      <c r="E332" s="14">
        <f>Assumptions!C63/(Assumptions!C52+D338+D342+D346)</f>
        <v>31.20419543185505</v>
      </c>
      <c r="F332" s="14">
        <f>Assumptions!C63/(Assumptions!C52+E338+E342+E346)</f>
        <v>31.1996788192902</v>
      </c>
      <c r="G332" s="14">
        <f>Assumptions!C63/(Assumptions!C52+F338+F342+F346)</f>
        <v>31.199611409474837</v>
      </c>
      <c r="H332" s="14">
        <f>Assumptions!C63/(Assumptions!C52+G338+G342+G346)</f>
        <v>31.19961040324709</v>
      </c>
    </row>
    <row r="333" spans="2:8" x14ac:dyDescent="0.25">
      <c r="B333" s="5" t="s">
        <v>235</v>
      </c>
      <c r="C333" s="8">
        <f>Assumptions!C7/C332</f>
        <v>915449.0250000001</v>
      </c>
      <c r="D333" s="8">
        <f>Assumptions!C7/D332</f>
        <v>952085.2975078331</v>
      </c>
      <c r="E333" s="8">
        <f>Assumptions!C7/E332</f>
        <v>961409.1818363073</v>
      </c>
      <c r="F333" s="8">
        <f>Assumptions!C7/F332</f>
        <v>961548.35996105</v>
      </c>
      <c r="G333" s="8">
        <f>Assumptions!C7/G332</f>
        <v>961550.4374804317</v>
      </c>
      <c r="H333" s="8">
        <f>Assumptions!C7/H332</f>
        <v>961550.4684916758</v>
      </c>
    </row>
    <row r="334" spans="2:8" x14ac:dyDescent="0.25">
      <c r="B334" s="5" t="s">
        <v>236</v>
      </c>
      <c r="C334" s="14">
        <f>Assumptions!C20*(Assumptions!C52+Assumptions!C7/Assumptions!C20)/(Assumptions!C52+Assumptions!C7/C332)</f>
        <v>57.500114228708874</v>
      </c>
      <c r="D334" s="14">
        <f>Assumptions!C20*(Assumptions!C52+Assumptions!C7/Assumptions!C20)/(Assumptions!C52+Assumptions!C7/D332)</f>
        <v>57.44404323434723</v>
      </c>
      <c r="E334" s="14">
        <f>Assumptions!C20*(Assumptions!C52+Assumptions!C7/Assumptions!C20)/(Assumptions!C52+Assumptions!C7/E332)</f>
        <v>57.4297906906807</v>
      </c>
      <c r="F334" s="14">
        <f>Assumptions!C20*(Assumptions!C52+Assumptions!C7/Assumptions!C20)/(Assumptions!C52+Assumptions!C7/F332)</f>
        <v>57.42957799576507</v>
      </c>
      <c r="G334" s="14">
        <f>Assumptions!C20*(Assumptions!C52+Assumptions!C7/Assumptions!C20)/(Assumptions!C52+Assumptions!C7/G332)</f>
        <v>57.42957482086852</v>
      </c>
      <c r="H334" s="14">
        <f>Assumptions!C20*(Assumptions!C52+Assumptions!C7/Assumptions!C20)/(Assumptions!C52+Assumptions!C7/H332)</f>
        <v>57.42957477347668</v>
      </c>
    </row>
    <row r="335" spans="2:8" x14ac:dyDescent="0.25">
      <c r="B335" s="5" t="s">
        <v>237</v>
      </c>
      <c r="C335" s="8">
        <f>MAX(0,IF(C332&lt;Assumptions!C20,Assumptions!C29/C334-Assumptions!C47,0))</f>
        <v>18499.9798568788</v>
      </c>
      <c r="D335" s="8">
        <f>MAX(0,IF(D332&lt;Assumptions!C20,Assumptions!C29/D334-Assumptions!C47,0))</f>
        <v>20197.5375772486</v>
      </c>
      <c r="E335" s="8">
        <f>MAX(0,IF(E332&lt;Assumptions!C20,Assumptions!C29/E334-Assumptions!C47,0))</f>
        <v>20629.56383817</v>
      </c>
      <c r="F335" s="8">
        <f>MAX(0,IF(F332&lt;Assumptions!C20,Assumptions!C29/F334-Assumptions!C47,0))</f>
        <v>20636.0127174908</v>
      </c>
      <c r="G335" s="8">
        <f>MAX(0,IF(G332&lt;Assumptions!C20,Assumptions!C29/G334-Assumptions!C47,0))</f>
        <v>20636.1089802603</v>
      </c>
      <c r="H335" s="8">
        <f>MAX(0,IF(H332&lt;Assumptions!C20,Assumptions!C29/H334-Assumptions!C47,0))</f>
        <v>20636.1104171798</v>
      </c>
    </row>
    <row r="336" spans="2:8" x14ac:dyDescent="0.25">
      <c r="B336" s="5" t="s">
        <v>238</v>
      </c>
      <c r="C336" s="14">
        <f>Assumptions!C22*(Assumptions!C52+Assumptions!C7/Assumptions!C22)/(Assumptions!C52+Assumptions!C7/C332)</f>
        <v>48.75861569212351</v>
      </c>
      <c r="D336" s="14">
        <f>Assumptions!C22*(Assumptions!C52+Assumptions!C7/Assumptions!C22)/(Assumptions!C52+Assumptions!C7/D332)</f>
        <v>48.71106893326525</v>
      </c>
      <c r="E336" s="14">
        <f>Assumptions!C22*(Assumptions!C52+Assumptions!C7/Assumptions!C22)/(Assumptions!C52+Assumptions!C7/E332)</f>
        <v>48.69898314337435</v>
      </c>
      <c r="F336" s="14">
        <f>Assumptions!C22*(Assumptions!C52+Assumptions!C7/Assumptions!C22)/(Assumptions!C52+Assumptions!C7/F332)</f>
        <v>48.69880278356481</v>
      </c>
      <c r="G336" s="14">
        <f>Assumptions!C22*(Assumptions!C52+Assumptions!C7/Assumptions!C22)/(Assumptions!C52+Assumptions!C7/G332)</f>
        <v>48.69880009133431</v>
      </c>
      <c r="H336" s="14">
        <f>Assumptions!C22*(Assumptions!C52+Assumptions!C7/Assumptions!C22)/(Assumptions!C52+Assumptions!C7/H332)</f>
        <v>48.69880005114725</v>
      </c>
    </row>
    <row r="337" spans="2:8" x14ac:dyDescent="0.25">
      <c r="B337" s="5" t="s">
        <v>239</v>
      </c>
      <c r="C337" s="8">
        <f>MAX(0,IF(C332&lt;Assumptions!C22,Assumptions!C30/C336-Assumptions!C48,0))</f>
        <v>50091.763585286</v>
      </c>
      <c r="D337" s="8">
        <f>MAX(0,IF(D332&lt;Assumptions!C22,Assumptions!C30/D336-Assumptions!C48,0))</f>
        <v>56097.456821993</v>
      </c>
      <c r="E337" s="8">
        <f>MAX(0,IF(E332&lt;Assumptions!C22,Assumptions!C30/E336-Assumptions!C48,0))</f>
        <v>57625.898042081</v>
      </c>
      <c r="F337" s="8">
        <f>MAX(0,IF(F332&lt;Assumptions!C22,Assumptions!C30/F336-Assumptions!C48,0))</f>
        <v>57648.7131666895</v>
      </c>
      <c r="G337" s="8">
        <f>MAX(0,IF(G332&lt;Assumptions!C22,Assumptions!C30/G336-Assumptions!C48,0))</f>
        <v>57649.053729286</v>
      </c>
      <c r="H337" s="8">
        <f>MAX(0,IF(H332&lt;Assumptions!C22,Assumptions!C30/H336-Assumptions!C48,0))</f>
        <v>57649.058812882</v>
      </c>
    </row>
    <row r="338" spans="2:8" x14ac:dyDescent="0.25">
      <c r="B338" s="5" t="s">
        <v>240</v>
      </c>
      <c r="C338" s="8">
        <f>MAX(0,(Assumptions!E62*(Assumptions!C52+C335+C337+C333+C342+C346)-Assumptions!C51)/(1-Assumptions!E62))</f>
        <v>1465450.9003133224</v>
      </c>
      <c r="D338" s="8">
        <f>MAX(0,(Assumptions!E62*(Assumptions!C52+D335+D337+D333+D342+D346)-Assumptions!C51)/(1-Assumptions!E62))</f>
        <v>1528045.1348039035</v>
      </c>
      <c r="E338" s="8">
        <f>MAX(0,(Assumptions!E62*(Assumptions!C52+E335+E337+E333+E342+E346)-Assumptions!C51)/(1-Assumptions!E62))</f>
        <v>1530572.8563237824</v>
      </c>
      <c r="F338" s="8">
        <f>MAX(0,(Assumptions!E62*(Assumptions!C52+F335+F337+F333+F342+F346)-Assumptions!C51)/(1-Assumptions!E62))</f>
        <v>1530610.5877593742</v>
      </c>
      <c r="G338" s="8">
        <f>MAX(0,(Assumptions!E62*(Assumptions!C52+G335+G337+G333+G342+G346)-Assumptions!C51)/(1-Assumptions!E62))</f>
        <v>1530611.1509785517</v>
      </c>
      <c r="H338" s="8">
        <f>MAX(0,(Assumptions!E62*(Assumptions!C52+H335+H337+H333+H342+H346)-Assumptions!C51)/(1-Assumptions!E62))</f>
        <v>1530611.1593857517</v>
      </c>
    </row>
    <row r="339" spans="2:8" x14ac:dyDescent="0.25">
      <c r="B339" s="5" t="s">
        <v>241</v>
      </c>
      <c r="C339" s="14">
        <f>Assumptions!C34/(Assumptions!C52+C338+C346)</f>
        <v>26.258151517978163</v>
      </c>
      <c r="D339" s="14">
        <f>Assumptions!C34/(Assumptions!C52+C338+C346)</f>
        <v>26.258151517978163</v>
      </c>
      <c r="E339" s="14">
        <f>Assumptions!C34/(Assumptions!C52+D338+D346)</f>
        <v>26.1383129632647</v>
      </c>
      <c r="F339" s="14">
        <f>Assumptions!C34/(Assumptions!C52+E338+E346)</f>
        <v>26.135836796267814</v>
      </c>
      <c r="G339" s="14">
        <f>Assumptions!C34/(Assumptions!C52+F338+F346)</f>
        <v>26.135799837943154</v>
      </c>
      <c r="H339" s="14">
        <f>Assumptions!C34/(Assumptions!C52+G338+G346)</f>
        <v>26.135799286265037</v>
      </c>
    </row>
    <row r="340" spans="2:8" x14ac:dyDescent="0.25">
      <c r="B340" s="5" t="s">
        <v>242</v>
      </c>
      <c r="C340" s="14">
        <f>C332*(1-Assumptions!C35)</f>
        <v>26.216642701651246</v>
      </c>
      <c r="D340" s="14">
        <f>D332*(1-Assumptions!C35)</f>
        <v>25.207825457259037</v>
      </c>
      <c r="E340" s="14">
        <f>E332*(1-Assumptions!C35)</f>
        <v>24.96335634548404</v>
      </c>
      <c r="F340" s="14">
        <f>F332*(1-Assumptions!C35)</f>
        <v>24.95974305543216</v>
      </c>
      <c r="G340" s="14">
        <f>G332*(1-Assumptions!C35)</f>
        <v>24.95968912757987</v>
      </c>
      <c r="H340" s="14">
        <f>H332*(1-Assumptions!C35)</f>
        <v>24.95968832259767</v>
      </c>
    </row>
    <row r="341" spans="2:8" x14ac:dyDescent="0.25">
      <c r="B341" s="5" t="s">
        <v>243</v>
      </c>
      <c r="C341" s="14">
        <f>MIN(C339,C340)</f>
        <v>26.216642701651246</v>
      </c>
      <c r="D341" s="14">
        <f>MIN(D339,D340)</f>
        <v>25.207825457259037</v>
      </c>
      <c r="E341" s="14">
        <f>MIN(E339,E340)</f>
        <v>24.96335634548404</v>
      </c>
      <c r="F341" s="14">
        <f>MIN(F339,F340)</f>
        <v>24.95974305543216</v>
      </c>
      <c r="G341" s="14">
        <f>MIN(G339,G340)</f>
        <v>24.95968912757987</v>
      </c>
      <c r="H341" s="14">
        <f>MIN(H339,H340)</f>
        <v>24.95968832259767</v>
      </c>
    </row>
    <row r="342" spans="2:8" x14ac:dyDescent="0.25">
      <c r="B342" s="5" t="s">
        <v>244</v>
      </c>
      <c r="C342" s="8">
        <v>0</v>
      </c>
      <c r="D342" s="8">
        <f>Assumptions!C33/D341</f>
        <v>198351.10364746524</v>
      </c>
      <c r="E342" s="8">
        <f>Assumptions!C33/E341</f>
        <v>200293.57954923066</v>
      </c>
      <c r="F342" s="8">
        <f>Assumptions!C33/F341</f>
        <v>200322.5749918854</v>
      </c>
      <c r="G342" s="8">
        <f>Assumptions!C33/G341</f>
        <v>200323.00780842328</v>
      </c>
      <c r="H342" s="8">
        <f>Assumptions!C33/H341</f>
        <v>200323.01426909913</v>
      </c>
    </row>
    <row r="343" spans="2:8" x14ac:dyDescent="0.25">
      <c r="B343" s="5" t="s">
        <v>245</v>
      </c>
      <c r="C343" s="14">
        <f>Assumptions!C37/(Assumptions!C52+C338+C342)</f>
        <v>42.01304242876506</v>
      </c>
      <c r="D343" s="14">
        <f>Assumptions!C37/(Assumptions!C52+C338+C342)</f>
        <v>42.01304242876506</v>
      </c>
      <c r="E343" s="14">
        <f>Assumptions!C37/(Assumptions!C52+D338+D342)</f>
        <v>41.72713054101047</v>
      </c>
      <c r="F343" s="14">
        <f>Assumptions!C37/(Assumptions!C52+E338+E342)</f>
        <v>41.72226654584219</v>
      </c>
      <c r="G343" s="14">
        <f>Assumptions!C37/(Assumptions!C52+F338+F342)</f>
        <v>41.72219394931338</v>
      </c>
      <c r="H343" s="14">
        <f>Assumptions!C37/(Assumptions!C52+G338+G342)</f>
        <v>41.72219286566299</v>
      </c>
    </row>
    <row r="344" spans="2:8" x14ac:dyDescent="0.25">
      <c r="B344" s="5" t="s">
        <v>246</v>
      </c>
      <c r="C344" s="14">
        <f>C332*(1-Assumptions!C38)</f>
        <v>27.855182870504446</v>
      </c>
      <c r="D344" s="14">
        <f>D332*(1-Assumptions!C38)</f>
        <v>26.783314548337728</v>
      </c>
      <c r="E344" s="14">
        <f>E332*(1-Assumptions!C38)</f>
        <v>26.523566117076793</v>
      </c>
      <c r="F344" s="14">
        <f>F332*(1-Assumptions!C38)</f>
        <v>26.51972699639667</v>
      </c>
      <c r="G344" s="14">
        <f>G332*(1-Assumptions!C38)</f>
        <v>26.51966969805361</v>
      </c>
      <c r="H344" s="14">
        <f>H332*(1-Assumptions!C38)</f>
        <v>26.519668842760026</v>
      </c>
    </row>
    <row r="345" spans="2:8" x14ac:dyDescent="0.25">
      <c r="B345" s="5" t="s">
        <v>247</v>
      </c>
      <c r="C345" s="14">
        <f>MIN(C343,C344)</f>
        <v>27.855182870504446</v>
      </c>
      <c r="D345" s="14">
        <f>MIN(D343,D344)</f>
        <v>26.783314548337728</v>
      </c>
      <c r="E345" s="14">
        <f>MIN(E343,E344)</f>
        <v>26.523566117076793</v>
      </c>
      <c r="F345" s="14">
        <f>MIN(F343,F344)</f>
        <v>26.51972699639667</v>
      </c>
      <c r="G345" s="14">
        <f>MIN(G343,G344)</f>
        <v>26.51966969805361</v>
      </c>
      <c r="H345" s="14">
        <f>MIN(H343,H344)</f>
        <v>26.519668842760026</v>
      </c>
    </row>
    <row r="346" spans="2:8" x14ac:dyDescent="0.25">
      <c r="B346" s="5" t="s">
        <v>248</v>
      </c>
      <c r="C346" s="8">
        <v>0</v>
      </c>
      <c r="D346" s="8">
        <f>Assumptions!C36/D345</f>
        <v>112010.03500092155</v>
      </c>
      <c r="E346" s="8">
        <f>Assumptions!C36/E345</f>
        <v>113106.96256897732</v>
      </c>
      <c r="F346" s="8">
        <f>Assumptions!C36/F345</f>
        <v>113123.33646600589</v>
      </c>
      <c r="G346" s="8">
        <f>Assumptions!C36/G345</f>
        <v>113123.58088005081</v>
      </c>
      <c r="H346" s="8">
        <f>Assumptions!C36/H345</f>
        <v>113123.58452843245</v>
      </c>
    </row>
    <row r="347" spans="2:8" x14ac:dyDescent="0.25">
      <c r="B347" s="5" t="s">
        <v>249</v>
      </c>
      <c r="H347" s="8">
        <f>Assumptions!C52+H338+H335+H337+H342+H346+H333</f>
        <v>39501854.39590502</v>
      </c>
    </row>
    <row r="349" spans="2:13" x14ac:dyDescent="0.25">
      <c r="B349" s="23" t="s">
        <v>250</v>
      </c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spans="2:10" x14ac:dyDescent="0.25">
      <c r="B350" s="13" t="s">
        <v>97</v>
      </c>
      <c r="C350" s="13" t="s">
        <v>251</v>
      </c>
      <c r="D350" s="13" t="s">
        <v>252</v>
      </c>
      <c r="E350" s="13" t="s">
        <v>253</v>
      </c>
      <c r="F350" s="13" t="s">
        <v>254</v>
      </c>
      <c r="G350" s="13" t="s">
        <v>255</v>
      </c>
      <c r="H350" s="13" t="s">
        <v>256</v>
      </c>
      <c r="I350" s="13" t="s">
        <v>257</v>
      </c>
      <c r="J350" s="13" t="s">
        <v>258</v>
      </c>
    </row>
    <row r="351" spans="2:10" x14ac:dyDescent="0.25">
      <c r="B351" s="5" t="s">
        <v>259</v>
      </c>
      <c r="C351" s="8">
        <f>H333</f>
        <v>961550.4684916758</v>
      </c>
      <c r="D351" s="14">
        <f>Assumptions!C7</f>
        <v>30000000</v>
      </c>
      <c r="E351" s="8">
        <f>IF(D351&gt;((Assumptions!C57+IF(D362=1,C361*C360,0))*C351/(SUM($C$351:$C$357)+C358+C359+IF(D362=1,C360,0))),1,0)</f>
        <v>0</v>
      </c>
      <c r="F351" s="8">
        <f>IF(D351&gt;((Assumptions!C57+IF(D362=1,C361*C360,0)-(SUMPRODUCT($D$351:$D$357,$E$351:$E$357)-D351*E351))*C351/((((SUM($C$351:$C$357)-SUMPRODUCT($C$351:$C$357,$E$351:$E$357))-C351*(1-E351))+C358+C359+IF(D362=1,C360,0))+C351)),1,0)</f>
        <v>0</v>
      </c>
      <c r="G351" s="8">
        <f>IF(D351&gt;((Assumptions!C57+IF(D362=1,C361*C360,0)-(SUMPRODUCT($D$351:$D$357,$F$351:$F$357)-D351*F351))*C351/((((SUM($C$351:$C$357)-SUMPRODUCT($C$351:$C$357,$F$351:$F$357))-C351*(1-F351))+C358+C359+IF(D362=1,C360,0))+C351)),1,0)</f>
        <v>0</v>
      </c>
      <c r="H351" s="8">
        <f>IF(D351&gt;((Assumptions!C57+IF(D362=1,C361*C360,0)-(SUMPRODUCT($D$351:$D$357,$G$351:$G$357)-D351*G351))*C351/((((SUM($C$351:$C$357)-SUMPRODUCT($C$351:$C$357,$G$351:$G$357))-C351*(1-G351))+C358+C359+IF(D362=1,C360,0))+C351)),1,0)</f>
        <v>0</v>
      </c>
      <c r="I351" s="14">
        <f>((Assumptions!C57+IF(D362=1,C361*C360,0)-(SUMPRODUCT($D$351:$D$357,$H$351:$H$357)-D351*H351))*C351/((((SUM($C$351:$C$357)-SUMPRODUCT($C$351:$C$357,$H$351:$H$357))-C351*(1-H351))+C358+C359+IF(D362=1,C360,0))+C351))</f>
        <v>53278959.75746093</v>
      </c>
      <c r="J351" s="14">
        <f>IF(H351=1,D351,I351)</f>
        <v>53278959.75746093</v>
      </c>
    </row>
    <row r="352" spans="2:10" x14ac:dyDescent="0.25">
      <c r="B352" s="5" t="s">
        <v>109</v>
      </c>
      <c r="C352" s="8">
        <f>Assumptions!C48+H337</f>
        <v>6160316.058812882</v>
      </c>
      <c r="D352" s="14">
        <f>Assumptions!C30</f>
        <v>300000000</v>
      </c>
      <c r="E352" s="8">
        <f>IF(D352&gt;((Assumptions!C57+IF(D362=1,C361*C360,0))*C352/(SUM($C$351:$C$357)+C358+C359+IF(D362=1,C360,0))),1,0)</f>
        <v>0</v>
      </c>
      <c r="F352" s="8">
        <f>IF(D352&gt;((Assumptions!C57+IF(D362=1,C361*C360,0)-(SUMPRODUCT($D$351:$D$357,$E$351:$E$357)-D352*E352))*C352/((((SUM($C$351:$C$357)-SUMPRODUCT($C$351:$C$357,$E$351:$E$357))-C352*(1-E352))+C358+C359+IF(D362=1,C360,0))+C352)),1,0)</f>
        <v>0</v>
      </c>
      <c r="G352" s="8">
        <f>IF(D352&gt;((Assumptions!C57+IF(D362=1,C361*C360,0)-(SUMPRODUCT($D$351:$D$357,$F$351:$F$357)-D352*F352))*C352/((((SUM($C$351:$C$357)-SUMPRODUCT($C$351:$C$357,$F$351:$F$357))-C352*(1-F352))+C358+C359+IF(D362=1,C360,0))+C352)),1,0)</f>
        <v>0</v>
      </c>
      <c r="H352" s="8">
        <f>IF(D352&gt;((Assumptions!C57+IF(D362=1,C361*C360,0)-(SUMPRODUCT($D$351:$D$357,$G$351:$G$357)-D352*G352))*C352/((((SUM($C$351:$C$357)-SUMPRODUCT($C$351:$C$357,$G$351:$G$357))-C352*(1-G352))+C358+C359+IF(D362=1,C360,0))+C352)),1,0)</f>
        <v>0</v>
      </c>
      <c r="I352" s="14">
        <f>((Assumptions!C57+IF(D362=1,C361*C360,0)-(SUMPRODUCT($D$351:$D$357,$H$351:$H$357)-D352*H352))*C352/((((SUM($C$351:$C$357)-SUMPRODUCT($C$351:$C$357,$H$351:$H$357))-C352*(1-H352))+C358+C359+IF(D362=1,C360,0))+C352))</f>
        <v>341339578.26008093</v>
      </c>
      <c r="J352" s="14">
        <f>IF(H352=1,D352,I352)</f>
        <v>341339578.26008093</v>
      </c>
    </row>
    <row r="353" spans="2:10" x14ac:dyDescent="0.25">
      <c r="B353" s="5" t="s">
        <v>108</v>
      </c>
      <c r="C353" s="8">
        <f>Assumptions!C47+H335</f>
        <v>1741263.1104171798</v>
      </c>
      <c r="D353" s="14">
        <f>Assumptions!C29</f>
        <v>100000000</v>
      </c>
      <c r="E353" s="8">
        <f>IF(D353&gt;((Assumptions!C57+IF(D362=1,C361*C360,0))*C353/(SUM($C$351:$C$357)+C358+C359+IF(D362=1,C360,0))),1,0)</f>
        <v>1</v>
      </c>
      <c r="F353" s="8">
        <f>IF(D353&gt;((Assumptions!C57+IF(D362=1,C361*C360,0)-(SUMPRODUCT($D$351:$D$357,$E$351:$E$357)-D353*E353))*C353/((((SUM($C$351:$C$357)-SUMPRODUCT($C$351:$C$357,$E$351:$E$357))-C353*(1-E353))+C358+C359+IF(D362=1,C360,0))+C353)),1,0)</f>
        <v>1</v>
      </c>
      <c r="G353" s="8">
        <f>IF(D353&gt;((Assumptions!C57+IF(D362=1,C361*C360,0)-(SUMPRODUCT($D$351:$D$357,$F$351:$F$357)-D353*F353))*C353/((((SUM($C$351:$C$357)-SUMPRODUCT($C$351:$C$357,$F$351:$F$357))-C353*(1-F353))+C358+C359+IF(D362=1,C360,0))+C353)),1,0)</f>
        <v>1</v>
      </c>
      <c r="H353" s="8">
        <f>IF(D353&gt;((Assumptions!C57+IF(D362=1,C361*C360,0)-(SUMPRODUCT($D$351:$D$357,$G$351:$G$357)-D353*G353))*C353/((((SUM($C$351:$C$357)-SUMPRODUCT($C$351:$C$357,$G$351:$G$357))-C353*(1-G353))+C358+C359+IF(D362=1,C360,0))+C353)),1,0)</f>
        <v>1</v>
      </c>
      <c r="I353" s="14">
        <f>((Assumptions!C57+IF(D362=1,C361*C360,0)-(SUMPRODUCT($D$351:$D$357,$H$351:$H$357)-D353*H353))*C353/((((SUM($C$351:$C$357)-SUMPRODUCT($C$351:$C$357,$H$351:$H$357))-C353*(1-H353))+C358+C359+IF(D362=1,C360,0))+C353))</f>
        <v>96652169.97728115</v>
      </c>
      <c r="J353" s="14">
        <f>IF(H353=1,D353,I353)</f>
        <v>100000000</v>
      </c>
    </row>
    <row r="354" spans="2:10" x14ac:dyDescent="0.25">
      <c r="B354" s="5" t="s">
        <v>107</v>
      </c>
      <c r="C354" s="8">
        <f>Assumptions!C46</f>
        <v>2400000</v>
      </c>
      <c r="D354" s="14">
        <f>Assumptions!C28</f>
        <v>60000000</v>
      </c>
      <c r="E354" s="8">
        <f>IF(D354&gt;((Assumptions!C57+IF(D362=1,C361*C360,0))*C354/(SUM($C$351:$C$357)+C358+C359+IF(D362=1,C360,0))),1,0)</f>
        <v>0</v>
      </c>
      <c r="F354" s="8">
        <f>IF(D354&gt;((Assumptions!C57+IF(D362=1,C361*C360,0)-(SUMPRODUCT($D$351:$D$357,$E$351:$E$357)-D354*E354))*C354/((((SUM($C$351:$C$357)-SUMPRODUCT($C$351:$C$357,$E$351:$E$357))-C354*(1-E354))+C358+C359+IF(D362=1,C360,0))+C354)),1,0)</f>
        <v>0</v>
      </c>
      <c r="G354" s="8">
        <f>IF(D354&gt;((Assumptions!C57+IF(D362=1,C361*C360,0)-(SUMPRODUCT($D$351:$D$357,$F$351:$F$357)-D354*F354))*C354/((((SUM($C$351:$C$357)-SUMPRODUCT($C$351:$C$357,$F$351:$F$357))-C354*(1-F354))+C358+C359+IF(D362=1,C360,0))+C354)),1,0)</f>
        <v>0</v>
      </c>
      <c r="H354" s="8">
        <f>IF(D354&gt;((Assumptions!C57+IF(D362=1,C361*C360,0)-(SUMPRODUCT($D$351:$D$357,$G$351:$G$357)-D354*G354))*C354/((((SUM($C$351:$C$357)-SUMPRODUCT($C$351:$C$357,$G$351:$G$357))-C354*(1-G354))+C358+C359+IF(D362=1,C360,0))+C354)),1,0)</f>
        <v>0</v>
      </c>
      <c r="I354" s="14">
        <f>((Assumptions!C57+IF(D362=1,C361*C360,0)-(SUMPRODUCT($D$351:$D$357,$H$351:$H$357)-D354*H354))*C354/((((SUM($C$351:$C$357)-SUMPRODUCT($C$351:$C$357,$H$351:$H$357))-C354*(1-H354))+C358+C359+IF(D362=1,C360,0))+C354))</f>
        <v>132982622.96984488</v>
      </c>
      <c r="J354" s="14">
        <f>IF(H354=1,D354,I354)</f>
        <v>132982622.96984488</v>
      </c>
    </row>
    <row r="355" spans="2:10" x14ac:dyDescent="0.25">
      <c r="B355" s="5" t="s">
        <v>106</v>
      </c>
      <c r="C355" s="8">
        <f>Assumptions!C45</f>
        <v>3000000</v>
      </c>
      <c r="D355" s="14">
        <f>Assumptions!C27</f>
        <v>30000000</v>
      </c>
      <c r="E355" s="8">
        <f>IF(D355&gt;((Assumptions!C57+IF(D362=1,C361*C360,0))*C355/(SUM($C$351:$C$357)+C358+C359+IF(D362=1,C360,0))),1,0)</f>
        <v>0</v>
      </c>
      <c r="F355" s="8">
        <f>IF(D355&gt;((Assumptions!C57+IF(D362=1,C361*C360,0)-(SUMPRODUCT($D$351:$D$357,$E$351:$E$357)-D355*E355))*C355/((((SUM($C$351:$C$357)-SUMPRODUCT($C$351:$C$357,$E$351:$E$357))-C355*(1-E355))+C358+C359+IF(D362=1,C360,0))+C355)),1,0)</f>
        <v>0</v>
      </c>
      <c r="G355" s="8">
        <f>IF(D355&gt;((Assumptions!C57+IF(D362=1,C361*C360,0)-(SUMPRODUCT($D$351:$D$357,$F$351:$F$357)-D355*F355))*C355/((((SUM($C$351:$C$357)-SUMPRODUCT($C$351:$C$357,$F$351:$F$357))-C355*(1-F355))+C358+C359+IF(D362=1,C360,0))+C355)),1,0)</f>
        <v>0</v>
      </c>
      <c r="H355" s="8">
        <f>IF(D355&gt;((Assumptions!C57+IF(D362=1,C361*C360,0)-(SUMPRODUCT($D$351:$D$357,$G$351:$G$357)-D355*G355))*C355/((((SUM($C$351:$C$357)-SUMPRODUCT($C$351:$C$357,$G$351:$G$357))-C355*(1-G355))+C358+C359+IF(D362=1,C360,0))+C355)),1,0)</f>
        <v>0</v>
      </c>
      <c r="I355" s="14">
        <f>((Assumptions!C57+IF(D362=1,C361*C360,0)-(SUMPRODUCT($D$351:$D$357,$H$351:$H$357)-D355*H355))*C355/((((SUM($C$351:$C$357)-SUMPRODUCT($C$351:$C$357,$H$351:$H$357))-C355*(1-H355))+C358+C359+IF(D362=1,C360,0))+C355))</f>
        <v>166228278.71230608</v>
      </c>
      <c r="J355" s="14">
        <f>IF(H355=1,D355,I355)</f>
        <v>166228278.71230608</v>
      </c>
    </row>
    <row r="356" spans="2:10" x14ac:dyDescent="0.25">
      <c r="B356" s="5" t="s">
        <v>105</v>
      </c>
      <c r="C356" s="8">
        <f>Assumptions!C44</f>
        <v>5000000</v>
      </c>
      <c r="D356" s="14">
        <f>Assumptions!C26</f>
        <v>15000000</v>
      </c>
      <c r="E356" s="8">
        <f>IF(D356&gt;((Assumptions!C57+IF(D362=1,C361*C360,0))*C356/(SUM($C$351:$C$357)+C358+C359+IF(D362=1,C360,0))),1,0)</f>
        <v>0</v>
      </c>
      <c r="F356" s="8">
        <f>IF(D356&gt;((Assumptions!C57+IF(D362=1,C361*C360,0)-(SUMPRODUCT($D$351:$D$357,$E$351:$E$357)-D356*E356))*C356/((((SUM($C$351:$C$357)-SUMPRODUCT($C$351:$C$357,$E$351:$E$357))-C356*(1-E356))+C358+C359+IF(D362=1,C360,0))+C356)),1,0)</f>
        <v>0</v>
      </c>
      <c r="G356" s="8">
        <f>IF(D356&gt;((Assumptions!C57+IF(D362=1,C361*C360,0)-(SUMPRODUCT($D$351:$D$357,$F$351:$F$357)-D356*F356))*C356/((((SUM($C$351:$C$357)-SUMPRODUCT($C$351:$C$357,$F$351:$F$357))-C356*(1-F356))+C358+C359+IF(D362=1,C360,0))+C356)),1,0)</f>
        <v>0</v>
      </c>
      <c r="H356" s="8">
        <f>IF(D356&gt;((Assumptions!C57+IF(D362=1,C361*C360,0)-(SUMPRODUCT($D$351:$D$357,$G$351:$G$357)-D356*G356))*C356/((((SUM($C$351:$C$357)-SUMPRODUCT($C$351:$C$357,$G$351:$G$357))-C356*(1-G356))+C358+C359+IF(D362=1,C360,0))+C356)),1,0)</f>
        <v>0</v>
      </c>
      <c r="I356" s="14">
        <f>((Assumptions!C57+IF(D362=1,C361*C360,0)-(SUMPRODUCT($D$351:$D$357,$H$351:$H$357)-D356*H356))*C356/((((SUM($C$351:$C$357)-SUMPRODUCT($C$351:$C$357,$H$351:$H$357))-C356*(1-H356))+C358+C359+IF(D362=1,C360,0))+C356))</f>
        <v>277047131.1871768</v>
      </c>
      <c r="J356" s="14">
        <f>IF(H356=1,D356,I356)</f>
        <v>277047131.1871768</v>
      </c>
    </row>
    <row r="357" spans="2:10" x14ac:dyDescent="0.25">
      <c r="B357" s="5" t="s">
        <v>104</v>
      </c>
      <c r="C357" s="8">
        <f>Assumptions!C43</f>
        <v>5000000</v>
      </c>
      <c r="D357" s="14">
        <f>Assumptions!C25</f>
        <v>5000000</v>
      </c>
      <c r="E357" s="8">
        <f>IF(D357&gt;((Assumptions!C57+IF(D362=1,C361*C360,0))*C357/(SUM($C$351:$C$357)+C358+C359+IF(D362=1,C360,0))),1,0)</f>
        <v>0</v>
      </c>
      <c r="F357" s="8">
        <f>IF(D357&gt;((Assumptions!C57+IF(D362=1,C361*C360,0)-(SUMPRODUCT($D$351:$D$357,$E$351:$E$357)-D357*E357))*C357/((((SUM($C$351:$C$357)-SUMPRODUCT($C$351:$C$357,$E$351:$E$357))-C357*(1-E357))+C358+C359+IF(D362=1,C360,0))+C357)),1,0)</f>
        <v>0</v>
      </c>
      <c r="G357" s="8">
        <f>IF(D357&gt;((Assumptions!C57+IF(D362=1,C361*C360,0)-(SUMPRODUCT($D$351:$D$357,$F$351:$F$357)-D357*F357))*C357/((((SUM($C$351:$C$357)-SUMPRODUCT($C$351:$C$357,$F$351:$F$357))-C357*(1-F357))+C358+C359+IF(D362=1,C360,0))+C357)),1,0)</f>
        <v>0</v>
      </c>
      <c r="H357" s="8">
        <f>IF(D357&gt;((Assumptions!C57+IF(D362=1,C361*C360,0)-(SUMPRODUCT($D$351:$D$357,$G$351:$G$357)-D357*G357))*C357/((((SUM($C$351:$C$357)-SUMPRODUCT($C$351:$C$357,$G$351:$G$357))-C357*(1-G357))+C358+C359+IF(D362=1,C360,0))+C357)),1,0)</f>
        <v>0</v>
      </c>
      <c r="I357" s="14">
        <f>((Assumptions!C57+IF(D362=1,C361*C360,0)-(SUMPRODUCT($D$351:$D$357,$H$351:$H$357)-D357*H357))*C357/((((SUM($C$351:$C$357)-SUMPRODUCT($C$351:$C$357,$H$351:$H$357))-C357*(1-H357))+C358+C359+IF(D362=1,C360,0))+C357))</f>
        <v>277047131.1871768</v>
      </c>
      <c r="J357" s="14">
        <f>IF(H357=1,D357,I357)</f>
        <v>277047131.1871768</v>
      </c>
    </row>
    <row r="358" spans="2:10" x14ac:dyDescent="0.25">
      <c r="B358" s="5" t="s">
        <v>260</v>
      </c>
      <c r="C358" s="8">
        <f>H342+H346</f>
        <v>313446.59879753157</v>
      </c>
      <c r="J358" s="14">
        <f>(Assumptions!C57+IF(D362=1,C361*C360,0)-SUMPRODUCT($D$351:$D$357,$H$351:$H$357))*C358/((SUM($C$351:$C$357)-SUMPRODUCT($C$351:$C$357,$H$351:$H$357))+C358+C359+IF(D362=1,C360,0))</f>
        <v>17367896.195446823</v>
      </c>
    </row>
    <row r="359" spans="2:10" x14ac:dyDescent="0.25">
      <c r="B359" s="5" t="s">
        <v>261</v>
      </c>
      <c r="C359" s="8">
        <f>Assumptions!C41+Assumptions!C42</f>
        <v>9000000</v>
      </c>
      <c r="J359" s="14">
        <f>(Assumptions!C57+IF(D362=1,C361*C360,0)-SUMPRODUCT($D$351:$D$357,$H$351:$H$357))*C359/((SUM($C$351:$C$357)-SUMPRODUCT($C$351:$C$357,$H$351:$H$357))+C358+C359+IF(D362=1,C360,0))</f>
        <v>498684836.1369183</v>
      </c>
    </row>
    <row r="360" spans="2:13" x14ac:dyDescent="0.25">
      <c r="B360" s="5" t="s">
        <v>262</v>
      </c>
      <c r="C360" s="8">
        <f>Assumptions!C49</f>
        <v>2500000</v>
      </c>
      <c r="J360" s="14">
        <f>IF(D362=1,(Assumptions!C57+IF(D362=1,C361*C360,0)-SUMPRODUCT($D$351:$D$357,$H$351:$H$357))*C360/((SUM($C$351:$C$357)-SUMPRODUCT($C$351:$C$357,$H$351:$H$357))+C358+C359+IF(D362=1,C360,0))-C361*C360,0)</f>
        <v>136023565.5935884</v>
      </c>
      <c r="M360" s="8">
        <f>Assumptions!C11/H332</f>
        <v>320516.8228305586</v>
      </c>
    </row>
    <row r="361" spans="2:13" x14ac:dyDescent="0.25">
      <c r="B361" s="12" t="s">
        <v>263</v>
      </c>
      <c r="C361" s="14">
        <f>Assumptions!C13</f>
        <v>1</v>
      </c>
      <c r="M361" s="33">
        <f>M360/H347</f>
        <v>0.008113969020750204</v>
      </c>
    </row>
    <row r="362" spans="2:13" x14ac:dyDescent="0.25">
      <c r="B362" s="12" t="s">
        <v>264</v>
      </c>
      <c r="C362" s="14">
        <f>(Assumptions!C57+C361*C360)/(SUM(C351:C357)+C358+C359+C360)</f>
        <v>55.506930227290454</v>
      </c>
      <c r="D362" s="8">
        <f>IF(C362&gt;C361,1,0)</f>
        <v>1</v>
      </c>
      <c r="M362" s="15">
        <f>J351*(Assumptions!C11/Assumptions!C7)</f>
        <v>17759653.252486974</v>
      </c>
    </row>
    <row r="363" spans="2:10" x14ac:dyDescent="0.25">
      <c r="B363" s="12" t="s">
        <v>265</v>
      </c>
      <c r="J363" s="34">
        <f>SUM(J351:J360)</f>
        <v>2000000000</v>
      </c>
    </row>
    <row r="364" spans="2:10" x14ac:dyDescent="0.25">
      <c r="B364" s="5" t="s">
        <v>197</v>
      </c>
      <c r="J364" s="22">
        <f>ROUND(J363-Assumptions!C57,2)</f>
        <v>0</v>
      </c>
    </row>
    <row r="380" spans="2:13" x14ac:dyDescent="0.25">
      <c r="B380" s="3" t="s">
        <v>272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2:8" x14ac:dyDescent="0.25">
      <c r="B381" s="13" t="s">
        <v>234</v>
      </c>
      <c r="C381" s="13">
        <v>0</v>
      </c>
      <c r="D381" s="13">
        <v>1</v>
      </c>
      <c r="E381" s="13">
        <v>2</v>
      </c>
      <c r="F381" s="13">
        <v>3</v>
      </c>
      <c r="G381" s="13">
        <v>4</v>
      </c>
      <c r="H381" s="13">
        <v>5</v>
      </c>
    </row>
    <row r="382" spans="2:8" x14ac:dyDescent="0.25">
      <c r="B382" s="5" t="s">
        <v>99</v>
      </c>
      <c r="C382" s="14">
        <f>Assumptions!D63/Assumptions!C52</f>
        <v>38.23260393990807</v>
      </c>
      <c r="D382" s="14">
        <f>Assumptions!D63/(Assumptions!C52+C388+C392+C396)</f>
        <v>36.788393443935604</v>
      </c>
      <c r="E382" s="14">
        <f>Assumptions!D63/(Assumptions!C52+D388+D392+D396)</f>
        <v>36.459487880992405</v>
      </c>
      <c r="F382" s="14">
        <f>Assumptions!D63/(Assumptions!C52+E388+E392+E396)</f>
        <v>36.45617489515347</v>
      </c>
      <c r="G382" s="14">
        <f>Assumptions!D63/(Assumptions!C52+F388+F392+F396)</f>
        <v>36.4561346955114</v>
      </c>
      <c r="H382" s="14">
        <f>Assumptions!D63/(Assumptions!C52+G388+G392+G396)</f>
        <v>36.4561342319054</v>
      </c>
    </row>
    <row r="383" spans="2:8" x14ac:dyDescent="0.25">
      <c r="B383" s="5" t="s">
        <v>235</v>
      </c>
      <c r="C383" s="8">
        <f>Assumptions!C7/C382</f>
        <v>784670.5928571428</v>
      </c>
      <c r="D383" s="8">
        <f>Assumptions!C7/D382</f>
        <v>815474.5883567623</v>
      </c>
      <c r="E383" s="8">
        <f>Assumptions!C7/E382</f>
        <v>822831.0857772646</v>
      </c>
      <c r="F383" s="8">
        <f>Assumptions!C7/F382</f>
        <v>822905.8612506338</v>
      </c>
      <c r="G383" s="8">
        <f>Assumptions!C7/G382</f>
        <v>822906.7686567907</v>
      </c>
      <c r="H383" s="8">
        <f>Assumptions!C7/H382</f>
        <v>822906.7791215457</v>
      </c>
    </row>
    <row r="384" spans="2:8" x14ac:dyDescent="0.25">
      <c r="B384" s="5" t="s">
        <v>236</v>
      </c>
      <c r="C384" s="14">
        <f>Assumptions!C20*(Assumptions!C52+Assumptions!C7/Assumptions!C20)/(Assumptions!C52+Assumptions!C7/C382)</f>
        <v>57.7011635791589</v>
      </c>
      <c r="D384" s="14">
        <f>Assumptions!C20*(Assumptions!C52+Assumptions!C7/Assumptions!C20)/(Assumptions!C52+Assumptions!C7/D382)</f>
        <v>57.6536812587339</v>
      </c>
      <c r="E384" s="14">
        <f>Assumptions!C20*(Assumptions!C52+Assumptions!C7/Assumptions!C20)/(Assumptions!C52+Assumptions!C7/E382)</f>
        <v>57.6423532623472</v>
      </c>
      <c r="F384" s="14">
        <f>Assumptions!C20*(Assumptions!C52+Assumptions!C7/Assumptions!C20)/(Assumptions!C52+Assumptions!C7/F382)</f>
        <v>57.64223814123457</v>
      </c>
      <c r="G384" s="14">
        <f>Assumptions!C20*(Assumptions!C52+Assumptions!C7/Assumptions!C20)/(Assumptions!C52+Assumptions!C7/G382)</f>
        <v>57.642236744233784</v>
      </c>
      <c r="H384" s="14">
        <f>Assumptions!C20*(Assumptions!C52+Assumptions!C7/Assumptions!C20)/(Assumptions!C52+Assumptions!C7/H382)</f>
        <v>57.64223672812272</v>
      </c>
    </row>
    <row r="385" spans="2:8" x14ac:dyDescent="0.25">
      <c r="B385" s="5" t="s">
        <v>237</v>
      </c>
      <c r="C385" s="8">
        <f>MAX(0,IF(C382&lt;Assumptions!C20,Assumptions!C29/C384-Assumptions!C47,0))</f>
        <v>12440.3039688757</v>
      </c>
      <c r="D385" s="8">
        <f>MAX(0,IF(D382&lt;Assumptions!C20,Assumptions!C29/D384-Assumptions!C47,0))</f>
        <v>13867.6205815973</v>
      </c>
      <c r="E385" s="8">
        <f>MAX(0,IF(E382&lt;Assumptions!C20,Assumptions!C29/E384-Assumptions!C47,0))</f>
        <v>14208.4871091186</v>
      </c>
      <c r="F385" s="8">
        <f>MAX(0,IF(F382&lt;Assumptions!C20,Assumptions!C29/F384-Assumptions!C47,0))</f>
        <v>14211.951863402</v>
      </c>
      <c r="G385" s="8">
        <f>MAX(0,IF(G382&lt;Assumptions!C20,Assumptions!C29/G384-Assumptions!C47,0))</f>
        <v>14211.9939084635</v>
      </c>
      <c r="H385" s="8">
        <f>MAX(0,IF(H382&lt;Assumptions!C20,Assumptions!C29/H384-Assumptions!C47,0))</f>
        <v>14211.9943933527</v>
      </c>
    </row>
    <row r="386" spans="2:8" x14ac:dyDescent="0.25">
      <c r="B386" s="5" t="s">
        <v>238</v>
      </c>
      <c r="C386" s="14">
        <f>Assumptions!C22*(Assumptions!C52+Assumptions!C7/Assumptions!C22)/(Assumptions!C52+Assumptions!C7/C382)</f>
        <v>48.92910036237569</v>
      </c>
      <c r="D386" s="14">
        <f>Assumptions!C22*(Assumptions!C52+Assumptions!C7/Assumptions!C22)/(Assumptions!C52+Assumptions!C7/D382)</f>
        <v>48.88883657777582</v>
      </c>
      <c r="E386" s="14">
        <f>Assumptions!C22*(Assumptions!C52+Assumptions!C7/Assumptions!C22)/(Assumptions!C52+Assumptions!C7/E382)</f>
        <v>48.87923072864335</v>
      </c>
      <c r="F386" s="14">
        <f>Assumptions!C22*(Assumptions!C52+Assumptions!C7/Assumptions!C22)/(Assumptions!C52+Assumptions!C7/F382)</f>
        <v>48.8791331089053</v>
      </c>
      <c r="G386" s="14">
        <f>Assumptions!C22*(Assumptions!C52+Assumptions!C7/Assumptions!C22)/(Assumptions!C52+Assumptions!C7/G382)</f>
        <v>48.879131924284614</v>
      </c>
      <c r="H386" s="14">
        <f>Assumptions!C22*(Assumptions!C52+Assumptions!C7/Assumptions!C22)/(Assumptions!C52+Assumptions!C7/H382)</f>
        <v>48.879131910622846</v>
      </c>
    </row>
    <row r="387" spans="2:8" x14ac:dyDescent="0.25">
      <c r="B387" s="5" t="s">
        <v>239</v>
      </c>
      <c r="C387" s="8">
        <f>MAX(0,IF(C382&lt;Assumptions!C22,Assumptions!C30/C386-Assumptions!C48,0))</f>
        <v>28653.579740042</v>
      </c>
      <c r="D387" s="8">
        <f>MAX(0,IF(D382&lt;Assumptions!C22,Assumptions!C30/D386-Assumptions!C48,0))</f>
        <v>33703.202279999</v>
      </c>
      <c r="E387" s="8">
        <f>MAX(0,IF(E382&lt;Assumptions!C22,Assumptions!C30/E386-Assumptions!C48,0))</f>
        <v>34909.134646473</v>
      </c>
      <c r="F387" s="8">
        <f>MAX(0,IF(F382&lt;Assumptions!C22,Assumptions!C30/F386-Assumptions!C48,0))</f>
        <v>34921.392404262</v>
      </c>
      <c r="G387" s="8">
        <f>MAX(0,IF(G382&lt;Assumptions!C22,Assumptions!C30/G386-Assumptions!C48,0))</f>
        <v>34921.541153101</v>
      </c>
      <c r="H387" s="8">
        <f>MAX(0,IF(H382&lt;Assumptions!C22,Assumptions!C30/H386-Assumptions!C48,0))</f>
        <v>34921.542868564</v>
      </c>
    </row>
    <row r="388" spans="2:8" x14ac:dyDescent="0.25">
      <c r="B388" s="5" t="s">
        <v>240</v>
      </c>
      <c r="C388" s="8">
        <f>MAX(0,(Assumptions!E62*(Assumptions!C52+C385+C387+C383+C392+C396)-Assumptions!C51)/(1-Assumptions!E62))</f>
        <v>1437519.7899822472</v>
      </c>
      <c r="D388" s="8">
        <f>MAX(0,(Assumptions!E62*(Assumptions!C52+D385+D387+D383+D392+D396)-Assumptions!C51)/(1-Assumptions!E62))</f>
        <v>1494607.412123607</v>
      </c>
      <c r="E388" s="8">
        <f>MAX(0,(Assumptions!E62*(Assumptions!C52+E385+E387+E383+E392+E396)-Assumptions!C51)/(1-Assumptions!E62))</f>
        <v>1496466.3348843635</v>
      </c>
      <c r="F388" s="8">
        <f>MAX(0,(Assumptions!E62*(Assumptions!C52+F385+F387+F383+F392+F396)-Assumptions!C51)/(1-Assumptions!E62))</f>
        <v>1496486.2614252777</v>
      </c>
      <c r="G388" s="8">
        <f>MAX(0,(Assumptions!E62*(Assumptions!C52+G385+G387+G383+G392+G396)-Assumptions!C51)/(1-Assumptions!E62))</f>
        <v>1496486.4994085752</v>
      </c>
      <c r="H388" s="8">
        <f>MAX(0,(Assumptions!E62*(Assumptions!C52+H385+H387+H383+H392+H396)-Assumptions!C51)/(1-Assumptions!E62))</f>
        <v>1496486.5021650342</v>
      </c>
    </row>
    <row r="389" spans="2:8" x14ac:dyDescent="0.25">
      <c r="B389" s="5" t="s">
        <v>241</v>
      </c>
      <c r="C389" s="14">
        <f>Assumptions!C34/(Assumptions!C52+C388+C396)</f>
        <v>26.27742388852543</v>
      </c>
      <c r="D389" s="14">
        <f>Assumptions!C34/(Assumptions!C52+C388+C396)</f>
        <v>26.27742388852543</v>
      </c>
      <c r="E389" s="14">
        <f>Assumptions!C34/(Assumptions!C52+D388+D396)</f>
        <v>26.172182296872528</v>
      </c>
      <c r="F389" s="14">
        <f>Assumptions!C34/(Assumptions!C52+E388+E396)</f>
        <v>26.1703162666614</v>
      </c>
      <c r="G389" s="14">
        <f>Assumptions!C34/(Assumptions!C52+F388+F396)</f>
        <v>26.17029659426241</v>
      </c>
      <c r="H389" s="14">
        <f>Assumptions!C34/(Assumptions!C52+G388+G396)</f>
        <v>26.170296358157437</v>
      </c>
    </row>
    <row r="390" spans="2:8" x14ac:dyDescent="0.25">
      <c r="B390" s="5" t="s">
        <v>242</v>
      </c>
      <c r="C390" s="14">
        <f>C382*(1-Assumptions!C35)</f>
        <v>30.586083151926456</v>
      </c>
      <c r="D390" s="14">
        <f>D382*(1-Assumptions!C35)</f>
        <v>29.430714755148482</v>
      </c>
      <c r="E390" s="14">
        <f>E382*(1-Assumptions!C35)</f>
        <v>29.167590304793922</v>
      </c>
      <c r="F390" s="14">
        <f>F382*(1-Assumptions!C35)</f>
        <v>29.164939916122776</v>
      </c>
      <c r="G390" s="14">
        <f>G382*(1-Assumptions!C35)</f>
        <v>29.16490775640912</v>
      </c>
      <c r="H390" s="14">
        <f>H382*(1-Assumptions!C35)</f>
        <v>29.16490738552432</v>
      </c>
    </row>
    <row r="391" spans="2:8" x14ac:dyDescent="0.25">
      <c r="B391" s="5" t="s">
        <v>243</v>
      </c>
      <c r="C391" s="14">
        <f>MIN(C389,C390)</f>
        <v>26.27742388852543</v>
      </c>
      <c r="D391" s="14">
        <f>MIN(D389,D390)</f>
        <v>26.27742388852543</v>
      </c>
      <c r="E391" s="14">
        <f>MIN(E389,E390)</f>
        <v>26.172182296872528</v>
      </c>
      <c r="F391" s="14">
        <f>MIN(F389,F390)</f>
        <v>26.1703162666614</v>
      </c>
      <c r="G391" s="14">
        <f>MIN(G389,G390)</f>
        <v>26.17029659426241</v>
      </c>
      <c r="H391" s="14">
        <f>MIN(H389,H390)</f>
        <v>26.170296358157437</v>
      </c>
    </row>
    <row r="392" spans="2:8" x14ac:dyDescent="0.25">
      <c r="B392" s="5" t="s">
        <v>244</v>
      </c>
      <c r="C392" s="8">
        <v>0</v>
      </c>
      <c r="D392" s="8">
        <f>Assumptions!C33/D391</f>
        <v>190277.4039499112</v>
      </c>
      <c r="E392" s="8">
        <f>Assumptions!C33/E391</f>
        <v>191042.53299494556</v>
      </c>
      <c r="F392" s="8">
        <f>Assumptions!C33/F391</f>
        <v>191056.15496017312</v>
      </c>
      <c r="G392" s="8">
        <f>Assumptions!C33/G391</f>
        <v>191056.2985784503</v>
      </c>
      <c r="H392" s="8">
        <f>Assumptions!C33/H391</f>
        <v>191056.30030213512</v>
      </c>
    </row>
    <row r="393" spans="2:8" x14ac:dyDescent="0.25">
      <c r="B393" s="5" t="s">
        <v>245</v>
      </c>
      <c r="C393" s="14">
        <f>Assumptions!C37/(Assumptions!C52+C388+C392)</f>
        <v>42.04387822164069</v>
      </c>
      <c r="D393" s="14">
        <f>Assumptions!C37/(Assumptions!C52+C388+C392)</f>
        <v>42.04387822164069</v>
      </c>
      <c r="E393" s="14">
        <f>Assumptions!C37/(Assumptions!C52+D388+D392)</f>
        <v>41.772353095721456</v>
      </c>
      <c r="F393" s="14">
        <f>Assumptions!C37/(Assumptions!C52+E388+E392)</f>
        <v>41.769491550909414</v>
      </c>
      <c r="G393" s="14">
        <f>Assumptions!C37/(Assumptions!C52+F388+F392)</f>
        <v>41.76945496859307</v>
      </c>
      <c r="H393" s="14">
        <f>Assumptions!C37/(Assumptions!C52+G388+G392)</f>
        <v>41.769454552483424</v>
      </c>
    </row>
    <row r="394" spans="2:8" x14ac:dyDescent="0.25">
      <c r="B394" s="5" t="s">
        <v>246</v>
      </c>
      <c r="C394" s="14">
        <f>C382*(1-Assumptions!C38)</f>
        <v>32.49771334892186</v>
      </c>
      <c r="D394" s="14">
        <f>D382*(1-Assumptions!C38)</f>
        <v>31.270134427345262</v>
      </c>
      <c r="E394" s="14">
        <f>E382*(1-Assumptions!C38)</f>
        <v>30.990564698843546</v>
      </c>
      <c r="F394" s="14">
        <f>F382*(1-Assumptions!C38)</f>
        <v>30.98774866088045</v>
      </c>
      <c r="G394" s="14">
        <f>G382*(1-Assumptions!C38)</f>
        <v>30.98771449118469</v>
      </c>
      <c r="H394" s="14">
        <f>H382*(1-Assumptions!C38)</f>
        <v>30.98771409711959</v>
      </c>
    </row>
    <row r="395" spans="2:8" x14ac:dyDescent="0.25">
      <c r="B395" s="5" t="s">
        <v>247</v>
      </c>
      <c r="C395" s="14">
        <f>MIN(C393,C394)</f>
        <v>32.49771334892186</v>
      </c>
      <c r="D395" s="14">
        <f>MIN(D393,D394)</f>
        <v>31.270134427345262</v>
      </c>
      <c r="E395" s="14">
        <f>MIN(E393,E394)</f>
        <v>30.990564698843546</v>
      </c>
      <c r="F395" s="14">
        <f>MIN(F393,F394)</f>
        <v>30.98774866088045</v>
      </c>
      <c r="G395" s="14">
        <f>MIN(G393,G394)</f>
        <v>30.98771449118469</v>
      </c>
      <c r="H395" s="14">
        <f>MIN(H393,H394)</f>
        <v>30.98771409711959</v>
      </c>
    </row>
    <row r="396" spans="2:8" x14ac:dyDescent="0.25">
      <c r="B396" s="5" t="s">
        <v>248</v>
      </c>
      <c r="C396" s="8">
        <v>0</v>
      </c>
      <c r="D396" s="8">
        <f>Assumptions!C36/D395</f>
        <v>95938.18686550146</v>
      </c>
      <c r="E396" s="8">
        <f>Assumptions!C36/E395</f>
        <v>96803.65715026642</v>
      </c>
      <c r="F396" s="8">
        <f>Assumptions!C36/F395</f>
        <v>96812.45426478045</v>
      </c>
      <c r="G396" s="8">
        <f>Assumptions!C36/G395</f>
        <v>96812.56101844597</v>
      </c>
      <c r="H396" s="8">
        <f>Assumptions!C36/H395</f>
        <v>96812.56224959361</v>
      </c>
    </row>
    <row r="397" spans="2:8" x14ac:dyDescent="0.25">
      <c r="B397" s="5" t="s">
        <v>249</v>
      </c>
      <c r="H397" s="8">
        <f>Assumptions!C52+H388+H385+H387+H392+H396+H383</f>
        <v>39274356.68110021</v>
      </c>
    </row>
    <row r="399" spans="2:13" x14ac:dyDescent="0.25">
      <c r="B399" s="23" t="s">
        <v>250</v>
      </c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 spans="2:10" x14ac:dyDescent="0.25">
      <c r="B400" s="13" t="s">
        <v>97</v>
      </c>
      <c r="C400" s="13" t="s">
        <v>251</v>
      </c>
      <c r="D400" s="13" t="s">
        <v>252</v>
      </c>
      <c r="E400" s="13" t="s">
        <v>253</v>
      </c>
      <c r="F400" s="13" t="s">
        <v>254</v>
      </c>
      <c r="G400" s="13" t="s">
        <v>255</v>
      </c>
      <c r="H400" s="13" t="s">
        <v>256</v>
      </c>
      <c r="I400" s="13" t="s">
        <v>257</v>
      </c>
      <c r="J400" s="13" t="s">
        <v>258</v>
      </c>
    </row>
    <row r="401" spans="2:10" x14ac:dyDescent="0.25">
      <c r="B401" s="5" t="s">
        <v>259</v>
      </c>
      <c r="C401" s="8">
        <f>H383</f>
        <v>822906.7791215457</v>
      </c>
      <c r="D401" s="14">
        <f>Assumptions!C7</f>
        <v>30000000</v>
      </c>
      <c r="E401" s="8">
        <f>IF(D401&gt;((Assumptions!C57+IF(D412=1,C411*C410,0))*C401/(SUM($C$401:$C$407)+C408+C409+IF(D412=1,C410,0))),1,0)</f>
        <v>0</v>
      </c>
      <c r="F401" s="8">
        <f>IF(D401&gt;((Assumptions!C57+IF(D412=1,C411*C410,0)-(SUMPRODUCT($D$401:$D$407,$E$401:$E$407)-D401*E401))*C401/((((SUM($C$401:$C$407)-SUMPRODUCT($C$401:$C$407,$E$401:$E$407))-C401*(1-E401))+C408+C409+IF(D412=1,C410,0))+C401)),1,0)</f>
        <v>0</v>
      </c>
      <c r="G401" s="8">
        <f>IF(D401&gt;((Assumptions!C57+IF(D412=1,C411*C410,0)-(SUMPRODUCT($D$401:$D$407,$F$401:$F$407)-D401*F401))*C401/((((SUM($C$401:$C$407)-SUMPRODUCT($C$401:$C$407,$F$401:$F$407))-C401*(1-F401))+C408+C409+IF(D412=1,C410,0))+C401)),1,0)</f>
        <v>0</v>
      </c>
      <c r="H401" s="8">
        <f>IF(D401&gt;((Assumptions!C57+IF(D412=1,C411*C410,0)-(SUMPRODUCT($D$401:$D$407,$G$401:$G$407)-D401*G401))*C401/((((SUM($C$401:$C$407)-SUMPRODUCT($C$401:$C$407,$G$401:$G$407))-C401*(1-G401))+C408+C409+IF(D412=1,C410,0))+C401)),1,0)</f>
        <v>0</v>
      </c>
      <c r="I401" s="14">
        <f>((Assumptions!C57+IF(D412=1,C411*C410,0)-(SUMPRODUCT($D$401:$D$407,$H$401:$H$407)-D401*H401))*C401/((((SUM($C$401:$C$407)-SUMPRODUCT($C$401:$C$407,$H$401:$H$407))-C401*(1-H401))+C408+C409+IF(D412=1,C410,0))+C401))</f>
        <v>45846417.08803849</v>
      </c>
      <c r="J401" s="14">
        <f>IF(H401=1,D401,I401)</f>
        <v>45846417.08803849</v>
      </c>
    </row>
    <row r="402" spans="2:10" x14ac:dyDescent="0.25">
      <c r="B402" s="5" t="s">
        <v>109</v>
      </c>
      <c r="C402" s="8">
        <f>Assumptions!C48+H387</f>
        <v>6137588.542868564</v>
      </c>
      <c r="D402" s="14">
        <f>Assumptions!C30</f>
        <v>300000000</v>
      </c>
      <c r="E402" s="8">
        <f>IF(D402&gt;((Assumptions!C57+IF(D412=1,C411*C410,0))*C402/(SUM($C$401:$C$407)+C408+C409+IF(D412=1,C410,0))),1,0)</f>
        <v>0</v>
      </c>
      <c r="F402" s="8">
        <f>IF(D402&gt;((Assumptions!C57+IF(D412=1,C411*C410,0)-(SUMPRODUCT($D$401:$D$407,$E$401:$E$407)-D402*E402))*C402/((((SUM($C$401:$C$407)-SUMPRODUCT($C$401:$C$407,$E$401:$E$407))-C402*(1-E402))+C408+C409+IF(D412=1,C410,0))+C402)),1,0)</f>
        <v>0</v>
      </c>
      <c r="G402" s="8">
        <f>IF(D402&gt;((Assumptions!C57+IF(D412=1,C411*C410,0)-(SUMPRODUCT($D$401:$D$407,$F$401:$F$407)-D402*F402))*C402/((((SUM($C$401:$C$407)-SUMPRODUCT($C$401:$C$407,$F$401:$F$407))-C402*(1-F402))+C408+C409+IF(D412=1,C410,0))+C402)),1,0)</f>
        <v>0</v>
      </c>
      <c r="H402" s="8">
        <f>IF(D402&gt;((Assumptions!C57+IF(D412=1,C411*C410,0)-(SUMPRODUCT($D$401:$D$407,$G$401:$G$407)-D402*G402))*C402/((((SUM($C$401:$C$407)-SUMPRODUCT($C$401:$C$407,$G$401:$G$407))-C402*(1-G402))+C408+C409+IF(D412=1,C410,0))+C402)),1,0)</f>
        <v>0</v>
      </c>
      <c r="I402" s="14">
        <f>((Assumptions!C57+IF(D412=1,C411*C410,0)-(SUMPRODUCT($D$401:$D$407,$H$401:$H$407)-D402*H402))*C402/((((SUM($C$401:$C$407)-SUMPRODUCT($C$401:$C$407,$H$401:$H$407))-C402*(1-H402))+C408+C409+IF(D412=1,C410,0))+C402))</f>
        <v>341942066.0885782</v>
      </c>
      <c r="J402" s="14">
        <f>IF(H402=1,D402,I402)</f>
        <v>341942066.0885782</v>
      </c>
    </row>
    <row r="403" spans="2:10" x14ac:dyDescent="0.25">
      <c r="B403" s="5" t="s">
        <v>108</v>
      </c>
      <c r="C403" s="8">
        <f>Assumptions!C47+H385</f>
        <v>1734838.9943933527</v>
      </c>
      <c r="D403" s="14">
        <f>Assumptions!C29</f>
        <v>100000000</v>
      </c>
      <c r="E403" s="8">
        <f>IF(D403&gt;((Assumptions!C57+IF(D412=1,C411*C410,0))*C403/(SUM($C$401:$C$407)+C408+C409+IF(D412=1,C410,0))),1,0)</f>
        <v>1</v>
      </c>
      <c r="F403" s="8">
        <f>IF(D403&gt;((Assumptions!C57+IF(D412=1,C411*C410,0)-(SUMPRODUCT($D$401:$D$407,$E$401:$E$407)-D403*E403))*C403/((((SUM($C$401:$C$407)-SUMPRODUCT($C$401:$C$407,$E$401:$E$407))-C403*(1-E403))+C408+C409+IF(D412=1,C410,0))+C403)),1,0)</f>
        <v>1</v>
      </c>
      <c r="G403" s="8">
        <f>IF(D403&gt;((Assumptions!C57+IF(D412=1,C411*C410,0)-(SUMPRODUCT($D$401:$D$407,$F$401:$F$407)-D403*F403))*C403/((((SUM($C$401:$C$407)-SUMPRODUCT($C$401:$C$407,$F$401:$F$407))-C403*(1-F403))+C408+C409+IF(D412=1,C410,0))+C403)),1,0)</f>
        <v>1</v>
      </c>
      <c r="H403" s="8">
        <f>IF(D403&gt;((Assumptions!C57+IF(D412=1,C411*C410,0)-(SUMPRODUCT($D$401:$D$407,$G$401:$G$407)-D403*G403))*C403/((((SUM($C$401:$C$407)-SUMPRODUCT($C$401:$C$407,$G$401:$G$407))-C403*(1-G403))+C408+C409+IF(D412=1,C410,0))+C403)),1,0)</f>
        <v>1</v>
      </c>
      <c r="I403" s="14">
        <f>((Assumptions!C57+IF(D412=1,C411*C410,0)-(SUMPRODUCT($D$401:$D$407,$H$401:$H$407)-D403*H403))*C403/((((SUM($C$401:$C$407)-SUMPRODUCT($C$401:$C$407,$H$401:$H$407))-C403*(1-H403))+C408+C409+IF(D412=1,C410,0))+C403))</f>
        <v>96814519.84509757</v>
      </c>
      <c r="J403" s="14">
        <f>IF(H403=1,D403,I403)</f>
        <v>100000000</v>
      </c>
    </row>
    <row r="404" spans="2:10" x14ac:dyDescent="0.25">
      <c r="B404" s="5" t="s">
        <v>107</v>
      </c>
      <c r="C404" s="8">
        <f>Assumptions!C46</f>
        <v>2400000</v>
      </c>
      <c r="D404" s="14">
        <f>Assumptions!C28</f>
        <v>60000000</v>
      </c>
      <c r="E404" s="8">
        <f>IF(D404&gt;((Assumptions!C57+IF(D412=1,C411*C410,0))*C404/(SUM($C$401:$C$407)+C408+C409+IF(D412=1,C410,0))),1,0)</f>
        <v>0</v>
      </c>
      <c r="F404" s="8">
        <f>IF(D404&gt;((Assumptions!C57+IF(D412=1,C411*C410,0)-(SUMPRODUCT($D$401:$D$407,$E$401:$E$407)-D404*E404))*C404/((((SUM($C$401:$C$407)-SUMPRODUCT($C$401:$C$407,$E$401:$E$407))-C404*(1-E404))+C408+C409+IF(D412=1,C410,0))+C404)),1,0)</f>
        <v>0</v>
      </c>
      <c r="G404" s="8">
        <f>IF(D404&gt;((Assumptions!C57+IF(D412=1,C411*C410,0)-(SUMPRODUCT($D$401:$D$407,$F$401:$F$407)-D404*F404))*C404/((((SUM($C$401:$C$407)-SUMPRODUCT($C$401:$C$407,$F$401:$F$407))-C404*(1-F404))+C408+C409+IF(D412=1,C410,0))+C404)),1,0)</f>
        <v>0</v>
      </c>
      <c r="H404" s="8">
        <f>IF(D404&gt;((Assumptions!C57+IF(D412=1,C411*C410,0)-(SUMPRODUCT($D$401:$D$407,$G$401:$G$407)-D404*G404))*C404/((((SUM($C$401:$C$407)-SUMPRODUCT($C$401:$C$407,$G$401:$G$407))-C404*(1-G404))+C408+C409+IF(D412=1,C410,0))+C404)),1,0)</f>
        <v>0</v>
      </c>
      <c r="I404" s="14">
        <f>((Assumptions!C57+IF(D412=1,C411*C410,0)-(SUMPRODUCT($D$401:$D$407,$H$401:$H$407)-D404*H404))*C404/((((SUM($C$401:$C$407)-SUMPRODUCT($C$401:$C$407,$H$401:$H$407))-C404*(1-H404))+C408+C409+IF(D412=1,C410,0))+C404))</f>
        <v>133710650.83307624</v>
      </c>
      <c r="J404" s="14">
        <f>IF(H404=1,D404,I404)</f>
        <v>133710650.83307624</v>
      </c>
    </row>
    <row r="405" spans="2:10" x14ac:dyDescent="0.25">
      <c r="B405" s="5" t="s">
        <v>106</v>
      </c>
      <c r="C405" s="8">
        <f>Assumptions!C45</f>
        <v>3000000</v>
      </c>
      <c r="D405" s="14">
        <f>Assumptions!C27</f>
        <v>30000000</v>
      </c>
      <c r="E405" s="8">
        <f>IF(D405&gt;((Assumptions!C57+IF(D412=1,C411*C410,0))*C405/(SUM($C$401:$C$407)+C408+C409+IF(D412=1,C410,0))),1,0)</f>
        <v>0</v>
      </c>
      <c r="F405" s="8">
        <f>IF(D405&gt;((Assumptions!C57+IF(D412=1,C411*C410,0)-(SUMPRODUCT($D$401:$D$407,$E$401:$E$407)-D405*E405))*C405/((((SUM($C$401:$C$407)-SUMPRODUCT($C$401:$C$407,$E$401:$E$407))-C405*(1-E405))+C408+C409+IF(D412=1,C410,0))+C405)),1,0)</f>
        <v>0</v>
      </c>
      <c r="G405" s="8">
        <f>IF(D405&gt;((Assumptions!C57+IF(D412=1,C411*C410,0)-(SUMPRODUCT($D$401:$D$407,$F$401:$F$407)-D405*F405))*C405/((((SUM($C$401:$C$407)-SUMPRODUCT($C$401:$C$407,$F$401:$F$407))-C405*(1-F405))+C408+C409+IF(D412=1,C410,0))+C405)),1,0)</f>
        <v>0</v>
      </c>
      <c r="H405" s="8">
        <f>IF(D405&gt;((Assumptions!C57+IF(D412=1,C411*C410,0)-(SUMPRODUCT($D$401:$D$407,$G$401:$G$407)-D405*G405))*C405/((((SUM($C$401:$C$407)-SUMPRODUCT($C$401:$C$407,$G$401:$G$407))-C405*(1-G405))+C408+C409+IF(D412=1,C410,0))+C405)),1,0)</f>
        <v>0</v>
      </c>
      <c r="I405" s="14">
        <f>((Assumptions!C57+IF(D412=1,C411*C410,0)-(SUMPRODUCT($D$401:$D$407,$H$401:$H$407)-D405*H405))*C405/((((SUM($C$401:$C$407)-SUMPRODUCT($C$401:$C$407,$H$401:$H$407))-C405*(1-H405))+C408+C409+IF(D412=1,C410,0))+C405))</f>
        <v>167138313.5413453</v>
      </c>
      <c r="J405" s="14">
        <f>IF(H405=1,D405,I405)</f>
        <v>167138313.5413453</v>
      </c>
    </row>
    <row r="406" spans="2:10" x14ac:dyDescent="0.25">
      <c r="B406" s="5" t="s">
        <v>105</v>
      </c>
      <c r="C406" s="8">
        <f>Assumptions!C44</f>
        <v>5000000</v>
      </c>
      <c r="D406" s="14">
        <f>Assumptions!C26</f>
        <v>15000000</v>
      </c>
      <c r="E406" s="8">
        <f>IF(D406&gt;((Assumptions!C57+IF(D412=1,C411*C410,0))*C406/(SUM($C$401:$C$407)+C408+C409+IF(D412=1,C410,0))),1,0)</f>
        <v>0</v>
      </c>
      <c r="F406" s="8">
        <f>IF(D406&gt;((Assumptions!C57+IF(D412=1,C411*C410,0)-(SUMPRODUCT($D$401:$D$407,$E$401:$E$407)-D406*E406))*C406/((((SUM($C$401:$C$407)-SUMPRODUCT($C$401:$C$407,$E$401:$E$407))-C406*(1-E406))+C408+C409+IF(D412=1,C410,0))+C406)),1,0)</f>
        <v>0</v>
      </c>
      <c r="G406" s="8">
        <f>IF(D406&gt;((Assumptions!C57+IF(D412=1,C411*C410,0)-(SUMPRODUCT($D$401:$D$407,$F$401:$F$407)-D406*F406))*C406/((((SUM($C$401:$C$407)-SUMPRODUCT($C$401:$C$407,$F$401:$F$407))-C406*(1-F406))+C408+C409+IF(D412=1,C410,0))+C406)),1,0)</f>
        <v>0</v>
      </c>
      <c r="H406" s="8">
        <f>IF(D406&gt;((Assumptions!C57+IF(D412=1,C411*C410,0)-(SUMPRODUCT($D$401:$D$407,$G$401:$G$407)-D406*G406))*C406/((((SUM($C$401:$C$407)-SUMPRODUCT($C$401:$C$407,$G$401:$G$407))-C406*(1-G406))+C408+C409+IF(D412=1,C410,0))+C406)),1,0)</f>
        <v>0</v>
      </c>
      <c r="I406" s="14">
        <f>((Assumptions!C57+IF(D412=1,C411*C410,0)-(SUMPRODUCT($D$401:$D$407,$H$401:$H$407)-D406*H406))*C406/((((SUM($C$401:$C$407)-SUMPRODUCT($C$401:$C$407,$H$401:$H$407))-C406*(1-H406))+C408+C409+IF(D412=1,C410,0))+C406))</f>
        <v>278563855.9022421</v>
      </c>
      <c r="J406" s="14">
        <f>IF(H406=1,D406,I406)</f>
        <v>278563855.9022421</v>
      </c>
    </row>
    <row r="407" spans="2:10" x14ac:dyDescent="0.25">
      <c r="B407" s="5" t="s">
        <v>104</v>
      </c>
      <c r="C407" s="8">
        <f>Assumptions!C43</f>
        <v>5000000</v>
      </c>
      <c r="D407" s="14">
        <f>Assumptions!C25</f>
        <v>5000000</v>
      </c>
      <c r="E407" s="8">
        <f>IF(D407&gt;((Assumptions!C57+IF(D412=1,C411*C410,0))*C407/(SUM($C$401:$C$407)+C408+C409+IF(D412=1,C410,0))),1,0)</f>
        <v>0</v>
      </c>
      <c r="F407" s="8">
        <f>IF(D407&gt;((Assumptions!C57+IF(D412=1,C411*C410,0)-(SUMPRODUCT($D$401:$D$407,$E$401:$E$407)-D407*E407))*C407/((((SUM($C$401:$C$407)-SUMPRODUCT($C$401:$C$407,$E$401:$E$407))-C407*(1-E407))+C408+C409+IF(D412=1,C410,0))+C407)),1,0)</f>
        <v>0</v>
      </c>
      <c r="G407" s="8">
        <f>IF(D407&gt;((Assumptions!C57+IF(D412=1,C411*C410,0)-(SUMPRODUCT($D$401:$D$407,$F$401:$F$407)-D407*F407))*C407/((((SUM($C$401:$C$407)-SUMPRODUCT($C$401:$C$407,$F$401:$F$407))-C407*(1-F407))+C408+C409+IF(D412=1,C410,0))+C407)),1,0)</f>
        <v>0</v>
      </c>
      <c r="H407" s="8">
        <f>IF(D407&gt;((Assumptions!C57+IF(D412=1,C411*C410,0)-(SUMPRODUCT($D$401:$D$407,$G$401:$G$407)-D407*G407))*C407/((((SUM($C$401:$C$407)-SUMPRODUCT($C$401:$C$407,$G$401:$G$407))-C407*(1-G407))+C408+C409+IF(D412=1,C410,0))+C407)),1,0)</f>
        <v>0</v>
      </c>
      <c r="I407" s="14">
        <f>((Assumptions!C57+IF(D412=1,C411*C410,0)-(SUMPRODUCT($D$401:$D$407,$H$401:$H$407)-D407*H407))*C407/((((SUM($C$401:$C$407)-SUMPRODUCT($C$401:$C$407,$H$401:$H$407))-C407*(1-H407))+C408+C409+IF(D412=1,C410,0))+C407))</f>
        <v>278563855.9022421</v>
      </c>
      <c r="J407" s="14">
        <f>IF(H407=1,D407,I407)</f>
        <v>278563855.9022421</v>
      </c>
    </row>
    <row r="408" spans="2:10" x14ac:dyDescent="0.25">
      <c r="B408" s="5" t="s">
        <v>260</v>
      </c>
      <c r="C408" s="8">
        <f>H392+H396</f>
        <v>287868.86255172873</v>
      </c>
      <c r="J408" s="14">
        <f>(Assumptions!C57+IF(D412=1,C411*C410,0)-SUMPRODUCT($D$401:$D$407,$H$401:$H$407))*C408/((SUM($C$401:$C$407)-SUMPRODUCT($C$401:$C$407,$H$401:$H$407))+C408+C409+IF(D412=1,C410,0))</f>
        <v>16037972.069320424</v>
      </c>
    </row>
    <row r="409" spans="2:10" x14ac:dyDescent="0.25">
      <c r="B409" s="5" t="s">
        <v>261</v>
      </c>
      <c r="C409" s="8">
        <f>Assumptions!C41+Assumptions!C42</f>
        <v>9000000</v>
      </c>
      <c r="J409" s="14">
        <f>(Assumptions!C57+IF(D412=1,C411*C410,0)-SUMPRODUCT($D$401:$D$407,$H$401:$H$407))*C409/((SUM($C$401:$C$407)-SUMPRODUCT($C$401:$C$407,$H$401:$H$407))+C408+C409+IF(D412=1,C410,0))</f>
        <v>501414940.6240359</v>
      </c>
    </row>
    <row r="410" spans="2:13" x14ac:dyDescent="0.25">
      <c r="B410" s="5" t="s">
        <v>262</v>
      </c>
      <c r="C410" s="8">
        <f>Assumptions!C49</f>
        <v>2500000</v>
      </c>
      <c r="J410" s="14">
        <f>IF(D412=1,(Assumptions!C57+IF(D412=1,C411*C410,0)-SUMPRODUCT($D$401:$D$407,$H$401:$H$407))*C410/((SUM($C$401:$C$407)-SUMPRODUCT($C$401:$C$407,$H$401:$H$407))+C408+C409+IF(D412=1,C410,0))-C411*C410,0)</f>
        <v>136781927.95112106</v>
      </c>
      <c r="M410" s="8">
        <f>Assumptions!C11/H382</f>
        <v>274302.2597071819</v>
      </c>
    </row>
    <row r="411" spans="2:13" x14ac:dyDescent="0.25">
      <c r="B411" s="12" t="s">
        <v>263</v>
      </c>
      <c r="C411" s="14">
        <f>Assumptions!C13</f>
        <v>1</v>
      </c>
      <c r="M411" s="33">
        <f>M410/H397</f>
        <v>0.006984258505733409</v>
      </c>
    </row>
    <row r="412" spans="2:13" x14ac:dyDescent="0.25">
      <c r="B412" s="12" t="s">
        <v>264</v>
      </c>
      <c r="C412" s="14">
        <f>(Assumptions!C57+C411*C410)/(SUM(C401:C407)+C408+C409+C410)</f>
        <v>55.806054716306484</v>
      </c>
      <c r="D412" s="8">
        <f>IF(C412&gt;C411,1,0)</f>
        <v>1</v>
      </c>
      <c r="M412" s="15">
        <f>J401*(Assumptions!C11/Assumptions!C7)</f>
        <v>15282139.029346162</v>
      </c>
    </row>
    <row r="413" spans="2:10" x14ac:dyDescent="0.25">
      <c r="B413" s="12" t="s">
        <v>265</v>
      </c>
      <c r="J413" s="34">
        <f>SUM(J401:J410)</f>
        <v>1999999999.9999998</v>
      </c>
    </row>
    <row r="414" spans="2:10" x14ac:dyDescent="0.25">
      <c r="B414" s="5" t="s">
        <v>197</v>
      </c>
      <c r="J414" s="22">
        <f>ROUND(J413-Assumptions!C57,2)</f>
        <v>0</v>
      </c>
    </row>
    <row r="430" spans="2:13" x14ac:dyDescent="0.25">
      <c r="B430" s="3" t="s">
        <v>273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2:8" x14ac:dyDescent="0.25">
      <c r="B431" s="13" t="s">
        <v>234</v>
      </c>
      <c r="C431" s="13">
        <v>0</v>
      </c>
      <c r="D431" s="13">
        <v>1</v>
      </c>
      <c r="E431" s="13">
        <v>2</v>
      </c>
      <c r="F431" s="13">
        <v>3</v>
      </c>
      <c r="G431" s="13">
        <v>4</v>
      </c>
      <c r="H431" s="13">
        <v>5</v>
      </c>
    </row>
    <row r="432" spans="2:8" x14ac:dyDescent="0.25">
      <c r="B432" s="5" t="s">
        <v>99</v>
      </c>
      <c r="C432" s="14">
        <f>Assumptions!E63/Assumptions!C52</f>
        <v>49.15620506559609</v>
      </c>
      <c r="D432" s="14">
        <f>Assumptions!E63/(Assumptions!C52+C438+C442+C446)</f>
        <v>47.345695978832026</v>
      </c>
      <c r="E432" s="14">
        <f>Assumptions!E63/(Assumptions!C52+D438+D442+D446)</f>
        <v>46.95501782489143</v>
      </c>
      <c r="F432" s="14">
        <f>Assumptions!E63/(Assumptions!C52+E438+E442+E446)</f>
        <v>46.95183556763386</v>
      </c>
      <c r="G432" s="14">
        <f>Assumptions!E63/(Assumptions!C52+F438+F442+F446)</f>
        <v>46.95180272956107</v>
      </c>
      <c r="H432" s="14">
        <f>Assumptions!E63/(Assumptions!C52+G438+G442+G446)</f>
        <v>46.95180241460958</v>
      </c>
    </row>
    <row r="433" spans="2:8" x14ac:dyDescent="0.25">
      <c r="B433" s="5" t="s">
        <v>235</v>
      </c>
      <c r="C433" s="8">
        <f>Assumptions!C7/C432</f>
        <v>610299.35</v>
      </c>
      <c r="D433" s="8">
        <f>Assumptions!C7/D432</f>
        <v>633637.3218256802</v>
      </c>
      <c r="E433" s="8">
        <f>Assumptions!C7/E432</f>
        <v>638909.3517518938</v>
      </c>
      <c r="F433" s="8">
        <f>Assumptions!C7/F432</f>
        <v>638952.6551477453</v>
      </c>
      <c r="G433" s="8">
        <f>Assumptions!C7/G432</f>
        <v>638953.1020309868</v>
      </c>
      <c r="H433" s="8">
        <f>Assumptions!C7/H432</f>
        <v>638953.1063170679</v>
      </c>
    </row>
    <row r="434" spans="2:8" x14ac:dyDescent="0.25">
      <c r="B434" s="5" t="s">
        <v>236</v>
      </c>
      <c r="C434" s="14">
        <f>Assumptions!C20*(Assumptions!C52+Assumptions!C7/Assumptions!C20)/(Assumptions!C52+Assumptions!C7/C432)</f>
        <v>57.9714266404196</v>
      </c>
      <c r="D434" s="14">
        <f>Assumptions!C20*(Assumptions!C52+Assumptions!C7/Assumptions!C20)/(Assumptions!C52+Assumptions!C7/D432)</f>
        <v>57.93510778210001</v>
      </c>
      <c r="E434" s="14">
        <f>Assumptions!C20*(Assumptions!C52+Assumptions!C7/Assumptions!C20)/(Assumptions!C52+Assumptions!C7/E432)</f>
        <v>57.92690968013594</v>
      </c>
      <c r="F434" s="14">
        <f>Assumptions!C20*(Assumptions!C52+Assumptions!C7/Assumptions!C20)/(Assumptions!C52+Assumptions!C7/F432)</f>
        <v>57.92684235217841</v>
      </c>
      <c r="G434" s="14">
        <f>Assumptions!C20*(Assumptions!C52+Assumptions!C7/Assumptions!C20)/(Assumptions!C52+Assumptions!C7/G432)</f>
        <v>57.92684165736684</v>
      </c>
      <c r="H434" s="14">
        <f>Assumptions!C20*(Assumptions!C52+Assumptions!C7/Assumptions!C20)/(Assumptions!C52+Assumptions!C7/H432)</f>
        <v>57.92684165070287</v>
      </c>
    </row>
    <row r="435" spans="2:8" x14ac:dyDescent="0.25">
      <c r="B435" s="5" t="s">
        <v>237</v>
      </c>
      <c r="C435" s="8">
        <f>MAX(0,IF(C432&lt;Assumptions!C20,Assumptions!C29/C434-Assumptions!C47,0))</f>
        <v>4360.736118205</v>
      </c>
      <c r="D435" s="8">
        <f>MAX(0,IF(D432&lt;Assumptions!C20,Assumptions!C29/D434-Assumptions!C47,0))</f>
        <v>5442.1112565189</v>
      </c>
      <c r="E435" s="8">
        <f>MAX(0,IF(E432&lt;Assumptions!C20,Assumptions!C29/E434-Assumptions!C47,0))</f>
        <v>5686.3930704333</v>
      </c>
      <c r="F435" s="8">
        <f>MAX(0,IF(F432&lt;Assumptions!C20,Assumptions!C29/F434-Assumptions!C47,0))</f>
        <v>5688.3995522317</v>
      </c>
      <c r="G435" s="8">
        <f>MAX(0,IF(G432&lt;Assumptions!C20,Assumptions!C29/G434-Assumptions!C47,0))</f>
        <v>5688.420258762</v>
      </c>
      <c r="H435" s="8">
        <f>MAX(0,IF(H432&lt;Assumptions!C20,Assumptions!C29/H434-Assumptions!C47,0))</f>
        <v>5688.4204573594</v>
      </c>
    </row>
    <row r="436" spans="2:8" x14ac:dyDescent="0.25">
      <c r="B436" s="5" t="s">
        <v>238</v>
      </c>
      <c r="C436" s="14">
        <f>Assumptions!C22*(Assumptions!C52+Assumptions!C7/Assumptions!C22)/(Assumptions!C52+Assumptions!C7/C432)</f>
        <v>49.158276476485185</v>
      </c>
      <c r="D436" s="14">
        <f>Assumptions!C22*(Assumptions!C52+Assumptions!C7/Assumptions!C22)/(Assumptions!C52+Assumptions!C7/D432)</f>
        <v>49.12747902018557</v>
      </c>
      <c r="E436" s="14">
        <f>Assumptions!C22*(Assumptions!C52+Assumptions!C7/Assumptions!C22)/(Assumptions!C52+Assumptions!C7/E432)</f>
        <v>49.120527240898994</v>
      </c>
      <c r="F436" s="14">
        <f>Assumptions!C22*(Assumptions!C52+Assumptions!C7/Assumptions!C22)/(Assumptions!C52+Assumptions!C7/F432)</f>
        <v>49.12047014852534</v>
      </c>
      <c r="G436" s="14">
        <f>Assumptions!C22*(Assumptions!C52+Assumptions!C7/Assumptions!C22)/(Assumptions!C52+Assumptions!C7/G432)</f>
        <v>49.12046955934303</v>
      </c>
      <c r="H436" s="14">
        <f>Assumptions!C22*(Assumptions!C52+Assumptions!C7/Assumptions!C22)/(Assumptions!C52+Assumptions!C7/H432)</f>
        <v>49.120469553692146</v>
      </c>
    </row>
    <row r="437" spans="2:8" x14ac:dyDescent="0.25">
      <c r="B437" s="5" t="s">
        <v>239</v>
      </c>
      <c r="C437" s="8">
        <f>MAX(0,IF(C432&lt;Assumptions!C22,Assumptions!C30/C436-Assumptions!C48,0))</f>
        <v>69.334613048</v>
      </c>
      <c r="D437" s="8">
        <f>MAX(0,IF(D432&lt;Assumptions!C22,Assumptions!C30/D436-Assumptions!C48,0))</f>
        <v>3895.070419603</v>
      </c>
      <c r="E437" s="8">
        <f>MAX(0,IF(E432&lt;Assumptions!C22,Assumptions!C30/E436-Assumptions!C48,0))</f>
        <v>4759.301202492</v>
      </c>
      <c r="F437" s="8">
        <f>MAX(0,IF(F432&lt;Assumptions!C22,Assumptions!C30/F436-Assumptions!C48,0))</f>
        <v>4766.399820714</v>
      </c>
      <c r="G437" s="8">
        <f>MAX(0,IF(G432&lt;Assumptions!C22,Assumptions!C30/G436-Assumptions!C48,0))</f>
        <v>4766.473077174</v>
      </c>
      <c r="H437" s="8">
        <f>MAX(0,IF(H432&lt;Assumptions!C22,Assumptions!C30/H436-Assumptions!C48,0))</f>
        <v>4766.473779781</v>
      </c>
    </row>
    <row r="438" spans="2:8" x14ac:dyDescent="0.25">
      <c r="B438" s="5" t="s">
        <v>240</v>
      </c>
      <c r="C438" s="8">
        <f>MAX(0,(Assumptions!E62*(Assumptions!C52+C435+C437+C433+C442+C446)-Assumptions!C51)/(1-Assumptions!E62))</f>
        <v>1400278.309540809</v>
      </c>
      <c r="D438" s="8">
        <f>MAX(0,(Assumptions!E62*(Assumptions!C52+D435+D437+D433+D442+D446)-Assumptions!C51)/(1-Assumptions!E62))</f>
        <v>1451963.3412923142</v>
      </c>
      <c r="E438" s="8">
        <f>MAX(0,(Assumptions!E62*(Assumptions!C52+E435+E437+E433+E442+E446)-Assumptions!C51)/(1-Assumptions!E62))</f>
        <v>1453310.153233433</v>
      </c>
      <c r="F438" s="8">
        <f>MAX(0,(Assumptions!E62*(Assumptions!C52+F435+F437+F433+F442+F446)-Assumptions!C51)/(1-Assumptions!E62))</f>
        <v>1453322.0364569847</v>
      </c>
      <c r="G438" s="8">
        <f>MAX(0,(Assumptions!E62*(Assumptions!C52+G435+G437+G433+G442+G446)-Assumptions!C51)/(1-Assumptions!E62))</f>
        <v>1453322.1561586494</v>
      </c>
      <c r="H438" s="8">
        <f>MAX(0,(Assumptions!E62*(Assumptions!C52+H435+H437+H433+H442+H446)-Assumptions!C51)/(1-Assumptions!E62))</f>
        <v>1453322.1573150458</v>
      </c>
    </row>
    <row r="439" spans="2:8" x14ac:dyDescent="0.25">
      <c r="B439" s="5" t="s">
        <v>241</v>
      </c>
      <c r="C439" s="14">
        <f>Assumptions!C34/(Assumptions!C52+C438+C446)</f>
        <v>26.303164432684458</v>
      </c>
      <c r="D439" s="14">
        <f>Assumptions!C34/(Assumptions!C52+C438+C446)</f>
        <v>26.303164432684458</v>
      </c>
      <c r="E439" s="14">
        <f>Assumptions!C34/(Assumptions!C52+D438+D446)</f>
        <v>26.21611998795754</v>
      </c>
      <c r="F439" s="14">
        <f>Assumptions!C34/(Assumptions!C52+E438+E446)</f>
        <v>26.214768133295575</v>
      </c>
      <c r="G439" s="14">
        <f>Assumptions!C34/(Assumptions!C52+F438+F446)</f>
        <v>26.214756465958498</v>
      </c>
      <c r="H439" s="14">
        <f>Assumptions!C34/(Assumptions!C52+G438+G446)</f>
        <v>26.214756347568002</v>
      </c>
    </row>
    <row r="440" spans="2:8" x14ac:dyDescent="0.25">
      <c r="B440" s="5" t="s">
        <v>242</v>
      </c>
      <c r="C440" s="14">
        <f>C432*(1-Assumptions!C35)</f>
        <v>39.32496405247687</v>
      </c>
      <c r="D440" s="14">
        <f>D432*(1-Assumptions!C35)</f>
        <v>37.876556783065624</v>
      </c>
      <c r="E440" s="14">
        <f>E432*(1-Assumptions!C35)</f>
        <v>37.564014259913144</v>
      </c>
      <c r="F440" s="14">
        <f>F432*(1-Assumptions!C35)</f>
        <v>37.561468454107086</v>
      </c>
      <c r="G440" s="14">
        <f>G432*(1-Assumptions!C35)</f>
        <v>37.56144218364886</v>
      </c>
      <c r="H440" s="14">
        <f>H432*(1-Assumptions!C35)</f>
        <v>37.56144193168766</v>
      </c>
    </row>
    <row r="441" spans="2:8" x14ac:dyDescent="0.25">
      <c r="B441" s="5" t="s">
        <v>243</v>
      </c>
      <c r="C441" s="14">
        <f>MIN(C439,C440)</f>
        <v>26.303164432684458</v>
      </c>
      <c r="D441" s="14">
        <f>MIN(D439,D440)</f>
        <v>26.303164432684458</v>
      </c>
      <c r="E441" s="14">
        <f>MIN(E439,E440)</f>
        <v>26.21611998795754</v>
      </c>
      <c r="F441" s="14">
        <f>MIN(F439,F440)</f>
        <v>26.214768133295575</v>
      </c>
      <c r="G441" s="14">
        <f>MIN(G439,G440)</f>
        <v>26.214756465958498</v>
      </c>
      <c r="H441" s="14">
        <f>MIN(H439,H440)</f>
        <v>26.214756347568002</v>
      </c>
    </row>
    <row r="442" spans="2:8" x14ac:dyDescent="0.25">
      <c r="B442" s="5" t="s">
        <v>244</v>
      </c>
      <c r="C442" s="8">
        <v>0</v>
      </c>
      <c r="D442" s="8">
        <f>Assumptions!C33/D441</f>
        <v>190091.19654770405</v>
      </c>
      <c r="E442" s="8">
        <f>Assumptions!C33/E441</f>
        <v>190722.34954282962</v>
      </c>
      <c r="F442" s="8">
        <f>Assumptions!C33/F441</f>
        <v>190732.18479660945</v>
      </c>
      <c r="G442" s="8">
        <f>Assumptions!C33/G441</f>
        <v>190732.26968531305</v>
      </c>
      <c r="H442" s="8">
        <f>Assumptions!C33/H441</f>
        <v>190732.27054669385</v>
      </c>
    </row>
    <row r="443" spans="2:8" x14ac:dyDescent="0.25">
      <c r="B443" s="5" t="s">
        <v>245</v>
      </c>
      <c r="C443" s="14">
        <f>Assumptions!C37/(Assumptions!C52+C438+C442)</f>
        <v>42.08506309229514</v>
      </c>
      <c r="D443" s="14">
        <f>Assumptions!C37/(Assumptions!C52+C438+C442)</f>
        <v>42.08506309229514</v>
      </c>
      <c r="E443" s="14">
        <f>Assumptions!C37/(Assumptions!C52+D438+D442)</f>
        <v>41.81911526976679</v>
      </c>
      <c r="F443" s="14">
        <f>Assumptions!C37/(Assumptions!C52+E438+E442)</f>
        <v>41.816953418381225</v>
      </c>
      <c r="G443" s="14">
        <f>Assumptions!C37/(Assumptions!C52+F438+F442)</f>
        <v>41.81692968203201</v>
      </c>
      <c r="H443" s="14">
        <f>Assumptions!C37/(Assumptions!C52+G438+G442)</f>
        <v>41.81692945843321</v>
      </c>
    </row>
    <row r="444" spans="2:8" x14ac:dyDescent="0.25">
      <c r="B444" s="5" t="s">
        <v>246</v>
      </c>
      <c r="C444" s="14">
        <f>C432*(1-Assumptions!C38)</f>
        <v>41.782774305756675</v>
      </c>
      <c r="D444" s="14">
        <f>D432*(1-Assumptions!C38)</f>
        <v>40.24384158200722</v>
      </c>
      <c r="E444" s="14">
        <f>E432*(1-Assumptions!C38)</f>
        <v>39.91176515115772</v>
      </c>
      <c r="F444" s="14">
        <f>F432*(1-Assumptions!C38)</f>
        <v>39.909060232488784</v>
      </c>
      <c r="G444" s="14">
        <f>G432*(1-Assumptions!C38)</f>
        <v>39.90903232012691</v>
      </c>
      <c r="H444" s="14">
        <f>H432*(1-Assumptions!C38)</f>
        <v>39.90903205241814</v>
      </c>
    </row>
    <row r="445" spans="2:8" x14ac:dyDescent="0.25">
      <c r="B445" s="5" t="s">
        <v>247</v>
      </c>
      <c r="C445" s="14">
        <f>MIN(C443,C444)</f>
        <v>41.782774305756675</v>
      </c>
      <c r="D445" s="14">
        <f>MIN(D443,D444)</f>
        <v>40.24384158200722</v>
      </c>
      <c r="E445" s="14">
        <f>MIN(E443,E444)</f>
        <v>39.91176515115772</v>
      </c>
      <c r="F445" s="14">
        <f>MIN(F443,F444)</f>
        <v>39.909060232488784</v>
      </c>
      <c r="G445" s="14">
        <f>MIN(G443,G444)</f>
        <v>39.90903232012691</v>
      </c>
      <c r="H445" s="14">
        <f>MIN(H443,H444)</f>
        <v>39.90903205241814</v>
      </c>
    </row>
    <row r="446" spans="2:8" x14ac:dyDescent="0.25">
      <c r="B446" s="5" t="s">
        <v>248</v>
      </c>
      <c r="C446" s="8">
        <v>0</v>
      </c>
      <c r="D446" s="8">
        <f>Assumptions!C36/D445</f>
        <v>74545.56727360944</v>
      </c>
      <c r="E446" s="8">
        <f>Assumptions!C36/E445</f>
        <v>75165.80608845808</v>
      </c>
      <c r="F446" s="8">
        <f>Assumptions!C36/F445</f>
        <v>75170.90060561709</v>
      </c>
      <c r="G446" s="8">
        <f>Assumptions!C36/G445</f>
        <v>75170.95318011609</v>
      </c>
      <c r="H446" s="8">
        <f>Assumptions!C36/H445</f>
        <v>75170.95368436094</v>
      </c>
    </row>
    <row r="447" spans="2:8" x14ac:dyDescent="0.25">
      <c r="B447" s="5" t="s">
        <v>249</v>
      </c>
      <c r="H447" s="8">
        <f>Assumptions!C52+H438+H435+H437+H442+H446+H433</f>
        <v>38986594.38210031</v>
      </c>
    </row>
    <row r="449" spans="2:13" x14ac:dyDescent="0.25">
      <c r="B449" s="23" t="s">
        <v>250</v>
      </c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</row>
    <row r="450" spans="2:10" x14ac:dyDescent="0.25">
      <c r="B450" s="13" t="s">
        <v>97</v>
      </c>
      <c r="C450" s="13" t="s">
        <v>251</v>
      </c>
      <c r="D450" s="13" t="s">
        <v>252</v>
      </c>
      <c r="E450" s="13" t="s">
        <v>253</v>
      </c>
      <c r="F450" s="13" t="s">
        <v>254</v>
      </c>
      <c r="G450" s="13" t="s">
        <v>255</v>
      </c>
      <c r="H450" s="13" t="s">
        <v>256</v>
      </c>
      <c r="I450" s="13" t="s">
        <v>257</v>
      </c>
      <c r="J450" s="13" t="s">
        <v>258</v>
      </c>
    </row>
    <row r="451" spans="2:10" x14ac:dyDescent="0.25">
      <c r="B451" s="5" t="s">
        <v>259</v>
      </c>
      <c r="C451" s="8">
        <f>H433</f>
        <v>638953.1063170679</v>
      </c>
      <c r="D451" s="14">
        <f>Assumptions!C7</f>
        <v>30000000</v>
      </c>
      <c r="E451" s="8">
        <f>IF(D451&gt;((Assumptions!C57+IF(D462=1,C461*C460,0))*C451/(SUM($C$451:$C$457)+C458+C459+IF(D462=1,C460,0))),1,0)</f>
        <v>0</v>
      </c>
      <c r="F451" s="8">
        <f>IF(D451&gt;((Assumptions!C57+IF(D462=1,C461*C460,0)-(SUMPRODUCT($D$451:$D$457,$E$451:$E$457)-D451*E451))*C451/((((SUM($C$451:$C$457)-SUMPRODUCT($C$451:$C$457,$E$451:$E$457))-C451*(1-E451))+C458+C459+IF(D462=1,C460,0))+C451)),1,0)</f>
        <v>0</v>
      </c>
      <c r="G451" s="8">
        <f>IF(D451&gt;((Assumptions!C57+IF(D462=1,C461*C460,0)-(SUMPRODUCT($D$451:$D$457,$F$451:$F$457)-D451*F451))*C451/((((SUM($C$451:$C$457)-SUMPRODUCT($C$451:$C$457,$F$451:$F$457))-C451*(1-F451))+C458+C459+IF(D462=1,C460,0))+C451)),1,0)</f>
        <v>0</v>
      </c>
      <c r="H451" s="8">
        <f>IF(D451&gt;((Assumptions!C57+IF(D462=1,C461*C460,0)-(SUMPRODUCT($D$451:$D$457,$G$451:$G$457)-D451*G451))*C451/((((SUM($C$451:$C$457)-SUMPRODUCT($C$451:$C$457,$G$451:$G$457))-C451*(1-G451))+C458+C459+IF(D462=1,C460,0))+C451)),1,0)</f>
        <v>0</v>
      </c>
      <c r="I451" s="14">
        <f>((Assumptions!C57+IF(D462=1,C461*C460,0)-(SUMPRODUCT($D$451:$D$457,$H$451:$H$457)-D451*H451))*C451/((((SUM($C$451:$C$457)-SUMPRODUCT($C$451:$C$457,$H$451:$H$457))-C451*(1-H451))+C458+C459+IF(D462=1,C460,0))+C451))</f>
        <v>35845656.30283937</v>
      </c>
      <c r="J451" s="14">
        <f>IF(H451=1,D451,I451)</f>
        <v>35845656.30283937</v>
      </c>
    </row>
    <row r="452" spans="2:10" x14ac:dyDescent="0.25">
      <c r="B452" s="5" t="s">
        <v>109</v>
      </c>
      <c r="C452" s="8">
        <f>Assumptions!C48+H437</f>
        <v>6107433.473779781</v>
      </c>
      <c r="D452" s="14">
        <f>Assumptions!C30</f>
        <v>300000000</v>
      </c>
      <c r="E452" s="8">
        <f>IF(D452&gt;((Assumptions!C57+IF(D462=1,C461*C460,0))*C452/(SUM($C$451:$C$457)+C458+C459+IF(D462=1,C460,0))),1,0)</f>
        <v>0</v>
      </c>
      <c r="F452" s="8">
        <f>IF(D452&gt;((Assumptions!C57+IF(D462=1,C461*C460,0)-(SUMPRODUCT($D$451:$D$457,$E$451:$E$457)-D452*E452))*C452/((((SUM($C$451:$C$457)-SUMPRODUCT($C$451:$C$457,$E$451:$E$457))-C452*(1-E452))+C458+C459+IF(D462=1,C460,0))+C452)),1,0)</f>
        <v>0</v>
      </c>
      <c r="G452" s="8">
        <f>IF(D452&gt;((Assumptions!C57+IF(D462=1,C461*C460,0)-(SUMPRODUCT($D$451:$D$457,$F$451:$F$457)-D452*F452))*C452/((((SUM($C$451:$C$457)-SUMPRODUCT($C$451:$C$457,$F$451:$F$457))-C452*(1-F452))+C458+C459+IF(D462=1,C460,0))+C452)),1,0)</f>
        <v>0</v>
      </c>
      <c r="H452" s="8">
        <f>IF(D452&gt;((Assumptions!C57+IF(D462=1,C461*C460,0)-(SUMPRODUCT($D$451:$D$457,$G$451:$G$457)-D452*G452))*C452/((((SUM($C$451:$C$457)-SUMPRODUCT($C$451:$C$457,$G$451:$G$457))-C452*(1-G452))+C458+C459+IF(D462=1,C460,0))+C452)),1,0)</f>
        <v>0</v>
      </c>
      <c r="I452" s="14">
        <f>((Assumptions!C57+IF(D462=1,C461*C460,0)-(SUMPRODUCT($D$451:$D$457,$H$451:$H$457)-D452*H452))*C452/((((SUM($C$451:$C$457)-SUMPRODUCT($C$451:$C$457,$H$451:$H$457))-C452*(1-H452))+C458+C459+IF(D462=1,C460,0))+C452))</f>
        <v>342630717.3862132</v>
      </c>
      <c r="J452" s="14">
        <f>IF(H452=1,D452,I452)</f>
        <v>342630717.3862132</v>
      </c>
    </row>
    <row r="453" spans="2:10" x14ac:dyDescent="0.25">
      <c r="B453" s="5" t="s">
        <v>108</v>
      </c>
      <c r="C453" s="8">
        <f>Assumptions!C47+H435</f>
        <v>1726315.4204573594</v>
      </c>
      <c r="D453" s="14">
        <f>Assumptions!C29</f>
        <v>100000000</v>
      </c>
      <c r="E453" s="8">
        <f>IF(D453&gt;((Assumptions!C57+IF(D462=1,C461*C460,0))*C453/(SUM($C$451:$C$457)+C458+C459+IF(D462=1,C460,0))),1,0)</f>
        <v>1</v>
      </c>
      <c r="F453" s="8">
        <f>IF(D453&gt;((Assumptions!C57+IF(D462=1,C461*C460,0)-(SUMPRODUCT($D$451:$D$457,$E$451:$E$457)-D453*E453))*C453/((((SUM($C$451:$C$457)-SUMPRODUCT($C$451:$C$457,$E$451:$E$457))-C453*(1-E453))+C458+C459+IF(D462=1,C460,0))+C453)),1,0)</f>
        <v>1</v>
      </c>
      <c r="G453" s="8">
        <f>IF(D453&gt;((Assumptions!C57+IF(D462=1,C461*C460,0)-(SUMPRODUCT($D$451:$D$457,$F$451:$F$457)-D453*F453))*C453/((((SUM($C$451:$C$457)-SUMPRODUCT($C$451:$C$457,$F$451:$F$457))-C453*(1-F453))+C458+C459+IF(D462=1,C460,0))+C453)),1,0)</f>
        <v>1</v>
      </c>
      <c r="H453" s="8">
        <f>IF(D453&gt;((Assumptions!C57+IF(D462=1,C461*C460,0)-(SUMPRODUCT($D$451:$D$457,$G$451:$G$457)-D453*G453))*C453/((((SUM($C$451:$C$457)-SUMPRODUCT($C$451:$C$457,$G$451:$G$457))-C453*(1-G453))+C458+C459+IF(D462=1,C460,0))+C453)),1,0)</f>
        <v>1</v>
      </c>
      <c r="I453" s="14">
        <f>((Assumptions!C57+IF(D462=1,C461*C460,0)-(SUMPRODUCT($D$451:$D$457,$H$451:$H$457)-D453*H453))*C453/((((SUM($C$451:$C$457)-SUMPRODUCT($C$451:$C$457,$H$451:$H$457))-C453*(1-H453))+C458+C459+IF(D462=1,C460,0))+C453))</f>
        <v>97000053.94884787</v>
      </c>
      <c r="J453" s="14">
        <f>IF(H453=1,D453,I453)</f>
        <v>100000000</v>
      </c>
    </row>
    <row r="454" spans="2:10" x14ac:dyDescent="0.25">
      <c r="B454" s="5" t="s">
        <v>107</v>
      </c>
      <c r="C454" s="8">
        <f>Assumptions!C46</f>
        <v>2400000</v>
      </c>
      <c r="D454" s="14">
        <f>Assumptions!C28</f>
        <v>60000000</v>
      </c>
      <c r="E454" s="8">
        <f>IF(D454&gt;((Assumptions!C57+IF(D462=1,C461*C460,0))*C454/(SUM($C$451:$C$457)+C458+C459+IF(D462=1,C460,0))),1,0)</f>
        <v>0</v>
      </c>
      <c r="F454" s="8">
        <f>IF(D454&gt;((Assumptions!C57+IF(D462=1,C461*C460,0)-(SUMPRODUCT($D$451:$D$457,$E$451:$E$457)-D454*E454))*C454/((((SUM($C$451:$C$457)-SUMPRODUCT($C$451:$C$457,$E$451:$E$457))-C454*(1-E454))+C458+C459+IF(D462=1,C460,0))+C454)),1,0)</f>
        <v>0</v>
      </c>
      <c r="G454" s="8">
        <f>IF(D454&gt;((Assumptions!C57+IF(D462=1,C461*C460,0)-(SUMPRODUCT($D$451:$D$457,$F$451:$F$457)-D454*F454))*C454/((((SUM($C$451:$C$457)-SUMPRODUCT($C$451:$C$457,$F$451:$F$457))-C454*(1-F454))+C458+C459+IF(D462=1,C460,0))+C454)),1,0)</f>
        <v>0</v>
      </c>
      <c r="H454" s="8">
        <f>IF(D454&gt;((Assumptions!C57+IF(D462=1,C461*C460,0)-(SUMPRODUCT($D$451:$D$457,$G$451:$G$457)-D454*G454))*C454/((((SUM($C$451:$C$457)-SUMPRODUCT($C$451:$C$457,$G$451:$G$457))-C454*(1-G454))+C458+C459+IF(D462=1,C460,0))+C454)),1,0)</f>
        <v>0</v>
      </c>
      <c r="I454" s="14">
        <f>((Assumptions!C57+IF(D462=1,C461*C460,0)-(SUMPRODUCT($D$451:$D$457,$H$451:$H$457)-D454*H454))*C454/((((SUM($C$451:$C$457)-SUMPRODUCT($C$451:$C$457,$H$451:$H$457))-C454*(1-H454))+C458+C459+IF(D462=1,C460,0))+C454))</f>
        <v>134641453.77223346</v>
      </c>
      <c r="J454" s="14">
        <f>IF(H454=1,D454,I454)</f>
        <v>134641453.77223346</v>
      </c>
    </row>
    <row r="455" spans="2:10" x14ac:dyDescent="0.25">
      <c r="B455" s="5" t="s">
        <v>106</v>
      </c>
      <c r="C455" s="8">
        <f>Assumptions!C45</f>
        <v>3000000</v>
      </c>
      <c r="D455" s="14">
        <f>Assumptions!C27</f>
        <v>30000000</v>
      </c>
      <c r="E455" s="8">
        <f>IF(D455&gt;((Assumptions!C57+IF(D462=1,C461*C460,0))*C455/(SUM($C$451:$C$457)+C458+C459+IF(D462=1,C460,0))),1,0)</f>
        <v>0</v>
      </c>
      <c r="F455" s="8">
        <f>IF(D455&gt;((Assumptions!C57+IF(D462=1,C461*C460,0)-(SUMPRODUCT($D$451:$D$457,$E$451:$E$457)-D455*E455))*C455/((((SUM($C$451:$C$457)-SUMPRODUCT($C$451:$C$457,$E$451:$E$457))-C455*(1-E455))+C458+C459+IF(D462=1,C460,0))+C455)),1,0)</f>
        <v>0</v>
      </c>
      <c r="G455" s="8">
        <f>IF(D455&gt;((Assumptions!C57+IF(D462=1,C461*C460,0)-(SUMPRODUCT($D$451:$D$457,$F$451:$F$457)-D455*F455))*C455/((((SUM($C$451:$C$457)-SUMPRODUCT($C$451:$C$457,$F$451:$F$457))-C455*(1-F455))+C458+C459+IF(D462=1,C460,0))+C455)),1,0)</f>
        <v>0</v>
      </c>
      <c r="H455" s="8">
        <f>IF(D455&gt;((Assumptions!C57+IF(D462=1,C461*C460,0)-(SUMPRODUCT($D$451:$D$457,$G$451:$G$457)-D455*G455))*C455/((((SUM($C$451:$C$457)-SUMPRODUCT($C$451:$C$457,$G$451:$G$457))-C455*(1-G455))+C458+C459+IF(D462=1,C460,0))+C455)),1,0)</f>
        <v>0</v>
      </c>
      <c r="I455" s="14">
        <f>((Assumptions!C57+IF(D462=1,C461*C460,0)-(SUMPRODUCT($D$451:$D$457,$H$451:$H$457)-D455*H455))*C455/((((SUM($C$451:$C$457)-SUMPRODUCT($C$451:$C$457,$H$451:$H$457))-C455*(1-H455))+C458+C459+IF(D462=1,C460,0))+C455))</f>
        <v>168301817.21529183</v>
      </c>
      <c r="J455" s="14">
        <f>IF(H455=1,D455,I455)</f>
        <v>168301817.21529183</v>
      </c>
    </row>
    <row r="456" spans="2:10" x14ac:dyDescent="0.25">
      <c r="B456" s="5" t="s">
        <v>105</v>
      </c>
      <c r="C456" s="8">
        <f>Assumptions!C44</f>
        <v>5000000</v>
      </c>
      <c r="D456" s="14">
        <f>Assumptions!C26</f>
        <v>15000000</v>
      </c>
      <c r="E456" s="8">
        <f>IF(D456&gt;((Assumptions!C57+IF(D462=1,C461*C460,0))*C456/(SUM($C$451:$C$457)+C458+C459+IF(D462=1,C460,0))),1,0)</f>
        <v>0</v>
      </c>
      <c r="F456" s="8">
        <f>IF(D456&gt;((Assumptions!C57+IF(D462=1,C461*C460,0)-(SUMPRODUCT($D$451:$D$457,$E$451:$E$457)-D456*E456))*C456/((((SUM($C$451:$C$457)-SUMPRODUCT($C$451:$C$457,$E$451:$E$457))-C456*(1-E456))+C458+C459+IF(D462=1,C460,0))+C456)),1,0)</f>
        <v>0</v>
      </c>
      <c r="G456" s="8">
        <f>IF(D456&gt;((Assumptions!C57+IF(D462=1,C461*C460,0)-(SUMPRODUCT($D$451:$D$457,$F$451:$F$457)-D456*F456))*C456/((((SUM($C$451:$C$457)-SUMPRODUCT($C$451:$C$457,$F$451:$F$457))-C456*(1-F456))+C458+C459+IF(D462=1,C460,0))+C456)),1,0)</f>
        <v>0</v>
      </c>
      <c r="H456" s="8">
        <f>IF(D456&gt;((Assumptions!C57+IF(D462=1,C461*C460,0)-(SUMPRODUCT($D$451:$D$457,$G$451:$G$457)-D456*G456))*C456/((((SUM($C$451:$C$457)-SUMPRODUCT($C$451:$C$457,$G$451:$G$457))-C456*(1-G456))+C458+C459+IF(D462=1,C460,0))+C456)),1,0)</f>
        <v>0</v>
      </c>
      <c r="I456" s="14">
        <f>((Assumptions!C57+IF(D462=1,C461*C460,0)-(SUMPRODUCT($D$451:$D$457,$H$451:$H$457)-D456*H456))*C456/((((SUM($C$451:$C$457)-SUMPRODUCT($C$451:$C$457,$H$451:$H$457))-C456*(1-H456))+C458+C459+IF(D462=1,C460,0))+C456))</f>
        <v>280503028.69215304</v>
      </c>
      <c r="J456" s="14">
        <f>IF(H456=1,D456,I456)</f>
        <v>280503028.69215304</v>
      </c>
    </row>
    <row r="457" spans="2:10" x14ac:dyDescent="0.25">
      <c r="B457" s="5" t="s">
        <v>104</v>
      </c>
      <c r="C457" s="8">
        <f>Assumptions!C43</f>
        <v>5000000</v>
      </c>
      <c r="D457" s="14">
        <f>Assumptions!C25</f>
        <v>5000000</v>
      </c>
      <c r="E457" s="8">
        <f>IF(D457&gt;((Assumptions!C57+IF(D462=1,C461*C460,0))*C457/(SUM($C$451:$C$457)+C458+C459+IF(D462=1,C460,0))),1,0)</f>
        <v>0</v>
      </c>
      <c r="F457" s="8">
        <f>IF(D457&gt;((Assumptions!C57+IF(D462=1,C461*C460,0)-(SUMPRODUCT($D$451:$D$457,$E$451:$E$457)-D457*E457))*C457/((((SUM($C$451:$C$457)-SUMPRODUCT($C$451:$C$457,$E$451:$E$457))-C457*(1-E457))+C458+C459+IF(D462=1,C460,0))+C457)),1,0)</f>
        <v>0</v>
      </c>
      <c r="G457" s="8">
        <f>IF(D457&gt;((Assumptions!C57+IF(D462=1,C461*C460,0)-(SUMPRODUCT($D$451:$D$457,$F$451:$F$457)-D457*F457))*C457/((((SUM($C$451:$C$457)-SUMPRODUCT($C$451:$C$457,$F$451:$F$457))-C457*(1-F457))+C458+C459+IF(D462=1,C460,0))+C457)),1,0)</f>
        <v>0</v>
      </c>
      <c r="H457" s="8">
        <f>IF(D457&gt;((Assumptions!C57+IF(D462=1,C461*C460,0)-(SUMPRODUCT($D$451:$D$457,$G$451:$G$457)-D457*G457))*C457/((((SUM($C$451:$C$457)-SUMPRODUCT($C$451:$C$457,$G$451:$G$457))-C457*(1-G457))+C458+C459+IF(D462=1,C460,0))+C457)),1,0)</f>
        <v>0</v>
      </c>
      <c r="I457" s="14">
        <f>((Assumptions!C57+IF(D462=1,C461*C460,0)-(SUMPRODUCT($D$451:$D$457,$H$451:$H$457)-D457*H457))*C457/((((SUM($C$451:$C$457)-SUMPRODUCT($C$451:$C$457,$H$451:$H$457))-C457*(1-H457))+C458+C459+IF(D462=1,C460,0))+C457))</f>
        <v>280503028.69215304</v>
      </c>
      <c r="J457" s="14">
        <f>IF(H457=1,D457,I457)</f>
        <v>280503028.69215304</v>
      </c>
    </row>
    <row r="458" spans="2:10" x14ac:dyDescent="0.25">
      <c r="B458" s="5" t="s">
        <v>260</v>
      </c>
      <c r="C458" s="8">
        <f>H442+H446</f>
        <v>265903.2242310548</v>
      </c>
      <c r="J458" s="14">
        <f>(Assumptions!C57+IF(D462=1,C461*C460,0)-SUMPRODUCT($D$451:$D$457,$H$451:$H$457))*C458/((SUM($C$451:$C$457)-SUMPRODUCT($C$451:$C$457,$H$451:$H$457))+C458+C459+IF(D462=1,C460,0))</f>
        <v>14917331.947163915</v>
      </c>
    </row>
    <row r="459" spans="2:10" x14ac:dyDescent="0.25">
      <c r="B459" s="5" t="s">
        <v>261</v>
      </c>
      <c r="C459" s="8">
        <f>Assumptions!C41+Assumptions!C42</f>
        <v>9000000</v>
      </c>
      <c r="J459" s="14">
        <f>(Assumptions!C57+IF(D462=1,C461*C460,0)-SUMPRODUCT($D$451:$D$457,$H$451:$H$457))*C459/((SUM($C$451:$C$457)-SUMPRODUCT($C$451:$C$457,$H$451:$H$457))+C458+C459+IF(D462=1,C460,0))</f>
        <v>504905451.6458755</v>
      </c>
    </row>
    <row r="460" spans="2:13" x14ac:dyDescent="0.25">
      <c r="B460" s="5" t="s">
        <v>262</v>
      </c>
      <c r="C460" s="8">
        <f>Assumptions!C49</f>
        <v>2500000</v>
      </c>
      <c r="J460" s="14">
        <f>IF(D462=1,(Assumptions!C57+IF(D462=1,C461*C460,0)-SUMPRODUCT($D$451:$D$457,$H$451:$H$457))*C460/((SUM($C$451:$C$457)-SUMPRODUCT($C$451:$C$457,$H$451:$H$457))+C458+C459+IF(D462=1,C460,0))-C461*C460,0)</f>
        <v>137751514.34607652</v>
      </c>
      <c r="M460" s="8">
        <f>Assumptions!C11/H432</f>
        <v>212984.36877235596</v>
      </c>
    </row>
    <row r="461" spans="2:13" x14ac:dyDescent="0.25">
      <c r="B461" s="12" t="s">
        <v>263</v>
      </c>
      <c r="C461" s="14">
        <f>Assumptions!C13</f>
        <v>1</v>
      </c>
      <c r="M461" s="33">
        <f>M460/H447</f>
        <v>0.005463015483859299</v>
      </c>
    </row>
    <row r="462" spans="2:13" x14ac:dyDescent="0.25">
      <c r="B462" s="12" t="s">
        <v>264</v>
      </c>
      <c r="C462" s="14">
        <f>(Assumptions!C57+C461*C460)/(SUM(C451:C457)+C458+C459+C460)</f>
        <v>56.18906765204545</v>
      </c>
      <c r="D462" s="8">
        <f>IF(C462&gt;C461,1,0)</f>
        <v>1</v>
      </c>
      <c r="M462" s="15">
        <f>J451*(Assumptions!C11/Assumptions!C7)</f>
        <v>11948552.100946456</v>
      </c>
    </row>
    <row r="463" spans="2:10" x14ac:dyDescent="0.25">
      <c r="B463" s="12" t="s">
        <v>265</v>
      </c>
      <c r="J463" s="34">
        <f>SUM(J451:J460)</f>
        <v>1999999999.9999998</v>
      </c>
    </row>
    <row r="464" spans="2:10" x14ac:dyDescent="0.25">
      <c r="B464" s="5" t="s">
        <v>197</v>
      </c>
      <c r="J464" s="22">
        <f>ROUND(J463-Assumptions!C57,2)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4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7.705" customWidth="1"/>
    <col min="3" max="7" width="16.455" customWidth="1"/>
    <col min="8" max="8" width="10.205" customWidth="1"/>
    <col min="9" max="9" width="16.455" customWidth="1"/>
    <col min="10" max="10" width="17.705" customWidth="1"/>
    <col min="11" max="11" width="11.455" customWidth="1"/>
  </cols>
  <sheetData>
    <row r="2" ht="18" customHeight="1" spans="2:2" x14ac:dyDescent="0.25">
      <c r="B2" s="1" t="s">
        <v>274</v>
      </c>
    </row>
    <row r="3" spans="2:2" x14ac:dyDescent="0.25">
      <c r="B3" s="2" t="s">
        <v>275</v>
      </c>
    </row>
    <row r="5" spans="2:10" x14ac:dyDescent="0.25">
      <c r="B5" s="3" t="s">
        <v>276</v>
      </c>
      <c r="C5" s="4"/>
      <c r="D5" s="4"/>
      <c r="E5" s="4"/>
      <c r="F5" s="4"/>
      <c r="G5" s="4"/>
      <c r="H5" s="4"/>
      <c r="I5" s="4"/>
      <c r="J5" s="4"/>
    </row>
    <row r="6" spans="2:4" x14ac:dyDescent="0.25">
      <c r="B6" s="13" t="s">
        <v>97</v>
      </c>
      <c r="C6" s="13" t="s">
        <v>277</v>
      </c>
      <c r="D6" s="13" t="s">
        <v>278</v>
      </c>
    </row>
    <row r="7" spans="2:4" x14ac:dyDescent="0.25">
      <c r="B7" s="5" t="s">
        <v>259</v>
      </c>
      <c r="C7" s="8">
        <f>Assumptions!C89</f>
        <v>803315.0763251084</v>
      </c>
      <c r="D7" s="14">
        <f>Assumptions!C7</f>
        <v>30000000</v>
      </c>
    </row>
    <row r="8" spans="2:4" x14ac:dyDescent="0.25">
      <c r="B8" s="5" t="s">
        <v>109</v>
      </c>
      <c r="C8" s="8">
        <f>'Pro-Forma'!H12</f>
        <v>6134376.92364734</v>
      </c>
      <c r="D8" s="14">
        <f>Assumptions!C30</f>
        <v>300000000</v>
      </c>
    </row>
    <row r="9" spans="2:4" x14ac:dyDescent="0.25">
      <c r="B9" s="5" t="s">
        <v>108</v>
      </c>
      <c r="C9" s="8">
        <f>'Pro-Forma'!H11</f>
        <v>1733931.2042700483</v>
      </c>
      <c r="D9" s="14">
        <f>Assumptions!C29</f>
        <v>100000000</v>
      </c>
    </row>
    <row r="10" spans="2:4" x14ac:dyDescent="0.25">
      <c r="B10" s="5" t="s">
        <v>107</v>
      </c>
      <c r="C10" s="8">
        <f>'Pro-Forma'!H10</f>
        <v>2400000</v>
      </c>
      <c r="D10" s="14">
        <f>Assumptions!C28</f>
        <v>60000000</v>
      </c>
    </row>
    <row r="11" spans="2:4" x14ac:dyDescent="0.25">
      <c r="B11" s="5" t="s">
        <v>106</v>
      </c>
      <c r="C11" s="8">
        <f>'Pro-Forma'!H9</f>
        <v>3000000</v>
      </c>
      <c r="D11" s="14">
        <f>Assumptions!C27</f>
        <v>30000000</v>
      </c>
    </row>
    <row r="12" spans="2:4" x14ac:dyDescent="0.25">
      <c r="B12" s="5" t="s">
        <v>105</v>
      </c>
      <c r="C12" s="8">
        <f>'Pro-Forma'!H8</f>
        <v>5000000</v>
      </c>
      <c r="D12" s="14">
        <f>Assumptions!C26</f>
        <v>15000000</v>
      </c>
    </row>
    <row r="13" spans="2:4" x14ac:dyDescent="0.25">
      <c r="B13" s="5" t="s">
        <v>104</v>
      </c>
      <c r="C13" s="8">
        <f>'Pro-Forma'!H7</f>
        <v>5000000</v>
      </c>
      <c r="D13" s="14">
        <f>Assumptions!C25</f>
        <v>5000000</v>
      </c>
    </row>
    <row r="14" spans="2:4" x14ac:dyDescent="0.25">
      <c r="B14" s="5" t="s">
        <v>279</v>
      </c>
      <c r="C14" s="8">
        <f>'Pro-Forma'!H17+'Pro-Forma'!H18</f>
        <v>281015.3022830847</v>
      </c>
      <c r="D14" s="14">
        <v>0</v>
      </c>
    </row>
    <row r="15" spans="2:4" x14ac:dyDescent="0.25">
      <c r="B15" s="5" t="s">
        <v>280</v>
      </c>
      <c r="C15" s="8">
        <f>Assumptions!C41+Assumptions!C42</f>
        <v>9000000</v>
      </c>
      <c r="D15" s="14">
        <v>0</v>
      </c>
    </row>
    <row r="16" spans="2:4" x14ac:dyDescent="0.25">
      <c r="B16" s="5" t="s">
        <v>281</v>
      </c>
      <c r="C16" s="8">
        <f>Assumptions!C49</f>
        <v>2500000</v>
      </c>
      <c r="D16" s="14">
        <v>0</v>
      </c>
    </row>
    <row r="17" spans="2:3" x14ac:dyDescent="0.25">
      <c r="B17" s="5" t="s">
        <v>10</v>
      </c>
      <c r="C17" s="14">
        <f>Assumptions!C13</f>
        <v>1</v>
      </c>
    </row>
    <row r="18" spans="2:4" x14ac:dyDescent="0.25">
      <c r="B18" s="12" t="s">
        <v>282</v>
      </c>
      <c r="D18" s="34">
        <f>SUM(D7:D13)</f>
        <v>540000000</v>
      </c>
    </row>
    <row r="19" spans="2:3" x14ac:dyDescent="0.25">
      <c r="B19" s="12" t="s">
        <v>283</v>
      </c>
      <c r="C19" s="18">
        <f>SUM(C7:C16)</f>
        <v>35852638.50652558</v>
      </c>
    </row>
    <row r="21" spans="2:10" x14ac:dyDescent="0.25">
      <c r="B21" s="3" t="s">
        <v>284</v>
      </c>
      <c r="C21" s="4"/>
      <c r="D21" s="4"/>
      <c r="E21" s="4"/>
      <c r="F21" s="4"/>
      <c r="G21" s="4"/>
      <c r="H21" s="4"/>
      <c r="I21" s="4"/>
      <c r="J21" s="4"/>
    </row>
    <row r="22" spans="2:7" x14ac:dyDescent="0.25">
      <c r="B22" s="12" t="s">
        <v>285</v>
      </c>
      <c r="C22" s="16">
        <f>Assumptions!C55</f>
        <v>700000000</v>
      </c>
      <c r="D22" s="16">
        <f>Assumptions!C56</f>
        <v>1200000000</v>
      </c>
      <c r="E22" s="16">
        <f>Assumptions!C57</f>
        <v>2000000000</v>
      </c>
      <c r="F22" s="16">
        <f>Assumptions!C58</f>
        <v>4000000000</v>
      </c>
      <c r="G22" s="16">
        <f>Assumptions!C59</f>
        <v>8000000000</v>
      </c>
    </row>
    <row r="23" spans="2:2" x14ac:dyDescent="0.25">
      <c r="B23" s="13" t="s">
        <v>97</v>
      </c>
    </row>
    <row r="24" spans="2:7" x14ac:dyDescent="0.25">
      <c r="B24" s="5" t="s">
        <v>259</v>
      </c>
      <c r="C24" s="8" t="str">
        <f>IF(H52=1,"preference","convert")</f>
        <v>preference</v>
      </c>
      <c r="D24" s="8" t="str">
        <f>IF(H67=1,"preference","convert")</f>
        <v>preference</v>
      </c>
      <c r="E24" s="8" t="str">
        <f>IF(H82=1,"preference","convert")</f>
        <v>convert</v>
      </c>
      <c r="F24" s="8" t="str">
        <f>IF(H97=1,"preference","convert")</f>
        <v>convert</v>
      </c>
      <c r="G24" s="8" t="str">
        <f>IF(H112=1,"preference","convert")</f>
        <v>convert</v>
      </c>
    </row>
    <row r="25" spans="2:7" x14ac:dyDescent="0.25">
      <c r="B25" s="5" t="s">
        <v>109</v>
      </c>
      <c r="C25" s="8" t="str">
        <f>IF(H53=1,"preference","convert")</f>
        <v>preference</v>
      </c>
      <c r="D25" s="8" t="str">
        <f>IF(H68=1,"preference","convert")</f>
        <v>preference</v>
      </c>
      <c r="E25" s="8" t="str">
        <f>IF(H83=1,"preference","convert")</f>
        <v>convert</v>
      </c>
      <c r="F25" s="8" t="str">
        <f>IF(H98=1,"preference","convert")</f>
        <v>convert</v>
      </c>
      <c r="G25" s="8" t="str">
        <f>IF(H113=1,"preference","convert")</f>
        <v>convert</v>
      </c>
    </row>
    <row r="26" spans="2:7" x14ac:dyDescent="0.25">
      <c r="B26" s="5" t="s">
        <v>108</v>
      </c>
      <c r="C26" s="8" t="str">
        <f>IF(H54=1,"preference","convert")</f>
        <v>preference</v>
      </c>
      <c r="D26" s="8" t="str">
        <f>IF(H69=1,"preference","convert")</f>
        <v>preference</v>
      </c>
      <c r="E26" s="8" t="str">
        <f>IF(H84=1,"preference","convert")</f>
        <v>preference</v>
      </c>
      <c r="F26" s="8" t="str">
        <f>IF(H99=1,"preference","convert")</f>
        <v>convert</v>
      </c>
      <c r="G26" s="8" t="str">
        <f>IF(H114=1,"preference","convert")</f>
        <v>convert</v>
      </c>
    </row>
    <row r="27" spans="2:7" x14ac:dyDescent="0.25">
      <c r="B27" s="5" t="s">
        <v>107</v>
      </c>
      <c r="C27" s="8" t="str">
        <f>IF(H55=1,"preference","convert")</f>
        <v>preference</v>
      </c>
      <c r="D27" s="8" t="str">
        <f>IF(H70=1,"preference","convert")</f>
        <v>convert</v>
      </c>
      <c r="E27" s="8" t="str">
        <f>IF(H85=1,"preference","convert")</f>
        <v>convert</v>
      </c>
      <c r="F27" s="8" t="str">
        <f>IF(H100=1,"preference","convert")</f>
        <v>convert</v>
      </c>
      <c r="G27" s="8" t="str">
        <f>IF(H115=1,"preference","convert")</f>
        <v>convert</v>
      </c>
    </row>
    <row r="28" spans="2:7" x14ac:dyDescent="0.25">
      <c r="B28" s="5" t="s">
        <v>106</v>
      </c>
      <c r="C28" s="8" t="str">
        <f>IF(H56=1,"preference","convert")</f>
        <v>preference</v>
      </c>
      <c r="D28" s="8" t="str">
        <f>IF(H71=1,"preference","convert")</f>
        <v>convert</v>
      </c>
      <c r="E28" s="8" t="str">
        <f>IF(H86=1,"preference","convert")</f>
        <v>convert</v>
      </c>
      <c r="F28" s="8" t="str">
        <f>IF(H101=1,"preference","convert")</f>
        <v>convert</v>
      </c>
      <c r="G28" s="8" t="str">
        <f>IF(H116=1,"preference","convert")</f>
        <v>convert</v>
      </c>
    </row>
    <row r="29" spans="2:7" x14ac:dyDescent="0.25">
      <c r="B29" s="5" t="s">
        <v>105</v>
      </c>
      <c r="C29" s="8" t="str">
        <f>IF(H57=1,"preference","convert")</f>
        <v>convert</v>
      </c>
      <c r="D29" s="8" t="str">
        <f>IF(H72=1,"preference","convert")</f>
        <v>convert</v>
      </c>
      <c r="E29" s="8" t="str">
        <f>IF(H87=1,"preference","convert")</f>
        <v>convert</v>
      </c>
      <c r="F29" s="8" t="str">
        <f>IF(H102=1,"preference","convert")</f>
        <v>convert</v>
      </c>
      <c r="G29" s="8" t="str">
        <f>IF(H117=1,"preference","convert")</f>
        <v>convert</v>
      </c>
    </row>
    <row r="30" spans="2:7" x14ac:dyDescent="0.25">
      <c r="B30" s="5" t="s">
        <v>104</v>
      </c>
      <c r="C30" s="8" t="str">
        <f>IF(H58=1,"preference","convert")</f>
        <v>convert</v>
      </c>
      <c r="D30" s="8" t="str">
        <f>IF(H73=1,"preference","convert")</f>
        <v>convert</v>
      </c>
      <c r="E30" s="8" t="str">
        <f>IF(H88=1,"preference","convert")</f>
        <v>convert</v>
      </c>
      <c r="F30" s="8" t="str">
        <f>IF(H103=1,"preference","convert")</f>
        <v>convert</v>
      </c>
      <c r="G30" s="8" t="str">
        <f>IF(H118=1,"preference","convert")</f>
        <v>convert</v>
      </c>
    </row>
    <row r="32" spans="2:10" x14ac:dyDescent="0.25">
      <c r="B32" s="3" t="s">
        <v>286</v>
      </c>
      <c r="C32" s="4"/>
      <c r="D32" s="4"/>
      <c r="E32" s="4"/>
      <c r="F32" s="4"/>
      <c r="G32" s="4"/>
      <c r="H32" s="4"/>
      <c r="I32" s="4"/>
      <c r="J32" s="4"/>
    </row>
    <row r="33" spans="2:7" x14ac:dyDescent="0.25">
      <c r="B33" s="13" t="s">
        <v>97</v>
      </c>
      <c r="C33" s="13" t="s">
        <v>287</v>
      </c>
      <c r="D33" s="13" t="s">
        <v>288</v>
      </c>
      <c r="E33" s="13" t="s">
        <v>289</v>
      </c>
      <c r="F33" s="13" t="s">
        <v>290</v>
      </c>
      <c r="G33" s="13" t="s">
        <v>291</v>
      </c>
    </row>
    <row r="34" spans="2:7" x14ac:dyDescent="0.25">
      <c r="B34" s="5" t="s">
        <v>259</v>
      </c>
      <c r="C34" s="14">
        <f>J52</f>
        <v>30000000</v>
      </c>
      <c r="D34" s="14">
        <f>J67</f>
        <v>30000000</v>
      </c>
      <c r="E34" s="14">
        <f>J82</f>
        <v>44793811.183095</v>
      </c>
      <c r="F34" s="14">
        <f>J97</f>
        <v>89680110.77918385</v>
      </c>
      <c r="G34" s="14">
        <f>J112</f>
        <v>179304206.4985431</v>
      </c>
    </row>
    <row r="35" spans="2:7" x14ac:dyDescent="0.25">
      <c r="B35" s="5" t="s">
        <v>109</v>
      </c>
      <c r="C35" s="14">
        <f>J53</f>
        <v>300000000</v>
      </c>
      <c r="D35" s="14">
        <f>J68</f>
        <v>300000000</v>
      </c>
      <c r="E35" s="14">
        <f>J83</f>
        <v>342060207.43545395</v>
      </c>
      <c r="F35" s="14">
        <f>J98</f>
        <v>684826686.6727141</v>
      </c>
      <c r="G35" s="14">
        <f>J113</f>
        <v>1369225624.0095928</v>
      </c>
    </row>
    <row r="36" spans="2:7" x14ac:dyDescent="0.25">
      <c r="B36" s="5" t="s">
        <v>108</v>
      </c>
      <c r="C36" s="14">
        <f>J54</f>
        <v>100000000</v>
      </c>
      <c r="D36" s="14">
        <f>J69</f>
        <v>100000000</v>
      </c>
      <c r="E36" s="14">
        <f>J84</f>
        <v>100000000</v>
      </c>
      <c r="F36" s="14">
        <f>J99</f>
        <v>193571796.5032811</v>
      </c>
      <c r="G36" s="14">
        <f>J114</f>
        <v>387022686.20050144</v>
      </c>
    </row>
    <row r="37" spans="2:7" x14ac:dyDescent="0.25">
      <c r="B37" s="5" t="s">
        <v>107</v>
      </c>
      <c r="C37" s="14">
        <f>J55</f>
        <v>60000000</v>
      </c>
      <c r="D37" s="14">
        <f>J70</f>
        <v>68209372.58529384</v>
      </c>
      <c r="E37" s="14">
        <f>J85</f>
        <v>133826875.66530839</v>
      </c>
      <c r="F37" s="14">
        <f>J100</f>
        <v>267930071.54136232</v>
      </c>
      <c r="G37" s="14">
        <f>J115</f>
        <v>535692791.3828237</v>
      </c>
    </row>
    <row r="38" spans="2:7" x14ac:dyDescent="0.25">
      <c r="B38" s="5" t="s">
        <v>106</v>
      </c>
      <c r="C38" s="14">
        <f>J56</f>
        <v>30000000</v>
      </c>
      <c r="D38" s="14">
        <f>J71</f>
        <v>85261715.7316173</v>
      </c>
      <c r="E38" s="14">
        <f>J86</f>
        <v>167283594.58163548</v>
      </c>
      <c r="F38" s="14">
        <f>J101</f>
        <v>334912589.4267029</v>
      </c>
      <c r="G38" s="14">
        <f>J116</f>
        <v>669615989.2285297</v>
      </c>
    </row>
    <row r="39" spans="2:7" x14ac:dyDescent="0.25">
      <c r="B39" s="5" t="s">
        <v>105</v>
      </c>
      <c r="C39" s="14">
        <f>J57</f>
        <v>41894282.12303545</v>
      </c>
      <c r="D39" s="14">
        <f>J72</f>
        <v>142102859.5526955</v>
      </c>
      <c r="E39" s="14">
        <f>J87</f>
        <v>278805990.9693925</v>
      </c>
      <c r="F39" s="14">
        <f>J102</f>
        <v>558187649.0445049</v>
      </c>
      <c r="G39" s="14">
        <f>J117</f>
        <v>1116026648.714216</v>
      </c>
    </row>
    <row r="40" spans="2:7" x14ac:dyDescent="0.25">
      <c r="B40" s="5" t="s">
        <v>104</v>
      </c>
      <c r="C40" s="14">
        <f>J58</f>
        <v>41894282.12303545</v>
      </c>
      <c r="D40" s="14">
        <f>J73</f>
        <v>142102859.5526955</v>
      </c>
      <c r="E40" s="14">
        <f>J88</f>
        <v>278805990.9693925</v>
      </c>
      <c r="F40" s="14">
        <f>J103</f>
        <v>558187649.0445049</v>
      </c>
      <c r="G40" s="14">
        <f>J118</f>
        <v>1116026648.714216</v>
      </c>
    </row>
    <row r="41" spans="2:7" x14ac:dyDescent="0.25">
      <c r="B41" s="5" t="s">
        <v>292</v>
      </c>
      <c r="C41" s="14">
        <f>J60</f>
        <v>2354586.8709475286</v>
      </c>
      <c r="D41" s="14">
        <f>J75</f>
        <v>7986615.606498292</v>
      </c>
      <c r="E41" s="14">
        <f>J90</f>
        <v>15669749.96611976</v>
      </c>
      <c r="F41" s="14">
        <f>J105</f>
        <v>31371854.185385182</v>
      </c>
      <c r="G41" s="14">
        <f>J120</f>
        <v>62724113.20888068</v>
      </c>
    </row>
    <row r="42" spans="2:7" x14ac:dyDescent="0.25">
      <c r="B42" s="5" t="s">
        <v>293</v>
      </c>
      <c r="C42" s="14">
        <f>J61</f>
        <v>75409707.82146384</v>
      </c>
      <c r="D42" s="14">
        <f>J76</f>
        <v>255785147.1948519</v>
      </c>
      <c r="E42" s="14">
        <f>J91</f>
        <v>501850783.7449064</v>
      </c>
      <c r="F42" s="14">
        <f>J106</f>
        <v>1004737768.2801087</v>
      </c>
      <c r="G42" s="14">
        <f>J121</f>
        <v>2008847967.6855888</v>
      </c>
    </row>
    <row r="43" spans="2:7" x14ac:dyDescent="0.25">
      <c r="B43" s="5" t="s">
        <v>294</v>
      </c>
      <c r="C43" s="14">
        <f>J62</f>
        <v>18447141.06151773</v>
      </c>
      <c r="D43" s="14">
        <f>J77</f>
        <v>68551429.77634776</v>
      </c>
      <c r="E43" s="14">
        <f>J92</f>
        <v>136902995.48469624</v>
      </c>
      <c r="F43" s="14">
        <f>J107</f>
        <v>276593824.52225244</v>
      </c>
      <c r="G43" s="14">
        <f>J122</f>
        <v>555513324.357108</v>
      </c>
    </row>
    <row r="44" spans="2:7" x14ac:dyDescent="0.25">
      <c r="B44" s="12" t="s">
        <v>295</v>
      </c>
      <c r="C44" s="20">
        <f>SUM(C34:C43)</f>
        <v>700000000</v>
      </c>
      <c r="D44" s="20">
        <f>SUM(D34:D43)</f>
        <v>1200000000</v>
      </c>
      <c r="E44" s="20">
        <f>SUM(E34:E43)</f>
        <v>2000000000.0000002</v>
      </c>
      <c r="F44" s="20">
        <f>SUM(F34:F43)</f>
        <v>4000000000.0000005</v>
      </c>
      <c r="G44" s="20">
        <f>SUM(G34:G43)</f>
        <v>8000000000.000001</v>
      </c>
    </row>
    <row r="45" spans="2:7" x14ac:dyDescent="0.25">
      <c r="B45" s="5" t="s">
        <v>197</v>
      </c>
      <c r="C45" s="22">
        <f>ROUND(C44-C22,2)</f>
        <v>0</v>
      </c>
      <c r="D45" s="22">
        <f>ROUND(D44-D22,2)</f>
        <v>0</v>
      </c>
      <c r="E45" s="22">
        <f>ROUND(E44-E22,2)</f>
        <v>0</v>
      </c>
      <c r="F45" s="22">
        <f>ROUND(F44-F22,2)</f>
        <v>0</v>
      </c>
      <c r="G45" s="22">
        <f>ROUND(G44-G22,2)</f>
        <v>0</v>
      </c>
    </row>
    <row r="50" spans="2:11" x14ac:dyDescent="0.25">
      <c r="B50" s="23" t="s">
        <v>296</v>
      </c>
      <c r="C50" s="24"/>
      <c r="D50" s="24"/>
      <c r="E50" s="24"/>
      <c r="F50" s="24"/>
      <c r="G50" s="24"/>
      <c r="H50" s="24"/>
      <c r="I50" s="24"/>
      <c r="J50" s="24"/>
      <c r="K50" s="24"/>
    </row>
    <row r="51" spans="2:10" x14ac:dyDescent="0.25">
      <c r="B51" s="13" t="s">
        <v>97</v>
      </c>
      <c r="C51" s="13" t="s">
        <v>251</v>
      </c>
      <c r="D51" s="13" t="s">
        <v>252</v>
      </c>
      <c r="E51" s="13" t="s">
        <v>297</v>
      </c>
      <c r="F51" s="13" t="s">
        <v>298</v>
      </c>
      <c r="G51" s="13" t="s">
        <v>299</v>
      </c>
      <c r="H51" s="13" t="s">
        <v>300</v>
      </c>
      <c r="I51" s="13" t="s">
        <v>301</v>
      </c>
      <c r="J51" s="13" t="s">
        <v>302</v>
      </c>
    </row>
    <row r="52" spans="2:10" x14ac:dyDescent="0.25">
      <c r="B52" s="5" t="str">
        <f>B7</f>
        <v>Series F</v>
      </c>
      <c r="C52" s="8">
        <f>C7</f>
        <v>803315.0763251084</v>
      </c>
      <c r="D52" s="14">
        <f>D7</f>
        <v>30000000</v>
      </c>
      <c r="E52" s="8">
        <f>IF(D52&gt;(($C$22+IF($D$59=1,$C$17*$C$16,0))*C52/(SUM($C$7:$C$13)+$C$14+$C$15+IF($D$59=1,$C$16,0))),1,0)</f>
        <v>1</v>
      </c>
      <c r="F52" s="8">
        <f>IF(D52&gt;(($C$22+IF($D$59=1,$C$17*$C$16,0)-(SUMPRODUCT($D$52:$D$58,$E$52:$E$58)-D52*E52))*C52/((((SUM($C$52:$C$58)-SUMPRODUCT($C$52:$C$58,$E$52:$E$58))-C52*(1-E52))+$C$14+$C$15+IF($D$59=1,$C$16,0))+C52)),1,0)</f>
        <v>1</v>
      </c>
      <c r="G52" s="8">
        <f>IF(D52&gt;(($C$22+IF($D$59=1,$C$17*$C$16,0)-(SUMPRODUCT($D$52:$D$58,$F$52:$F$58)-D52*F52))*C52/((((SUM($C$52:$C$58)-SUMPRODUCT($C$52:$C$58,$F$52:$F$58))-C52*(1-F52))+$C$14+$C$15+IF($D$59=1,$C$16,0))+C52)),1,0)</f>
        <v>1</v>
      </c>
      <c r="H52" s="8">
        <f>IF(D52&gt;(($C$22+IF($D$59=1,$C$17*$C$16,0)-(SUMPRODUCT($D$52:$D$58,$G$52:$G$58)-D52*G52))*C52/((((SUM($C$52:$C$58)-SUMPRODUCT($C$52:$C$58,$G$52:$G$58))-C52*(1-G52))+$C$14+$C$15+IF($D$59=1,$C$16,0))+C52)),1,0)</f>
        <v>1</v>
      </c>
      <c r="I52" s="14">
        <f>(($C$22+IF($D$59=1,$C$17*$C$16,0)-(SUMPRODUCT($D$52:$D$58,$H$52:$H$58)-D52*H52))*C52/((((SUM($C$52:$C$58)-SUMPRODUCT($C$52:$C$58,$H$52:$H$58))-C52*(1-H52))+$C$14+$C$15+IF($D$59=1,$C$16,0))+C52))</f>
        <v>7558535.093020791</v>
      </c>
      <c r="J52" s="14">
        <f>IF(H52=1,D52,I52)</f>
        <v>30000000</v>
      </c>
    </row>
    <row r="53" spans="2:10" x14ac:dyDescent="0.25">
      <c r="B53" s="5" t="str">
        <f>B8</f>
        <v>Series E</v>
      </c>
      <c r="C53" s="8">
        <f>C8</f>
        <v>6134376.92364734</v>
      </c>
      <c r="D53" s="14">
        <f>D8</f>
        <v>300000000</v>
      </c>
      <c r="E53" s="8">
        <f>IF(D53&gt;(($C$22+IF($D$59=1,$C$17*$C$16,0))*C53/(SUM($C$7:$C$13)+$C$14+$C$15+IF($D$59=1,$C$16,0))),1,0)</f>
        <v>1</v>
      </c>
      <c r="F53" s="8">
        <f>IF(D53&gt;(($C$22+IF($D$59=1,$C$17*$C$16,0)-(SUMPRODUCT($D$52:$D$58,$E$52:$E$58)-D53*E53))*C53/((((SUM($C$52:$C$58)-SUMPRODUCT($C$52:$C$58,$E$52:$E$58))-C53*(1-E53))+$C$14+$C$15+IF($D$59=1,$C$16,0))+C53)),1,0)</f>
        <v>1</v>
      </c>
      <c r="G53" s="8">
        <f>IF(D53&gt;(($C$22+IF($D$59=1,$C$17*$C$16,0)-(SUMPRODUCT($D$52:$D$58,$F$52:$F$58)-D53*F53))*C53/((((SUM($C$52:$C$58)-SUMPRODUCT($C$52:$C$58,$F$52:$F$58))-C53*(1-F53))+$C$14+$C$15+IF($D$59=1,$C$16,0))+C53)),1,0)</f>
        <v>1</v>
      </c>
      <c r="H53" s="8">
        <f>IF(D53&gt;(($C$22+IF($D$59=1,$C$17*$C$16,0)-(SUMPRODUCT($D$52:$D$58,$G$52:$G$58)-D53*G53))*C53/((((SUM($C$52:$C$58)-SUMPRODUCT($C$52:$C$58,$G$52:$G$58))-C53*(1-G53))+$C$14+$C$15+IF($D$59=1,$C$16,0))+C53)),1,0)</f>
        <v>1</v>
      </c>
      <c r="I53" s="14">
        <f>(($C$22+IF($D$59=1,$C$17*$C$16,0)-(SUMPRODUCT($D$52:$D$58,$H$52:$H$58)-D53*H53))*C53/((((SUM($C$52:$C$58)-SUMPRODUCT($C$52:$C$58,$H$52:$H$58))-C53*(1-H53))+$C$14+$C$15+IF($D$59=1,$C$16,0))+C53))</f>
        <v>106028847.51554623</v>
      </c>
      <c r="J53" s="14">
        <f>IF(H53=1,D53,I53)</f>
        <v>300000000</v>
      </c>
    </row>
    <row r="54" spans="2:10" x14ac:dyDescent="0.25">
      <c r="B54" s="5" t="str">
        <f>B9</f>
        <v>Series D</v>
      </c>
      <c r="C54" s="8">
        <f>C9</f>
        <v>1733931.2042700483</v>
      </c>
      <c r="D54" s="14">
        <f>D9</f>
        <v>100000000</v>
      </c>
      <c r="E54" s="8">
        <f>IF(D54&gt;(($C$22+IF($D$59=1,$C$17*$C$16,0))*C54/(SUM($C$7:$C$13)+$C$14+$C$15+IF($D$59=1,$C$16,0))),1,0)</f>
        <v>1</v>
      </c>
      <c r="F54" s="8">
        <f>IF(D54&gt;(($C$22+IF($D$59=1,$C$17*$C$16,0)-(SUMPRODUCT($D$52:$D$58,$E$52:$E$58)-D54*E54))*C54/((((SUM($C$52:$C$58)-SUMPRODUCT($C$52:$C$58,$E$52:$E$58))-C54*(1-E54))+$C$14+$C$15+IF($D$59=1,$C$16,0))+C54)),1,0)</f>
        <v>1</v>
      </c>
      <c r="G54" s="8">
        <f>IF(D54&gt;(($C$22+IF($D$59=1,$C$17*$C$16,0)-(SUMPRODUCT($D$52:$D$58,$F$52:$F$58)-D54*F54))*C54/((((SUM($C$52:$C$58)-SUMPRODUCT($C$52:$C$58,$F$52:$F$58))-C54*(1-F54))+$C$14+$C$15+IF($D$59=1,$C$16,0))+C54)),1,0)</f>
        <v>1</v>
      </c>
      <c r="H54" s="8">
        <f>IF(D54&gt;(($C$22+IF($D$59=1,$C$17*$C$16,0)-(SUMPRODUCT($D$52:$D$58,$G$52:$G$58)-D54*G54))*C54/((((SUM($C$52:$C$58)-SUMPRODUCT($C$52:$C$58,$G$52:$G$58))-C54*(1-G54))+$C$14+$C$15+IF($D$59=1,$C$16,0))+C54)),1,0)</f>
        <v>1</v>
      </c>
      <c r="I54" s="14">
        <f>(($C$22+IF($D$59=1,$C$17*$C$16,0)-(SUMPRODUCT($D$52:$D$58,$H$52:$H$58)-D54*H54))*C54/((((SUM($C$52:$C$58)-SUMPRODUCT($C$52:$C$58,$H$52:$H$58))-C54*(1-H54))+$C$14+$C$15+IF($D$59=1,$C$16,0))+C54))</f>
        <v>20830817.755412776</v>
      </c>
      <c r="J54" s="14">
        <f>IF(H54=1,D54,I54)</f>
        <v>100000000</v>
      </c>
    </row>
    <row r="55" spans="2:10" x14ac:dyDescent="0.25">
      <c r="B55" s="5" t="str">
        <f>B10</f>
        <v>Series C</v>
      </c>
      <c r="C55" s="8">
        <f>C10</f>
        <v>2400000</v>
      </c>
      <c r="D55" s="14">
        <f>D10</f>
        <v>60000000</v>
      </c>
      <c r="E55" s="8">
        <f>IF(D55&gt;(($C$22+IF($D$59=1,$C$17*$C$16,0))*C55/(SUM($C$7:$C$13)+$C$14+$C$15+IF($D$59=1,$C$16,0))),1,0)</f>
        <v>1</v>
      </c>
      <c r="F55" s="8">
        <f>IF(D55&gt;(($C$22+IF($D$59=1,$C$17*$C$16,0)-(SUMPRODUCT($D$52:$D$58,$E$52:$E$58)-D55*E55))*C55/((((SUM($C$52:$C$58)-SUMPRODUCT($C$52:$C$58,$E$52:$E$58))-C55*(1-E55))+$C$14+$C$15+IF($D$59=1,$C$16,0))+C55)),1,0)</f>
        <v>1</v>
      </c>
      <c r="G55" s="8">
        <f>IF(D55&gt;(($C$22+IF($D$59=1,$C$17*$C$16,0)-(SUMPRODUCT($D$52:$D$58,$F$52:$F$58)-D55*F55))*C55/((((SUM($C$52:$C$58)-SUMPRODUCT($C$52:$C$58,$F$52:$F$58))-C55*(1-F55))+$C$14+$C$15+IF($D$59=1,$C$16,0))+C55)),1,0)</f>
        <v>1</v>
      </c>
      <c r="H55" s="8">
        <f>IF(D55&gt;(($C$22+IF($D$59=1,$C$17*$C$16,0)-(SUMPRODUCT($D$52:$D$58,$G$52:$G$58)-D55*G55))*C55/((((SUM($C$52:$C$58)-SUMPRODUCT($C$52:$C$58,$G$52:$G$58))-C55*(1-G55))+$C$14+$C$15+IF($D$59=1,$C$16,0))+C55)),1,0)</f>
        <v>1</v>
      </c>
      <c r="I55" s="14">
        <f>(($C$22+IF($D$59=1,$C$17*$C$16,0)-(SUMPRODUCT($D$52:$D$58,$H$52:$H$58)-D55*H55))*C55/((((SUM($C$52:$C$58)-SUMPRODUCT($C$52:$C$58,$H$52:$H$58))-C55*(1-H55))+$C$14+$C$15+IF($D$59=1,$C$16,0))+C55))</f>
        <v>24068468.289048627</v>
      </c>
      <c r="J55" s="14">
        <f>IF(H55=1,D55,I55)</f>
        <v>60000000</v>
      </c>
    </row>
    <row r="56" spans="2:10" x14ac:dyDescent="0.25">
      <c r="B56" s="5" t="str">
        <f>B11</f>
        <v>Series B</v>
      </c>
      <c r="C56" s="8">
        <f>C11</f>
        <v>3000000</v>
      </c>
      <c r="D56" s="14">
        <f>D11</f>
        <v>30000000</v>
      </c>
      <c r="E56" s="8">
        <f>IF(D56&gt;(($C$22+IF($D$59=1,$C$17*$C$16,0))*C56/(SUM($C$7:$C$13)+$C$14+$C$15+IF($D$59=1,$C$16,0))),1,0)</f>
        <v>0</v>
      </c>
      <c r="F56" s="8">
        <f>IF(D56&gt;(($C$22+IF($D$59=1,$C$17*$C$16,0)-(SUMPRODUCT($D$52:$D$58,$E$52:$E$58)-D56*E56))*C56/((((SUM($C$52:$C$58)-SUMPRODUCT($C$52:$C$58,$E$52:$E$58))-C56*(1-E56))+$C$14+$C$15+IF($D$59=1,$C$16,0))+C56)),1,0)</f>
        <v>1</v>
      </c>
      <c r="G56" s="8">
        <f>IF(D56&gt;(($C$22+IF($D$59=1,$C$17*$C$16,0)-(SUMPRODUCT($D$52:$D$58,$F$52:$F$58)-D56*F56))*C56/((((SUM($C$52:$C$58)-SUMPRODUCT($C$52:$C$58,$F$52:$F$58))-C56*(1-F56))+$C$14+$C$15+IF($D$59=1,$C$16,0))+C56)),1,0)</f>
        <v>1</v>
      </c>
      <c r="H56" s="8">
        <f>IF(D56&gt;(($C$22+IF($D$59=1,$C$17*$C$16,0)-(SUMPRODUCT($D$52:$D$58,$G$52:$G$58)-D56*G56))*C56/((((SUM($C$52:$C$58)-SUMPRODUCT($C$52:$C$58,$G$52:$G$58))-C56*(1-G56))+$C$14+$C$15+IF($D$59=1,$C$16,0))+C56)),1,0)</f>
        <v>1</v>
      </c>
      <c r="I56" s="14">
        <f>(($C$22+IF($D$59=1,$C$17*$C$16,0)-(SUMPRODUCT($D$52:$D$58,$H$52:$H$58)-D56*H56))*C56/((((SUM($C$52:$C$58)-SUMPRODUCT($C$52:$C$58,$H$52:$H$58))-C56*(1-H56))+$C$14+$C$15+IF($D$59=1,$C$16,0))+C56))</f>
        <v>25725338.216520406</v>
      </c>
      <c r="J56" s="14">
        <f>IF(H56=1,D56,I56)</f>
        <v>30000000</v>
      </c>
    </row>
    <row r="57" spans="2:10" x14ac:dyDescent="0.25">
      <c r="B57" s="5" t="str">
        <f>B12</f>
        <v>Series A</v>
      </c>
      <c r="C57" s="8">
        <f>C12</f>
        <v>5000000</v>
      </c>
      <c r="D57" s="14">
        <f>D12</f>
        <v>15000000</v>
      </c>
      <c r="E57" s="8">
        <f>IF(D57&gt;(($C$22+IF($D$59=1,$C$17*$C$16,0))*C57/(SUM($C$7:$C$13)+$C$14+$C$15+IF($D$59=1,$C$16,0))),1,0)</f>
        <v>0</v>
      </c>
      <c r="F57" s="8">
        <f>IF(D57&gt;(($C$22+IF($D$59=1,$C$17*$C$16,0)-(SUMPRODUCT($D$52:$D$58,$E$52:$E$58)-D57*E57))*C57/((((SUM($C$52:$C$58)-SUMPRODUCT($C$52:$C$58,$E$52:$E$58))-C57*(1-E57))+$C$14+$C$15+IF($D$59=1,$C$16,0))+C57)),1,0)</f>
        <v>0</v>
      </c>
      <c r="G57" s="8">
        <f>IF(D57&gt;(($C$22+IF($D$59=1,$C$17*$C$16,0)-(SUMPRODUCT($D$52:$D$58,$F$52:$F$58)-D57*F57))*C57/((((SUM($C$52:$C$58)-SUMPRODUCT($C$52:$C$58,$F$52:$F$58))-C57*(1-F57))+$C$14+$C$15+IF($D$59=1,$C$16,0))+C57)),1,0)</f>
        <v>0</v>
      </c>
      <c r="H57" s="8">
        <f>IF(D57&gt;(($C$22+IF($D$59=1,$C$17*$C$16,0)-(SUMPRODUCT($D$52:$D$58,$G$52:$G$58)-D57*G57))*C57/((((SUM($C$52:$C$58)-SUMPRODUCT($C$52:$C$58,$G$52:$G$58))-C57*(1-G57))+$C$14+$C$15+IF($D$59=1,$C$16,0))+C57)),1,0)</f>
        <v>0</v>
      </c>
      <c r="I57" s="14">
        <f>(($C$22+IF($D$59=1,$C$17*$C$16,0)-(SUMPRODUCT($D$52:$D$58,$H$52:$H$58)-D57*H57))*C57/((((SUM($C$52:$C$58)-SUMPRODUCT($C$52:$C$58,$H$52:$H$58))-C57*(1-H57))+$C$14+$C$15+IF($D$59=1,$C$16,0))+C57))</f>
        <v>41894282.12303545</v>
      </c>
      <c r="J57" s="14">
        <f>IF(H57=1,D57,I57)</f>
        <v>41894282.12303545</v>
      </c>
    </row>
    <row r="58" spans="2:10" x14ac:dyDescent="0.25">
      <c r="B58" s="5" t="str">
        <f>B13</f>
        <v>Seed</v>
      </c>
      <c r="C58" s="8">
        <f>C13</f>
        <v>5000000</v>
      </c>
      <c r="D58" s="14">
        <f>D13</f>
        <v>5000000</v>
      </c>
      <c r="E58" s="8">
        <f>IF(D58&gt;(($C$22+IF($D$59=1,$C$17*$C$16,0))*C58/(SUM($C$7:$C$13)+$C$14+$C$15+IF($D$59=1,$C$16,0))),1,0)</f>
        <v>0</v>
      </c>
      <c r="F58" s="8">
        <f>IF(D58&gt;(($C$22+IF($D$59=1,$C$17*$C$16,0)-(SUMPRODUCT($D$52:$D$58,$E$52:$E$58)-D58*E58))*C58/((((SUM($C$52:$C$58)-SUMPRODUCT($C$52:$C$58,$E$52:$E$58))-C58*(1-E58))+$C$14+$C$15+IF($D$59=1,$C$16,0))+C58)),1,0)</f>
        <v>0</v>
      </c>
      <c r="G58" s="8">
        <f>IF(D58&gt;(($C$22+IF($D$59=1,$C$17*$C$16,0)-(SUMPRODUCT($D$52:$D$58,$F$52:$F$58)-D58*F58))*C58/((((SUM($C$52:$C$58)-SUMPRODUCT($C$52:$C$58,$F$52:$F$58))-C58*(1-F58))+$C$14+$C$15+IF($D$59=1,$C$16,0))+C58)),1,0)</f>
        <v>0</v>
      </c>
      <c r="H58" s="8">
        <f>IF(D58&gt;(($C$22+IF($D$59=1,$C$17*$C$16,0)-(SUMPRODUCT($D$52:$D$58,$G$52:$G$58)-D58*G58))*C58/((((SUM($C$52:$C$58)-SUMPRODUCT($C$52:$C$58,$G$52:$G$58))-C58*(1-G58))+$C$14+$C$15+IF($D$59=1,$C$16,0))+C58)),1,0)</f>
        <v>0</v>
      </c>
      <c r="I58" s="14">
        <f>(($C$22+IF($D$59=1,$C$17*$C$16,0)-(SUMPRODUCT($D$52:$D$58,$H$52:$H$58)-D58*H58))*C58/((((SUM($C$52:$C$58)-SUMPRODUCT($C$52:$C$58,$H$52:$H$58))-C58*(1-H58))+$C$14+$C$15+IF($D$59=1,$C$16,0))+C58))</f>
        <v>41894282.12303545</v>
      </c>
      <c r="J58" s="14">
        <f>IF(H58=1,D58,I58)</f>
        <v>41894282.12303545</v>
      </c>
    </row>
    <row r="59" spans="2:4" x14ac:dyDescent="0.25">
      <c r="B59" s="12" t="s">
        <v>303</v>
      </c>
      <c r="C59" s="14">
        <f>($C$22+$C$17*$C$16)/(SUM($C$7:$C$13)+$C$14+$C$15+$C$16)</f>
        <v>19.594094863398606</v>
      </c>
      <c r="D59" s="8">
        <f>IF(C59&gt;$C$17,1,0)</f>
        <v>1</v>
      </c>
    </row>
    <row r="60" spans="2:10" x14ac:dyDescent="0.25">
      <c r="B60" s="5" t="s">
        <v>260</v>
      </c>
      <c r="C60" s="8">
        <f>$C$14</f>
        <v>281015.3022830847</v>
      </c>
      <c r="J60" s="14">
        <f>($C$22+IF($D$59=1,$C$17*$C$16,0)-SUMPRODUCT($D$52:$D$58,$H$52:$H$58))*$C$14/((SUM($C$52:$C$58)-SUMPRODUCT($C$52:$C$58,$H$52:$H$58))+$C$14+$C$15+IF($D$59=1,$C$16,0))</f>
        <v>2354586.8709475286</v>
      </c>
    </row>
    <row r="61" spans="2:10" x14ac:dyDescent="0.25">
      <c r="B61" s="5" t="s">
        <v>304</v>
      </c>
      <c r="C61" s="8">
        <f>$C$15</f>
        <v>9000000</v>
      </c>
      <c r="J61" s="14">
        <f>($C$22+IF($D$59=1,$C$17*$C$16,0)-SUMPRODUCT($D$52:$D$58,$H$52:$H$58))*$C$15/((SUM($C$52:$C$58)-SUMPRODUCT($C$52:$C$58,$H$52:$H$58))+$C$14+$C$15+IF($D$59=1,$C$16,0))</f>
        <v>75409707.82146384</v>
      </c>
    </row>
    <row r="62" spans="2:10" x14ac:dyDescent="0.25">
      <c r="B62" s="5" t="s">
        <v>305</v>
      </c>
      <c r="C62" s="8">
        <f>$C$16</f>
        <v>2500000</v>
      </c>
      <c r="J62" s="14">
        <f>IF($D$59=1,($C$22+IF($D$59=1,$C$17*$C$16,0)-SUMPRODUCT($D$52:$D$58,$H$52:$H$58))*$C$16/((SUM($C$52:$C$58)-SUMPRODUCT($C$52:$C$58,$H$52:$H$58))+$C$14+$C$15+IF($D$59=1,$C$16,0))-$C$17*$C$16,0)</f>
        <v>18447141.06151773</v>
      </c>
    </row>
    <row r="63" spans="2:10" x14ac:dyDescent="0.25">
      <c r="B63" s="12" t="s">
        <v>306</v>
      </c>
      <c r="J63" s="34">
        <f>SUM(J52:J62)</f>
        <v>700000000</v>
      </c>
    </row>
    <row r="64" spans="2:10" x14ac:dyDescent="0.25">
      <c r="B64" s="5" t="s">
        <v>197</v>
      </c>
      <c r="J64" s="22">
        <f>ROUND(J63-$C$22,2)</f>
        <v>0</v>
      </c>
    </row>
    <row r="65" spans="2:11" x14ac:dyDescent="0.25">
      <c r="B65" s="23" t="s">
        <v>307</v>
      </c>
      <c r="C65" s="24"/>
      <c r="D65" s="24"/>
      <c r="E65" s="24"/>
      <c r="F65" s="24"/>
      <c r="G65" s="24"/>
      <c r="H65" s="24"/>
      <c r="I65" s="24"/>
      <c r="J65" s="24"/>
      <c r="K65" s="24"/>
    </row>
    <row r="66" spans="2:10" x14ac:dyDescent="0.25">
      <c r="B66" s="13" t="s">
        <v>97</v>
      </c>
      <c r="C66" s="13" t="s">
        <v>251</v>
      </c>
      <c r="D66" s="13" t="s">
        <v>252</v>
      </c>
      <c r="E66" s="13" t="s">
        <v>297</v>
      </c>
      <c r="F66" s="13" t="s">
        <v>298</v>
      </c>
      <c r="G66" s="13" t="s">
        <v>299</v>
      </c>
      <c r="H66" s="13" t="s">
        <v>300</v>
      </c>
      <c r="I66" s="13" t="s">
        <v>301</v>
      </c>
      <c r="J66" s="13" t="s">
        <v>302</v>
      </c>
    </row>
    <row r="67" spans="2:10" x14ac:dyDescent="0.25">
      <c r="B67" s="5" t="str">
        <f>B7</f>
        <v>Series F</v>
      </c>
      <c r="C67" s="8">
        <f>C7</f>
        <v>803315.0763251084</v>
      </c>
      <c r="D67" s="14">
        <f>D7</f>
        <v>30000000</v>
      </c>
      <c r="E67" s="8">
        <f>IF(D67&gt;(($D$22+IF($D$74=1,$C$17*$C$16,0))*C67/(SUM($C$7:$C$13)+$C$14+$C$15+IF($D$74=1,$C$16,0))),1,0)</f>
        <v>1</v>
      </c>
      <c r="F67" s="8">
        <f>IF(D67&gt;(($D$22+IF($D$74=1,$C$17*$C$16,0)-(SUMPRODUCT($D$67:$D$73,$E$67:$E$73)-D67*E67))*C67/((((SUM($C$67:$C$73)-SUMPRODUCT($C$67:$C$73,$E$67:$E$73))-C67*(1-E67))+$C$14+$C$15+IF($D$74=1,$C$16,0))+C67)),1,0)</f>
        <v>1</v>
      </c>
      <c r="G67" s="8">
        <f>IF(D67&gt;(($D$22+IF($D$74=1,$C$17*$C$16,0)-(SUMPRODUCT($D$67:$D$73,$F$67:$F$73)-D67*F67))*C67/((((SUM($C$67:$C$73)-SUMPRODUCT($C$67:$C$73,$F$67:$F$73))-C67*(1-F67))+$C$14+$C$15+IF($D$74=1,$C$16,0))+C67)),1,0)</f>
        <v>1</v>
      </c>
      <c r="H67" s="8">
        <f>IF(D67&gt;(($D$22+IF($D$74=1,$C$17*$C$16,0)-(SUMPRODUCT($D$67:$D$73,$G$67:$G$73)-D67*G67))*C67/((((SUM($C$67:$C$73)-SUMPRODUCT($C$67:$C$73,$G$67:$G$73))-C67*(1-G67))+$C$14+$C$15+IF($D$74=1,$C$16,0))+C67)),1,0)</f>
        <v>1</v>
      </c>
      <c r="I67" s="14">
        <f>(($D$22+IF($D$74=1,$C$17*$C$16,0)-(SUMPRODUCT($D$67:$D$73,$H$67:$H$73)-D67*H67))*C67/((((SUM($C$67:$C$73)-SUMPRODUCT($C$67:$C$73,$H$67:$H$73))-C67*(1-H67))+$C$14+$C$15+IF($D$74=1,$C$16,0))+C67))</f>
        <v>23036475.77158721</v>
      </c>
      <c r="J67" s="14">
        <f>IF(H67=1,D67,I67)</f>
        <v>30000000</v>
      </c>
    </row>
    <row r="68" spans="2:10" x14ac:dyDescent="0.25">
      <c r="B68" s="5" t="str">
        <f>B8</f>
        <v>Series E</v>
      </c>
      <c r="C68" s="8">
        <f>C8</f>
        <v>6134376.92364734</v>
      </c>
      <c r="D68" s="14">
        <f>D8</f>
        <v>300000000</v>
      </c>
      <c r="E68" s="8">
        <f>IF(D68&gt;(($D$22+IF($D$74=1,$C$17*$C$16,0))*C68/(SUM($C$7:$C$13)+$C$14+$C$15+IF($D$74=1,$C$16,0))),1,0)</f>
        <v>1</v>
      </c>
      <c r="F68" s="8">
        <f>IF(D68&gt;(($D$22+IF($D$74=1,$C$17*$C$16,0)-(SUMPRODUCT($D$67:$D$73,$E$67:$E$73)-D68*E68))*C68/((((SUM($C$67:$C$73)-SUMPRODUCT($C$67:$C$73,$E$67:$E$73))-C68*(1-E68))+$C$14+$C$15+IF($D$74=1,$C$16,0))+C68)),1,0)</f>
        <v>1</v>
      </c>
      <c r="G68" s="8">
        <f>IF(D68&gt;(($D$22+IF($D$74=1,$C$17*$C$16,0)-(SUMPRODUCT($D$67:$D$73,$F$67:$F$73)-D68*F68))*C68/((((SUM($C$67:$C$73)-SUMPRODUCT($C$67:$C$73,$F$67:$F$73))-C68*(1-F68))+$C$14+$C$15+IF($D$74=1,$C$16,0))+C68)),1,0)</f>
        <v>1</v>
      </c>
      <c r="H68" s="8">
        <f>IF(D68&gt;(($D$22+IF($D$74=1,$C$17*$C$16,0)-(SUMPRODUCT($D$67:$D$73,$G$67:$G$73)-D68*G68))*C68/((((SUM($C$67:$C$73)-SUMPRODUCT($C$67:$C$73,$G$67:$G$73))-C68*(1-G68))+$C$14+$C$15+IF($D$74=1,$C$16,0))+C68)),1,0)</f>
        <v>1</v>
      </c>
      <c r="I68" s="14">
        <f>(($D$22+IF($D$74=1,$C$17*$C$16,0)-(SUMPRODUCT($D$67:$D$73,$H$67:$H$73)-D68*H68))*C68/((((SUM($C$67:$C$73)-SUMPRODUCT($C$67:$C$73,$H$67:$H$73))-C68*(1-H68))+$C$14+$C$15+IF($D$74=1,$C$16,0))+C68))</f>
        <v>197479867.74386635</v>
      </c>
      <c r="J68" s="14">
        <f>IF(H68=1,D68,I68)</f>
        <v>300000000</v>
      </c>
    </row>
    <row r="69" spans="2:10" x14ac:dyDescent="0.25">
      <c r="B69" s="5" t="str">
        <f>B9</f>
        <v>Series D</v>
      </c>
      <c r="C69" s="8">
        <f>C9</f>
        <v>1733931.2042700483</v>
      </c>
      <c r="D69" s="14">
        <f>D9</f>
        <v>100000000</v>
      </c>
      <c r="E69" s="8">
        <f>IF(D69&gt;(($D$22+IF($D$74=1,$C$17*$C$16,0))*C69/(SUM($C$7:$C$13)+$C$14+$C$15+IF($D$74=1,$C$16,0))),1,0)</f>
        <v>1</v>
      </c>
      <c r="F69" s="8">
        <f>IF(D69&gt;(($D$22+IF($D$74=1,$C$17*$C$16,0)-(SUMPRODUCT($D$67:$D$73,$E$67:$E$73)-D69*E69))*C69/((((SUM($C$67:$C$73)-SUMPRODUCT($C$67:$C$73,$E$67:$E$73))-C69*(1-E69))+$C$14+$C$15+IF($D$74=1,$C$16,0))+C69)),1,0)</f>
        <v>1</v>
      </c>
      <c r="G69" s="8">
        <f>IF(D69&gt;(($D$22+IF($D$74=1,$C$17*$C$16,0)-(SUMPRODUCT($D$67:$D$73,$F$67:$F$73)-D69*F69))*C69/((((SUM($C$67:$C$73)-SUMPRODUCT($C$67:$C$73,$F$67:$F$73))-C69*(1-F69))+$C$14+$C$15+IF($D$74=1,$C$16,0))+C69)),1,0)</f>
        <v>1</v>
      </c>
      <c r="H69" s="8">
        <f>IF(D69&gt;(($D$22+IF($D$74=1,$C$17*$C$16,0)-(SUMPRODUCT($D$67:$D$73,$G$67:$G$73)-D69*G69))*C69/((((SUM($C$67:$C$73)-SUMPRODUCT($C$67:$C$73,$G$67:$G$73))-C69*(1-G69))+$C$14+$C$15+IF($D$74=1,$C$16,0))+C69)),1,0)</f>
        <v>1</v>
      </c>
      <c r="I69" s="14">
        <f>(($D$22+IF($D$74=1,$C$17*$C$16,0)-(SUMPRODUCT($D$67:$D$73,$H$67:$H$73)-D69*H69))*C69/((((SUM($C$67:$C$73)-SUMPRODUCT($C$67:$C$73,$H$67:$H$73))-C69*(1-H69))+$C$14+$C$15+IF($D$74=1,$C$16,0))+C69))</f>
        <v>52320863.72294521</v>
      </c>
      <c r="J69" s="14">
        <f>IF(H69=1,D69,I69)</f>
        <v>100000000</v>
      </c>
    </row>
    <row r="70" spans="2:10" x14ac:dyDescent="0.25">
      <c r="B70" s="5" t="str">
        <f>B10</f>
        <v>Series C</v>
      </c>
      <c r="C70" s="8">
        <f>C10</f>
        <v>2400000</v>
      </c>
      <c r="D70" s="14">
        <f>D10</f>
        <v>60000000</v>
      </c>
      <c r="E70" s="8">
        <f>IF(D70&gt;(($D$22+IF($D$74=1,$C$17*$C$16,0))*C70/(SUM($C$7:$C$13)+$C$14+$C$15+IF($D$74=1,$C$16,0))),1,0)</f>
        <v>0</v>
      </c>
      <c r="F70" s="8">
        <f>IF(D70&gt;(($D$22+IF($D$74=1,$C$17*$C$16,0)-(SUMPRODUCT($D$67:$D$73,$E$67:$E$73)-D70*E70))*C70/((((SUM($C$67:$C$73)-SUMPRODUCT($C$67:$C$73,$E$67:$E$73))-C70*(1-E70))+$C$14+$C$15+IF($D$74=1,$C$16,0))+C70)),1,0)</f>
        <v>0</v>
      </c>
      <c r="G70" s="8">
        <f>IF(D70&gt;(($D$22+IF($D$74=1,$C$17*$C$16,0)-(SUMPRODUCT($D$67:$D$73,$F$67:$F$73)-D70*F70))*C70/((((SUM($C$67:$C$73)-SUMPRODUCT($C$67:$C$73,$F$67:$F$73))-C70*(1-F70))+$C$14+$C$15+IF($D$74=1,$C$16,0))+C70)),1,0)</f>
        <v>0</v>
      </c>
      <c r="H70" s="8">
        <f>IF(D70&gt;(($D$22+IF($D$74=1,$C$17*$C$16,0)-(SUMPRODUCT($D$67:$D$73,$G$67:$G$73)-D70*G70))*C70/((((SUM($C$67:$C$73)-SUMPRODUCT($C$67:$C$73,$G$67:$G$73))-C70*(1-G70))+$C$14+$C$15+IF($D$74=1,$C$16,0))+C70)),1,0)</f>
        <v>0</v>
      </c>
      <c r="I70" s="14">
        <f>(($D$22+IF($D$74=1,$C$17*$C$16,0)-(SUMPRODUCT($D$67:$D$73,$H$67:$H$73)-D70*H70))*C70/((((SUM($C$67:$C$73)-SUMPRODUCT($C$67:$C$73,$H$67:$H$73))-C70*(1-H70))+$C$14+$C$15+IF($D$74=1,$C$16,0))+C70))</f>
        <v>68209372.58529384</v>
      </c>
      <c r="J70" s="14">
        <f>IF(H70=1,D70,I70)</f>
        <v>68209372.58529384</v>
      </c>
    </row>
    <row r="71" spans="2:10" x14ac:dyDescent="0.25">
      <c r="B71" s="5" t="str">
        <f>B11</f>
        <v>Series B</v>
      </c>
      <c r="C71" s="8">
        <f>C11</f>
        <v>3000000</v>
      </c>
      <c r="D71" s="14">
        <f>D11</f>
        <v>30000000</v>
      </c>
      <c r="E71" s="8">
        <f>IF(D71&gt;(($D$22+IF($D$74=1,$C$17*$C$16,0))*C71/(SUM($C$7:$C$13)+$C$14+$C$15+IF($D$74=1,$C$16,0))),1,0)</f>
        <v>0</v>
      </c>
      <c r="F71" s="8">
        <f>IF(D71&gt;(($D$22+IF($D$74=1,$C$17*$C$16,0)-(SUMPRODUCT($D$67:$D$73,$E$67:$E$73)-D71*E71))*C71/((((SUM($C$67:$C$73)-SUMPRODUCT($C$67:$C$73,$E$67:$E$73))-C71*(1-E71))+$C$14+$C$15+IF($D$74=1,$C$16,0))+C71)),1,0)</f>
        <v>0</v>
      </c>
      <c r="G71" s="8">
        <f>IF(D71&gt;(($D$22+IF($D$74=1,$C$17*$C$16,0)-(SUMPRODUCT($D$67:$D$73,$F$67:$F$73)-D71*F71))*C71/((((SUM($C$67:$C$73)-SUMPRODUCT($C$67:$C$73,$F$67:$F$73))-C71*(1-F71))+$C$14+$C$15+IF($D$74=1,$C$16,0))+C71)),1,0)</f>
        <v>0</v>
      </c>
      <c r="H71" s="8">
        <f>IF(D71&gt;(($D$22+IF($D$74=1,$C$17*$C$16,0)-(SUMPRODUCT($D$67:$D$73,$G$67:$G$73)-D71*G71))*C71/((((SUM($C$67:$C$73)-SUMPRODUCT($C$67:$C$73,$G$67:$G$73))-C71*(1-G71))+$C$14+$C$15+IF($D$74=1,$C$16,0))+C71)),1,0)</f>
        <v>0</v>
      </c>
      <c r="I71" s="14">
        <f>(($D$22+IF($D$74=1,$C$17*$C$16,0)-(SUMPRODUCT($D$67:$D$73,$H$67:$H$73)-D71*H71))*C71/((((SUM($C$67:$C$73)-SUMPRODUCT($C$67:$C$73,$H$67:$H$73))-C71*(1-H71))+$C$14+$C$15+IF($D$74=1,$C$16,0))+C71))</f>
        <v>85261715.7316173</v>
      </c>
      <c r="J71" s="14">
        <f>IF(H71=1,D71,I71)</f>
        <v>85261715.7316173</v>
      </c>
    </row>
    <row r="72" spans="2:10" x14ac:dyDescent="0.25">
      <c r="B72" s="5" t="str">
        <f>B12</f>
        <v>Series A</v>
      </c>
      <c r="C72" s="8">
        <f>C12</f>
        <v>5000000</v>
      </c>
      <c r="D72" s="14">
        <f>D12</f>
        <v>15000000</v>
      </c>
      <c r="E72" s="8">
        <f>IF(D72&gt;(($D$22+IF($D$74=1,$C$17*$C$16,0))*C72/(SUM($C$7:$C$13)+$C$14+$C$15+IF($D$74=1,$C$16,0))),1,0)</f>
        <v>0</v>
      </c>
      <c r="F72" s="8">
        <f>IF(D72&gt;(($D$22+IF($D$74=1,$C$17*$C$16,0)-(SUMPRODUCT($D$67:$D$73,$E$67:$E$73)-D72*E72))*C72/((((SUM($C$67:$C$73)-SUMPRODUCT($C$67:$C$73,$E$67:$E$73))-C72*(1-E72))+$C$14+$C$15+IF($D$74=1,$C$16,0))+C72)),1,0)</f>
        <v>0</v>
      </c>
      <c r="G72" s="8">
        <f>IF(D72&gt;(($D$22+IF($D$74=1,$C$17*$C$16,0)-(SUMPRODUCT($D$67:$D$73,$F$67:$F$73)-D72*F72))*C72/((((SUM($C$67:$C$73)-SUMPRODUCT($C$67:$C$73,$F$67:$F$73))-C72*(1-F72))+$C$14+$C$15+IF($D$74=1,$C$16,0))+C72)),1,0)</f>
        <v>0</v>
      </c>
      <c r="H72" s="8">
        <f>IF(D72&gt;(($D$22+IF($D$74=1,$C$17*$C$16,0)-(SUMPRODUCT($D$67:$D$73,$G$67:$G$73)-D72*G72))*C72/((((SUM($C$67:$C$73)-SUMPRODUCT($C$67:$C$73,$G$67:$G$73))-C72*(1-G72))+$C$14+$C$15+IF($D$74=1,$C$16,0))+C72)),1,0)</f>
        <v>0</v>
      </c>
      <c r="I72" s="14">
        <f>(($D$22+IF($D$74=1,$C$17*$C$16,0)-(SUMPRODUCT($D$67:$D$73,$H$67:$H$73)-D72*H72))*C72/((((SUM($C$67:$C$73)-SUMPRODUCT($C$67:$C$73,$H$67:$H$73))-C72*(1-H72))+$C$14+$C$15+IF($D$74=1,$C$16,0))+C72))</f>
        <v>142102859.5526955</v>
      </c>
      <c r="J72" s="14">
        <f>IF(H72=1,D72,I72)</f>
        <v>142102859.5526955</v>
      </c>
    </row>
    <row r="73" spans="2:10" x14ac:dyDescent="0.25">
      <c r="B73" s="5" t="str">
        <f>B13</f>
        <v>Seed</v>
      </c>
      <c r="C73" s="8">
        <f>C13</f>
        <v>5000000</v>
      </c>
      <c r="D73" s="14">
        <f>D13</f>
        <v>5000000</v>
      </c>
      <c r="E73" s="8">
        <f>IF(D73&gt;(($D$22+IF($D$74=1,$C$17*$C$16,0))*C73/(SUM($C$7:$C$13)+$C$14+$C$15+IF($D$74=1,$C$16,0))),1,0)</f>
        <v>0</v>
      </c>
      <c r="F73" s="8">
        <f>IF(D73&gt;(($D$22+IF($D$74=1,$C$17*$C$16,0)-(SUMPRODUCT($D$67:$D$73,$E$67:$E$73)-D73*E73))*C73/((((SUM($C$67:$C$73)-SUMPRODUCT($C$67:$C$73,$E$67:$E$73))-C73*(1-E73))+$C$14+$C$15+IF($D$74=1,$C$16,0))+C73)),1,0)</f>
        <v>0</v>
      </c>
      <c r="G73" s="8">
        <f>IF(D73&gt;(($D$22+IF($D$74=1,$C$17*$C$16,0)-(SUMPRODUCT($D$67:$D$73,$F$67:$F$73)-D73*F73))*C73/((((SUM($C$67:$C$73)-SUMPRODUCT($C$67:$C$73,$F$67:$F$73))-C73*(1-F73))+$C$14+$C$15+IF($D$74=1,$C$16,0))+C73)),1,0)</f>
        <v>0</v>
      </c>
      <c r="H73" s="8">
        <f>IF(D73&gt;(($D$22+IF($D$74=1,$C$17*$C$16,0)-(SUMPRODUCT($D$67:$D$73,$G$67:$G$73)-D73*G73))*C73/((((SUM($C$67:$C$73)-SUMPRODUCT($C$67:$C$73,$G$67:$G$73))-C73*(1-G73))+$C$14+$C$15+IF($D$74=1,$C$16,0))+C73)),1,0)</f>
        <v>0</v>
      </c>
      <c r="I73" s="14">
        <f>(($D$22+IF($D$74=1,$C$17*$C$16,0)-(SUMPRODUCT($D$67:$D$73,$H$67:$H$73)-D73*H73))*C73/((((SUM($C$67:$C$73)-SUMPRODUCT($C$67:$C$73,$H$67:$H$73))-C73*(1-H73))+$C$14+$C$15+IF($D$74=1,$C$16,0))+C73))</f>
        <v>142102859.5526955</v>
      </c>
      <c r="J73" s="14">
        <f>IF(H73=1,D73,I73)</f>
        <v>142102859.5526955</v>
      </c>
    </row>
    <row r="74" spans="2:4" x14ac:dyDescent="0.25">
      <c r="B74" s="12" t="s">
        <v>303</v>
      </c>
      <c r="C74" s="14">
        <f>($D$22+$C$17*$C$16)/(SUM($C$7:$C$13)+$C$14+$C$15+$C$16)</f>
        <v>33.54006985514139</v>
      </c>
      <c r="D74" s="8">
        <f>IF(C74&gt;$C$17,1,0)</f>
        <v>1</v>
      </c>
    </row>
    <row r="75" spans="2:10" x14ac:dyDescent="0.25">
      <c r="B75" s="5" t="s">
        <v>260</v>
      </c>
      <c r="C75" s="8">
        <f>$C$14</f>
        <v>281015.3022830847</v>
      </c>
      <c r="J75" s="14">
        <f>($D$22+IF($D$74=1,$C$17*$C$16,0)-SUMPRODUCT($D$67:$D$73,$H$67:$H$73))*$C$14/((SUM($C$67:$C$73)-SUMPRODUCT($C$67:$C$73,$H$67:$H$73))+$C$14+$C$15+IF($D$74=1,$C$16,0))</f>
        <v>7986615.606498292</v>
      </c>
    </row>
    <row r="76" spans="2:10" x14ac:dyDescent="0.25">
      <c r="B76" s="5" t="s">
        <v>304</v>
      </c>
      <c r="C76" s="8">
        <f>$C$15</f>
        <v>9000000</v>
      </c>
      <c r="J76" s="14">
        <f>($D$22+IF($D$74=1,$C$17*$C$16,0)-SUMPRODUCT($D$67:$D$73,$H$67:$H$73))*$C$15/((SUM($C$67:$C$73)-SUMPRODUCT($C$67:$C$73,$H$67:$H$73))+$C$14+$C$15+IF($D$74=1,$C$16,0))</f>
        <v>255785147.1948519</v>
      </c>
    </row>
    <row r="77" spans="2:10" x14ac:dyDescent="0.25">
      <c r="B77" s="5" t="s">
        <v>305</v>
      </c>
      <c r="C77" s="8">
        <f>$C$16</f>
        <v>2500000</v>
      </c>
      <c r="J77" s="14">
        <f>IF($D$74=1,($D$22+IF($D$74=1,$C$17*$C$16,0)-SUMPRODUCT($D$67:$D$73,$H$67:$H$73))*$C$16/((SUM($C$67:$C$73)-SUMPRODUCT($C$67:$C$73,$H$67:$H$73))+$C$14+$C$15+IF($D$74=1,$C$16,0))-$C$17*$C$16,0)</f>
        <v>68551429.77634776</v>
      </c>
    </row>
    <row r="78" spans="2:10" x14ac:dyDescent="0.25">
      <c r="B78" s="12" t="s">
        <v>306</v>
      </c>
      <c r="J78" s="34">
        <f>SUM(J67:J77)</f>
        <v>1200000000</v>
      </c>
    </row>
    <row r="79" spans="2:10" x14ac:dyDescent="0.25">
      <c r="B79" s="5" t="s">
        <v>197</v>
      </c>
      <c r="J79" s="22">
        <f>ROUND(J78-$D$22,2)</f>
        <v>0</v>
      </c>
    </row>
    <row r="80" spans="2:11" x14ac:dyDescent="0.25">
      <c r="B80" s="23" t="s">
        <v>308</v>
      </c>
      <c r="C80" s="24"/>
      <c r="D80" s="24"/>
      <c r="E80" s="24"/>
      <c r="F80" s="24"/>
      <c r="G80" s="24"/>
      <c r="H80" s="24"/>
      <c r="I80" s="24"/>
      <c r="J80" s="24"/>
      <c r="K80" s="24"/>
    </row>
    <row r="81" spans="2:10" x14ac:dyDescent="0.25">
      <c r="B81" s="13" t="s">
        <v>97</v>
      </c>
      <c r="C81" s="13" t="s">
        <v>251</v>
      </c>
      <c r="D81" s="13" t="s">
        <v>252</v>
      </c>
      <c r="E81" s="13" t="s">
        <v>297</v>
      </c>
      <c r="F81" s="13" t="s">
        <v>298</v>
      </c>
      <c r="G81" s="13" t="s">
        <v>299</v>
      </c>
      <c r="H81" s="13" t="s">
        <v>300</v>
      </c>
      <c r="I81" s="13" t="s">
        <v>301</v>
      </c>
      <c r="J81" s="13" t="s">
        <v>302</v>
      </c>
    </row>
    <row r="82" spans="2:10" x14ac:dyDescent="0.25">
      <c r="B82" s="5" t="str">
        <f>B7</f>
        <v>Series F</v>
      </c>
      <c r="C82" s="8">
        <f>C7</f>
        <v>803315.0763251084</v>
      </c>
      <c r="D82" s="14">
        <f>D7</f>
        <v>30000000</v>
      </c>
      <c r="E82" s="8">
        <f>IF(D82&gt;(($E$22+IF($D$89=1,$C$17*$C$16,0))*C82/(SUM($C$7:$C$13)+$C$14+$C$15+IF($D$89=1,$C$16,0))),1,0)</f>
        <v>0</v>
      </c>
      <c r="F82" s="8">
        <f>IF(D82&gt;(($E$22+IF($D$89=1,$C$17*$C$16,0)-(SUMPRODUCT($D$82:$D$88,$E$82:$E$88)-D82*E82))*C82/((((SUM($C$82:$C$88)-SUMPRODUCT($C$82:$C$88,$E$82:$E$88))-C82*(1-E82))+$C$14+$C$15+IF($D$89=1,$C$16,0))+C82)),1,0)</f>
        <v>0</v>
      </c>
      <c r="G82" s="8">
        <f>IF(D82&gt;(($E$22+IF($D$89=1,$C$17*$C$16,0)-(SUMPRODUCT($D$82:$D$88,$F$82:$F$88)-D82*F82))*C82/((((SUM($C$82:$C$88)-SUMPRODUCT($C$82:$C$88,$F$82:$F$88))-C82*(1-F82))+$C$14+$C$15+IF($D$89=1,$C$16,0))+C82)),1,0)</f>
        <v>0</v>
      </c>
      <c r="H82" s="8">
        <f>IF(D82&gt;(($E$22+IF($D$89=1,$C$17*$C$16,0)-(SUMPRODUCT($D$82:$D$88,$G$82:$G$88)-D82*G82))*C82/((((SUM($C$82:$C$88)-SUMPRODUCT($C$82:$C$88,$G$82:$G$88))-C82*(1-G82))+$C$14+$C$15+IF($D$89=1,$C$16,0))+C82)),1,0)</f>
        <v>0</v>
      </c>
      <c r="I82" s="14">
        <f>(($E$22+IF($D$89=1,$C$17*$C$16,0)-(SUMPRODUCT($D$82:$D$88,$H$82:$H$88)-D82*H82))*C82/((((SUM($C$82:$C$88)-SUMPRODUCT($C$82:$C$88,$H$82:$H$88))-C82*(1-H82))+$C$14+$C$15+IF($D$89=1,$C$16,0))+C82))</f>
        <v>44793811.183095</v>
      </c>
      <c r="J82" s="14">
        <f>IF(H82=1,D82,I82)</f>
        <v>44793811.183095</v>
      </c>
    </row>
    <row r="83" spans="2:10" x14ac:dyDescent="0.25">
      <c r="B83" s="5" t="str">
        <f>B8</f>
        <v>Series E</v>
      </c>
      <c r="C83" s="8">
        <f>C8</f>
        <v>6134376.92364734</v>
      </c>
      <c r="D83" s="14">
        <f>D8</f>
        <v>300000000</v>
      </c>
      <c r="E83" s="8">
        <f>IF(D83&gt;(($E$22+IF($D$89=1,$C$17*$C$16,0))*C83/(SUM($C$7:$C$13)+$C$14+$C$15+IF($D$89=1,$C$16,0))),1,0)</f>
        <v>0</v>
      </c>
      <c r="F83" s="8">
        <f>IF(D83&gt;(($E$22+IF($D$89=1,$C$17*$C$16,0)-(SUMPRODUCT($D$82:$D$88,$E$82:$E$88)-D83*E83))*C83/((((SUM($C$82:$C$88)-SUMPRODUCT($C$82:$C$88,$E$82:$E$88))-C83*(1-E83))+$C$14+$C$15+IF($D$89=1,$C$16,0))+C83)),1,0)</f>
        <v>0</v>
      </c>
      <c r="G83" s="8">
        <f>IF(D83&gt;(($E$22+IF($D$89=1,$C$17*$C$16,0)-(SUMPRODUCT($D$82:$D$88,$F$82:$F$88)-D83*F83))*C83/((((SUM($C$82:$C$88)-SUMPRODUCT($C$82:$C$88,$F$82:$F$88))-C83*(1-F83))+$C$14+$C$15+IF($D$89=1,$C$16,0))+C83)),1,0)</f>
        <v>0</v>
      </c>
      <c r="H83" s="8">
        <f>IF(D83&gt;(($E$22+IF($D$89=1,$C$17*$C$16,0)-(SUMPRODUCT($D$82:$D$88,$G$82:$G$88)-D83*G83))*C83/((((SUM($C$82:$C$88)-SUMPRODUCT($C$82:$C$88,$G$82:$G$88))-C83*(1-G83))+$C$14+$C$15+IF($D$89=1,$C$16,0))+C83)),1,0)</f>
        <v>0</v>
      </c>
      <c r="I83" s="14">
        <f>(($E$22+IF($D$89=1,$C$17*$C$16,0)-(SUMPRODUCT($D$82:$D$88,$H$82:$H$88)-D83*H83))*C83/((((SUM($C$82:$C$88)-SUMPRODUCT($C$82:$C$88,$H$82:$H$88))-C83*(1-H83))+$C$14+$C$15+IF($D$89=1,$C$16,0))+C83))</f>
        <v>342060207.43545395</v>
      </c>
      <c r="J83" s="14">
        <f>IF(H83=1,D83,I83)</f>
        <v>342060207.43545395</v>
      </c>
    </row>
    <row r="84" spans="2:10" x14ac:dyDescent="0.25">
      <c r="B84" s="5" t="str">
        <f>B9</f>
        <v>Series D</v>
      </c>
      <c r="C84" s="8">
        <f>C9</f>
        <v>1733931.2042700483</v>
      </c>
      <c r="D84" s="14">
        <f>D9</f>
        <v>100000000</v>
      </c>
      <c r="E84" s="8">
        <f>IF(D84&gt;(($E$22+IF($D$89=1,$C$17*$C$16,0))*C84/(SUM($C$7:$C$13)+$C$14+$C$15+IF($D$89=1,$C$16,0))),1,0)</f>
        <v>1</v>
      </c>
      <c r="F84" s="8">
        <f>IF(D84&gt;(($E$22+IF($D$89=1,$C$17*$C$16,0)-(SUMPRODUCT($D$82:$D$88,$E$82:$E$88)-D84*E84))*C84/((((SUM($C$82:$C$88)-SUMPRODUCT($C$82:$C$88,$E$82:$E$88))-C84*(1-E84))+$C$14+$C$15+IF($D$89=1,$C$16,0))+C84)),1,0)</f>
        <v>1</v>
      </c>
      <c r="G84" s="8">
        <f>IF(D84&gt;(($E$22+IF($D$89=1,$C$17*$C$16,0)-(SUMPRODUCT($D$82:$D$88,$F$82:$F$88)-D84*F84))*C84/((((SUM($C$82:$C$88)-SUMPRODUCT($C$82:$C$88,$F$82:$F$88))-C84*(1-F84))+$C$14+$C$15+IF($D$89=1,$C$16,0))+C84)),1,0)</f>
        <v>1</v>
      </c>
      <c r="H84" s="8">
        <f>IF(D84&gt;(($E$22+IF($D$89=1,$C$17*$C$16,0)-(SUMPRODUCT($D$82:$D$88,$G$82:$G$88)-D84*G84))*C84/((((SUM($C$82:$C$88)-SUMPRODUCT($C$82:$C$88,$G$82:$G$88))-C84*(1-G84))+$C$14+$C$15+IF($D$89=1,$C$16,0))+C84)),1,0)</f>
        <v>1</v>
      </c>
      <c r="I84" s="14">
        <f>(($E$22+IF($D$89=1,$C$17*$C$16,0)-(SUMPRODUCT($D$82:$D$88,$H$82:$H$88)-D84*H84))*C84/((((SUM($C$82:$C$88)-SUMPRODUCT($C$82:$C$88,$H$82:$H$88))-C84*(1-H84))+$C$14+$C$15+IF($D$89=1,$C$16,0))+C84))</f>
        <v>96846351.65467092</v>
      </c>
      <c r="J84" s="14">
        <f>IF(H84=1,D84,I84)</f>
        <v>100000000</v>
      </c>
    </row>
    <row r="85" spans="2:10" x14ac:dyDescent="0.25">
      <c r="B85" s="5" t="str">
        <f>B10</f>
        <v>Series C</v>
      </c>
      <c r="C85" s="8">
        <f>C10</f>
        <v>2400000</v>
      </c>
      <c r="D85" s="14">
        <f>D10</f>
        <v>60000000</v>
      </c>
      <c r="E85" s="8">
        <f>IF(D85&gt;(($E$22+IF($D$89=1,$C$17*$C$16,0))*C85/(SUM($C$7:$C$13)+$C$14+$C$15+IF($D$89=1,$C$16,0))),1,0)</f>
        <v>0</v>
      </c>
      <c r="F85" s="8">
        <f>IF(D85&gt;(($E$22+IF($D$89=1,$C$17*$C$16,0)-(SUMPRODUCT($D$82:$D$88,$E$82:$E$88)-D85*E85))*C85/((((SUM($C$82:$C$88)-SUMPRODUCT($C$82:$C$88,$E$82:$E$88))-C85*(1-E85))+$C$14+$C$15+IF($D$89=1,$C$16,0))+C85)),1,0)</f>
        <v>0</v>
      </c>
      <c r="G85" s="8">
        <f>IF(D85&gt;(($E$22+IF($D$89=1,$C$17*$C$16,0)-(SUMPRODUCT($D$82:$D$88,$F$82:$F$88)-D85*F85))*C85/((((SUM($C$82:$C$88)-SUMPRODUCT($C$82:$C$88,$F$82:$F$88))-C85*(1-F85))+$C$14+$C$15+IF($D$89=1,$C$16,0))+C85)),1,0)</f>
        <v>0</v>
      </c>
      <c r="H85" s="8">
        <f>IF(D85&gt;(($E$22+IF($D$89=1,$C$17*$C$16,0)-(SUMPRODUCT($D$82:$D$88,$G$82:$G$88)-D85*G85))*C85/((((SUM($C$82:$C$88)-SUMPRODUCT($C$82:$C$88,$G$82:$G$88))-C85*(1-G85))+$C$14+$C$15+IF($D$89=1,$C$16,0))+C85)),1,0)</f>
        <v>0</v>
      </c>
      <c r="I85" s="14">
        <f>(($E$22+IF($D$89=1,$C$17*$C$16,0)-(SUMPRODUCT($D$82:$D$88,$H$82:$H$88)-D85*H85))*C85/((((SUM($C$82:$C$88)-SUMPRODUCT($C$82:$C$88,$H$82:$H$88))-C85*(1-H85))+$C$14+$C$15+IF($D$89=1,$C$16,0))+C85))</f>
        <v>133826875.66530839</v>
      </c>
      <c r="J85" s="14">
        <f>IF(H85=1,D85,I85)</f>
        <v>133826875.66530839</v>
      </c>
    </row>
    <row r="86" spans="2:10" x14ac:dyDescent="0.25">
      <c r="B86" s="5" t="str">
        <f>B11</f>
        <v>Series B</v>
      </c>
      <c r="C86" s="8">
        <f>C11</f>
        <v>3000000</v>
      </c>
      <c r="D86" s="14">
        <f>D11</f>
        <v>30000000</v>
      </c>
      <c r="E86" s="8">
        <f>IF(D86&gt;(($E$22+IF($D$89=1,$C$17*$C$16,0))*C86/(SUM($C$7:$C$13)+$C$14+$C$15+IF($D$89=1,$C$16,0))),1,0)</f>
        <v>0</v>
      </c>
      <c r="F86" s="8">
        <f>IF(D86&gt;(($E$22+IF($D$89=1,$C$17*$C$16,0)-(SUMPRODUCT($D$82:$D$88,$E$82:$E$88)-D86*E86))*C86/((((SUM($C$82:$C$88)-SUMPRODUCT($C$82:$C$88,$E$82:$E$88))-C86*(1-E86))+$C$14+$C$15+IF($D$89=1,$C$16,0))+C86)),1,0)</f>
        <v>0</v>
      </c>
      <c r="G86" s="8">
        <f>IF(D86&gt;(($E$22+IF($D$89=1,$C$17*$C$16,0)-(SUMPRODUCT($D$82:$D$88,$F$82:$F$88)-D86*F86))*C86/((((SUM($C$82:$C$88)-SUMPRODUCT($C$82:$C$88,$F$82:$F$88))-C86*(1-F86))+$C$14+$C$15+IF($D$89=1,$C$16,0))+C86)),1,0)</f>
        <v>0</v>
      </c>
      <c r="H86" s="8">
        <f>IF(D86&gt;(($E$22+IF($D$89=1,$C$17*$C$16,0)-(SUMPRODUCT($D$82:$D$88,$G$82:$G$88)-D86*G86))*C86/((((SUM($C$82:$C$88)-SUMPRODUCT($C$82:$C$88,$G$82:$G$88))-C86*(1-G86))+$C$14+$C$15+IF($D$89=1,$C$16,0))+C86)),1,0)</f>
        <v>0</v>
      </c>
      <c r="I86" s="14">
        <f>(($E$22+IF($D$89=1,$C$17*$C$16,0)-(SUMPRODUCT($D$82:$D$88,$H$82:$H$88)-D86*H86))*C86/((((SUM($C$82:$C$88)-SUMPRODUCT($C$82:$C$88,$H$82:$H$88))-C86*(1-H86))+$C$14+$C$15+IF($D$89=1,$C$16,0))+C86))</f>
        <v>167283594.58163548</v>
      </c>
      <c r="J86" s="14">
        <f>IF(H86=1,D86,I86)</f>
        <v>167283594.58163548</v>
      </c>
    </row>
    <row r="87" spans="2:10" x14ac:dyDescent="0.25">
      <c r="B87" s="5" t="str">
        <f>B12</f>
        <v>Series A</v>
      </c>
      <c r="C87" s="8">
        <f>C12</f>
        <v>5000000</v>
      </c>
      <c r="D87" s="14">
        <f>D12</f>
        <v>15000000</v>
      </c>
      <c r="E87" s="8">
        <f>IF(D87&gt;(($E$22+IF($D$89=1,$C$17*$C$16,0))*C87/(SUM($C$7:$C$13)+$C$14+$C$15+IF($D$89=1,$C$16,0))),1,0)</f>
        <v>0</v>
      </c>
      <c r="F87" s="8">
        <f>IF(D87&gt;(($E$22+IF($D$89=1,$C$17*$C$16,0)-(SUMPRODUCT($D$82:$D$88,$E$82:$E$88)-D87*E87))*C87/((((SUM($C$82:$C$88)-SUMPRODUCT($C$82:$C$88,$E$82:$E$88))-C87*(1-E87))+$C$14+$C$15+IF($D$89=1,$C$16,0))+C87)),1,0)</f>
        <v>0</v>
      </c>
      <c r="G87" s="8">
        <f>IF(D87&gt;(($E$22+IF($D$89=1,$C$17*$C$16,0)-(SUMPRODUCT($D$82:$D$88,$F$82:$F$88)-D87*F87))*C87/((((SUM($C$82:$C$88)-SUMPRODUCT($C$82:$C$88,$F$82:$F$88))-C87*(1-F87))+$C$14+$C$15+IF($D$89=1,$C$16,0))+C87)),1,0)</f>
        <v>0</v>
      </c>
      <c r="H87" s="8">
        <f>IF(D87&gt;(($E$22+IF($D$89=1,$C$17*$C$16,0)-(SUMPRODUCT($D$82:$D$88,$G$82:$G$88)-D87*G87))*C87/((((SUM($C$82:$C$88)-SUMPRODUCT($C$82:$C$88,$G$82:$G$88))-C87*(1-G87))+$C$14+$C$15+IF($D$89=1,$C$16,0))+C87)),1,0)</f>
        <v>0</v>
      </c>
      <c r="I87" s="14">
        <f>(($E$22+IF($D$89=1,$C$17*$C$16,0)-(SUMPRODUCT($D$82:$D$88,$H$82:$H$88)-D87*H87))*C87/((((SUM($C$82:$C$88)-SUMPRODUCT($C$82:$C$88,$H$82:$H$88))-C87*(1-H87))+$C$14+$C$15+IF($D$89=1,$C$16,0))+C87))</f>
        <v>278805990.9693925</v>
      </c>
      <c r="J87" s="14">
        <f>IF(H87=1,D87,I87)</f>
        <v>278805990.9693925</v>
      </c>
    </row>
    <row r="88" spans="2:10" x14ac:dyDescent="0.25">
      <c r="B88" s="5" t="str">
        <f>B13</f>
        <v>Seed</v>
      </c>
      <c r="C88" s="8">
        <f>C13</f>
        <v>5000000</v>
      </c>
      <c r="D88" s="14">
        <f>D13</f>
        <v>5000000</v>
      </c>
      <c r="E88" s="8">
        <f>IF(D88&gt;(($E$22+IF($D$89=1,$C$17*$C$16,0))*C88/(SUM($C$7:$C$13)+$C$14+$C$15+IF($D$89=1,$C$16,0))),1,0)</f>
        <v>0</v>
      </c>
      <c r="F88" s="8">
        <f>IF(D88&gt;(($E$22+IF($D$89=1,$C$17*$C$16,0)-(SUMPRODUCT($D$82:$D$88,$E$82:$E$88)-D88*E88))*C88/((((SUM($C$82:$C$88)-SUMPRODUCT($C$82:$C$88,$E$82:$E$88))-C88*(1-E88))+$C$14+$C$15+IF($D$89=1,$C$16,0))+C88)),1,0)</f>
        <v>0</v>
      </c>
      <c r="G88" s="8">
        <f>IF(D88&gt;(($E$22+IF($D$89=1,$C$17*$C$16,0)-(SUMPRODUCT($D$82:$D$88,$F$82:$F$88)-D88*F88))*C88/((((SUM($C$82:$C$88)-SUMPRODUCT($C$82:$C$88,$F$82:$F$88))-C88*(1-F88))+$C$14+$C$15+IF($D$89=1,$C$16,0))+C88)),1,0)</f>
        <v>0</v>
      </c>
      <c r="H88" s="8">
        <f>IF(D88&gt;(($E$22+IF($D$89=1,$C$17*$C$16,0)-(SUMPRODUCT($D$82:$D$88,$G$82:$G$88)-D88*G88))*C88/((((SUM($C$82:$C$88)-SUMPRODUCT($C$82:$C$88,$G$82:$G$88))-C88*(1-G88))+$C$14+$C$15+IF($D$89=1,$C$16,0))+C88)),1,0)</f>
        <v>0</v>
      </c>
      <c r="I88" s="14">
        <f>(($E$22+IF($D$89=1,$C$17*$C$16,0)-(SUMPRODUCT($D$82:$D$88,$H$82:$H$88)-D88*H88))*C88/((((SUM($C$82:$C$88)-SUMPRODUCT($C$82:$C$88,$H$82:$H$88))-C88*(1-H88))+$C$14+$C$15+IF($D$89=1,$C$16,0))+C88))</f>
        <v>278805990.9693925</v>
      </c>
      <c r="J88" s="14">
        <f>IF(H88=1,D88,I88)</f>
        <v>278805990.9693925</v>
      </c>
    </row>
    <row r="89" spans="2:4" x14ac:dyDescent="0.25">
      <c r="B89" s="12" t="s">
        <v>303</v>
      </c>
      <c r="C89" s="14">
        <f>($E$22+$C$17*$C$16)/(SUM($C$7:$C$13)+$C$14+$C$15+$C$16)</f>
        <v>55.85362984192984</v>
      </c>
      <c r="D89" s="8">
        <f>IF(C89&gt;$C$17,1,0)</f>
        <v>1</v>
      </c>
    </row>
    <row r="90" spans="2:10" x14ac:dyDescent="0.25">
      <c r="B90" s="5" t="s">
        <v>260</v>
      </c>
      <c r="C90" s="8">
        <f>$C$14</f>
        <v>281015.3022830847</v>
      </c>
      <c r="J90" s="14">
        <f>($E$22+IF($D$89=1,$C$17*$C$16,0)-SUMPRODUCT($D$82:$D$88,$H$82:$H$88))*$C$14/((SUM($C$82:$C$88)-SUMPRODUCT($C$82:$C$88,$H$82:$H$88))+$C$14+$C$15+IF($D$89=1,$C$16,0))</f>
        <v>15669749.96611976</v>
      </c>
    </row>
    <row r="91" spans="2:10" x14ac:dyDescent="0.25">
      <c r="B91" s="5" t="s">
        <v>304</v>
      </c>
      <c r="C91" s="8">
        <f>$C$15</f>
        <v>9000000</v>
      </c>
      <c r="J91" s="14">
        <f>($E$22+IF($D$89=1,$C$17*$C$16,0)-SUMPRODUCT($D$82:$D$88,$H$82:$H$88))*$C$15/((SUM($C$82:$C$88)-SUMPRODUCT($C$82:$C$88,$H$82:$H$88))+$C$14+$C$15+IF($D$89=1,$C$16,0))</f>
        <v>501850783.7449064</v>
      </c>
    </row>
    <row r="92" spans="2:10" x14ac:dyDescent="0.25">
      <c r="B92" s="5" t="s">
        <v>305</v>
      </c>
      <c r="C92" s="8">
        <f>$C$16</f>
        <v>2500000</v>
      </c>
      <c r="J92" s="14">
        <f>IF($D$89=1,($E$22+IF($D$89=1,$C$17*$C$16,0)-SUMPRODUCT($D$82:$D$88,$H$82:$H$88))*$C$16/((SUM($C$82:$C$88)-SUMPRODUCT($C$82:$C$88,$H$82:$H$88))+$C$14+$C$15+IF($D$89=1,$C$16,0))-$C$17*$C$16,0)</f>
        <v>136902995.48469624</v>
      </c>
    </row>
    <row r="93" spans="2:10" x14ac:dyDescent="0.25">
      <c r="B93" s="12" t="s">
        <v>306</v>
      </c>
      <c r="J93" s="34">
        <f>SUM(J82:J92)</f>
        <v>2000000000.0000002</v>
      </c>
    </row>
    <row r="94" spans="2:10" x14ac:dyDescent="0.25">
      <c r="B94" s="5" t="s">
        <v>197</v>
      </c>
      <c r="J94" s="22">
        <f>ROUND(J93-$E$22,2)</f>
        <v>0</v>
      </c>
    </row>
    <row r="95" spans="2:11" x14ac:dyDescent="0.25">
      <c r="B95" s="23" t="s">
        <v>309</v>
      </c>
      <c r="C95" s="24"/>
      <c r="D95" s="24"/>
      <c r="E95" s="24"/>
      <c r="F95" s="24"/>
      <c r="G95" s="24"/>
      <c r="H95" s="24"/>
      <c r="I95" s="24"/>
      <c r="J95" s="24"/>
      <c r="K95" s="24"/>
    </row>
    <row r="96" spans="2:10" x14ac:dyDescent="0.25">
      <c r="B96" s="13" t="s">
        <v>97</v>
      </c>
      <c r="C96" s="13" t="s">
        <v>251</v>
      </c>
      <c r="D96" s="13" t="s">
        <v>252</v>
      </c>
      <c r="E96" s="13" t="s">
        <v>297</v>
      </c>
      <c r="F96" s="13" t="s">
        <v>298</v>
      </c>
      <c r="G96" s="13" t="s">
        <v>299</v>
      </c>
      <c r="H96" s="13" t="s">
        <v>300</v>
      </c>
      <c r="I96" s="13" t="s">
        <v>301</v>
      </c>
      <c r="J96" s="13" t="s">
        <v>302</v>
      </c>
    </row>
    <row r="97" spans="2:10" x14ac:dyDescent="0.25">
      <c r="B97" s="5" t="str">
        <f>B7</f>
        <v>Series F</v>
      </c>
      <c r="C97" s="8">
        <f>C7</f>
        <v>803315.0763251084</v>
      </c>
      <c r="D97" s="14">
        <f>D7</f>
        <v>30000000</v>
      </c>
      <c r="E97" s="8">
        <f>IF(D97&gt;(($F$22+IF($D$104=1,$C$17*$C$16,0))*C97/(SUM($C$7:$C$13)+$C$14+$C$15+IF($D$104=1,$C$16,0))),1,0)</f>
        <v>0</v>
      </c>
      <c r="F97" s="8">
        <f>IF(D97&gt;(($F$22+IF($D$104=1,$C$17*$C$16,0)-(SUMPRODUCT($D$97:$D$103,$E$97:$E$103)-D97*E97))*C97/((((SUM($C$97:$C$103)-SUMPRODUCT($C$97:$C$103,$E$97:$E$103))-C97*(1-E97))+$C$14+$C$15+IF($D$104=1,$C$16,0))+C97)),1,0)</f>
        <v>0</v>
      </c>
      <c r="G97" s="8">
        <f>IF(D97&gt;(($F$22+IF($D$104=1,$C$17*$C$16,0)-(SUMPRODUCT($D$97:$D$103,$F$97:$F$103)-D97*F97))*C97/((((SUM($C$97:$C$103)-SUMPRODUCT($C$97:$C$103,$F$97:$F$103))-C97*(1-F97))+$C$14+$C$15+IF($D$104=1,$C$16,0))+C97)),1,0)</f>
        <v>0</v>
      </c>
      <c r="H97" s="8">
        <f>IF(D97&gt;(($F$22+IF($D$104=1,$C$17*$C$16,0)-(SUMPRODUCT($D$97:$D$103,$G$97:$G$103)-D97*G97))*C97/((((SUM($C$97:$C$103)-SUMPRODUCT($C$97:$C$103,$G$97:$G$103))-C97*(1-G97))+$C$14+$C$15+IF($D$104=1,$C$16,0))+C97)),1,0)</f>
        <v>0</v>
      </c>
      <c r="I97" s="14">
        <f>(($F$22+IF($D$104=1,$C$17*$C$16,0)-(SUMPRODUCT($D$97:$D$103,$H$97:$H$103)-D97*H97))*C97/((((SUM($C$97:$C$103)-SUMPRODUCT($C$97:$C$103,$H$97:$H$103))-C97*(1-H97))+$C$14+$C$15+IF($D$104=1,$C$16,0))+C97))</f>
        <v>89680110.77918385</v>
      </c>
      <c r="J97" s="14">
        <f>IF(H97=1,D97,I97)</f>
        <v>89680110.77918385</v>
      </c>
    </row>
    <row r="98" spans="2:10" x14ac:dyDescent="0.25">
      <c r="B98" s="5" t="str">
        <f>B8</f>
        <v>Series E</v>
      </c>
      <c r="C98" s="8">
        <f>C8</f>
        <v>6134376.92364734</v>
      </c>
      <c r="D98" s="14">
        <f>D8</f>
        <v>300000000</v>
      </c>
      <c r="E98" s="8">
        <f>IF(D98&gt;(($F$22+IF($D$104=1,$C$17*$C$16,0))*C98/(SUM($C$7:$C$13)+$C$14+$C$15+IF($D$104=1,$C$16,0))),1,0)</f>
        <v>0</v>
      </c>
      <c r="F98" s="8">
        <f>IF(D98&gt;(($F$22+IF($D$104=1,$C$17*$C$16,0)-(SUMPRODUCT($D$97:$D$103,$E$97:$E$103)-D98*E98))*C98/((((SUM($C$97:$C$103)-SUMPRODUCT($C$97:$C$103,$E$97:$E$103))-C98*(1-E98))+$C$14+$C$15+IF($D$104=1,$C$16,0))+C98)),1,0)</f>
        <v>0</v>
      </c>
      <c r="G98" s="8">
        <f>IF(D98&gt;(($F$22+IF($D$104=1,$C$17*$C$16,0)-(SUMPRODUCT($D$97:$D$103,$F$97:$F$103)-D98*F98))*C98/((((SUM($C$97:$C$103)-SUMPRODUCT($C$97:$C$103,$F$97:$F$103))-C98*(1-F98))+$C$14+$C$15+IF($D$104=1,$C$16,0))+C98)),1,0)</f>
        <v>0</v>
      </c>
      <c r="H98" s="8">
        <f>IF(D98&gt;(($F$22+IF($D$104=1,$C$17*$C$16,0)-(SUMPRODUCT($D$97:$D$103,$G$97:$G$103)-D98*G98))*C98/((((SUM($C$97:$C$103)-SUMPRODUCT($C$97:$C$103,$G$97:$G$103))-C98*(1-G98))+$C$14+$C$15+IF($D$104=1,$C$16,0))+C98)),1,0)</f>
        <v>0</v>
      </c>
      <c r="I98" s="14">
        <f>(($F$22+IF($D$104=1,$C$17*$C$16,0)-(SUMPRODUCT($D$97:$D$103,$H$97:$H$103)-D98*H98))*C98/((((SUM($C$97:$C$103)-SUMPRODUCT($C$97:$C$103,$H$97:$H$103))-C98*(1-H98))+$C$14+$C$15+IF($D$104=1,$C$16,0))+C98))</f>
        <v>684826686.6727141</v>
      </c>
      <c r="J98" s="14">
        <f>IF(H98=1,D98,I98)</f>
        <v>684826686.6727141</v>
      </c>
    </row>
    <row r="99" spans="2:10" x14ac:dyDescent="0.25">
      <c r="B99" s="5" t="str">
        <f>B9</f>
        <v>Series D</v>
      </c>
      <c r="C99" s="8">
        <f>C9</f>
        <v>1733931.2042700483</v>
      </c>
      <c r="D99" s="14">
        <f>D9</f>
        <v>100000000</v>
      </c>
      <c r="E99" s="8">
        <f>IF(D99&gt;(($F$22+IF($D$104=1,$C$17*$C$16,0))*C99/(SUM($C$7:$C$13)+$C$14+$C$15+IF($D$104=1,$C$16,0))),1,0)</f>
        <v>0</v>
      </c>
      <c r="F99" s="8">
        <f>IF(D99&gt;(($F$22+IF($D$104=1,$C$17*$C$16,0)-(SUMPRODUCT($D$97:$D$103,$E$97:$E$103)-D99*E99))*C99/((((SUM($C$97:$C$103)-SUMPRODUCT($C$97:$C$103,$E$97:$E$103))-C99*(1-E99))+$C$14+$C$15+IF($D$104=1,$C$16,0))+C99)),1,0)</f>
        <v>0</v>
      </c>
      <c r="G99" s="8">
        <f>IF(D99&gt;(($F$22+IF($D$104=1,$C$17*$C$16,0)-(SUMPRODUCT($D$97:$D$103,$F$97:$F$103)-D99*F99))*C99/((((SUM($C$97:$C$103)-SUMPRODUCT($C$97:$C$103,$F$97:$F$103))-C99*(1-F99))+$C$14+$C$15+IF($D$104=1,$C$16,0))+C99)),1,0)</f>
        <v>0</v>
      </c>
      <c r="H99" s="8">
        <f>IF(D99&gt;(($F$22+IF($D$104=1,$C$17*$C$16,0)-(SUMPRODUCT($D$97:$D$103,$G$97:$G$103)-D99*G99))*C99/((((SUM($C$97:$C$103)-SUMPRODUCT($C$97:$C$103,$G$97:$G$103))-C99*(1-G99))+$C$14+$C$15+IF($D$104=1,$C$16,0))+C99)),1,0)</f>
        <v>0</v>
      </c>
      <c r="I99" s="14">
        <f>(($F$22+IF($D$104=1,$C$17*$C$16,0)-(SUMPRODUCT($D$97:$D$103,$H$97:$H$103)-D99*H99))*C99/((((SUM($C$97:$C$103)-SUMPRODUCT($C$97:$C$103,$H$97:$H$103))-C99*(1-H99))+$C$14+$C$15+IF($D$104=1,$C$16,0))+C99))</f>
        <v>193571796.5032811</v>
      </c>
      <c r="J99" s="14">
        <f>IF(H99=1,D99,I99)</f>
        <v>193571796.5032811</v>
      </c>
    </row>
    <row r="100" spans="2:10" x14ac:dyDescent="0.25">
      <c r="B100" s="5" t="str">
        <f>B10</f>
        <v>Series C</v>
      </c>
      <c r="C100" s="8">
        <f>C10</f>
        <v>2400000</v>
      </c>
      <c r="D100" s="14">
        <f>D10</f>
        <v>60000000</v>
      </c>
      <c r="E100" s="8">
        <f>IF(D100&gt;(($F$22+IF($D$104=1,$C$17*$C$16,0))*C100/(SUM($C$7:$C$13)+$C$14+$C$15+IF($D$104=1,$C$16,0))),1,0)</f>
        <v>0</v>
      </c>
      <c r="F100" s="8">
        <f>IF(D100&gt;(($F$22+IF($D$104=1,$C$17*$C$16,0)-(SUMPRODUCT($D$97:$D$103,$E$97:$E$103)-D100*E100))*C100/((((SUM($C$97:$C$103)-SUMPRODUCT($C$97:$C$103,$E$97:$E$103))-C100*(1-E100))+$C$14+$C$15+IF($D$104=1,$C$16,0))+C100)),1,0)</f>
        <v>0</v>
      </c>
      <c r="G100" s="8">
        <f>IF(D100&gt;(($F$22+IF($D$104=1,$C$17*$C$16,0)-(SUMPRODUCT($D$97:$D$103,$F$97:$F$103)-D100*F100))*C100/((((SUM($C$97:$C$103)-SUMPRODUCT($C$97:$C$103,$F$97:$F$103))-C100*(1-F100))+$C$14+$C$15+IF($D$104=1,$C$16,0))+C100)),1,0)</f>
        <v>0</v>
      </c>
      <c r="H100" s="8">
        <f>IF(D100&gt;(($F$22+IF($D$104=1,$C$17*$C$16,0)-(SUMPRODUCT($D$97:$D$103,$G$97:$G$103)-D100*G100))*C100/((((SUM($C$97:$C$103)-SUMPRODUCT($C$97:$C$103,$G$97:$G$103))-C100*(1-G100))+$C$14+$C$15+IF($D$104=1,$C$16,0))+C100)),1,0)</f>
        <v>0</v>
      </c>
      <c r="I100" s="14">
        <f>(($F$22+IF($D$104=1,$C$17*$C$16,0)-(SUMPRODUCT($D$97:$D$103,$H$97:$H$103)-D100*H100))*C100/((((SUM($C$97:$C$103)-SUMPRODUCT($C$97:$C$103,$H$97:$H$103))-C100*(1-H100))+$C$14+$C$15+IF($D$104=1,$C$16,0))+C100))</f>
        <v>267930071.54136232</v>
      </c>
      <c r="J100" s="14">
        <f>IF(H100=1,D100,I100)</f>
        <v>267930071.54136232</v>
      </c>
    </row>
    <row r="101" spans="2:10" x14ac:dyDescent="0.25">
      <c r="B101" s="5" t="str">
        <f>B11</f>
        <v>Series B</v>
      </c>
      <c r="C101" s="8">
        <f>C11</f>
        <v>3000000</v>
      </c>
      <c r="D101" s="14">
        <f>D11</f>
        <v>30000000</v>
      </c>
      <c r="E101" s="8">
        <f>IF(D101&gt;(($F$22+IF($D$104=1,$C$17*$C$16,0))*C101/(SUM($C$7:$C$13)+$C$14+$C$15+IF($D$104=1,$C$16,0))),1,0)</f>
        <v>0</v>
      </c>
      <c r="F101" s="8">
        <f>IF(D101&gt;(($F$22+IF($D$104=1,$C$17*$C$16,0)-(SUMPRODUCT($D$97:$D$103,$E$97:$E$103)-D101*E101))*C101/((((SUM($C$97:$C$103)-SUMPRODUCT($C$97:$C$103,$E$97:$E$103))-C101*(1-E101))+$C$14+$C$15+IF($D$104=1,$C$16,0))+C101)),1,0)</f>
        <v>0</v>
      </c>
      <c r="G101" s="8">
        <f>IF(D101&gt;(($F$22+IF($D$104=1,$C$17*$C$16,0)-(SUMPRODUCT($D$97:$D$103,$F$97:$F$103)-D101*F101))*C101/((((SUM($C$97:$C$103)-SUMPRODUCT($C$97:$C$103,$F$97:$F$103))-C101*(1-F101))+$C$14+$C$15+IF($D$104=1,$C$16,0))+C101)),1,0)</f>
        <v>0</v>
      </c>
      <c r="H101" s="8">
        <f>IF(D101&gt;(($F$22+IF($D$104=1,$C$17*$C$16,0)-(SUMPRODUCT($D$97:$D$103,$G$97:$G$103)-D101*G101))*C101/((((SUM($C$97:$C$103)-SUMPRODUCT($C$97:$C$103,$G$97:$G$103))-C101*(1-G101))+$C$14+$C$15+IF($D$104=1,$C$16,0))+C101)),1,0)</f>
        <v>0</v>
      </c>
      <c r="I101" s="14">
        <f>(($F$22+IF($D$104=1,$C$17*$C$16,0)-(SUMPRODUCT($D$97:$D$103,$H$97:$H$103)-D101*H101))*C101/((((SUM($C$97:$C$103)-SUMPRODUCT($C$97:$C$103,$H$97:$H$103))-C101*(1-H101))+$C$14+$C$15+IF($D$104=1,$C$16,0))+C101))</f>
        <v>334912589.4267029</v>
      </c>
      <c r="J101" s="14">
        <f>IF(H101=1,D101,I101)</f>
        <v>334912589.4267029</v>
      </c>
    </row>
    <row r="102" spans="2:10" x14ac:dyDescent="0.25">
      <c r="B102" s="5" t="str">
        <f>B12</f>
        <v>Series A</v>
      </c>
      <c r="C102" s="8">
        <f>C12</f>
        <v>5000000</v>
      </c>
      <c r="D102" s="14">
        <f>D12</f>
        <v>15000000</v>
      </c>
      <c r="E102" s="8">
        <f>IF(D102&gt;(($F$22+IF($D$104=1,$C$17*$C$16,0))*C102/(SUM($C$7:$C$13)+$C$14+$C$15+IF($D$104=1,$C$16,0))),1,0)</f>
        <v>0</v>
      </c>
      <c r="F102" s="8">
        <f>IF(D102&gt;(($F$22+IF($D$104=1,$C$17*$C$16,0)-(SUMPRODUCT($D$97:$D$103,$E$97:$E$103)-D102*E102))*C102/((((SUM($C$97:$C$103)-SUMPRODUCT($C$97:$C$103,$E$97:$E$103))-C102*(1-E102))+$C$14+$C$15+IF($D$104=1,$C$16,0))+C102)),1,0)</f>
        <v>0</v>
      </c>
      <c r="G102" s="8">
        <f>IF(D102&gt;(($F$22+IF($D$104=1,$C$17*$C$16,0)-(SUMPRODUCT($D$97:$D$103,$F$97:$F$103)-D102*F102))*C102/((((SUM($C$97:$C$103)-SUMPRODUCT($C$97:$C$103,$F$97:$F$103))-C102*(1-F102))+$C$14+$C$15+IF($D$104=1,$C$16,0))+C102)),1,0)</f>
        <v>0</v>
      </c>
      <c r="H102" s="8">
        <f>IF(D102&gt;(($F$22+IF($D$104=1,$C$17*$C$16,0)-(SUMPRODUCT($D$97:$D$103,$G$97:$G$103)-D102*G102))*C102/((((SUM($C$97:$C$103)-SUMPRODUCT($C$97:$C$103,$G$97:$G$103))-C102*(1-G102))+$C$14+$C$15+IF($D$104=1,$C$16,0))+C102)),1,0)</f>
        <v>0</v>
      </c>
      <c r="I102" s="14">
        <f>(($F$22+IF($D$104=1,$C$17*$C$16,0)-(SUMPRODUCT($D$97:$D$103,$H$97:$H$103)-D102*H102))*C102/((((SUM($C$97:$C$103)-SUMPRODUCT($C$97:$C$103,$H$97:$H$103))-C102*(1-H102))+$C$14+$C$15+IF($D$104=1,$C$16,0))+C102))</f>
        <v>558187649.0445049</v>
      </c>
      <c r="J102" s="14">
        <f>IF(H102=1,D102,I102)</f>
        <v>558187649.0445049</v>
      </c>
    </row>
    <row r="103" spans="2:10" x14ac:dyDescent="0.25">
      <c r="B103" s="5" t="str">
        <f>B13</f>
        <v>Seed</v>
      </c>
      <c r="C103" s="8">
        <f>C13</f>
        <v>5000000</v>
      </c>
      <c r="D103" s="14">
        <f>D13</f>
        <v>5000000</v>
      </c>
      <c r="E103" s="8">
        <f>IF(D103&gt;(($F$22+IF($D$104=1,$C$17*$C$16,0))*C103/(SUM($C$7:$C$13)+$C$14+$C$15+IF($D$104=1,$C$16,0))),1,0)</f>
        <v>0</v>
      </c>
      <c r="F103" s="8">
        <f>IF(D103&gt;(($F$22+IF($D$104=1,$C$17*$C$16,0)-(SUMPRODUCT($D$97:$D$103,$E$97:$E$103)-D103*E103))*C103/((((SUM($C$97:$C$103)-SUMPRODUCT($C$97:$C$103,$E$97:$E$103))-C103*(1-E103))+$C$14+$C$15+IF($D$104=1,$C$16,0))+C103)),1,0)</f>
        <v>0</v>
      </c>
      <c r="G103" s="8">
        <f>IF(D103&gt;(($F$22+IF($D$104=1,$C$17*$C$16,0)-(SUMPRODUCT($D$97:$D$103,$F$97:$F$103)-D103*F103))*C103/((((SUM($C$97:$C$103)-SUMPRODUCT($C$97:$C$103,$F$97:$F$103))-C103*(1-F103))+$C$14+$C$15+IF($D$104=1,$C$16,0))+C103)),1,0)</f>
        <v>0</v>
      </c>
      <c r="H103" s="8">
        <f>IF(D103&gt;(($F$22+IF($D$104=1,$C$17*$C$16,0)-(SUMPRODUCT($D$97:$D$103,$G$97:$G$103)-D103*G103))*C103/((((SUM($C$97:$C$103)-SUMPRODUCT($C$97:$C$103,$G$97:$G$103))-C103*(1-G103))+$C$14+$C$15+IF($D$104=1,$C$16,0))+C103)),1,0)</f>
        <v>0</v>
      </c>
      <c r="I103" s="14">
        <f>(($F$22+IF($D$104=1,$C$17*$C$16,0)-(SUMPRODUCT($D$97:$D$103,$H$97:$H$103)-D103*H103))*C103/((((SUM($C$97:$C$103)-SUMPRODUCT($C$97:$C$103,$H$97:$H$103))-C103*(1-H103))+$C$14+$C$15+IF($D$104=1,$C$16,0))+C103))</f>
        <v>558187649.0445049</v>
      </c>
      <c r="J103" s="14">
        <f>IF(H103=1,D103,I103)</f>
        <v>558187649.0445049</v>
      </c>
    </row>
    <row r="104" spans="2:4" x14ac:dyDescent="0.25">
      <c r="B104" s="12" t="s">
        <v>303</v>
      </c>
      <c r="C104" s="14">
        <f>($F$22+$C$17*$C$16)/(SUM($C$7:$C$13)+$C$14+$C$15+$C$16)</f>
        <v>111.63752980890096</v>
      </c>
      <c r="D104" s="8">
        <f>IF(C104&gt;$C$17,1,0)</f>
        <v>1</v>
      </c>
    </row>
    <row r="105" spans="2:10" x14ac:dyDescent="0.25">
      <c r="B105" s="5" t="s">
        <v>260</v>
      </c>
      <c r="C105" s="8">
        <f>$C$14</f>
        <v>281015.3022830847</v>
      </c>
      <c r="J105" s="14">
        <f>($F$22+IF($D$104=1,$C$17*$C$16,0)-SUMPRODUCT($D$97:$D$103,$H$97:$H$103))*$C$14/((SUM($C$97:$C$103)-SUMPRODUCT($C$97:$C$103,$H$97:$H$103))+$C$14+$C$15+IF($D$104=1,$C$16,0))</f>
        <v>31371854.185385182</v>
      </c>
    </row>
    <row r="106" spans="2:10" x14ac:dyDescent="0.25">
      <c r="B106" s="5" t="s">
        <v>304</v>
      </c>
      <c r="C106" s="8">
        <f>$C$15</f>
        <v>9000000</v>
      </c>
      <c r="J106" s="14">
        <f>($F$22+IF($D$104=1,$C$17*$C$16,0)-SUMPRODUCT($D$97:$D$103,$H$97:$H$103))*$C$15/((SUM($C$97:$C$103)-SUMPRODUCT($C$97:$C$103,$H$97:$H$103))+$C$14+$C$15+IF($D$104=1,$C$16,0))</f>
        <v>1004737768.2801087</v>
      </c>
    </row>
    <row r="107" spans="2:10" x14ac:dyDescent="0.25">
      <c r="B107" s="5" t="s">
        <v>305</v>
      </c>
      <c r="C107" s="8">
        <f>$C$16</f>
        <v>2500000</v>
      </c>
      <c r="J107" s="14">
        <f>IF($D$104=1,($F$22+IF($D$104=1,$C$17*$C$16,0)-SUMPRODUCT($D$97:$D$103,$H$97:$H$103))*$C$16/((SUM($C$97:$C$103)-SUMPRODUCT($C$97:$C$103,$H$97:$H$103))+$C$14+$C$15+IF($D$104=1,$C$16,0))-$C$17*$C$16,0)</f>
        <v>276593824.52225244</v>
      </c>
    </row>
    <row r="108" spans="2:10" x14ac:dyDescent="0.25">
      <c r="B108" s="12" t="s">
        <v>306</v>
      </c>
      <c r="J108" s="34">
        <f>SUM(J97:J107)</f>
        <v>4000000000.0000005</v>
      </c>
    </row>
    <row r="109" spans="2:10" x14ac:dyDescent="0.25">
      <c r="B109" s="5" t="s">
        <v>197</v>
      </c>
      <c r="J109" s="22">
        <f>ROUND(J108-$F$22,2)</f>
        <v>0</v>
      </c>
    </row>
    <row r="110" spans="2:11" x14ac:dyDescent="0.25">
      <c r="B110" s="23" t="s">
        <v>310</v>
      </c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2:10" x14ac:dyDescent="0.25">
      <c r="B111" s="13" t="s">
        <v>97</v>
      </c>
      <c r="C111" s="13" t="s">
        <v>251</v>
      </c>
      <c r="D111" s="13" t="s">
        <v>252</v>
      </c>
      <c r="E111" s="13" t="s">
        <v>297</v>
      </c>
      <c r="F111" s="13" t="s">
        <v>298</v>
      </c>
      <c r="G111" s="13" t="s">
        <v>299</v>
      </c>
      <c r="H111" s="13" t="s">
        <v>300</v>
      </c>
      <c r="I111" s="13" t="s">
        <v>301</v>
      </c>
      <c r="J111" s="13" t="s">
        <v>302</v>
      </c>
    </row>
    <row r="112" spans="2:10" x14ac:dyDescent="0.25">
      <c r="B112" s="5" t="str">
        <f>B7</f>
        <v>Series F</v>
      </c>
      <c r="C112" s="8">
        <f>C7</f>
        <v>803315.0763251084</v>
      </c>
      <c r="D112" s="14">
        <f>D7</f>
        <v>30000000</v>
      </c>
      <c r="E112" s="8">
        <f>IF(D112&gt;(($G$22+IF($D$119=1,$C$17*$C$16,0))*C112/(SUM($C$7:$C$13)+$C$14+$C$15+IF($D$119=1,$C$16,0))),1,0)</f>
        <v>0</v>
      </c>
      <c r="F112" s="8">
        <f>IF(D112&gt;(($G$22+IF($D$119=1,$C$17*$C$16,0)-(SUMPRODUCT($D$112:$D$118,$E$112:$E$118)-D112*E112))*C112/((((SUM($C$112:$C$118)-SUMPRODUCT($C$112:$C$118,$E$112:$E$118))-C112*(1-E112))+$C$14+$C$15+IF($D$119=1,$C$16,0))+C112)),1,0)</f>
        <v>0</v>
      </c>
      <c r="G112" s="8">
        <f>IF(D112&gt;(($G$22+IF($D$119=1,$C$17*$C$16,0)-(SUMPRODUCT($D$112:$D$118,$F$112:$F$118)-D112*F112))*C112/((((SUM($C$112:$C$118)-SUMPRODUCT($C$112:$C$118,$F$112:$F$118))-C112*(1-F112))+$C$14+$C$15+IF($D$119=1,$C$16,0))+C112)),1,0)</f>
        <v>0</v>
      </c>
      <c r="H112" s="8">
        <f>IF(D112&gt;(($G$22+IF($D$119=1,$C$17*$C$16,0)-(SUMPRODUCT($D$112:$D$118,$G$112:$G$118)-D112*G112))*C112/((((SUM($C$112:$C$118)-SUMPRODUCT($C$112:$C$118,$G$112:$G$118))-C112*(1-G112))+$C$14+$C$15+IF($D$119=1,$C$16,0))+C112)),1,0)</f>
        <v>0</v>
      </c>
      <c r="I112" s="14">
        <f>(($G$22+IF($D$119=1,$C$17*$C$16,0)-(SUMPRODUCT($D$112:$D$118,$H$112:$H$118)-D112*H112))*C112/((((SUM($C$112:$C$118)-SUMPRODUCT($C$112:$C$118,$H$112:$H$118))-C112*(1-H112))+$C$14+$C$15+IF($D$119=1,$C$16,0))+C112))</f>
        <v>179304206.4985431</v>
      </c>
      <c r="J112" s="14">
        <f>IF(H112=1,D112,I112)</f>
        <v>179304206.4985431</v>
      </c>
    </row>
    <row r="113" spans="2:10" x14ac:dyDescent="0.25">
      <c r="B113" s="5" t="str">
        <f>B8</f>
        <v>Series E</v>
      </c>
      <c r="C113" s="8">
        <f>C8</f>
        <v>6134376.92364734</v>
      </c>
      <c r="D113" s="14">
        <f>D8</f>
        <v>300000000</v>
      </c>
      <c r="E113" s="8">
        <f>IF(D113&gt;(($G$22+IF($D$119=1,$C$17*$C$16,0))*C113/(SUM($C$7:$C$13)+$C$14+$C$15+IF($D$119=1,$C$16,0))),1,0)</f>
        <v>0</v>
      </c>
      <c r="F113" s="8">
        <f>IF(D113&gt;(($G$22+IF($D$119=1,$C$17*$C$16,0)-(SUMPRODUCT($D$112:$D$118,$E$112:$E$118)-D113*E113))*C113/((((SUM($C$112:$C$118)-SUMPRODUCT($C$112:$C$118,$E$112:$E$118))-C113*(1-E113))+$C$14+$C$15+IF($D$119=1,$C$16,0))+C113)),1,0)</f>
        <v>0</v>
      </c>
      <c r="G113" s="8">
        <f>IF(D113&gt;(($G$22+IF($D$119=1,$C$17*$C$16,0)-(SUMPRODUCT($D$112:$D$118,$F$112:$F$118)-D113*F113))*C113/((((SUM($C$112:$C$118)-SUMPRODUCT($C$112:$C$118,$F$112:$F$118))-C113*(1-F113))+$C$14+$C$15+IF($D$119=1,$C$16,0))+C113)),1,0)</f>
        <v>0</v>
      </c>
      <c r="H113" s="8">
        <f>IF(D113&gt;(($G$22+IF($D$119=1,$C$17*$C$16,0)-(SUMPRODUCT($D$112:$D$118,$G$112:$G$118)-D113*G113))*C113/((((SUM($C$112:$C$118)-SUMPRODUCT($C$112:$C$118,$G$112:$G$118))-C113*(1-G113))+$C$14+$C$15+IF($D$119=1,$C$16,0))+C113)),1,0)</f>
        <v>0</v>
      </c>
      <c r="I113" s="14">
        <f>(($G$22+IF($D$119=1,$C$17*$C$16,0)-(SUMPRODUCT($D$112:$D$118,$H$112:$H$118)-D113*H113))*C113/((((SUM($C$112:$C$118)-SUMPRODUCT($C$112:$C$118,$H$112:$H$118))-C113*(1-H113))+$C$14+$C$15+IF($D$119=1,$C$16,0))+C113))</f>
        <v>1369225624.0095928</v>
      </c>
      <c r="J113" s="14">
        <f>IF(H113=1,D113,I113)</f>
        <v>1369225624.0095928</v>
      </c>
    </row>
    <row r="114" spans="2:10" x14ac:dyDescent="0.25">
      <c r="B114" s="5" t="str">
        <f>B9</f>
        <v>Series D</v>
      </c>
      <c r="C114" s="8">
        <f>C9</f>
        <v>1733931.2042700483</v>
      </c>
      <c r="D114" s="14">
        <f>D9</f>
        <v>100000000</v>
      </c>
      <c r="E114" s="8">
        <f>IF(D114&gt;(($G$22+IF($D$119=1,$C$17*$C$16,0))*C114/(SUM($C$7:$C$13)+$C$14+$C$15+IF($D$119=1,$C$16,0))),1,0)</f>
        <v>0</v>
      </c>
      <c r="F114" s="8">
        <f>IF(D114&gt;(($G$22+IF($D$119=1,$C$17*$C$16,0)-(SUMPRODUCT($D$112:$D$118,$E$112:$E$118)-D114*E114))*C114/((((SUM($C$112:$C$118)-SUMPRODUCT($C$112:$C$118,$E$112:$E$118))-C114*(1-E114))+$C$14+$C$15+IF($D$119=1,$C$16,0))+C114)),1,0)</f>
        <v>0</v>
      </c>
      <c r="G114" s="8">
        <f>IF(D114&gt;(($G$22+IF($D$119=1,$C$17*$C$16,0)-(SUMPRODUCT($D$112:$D$118,$F$112:$F$118)-D114*F114))*C114/((((SUM($C$112:$C$118)-SUMPRODUCT($C$112:$C$118,$F$112:$F$118))-C114*(1-F114))+$C$14+$C$15+IF($D$119=1,$C$16,0))+C114)),1,0)</f>
        <v>0</v>
      </c>
      <c r="H114" s="8">
        <f>IF(D114&gt;(($G$22+IF($D$119=1,$C$17*$C$16,0)-(SUMPRODUCT($D$112:$D$118,$G$112:$G$118)-D114*G114))*C114/((((SUM($C$112:$C$118)-SUMPRODUCT($C$112:$C$118,$G$112:$G$118))-C114*(1-G114))+$C$14+$C$15+IF($D$119=1,$C$16,0))+C114)),1,0)</f>
        <v>0</v>
      </c>
      <c r="I114" s="14">
        <f>(($G$22+IF($D$119=1,$C$17*$C$16,0)-(SUMPRODUCT($D$112:$D$118,$H$112:$H$118)-D114*H114))*C114/((((SUM($C$112:$C$118)-SUMPRODUCT($C$112:$C$118,$H$112:$H$118))-C114*(1-H114))+$C$14+$C$15+IF($D$119=1,$C$16,0))+C114))</f>
        <v>387022686.20050144</v>
      </c>
      <c r="J114" s="14">
        <f>IF(H114=1,D114,I114)</f>
        <v>387022686.20050144</v>
      </c>
    </row>
    <row r="115" spans="2:10" x14ac:dyDescent="0.25">
      <c r="B115" s="5" t="str">
        <f>B10</f>
        <v>Series C</v>
      </c>
      <c r="C115" s="8">
        <f>C10</f>
        <v>2400000</v>
      </c>
      <c r="D115" s="14">
        <f>D10</f>
        <v>60000000</v>
      </c>
      <c r="E115" s="8">
        <f>IF(D115&gt;(($G$22+IF($D$119=1,$C$17*$C$16,0))*C115/(SUM($C$7:$C$13)+$C$14+$C$15+IF($D$119=1,$C$16,0))),1,0)</f>
        <v>0</v>
      </c>
      <c r="F115" s="8">
        <f>IF(D115&gt;(($G$22+IF($D$119=1,$C$17*$C$16,0)-(SUMPRODUCT($D$112:$D$118,$E$112:$E$118)-D115*E115))*C115/((((SUM($C$112:$C$118)-SUMPRODUCT($C$112:$C$118,$E$112:$E$118))-C115*(1-E115))+$C$14+$C$15+IF($D$119=1,$C$16,0))+C115)),1,0)</f>
        <v>0</v>
      </c>
      <c r="G115" s="8">
        <f>IF(D115&gt;(($G$22+IF($D$119=1,$C$17*$C$16,0)-(SUMPRODUCT($D$112:$D$118,$F$112:$F$118)-D115*F115))*C115/((((SUM($C$112:$C$118)-SUMPRODUCT($C$112:$C$118,$F$112:$F$118))-C115*(1-F115))+$C$14+$C$15+IF($D$119=1,$C$16,0))+C115)),1,0)</f>
        <v>0</v>
      </c>
      <c r="H115" s="8">
        <f>IF(D115&gt;(($G$22+IF($D$119=1,$C$17*$C$16,0)-(SUMPRODUCT($D$112:$D$118,$G$112:$G$118)-D115*G115))*C115/((((SUM($C$112:$C$118)-SUMPRODUCT($C$112:$C$118,$G$112:$G$118))-C115*(1-G115))+$C$14+$C$15+IF($D$119=1,$C$16,0))+C115)),1,0)</f>
        <v>0</v>
      </c>
      <c r="I115" s="14">
        <f>(($G$22+IF($D$119=1,$C$17*$C$16,0)-(SUMPRODUCT($D$112:$D$118,$H$112:$H$118)-D115*H115))*C115/((((SUM($C$112:$C$118)-SUMPRODUCT($C$112:$C$118,$H$112:$H$118))-C115*(1-H115))+$C$14+$C$15+IF($D$119=1,$C$16,0))+C115))</f>
        <v>535692791.3828237</v>
      </c>
      <c r="J115" s="14">
        <f>IF(H115=1,D115,I115)</f>
        <v>535692791.3828237</v>
      </c>
    </row>
    <row r="116" spans="2:10" x14ac:dyDescent="0.25">
      <c r="B116" s="5" t="str">
        <f>B11</f>
        <v>Series B</v>
      </c>
      <c r="C116" s="8">
        <f>C11</f>
        <v>3000000</v>
      </c>
      <c r="D116" s="14">
        <f>D11</f>
        <v>30000000</v>
      </c>
      <c r="E116" s="8">
        <f>IF(D116&gt;(($G$22+IF($D$119=1,$C$17*$C$16,0))*C116/(SUM($C$7:$C$13)+$C$14+$C$15+IF($D$119=1,$C$16,0))),1,0)</f>
        <v>0</v>
      </c>
      <c r="F116" s="8">
        <f>IF(D116&gt;(($G$22+IF($D$119=1,$C$17*$C$16,0)-(SUMPRODUCT($D$112:$D$118,$E$112:$E$118)-D116*E116))*C116/((((SUM($C$112:$C$118)-SUMPRODUCT($C$112:$C$118,$E$112:$E$118))-C116*(1-E116))+$C$14+$C$15+IF($D$119=1,$C$16,0))+C116)),1,0)</f>
        <v>0</v>
      </c>
      <c r="G116" s="8">
        <f>IF(D116&gt;(($G$22+IF($D$119=1,$C$17*$C$16,0)-(SUMPRODUCT($D$112:$D$118,$F$112:$F$118)-D116*F116))*C116/((((SUM($C$112:$C$118)-SUMPRODUCT($C$112:$C$118,$F$112:$F$118))-C116*(1-F116))+$C$14+$C$15+IF($D$119=1,$C$16,0))+C116)),1,0)</f>
        <v>0</v>
      </c>
      <c r="H116" s="8">
        <f>IF(D116&gt;(($G$22+IF($D$119=1,$C$17*$C$16,0)-(SUMPRODUCT($D$112:$D$118,$G$112:$G$118)-D116*G116))*C116/((((SUM($C$112:$C$118)-SUMPRODUCT($C$112:$C$118,$G$112:$G$118))-C116*(1-G116))+$C$14+$C$15+IF($D$119=1,$C$16,0))+C116)),1,0)</f>
        <v>0</v>
      </c>
      <c r="I116" s="14">
        <f>(($G$22+IF($D$119=1,$C$17*$C$16,0)-(SUMPRODUCT($D$112:$D$118,$H$112:$H$118)-D116*H116))*C116/((((SUM($C$112:$C$118)-SUMPRODUCT($C$112:$C$118,$H$112:$H$118))-C116*(1-H116))+$C$14+$C$15+IF($D$119=1,$C$16,0))+C116))</f>
        <v>669615989.2285297</v>
      </c>
      <c r="J116" s="14">
        <f>IF(H116=1,D116,I116)</f>
        <v>669615989.2285297</v>
      </c>
    </row>
    <row r="117" spans="2:10" x14ac:dyDescent="0.25">
      <c r="B117" s="5" t="str">
        <f>B12</f>
        <v>Series A</v>
      </c>
      <c r="C117" s="8">
        <f>C12</f>
        <v>5000000</v>
      </c>
      <c r="D117" s="14">
        <f>D12</f>
        <v>15000000</v>
      </c>
      <c r="E117" s="8">
        <f>IF(D117&gt;(($G$22+IF($D$119=1,$C$17*$C$16,0))*C117/(SUM($C$7:$C$13)+$C$14+$C$15+IF($D$119=1,$C$16,0))),1,0)</f>
        <v>0</v>
      </c>
      <c r="F117" s="8">
        <f>IF(D117&gt;(($G$22+IF($D$119=1,$C$17*$C$16,0)-(SUMPRODUCT($D$112:$D$118,$E$112:$E$118)-D117*E117))*C117/((((SUM($C$112:$C$118)-SUMPRODUCT($C$112:$C$118,$E$112:$E$118))-C117*(1-E117))+$C$14+$C$15+IF($D$119=1,$C$16,0))+C117)),1,0)</f>
        <v>0</v>
      </c>
      <c r="G117" s="8">
        <f>IF(D117&gt;(($G$22+IF($D$119=1,$C$17*$C$16,0)-(SUMPRODUCT($D$112:$D$118,$F$112:$F$118)-D117*F117))*C117/((((SUM($C$112:$C$118)-SUMPRODUCT($C$112:$C$118,$F$112:$F$118))-C117*(1-F117))+$C$14+$C$15+IF($D$119=1,$C$16,0))+C117)),1,0)</f>
        <v>0</v>
      </c>
      <c r="H117" s="8">
        <f>IF(D117&gt;(($G$22+IF($D$119=1,$C$17*$C$16,0)-(SUMPRODUCT($D$112:$D$118,$G$112:$G$118)-D117*G117))*C117/((((SUM($C$112:$C$118)-SUMPRODUCT($C$112:$C$118,$G$112:$G$118))-C117*(1-G117))+$C$14+$C$15+IF($D$119=1,$C$16,0))+C117)),1,0)</f>
        <v>0</v>
      </c>
      <c r="I117" s="14">
        <f>(($G$22+IF($D$119=1,$C$17*$C$16,0)-(SUMPRODUCT($D$112:$D$118,$H$112:$H$118)-D117*H117))*C117/((((SUM($C$112:$C$118)-SUMPRODUCT($C$112:$C$118,$H$112:$H$118))-C117*(1-H117))+$C$14+$C$15+IF($D$119=1,$C$16,0))+C117))</f>
        <v>1116026648.714216</v>
      </c>
      <c r="J117" s="14">
        <f>IF(H117=1,D117,I117)</f>
        <v>1116026648.714216</v>
      </c>
    </row>
    <row r="118" spans="2:10" x14ac:dyDescent="0.25">
      <c r="B118" s="5" t="str">
        <f>B13</f>
        <v>Seed</v>
      </c>
      <c r="C118" s="8">
        <f>C13</f>
        <v>5000000</v>
      </c>
      <c r="D118" s="14">
        <f>D13</f>
        <v>5000000</v>
      </c>
      <c r="E118" s="8">
        <f>IF(D118&gt;(($G$22+IF($D$119=1,$C$17*$C$16,0))*C118/(SUM($C$7:$C$13)+$C$14+$C$15+IF($D$119=1,$C$16,0))),1,0)</f>
        <v>0</v>
      </c>
      <c r="F118" s="8">
        <f>IF(D118&gt;(($G$22+IF($D$119=1,$C$17*$C$16,0)-(SUMPRODUCT($D$112:$D$118,$E$112:$E$118)-D118*E118))*C118/((((SUM($C$112:$C$118)-SUMPRODUCT($C$112:$C$118,$E$112:$E$118))-C118*(1-E118))+$C$14+$C$15+IF($D$119=1,$C$16,0))+C118)),1,0)</f>
        <v>0</v>
      </c>
      <c r="G118" s="8">
        <f>IF(D118&gt;(($G$22+IF($D$119=1,$C$17*$C$16,0)-(SUMPRODUCT($D$112:$D$118,$F$112:$F$118)-D118*F118))*C118/((((SUM($C$112:$C$118)-SUMPRODUCT($C$112:$C$118,$F$112:$F$118))-C118*(1-F118))+$C$14+$C$15+IF($D$119=1,$C$16,0))+C118)),1,0)</f>
        <v>0</v>
      </c>
      <c r="H118" s="8">
        <f>IF(D118&gt;(($G$22+IF($D$119=1,$C$17*$C$16,0)-(SUMPRODUCT($D$112:$D$118,$G$112:$G$118)-D118*G118))*C118/((((SUM($C$112:$C$118)-SUMPRODUCT($C$112:$C$118,$G$112:$G$118))-C118*(1-G118))+$C$14+$C$15+IF($D$119=1,$C$16,0))+C118)),1,0)</f>
        <v>0</v>
      </c>
      <c r="I118" s="14">
        <f>(($G$22+IF($D$119=1,$C$17*$C$16,0)-(SUMPRODUCT($D$112:$D$118,$H$112:$H$118)-D118*H118))*C118/((((SUM($C$112:$C$118)-SUMPRODUCT($C$112:$C$118,$H$112:$H$118))-C118*(1-H118))+$C$14+$C$15+IF($D$119=1,$C$16,0))+C118))</f>
        <v>1116026648.714216</v>
      </c>
      <c r="J118" s="14">
        <f>IF(H118=1,D118,I118)</f>
        <v>1116026648.714216</v>
      </c>
    </row>
    <row r="119" spans="2:4" x14ac:dyDescent="0.25">
      <c r="B119" s="12" t="s">
        <v>303</v>
      </c>
      <c r="C119" s="14">
        <f>($G$22+$C$17*$C$16)/(SUM($C$7:$C$13)+$C$14+$C$15+$C$16)</f>
        <v>223.20532974284322</v>
      </c>
      <c r="D119" s="8">
        <f>IF(C119&gt;$C$17,1,0)</f>
        <v>1</v>
      </c>
    </row>
    <row r="120" spans="2:10" x14ac:dyDescent="0.25">
      <c r="B120" s="5" t="s">
        <v>260</v>
      </c>
      <c r="C120" s="8">
        <f>$C$14</f>
        <v>281015.3022830847</v>
      </c>
      <c r="J120" s="14">
        <f>($G$22+IF($D$119=1,$C$17*$C$16,0)-SUMPRODUCT($D$112:$D$118,$H$112:$H$118))*$C$14/((SUM($C$112:$C$118)-SUMPRODUCT($C$112:$C$118,$H$112:$H$118))+$C$14+$C$15+IF($D$119=1,$C$16,0))</f>
        <v>62724113.20888068</v>
      </c>
    </row>
    <row r="121" spans="2:10" x14ac:dyDescent="0.25">
      <c r="B121" s="5" t="s">
        <v>304</v>
      </c>
      <c r="C121" s="8">
        <f>$C$15</f>
        <v>9000000</v>
      </c>
      <c r="J121" s="14">
        <f>($G$22+IF($D$119=1,$C$17*$C$16,0)-SUMPRODUCT($D$112:$D$118,$H$112:$H$118))*$C$15/((SUM($C$112:$C$118)-SUMPRODUCT($C$112:$C$118,$H$112:$H$118))+$C$14+$C$15+IF($D$119=1,$C$16,0))</f>
        <v>2008847967.6855888</v>
      </c>
    </row>
    <row r="122" spans="2:10" x14ac:dyDescent="0.25">
      <c r="B122" s="5" t="s">
        <v>305</v>
      </c>
      <c r="C122" s="8">
        <f>$C$16</f>
        <v>2500000</v>
      </c>
      <c r="J122" s="14">
        <f>IF($D$119=1,($G$22+IF($D$119=1,$C$17*$C$16,0)-SUMPRODUCT($D$112:$D$118,$H$112:$H$118))*$C$16/((SUM($C$112:$C$118)-SUMPRODUCT($C$112:$C$118,$H$112:$H$118))+$C$14+$C$15+IF($D$119=1,$C$16,0))-$C$17*$C$16,0)</f>
        <v>555513324.357108</v>
      </c>
    </row>
    <row r="123" spans="2:10" x14ac:dyDescent="0.25">
      <c r="B123" s="12" t="s">
        <v>306</v>
      </c>
      <c r="J123" s="34">
        <f>SUM(J112:J122)</f>
        <v>8000000000.000001</v>
      </c>
    </row>
    <row r="124" spans="2:10" x14ac:dyDescent="0.25">
      <c r="B124" s="5" t="s">
        <v>197</v>
      </c>
      <c r="J124" s="22">
        <f>ROUND(J123-$G$22,2)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Return-Solver</vt:lpstr>
      <vt:lpstr>Sensitivity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2026-04-26T20:31:37Z</dcterms:created>
  <dcterms:modified xsi:type="dcterms:W3CDTF">2026-04-26T20:31:37Z</dcterms:modified>
</cp:coreProperties>
</file>