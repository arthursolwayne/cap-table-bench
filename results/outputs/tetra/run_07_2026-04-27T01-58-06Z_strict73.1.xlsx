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-Engine" state="visible" r:id="rId8"/>
    <sheet sheetId="5" name="Sensitivity" state="visible" r:id="rId9"/>
    <sheet sheetId="6" name="Solver" state="visible" r:id="rId10"/>
    <sheet sheetId="7" name="Waterfall" state="visible" r:id="rId11"/>
  </sheets>
  <calcPr calcId="171027" fullCalcOnLoad="1"/>
</workbook>
</file>

<file path=xl/sharedStrings.xml><?xml version="1.0" encoding="utf-8"?>
<sst xmlns="http://schemas.openxmlformats.org/spreadsheetml/2006/main" count="850" uniqueCount="271">
  <si>
    <t>Kelvin Dynamics Series F — Assumptions</t>
  </si>
  <si>
    <t>All values in USD unless noted</t>
  </si>
  <si>
    <t>Round Terms</t>
  </si>
  <si>
    <t/>
  </si>
  <si>
    <t>Series F pre-money</t>
  </si>
  <si>
    <t>USD</t>
  </si>
  <si>
    <t>Series F primary raise</t>
  </si>
  <si>
    <t>Series F secondary raise</t>
  </si>
  <si>
    <t>Tender PPS multiplier</t>
  </si>
  <si>
    <t>fraction</t>
  </si>
  <si>
    <t>ESOP refresh target (post-F FD)</t>
  </si>
  <si>
    <t>Our fund check</t>
  </si>
  <si>
    <t>F_LEAD primary check</t>
  </si>
  <si>
    <t>Option strike</t>
  </si>
  <si>
    <t>Pre-F Share Counts</t>
  </si>
  <si>
    <t>Founder F1 (CEO) common</t>
  </si>
  <si>
    <t>shares</t>
  </si>
  <si>
    <t>Founder F2 (CTO) common</t>
  </si>
  <si>
    <t>Founder F3 (Chief Sci) common</t>
  </si>
  <si>
    <t>Employee RSAs (10 holders)</t>
  </si>
  <si>
    <t>Seed preferred shares</t>
  </si>
  <si>
    <t>Series A preferred shares</t>
  </si>
  <si>
    <t>Series B preferred shares</t>
  </si>
  <si>
    <t>Series C preferred shares</t>
  </si>
  <si>
    <t>Series D preferred shares (post-E AD)</t>
  </si>
  <si>
    <t>Series E preferred shares</t>
  </si>
  <si>
    <t>Pre-F options issued</t>
  </si>
  <si>
    <t>Pre-F options unissued</t>
  </si>
  <si>
    <t>Pre-F broad-based FD total</t>
  </si>
  <si>
    <t>Original Conversion Prices (OCP-for-AD)</t>
  </si>
  <si>
    <t>Seed OCP</t>
  </si>
  <si>
    <t>USD/share</t>
  </si>
  <si>
    <t>Series A OCP</t>
  </si>
  <si>
    <t>Series B OCP</t>
  </si>
  <si>
    <t>Series C OCP</t>
  </si>
  <si>
    <t>Series D OCP (compound, post-E AD)</t>
  </si>
  <si>
    <t>Series E OCP</t>
  </si>
  <si>
    <t>Invested Capital (= 1x liq pref)</t>
  </si>
  <si>
    <t>Seed invested</t>
  </si>
  <si>
    <t>Series A invested</t>
  </si>
  <si>
    <t>Series B invested</t>
  </si>
  <si>
    <t>Series C invested</t>
  </si>
  <si>
    <t>Series D invested</t>
  </si>
  <si>
    <t>Series E invested</t>
  </si>
  <si>
    <t>Convertible Notes</t>
  </si>
  <si>
    <t>Note A principal</t>
  </si>
  <si>
    <t>Note A cap</t>
  </si>
  <si>
    <t>Note A discount</t>
  </si>
  <si>
    <t>Note B principal</t>
  </si>
  <si>
    <t>Note B cap</t>
  </si>
  <si>
    <t>Note B discount</t>
  </si>
  <si>
    <t>Exit Scenarios</t>
  </si>
  <si>
    <t>Exit value 1</t>
  </si>
  <si>
    <t>Exit value 2</t>
  </si>
  <si>
    <t>Exit value 3</t>
  </si>
  <si>
    <t>Exit value 4</t>
  </si>
  <si>
    <t>Exit value 5</t>
  </si>
  <si>
    <t>Sensitivity Axes</t>
  </si>
  <si>
    <t>ESOP low</t>
  </si>
  <si>
    <t>ESOP base</t>
  </si>
  <si>
    <t>ESOP high</t>
  </si>
  <si>
    <t>Pre-money low</t>
  </si>
  <si>
    <t>Pre-money base</t>
  </si>
  <si>
    <t>Pre-money high</t>
  </si>
  <si>
    <t>Return Targets</t>
  </si>
  <si>
    <t>3x return multiple</t>
  </si>
  <si>
    <t>multiple</t>
  </si>
  <si>
    <t>4x return multiple</t>
  </si>
  <si>
    <t>Founder F1 share of common</t>
  </si>
  <si>
    <t>4M / 8M</t>
  </si>
  <si>
    <t>Founder F2 share of common</t>
  </si>
  <si>
    <t>2.5M / 8M</t>
  </si>
  <si>
    <t>Founder F3 share of common</t>
  </si>
  <si>
    <t>1.5M / 8M</t>
  </si>
  <si>
    <t>Series F Pro-Forma Cap Table</t>
  </si>
  <si>
    <t>$ in actual; shares in actual</t>
  </si>
  <si>
    <t>Round Outputs (Solved)</t>
  </si>
  <si>
    <t>F PPS</t>
  </si>
  <si>
    <t>Tender PPS</t>
  </si>
  <si>
    <t>Pre-money FD shares</t>
  </si>
  <si>
    <t>Series F primary shares</t>
  </si>
  <si>
    <t>Post-F FD total (T_F)</t>
  </si>
  <si>
    <t>ESOP top-up shares</t>
  </si>
  <si>
    <t>Tender shares</t>
  </si>
  <si>
    <t>Anti-Dilution Block (Broad-Based Weighted Average)</t>
  </si>
  <si>
    <t>Class</t>
  </si>
  <si>
    <t>OCP</t>
  </si>
  <si>
    <t>Trigger</t>
  </si>
  <si>
    <t>NCP</t>
  </si>
  <si>
    <t>New ratio</t>
  </si>
  <si>
    <t>As-conv shares</t>
  </si>
  <si>
    <t>Seed</t>
  </si>
  <si>
    <t>Series A</t>
  </si>
  <si>
    <t>Series B</t>
  </si>
  <si>
    <t>Series C</t>
  </si>
  <si>
    <t>Series D</t>
  </si>
  <si>
    <t>Series E</t>
  </si>
  <si>
    <t>Convertible Notes Block</t>
  </si>
  <si>
    <t>Note</t>
  </si>
  <si>
    <t>Cap PPS</t>
  </si>
  <si>
    <t>Discount PPS</t>
  </si>
  <si>
    <t>Conv PPS</t>
  </si>
  <si>
    <t>Branch</t>
  </si>
  <si>
    <t>Shares</t>
  </si>
  <si>
    <t>Note A</t>
  </si>
  <si>
    <t>Note B</t>
  </si>
  <si>
    <t>Secondary Tender Block</t>
  </si>
  <si>
    <t>Tender shares total</t>
  </si>
  <si>
    <t>F1 founder tender (50%)</t>
  </si>
  <si>
    <t>F2 founder tender (31.25%)</t>
  </si>
  <si>
    <t>F3 founder tender (18.75%)</t>
  </si>
  <si>
    <t>F_LEAD secondary holding</t>
  </si>
  <si>
    <t>Post-F Cap Table by Stakeholder</t>
  </si>
  <si>
    <t>Stakeholder</t>
  </si>
  <si>
    <t>% of T_F</t>
  </si>
  <si>
    <t>F1 (CEO)</t>
  </si>
  <si>
    <t>Common</t>
  </si>
  <si>
    <t>F2 (CTO)</t>
  </si>
  <si>
    <t>F3 (Chief Sci)</t>
  </si>
  <si>
    <t>Employee RSAs (10)</t>
  </si>
  <si>
    <t>Seed LP</t>
  </si>
  <si>
    <t>Seed pref</t>
  </si>
  <si>
    <t>Series A LP</t>
  </si>
  <si>
    <t>A pref</t>
  </si>
  <si>
    <t>Series B LP</t>
  </si>
  <si>
    <t>B pref</t>
  </si>
  <si>
    <t>Series C LP</t>
  </si>
  <si>
    <t>C pref</t>
  </si>
  <si>
    <t>Series D LP</t>
  </si>
  <si>
    <t>D pref (post-AD)</t>
  </si>
  <si>
    <t>Series E LPs (10)</t>
  </si>
  <si>
    <t>E pref (post-AD)</t>
  </si>
  <si>
    <t>Note A holder</t>
  </si>
  <si>
    <t>Common (conv)</t>
  </si>
  <si>
    <t>Note B holder</t>
  </si>
  <si>
    <t>Options issued</t>
  </si>
  <si>
    <t>Options</t>
  </si>
  <si>
    <t>Options unissued (refresh)</t>
  </si>
  <si>
    <t>F_LEAD primary</t>
  </si>
  <si>
    <t>F pref</t>
  </si>
  <si>
    <t>F_LEAD secondary</t>
  </si>
  <si>
    <t>Our fund</t>
  </si>
  <si>
    <t>Total</t>
  </si>
  <si>
    <t>Check</t>
  </si>
  <si>
    <t>Return Solver — Required Series F Ownership for 3x and 4x</t>
  </si>
  <si>
    <t>Solves required post-F ownership %; flags infeasible (≤ 0% or &gt; 100%)</t>
  </si>
  <si>
    <t>Inputs (Base Case)</t>
  </si>
  <si>
    <t>Our check</t>
  </si>
  <si>
    <t>Series F post-money</t>
  </si>
  <si>
    <t>Actual ownership of $10M check</t>
  </si>
  <si>
    <t>Per-Exit Waterfall Data (Base Case)</t>
  </si>
  <si>
    <t>Exit</t>
  </si>
  <si>
    <t>F class election</t>
  </si>
  <si>
    <t>Per-share value (final)</t>
  </si>
  <si>
    <t>Pool $ per 1% ownership</t>
  </si>
  <si>
    <t>Required Post-F Ownership for Target Returns</t>
  </si>
  <si>
    <t>Target proceeds (3x)</t>
  </si>
  <si>
    <t>Required ownership % (3x)</t>
  </si>
  <si>
    <t>Feasibility (3x)</t>
  </si>
  <si>
    <t>Target proceeds (4x)</t>
  </si>
  <si>
    <t>Required ownership % (4x)</t>
  </si>
  <si>
    <t>Feasibility (4x)</t>
  </si>
  <si>
    <t>Actual vs Required (Base Case)</t>
  </si>
  <si>
    <t>Actual ownership %</t>
  </si>
  <si>
    <t>Implied multiple at actual % (per exit)</t>
  </si>
  <si>
    <t>Sensitivity Engine — 9 Per-Cell Fixed-Point Solvers</t>
  </si>
  <si>
    <t>Each block re-solves F PPS for a (pre-money, ESOP) pair, then runs $2B waterfall</t>
  </si>
  <si>
    <t>Block 1: pre=$1.2B, ESOP=11%</t>
  </si>
  <si>
    <t xml:space="preserve">  Pre / ESOP / Post</t>
  </si>
  <si>
    <t>Iter</t>
  </si>
  <si>
    <t>p</t>
  </si>
  <si>
    <t>q</t>
  </si>
  <si>
    <t>NCP_D</t>
  </si>
  <si>
    <t>NCP_E</t>
  </si>
  <si>
    <t>D sh</t>
  </si>
  <si>
    <t>E sh</t>
  </si>
  <si>
    <t>topup</t>
  </si>
  <si>
    <t>NA sh</t>
  </si>
  <si>
    <t>NB sh</t>
  </si>
  <si>
    <t>pre-FD</t>
  </si>
  <si>
    <t>p_new</t>
  </si>
  <si>
    <t xml:space="preserve">  Outputs</t>
  </si>
  <si>
    <t xml:space="preserve">  Total pool (all convert)</t>
  </si>
  <si>
    <t xml:space="preserve">  Adj exit ($2B + opt strike)</t>
  </si>
  <si>
    <t xml:space="preserve">  Iter1 per_share</t>
  </si>
  <si>
    <t xml:space="preserve">  Iter1 elections (F E D C B A Seed)</t>
  </si>
  <si>
    <t xml:space="preserve">  Iter2 per_share</t>
  </si>
  <si>
    <t xml:space="preserve">  Iter2 elections</t>
  </si>
  <si>
    <t xml:space="preserve">  Final per_share</t>
  </si>
  <si>
    <t xml:space="preserve">  Our $10M proceeds at $2B</t>
  </si>
  <si>
    <t xml:space="preserve">  Our $10M ownership %</t>
  </si>
  <si>
    <t>Block 2: pre=$1.4B, ESOP=11%</t>
  </si>
  <si>
    <t>Block 3: pre=$1.8B, ESOP=11%</t>
  </si>
  <si>
    <t>Block 4: pre=$1.2B, ESOP=13%</t>
  </si>
  <si>
    <t>Block 5: pre=$1.4B, ESOP=13%</t>
  </si>
  <si>
    <t>Block 6: pre=$1.8B, ESOP=13%</t>
  </si>
  <si>
    <t>Block 7: pre=$1.2B, ESOP=15%</t>
  </si>
  <si>
    <t>Block 8: pre=$1.4B, ESOP=15%</t>
  </si>
  <si>
    <t>Block 9: pre=$1.8B, ESOP=15%</t>
  </si>
  <si>
    <t>Sensitivity Grid — Our $10M @ $2B Exit</t>
  </si>
  <si>
    <t>ESOP refresh × Series F pre-money | post-F ownership and $ proceeds</t>
  </si>
  <si>
    <t>Post-F Ownership of Our $10M Check</t>
  </si>
  <si>
    <t>Pre-money →</t>
  </si>
  <si>
    <t>Pre $1.2B</t>
  </si>
  <si>
    <t>Pre $1.4B</t>
  </si>
  <si>
    <t>Pre $1.8B</t>
  </si>
  <si>
    <t>ESOP refresh ↓</t>
  </si>
  <si>
    <t>ESOP 11%</t>
  </si>
  <si>
    <t>ESOP 13%</t>
  </si>
  <si>
    <t>ESOP 15%</t>
  </si>
  <si>
    <t>Our $10M Proceeds at $2B Exit</t>
  </si>
  <si>
    <t>Notes:</t>
  </si>
  <si>
    <t xml:space="preserve">  Each cell re-solves the full round fixed point (F PPS, ESOP top-up, AD on D &amp; E, both note conversion branches) per (pre-money, ESOP) pair.</t>
  </si>
  <si>
    <t xml:space="preserve">  Engine runs 20 fixed-point iterations and 2 election rounds per cell. Note A flips cap → discount at $1.2B pre-money; both cap at $1.4B and $1.8B.</t>
  </si>
  <si>
    <t xml:space="preserve">  Ownership % is invariant in ESOP because: pct = our_check / post-money. Proceeds vary with both axes via F PPS and waterfall pool.</t>
  </si>
  <si>
    <t>Series F Round Solver</t>
  </si>
  <si>
    <t>Fixed-point iteration: F PPS, AD, ESOP top-up, note conversion</t>
  </si>
  <si>
    <t>Iteration Block (Base Case)</t>
  </si>
  <si>
    <t>p (F PPS)</t>
  </si>
  <si>
    <t>D shares</t>
  </si>
  <si>
    <t>E shares</t>
  </si>
  <si>
    <t>ESOP top-up</t>
  </si>
  <si>
    <t>Note A sh</t>
  </si>
  <si>
    <t>Note B sh</t>
  </si>
  <si>
    <t>Converged</t>
  </si>
  <si>
    <t>Waterfall — Exit Outcomes by Class</t>
  </si>
  <si>
    <t>$ in actual; 5 exit scenarios; conversion election per class</t>
  </si>
  <si>
    <t>Per-Class Inputs</t>
  </si>
  <si>
    <t>Shares (as-conv)</t>
  </si>
  <si>
    <t>1x liq pref ($)</t>
  </si>
  <si>
    <t>Pref / share ($)</t>
  </si>
  <si>
    <t>Series F</t>
  </si>
  <si>
    <t>Common Pool (no election)</t>
  </si>
  <si>
    <t>Founders + RSAs common</t>
  </si>
  <si>
    <t>Notes (combined NA+NB)</t>
  </si>
  <si>
    <t>Issued options</t>
  </si>
  <si>
    <t>Common pool total</t>
  </si>
  <si>
    <t>Total pool if all classes convert</t>
  </si>
  <si>
    <t>Election Engine (5 Iterations)</t>
  </si>
  <si>
    <t>Metric</t>
  </si>
  <si>
    <t>Adj exit (+ option strike proceeds)</t>
  </si>
  <si>
    <t>Iteration 1</t>
  </si>
  <si>
    <t xml:space="preserve">  per-share (residual / pool)</t>
  </si>
  <si>
    <t xml:space="preserve">  F election</t>
  </si>
  <si>
    <t xml:space="preserve">  E election</t>
  </si>
  <si>
    <t xml:space="preserve">  D election</t>
  </si>
  <si>
    <t xml:space="preserve">  C election</t>
  </si>
  <si>
    <t xml:space="preserve">  B election</t>
  </si>
  <si>
    <t xml:space="preserve">  A election</t>
  </si>
  <si>
    <t xml:space="preserve">  Seed election</t>
  </si>
  <si>
    <t>Iteration 2</t>
  </si>
  <si>
    <t>Iteration 3</t>
  </si>
  <si>
    <t>Iteration 4</t>
  </si>
  <si>
    <t>Iteration 5</t>
  </si>
  <si>
    <t>Final Calculations</t>
  </si>
  <si>
    <t>Final per-share value</t>
  </si>
  <si>
    <t>Final Elections</t>
  </si>
  <si>
    <t xml:space="preserve">  F election (final)</t>
  </si>
  <si>
    <t xml:space="preserve">  E election (final)</t>
  </si>
  <si>
    <t xml:space="preserve">  D election (final)</t>
  </si>
  <si>
    <t xml:space="preserve">  C election (final)</t>
  </si>
  <si>
    <t xml:space="preserve">  B election (final)</t>
  </si>
  <si>
    <t xml:space="preserve">  A election (final)</t>
  </si>
  <si>
    <t xml:space="preserve">  Seed election (final)</t>
  </si>
  <si>
    <t>Waterfall — Proceeds by Class</t>
  </si>
  <si>
    <t>Class / Stake</t>
  </si>
  <si>
    <t>Notes (NA + NB)</t>
  </si>
  <si>
    <t>Common + RSAs</t>
  </si>
  <si>
    <t>Issued options (net of strike)</t>
  </si>
  <si>
    <t>Total proceeds</t>
  </si>
  <si>
    <t>Reconciliation (Total − Exit)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</si>
</sst>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;\-\-_)"/>
    <numFmt numFmtId="165" formatCode="0.0%"/>
    <numFmt numFmtId="166" formatCode="#,##0_);\(#,##0\);\-\-_)"/>
    <numFmt numFmtId="167" formatCode="0.0&quot;x&quot;_);\(0.0&quot;x&quot;\);\-\-_)"/>
    <numFmt numFmtId="168" formatCode="0.0%_);\(0.0%\);\-\-_)"/>
    <numFmt numFmtId="169" formatCode="0.00&quot;x&quot;_);\(0.00&quot;x&quot;\);\-\-_)"/>
  </numFmts>
  <fonts count="11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i/>
      <charset val="134"/>
      <color rgb="FF666666"/>
      <family val="1"/>
      <sz val="8"/>
      <name val="Arial"/>
    </font>
    <font>
      <b/>
      <charset val="134"/>
      <color rgb="FF000000"/>
      <family val="1"/>
      <sz val="10"/>
      <name val="Arial"/>
    </font>
    <font>
      <b/>
      <charset val="134"/>
      <color rgb="FF7030A0"/>
      <family val="1"/>
      <sz val="10"/>
      <name val="Arial"/>
    </font>
    <font>
      <charset val="134"/>
      <color rgb="FF00B050"/>
      <family val="1"/>
      <sz val="10"/>
      <name val="Arial"/>
    </font>
    <font>
      <charset val="134"/>
      <color rgb="FF666666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6" fontId="7" fillId="0" borderId="1" xfId="0" applyNumberFormat="1" applyFont="1" applyBorder="1" applyAlignment="1">
      <alignment horizontal="right"/>
    </xf>
    <xf numFmtId="167" fontId="5" fillId="3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center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4" fontId="7" fillId="0" borderId="2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8" fontId="9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/>
    </xf>
    <xf numFmtId="168" fontId="7" fillId="4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4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35.205" customWidth="1"/>
    <col min="3" max="3" width="17.7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4" x14ac:dyDescent="0.25">
      <c r="B5" s="3" t="s">
        <v>2</v>
      </c>
      <c r="C5" s="4" t="s">
        <v>3</v>
      </c>
      <c r="D5" s="4" t="s">
        <v>3</v>
      </c>
    </row>
    <row r="6" spans="2:4" x14ac:dyDescent="0.25">
      <c r="B6" s="5" t="s">
        <v>4</v>
      </c>
      <c r="C6" s="6">
        <v>1400000000</v>
      </c>
      <c r="D6" s="7" t="s">
        <v>5</v>
      </c>
    </row>
    <row r="7" spans="2:4" x14ac:dyDescent="0.25">
      <c r="B7" s="5" t="s">
        <v>6</v>
      </c>
      <c r="C7" s="6">
        <v>30000000</v>
      </c>
      <c r="D7" s="7" t="s">
        <v>5</v>
      </c>
    </row>
    <row r="8" spans="2:4" x14ac:dyDescent="0.25">
      <c r="B8" s="5" t="s">
        <v>7</v>
      </c>
      <c r="C8" s="6">
        <v>15000000</v>
      </c>
      <c r="D8" s="7" t="s">
        <v>5</v>
      </c>
    </row>
    <row r="9" spans="2:4" x14ac:dyDescent="0.25">
      <c r="B9" s="5" t="s">
        <v>8</v>
      </c>
      <c r="C9" s="8">
        <v>0.85</v>
      </c>
      <c r="D9" s="7" t="s">
        <v>9</v>
      </c>
    </row>
    <row r="10" spans="2:4" x14ac:dyDescent="0.25">
      <c r="B10" s="5" t="s">
        <v>10</v>
      </c>
      <c r="C10" s="8">
        <v>0.13</v>
      </c>
      <c r="D10" s="7" t="s">
        <v>9</v>
      </c>
    </row>
    <row r="11" spans="2:4" x14ac:dyDescent="0.25">
      <c r="B11" s="5" t="s">
        <v>11</v>
      </c>
      <c r="C11" s="6">
        <v>10000000</v>
      </c>
      <c r="D11" s="7" t="s">
        <v>5</v>
      </c>
    </row>
    <row r="12" spans="2:4" x14ac:dyDescent="0.25">
      <c r="B12" s="5" t="s">
        <v>12</v>
      </c>
      <c r="C12" s="6">
        <v>20000000</v>
      </c>
      <c r="D12" s="7" t="s">
        <v>5</v>
      </c>
    </row>
    <row r="13" spans="2:4" x14ac:dyDescent="0.25">
      <c r="B13" s="5" t="s">
        <v>13</v>
      </c>
      <c r="C13" s="6">
        <v>1</v>
      </c>
      <c r="D13" s="7" t="s">
        <v>5</v>
      </c>
    </row>
    <row r="15" spans="2:4" x14ac:dyDescent="0.25">
      <c r="B15" s="3" t="s">
        <v>14</v>
      </c>
      <c r="C15" s="4" t="s">
        <v>3</v>
      </c>
      <c r="D15" s="4" t="s">
        <v>3</v>
      </c>
    </row>
    <row r="16" spans="2:4" x14ac:dyDescent="0.25">
      <c r="B16" s="5" t="s">
        <v>15</v>
      </c>
      <c r="C16" s="9">
        <v>4000000</v>
      </c>
      <c r="D16" s="7" t="s">
        <v>16</v>
      </c>
    </row>
    <row r="17" spans="2:4" x14ac:dyDescent="0.25">
      <c r="B17" s="5" t="s">
        <v>17</v>
      </c>
      <c r="C17" s="9">
        <v>2500000</v>
      </c>
      <c r="D17" s="7" t="s">
        <v>16</v>
      </c>
    </row>
    <row r="18" spans="2:4" x14ac:dyDescent="0.25">
      <c r="B18" s="5" t="s">
        <v>18</v>
      </c>
      <c r="C18" s="9">
        <v>1500000</v>
      </c>
      <c r="D18" s="7" t="s">
        <v>16</v>
      </c>
    </row>
    <row r="19" spans="2:4" x14ac:dyDescent="0.25">
      <c r="B19" s="5" t="s">
        <v>19</v>
      </c>
      <c r="C19" s="9">
        <v>1000000</v>
      </c>
      <c r="D19" s="7" t="s">
        <v>16</v>
      </c>
    </row>
    <row r="20" spans="2:4" x14ac:dyDescent="0.25">
      <c r="B20" s="5" t="s">
        <v>20</v>
      </c>
      <c r="C20" s="9">
        <v>5000000</v>
      </c>
      <c r="D20" s="7" t="s">
        <v>16</v>
      </c>
    </row>
    <row r="21" spans="2:4" x14ac:dyDescent="0.25">
      <c r="B21" s="5" t="s">
        <v>21</v>
      </c>
      <c r="C21" s="9">
        <v>5000000</v>
      </c>
      <c r="D21" s="7" t="s">
        <v>16</v>
      </c>
    </row>
    <row r="22" spans="2:4" x14ac:dyDescent="0.25">
      <c r="B22" s="5" t="s">
        <v>22</v>
      </c>
      <c r="C22" s="9">
        <v>3000000</v>
      </c>
      <c r="D22" s="7" t="s">
        <v>16</v>
      </c>
    </row>
    <row r="23" spans="2:4" x14ac:dyDescent="0.25">
      <c r="B23" s="5" t="s">
        <v>23</v>
      </c>
      <c r="C23" s="9">
        <v>2400000</v>
      </c>
      <c r="D23" s="7" t="s">
        <v>16</v>
      </c>
    </row>
    <row r="24" spans="2:4" x14ac:dyDescent="0.25">
      <c r="B24" s="5" t="s">
        <v>24</v>
      </c>
      <c r="C24" s="9">
        <v>1720627</v>
      </c>
      <c r="D24" s="7" t="s">
        <v>16</v>
      </c>
    </row>
    <row r="25" spans="2:4" x14ac:dyDescent="0.25">
      <c r="B25" s="5" t="s">
        <v>25</v>
      </c>
      <c r="C25" s="9">
        <v>6102667</v>
      </c>
      <c r="D25" s="7" t="s">
        <v>16</v>
      </c>
    </row>
    <row r="26" spans="2:4" x14ac:dyDescent="0.25">
      <c r="B26" s="5" t="s">
        <v>26</v>
      </c>
      <c r="C26" s="9">
        <v>2500000</v>
      </c>
      <c r="D26" s="7" t="s">
        <v>16</v>
      </c>
    </row>
    <row r="27" spans="2:4" x14ac:dyDescent="0.25">
      <c r="B27" s="5" t="s">
        <v>27</v>
      </c>
      <c r="C27" s="9">
        <v>1894667</v>
      </c>
      <c r="D27" s="7" t="s">
        <v>16</v>
      </c>
    </row>
    <row r="28" spans="2:4" x14ac:dyDescent="0.25">
      <c r="B28" s="10" t="s">
        <v>28</v>
      </c>
      <c r="C28" s="11">
        <f>SUM(C16:C27)</f>
        <v>36617961</v>
      </c>
      <c r="D28" s="7" t="s">
        <v>16</v>
      </c>
    </row>
    <row r="30" spans="2:4" x14ac:dyDescent="0.25">
      <c r="B30" s="3" t="s">
        <v>29</v>
      </c>
      <c r="C30" s="4" t="s">
        <v>3</v>
      </c>
      <c r="D30" s="4" t="s">
        <v>3</v>
      </c>
    </row>
    <row r="31" spans="2:4" x14ac:dyDescent="0.25">
      <c r="B31" s="5" t="s">
        <v>30</v>
      </c>
      <c r="C31" s="9">
        <v>1</v>
      </c>
      <c r="D31" s="7" t="s">
        <v>31</v>
      </c>
    </row>
    <row r="32" spans="2:4" x14ac:dyDescent="0.25">
      <c r="B32" s="5" t="s">
        <v>32</v>
      </c>
      <c r="C32" s="9">
        <v>3</v>
      </c>
      <c r="D32" s="7" t="s">
        <v>31</v>
      </c>
    </row>
    <row r="33" spans="2:4" x14ac:dyDescent="0.25">
      <c r="B33" s="5" t="s">
        <v>33</v>
      </c>
      <c r="C33" s="6">
        <v>10</v>
      </c>
      <c r="D33" s="7" t="s">
        <v>31</v>
      </c>
    </row>
    <row r="34" spans="2:4" x14ac:dyDescent="0.25">
      <c r="B34" s="5" t="s">
        <v>34</v>
      </c>
      <c r="C34" s="6">
        <v>25</v>
      </c>
      <c r="D34" s="7" t="s">
        <v>31</v>
      </c>
    </row>
    <row r="35" spans="2:4" x14ac:dyDescent="0.25">
      <c r="B35" s="5" t="s">
        <v>35</v>
      </c>
      <c r="C35" s="6">
        <v>58.118347</v>
      </c>
      <c r="D35" s="7" t="s">
        <v>31</v>
      </c>
    </row>
    <row r="36" spans="2:4" x14ac:dyDescent="0.25">
      <c r="B36" s="5" t="s">
        <v>36</v>
      </c>
      <c r="C36" s="6">
        <v>49.158311</v>
      </c>
      <c r="D36" s="7" t="s">
        <v>31</v>
      </c>
    </row>
    <row r="38" spans="2:4" x14ac:dyDescent="0.25">
      <c r="B38" s="3" t="s">
        <v>37</v>
      </c>
      <c r="C38" s="4" t="s">
        <v>3</v>
      </c>
      <c r="D38" s="4" t="s">
        <v>3</v>
      </c>
    </row>
    <row r="39" spans="2:4" x14ac:dyDescent="0.25">
      <c r="B39" s="5" t="s">
        <v>38</v>
      </c>
      <c r="C39" s="6">
        <v>5000000</v>
      </c>
      <c r="D39" s="7" t="s">
        <v>5</v>
      </c>
    </row>
    <row r="40" spans="2:4" x14ac:dyDescent="0.25">
      <c r="B40" s="5" t="s">
        <v>39</v>
      </c>
      <c r="C40" s="6">
        <v>15000000</v>
      </c>
      <c r="D40" s="7" t="s">
        <v>5</v>
      </c>
    </row>
    <row r="41" spans="2:4" x14ac:dyDescent="0.25">
      <c r="B41" s="5" t="s">
        <v>40</v>
      </c>
      <c r="C41" s="6">
        <v>30000000</v>
      </c>
      <c r="D41" s="7" t="s">
        <v>5</v>
      </c>
    </row>
    <row r="42" spans="2:4" x14ac:dyDescent="0.25">
      <c r="B42" s="5" t="s">
        <v>41</v>
      </c>
      <c r="C42" s="6">
        <v>60000000</v>
      </c>
      <c r="D42" s="7" t="s">
        <v>5</v>
      </c>
    </row>
    <row r="43" spans="2:4" x14ac:dyDescent="0.25">
      <c r="B43" s="5" t="s">
        <v>42</v>
      </c>
      <c r="C43" s="6">
        <v>100000000</v>
      </c>
      <c r="D43" s="7" t="s">
        <v>5</v>
      </c>
    </row>
    <row r="44" spans="2:4" x14ac:dyDescent="0.25">
      <c r="B44" s="5" t="s">
        <v>43</v>
      </c>
      <c r="C44" s="6">
        <v>300000000</v>
      </c>
      <c r="D44" s="7" t="s">
        <v>5</v>
      </c>
    </row>
    <row r="46" spans="2:4" x14ac:dyDescent="0.25">
      <c r="B46" s="3" t="s">
        <v>44</v>
      </c>
      <c r="C46" s="4" t="s">
        <v>3</v>
      </c>
      <c r="D46" s="4" t="s">
        <v>3</v>
      </c>
    </row>
    <row r="47" spans="2:4" x14ac:dyDescent="0.25">
      <c r="B47" s="5" t="s">
        <v>45</v>
      </c>
      <c r="C47" s="6">
        <v>5000000</v>
      </c>
      <c r="D47" s="7" t="s">
        <v>5</v>
      </c>
    </row>
    <row r="48" spans="2:4" x14ac:dyDescent="0.25">
      <c r="B48" s="5" t="s">
        <v>46</v>
      </c>
      <c r="C48" s="6">
        <v>1000000000</v>
      </c>
      <c r="D48" s="7" t="s">
        <v>5</v>
      </c>
    </row>
    <row r="49" spans="2:4" x14ac:dyDescent="0.25">
      <c r="B49" s="5" t="s">
        <v>47</v>
      </c>
      <c r="C49" s="8">
        <v>0.2</v>
      </c>
      <c r="D49" s="7" t="s">
        <v>9</v>
      </c>
    </row>
    <row r="50" spans="2:4" x14ac:dyDescent="0.25">
      <c r="B50" s="5" t="s">
        <v>48</v>
      </c>
      <c r="C50" s="6">
        <v>3000000</v>
      </c>
      <c r="D50" s="7" t="s">
        <v>5</v>
      </c>
    </row>
    <row r="51" spans="2:4" x14ac:dyDescent="0.25">
      <c r="B51" s="5" t="s">
        <v>49</v>
      </c>
      <c r="C51" s="6">
        <v>1600000000</v>
      </c>
      <c r="D51" s="7" t="s">
        <v>5</v>
      </c>
    </row>
    <row r="52" spans="2:4" x14ac:dyDescent="0.25">
      <c r="B52" s="5" t="s">
        <v>50</v>
      </c>
      <c r="C52" s="8">
        <v>0.15</v>
      </c>
      <c r="D52" s="7" t="s">
        <v>9</v>
      </c>
    </row>
    <row r="54" spans="2:4" x14ac:dyDescent="0.25">
      <c r="B54" s="3" t="s">
        <v>51</v>
      </c>
      <c r="C54" s="4" t="s">
        <v>3</v>
      </c>
      <c r="D54" s="4" t="s">
        <v>3</v>
      </c>
    </row>
    <row r="55" spans="2:4" x14ac:dyDescent="0.25">
      <c r="B55" s="5" t="s">
        <v>52</v>
      </c>
      <c r="C55" s="6">
        <v>700000000</v>
      </c>
      <c r="D55" s="7" t="s">
        <v>5</v>
      </c>
    </row>
    <row r="56" spans="2:4" x14ac:dyDescent="0.25">
      <c r="B56" s="5" t="s">
        <v>53</v>
      </c>
      <c r="C56" s="6">
        <v>1200000000</v>
      </c>
      <c r="D56" s="7" t="s">
        <v>5</v>
      </c>
    </row>
    <row r="57" spans="2:4" x14ac:dyDescent="0.25">
      <c r="B57" s="5" t="s">
        <v>54</v>
      </c>
      <c r="C57" s="6">
        <v>2000000000</v>
      </c>
      <c r="D57" s="7" t="s">
        <v>5</v>
      </c>
    </row>
    <row r="58" spans="2:4" x14ac:dyDescent="0.25">
      <c r="B58" s="5" t="s">
        <v>55</v>
      </c>
      <c r="C58" s="6">
        <v>4000000000</v>
      </c>
      <c r="D58" s="7" t="s">
        <v>5</v>
      </c>
    </row>
    <row r="59" spans="2:4" x14ac:dyDescent="0.25">
      <c r="B59" s="5" t="s">
        <v>56</v>
      </c>
      <c r="C59" s="6">
        <v>8000000000</v>
      </c>
      <c r="D59" s="7" t="s">
        <v>5</v>
      </c>
    </row>
    <row r="61" spans="2:4" x14ac:dyDescent="0.25">
      <c r="B61" s="3" t="s">
        <v>57</v>
      </c>
      <c r="C61" s="4" t="s">
        <v>3</v>
      </c>
      <c r="D61" s="4" t="s">
        <v>3</v>
      </c>
    </row>
    <row r="62" spans="2:4" x14ac:dyDescent="0.25">
      <c r="B62" s="5" t="s">
        <v>58</v>
      </c>
      <c r="C62" s="8">
        <v>0.11</v>
      </c>
      <c r="D62" s="7" t="s">
        <v>9</v>
      </c>
    </row>
    <row r="63" spans="2:4" x14ac:dyDescent="0.25">
      <c r="B63" s="5" t="s">
        <v>59</v>
      </c>
      <c r="C63" s="8">
        <v>0.13</v>
      </c>
      <c r="D63" s="7" t="s">
        <v>9</v>
      </c>
    </row>
    <row r="64" spans="2:4" x14ac:dyDescent="0.25">
      <c r="B64" s="5" t="s">
        <v>60</v>
      </c>
      <c r="C64" s="8">
        <v>0.15</v>
      </c>
      <c r="D64" s="7" t="s">
        <v>9</v>
      </c>
    </row>
    <row r="65" spans="2:4" x14ac:dyDescent="0.25">
      <c r="B65" s="5" t="s">
        <v>61</v>
      </c>
      <c r="C65" s="6">
        <v>1200000000</v>
      </c>
      <c r="D65" s="7" t="s">
        <v>5</v>
      </c>
    </row>
    <row r="66" spans="2:4" x14ac:dyDescent="0.25">
      <c r="B66" s="5" t="s">
        <v>62</v>
      </c>
      <c r="C66" s="6">
        <v>1400000000</v>
      </c>
      <c r="D66" s="7" t="s">
        <v>5</v>
      </c>
    </row>
    <row r="67" spans="2:4" x14ac:dyDescent="0.25">
      <c r="B67" s="5" t="s">
        <v>63</v>
      </c>
      <c r="C67" s="6">
        <v>1800000000</v>
      </c>
      <c r="D67" s="7" t="s">
        <v>5</v>
      </c>
    </row>
    <row r="69" spans="2:4" x14ac:dyDescent="0.25">
      <c r="B69" s="3" t="s">
        <v>64</v>
      </c>
      <c r="C69" s="4" t="s">
        <v>3</v>
      </c>
      <c r="D69" s="4" t="s">
        <v>3</v>
      </c>
    </row>
    <row r="70" spans="2:4" x14ac:dyDescent="0.25">
      <c r="B70" s="5" t="s">
        <v>65</v>
      </c>
      <c r="C70" s="12">
        <v>3</v>
      </c>
      <c r="D70" s="7" t="s">
        <v>66</v>
      </c>
    </row>
    <row r="71" spans="2:4" x14ac:dyDescent="0.25">
      <c r="B71" s="5" t="s">
        <v>67</v>
      </c>
      <c r="C71" s="12">
        <v>4</v>
      </c>
      <c r="D71" s="7" t="s">
        <v>66</v>
      </c>
    </row>
    <row r="72" spans="2:4" x14ac:dyDescent="0.25">
      <c r="B72" s="5" t="s">
        <v>68</v>
      </c>
      <c r="C72" s="8">
        <v>0.5</v>
      </c>
      <c r="D72" s="7" t="s">
        <v>69</v>
      </c>
    </row>
    <row r="73" spans="2:4" x14ac:dyDescent="0.25">
      <c r="B73" s="5" t="s">
        <v>70</v>
      </c>
      <c r="C73" s="8">
        <v>0.3125</v>
      </c>
      <c r="D73" s="7" t="s">
        <v>71</v>
      </c>
    </row>
    <row r="74" spans="2:4" x14ac:dyDescent="0.25">
      <c r="B74" s="5" t="s">
        <v>72</v>
      </c>
      <c r="C74" s="8">
        <v>0.1875</v>
      </c>
      <c r="D74" s="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30.205" customWidth="1"/>
    <col min="3" max="5" width="16.455" customWidth="1"/>
    <col min="6" max="6" width="13.955" customWidth="1"/>
    <col min="7" max="7" width="16.455" customWidth="1"/>
  </cols>
  <sheetData>
    <row r="2" ht="18" customHeight="1" spans="2:2" x14ac:dyDescent="0.25">
      <c r="B2" s="1" t="s">
        <v>74</v>
      </c>
    </row>
    <row r="3" spans="2:2" x14ac:dyDescent="0.25">
      <c r="B3" s="2" t="s">
        <v>75</v>
      </c>
    </row>
    <row r="5" spans="2:7" x14ac:dyDescent="0.25">
      <c r="B5" s="3" t="s">
        <v>76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</row>
    <row r="6" spans="2:3" x14ac:dyDescent="0.25">
      <c r="B6" s="5" t="s">
        <v>77</v>
      </c>
      <c r="C6" s="13">
        <f>Solver!$N$26</f>
        <v>37.29968467852575</v>
      </c>
    </row>
    <row r="7" spans="2:3" x14ac:dyDescent="0.25">
      <c r="B7" s="5" t="s">
        <v>78</v>
      </c>
      <c r="C7" s="14">
        <f>Assumptions!$C$9*$C$6</f>
        <v>31.70473197674689</v>
      </c>
    </row>
    <row r="8" spans="2:3" x14ac:dyDescent="0.25">
      <c r="B8" s="5" t="s">
        <v>79</v>
      </c>
      <c r="C8" s="15">
        <f>Solver!$M$26</f>
        <v>37533829.362531066</v>
      </c>
    </row>
    <row r="9" spans="2:3" x14ac:dyDescent="0.25">
      <c r="B9" s="5" t="s">
        <v>80</v>
      </c>
      <c r="C9" s="15">
        <f>Assumptions!$C$7/$C$6</f>
        <v>804296.3434828086</v>
      </c>
    </row>
    <row r="10" spans="2:3" x14ac:dyDescent="0.25">
      <c r="B10" s="10" t="s">
        <v>81</v>
      </c>
      <c r="C10" s="11">
        <f>$C$8+$C$9</f>
        <v>38338125.70601387</v>
      </c>
    </row>
    <row r="11" spans="2:3" x14ac:dyDescent="0.25">
      <c r="B11" s="5" t="s">
        <v>82</v>
      </c>
      <c r="C11" s="15">
        <f>Solver!$J$26</f>
        <v>589289.341781804</v>
      </c>
    </row>
    <row r="12" spans="2:3" x14ac:dyDescent="0.25">
      <c r="B12" s="5" t="s">
        <v>83</v>
      </c>
      <c r="C12" s="15">
        <f>Assumptions!$C$8/(Assumptions!$C$9*$C$6)</f>
        <v>473115.49616635795</v>
      </c>
    </row>
    <row r="14" spans="2:7" x14ac:dyDescent="0.25">
      <c r="B14" s="3" t="s">
        <v>84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</row>
    <row r="15" spans="2:7" x14ac:dyDescent="0.25">
      <c r="B15" s="16" t="s">
        <v>85</v>
      </c>
      <c r="C15" s="16" t="s">
        <v>86</v>
      </c>
      <c r="D15" s="16" t="s">
        <v>87</v>
      </c>
      <c r="E15" s="16" t="s">
        <v>88</v>
      </c>
      <c r="F15" s="16" t="s">
        <v>89</v>
      </c>
      <c r="G15" s="16" t="s">
        <v>90</v>
      </c>
    </row>
    <row r="16" spans="2:7" x14ac:dyDescent="0.25">
      <c r="B16" s="5" t="s">
        <v>91</v>
      </c>
      <c r="C16" s="14">
        <f>Assumptions!$C$31</f>
        <v>1</v>
      </c>
      <c r="D16" s="15" t="str">
        <f>IF($C$6&lt;Assumptions!$C$31,"trigger","dormant")</f>
        <v>dormant</v>
      </c>
      <c r="E16" s="14">
        <f>IF($C$6&lt;Assumptions!$C$31,(Assumptions!$C$31*Assumptions!$C$28+Assumptions!$C$7)/(Assumptions!$C$28+Assumptions!$C$7/$C$6),Assumptions!$C$31)</f>
        <v>1</v>
      </c>
      <c r="F16" s="17">
        <f>Assumptions!$C$31/E16</f>
        <v>1</v>
      </c>
      <c r="G16" s="15">
        <f>Assumptions!$C$20</f>
        <v>5000000</v>
      </c>
    </row>
    <row r="17" spans="2:7" x14ac:dyDescent="0.25">
      <c r="B17" s="5" t="s">
        <v>92</v>
      </c>
      <c r="C17" s="14">
        <f>Assumptions!$C$32</f>
        <v>3</v>
      </c>
      <c r="D17" s="15" t="str">
        <f>IF($C$6&lt;Assumptions!$C$32,"trigger","dormant")</f>
        <v>dormant</v>
      </c>
      <c r="E17" s="14">
        <f>IF($C$6&lt;Assumptions!$C$32,(Assumptions!$C$32*Assumptions!$C$28+Assumptions!$C$7)/(Assumptions!$C$28+Assumptions!$C$7/$C$6),Assumptions!$C$32)</f>
        <v>3</v>
      </c>
      <c r="F17" s="17">
        <f>Assumptions!$C$32/E17</f>
        <v>1</v>
      </c>
      <c r="G17" s="15">
        <f>Assumptions!$C$21</f>
        <v>5000000</v>
      </c>
    </row>
    <row r="18" spans="2:7" x14ac:dyDescent="0.25">
      <c r="B18" s="5" t="s">
        <v>93</v>
      </c>
      <c r="C18" s="14">
        <f>Assumptions!$C$33</f>
        <v>10</v>
      </c>
      <c r="D18" s="15" t="str">
        <f>IF($C$6&lt;Assumptions!$C$33,"trigger","dormant")</f>
        <v>dormant</v>
      </c>
      <c r="E18" s="14">
        <f>IF($C$6&lt;Assumptions!$C$33,(Assumptions!$C$33*Assumptions!$C$28+Assumptions!$C$7)/(Assumptions!$C$28+Assumptions!$C$7/$C$6),Assumptions!$C$33)</f>
        <v>10</v>
      </c>
      <c r="F18" s="17">
        <f>Assumptions!$C$33/E18</f>
        <v>1</v>
      </c>
      <c r="G18" s="15">
        <f>Assumptions!$C$22</f>
        <v>3000000</v>
      </c>
    </row>
    <row r="19" spans="2:7" x14ac:dyDescent="0.25">
      <c r="B19" s="5" t="s">
        <v>94</v>
      </c>
      <c r="C19" s="14">
        <f>Assumptions!$C$34</f>
        <v>25</v>
      </c>
      <c r="D19" s="15" t="str">
        <f>IF($C$6&lt;Assumptions!$C$34,"trigger","dormant")</f>
        <v>dormant</v>
      </c>
      <c r="E19" s="14">
        <f>IF($C$6&lt;Assumptions!$C$34,(Assumptions!$C$34*Assumptions!$C$28+Assumptions!$C$7)/(Assumptions!$C$28+Assumptions!$C$7/$C$6),Assumptions!$C$34)</f>
        <v>25</v>
      </c>
      <c r="F19" s="17">
        <f>Assumptions!$C$34/E19</f>
        <v>1</v>
      </c>
      <c r="G19" s="15">
        <f>Assumptions!$C$23</f>
        <v>2400000</v>
      </c>
    </row>
    <row r="20" spans="2:7" x14ac:dyDescent="0.25">
      <c r="B20" s="5" t="s">
        <v>95</v>
      </c>
      <c r="C20" s="14">
        <f>Assumptions!$C$35</f>
        <v>58.118347</v>
      </c>
      <c r="D20" s="15" t="str">
        <f>IF($C$6&lt;Assumptions!$C$35,"trigger","dormant")</f>
        <v>trigger</v>
      </c>
      <c r="E20" s="14">
        <f>IF($C$6&lt;Assumptions!$C$35,(Assumptions!$C$35*Assumptions!$C$28+Assumptions!$C$7)/(Assumptions!$C$28+Assumptions!$C$7/$C$6),Assumptions!$C$35)</f>
        <v>57.67090274703376</v>
      </c>
      <c r="F20" s="17">
        <f>60/E20</f>
        <v>1.0403860030279486</v>
      </c>
      <c r="G20" s="15">
        <f>IF($C$6&lt;Assumptions!$C$35,Assumptions!$C$43/E20,Assumptions!$C$24)</f>
        <v>1733976.671713248</v>
      </c>
    </row>
    <row r="21" spans="2:7" x14ac:dyDescent="0.25">
      <c r="B21" s="5" t="s">
        <v>96</v>
      </c>
      <c r="C21" s="14">
        <f>Assumptions!$C$36</f>
        <v>49.158311</v>
      </c>
      <c r="D21" s="15" t="str">
        <f>IF($C$6&lt;Assumptions!$C$36,"trigger","dormant")</f>
        <v>trigger</v>
      </c>
      <c r="E21" s="14">
        <f>IF($C$6&lt;Assumptions!$C$36,(Assumptions!$C$36*Assumptions!$C$28+Assumptions!$C$7)/(Assumptions!$C$28+Assumptions!$C$7/$C$6),Assumptions!$C$36)</f>
        <v>48.90343995623727</v>
      </c>
      <c r="F21" s="17">
        <f>Assumptions!$C$36/E21</f>
        <v>1.0052117201569217</v>
      </c>
      <c r="G21" s="15">
        <f>IF($C$6&lt;Assumptions!$C$36,Assumptions!$C$44/E21,Assumptions!$C$25)</f>
        <v>6134537.780337418</v>
      </c>
    </row>
    <row r="23" spans="2:7" x14ac:dyDescent="0.25">
      <c r="B23" s="3" t="s">
        <v>97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</row>
    <row r="24" spans="2:7" x14ac:dyDescent="0.25">
      <c r="B24" s="16" t="s">
        <v>98</v>
      </c>
      <c r="C24" s="16" t="s">
        <v>99</v>
      </c>
      <c r="D24" s="16" t="s">
        <v>100</v>
      </c>
      <c r="E24" s="16" t="s">
        <v>101</v>
      </c>
      <c r="F24" s="16" t="s">
        <v>102</v>
      </c>
      <c r="G24" s="16" t="s">
        <v>103</v>
      </c>
    </row>
    <row r="25" spans="2:7" x14ac:dyDescent="0.25">
      <c r="B25" s="5" t="s">
        <v>104</v>
      </c>
      <c r="C25" s="14">
        <f>Assumptions!$C$48/(Solver!$M$26-Solver!$K$26)</f>
        <v>26.775845072798845</v>
      </c>
      <c r="D25" s="14">
        <f>$C$6*(1-Assumptions!$C$49)</f>
        <v>29.8397477428206</v>
      </c>
      <c r="E25" s="14">
        <f>MIN(C25,D25)</f>
        <v>26.775845072798845</v>
      </c>
      <c r="F25" s="15" t="str">
        <f>IF(C25&lt;D25,"cap","discount")</f>
        <v>cap</v>
      </c>
      <c r="G25" s="15">
        <f>Assumptions!$C$47/E25</f>
        <v>186735.46946532867</v>
      </c>
    </row>
    <row r="26" spans="2:7" x14ac:dyDescent="0.25">
      <c r="B26" s="5" t="s">
        <v>105</v>
      </c>
      <c r="C26" s="14">
        <f>Assumptions!$C$51/(Solver!$M$26-Solver!$L$26)</f>
        <v>42.73594874708932</v>
      </c>
      <c r="D26" s="14">
        <f>$C$6*(1-Assumptions!$C$52)</f>
        <v>31.70473197674689</v>
      </c>
      <c r="E26" s="14">
        <f>MIN(C26,D26)</f>
        <v>31.70473197674689</v>
      </c>
      <c r="F26" s="15" t="str">
        <f>IF(C26&lt;D26,"cap","discount")</f>
        <v>discount</v>
      </c>
      <c r="G26" s="15">
        <f>Assumptions!$C$50/E26</f>
        <v>94623.0992332716</v>
      </c>
    </row>
    <row r="28" spans="2:7" x14ac:dyDescent="0.25">
      <c r="B28" s="3" t="s">
        <v>106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</row>
    <row r="29" spans="2:3" x14ac:dyDescent="0.25">
      <c r="B29" s="5" t="s">
        <v>107</v>
      </c>
      <c r="C29" s="15">
        <f>Assumptions!$C$8/(Assumptions!$C$9*$C$6)</f>
        <v>473115.49616635795</v>
      </c>
    </row>
    <row r="30" spans="2:3" x14ac:dyDescent="0.25">
      <c r="B30" s="5" t="s">
        <v>108</v>
      </c>
      <c r="C30" s="15">
        <f>Assumptions!$C$72*$C$12</f>
        <v>236557.74808317897</v>
      </c>
    </row>
    <row r="31" spans="2:3" x14ac:dyDescent="0.25">
      <c r="B31" s="5" t="s">
        <v>109</v>
      </c>
      <c r="C31" s="15">
        <f>Assumptions!$C$73*$C$12</f>
        <v>147848.59255198686</v>
      </c>
    </row>
    <row r="32" spans="2:3" x14ac:dyDescent="0.25">
      <c r="B32" s="5" t="s">
        <v>110</v>
      </c>
      <c r="C32" s="15">
        <f>Assumptions!$C$74*$C$12</f>
        <v>88709.15553119211</v>
      </c>
    </row>
    <row r="33" spans="2:3" x14ac:dyDescent="0.25">
      <c r="B33" s="5" t="s">
        <v>111</v>
      </c>
      <c r="C33" s="15">
        <f>$C$12</f>
        <v>473115.49616635795</v>
      </c>
    </row>
    <row r="35" spans="2:7" x14ac:dyDescent="0.25">
      <c r="B35" s="3" t="s">
        <v>112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</row>
    <row r="36" spans="2:5" x14ac:dyDescent="0.25">
      <c r="B36" s="16" t="s">
        <v>113</v>
      </c>
      <c r="C36" s="16" t="s">
        <v>85</v>
      </c>
      <c r="D36" s="16" t="s">
        <v>103</v>
      </c>
      <c r="E36" s="16" t="s">
        <v>114</v>
      </c>
    </row>
    <row r="37" spans="2:5" x14ac:dyDescent="0.25">
      <c r="B37" s="5" t="s">
        <v>115</v>
      </c>
      <c r="C37" s="5" t="s">
        <v>116</v>
      </c>
      <c r="D37" s="15">
        <f>Assumptions!$C$16-Assumptions!$C$72*$C$12</f>
        <v>3763442.251916821</v>
      </c>
      <c r="E37" s="18">
        <f>D37/$C$10</f>
        <v>0.09816448202960722</v>
      </c>
    </row>
    <row r="38" spans="2:5" x14ac:dyDescent="0.25">
      <c r="B38" s="5" t="s">
        <v>117</v>
      </c>
      <c r="C38" s="5" t="s">
        <v>116</v>
      </c>
      <c r="D38" s="15">
        <f>Assumptions!$C$17-Assumptions!$C$73*$C$12</f>
        <v>2352151.4074480133</v>
      </c>
      <c r="E38" s="18">
        <f>D38/$C$10</f>
        <v>0.061352801268504516</v>
      </c>
    </row>
    <row r="39" spans="2:5" x14ac:dyDescent="0.25">
      <c r="B39" s="5" t="s">
        <v>118</v>
      </c>
      <c r="C39" s="5" t="s">
        <v>116</v>
      </c>
      <c r="D39" s="15">
        <f>Assumptions!$C$18-Assumptions!$C$74*$C$12</f>
        <v>1411290.8444688078</v>
      </c>
      <c r="E39" s="18">
        <f>D39/$C$10</f>
        <v>0.0368116807611027</v>
      </c>
    </row>
    <row r="40" spans="2:5" x14ac:dyDescent="0.25">
      <c r="B40" s="5" t="s">
        <v>119</v>
      </c>
      <c r="C40" s="5" t="s">
        <v>116</v>
      </c>
      <c r="D40" s="15">
        <f>Assumptions!$C$19</f>
        <v>1000000</v>
      </c>
      <c r="E40" s="18">
        <f>D40/$C$10</f>
        <v>0.02608369557938864</v>
      </c>
    </row>
    <row r="41" spans="2:5" x14ac:dyDescent="0.25">
      <c r="B41" s="5" t="s">
        <v>120</v>
      </c>
      <c r="C41" s="5" t="s">
        <v>121</v>
      </c>
      <c r="D41" s="15">
        <f>Assumptions!$C$20</f>
        <v>5000000</v>
      </c>
      <c r="E41" s="18">
        <f>D41/$C$10</f>
        <v>0.1304184778969432</v>
      </c>
    </row>
    <row r="42" spans="2:5" x14ac:dyDescent="0.25">
      <c r="B42" s="5" t="s">
        <v>122</v>
      </c>
      <c r="C42" s="5" t="s">
        <v>123</v>
      </c>
      <c r="D42" s="15">
        <f>Assumptions!$C$21</f>
        <v>5000000</v>
      </c>
      <c r="E42" s="18">
        <f>D42/$C$10</f>
        <v>0.1304184778969432</v>
      </c>
    </row>
    <row r="43" spans="2:5" x14ac:dyDescent="0.25">
      <c r="B43" s="5" t="s">
        <v>124</v>
      </c>
      <c r="C43" s="5" t="s">
        <v>125</v>
      </c>
      <c r="D43" s="15">
        <f>Assumptions!$C$22</f>
        <v>3000000</v>
      </c>
      <c r="E43" s="18">
        <f>D43/$C$10</f>
        <v>0.07825108673816593</v>
      </c>
    </row>
    <row r="44" spans="2:5" x14ac:dyDescent="0.25">
      <c r="B44" s="5" t="s">
        <v>126</v>
      </c>
      <c r="C44" s="5" t="s">
        <v>127</v>
      </c>
      <c r="D44" s="15">
        <f>Assumptions!$C$23</f>
        <v>2400000</v>
      </c>
      <c r="E44" s="18">
        <f>D44/$C$10</f>
        <v>0.06260086939053273</v>
      </c>
    </row>
    <row r="45" spans="2:5" x14ac:dyDescent="0.25">
      <c r="B45" s="5" t="s">
        <v>128</v>
      </c>
      <c r="C45" s="5" t="s">
        <v>129</v>
      </c>
      <c r="D45" s="15">
        <f>$G$20</f>
        <v>1733976.671713248</v>
      </c>
      <c r="E45" s="18">
        <f>D45/$C$10</f>
        <v>0.04522851964672987</v>
      </c>
    </row>
    <row r="46" spans="2:5" x14ac:dyDescent="0.25">
      <c r="B46" s="5" t="s">
        <v>130</v>
      </c>
      <c r="C46" s="5" t="s">
        <v>131</v>
      </c>
      <c r="D46" s="15">
        <f>$G$21</f>
        <v>6134537.780337418</v>
      </c>
      <c r="E46" s="18">
        <f>D46/$C$10</f>
        <v>0.1600114159825797</v>
      </c>
    </row>
    <row r="47" spans="2:5" x14ac:dyDescent="0.25">
      <c r="B47" s="5" t="s">
        <v>132</v>
      </c>
      <c r="C47" s="5" t="s">
        <v>133</v>
      </c>
      <c r="D47" s="15">
        <f>$G$25</f>
        <v>186735.46946532867</v>
      </c>
      <c r="E47" s="18">
        <f>D47/$C$10</f>
        <v>0.004870751139407856</v>
      </c>
    </row>
    <row r="48" spans="2:5" x14ac:dyDescent="0.25">
      <c r="B48" s="5" t="s">
        <v>134</v>
      </c>
      <c r="C48" s="5" t="s">
        <v>133</v>
      </c>
      <c r="D48" s="15">
        <f>$G$26</f>
        <v>94623.0992332716</v>
      </c>
      <c r="E48" s="18">
        <f>D48/$C$10</f>
        <v>0.002468120115178939</v>
      </c>
    </row>
    <row r="49" spans="2:5" x14ac:dyDescent="0.25">
      <c r="B49" s="5" t="s">
        <v>135</v>
      </c>
      <c r="C49" s="5" t="s">
        <v>136</v>
      </c>
      <c r="D49" s="15">
        <f>Assumptions!$C$26</f>
        <v>2500000</v>
      </c>
      <c r="E49" s="18">
        <f>D49/$C$10</f>
        <v>0.0652092389484716</v>
      </c>
    </row>
    <row r="50" spans="2:5" x14ac:dyDescent="0.25">
      <c r="B50" s="5" t="s">
        <v>137</v>
      </c>
      <c r="C50" s="5" t="s">
        <v>136</v>
      </c>
      <c r="D50" s="15">
        <f>Assumptions!$C$27+$C$11</f>
        <v>2483956.341781804</v>
      </c>
      <c r="E50" s="18">
        <f>D50/$C$10</f>
        <v>0.06479076105152842</v>
      </c>
    </row>
    <row r="51" spans="2:5" x14ac:dyDescent="0.25">
      <c r="B51" s="5" t="s">
        <v>138</v>
      </c>
      <c r="C51" s="5" t="s">
        <v>139</v>
      </c>
      <c r="D51" s="15">
        <f>Assumptions!$C$12/$C$6</f>
        <v>536197.5623218725</v>
      </c>
      <c r="E51" s="18">
        <f>D51/$C$10</f>
        <v>0.013986013986013991</v>
      </c>
    </row>
    <row r="52" spans="2:5" x14ac:dyDescent="0.25">
      <c r="B52" s="5" t="s">
        <v>140</v>
      </c>
      <c r="C52" s="5" t="s">
        <v>116</v>
      </c>
      <c r="D52" s="15">
        <f>$C$12</f>
        <v>473115.49616635795</v>
      </c>
      <c r="E52" s="18">
        <f>D52/$C$10</f>
        <v>0.012340600575894695</v>
      </c>
    </row>
    <row r="53" spans="2:5" x14ac:dyDescent="0.25">
      <c r="B53" s="5" t="s">
        <v>141</v>
      </c>
      <c r="C53" s="5" t="s">
        <v>139</v>
      </c>
      <c r="D53" s="15">
        <f>Assumptions!$C$11/$C$6</f>
        <v>268098.7811609362</v>
      </c>
      <c r="E53" s="18">
        <f>D53/$C$10</f>
        <v>0.006993006993006994</v>
      </c>
    </row>
    <row r="54" spans="2:5" x14ac:dyDescent="0.25">
      <c r="B54" s="10" t="s">
        <v>142</v>
      </c>
      <c r="C54" s="10" t="s">
        <v>3</v>
      </c>
      <c r="D54" s="11">
        <f>SUM(D37:D53)</f>
        <v>38338125.70601388</v>
      </c>
      <c r="E54" s="11">
        <f>SUM(E37:E53)</f>
        <v>1.0000000000000002</v>
      </c>
    </row>
    <row r="55" spans="2:5" x14ac:dyDescent="0.25">
      <c r="B55" s="19" t="s">
        <v>143</v>
      </c>
      <c r="C55" s="19" t="s">
        <v>3</v>
      </c>
      <c r="D55" s="19">
        <f>ROUND(D54-$C$10,0)</f>
        <v>0</v>
      </c>
      <c r="E55" s="19">
        <f>ROUND(E54-1,6)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30.205" customWidth="1"/>
    <col min="3" max="8" width="16.455" customWidth="1"/>
  </cols>
  <sheetData>
    <row r="2" ht="18" customHeight="1" spans="2:2" x14ac:dyDescent="0.25">
      <c r="B2" s="1" t="s">
        <v>144</v>
      </c>
    </row>
    <row r="3" spans="2:2" x14ac:dyDescent="0.25">
      <c r="B3" s="2" t="s">
        <v>145</v>
      </c>
    </row>
    <row r="5" spans="2:8" x14ac:dyDescent="0.25">
      <c r="B5" s="3" t="s">
        <v>146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</row>
    <row r="6" spans="2:3" x14ac:dyDescent="0.25">
      <c r="B6" s="5" t="s">
        <v>147</v>
      </c>
      <c r="C6" s="20">
        <f>Assumptions!$C$11</f>
        <v>10000000</v>
      </c>
    </row>
    <row r="7" spans="2:3" x14ac:dyDescent="0.25">
      <c r="B7" s="5" t="s">
        <v>148</v>
      </c>
      <c r="C7" s="14">
        <f>Assumptions!$C$6+Assumptions!$C$7</f>
        <v>1430000000</v>
      </c>
    </row>
    <row r="8" spans="2:3" x14ac:dyDescent="0.25">
      <c r="B8" s="5" t="s">
        <v>81</v>
      </c>
      <c r="C8" s="20">
        <f>'Pro-Forma'!$C$10</f>
        <v>38338125.70601387</v>
      </c>
    </row>
    <row r="9" spans="2:3" x14ac:dyDescent="0.25">
      <c r="B9" s="10" t="s">
        <v>149</v>
      </c>
      <c r="C9" s="21">
        <f>(Assumptions!$C$11/'Pro-Forma'!$C$6)/$C$8</f>
        <v>0.006993006993006994</v>
      </c>
    </row>
    <row r="11" spans="2:8" x14ac:dyDescent="0.25">
      <c r="B11" s="3" t="s">
        <v>150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</row>
    <row r="12" spans="2:8" x14ac:dyDescent="0.25">
      <c r="B12" s="16" t="s">
        <v>151</v>
      </c>
      <c r="D12" s="22">
        <f>Assumptions!$C$55</f>
        <v>700000000</v>
      </c>
      <c r="E12" s="22">
        <f>Assumptions!$C$56</f>
        <v>1200000000</v>
      </c>
      <c r="F12" s="22">
        <f>Assumptions!$C$57</f>
        <v>2000000000</v>
      </c>
      <c r="G12" s="22">
        <f>Assumptions!$C$58</f>
        <v>4000000000</v>
      </c>
      <c r="H12" s="22">
        <f>Assumptions!$C$59</f>
        <v>8000000000</v>
      </c>
    </row>
    <row r="13" spans="2:8" x14ac:dyDescent="0.25">
      <c r="B13" s="5" t="s">
        <v>152</v>
      </c>
      <c r="D13" s="23" t="str">
        <f>Waterfall!$D$74</f>
        <v>preference</v>
      </c>
      <c r="E13" s="23" t="str">
        <f>Waterfall!$E$74</f>
        <v>preference</v>
      </c>
      <c r="F13" s="23" t="str">
        <f>Waterfall!$F$74</f>
        <v>convert</v>
      </c>
      <c r="G13" s="23" t="str">
        <f>Waterfall!$G$74</f>
        <v>convert</v>
      </c>
      <c r="H13" s="23" t="str">
        <f>Waterfall!$H$74</f>
        <v>convert</v>
      </c>
    </row>
    <row r="14" spans="2:8" x14ac:dyDescent="0.25">
      <c r="B14" s="5" t="s">
        <v>153</v>
      </c>
      <c r="D14" s="20">
        <f>Waterfall!$D$72</f>
        <v>8.378724376828623</v>
      </c>
      <c r="E14" s="20">
        <f>Waterfall!$E$72</f>
        <v>28.420212994415678</v>
      </c>
      <c r="F14" s="20">
        <f>Waterfall!$F$72</f>
        <v>55.75877068294344</v>
      </c>
      <c r="G14" s="20">
        <f>Waterfall!$G$72</f>
        <v>111.63276324546153</v>
      </c>
      <c r="H14" s="20">
        <f>Waterfall!$H$72</f>
        <v>223.19579959320575</v>
      </c>
    </row>
    <row r="15" spans="2:8" x14ac:dyDescent="0.25">
      <c r="B15" s="24" t="s">
        <v>154</v>
      </c>
      <c r="D15" s="14">
        <f>IF(D13="preference",0.01*$C$7,0.01*$C$8*D14)</f>
        <v>14300000</v>
      </c>
      <c r="E15" s="14">
        <f>IF(E13="preference",0.01*$C$7,0.01*$C$8*E14)</f>
        <v>14300000</v>
      </c>
      <c r="F15" s="14">
        <f>IF(F13="preference",0.01*$C$7,0.01*$C$8*F14)</f>
        <v>21376867.596554864</v>
      </c>
      <c r="G15" s="14">
        <f>IF(G13="preference",0.01*$C$7,0.01*$C$8*G14)</f>
        <v>42797909.10214189</v>
      </c>
      <c r="H15" s="14">
        <f>IF(H13="preference",0.01*$C$7,0.01*$C$8*H14)</f>
        <v>85569086.21858601</v>
      </c>
    </row>
    <row r="17" spans="2:8" x14ac:dyDescent="0.25">
      <c r="B17" s="3" t="s">
        <v>155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</row>
    <row r="18" spans="2:8" x14ac:dyDescent="0.25">
      <c r="B18" s="16" t="s">
        <v>151</v>
      </c>
      <c r="D18" s="22">
        <f>Assumptions!$C$55</f>
        <v>700000000</v>
      </c>
      <c r="E18" s="22">
        <f>Assumptions!$C$56</f>
        <v>1200000000</v>
      </c>
      <c r="F18" s="22">
        <f>Assumptions!$C$57</f>
        <v>2000000000</v>
      </c>
      <c r="G18" s="22">
        <f>Assumptions!$C$58</f>
        <v>4000000000</v>
      </c>
      <c r="H18" s="22">
        <f>Assumptions!$C$59</f>
        <v>8000000000</v>
      </c>
    </row>
    <row r="19" spans="2:8" x14ac:dyDescent="0.25">
      <c r="B19" s="5" t="s">
        <v>156</v>
      </c>
      <c r="D19" s="14">
        <f>Assumptions!$C$70*Assumptions!$C$11</f>
        <v>30000000</v>
      </c>
      <c r="E19" s="14">
        <f>Assumptions!$C$70*Assumptions!$C$11</f>
        <v>30000000</v>
      </c>
      <c r="F19" s="14">
        <f>Assumptions!$C$70*Assumptions!$C$11</f>
        <v>30000000</v>
      </c>
      <c r="G19" s="14">
        <f>Assumptions!$C$70*Assumptions!$C$11</f>
        <v>30000000</v>
      </c>
      <c r="H19" s="14">
        <f>Assumptions!$C$70*Assumptions!$C$11</f>
        <v>30000000</v>
      </c>
    </row>
    <row r="20" spans="2:8" x14ac:dyDescent="0.25">
      <c r="B20" s="10" t="s">
        <v>157</v>
      </c>
      <c r="D20" s="21">
        <f>IF(D13="preference",D19/$C$7,D19/($C$8*D14))</f>
        <v>0.02097902097902098</v>
      </c>
      <c r="E20" s="21">
        <f>IF(E13="preference",E19/$C$7,E19/($C$8*E14))</f>
        <v>0.02097902097902098</v>
      </c>
      <c r="F20" s="21">
        <f>IF(F13="preference",F19/$C$7,F19/($C$8*F14))</f>
        <v>0.01403386153958069</v>
      </c>
      <c r="G20" s="21">
        <f>IF(G13="preference",G19/$C$7,G19/($C$8*G14))</f>
        <v>0.007009688236965437</v>
      </c>
      <c r="H20" s="21">
        <f>IF(H13="preference",H19/$C$7,H19/($C$8*H14))</f>
        <v>0.003505939040106736</v>
      </c>
    </row>
    <row r="21" spans="2:8" x14ac:dyDescent="0.25">
      <c r="B21" s="24" t="s">
        <v>158</v>
      </c>
      <c r="D21" s="15" t="str">
        <f>IF(OR(D20&lt;=0,D20&gt;1),"infeasible","feasible")</f>
        <v>feasible</v>
      </c>
      <c r="E21" s="15" t="str">
        <f>IF(OR(E20&lt;=0,E20&gt;1),"infeasible","feasible")</f>
        <v>feasible</v>
      </c>
      <c r="F21" s="15" t="str">
        <f>IF(OR(F20&lt;=0,F20&gt;1),"infeasible","feasible")</f>
        <v>feasible</v>
      </c>
      <c r="G21" s="15" t="str">
        <f>IF(OR(G20&lt;=0,G20&gt;1),"infeasible","feasible")</f>
        <v>feasible</v>
      </c>
      <c r="H21" s="15" t="str">
        <f>IF(OR(H20&lt;=0,H20&gt;1),"infeasible","feasible")</f>
        <v>feasible</v>
      </c>
    </row>
    <row r="23" spans="2:8" x14ac:dyDescent="0.25">
      <c r="B23" s="5" t="s">
        <v>159</v>
      </c>
      <c r="D23" s="14">
        <f>Assumptions!$C$71*Assumptions!$C$11</f>
        <v>40000000</v>
      </c>
      <c r="E23" s="14">
        <f>Assumptions!$C$71*Assumptions!$C$11</f>
        <v>40000000</v>
      </c>
      <c r="F23" s="14">
        <f>Assumptions!$C$71*Assumptions!$C$11</f>
        <v>40000000</v>
      </c>
      <c r="G23" s="14">
        <f>Assumptions!$C$71*Assumptions!$C$11</f>
        <v>40000000</v>
      </c>
      <c r="H23" s="14">
        <f>Assumptions!$C$71*Assumptions!$C$11</f>
        <v>40000000</v>
      </c>
    </row>
    <row r="24" spans="2:8" x14ac:dyDescent="0.25">
      <c r="B24" s="10" t="s">
        <v>160</v>
      </c>
      <c r="D24" s="21">
        <f>IF(D13="preference",D23/$C$7,D23/($C$8*D14))</f>
        <v>0.027972027972027972</v>
      </c>
      <c r="E24" s="21">
        <f>IF(E13="preference",E23/$C$7,E23/($C$8*E14))</f>
        <v>0.027972027972027972</v>
      </c>
      <c r="F24" s="21">
        <f>IF(F13="preference",F23/$C$7,F23/($C$8*F14))</f>
        <v>0.018711815386107587</v>
      </c>
      <c r="G24" s="21">
        <f>IF(G13="preference",G23/$C$7,G23/($C$8*G14))</f>
        <v>0.009346250982620583</v>
      </c>
      <c r="H24" s="21">
        <f>IF(H13="preference",H23/$C$7,H23/($C$8*H14))</f>
        <v>0.004674585386808981</v>
      </c>
    </row>
    <row r="25" spans="2:8" x14ac:dyDescent="0.25">
      <c r="B25" s="24" t="s">
        <v>161</v>
      </c>
      <c r="D25" s="15" t="str">
        <f>IF(OR(D24&lt;=0,D24&gt;1),"infeasible","feasible")</f>
        <v>feasible</v>
      </c>
      <c r="E25" s="15" t="str">
        <f>IF(OR(E24&lt;=0,E24&gt;1),"infeasible","feasible")</f>
        <v>feasible</v>
      </c>
      <c r="F25" s="15" t="str">
        <f>IF(OR(F24&lt;=0,F24&gt;1),"infeasible","feasible")</f>
        <v>feasible</v>
      </c>
      <c r="G25" s="15" t="str">
        <f>IF(OR(G24&lt;=0,G24&gt;1),"infeasible","feasible")</f>
        <v>feasible</v>
      </c>
      <c r="H25" s="15" t="str">
        <f>IF(OR(H24&lt;=0,H24&gt;1),"infeasible","feasible")</f>
        <v>feasible</v>
      </c>
    </row>
    <row r="27" spans="2:8" x14ac:dyDescent="0.25">
      <c r="B27" s="3" t="s">
        <v>162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</row>
    <row r="28" spans="2:8" x14ac:dyDescent="0.25">
      <c r="B28" s="5" t="s">
        <v>163</v>
      </c>
      <c r="D28" s="25">
        <f>$C$9</f>
        <v>0.006993006993006994</v>
      </c>
      <c r="E28" s="25">
        <f>$C$9</f>
        <v>0.006993006993006994</v>
      </c>
      <c r="F28" s="25">
        <f>$C$9</f>
        <v>0.006993006993006994</v>
      </c>
      <c r="G28" s="25">
        <f>$C$9</f>
        <v>0.006993006993006994</v>
      </c>
      <c r="H28" s="25">
        <f>$C$9</f>
        <v>0.006993006993006994</v>
      </c>
    </row>
    <row r="29" spans="2:8" x14ac:dyDescent="0.25">
      <c r="B29" s="10" t="s">
        <v>164</v>
      </c>
      <c r="D29" s="26">
        <f>(IF(D13="preference",$C$9*$C$7,$C$9*$C$8*D14))/Assumptions!$C$11</f>
        <v>1.0000000000000002</v>
      </c>
      <c r="E29" s="26">
        <f>(IF(E13="preference",$C$9*$C$7,$C$9*$C$8*E14))/Assumptions!$C$11</f>
        <v>1.0000000000000002</v>
      </c>
      <c r="F29" s="26">
        <f>(IF(F13="preference",$C$9*$C$7,$C$9*$C$8*F14))/Assumptions!$C$11</f>
        <v>1.4948858459129277</v>
      </c>
      <c r="G29" s="26">
        <f>(IF(G13="preference",$C$9*$C$7,$C$9*$C$8*G14))/Assumptions!$C$11</f>
        <v>2.992860776373559</v>
      </c>
      <c r="H29" s="26">
        <f>(IF(H13="preference",$C$9*$C$7,$C$9*$C$8*H14))/Assumptions!$C$11</f>
        <v>5.983852183117904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9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30.205" customWidth="1"/>
    <col min="3" max="14" width="13.955" customWidth="1"/>
  </cols>
  <sheetData>
    <row r="2" ht="18" customHeight="1" spans="2:2" x14ac:dyDescent="0.25">
      <c r="B2" s="1" t="s">
        <v>165</v>
      </c>
    </row>
    <row r="3" spans="2:2" x14ac:dyDescent="0.25">
      <c r="B3" s="2" t="s">
        <v>166</v>
      </c>
    </row>
    <row r="5" spans="2:14" x14ac:dyDescent="0.25">
      <c r="B5" s="3" t="s">
        <v>167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</row>
    <row r="6" spans="2:5" x14ac:dyDescent="0.25">
      <c r="B6" s="24" t="s">
        <v>168</v>
      </c>
      <c r="C6" s="20">
        <f>Assumptions!$C$65</f>
        <v>1200000000</v>
      </c>
      <c r="D6" s="25">
        <f>Assumptions!$C$62</f>
        <v>0.11</v>
      </c>
      <c r="E6" s="14">
        <f>C6+Assumptions!$C$7</f>
        <v>1230000000</v>
      </c>
    </row>
    <row r="7" spans="2:14" x14ac:dyDescent="0.25">
      <c r="B7" s="16" t="s">
        <v>169</v>
      </c>
      <c r="D7" s="16" t="s">
        <v>170</v>
      </c>
      <c r="E7" s="16" t="s">
        <v>171</v>
      </c>
      <c r="F7" s="16" t="s">
        <v>172</v>
      </c>
      <c r="G7" s="16" t="s">
        <v>173</v>
      </c>
      <c r="H7" s="16" t="s">
        <v>174</v>
      </c>
      <c r="I7" s="16" t="s">
        <v>175</v>
      </c>
      <c r="J7" s="16" t="s">
        <v>176</v>
      </c>
      <c r="K7" s="16" t="s">
        <v>177</v>
      </c>
      <c r="L7" s="16" t="s">
        <v>178</v>
      </c>
      <c r="M7" s="16" t="s">
        <v>179</v>
      </c>
      <c r="N7" s="16" t="s">
        <v>180</v>
      </c>
    </row>
    <row r="8" spans="2:14" x14ac:dyDescent="0.25">
      <c r="B8" s="15">
        <v>1</v>
      </c>
      <c r="D8" s="14">
        <f>($C$6+Assumptions!$C$7)/Assumptions!$C$28</f>
        <v>33.59007346149066</v>
      </c>
      <c r="E8" s="15">
        <f>Assumptions!$C$28+Assumptions!$C$7/D8</f>
        <v>37511082</v>
      </c>
      <c r="F8" s="14">
        <f>IF(D8&lt;Assumptions!$C$35,(Assumptions!$C$35*Assumptions!$C$28+Assumptions!$C$7)/E8,Assumptions!$C$35)</f>
        <v>57.53434048717835</v>
      </c>
      <c r="G8" s="14">
        <f>IF(D8&lt;Assumptions!$C$36,(Assumptions!$C$36*Assumptions!$C$28+Assumptions!$C$7)/E8,Assumptions!$C$36)</f>
        <v>48.78763867765454</v>
      </c>
      <c r="H8" s="15">
        <f>IF(D8&lt;Assumptions!$C$35,Assumptions!$C$43/F8,Assumptions!$C$24)</f>
        <v>1738092.4010467315</v>
      </c>
      <c r="I8" s="15">
        <f>IF(D8&lt;Assumptions!$C$36,Assumptions!$C$44/G8,Assumptions!$C$25)</f>
        <v>6149098.58585561</v>
      </c>
      <c r="J8" s="15">
        <f>MAX(0,$D$6*($C$6+Assumptions!$C$7)/D8-Assumptions!$C$26-Assumptions!$C$27)</f>
        <v>0</v>
      </c>
      <c r="K8" s="15">
        <v>0</v>
      </c>
      <c r="L8" s="15">
        <v>0</v>
      </c>
      <c r="M8" s="15">
        <f>Assumptions!$C$28+(H8-Assumptions!$C$24)+(I8-Assumptions!$C$25)+J8+K8+L8</f>
        <v>36681857.98690234</v>
      </c>
      <c r="N8" s="14">
        <f>$C$6/M8</f>
        <v>32.71371914771801</v>
      </c>
    </row>
    <row r="9" spans="2:14" x14ac:dyDescent="0.25">
      <c r="B9" s="15">
        <v>2</v>
      </c>
      <c r="D9" s="14">
        <f>N8</f>
        <v>32.71371914771801</v>
      </c>
      <c r="E9" s="15">
        <f>Assumptions!$C$28+Assumptions!$C$7/D9</f>
        <v>37535007.44967256</v>
      </c>
      <c r="F9" s="14">
        <f>IF(D9&lt;Assumptions!$C$35,(Assumptions!$C$35*Assumptions!$C$28+Assumptions!$C$7)/E9,Assumptions!$C$35)</f>
        <v>57.497667123795765</v>
      </c>
      <c r="G9" s="14">
        <f>IF(D9&lt;Assumptions!$C$36,(Assumptions!$C$36*Assumptions!$C$28+Assumptions!$C$7)/E9,Assumptions!$C$36)</f>
        <v>48.756540610193376</v>
      </c>
      <c r="H9" s="15">
        <f>IF(D9&lt;Assumptions!$C$35,Assumptions!$C$43/F9,Assumptions!$C$24)</f>
        <v>1739200.9972281882</v>
      </c>
      <c r="I9" s="15">
        <f>IF(D9&lt;Assumptions!$C$36,Assumptions!$C$44/G9,Assumptions!$C$25)</f>
        <v>6153020.625447736</v>
      </c>
      <c r="J9" s="15">
        <f>MAX(0,$D$6*($C$6+Assumptions!$C$7)/D9-Assumptions!$C$26-Assumptions!$C$27)</f>
        <v>0</v>
      </c>
      <c r="K9" s="15">
        <f>IF((M8-K8)&lt;=0,0,Assumptions!$C$47/MIN(Assumptions!$C$48/(M8-K8),D9*(1-Assumptions!$C$49)))</f>
        <v>191051.34368178307</v>
      </c>
      <c r="L9" s="15">
        <f>IF((M8-L8)&lt;=0,0,Assumptions!$C$50/MIN(Assumptions!$C$51/(M8-L8),D9*(1-Assumptions!$C$52)))</f>
        <v>107887.8176085363</v>
      </c>
      <c r="M9" s="15">
        <f>Assumptions!$C$28+(H9-Assumptions!$C$24)+(I9-Assumptions!$C$25)+J9+K9+L9</f>
        <v>36985827.78396624</v>
      </c>
      <c r="N9" s="14">
        <f>$C$6/M9</f>
        <v>32.44485988009205</v>
      </c>
    </row>
    <row r="10" spans="2:14" x14ac:dyDescent="0.25">
      <c r="B10" s="15">
        <v>3</v>
      </c>
      <c r="D10" s="14">
        <f>N9</f>
        <v>32.44485988009205</v>
      </c>
      <c r="E10" s="15">
        <f>Assumptions!$C$28+Assumptions!$C$7/D10</f>
        <v>37542606.69459916</v>
      </c>
      <c r="F10" s="14">
        <f>IF(D10&lt;Assumptions!$C$35,(Assumptions!$C$35*Assumptions!$C$28+Assumptions!$C$7)/E10,Assumptions!$C$35)</f>
        <v>57.486028644381264</v>
      </c>
      <c r="G10" s="14">
        <f>IF(D10&lt;Assumptions!$C$36,(Assumptions!$C$36*Assumptions!$C$28+Assumptions!$C$7)/E10,Assumptions!$C$36)</f>
        <v>48.74667147945121</v>
      </c>
      <c r="H10" s="15">
        <f>IF(D10&lt;Assumptions!$C$35,Assumptions!$C$43/F10,Assumptions!$C$24)</f>
        <v>1739553.1115676416</v>
      </c>
      <c r="I10" s="15">
        <f>IF(D10&lt;Assumptions!$C$36,Assumptions!$C$44/G10,Assumptions!$C$25)</f>
        <v>6154266.350810491</v>
      </c>
      <c r="J10" s="15">
        <f>MAX(0,$D$6*($C$6+Assumptions!$C$7)/D10-Assumptions!$C$26-Assumptions!$C$27)</f>
        <v>0</v>
      </c>
      <c r="K10" s="15">
        <f>IF((M9-K9)&lt;=0,0,Assumptions!$C$47/MIN(Assumptions!$C$48/(M9-K9),D10*(1-Assumptions!$C$49)))</f>
        <v>192634.5197081575</v>
      </c>
      <c r="L10" s="15">
        <f>IF((M9-L9)&lt;=0,0,Assumptions!$C$50/MIN(Assumptions!$C$51/(M9-L9),D10*(1-Assumptions!$C$52)))</f>
        <v>108781.8464234301</v>
      </c>
      <c r="M10" s="15">
        <f>Assumptions!$C$28+(H10-Assumptions!$C$24)+(I10-Assumptions!$C$25)+J10+K10+L10</f>
        <v>36989902.82850972</v>
      </c>
      <c r="N10" s="14">
        <f>$C$6/M10</f>
        <v>32.44128554658187</v>
      </c>
    </row>
    <row r="11" spans="2:14" x14ac:dyDescent="0.25">
      <c r="B11" s="15">
        <v>4</v>
      </c>
      <c r="D11" s="14">
        <f>N10</f>
        <v>32.44128554658187</v>
      </c>
      <c r="E11" s="15">
        <f>Assumptions!$C$28+Assumptions!$C$7/D11</f>
        <v>37542708.570712745</v>
      </c>
      <c r="F11" s="14">
        <f>IF(D11&lt;Assumptions!$C$35,(Assumptions!$C$35*Assumptions!$C$28+Assumptions!$C$7)/E11,Assumptions!$C$35)</f>
        <v>57.48587264995766</v>
      </c>
      <c r="G11" s="14">
        <f>IF(D11&lt;Assumptions!$C$36,(Assumptions!$C$36*Assumptions!$C$28+Assumptions!$C$7)/E11,Assumptions!$C$36)</f>
        <v>48.74653920019834</v>
      </c>
      <c r="H11" s="15">
        <f>IF(D11&lt;Assumptions!$C$35,Assumptions!$C$43/F11,Assumptions!$C$24)</f>
        <v>1739557.8320419504</v>
      </c>
      <c r="I11" s="15">
        <f>IF(D11&lt;Assumptions!$C$36,Assumptions!$C$44/G11,Assumptions!$C$25)</f>
        <v>6154283.051108977</v>
      </c>
      <c r="J11" s="15">
        <f>MAX(0,$D$6*($C$6+Assumptions!$C$7)/D11-Assumptions!$C$26-Assumptions!$C$27)</f>
        <v>0</v>
      </c>
      <c r="K11" s="15">
        <f>IF((M10-K10)&lt;=0,0,Assumptions!$C$47/MIN(Assumptions!$C$48/(M10-K10),D11*(1-Assumptions!$C$49)))</f>
        <v>192655.7438984881</v>
      </c>
      <c r="L11" s="15">
        <f>IF((M10-L10)&lt;=0,0,Assumptions!$C$50/MIN(Assumptions!$C$51/(M10-L10),D11*(1-Assumptions!$C$52)))</f>
        <v>108793.83184855798</v>
      </c>
      <c r="M11" s="15">
        <f>Assumptions!$C$28+(H11-Assumptions!$C$24)+(I11-Assumptions!$C$25)+J11+K11+L11</f>
        <v>36989957.45889798</v>
      </c>
      <c r="N11" s="14">
        <f>$C$6/M11</f>
        <v>32.44123763411732</v>
      </c>
    </row>
    <row r="12" spans="2:14" x14ac:dyDescent="0.25">
      <c r="B12" s="15">
        <v>5</v>
      </c>
      <c r="D12" s="14">
        <f>N11</f>
        <v>32.44123763411732</v>
      </c>
      <c r="E12" s="15">
        <f>Assumptions!$C$28+Assumptions!$C$7/D12</f>
        <v>37542709.93647245</v>
      </c>
      <c r="F12" s="14">
        <f>IF(D12&lt;Assumptions!$C$35,(Assumptions!$C$35*Assumptions!$C$28+Assumptions!$C$7)/E12,Assumptions!$C$35)</f>
        <v>57.485870558689115</v>
      </c>
      <c r="G12" s="14">
        <f>IF(D12&lt;Assumptions!$C$36,(Assumptions!$C$36*Assumptions!$C$28+Assumptions!$C$7)/E12,Assumptions!$C$36)</f>
        <v>48.746537426856484</v>
      </c>
      <c r="H12" s="15">
        <f>IF(D12&lt;Assumptions!$C$35,Assumptions!$C$43/F12,Assumptions!$C$24)</f>
        <v>1739557.895325024</v>
      </c>
      <c r="I12" s="15">
        <f>IF(D12&lt;Assumptions!$C$36,Assumptions!$C$44/G12,Assumptions!$C$25)</f>
        <v>6154283.274994576</v>
      </c>
      <c r="J12" s="15">
        <f>MAX(0,$D$6*($C$6+Assumptions!$C$7)/D12-Assumptions!$C$26-Assumptions!$C$27)</f>
        <v>0</v>
      </c>
      <c r="K12" s="15">
        <f>IF((M11-K11)&lt;=0,0,Assumptions!$C$47/MIN(Assumptions!$C$48/(M11-K11),D12*(1-Assumptions!$C$49)))</f>
        <v>192656.02843176032</v>
      </c>
      <c r="L12" s="15">
        <f>IF((M11-L11)&lt;=0,0,Assumptions!$C$50/MIN(Assumptions!$C$51/(M11-L11),D12*(1-Assumptions!$C$52)))</f>
        <v>108793.99252617055</v>
      </c>
      <c r="M12" s="15">
        <f>Assumptions!$C$28+(H12-Assumptions!$C$24)+(I12-Assumptions!$C$25)+J12+K12+L12</f>
        <v>36989958.19127754</v>
      </c>
      <c r="N12" s="14">
        <f>$C$6/M12</f>
        <v>32.44123699179978</v>
      </c>
    </row>
    <row r="13" spans="2:14" x14ac:dyDescent="0.25">
      <c r="B13" s="15">
        <v>6</v>
      </c>
      <c r="D13" s="14">
        <f>N12</f>
        <v>32.44123699179978</v>
      </c>
      <c r="E13" s="15">
        <f>Assumptions!$C$28+Assumptions!$C$7/D13</f>
        <v>37542709.954781935</v>
      </c>
      <c r="F13" s="14">
        <f>IF(D13&lt;Assumptions!$C$35,(Assumptions!$C$35*Assumptions!$C$28+Assumptions!$C$7)/E13,Assumptions!$C$35)</f>
        <v>57.4858705306534</v>
      </c>
      <c r="G13" s="14">
        <f>IF(D13&lt;Assumptions!$C$36,(Assumptions!$C$36*Assumptions!$C$28+Assumptions!$C$7)/E13,Assumptions!$C$36)</f>
        <v>48.74653740308292</v>
      </c>
      <c r="H13" s="15">
        <f>IF(D13&lt;Assumptions!$C$35,Assumptions!$C$43/F13,Assumptions!$C$24)</f>
        <v>1739557.896173402</v>
      </c>
      <c r="I13" s="15">
        <f>IF(D13&lt;Assumptions!$C$36,Assumptions!$C$44/G13,Assumptions!$C$25)</f>
        <v>6154283.277996005</v>
      </c>
      <c r="J13" s="15">
        <f>MAX(0,$D$6*($C$6+Assumptions!$C$7)/D13-Assumptions!$C$26-Assumptions!$C$27)</f>
        <v>0</v>
      </c>
      <c r="K13" s="15">
        <f>IF((M12-K12)&lt;=0,0,Assumptions!$C$47/MIN(Assumptions!$C$48/(M12-K12),D13*(1-Assumptions!$C$49)))</f>
        <v>192656.03224623716</v>
      </c>
      <c r="L13" s="15">
        <f>IF((M12-L12)&lt;=0,0,Assumptions!$C$50/MIN(Assumptions!$C$51/(M12-L12),D13*(1-Assumptions!$C$52)))</f>
        <v>108793.99468022803</v>
      </c>
      <c r="M13" s="15">
        <f>Assumptions!$C$28+(H13-Assumptions!$C$24)+(I13-Assumptions!$C$25)+J13+K13+L13</f>
        <v>36989958.20109587</v>
      </c>
      <c r="N13" s="14">
        <f>$C$6/M13</f>
        <v>32.44123698318882</v>
      </c>
    </row>
    <row r="14" spans="2:14" x14ac:dyDescent="0.25">
      <c r="B14" s="15">
        <v>7</v>
      </c>
      <c r="D14" s="14">
        <f>N13</f>
        <v>32.44123698318882</v>
      </c>
      <c r="E14" s="15">
        <f>Assumptions!$C$28+Assumptions!$C$7/D14</f>
        <v>37542709.955027394</v>
      </c>
      <c r="F14" s="14">
        <f>IF(D14&lt;Assumptions!$C$35,(Assumptions!$C$35*Assumptions!$C$28+Assumptions!$C$7)/E14,Assumptions!$C$35)</f>
        <v>57.48587053027755</v>
      </c>
      <c r="G14" s="14">
        <f>IF(D14&lt;Assumptions!$C$36,(Assumptions!$C$36*Assumptions!$C$28+Assumptions!$C$7)/E14,Assumptions!$C$36)</f>
        <v>48.746537402764204</v>
      </c>
      <c r="H14" s="15">
        <f>IF(D14&lt;Assumptions!$C$35,Assumptions!$C$43/F14,Assumptions!$C$24)</f>
        <v>1739557.8961847755</v>
      </c>
      <c r="I14" s="15">
        <f>IF(D14&lt;Assumptions!$C$36,Assumptions!$C$44/G14,Assumptions!$C$25)</f>
        <v>6154283.278036242</v>
      </c>
      <c r="J14" s="15">
        <f>MAX(0,$D$6*($C$6+Assumptions!$C$7)/D14-Assumptions!$C$26-Assumptions!$C$27)</f>
        <v>0</v>
      </c>
      <c r="K14" s="15">
        <f>IF((M13-K13)&lt;=0,0,Assumptions!$C$47/MIN(Assumptions!$C$48/(M13-K13),D14*(1-Assumptions!$C$49)))</f>
        <v>192656.03229737433</v>
      </c>
      <c r="L14" s="15">
        <f>IF((M13-L13)&lt;=0,0,Assumptions!$C$50/MIN(Assumptions!$C$51/(M13-L13),D14*(1-Assumptions!$C$52)))</f>
        <v>108793.99470910551</v>
      </c>
      <c r="M14" s="15">
        <f>Assumptions!$C$28+(H14-Assumptions!$C$24)+(I14-Assumptions!$C$25)+J14+K14+L14</f>
        <v>36989958.201227486</v>
      </c>
      <c r="N14" s="14">
        <f>$C$6/M14</f>
        <v>32.44123698307339</v>
      </c>
    </row>
    <row r="15" spans="2:14" x14ac:dyDescent="0.25">
      <c r="B15" s="15">
        <v>8</v>
      </c>
      <c r="D15" s="14">
        <f>N14</f>
        <v>32.44123698307339</v>
      </c>
      <c r="E15" s="15">
        <f>Assumptions!$C$28+Assumptions!$C$7/D15</f>
        <v>37542709.95503069</v>
      </c>
      <c r="F15" s="14">
        <f>IF(D15&lt;Assumptions!$C$35,(Assumptions!$C$35*Assumptions!$C$28+Assumptions!$C$7)/E15,Assumptions!$C$35)</f>
        <v>57.48587053027251</v>
      </c>
      <c r="G15" s="14">
        <f>IF(D15&lt;Assumptions!$C$36,(Assumptions!$C$36*Assumptions!$C$28+Assumptions!$C$7)/E15,Assumptions!$C$36)</f>
        <v>48.74653740275993</v>
      </c>
      <c r="H15" s="15">
        <f>IF(D15&lt;Assumptions!$C$35,Assumptions!$C$43/F15,Assumptions!$C$24)</f>
        <v>1739557.896184928</v>
      </c>
      <c r="I15" s="15">
        <f>IF(D15&lt;Assumptions!$C$36,Assumptions!$C$44/G15,Assumptions!$C$25)</f>
        <v>6154283.2780367825</v>
      </c>
      <c r="J15" s="15">
        <f>MAX(0,$D$6*($C$6+Assumptions!$C$7)/D15-Assumptions!$C$26-Assumptions!$C$27)</f>
        <v>0</v>
      </c>
      <c r="K15" s="15">
        <f>IF((M14-K14)&lt;=0,0,Assumptions!$C$47/MIN(Assumptions!$C$48/(M14-K14),D15*(1-Assumptions!$C$49)))</f>
        <v>192656.0322980598</v>
      </c>
      <c r="L15" s="15">
        <f>IF((M14-L14)&lt;=0,0,Assumptions!$C$50/MIN(Assumptions!$C$51/(M14-L14),D15*(1-Assumptions!$C$52)))</f>
        <v>108793.99470949262</v>
      </c>
      <c r="M15" s="15">
        <f>Assumptions!$C$28+(H15-Assumptions!$C$24)+(I15-Assumptions!$C$25)+J15+K15+L15</f>
        <v>36989958.20122926</v>
      </c>
      <c r="N15" s="14">
        <f>$C$6/M15</f>
        <v>32.44123698307183</v>
      </c>
    </row>
    <row r="16" spans="2:14" x14ac:dyDescent="0.25">
      <c r="B16" s="15">
        <v>9</v>
      </c>
      <c r="D16" s="14">
        <f>N15</f>
        <v>32.44123698307183</v>
      </c>
      <c r="E16" s="15">
        <f>Assumptions!$C$28+Assumptions!$C$7/D16</f>
        <v>37542709.95503073</v>
      </c>
      <c r="F16" s="14">
        <f>IF(D16&lt;Assumptions!$C$35,(Assumptions!$C$35*Assumptions!$C$28+Assumptions!$C$7)/E16,Assumptions!$C$35)</f>
        <v>57.48587053027244</v>
      </c>
      <c r="G16" s="14">
        <f>IF(D16&lt;Assumptions!$C$36,(Assumptions!$C$36*Assumptions!$C$28+Assumptions!$C$7)/E16,Assumptions!$C$36)</f>
        <v>48.74653740275988</v>
      </c>
      <c r="H16" s="15">
        <f>IF(D16&lt;Assumptions!$C$35,Assumptions!$C$43/F16,Assumptions!$C$24)</f>
        <v>1739557.89618493</v>
      </c>
      <c r="I16" s="15">
        <f>IF(D16&lt;Assumptions!$C$36,Assumptions!$C$44/G16,Assumptions!$C$25)</f>
        <v>6154283.278036789</v>
      </c>
      <c r="J16" s="15">
        <f>MAX(0,$D$6*($C$6+Assumptions!$C$7)/D16-Assumptions!$C$26-Assumptions!$C$27)</f>
        <v>0</v>
      </c>
      <c r="K16" s="15">
        <f>IF((M15-K15)&lt;=0,0,Assumptions!$C$47/MIN(Assumptions!$C$48/(M15-K15),D16*(1-Assumptions!$C$49)))</f>
        <v>192656.0322980691</v>
      </c>
      <c r="L16" s="15">
        <f>IF((M15-L15)&lt;=0,0,Assumptions!$C$50/MIN(Assumptions!$C$51/(M15-L15),D16*(1-Assumptions!$C$52)))</f>
        <v>108793.99470949784</v>
      </c>
      <c r="M16" s="15">
        <f>Assumptions!$C$28+(H16-Assumptions!$C$24)+(I16-Assumptions!$C$25)+J16+K16+L16</f>
        <v>36989958.20122929</v>
      </c>
      <c r="N16" s="14">
        <f>$C$6/M16</f>
        <v>32.44123698307181</v>
      </c>
    </row>
    <row r="17" spans="2:14" x14ac:dyDescent="0.25">
      <c r="B17" s="15">
        <v>10</v>
      </c>
      <c r="D17" s="14">
        <f>N16</f>
        <v>32.44123698307181</v>
      </c>
      <c r="E17" s="15">
        <f>Assumptions!$C$28+Assumptions!$C$7/D17</f>
        <v>37542709.95503073</v>
      </c>
      <c r="F17" s="14">
        <f>IF(D17&lt;Assumptions!$C$35,(Assumptions!$C$35*Assumptions!$C$28+Assumptions!$C$7)/E17,Assumptions!$C$35)</f>
        <v>57.48587053027244</v>
      </c>
      <c r="G17" s="14">
        <f>IF(D17&lt;Assumptions!$C$36,(Assumptions!$C$36*Assumptions!$C$28+Assumptions!$C$7)/E17,Assumptions!$C$36)</f>
        <v>48.74653740275988</v>
      </c>
      <c r="H17" s="15">
        <f>IF(D17&lt;Assumptions!$C$35,Assumptions!$C$43/F17,Assumptions!$C$24)</f>
        <v>1739557.89618493</v>
      </c>
      <c r="I17" s="15">
        <f>IF(D17&lt;Assumptions!$C$36,Assumptions!$C$44/G17,Assumptions!$C$25)</f>
        <v>6154283.278036789</v>
      </c>
      <c r="J17" s="15">
        <f>MAX(0,$D$6*($C$6+Assumptions!$C$7)/D17-Assumptions!$C$26-Assumptions!$C$27)</f>
        <v>0</v>
      </c>
      <c r="K17" s="15">
        <f>IF((M16-K16)&lt;=0,0,Assumptions!$C$47/MIN(Assumptions!$C$48/(M16-K16),D17*(1-Assumptions!$C$49)))</f>
        <v>192656.03229806919</v>
      </c>
      <c r="L17" s="15">
        <f>IF((M16-L16)&lt;=0,0,Assumptions!$C$50/MIN(Assumptions!$C$51/(M16-L16),D17*(1-Assumptions!$C$52)))</f>
        <v>108793.99470949791</v>
      </c>
      <c r="M17" s="15">
        <f>Assumptions!$C$28+(H17-Assumptions!$C$24)+(I17-Assumptions!$C$25)+J17+K17+L17</f>
        <v>36989958.20122929</v>
      </c>
      <c r="N17" s="14">
        <f>$C$6/M17</f>
        <v>32.44123698307181</v>
      </c>
    </row>
    <row r="18" spans="2:14" x14ac:dyDescent="0.25">
      <c r="B18" s="15">
        <v>11</v>
      </c>
      <c r="D18" s="14">
        <f>N17</f>
        <v>32.44123698307181</v>
      </c>
      <c r="E18" s="15">
        <f>Assumptions!$C$28+Assumptions!$C$7/D18</f>
        <v>37542709.95503073</v>
      </c>
      <c r="F18" s="14">
        <f>IF(D18&lt;Assumptions!$C$35,(Assumptions!$C$35*Assumptions!$C$28+Assumptions!$C$7)/E18,Assumptions!$C$35)</f>
        <v>57.48587053027244</v>
      </c>
      <c r="G18" s="14">
        <f>IF(D18&lt;Assumptions!$C$36,(Assumptions!$C$36*Assumptions!$C$28+Assumptions!$C$7)/E18,Assumptions!$C$36)</f>
        <v>48.74653740275988</v>
      </c>
      <c r="H18" s="15">
        <f>IF(D18&lt;Assumptions!$C$35,Assumptions!$C$43/F18,Assumptions!$C$24)</f>
        <v>1739557.89618493</v>
      </c>
      <c r="I18" s="15">
        <f>IF(D18&lt;Assumptions!$C$36,Assumptions!$C$44/G18,Assumptions!$C$25)</f>
        <v>6154283.278036789</v>
      </c>
      <c r="J18" s="15">
        <f>MAX(0,$D$6*($C$6+Assumptions!$C$7)/D18-Assumptions!$C$26-Assumptions!$C$27)</f>
        <v>0</v>
      </c>
      <c r="K18" s="15">
        <f>IF((M17-K17)&lt;=0,0,Assumptions!$C$47/MIN(Assumptions!$C$48/(M17-K17),D18*(1-Assumptions!$C$49)))</f>
        <v>192656.03229806919</v>
      </c>
      <c r="L18" s="15">
        <f>IF((M17-L17)&lt;=0,0,Assumptions!$C$50/MIN(Assumptions!$C$51/(M17-L17),D18*(1-Assumptions!$C$52)))</f>
        <v>108793.99470949791</v>
      </c>
      <c r="M18" s="15">
        <f>Assumptions!$C$28+(H18-Assumptions!$C$24)+(I18-Assumptions!$C$25)+J18+K18+L18</f>
        <v>36989958.20122929</v>
      </c>
      <c r="N18" s="14">
        <f>$C$6/M18</f>
        <v>32.44123698307181</v>
      </c>
    </row>
    <row r="19" spans="2:14" x14ac:dyDescent="0.25">
      <c r="B19" s="15">
        <v>12</v>
      </c>
      <c r="D19" s="14">
        <f>N18</f>
        <v>32.44123698307181</v>
      </c>
      <c r="E19" s="15">
        <f>Assumptions!$C$28+Assumptions!$C$7/D19</f>
        <v>37542709.95503073</v>
      </c>
      <c r="F19" s="14">
        <f>IF(D19&lt;Assumptions!$C$35,(Assumptions!$C$35*Assumptions!$C$28+Assumptions!$C$7)/E19,Assumptions!$C$35)</f>
        <v>57.48587053027244</v>
      </c>
      <c r="G19" s="14">
        <f>IF(D19&lt;Assumptions!$C$36,(Assumptions!$C$36*Assumptions!$C$28+Assumptions!$C$7)/E19,Assumptions!$C$36)</f>
        <v>48.74653740275988</v>
      </c>
      <c r="H19" s="15">
        <f>IF(D19&lt;Assumptions!$C$35,Assumptions!$C$43/F19,Assumptions!$C$24)</f>
        <v>1739557.89618493</v>
      </c>
      <c r="I19" s="15">
        <f>IF(D19&lt;Assumptions!$C$36,Assumptions!$C$44/G19,Assumptions!$C$25)</f>
        <v>6154283.278036789</v>
      </c>
      <c r="J19" s="15">
        <f>MAX(0,$D$6*($C$6+Assumptions!$C$7)/D19-Assumptions!$C$26-Assumptions!$C$27)</f>
        <v>0</v>
      </c>
      <c r="K19" s="15">
        <f>IF((M18-K18)&lt;=0,0,Assumptions!$C$47/MIN(Assumptions!$C$48/(M18-K18),D19*(1-Assumptions!$C$49)))</f>
        <v>192656.03229806919</v>
      </c>
      <c r="L19" s="15">
        <f>IF((M18-L18)&lt;=0,0,Assumptions!$C$50/MIN(Assumptions!$C$51/(M18-L18),D19*(1-Assumptions!$C$52)))</f>
        <v>108793.99470949791</v>
      </c>
      <c r="M19" s="15">
        <f>Assumptions!$C$28+(H19-Assumptions!$C$24)+(I19-Assumptions!$C$25)+J19+K19+L19</f>
        <v>36989958.20122929</v>
      </c>
      <c r="N19" s="14">
        <f>$C$6/M19</f>
        <v>32.44123698307181</v>
      </c>
    </row>
    <row r="20" spans="2:14" x14ac:dyDescent="0.25">
      <c r="B20" s="15">
        <v>13</v>
      </c>
      <c r="D20" s="14">
        <f>N19</f>
        <v>32.44123698307181</v>
      </c>
      <c r="E20" s="15">
        <f>Assumptions!$C$28+Assumptions!$C$7/D20</f>
        <v>37542709.95503073</v>
      </c>
      <c r="F20" s="14">
        <f>IF(D20&lt;Assumptions!$C$35,(Assumptions!$C$35*Assumptions!$C$28+Assumptions!$C$7)/E20,Assumptions!$C$35)</f>
        <v>57.48587053027244</v>
      </c>
      <c r="G20" s="14">
        <f>IF(D20&lt;Assumptions!$C$36,(Assumptions!$C$36*Assumptions!$C$28+Assumptions!$C$7)/E20,Assumptions!$C$36)</f>
        <v>48.74653740275988</v>
      </c>
      <c r="H20" s="15">
        <f>IF(D20&lt;Assumptions!$C$35,Assumptions!$C$43/F20,Assumptions!$C$24)</f>
        <v>1739557.89618493</v>
      </c>
      <c r="I20" s="15">
        <f>IF(D20&lt;Assumptions!$C$36,Assumptions!$C$44/G20,Assumptions!$C$25)</f>
        <v>6154283.278036789</v>
      </c>
      <c r="J20" s="15">
        <f>MAX(0,$D$6*($C$6+Assumptions!$C$7)/D20-Assumptions!$C$26-Assumptions!$C$27)</f>
        <v>0</v>
      </c>
      <c r="K20" s="15">
        <f>IF((M19-K19)&lt;=0,0,Assumptions!$C$47/MIN(Assumptions!$C$48/(M19-K19),D20*(1-Assumptions!$C$49)))</f>
        <v>192656.03229806919</v>
      </c>
      <c r="L20" s="15">
        <f>IF((M19-L19)&lt;=0,0,Assumptions!$C$50/MIN(Assumptions!$C$51/(M19-L19),D20*(1-Assumptions!$C$52)))</f>
        <v>108793.99470949791</v>
      </c>
      <c r="M20" s="15">
        <f>Assumptions!$C$28+(H20-Assumptions!$C$24)+(I20-Assumptions!$C$25)+J20+K20+L20</f>
        <v>36989958.20122929</v>
      </c>
      <c r="N20" s="14">
        <f>$C$6/M20</f>
        <v>32.44123698307181</v>
      </c>
    </row>
    <row r="21" spans="2:14" x14ac:dyDescent="0.25">
      <c r="B21" s="15">
        <v>14</v>
      </c>
      <c r="D21" s="14">
        <f>N20</f>
        <v>32.44123698307181</v>
      </c>
      <c r="E21" s="15">
        <f>Assumptions!$C$28+Assumptions!$C$7/D21</f>
        <v>37542709.95503073</v>
      </c>
      <c r="F21" s="14">
        <f>IF(D21&lt;Assumptions!$C$35,(Assumptions!$C$35*Assumptions!$C$28+Assumptions!$C$7)/E21,Assumptions!$C$35)</f>
        <v>57.48587053027244</v>
      </c>
      <c r="G21" s="14">
        <f>IF(D21&lt;Assumptions!$C$36,(Assumptions!$C$36*Assumptions!$C$28+Assumptions!$C$7)/E21,Assumptions!$C$36)</f>
        <v>48.74653740275988</v>
      </c>
      <c r="H21" s="15">
        <f>IF(D21&lt;Assumptions!$C$35,Assumptions!$C$43/F21,Assumptions!$C$24)</f>
        <v>1739557.89618493</v>
      </c>
      <c r="I21" s="15">
        <f>IF(D21&lt;Assumptions!$C$36,Assumptions!$C$44/G21,Assumptions!$C$25)</f>
        <v>6154283.278036789</v>
      </c>
      <c r="J21" s="15">
        <f>MAX(0,$D$6*($C$6+Assumptions!$C$7)/D21-Assumptions!$C$26-Assumptions!$C$27)</f>
        <v>0</v>
      </c>
      <c r="K21" s="15">
        <f>IF((M20-K20)&lt;=0,0,Assumptions!$C$47/MIN(Assumptions!$C$48/(M20-K20),D21*(1-Assumptions!$C$49)))</f>
        <v>192656.03229806919</v>
      </c>
      <c r="L21" s="15">
        <f>IF((M20-L20)&lt;=0,0,Assumptions!$C$50/MIN(Assumptions!$C$51/(M20-L20),D21*(1-Assumptions!$C$52)))</f>
        <v>108793.99470949791</v>
      </c>
      <c r="M21" s="15">
        <f>Assumptions!$C$28+(H21-Assumptions!$C$24)+(I21-Assumptions!$C$25)+J21+K21+L21</f>
        <v>36989958.20122929</v>
      </c>
      <c r="N21" s="14">
        <f>$C$6/M21</f>
        <v>32.44123698307181</v>
      </c>
    </row>
    <row r="22" spans="2:14" x14ac:dyDescent="0.25">
      <c r="B22" s="15">
        <v>15</v>
      </c>
      <c r="D22" s="14">
        <f>N21</f>
        <v>32.44123698307181</v>
      </c>
      <c r="E22" s="15">
        <f>Assumptions!$C$28+Assumptions!$C$7/D22</f>
        <v>37542709.95503073</v>
      </c>
      <c r="F22" s="14">
        <f>IF(D22&lt;Assumptions!$C$35,(Assumptions!$C$35*Assumptions!$C$28+Assumptions!$C$7)/E22,Assumptions!$C$35)</f>
        <v>57.48587053027244</v>
      </c>
      <c r="G22" s="14">
        <f>IF(D22&lt;Assumptions!$C$36,(Assumptions!$C$36*Assumptions!$C$28+Assumptions!$C$7)/E22,Assumptions!$C$36)</f>
        <v>48.74653740275988</v>
      </c>
      <c r="H22" s="15">
        <f>IF(D22&lt;Assumptions!$C$35,Assumptions!$C$43/F22,Assumptions!$C$24)</f>
        <v>1739557.89618493</v>
      </c>
      <c r="I22" s="15">
        <f>IF(D22&lt;Assumptions!$C$36,Assumptions!$C$44/G22,Assumptions!$C$25)</f>
        <v>6154283.278036789</v>
      </c>
      <c r="J22" s="15">
        <f>MAX(0,$D$6*($C$6+Assumptions!$C$7)/D22-Assumptions!$C$26-Assumptions!$C$27)</f>
        <v>0</v>
      </c>
      <c r="K22" s="15">
        <f>IF((M21-K21)&lt;=0,0,Assumptions!$C$47/MIN(Assumptions!$C$48/(M21-K21),D22*(1-Assumptions!$C$49)))</f>
        <v>192656.03229806919</v>
      </c>
      <c r="L22" s="15">
        <f>IF((M21-L21)&lt;=0,0,Assumptions!$C$50/MIN(Assumptions!$C$51/(M21-L21),D22*(1-Assumptions!$C$52)))</f>
        <v>108793.99470949791</v>
      </c>
      <c r="M22" s="15">
        <f>Assumptions!$C$28+(H22-Assumptions!$C$24)+(I22-Assumptions!$C$25)+J22+K22+L22</f>
        <v>36989958.20122929</v>
      </c>
      <c r="N22" s="14">
        <f>$C$6/M22</f>
        <v>32.44123698307181</v>
      </c>
    </row>
    <row r="23" spans="2:14" x14ac:dyDescent="0.25">
      <c r="B23" s="15">
        <v>16</v>
      </c>
      <c r="D23" s="14">
        <f>N22</f>
        <v>32.44123698307181</v>
      </c>
      <c r="E23" s="15">
        <f>Assumptions!$C$28+Assumptions!$C$7/D23</f>
        <v>37542709.95503073</v>
      </c>
      <c r="F23" s="14">
        <f>IF(D23&lt;Assumptions!$C$35,(Assumptions!$C$35*Assumptions!$C$28+Assumptions!$C$7)/E23,Assumptions!$C$35)</f>
        <v>57.48587053027244</v>
      </c>
      <c r="G23" s="14">
        <f>IF(D23&lt;Assumptions!$C$36,(Assumptions!$C$36*Assumptions!$C$28+Assumptions!$C$7)/E23,Assumptions!$C$36)</f>
        <v>48.74653740275988</v>
      </c>
      <c r="H23" s="15">
        <f>IF(D23&lt;Assumptions!$C$35,Assumptions!$C$43/F23,Assumptions!$C$24)</f>
        <v>1739557.89618493</v>
      </c>
      <c r="I23" s="15">
        <f>IF(D23&lt;Assumptions!$C$36,Assumptions!$C$44/G23,Assumptions!$C$25)</f>
        <v>6154283.278036789</v>
      </c>
      <c r="J23" s="15">
        <f>MAX(0,$D$6*($C$6+Assumptions!$C$7)/D23-Assumptions!$C$26-Assumptions!$C$27)</f>
        <v>0</v>
      </c>
      <c r="K23" s="15">
        <f>IF((M22-K22)&lt;=0,0,Assumptions!$C$47/MIN(Assumptions!$C$48/(M22-K22),D23*(1-Assumptions!$C$49)))</f>
        <v>192656.03229806919</v>
      </c>
      <c r="L23" s="15">
        <f>IF((M22-L22)&lt;=0,0,Assumptions!$C$50/MIN(Assumptions!$C$51/(M22-L22),D23*(1-Assumptions!$C$52)))</f>
        <v>108793.99470949791</v>
      </c>
      <c r="M23" s="15">
        <f>Assumptions!$C$28+(H23-Assumptions!$C$24)+(I23-Assumptions!$C$25)+J23+K23+L23</f>
        <v>36989958.20122929</v>
      </c>
      <c r="N23" s="14">
        <f>$C$6/M23</f>
        <v>32.44123698307181</v>
      </c>
    </row>
    <row r="24" spans="2:14" x14ac:dyDescent="0.25">
      <c r="B24" s="15">
        <v>17</v>
      </c>
      <c r="D24" s="14">
        <f>N23</f>
        <v>32.44123698307181</v>
      </c>
      <c r="E24" s="15">
        <f>Assumptions!$C$28+Assumptions!$C$7/D24</f>
        <v>37542709.95503073</v>
      </c>
      <c r="F24" s="14">
        <f>IF(D24&lt;Assumptions!$C$35,(Assumptions!$C$35*Assumptions!$C$28+Assumptions!$C$7)/E24,Assumptions!$C$35)</f>
        <v>57.48587053027244</v>
      </c>
      <c r="G24" s="14">
        <f>IF(D24&lt;Assumptions!$C$36,(Assumptions!$C$36*Assumptions!$C$28+Assumptions!$C$7)/E24,Assumptions!$C$36)</f>
        <v>48.74653740275988</v>
      </c>
      <c r="H24" s="15">
        <f>IF(D24&lt;Assumptions!$C$35,Assumptions!$C$43/F24,Assumptions!$C$24)</f>
        <v>1739557.89618493</v>
      </c>
      <c r="I24" s="15">
        <f>IF(D24&lt;Assumptions!$C$36,Assumptions!$C$44/G24,Assumptions!$C$25)</f>
        <v>6154283.278036789</v>
      </c>
      <c r="J24" s="15">
        <f>MAX(0,$D$6*($C$6+Assumptions!$C$7)/D24-Assumptions!$C$26-Assumptions!$C$27)</f>
        <v>0</v>
      </c>
      <c r="K24" s="15">
        <f>IF((M23-K23)&lt;=0,0,Assumptions!$C$47/MIN(Assumptions!$C$48/(M23-K23),D24*(1-Assumptions!$C$49)))</f>
        <v>192656.03229806919</v>
      </c>
      <c r="L24" s="15">
        <f>IF((M23-L23)&lt;=0,0,Assumptions!$C$50/MIN(Assumptions!$C$51/(M23-L23),D24*(1-Assumptions!$C$52)))</f>
        <v>108793.99470949791</v>
      </c>
      <c r="M24" s="15">
        <f>Assumptions!$C$28+(H24-Assumptions!$C$24)+(I24-Assumptions!$C$25)+J24+K24+L24</f>
        <v>36989958.20122929</v>
      </c>
      <c r="N24" s="14">
        <f>$C$6/M24</f>
        <v>32.44123698307181</v>
      </c>
    </row>
    <row r="25" spans="2:14" x14ac:dyDescent="0.25">
      <c r="B25" s="15">
        <v>18</v>
      </c>
      <c r="D25" s="14">
        <f>N24</f>
        <v>32.44123698307181</v>
      </c>
      <c r="E25" s="15">
        <f>Assumptions!$C$28+Assumptions!$C$7/D25</f>
        <v>37542709.95503073</v>
      </c>
      <c r="F25" s="14">
        <f>IF(D25&lt;Assumptions!$C$35,(Assumptions!$C$35*Assumptions!$C$28+Assumptions!$C$7)/E25,Assumptions!$C$35)</f>
        <v>57.48587053027244</v>
      </c>
      <c r="G25" s="14">
        <f>IF(D25&lt;Assumptions!$C$36,(Assumptions!$C$36*Assumptions!$C$28+Assumptions!$C$7)/E25,Assumptions!$C$36)</f>
        <v>48.74653740275988</v>
      </c>
      <c r="H25" s="15">
        <f>IF(D25&lt;Assumptions!$C$35,Assumptions!$C$43/F25,Assumptions!$C$24)</f>
        <v>1739557.89618493</v>
      </c>
      <c r="I25" s="15">
        <f>IF(D25&lt;Assumptions!$C$36,Assumptions!$C$44/G25,Assumptions!$C$25)</f>
        <v>6154283.278036789</v>
      </c>
      <c r="J25" s="15">
        <f>MAX(0,$D$6*($C$6+Assumptions!$C$7)/D25-Assumptions!$C$26-Assumptions!$C$27)</f>
        <v>0</v>
      </c>
      <c r="K25" s="15">
        <f>IF((M24-K24)&lt;=0,0,Assumptions!$C$47/MIN(Assumptions!$C$48/(M24-K24),D25*(1-Assumptions!$C$49)))</f>
        <v>192656.03229806919</v>
      </c>
      <c r="L25" s="15">
        <f>IF((M24-L24)&lt;=0,0,Assumptions!$C$50/MIN(Assumptions!$C$51/(M24-L24),D25*(1-Assumptions!$C$52)))</f>
        <v>108793.99470949791</v>
      </c>
      <c r="M25" s="15">
        <f>Assumptions!$C$28+(H25-Assumptions!$C$24)+(I25-Assumptions!$C$25)+J25+K25+L25</f>
        <v>36989958.20122929</v>
      </c>
      <c r="N25" s="14">
        <f>$C$6/M25</f>
        <v>32.44123698307181</v>
      </c>
    </row>
    <row r="26" spans="2:14" x14ac:dyDescent="0.25">
      <c r="B26" s="15">
        <v>19</v>
      </c>
      <c r="D26" s="14">
        <f>N25</f>
        <v>32.44123698307181</v>
      </c>
      <c r="E26" s="15">
        <f>Assumptions!$C$28+Assumptions!$C$7/D26</f>
        <v>37542709.95503073</v>
      </c>
      <c r="F26" s="14">
        <f>IF(D26&lt;Assumptions!$C$35,(Assumptions!$C$35*Assumptions!$C$28+Assumptions!$C$7)/E26,Assumptions!$C$35)</f>
        <v>57.48587053027244</v>
      </c>
      <c r="G26" s="14">
        <f>IF(D26&lt;Assumptions!$C$36,(Assumptions!$C$36*Assumptions!$C$28+Assumptions!$C$7)/E26,Assumptions!$C$36)</f>
        <v>48.74653740275988</v>
      </c>
      <c r="H26" s="15">
        <f>IF(D26&lt;Assumptions!$C$35,Assumptions!$C$43/F26,Assumptions!$C$24)</f>
        <v>1739557.89618493</v>
      </c>
      <c r="I26" s="15">
        <f>IF(D26&lt;Assumptions!$C$36,Assumptions!$C$44/G26,Assumptions!$C$25)</f>
        <v>6154283.278036789</v>
      </c>
      <c r="J26" s="15">
        <f>MAX(0,$D$6*($C$6+Assumptions!$C$7)/D26-Assumptions!$C$26-Assumptions!$C$27)</f>
        <v>0</v>
      </c>
      <c r="K26" s="15">
        <f>IF((M25-K25)&lt;=0,0,Assumptions!$C$47/MIN(Assumptions!$C$48/(M25-K25),D26*(1-Assumptions!$C$49)))</f>
        <v>192656.03229806919</v>
      </c>
      <c r="L26" s="15">
        <f>IF((M25-L25)&lt;=0,0,Assumptions!$C$50/MIN(Assumptions!$C$51/(M25-L25),D26*(1-Assumptions!$C$52)))</f>
        <v>108793.99470949791</v>
      </c>
      <c r="M26" s="15">
        <f>Assumptions!$C$28+(H26-Assumptions!$C$24)+(I26-Assumptions!$C$25)+J26+K26+L26</f>
        <v>36989958.20122929</v>
      </c>
      <c r="N26" s="14">
        <f>$C$6/M26</f>
        <v>32.44123698307181</v>
      </c>
    </row>
    <row r="27" spans="2:14" x14ac:dyDescent="0.25">
      <c r="B27" s="15">
        <v>20</v>
      </c>
      <c r="D27" s="14">
        <f>N26</f>
        <v>32.44123698307181</v>
      </c>
      <c r="E27" s="15">
        <f>Assumptions!$C$28+Assumptions!$C$7/D27</f>
        <v>37542709.95503073</v>
      </c>
      <c r="F27" s="14">
        <f>IF(D27&lt;Assumptions!$C$35,(Assumptions!$C$35*Assumptions!$C$28+Assumptions!$C$7)/E27,Assumptions!$C$35)</f>
        <v>57.48587053027244</v>
      </c>
      <c r="G27" s="14">
        <f>IF(D27&lt;Assumptions!$C$36,(Assumptions!$C$36*Assumptions!$C$28+Assumptions!$C$7)/E27,Assumptions!$C$36)</f>
        <v>48.74653740275988</v>
      </c>
      <c r="H27" s="15">
        <f>IF(D27&lt;Assumptions!$C$35,Assumptions!$C$43/F27,Assumptions!$C$24)</f>
        <v>1739557.89618493</v>
      </c>
      <c r="I27" s="15">
        <f>IF(D27&lt;Assumptions!$C$36,Assumptions!$C$44/G27,Assumptions!$C$25)</f>
        <v>6154283.278036789</v>
      </c>
      <c r="J27" s="15">
        <f>MAX(0,$D$6*($C$6+Assumptions!$C$7)/D27-Assumptions!$C$26-Assumptions!$C$27)</f>
        <v>0</v>
      </c>
      <c r="K27" s="15">
        <f>IF((M26-K26)&lt;=0,0,Assumptions!$C$47/MIN(Assumptions!$C$48/(M26-K26),D27*(1-Assumptions!$C$49)))</f>
        <v>192656.03229806919</v>
      </c>
      <c r="L27" s="15">
        <f>IF((M26-L26)&lt;=0,0,Assumptions!$C$50/MIN(Assumptions!$C$51/(M26-L26),D27*(1-Assumptions!$C$52)))</f>
        <v>108793.99470949791</v>
      </c>
      <c r="M27" s="15">
        <f>Assumptions!$C$28+(H27-Assumptions!$C$24)+(I27-Assumptions!$C$25)+J27+K27+L27</f>
        <v>36989958.20122929</v>
      </c>
      <c r="N27" s="14">
        <f>$C$6/M27</f>
        <v>32.44123698307181</v>
      </c>
    </row>
    <row r="28" spans="2:12" x14ac:dyDescent="0.25">
      <c r="B28" s="10" t="s">
        <v>181</v>
      </c>
      <c r="D28" s="13">
        <f>N27</f>
        <v>32.44123698307181</v>
      </c>
      <c r="E28" s="11">
        <f>$E$6/D28</f>
        <v>37914707.15626002</v>
      </c>
      <c r="H28" s="11">
        <f>H27</f>
        <v>1739557.89618493</v>
      </c>
      <c r="I28" s="11">
        <f>I27</f>
        <v>6154283.278036789</v>
      </c>
      <c r="J28" s="11">
        <f>J27</f>
        <v>0</v>
      </c>
      <c r="K28" s="11">
        <f>K27</f>
        <v>192656.03229806919</v>
      </c>
      <c r="L28" s="11">
        <f>L27</f>
        <v>108793.99470949791</v>
      </c>
    </row>
    <row r="29" spans="2:3" x14ac:dyDescent="0.25">
      <c r="B29" s="24" t="s">
        <v>182</v>
      </c>
      <c r="C29" s="15">
        <f>Assumptions!$C$16+Assumptions!$C$17+Assumptions!$C$18+Assumptions!$C$19+Assumptions!$C$20+Assumptions!$C$21+Assumptions!$C$22+Assumptions!$C$23+$H$28+$I$28+(Assumptions!$C$7/$D$28)+$K$28+$L$28+Assumptions!$C$26</f>
        <v>36020040.15626001</v>
      </c>
    </row>
    <row r="30" spans="2:3" x14ac:dyDescent="0.25">
      <c r="B30" s="24" t="s">
        <v>183</v>
      </c>
      <c r="C30" s="14">
        <f>Assumptions!$C$57+Assumptions!$C$26*Assumptions!$C$13</f>
        <v>2002500000</v>
      </c>
    </row>
    <row r="31" spans="2:3" x14ac:dyDescent="0.25">
      <c r="B31" s="24" t="s">
        <v>184</v>
      </c>
      <c r="C31" s="14">
        <f>$C$30/$C$29</f>
        <v>55.59405240285332</v>
      </c>
    </row>
    <row r="32" spans="2:10" x14ac:dyDescent="0.25">
      <c r="B32" s="24" t="s">
        <v>185</v>
      </c>
      <c r="D32" s="15" t="str">
        <f>IF(Assumptions!$C$7&gt;(Assumptions!$C$7/$D$28)*$C$31,"preference","convert")</f>
        <v>convert</v>
      </c>
      <c r="E32" s="15" t="str">
        <f>IF(Assumptions!$C$44&gt;$I$28*$C$31,"preference","convert")</f>
        <v>convert</v>
      </c>
      <c r="F32" s="15" t="str">
        <f>IF(Assumptions!$C$43&gt;$H$28*$C$31,"preference","convert")</f>
        <v>preference</v>
      </c>
      <c r="G32" s="15" t="str">
        <f>IF(Assumptions!$C$42&gt;Assumptions!$C$23*$C$31,"preference","convert")</f>
        <v>convert</v>
      </c>
      <c r="H32" s="15" t="str">
        <f>IF(Assumptions!$C$41&gt;Assumptions!$C$22*$C$31,"preference","convert")</f>
        <v>convert</v>
      </c>
      <c r="I32" s="15" t="str">
        <f>IF(Assumptions!$C$40&gt;Assumptions!$C$21*$C$31,"preference","convert")</f>
        <v>convert</v>
      </c>
      <c r="J32" s="15" t="str">
        <f>IF(Assumptions!$C$39&gt;Assumptions!$C$20*$C$31,"preference","convert")</f>
        <v>convert</v>
      </c>
    </row>
    <row r="33" spans="2:3" x14ac:dyDescent="0.25">
      <c r="B33" s="24" t="s">
        <v>186</v>
      </c>
      <c r="C33" s="14">
        <f>($C$30-(IF($D$32="preference",Assumptions!$C$7,0)+IF($E$32="preference",Assumptions!$C$44,0)+IF($F$32="preference",Assumptions!$C$43,0)+IF($G$32="preference",Assumptions!$C$42,0)+IF($H$32="preference",Assumptions!$C$41,0)+IF($I$32="preference",Assumptions!$C$40,0)+IF($J$32="preference",Assumptions!$C$39,0)))/($C$29-(IF($D$32="preference",Assumptions!$C$7/$D$28,0)+IF($E$32="preference",$I$28,0)+IF($F$32="preference",$H$28,0)+IF($G$32="preference",Assumptions!$C$23,0)+IF($H$32="preference",Assumptions!$C$22,0)+IF($I$32="preference",Assumptions!$C$21,0)+IF($J$32="preference",Assumptions!$C$20,0)))</f>
        <v>55.49805237762817</v>
      </c>
    </row>
    <row r="34" spans="2:10" x14ac:dyDescent="0.25">
      <c r="B34" s="24" t="s">
        <v>187</v>
      </c>
      <c r="D34" s="15" t="str">
        <f>IF(Assumptions!$C$7&gt;(Assumptions!$C$7/$D$28)*$C$33,"preference","convert")</f>
        <v>convert</v>
      </c>
      <c r="E34" s="15" t="str">
        <f>IF(Assumptions!$C$44&gt;$I$28*$C$33,"preference","convert")</f>
        <v>convert</v>
      </c>
      <c r="F34" s="15" t="str">
        <f>IF(Assumptions!$C$43&gt;$H$28*$C$33,"preference","convert")</f>
        <v>preference</v>
      </c>
      <c r="G34" s="15" t="str">
        <f>IF(Assumptions!$C$42&gt;Assumptions!$C$23*$C$33,"preference","convert")</f>
        <v>convert</v>
      </c>
      <c r="H34" s="15" t="str">
        <f>IF(Assumptions!$C$41&gt;Assumptions!$C$22*$C$33,"preference","convert")</f>
        <v>convert</v>
      </c>
      <c r="I34" s="15" t="str">
        <f>IF(Assumptions!$C$40&gt;Assumptions!$C$21*$C$33,"preference","convert")</f>
        <v>convert</v>
      </c>
      <c r="J34" s="15" t="str">
        <f>IF(Assumptions!$C$39&gt;Assumptions!$C$20*$C$33,"preference","convert")</f>
        <v>convert</v>
      </c>
    </row>
    <row r="35" spans="2:3" x14ac:dyDescent="0.25">
      <c r="B35" s="10" t="s">
        <v>188</v>
      </c>
      <c r="C35" s="27">
        <f>($C$30-(IF($D$34="preference",Assumptions!$C$7,0)+IF($E$34="preference",Assumptions!$C$44,0)+IF($F$34="preference",Assumptions!$C$43,0)+IF($G$34="preference",Assumptions!$C$42,0)+IF($H$34="preference",Assumptions!$C$41,0)+IF($I$34="preference",Assumptions!$C$40,0)+IF($J$34="preference",Assumptions!$C$39,0)))/($C$29-(IF($D$34="preference",Assumptions!$C$7/$D$28,0)+IF($E$34="preference",$I$28,0)+IF($F$34="preference",$H$28,0)+IF($G$34="preference",Assumptions!$C$23,0)+IF($H$34="preference",Assumptions!$C$22,0)+IF($I$34="preference",Assumptions!$C$21,0)+IF($J$34="preference",Assumptions!$C$20,0)))</f>
        <v>55.49805237762817</v>
      </c>
    </row>
    <row r="36" spans="2:3" x14ac:dyDescent="0.25">
      <c r="B36" s="10" t="s">
        <v>189</v>
      </c>
      <c r="C36" s="13">
        <f>IF($D$34="preference",Assumptions!$C$11,(Assumptions!$C$11/$D$28)*$C$35)</f>
        <v>17107255.314150833</v>
      </c>
    </row>
    <row r="37" spans="2:3" x14ac:dyDescent="0.25">
      <c r="B37" s="10" t="s">
        <v>190</v>
      </c>
      <c r="C37" s="21">
        <f>(Assumptions!$C$11/$D$28)/$E$28</f>
        <v>0.008130081300813009</v>
      </c>
    </row>
    <row r="39" spans="2:14" x14ac:dyDescent="0.25">
      <c r="B39" s="3" t="s">
        <v>191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</row>
    <row r="40" spans="2:5" x14ac:dyDescent="0.25">
      <c r="B40" s="24" t="s">
        <v>168</v>
      </c>
      <c r="C40" s="20">
        <f>Assumptions!$C$66</f>
        <v>1400000000</v>
      </c>
      <c r="D40" s="25">
        <f>Assumptions!$C$62</f>
        <v>0.11</v>
      </c>
      <c r="E40" s="14">
        <f>C40+Assumptions!$C$7</f>
        <v>1430000000</v>
      </c>
    </row>
    <row r="41" spans="2:14" x14ac:dyDescent="0.25">
      <c r="B41" s="16" t="s">
        <v>169</v>
      </c>
      <c r="D41" s="16" t="s">
        <v>170</v>
      </c>
      <c r="E41" s="16" t="s">
        <v>171</v>
      </c>
      <c r="F41" s="16" t="s">
        <v>172</v>
      </c>
      <c r="G41" s="16" t="s">
        <v>173</v>
      </c>
      <c r="H41" s="16" t="s">
        <v>174</v>
      </c>
      <c r="I41" s="16" t="s">
        <v>175</v>
      </c>
      <c r="J41" s="16" t="s">
        <v>176</v>
      </c>
      <c r="K41" s="16" t="s">
        <v>177</v>
      </c>
      <c r="L41" s="16" t="s">
        <v>178</v>
      </c>
      <c r="M41" s="16" t="s">
        <v>179</v>
      </c>
      <c r="N41" s="16" t="s">
        <v>180</v>
      </c>
    </row>
    <row r="42" spans="2:14" x14ac:dyDescent="0.25">
      <c r="B42" s="15">
        <v>1</v>
      </c>
      <c r="D42" s="14">
        <f>($C$40+Assumptions!$C$7)/Assumptions!$C$28</f>
        <v>39.05187402433467</v>
      </c>
      <c r="E42" s="15">
        <f>Assumptions!$C$28+Assumptions!$C$7/D42</f>
        <v>37386169.97202797</v>
      </c>
      <c r="F42" s="14">
        <f>IF(D42&lt;Assumptions!$C$35,(Assumptions!$C$35*Assumptions!$C$28+Assumptions!$C$7)/E42,Assumptions!$C$35)</f>
        <v>57.72657015803428</v>
      </c>
      <c r="G42" s="14">
        <f>IF(D42&lt;Assumptions!$C$36,(Assumptions!$C$36*Assumptions!$C$28+Assumptions!$C$7)/E42,Assumptions!$C$36)</f>
        <v>48.9506444868014</v>
      </c>
      <c r="H42" s="15">
        <f>IF(D42&lt;Assumptions!$C$35,Assumptions!$C$43/F42,Assumptions!$C$24)</f>
        <v>1732304.5475633924</v>
      </c>
      <c r="I42" s="15">
        <f>IF(D42&lt;Assumptions!$C$36,Assumptions!$C$44/G42,Assumptions!$C$25)</f>
        <v>6128622.067088192</v>
      </c>
      <c r="J42" s="15">
        <f>MAX(0,$D$40*($C$40+Assumptions!$C$7)/D42-Assumptions!$C$26-Assumptions!$C$27)</f>
        <v>0</v>
      </c>
      <c r="K42" s="15">
        <v>0</v>
      </c>
      <c r="L42" s="15">
        <v>0</v>
      </c>
      <c r="M42" s="15">
        <f>Assumptions!$C$28+(H42-Assumptions!$C$24)+(I42-Assumptions!$C$25)+J42+K42+L42</f>
        <v>36655593.61465158</v>
      </c>
      <c r="N42" s="14">
        <f>$C$40/M42</f>
        <v>38.193352281175635</v>
      </c>
    </row>
    <row r="43" spans="2:14" x14ac:dyDescent="0.25">
      <c r="B43" s="15">
        <v>2</v>
      </c>
      <c r="D43" s="14">
        <f>N42</f>
        <v>38.193352281175635</v>
      </c>
      <c r="E43" s="15">
        <f>Assumptions!$C$28+Assumptions!$C$7/D43</f>
        <v>37403438.00602825</v>
      </c>
      <c r="F43" s="14">
        <f>IF(D43&lt;Assumptions!$C$35,(Assumptions!$C$35*Assumptions!$C$28+Assumptions!$C$7)/E43,Assumptions!$C$35)</f>
        <v>57.699919549711915</v>
      </c>
      <c r="G43" s="14">
        <f>IF(D43&lt;Assumptions!$C$36,(Assumptions!$C$36*Assumptions!$C$28+Assumptions!$C$7)/E43,Assumptions!$C$36)</f>
        <v>48.92804545745021</v>
      </c>
      <c r="H43" s="15">
        <f>IF(D43&lt;Assumptions!$C$35,Assumptions!$C$43/F43,Assumptions!$C$24)</f>
        <v>1733104.669476082</v>
      </c>
      <c r="I43" s="15">
        <f>IF(D43&lt;Assumptions!$C$36,Assumptions!$C$44/G43,Assumptions!$C$25)</f>
        <v>6131452.773050009</v>
      </c>
      <c r="J43" s="15">
        <f>MAX(0,$D$40*($C$40+Assumptions!$C$7)/D43-Assumptions!$C$26-Assumptions!$C$27)</f>
        <v>0</v>
      </c>
      <c r="K43" s="15">
        <f>IF((M42-K42)&lt;=0,0,Assumptions!$C$47/MIN(Assumptions!$C$48/(M42-K42),D43*(1-Assumptions!$C$49)))</f>
        <v>183277.9680732579</v>
      </c>
      <c r="L43" s="15">
        <f>IF((M42-L42)&lt;=0,0,Assumptions!$C$50/MIN(Assumptions!$C$51/(M42-L42),D43*(1-Assumptions!$C$52)))</f>
        <v>92409.05953273507</v>
      </c>
      <c r="M43" s="15">
        <f>Assumptions!$C$28+(H43-Assumptions!$C$24)+(I43-Assumptions!$C$25)+J43+K43+L43</f>
        <v>36934911.47013208</v>
      </c>
      <c r="N43" s="14">
        <f>$C$40/M43</f>
        <v>37.90451754926038</v>
      </c>
    </row>
    <row r="44" spans="2:14" x14ac:dyDescent="0.25">
      <c r="B44" s="15">
        <v>3</v>
      </c>
      <c r="D44" s="14">
        <f>N43</f>
        <v>37.90451754926038</v>
      </c>
      <c r="E44" s="15">
        <f>Assumptions!$C$28+Assumptions!$C$7/D44</f>
        <v>37409423.388645686</v>
      </c>
      <c r="F44" s="14">
        <f>IF(D44&lt;Assumptions!$C$35,(Assumptions!$C$35*Assumptions!$C$28+Assumptions!$C$7)/E44,Assumptions!$C$35)</f>
        <v>57.69068775557511</v>
      </c>
      <c r="G44" s="14">
        <f>IF(D44&lt;Assumptions!$C$36,(Assumptions!$C$36*Assumptions!$C$28+Assumptions!$C$7)/E44,Assumptions!$C$36)</f>
        <v>48.920217133828544</v>
      </c>
      <c r="H44" s="15">
        <f>IF(D44&lt;Assumptions!$C$35,Assumptions!$C$43/F44,Assumptions!$C$24)</f>
        <v>1733382.0047991404</v>
      </c>
      <c r="I44" s="15">
        <f>IF(D44&lt;Assumptions!$C$36,Assumptions!$C$44/G44,Assumptions!$C$25)</f>
        <v>6132433.941969335</v>
      </c>
      <c r="J44" s="15">
        <f>MAX(0,$D$40*($C$40+Assumptions!$C$7)/D44-Assumptions!$C$26-Assumptions!$C$27)</f>
        <v>0</v>
      </c>
      <c r="K44" s="15">
        <f>IF((M43-K43)&lt;=0,0,Assumptions!$C$47/MIN(Assumptions!$C$48/(M43-K43),D44*(1-Assumptions!$C$49)))</f>
        <v>183758.16751029412</v>
      </c>
      <c r="L44" s="15">
        <f>IF((M43-L43)&lt;=0,0,Assumptions!$C$50/MIN(Assumptions!$C$51/(M43-L43),D44*(1-Assumptions!$C$52)))</f>
        <v>93113.22219361029</v>
      </c>
      <c r="M44" s="15">
        <f>Assumptions!$C$28+(H44-Assumptions!$C$24)+(I44-Assumptions!$C$25)+J44+K44+L44</f>
        <v>36937354.33647238</v>
      </c>
      <c r="N44" s="14">
        <f>$C$40/M44</f>
        <v>37.90201071920366</v>
      </c>
    </row>
    <row r="45" spans="2:14" x14ac:dyDescent="0.25">
      <c r="B45" s="15">
        <v>4</v>
      </c>
      <c r="D45" s="14">
        <f>N44</f>
        <v>37.90201071920366</v>
      </c>
      <c r="E45" s="15">
        <f>Assumptions!$C$28+Assumptions!$C$7/D45</f>
        <v>37409475.73578155</v>
      </c>
      <c r="F45" s="14">
        <f>IF(D45&lt;Assumptions!$C$35,(Assumptions!$C$35*Assumptions!$C$28+Assumptions!$C$7)/E45,Assumptions!$C$35)</f>
        <v>57.69060702890866</v>
      </c>
      <c r="G45" s="14">
        <f>IF(D45&lt;Assumptions!$C$36,(Assumptions!$C$36*Assumptions!$C$28+Assumptions!$C$7)/E45,Assumptions!$C$36)</f>
        <v>48.92014867969487</v>
      </c>
      <c r="H45" s="15">
        <f>IF(D45&lt;Assumptions!$C$35,Assumptions!$C$43/F45,Assumptions!$C$24)</f>
        <v>1733384.4303265898</v>
      </c>
      <c r="I45" s="15">
        <f>IF(D45&lt;Assumptions!$C$36,Assumptions!$C$44/G45,Assumptions!$C$25)</f>
        <v>6132442.523105414</v>
      </c>
      <c r="J45" s="15">
        <f>MAX(0,$D$40*($C$40+Assumptions!$C$7)/D45-Assumptions!$C$26-Assumptions!$C$27)</f>
        <v>0</v>
      </c>
      <c r="K45" s="15">
        <f>IF((M44-K44)&lt;=0,0,Assumptions!$C$47/MIN(Assumptions!$C$48/(M44-K44),D45*(1-Assumptions!$C$49)))</f>
        <v>183767.98084481043</v>
      </c>
      <c r="L45" s="15">
        <f>IF((M44-L44)&lt;=0,0,Assumptions!$C$50/MIN(Assumptions!$C$51/(M44-L44),D45*(1-Assumptions!$C$52)))</f>
        <v>93119.38068018248</v>
      </c>
      <c r="M45" s="15">
        <f>Assumptions!$C$28+(H45-Assumptions!$C$24)+(I45-Assumptions!$C$25)+J45+K45+L45</f>
        <v>36937381.31495699</v>
      </c>
      <c r="N45" s="14">
        <f>$C$40/M45</f>
        <v>37.90198303616885</v>
      </c>
    </row>
    <row r="46" spans="2:14" x14ac:dyDescent="0.25">
      <c r="B46" s="15">
        <v>5</v>
      </c>
      <c r="D46" s="14">
        <f>N45</f>
        <v>37.90198303616885</v>
      </c>
      <c r="E46" s="15">
        <f>Assumptions!$C$28+Assumptions!$C$7/D46</f>
        <v>37409476.31389193</v>
      </c>
      <c r="F46" s="14">
        <f>IF(D46&lt;Assumptions!$C$35,(Assumptions!$C$35*Assumptions!$C$28+Assumptions!$C$7)/E46,Assumptions!$C$35)</f>
        <v>57.690606137382176</v>
      </c>
      <c r="G46" s="14">
        <f>IF(D46&lt;Assumptions!$C$36,(Assumptions!$C$36*Assumptions!$C$28+Assumptions!$C$7)/E46,Assumptions!$C$36)</f>
        <v>48.920147923703375</v>
      </c>
      <c r="H46" s="15">
        <f>IF(D46&lt;Assumptions!$C$35,Assumptions!$C$43/F46,Assumptions!$C$24)</f>
        <v>1733384.4571135875</v>
      </c>
      <c r="I46" s="15">
        <f>IF(D46&lt;Assumptions!$C$36,Assumptions!$C$44/G46,Assumptions!$C$25)</f>
        <v>6132442.617873615</v>
      </c>
      <c r="J46" s="15">
        <f>MAX(0,$D$40*($C$40+Assumptions!$C$7)/D46-Assumptions!$C$26-Assumptions!$C$27)</f>
        <v>0</v>
      </c>
      <c r="K46" s="15">
        <f>IF((M45-K45)&lt;=0,0,Assumptions!$C$47/MIN(Assumptions!$C$48/(M45-K45),D46*(1-Assumptions!$C$49)))</f>
        <v>183768.06667056092</v>
      </c>
      <c r="L46" s="15">
        <f>IF((M45-L45)&lt;=0,0,Assumptions!$C$50/MIN(Assumptions!$C$51/(M45-L45),D46*(1-Assumptions!$C$52)))</f>
        <v>93119.44869316889</v>
      </c>
      <c r="M46" s="15">
        <f>Assumptions!$C$28+(H46-Assumptions!$C$24)+(I46-Assumptions!$C$25)+J46+K46+L46</f>
        <v>36937381.590350926</v>
      </c>
      <c r="N46" s="14">
        <f>$C$40/M46</f>
        <v>37.901982753583134</v>
      </c>
    </row>
    <row r="47" spans="2:14" x14ac:dyDescent="0.25">
      <c r="B47" s="15">
        <v>6</v>
      </c>
      <c r="D47" s="14">
        <f>N46</f>
        <v>37.901982753583134</v>
      </c>
      <c r="E47" s="15">
        <f>Assumptions!$C$28+Assumptions!$C$7/D47</f>
        <v>37409476.31979323</v>
      </c>
      <c r="F47" s="14">
        <f>IF(D47&lt;Assumptions!$C$35,(Assumptions!$C$35*Assumptions!$C$28+Assumptions!$C$7)/E47,Assumptions!$C$35)</f>
        <v>57.69060612828155</v>
      </c>
      <c r="G47" s="14">
        <f>IF(D47&lt;Assumptions!$C$36,(Assumptions!$C$36*Assumptions!$C$28+Assumptions!$C$7)/E47,Assumptions!$C$36)</f>
        <v>48.920147915986284</v>
      </c>
      <c r="H47" s="15">
        <f>IF(D47&lt;Assumptions!$C$35,Assumptions!$C$43/F47,Assumptions!$C$24)</f>
        <v>1733384.4573870269</v>
      </c>
      <c r="I47" s="15">
        <f>IF(D47&lt;Assumptions!$C$36,Assumptions!$C$44/G47,Assumptions!$C$25)</f>
        <v>6132442.618841</v>
      </c>
      <c r="J47" s="15">
        <f>MAX(0,$D$40*($C$40+Assumptions!$C$7)/D47-Assumptions!$C$26-Assumptions!$C$27)</f>
        <v>0</v>
      </c>
      <c r="K47" s="15">
        <f>IF((M46-K46)&lt;=0,0,Assumptions!$C$47/MIN(Assumptions!$C$48/(M46-K46),D47*(1-Assumptions!$C$49)))</f>
        <v>183768.06761840187</v>
      </c>
      <c r="L47" s="15">
        <f>IF((M46-L46)&lt;=0,0,Assumptions!$C$50/MIN(Assumptions!$C$51/(M46-L46),D47*(1-Assumptions!$C$52)))</f>
        <v>93119.44938743931</v>
      </c>
      <c r="M47" s="15">
        <f>Assumptions!$C$28+(H47-Assumptions!$C$24)+(I47-Assumptions!$C$25)+J47+K47+L47</f>
        <v>36937381.59323387</v>
      </c>
      <c r="N47" s="14">
        <f>$C$40/M47</f>
        <v>37.9019827506249</v>
      </c>
    </row>
    <row r="48" spans="2:14" x14ac:dyDescent="0.25">
      <c r="B48" s="15">
        <v>7</v>
      </c>
      <c r="D48" s="14">
        <f>N47</f>
        <v>37.9019827506249</v>
      </c>
      <c r="E48" s="15">
        <f>Assumptions!$C$28+Assumptions!$C$7/D48</f>
        <v>37409476.31985501</v>
      </c>
      <c r="F48" s="14">
        <f>IF(D48&lt;Assumptions!$C$35,(Assumptions!$C$35*Assumptions!$C$28+Assumptions!$C$7)/E48,Assumptions!$C$35)</f>
        <v>57.69060612818628</v>
      </c>
      <c r="G48" s="14">
        <f>IF(D48&lt;Assumptions!$C$36,(Assumptions!$C$36*Assumptions!$C$28+Assumptions!$C$7)/E48,Assumptions!$C$36)</f>
        <v>48.920147915905495</v>
      </c>
      <c r="H48" s="15">
        <f>IF(D48&lt;Assumptions!$C$35,Assumptions!$C$43/F48,Assumptions!$C$24)</f>
        <v>1733384.4573898893</v>
      </c>
      <c r="I48" s="15">
        <f>IF(D48&lt;Assumptions!$C$36,Assumptions!$C$44/G48,Assumptions!$C$25)</f>
        <v>6132442.618851127</v>
      </c>
      <c r="J48" s="15">
        <f>MAX(0,$D$40*($C$40+Assumptions!$C$7)/D48-Assumptions!$C$26-Assumptions!$C$27)</f>
        <v>0</v>
      </c>
      <c r="K48" s="15">
        <f>IF((M47-K47)&lt;=0,0,Assumptions!$C$47/MIN(Assumptions!$C$48/(M47-K47),D48*(1-Assumptions!$C$49)))</f>
        <v>183768.06762807735</v>
      </c>
      <c r="L48" s="15">
        <f>IF((M47-L47)&lt;=0,0,Assumptions!$C$50/MIN(Assumptions!$C$51/(M47-L47),D48*(1-Assumptions!$C$52)))</f>
        <v>93119.44939470726</v>
      </c>
      <c r="M48" s="15">
        <f>Assumptions!$C$28+(H48-Assumptions!$C$24)+(I48-Assumptions!$C$25)+J48+K48+L48</f>
        <v>36937381.593263805</v>
      </c>
      <c r="N48" s="14">
        <f>$C$40/M48</f>
        <v>37.901982750594186</v>
      </c>
    </row>
    <row r="49" spans="2:14" x14ac:dyDescent="0.25">
      <c r="B49" s="15">
        <v>8</v>
      </c>
      <c r="D49" s="14">
        <f>N48</f>
        <v>37.901982750594186</v>
      </c>
      <c r="E49" s="15">
        <f>Assumptions!$C$28+Assumptions!$C$7/D49</f>
        <v>37409476.31985565</v>
      </c>
      <c r="F49" s="14">
        <f>IF(D49&lt;Assumptions!$C$35,(Assumptions!$C$35*Assumptions!$C$28+Assumptions!$C$7)/E49,Assumptions!$C$35)</f>
        <v>57.690606128185294</v>
      </c>
      <c r="G49" s="14">
        <f>IF(D49&lt;Assumptions!$C$36,(Assumptions!$C$36*Assumptions!$C$28+Assumptions!$C$7)/E49,Assumptions!$C$36)</f>
        <v>48.92014791590466</v>
      </c>
      <c r="H49" s="15">
        <f>IF(D49&lt;Assumptions!$C$35,Assumptions!$C$43/F49,Assumptions!$C$24)</f>
        <v>1733384.4573899189</v>
      </c>
      <c r="I49" s="15">
        <f>IF(D49&lt;Assumptions!$C$36,Assumptions!$C$44/G49,Assumptions!$C$25)</f>
        <v>6132442.618851231</v>
      </c>
      <c r="J49" s="15">
        <f>MAX(0,$D$40*($C$40+Assumptions!$C$7)/D49-Assumptions!$C$26-Assumptions!$C$27)</f>
        <v>0</v>
      </c>
      <c r="K49" s="15">
        <f>IF((M48-K48)&lt;=0,0,Assumptions!$C$47/MIN(Assumptions!$C$48/(M48-K48),D49*(1-Assumptions!$C$49)))</f>
        <v>183768.06762817866</v>
      </c>
      <c r="L49" s="15">
        <f>IF((M48-L48)&lt;=0,0,Assumptions!$C$50/MIN(Assumptions!$C$51/(M48-L48),D49*(1-Assumptions!$C$52)))</f>
        <v>93119.4493947827</v>
      </c>
      <c r="M49" s="15">
        <f>Assumptions!$C$28+(H49-Assumptions!$C$24)+(I49-Assumptions!$C$25)+J49+K49+L49</f>
        <v>36937381.59326411</v>
      </c>
      <c r="N49" s="14">
        <f>$C$40/M49</f>
        <v>37.901982750593874</v>
      </c>
    </row>
    <row r="50" spans="2:14" x14ac:dyDescent="0.25">
      <c r="B50" s="15">
        <v>9</v>
      </c>
      <c r="D50" s="14">
        <f>N49</f>
        <v>37.901982750593874</v>
      </c>
      <c r="E50" s="15">
        <f>Assumptions!$C$28+Assumptions!$C$7/D50</f>
        <v>37409476.31985566</v>
      </c>
      <c r="F50" s="14">
        <f>IF(D50&lt;Assumptions!$C$35,(Assumptions!$C$35*Assumptions!$C$28+Assumptions!$C$7)/E50,Assumptions!$C$35)</f>
        <v>57.69060612818528</v>
      </c>
      <c r="G50" s="14">
        <f>IF(D50&lt;Assumptions!$C$36,(Assumptions!$C$36*Assumptions!$C$28+Assumptions!$C$7)/E50,Assumptions!$C$36)</f>
        <v>48.92014791590464</v>
      </c>
      <c r="H50" s="15">
        <f>IF(D50&lt;Assumptions!$C$35,Assumptions!$C$43/F50,Assumptions!$C$24)</f>
        <v>1733384.4573899193</v>
      </c>
      <c r="I50" s="15">
        <f>IF(D50&lt;Assumptions!$C$36,Assumptions!$C$44/G50,Assumptions!$C$25)</f>
        <v>6132442.618851234</v>
      </c>
      <c r="J50" s="15">
        <f>MAX(0,$D$40*($C$40+Assumptions!$C$7)/D50-Assumptions!$C$26-Assumptions!$C$27)</f>
        <v>0</v>
      </c>
      <c r="K50" s="15">
        <f>IF((M49-K49)&lt;=0,0,Assumptions!$C$47/MIN(Assumptions!$C$48/(M49-K49),D50*(1-Assumptions!$C$49)))</f>
        <v>183768.06762817965</v>
      </c>
      <c r="L50" s="15">
        <f>IF((M49-L49)&lt;=0,0,Assumptions!$C$50/MIN(Assumptions!$C$51/(M49-L49),D50*(1-Assumptions!$C$52)))</f>
        <v>93119.44939478347</v>
      </c>
      <c r="M50" s="15">
        <f>Assumptions!$C$28+(H50-Assumptions!$C$24)+(I50-Assumptions!$C$25)+J50+K50+L50</f>
        <v>36937381.59326411</v>
      </c>
      <c r="N50" s="14">
        <f>$C$40/M50</f>
        <v>37.901982750593874</v>
      </c>
    </row>
    <row r="51" spans="2:14" x14ac:dyDescent="0.25">
      <c r="B51" s="15">
        <v>10</v>
      </c>
      <c r="D51" s="14">
        <f>N50</f>
        <v>37.901982750593874</v>
      </c>
      <c r="E51" s="15">
        <f>Assumptions!$C$28+Assumptions!$C$7/D51</f>
        <v>37409476.31985566</v>
      </c>
      <c r="F51" s="14">
        <f>IF(D51&lt;Assumptions!$C$35,(Assumptions!$C$35*Assumptions!$C$28+Assumptions!$C$7)/E51,Assumptions!$C$35)</f>
        <v>57.69060612818528</v>
      </c>
      <c r="G51" s="14">
        <f>IF(D51&lt;Assumptions!$C$36,(Assumptions!$C$36*Assumptions!$C$28+Assumptions!$C$7)/E51,Assumptions!$C$36)</f>
        <v>48.92014791590464</v>
      </c>
      <c r="H51" s="15">
        <f>IF(D51&lt;Assumptions!$C$35,Assumptions!$C$43/F51,Assumptions!$C$24)</f>
        <v>1733384.4573899193</v>
      </c>
      <c r="I51" s="15">
        <f>IF(D51&lt;Assumptions!$C$36,Assumptions!$C$44/G51,Assumptions!$C$25)</f>
        <v>6132442.618851234</v>
      </c>
      <c r="J51" s="15">
        <f>MAX(0,$D$40*($C$40+Assumptions!$C$7)/D51-Assumptions!$C$26-Assumptions!$C$27)</f>
        <v>0</v>
      </c>
      <c r="K51" s="15">
        <f>IF((M50-K50)&lt;=0,0,Assumptions!$C$47/MIN(Assumptions!$C$48/(M50-K50),D51*(1-Assumptions!$C$49)))</f>
        <v>183768.06762817965</v>
      </c>
      <c r="L51" s="15">
        <f>IF((M50-L50)&lt;=0,0,Assumptions!$C$50/MIN(Assumptions!$C$51/(M50-L50),D51*(1-Assumptions!$C$52)))</f>
        <v>93119.44939478347</v>
      </c>
      <c r="M51" s="15">
        <f>Assumptions!$C$28+(H51-Assumptions!$C$24)+(I51-Assumptions!$C$25)+J51+K51+L51</f>
        <v>36937381.59326411</v>
      </c>
      <c r="N51" s="14">
        <f>$C$40/M51</f>
        <v>37.901982750593874</v>
      </c>
    </row>
    <row r="52" spans="2:14" x14ac:dyDescent="0.25">
      <c r="B52" s="15">
        <v>11</v>
      </c>
      <c r="D52" s="14">
        <f>N51</f>
        <v>37.901982750593874</v>
      </c>
      <c r="E52" s="15">
        <f>Assumptions!$C$28+Assumptions!$C$7/D52</f>
        <v>37409476.31985566</v>
      </c>
      <c r="F52" s="14">
        <f>IF(D52&lt;Assumptions!$C$35,(Assumptions!$C$35*Assumptions!$C$28+Assumptions!$C$7)/E52,Assumptions!$C$35)</f>
        <v>57.69060612818528</v>
      </c>
      <c r="G52" s="14">
        <f>IF(D52&lt;Assumptions!$C$36,(Assumptions!$C$36*Assumptions!$C$28+Assumptions!$C$7)/E52,Assumptions!$C$36)</f>
        <v>48.92014791590464</v>
      </c>
      <c r="H52" s="15">
        <f>IF(D52&lt;Assumptions!$C$35,Assumptions!$C$43/F52,Assumptions!$C$24)</f>
        <v>1733384.4573899193</v>
      </c>
      <c r="I52" s="15">
        <f>IF(D52&lt;Assumptions!$C$36,Assumptions!$C$44/G52,Assumptions!$C$25)</f>
        <v>6132442.618851234</v>
      </c>
      <c r="J52" s="15">
        <f>MAX(0,$D$40*($C$40+Assumptions!$C$7)/D52-Assumptions!$C$26-Assumptions!$C$27)</f>
        <v>0</v>
      </c>
      <c r="K52" s="15">
        <f>IF((M51-K51)&lt;=0,0,Assumptions!$C$47/MIN(Assumptions!$C$48/(M51-K51),D52*(1-Assumptions!$C$49)))</f>
        <v>183768.06762817965</v>
      </c>
      <c r="L52" s="15">
        <f>IF((M51-L51)&lt;=0,0,Assumptions!$C$50/MIN(Assumptions!$C$51/(M51-L51),D52*(1-Assumptions!$C$52)))</f>
        <v>93119.44939478347</v>
      </c>
      <c r="M52" s="15">
        <f>Assumptions!$C$28+(H52-Assumptions!$C$24)+(I52-Assumptions!$C$25)+J52+K52+L52</f>
        <v>36937381.59326411</v>
      </c>
      <c r="N52" s="14">
        <f>$C$40/M52</f>
        <v>37.901982750593874</v>
      </c>
    </row>
    <row r="53" spans="2:14" x14ac:dyDescent="0.25">
      <c r="B53" s="15">
        <v>12</v>
      </c>
      <c r="D53" s="14">
        <f>N52</f>
        <v>37.901982750593874</v>
      </c>
      <c r="E53" s="15">
        <f>Assumptions!$C$28+Assumptions!$C$7/D53</f>
        <v>37409476.31985566</v>
      </c>
      <c r="F53" s="14">
        <f>IF(D53&lt;Assumptions!$C$35,(Assumptions!$C$35*Assumptions!$C$28+Assumptions!$C$7)/E53,Assumptions!$C$35)</f>
        <v>57.69060612818528</v>
      </c>
      <c r="G53" s="14">
        <f>IF(D53&lt;Assumptions!$C$36,(Assumptions!$C$36*Assumptions!$C$28+Assumptions!$C$7)/E53,Assumptions!$C$36)</f>
        <v>48.92014791590464</v>
      </c>
      <c r="H53" s="15">
        <f>IF(D53&lt;Assumptions!$C$35,Assumptions!$C$43/F53,Assumptions!$C$24)</f>
        <v>1733384.4573899193</v>
      </c>
      <c r="I53" s="15">
        <f>IF(D53&lt;Assumptions!$C$36,Assumptions!$C$44/G53,Assumptions!$C$25)</f>
        <v>6132442.618851234</v>
      </c>
      <c r="J53" s="15">
        <f>MAX(0,$D$40*($C$40+Assumptions!$C$7)/D53-Assumptions!$C$26-Assumptions!$C$27)</f>
        <v>0</v>
      </c>
      <c r="K53" s="15">
        <f>IF((M52-K52)&lt;=0,0,Assumptions!$C$47/MIN(Assumptions!$C$48/(M52-K52),D53*(1-Assumptions!$C$49)))</f>
        <v>183768.06762817965</v>
      </c>
      <c r="L53" s="15">
        <f>IF((M52-L52)&lt;=0,0,Assumptions!$C$50/MIN(Assumptions!$C$51/(M52-L52),D53*(1-Assumptions!$C$52)))</f>
        <v>93119.44939478347</v>
      </c>
      <c r="M53" s="15">
        <f>Assumptions!$C$28+(H53-Assumptions!$C$24)+(I53-Assumptions!$C$25)+J53+K53+L53</f>
        <v>36937381.59326411</v>
      </c>
      <c r="N53" s="14">
        <f>$C$40/M53</f>
        <v>37.901982750593874</v>
      </c>
    </row>
    <row r="54" spans="2:14" x14ac:dyDescent="0.25">
      <c r="B54" s="15">
        <v>13</v>
      </c>
      <c r="D54" s="14">
        <f>N53</f>
        <v>37.901982750593874</v>
      </c>
      <c r="E54" s="15">
        <f>Assumptions!$C$28+Assumptions!$C$7/D54</f>
        <v>37409476.31985566</v>
      </c>
      <c r="F54" s="14">
        <f>IF(D54&lt;Assumptions!$C$35,(Assumptions!$C$35*Assumptions!$C$28+Assumptions!$C$7)/E54,Assumptions!$C$35)</f>
        <v>57.69060612818528</v>
      </c>
      <c r="G54" s="14">
        <f>IF(D54&lt;Assumptions!$C$36,(Assumptions!$C$36*Assumptions!$C$28+Assumptions!$C$7)/E54,Assumptions!$C$36)</f>
        <v>48.92014791590464</v>
      </c>
      <c r="H54" s="15">
        <f>IF(D54&lt;Assumptions!$C$35,Assumptions!$C$43/F54,Assumptions!$C$24)</f>
        <v>1733384.4573899193</v>
      </c>
      <c r="I54" s="15">
        <f>IF(D54&lt;Assumptions!$C$36,Assumptions!$C$44/G54,Assumptions!$C$25)</f>
        <v>6132442.618851234</v>
      </c>
      <c r="J54" s="15">
        <f>MAX(0,$D$40*($C$40+Assumptions!$C$7)/D54-Assumptions!$C$26-Assumptions!$C$27)</f>
        <v>0</v>
      </c>
      <c r="K54" s="15">
        <f>IF((M53-K53)&lt;=0,0,Assumptions!$C$47/MIN(Assumptions!$C$48/(M53-K53),D54*(1-Assumptions!$C$49)))</f>
        <v>183768.06762817965</v>
      </c>
      <c r="L54" s="15">
        <f>IF((M53-L53)&lt;=0,0,Assumptions!$C$50/MIN(Assumptions!$C$51/(M53-L53),D54*(1-Assumptions!$C$52)))</f>
        <v>93119.44939478347</v>
      </c>
      <c r="M54" s="15">
        <f>Assumptions!$C$28+(H54-Assumptions!$C$24)+(I54-Assumptions!$C$25)+J54+K54+L54</f>
        <v>36937381.59326411</v>
      </c>
      <c r="N54" s="14">
        <f>$C$40/M54</f>
        <v>37.901982750593874</v>
      </c>
    </row>
    <row r="55" spans="2:14" x14ac:dyDescent="0.25">
      <c r="B55" s="15">
        <v>14</v>
      </c>
      <c r="D55" s="14">
        <f>N54</f>
        <v>37.901982750593874</v>
      </c>
      <c r="E55" s="15">
        <f>Assumptions!$C$28+Assumptions!$C$7/D55</f>
        <v>37409476.31985566</v>
      </c>
      <c r="F55" s="14">
        <f>IF(D55&lt;Assumptions!$C$35,(Assumptions!$C$35*Assumptions!$C$28+Assumptions!$C$7)/E55,Assumptions!$C$35)</f>
        <v>57.69060612818528</v>
      </c>
      <c r="G55" s="14">
        <f>IF(D55&lt;Assumptions!$C$36,(Assumptions!$C$36*Assumptions!$C$28+Assumptions!$C$7)/E55,Assumptions!$C$36)</f>
        <v>48.92014791590464</v>
      </c>
      <c r="H55" s="15">
        <f>IF(D55&lt;Assumptions!$C$35,Assumptions!$C$43/F55,Assumptions!$C$24)</f>
        <v>1733384.4573899193</v>
      </c>
      <c r="I55" s="15">
        <f>IF(D55&lt;Assumptions!$C$36,Assumptions!$C$44/G55,Assumptions!$C$25)</f>
        <v>6132442.618851234</v>
      </c>
      <c r="J55" s="15">
        <f>MAX(0,$D$40*($C$40+Assumptions!$C$7)/D55-Assumptions!$C$26-Assumptions!$C$27)</f>
        <v>0</v>
      </c>
      <c r="K55" s="15">
        <f>IF((M54-K54)&lt;=0,0,Assumptions!$C$47/MIN(Assumptions!$C$48/(M54-K54),D55*(1-Assumptions!$C$49)))</f>
        <v>183768.06762817965</v>
      </c>
      <c r="L55" s="15">
        <f>IF((M54-L54)&lt;=0,0,Assumptions!$C$50/MIN(Assumptions!$C$51/(M54-L54),D55*(1-Assumptions!$C$52)))</f>
        <v>93119.44939478347</v>
      </c>
      <c r="M55" s="15">
        <f>Assumptions!$C$28+(H55-Assumptions!$C$24)+(I55-Assumptions!$C$25)+J55+K55+L55</f>
        <v>36937381.59326411</v>
      </c>
      <c r="N55" s="14">
        <f>$C$40/M55</f>
        <v>37.901982750593874</v>
      </c>
    </row>
    <row r="56" spans="2:14" x14ac:dyDescent="0.25">
      <c r="B56" s="15">
        <v>15</v>
      </c>
      <c r="D56" s="14">
        <f>N55</f>
        <v>37.901982750593874</v>
      </c>
      <c r="E56" s="15">
        <f>Assumptions!$C$28+Assumptions!$C$7/D56</f>
        <v>37409476.31985566</v>
      </c>
      <c r="F56" s="14">
        <f>IF(D56&lt;Assumptions!$C$35,(Assumptions!$C$35*Assumptions!$C$28+Assumptions!$C$7)/E56,Assumptions!$C$35)</f>
        <v>57.69060612818528</v>
      </c>
      <c r="G56" s="14">
        <f>IF(D56&lt;Assumptions!$C$36,(Assumptions!$C$36*Assumptions!$C$28+Assumptions!$C$7)/E56,Assumptions!$C$36)</f>
        <v>48.92014791590464</v>
      </c>
      <c r="H56" s="15">
        <f>IF(D56&lt;Assumptions!$C$35,Assumptions!$C$43/F56,Assumptions!$C$24)</f>
        <v>1733384.4573899193</v>
      </c>
      <c r="I56" s="15">
        <f>IF(D56&lt;Assumptions!$C$36,Assumptions!$C$44/G56,Assumptions!$C$25)</f>
        <v>6132442.618851234</v>
      </c>
      <c r="J56" s="15">
        <f>MAX(0,$D$40*($C$40+Assumptions!$C$7)/D56-Assumptions!$C$26-Assumptions!$C$27)</f>
        <v>0</v>
      </c>
      <c r="K56" s="15">
        <f>IF((M55-K55)&lt;=0,0,Assumptions!$C$47/MIN(Assumptions!$C$48/(M55-K55),D56*(1-Assumptions!$C$49)))</f>
        <v>183768.06762817965</v>
      </c>
      <c r="L56" s="15">
        <f>IF((M55-L55)&lt;=0,0,Assumptions!$C$50/MIN(Assumptions!$C$51/(M55-L55),D56*(1-Assumptions!$C$52)))</f>
        <v>93119.44939478347</v>
      </c>
      <c r="M56" s="15">
        <f>Assumptions!$C$28+(H56-Assumptions!$C$24)+(I56-Assumptions!$C$25)+J56+K56+L56</f>
        <v>36937381.59326411</v>
      </c>
      <c r="N56" s="14">
        <f>$C$40/M56</f>
        <v>37.901982750593874</v>
      </c>
    </row>
    <row r="57" spans="2:14" x14ac:dyDescent="0.25">
      <c r="B57" s="15">
        <v>16</v>
      </c>
      <c r="D57" s="14">
        <f>N56</f>
        <v>37.901982750593874</v>
      </c>
      <c r="E57" s="15">
        <f>Assumptions!$C$28+Assumptions!$C$7/D57</f>
        <v>37409476.31985566</v>
      </c>
      <c r="F57" s="14">
        <f>IF(D57&lt;Assumptions!$C$35,(Assumptions!$C$35*Assumptions!$C$28+Assumptions!$C$7)/E57,Assumptions!$C$35)</f>
        <v>57.69060612818528</v>
      </c>
      <c r="G57" s="14">
        <f>IF(D57&lt;Assumptions!$C$36,(Assumptions!$C$36*Assumptions!$C$28+Assumptions!$C$7)/E57,Assumptions!$C$36)</f>
        <v>48.92014791590464</v>
      </c>
      <c r="H57" s="15">
        <f>IF(D57&lt;Assumptions!$C$35,Assumptions!$C$43/F57,Assumptions!$C$24)</f>
        <v>1733384.4573899193</v>
      </c>
      <c r="I57" s="15">
        <f>IF(D57&lt;Assumptions!$C$36,Assumptions!$C$44/G57,Assumptions!$C$25)</f>
        <v>6132442.618851234</v>
      </c>
      <c r="J57" s="15">
        <f>MAX(0,$D$40*($C$40+Assumptions!$C$7)/D57-Assumptions!$C$26-Assumptions!$C$27)</f>
        <v>0</v>
      </c>
      <c r="K57" s="15">
        <f>IF((M56-K56)&lt;=0,0,Assumptions!$C$47/MIN(Assumptions!$C$48/(M56-K56),D57*(1-Assumptions!$C$49)))</f>
        <v>183768.06762817965</v>
      </c>
      <c r="L57" s="15">
        <f>IF((M56-L56)&lt;=0,0,Assumptions!$C$50/MIN(Assumptions!$C$51/(M56-L56),D57*(1-Assumptions!$C$52)))</f>
        <v>93119.44939478347</v>
      </c>
      <c r="M57" s="15">
        <f>Assumptions!$C$28+(H57-Assumptions!$C$24)+(I57-Assumptions!$C$25)+J57+K57+L57</f>
        <v>36937381.59326411</v>
      </c>
      <c r="N57" s="14">
        <f>$C$40/M57</f>
        <v>37.901982750593874</v>
      </c>
    </row>
    <row r="58" spans="2:14" x14ac:dyDescent="0.25">
      <c r="B58" s="15">
        <v>17</v>
      </c>
      <c r="D58" s="14">
        <f>N57</f>
        <v>37.901982750593874</v>
      </c>
      <c r="E58" s="15">
        <f>Assumptions!$C$28+Assumptions!$C$7/D58</f>
        <v>37409476.31985566</v>
      </c>
      <c r="F58" s="14">
        <f>IF(D58&lt;Assumptions!$C$35,(Assumptions!$C$35*Assumptions!$C$28+Assumptions!$C$7)/E58,Assumptions!$C$35)</f>
        <v>57.69060612818528</v>
      </c>
      <c r="G58" s="14">
        <f>IF(D58&lt;Assumptions!$C$36,(Assumptions!$C$36*Assumptions!$C$28+Assumptions!$C$7)/E58,Assumptions!$C$36)</f>
        <v>48.92014791590464</v>
      </c>
      <c r="H58" s="15">
        <f>IF(D58&lt;Assumptions!$C$35,Assumptions!$C$43/F58,Assumptions!$C$24)</f>
        <v>1733384.4573899193</v>
      </c>
      <c r="I58" s="15">
        <f>IF(D58&lt;Assumptions!$C$36,Assumptions!$C$44/G58,Assumptions!$C$25)</f>
        <v>6132442.618851234</v>
      </c>
      <c r="J58" s="15">
        <f>MAX(0,$D$40*($C$40+Assumptions!$C$7)/D58-Assumptions!$C$26-Assumptions!$C$27)</f>
        <v>0</v>
      </c>
      <c r="K58" s="15">
        <f>IF((M57-K57)&lt;=0,0,Assumptions!$C$47/MIN(Assumptions!$C$48/(M57-K57),D58*(1-Assumptions!$C$49)))</f>
        <v>183768.06762817965</v>
      </c>
      <c r="L58" s="15">
        <f>IF((M57-L57)&lt;=0,0,Assumptions!$C$50/MIN(Assumptions!$C$51/(M57-L57),D58*(1-Assumptions!$C$52)))</f>
        <v>93119.44939478347</v>
      </c>
      <c r="M58" s="15">
        <f>Assumptions!$C$28+(H58-Assumptions!$C$24)+(I58-Assumptions!$C$25)+J58+K58+L58</f>
        <v>36937381.59326411</v>
      </c>
      <c r="N58" s="14">
        <f>$C$40/M58</f>
        <v>37.901982750593874</v>
      </c>
    </row>
    <row r="59" spans="2:14" x14ac:dyDescent="0.25">
      <c r="B59" s="15">
        <v>18</v>
      </c>
      <c r="D59" s="14">
        <f>N58</f>
        <v>37.901982750593874</v>
      </c>
      <c r="E59" s="15">
        <f>Assumptions!$C$28+Assumptions!$C$7/D59</f>
        <v>37409476.31985566</v>
      </c>
      <c r="F59" s="14">
        <f>IF(D59&lt;Assumptions!$C$35,(Assumptions!$C$35*Assumptions!$C$28+Assumptions!$C$7)/E59,Assumptions!$C$35)</f>
        <v>57.69060612818528</v>
      </c>
      <c r="G59" s="14">
        <f>IF(D59&lt;Assumptions!$C$36,(Assumptions!$C$36*Assumptions!$C$28+Assumptions!$C$7)/E59,Assumptions!$C$36)</f>
        <v>48.92014791590464</v>
      </c>
      <c r="H59" s="15">
        <f>IF(D59&lt;Assumptions!$C$35,Assumptions!$C$43/F59,Assumptions!$C$24)</f>
        <v>1733384.4573899193</v>
      </c>
      <c r="I59" s="15">
        <f>IF(D59&lt;Assumptions!$C$36,Assumptions!$C$44/G59,Assumptions!$C$25)</f>
        <v>6132442.618851234</v>
      </c>
      <c r="J59" s="15">
        <f>MAX(0,$D$40*($C$40+Assumptions!$C$7)/D59-Assumptions!$C$26-Assumptions!$C$27)</f>
        <v>0</v>
      </c>
      <c r="K59" s="15">
        <f>IF((M58-K58)&lt;=0,0,Assumptions!$C$47/MIN(Assumptions!$C$48/(M58-K58),D59*(1-Assumptions!$C$49)))</f>
        <v>183768.06762817965</v>
      </c>
      <c r="L59" s="15">
        <f>IF((M58-L58)&lt;=0,0,Assumptions!$C$50/MIN(Assumptions!$C$51/(M58-L58),D59*(1-Assumptions!$C$52)))</f>
        <v>93119.44939478347</v>
      </c>
      <c r="M59" s="15">
        <f>Assumptions!$C$28+(H59-Assumptions!$C$24)+(I59-Assumptions!$C$25)+J59+K59+L59</f>
        <v>36937381.59326411</v>
      </c>
      <c r="N59" s="14">
        <f>$C$40/M59</f>
        <v>37.901982750593874</v>
      </c>
    </row>
    <row r="60" spans="2:14" x14ac:dyDescent="0.25">
      <c r="B60" s="15">
        <v>19</v>
      </c>
      <c r="D60" s="14">
        <f>N59</f>
        <v>37.901982750593874</v>
      </c>
      <c r="E60" s="15">
        <f>Assumptions!$C$28+Assumptions!$C$7/D60</f>
        <v>37409476.31985566</v>
      </c>
      <c r="F60" s="14">
        <f>IF(D60&lt;Assumptions!$C$35,(Assumptions!$C$35*Assumptions!$C$28+Assumptions!$C$7)/E60,Assumptions!$C$35)</f>
        <v>57.69060612818528</v>
      </c>
      <c r="G60" s="14">
        <f>IF(D60&lt;Assumptions!$C$36,(Assumptions!$C$36*Assumptions!$C$28+Assumptions!$C$7)/E60,Assumptions!$C$36)</f>
        <v>48.92014791590464</v>
      </c>
      <c r="H60" s="15">
        <f>IF(D60&lt;Assumptions!$C$35,Assumptions!$C$43/F60,Assumptions!$C$24)</f>
        <v>1733384.4573899193</v>
      </c>
      <c r="I60" s="15">
        <f>IF(D60&lt;Assumptions!$C$36,Assumptions!$C$44/G60,Assumptions!$C$25)</f>
        <v>6132442.618851234</v>
      </c>
      <c r="J60" s="15">
        <f>MAX(0,$D$40*($C$40+Assumptions!$C$7)/D60-Assumptions!$C$26-Assumptions!$C$27)</f>
        <v>0</v>
      </c>
      <c r="K60" s="15">
        <f>IF((M59-K59)&lt;=0,0,Assumptions!$C$47/MIN(Assumptions!$C$48/(M59-K59),D60*(1-Assumptions!$C$49)))</f>
        <v>183768.06762817965</v>
      </c>
      <c r="L60" s="15">
        <f>IF((M59-L59)&lt;=0,0,Assumptions!$C$50/MIN(Assumptions!$C$51/(M59-L59),D60*(1-Assumptions!$C$52)))</f>
        <v>93119.44939478347</v>
      </c>
      <c r="M60" s="15">
        <f>Assumptions!$C$28+(H60-Assumptions!$C$24)+(I60-Assumptions!$C$25)+J60+K60+L60</f>
        <v>36937381.59326411</v>
      </c>
      <c r="N60" s="14">
        <f>$C$40/M60</f>
        <v>37.901982750593874</v>
      </c>
    </row>
    <row r="61" spans="2:14" x14ac:dyDescent="0.25">
      <c r="B61" s="15">
        <v>20</v>
      </c>
      <c r="D61" s="14">
        <f>N60</f>
        <v>37.901982750593874</v>
      </c>
      <c r="E61" s="15">
        <f>Assumptions!$C$28+Assumptions!$C$7/D61</f>
        <v>37409476.31985566</v>
      </c>
      <c r="F61" s="14">
        <f>IF(D61&lt;Assumptions!$C$35,(Assumptions!$C$35*Assumptions!$C$28+Assumptions!$C$7)/E61,Assumptions!$C$35)</f>
        <v>57.69060612818528</v>
      </c>
      <c r="G61" s="14">
        <f>IF(D61&lt;Assumptions!$C$36,(Assumptions!$C$36*Assumptions!$C$28+Assumptions!$C$7)/E61,Assumptions!$C$36)</f>
        <v>48.92014791590464</v>
      </c>
      <c r="H61" s="15">
        <f>IF(D61&lt;Assumptions!$C$35,Assumptions!$C$43/F61,Assumptions!$C$24)</f>
        <v>1733384.4573899193</v>
      </c>
      <c r="I61" s="15">
        <f>IF(D61&lt;Assumptions!$C$36,Assumptions!$C$44/G61,Assumptions!$C$25)</f>
        <v>6132442.618851234</v>
      </c>
      <c r="J61" s="15">
        <f>MAX(0,$D$40*($C$40+Assumptions!$C$7)/D61-Assumptions!$C$26-Assumptions!$C$27)</f>
        <v>0</v>
      </c>
      <c r="K61" s="15">
        <f>IF((M60-K60)&lt;=0,0,Assumptions!$C$47/MIN(Assumptions!$C$48/(M60-K60),D61*(1-Assumptions!$C$49)))</f>
        <v>183768.06762817965</v>
      </c>
      <c r="L61" s="15">
        <f>IF((M60-L60)&lt;=0,0,Assumptions!$C$50/MIN(Assumptions!$C$51/(M60-L60),D61*(1-Assumptions!$C$52)))</f>
        <v>93119.44939478347</v>
      </c>
      <c r="M61" s="15">
        <f>Assumptions!$C$28+(H61-Assumptions!$C$24)+(I61-Assumptions!$C$25)+J61+K61+L61</f>
        <v>36937381.59326411</v>
      </c>
      <c r="N61" s="14">
        <f>$C$40/M61</f>
        <v>37.901982750593874</v>
      </c>
    </row>
    <row r="62" spans="2:12" x14ac:dyDescent="0.25">
      <c r="B62" s="10" t="s">
        <v>181</v>
      </c>
      <c r="D62" s="13">
        <f>N61</f>
        <v>37.901982750593874</v>
      </c>
      <c r="E62" s="11">
        <f>$E$40/D62</f>
        <v>37728896.91311977</v>
      </c>
      <c r="H62" s="11">
        <f>H61</f>
        <v>1733384.4573899193</v>
      </c>
      <c r="I62" s="11">
        <f>I61</f>
        <v>6132442.618851234</v>
      </c>
      <c r="J62" s="11">
        <f>J61</f>
        <v>0</v>
      </c>
      <c r="K62" s="11">
        <f>K61</f>
        <v>183768.06762817965</v>
      </c>
      <c r="L62" s="11">
        <f>L61</f>
        <v>93119.44939478347</v>
      </c>
    </row>
    <row r="63" spans="2:3" x14ac:dyDescent="0.25">
      <c r="B63" s="24" t="s">
        <v>182</v>
      </c>
      <c r="C63" s="15">
        <f>Assumptions!$C$16+Assumptions!$C$17+Assumptions!$C$18+Assumptions!$C$19+Assumptions!$C$20+Assumptions!$C$21+Assumptions!$C$22+Assumptions!$C$23+$H$62+$I$62+(Assumptions!$C$7/$D$62)+$K$62+$L$62+Assumptions!$C$26</f>
        <v>35834229.91311978</v>
      </c>
    </row>
    <row r="64" spans="2:3" x14ac:dyDescent="0.25">
      <c r="B64" s="24" t="s">
        <v>183</v>
      </c>
      <c r="C64" s="14">
        <f>Assumptions!$C$57+Assumptions!$C$26*Assumptions!$C$13</f>
        <v>2002500000</v>
      </c>
    </row>
    <row r="65" spans="2:3" x14ac:dyDescent="0.25">
      <c r="B65" s="24" t="s">
        <v>184</v>
      </c>
      <c r="C65" s="14">
        <f>$C$64/$C$63</f>
        <v>55.88232270806624</v>
      </c>
    </row>
    <row r="66" spans="2:10" x14ac:dyDescent="0.25">
      <c r="B66" s="24" t="s">
        <v>185</v>
      </c>
      <c r="D66" s="15" t="str">
        <f>IF(Assumptions!$C$7&gt;(Assumptions!$C$7/$D$62)*$C$65,"preference","convert")</f>
        <v>convert</v>
      </c>
      <c r="E66" s="15" t="str">
        <f>IF(Assumptions!$C$44&gt;$I$62*$C$65,"preference","convert")</f>
        <v>convert</v>
      </c>
      <c r="F66" s="15" t="str">
        <f>IF(Assumptions!$C$43&gt;$H$62*$C$65,"preference","convert")</f>
        <v>preference</v>
      </c>
      <c r="G66" s="15" t="str">
        <f>IF(Assumptions!$C$42&gt;Assumptions!$C$23*$C$65,"preference","convert")</f>
        <v>convert</v>
      </c>
      <c r="H66" s="15" t="str">
        <f>IF(Assumptions!$C$41&gt;Assumptions!$C$22*$C$65,"preference","convert")</f>
        <v>convert</v>
      </c>
      <c r="I66" s="15" t="str">
        <f>IF(Assumptions!$C$40&gt;Assumptions!$C$21*$C$65,"preference","convert")</f>
        <v>convert</v>
      </c>
      <c r="J66" s="15" t="str">
        <f>IF(Assumptions!$C$39&gt;Assumptions!$C$20*$C$65,"preference","convert")</f>
        <v>convert</v>
      </c>
    </row>
    <row r="67" spans="2:3" x14ac:dyDescent="0.25">
      <c r="B67" s="24" t="s">
        <v>186</v>
      </c>
      <c r="C67" s="14">
        <f>($C$64-(IF($D$66="preference",Assumptions!$C$7,0)+IF($E$66="preference",Assumptions!$C$44,0)+IF($F$66="preference",Assumptions!$C$43,0)+IF($G$66="preference",Assumptions!$C$42,0)+IF($H$66="preference",Assumptions!$C$41,0)+IF($I$66="preference",Assumptions!$C$40,0)+IF($J$66="preference",Assumptions!$C$39,0)))/($C$63-(IF($D$66="preference",Assumptions!$C$7/$D$62,0)+IF($E$66="preference",$I$62,0)+IF($F$66="preference",$H$62,0)+IF($G$66="preference",Assumptions!$C$23,0)+IF($H$66="preference",Assumptions!$C$22,0)+IF($I$66="preference",Assumptions!$C$21,0)+IF($J$66="preference",Assumptions!$C$20,0)))</f>
        <v>55.79040562116998</v>
      </c>
    </row>
    <row r="68" spans="2:10" x14ac:dyDescent="0.25">
      <c r="B68" s="24" t="s">
        <v>187</v>
      </c>
      <c r="D68" s="15" t="str">
        <f>IF(Assumptions!$C$7&gt;(Assumptions!$C$7/$D$62)*$C$67,"preference","convert")</f>
        <v>convert</v>
      </c>
      <c r="E68" s="15" t="str">
        <f>IF(Assumptions!$C$44&gt;$I$62*$C$67,"preference","convert")</f>
        <v>convert</v>
      </c>
      <c r="F68" s="15" t="str">
        <f>IF(Assumptions!$C$43&gt;$H$62*$C$67,"preference","convert")</f>
        <v>preference</v>
      </c>
      <c r="G68" s="15" t="str">
        <f>IF(Assumptions!$C$42&gt;Assumptions!$C$23*$C$67,"preference","convert")</f>
        <v>convert</v>
      </c>
      <c r="H68" s="15" t="str">
        <f>IF(Assumptions!$C$41&gt;Assumptions!$C$22*$C$67,"preference","convert")</f>
        <v>convert</v>
      </c>
      <c r="I68" s="15" t="str">
        <f>IF(Assumptions!$C$40&gt;Assumptions!$C$21*$C$67,"preference","convert")</f>
        <v>convert</v>
      </c>
      <c r="J68" s="15" t="str">
        <f>IF(Assumptions!$C$39&gt;Assumptions!$C$20*$C$67,"preference","convert")</f>
        <v>convert</v>
      </c>
    </row>
    <row r="69" spans="2:3" x14ac:dyDescent="0.25">
      <c r="B69" s="10" t="s">
        <v>188</v>
      </c>
      <c r="C69" s="27">
        <f>($C$64-(IF($D$68="preference",Assumptions!$C$7,0)+IF($E$68="preference",Assumptions!$C$44,0)+IF($F$68="preference",Assumptions!$C$43,0)+IF($G$68="preference",Assumptions!$C$42,0)+IF($H$68="preference",Assumptions!$C$41,0)+IF($I$68="preference",Assumptions!$C$40,0)+IF($J$68="preference",Assumptions!$C$39,0)))/($C$63-(IF($D$68="preference",Assumptions!$C$7/$D$62,0)+IF($E$68="preference",$I$62,0)+IF($F$68="preference",$H$62,0)+IF($G$68="preference",Assumptions!$C$23,0)+IF($H$68="preference",Assumptions!$C$22,0)+IF($I$68="preference",Assumptions!$C$21,0)+IF($J$68="preference",Assumptions!$C$20,0)))</f>
        <v>55.79040562116998</v>
      </c>
    </row>
    <row r="70" spans="2:3" x14ac:dyDescent="0.25">
      <c r="B70" s="10" t="s">
        <v>189</v>
      </c>
      <c r="C70" s="13">
        <f>IF($D$68="preference",Assumptions!$C$11,(Assumptions!$C$11/$D$62)*$C$69)</f>
        <v>14719653.583372448</v>
      </c>
    </row>
    <row r="71" spans="2:3" x14ac:dyDescent="0.25">
      <c r="B71" s="10" t="s">
        <v>190</v>
      </c>
      <c r="C71" s="21">
        <f>(Assumptions!$C$11/$D$62)/$E$62</f>
        <v>0.006993006993006993</v>
      </c>
    </row>
    <row r="73" spans="2:14" x14ac:dyDescent="0.25">
      <c r="B73" s="3" t="s">
        <v>192</v>
      </c>
      <c r="C73" s="4" t="s">
        <v>3</v>
      </c>
      <c r="D73" s="4" t="s">
        <v>3</v>
      </c>
      <c r="E73" s="4" t="s">
        <v>3</v>
      </c>
      <c r="F73" s="4" t="s">
        <v>3</v>
      </c>
      <c r="G73" s="4" t="s">
        <v>3</v>
      </c>
      <c r="H73" s="4" t="s">
        <v>3</v>
      </c>
      <c r="I73" s="4" t="s">
        <v>3</v>
      </c>
      <c r="J73" s="4" t="s">
        <v>3</v>
      </c>
      <c r="K73" s="4" t="s">
        <v>3</v>
      </c>
      <c r="L73" s="4" t="s">
        <v>3</v>
      </c>
      <c r="M73" s="4" t="s">
        <v>3</v>
      </c>
      <c r="N73" s="4" t="s">
        <v>3</v>
      </c>
    </row>
    <row r="74" spans="2:5" x14ac:dyDescent="0.25">
      <c r="B74" s="24" t="s">
        <v>168</v>
      </c>
      <c r="C74" s="20">
        <f>Assumptions!$C$67</f>
        <v>1800000000</v>
      </c>
      <c r="D74" s="25">
        <f>Assumptions!$C$62</f>
        <v>0.11</v>
      </c>
      <c r="E74" s="14">
        <f>C74+Assumptions!$C$7</f>
        <v>1830000000</v>
      </c>
    </row>
    <row r="75" spans="2:14" x14ac:dyDescent="0.25">
      <c r="B75" s="16" t="s">
        <v>169</v>
      </c>
      <c r="D75" s="16" t="s">
        <v>170</v>
      </c>
      <c r="E75" s="16" t="s">
        <v>171</v>
      </c>
      <c r="F75" s="16" t="s">
        <v>172</v>
      </c>
      <c r="G75" s="16" t="s">
        <v>173</v>
      </c>
      <c r="H75" s="16" t="s">
        <v>174</v>
      </c>
      <c r="I75" s="16" t="s">
        <v>175</v>
      </c>
      <c r="J75" s="16" t="s">
        <v>176</v>
      </c>
      <c r="K75" s="16" t="s">
        <v>177</v>
      </c>
      <c r="L75" s="16" t="s">
        <v>178</v>
      </c>
      <c r="M75" s="16" t="s">
        <v>179</v>
      </c>
      <c r="N75" s="16" t="s">
        <v>180</v>
      </c>
    </row>
    <row r="76" spans="2:14" x14ac:dyDescent="0.25">
      <c r="B76" s="15">
        <v>1</v>
      </c>
      <c r="D76" s="14">
        <f>($C$74+Assumptions!$C$7)/Assumptions!$C$28</f>
        <v>49.97547515002269</v>
      </c>
      <c r="E76" s="15">
        <f>Assumptions!$C$28+Assumptions!$C$7/D76</f>
        <v>37218255.44262295</v>
      </c>
      <c r="F76" s="14">
        <f>IF(D76&lt;Assumptions!$C$35,(Assumptions!$C$35*Assumptions!$C$28+Assumptions!$C$7)/E76,Assumptions!$C$35)</f>
        <v>57.987010357258434</v>
      </c>
      <c r="G76" s="14">
        <f>IF(D76&lt;Assumptions!$C$36,(Assumptions!$C$36*Assumptions!$C$28+Assumptions!$C$7)/E76,Assumptions!$C$36)</f>
        <v>49.158311</v>
      </c>
      <c r="H76" s="15">
        <f>IF(D76&lt;Assumptions!$C$35,Assumptions!$C$43/F76,Assumptions!$C$24)</f>
        <v>1724524.1543562808</v>
      </c>
      <c r="I76" s="15">
        <f>IF(D76&lt;Assumptions!$C$36,Assumptions!$C$44/G76,Assumptions!$C$25)</f>
        <v>6102667</v>
      </c>
      <c r="J76" s="15">
        <f>MAX(0,$D$74*($C$74+Assumptions!$C$7)/D76-Assumptions!$C$26-Assumptions!$C$27)</f>
        <v>0</v>
      </c>
      <c r="K76" s="15">
        <v>0</v>
      </c>
      <c r="L76" s="15">
        <v>0</v>
      </c>
      <c r="M76" s="15">
        <f>Assumptions!$C$28+(H76-Assumptions!$C$24)+(I76-Assumptions!$C$25)+J76+K76+L76</f>
        <v>36621858.15435628</v>
      </c>
      <c r="N76" s="14">
        <f>$C$74/M76</f>
        <v>49.150974055255155</v>
      </c>
    </row>
    <row r="77" spans="2:14" x14ac:dyDescent="0.25">
      <c r="B77" s="15">
        <v>2</v>
      </c>
      <c r="D77" s="14">
        <f>N76</f>
        <v>49.150974055255155</v>
      </c>
      <c r="E77" s="15">
        <f>Assumptions!$C$28+Assumptions!$C$7/D77</f>
        <v>37228325.30257261</v>
      </c>
      <c r="F77" s="14">
        <f>IF(D77&lt;Assumptions!$C$35,(Assumptions!$C$35*Assumptions!$C$28+Assumptions!$C$7)/E77,Assumptions!$C$35)</f>
        <v>57.97132549718344</v>
      </c>
      <c r="G77" s="14">
        <f>IF(D77&lt;Assumptions!$C$36,(Assumptions!$C$36*Assumptions!$C$28+Assumptions!$C$7)/E77,Assumptions!$C$36)</f>
        <v>49.15819070962631</v>
      </c>
      <c r="H77" s="15">
        <f>IF(D77&lt;Assumptions!$C$35,Assumptions!$C$43/F77,Assumptions!$C$24)</f>
        <v>1724990.745724083</v>
      </c>
      <c r="I77" s="15">
        <f>IF(D77&lt;Assumptions!$C$36,Assumptions!$C$44/G77,Assumptions!$C$25)</f>
        <v>6102746.982127092</v>
      </c>
      <c r="J77" s="15">
        <f>MAX(0,$D$74*($C$74+Assumptions!$C$7)/D77-Assumptions!$C$26-Assumptions!$C$27)</f>
        <v>0</v>
      </c>
      <c r="K77" s="15">
        <f>IF((M76-K76)&lt;=0,0,Assumptions!$C$47/MIN(Assumptions!$C$48/(M76-K76),D77*(1-Assumptions!$C$49)))</f>
        <v>183109.2907717814</v>
      </c>
      <c r="L77" s="15">
        <f>IF((M76-L76)&lt;=0,0,Assumptions!$C$50/MIN(Assumptions!$C$51/(M76-L76),D77*(1-Assumptions!$C$52)))</f>
        <v>71807.56500854173</v>
      </c>
      <c r="M77" s="15">
        <f>Assumptions!$C$28+(H77-Assumptions!$C$24)+(I77-Assumptions!$C$25)+J77+K77+L77</f>
        <v>36877321.5836315</v>
      </c>
      <c r="N77" s="14">
        <f>$C$74/M77</f>
        <v>48.810486301666614</v>
      </c>
    </row>
    <row r="78" spans="2:14" x14ac:dyDescent="0.25">
      <c r="B78" s="15">
        <v>3</v>
      </c>
      <c r="D78" s="14">
        <f>N77</f>
        <v>48.810486301666614</v>
      </c>
      <c r="E78" s="15">
        <f>Assumptions!$C$28+Assumptions!$C$7/D78</f>
        <v>37232583.02639386</v>
      </c>
      <c r="F78" s="14">
        <f>IF(D78&lt;Assumptions!$C$35,(Assumptions!$C$35*Assumptions!$C$28+Assumptions!$C$7)/E78,Assumptions!$C$35)</f>
        <v>57.96469619904037</v>
      </c>
      <c r="G78" s="14">
        <f>IF(D78&lt;Assumptions!$C$36,(Assumptions!$C$36*Assumptions!$C$28+Assumptions!$C$7)/E78,Assumptions!$C$36)</f>
        <v>49.15256923556834</v>
      </c>
      <c r="H78" s="15">
        <f>IF(D78&lt;Assumptions!$C$35,Assumptions!$C$43/F78,Assumptions!$C$24)</f>
        <v>1725188.0292207163</v>
      </c>
      <c r="I78" s="15">
        <f>IF(D78&lt;Assumptions!$C$36,Assumptions!$C$44/G78,Assumptions!$C$25)</f>
        <v>6103444.940227266</v>
      </c>
      <c r="J78" s="15">
        <f>MAX(0,$D$74*($C$74+Assumptions!$C$7)/D78-Assumptions!$C$26-Assumptions!$C$27)</f>
        <v>0</v>
      </c>
      <c r="K78" s="15">
        <f>IF((M77-K77)&lt;=0,0,Assumptions!$C$47/MIN(Assumptions!$C$48/(M77-K77),D78*(1-Assumptions!$C$49)))</f>
        <v>183471.0614642986</v>
      </c>
      <c r="L78" s="15">
        <f>IF((M77-L77)&lt;=0,0,Assumptions!$C$50/MIN(Assumptions!$C$51/(M77-L77),D78*(1-Assumptions!$C$52)))</f>
        <v>72308.47369339509</v>
      </c>
      <c r="M78" s="15">
        <f>Assumptions!$C$28+(H78-Assumptions!$C$24)+(I78-Assumptions!$C$25)+J78+K78+L78</f>
        <v>36879079.50460567</v>
      </c>
      <c r="N78" s="14">
        <f>$C$74/M78</f>
        <v>48.80815964441861</v>
      </c>
    </row>
    <row r="79" spans="2:14" x14ac:dyDescent="0.25">
      <c r="B79" s="15">
        <v>4</v>
      </c>
      <c r="D79" s="14">
        <f>N78</f>
        <v>48.80815964441861</v>
      </c>
      <c r="E79" s="15">
        <f>Assumptions!$C$28+Assumptions!$C$7/D79</f>
        <v>37232612.32507676</v>
      </c>
      <c r="F79" s="14">
        <f>IF(D79&lt;Assumptions!$C$35,(Assumptions!$C$35*Assumptions!$C$28+Assumptions!$C$7)/E79,Assumptions!$C$35)</f>
        <v>57.964650586091196</v>
      </c>
      <c r="G79" s="14">
        <f>IF(D79&lt;Assumptions!$C$36,(Assumptions!$C$36*Assumptions!$C$28+Assumptions!$C$7)/E79,Assumptions!$C$36)</f>
        <v>49.15253055696242</v>
      </c>
      <c r="H79" s="15">
        <f>IF(D79&lt;Assumptions!$C$35,Assumptions!$C$43/F79,Assumptions!$C$24)</f>
        <v>1725189.386788011</v>
      </c>
      <c r="I79" s="15">
        <f>IF(D79&lt;Assumptions!$C$36,Assumptions!$C$44/G79,Assumptions!$C$25)</f>
        <v>6103449.743087647</v>
      </c>
      <c r="J79" s="15">
        <f>MAX(0,$D$74*($C$74+Assumptions!$C$7)/D79-Assumptions!$C$26-Assumptions!$C$27)</f>
        <v>0</v>
      </c>
      <c r="K79" s="15">
        <f>IF((M78-K78)&lt;=0,0,Assumptions!$C$47/MIN(Assumptions!$C$48/(M78-K78),D79*(1-Assumptions!$C$49)))</f>
        <v>183478.04221570687</v>
      </c>
      <c r="L79" s="15">
        <f>IF((M78-L78)&lt;=0,0,Assumptions!$C$50/MIN(Assumptions!$C$51/(M78-L78),D79*(1-Assumptions!$C$52)))</f>
        <v>72311.92059726601</v>
      </c>
      <c r="M79" s="15">
        <f>Assumptions!$C$28+(H79-Assumptions!$C$24)+(I79-Assumptions!$C$25)+J79+K79+L79</f>
        <v>36879096.09268863</v>
      </c>
      <c r="N79" s="14">
        <f>$C$74/M79</f>
        <v>48.80813769068636</v>
      </c>
    </row>
    <row r="80" spans="2:14" x14ac:dyDescent="0.25">
      <c r="B80" s="15">
        <v>5</v>
      </c>
      <c r="D80" s="14">
        <f>N79</f>
        <v>48.80813769068636</v>
      </c>
      <c r="E80" s="15">
        <f>Assumptions!$C$28+Assumptions!$C$7/D80</f>
        <v>37232612.60154481</v>
      </c>
      <c r="F80" s="14">
        <f>IF(D80&lt;Assumptions!$C$35,(Assumptions!$C$35*Assumptions!$C$28+Assumptions!$C$7)/E80,Assumptions!$C$35)</f>
        <v>57.96465015567891</v>
      </c>
      <c r="G80" s="14">
        <f>IF(D80&lt;Assumptions!$C$36,(Assumptions!$C$36*Assumptions!$C$28+Assumptions!$C$7)/E80,Assumptions!$C$36)</f>
        <v>49.152530191983885</v>
      </c>
      <c r="H80" s="15">
        <f>IF(D80&lt;Assumptions!$C$35,Assumptions!$C$43/F80,Assumptions!$C$24)</f>
        <v>1725189.3995982793</v>
      </c>
      <c r="I80" s="15">
        <f>IF(D80&lt;Assumptions!$C$36,Assumptions!$C$44/G80,Assumptions!$C$25)</f>
        <v>6103449.788408369</v>
      </c>
      <c r="J80" s="15">
        <f>MAX(0,$D$74*($C$74+Assumptions!$C$7)/D80-Assumptions!$C$26-Assumptions!$C$27)</f>
        <v>0</v>
      </c>
      <c r="K80" s="15">
        <f>IF((M79-K79)&lt;=0,0,Assumptions!$C$47/MIN(Assumptions!$C$48/(M79-K79),D80*(1-Assumptions!$C$49)))</f>
        <v>183478.0902523646</v>
      </c>
      <c r="L80" s="15">
        <f>IF((M79-L79)&lt;=0,0,Assumptions!$C$50/MIN(Assumptions!$C$51/(M79-L79),D80*(1-Assumptions!$C$52)))</f>
        <v>72311.95312291887</v>
      </c>
      <c r="M80" s="15">
        <f>Assumptions!$C$28+(H80-Assumptions!$C$24)+(I80-Assumptions!$C$25)+J80+K80+L80</f>
        <v>36879096.23138194</v>
      </c>
      <c r="N80" s="14">
        <f>$C$74/M80</f>
        <v>48.80813750713083</v>
      </c>
    </row>
    <row r="81" spans="2:14" x14ac:dyDescent="0.25">
      <c r="B81" s="15">
        <v>6</v>
      </c>
      <c r="D81" s="14">
        <f>N80</f>
        <v>48.80813750713083</v>
      </c>
      <c r="E81" s="15">
        <f>Assumptions!$C$28+Assumptions!$C$7/D81</f>
        <v>37232612.60385636</v>
      </c>
      <c r="F81" s="14">
        <f>IF(D81&lt;Assumptions!$C$35,(Assumptions!$C$35*Assumptions!$C$28+Assumptions!$C$7)/E81,Assumptions!$C$35)</f>
        <v>57.96465015208023</v>
      </c>
      <c r="G81" s="14">
        <f>IF(D81&lt;Assumptions!$C$36,(Assumptions!$C$36*Assumptions!$C$28+Assumptions!$C$7)/E81,Assumptions!$C$36)</f>
        <v>49.1525301889323</v>
      </c>
      <c r="H81" s="15">
        <f>IF(D81&lt;Assumptions!$C$35,Assumptions!$C$43/F81,Assumptions!$C$24)</f>
        <v>1725189.399705386</v>
      </c>
      <c r="I81" s="15">
        <f>IF(D81&lt;Assumptions!$C$36,Assumptions!$C$44/G81,Assumptions!$C$25)</f>
        <v>6103449.788787295</v>
      </c>
      <c r="J81" s="15">
        <f>MAX(0,$D$74*($C$74+Assumptions!$C$7)/D81-Assumptions!$C$26-Assumptions!$C$27)</f>
        <v>0</v>
      </c>
      <c r="K81" s="15">
        <f>IF((M80-K80)&lt;=0,0,Assumptions!$C$47/MIN(Assumptions!$C$48/(M80-K80),D81*(1-Assumptions!$C$49)))</f>
        <v>183478.0907056479</v>
      </c>
      <c r="L81" s="15">
        <f>IF((M80-L80)&lt;=0,0,Assumptions!$C$50/MIN(Assumptions!$C$51/(M80-L80),D81*(1-Assumptions!$C$52)))</f>
        <v>72311.95339486655</v>
      </c>
      <c r="M81" s="15">
        <f>Assumptions!$C$28+(H81-Assumptions!$C$24)+(I81-Assumptions!$C$25)+J81+K81+L81</f>
        <v>36879096.23259319</v>
      </c>
      <c r="N81" s="14">
        <f>$C$74/M81</f>
        <v>48.80813750552778</v>
      </c>
    </row>
    <row r="82" spans="2:14" x14ac:dyDescent="0.25">
      <c r="B82" s="15">
        <v>7</v>
      </c>
      <c r="D82" s="14">
        <f>N81</f>
        <v>48.80813750552778</v>
      </c>
      <c r="E82" s="15">
        <f>Assumptions!$C$28+Assumptions!$C$7/D82</f>
        <v>37232612.60387655</v>
      </c>
      <c r="F82" s="14">
        <f>IF(D82&lt;Assumptions!$C$35,(Assumptions!$C$35*Assumptions!$C$28+Assumptions!$C$7)/E82,Assumptions!$C$35)</f>
        <v>57.964650152048804</v>
      </c>
      <c r="G82" s="14">
        <f>IF(D82&lt;Assumptions!$C$36,(Assumptions!$C$36*Assumptions!$C$28+Assumptions!$C$7)/E82,Assumptions!$C$36)</f>
        <v>49.152530188905644</v>
      </c>
      <c r="H82" s="15">
        <f>IF(D82&lt;Assumptions!$C$35,Assumptions!$C$43/F82,Assumptions!$C$24)</f>
        <v>1725189.3997063213</v>
      </c>
      <c r="I82" s="15">
        <f>IF(D82&lt;Assumptions!$C$36,Assumptions!$C$44/G82,Assumptions!$C$25)</f>
        <v>6103449.788790605</v>
      </c>
      <c r="J82" s="15">
        <f>MAX(0,$D$74*($C$74+Assumptions!$C$7)/D82-Assumptions!$C$26-Assumptions!$C$27)</f>
        <v>0</v>
      </c>
      <c r="K82" s="15">
        <f>IF((M81-K81)&lt;=0,0,Assumptions!$C$47/MIN(Assumptions!$C$48/(M81-K81),D82*(1-Assumptions!$C$49)))</f>
        <v>183478.09070943773</v>
      </c>
      <c r="L82" s="15">
        <f>IF((M81-L81)&lt;=0,0,Assumptions!$C$50/MIN(Assumptions!$C$51/(M81-L81),D82*(1-Assumptions!$C$52)))</f>
        <v>72311.95339724155</v>
      </c>
      <c r="M82" s="15">
        <f>Assumptions!$C$28+(H82-Assumptions!$C$24)+(I82-Assumptions!$C$25)+J82+K82+L82</f>
        <v>36879096.23260361</v>
      </c>
      <c r="N82" s="14">
        <f>$C$74/M82</f>
        <v>48.80813750551399</v>
      </c>
    </row>
    <row r="83" spans="2:14" x14ac:dyDescent="0.25">
      <c r="B83" s="15">
        <v>8</v>
      </c>
      <c r="D83" s="14">
        <f>N82</f>
        <v>48.80813750551399</v>
      </c>
      <c r="E83" s="15">
        <f>Assumptions!$C$28+Assumptions!$C$7/D83</f>
        <v>37232612.603876725</v>
      </c>
      <c r="F83" s="14">
        <f>IF(D83&lt;Assumptions!$C$35,(Assumptions!$C$35*Assumptions!$C$28+Assumptions!$C$7)/E83,Assumptions!$C$35)</f>
        <v>57.96465015204853</v>
      </c>
      <c r="G83" s="14">
        <f>IF(D83&lt;Assumptions!$C$36,(Assumptions!$C$36*Assumptions!$C$28+Assumptions!$C$7)/E83,Assumptions!$C$36)</f>
        <v>49.152530188905416</v>
      </c>
      <c r="H83" s="15">
        <f>IF(D83&lt;Assumptions!$C$35,Assumptions!$C$43/F83,Assumptions!$C$24)</f>
        <v>1725189.3997063295</v>
      </c>
      <c r="I83" s="15">
        <f>IF(D83&lt;Assumptions!$C$36,Assumptions!$C$44/G83,Assumptions!$C$25)</f>
        <v>6103449.788790634</v>
      </c>
      <c r="J83" s="15">
        <f>MAX(0,$D$74*($C$74+Assumptions!$C$7)/D83-Assumptions!$C$26-Assumptions!$C$27)</f>
        <v>0</v>
      </c>
      <c r="K83" s="15">
        <f>IF((M82-K82)&lt;=0,0,Assumptions!$C$47/MIN(Assumptions!$C$48/(M82-K82),D83*(1-Assumptions!$C$49)))</f>
        <v>183478.09070947085</v>
      </c>
      <c r="L83" s="15">
        <f>IF((M82-L82)&lt;=0,0,Assumptions!$C$50/MIN(Assumptions!$C$51/(M82-L82),D83*(1-Assumptions!$C$52)))</f>
        <v>72311.95339726198</v>
      </c>
      <c r="M83" s="15">
        <f>Assumptions!$C$28+(H83-Assumptions!$C$24)+(I83-Assumptions!$C$25)+J83+K83+L83</f>
        <v>36879096.23260369</v>
      </c>
      <c r="N83" s="14">
        <f>$C$74/M83</f>
        <v>48.80813750551388</v>
      </c>
    </row>
    <row r="84" spans="2:14" x14ac:dyDescent="0.25">
      <c r="B84" s="15">
        <v>9</v>
      </c>
      <c r="D84" s="14">
        <f>N83</f>
        <v>48.80813750551388</v>
      </c>
      <c r="E84" s="15">
        <f>Assumptions!$C$28+Assumptions!$C$7/D84</f>
        <v>37232612.603876725</v>
      </c>
      <c r="F84" s="14">
        <f>IF(D84&lt;Assumptions!$C$35,(Assumptions!$C$35*Assumptions!$C$28+Assumptions!$C$7)/E84,Assumptions!$C$35)</f>
        <v>57.96465015204853</v>
      </c>
      <c r="G84" s="14">
        <f>IF(D84&lt;Assumptions!$C$36,(Assumptions!$C$36*Assumptions!$C$28+Assumptions!$C$7)/E84,Assumptions!$C$36)</f>
        <v>49.152530188905416</v>
      </c>
      <c r="H84" s="15">
        <f>IF(D84&lt;Assumptions!$C$35,Assumptions!$C$43/F84,Assumptions!$C$24)</f>
        <v>1725189.3997063295</v>
      </c>
      <c r="I84" s="15">
        <f>IF(D84&lt;Assumptions!$C$36,Assumptions!$C$44/G84,Assumptions!$C$25)</f>
        <v>6103449.788790634</v>
      </c>
      <c r="J84" s="15">
        <f>MAX(0,$D$74*($C$74+Assumptions!$C$7)/D84-Assumptions!$C$26-Assumptions!$C$27)</f>
        <v>0</v>
      </c>
      <c r="K84" s="15">
        <f>IF((M83-K83)&lt;=0,0,Assumptions!$C$47/MIN(Assumptions!$C$48/(M83-K83),D84*(1-Assumptions!$C$49)))</f>
        <v>183478.0907094711</v>
      </c>
      <c r="L84" s="15">
        <f>IF((M83-L83)&lt;=0,0,Assumptions!$C$50/MIN(Assumptions!$C$51/(M83-L83),D84*(1-Assumptions!$C$52)))</f>
        <v>72311.95339726216</v>
      </c>
      <c r="M84" s="15">
        <f>Assumptions!$C$28+(H84-Assumptions!$C$24)+(I84-Assumptions!$C$25)+J84+K84+L84</f>
        <v>36879096.23260369</v>
      </c>
      <c r="N84" s="14">
        <f>$C$74/M84</f>
        <v>48.80813750551388</v>
      </c>
    </row>
    <row r="85" spans="2:14" x14ac:dyDescent="0.25">
      <c r="B85" s="15">
        <v>10</v>
      </c>
      <c r="D85" s="14">
        <f>N84</f>
        <v>48.80813750551388</v>
      </c>
      <c r="E85" s="15">
        <f>Assumptions!$C$28+Assumptions!$C$7/D85</f>
        <v>37232612.603876725</v>
      </c>
      <c r="F85" s="14">
        <f>IF(D85&lt;Assumptions!$C$35,(Assumptions!$C$35*Assumptions!$C$28+Assumptions!$C$7)/E85,Assumptions!$C$35)</f>
        <v>57.96465015204853</v>
      </c>
      <c r="G85" s="14">
        <f>IF(D85&lt;Assumptions!$C$36,(Assumptions!$C$36*Assumptions!$C$28+Assumptions!$C$7)/E85,Assumptions!$C$36)</f>
        <v>49.152530188905416</v>
      </c>
      <c r="H85" s="15">
        <f>IF(D85&lt;Assumptions!$C$35,Assumptions!$C$43/F85,Assumptions!$C$24)</f>
        <v>1725189.3997063295</v>
      </c>
      <c r="I85" s="15">
        <f>IF(D85&lt;Assumptions!$C$36,Assumptions!$C$44/G85,Assumptions!$C$25)</f>
        <v>6103449.788790634</v>
      </c>
      <c r="J85" s="15">
        <f>MAX(0,$D$74*($C$74+Assumptions!$C$7)/D85-Assumptions!$C$26-Assumptions!$C$27)</f>
        <v>0</v>
      </c>
      <c r="K85" s="15">
        <f>IF((M84-K84)&lt;=0,0,Assumptions!$C$47/MIN(Assumptions!$C$48/(M84-K84),D85*(1-Assumptions!$C$49)))</f>
        <v>183478.0907094711</v>
      </c>
      <c r="L85" s="15">
        <f>IF((M84-L84)&lt;=0,0,Assumptions!$C$50/MIN(Assumptions!$C$51/(M84-L84),D85*(1-Assumptions!$C$52)))</f>
        <v>72311.95339726216</v>
      </c>
      <c r="M85" s="15">
        <f>Assumptions!$C$28+(H85-Assumptions!$C$24)+(I85-Assumptions!$C$25)+J85+K85+L85</f>
        <v>36879096.23260369</v>
      </c>
      <c r="N85" s="14">
        <f>$C$74/M85</f>
        <v>48.80813750551388</v>
      </c>
    </row>
    <row r="86" spans="2:14" x14ac:dyDescent="0.25">
      <c r="B86" s="15">
        <v>11</v>
      </c>
      <c r="D86" s="14">
        <f>N85</f>
        <v>48.80813750551388</v>
      </c>
      <c r="E86" s="15">
        <f>Assumptions!$C$28+Assumptions!$C$7/D86</f>
        <v>37232612.603876725</v>
      </c>
      <c r="F86" s="14">
        <f>IF(D86&lt;Assumptions!$C$35,(Assumptions!$C$35*Assumptions!$C$28+Assumptions!$C$7)/E86,Assumptions!$C$35)</f>
        <v>57.96465015204853</v>
      </c>
      <c r="G86" s="14">
        <f>IF(D86&lt;Assumptions!$C$36,(Assumptions!$C$36*Assumptions!$C$28+Assumptions!$C$7)/E86,Assumptions!$C$36)</f>
        <v>49.152530188905416</v>
      </c>
      <c r="H86" s="15">
        <f>IF(D86&lt;Assumptions!$C$35,Assumptions!$C$43/F86,Assumptions!$C$24)</f>
        <v>1725189.3997063295</v>
      </c>
      <c r="I86" s="15">
        <f>IF(D86&lt;Assumptions!$C$36,Assumptions!$C$44/G86,Assumptions!$C$25)</f>
        <v>6103449.788790634</v>
      </c>
      <c r="J86" s="15">
        <f>MAX(0,$D$74*($C$74+Assumptions!$C$7)/D86-Assumptions!$C$26-Assumptions!$C$27)</f>
        <v>0</v>
      </c>
      <c r="K86" s="15">
        <f>IF((M85-K85)&lt;=0,0,Assumptions!$C$47/MIN(Assumptions!$C$48/(M85-K85),D86*(1-Assumptions!$C$49)))</f>
        <v>183478.0907094711</v>
      </c>
      <c r="L86" s="15">
        <f>IF((M85-L85)&lt;=0,0,Assumptions!$C$50/MIN(Assumptions!$C$51/(M85-L85),D86*(1-Assumptions!$C$52)))</f>
        <v>72311.95339726216</v>
      </c>
      <c r="M86" s="15">
        <f>Assumptions!$C$28+(H86-Assumptions!$C$24)+(I86-Assumptions!$C$25)+J86+K86+L86</f>
        <v>36879096.23260369</v>
      </c>
      <c r="N86" s="14">
        <f>$C$74/M86</f>
        <v>48.80813750551388</v>
      </c>
    </row>
    <row r="87" spans="2:14" x14ac:dyDescent="0.25">
      <c r="B87" s="15">
        <v>12</v>
      </c>
      <c r="D87" s="14">
        <f>N86</f>
        <v>48.80813750551388</v>
      </c>
      <c r="E87" s="15">
        <f>Assumptions!$C$28+Assumptions!$C$7/D87</f>
        <v>37232612.603876725</v>
      </c>
      <c r="F87" s="14">
        <f>IF(D87&lt;Assumptions!$C$35,(Assumptions!$C$35*Assumptions!$C$28+Assumptions!$C$7)/E87,Assumptions!$C$35)</f>
        <v>57.96465015204853</v>
      </c>
      <c r="G87" s="14">
        <f>IF(D87&lt;Assumptions!$C$36,(Assumptions!$C$36*Assumptions!$C$28+Assumptions!$C$7)/E87,Assumptions!$C$36)</f>
        <v>49.152530188905416</v>
      </c>
      <c r="H87" s="15">
        <f>IF(D87&lt;Assumptions!$C$35,Assumptions!$C$43/F87,Assumptions!$C$24)</f>
        <v>1725189.3997063295</v>
      </c>
      <c r="I87" s="15">
        <f>IF(D87&lt;Assumptions!$C$36,Assumptions!$C$44/G87,Assumptions!$C$25)</f>
        <v>6103449.788790634</v>
      </c>
      <c r="J87" s="15">
        <f>MAX(0,$D$74*($C$74+Assumptions!$C$7)/D87-Assumptions!$C$26-Assumptions!$C$27)</f>
        <v>0</v>
      </c>
      <c r="K87" s="15">
        <f>IF((M86-K86)&lt;=0,0,Assumptions!$C$47/MIN(Assumptions!$C$48/(M86-K86),D87*(1-Assumptions!$C$49)))</f>
        <v>183478.0907094711</v>
      </c>
      <c r="L87" s="15">
        <f>IF((M86-L86)&lt;=0,0,Assumptions!$C$50/MIN(Assumptions!$C$51/(M86-L86),D87*(1-Assumptions!$C$52)))</f>
        <v>72311.95339726216</v>
      </c>
      <c r="M87" s="15">
        <f>Assumptions!$C$28+(H87-Assumptions!$C$24)+(I87-Assumptions!$C$25)+J87+K87+L87</f>
        <v>36879096.23260369</v>
      </c>
      <c r="N87" s="14">
        <f>$C$74/M87</f>
        <v>48.80813750551388</v>
      </c>
    </row>
    <row r="88" spans="2:14" x14ac:dyDescent="0.25">
      <c r="B88" s="15">
        <v>13</v>
      </c>
      <c r="D88" s="14">
        <f>N87</f>
        <v>48.80813750551388</v>
      </c>
      <c r="E88" s="15">
        <f>Assumptions!$C$28+Assumptions!$C$7/D88</f>
        <v>37232612.603876725</v>
      </c>
      <c r="F88" s="14">
        <f>IF(D88&lt;Assumptions!$C$35,(Assumptions!$C$35*Assumptions!$C$28+Assumptions!$C$7)/E88,Assumptions!$C$35)</f>
        <v>57.96465015204853</v>
      </c>
      <c r="G88" s="14">
        <f>IF(D88&lt;Assumptions!$C$36,(Assumptions!$C$36*Assumptions!$C$28+Assumptions!$C$7)/E88,Assumptions!$C$36)</f>
        <v>49.152530188905416</v>
      </c>
      <c r="H88" s="15">
        <f>IF(D88&lt;Assumptions!$C$35,Assumptions!$C$43/F88,Assumptions!$C$24)</f>
        <v>1725189.3997063295</v>
      </c>
      <c r="I88" s="15">
        <f>IF(D88&lt;Assumptions!$C$36,Assumptions!$C$44/G88,Assumptions!$C$25)</f>
        <v>6103449.788790634</v>
      </c>
      <c r="J88" s="15">
        <f>MAX(0,$D$74*($C$74+Assumptions!$C$7)/D88-Assumptions!$C$26-Assumptions!$C$27)</f>
        <v>0</v>
      </c>
      <c r="K88" s="15">
        <f>IF((M87-K87)&lt;=0,0,Assumptions!$C$47/MIN(Assumptions!$C$48/(M87-K87),D88*(1-Assumptions!$C$49)))</f>
        <v>183478.0907094711</v>
      </c>
      <c r="L88" s="15">
        <f>IF((M87-L87)&lt;=0,0,Assumptions!$C$50/MIN(Assumptions!$C$51/(M87-L87),D88*(1-Assumptions!$C$52)))</f>
        <v>72311.95339726216</v>
      </c>
      <c r="M88" s="15">
        <f>Assumptions!$C$28+(H88-Assumptions!$C$24)+(I88-Assumptions!$C$25)+J88+K88+L88</f>
        <v>36879096.23260369</v>
      </c>
      <c r="N88" s="14">
        <f>$C$74/M88</f>
        <v>48.80813750551388</v>
      </c>
    </row>
    <row r="89" spans="2:14" x14ac:dyDescent="0.25">
      <c r="B89" s="15">
        <v>14</v>
      </c>
      <c r="D89" s="14">
        <f>N88</f>
        <v>48.80813750551388</v>
      </c>
      <c r="E89" s="15">
        <f>Assumptions!$C$28+Assumptions!$C$7/D89</f>
        <v>37232612.603876725</v>
      </c>
      <c r="F89" s="14">
        <f>IF(D89&lt;Assumptions!$C$35,(Assumptions!$C$35*Assumptions!$C$28+Assumptions!$C$7)/E89,Assumptions!$C$35)</f>
        <v>57.96465015204853</v>
      </c>
      <c r="G89" s="14">
        <f>IF(D89&lt;Assumptions!$C$36,(Assumptions!$C$36*Assumptions!$C$28+Assumptions!$C$7)/E89,Assumptions!$C$36)</f>
        <v>49.152530188905416</v>
      </c>
      <c r="H89" s="15">
        <f>IF(D89&lt;Assumptions!$C$35,Assumptions!$C$43/F89,Assumptions!$C$24)</f>
        <v>1725189.3997063295</v>
      </c>
      <c r="I89" s="15">
        <f>IF(D89&lt;Assumptions!$C$36,Assumptions!$C$44/G89,Assumptions!$C$25)</f>
        <v>6103449.788790634</v>
      </c>
      <c r="J89" s="15">
        <f>MAX(0,$D$74*($C$74+Assumptions!$C$7)/D89-Assumptions!$C$26-Assumptions!$C$27)</f>
        <v>0</v>
      </c>
      <c r="K89" s="15">
        <f>IF((M88-K88)&lt;=0,0,Assumptions!$C$47/MIN(Assumptions!$C$48/(M88-K88),D89*(1-Assumptions!$C$49)))</f>
        <v>183478.0907094711</v>
      </c>
      <c r="L89" s="15">
        <f>IF((M88-L88)&lt;=0,0,Assumptions!$C$50/MIN(Assumptions!$C$51/(M88-L88),D89*(1-Assumptions!$C$52)))</f>
        <v>72311.95339726216</v>
      </c>
      <c r="M89" s="15">
        <f>Assumptions!$C$28+(H89-Assumptions!$C$24)+(I89-Assumptions!$C$25)+J89+K89+L89</f>
        <v>36879096.23260369</v>
      </c>
      <c r="N89" s="14">
        <f>$C$74/M89</f>
        <v>48.80813750551388</v>
      </c>
    </row>
    <row r="90" spans="2:14" x14ac:dyDescent="0.25">
      <c r="B90" s="15">
        <v>15</v>
      </c>
      <c r="D90" s="14">
        <f>N89</f>
        <v>48.80813750551388</v>
      </c>
      <c r="E90" s="15">
        <f>Assumptions!$C$28+Assumptions!$C$7/D90</f>
        <v>37232612.603876725</v>
      </c>
      <c r="F90" s="14">
        <f>IF(D90&lt;Assumptions!$C$35,(Assumptions!$C$35*Assumptions!$C$28+Assumptions!$C$7)/E90,Assumptions!$C$35)</f>
        <v>57.96465015204853</v>
      </c>
      <c r="G90" s="14">
        <f>IF(D90&lt;Assumptions!$C$36,(Assumptions!$C$36*Assumptions!$C$28+Assumptions!$C$7)/E90,Assumptions!$C$36)</f>
        <v>49.152530188905416</v>
      </c>
      <c r="H90" s="15">
        <f>IF(D90&lt;Assumptions!$C$35,Assumptions!$C$43/F90,Assumptions!$C$24)</f>
        <v>1725189.3997063295</v>
      </c>
      <c r="I90" s="15">
        <f>IF(D90&lt;Assumptions!$C$36,Assumptions!$C$44/G90,Assumptions!$C$25)</f>
        <v>6103449.788790634</v>
      </c>
      <c r="J90" s="15">
        <f>MAX(0,$D$74*($C$74+Assumptions!$C$7)/D90-Assumptions!$C$26-Assumptions!$C$27)</f>
        <v>0</v>
      </c>
      <c r="K90" s="15">
        <f>IF((M89-K89)&lt;=0,0,Assumptions!$C$47/MIN(Assumptions!$C$48/(M89-K89),D90*(1-Assumptions!$C$49)))</f>
        <v>183478.0907094711</v>
      </c>
      <c r="L90" s="15">
        <f>IF((M89-L89)&lt;=0,0,Assumptions!$C$50/MIN(Assumptions!$C$51/(M89-L89),D90*(1-Assumptions!$C$52)))</f>
        <v>72311.95339726216</v>
      </c>
      <c r="M90" s="15">
        <f>Assumptions!$C$28+(H90-Assumptions!$C$24)+(I90-Assumptions!$C$25)+J90+K90+L90</f>
        <v>36879096.23260369</v>
      </c>
      <c r="N90" s="14">
        <f>$C$74/M90</f>
        <v>48.80813750551388</v>
      </c>
    </row>
    <row r="91" spans="2:14" x14ac:dyDescent="0.25">
      <c r="B91" s="15">
        <v>16</v>
      </c>
      <c r="D91" s="14">
        <f>N90</f>
        <v>48.80813750551388</v>
      </c>
      <c r="E91" s="15">
        <f>Assumptions!$C$28+Assumptions!$C$7/D91</f>
        <v>37232612.603876725</v>
      </c>
      <c r="F91" s="14">
        <f>IF(D91&lt;Assumptions!$C$35,(Assumptions!$C$35*Assumptions!$C$28+Assumptions!$C$7)/E91,Assumptions!$C$35)</f>
        <v>57.96465015204853</v>
      </c>
      <c r="G91" s="14">
        <f>IF(D91&lt;Assumptions!$C$36,(Assumptions!$C$36*Assumptions!$C$28+Assumptions!$C$7)/E91,Assumptions!$C$36)</f>
        <v>49.152530188905416</v>
      </c>
      <c r="H91" s="15">
        <f>IF(D91&lt;Assumptions!$C$35,Assumptions!$C$43/F91,Assumptions!$C$24)</f>
        <v>1725189.3997063295</v>
      </c>
      <c r="I91" s="15">
        <f>IF(D91&lt;Assumptions!$C$36,Assumptions!$C$44/G91,Assumptions!$C$25)</f>
        <v>6103449.788790634</v>
      </c>
      <c r="J91" s="15">
        <f>MAX(0,$D$74*($C$74+Assumptions!$C$7)/D91-Assumptions!$C$26-Assumptions!$C$27)</f>
        <v>0</v>
      </c>
      <c r="K91" s="15">
        <f>IF((M90-K90)&lt;=0,0,Assumptions!$C$47/MIN(Assumptions!$C$48/(M90-K90),D91*(1-Assumptions!$C$49)))</f>
        <v>183478.0907094711</v>
      </c>
      <c r="L91" s="15">
        <f>IF((M90-L90)&lt;=0,0,Assumptions!$C$50/MIN(Assumptions!$C$51/(M90-L90),D91*(1-Assumptions!$C$52)))</f>
        <v>72311.95339726216</v>
      </c>
      <c r="M91" s="15">
        <f>Assumptions!$C$28+(H91-Assumptions!$C$24)+(I91-Assumptions!$C$25)+J91+K91+L91</f>
        <v>36879096.23260369</v>
      </c>
      <c r="N91" s="14">
        <f>$C$74/M91</f>
        <v>48.80813750551388</v>
      </c>
    </row>
    <row r="92" spans="2:14" x14ac:dyDescent="0.25">
      <c r="B92" s="15">
        <v>17</v>
      </c>
      <c r="D92" s="14">
        <f>N91</f>
        <v>48.80813750551388</v>
      </c>
      <c r="E92" s="15">
        <f>Assumptions!$C$28+Assumptions!$C$7/D92</f>
        <v>37232612.603876725</v>
      </c>
      <c r="F92" s="14">
        <f>IF(D92&lt;Assumptions!$C$35,(Assumptions!$C$35*Assumptions!$C$28+Assumptions!$C$7)/E92,Assumptions!$C$35)</f>
        <v>57.96465015204853</v>
      </c>
      <c r="G92" s="14">
        <f>IF(D92&lt;Assumptions!$C$36,(Assumptions!$C$36*Assumptions!$C$28+Assumptions!$C$7)/E92,Assumptions!$C$36)</f>
        <v>49.152530188905416</v>
      </c>
      <c r="H92" s="15">
        <f>IF(D92&lt;Assumptions!$C$35,Assumptions!$C$43/F92,Assumptions!$C$24)</f>
        <v>1725189.3997063295</v>
      </c>
      <c r="I92" s="15">
        <f>IF(D92&lt;Assumptions!$C$36,Assumptions!$C$44/G92,Assumptions!$C$25)</f>
        <v>6103449.788790634</v>
      </c>
      <c r="J92" s="15">
        <f>MAX(0,$D$74*($C$74+Assumptions!$C$7)/D92-Assumptions!$C$26-Assumptions!$C$27)</f>
        <v>0</v>
      </c>
      <c r="K92" s="15">
        <f>IF((M91-K91)&lt;=0,0,Assumptions!$C$47/MIN(Assumptions!$C$48/(M91-K91),D92*(1-Assumptions!$C$49)))</f>
        <v>183478.0907094711</v>
      </c>
      <c r="L92" s="15">
        <f>IF((M91-L91)&lt;=0,0,Assumptions!$C$50/MIN(Assumptions!$C$51/(M91-L91),D92*(1-Assumptions!$C$52)))</f>
        <v>72311.95339726216</v>
      </c>
      <c r="M92" s="15">
        <f>Assumptions!$C$28+(H92-Assumptions!$C$24)+(I92-Assumptions!$C$25)+J92+K92+L92</f>
        <v>36879096.23260369</v>
      </c>
      <c r="N92" s="14">
        <f>$C$74/M92</f>
        <v>48.80813750551388</v>
      </c>
    </row>
    <row r="93" spans="2:14" x14ac:dyDescent="0.25">
      <c r="B93" s="15">
        <v>18</v>
      </c>
      <c r="D93" s="14">
        <f>N92</f>
        <v>48.80813750551388</v>
      </c>
      <c r="E93" s="15">
        <f>Assumptions!$C$28+Assumptions!$C$7/D93</f>
        <v>37232612.603876725</v>
      </c>
      <c r="F93" s="14">
        <f>IF(D93&lt;Assumptions!$C$35,(Assumptions!$C$35*Assumptions!$C$28+Assumptions!$C$7)/E93,Assumptions!$C$35)</f>
        <v>57.96465015204853</v>
      </c>
      <c r="G93" s="14">
        <f>IF(D93&lt;Assumptions!$C$36,(Assumptions!$C$36*Assumptions!$C$28+Assumptions!$C$7)/E93,Assumptions!$C$36)</f>
        <v>49.152530188905416</v>
      </c>
      <c r="H93" s="15">
        <f>IF(D93&lt;Assumptions!$C$35,Assumptions!$C$43/F93,Assumptions!$C$24)</f>
        <v>1725189.3997063295</v>
      </c>
      <c r="I93" s="15">
        <f>IF(D93&lt;Assumptions!$C$36,Assumptions!$C$44/G93,Assumptions!$C$25)</f>
        <v>6103449.788790634</v>
      </c>
      <c r="J93" s="15">
        <f>MAX(0,$D$74*($C$74+Assumptions!$C$7)/D93-Assumptions!$C$26-Assumptions!$C$27)</f>
        <v>0</v>
      </c>
      <c r="K93" s="15">
        <f>IF((M92-K92)&lt;=0,0,Assumptions!$C$47/MIN(Assumptions!$C$48/(M92-K92),D93*(1-Assumptions!$C$49)))</f>
        <v>183478.0907094711</v>
      </c>
      <c r="L93" s="15">
        <f>IF((M92-L92)&lt;=0,0,Assumptions!$C$50/MIN(Assumptions!$C$51/(M92-L92),D93*(1-Assumptions!$C$52)))</f>
        <v>72311.95339726216</v>
      </c>
      <c r="M93" s="15">
        <f>Assumptions!$C$28+(H93-Assumptions!$C$24)+(I93-Assumptions!$C$25)+J93+K93+L93</f>
        <v>36879096.23260369</v>
      </c>
      <c r="N93" s="14">
        <f>$C$74/M93</f>
        <v>48.80813750551388</v>
      </c>
    </row>
    <row r="94" spans="2:14" x14ac:dyDescent="0.25">
      <c r="B94" s="15">
        <v>19</v>
      </c>
      <c r="D94" s="14">
        <f>N93</f>
        <v>48.80813750551388</v>
      </c>
      <c r="E94" s="15">
        <f>Assumptions!$C$28+Assumptions!$C$7/D94</f>
        <v>37232612.603876725</v>
      </c>
      <c r="F94" s="14">
        <f>IF(D94&lt;Assumptions!$C$35,(Assumptions!$C$35*Assumptions!$C$28+Assumptions!$C$7)/E94,Assumptions!$C$35)</f>
        <v>57.96465015204853</v>
      </c>
      <c r="G94" s="14">
        <f>IF(D94&lt;Assumptions!$C$36,(Assumptions!$C$36*Assumptions!$C$28+Assumptions!$C$7)/E94,Assumptions!$C$36)</f>
        <v>49.152530188905416</v>
      </c>
      <c r="H94" s="15">
        <f>IF(D94&lt;Assumptions!$C$35,Assumptions!$C$43/F94,Assumptions!$C$24)</f>
        <v>1725189.3997063295</v>
      </c>
      <c r="I94" s="15">
        <f>IF(D94&lt;Assumptions!$C$36,Assumptions!$C$44/G94,Assumptions!$C$25)</f>
        <v>6103449.788790634</v>
      </c>
      <c r="J94" s="15">
        <f>MAX(0,$D$74*($C$74+Assumptions!$C$7)/D94-Assumptions!$C$26-Assumptions!$C$27)</f>
        <v>0</v>
      </c>
      <c r="K94" s="15">
        <f>IF((M93-K93)&lt;=0,0,Assumptions!$C$47/MIN(Assumptions!$C$48/(M93-K93),D94*(1-Assumptions!$C$49)))</f>
        <v>183478.0907094711</v>
      </c>
      <c r="L94" s="15">
        <f>IF((M93-L93)&lt;=0,0,Assumptions!$C$50/MIN(Assumptions!$C$51/(M93-L93),D94*(1-Assumptions!$C$52)))</f>
        <v>72311.95339726216</v>
      </c>
      <c r="M94" s="15">
        <f>Assumptions!$C$28+(H94-Assumptions!$C$24)+(I94-Assumptions!$C$25)+J94+K94+L94</f>
        <v>36879096.23260369</v>
      </c>
      <c r="N94" s="14">
        <f>$C$74/M94</f>
        <v>48.80813750551388</v>
      </c>
    </row>
    <row r="95" spans="2:14" x14ac:dyDescent="0.25">
      <c r="B95" s="15">
        <v>20</v>
      </c>
      <c r="D95" s="14">
        <f>N94</f>
        <v>48.80813750551388</v>
      </c>
      <c r="E95" s="15">
        <f>Assumptions!$C$28+Assumptions!$C$7/D95</f>
        <v>37232612.603876725</v>
      </c>
      <c r="F95" s="14">
        <f>IF(D95&lt;Assumptions!$C$35,(Assumptions!$C$35*Assumptions!$C$28+Assumptions!$C$7)/E95,Assumptions!$C$35)</f>
        <v>57.96465015204853</v>
      </c>
      <c r="G95" s="14">
        <f>IF(D95&lt;Assumptions!$C$36,(Assumptions!$C$36*Assumptions!$C$28+Assumptions!$C$7)/E95,Assumptions!$C$36)</f>
        <v>49.152530188905416</v>
      </c>
      <c r="H95" s="15">
        <f>IF(D95&lt;Assumptions!$C$35,Assumptions!$C$43/F95,Assumptions!$C$24)</f>
        <v>1725189.3997063295</v>
      </c>
      <c r="I95" s="15">
        <f>IF(D95&lt;Assumptions!$C$36,Assumptions!$C$44/G95,Assumptions!$C$25)</f>
        <v>6103449.788790634</v>
      </c>
      <c r="J95" s="15">
        <f>MAX(0,$D$74*($C$74+Assumptions!$C$7)/D95-Assumptions!$C$26-Assumptions!$C$27)</f>
        <v>0</v>
      </c>
      <c r="K95" s="15">
        <f>IF((M94-K94)&lt;=0,0,Assumptions!$C$47/MIN(Assumptions!$C$48/(M94-K94),D95*(1-Assumptions!$C$49)))</f>
        <v>183478.0907094711</v>
      </c>
      <c r="L95" s="15">
        <f>IF((M94-L94)&lt;=0,0,Assumptions!$C$50/MIN(Assumptions!$C$51/(M94-L94),D95*(1-Assumptions!$C$52)))</f>
        <v>72311.95339726216</v>
      </c>
      <c r="M95" s="15">
        <f>Assumptions!$C$28+(H95-Assumptions!$C$24)+(I95-Assumptions!$C$25)+J95+K95+L95</f>
        <v>36879096.23260369</v>
      </c>
      <c r="N95" s="14">
        <f>$C$74/M95</f>
        <v>48.80813750551388</v>
      </c>
    </row>
    <row r="96" spans="2:12" x14ac:dyDescent="0.25">
      <c r="B96" s="10" t="s">
        <v>181</v>
      </c>
      <c r="D96" s="13">
        <f>N95</f>
        <v>48.80813750551388</v>
      </c>
      <c r="E96" s="11">
        <f>$E$74/D96</f>
        <v>37493747.836480424</v>
      </c>
      <c r="H96" s="11">
        <f>H95</f>
        <v>1725189.3997063295</v>
      </c>
      <c r="I96" s="11">
        <f>I95</f>
        <v>6103449.788790634</v>
      </c>
      <c r="J96" s="11">
        <f>J95</f>
        <v>0</v>
      </c>
      <c r="K96" s="11">
        <f>K95</f>
        <v>183478.0907094711</v>
      </c>
      <c r="L96" s="11">
        <f>L95</f>
        <v>72311.95339726216</v>
      </c>
    </row>
    <row r="97" spans="2:3" x14ac:dyDescent="0.25">
      <c r="B97" s="24" t="s">
        <v>182</v>
      </c>
      <c r="C97" s="15">
        <f>Assumptions!$C$16+Assumptions!$C$17+Assumptions!$C$18+Assumptions!$C$19+Assumptions!$C$20+Assumptions!$C$21+Assumptions!$C$22+Assumptions!$C$23+$H$96+$I$96+(Assumptions!$C$7/$D$96)+$K$96+$L$96+Assumptions!$C$26</f>
        <v>35599080.836480424</v>
      </c>
    </row>
    <row r="98" spans="2:3" x14ac:dyDescent="0.25">
      <c r="B98" s="24" t="s">
        <v>183</v>
      </c>
      <c r="C98" s="14">
        <f>Assumptions!$C$57+Assumptions!$C$26*Assumptions!$C$13</f>
        <v>2002500000</v>
      </c>
    </row>
    <row r="99" spans="2:3" x14ac:dyDescent="0.25">
      <c r="B99" s="24" t="s">
        <v>184</v>
      </c>
      <c r="C99" s="14">
        <f>$C$98/$C$97</f>
        <v>56.251452367498295</v>
      </c>
    </row>
    <row r="100" spans="2:10" x14ac:dyDescent="0.25">
      <c r="B100" s="24" t="s">
        <v>185</v>
      </c>
      <c r="D100" s="15" t="str">
        <f>IF(Assumptions!$C$7&gt;(Assumptions!$C$7/$D$96)*$C$99,"preference","convert")</f>
        <v>convert</v>
      </c>
      <c r="E100" s="15" t="str">
        <f>IF(Assumptions!$C$44&gt;$I$96*$C$99,"preference","convert")</f>
        <v>convert</v>
      </c>
      <c r="F100" s="15" t="str">
        <f>IF(Assumptions!$C$43&gt;$H$96*$C$99,"preference","convert")</f>
        <v>preference</v>
      </c>
      <c r="G100" s="15" t="str">
        <f>IF(Assumptions!$C$42&gt;Assumptions!$C$23*$C$99,"preference","convert")</f>
        <v>convert</v>
      </c>
      <c r="H100" s="15" t="str">
        <f>IF(Assumptions!$C$41&gt;Assumptions!$C$22*$C$99,"preference","convert")</f>
        <v>convert</v>
      </c>
      <c r="I100" s="15" t="str">
        <f>IF(Assumptions!$C$40&gt;Assumptions!$C$21*$C$99,"preference","convert")</f>
        <v>convert</v>
      </c>
      <c r="J100" s="15" t="str">
        <f>IF(Assumptions!$C$39&gt;Assumptions!$C$20*$C$99,"preference","convert")</f>
        <v>convert</v>
      </c>
    </row>
    <row r="101" spans="2:3" x14ac:dyDescent="0.25">
      <c r="B101" s="24" t="s">
        <v>186</v>
      </c>
      <c r="C101" s="14">
        <f>($C$98-(IF($D$100="preference",Assumptions!$C$7,0)+IF($E$100="preference",Assumptions!$C$44,0)+IF($F$100="preference",Assumptions!$C$43,0)+IF($G$100="preference",Assumptions!$C$42,0)+IF($H$100="preference",Assumptions!$C$41,0)+IF($I$100="preference",Assumptions!$C$40,0)+IF($J$100="preference",Assumptions!$C$39,0)))/($C$97-(IF($D$100="preference",Assumptions!$C$7/$D$96,0)+IF($E$100="preference",$I$96,0)+IF($F$100="preference",$H$96,0)+IF($G$100="preference",Assumptions!$C$23,0)+IF($H$100="preference",Assumptions!$C$22,0)+IF($I$100="preference",Assumptions!$C$21,0)+IF($J$100="preference",Assumptions!$C$20,0)))</f>
        <v>56.16419960343299</v>
      </c>
    </row>
    <row r="102" spans="2:10" x14ac:dyDescent="0.25">
      <c r="B102" s="24" t="s">
        <v>187</v>
      </c>
      <c r="D102" s="15" t="str">
        <f>IF(Assumptions!$C$7&gt;(Assumptions!$C$7/$D$96)*$C$101,"preference","convert")</f>
        <v>convert</v>
      </c>
      <c r="E102" s="15" t="str">
        <f>IF(Assumptions!$C$44&gt;$I$96*$C$101,"preference","convert")</f>
        <v>convert</v>
      </c>
      <c r="F102" s="15" t="str">
        <f>IF(Assumptions!$C$43&gt;$H$96*$C$101,"preference","convert")</f>
        <v>preference</v>
      </c>
      <c r="G102" s="15" t="str">
        <f>IF(Assumptions!$C$42&gt;Assumptions!$C$23*$C$101,"preference","convert")</f>
        <v>convert</v>
      </c>
      <c r="H102" s="15" t="str">
        <f>IF(Assumptions!$C$41&gt;Assumptions!$C$22*$C$101,"preference","convert")</f>
        <v>convert</v>
      </c>
      <c r="I102" s="15" t="str">
        <f>IF(Assumptions!$C$40&gt;Assumptions!$C$21*$C$101,"preference","convert")</f>
        <v>convert</v>
      </c>
      <c r="J102" s="15" t="str">
        <f>IF(Assumptions!$C$39&gt;Assumptions!$C$20*$C$101,"preference","convert")</f>
        <v>convert</v>
      </c>
    </row>
    <row r="103" spans="2:3" x14ac:dyDescent="0.25">
      <c r="B103" s="10" t="s">
        <v>188</v>
      </c>
      <c r="C103" s="27">
        <f>($C$98-(IF($D$102="preference",Assumptions!$C$7,0)+IF($E$102="preference",Assumptions!$C$44,0)+IF($F$102="preference",Assumptions!$C$43,0)+IF($G$102="preference",Assumptions!$C$42,0)+IF($H$102="preference",Assumptions!$C$41,0)+IF($I$102="preference",Assumptions!$C$40,0)+IF($J$102="preference",Assumptions!$C$39,0)))/($C$97-(IF($D$102="preference",Assumptions!$C$7/$D$96,0)+IF($E$102="preference",$I$96,0)+IF($F$102="preference",$H$96,0)+IF($G$102="preference",Assumptions!$C$23,0)+IF($H$102="preference",Assumptions!$C$22,0)+IF($I$102="preference",Assumptions!$C$21,0)+IF($J$102="preference",Assumptions!$C$20,0)))</f>
        <v>56.16419960343299</v>
      </c>
    </row>
    <row r="104" spans="2:3" x14ac:dyDescent="0.25">
      <c r="B104" s="10" t="s">
        <v>189</v>
      </c>
      <c r="C104" s="13">
        <f>IF($D$102="preference",Assumptions!$C$11,(Assumptions!$C$11/$D$96)*$C$103)</f>
        <v>11507138.455567598</v>
      </c>
    </row>
    <row r="105" spans="2:3" x14ac:dyDescent="0.25">
      <c r="B105" s="10" t="s">
        <v>190</v>
      </c>
      <c r="C105" s="21">
        <f>(Assumptions!$C$11/$D$96)/$E$96</f>
        <v>0.00546448087431694</v>
      </c>
    </row>
    <row r="107" spans="2:14" x14ac:dyDescent="0.25">
      <c r="B107" s="3" t="s">
        <v>193</v>
      </c>
      <c r="C107" s="4" t="s">
        <v>3</v>
      </c>
      <c r="D107" s="4" t="s">
        <v>3</v>
      </c>
      <c r="E107" s="4" t="s">
        <v>3</v>
      </c>
      <c r="F107" s="4" t="s">
        <v>3</v>
      </c>
      <c r="G107" s="4" t="s">
        <v>3</v>
      </c>
      <c r="H107" s="4" t="s">
        <v>3</v>
      </c>
      <c r="I107" s="4" t="s">
        <v>3</v>
      </c>
      <c r="J107" s="4" t="s">
        <v>3</v>
      </c>
      <c r="K107" s="4" t="s">
        <v>3</v>
      </c>
      <c r="L107" s="4" t="s">
        <v>3</v>
      </c>
      <c r="M107" s="4" t="s">
        <v>3</v>
      </c>
      <c r="N107" s="4" t="s">
        <v>3</v>
      </c>
    </row>
    <row r="108" spans="2:5" x14ac:dyDescent="0.25">
      <c r="B108" s="24" t="s">
        <v>168</v>
      </c>
      <c r="C108" s="20">
        <f>Assumptions!$C$65</f>
        <v>1200000000</v>
      </c>
      <c r="D108" s="25">
        <f>Assumptions!$C$63</f>
        <v>0.13</v>
      </c>
      <c r="E108" s="14">
        <f>C108+Assumptions!$C$7</f>
        <v>1230000000</v>
      </c>
    </row>
    <row r="109" spans="2:14" x14ac:dyDescent="0.25">
      <c r="B109" s="16" t="s">
        <v>169</v>
      </c>
      <c r="D109" s="16" t="s">
        <v>170</v>
      </c>
      <c r="E109" s="16" t="s">
        <v>171</v>
      </c>
      <c r="F109" s="16" t="s">
        <v>172</v>
      </c>
      <c r="G109" s="16" t="s">
        <v>173</v>
      </c>
      <c r="H109" s="16" t="s">
        <v>174</v>
      </c>
      <c r="I109" s="16" t="s">
        <v>175</v>
      </c>
      <c r="J109" s="16" t="s">
        <v>176</v>
      </c>
      <c r="K109" s="16" t="s">
        <v>177</v>
      </c>
      <c r="L109" s="16" t="s">
        <v>178</v>
      </c>
      <c r="M109" s="16" t="s">
        <v>179</v>
      </c>
      <c r="N109" s="16" t="s">
        <v>180</v>
      </c>
    </row>
    <row r="110" spans="2:14" x14ac:dyDescent="0.25">
      <c r="B110" s="15">
        <v>1</v>
      </c>
      <c r="D110" s="14">
        <f>($C$108+Assumptions!$C$7)/Assumptions!$C$28</f>
        <v>33.59007346149066</v>
      </c>
      <c r="E110" s="15">
        <f>Assumptions!$C$28+Assumptions!$C$7/D110</f>
        <v>37511082</v>
      </c>
      <c r="F110" s="14">
        <f>IF(D110&lt;Assumptions!$C$35,(Assumptions!$C$35*Assumptions!$C$28+Assumptions!$C$7)/E110,Assumptions!$C$35)</f>
        <v>57.53434048717835</v>
      </c>
      <c r="G110" s="14">
        <f>IF(D110&lt;Assumptions!$C$36,(Assumptions!$C$36*Assumptions!$C$28+Assumptions!$C$7)/E110,Assumptions!$C$36)</f>
        <v>48.78763867765454</v>
      </c>
      <c r="H110" s="15">
        <f>IF(D110&lt;Assumptions!$C$35,Assumptions!$C$43/F110,Assumptions!$C$24)</f>
        <v>1738092.4010467315</v>
      </c>
      <c r="I110" s="15">
        <f>IF(D110&lt;Assumptions!$C$36,Assumptions!$C$44/G110,Assumptions!$C$25)</f>
        <v>6149098.58585561</v>
      </c>
      <c r="J110" s="15">
        <f>MAX(0,$D$108*($C$108+Assumptions!$C$7)/D110-Assumptions!$C$26-Assumptions!$C$27)</f>
        <v>365667.93</v>
      </c>
      <c r="K110" s="15">
        <v>0</v>
      </c>
      <c r="L110" s="15">
        <v>0</v>
      </c>
      <c r="M110" s="15">
        <f>Assumptions!$C$28+(H110-Assumptions!$C$24)+(I110-Assumptions!$C$25)+J110+K110+L110</f>
        <v>37047525.91690234</v>
      </c>
      <c r="N110" s="14">
        <f>$C$108/M110</f>
        <v>32.390826925706236</v>
      </c>
    </row>
    <row r="111" spans="2:14" x14ac:dyDescent="0.25">
      <c r="B111" s="15">
        <v>2</v>
      </c>
      <c r="D111" s="14">
        <f>N110</f>
        <v>32.390826925706236</v>
      </c>
      <c r="E111" s="15">
        <f>Assumptions!$C$28+Assumptions!$C$7/D111</f>
        <v>37544149.14792256</v>
      </c>
      <c r="F111" s="14">
        <f>IF(D111&lt;Assumptions!$C$35,(Assumptions!$C$35*Assumptions!$C$28+Assumptions!$C$7)/E111,Assumptions!$C$35)</f>
        <v>57.48366690445789</v>
      </c>
      <c r="G111" s="14">
        <f>IF(D111&lt;Assumptions!$C$36,(Assumptions!$C$36*Assumptions!$C$28+Assumptions!$C$7)/E111,Assumptions!$C$36)</f>
        <v>48.744668784833415</v>
      </c>
      <c r="H111" s="15">
        <f>IF(D111&lt;Assumptions!$C$35,Assumptions!$C$43/F111,Assumptions!$C$24)</f>
        <v>1739624.58181743</v>
      </c>
      <c r="I111" s="15">
        <f>IF(D111&lt;Assumptions!$C$36,Assumptions!$C$44/G111,Assumptions!$C$25)</f>
        <v>6154519.201356089</v>
      </c>
      <c r="J111" s="15">
        <f>MAX(0,$D$108*($C$108+Assumptions!$C$7)/D111-Assumptions!$C$26-Assumptions!$C$27)</f>
        <v>541915.828427237</v>
      </c>
      <c r="K111" s="15">
        <f>IF((M110-K110)&lt;=0,0,Assumptions!$C$47/MIN(Assumptions!$C$48/(M110-K110),D111*(1-Assumptions!$C$49)))</f>
        <v>192955.86415053302</v>
      </c>
      <c r="L111" s="15">
        <f>IF((M110-L110)&lt;=0,0,Assumptions!$C$50/MIN(Assumptions!$C$51/(M110-L110),D111*(1-Assumptions!$C$52)))</f>
        <v>108963.31152030101</v>
      </c>
      <c r="M111" s="15">
        <f>Assumptions!$C$28+(H111-Assumptions!$C$24)+(I111-Assumptions!$C$25)+J111+K111+L111</f>
        <v>37532645.7872716</v>
      </c>
      <c r="N111" s="14">
        <f>$C$108/M111</f>
        <v>31.972166492108972</v>
      </c>
    </row>
    <row r="112" spans="2:14" x14ac:dyDescent="0.25">
      <c r="B112" s="15">
        <v>3</v>
      </c>
      <c r="D112" s="14">
        <f>N111</f>
        <v>31.972166492108972</v>
      </c>
      <c r="E112" s="15">
        <f>Assumptions!$C$28+Assumptions!$C$7/D112</f>
        <v>37556277.14468179</v>
      </c>
      <c r="F112" s="14">
        <f>IF(D112&lt;Assumptions!$C$35,(Assumptions!$C$35*Assumptions!$C$28+Assumptions!$C$7)/E112,Assumptions!$C$35)</f>
        <v>57.465103783218794</v>
      </c>
      <c r="G112" s="14">
        <f>IF(D112&lt;Assumptions!$C$36,(Assumptions!$C$36*Assumptions!$C$28+Assumptions!$C$7)/E112,Assumptions!$C$36)</f>
        <v>48.72892773619927</v>
      </c>
      <c r="H112" s="15">
        <f>IF(D112&lt;Assumptions!$C$35,Assumptions!$C$43/F112,Assumptions!$C$24)</f>
        <v>1740186.5378550387</v>
      </c>
      <c r="I112" s="15">
        <f>IF(D112&lt;Assumptions!$C$36,Assumptions!$C$44/G112,Assumptions!$C$25)</f>
        <v>6156507.313768346</v>
      </c>
      <c r="J112" s="15">
        <f>MAX(0,$D$108*($C$108+Assumptions!$C$7)/D112-Assumptions!$C$26-Assumptions!$C$27)</f>
        <v>606558.051153941</v>
      </c>
      <c r="K112" s="15">
        <f>IF((M111-K111)&lt;=0,0,Assumptions!$C$47/MIN(Assumptions!$C$48/(M111-K111),D112*(1-Assumptions!$C$49)))</f>
        <v>195482.53014203958</v>
      </c>
      <c r="L112" s="15">
        <f>IF((M111-L111)&lt;=0,0,Assumptions!$C$50/MIN(Assumptions!$C$51/(M111-L111),D112*(1-Assumptions!$C$52)))</f>
        <v>110390.13466844588</v>
      </c>
      <c r="M112" s="15">
        <f>Assumptions!$C$28+(H112-Assumptions!$C$24)+(I112-Assumptions!$C$25)+J112+K112+L112</f>
        <v>37603791.567587815</v>
      </c>
      <c r="N112" s="14">
        <f>$C$108/M112</f>
        <v>31.91167565757723</v>
      </c>
    </row>
    <row r="113" spans="2:14" x14ac:dyDescent="0.25">
      <c r="B113" s="15">
        <v>4</v>
      </c>
      <c r="D113" s="14">
        <f>N112</f>
        <v>31.91167565757723</v>
      </c>
      <c r="E113" s="15">
        <f>Assumptions!$C$28+Assumptions!$C$7/D113</f>
        <v>37558055.7891897</v>
      </c>
      <c r="F113" s="14">
        <f>IF(D113&lt;Assumptions!$C$35,(Assumptions!$C$35*Assumptions!$C$28+Assumptions!$C$7)/E113,Assumptions!$C$35)</f>
        <v>57.462382396579024</v>
      </c>
      <c r="G113" s="14">
        <f>IF(D113&lt;Assumptions!$C$36,(Assumptions!$C$36*Assumptions!$C$28+Assumptions!$C$7)/E113,Assumptions!$C$36)</f>
        <v>48.72662007043028</v>
      </c>
      <c r="H113" s="15">
        <f>IF(D113&lt;Assumptions!$C$35,Assumptions!$C$43/F113,Assumptions!$C$24)</f>
        <v>1740268.9521267293</v>
      </c>
      <c r="I113" s="15">
        <f>IF(D113&lt;Assumptions!$C$36,Assumptions!$C$44/G113,Assumptions!$C$25)</f>
        <v>6156798.882548695</v>
      </c>
      <c r="J113" s="15">
        <f>MAX(0,$D$108*($C$108+Assumptions!$C$7)/D113-Assumptions!$C$26-Assumptions!$C$27)</f>
        <v>616038.2263810765</v>
      </c>
      <c r="K113" s="15">
        <f>IF((M112-K112)&lt;=0,0,Assumptions!$C$47/MIN(Assumptions!$C$48/(M112-K112),D113*(1-Assumptions!$C$49)))</f>
        <v>195853.08108118654</v>
      </c>
      <c r="L113" s="15">
        <f>IF((M112-L112)&lt;=0,0,Assumptions!$C$50/MIN(Assumptions!$C$51/(M112-L112),D113*(1-Assumptions!$C$52)))</f>
        <v>110599.38696349357</v>
      </c>
      <c r="M113" s="15">
        <f>Assumptions!$C$28+(H113-Assumptions!$C$24)+(I113-Assumptions!$C$25)+J113+K113+L113</f>
        <v>37614225.52910118</v>
      </c>
      <c r="N113" s="14">
        <f>$C$108/M113</f>
        <v>31.902823549340134</v>
      </c>
    </row>
    <row r="114" spans="2:14" x14ac:dyDescent="0.25">
      <c r="B114" s="15">
        <v>5</v>
      </c>
      <c r="D114" s="14">
        <f>N113</f>
        <v>31.902823549340134</v>
      </c>
      <c r="E114" s="15">
        <f>Assumptions!$C$28+Assumptions!$C$7/D114</f>
        <v>37558316.63822753</v>
      </c>
      <c r="F114" s="14">
        <f>IF(D114&lt;Assumptions!$C$35,(Assumptions!$C$35*Assumptions!$C$28+Assumptions!$C$7)/E114,Assumptions!$C$35)</f>
        <v>57.461983310344564</v>
      </c>
      <c r="G114" s="14">
        <f>IF(D114&lt;Assumptions!$C$36,(Assumptions!$C$36*Assumptions!$C$28+Assumptions!$C$7)/E114,Assumptions!$C$36)</f>
        <v>48.72628165558372</v>
      </c>
      <c r="H114" s="15">
        <f>IF(D114&lt;Assumptions!$C$35,Assumptions!$C$43/F114,Assumptions!$C$24)</f>
        <v>1740281.038681057</v>
      </c>
      <c r="I114" s="15">
        <f>IF(D114&lt;Assumptions!$C$36,Assumptions!$C$44/G114,Assumptions!$C$25)</f>
        <v>6156841.642884152</v>
      </c>
      <c r="J114" s="15">
        <f>MAX(0,$D$108*($C$108+Assumptions!$C$7)/D114-Assumptions!$C$26-Assumptions!$C$27)</f>
        <v>617428.551752732</v>
      </c>
      <c r="K114" s="15">
        <f>IF((M113-K113)&lt;=0,0,Assumptions!$C$47/MIN(Assumptions!$C$48/(M113-K113),D114*(1-Assumptions!$C$49)))</f>
        <v>195907.4246307353</v>
      </c>
      <c r="L114" s="15">
        <f>IF((M113-L113)&lt;=0,0,Assumptions!$C$50/MIN(Assumptions!$C$51/(M113-L113),D114*(1-Assumptions!$C$52)))</f>
        <v>110630.0750855917</v>
      </c>
      <c r="M114" s="15">
        <f>Assumptions!$C$28+(H114-Assumptions!$C$24)+(I114-Assumptions!$C$25)+J114+K114+L114</f>
        <v>37615755.73303426</v>
      </c>
      <c r="N114" s="14">
        <f>$C$108/M114</f>
        <v>31.901525746727366</v>
      </c>
    </row>
    <row r="115" spans="2:14" x14ac:dyDescent="0.25">
      <c r="B115" s="15">
        <v>6</v>
      </c>
      <c r="D115" s="14">
        <f>N114</f>
        <v>31.901525746727366</v>
      </c>
      <c r="E115" s="15">
        <f>Assumptions!$C$28+Assumptions!$C$7/D115</f>
        <v>37558354.89332586</v>
      </c>
      <c r="F115" s="14">
        <f>IF(D115&lt;Assumptions!$C$35,(Assumptions!$C$35*Assumptions!$C$28+Assumptions!$C$7)/E115,Assumptions!$C$35)</f>
        <v>57.46192478238646</v>
      </c>
      <c r="G115" s="14">
        <f>IF(D115&lt;Assumptions!$C$36,(Assumptions!$C$36*Assumptions!$C$28+Assumptions!$C$7)/E115,Assumptions!$C$36)</f>
        <v>48.7262320253829</v>
      </c>
      <c r="H115" s="15">
        <f>IF(D115&lt;Assumptions!$C$35,Assumptions!$C$43/F115,Assumptions!$C$24)</f>
        <v>1740282.8112477802</v>
      </c>
      <c r="I115" s="15">
        <f>IF(D115&lt;Assumptions!$C$36,Assumptions!$C$44/G115,Assumptions!$C$25)</f>
        <v>6156847.913947488</v>
      </c>
      <c r="J115" s="15">
        <f>MAX(0,$D$108*($C$108+Assumptions!$C$7)/D115-Assumptions!$C$26-Assumptions!$C$27)</f>
        <v>617632.451426815</v>
      </c>
      <c r="K115" s="15">
        <f>IF((M114-K114)&lt;=0,0,Assumptions!$C$47/MIN(Assumptions!$C$48/(M114-K114),D115*(1-Assumptions!$C$49)))</f>
        <v>195915.39444288678</v>
      </c>
      <c r="L115" s="15">
        <f>IF((M114-L114)&lt;=0,0,Assumptions!$C$50/MIN(Assumptions!$C$51/(M114-L114),D115*(1-Assumptions!$C$52)))</f>
        <v>110634.57568539488</v>
      </c>
      <c r="M115" s="15">
        <f>Assumptions!$C$28+(H115-Assumptions!$C$24)+(I115-Assumptions!$C$25)+J115+K115+L115</f>
        <v>37615980.14675037</v>
      </c>
      <c r="N115" s="14">
        <f>$C$108/M115</f>
        <v>31.90133542495682</v>
      </c>
    </row>
    <row r="116" spans="2:14" x14ac:dyDescent="0.25">
      <c r="B116" s="15">
        <v>7</v>
      </c>
      <c r="D116" s="14">
        <f>N115</f>
        <v>31.90133542495682</v>
      </c>
      <c r="E116" s="15">
        <f>Assumptions!$C$28+Assumptions!$C$7/D116</f>
        <v>37558360.50366876</v>
      </c>
      <c r="F116" s="14">
        <f>IF(D116&lt;Assumptions!$C$35,(Assumptions!$C$35*Assumptions!$C$28+Assumptions!$C$7)/E116,Assumptions!$C$35)</f>
        <v>57.46191619891537</v>
      </c>
      <c r="G116" s="14">
        <f>IF(D116&lt;Assumptions!$C$36,(Assumptions!$C$36*Assumptions!$C$28+Assumptions!$C$7)/E116,Assumptions!$C$36)</f>
        <v>48.72622474682051</v>
      </c>
      <c r="H116" s="15">
        <f>IF(D116&lt;Assumptions!$C$35,Assumptions!$C$43/F116,Assumptions!$C$24)</f>
        <v>1740283.0712054737</v>
      </c>
      <c r="I116" s="15">
        <f>IF(D116&lt;Assumptions!$C$36,Assumptions!$C$44/G116,Assumptions!$C$25)</f>
        <v>6156848.833637078</v>
      </c>
      <c r="J116" s="15">
        <f>MAX(0,$D$108*($C$108+Assumptions!$C$7)/D116-Assumptions!$C$26-Assumptions!$C$27)</f>
        <v>617662.354554486</v>
      </c>
      <c r="K116" s="15">
        <f>IF((M115-K115)&lt;=0,0,Assumptions!$C$47/MIN(Assumptions!$C$48/(M115-K115),D116*(1-Assumptions!$C$49)))</f>
        <v>195916.56326432485</v>
      </c>
      <c r="L116" s="15">
        <f>IF((M115-L115)&lt;=0,0,Assumptions!$C$50/MIN(Assumptions!$C$51/(M115-L115),D116*(1-Assumptions!$C$52)))</f>
        <v>110635.23572573639</v>
      </c>
      <c r="M116" s="15">
        <f>Assumptions!$C$28+(H116-Assumptions!$C$24)+(I116-Assumptions!$C$25)+J116+K116+L116</f>
        <v>37616013.05838711</v>
      </c>
      <c r="N116" s="14">
        <f>$C$108/M116</f>
        <v>31.901307513302243</v>
      </c>
    </row>
    <row r="117" spans="2:14" x14ac:dyDescent="0.25">
      <c r="B117" s="15">
        <v>8</v>
      </c>
      <c r="D117" s="14">
        <f>N116</f>
        <v>31.901307513302243</v>
      </c>
      <c r="E117" s="15">
        <f>Assumptions!$C$28+Assumptions!$C$7/D117</f>
        <v>37558361.326459676</v>
      </c>
      <c r="F117" s="14">
        <f>IF(D117&lt;Assumptions!$C$35,(Assumptions!$C$35*Assumptions!$C$28+Assumptions!$C$7)/E117,Assumptions!$C$35)</f>
        <v>57.46191494009733</v>
      </c>
      <c r="G117" s="14">
        <f>IF(D117&lt;Assumptions!$C$36,(Assumptions!$C$36*Assumptions!$C$28+Assumptions!$C$7)/E117,Assumptions!$C$36)</f>
        <v>48.726223679375245</v>
      </c>
      <c r="H117" s="15">
        <f>IF(D117&lt;Assumptions!$C$35,Assumptions!$C$43/F117,Assumptions!$C$24)</f>
        <v>1740283.1093298509</v>
      </c>
      <c r="I117" s="15">
        <f>IF(D117&lt;Assumptions!$C$36,Assumptions!$C$44/G117,Assumptions!$C$25)</f>
        <v>6156848.968515151</v>
      </c>
      <c r="J117" s="15">
        <f>MAX(0,$D$108*($C$108+Assumptions!$C$7)/D117-Assumptions!$C$26-Assumptions!$C$27)</f>
        <v>617666.740030083</v>
      </c>
      <c r="K117" s="15">
        <f>IF((M116-K116)&lt;=0,0,Assumptions!$C$47/MIN(Assumptions!$C$48/(M116-K116),D117*(1-Assumptions!$C$49)))</f>
        <v>195916.73467909955</v>
      </c>
      <c r="L117" s="15">
        <f>IF((M116-L116)&lt;=0,0,Assumptions!$C$50/MIN(Assumptions!$C$51/(M116-L116),D117*(1-Assumptions!$C$52)))</f>
        <v>110635.33252466796</v>
      </c>
      <c r="M117" s="15">
        <f>Assumptions!$C$28+(H117-Assumptions!$C$24)+(I117-Assumptions!$C$25)+J117+K117+L117</f>
        <v>37616017.88507885</v>
      </c>
      <c r="N117" s="14">
        <f>$C$108/M117</f>
        <v>31.90130341989241</v>
      </c>
    </row>
    <row r="118" spans="2:14" x14ac:dyDescent="0.25">
      <c r="B118" s="15">
        <v>9</v>
      </c>
      <c r="D118" s="14">
        <f>N117</f>
        <v>31.90130341989241</v>
      </c>
      <c r="E118" s="15">
        <f>Assumptions!$C$28+Assumptions!$C$7/D118</f>
        <v>37558361.44712697</v>
      </c>
      <c r="F118" s="14">
        <f>IF(D118&lt;Assumptions!$C$35,(Assumptions!$C$35*Assumptions!$C$28+Assumptions!$C$7)/E118,Assumptions!$C$35)</f>
        <v>57.46191475548401</v>
      </c>
      <c r="G118" s="14">
        <f>IF(D118&lt;Assumptions!$C$36,(Assumptions!$C$36*Assumptions!$C$28+Assumptions!$C$7)/E118,Assumptions!$C$36)</f>
        <v>48.72622352282791</v>
      </c>
      <c r="H118" s="15">
        <f>IF(D118&lt;Assumptions!$C$35,Assumptions!$C$43/F118,Assumptions!$C$24)</f>
        <v>1740283.114921023</v>
      </c>
      <c r="I118" s="15">
        <f>IF(D118&lt;Assumptions!$C$36,Assumptions!$C$44/G118,Assumptions!$C$25)</f>
        <v>6156848.98829584</v>
      </c>
      <c r="J118" s="15">
        <f>MAX(0,$D$108*($C$108+Assumptions!$C$7)/D118-Assumptions!$C$26-Assumptions!$C$27)</f>
        <v>617667.383186757</v>
      </c>
      <c r="K118" s="15">
        <f>IF((M117-K117)&lt;=0,0,Assumptions!$C$47/MIN(Assumptions!$C$48/(M117-K117),D118*(1-Assumptions!$C$49)))</f>
        <v>195916.75981811903</v>
      </c>
      <c r="L118" s="15">
        <f>IF((M117-L117)&lt;=0,0,Assumptions!$C$50/MIN(Assumptions!$C$51/(M117-L117),D118*(1-Assumptions!$C$52)))</f>
        <v>110635.34672082015</v>
      </c>
      <c r="M118" s="15">
        <f>Assumptions!$C$28+(H118-Assumptions!$C$24)+(I118-Assumptions!$C$25)+J118+K118+L118</f>
        <v>37616018.59294256</v>
      </c>
      <c r="N118" s="14">
        <f>$C$108/M118</f>
        <v>31.901302819569043</v>
      </c>
    </row>
    <row r="119" spans="2:14" x14ac:dyDescent="0.25">
      <c r="B119" s="15">
        <v>10</v>
      </c>
      <c r="D119" s="14">
        <f>N118</f>
        <v>31.901302819569043</v>
      </c>
      <c r="E119" s="15">
        <f>Assumptions!$C$28+Assumptions!$C$7/D119</f>
        <v>37558361.46482357</v>
      </c>
      <c r="F119" s="14">
        <f>IF(D119&lt;Assumptions!$C$35,(Assumptions!$C$35*Assumptions!$C$28+Assumptions!$C$7)/E119,Assumptions!$C$35)</f>
        <v>57.46191472840933</v>
      </c>
      <c r="G119" s="14">
        <f>IF(D119&lt;Assumptions!$C$36,(Assumptions!$C$36*Assumptions!$C$28+Assumptions!$C$7)/E119,Assumptions!$C$36)</f>
        <v>48.72622349986928</v>
      </c>
      <c r="H119" s="15">
        <f>IF(D119&lt;Assumptions!$C$35,Assumptions!$C$43/F119,Assumptions!$C$24)</f>
        <v>1740283.1157410026</v>
      </c>
      <c r="I119" s="15">
        <f>IF(D119&lt;Assumptions!$C$36,Assumptions!$C$44/G119,Assumptions!$C$25)</f>
        <v>6156848.9911968</v>
      </c>
      <c r="J119" s="15">
        <f>MAX(0,$D$108*($C$108+Assumptions!$C$7)/D119-Assumptions!$C$26-Assumptions!$C$27)</f>
        <v>617667.477509596</v>
      </c>
      <c r="K119" s="15">
        <f>IF((M118-K118)&lt;=0,0,Assumptions!$C$47/MIN(Assumptions!$C$48/(M118-K118),D119*(1-Assumptions!$C$49)))</f>
        <v>195916.76350490915</v>
      </c>
      <c r="L119" s="15">
        <f>IF((M118-L118)&lt;=0,0,Assumptions!$C$50/MIN(Assumptions!$C$51/(M118-L118),D119*(1-Assumptions!$C$52)))</f>
        <v>110635.34880277223</v>
      </c>
      <c r="M119" s="15">
        <f>Assumptions!$C$28+(H119-Assumptions!$C$24)+(I119-Assumptions!$C$25)+J119+K119+L119</f>
        <v>37616018.69675508</v>
      </c>
      <c r="N119" s="14">
        <f>$C$108/M119</f>
        <v>31.90130273152797</v>
      </c>
    </row>
    <row r="120" spans="2:14" x14ac:dyDescent="0.25">
      <c r="B120" s="15">
        <v>11</v>
      </c>
      <c r="D120" s="14">
        <f>N119</f>
        <v>31.90130273152797</v>
      </c>
      <c r="E120" s="15">
        <f>Assumptions!$C$28+Assumptions!$C$7/D120</f>
        <v>37558361.46741888</v>
      </c>
      <c r="F120" s="14">
        <f>IF(D120&lt;Assumptions!$C$35,(Assumptions!$C$35*Assumptions!$C$28+Assumptions!$C$7)/E120,Assumptions!$C$35)</f>
        <v>57.46191472443867</v>
      </c>
      <c r="G120" s="14">
        <f>IF(D120&lt;Assumptions!$C$36,(Assumptions!$C$36*Assumptions!$C$28+Assumptions!$C$7)/E120,Assumptions!$C$36)</f>
        <v>48.726223496502264</v>
      </c>
      <c r="H120" s="15">
        <f>IF(D120&lt;Assumptions!$C$35,Assumptions!$C$43/F120,Assumptions!$C$24)</f>
        <v>1740283.1158612575</v>
      </c>
      <c r="I120" s="15">
        <f>IF(D120&lt;Assumptions!$C$36,Assumptions!$C$44/G120,Assumptions!$C$25)</f>
        <v>6156848.991622243</v>
      </c>
      <c r="J120" s="15">
        <f>MAX(0,$D$108*($C$108+Assumptions!$C$7)/D120-Assumptions!$C$26-Assumptions!$C$27)</f>
        <v>617667.491342614</v>
      </c>
      <c r="K120" s="15">
        <f>IF((M119-K119)&lt;=0,0,Assumptions!$C$47/MIN(Assumptions!$C$48/(M119-K119),D120*(1-Assumptions!$C$49)))</f>
        <v>195916.76404559935</v>
      </c>
      <c r="L120" s="15">
        <f>IF((M119-L119)&lt;=0,0,Assumptions!$C$50/MIN(Assumptions!$C$51/(M119-L119),D120*(1-Assumptions!$C$52)))</f>
        <v>110635.34910810317</v>
      </c>
      <c r="M120" s="15">
        <f>Assumptions!$C$28+(H120-Assumptions!$C$24)+(I120-Assumptions!$C$25)+J120+K120+L120</f>
        <v>37616018.71197982</v>
      </c>
      <c r="N120" s="14">
        <f>$C$108/M120</f>
        <v>31.901302718616208</v>
      </c>
    </row>
    <row r="121" spans="2:14" x14ac:dyDescent="0.25">
      <c r="B121" s="15">
        <v>12</v>
      </c>
      <c r="D121" s="14">
        <f>N120</f>
        <v>31.901302718616208</v>
      </c>
      <c r="E121" s="15">
        <f>Assumptions!$C$28+Assumptions!$C$7/D121</f>
        <v>37558361.46779949</v>
      </c>
      <c r="F121" s="14">
        <f>IF(D121&lt;Assumptions!$C$35,(Assumptions!$C$35*Assumptions!$C$28+Assumptions!$C$7)/E121,Assumptions!$C$35)</f>
        <v>57.46191472385636</v>
      </c>
      <c r="G121" s="14">
        <f>IF(D121&lt;Assumptions!$C$36,(Assumptions!$C$36*Assumptions!$C$28+Assumptions!$C$7)/E121,Assumptions!$C$36)</f>
        <v>48.72622349600848</v>
      </c>
      <c r="H121" s="15">
        <f>IF(D121&lt;Assumptions!$C$35,Assumptions!$C$43/F121,Assumptions!$C$24)</f>
        <v>1740283.1158788933</v>
      </c>
      <c r="I121" s="15">
        <f>IF(D121&lt;Assumptions!$C$36,Assumptions!$C$44/G121,Assumptions!$C$25)</f>
        <v>6156848.991684635</v>
      </c>
      <c r="J121" s="15">
        <f>MAX(0,$D$108*($C$108+Assumptions!$C$7)/D121-Assumptions!$C$26-Assumptions!$C$27)</f>
        <v>617667.493371311</v>
      </c>
      <c r="K121" s="15">
        <f>IF((M120-K120)&lt;=0,0,Assumptions!$C$47/MIN(Assumptions!$C$48/(M120-K120),D121*(1-Assumptions!$C$49)))</f>
        <v>195916.76412489492</v>
      </c>
      <c r="L121" s="15">
        <f>IF((M120-L120)&lt;=0,0,Assumptions!$C$50/MIN(Assumptions!$C$51/(M120-L120),D121*(1-Assumptions!$C$52)))</f>
        <v>110635.34915288183</v>
      </c>
      <c r="M121" s="15">
        <f>Assumptions!$C$28+(H121-Assumptions!$C$24)+(I121-Assumptions!$C$25)+J121+K121+L121</f>
        <v>37616018.71421261</v>
      </c>
      <c r="N121" s="14">
        <f>$C$108/M121</f>
        <v>31.90130271672263</v>
      </c>
    </row>
    <row r="122" spans="2:14" x14ac:dyDescent="0.25">
      <c r="B122" s="15">
        <v>13</v>
      </c>
      <c r="D122" s="14">
        <f>N121</f>
        <v>31.90130271672263</v>
      </c>
      <c r="E122" s="15">
        <f>Assumptions!$C$28+Assumptions!$C$7/D122</f>
        <v>37558361.46785531</v>
      </c>
      <c r="F122" s="14">
        <f>IF(D122&lt;Assumptions!$C$35,(Assumptions!$C$35*Assumptions!$C$28+Assumptions!$C$7)/E122,Assumptions!$C$35)</f>
        <v>57.46191472377096</v>
      </c>
      <c r="G122" s="14">
        <f>IF(D122&lt;Assumptions!$C$36,(Assumptions!$C$36*Assumptions!$C$28+Assumptions!$C$7)/E122,Assumptions!$C$36)</f>
        <v>48.72622349593606</v>
      </c>
      <c r="H122" s="15">
        <f>IF(D122&lt;Assumptions!$C$35,Assumptions!$C$43/F122,Assumptions!$C$24)</f>
        <v>1740283.1158814796</v>
      </c>
      <c r="I122" s="15">
        <f>IF(D122&lt;Assumptions!$C$36,Assumptions!$C$44/G122,Assumptions!$C$25)</f>
        <v>6156848.991693786</v>
      </c>
      <c r="J122" s="15">
        <f>MAX(0,$D$108*($C$108+Assumptions!$C$7)/D122-Assumptions!$C$26-Assumptions!$C$27)</f>
        <v>617667.49366883</v>
      </c>
      <c r="K122" s="15">
        <f>IF((M121-K121)&lt;=0,0,Assumptions!$C$47/MIN(Assumptions!$C$48/(M121-K121),D122*(1-Assumptions!$C$49)))</f>
        <v>195916.76413652403</v>
      </c>
      <c r="L122" s="15">
        <f>IF((M121-L121)&lt;=0,0,Assumptions!$C$50/MIN(Assumptions!$C$51/(M121-L121),D122*(1-Assumptions!$C$52)))</f>
        <v>110635.34915944884</v>
      </c>
      <c r="M122" s="15">
        <f>Assumptions!$C$28+(H122-Assumptions!$C$24)+(I122-Assumptions!$C$25)+J122+K122+L122</f>
        <v>37616018.71454007</v>
      </c>
      <c r="N122" s="14">
        <f>$C$108/M122</f>
        <v>31.901302716444917</v>
      </c>
    </row>
    <row r="123" spans="2:14" x14ac:dyDescent="0.25">
      <c r="B123" s="15">
        <v>14</v>
      </c>
      <c r="D123" s="14">
        <f>N122</f>
        <v>31.901302716444917</v>
      </c>
      <c r="E123" s="15">
        <f>Assumptions!$C$28+Assumptions!$C$7/D123</f>
        <v>37558361.4678635</v>
      </c>
      <c r="F123" s="14">
        <f>IF(D123&lt;Assumptions!$C$35,(Assumptions!$C$35*Assumptions!$C$28+Assumptions!$C$7)/E123,Assumptions!$C$35)</f>
        <v>57.46191472375843</v>
      </c>
      <c r="G123" s="14">
        <f>IF(D123&lt;Assumptions!$C$36,(Assumptions!$C$36*Assumptions!$C$28+Assumptions!$C$7)/E123,Assumptions!$C$36)</f>
        <v>48.72622349592544</v>
      </c>
      <c r="H123" s="15">
        <f>IF(D123&lt;Assumptions!$C$35,Assumptions!$C$43/F123,Assumptions!$C$24)</f>
        <v>1740283.115881859</v>
      </c>
      <c r="I123" s="15">
        <f>IF(D123&lt;Assumptions!$C$36,Assumptions!$C$44/G123,Assumptions!$C$25)</f>
        <v>6156848.991695128</v>
      </c>
      <c r="J123" s="15">
        <f>MAX(0,$D$108*($C$108+Assumptions!$C$7)/D123-Assumptions!$C$26-Assumptions!$C$27)</f>
        <v>617667.493712464</v>
      </c>
      <c r="K123" s="15">
        <f>IF((M122-K122)&lt;=0,0,Assumptions!$C$47/MIN(Assumptions!$C$48/(M122-K122),D123*(1-Assumptions!$C$49)))</f>
        <v>195916.76413822954</v>
      </c>
      <c r="L123" s="15">
        <f>IF((M122-L122)&lt;=0,0,Assumptions!$C$50/MIN(Assumptions!$C$51/(M122-L122),D123*(1-Assumptions!$C$52)))</f>
        <v>110635.34916041198</v>
      </c>
      <c r="M123" s="15">
        <f>Assumptions!$C$28+(H123-Assumptions!$C$24)+(I123-Assumptions!$C$25)+J123+K123+L123</f>
        <v>37616018.71458809</v>
      </c>
      <c r="N123" s="14">
        <f>$C$108/M123</f>
        <v>31.901302716404192</v>
      </c>
    </row>
    <row r="124" spans="2:14" x14ac:dyDescent="0.25">
      <c r="B124" s="15">
        <v>15</v>
      </c>
      <c r="D124" s="14">
        <f>N123</f>
        <v>31.901302716404192</v>
      </c>
      <c r="E124" s="15">
        <f>Assumptions!$C$28+Assumptions!$C$7/D124</f>
        <v>37558361.4678647</v>
      </c>
      <c r="F124" s="14">
        <f>IF(D124&lt;Assumptions!$C$35,(Assumptions!$C$35*Assumptions!$C$28+Assumptions!$C$7)/E124,Assumptions!$C$35)</f>
        <v>57.46191472375659</v>
      </c>
      <c r="G124" s="14">
        <f>IF(D124&lt;Assumptions!$C$36,(Assumptions!$C$36*Assumptions!$C$28+Assumptions!$C$7)/E124,Assumptions!$C$36)</f>
        <v>48.726223495923875</v>
      </c>
      <c r="H124" s="15">
        <f>IF(D124&lt;Assumptions!$C$35,Assumptions!$C$43/F124,Assumptions!$C$24)</f>
        <v>1740283.115881915</v>
      </c>
      <c r="I124" s="15">
        <f>IF(D124&lt;Assumptions!$C$36,Assumptions!$C$44/G124,Assumptions!$C$25)</f>
        <v>6156848.991695326</v>
      </c>
      <c r="J124" s="15">
        <f>MAX(0,$D$108*($C$108+Assumptions!$C$7)/D124-Assumptions!$C$26-Assumptions!$C$27)</f>
        <v>617667.493718863</v>
      </c>
      <c r="K124" s="15">
        <f>IF((M123-K123)&lt;=0,0,Assumptions!$C$47/MIN(Assumptions!$C$48/(M123-K123),D124*(1-Assumptions!$C$49)))</f>
        <v>195916.76413847963</v>
      </c>
      <c r="L124" s="15">
        <f>IF((M123-L123)&lt;=0,0,Assumptions!$C$50/MIN(Assumptions!$C$51/(M123-L123),D124*(1-Assumptions!$C$52)))</f>
        <v>110635.34916055322</v>
      </c>
      <c r="M124" s="15">
        <f>Assumptions!$C$28+(H124-Assumptions!$C$24)+(I124-Assumptions!$C$25)+J124+K124+L124</f>
        <v>37616018.71459513</v>
      </c>
      <c r="N124" s="14">
        <f>$C$108/M124</f>
        <v>31.901302716398224</v>
      </c>
    </row>
    <row r="125" spans="2:14" x14ac:dyDescent="0.25">
      <c r="B125" s="15">
        <v>16</v>
      </c>
      <c r="D125" s="14">
        <f>N124</f>
        <v>31.901302716398224</v>
      </c>
      <c r="E125" s="15">
        <f>Assumptions!$C$28+Assumptions!$C$7/D125</f>
        <v>37558361.46786488</v>
      </c>
      <c r="F125" s="14">
        <f>IF(D125&lt;Assumptions!$C$35,(Assumptions!$C$35*Assumptions!$C$28+Assumptions!$C$7)/E125,Assumptions!$C$35)</f>
        <v>57.46191472375632</v>
      </c>
      <c r="G125" s="14">
        <f>IF(D125&lt;Assumptions!$C$36,(Assumptions!$C$36*Assumptions!$C$28+Assumptions!$C$7)/E125,Assumptions!$C$36)</f>
        <v>48.72622349592365</v>
      </c>
      <c r="H125" s="15">
        <f>IF(D125&lt;Assumptions!$C$35,Assumptions!$C$43/F125,Assumptions!$C$24)</f>
        <v>1740283.1158819231</v>
      </c>
      <c r="I125" s="15">
        <f>IF(D125&lt;Assumptions!$C$36,Assumptions!$C$44/G125,Assumptions!$C$25)</f>
        <v>6156848.991695354</v>
      </c>
      <c r="J125" s="15">
        <f>MAX(0,$D$108*($C$108+Assumptions!$C$7)/D125-Assumptions!$C$26-Assumptions!$C$27)</f>
        <v>617667.493719801</v>
      </c>
      <c r="K125" s="15">
        <f>IF((M124-K124)&lt;=0,0,Assumptions!$C$47/MIN(Assumptions!$C$48/(M124-K124),D125*(1-Assumptions!$C$49)))</f>
        <v>195916.7641385163</v>
      </c>
      <c r="L125" s="15">
        <f>IF((M124-L124)&lt;=0,0,Assumptions!$C$50/MIN(Assumptions!$C$51/(M124-L124),D125*(1-Assumptions!$C$52)))</f>
        <v>110635.3491605739</v>
      </c>
      <c r="M125" s="15">
        <f>Assumptions!$C$28+(H125-Assumptions!$C$24)+(I125-Assumptions!$C$25)+J125+K125+L125</f>
        <v>37616018.71459616</v>
      </c>
      <c r="N125" s="14">
        <f>$C$108/M125</f>
        <v>31.90130271639735</v>
      </c>
    </row>
    <row r="126" spans="2:14" x14ac:dyDescent="0.25">
      <c r="B126" s="15">
        <v>17</v>
      </c>
      <c r="D126" s="14">
        <f>N125</f>
        <v>31.90130271639735</v>
      </c>
      <c r="E126" s="15">
        <f>Assumptions!$C$28+Assumptions!$C$7/D126</f>
        <v>37558361.4678649</v>
      </c>
      <c r="F126" s="14">
        <f>IF(D126&lt;Assumptions!$C$35,(Assumptions!$C$35*Assumptions!$C$28+Assumptions!$C$7)/E126,Assumptions!$C$35)</f>
        <v>57.46191472375629</v>
      </c>
      <c r="G126" s="14">
        <f>IF(D126&lt;Assumptions!$C$36,(Assumptions!$C$36*Assumptions!$C$28+Assumptions!$C$7)/E126,Assumptions!$C$36)</f>
        <v>48.72622349592362</v>
      </c>
      <c r="H126" s="15">
        <f>IF(D126&lt;Assumptions!$C$35,Assumptions!$C$43/F126,Assumptions!$C$24)</f>
        <v>1740283.115881924</v>
      </c>
      <c r="I126" s="15">
        <f>IF(D126&lt;Assumptions!$C$36,Assumptions!$C$44/G126,Assumptions!$C$25)</f>
        <v>6156848.991695358</v>
      </c>
      <c r="J126" s="15">
        <f>MAX(0,$D$108*($C$108+Assumptions!$C$7)/D126-Assumptions!$C$26-Assumptions!$C$27)</f>
        <v>617667.493719938</v>
      </c>
      <c r="K126" s="15">
        <f>IF((M125-K125)&lt;=0,0,Assumptions!$C$47/MIN(Assumptions!$C$48/(M125-K125),D126*(1-Assumptions!$C$49)))</f>
        <v>195916.76413852166</v>
      </c>
      <c r="L126" s="15">
        <f>IF((M125-L125)&lt;=0,0,Assumptions!$C$50/MIN(Assumptions!$C$51/(M125-L125),D126*(1-Assumptions!$C$52)))</f>
        <v>110635.34916057694</v>
      </c>
      <c r="M126" s="15">
        <f>Assumptions!$C$28+(H126-Assumptions!$C$24)+(I126-Assumptions!$C$25)+J126+K126+L126</f>
        <v>37616018.71459632</v>
      </c>
      <c r="N126" s="14">
        <f>$C$108/M126</f>
        <v>31.901302716397215</v>
      </c>
    </row>
    <row r="127" spans="2:14" x14ac:dyDescent="0.25">
      <c r="B127" s="15">
        <v>18</v>
      </c>
      <c r="D127" s="14">
        <f>N126</f>
        <v>31.901302716397215</v>
      </c>
      <c r="E127" s="15">
        <f>Assumptions!$C$28+Assumptions!$C$7/D127</f>
        <v>37558361.46786491</v>
      </c>
      <c r="F127" s="14">
        <f>IF(D127&lt;Assumptions!$C$35,(Assumptions!$C$35*Assumptions!$C$28+Assumptions!$C$7)/E127,Assumptions!$C$35)</f>
        <v>57.46191472375627</v>
      </c>
      <c r="G127" s="14">
        <f>IF(D127&lt;Assumptions!$C$36,(Assumptions!$C$36*Assumptions!$C$28+Assumptions!$C$7)/E127,Assumptions!$C$36)</f>
        <v>48.726223495923605</v>
      </c>
      <c r="H127" s="15">
        <f>IF(D127&lt;Assumptions!$C$35,Assumptions!$C$43/F127,Assumptions!$C$24)</f>
        <v>1740283.1158819245</v>
      </c>
      <c r="I127" s="15">
        <f>IF(D127&lt;Assumptions!$C$36,Assumptions!$C$44/G127,Assumptions!$C$25)</f>
        <v>6156848.99169536</v>
      </c>
      <c r="J127" s="15">
        <f>MAX(0,$D$108*($C$108+Assumptions!$C$7)/D127-Assumptions!$C$26-Assumptions!$C$27)</f>
        <v>617667.49371996</v>
      </c>
      <c r="K127" s="15">
        <f>IF((M126-K126)&lt;=0,0,Assumptions!$C$47/MIN(Assumptions!$C$48/(M126-K126),D127*(1-Assumptions!$C$49)))</f>
        <v>195916.7641385225</v>
      </c>
      <c r="L127" s="15">
        <f>IF((M126-L126)&lt;=0,0,Assumptions!$C$50/MIN(Assumptions!$C$51/(M126-L126),D127*(1-Assumptions!$C$52)))</f>
        <v>110635.3491605774</v>
      </c>
      <c r="M127" s="15">
        <f>Assumptions!$C$28+(H127-Assumptions!$C$24)+(I127-Assumptions!$C$25)+J127+K127+L127</f>
        <v>37616018.714596346</v>
      </c>
      <c r="N127" s="14">
        <f>$C$108/M127</f>
        <v>31.90130271639719</v>
      </c>
    </row>
    <row r="128" spans="2:14" x14ac:dyDescent="0.25">
      <c r="B128" s="15">
        <v>19</v>
      </c>
      <c r="D128" s="14">
        <f>N127</f>
        <v>31.90130271639719</v>
      </c>
      <c r="E128" s="15">
        <f>Assumptions!$C$28+Assumptions!$C$7/D128</f>
        <v>37558361.46786491</v>
      </c>
      <c r="F128" s="14">
        <f>IF(D128&lt;Assumptions!$C$35,(Assumptions!$C$35*Assumptions!$C$28+Assumptions!$C$7)/E128,Assumptions!$C$35)</f>
        <v>57.46191472375627</v>
      </c>
      <c r="G128" s="14">
        <f>IF(D128&lt;Assumptions!$C$36,(Assumptions!$C$36*Assumptions!$C$28+Assumptions!$C$7)/E128,Assumptions!$C$36)</f>
        <v>48.726223495923605</v>
      </c>
      <c r="H128" s="15">
        <f>IF(D128&lt;Assumptions!$C$35,Assumptions!$C$43/F128,Assumptions!$C$24)</f>
        <v>1740283.1158819245</v>
      </c>
      <c r="I128" s="15">
        <f>IF(D128&lt;Assumptions!$C$36,Assumptions!$C$44/G128,Assumptions!$C$25)</f>
        <v>6156848.99169536</v>
      </c>
      <c r="J128" s="15">
        <f>MAX(0,$D$108*($C$108+Assumptions!$C$7)/D128-Assumptions!$C$26-Assumptions!$C$27)</f>
        <v>617667.493719963</v>
      </c>
      <c r="K128" s="15">
        <f>IF((M127-K127)&lt;=0,0,Assumptions!$C$47/MIN(Assumptions!$C$48/(M127-K127),D128*(1-Assumptions!$C$49)))</f>
        <v>195916.76413852265</v>
      </c>
      <c r="L128" s="15">
        <f>IF((M127-L127)&lt;=0,0,Assumptions!$C$50/MIN(Assumptions!$C$51/(M127-L127),D128*(1-Assumptions!$C$52)))</f>
        <v>110635.3491605775</v>
      </c>
      <c r="M128" s="15">
        <f>Assumptions!$C$28+(H128-Assumptions!$C$24)+(I128-Assumptions!$C$25)+J128+K128+L128</f>
        <v>37616018.714596346</v>
      </c>
      <c r="N128" s="14">
        <f>$C$108/M128</f>
        <v>31.90130271639719</v>
      </c>
    </row>
    <row r="129" spans="2:14" x14ac:dyDescent="0.25">
      <c r="B129" s="15">
        <v>20</v>
      </c>
      <c r="D129" s="14">
        <f>N128</f>
        <v>31.90130271639719</v>
      </c>
      <c r="E129" s="15">
        <f>Assumptions!$C$28+Assumptions!$C$7/D129</f>
        <v>37558361.46786491</v>
      </c>
      <c r="F129" s="14">
        <f>IF(D129&lt;Assumptions!$C$35,(Assumptions!$C$35*Assumptions!$C$28+Assumptions!$C$7)/E129,Assumptions!$C$35)</f>
        <v>57.46191472375627</v>
      </c>
      <c r="G129" s="14">
        <f>IF(D129&lt;Assumptions!$C$36,(Assumptions!$C$36*Assumptions!$C$28+Assumptions!$C$7)/E129,Assumptions!$C$36)</f>
        <v>48.726223495923605</v>
      </c>
      <c r="H129" s="15">
        <f>IF(D129&lt;Assumptions!$C$35,Assumptions!$C$43/F129,Assumptions!$C$24)</f>
        <v>1740283.1158819245</v>
      </c>
      <c r="I129" s="15">
        <f>IF(D129&lt;Assumptions!$C$36,Assumptions!$C$44/G129,Assumptions!$C$25)</f>
        <v>6156848.99169536</v>
      </c>
      <c r="J129" s="15">
        <f>MAX(0,$D$108*($C$108+Assumptions!$C$7)/D129-Assumptions!$C$26-Assumptions!$C$27)</f>
        <v>617667.493719963</v>
      </c>
      <c r="K129" s="15">
        <f>IF((M128-K128)&lt;=0,0,Assumptions!$C$47/MIN(Assumptions!$C$48/(M128-K128),D129*(1-Assumptions!$C$49)))</f>
        <v>195916.76413852265</v>
      </c>
      <c r="L129" s="15">
        <f>IF((M128-L128)&lt;=0,0,Assumptions!$C$50/MIN(Assumptions!$C$51/(M128-L128),D129*(1-Assumptions!$C$52)))</f>
        <v>110635.3491605775</v>
      </c>
      <c r="M129" s="15">
        <f>Assumptions!$C$28+(H129-Assumptions!$C$24)+(I129-Assumptions!$C$25)+J129+K129+L129</f>
        <v>37616018.714596346</v>
      </c>
      <c r="N129" s="14">
        <f>$C$108/M129</f>
        <v>31.90130271639719</v>
      </c>
    </row>
    <row r="130" spans="2:12" x14ac:dyDescent="0.25">
      <c r="B130" s="10" t="s">
        <v>181</v>
      </c>
      <c r="D130" s="13">
        <f>N129</f>
        <v>31.90130271639719</v>
      </c>
      <c r="E130" s="11">
        <f>$E$108/D130</f>
        <v>38556419.182461254</v>
      </c>
      <c r="H130" s="11">
        <f>H129</f>
        <v>1740283.1158819245</v>
      </c>
      <c r="I130" s="11">
        <f>I129</f>
        <v>6156848.99169536</v>
      </c>
      <c r="J130" s="11">
        <f>J129</f>
        <v>617667.493719963</v>
      </c>
      <c r="K130" s="11">
        <f>K129</f>
        <v>195916.76413852265</v>
      </c>
      <c r="L130" s="11">
        <f>L129</f>
        <v>110635.3491605775</v>
      </c>
    </row>
    <row r="131" spans="2:3" x14ac:dyDescent="0.25">
      <c r="B131" s="24" t="s">
        <v>182</v>
      </c>
      <c r="C131" s="15">
        <f>Assumptions!$C$16+Assumptions!$C$17+Assumptions!$C$18+Assumptions!$C$19+Assumptions!$C$20+Assumptions!$C$21+Assumptions!$C$22+Assumptions!$C$23+$H$130+$I$130+(Assumptions!$C$7/$D$130)+$K$130+$L$130+Assumptions!$C$26</f>
        <v>36044084.68874129</v>
      </c>
    </row>
    <row r="132" spans="2:3" x14ac:dyDescent="0.25">
      <c r="B132" s="24" t="s">
        <v>183</v>
      </c>
      <c r="C132" s="14">
        <f>Assumptions!$C$57+Assumptions!$C$26*Assumptions!$C$13</f>
        <v>2002500000</v>
      </c>
    </row>
    <row r="133" spans="2:3" x14ac:dyDescent="0.25">
      <c r="B133" s="24" t="s">
        <v>184</v>
      </c>
      <c r="C133" s="14">
        <f>$C$132/$C$131</f>
        <v>55.55696634531268</v>
      </c>
    </row>
    <row r="134" spans="2:10" x14ac:dyDescent="0.25">
      <c r="B134" s="24" t="s">
        <v>185</v>
      </c>
      <c r="D134" s="15" t="str">
        <f>IF(Assumptions!$C$7&gt;(Assumptions!$C$7/$D$130)*$C$133,"preference","convert")</f>
        <v>convert</v>
      </c>
      <c r="E134" s="15" t="str">
        <f>IF(Assumptions!$C$44&gt;$I$130*$C$133,"preference","convert")</f>
        <v>convert</v>
      </c>
      <c r="F134" s="15" t="str">
        <f>IF(Assumptions!$C$43&gt;$H$130*$C$133,"preference","convert")</f>
        <v>preference</v>
      </c>
      <c r="G134" s="15" t="str">
        <f>IF(Assumptions!$C$42&gt;Assumptions!$C$23*$C$133,"preference","convert")</f>
        <v>convert</v>
      </c>
      <c r="H134" s="15" t="str">
        <f>IF(Assumptions!$C$41&gt;Assumptions!$C$22*$C$133,"preference","convert")</f>
        <v>convert</v>
      </c>
      <c r="I134" s="15" t="str">
        <f>IF(Assumptions!$C$40&gt;Assumptions!$C$21*$C$133,"preference","convert")</f>
        <v>convert</v>
      </c>
      <c r="J134" s="15" t="str">
        <f>IF(Assumptions!$C$39&gt;Assumptions!$C$20*$C$133,"preference","convert")</f>
        <v>convert</v>
      </c>
    </row>
    <row r="135" spans="2:3" x14ac:dyDescent="0.25">
      <c r="B135" s="24" t="s">
        <v>186</v>
      </c>
      <c r="C135" s="14">
        <f>($C$132-(IF($D$134="preference",Assumptions!$C$7,0)+IF($E$134="preference",Assumptions!$C$44,0)+IF($F$134="preference",Assumptions!$C$43,0)+IF($G$134="preference",Assumptions!$C$42,0)+IF($H$134="preference",Assumptions!$C$41,0)+IF($I$134="preference",Assumptions!$C$40,0)+IF($J$134="preference",Assumptions!$C$39,0)))/($C$131-(IF($D$134="preference",Assumptions!$C$7/$D$130,0)+IF($E$134="preference",$I$130,0)+IF($F$134="preference",$H$130,0)+IF($G$134="preference",Assumptions!$C$23,0)+IF($H$134="preference",Assumptions!$C$22,0)+IF($I$134="preference",Assumptions!$C$21,0)+IF($J$134="preference",Assumptions!$C$20,0)))</f>
        <v>55.460325467403244</v>
      </c>
    </row>
    <row r="136" spans="2:10" x14ac:dyDescent="0.25">
      <c r="B136" s="24" t="s">
        <v>187</v>
      </c>
      <c r="D136" s="15" t="str">
        <f>IF(Assumptions!$C$7&gt;(Assumptions!$C$7/$D$130)*$C$135,"preference","convert")</f>
        <v>convert</v>
      </c>
      <c r="E136" s="15" t="str">
        <f>IF(Assumptions!$C$44&gt;$I$130*$C$135,"preference","convert")</f>
        <v>convert</v>
      </c>
      <c r="F136" s="15" t="str">
        <f>IF(Assumptions!$C$43&gt;$H$130*$C$135,"preference","convert")</f>
        <v>preference</v>
      </c>
      <c r="G136" s="15" t="str">
        <f>IF(Assumptions!$C$42&gt;Assumptions!$C$23*$C$135,"preference","convert")</f>
        <v>convert</v>
      </c>
      <c r="H136" s="15" t="str">
        <f>IF(Assumptions!$C$41&gt;Assumptions!$C$22*$C$135,"preference","convert")</f>
        <v>convert</v>
      </c>
      <c r="I136" s="15" t="str">
        <f>IF(Assumptions!$C$40&gt;Assumptions!$C$21*$C$135,"preference","convert")</f>
        <v>convert</v>
      </c>
      <c r="J136" s="15" t="str">
        <f>IF(Assumptions!$C$39&gt;Assumptions!$C$20*$C$135,"preference","convert")</f>
        <v>convert</v>
      </c>
    </row>
    <row r="137" spans="2:3" x14ac:dyDescent="0.25">
      <c r="B137" s="10" t="s">
        <v>188</v>
      </c>
      <c r="C137" s="27">
        <f>($C$132-(IF($D$136="preference",Assumptions!$C$7,0)+IF($E$136="preference",Assumptions!$C$44,0)+IF($F$136="preference",Assumptions!$C$43,0)+IF($G$136="preference",Assumptions!$C$42,0)+IF($H$136="preference",Assumptions!$C$41,0)+IF($I$136="preference",Assumptions!$C$40,0)+IF($J$136="preference",Assumptions!$C$39,0)))/($C$131-(IF($D$136="preference",Assumptions!$C$7/$D$130,0)+IF($E$136="preference",$I$130,0)+IF($F$136="preference",$H$130,0)+IF($G$136="preference",Assumptions!$C$23,0)+IF($H$136="preference",Assumptions!$C$22,0)+IF($I$136="preference",Assumptions!$C$21,0)+IF($J$136="preference",Assumptions!$C$20,0)))</f>
        <v>55.460325467403244</v>
      </c>
    </row>
    <row r="138" spans="2:3" x14ac:dyDescent="0.25">
      <c r="B138" s="10" t="s">
        <v>189</v>
      </c>
      <c r="C138" s="13">
        <f>IF($D$136="preference",Assumptions!$C$11,(Assumptions!$C$11/$D$130)*$C$137)</f>
        <v>17384972.005828705</v>
      </c>
    </row>
    <row r="139" spans="2:3" x14ac:dyDescent="0.25">
      <c r="B139" s="10" t="s">
        <v>190</v>
      </c>
      <c r="C139" s="21">
        <f>(Assumptions!$C$11/$D$130)/$E$130</f>
        <v>0.008130081300813007</v>
      </c>
    </row>
    <row r="141" spans="2:14" x14ac:dyDescent="0.25">
      <c r="B141" s="3" t="s">
        <v>194</v>
      </c>
      <c r="C141" s="4" t="s">
        <v>3</v>
      </c>
      <c r="D141" s="4" t="s">
        <v>3</v>
      </c>
      <c r="E141" s="4" t="s">
        <v>3</v>
      </c>
      <c r="F141" s="4" t="s">
        <v>3</v>
      </c>
      <c r="G141" s="4" t="s">
        <v>3</v>
      </c>
      <c r="H141" s="4" t="s">
        <v>3</v>
      </c>
      <c r="I141" s="4" t="s">
        <v>3</v>
      </c>
      <c r="J141" s="4" t="s">
        <v>3</v>
      </c>
      <c r="K141" s="4" t="s">
        <v>3</v>
      </c>
      <c r="L141" s="4" t="s">
        <v>3</v>
      </c>
      <c r="M141" s="4" t="s">
        <v>3</v>
      </c>
      <c r="N141" s="4" t="s">
        <v>3</v>
      </c>
    </row>
    <row r="142" spans="2:5" x14ac:dyDescent="0.25">
      <c r="B142" s="24" t="s">
        <v>168</v>
      </c>
      <c r="C142" s="20">
        <f>Assumptions!$C$66</f>
        <v>1400000000</v>
      </c>
      <c r="D142" s="25">
        <f>Assumptions!$C$63</f>
        <v>0.13</v>
      </c>
      <c r="E142" s="14">
        <f>C142+Assumptions!$C$7</f>
        <v>1430000000</v>
      </c>
    </row>
    <row r="143" spans="2:14" x14ac:dyDescent="0.25">
      <c r="B143" s="16" t="s">
        <v>169</v>
      </c>
      <c r="D143" s="16" t="s">
        <v>170</v>
      </c>
      <c r="E143" s="16" t="s">
        <v>171</v>
      </c>
      <c r="F143" s="16" t="s">
        <v>172</v>
      </c>
      <c r="G143" s="16" t="s">
        <v>173</v>
      </c>
      <c r="H143" s="16" t="s">
        <v>174</v>
      </c>
      <c r="I143" s="16" t="s">
        <v>175</v>
      </c>
      <c r="J143" s="16" t="s">
        <v>176</v>
      </c>
      <c r="K143" s="16" t="s">
        <v>177</v>
      </c>
      <c r="L143" s="16" t="s">
        <v>178</v>
      </c>
      <c r="M143" s="16" t="s">
        <v>179</v>
      </c>
      <c r="N143" s="16" t="s">
        <v>180</v>
      </c>
    </row>
    <row r="144" spans="2:14" x14ac:dyDescent="0.25">
      <c r="B144" s="15">
        <v>1</v>
      </c>
      <c r="D144" s="14">
        <f>($C$142+Assumptions!$C$7)/Assumptions!$C$28</f>
        <v>39.05187402433467</v>
      </c>
      <c r="E144" s="15">
        <f>Assumptions!$C$28+Assumptions!$C$7/D144</f>
        <v>37386169.97202797</v>
      </c>
      <c r="F144" s="14">
        <f>IF(D144&lt;Assumptions!$C$35,(Assumptions!$C$35*Assumptions!$C$28+Assumptions!$C$7)/E144,Assumptions!$C$35)</f>
        <v>57.72657015803428</v>
      </c>
      <c r="G144" s="14">
        <f>IF(D144&lt;Assumptions!$C$36,(Assumptions!$C$36*Assumptions!$C$28+Assumptions!$C$7)/E144,Assumptions!$C$36)</f>
        <v>48.9506444868014</v>
      </c>
      <c r="H144" s="15">
        <f>IF(D144&lt;Assumptions!$C$35,Assumptions!$C$43/F144,Assumptions!$C$24)</f>
        <v>1732304.5475633924</v>
      </c>
      <c r="I144" s="15">
        <f>IF(D144&lt;Assumptions!$C$36,Assumptions!$C$44/G144,Assumptions!$C$25)</f>
        <v>6128622.067088192</v>
      </c>
      <c r="J144" s="15">
        <f>MAX(0,$D$142*($C$142+Assumptions!$C$7)/D144-Assumptions!$C$26-Assumptions!$C$27)</f>
        <v>365667.93</v>
      </c>
      <c r="K144" s="15">
        <v>0</v>
      </c>
      <c r="L144" s="15">
        <v>0</v>
      </c>
      <c r="M144" s="15">
        <f>Assumptions!$C$28+(H144-Assumptions!$C$24)+(I144-Assumptions!$C$25)+J144+K144+L144</f>
        <v>37021261.54465158</v>
      </c>
      <c r="N144" s="14">
        <f>$C$142/M144</f>
        <v>37.81610732825652</v>
      </c>
    </row>
    <row r="145" spans="2:14" x14ac:dyDescent="0.25">
      <c r="B145" s="15">
        <v>2</v>
      </c>
      <c r="D145" s="14">
        <f>N144</f>
        <v>37.81610732825652</v>
      </c>
      <c r="E145" s="15">
        <f>Assumptions!$C$28+Assumptions!$C$7/D145</f>
        <v>37411273.74738539</v>
      </c>
      <c r="F145" s="14">
        <f>IF(D145&lt;Assumptions!$C$35,(Assumptions!$C$35*Assumptions!$C$28+Assumptions!$C$7)/E145,Assumptions!$C$35)</f>
        <v>57.687834378568795</v>
      </c>
      <c r="G145" s="14">
        <f>IF(D145&lt;Assumptions!$C$36,(Assumptions!$C$36*Assumptions!$C$28+Assumptions!$C$7)/E145,Assumptions!$C$36)</f>
        <v>48.91779754362873</v>
      </c>
      <c r="H145" s="15">
        <f>IF(D145&lt;Assumptions!$C$35,Assumptions!$C$43/F145,Assumptions!$C$24)</f>
        <v>1733467.7419811464</v>
      </c>
      <c r="I145" s="15">
        <f>IF(D145&lt;Assumptions!$C$36,Assumptions!$C$44/G145,Assumptions!$C$25)</f>
        <v>6132737.266685739</v>
      </c>
      <c r="J145" s="15">
        <f>MAX(0,$D$142*($C$142+Assumptions!$C$7)/D145-Assumptions!$C$26-Assumptions!$C$27)</f>
        <v>521227.657964807</v>
      </c>
      <c r="K145" s="15">
        <f>IF((M144-K144)&lt;=0,0,Assumptions!$C$47/MIN(Assumptions!$C$48/(M144-K144),D145*(1-Assumptions!$C$49)))</f>
        <v>185106.3077232579</v>
      </c>
      <c r="L145" s="15">
        <f>IF((M144-L144)&lt;=0,0,Assumptions!$C$50/MIN(Assumptions!$C$51/(M144-L144),D145*(1-Assumptions!$C$52)))</f>
        <v>93330.91145710484</v>
      </c>
      <c r="M145" s="15">
        <f>Assumptions!$C$28+(H145-Assumptions!$C$24)+(I145-Assumptions!$C$25)+J145+K145+L145</f>
        <v>37460536.88581207</v>
      </c>
      <c r="N145" s="14">
        <f>$C$142/M145</f>
        <v>37.3726624438808</v>
      </c>
    </row>
    <row r="146" spans="2:14" x14ac:dyDescent="0.25">
      <c r="B146" s="15">
        <v>3</v>
      </c>
      <c r="D146" s="14">
        <f>N145</f>
        <v>37.3726624438808</v>
      </c>
      <c r="E146" s="15">
        <f>Assumptions!$C$28+Assumptions!$C$7/D146</f>
        <v>37420686.79041026</v>
      </c>
      <c r="F146" s="14">
        <f>IF(D146&lt;Assumptions!$C$35,(Assumptions!$C$35*Assumptions!$C$28+Assumptions!$C$7)/E146,Assumptions!$C$35)</f>
        <v>57.67332320537578</v>
      </c>
      <c r="G146" s="14">
        <f>IF(D146&lt;Assumptions!$C$36,(Assumptions!$C$36*Assumptions!$C$28+Assumptions!$C$7)/E146,Assumptions!$C$36)</f>
        <v>48.90549244256153</v>
      </c>
      <c r="H146" s="15">
        <f>IF(D146&lt;Assumptions!$C$35,Assumptions!$C$43/F146,Assumptions!$C$24)</f>
        <v>1733903.899449285</v>
      </c>
      <c r="I146" s="15">
        <f>IF(D146&lt;Assumptions!$C$36,Assumptions!$C$44/G146,Assumptions!$C$25)</f>
        <v>6134280.323469673</v>
      </c>
      <c r="J146" s="15">
        <f>MAX(0,$D$142*($C$142+Assumptions!$C$7)/D146-Assumptions!$C$26-Assumptions!$C$27)</f>
        <v>579557.147908902</v>
      </c>
      <c r="K146" s="15">
        <f>IF((M145-K145)&lt;=0,0,Assumptions!$C$47/MIN(Assumptions!$C$48/(M145-K145),D146*(1-Assumptions!$C$49)))</f>
        <v>186377.15289044406</v>
      </c>
      <c r="L146" s="15">
        <f>IF((M145-L145)&lt;=0,0,Assumptions!$C$50/MIN(Assumptions!$C$51/(M145-L145),D146*(1-Assumptions!$C$52)))</f>
        <v>94438.32828355982</v>
      </c>
      <c r="M146" s="15">
        <f>Assumptions!$C$28+(H146-Assumptions!$C$24)+(I146-Assumptions!$C$25)+J146+K146+L146</f>
        <v>37523223.85200186</v>
      </c>
      <c r="N146" s="14">
        <f>$C$142/M146</f>
        <v>37.31022700826145</v>
      </c>
    </row>
    <row r="147" spans="2:14" x14ac:dyDescent="0.25">
      <c r="B147" s="15">
        <v>4</v>
      </c>
      <c r="D147" s="14">
        <f>N146</f>
        <v>37.31022700826145</v>
      </c>
      <c r="E147" s="15">
        <f>Assumptions!$C$28+Assumptions!$C$7/D147</f>
        <v>37422030.082542896</v>
      </c>
      <c r="F147" s="14">
        <f>IF(D147&lt;Assumptions!$C$35,(Assumptions!$C$35*Assumptions!$C$28+Assumptions!$C$7)/E147,Assumptions!$C$35)</f>
        <v>57.67125297772768</v>
      </c>
      <c r="G147" s="14">
        <f>IF(D147&lt;Assumptions!$C$36,(Assumptions!$C$36*Assumptions!$C$28+Assumptions!$C$7)/E147,Assumptions!$C$36)</f>
        <v>48.903736942843956</v>
      </c>
      <c r="H147" s="15">
        <f>IF(D147&lt;Assumptions!$C$35,Assumptions!$C$43/F147,Assumptions!$C$24)</f>
        <v>1733966.1414781373</v>
      </c>
      <c r="I147" s="15">
        <f>IF(D147&lt;Assumptions!$C$36,Assumptions!$C$44/G147,Assumptions!$C$25)</f>
        <v>6134500.526015502</v>
      </c>
      <c r="J147" s="15">
        <f>MAX(0,$D$142*($C$142+Assumptions!$C$7)/D147-Assumptions!$C$26-Assumptions!$C$27)</f>
        <v>587881.081490818</v>
      </c>
      <c r="K147" s="15">
        <f>IF((M146-K146)&lt;=0,0,Assumptions!$C$47/MIN(Assumptions!$C$48/(M146-K146),D147*(1-Assumptions!$C$49)))</f>
        <v>186684.2334955571</v>
      </c>
      <c r="L147" s="15">
        <f>IF((M146-L146)&lt;=0,0,Assumptions!$C$50/MIN(Assumptions!$C$51/(M146-L146),D147*(1-Assumptions!$C$52)))</f>
        <v>94596.36265210553</v>
      </c>
      <c r="M147" s="15">
        <f>Assumptions!$C$28+(H147-Assumptions!$C$24)+(I147-Assumptions!$C$25)+J147+K147+L147</f>
        <v>37532295.34513211</v>
      </c>
      <c r="N147" s="14">
        <f>$C$142/M147</f>
        <v>37.30120918867751</v>
      </c>
    </row>
    <row r="148" spans="2:14" x14ac:dyDescent="0.25">
      <c r="B148" s="15">
        <v>5</v>
      </c>
      <c r="D148" s="14">
        <f>N147</f>
        <v>37.30120918867751</v>
      </c>
      <c r="E148" s="15">
        <f>Assumptions!$C$28+Assumptions!$C$7/D148</f>
        <v>37422224.4716814</v>
      </c>
      <c r="F148" s="14">
        <f>IF(D148&lt;Assumptions!$C$35,(Assumptions!$C$35*Assumptions!$C$28+Assumptions!$C$7)/E148,Assumptions!$C$35)</f>
        <v>57.670953405338786</v>
      </c>
      <c r="G148" s="14">
        <f>IF(D148&lt;Assumptions!$C$36,(Assumptions!$C$36*Assumptions!$C$28+Assumptions!$C$7)/E148,Assumptions!$C$36)</f>
        <v>48.90348291317501</v>
      </c>
      <c r="H148" s="15">
        <f>IF(D148&lt;Assumptions!$C$35,Assumptions!$C$43/F148,Assumptions!$C$24)</f>
        <v>1733975.1485839435</v>
      </c>
      <c r="I148" s="15">
        <f>IF(D148&lt;Assumptions!$C$36,Assumptions!$C$44/G148,Assumptions!$C$25)</f>
        <v>6134532.391744587</v>
      </c>
      <c r="J148" s="15">
        <f>MAX(0,$D$142*($C$142+Assumptions!$C$7)/D148-Assumptions!$C$26-Assumptions!$C$27)</f>
        <v>589085.646185757</v>
      </c>
      <c r="K148" s="15">
        <f>IF((M147-K147)&lt;=0,0,Assumptions!$C$47/MIN(Assumptions!$C$48/(M147-K147),D148*(1-Assumptions!$C$49)))</f>
        <v>186728.05555818274</v>
      </c>
      <c r="L148" s="15">
        <f>IF((M147-L147)&lt;=0,0,Assumptions!$C$50/MIN(Assumptions!$C$51/(M147-L147),D148*(1-Assumptions!$C$52)))</f>
        <v>94619.23196251792</v>
      </c>
      <c r="M148" s="15">
        <f>Assumptions!$C$28+(H148-Assumptions!$C$24)+(I148-Assumptions!$C$25)+J148+K148+L148</f>
        <v>37533607.47403498</v>
      </c>
      <c r="N148" s="14">
        <f>$C$142/M148</f>
        <v>37.299905184133785</v>
      </c>
    </row>
    <row r="149" spans="2:14" x14ac:dyDescent="0.25">
      <c r="B149" s="15">
        <v>6</v>
      </c>
      <c r="D149" s="14">
        <f>N148</f>
        <v>37.299905184133785</v>
      </c>
      <c r="E149" s="15">
        <f>Assumptions!$C$28+Assumptions!$C$7/D149</f>
        <v>37422252.58872932</v>
      </c>
      <c r="F149" s="14">
        <f>IF(D149&lt;Assumptions!$C$35,(Assumptions!$C$35*Assumptions!$C$28+Assumptions!$C$7)/E149,Assumptions!$C$35)</f>
        <v>57.67091007451693</v>
      </c>
      <c r="G149" s="14">
        <f>IF(D149&lt;Assumptions!$C$36,(Assumptions!$C$36*Assumptions!$C$28+Assumptions!$C$7)/E149,Assumptions!$C$36)</f>
        <v>48.903446169754254</v>
      </c>
      <c r="H149" s="15">
        <f>IF(D149&lt;Assumptions!$C$35,Assumptions!$C$43/F149,Assumptions!$C$24)</f>
        <v>1733976.451399664</v>
      </c>
      <c r="I149" s="15">
        <f>IF(D149&lt;Assumptions!$C$36,Assumptions!$C$44/G149,Assumptions!$C$25)</f>
        <v>6134537.000902478</v>
      </c>
      <c r="J149" s="15">
        <f>MAX(0,$D$142*($C$142+Assumptions!$C$7)/D149-Assumptions!$C$26-Assumptions!$C$27)</f>
        <v>589259.878159359</v>
      </c>
      <c r="K149" s="15">
        <f>IF((M148-K148)&lt;=0,0,Assumptions!$C$47/MIN(Assumptions!$C$48/(M148-K148),D149*(1-Assumptions!$C$49)))</f>
        <v>186734.397092384</v>
      </c>
      <c r="L149" s="15">
        <f>IF((M148-L148)&lt;=0,0,Assumptions!$C$50/MIN(Assumptions!$C$51/(M148-L148),D149*(1-Assumptions!$C$52)))</f>
        <v>94622.53985050836</v>
      </c>
      <c r="M149" s="15">
        <f>Assumptions!$C$28+(H149-Assumptions!$C$24)+(I149-Assumptions!$C$25)+J149+K149+L149</f>
        <v>37533797.267404385</v>
      </c>
      <c r="N149" s="14">
        <f>$C$142/M149</f>
        <v>37.2997165734629</v>
      </c>
    </row>
    <row r="150" spans="2:14" x14ac:dyDescent="0.25">
      <c r="B150" s="15">
        <v>7</v>
      </c>
      <c r="D150" s="14">
        <f>N149</f>
        <v>37.2997165734629</v>
      </c>
      <c r="E150" s="15">
        <f>Assumptions!$C$28+Assumptions!$C$7/D150</f>
        <v>37422256.65573009</v>
      </c>
      <c r="F150" s="14">
        <f>IF(D150&lt;Assumptions!$C$35,(Assumptions!$C$35*Assumptions!$C$28+Assumptions!$C$7)/E150,Assumptions!$C$35)</f>
        <v>57.670903806919604</v>
      </c>
      <c r="G150" s="14">
        <f>IF(D150&lt;Assumptions!$C$36,(Assumptions!$C$36*Assumptions!$C$28+Assumptions!$C$7)/E150,Assumptions!$C$36)</f>
        <v>48.90344085499317</v>
      </c>
      <c r="H150" s="15">
        <f>IF(D150&lt;Assumptions!$C$35,Assumptions!$C$43/F150,Assumptions!$C$24)</f>
        <v>1733976.6398459247</v>
      </c>
      <c r="I150" s="15">
        <f>IF(D150&lt;Assumptions!$C$36,Assumptions!$C$44/G150,Assumptions!$C$25)</f>
        <v>6134537.667595821</v>
      </c>
      <c r="J150" s="15">
        <f>MAX(0,$D$142*($C$142+Assumptions!$C$7)/D150-Assumptions!$C$26-Assumptions!$C$27)</f>
        <v>589285.080007483</v>
      </c>
      <c r="K150" s="15">
        <f>IF((M149-K149)&lt;=0,0,Assumptions!$C$47/MIN(Assumptions!$C$48/(M149-K149),D150*(1-Assumptions!$C$49)))</f>
        <v>186735.31435155997</v>
      </c>
      <c r="L150" s="15">
        <f>IF((M149-L149)&lt;=0,0,Assumptions!$C$50/MIN(Assumptions!$C$51/(M149-L149),D150*(1-Assumptions!$C$52)))</f>
        <v>94623.01832118754</v>
      </c>
      <c r="M150" s="15">
        <f>Assumptions!$C$28+(H150-Assumptions!$C$24)+(I150-Assumptions!$C$25)+J150+K150+L150</f>
        <v>37533824.720121965</v>
      </c>
      <c r="N150" s="14">
        <f>$C$142/M150</f>
        <v>37.29968929197501</v>
      </c>
    </row>
    <row r="151" spans="2:14" x14ac:dyDescent="0.25">
      <c r="B151" s="15">
        <v>8</v>
      </c>
      <c r="D151" s="14">
        <f>N150</f>
        <v>37.29968929197501</v>
      </c>
      <c r="E151" s="15">
        <f>Assumptions!$C$28+Assumptions!$C$7/D151</f>
        <v>37422257.24400261</v>
      </c>
      <c r="F151" s="14">
        <f>IF(D151&lt;Assumptions!$C$35,(Assumptions!$C$35*Assumptions!$C$28+Assumptions!$C$7)/E151,Assumptions!$C$35)</f>
        <v>57.67090290034126</v>
      </c>
      <c r="G151" s="14">
        <f>IF(D151&lt;Assumptions!$C$36,(Assumptions!$C$36*Assumptions!$C$28+Assumptions!$C$7)/E151,Assumptions!$C$36)</f>
        <v>48.90344008623809</v>
      </c>
      <c r="H151" s="15">
        <f>IF(D151&lt;Assumptions!$C$35,Assumptions!$C$43/F151,Assumptions!$C$24)</f>
        <v>1733976.6671037895</v>
      </c>
      <c r="I151" s="15">
        <f>IF(D151&lt;Assumptions!$C$36,Assumptions!$C$44/G151,Assumptions!$C$25)</f>
        <v>6134537.764029875</v>
      </c>
      <c r="J151" s="15">
        <f>MAX(0,$D$142*($C$142+Assumptions!$C$7)/D151-Assumptions!$C$26-Assumptions!$C$27)</f>
        <v>589288.725336195</v>
      </c>
      <c r="K151" s="15">
        <f>IF((M150-K150)&lt;=0,0,Assumptions!$C$47/MIN(Assumptions!$C$48/(M150-K150),D151*(1-Assumptions!$C$49)))</f>
        <v>186735.44702885204</v>
      </c>
      <c r="L151" s="15">
        <f>IF((M150-L150)&lt;=0,0,Assumptions!$C$50/MIN(Assumptions!$C$51/(M150-L150),D151*(1-Assumptions!$C$52)))</f>
        <v>94623.08752971923</v>
      </c>
      <c r="M151" s="15">
        <f>Assumptions!$C$28+(H151-Assumptions!$C$24)+(I151-Assumptions!$C$25)+J151+K151+L151</f>
        <v>37533828.69102843</v>
      </c>
      <c r="N151" s="14">
        <f>$C$142/M151</f>
        <v>37.299685345839414</v>
      </c>
    </row>
    <row r="152" spans="2:14" x14ac:dyDescent="0.25">
      <c r="B152" s="15">
        <v>9</v>
      </c>
      <c r="D152" s="14">
        <f>N151</f>
        <v>37.299685345839414</v>
      </c>
      <c r="E152" s="15">
        <f>Assumptions!$C$28+Assumptions!$C$7/D152</f>
        <v>37422257.32909346</v>
      </c>
      <c r="F152" s="14">
        <f>IF(D152&lt;Assumptions!$C$35,(Assumptions!$C$35*Assumptions!$C$28+Assumptions!$C$7)/E152,Assumptions!$C$35)</f>
        <v>57.67090276920898</v>
      </c>
      <c r="G152" s="14">
        <f>IF(D152&lt;Assumptions!$C$36,(Assumptions!$C$36*Assumptions!$C$28+Assumptions!$C$7)/E152,Assumptions!$C$36)</f>
        <v>48.90343997504129</v>
      </c>
      <c r="H152" s="15">
        <f>IF(D152&lt;Assumptions!$C$35,Assumptions!$C$43/F152,Assumptions!$C$24)</f>
        <v>1733976.671046511</v>
      </c>
      <c r="I152" s="15">
        <f>IF(D152&lt;Assumptions!$C$36,Assumptions!$C$44/G152,Assumptions!$C$25)</f>
        <v>6134537.777978607</v>
      </c>
      <c r="J152" s="15">
        <f>MAX(0,$D$142*($C$142+Assumptions!$C$7)/D152-Assumptions!$C$26-Assumptions!$C$27)</f>
        <v>589289.252615846</v>
      </c>
      <c r="K152" s="15">
        <f>IF((M151-K151)&lt;=0,0,Assumptions!$C$47/MIN(Assumptions!$C$48/(M151-K151),D152*(1-Assumptions!$C$49)))</f>
        <v>186735.4662199979</v>
      </c>
      <c r="L152" s="15">
        <f>IF((M151-L151)&lt;=0,0,Assumptions!$C$50/MIN(Assumptions!$C$51/(M151-L151),D152*(1-Assumptions!$C$52)))</f>
        <v>94623.0975404078</v>
      </c>
      <c r="M152" s="15">
        <f>Assumptions!$C$28+(H152-Assumptions!$C$24)+(I152-Assumptions!$C$25)+J152+K152+L152</f>
        <v>37533829.26540136</v>
      </c>
      <c r="N152" s="14">
        <f>$C$142/M152</f>
        <v>37.29968477504954</v>
      </c>
    </row>
    <row r="153" spans="2:14" x14ac:dyDescent="0.25">
      <c r="B153" s="15">
        <v>10</v>
      </c>
      <c r="D153" s="14">
        <f>N152</f>
        <v>37.29968477504954</v>
      </c>
      <c r="E153" s="15">
        <f>Assumptions!$C$28+Assumptions!$C$7/D153</f>
        <v>37422257.34140146</v>
      </c>
      <c r="F153" s="14">
        <f>IF(D153&lt;Assumptions!$C$35,(Assumptions!$C$35*Assumptions!$C$28+Assumptions!$C$7)/E153,Assumptions!$C$35)</f>
        <v>57.6709027502413</v>
      </c>
      <c r="G153" s="14">
        <f>IF(D153&lt;Assumptions!$C$36,(Assumptions!$C$36*Assumptions!$C$28+Assumptions!$C$7)/E153,Assumptions!$C$36)</f>
        <v>48.903439958957186</v>
      </c>
      <c r="H153" s="15">
        <f>IF(D153&lt;Assumptions!$C$35,Assumptions!$C$43/F153,Assumptions!$C$24)</f>
        <v>1733976.6716168076</v>
      </c>
      <c r="I153" s="15">
        <f>IF(D153&lt;Assumptions!$C$36,Assumptions!$C$44/G153,Assumptions!$C$25)</f>
        <v>6134537.7799962275</v>
      </c>
      <c r="J153" s="15">
        <f>MAX(0,$D$142*($C$142+Assumptions!$C$7)/D153-Assumptions!$C$26-Assumptions!$C$27)</f>
        <v>589289.328884366</v>
      </c>
      <c r="K153" s="15">
        <f>IF((M152-K152)&lt;=0,0,Assumptions!$C$47/MIN(Assumptions!$C$48/(M152-K152),D153*(1-Assumptions!$C$49)))</f>
        <v>186735.46899590682</v>
      </c>
      <c r="L153" s="15">
        <f>IF((M152-L152)&lt;=0,0,Assumptions!$C$50/MIN(Assumptions!$C$51/(M152-L152),D153*(1-Assumptions!$C$52)))</f>
        <v>94623.09898840678</v>
      </c>
      <c r="M153" s="15">
        <f>Assumptions!$C$28+(H153-Assumptions!$C$24)+(I153-Assumptions!$C$25)+J153+K153+L153</f>
        <v>37533829.34848172</v>
      </c>
      <c r="N153" s="14">
        <f>$C$142/M153</f>
        <v>37.29968469248745</v>
      </c>
    </row>
    <row r="154" spans="2:14" x14ac:dyDescent="0.25">
      <c r="B154" s="15">
        <v>11</v>
      </c>
      <c r="D154" s="14">
        <f>N153</f>
        <v>37.29968469248745</v>
      </c>
      <c r="E154" s="15">
        <f>Assumptions!$C$28+Assumptions!$C$7/D154</f>
        <v>37422257.34318175</v>
      </c>
      <c r="F154" s="14">
        <f>IF(D154&lt;Assumptions!$C$35,(Assumptions!$C$35*Assumptions!$C$28+Assumptions!$C$7)/E154,Assumptions!$C$35)</f>
        <v>57.67090274749772</v>
      </c>
      <c r="G154" s="14">
        <f>IF(D154&lt;Assumptions!$C$36,(Assumptions!$C$36*Assumptions!$C$28+Assumptions!$C$7)/E154,Assumptions!$C$36)</f>
        <v>48.9034399566307</v>
      </c>
      <c r="H154" s="15">
        <f>IF(D154&lt;Assumptions!$C$35,Assumptions!$C$43/F154,Assumptions!$C$24)</f>
        <v>1733976.671699298</v>
      </c>
      <c r="I154" s="15">
        <f>IF(D154&lt;Assumptions!$C$36,Assumptions!$C$44/G154,Assumptions!$C$25)</f>
        <v>6134537.780288066</v>
      </c>
      <c r="J154" s="15">
        <f>MAX(0,$D$142*($C$142+Assumptions!$C$7)/D154-Assumptions!$C$26-Assumptions!$C$27)</f>
        <v>589289.339916252</v>
      </c>
      <c r="K154" s="15">
        <f>IF((M153-K153)&lt;=0,0,Assumptions!$C$47/MIN(Assumptions!$C$48/(M153-K153),D154*(1-Assumptions!$C$49)))</f>
        <v>186735.4693974291</v>
      </c>
      <c r="L154" s="15">
        <f>IF((M153-L153)&lt;=0,0,Assumptions!$C$50/MIN(Assumptions!$C$51/(M153-L153),D154*(1-Assumptions!$C$52)))</f>
        <v>94623.09919785308</v>
      </c>
      <c r="M154" s="15">
        <f>Assumptions!$C$28+(H154-Assumptions!$C$24)+(I154-Assumptions!$C$25)+J154+K154+L154</f>
        <v>37533829.36049889</v>
      </c>
      <c r="N154" s="14">
        <f>$C$142/M154</f>
        <v>37.29968468054525</v>
      </c>
    </row>
    <row r="155" spans="2:14" x14ac:dyDescent="0.25">
      <c r="B155" s="15">
        <v>12</v>
      </c>
      <c r="D155" s="14">
        <f>N154</f>
        <v>37.29968468054525</v>
      </c>
      <c r="E155" s="15">
        <f>Assumptions!$C$28+Assumptions!$C$7/D155</f>
        <v>37422257.34343926</v>
      </c>
      <c r="F155" s="14">
        <f>IF(D155&lt;Assumptions!$C$35,(Assumptions!$C$35*Assumptions!$C$28+Assumptions!$C$7)/E155,Assumptions!$C$35)</f>
        <v>57.670902747100875</v>
      </c>
      <c r="G155" s="14">
        <f>IF(D155&lt;Assumptions!$C$36,(Assumptions!$C$36*Assumptions!$C$28+Assumptions!$C$7)/E155,Assumptions!$C$36)</f>
        <v>48.903439956294186</v>
      </c>
      <c r="H155" s="15">
        <f>IF(D155&lt;Assumptions!$C$35,Assumptions!$C$43/F155,Assumptions!$C$24)</f>
        <v>1733976.67171123</v>
      </c>
      <c r="I155" s="15">
        <f>IF(D155&lt;Assumptions!$C$36,Assumptions!$C$44/G155,Assumptions!$C$25)</f>
        <v>6134537.780330279</v>
      </c>
      <c r="J155" s="15">
        <f>MAX(0,$D$142*($C$142+Assumptions!$C$7)/D155-Assumptions!$C$26-Assumptions!$C$27)</f>
        <v>589289.34151196</v>
      </c>
      <c r="K155" s="15">
        <f>IF((M154-K154)&lt;=0,0,Assumptions!$C$47/MIN(Assumptions!$C$48/(M154-K154),D155*(1-Assumptions!$C$49)))</f>
        <v>186735.4694555073</v>
      </c>
      <c r="L155" s="15">
        <f>IF((M154-L154)&lt;=0,0,Assumptions!$C$50/MIN(Assumptions!$C$51/(M154-L154),D155*(1-Assumptions!$C$52)))</f>
        <v>94623.09922814847</v>
      </c>
      <c r="M155" s="15">
        <f>Assumptions!$C$28+(H155-Assumptions!$C$24)+(I155-Assumptions!$C$25)+J155+K155+L155</f>
        <v>37533829.362237126</v>
      </c>
      <c r="N155" s="14">
        <f>$C$142/M155</f>
        <v>37.29968467881786</v>
      </c>
    </row>
    <row r="156" spans="2:14" x14ac:dyDescent="0.25">
      <c r="B156" s="15">
        <v>13</v>
      </c>
      <c r="D156" s="14">
        <f>N155</f>
        <v>37.29968467881786</v>
      </c>
      <c r="E156" s="15">
        <f>Assumptions!$C$28+Assumptions!$C$7/D156</f>
        <v>37422257.34347651</v>
      </c>
      <c r="F156" s="14">
        <f>IF(D156&lt;Assumptions!$C$35,(Assumptions!$C$35*Assumptions!$C$28+Assumptions!$C$7)/E156,Assumptions!$C$35)</f>
        <v>57.67090274704346</v>
      </c>
      <c r="G156" s="14">
        <f>IF(D156&lt;Assumptions!$C$36,(Assumptions!$C$36*Assumptions!$C$28+Assumptions!$C$7)/E156,Assumptions!$C$36)</f>
        <v>48.903439956245506</v>
      </c>
      <c r="H156" s="15">
        <f>IF(D156&lt;Assumptions!$C$35,Assumptions!$C$43/F156,Assumptions!$C$24)</f>
        <v>1733976.6717129562</v>
      </c>
      <c r="I156" s="15">
        <f>IF(D156&lt;Assumptions!$C$36,Assumptions!$C$44/G156,Assumptions!$C$25)</f>
        <v>6134537.780336386</v>
      </c>
      <c r="J156" s="15">
        <f>MAX(0,$D$142*($C$142+Assumptions!$C$7)/D156-Assumptions!$C$26-Assumptions!$C$27)</f>
        <v>589289.341742773</v>
      </c>
      <c r="K156" s="15">
        <f>IF((M155-K155)&lt;=0,0,Assumptions!$C$47/MIN(Assumptions!$C$48/(M155-K155),D156*(1-Assumptions!$C$49)))</f>
        <v>186735.46946390808</v>
      </c>
      <c r="L156" s="15">
        <f>IF((M155-L155)&lt;=0,0,Assumptions!$C$50/MIN(Assumptions!$C$51/(M155-L155),D156*(1-Assumptions!$C$52)))</f>
        <v>94623.09923253057</v>
      </c>
      <c r="M156" s="15">
        <f>Assumptions!$C$28+(H156-Assumptions!$C$24)+(I156-Assumptions!$C$25)+J156+K156+L156</f>
        <v>37533829.36248856</v>
      </c>
      <c r="N156" s="14">
        <f>$C$142/M156</f>
        <v>37.29968467856799</v>
      </c>
    </row>
    <row r="157" spans="2:14" x14ac:dyDescent="0.25">
      <c r="B157" s="15">
        <v>14</v>
      </c>
      <c r="D157" s="14">
        <f>N156</f>
        <v>37.29968467856799</v>
      </c>
      <c r="E157" s="15">
        <f>Assumptions!$C$28+Assumptions!$C$7/D157</f>
        <v>37422257.3434819</v>
      </c>
      <c r="F157" s="14">
        <f>IF(D157&lt;Assumptions!$C$35,(Assumptions!$C$35*Assumptions!$C$28+Assumptions!$C$7)/E157,Assumptions!$C$35)</f>
        <v>57.67090274703516</v>
      </c>
      <c r="G157" s="14">
        <f>IF(D157&lt;Assumptions!$C$36,(Assumptions!$C$36*Assumptions!$C$28+Assumptions!$C$7)/E157,Assumptions!$C$36)</f>
        <v>48.903439956238465</v>
      </c>
      <c r="H157" s="15">
        <f>IF(D157&lt;Assumptions!$C$35,Assumptions!$C$43/F157,Assumptions!$C$24)</f>
        <v>1733976.6717132058</v>
      </c>
      <c r="I157" s="15">
        <f>IF(D157&lt;Assumptions!$C$36,Assumptions!$C$44/G157,Assumptions!$C$25)</f>
        <v>6134537.7803372685</v>
      </c>
      <c r="J157" s="15">
        <f>MAX(0,$D$142*($C$142+Assumptions!$C$7)/D157-Assumptions!$C$26-Assumptions!$C$27)</f>
        <v>589289.34177616</v>
      </c>
      <c r="K157" s="15">
        <f>IF((M156-K156)&lt;=0,0,Assumptions!$C$47/MIN(Assumptions!$C$48/(M156-K156),D157*(1-Assumptions!$C$49)))</f>
        <v>186735.46946512326</v>
      </c>
      <c r="L157" s="15">
        <f>IF((M156-L156)&lt;=0,0,Assumptions!$C$50/MIN(Assumptions!$C$51/(M156-L156),D157*(1-Assumptions!$C$52)))</f>
        <v>94623.09923316444</v>
      </c>
      <c r="M157" s="15">
        <f>Assumptions!$C$28+(H157-Assumptions!$C$24)+(I157-Assumptions!$C$25)+J157+K157+L157</f>
        <v>37533829.36252492</v>
      </c>
      <c r="N157" s="14">
        <f>$C$142/M157</f>
        <v>37.29968467853186</v>
      </c>
    </row>
    <row r="158" spans="2:14" x14ac:dyDescent="0.25">
      <c r="B158" s="15">
        <v>15</v>
      </c>
      <c r="D158" s="14">
        <f>N157</f>
        <v>37.29968467853186</v>
      </c>
      <c r="E158" s="15">
        <f>Assumptions!$C$28+Assumptions!$C$7/D158</f>
        <v>37422257.34348268</v>
      </c>
      <c r="F158" s="14">
        <f>IF(D158&lt;Assumptions!$C$35,(Assumptions!$C$35*Assumptions!$C$28+Assumptions!$C$7)/E158,Assumptions!$C$35)</f>
        <v>57.670902747033956</v>
      </c>
      <c r="G158" s="14">
        <f>IF(D158&lt;Assumptions!$C$36,(Assumptions!$C$36*Assumptions!$C$28+Assumptions!$C$7)/E158,Assumptions!$C$36)</f>
        <v>48.90343995623744</v>
      </c>
      <c r="H158" s="15">
        <f>IF(D158&lt;Assumptions!$C$35,Assumptions!$C$43/F158,Assumptions!$C$24)</f>
        <v>1733976.6717132418</v>
      </c>
      <c r="I158" s="15">
        <f>IF(D158&lt;Assumptions!$C$36,Assumptions!$C$44/G158,Assumptions!$C$25)</f>
        <v>6134537.780337397</v>
      </c>
      <c r="J158" s="15">
        <f>MAX(0,$D$142*($C$142+Assumptions!$C$7)/D158-Assumptions!$C$26-Assumptions!$C$27)</f>
        <v>589289.341780988</v>
      </c>
      <c r="K158" s="15">
        <f>IF((M157-K157)&lt;=0,0,Assumptions!$C$47/MIN(Assumptions!$C$48/(M157-K157),D158*(1-Assumptions!$C$49)))</f>
        <v>186735.46946529901</v>
      </c>
      <c r="L158" s="15">
        <f>IF((M157-L157)&lt;=0,0,Assumptions!$C$50/MIN(Assumptions!$C$51/(M157-L157),D158*(1-Assumptions!$C$52)))</f>
        <v>94623.0992332561</v>
      </c>
      <c r="M158" s="15">
        <f>Assumptions!$C$28+(H158-Assumptions!$C$24)+(I158-Assumptions!$C$25)+J158+K158+L158</f>
        <v>37533829.36253018</v>
      </c>
      <c r="N158" s="14">
        <f>$C$142/M158</f>
        <v>37.29968467852663</v>
      </c>
    </row>
    <row r="159" spans="2:14" x14ac:dyDescent="0.25">
      <c r="B159" s="15">
        <v>16</v>
      </c>
      <c r="D159" s="14">
        <f>N158</f>
        <v>37.29968467852663</v>
      </c>
      <c r="E159" s="15">
        <f>Assumptions!$C$28+Assumptions!$C$7/D159</f>
        <v>37422257.34348279</v>
      </c>
      <c r="F159" s="14">
        <f>IF(D159&lt;Assumptions!$C$35,(Assumptions!$C$35*Assumptions!$C$28+Assumptions!$C$7)/E159,Assumptions!$C$35)</f>
        <v>57.670902747033786</v>
      </c>
      <c r="G159" s="14">
        <f>IF(D159&lt;Assumptions!$C$36,(Assumptions!$C$36*Assumptions!$C$28+Assumptions!$C$7)/E159,Assumptions!$C$36)</f>
        <v>48.9034399562373</v>
      </c>
      <c r="H159" s="15">
        <f>IF(D159&lt;Assumptions!$C$35,Assumptions!$C$43/F159,Assumptions!$C$24)</f>
        <v>1733976.671713247</v>
      </c>
      <c r="I159" s="15">
        <f>IF(D159&lt;Assumptions!$C$36,Assumptions!$C$44/G159,Assumptions!$C$25)</f>
        <v>6134537.780337415</v>
      </c>
      <c r="J159" s="15">
        <f>MAX(0,$D$142*($C$142+Assumptions!$C$7)/D159-Assumptions!$C$26-Assumptions!$C$27)</f>
        <v>589289.341781686</v>
      </c>
      <c r="K159" s="15">
        <f>IF((M158-K158)&lt;=0,0,Assumptions!$C$47/MIN(Assumptions!$C$48/(M158-K158),D159*(1-Assumptions!$C$49)))</f>
        <v>186735.4694653244</v>
      </c>
      <c r="L159" s="15">
        <f>IF((M158-L158)&lt;=0,0,Assumptions!$C$50/MIN(Assumptions!$C$51/(M158-L158),D159*(1-Assumptions!$C$52)))</f>
        <v>94623.09923326937</v>
      </c>
      <c r="M159" s="15">
        <f>Assumptions!$C$28+(H159-Assumptions!$C$24)+(I159-Assumptions!$C$25)+J159+K159+L159</f>
        <v>37533829.36253095</v>
      </c>
      <c r="N159" s="14">
        <f>$C$142/M159</f>
        <v>37.299684678525864</v>
      </c>
    </row>
    <row r="160" spans="2:14" x14ac:dyDescent="0.25">
      <c r="B160" s="15">
        <v>17</v>
      </c>
      <c r="D160" s="14">
        <f>N159</f>
        <v>37.299684678525864</v>
      </c>
      <c r="E160" s="15">
        <f>Assumptions!$C$28+Assumptions!$C$7/D160</f>
        <v>37422257.34348281</v>
      </c>
      <c r="F160" s="14">
        <f>IF(D160&lt;Assumptions!$C$35,(Assumptions!$C$35*Assumptions!$C$28+Assumptions!$C$7)/E160,Assumptions!$C$35)</f>
        <v>57.67090274703376</v>
      </c>
      <c r="G160" s="14">
        <f>IF(D160&lt;Assumptions!$C$36,(Assumptions!$C$36*Assumptions!$C$28+Assumptions!$C$7)/E160,Assumptions!$C$36)</f>
        <v>48.90343995623727</v>
      </c>
      <c r="H160" s="15">
        <f>IF(D160&lt;Assumptions!$C$35,Assumptions!$C$43/F160,Assumptions!$C$24)</f>
        <v>1733976.671713248</v>
      </c>
      <c r="I160" s="15">
        <f>IF(D160&lt;Assumptions!$C$36,Assumptions!$C$44/G160,Assumptions!$C$25)</f>
        <v>6134537.780337418</v>
      </c>
      <c r="J160" s="15">
        <f>MAX(0,$D$142*($C$142+Assumptions!$C$7)/D160-Assumptions!$C$26-Assumptions!$C$27)</f>
        <v>589289.3417817885</v>
      </c>
      <c r="K160" s="15">
        <f>IF((M159-K159)&lt;=0,0,Assumptions!$C$47/MIN(Assumptions!$C$48/(M159-K159),D160*(1-Assumptions!$C$49)))</f>
        <v>186735.46946532812</v>
      </c>
      <c r="L160" s="15">
        <f>IF((M159-L159)&lt;=0,0,Assumptions!$C$50/MIN(Assumptions!$C$51/(M159-L159),D160*(1-Assumptions!$C$52)))</f>
        <v>94623.0992332713</v>
      </c>
      <c r="M160" s="15">
        <f>Assumptions!$C$28+(H160-Assumptions!$C$24)+(I160-Assumptions!$C$25)+J160+K160+L160</f>
        <v>37533829.36253106</v>
      </c>
      <c r="N160" s="14">
        <f>$C$142/M160</f>
        <v>37.29968467852576</v>
      </c>
    </row>
    <row r="161" spans="2:14" x14ac:dyDescent="0.25">
      <c r="B161" s="15">
        <v>18</v>
      </c>
      <c r="D161" s="14">
        <f>N160</f>
        <v>37.29968467852576</v>
      </c>
      <c r="E161" s="15">
        <f>Assumptions!$C$28+Assumptions!$C$7/D161</f>
        <v>37422257.34348281</v>
      </c>
      <c r="F161" s="14">
        <f>IF(D161&lt;Assumptions!$C$35,(Assumptions!$C$35*Assumptions!$C$28+Assumptions!$C$7)/E161,Assumptions!$C$35)</f>
        <v>57.67090274703376</v>
      </c>
      <c r="G161" s="14">
        <f>IF(D161&lt;Assumptions!$C$36,(Assumptions!$C$36*Assumptions!$C$28+Assumptions!$C$7)/E161,Assumptions!$C$36)</f>
        <v>48.90343995623727</v>
      </c>
      <c r="H161" s="15">
        <f>IF(D161&lt;Assumptions!$C$35,Assumptions!$C$43/F161,Assumptions!$C$24)</f>
        <v>1733976.671713248</v>
      </c>
      <c r="I161" s="15">
        <f>IF(D161&lt;Assumptions!$C$36,Assumptions!$C$44/G161,Assumptions!$C$25)</f>
        <v>6134537.780337418</v>
      </c>
      <c r="J161" s="15">
        <f>MAX(0,$D$142*($C$142+Assumptions!$C$7)/D161-Assumptions!$C$26-Assumptions!$C$27)</f>
        <v>589289.3417818025</v>
      </c>
      <c r="K161" s="15">
        <f>IF((M160-K160)&lt;=0,0,Assumptions!$C$47/MIN(Assumptions!$C$48/(M160-K160),D161*(1-Assumptions!$C$49)))</f>
        <v>186735.46946532864</v>
      </c>
      <c r="L161" s="15">
        <f>IF((M160-L160)&lt;=0,0,Assumptions!$C$50/MIN(Assumptions!$C$51/(M160-L160),D161*(1-Assumptions!$C$52)))</f>
        <v>94623.09923327157</v>
      </c>
      <c r="M161" s="15">
        <f>Assumptions!$C$28+(H161-Assumptions!$C$24)+(I161-Assumptions!$C$25)+J161+K161+L161</f>
        <v>37533829.362531066</v>
      </c>
      <c r="N161" s="14">
        <f>$C$142/M161</f>
        <v>37.29968467852575</v>
      </c>
    </row>
    <row r="162" spans="2:14" x14ac:dyDescent="0.25">
      <c r="B162" s="15">
        <v>19</v>
      </c>
      <c r="D162" s="14">
        <f>N161</f>
        <v>37.29968467852575</v>
      </c>
      <c r="E162" s="15">
        <f>Assumptions!$C$28+Assumptions!$C$7/D162</f>
        <v>37422257.34348281</v>
      </c>
      <c r="F162" s="14">
        <f>IF(D162&lt;Assumptions!$C$35,(Assumptions!$C$35*Assumptions!$C$28+Assumptions!$C$7)/E162,Assumptions!$C$35)</f>
        <v>57.67090274703376</v>
      </c>
      <c r="G162" s="14">
        <f>IF(D162&lt;Assumptions!$C$36,(Assumptions!$C$36*Assumptions!$C$28+Assumptions!$C$7)/E162,Assumptions!$C$36)</f>
        <v>48.90343995623727</v>
      </c>
      <c r="H162" s="15">
        <f>IF(D162&lt;Assumptions!$C$35,Assumptions!$C$43/F162,Assumptions!$C$24)</f>
        <v>1733976.671713248</v>
      </c>
      <c r="I162" s="15">
        <f>IF(D162&lt;Assumptions!$C$36,Assumptions!$C$44/G162,Assumptions!$C$25)</f>
        <v>6134537.780337418</v>
      </c>
      <c r="J162" s="15">
        <f>MAX(0,$D$142*($C$142+Assumptions!$C$7)/D162-Assumptions!$C$26-Assumptions!$C$27)</f>
        <v>589289.341781804</v>
      </c>
      <c r="K162" s="15">
        <f>IF((M161-K161)&lt;=0,0,Assumptions!$C$47/MIN(Assumptions!$C$48/(M161-K161),D162*(1-Assumptions!$C$49)))</f>
        <v>186735.46946532867</v>
      </c>
      <c r="L162" s="15">
        <f>IF((M161-L161)&lt;=0,0,Assumptions!$C$50/MIN(Assumptions!$C$51/(M161-L161),D162*(1-Assumptions!$C$52)))</f>
        <v>94623.0992332716</v>
      </c>
      <c r="M162" s="15">
        <f>Assumptions!$C$28+(H162-Assumptions!$C$24)+(I162-Assumptions!$C$25)+J162+K162+L162</f>
        <v>37533829.362531066</v>
      </c>
      <c r="N162" s="14">
        <f>$C$142/M162</f>
        <v>37.29968467852575</v>
      </c>
    </row>
    <row r="163" spans="2:14" x14ac:dyDescent="0.25">
      <c r="B163" s="15">
        <v>20</v>
      </c>
      <c r="D163" s="14">
        <f>N162</f>
        <v>37.29968467852575</v>
      </c>
      <c r="E163" s="15">
        <f>Assumptions!$C$28+Assumptions!$C$7/D163</f>
        <v>37422257.34348281</v>
      </c>
      <c r="F163" s="14">
        <f>IF(D163&lt;Assumptions!$C$35,(Assumptions!$C$35*Assumptions!$C$28+Assumptions!$C$7)/E163,Assumptions!$C$35)</f>
        <v>57.67090274703376</v>
      </c>
      <c r="G163" s="14">
        <f>IF(D163&lt;Assumptions!$C$36,(Assumptions!$C$36*Assumptions!$C$28+Assumptions!$C$7)/E163,Assumptions!$C$36)</f>
        <v>48.90343995623727</v>
      </c>
      <c r="H163" s="15">
        <f>IF(D163&lt;Assumptions!$C$35,Assumptions!$C$43/F163,Assumptions!$C$24)</f>
        <v>1733976.671713248</v>
      </c>
      <c r="I163" s="15">
        <f>IF(D163&lt;Assumptions!$C$36,Assumptions!$C$44/G163,Assumptions!$C$25)</f>
        <v>6134537.780337418</v>
      </c>
      <c r="J163" s="15">
        <f>MAX(0,$D$142*($C$142+Assumptions!$C$7)/D163-Assumptions!$C$26-Assumptions!$C$27)</f>
        <v>589289.341781804</v>
      </c>
      <c r="K163" s="15">
        <f>IF((M162-K162)&lt;=0,0,Assumptions!$C$47/MIN(Assumptions!$C$48/(M162-K162),D163*(1-Assumptions!$C$49)))</f>
        <v>186735.46946532867</v>
      </c>
      <c r="L163" s="15">
        <f>IF((M162-L162)&lt;=0,0,Assumptions!$C$50/MIN(Assumptions!$C$51/(M162-L162),D163*(1-Assumptions!$C$52)))</f>
        <v>94623.0992332716</v>
      </c>
      <c r="M163" s="15">
        <f>Assumptions!$C$28+(H163-Assumptions!$C$24)+(I163-Assumptions!$C$25)+J163+K163+L163</f>
        <v>37533829.362531066</v>
      </c>
      <c r="N163" s="14">
        <f>$C$142/M163</f>
        <v>37.29968467852575</v>
      </c>
    </row>
    <row r="164" spans="2:12" x14ac:dyDescent="0.25">
      <c r="B164" s="10" t="s">
        <v>181</v>
      </c>
      <c r="D164" s="13">
        <f>N163</f>
        <v>37.29968467852575</v>
      </c>
      <c r="E164" s="11">
        <f>$E$142/D164</f>
        <v>38338125.70601387</v>
      </c>
      <c r="H164" s="11">
        <f>H163</f>
        <v>1733976.671713248</v>
      </c>
      <c r="I164" s="11">
        <f>I163</f>
        <v>6134537.780337418</v>
      </c>
      <c r="J164" s="11">
        <f>J163</f>
        <v>589289.341781804</v>
      </c>
      <c r="K164" s="11">
        <f>K163</f>
        <v>186735.46946532867</v>
      </c>
      <c r="L164" s="11">
        <f>L163</f>
        <v>94623.0992332716</v>
      </c>
    </row>
    <row r="165" spans="2:3" x14ac:dyDescent="0.25">
      <c r="B165" s="24" t="s">
        <v>182</v>
      </c>
      <c r="C165" s="15">
        <f>Assumptions!$C$16+Assumptions!$C$17+Assumptions!$C$18+Assumptions!$C$19+Assumptions!$C$20+Assumptions!$C$21+Assumptions!$C$22+Assumptions!$C$23+$H$164+$I$164+(Assumptions!$C$7/$D$164)+$K$164+$L$164+Assumptions!$C$26</f>
        <v>35854169.36423208</v>
      </c>
    </row>
    <row r="166" spans="2:3" x14ac:dyDescent="0.25">
      <c r="B166" s="24" t="s">
        <v>183</v>
      </c>
      <c r="C166" s="14">
        <f>Assumptions!$C$57+Assumptions!$C$26*Assumptions!$C$13</f>
        <v>2002500000</v>
      </c>
    </row>
    <row r="167" spans="2:3" x14ac:dyDescent="0.25">
      <c r="B167" s="24" t="s">
        <v>184</v>
      </c>
      <c r="C167" s="14">
        <f>$C$166/$C$165</f>
        <v>55.85124507158944</v>
      </c>
    </row>
    <row r="168" spans="2:10" x14ac:dyDescent="0.25">
      <c r="B168" s="24" t="s">
        <v>185</v>
      </c>
      <c r="D168" s="15" t="str">
        <f>IF(Assumptions!$C$7&gt;(Assumptions!$C$7/$D$164)*$C$167,"preference","convert")</f>
        <v>convert</v>
      </c>
      <c r="E168" s="15" t="str">
        <f>IF(Assumptions!$C$44&gt;$I$164*$C$167,"preference","convert")</f>
        <v>convert</v>
      </c>
      <c r="F168" s="15" t="str">
        <f>IF(Assumptions!$C$43&gt;$H$164*$C$167,"preference","convert")</f>
        <v>preference</v>
      </c>
      <c r="G168" s="15" t="str">
        <f>IF(Assumptions!$C$42&gt;Assumptions!$C$23*$C$167,"preference","convert")</f>
        <v>convert</v>
      </c>
      <c r="H168" s="15" t="str">
        <f>IF(Assumptions!$C$41&gt;Assumptions!$C$22*$C$167,"preference","convert")</f>
        <v>convert</v>
      </c>
      <c r="I168" s="15" t="str">
        <f>IF(Assumptions!$C$40&gt;Assumptions!$C$21*$C$167,"preference","convert")</f>
        <v>convert</v>
      </c>
      <c r="J168" s="15" t="str">
        <f>IF(Assumptions!$C$39&gt;Assumptions!$C$20*$C$167,"preference","convert")</f>
        <v>convert</v>
      </c>
    </row>
    <row r="169" spans="2:3" x14ac:dyDescent="0.25">
      <c r="B169" s="24" t="s">
        <v>186</v>
      </c>
      <c r="C169" s="14">
        <f>($C$166-(IF($D$168="preference",Assumptions!$C$7,0)+IF($E$168="preference",Assumptions!$C$44,0)+IF($F$168="preference",Assumptions!$C$43,0)+IF($G$168="preference",Assumptions!$C$42,0)+IF($H$168="preference",Assumptions!$C$41,0)+IF($I$168="preference",Assumptions!$C$40,0)+IF($J$168="preference",Assumptions!$C$39,0)))/($C$165-(IF($D$168="preference",Assumptions!$C$7/$D$164,0)+IF($E$168="preference",$I$164,0)+IF($F$168="preference",$H$164,0)+IF($G$168="preference",Assumptions!$C$23,0)+IF($H$168="preference",Assumptions!$C$22,0)+IF($I$168="preference",Assumptions!$C$21,0)+IF($J$168="preference",Assumptions!$C$20,0)))</f>
        <v>55.75877068294344</v>
      </c>
    </row>
    <row r="170" spans="2:10" x14ac:dyDescent="0.25">
      <c r="B170" s="24" t="s">
        <v>187</v>
      </c>
      <c r="D170" s="15" t="str">
        <f>IF(Assumptions!$C$7&gt;(Assumptions!$C$7/$D$164)*$C$169,"preference","convert")</f>
        <v>convert</v>
      </c>
      <c r="E170" s="15" t="str">
        <f>IF(Assumptions!$C$44&gt;$I$164*$C$169,"preference","convert")</f>
        <v>convert</v>
      </c>
      <c r="F170" s="15" t="str">
        <f>IF(Assumptions!$C$43&gt;$H$164*$C$169,"preference","convert")</f>
        <v>preference</v>
      </c>
      <c r="G170" s="15" t="str">
        <f>IF(Assumptions!$C$42&gt;Assumptions!$C$23*$C$169,"preference","convert")</f>
        <v>convert</v>
      </c>
      <c r="H170" s="15" t="str">
        <f>IF(Assumptions!$C$41&gt;Assumptions!$C$22*$C$169,"preference","convert")</f>
        <v>convert</v>
      </c>
      <c r="I170" s="15" t="str">
        <f>IF(Assumptions!$C$40&gt;Assumptions!$C$21*$C$169,"preference","convert")</f>
        <v>convert</v>
      </c>
      <c r="J170" s="15" t="str">
        <f>IF(Assumptions!$C$39&gt;Assumptions!$C$20*$C$169,"preference","convert")</f>
        <v>convert</v>
      </c>
    </row>
    <row r="171" spans="2:3" x14ac:dyDescent="0.25">
      <c r="B171" s="10" t="s">
        <v>188</v>
      </c>
      <c r="C171" s="27">
        <f>($C$166-(IF($D$170="preference",Assumptions!$C$7,0)+IF($E$170="preference",Assumptions!$C$44,0)+IF($F$170="preference",Assumptions!$C$43,0)+IF($G$170="preference",Assumptions!$C$42,0)+IF($H$170="preference",Assumptions!$C$41,0)+IF($I$170="preference",Assumptions!$C$40,0)+IF($J$170="preference",Assumptions!$C$39,0)))/($C$165-(IF($D$170="preference",Assumptions!$C$7/$D$164,0)+IF($E$170="preference",$I$164,0)+IF($F$170="preference",$H$164,0)+IF($G$170="preference",Assumptions!$C$23,0)+IF($H$170="preference",Assumptions!$C$22,0)+IF($I$170="preference",Assumptions!$C$21,0)+IF($J$170="preference",Assumptions!$C$20,0)))</f>
        <v>55.75877068294344</v>
      </c>
    </row>
    <row r="172" spans="2:3" x14ac:dyDescent="0.25">
      <c r="B172" s="10" t="s">
        <v>189</v>
      </c>
      <c r="C172" s="13">
        <f>IF($D$170="preference",Assumptions!$C$11,(Assumptions!$C$11/$D$164)*$C$171)</f>
        <v>14948858.459129278</v>
      </c>
    </row>
    <row r="173" spans="2:3" x14ac:dyDescent="0.25">
      <c r="B173" s="10" t="s">
        <v>190</v>
      </c>
      <c r="C173" s="21">
        <f>(Assumptions!$C$11/$D$164)/$E$164</f>
        <v>0.006993006993006994</v>
      </c>
    </row>
    <row r="175" spans="2:14" x14ac:dyDescent="0.25">
      <c r="B175" s="3" t="s">
        <v>195</v>
      </c>
      <c r="C175" s="4" t="s">
        <v>3</v>
      </c>
      <c r="D175" s="4" t="s">
        <v>3</v>
      </c>
      <c r="E175" s="4" t="s">
        <v>3</v>
      </c>
      <c r="F175" s="4" t="s">
        <v>3</v>
      </c>
      <c r="G175" s="4" t="s">
        <v>3</v>
      </c>
      <c r="H175" s="4" t="s">
        <v>3</v>
      </c>
      <c r="I175" s="4" t="s">
        <v>3</v>
      </c>
      <c r="J175" s="4" t="s">
        <v>3</v>
      </c>
      <c r="K175" s="4" t="s">
        <v>3</v>
      </c>
      <c r="L175" s="4" t="s">
        <v>3</v>
      </c>
      <c r="M175" s="4" t="s">
        <v>3</v>
      </c>
      <c r="N175" s="4" t="s">
        <v>3</v>
      </c>
    </row>
    <row r="176" spans="2:5" x14ac:dyDescent="0.25">
      <c r="B176" s="24" t="s">
        <v>168</v>
      </c>
      <c r="C176" s="20">
        <f>Assumptions!$C$67</f>
        <v>1800000000</v>
      </c>
      <c r="D176" s="25">
        <f>Assumptions!$C$63</f>
        <v>0.13</v>
      </c>
      <c r="E176" s="14">
        <f>C176+Assumptions!$C$7</f>
        <v>1830000000</v>
      </c>
    </row>
    <row r="177" spans="2:14" x14ac:dyDescent="0.25">
      <c r="B177" s="16" t="s">
        <v>169</v>
      </c>
      <c r="D177" s="16" t="s">
        <v>170</v>
      </c>
      <c r="E177" s="16" t="s">
        <v>171</v>
      </c>
      <c r="F177" s="16" t="s">
        <v>172</v>
      </c>
      <c r="G177" s="16" t="s">
        <v>173</v>
      </c>
      <c r="H177" s="16" t="s">
        <v>174</v>
      </c>
      <c r="I177" s="16" t="s">
        <v>175</v>
      </c>
      <c r="J177" s="16" t="s">
        <v>176</v>
      </c>
      <c r="K177" s="16" t="s">
        <v>177</v>
      </c>
      <c r="L177" s="16" t="s">
        <v>178</v>
      </c>
      <c r="M177" s="16" t="s">
        <v>179</v>
      </c>
      <c r="N177" s="16" t="s">
        <v>180</v>
      </c>
    </row>
    <row r="178" spans="2:14" x14ac:dyDescent="0.25">
      <c r="B178" s="15">
        <v>1</v>
      </c>
      <c r="D178" s="14">
        <f>($C$176+Assumptions!$C$7)/Assumptions!$C$28</f>
        <v>49.97547515002269</v>
      </c>
      <c r="E178" s="15">
        <f>Assumptions!$C$28+Assumptions!$C$7/D178</f>
        <v>37218255.44262295</v>
      </c>
      <c r="F178" s="14">
        <f>IF(D178&lt;Assumptions!$C$35,(Assumptions!$C$35*Assumptions!$C$28+Assumptions!$C$7)/E178,Assumptions!$C$35)</f>
        <v>57.987010357258434</v>
      </c>
      <c r="G178" s="14">
        <f>IF(D178&lt;Assumptions!$C$36,(Assumptions!$C$36*Assumptions!$C$28+Assumptions!$C$7)/E178,Assumptions!$C$36)</f>
        <v>49.158311</v>
      </c>
      <c r="H178" s="15">
        <f>IF(D178&lt;Assumptions!$C$35,Assumptions!$C$43/F178,Assumptions!$C$24)</f>
        <v>1724524.1543562808</v>
      </c>
      <c r="I178" s="15">
        <f>IF(D178&lt;Assumptions!$C$36,Assumptions!$C$44/G178,Assumptions!$C$25)</f>
        <v>6102667</v>
      </c>
      <c r="J178" s="15">
        <f>MAX(0,$D$176*($C$176+Assumptions!$C$7)/D178-Assumptions!$C$26-Assumptions!$C$27)</f>
        <v>365667.93</v>
      </c>
      <c r="K178" s="15">
        <v>0</v>
      </c>
      <c r="L178" s="15">
        <v>0</v>
      </c>
      <c r="M178" s="15">
        <f>Assumptions!$C$28+(H178-Assumptions!$C$24)+(I178-Assumptions!$C$25)+J178+K178+L178</f>
        <v>36987526.08435628</v>
      </c>
      <c r="N178" s="14">
        <f>$C$176/M178</f>
        <v>48.665055237671126</v>
      </c>
    </row>
    <row r="179" spans="2:14" x14ac:dyDescent="0.25">
      <c r="B179" s="15">
        <v>2</v>
      </c>
      <c r="D179" s="14">
        <f>N178</f>
        <v>48.665055237671126</v>
      </c>
      <c r="E179" s="15">
        <f>Assumptions!$C$28+Assumptions!$C$7/D179</f>
        <v>37234419.768072605</v>
      </c>
      <c r="F179" s="14">
        <f>IF(D179&lt;Assumptions!$C$35,(Assumptions!$C$35*Assumptions!$C$28+Assumptions!$C$7)/E179,Assumptions!$C$35)</f>
        <v>57.9618368507796</v>
      </c>
      <c r="G179" s="14">
        <f>IF(D179&lt;Assumptions!$C$36,(Assumptions!$C$36*Assumptions!$C$28+Assumptions!$C$7)/E179,Assumptions!$C$36)</f>
        <v>49.15014458189858</v>
      </c>
      <c r="H179" s="15">
        <f>IF(D179&lt;Assumptions!$C$35,Assumptions!$C$43/F179,Assumptions!$C$24)</f>
        <v>1725273.1354502437</v>
      </c>
      <c r="I179" s="15">
        <f>IF(D179&lt;Assumptions!$C$36,Assumptions!$C$44/G179,Assumptions!$C$25)</f>
        <v>6103746.032732658</v>
      </c>
      <c r="J179" s="15">
        <f>MAX(0,$D$176*($C$176+Assumptions!$C$7)/D179-Assumptions!$C$26-Assumptions!$C$27)</f>
        <v>493851.030815755</v>
      </c>
      <c r="K179" s="15">
        <f>IF((M178-K178)&lt;=0,0,Assumptions!$C$47/MIN(Assumptions!$C$48/(M178-K178),D179*(1-Assumptions!$C$49)))</f>
        <v>184937.6304217814</v>
      </c>
      <c r="L179" s="15">
        <f>IF((M178-L178)&lt;=0,0,Assumptions!$C$50/MIN(Assumptions!$C$51/(M178-L178),D179*(1-Assumptions!$C$52)))</f>
        <v>72524.56094971819</v>
      </c>
      <c r="M179" s="15">
        <f>Assumptions!$C$28+(H179-Assumptions!$C$24)+(I179-Assumptions!$C$25)+J179+K179+L179</f>
        <v>37374999.390370145</v>
      </c>
      <c r="N179" s="14">
        <f>$C$176/M179</f>
        <v>48.160535902611386</v>
      </c>
    </row>
    <row r="180" spans="2:14" x14ac:dyDescent="0.25">
      <c r="B180" s="15">
        <v>3</v>
      </c>
      <c r="D180" s="14">
        <f>N179</f>
        <v>48.160535902611386</v>
      </c>
      <c r="E180" s="15">
        <f>Assumptions!$C$28+Assumptions!$C$7/D180</f>
        <v>37240877.656506166</v>
      </c>
      <c r="F180" s="14">
        <f>IF(D180&lt;Assumptions!$C$35,(Assumptions!$C$35*Assumptions!$C$28+Assumptions!$C$7)/E180,Assumptions!$C$35)</f>
        <v>57.95178576983464</v>
      </c>
      <c r="G180" s="14">
        <f>IF(D180&lt;Assumptions!$C$36,(Assumptions!$C$36*Assumptions!$C$28+Assumptions!$C$7)/E180,Assumptions!$C$36)</f>
        <v>49.14162152416801</v>
      </c>
      <c r="H180" s="15">
        <f>IF(D180&lt;Assumptions!$C$35,Assumptions!$C$43/F180,Assumptions!$C$24)</f>
        <v>1725572.3645370824</v>
      </c>
      <c r="I180" s="15">
        <f>IF(D180&lt;Assumptions!$C$36,Assumptions!$C$44/G180,Assumptions!$C$25)</f>
        <v>6104804.658357865</v>
      </c>
      <c r="J180" s="15">
        <f>MAX(0,$D$176*($C$176+Assumptions!$C$7)/D180-Assumptions!$C$26-Assumptions!$C$27)</f>
        <v>545062.08609392</v>
      </c>
      <c r="K180" s="15">
        <f>IF((M179-K179)&lt;=0,0,Assumptions!$C$47/MIN(Assumptions!$C$48/(M179-K179),D180*(1-Assumptions!$C$49)))</f>
        <v>185950.30879974185</v>
      </c>
      <c r="L180" s="15">
        <f>IF((M179-L179)&lt;=0,0,Assumptions!$C$50/MIN(Assumptions!$C$51/(M179-L179),D180*(1-Assumptions!$C$52)))</f>
        <v>73284.31253013754</v>
      </c>
      <c r="M180" s="15">
        <f>Assumptions!$C$28+(H180-Assumptions!$C$24)+(I180-Assumptions!$C$25)+J180+K180+L180</f>
        <v>37429340.73031875</v>
      </c>
      <c r="N180" s="14">
        <f>$C$176/M180</f>
        <v>48.09061460550794</v>
      </c>
    </row>
    <row r="181" spans="2:14" x14ac:dyDescent="0.25">
      <c r="B181" s="15">
        <v>4</v>
      </c>
      <c r="D181" s="14">
        <f>N180</f>
        <v>48.09061460550794</v>
      </c>
      <c r="E181" s="15">
        <f>Assumptions!$C$28+Assumptions!$C$7/D181</f>
        <v>37241783.34550531</v>
      </c>
      <c r="F181" s="14">
        <f>IF(D181&lt;Assumptions!$C$35,(Assumptions!$C$35*Assumptions!$C$28+Assumptions!$C$7)/E181,Assumptions!$C$35)</f>
        <v>57.950376430911064</v>
      </c>
      <c r="G181" s="14">
        <f>IF(D181&lt;Assumptions!$C$36,(Assumptions!$C$36*Assumptions!$C$28+Assumptions!$C$7)/E181,Assumptions!$C$36)</f>
        <v>49.14042644106467</v>
      </c>
      <c r="H181" s="15">
        <f>IF(D181&lt;Assumptions!$C$35,Assumptions!$C$43/F181,Assumptions!$C$24)</f>
        <v>1725614.3300332287</v>
      </c>
      <c r="I181" s="15">
        <f>IF(D181&lt;Assumptions!$C$36,Assumptions!$C$44/G181,Assumptions!$C$25)</f>
        <v>6104953.1257079635</v>
      </c>
      <c r="J181" s="15">
        <f>MAX(0,$D$176*($C$176+Assumptions!$C$7)/D181-Assumptions!$C$26-Assumptions!$C$27)</f>
        <v>552244.199857128</v>
      </c>
      <c r="K181" s="15">
        <f>IF((M180-K180)&lt;=0,0,Assumptions!$C$47/MIN(Assumptions!$C$48/(M180-K180),D181*(1-Assumptions!$C$49)))</f>
        <v>186216.95210759505</v>
      </c>
      <c r="L181" s="15">
        <f>IF((M180-L180)&lt;=0,0,Assumptions!$C$50/MIN(Assumptions!$C$51/(M180-L180),D181*(1-Assumptions!$C$52)))</f>
        <v>73390.86417709559</v>
      </c>
      <c r="M181" s="15">
        <f>Assumptions!$C$28+(H181-Assumptions!$C$24)+(I181-Assumptions!$C$25)+J181+K181+L181</f>
        <v>37437086.47188303</v>
      </c>
      <c r="N181" s="14">
        <f>$C$176/M181</f>
        <v>48.08066464659002</v>
      </c>
    </row>
    <row r="182" spans="2:14" x14ac:dyDescent="0.25">
      <c r="B182" s="15">
        <v>5</v>
      </c>
      <c r="D182" s="14">
        <f>N181</f>
        <v>48.08066464659002</v>
      </c>
      <c r="E182" s="15">
        <f>Assumptions!$C$28+Assumptions!$C$7/D182</f>
        <v>37241912.44119805</v>
      </c>
      <c r="F182" s="14">
        <f>IF(D182&lt;Assumptions!$C$35,(Assumptions!$C$35*Assumptions!$C$28+Assumptions!$C$7)/E182,Assumptions!$C$35)</f>
        <v>57.95017555121667</v>
      </c>
      <c r="G182" s="14">
        <f>IF(D182&lt;Assumptions!$C$36,(Assumptions!$C$36*Assumptions!$C$28+Assumptions!$C$7)/E182,Assumptions!$C$36)</f>
        <v>49.140256100258384</v>
      </c>
      <c r="H182" s="15">
        <f>IF(D182&lt;Assumptions!$C$35,Assumptions!$C$43/F182,Assumptions!$C$24)</f>
        <v>1725620.3117386498</v>
      </c>
      <c r="I182" s="15">
        <f>IF(D182&lt;Assumptions!$C$36,Assumptions!$C$44/G182,Assumptions!$C$25)</f>
        <v>6104974.288044514</v>
      </c>
      <c r="J182" s="15">
        <f>MAX(0,$D$176*($C$176+Assumptions!$C$7)/D182-Assumptions!$C$26-Assumptions!$C$27)</f>
        <v>553267.928700541</v>
      </c>
      <c r="K182" s="15">
        <f>IF((M181-K181)&lt;=0,0,Assumptions!$C$47/MIN(Assumptions!$C$48/(M181-K181),D182*(1-Assumptions!$C$49)))</f>
        <v>186254.34759887718</v>
      </c>
      <c r="L182" s="15">
        <f>IF((M181-L181)&lt;=0,0,Assumptions!$C$50/MIN(Assumptions!$C$51/(M181-L181),D182*(1-Assumptions!$C$52)))</f>
        <v>73406.051905653</v>
      </c>
      <c r="M182" s="15">
        <f>Assumptions!$C$28+(H182-Assumptions!$C$24)+(I182-Assumptions!$C$25)+J182+K182+L182</f>
        <v>37438189.92798824</v>
      </c>
      <c r="N182" s="14">
        <f>$C$176/M182</f>
        <v>48.07924751336192</v>
      </c>
    </row>
    <row r="183" spans="2:14" x14ac:dyDescent="0.25">
      <c r="B183" s="15">
        <v>6</v>
      </c>
      <c r="D183" s="14">
        <f>N182</f>
        <v>48.07924751336192</v>
      </c>
      <c r="E183" s="15">
        <f>Assumptions!$C$28+Assumptions!$C$7/D183</f>
        <v>37241930.83213314</v>
      </c>
      <c r="F183" s="14">
        <f>IF(D183&lt;Assumptions!$C$35,(Assumptions!$C$35*Assumptions!$C$28+Assumptions!$C$7)/E183,Assumptions!$C$35)</f>
        <v>57.95014693406677</v>
      </c>
      <c r="G183" s="14">
        <f>IF(D183&lt;Assumptions!$C$36,(Assumptions!$C$36*Assumptions!$C$28+Assumptions!$C$7)/E183,Assumptions!$C$36)</f>
        <v>49.140231833652436</v>
      </c>
      <c r="H183" s="15">
        <f>IF(D183&lt;Assumptions!$C$35,Assumptions!$C$43/F183,Assumptions!$C$24)</f>
        <v>1725621.163890676</v>
      </c>
      <c r="I183" s="15">
        <f>IF(D183&lt;Assumptions!$C$36,Assumptions!$C$44/G183,Assumptions!$C$25)</f>
        <v>6104977.302824864</v>
      </c>
      <c r="J183" s="15">
        <f>MAX(0,$D$176*($C$176+Assumptions!$C$7)/D183-Assumptions!$C$26-Assumptions!$C$27)</f>
        <v>553413.768815779</v>
      </c>
      <c r="K183" s="15">
        <f>IF((M182-K182)&lt;=0,0,Assumptions!$C$47/MIN(Assumptions!$C$48/(M182-K182),D183*(1-Assumptions!$C$49)))</f>
        <v>186259.67790194682</v>
      </c>
      <c r="L183" s="15">
        <f>IF((M182-L182)&lt;=0,0,Assumptions!$C$50/MIN(Assumptions!$C$51/(M182-L182),D183*(1-Assumptions!$C$52)))</f>
        <v>73408.21554507499</v>
      </c>
      <c r="M183" s="15">
        <f>Assumptions!$C$28+(H183-Assumptions!$C$24)+(I183-Assumptions!$C$25)+J183+K183+L183</f>
        <v>37438347.12897834</v>
      </c>
      <c r="N183" s="14">
        <f>$C$176/M183</f>
        <v>48.079045631978474</v>
      </c>
    </row>
    <row r="184" spans="2:14" x14ac:dyDescent="0.25">
      <c r="B184" s="15">
        <v>7</v>
      </c>
      <c r="D184" s="14">
        <f>N183</f>
        <v>48.079045631978474</v>
      </c>
      <c r="E184" s="15">
        <f>Assumptions!$C$28+Assumptions!$C$7/D184</f>
        <v>37241933.45214964</v>
      </c>
      <c r="F184" s="14">
        <f>IF(D184&lt;Assumptions!$C$35,(Assumptions!$C$35*Assumptions!$C$28+Assumptions!$C$7)/E184,Assumptions!$C$35)</f>
        <v>57.950142857201605</v>
      </c>
      <c r="G184" s="14">
        <f>IF(D184&lt;Assumptions!$C$36,(Assumptions!$C$36*Assumptions!$C$28+Assumptions!$C$7)/E184,Assumptions!$C$36)</f>
        <v>49.14022837657579</v>
      </c>
      <c r="H184" s="15">
        <f>IF(D184&lt;Assumptions!$C$35,Assumptions!$C$43/F184,Assumptions!$C$24)</f>
        <v>1725621.2852902873</v>
      </c>
      <c r="I184" s="15">
        <f>IF(D184&lt;Assumptions!$C$36,Assumptions!$C$44/G184,Assumptions!$C$25)</f>
        <v>6104977.732317668</v>
      </c>
      <c r="J184" s="15">
        <f>MAX(0,$D$176*($C$176+Assumptions!$C$7)/D184-Assumptions!$C$26-Assumptions!$C$27)</f>
        <v>553434.545546638</v>
      </c>
      <c r="K184" s="15">
        <f>IF((M183-K183)&lt;=0,0,Assumptions!$C$47/MIN(Assumptions!$C$48/(M183-K183),D184*(1-Assumptions!$C$49)))</f>
        <v>186260.43725538198</v>
      </c>
      <c r="L184" s="15">
        <f>IF((M183-L183)&lt;=0,0,Assumptions!$C$50/MIN(Assumptions!$C$51/(M183-L183),D184*(1-Assumptions!$C$52)))</f>
        <v>73408.52378231048</v>
      </c>
      <c r="M184" s="15">
        <f>Assumptions!$C$28+(H184-Assumptions!$C$24)+(I184-Assumptions!$C$25)+J184+K184+L184</f>
        <v>37438369.52419229</v>
      </c>
      <c r="N184" s="14">
        <f>$C$176/M184</f>
        <v>48.07901687163108</v>
      </c>
    </row>
    <row r="185" spans="2:14" x14ac:dyDescent="0.25">
      <c r="B185" s="15">
        <v>8</v>
      </c>
      <c r="D185" s="14">
        <f>N184</f>
        <v>48.07901687163108</v>
      </c>
      <c r="E185" s="15">
        <f>Assumptions!$C$28+Assumptions!$C$7/D185</f>
        <v>37241933.825403206</v>
      </c>
      <c r="F185" s="14">
        <f>IF(D185&lt;Assumptions!$C$35,(Assumptions!$C$35*Assumptions!$C$28+Assumptions!$C$7)/E185,Assumptions!$C$35)</f>
        <v>57.95014227640208</v>
      </c>
      <c r="G185" s="14">
        <f>IF(D185&lt;Assumptions!$C$36,(Assumptions!$C$36*Assumptions!$C$28+Assumptions!$C$7)/E185,Assumptions!$C$36)</f>
        <v>49.14022788407276</v>
      </c>
      <c r="H185" s="15">
        <f>IF(D185&lt;Assumptions!$C$35,Assumptions!$C$43/F185,Assumptions!$C$24)</f>
        <v>1725621.3025851548</v>
      </c>
      <c r="I185" s="15">
        <f>IF(D185&lt;Assumptions!$C$36,Assumptions!$C$44/G185,Assumptions!$C$25)</f>
        <v>6104977.793504198</v>
      </c>
      <c r="J185" s="15">
        <f>MAX(0,$D$176*($C$176+Assumptions!$C$7)/D185-Assumptions!$C$26-Assumptions!$C$27)</f>
        <v>553437.505447415</v>
      </c>
      <c r="K185" s="15">
        <f>IF((M184-K184)&lt;=0,0,Assumptions!$C$47/MIN(Assumptions!$C$48/(M184-K184),D185*(1-Assumptions!$C$49)))</f>
        <v>186260.54543468452</v>
      </c>
      <c r="L185" s="15">
        <f>IF((M184-L184)&lt;=0,0,Assumptions!$C$50/MIN(Assumptions!$C$51/(M184-L184),D185*(1-Assumptions!$C$52)))</f>
        <v>73408.56769449469</v>
      </c>
      <c r="M185" s="15">
        <f>Assumptions!$C$28+(H185-Assumptions!$C$24)+(I185-Assumptions!$C$25)+J185+K185+L185</f>
        <v>37438372.71466596</v>
      </c>
      <c r="N185" s="14">
        <f>$C$176/M185</f>
        <v>48.079012774368664</v>
      </c>
    </row>
    <row r="186" spans="2:14" x14ac:dyDescent="0.25">
      <c r="B186" s="15">
        <v>9</v>
      </c>
      <c r="D186" s="14">
        <f>N185</f>
        <v>48.079012774368664</v>
      </c>
      <c r="E186" s="15">
        <f>Assumptions!$C$28+Assumptions!$C$7/D186</f>
        <v>37241933.87857777</v>
      </c>
      <c r="F186" s="14">
        <f>IF(D186&lt;Assumptions!$C$35,(Assumptions!$C$35*Assumptions!$C$28+Assumptions!$C$7)/E186,Assumptions!$C$35)</f>
        <v>57.95014219366004</v>
      </c>
      <c r="G186" s="14">
        <f>IF(D186&lt;Assumptions!$C$36,(Assumptions!$C$36*Assumptions!$C$28+Assumptions!$C$7)/E186,Assumptions!$C$36)</f>
        <v>49.14022781390964</v>
      </c>
      <c r="H186" s="15">
        <f>IF(D186&lt;Assumptions!$C$35,Assumptions!$C$43/F186,Assumptions!$C$24)</f>
        <v>1725621.3050490215</v>
      </c>
      <c r="I186" s="15">
        <f>IF(D186&lt;Assumptions!$C$36,Assumptions!$C$44/G186,Assumptions!$C$25)</f>
        <v>6104977.802220973</v>
      </c>
      <c r="J186" s="15">
        <f>MAX(0,$D$176*($C$176+Assumptions!$C$7)/D186-Assumptions!$C$26-Assumptions!$C$27)</f>
        <v>553437.927121685</v>
      </c>
      <c r="K186" s="15">
        <f>IF((M185-K185)&lt;=0,0,Assumptions!$C$47/MIN(Assumptions!$C$48/(M185-K185),D186*(1-Assumptions!$C$49)))</f>
        <v>186260.56084615635</v>
      </c>
      <c r="L186" s="15">
        <f>IF((M185-L185)&lt;=0,0,Assumptions!$C$50/MIN(Assumptions!$C$51/(M185-L185),D186*(1-Assumptions!$C$52)))</f>
        <v>73408.5739503254</v>
      </c>
      <c r="M186" s="15">
        <f>Assumptions!$C$28+(H186-Assumptions!$C$24)+(I186-Assumptions!$C$25)+J186+K186+L186</f>
        <v>37438373.169188164</v>
      </c>
      <c r="N186" s="14">
        <f>$C$176/M186</f>
        <v>48.07901219066331</v>
      </c>
    </row>
    <row r="187" spans="2:14" x14ac:dyDescent="0.25">
      <c r="B187" s="15">
        <v>10</v>
      </c>
      <c r="D187" s="14">
        <f>N186</f>
        <v>48.07901219066331</v>
      </c>
      <c r="E187" s="15">
        <f>Assumptions!$C$28+Assumptions!$C$7/D187</f>
        <v>37241933.88615314</v>
      </c>
      <c r="F187" s="14">
        <f>IF(D187&lt;Assumptions!$C$35,(Assumptions!$C$35*Assumptions!$C$28+Assumptions!$C$7)/E187,Assumptions!$C$35)</f>
        <v>57.95014218187242</v>
      </c>
      <c r="G187" s="14">
        <f>IF(D187&lt;Assumptions!$C$36,(Assumptions!$C$36*Assumptions!$C$28+Assumptions!$C$7)/E187,Assumptions!$C$36)</f>
        <v>49.14022780391404</v>
      </c>
      <c r="H187" s="15">
        <f>IF(D187&lt;Assumptions!$C$35,Assumptions!$C$43/F187,Assumptions!$C$24)</f>
        <v>1725621.3054000295</v>
      </c>
      <c r="I187" s="15">
        <f>IF(D187&lt;Assumptions!$C$36,Assumptions!$C$44/G187,Assumptions!$C$25)</f>
        <v>6104977.803462785</v>
      </c>
      <c r="J187" s="15">
        <f>MAX(0,$D$176*($C$176+Assumptions!$C$7)/D187-Assumptions!$C$26-Assumptions!$C$27)</f>
        <v>553437.98719437</v>
      </c>
      <c r="K187" s="15">
        <f>IF((M186-K186)&lt;=0,0,Assumptions!$C$47/MIN(Assumptions!$C$48/(M186-K186),D187*(1-Assumptions!$C$49)))</f>
        <v>186260.56304171006</v>
      </c>
      <c r="L187" s="15">
        <f>IF((M186-L186)&lt;=0,0,Assumptions!$C$50/MIN(Assumptions!$C$51/(M186-L186),D187*(1-Assumptions!$C$52)))</f>
        <v>73408.57484154543</v>
      </c>
      <c r="M187" s="15">
        <f>Assumptions!$C$28+(H187-Assumptions!$C$24)+(I187-Assumptions!$C$25)+J187+K187+L187</f>
        <v>37438373.233940445</v>
      </c>
      <c r="N187" s="14">
        <f>$C$176/M187</f>
        <v>48.0790121075073</v>
      </c>
    </row>
    <row r="188" spans="2:14" x14ac:dyDescent="0.25">
      <c r="B188" s="15">
        <v>11</v>
      </c>
      <c r="D188" s="14">
        <f>N187</f>
        <v>48.0790121075073</v>
      </c>
      <c r="E188" s="15">
        <f>Assumptions!$C$28+Assumptions!$C$7/D188</f>
        <v>37241933.88723234</v>
      </c>
      <c r="F188" s="14">
        <f>IF(D188&lt;Assumptions!$C$35,(Assumptions!$C$35*Assumptions!$C$28+Assumptions!$C$7)/E188,Assumptions!$C$35)</f>
        <v>57.95014218019314</v>
      </c>
      <c r="G188" s="14">
        <f>IF(D188&lt;Assumptions!$C$36,(Assumptions!$C$36*Assumptions!$C$28+Assumptions!$C$7)/E188,Assumptions!$C$36)</f>
        <v>49.14022780249005</v>
      </c>
      <c r="H188" s="15">
        <f>IF(D188&lt;Assumptions!$C$35,Assumptions!$C$43/F188,Assumptions!$C$24)</f>
        <v>1725621.3054500346</v>
      </c>
      <c r="I188" s="15">
        <f>IF(D188&lt;Assumptions!$C$36,Assumptions!$C$44/G188,Assumptions!$C$25)</f>
        <v>6104977.803639695</v>
      </c>
      <c r="J188" s="15">
        <f>MAX(0,$D$176*($C$176+Assumptions!$C$7)/D188-Assumptions!$C$26-Assumptions!$C$27)</f>
        <v>553437.995752462</v>
      </c>
      <c r="K188" s="15">
        <f>IF((M187-K187)&lt;=0,0,Assumptions!$C$47/MIN(Assumptions!$C$48/(M187-K187),D188*(1-Assumptions!$C$49)))</f>
        <v>186260.56335449367</v>
      </c>
      <c r="L188" s="15">
        <f>IF((M187-L187)&lt;=0,0,Assumptions!$C$50/MIN(Assumptions!$C$51/(M187-L187),D188*(1-Assumptions!$C$52)))</f>
        <v>73408.57496851069</v>
      </c>
      <c r="M188" s="15">
        <f>Assumptions!$C$28+(H188-Assumptions!$C$24)+(I188-Assumptions!$C$25)+J188+K188+L188</f>
        <v>37438373.243165195</v>
      </c>
      <c r="N188" s="14">
        <f>$C$176/M188</f>
        <v>48.079012095660715</v>
      </c>
    </row>
    <row r="189" spans="2:14" x14ac:dyDescent="0.25">
      <c r="B189" s="15">
        <v>12</v>
      </c>
      <c r="D189" s="14">
        <f>N188</f>
        <v>48.079012095660715</v>
      </c>
      <c r="E189" s="15">
        <f>Assumptions!$C$28+Assumptions!$C$7/D189</f>
        <v>37241933.88738608</v>
      </c>
      <c r="F189" s="14">
        <f>IF(D189&lt;Assumptions!$C$35,(Assumptions!$C$35*Assumptions!$C$28+Assumptions!$C$7)/E189,Assumptions!$C$35)</f>
        <v>57.950142179953914</v>
      </c>
      <c r="G189" s="14">
        <f>IF(D189&lt;Assumptions!$C$36,(Assumptions!$C$36*Assumptions!$C$28+Assumptions!$C$7)/E189,Assumptions!$C$36)</f>
        <v>49.14022780228719</v>
      </c>
      <c r="H189" s="15">
        <f>IF(D189&lt;Assumptions!$C$35,Assumptions!$C$43/F189,Assumptions!$C$24)</f>
        <v>1725621.3054571582</v>
      </c>
      <c r="I189" s="15">
        <f>IF(D189&lt;Assumptions!$C$36,Assumptions!$C$44/G189,Assumptions!$C$25)</f>
        <v>6104977.803664898</v>
      </c>
      <c r="J189" s="15">
        <f>MAX(0,$D$176*($C$176+Assumptions!$C$7)/D189-Assumptions!$C$26-Assumptions!$C$27)</f>
        <v>553437.996971667</v>
      </c>
      <c r="K189" s="15">
        <f>IF((M188-K188)&lt;=0,0,Assumptions!$C$47/MIN(Assumptions!$C$48/(M188-K188),D189*(1-Assumptions!$C$49)))</f>
        <v>186260.5633990535</v>
      </c>
      <c r="L189" s="15">
        <f>IF((M188-L188)&lt;=0,0,Assumptions!$C$50/MIN(Assumptions!$C$51/(M188-L188),D189*(1-Assumptions!$C$52)))</f>
        <v>73408.57498659843</v>
      </c>
      <c r="M189" s="15">
        <f>Assumptions!$C$28+(H189-Assumptions!$C$24)+(I189-Assumptions!$C$25)+J189+K189+L189</f>
        <v>37438373.24447938</v>
      </c>
      <c r="N189" s="14">
        <f>$C$176/M189</f>
        <v>48.07901209397302</v>
      </c>
    </row>
    <row r="190" spans="2:14" x14ac:dyDescent="0.25">
      <c r="B190" s="15">
        <v>13</v>
      </c>
      <c r="D190" s="14">
        <f>N189</f>
        <v>48.07901209397302</v>
      </c>
      <c r="E190" s="15">
        <f>Assumptions!$C$28+Assumptions!$C$7/D190</f>
        <v>37241933.88740799</v>
      </c>
      <c r="F190" s="14">
        <f>IF(D190&lt;Assumptions!$C$35,(Assumptions!$C$35*Assumptions!$C$28+Assumptions!$C$7)/E190,Assumptions!$C$35)</f>
        <v>57.950142179919816</v>
      </c>
      <c r="G190" s="14">
        <f>IF(D190&lt;Assumptions!$C$36,(Assumptions!$C$36*Assumptions!$C$28+Assumptions!$C$7)/E190,Assumptions!$C$36)</f>
        <v>49.14022780225828</v>
      </c>
      <c r="H190" s="15">
        <f>IF(D190&lt;Assumptions!$C$35,Assumptions!$C$43/F190,Assumptions!$C$24)</f>
        <v>1725621.3054581736</v>
      </c>
      <c r="I190" s="15">
        <f>IF(D190&lt;Assumptions!$C$36,Assumptions!$C$44/G190,Assumptions!$C$25)</f>
        <v>6104977.80366849</v>
      </c>
      <c r="J190" s="15">
        <f>MAX(0,$D$176*($C$176+Assumptions!$C$7)/D190-Assumptions!$C$26-Assumptions!$C$27)</f>
        <v>553437.997145358</v>
      </c>
      <c r="K190" s="15">
        <f>IF((M189-K189)&lt;=0,0,Assumptions!$C$47/MIN(Assumptions!$C$48/(M189-K189),D190*(1-Assumptions!$C$49)))</f>
        <v>186260.56340540166</v>
      </c>
      <c r="L190" s="15">
        <f>IF((M189-L189)&lt;=0,0,Assumptions!$C$50/MIN(Assumptions!$C$51/(M189-L189),D190*(1-Assumptions!$C$52)))</f>
        <v>73408.57498917525</v>
      </c>
      <c r="M190" s="15">
        <f>Assumptions!$C$28+(H190-Assumptions!$C$24)+(I190-Assumptions!$C$25)+J190+K190+L190</f>
        <v>37438373.2446666</v>
      </c>
      <c r="N190" s="14">
        <f>$C$176/M190</f>
        <v>48.07901209373259</v>
      </c>
    </row>
    <row r="191" spans="2:14" x14ac:dyDescent="0.25">
      <c r="B191" s="15">
        <v>14</v>
      </c>
      <c r="D191" s="14">
        <f>N190</f>
        <v>48.07901209373259</v>
      </c>
      <c r="E191" s="15">
        <f>Assumptions!$C$28+Assumptions!$C$7/D191</f>
        <v>37241933.88741111</v>
      </c>
      <c r="F191" s="14">
        <f>IF(D191&lt;Assumptions!$C$35,(Assumptions!$C$35*Assumptions!$C$28+Assumptions!$C$7)/E191,Assumptions!$C$35)</f>
        <v>57.95014217991496</v>
      </c>
      <c r="G191" s="14">
        <f>IF(D191&lt;Assumptions!$C$36,(Assumptions!$C$36*Assumptions!$C$28+Assumptions!$C$7)/E191,Assumptions!$C$36)</f>
        <v>49.14022780225417</v>
      </c>
      <c r="H191" s="15">
        <f>IF(D191&lt;Assumptions!$C$35,Assumptions!$C$43/F191,Assumptions!$C$24)</f>
        <v>1725621.3054583182</v>
      </c>
      <c r="I191" s="15">
        <f>IF(D191&lt;Assumptions!$C$36,Assumptions!$C$44/G191,Assumptions!$C$25)</f>
        <v>6104977.803669</v>
      </c>
      <c r="J191" s="15">
        <f>MAX(0,$D$176*($C$176+Assumptions!$C$7)/D191-Assumptions!$C$26-Assumptions!$C$27)</f>
        <v>553437.997170102</v>
      </c>
      <c r="K191" s="15">
        <f>IF((M190-K190)&lt;=0,0,Assumptions!$C$47/MIN(Assumptions!$C$48/(M190-K190),D191*(1-Assumptions!$C$49)))</f>
        <v>186260.563406306</v>
      </c>
      <c r="L191" s="15">
        <f>IF((M190-L190)&lt;=0,0,Assumptions!$C$50/MIN(Assumptions!$C$51/(M190-L190),D191*(1-Assumptions!$C$52)))</f>
        <v>73408.57498954235</v>
      </c>
      <c r="M191" s="15">
        <f>Assumptions!$C$28+(H191-Assumptions!$C$24)+(I191-Assumptions!$C$25)+J191+K191+L191</f>
        <v>37438373.24469326</v>
      </c>
      <c r="N191" s="14">
        <f>$C$176/M191</f>
        <v>48.07901209369835</v>
      </c>
    </row>
    <row r="192" spans="2:14" x14ac:dyDescent="0.25">
      <c r="B192" s="15">
        <v>15</v>
      </c>
      <c r="D192" s="14">
        <f>N191</f>
        <v>48.07901209369835</v>
      </c>
      <c r="E192" s="15">
        <f>Assumptions!$C$28+Assumptions!$C$7/D192</f>
        <v>37241933.88741156</v>
      </c>
      <c r="F192" s="14">
        <f>IF(D192&lt;Assumptions!$C$35,(Assumptions!$C$35*Assumptions!$C$28+Assumptions!$C$7)/E192,Assumptions!$C$35)</f>
        <v>57.950142179914266</v>
      </c>
      <c r="G192" s="14">
        <f>IF(D192&lt;Assumptions!$C$36,(Assumptions!$C$36*Assumptions!$C$28+Assumptions!$C$7)/E192,Assumptions!$C$36)</f>
        <v>49.14022780225357</v>
      </c>
      <c r="H192" s="15">
        <f>IF(D192&lt;Assumptions!$C$35,Assumptions!$C$43/F192,Assumptions!$C$24)</f>
        <v>1725621.305458339</v>
      </c>
      <c r="I192" s="15">
        <f>IF(D192&lt;Assumptions!$C$36,Assumptions!$C$44/G192,Assumptions!$C$25)</f>
        <v>6104977.803669075</v>
      </c>
      <c r="J192" s="15">
        <f>MAX(0,$D$176*($C$176+Assumptions!$C$7)/D192-Assumptions!$C$26-Assumptions!$C$27)</f>
        <v>553437.997173626</v>
      </c>
      <c r="K192" s="15">
        <f>IF((M191-K191)&lt;=0,0,Assumptions!$C$47/MIN(Assumptions!$C$48/(M191-K191),D192*(1-Assumptions!$C$49)))</f>
        <v>186260.56340643475</v>
      </c>
      <c r="L192" s="15">
        <f>IF((M191-L191)&lt;=0,0,Assumptions!$C$50/MIN(Assumptions!$C$51/(M191-L191),D192*(1-Assumptions!$C$52)))</f>
        <v>73408.57498959462</v>
      </c>
      <c r="M192" s="15">
        <f>Assumptions!$C$28+(H192-Assumptions!$C$24)+(I192-Assumptions!$C$25)+J192+K192+L192</f>
        <v>37438373.24469708</v>
      </c>
      <c r="N192" s="14">
        <f>$C$176/M192</f>
        <v>48.07901209369344</v>
      </c>
    </row>
    <row r="193" spans="2:14" x14ac:dyDescent="0.25">
      <c r="B193" s="15">
        <v>16</v>
      </c>
      <c r="D193" s="14">
        <f>N192</f>
        <v>48.07901209369344</v>
      </c>
      <c r="E193" s="15">
        <f>Assumptions!$C$28+Assumptions!$C$7/D193</f>
        <v>37241933.88741162</v>
      </c>
      <c r="F193" s="14">
        <f>IF(D193&lt;Assumptions!$C$35,(Assumptions!$C$35*Assumptions!$C$28+Assumptions!$C$7)/E193,Assumptions!$C$35)</f>
        <v>57.95014217991417</v>
      </c>
      <c r="G193" s="14">
        <f>IF(D193&lt;Assumptions!$C$36,(Assumptions!$C$36*Assumptions!$C$28+Assumptions!$C$7)/E193,Assumptions!$C$36)</f>
        <v>49.14022780225349</v>
      </c>
      <c r="H193" s="15">
        <f>IF(D193&lt;Assumptions!$C$35,Assumptions!$C$43/F193,Assumptions!$C$24)</f>
        <v>1725621.3054583417</v>
      </c>
      <c r="I193" s="15">
        <f>IF(D193&lt;Assumptions!$C$36,Assumptions!$C$44/G193,Assumptions!$C$25)</f>
        <v>6104977.803669085</v>
      </c>
      <c r="J193" s="15">
        <f>MAX(0,$D$176*($C$176+Assumptions!$C$7)/D193-Assumptions!$C$26-Assumptions!$C$27)</f>
        <v>553437.997174132</v>
      </c>
      <c r="K193" s="15">
        <f>IF((M192-K192)&lt;=0,0,Assumptions!$C$47/MIN(Assumptions!$C$48/(M192-K192),D193*(1-Assumptions!$C$49)))</f>
        <v>186260.56340645326</v>
      </c>
      <c r="L193" s="15">
        <f>IF((M192-L192)&lt;=0,0,Assumptions!$C$50/MIN(Assumptions!$C$51/(M192-L192),D193*(1-Assumptions!$C$52)))</f>
        <v>73408.57498960213</v>
      </c>
      <c r="M193" s="15">
        <f>Assumptions!$C$28+(H193-Assumptions!$C$24)+(I193-Assumptions!$C$25)+J193+K193+L193</f>
        <v>37438373.244697616</v>
      </c>
      <c r="N193" s="14">
        <f>$C$176/M193</f>
        <v>48.079012093692754</v>
      </c>
    </row>
    <row r="194" spans="2:14" x14ac:dyDescent="0.25">
      <c r="B194" s="15">
        <v>17</v>
      </c>
      <c r="D194" s="14">
        <f>N193</f>
        <v>48.079012093692754</v>
      </c>
      <c r="E194" s="15">
        <f>Assumptions!$C$28+Assumptions!$C$7/D194</f>
        <v>37241933.887411624</v>
      </c>
      <c r="F194" s="14">
        <f>IF(D194&lt;Assumptions!$C$35,(Assumptions!$C$35*Assumptions!$C$28+Assumptions!$C$7)/E194,Assumptions!$C$35)</f>
        <v>57.95014217991417</v>
      </c>
      <c r="G194" s="14">
        <f>IF(D194&lt;Assumptions!$C$36,(Assumptions!$C$36*Assumptions!$C$28+Assumptions!$C$7)/E194,Assumptions!$C$36)</f>
        <v>49.140227802253484</v>
      </c>
      <c r="H194" s="15">
        <f>IF(D194&lt;Assumptions!$C$35,Assumptions!$C$43/F194,Assumptions!$C$24)</f>
        <v>1725621.3054583417</v>
      </c>
      <c r="I194" s="15">
        <f>IF(D194&lt;Assumptions!$C$36,Assumptions!$C$44/G194,Assumptions!$C$25)</f>
        <v>6104977.803669086</v>
      </c>
      <c r="J194" s="15">
        <f>MAX(0,$D$176*($C$176+Assumptions!$C$7)/D194-Assumptions!$C$26-Assumptions!$C$27)</f>
        <v>553437.9971742015</v>
      </c>
      <c r="K194" s="15">
        <f>IF((M193-K193)&lt;=0,0,Assumptions!$C$47/MIN(Assumptions!$C$48/(M193-K193),D194*(1-Assumptions!$C$49)))</f>
        <v>186260.56340645583</v>
      </c>
      <c r="L194" s="15">
        <f>IF((M193-L193)&lt;=0,0,Assumptions!$C$50/MIN(Assumptions!$C$51/(M193-L193),D194*(1-Assumptions!$C$52)))</f>
        <v>73408.57498960318</v>
      </c>
      <c r="M194" s="15">
        <f>Assumptions!$C$28+(H194-Assumptions!$C$24)+(I194-Assumptions!$C$25)+J194+K194+L194</f>
        <v>37438373.24469769</v>
      </c>
      <c r="N194" s="14">
        <f>$C$176/M194</f>
        <v>48.07901209369266</v>
      </c>
    </row>
    <row r="195" spans="2:14" x14ac:dyDescent="0.25">
      <c r="B195" s="15">
        <v>18</v>
      </c>
      <c r="D195" s="14">
        <f>N194</f>
        <v>48.07901209369266</v>
      </c>
      <c r="E195" s="15">
        <f>Assumptions!$C$28+Assumptions!$C$7/D195</f>
        <v>37241933.88741163</v>
      </c>
      <c r="F195" s="14">
        <f>IF(D195&lt;Assumptions!$C$35,(Assumptions!$C$35*Assumptions!$C$28+Assumptions!$C$7)/E195,Assumptions!$C$35)</f>
        <v>57.95014217991415</v>
      </c>
      <c r="G195" s="14">
        <f>IF(D195&lt;Assumptions!$C$36,(Assumptions!$C$36*Assumptions!$C$28+Assumptions!$C$7)/E195,Assumptions!$C$36)</f>
        <v>49.14022780225348</v>
      </c>
      <c r="H195" s="15">
        <f>IF(D195&lt;Assumptions!$C$35,Assumptions!$C$43/F195,Assumptions!$C$24)</f>
        <v>1725621.3054583422</v>
      </c>
      <c r="I195" s="15">
        <f>IF(D195&lt;Assumptions!$C$36,Assumptions!$C$44/G195,Assumptions!$C$25)</f>
        <v>6104977.803669086</v>
      </c>
      <c r="J195" s="15">
        <f>MAX(0,$D$176*($C$176+Assumptions!$C$7)/D195-Assumptions!$C$26-Assumptions!$C$27)</f>
        <v>553437.997174212</v>
      </c>
      <c r="K195" s="15">
        <f>IF((M194-K194)&lt;=0,0,Assumptions!$C$47/MIN(Assumptions!$C$48/(M194-K194),D195*(1-Assumptions!$C$49)))</f>
        <v>186260.5634064562</v>
      </c>
      <c r="L195" s="15">
        <f>IF((M194-L194)&lt;=0,0,Assumptions!$C$50/MIN(Assumptions!$C$51/(M194-L194),D195*(1-Assumptions!$C$52)))</f>
        <v>73408.57498960332</v>
      </c>
      <c r="M195" s="15">
        <f>Assumptions!$C$28+(H195-Assumptions!$C$24)+(I195-Assumptions!$C$25)+J195+K195+L195</f>
        <v>37438373.2446977</v>
      </c>
      <c r="N195" s="14">
        <f>$C$176/M195</f>
        <v>48.07901209369265</v>
      </c>
    </row>
    <row r="196" spans="2:14" x14ac:dyDescent="0.25">
      <c r="B196" s="15">
        <v>19</v>
      </c>
      <c r="D196" s="14">
        <f>N195</f>
        <v>48.07901209369265</v>
      </c>
      <c r="E196" s="15">
        <f>Assumptions!$C$28+Assumptions!$C$7/D196</f>
        <v>37241933.88741163</v>
      </c>
      <c r="F196" s="14">
        <f>IF(D196&lt;Assumptions!$C$35,(Assumptions!$C$35*Assumptions!$C$28+Assumptions!$C$7)/E196,Assumptions!$C$35)</f>
        <v>57.95014217991415</v>
      </c>
      <c r="G196" s="14">
        <f>IF(D196&lt;Assumptions!$C$36,(Assumptions!$C$36*Assumptions!$C$28+Assumptions!$C$7)/E196,Assumptions!$C$36)</f>
        <v>49.14022780225348</v>
      </c>
      <c r="H196" s="15">
        <f>IF(D196&lt;Assumptions!$C$35,Assumptions!$C$43/F196,Assumptions!$C$24)</f>
        <v>1725621.3054583422</v>
      </c>
      <c r="I196" s="15">
        <f>IF(D196&lt;Assumptions!$C$36,Assumptions!$C$44/G196,Assumptions!$C$25)</f>
        <v>6104977.803669086</v>
      </c>
      <c r="J196" s="15">
        <f>MAX(0,$D$176*($C$176+Assumptions!$C$7)/D196-Assumptions!$C$26-Assumptions!$C$27)</f>
        <v>553437.997174213</v>
      </c>
      <c r="K196" s="15">
        <f>IF((M195-K195)&lt;=0,0,Assumptions!$C$47/MIN(Assumptions!$C$48/(M195-K195),D196*(1-Assumptions!$C$49)))</f>
        <v>186260.56340645623</v>
      </c>
      <c r="L196" s="15">
        <f>IF((M195-L195)&lt;=0,0,Assumptions!$C$50/MIN(Assumptions!$C$51/(M195-L195),D196*(1-Assumptions!$C$52)))</f>
        <v>73408.57498960334</v>
      </c>
      <c r="M196" s="15">
        <f>Assumptions!$C$28+(H196-Assumptions!$C$24)+(I196-Assumptions!$C$25)+J196+K196+L196</f>
        <v>37438373.2446977</v>
      </c>
      <c r="N196" s="14">
        <f>$C$176/M196</f>
        <v>48.07901209369265</v>
      </c>
    </row>
    <row r="197" spans="2:14" x14ac:dyDescent="0.25">
      <c r="B197" s="15">
        <v>20</v>
      </c>
      <c r="D197" s="14">
        <f>N196</f>
        <v>48.07901209369265</v>
      </c>
      <c r="E197" s="15">
        <f>Assumptions!$C$28+Assumptions!$C$7/D197</f>
        <v>37241933.88741163</v>
      </c>
      <c r="F197" s="14">
        <f>IF(D197&lt;Assumptions!$C$35,(Assumptions!$C$35*Assumptions!$C$28+Assumptions!$C$7)/E197,Assumptions!$C$35)</f>
        <v>57.95014217991415</v>
      </c>
      <c r="G197" s="14">
        <f>IF(D197&lt;Assumptions!$C$36,(Assumptions!$C$36*Assumptions!$C$28+Assumptions!$C$7)/E197,Assumptions!$C$36)</f>
        <v>49.14022780225348</v>
      </c>
      <c r="H197" s="15">
        <f>IF(D197&lt;Assumptions!$C$35,Assumptions!$C$43/F197,Assumptions!$C$24)</f>
        <v>1725621.3054583422</v>
      </c>
      <c r="I197" s="15">
        <f>IF(D197&lt;Assumptions!$C$36,Assumptions!$C$44/G197,Assumptions!$C$25)</f>
        <v>6104977.803669086</v>
      </c>
      <c r="J197" s="15">
        <f>MAX(0,$D$176*($C$176+Assumptions!$C$7)/D197-Assumptions!$C$26-Assumptions!$C$27)</f>
        <v>553437.997174213</v>
      </c>
      <c r="K197" s="15">
        <f>IF((M196-K196)&lt;=0,0,Assumptions!$C$47/MIN(Assumptions!$C$48/(M196-K196),D197*(1-Assumptions!$C$49)))</f>
        <v>186260.56340645623</v>
      </c>
      <c r="L197" s="15">
        <f>IF((M196-L196)&lt;=0,0,Assumptions!$C$50/MIN(Assumptions!$C$51/(M196-L196),D197*(1-Assumptions!$C$52)))</f>
        <v>73408.57498960334</v>
      </c>
      <c r="M197" s="15">
        <f>Assumptions!$C$28+(H197-Assumptions!$C$24)+(I197-Assumptions!$C$25)+J197+K197+L197</f>
        <v>37438373.2446977</v>
      </c>
      <c r="N197" s="14">
        <f>$C$176/M197</f>
        <v>48.07901209369265</v>
      </c>
    </row>
    <row r="198" spans="2:12" x14ac:dyDescent="0.25">
      <c r="B198" s="10" t="s">
        <v>181</v>
      </c>
      <c r="D198" s="13">
        <f>N197</f>
        <v>48.07901209369265</v>
      </c>
      <c r="E198" s="11">
        <f>$E$176/D198</f>
        <v>38062346.13210933</v>
      </c>
      <c r="H198" s="11">
        <f>H197</f>
        <v>1725621.3054583422</v>
      </c>
      <c r="I198" s="11">
        <f>I197</f>
        <v>6104977.803669086</v>
      </c>
      <c r="J198" s="11">
        <f>J197</f>
        <v>553437.997174213</v>
      </c>
      <c r="K198" s="11">
        <f>K197</f>
        <v>186260.56340645623</v>
      </c>
      <c r="L198" s="11">
        <f>L197</f>
        <v>73408.57498960334</v>
      </c>
    </row>
    <row r="199" spans="2:3" x14ac:dyDescent="0.25">
      <c r="B199" s="24" t="s">
        <v>182</v>
      </c>
      <c r="C199" s="15">
        <f>Assumptions!$C$16+Assumptions!$C$17+Assumptions!$C$18+Assumptions!$C$19+Assumptions!$C$20+Assumptions!$C$21+Assumptions!$C$22+Assumptions!$C$23+$H$198+$I$198+(Assumptions!$C$7/$D$198)+$K$198+$L$198+Assumptions!$C$26</f>
        <v>35614241.13493512</v>
      </c>
    </row>
    <row r="200" spans="2:3" x14ac:dyDescent="0.25">
      <c r="B200" s="24" t="s">
        <v>183</v>
      </c>
      <c r="C200" s="14">
        <f>Assumptions!$C$57+Assumptions!$C$26*Assumptions!$C$13</f>
        <v>2002500000</v>
      </c>
    </row>
    <row r="201" spans="2:3" x14ac:dyDescent="0.25">
      <c r="B201" s="24" t="s">
        <v>184</v>
      </c>
      <c r="C201" s="14">
        <f>$C$200/$C$199</f>
        <v>56.227507204573996</v>
      </c>
    </row>
    <row r="202" spans="2:10" x14ac:dyDescent="0.25">
      <c r="B202" s="24" t="s">
        <v>185</v>
      </c>
      <c r="D202" s="15" t="str">
        <f>IF(Assumptions!$C$7&gt;(Assumptions!$C$7/$D$198)*$C$201,"preference","convert")</f>
        <v>convert</v>
      </c>
      <c r="E202" s="15" t="str">
        <f>IF(Assumptions!$C$44&gt;$I$198*$C$201,"preference","convert")</f>
        <v>convert</v>
      </c>
      <c r="F202" s="15" t="str">
        <f>IF(Assumptions!$C$43&gt;$H$198*$C$201,"preference","convert")</f>
        <v>preference</v>
      </c>
      <c r="G202" s="15" t="str">
        <f>IF(Assumptions!$C$42&gt;Assumptions!$C$23*$C$201,"preference","convert")</f>
        <v>convert</v>
      </c>
      <c r="H202" s="15" t="str">
        <f>IF(Assumptions!$C$41&gt;Assumptions!$C$22*$C$201,"preference","convert")</f>
        <v>convert</v>
      </c>
      <c r="I202" s="15" t="str">
        <f>IF(Assumptions!$C$40&gt;Assumptions!$C$21*$C$201,"preference","convert")</f>
        <v>convert</v>
      </c>
      <c r="J202" s="15" t="str">
        <f>IF(Assumptions!$C$39&gt;Assumptions!$C$20*$C$201,"preference","convert")</f>
        <v>convert</v>
      </c>
    </row>
    <row r="203" spans="2:3" x14ac:dyDescent="0.25">
      <c r="B203" s="24" t="s">
        <v>186</v>
      </c>
      <c r="C203" s="14">
        <f>($C$200-(IF($D$202="preference",Assumptions!$C$7,0)+IF($E$202="preference",Assumptions!$C$44,0)+IF($F$202="preference",Assumptions!$C$43,0)+IF($G$202="preference",Assumptions!$C$42,0)+IF($H$202="preference",Assumptions!$C$41,0)+IF($I$202="preference",Assumptions!$C$40,0)+IF($J$202="preference",Assumptions!$C$39,0)))/($C$199-(IF($D$202="preference",Assumptions!$C$7/$D$198,0)+IF($E$202="preference",$I$198,0)+IF($F$202="preference",$H$198,0)+IF($G$202="preference",Assumptions!$C$23,0)+IF($H$202="preference",Assumptions!$C$22,0)+IF($I$202="preference",Assumptions!$C$21,0)+IF($J$202="preference",Assumptions!$C$20,0)))</f>
        <v>56.13978998180327</v>
      </c>
    </row>
    <row r="204" spans="2:10" x14ac:dyDescent="0.25">
      <c r="B204" s="24" t="s">
        <v>187</v>
      </c>
      <c r="D204" s="15" t="str">
        <f>IF(Assumptions!$C$7&gt;(Assumptions!$C$7/$D$198)*$C$203,"preference","convert")</f>
        <v>convert</v>
      </c>
      <c r="E204" s="15" t="str">
        <f>IF(Assumptions!$C$44&gt;$I$198*$C$203,"preference","convert")</f>
        <v>convert</v>
      </c>
      <c r="F204" s="15" t="str">
        <f>IF(Assumptions!$C$43&gt;$H$198*$C$203,"preference","convert")</f>
        <v>preference</v>
      </c>
      <c r="G204" s="15" t="str">
        <f>IF(Assumptions!$C$42&gt;Assumptions!$C$23*$C$203,"preference","convert")</f>
        <v>convert</v>
      </c>
      <c r="H204" s="15" t="str">
        <f>IF(Assumptions!$C$41&gt;Assumptions!$C$22*$C$203,"preference","convert")</f>
        <v>convert</v>
      </c>
      <c r="I204" s="15" t="str">
        <f>IF(Assumptions!$C$40&gt;Assumptions!$C$21*$C$203,"preference","convert")</f>
        <v>convert</v>
      </c>
      <c r="J204" s="15" t="str">
        <f>IF(Assumptions!$C$39&gt;Assumptions!$C$20*$C$203,"preference","convert")</f>
        <v>convert</v>
      </c>
    </row>
    <row r="205" spans="2:3" x14ac:dyDescent="0.25">
      <c r="B205" s="10" t="s">
        <v>188</v>
      </c>
      <c r="C205" s="27">
        <f>($C$200-(IF($D$204="preference",Assumptions!$C$7,0)+IF($E$204="preference",Assumptions!$C$44,0)+IF($F$204="preference",Assumptions!$C$43,0)+IF($G$204="preference",Assumptions!$C$42,0)+IF($H$204="preference",Assumptions!$C$41,0)+IF($I$204="preference",Assumptions!$C$40,0)+IF($J$204="preference",Assumptions!$C$39,0)))/($C$199-(IF($D$204="preference",Assumptions!$C$7/$D$198,0)+IF($E$204="preference",$I$198,0)+IF($F$204="preference",$H$198,0)+IF($G$204="preference",Assumptions!$C$23,0)+IF($H$204="preference",Assumptions!$C$22,0)+IF($I$204="preference",Assumptions!$C$21,0)+IF($J$204="preference",Assumptions!$C$20,0)))</f>
        <v>56.13978998180327</v>
      </c>
    </row>
    <row r="206" spans="2:3" x14ac:dyDescent="0.25">
      <c r="B206" s="10" t="s">
        <v>189</v>
      </c>
      <c r="C206" s="13">
        <f>IF($D$204="preference",Assumptions!$C$11,(Assumptions!$C$11/$D$198)*$C$205)</f>
        <v>11676568.951209398</v>
      </c>
    </row>
    <row r="207" spans="2:3" x14ac:dyDescent="0.25">
      <c r="B207" s="10" t="s">
        <v>190</v>
      </c>
      <c r="C207" s="21">
        <f>(Assumptions!$C$11/$D$198)/$E$198</f>
        <v>0.00546448087431694</v>
      </c>
    </row>
    <row r="209" spans="2:14" x14ac:dyDescent="0.25">
      <c r="B209" s="3" t="s">
        <v>196</v>
      </c>
      <c r="C209" s="4" t="s">
        <v>3</v>
      </c>
      <c r="D209" s="4" t="s">
        <v>3</v>
      </c>
      <c r="E209" s="4" t="s">
        <v>3</v>
      </c>
      <c r="F209" s="4" t="s">
        <v>3</v>
      </c>
      <c r="G209" s="4" t="s">
        <v>3</v>
      </c>
      <c r="H209" s="4" t="s">
        <v>3</v>
      </c>
      <c r="I209" s="4" t="s">
        <v>3</v>
      </c>
      <c r="J209" s="4" t="s">
        <v>3</v>
      </c>
      <c r="K209" s="4" t="s">
        <v>3</v>
      </c>
      <c r="L209" s="4" t="s">
        <v>3</v>
      </c>
      <c r="M209" s="4" t="s">
        <v>3</v>
      </c>
      <c r="N209" s="4" t="s">
        <v>3</v>
      </c>
    </row>
    <row r="210" spans="2:5" x14ac:dyDescent="0.25">
      <c r="B210" s="24" t="s">
        <v>168</v>
      </c>
      <c r="C210" s="20">
        <f>Assumptions!$C$65</f>
        <v>1200000000</v>
      </c>
      <c r="D210" s="25">
        <f>Assumptions!$C$64</f>
        <v>0.15</v>
      </c>
      <c r="E210" s="14">
        <f>C210+Assumptions!$C$7</f>
        <v>1230000000</v>
      </c>
    </row>
    <row r="211" spans="2:14" x14ac:dyDescent="0.25">
      <c r="B211" s="16" t="s">
        <v>169</v>
      </c>
      <c r="D211" s="16" t="s">
        <v>170</v>
      </c>
      <c r="E211" s="16" t="s">
        <v>171</v>
      </c>
      <c r="F211" s="16" t="s">
        <v>172</v>
      </c>
      <c r="G211" s="16" t="s">
        <v>173</v>
      </c>
      <c r="H211" s="16" t="s">
        <v>174</v>
      </c>
      <c r="I211" s="16" t="s">
        <v>175</v>
      </c>
      <c r="J211" s="16" t="s">
        <v>176</v>
      </c>
      <c r="K211" s="16" t="s">
        <v>177</v>
      </c>
      <c r="L211" s="16" t="s">
        <v>178</v>
      </c>
      <c r="M211" s="16" t="s">
        <v>179</v>
      </c>
      <c r="N211" s="16" t="s">
        <v>180</v>
      </c>
    </row>
    <row r="212" spans="2:14" x14ac:dyDescent="0.25">
      <c r="B212" s="15">
        <v>1</v>
      </c>
      <c r="D212" s="14">
        <f>($C$210+Assumptions!$C$7)/Assumptions!$C$28</f>
        <v>33.59007346149066</v>
      </c>
      <c r="E212" s="15">
        <f>Assumptions!$C$28+Assumptions!$C$7/D212</f>
        <v>37511082</v>
      </c>
      <c r="F212" s="14">
        <f>IF(D212&lt;Assumptions!$C$35,(Assumptions!$C$35*Assumptions!$C$28+Assumptions!$C$7)/E212,Assumptions!$C$35)</f>
        <v>57.53434048717835</v>
      </c>
      <c r="G212" s="14">
        <f>IF(D212&lt;Assumptions!$C$36,(Assumptions!$C$36*Assumptions!$C$28+Assumptions!$C$7)/E212,Assumptions!$C$36)</f>
        <v>48.78763867765454</v>
      </c>
      <c r="H212" s="15">
        <f>IF(D212&lt;Assumptions!$C$35,Assumptions!$C$43/F212,Assumptions!$C$24)</f>
        <v>1738092.4010467315</v>
      </c>
      <c r="I212" s="15">
        <f>IF(D212&lt;Assumptions!$C$36,Assumptions!$C$44/G212,Assumptions!$C$25)</f>
        <v>6149098.58585561</v>
      </c>
      <c r="J212" s="15">
        <f>MAX(0,$D$210*($C$210+Assumptions!$C$7)/D212-Assumptions!$C$26-Assumptions!$C$27)</f>
        <v>1098027.15</v>
      </c>
      <c r="K212" s="15">
        <v>0</v>
      </c>
      <c r="L212" s="15">
        <v>0</v>
      </c>
      <c r="M212" s="15">
        <f>Assumptions!$C$28+(H212-Assumptions!$C$24)+(I212-Assumptions!$C$25)+J212+K212+L212</f>
        <v>37779885.13690234</v>
      </c>
      <c r="N212" s="14">
        <f>$C$210/M212</f>
        <v>31.762934049470505</v>
      </c>
    </row>
    <row r="213" spans="2:14" x14ac:dyDescent="0.25">
      <c r="B213" s="15">
        <v>2</v>
      </c>
      <c r="D213" s="14">
        <f>N212</f>
        <v>31.762934049470505</v>
      </c>
      <c r="E213" s="15">
        <f>Assumptions!$C$28+Assumptions!$C$7/D213</f>
        <v>37562458.12842256</v>
      </c>
      <c r="F213" s="14">
        <f>IF(D213&lt;Assumptions!$C$35,(Assumptions!$C$35*Assumptions!$C$28+Assumptions!$C$7)/E213,Assumptions!$C$35)</f>
        <v>57.45564777608179</v>
      </c>
      <c r="G213" s="14">
        <f>IF(D213&lt;Assumptions!$C$36,(Assumptions!$C$36*Assumptions!$C$28+Assumptions!$C$7)/E213,Assumptions!$C$36)</f>
        <v>48.72090928572904</v>
      </c>
      <c r="H213" s="15">
        <f>IF(D213&lt;Assumptions!$C$35,Assumptions!$C$43/F213,Assumptions!$C$24)</f>
        <v>1740472.9364417505</v>
      </c>
      <c r="I213" s="15">
        <f>IF(D213&lt;Assumptions!$C$36,Assumptions!$C$44/G213,Assumptions!$C$25)</f>
        <v>6157520.547094422</v>
      </c>
      <c r="J213" s="15">
        <f>MAX(0,$D$210*($C$210+Assumptions!$C$7)/D213-Assumptions!$C$26-Assumptions!$C$27)</f>
        <v>1413990.3397987345</v>
      </c>
      <c r="K213" s="15">
        <f>IF((M212-K212)&lt;=0,0,Assumptions!$C$47/MIN(Assumptions!$C$48/(M212-K212),D213*(1-Assumptions!$C$49)))</f>
        <v>196770.23508803302</v>
      </c>
      <c r="L213" s="15">
        <f>IF((M212-L212)&lt;=0,0,Assumptions!$C$50/MIN(Assumptions!$C$51/(M212-L212),D213*(1-Assumptions!$C$52)))</f>
        <v>111117.30922618335</v>
      </c>
      <c r="M213" s="15">
        <f>Assumptions!$C$28+(H213-Assumptions!$C$24)+(I213-Assumptions!$C$25)+J213+K213+L213</f>
        <v>38414538.367649116</v>
      </c>
      <c r="N213" s="14">
        <f>$C$210/M213</f>
        <v>31.23817312381352</v>
      </c>
    </row>
    <row r="214" spans="2:14" x14ac:dyDescent="0.25">
      <c r="B214" s="15">
        <v>3</v>
      </c>
      <c r="D214" s="14">
        <f>N213</f>
        <v>31.23817312381352</v>
      </c>
      <c r="E214" s="15">
        <f>Assumptions!$C$28+Assumptions!$C$7/D214</f>
        <v>37578324.459191225</v>
      </c>
      <c r="F214" s="14">
        <f>IF(D214&lt;Assumptions!$C$35,(Assumptions!$C$35*Assumptions!$C$28+Assumptions!$C$7)/E214,Assumptions!$C$35)</f>
        <v>57.43138883624712</v>
      </c>
      <c r="G214" s="14">
        <f>IF(D214&lt;Assumptions!$C$36,(Assumptions!$C$36*Assumptions!$C$28+Assumptions!$C$7)/E214,Assumptions!$C$36)</f>
        <v>48.700338329647245</v>
      </c>
      <c r="H214" s="15">
        <f>IF(D214&lt;Assumptions!$C$35,Assumptions!$C$43/F214,Assumptions!$C$24)</f>
        <v>1741208.1098217533</v>
      </c>
      <c r="I214" s="15">
        <f>IF(D214&lt;Assumptions!$C$36,Assumptions!$C$44/G214,Assumptions!$C$25)</f>
        <v>6160121.475323907</v>
      </c>
      <c r="J214" s="15">
        <f>MAX(0,$D$210*($C$210+Assumptions!$C$7)/D214-Assumptions!$C$26-Assumptions!$C$27)</f>
        <v>1511568.274026052</v>
      </c>
      <c r="K214" s="15">
        <f>IF((M213-K213)&lt;=0,0,Assumptions!$C$47/MIN(Assumptions!$C$48/(M213-K213),D214*(1-Assumptions!$C$49)))</f>
        <v>200075.72066483914</v>
      </c>
      <c r="L214" s="15">
        <f>IF((M213-L213)&lt;=0,0,Assumptions!$C$50/MIN(Assumptions!$C$51/(M213-L213),D214*(1-Assumptions!$C$52)))</f>
        <v>112983.9363754386</v>
      </c>
      <c r="M214" s="15">
        <f>Assumptions!$C$28+(H214-Assumptions!$C$24)+(I214-Assumptions!$C$25)+J214+K214+L214</f>
        <v>38520624.51621199</v>
      </c>
      <c r="N214" s="14">
        <f>$C$210/M214</f>
        <v>31.152142912297847</v>
      </c>
    </row>
    <row r="215" spans="2:14" x14ac:dyDescent="0.25">
      <c r="B215" s="15">
        <v>4</v>
      </c>
      <c r="D215" s="14">
        <f>N214</f>
        <v>31.152142912297847</v>
      </c>
      <c r="E215" s="15">
        <f>Assumptions!$C$28+Assumptions!$C$7/D215</f>
        <v>37580976.6129053</v>
      </c>
      <c r="F215" s="14">
        <f>IF(D215&lt;Assumptions!$C$35,(Assumptions!$C$35*Assumptions!$C$28+Assumptions!$C$7)/E215,Assumptions!$C$35)</f>
        <v>57.427335805034666</v>
      </c>
      <c r="G215" s="14">
        <f>IF(D215&lt;Assumptions!$C$36,(Assumptions!$C$36*Assumptions!$C$28+Assumptions!$C$7)/E215,Assumptions!$C$36)</f>
        <v>48.69690146358312</v>
      </c>
      <c r="H215" s="15">
        <f>IF(D215&lt;Assumptions!$C$35,Assumptions!$C$43/F215,Assumptions!$C$24)</f>
        <v>1741330.9985247997</v>
      </c>
      <c r="I215" s="15">
        <f>IF(D215&lt;Assumptions!$C$36,Assumptions!$C$44/G215,Assumptions!$C$25)</f>
        <v>6160556.236300748</v>
      </c>
      <c r="J215" s="15">
        <f>MAX(0,$D$210*($C$210+Assumptions!$C$7)/D215-Assumptions!$C$26-Assumptions!$C$27)</f>
        <v>1527879.019367593</v>
      </c>
      <c r="K215" s="15">
        <f>IF((M214-K214)&lt;=0,0,Assumptions!$C$47/MIN(Assumptions!$C$48/(M214-K214),D215*(1-Assumptions!$C$49)))</f>
        <v>200628.25268860412</v>
      </c>
      <c r="L215" s="15">
        <f>IF((M214-L214)&lt;=0,0,Assumptions!$C$50/MIN(Assumptions!$C$51/(M214-L214),D215*(1-Assumptions!$C$52)))</f>
        <v>113295.95445944702</v>
      </c>
      <c r="M215" s="15">
        <f>Assumptions!$C$28+(H215-Assumptions!$C$24)+(I215-Assumptions!$C$25)+J215+K215+L215</f>
        <v>38538357.46134119</v>
      </c>
      <c r="N215" s="14">
        <f>$C$210/M215</f>
        <v>31.137808641786318</v>
      </c>
    </row>
    <row r="216" spans="2:14" x14ac:dyDescent="0.25">
      <c r="B216" s="15">
        <v>5</v>
      </c>
      <c r="D216" s="14">
        <f>N215</f>
        <v>31.137808641786318</v>
      </c>
      <c r="E216" s="15">
        <f>Assumptions!$C$28+Assumptions!$C$7/D216</f>
        <v>37581419.93653353</v>
      </c>
      <c r="F216" s="14">
        <f>IF(D216&lt;Assumptions!$C$35,(Assumptions!$C$35*Assumptions!$C$28+Assumptions!$C$7)/E216,Assumptions!$C$35)</f>
        <v>57.42665837201293</v>
      </c>
      <c r="G216" s="14">
        <f>IF(D216&lt;Assumptions!$C$36,(Assumptions!$C$36*Assumptions!$C$28+Assumptions!$C$7)/E216,Assumptions!$C$36)</f>
        <v>48.69632701783102</v>
      </c>
      <c r="H216" s="15">
        <f>IF(D216&lt;Assumptions!$C$35,Assumptions!$C$43/F216,Assumptions!$C$24)</f>
        <v>1741351.5401191327</v>
      </c>
      <c r="I216" s="15">
        <f>IF(D216&lt;Assumptions!$C$36,Assumptions!$C$44/G216,Assumptions!$C$25)</f>
        <v>6160628.909242985</v>
      </c>
      <c r="J216" s="15">
        <f>MAX(0,$D$210*($C$210+Assumptions!$C$7)/D216-Assumptions!$C$26-Assumptions!$C$27)</f>
        <v>1530605.459681208</v>
      </c>
      <c r="K216" s="15">
        <f>IF((M215-K215)&lt;=0,0,Assumptions!$C$47/MIN(Assumptions!$C$48/(M215-K215),D216*(1-Assumptions!$C$49)))</f>
        <v>200720.6117778187</v>
      </c>
      <c r="L216" s="15">
        <f>IF((M215-L215)&lt;=0,0,Assumptions!$C$50/MIN(Assumptions!$C$51/(M215-L215),D216*(1-Assumptions!$C$52)))</f>
        <v>113348.11018041527</v>
      </c>
      <c r="M216" s="15">
        <f>Assumptions!$C$28+(H216-Assumptions!$C$24)+(I216-Assumptions!$C$25)+J216+K216+L216</f>
        <v>38541321.63100156</v>
      </c>
      <c r="N216" s="14">
        <f>$C$210/M216</f>
        <v>31.135413867975757</v>
      </c>
    </row>
    <row r="217" spans="2:14" x14ac:dyDescent="0.25">
      <c r="B217" s="15">
        <v>6</v>
      </c>
      <c r="D217" s="14">
        <f>N216</f>
        <v>31.135413867975757</v>
      </c>
      <c r="E217" s="15">
        <f>Assumptions!$C$28+Assumptions!$C$7/D217</f>
        <v>37581494.04077504</v>
      </c>
      <c r="F217" s="14">
        <f>IF(D217&lt;Assumptions!$C$35,(Assumptions!$C$35*Assumptions!$C$28+Assumptions!$C$7)/E217,Assumptions!$C$35)</f>
        <v>57.42654513652111</v>
      </c>
      <c r="G217" s="14">
        <f>IF(D217&lt;Assumptions!$C$36,(Assumptions!$C$36*Assumptions!$C$28+Assumptions!$C$7)/E217,Assumptions!$C$36)</f>
        <v>48.69623099705084</v>
      </c>
      <c r="H217" s="15">
        <f>IF(D217&lt;Assumptions!$C$35,Assumptions!$C$43/F217,Assumptions!$C$24)</f>
        <v>1741354.9737715945</v>
      </c>
      <c r="I217" s="15">
        <f>IF(D217&lt;Assumptions!$C$36,Assumptions!$C$44/G217,Assumptions!$C$25)</f>
        <v>6160641.056967401</v>
      </c>
      <c r="J217" s="15">
        <f>MAX(0,$D$210*($C$210+Assumptions!$C$7)/D217-Assumptions!$C$26-Assumptions!$C$27)</f>
        <v>1531061.20076649</v>
      </c>
      <c r="K217" s="15">
        <f>IF((M216-K216)&lt;=0,0,Assumptions!$C$47/MIN(Assumptions!$C$48/(M216-K216),D217*(1-Assumptions!$C$49)))</f>
        <v>200736.05016146644</v>
      </c>
      <c r="L217" s="15">
        <f>IF((M216-L216)&lt;=0,0,Assumptions!$C$50/MIN(Assumptions!$C$51/(M216-L216),D217*(1-Assumptions!$C$52)))</f>
        <v>113356.82832647518</v>
      </c>
      <c r="M217" s="15">
        <f>Assumptions!$C$28+(H217-Assumptions!$C$24)+(I217-Assumptions!$C$25)+J217+K217+L217</f>
        <v>38541817.10999343</v>
      </c>
      <c r="N217" s="14">
        <f>$C$210/M217</f>
        <v>31.13501360289664</v>
      </c>
    </row>
    <row r="218" spans="2:14" x14ac:dyDescent="0.25">
      <c r="B218" s="15">
        <v>7</v>
      </c>
      <c r="D218" s="14">
        <f>N217</f>
        <v>31.13501360289664</v>
      </c>
      <c r="E218" s="15">
        <f>Assumptions!$C$28+Assumptions!$C$7/D218</f>
        <v>37581506.427749835</v>
      </c>
      <c r="F218" s="14">
        <f>IF(D218&lt;Assumptions!$C$35,(Assumptions!$C$35*Assumptions!$C$28+Assumptions!$C$7)/E218,Assumptions!$C$35)</f>
        <v>57.426526208563324</v>
      </c>
      <c r="G218" s="14">
        <f>IF(D218&lt;Assumptions!$C$36,(Assumptions!$C$36*Assumptions!$C$28+Assumptions!$C$7)/E218,Assumptions!$C$36)</f>
        <v>48.696214946630214</v>
      </c>
      <c r="H218" s="15">
        <f>IF(D218&lt;Assumptions!$C$35,Assumptions!$C$43/F218,Assumptions!$C$24)</f>
        <v>1741355.5477274926</v>
      </c>
      <c r="I218" s="15">
        <f>IF(D218&lt;Assumptions!$C$36,Assumptions!$C$44/G218,Assumptions!$C$25)</f>
        <v>6160643.0875334395</v>
      </c>
      <c r="J218" s="15">
        <f>MAX(0,$D$210*($C$210+Assumptions!$C$7)/D218-Assumptions!$C$26-Assumptions!$C$27)</f>
        <v>1531137.38066149</v>
      </c>
      <c r="K218" s="15">
        <f>IF((M217-K217)&lt;=0,0,Assumptions!$C$47/MIN(Assumptions!$C$48/(M217-K217),D218*(1-Assumptions!$C$49)))</f>
        <v>200738.6307812158</v>
      </c>
      <c r="L218" s="15">
        <f>IF((M217-L217)&lt;=0,0,Assumptions!$C$50/MIN(Assumptions!$C$51/(M217-L217),D218*(1-Assumptions!$C$52)))</f>
        <v>113358.28561762774</v>
      </c>
      <c r="M218" s="15">
        <f>Assumptions!$C$28+(H218-Assumptions!$C$24)+(I218-Assumptions!$C$25)+J218+K218+L218</f>
        <v>38541899.932321265</v>
      </c>
      <c r="N218" s="14">
        <f>$C$210/M218</f>
        <v>31.134946697157478</v>
      </c>
    </row>
    <row r="219" spans="2:14" x14ac:dyDescent="0.25">
      <c r="B219" s="15">
        <v>8</v>
      </c>
      <c r="D219" s="14">
        <f>N218</f>
        <v>31.134946697157478</v>
      </c>
      <c r="E219" s="15">
        <f>Assumptions!$C$28+Assumptions!$C$7/D219</f>
        <v>37581508.49830803</v>
      </c>
      <c r="F219" s="14">
        <f>IF(D219&lt;Assumptions!$C$35,(Assumptions!$C$35*Assumptions!$C$28+Assumptions!$C$7)/E219,Assumptions!$C$35)</f>
        <v>57.42652304464125</v>
      </c>
      <c r="G219" s="14">
        <f>IF(D219&lt;Assumptions!$C$36,(Assumptions!$C$36*Assumptions!$C$28+Assumptions!$C$7)/E219,Assumptions!$C$36)</f>
        <v>48.696212263705796</v>
      </c>
      <c r="H219" s="15">
        <f>IF(D219&lt;Assumptions!$C$35,Assumptions!$C$43/F219,Assumptions!$C$24)</f>
        <v>1741355.6436677128</v>
      </c>
      <c r="I219" s="15">
        <f>IF(D219&lt;Assumptions!$C$36,Assumptions!$C$44/G219,Assumptions!$C$25)</f>
        <v>6160643.426954906</v>
      </c>
      <c r="J219" s="15">
        <f>MAX(0,$D$210*($C$210+Assumptions!$C$7)/D219-Assumptions!$C$26-Assumptions!$C$27)</f>
        <v>1531150.114594394</v>
      </c>
      <c r="K219" s="15">
        <f>IF((M218-K218)&lt;=0,0,Assumptions!$C$47/MIN(Assumptions!$C$48/(M218-K218),D219*(1-Assumptions!$C$49)))</f>
        <v>200739.06214750657</v>
      </c>
      <c r="L219" s="15">
        <f>IF((M218-L218)&lt;=0,0,Assumptions!$C$50/MIN(Assumptions!$C$51/(M218-L218),D219*(1-Assumptions!$C$52)))</f>
        <v>113358.52921270959</v>
      </c>
      <c r="M219" s="15">
        <f>Assumptions!$C$28+(H219-Assumptions!$C$24)+(I219-Assumptions!$C$25)+J219+K219+L219</f>
        <v>38541913.77657722</v>
      </c>
      <c r="N219" s="14">
        <f>$C$210/M219</f>
        <v>31.134935513484198</v>
      </c>
    </row>
    <row r="220" spans="2:14" x14ac:dyDescent="0.25">
      <c r="B220" s="15">
        <v>9</v>
      </c>
      <c r="D220" s="14">
        <f>N219</f>
        <v>31.134935513484198</v>
      </c>
      <c r="E220" s="15">
        <f>Assumptions!$C$28+Assumptions!$C$7/D220</f>
        <v>37581508.84441443</v>
      </c>
      <c r="F220" s="14">
        <f>IF(D220&lt;Assumptions!$C$35,(Assumptions!$C$35*Assumptions!$C$28+Assumptions!$C$7)/E220,Assumptions!$C$35)</f>
        <v>57.426522515772454</v>
      </c>
      <c r="G220" s="14">
        <f>IF(D220&lt;Assumptions!$C$36,(Assumptions!$C$36*Assumptions!$C$28+Assumptions!$C$7)/E220,Assumptions!$C$36)</f>
        <v>48.696211815238684</v>
      </c>
      <c r="H220" s="15">
        <f>IF(D220&lt;Assumptions!$C$35,Assumptions!$C$43/F220,Assumptions!$C$24)</f>
        <v>1741355.6597047043</v>
      </c>
      <c r="I220" s="15">
        <f>IF(D220&lt;Assumptions!$C$36,Assumptions!$C$44/G220,Assumptions!$C$25)</f>
        <v>6160643.4836912695</v>
      </c>
      <c r="J220" s="15">
        <f>MAX(0,$D$210*($C$210+Assumptions!$C$7)/D220-Assumptions!$C$26-Assumptions!$C$27)</f>
        <v>1531152.243148748</v>
      </c>
      <c r="K220" s="15">
        <f>IF((M219-K219)&lt;=0,0,Assumptions!$C$47/MIN(Assumptions!$C$48/(M219-K219),D220*(1-Assumptions!$C$49)))</f>
        <v>200739.13425300634</v>
      </c>
      <c r="L220" s="15">
        <f>IF((M219-L219)&lt;=0,0,Assumptions!$C$50/MIN(Assumptions!$C$51/(M219-L219),D220*(1-Assumptions!$C$52)))</f>
        <v>113358.56993110946</v>
      </c>
      <c r="M220" s="15">
        <f>Assumptions!$C$28+(H220-Assumptions!$C$24)+(I220-Assumptions!$C$25)+J220+K220+L220</f>
        <v>38541916.09072885</v>
      </c>
      <c r="N220" s="14">
        <f>$C$210/M220</f>
        <v>31.13493364406594</v>
      </c>
    </row>
    <row r="221" spans="2:14" x14ac:dyDescent="0.25">
      <c r="B221" s="15">
        <v>10</v>
      </c>
      <c r="D221" s="14">
        <f>N220</f>
        <v>31.13493364406594</v>
      </c>
      <c r="E221" s="15">
        <f>Assumptions!$C$28+Assumptions!$C$7/D221</f>
        <v>37581508.90226822</v>
      </c>
      <c r="F221" s="14">
        <f>IF(D221&lt;Assumptions!$C$35,(Assumptions!$C$35*Assumptions!$C$28+Assumptions!$C$7)/E221,Assumptions!$C$35)</f>
        <v>57.42652242736882</v>
      </c>
      <c r="G221" s="14">
        <f>IF(D221&lt;Assumptions!$C$36,(Assumptions!$C$36*Assumptions!$C$28+Assumptions!$C$7)/E221,Assumptions!$C$36)</f>
        <v>48.69621174027468</v>
      </c>
      <c r="H221" s="15">
        <f>IF(D221&lt;Assumptions!$C$35,Assumptions!$C$43/F221,Assumptions!$C$24)</f>
        <v>1741355.662385385</v>
      </c>
      <c r="I221" s="15">
        <f>IF(D221&lt;Assumptions!$C$36,Assumptions!$C$44/G221,Assumptions!$C$25)</f>
        <v>6160643.493175098</v>
      </c>
      <c r="J221" s="15">
        <f>MAX(0,$D$210*($C$210+Assumptions!$C$7)/D221-Assumptions!$C$26-Assumptions!$C$27)</f>
        <v>1531152.59894956</v>
      </c>
      <c r="K221" s="15">
        <f>IF((M220-K220)&lt;=0,0,Assumptions!$C$47/MIN(Assumptions!$C$48/(M220-K220),D221*(1-Assumptions!$C$49)))</f>
        <v>200739.14630587943</v>
      </c>
      <c r="L221" s="15">
        <f>IF((M220-L220)&lt;=0,0,Assumptions!$C$50/MIN(Assumptions!$C$51/(M220-L220),D221*(1-Assumptions!$C$52)))</f>
        <v>113358.57673743779</v>
      </c>
      <c r="M221" s="15">
        <f>Assumptions!$C$28+(H221-Assumptions!$C$24)+(I221-Assumptions!$C$25)+J221+K221+L221</f>
        <v>38541916.47755336</v>
      </c>
      <c r="N221" s="14">
        <f>$C$210/M221</f>
        <v>31.134933331581337</v>
      </c>
    </row>
    <row r="222" spans="2:14" x14ac:dyDescent="0.25">
      <c r="B222" s="15">
        <v>11</v>
      </c>
      <c r="D222" s="14">
        <f>N221</f>
        <v>31.134933331581337</v>
      </c>
      <c r="E222" s="15">
        <f>Assumptions!$C$28+Assumptions!$C$7/D222</f>
        <v>37581508.91193883</v>
      </c>
      <c r="F222" s="14">
        <f>IF(D222&lt;Assumptions!$C$35,(Assumptions!$C$35*Assumptions!$C$28+Assumptions!$C$7)/E222,Assumptions!$C$35)</f>
        <v>57.42652241259162</v>
      </c>
      <c r="G222" s="14">
        <f>IF(D222&lt;Assumptions!$C$36,(Assumptions!$C$36*Assumptions!$C$28+Assumptions!$C$7)/E222,Assumptions!$C$36)</f>
        <v>48.69621172774399</v>
      </c>
      <c r="H222" s="15">
        <f>IF(D222&lt;Assumptions!$C$35,Assumptions!$C$43/F222,Assumptions!$C$24)</f>
        <v>1741355.662833477</v>
      </c>
      <c r="I222" s="15">
        <f>IF(D222&lt;Assumptions!$C$36,Assumptions!$C$44/G222,Assumptions!$C$25)</f>
        <v>6160643.494760377</v>
      </c>
      <c r="J222" s="15">
        <f>MAX(0,$D$210*($C$210+Assumptions!$C$7)/D222-Assumptions!$C$26-Assumptions!$C$27)</f>
        <v>1531152.658423829</v>
      </c>
      <c r="K222" s="15">
        <f>IF((M221-K221)&lt;=0,0,Assumptions!$C$47/MIN(Assumptions!$C$48/(M221-K221),D222*(1-Assumptions!$C$49)))</f>
        <v>200739.1483205904</v>
      </c>
      <c r="L222" s="15">
        <f>IF((M221-L221)&lt;=0,0,Assumptions!$C$50/MIN(Assumptions!$C$51/(M221-L221),D222*(1-Assumptions!$C$52)))</f>
        <v>113358.57787515695</v>
      </c>
      <c r="M222" s="15">
        <f>Assumptions!$C$28+(H222-Assumptions!$C$24)+(I222-Assumptions!$C$25)+J222+K222+L222</f>
        <v>38541916.542213425</v>
      </c>
      <c r="N222" s="14">
        <f>$C$210/M222</f>
        <v>31.13493327934764</v>
      </c>
    </row>
    <row r="223" spans="2:14" x14ac:dyDescent="0.25">
      <c r="B223" s="15">
        <v>12</v>
      </c>
      <c r="D223" s="14">
        <f>N222</f>
        <v>31.13493327934764</v>
      </c>
      <c r="E223" s="15">
        <f>Assumptions!$C$28+Assumptions!$C$7/D223</f>
        <v>37581508.91355534</v>
      </c>
      <c r="F223" s="14">
        <f>IF(D223&lt;Assumptions!$C$35,(Assumptions!$C$35*Assumptions!$C$28+Assumptions!$C$7)/E223,Assumptions!$C$35)</f>
        <v>57.42652241012151</v>
      </c>
      <c r="G223" s="14">
        <f>IF(D223&lt;Assumptions!$C$36,(Assumptions!$C$36*Assumptions!$C$28+Assumptions!$C$7)/E223,Assumptions!$C$36)</f>
        <v>48.6962117256494</v>
      </c>
      <c r="H223" s="15">
        <f>IF(D223&lt;Assumptions!$C$35,Assumptions!$C$43/F223,Assumptions!$C$24)</f>
        <v>1741355.6629083785</v>
      </c>
      <c r="I223" s="15">
        <f>IF(D223&lt;Assumptions!$C$36,Assumptions!$C$44/G223,Assumptions!$C$25)</f>
        <v>6160643.4950253675</v>
      </c>
      <c r="J223" s="15">
        <f>MAX(0,$D$210*($C$210+Assumptions!$C$7)/D223-Assumptions!$C$26-Assumptions!$C$27)</f>
        <v>1531152.668365314</v>
      </c>
      <c r="K223" s="15">
        <f>IF((M222-K222)&lt;=0,0,Assumptions!$C$47/MIN(Assumptions!$C$48/(M222-K222),D223*(1-Assumptions!$C$49)))</f>
        <v>200739.1486573616</v>
      </c>
      <c r="L223" s="15">
        <f>IF((M222-L222)&lt;=0,0,Assumptions!$C$50/MIN(Assumptions!$C$51/(M222-L222),D223*(1-Assumptions!$C$52)))</f>
        <v>113358.5780653336</v>
      </c>
      <c r="M223" s="15">
        <f>Assumptions!$C$28+(H223-Assumptions!$C$24)+(I223-Assumptions!$C$25)+J223+K223+L223</f>
        <v>38541916.55302175</v>
      </c>
      <c r="N223" s="14">
        <f>$C$210/M223</f>
        <v>31.134933270616457</v>
      </c>
    </row>
    <row r="224" spans="2:14" x14ac:dyDescent="0.25">
      <c r="B224" s="15">
        <v>13</v>
      </c>
      <c r="D224" s="14">
        <f>N223</f>
        <v>31.134933270616457</v>
      </c>
      <c r="E224" s="15">
        <f>Assumptions!$C$28+Assumptions!$C$7/D224</f>
        <v>37581508.91382554</v>
      </c>
      <c r="F224" s="14">
        <f>IF(D224&lt;Assumptions!$C$35,(Assumptions!$C$35*Assumptions!$C$28+Assumptions!$C$7)/E224,Assumptions!$C$35)</f>
        <v>57.42652240970863</v>
      </c>
      <c r="G224" s="14">
        <f>IF(D224&lt;Assumptions!$C$36,(Assumptions!$C$36*Assumptions!$C$28+Assumptions!$C$7)/E224,Assumptions!$C$36)</f>
        <v>48.696211725299285</v>
      </c>
      <c r="H224" s="15">
        <f>IF(D224&lt;Assumptions!$C$35,Assumptions!$C$43/F224,Assumptions!$C$24)</f>
        <v>1741355.6629208985</v>
      </c>
      <c r="I224" s="15">
        <f>IF(D224&lt;Assumptions!$C$36,Assumptions!$C$44/G224,Assumptions!$C$25)</f>
        <v>6160643.495069661</v>
      </c>
      <c r="J224" s="15">
        <f>MAX(0,$D$210*($C$210+Assumptions!$C$7)/D224-Assumptions!$C$26-Assumptions!$C$27)</f>
        <v>1531152.670027094</v>
      </c>
      <c r="K224" s="15">
        <f>IF((M223-K223)&lt;=0,0,Assumptions!$C$47/MIN(Assumptions!$C$48/(M223-K223),D224*(1-Assumptions!$C$49)))</f>
        <v>200739.14871365493</v>
      </c>
      <c r="L224" s="15">
        <f>IF((M223-L223)&lt;=0,0,Assumptions!$C$50/MIN(Assumptions!$C$51/(M223-L223),D224*(1-Assumptions!$C$52)))</f>
        <v>113358.5780971228</v>
      </c>
      <c r="M224" s="15">
        <f>Assumptions!$C$28+(H224-Assumptions!$C$24)+(I224-Assumptions!$C$25)+J224+K224+L224</f>
        <v>38541916.554828435</v>
      </c>
      <c r="N224" s="14">
        <f>$C$210/M224</f>
        <v>31.13493326915698</v>
      </c>
    </row>
    <row r="225" spans="2:14" x14ac:dyDescent="0.25">
      <c r="B225" s="15">
        <v>14</v>
      </c>
      <c r="D225" s="14">
        <f>N224</f>
        <v>31.13493326915698</v>
      </c>
      <c r="E225" s="15">
        <f>Assumptions!$C$28+Assumptions!$C$7/D225</f>
        <v>37581508.913870715</v>
      </c>
      <c r="F225" s="14">
        <f>IF(D225&lt;Assumptions!$C$35,(Assumptions!$C$35*Assumptions!$C$28+Assumptions!$C$7)/E225,Assumptions!$C$35)</f>
        <v>57.4265224096396</v>
      </c>
      <c r="G225" s="14">
        <f>IF(D225&lt;Assumptions!$C$36,(Assumptions!$C$36*Assumptions!$C$28+Assumptions!$C$7)/E225,Assumptions!$C$36)</f>
        <v>48.69621172524075</v>
      </c>
      <c r="H225" s="15">
        <f>IF(D225&lt;Assumptions!$C$35,Assumptions!$C$43/F225,Assumptions!$C$24)</f>
        <v>1741355.6629229917</v>
      </c>
      <c r="I225" s="15">
        <f>IF(D225&lt;Assumptions!$C$36,Assumptions!$C$44/G225,Assumptions!$C$25)</f>
        <v>6160643.495077066</v>
      </c>
      <c r="J225" s="15">
        <f>MAX(0,$D$210*($C$210+Assumptions!$C$7)/D225-Assumptions!$C$26-Assumptions!$C$27)</f>
        <v>1531152.670304872</v>
      </c>
      <c r="K225" s="15">
        <f>IF((M224-K224)&lt;=0,0,Assumptions!$C$47/MIN(Assumptions!$C$48/(M224-K224),D225*(1-Assumptions!$C$49)))</f>
        <v>200739.14872306475</v>
      </c>
      <c r="L225" s="15">
        <f>IF((M224-L224)&lt;=0,0,Assumptions!$C$50/MIN(Assumptions!$C$51/(M224-L224),D225*(1-Assumptions!$C$52)))</f>
        <v>113358.57810243657</v>
      </c>
      <c r="M225" s="15">
        <f>Assumptions!$C$28+(H225-Assumptions!$C$24)+(I225-Assumptions!$C$25)+J225+K225+L225</f>
        <v>38541916.55513044</v>
      </c>
      <c r="N225" s="14">
        <f>$C$210/M225</f>
        <v>31.134933268913013</v>
      </c>
    </row>
    <row r="226" spans="2:14" x14ac:dyDescent="0.25">
      <c r="B226" s="15">
        <v>15</v>
      </c>
      <c r="D226" s="14">
        <f>N225</f>
        <v>31.134933268913013</v>
      </c>
      <c r="E226" s="15">
        <f>Assumptions!$C$28+Assumptions!$C$7/D226</f>
        <v>37581508.91387826</v>
      </c>
      <c r="F226" s="14">
        <f>IF(D226&lt;Assumptions!$C$35,(Assumptions!$C$35*Assumptions!$C$28+Assumptions!$C$7)/E226,Assumptions!$C$35)</f>
        <v>57.42652240962807</v>
      </c>
      <c r="G226" s="14">
        <f>IF(D226&lt;Assumptions!$C$36,(Assumptions!$C$36*Assumptions!$C$28+Assumptions!$C$7)/E226,Assumptions!$C$36)</f>
        <v>48.696211725230974</v>
      </c>
      <c r="H226" s="15">
        <f>IF(D226&lt;Assumptions!$C$35,Assumptions!$C$43/F226,Assumptions!$C$24)</f>
        <v>1741355.6629233412</v>
      </c>
      <c r="I226" s="15">
        <f>IF(D226&lt;Assumptions!$C$36,Assumptions!$C$44/G226,Assumptions!$C$25)</f>
        <v>6160643.495078303</v>
      </c>
      <c r="J226" s="15">
        <f>MAX(0,$D$210*($C$210+Assumptions!$C$7)/D226-Assumptions!$C$26-Assumptions!$C$27)</f>
        <v>1531152.670351305</v>
      </c>
      <c r="K226" s="15">
        <f>IF((M225-K225)&lt;=0,0,Assumptions!$C$47/MIN(Assumptions!$C$48/(M225-K225),D226*(1-Assumptions!$C$49)))</f>
        <v>200739.14872463772</v>
      </c>
      <c r="L226" s="15">
        <f>IF((M225-L225)&lt;=0,0,Assumptions!$C$50/MIN(Assumptions!$C$51/(M225-L225),D226*(1-Assumptions!$C$52)))</f>
        <v>113358.57810332483</v>
      </c>
      <c r="M226" s="15">
        <f>Assumptions!$C$28+(H226-Assumptions!$C$24)+(I226-Assumptions!$C$25)+J226+K226+L226</f>
        <v>38541916.55518092</v>
      </c>
      <c r="N226" s="14">
        <f>$C$210/M226</f>
        <v>31.134933268872235</v>
      </c>
    </row>
    <row r="227" spans="2:14" x14ac:dyDescent="0.25">
      <c r="B227" s="15">
        <v>16</v>
      </c>
      <c r="D227" s="14">
        <f>N226</f>
        <v>31.134933268872235</v>
      </c>
      <c r="E227" s="15">
        <f>Assumptions!$C$28+Assumptions!$C$7/D227</f>
        <v>37581508.91387952</v>
      </c>
      <c r="F227" s="14">
        <f>IF(D227&lt;Assumptions!$C$35,(Assumptions!$C$35*Assumptions!$C$28+Assumptions!$C$7)/E227,Assumptions!$C$35)</f>
        <v>57.426522409626145</v>
      </c>
      <c r="G227" s="14">
        <f>IF(D227&lt;Assumptions!$C$36,(Assumptions!$C$36*Assumptions!$C$28+Assumptions!$C$7)/E227,Assumptions!$C$36)</f>
        <v>48.69621172522935</v>
      </c>
      <c r="H227" s="15">
        <f>IF(D227&lt;Assumptions!$C$35,Assumptions!$C$43/F227,Assumptions!$C$24)</f>
        <v>1741355.6629233996</v>
      </c>
      <c r="I227" s="15">
        <f>IF(D227&lt;Assumptions!$C$36,Assumptions!$C$44/G227,Assumptions!$C$25)</f>
        <v>6160643.495078509</v>
      </c>
      <c r="J227" s="15">
        <f>MAX(0,$D$210*($C$210+Assumptions!$C$7)/D227-Assumptions!$C$26-Assumptions!$C$27)</f>
        <v>1531152.670359067</v>
      </c>
      <c r="K227" s="15">
        <f>IF((M226-K226)&lt;=0,0,Assumptions!$C$47/MIN(Assumptions!$C$48/(M226-K226),D227*(1-Assumptions!$C$49)))</f>
        <v>200739.14872490062</v>
      </c>
      <c r="L227" s="15">
        <f>IF((M226-L226)&lt;=0,0,Assumptions!$C$50/MIN(Assumptions!$C$51/(M226-L226),D227*(1-Assumptions!$C$52)))</f>
        <v>113358.5781034733</v>
      </c>
      <c r="M227" s="15">
        <f>Assumptions!$C$28+(H227-Assumptions!$C$24)+(I227-Assumptions!$C$25)+J227+K227+L227</f>
        <v>38541916.55518934</v>
      </c>
      <c r="N227" s="14">
        <f>$C$210/M227</f>
        <v>31.134933268865435</v>
      </c>
    </row>
    <row r="228" spans="2:14" x14ac:dyDescent="0.25">
      <c r="B228" s="15">
        <v>17</v>
      </c>
      <c r="D228" s="14">
        <f>N227</f>
        <v>31.134933268865435</v>
      </c>
      <c r="E228" s="15">
        <f>Assumptions!$C$28+Assumptions!$C$7/D228</f>
        <v>37581508.91387973</v>
      </c>
      <c r="F228" s="14">
        <f>IF(D228&lt;Assumptions!$C$35,(Assumptions!$C$35*Assumptions!$C$28+Assumptions!$C$7)/E228,Assumptions!$C$35)</f>
        <v>57.426522409625825</v>
      </c>
      <c r="G228" s="14">
        <f>IF(D228&lt;Assumptions!$C$36,(Assumptions!$C$36*Assumptions!$C$28+Assumptions!$C$7)/E228,Assumptions!$C$36)</f>
        <v>48.69621172522907</v>
      </c>
      <c r="H228" s="15">
        <f>IF(D228&lt;Assumptions!$C$35,Assumptions!$C$43/F228,Assumptions!$C$24)</f>
        <v>1741355.6629234094</v>
      </c>
      <c r="I228" s="15">
        <f>IF(D228&lt;Assumptions!$C$36,Assumptions!$C$44/G228,Assumptions!$C$25)</f>
        <v>6160643.495078544</v>
      </c>
      <c r="J228" s="15">
        <f>MAX(0,$D$210*($C$210+Assumptions!$C$7)/D228-Assumptions!$C$26-Assumptions!$C$27)</f>
        <v>1531152.67036036</v>
      </c>
      <c r="K228" s="15">
        <f>IF((M227-K227)&lt;=0,0,Assumptions!$C$47/MIN(Assumptions!$C$48/(M227-K227),D228*(1-Assumptions!$C$49)))</f>
        <v>200739.14872494445</v>
      </c>
      <c r="L228" s="15">
        <f>IF((M227-L227)&lt;=0,0,Assumptions!$C$50/MIN(Assumptions!$C$51/(M227-L227),D228*(1-Assumptions!$C$52)))</f>
        <v>113358.57810349805</v>
      </c>
      <c r="M228" s="15">
        <f>Assumptions!$C$28+(H228-Assumptions!$C$24)+(I228-Assumptions!$C$25)+J228+K228+L228</f>
        <v>38541916.55519075</v>
      </c>
      <c r="N228" s="14">
        <f>$C$210/M228</f>
        <v>31.134933268864295</v>
      </c>
    </row>
    <row r="229" spans="2:14" x14ac:dyDescent="0.25">
      <c r="B229" s="15">
        <v>18</v>
      </c>
      <c r="D229" s="14">
        <f>N228</f>
        <v>31.134933268864295</v>
      </c>
      <c r="E229" s="15">
        <f>Assumptions!$C$28+Assumptions!$C$7/D229</f>
        <v>37581508.91387977</v>
      </c>
      <c r="F229" s="14">
        <f>IF(D229&lt;Assumptions!$C$35,(Assumptions!$C$35*Assumptions!$C$28+Assumptions!$C$7)/E229,Assumptions!$C$35)</f>
        <v>57.42652240962576</v>
      </c>
      <c r="G229" s="14">
        <f>IF(D229&lt;Assumptions!$C$36,(Assumptions!$C$36*Assumptions!$C$28+Assumptions!$C$7)/E229,Assumptions!$C$36)</f>
        <v>48.69621172522902</v>
      </c>
      <c r="H229" s="15">
        <f>IF(D229&lt;Assumptions!$C$35,Assumptions!$C$43/F229,Assumptions!$C$24)</f>
        <v>1741355.6629234112</v>
      </c>
      <c r="I229" s="15">
        <f>IF(D229&lt;Assumptions!$C$36,Assumptions!$C$44/G229,Assumptions!$C$25)</f>
        <v>6160643.495078551</v>
      </c>
      <c r="J229" s="15">
        <f>MAX(0,$D$210*($C$210+Assumptions!$C$7)/D229-Assumptions!$C$26-Assumptions!$C$27)</f>
        <v>1531152.670360577</v>
      </c>
      <c r="K229" s="15">
        <f>IF((M228-K228)&lt;=0,0,Assumptions!$C$47/MIN(Assumptions!$C$48/(M228-K228),D229*(1-Assumptions!$C$49)))</f>
        <v>200739.1487249518</v>
      </c>
      <c r="L229" s="15">
        <f>IF((M228-L228)&lt;=0,0,Assumptions!$C$50/MIN(Assumptions!$C$51/(M228-L228),D229*(1-Assumptions!$C$52)))</f>
        <v>113358.57810350221</v>
      </c>
      <c r="M229" s="15">
        <f>Assumptions!$C$28+(H229-Assumptions!$C$24)+(I229-Assumptions!$C$25)+J229+K229+L229</f>
        <v>38541916.555190995</v>
      </c>
      <c r="N229" s="14">
        <f>$C$210/M229</f>
        <v>31.134933268864096</v>
      </c>
    </row>
    <row r="230" spans="2:14" x14ac:dyDescent="0.25">
      <c r="B230" s="15">
        <v>19</v>
      </c>
      <c r="D230" s="14">
        <f>N229</f>
        <v>31.134933268864096</v>
      </c>
      <c r="E230" s="15">
        <f>Assumptions!$C$28+Assumptions!$C$7/D230</f>
        <v>37581508.913879775</v>
      </c>
      <c r="F230" s="14">
        <f>IF(D230&lt;Assumptions!$C$35,(Assumptions!$C$35*Assumptions!$C$28+Assumptions!$C$7)/E230,Assumptions!$C$35)</f>
        <v>57.426522409625754</v>
      </c>
      <c r="G230" s="14">
        <f>IF(D230&lt;Assumptions!$C$36,(Assumptions!$C$36*Assumptions!$C$28+Assumptions!$C$7)/E230,Assumptions!$C$36)</f>
        <v>48.69621172522901</v>
      </c>
      <c r="H230" s="15">
        <f>IF(D230&lt;Assumptions!$C$35,Assumptions!$C$43/F230,Assumptions!$C$24)</f>
        <v>1741355.6629234115</v>
      </c>
      <c r="I230" s="15">
        <f>IF(D230&lt;Assumptions!$C$36,Assumptions!$C$44/G230,Assumptions!$C$25)</f>
        <v>6160643.495078552</v>
      </c>
      <c r="J230" s="15">
        <f>MAX(0,$D$210*($C$210+Assumptions!$C$7)/D230-Assumptions!$C$26-Assumptions!$C$27)</f>
        <v>1531152.6703606155</v>
      </c>
      <c r="K230" s="15">
        <f>IF((M229-K229)&lt;=0,0,Assumptions!$C$47/MIN(Assumptions!$C$48/(M229-K229),D230*(1-Assumptions!$C$49)))</f>
        <v>200739.14872495312</v>
      </c>
      <c r="L230" s="15">
        <f>IF((M229-L229)&lt;=0,0,Assumptions!$C$50/MIN(Assumptions!$C$51/(M229-L229),D230*(1-Assumptions!$C$52)))</f>
        <v>113358.57810350292</v>
      </c>
      <c r="M230" s="15">
        <f>Assumptions!$C$28+(H230-Assumptions!$C$24)+(I230-Assumptions!$C$25)+J230+K230+L230</f>
        <v>38541916.55519104</v>
      </c>
      <c r="N230" s="14">
        <f>$C$210/M230</f>
        <v>31.13493326886406</v>
      </c>
    </row>
    <row r="231" spans="2:14" x14ac:dyDescent="0.25">
      <c r="B231" s="15">
        <v>20</v>
      </c>
      <c r="D231" s="14">
        <f>N230</f>
        <v>31.13493326886406</v>
      </c>
      <c r="E231" s="15">
        <f>Assumptions!$C$28+Assumptions!$C$7/D231</f>
        <v>37581508.913879775</v>
      </c>
      <c r="F231" s="14">
        <f>IF(D231&lt;Assumptions!$C$35,(Assumptions!$C$35*Assumptions!$C$28+Assumptions!$C$7)/E231,Assumptions!$C$35)</f>
        <v>57.426522409625754</v>
      </c>
      <c r="G231" s="14">
        <f>IF(D231&lt;Assumptions!$C$36,(Assumptions!$C$36*Assumptions!$C$28+Assumptions!$C$7)/E231,Assumptions!$C$36)</f>
        <v>48.69621172522901</v>
      </c>
      <c r="H231" s="15">
        <f>IF(D231&lt;Assumptions!$C$35,Assumptions!$C$43/F231,Assumptions!$C$24)</f>
        <v>1741355.6629234115</v>
      </c>
      <c r="I231" s="15">
        <f>IF(D231&lt;Assumptions!$C$36,Assumptions!$C$44/G231,Assumptions!$C$25)</f>
        <v>6160643.495078552</v>
      </c>
      <c r="J231" s="15">
        <f>MAX(0,$D$210*($C$210+Assumptions!$C$7)/D231-Assumptions!$C$26-Assumptions!$C$27)</f>
        <v>1531152.670360622</v>
      </c>
      <c r="K231" s="15">
        <f>IF((M230-K230)&lt;=0,0,Assumptions!$C$47/MIN(Assumptions!$C$48/(M230-K230),D231*(1-Assumptions!$C$49)))</f>
        <v>200739.14872495332</v>
      </c>
      <c r="L231" s="15">
        <f>IF((M230-L230)&lt;=0,0,Assumptions!$C$50/MIN(Assumptions!$C$51/(M230-L230),D231*(1-Assumptions!$C$52)))</f>
        <v>113358.57810350307</v>
      </c>
      <c r="M231" s="15">
        <f>Assumptions!$C$28+(H231-Assumptions!$C$24)+(I231-Assumptions!$C$25)+J231+K231+L231</f>
        <v>38541916.55519104</v>
      </c>
      <c r="N231" s="14">
        <f>$C$210/M231</f>
        <v>31.13493326886406</v>
      </c>
    </row>
    <row r="232" spans="2:12" x14ac:dyDescent="0.25">
      <c r="B232" s="10" t="s">
        <v>181</v>
      </c>
      <c r="D232" s="13">
        <f>N231</f>
        <v>31.13493326886406</v>
      </c>
      <c r="E232" s="11">
        <f>$E$210/D232</f>
        <v>39505464.469070815</v>
      </c>
      <c r="H232" s="11">
        <f>H231</f>
        <v>1741355.6629234115</v>
      </c>
      <c r="I232" s="11">
        <f>I231</f>
        <v>6160643.495078552</v>
      </c>
      <c r="J232" s="11">
        <f>J231</f>
        <v>1531152.670360622</v>
      </c>
      <c r="K232" s="11">
        <f>K231</f>
        <v>200739.14872495332</v>
      </c>
      <c r="L232" s="11">
        <f>L231</f>
        <v>113358.57810350307</v>
      </c>
    </row>
    <row r="233" spans="2:3" x14ac:dyDescent="0.25">
      <c r="B233" s="24" t="s">
        <v>182</v>
      </c>
      <c r="C233" s="15">
        <f>Assumptions!$C$16+Assumptions!$C$17+Assumptions!$C$18+Assumptions!$C$19+Assumptions!$C$20+Assumptions!$C$21+Assumptions!$C$22+Assumptions!$C$23+$H$232+$I$232+(Assumptions!$C$7/$D$232)+$K$232+$L$232+Assumptions!$C$26</f>
        <v>36079644.7987102</v>
      </c>
    </row>
    <row r="234" spans="2:3" x14ac:dyDescent="0.25">
      <c r="B234" s="24" t="s">
        <v>183</v>
      </c>
      <c r="C234" s="14">
        <f>Assumptions!$C$57+Assumptions!$C$26*Assumptions!$C$13</f>
        <v>2002500000</v>
      </c>
    </row>
    <row r="235" spans="2:3" x14ac:dyDescent="0.25">
      <c r="B235" s="24" t="s">
        <v>184</v>
      </c>
      <c r="C235" s="14">
        <f>$C$234/$C$233</f>
        <v>55.50220938071948</v>
      </c>
    </row>
    <row r="236" spans="2:10" x14ac:dyDescent="0.25">
      <c r="B236" s="24" t="s">
        <v>185</v>
      </c>
      <c r="D236" s="15" t="str">
        <f>IF(Assumptions!$C$7&gt;(Assumptions!$C$7/$D$232)*$C$235,"preference","convert")</f>
        <v>convert</v>
      </c>
      <c r="E236" s="15" t="str">
        <f>IF(Assumptions!$C$44&gt;$I$232*$C$235,"preference","convert")</f>
        <v>convert</v>
      </c>
      <c r="F236" s="15" t="str">
        <f>IF(Assumptions!$C$43&gt;$H$232*$C$235,"preference","convert")</f>
        <v>preference</v>
      </c>
      <c r="G236" s="15" t="str">
        <f>IF(Assumptions!$C$42&gt;Assumptions!$C$23*$C$235,"preference","convert")</f>
        <v>convert</v>
      </c>
      <c r="H236" s="15" t="str">
        <f>IF(Assumptions!$C$41&gt;Assumptions!$C$22*$C$235,"preference","convert")</f>
        <v>convert</v>
      </c>
      <c r="I236" s="15" t="str">
        <f>IF(Assumptions!$C$40&gt;Assumptions!$C$21*$C$235,"preference","convert")</f>
        <v>convert</v>
      </c>
      <c r="J236" s="15" t="str">
        <f>IF(Assumptions!$C$39&gt;Assumptions!$C$20*$C$235,"preference","convert")</f>
        <v>convert</v>
      </c>
    </row>
    <row r="237" spans="2:3" x14ac:dyDescent="0.25">
      <c r="B237" s="24" t="s">
        <v>186</v>
      </c>
      <c r="C237" s="14">
        <f>($C$234-(IF($D$236="preference",Assumptions!$C$7,0)+IF($E$236="preference",Assumptions!$C$44,0)+IF($F$236="preference",Assumptions!$C$43,0)+IF($G$236="preference",Assumptions!$C$42,0)+IF($H$236="preference",Assumptions!$C$41,0)+IF($I$236="preference",Assumptions!$C$40,0)+IF($J$236="preference",Assumptions!$C$39,0)))/($C$233-(IF($D$236="preference",Assumptions!$C$7/$D$232,0)+IF($E$236="preference",$I$232,0)+IF($F$236="preference",$H$232,0)+IF($G$236="preference",Assumptions!$C$23,0)+IF($H$236="preference",Assumptions!$C$22,0)+IF($I$236="preference",Assumptions!$C$21,0)+IF($J$236="preference",Assumptions!$C$20,0)))</f>
        <v>55.40462404742368</v>
      </c>
    </row>
    <row r="238" spans="2:10" x14ac:dyDescent="0.25">
      <c r="B238" s="24" t="s">
        <v>187</v>
      </c>
      <c r="D238" s="15" t="str">
        <f>IF(Assumptions!$C$7&gt;(Assumptions!$C$7/$D$232)*$C$237,"preference","convert")</f>
        <v>convert</v>
      </c>
      <c r="E238" s="15" t="str">
        <f>IF(Assumptions!$C$44&gt;$I$232*$C$237,"preference","convert")</f>
        <v>convert</v>
      </c>
      <c r="F238" s="15" t="str">
        <f>IF(Assumptions!$C$43&gt;$H$232*$C$237,"preference","convert")</f>
        <v>preference</v>
      </c>
      <c r="G238" s="15" t="str">
        <f>IF(Assumptions!$C$42&gt;Assumptions!$C$23*$C$237,"preference","convert")</f>
        <v>convert</v>
      </c>
      <c r="H238" s="15" t="str">
        <f>IF(Assumptions!$C$41&gt;Assumptions!$C$22*$C$237,"preference","convert")</f>
        <v>convert</v>
      </c>
      <c r="I238" s="15" t="str">
        <f>IF(Assumptions!$C$40&gt;Assumptions!$C$21*$C$237,"preference","convert")</f>
        <v>convert</v>
      </c>
      <c r="J238" s="15" t="str">
        <f>IF(Assumptions!$C$39&gt;Assumptions!$C$20*$C$237,"preference","convert")</f>
        <v>convert</v>
      </c>
    </row>
    <row r="239" spans="2:3" x14ac:dyDescent="0.25">
      <c r="B239" s="10" t="s">
        <v>188</v>
      </c>
      <c r="C239" s="27">
        <f>($C$234-(IF($D$238="preference",Assumptions!$C$7,0)+IF($E$238="preference",Assumptions!$C$44,0)+IF($F$238="preference",Assumptions!$C$43,0)+IF($G$238="preference",Assumptions!$C$42,0)+IF($H$238="preference",Assumptions!$C$41,0)+IF($I$238="preference",Assumptions!$C$40,0)+IF($J$238="preference",Assumptions!$C$39,0)))/($C$233-(IF($D$238="preference",Assumptions!$C$7/$D$232,0)+IF($E$238="preference",$I$232,0)+IF($F$238="preference",$H$232,0)+IF($G$238="preference",Assumptions!$C$23,0)+IF($H$238="preference",Assumptions!$C$22,0)+IF($I$238="preference",Assumptions!$C$21,0)+IF($J$238="preference",Assumptions!$C$20,0)))</f>
        <v>55.40462404742368</v>
      </c>
    </row>
    <row r="240" spans="2:3" x14ac:dyDescent="0.25">
      <c r="B240" s="10" t="s">
        <v>189</v>
      </c>
      <c r="C240" s="13">
        <f>IF($D$238="preference",Assumptions!$C$11,(Assumptions!$C$11/$D$232)*$C$239)</f>
        <v>17795003.306729455</v>
      </c>
    </row>
    <row r="241" spans="2:3" x14ac:dyDescent="0.25">
      <c r="B241" s="10" t="s">
        <v>190</v>
      </c>
      <c r="C241" s="21">
        <f>(Assumptions!$C$11/$D$232)/$E$232</f>
        <v>0.008130081300813009</v>
      </c>
    </row>
    <row r="243" spans="2:14" x14ac:dyDescent="0.25">
      <c r="B243" s="3" t="s">
        <v>197</v>
      </c>
      <c r="C243" s="4" t="s">
        <v>3</v>
      </c>
      <c r="D243" s="4" t="s">
        <v>3</v>
      </c>
      <c r="E243" s="4" t="s">
        <v>3</v>
      </c>
      <c r="F243" s="4" t="s">
        <v>3</v>
      </c>
      <c r="G243" s="4" t="s">
        <v>3</v>
      </c>
      <c r="H243" s="4" t="s">
        <v>3</v>
      </c>
      <c r="I243" s="4" t="s">
        <v>3</v>
      </c>
      <c r="J243" s="4" t="s">
        <v>3</v>
      </c>
      <c r="K243" s="4" t="s">
        <v>3</v>
      </c>
      <c r="L243" s="4" t="s">
        <v>3</v>
      </c>
      <c r="M243" s="4" t="s">
        <v>3</v>
      </c>
      <c r="N243" s="4" t="s">
        <v>3</v>
      </c>
    </row>
    <row r="244" spans="2:5" x14ac:dyDescent="0.25">
      <c r="B244" s="24" t="s">
        <v>168</v>
      </c>
      <c r="C244" s="20">
        <f>Assumptions!$C$66</f>
        <v>1400000000</v>
      </c>
      <c r="D244" s="25">
        <f>Assumptions!$C$64</f>
        <v>0.15</v>
      </c>
      <c r="E244" s="14">
        <f>C244+Assumptions!$C$7</f>
        <v>1430000000</v>
      </c>
    </row>
    <row r="245" spans="2:14" x14ac:dyDescent="0.25">
      <c r="B245" s="16" t="s">
        <v>169</v>
      </c>
      <c r="D245" s="16" t="s">
        <v>170</v>
      </c>
      <c r="E245" s="16" t="s">
        <v>171</v>
      </c>
      <c r="F245" s="16" t="s">
        <v>172</v>
      </c>
      <c r="G245" s="16" t="s">
        <v>173</v>
      </c>
      <c r="H245" s="16" t="s">
        <v>174</v>
      </c>
      <c r="I245" s="16" t="s">
        <v>175</v>
      </c>
      <c r="J245" s="16" t="s">
        <v>176</v>
      </c>
      <c r="K245" s="16" t="s">
        <v>177</v>
      </c>
      <c r="L245" s="16" t="s">
        <v>178</v>
      </c>
      <c r="M245" s="16" t="s">
        <v>179</v>
      </c>
      <c r="N245" s="16" t="s">
        <v>180</v>
      </c>
    </row>
    <row r="246" spans="2:14" x14ac:dyDescent="0.25">
      <c r="B246" s="15">
        <v>1</v>
      </c>
      <c r="D246" s="14">
        <f>($C$244+Assumptions!$C$7)/Assumptions!$C$28</f>
        <v>39.05187402433467</v>
      </c>
      <c r="E246" s="15">
        <f>Assumptions!$C$28+Assumptions!$C$7/D246</f>
        <v>37386169.97202797</v>
      </c>
      <c r="F246" s="14">
        <f>IF(D246&lt;Assumptions!$C$35,(Assumptions!$C$35*Assumptions!$C$28+Assumptions!$C$7)/E246,Assumptions!$C$35)</f>
        <v>57.72657015803428</v>
      </c>
      <c r="G246" s="14">
        <f>IF(D246&lt;Assumptions!$C$36,(Assumptions!$C$36*Assumptions!$C$28+Assumptions!$C$7)/E246,Assumptions!$C$36)</f>
        <v>48.9506444868014</v>
      </c>
      <c r="H246" s="15">
        <f>IF(D246&lt;Assumptions!$C$35,Assumptions!$C$43/F246,Assumptions!$C$24)</f>
        <v>1732304.5475633924</v>
      </c>
      <c r="I246" s="15">
        <f>IF(D246&lt;Assumptions!$C$36,Assumptions!$C$44/G246,Assumptions!$C$25)</f>
        <v>6128622.067088192</v>
      </c>
      <c r="J246" s="15">
        <f>MAX(0,$D$244*($C$244+Assumptions!$C$7)/D246-Assumptions!$C$26-Assumptions!$C$27)</f>
        <v>1098027.15</v>
      </c>
      <c r="K246" s="15">
        <v>0</v>
      </c>
      <c r="L246" s="15">
        <v>0</v>
      </c>
      <c r="M246" s="15">
        <f>Assumptions!$C$28+(H246-Assumptions!$C$24)+(I246-Assumptions!$C$25)+J246+K246+L246</f>
        <v>37753620.76465158</v>
      </c>
      <c r="N246" s="14">
        <f>$C$244/M246</f>
        <v>37.08253596992236</v>
      </c>
    </row>
    <row r="247" spans="2:14" x14ac:dyDescent="0.25">
      <c r="B247" s="15">
        <v>2</v>
      </c>
      <c r="D247" s="14">
        <f>N246</f>
        <v>37.08253596992236</v>
      </c>
      <c r="E247" s="15">
        <f>Assumptions!$C$28+Assumptions!$C$7/D247</f>
        <v>37426967.15924253</v>
      </c>
      <c r="F247" s="14">
        <f>IF(D247&lt;Assumptions!$C$35,(Assumptions!$C$35*Assumptions!$C$28+Assumptions!$C$7)/E247,Assumptions!$C$35)</f>
        <v>57.663645431059436</v>
      </c>
      <c r="G247" s="14">
        <f>IF(D247&lt;Assumptions!$C$36,(Assumptions!$C$36*Assumptions!$C$28+Assumptions!$C$7)/E247,Assumptions!$C$36)</f>
        <v>48.89728593923583</v>
      </c>
      <c r="H247" s="15">
        <f>IF(D247&lt;Assumptions!$C$35,Assumptions!$C$43/F247,Assumptions!$C$24)</f>
        <v>1734194.9030877068</v>
      </c>
      <c r="I247" s="15">
        <f>IF(D247&lt;Assumptions!$C$36,Assumptions!$C$44/G247,Assumptions!$C$25)</f>
        <v>6135309.848747168</v>
      </c>
      <c r="J247" s="15">
        <f>MAX(0,$D$244*($C$244+Assumptions!$C$7)/D247-Assumptions!$C$26-Assumptions!$C$27)</f>
        <v>1389727.038584118</v>
      </c>
      <c r="K247" s="15">
        <f>IF((M246-K246)&lt;=0,0,Assumptions!$C$47/MIN(Assumptions!$C$48/(M246-K246),D247*(1-Assumptions!$C$49)))</f>
        <v>188768.1038232579</v>
      </c>
      <c r="L247" s="15">
        <f>IF((M246-L246)&lt;=0,0,Assumptions!$C$50/MIN(Assumptions!$C$51/(M246-L246),D247*(1-Assumptions!$C$52)))</f>
        <v>95177.19520500398</v>
      </c>
      <c r="M247" s="15">
        <f>Assumptions!$C$28+(H247-Assumptions!$C$24)+(I247-Assumptions!$C$25)+J247+K247+L247</f>
        <v>38337844.08944725</v>
      </c>
      <c r="N247" s="14">
        <f>$C$244/M247</f>
        <v>36.51744205369543</v>
      </c>
    </row>
    <row r="248" spans="2:14" x14ac:dyDescent="0.25">
      <c r="B248" s="15">
        <v>3</v>
      </c>
      <c r="D248" s="14">
        <f>N247</f>
        <v>36.51744205369543</v>
      </c>
      <c r="E248" s="15">
        <f>Assumptions!$C$28+Assumptions!$C$7/D248</f>
        <v>37439486.23048816</v>
      </c>
      <c r="F248" s="14">
        <f>IF(D248&lt;Assumptions!$C$35,(Assumptions!$C$35*Assumptions!$C$28+Assumptions!$C$7)/E248,Assumptions!$C$35)</f>
        <v>57.64436377529658</v>
      </c>
      <c r="G248" s="14">
        <f>IF(D248&lt;Assumptions!$C$36,(Assumptions!$C$36*Assumptions!$C$28+Assumptions!$C$7)/E248,Assumptions!$C$36)</f>
        <v>48.88093559183462</v>
      </c>
      <c r="H248" s="15">
        <f>IF(D248&lt;Assumptions!$C$35,Assumptions!$C$43/F248,Assumptions!$C$24)</f>
        <v>1734774.9797327952</v>
      </c>
      <c r="I248" s="15">
        <f>IF(D248&lt;Assumptions!$C$36,Assumptions!$C$44/G248,Assumptions!$C$25)</f>
        <v>6137362.0690295035</v>
      </c>
      <c r="J248" s="15">
        <f>MAX(0,$D$244*($C$244+Assumptions!$C$7)/D248-Assumptions!$C$26-Assumptions!$C$27)</f>
        <v>1479238.3979903115</v>
      </c>
      <c r="K248" s="15">
        <f>IF((M247-K247)&lt;=0,0,Assumptions!$C$47/MIN(Assumptions!$C$48/(M247-K247),D248*(1-Assumptions!$C$49)))</f>
        <v>190745.37992811998</v>
      </c>
      <c r="L248" s="15">
        <f>IF((M247-L247)&lt;=0,0,Assumptions!$C$50/MIN(Assumptions!$C$51/(M247-L247),D248*(1-Assumptions!$C$52)))</f>
        <v>96650.0271162536</v>
      </c>
      <c r="M248" s="15">
        <f>Assumptions!$C$28+(H248-Assumptions!$C$24)+(I248-Assumptions!$C$25)+J248+K248+L248</f>
        <v>38433437.853796996</v>
      </c>
      <c r="N248" s="14">
        <f>$C$244/M248</f>
        <v>36.42661385967293</v>
      </c>
    </row>
    <row r="249" spans="2:14" x14ac:dyDescent="0.25">
      <c r="B249" s="15">
        <v>4</v>
      </c>
      <c r="D249" s="14">
        <f>N248</f>
        <v>36.42661385967293</v>
      </c>
      <c r="E249" s="15">
        <f>Assumptions!$C$28+Assumptions!$C$7/D249</f>
        <v>37441534.66829565</v>
      </c>
      <c r="F249" s="14">
        <f>IF(D249&lt;Assumptions!$C$35,(Assumptions!$C$35*Assumptions!$C$28+Assumptions!$C$7)/E249,Assumptions!$C$35)</f>
        <v>57.6412100345327</v>
      </c>
      <c r="G249" s="14">
        <f>IF(D249&lt;Assumptions!$C$36,(Assumptions!$C$36*Assumptions!$C$28+Assumptions!$C$7)/E249,Assumptions!$C$36)</f>
        <v>48.878261300905606</v>
      </c>
      <c r="H249" s="15">
        <f>IF(D249&lt;Assumptions!$C$35,Assumptions!$C$43/F249,Assumptions!$C$24)</f>
        <v>1734869.8949950957</v>
      </c>
      <c r="I249" s="15">
        <f>IF(D249&lt;Assumptions!$C$36,Assumptions!$C$44/G249,Assumptions!$C$25)</f>
        <v>6137697.864355941</v>
      </c>
      <c r="J249" s="15">
        <f>MAX(0,$D$244*($C$244+Assumptions!$C$7)/D249-Assumptions!$C$26-Assumptions!$C$27)</f>
        <v>1493884.728313898</v>
      </c>
      <c r="K249" s="15">
        <f>IF((M248-K248)&lt;=0,0,Assumptions!$C$47/MIN(Assumptions!$C$48/(M248-K248),D249*(1-Assumptions!$C$49)))</f>
        <v>191213.4623693444</v>
      </c>
      <c r="L249" s="15">
        <f>IF((M248-L248)&lt;=0,0,Assumptions!$C$50/MIN(Assumptions!$C$51/(M248-L248),D249*(1-Assumptions!$C$52)))</f>
        <v>96891.01979948823</v>
      </c>
      <c r="M249" s="15">
        <f>Assumptions!$C$28+(H249-Assumptions!$C$24)+(I249-Assumptions!$C$25)+J249+K249+L249</f>
        <v>38449223.96983376</v>
      </c>
      <c r="N249" s="14">
        <f>$C$244/M249</f>
        <v>36.41165816762395</v>
      </c>
    </row>
    <row r="250" spans="2:14" x14ac:dyDescent="0.25">
      <c r="B250" s="15">
        <v>5</v>
      </c>
      <c r="D250" s="14">
        <f>N249</f>
        <v>36.41165816762395</v>
      </c>
      <c r="E250" s="15">
        <f>Assumptions!$C$28+Assumptions!$C$7/D250</f>
        <v>37441872.94221073</v>
      </c>
      <c r="F250" s="14">
        <f>IF(D250&lt;Assumptions!$C$35,(Assumptions!$C$35*Assumptions!$C$28+Assumptions!$C$7)/E250,Assumptions!$C$35)</f>
        <v>57.640689266839836</v>
      </c>
      <c r="G250" s="14">
        <f>IF(D250&lt;Assumptions!$C$36,(Assumptions!$C$36*Assumptions!$C$28+Assumptions!$C$7)/E250,Assumptions!$C$36)</f>
        <v>48.87781970331678</v>
      </c>
      <c r="H250" s="15">
        <f>IF(D250&lt;Assumptions!$C$35,Assumptions!$C$43/F250,Assumptions!$C$24)</f>
        <v>1734885.5690649953</v>
      </c>
      <c r="I250" s="15">
        <f>IF(D250&lt;Assumptions!$C$36,Assumptions!$C$44/G250,Assumptions!$C$25)</f>
        <v>6137753.31675939</v>
      </c>
      <c r="J250" s="15">
        <f>MAX(0,$D$244*($C$244+Assumptions!$C$7)/D250-Assumptions!$C$26-Assumptions!$C$27)</f>
        <v>1496303.386806672</v>
      </c>
      <c r="K250" s="15">
        <f>IF((M249-K249)&lt;=0,0,Assumptions!$C$47/MIN(Assumptions!$C$48/(M249-K249),D250*(1-Assumptions!$C$49)))</f>
        <v>191290.0525373221</v>
      </c>
      <c r="L250" s="15">
        <f>IF((M249-L249)&lt;=0,0,Assumptions!$C$50/MIN(Assumptions!$C$51/(M249-L249),D250*(1-Assumptions!$C$52)))</f>
        <v>96930.81673067334</v>
      </c>
      <c r="M250" s="15">
        <f>Assumptions!$C$28+(H250-Assumptions!$C$24)+(I250-Assumptions!$C$25)+J250+K250+L250</f>
        <v>38451830.14189906</v>
      </c>
      <c r="N250" s="14">
        <f>$C$244/M250</f>
        <v>36.409190273481656</v>
      </c>
    </row>
    <row r="251" spans="2:14" x14ac:dyDescent="0.25">
      <c r="B251" s="15">
        <v>6</v>
      </c>
      <c r="D251" s="14">
        <f>N250</f>
        <v>36.409190273481656</v>
      </c>
      <c r="E251" s="15">
        <f>Assumptions!$C$28+Assumptions!$C$7/D251</f>
        <v>37441928.78875498</v>
      </c>
      <c r="F251" s="14">
        <f>IF(D251&lt;Assumptions!$C$35,(Assumptions!$C$35*Assumptions!$C$28+Assumptions!$C$7)/E251,Assumptions!$C$35)</f>
        <v>57.64060329281532</v>
      </c>
      <c r="G251" s="14">
        <f>IF(D251&lt;Assumptions!$C$36,(Assumptions!$C$36*Assumptions!$C$28+Assumptions!$C$7)/E251,Assumptions!$C$36)</f>
        <v>48.877746799558636</v>
      </c>
      <c r="H251" s="15">
        <f>IF(D251&lt;Assumptions!$C$35,Assumptions!$C$43/F251,Assumptions!$C$24)</f>
        <v>1734888.156739064</v>
      </c>
      <c r="I251" s="15">
        <f>IF(D251&lt;Assumptions!$C$36,Assumptions!$C$44/G251,Assumptions!$C$25)</f>
        <v>6137762.471544801</v>
      </c>
      <c r="J251" s="15">
        <f>MAX(0,$D$244*($C$244+Assumptions!$C$7)/D251-Assumptions!$C$26-Assumptions!$C$27)</f>
        <v>1496702.689598106</v>
      </c>
      <c r="K251" s="15">
        <f>IF((M250-K250)&lt;=0,0,Assumptions!$C$47/MIN(Assumptions!$C$48/(M250-K250),D251*(1-Assumptions!$C$49)))</f>
        <v>191302.70044680868</v>
      </c>
      <c r="L251" s="15">
        <f>IF((M250-L250)&lt;=0,0,Assumptions!$C$50/MIN(Assumptions!$C$51/(M250-L250),D251*(1-Assumptions!$C$52)))</f>
        <v>96937.38691235057</v>
      </c>
      <c r="M251" s="15">
        <f>Assumptions!$C$28+(H251-Assumptions!$C$24)+(I251-Assumptions!$C$25)+J251+K251+L251</f>
        <v>38452260.40524112</v>
      </c>
      <c r="N251" s="14">
        <f>$C$244/M251</f>
        <v>36.408782871167105</v>
      </c>
    </row>
    <row r="252" spans="2:14" x14ac:dyDescent="0.25">
      <c r="B252" s="15">
        <v>7</v>
      </c>
      <c r="D252" s="14">
        <f>N251</f>
        <v>36.408782871167105</v>
      </c>
      <c r="E252" s="15">
        <f>Assumptions!$C$28+Assumptions!$C$7/D252</f>
        <v>37441938.00868374</v>
      </c>
      <c r="F252" s="14">
        <f>IF(D252&lt;Assumptions!$C$35,(Assumptions!$C$35*Assumptions!$C$28+Assumptions!$C$7)/E252,Assumptions!$C$35)</f>
        <v>57.64058909904533</v>
      </c>
      <c r="G252" s="14">
        <f>IF(D252&lt;Assumptions!$C$36,(Assumptions!$C$36*Assumptions!$C$28+Assumptions!$C$7)/E252,Assumptions!$C$36)</f>
        <v>48.87773476360731</v>
      </c>
      <c r="H252" s="15">
        <f>IF(D252&lt;Assumptions!$C$35,Assumptions!$C$43/F252,Assumptions!$C$24)</f>
        <v>1734888.5839484984</v>
      </c>
      <c r="I252" s="15">
        <f>IF(D252&lt;Assumptions!$C$36,Assumptions!$C$44/G252,Assumptions!$C$25)</f>
        <v>6137763.982944842</v>
      </c>
      <c r="J252" s="15">
        <f>MAX(0,$D$244*($C$244+Assumptions!$C$7)/D252-Assumptions!$C$26-Assumptions!$C$27)</f>
        <v>1496768.612088729</v>
      </c>
      <c r="K252" s="15">
        <f>IF((M251-K251)&lt;=0,0,Assumptions!$C$47/MIN(Assumptions!$C$48/(M251-K251),D252*(1-Assumptions!$C$49)))</f>
        <v>191304.78852397154</v>
      </c>
      <c r="L252" s="15">
        <f>IF((M251-L251)&lt;=0,0,Assumptions!$C$50/MIN(Assumptions!$C$51/(M251-L251),D252*(1-Assumptions!$C$52)))</f>
        <v>96938.47160985156</v>
      </c>
      <c r="M252" s="15">
        <f>Assumptions!$C$28+(H252-Assumptions!$C$24)+(I252-Assumptions!$C$25)+J252+K252+L252</f>
        <v>38452331.43911589</v>
      </c>
      <c r="N252" s="14">
        <f>$C$244/M252</f>
        <v>36.40871561238653</v>
      </c>
    </row>
    <row r="253" spans="2:14" x14ac:dyDescent="0.25">
      <c r="B253" s="15">
        <v>8</v>
      </c>
      <c r="D253" s="14">
        <f>N252</f>
        <v>36.40871561238653</v>
      </c>
      <c r="E253" s="15">
        <f>Assumptions!$C$28+Assumptions!$C$7/D253</f>
        <v>37441939.5308382</v>
      </c>
      <c r="F253" s="14">
        <f>IF(D253&lt;Assumptions!$C$35,(Assumptions!$C$35*Assumptions!$C$28+Assumptions!$C$7)/E253,Assumptions!$C$35)</f>
        <v>57.64058675574044</v>
      </c>
      <c r="G253" s="14">
        <f>IF(D253&lt;Assumptions!$C$36,(Assumptions!$C$36*Assumptions!$C$28+Assumptions!$C$7)/E253,Assumptions!$C$36)</f>
        <v>48.87773277654513</v>
      </c>
      <c r="H253" s="15">
        <f>IF(D253&lt;Assumptions!$C$35,Assumptions!$C$43/F253,Assumptions!$C$24)</f>
        <v>1734888.6544781916</v>
      </c>
      <c r="I253" s="15">
        <f>IF(D253&lt;Assumptions!$C$36,Assumptions!$C$44/G253,Assumptions!$C$25)</f>
        <v>6137764.232467846</v>
      </c>
      <c r="J253" s="15">
        <f>MAX(0,$D$244*($C$244+Assumptions!$C$7)/D253-Assumptions!$C$26-Assumptions!$C$27)</f>
        <v>1496779.495493113</v>
      </c>
      <c r="K253" s="15">
        <f>IF((M252-K252)&lt;=0,0,Assumptions!$C$47/MIN(Assumptions!$C$48/(M252-K252),D253*(1-Assumptions!$C$49)))</f>
        <v>191305.1332529596</v>
      </c>
      <c r="L253" s="15">
        <f>IF((M252-L252)&lt;=0,0,Assumptions!$C$50/MIN(Assumptions!$C$51/(M252-L252),D253*(1-Assumptions!$C$52)))</f>
        <v>96938.65068684677</v>
      </c>
      <c r="M253" s="15">
        <f>Assumptions!$C$28+(H253-Assumptions!$C$24)+(I253-Assumptions!$C$25)+J253+K253+L253</f>
        <v>38452343.16637896</v>
      </c>
      <c r="N253" s="14">
        <f>$C$244/M253</f>
        <v>36.408704508392574</v>
      </c>
    </row>
    <row r="254" spans="2:14" x14ac:dyDescent="0.25">
      <c r="B254" s="15">
        <v>9</v>
      </c>
      <c r="D254" s="14">
        <f>N253</f>
        <v>36.408704508392574</v>
      </c>
      <c r="E254" s="15">
        <f>Assumptions!$C$28+Assumptions!$C$7/D254</f>
        <v>37441939.78213669</v>
      </c>
      <c r="F254" s="14">
        <f>IF(D254&lt;Assumptions!$C$35,(Assumptions!$C$35*Assumptions!$C$28+Assumptions!$C$7)/E254,Assumptions!$C$35)</f>
        <v>57.640586368875006</v>
      </c>
      <c r="G254" s="14">
        <f>IF(D254&lt;Assumptions!$C$36,(Assumptions!$C$36*Assumptions!$C$28+Assumptions!$C$7)/E254,Assumptions!$C$36)</f>
        <v>48.877732448493205</v>
      </c>
      <c r="H254" s="15">
        <f>IF(D254&lt;Assumptions!$C$35,Assumptions!$C$43/F254,Assumptions!$C$24)</f>
        <v>1734888.666122217</v>
      </c>
      <c r="I254" s="15">
        <f>IF(D254&lt;Assumptions!$C$36,Assumptions!$C$44/G254,Assumptions!$C$25)</f>
        <v>6137764.273662584</v>
      </c>
      <c r="J254" s="15">
        <f>MAX(0,$D$244*($C$244+Assumptions!$C$7)/D254-Assumptions!$C$26-Assumptions!$C$27)</f>
        <v>1496781.292277347</v>
      </c>
      <c r="K254" s="15">
        <f>IF((M253-K253)&lt;=0,0,Assumptions!$C$47/MIN(Assumptions!$C$48/(M253-K253),D254*(1-Assumptions!$C$49)))</f>
        <v>191305.19016563002</v>
      </c>
      <c r="L254" s="15">
        <f>IF((M253-L253)&lt;=0,0,Assumptions!$C$50/MIN(Assumptions!$C$51/(M253-L253),D254*(1-Assumptions!$C$52)))</f>
        <v>96938.68025137554</v>
      </c>
      <c r="M254" s="15">
        <f>Assumptions!$C$28+(H254-Assumptions!$C$24)+(I254-Assumptions!$C$25)+J254+K254+L254</f>
        <v>38452345.10247915</v>
      </c>
      <c r="N254" s="14">
        <f>$C$244/M254</f>
        <v>36.408702675190995</v>
      </c>
    </row>
    <row r="255" spans="2:14" x14ac:dyDescent="0.25">
      <c r="B255" s="15">
        <v>10</v>
      </c>
      <c r="D255" s="14">
        <f>N254</f>
        <v>36.408702675190995</v>
      </c>
      <c r="E255" s="15">
        <f>Assumptions!$C$28+Assumptions!$C$7/D255</f>
        <v>37441939.82362455</v>
      </c>
      <c r="F255" s="14">
        <f>IF(D255&lt;Assumptions!$C$35,(Assumptions!$C$35*Assumptions!$C$28+Assumptions!$C$7)/E255,Assumptions!$C$35)</f>
        <v>57.64058630500587</v>
      </c>
      <c r="G255" s="14">
        <f>IF(D255&lt;Assumptions!$C$36,(Assumptions!$C$36*Assumptions!$C$28+Assumptions!$C$7)/E255,Assumptions!$C$36)</f>
        <v>48.87773239433381</v>
      </c>
      <c r="H255" s="15">
        <f>IF(D255&lt;Assumptions!$C$35,Assumptions!$C$43/F255,Assumptions!$C$24)</f>
        <v>1734888.668044575</v>
      </c>
      <c r="I255" s="15">
        <f>IF(D255&lt;Assumptions!$C$36,Assumptions!$C$44/G255,Assumptions!$C$25)</f>
        <v>6137764.280463587</v>
      </c>
      <c r="J255" s="15">
        <f>MAX(0,$D$244*($C$244+Assumptions!$C$7)/D255-Assumptions!$C$26-Assumptions!$C$27)</f>
        <v>1496781.588915556</v>
      </c>
      <c r="K255" s="15">
        <f>IF((M254-K254)&lt;=0,0,Assumptions!$C$47/MIN(Assumptions!$C$48/(M254-K254),D255*(1-Assumptions!$C$49)))</f>
        <v>191305.1995615676</v>
      </c>
      <c r="L255" s="15">
        <f>IF((M254-L254)&lt;=0,0,Assumptions!$C$50/MIN(Assumptions!$C$51/(M254-L254),D255*(1-Assumptions!$C$52)))</f>
        <v>96938.68513230038</v>
      </c>
      <c r="M255" s="15">
        <f>Assumptions!$C$28+(H255-Assumptions!$C$24)+(I255-Assumptions!$C$25)+J255+K255+L255</f>
        <v>38452345.42211758</v>
      </c>
      <c r="N255" s="14">
        <f>$C$244/M255</f>
        <v>36.408702372540525</v>
      </c>
    </row>
    <row r="256" spans="2:14" x14ac:dyDescent="0.25">
      <c r="B256" s="15">
        <v>11</v>
      </c>
      <c r="D256" s="14">
        <f>N255</f>
        <v>36.408702372540525</v>
      </c>
      <c r="E256" s="15">
        <f>Assumptions!$C$28+Assumptions!$C$7/D256</f>
        <v>37441939.830473945</v>
      </c>
      <c r="F256" s="14">
        <f>IF(D256&lt;Assumptions!$C$35,(Assumptions!$C$35*Assumptions!$C$28+Assumptions!$C$7)/E256,Assumptions!$C$35)</f>
        <v>57.64058629446146</v>
      </c>
      <c r="G256" s="14">
        <f>IF(D256&lt;Assumptions!$C$36,(Assumptions!$C$36*Assumptions!$C$28+Assumptions!$C$7)/E256,Assumptions!$C$36)</f>
        <v>48.87773238539243</v>
      </c>
      <c r="H256" s="15">
        <f>IF(D256&lt;Assumptions!$C$35,Assumptions!$C$43/F256,Assumptions!$C$24)</f>
        <v>1734888.6683619446</v>
      </c>
      <c r="I256" s="15">
        <f>IF(D256&lt;Assumptions!$C$36,Assumptions!$C$44/G256,Assumptions!$C$25)</f>
        <v>6137764.28158639</v>
      </c>
      <c r="J256" s="15">
        <f>MAX(0,$D$244*($C$244+Assumptions!$C$7)/D256-Assumptions!$C$26-Assumptions!$C$27)</f>
        <v>1496781.637888729</v>
      </c>
      <c r="K256" s="15">
        <f>IF((M255-K255)&lt;=0,0,Assumptions!$C$47/MIN(Assumptions!$C$48/(M255-K255),D256*(1-Assumptions!$C$49)))</f>
        <v>191305.20111278005</v>
      </c>
      <c r="L256" s="15">
        <f>IF((M255-L255)&lt;=0,0,Assumptions!$C$50/MIN(Assumptions!$C$51/(M255-L255),D256*(1-Assumptions!$C$52)))</f>
        <v>96938.68593811154</v>
      </c>
      <c r="M256" s="15">
        <f>Assumptions!$C$28+(H256-Assumptions!$C$24)+(I256-Assumptions!$C$25)+J256+K256+L256</f>
        <v>38452345.47488796</v>
      </c>
      <c r="N256" s="14">
        <f>$C$244/M256</f>
        <v>36.408702322574754</v>
      </c>
    </row>
    <row r="257" spans="2:14" x14ac:dyDescent="0.25">
      <c r="B257" s="15">
        <v>12</v>
      </c>
      <c r="D257" s="14">
        <f>N256</f>
        <v>36.408702322574754</v>
      </c>
      <c r="E257" s="15">
        <f>Assumptions!$C$28+Assumptions!$C$7/D257</f>
        <v>37441939.83160474</v>
      </c>
      <c r="F257" s="14">
        <f>IF(D257&lt;Assumptions!$C$35,(Assumptions!$C$35*Assumptions!$C$28+Assumptions!$C$7)/E257,Assumptions!$C$35)</f>
        <v>57.640586292720634</v>
      </c>
      <c r="G257" s="14">
        <f>IF(D257&lt;Assumptions!$C$36,(Assumptions!$C$36*Assumptions!$C$28+Assumptions!$C$7)/E257,Assumptions!$C$36)</f>
        <v>48.87773238391625</v>
      </c>
      <c r="H257" s="15">
        <f>IF(D257&lt;Assumptions!$C$35,Assumptions!$C$43/F257,Assumptions!$C$24)</f>
        <v>1734888.6684143408</v>
      </c>
      <c r="I257" s="15">
        <f>IF(D257&lt;Assumptions!$C$36,Assumptions!$C$44/G257,Assumptions!$C$25)</f>
        <v>6137764.2817717595</v>
      </c>
      <c r="J257" s="15">
        <f>MAX(0,$D$244*($C$244+Assumptions!$C$7)/D257-Assumptions!$C$26-Assumptions!$C$27)</f>
        <v>1496781.645973905</v>
      </c>
      <c r="K257" s="15">
        <f>IF((M256-K256)&lt;=0,0,Assumptions!$C$47/MIN(Assumptions!$C$48/(M256-K256),D257*(1-Assumptions!$C$49)))</f>
        <v>191305.20136887592</v>
      </c>
      <c r="L257" s="15">
        <f>IF((M256-L256)&lt;=0,0,Assumptions!$C$50/MIN(Assumptions!$C$51/(M256-L256),D257*(1-Assumptions!$C$52)))</f>
        <v>96938.6860711461</v>
      </c>
      <c r="M257" s="15">
        <f>Assumptions!$C$28+(H257-Assumptions!$C$24)+(I257-Assumptions!$C$25)+J257+K257+L257</f>
        <v>38452345.48360003</v>
      </c>
      <c r="N257" s="14">
        <f>$C$244/M257</f>
        <v>36.40870231432571</v>
      </c>
    </row>
    <row r="258" spans="2:14" x14ac:dyDescent="0.25">
      <c r="B258" s="15">
        <v>13</v>
      </c>
      <c r="D258" s="14">
        <f>N257</f>
        <v>36.40870231432571</v>
      </c>
      <c r="E258" s="15">
        <f>Assumptions!$C$28+Assumptions!$C$7/D258</f>
        <v>37441939.83179143</v>
      </c>
      <c r="F258" s="14">
        <f>IF(D258&lt;Assumptions!$C$35,(Assumptions!$C$35*Assumptions!$C$28+Assumptions!$C$7)/E258,Assumptions!$C$35)</f>
        <v>57.640586292433234</v>
      </c>
      <c r="G258" s="14">
        <f>IF(D258&lt;Assumptions!$C$36,(Assumptions!$C$36*Assumptions!$C$28+Assumptions!$C$7)/E258,Assumptions!$C$36)</f>
        <v>48.877732383672544</v>
      </c>
      <c r="H258" s="15">
        <f>IF(D258&lt;Assumptions!$C$35,Assumptions!$C$43/F258,Assumptions!$C$24)</f>
        <v>1734888.668422991</v>
      </c>
      <c r="I258" s="15">
        <f>IF(D258&lt;Assumptions!$C$36,Assumptions!$C$44/G258,Assumptions!$C$25)</f>
        <v>6137764.281802363</v>
      </c>
      <c r="J258" s="15">
        <f>MAX(0,$D$244*($C$244+Assumptions!$C$7)/D258-Assumptions!$C$26-Assumptions!$C$27)</f>
        <v>1496781.647308718</v>
      </c>
      <c r="K258" s="15">
        <f>IF((M257-K257)&lt;=0,0,Assumptions!$C$47/MIN(Assumptions!$C$48/(M257-K257),D258*(1-Assumptions!$C$49)))</f>
        <v>191305.20141115575</v>
      </c>
      <c r="L258" s="15">
        <f>IF((M257-L257)&lt;=0,0,Assumptions!$C$50/MIN(Assumptions!$C$51/(M257-L257),D258*(1-Assumptions!$C$52)))</f>
        <v>96938.68609310931</v>
      </c>
      <c r="M258" s="15">
        <f>Assumptions!$C$28+(H258-Assumptions!$C$24)+(I258-Assumptions!$C$25)+J258+K258+L258</f>
        <v>38452345.48503833</v>
      </c>
      <c r="N258" s="14">
        <f>$C$244/M258</f>
        <v>36.40870231296385</v>
      </c>
    </row>
    <row r="259" spans="2:14" x14ac:dyDescent="0.25">
      <c r="B259" s="15">
        <v>14</v>
      </c>
      <c r="D259" s="14">
        <f>N258</f>
        <v>36.40870231296385</v>
      </c>
      <c r="E259" s="15">
        <f>Assumptions!$C$28+Assumptions!$C$7/D259</f>
        <v>37441939.83182225</v>
      </c>
      <c r="F259" s="14">
        <f>IF(D259&lt;Assumptions!$C$35,(Assumptions!$C$35*Assumptions!$C$28+Assumptions!$C$7)/E259,Assumptions!$C$35)</f>
        <v>57.64058629238579</v>
      </c>
      <c r="G259" s="14">
        <f>IF(D259&lt;Assumptions!$C$36,(Assumptions!$C$36*Assumptions!$C$28+Assumptions!$C$7)/E259,Assumptions!$C$36)</f>
        <v>48.87773238363231</v>
      </c>
      <c r="H259" s="15">
        <f>IF(D259&lt;Assumptions!$C$35,Assumptions!$C$43/F259,Assumptions!$C$24)</f>
        <v>1734888.668424419</v>
      </c>
      <c r="I259" s="15">
        <f>IF(D259&lt;Assumptions!$C$36,Assumptions!$C$44/G259,Assumptions!$C$25)</f>
        <v>6137764.281807415</v>
      </c>
      <c r="J259" s="15">
        <f>MAX(0,$D$244*($C$244+Assumptions!$C$7)/D259-Assumptions!$C$26-Assumptions!$C$27)</f>
        <v>1496781.647529087</v>
      </c>
      <c r="K259" s="15">
        <f>IF((M258-K258)&lt;=0,0,Assumptions!$C$47/MIN(Assumptions!$C$48/(M258-K258),D259*(1-Assumptions!$C$49)))</f>
        <v>191305.20141813587</v>
      </c>
      <c r="L259" s="15">
        <f>IF((M258-L258)&lt;=0,0,Assumptions!$C$50/MIN(Assumptions!$C$51/(M258-L258),D259*(1-Assumptions!$C$52)))</f>
        <v>96938.68609673528</v>
      </c>
      <c r="M259" s="15">
        <f>Assumptions!$C$28+(H259-Assumptions!$C$24)+(I259-Assumptions!$C$25)+J259+K259+L259</f>
        <v>38452345.48527579</v>
      </c>
      <c r="N259" s="14">
        <f>$C$244/M259</f>
        <v>36.40870231273901</v>
      </c>
    </row>
    <row r="260" spans="2:14" x14ac:dyDescent="0.25">
      <c r="B260" s="15">
        <v>15</v>
      </c>
      <c r="D260" s="14">
        <f>N259</f>
        <v>36.40870231273901</v>
      </c>
      <c r="E260" s="15">
        <f>Assumptions!$C$28+Assumptions!$C$7/D260</f>
        <v>37441939.831827335</v>
      </c>
      <c r="F260" s="14">
        <f>IF(D260&lt;Assumptions!$C$35,(Assumptions!$C$35*Assumptions!$C$28+Assumptions!$C$7)/E260,Assumptions!$C$35)</f>
        <v>57.64058629237796</v>
      </c>
      <c r="G260" s="14">
        <f>IF(D260&lt;Assumptions!$C$36,(Assumptions!$C$36*Assumptions!$C$28+Assumptions!$C$7)/E260,Assumptions!$C$36)</f>
        <v>48.87773238362568</v>
      </c>
      <c r="H260" s="15">
        <f>IF(D260&lt;Assumptions!$C$35,Assumptions!$C$43/F260,Assumptions!$C$24)</f>
        <v>1734888.6684246548</v>
      </c>
      <c r="I260" s="15">
        <f>IF(D260&lt;Assumptions!$C$36,Assumptions!$C$44/G260,Assumptions!$C$25)</f>
        <v>6137764.281808248</v>
      </c>
      <c r="J260" s="15">
        <f>MAX(0,$D$244*($C$244+Assumptions!$C$7)/D260-Assumptions!$C$26-Assumptions!$C$27)</f>
        <v>1496781.647565469</v>
      </c>
      <c r="K260" s="15">
        <f>IF((M259-K259)&lt;=0,0,Assumptions!$C$47/MIN(Assumptions!$C$48/(M259-K259),D260*(1-Assumptions!$C$49)))</f>
        <v>191305.20141928826</v>
      </c>
      <c r="L260" s="15">
        <f>IF((M259-L259)&lt;=0,0,Assumptions!$C$50/MIN(Assumptions!$C$51/(M259-L259),D260*(1-Assumptions!$C$52)))</f>
        <v>96938.68609733392</v>
      </c>
      <c r="M260" s="15">
        <f>Assumptions!$C$28+(H260-Assumptions!$C$24)+(I260-Assumptions!$C$25)+J260+K260+L260</f>
        <v>38452345.485315</v>
      </c>
      <c r="N260" s="14">
        <f>$C$244/M260</f>
        <v>36.408702312701884</v>
      </c>
    </row>
    <row r="261" spans="2:14" x14ac:dyDescent="0.25">
      <c r="B261" s="15">
        <v>16</v>
      </c>
      <c r="D261" s="14">
        <f>N260</f>
        <v>36.408702312701884</v>
      </c>
      <c r="E261" s="15">
        <f>Assumptions!$C$28+Assumptions!$C$7/D261</f>
        <v>37441939.83182818</v>
      </c>
      <c r="F261" s="14">
        <f>IF(D261&lt;Assumptions!$C$35,(Assumptions!$C$35*Assumptions!$C$28+Assumptions!$C$7)/E261,Assumptions!$C$35)</f>
        <v>57.64058629237666</v>
      </c>
      <c r="G261" s="14">
        <f>IF(D261&lt;Assumptions!$C$36,(Assumptions!$C$36*Assumptions!$C$28+Assumptions!$C$7)/E261,Assumptions!$C$36)</f>
        <v>48.877732383624576</v>
      </c>
      <c r="H261" s="15">
        <f>IF(D261&lt;Assumptions!$C$35,Assumptions!$C$43/F261,Assumptions!$C$24)</f>
        <v>1734888.6684246939</v>
      </c>
      <c r="I261" s="15">
        <f>IF(D261&lt;Assumptions!$C$36,Assumptions!$C$44/G261,Assumptions!$C$25)</f>
        <v>6137764.281808387</v>
      </c>
      <c r="J261" s="15">
        <f>MAX(0,$D$244*($C$244+Assumptions!$C$7)/D261-Assumptions!$C$26-Assumptions!$C$27)</f>
        <v>1496781.647571476</v>
      </c>
      <c r="K261" s="15">
        <f>IF((M260-K260)&lt;=0,0,Assumptions!$C$47/MIN(Assumptions!$C$48/(M260-K260),D261*(1-Assumptions!$C$49)))</f>
        <v>191305.20141947854</v>
      </c>
      <c r="L261" s="15">
        <f>IF((M260-L260)&lt;=0,0,Assumptions!$C$50/MIN(Assumptions!$C$51/(M260-L260),D261*(1-Assumptions!$C$52)))</f>
        <v>96938.68609743276</v>
      </c>
      <c r="M261" s="15">
        <f>Assumptions!$C$28+(H261-Assumptions!$C$24)+(I261-Assumptions!$C$25)+J261+K261+L261</f>
        <v>38452345.48532147</v>
      </c>
      <c r="N261" s="14">
        <f>$C$244/M261</f>
        <v>36.40870231269576</v>
      </c>
    </row>
    <row r="262" spans="2:14" x14ac:dyDescent="0.25">
      <c r="B262" s="15">
        <v>17</v>
      </c>
      <c r="D262" s="14">
        <f>N261</f>
        <v>36.40870231269576</v>
      </c>
      <c r="E262" s="15">
        <f>Assumptions!$C$28+Assumptions!$C$7/D262</f>
        <v>37441939.83182832</v>
      </c>
      <c r="F262" s="14">
        <f>IF(D262&lt;Assumptions!$C$35,(Assumptions!$C$35*Assumptions!$C$28+Assumptions!$C$7)/E262,Assumptions!$C$35)</f>
        <v>57.64058629237644</v>
      </c>
      <c r="G262" s="14">
        <f>IF(D262&lt;Assumptions!$C$36,(Assumptions!$C$36*Assumptions!$C$28+Assumptions!$C$7)/E262,Assumptions!$C$36)</f>
        <v>48.87773238362439</v>
      </c>
      <c r="H262" s="15">
        <f>IF(D262&lt;Assumptions!$C$35,Assumptions!$C$43/F262,Assumptions!$C$24)</f>
        <v>1734888.6684247004</v>
      </c>
      <c r="I262" s="15">
        <f>IF(D262&lt;Assumptions!$C$36,Assumptions!$C$44/G262,Assumptions!$C$25)</f>
        <v>6137764.28180841</v>
      </c>
      <c r="J262" s="15">
        <f>MAX(0,$D$244*($C$244+Assumptions!$C$7)/D262-Assumptions!$C$26-Assumptions!$C$27)</f>
        <v>1496781.647572467</v>
      </c>
      <c r="K262" s="15">
        <f>IF((M261-K261)&lt;=0,0,Assumptions!$C$47/MIN(Assumptions!$C$48/(M261-K261),D262*(1-Assumptions!$C$49)))</f>
        <v>191305.20141950995</v>
      </c>
      <c r="L262" s="15">
        <f>IF((M261-L261)&lt;=0,0,Assumptions!$C$50/MIN(Assumptions!$C$51/(M261-L261),D262*(1-Assumptions!$C$52)))</f>
        <v>96938.68609744907</v>
      </c>
      <c r="M262" s="15">
        <f>Assumptions!$C$28+(H262-Assumptions!$C$24)+(I262-Assumptions!$C$25)+J262+K262+L262</f>
        <v>38452345.485322535</v>
      </c>
      <c r="N262" s="14">
        <f>$C$244/M262</f>
        <v>36.40870231269475</v>
      </c>
    </row>
    <row r="263" spans="2:14" x14ac:dyDescent="0.25">
      <c r="B263" s="15">
        <v>18</v>
      </c>
      <c r="D263" s="14">
        <f>N262</f>
        <v>36.40870231269475</v>
      </c>
      <c r="E263" s="15">
        <f>Assumptions!$C$28+Assumptions!$C$7/D263</f>
        <v>37441939.83182834</v>
      </c>
      <c r="F263" s="14">
        <f>IF(D263&lt;Assumptions!$C$35,(Assumptions!$C$35*Assumptions!$C$28+Assumptions!$C$7)/E263,Assumptions!$C$35)</f>
        <v>57.64058629237641</v>
      </c>
      <c r="G263" s="14">
        <f>IF(D263&lt;Assumptions!$C$36,(Assumptions!$C$36*Assumptions!$C$28+Assumptions!$C$7)/E263,Assumptions!$C$36)</f>
        <v>48.87773238362436</v>
      </c>
      <c r="H263" s="15">
        <f>IF(D263&lt;Assumptions!$C$35,Assumptions!$C$43/F263,Assumptions!$C$24)</f>
        <v>1734888.6684247013</v>
      </c>
      <c r="I263" s="15">
        <f>IF(D263&lt;Assumptions!$C$36,Assumptions!$C$44/G263,Assumptions!$C$25)</f>
        <v>6137764.281808414</v>
      </c>
      <c r="J263" s="15">
        <f>MAX(0,$D$244*($C$244+Assumptions!$C$7)/D263-Assumptions!$C$26-Assumptions!$C$27)</f>
        <v>1496781.647572631</v>
      </c>
      <c r="K263" s="15">
        <f>IF((M262-K262)&lt;=0,0,Assumptions!$C$47/MIN(Assumptions!$C$48/(M262-K262),D263*(1-Assumptions!$C$49)))</f>
        <v>191305.20141951513</v>
      </c>
      <c r="L263" s="15">
        <f>IF((M262-L262)&lt;=0,0,Assumptions!$C$50/MIN(Assumptions!$C$51/(M262-L262),D263*(1-Assumptions!$C$52)))</f>
        <v>96938.68609745175</v>
      </c>
      <c r="M263" s="15">
        <f>Assumptions!$C$28+(H263-Assumptions!$C$24)+(I263-Assumptions!$C$25)+J263+K263+L263</f>
        <v>38452345.485322714</v>
      </c>
      <c r="N263" s="14">
        <f>$C$244/M263</f>
        <v>36.40870231269458</v>
      </c>
    </row>
    <row r="264" spans="2:14" x14ac:dyDescent="0.25">
      <c r="B264" s="15">
        <v>19</v>
      </c>
      <c r="D264" s="14">
        <f>N263</f>
        <v>36.40870231269458</v>
      </c>
      <c r="E264" s="15">
        <f>Assumptions!$C$28+Assumptions!$C$7/D264</f>
        <v>37441939.83182834</v>
      </c>
      <c r="F264" s="14">
        <f>IF(D264&lt;Assumptions!$C$35,(Assumptions!$C$35*Assumptions!$C$28+Assumptions!$C$7)/E264,Assumptions!$C$35)</f>
        <v>57.64058629237641</v>
      </c>
      <c r="G264" s="14">
        <f>IF(D264&lt;Assumptions!$C$36,(Assumptions!$C$36*Assumptions!$C$28+Assumptions!$C$7)/E264,Assumptions!$C$36)</f>
        <v>48.87773238362436</v>
      </c>
      <c r="H264" s="15">
        <f>IF(D264&lt;Assumptions!$C$35,Assumptions!$C$43/F264,Assumptions!$C$24)</f>
        <v>1734888.6684247013</v>
      </c>
      <c r="I264" s="15">
        <f>IF(D264&lt;Assumptions!$C$36,Assumptions!$C$44/G264,Assumptions!$C$25)</f>
        <v>6137764.281808414</v>
      </c>
      <c r="J264" s="15">
        <f>MAX(0,$D$244*($C$244+Assumptions!$C$7)/D264-Assumptions!$C$26-Assumptions!$C$27)</f>
        <v>1496781.647572658</v>
      </c>
      <c r="K264" s="15">
        <f>IF((M263-K263)&lt;=0,0,Assumptions!$C$47/MIN(Assumptions!$C$48/(M263-K263),D264*(1-Assumptions!$C$49)))</f>
        <v>191305.20141951597</v>
      </c>
      <c r="L264" s="15">
        <f>IF((M263-L263)&lt;=0,0,Assumptions!$C$50/MIN(Assumptions!$C$51/(M263-L263),D264*(1-Assumptions!$C$52)))</f>
        <v>96938.68609745221</v>
      </c>
      <c r="M264" s="15">
        <f>Assumptions!$C$28+(H264-Assumptions!$C$24)+(I264-Assumptions!$C$25)+J264+K264+L264</f>
        <v>38452345.48532274</v>
      </c>
      <c r="N264" s="14">
        <f>$C$244/M264</f>
        <v>36.40870231269455</v>
      </c>
    </row>
    <row r="265" spans="2:14" x14ac:dyDescent="0.25">
      <c r="B265" s="15">
        <v>20</v>
      </c>
      <c r="D265" s="14">
        <f>N264</f>
        <v>36.40870231269455</v>
      </c>
      <c r="E265" s="15">
        <f>Assumptions!$C$28+Assumptions!$C$7/D265</f>
        <v>37441939.83182834</v>
      </c>
      <c r="F265" s="14">
        <f>IF(D265&lt;Assumptions!$C$35,(Assumptions!$C$35*Assumptions!$C$28+Assumptions!$C$7)/E265,Assumptions!$C$35)</f>
        <v>57.64058629237641</v>
      </c>
      <c r="G265" s="14">
        <f>IF(D265&lt;Assumptions!$C$36,(Assumptions!$C$36*Assumptions!$C$28+Assumptions!$C$7)/E265,Assumptions!$C$36)</f>
        <v>48.87773238362436</v>
      </c>
      <c r="H265" s="15">
        <f>IF(D265&lt;Assumptions!$C$35,Assumptions!$C$43/F265,Assumptions!$C$24)</f>
        <v>1734888.6684247013</v>
      </c>
      <c r="I265" s="15">
        <f>IF(D265&lt;Assumptions!$C$36,Assumptions!$C$44/G265,Assumptions!$C$25)</f>
        <v>6137764.281808414</v>
      </c>
      <c r="J265" s="15">
        <f>MAX(0,$D$244*($C$244+Assumptions!$C$7)/D265-Assumptions!$C$26-Assumptions!$C$27)</f>
        <v>1496781.647572664</v>
      </c>
      <c r="K265" s="15">
        <f>IF((M264-K264)&lt;=0,0,Assumptions!$C$47/MIN(Assumptions!$C$48/(M264-K264),D265*(1-Assumptions!$C$49)))</f>
        <v>191305.20141951612</v>
      </c>
      <c r="L265" s="15">
        <f>IF((M264-L264)&lt;=0,0,Assumptions!$C$50/MIN(Assumptions!$C$51/(M264-L264),D265*(1-Assumptions!$C$52)))</f>
        <v>96938.68609745229</v>
      </c>
      <c r="M265" s="15">
        <f>Assumptions!$C$28+(H265-Assumptions!$C$24)+(I265-Assumptions!$C$25)+J265+K265+L265</f>
        <v>38452345.48532274</v>
      </c>
      <c r="N265" s="14">
        <f>$C$244/M265</f>
        <v>36.40870231269455</v>
      </c>
    </row>
    <row r="266" spans="2:12" x14ac:dyDescent="0.25">
      <c r="B266" s="10" t="s">
        <v>181</v>
      </c>
      <c r="D266" s="13">
        <f>N265</f>
        <v>36.40870231269455</v>
      </c>
      <c r="E266" s="11">
        <f>$E$244/D266</f>
        <v>39276324.317151085</v>
      </c>
      <c r="H266" s="11">
        <f>H265</f>
        <v>1734888.6684247013</v>
      </c>
      <c r="I266" s="11">
        <f>I265</f>
        <v>6137764.281808414</v>
      </c>
      <c r="J266" s="11">
        <f>J265</f>
        <v>1496781.647572664</v>
      </c>
      <c r="K266" s="11">
        <f>K265</f>
        <v>191305.20141951612</v>
      </c>
      <c r="L266" s="11">
        <f>L265</f>
        <v>96938.68609745229</v>
      </c>
    </row>
    <row r="267" spans="2:3" x14ac:dyDescent="0.25">
      <c r="B267" s="24" t="s">
        <v>182</v>
      </c>
      <c r="C267" s="15">
        <f>Assumptions!$C$16+Assumptions!$C$17+Assumptions!$C$18+Assumptions!$C$19+Assumptions!$C$20+Assumptions!$C$21+Assumptions!$C$22+Assumptions!$C$23+$H$266+$I$266+(Assumptions!$C$7/$D$266)+$K$266+$L$266+Assumptions!$C$26</f>
        <v>35884875.669578426</v>
      </c>
    </row>
    <row r="268" spans="2:3" x14ac:dyDescent="0.25">
      <c r="B268" s="24" t="s">
        <v>183</v>
      </c>
      <c r="C268" s="14">
        <f>Assumptions!$C$57+Assumptions!$C$26*Assumptions!$C$13</f>
        <v>2002500000</v>
      </c>
    </row>
    <row r="269" spans="2:3" x14ac:dyDescent="0.25">
      <c r="B269" s="24" t="s">
        <v>184</v>
      </c>
      <c r="C269" s="14">
        <f>$C$268/$C$267</f>
        <v>55.80345375691601</v>
      </c>
    </row>
    <row r="270" spans="2:10" x14ac:dyDescent="0.25">
      <c r="B270" s="24" t="s">
        <v>185</v>
      </c>
      <c r="D270" s="15" t="str">
        <f>IF(Assumptions!$C$7&gt;(Assumptions!$C$7/$D$266)*$C$269,"preference","convert")</f>
        <v>convert</v>
      </c>
      <c r="E270" s="15" t="str">
        <f>IF(Assumptions!$C$44&gt;$I$266*$C$269,"preference","convert")</f>
        <v>convert</v>
      </c>
      <c r="F270" s="15" t="str">
        <f>IF(Assumptions!$C$43&gt;$H$266*$C$269,"preference","convert")</f>
        <v>preference</v>
      </c>
      <c r="G270" s="15" t="str">
        <f>IF(Assumptions!$C$42&gt;Assumptions!$C$23*$C$269,"preference","convert")</f>
        <v>convert</v>
      </c>
      <c r="H270" s="15" t="str">
        <f>IF(Assumptions!$C$41&gt;Assumptions!$C$22*$C$269,"preference","convert")</f>
        <v>convert</v>
      </c>
      <c r="I270" s="15" t="str">
        <f>IF(Assumptions!$C$40&gt;Assumptions!$C$21*$C$269,"preference","convert")</f>
        <v>convert</v>
      </c>
      <c r="J270" s="15" t="str">
        <f>IF(Assumptions!$C$39&gt;Assumptions!$C$20*$C$269,"preference","convert")</f>
        <v>convert</v>
      </c>
    </row>
    <row r="271" spans="2:3" x14ac:dyDescent="0.25">
      <c r="B271" s="24" t="s">
        <v>186</v>
      </c>
      <c r="C271" s="14">
        <f>($C$268-(IF($D$270="preference",Assumptions!$C$7,0)+IF($E$270="preference",Assumptions!$C$44,0)+IF($F$270="preference",Assumptions!$C$43,0)+IF($G$270="preference",Assumptions!$C$42,0)+IF($H$270="preference",Assumptions!$C$41,0)+IF($I$270="preference",Assumptions!$C$40,0)+IF($J$270="preference",Assumptions!$C$39,0)))/($C$267-(IF($D$270="preference",Assumptions!$C$7/$D$266,0)+IF($E$270="preference",$I$266,0)+IF($F$270="preference",$H$266,0)+IF($G$270="preference",Assumptions!$C$23,0)+IF($H$270="preference",Assumptions!$C$22,0)+IF($I$270="preference",Assumptions!$C$21,0)+IF($J$270="preference",Assumptions!$C$20,0)))</f>
        <v>55.71012369450466</v>
      </c>
    </row>
    <row r="272" spans="2:10" x14ac:dyDescent="0.25">
      <c r="B272" s="24" t="s">
        <v>187</v>
      </c>
      <c r="D272" s="15" t="str">
        <f>IF(Assumptions!$C$7&gt;(Assumptions!$C$7/$D$266)*$C$271,"preference","convert")</f>
        <v>convert</v>
      </c>
      <c r="E272" s="15" t="str">
        <f>IF(Assumptions!$C$44&gt;$I$266*$C$271,"preference","convert")</f>
        <v>convert</v>
      </c>
      <c r="F272" s="15" t="str">
        <f>IF(Assumptions!$C$43&gt;$H$266*$C$271,"preference","convert")</f>
        <v>preference</v>
      </c>
      <c r="G272" s="15" t="str">
        <f>IF(Assumptions!$C$42&gt;Assumptions!$C$23*$C$271,"preference","convert")</f>
        <v>convert</v>
      </c>
      <c r="H272" s="15" t="str">
        <f>IF(Assumptions!$C$41&gt;Assumptions!$C$22*$C$271,"preference","convert")</f>
        <v>convert</v>
      </c>
      <c r="I272" s="15" t="str">
        <f>IF(Assumptions!$C$40&gt;Assumptions!$C$21*$C$271,"preference","convert")</f>
        <v>convert</v>
      </c>
      <c r="J272" s="15" t="str">
        <f>IF(Assumptions!$C$39&gt;Assumptions!$C$20*$C$271,"preference","convert")</f>
        <v>convert</v>
      </c>
    </row>
    <row r="273" spans="2:3" x14ac:dyDescent="0.25">
      <c r="B273" s="10" t="s">
        <v>188</v>
      </c>
      <c r="C273" s="27">
        <f>($C$268-(IF($D$272="preference",Assumptions!$C$7,0)+IF($E$272="preference",Assumptions!$C$44,0)+IF($F$272="preference",Assumptions!$C$43,0)+IF($G$272="preference",Assumptions!$C$42,0)+IF($H$272="preference",Assumptions!$C$41,0)+IF($I$272="preference",Assumptions!$C$40,0)+IF($J$272="preference",Assumptions!$C$39,0)))/($C$267-(IF($D$272="preference",Assumptions!$C$7/$D$266,0)+IF($E$272="preference",$I$266,0)+IF($F$272="preference",$H$266,0)+IF($G$272="preference",Assumptions!$C$23,0)+IF($H$272="preference",Assumptions!$C$22,0)+IF($I$272="preference",Assumptions!$C$21,0)+IF($J$272="preference",Assumptions!$C$20,0)))</f>
        <v>55.71012369450466</v>
      </c>
    </row>
    <row r="274" spans="2:3" x14ac:dyDescent="0.25">
      <c r="B274" s="10" t="s">
        <v>189</v>
      </c>
      <c r="C274" s="13">
        <f>IF($D$272="preference",Assumptions!$C$11,(Assumptions!$C$11/$D$266)*$C$273)</f>
        <v>15301320.880936842</v>
      </c>
    </row>
    <row r="275" spans="2:3" x14ac:dyDescent="0.25">
      <c r="B275" s="10" t="s">
        <v>190</v>
      </c>
      <c r="C275" s="21">
        <f>(Assumptions!$C$11/$D$266)/$E$266</f>
        <v>0.006993006993006994</v>
      </c>
    </row>
    <row r="277" spans="2:14" x14ac:dyDescent="0.25">
      <c r="B277" s="3" t="s">
        <v>198</v>
      </c>
      <c r="C277" s="4" t="s">
        <v>3</v>
      </c>
      <c r="D277" s="4" t="s">
        <v>3</v>
      </c>
      <c r="E277" s="4" t="s">
        <v>3</v>
      </c>
      <c r="F277" s="4" t="s">
        <v>3</v>
      </c>
      <c r="G277" s="4" t="s">
        <v>3</v>
      </c>
      <c r="H277" s="4" t="s">
        <v>3</v>
      </c>
      <c r="I277" s="4" t="s">
        <v>3</v>
      </c>
      <c r="J277" s="4" t="s">
        <v>3</v>
      </c>
      <c r="K277" s="4" t="s">
        <v>3</v>
      </c>
      <c r="L277" s="4" t="s">
        <v>3</v>
      </c>
      <c r="M277" s="4" t="s">
        <v>3</v>
      </c>
      <c r="N277" s="4" t="s">
        <v>3</v>
      </c>
    </row>
    <row r="278" spans="2:5" x14ac:dyDescent="0.25">
      <c r="B278" s="24" t="s">
        <v>168</v>
      </c>
      <c r="C278" s="20">
        <f>Assumptions!$C$67</f>
        <v>1800000000</v>
      </c>
      <c r="D278" s="25">
        <f>Assumptions!$C$64</f>
        <v>0.15</v>
      </c>
      <c r="E278" s="14">
        <f>C278+Assumptions!$C$7</f>
        <v>1830000000</v>
      </c>
    </row>
    <row r="279" spans="2:14" x14ac:dyDescent="0.25">
      <c r="B279" s="16" t="s">
        <v>169</v>
      </c>
      <c r="D279" s="16" t="s">
        <v>170</v>
      </c>
      <c r="E279" s="16" t="s">
        <v>171</v>
      </c>
      <c r="F279" s="16" t="s">
        <v>172</v>
      </c>
      <c r="G279" s="16" t="s">
        <v>173</v>
      </c>
      <c r="H279" s="16" t="s">
        <v>174</v>
      </c>
      <c r="I279" s="16" t="s">
        <v>175</v>
      </c>
      <c r="J279" s="16" t="s">
        <v>176</v>
      </c>
      <c r="K279" s="16" t="s">
        <v>177</v>
      </c>
      <c r="L279" s="16" t="s">
        <v>178</v>
      </c>
      <c r="M279" s="16" t="s">
        <v>179</v>
      </c>
      <c r="N279" s="16" t="s">
        <v>180</v>
      </c>
    </row>
    <row r="280" spans="2:14" x14ac:dyDescent="0.25">
      <c r="B280" s="15">
        <v>1</v>
      </c>
      <c r="D280" s="14">
        <f>($C$278+Assumptions!$C$7)/Assumptions!$C$28</f>
        <v>49.97547515002269</v>
      </c>
      <c r="E280" s="15">
        <f>Assumptions!$C$28+Assumptions!$C$7/D280</f>
        <v>37218255.44262295</v>
      </c>
      <c r="F280" s="14">
        <f>IF(D280&lt;Assumptions!$C$35,(Assumptions!$C$35*Assumptions!$C$28+Assumptions!$C$7)/E280,Assumptions!$C$35)</f>
        <v>57.987010357258434</v>
      </c>
      <c r="G280" s="14">
        <f>IF(D280&lt;Assumptions!$C$36,(Assumptions!$C$36*Assumptions!$C$28+Assumptions!$C$7)/E280,Assumptions!$C$36)</f>
        <v>49.158311</v>
      </c>
      <c r="H280" s="15">
        <f>IF(D280&lt;Assumptions!$C$35,Assumptions!$C$43/F280,Assumptions!$C$24)</f>
        <v>1724524.1543562808</v>
      </c>
      <c r="I280" s="15">
        <f>IF(D280&lt;Assumptions!$C$36,Assumptions!$C$44/G280,Assumptions!$C$25)</f>
        <v>6102667</v>
      </c>
      <c r="J280" s="15">
        <f>MAX(0,$D$278*($C$278+Assumptions!$C$7)/D280-Assumptions!$C$26-Assumptions!$C$27)</f>
        <v>1098027.15</v>
      </c>
      <c r="K280" s="15">
        <v>0</v>
      </c>
      <c r="L280" s="15">
        <v>0</v>
      </c>
      <c r="M280" s="15">
        <f>Assumptions!$C$28+(H280-Assumptions!$C$24)+(I280-Assumptions!$C$25)+J280+K280+L280</f>
        <v>37719885.30435628</v>
      </c>
      <c r="N280" s="14">
        <f>$C$278/M280</f>
        <v>47.720187521145974</v>
      </c>
    </row>
    <row r="281" spans="2:14" x14ac:dyDescent="0.25">
      <c r="B281" s="15">
        <v>2</v>
      </c>
      <c r="D281" s="14">
        <f>N280</f>
        <v>47.720187521145974</v>
      </c>
      <c r="E281" s="15">
        <f>Assumptions!$C$28+Assumptions!$C$7/D281</f>
        <v>37246625.7550726</v>
      </c>
      <c r="F281" s="14">
        <f>IF(D281&lt;Assumptions!$C$35,(Assumptions!$C$35*Assumptions!$C$28+Assumptions!$C$7)/E281,Assumptions!$C$35)</f>
        <v>57.94284234019631</v>
      </c>
      <c r="G281" s="14">
        <f>IF(D281&lt;Assumptions!$C$36,(Assumptions!$C$36*Assumptions!$C$28+Assumptions!$C$7)/E281,Assumptions!$C$36)</f>
        <v>49.134037726212924</v>
      </c>
      <c r="H281" s="15">
        <f>IF(D281&lt;Assumptions!$C$35,Assumptions!$C$43/F281,Assumptions!$C$24)</f>
        <v>1725838.7051997904</v>
      </c>
      <c r="I281" s="15">
        <f>IF(D281&lt;Assumptions!$C$36,Assumptions!$C$44/G281,Assumptions!$C$25)</f>
        <v>6105746.929891547</v>
      </c>
      <c r="J281" s="15">
        <f>MAX(0,$D$278*($C$278+Assumptions!$C$7)/D281-Assumptions!$C$26-Assumptions!$C$27)</f>
        <v>1357615.508914333</v>
      </c>
      <c r="K281" s="15">
        <f>IF((M280-K280)&lt;=0,0,Assumptions!$C$47/MIN(Assumptions!$C$48/(M280-K280),D281*(1-Assumptions!$C$49)))</f>
        <v>188599.42652178142</v>
      </c>
      <c r="L281" s="15">
        <f>IF((M280-L280)&lt;=0,0,Assumptions!$C$50/MIN(Assumptions!$C$51/(M280-L280),D281*(1-Assumptions!$C$52)))</f>
        <v>73960.55942030642</v>
      </c>
      <c r="M281" s="15">
        <f>Assumptions!$C$28+(H281-Assumptions!$C$24)+(I281-Assumptions!$C$25)+J281+K281+L281</f>
        <v>38246428.12994776</v>
      </c>
      <c r="N281" s="14">
        <f>$C$278/M281</f>
        <v>47.06321839739492</v>
      </c>
    </row>
    <row r="282" spans="2:14" x14ac:dyDescent="0.25">
      <c r="B282" s="15">
        <v>3</v>
      </c>
      <c r="D282" s="14">
        <f>N281</f>
        <v>47.06321839739492</v>
      </c>
      <c r="E282" s="15">
        <f>Assumptions!$C$28+Assumptions!$C$7/D282</f>
        <v>37255401.46883246</v>
      </c>
      <c r="F282" s="14">
        <f>IF(D282&lt;Assumptions!$C$35,(Assumptions!$C$35*Assumptions!$C$28+Assumptions!$C$7)/E282,Assumptions!$C$35)</f>
        <v>57.92919358649181</v>
      </c>
      <c r="G282" s="14">
        <f>IF(D282&lt;Assumptions!$C$36,(Assumptions!$C$36*Assumptions!$C$28+Assumptions!$C$7)/E282,Assumptions!$C$36)</f>
        <v>49.122463934656494</v>
      </c>
      <c r="H282" s="15">
        <f>IF(D282&lt;Assumptions!$C$35,Assumptions!$C$43/F282,Assumptions!$C$24)</f>
        <v>1726245.3317375102</v>
      </c>
      <c r="I282" s="15">
        <f>IF(D282&lt;Assumptions!$C$36,Assumptions!$C$44/G282,Assumptions!$C$25)</f>
        <v>6107185.510870646</v>
      </c>
      <c r="J282" s="15">
        <f>MAX(0,$D$278*($C$278+Assumptions!$C$7)/D282-Assumptions!$C$26-Assumptions!$C$27)</f>
        <v>1437913.289817033</v>
      </c>
      <c r="K282" s="15">
        <f>IF((M281-K281)&lt;=0,0,Assumptions!$C$47/MIN(Assumptions!$C$48/(M281-K281),D282*(1-Assumptions!$C$49)))</f>
        <v>190289.1435171299</v>
      </c>
      <c r="L282" s="15">
        <f>IF((M281-L281)&lt;=0,0,Assumptions!$C$50/MIN(Assumptions!$C$51/(M281-L281),D282*(1-Assumptions!$C$52)))</f>
        <v>74992.99633323091</v>
      </c>
      <c r="M282" s="15">
        <f>Assumptions!$C$28+(H282-Assumptions!$C$24)+(I282-Assumptions!$C$25)+J282+K282+L282</f>
        <v>38331293.27227555</v>
      </c>
      <c r="N282" s="14">
        <f>$C$278/M282</f>
        <v>46.95902085051519</v>
      </c>
    </row>
    <row r="283" spans="2:14" x14ac:dyDescent="0.25">
      <c r="B283" s="15">
        <v>4</v>
      </c>
      <c r="D283" s="14">
        <f>N282</f>
        <v>46.95902085051519</v>
      </c>
      <c r="E283" s="15">
        <f>Assumptions!$C$28+Assumptions!$C$7/D283</f>
        <v>37256815.88787126</v>
      </c>
      <c r="F283" s="14">
        <f>IF(D283&lt;Assumptions!$C$35,(Assumptions!$C$35*Assumptions!$C$28+Assumptions!$C$7)/E283,Assumptions!$C$35)</f>
        <v>57.9269943605956</v>
      </c>
      <c r="G283" s="14">
        <f>IF(D283&lt;Assumptions!$C$36,(Assumptions!$C$36*Assumptions!$C$28+Assumptions!$C$7)/E283,Assumptions!$C$36)</f>
        <v>49.12059904774745</v>
      </c>
      <c r="H283" s="15">
        <f>IF(D283&lt;Assumptions!$C$35,Assumptions!$C$43/F283,Assumptions!$C$24)</f>
        <v>1726310.8694626878</v>
      </c>
      <c r="I283" s="15">
        <f>IF(D283&lt;Assumptions!$C$36,Assumptions!$C$44/G283,Assumptions!$C$25)</f>
        <v>6107417.373073695</v>
      </c>
      <c r="J283" s="15">
        <f>MAX(0,$D$278*($C$278+Assumptions!$C$7)/D283-Assumptions!$C$26-Assumptions!$C$27)</f>
        <v>1450855.224022021</v>
      </c>
      <c r="K283" s="15">
        <f>IF((M282-K282)&lt;=0,0,Assumptions!$C$47/MIN(Assumptions!$C$48/(M282-K282),D283*(1-Assumptions!$C$49)))</f>
        <v>190705.02064379212</v>
      </c>
      <c r="L283" s="15">
        <f>IF((M282-L282)&lt;=0,0,Assumptions!$C$50/MIN(Assumptions!$C$51/(M282-L282),D283*(1-Assumptions!$C$52)))</f>
        <v>75159.3985730893</v>
      </c>
      <c r="M283" s="15">
        <f>Assumptions!$C$28+(H283-Assumptions!$C$24)+(I283-Assumptions!$C$25)+J283+K283+L283</f>
        <v>38345114.8857753</v>
      </c>
      <c r="N283" s="14">
        <f>$C$278/M283</f>
        <v>46.94209432836351</v>
      </c>
    </row>
    <row r="284" spans="2:14" x14ac:dyDescent="0.25">
      <c r="B284" s="15">
        <v>5</v>
      </c>
      <c r="D284" s="14">
        <f>N283</f>
        <v>46.94209432836351</v>
      </c>
      <c r="E284" s="15">
        <f>Assumptions!$C$28+Assumptions!$C$7/D284</f>
        <v>37257046.24809626</v>
      </c>
      <c r="F284" s="14">
        <f>IF(D284&lt;Assumptions!$C$35,(Assumptions!$C$35*Assumptions!$C$28+Assumptions!$C$7)/E284,Assumptions!$C$35)</f>
        <v>57.926636198132435</v>
      </c>
      <c r="G284" s="14">
        <f>IF(D284&lt;Assumptions!$C$36,(Assumptions!$C$36*Assumptions!$C$28+Assumptions!$C$7)/E284,Assumptions!$C$36)</f>
        <v>49.120295335204766</v>
      </c>
      <c r="H284" s="15">
        <f>IF(D284&lt;Assumptions!$C$35,Assumptions!$C$43/F284,Assumptions!$C$24)</f>
        <v>1726321.5433045293</v>
      </c>
      <c r="I284" s="15">
        <f>IF(D284&lt;Assumptions!$C$36,Assumptions!$C$44/G284,Assumptions!$C$25)</f>
        <v>6107455.135453725</v>
      </c>
      <c r="J284" s="15">
        <f>MAX(0,$D$278*($C$278+Assumptions!$C$7)/D284-Assumptions!$C$26-Assumptions!$C$27)</f>
        <v>1452963.020080733</v>
      </c>
      <c r="K284" s="15">
        <f>IF((M283-K283)&lt;=0,0,Assumptions!$C$47/MIN(Assumptions!$C$48/(M283-K283),D284*(1-Assumptions!$C$49)))</f>
        <v>190772.0493256575</v>
      </c>
      <c r="L284" s="15">
        <f>IF((M283-L283)&lt;=0,0,Assumptions!$C$50/MIN(Assumptions!$C$51/(M283-L283),D284*(1-Assumptions!$C$52)))</f>
        <v>75186.49977603</v>
      </c>
      <c r="M284" s="15">
        <f>Assumptions!$C$28+(H284-Assumptions!$C$24)+(I284-Assumptions!$C$25)+J284+K284+L284</f>
        <v>38347365.24794068</v>
      </c>
      <c r="N284" s="14">
        <f>$C$278/M284</f>
        <v>46.93933959639282</v>
      </c>
    </row>
    <row r="285" spans="2:14" x14ac:dyDescent="0.25">
      <c r="B285" s="15">
        <v>6</v>
      </c>
      <c r="D285" s="14">
        <f>N284</f>
        <v>46.93933959639282</v>
      </c>
      <c r="E285" s="15">
        <f>Assumptions!$C$28+Assumptions!$C$7/D285</f>
        <v>37257083.754132345</v>
      </c>
      <c r="F285" s="14">
        <f>IF(D285&lt;Assumptions!$C$35,(Assumptions!$C$35*Assumptions!$C$28+Assumptions!$C$7)/E285,Assumptions!$C$35)</f>
        <v>57.926577884429676</v>
      </c>
      <c r="G285" s="14">
        <f>IF(D285&lt;Assumptions!$C$36,(Assumptions!$C$36*Assumptions!$C$28+Assumptions!$C$7)/E285,Assumptions!$C$36)</f>
        <v>49.120245886686966</v>
      </c>
      <c r="H285" s="15">
        <f>IF(D285&lt;Assumptions!$C$35,Assumptions!$C$43/F285,Assumptions!$C$24)</f>
        <v>1726323.2811631258</v>
      </c>
      <c r="I285" s="15">
        <f>IF(D285&lt;Assumptions!$C$36,Assumptions!$C$44/G285,Assumptions!$C$25)</f>
        <v>6107461.283725146</v>
      </c>
      <c r="J285" s="15">
        <f>MAX(0,$D$278*($C$278+Assumptions!$C$7)/D285-Assumptions!$C$26-Assumptions!$C$27)</f>
        <v>1453306.200310954</v>
      </c>
      <c r="K285" s="15">
        <f>IF((M284-K284)&lt;=0,0,Assumptions!$C$47/MIN(Assumptions!$C$48/(M284-K284),D285*(1-Assumptions!$C$49)))</f>
        <v>190782.9659930751</v>
      </c>
      <c r="L285" s="15">
        <f>IF((M284-L284)&lt;=0,0,Assumptions!$C$50/MIN(Assumptions!$C$51/(M284-L284),D285*(1-Assumptions!$C$52)))</f>
        <v>75190.91225086407</v>
      </c>
      <c r="M285" s="15">
        <f>Assumptions!$C$28+(H285-Assumptions!$C$24)+(I285-Assumptions!$C$25)+J285+K285+L285</f>
        <v>38347731.64344317</v>
      </c>
      <c r="N285" s="14">
        <f>$C$278/M285</f>
        <v>46.93889111190154</v>
      </c>
    </row>
    <row r="286" spans="2:14" x14ac:dyDescent="0.25">
      <c r="B286" s="15">
        <v>7</v>
      </c>
      <c r="D286" s="14">
        <f>N285</f>
        <v>46.93889111190154</v>
      </c>
      <c r="E286" s="15">
        <f>Assumptions!$C$28+Assumptions!$C$7/D286</f>
        <v>37257089.860724054</v>
      </c>
      <c r="F286" s="14">
        <f>IF(D286&lt;Assumptions!$C$35,(Assumptions!$C$35*Assumptions!$C$28+Assumptions!$C$7)/E286,Assumptions!$C$35)</f>
        <v>57.92656839002307</v>
      </c>
      <c r="G286" s="14">
        <f>IF(D286&lt;Assumptions!$C$36,(Assumptions!$C$36*Assumptions!$C$28+Assumptions!$C$7)/E286,Assumptions!$C$36)</f>
        <v>49.12023783567473</v>
      </c>
      <c r="H286" s="15">
        <f>IF(D286&lt;Assumptions!$C$35,Assumptions!$C$43/F286,Assumptions!$C$24)</f>
        <v>1726323.5641147252</v>
      </c>
      <c r="I286" s="15">
        <f>IF(D286&lt;Assumptions!$C$36,Assumptions!$C$44/G286,Assumptions!$C$25)</f>
        <v>6107462.284763571</v>
      </c>
      <c r="J286" s="15">
        <f>MAX(0,$D$278*($C$278+Assumptions!$C$7)/D286-Assumptions!$C$26-Assumptions!$C$27)</f>
        <v>1453362.075625083</v>
      </c>
      <c r="K286" s="15">
        <f>IF((M285-K285)&lt;=0,0,Assumptions!$C$47/MIN(Assumptions!$C$48/(M285-K285),D286*(1-Assumptions!$C$49)))</f>
        <v>190784.7433872505</v>
      </c>
      <c r="L286" s="15">
        <f>IF((M285-L285)&lt;=0,0,Assumptions!$C$50/MIN(Assumptions!$C$51/(M285-L285),D286*(1-Assumptions!$C$52)))</f>
        <v>75191.63067341798</v>
      </c>
      <c r="M286" s="15">
        <f>Assumptions!$C$28+(H286-Assumptions!$C$24)+(I286-Assumptions!$C$25)+J286+K286+L286</f>
        <v>38347791.29856406</v>
      </c>
      <c r="N286" s="14">
        <f>$C$278/M286</f>
        <v>46.93881809217527</v>
      </c>
    </row>
    <row r="287" spans="2:14" x14ac:dyDescent="0.25">
      <c r="B287" s="15">
        <v>8</v>
      </c>
      <c r="D287" s="14">
        <f>N286</f>
        <v>46.93881809217527</v>
      </c>
      <c r="E287" s="15">
        <f>Assumptions!$C$28+Assumptions!$C$7/D287</f>
        <v>37257090.854976065</v>
      </c>
      <c r="F287" s="14">
        <f>IF(D287&lt;Assumptions!$C$35,(Assumptions!$C$35*Assumptions!$C$28+Assumptions!$C$7)/E287,Assumptions!$C$35)</f>
        <v>57.92656684418023</v>
      </c>
      <c r="G287" s="14">
        <f>IF(D287&lt;Assumptions!$C$36,(Assumptions!$C$36*Assumptions!$C$28+Assumptions!$C$7)/E287,Assumptions!$C$36)</f>
        <v>49.12023652483982</v>
      </c>
      <c r="H287" s="15">
        <f>IF(D287&lt;Assumptions!$C$35,Assumptions!$C$43/F287,Assumptions!$C$24)</f>
        <v>1726323.610183827</v>
      </c>
      <c r="I287" s="15">
        <f>IF(D287&lt;Assumptions!$C$36,Assumptions!$C$44/G287,Assumptions!$C$25)</f>
        <v>6107462.447748836</v>
      </c>
      <c r="J287" s="15">
        <f>MAX(0,$D$278*($C$278+Assumptions!$C$7)/D287-Assumptions!$C$26-Assumptions!$C$27)</f>
        <v>1453371.173031019</v>
      </c>
      <c r="K287" s="15">
        <f>IF((M286-K286)&lt;=0,0,Assumptions!$C$47/MIN(Assumptions!$C$48/(M286-K286),D287*(1-Assumptions!$C$49)))</f>
        <v>190785.03277588406</v>
      </c>
      <c r="L287" s="15">
        <f>IF((M286-L286)&lt;=0,0,Assumptions!$C$50/MIN(Assumptions!$C$51/(M286-L286),D287*(1-Assumptions!$C$52)))</f>
        <v>75191.74764424325</v>
      </c>
      <c r="M287" s="15">
        <f>Assumptions!$C$28+(H287-Assumptions!$C$24)+(I287-Assumptions!$C$25)+J287+K287+L287</f>
        <v>38347801.01138382</v>
      </c>
      <c r="N287" s="14">
        <f>$C$278/M287</f>
        <v>46.93880620340283</v>
      </c>
    </row>
    <row r="288" spans="2:14" x14ac:dyDescent="0.25">
      <c r="B288" s="15">
        <v>9</v>
      </c>
      <c r="D288" s="14">
        <f>N287</f>
        <v>46.93880620340283</v>
      </c>
      <c r="E288" s="15">
        <f>Assumptions!$C$28+Assumptions!$C$7/D288</f>
        <v>37257091.016856395</v>
      </c>
      <c r="F288" s="14">
        <f>IF(D288&lt;Assumptions!$C$35,(Assumptions!$C$35*Assumptions!$C$28+Assumptions!$C$7)/E288,Assumptions!$C$35)</f>
        <v>57.92656659249199</v>
      </c>
      <c r="G288" s="14">
        <f>IF(D288&lt;Assumptions!$C$36,(Assumptions!$C$36*Assumptions!$C$28+Assumptions!$C$7)/E288,Assumptions!$C$36)</f>
        <v>49.12023631141467</v>
      </c>
      <c r="H288" s="15">
        <f>IF(D288&lt;Assumptions!$C$35,Assumptions!$C$43/F288,Assumptions!$C$24)</f>
        <v>1726323.617684623</v>
      </c>
      <c r="I288" s="15">
        <f>IF(D288&lt;Assumptions!$C$36,Assumptions!$C$44/G288,Assumptions!$C$25)</f>
        <v>6107462.474285478</v>
      </c>
      <c r="J288" s="15">
        <f>MAX(0,$D$278*($C$278+Assumptions!$C$7)/D288-Assumptions!$C$26-Assumptions!$C$27)</f>
        <v>1453372.654236032</v>
      </c>
      <c r="K288" s="15">
        <f>IF((M287-K287)&lt;=0,0,Assumptions!$C$47/MIN(Assumptions!$C$48/(M287-K287),D288*(1-Assumptions!$C$49)))</f>
        <v>190785.07989303968</v>
      </c>
      <c r="L288" s="15">
        <f>IF((M287-L287)&lt;=0,0,Assumptions!$C$50/MIN(Assumptions!$C$51/(M287-L287),D288*(1-Assumptions!$C$52)))</f>
        <v>75191.76668898787</v>
      </c>
      <c r="M288" s="15">
        <f>Assumptions!$C$28+(H288-Assumptions!$C$24)+(I288-Assumptions!$C$25)+J288+K288+L288</f>
        <v>38347802.59278816</v>
      </c>
      <c r="N288" s="14">
        <f>$C$278/M288</f>
        <v>46.93880426771872</v>
      </c>
    </row>
    <row r="289" spans="2:14" x14ac:dyDescent="0.25">
      <c r="B289" s="15">
        <v>10</v>
      </c>
      <c r="D289" s="14">
        <f>N288</f>
        <v>46.93880426771872</v>
      </c>
      <c r="E289" s="15">
        <f>Assumptions!$C$28+Assumptions!$C$7/D289</f>
        <v>37257091.04321314</v>
      </c>
      <c r="F289" s="14">
        <f>IF(D289&lt;Assumptions!$C$35,(Assumptions!$C$35*Assumptions!$C$28+Assumptions!$C$7)/E289,Assumptions!$C$35)</f>
        <v>57.926566551513055</v>
      </c>
      <c r="G289" s="14">
        <f>IF(D289&lt;Assumptions!$C$36,(Assumptions!$C$36*Assumptions!$C$28+Assumptions!$C$7)/E289,Assumptions!$C$36)</f>
        <v>49.1202362766656</v>
      </c>
      <c r="H289" s="15">
        <f>IF(D289&lt;Assumptions!$C$35,Assumptions!$C$43/F289,Assumptions!$C$24)</f>
        <v>1726323.6189058744</v>
      </c>
      <c r="I289" s="15">
        <f>IF(D289&lt;Assumptions!$C$36,Assumptions!$C$44/G289,Assumptions!$C$25)</f>
        <v>6107462.478606072</v>
      </c>
      <c r="J289" s="15">
        <f>MAX(0,$D$278*($C$278+Assumptions!$C$7)/D289-Assumptions!$C$26-Assumptions!$C$27)</f>
        <v>1453372.895400194</v>
      </c>
      <c r="K289" s="15">
        <f>IF((M288-K288)&lt;=0,0,Assumptions!$C$47/MIN(Assumptions!$C$48/(M288-K288),D289*(1-Assumptions!$C$49)))</f>
        <v>190785.0875644756</v>
      </c>
      <c r="L289" s="15">
        <f>IF((M288-L288)&lt;=0,0,Assumptions!$C$50/MIN(Assumptions!$C$51/(M288-L288),D289*(1-Assumptions!$C$52)))</f>
        <v>75191.76978978071</v>
      </c>
      <c r="M289" s="15">
        <f>Assumptions!$C$28+(H289-Assumptions!$C$24)+(I289-Assumptions!$C$25)+J289+K289+L289</f>
        <v>38347802.85026639</v>
      </c>
      <c r="N289" s="14">
        <f>$C$278/M289</f>
        <v>46.938803952558025</v>
      </c>
    </row>
    <row r="290" spans="2:14" x14ac:dyDescent="0.25">
      <c r="B290" s="15">
        <v>11</v>
      </c>
      <c r="D290" s="14">
        <f>N289</f>
        <v>46.938803952558025</v>
      </c>
      <c r="E290" s="15">
        <f>Assumptions!$C$28+Assumptions!$C$7/D290</f>
        <v>37257091.04750444</v>
      </c>
      <c r="F290" s="14">
        <f>IF(D290&lt;Assumptions!$C$35,(Assumptions!$C$35*Assumptions!$C$28+Assumptions!$C$7)/E290,Assumptions!$C$35)</f>
        <v>57.92656654484103</v>
      </c>
      <c r="G290" s="14">
        <f>IF(D290&lt;Assumptions!$C$36,(Assumptions!$C$36*Assumptions!$C$28+Assumptions!$C$7)/E290,Assumptions!$C$36)</f>
        <v>49.12023627100789</v>
      </c>
      <c r="H290" s="15">
        <f>IF(D290&lt;Assumptions!$C$35,Assumptions!$C$43/F290,Assumptions!$C$24)</f>
        <v>1726323.6191047137</v>
      </c>
      <c r="I290" s="15">
        <f>IF(D290&lt;Assumptions!$C$36,Assumptions!$C$44/G290,Assumptions!$C$25)</f>
        <v>6107462.479309535</v>
      </c>
      <c r="J290" s="15">
        <f>MAX(0,$D$278*($C$278+Assumptions!$C$7)/D290-Assumptions!$C$26-Assumptions!$C$27)</f>
        <v>1453372.934665625</v>
      </c>
      <c r="K290" s="15">
        <f>IF((M289-K289)&lt;=0,0,Assumptions!$C$47/MIN(Assumptions!$C$48/(M289-K289),D290*(1-Assumptions!$C$49)))</f>
        <v>190785.08881350956</v>
      </c>
      <c r="L290" s="15">
        <f>IF((M289-L289)&lt;=0,0,Assumptions!$C$50/MIN(Assumptions!$C$51/(M289-L289),D290*(1-Assumptions!$C$52)))</f>
        <v>75191.77029463998</v>
      </c>
      <c r="M290" s="15">
        <f>Assumptions!$C$28+(H290-Assumptions!$C$24)+(I290-Assumptions!$C$25)+J290+K290+L290</f>
        <v>38347802.89218801</v>
      </c>
      <c r="N290" s="14">
        <f>$C$278/M290</f>
        <v>46.93880390124477</v>
      </c>
    </row>
    <row r="291" spans="2:14" x14ac:dyDescent="0.25">
      <c r="B291" s="15">
        <v>12</v>
      </c>
      <c r="D291" s="14">
        <f>N290</f>
        <v>46.93880390124477</v>
      </c>
      <c r="E291" s="15">
        <f>Assumptions!$C$28+Assumptions!$C$7/D291</f>
        <v>37257091.04820313</v>
      </c>
      <c r="F291" s="14">
        <f>IF(D291&lt;Assumptions!$C$35,(Assumptions!$C$35*Assumptions!$C$28+Assumptions!$C$7)/E291,Assumptions!$C$35)</f>
        <v>57.926566543754724</v>
      </c>
      <c r="G291" s="14">
        <f>IF(D291&lt;Assumptions!$C$36,(Assumptions!$C$36*Assumptions!$C$28+Assumptions!$C$7)/E291,Assumptions!$C$36)</f>
        <v>49.12023627008673</v>
      </c>
      <c r="H291" s="15">
        <f>IF(D291&lt;Assumptions!$C$35,Assumptions!$C$43/F291,Assumptions!$C$24)</f>
        <v>1726323.6191370878</v>
      </c>
      <c r="I291" s="15">
        <f>IF(D291&lt;Assumptions!$C$36,Assumptions!$C$44/G291,Assumptions!$C$25)</f>
        <v>6107462.47942407</v>
      </c>
      <c r="J291" s="15">
        <f>MAX(0,$D$278*($C$278+Assumptions!$C$7)/D291-Assumptions!$C$26-Assumptions!$C$27)</f>
        <v>1453372.941058671</v>
      </c>
      <c r="K291" s="15">
        <f>IF((M290-K290)&lt;=0,0,Assumptions!$C$47/MIN(Assumptions!$C$48/(M290-K290),D291*(1-Assumptions!$C$49)))</f>
        <v>190785.0890168725</v>
      </c>
      <c r="L291" s="15">
        <f>IF((M290-L290)&lt;=0,0,Assumptions!$C$50/MIN(Assumptions!$C$51/(M290-L290),D291*(1-Assumptions!$C$52)))</f>
        <v>75191.77037683924</v>
      </c>
      <c r="M291" s="15">
        <f>Assumptions!$C$28+(H291-Assumptions!$C$24)+(I291-Assumptions!$C$25)+J291+K291+L291</f>
        <v>38347802.899013534</v>
      </c>
      <c r="N291" s="14">
        <f>$C$278/M291</f>
        <v>46.938803892890135</v>
      </c>
    </row>
    <row r="292" spans="2:14" x14ac:dyDescent="0.25">
      <c r="B292" s="15">
        <v>13</v>
      </c>
      <c r="D292" s="14">
        <f>N291</f>
        <v>46.938803892890135</v>
      </c>
      <c r="E292" s="15">
        <f>Assumptions!$C$28+Assumptions!$C$7/D292</f>
        <v>37257091.04831689</v>
      </c>
      <c r="F292" s="14">
        <f>IF(D292&lt;Assumptions!$C$35,(Assumptions!$C$35*Assumptions!$C$28+Assumptions!$C$7)/E292,Assumptions!$C$35)</f>
        <v>57.92656654357785</v>
      </c>
      <c r="G292" s="14">
        <f>IF(D292&lt;Assumptions!$C$36,(Assumptions!$C$36*Assumptions!$C$28+Assumptions!$C$7)/E292,Assumptions!$C$36)</f>
        <v>49.12023626993675</v>
      </c>
      <c r="H292" s="15">
        <f>IF(D292&lt;Assumptions!$C$35,Assumptions!$C$43/F292,Assumptions!$C$24)</f>
        <v>1726323.619142359</v>
      </c>
      <c r="I292" s="15">
        <f>IF(D292&lt;Assumptions!$C$36,Assumptions!$C$44/G292,Assumptions!$C$25)</f>
        <v>6107462.4794427175</v>
      </c>
      <c r="J292" s="15">
        <f>MAX(0,$D$278*($C$278+Assumptions!$C$7)/D292-Assumptions!$C$26-Assumptions!$C$27)</f>
        <v>1453372.942099564</v>
      </c>
      <c r="K292" s="15">
        <f>IF((M291-K291)&lt;=0,0,Assumptions!$C$47/MIN(Assumptions!$C$48/(M291-K291),D292*(1-Assumptions!$C$49)))</f>
        <v>190785.08904998333</v>
      </c>
      <c r="L292" s="15">
        <f>IF((M291-L291)&lt;=0,0,Assumptions!$C$50/MIN(Assumptions!$C$51/(M291-L291),D292*(1-Assumptions!$C$52)))</f>
        <v>75191.77039022262</v>
      </c>
      <c r="M292" s="15">
        <f>Assumptions!$C$28+(H292-Assumptions!$C$24)+(I292-Assumptions!$C$25)+J292+K292+L292</f>
        <v>38347802.90012484</v>
      </c>
      <c r="N292" s="14">
        <f>$C$278/M292</f>
        <v>46.938803891529865</v>
      </c>
    </row>
    <row r="293" spans="2:14" x14ac:dyDescent="0.25">
      <c r="B293" s="15">
        <v>14</v>
      </c>
      <c r="D293" s="14">
        <f>N292</f>
        <v>46.938803891529865</v>
      </c>
      <c r="E293" s="15">
        <f>Assumptions!$C$28+Assumptions!$C$7/D293</f>
        <v>37257091.04833541</v>
      </c>
      <c r="F293" s="14">
        <f>IF(D293&lt;Assumptions!$C$35,(Assumptions!$C$35*Assumptions!$C$28+Assumptions!$C$7)/E293,Assumptions!$C$35)</f>
        <v>57.92656654354906</v>
      </c>
      <c r="G293" s="14">
        <f>IF(D293&lt;Assumptions!$C$36,(Assumptions!$C$36*Assumptions!$C$28+Assumptions!$C$7)/E293,Assumptions!$C$36)</f>
        <v>49.12023626991233</v>
      </c>
      <c r="H293" s="15">
        <f>IF(D293&lt;Assumptions!$C$35,Assumptions!$C$43/F293,Assumptions!$C$24)</f>
        <v>1726323.6191432169</v>
      </c>
      <c r="I293" s="15">
        <f>IF(D293&lt;Assumptions!$C$36,Assumptions!$C$44/G293,Assumptions!$C$25)</f>
        <v>6107462.479445754</v>
      </c>
      <c r="J293" s="15">
        <f>MAX(0,$D$278*($C$278+Assumptions!$C$7)/D293-Assumptions!$C$26-Assumptions!$C$27)</f>
        <v>1453372.9422690375</v>
      </c>
      <c r="K293" s="15">
        <f>IF((M292-K292)&lt;=0,0,Assumptions!$C$47/MIN(Assumptions!$C$48/(M292-K292),D293*(1-Assumptions!$C$49)))</f>
        <v>190785.0890553743</v>
      </c>
      <c r="L293" s="15">
        <f>IF((M292-L292)&lt;=0,0,Assumptions!$C$50/MIN(Assumptions!$C$51/(M292-L292),D293*(1-Assumptions!$C$52)))</f>
        <v>75191.77039240164</v>
      </c>
      <c r="M293" s="15">
        <f>Assumptions!$C$28+(H293-Assumptions!$C$24)+(I293-Assumptions!$C$25)+J293+K293+L293</f>
        <v>38347802.900305785</v>
      </c>
      <c r="N293" s="14">
        <f>$C$278/M293</f>
        <v>46.93880389130838</v>
      </c>
    </row>
    <row r="294" spans="2:14" x14ac:dyDescent="0.25">
      <c r="B294" s="15">
        <v>15</v>
      </c>
      <c r="D294" s="14">
        <f>N293</f>
        <v>46.93880389130838</v>
      </c>
      <c r="E294" s="15">
        <f>Assumptions!$C$28+Assumptions!$C$7/D294</f>
        <v>37257091.04833843</v>
      </c>
      <c r="F294" s="14">
        <f>IF(D294&lt;Assumptions!$C$35,(Assumptions!$C$35*Assumptions!$C$28+Assumptions!$C$7)/E294,Assumptions!$C$35)</f>
        <v>57.92656654354436</v>
      </c>
      <c r="G294" s="14">
        <f>IF(D294&lt;Assumptions!$C$36,(Assumptions!$C$36*Assumptions!$C$28+Assumptions!$C$7)/E294,Assumptions!$C$36)</f>
        <v>49.12023626990835</v>
      </c>
      <c r="H294" s="15">
        <f>IF(D294&lt;Assumptions!$C$35,Assumptions!$C$43/F294,Assumptions!$C$24)</f>
        <v>1726323.619143357</v>
      </c>
      <c r="I294" s="15">
        <f>IF(D294&lt;Assumptions!$C$36,Assumptions!$C$44/G294,Assumptions!$C$25)</f>
        <v>6107462.479446248</v>
      </c>
      <c r="J294" s="15">
        <f>MAX(0,$D$278*($C$278+Assumptions!$C$7)/D294-Assumptions!$C$26-Assumptions!$C$27)</f>
        <v>1453372.942296633</v>
      </c>
      <c r="K294" s="15">
        <f>IF((M293-K293)&lt;=0,0,Assumptions!$C$47/MIN(Assumptions!$C$48/(M293-K293),D294*(1-Assumptions!$C$49)))</f>
        <v>190785.08905625207</v>
      </c>
      <c r="L294" s="15">
        <f>IF((M293-L293)&lt;=0,0,Assumptions!$C$50/MIN(Assumptions!$C$51/(M293-L293),D294*(1-Assumptions!$C$52)))</f>
        <v>75191.77039275644</v>
      </c>
      <c r="M294" s="15">
        <f>Assumptions!$C$28+(H294-Assumptions!$C$24)+(I294-Assumptions!$C$25)+J294+K294+L294</f>
        <v>38347802.90033526</v>
      </c>
      <c r="N294" s="14">
        <f>$C$278/M294</f>
        <v>46.9388038912723</v>
      </c>
    </row>
    <row r="295" spans="2:14" x14ac:dyDescent="0.25">
      <c r="B295" s="15">
        <v>16</v>
      </c>
      <c r="D295" s="14">
        <f>N294</f>
        <v>46.9388038912723</v>
      </c>
      <c r="E295" s="15">
        <f>Assumptions!$C$28+Assumptions!$C$7/D295</f>
        <v>37257091.04833892</v>
      </c>
      <c r="F295" s="14">
        <f>IF(D295&lt;Assumptions!$C$35,(Assumptions!$C$35*Assumptions!$C$28+Assumptions!$C$7)/E295,Assumptions!$C$35)</f>
        <v>57.9265665435436</v>
      </c>
      <c r="G295" s="14">
        <f>IF(D295&lt;Assumptions!$C$36,(Assumptions!$C$36*Assumptions!$C$28+Assumptions!$C$7)/E295,Assumptions!$C$36)</f>
        <v>49.1202362699077</v>
      </c>
      <c r="H295" s="15">
        <f>IF(D295&lt;Assumptions!$C$35,Assumptions!$C$43/F295,Assumptions!$C$24)</f>
        <v>1726323.6191433796</v>
      </c>
      <c r="I295" s="15">
        <f>IF(D295&lt;Assumptions!$C$36,Assumptions!$C$44/G295,Assumptions!$C$25)</f>
        <v>6107462.479446329</v>
      </c>
      <c r="J295" s="15">
        <f>MAX(0,$D$278*($C$278+Assumptions!$C$7)/D295-Assumptions!$C$26-Assumptions!$C$27)</f>
        <v>1453372.942301127</v>
      </c>
      <c r="K295" s="15">
        <f>IF((M294-K294)&lt;=0,0,Assumptions!$C$47/MIN(Assumptions!$C$48/(M294-K294),D295*(1-Assumptions!$C$49)))</f>
        <v>190785.08905639505</v>
      </c>
      <c r="L295" s="15">
        <f>IF((M294-L294)&lt;=0,0,Assumptions!$C$50/MIN(Assumptions!$C$51/(M294-L294),D295*(1-Assumptions!$C$52)))</f>
        <v>75191.77039281424</v>
      </c>
      <c r="M295" s="15">
        <f>Assumptions!$C$28+(H295-Assumptions!$C$24)+(I295-Assumptions!$C$25)+J295+K295+L295</f>
        <v>38347802.90034004</v>
      </c>
      <c r="N295" s="14">
        <f>$C$278/M295</f>
        <v>46.93880389126645</v>
      </c>
    </row>
    <row r="296" spans="2:14" x14ac:dyDescent="0.25">
      <c r="B296" s="15">
        <v>17</v>
      </c>
      <c r="D296" s="14">
        <f>N295</f>
        <v>46.93880389126645</v>
      </c>
      <c r="E296" s="15">
        <f>Assumptions!$C$28+Assumptions!$C$7/D296</f>
        <v>37257091.048339</v>
      </c>
      <c r="F296" s="14">
        <f>IF(D296&lt;Assumptions!$C$35,(Assumptions!$C$35*Assumptions!$C$28+Assumptions!$C$7)/E296,Assumptions!$C$35)</f>
        <v>57.92656654354347</v>
      </c>
      <c r="G296" s="14">
        <f>IF(D296&lt;Assumptions!$C$36,(Assumptions!$C$36*Assumptions!$C$28+Assumptions!$C$7)/E296,Assumptions!$C$36)</f>
        <v>49.12023626990759</v>
      </c>
      <c r="H296" s="15">
        <f>IF(D296&lt;Assumptions!$C$35,Assumptions!$C$43/F296,Assumptions!$C$24)</f>
        <v>1726323.6191433836</v>
      </c>
      <c r="I296" s="15">
        <f>IF(D296&lt;Assumptions!$C$36,Assumptions!$C$44/G296,Assumptions!$C$25)</f>
        <v>6107462.479446343</v>
      </c>
      <c r="J296" s="15">
        <f>MAX(0,$D$278*($C$278+Assumptions!$C$7)/D296-Assumptions!$C$26-Assumptions!$C$27)</f>
        <v>1453372.942301856</v>
      </c>
      <c r="K296" s="15">
        <f>IF((M295-K295)&lt;=0,0,Assumptions!$C$47/MIN(Assumptions!$C$48/(M295-K295),D296*(1-Assumptions!$C$49)))</f>
        <v>190785.08905641825</v>
      </c>
      <c r="L296" s="15">
        <f>IF((M295-L295)&lt;=0,0,Assumptions!$C$50/MIN(Assumptions!$C$51/(M295-L295),D296*(1-Assumptions!$C$52)))</f>
        <v>75191.77039282362</v>
      </c>
      <c r="M296" s="15">
        <f>Assumptions!$C$28+(H296-Assumptions!$C$24)+(I296-Assumptions!$C$25)+J296+K296+L296</f>
        <v>38347802.900340825</v>
      </c>
      <c r="N296" s="14">
        <f>$C$278/M296</f>
        <v>46.93880389126549</v>
      </c>
    </row>
    <row r="297" spans="2:14" x14ac:dyDescent="0.25">
      <c r="B297" s="15">
        <v>18</v>
      </c>
      <c r="D297" s="14">
        <f>N296</f>
        <v>46.93880389126549</v>
      </c>
      <c r="E297" s="15">
        <f>Assumptions!$C$28+Assumptions!$C$7/D297</f>
        <v>37257091.04833902</v>
      </c>
      <c r="F297" s="14">
        <f>IF(D297&lt;Assumptions!$C$35,(Assumptions!$C$35*Assumptions!$C$28+Assumptions!$C$7)/E297,Assumptions!$C$35)</f>
        <v>57.926566543543444</v>
      </c>
      <c r="G297" s="14">
        <f>IF(D297&lt;Assumptions!$C$36,(Assumptions!$C$36*Assumptions!$C$28+Assumptions!$C$7)/E297,Assumptions!$C$36)</f>
        <v>49.12023626990757</v>
      </c>
      <c r="H297" s="15">
        <f>IF(D297&lt;Assumptions!$C$35,Assumptions!$C$43/F297,Assumptions!$C$24)</f>
        <v>1726323.6191433843</v>
      </c>
      <c r="I297" s="15">
        <f>IF(D297&lt;Assumptions!$C$36,Assumptions!$C$44/G297,Assumptions!$C$25)</f>
        <v>6107462.479446346</v>
      </c>
      <c r="J297" s="15">
        <f>MAX(0,$D$278*($C$278+Assumptions!$C$7)/D297-Assumptions!$C$26-Assumptions!$C$27)</f>
        <v>1453372.942301976</v>
      </c>
      <c r="K297" s="15">
        <f>IF((M296-K296)&lt;=0,0,Assumptions!$C$47/MIN(Assumptions!$C$48/(M296-K296),D297*(1-Assumptions!$C$49)))</f>
        <v>190785.08905642206</v>
      </c>
      <c r="L297" s="15">
        <f>IF((M296-L296)&lt;=0,0,Assumptions!$C$50/MIN(Assumptions!$C$51/(M296-L296),D297*(1-Assumptions!$C$52)))</f>
        <v>75191.77039282516</v>
      </c>
      <c r="M297" s="15">
        <f>Assumptions!$C$28+(H297-Assumptions!$C$24)+(I297-Assumptions!$C$25)+J297+K297+L297</f>
        <v>38347802.90034095</v>
      </c>
      <c r="N297" s="14">
        <f>$C$278/M297</f>
        <v>46.93880389126534</v>
      </c>
    </row>
    <row r="298" spans="2:14" x14ac:dyDescent="0.25">
      <c r="B298" s="15">
        <v>19</v>
      </c>
      <c r="D298" s="14">
        <f>N297</f>
        <v>46.93880389126534</v>
      </c>
      <c r="E298" s="15">
        <f>Assumptions!$C$28+Assumptions!$C$7/D298</f>
        <v>37257091.04833902</v>
      </c>
      <c r="F298" s="14">
        <f>IF(D298&lt;Assumptions!$C$35,(Assumptions!$C$35*Assumptions!$C$28+Assumptions!$C$7)/E298,Assumptions!$C$35)</f>
        <v>57.926566543543444</v>
      </c>
      <c r="G298" s="14">
        <f>IF(D298&lt;Assumptions!$C$36,(Assumptions!$C$36*Assumptions!$C$28+Assumptions!$C$7)/E298,Assumptions!$C$36)</f>
        <v>49.12023626990757</v>
      </c>
      <c r="H298" s="15">
        <f>IF(D298&lt;Assumptions!$C$35,Assumptions!$C$43/F298,Assumptions!$C$24)</f>
        <v>1726323.6191433843</v>
      </c>
      <c r="I298" s="15">
        <f>IF(D298&lt;Assumptions!$C$36,Assumptions!$C$44/G298,Assumptions!$C$25)</f>
        <v>6107462.479446346</v>
      </c>
      <c r="J298" s="15">
        <f>MAX(0,$D$278*($C$278+Assumptions!$C$7)/D298-Assumptions!$C$26-Assumptions!$C$27)</f>
        <v>1453372.942301994</v>
      </c>
      <c r="K298" s="15">
        <f>IF((M297-K297)&lt;=0,0,Assumptions!$C$47/MIN(Assumptions!$C$48/(M297-K297),D298*(1-Assumptions!$C$49)))</f>
        <v>190785.08905642264</v>
      </c>
      <c r="L298" s="15">
        <f>IF((M297-L297)&lt;=0,0,Assumptions!$C$50/MIN(Assumptions!$C$51/(M297-L297),D298*(1-Assumptions!$C$52)))</f>
        <v>75191.77039282539</v>
      </c>
      <c r="M298" s="15">
        <f>Assumptions!$C$28+(H298-Assumptions!$C$24)+(I298-Assumptions!$C$25)+J298+K298+L298</f>
        <v>38347802.90034097</v>
      </c>
      <c r="N298" s="14">
        <f>$C$278/M298</f>
        <v>46.938803891265316</v>
      </c>
    </row>
    <row r="299" spans="2:14" x14ac:dyDescent="0.25">
      <c r="B299" s="15">
        <v>20</v>
      </c>
      <c r="D299" s="14">
        <f>N298</f>
        <v>46.938803891265316</v>
      </c>
      <c r="E299" s="15">
        <f>Assumptions!$C$28+Assumptions!$C$7/D299</f>
        <v>37257091.04833902</v>
      </c>
      <c r="F299" s="14">
        <f>IF(D299&lt;Assumptions!$C$35,(Assumptions!$C$35*Assumptions!$C$28+Assumptions!$C$7)/E299,Assumptions!$C$35)</f>
        <v>57.926566543543444</v>
      </c>
      <c r="G299" s="14">
        <f>IF(D299&lt;Assumptions!$C$36,(Assumptions!$C$36*Assumptions!$C$28+Assumptions!$C$7)/E299,Assumptions!$C$36)</f>
        <v>49.12023626990757</v>
      </c>
      <c r="H299" s="15">
        <f>IF(D299&lt;Assumptions!$C$35,Assumptions!$C$43/F299,Assumptions!$C$24)</f>
        <v>1726323.6191433843</v>
      </c>
      <c r="I299" s="15">
        <f>IF(D299&lt;Assumptions!$C$36,Assumptions!$C$44/G299,Assumptions!$C$25)</f>
        <v>6107462.479446346</v>
      </c>
      <c r="J299" s="15">
        <f>MAX(0,$D$278*($C$278+Assumptions!$C$7)/D299-Assumptions!$C$26-Assumptions!$C$27)</f>
        <v>1453372.942301998</v>
      </c>
      <c r="K299" s="15">
        <f>IF((M298-K298)&lt;=0,0,Assumptions!$C$47/MIN(Assumptions!$C$48/(M298-K298),D299*(1-Assumptions!$C$49)))</f>
        <v>190785.08905642276</v>
      </c>
      <c r="L299" s="15">
        <f>IF((M298-L298)&lt;=0,0,Assumptions!$C$50/MIN(Assumptions!$C$51/(M298-L298),D299*(1-Assumptions!$C$52)))</f>
        <v>75191.77039282543</v>
      </c>
      <c r="M299" s="15">
        <f>Assumptions!$C$28+(H299-Assumptions!$C$24)+(I299-Assumptions!$C$25)+J299+K299+L299</f>
        <v>38347802.90034097</v>
      </c>
      <c r="N299" s="14">
        <f>$C$278/M299</f>
        <v>46.938803891265316</v>
      </c>
    </row>
    <row r="300" spans="2:12" x14ac:dyDescent="0.25">
      <c r="B300" s="10" t="s">
        <v>181</v>
      </c>
      <c r="D300" s="13">
        <f>N299</f>
        <v>46.938803891265316</v>
      </c>
      <c r="E300" s="11">
        <f>$E$278/D300</f>
        <v>38986932.94867998</v>
      </c>
      <c r="H300" s="11">
        <f>H299</f>
        <v>1726323.6191433843</v>
      </c>
      <c r="I300" s="11">
        <f>I299</f>
        <v>6107462.479446346</v>
      </c>
      <c r="J300" s="11">
        <f>J299</f>
        <v>1453372.942301998</v>
      </c>
      <c r="K300" s="11">
        <f>K299</f>
        <v>190785.08905642276</v>
      </c>
      <c r="L300" s="11">
        <f>L299</f>
        <v>75191.77039282543</v>
      </c>
    </row>
    <row r="301" spans="2:3" x14ac:dyDescent="0.25">
      <c r="B301" s="24" t="s">
        <v>182</v>
      </c>
      <c r="C301" s="15">
        <f>Assumptions!$C$16+Assumptions!$C$17+Assumptions!$C$18+Assumptions!$C$19+Assumptions!$C$20+Assumptions!$C$21+Assumptions!$C$22+Assumptions!$C$23+$H$300+$I$300+(Assumptions!$C$7/$D$300)+$K$300+$L$300+Assumptions!$C$26</f>
        <v>35638893.00637799</v>
      </c>
    </row>
    <row r="302" spans="2:3" x14ac:dyDescent="0.25">
      <c r="B302" s="24" t="s">
        <v>183</v>
      </c>
      <c r="C302" s="14">
        <f>Assumptions!$C$57+Assumptions!$C$26*Assumptions!$C$13</f>
        <v>2002500000</v>
      </c>
    </row>
    <row r="303" spans="2:3" x14ac:dyDescent="0.25">
      <c r="B303" s="24" t="s">
        <v>184</v>
      </c>
      <c r="C303" s="14">
        <f>$C$302/$C$301</f>
        <v>56.18861392921575</v>
      </c>
    </row>
    <row r="304" spans="2:10" x14ac:dyDescent="0.25">
      <c r="B304" s="24" t="s">
        <v>185</v>
      </c>
      <c r="D304" s="15" t="str">
        <f>IF(Assumptions!$C$7&gt;(Assumptions!$C$7/$D$300)*$C$303,"preference","convert")</f>
        <v>convert</v>
      </c>
      <c r="E304" s="15" t="str">
        <f>IF(Assumptions!$C$44&gt;$I$300*$C$303,"preference","convert")</f>
        <v>convert</v>
      </c>
      <c r="F304" s="15" t="str">
        <f>IF(Assumptions!$C$43&gt;$H$300*$C$303,"preference","convert")</f>
        <v>preference</v>
      </c>
      <c r="G304" s="15" t="str">
        <f>IF(Assumptions!$C$42&gt;Assumptions!$C$23*$C$303,"preference","convert")</f>
        <v>convert</v>
      </c>
      <c r="H304" s="15" t="str">
        <f>IF(Assumptions!$C$41&gt;Assumptions!$C$22*$C$303,"preference","convert")</f>
        <v>convert</v>
      </c>
      <c r="I304" s="15" t="str">
        <f>IF(Assumptions!$C$40&gt;Assumptions!$C$21*$C$303,"preference","convert")</f>
        <v>convert</v>
      </c>
      <c r="J304" s="15" t="str">
        <f>IF(Assumptions!$C$39&gt;Assumptions!$C$20*$C$303,"preference","convert")</f>
        <v>convert</v>
      </c>
    </row>
    <row r="305" spans="2:3" x14ac:dyDescent="0.25">
      <c r="B305" s="24" t="s">
        <v>186</v>
      </c>
      <c r="C305" s="14">
        <f>($C$302-(IF($D$304="preference",Assumptions!$C$7,0)+IF($E$304="preference",Assumptions!$C$44,0)+IF($F$304="preference",Assumptions!$C$43,0)+IF($G$304="preference",Assumptions!$C$42,0)+IF($H$304="preference",Assumptions!$C$41,0)+IF($I$304="preference",Assumptions!$C$40,0)+IF($J$304="preference",Assumptions!$C$39,0)))/($C$301-(IF($D$304="preference",Assumptions!$C$7/$D$300,0)+IF($E$304="preference",$I$300,0)+IF($F$304="preference",$H$300,0)+IF($G$304="preference",Assumptions!$C$23,0)+IF($H$304="preference",Assumptions!$C$22,0)+IF($I$304="preference",Assumptions!$C$21,0)+IF($J$304="preference",Assumptions!$C$20,0)))</f>
        <v>56.10014323232437</v>
      </c>
    </row>
    <row r="306" spans="2:10" x14ac:dyDescent="0.25">
      <c r="B306" s="24" t="s">
        <v>187</v>
      </c>
      <c r="D306" s="15" t="str">
        <f>IF(Assumptions!$C$7&gt;(Assumptions!$C$7/$D$300)*$C$305,"preference","convert")</f>
        <v>convert</v>
      </c>
      <c r="E306" s="15" t="str">
        <f>IF(Assumptions!$C$44&gt;$I$300*$C$305,"preference","convert")</f>
        <v>convert</v>
      </c>
      <c r="F306" s="15" t="str">
        <f>IF(Assumptions!$C$43&gt;$H$300*$C$305,"preference","convert")</f>
        <v>preference</v>
      </c>
      <c r="G306" s="15" t="str">
        <f>IF(Assumptions!$C$42&gt;Assumptions!$C$23*$C$305,"preference","convert")</f>
        <v>convert</v>
      </c>
      <c r="H306" s="15" t="str">
        <f>IF(Assumptions!$C$41&gt;Assumptions!$C$22*$C$305,"preference","convert")</f>
        <v>convert</v>
      </c>
      <c r="I306" s="15" t="str">
        <f>IF(Assumptions!$C$40&gt;Assumptions!$C$21*$C$305,"preference","convert")</f>
        <v>convert</v>
      </c>
      <c r="J306" s="15" t="str">
        <f>IF(Assumptions!$C$39&gt;Assumptions!$C$20*$C$305,"preference","convert")</f>
        <v>convert</v>
      </c>
    </row>
    <row r="307" spans="2:3" x14ac:dyDescent="0.25">
      <c r="B307" s="10" t="s">
        <v>188</v>
      </c>
      <c r="C307" s="27">
        <f>($C$302-(IF($D$306="preference",Assumptions!$C$7,0)+IF($E$306="preference",Assumptions!$C$44,0)+IF($F$306="preference",Assumptions!$C$43,0)+IF($G$306="preference",Assumptions!$C$42,0)+IF($H$306="preference",Assumptions!$C$41,0)+IF($I$306="preference",Assumptions!$C$40,0)+IF($J$306="preference",Assumptions!$C$39,0)))/($C$301-(IF($D$306="preference",Assumptions!$C$7/$D$300,0)+IF($E$306="preference",$I$300,0)+IF($F$306="preference",$H$300,0)+IF($G$306="preference",Assumptions!$C$23,0)+IF($H$306="preference",Assumptions!$C$22,0)+IF($I$306="preference",Assumptions!$C$21,0)+IF($J$306="preference",Assumptions!$C$20,0)))</f>
        <v>56.10014323232437</v>
      </c>
    </row>
    <row r="308" spans="2:3" x14ac:dyDescent="0.25">
      <c r="B308" s="10" t="s">
        <v>189</v>
      </c>
      <c r="C308" s="13">
        <f>IF($D$306="preference",Assumptions!$C$11,(Assumptions!$C$11/$D$300)*$C$307)</f>
        <v>11951762.418633735</v>
      </c>
    </row>
    <row r="309" spans="2:3" x14ac:dyDescent="0.25">
      <c r="B309" s="10" t="s">
        <v>190</v>
      </c>
      <c r="C309" s="21">
        <f>(Assumptions!$C$11/$D$300)/$E$300</f>
        <v>0.005464480874316941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3" width="16.455" customWidth="1"/>
    <col min="4" max="6" width="17.705" customWidth="1"/>
  </cols>
  <sheetData>
    <row r="2" ht="18" customHeight="1" spans="2:2" x14ac:dyDescent="0.25">
      <c r="B2" s="1" t="s">
        <v>199</v>
      </c>
    </row>
    <row r="3" spans="2:2" x14ac:dyDescent="0.25">
      <c r="B3" s="2" t="s">
        <v>200</v>
      </c>
    </row>
    <row r="5" spans="2:6" x14ac:dyDescent="0.25">
      <c r="B5" s="3" t="s">
        <v>201</v>
      </c>
      <c r="C5" s="4" t="s">
        <v>3</v>
      </c>
      <c r="D5" s="4" t="s">
        <v>3</v>
      </c>
      <c r="E5" s="4" t="s">
        <v>3</v>
      </c>
      <c r="F5" s="4" t="s">
        <v>3</v>
      </c>
    </row>
    <row r="6" spans="2:6" x14ac:dyDescent="0.25">
      <c r="B6" s="28" t="s">
        <v>3</v>
      </c>
      <c r="C6" s="28" t="s">
        <v>202</v>
      </c>
      <c r="D6" s="29" t="s">
        <v>203</v>
      </c>
      <c r="E6" s="29" t="s">
        <v>204</v>
      </c>
      <c r="F6" s="29" t="s">
        <v>205</v>
      </c>
    </row>
    <row r="7" spans="2:6" x14ac:dyDescent="0.25">
      <c r="B7" s="28" t="s">
        <v>206</v>
      </c>
      <c r="C7" s="28" t="s">
        <v>3</v>
      </c>
      <c r="D7" s="29" t="s">
        <v>3</v>
      </c>
      <c r="E7" s="29" t="s">
        <v>3</v>
      </c>
      <c r="F7" s="29" t="s">
        <v>3</v>
      </c>
    </row>
    <row r="8" spans="2:6" x14ac:dyDescent="0.25">
      <c r="B8" s="30" t="s">
        <v>207</v>
      </c>
      <c r="C8" s="30" t="s">
        <v>3</v>
      </c>
      <c r="D8" s="14">
        <f>'Sens-Engine'!$C$37</f>
        <v>0.008130081300813009</v>
      </c>
      <c r="E8" s="14">
        <f>'Sens-Engine'!$C$71</f>
        <v>0.006993006993006993</v>
      </c>
      <c r="F8" s="14">
        <f>'Sens-Engine'!$C$105</f>
        <v>0.00546448087431694</v>
      </c>
    </row>
    <row r="9" spans="2:6" x14ac:dyDescent="0.25">
      <c r="B9" s="30" t="s">
        <v>208</v>
      </c>
      <c r="C9" s="30" t="s">
        <v>3</v>
      </c>
      <c r="D9" s="14">
        <f>'Sens-Engine'!$C$139</f>
        <v>0.008130081300813007</v>
      </c>
      <c r="E9" s="31">
        <f>'Sens-Engine'!$C$173</f>
        <v>0.006993006993006994</v>
      </c>
      <c r="F9" s="14">
        <f>'Sens-Engine'!$C$207</f>
        <v>0.00546448087431694</v>
      </c>
    </row>
    <row r="10" spans="2:6" x14ac:dyDescent="0.25">
      <c r="B10" s="30" t="s">
        <v>209</v>
      </c>
      <c r="C10" s="30" t="s">
        <v>3</v>
      </c>
      <c r="D10" s="14">
        <f>'Sens-Engine'!$C$241</f>
        <v>0.008130081300813009</v>
      </c>
      <c r="E10" s="14">
        <f>'Sens-Engine'!$C$275</f>
        <v>0.006993006993006994</v>
      </c>
      <c r="F10" s="14">
        <f>'Sens-Engine'!$C$309</f>
        <v>0.005464480874316941</v>
      </c>
    </row>
    <row r="12" spans="2:6" x14ac:dyDescent="0.25">
      <c r="B12" s="3" t="s">
        <v>210</v>
      </c>
      <c r="C12" s="4" t="s">
        <v>3</v>
      </c>
      <c r="D12" s="4" t="s">
        <v>3</v>
      </c>
      <c r="E12" s="4" t="s">
        <v>3</v>
      </c>
      <c r="F12" s="4" t="s">
        <v>3</v>
      </c>
    </row>
    <row r="13" spans="2:6" x14ac:dyDescent="0.25">
      <c r="B13" s="28" t="s">
        <v>3</v>
      </c>
      <c r="C13" s="28" t="s">
        <v>202</v>
      </c>
      <c r="D13" s="29" t="s">
        <v>203</v>
      </c>
      <c r="E13" s="29" t="s">
        <v>204</v>
      </c>
      <c r="F13" s="29" t="s">
        <v>205</v>
      </c>
    </row>
    <row r="14" spans="2:6" x14ac:dyDescent="0.25">
      <c r="B14" s="28" t="s">
        <v>206</v>
      </c>
      <c r="C14" s="28" t="s">
        <v>3</v>
      </c>
      <c r="D14" s="29" t="s">
        <v>3</v>
      </c>
      <c r="E14" s="29" t="s">
        <v>3</v>
      </c>
      <c r="F14" s="29" t="s">
        <v>3</v>
      </c>
    </row>
    <row r="15" spans="2:6" x14ac:dyDescent="0.25">
      <c r="B15" s="30" t="s">
        <v>207</v>
      </c>
      <c r="C15" s="30" t="s">
        <v>3</v>
      </c>
      <c r="D15" s="14">
        <f>'Sens-Engine'!$C$36</f>
        <v>17107255.314150833</v>
      </c>
      <c r="E15" s="14">
        <f>'Sens-Engine'!$C$70</f>
        <v>14719653.583372448</v>
      </c>
      <c r="F15" s="14">
        <f>'Sens-Engine'!$C$104</f>
        <v>11507138.455567598</v>
      </c>
    </row>
    <row r="16" spans="2:6" x14ac:dyDescent="0.25">
      <c r="B16" s="30" t="s">
        <v>208</v>
      </c>
      <c r="C16" s="30" t="s">
        <v>3</v>
      </c>
      <c r="D16" s="14">
        <f>'Sens-Engine'!$C$138</f>
        <v>17384972.005828705</v>
      </c>
      <c r="E16" s="31">
        <f>'Sens-Engine'!$C$172</f>
        <v>14948858.459129278</v>
      </c>
      <c r="F16" s="14">
        <f>'Sens-Engine'!$C$206</f>
        <v>11676568.951209398</v>
      </c>
    </row>
    <row r="17" spans="2:6" x14ac:dyDescent="0.25">
      <c r="B17" s="30" t="s">
        <v>209</v>
      </c>
      <c r="C17" s="30" t="s">
        <v>3</v>
      </c>
      <c r="D17" s="14">
        <f>'Sens-Engine'!$C$240</f>
        <v>17795003.306729455</v>
      </c>
      <c r="E17" s="14">
        <f>'Sens-Engine'!$C$274</f>
        <v>15301320.880936842</v>
      </c>
      <c r="F17" s="14">
        <f>'Sens-Engine'!$C$308</f>
        <v>11951762.418633735</v>
      </c>
    </row>
    <row r="19" spans="2:2" x14ac:dyDescent="0.25">
      <c r="B19" s="10" t="s">
        <v>211</v>
      </c>
    </row>
    <row r="20" spans="2:2" x14ac:dyDescent="0.25">
      <c r="B20" s="7" t="s">
        <v>212</v>
      </c>
    </row>
    <row r="21" spans="2:2" x14ac:dyDescent="0.25">
      <c r="B21" s="7" t="s">
        <v>213</v>
      </c>
    </row>
    <row r="22" spans="2:2" x14ac:dyDescent="0.25">
      <c r="B22" s="7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7.705" customWidth="1"/>
    <col min="3" max="3" width="1.705" customWidth="1"/>
    <col min="4" max="14" width="13.955" customWidth="1"/>
  </cols>
  <sheetData>
    <row r="2" ht="18" customHeight="1" spans="2:2" x14ac:dyDescent="0.25">
      <c r="B2" s="1" t="s">
        <v>215</v>
      </c>
    </row>
    <row r="3" spans="2:2" x14ac:dyDescent="0.25">
      <c r="B3" s="2" t="s">
        <v>216</v>
      </c>
    </row>
    <row r="5" spans="2:14" x14ac:dyDescent="0.25">
      <c r="B5" s="3" t="s">
        <v>217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</row>
    <row r="6" spans="2:14" x14ac:dyDescent="0.25">
      <c r="B6" s="16" t="s">
        <v>169</v>
      </c>
      <c r="D6" s="16" t="s">
        <v>218</v>
      </c>
      <c r="E6" s="16" t="s">
        <v>171</v>
      </c>
      <c r="F6" s="16" t="s">
        <v>172</v>
      </c>
      <c r="G6" s="16" t="s">
        <v>173</v>
      </c>
      <c r="H6" s="16" t="s">
        <v>219</v>
      </c>
      <c r="I6" s="16" t="s">
        <v>220</v>
      </c>
      <c r="J6" s="16" t="s">
        <v>221</v>
      </c>
      <c r="K6" s="16" t="s">
        <v>222</v>
      </c>
      <c r="L6" s="16" t="s">
        <v>223</v>
      </c>
      <c r="M6" s="16" t="s">
        <v>179</v>
      </c>
      <c r="N6" s="16" t="s">
        <v>180</v>
      </c>
    </row>
    <row r="7" spans="2:14" x14ac:dyDescent="0.25">
      <c r="B7" s="15">
        <v>1</v>
      </c>
      <c r="D7" s="14">
        <f>(Assumptions!$C$6+Assumptions!$C$7)/Assumptions!$C$28</f>
        <v>39.05187402433467</v>
      </c>
      <c r="E7" s="15">
        <f>Assumptions!$C$28+Assumptions!$C$7/D7</f>
        <v>37386169.97202797</v>
      </c>
      <c r="F7" s="14">
        <f>IF(D7&lt;Assumptions!$C$35,(Assumptions!$C$35*Assumptions!$C$28+Assumptions!$C$7)/E7,Assumptions!$C$35)</f>
        <v>57.72657015803428</v>
      </c>
      <c r="G7" s="14">
        <f>IF(D7&lt;Assumptions!$C$36,(Assumptions!$C$36*Assumptions!$C$28+Assumptions!$C$7)/E7,Assumptions!$C$36)</f>
        <v>48.9506444868014</v>
      </c>
      <c r="H7" s="15">
        <f>IF(D7&lt;Assumptions!$C$35,Assumptions!$C$43/F7,Assumptions!$C$24)</f>
        <v>1732304.5475633924</v>
      </c>
      <c r="I7" s="15">
        <f>IF(D7&lt;Assumptions!$C$36,Assumptions!$C$44/G7,Assumptions!$C$25)</f>
        <v>6128622.067088192</v>
      </c>
      <c r="J7" s="15">
        <f>MAX(0,Assumptions!$C$10*(Assumptions!$C$6+Assumptions!$C$7)/D7-Assumptions!$C$26-Assumptions!$C$27)</f>
        <v>365667.93</v>
      </c>
      <c r="K7" s="15">
        <v>0</v>
      </c>
      <c r="L7" s="15">
        <v>0</v>
      </c>
      <c r="M7" s="15">
        <f>Assumptions!$C$28+(H7-Assumptions!$C$24)+(I7-Assumptions!$C$25)+J7+K7+L7</f>
        <v>37021261.54465158</v>
      </c>
      <c r="N7" s="14">
        <f>Assumptions!$C$6/M7</f>
        <v>37.81610732825652</v>
      </c>
    </row>
    <row r="8" spans="2:14" x14ac:dyDescent="0.25">
      <c r="B8" s="15">
        <v>2</v>
      </c>
      <c r="D8" s="14">
        <f>N7</f>
        <v>37.81610732825652</v>
      </c>
      <c r="E8" s="15">
        <f>Assumptions!$C$28+Assumptions!$C$7/D8</f>
        <v>37411273.74738539</v>
      </c>
      <c r="F8" s="14">
        <f>IF(D8&lt;Assumptions!$C$35,(Assumptions!$C$35*Assumptions!$C$28+Assumptions!$C$7)/E8,Assumptions!$C$35)</f>
        <v>57.687834378568795</v>
      </c>
      <c r="G8" s="14">
        <f>IF(D8&lt;Assumptions!$C$36,(Assumptions!$C$36*Assumptions!$C$28+Assumptions!$C$7)/E8,Assumptions!$C$36)</f>
        <v>48.91779754362873</v>
      </c>
      <c r="H8" s="15">
        <f>IF(D8&lt;Assumptions!$C$35,Assumptions!$C$43/F8,Assumptions!$C$24)</f>
        <v>1733467.7419811464</v>
      </c>
      <c r="I8" s="15">
        <f>IF(D8&lt;Assumptions!$C$36,Assumptions!$C$44/G8,Assumptions!$C$25)</f>
        <v>6132737.266685739</v>
      </c>
      <c r="J8" s="15">
        <f>MAX(0,Assumptions!$C$10*(Assumptions!$C$6+Assumptions!$C$7)/D8-Assumptions!$C$26-Assumptions!$C$27)</f>
        <v>521227.657964807</v>
      </c>
      <c r="K8" s="15">
        <f>IF((M7-K7)&lt;=0,0,Assumptions!$C$47/MIN(Assumptions!$C$48/(M7-K7),D8*(1-Assumptions!$C$49)))</f>
        <v>185106.3077232579</v>
      </c>
      <c r="L8" s="15">
        <f>IF((M7-L7)&lt;=0,0,Assumptions!$C$50/MIN(Assumptions!$C$51/(M7-L7),D8*(1-Assumptions!$C$52)))</f>
        <v>93330.91145710484</v>
      </c>
      <c r="M8" s="15">
        <f>Assumptions!$C$28+(H8-Assumptions!$C$24)+(I8-Assumptions!$C$25)+J8+K8+L8</f>
        <v>37460536.88581207</v>
      </c>
      <c r="N8" s="14">
        <f>Assumptions!$C$6/M8</f>
        <v>37.3726624438808</v>
      </c>
    </row>
    <row r="9" spans="2:14" x14ac:dyDescent="0.25">
      <c r="B9" s="15">
        <v>3</v>
      </c>
      <c r="D9" s="14">
        <f>N8</f>
        <v>37.3726624438808</v>
      </c>
      <c r="E9" s="15">
        <f>Assumptions!$C$28+Assumptions!$C$7/D9</f>
        <v>37420686.79041026</v>
      </c>
      <c r="F9" s="14">
        <f>IF(D9&lt;Assumptions!$C$35,(Assumptions!$C$35*Assumptions!$C$28+Assumptions!$C$7)/E9,Assumptions!$C$35)</f>
        <v>57.67332320537578</v>
      </c>
      <c r="G9" s="14">
        <f>IF(D9&lt;Assumptions!$C$36,(Assumptions!$C$36*Assumptions!$C$28+Assumptions!$C$7)/E9,Assumptions!$C$36)</f>
        <v>48.90549244256153</v>
      </c>
      <c r="H9" s="15">
        <f>IF(D9&lt;Assumptions!$C$35,Assumptions!$C$43/F9,Assumptions!$C$24)</f>
        <v>1733903.899449285</v>
      </c>
      <c r="I9" s="15">
        <f>IF(D9&lt;Assumptions!$C$36,Assumptions!$C$44/G9,Assumptions!$C$25)</f>
        <v>6134280.323469673</v>
      </c>
      <c r="J9" s="15">
        <f>MAX(0,Assumptions!$C$10*(Assumptions!$C$6+Assumptions!$C$7)/D9-Assumptions!$C$26-Assumptions!$C$27)</f>
        <v>579557.147908902</v>
      </c>
      <c r="K9" s="15">
        <f>IF((M8-K8)&lt;=0,0,Assumptions!$C$47/MIN(Assumptions!$C$48/(M8-K8),D9*(1-Assumptions!$C$49)))</f>
        <v>186377.15289044406</v>
      </c>
      <c r="L9" s="15">
        <f>IF((M8-L8)&lt;=0,0,Assumptions!$C$50/MIN(Assumptions!$C$51/(M8-L8),D9*(1-Assumptions!$C$52)))</f>
        <v>94438.32828355982</v>
      </c>
      <c r="M9" s="15">
        <f>Assumptions!$C$28+(H9-Assumptions!$C$24)+(I9-Assumptions!$C$25)+J9+K9+L9</f>
        <v>37523223.85200186</v>
      </c>
      <c r="N9" s="14">
        <f>Assumptions!$C$6/M9</f>
        <v>37.31022700826145</v>
      </c>
    </row>
    <row r="10" spans="2:14" x14ac:dyDescent="0.25">
      <c r="B10" s="15">
        <v>4</v>
      </c>
      <c r="D10" s="14">
        <f>N9</f>
        <v>37.31022700826145</v>
      </c>
      <c r="E10" s="15">
        <f>Assumptions!$C$28+Assumptions!$C$7/D10</f>
        <v>37422030.082542896</v>
      </c>
      <c r="F10" s="14">
        <f>IF(D10&lt;Assumptions!$C$35,(Assumptions!$C$35*Assumptions!$C$28+Assumptions!$C$7)/E10,Assumptions!$C$35)</f>
        <v>57.67125297772768</v>
      </c>
      <c r="G10" s="14">
        <f>IF(D10&lt;Assumptions!$C$36,(Assumptions!$C$36*Assumptions!$C$28+Assumptions!$C$7)/E10,Assumptions!$C$36)</f>
        <v>48.903736942843956</v>
      </c>
      <c r="H10" s="15">
        <f>IF(D10&lt;Assumptions!$C$35,Assumptions!$C$43/F10,Assumptions!$C$24)</f>
        <v>1733966.1414781373</v>
      </c>
      <c r="I10" s="15">
        <f>IF(D10&lt;Assumptions!$C$36,Assumptions!$C$44/G10,Assumptions!$C$25)</f>
        <v>6134500.526015502</v>
      </c>
      <c r="J10" s="15">
        <f>MAX(0,Assumptions!$C$10*(Assumptions!$C$6+Assumptions!$C$7)/D10-Assumptions!$C$26-Assumptions!$C$27)</f>
        <v>587881.081490818</v>
      </c>
      <c r="K10" s="15">
        <f>IF((M9-K9)&lt;=0,0,Assumptions!$C$47/MIN(Assumptions!$C$48/(M9-K9),D10*(1-Assumptions!$C$49)))</f>
        <v>186684.2334955571</v>
      </c>
      <c r="L10" s="15">
        <f>IF((M9-L9)&lt;=0,0,Assumptions!$C$50/MIN(Assumptions!$C$51/(M9-L9),D10*(1-Assumptions!$C$52)))</f>
        <v>94596.36265210553</v>
      </c>
      <c r="M10" s="15">
        <f>Assumptions!$C$28+(H10-Assumptions!$C$24)+(I10-Assumptions!$C$25)+J10+K10+L10</f>
        <v>37532295.34513211</v>
      </c>
      <c r="N10" s="14">
        <f>Assumptions!$C$6/M10</f>
        <v>37.30120918867751</v>
      </c>
    </row>
    <row r="11" spans="2:14" x14ac:dyDescent="0.25">
      <c r="B11" s="15">
        <v>5</v>
      </c>
      <c r="D11" s="14">
        <f>N10</f>
        <v>37.30120918867751</v>
      </c>
      <c r="E11" s="15">
        <f>Assumptions!$C$28+Assumptions!$C$7/D11</f>
        <v>37422224.4716814</v>
      </c>
      <c r="F11" s="14">
        <f>IF(D11&lt;Assumptions!$C$35,(Assumptions!$C$35*Assumptions!$C$28+Assumptions!$C$7)/E11,Assumptions!$C$35)</f>
        <v>57.670953405338786</v>
      </c>
      <c r="G11" s="14">
        <f>IF(D11&lt;Assumptions!$C$36,(Assumptions!$C$36*Assumptions!$C$28+Assumptions!$C$7)/E11,Assumptions!$C$36)</f>
        <v>48.90348291317501</v>
      </c>
      <c r="H11" s="15">
        <f>IF(D11&lt;Assumptions!$C$35,Assumptions!$C$43/F11,Assumptions!$C$24)</f>
        <v>1733975.1485839435</v>
      </c>
      <c r="I11" s="15">
        <f>IF(D11&lt;Assumptions!$C$36,Assumptions!$C$44/G11,Assumptions!$C$25)</f>
        <v>6134532.391744587</v>
      </c>
      <c r="J11" s="15">
        <f>MAX(0,Assumptions!$C$10*(Assumptions!$C$6+Assumptions!$C$7)/D11-Assumptions!$C$26-Assumptions!$C$27)</f>
        <v>589085.646185757</v>
      </c>
      <c r="K11" s="15">
        <f>IF((M10-K10)&lt;=0,0,Assumptions!$C$47/MIN(Assumptions!$C$48/(M10-K10),D11*(1-Assumptions!$C$49)))</f>
        <v>186728.05555818274</v>
      </c>
      <c r="L11" s="15">
        <f>IF((M10-L10)&lt;=0,0,Assumptions!$C$50/MIN(Assumptions!$C$51/(M10-L10),D11*(1-Assumptions!$C$52)))</f>
        <v>94619.23196251792</v>
      </c>
      <c r="M11" s="15">
        <f>Assumptions!$C$28+(H11-Assumptions!$C$24)+(I11-Assumptions!$C$25)+J11+K11+L11</f>
        <v>37533607.47403498</v>
      </c>
      <c r="N11" s="14">
        <f>Assumptions!$C$6/M11</f>
        <v>37.299905184133785</v>
      </c>
    </row>
    <row r="12" spans="2:14" x14ac:dyDescent="0.25">
      <c r="B12" s="15">
        <v>6</v>
      </c>
      <c r="D12" s="14">
        <f>N11</f>
        <v>37.299905184133785</v>
      </c>
      <c r="E12" s="15">
        <f>Assumptions!$C$28+Assumptions!$C$7/D12</f>
        <v>37422252.58872932</v>
      </c>
      <c r="F12" s="14">
        <f>IF(D12&lt;Assumptions!$C$35,(Assumptions!$C$35*Assumptions!$C$28+Assumptions!$C$7)/E12,Assumptions!$C$35)</f>
        <v>57.67091007451693</v>
      </c>
      <c r="G12" s="14">
        <f>IF(D12&lt;Assumptions!$C$36,(Assumptions!$C$36*Assumptions!$C$28+Assumptions!$C$7)/E12,Assumptions!$C$36)</f>
        <v>48.903446169754254</v>
      </c>
      <c r="H12" s="15">
        <f>IF(D12&lt;Assumptions!$C$35,Assumptions!$C$43/F12,Assumptions!$C$24)</f>
        <v>1733976.451399664</v>
      </c>
      <c r="I12" s="15">
        <f>IF(D12&lt;Assumptions!$C$36,Assumptions!$C$44/G12,Assumptions!$C$25)</f>
        <v>6134537.000902478</v>
      </c>
      <c r="J12" s="15">
        <f>MAX(0,Assumptions!$C$10*(Assumptions!$C$6+Assumptions!$C$7)/D12-Assumptions!$C$26-Assumptions!$C$27)</f>
        <v>589259.878159359</v>
      </c>
      <c r="K12" s="15">
        <f>IF((M11-K11)&lt;=0,0,Assumptions!$C$47/MIN(Assumptions!$C$48/(M11-K11),D12*(1-Assumptions!$C$49)))</f>
        <v>186734.397092384</v>
      </c>
      <c r="L12" s="15">
        <f>IF((M11-L11)&lt;=0,0,Assumptions!$C$50/MIN(Assumptions!$C$51/(M11-L11),D12*(1-Assumptions!$C$52)))</f>
        <v>94622.53985050836</v>
      </c>
      <c r="M12" s="15">
        <f>Assumptions!$C$28+(H12-Assumptions!$C$24)+(I12-Assumptions!$C$25)+J12+K12+L12</f>
        <v>37533797.267404385</v>
      </c>
      <c r="N12" s="14">
        <f>Assumptions!$C$6/M12</f>
        <v>37.2997165734629</v>
      </c>
    </row>
    <row r="13" spans="2:14" x14ac:dyDescent="0.25">
      <c r="B13" s="15">
        <v>7</v>
      </c>
      <c r="D13" s="14">
        <f>N12</f>
        <v>37.2997165734629</v>
      </c>
      <c r="E13" s="15">
        <f>Assumptions!$C$28+Assumptions!$C$7/D13</f>
        <v>37422256.65573009</v>
      </c>
      <c r="F13" s="14">
        <f>IF(D13&lt;Assumptions!$C$35,(Assumptions!$C$35*Assumptions!$C$28+Assumptions!$C$7)/E13,Assumptions!$C$35)</f>
        <v>57.670903806919604</v>
      </c>
      <c r="G13" s="14">
        <f>IF(D13&lt;Assumptions!$C$36,(Assumptions!$C$36*Assumptions!$C$28+Assumptions!$C$7)/E13,Assumptions!$C$36)</f>
        <v>48.90344085499317</v>
      </c>
      <c r="H13" s="15">
        <f>IF(D13&lt;Assumptions!$C$35,Assumptions!$C$43/F13,Assumptions!$C$24)</f>
        <v>1733976.6398459247</v>
      </c>
      <c r="I13" s="15">
        <f>IF(D13&lt;Assumptions!$C$36,Assumptions!$C$44/G13,Assumptions!$C$25)</f>
        <v>6134537.667595821</v>
      </c>
      <c r="J13" s="15">
        <f>MAX(0,Assumptions!$C$10*(Assumptions!$C$6+Assumptions!$C$7)/D13-Assumptions!$C$26-Assumptions!$C$27)</f>
        <v>589285.080007483</v>
      </c>
      <c r="K13" s="15">
        <f>IF((M12-K12)&lt;=0,0,Assumptions!$C$47/MIN(Assumptions!$C$48/(M12-K12),D13*(1-Assumptions!$C$49)))</f>
        <v>186735.31435155997</v>
      </c>
      <c r="L13" s="15">
        <f>IF((M12-L12)&lt;=0,0,Assumptions!$C$50/MIN(Assumptions!$C$51/(M12-L12),D13*(1-Assumptions!$C$52)))</f>
        <v>94623.01832118754</v>
      </c>
      <c r="M13" s="15">
        <f>Assumptions!$C$28+(H13-Assumptions!$C$24)+(I13-Assumptions!$C$25)+J13+K13+L13</f>
        <v>37533824.720121965</v>
      </c>
      <c r="N13" s="14">
        <f>Assumptions!$C$6/M13</f>
        <v>37.29968929197501</v>
      </c>
    </row>
    <row r="14" spans="2:14" x14ac:dyDescent="0.25">
      <c r="B14" s="15">
        <v>8</v>
      </c>
      <c r="D14" s="14">
        <f>N13</f>
        <v>37.29968929197501</v>
      </c>
      <c r="E14" s="15">
        <f>Assumptions!$C$28+Assumptions!$C$7/D14</f>
        <v>37422257.24400261</v>
      </c>
      <c r="F14" s="14">
        <f>IF(D14&lt;Assumptions!$C$35,(Assumptions!$C$35*Assumptions!$C$28+Assumptions!$C$7)/E14,Assumptions!$C$35)</f>
        <v>57.67090290034126</v>
      </c>
      <c r="G14" s="14">
        <f>IF(D14&lt;Assumptions!$C$36,(Assumptions!$C$36*Assumptions!$C$28+Assumptions!$C$7)/E14,Assumptions!$C$36)</f>
        <v>48.90344008623809</v>
      </c>
      <c r="H14" s="15">
        <f>IF(D14&lt;Assumptions!$C$35,Assumptions!$C$43/F14,Assumptions!$C$24)</f>
        <v>1733976.6671037895</v>
      </c>
      <c r="I14" s="15">
        <f>IF(D14&lt;Assumptions!$C$36,Assumptions!$C$44/G14,Assumptions!$C$25)</f>
        <v>6134537.764029875</v>
      </c>
      <c r="J14" s="15">
        <f>MAX(0,Assumptions!$C$10*(Assumptions!$C$6+Assumptions!$C$7)/D14-Assumptions!$C$26-Assumptions!$C$27)</f>
        <v>589288.725336195</v>
      </c>
      <c r="K14" s="15">
        <f>IF((M13-K13)&lt;=0,0,Assumptions!$C$47/MIN(Assumptions!$C$48/(M13-K13),D14*(1-Assumptions!$C$49)))</f>
        <v>186735.44702885204</v>
      </c>
      <c r="L14" s="15">
        <f>IF((M13-L13)&lt;=0,0,Assumptions!$C$50/MIN(Assumptions!$C$51/(M13-L13),D14*(1-Assumptions!$C$52)))</f>
        <v>94623.08752971923</v>
      </c>
      <c r="M14" s="15">
        <f>Assumptions!$C$28+(H14-Assumptions!$C$24)+(I14-Assumptions!$C$25)+J14+K14+L14</f>
        <v>37533828.69102843</v>
      </c>
      <c r="N14" s="14">
        <f>Assumptions!$C$6/M14</f>
        <v>37.299685345839414</v>
      </c>
    </row>
    <row r="15" spans="2:14" x14ac:dyDescent="0.25">
      <c r="B15" s="15">
        <v>9</v>
      </c>
      <c r="D15" s="14">
        <f>N14</f>
        <v>37.299685345839414</v>
      </c>
      <c r="E15" s="15">
        <f>Assumptions!$C$28+Assumptions!$C$7/D15</f>
        <v>37422257.32909346</v>
      </c>
      <c r="F15" s="14">
        <f>IF(D15&lt;Assumptions!$C$35,(Assumptions!$C$35*Assumptions!$C$28+Assumptions!$C$7)/E15,Assumptions!$C$35)</f>
        <v>57.67090276920898</v>
      </c>
      <c r="G15" s="14">
        <f>IF(D15&lt;Assumptions!$C$36,(Assumptions!$C$36*Assumptions!$C$28+Assumptions!$C$7)/E15,Assumptions!$C$36)</f>
        <v>48.90343997504129</v>
      </c>
      <c r="H15" s="15">
        <f>IF(D15&lt;Assumptions!$C$35,Assumptions!$C$43/F15,Assumptions!$C$24)</f>
        <v>1733976.671046511</v>
      </c>
      <c r="I15" s="15">
        <f>IF(D15&lt;Assumptions!$C$36,Assumptions!$C$44/G15,Assumptions!$C$25)</f>
        <v>6134537.777978607</v>
      </c>
      <c r="J15" s="15">
        <f>MAX(0,Assumptions!$C$10*(Assumptions!$C$6+Assumptions!$C$7)/D15-Assumptions!$C$26-Assumptions!$C$27)</f>
        <v>589289.252615846</v>
      </c>
      <c r="K15" s="15">
        <f>IF((M14-K14)&lt;=0,0,Assumptions!$C$47/MIN(Assumptions!$C$48/(M14-K14),D15*(1-Assumptions!$C$49)))</f>
        <v>186735.4662199979</v>
      </c>
      <c r="L15" s="15">
        <f>IF((M14-L14)&lt;=0,0,Assumptions!$C$50/MIN(Assumptions!$C$51/(M14-L14),D15*(1-Assumptions!$C$52)))</f>
        <v>94623.0975404078</v>
      </c>
      <c r="M15" s="15">
        <f>Assumptions!$C$28+(H15-Assumptions!$C$24)+(I15-Assumptions!$C$25)+J15+K15+L15</f>
        <v>37533829.26540136</v>
      </c>
      <c r="N15" s="14">
        <f>Assumptions!$C$6/M15</f>
        <v>37.29968477504954</v>
      </c>
    </row>
    <row r="16" spans="2:14" x14ac:dyDescent="0.25">
      <c r="B16" s="15">
        <v>10</v>
      </c>
      <c r="D16" s="14">
        <f>N15</f>
        <v>37.29968477504954</v>
      </c>
      <c r="E16" s="15">
        <f>Assumptions!$C$28+Assumptions!$C$7/D16</f>
        <v>37422257.34140146</v>
      </c>
      <c r="F16" s="14">
        <f>IF(D16&lt;Assumptions!$C$35,(Assumptions!$C$35*Assumptions!$C$28+Assumptions!$C$7)/E16,Assumptions!$C$35)</f>
        <v>57.6709027502413</v>
      </c>
      <c r="G16" s="14">
        <f>IF(D16&lt;Assumptions!$C$36,(Assumptions!$C$36*Assumptions!$C$28+Assumptions!$C$7)/E16,Assumptions!$C$36)</f>
        <v>48.903439958957186</v>
      </c>
      <c r="H16" s="15">
        <f>IF(D16&lt;Assumptions!$C$35,Assumptions!$C$43/F16,Assumptions!$C$24)</f>
        <v>1733976.6716168076</v>
      </c>
      <c r="I16" s="15">
        <f>IF(D16&lt;Assumptions!$C$36,Assumptions!$C$44/G16,Assumptions!$C$25)</f>
        <v>6134537.7799962275</v>
      </c>
      <c r="J16" s="15">
        <f>MAX(0,Assumptions!$C$10*(Assumptions!$C$6+Assumptions!$C$7)/D16-Assumptions!$C$26-Assumptions!$C$27)</f>
        <v>589289.328884366</v>
      </c>
      <c r="K16" s="15">
        <f>IF((M15-K15)&lt;=0,0,Assumptions!$C$47/MIN(Assumptions!$C$48/(M15-K15),D16*(1-Assumptions!$C$49)))</f>
        <v>186735.46899590682</v>
      </c>
      <c r="L16" s="15">
        <f>IF((M15-L15)&lt;=0,0,Assumptions!$C$50/MIN(Assumptions!$C$51/(M15-L15),D16*(1-Assumptions!$C$52)))</f>
        <v>94623.09898840678</v>
      </c>
      <c r="M16" s="15">
        <f>Assumptions!$C$28+(H16-Assumptions!$C$24)+(I16-Assumptions!$C$25)+J16+K16+L16</f>
        <v>37533829.34848172</v>
      </c>
      <c r="N16" s="14">
        <f>Assumptions!$C$6/M16</f>
        <v>37.29968469248745</v>
      </c>
    </row>
    <row r="17" spans="2:14" x14ac:dyDescent="0.25">
      <c r="B17" s="15">
        <v>11</v>
      </c>
      <c r="D17" s="14">
        <f>N16</f>
        <v>37.29968469248745</v>
      </c>
      <c r="E17" s="15">
        <f>Assumptions!$C$28+Assumptions!$C$7/D17</f>
        <v>37422257.34318175</v>
      </c>
      <c r="F17" s="14">
        <f>IF(D17&lt;Assumptions!$C$35,(Assumptions!$C$35*Assumptions!$C$28+Assumptions!$C$7)/E17,Assumptions!$C$35)</f>
        <v>57.67090274749772</v>
      </c>
      <c r="G17" s="14">
        <f>IF(D17&lt;Assumptions!$C$36,(Assumptions!$C$36*Assumptions!$C$28+Assumptions!$C$7)/E17,Assumptions!$C$36)</f>
        <v>48.9034399566307</v>
      </c>
      <c r="H17" s="15">
        <f>IF(D17&lt;Assumptions!$C$35,Assumptions!$C$43/F17,Assumptions!$C$24)</f>
        <v>1733976.671699298</v>
      </c>
      <c r="I17" s="15">
        <f>IF(D17&lt;Assumptions!$C$36,Assumptions!$C$44/G17,Assumptions!$C$25)</f>
        <v>6134537.780288066</v>
      </c>
      <c r="J17" s="15">
        <f>MAX(0,Assumptions!$C$10*(Assumptions!$C$6+Assumptions!$C$7)/D17-Assumptions!$C$26-Assumptions!$C$27)</f>
        <v>589289.339916252</v>
      </c>
      <c r="K17" s="15">
        <f>IF((M16-K16)&lt;=0,0,Assumptions!$C$47/MIN(Assumptions!$C$48/(M16-K16),D17*(1-Assumptions!$C$49)))</f>
        <v>186735.4693974291</v>
      </c>
      <c r="L17" s="15">
        <f>IF((M16-L16)&lt;=0,0,Assumptions!$C$50/MIN(Assumptions!$C$51/(M16-L16),D17*(1-Assumptions!$C$52)))</f>
        <v>94623.09919785308</v>
      </c>
      <c r="M17" s="15">
        <f>Assumptions!$C$28+(H17-Assumptions!$C$24)+(I17-Assumptions!$C$25)+J17+K17+L17</f>
        <v>37533829.36049889</v>
      </c>
      <c r="N17" s="14">
        <f>Assumptions!$C$6/M17</f>
        <v>37.29968468054525</v>
      </c>
    </row>
    <row r="18" spans="2:14" x14ac:dyDescent="0.25">
      <c r="B18" s="15">
        <v>12</v>
      </c>
      <c r="D18" s="14">
        <f>N17</f>
        <v>37.29968468054525</v>
      </c>
      <c r="E18" s="15">
        <f>Assumptions!$C$28+Assumptions!$C$7/D18</f>
        <v>37422257.34343926</v>
      </c>
      <c r="F18" s="14">
        <f>IF(D18&lt;Assumptions!$C$35,(Assumptions!$C$35*Assumptions!$C$28+Assumptions!$C$7)/E18,Assumptions!$C$35)</f>
        <v>57.670902747100875</v>
      </c>
      <c r="G18" s="14">
        <f>IF(D18&lt;Assumptions!$C$36,(Assumptions!$C$36*Assumptions!$C$28+Assumptions!$C$7)/E18,Assumptions!$C$36)</f>
        <v>48.903439956294186</v>
      </c>
      <c r="H18" s="15">
        <f>IF(D18&lt;Assumptions!$C$35,Assumptions!$C$43/F18,Assumptions!$C$24)</f>
        <v>1733976.67171123</v>
      </c>
      <c r="I18" s="15">
        <f>IF(D18&lt;Assumptions!$C$36,Assumptions!$C$44/G18,Assumptions!$C$25)</f>
        <v>6134537.780330279</v>
      </c>
      <c r="J18" s="15">
        <f>MAX(0,Assumptions!$C$10*(Assumptions!$C$6+Assumptions!$C$7)/D18-Assumptions!$C$26-Assumptions!$C$27)</f>
        <v>589289.34151196</v>
      </c>
      <c r="K18" s="15">
        <f>IF((M17-K17)&lt;=0,0,Assumptions!$C$47/MIN(Assumptions!$C$48/(M17-K17),D18*(1-Assumptions!$C$49)))</f>
        <v>186735.4694555073</v>
      </c>
      <c r="L18" s="15">
        <f>IF((M17-L17)&lt;=0,0,Assumptions!$C$50/MIN(Assumptions!$C$51/(M17-L17),D18*(1-Assumptions!$C$52)))</f>
        <v>94623.09922814847</v>
      </c>
      <c r="M18" s="15">
        <f>Assumptions!$C$28+(H18-Assumptions!$C$24)+(I18-Assumptions!$C$25)+J18+K18+L18</f>
        <v>37533829.362237126</v>
      </c>
      <c r="N18" s="14">
        <f>Assumptions!$C$6/M18</f>
        <v>37.29968467881786</v>
      </c>
    </row>
    <row r="19" spans="2:14" x14ac:dyDescent="0.25">
      <c r="B19" s="15">
        <v>13</v>
      </c>
      <c r="D19" s="14">
        <f>N18</f>
        <v>37.29968467881786</v>
      </c>
      <c r="E19" s="15">
        <f>Assumptions!$C$28+Assumptions!$C$7/D19</f>
        <v>37422257.34347651</v>
      </c>
      <c r="F19" s="14">
        <f>IF(D19&lt;Assumptions!$C$35,(Assumptions!$C$35*Assumptions!$C$28+Assumptions!$C$7)/E19,Assumptions!$C$35)</f>
        <v>57.67090274704346</v>
      </c>
      <c r="G19" s="14">
        <f>IF(D19&lt;Assumptions!$C$36,(Assumptions!$C$36*Assumptions!$C$28+Assumptions!$C$7)/E19,Assumptions!$C$36)</f>
        <v>48.903439956245506</v>
      </c>
      <c r="H19" s="15">
        <f>IF(D19&lt;Assumptions!$C$35,Assumptions!$C$43/F19,Assumptions!$C$24)</f>
        <v>1733976.6717129562</v>
      </c>
      <c r="I19" s="15">
        <f>IF(D19&lt;Assumptions!$C$36,Assumptions!$C$44/G19,Assumptions!$C$25)</f>
        <v>6134537.780336386</v>
      </c>
      <c r="J19" s="15">
        <f>MAX(0,Assumptions!$C$10*(Assumptions!$C$6+Assumptions!$C$7)/D19-Assumptions!$C$26-Assumptions!$C$27)</f>
        <v>589289.341742773</v>
      </c>
      <c r="K19" s="15">
        <f>IF((M18-K18)&lt;=0,0,Assumptions!$C$47/MIN(Assumptions!$C$48/(M18-K18),D19*(1-Assumptions!$C$49)))</f>
        <v>186735.46946390808</v>
      </c>
      <c r="L19" s="15">
        <f>IF((M18-L18)&lt;=0,0,Assumptions!$C$50/MIN(Assumptions!$C$51/(M18-L18),D19*(1-Assumptions!$C$52)))</f>
        <v>94623.09923253057</v>
      </c>
      <c r="M19" s="15">
        <f>Assumptions!$C$28+(H19-Assumptions!$C$24)+(I19-Assumptions!$C$25)+J19+K19+L19</f>
        <v>37533829.36248856</v>
      </c>
      <c r="N19" s="14">
        <f>Assumptions!$C$6/M19</f>
        <v>37.29968467856799</v>
      </c>
    </row>
    <row r="20" spans="2:14" x14ac:dyDescent="0.25">
      <c r="B20" s="15">
        <v>14</v>
      </c>
      <c r="D20" s="14">
        <f>N19</f>
        <v>37.29968467856799</v>
      </c>
      <c r="E20" s="15">
        <f>Assumptions!$C$28+Assumptions!$C$7/D20</f>
        <v>37422257.3434819</v>
      </c>
      <c r="F20" s="14">
        <f>IF(D20&lt;Assumptions!$C$35,(Assumptions!$C$35*Assumptions!$C$28+Assumptions!$C$7)/E20,Assumptions!$C$35)</f>
        <v>57.67090274703516</v>
      </c>
      <c r="G20" s="14">
        <f>IF(D20&lt;Assumptions!$C$36,(Assumptions!$C$36*Assumptions!$C$28+Assumptions!$C$7)/E20,Assumptions!$C$36)</f>
        <v>48.903439956238465</v>
      </c>
      <c r="H20" s="15">
        <f>IF(D20&lt;Assumptions!$C$35,Assumptions!$C$43/F20,Assumptions!$C$24)</f>
        <v>1733976.6717132058</v>
      </c>
      <c r="I20" s="15">
        <f>IF(D20&lt;Assumptions!$C$36,Assumptions!$C$44/G20,Assumptions!$C$25)</f>
        <v>6134537.7803372685</v>
      </c>
      <c r="J20" s="15">
        <f>MAX(0,Assumptions!$C$10*(Assumptions!$C$6+Assumptions!$C$7)/D20-Assumptions!$C$26-Assumptions!$C$27)</f>
        <v>589289.34177616</v>
      </c>
      <c r="K20" s="15">
        <f>IF((M19-K19)&lt;=0,0,Assumptions!$C$47/MIN(Assumptions!$C$48/(M19-K19),D20*(1-Assumptions!$C$49)))</f>
        <v>186735.46946512326</v>
      </c>
      <c r="L20" s="15">
        <f>IF((M19-L19)&lt;=0,0,Assumptions!$C$50/MIN(Assumptions!$C$51/(M19-L19),D20*(1-Assumptions!$C$52)))</f>
        <v>94623.09923316444</v>
      </c>
      <c r="M20" s="15">
        <f>Assumptions!$C$28+(H20-Assumptions!$C$24)+(I20-Assumptions!$C$25)+J20+K20+L20</f>
        <v>37533829.36252492</v>
      </c>
      <c r="N20" s="14">
        <f>Assumptions!$C$6/M20</f>
        <v>37.29968467853186</v>
      </c>
    </row>
    <row r="21" spans="2:14" x14ac:dyDescent="0.25">
      <c r="B21" s="15">
        <v>15</v>
      </c>
      <c r="D21" s="14">
        <f>N20</f>
        <v>37.29968467853186</v>
      </c>
      <c r="E21" s="15">
        <f>Assumptions!$C$28+Assumptions!$C$7/D21</f>
        <v>37422257.34348268</v>
      </c>
      <c r="F21" s="14">
        <f>IF(D21&lt;Assumptions!$C$35,(Assumptions!$C$35*Assumptions!$C$28+Assumptions!$C$7)/E21,Assumptions!$C$35)</f>
        <v>57.670902747033956</v>
      </c>
      <c r="G21" s="14">
        <f>IF(D21&lt;Assumptions!$C$36,(Assumptions!$C$36*Assumptions!$C$28+Assumptions!$C$7)/E21,Assumptions!$C$36)</f>
        <v>48.90343995623744</v>
      </c>
      <c r="H21" s="15">
        <f>IF(D21&lt;Assumptions!$C$35,Assumptions!$C$43/F21,Assumptions!$C$24)</f>
        <v>1733976.6717132418</v>
      </c>
      <c r="I21" s="15">
        <f>IF(D21&lt;Assumptions!$C$36,Assumptions!$C$44/G21,Assumptions!$C$25)</f>
        <v>6134537.780337397</v>
      </c>
      <c r="J21" s="15">
        <f>MAX(0,Assumptions!$C$10*(Assumptions!$C$6+Assumptions!$C$7)/D21-Assumptions!$C$26-Assumptions!$C$27)</f>
        <v>589289.341780988</v>
      </c>
      <c r="K21" s="15">
        <f>IF((M20-K20)&lt;=0,0,Assumptions!$C$47/MIN(Assumptions!$C$48/(M20-K20),D21*(1-Assumptions!$C$49)))</f>
        <v>186735.46946529901</v>
      </c>
      <c r="L21" s="15">
        <f>IF((M20-L20)&lt;=0,0,Assumptions!$C$50/MIN(Assumptions!$C$51/(M20-L20),D21*(1-Assumptions!$C$52)))</f>
        <v>94623.0992332561</v>
      </c>
      <c r="M21" s="15">
        <f>Assumptions!$C$28+(H21-Assumptions!$C$24)+(I21-Assumptions!$C$25)+J21+K21+L21</f>
        <v>37533829.36253018</v>
      </c>
      <c r="N21" s="14">
        <f>Assumptions!$C$6/M21</f>
        <v>37.29968467852663</v>
      </c>
    </row>
    <row r="22" spans="2:14" x14ac:dyDescent="0.25">
      <c r="B22" s="15">
        <v>16</v>
      </c>
      <c r="D22" s="14">
        <f>N21</f>
        <v>37.29968467852663</v>
      </c>
      <c r="E22" s="15">
        <f>Assumptions!$C$28+Assumptions!$C$7/D22</f>
        <v>37422257.34348279</v>
      </c>
      <c r="F22" s="14">
        <f>IF(D22&lt;Assumptions!$C$35,(Assumptions!$C$35*Assumptions!$C$28+Assumptions!$C$7)/E22,Assumptions!$C$35)</f>
        <v>57.670902747033786</v>
      </c>
      <c r="G22" s="14">
        <f>IF(D22&lt;Assumptions!$C$36,(Assumptions!$C$36*Assumptions!$C$28+Assumptions!$C$7)/E22,Assumptions!$C$36)</f>
        <v>48.9034399562373</v>
      </c>
      <c r="H22" s="15">
        <f>IF(D22&lt;Assumptions!$C$35,Assumptions!$C$43/F22,Assumptions!$C$24)</f>
        <v>1733976.671713247</v>
      </c>
      <c r="I22" s="15">
        <f>IF(D22&lt;Assumptions!$C$36,Assumptions!$C$44/G22,Assumptions!$C$25)</f>
        <v>6134537.780337415</v>
      </c>
      <c r="J22" s="15">
        <f>MAX(0,Assumptions!$C$10*(Assumptions!$C$6+Assumptions!$C$7)/D22-Assumptions!$C$26-Assumptions!$C$27)</f>
        <v>589289.341781686</v>
      </c>
      <c r="K22" s="15">
        <f>IF((M21-K21)&lt;=0,0,Assumptions!$C$47/MIN(Assumptions!$C$48/(M21-K21),D22*(1-Assumptions!$C$49)))</f>
        <v>186735.4694653244</v>
      </c>
      <c r="L22" s="15">
        <f>IF((M21-L21)&lt;=0,0,Assumptions!$C$50/MIN(Assumptions!$C$51/(M21-L21),D22*(1-Assumptions!$C$52)))</f>
        <v>94623.09923326937</v>
      </c>
      <c r="M22" s="15">
        <f>Assumptions!$C$28+(H22-Assumptions!$C$24)+(I22-Assumptions!$C$25)+J22+K22+L22</f>
        <v>37533829.36253095</v>
      </c>
      <c r="N22" s="14">
        <f>Assumptions!$C$6/M22</f>
        <v>37.299684678525864</v>
      </c>
    </row>
    <row r="23" spans="2:14" x14ac:dyDescent="0.25">
      <c r="B23" s="15">
        <v>17</v>
      </c>
      <c r="D23" s="14">
        <f>N22</f>
        <v>37.299684678525864</v>
      </c>
      <c r="E23" s="15">
        <f>Assumptions!$C$28+Assumptions!$C$7/D23</f>
        <v>37422257.34348281</v>
      </c>
      <c r="F23" s="14">
        <f>IF(D23&lt;Assumptions!$C$35,(Assumptions!$C$35*Assumptions!$C$28+Assumptions!$C$7)/E23,Assumptions!$C$35)</f>
        <v>57.67090274703376</v>
      </c>
      <c r="G23" s="14">
        <f>IF(D23&lt;Assumptions!$C$36,(Assumptions!$C$36*Assumptions!$C$28+Assumptions!$C$7)/E23,Assumptions!$C$36)</f>
        <v>48.90343995623727</v>
      </c>
      <c r="H23" s="15">
        <f>IF(D23&lt;Assumptions!$C$35,Assumptions!$C$43/F23,Assumptions!$C$24)</f>
        <v>1733976.671713248</v>
      </c>
      <c r="I23" s="15">
        <f>IF(D23&lt;Assumptions!$C$36,Assumptions!$C$44/G23,Assumptions!$C$25)</f>
        <v>6134537.780337418</v>
      </c>
      <c r="J23" s="15">
        <f>MAX(0,Assumptions!$C$10*(Assumptions!$C$6+Assumptions!$C$7)/D23-Assumptions!$C$26-Assumptions!$C$27)</f>
        <v>589289.3417817885</v>
      </c>
      <c r="K23" s="15">
        <f>IF((M22-K22)&lt;=0,0,Assumptions!$C$47/MIN(Assumptions!$C$48/(M22-K22),D23*(1-Assumptions!$C$49)))</f>
        <v>186735.46946532812</v>
      </c>
      <c r="L23" s="15">
        <f>IF((M22-L22)&lt;=0,0,Assumptions!$C$50/MIN(Assumptions!$C$51/(M22-L22),D23*(1-Assumptions!$C$52)))</f>
        <v>94623.0992332713</v>
      </c>
      <c r="M23" s="15">
        <f>Assumptions!$C$28+(H23-Assumptions!$C$24)+(I23-Assumptions!$C$25)+J23+K23+L23</f>
        <v>37533829.36253106</v>
      </c>
      <c r="N23" s="14">
        <f>Assumptions!$C$6/M23</f>
        <v>37.29968467852576</v>
      </c>
    </row>
    <row r="24" spans="2:14" x14ac:dyDescent="0.25">
      <c r="B24" s="15">
        <v>18</v>
      </c>
      <c r="D24" s="14">
        <f>N23</f>
        <v>37.29968467852576</v>
      </c>
      <c r="E24" s="15">
        <f>Assumptions!$C$28+Assumptions!$C$7/D24</f>
        <v>37422257.34348281</v>
      </c>
      <c r="F24" s="14">
        <f>IF(D24&lt;Assumptions!$C$35,(Assumptions!$C$35*Assumptions!$C$28+Assumptions!$C$7)/E24,Assumptions!$C$35)</f>
        <v>57.67090274703376</v>
      </c>
      <c r="G24" s="14">
        <f>IF(D24&lt;Assumptions!$C$36,(Assumptions!$C$36*Assumptions!$C$28+Assumptions!$C$7)/E24,Assumptions!$C$36)</f>
        <v>48.90343995623727</v>
      </c>
      <c r="H24" s="15">
        <f>IF(D24&lt;Assumptions!$C$35,Assumptions!$C$43/F24,Assumptions!$C$24)</f>
        <v>1733976.671713248</v>
      </c>
      <c r="I24" s="15">
        <f>IF(D24&lt;Assumptions!$C$36,Assumptions!$C$44/G24,Assumptions!$C$25)</f>
        <v>6134537.780337418</v>
      </c>
      <c r="J24" s="15">
        <f>MAX(0,Assumptions!$C$10*(Assumptions!$C$6+Assumptions!$C$7)/D24-Assumptions!$C$26-Assumptions!$C$27)</f>
        <v>589289.3417818025</v>
      </c>
      <c r="K24" s="15">
        <f>IF((M23-K23)&lt;=0,0,Assumptions!$C$47/MIN(Assumptions!$C$48/(M23-K23),D24*(1-Assumptions!$C$49)))</f>
        <v>186735.46946532864</v>
      </c>
      <c r="L24" s="15">
        <f>IF((M23-L23)&lt;=0,0,Assumptions!$C$50/MIN(Assumptions!$C$51/(M23-L23),D24*(1-Assumptions!$C$52)))</f>
        <v>94623.09923327157</v>
      </c>
      <c r="M24" s="15">
        <f>Assumptions!$C$28+(H24-Assumptions!$C$24)+(I24-Assumptions!$C$25)+J24+K24+L24</f>
        <v>37533829.362531066</v>
      </c>
      <c r="N24" s="14">
        <f>Assumptions!$C$6/M24</f>
        <v>37.29968467852575</v>
      </c>
    </row>
    <row r="25" spans="2:14" x14ac:dyDescent="0.25">
      <c r="B25" s="15">
        <v>19</v>
      </c>
      <c r="D25" s="14">
        <f>N24</f>
        <v>37.29968467852575</v>
      </c>
      <c r="E25" s="15">
        <f>Assumptions!$C$28+Assumptions!$C$7/D25</f>
        <v>37422257.34348281</v>
      </c>
      <c r="F25" s="14">
        <f>IF(D25&lt;Assumptions!$C$35,(Assumptions!$C$35*Assumptions!$C$28+Assumptions!$C$7)/E25,Assumptions!$C$35)</f>
        <v>57.67090274703376</v>
      </c>
      <c r="G25" s="14">
        <f>IF(D25&lt;Assumptions!$C$36,(Assumptions!$C$36*Assumptions!$C$28+Assumptions!$C$7)/E25,Assumptions!$C$36)</f>
        <v>48.90343995623727</v>
      </c>
      <c r="H25" s="15">
        <f>IF(D25&lt;Assumptions!$C$35,Assumptions!$C$43/F25,Assumptions!$C$24)</f>
        <v>1733976.671713248</v>
      </c>
      <c r="I25" s="15">
        <f>IF(D25&lt;Assumptions!$C$36,Assumptions!$C$44/G25,Assumptions!$C$25)</f>
        <v>6134537.780337418</v>
      </c>
      <c r="J25" s="15">
        <f>MAX(0,Assumptions!$C$10*(Assumptions!$C$6+Assumptions!$C$7)/D25-Assumptions!$C$26-Assumptions!$C$27)</f>
        <v>589289.341781804</v>
      </c>
      <c r="K25" s="15">
        <f>IF((M24-K24)&lt;=0,0,Assumptions!$C$47/MIN(Assumptions!$C$48/(M24-K24),D25*(1-Assumptions!$C$49)))</f>
        <v>186735.46946532867</v>
      </c>
      <c r="L25" s="15">
        <f>IF((M24-L24)&lt;=0,0,Assumptions!$C$50/MIN(Assumptions!$C$51/(M24-L24),D25*(1-Assumptions!$C$52)))</f>
        <v>94623.0992332716</v>
      </c>
      <c r="M25" s="15">
        <f>Assumptions!$C$28+(H25-Assumptions!$C$24)+(I25-Assumptions!$C$25)+J25+K25+L25</f>
        <v>37533829.362531066</v>
      </c>
      <c r="N25" s="14">
        <f>Assumptions!$C$6/M25</f>
        <v>37.29968467852575</v>
      </c>
    </row>
    <row r="26" spans="2:14" x14ac:dyDescent="0.25">
      <c r="B26" s="15">
        <v>20</v>
      </c>
      <c r="D26" s="14">
        <f>N25</f>
        <v>37.29968467852575</v>
      </c>
      <c r="E26" s="15">
        <f>Assumptions!$C$28+Assumptions!$C$7/D26</f>
        <v>37422257.34348281</v>
      </c>
      <c r="F26" s="14">
        <f>IF(D26&lt;Assumptions!$C$35,(Assumptions!$C$35*Assumptions!$C$28+Assumptions!$C$7)/E26,Assumptions!$C$35)</f>
        <v>57.67090274703376</v>
      </c>
      <c r="G26" s="14">
        <f>IF(D26&lt;Assumptions!$C$36,(Assumptions!$C$36*Assumptions!$C$28+Assumptions!$C$7)/E26,Assumptions!$C$36)</f>
        <v>48.90343995623727</v>
      </c>
      <c r="H26" s="15">
        <f>IF(D26&lt;Assumptions!$C$35,Assumptions!$C$43/F26,Assumptions!$C$24)</f>
        <v>1733976.671713248</v>
      </c>
      <c r="I26" s="15">
        <f>IF(D26&lt;Assumptions!$C$36,Assumptions!$C$44/G26,Assumptions!$C$25)</f>
        <v>6134537.780337418</v>
      </c>
      <c r="J26" s="15">
        <f>MAX(0,Assumptions!$C$10*(Assumptions!$C$6+Assumptions!$C$7)/D26-Assumptions!$C$26-Assumptions!$C$27)</f>
        <v>589289.341781804</v>
      </c>
      <c r="K26" s="15">
        <f>IF((M25-K25)&lt;=0,0,Assumptions!$C$47/MIN(Assumptions!$C$48/(M25-K25),D26*(1-Assumptions!$C$49)))</f>
        <v>186735.46946532867</v>
      </c>
      <c r="L26" s="15">
        <f>IF((M25-L25)&lt;=0,0,Assumptions!$C$50/MIN(Assumptions!$C$51/(M25-L25),D26*(1-Assumptions!$C$52)))</f>
        <v>94623.0992332716</v>
      </c>
      <c r="M26" s="15">
        <f>Assumptions!$C$28+(H26-Assumptions!$C$24)+(I26-Assumptions!$C$25)+J26+K26+L26</f>
        <v>37533829.362531066</v>
      </c>
      <c r="N26" s="14">
        <f>Assumptions!$C$6/M26</f>
        <v>37.29968467852575</v>
      </c>
    </row>
    <row r="28" spans="2:14" x14ac:dyDescent="0.25">
      <c r="B28" s="10" t="s">
        <v>224</v>
      </c>
      <c r="D28" s="11">
        <f>D26</f>
        <v>37.29968467852575</v>
      </c>
      <c r="E28" s="11">
        <f>E26</f>
        <v>37422257.34348281</v>
      </c>
      <c r="F28" s="11">
        <f>F26</f>
        <v>57.67090274703376</v>
      </c>
      <c r="G28" s="11">
        <f>G26</f>
        <v>48.90343995623727</v>
      </c>
      <c r="H28" s="11">
        <f>H26</f>
        <v>1733976.671713248</v>
      </c>
      <c r="I28" s="11">
        <f>I26</f>
        <v>6134537.780337418</v>
      </c>
      <c r="J28" s="11">
        <f>J26</f>
        <v>589289.341781804</v>
      </c>
      <c r="K28" s="11">
        <f>K26</f>
        <v>186735.46946532867</v>
      </c>
      <c r="L28" s="11">
        <f>L26</f>
        <v>94623.0992332716</v>
      </c>
      <c r="M28" s="11">
        <f>M26</f>
        <v>37533829.362531066</v>
      </c>
      <c r="N28" s="11">
        <f>N26</f>
        <v>37.29968467852575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6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28.955" customWidth="1"/>
    <col min="3" max="3" width="13.955" customWidth="1"/>
    <col min="4" max="8" width="16.455" customWidth="1"/>
  </cols>
  <sheetData>
    <row r="2" ht="18" customHeight="1" spans="2:2" x14ac:dyDescent="0.25">
      <c r="B2" s="1" t="s">
        <v>225</v>
      </c>
    </row>
    <row r="3" spans="2:2" x14ac:dyDescent="0.25">
      <c r="B3" s="2" t="s">
        <v>226</v>
      </c>
    </row>
    <row r="5" spans="2:8" x14ac:dyDescent="0.25">
      <c r="B5" s="3" t="s">
        <v>227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</row>
    <row r="6" spans="2:5" x14ac:dyDescent="0.25">
      <c r="B6" s="16" t="s">
        <v>85</v>
      </c>
      <c r="C6" s="16" t="s">
        <v>228</v>
      </c>
      <c r="D6" s="16" t="s">
        <v>229</v>
      </c>
      <c r="E6" s="16" t="s">
        <v>230</v>
      </c>
    </row>
    <row r="7" spans="2:5" x14ac:dyDescent="0.25">
      <c r="B7" s="5" t="s">
        <v>231</v>
      </c>
      <c r="C7" s="15">
        <f>'Pro-Forma'!$C$9</f>
        <v>804296.3434828086</v>
      </c>
      <c r="D7" s="14">
        <f>Assumptions!$C$7</f>
        <v>30000000</v>
      </c>
      <c r="E7" s="14">
        <f>D7/C7</f>
        <v>37.29968467852575</v>
      </c>
    </row>
    <row r="8" spans="2:5" x14ac:dyDescent="0.25">
      <c r="B8" s="5" t="s">
        <v>96</v>
      </c>
      <c r="C8" s="15">
        <f>'Pro-Forma'!$G$21</f>
        <v>6134537.780337418</v>
      </c>
      <c r="D8" s="14">
        <f>Assumptions!$C$44</f>
        <v>300000000</v>
      </c>
      <c r="E8" s="14">
        <f>D8/C8</f>
        <v>48.90343995623727</v>
      </c>
    </row>
    <row r="9" spans="2:5" x14ac:dyDescent="0.25">
      <c r="B9" s="5" t="s">
        <v>95</v>
      </c>
      <c r="C9" s="15">
        <f>'Pro-Forma'!$G$20</f>
        <v>1733976.671713248</v>
      </c>
      <c r="D9" s="14">
        <f>Assumptions!$C$43</f>
        <v>100000000</v>
      </c>
      <c r="E9" s="14">
        <f>D9/C9</f>
        <v>57.67090274703376</v>
      </c>
    </row>
    <row r="10" spans="2:5" x14ac:dyDescent="0.25">
      <c r="B10" s="5" t="s">
        <v>94</v>
      </c>
      <c r="C10" s="15">
        <f>Assumptions!$C$23</f>
        <v>2400000</v>
      </c>
      <c r="D10" s="14">
        <f>Assumptions!$C$42</f>
        <v>60000000</v>
      </c>
      <c r="E10" s="14">
        <f>D10/C10</f>
        <v>25</v>
      </c>
    </row>
    <row r="11" spans="2:5" x14ac:dyDescent="0.25">
      <c r="B11" s="5" t="s">
        <v>93</v>
      </c>
      <c r="C11" s="15">
        <f>Assumptions!$C$22</f>
        <v>3000000</v>
      </c>
      <c r="D11" s="14">
        <f>Assumptions!$C$41</f>
        <v>30000000</v>
      </c>
      <c r="E11" s="14">
        <f>D11/C11</f>
        <v>10</v>
      </c>
    </row>
    <row r="12" spans="2:5" x14ac:dyDescent="0.25">
      <c r="B12" s="5" t="s">
        <v>92</v>
      </c>
      <c r="C12" s="15">
        <f>Assumptions!$C$21</f>
        <v>5000000</v>
      </c>
      <c r="D12" s="14">
        <f>Assumptions!$C$40</f>
        <v>15000000</v>
      </c>
      <c r="E12" s="14">
        <f>D12/C12</f>
        <v>3</v>
      </c>
    </row>
    <row r="13" spans="2:5" x14ac:dyDescent="0.25">
      <c r="B13" s="5" t="s">
        <v>91</v>
      </c>
      <c r="C13" s="15">
        <f>Assumptions!$C$20</f>
        <v>5000000</v>
      </c>
      <c r="D13" s="14">
        <f>Assumptions!$C$39</f>
        <v>5000000</v>
      </c>
      <c r="E13" s="14">
        <f>D13/C13</f>
        <v>1</v>
      </c>
    </row>
    <row r="15" spans="2:8" x14ac:dyDescent="0.25">
      <c r="B15" s="3" t="s">
        <v>232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</row>
    <row r="16" spans="2:3" x14ac:dyDescent="0.25">
      <c r="B16" s="5" t="s">
        <v>233</v>
      </c>
      <c r="C16" s="15">
        <f>Assumptions!$C$16+Assumptions!$C$17+Assumptions!$C$18+Assumptions!$C$19</f>
        <v>9000000</v>
      </c>
    </row>
    <row r="17" spans="2:3" x14ac:dyDescent="0.25">
      <c r="B17" s="5" t="s">
        <v>234</v>
      </c>
      <c r="C17" s="15">
        <f>'Pro-Forma'!$G$25+'Pro-Forma'!$G$26</f>
        <v>281358.5686986003</v>
      </c>
    </row>
    <row r="18" spans="2:3" x14ac:dyDescent="0.25">
      <c r="B18" s="5" t="s">
        <v>235</v>
      </c>
      <c r="C18" s="15">
        <f>Assumptions!$C$26</f>
        <v>2500000</v>
      </c>
    </row>
    <row r="19" spans="2:3" x14ac:dyDescent="0.25">
      <c r="B19" s="10" t="s">
        <v>236</v>
      </c>
      <c r="C19" s="11">
        <f>$C$16+$C$17+$C$18</f>
        <v>11781358.5686986</v>
      </c>
    </row>
    <row r="20" spans="2:3" x14ac:dyDescent="0.25">
      <c r="B20" s="10" t="s">
        <v>237</v>
      </c>
      <c r="C20" s="11">
        <f>$C$19+SUM(C7:C13)</f>
        <v>35854169.36423208</v>
      </c>
    </row>
    <row r="22" spans="2:8" x14ac:dyDescent="0.25">
      <c r="B22" s="3" t="s">
        <v>238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</row>
    <row r="23" spans="2:8" x14ac:dyDescent="0.25">
      <c r="B23" s="16" t="s">
        <v>239</v>
      </c>
      <c r="D23" s="22">
        <f>Assumptions!$C$55</f>
        <v>700000000</v>
      </c>
      <c r="E23" s="22">
        <f>Assumptions!$C$56</f>
        <v>1200000000</v>
      </c>
      <c r="F23" s="22">
        <f>Assumptions!$C$57</f>
        <v>2000000000</v>
      </c>
      <c r="G23" s="22">
        <f>Assumptions!$C$58</f>
        <v>4000000000</v>
      </c>
      <c r="H23" s="22">
        <f>Assumptions!$C$59</f>
        <v>8000000000</v>
      </c>
    </row>
    <row r="24" spans="2:8" x14ac:dyDescent="0.25">
      <c r="B24" s="5" t="s">
        <v>240</v>
      </c>
      <c r="D24" s="14">
        <f>Assumptions!$C$55+$C$18*Assumptions!$C$13</f>
        <v>702500000</v>
      </c>
      <c r="E24" s="14">
        <f>Assumptions!$C$56+$C$18*Assumptions!$C$13</f>
        <v>1202500000</v>
      </c>
      <c r="F24" s="14">
        <f>Assumptions!$C$57+$C$18*Assumptions!$C$13</f>
        <v>2002500000</v>
      </c>
      <c r="G24" s="14">
        <f>Assumptions!$C$58+$C$18*Assumptions!$C$13</f>
        <v>4002500000</v>
      </c>
      <c r="H24" s="14">
        <f>Assumptions!$C$59+$C$18*Assumptions!$C$13</f>
        <v>8002500000</v>
      </c>
    </row>
    <row r="25" spans="2:8" x14ac:dyDescent="0.25">
      <c r="B25" s="32" t="s">
        <v>241</v>
      </c>
      <c r="C25" s="33" t="s">
        <v>3</v>
      </c>
      <c r="D25" s="33" t="s">
        <v>3</v>
      </c>
      <c r="E25" s="33" t="s">
        <v>3</v>
      </c>
      <c r="F25" s="33" t="s">
        <v>3</v>
      </c>
      <c r="G25" s="33" t="s">
        <v>3</v>
      </c>
      <c r="H25" s="33" t="s">
        <v>3</v>
      </c>
    </row>
    <row r="26" spans="2:8" x14ac:dyDescent="0.25">
      <c r="B26" s="24" t="s">
        <v>242</v>
      </c>
      <c r="D26" s="14">
        <f>D24/$C$20</f>
        <v>19.593258258572575</v>
      </c>
      <c r="E26" s="14">
        <f>E24/$C$20</f>
        <v>33.5386378020406</v>
      </c>
      <c r="F26" s="14">
        <f>F24/$C$20</f>
        <v>55.85124507158944</v>
      </c>
      <c r="G26" s="14">
        <f>G24/$C$20</f>
        <v>111.63276324546153</v>
      </c>
      <c r="H26" s="14">
        <f>H24/$C$20</f>
        <v>223.19579959320575</v>
      </c>
    </row>
    <row r="27" spans="2:8" x14ac:dyDescent="0.25">
      <c r="B27" s="24" t="s">
        <v>243</v>
      </c>
      <c r="D27" s="15" t="str">
        <f>IF(D7&gt;C7*D26,"preference","convert")</f>
        <v>preference</v>
      </c>
      <c r="E27" s="15" t="str">
        <f>IF(D7&gt;C7*E26,"preference","convert")</f>
        <v>preference</v>
      </c>
      <c r="F27" s="15" t="str">
        <f>IF(D7&gt;C7*F26,"preference","convert")</f>
        <v>convert</v>
      </c>
      <c r="G27" s="15" t="str">
        <f>IF(D7&gt;C7*G26,"preference","convert")</f>
        <v>convert</v>
      </c>
      <c r="H27" s="15" t="str">
        <f>IF(D7&gt;C7*H26,"preference","convert")</f>
        <v>convert</v>
      </c>
    </row>
    <row r="28" spans="2:8" x14ac:dyDescent="0.25">
      <c r="B28" s="24" t="s">
        <v>244</v>
      </c>
      <c r="D28" s="15" t="str">
        <f>IF(D8&gt;C8*D26,"preference","convert")</f>
        <v>preference</v>
      </c>
      <c r="E28" s="15" t="str">
        <f>IF(D8&gt;C8*E26,"preference","convert")</f>
        <v>preference</v>
      </c>
      <c r="F28" s="15" t="str">
        <f>IF(D8&gt;C8*F26,"preference","convert")</f>
        <v>convert</v>
      </c>
      <c r="G28" s="15" t="str">
        <f>IF(D8&gt;C8*G26,"preference","convert")</f>
        <v>convert</v>
      </c>
      <c r="H28" s="15" t="str">
        <f>IF(D8&gt;C8*H26,"preference","convert")</f>
        <v>convert</v>
      </c>
    </row>
    <row r="29" spans="2:8" x14ac:dyDescent="0.25">
      <c r="B29" s="24" t="s">
        <v>245</v>
      </c>
      <c r="D29" s="15" t="str">
        <f>IF(D9&gt;C9*D26,"preference","convert")</f>
        <v>preference</v>
      </c>
      <c r="E29" s="15" t="str">
        <f>IF(D9&gt;C9*E26,"preference","convert")</f>
        <v>preference</v>
      </c>
      <c r="F29" s="15" t="str">
        <f>IF(D9&gt;C9*F26,"preference","convert")</f>
        <v>preference</v>
      </c>
      <c r="G29" s="15" t="str">
        <f>IF(D9&gt;C9*G26,"preference","convert")</f>
        <v>convert</v>
      </c>
      <c r="H29" s="15" t="str">
        <f>IF(D9&gt;C9*H26,"preference","convert")</f>
        <v>convert</v>
      </c>
    </row>
    <row r="30" spans="2:8" x14ac:dyDescent="0.25">
      <c r="B30" s="24" t="s">
        <v>246</v>
      </c>
      <c r="D30" s="15" t="str">
        <f>IF(D10&gt;C10*D26,"preference","convert")</f>
        <v>preference</v>
      </c>
      <c r="E30" s="15" t="str">
        <f>IF(D10&gt;C10*E26,"preference","convert")</f>
        <v>convert</v>
      </c>
      <c r="F30" s="15" t="str">
        <f>IF(D10&gt;C10*F26,"preference","convert")</f>
        <v>convert</v>
      </c>
      <c r="G30" s="15" t="str">
        <f>IF(D10&gt;C10*G26,"preference","convert")</f>
        <v>convert</v>
      </c>
      <c r="H30" s="15" t="str">
        <f>IF(D10&gt;C10*H26,"preference","convert")</f>
        <v>convert</v>
      </c>
    </row>
    <row r="31" spans="2:8" x14ac:dyDescent="0.25">
      <c r="B31" s="24" t="s">
        <v>247</v>
      </c>
      <c r="D31" s="15" t="str">
        <f>IF(D11&gt;C11*D26,"preference","convert")</f>
        <v>convert</v>
      </c>
      <c r="E31" s="15" t="str">
        <f>IF(D11&gt;C11*E26,"preference","convert")</f>
        <v>convert</v>
      </c>
      <c r="F31" s="15" t="str">
        <f>IF(D11&gt;C11*F26,"preference","convert")</f>
        <v>convert</v>
      </c>
      <c r="G31" s="15" t="str">
        <f>IF(D11&gt;C11*G26,"preference","convert")</f>
        <v>convert</v>
      </c>
      <c r="H31" s="15" t="str">
        <f>IF(D11&gt;C11*H26,"preference","convert")</f>
        <v>convert</v>
      </c>
    </row>
    <row r="32" spans="2:8" x14ac:dyDescent="0.25">
      <c r="B32" s="24" t="s">
        <v>248</v>
      </c>
      <c r="D32" s="15" t="str">
        <f>IF(D12&gt;C12*D26,"preference","convert")</f>
        <v>convert</v>
      </c>
      <c r="E32" s="15" t="str">
        <f>IF(D12&gt;C12*E26,"preference","convert")</f>
        <v>convert</v>
      </c>
      <c r="F32" s="15" t="str">
        <f>IF(D12&gt;C12*F26,"preference","convert")</f>
        <v>convert</v>
      </c>
      <c r="G32" s="15" t="str">
        <f>IF(D12&gt;C12*G26,"preference","convert")</f>
        <v>convert</v>
      </c>
      <c r="H32" s="15" t="str">
        <f>IF(D12&gt;C12*H26,"preference","convert")</f>
        <v>convert</v>
      </c>
    </row>
    <row r="33" spans="2:8" x14ac:dyDescent="0.25">
      <c r="B33" s="24" t="s">
        <v>249</v>
      </c>
      <c r="D33" s="15" t="str">
        <f>IF(D13&gt;C13*D26,"preference","convert")</f>
        <v>convert</v>
      </c>
      <c r="E33" s="15" t="str">
        <f>IF(D13&gt;C13*E26,"preference","convert")</f>
        <v>convert</v>
      </c>
      <c r="F33" s="15" t="str">
        <f>IF(D13&gt;C13*F26,"preference","convert")</f>
        <v>convert</v>
      </c>
      <c r="G33" s="15" t="str">
        <f>IF(D13&gt;C13*G26,"preference","convert")</f>
        <v>convert</v>
      </c>
      <c r="H33" s="15" t="str">
        <f>IF(D13&gt;C13*H26,"preference","convert")</f>
        <v>convert</v>
      </c>
    </row>
    <row r="34" spans="2:8" x14ac:dyDescent="0.25">
      <c r="B34" s="32" t="s">
        <v>250</v>
      </c>
      <c r="C34" s="33" t="s">
        <v>3</v>
      </c>
      <c r="D34" s="33" t="s">
        <v>3</v>
      </c>
      <c r="E34" s="33" t="s">
        <v>3</v>
      </c>
      <c r="F34" s="33" t="s">
        <v>3</v>
      </c>
      <c r="G34" s="33" t="s">
        <v>3</v>
      </c>
      <c r="H34" s="33" t="s">
        <v>3</v>
      </c>
    </row>
    <row r="35" spans="2:8" x14ac:dyDescent="0.25">
      <c r="B35" s="24" t="s">
        <v>242</v>
      </c>
      <c r="D35" s="14">
        <f>(D24-(IF(D27="preference",D7,0)+IF(D28="preference",D8,0)+IF(D29="preference",D9,0)+IF(D30="preference",D10,0)+IF(D31="preference",D11,0)+IF(D32="preference",D12,0)+IF(D33="preference",D13,0)))/($C$20-(IF(D27="preference",C7,0)+IF(D28="preference",C8,0)+IF(D29="preference",C9,0)+IF(D30="preference",C10,0)+IF(D31="preference",C11,0)+IF(D32="preference",C12,0)+IF(D33="preference",C13,0)))</f>
        <v>8.574993958095957</v>
      </c>
      <c r="E35" s="14">
        <f>(E24-(IF(E27="preference",D7,0)+IF(E28="preference",D8,0)+IF(E29="preference",D9,0)+IF(E30="preference",D10,0)+IF(E31="preference",D11,0)+IF(E32="preference",D12,0)+IF(E33="preference",D13,0)))/($C$20-(IF(E27="preference",C7,0)+IF(E28="preference",C8,0)+IF(E29="preference",C9,0)+IF(E30="preference",C10,0)+IF(E31="preference",C11,0)+IF(E32="preference",C12,0)+IF(E33="preference",C13,0)))</f>
        <v>28.420212994415678</v>
      </c>
      <c r="F35" s="14">
        <f>(F24-(IF(F27="preference",D7,0)+IF(F28="preference",D8,0)+IF(F29="preference",D9,0)+IF(F30="preference",D10,0)+IF(F31="preference",D11,0)+IF(F32="preference",D12,0)+IF(F33="preference",D13,0)))/($C$20-(IF(F27="preference",C7,0)+IF(F28="preference",C8,0)+IF(F29="preference",C9,0)+IF(F30="preference",C10,0)+IF(F31="preference",C11,0)+IF(F32="preference",C12,0)+IF(F33="preference",C13,0)))</f>
        <v>55.75877068294344</v>
      </c>
      <c r="G35" s="14">
        <f>(G24-(IF(G27="preference",D7,0)+IF(G28="preference",D8,0)+IF(G29="preference",D9,0)+IF(G30="preference",D10,0)+IF(G31="preference",D11,0)+IF(G32="preference",D12,0)+IF(G33="preference",D13,0)))/($C$20-(IF(G27="preference",C7,0)+IF(G28="preference",C8,0)+IF(G29="preference",C9,0)+IF(G30="preference",C10,0)+IF(G31="preference",C11,0)+IF(G32="preference",C12,0)+IF(G33="preference",C13,0)))</f>
        <v>111.63276324546153</v>
      </c>
      <c r="H35" s="14">
        <f>(H24-(IF(H27="preference",D7,0)+IF(H28="preference",D8,0)+IF(H29="preference",D9,0)+IF(H30="preference",D10,0)+IF(H31="preference",D11,0)+IF(H32="preference",D12,0)+IF(H33="preference",D13,0)))/($C$20-(IF(H27="preference",C7,0)+IF(H28="preference",C8,0)+IF(H29="preference",C9,0)+IF(H30="preference",C10,0)+IF(H31="preference",C11,0)+IF(H32="preference",C12,0)+IF(H33="preference",C13,0)))</f>
        <v>223.19579959320575</v>
      </c>
    </row>
    <row r="36" spans="2:8" x14ac:dyDescent="0.25">
      <c r="B36" s="24" t="s">
        <v>243</v>
      </c>
      <c r="D36" s="15" t="str">
        <f>IF(D7&gt;C7*D35,"preference","convert")</f>
        <v>preference</v>
      </c>
      <c r="E36" s="15" t="str">
        <f>IF(D7&gt;C7*E35,"preference","convert")</f>
        <v>preference</v>
      </c>
      <c r="F36" s="15" t="str">
        <f>IF(D7&gt;C7*F35,"preference","convert")</f>
        <v>convert</v>
      </c>
      <c r="G36" s="15" t="str">
        <f>IF(D7&gt;C7*G35,"preference","convert")</f>
        <v>convert</v>
      </c>
      <c r="H36" s="15" t="str">
        <f>IF(D7&gt;C7*H35,"preference","convert")</f>
        <v>convert</v>
      </c>
    </row>
    <row r="37" spans="2:8" x14ac:dyDescent="0.25">
      <c r="B37" s="24" t="s">
        <v>244</v>
      </c>
      <c r="D37" s="15" t="str">
        <f>IF(D8&gt;C8*D35,"preference","convert")</f>
        <v>preference</v>
      </c>
      <c r="E37" s="15" t="str">
        <f>IF(D8&gt;C8*E35,"preference","convert")</f>
        <v>preference</v>
      </c>
      <c r="F37" s="15" t="str">
        <f>IF(D8&gt;C8*F35,"preference","convert")</f>
        <v>convert</v>
      </c>
      <c r="G37" s="15" t="str">
        <f>IF(D8&gt;C8*G35,"preference","convert")</f>
        <v>convert</v>
      </c>
      <c r="H37" s="15" t="str">
        <f>IF(D8&gt;C8*H35,"preference","convert")</f>
        <v>convert</v>
      </c>
    </row>
    <row r="38" spans="2:8" x14ac:dyDescent="0.25">
      <c r="B38" s="24" t="s">
        <v>245</v>
      </c>
      <c r="D38" s="15" t="str">
        <f>IF(D9&gt;C9*D35,"preference","convert")</f>
        <v>preference</v>
      </c>
      <c r="E38" s="15" t="str">
        <f>IF(D9&gt;C9*E35,"preference","convert")</f>
        <v>preference</v>
      </c>
      <c r="F38" s="15" t="str">
        <f>IF(D9&gt;C9*F35,"preference","convert")</f>
        <v>preference</v>
      </c>
      <c r="G38" s="15" t="str">
        <f>IF(D9&gt;C9*G35,"preference","convert")</f>
        <v>convert</v>
      </c>
      <c r="H38" s="15" t="str">
        <f>IF(D9&gt;C9*H35,"preference","convert")</f>
        <v>convert</v>
      </c>
    </row>
    <row r="39" spans="2:8" x14ac:dyDescent="0.25">
      <c r="B39" s="24" t="s">
        <v>246</v>
      </c>
      <c r="D39" s="15" t="str">
        <f>IF(D10&gt;C10*D35,"preference","convert")</f>
        <v>preference</v>
      </c>
      <c r="E39" s="15" t="str">
        <f>IF(D10&gt;C10*E35,"preference","convert")</f>
        <v>convert</v>
      </c>
      <c r="F39" s="15" t="str">
        <f>IF(D10&gt;C10*F35,"preference","convert")</f>
        <v>convert</v>
      </c>
      <c r="G39" s="15" t="str">
        <f>IF(D10&gt;C10*G35,"preference","convert")</f>
        <v>convert</v>
      </c>
      <c r="H39" s="15" t="str">
        <f>IF(D10&gt;C10*H35,"preference","convert")</f>
        <v>convert</v>
      </c>
    </row>
    <row r="40" spans="2:8" x14ac:dyDescent="0.25">
      <c r="B40" s="24" t="s">
        <v>247</v>
      </c>
      <c r="D40" s="15" t="str">
        <f>IF(D11&gt;C11*D35,"preference","convert")</f>
        <v>preference</v>
      </c>
      <c r="E40" s="15" t="str">
        <f>IF(D11&gt;C11*E35,"preference","convert")</f>
        <v>convert</v>
      </c>
      <c r="F40" s="15" t="str">
        <f>IF(D11&gt;C11*F35,"preference","convert")</f>
        <v>convert</v>
      </c>
      <c r="G40" s="15" t="str">
        <f>IF(D11&gt;C11*G35,"preference","convert")</f>
        <v>convert</v>
      </c>
      <c r="H40" s="15" t="str">
        <f>IF(D11&gt;C11*H35,"preference","convert")</f>
        <v>convert</v>
      </c>
    </row>
    <row r="41" spans="2:8" x14ac:dyDescent="0.25">
      <c r="B41" s="24" t="s">
        <v>248</v>
      </c>
      <c r="D41" s="15" t="str">
        <f>IF(D12&gt;C12*D35,"preference","convert")</f>
        <v>convert</v>
      </c>
      <c r="E41" s="15" t="str">
        <f>IF(D12&gt;C12*E35,"preference","convert")</f>
        <v>convert</v>
      </c>
      <c r="F41" s="15" t="str">
        <f>IF(D12&gt;C12*F35,"preference","convert")</f>
        <v>convert</v>
      </c>
      <c r="G41" s="15" t="str">
        <f>IF(D12&gt;C12*G35,"preference","convert")</f>
        <v>convert</v>
      </c>
      <c r="H41" s="15" t="str">
        <f>IF(D12&gt;C12*H35,"preference","convert")</f>
        <v>convert</v>
      </c>
    </row>
    <row r="42" spans="2:8" x14ac:dyDescent="0.25">
      <c r="B42" s="24" t="s">
        <v>249</v>
      </c>
      <c r="D42" s="15" t="str">
        <f>IF(D13&gt;C13*D35,"preference","convert")</f>
        <v>convert</v>
      </c>
      <c r="E42" s="15" t="str">
        <f>IF(D13&gt;C13*E35,"preference","convert")</f>
        <v>convert</v>
      </c>
      <c r="F42" s="15" t="str">
        <f>IF(D13&gt;C13*F35,"preference","convert")</f>
        <v>convert</v>
      </c>
      <c r="G42" s="15" t="str">
        <f>IF(D13&gt;C13*G35,"preference","convert")</f>
        <v>convert</v>
      </c>
      <c r="H42" s="15" t="str">
        <f>IF(D13&gt;C13*H35,"preference","convert")</f>
        <v>convert</v>
      </c>
    </row>
    <row r="43" spans="2:8" x14ac:dyDescent="0.25">
      <c r="B43" s="32" t="s">
        <v>251</v>
      </c>
      <c r="C43" s="33" t="s">
        <v>3</v>
      </c>
      <c r="D43" s="33" t="s">
        <v>3</v>
      </c>
      <c r="E43" s="33" t="s">
        <v>3</v>
      </c>
      <c r="F43" s="33" t="s">
        <v>3</v>
      </c>
      <c r="G43" s="33" t="s">
        <v>3</v>
      </c>
      <c r="H43" s="33" t="s">
        <v>3</v>
      </c>
    </row>
    <row r="44" spans="2:8" x14ac:dyDescent="0.25">
      <c r="B44" s="24" t="s">
        <v>242</v>
      </c>
      <c r="D44" s="14">
        <f>(D24-(IF(D36="preference",D7,0)+IF(D37="preference",D8,0)+IF(D38="preference",D9,0)+IF(D39="preference",D10,0)+IF(D40="preference",D11,0)+IF(D41="preference",D12,0)+IF(D42="preference",D13,0)))/($C$20-(IF(D36="preference",C7,0)+IF(D37="preference",C8,0)+IF(D38="preference",C9,0)+IF(D39="preference",C10,0)+IF(D40="preference",C11,0)+IF(D41="preference",C12,0)+IF(D42="preference",C13,0)))</f>
        <v>8.378724376828623</v>
      </c>
      <c r="E44" s="14">
        <f>(E24-(IF(E36="preference",D7,0)+IF(E37="preference",D8,0)+IF(E38="preference",D9,0)+IF(E39="preference",D10,0)+IF(E40="preference",D11,0)+IF(E41="preference",D12,0)+IF(E42="preference",D13,0)))/($C$20-(IF(E36="preference",C7,0)+IF(E37="preference",C8,0)+IF(E38="preference",C9,0)+IF(E39="preference",C10,0)+IF(E40="preference",C11,0)+IF(E41="preference",C12,0)+IF(E42="preference",C13,0)))</f>
        <v>28.420212994415678</v>
      </c>
      <c r="F44" s="14">
        <f>(F24-(IF(F36="preference",D7,0)+IF(F37="preference",D8,0)+IF(F38="preference",D9,0)+IF(F39="preference",D10,0)+IF(F40="preference",D11,0)+IF(F41="preference",D12,0)+IF(F42="preference",D13,0)))/($C$20-(IF(F36="preference",C7,0)+IF(F37="preference",C8,0)+IF(F38="preference",C9,0)+IF(F39="preference",C10,0)+IF(F40="preference",C11,0)+IF(F41="preference",C12,0)+IF(F42="preference",C13,0)))</f>
        <v>55.75877068294344</v>
      </c>
      <c r="G44" s="14">
        <f>(G24-(IF(G36="preference",D7,0)+IF(G37="preference",D8,0)+IF(G38="preference",D9,0)+IF(G39="preference",D10,0)+IF(G40="preference",D11,0)+IF(G41="preference",D12,0)+IF(G42="preference",D13,0)))/($C$20-(IF(G36="preference",C7,0)+IF(G37="preference",C8,0)+IF(G38="preference",C9,0)+IF(G39="preference",C10,0)+IF(G40="preference",C11,0)+IF(G41="preference",C12,0)+IF(G42="preference",C13,0)))</f>
        <v>111.63276324546153</v>
      </c>
      <c r="H44" s="14">
        <f>(H24-(IF(H36="preference",D7,0)+IF(H37="preference",D8,0)+IF(H38="preference",D9,0)+IF(H39="preference",D10,0)+IF(H40="preference",D11,0)+IF(H41="preference",D12,0)+IF(H42="preference",D13,0)))/($C$20-(IF(H36="preference",C7,0)+IF(H37="preference",C8,0)+IF(H38="preference",C9,0)+IF(H39="preference",C10,0)+IF(H40="preference",C11,0)+IF(H41="preference",C12,0)+IF(H42="preference",C13,0)))</f>
        <v>223.19579959320575</v>
      </c>
    </row>
    <row r="45" spans="2:8" x14ac:dyDescent="0.25">
      <c r="B45" s="24" t="s">
        <v>243</v>
      </c>
      <c r="D45" s="15" t="str">
        <f>IF(D7&gt;C7*D44,"preference","convert")</f>
        <v>preference</v>
      </c>
      <c r="E45" s="15" t="str">
        <f>IF(D7&gt;C7*E44,"preference","convert")</f>
        <v>preference</v>
      </c>
      <c r="F45" s="15" t="str">
        <f>IF(D7&gt;C7*F44,"preference","convert")</f>
        <v>convert</v>
      </c>
      <c r="G45" s="15" t="str">
        <f>IF(D7&gt;C7*G44,"preference","convert")</f>
        <v>convert</v>
      </c>
      <c r="H45" s="15" t="str">
        <f>IF(D7&gt;C7*H44,"preference","convert")</f>
        <v>convert</v>
      </c>
    </row>
    <row r="46" spans="2:8" x14ac:dyDescent="0.25">
      <c r="B46" s="24" t="s">
        <v>244</v>
      </c>
      <c r="D46" s="15" t="str">
        <f>IF(D8&gt;C8*D44,"preference","convert")</f>
        <v>preference</v>
      </c>
      <c r="E46" s="15" t="str">
        <f>IF(D8&gt;C8*E44,"preference","convert")</f>
        <v>preference</v>
      </c>
      <c r="F46" s="15" t="str">
        <f>IF(D8&gt;C8*F44,"preference","convert")</f>
        <v>convert</v>
      </c>
      <c r="G46" s="15" t="str">
        <f>IF(D8&gt;C8*G44,"preference","convert")</f>
        <v>convert</v>
      </c>
      <c r="H46" s="15" t="str">
        <f>IF(D8&gt;C8*H44,"preference","convert")</f>
        <v>convert</v>
      </c>
    </row>
    <row r="47" spans="2:8" x14ac:dyDescent="0.25">
      <c r="B47" s="24" t="s">
        <v>245</v>
      </c>
      <c r="D47" s="15" t="str">
        <f>IF(D9&gt;C9*D44,"preference","convert")</f>
        <v>preference</v>
      </c>
      <c r="E47" s="15" t="str">
        <f>IF(D9&gt;C9*E44,"preference","convert")</f>
        <v>preference</v>
      </c>
      <c r="F47" s="15" t="str">
        <f>IF(D9&gt;C9*F44,"preference","convert")</f>
        <v>preference</v>
      </c>
      <c r="G47" s="15" t="str">
        <f>IF(D9&gt;C9*G44,"preference","convert")</f>
        <v>convert</v>
      </c>
      <c r="H47" s="15" t="str">
        <f>IF(D9&gt;C9*H44,"preference","convert")</f>
        <v>convert</v>
      </c>
    </row>
    <row r="48" spans="2:8" x14ac:dyDescent="0.25">
      <c r="B48" s="24" t="s">
        <v>246</v>
      </c>
      <c r="D48" s="15" t="str">
        <f>IF(D10&gt;C10*D44,"preference","convert")</f>
        <v>preference</v>
      </c>
      <c r="E48" s="15" t="str">
        <f>IF(D10&gt;C10*E44,"preference","convert")</f>
        <v>convert</v>
      </c>
      <c r="F48" s="15" t="str">
        <f>IF(D10&gt;C10*F44,"preference","convert")</f>
        <v>convert</v>
      </c>
      <c r="G48" s="15" t="str">
        <f>IF(D10&gt;C10*G44,"preference","convert")</f>
        <v>convert</v>
      </c>
      <c r="H48" s="15" t="str">
        <f>IF(D10&gt;C10*H44,"preference","convert")</f>
        <v>convert</v>
      </c>
    </row>
    <row r="49" spans="2:8" x14ac:dyDescent="0.25">
      <c r="B49" s="24" t="s">
        <v>247</v>
      </c>
      <c r="D49" s="15" t="str">
        <f>IF(D11&gt;C11*D44,"preference","convert")</f>
        <v>preference</v>
      </c>
      <c r="E49" s="15" t="str">
        <f>IF(D11&gt;C11*E44,"preference","convert")</f>
        <v>convert</v>
      </c>
      <c r="F49" s="15" t="str">
        <f>IF(D11&gt;C11*F44,"preference","convert")</f>
        <v>convert</v>
      </c>
      <c r="G49" s="15" t="str">
        <f>IF(D11&gt;C11*G44,"preference","convert")</f>
        <v>convert</v>
      </c>
      <c r="H49" s="15" t="str">
        <f>IF(D11&gt;C11*H44,"preference","convert")</f>
        <v>convert</v>
      </c>
    </row>
    <row r="50" spans="2:8" x14ac:dyDescent="0.25">
      <c r="B50" s="24" t="s">
        <v>248</v>
      </c>
      <c r="D50" s="15" t="str">
        <f>IF(D12&gt;C12*D44,"preference","convert")</f>
        <v>convert</v>
      </c>
      <c r="E50" s="15" t="str">
        <f>IF(D12&gt;C12*E44,"preference","convert")</f>
        <v>convert</v>
      </c>
      <c r="F50" s="15" t="str">
        <f>IF(D12&gt;C12*F44,"preference","convert")</f>
        <v>convert</v>
      </c>
      <c r="G50" s="15" t="str">
        <f>IF(D12&gt;C12*G44,"preference","convert")</f>
        <v>convert</v>
      </c>
      <c r="H50" s="15" t="str">
        <f>IF(D12&gt;C12*H44,"preference","convert")</f>
        <v>convert</v>
      </c>
    </row>
    <row r="51" spans="2:8" x14ac:dyDescent="0.25">
      <c r="B51" s="24" t="s">
        <v>249</v>
      </c>
      <c r="D51" s="15" t="str">
        <f>IF(D13&gt;C13*D44,"preference","convert")</f>
        <v>convert</v>
      </c>
      <c r="E51" s="15" t="str">
        <f>IF(D13&gt;C13*E44,"preference","convert")</f>
        <v>convert</v>
      </c>
      <c r="F51" s="15" t="str">
        <f>IF(D13&gt;C13*F44,"preference","convert")</f>
        <v>convert</v>
      </c>
      <c r="G51" s="15" t="str">
        <f>IF(D13&gt;C13*G44,"preference","convert")</f>
        <v>convert</v>
      </c>
      <c r="H51" s="15" t="str">
        <f>IF(D13&gt;C13*H44,"preference","convert")</f>
        <v>convert</v>
      </c>
    </row>
    <row r="52" spans="2:8" x14ac:dyDescent="0.25">
      <c r="B52" s="32" t="s">
        <v>252</v>
      </c>
      <c r="C52" s="33" t="s">
        <v>3</v>
      </c>
      <c r="D52" s="33" t="s">
        <v>3</v>
      </c>
      <c r="E52" s="33" t="s">
        <v>3</v>
      </c>
      <c r="F52" s="33" t="s">
        <v>3</v>
      </c>
      <c r="G52" s="33" t="s">
        <v>3</v>
      </c>
      <c r="H52" s="33" t="s">
        <v>3</v>
      </c>
    </row>
    <row r="53" spans="2:8" x14ac:dyDescent="0.25">
      <c r="B53" s="24" t="s">
        <v>242</v>
      </c>
      <c r="D53" s="14">
        <f>(D24-(IF(D45="preference",D7,0)+IF(D46="preference",D8,0)+IF(D47="preference",D9,0)+IF(D48="preference",D10,0)+IF(D49="preference",D11,0)+IF(D50="preference",D12,0)+IF(D51="preference",D13,0)))/($C$20-(IF(D45="preference",C7,0)+IF(D46="preference",C8,0)+IF(D47="preference",C9,0)+IF(D48="preference",C10,0)+IF(D49="preference",C11,0)+IF(D50="preference",C12,0)+IF(D51="preference",C13,0)))</f>
        <v>8.378724376828623</v>
      </c>
      <c r="E53" s="14">
        <f>(E24-(IF(E45="preference",D7,0)+IF(E46="preference",D8,0)+IF(E47="preference",D9,0)+IF(E48="preference",D10,0)+IF(E49="preference",D11,0)+IF(E50="preference",D12,0)+IF(E51="preference",D13,0)))/($C$20-(IF(E45="preference",C7,0)+IF(E46="preference",C8,0)+IF(E47="preference",C9,0)+IF(E48="preference",C10,0)+IF(E49="preference",C11,0)+IF(E50="preference",C12,0)+IF(E51="preference",C13,0)))</f>
        <v>28.420212994415678</v>
      </c>
      <c r="F53" s="14">
        <f>(F24-(IF(F45="preference",D7,0)+IF(F46="preference",D8,0)+IF(F47="preference",D9,0)+IF(F48="preference",D10,0)+IF(F49="preference",D11,0)+IF(F50="preference",D12,0)+IF(F51="preference",D13,0)))/($C$20-(IF(F45="preference",C7,0)+IF(F46="preference",C8,0)+IF(F47="preference",C9,0)+IF(F48="preference",C10,0)+IF(F49="preference",C11,0)+IF(F50="preference",C12,0)+IF(F51="preference",C13,0)))</f>
        <v>55.75877068294344</v>
      </c>
      <c r="G53" s="14">
        <f>(G24-(IF(G45="preference",D7,0)+IF(G46="preference",D8,0)+IF(G47="preference",D9,0)+IF(G48="preference",D10,0)+IF(G49="preference",D11,0)+IF(G50="preference",D12,0)+IF(G51="preference",D13,0)))/($C$20-(IF(G45="preference",C7,0)+IF(G46="preference",C8,0)+IF(G47="preference",C9,0)+IF(G48="preference",C10,0)+IF(G49="preference",C11,0)+IF(G50="preference",C12,0)+IF(G51="preference",C13,0)))</f>
        <v>111.63276324546153</v>
      </c>
      <c r="H53" s="14">
        <f>(H24-(IF(H45="preference",D7,0)+IF(H46="preference",D8,0)+IF(H47="preference",D9,0)+IF(H48="preference",D10,0)+IF(H49="preference",D11,0)+IF(H50="preference",D12,0)+IF(H51="preference",D13,0)))/($C$20-(IF(H45="preference",C7,0)+IF(H46="preference",C8,0)+IF(H47="preference",C9,0)+IF(H48="preference",C10,0)+IF(H49="preference",C11,0)+IF(H50="preference",C12,0)+IF(H51="preference",C13,0)))</f>
        <v>223.19579959320575</v>
      </c>
    </row>
    <row r="54" spans="2:8" x14ac:dyDescent="0.25">
      <c r="B54" s="24" t="s">
        <v>243</v>
      </c>
      <c r="D54" s="15" t="str">
        <f>IF(D7&gt;C7*D53,"preference","convert")</f>
        <v>preference</v>
      </c>
      <c r="E54" s="15" t="str">
        <f>IF(D7&gt;C7*E53,"preference","convert")</f>
        <v>preference</v>
      </c>
      <c r="F54" s="15" t="str">
        <f>IF(D7&gt;C7*F53,"preference","convert")</f>
        <v>convert</v>
      </c>
      <c r="G54" s="15" t="str">
        <f>IF(D7&gt;C7*G53,"preference","convert")</f>
        <v>convert</v>
      </c>
      <c r="H54" s="15" t="str">
        <f>IF(D7&gt;C7*H53,"preference","convert")</f>
        <v>convert</v>
      </c>
    </row>
    <row r="55" spans="2:8" x14ac:dyDescent="0.25">
      <c r="B55" s="24" t="s">
        <v>244</v>
      </c>
      <c r="D55" s="15" t="str">
        <f>IF(D8&gt;C8*D53,"preference","convert")</f>
        <v>preference</v>
      </c>
      <c r="E55" s="15" t="str">
        <f>IF(D8&gt;C8*E53,"preference","convert")</f>
        <v>preference</v>
      </c>
      <c r="F55" s="15" t="str">
        <f>IF(D8&gt;C8*F53,"preference","convert")</f>
        <v>convert</v>
      </c>
      <c r="G55" s="15" t="str">
        <f>IF(D8&gt;C8*G53,"preference","convert")</f>
        <v>convert</v>
      </c>
      <c r="H55" s="15" t="str">
        <f>IF(D8&gt;C8*H53,"preference","convert")</f>
        <v>convert</v>
      </c>
    </row>
    <row r="56" spans="2:8" x14ac:dyDescent="0.25">
      <c r="B56" s="24" t="s">
        <v>245</v>
      </c>
      <c r="D56" s="15" t="str">
        <f>IF(D9&gt;C9*D53,"preference","convert")</f>
        <v>preference</v>
      </c>
      <c r="E56" s="15" t="str">
        <f>IF(D9&gt;C9*E53,"preference","convert")</f>
        <v>preference</v>
      </c>
      <c r="F56" s="15" t="str">
        <f>IF(D9&gt;C9*F53,"preference","convert")</f>
        <v>preference</v>
      </c>
      <c r="G56" s="15" t="str">
        <f>IF(D9&gt;C9*G53,"preference","convert")</f>
        <v>convert</v>
      </c>
      <c r="H56" s="15" t="str">
        <f>IF(D9&gt;C9*H53,"preference","convert")</f>
        <v>convert</v>
      </c>
    </row>
    <row r="57" spans="2:8" x14ac:dyDescent="0.25">
      <c r="B57" s="24" t="s">
        <v>246</v>
      </c>
      <c r="D57" s="15" t="str">
        <f>IF(D10&gt;C10*D53,"preference","convert")</f>
        <v>preference</v>
      </c>
      <c r="E57" s="15" t="str">
        <f>IF(D10&gt;C10*E53,"preference","convert")</f>
        <v>convert</v>
      </c>
      <c r="F57" s="15" t="str">
        <f>IF(D10&gt;C10*F53,"preference","convert")</f>
        <v>convert</v>
      </c>
      <c r="G57" s="15" t="str">
        <f>IF(D10&gt;C10*G53,"preference","convert")</f>
        <v>convert</v>
      </c>
      <c r="H57" s="15" t="str">
        <f>IF(D10&gt;C10*H53,"preference","convert")</f>
        <v>convert</v>
      </c>
    </row>
    <row r="58" spans="2:8" x14ac:dyDescent="0.25">
      <c r="B58" s="24" t="s">
        <v>247</v>
      </c>
      <c r="D58" s="15" t="str">
        <f>IF(D11&gt;C11*D53,"preference","convert")</f>
        <v>preference</v>
      </c>
      <c r="E58" s="15" t="str">
        <f>IF(D11&gt;C11*E53,"preference","convert")</f>
        <v>convert</v>
      </c>
      <c r="F58" s="15" t="str">
        <f>IF(D11&gt;C11*F53,"preference","convert")</f>
        <v>convert</v>
      </c>
      <c r="G58" s="15" t="str">
        <f>IF(D11&gt;C11*G53,"preference","convert")</f>
        <v>convert</v>
      </c>
      <c r="H58" s="15" t="str">
        <f>IF(D11&gt;C11*H53,"preference","convert")</f>
        <v>convert</v>
      </c>
    </row>
    <row r="59" spans="2:8" x14ac:dyDescent="0.25">
      <c r="B59" s="24" t="s">
        <v>248</v>
      </c>
      <c r="D59" s="15" t="str">
        <f>IF(D12&gt;C12*D53,"preference","convert")</f>
        <v>convert</v>
      </c>
      <c r="E59" s="15" t="str">
        <f>IF(D12&gt;C12*E53,"preference","convert")</f>
        <v>convert</v>
      </c>
      <c r="F59" s="15" t="str">
        <f>IF(D12&gt;C12*F53,"preference","convert")</f>
        <v>convert</v>
      </c>
      <c r="G59" s="15" t="str">
        <f>IF(D12&gt;C12*G53,"preference","convert")</f>
        <v>convert</v>
      </c>
      <c r="H59" s="15" t="str">
        <f>IF(D12&gt;C12*H53,"preference","convert")</f>
        <v>convert</v>
      </c>
    </row>
    <row r="60" spans="2:8" x14ac:dyDescent="0.25">
      <c r="B60" s="24" t="s">
        <v>249</v>
      </c>
      <c r="D60" s="15" t="str">
        <f>IF(D13&gt;C13*D53,"preference","convert")</f>
        <v>convert</v>
      </c>
      <c r="E60" s="15" t="str">
        <f>IF(D13&gt;C13*E53,"preference","convert")</f>
        <v>convert</v>
      </c>
      <c r="F60" s="15" t="str">
        <f>IF(D13&gt;C13*F53,"preference","convert")</f>
        <v>convert</v>
      </c>
      <c r="G60" s="15" t="str">
        <f>IF(D13&gt;C13*G53,"preference","convert")</f>
        <v>convert</v>
      </c>
      <c r="H60" s="15" t="str">
        <f>IF(D13&gt;C13*H53,"preference","convert")</f>
        <v>convert</v>
      </c>
    </row>
    <row r="61" spans="2:8" x14ac:dyDescent="0.25">
      <c r="B61" s="32" t="s">
        <v>253</v>
      </c>
      <c r="C61" s="33" t="s">
        <v>3</v>
      </c>
      <c r="D61" s="33" t="s">
        <v>3</v>
      </c>
      <c r="E61" s="33" t="s">
        <v>3</v>
      </c>
      <c r="F61" s="33" t="s">
        <v>3</v>
      </c>
      <c r="G61" s="33" t="s">
        <v>3</v>
      </c>
      <c r="H61" s="33" t="s">
        <v>3</v>
      </c>
    </row>
    <row r="62" spans="2:8" x14ac:dyDescent="0.25">
      <c r="B62" s="24" t="s">
        <v>242</v>
      </c>
      <c r="D62" s="14">
        <f>(D24-(IF(D54="preference",D7,0)+IF(D55="preference",D8,0)+IF(D56="preference",D9,0)+IF(D57="preference",D10,0)+IF(D58="preference",D11,0)+IF(D59="preference",D12,0)+IF(D60="preference",D13,0)))/($C$20-(IF(D54="preference",C7,0)+IF(D55="preference",C8,0)+IF(D56="preference",C9,0)+IF(D57="preference",C10,0)+IF(D58="preference",C11,0)+IF(D59="preference",C12,0)+IF(D60="preference",C13,0)))</f>
        <v>8.378724376828623</v>
      </c>
      <c r="E62" s="14">
        <f>(E24-(IF(E54="preference",D7,0)+IF(E55="preference",D8,0)+IF(E56="preference",D9,0)+IF(E57="preference",D10,0)+IF(E58="preference",D11,0)+IF(E59="preference",D12,0)+IF(E60="preference",D13,0)))/($C$20-(IF(E54="preference",C7,0)+IF(E55="preference",C8,0)+IF(E56="preference",C9,0)+IF(E57="preference",C10,0)+IF(E58="preference",C11,0)+IF(E59="preference",C12,0)+IF(E60="preference",C13,0)))</f>
        <v>28.420212994415678</v>
      </c>
      <c r="F62" s="14">
        <f>(F24-(IF(F54="preference",D7,0)+IF(F55="preference",D8,0)+IF(F56="preference",D9,0)+IF(F57="preference",D10,0)+IF(F58="preference",D11,0)+IF(F59="preference",D12,0)+IF(F60="preference",D13,0)))/($C$20-(IF(F54="preference",C7,0)+IF(F55="preference",C8,0)+IF(F56="preference",C9,0)+IF(F57="preference",C10,0)+IF(F58="preference",C11,0)+IF(F59="preference",C12,0)+IF(F60="preference",C13,0)))</f>
        <v>55.75877068294344</v>
      </c>
      <c r="G62" s="14">
        <f>(G24-(IF(G54="preference",D7,0)+IF(G55="preference",D8,0)+IF(G56="preference",D9,0)+IF(G57="preference",D10,0)+IF(G58="preference",D11,0)+IF(G59="preference",D12,0)+IF(G60="preference",D13,0)))/($C$20-(IF(G54="preference",C7,0)+IF(G55="preference",C8,0)+IF(G56="preference",C9,0)+IF(G57="preference",C10,0)+IF(G58="preference",C11,0)+IF(G59="preference",C12,0)+IF(G60="preference",C13,0)))</f>
        <v>111.63276324546153</v>
      </c>
      <c r="H62" s="14">
        <f>(H24-(IF(H54="preference",D7,0)+IF(H55="preference",D8,0)+IF(H56="preference",D9,0)+IF(H57="preference",D10,0)+IF(H58="preference",D11,0)+IF(H59="preference",D12,0)+IF(H60="preference",D13,0)))/($C$20-(IF(H54="preference",C7,0)+IF(H55="preference",C8,0)+IF(H56="preference",C9,0)+IF(H57="preference",C10,0)+IF(H58="preference",C11,0)+IF(H59="preference",C12,0)+IF(H60="preference",C13,0)))</f>
        <v>223.19579959320575</v>
      </c>
    </row>
    <row r="63" spans="2:8" x14ac:dyDescent="0.25">
      <c r="B63" s="24" t="s">
        <v>243</v>
      </c>
      <c r="D63" s="15" t="str">
        <f>IF(D7&gt;C7*D62,"preference","convert")</f>
        <v>preference</v>
      </c>
      <c r="E63" s="15" t="str">
        <f>IF(D7&gt;C7*E62,"preference","convert")</f>
        <v>preference</v>
      </c>
      <c r="F63" s="15" t="str">
        <f>IF(D7&gt;C7*F62,"preference","convert")</f>
        <v>convert</v>
      </c>
      <c r="G63" s="15" t="str">
        <f>IF(D7&gt;C7*G62,"preference","convert")</f>
        <v>convert</v>
      </c>
      <c r="H63" s="15" t="str">
        <f>IF(D7&gt;C7*H62,"preference","convert")</f>
        <v>convert</v>
      </c>
    </row>
    <row r="64" spans="2:8" x14ac:dyDescent="0.25">
      <c r="B64" s="24" t="s">
        <v>244</v>
      </c>
      <c r="D64" s="15" t="str">
        <f>IF(D8&gt;C8*D62,"preference","convert")</f>
        <v>preference</v>
      </c>
      <c r="E64" s="15" t="str">
        <f>IF(D8&gt;C8*E62,"preference","convert")</f>
        <v>preference</v>
      </c>
      <c r="F64" s="15" t="str">
        <f>IF(D8&gt;C8*F62,"preference","convert")</f>
        <v>convert</v>
      </c>
      <c r="G64" s="15" t="str">
        <f>IF(D8&gt;C8*G62,"preference","convert")</f>
        <v>convert</v>
      </c>
      <c r="H64" s="15" t="str">
        <f>IF(D8&gt;C8*H62,"preference","convert")</f>
        <v>convert</v>
      </c>
    </row>
    <row r="65" spans="2:8" x14ac:dyDescent="0.25">
      <c r="B65" s="24" t="s">
        <v>245</v>
      </c>
      <c r="D65" s="15" t="str">
        <f>IF(D9&gt;C9*D62,"preference","convert")</f>
        <v>preference</v>
      </c>
      <c r="E65" s="15" t="str">
        <f>IF(D9&gt;C9*E62,"preference","convert")</f>
        <v>preference</v>
      </c>
      <c r="F65" s="15" t="str">
        <f>IF(D9&gt;C9*F62,"preference","convert")</f>
        <v>preference</v>
      </c>
      <c r="G65" s="15" t="str">
        <f>IF(D9&gt;C9*G62,"preference","convert")</f>
        <v>convert</v>
      </c>
      <c r="H65" s="15" t="str">
        <f>IF(D9&gt;C9*H62,"preference","convert")</f>
        <v>convert</v>
      </c>
    </row>
    <row r="66" spans="2:8" x14ac:dyDescent="0.25">
      <c r="B66" s="24" t="s">
        <v>246</v>
      </c>
      <c r="D66" s="15" t="str">
        <f>IF(D10&gt;C10*D62,"preference","convert")</f>
        <v>preference</v>
      </c>
      <c r="E66" s="15" t="str">
        <f>IF(D10&gt;C10*E62,"preference","convert")</f>
        <v>convert</v>
      </c>
      <c r="F66" s="15" t="str">
        <f>IF(D10&gt;C10*F62,"preference","convert")</f>
        <v>convert</v>
      </c>
      <c r="G66" s="15" t="str">
        <f>IF(D10&gt;C10*G62,"preference","convert")</f>
        <v>convert</v>
      </c>
      <c r="H66" s="15" t="str">
        <f>IF(D10&gt;C10*H62,"preference","convert")</f>
        <v>convert</v>
      </c>
    </row>
    <row r="67" spans="2:8" x14ac:dyDescent="0.25">
      <c r="B67" s="24" t="s">
        <v>247</v>
      </c>
      <c r="D67" s="15" t="str">
        <f>IF(D11&gt;C11*D62,"preference","convert")</f>
        <v>preference</v>
      </c>
      <c r="E67" s="15" t="str">
        <f>IF(D11&gt;C11*E62,"preference","convert")</f>
        <v>convert</v>
      </c>
      <c r="F67" s="15" t="str">
        <f>IF(D11&gt;C11*F62,"preference","convert")</f>
        <v>convert</v>
      </c>
      <c r="G67" s="15" t="str">
        <f>IF(D11&gt;C11*G62,"preference","convert")</f>
        <v>convert</v>
      </c>
      <c r="H67" s="15" t="str">
        <f>IF(D11&gt;C11*H62,"preference","convert")</f>
        <v>convert</v>
      </c>
    </row>
    <row r="68" spans="2:8" x14ac:dyDescent="0.25">
      <c r="B68" s="24" t="s">
        <v>248</v>
      </c>
      <c r="D68" s="15" t="str">
        <f>IF(D12&gt;C12*D62,"preference","convert")</f>
        <v>convert</v>
      </c>
      <c r="E68" s="15" t="str">
        <f>IF(D12&gt;C12*E62,"preference","convert")</f>
        <v>convert</v>
      </c>
      <c r="F68" s="15" t="str">
        <f>IF(D12&gt;C12*F62,"preference","convert")</f>
        <v>convert</v>
      </c>
      <c r="G68" s="15" t="str">
        <f>IF(D12&gt;C12*G62,"preference","convert")</f>
        <v>convert</v>
      </c>
      <c r="H68" s="15" t="str">
        <f>IF(D12&gt;C12*H62,"preference","convert")</f>
        <v>convert</v>
      </c>
    </row>
    <row r="69" spans="2:8" x14ac:dyDescent="0.25">
      <c r="B69" s="24" t="s">
        <v>249</v>
      </c>
      <c r="D69" s="15" t="str">
        <f>IF(D13&gt;C13*D62,"preference","convert")</f>
        <v>convert</v>
      </c>
      <c r="E69" s="15" t="str">
        <f>IF(D13&gt;C13*E62,"preference","convert")</f>
        <v>convert</v>
      </c>
      <c r="F69" s="15" t="str">
        <f>IF(D13&gt;C13*F62,"preference","convert")</f>
        <v>convert</v>
      </c>
      <c r="G69" s="15" t="str">
        <f>IF(D13&gt;C13*G62,"preference","convert")</f>
        <v>convert</v>
      </c>
      <c r="H69" s="15" t="str">
        <f>IF(D13&gt;C13*H62,"preference","convert")</f>
        <v>convert</v>
      </c>
    </row>
    <row r="71" spans="2:8" x14ac:dyDescent="0.25">
      <c r="B71" s="3" t="s">
        <v>254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</row>
    <row r="72" spans="2:8" x14ac:dyDescent="0.25">
      <c r="B72" s="10" t="s">
        <v>255</v>
      </c>
      <c r="D72" s="14">
        <f>(D24-(IF(D63="preference",D7,0)+IF(D64="preference",D8,0)+IF(D65="preference",D9,0)+IF(D66="preference",D10,0)+IF(D67="preference",D11,0)+IF(D68="preference",D12,0)+IF(D69="preference",D13,0)))/($C$20-(IF(D63="preference",C7,0)+IF(D64="preference",C8,0)+IF(D65="preference",C9,0)+IF(D66="preference",C10,0)+IF(D67="preference",C11,0)+IF(D68="preference",C12,0)+IF(D69="preference",C13,0)))</f>
        <v>8.378724376828623</v>
      </c>
      <c r="E72" s="14">
        <f>(E24-(IF(E63="preference",D7,0)+IF(E64="preference",D8,0)+IF(E65="preference",D9,0)+IF(E66="preference",D10,0)+IF(E67="preference",D11,0)+IF(E68="preference",D12,0)+IF(E69="preference",D13,0)))/($C$20-(IF(E63="preference",C7,0)+IF(E64="preference",C8,0)+IF(E65="preference",C9,0)+IF(E66="preference",C10,0)+IF(E67="preference",C11,0)+IF(E68="preference",C12,0)+IF(E69="preference",C13,0)))</f>
        <v>28.420212994415678</v>
      </c>
      <c r="F72" s="14">
        <f>(F24-(IF(F63="preference",D7,0)+IF(F64="preference",D8,0)+IF(F65="preference",D9,0)+IF(F66="preference",D10,0)+IF(F67="preference",D11,0)+IF(F68="preference",D12,0)+IF(F69="preference",D13,0)))/($C$20-(IF(F63="preference",C7,0)+IF(F64="preference",C8,0)+IF(F65="preference",C9,0)+IF(F66="preference",C10,0)+IF(F67="preference",C11,0)+IF(F68="preference",C12,0)+IF(F69="preference",C13,0)))</f>
        <v>55.75877068294344</v>
      </c>
      <c r="G72" s="14">
        <f>(G24-(IF(G63="preference",D7,0)+IF(G64="preference",D8,0)+IF(G65="preference",D9,0)+IF(G66="preference",D10,0)+IF(G67="preference",D11,0)+IF(G68="preference",D12,0)+IF(G69="preference",D13,0)))/($C$20-(IF(G63="preference",C7,0)+IF(G64="preference",C8,0)+IF(G65="preference",C9,0)+IF(G66="preference",C10,0)+IF(G67="preference",C11,0)+IF(G68="preference",C12,0)+IF(G69="preference",C13,0)))</f>
        <v>111.63276324546153</v>
      </c>
      <c r="H72" s="14">
        <f>(H24-(IF(H63="preference",D7,0)+IF(H64="preference",D8,0)+IF(H65="preference",D9,0)+IF(H66="preference",D10,0)+IF(H67="preference",D11,0)+IF(H68="preference",D12,0)+IF(H69="preference",D13,0)))/($C$20-(IF(H63="preference",C7,0)+IF(H64="preference",C8,0)+IF(H65="preference",C9,0)+IF(H66="preference",C10,0)+IF(H67="preference",C11,0)+IF(H68="preference",C12,0)+IF(H69="preference",C13,0)))</f>
        <v>223.19579959320575</v>
      </c>
    </row>
    <row r="73" spans="2:8" x14ac:dyDescent="0.25">
      <c r="B73" s="32" t="s">
        <v>256</v>
      </c>
      <c r="C73" s="33" t="s">
        <v>3</v>
      </c>
      <c r="D73" s="33" t="s">
        <v>3</v>
      </c>
      <c r="E73" s="33" t="s">
        <v>3</v>
      </c>
      <c r="F73" s="33" t="s">
        <v>3</v>
      </c>
      <c r="G73" s="33" t="s">
        <v>3</v>
      </c>
      <c r="H73" s="33" t="s">
        <v>3</v>
      </c>
    </row>
    <row r="74" spans="2:8" x14ac:dyDescent="0.25">
      <c r="B74" s="24" t="s">
        <v>257</v>
      </c>
      <c r="D74" s="15" t="str">
        <f>IF(D7&gt;C7*D72,"preference","convert")</f>
        <v>preference</v>
      </c>
      <c r="E74" s="15" t="str">
        <f>IF(D7&gt;C7*E72,"preference","convert")</f>
        <v>preference</v>
      </c>
      <c r="F74" s="15" t="str">
        <f>IF(D7&gt;C7*F72,"preference","convert")</f>
        <v>convert</v>
      </c>
      <c r="G74" s="15" t="str">
        <f>IF(D7&gt;C7*G72,"preference","convert")</f>
        <v>convert</v>
      </c>
      <c r="H74" s="15" t="str">
        <f>IF(D7&gt;C7*H72,"preference","convert")</f>
        <v>convert</v>
      </c>
    </row>
    <row r="75" spans="2:8" x14ac:dyDescent="0.25">
      <c r="B75" s="24" t="s">
        <v>258</v>
      </c>
      <c r="D75" s="15" t="str">
        <f>IF(D8&gt;C8*D72,"preference","convert")</f>
        <v>preference</v>
      </c>
      <c r="E75" s="15" t="str">
        <f>IF(D8&gt;C8*E72,"preference","convert")</f>
        <v>preference</v>
      </c>
      <c r="F75" s="15" t="str">
        <f>IF(D8&gt;C8*F72,"preference","convert")</f>
        <v>convert</v>
      </c>
      <c r="G75" s="15" t="str">
        <f>IF(D8&gt;C8*G72,"preference","convert")</f>
        <v>convert</v>
      </c>
      <c r="H75" s="15" t="str">
        <f>IF(D8&gt;C8*H72,"preference","convert")</f>
        <v>convert</v>
      </c>
    </row>
    <row r="76" spans="2:8" x14ac:dyDescent="0.25">
      <c r="B76" s="24" t="s">
        <v>259</v>
      </c>
      <c r="D76" s="15" t="str">
        <f>IF(D9&gt;C9*D72,"preference","convert")</f>
        <v>preference</v>
      </c>
      <c r="E76" s="15" t="str">
        <f>IF(D9&gt;C9*E72,"preference","convert")</f>
        <v>preference</v>
      </c>
      <c r="F76" s="15" t="str">
        <f>IF(D9&gt;C9*F72,"preference","convert")</f>
        <v>preference</v>
      </c>
      <c r="G76" s="15" t="str">
        <f>IF(D9&gt;C9*G72,"preference","convert")</f>
        <v>convert</v>
      </c>
      <c r="H76" s="15" t="str">
        <f>IF(D9&gt;C9*H72,"preference","convert")</f>
        <v>convert</v>
      </c>
    </row>
    <row r="77" spans="2:8" x14ac:dyDescent="0.25">
      <c r="B77" s="24" t="s">
        <v>260</v>
      </c>
      <c r="D77" s="15" t="str">
        <f>IF(D10&gt;C10*D72,"preference","convert")</f>
        <v>preference</v>
      </c>
      <c r="E77" s="15" t="str">
        <f>IF(D10&gt;C10*E72,"preference","convert")</f>
        <v>convert</v>
      </c>
      <c r="F77" s="15" t="str">
        <f>IF(D10&gt;C10*F72,"preference","convert")</f>
        <v>convert</v>
      </c>
      <c r="G77" s="15" t="str">
        <f>IF(D10&gt;C10*G72,"preference","convert")</f>
        <v>convert</v>
      </c>
      <c r="H77" s="15" t="str">
        <f>IF(D10&gt;C10*H72,"preference","convert")</f>
        <v>convert</v>
      </c>
    </row>
    <row r="78" spans="2:8" x14ac:dyDescent="0.25">
      <c r="B78" s="24" t="s">
        <v>261</v>
      </c>
      <c r="D78" s="15" t="str">
        <f>IF(D11&gt;C11*D72,"preference","convert")</f>
        <v>preference</v>
      </c>
      <c r="E78" s="15" t="str">
        <f>IF(D11&gt;C11*E72,"preference","convert")</f>
        <v>convert</v>
      </c>
      <c r="F78" s="15" t="str">
        <f>IF(D11&gt;C11*F72,"preference","convert")</f>
        <v>convert</v>
      </c>
      <c r="G78" s="15" t="str">
        <f>IF(D11&gt;C11*G72,"preference","convert")</f>
        <v>convert</v>
      </c>
      <c r="H78" s="15" t="str">
        <f>IF(D11&gt;C11*H72,"preference","convert")</f>
        <v>convert</v>
      </c>
    </row>
    <row r="79" spans="2:8" x14ac:dyDescent="0.25">
      <c r="B79" s="24" t="s">
        <v>262</v>
      </c>
      <c r="D79" s="15" t="str">
        <f>IF(D12&gt;C12*D72,"preference","convert")</f>
        <v>convert</v>
      </c>
      <c r="E79" s="15" t="str">
        <f>IF(D12&gt;C12*E72,"preference","convert")</f>
        <v>convert</v>
      </c>
      <c r="F79" s="15" t="str">
        <f>IF(D12&gt;C12*F72,"preference","convert")</f>
        <v>convert</v>
      </c>
      <c r="G79" s="15" t="str">
        <f>IF(D12&gt;C12*G72,"preference","convert")</f>
        <v>convert</v>
      </c>
      <c r="H79" s="15" t="str">
        <f>IF(D12&gt;C12*H72,"preference","convert")</f>
        <v>convert</v>
      </c>
    </row>
    <row r="80" spans="2:8" x14ac:dyDescent="0.25">
      <c r="B80" s="24" t="s">
        <v>263</v>
      </c>
      <c r="D80" s="15" t="str">
        <f>IF(D13&gt;C13*D72,"preference","convert")</f>
        <v>convert</v>
      </c>
      <c r="E80" s="15" t="str">
        <f>IF(D13&gt;C13*E72,"preference","convert")</f>
        <v>convert</v>
      </c>
      <c r="F80" s="15" t="str">
        <f>IF(D13&gt;C13*F72,"preference","convert")</f>
        <v>convert</v>
      </c>
      <c r="G80" s="15" t="str">
        <f>IF(D13&gt;C13*G72,"preference","convert")</f>
        <v>convert</v>
      </c>
      <c r="H80" s="15" t="str">
        <f>IF(D13&gt;C13*H72,"preference","convert")</f>
        <v>convert</v>
      </c>
    </row>
    <row r="82" spans="2:8" x14ac:dyDescent="0.25">
      <c r="B82" s="3" t="s">
        <v>264</v>
      </c>
      <c r="C82" s="4" t="s">
        <v>3</v>
      </c>
      <c r="D82" s="4" t="s">
        <v>3</v>
      </c>
      <c r="E82" s="4" t="s">
        <v>3</v>
      </c>
      <c r="F82" s="4" t="s">
        <v>3</v>
      </c>
      <c r="G82" s="4" t="s">
        <v>3</v>
      </c>
      <c r="H82" s="4" t="s">
        <v>3</v>
      </c>
    </row>
    <row r="83" spans="2:8" x14ac:dyDescent="0.25">
      <c r="B83" s="16" t="s">
        <v>265</v>
      </c>
      <c r="D83" s="22">
        <f>Assumptions!$C$55</f>
        <v>700000000</v>
      </c>
      <c r="E83" s="22">
        <f>Assumptions!$C$56</f>
        <v>1200000000</v>
      </c>
      <c r="F83" s="22">
        <f>Assumptions!$C$57</f>
        <v>2000000000</v>
      </c>
      <c r="G83" s="22">
        <f>Assumptions!$C$58</f>
        <v>4000000000</v>
      </c>
      <c r="H83" s="22">
        <f>Assumptions!$C$59</f>
        <v>8000000000</v>
      </c>
    </row>
    <row r="84" spans="2:8" x14ac:dyDescent="0.25">
      <c r="B84" s="5" t="s">
        <v>231</v>
      </c>
      <c r="D84" s="14">
        <f>IF(D74="preference",D7,C7*D72)</f>
        <v>30000000</v>
      </c>
      <c r="E84" s="14">
        <f>IF(E74="preference",D7,C7*E72)</f>
        <v>30000000</v>
      </c>
      <c r="F84" s="14">
        <f>IF(F74="preference",D7,C7*F72)</f>
        <v>44846575.37738784</v>
      </c>
      <c r="G84" s="14">
        <f>IF(G74="preference",D7,C7*G72)</f>
        <v>89785823.29120678</v>
      </c>
      <c r="H84" s="14">
        <f>IF(H74="preference",D7,C7*H72)</f>
        <v>179515565.49353713</v>
      </c>
    </row>
    <row r="85" spans="2:8" x14ac:dyDescent="0.25">
      <c r="B85" s="5" t="s">
        <v>96</v>
      </c>
      <c r="D85" s="14">
        <f>IF(D75="preference",D8,C8*D72)</f>
        <v>300000000</v>
      </c>
      <c r="E85" s="14">
        <f>IF(E75="preference",D8,C8*E72)</f>
        <v>300000000</v>
      </c>
      <c r="F85" s="14">
        <f>IF(F75="preference",D8,C8*F72)</f>
        <v>342054285.33968693</v>
      </c>
      <c r="G85" s="14">
        <f>IF(G75="preference",D8,C8*G72)</f>
        <v>684815403.6527461</v>
      </c>
      <c r="H85" s="14">
        <f>IF(H75="preference",D8,C8*H72)</f>
        <v>1369203065.0171397</v>
      </c>
    </row>
    <row r="86" spans="2:8" x14ac:dyDescent="0.25">
      <c r="B86" s="5" t="s">
        <v>95</v>
      </c>
      <c r="D86" s="14">
        <f>IF(D76="preference",D9,C9*D72)</f>
        <v>100000000</v>
      </c>
      <c r="E86" s="14">
        <f>IF(E76="preference",D9,C9*E72)</f>
        <v>100000000</v>
      </c>
      <c r="F86" s="14">
        <f>IF(F76="preference",D9,C9*F72)</f>
        <v>100000000</v>
      </c>
      <c r="G86" s="14">
        <f>IF(G76="preference",D9,C9*G72)</f>
        <v>193568607.26651838</v>
      </c>
      <c r="H86" s="14">
        <f>IF(H76="preference",D9,C9*H72)</f>
        <v>387016309.71900403</v>
      </c>
    </row>
    <row r="87" spans="2:8" x14ac:dyDescent="0.25">
      <c r="B87" s="5" t="s">
        <v>94</v>
      </c>
      <c r="D87" s="14">
        <f>IF(D77="preference",D10,C10*D72)</f>
        <v>60000000</v>
      </c>
      <c r="E87" s="14">
        <f>IF(E77="preference",D10,C10*E72)</f>
        <v>68208511.18659763</v>
      </c>
      <c r="F87" s="14">
        <f>IF(F77="preference",D10,C10*F72)</f>
        <v>133821049.63906425</v>
      </c>
      <c r="G87" s="14">
        <f>IF(G77="preference",D10,C10*G72)</f>
        <v>267918631.78910768</v>
      </c>
      <c r="H87" s="14">
        <f>IF(H77="preference",D10,C10*H72)</f>
        <v>535669919.0236938</v>
      </c>
    </row>
    <row r="88" spans="2:8" x14ac:dyDescent="0.25">
      <c r="B88" s="5" t="s">
        <v>93</v>
      </c>
      <c r="D88" s="14">
        <f>IF(D78="preference",D11,C11*D72)</f>
        <v>30000000</v>
      </c>
      <c r="E88" s="14">
        <f>IF(E78="preference",D11,C11*E72)</f>
        <v>85260638.98324703</v>
      </c>
      <c r="F88" s="14">
        <f>IF(F78="preference",D11,C11*F72)</f>
        <v>167276312.04883033</v>
      </c>
      <c r="G88" s="14">
        <f>IF(G78="preference",D11,C11*G72)</f>
        <v>334898289.7363846</v>
      </c>
      <c r="H88" s="14">
        <f>IF(H78="preference",D11,C11*H72)</f>
        <v>669587398.7796173</v>
      </c>
    </row>
    <row r="89" spans="2:8" x14ac:dyDescent="0.25">
      <c r="B89" s="5" t="s">
        <v>92</v>
      </c>
      <c r="D89" s="14">
        <f>IF(D79="preference",D12,C12*D72)</f>
        <v>41893621.884143114</v>
      </c>
      <c r="E89" s="14">
        <f>IF(E79="preference",D12,C12*E72)</f>
        <v>142101064.97207838</v>
      </c>
      <c r="F89" s="14">
        <f>IF(F79="preference",D12,C12*F72)</f>
        <v>278793853.4147172</v>
      </c>
      <c r="G89" s="14">
        <f>IF(G79="preference",D12,C12*G72)</f>
        <v>558163816.2273077</v>
      </c>
      <c r="H89" s="14">
        <f>IF(H79="preference",D12,C12*H72)</f>
        <v>1115978997.9660287</v>
      </c>
    </row>
    <row r="90" spans="2:8" x14ac:dyDescent="0.25">
      <c r="B90" s="5" t="s">
        <v>91</v>
      </c>
      <c r="D90" s="14">
        <f>IF(D80="preference",D13,C13*D72)</f>
        <v>41893621.884143114</v>
      </c>
      <c r="E90" s="14">
        <f>IF(E80="preference",D13,C13*E72)</f>
        <v>142101064.97207838</v>
      </c>
      <c r="F90" s="14">
        <f>IF(F80="preference",D13,C13*F72)</f>
        <v>278793853.4147172</v>
      </c>
      <c r="G90" s="14">
        <f>IF(G80="preference",D13,C13*G72)</f>
        <v>558163816.2273077</v>
      </c>
      <c r="H90" s="14">
        <f>IF(H80="preference",D13,C13*H72)</f>
        <v>1115978997.9660287</v>
      </c>
    </row>
    <row r="91" spans="2:8" x14ac:dyDescent="0.25">
      <c r="B91" s="5" t="s">
        <v>266</v>
      </c>
      <c r="D91" s="14">
        <f>$C$17*D72</f>
        <v>2357425.8981845733</v>
      </c>
      <c r="E91" s="14">
        <f>$C$17*E72</f>
        <v>7996270.450218157</v>
      </c>
      <c r="F91" s="14">
        <f>$C$17*F72</f>
        <v>15688207.911746442</v>
      </c>
      <c r="G91" s="14">
        <f>$C$17*G72</f>
        <v>31408834.48661277</v>
      </c>
      <c r="H91" s="14">
        <f>$C$17*H72</f>
        <v>62798050.713084005</v>
      </c>
    </row>
    <row r="92" spans="2:8" x14ac:dyDescent="0.25">
      <c r="B92" s="5" t="s">
        <v>267</v>
      </c>
      <c r="D92" s="14">
        <f>$C$16*D72</f>
        <v>75408519.3914576</v>
      </c>
      <c r="E92" s="14">
        <f>$C$16*E72</f>
        <v>255781916.9497411</v>
      </c>
      <c r="F92" s="14">
        <f>$C$16*F72</f>
        <v>501828936.14649093</v>
      </c>
      <c r="G92" s="14">
        <f>$C$16*G72</f>
        <v>1004694869.2091538</v>
      </c>
      <c r="H92" s="14">
        <f>$C$16*H72</f>
        <v>2008762196.3388517</v>
      </c>
    </row>
    <row r="93" spans="2:8" x14ac:dyDescent="0.25">
      <c r="B93" s="5" t="s">
        <v>268</v>
      </c>
      <c r="D93" s="14">
        <f>MAX(0,$C$18*D72-$C$18*Assumptions!$C$13)</f>
        <v>18446810.942071557</v>
      </c>
      <c r="E93" s="14">
        <f>MAX(0,$C$18*E72-$C$18*Assumptions!$C$13)</f>
        <v>68550532.48603919</v>
      </c>
      <c r="F93" s="14">
        <f>MAX(0,$C$18*F72-$C$18*Assumptions!$C$13)</f>
        <v>136896926.7073586</v>
      </c>
      <c r="G93" s="14">
        <f>MAX(0,$C$18*G72-$C$18*Assumptions!$C$13)</f>
        <v>276581908.11365384</v>
      </c>
      <c r="H93" s="14">
        <f>MAX(0,$C$18*H72-$C$18*Assumptions!$C$13)</f>
        <v>555489498.9830143</v>
      </c>
    </row>
    <row r="94" spans="2:8" x14ac:dyDescent="0.25">
      <c r="B94" s="10" t="s">
        <v>269</v>
      </c>
      <c r="D94" s="27">
        <f>SUM(D84,D85,D86,D87,D88,D89,D90)+D91+D92+D93</f>
        <v>700000000</v>
      </c>
      <c r="E94" s="27">
        <f>SUM(E84,E85,E86,E87,E88,E89,E90)+E91+E92+E93</f>
        <v>1199999999.9999998</v>
      </c>
      <c r="F94" s="27">
        <f>SUM(F84,F85,F86,F87,F88,F89,F90)+F91+F92+F93</f>
        <v>1999999999.9999995</v>
      </c>
      <c r="G94" s="27">
        <f>SUM(G84,G85,G86,G87,G88,G89,G90)+G91+G92+G93</f>
        <v>3999999999.999999</v>
      </c>
      <c r="H94" s="27">
        <f>SUM(H84,H85,H86,H87,H88,H89,H90)+H91+H92+H93</f>
        <v>8000000000</v>
      </c>
    </row>
    <row r="95" spans="2:8" x14ac:dyDescent="0.25">
      <c r="B95" s="19" t="s">
        <v>270</v>
      </c>
      <c r="D95" s="19">
        <f>ROUND(D94-Assumptions!$C$55,0)</f>
        <v>0</v>
      </c>
      <c r="E95" s="19">
        <f>ROUND(E94-Assumptions!$C$56,0)</f>
        <v>0</v>
      </c>
      <c r="F95" s="19">
        <f>ROUND(F94-Assumptions!$C$57,0)</f>
        <v>0</v>
      </c>
      <c r="G95" s="19">
        <f>ROUND(G94-Assumptions!$C$58,0)</f>
        <v>0</v>
      </c>
      <c r="H95" s="19">
        <f>ROUND(H94-Assumptions!$C$59,0)</f>
        <v>0</v>
      </c>
    </row>
    <row r="96" spans="2:8" x14ac:dyDescent="0.25">
      <c r="B96" s="19" t="s">
        <v>143</v>
      </c>
      <c r="D96" s="19">
        <f>ROUND(D94-Assumptions!$C$55,0)</f>
        <v>0</v>
      </c>
      <c r="E96" s="19">
        <f>ROUND(E94-Assumptions!$C$56,0)</f>
        <v>0</v>
      </c>
      <c r="F96" s="19">
        <f>ROUND(F94-Assumptions!$C$57,0)</f>
        <v>0</v>
      </c>
      <c r="G96" s="19">
        <f>ROUND(G94-Assumptions!$C$58,0)</f>
        <v>0</v>
      </c>
      <c r="H96" s="19">
        <f>ROUND(H94-Assumptions!$C$59,0)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Pro-Forma</vt:lpstr>
      <vt:lpstr>Return-Solver</vt:lpstr>
      <vt:lpstr>Sens-Engine</vt:lpstr>
      <vt:lpstr>Sensitivity</vt:lpstr>
      <vt:lpstr>Solver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2026-04-27T02:43:00Z</dcterms:created>
  <dcterms:modified xsi:type="dcterms:W3CDTF">2026-04-27T02:43:00Z</dcterms:modified>
</cp:coreProperties>
</file>