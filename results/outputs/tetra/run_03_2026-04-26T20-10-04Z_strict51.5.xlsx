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umptions" state="visible" r:id="rId5"/>
    <sheet sheetId="2" name="Pro-Forma" state="visible" r:id="rId6"/>
    <sheet sheetId="3" name="Waterfall" state="visible" r:id="rId7"/>
    <sheet sheetId="4" name="Sensitivity" state="visible" r:id="rId8"/>
    <sheet sheetId="5" name="Return-Solver" state="visible" r:id="rId9"/>
  </sheets>
  <calcPr calcId="171027" fullCalcOnLoad="1"/>
</workbook>
</file>

<file path=xl/sharedStrings.xml><?xml version="1.0" encoding="utf-8"?>
<sst xmlns="http://schemas.openxmlformats.org/spreadsheetml/2006/main" count="508" uniqueCount="281">
  <si>
    <t>Kelvin Dynamics — Series F Assumptions</t>
  </si>
  <si>
    <t>USD; share counts in actuals; PPS in dollars</t>
  </si>
  <si>
    <t>Series F Round Terms</t>
  </si>
  <si>
    <t/>
  </si>
  <si>
    <t>Series F pre-money (USD)</t>
  </si>
  <si>
    <t>Series F primary raise (USD)</t>
  </si>
  <si>
    <t>Series F secondary raise (USD)</t>
  </si>
  <si>
    <t>Tender PPS multiplier (x F PPS)</t>
  </si>
  <si>
    <t>ESOP refresh target (% of post-F FD)</t>
  </si>
  <si>
    <t>Our fund check (USD)</t>
  </si>
  <si>
    <t>F_LEAD primary check (USD)</t>
  </si>
  <si>
    <t>Prior Round OCPs (for AD)</t>
  </si>
  <si>
    <t>Seed OCP</t>
  </si>
  <si>
    <t>Series A OCP</t>
  </si>
  <si>
    <t>Series B OCP</t>
  </si>
  <si>
    <t>Series C OCP</t>
  </si>
  <si>
    <t>Series D effective OCP (compound v3·v4)</t>
  </si>
  <si>
    <t>Series E OCP</t>
  </si>
  <si>
    <t>Pre-F Capitalization (broad-based WA inputs)</t>
  </si>
  <si>
    <t>Pre-F broad-based FD (A in WA formula)</t>
  </si>
  <si>
    <t>Pre-F options issued (vested/exercisable)</t>
  </si>
  <si>
    <t>Pre-F options unissued (pool)</t>
  </si>
  <si>
    <t>Option strike (USD)</t>
  </si>
  <si>
    <t>Convertible Notes</t>
  </si>
  <si>
    <t>Note A principal (USD)</t>
  </si>
  <si>
    <t>Note A valuation cap (USD)</t>
  </si>
  <si>
    <t>Note A discount</t>
  </si>
  <si>
    <t>Note B principal (USD)</t>
  </si>
  <si>
    <t>Note B valuation cap (USD)</t>
  </si>
  <si>
    <t>Note B discount</t>
  </si>
  <si>
    <t>Pre-F Holders (shares outstanding)</t>
  </si>
  <si>
    <t>F1 (CEO) common</t>
  </si>
  <si>
    <t>F2 (CTO) common</t>
  </si>
  <si>
    <t>F3 (Chief Scientist) common</t>
  </si>
  <si>
    <t>Employee RSAs (10 holders × 100k)</t>
  </si>
  <si>
    <t>Seed shares</t>
  </si>
  <si>
    <t>Series A shares</t>
  </si>
  <si>
    <t>Series B shares</t>
  </si>
  <si>
    <t>Series C shares</t>
  </si>
  <si>
    <t>Series D shares (post-E AD adjustment)</t>
  </si>
  <si>
    <t>Series E shares</t>
  </si>
  <si>
    <t>Series D invested capital (USD)</t>
  </si>
  <si>
    <t>Series E invested capital (USD)</t>
  </si>
  <si>
    <t>Series C invested capital (USD)</t>
  </si>
  <si>
    <t>Series B invested capital (USD)</t>
  </si>
  <si>
    <t>Series A invested capital (USD)</t>
  </si>
  <si>
    <t>Seed invested capital (USD)</t>
  </si>
  <si>
    <t>Founder Tender Pro-Rata Split</t>
  </si>
  <si>
    <t>F1 share of tender</t>
  </si>
  <si>
    <t>F2 share of tender</t>
  </si>
  <si>
    <t>F3 share of tender</t>
  </si>
  <si>
    <t>Exit Scenarios</t>
  </si>
  <si>
    <t>Exit 1</t>
  </si>
  <si>
    <t>Exit 2</t>
  </si>
  <si>
    <t>Exit 3 (sensitivity reference)</t>
  </si>
  <si>
    <t>Exit 4</t>
  </si>
  <si>
    <t>Exit 5</t>
  </si>
  <si>
    <t>Sensitivity Axes</t>
  </si>
  <si>
    <t>ESOP refresh — low</t>
  </si>
  <si>
    <t>ESOP refresh — base</t>
  </si>
  <si>
    <t>ESOP refresh — high</t>
  </si>
  <si>
    <t>Series F pre-money — low</t>
  </si>
  <si>
    <t>Series F pre-money — base</t>
  </si>
  <si>
    <t>Series F pre-money — high</t>
  </si>
  <si>
    <t>Return-Solver Targets</t>
  </si>
  <si>
    <t>3x net target ($)</t>
  </si>
  <si>
    <t>4x net target ($)</t>
  </si>
  <si>
    <t>Kelvin Dynamics — Series F Pro-Forma</t>
  </si>
  <si>
    <t>Post-F cap table; share counts in actuals; PPS in dollars</t>
  </si>
  <si>
    <t>Round Closing Fixed Point (iterative)</t>
  </si>
  <si>
    <t>Variable</t>
  </si>
  <si>
    <t>Source</t>
  </si>
  <si>
    <t>Iter 0</t>
  </si>
  <si>
    <t>Iter 1</t>
  </si>
  <si>
    <t>Iter 2</t>
  </si>
  <si>
    <t>Iter 3</t>
  </si>
  <si>
    <t>Iter 4</t>
  </si>
  <si>
    <t>Iter 5</t>
  </si>
  <si>
    <t>Iter 6</t>
  </si>
  <si>
    <t>Final</t>
  </si>
  <si>
    <t>Pre-F FD (A in WA)</t>
  </si>
  <si>
    <t>F primary raise ($)</t>
  </si>
  <si>
    <t>F pre-money ($)</t>
  </si>
  <si>
    <t>ESOP target (% post-F FD)</t>
  </si>
  <si>
    <t>Pre-F option pool</t>
  </si>
  <si>
    <t>ESOP top-up shares</t>
  </si>
  <si>
    <t>Note A shares</t>
  </si>
  <si>
    <t>Note B shares</t>
  </si>
  <si>
    <t>F PPS ($)</t>
  </si>
  <si>
    <t>Note A cap-implied PPS ($)</t>
  </si>
  <si>
    <t>Note A discount-implied PPS ($)</t>
  </si>
  <si>
    <t>Note A conversion PPS ($)</t>
  </si>
  <si>
    <t>Note B cap-implied PPS ($)</t>
  </si>
  <si>
    <t>Note B discount-implied PPS ($)</t>
  </si>
  <si>
    <t>Note B conversion PPS ($)</t>
  </si>
  <si>
    <t>F primary new shares</t>
  </si>
  <si>
    <t>Series E new conversion price ($)</t>
  </si>
  <si>
    <t>Series E shares post-AD</t>
  </si>
  <si>
    <t>Series E AD extra shares</t>
  </si>
  <si>
    <t>Series D new conversion price ($)</t>
  </si>
  <si>
    <t>Series D shares post-AD</t>
  </si>
  <si>
    <t>Series D AD extra shares</t>
  </si>
  <si>
    <t>T_F (post-F fully diluted)</t>
  </si>
  <si>
    <t>Anti-Dilution (Broad-Based WA) Block</t>
  </si>
  <si>
    <t>Class</t>
  </si>
  <si>
    <t>OCP for AD</t>
  </si>
  <si>
    <t>F PPS</t>
  </si>
  <si>
    <t>Trigger?</t>
  </si>
  <si>
    <t>New OCP</t>
  </si>
  <si>
    <t>New Ratio</t>
  </si>
  <si>
    <t>Orig Shares</t>
  </si>
  <si>
    <t>As-Converted</t>
  </si>
  <si>
    <t>Extra Shares</t>
  </si>
  <si>
    <t>Seed</t>
  </si>
  <si>
    <t>Series A</t>
  </si>
  <si>
    <t>Series B</t>
  </si>
  <si>
    <t>Series C</t>
  </si>
  <si>
    <t>Series D</t>
  </si>
  <si>
    <t>Series E</t>
  </si>
  <si>
    <t>Convertible Notes Conversion Block</t>
  </si>
  <si>
    <t>Note</t>
  </si>
  <si>
    <t>Principal</t>
  </si>
  <si>
    <t>Cap</t>
  </si>
  <si>
    <t>Discount</t>
  </si>
  <si>
    <t>Cap PPS</t>
  </si>
  <si>
    <t>Disc PPS</t>
  </si>
  <si>
    <t>Branch</t>
  </si>
  <si>
    <t>Conv PPS</t>
  </si>
  <si>
    <t>Shares</t>
  </si>
  <si>
    <t>Note A</t>
  </si>
  <si>
    <t>Note B</t>
  </si>
  <si>
    <t>Secondary Tender Block (founders → F_LEAD)</t>
  </si>
  <si>
    <t>Tender PPS = 0.85 × F_PPS</t>
  </si>
  <si>
    <t>Total tender shares</t>
  </si>
  <si>
    <t>F1 tender shares (50.0%)</t>
  </si>
  <si>
    <t>F2 tender shares (31.25%)</t>
  </si>
  <si>
    <t>F3 tender shares (18.75%)</t>
  </si>
  <si>
    <t>F_LEAD secondary common (= total tender)</t>
  </si>
  <si>
    <t>Post-F Capitalization by Stakeholder</t>
  </si>
  <si>
    <t>Stakeholder</t>
  </si>
  <si>
    <t>Common/RSA</t>
  </si>
  <si>
    <t>Preferred</t>
  </si>
  <si>
    <t>Notes</t>
  </si>
  <si>
    <t>Options</t>
  </si>
  <si>
    <t>Total Shares</t>
  </si>
  <si>
    <t>Ownership %</t>
  </si>
  <si>
    <t>F1 (CEO)</t>
  </si>
  <si>
    <t>Common</t>
  </si>
  <si>
    <t>F2 (CTO)</t>
  </si>
  <si>
    <t>F3 (Chief Sci)</t>
  </si>
  <si>
    <t>Employee RSAs</t>
  </si>
  <si>
    <t>RSA</t>
  </si>
  <si>
    <t>Seed LP</t>
  </si>
  <si>
    <t>Series A LP</t>
  </si>
  <si>
    <t>Series B LP</t>
  </si>
  <si>
    <t>Series C LP</t>
  </si>
  <si>
    <t>Series D LP</t>
  </si>
  <si>
    <t>Series E LP</t>
  </si>
  <si>
    <t>Note A holder</t>
  </si>
  <si>
    <t>Common-equiv</t>
  </si>
  <si>
    <t>Note B holder</t>
  </si>
  <si>
    <t>F_LEAD primary</t>
  </si>
  <si>
    <t>Series F</t>
  </si>
  <si>
    <t>F_LEAD secondary</t>
  </si>
  <si>
    <t>Common (tender)</t>
  </si>
  <si>
    <t>Our fund (F primary)</t>
  </si>
  <si>
    <t>Issued options</t>
  </si>
  <si>
    <t>Unissued option pool</t>
  </si>
  <si>
    <t>Total</t>
  </si>
  <si>
    <t>Check</t>
  </si>
  <si>
    <t>Kelvin Dynamics — Exit Waterfall</t>
  </si>
  <si>
    <t>Five exits; per-class election (preference/convert); reverse-chronological Nash</t>
  </si>
  <si>
    <t>Always-In Pool (no election)</t>
  </si>
  <si>
    <t>Founders + RSAs common (post-tender)</t>
  </si>
  <si>
    <t>F_LEAD secondary common</t>
  </si>
  <si>
    <t>Note A shares (common-equiv)</t>
  </si>
  <si>
    <t>Note B shares (common-equiv)</t>
  </si>
  <si>
    <t>Issued options (ITM)</t>
  </si>
  <si>
    <t>Always-in pool subtotal</t>
  </si>
  <si>
    <t>Priced Classes (election-eligible)</t>
  </si>
  <si>
    <t>Shares (post-AD)</t>
  </si>
  <si>
    <t>Pref ($)</t>
  </si>
  <si>
    <t>Pref/Share (OCP eff)</t>
  </si>
  <si>
    <t>Exit Scenarios &amp; Equilibrium PPS</t>
  </si>
  <si>
    <t>Exit Scenario</t>
  </si>
  <si>
    <t>Exit value ($)</t>
  </si>
  <si>
    <t>ITM options strike paid in</t>
  </si>
  <si>
    <t>Total preferences (all classes)</t>
  </si>
  <si>
    <t>Iter 0: p (all elect preference)</t>
  </si>
  <si>
    <t>Iter 1: p</t>
  </si>
  <si>
    <t>Iter 2: p</t>
  </si>
  <si>
    <t>Iter 3: p</t>
  </si>
  <si>
    <t>Iter 4: p</t>
  </si>
  <si>
    <t>Iter 5: p (final)</t>
  </si>
  <si>
    <t>Elections (per class × exit, formula-driven)</t>
  </si>
  <si>
    <t>Proceeds Distribution by Class</t>
  </si>
  <si>
    <t>Holder/Class</t>
  </si>
  <si>
    <t>Notes A + B (common-equiv)</t>
  </si>
  <si>
    <t>Common + RSAs (founders+F_LEAD secondary)</t>
  </si>
  <si>
    <t>Issued options (net of strike)</t>
  </si>
  <si>
    <t>Total proceeds</t>
  </si>
  <si>
    <t>Kelvin Dynamics — Sensitivity (3×3)</t>
  </si>
  <si>
    <t>$10M check ownership % and proceeds at $2B exit; per-cell fixed-point solve</t>
  </si>
  <si>
    <t>Our $10M Check — Post-F Ownership %</t>
  </si>
  <si>
    <t>ESOP \ Pre-money</t>
  </si>
  <si>
    <t>Our $10M Check — Proceeds at $2B Exit</t>
  </si>
  <si>
    <t>Per-Scenario Fixed-Point Detail</t>
  </si>
  <si>
    <t>Scenario #</t>
  </si>
  <si>
    <t>ESOP target</t>
  </si>
  <si>
    <t>Pre-money ($)</t>
  </si>
  <si>
    <t>Pre-F FD</t>
  </si>
  <si>
    <t>F primary $</t>
  </si>
  <si>
    <t xml:space="preserve">  Iter 0: ESOP top-up</t>
  </si>
  <si>
    <t xml:space="preserve">  Iter 0: F PPS ($)</t>
  </si>
  <si>
    <t xml:space="preserve">  Iter 0: Note A shares</t>
  </si>
  <si>
    <t xml:space="preserve">  Iter 0: Note B shares</t>
  </si>
  <si>
    <t xml:space="preserve">  Iter 0: F primary shares</t>
  </si>
  <si>
    <t xml:space="preserve">  Iter 0: AD-E extra shares</t>
  </si>
  <si>
    <t xml:space="preserve">  Iter 0: AD-D extra shares</t>
  </si>
  <si>
    <t xml:space="preserve">  Iter 0: T_F (post-F FD)</t>
  </si>
  <si>
    <t xml:space="preserve">  Iter 1: ESOP top-up</t>
  </si>
  <si>
    <t xml:space="preserve">  Iter 1: F PPS ($)</t>
  </si>
  <si>
    <t xml:space="preserve">  Iter 1: Note A shares</t>
  </si>
  <si>
    <t xml:space="preserve">  Iter 1: Note B shares</t>
  </si>
  <si>
    <t xml:space="preserve">  Iter 1: F primary shares</t>
  </si>
  <si>
    <t xml:space="preserve">  Iter 1: AD-E extra shares</t>
  </si>
  <si>
    <t xml:space="preserve">  Iter 1: AD-D extra shares</t>
  </si>
  <si>
    <t xml:space="preserve">  Iter 1: T_F (post-F FD)</t>
  </si>
  <si>
    <t xml:space="preserve">  Iter 2: ESOP top-up</t>
  </si>
  <si>
    <t xml:space="preserve">  Iter 2: F PPS ($)</t>
  </si>
  <si>
    <t xml:space="preserve">  Iter 2: Note A shares</t>
  </si>
  <si>
    <t xml:space="preserve">  Iter 2: Note B shares</t>
  </si>
  <si>
    <t xml:space="preserve">  Iter 2: F primary shares</t>
  </si>
  <si>
    <t xml:space="preserve">  Iter 2: AD-E extra shares</t>
  </si>
  <si>
    <t xml:space="preserve">  Iter 2: AD-D extra shares</t>
  </si>
  <si>
    <t xml:space="preserve">  Iter 2: T_F (post-F FD)</t>
  </si>
  <si>
    <t xml:space="preserve">  Iter 3: ESOP top-up</t>
  </si>
  <si>
    <t xml:space="preserve">  Iter 3: F PPS ($)</t>
  </si>
  <si>
    <t xml:space="preserve">  Iter 3: Note A shares</t>
  </si>
  <si>
    <t xml:space="preserve">  Iter 3: Note B shares</t>
  </si>
  <si>
    <t xml:space="preserve">  Iter 3: F primary shares</t>
  </si>
  <si>
    <t xml:space="preserve">  Iter 3: AD-E extra shares</t>
  </si>
  <si>
    <t xml:space="preserve">  Iter 3: AD-D extra shares</t>
  </si>
  <si>
    <t xml:space="preserve">  Iter 3: T_F (post-F FD)</t>
  </si>
  <si>
    <t>Final Values &amp; $2B Exit Outcome</t>
  </si>
  <si>
    <t>F PPS final ($)</t>
  </si>
  <si>
    <t>T_F (post-F FD)</t>
  </si>
  <si>
    <t>Note A branch</t>
  </si>
  <si>
    <t>Note B branch</t>
  </si>
  <si>
    <t>Our shares (=$10M / F_PPS)</t>
  </si>
  <si>
    <t>Always-in pool shares</t>
  </si>
  <si>
    <t>(see scenario detail for $2B waterfall)</t>
  </si>
  <si>
    <t>Our ownership %</t>
  </si>
  <si>
    <t>Our $ proceeds @ $2B</t>
  </si>
  <si>
    <t>$2B Exit Waterfall (per-scenario)</t>
  </si>
  <si>
    <t>Iter 0 p (all preference)</t>
  </si>
  <si>
    <t>Iter 1 p</t>
  </si>
  <si>
    <t>Iter 2 p</t>
  </si>
  <si>
    <t>Iter 3 p</t>
  </si>
  <si>
    <t>Iter 4 p (final)</t>
  </si>
  <si>
    <t>Series F election @ $2B</t>
  </si>
  <si>
    <t>Kelvin Dynamics — Return Solver</t>
  </si>
  <si>
    <t>Required Series F ownership % for $10M check to hit 3x / 4x at each exit</t>
  </si>
  <si>
    <t>Inputs (from Pro-Forma &amp; Waterfall)</t>
  </si>
  <si>
    <t>Item</t>
  </si>
  <si>
    <t>Exit value</t>
  </si>
  <si>
    <t>Equilibrium per-share p ($)</t>
  </si>
  <si>
    <t>F election (from Waterfall)</t>
  </si>
  <si>
    <t>F class shares (post-F)</t>
  </si>
  <si>
    <t>F class preference ($)</t>
  </si>
  <si>
    <t>3x Target — $30M Net Return</t>
  </si>
  <si>
    <t>3x target ($)</t>
  </si>
  <si>
    <t>Required ownership %</t>
  </si>
  <si>
    <t>Feasibility</t>
  </si>
  <si>
    <t>Comparison: our actual ownership %</t>
  </si>
  <si>
    <t>4x Target — $40M Net Return</t>
  </si>
  <si>
    <t>4x target ($)</t>
  </si>
  <si>
    <t>Actual $10M Check Proceeds (base case)</t>
  </si>
  <si>
    <t>Our shares ($10M / F_PPS)</t>
  </si>
  <si>
    <t>Our $ proceeds at this exit</t>
  </si>
  <si>
    <t>Our MOIC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</si>
</sst>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_);\(&quot;$&quot;#,##0\);\-\-_)"/>
    <numFmt numFmtId="165" formatCode="0.0%"/>
    <numFmt numFmtId="166" formatCode="&quot;$&quot;#,##0.000000_);(&quot;$&quot;#,##0.000000);\-\-_)"/>
    <numFmt numFmtId="167" formatCode="#,##0_);\(#,##0\);\-\-_)"/>
    <numFmt numFmtId="168" formatCode="0.0%_);\(0.0%\);\-\-_)"/>
    <numFmt numFmtId="169" formatCode="&quot;$&quot;#,##0.0000_);(&quot;$&quot;#,##0.0000);\-\-_)"/>
    <numFmt numFmtId="170" formatCode="0.0&quot;x&quot;_);\(0.0&quot;x&quot;\);\-\-_)"/>
    <numFmt numFmtId="171" formatCode="&quot;$&quot;#,##0_)"/>
    <numFmt numFmtId="172" formatCode="0.000%_);\(0.000%\);\-\-_)"/>
    <numFmt numFmtId="173" formatCode="0.00&quot;x&quot;_);\(0.00&quot;x&quot;\);\-\-_)"/>
  </numFmts>
  <fonts count="11" x14ac:knownFonts="1">
    <font>
      <color theme="1"/>
      <family val="2"/>
      <scheme val="minor"/>
      <sz val="11"/>
      <name val="Calibri"/>
    </font>
    <font>
      <b/>
      <charset val="134"/>
      <color rgb="FF000000"/>
      <family val="1"/>
      <sz val="14"/>
      <name val="Arial"/>
    </font>
    <font>
      <i/>
      <charset val="134"/>
      <color rgb="FF666666"/>
      <family val="1"/>
      <sz val="10"/>
      <name val="Arial"/>
    </font>
    <font>
      <b/>
      <charset val="134"/>
      <color rgb="FFFFFFFF"/>
      <family val="1"/>
      <sz val="10"/>
      <name val="Arial"/>
    </font>
    <font>
      <charset val="134"/>
      <color rgb="FF000000"/>
      <family val="1"/>
      <sz val="10"/>
      <name val="Arial"/>
    </font>
    <font>
      <charset val="134"/>
      <color rgb="FF0000FF"/>
      <family val="1"/>
      <sz val="10"/>
      <name val="Arial"/>
    </font>
    <font>
      <b/>
      <charset val="134"/>
      <color rgb="FF000000"/>
      <family val="1"/>
      <sz val="10"/>
      <name val="Arial"/>
    </font>
    <font>
      <charset val="134"/>
      <color rgb="FF00B050"/>
      <family val="1"/>
      <sz val="10"/>
      <name val="Arial"/>
    </font>
    <font>
      <i/>
      <charset val="134"/>
      <color rgb="FF666666"/>
      <family val="1"/>
      <sz val="8"/>
      <name val="Arial"/>
    </font>
    <font>
      <b/>
      <charset val="134"/>
      <color rgb="FF7030A0"/>
      <family val="1"/>
      <sz val="10"/>
      <name val="Arial"/>
    </font>
    <font>
      <charset val="134"/>
      <color rgb="FF666666"/>
      <family val="1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CF8E3"/>
      </patternFill>
    </fill>
    <fill>
      <patternFill patternType="solid">
        <fgColor rgb="FFDCE6F1"/>
      </patternFill>
    </fill>
    <fill>
      <patternFill patternType="solid">
        <fgColor rgb="FFFFFF00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164" fontId="5" fillId="3" borderId="0" xfId="0" applyNumberFormat="1" applyFont="1" applyFill="1" applyAlignment="1">
      <alignment horizontal="right"/>
    </xf>
    <xf numFmtId="165" fontId="5" fillId="3" borderId="0" xfId="0" applyNumberFormat="1" applyFont="1" applyFill="1" applyAlignment="1">
      <alignment horizontal="right"/>
    </xf>
    <xf numFmtId="166" fontId="5" fillId="3" borderId="0" xfId="0" applyNumberFormat="1" applyFont="1" applyFill="1" applyAlignment="1">
      <alignment horizontal="right"/>
    </xf>
    <xf numFmtId="167" fontId="5" fillId="3" borderId="0" xfId="0" applyNumberFormat="1" applyFont="1" applyFill="1" applyAlignment="1">
      <alignment horizontal="right"/>
    </xf>
    <xf numFmtId="168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6" fillId="0" borderId="1" xfId="0" applyFont="1" applyBorder="1" applyAlignment="1">
      <alignment horizontal="center"/>
    </xf>
    <xf numFmtId="167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9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70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167" fontId="6" fillId="0" borderId="2" xfId="0" applyNumberFormat="1" applyFont="1" applyBorder="1" applyAlignment="1">
      <alignment horizontal="right"/>
    </xf>
    <xf numFmtId="168" fontId="6" fillId="0" borderId="3" xfId="0" applyNumberFormat="1" applyFont="1" applyBorder="1" applyAlignment="1">
      <alignment horizontal="right"/>
    </xf>
    <xf numFmtId="167" fontId="2" fillId="0" borderId="0" xfId="0" applyNumberFormat="1" applyFont="1" applyAlignment="1">
      <alignment horizontal="right"/>
    </xf>
    <xf numFmtId="164" fontId="6" fillId="0" borderId="3" xfId="0" applyNumberFormat="1" applyFont="1" applyBorder="1" applyAlignment="1">
      <alignment horizontal="right"/>
    </xf>
    <xf numFmtId="0" fontId="3" fillId="2" borderId="0" xfId="0" applyFont="1" applyFill="1" applyAlignment="1">
      <alignment horizontal="center" vertical="center"/>
    </xf>
    <xf numFmtId="171" fontId="6" fillId="4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right"/>
    </xf>
    <xf numFmtId="172" fontId="4" fillId="0" borderId="0" xfId="0" applyNumberFormat="1" applyFont="1" applyAlignment="1">
      <alignment horizontal="right"/>
    </xf>
    <xf numFmtId="172" fontId="6" fillId="5" borderId="0" xfId="0" applyNumberFormat="1" applyFont="1" applyFill="1" applyAlignment="1">
      <alignment horizontal="right"/>
    </xf>
    <xf numFmtId="164" fontId="6" fillId="5" borderId="0" xfId="0" applyNumberFormat="1" applyFont="1" applyFill="1" applyAlignment="1">
      <alignment horizontal="right"/>
    </xf>
    <xf numFmtId="0" fontId="8" fillId="0" borderId="0" xfId="0" applyFont="1" applyAlignment="1">
      <alignment horizontal="left"/>
    </xf>
    <xf numFmtId="168" fontId="9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173" fontId="9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6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5.205" customWidth="1"/>
    <col min="3" max="3" width="16.455" customWidth="1"/>
    <col min="4" max="4" width="13.955" customWidth="1"/>
    <col min="5" max="5" width="35.205" customWidth="1"/>
  </cols>
  <sheetData>
    <row r="2" ht="18" customHeight="1" spans="2:2" x14ac:dyDescent="0.25">
      <c r="B2" s="1" t="s">
        <v>0</v>
      </c>
    </row>
    <row r="3" spans="2:2" x14ac:dyDescent="0.25">
      <c r="B3" s="2" t="s">
        <v>1</v>
      </c>
    </row>
    <row r="5" spans="2:4" x14ac:dyDescent="0.25">
      <c r="B5" s="3" t="s">
        <v>2</v>
      </c>
      <c r="C5" s="4" t="s">
        <v>3</v>
      </c>
      <c r="D5" s="4" t="s">
        <v>3</v>
      </c>
    </row>
    <row r="6" spans="2:3" x14ac:dyDescent="0.25">
      <c r="B6" s="5" t="s">
        <v>4</v>
      </c>
      <c r="C6" s="6">
        <v>1400000000</v>
      </c>
    </row>
    <row r="7" spans="2:3" x14ac:dyDescent="0.25">
      <c r="B7" s="5" t="s">
        <v>5</v>
      </c>
      <c r="C7" s="6">
        <v>30000000</v>
      </c>
    </row>
    <row r="8" spans="2:3" x14ac:dyDescent="0.25">
      <c r="B8" s="5" t="s">
        <v>6</v>
      </c>
      <c r="C8" s="6">
        <v>15000000</v>
      </c>
    </row>
    <row r="9" spans="2:3" x14ac:dyDescent="0.25">
      <c r="B9" s="5" t="s">
        <v>7</v>
      </c>
      <c r="C9" s="7">
        <v>0.85</v>
      </c>
    </row>
    <row r="10" spans="2:3" x14ac:dyDescent="0.25">
      <c r="B10" s="5" t="s">
        <v>8</v>
      </c>
      <c r="C10" s="7">
        <v>0.13</v>
      </c>
    </row>
    <row r="11" spans="2:3" x14ac:dyDescent="0.25">
      <c r="B11" s="5" t="s">
        <v>9</v>
      </c>
      <c r="C11" s="6">
        <v>10000000</v>
      </c>
    </row>
    <row r="12" spans="2:3" x14ac:dyDescent="0.25">
      <c r="B12" s="5" t="s">
        <v>10</v>
      </c>
      <c r="C12" s="6">
        <v>20000000</v>
      </c>
    </row>
    <row r="14" spans="2:4" x14ac:dyDescent="0.25">
      <c r="B14" s="3" t="s">
        <v>11</v>
      </c>
      <c r="C14" s="4" t="s">
        <v>3</v>
      </c>
      <c r="D14" s="4" t="s">
        <v>3</v>
      </c>
    </row>
    <row r="15" spans="2:3" x14ac:dyDescent="0.25">
      <c r="B15" s="5" t="s">
        <v>12</v>
      </c>
      <c r="C15" s="6">
        <v>1</v>
      </c>
    </row>
    <row r="16" spans="2:3" x14ac:dyDescent="0.25">
      <c r="B16" s="5" t="s">
        <v>13</v>
      </c>
      <c r="C16" s="6">
        <v>3</v>
      </c>
    </row>
    <row r="17" spans="2:3" x14ac:dyDescent="0.25">
      <c r="B17" s="5" t="s">
        <v>14</v>
      </c>
      <c r="C17" s="6">
        <v>10</v>
      </c>
    </row>
    <row r="18" spans="2:3" x14ac:dyDescent="0.25">
      <c r="B18" s="5" t="s">
        <v>15</v>
      </c>
      <c r="C18" s="6">
        <v>25</v>
      </c>
    </row>
    <row r="19" spans="2:3" x14ac:dyDescent="0.25">
      <c r="B19" s="5" t="s">
        <v>16</v>
      </c>
      <c r="C19" s="8">
        <v>58.118347</v>
      </c>
    </row>
    <row r="20" spans="2:3" x14ac:dyDescent="0.25">
      <c r="B20" s="5" t="s">
        <v>17</v>
      </c>
      <c r="C20" s="8">
        <v>49.158311</v>
      </c>
    </row>
    <row r="22" spans="2:4" x14ac:dyDescent="0.25">
      <c r="B22" s="3" t="s">
        <v>18</v>
      </c>
      <c r="C22" s="4" t="s">
        <v>3</v>
      </c>
      <c r="D22" s="4" t="s">
        <v>3</v>
      </c>
    </row>
    <row r="23" spans="2:3" x14ac:dyDescent="0.25">
      <c r="B23" s="5" t="s">
        <v>19</v>
      </c>
      <c r="C23" s="9">
        <v>36617961</v>
      </c>
    </row>
    <row r="24" spans="2:3" x14ac:dyDescent="0.25">
      <c r="B24" s="5" t="s">
        <v>20</v>
      </c>
      <c r="C24" s="9">
        <v>2500000</v>
      </c>
    </row>
    <row r="25" spans="2:3" x14ac:dyDescent="0.25">
      <c r="B25" s="5" t="s">
        <v>21</v>
      </c>
      <c r="C25" s="9">
        <v>1894667</v>
      </c>
    </row>
    <row r="26" spans="2:3" x14ac:dyDescent="0.25">
      <c r="B26" s="5" t="s">
        <v>22</v>
      </c>
      <c r="C26" s="6">
        <v>1</v>
      </c>
    </row>
    <row r="28" spans="2:4" x14ac:dyDescent="0.25">
      <c r="B28" s="3" t="s">
        <v>23</v>
      </c>
      <c r="C28" s="4" t="s">
        <v>3</v>
      </c>
      <c r="D28" s="4" t="s">
        <v>3</v>
      </c>
    </row>
    <row r="29" spans="2:3" x14ac:dyDescent="0.25">
      <c r="B29" s="5" t="s">
        <v>24</v>
      </c>
      <c r="C29" s="6">
        <v>5000000</v>
      </c>
    </row>
    <row r="30" spans="2:3" x14ac:dyDescent="0.25">
      <c r="B30" s="5" t="s">
        <v>25</v>
      </c>
      <c r="C30" s="6">
        <v>1000000000</v>
      </c>
    </row>
    <row r="31" spans="2:3" x14ac:dyDescent="0.25">
      <c r="B31" s="5" t="s">
        <v>26</v>
      </c>
      <c r="C31" s="7">
        <v>0.2</v>
      </c>
    </row>
    <row r="32" spans="2:3" x14ac:dyDescent="0.25">
      <c r="B32" s="5" t="s">
        <v>27</v>
      </c>
      <c r="C32" s="6">
        <v>3000000</v>
      </c>
    </row>
    <row r="33" spans="2:3" x14ac:dyDescent="0.25">
      <c r="B33" s="5" t="s">
        <v>28</v>
      </c>
      <c r="C33" s="6">
        <v>1600000000</v>
      </c>
    </row>
    <row r="34" spans="2:3" x14ac:dyDescent="0.25">
      <c r="B34" s="5" t="s">
        <v>29</v>
      </c>
      <c r="C34" s="7">
        <v>0.15</v>
      </c>
    </row>
    <row r="36" spans="2:4" x14ac:dyDescent="0.25">
      <c r="B36" s="3" t="s">
        <v>30</v>
      </c>
      <c r="C36" s="4" t="s">
        <v>3</v>
      </c>
      <c r="D36" s="4" t="s">
        <v>3</v>
      </c>
    </row>
    <row r="37" spans="2:3" x14ac:dyDescent="0.25">
      <c r="B37" s="5" t="s">
        <v>31</v>
      </c>
      <c r="C37" s="9">
        <v>4000000</v>
      </c>
    </row>
    <row r="38" spans="2:3" x14ac:dyDescent="0.25">
      <c r="B38" s="5" t="s">
        <v>32</v>
      </c>
      <c r="C38" s="9">
        <v>2500000</v>
      </c>
    </row>
    <row r="39" spans="2:3" x14ac:dyDescent="0.25">
      <c r="B39" s="5" t="s">
        <v>33</v>
      </c>
      <c r="C39" s="9">
        <v>1500000</v>
      </c>
    </row>
    <row r="40" spans="2:3" x14ac:dyDescent="0.25">
      <c r="B40" s="5" t="s">
        <v>34</v>
      </c>
      <c r="C40" s="9">
        <v>1000000</v>
      </c>
    </row>
    <row r="41" spans="2:3" x14ac:dyDescent="0.25">
      <c r="B41" s="5" t="s">
        <v>35</v>
      </c>
      <c r="C41" s="9">
        <v>5000000</v>
      </c>
    </row>
    <row r="42" spans="2:3" x14ac:dyDescent="0.25">
      <c r="B42" s="5" t="s">
        <v>36</v>
      </c>
      <c r="C42" s="9">
        <v>5000000</v>
      </c>
    </row>
    <row r="43" spans="2:3" x14ac:dyDescent="0.25">
      <c r="B43" s="5" t="s">
        <v>37</v>
      </c>
      <c r="C43" s="9">
        <v>3000000</v>
      </c>
    </row>
    <row r="44" spans="2:3" x14ac:dyDescent="0.25">
      <c r="B44" s="5" t="s">
        <v>38</v>
      </c>
      <c r="C44" s="9">
        <v>2400000</v>
      </c>
    </row>
    <row r="45" spans="2:3" x14ac:dyDescent="0.25">
      <c r="B45" s="5" t="s">
        <v>39</v>
      </c>
      <c r="C45" s="9">
        <v>1720627</v>
      </c>
    </row>
    <row r="46" spans="2:3" x14ac:dyDescent="0.25">
      <c r="B46" s="5" t="s">
        <v>40</v>
      </c>
      <c r="C46" s="9">
        <v>6102667</v>
      </c>
    </row>
    <row r="47" spans="2:3" x14ac:dyDescent="0.25">
      <c r="B47" s="5" t="s">
        <v>41</v>
      </c>
      <c r="C47" s="6">
        <v>100000000</v>
      </c>
    </row>
    <row r="48" spans="2:3" x14ac:dyDescent="0.25">
      <c r="B48" s="5" t="s">
        <v>42</v>
      </c>
      <c r="C48" s="6">
        <v>300000000</v>
      </c>
    </row>
    <row r="49" spans="2:3" x14ac:dyDescent="0.25">
      <c r="B49" s="5" t="s">
        <v>43</v>
      </c>
      <c r="C49" s="6">
        <v>60000000</v>
      </c>
    </row>
    <row r="50" spans="2:3" x14ac:dyDescent="0.25">
      <c r="B50" s="5" t="s">
        <v>44</v>
      </c>
      <c r="C50" s="6">
        <v>30000000</v>
      </c>
    </row>
    <row r="51" spans="2:3" x14ac:dyDescent="0.25">
      <c r="B51" s="5" t="s">
        <v>45</v>
      </c>
      <c r="C51" s="6">
        <v>15000000</v>
      </c>
    </row>
    <row r="52" spans="2:3" x14ac:dyDescent="0.25">
      <c r="B52" s="5" t="s">
        <v>46</v>
      </c>
      <c r="C52" s="6">
        <v>5000000</v>
      </c>
    </row>
    <row r="54" spans="2:4" x14ac:dyDescent="0.25">
      <c r="B54" s="3" t="s">
        <v>47</v>
      </c>
      <c r="C54" s="4" t="s">
        <v>3</v>
      </c>
      <c r="D54" s="4" t="s">
        <v>3</v>
      </c>
    </row>
    <row r="55" spans="2:3" x14ac:dyDescent="0.25">
      <c r="B55" s="5" t="s">
        <v>48</v>
      </c>
      <c r="C55" s="10">
        <f>C37/(C37+C38+C39)</f>
        <v>0.5</v>
      </c>
    </row>
    <row r="56" spans="2:3" x14ac:dyDescent="0.25">
      <c r="B56" s="5" t="s">
        <v>49</v>
      </c>
      <c r="C56" s="10">
        <f>C38/(C37+C38+C39)</f>
        <v>0.3125</v>
      </c>
    </row>
    <row r="57" spans="2:3" x14ac:dyDescent="0.25">
      <c r="B57" s="5" t="s">
        <v>50</v>
      </c>
      <c r="C57" s="10">
        <f>C39/(C37+C38+C39)</f>
        <v>0.1875</v>
      </c>
    </row>
    <row r="59" spans="2:4" x14ac:dyDescent="0.25">
      <c r="B59" s="3" t="s">
        <v>51</v>
      </c>
      <c r="C59" s="4" t="s">
        <v>3</v>
      </c>
      <c r="D59" s="4" t="s">
        <v>3</v>
      </c>
    </row>
    <row r="60" spans="2:3" x14ac:dyDescent="0.25">
      <c r="B60" s="5" t="s">
        <v>52</v>
      </c>
      <c r="C60" s="6">
        <v>700000000</v>
      </c>
    </row>
    <row r="61" spans="2:3" x14ac:dyDescent="0.25">
      <c r="B61" s="5" t="s">
        <v>53</v>
      </c>
      <c r="C61" s="6">
        <v>1200000000</v>
      </c>
    </row>
    <row r="62" spans="2:3" x14ac:dyDescent="0.25">
      <c r="B62" s="5" t="s">
        <v>54</v>
      </c>
      <c r="C62" s="6">
        <v>2000000000</v>
      </c>
    </row>
    <row r="63" spans="2:3" x14ac:dyDescent="0.25">
      <c r="B63" s="5" t="s">
        <v>55</v>
      </c>
      <c r="C63" s="6">
        <v>4000000000</v>
      </c>
    </row>
    <row r="64" spans="2:3" x14ac:dyDescent="0.25">
      <c r="B64" s="5" t="s">
        <v>56</v>
      </c>
      <c r="C64" s="6">
        <v>8000000000</v>
      </c>
    </row>
    <row r="66" spans="2:4" x14ac:dyDescent="0.25">
      <c r="B66" s="3" t="s">
        <v>57</v>
      </c>
      <c r="C66" s="4" t="s">
        <v>3</v>
      </c>
      <c r="D66" s="4" t="s">
        <v>3</v>
      </c>
    </row>
    <row r="67" spans="2:3" x14ac:dyDescent="0.25">
      <c r="B67" s="5" t="s">
        <v>58</v>
      </c>
      <c r="C67" s="7">
        <v>0.11</v>
      </c>
    </row>
    <row r="68" spans="2:3" x14ac:dyDescent="0.25">
      <c r="B68" s="5" t="s">
        <v>59</v>
      </c>
      <c r="C68" s="7">
        <v>0.13</v>
      </c>
    </row>
    <row r="69" spans="2:3" x14ac:dyDescent="0.25">
      <c r="B69" s="5" t="s">
        <v>60</v>
      </c>
      <c r="C69" s="7">
        <v>0.15</v>
      </c>
    </row>
    <row r="70" spans="2:3" x14ac:dyDescent="0.25">
      <c r="B70" s="5" t="s">
        <v>61</v>
      </c>
      <c r="C70" s="6">
        <v>1200000000</v>
      </c>
    </row>
    <row r="71" spans="2:3" x14ac:dyDescent="0.25">
      <c r="B71" s="5" t="s">
        <v>62</v>
      </c>
      <c r="C71" s="6">
        <v>1400000000</v>
      </c>
    </row>
    <row r="72" spans="2:3" x14ac:dyDescent="0.25">
      <c r="B72" s="5" t="s">
        <v>63</v>
      </c>
      <c r="C72" s="6">
        <v>1800000000</v>
      </c>
    </row>
    <row r="74" spans="2:4" x14ac:dyDescent="0.25">
      <c r="B74" s="3" t="s">
        <v>64</v>
      </c>
      <c r="C74" s="4" t="s">
        <v>3</v>
      </c>
      <c r="D74" s="4" t="s">
        <v>3</v>
      </c>
    </row>
    <row r="75" spans="2:3" x14ac:dyDescent="0.25">
      <c r="B75" s="5" t="s">
        <v>65</v>
      </c>
      <c r="C75" s="11">
        <f>C11*3</f>
        <v>30000000</v>
      </c>
    </row>
    <row r="76" spans="2:3" x14ac:dyDescent="0.25">
      <c r="B76" s="5" t="s">
        <v>66</v>
      </c>
      <c r="C76" s="11">
        <f>C11*4</f>
        <v>40000000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74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5.205" customWidth="1"/>
    <col min="3" max="3" width="16.455" customWidth="1"/>
    <col min="4" max="7" width="13.33" customWidth="1"/>
    <col min="8" max="8" width="16.455" customWidth="1"/>
    <col min="9" max="9" width="12.705" customWidth="1"/>
    <col min="10" max="10" width="13.33" customWidth="1"/>
    <col min="11" max="11" width="15.205" customWidth="1"/>
  </cols>
  <sheetData>
    <row r="2" ht="18" customHeight="1" spans="2:2" x14ac:dyDescent="0.25">
      <c r="B2" s="1" t="s">
        <v>67</v>
      </c>
    </row>
    <row r="3" spans="2:2" x14ac:dyDescent="0.25">
      <c r="B3" s="2" t="s">
        <v>68</v>
      </c>
    </row>
    <row r="5" spans="2:11" x14ac:dyDescent="0.25">
      <c r="B5" s="3" t="s">
        <v>69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</row>
    <row r="6" spans="2:11" x14ac:dyDescent="0.25">
      <c r="B6" s="12" t="s">
        <v>70</v>
      </c>
      <c r="C6" s="12" t="s">
        <v>71</v>
      </c>
      <c r="D6" s="12" t="s">
        <v>72</v>
      </c>
      <c r="E6" s="12" t="s">
        <v>73</v>
      </c>
      <c r="F6" s="12" t="s">
        <v>74</v>
      </c>
      <c r="G6" s="12" t="s">
        <v>75</v>
      </c>
      <c r="H6" s="12" t="s">
        <v>76</v>
      </c>
      <c r="I6" s="12" t="s">
        <v>77</v>
      </c>
      <c r="J6" s="12" t="s">
        <v>78</v>
      </c>
      <c r="K6" s="12" t="s">
        <v>79</v>
      </c>
    </row>
    <row r="7" spans="2:3" x14ac:dyDescent="0.25">
      <c r="B7" s="5" t="s">
        <v>80</v>
      </c>
      <c r="C7" s="13">
        <f>Assumptions!C23</f>
        <v>36617961</v>
      </c>
    </row>
    <row r="8" spans="2:3" x14ac:dyDescent="0.25">
      <c r="B8" s="5" t="s">
        <v>81</v>
      </c>
      <c r="C8" s="14">
        <f>Assumptions!C7</f>
        <v>30000000</v>
      </c>
    </row>
    <row r="9" spans="2:3" x14ac:dyDescent="0.25">
      <c r="B9" s="5" t="s">
        <v>82</v>
      </c>
      <c r="C9" s="14">
        <f>Assumptions!C6</f>
        <v>1400000000</v>
      </c>
    </row>
    <row r="10" spans="2:3" x14ac:dyDescent="0.25">
      <c r="B10" s="5" t="s">
        <v>83</v>
      </c>
      <c r="C10" s="15">
        <f>Assumptions!C10</f>
        <v>0.13</v>
      </c>
    </row>
    <row r="11" spans="2:3" x14ac:dyDescent="0.25">
      <c r="B11" s="5" t="s">
        <v>84</v>
      </c>
      <c r="C11" s="16">
        <f>Assumptions!C24+Assumptions!C25</f>
        <v>4394667</v>
      </c>
    </row>
    <row r="13" spans="2:11" x14ac:dyDescent="0.25">
      <c r="B13" s="5" t="s">
        <v>85</v>
      </c>
      <c r="D13" s="16">
        <v>0</v>
      </c>
      <c r="E13" s="16">
        <f>MAX(0,C10*D30-C11)</f>
        <v>473017.311953587</v>
      </c>
      <c r="F13" s="16">
        <f>MAX(0,C10*E30-C11)</f>
        <v>572369.317957725</v>
      </c>
      <c r="G13" s="16">
        <f>MAX(0,C10*F30-C11)</f>
        <v>586809.886056915</v>
      </c>
      <c r="H13" s="16">
        <f>MAX(0,C10*G30-C11)</f>
        <v>588757.679550888</v>
      </c>
      <c r="I13" s="16">
        <f>MAX(0,C10*H30-C11)</f>
        <v>589019.82809754</v>
      </c>
      <c r="J13" s="16">
        <f>MAX(0,C10*I30-C11)</f>
        <v>589055.1069805445</v>
      </c>
      <c r="K13" s="16">
        <f>J13</f>
        <v>589055.1069805445</v>
      </c>
    </row>
    <row r="14" spans="2:11" x14ac:dyDescent="0.25">
      <c r="B14" s="5" t="s">
        <v>86</v>
      </c>
      <c r="D14" s="16">
        <v>0</v>
      </c>
      <c r="E14" s="16">
        <f>Assumptions!C29/E19</f>
        <v>185454.89155976794</v>
      </c>
      <c r="F14" s="16">
        <f>Assumptions!C29/F19</f>
        <v>186419.18492985523</v>
      </c>
      <c r="G14" s="16">
        <f>Assumptions!C29/G19</f>
        <v>186496.15642874085</v>
      </c>
      <c r="H14" s="16">
        <f>Assumptions!C29/H19</f>
        <v>186506.10159696467</v>
      </c>
      <c r="I14" s="16">
        <f>Assumptions!C29/I19</f>
        <v>186507.43838177956</v>
      </c>
      <c r="J14" s="16">
        <f>Assumptions!C29/J19</f>
        <v>186507.61827159964</v>
      </c>
      <c r="K14" s="16">
        <f>J14</f>
        <v>186507.61827159964</v>
      </c>
    </row>
    <row r="15" spans="2:11" x14ac:dyDescent="0.25">
      <c r="B15" s="5" t="s">
        <v>87</v>
      </c>
      <c r="D15" s="16">
        <v>0</v>
      </c>
      <c r="E15" s="16">
        <f>Assumptions!C32/E22</f>
        <v>93506.6680133284</v>
      </c>
      <c r="F15" s="16">
        <f>Assumptions!C32/F22</f>
        <v>94460.39969125416</v>
      </c>
      <c r="G15" s="16">
        <f>Assumptions!C32/G22</f>
        <v>94501.63984204545</v>
      </c>
      <c r="H15" s="16">
        <f>Assumptions!C32/H22</f>
        <v>94506.84825837397</v>
      </c>
      <c r="I15" s="16">
        <f>Assumptions!C32/I22</f>
        <v>94507.54733937701</v>
      </c>
      <c r="J15" s="16">
        <f>Assumptions!C32/J22</f>
        <v>94507.64141017235</v>
      </c>
      <c r="K15" s="16">
        <f>J15</f>
        <v>94507.64141017235</v>
      </c>
    </row>
    <row r="16" spans="2:11" x14ac:dyDescent="0.25">
      <c r="B16" s="5" t="s">
        <v>88</v>
      </c>
      <c r="D16" s="17">
        <f>C9/C7</f>
        <v>38.23260393990807</v>
      </c>
      <c r="E16" s="17">
        <f>C9/(C7+E13+D14+D15)</f>
        <v>37.74502759742013</v>
      </c>
      <c r="F16" s="17">
        <f>C9/(C7+F13+E14+E15)</f>
        <v>37.36393003038141</v>
      </c>
      <c r="G16" s="17">
        <f>C9/(C7+G13+F14+F15)</f>
        <v>37.34762455556443</v>
      </c>
      <c r="H16" s="17">
        <f>C9/(C7+H13+G14+G15)</f>
        <v>37.34556627109985</v>
      </c>
      <c r="I16" s="17">
        <f>C9/(C7+I13+H14+H15)</f>
        <v>37.34529002251799</v>
      </c>
      <c r="J16" s="17">
        <f>C9/(C7+J13+I14+I15)</f>
        <v>37.34525284985044</v>
      </c>
      <c r="K16" s="17">
        <f>J16</f>
        <v>37.34525284985044</v>
      </c>
    </row>
    <row r="17" spans="2:11" x14ac:dyDescent="0.25">
      <c r="B17" s="5" t="s">
        <v>89</v>
      </c>
      <c r="D17" s="17">
        <f>Assumptions!C30/(C7+D13+D15)</f>
        <v>27.309002814220047</v>
      </c>
      <c r="E17" s="17">
        <f>Assumptions!C30/(C7+E13+D15)</f>
        <v>26.96073399815724</v>
      </c>
      <c r="F17" s="17">
        <f>Assumptions!C30/(C7+F13+E15)</f>
        <v>26.821273796907608</v>
      </c>
      <c r="G17" s="17">
        <f>Assumptions!C30/(C7+G13+F15)</f>
        <v>26.810204004984264</v>
      </c>
      <c r="H17" s="17">
        <f>Assumptions!C30/(C7+H13+G15)</f>
        <v>26.808774389616932</v>
      </c>
      <c r="I17" s="17">
        <f>Assumptions!C30/(C7+I13+H15)</f>
        <v>26.808582238768576</v>
      </c>
      <c r="J17" s="17">
        <f>Assumptions!C30/(C7+J13+I15)</f>
        <v>26.808556381427838</v>
      </c>
      <c r="K17" s="17">
        <f>J17</f>
        <v>26.808556381427838</v>
      </c>
    </row>
    <row r="18" spans="2:11" x14ac:dyDescent="0.25">
      <c r="B18" s="5" t="s">
        <v>90</v>
      </c>
      <c r="D18" s="17">
        <f>D16*(1-Assumptions!C31)</f>
        <v>30.586083151926456</v>
      </c>
      <c r="E18" s="17">
        <f>E16*(1-Assumptions!C31)</f>
        <v>30.196022077936103</v>
      </c>
      <c r="F18" s="17">
        <f>F16*(1-Assumptions!C31)</f>
        <v>29.891144024305127</v>
      </c>
      <c r="G18" s="17">
        <f>G16*(1-Assumptions!C31)</f>
        <v>29.878099644451545</v>
      </c>
      <c r="H18" s="17">
        <f>H16*(1-Assumptions!C31)</f>
        <v>29.87645301687988</v>
      </c>
      <c r="I18" s="17">
        <f>I16*(1-Assumptions!C31)</f>
        <v>29.87623201801439</v>
      </c>
      <c r="J18" s="17">
        <f>J16*(1-Assumptions!C31)</f>
        <v>29.876202279880353</v>
      </c>
      <c r="K18" s="17">
        <f>J18</f>
        <v>29.876202279880353</v>
      </c>
    </row>
    <row r="19" spans="2:11" x14ac:dyDescent="0.25">
      <c r="B19" s="5" t="s">
        <v>91</v>
      </c>
      <c r="D19" s="17">
        <f>MIN(D17,D18)</f>
        <v>27.309002814220047</v>
      </c>
      <c r="E19" s="17">
        <f>MIN(E17,E18)</f>
        <v>26.96073399815724</v>
      </c>
      <c r="F19" s="17">
        <f>MIN(F17,F18)</f>
        <v>26.821273796907608</v>
      </c>
      <c r="G19" s="17">
        <f>MIN(G17,G18)</f>
        <v>26.810204004984264</v>
      </c>
      <c r="H19" s="17">
        <f>MIN(H17,H18)</f>
        <v>26.808774389616932</v>
      </c>
      <c r="I19" s="17">
        <f>MIN(I17,I18)</f>
        <v>26.808582238768576</v>
      </c>
      <c r="J19" s="17">
        <f>MIN(J17,J18)</f>
        <v>26.808556381427838</v>
      </c>
      <c r="K19" s="17">
        <f>J19</f>
        <v>26.808556381427838</v>
      </c>
    </row>
    <row r="20" spans="2:11" x14ac:dyDescent="0.25">
      <c r="B20" s="5" t="s">
        <v>92</v>
      </c>
      <c r="D20" s="17">
        <f>Assumptions!C33/(C7+D13+D14)</f>
        <v>43.69440450275208</v>
      </c>
      <c r="E20" s="17">
        <f>Assumptions!C33/(C7+E13+E14)</f>
        <v>42.92256158910605</v>
      </c>
      <c r="F20" s="17">
        <f>Assumptions!C33/(C7+F13+F14)</f>
        <v>42.807360759832534</v>
      </c>
      <c r="G20" s="17">
        <f>Assumptions!C33/(C7+G13+G14)</f>
        <v>42.79074036678156</v>
      </c>
      <c r="H20" s="17">
        <f>Assumptions!C33/(C7+H13+H14)</f>
        <v>42.78850003882669</v>
      </c>
      <c r="I20" s="17">
        <f>Assumptions!C33/(C7+I13+I14)</f>
        <v>42.78819853868219</v>
      </c>
      <c r="J20" s="17">
        <f>Assumptions!C33/(C7+J13+J14)</f>
        <v>42.78815796435646</v>
      </c>
      <c r="K20" s="17">
        <f>J20</f>
        <v>42.78815796435646</v>
      </c>
    </row>
    <row r="21" spans="2:11" x14ac:dyDescent="0.25">
      <c r="B21" s="5" t="s">
        <v>93</v>
      </c>
      <c r="D21" s="17">
        <f>D16*(1-Assumptions!C34)</f>
        <v>32.49771334892186</v>
      </c>
      <c r="E21" s="17">
        <f>E16*(1-Assumptions!C34)</f>
        <v>32.08327345780711</v>
      </c>
      <c r="F21" s="17">
        <f>F16*(1-Assumptions!C34)</f>
        <v>31.7593405258242</v>
      </c>
      <c r="G21" s="17">
        <f>G16*(1-Assumptions!C34)</f>
        <v>31.745480872229766</v>
      </c>
      <c r="H21" s="17">
        <f>H16*(1-Assumptions!C34)</f>
        <v>31.743731330434873</v>
      </c>
      <c r="I21" s="17">
        <f>I16*(1-Assumptions!C34)</f>
        <v>31.74349651914029</v>
      </c>
      <c r="J21" s="17">
        <f>J16*(1-Assumptions!C34)</f>
        <v>31.743464922372873</v>
      </c>
      <c r="K21" s="17">
        <f>J21</f>
        <v>31.743464922372873</v>
      </c>
    </row>
    <row r="22" spans="2:11" x14ac:dyDescent="0.25">
      <c r="B22" s="5" t="s">
        <v>94</v>
      </c>
      <c r="D22" s="17">
        <f>MIN(D20,D21)</f>
        <v>32.49771334892186</v>
      </c>
      <c r="E22" s="17">
        <f>MIN(E20,E21)</f>
        <v>32.08327345780711</v>
      </c>
      <c r="F22" s="17">
        <f>MIN(F20,F21)</f>
        <v>31.7593405258242</v>
      </c>
      <c r="G22" s="17">
        <f>MIN(G20,G21)</f>
        <v>31.745480872229766</v>
      </c>
      <c r="H22" s="17">
        <f>MIN(H20,H21)</f>
        <v>31.743731330434873</v>
      </c>
      <c r="I22" s="17">
        <f>MIN(I20,I21)</f>
        <v>31.74349651914029</v>
      </c>
      <c r="J22" s="17">
        <f>MIN(J20,J21)</f>
        <v>31.743464922372873</v>
      </c>
      <c r="K22" s="17">
        <f>J22</f>
        <v>31.743464922372873</v>
      </c>
    </row>
    <row r="23" spans="2:11" x14ac:dyDescent="0.25">
      <c r="B23" s="5" t="s">
        <v>95</v>
      </c>
      <c r="D23" s="16">
        <f>C8/D16</f>
        <v>784670.5928571428</v>
      </c>
      <c r="E23" s="16">
        <f>C8/E16</f>
        <v>794806.6781132914</v>
      </c>
      <c r="F23" s="16">
        <f>C8/F16</f>
        <v>802913.3973756604</v>
      </c>
      <c r="G23" s="16">
        <f>C8/G16</f>
        <v>803263.9386573862</v>
      </c>
      <c r="H23" s="16">
        <f>C8/H16</f>
        <v>803308.2101961788</v>
      </c>
      <c r="I23" s="16">
        <f>C8/I16</f>
        <v>803314.1523847044</v>
      </c>
      <c r="J23" s="16">
        <f>C8/J16</f>
        <v>803314.9519864649</v>
      </c>
      <c r="K23" s="16">
        <f>J23</f>
        <v>803314.9519864649</v>
      </c>
    </row>
    <row r="24" spans="2:11" x14ac:dyDescent="0.25">
      <c r="B24" s="5" t="s">
        <v>96</v>
      </c>
      <c r="D24" s="18">
        <f>Assumptions!C20*(C7+C8/Assumptions!C20)/(C7+C8/D16)</f>
        <v>48.92910036237569</v>
      </c>
      <c r="E24" s="18">
        <f>Assumptions!C20*(C7+C8/Assumptions!C20)/(C7+C8/E16)</f>
        <v>48.91584420509146</v>
      </c>
      <c r="F24" s="18">
        <f>Assumptions!C20*(C7+C8/Assumptions!C20)/(C7+C8/F16)</f>
        <v>48.905247258257944</v>
      </c>
      <c r="G24" s="18">
        <f>Assumptions!C20*(C7+C8/Assumptions!C20)/(C7+C8/G16)</f>
        <v>48.90478914102407</v>
      </c>
      <c r="H24" s="18">
        <f>Assumptions!C20*(C7+C8/Assumptions!C20)/(C7+C8/H16)</f>
        <v>48.90473128381304</v>
      </c>
      <c r="I24" s="18">
        <f>Assumptions!C20*(C7+C8/Assumptions!C20)/(C7+C8/I16)</f>
        <v>48.9047235181468</v>
      </c>
      <c r="J24" s="18">
        <f>Assumptions!C20*(C7+C8/Assumptions!C20)/(C7+C8/J16)</f>
        <v>48.904722473171674</v>
      </c>
      <c r="K24" s="18">
        <f>J24</f>
        <v>48.904722473171674</v>
      </c>
    </row>
    <row r="25" spans="2:11" x14ac:dyDescent="0.25">
      <c r="B25" s="5" t="s">
        <v>97</v>
      </c>
      <c r="D25" s="16">
        <f>Assumptions!C48/D24</f>
        <v>6131320.579740042</v>
      </c>
      <c r="E25" s="16">
        <f>Assumptions!C48/E24</f>
        <v>6132982.163042668</v>
      </c>
      <c r="F25" s="16">
        <f>Assumptions!C48/F24</f>
        <v>6134311.077413952</v>
      </c>
      <c r="G25" s="16">
        <f>Assumptions!C48/G24</f>
        <v>6134368.540776372</v>
      </c>
      <c r="H25" s="16">
        <f>Assumptions!C48/H24</f>
        <v>6134375.798099864</v>
      </c>
      <c r="I25" s="16">
        <f>Assumptions!C48/I24</f>
        <v>6134376.772188083</v>
      </c>
      <c r="J25" s="16">
        <f>Assumptions!C48/J24</f>
        <v>6134376.903264814</v>
      </c>
      <c r="K25" s="16">
        <f>J25</f>
        <v>6134376.903264814</v>
      </c>
    </row>
    <row r="26" spans="2:11" x14ac:dyDescent="0.25">
      <c r="B26" s="5" t="s">
        <v>98</v>
      </c>
      <c r="D26" s="16">
        <f>D25-Assumptions!C46</f>
        <v>28653.579740042</v>
      </c>
      <c r="E26" s="16">
        <f>E25-Assumptions!C46</f>
        <v>30315.163042668</v>
      </c>
      <c r="F26" s="16">
        <f>F25-Assumptions!C46</f>
        <v>31644.077413952</v>
      </c>
      <c r="G26" s="16">
        <f>G25-Assumptions!C46</f>
        <v>31701.540776372</v>
      </c>
      <c r="H26" s="16">
        <f>H25-Assumptions!C46</f>
        <v>31708.798099864</v>
      </c>
      <c r="I26" s="16">
        <f>I25-Assumptions!C46</f>
        <v>31709.772188083</v>
      </c>
      <c r="J26" s="16">
        <f>J25-Assumptions!C46</f>
        <v>31709.903264814</v>
      </c>
      <c r="K26" s="16">
        <f>J26</f>
        <v>31709.903264814</v>
      </c>
    </row>
    <row r="27" spans="2:11" x14ac:dyDescent="0.25">
      <c r="B27" s="5" t="s">
        <v>99</v>
      </c>
      <c r="D27" s="18">
        <f>Assumptions!C19*(C7+C8/Assumptions!C19)/(C7+C8/D16)</f>
        <v>57.7011635791589</v>
      </c>
      <c r="E27" s="18">
        <f>Assumptions!C19*(C7+C8/Assumptions!C19)/(C7+C8/E16)</f>
        <v>57.685530843338626</v>
      </c>
      <c r="F27" s="18">
        <f>Assumptions!C19*(C7+C8/Assumptions!C19)/(C7+C8/F16)</f>
        <v>57.67303406415913</v>
      </c>
      <c r="G27" s="18">
        <f>Assumptions!C19*(C7+C8/Assumptions!C19)/(C7+C8/G16)</f>
        <v>57.672493815161</v>
      </c>
      <c r="H27" s="18">
        <f>Assumptions!C19*(C7+C8/Assumptions!C19)/(C7+C8/H16)</f>
        <v>57.6724255852452</v>
      </c>
      <c r="I27" s="18">
        <f>Assumptions!C19*(C7+C8/Assumptions!C19)/(C7+C8/I16)</f>
        <v>57.67241642734173</v>
      </c>
      <c r="J27" s="18">
        <f>Assumptions!C19*(C7+C8/Assumptions!C19)/(C7+C8/J16)</f>
        <v>57.6724151950223</v>
      </c>
      <c r="K27" s="18">
        <f>J27</f>
        <v>57.6724151950223</v>
      </c>
    </row>
    <row r="28" spans="2:11" x14ac:dyDescent="0.25">
      <c r="B28" s="5" t="s">
        <v>100</v>
      </c>
      <c r="D28" s="16">
        <f>Assumptions!C47/D27</f>
        <v>1733067.3039688757</v>
      </c>
      <c r="E28" s="16">
        <f>Assumptions!C47/E27</f>
        <v>1733536.963915237</v>
      </c>
      <c r="F28" s="16">
        <f>Assumptions!C47/F27</f>
        <v>1733912.5923001324</v>
      </c>
      <c r="G28" s="16">
        <f>Assumptions!C47/G27</f>
        <v>1733928.8347838342</v>
      </c>
      <c r="H28" s="16">
        <f>Assumptions!C47/H27</f>
        <v>1733930.8861249597</v>
      </c>
      <c r="I28" s="16">
        <f>Assumptions!C47/I27</f>
        <v>1733931.1614588655</v>
      </c>
      <c r="J28" s="16">
        <f>Assumptions!C47/J27</f>
        <v>1733931.1985087628</v>
      </c>
      <c r="K28" s="16">
        <f>J28</f>
        <v>1733931.1985087628</v>
      </c>
    </row>
    <row r="29" spans="2:11" x14ac:dyDescent="0.25">
      <c r="B29" s="5" t="s">
        <v>101</v>
      </c>
      <c r="D29" s="16">
        <f>D28-Assumptions!C45</f>
        <v>12440.3039688757</v>
      </c>
      <c r="E29" s="16">
        <f>E28-Assumptions!C45</f>
        <v>12909.963915237</v>
      </c>
      <c r="F29" s="16">
        <f>F28-Assumptions!C45</f>
        <v>13285.5923001324</v>
      </c>
      <c r="G29" s="16">
        <f>G28-Assumptions!C45</f>
        <v>13301.8347838342</v>
      </c>
      <c r="H29" s="16">
        <f>H28-Assumptions!C45</f>
        <v>13303.8861249597</v>
      </c>
      <c r="I29" s="16">
        <f>I28-Assumptions!C45</f>
        <v>13304.1614588655</v>
      </c>
      <c r="J29" s="16">
        <f>J28-Assumptions!C45</f>
        <v>13304.1985087628</v>
      </c>
      <c r="K29" s="16">
        <f>J29</f>
        <v>13304.1985087628</v>
      </c>
    </row>
    <row r="30" spans="2:11" x14ac:dyDescent="0.25">
      <c r="B30" s="5" t="s">
        <v>102</v>
      </c>
      <c r="D30" s="16">
        <f>C7+D13+D23+D14+D15+D26+D29</f>
        <v>37443725.47656606</v>
      </c>
      <c r="E30" s="16">
        <f>C7+E13+E23+E14+E15+E26+E29</f>
        <v>38207971.676597886</v>
      </c>
      <c r="F30" s="16">
        <f>C7+F13+F23+F14+F15+F26+F29</f>
        <v>38319052.969668575</v>
      </c>
      <c r="G30" s="16">
        <f>C7+G13+G23+G14+G15+G26+G29</f>
        <v>38334035.99654529</v>
      </c>
      <c r="H30" s="16">
        <f>C7+H13+H23+H14+H15+H26+H29</f>
        <v>38336052.52382723</v>
      </c>
      <c r="I30" s="16">
        <f>C7+I13+I23+I14+I15+I26+I29</f>
        <v>38336323.899850346</v>
      </c>
      <c r="J30" s="16">
        <f>C7+J13+J23+J14+J15+J26+J29</f>
        <v>38336360.42042237</v>
      </c>
      <c r="K30" s="16">
        <f>J30</f>
        <v>38336360.42042237</v>
      </c>
    </row>
    <row r="32" spans="2:11" x14ac:dyDescent="0.25">
      <c r="B32" s="3" t="s">
        <v>103</v>
      </c>
      <c r="C32" s="4" t="s">
        <v>3</v>
      </c>
      <c r="D32" s="4" t="s">
        <v>3</v>
      </c>
      <c r="E32" s="4" t="s">
        <v>3</v>
      </c>
      <c r="F32" s="4" t="s">
        <v>3</v>
      </c>
      <c r="G32" s="4" t="s">
        <v>3</v>
      </c>
      <c r="H32" s="4" t="s">
        <v>3</v>
      </c>
      <c r="I32" s="4" t="s">
        <v>3</v>
      </c>
      <c r="J32" s="4" t="s">
        <v>3</v>
      </c>
      <c r="K32" s="4" t="s">
        <v>3</v>
      </c>
    </row>
    <row r="33" spans="2:10" x14ac:dyDescent="0.25">
      <c r="B33" s="12" t="s">
        <v>104</v>
      </c>
      <c r="C33" s="12" t="s">
        <v>105</v>
      </c>
      <c r="D33" s="12" t="s">
        <v>106</v>
      </c>
      <c r="E33" s="12" t="s">
        <v>107</v>
      </c>
      <c r="F33" s="12" t="s">
        <v>108</v>
      </c>
      <c r="G33" s="12" t="s">
        <v>109</v>
      </c>
      <c r="H33" s="12" t="s">
        <v>110</v>
      </c>
      <c r="I33" s="12" t="s">
        <v>111</v>
      </c>
      <c r="J33" s="12" t="s">
        <v>112</v>
      </c>
    </row>
    <row r="34" spans="2:10" x14ac:dyDescent="0.25">
      <c r="B34" s="5" t="s">
        <v>113</v>
      </c>
      <c r="C34" s="14">
        <f>Assumptions!C15</f>
        <v>1</v>
      </c>
      <c r="D34" s="17">
        <f>K16</f>
        <v>37.34525284985044</v>
      </c>
      <c r="E34" s="16" t="str">
        <f>IF(D34&lt;C34,"Trigger","Dormant")</f>
        <v>Dormant</v>
      </c>
      <c r="F34" s="18">
        <f>IF(D34&lt;C34,C34*(C7+C8/C34)/(C7+C8/D34),C34)</f>
        <v>1</v>
      </c>
      <c r="G34" s="19">
        <f>C34/F34</f>
        <v>1</v>
      </c>
      <c r="H34" s="13">
        <f>Assumptions!C41</f>
        <v>5000000</v>
      </c>
      <c r="I34" s="16">
        <f>IF(D34&lt;C34,Assumptions!C52/F34,H34)</f>
        <v>5000000</v>
      </c>
      <c r="J34" s="16">
        <f>I34-H34</f>
        <v>0</v>
      </c>
    </row>
    <row r="35" spans="2:10" x14ac:dyDescent="0.25">
      <c r="B35" s="5" t="s">
        <v>114</v>
      </c>
      <c r="C35" s="14">
        <f>Assumptions!C16</f>
        <v>3</v>
      </c>
      <c r="D35" s="17">
        <f>K16</f>
        <v>37.34525284985044</v>
      </c>
      <c r="E35" s="16" t="str">
        <f>IF(D35&lt;C35,"Trigger","Dormant")</f>
        <v>Dormant</v>
      </c>
      <c r="F35" s="18">
        <f>IF(D35&lt;C35,C35*(C7+C8/C35)/(C7+C8/D35),C35)</f>
        <v>3</v>
      </c>
      <c r="G35" s="19">
        <f>C35/F35</f>
        <v>1</v>
      </c>
      <c r="H35" s="13">
        <f>Assumptions!C42</f>
        <v>5000000</v>
      </c>
      <c r="I35" s="16">
        <f>IF(D35&lt;C35,Assumptions!C51/F35,H35)</f>
        <v>5000000</v>
      </c>
      <c r="J35" s="16">
        <f>I35-H35</f>
        <v>0</v>
      </c>
    </row>
    <row r="36" spans="2:10" x14ac:dyDescent="0.25">
      <c r="B36" s="5" t="s">
        <v>115</v>
      </c>
      <c r="C36" s="14">
        <f>Assumptions!C17</f>
        <v>10</v>
      </c>
      <c r="D36" s="17">
        <f>K16</f>
        <v>37.34525284985044</v>
      </c>
      <c r="E36" s="16" t="str">
        <f>IF(D36&lt;C36,"Trigger","Dormant")</f>
        <v>Dormant</v>
      </c>
      <c r="F36" s="18">
        <f>IF(D36&lt;C36,C36*(C7+C8/C36)/(C7+C8/D36),C36)</f>
        <v>10</v>
      </c>
      <c r="G36" s="19">
        <f>C36/F36</f>
        <v>1</v>
      </c>
      <c r="H36" s="13">
        <f>Assumptions!C43</f>
        <v>3000000</v>
      </c>
      <c r="I36" s="16">
        <f>IF(D36&lt;C36,Assumptions!C50/F36,H36)</f>
        <v>3000000</v>
      </c>
      <c r="J36" s="16">
        <f>I36-H36</f>
        <v>0</v>
      </c>
    </row>
    <row r="37" spans="2:10" x14ac:dyDescent="0.25">
      <c r="B37" s="5" t="s">
        <v>116</v>
      </c>
      <c r="C37" s="14">
        <f>Assumptions!C18</f>
        <v>25</v>
      </c>
      <c r="D37" s="17">
        <f>K16</f>
        <v>37.34525284985044</v>
      </c>
      <c r="E37" s="16" t="str">
        <f>IF(D37&lt;C37,"Trigger","Dormant")</f>
        <v>Dormant</v>
      </c>
      <c r="F37" s="18">
        <f>IF(D37&lt;C37,C37*(C7+C8/C37)/(C7+C8/D37),C37)</f>
        <v>25</v>
      </c>
      <c r="G37" s="19">
        <f>C37/F37</f>
        <v>1</v>
      </c>
      <c r="H37" s="13">
        <f>Assumptions!C44</f>
        <v>2400000</v>
      </c>
      <c r="I37" s="16">
        <f>IF(D37&lt;C37,Assumptions!C49/F37,H37)</f>
        <v>2400000</v>
      </c>
      <c r="J37" s="16">
        <f>I37-H37</f>
        <v>0</v>
      </c>
    </row>
    <row r="38" spans="2:10" x14ac:dyDescent="0.25">
      <c r="B38" s="5" t="s">
        <v>117</v>
      </c>
      <c r="C38" s="14">
        <f>Assumptions!C19</f>
        <v>58.118347</v>
      </c>
      <c r="D38" s="17">
        <f>K16</f>
        <v>37.34525284985044</v>
      </c>
      <c r="E38" s="16" t="str">
        <f>IF(D38&lt;C38,"Trigger","Dormant")</f>
        <v>Trigger</v>
      </c>
      <c r="F38" s="18">
        <f>IF(D38&lt;C38,C38*(C7+C8/C38)/(C7+C8/D38),C38)</f>
        <v>57.6724151950223</v>
      </c>
      <c r="G38" s="19">
        <f>60/F38</f>
        <v>1.040358719105258</v>
      </c>
      <c r="H38" s="13">
        <f>Assumptions!C45</f>
        <v>1720627</v>
      </c>
      <c r="I38" s="16">
        <f>IF(D38&lt;C38,Assumptions!C47/F38,H38)</f>
        <v>1733931.1985087628</v>
      </c>
      <c r="J38" s="16">
        <f>I38-H38</f>
        <v>13304.1985087628</v>
      </c>
    </row>
    <row r="39" spans="2:10" x14ac:dyDescent="0.25">
      <c r="B39" s="5" t="s">
        <v>118</v>
      </c>
      <c r="C39" s="14">
        <f>Assumptions!C20</f>
        <v>49.158311</v>
      </c>
      <c r="D39" s="17">
        <f>K16</f>
        <v>37.34525284985044</v>
      </c>
      <c r="E39" s="16" t="str">
        <f>IF(D39&lt;C39,"Trigger","Dormant")</f>
        <v>Trigger</v>
      </c>
      <c r="F39" s="18">
        <f>IF(D39&lt;C39,C39*(C7+C8/C39)/(C7+C8/D39),C39)</f>
        <v>48.904722473171674</v>
      </c>
      <c r="G39" s="19">
        <f>C39/F39</f>
        <v>1.0051853586730288</v>
      </c>
      <c r="H39" s="13">
        <f>Assumptions!C46</f>
        <v>6102667</v>
      </c>
      <c r="I39" s="16">
        <f>IF(D39&lt;C39,Assumptions!C48/F39,H39)</f>
        <v>6134376.903264814</v>
      </c>
      <c r="J39" s="16">
        <f>I39-H39</f>
        <v>31709.903264814</v>
      </c>
    </row>
    <row r="41" spans="2:11" x14ac:dyDescent="0.25">
      <c r="B41" s="3" t="s">
        <v>119</v>
      </c>
      <c r="C41" s="4" t="s">
        <v>3</v>
      </c>
      <c r="D41" s="4" t="s">
        <v>3</v>
      </c>
      <c r="E41" s="4" t="s">
        <v>3</v>
      </c>
      <c r="F41" s="4" t="s">
        <v>3</v>
      </c>
      <c r="G41" s="4" t="s">
        <v>3</v>
      </c>
      <c r="H41" s="4" t="s">
        <v>3</v>
      </c>
      <c r="I41" s="4" t="s">
        <v>3</v>
      </c>
      <c r="J41" s="4" t="s">
        <v>3</v>
      </c>
      <c r="K41" s="4" t="s">
        <v>3</v>
      </c>
    </row>
    <row r="42" spans="2:10" x14ac:dyDescent="0.25">
      <c r="B42" s="12" t="s">
        <v>120</v>
      </c>
      <c r="C42" s="12" t="s">
        <v>121</v>
      </c>
      <c r="D42" s="12" t="s">
        <v>122</v>
      </c>
      <c r="E42" s="12" t="s">
        <v>123</v>
      </c>
      <c r="F42" s="12" t="s">
        <v>124</v>
      </c>
      <c r="G42" s="12" t="s">
        <v>125</v>
      </c>
      <c r="H42" s="12" t="s">
        <v>126</v>
      </c>
      <c r="I42" s="12" t="s">
        <v>127</v>
      </c>
      <c r="J42" s="12" t="s">
        <v>128</v>
      </c>
    </row>
    <row r="43" spans="2:10" x14ac:dyDescent="0.25">
      <c r="B43" s="5" t="s">
        <v>129</v>
      </c>
      <c r="C43" s="14">
        <f>Assumptions!C29</f>
        <v>5000000</v>
      </c>
      <c r="D43" s="14">
        <f>Assumptions!C30</f>
        <v>1000000000</v>
      </c>
      <c r="E43" s="15">
        <f>Assumptions!C31</f>
        <v>0.2</v>
      </c>
      <c r="F43" s="17">
        <f>K17</f>
        <v>26.808556381427838</v>
      </c>
      <c r="G43" s="17">
        <f>K18</f>
        <v>29.876202279880353</v>
      </c>
      <c r="H43" s="16" t="str">
        <f>IF(F43&lt;G43,"cap","discount")</f>
        <v>cap</v>
      </c>
      <c r="I43" s="17">
        <f>K19</f>
        <v>26.808556381427838</v>
      </c>
      <c r="J43" s="16">
        <f>K14</f>
        <v>186507.61827159964</v>
      </c>
    </row>
    <row r="44" spans="2:10" x14ac:dyDescent="0.25">
      <c r="B44" s="5" t="s">
        <v>130</v>
      </c>
      <c r="C44" s="14">
        <f>Assumptions!C32</f>
        <v>3000000</v>
      </c>
      <c r="D44" s="14">
        <f>Assumptions!C33</f>
        <v>1600000000</v>
      </c>
      <c r="E44" s="15">
        <f>Assumptions!C34</f>
        <v>0.15</v>
      </c>
      <c r="F44" s="17">
        <f>K20</f>
        <v>42.78815796435646</v>
      </c>
      <c r="G44" s="17">
        <f>K21</f>
        <v>31.743464922372873</v>
      </c>
      <c r="H44" s="16" t="str">
        <f>IF(F44&lt;G44,"cap","discount")</f>
        <v>discount</v>
      </c>
      <c r="I44" s="17">
        <f>K22</f>
        <v>31.743464922372873</v>
      </c>
      <c r="J44" s="16">
        <f>K15</f>
        <v>94507.64141017235</v>
      </c>
    </row>
    <row r="46" spans="2:11" x14ac:dyDescent="0.25">
      <c r="B46" s="3" t="s">
        <v>131</v>
      </c>
      <c r="C46" s="4" t="s">
        <v>3</v>
      </c>
      <c r="D46" s="4" t="s">
        <v>3</v>
      </c>
      <c r="E46" s="4" t="s">
        <v>3</v>
      </c>
      <c r="F46" s="4" t="s">
        <v>3</v>
      </c>
      <c r="G46" s="4" t="s">
        <v>3</v>
      </c>
      <c r="H46" s="4" t="s">
        <v>3</v>
      </c>
      <c r="I46" s="4" t="s">
        <v>3</v>
      </c>
      <c r="J46" s="4" t="s">
        <v>3</v>
      </c>
      <c r="K46" s="4" t="s">
        <v>3</v>
      </c>
    </row>
    <row r="47" spans="2:3" x14ac:dyDescent="0.25">
      <c r="B47" s="5" t="s">
        <v>132</v>
      </c>
      <c r="C47" s="17">
        <f>Assumptions!C9*K16</f>
        <v>31.743464922372873</v>
      </c>
    </row>
    <row r="48" spans="2:3" x14ac:dyDescent="0.25">
      <c r="B48" s="5" t="s">
        <v>133</v>
      </c>
      <c r="C48" s="16">
        <f>Assumptions!C8/C47</f>
        <v>472538.20705086173</v>
      </c>
    </row>
    <row r="49" spans="2:3" x14ac:dyDescent="0.25">
      <c r="B49" s="5" t="s">
        <v>134</v>
      </c>
      <c r="C49" s="16">
        <f>C48*Assumptions!C55</f>
        <v>236269.10352543087</v>
      </c>
    </row>
    <row r="50" spans="2:3" x14ac:dyDescent="0.25">
      <c r="B50" s="5" t="s">
        <v>135</v>
      </c>
      <c r="C50" s="16">
        <f>C48*Assumptions!C56</f>
        <v>147668.18970339428</v>
      </c>
    </row>
    <row r="51" spans="2:3" x14ac:dyDescent="0.25">
      <c r="B51" s="5" t="s">
        <v>136</v>
      </c>
      <c r="C51" s="16">
        <f>C48*Assumptions!C57</f>
        <v>88600.91382203657</v>
      </c>
    </row>
    <row r="52" spans="2:3" x14ac:dyDescent="0.25">
      <c r="B52" s="5" t="s">
        <v>137</v>
      </c>
      <c r="C52" s="16">
        <f>C48</f>
        <v>472538.20705086173</v>
      </c>
    </row>
    <row r="54" spans="2:11" x14ac:dyDescent="0.25">
      <c r="B54" s="3" t="s">
        <v>138</v>
      </c>
      <c r="C54" s="4" t="s">
        <v>3</v>
      </c>
      <c r="D54" s="4" t="s">
        <v>3</v>
      </c>
      <c r="E54" s="4" t="s">
        <v>3</v>
      </c>
      <c r="F54" s="4" t="s">
        <v>3</v>
      </c>
      <c r="G54" s="4" t="s">
        <v>3</v>
      </c>
      <c r="H54" s="4" t="s">
        <v>3</v>
      </c>
      <c r="I54" s="4" t="s">
        <v>3</v>
      </c>
      <c r="J54" s="4" t="s">
        <v>3</v>
      </c>
      <c r="K54" s="4" t="s">
        <v>3</v>
      </c>
    </row>
    <row r="55" spans="2:9" x14ac:dyDescent="0.25">
      <c r="B55" s="12" t="s">
        <v>139</v>
      </c>
      <c r="C55" s="12" t="s">
        <v>104</v>
      </c>
      <c r="D55" s="12" t="s">
        <v>140</v>
      </c>
      <c r="E55" s="12" t="s">
        <v>141</v>
      </c>
      <c r="F55" s="12" t="s">
        <v>142</v>
      </c>
      <c r="G55" s="12" t="s">
        <v>143</v>
      </c>
      <c r="H55" s="12" t="s">
        <v>144</v>
      </c>
      <c r="I55" s="12" t="s">
        <v>145</v>
      </c>
    </row>
    <row r="56" spans="2:9" x14ac:dyDescent="0.25">
      <c r="B56" s="5" t="s">
        <v>146</v>
      </c>
      <c r="C56" s="5" t="s">
        <v>147</v>
      </c>
      <c r="D56" s="16">
        <f>Assumptions!C37-C49</f>
        <v>3763730.896474569</v>
      </c>
      <c r="H56" s="16">
        <f>SUM(D56:G56)</f>
        <v>3763730.896474569</v>
      </c>
      <c r="I56" s="10">
        <f>H56/K30</f>
        <v>0.09817653150165949</v>
      </c>
    </row>
    <row r="57" spans="2:9" x14ac:dyDescent="0.25">
      <c r="B57" s="5" t="s">
        <v>148</v>
      </c>
      <c r="C57" s="5" t="s">
        <v>147</v>
      </c>
      <c r="D57" s="16">
        <f>Assumptions!C38-C50</f>
        <v>2352331.810296606</v>
      </c>
      <c r="H57" s="16">
        <f>SUM(D57:G57)</f>
        <v>2352331.810296606</v>
      </c>
      <c r="I57" s="10">
        <f>H57/K30</f>
        <v>0.061360332188537196</v>
      </c>
    </row>
    <row r="58" spans="2:9" x14ac:dyDescent="0.25">
      <c r="B58" s="5" t="s">
        <v>149</v>
      </c>
      <c r="C58" s="5" t="s">
        <v>147</v>
      </c>
      <c r="D58" s="16">
        <f>Assumptions!C39-C51</f>
        <v>1411399.0861779635</v>
      </c>
      <c r="H58" s="16">
        <f>SUM(D58:G58)</f>
        <v>1411399.0861779635</v>
      </c>
      <c r="I58" s="10">
        <f>H58/K30</f>
        <v>0.036816199313122314</v>
      </c>
    </row>
    <row r="59" spans="2:9" x14ac:dyDescent="0.25">
      <c r="B59" s="5" t="s">
        <v>150</v>
      </c>
      <c r="C59" s="5" t="s">
        <v>151</v>
      </c>
      <c r="D59" s="16">
        <f>Assumptions!C40</f>
        <v>1000000</v>
      </c>
      <c r="H59" s="16">
        <f>SUM(D59:G59)</f>
        <v>1000000</v>
      </c>
      <c r="I59" s="10">
        <f>H59/K30</f>
        <v>0.02608489666294155</v>
      </c>
    </row>
    <row r="60" spans="2:9" x14ac:dyDescent="0.25">
      <c r="B60" s="5" t="s">
        <v>152</v>
      </c>
      <c r="C60" s="5" t="s">
        <v>113</v>
      </c>
      <c r="E60" s="16">
        <f>Assumptions!C41</f>
        <v>5000000</v>
      </c>
      <c r="H60" s="16">
        <f>SUM(D60:G60)</f>
        <v>5000000</v>
      </c>
      <c r="I60" s="10">
        <f>H60/K30</f>
        <v>0.13042448331470774</v>
      </c>
    </row>
    <row r="61" spans="2:9" x14ac:dyDescent="0.25">
      <c r="B61" s="5" t="s">
        <v>153</v>
      </c>
      <c r="C61" s="5" t="s">
        <v>114</v>
      </c>
      <c r="E61" s="16">
        <f>Assumptions!C42</f>
        <v>5000000</v>
      </c>
      <c r="H61" s="16">
        <f>SUM(D61:G61)</f>
        <v>5000000</v>
      </c>
      <c r="I61" s="10">
        <f>H61/K30</f>
        <v>0.13042448331470774</v>
      </c>
    </row>
    <row r="62" spans="2:9" x14ac:dyDescent="0.25">
      <c r="B62" s="5" t="s">
        <v>154</v>
      </c>
      <c r="C62" s="5" t="s">
        <v>115</v>
      </c>
      <c r="E62" s="16">
        <f>Assumptions!C43</f>
        <v>3000000</v>
      </c>
      <c r="H62" s="16">
        <f>SUM(D62:G62)</f>
        <v>3000000</v>
      </c>
      <c r="I62" s="10">
        <f>H62/K30</f>
        <v>0.07825468998882465</v>
      </c>
    </row>
    <row r="63" spans="2:9" x14ac:dyDescent="0.25">
      <c r="B63" s="5" t="s">
        <v>155</v>
      </c>
      <c r="C63" s="5" t="s">
        <v>116</v>
      </c>
      <c r="E63" s="16">
        <f>Assumptions!C44</f>
        <v>2400000</v>
      </c>
      <c r="H63" s="16">
        <f>SUM(D63:G63)</f>
        <v>2400000</v>
      </c>
      <c r="I63" s="10">
        <f>H63/K30</f>
        <v>0.06260375199105972</v>
      </c>
    </row>
    <row r="64" spans="2:9" x14ac:dyDescent="0.25">
      <c r="B64" s="5" t="s">
        <v>156</v>
      </c>
      <c r="C64" s="5" t="s">
        <v>117</v>
      </c>
      <c r="E64" s="16">
        <f>I38</f>
        <v>1733931.1985087628</v>
      </c>
      <c r="H64" s="16">
        <f>SUM(D64:G64)</f>
        <v>1733931.1985087628</v>
      </c>
      <c r="I64" s="10">
        <f>H64/K30</f>
        <v>0.04522941613375147</v>
      </c>
    </row>
    <row r="65" spans="2:9" x14ac:dyDescent="0.25">
      <c r="B65" s="5" t="s">
        <v>157</v>
      </c>
      <c r="C65" s="5" t="s">
        <v>118</v>
      </c>
      <c r="E65" s="16">
        <f>I39</f>
        <v>6134376.903264814</v>
      </c>
      <c r="H65" s="16">
        <f>SUM(D65:G65)</f>
        <v>6134376.903264814</v>
      </c>
      <c r="I65" s="10">
        <f>H65/K30</f>
        <v>0.16001458761319806</v>
      </c>
    </row>
    <row r="66" spans="2:9" x14ac:dyDescent="0.25">
      <c r="B66" s="5" t="s">
        <v>158</v>
      </c>
      <c r="C66" s="5" t="s">
        <v>159</v>
      </c>
      <c r="F66" s="16">
        <f>K14</f>
        <v>186507.61827159964</v>
      </c>
      <c r="H66" s="16">
        <f>SUM(D66:G66)</f>
        <v>186507.61827159964</v>
      </c>
      <c r="I66" s="10">
        <f>H66/K30</f>
        <v>0.004865031949466026</v>
      </c>
    </row>
    <row r="67" spans="2:9" x14ac:dyDescent="0.25">
      <c r="B67" s="5" t="s">
        <v>160</v>
      </c>
      <c r="C67" s="5" t="s">
        <v>159</v>
      </c>
      <c r="F67" s="16">
        <f>K15</f>
        <v>94507.64141017235</v>
      </c>
      <c r="H67" s="16">
        <f>SUM(D67:G67)</f>
        <v>94507.64141017235</v>
      </c>
      <c r="I67" s="10">
        <f>H67/K30</f>
        <v>0.0024652220600426813</v>
      </c>
    </row>
    <row r="68" spans="2:9" x14ac:dyDescent="0.25">
      <c r="B68" s="5" t="s">
        <v>161</v>
      </c>
      <c r="C68" s="5" t="s">
        <v>162</v>
      </c>
      <c r="E68" s="16">
        <f>Assumptions!C12/K16</f>
        <v>535543.30132431</v>
      </c>
      <c r="H68" s="16">
        <f>SUM(D68:G68)</f>
        <v>535543.30132431</v>
      </c>
      <c r="I68" s="10">
        <f>H68/K30</f>
        <v>0.013969591673575196</v>
      </c>
    </row>
    <row r="69" spans="2:9" x14ac:dyDescent="0.25">
      <c r="B69" s="5" t="s">
        <v>163</v>
      </c>
      <c r="C69" s="5" t="s">
        <v>164</v>
      </c>
      <c r="D69" s="16">
        <f>C52</f>
        <v>472538.20705086173</v>
      </c>
      <c r="H69" s="16">
        <f>SUM(D69:G69)</f>
        <v>472538.20705086173</v>
      </c>
      <c r="I69" s="10">
        <f>H69/K30</f>
        <v>0.012326110300213406</v>
      </c>
    </row>
    <row r="70" spans="2:9" x14ac:dyDescent="0.25">
      <c r="B70" s="5" t="s">
        <v>165</v>
      </c>
      <c r="C70" s="5" t="s">
        <v>162</v>
      </c>
      <c r="E70" s="16">
        <f>Assumptions!C11/K16</f>
        <v>267771.650662155</v>
      </c>
      <c r="H70" s="16">
        <f>SUM(D70:G70)</f>
        <v>267771.650662155</v>
      </c>
      <c r="I70" s="10">
        <f>H70/K30</f>
        <v>0.006984795836787598</v>
      </c>
    </row>
    <row r="71" spans="2:9" x14ac:dyDescent="0.25">
      <c r="B71" s="5" t="s">
        <v>166</v>
      </c>
      <c r="C71" s="5" t="s">
        <v>143</v>
      </c>
      <c r="G71" s="16">
        <f>Assumptions!C24</f>
        <v>2500000</v>
      </c>
      <c r="H71" s="16">
        <f>SUM(D71:G71)</f>
        <v>2500000</v>
      </c>
      <c r="I71" s="10">
        <f>H71/K30</f>
        <v>0.06521224165735387</v>
      </c>
    </row>
    <row r="72" spans="2:9" x14ac:dyDescent="0.25">
      <c r="B72" s="5" t="s">
        <v>167</v>
      </c>
      <c r="C72" s="5" t="s">
        <v>143</v>
      </c>
      <c r="G72" s="16">
        <f>Assumptions!C25+K13</f>
        <v>2483722.1069805445</v>
      </c>
      <c r="H72" s="16">
        <f>SUM(D72:G72)</f>
        <v>2483722.1069805445</v>
      </c>
      <c r="I72" s="10">
        <f>H72/K30</f>
        <v>0.06478763450005096</v>
      </c>
    </row>
    <row r="73" spans="2:9" x14ac:dyDescent="0.25">
      <c r="B73" s="20" t="s">
        <v>168</v>
      </c>
      <c r="D73" s="21">
        <f>SUM(D56:D72)</f>
        <v>9000000</v>
      </c>
      <c r="E73" s="21">
        <f>SUM(E56:E72)</f>
        <v>24071623.05376004</v>
      </c>
      <c r="F73" s="21">
        <f>SUM(F56:F72)</f>
        <v>281015.259681772</v>
      </c>
      <c r="G73" s="21">
        <f>SUM(G56:G72)</f>
        <v>4983722.1069805445</v>
      </c>
      <c r="H73" s="21">
        <f>SUM(H56:H72)</f>
        <v>38336360.42042235</v>
      </c>
      <c r="I73" s="22">
        <f>SUM(I56:I72)</f>
        <v>0.9999999999999999</v>
      </c>
    </row>
    <row r="74" spans="2:8" x14ac:dyDescent="0.25">
      <c r="B74" s="23" t="s">
        <v>169</v>
      </c>
      <c r="H74" s="23">
        <f>ROUND(H73-K30,2)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8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5.205" customWidth="1"/>
    <col min="3" max="5" width="13.33" customWidth="1"/>
    <col min="6" max="8" width="1.705" customWidth="1"/>
    <col min="9" max="13" width="16.455" customWidth="1"/>
  </cols>
  <sheetData>
    <row r="2" ht="18" customHeight="1" spans="2:2" x14ac:dyDescent="0.25">
      <c r="B2" s="1" t="s">
        <v>170</v>
      </c>
    </row>
    <row r="3" spans="2:2" x14ac:dyDescent="0.25">
      <c r="B3" s="2" t="s">
        <v>171</v>
      </c>
    </row>
    <row r="5" spans="2:13" x14ac:dyDescent="0.25">
      <c r="B5" s="3" t="s">
        <v>172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</row>
    <row r="6" spans="2:3" x14ac:dyDescent="0.25">
      <c r="B6" s="5" t="s">
        <v>173</v>
      </c>
      <c r="C6" s="16">
        <f>'Pro-Forma'!D56+'Pro-Forma'!D57+'Pro-Forma'!D58+'Pro-Forma'!D59</f>
        <v>8527461.792949138</v>
      </c>
    </row>
    <row r="7" spans="2:3" x14ac:dyDescent="0.25">
      <c r="B7" s="5" t="s">
        <v>174</v>
      </c>
      <c r="C7" s="16">
        <f>'Pro-Forma'!D69</f>
        <v>472538.20705086173</v>
      </c>
    </row>
    <row r="8" spans="2:3" x14ac:dyDescent="0.25">
      <c r="B8" s="5" t="s">
        <v>175</v>
      </c>
      <c r="C8" s="16">
        <f>'Pro-Forma'!K14</f>
        <v>186507.61827159964</v>
      </c>
    </row>
    <row r="9" spans="2:3" x14ac:dyDescent="0.25">
      <c r="B9" s="5" t="s">
        <v>176</v>
      </c>
      <c r="C9" s="16">
        <f>'Pro-Forma'!K15</f>
        <v>94507.64141017235</v>
      </c>
    </row>
    <row r="10" spans="2:3" x14ac:dyDescent="0.25">
      <c r="B10" s="5" t="s">
        <v>177</v>
      </c>
      <c r="C10" s="13">
        <f>Assumptions!C24</f>
        <v>2500000</v>
      </c>
    </row>
    <row r="11" spans="2:3" x14ac:dyDescent="0.25">
      <c r="B11" s="20" t="s">
        <v>178</v>
      </c>
      <c r="C11" s="21">
        <f>SUM(C6:C10)</f>
        <v>11781015.259681772</v>
      </c>
    </row>
    <row r="13" spans="2:13" x14ac:dyDescent="0.25">
      <c r="B13" s="3" t="s">
        <v>179</v>
      </c>
      <c r="C13" s="4" t="s">
        <v>3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3</v>
      </c>
      <c r="L13" s="4" t="s">
        <v>3</v>
      </c>
      <c r="M13" s="4" t="s">
        <v>3</v>
      </c>
    </row>
    <row r="14" spans="2:5" x14ac:dyDescent="0.25">
      <c r="B14" s="12" t="s">
        <v>104</v>
      </c>
      <c r="C14" s="12" t="s">
        <v>180</v>
      </c>
      <c r="D14" s="12" t="s">
        <v>181</v>
      </c>
      <c r="E14" s="12" t="s">
        <v>182</v>
      </c>
    </row>
    <row r="15" spans="2:5" x14ac:dyDescent="0.25">
      <c r="B15" s="5" t="s">
        <v>162</v>
      </c>
      <c r="C15" s="16">
        <f>'Pro-Forma'!K23</f>
        <v>803314.9519864649</v>
      </c>
      <c r="D15" s="11">
        <f>Assumptions!C7</f>
        <v>30000000</v>
      </c>
      <c r="E15" s="17">
        <f>D15/C15</f>
        <v>37.345252849850446</v>
      </c>
    </row>
    <row r="16" spans="2:5" x14ac:dyDescent="0.25">
      <c r="B16" s="5" t="s">
        <v>118</v>
      </c>
      <c r="C16" s="16">
        <f>'Pro-Forma'!I39</f>
        <v>6134376.903264814</v>
      </c>
      <c r="D16" s="11">
        <f>Assumptions!C48</f>
        <v>300000000</v>
      </c>
      <c r="E16" s="17">
        <f>D16/C16</f>
        <v>48.904722473171674</v>
      </c>
    </row>
    <row r="17" spans="2:5" x14ac:dyDescent="0.25">
      <c r="B17" s="5" t="s">
        <v>117</v>
      </c>
      <c r="C17" s="16">
        <f>'Pro-Forma'!I38</f>
        <v>1733931.1985087628</v>
      </c>
      <c r="D17" s="11">
        <f>Assumptions!C47</f>
        <v>100000000</v>
      </c>
      <c r="E17" s="17">
        <f>D17/C17</f>
        <v>57.6724151950223</v>
      </c>
    </row>
    <row r="18" spans="2:5" x14ac:dyDescent="0.25">
      <c r="B18" s="5" t="s">
        <v>116</v>
      </c>
      <c r="C18" s="16">
        <f>Assumptions!C44</f>
        <v>2400000</v>
      </c>
      <c r="D18" s="11">
        <f>Assumptions!C49</f>
        <v>60000000</v>
      </c>
      <c r="E18" s="17">
        <f>D18/C18</f>
        <v>25</v>
      </c>
    </row>
    <row r="19" spans="2:5" x14ac:dyDescent="0.25">
      <c r="B19" s="5" t="s">
        <v>115</v>
      </c>
      <c r="C19" s="16">
        <f>Assumptions!C43</f>
        <v>3000000</v>
      </c>
      <c r="D19" s="11">
        <f>Assumptions!C50</f>
        <v>30000000</v>
      </c>
      <c r="E19" s="17">
        <f>D19/C19</f>
        <v>10</v>
      </c>
    </row>
    <row r="20" spans="2:5" x14ac:dyDescent="0.25">
      <c r="B20" s="5" t="s">
        <v>114</v>
      </c>
      <c r="C20" s="16">
        <f>Assumptions!C42</f>
        <v>5000000</v>
      </c>
      <c r="D20" s="11">
        <f>Assumptions!C51</f>
        <v>15000000</v>
      </c>
      <c r="E20" s="17">
        <f>D20/C20</f>
        <v>3</v>
      </c>
    </row>
    <row r="21" spans="2:5" x14ac:dyDescent="0.25">
      <c r="B21" s="5" t="s">
        <v>113</v>
      </c>
      <c r="C21" s="16">
        <f>Assumptions!C41</f>
        <v>5000000</v>
      </c>
      <c r="D21" s="11">
        <f>Assumptions!C52</f>
        <v>5000000</v>
      </c>
      <c r="E21" s="17">
        <f>D21/C21</f>
        <v>1</v>
      </c>
    </row>
    <row r="23" spans="2:13" x14ac:dyDescent="0.25">
      <c r="B23" s="3" t="s">
        <v>183</v>
      </c>
      <c r="C23" s="4" t="s">
        <v>3</v>
      </c>
      <c r="D23" s="4" t="s">
        <v>3</v>
      </c>
      <c r="E23" s="4" t="s">
        <v>3</v>
      </c>
      <c r="F23" s="4" t="s">
        <v>3</v>
      </c>
      <c r="G23" s="4" t="s">
        <v>3</v>
      </c>
      <c r="H23" s="4" t="s">
        <v>3</v>
      </c>
      <c r="I23" s="4" t="s">
        <v>3</v>
      </c>
      <c r="J23" s="4" t="s">
        <v>3</v>
      </c>
      <c r="K23" s="4" t="s">
        <v>3</v>
      </c>
      <c r="L23" s="4" t="s">
        <v>3</v>
      </c>
      <c r="M23" s="4" t="s">
        <v>3</v>
      </c>
    </row>
    <row r="24" spans="2:13" x14ac:dyDescent="0.25">
      <c r="B24" s="12" t="s">
        <v>184</v>
      </c>
      <c r="I24" s="14">
        <f>Assumptions!C60</f>
        <v>700000000</v>
      </c>
      <c r="J24" s="14">
        <f>Assumptions!C61</f>
        <v>1200000000</v>
      </c>
      <c r="K24" s="14">
        <f>Assumptions!C62</f>
        <v>2000000000</v>
      </c>
      <c r="L24" s="14">
        <f>Assumptions!C63</f>
        <v>4000000000</v>
      </c>
      <c r="M24" s="14">
        <f>Assumptions!C64</f>
        <v>8000000000</v>
      </c>
    </row>
    <row r="25" spans="2:13" x14ac:dyDescent="0.25">
      <c r="B25" s="20" t="s">
        <v>185</v>
      </c>
      <c r="I25" s="11">
        <f>I24</f>
        <v>700000000</v>
      </c>
      <c r="J25" s="11">
        <f>J24</f>
        <v>1200000000</v>
      </c>
      <c r="K25" s="11">
        <f>K24</f>
        <v>2000000000</v>
      </c>
      <c r="L25" s="11">
        <f>L24</f>
        <v>4000000000</v>
      </c>
      <c r="M25" s="11">
        <f>M24</f>
        <v>8000000000</v>
      </c>
    </row>
    <row r="26" spans="2:13" x14ac:dyDescent="0.25">
      <c r="B26" s="5" t="s">
        <v>186</v>
      </c>
      <c r="I26" s="16">
        <f>$C$10*Assumptions!C26</f>
        <v>2500000</v>
      </c>
      <c r="J26" s="16">
        <f>$C$10*Assumptions!C26</f>
        <v>2500000</v>
      </c>
      <c r="K26" s="16">
        <f>$C$10*Assumptions!C26</f>
        <v>2500000</v>
      </c>
      <c r="L26" s="16">
        <f>$C$10*Assumptions!C26</f>
        <v>2500000</v>
      </c>
      <c r="M26" s="16">
        <f>$C$10*Assumptions!C26</f>
        <v>2500000</v>
      </c>
    </row>
    <row r="27" spans="2:13" x14ac:dyDescent="0.25">
      <c r="B27" s="5" t="s">
        <v>187</v>
      </c>
      <c r="I27" s="11">
        <f>SUM($D$15:$D$21)</f>
        <v>540000000</v>
      </c>
      <c r="J27" s="11">
        <f>SUM($D$15:$D$21)</f>
        <v>540000000</v>
      </c>
      <c r="K27" s="11">
        <f>SUM($D$15:$D$21)</f>
        <v>540000000</v>
      </c>
      <c r="L27" s="11">
        <f>SUM($D$15:$D$21)</f>
        <v>540000000</v>
      </c>
      <c r="M27" s="11">
        <f>SUM($D$15:$D$21)</f>
        <v>540000000</v>
      </c>
    </row>
    <row r="28" spans="2:13" x14ac:dyDescent="0.25">
      <c r="B28" s="5" t="s">
        <v>188</v>
      </c>
      <c r="I28" s="17">
        <f>(I25+I26-I27)/$C$11</f>
        <v>13.793378280064246</v>
      </c>
      <c r="J28" s="17">
        <f>(J25+J26-J27)/$C$11</f>
        <v>56.23454221872347</v>
      </c>
      <c r="K28" s="17">
        <f>(K25+K26-K27)/$C$11</f>
        <v>124.14040452057822</v>
      </c>
      <c r="L28" s="17">
        <f>(L25+L26-L27)/$C$11</f>
        <v>293.9050602752151</v>
      </c>
      <c r="M28" s="17">
        <f>(M25+M26-M27)/$C$11</f>
        <v>633.4343717844888</v>
      </c>
    </row>
    <row r="29" spans="2:13" x14ac:dyDescent="0.25">
      <c r="B29" s="5" t="s">
        <v>189</v>
      </c>
      <c r="I29" s="17">
        <f>(I25+I26-SUMPRODUCT(($E$15:$E$21&gt;I28)*$D$15:$D$21))/($C$11+SUMPRODUCT(($E$15:$E$21&lt;=I28)*$C$15:$C$21))</f>
        <v>8.575112753581704</v>
      </c>
      <c r="J29" s="17">
        <f>(J25+J26-SUMPRODUCT(($E$15:$E$21&gt;J28)*$D$15:$D$21))/($C$11+SUMPRODUCT(($E$15:$E$21&lt;=J28)*$C$15:$C$21))</f>
        <v>32.313651167557246</v>
      </c>
      <c r="K29" s="17">
        <f>(K25+K26-SUMPRODUCT(($E$15:$E$21&gt;K28)*$D$15:$D$21))/($C$11+SUMPRODUCT(($E$15:$E$21&lt;=K28)*$C$15:$C$21))</f>
        <v>55.853630142728605</v>
      </c>
      <c r="L29" s="17">
        <f>(L25+L26-SUMPRODUCT(($E$15:$E$21&gt;L28)*$D$15:$D$21))/($C$11+SUMPRODUCT(($E$15:$E$21&lt;=L28)*$C$15:$C$21))</f>
        <v>111.63753041012298</v>
      </c>
      <c r="M29" s="17">
        <f>(M25+M26-SUMPRODUCT(($E$15:$E$21&gt;M28)*$D$15:$D$21))/($C$11+SUMPRODUCT(($E$15:$E$21&lt;=M28)*$C$15:$C$21))</f>
        <v>223.2053309449117</v>
      </c>
    </row>
    <row r="30" spans="2:13" x14ac:dyDescent="0.25">
      <c r="B30" s="5" t="s">
        <v>190</v>
      </c>
      <c r="I30" s="17">
        <f>(I25+I26-SUMPRODUCT(($E$15:$E$21&gt;I29)*$D$15:$D$21))/($C$11+SUMPRODUCT(($E$15:$E$21&lt;=I29)*$C$15:$C$21))</f>
        <v>8.37885644099523</v>
      </c>
      <c r="J30" s="17">
        <f>(J25+J26-SUMPRODUCT(($E$15:$E$21&gt;J29)*$D$15:$D$21))/($C$11+SUMPRODUCT(($E$15:$E$21&lt;=J29)*$C$15:$C$21))</f>
        <v>28.42057195508319</v>
      </c>
      <c r="K30" s="17">
        <f>(K25+K26-SUMPRODUCT(($E$15:$E$21&gt;K29)*$D$15:$D$21))/($C$11+SUMPRODUCT(($E$15:$E$21&lt;=K29)*$C$15:$C$21))</f>
        <v>55.76119850002509</v>
      </c>
      <c r="L30" s="17">
        <f>(L25+L26-SUMPRODUCT(($E$15:$E$21&gt;L29)*$D$15:$D$21))/($C$11+SUMPRODUCT(($E$15:$E$21&lt;=L29)*$C$15:$C$21))</f>
        <v>111.63753041012298</v>
      </c>
      <c r="M30" s="17">
        <f>(M25+M26-SUMPRODUCT(($E$15:$E$21&gt;M29)*$D$15:$D$21))/($C$11+SUMPRODUCT(($E$15:$E$21&lt;=M29)*$C$15:$C$21))</f>
        <v>223.2053309449117</v>
      </c>
    </row>
    <row r="31" spans="2:13" x14ac:dyDescent="0.25">
      <c r="B31" s="5" t="s">
        <v>191</v>
      </c>
      <c r="I31" s="17">
        <f>(I25+I26-SUMPRODUCT(($E$15:$E$21&gt;I30)*$D$15:$D$21))/($C$11+SUMPRODUCT(($E$15:$E$21&lt;=I30)*$C$15:$C$21))</f>
        <v>8.37885644099523</v>
      </c>
      <c r="J31" s="17">
        <f>(J25+J26-SUMPRODUCT(($E$15:$E$21&gt;J30)*$D$15:$D$21))/($C$11+SUMPRODUCT(($E$15:$E$21&lt;=J30)*$C$15:$C$21))</f>
        <v>28.42057195508319</v>
      </c>
      <c r="K31" s="17">
        <f>(K25+K26-SUMPRODUCT(($E$15:$E$21&gt;K30)*$D$15:$D$21))/($C$11+SUMPRODUCT(($E$15:$E$21&lt;=K30)*$C$15:$C$21))</f>
        <v>55.76119850002509</v>
      </c>
      <c r="L31" s="17">
        <f>(L25+L26-SUMPRODUCT(($E$15:$E$21&gt;L30)*$D$15:$D$21))/($C$11+SUMPRODUCT(($E$15:$E$21&lt;=L30)*$C$15:$C$21))</f>
        <v>111.63753041012298</v>
      </c>
      <c r="M31" s="17">
        <f>(M25+M26-SUMPRODUCT(($E$15:$E$21&gt;M30)*$D$15:$D$21))/($C$11+SUMPRODUCT(($E$15:$E$21&lt;=M30)*$C$15:$C$21))</f>
        <v>223.2053309449117</v>
      </c>
    </row>
    <row r="32" spans="2:13" x14ac:dyDescent="0.25">
      <c r="B32" s="5" t="s">
        <v>192</v>
      </c>
      <c r="I32" s="17">
        <f>(I25+I26-SUMPRODUCT(($E$15:$E$21&gt;I31)*$D$15:$D$21))/($C$11+SUMPRODUCT(($E$15:$E$21&lt;=I31)*$C$15:$C$21))</f>
        <v>8.37885644099523</v>
      </c>
      <c r="J32" s="17">
        <f>(J25+J26-SUMPRODUCT(($E$15:$E$21&gt;J31)*$D$15:$D$21))/($C$11+SUMPRODUCT(($E$15:$E$21&lt;=J31)*$C$15:$C$21))</f>
        <v>28.42057195508319</v>
      </c>
      <c r="K32" s="17">
        <f>(K25+K26-SUMPRODUCT(($E$15:$E$21&gt;K31)*$D$15:$D$21))/($C$11+SUMPRODUCT(($E$15:$E$21&lt;=K31)*$C$15:$C$21))</f>
        <v>55.76119850002509</v>
      </c>
      <c r="L32" s="17">
        <f>(L25+L26-SUMPRODUCT(($E$15:$E$21&gt;L31)*$D$15:$D$21))/($C$11+SUMPRODUCT(($E$15:$E$21&lt;=L31)*$C$15:$C$21))</f>
        <v>111.63753041012298</v>
      </c>
      <c r="M32" s="17">
        <f>(M25+M26-SUMPRODUCT(($E$15:$E$21&gt;M31)*$D$15:$D$21))/($C$11+SUMPRODUCT(($E$15:$E$21&lt;=M31)*$C$15:$C$21))</f>
        <v>223.2053309449117</v>
      </c>
    </row>
    <row r="33" spans="2:13" x14ac:dyDescent="0.25">
      <c r="B33" s="20" t="s">
        <v>193</v>
      </c>
      <c r="I33" s="17">
        <f>(I25+I26-SUMPRODUCT(($E$15:$E$21&gt;I32)*$D$15:$D$21))/($C$11+SUMPRODUCT(($E$15:$E$21&lt;=I32)*$C$15:$C$21))</f>
        <v>8.37885644099523</v>
      </c>
      <c r="J33" s="17">
        <f>(J25+J26-SUMPRODUCT(($E$15:$E$21&gt;J32)*$D$15:$D$21))/($C$11+SUMPRODUCT(($E$15:$E$21&lt;=J32)*$C$15:$C$21))</f>
        <v>28.42057195508319</v>
      </c>
      <c r="K33" s="17">
        <f>(K25+K26-SUMPRODUCT(($E$15:$E$21&gt;K32)*$D$15:$D$21))/($C$11+SUMPRODUCT(($E$15:$E$21&lt;=K32)*$C$15:$C$21))</f>
        <v>55.76119850002509</v>
      </c>
      <c r="L33" s="17">
        <f>(L25+L26-SUMPRODUCT(($E$15:$E$21&gt;L32)*$D$15:$D$21))/($C$11+SUMPRODUCT(($E$15:$E$21&lt;=L32)*$C$15:$C$21))</f>
        <v>111.63753041012298</v>
      </c>
      <c r="M33" s="17">
        <f>(M25+M26-SUMPRODUCT(($E$15:$E$21&gt;M32)*$D$15:$D$21))/($C$11+SUMPRODUCT(($E$15:$E$21&lt;=M32)*$C$15:$C$21))</f>
        <v>223.2053309449117</v>
      </c>
    </row>
    <row r="35" spans="2:13" x14ac:dyDescent="0.25">
      <c r="B35" s="3" t="s">
        <v>194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  <c r="H35" s="4" t="s">
        <v>3</v>
      </c>
      <c r="I35" s="4" t="s">
        <v>3</v>
      </c>
      <c r="J35" s="4" t="s">
        <v>3</v>
      </c>
      <c r="K35" s="4" t="s">
        <v>3</v>
      </c>
      <c r="L35" s="4" t="s">
        <v>3</v>
      </c>
      <c r="M35" s="4" t="s">
        <v>3</v>
      </c>
    </row>
    <row r="36" spans="2:13" x14ac:dyDescent="0.25">
      <c r="B36" s="12" t="s">
        <v>104</v>
      </c>
      <c r="I36" s="14">
        <f>I24</f>
        <v>700000000</v>
      </c>
      <c r="J36" s="14">
        <f>J24</f>
        <v>1200000000</v>
      </c>
      <c r="K36" s="14">
        <f>K24</f>
        <v>2000000000</v>
      </c>
      <c r="L36" s="14">
        <f>L24</f>
        <v>4000000000</v>
      </c>
      <c r="M36" s="14">
        <f>M24</f>
        <v>8000000000</v>
      </c>
    </row>
    <row r="37" spans="2:13" x14ac:dyDescent="0.25">
      <c r="B37" s="5" t="s">
        <v>162</v>
      </c>
      <c r="I37" s="16" t="str">
        <f>IF($E$15&lt;=I$33,"convert","preference")</f>
        <v>preference</v>
      </c>
      <c r="J37" s="16" t="str">
        <f>IF($E$15&lt;=J$33,"convert","preference")</f>
        <v>preference</v>
      </c>
      <c r="K37" s="16" t="str">
        <f>IF($E$15&lt;=K$33,"convert","preference")</f>
        <v>convert</v>
      </c>
      <c r="L37" s="16" t="str">
        <f>IF($E$15&lt;=L$33,"convert","preference")</f>
        <v>convert</v>
      </c>
      <c r="M37" s="16" t="str">
        <f>IF($E$15&lt;=M$33,"convert","preference")</f>
        <v>convert</v>
      </c>
    </row>
    <row r="38" spans="2:13" x14ac:dyDescent="0.25">
      <c r="B38" s="5" t="s">
        <v>118</v>
      </c>
      <c r="I38" s="16" t="str">
        <f>IF($E$16&lt;=I$33,"convert","preference")</f>
        <v>preference</v>
      </c>
      <c r="J38" s="16" t="str">
        <f>IF($E$16&lt;=J$33,"convert","preference")</f>
        <v>preference</v>
      </c>
      <c r="K38" s="16" t="str">
        <f>IF($E$16&lt;=K$33,"convert","preference")</f>
        <v>convert</v>
      </c>
      <c r="L38" s="16" t="str">
        <f>IF($E$16&lt;=L$33,"convert","preference")</f>
        <v>convert</v>
      </c>
      <c r="M38" s="16" t="str">
        <f>IF($E$16&lt;=M$33,"convert","preference")</f>
        <v>convert</v>
      </c>
    </row>
    <row r="39" spans="2:13" x14ac:dyDescent="0.25">
      <c r="B39" s="5" t="s">
        <v>117</v>
      </c>
      <c r="I39" s="16" t="str">
        <f>IF($E$17&lt;=I$33,"convert","preference")</f>
        <v>preference</v>
      </c>
      <c r="J39" s="16" t="str">
        <f>IF($E$17&lt;=J$33,"convert","preference")</f>
        <v>preference</v>
      </c>
      <c r="K39" s="16" t="str">
        <f>IF($E$17&lt;=K$33,"convert","preference")</f>
        <v>preference</v>
      </c>
      <c r="L39" s="16" t="str">
        <f>IF($E$17&lt;=L$33,"convert","preference")</f>
        <v>convert</v>
      </c>
      <c r="M39" s="16" t="str">
        <f>IF($E$17&lt;=M$33,"convert","preference")</f>
        <v>convert</v>
      </c>
    </row>
    <row r="40" spans="2:13" x14ac:dyDescent="0.25">
      <c r="B40" s="5" t="s">
        <v>116</v>
      </c>
      <c r="I40" s="16" t="str">
        <f>IF($E$18&lt;=I$33,"convert","preference")</f>
        <v>preference</v>
      </c>
      <c r="J40" s="16" t="str">
        <f>IF($E$18&lt;=J$33,"convert","preference")</f>
        <v>convert</v>
      </c>
      <c r="K40" s="16" t="str">
        <f>IF($E$18&lt;=K$33,"convert","preference")</f>
        <v>convert</v>
      </c>
      <c r="L40" s="16" t="str">
        <f>IF($E$18&lt;=L$33,"convert","preference")</f>
        <v>convert</v>
      </c>
      <c r="M40" s="16" t="str">
        <f>IF($E$18&lt;=M$33,"convert","preference")</f>
        <v>convert</v>
      </c>
    </row>
    <row r="41" spans="2:13" x14ac:dyDescent="0.25">
      <c r="B41" s="5" t="s">
        <v>115</v>
      </c>
      <c r="I41" s="16" t="str">
        <f>IF($E$19&lt;=I$33,"convert","preference")</f>
        <v>preference</v>
      </c>
      <c r="J41" s="16" t="str">
        <f>IF($E$19&lt;=J$33,"convert","preference")</f>
        <v>convert</v>
      </c>
      <c r="K41" s="16" t="str">
        <f>IF($E$19&lt;=K$33,"convert","preference")</f>
        <v>convert</v>
      </c>
      <c r="L41" s="16" t="str">
        <f>IF($E$19&lt;=L$33,"convert","preference")</f>
        <v>convert</v>
      </c>
      <c r="M41" s="16" t="str">
        <f>IF($E$19&lt;=M$33,"convert","preference")</f>
        <v>convert</v>
      </c>
    </row>
    <row r="42" spans="2:13" x14ac:dyDescent="0.25">
      <c r="B42" s="5" t="s">
        <v>114</v>
      </c>
      <c r="I42" s="16" t="str">
        <f>IF($E$20&lt;=I$33,"convert","preference")</f>
        <v>convert</v>
      </c>
      <c r="J42" s="16" t="str">
        <f>IF($E$20&lt;=J$33,"convert","preference")</f>
        <v>convert</v>
      </c>
      <c r="K42" s="16" t="str">
        <f>IF($E$20&lt;=K$33,"convert","preference")</f>
        <v>convert</v>
      </c>
      <c r="L42" s="16" t="str">
        <f>IF($E$20&lt;=L$33,"convert","preference")</f>
        <v>convert</v>
      </c>
      <c r="M42" s="16" t="str">
        <f>IF($E$20&lt;=M$33,"convert","preference")</f>
        <v>convert</v>
      </c>
    </row>
    <row r="43" spans="2:13" x14ac:dyDescent="0.25">
      <c r="B43" s="5" t="s">
        <v>113</v>
      </c>
      <c r="I43" s="16" t="str">
        <f>IF($E$21&lt;=I$33,"convert","preference")</f>
        <v>convert</v>
      </c>
      <c r="J43" s="16" t="str">
        <f>IF($E$21&lt;=J$33,"convert","preference")</f>
        <v>convert</v>
      </c>
      <c r="K43" s="16" t="str">
        <f>IF($E$21&lt;=K$33,"convert","preference")</f>
        <v>convert</v>
      </c>
      <c r="L43" s="16" t="str">
        <f>IF($E$21&lt;=L$33,"convert","preference")</f>
        <v>convert</v>
      </c>
      <c r="M43" s="16" t="str">
        <f>IF($E$21&lt;=M$33,"convert","preference")</f>
        <v>convert</v>
      </c>
    </row>
    <row r="45" spans="2:13" x14ac:dyDescent="0.25">
      <c r="B45" s="3" t="s">
        <v>195</v>
      </c>
      <c r="C45" s="4" t="s">
        <v>3</v>
      </c>
      <c r="D45" s="4" t="s">
        <v>3</v>
      </c>
      <c r="E45" s="4" t="s">
        <v>3</v>
      </c>
      <c r="F45" s="4" t="s">
        <v>3</v>
      </c>
      <c r="G45" s="4" t="s">
        <v>3</v>
      </c>
      <c r="H45" s="4" t="s">
        <v>3</v>
      </c>
      <c r="I45" s="4" t="s">
        <v>3</v>
      </c>
      <c r="J45" s="4" t="s">
        <v>3</v>
      </c>
      <c r="K45" s="4" t="s">
        <v>3</v>
      </c>
      <c r="L45" s="4" t="s">
        <v>3</v>
      </c>
      <c r="M45" s="4" t="s">
        <v>3</v>
      </c>
    </row>
    <row r="46" spans="2:13" x14ac:dyDescent="0.25">
      <c r="B46" s="12" t="s">
        <v>196</v>
      </c>
      <c r="I46" s="14">
        <f>I24</f>
        <v>700000000</v>
      </c>
      <c r="J46" s="14">
        <f>J24</f>
        <v>1200000000</v>
      </c>
      <c r="K46" s="14">
        <f>K24</f>
        <v>2000000000</v>
      </c>
      <c r="L46" s="14">
        <f>L24</f>
        <v>4000000000</v>
      </c>
      <c r="M46" s="14">
        <f>M24</f>
        <v>8000000000</v>
      </c>
    </row>
    <row r="47" spans="2:13" x14ac:dyDescent="0.25">
      <c r="B47" s="5" t="s">
        <v>162</v>
      </c>
      <c r="I47" s="11">
        <f>IF(I37="convert",$C$15*I$33,$D$15)</f>
        <v>30000000</v>
      </c>
      <c r="J47" s="11">
        <f>IF(J37="convert",$C$15*J$33,$D$15)</f>
        <v>30000000</v>
      </c>
      <c r="K47" s="11">
        <f>IF(K37="convert",$C$15*K$33,$D$15)</f>
        <v>44793804.4957554</v>
      </c>
      <c r="L47" s="11">
        <f>IF(L37="convert",$C$15*L$33,$D$15)</f>
        <v>89680097.38129546</v>
      </c>
      <c r="M47" s="11">
        <f>IF(M37="convert",$C$15*M$33,$D$15)</f>
        <v>179304179.71113476</v>
      </c>
    </row>
    <row r="48" spans="2:13" x14ac:dyDescent="0.25">
      <c r="B48" s="5" t="s">
        <v>118</v>
      </c>
      <c r="I48" s="11">
        <f>IF(I38="convert",$C$16*I$33,$D$16)</f>
        <v>300000000</v>
      </c>
      <c r="J48" s="11">
        <f>IF(J38="convert",$C$16*J$33,$D$16)</f>
        <v>300000000</v>
      </c>
      <c r="K48" s="11">
        <f>IF(K38="convert",$C$16*K$33,$D$16)</f>
        <v>342060208.1769185</v>
      </c>
      <c r="L48" s="11">
        <f>IF(L38="convert",$C$16*L$33,$D$16)</f>
        <v>684826688.0853817</v>
      </c>
      <c r="M48" s="11">
        <f>IF(M38="convert",$C$16*M$33,$D$16)</f>
        <v>1369225626.8340454</v>
      </c>
    </row>
    <row r="49" spans="2:13" x14ac:dyDescent="0.25">
      <c r="B49" s="5" t="s">
        <v>117</v>
      </c>
      <c r="I49" s="11">
        <f>IF(I39="convert",$C$17*I$33,$D$17)</f>
        <v>100000000</v>
      </c>
      <c r="J49" s="11">
        <f>IF(J39="convert",$C$17*J$33,$D$17)</f>
        <v>100000000</v>
      </c>
      <c r="K49" s="11">
        <f>IF(K39="convert",$C$17*K$33,$D$17)</f>
        <v>100000000</v>
      </c>
      <c r="L49" s="11">
        <f>IF(L39="convert",$C$17*L$33,$D$17)</f>
        <v>193571796.902583</v>
      </c>
      <c r="M49" s="11">
        <f>IF(M39="convert",$C$17*M$33,$D$17)</f>
        <v>387022686.99885577</v>
      </c>
    </row>
    <row r="50" spans="2:13" x14ac:dyDescent="0.25">
      <c r="B50" s="5" t="s">
        <v>116</v>
      </c>
      <c r="I50" s="11">
        <f>IF(I40="convert",$C$18*I$33,$D$18)</f>
        <v>60000000</v>
      </c>
      <c r="J50" s="11">
        <f>IF(J40="convert",$C$18*J$33,$D$18)</f>
        <v>68209372.69219966</v>
      </c>
      <c r="K50" s="11">
        <f>IF(K40="convert",$C$18*K$33,$D$18)</f>
        <v>133826876.40006022</v>
      </c>
      <c r="L50" s="11">
        <f>IF(L40="convert",$C$18*L$33,$D$18)</f>
        <v>267930072.98429516</v>
      </c>
      <c r="M50" s="11">
        <f>IF(M40="convert",$C$18*M$33,$D$18)</f>
        <v>535692794.26778805</v>
      </c>
    </row>
    <row r="51" spans="2:13" x14ac:dyDescent="0.25">
      <c r="B51" s="5" t="s">
        <v>115</v>
      </c>
      <c r="I51" s="11">
        <f>IF(I41="convert",$C$19*I$33,$D$19)</f>
        <v>30000000</v>
      </c>
      <c r="J51" s="11">
        <f>IF(J41="convert",$C$19*J$33,$D$19)</f>
        <v>85261715.86524957</v>
      </c>
      <c r="K51" s="11">
        <f>IF(K41="convert",$C$19*K$33,$D$19)</f>
        <v>167283595.50007528</v>
      </c>
      <c r="L51" s="11">
        <f>IF(L41="convert",$C$19*L$33,$D$19)</f>
        <v>334912591.2303689</v>
      </c>
      <c r="M51" s="11">
        <f>IF(M41="convert",$C$19*M$33,$D$19)</f>
        <v>669615992.8347352</v>
      </c>
    </row>
    <row r="52" spans="2:13" x14ac:dyDescent="0.25">
      <c r="B52" s="5" t="s">
        <v>114</v>
      </c>
      <c r="I52" s="11">
        <f>IF(I42="convert",$C$20*I$33,$D$20)</f>
        <v>41894282.20497615</v>
      </c>
      <c r="J52" s="11">
        <f>IF(J42="convert",$C$20*J$33,$D$20)</f>
        <v>142102859.77541596</v>
      </c>
      <c r="K52" s="11">
        <f>IF(K42="convert",$C$20*K$33,$D$20)</f>
        <v>278805992.50012547</v>
      </c>
      <c r="L52" s="11">
        <f>IF(L42="convert",$C$20*L$33,$D$20)</f>
        <v>558187652.050615</v>
      </c>
      <c r="M52" s="11">
        <f>IF(M42="convert",$C$20*M$33,$D$20)</f>
        <v>1116026654.7245586</v>
      </c>
    </row>
    <row r="53" spans="2:13" x14ac:dyDescent="0.25">
      <c r="B53" s="5" t="s">
        <v>113</v>
      </c>
      <c r="I53" s="11">
        <f>IF(I43="convert",$C$21*I$33,$D$21)</f>
        <v>41894282.20497615</v>
      </c>
      <c r="J53" s="11">
        <f>IF(J43="convert",$C$21*J$33,$D$21)</f>
        <v>142102859.77541596</v>
      </c>
      <c r="K53" s="11">
        <f>IF(K43="convert",$C$21*K$33,$D$21)</f>
        <v>278805992.50012547</v>
      </c>
      <c r="L53" s="11">
        <f>IF(L43="convert",$C$21*L$33,$D$21)</f>
        <v>558187652.050615</v>
      </c>
      <c r="M53" s="11">
        <f>IF(M43="convert",$C$21*M$33,$D$21)</f>
        <v>1116026654.7245586</v>
      </c>
    </row>
    <row r="54" spans="2:13" x14ac:dyDescent="0.25">
      <c r="B54" s="5" t="s">
        <v>197</v>
      </c>
      <c r="I54" s="11">
        <f>($C$8+$C$9)*I$33</f>
        <v>2354586.5186025626</v>
      </c>
      <c r="J54" s="11">
        <f>($C$8+$C$9)*J$33</f>
        <v>7986614.4082621895</v>
      </c>
      <c r="K54" s="11">
        <f>($C$8+$C$9)*K$33</f>
        <v>15669747.676651387</v>
      </c>
      <c r="L54" s="11">
        <f>($C$8+$C$9)*L$33</f>
        <v>31371849.59843243</v>
      </c>
      <c r="M54" s="11">
        <f>($C$8+$C$9)*M$33</f>
        <v>62724104.03784022</v>
      </c>
    </row>
    <row r="55" spans="2:13" x14ac:dyDescent="0.25">
      <c r="B55" s="5" t="s">
        <v>198</v>
      </c>
      <c r="I55" s="11">
        <f>($C$6+$C$7)*I$33</f>
        <v>75409707.96895707</v>
      </c>
      <c r="J55" s="11">
        <f>($C$6+$C$7)*J$33</f>
        <v>255785147.59574872</v>
      </c>
      <c r="K55" s="11">
        <f>($C$6+$C$7)*K$33</f>
        <v>501850786.5002258</v>
      </c>
      <c r="L55" s="11">
        <f>($C$6+$C$7)*L$33</f>
        <v>1004737773.6911068</v>
      </c>
      <c r="M55" s="11">
        <f>($C$6+$C$7)*M$33</f>
        <v>2008847978.5042052</v>
      </c>
    </row>
    <row r="56" spans="2:13" x14ac:dyDescent="0.25">
      <c r="B56" s="5" t="s">
        <v>199</v>
      </c>
      <c r="I56" s="11">
        <f>$C$10*MAX(0,I$33-Assumptions!C26)</f>
        <v>18447141.102488074</v>
      </c>
      <c r="J56" s="11">
        <f>$C$10*MAX(0,J$33-Assumptions!C26)</f>
        <v>68551429.88770798</v>
      </c>
      <c r="K56" s="11">
        <f>$C$10*MAX(0,K$33-Assumptions!C26)</f>
        <v>136902996.25006273</v>
      </c>
      <c r="L56" s="11">
        <f>$C$10*MAX(0,L$33-Assumptions!C26)</f>
        <v>276593826.0253075</v>
      </c>
      <c r="M56" s="11">
        <f>$C$10*MAX(0,M$33-Assumptions!C26)</f>
        <v>555513327.3622793</v>
      </c>
    </row>
    <row r="57" spans="2:13" x14ac:dyDescent="0.25">
      <c r="B57" s="20" t="s">
        <v>200</v>
      </c>
      <c r="I57" s="24">
        <f>SUM(I47:I56)</f>
        <v>700000000.0000001</v>
      </c>
      <c r="J57" s="24">
        <f>SUM(J47:J56)</f>
        <v>1199999999.9999998</v>
      </c>
      <c r="K57" s="24">
        <f>SUM(K47:K56)</f>
        <v>2000000000.0000002</v>
      </c>
      <c r="L57" s="24">
        <f>SUM(L47:L56)</f>
        <v>4000000000.0000014</v>
      </c>
      <c r="M57" s="24">
        <f>SUM(M47:M56)</f>
        <v>8000000000</v>
      </c>
    </row>
    <row r="58" spans="2:13" x14ac:dyDescent="0.25">
      <c r="B58" s="23" t="s">
        <v>169</v>
      </c>
      <c r="I58" s="23">
        <f>ROUND(I57-I25,2)</f>
        <v>0</v>
      </c>
      <c r="J58" s="23">
        <f>ROUND(J57-J25,2)</f>
        <v>0</v>
      </c>
      <c r="K58" s="23">
        <f>ROUND(K57-K25,2)</f>
        <v>0</v>
      </c>
      <c r="L58" s="23">
        <f>ROUND(L57-L25,2)</f>
        <v>0</v>
      </c>
      <c r="M58" s="23">
        <f>ROUND(M57-M25,2)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76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0.205" customWidth="1"/>
    <col min="3" max="3" width="15.205" customWidth="1"/>
    <col min="4" max="12" width="13.955" customWidth="1"/>
  </cols>
  <sheetData>
    <row r="2" ht="18" customHeight="1" spans="2:2" x14ac:dyDescent="0.25">
      <c r="B2" s="1" t="s">
        <v>201</v>
      </c>
    </row>
    <row r="3" spans="2:2" x14ac:dyDescent="0.25">
      <c r="B3" s="2" t="s">
        <v>202</v>
      </c>
    </row>
    <row r="5" spans="2:12" x14ac:dyDescent="0.25">
      <c r="B5" s="3" t="s">
        <v>203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</row>
    <row r="6" spans="2:5" x14ac:dyDescent="0.25">
      <c r="B6" s="25" t="s">
        <v>204</v>
      </c>
      <c r="C6" s="26">
        <f>Assumptions!C70</f>
        <v>1200000000</v>
      </c>
      <c r="D6" s="26">
        <f>Assumptions!C71</f>
        <v>1400000000</v>
      </c>
      <c r="E6" s="26">
        <f>Assumptions!C72</f>
        <v>1800000000</v>
      </c>
    </row>
    <row r="7" spans="2:5" x14ac:dyDescent="0.25">
      <c r="B7" s="27">
        <f>Assumptions!C67</f>
        <v>0.11</v>
      </c>
      <c r="C7" s="28">
        <f>D68</f>
        <v>0.008115028673169388</v>
      </c>
      <c r="D7" s="28">
        <f>E68</f>
        <v>0.006985157848970985</v>
      </c>
      <c r="E7" s="28">
        <f>F68</f>
        <v>0.005463703984873263</v>
      </c>
    </row>
    <row r="8" spans="2:5" x14ac:dyDescent="0.25">
      <c r="B8" s="27">
        <f>Assumptions!C68</f>
        <v>0.13</v>
      </c>
      <c r="C8" s="28">
        <f>G68</f>
        <v>0.008114562460266128</v>
      </c>
      <c r="D8" s="29">
        <f>H68</f>
        <v>0.006984775781064616</v>
      </c>
      <c r="E8" s="28">
        <f>I68</f>
        <v>0.005463422766651871</v>
      </c>
    </row>
    <row r="9" spans="2:5" x14ac:dyDescent="0.25">
      <c r="B9" s="27">
        <f>Assumptions!C69</f>
        <v>0.15</v>
      </c>
      <c r="C9" s="28">
        <f>J68</f>
        <v>0.008113901363468156</v>
      </c>
      <c r="D9" s="28">
        <f>K68</f>
        <v>0.006984210580121888</v>
      </c>
      <c r="E9" s="28">
        <f>L68</f>
        <v>0.005462982968972401</v>
      </c>
    </row>
    <row r="11" spans="2:12" x14ac:dyDescent="0.25">
      <c r="B11" s="3" t="s">
        <v>205</v>
      </c>
      <c r="C11" s="4" t="s">
        <v>3</v>
      </c>
      <c r="D11" s="4" t="s">
        <v>3</v>
      </c>
      <c r="E11" s="4" t="s">
        <v>3</v>
      </c>
      <c r="F11" s="4" t="s">
        <v>3</v>
      </c>
      <c r="G11" s="4" t="s">
        <v>3</v>
      </c>
      <c r="H11" s="4" t="s">
        <v>3</v>
      </c>
      <c r="I11" s="4" t="s">
        <v>3</v>
      </c>
      <c r="J11" s="4" t="s">
        <v>3</v>
      </c>
      <c r="K11" s="4" t="s">
        <v>3</v>
      </c>
      <c r="L11" s="4" t="s">
        <v>3</v>
      </c>
    </row>
    <row r="12" spans="2:5" x14ac:dyDescent="0.25">
      <c r="B12" s="25" t="s">
        <v>204</v>
      </c>
      <c r="C12" s="26">
        <f>Assumptions!C70</f>
        <v>1200000000</v>
      </c>
      <c r="D12" s="26">
        <f>Assumptions!C71</f>
        <v>1400000000</v>
      </c>
      <c r="E12" s="26">
        <f>Assumptions!C72</f>
        <v>1800000000</v>
      </c>
    </row>
    <row r="13" spans="2:5" x14ac:dyDescent="0.25">
      <c r="B13" s="27">
        <f>Assumptions!C67</f>
        <v>0.11</v>
      </c>
      <c r="C13" s="11">
        <f>D69</f>
        <v>17075671.10726567</v>
      </c>
      <c r="D13" s="11">
        <f>E69</f>
        <v>14703172.897925735</v>
      </c>
      <c r="E13" s="11">
        <f>F69</f>
        <v>11505505.851775046</v>
      </c>
    </row>
    <row r="14" spans="2:5" x14ac:dyDescent="0.25">
      <c r="B14" s="27">
        <f>Assumptions!C68</f>
        <v>0.13</v>
      </c>
      <c r="C14" s="11">
        <f>G69</f>
        <v>17350599.802948818</v>
      </c>
      <c r="D14" s="30">
        <f>H69</f>
        <v>14930353.60199182</v>
      </c>
      <c r="E14" s="11">
        <f>I69</f>
        <v>11673682.229195371</v>
      </c>
    </row>
    <row r="15" spans="2:5" x14ac:dyDescent="0.25">
      <c r="B15" s="27">
        <f>Assumptions!C69</f>
        <v>0.15</v>
      </c>
      <c r="C15" s="11">
        <f>J69</f>
        <v>17756272.894327343</v>
      </c>
      <c r="D15" s="11">
        <f>K69</f>
        <v>15279392.927936442</v>
      </c>
      <c r="E15" s="11">
        <f>L69</f>
        <v>11946526.135389244</v>
      </c>
    </row>
    <row r="18" spans="2:12" x14ac:dyDescent="0.25">
      <c r="B18" s="3" t="s">
        <v>206</v>
      </c>
      <c r="D18" s="4" t="s">
        <v>3</v>
      </c>
      <c r="E18" s="4" t="s">
        <v>3</v>
      </c>
      <c r="F18" s="4" t="s">
        <v>3</v>
      </c>
      <c r="G18" s="4" t="s">
        <v>3</v>
      </c>
      <c r="H18" s="4" t="s">
        <v>3</v>
      </c>
      <c r="I18" s="4" t="s">
        <v>3</v>
      </c>
      <c r="J18" s="4" t="s">
        <v>3</v>
      </c>
      <c r="K18" s="4" t="s">
        <v>3</v>
      </c>
      <c r="L18" s="4" t="s">
        <v>3</v>
      </c>
    </row>
    <row r="19" spans="2:12" x14ac:dyDescent="0.25">
      <c r="B19" s="20" t="s">
        <v>207</v>
      </c>
      <c r="D19" s="12">
        <v>1</v>
      </c>
      <c r="E19" s="12">
        <v>2</v>
      </c>
      <c r="F19" s="12">
        <v>3</v>
      </c>
      <c r="G19" s="12">
        <v>4</v>
      </c>
      <c r="H19" s="12">
        <v>5</v>
      </c>
      <c r="I19" s="12">
        <v>6</v>
      </c>
      <c r="J19" s="12">
        <v>7</v>
      </c>
      <c r="K19" s="12">
        <v>8</v>
      </c>
      <c r="L19" s="12">
        <v>9</v>
      </c>
    </row>
    <row r="20" spans="2:12" x14ac:dyDescent="0.25">
      <c r="B20" s="5" t="s">
        <v>208</v>
      </c>
      <c r="D20" s="15">
        <f>Assumptions!C67</f>
        <v>0.11</v>
      </c>
      <c r="E20" s="15">
        <f>Assumptions!C67</f>
        <v>0.11</v>
      </c>
      <c r="F20" s="15">
        <f>Assumptions!C67</f>
        <v>0.11</v>
      </c>
      <c r="G20" s="15">
        <f>Assumptions!C68</f>
        <v>0.13</v>
      </c>
      <c r="H20" s="15">
        <f>Assumptions!C68</f>
        <v>0.13</v>
      </c>
      <c r="I20" s="15">
        <f>Assumptions!C68</f>
        <v>0.13</v>
      </c>
      <c r="J20" s="15">
        <f>Assumptions!C69</f>
        <v>0.15</v>
      </c>
      <c r="K20" s="15">
        <f>Assumptions!C69</f>
        <v>0.15</v>
      </c>
      <c r="L20" s="15">
        <f>Assumptions!C69</f>
        <v>0.15</v>
      </c>
    </row>
    <row r="21" spans="2:12" x14ac:dyDescent="0.25">
      <c r="B21" s="5" t="s">
        <v>209</v>
      </c>
      <c r="D21" s="14">
        <f>Assumptions!C70</f>
        <v>1200000000</v>
      </c>
      <c r="E21" s="14">
        <f>Assumptions!C71</f>
        <v>1400000000</v>
      </c>
      <c r="F21" s="14">
        <f>Assumptions!C72</f>
        <v>1800000000</v>
      </c>
      <c r="G21" s="14">
        <f>Assumptions!C70</f>
        <v>1200000000</v>
      </c>
      <c r="H21" s="14">
        <f>Assumptions!C71</f>
        <v>1400000000</v>
      </c>
      <c r="I21" s="14">
        <f>Assumptions!C72</f>
        <v>1800000000</v>
      </c>
      <c r="J21" s="14">
        <f>Assumptions!C70</f>
        <v>1200000000</v>
      </c>
      <c r="K21" s="14">
        <f>Assumptions!C71</f>
        <v>1400000000</v>
      </c>
      <c r="L21" s="14">
        <f>Assumptions!C72</f>
        <v>1800000000</v>
      </c>
    </row>
    <row r="22" spans="2:12" x14ac:dyDescent="0.25">
      <c r="B22" s="5" t="s">
        <v>210</v>
      </c>
      <c r="D22" s="13">
        <f>Assumptions!C23</f>
        <v>36617961</v>
      </c>
      <c r="E22" s="13">
        <f>Assumptions!C23</f>
        <v>36617961</v>
      </c>
      <c r="F22" s="13">
        <f>Assumptions!C23</f>
        <v>36617961</v>
      </c>
      <c r="G22" s="13">
        <f>Assumptions!C23</f>
        <v>36617961</v>
      </c>
      <c r="H22" s="13">
        <f>Assumptions!C23</f>
        <v>36617961</v>
      </c>
      <c r="I22" s="13">
        <f>Assumptions!C23</f>
        <v>36617961</v>
      </c>
      <c r="J22" s="13">
        <f>Assumptions!C23</f>
        <v>36617961</v>
      </c>
      <c r="K22" s="13">
        <f>Assumptions!C23</f>
        <v>36617961</v>
      </c>
      <c r="L22" s="13">
        <f>Assumptions!C23</f>
        <v>36617961</v>
      </c>
    </row>
    <row r="23" spans="2:12" x14ac:dyDescent="0.25">
      <c r="B23" s="5" t="s">
        <v>211</v>
      </c>
      <c r="D23" s="14">
        <f>Assumptions!C7</f>
        <v>30000000</v>
      </c>
      <c r="E23" s="14">
        <f>Assumptions!C7</f>
        <v>30000000</v>
      </c>
      <c r="F23" s="14">
        <f>Assumptions!C7</f>
        <v>30000000</v>
      </c>
      <c r="G23" s="14">
        <f>Assumptions!C7</f>
        <v>30000000</v>
      </c>
      <c r="H23" s="14">
        <f>Assumptions!C7</f>
        <v>30000000</v>
      </c>
      <c r="I23" s="14">
        <f>Assumptions!C7</f>
        <v>30000000</v>
      </c>
      <c r="J23" s="14">
        <f>Assumptions!C7</f>
        <v>30000000</v>
      </c>
      <c r="K23" s="14">
        <f>Assumptions!C7</f>
        <v>30000000</v>
      </c>
      <c r="L23" s="14">
        <f>Assumptions!C7</f>
        <v>30000000</v>
      </c>
    </row>
    <row r="24" spans="2:12" x14ac:dyDescent="0.25">
      <c r="B24" s="5" t="s">
        <v>84</v>
      </c>
      <c r="D24" s="16">
        <f>Assumptions!C24+Assumptions!C25</f>
        <v>4394667</v>
      </c>
      <c r="E24" s="16">
        <f>Assumptions!C24+Assumptions!C25</f>
        <v>4394667</v>
      </c>
      <c r="F24" s="16">
        <f>Assumptions!C24+Assumptions!C25</f>
        <v>4394667</v>
      </c>
      <c r="G24" s="16">
        <f>Assumptions!C24+Assumptions!C25</f>
        <v>4394667</v>
      </c>
      <c r="H24" s="16">
        <f>Assumptions!C24+Assumptions!C25</f>
        <v>4394667</v>
      </c>
      <c r="I24" s="16">
        <f>Assumptions!C24+Assumptions!C25</f>
        <v>4394667</v>
      </c>
      <c r="J24" s="16">
        <f>Assumptions!C24+Assumptions!C25</f>
        <v>4394667</v>
      </c>
      <c r="K24" s="16">
        <f>Assumptions!C24+Assumptions!C25</f>
        <v>4394667</v>
      </c>
      <c r="L24" s="16">
        <f>Assumptions!C24+Assumptions!C25</f>
        <v>4394667</v>
      </c>
    </row>
    <row r="26" spans="2:12" x14ac:dyDescent="0.25">
      <c r="B26" s="5" t="s">
        <v>212</v>
      </c>
      <c r="D26" s="16">
        <f>0*D21</f>
        <v>0</v>
      </c>
      <c r="E26" s="16">
        <f>0*E21</f>
        <v>0</v>
      </c>
      <c r="F26" s="16">
        <f>0*F21</f>
        <v>0</v>
      </c>
      <c r="G26" s="16">
        <f>0*G21</f>
        <v>0</v>
      </c>
      <c r="H26" s="16">
        <f>0*H21</f>
        <v>0</v>
      </c>
      <c r="I26" s="16">
        <f>0*I21</f>
        <v>0</v>
      </c>
      <c r="J26" s="16">
        <f>0*J21</f>
        <v>0</v>
      </c>
      <c r="K26" s="16">
        <f>0*K21</f>
        <v>0</v>
      </c>
      <c r="L26" s="16">
        <f>0*L21</f>
        <v>0</v>
      </c>
    </row>
    <row r="27" spans="2:12" x14ac:dyDescent="0.25">
      <c r="B27" s="5" t="s">
        <v>213</v>
      </c>
      <c r="D27" s="17">
        <f>D21/D22</f>
        <v>32.770803377064055</v>
      </c>
      <c r="E27" s="17">
        <f>E21/E22</f>
        <v>38.23260393990807</v>
      </c>
      <c r="F27" s="17">
        <f>F21/F22</f>
        <v>49.15620506559609</v>
      </c>
      <c r="G27" s="17">
        <f>G21/G22</f>
        <v>32.770803377064055</v>
      </c>
      <c r="H27" s="17">
        <f>H21/H22</f>
        <v>38.23260393990807</v>
      </c>
      <c r="I27" s="17">
        <f>I21/I22</f>
        <v>49.15620506559609</v>
      </c>
      <c r="J27" s="17">
        <f>J21/J22</f>
        <v>32.770803377064055</v>
      </c>
      <c r="K27" s="17">
        <f>K21/K22</f>
        <v>38.23260393990807</v>
      </c>
      <c r="L27" s="17">
        <f>L21/L22</f>
        <v>49.15620506559609</v>
      </c>
    </row>
    <row r="28" spans="2:12" x14ac:dyDescent="0.25">
      <c r="B28" s="5" t="s">
        <v>214</v>
      </c>
      <c r="D28" s="16">
        <f>0*D21</f>
        <v>0</v>
      </c>
      <c r="E28" s="16">
        <f>0*E21</f>
        <v>0</v>
      </c>
      <c r="F28" s="16">
        <f>0*F21</f>
        <v>0</v>
      </c>
      <c r="G28" s="16">
        <f>0*G21</f>
        <v>0</v>
      </c>
      <c r="H28" s="16">
        <f>0*H21</f>
        <v>0</v>
      </c>
      <c r="I28" s="16">
        <f>0*I21</f>
        <v>0</v>
      </c>
      <c r="J28" s="16">
        <f>0*J21</f>
        <v>0</v>
      </c>
      <c r="K28" s="16">
        <f>0*K21</f>
        <v>0</v>
      </c>
      <c r="L28" s="16">
        <f>0*L21</f>
        <v>0</v>
      </c>
    </row>
    <row r="29" spans="2:12" x14ac:dyDescent="0.25">
      <c r="B29" s="5" t="s">
        <v>215</v>
      </c>
      <c r="D29" s="16">
        <f>0*D21</f>
        <v>0</v>
      </c>
      <c r="E29" s="16">
        <f>0*E21</f>
        <v>0</v>
      </c>
      <c r="F29" s="16">
        <f>0*F21</f>
        <v>0</v>
      </c>
      <c r="G29" s="16">
        <f>0*G21</f>
        <v>0</v>
      </c>
      <c r="H29" s="16">
        <f>0*H21</f>
        <v>0</v>
      </c>
      <c r="I29" s="16">
        <f>0*I21</f>
        <v>0</v>
      </c>
      <c r="J29" s="16">
        <f>0*J21</f>
        <v>0</v>
      </c>
      <c r="K29" s="16">
        <f>0*K21</f>
        <v>0</v>
      </c>
      <c r="L29" s="16">
        <f>0*L21</f>
        <v>0</v>
      </c>
    </row>
    <row r="30" spans="2:12" x14ac:dyDescent="0.25">
      <c r="B30" s="5" t="s">
        <v>216</v>
      </c>
      <c r="D30" s="16">
        <f>D23/D27</f>
        <v>915449.0250000001</v>
      </c>
      <c r="E30" s="16">
        <f>E23/E27</f>
        <v>784670.5928571428</v>
      </c>
      <c r="F30" s="16">
        <f>F23/F27</f>
        <v>610299.35</v>
      </c>
      <c r="G30" s="16">
        <f>G23/G27</f>
        <v>915449.0250000001</v>
      </c>
      <c r="H30" s="16">
        <f>H23/H27</f>
        <v>784670.5928571428</v>
      </c>
      <c r="I30" s="16">
        <f>I23/I27</f>
        <v>610299.35</v>
      </c>
      <c r="J30" s="16">
        <f>J23/J27</f>
        <v>915449.0250000001</v>
      </c>
      <c r="K30" s="16">
        <f>K23/K27</f>
        <v>784670.5928571428</v>
      </c>
      <c r="L30" s="16">
        <f>L23/L27</f>
        <v>610299.35</v>
      </c>
    </row>
    <row r="31" spans="2:12" x14ac:dyDescent="0.25">
      <c r="B31" s="5" t="s">
        <v>217</v>
      </c>
      <c r="D31" s="16">
        <f>Assumptions!C48/(Assumptions!C20*(D22+D23/Assumptions!C20)/(D22+D23/D27))-Assumptions!C46</f>
        <v>50091.763585286</v>
      </c>
      <c r="E31" s="16">
        <f>Assumptions!C48/(Assumptions!C20*(E22+E23/Assumptions!C20)/(E22+E23/E27))-Assumptions!C46</f>
        <v>28653.579740042</v>
      </c>
      <c r="F31" s="16">
        <f>Assumptions!C48/(Assumptions!C20*(F22+F23/Assumptions!C20)/(F22+F23/F27))-Assumptions!C46</f>
        <v>69.334613048</v>
      </c>
      <c r="G31" s="16">
        <f>Assumptions!C48/(Assumptions!C20*(G22+G23/Assumptions!C20)/(G22+G23/G27))-Assumptions!C46</f>
        <v>50091.763585286</v>
      </c>
      <c r="H31" s="16">
        <f>Assumptions!C48/(Assumptions!C20*(H22+H23/Assumptions!C20)/(H22+H23/H27))-Assumptions!C46</f>
        <v>28653.579740042</v>
      </c>
      <c r="I31" s="16">
        <f>Assumptions!C48/(Assumptions!C20*(I22+I23/Assumptions!C20)/(I22+I23/I27))-Assumptions!C46</f>
        <v>69.334613048</v>
      </c>
      <c r="J31" s="16">
        <f>Assumptions!C48/(Assumptions!C20*(J22+J23/Assumptions!C20)/(J22+J23/J27))-Assumptions!C46</f>
        <v>50091.763585286</v>
      </c>
      <c r="K31" s="16">
        <f>Assumptions!C48/(Assumptions!C20*(K22+K23/Assumptions!C20)/(K22+K23/K27))-Assumptions!C46</f>
        <v>28653.579740042</v>
      </c>
      <c r="L31" s="16">
        <f>Assumptions!C48/(Assumptions!C20*(L22+L23/Assumptions!C20)/(L22+L23/L27))-Assumptions!C46</f>
        <v>69.334613048</v>
      </c>
    </row>
    <row r="32" spans="2:12" x14ac:dyDescent="0.25">
      <c r="B32" s="5" t="s">
        <v>218</v>
      </c>
      <c r="D32" s="16">
        <f>Assumptions!C47/(Assumptions!C19*(D22+D23/Assumptions!C19)/(D22+D23/D27))-Assumptions!C45</f>
        <v>18499.9798568788</v>
      </c>
      <c r="E32" s="16">
        <f>Assumptions!C47/(Assumptions!C19*(E22+E23/Assumptions!C19)/(E22+E23/E27))-Assumptions!C45</f>
        <v>12440.3039688757</v>
      </c>
      <c r="F32" s="16">
        <f>Assumptions!C47/(Assumptions!C19*(F22+F23/Assumptions!C19)/(F22+F23/F27))-Assumptions!C45</f>
        <v>4360.736118205</v>
      </c>
      <c r="G32" s="16">
        <f>Assumptions!C47/(Assumptions!C19*(G22+G23/Assumptions!C19)/(G22+G23/G27))-Assumptions!C45</f>
        <v>18499.9798568788</v>
      </c>
      <c r="H32" s="16">
        <f>Assumptions!C47/(Assumptions!C19*(H22+H23/Assumptions!C19)/(H22+H23/H27))-Assumptions!C45</f>
        <v>12440.3039688757</v>
      </c>
      <c r="I32" s="16">
        <f>Assumptions!C47/(Assumptions!C19*(I22+I23/Assumptions!C19)/(I22+I23/I27))-Assumptions!C45</f>
        <v>4360.736118205</v>
      </c>
      <c r="J32" s="16">
        <f>Assumptions!C47/(Assumptions!C19*(J22+J23/Assumptions!C19)/(J22+J23/J27))-Assumptions!C45</f>
        <v>18499.9798568788</v>
      </c>
      <c r="K32" s="16">
        <f>Assumptions!C47/(Assumptions!C19*(K22+K23/Assumptions!C19)/(K22+K23/K27))-Assumptions!C45</f>
        <v>12440.3039688757</v>
      </c>
      <c r="L32" s="16">
        <f>Assumptions!C47/(Assumptions!C19*(L22+L23/Assumptions!C19)/(L22+L23/L27))-Assumptions!C45</f>
        <v>4360.736118205</v>
      </c>
    </row>
    <row r="33" spans="2:12" x14ac:dyDescent="0.25">
      <c r="B33" s="5" t="s">
        <v>219</v>
      </c>
      <c r="D33" s="16">
        <f>D22+D26+D30+D28+D29+D31+D32</f>
        <v>37602001.76844216</v>
      </c>
      <c r="E33" s="16">
        <f>E22+E26+E30+E28+E29+E31+E32</f>
        <v>37443725.47656606</v>
      </c>
      <c r="F33" s="16">
        <f>F22+F26+F30+F28+F29+F31+F32</f>
        <v>37232690.420731254</v>
      </c>
      <c r="G33" s="16">
        <f>G22+G26+G30+G28+G29+G31+G32</f>
        <v>37602001.76844216</v>
      </c>
      <c r="H33" s="16">
        <f>H22+H26+H30+H28+H29+H31+H32</f>
        <v>37443725.47656606</v>
      </c>
      <c r="I33" s="16">
        <f>I22+I26+I30+I28+I29+I31+I32</f>
        <v>37232690.420731254</v>
      </c>
      <c r="J33" s="16">
        <f>J22+J26+J30+J28+J29+J31+J32</f>
        <v>37602001.76844216</v>
      </c>
      <c r="K33" s="16">
        <f>K22+K26+K30+K28+K29+K31+K32</f>
        <v>37443725.47656606</v>
      </c>
      <c r="L33" s="16">
        <f>L22+L26+L30+L28+L29+L31+L32</f>
        <v>37232690.420731254</v>
      </c>
    </row>
    <row r="34" spans="2:12" x14ac:dyDescent="0.25">
      <c r="B34" s="5" t="s">
        <v>220</v>
      </c>
      <c r="D34" s="16">
        <f>MAX(0,D20*D33-D24)</f>
        <v>0</v>
      </c>
      <c r="E34" s="16">
        <f>MAX(0,E20*E33-E24)</f>
        <v>0</v>
      </c>
      <c r="F34" s="16">
        <f>MAX(0,F20*F33-F24)</f>
        <v>0</v>
      </c>
      <c r="G34" s="16">
        <f>MAX(0,G20*G33-G24)</f>
        <v>493593.22989748</v>
      </c>
      <c r="H34" s="16">
        <f>MAX(0,H20*H33-H24)</f>
        <v>473017.311953587</v>
      </c>
      <c r="I34" s="16">
        <f>MAX(0,I20*I33-I24)</f>
        <v>445582.754695063</v>
      </c>
      <c r="J34" s="16">
        <f>MAX(0,J20*J33-J24)</f>
        <v>1245633.265266324</v>
      </c>
      <c r="K34" s="16">
        <f>MAX(0,K20*K33-K24)</f>
        <v>1221891.821484909</v>
      </c>
      <c r="L34" s="16">
        <f>MAX(0,L20*L33-L24)</f>
        <v>1190236.563109688</v>
      </c>
    </row>
    <row r="35" spans="2:12" x14ac:dyDescent="0.25">
      <c r="B35" s="5" t="s">
        <v>221</v>
      </c>
      <c r="D35" s="17">
        <f>D21/(D22+D34+D28+D29)</f>
        <v>32.770803377064055</v>
      </c>
      <c r="E35" s="17">
        <f>E21/(E22+E34+E28+E29)</f>
        <v>38.23260393990807</v>
      </c>
      <c r="F35" s="17">
        <f>F21/(F22+F34+F28+F29)</f>
        <v>49.15620506559609</v>
      </c>
      <c r="G35" s="17">
        <f>G21/(G22+G34+G28+G29)</f>
        <v>32.33494325153504</v>
      </c>
      <c r="H35" s="17">
        <f>H21/(H22+H34+H28+H29)</f>
        <v>37.74502759742013</v>
      </c>
      <c r="I35" s="17">
        <f>I21/(I22+I34+I28+I29)</f>
        <v>48.565242760198366</v>
      </c>
      <c r="J35" s="17">
        <f>J21/(J22+J34+J28+J29)</f>
        <v>31.692712308107648</v>
      </c>
      <c r="K35" s="17">
        <f>K21/(K22+K34+K28+K29)</f>
        <v>36.99802973877057</v>
      </c>
      <c r="L35" s="17">
        <f>L21/(L22+L34+L28+L29)</f>
        <v>47.6087228700979</v>
      </c>
    </row>
    <row r="36" spans="2:12" x14ac:dyDescent="0.25">
      <c r="B36" s="5" t="s">
        <v>222</v>
      </c>
      <c r="D36" s="16">
        <f>Assumptions!C29/MIN(Assumptions!C30/(D22+D34+D29),D35*(1-Assumptions!C31))</f>
        <v>190718.546875</v>
      </c>
      <c r="E36" s="16">
        <f>Assumptions!C29/MIN(Assumptions!C30/(E22+E34+E29),E35*(1-Assumptions!C31))</f>
        <v>183089.80500000002</v>
      </c>
      <c r="F36" s="16">
        <f>Assumptions!C29/MIN(Assumptions!C30/(F22+F34+F29),F35*(1-Assumptions!C31))</f>
        <v>183089.80500000002</v>
      </c>
      <c r="G36" s="16">
        <f>Assumptions!C29/MIN(Assumptions!C30/(G22+G34+G29),G35*(1-Assumptions!C31))</f>
        <v>193289.3449473827</v>
      </c>
      <c r="H36" s="16">
        <f>Assumptions!C29/MIN(Assumptions!C30/(H22+H34+H29),H35*(1-Assumptions!C31))</f>
        <v>185454.89155976794</v>
      </c>
      <c r="I36" s="16">
        <f>Assumptions!C29/MIN(Assumptions!C30/(I22+I34+I29),I35*(1-Assumptions!C31))</f>
        <v>185317.71877347532</v>
      </c>
      <c r="J36" s="16">
        <f>Assumptions!C29/MIN(Assumptions!C30/(J22+J34+J29),J35*(1-Assumptions!C31))</f>
        <v>197206.2201315954</v>
      </c>
      <c r="K36" s="16">
        <f>Assumptions!C29/MIN(Assumptions!C30/(K22+K34+K29),K35*(1-Assumptions!C31))</f>
        <v>189199.26410742456</v>
      </c>
      <c r="L36" s="16">
        <f>Assumptions!C29/MIN(Assumptions!C30/(L22+L34+L29),L35*(1-Assumptions!C31))</f>
        <v>189040.98781554843</v>
      </c>
    </row>
    <row r="37" spans="2:12" x14ac:dyDescent="0.25">
      <c r="B37" s="5" t="s">
        <v>223</v>
      </c>
      <c r="D37" s="16">
        <f>Assumptions!C32/MIN(Assumptions!C33/(D22+D34+D36),D35*(1-Assumptions!C34))</f>
        <v>107699.88529411766</v>
      </c>
      <c r="E37" s="16">
        <f>Assumptions!C32/MIN(Assumptions!C33/(E22+E34+E36),E35*(1-Assumptions!C34))</f>
        <v>92314.18739495797</v>
      </c>
      <c r="F37" s="16">
        <f>Assumptions!C32/MIN(Assumptions!C33/(F22+F34+F36),F35*(1-Assumptions!C34))</f>
        <v>71799.92352941177</v>
      </c>
      <c r="G37" s="16">
        <f>Assumptions!C32/MIN(Assumptions!C33/(G22+G34+G36),G35*(1-Assumptions!C34))</f>
        <v>109151.63008793375</v>
      </c>
      <c r="H37" s="16">
        <f>Assumptions!C32/MIN(Assumptions!C33/(H22+H34+H36),H35*(1-Assumptions!C34))</f>
        <v>93506.6680133284</v>
      </c>
      <c r="I37" s="16">
        <f>Assumptions!C32/MIN(Assumptions!C33/(I22+I34+I36),I35*(1-Assumptions!C34))</f>
        <v>72673.61520528446</v>
      </c>
      <c r="J37" s="16">
        <f>Assumptions!C32/MIN(Assumptions!C33/(J22+J34+J36),J35*(1-Assumptions!C34))</f>
        <v>111363.51254490094</v>
      </c>
      <c r="K37" s="16">
        <f>Assumptions!C32/MIN(Assumptions!C33/(K22+K34+K36),K35*(1-Assumptions!C34))</f>
        <v>95394.58694491992</v>
      </c>
      <c r="L37" s="16">
        <f>Assumptions!C32/MIN(Assumptions!C33/(L22+L34+L36),L35*(1-Assumptions!C34))</f>
        <v>74133.72071197978</v>
      </c>
    </row>
    <row r="38" spans="2:12" x14ac:dyDescent="0.25">
      <c r="B38" s="5" t="s">
        <v>224</v>
      </c>
      <c r="D38" s="16">
        <f>D23/D35</f>
        <v>915449.0250000001</v>
      </c>
      <c r="E38" s="16">
        <f>E23/E35</f>
        <v>784670.5928571428</v>
      </c>
      <c r="F38" s="16">
        <f>F23/F35</f>
        <v>610299.35</v>
      </c>
      <c r="G38" s="16">
        <f>G23/G35</f>
        <v>927788.8557474369</v>
      </c>
      <c r="H38" s="16">
        <f>H23/H35</f>
        <v>794806.6781132914</v>
      </c>
      <c r="I38" s="16">
        <f>I23/I35</f>
        <v>617725.7292449177</v>
      </c>
      <c r="J38" s="16">
        <f>J23/J35</f>
        <v>946589.8566316579</v>
      </c>
      <c r="K38" s="16">
        <f>K23/K35</f>
        <v>810853.9890318194</v>
      </c>
      <c r="L38" s="16">
        <f>L23/L35</f>
        <v>630136.6260518281</v>
      </c>
    </row>
    <row r="39" spans="2:12" x14ac:dyDescent="0.25">
      <c r="B39" s="5" t="s">
        <v>225</v>
      </c>
      <c r="D39" s="16">
        <f>Assumptions!C48/(Assumptions!C20*(D22+D23/Assumptions!C20)/(D22+D23/D35))-Assumptions!C46</f>
        <v>50091.763585286</v>
      </c>
      <c r="E39" s="16">
        <f>Assumptions!C48/(Assumptions!C20*(E22+E23/Assumptions!C20)/(E22+E23/E35))-Assumptions!C46</f>
        <v>28653.579740042</v>
      </c>
      <c r="F39" s="16">
        <f>Assumptions!C48/(Assumptions!C20*(F22+F23/Assumptions!C20)/(F22+F23/F35))-Assumptions!C46</f>
        <v>69.334613048</v>
      </c>
      <c r="G39" s="16">
        <f>Assumptions!C48/(Assumptions!C20*(G22+G23/Assumptions!C20)/(G22+G23/G35))-Assumptions!C46</f>
        <v>52114.601417551</v>
      </c>
      <c r="H39" s="16">
        <f>Assumptions!C48/(Assumptions!C20*(H22+H23/Assumptions!C20)/(H22+H23/H35))-Assumptions!C46</f>
        <v>30315.163042668</v>
      </c>
      <c r="I39" s="16">
        <f>Assumptions!C48/(Assumptions!C20*(I22+I23/Assumptions!C20)/(I22+I23/I35))-Assumptions!C46</f>
        <v>1286.722533582</v>
      </c>
      <c r="J39" s="16">
        <f>Assumptions!C48/(Assumptions!C20*(J22+J23/Assumptions!C20)/(J22+J23/J35))-Assumptions!C46</f>
        <v>55196.602836486</v>
      </c>
      <c r="K39" s="16">
        <f>Assumptions!C48/(Assumptions!C20*(K22+K23/Assumptions!C20)/(K22+K23/K35))-Assumptions!C46</f>
        <v>32945.758899006</v>
      </c>
      <c r="L39" s="16">
        <f>Assumptions!C48/(Assumptions!C20*(L22+L23/Assumptions!C20)/(L22+L23/L35))-Assumptions!C46</f>
        <v>3321.210048621</v>
      </c>
    </row>
    <row r="40" spans="2:12" x14ac:dyDescent="0.25">
      <c r="B40" s="5" t="s">
        <v>226</v>
      </c>
      <c r="D40" s="16">
        <f>Assumptions!C47/(Assumptions!C19*(D22+D23/Assumptions!C19)/(D22+D23/D35))-Assumptions!C45</f>
        <v>18499.9798568788</v>
      </c>
      <c r="E40" s="16">
        <f>Assumptions!C47/(Assumptions!C19*(E22+E23/Assumptions!C19)/(E22+E23/E35))-Assumptions!C45</f>
        <v>12440.3039688757</v>
      </c>
      <c r="F40" s="16">
        <f>Assumptions!C47/(Assumptions!C19*(F22+F23/Assumptions!C19)/(F22+F23/F35))-Assumptions!C45</f>
        <v>4360.736118205</v>
      </c>
      <c r="G40" s="16">
        <f>Assumptions!C47/(Assumptions!C19*(G22+G23/Assumptions!C19)/(G22+G23/G35))-Assumptions!C45</f>
        <v>19071.7513150396</v>
      </c>
      <c r="H40" s="16">
        <f>Assumptions!C47/(Assumptions!C19*(H22+H23/Assumptions!C19)/(H22+H23/H35))-Assumptions!C45</f>
        <v>12909.963915237</v>
      </c>
      <c r="I40" s="16">
        <f>Assumptions!C47/(Assumptions!C19*(I22+I23/Assumptions!C19)/(I22+I23/I35))-Assumptions!C45</f>
        <v>4704.8406506437</v>
      </c>
      <c r="J40" s="16">
        <f>Assumptions!C47/(Assumptions!C19*(J22+J23/Assumptions!C19)/(J22+J23/J35))-Assumptions!C45</f>
        <v>19942.9039191937</v>
      </c>
      <c r="K40" s="16">
        <f>Assumptions!C47/(Assumptions!C19*(K22+K23/Assumptions!C19)/(K22+K23/K35))-Assumptions!C45</f>
        <v>13653.5230896892</v>
      </c>
      <c r="L40" s="16">
        <f>Assumptions!C47/(Assumptions!C19*(L22+L23/Assumptions!C19)/(L22+L23/L35))-Assumptions!C45</f>
        <v>5279.904985772</v>
      </c>
    </row>
    <row r="41" spans="2:12" x14ac:dyDescent="0.25">
      <c r="B41" s="5" t="s">
        <v>227</v>
      </c>
      <c r="D41" s="16">
        <f>D22+D34+D38+D36+D37+D39+D40</f>
        <v>37900420.20061128</v>
      </c>
      <c r="E41" s="16">
        <f>E22+E34+E38+E36+E37+E39+E40</f>
        <v>37719129.468961015</v>
      </c>
      <c r="F41" s="16">
        <f>F22+F34+F38+F36+F37+F39+F40</f>
        <v>37487580.14926066</v>
      </c>
      <c r="G41" s="16">
        <f>G22+G34+G38+G36+G37+G39+G40</f>
        <v>38412970.41341282</v>
      </c>
      <c r="H41" s="16">
        <f>H22+H34+H38+H36+H37+H39+H40</f>
        <v>38207971.676597886</v>
      </c>
      <c r="I41" s="16">
        <f>I22+I34+I38+I36+I37+I39+I40</f>
        <v>37945252.38110296</v>
      </c>
      <c r="J41" s="16">
        <f>J22+J34+J38+J36+J37+J39+J40</f>
        <v>39193893.36133017</v>
      </c>
      <c r="K41" s="16">
        <f>K22+K34+K38+K36+K37+K39+K40</f>
        <v>38981899.94355777</v>
      </c>
      <c r="L41" s="16">
        <f>L22+L34+L38+L36+L37+L39+L40</f>
        <v>38710110.01272344</v>
      </c>
    </row>
    <row r="42" spans="2:12" x14ac:dyDescent="0.25">
      <c r="B42" s="5" t="s">
        <v>228</v>
      </c>
      <c r="D42" s="16">
        <f>MAX(0,D20*D41-D24)</f>
        <v>0</v>
      </c>
      <c r="E42" s="16">
        <f>MAX(0,E20*E41-E24)</f>
        <v>0</v>
      </c>
      <c r="F42" s="16">
        <f>MAX(0,F20*F41-F24)</f>
        <v>0</v>
      </c>
      <c r="G42" s="16">
        <f>MAX(0,G20*G41-G24)</f>
        <v>599019.153743667</v>
      </c>
      <c r="H42" s="16">
        <f>MAX(0,H20*H41-H24)</f>
        <v>572369.317957725</v>
      </c>
      <c r="I42" s="16">
        <f>MAX(0,I20*I41-I24)</f>
        <v>538215.809543385</v>
      </c>
      <c r="J42" s="16">
        <f>MAX(0,J20*J41-J24)</f>
        <v>1484417.004199525</v>
      </c>
      <c r="K42" s="16">
        <f>MAX(0,K20*K41-K24)</f>
        <v>1452617.991533666</v>
      </c>
      <c r="L42" s="16">
        <f>MAX(0,L20*L41-L24)</f>
        <v>1411849.501908516</v>
      </c>
    </row>
    <row r="43" spans="2:12" x14ac:dyDescent="0.25">
      <c r="B43" s="5" t="s">
        <v>229</v>
      </c>
      <c r="D43" s="17">
        <f>D21/(D22+D42+D36+D37)</f>
        <v>32.50589625683373</v>
      </c>
      <c r="E43" s="17">
        <f>E21/(E22+E42+E36+E37)</f>
        <v>37.947202709446266</v>
      </c>
      <c r="F43" s="17">
        <f>F21/(F22+F42+F36+F37)</f>
        <v>48.8164046021887</v>
      </c>
      <c r="G43" s="17">
        <f>G21/(G22+G42+G36+G37)</f>
        <v>31.983435881945123</v>
      </c>
      <c r="H43" s="17">
        <f>H21/(H22+H42+H36+H37)</f>
        <v>37.36393003038141</v>
      </c>
      <c r="I43" s="17">
        <f>I21/(I22+I42+I36+I37)</f>
        <v>48.110116817114125</v>
      </c>
      <c r="J43" s="17">
        <f>J21/(J22+J42+J36+J37)</f>
        <v>31.24109324821352</v>
      </c>
      <c r="K43" s="17">
        <f>K21/(K22+K42+K36+K37)</f>
        <v>36.50094358186727</v>
      </c>
      <c r="L43" s="17">
        <f>L21/(L22+L42+L36+L37)</f>
        <v>47.005998359967066</v>
      </c>
    </row>
    <row r="44" spans="2:12" x14ac:dyDescent="0.25">
      <c r="B44" s="5" t="s">
        <v>230</v>
      </c>
      <c r="D44" s="16">
        <f>Assumptions!C29/MIN(Assumptions!C30/(D22+D42+D37),D43*(1-Assumptions!C31))</f>
        <v>192272.80954254753</v>
      </c>
      <c r="E44" s="16">
        <f>Assumptions!C29/MIN(Assumptions!C30/(E22+E42+E37),E43*(1-Assumptions!C31))</f>
        <v>183551.37593697477</v>
      </c>
      <c r="F44" s="16">
        <f>Assumptions!C29/MIN(Assumptions!C30/(F22+F42+F37),F43*(1-Assumptions!C31))</f>
        <v>183448.80461764705</v>
      </c>
      <c r="G44" s="16">
        <f>Assumptions!C29/MIN(Assumptions!C30/(G22+G42+G37),G43*(1-Assumptions!C31))</f>
        <v>195413.6517123906</v>
      </c>
      <c r="H44" s="16">
        <f>Assumptions!C29/MIN(Assumptions!C30/(H22+H42+H37),H43*(1-Assumptions!C31))</f>
        <v>186419.18492985523</v>
      </c>
      <c r="I44" s="16">
        <f>Assumptions!C29/MIN(Assumptions!C30/(I22+I42+I37),I43*(1-Assumptions!C31))</f>
        <v>186144.25212374338</v>
      </c>
      <c r="J44" s="16">
        <f>Assumptions!C29/MIN(Assumptions!C30/(J22+J42+J37),J43*(1-Assumptions!C31))</f>
        <v>200057.019462896</v>
      </c>
      <c r="K44" s="16">
        <f>Assumptions!C29/MIN(Assumptions!C30/(K22+K42+K37),K43*(1-Assumptions!C31))</f>
        <v>190829.86789239294</v>
      </c>
      <c r="L44" s="16">
        <f>Assumptions!C29/MIN(Assumptions!C30/(L22+L42+L37),L43*(1-Assumptions!C31))</f>
        <v>190519.7211131025</v>
      </c>
    </row>
    <row r="45" spans="2:12" x14ac:dyDescent="0.25">
      <c r="B45" s="5" t="s">
        <v>231</v>
      </c>
      <c r="D45" s="16">
        <f>Assumptions!C32/MIN(Assumptions!C33/(D22+D42+D44),D43*(1-Assumptions!C34))</f>
        <v>108577.58656520331</v>
      </c>
      <c r="E45" s="16">
        <f>Assumptions!C32/MIN(Assumptions!C33/(E22+E42+E44),E43*(1-Assumptions!C34))</f>
        <v>93008.48317410494</v>
      </c>
      <c r="F45" s="16">
        <f>Assumptions!C32/MIN(Assumptions!C33/(F22+F42+F44),F43*(1-Assumptions!C34))</f>
        <v>72299.70731084197</v>
      </c>
      <c r="G45" s="16">
        <f>Assumptions!C32/MIN(Assumptions!C33/(G22+G42+G44),G43*(1-Assumptions!C34))</f>
        <v>110351.23861405587</v>
      </c>
      <c r="H45" s="16">
        <f>Assumptions!C32/MIN(Assumptions!C33/(H22+H42+H44),H43*(1-Assumptions!C34))</f>
        <v>94460.39969125416</v>
      </c>
      <c r="I45" s="16">
        <f>Assumptions!C32/MIN(Assumptions!C33/(I22+I42+I44),I43*(1-Assumptions!C34))</f>
        <v>73361.11400690615</v>
      </c>
      <c r="J45" s="16">
        <f>Assumptions!C32/MIN(Assumptions!C33/(J22+J42+J44),J43*(1-Assumptions!C34))</f>
        <v>112973.37569669419</v>
      </c>
      <c r="K45" s="16">
        <f>Assumptions!C32/MIN(Assumptions!C33/(K22+K42+K44),K43*(1-Assumptions!C34))</f>
        <v>96693.71304853618</v>
      </c>
      <c r="L45" s="16">
        <f>Assumptions!C32/MIN(Assumptions!C33/(L22+L42+L44),L43*(1-Assumptions!C34))</f>
        <v>75084.2847263452</v>
      </c>
    </row>
    <row r="46" spans="2:12" x14ac:dyDescent="0.25">
      <c r="B46" s="5" t="s">
        <v>232</v>
      </c>
      <c r="D46" s="16">
        <f>D23/D43</f>
        <v>922909.4858042281</v>
      </c>
      <c r="E46" s="16">
        <f>E23/E43</f>
        <v>790572.106979892</v>
      </c>
      <c r="F46" s="16">
        <f>F23/F43</f>
        <v>614547.5121421568</v>
      </c>
      <c r="G46" s="16">
        <f>G23/G43</f>
        <v>937985.5282194748</v>
      </c>
      <c r="H46" s="16">
        <f>H23/H43</f>
        <v>802913.3973756604</v>
      </c>
      <c r="I46" s="16">
        <f>I23/I43</f>
        <v>623569.4690587024</v>
      </c>
      <c r="J46" s="16">
        <f>J23/J43</f>
        <v>960273.6934219006</v>
      </c>
      <c r="K46" s="16">
        <f>K23/K43</f>
        <v>821896.5609125575</v>
      </c>
      <c r="L46" s="16">
        <f>L23/L43</f>
        <v>638216.4201739342</v>
      </c>
    </row>
    <row r="47" spans="2:12" x14ac:dyDescent="0.25">
      <c r="B47" s="5" t="s">
        <v>233</v>
      </c>
      <c r="D47" s="16">
        <f>Assumptions!C48/(Assumptions!C20*(D22+D23/Assumptions!C20)/(D22+D23/D43))-Assumptions!C46</f>
        <v>51314.738411262</v>
      </c>
      <c r="E47" s="16">
        <f>Assumptions!C48/(Assumptions!C20*(E22+E23/Assumptions!C20)/(E22+E23/E43))-Assumptions!C46</f>
        <v>29621.000305158</v>
      </c>
      <c r="F47" s="16">
        <f>Assumptions!C48/(Assumptions!C20*(F22+F23/Assumptions!C20)/(F22+F23/F43))-Assumptions!C46</f>
        <v>765.725290897</v>
      </c>
      <c r="G47" s="16">
        <f>Assumptions!C48/(Assumptions!C20*(G22+G23/Assumptions!C20)/(G22+G23/G43))-Assumptions!C46</f>
        <v>53786.116632128</v>
      </c>
      <c r="H47" s="16">
        <f>Assumptions!C48/(Assumptions!C20*(H22+H23/Assumptions!C20)/(H22+H23/H43))-Assumptions!C46</f>
        <v>31644.077413952</v>
      </c>
      <c r="I47" s="16">
        <f>Assumptions!C48/(Assumptions!C20*(I22+I23/Assumptions!C20)/(I22+I23/I43))-Assumptions!C46</f>
        <v>2244.672299601</v>
      </c>
      <c r="J47" s="16">
        <f>Assumptions!C48/(Assumptions!C20*(J22+J23/Assumptions!C20)/(J22+J23/J43))-Assumptions!C46</f>
        <v>57439.760244102</v>
      </c>
      <c r="K47" s="16">
        <f>Assumptions!C48/(Assumptions!C20*(K22+K23/Assumptions!C20)/(K22+K23/K43))-Assumptions!C46</f>
        <v>34755.940304492</v>
      </c>
      <c r="L47" s="16">
        <f>Assumptions!C48/(Assumptions!C20*(L22+L23/Assumptions!C20)/(L22+L23/L43))-Assumptions!C46</f>
        <v>4645.710648476</v>
      </c>
    </row>
    <row r="48" spans="2:12" x14ac:dyDescent="0.25">
      <c r="B48" s="5" t="s">
        <v>234</v>
      </c>
      <c r="D48" s="16">
        <f>Assumptions!C47/(Assumptions!C19*(D22+D23/Assumptions!C19)/(D22+D23/D43))-Assumptions!C45</f>
        <v>18845.663573284</v>
      </c>
      <c r="E48" s="16">
        <f>Assumptions!C47/(Assumptions!C19*(E22+E23/Assumptions!C19)/(E22+E23/E43))-Assumptions!C45</f>
        <v>12713.7532085276</v>
      </c>
      <c r="F48" s="16">
        <f>Assumptions!C47/(Assumptions!C19*(F22+F23/Assumptions!C19)/(F22+F23/F43))-Assumptions!C45</f>
        <v>4557.5765702534</v>
      </c>
      <c r="G48" s="16">
        <f>Assumptions!C47/(Assumptions!C19*(G22+G23/Assumptions!C19)/(G22+G23/G43))-Assumptions!C45</f>
        <v>19544.2185965648</v>
      </c>
      <c r="H48" s="16">
        <f>Assumptions!C47/(Assumptions!C19*(H22+H23/Assumptions!C19)/(H22+H23/H43))-Assumptions!C45</f>
        <v>13285.5923001324</v>
      </c>
      <c r="I48" s="16">
        <f>Assumptions!C47/(Assumptions!C19*(I22+I23/Assumptions!C19)/(I22+I23/I43))-Assumptions!C45</f>
        <v>4975.6128924051</v>
      </c>
      <c r="J48" s="16">
        <f>Assumptions!C47/(Assumptions!C19*(J22+J23/Assumptions!C19)/(J22+J23/J43))-Assumptions!C45</f>
        <v>20576.9504855464</v>
      </c>
      <c r="K48" s="16">
        <f>Assumptions!C47/(Assumptions!C19*(K22+K23/Assumptions!C19)/(K22+K23/K43))-Assumptions!C45</f>
        <v>14165.1854905211</v>
      </c>
      <c r="L48" s="16">
        <f>Assumptions!C47/(Assumptions!C19*(L22+L23/Assumptions!C19)/(L22+L23/L43))-Assumptions!C45</f>
        <v>5654.2857825095</v>
      </c>
    </row>
    <row r="49" spans="2:12" x14ac:dyDescent="0.25">
      <c r="B49" s="5" t="s">
        <v>235</v>
      </c>
      <c r="D49" s="16">
        <f>D22+D42+D46+D44+D45+D47+D48</f>
        <v>37911881.28389652</v>
      </c>
      <c r="E49" s="16">
        <f>E22+E42+E46+E44+E45+E47+E48</f>
        <v>37727427.71960464</v>
      </c>
      <c r="F49" s="16">
        <f>F22+F42+F46+F44+F45+F47+F48</f>
        <v>37493580.325931795</v>
      </c>
      <c r="G49" s="16">
        <f>G22+G42+G46+G44+G45+G47+G48</f>
        <v>38534060.907518275</v>
      </c>
      <c r="H49" s="16">
        <f>H22+H42+H46+H44+H45+H47+H48</f>
        <v>38319052.969668575</v>
      </c>
      <c r="I49" s="16">
        <f>I22+I42+I46+I44+I45+I47+I48</f>
        <v>38046471.92992474</v>
      </c>
      <c r="J49" s="16">
        <f>J22+J42+J46+J44+J45+J47+J48</f>
        <v>39453698.803510666</v>
      </c>
      <c r="K49" s="16">
        <f>K22+K42+K46+K44+K45+K47+K48</f>
        <v>39228920.25918217</v>
      </c>
      <c r="L49" s="16">
        <f>L22+L42+L46+L44+L45+L47+L48</f>
        <v>38943930.924352884</v>
      </c>
    </row>
    <row r="50" spans="2:12" x14ac:dyDescent="0.25">
      <c r="B50" s="5" t="s">
        <v>236</v>
      </c>
      <c r="D50" s="16">
        <f>MAX(0,D20*D49-D24)</f>
        <v>0</v>
      </c>
      <c r="E50" s="16">
        <f>MAX(0,E20*E49-E24)</f>
        <v>0</v>
      </c>
      <c r="F50" s="16">
        <f>MAX(0,F20*F49-F24)</f>
        <v>0</v>
      </c>
      <c r="G50" s="16">
        <f>MAX(0,G20*G49-G24)</f>
        <v>614760.917977376</v>
      </c>
      <c r="H50" s="16">
        <f>MAX(0,H20*H49-H24)</f>
        <v>586809.886056915</v>
      </c>
      <c r="I50" s="16">
        <f>MAX(0,I20*I49-I24)</f>
        <v>551374.350890216</v>
      </c>
      <c r="J50" s="16">
        <f>MAX(0,J20*J49-J24)</f>
        <v>1523387.8205266</v>
      </c>
      <c r="K50" s="16">
        <f>MAX(0,K20*K49-K24)</f>
        <v>1489671.038877325</v>
      </c>
      <c r="L50" s="16">
        <f>MAX(0,L20*L49-L24)</f>
        <v>1446922.638652933</v>
      </c>
    </row>
    <row r="51" spans="2:12" x14ac:dyDescent="0.25">
      <c r="B51" s="5" t="s">
        <v>237</v>
      </c>
      <c r="D51" s="17">
        <f>D21/(D22+D50+D44+D45)</f>
        <v>32.50375498617793</v>
      </c>
      <c r="E51" s="17">
        <f>E21/(E22+E50+E44+E45)</f>
        <v>37.94601386330975</v>
      </c>
      <c r="F51" s="17">
        <f>F21/(F22+F50+F44+F45)</f>
        <v>48.81526767513607</v>
      </c>
      <c r="G51" s="17">
        <f>G21/(G22+G50+G44+G45)</f>
        <v>31.9671915953349</v>
      </c>
      <c r="H51" s="17">
        <f>H21/(H22+H50+H44+H45)</f>
        <v>37.34762455556443</v>
      </c>
      <c r="I51" s="17">
        <f>I21/(I22+I50+I44+I45)</f>
        <v>48.09125704984619</v>
      </c>
      <c r="J51" s="17">
        <f>J21/(J22+J50+J44+J45)</f>
        <v>31.20580866146188</v>
      </c>
      <c r="K51" s="17">
        <f>K21/(K22+K50+K44+K45)</f>
        <v>36.46293334144916</v>
      </c>
      <c r="L51" s="17">
        <f>L21/(L22+L50+L44+L45)</f>
        <v>46.960007832267635</v>
      </c>
    </row>
    <row r="52" spans="2:12" x14ac:dyDescent="0.25">
      <c r="B52" s="5" t="s">
        <v>238</v>
      </c>
      <c r="D52" s="16">
        <f>Assumptions!C29/MIN(Assumptions!C30/(D22+D50+D45),D51*(1-Assumptions!C31))</f>
        <v>192285.47602139457</v>
      </c>
      <c r="E52" s="16">
        <f>Assumptions!C29/MIN(Assumptions!C30/(E22+E50+E45),E51*(1-Assumptions!C31))</f>
        <v>183554.84741587055</v>
      </c>
      <c r="F52" s="16">
        <f>Assumptions!C29/MIN(Assumptions!C30/(F22+F50+F45),F51*(1-Assumptions!C31))</f>
        <v>183451.3035365542</v>
      </c>
      <c r="G52" s="16">
        <f>Assumptions!C29/MIN(Assumptions!C30/(G22+G50+G45),G51*(1-Assumptions!C31))</f>
        <v>195512.95212658242</v>
      </c>
      <c r="H52" s="16">
        <f>Assumptions!C29/MIN(Assumptions!C30/(H22+H50+H45),H51*(1-Assumptions!C31))</f>
        <v>186496.15642874085</v>
      </c>
      <c r="I52" s="16">
        <f>Assumptions!C29/MIN(Assumptions!C30/(I22+I50+I45),I51*(1-Assumptions!C31))</f>
        <v>186213.48232448564</v>
      </c>
      <c r="J52" s="16">
        <f>Assumptions!C29/MIN(Assumptions!C30/(J22+J50+J45),J51*(1-Assumptions!C31))</f>
        <v>200283.22508169894</v>
      </c>
      <c r="K52" s="16">
        <f>Assumptions!C29/MIN(Assumptions!C30/(K22+K50+K45),K51*(1-Assumptions!C31))</f>
        <v>191021.62875962927</v>
      </c>
      <c r="L52" s="16">
        <f>Assumptions!C29/MIN(Assumptions!C30/(L22+L50+L45),L51*(1-Assumptions!C31))</f>
        <v>190699.8396168964</v>
      </c>
    </row>
    <row r="53" spans="2:12" x14ac:dyDescent="0.25">
      <c r="B53" s="5" t="s">
        <v>239</v>
      </c>
      <c r="D53" s="16">
        <f>Assumptions!C32/MIN(Assumptions!C33/(D22+D50+D52),D51*(1-Assumptions!C34))</f>
        <v>108584.73940031693</v>
      </c>
      <c r="E53" s="16">
        <f>Assumptions!C32/MIN(Assumptions!C33/(E22+E50+E52),E51*(1-Assumptions!C34))</f>
        <v>93011.39712380947</v>
      </c>
      <c r="F53" s="16">
        <f>Assumptions!C32/MIN(Assumptions!C33/(F22+F50+F52),F51*(1-Assumptions!C34))</f>
        <v>72301.39119985978</v>
      </c>
      <c r="G53" s="16">
        <f>Assumptions!C32/MIN(Assumptions!C33/(G22+G50+G52),G51*(1-Assumptions!C34))</f>
        <v>110407.31414207007</v>
      </c>
      <c r="H53" s="16">
        <f>Assumptions!C32/MIN(Assumptions!C33/(H22+H50+H52),H51*(1-Assumptions!C34))</f>
        <v>94501.63984204545</v>
      </c>
      <c r="I53" s="16">
        <f>Assumptions!C32/MIN(Assumptions!C33/(I22+I50+I52),I51*(1-Assumptions!C34))</f>
        <v>73389.88375886444</v>
      </c>
      <c r="J53" s="16">
        <f>Assumptions!C32/MIN(Assumptions!C33/(J22+J50+J52),J51*(1-Assumptions!C34))</f>
        <v>113101.11534025353</v>
      </c>
      <c r="K53" s="16">
        <f>Assumptions!C32/MIN(Assumptions!C33/(K22+K50+K52),K51*(1-Assumptions!C34))</f>
        <v>96794.50996592836</v>
      </c>
      <c r="L53" s="16">
        <f>Assumptions!C32/MIN(Assumptions!C33/(L22+L50+L52),L51*(1-Assumptions!C34))</f>
        <v>75157.81891076938</v>
      </c>
    </row>
    <row r="54" spans="2:12" x14ac:dyDescent="0.25">
      <c r="B54" s="5" t="s">
        <v>240</v>
      </c>
      <c r="D54" s="16">
        <f>D23/D51</f>
        <v>922970.2849026938</v>
      </c>
      <c r="E54" s="16">
        <f>E23/E51</f>
        <v>790596.8755523805</v>
      </c>
      <c r="F54" s="16">
        <f>F23/F51</f>
        <v>614561.8251988081</v>
      </c>
      <c r="G54" s="16">
        <f>G23/G51</f>
        <v>938462.1702075956</v>
      </c>
      <c r="H54" s="16">
        <f>H23/H51</f>
        <v>803263.9386573862</v>
      </c>
      <c r="I54" s="16">
        <f>I23/I51</f>
        <v>623814.0119503478</v>
      </c>
      <c r="J54" s="16">
        <f>J23/J51</f>
        <v>961359.4803921549</v>
      </c>
      <c r="K54" s="16">
        <f>K23/K51</f>
        <v>822753.3347103911</v>
      </c>
      <c r="L54" s="16">
        <f>L23/L51</f>
        <v>638841.4607415397</v>
      </c>
    </row>
    <row r="55" spans="2:12" x14ac:dyDescent="0.25">
      <c r="B55" s="5" t="s">
        <v>241</v>
      </c>
      <c r="D55" s="16">
        <f>Assumptions!C48/(Assumptions!C20*(D22+D23/Assumptions!C20)/(D22+D23/D51))-Assumptions!C46</f>
        <v>51324.705056595</v>
      </c>
      <c r="E55" s="16">
        <f>Assumptions!C48/(Assumptions!C20*(E22+E23/Assumptions!C20)/(E22+E23/E51))-Assumptions!C46</f>
        <v>29625.060555782</v>
      </c>
      <c r="F55" s="16">
        <f>Assumptions!C48/(Assumptions!C20*(F22+F23/Assumptions!C20)/(F22+F23/F51))-Assumptions!C46</f>
        <v>768.071594755</v>
      </c>
      <c r="G55" s="16">
        <f>Assumptions!C48/(Assumptions!C20*(G22+G23/Assumptions!C20)/(G22+G23/G51))-Assumptions!C46</f>
        <v>53864.25137042</v>
      </c>
      <c r="H55" s="16">
        <f>Assumptions!C48/(Assumptions!C20*(H22+H23/Assumptions!C20)/(H22+H23/H51))-Assumptions!C46</f>
        <v>31701.540776372</v>
      </c>
      <c r="I55" s="16">
        <f>Assumptions!C48/(Assumptions!C20*(I22+I23/Assumptions!C20)/(I22+I23/I51))-Assumptions!C46</f>
        <v>2284.759608978</v>
      </c>
      <c r="J55" s="16">
        <f>Assumptions!C48/(Assumptions!C20*(J22+J23/Assumptions!C20)/(J22+J23/J51))-Assumptions!C46</f>
        <v>57617.75060768</v>
      </c>
      <c r="K55" s="16">
        <f>Assumptions!C48/(Assumptions!C20*(K22+K23/Assumptions!C20)/(K22+K23/K51))-Assumptions!C46</f>
        <v>34896.389107025</v>
      </c>
      <c r="L55" s="16">
        <f>Assumptions!C48/(Assumptions!C20*(L22+L23/Assumptions!C20)/(L22+L23/L51))-Assumptions!C46</f>
        <v>4748.171997641</v>
      </c>
    </row>
    <row r="56" spans="2:12" x14ac:dyDescent="0.25">
      <c r="B56" s="5" t="s">
        <v>242</v>
      </c>
      <c r="D56" s="16">
        <f>Assumptions!C47/(Assumptions!C19*(D22+D23/Assumptions!C19)/(D22+D23/D51))-Assumptions!C45</f>
        <v>18848.4807261196</v>
      </c>
      <c r="E56" s="16">
        <f>Assumptions!C47/(Assumptions!C19*(E22+E23/Assumptions!C19)/(E22+E23/E51))-Assumptions!C45</f>
        <v>12714.9008711737</v>
      </c>
      <c r="F56" s="16">
        <f>Assumptions!C47/(Assumptions!C19*(F22+F23/Assumptions!C19)/(F22+F23/F51))-Assumptions!C45</f>
        <v>4558.2397719973</v>
      </c>
      <c r="G56" s="16">
        <f>Assumptions!C47/(Assumptions!C19*(G22+G23/Assumptions!C19)/(G22+G23/G51))-Assumptions!C45</f>
        <v>19566.3040116848</v>
      </c>
      <c r="H56" s="16">
        <f>Assumptions!C47/(Assumptions!C19*(H22+H23/Assumptions!C19)/(H22+H23/H51))-Assumptions!C45</f>
        <v>13301.8347838342</v>
      </c>
      <c r="I56" s="16">
        <f>Assumptions!C47/(Assumptions!C19*(I22+I23/Assumptions!C19)/(I22+I23/I51))-Assumptions!C45</f>
        <v>4986.9438943127</v>
      </c>
      <c r="J56" s="16">
        <f>Assumptions!C47/(Assumptions!C19*(J22+J23/Assumptions!C19)/(J22+J23/J51))-Assumptions!C45</f>
        <v>20627.2609000038</v>
      </c>
      <c r="K56" s="16">
        <f>Assumptions!C47/(Assumptions!C19*(K22+K23/Assumptions!C19)/(K22+K23/K51))-Assumptions!C45</f>
        <v>14204.8844794072</v>
      </c>
      <c r="L56" s="16">
        <f>Assumptions!C47/(Assumptions!C19*(L22+L23/Assumptions!C19)/(L22+L23/L51))-Assumptions!C45</f>
        <v>5683.2473107562</v>
      </c>
    </row>
    <row r="57" spans="2:12" x14ac:dyDescent="0.25">
      <c r="B57" s="5" t="s">
        <v>243</v>
      </c>
      <c r="D57" s="16">
        <f>D22+D50+D54+D52+D53+D55+D56</f>
        <v>37911974.68610712</v>
      </c>
      <c r="E57" s="16">
        <f>E22+E50+E54+E52+E53+E55+E56</f>
        <v>37727464.081519015</v>
      </c>
      <c r="F57" s="16">
        <f>F22+F50+F54+F52+F53+F55+F56</f>
        <v>37493601.831301965</v>
      </c>
      <c r="G57" s="16">
        <f>G22+G50+G54+G52+G53+G55+G56</f>
        <v>38550534.90983573</v>
      </c>
      <c r="H57" s="16">
        <f>H22+H50+H54+H52+H53+H55+H56</f>
        <v>38334035.99654529</v>
      </c>
      <c r="I57" s="16">
        <f>I22+I50+I54+I52+I53+I55+I56</f>
        <v>38060024.43242721</v>
      </c>
      <c r="J57" s="16">
        <f>J22+J50+J54+J52+J53+J55+J56</f>
        <v>39494337.65284839</v>
      </c>
      <c r="K57" s="16">
        <f>K22+K50+K54+K52+K53+K55+K56</f>
        <v>39267302.7858997</v>
      </c>
      <c r="L57" s="16">
        <f>L22+L50+L54+L52+L53+L55+L56</f>
        <v>38980014.17723055</v>
      </c>
    </row>
    <row r="60" spans="2:12" x14ac:dyDescent="0.25">
      <c r="B60" s="3" t="s">
        <v>244</v>
      </c>
      <c r="D60" s="4" t="s">
        <v>3</v>
      </c>
      <c r="E60" s="4" t="s">
        <v>3</v>
      </c>
      <c r="F60" s="4" t="s">
        <v>3</v>
      </c>
      <c r="G60" s="4" t="s">
        <v>3</v>
      </c>
      <c r="H60" s="4" t="s">
        <v>3</v>
      </c>
      <c r="I60" s="4" t="s">
        <v>3</v>
      </c>
      <c r="J60" s="4" t="s">
        <v>3</v>
      </c>
      <c r="K60" s="4" t="s">
        <v>3</v>
      </c>
      <c r="L60" s="4" t="s">
        <v>3</v>
      </c>
    </row>
    <row r="61" spans="2:12" x14ac:dyDescent="0.25">
      <c r="B61" s="20" t="s">
        <v>245</v>
      </c>
      <c r="D61" s="17">
        <f>D51</f>
        <v>32.50375498617793</v>
      </c>
      <c r="E61" s="17">
        <f>E51</f>
        <v>37.94601386330975</v>
      </c>
      <c r="F61" s="17">
        <f>F51</f>
        <v>48.81526767513607</v>
      </c>
      <c r="G61" s="17">
        <f>G51</f>
        <v>31.9671915953349</v>
      </c>
      <c r="H61" s="17">
        <f>H51</f>
        <v>37.34762455556443</v>
      </c>
      <c r="I61" s="17">
        <f>I51</f>
        <v>48.09125704984619</v>
      </c>
      <c r="J61" s="17">
        <f>J51</f>
        <v>31.20580866146188</v>
      </c>
      <c r="K61" s="17">
        <f>K51</f>
        <v>36.46293334144916</v>
      </c>
      <c r="L61" s="17">
        <f>L51</f>
        <v>46.960007832267635</v>
      </c>
    </row>
    <row r="62" spans="2:12" x14ac:dyDescent="0.25">
      <c r="B62" s="20" t="s">
        <v>246</v>
      </c>
      <c r="D62" s="16">
        <f>D57</f>
        <v>37911974.68610712</v>
      </c>
      <c r="E62" s="16">
        <f>E57</f>
        <v>37727464.081519015</v>
      </c>
      <c r="F62" s="16">
        <f>F57</f>
        <v>37493601.831301965</v>
      </c>
      <c r="G62" s="16">
        <f>G57</f>
        <v>38550534.90983573</v>
      </c>
      <c r="H62" s="16">
        <f>H57</f>
        <v>38334035.99654529</v>
      </c>
      <c r="I62" s="16">
        <f>I57</f>
        <v>38060024.43242721</v>
      </c>
      <c r="J62" s="16">
        <f>J57</f>
        <v>39494337.65284839</v>
      </c>
      <c r="K62" s="16">
        <f>K57</f>
        <v>39267302.7858997</v>
      </c>
      <c r="L62" s="16">
        <f>L57</f>
        <v>38980014.17723055</v>
      </c>
    </row>
    <row r="63" spans="2:12" x14ac:dyDescent="0.25">
      <c r="B63" s="5" t="s">
        <v>247</v>
      </c>
      <c r="D63" s="16" t="str">
        <f>IF(Assumptions!C30/(D22+D50+D53)&lt;D51*(1-Assumptions!C31),"cap","discount")</f>
        <v>discount</v>
      </c>
      <c r="E63" s="16" t="str">
        <f>IF(Assumptions!C30/(E22+E50+E53)&lt;E51*(1-Assumptions!C31),"cap","discount")</f>
        <v>cap</v>
      </c>
      <c r="F63" s="16" t="str">
        <f>IF(Assumptions!C30/(F22+F50+F53)&lt;F51*(1-Assumptions!C31),"cap","discount")</f>
        <v>cap</v>
      </c>
      <c r="G63" s="16" t="str">
        <f>IF(Assumptions!C30/(G22+G50+G53)&lt;G51*(1-Assumptions!C31),"cap","discount")</f>
        <v>discount</v>
      </c>
      <c r="H63" s="16" t="str">
        <f>IF(Assumptions!C30/(H22+H50+H53)&lt;H51*(1-Assumptions!C31),"cap","discount")</f>
        <v>cap</v>
      </c>
      <c r="I63" s="16" t="str">
        <f>IF(Assumptions!C30/(I22+I50+I53)&lt;I51*(1-Assumptions!C31),"cap","discount")</f>
        <v>cap</v>
      </c>
      <c r="J63" s="16" t="str">
        <f>IF(Assumptions!C30/(J22+J50+J53)&lt;J51*(1-Assumptions!C31),"cap","discount")</f>
        <v>discount</v>
      </c>
      <c r="K63" s="16" t="str">
        <f>IF(Assumptions!C30/(K22+K50+K53)&lt;K51*(1-Assumptions!C31),"cap","discount")</f>
        <v>cap</v>
      </c>
      <c r="L63" s="16" t="str">
        <f>IF(Assumptions!C30/(L22+L50+L53)&lt;L51*(1-Assumptions!C31),"cap","discount")</f>
        <v>cap</v>
      </c>
    </row>
    <row r="64" spans="2:12" x14ac:dyDescent="0.25">
      <c r="B64" s="5" t="s">
        <v>248</v>
      </c>
      <c r="D64" s="16" t="str">
        <f>IF(Assumptions!C33/(D22+D50+D52)&lt;D51*(1-Assumptions!C34),"cap","discount")</f>
        <v>discount</v>
      </c>
      <c r="E64" s="16" t="str">
        <f>IF(Assumptions!C33/(E22+E50+E52)&lt;E51*(1-Assumptions!C34),"cap","discount")</f>
        <v>discount</v>
      </c>
      <c r="F64" s="16" t="str">
        <f>IF(Assumptions!C33/(F22+F50+F52)&lt;F51*(1-Assumptions!C34),"cap","discount")</f>
        <v>discount</v>
      </c>
      <c r="G64" s="16" t="str">
        <f>IF(Assumptions!C33/(G22+G50+G52)&lt;G51*(1-Assumptions!C34),"cap","discount")</f>
        <v>discount</v>
      </c>
      <c r="H64" s="16" t="str">
        <f>IF(Assumptions!C33/(H22+H50+H52)&lt;H51*(1-Assumptions!C34),"cap","discount")</f>
        <v>discount</v>
      </c>
      <c r="I64" s="16" t="str">
        <f>IF(Assumptions!C33/(I22+I50+I52)&lt;I51*(1-Assumptions!C34),"cap","discount")</f>
        <v>discount</v>
      </c>
      <c r="J64" s="16" t="str">
        <f>IF(Assumptions!C33/(J22+J50+J52)&lt;J51*(1-Assumptions!C34),"cap","discount")</f>
        <v>discount</v>
      </c>
      <c r="K64" s="16" t="str">
        <f>IF(Assumptions!C33/(K22+K50+K52)&lt;K51*(1-Assumptions!C34),"cap","discount")</f>
        <v>discount</v>
      </c>
      <c r="L64" s="16" t="str">
        <f>IF(Assumptions!C33/(L22+L50+L52)&lt;L51*(1-Assumptions!C34),"cap","discount")</f>
        <v>discount</v>
      </c>
    </row>
    <row r="65" spans="2:12" x14ac:dyDescent="0.25">
      <c r="B65" s="5" t="s">
        <v>249</v>
      </c>
      <c r="D65" s="16">
        <f>Assumptions!C11/D51</f>
        <v>307656.7616342313</v>
      </c>
      <c r="E65" s="16">
        <f>Assumptions!C11/E51</f>
        <v>263532.29185079347</v>
      </c>
      <c r="F65" s="16">
        <f>Assumptions!C11/F51</f>
        <v>204853.94173293601</v>
      </c>
      <c r="G65" s="16">
        <f>Assumptions!C11/G51</f>
        <v>312820.7234025319</v>
      </c>
      <c r="H65" s="16">
        <f>Assumptions!C11/H51</f>
        <v>267754.64621912874</v>
      </c>
      <c r="I65" s="16">
        <f>Assumptions!C11/I51</f>
        <v>207938.00398344928</v>
      </c>
      <c r="J65" s="16">
        <f>Assumptions!C11/J51</f>
        <v>320453.1601307183</v>
      </c>
      <c r="K65" s="16">
        <f>Assumptions!C11/K51</f>
        <v>274251.1115701304</v>
      </c>
      <c r="L65" s="16">
        <f>Assumptions!C11/L51</f>
        <v>212947.15358051323</v>
      </c>
    </row>
    <row r="66" spans="2:12" x14ac:dyDescent="0.25">
      <c r="B66" s="5" t="s">
        <v>250</v>
      </c>
      <c r="D66" s="16">
        <f>Assumptions!C37+Assumptions!C38+Assumptions!C39+Assumptions!C40+D52+D53+Assumptions!C24</f>
        <v>11800870.21542171</v>
      </c>
      <c r="E66" s="16">
        <f>Assumptions!C37+Assumptions!C38+Assumptions!C39+Assumptions!C40+E52+E53+Assumptions!C24</f>
        <v>11776566.24453968</v>
      </c>
      <c r="F66" s="16">
        <f>Assumptions!C37+Assumptions!C38+Assumptions!C39+Assumptions!C40+F52+F53+Assumptions!C24</f>
        <v>11755752.694736416</v>
      </c>
      <c r="G66" s="16">
        <f>Assumptions!C37+Assumptions!C38+Assumptions!C39+Assumptions!C40+G52+G53+Assumptions!C24</f>
        <v>11805920.266268654</v>
      </c>
      <c r="H66" s="16">
        <f>Assumptions!C37+Assumptions!C38+Assumptions!C39+Assumptions!C40+H52+H53+Assumptions!C24</f>
        <v>11780997.796270786</v>
      </c>
      <c r="I66" s="16">
        <f>Assumptions!C37+Assumptions!C38+Assumptions!C39+Assumptions!C40+I52+I53+Assumptions!C24</f>
        <v>11759603.36608335</v>
      </c>
      <c r="J66" s="16">
        <f>Assumptions!C37+Assumptions!C38+Assumptions!C39+Assumptions!C40+J52+J53+Assumptions!C24</f>
        <v>11813384.340421952</v>
      </c>
      <c r="K66" s="16">
        <f>Assumptions!C37+Assumptions!C38+Assumptions!C39+Assumptions!C40+K52+K53+Assumptions!C24</f>
        <v>11787816.138725558</v>
      </c>
      <c r="L66" s="16">
        <f>Assumptions!C37+Assumptions!C38+Assumptions!C39+Assumptions!C40+L52+L53+Assumptions!C24</f>
        <v>11765857.658527667</v>
      </c>
    </row>
    <row r="67" spans="2:2" x14ac:dyDescent="0.25">
      <c r="B67" s="31" t="s">
        <v>251</v>
      </c>
    </row>
    <row r="68" spans="2:12" x14ac:dyDescent="0.25">
      <c r="B68" s="20" t="s">
        <v>252</v>
      </c>
      <c r="D68" s="10">
        <f>D65/D62</f>
        <v>0.008115028673169388</v>
      </c>
      <c r="E68" s="10">
        <f>E65/E62</f>
        <v>0.006985157848970985</v>
      </c>
      <c r="F68" s="10">
        <f>F65/F62</f>
        <v>0.005463703984873263</v>
      </c>
      <c r="G68" s="10">
        <f>G65/G62</f>
        <v>0.008114562460266128</v>
      </c>
      <c r="H68" s="10">
        <f>H65/H62</f>
        <v>0.006984775781064616</v>
      </c>
      <c r="I68" s="10">
        <f>I65/I62</f>
        <v>0.005463422766651871</v>
      </c>
      <c r="J68" s="10">
        <f>J65/J62</f>
        <v>0.008113901363468156</v>
      </c>
      <c r="K68" s="10">
        <f>K65/K62</f>
        <v>0.006984210580121888</v>
      </c>
      <c r="L68" s="10">
        <f>L65/L62</f>
        <v>0.005462982968972401</v>
      </c>
    </row>
    <row r="69" spans="2:12" x14ac:dyDescent="0.25">
      <c r="B69" s="20" t="s">
        <v>253</v>
      </c>
      <c r="D69" s="11">
        <f>IF(D76="convert",D65*D75,Assumptions!C11)</f>
        <v>17075671.10726567</v>
      </c>
      <c r="E69" s="11">
        <f>IF(E76="convert",E65*E75,Assumptions!C11)</f>
        <v>14703172.897925735</v>
      </c>
      <c r="F69" s="11">
        <f>IF(F76="convert",F65*F75,Assumptions!C11)</f>
        <v>11505505.851775046</v>
      </c>
      <c r="G69" s="11">
        <f>IF(G76="convert",G65*G75,Assumptions!C11)</f>
        <v>17350599.802948818</v>
      </c>
      <c r="H69" s="11">
        <f>IF(H76="convert",H65*H75,Assumptions!C11)</f>
        <v>14930353.60199182</v>
      </c>
      <c r="I69" s="11">
        <f>IF(I76="convert",I65*I75,Assumptions!C11)</f>
        <v>11673682.229195371</v>
      </c>
      <c r="J69" s="11">
        <f>IF(J76="convert",J65*J75,Assumptions!C11)</f>
        <v>17756272.894327343</v>
      </c>
      <c r="K69" s="11">
        <f>IF(K76="convert",K65*K75,Assumptions!C11)</f>
        <v>15279392.927936442</v>
      </c>
      <c r="L69" s="11">
        <f>IF(L76="convert",L65*L75,Assumptions!C11)</f>
        <v>11946526.135389244</v>
      </c>
    </row>
    <row r="70" spans="2:12" x14ac:dyDescent="0.25">
      <c r="B70" s="3" t="s">
        <v>254</v>
      </c>
      <c r="D70" s="4" t="s">
        <v>3</v>
      </c>
      <c r="E70" s="4" t="s">
        <v>3</v>
      </c>
      <c r="F70" s="4" t="s">
        <v>3</v>
      </c>
      <c r="G70" s="4" t="s">
        <v>3</v>
      </c>
      <c r="H70" s="4" t="s">
        <v>3</v>
      </c>
      <c r="I70" s="4" t="s">
        <v>3</v>
      </c>
      <c r="J70" s="4" t="s">
        <v>3</v>
      </c>
      <c r="K70" s="4" t="s">
        <v>3</v>
      </c>
      <c r="L70" s="4" t="s">
        <v>3</v>
      </c>
    </row>
    <row r="71" spans="2:12" x14ac:dyDescent="0.25">
      <c r="B71" s="5" t="s">
        <v>255</v>
      </c>
      <c r="D71" s="17">
        <f>(Assumptions!C62+Assumptions!C24*Assumptions!C26-(Assumptions!C7+Assumptions!C48+Assumptions!C47+Assumptions!C49+Assumptions!C50+Assumptions!C51+Assumptions!C52))/D66</f>
        <v>123.93153837831076</v>
      </c>
      <c r="E71" s="17">
        <f>(Assumptions!C62+Assumptions!C24*Assumptions!C26-(Assumptions!C7+Assumptions!C48+Assumptions!C47+Assumptions!C49+Assumptions!C50+Assumptions!C51+Assumptions!C52))/E66</f>
        <v>124.18730295667487</v>
      </c>
      <c r="F71" s="17">
        <f>(Assumptions!C62+Assumptions!C24*Assumptions!C26-(Assumptions!C7+Assumptions!C48+Assumptions!C47+Assumptions!C49+Assumptions!C50+Assumptions!C51+Assumptions!C52))/F66</f>
        <v>124.40717646729908</v>
      </c>
      <c r="G71" s="17">
        <f>(Assumptions!C62+Assumptions!C24*Assumptions!C26-(Assumptions!C7+Assumptions!C48+Assumptions!C47+Assumptions!C49+Assumptions!C50+Assumptions!C51+Assumptions!C52))/G66</f>
        <v>123.87852594419</v>
      </c>
      <c r="H71" s="17">
        <f>(Assumptions!C62+Assumptions!C24*Assumptions!C26-(Assumptions!C7+Assumptions!C48+Assumptions!C47+Assumptions!C49+Assumptions!C50+Assumptions!C51+Assumptions!C52))/H66</f>
        <v>124.14058853851469</v>
      </c>
      <c r="I71" s="17">
        <f>(Assumptions!C62+Assumptions!C24*Assumptions!C26-(Assumptions!C7+Assumptions!C48+Assumptions!C47+Assumptions!C49+Assumptions!C50+Assumptions!C51+Assumptions!C52))/I66</f>
        <v>124.36643945135879</v>
      </c>
      <c r="J71" s="17">
        <f>(Assumptions!C62+Assumptions!C24*Assumptions!C26-(Assumptions!C7+Assumptions!C48+Assumptions!C47+Assumptions!C49+Assumptions!C50+Assumptions!C51+Assumptions!C52))/J66</f>
        <v>123.80025552844768</v>
      </c>
      <c r="K71" s="17">
        <f>(Assumptions!C62+Assumptions!C24*Assumptions!C26-(Assumptions!C7+Assumptions!C48+Assumptions!C47+Assumptions!C49+Assumptions!C50+Assumptions!C51+Assumptions!C52))/K66</f>
        <v>124.0687827828742</v>
      </c>
      <c r="L71" s="17">
        <f>(Assumptions!C62+Assumptions!C24*Assumptions!C26-(Assumptions!C7+Assumptions!C48+Assumptions!C47+Assumptions!C49+Assumptions!C50+Assumptions!C51+Assumptions!C52))/L66</f>
        <v>124.30033087643281</v>
      </c>
    </row>
    <row r="72" spans="2:12" x14ac:dyDescent="0.25">
      <c r="B72" s="5" t="s">
        <v>256</v>
      </c>
      <c r="D72" s="17">
        <f>(Assumptions!C62+Assumptions!C24*Assumptions!C26-(IF((Assumptions!C7/D54)&gt;D71,Assumptions!C7,0)+IF((Assumptions!C48/(Assumptions!C46+D55))&gt;D71,Assumptions!C48,0)+IF((Assumptions!C47/(Assumptions!C45+D56))&gt;D71,Assumptions!C47,0)+IF((Assumptions!C49/Assumptions!C44)&gt;D71,Assumptions!C49,0)+IF((Assumptions!C50/Assumptions!C43)&gt;D71,Assumptions!C50,0)+IF((Assumptions!C51/Assumptions!C42)&gt;D71,Assumptions!C51,0)+IF((Assumptions!C52/Assumptions!C41)&gt;D71,Assumptions!C52,0)))/(D66+(IF((Assumptions!C7/D54)&lt;=D71,D54,0)+IF((Assumptions!C48/(Assumptions!C46+D55))&lt;=D71,(Assumptions!C46+D55),0)+IF((Assumptions!C47/(Assumptions!C45+D56))&lt;=D71,(Assumptions!C45+D56),0)+IF((Assumptions!C49/Assumptions!C44)&lt;=D71,Assumptions!C44,0)+IF((Assumptions!C50/Assumptions!C43)&lt;=D71,Assumptions!C43,0)+IF((Assumptions!C51/Assumptions!C42)&lt;=D71,Assumptions!C42,0)+IF((Assumptions!C52/Assumptions!C41)&lt;=D71,Assumptions!C41,0)))</f>
        <v>55.59827007204151</v>
      </c>
      <c r="E72" s="17">
        <f>(Assumptions!C62+Assumptions!C24*Assumptions!C26-(IF((Assumptions!C7/E54)&gt;E71,Assumptions!C7,0)+IF((Assumptions!C48/(Assumptions!C46+E55))&gt;E71,Assumptions!C48,0)+IF((Assumptions!C47/(Assumptions!C45+E56))&gt;E71,Assumptions!C47,0)+IF((Assumptions!C49/Assumptions!C44)&gt;E71,Assumptions!C49,0)+IF((Assumptions!C50/Assumptions!C43)&gt;E71,Assumptions!C50,0)+IF((Assumptions!C51/Assumptions!C42)&gt;E71,Assumptions!C51,0)+IF((Assumptions!C52/Assumptions!C41)&gt;E71,Assumptions!C52,0)))/(E66+(IF((Assumptions!C7/E54)&lt;=E71,E54,0)+IF((Assumptions!C48/(Assumptions!C46+E55))&lt;=E71,(Assumptions!C46+E55),0)+IF((Assumptions!C47/(Assumptions!C45+E56))&lt;=E71,(Assumptions!C45+E56),0)+IF((Assumptions!C49/Assumptions!C44)&lt;=E71,Assumptions!C44,0)+IF((Assumptions!C50/Assumptions!C43)&lt;=E71,Assumptions!C43,0)+IF((Assumptions!C51/Assumptions!C42)&lt;=E71,Assumptions!C42,0)+IF((Assumptions!C52/Assumptions!C41)&lt;=E71,Assumptions!C41,0)))</f>
        <v>55.88455725195959</v>
      </c>
      <c r="F72" s="17">
        <f>(Assumptions!C62+Assumptions!C24*Assumptions!C26-(IF((Assumptions!C7/F54)&gt;F71,Assumptions!C7,0)+IF((Assumptions!C48/(Assumptions!C46+F55))&gt;F71,Assumptions!C48,0)+IF((Assumptions!C47/(Assumptions!C45+F56))&gt;F71,Assumptions!C47,0)+IF((Assumptions!C49/Assumptions!C44)&gt;F71,Assumptions!C49,0)+IF((Assumptions!C50/Assumptions!C43)&gt;F71,Assumptions!C50,0)+IF((Assumptions!C51/Assumptions!C42)&gt;F71,Assumptions!C51,0)+IF((Assumptions!C52/Assumptions!C41)&gt;F71,Assumptions!C52,0)))/(F66+(IF((Assumptions!C7/F54)&lt;=F71,F54,0)+IF((Assumptions!C48/(Assumptions!C46+F55))&lt;=F71,(Assumptions!C46+F55),0)+IF((Assumptions!C47/(Assumptions!C45+F56))&lt;=F71,(Assumptions!C45+F56),0)+IF((Assumptions!C49/Assumptions!C44)&lt;=F71,Assumptions!C44,0)+IF((Assumptions!C50/Assumptions!C43)&lt;=F71,Assumptions!C43,0)+IF((Assumptions!C51/Assumptions!C42)&lt;=F71,Assumptions!C42,0)+IF((Assumptions!C52/Assumptions!C41)&lt;=F71,Assumptions!C41,0)))</f>
        <v>56.25168307674225</v>
      </c>
      <c r="G72" s="17">
        <f>(Assumptions!C62+Assumptions!C24*Assumptions!C26-(IF((Assumptions!C7/G54)&gt;G71,Assumptions!C7,0)+IF((Assumptions!C48/(Assumptions!C46+G55))&gt;G71,Assumptions!C48,0)+IF((Assumptions!C47/(Assumptions!C45+G56))&gt;G71,Assumptions!C47,0)+IF((Assumptions!C49/Assumptions!C44)&gt;G71,Assumptions!C49,0)+IF((Assumptions!C50/Assumptions!C43)&gt;G71,Assumptions!C50,0)+IF((Assumptions!C51/Assumptions!C42)&gt;G71,Assumptions!C51,0)+IF((Assumptions!C52/Assumptions!C41)&gt;G71,Assumptions!C52,0)))/(G66+(IF((Assumptions!C7/G54)&lt;=G71,G54,0)+IF((Assumptions!C48/(Assumptions!C46+G55))&lt;=G71,(Assumptions!C46+G55),0)+IF((Assumptions!C47/(Assumptions!C45+G56))&lt;=G71,(Assumptions!C45+G56),0)+IF((Assumptions!C49/Assumptions!C44)&lt;=G71,Assumptions!C44,0)+IF((Assumptions!C50/Assumptions!C43)&lt;=G71,Assumptions!C43,0)+IF((Assumptions!C51/Assumptions!C42)&lt;=G71,Assumptions!C42,0)+IF((Assumptions!C52/Assumptions!C41)&lt;=G71,Assumptions!C41,0)))</f>
        <v>55.561556432003115</v>
      </c>
      <c r="H72" s="17">
        <f>(Assumptions!C62+Assumptions!C24*Assumptions!C26-(IF((Assumptions!C7/H54)&gt;H71,Assumptions!C7,0)+IF((Assumptions!C48/(Assumptions!C46+H55))&gt;H71,Assumptions!C48,0)+IF((Assumptions!C47/(Assumptions!C45+H56))&gt;H71,Assumptions!C47,0)+IF((Assumptions!C49/Assumptions!C44)&gt;H71,Assumptions!C49,0)+IF((Assumptions!C50/Assumptions!C43)&gt;H71,Assumptions!C50,0)+IF((Assumptions!C51/Assumptions!C42)&gt;H71,Assumptions!C51,0)+IF((Assumptions!C52/Assumptions!C41)&gt;H71,Assumptions!C52,0)))/(H66+(IF((Assumptions!C7/H54)&lt;=H71,H54,0)+IF((Assumptions!C48/(Assumptions!C46+H55))&lt;=H71,(Assumptions!C46+H55),0)+IF((Assumptions!C47/(Assumptions!C45+H56))&lt;=H71,(Assumptions!C45+H56),0)+IF((Assumptions!C49/Assumptions!C44)&lt;=H71,Assumptions!C44,0)+IF((Assumptions!C50/Assumptions!C43)&lt;=H71,Assumptions!C43,0)+IF((Assumptions!C51/Assumptions!C42)&lt;=H71,Assumptions!C42,0)+IF((Assumptions!C52/Assumptions!C41)&lt;=H71,Assumptions!C41,0)))</f>
        <v>55.853753530642244</v>
      </c>
      <c r="I72" s="17">
        <f>(Assumptions!C62+Assumptions!C24*Assumptions!C26-(IF((Assumptions!C7/I54)&gt;I71,Assumptions!C7,0)+IF((Assumptions!C48/(Assumptions!C46+I55))&gt;I71,Assumptions!C48,0)+IF((Assumptions!C47/(Assumptions!C45+I56))&gt;I71,Assumptions!C47,0)+IF((Assumptions!C49/Assumptions!C44)&gt;I71,Assumptions!C49,0)+IF((Assumptions!C50/Assumptions!C43)&gt;I71,Assumptions!C50,0)+IF((Assumptions!C51/Assumptions!C42)&gt;I71,Assumptions!C51,0)+IF((Assumptions!C52/Assumptions!C41)&gt;I71,Assumptions!C52,0)))/(I66+(IF((Assumptions!C7/I54)&lt;=I71,I54,0)+IF((Assumptions!C48/(Assumptions!C46+I55))&lt;=I71,(Assumptions!C46+I55),0)+IF((Assumptions!C47/(Assumptions!C45+I56))&lt;=I71,(Assumptions!C45+I56),0)+IF((Assumptions!C49/Assumptions!C44)&lt;=I71,Assumptions!C44,0)+IF((Assumptions!C50/Assumptions!C43)&lt;=I71,Assumptions!C43,0)+IF((Assumptions!C51/Assumptions!C42)&lt;=I71,Assumptions!C42,0)+IF((Assumptions!C52/Assumptions!C41)&lt;=I71,Assumptions!C41,0)))</f>
        <v>56.227914620371024</v>
      </c>
      <c r="J72" s="17">
        <f>(Assumptions!C62+Assumptions!C24*Assumptions!C26-(IF((Assumptions!C7/J54)&gt;J71,Assumptions!C7,0)+IF((Assumptions!C48/(Assumptions!C46+J55))&gt;J71,Assumptions!C48,0)+IF((Assumptions!C47/(Assumptions!C45+J56))&gt;J71,Assumptions!C47,0)+IF((Assumptions!C49/Assumptions!C44)&gt;J71,Assumptions!C49,0)+IF((Assumptions!C50/Assumptions!C43)&gt;J71,Assumptions!C50,0)+IF((Assumptions!C51/Assumptions!C42)&gt;J71,Assumptions!C51,0)+IF((Assumptions!C52/Assumptions!C41)&gt;J71,Assumptions!C52,0)))/(J66+(IF((Assumptions!C7/J54)&lt;=J71,J54,0)+IF((Assumptions!C48/(Assumptions!C46+J55))&lt;=J71,(Assumptions!C46+J55),0)+IF((Assumptions!C47/(Assumptions!C45+J56))&lt;=J71,(Assumptions!C45+J56),0)+IF((Assumptions!C49/Assumptions!C44)&lt;=J71,Assumptions!C44,0)+IF((Assumptions!C50/Assumptions!C43)&lt;=J71,Assumptions!C43,0)+IF((Assumptions!C51/Assumptions!C42)&lt;=J71,Assumptions!C42,0)+IF((Assumptions!C52/Assumptions!C41)&lt;=J71,Assumptions!C41,0)))</f>
        <v>55.50738165867527</v>
      </c>
      <c r="K72" s="17">
        <f>(Assumptions!C62+Assumptions!C24*Assumptions!C26-(IF((Assumptions!C7/K54)&gt;K71,Assumptions!C7,0)+IF((Assumptions!C48/(Assumptions!C46+K55))&gt;K71,Assumptions!C48,0)+IF((Assumptions!C47/(Assumptions!C45+K56))&gt;K71,Assumptions!C47,0)+IF((Assumptions!C49/Assumptions!C44)&gt;K71,Assumptions!C49,0)+IF((Assumptions!C50/Assumptions!C43)&gt;K71,Assumptions!C50,0)+IF((Assumptions!C51/Assumptions!C42)&gt;K71,Assumptions!C51,0)+IF((Assumptions!C52/Assumptions!C41)&gt;K71,Assumptions!C52,0)))/(K66+(IF((Assumptions!C7/K54)&lt;=K71,K54,0)+IF((Assumptions!C48/(Assumptions!C46+K55))&lt;=K71,(Assumptions!C46+K55),0)+IF((Assumptions!C47/(Assumptions!C45+K56))&lt;=K71,(Assumptions!C45+K56),0)+IF((Assumptions!C49/Assumptions!C44)&lt;=K71,Assumptions!C44,0)+IF((Assumptions!C50/Assumptions!C43)&lt;=K71,Assumptions!C43,0)+IF((Assumptions!C51/Assumptions!C42)&lt;=K71,Assumptions!C42,0)+IF((Assumptions!C52/Assumptions!C41)&lt;=K71,Assumptions!C41,0)))</f>
        <v>55.806425531384505</v>
      </c>
      <c r="L72" s="17">
        <f>(Assumptions!C62+Assumptions!C24*Assumptions!C26-(IF((Assumptions!C7/L54)&gt;L71,Assumptions!C7,0)+IF((Assumptions!C48/(Assumptions!C46+L55))&gt;L71,Assumptions!C48,0)+IF((Assumptions!C47/(Assumptions!C45+L56))&gt;L71,Assumptions!C47,0)+IF((Assumptions!C49/Assumptions!C44)&gt;L71,Assumptions!C49,0)+IF((Assumptions!C50/Assumptions!C43)&gt;L71,Assumptions!C50,0)+IF((Assumptions!C51/Assumptions!C42)&gt;L71,Assumptions!C51,0)+IF((Assumptions!C52/Assumptions!C41)&gt;L71,Assumptions!C52,0)))/(L66+(IF((Assumptions!C7/L54)&lt;=L71,L54,0)+IF((Assumptions!C48/(Assumptions!C46+L55))&lt;=L71,(Assumptions!C46+L55),0)+IF((Assumptions!C47/(Assumptions!C45+L56))&lt;=L71,(Assumptions!C45+L56),0)+IF((Assumptions!C49/Assumptions!C44)&lt;=L71,Assumptions!C44,0)+IF((Assumptions!C50/Assumptions!C43)&lt;=L71,Assumptions!C43,0)+IF((Assumptions!C51/Assumptions!C42)&lt;=L71,Assumptions!C42,0)+IF((Assumptions!C52/Assumptions!C41)&lt;=L71,Assumptions!C41,0)))</f>
        <v>56.18935252966499</v>
      </c>
    </row>
    <row r="73" spans="2:12" x14ac:dyDescent="0.25">
      <c r="B73" s="5" t="s">
        <v>257</v>
      </c>
      <c r="D73" s="17">
        <f>(Assumptions!C62+Assumptions!C24*Assumptions!C26-(IF((Assumptions!C7/D54)&gt;D72,Assumptions!C7,0)+IF((Assumptions!C48/(Assumptions!C46+D55))&gt;D72,Assumptions!C48,0)+IF((Assumptions!C47/(Assumptions!C45+D56))&gt;D72,Assumptions!C47,0)+IF((Assumptions!C49/Assumptions!C44)&gt;D72,Assumptions!C49,0)+IF((Assumptions!C50/Assumptions!C43)&gt;D72,Assumptions!C50,0)+IF((Assumptions!C51/Assumptions!C42)&gt;D72,Assumptions!C51,0)+IF((Assumptions!C52/Assumptions!C41)&gt;D72,Assumptions!C52,0)))/(D66+(IF((Assumptions!C7/D54)&lt;=D72,D54,0)+IF((Assumptions!C48/(Assumptions!C46+D55))&lt;=D72,(Assumptions!C46+D55),0)+IF((Assumptions!C47/(Assumptions!C45+D56))&lt;=D72,(Assumptions!C45+D56),0)+IF((Assumptions!C49/Assumptions!C44)&lt;=D72,Assumptions!C44,0)+IF((Assumptions!C50/Assumptions!C43)&lt;=D72,Assumptions!C43,0)+IF((Assumptions!C51/Assumptions!C42)&lt;=D72,Assumptions!C42,0)+IF((Assumptions!C52/Assumptions!C41)&lt;=D72,Assumptions!C41,0)))</f>
        <v>55.502342989512094</v>
      </c>
      <c r="E73" s="17">
        <f>(Assumptions!C62+Assumptions!C24*Assumptions!C26-(IF((Assumptions!C7/E54)&gt;E72,Assumptions!C7,0)+IF((Assumptions!C48/(Assumptions!C46+E55))&gt;E72,Assumptions!C48,0)+IF((Assumptions!C47/(Assumptions!C45+E56))&gt;E72,Assumptions!C47,0)+IF((Assumptions!C49/Assumptions!C44)&gt;E72,Assumptions!C49,0)+IF((Assumptions!C50/Assumptions!C43)&gt;E72,Assumptions!C50,0)+IF((Assumptions!C51/Assumptions!C42)&gt;E72,Assumptions!C51,0)+IF((Assumptions!C52/Assumptions!C41)&gt;E72,Assumptions!C52,0)))/(E66+(IF((Assumptions!C7/E54)&lt;=E72,E54,0)+IF((Assumptions!C48/(Assumptions!C46+E55))&lt;=E72,(Assumptions!C46+E55),0)+IF((Assumptions!C47/(Assumptions!C45+E56))&lt;=E72,(Assumptions!C45+E56),0)+IF((Assumptions!C49/Assumptions!C44)&lt;=E72,Assumptions!C44,0)+IF((Assumptions!C50/Assumptions!C43)&lt;=E72,Assumptions!C43,0)+IF((Assumptions!C51/Assumptions!C42)&lt;=E72,Assumptions!C42,0)+IF((Assumptions!C52/Assumptions!C41)&lt;=E72,Assumptions!C41,0)))</f>
        <v>55.79268026193301</v>
      </c>
      <c r="F73" s="17">
        <f>(Assumptions!C62+Assumptions!C24*Assumptions!C26-(IF((Assumptions!C7/F54)&gt;F72,Assumptions!C7,0)+IF((Assumptions!C48/(Assumptions!C46+F55))&gt;F72,Assumptions!C48,0)+IF((Assumptions!C47/(Assumptions!C45+F56))&gt;F72,Assumptions!C47,0)+IF((Assumptions!C49/Assumptions!C44)&gt;F72,Assumptions!C49,0)+IF((Assumptions!C50/Assumptions!C43)&gt;F72,Assumptions!C50,0)+IF((Assumptions!C51/Assumptions!C42)&gt;F72,Assumptions!C51,0)+IF((Assumptions!C52/Assumptions!C41)&gt;F72,Assumptions!C52,0)))/(F66+(IF((Assumptions!C7/F54)&lt;=F72,F54,0)+IF((Assumptions!C48/(Assumptions!C46+F55))&lt;=F72,(Assumptions!C46+F55),0)+IF((Assumptions!C47/(Assumptions!C45+F56))&lt;=F72,(Assumptions!C45+F56),0)+IF((Assumptions!C49/Assumptions!C44)&lt;=F72,Assumptions!C44,0)+IF((Assumptions!C50/Assumptions!C43)&lt;=F72,Assumptions!C43,0)+IF((Assumptions!C51/Assumptions!C42)&lt;=F72,Assumptions!C42,0)+IF((Assumptions!C52/Assumptions!C41)&lt;=F72,Assumptions!C41,0)))</f>
        <v>56.16443478922434</v>
      </c>
      <c r="G73" s="17">
        <f>(Assumptions!C62+Assumptions!C24*Assumptions!C26-(IF((Assumptions!C7/G54)&gt;G72,Assumptions!C7,0)+IF((Assumptions!C48/(Assumptions!C46+G55))&gt;G72,Assumptions!C48,0)+IF((Assumptions!C47/(Assumptions!C45+G56))&gt;G72,Assumptions!C47,0)+IF((Assumptions!C49/Assumptions!C44)&gt;G72,Assumptions!C49,0)+IF((Assumptions!C50/Assumptions!C43)&gt;G72,Assumptions!C50,0)+IF((Assumptions!C51/Assumptions!C42)&gt;G72,Assumptions!C51,0)+IF((Assumptions!C52/Assumptions!C41)&gt;G72,Assumptions!C52,0)))/(G66+(IF((Assumptions!C7/G54)&lt;=G72,G54,0)+IF((Assumptions!C48/(Assumptions!C46+G55))&lt;=G72,(Assumptions!C46+G55),0)+IF((Assumptions!C47/(Assumptions!C45+G56))&lt;=G72,(Assumptions!C45+G56),0)+IF((Assumptions!C49/Assumptions!C44)&lt;=G72,Assumptions!C44,0)+IF((Assumptions!C50/Assumptions!C43)&lt;=G72,Assumptions!C43,0)+IF((Assumptions!C51/Assumptions!C42)&lt;=G72,Assumptions!C42,0)+IF((Assumptions!C52/Assumptions!C41)&lt;=G72,Assumptions!C41,0)))</f>
        <v>55.46499481948448</v>
      </c>
      <c r="H73" s="17">
        <f>(Assumptions!C62+Assumptions!C24*Assumptions!C26-(IF((Assumptions!C7/H54)&gt;H72,Assumptions!C7,0)+IF((Assumptions!C48/(Assumptions!C46+H55))&gt;H72,Assumptions!C48,0)+IF((Assumptions!C47/(Assumptions!C45+H56))&gt;H72,Assumptions!C47,0)+IF((Assumptions!C49/Assumptions!C44)&gt;H72,Assumptions!C49,0)+IF((Assumptions!C50/Assumptions!C43)&gt;H72,Assumptions!C50,0)+IF((Assumptions!C51/Assumptions!C42)&gt;H72,Assumptions!C51,0)+IF((Assumptions!C52/Assumptions!C41)&gt;H72,Assumptions!C52,0)))/(H66+(IF((Assumptions!C7/H54)&lt;=H72,H54,0)+IF((Assumptions!C48/(Assumptions!C46+H55))&lt;=H72,(Assumptions!C46+H55),0)+IF((Assumptions!C47/(Assumptions!C45+H56))&lt;=H72,(Assumptions!C45+H56),0)+IF((Assumptions!C49/Assumptions!C44)&lt;=H72,Assumptions!C44,0)+IF((Assumptions!C50/Assumptions!C43)&lt;=H72,Assumptions!C43,0)+IF((Assumptions!C51/Assumptions!C42)&lt;=H72,Assumptions!C42,0)+IF((Assumptions!C52/Assumptions!C41)&lt;=H72,Assumptions!C41,0)))</f>
        <v>55.761324080900955</v>
      </c>
      <c r="I73" s="17">
        <f>(Assumptions!C62+Assumptions!C24*Assumptions!C26-(IF((Assumptions!C7/I54)&gt;I72,Assumptions!C7,0)+IF((Assumptions!C48/(Assumptions!C46+I55))&gt;I72,Assumptions!C48,0)+IF((Assumptions!C47/(Assumptions!C45+I56))&gt;I72,Assumptions!C47,0)+IF((Assumptions!C49/Assumptions!C44)&gt;I72,Assumptions!C49,0)+IF((Assumptions!C50/Assumptions!C43)&gt;I72,Assumptions!C50,0)+IF((Assumptions!C51/Assumptions!C42)&gt;I72,Assumptions!C51,0)+IF((Assumptions!C52/Assumptions!C41)&gt;I72,Assumptions!C52,0)))/(I66+(IF((Assumptions!C7/I54)&lt;=I72,I54,0)+IF((Assumptions!C48/(Assumptions!C46+I55))&lt;=I72,(Assumptions!C46+I55),0)+IF((Assumptions!C47/(Assumptions!C45+I56))&lt;=I72,(Assumptions!C45+I56),0)+IF((Assumptions!C49/Assumptions!C44)&lt;=I72,Assumptions!C44,0)+IF((Assumptions!C50/Assumptions!C43)&lt;=I72,Assumptions!C43,0)+IF((Assumptions!C51/Assumptions!C42)&lt;=I72,Assumptions!C42,0)+IF((Assumptions!C52/Assumptions!C41)&lt;=I72,Assumptions!C41,0)))</f>
        <v>56.14020528024561</v>
      </c>
      <c r="J73" s="17">
        <f>(Assumptions!C62+Assumptions!C24*Assumptions!C26-(IF((Assumptions!C7/J54)&gt;J72,Assumptions!C7,0)+IF((Assumptions!C48/(Assumptions!C46+J55))&gt;J72,Assumptions!C48,0)+IF((Assumptions!C47/(Assumptions!C45+J56))&gt;J72,Assumptions!C47,0)+IF((Assumptions!C49/Assumptions!C44)&gt;J72,Assumptions!C49,0)+IF((Assumptions!C50/Assumptions!C43)&gt;J72,Assumptions!C50,0)+IF((Assumptions!C51/Assumptions!C42)&gt;J72,Assumptions!C51,0)+IF((Assumptions!C52/Assumptions!C41)&gt;J72,Assumptions!C52,0)))/(J66+(IF((Assumptions!C7/J54)&lt;=J72,J54,0)+IF((Assumptions!C48/(Assumptions!C46+J55))&lt;=J72,(Assumptions!C46+J55),0)+IF((Assumptions!C47/(Assumptions!C45+J56))&lt;=J72,(Assumptions!C45+J56),0)+IF((Assumptions!C49/Assumptions!C44)&lt;=J72,Assumptions!C44,0)+IF((Assumptions!C50/Assumptions!C43)&lt;=J72,Assumptions!C43,0)+IF((Assumptions!C51/Assumptions!C42)&lt;=J72,Assumptions!C42,0)+IF((Assumptions!C52/Assumptions!C41)&lt;=J72,Assumptions!C41,0)))</f>
        <v>55.4098854481081</v>
      </c>
      <c r="K73" s="17">
        <f>(Assumptions!C62+Assumptions!C24*Assumptions!C26-(IF((Assumptions!C7/K54)&gt;K72,Assumptions!C7,0)+IF((Assumptions!C48/(Assumptions!C46+K55))&gt;K72,Assumptions!C48,0)+IF((Assumptions!C47/(Assumptions!C45+K56))&gt;K72,Assumptions!C47,0)+IF((Assumptions!C49/Assumptions!C44)&gt;K72,Assumptions!C49,0)+IF((Assumptions!C50/Assumptions!C43)&gt;K72,Assumptions!C50,0)+IF((Assumptions!C51/Assumptions!C42)&gt;K72,Assumptions!C51,0)+IF((Assumptions!C52/Assumptions!C41)&gt;K72,Assumptions!C52,0)))/(K66+(IF((Assumptions!C7/K54)&lt;=K72,K54,0)+IF((Assumptions!C48/(Assumptions!C46+K55))&lt;=K72,(Assumptions!C46+K55),0)+IF((Assumptions!C47/(Assumptions!C45+K56))&lt;=K72,(Assumptions!C45+K56),0)+IF((Assumptions!C49/Assumptions!C44)&lt;=K72,Assumptions!C44,0)+IF((Assumptions!C50/Assumptions!C43)&lt;=K72,Assumptions!C43,0)+IF((Assumptions!C51/Assumptions!C42)&lt;=K72,Assumptions!C42,0)+IF((Assumptions!C52/Assumptions!C41)&lt;=K72,Assumptions!C41,0)))</f>
        <v>55.713148582915615</v>
      </c>
      <c r="L73" s="17">
        <f>(Assumptions!C62+Assumptions!C24*Assumptions!C26-(IF((Assumptions!C7/L54)&gt;L72,Assumptions!C7,0)+IF((Assumptions!C48/(Assumptions!C46+L55))&gt;L72,Assumptions!C48,0)+IF((Assumptions!C47/(Assumptions!C45+L56))&gt;L72,Assumptions!C47,0)+IF((Assumptions!C49/Assumptions!C44)&gt;L72,Assumptions!C49,0)+IF((Assumptions!C50/Assumptions!C43)&gt;L72,Assumptions!C50,0)+IF((Assumptions!C51/Assumptions!C42)&gt;L72,Assumptions!C51,0)+IF((Assumptions!C52/Assumptions!C41)&gt;L72,Assumptions!C52,0)))/(L66+(IF((Assumptions!C7/L54)&lt;=L72,L54,0)+IF((Assumptions!C48/(Assumptions!C46+L55))&lt;=L72,(Assumptions!C46+L55),0)+IF((Assumptions!C47/(Assumptions!C45+L56))&lt;=L72,(Assumptions!C45+L56),0)+IF((Assumptions!C49/Assumptions!C44)&lt;=L72,Assumptions!C44,0)+IF((Assumptions!C50/Assumptions!C43)&lt;=L72,Assumptions!C43,0)+IF((Assumptions!C51/Assumptions!C42)&lt;=L72,Assumptions!C42,0)+IF((Assumptions!C52/Assumptions!C41)&lt;=L72,Assumptions!C41,0)))</f>
        <v>56.10089608862689</v>
      </c>
    </row>
    <row r="74" spans="2:12" x14ac:dyDescent="0.25">
      <c r="B74" s="5" t="s">
        <v>258</v>
      </c>
      <c r="D74" s="17">
        <f>(Assumptions!C62+Assumptions!C24*Assumptions!C26-(IF((Assumptions!C7/D54)&gt;D73,Assumptions!C7,0)+IF((Assumptions!C48/(Assumptions!C46+D55))&gt;D73,Assumptions!C48,0)+IF((Assumptions!C47/(Assumptions!C45+D56))&gt;D73,Assumptions!C47,0)+IF((Assumptions!C49/Assumptions!C44)&gt;D73,Assumptions!C49,0)+IF((Assumptions!C50/Assumptions!C43)&gt;D73,Assumptions!C50,0)+IF((Assumptions!C51/Assumptions!C42)&gt;D73,Assumptions!C51,0)+IF((Assumptions!C52/Assumptions!C41)&gt;D73,Assumptions!C52,0)))/(D66+(IF((Assumptions!C7/D54)&lt;=D73,D54,0)+IF((Assumptions!C48/(Assumptions!C46+D55))&lt;=D73,(Assumptions!C46+D55),0)+IF((Assumptions!C47/(Assumptions!C45+D56))&lt;=D73,(Assumptions!C45+D56),0)+IF((Assumptions!C49/Assumptions!C44)&lt;=D73,Assumptions!C44,0)+IF((Assumptions!C50/Assumptions!C43)&lt;=D73,Assumptions!C43,0)+IF((Assumptions!C51/Assumptions!C42)&lt;=D73,Assumptions!C42,0)+IF((Assumptions!C52/Assumptions!C41)&lt;=D73,Assumptions!C41,0)))</f>
        <v>55.502342989512094</v>
      </c>
      <c r="E74" s="17">
        <f>(Assumptions!C62+Assumptions!C24*Assumptions!C26-(IF((Assumptions!C7/E54)&gt;E73,Assumptions!C7,0)+IF((Assumptions!C48/(Assumptions!C46+E55))&gt;E73,Assumptions!C48,0)+IF((Assumptions!C47/(Assumptions!C45+E56))&gt;E73,Assumptions!C47,0)+IF((Assumptions!C49/Assumptions!C44)&gt;E73,Assumptions!C49,0)+IF((Assumptions!C50/Assumptions!C43)&gt;E73,Assumptions!C50,0)+IF((Assumptions!C51/Assumptions!C42)&gt;E73,Assumptions!C51,0)+IF((Assumptions!C52/Assumptions!C41)&gt;E73,Assumptions!C52,0)))/(E66+(IF((Assumptions!C7/E54)&lt;=E73,E54,0)+IF((Assumptions!C48/(Assumptions!C46+E55))&lt;=E73,(Assumptions!C46+E55),0)+IF((Assumptions!C47/(Assumptions!C45+E56))&lt;=E73,(Assumptions!C45+E56),0)+IF((Assumptions!C49/Assumptions!C44)&lt;=E73,Assumptions!C44,0)+IF((Assumptions!C50/Assumptions!C43)&lt;=E73,Assumptions!C43,0)+IF((Assumptions!C51/Assumptions!C42)&lt;=E73,Assumptions!C42,0)+IF((Assumptions!C52/Assumptions!C41)&lt;=E73,Assumptions!C41,0)))</f>
        <v>55.79268026193301</v>
      </c>
      <c r="F74" s="17">
        <f>(Assumptions!C62+Assumptions!C24*Assumptions!C26-(IF((Assumptions!C7/F54)&gt;F73,Assumptions!C7,0)+IF((Assumptions!C48/(Assumptions!C46+F55))&gt;F73,Assumptions!C48,0)+IF((Assumptions!C47/(Assumptions!C45+F56))&gt;F73,Assumptions!C47,0)+IF((Assumptions!C49/Assumptions!C44)&gt;F73,Assumptions!C49,0)+IF((Assumptions!C50/Assumptions!C43)&gt;F73,Assumptions!C50,0)+IF((Assumptions!C51/Assumptions!C42)&gt;F73,Assumptions!C51,0)+IF((Assumptions!C52/Assumptions!C41)&gt;F73,Assumptions!C52,0)))/(F66+(IF((Assumptions!C7/F54)&lt;=F73,F54,0)+IF((Assumptions!C48/(Assumptions!C46+F55))&lt;=F73,(Assumptions!C46+F55),0)+IF((Assumptions!C47/(Assumptions!C45+F56))&lt;=F73,(Assumptions!C45+F56),0)+IF((Assumptions!C49/Assumptions!C44)&lt;=F73,Assumptions!C44,0)+IF((Assumptions!C50/Assumptions!C43)&lt;=F73,Assumptions!C43,0)+IF((Assumptions!C51/Assumptions!C42)&lt;=F73,Assumptions!C42,0)+IF((Assumptions!C52/Assumptions!C41)&lt;=F73,Assumptions!C41,0)))</f>
        <v>56.16443478922434</v>
      </c>
      <c r="G74" s="17">
        <f>(Assumptions!C62+Assumptions!C24*Assumptions!C26-(IF((Assumptions!C7/G54)&gt;G73,Assumptions!C7,0)+IF((Assumptions!C48/(Assumptions!C46+G55))&gt;G73,Assumptions!C48,0)+IF((Assumptions!C47/(Assumptions!C45+G56))&gt;G73,Assumptions!C47,0)+IF((Assumptions!C49/Assumptions!C44)&gt;G73,Assumptions!C49,0)+IF((Assumptions!C50/Assumptions!C43)&gt;G73,Assumptions!C50,0)+IF((Assumptions!C51/Assumptions!C42)&gt;G73,Assumptions!C51,0)+IF((Assumptions!C52/Assumptions!C41)&gt;G73,Assumptions!C52,0)))/(G66+(IF((Assumptions!C7/G54)&lt;=G73,G54,0)+IF((Assumptions!C48/(Assumptions!C46+G55))&lt;=G73,(Assumptions!C46+G55),0)+IF((Assumptions!C47/(Assumptions!C45+G56))&lt;=G73,(Assumptions!C45+G56),0)+IF((Assumptions!C49/Assumptions!C44)&lt;=G73,Assumptions!C44,0)+IF((Assumptions!C50/Assumptions!C43)&lt;=G73,Assumptions!C43,0)+IF((Assumptions!C51/Assumptions!C42)&lt;=G73,Assumptions!C42,0)+IF((Assumptions!C52/Assumptions!C41)&lt;=G73,Assumptions!C41,0)))</f>
        <v>55.46499481948448</v>
      </c>
      <c r="H74" s="17">
        <f>(Assumptions!C62+Assumptions!C24*Assumptions!C26-(IF((Assumptions!C7/H54)&gt;H73,Assumptions!C7,0)+IF((Assumptions!C48/(Assumptions!C46+H55))&gt;H73,Assumptions!C48,0)+IF((Assumptions!C47/(Assumptions!C45+H56))&gt;H73,Assumptions!C47,0)+IF((Assumptions!C49/Assumptions!C44)&gt;H73,Assumptions!C49,0)+IF((Assumptions!C50/Assumptions!C43)&gt;H73,Assumptions!C50,0)+IF((Assumptions!C51/Assumptions!C42)&gt;H73,Assumptions!C51,0)+IF((Assumptions!C52/Assumptions!C41)&gt;H73,Assumptions!C52,0)))/(H66+(IF((Assumptions!C7/H54)&lt;=H73,H54,0)+IF((Assumptions!C48/(Assumptions!C46+H55))&lt;=H73,(Assumptions!C46+H55),0)+IF((Assumptions!C47/(Assumptions!C45+H56))&lt;=H73,(Assumptions!C45+H56),0)+IF((Assumptions!C49/Assumptions!C44)&lt;=H73,Assumptions!C44,0)+IF((Assumptions!C50/Assumptions!C43)&lt;=H73,Assumptions!C43,0)+IF((Assumptions!C51/Assumptions!C42)&lt;=H73,Assumptions!C42,0)+IF((Assumptions!C52/Assumptions!C41)&lt;=H73,Assumptions!C41,0)))</f>
        <v>55.761324080900955</v>
      </c>
      <c r="I74" s="17">
        <f>(Assumptions!C62+Assumptions!C24*Assumptions!C26-(IF((Assumptions!C7/I54)&gt;I73,Assumptions!C7,0)+IF((Assumptions!C48/(Assumptions!C46+I55))&gt;I73,Assumptions!C48,0)+IF((Assumptions!C47/(Assumptions!C45+I56))&gt;I73,Assumptions!C47,0)+IF((Assumptions!C49/Assumptions!C44)&gt;I73,Assumptions!C49,0)+IF((Assumptions!C50/Assumptions!C43)&gt;I73,Assumptions!C50,0)+IF((Assumptions!C51/Assumptions!C42)&gt;I73,Assumptions!C51,0)+IF((Assumptions!C52/Assumptions!C41)&gt;I73,Assumptions!C52,0)))/(I66+(IF((Assumptions!C7/I54)&lt;=I73,I54,0)+IF((Assumptions!C48/(Assumptions!C46+I55))&lt;=I73,(Assumptions!C46+I55),0)+IF((Assumptions!C47/(Assumptions!C45+I56))&lt;=I73,(Assumptions!C45+I56),0)+IF((Assumptions!C49/Assumptions!C44)&lt;=I73,Assumptions!C44,0)+IF((Assumptions!C50/Assumptions!C43)&lt;=I73,Assumptions!C43,0)+IF((Assumptions!C51/Assumptions!C42)&lt;=I73,Assumptions!C42,0)+IF((Assumptions!C52/Assumptions!C41)&lt;=I73,Assumptions!C41,0)))</f>
        <v>56.14020528024561</v>
      </c>
      <c r="J74" s="17">
        <f>(Assumptions!C62+Assumptions!C24*Assumptions!C26-(IF((Assumptions!C7/J54)&gt;J73,Assumptions!C7,0)+IF((Assumptions!C48/(Assumptions!C46+J55))&gt;J73,Assumptions!C48,0)+IF((Assumptions!C47/(Assumptions!C45+J56))&gt;J73,Assumptions!C47,0)+IF((Assumptions!C49/Assumptions!C44)&gt;J73,Assumptions!C49,0)+IF((Assumptions!C50/Assumptions!C43)&gt;J73,Assumptions!C50,0)+IF((Assumptions!C51/Assumptions!C42)&gt;J73,Assumptions!C51,0)+IF((Assumptions!C52/Assumptions!C41)&gt;J73,Assumptions!C52,0)))/(J66+(IF((Assumptions!C7/J54)&lt;=J73,J54,0)+IF((Assumptions!C48/(Assumptions!C46+J55))&lt;=J73,(Assumptions!C46+J55),0)+IF((Assumptions!C47/(Assumptions!C45+J56))&lt;=J73,(Assumptions!C45+J56),0)+IF((Assumptions!C49/Assumptions!C44)&lt;=J73,Assumptions!C44,0)+IF((Assumptions!C50/Assumptions!C43)&lt;=J73,Assumptions!C43,0)+IF((Assumptions!C51/Assumptions!C42)&lt;=J73,Assumptions!C42,0)+IF((Assumptions!C52/Assumptions!C41)&lt;=J73,Assumptions!C41,0)))</f>
        <v>55.4098854481081</v>
      </c>
      <c r="K74" s="17">
        <f>(Assumptions!C62+Assumptions!C24*Assumptions!C26-(IF((Assumptions!C7/K54)&gt;K73,Assumptions!C7,0)+IF((Assumptions!C48/(Assumptions!C46+K55))&gt;K73,Assumptions!C48,0)+IF((Assumptions!C47/(Assumptions!C45+K56))&gt;K73,Assumptions!C47,0)+IF((Assumptions!C49/Assumptions!C44)&gt;K73,Assumptions!C49,0)+IF((Assumptions!C50/Assumptions!C43)&gt;K73,Assumptions!C50,0)+IF((Assumptions!C51/Assumptions!C42)&gt;K73,Assumptions!C51,0)+IF((Assumptions!C52/Assumptions!C41)&gt;K73,Assumptions!C52,0)))/(K66+(IF((Assumptions!C7/K54)&lt;=K73,K54,0)+IF((Assumptions!C48/(Assumptions!C46+K55))&lt;=K73,(Assumptions!C46+K55),0)+IF((Assumptions!C47/(Assumptions!C45+K56))&lt;=K73,(Assumptions!C45+K56),0)+IF((Assumptions!C49/Assumptions!C44)&lt;=K73,Assumptions!C44,0)+IF((Assumptions!C50/Assumptions!C43)&lt;=K73,Assumptions!C43,0)+IF((Assumptions!C51/Assumptions!C42)&lt;=K73,Assumptions!C42,0)+IF((Assumptions!C52/Assumptions!C41)&lt;=K73,Assumptions!C41,0)))</f>
        <v>55.713148582915615</v>
      </c>
      <c r="L74" s="17">
        <f>(Assumptions!C62+Assumptions!C24*Assumptions!C26-(IF((Assumptions!C7/L54)&gt;L73,Assumptions!C7,0)+IF((Assumptions!C48/(Assumptions!C46+L55))&gt;L73,Assumptions!C48,0)+IF((Assumptions!C47/(Assumptions!C45+L56))&gt;L73,Assumptions!C47,0)+IF((Assumptions!C49/Assumptions!C44)&gt;L73,Assumptions!C49,0)+IF((Assumptions!C50/Assumptions!C43)&gt;L73,Assumptions!C50,0)+IF((Assumptions!C51/Assumptions!C42)&gt;L73,Assumptions!C51,0)+IF((Assumptions!C52/Assumptions!C41)&gt;L73,Assumptions!C52,0)))/(L66+(IF((Assumptions!C7/L54)&lt;=L73,L54,0)+IF((Assumptions!C48/(Assumptions!C46+L55))&lt;=L73,(Assumptions!C46+L55),0)+IF((Assumptions!C47/(Assumptions!C45+L56))&lt;=L73,(Assumptions!C45+L56),0)+IF((Assumptions!C49/Assumptions!C44)&lt;=L73,Assumptions!C44,0)+IF((Assumptions!C50/Assumptions!C43)&lt;=L73,Assumptions!C43,0)+IF((Assumptions!C51/Assumptions!C42)&lt;=L73,Assumptions!C42,0)+IF((Assumptions!C52/Assumptions!C41)&lt;=L73,Assumptions!C41,0)))</f>
        <v>56.10089608862689</v>
      </c>
    </row>
    <row r="75" spans="2:12" x14ac:dyDescent="0.25">
      <c r="B75" s="20" t="s">
        <v>259</v>
      </c>
      <c r="D75" s="17">
        <f>(Assumptions!C62+Assumptions!C24*Assumptions!C26-(IF((Assumptions!C7/D54)&gt;D74,Assumptions!C7,0)+IF((Assumptions!C48/(Assumptions!C46+D55))&gt;D74,Assumptions!C48,0)+IF((Assumptions!C47/(Assumptions!C45+D56))&gt;D74,Assumptions!C47,0)+IF((Assumptions!C49/Assumptions!C44)&gt;D74,Assumptions!C49,0)+IF((Assumptions!C50/Assumptions!C43)&gt;D74,Assumptions!C50,0)+IF((Assumptions!C51/Assumptions!C42)&gt;D74,Assumptions!C51,0)+IF((Assumptions!C52/Assumptions!C41)&gt;D74,Assumptions!C52,0)))/(D66+(IF((Assumptions!C7/D54)&lt;=D74,D54,0)+IF((Assumptions!C48/(Assumptions!C46+D55))&lt;=D74,(Assumptions!C46+D55),0)+IF((Assumptions!C47/(Assumptions!C45+D56))&lt;=D74,(Assumptions!C45+D56),0)+IF((Assumptions!C49/Assumptions!C44)&lt;=D74,Assumptions!C44,0)+IF((Assumptions!C50/Assumptions!C43)&lt;=D74,Assumptions!C43,0)+IF((Assumptions!C51/Assumptions!C42)&lt;=D74,Assumptions!C42,0)+IF((Assumptions!C52/Assumptions!C41)&lt;=D74,Assumptions!C41,0)))</f>
        <v>55.502342989512094</v>
      </c>
      <c r="E75" s="17">
        <f>(Assumptions!C62+Assumptions!C24*Assumptions!C26-(IF((Assumptions!C7/E54)&gt;E74,Assumptions!C7,0)+IF((Assumptions!C48/(Assumptions!C46+E55))&gt;E74,Assumptions!C48,0)+IF((Assumptions!C47/(Assumptions!C45+E56))&gt;E74,Assumptions!C47,0)+IF((Assumptions!C49/Assumptions!C44)&gt;E74,Assumptions!C49,0)+IF((Assumptions!C50/Assumptions!C43)&gt;E74,Assumptions!C50,0)+IF((Assumptions!C51/Assumptions!C42)&gt;E74,Assumptions!C51,0)+IF((Assumptions!C52/Assumptions!C41)&gt;E74,Assumptions!C52,0)))/(E66+(IF((Assumptions!C7/E54)&lt;=E74,E54,0)+IF((Assumptions!C48/(Assumptions!C46+E55))&lt;=E74,(Assumptions!C46+E55),0)+IF((Assumptions!C47/(Assumptions!C45+E56))&lt;=E74,(Assumptions!C45+E56),0)+IF((Assumptions!C49/Assumptions!C44)&lt;=E74,Assumptions!C44,0)+IF((Assumptions!C50/Assumptions!C43)&lt;=E74,Assumptions!C43,0)+IF((Assumptions!C51/Assumptions!C42)&lt;=E74,Assumptions!C42,0)+IF((Assumptions!C52/Assumptions!C41)&lt;=E74,Assumptions!C41,0)))</f>
        <v>55.79268026193301</v>
      </c>
      <c r="F75" s="17">
        <f>(Assumptions!C62+Assumptions!C24*Assumptions!C26-(IF((Assumptions!C7/F54)&gt;F74,Assumptions!C7,0)+IF((Assumptions!C48/(Assumptions!C46+F55))&gt;F74,Assumptions!C48,0)+IF((Assumptions!C47/(Assumptions!C45+F56))&gt;F74,Assumptions!C47,0)+IF((Assumptions!C49/Assumptions!C44)&gt;F74,Assumptions!C49,0)+IF((Assumptions!C50/Assumptions!C43)&gt;F74,Assumptions!C50,0)+IF((Assumptions!C51/Assumptions!C42)&gt;F74,Assumptions!C51,0)+IF((Assumptions!C52/Assumptions!C41)&gt;F74,Assumptions!C52,0)))/(F66+(IF((Assumptions!C7/F54)&lt;=F74,F54,0)+IF((Assumptions!C48/(Assumptions!C46+F55))&lt;=F74,(Assumptions!C46+F55),0)+IF((Assumptions!C47/(Assumptions!C45+F56))&lt;=F74,(Assumptions!C45+F56),0)+IF((Assumptions!C49/Assumptions!C44)&lt;=F74,Assumptions!C44,0)+IF((Assumptions!C50/Assumptions!C43)&lt;=F74,Assumptions!C43,0)+IF((Assumptions!C51/Assumptions!C42)&lt;=F74,Assumptions!C42,0)+IF((Assumptions!C52/Assumptions!C41)&lt;=F74,Assumptions!C41,0)))</f>
        <v>56.16443478922434</v>
      </c>
      <c r="G75" s="17">
        <f>(Assumptions!C62+Assumptions!C24*Assumptions!C26-(IF((Assumptions!C7/G54)&gt;G74,Assumptions!C7,0)+IF((Assumptions!C48/(Assumptions!C46+G55))&gt;G74,Assumptions!C48,0)+IF((Assumptions!C47/(Assumptions!C45+G56))&gt;G74,Assumptions!C47,0)+IF((Assumptions!C49/Assumptions!C44)&gt;G74,Assumptions!C49,0)+IF((Assumptions!C50/Assumptions!C43)&gt;G74,Assumptions!C50,0)+IF((Assumptions!C51/Assumptions!C42)&gt;G74,Assumptions!C51,0)+IF((Assumptions!C52/Assumptions!C41)&gt;G74,Assumptions!C52,0)))/(G66+(IF((Assumptions!C7/G54)&lt;=G74,G54,0)+IF((Assumptions!C48/(Assumptions!C46+G55))&lt;=G74,(Assumptions!C46+G55),0)+IF((Assumptions!C47/(Assumptions!C45+G56))&lt;=G74,(Assumptions!C45+G56),0)+IF((Assumptions!C49/Assumptions!C44)&lt;=G74,Assumptions!C44,0)+IF((Assumptions!C50/Assumptions!C43)&lt;=G74,Assumptions!C43,0)+IF((Assumptions!C51/Assumptions!C42)&lt;=G74,Assumptions!C42,0)+IF((Assumptions!C52/Assumptions!C41)&lt;=G74,Assumptions!C41,0)))</f>
        <v>55.46499481948448</v>
      </c>
      <c r="H75" s="17">
        <f>(Assumptions!C62+Assumptions!C24*Assumptions!C26-(IF((Assumptions!C7/H54)&gt;H74,Assumptions!C7,0)+IF((Assumptions!C48/(Assumptions!C46+H55))&gt;H74,Assumptions!C48,0)+IF((Assumptions!C47/(Assumptions!C45+H56))&gt;H74,Assumptions!C47,0)+IF((Assumptions!C49/Assumptions!C44)&gt;H74,Assumptions!C49,0)+IF((Assumptions!C50/Assumptions!C43)&gt;H74,Assumptions!C50,0)+IF((Assumptions!C51/Assumptions!C42)&gt;H74,Assumptions!C51,0)+IF((Assumptions!C52/Assumptions!C41)&gt;H74,Assumptions!C52,0)))/(H66+(IF((Assumptions!C7/H54)&lt;=H74,H54,0)+IF((Assumptions!C48/(Assumptions!C46+H55))&lt;=H74,(Assumptions!C46+H55),0)+IF((Assumptions!C47/(Assumptions!C45+H56))&lt;=H74,(Assumptions!C45+H56),0)+IF((Assumptions!C49/Assumptions!C44)&lt;=H74,Assumptions!C44,0)+IF((Assumptions!C50/Assumptions!C43)&lt;=H74,Assumptions!C43,0)+IF((Assumptions!C51/Assumptions!C42)&lt;=H74,Assumptions!C42,0)+IF((Assumptions!C52/Assumptions!C41)&lt;=H74,Assumptions!C41,0)))</f>
        <v>55.761324080900955</v>
      </c>
      <c r="I75" s="17">
        <f>(Assumptions!C62+Assumptions!C24*Assumptions!C26-(IF((Assumptions!C7/I54)&gt;I74,Assumptions!C7,0)+IF((Assumptions!C48/(Assumptions!C46+I55))&gt;I74,Assumptions!C48,0)+IF((Assumptions!C47/(Assumptions!C45+I56))&gt;I74,Assumptions!C47,0)+IF((Assumptions!C49/Assumptions!C44)&gt;I74,Assumptions!C49,0)+IF((Assumptions!C50/Assumptions!C43)&gt;I74,Assumptions!C50,0)+IF((Assumptions!C51/Assumptions!C42)&gt;I74,Assumptions!C51,0)+IF((Assumptions!C52/Assumptions!C41)&gt;I74,Assumptions!C52,0)))/(I66+(IF((Assumptions!C7/I54)&lt;=I74,I54,0)+IF((Assumptions!C48/(Assumptions!C46+I55))&lt;=I74,(Assumptions!C46+I55),0)+IF((Assumptions!C47/(Assumptions!C45+I56))&lt;=I74,(Assumptions!C45+I56),0)+IF((Assumptions!C49/Assumptions!C44)&lt;=I74,Assumptions!C44,0)+IF((Assumptions!C50/Assumptions!C43)&lt;=I74,Assumptions!C43,0)+IF((Assumptions!C51/Assumptions!C42)&lt;=I74,Assumptions!C42,0)+IF((Assumptions!C52/Assumptions!C41)&lt;=I74,Assumptions!C41,0)))</f>
        <v>56.14020528024561</v>
      </c>
      <c r="J75" s="17">
        <f>(Assumptions!C62+Assumptions!C24*Assumptions!C26-(IF((Assumptions!C7/J54)&gt;J74,Assumptions!C7,0)+IF((Assumptions!C48/(Assumptions!C46+J55))&gt;J74,Assumptions!C48,0)+IF((Assumptions!C47/(Assumptions!C45+J56))&gt;J74,Assumptions!C47,0)+IF((Assumptions!C49/Assumptions!C44)&gt;J74,Assumptions!C49,0)+IF((Assumptions!C50/Assumptions!C43)&gt;J74,Assumptions!C50,0)+IF((Assumptions!C51/Assumptions!C42)&gt;J74,Assumptions!C51,0)+IF((Assumptions!C52/Assumptions!C41)&gt;J74,Assumptions!C52,0)))/(J66+(IF((Assumptions!C7/J54)&lt;=J74,J54,0)+IF((Assumptions!C48/(Assumptions!C46+J55))&lt;=J74,(Assumptions!C46+J55),0)+IF((Assumptions!C47/(Assumptions!C45+J56))&lt;=J74,(Assumptions!C45+J56),0)+IF((Assumptions!C49/Assumptions!C44)&lt;=J74,Assumptions!C44,0)+IF((Assumptions!C50/Assumptions!C43)&lt;=J74,Assumptions!C43,0)+IF((Assumptions!C51/Assumptions!C42)&lt;=J74,Assumptions!C42,0)+IF((Assumptions!C52/Assumptions!C41)&lt;=J74,Assumptions!C41,0)))</f>
        <v>55.4098854481081</v>
      </c>
      <c r="K75" s="17">
        <f>(Assumptions!C62+Assumptions!C24*Assumptions!C26-(IF((Assumptions!C7/K54)&gt;K74,Assumptions!C7,0)+IF((Assumptions!C48/(Assumptions!C46+K55))&gt;K74,Assumptions!C48,0)+IF((Assumptions!C47/(Assumptions!C45+K56))&gt;K74,Assumptions!C47,0)+IF((Assumptions!C49/Assumptions!C44)&gt;K74,Assumptions!C49,0)+IF((Assumptions!C50/Assumptions!C43)&gt;K74,Assumptions!C50,0)+IF((Assumptions!C51/Assumptions!C42)&gt;K74,Assumptions!C51,0)+IF((Assumptions!C52/Assumptions!C41)&gt;K74,Assumptions!C52,0)))/(K66+(IF((Assumptions!C7/K54)&lt;=K74,K54,0)+IF((Assumptions!C48/(Assumptions!C46+K55))&lt;=K74,(Assumptions!C46+K55),0)+IF((Assumptions!C47/(Assumptions!C45+K56))&lt;=K74,(Assumptions!C45+K56),0)+IF((Assumptions!C49/Assumptions!C44)&lt;=K74,Assumptions!C44,0)+IF((Assumptions!C50/Assumptions!C43)&lt;=K74,Assumptions!C43,0)+IF((Assumptions!C51/Assumptions!C42)&lt;=K74,Assumptions!C42,0)+IF((Assumptions!C52/Assumptions!C41)&lt;=K74,Assumptions!C41,0)))</f>
        <v>55.713148582915615</v>
      </c>
      <c r="L75" s="17">
        <f>(Assumptions!C62+Assumptions!C24*Assumptions!C26-(IF((Assumptions!C7/L54)&gt;L74,Assumptions!C7,0)+IF((Assumptions!C48/(Assumptions!C46+L55))&gt;L74,Assumptions!C48,0)+IF((Assumptions!C47/(Assumptions!C45+L56))&gt;L74,Assumptions!C47,0)+IF((Assumptions!C49/Assumptions!C44)&gt;L74,Assumptions!C49,0)+IF((Assumptions!C50/Assumptions!C43)&gt;L74,Assumptions!C50,0)+IF((Assumptions!C51/Assumptions!C42)&gt;L74,Assumptions!C51,0)+IF((Assumptions!C52/Assumptions!C41)&gt;L74,Assumptions!C52,0)))/(L66+(IF((Assumptions!C7/L54)&lt;=L74,L54,0)+IF((Assumptions!C48/(Assumptions!C46+L55))&lt;=L74,(Assumptions!C46+L55),0)+IF((Assumptions!C47/(Assumptions!C45+L56))&lt;=L74,(Assumptions!C45+L56),0)+IF((Assumptions!C49/Assumptions!C44)&lt;=L74,Assumptions!C44,0)+IF((Assumptions!C50/Assumptions!C43)&lt;=L74,Assumptions!C43,0)+IF((Assumptions!C51/Assumptions!C42)&lt;=L74,Assumptions!C42,0)+IF((Assumptions!C52/Assumptions!C41)&lt;=L74,Assumptions!C41,0)))</f>
        <v>56.10089608862689</v>
      </c>
    </row>
    <row r="76" spans="2:12" x14ac:dyDescent="0.25">
      <c r="B76" s="5" t="s">
        <v>260</v>
      </c>
      <c r="D76" s="16" t="str">
        <f>IF(D51&lt;=D75,"convert","preference")</f>
        <v>convert</v>
      </c>
      <c r="E76" s="16" t="str">
        <f>IF(E51&lt;=E75,"convert","preference")</f>
        <v>convert</v>
      </c>
      <c r="F76" s="16" t="str">
        <f>IF(F51&lt;=F75,"convert","preference")</f>
        <v>convert</v>
      </c>
      <c r="G76" s="16" t="str">
        <f>IF(G51&lt;=G75,"convert","preference")</f>
        <v>convert</v>
      </c>
      <c r="H76" s="16" t="str">
        <f>IF(H51&lt;=H75,"convert","preference")</f>
        <v>convert</v>
      </c>
      <c r="I76" s="16" t="str">
        <f>IF(I51&lt;=I75,"convert","preference")</f>
        <v>convert</v>
      </c>
      <c r="J76" s="16" t="str">
        <f>IF(J51&lt;=J75,"convert","preference")</f>
        <v>convert</v>
      </c>
      <c r="K76" s="16" t="str">
        <f>IF(K51&lt;=K75,"convert","preference")</f>
        <v>convert</v>
      </c>
      <c r="L76" s="16" t="str">
        <f>IF(L51&lt;=L75,"convert","preference")</f>
        <v>convert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9"/>
  <sheetViews>
    <sheetView workbookViewId="0" showGridLines="0"/>
  </sheetViews>
  <sheetFormatPr defaultRowHeight="12.75" outlineLevelRow="0" outlineLevelCol="0" x14ac:dyDescent="0" defaultColWidth="8.955" customHeight="1"/>
  <cols>
    <col min="1" max="1" width="1.705" customWidth="1"/>
    <col min="2" max="2" width="35.205" customWidth="1"/>
    <col min="3" max="7" width="16.455" customWidth="1"/>
  </cols>
  <sheetData>
    <row r="2" ht="18" customHeight="1" spans="2:2" x14ac:dyDescent="0.25">
      <c r="B2" s="1" t="s">
        <v>261</v>
      </c>
    </row>
    <row r="3" spans="2:2" x14ac:dyDescent="0.25">
      <c r="B3" s="2" t="s">
        <v>262</v>
      </c>
    </row>
    <row r="5" spans="2:7" x14ac:dyDescent="0.25">
      <c r="B5" s="3" t="s">
        <v>263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</row>
    <row r="6" spans="2:7" x14ac:dyDescent="0.25">
      <c r="B6" s="12" t="s">
        <v>264</v>
      </c>
      <c r="C6" s="14">
        <f>Assumptions!C60</f>
        <v>700000000</v>
      </c>
      <c r="D6" s="14">
        <f>Assumptions!C61</f>
        <v>1200000000</v>
      </c>
      <c r="E6" s="14">
        <f>Assumptions!C62</f>
        <v>2000000000</v>
      </c>
      <c r="F6" s="14">
        <f>Assumptions!C63</f>
        <v>4000000000</v>
      </c>
      <c r="G6" s="14">
        <f>Assumptions!C64</f>
        <v>8000000000</v>
      </c>
    </row>
    <row r="7" spans="2:7" x14ac:dyDescent="0.25">
      <c r="B7" s="5" t="s">
        <v>265</v>
      </c>
      <c r="C7" s="14">
        <f>Assumptions!C60</f>
        <v>700000000</v>
      </c>
      <c r="D7" s="14">
        <f>Assumptions!C61</f>
        <v>1200000000</v>
      </c>
      <c r="E7" s="14">
        <f>Assumptions!C62</f>
        <v>2000000000</v>
      </c>
      <c r="F7" s="14">
        <f>Assumptions!C63</f>
        <v>4000000000</v>
      </c>
      <c r="G7" s="14">
        <f>Assumptions!C64</f>
        <v>8000000000</v>
      </c>
    </row>
    <row r="8" spans="2:7" x14ac:dyDescent="0.25">
      <c r="B8" s="5" t="s">
        <v>266</v>
      </c>
      <c r="C8" s="17">
        <f>Waterfall!I33</f>
        <v>8.37885644099523</v>
      </c>
      <c r="D8" s="17">
        <f>Waterfall!J33</f>
        <v>28.42057195508319</v>
      </c>
      <c r="E8" s="17">
        <f>Waterfall!K33</f>
        <v>55.76119850002509</v>
      </c>
      <c r="F8" s="17">
        <f>Waterfall!L33</f>
        <v>111.63753041012298</v>
      </c>
      <c r="G8" s="17">
        <f>Waterfall!M33</f>
        <v>223.2053309449117</v>
      </c>
    </row>
    <row r="9" spans="2:7" x14ac:dyDescent="0.25">
      <c r="B9" s="5" t="s">
        <v>267</v>
      </c>
      <c r="C9" s="16" t="str">
        <f>Waterfall!I37</f>
        <v>preference</v>
      </c>
      <c r="D9" s="16" t="str">
        <f>Waterfall!J37</f>
        <v>preference</v>
      </c>
      <c r="E9" s="16" t="str">
        <f>Waterfall!K37</f>
        <v>convert</v>
      </c>
      <c r="F9" s="16" t="str">
        <f>Waterfall!L37</f>
        <v>convert</v>
      </c>
      <c r="G9" s="16" t="str">
        <f>Waterfall!M37</f>
        <v>convert</v>
      </c>
    </row>
    <row r="10" spans="2:7" x14ac:dyDescent="0.25">
      <c r="B10" s="5" t="s">
        <v>268</v>
      </c>
      <c r="C10" s="16">
        <f>Waterfall!C15</f>
        <v>803314.9519864649</v>
      </c>
      <c r="D10" s="16">
        <f>Waterfall!C15</f>
        <v>803314.9519864649</v>
      </c>
      <c r="E10" s="16">
        <f>Waterfall!C15</f>
        <v>803314.9519864649</v>
      </c>
      <c r="F10" s="16">
        <f>Waterfall!C15</f>
        <v>803314.9519864649</v>
      </c>
      <c r="G10" s="16">
        <f>Waterfall!C15</f>
        <v>803314.9519864649</v>
      </c>
    </row>
    <row r="11" spans="2:7" x14ac:dyDescent="0.25">
      <c r="B11" s="5" t="s">
        <v>269</v>
      </c>
      <c r="C11" s="14">
        <f>Assumptions!C7</f>
        <v>30000000</v>
      </c>
      <c r="D11" s="14">
        <f>Assumptions!C7</f>
        <v>30000000</v>
      </c>
      <c r="E11" s="14">
        <f>Assumptions!C7</f>
        <v>30000000</v>
      </c>
      <c r="F11" s="14">
        <f>Assumptions!C7</f>
        <v>30000000</v>
      </c>
      <c r="G11" s="14">
        <f>Assumptions!C7</f>
        <v>30000000</v>
      </c>
    </row>
    <row r="12" spans="2:7" x14ac:dyDescent="0.25">
      <c r="B12" s="5" t="s">
        <v>246</v>
      </c>
      <c r="C12" s="16">
        <f>'Pro-Forma'!K30</f>
        <v>38336360.42042237</v>
      </c>
      <c r="D12" s="16">
        <f>'Pro-Forma'!K30</f>
        <v>38336360.42042237</v>
      </c>
      <c r="E12" s="16">
        <f>'Pro-Forma'!K30</f>
        <v>38336360.42042237</v>
      </c>
      <c r="F12" s="16">
        <f>'Pro-Forma'!K30</f>
        <v>38336360.42042237</v>
      </c>
      <c r="G12" s="16">
        <f>'Pro-Forma'!K30</f>
        <v>38336360.42042237</v>
      </c>
    </row>
    <row r="14" spans="2:7" x14ac:dyDescent="0.25">
      <c r="B14" s="3" t="s">
        <v>270</v>
      </c>
      <c r="C14" s="4" t="s">
        <v>3</v>
      </c>
      <c r="D14" s="4" t="s">
        <v>3</v>
      </c>
      <c r="E14" s="4" t="s">
        <v>3</v>
      </c>
      <c r="F14" s="4" t="s">
        <v>3</v>
      </c>
      <c r="G14" s="4" t="s">
        <v>3</v>
      </c>
    </row>
    <row r="15" spans="2:7" x14ac:dyDescent="0.25">
      <c r="B15" s="20" t="s">
        <v>271</v>
      </c>
      <c r="C15" s="14">
        <f>Assumptions!C75</f>
        <v>30000000</v>
      </c>
      <c r="D15" s="14">
        <f>Assumptions!C75</f>
        <v>30000000</v>
      </c>
      <c r="E15" s="14">
        <f>Assumptions!C75</f>
        <v>30000000</v>
      </c>
      <c r="F15" s="14">
        <f>Assumptions!C75</f>
        <v>30000000</v>
      </c>
      <c r="G15" s="14">
        <f>Assumptions!C75</f>
        <v>30000000</v>
      </c>
    </row>
    <row r="16" spans="2:7" x14ac:dyDescent="0.25">
      <c r="B16" s="5" t="s">
        <v>272</v>
      </c>
      <c r="C16" s="32">
        <f>IF(C9="convert",C15/(C8*C12),C15*C10/(C11*C12))</f>
        <v>0.02095438751036279</v>
      </c>
      <c r="D16" s="32">
        <f>IF(D9="convert",D15/(D8*D12),D15*D10/(D11*D12))</f>
        <v>0.02095438751036279</v>
      </c>
      <c r="E16" s="32">
        <f>IF(E9="convert",E15/(E8*E12),E15*E10/(E11*E12))</f>
        <v>0.014033896704854621</v>
      </c>
      <c r="F16" s="32">
        <f>IF(F9="convert",F15/(F8*F12),F15*F10/(F11*F12))</f>
        <v>0.007009711671454955</v>
      </c>
      <c r="G16" s="32">
        <f>IF(G9="convert",G15/(G8*G12),G15*G10/(G11*G12))</f>
        <v>0.0035059507610119907</v>
      </c>
    </row>
    <row r="17" spans="2:7" x14ac:dyDescent="0.25">
      <c r="B17" s="5" t="s">
        <v>273</v>
      </c>
      <c r="C17" s="16" t="str">
        <f>IF(OR(C16&lt;=0,C16&gt;1,AND(C9="preference",C15&gt;C11)),"Infeasible","Feasible")</f>
        <v>Feasible</v>
      </c>
      <c r="D17" s="16" t="str">
        <f>IF(OR(D16&lt;=0,D16&gt;1,AND(D9="preference",D15&gt;D11)),"Infeasible","Feasible")</f>
        <v>Feasible</v>
      </c>
      <c r="E17" s="16" t="str">
        <f>IF(OR(E16&lt;=0,E16&gt;1,AND(E9="preference",E15&gt;E11)),"Infeasible","Feasible")</f>
        <v>Feasible</v>
      </c>
      <c r="F17" s="16" t="str">
        <f>IF(OR(F16&lt;=0,F16&gt;1,AND(F9="preference",F15&gt;F11)),"Infeasible","Feasible")</f>
        <v>Feasible</v>
      </c>
      <c r="G17" s="16" t="str">
        <f>IF(OR(G16&lt;=0,G16&gt;1,AND(G9="preference",G15&gt;G11)),"Infeasible","Feasible")</f>
        <v>Feasible</v>
      </c>
    </row>
    <row r="18" spans="2:7" x14ac:dyDescent="0.25">
      <c r="B18" s="33" t="s">
        <v>274</v>
      </c>
      <c r="C18" s="15">
        <f>'Pro-Forma'!I70</f>
        <v>0.006984795836787598</v>
      </c>
      <c r="D18" s="15">
        <f>'Pro-Forma'!I70</f>
        <v>0.006984795836787598</v>
      </c>
      <c r="E18" s="15">
        <f>'Pro-Forma'!I70</f>
        <v>0.006984795836787598</v>
      </c>
      <c r="F18" s="15">
        <f>'Pro-Forma'!I70</f>
        <v>0.006984795836787598</v>
      </c>
      <c r="G18" s="15">
        <f>'Pro-Forma'!I70</f>
        <v>0.006984795836787598</v>
      </c>
    </row>
    <row r="20" spans="2:7" x14ac:dyDescent="0.25">
      <c r="B20" s="3" t="s">
        <v>275</v>
      </c>
      <c r="C20" s="4" t="s">
        <v>3</v>
      </c>
      <c r="D20" s="4" t="s">
        <v>3</v>
      </c>
      <c r="E20" s="4" t="s">
        <v>3</v>
      </c>
      <c r="F20" s="4" t="s">
        <v>3</v>
      </c>
      <c r="G20" s="4" t="s">
        <v>3</v>
      </c>
    </row>
    <row r="21" spans="2:7" x14ac:dyDescent="0.25">
      <c r="B21" s="20" t="s">
        <v>276</v>
      </c>
      <c r="C21" s="14">
        <f>Assumptions!C76</f>
        <v>40000000</v>
      </c>
      <c r="D21" s="14">
        <f>Assumptions!C76</f>
        <v>40000000</v>
      </c>
      <c r="E21" s="14">
        <f>Assumptions!C76</f>
        <v>40000000</v>
      </c>
      <c r="F21" s="14">
        <f>Assumptions!C76</f>
        <v>40000000</v>
      </c>
      <c r="G21" s="14">
        <f>Assumptions!C76</f>
        <v>40000000</v>
      </c>
    </row>
    <row r="22" spans="2:7" x14ac:dyDescent="0.25">
      <c r="B22" s="5" t="s">
        <v>272</v>
      </c>
      <c r="C22" s="32">
        <f>IF(C9="convert",C21/(C8*C12),C21*C10/(C11*C12))</f>
        <v>0.02793918334715039</v>
      </c>
      <c r="D22" s="32">
        <f>IF(D9="convert",D21/(D8*D12),D21*D10/(D11*D12))</f>
        <v>0.02793918334715039</v>
      </c>
      <c r="E22" s="32">
        <f>IF(E9="convert",E21/(E8*E12),E21*E10/(E11*E12))</f>
        <v>0.018711862273139493</v>
      </c>
      <c r="F22" s="32">
        <f>IF(F9="convert",F21/(F8*F12),F21*F10/(F11*F12))</f>
        <v>0.009346282228606607</v>
      </c>
      <c r="G22" s="32">
        <f>IF(G9="convert",G21/(G8*G12),G21*G10/(G11*G12))</f>
        <v>0.004674601014682655</v>
      </c>
    </row>
    <row r="23" spans="2:7" x14ac:dyDescent="0.25">
      <c r="B23" s="5" t="s">
        <v>273</v>
      </c>
      <c r="C23" s="16" t="str">
        <f>IF(OR(C22&lt;=0,C22&gt;1,AND(C9="preference",C21&gt;C11)),"Infeasible","Feasible")</f>
        <v>Infeasible</v>
      </c>
      <c r="D23" s="16" t="str">
        <f>IF(OR(D22&lt;=0,D22&gt;1,AND(D9="preference",D21&gt;D11)),"Infeasible","Feasible")</f>
        <v>Infeasible</v>
      </c>
      <c r="E23" s="16" t="str">
        <f>IF(OR(E22&lt;=0,E22&gt;1,AND(E9="preference",E21&gt;E11)),"Infeasible","Feasible")</f>
        <v>Feasible</v>
      </c>
      <c r="F23" s="16" t="str">
        <f>IF(OR(F22&lt;=0,F22&gt;1,AND(F9="preference",F21&gt;F11)),"Infeasible","Feasible")</f>
        <v>Feasible</v>
      </c>
      <c r="G23" s="16" t="str">
        <f>IF(OR(G22&lt;=0,G22&gt;1,AND(G9="preference",G21&gt;G11)),"Infeasible","Feasible")</f>
        <v>Feasible</v>
      </c>
    </row>
    <row r="24" spans="2:7" x14ac:dyDescent="0.25">
      <c r="B24" s="33" t="s">
        <v>274</v>
      </c>
      <c r="C24" s="15">
        <f>'Pro-Forma'!I70</f>
        <v>0.006984795836787598</v>
      </c>
      <c r="D24" s="15">
        <f>'Pro-Forma'!I70</f>
        <v>0.006984795836787598</v>
      </c>
      <c r="E24" s="15">
        <f>'Pro-Forma'!I70</f>
        <v>0.006984795836787598</v>
      </c>
      <c r="F24" s="15">
        <f>'Pro-Forma'!I70</f>
        <v>0.006984795836787598</v>
      </c>
      <c r="G24" s="15">
        <f>'Pro-Forma'!I70</f>
        <v>0.006984795836787598</v>
      </c>
    </row>
    <row r="26" spans="2:7" x14ac:dyDescent="0.25">
      <c r="B26" s="3" t="s">
        <v>277</v>
      </c>
      <c r="C26" s="4" t="s">
        <v>3</v>
      </c>
      <c r="D26" s="4" t="s">
        <v>3</v>
      </c>
      <c r="E26" s="4" t="s">
        <v>3</v>
      </c>
      <c r="F26" s="4" t="s">
        <v>3</v>
      </c>
      <c r="G26" s="4" t="s">
        <v>3</v>
      </c>
    </row>
    <row r="27" spans="2:7" x14ac:dyDescent="0.25">
      <c r="B27" s="5" t="s">
        <v>278</v>
      </c>
      <c r="C27" s="16">
        <f>'Pro-Forma'!H70</f>
        <v>267771.650662155</v>
      </c>
      <c r="D27" s="16">
        <f>'Pro-Forma'!H70</f>
        <v>267771.650662155</v>
      </c>
      <c r="E27" s="16">
        <f>'Pro-Forma'!H70</f>
        <v>267771.650662155</v>
      </c>
      <c r="F27" s="16">
        <f>'Pro-Forma'!H70</f>
        <v>267771.650662155</v>
      </c>
      <c r="G27" s="16">
        <f>'Pro-Forma'!H70</f>
        <v>267771.650662155</v>
      </c>
    </row>
    <row r="28" spans="2:7" x14ac:dyDescent="0.25">
      <c r="B28" s="5" t="s">
        <v>279</v>
      </c>
      <c r="C28" s="11">
        <f>IF(C9="convert",C27*C8,Assumptions!C11)</f>
        <v>10000000</v>
      </c>
      <c r="D28" s="11">
        <f>IF(D9="convert",D27*D8,Assumptions!C11)</f>
        <v>10000000</v>
      </c>
      <c r="E28" s="11">
        <f>IF(E9="convert",E27*E8,Assumptions!C11)</f>
        <v>14931268.165251799</v>
      </c>
      <c r="F28" s="11">
        <f>IF(F9="convert",F27*F8,Assumptions!C11)</f>
        <v>29893365.793765157</v>
      </c>
      <c r="G28" s="11">
        <f>IF(G9="convert",G27*G8,Assumptions!C11)</f>
        <v>59768059.903711595</v>
      </c>
    </row>
    <row r="29" spans="2:7" x14ac:dyDescent="0.25">
      <c r="B29" s="5" t="s">
        <v>280</v>
      </c>
      <c r="C29" s="34">
        <f>C28/Assumptions!C11</f>
        <v>1</v>
      </c>
      <c r="D29" s="34">
        <f>D28/Assumptions!C11</f>
        <v>1</v>
      </c>
      <c r="E29" s="34">
        <f>E28/Assumptions!C11</f>
        <v>1.4931268165251799</v>
      </c>
      <c r="F29" s="34">
        <f>F28/Assumptions!C11</f>
        <v>2.989336579376516</v>
      </c>
      <c r="G29" s="34">
        <f>G28/Assumptions!C11</f>
        <v>5.97680599037116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Pro-Forma</vt:lpstr>
      <vt:lpstr>Waterfall</vt:lpstr>
      <vt:lpstr>Sensitivity</vt:lpstr>
      <vt:lpstr>Return-Solver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2026-04-26T20:29:54Z</dcterms:created>
  <dcterms:modified xsi:type="dcterms:W3CDTF">2026-04-26T20:29:54Z</dcterms:modified>
</cp:coreProperties>
</file>