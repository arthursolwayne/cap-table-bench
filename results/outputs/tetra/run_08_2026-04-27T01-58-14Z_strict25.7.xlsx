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5"/>
    <sheet sheetId="2" name="Pro-Forma" state="visible" r:id="rId6"/>
    <sheet sheetId="3" name="Waterfall" state="visible" r:id="rId7"/>
    <sheet sheetId="4" name="Sensitivity" state="visible" r:id="rId8"/>
    <sheet sheetId="5" name="Return-Solver" state="visible" r:id="rId9"/>
  </sheets>
  <calcPr calcId="171027" fullCalcOnLoad="1"/>
</workbook>
</file>

<file path=xl/sharedStrings.xml><?xml version="1.0" encoding="utf-8"?>
<sst xmlns="http://schemas.openxmlformats.org/spreadsheetml/2006/main" count="454" uniqueCount="319">
  <si>
    <t>Series F Round Assumptions</t>
  </si>
  <si>
    <t>Source: cap_table.xlsx (Stakeholders, Securities, Notes, RoundTerms); $ values in USD; share counts in units</t>
  </si>
  <si>
    <t>Round Terms</t>
  </si>
  <si>
    <t>Series F pre-money</t>
  </si>
  <si>
    <t>USD</t>
  </si>
  <si>
    <t>Series F primary raise</t>
  </si>
  <si>
    <t>Series F secondary raise (tender)</t>
  </si>
  <si>
    <t>Tender PPS multiplier (vs F PPS)</t>
  </si>
  <si>
    <t>%</t>
  </si>
  <si>
    <t>ESOP refresh target (% post-F FD)</t>
  </si>
  <si>
    <t>Our fund Series F check</t>
  </si>
  <si>
    <t>F_LEAD Series F primary check</t>
  </si>
  <si>
    <t>Option strike price (issued options)</t>
  </si>
  <si>
    <t>Pre-F Capital Structure</t>
  </si>
  <si>
    <t>Founder F1 (CEO) common</t>
  </si>
  <si>
    <t>shares</t>
  </si>
  <si>
    <t>Founder F2 (CTO) common</t>
  </si>
  <si>
    <t>Founder F3 (Chief Scientist) common</t>
  </si>
  <si>
    <t>Employee RSAs (E1..E10, 100k each)</t>
  </si>
  <si>
    <t>Issued options outstanding (pre-F)</t>
  </si>
  <si>
    <t>Unissued option pool (pre-F)</t>
  </si>
  <si>
    <t>Pre-F broad-based FD total</t>
  </si>
  <si>
    <t>Prior-Round Preferred (Seed thru E)</t>
  </si>
  <si>
    <t>Seed shares</t>
  </si>
  <si>
    <t>Seed OCP</t>
  </si>
  <si>
    <t>USD/sh</t>
  </si>
  <si>
    <t>Series A shares</t>
  </si>
  <si>
    <t>Series A OCP</t>
  </si>
  <si>
    <t>Series B shares</t>
  </si>
  <si>
    <t>Series B OCP</t>
  </si>
  <si>
    <t>Series C shares</t>
  </si>
  <si>
    <t>Series C OCP</t>
  </si>
  <si>
    <t>Series D shares (issued)</t>
  </si>
  <si>
    <t>Series D OCP-for-AD (post-E compound NCP)</t>
  </si>
  <si>
    <t>Series D PPS issued at (original $60)</t>
  </si>
  <si>
    <t>Series D as-converted post-E</t>
  </si>
  <si>
    <t>Series E shares</t>
  </si>
  <si>
    <t>Series E OCP</t>
  </si>
  <si>
    <t>Convertible Notes (zero accrued interest)</t>
  </si>
  <si>
    <t>Note A principal</t>
  </si>
  <si>
    <t>Note A valuation cap</t>
  </si>
  <si>
    <t>Note A discount</t>
  </si>
  <si>
    <t>Note B principal</t>
  </si>
  <si>
    <t>Note B valuation cap</t>
  </si>
  <si>
    <t>Note B discount</t>
  </si>
  <si>
    <t>Broad-Based WA Anti-Dilution Inputs</t>
  </si>
  <si>
    <t>A: Pre-F broad-based FD (excl. notes &amp; new F primary)</t>
  </si>
  <si>
    <t>Exit Scenarios</t>
  </si>
  <si>
    <t>Exit 1</t>
  </si>
  <si>
    <t>Exit 2</t>
  </si>
  <si>
    <t>Exit 3 (sensitivity reference)</t>
  </si>
  <si>
    <t>Exit 4</t>
  </si>
  <si>
    <t>Exit 5</t>
  </si>
  <si>
    <t>Sensitivity Axes</t>
  </si>
  <si>
    <t>ESOP low</t>
  </si>
  <si>
    <t>ESOP base</t>
  </si>
  <si>
    <t>ESOP high</t>
  </si>
  <si>
    <t>Pre-money low</t>
  </si>
  <si>
    <t>Pre-money base</t>
  </si>
  <si>
    <t>Pre-money high</t>
  </si>
  <si>
    <t>Return Targets</t>
  </si>
  <si>
    <t>3x return on $10M check</t>
  </si>
  <si>
    <t>multiple</t>
  </si>
  <si>
    <t>4x return on $10M check</t>
  </si>
  <si>
    <t>Series F Pro-Forma Cap Table</t>
  </si>
  <si>
    <t>Post-F ownership by stakeholder and security class; values traced from Assumptions</t>
  </si>
  <si>
    <t>Fixed-Point Solve: F PPS, ESOP Top-Up, Note Conversions</t>
  </si>
  <si>
    <t>Iteration</t>
  </si>
  <si>
    <t>F PPS = pre-money / pre-money FD</t>
  </si>
  <si>
    <t>ESOP top-up (post-F target less prior pool)</t>
  </si>
  <si>
    <t>Note A cap-branch shares</t>
  </si>
  <si>
    <t>Note A discount-branch shares</t>
  </si>
  <si>
    <t>Note A shares (= MAX of two branches)</t>
  </si>
  <si>
    <t>Note B cap-branch shares</t>
  </si>
  <si>
    <t>Note B discount-branch shares</t>
  </si>
  <si>
    <t>Note B shares (= MAX of two branches)</t>
  </si>
  <si>
    <t>Residual: F_PPS change vs prior iter</t>
  </si>
  <si>
    <t>Final Fixed-Point Values (from iter 6)</t>
  </si>
  <si>
    <t>F PPS</t>
  </si>
  <si>
    <t>ESOP top-up shares</t>
  </si>
  <si>
    <t>Note A converted shares</t>
  </si>
  <si>
    <t>Note B converted shares</t>
  </si>
  <si>
    <t>F primary new shares (= primary / F PPS)</t>
  </si>
  <si>
    <t>Pre-money FD basis (pre + ESOP + notes), headcount</t>
  </si>
  <si>
    <t>AD uplift on D &amp; E (as-converted excess vs headcount)</t>
  </si>
  <si>
    <t>Total post-F FD (as-converted basis)</t>
  </si>
  <si>
    <t>ESOP % of post-F FD (target = 13.0%)</t>
  </si>
  <si>
    <t>Broad-Based Weighted-Average Anti-Dilution</t>
  </si>
  <si>
    <t>Class</t>
  </si>
  <si>
    <t>OCP (used for AD)</t>
  </si>
  <si>
    <t>Trigger? (F PPS &lt; OCP)</t>
  </si>
  <si>
    <t>New Conversion Price (NCP)</t>
  </si>
  <si>
    <t>New Ratio (OCP / NCP)</t>
  </si>
  <si>
    <t>As-converted shares</t>
  </si>
  <si>
    <t>Seed</t>
  </si>
  <si>
    <t>Series A</t>
  </si>
  <si>
    <t>Series B</t>
  </si>
  <si>
    <t>Series C</t>
  </si>
  <si>
    <t>Series D</t>
  </si>
  <si>
    <t>Series E</t>
  </si>
  <si>
    <t>Total preferred as-converted (post-F AD)</t>
  </si>
  <si>
    <t>Convertible Notes Block</t>
  </si>
  <si>
    <t>Note</t>
  </si>
  <si>
    <t>Cap-implied PPS</t>
  </si>
  <si>
    <t>Discount-implied PPS</t>
  </si>
  <si>
    <t>Conversion PPS (MIN)</t>
  </si>
  <si>
    <t>Branch elected</t>
  </si>
  <si>
    <t>Shares issued</t>
  </si>
  <si>
    <t>Note A</t>
  </si>
  <si>
    <t>Note B</t>
  </si>
  <si>
    <t>Total notes shares</t>
  </si>
  <si>
    <t>Check vs fixed-point block (row 20-21)</t>
  </si>
  <si>
    <t>Secondary Tender (founders -&gt; F_LEAD)</t>
  </si>
  <si>
    <t>Tender PPS (F PPS x multiplier)</t>
  </si>
  <si>
    <t>Tender shares ($15M / tender PPS)</t>
  </si>
  <si>
    <t>Founder F1 contribution (50%)</t>
  </si>
  <si>
    <t>Founder F2 contribution (31.25%)</t>
  </si>
  <si>
    <t>Founder F3 contribution (18.75%)</t>
  </si>
  <si>
    <t>Tender check (sum = total tender)</t>
  </si>
  <si>
    <t>F_LEAD primary preferred shares ($20M / F PPS)</t>
  </si>
  <si>
    <t>F_LEAD secondary common shares (= tender shares)</t>
  </si>
  <si>
    <t>Our fund primary shares ($10M / F PPS)</t>
  </si>
  <si>
    <t>Post-F Cap Table by Stakeholder &amp; Security</t>
  </si>
  <si>
    <t>Stakeholder</t>
  </si>
  <si>
    <t>Security</t>
  </si>
  <si>
    <t>Common / RSA</t>
  </si>
  <si>
    <t>Preferred (as-conv.)</t>
  </si>
  <si>
    <t>Options</t>
  </si>
  <si>
    <t>Total FD</t>
  </si>
  <si>
    <t>Ownership %</t>
  </si>
  <si>
    <t>F1 (CEO)</t>
  </si>
  <si>
    <t>Common</t>
  </si>
  <si>
    <t>F2 (CTO)</t>
  </si>
  <si>
    <t>F3 (Chief Sci.)</t>
  </si>
  <si>
    <t>Employees E1..E10 (RSAs)</t>
  </si>
  <si>
    <t>RSA</t>
  </si>
  <si>
    <t>Option holders (issued options)</t>
  </si>
  <si>
    <t>Option pool (unissued, post-F)</t>
  </si>
  <si>
    <t>Pool (unissued)</t>
  </si>
  <si>
    <t>SEED1 (Seed LP)</t>
  </si>
  <si>
    <t>Seed Pref.</t>
  </si>
  <si>
    <t>A1 (Series A LP)</t>
  </si>
  <si>
    <t>Series A Pref.</t>
  </si>
  <si>
    <t>B1 (Series B LP)</t>
  </si>
  <si>
    <t>Series B Pref.</t>
  </si>
  <si>
    <t>C1 (Series C LP)</t>
  </si>
  <si>
    <t>Series C Pref.</t>
  </si>
  <si>
    <t>D1 (Series D LP)</t>
  </si>
  <si>
    <t>Series D Pref.</t>
  </si>
  <si>
    <t>E1..E10 (Series E LPs)</t>
  </si>
  <si>
    <t>Series E Pref.</t>
  </si>
  <si>
    <t>NA1 (Note A holder)</t>
  </si>
  <si>
    <t>Note A -&gt; common-equiv.</t>
  </si>
  <si>
    <t>NB1 (Note B holder)</t>
  </si>
  <si>
    <t>Note B -&gt; common-equiv.</t>
  </si>
  <si>
    <t>F_LEAD (Series F primary)</t>
  </si>
  <si>
    <t>Series F Pref.</t>
  </si>
  <si>
    <t>F_LEAD (secondary common)</t>
  </si>
  <si>
    <t>Common (tender)</t>
  </si>
  <si>
    <t>Our Fund (Series F primary)</t>
  </si>
  <si>
    <t>Total post-F FD</t>
  </si>
  <si>
    <t>Check</t>
  </si>
  <si>
    <t>Our $10M check post-F ownership</t>
  </si>
  <si>
    <t>Series F Waterfall — 1x NP with Conversion Election</t>
  </si>
  <si>
    <t>Nash equilibrium under reverse-chronological seniority; F most senior, Seed most junior</t>
  </si>
  <si>
    <t>Class Inputs</t>
  </si>
  <si>
    <t>As-conv Shares</t>
  </si>
  <si>
    <t>Aggregate Pref ($)</t>
  </si>
  <si>
    <t>Exit 3</t>
  </si>
  <si>
    <t>Proc. Ex.1</t>
  </si>
  <si>
    <t>Proc. Ex.2</t>
  </si>
  <si>
    <t>Proc. Ex.3</t>
  </si>
  <si>
    <t>Proc. Ex.4</t>
  </si>
  <si>
    <t>Proc. Ex.5</t>
  </si>
  <si>
    <t>Series F</t>
  </si>
  <si>
    <t>Common+RSA / Notes / Options (non-class, always convert)</t>
  </si>
  <si>
    <t>Non-Class Pool Constants</t>
  </si>
  <si>
    <t>Common + RSAs (founders + F_LEAD tender + employees)</t>
  </si>
  <si>
    <t>Issued options (assumed ITM at all 5 exits)</t>
  </si>
  <si>
    <t>Notes shares (Note A + Note B, common-equiv post-conv.)</t>
  </si>
  <si>
    <t>Non-class pool subtotal (rides convert pool always)</t>
  </si>
  <si>
    <t>Issued options strike value (added to residual on ITM)</t>
  </si>
  <si>
    <t>Iteration 1 (bootstrap: assume all others convert)</t>
  </si>
  <si>
    <t>Pool if all convert</t>
  </si>
  <si>
    <t>Residual</t>
  </si>
  <si>
    <t>Exit 1 elec</t>
  </si>
  <si>
    <t>Exit 2 elec</t>
  </si>
  <si>
    <t>Exit 3 elec</t>
  </si>
  <si>
    <t>Exit 4 elec</t>
  </si>
  <si>
    <t>Exit 5 elec</t>
  </si>
  <si>
    <t>Iteration 2 (uses iter-1 profile of others)</t>
  </si>
  <si>
    <t>Per-exit aggregates from iter 1</t>
  </si>
  <si>
    <t>Total iter-1 prefs ($)</t>
  </si>
  <si>
    <t>Total iter-1 convert shares</t>
  </si>
  <si>
    <t>Iter 2 elections</t>
  </si>
  <si>
    <t>Iteration 3 — FINAL (uses iter-2 profile of others)</t>
  </si>
  <si>
    <t>Per-exit aggregates from iter 2</t>
  </si>
  <si>
    <t>Total iter-2 prefs ($)</t>
  </si>
  <si>
    <t>Total iter-2 convert shares</t>
  </si>
  <si>
    <t>Proceeds Calculation</t>
  </si>
  <si>
    <t>Aggregate</t>
  </si>
  <si>
    <t>Exit value</t>
  </si>
  <si>
    <t>Total preferences (preferring classes)</t>
  </si>
  <si>
    <t>Total convert shares (converting classes)</t>
  </si>
  <si>
    <t>Convert pool (non-class + converting classes)</t>
  </si>
  <si>
    <t>Residual to convert pool</t>
  </si>
  <si>
    <t>Per-share value (convert pool)</t>
  </si>
  <si>
    <t>Non-class proceeds detail</t>
  </si>
  <si>
    <t>Common + RSA proceeds</t>
  </si>
  <si>
    <t>Notes (Note A + Note B) proceeds</t>
  </si>
  <si>
    <t>Issued options proceeds (gross, less strike)</t>
  </si>
  <si>
    <t>Sum non-class proceeds</t>
  </si>
  <si>
    <t>Sum class proceeds</t>
  </si>
  <si>
    <t>Total proceeds (class + non-class)</t>
  </si>
  <si>
    <t>Reconcile: total - exit value</t>
  </si>
  <si>
    <t>Sensitivity: Our $10M Check at $2B Exit</t>
  </si>
  <si>
    <t>3x3 grid: ESOP refresh % x Series F pre-money; each cell re-solves full fixed point</t>
  </si>
  <si>
    <t>Post-F Ownership % (Our $10M Check)</t>
  </si>
  <si>
    <t>ESOP \ Pre-Money</t>
  </si>
  <si>
    <t>$ Proceeds at $2B Exit (Our $10M Check)</t>
  </si>
  <si>
    <t>Per-Cell Fixed-Point Solve &amp; Waterfall (helper block)</t>
  </si>
  <si>
    <t>Cell parameter \ (esop, pre)</t>
  </si>
  <si>
    <t>11% / $1.2B</t>
  </si>
  <si>
    <t>11% / $1.4B</t>
  </si>
  <si>
    <t>11% / $1.8B</t>
  </si>
  <si>
    <t>13% / $1.2B</t>
  </si>
  <si>
    <t>13% / $1.4B</t>
  </si>
  <si>
    <t>13% / $1.8B</t>
  </si>
  <si>
    <t>15% / $1.2B</t>
  </si>
  <si>
    <t>15% / $1.4B</t>
  </si>
  <si>
    <t>15% / $1.8B</t>
  </si>
  <si>
    <t>ESOP target</t>
  </si>
  <si>
    <t>Pre-money</t>
  </si>
  <si>
    <t>Primary raise (constant)</t>
  </si>
  <si>
    <t>Iter 0: ESOP top-up (init=0)</t>
  </si>
  <si>
    <t>Iter 0: nA (init=0)</t>
  </si>
  <si>
    <t>Iter 0: nB (init=0)</t>
  </si>
  <si>
    <t>Iter 1: F PPS</t>
  </si>
  <si>
    <t>Iter 1: ESOP top-up</t>
  </si>
  <si>
    <t>Iter 1: nA = MAX(cap, disc)</t>
  </si>
  <si>
    <t>Iter 1: nB = MAX(cap, disc)</t>
  </si>
  <si>
    <t>Iter 2: F PPS</t>
  </si>
  <si>
    <t>Iter 2: ESOP top-up</t>
  </si>
  <si>
    <t>Iter 2: nA = MAX(cap, disc)</t>
  </si>
  <si>
    <t>Iter 2: nB = MAX(cap, disc)</t>
  </si>
  <si>
    <t>Iter 3: F PPS</t>
  </si>
  <si>
    <t>Iter 3: ESOP top-up</t>
  </si>
  <si>
    <t>Iter 3: nA = MAX(cap, disc)</t>
  </si>
  <si>
    <t>Iter 3: nB = MAX(cap, disc)</t>
  </si>
  <si>
    <t>Iter 4: F PPS</t>
  </si>
  <si>
    <t>Iter 4: ESOP top-up</t>
  </si>
  <si>
    <t>Iter 4: nA = MAX(cap, disc)</t>
  </si>
  <si>
    <t>Iter 4: nB = MAX(cap, disc)</t>
  </si>
  <si>
    <t>F PPS (final)</t>
  </si>
  <si>
    <t>ESOP top-up (final)</t>
  </si>
  <si>
    <t>nA (final)</t>
  </si>
  <si>
    <t>nB (final)</t>
  </si>
  <si>
    <t>F primary new shares</t>
  </si>
  <si>
    <t>Our fund shares (= 1/3 of F primary)</t>
  </si>
  <si>
    <t>AD: NCP_D</t>
  </si>
  <si>
    <t>D as-converted shares</t>
  </si>
  <si>
    <t>AD: NCP_E</t>
  </si>
  <si>
    <t>E as-converted shares</t>
  </si>
  <si>
    <t>Total post-F FD (as-conv basis)</t>
  </si>
  <si>
    <t>Waterfall at $2B Exit (per cell)</t>
  </si>
  <si>
    <t>F shares (= F primary new)</t>
  </si>
  <si>
    <t>E shares (as-conv post-AD)</t>
  </si>
  <si>
    <t>D shares (as-conv post-AD)</t>
  </si>
  <si>
    <t>C shares</t>
  </si>
  <si>
    <t>B shares</t>
  </si>
  <si>
    <t>A shares</t>
  </si>
  <si>
    <t>F pref ($)</t>
  </si>
  <si>
    <t>E pref ($)</t>
  </si>
  <si>
    <t>D pref ($)</t>
  </si>
  <si>
    <t>C pref ($)</t>
  </si>
  <si>
    <t>B pref ($)</t>
  </si>
  <si>
    <t>A pref ($)</t>
  </si>
  <si>
    <t>Seed pref ($)</t>
  </si>
  <si>
    <t>Non-class pool (common+RSA+notes+ITM opts)</t>
  </si>
  <si>
    <t>Exit value (= $2B)</t>
  </si>
  <si>
    <t>Strike value (issued opts × $1)</t>
  </si>
  <si>
    <t>Pool if all classes convert</t>
  </si>
  <si>
    <t>Iter 1 elections (assume all-others-convert)</t>
  </si>
  <si>
    <t xml:space="preserve">  F</t>
  </si>
  <si>
    <t xml:space="preserve">  E</t>
  </si>
  <si>
    <t xml:space="preserve">  D</t>
  </si>
  <si>
    <t xml:space="preserve">  C</t>
  </si>
  <si>
    <t xml:space="preserve">  B</t>
  </si>
  <si>
    <t xml:space="preserve">  A</t>
  </si>
  <si>
    <t xml:space="preserve">  Seed</t>
  </si>
  <si>
    <t>Iter 2 elections — FINAL (uses iter-1 profile)</t>
  </si>
  <si>
    <t>Final convert pool</t>
  </si>
  <si>
    <t>Final residual to convert pool</t>
  </si>
  <si>
    <t>Per-share value</t>
  </si>
  <si>
    <t>Our $10M check $ proceeds</t>
  </si>
  <si>
    <t>Our post-F ownership %</t>
  </si>
  <si>
    <t>Check: base case (13%, $1.4B) ownership matches Pro-Forma</t>
  </si>
  <si>
    <t>Return Solver: Required Series F Ownership for 3x / 4x</t>
  </si>
  <si>
    <t>Solves the F-class ownership % our $10M check would need; uses base-case waterfall at each exit</t>
  </si>
  <si>
    <t>Per-Exit Inputs (referencing Waterfall and Pro-Forma)</t>
  </si>
  <si>
    <t>Item</t>
  </si>
  <si>
    <t>F class election (from Waterfall)</t>
  </si>
  <si>
    <t>F class total proceeds (from Waterfall)</t>
  </si>
  <si>
    <t>F class total preference (= primary $30M)</t>
  </si>
  <si>
    <t>F class shares (post-F primary)</t>
  </si>
  <si>
    <t>Per-share value at exit (Waterfall row 60)</t>
  </si>
  <si>
    <t>Total post-F FD (constant)</t>
  </si>
  <si>
    <t>3x Return Solver ($30M target)</t>
  </si>
  <si>
    <t>Target proceeds ($)</t>
  </si>
  <si>
    <t>Required % of F class (= target / F class proceeds)</t>
  </si>
  <si>
    <t>Required % of post-F FD (equivalent share count)</t>
  </si>
  <si>
    <t>Feasibility (TRUE = achievable)</t>
  </si>
  <si>
    <t>4x Return Solver ($40M target)</t>
  </si>
  <si>
    <t>Reference: Current ownership (our $10M = 1/3 of F primary)</t>
  </si>
  <si>
    <t>Current % of F class</t>
  </si>
  <si>
    <t>Current % of post-F FD</t>
  </si>
  <si>
    <t>Note: F class proceeds reflect Nash-equilibrium election at each exit (Waterfall row 7, cols J-N).</t>
  </si>
  <si>
    <t>At low exits where F elects preference, F class total = $30M; required ownership of F approaches 100% (3x) or &gt; 100% (4x, infeasible).</t>
  </si>
  <si>
    <t>At high exits where F converts, F class total scales with per-share value; required ownership decreases.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</si>
</sst>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&quot;$&quot;#,##0_);\(&quot;$&quot;#,##0\);\-\-_)"/>
    <numFmt numFmtId="165" formatCode="0.0%"/>
    <numFmt numFmtId="166" formatCode="#,##0_);\(#,##0\);\-\-_)"/>
    <numFmt numFmtId="167" formatCode="&quot;$&quot;#,##0.000000_);\(&quot;$&quot;#,##0.000000\);\-\-_)"/>
    <numFmt numFmtId="168" formatCode="0.0&quot;x&quot;_);\(0.0&quot;x&quot;\);\-\-_)"/>
    <numFmt numFmtId="169" formatCode="0.0%_);\(0.0%\);\-\-_)"/>
    <numFmt numFmtId="170" formatCode="&quot;$&quot;#,##0,,&quot;M&quot;_);\(&quot;$&quot;#,##0,,&quot;M&quot;\);\-\-_)"/>
  </numFmts>
  <fonts count="10" x14ac:knownFonts="1">
    <font>
      <color theme="1"/>
      <family val="2"/>
      <scheme val="minor"/>
      <sz val="11"/>
      <name val="Calibri"/>
    </font>
    <font>
      <b/>
      <charset val="134"/>
      <color rgb="FF000000"/>
      <family val="1"/>
      <sz val="14"/>
      <name val="Arial"/>
    </font>
    <font>
      <i/>
      <charset val="134"/>
      <color rgb="FF666666"/>
      <family val="1"/>
      <sz val="10"/>
      <name val="Arial"/>
    </font>
    <font>
      <b/>
      <charset val="134"/>
      <color rgb="FFFFFFFF"/>
      <family val="1"/>
      <sz val="10"/>
      <name val="Arial"/>
    </font>
    <font>
      <charset val="134"/>
      <color rgb="FF000000"/>
      <family val="1"/>
      <sz val="10"/>
      <name val="Arial"/>
    </font>
    <font>
      <charset val="134"/>
      <color rgb="FF0000FF"/>
      <family val="1"/>
      <sz val="10"/>
      <name val="Arial"/>
    </font>
    <font>
      <b/>
      <charset val="134"/>
      <color rgb="FF000000"/>
      <family val="1"/>
      <sz val="10"/>
      <name val="Arial"/>
    </font>
    <font>
      <charset val="134"/>
      <color rgb="FF666666"/>
      <family val="1"/>
      <sz val="10"/>
      <name val="Arial"/>
    </font>
    <font>
      <i/>
      <charset val="134"/>
      <color rgb="FF666666"/>
      <family val="1"/>
      <sz val="8"/>
      <name val="Arial"/>
    </font>
    <font>
      <b/>
      <charset val="134"/>
      <color rgb="FF7030A0"/>
      <family val="1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CF8E3"/>
      </patternFill>
    </fill>
    <fill>
      <patternFill patternType="solid">
        <fgColor rgb="FFDCE6F1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164" fontId="5" fillId="3" borderId="0" xfId="0" applyNumberFormat="1" applyFont="1" applyFill="1" applyAlignment="1">
      <alignment horizontal="right"/>
    </xf>
    <xf numFmtId="165" fontId="5" fillId="3" borderId="0" xfId="0" applyNumberFormat="1" applyFont="1" applyFill="1" applyAlignment="1">
      <alignment horizontal="right"/>
    </xf>
    <xf numFmtId="166" fontId="5" fillId="3" borderId="0" xfId="0" applyNumberFormat="1" applyFont="1" applyFill="1" applyAlignment="1">
      <alignment horizontal="right"/>
    </xf>
    <xf numFmtId="167" fontId="5" fillId="3" borderId="0" xfId="0" applyNumberFormat="1" applyFont="1" applyFill="1" applyAlignment="1">
      <alignment horizontal="right"/>
    </xf>
    <xf numFmtId="168" fontId="5" fillId="3" borderId="0" xfId="0" applyNumberFormat="1" applyFont="1" applyFill="1" applyAlignment="1">
      <alignment horizontal="right"/>
    </xf>
    <xf numFmtId="0" fontId="6" fillId="4" borderId="0" xfId="0" applyFont="1" applyFill="1" applyAlignment="1">
      <alignment horizontal="left"/>
    </xf>
    <xf numFmtId="0" fontId="6" fillId="4" borderId="0" xfId="0" applyFont="1" applyFill="1" applyAlignment="1">
      <alignment horizontal="center"/>
    </xf>
    <xf numFmtId="164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4" fontId="9" fillId="0" borderId="0" xfId="0" applyNumberFormat="1" applyFont="1" applyAlignment="1">
      <alignment horizontal="right"/>
    </xf>
    <xf numFmtId="166" fontId="6" fillId="0" borderId="1" xfId="0" applyNumberFormat="1" applyFont="1" applyBorder="1" applyAlignment="1">
      <alignment horizontal="right"/>
    </xf>
    <xf numFmtId="169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9" fontId="9" fillId="0" borderId="0" xfId="0" applyNumberFormat="1" applyFont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0" fontId="3" fillId="2" borderId="0" xfId="0" applyFont="1" applyFill="1" applyAlignment="1">
      <alignment horizontal="center" vertical="center"/>
    </xf>
    <xf numFmtId="170" fontId="6" fillId="4" borderId="0" xfId="0" applyNumberFormat="1" applyFont="1" applyFill="1" applyAlignment="1">
      <alignment horizontal="center"/>
    </xf>
    <xf numFmtId="169" fontId="6" fillId="4" borderId="0" xfId="0" applyNumberFormat="1" applyFont="1" applyFill="1" applyAlignment="1">
      <alignment horizontal="right"/>
    </xf>
    <xf numFmtId="164" fontId="6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67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45.205" customWidth="1"/>
    <col min="3" max="3" width="20.205" customWidth="1"/>
    <col min="4" max="4" width="10.205" customWidth="1"/>
    <col min="5" max="5" width="1.705" customWidth="1"/>
  </cols>
  <sheetData>
    <row r="2" ht="18" customHeight="1" spans="2:2" x14ac:dyDescent="0.25">
      <c r="B2" s="1" t="s">
        <v>0</v>
      </c>
    </row>
    <row r="3" spans="2:2" x14ac:dyDescent="0.25">
      <c r="B3" s="2" t="s">
        <v>1</v>
      </c>
    </row>
    <row r="4" spans="2:4" x14ac:dyDescent="0.25">
      <c r="B4" s="3" t="s">
        <v>2</v>
      </c>
      <c r="C4" s="4"/>
      <c r="D4" s="4"/>
    </row>
    <row r="5" spans="2:4" x14ac:dyDescent="0.25">
      <c r="B5" s="5" t="s">
        <v>3</v>
      </c>
      <c r="C5" s="6">
        <v>1400000000</v>
      </c>
      <c r="D5" s="5" t="s">
        <v>4</v>
      </c>
    </row>
    <row r="6" spans="2:4" x14ac:dyDescent="0.25">
      <c r="B6" s="5" t="s">
        <v>5</v>
      </c>
      <c r="C6" s="6">
        <v>30000000</v>
      </c>
      <c r="D6" s="5" t="s">
        <v>4</v>
      </c>
    </row>
    <row r="7" spans="2:4" x14ac:dyDescent="0.25">
      <c r="B7" s="5" t="s">
        <v>6</v>
      </c>
      <c r="C7" s="6">
        <v>15000000</v>
      </c>
      <c r="D7" s="5" t="s">
        <v>4</v>
      </c>
    </row>
    <row r="8" spans="2:4" x14ac:dyDescent="0.25">
      <c r="B8" s="5" t="s">
        <v>7</v>
      </c>
      <c r="C8" s="7">
        <v>0.85</v>
      </c>
      <c r="D8" s="5" t="s">
        <v>8</v>
      </c>
    </row>
    <row r="9" spans="2:4" x14ac:dyDescent="0.25">
      <c r="B9" s="5" t="s">
        <v>9</v>
      </c>
      <c r="C9" s="7">
        <v>0.13</v>
      </c>
      <c r="D9" s="5" t="s">
        <v>8</v>
      </c>
    </row>
    <row r="10" spans="2:4" x14ac:dyDescent="0.25">
      <c r="B10" s="5" t="s">
        <v>10</v>
      </c>
      <c r="C10" s="6">
        <v>10000000</v>
      </c>
      <c r="D10" s="5" t="s">
        <v>4</v>
      </c>
    </row>
    <row r="11" spans="2:4" x14ac:dyDescent="0.25">
      <c r="B11" s="5" t="s">
        <v>11</v>
      </c>
      <c r="C11" s="6">
        <v>20000000</v>
      </c>
      <c r="D11" s="5" t="s">
        <v>4</v>
      </c>
    </row>
    <row r="12" spans="2:4" x14ac:dyDescent="0.25">
      <c r="B12" s="5" t="s">
        <v>12</v>
      </c>
      <c r="C12" s="6">
        <v>1</v>
      </c>
      <c r="D12" s="5" t="s">
        <v>4</v>
      </c>
    </row>
    <row r="14" spans="2:4" x14ac:dyDescent="0.25">
      <c r="B14" s="3" t="s">
        <v>13</v>
      </c>
      <c r="C14" s="4"/>
      <c r="D14" s="4"/>
    </row>
    <row r="15" spans="2:4" x14ac:dyDescent="0.25">
      <c r="B15" s="5" t="s">
        <v>14</v>
      </c>
      <c r="C15" s="8">
        <v>4000000</v>
      </c>
      <c r="D15" s="5" t="s">
        <v>15</v>
      </c>
    </row>
    <row r="16" spans="2:4" x14ac:dyDescent="0.25">
      <c r="B16" s="5" t="s">
        <v>16</v>
      </c>
      <c r="C16" s="8">
        <v>2500000</v>
      </c>
      <c r="D16" s="5" t="s">
        <v>15</v>
      </c>
    </row>
    <row r="17" spans="2:4" x14ac:dyDescent="0.25">
      <c r="B17" s="5" t="s">
        <v>17</v>
      </c>
      <c r="C17" s="8">
        <v>1500000</v>
      </c>
      <c r="D17" s="5" t="s">
        <v>15</v>
      </c>
    </row>
    <row r="18" spans="2:4" x14ac:dyDescent="0.25">
      <c r="B18" s="5" t="s">
        <v>18</v>
      </c>
      <c r="C18" s="8">
        <v>1000000</v>
      </c>
      <c r="D18" s="5" t="s">
        <v>15</v>
      </c>
    </row>
    <row r="19" spans="2:4" x14ac:dyDescent="0.25">
      <c r="B19" s="5" t="s">
        <v>19</v>
      </c>
      <c r="C19" s="8">
        <v>2500000</v>
      </c>
      <c r="D19" s="5" t="s">
        <v>15</v>
      </c>
    </row>
    <row r="20" spans="2:4" x14ac:dyDescent="0.25">
      <c r="B20" s="5" t="s">
        <v>20</v>
      </c>
      <c r="C20" s="8">
        <v>1894667</v>
      </c>
      <c r="D20" s="5" t="s">
        <v>15</v>
      </c>
    </row>
    <row r="21" spans="2:4" x14ac:dyDescent="0.25">
      <c r="B21" s="5" t="s">
        <v>21</v>
      </c>
      <c r="C21" s="8">
        <v>36617961</v>
      </c>
      <c r="D21" s="5" t="s">
        <v>15</v>
      </c>
    </row>
    <row r="23" spans="2:4" x14ac:dyDescent="0.25">
      <c r="B23" s="3" t="s">
        <v>22</v>
      </c>
      <c r="C23" s="4"/>
      <c r="D23" s="4"/>
    </row>
    <row r="24" spans="2:4" x14ac:dyDescent="0.25">
      <c r="B24" s="5" t="s">
        <v>23</v>
      </c>
      <c r="C24" s="8">
        <v>5000000</v>
      </c>
      <c r="D24" s="5" t="s">
        <v>15</v>
      </c>
    </row>
    <row r="25" spans="2:4" x14ac:dyDescent="0.25">
      <c r="B25" s="5" t="s">
        <v>24</v>
      </c>
      <c r="C25" s="6">
        <v>1</v>
      </c>
      <c r="D25" s="5" t="s">
        <v>25</v>
      </c>
    </row>
    <row r="26" spans="2:4" x14ac:dyDescent="0.25">
      <c r="B26" s="5" t="s">
        <v>26</v>
      </c>
      <c r="C26" s="8">
        <v>5000000</v>
      </c>
      <c r="D26" s="5" t="s">
        <v>15</v>
      </c>
    </row>
    <row r="27" spans="2:4" x14ac:dyDescent="0.25">
      <c r="B27" s="5" t="s">
        <v>27</v>
      </c>
      <c r="C27" s="6">
        <v>3</v>
      </c>
      <c r="D27" s="5" t="s">
        <v>25</v>
      </c>
    </row>
    <row r="28" spans="2:4" x14ac:dyDescent="0.25">
      <c r="B28" s="5" t="s">
        <v>28</v>
      </c>
      <c r="C28" s="8">
        <v>3000000</v>
      </c>
      <c r="D28" s="5" t="s">
        <v>15</v>
      </c>
    </row>
    <row r="29" spans="2:4" x14ac:dyDescent="0.25">
      <c r="B29" s="5" t="s">
        <v>29</v>
      </c>
      <c r="C29" s="6">
        <v>10</v>
      </c>
      <c r="D29" s="5" t="s">
        <v>25</v>
      </c>
    </row>
    <row r="30" spans="2:4" x14ac:dyDescent="0.25">
      <c r="B30" s="5" t="s">
        <v>30</v>
      </c>
      <c r="C30" s="8">
        <v>2400000</v>
      </c>
      <c r="D30" s="5" t="s">
        <v>15</v>
      </c>
    </row>
    <row r="31" spans="2:4" x14ac:dyDescent="0.25">
      <c r="B31" s="5" t="s">
        <v>31</v>
      </c>
      <c r="C31" s="6">
        <v>25</v>
      </c>
      <c r="D31" s="5" t="s">
        <v>25</v>
      </c>
    </row>
    <row r="32" spans="2:4" x14ac:dyDescent="0.25">
      <c r="B32" s="5" t="s">
        <v>32</v>
      </c>
      <c r="C32" s="8">
        <v>1666667</v>
      </c>
      <c r="D32" s="5" t="s">
        <v>15</v>
      </c>
    </row>
    <row r="33" spans="2:4" x14ac:dyDescent="0.25">
      <c r="B33" s="5" t="s">
        <v>33</v>
      </c>
      <c r="C33" s="9">
        <v>58.118347</v>
      </c>
      <c r="D33" s="5" t="s">
        <v>25</v>
      </c>
    </row>
    <row r="34" spans="2:4" x14ac:dyDescent="0.25">
      <c r="B34" s="5" t="s">
        <v>34</v>
      </c>
      <c r="C34" s="6">
        <v>60</v>
      </c>
      <c r="D34" s="5" t="s">
        <v>25</v>
      </c>
    </row>
    <row r="35" spans="2:4" x14ac:dyDescent="0.25">
      <c r="B35" s="5" t="s">
        <v>35</v>
      </c>
      <c r="C35" s="8">
        <v>1720627</v>
      </c>
      <c r="D35" s="5" t="s">
        <v>15</v>
      </c>
    </row>
    <row r="36" spans="2:4" x14ac:dyDescent="0.25">
      <c r="B36" s="5" t="s">
        <v>36</v>
      </c>
      <c r="C36" s="8">
        <v>6102667</v>
      </c>
      <c r="D36" s="5" t="s">
        <v>15</v>
      </c>
    </row>
    <row r="37" spans="2:4" x14ac:dyDescent="0.25">
      <c r="B37" s="5" t="s">
        <v>37</v>
      </c>
      <c r="C37" s="9">
        <v>49.158311</v>
      </c>
      <c r="D37" s="5" t="s">
        <v>25</v>
      </c>
    </row>
    <row r="39" spans="2:4" x14ac:dyDescent="0.25">
      <c r="B39" s="3" t="s">
        <v>38</v>
      </c>
      <c r="C39" s="4"/>
      <c r="D39" s="4"/>
    </row>
    <row r="40" spans="2:4" x14ac:dyDescent="0.25">
      <c r="B40" s="5" t="s">
        <v>39</v>
      </c>
      <c r="C40" s="6">
        <v>5000000</v>
      </c>
      <c r="D40" s="5" t="s">
        <v>4</v>
      </c>
    </row>
    <row r="41" spans="2:4" x14ac:dyDescent="0.25">
      <c r="B41" s="5" t="s">
        <v>40</v>
      </c>
      <c r="C41" s="6">
        <v>1000000000</v>
      </c>
      <c r="D41" s="5" t="s">
        <v>4</v>
      </c>
    </row>
    <row r="42" spans="2:4" x14ac:dyDescent="0.25">
      <c r="B42" s="5" t="s">
        <v>41</v>
      </c>
      <c r="C42" s="7">
        <v>0.2</v>
      </c>
      <c r="D42" s="5" t="s">
        <v>8</v>
      </c>
    </row>
    <row r="43" spans="2:4" x14ac:dyDescent="0.25">
      <c r="B43" s="5" t="s">
        <v>42</v>
      </c>
      <c r="C43" s="6">
        <v>3000000</v>
      </c>
      <c r="D43" s="5" t="s">
        <v>4</v>
      </c>
    </row>
    <row r="44" spans="2:4" x14ac:dyDescent="0.25">
      <c r="B44" s="5" t="s">
        <v>43</v>
      </c>
      <c r="C44" s="6">
        <v>1600000000</v>
      </c>
      <c r="D44" s="5" t="s">
        <v>4</v>
      </c>
    </row>
    <row r="45" spans="2:4" x14ac:dyDescent="0.25">
      <c r="B45" s="5" t="s">
        <v>44</v>
      </c>
      <c r="C45" s="7">
        <v>0.15</v>
      </c>
      <c r="D45" s="5" t="s">
        <v>8</v>
      </c>
    </row>
    <row r="47" spans="2:4" x14ac:dyDescent="0.25">
      <c r="B47" s="3" t="s">
        <v>45</v>
      </c>
      <c r="C47" s="4"/>
      <c r="D47" s="4"/>
    </row>
    <row r="48" spans="2:4" x14ac:dyDescent="0.25">
      <c r="B48" s="5" t="s">
        <v>46</v>
      </c>
      <c r="C48" s="8">
        <v>36617961</v>
      </c>
      <c r="D48" s="5" t="s">
        <v>15</v>
      </c>
    </row>
    <row r="50" spans="2:4" x14ac:dyDescent="0.25">
      <c r="B50" s="3" t="s">
        <v>47</v>
      </c>
      <c r="C50" s="4"/>
      <c r="D50" s="4"/>
    </row>
    <row r="51" spans="2:4" x14ac:dyDescent="0.25">
      <c r="B51" s="5" t="s">
        <v>48</v>
      </c>
      <c r="C51" s="6">
        <v>700000000</v>
      </c>
      <c r="D51" s="5" t="s">
        <v>4</v>
      </c>
    </row>
    <row r="52" spans="2:4" x14ac:dyDescent="0.25">
      <c r="B52" s="5" t="s">
        <v>49</v>
      </c>
      <c r="C52" s="6">
        <v>1200000000</v>
      </c>
      <c r="D52" s="5" t="s">
        <v>4</v>
      </c>
    </row>
    <row r="53" spans="2:4" x14ac:dyDescent="0.25">
      <c r="B53" s="5" t="s">
        <v>50</v>
      </c>
      <c r="C53" s="6">
        <v>2000000000</v>
      </c>
      <c r="D53" s="5" t="s">
        <v>4</v>
      </c>
    </row>
    <row r="54" spans="2:4" x14ac:dyDescent="0.25">
      <c r="B54" s="5" t="s">
        <v>51</v>
      </c>
      <c r="C54" s="6">
        <v>4000000000</v>
      </c>
      <c r="D54" s="5" t="s">
        <v>4</v>
      </c>
    </row>
    <row r="55" spans="2:4" x14ac:dyDescent="0.25">
      <c r="B55" s="5" t="s">
        <v>52</v>
      </c>
      <c r="C55" s="6">
        <v>8000000000</v>
      </c>
      <c r="D55" s="5" t="s">
        <v>4</v>
      </c>
    </row>
    <row r="57" spans="2:4" x14ac:dyDescent="0.25">
      <c r="B57" s="3" t="s">
        <v>53</v>
      </c>
      <c r="C57" s="4"/>
      <c r="D57" s="4"/>
    </row>
    <row r="58" spans="2:4" x14ac:dyDescent="0.25">
      <c r="B58" s="5" t="s">
        <v>54</v>
      </c>
      <c r="C58" s="7">
        <v>0.11</v>
      </c>
      <c r="D58" s="5" t="s">
        <v>8</v>
      </c>
    </row>
    <row r="59" spans="2:4" x14ac:dyDescent="0.25">
      <c r="B59" s="5" t="s">
        <v>55</v>
      </c>
      <c r="C59" s="7">
        <v>0.13</v>
      </c>
      <c r="D59" s="5" t="s">
        <v>8</v>
      </c>
    </row>
    <row r="60" spans="2:4" x14ac:dyDescent="0.25">
      <c r="B60" s="5" t="s">
        <v>56</v>
      </c>
      <c r="C60" s="7">
        <v>0.15</v>
      </c>
      <c r="D60" s="5" t="s">
        <v>8</v>
      </c>
    </row>
    <row r="61" spans="2:4" x14ac:dyDescent="0.25">
      <c r="B61" s="5" t="s">
        <v>57</v>
      </c>
      <c r="C61" s="6">
        <v>1200000000</v>
      </c>
      <c r="D61" s="5" t="s">
        <v>4</v>
      </c>
    </row>
    <row r="62" spans="2:4" x14ac:dyDescent="0.25">
      <c r="B62" s="5" t="s">
        <v>58</v>
      </c>
      <c r="C62" s="6">
        <v>1400000000</v>
      </c>
      <c r="D62" s="5" t="s">
        <v>4</v>
      </c>
    </row>
    <row r="63" spans="2:4" x14ac:dyDescent="0.25">
      <c r="B63" s="5" t="s">
        <v>59</v>
      </c>
      <c r="C63" s="6">
        <v>1800000000</v>
      </c>
      <c r="D63" s="5" t="s">
        <v>4</v>
      </c>
    </row>
    <row r="65" spans="2:4" x14ac:dyDescent="0.25">
      <c r="B65" s="3" t="s">
        <v>60</v>
      </c>
      <c r="C65" s="4"/>
      <c r="D65" s="4"/>
    </row>
    <row r="66" spans="2:4" x14ac:dyDescent="0.25">
      <c r="B66" s="5" t="s">
        <v>61</v>
      </c>
      <c r="C66" s="10">
        <v>3</v>
      </c>
      <c r="D66" s="5" t="s">
        <v>62</v>
      </c>
    </row>
    <row r="67" spans="2:4" x14ac:dyDescent="0.25">
      <c r="B67" s="5" t="s">
        <v>63</v>
      </c>
      <c r="C67" s="10">
        <v>4</v>
      </c>
      <c r="D67" s="5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78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40.205" customWidth="1"/>
    <col min="3" max="3" width="16.455" customWidth="1"/>
    <col min="4" max="4" width="13.955" customWidth="1"/>
    <col min="5" max="5" width="16.455" customWidth="1"/>
    <col min="6" max="6" width="13.955" customWidth="1"/>
    <col min="7" max="7" width="16.455" customWidth="1"/>
    <col min="8" max="9" width="13.955" customWidth="1"/>
  </cols>
  <sheetData>
    <row r="2" ht="18" customHeight="1" spans="2:2" x14ac:dyDescent="0.25">
      <c r="B2" s="1" t="s">
        <v>64</v>
      </c>
    </row>
    <row r="3" spans="2:2" x14ac:dyDescent="0.25">
      <c r="B3" s="2" t="s">
        <v>65</v>
      </c>
    </row>
    <row r="5" spans="2:9" x14ac:dyDescent="0.25">
      <c r="B5" s="3" t="s">
        <v>66</v>
      </c>
      <c r="C5" s="4"/>
      <c r="D5" s="4"/>
      <c r="E5" s="4"/>
      <c r="F5" s="4"/>
      <c r="G5" s="4"/>
      <c r="H5" s="4"/>
      <c r="I5" s="4"/>
    </row>
    <row r="6" spans="2:9" x14ac:dyDescent="0.25">
      <c r="B6" s="11" t="s">
        <v>67</v>
      </c>
      <c r="C6" s="12">
        <v>0</v>
      </c>
      <c r="D6" s="12">
        <v>1</v>
      </c>
      <c r="E6" s="12">
        <v>2</v>
      </c>
      <c r="F6" s="12">
        <v>3</v>
      </c>
      <c r="G6" s="12">
        <v>4</v>
      </c>
      <c r="H6" s="12">
        <v>5</v>
      </c>
      <c r="I6" s="12">
        <v>6</v>
      </c>
    </row>
    <row r="7" spans="2:9" x14ac:dyDescent="0.25">
      <c r="B7" s="5" t="s">
        <v>68</v>
      </c>
      <c r="C7" s="13">
        <f>Assumptions!C5/Assumptions!C21</f>
        <v>38.23260393990807</v>
      </c>
      <c r="D7" s="13">
        <f>Assumptions!C5/(Assumptions!C21+C8+C11+C14)</f>
        <v>37.469844996396155</v>
      </c>
      <c r="E7" s="13">
        <f>Assumptions!C5/(Assumptions!C21+D8+D11+D14)</f>
        <v>37.3680158888127</v>
      </c>
      <c r="F7" s="13">
        <f>Assumptions!C5/(Assumptions!C21+E8+E11+E14)</f>
        <v>37.354203482138324</v>
      </c>
      <c r="G7" s="13">
        <f>Assumptions!C5/(Assumptions!C21+F8+F11+F14)</f>
        <v>37.35232490975996</v>
      </c>
      <c r="H7" s="13">
        <f>Assumptions!C5/(Assumptions!C21+G8+G11+G14)</f>
        <v>37.35206931962087</v>
      </c>
      <c r="I7" s="13">
        <f>Assumptions!C5/(Assumptions!C21+H8+H11+H14)</f>
        <v>37.3520345434554</v>
      </c>
    </row>
    <row r="8" spans="2:9" x14ac:dyDescent="0.25">
      <c r="B8" s="5" t="s">
        <v>69</v>
      </c>
      <c r="C8" s="14">
        <f>MAX(0,Assumptions!C9*(Assumptions!C5+Assumptions!C6)/C7-(Assumptions!C19+Assumptions!C20))</f>
        <v>467675.107071429</v>
      </c>
      <c r="D8" s="14">
        <f>MAX(0,Assumptions!C9*(Assumptions!C5+Assumptions!C6)/D7-(Assumptions!C19+Assumptions!C20))</f>
        <v>566655.898930589</v>
      </c>
      <c r="E8" s="14">
        <f>MAX(0,Assumptions!C9*(Assumptions!C5+Assumptions!C6)/E7-(Assumptions!C19+Assumptions!C20))</f>
        <v>580175.671688519</v>
      </c>
      <c r="F8" s="14">
        <f>MAX(0,Assumptions!C9*(Assumptions!C5+Assumptions!C6)/F7-(Assumptions!C19+Assumptions!C20))</f>
        <v>582015.211652348</v>
      </c>
      <c r="G8" s="14">
        <f>MAX(0,Assumptions!C9*(Assumptions!C5+Assumptions!C6)/G7-(Assumptions!C19+Assumptions!C20))</f>
        <v>582265.505516553</v>
      </c>
      <c r="H8" s="14">
        <f>MAX(0,Assumptions!C9*(Assumptions!C5+Assumptions!C6)/H7-(Assumptions!C19+Assumptions!C20))</f>
        <v>582299.5613237545</v>
      </c>
      <c r="I8" s="14">
        <f>MAX(0,Assumptions!C9*(Assumptions!C5+Assumptions!C6)/I7-(Assumptions!C19+Assumptions!C20))</f>
        <v>582304.195069006</v>
      </c>
    </row>
    <row r="9" spans="2:9" x14ac:dyDescent="0.25">
      <c r="B9" s="15" t="s">
        <v>70</v>
      </c>
      <c r="C9" s="14">
        <f>Assumptions!C40*(Assumptions!C21+C8+0)/Assumptions!C41</f>
        <v>185428.18053535715</v>
      </c>
      <c r="D9" s="14">
        <f>Assumptions!C40*(Assumptions!C21+D8+C14)/Assumptions!C41</f>
        <v>186384.65543162776</v>
      </c>
      <c r="E9" s="14">
        <f>Assumptions!C40*(Assumptions!C21+E8+D14)/Assumptions!C41</f>
        <v>186461.65031400984</v>
      </c>
      <c r="F9" s="14">
        <f>Assumptions!C40*(Assumptions!C21+F8+E14)/Assumptions!C41</f>
        <v>186472.1314147173</v>
      </c>
      <c r="G9" s="14">
        <f>Assumptions!C40*(Assumptions!C21+G8+F14)/Assumptions!C41</f>
        <v>186473.55750733017</v>
      </c>
      <c r="H9" s="14">
        <f>Assumptions!C40*(Assumptions!C21+H8+G14)/Assumptions!C41</f>
        <v>186473.7515461862</v>
      </c>
      <c r="I9" s="14">
        <f>Assumptions!C40*(Assumptions!C21+I8+H14)/Assumptions!C41</f>
        <v>186473.7779477518</v>
      </c>
    </row>
    <row r="10" spans="2:9" x14ac:dyDescent="0.25">
      <c r="B10" s="15" t="s">
        <v>71</v>
      </c>
      <c r="C10" s="14">
        <f>Assumptions!C40/((1-Assumptions!C42)*C7)</f>
        <v>163473.04017857142</v>
      </c>
      <c r="D10" s="14">
        <f>Assumptions!C40/((1-Assumptions!C42)*D7)</f>
        <v>166800.79676340066</v>
      </c>
      <c r="E10" s="14">
        <f>Assumptions!C40/((1-Assumptions!C42)*E7)</f>
        <v>167255.33457801637</v>
      </c>
      <c r="F10" s="14">
        <f>Assumptions!C40/((1-Assumptions!C42)*F7)</f>
        <v>167317.18032720374</v>
      </c>
      <c r="G10" s="14">
        <f>Assumptions!C40/((1-Assumptions!C42)*G7)</f>
        <v>167325.59526346668</v>
      </c>
      <c r="H10" s="14">
        <f>Assumptions!C40/((1-Assumptions!C42)*H7)</f>
        <v>167326.74022739896</v>
      </c>
      <c r="I10" s="14">
        <f>Assumptions!C40/((1-Assumptions!C42)*I7)</f>
        <v>167326.89601496118</v>
      </c>
    </row>
    <row r="11" spans="2:9" x14ac:dyDescent="0.25">
      <c r="B11" s="16" t="s">
        <v>72</v>
      </c>
      <c r="C11" s="14">
        <f>MAX(C9,C10)</f>
        <v>185428.18053535715</v>
      </c>
      <c r="D11" s="14">
        <f>MAX(D9,D10)</f>
        <v>186384.65543162776</v>
      </c>
      <c r="E11" s="14">
        <f>MAX(E9,E10)</f>
        <v>186461.65031400984</v>
      </c>
      <c r="F11" s="14">
        <f>MAX(F9,F10)</f>
        <v>186472.1314147173</v>
      </c>
      <c r="G11" s="14">
        <f>MAX(G9,G10)</f>
        <v>186473.55750733017</v>
      </c>
      <c r="H11" s="14">
        <f>MAX(H9,H10)</f>
        <v>186473.7515461862</v>
      </c>
      <c r="I11" s="14">
        <f>MAX(I9,I10)</f>
        <v>186473.7779477518</v>
      </c>
    </row>
    <row r="12" spans="2:9" x14ac:dyDescent="0.25">
      <c r="B12" s="15" t="s">
        <v>73</v>
      </c>
      <c r="C12" s="14">
        <f>Assumptions!C43*(Assumptions!C21+C8+C11)/Assumptions!C44</f>
        <v>69883.24553926273</v>
      </c>
      <c r="D12" s="14">
        <f>Assumptions!C43*(Assumptions!C21+D8+D11)/Assumptions!C44</f>
        <v>70070.62791442915</v>
      </c>
      <c r="E12" s="14">
        <f>Assumptions!C43*(Assumptions!C21+E8+E11)/Assumptions!C44</f>
        <v>70096.12185375475</v>
      </c>
      <c r="F12" s="14">
        <f>Assumptions!C43*(Assumptions!C21+F8+F11)/Assumptions!C44</f>
        <v>70099.59064325075</v>
      </c>
      <c r="G12" s="14">
        <f>Assumptions!C43*(Assumptions!C21+G8+G11)/Assumptions!C44</f>
        <v>70100.06261816977</v>
      </c>
      <c r="H12" s="14">
        <f>Assumptions!C43*(Assumptions!C21+H8+H11)/Assumptions!C44</f>
        <v>70100.12683663113</v>
      </c>
      <c r="I12" s="14">
        <f>Assumptions!C43*(Assumptions!C21+I8+I11)/Assumptions!C44</f>
        <v>70100.13557440642</v>
      </c>
    </row>
    <row r="13" spans="2:9" x14ac:dyDescent="0.25">
      <c r="B13" s="15" t="s">
        <v>74</v>
      </c>
      <c r="C13" s="14">
        <f>Assumptions!C43/((1-Assumptions!C45)*C7)</f>
        <v>92314.18739495797</v>
      </c>
      <c r="D13" s="14">
        <f>Assumptions!C43/((1-Assumptions!C45)*D7)</f>
        <v>94193.39111344979</v>
      </c>
      <c r="E13" s="14">
        <f>Assumptions!C43/((1-Assumptions!C45)*E7)</f>
        <v>94450.07129111513</v>
      </c>
      <c r="F13" s="14">
        <f>Assumptions!C43/((1-Assumptions!C45)*F7)</f>
        <v>94484.99594947975</v>
      </c>
      <c r="G13" s="14">
        <f>Assumptions!C43/((1-Assumptions!C45)*G7)</f>
        <v>94489.74791348707</v>
      </c>
      <c r="H13" s="14">
        <f>Assumptions!C43/((1-Assumptions!C45)*H7)</f>
        <v>94490.39448135471</v>
      </c>
      <c r="I13" s="14">
        <f>Assumptions!C43/((1-Assumptions!C45)*I7)</f>
        <v>94490.48245550749</v>
      </c>
    </row>
    <row r="14" spans="2:9" x14ac:dyDescent="0.25">
      <c r="B14" s="16" t="s">
        <v>75</v>
      </c>
      <c r="C14" s="14">
        <f>MAX(C12,C13)</f>
        <v>92314.18739495797</v>
      </c>
      <c r="D14" s="14">
        <f>MAX(D12,D13)</f>
        <v>94193.39111344979</v>
      </c>
      <c r="E14" s="14">
        <f>MAX(E12,E13)</f>
        <v>94450.07129111513</v>
      </c>
      <c r="F14" s="14">
        <f>MAX(F12,F13)</f>
        <v>94484.99594947975</v>
      </c>
      <c r="G14" s="14">
        <f>MAX(G12,G13)</f>
        <v>94489.74791348707</v>
      </c>
      <c r="H14" s="14">
        <f>MAX(H12,H13)</f>
        <v>94490.39448135471</v>
      </c>
      <c r="I14" s="14">
        <f>MAX(I12,I13)</f>
        <v>94490.48245550749</v>
      </c>
    </row>
    <row r="15" spans="2:9" x14ac:dyDescent="0.25">
      <c r="B15" s="17" t="s">
        <v>76</v>
      </c>
      <c r="D15" s="14">
        <f>ABS(D7-C7)</f>
        <v>0.762758943511915</v>
      </c>
      <c r="E15" s="14">
        <f>ABS(E7-D7)</f>
        <v>0.101829107583455</v>
      </c>
      <c r="F15" s="14">
        <f>ABS(F7-E7)</f>
        <v>0.013812406674376</v>
      </c>
      <c r="G15" s="14">
        <f>ABS(G7-F7)</f>
        <v>0.001878572378364</v>
      </c>
      <c r="H15" s="14">
        <f>ABS(H7-G7)</f>
        <v>0.00025559013909</v>
      </c>
      <c r="I15" s="14">
        <f>ABS(I7-H7)</f>
        <v>0.00003477616547</v>
      </c>
    </row>
    <row r="17" spans="2:5" x14ac:dyDescent="0.25">
      <c r="B17" s="11" t="s">
        <v>77</v>
      </c>
      <c r="C17" s="12"/>
      <c r="D17" s="12"/>
      <c r="E17" s="12"/>
    </row>
    <row r="18" spans="2:3" x14ac:dyDescent="0.25">
      <c r="B18" s="16" t="s">
        <v>78</v>
      </c>
      <c r="C18" s="18">
        <f>I7</f>
        <v>37.3520345434554</v>
      </c>
    </row>
    <row r="19" spans="2:3" x14ac:dyDescent="0.25">
      <c r="B19" s="5" t="s">
        <v>79</v>
      </c>
      <c r="C19" s="14">
        <f>I8</f>
        <v>582304.195069006</v>
      </c>
    </row>
    <row r="20" spans="2:3" x14ac:dyDescent="0.25">
      <c r="B20" s="5" t="s">
        <v>80</v>
      </c>
      <c r="C20" s="14">
        <f>I11</f>
        <v>186473.7779477518</v>
      </c>
    </row>
    <row r="21" spans="2:3" x14ac:dyDescent="0.25">
      <c r="B21" s="5" t="s">
        <v>81</v>
      </c>
      <c r="C21" s="14">
        <f>I14</f>
        <v>94490.48245550749</v>
      </c>
    </row>
    <row r="22" spans="2:3" x14ac:dyDescent="0.25">
      <c r="B22" s="5" t="s">
        <v>82</v>
      </c>
      <c r="C22" s="14">
        <f>Assumptions!C6/C18</f>
        <v>803169.1008718137</v>
      </c>
    </row>
    <row r="23" spans="2:3" x14ac:dyDescent="0.25">
      <c r="B23" s="5" t="s">
        <v>83</v>
      </c>
      <c r="C23" s="14">
        <f>Assumptions!C21+C19+C20+C21</f>
        <v>37481229.45547227</v>
      </c>
    </row>
    <row r="24" spans="2:3" x14ac:dyDescent="0.25">
      <c r="B24" s="5" t="s">
        <v>84</v>
      </c>
      <c r="C24" s="14">
        <f>(G33-Assumptions!C35)+(G34-Assumptions!C36)</f>
        <v>44917.9976718728</v>
      </c>
    </row>
    <row r="25" spans="2:3" x14ac:dyDescent="0.25">
      <c r="B25" s="16" t="s">
        <v>85</v>
      </c>
      <c r="C25" s="19">
        <f>C23+C22+C24</f>
        <v>38329316.55401596</v>
      </c>
    </row>
    <row r="26" spans="2:3" x14ac:dyDescent="0.25">
      <c r="B26" s="5" t="s">
        <v>86</v>
      </c>
      <c r="C26" s="20">
        <f>(Assumptions!C19+Assumptions!C20+C19)/C25</f>
        <v>0.12984763733147084</v>
      </c>
    </row>
    <row r="27" spans="2:9" x14ac:dyDescent="0.25">
      <c r="B27" s="3" t="s">
        <v>87</v>
      </c>
      <c r="C27" s="4"/>
      <c r="D27" s="4"/>
      <c r="E27" s="4"/>
      <c r="F27" s="4"/>
      <c r="G27" s="4"/>
      <c r="H27" s="4"/>
      <c r="I27" s="4"/>
    </row>
    <row r="28" spans="2:7" x14ac:dyDescent="0.25">
      <c r="B28" s="11" t="s">
        <v>88</v>
      </c>
      <c r="C28" s="12" t="s">
        <v>89</v>
      </c>
      <c r="D28" s="12" t="s">
        <v>90</v>
      </c>
      <c r="E28" s="12" t="s">
        <v>91</v>
      </c>
      <c r="F28" s="12" t="s">
        <v>92</v>
      </c>
      <c r="G28" s="12" t="s">
        <v>93</v>
      </c>
    </row>
    <row r="29" spans="2:7" x14ac:dyDescent="0.25">
      <c r="B29" s="5" t="s">
        <v>94</v>
      </c>
      <c r="C29" s="13">
        <f>Assumptions!C25</f>
        <v>1</v>
      </c>
      <c r="D29" s="5" t="str">
        <f>IF($C$18&lt;Assumptions!C25,"trigger","dormant")</f>
        <v>dormant</v>
      </c>
      <c r="E29" s="13">
        <f>IF($C$18&lt;Assumptions!C25,Assumptions!C25*(Assumptions!C48+Assumptions!C6/Assumptions!C25)/(Assumptions!C48+Assumptions!C6/$C$18),Assumptions!C25)</f>
        <v>1</v>
      </c>
      <c r="F29" s="21">
        <f>Assumptions!C25/E29</f>
        <v>1</v>
      </c>
      <c r="G29" s="14">
        <f>Assumptions!C24*Assumptions!C25/E29</f>
        <v>5000000</v>
      </c>
    </row>
    <row r="30" spans="2:7" x14ac:dyDescent="0.25">
      <c r="B30" s="5" t="s">
        <v>95</v>
      </c>
      <c r="C30" s="13">
        <f>Assumptions!C27</f>
        <v>3</v>
      </c>
      <c r="D30" s="5" t="str">
        <f>IF($C$18&lt;Assumptions!C27,"trigger","dormant")</f>
        <v>dormant</v>
      </c>
      <c r="E30" s="13">
        <f>IF($C$18&lt;Assumptions!C27,Assumptions!C27*(Assumptions!C48+Assumptions!C6/Assumptions!C27)/(Assumptions!C48+Assumptions!C6/$C$18),Assumptions!C27)</f>
        <v>3</v>
      </c>
      <c r="F30" s="21">
        <f>Assumptions!C27/E30</f>
        <v>1</v>
      </c>
      <c r="G30" s="14">
        <f>Assumptions!C26*Assumptions!C27/E30</f>
        <v>5000000</v>
      </c>
    </row>
    <row r="31" spans="2:7" x14ac:dyDescent="0.25">
      <c r="B31" s="5" t="s">
        <v>96</v>
      </c>
      <c r="C31" s="13">
        <f>Assumptions!C29</f>
        <v>10</v>
      </c>
      <c r="D31" s="5" t="str">
        <f>IF($C$18&lt;Assumptions!C29,"trigger","dormant")</f>
        <v>dormant</v>
      </c>
      <c r="E31" s="13">
        <f>IF($C$18&lt;Assumptions!C29,Assumptions!C29*(Assumptions!C48+Assumptions!C6/Assumptions!C29)/(Assumptions!C48+Assumptions!C6/$C$18),Assumptions!C29)</f>
        <v>10</v>
      </c>
      <c r="F31" s="21">
        <f>Assumptions!C29/E31</f>
        <v>1</v>
      </c>
      <c r="G31" s="14">
        <f>Assumptions!C28*Assumptions!C29/E31</f>
        <v>3000000</v>
      </c>
    </row>
    <row r="32" spans="2:7" x14ac:dyDescent="0.25">
      <c r="B32" s="5" t="s">
        <v>97</v>
      </c>
      <c r="C32" s="13">
        <f>Assumptions!C31</f>
        <v>25</v>
      </c>
      <c r="D32" s="5" t="str">
        <f>IF($C$18&lt;Assumptions!C31,"trigger","dormant")</f>
        <v>dormant</v>
      </c>
      <c r="E32" s="13">
        <f>IF($C$18&lt;Assumptions!C31,Assumptions!C31*(Assumptions!C48+Assumptions!C6/Assumptions!C31)/(Assumptions!C48+Assumptions!C6/$C$18),Assumptions!C31)</f>
        <v>25</v>
      </c>
      <c r="F32" s="21">
        <f>Assumptions!C31/E32</f>
        <v>1</v>
      </c>
      <c r="G32" s="14">
        <f>Assumptions!C30*Assumptions!C31/E32</f>
        <v>2400000</v>
      </c>
    </row>
    <row r="33" spans="2:7" x14ac:dyDescent="0.25">
      <c r="B33" s="5" t="s">
        <v>98</v>
      </c>
      <c r="C33" s="13">
        <f>Assumptions!C33</f>
        <v>58.118347</v>
      </c>
      <c r="D33" s="5" t="str">
        <f>IF($C$18&lt;Assumptions!C33,"trigger","dormant")</f>
        <v>trigger</v>
      </c>
      <c r="E33" s="13">
        <f>IF($C$18&lt;Assumptions!C33,Assumptions!C33*(Assumptions!C48+Assumptions!C6/Assumptions!C33)/(Assumptions!C48+Assumptions!C6/$C$18),Assumptions!C33)</f>
        <v>57.67263997674369</v>
      </c>
      <c r="F33" s="21">
        <f>Assumptions!C33/E33</f>
        <v>1.00772822300897</v>
      </c>
      <c r="G33" s="14">
        <f>Assumptions!C35*Assumptions!C33/E33</f>
        <v>1733924.3891712548</v>
      </c>
    </row>
    <row r="34" spans="2:7" x14ac:dyDescent="0.25">
      <c r="B34" s="5" t="s">
        <v>99</v>
      </c>
      <c r="C34" s="13">
        <f>Assumptions!C37</f>
        <v>49.158311</v>
      </c>
      <c r="D34" s="5" t="str">
        <f>IF($C$18&lt;Assumptions!C37,"trigger","dormant")</f>
        <v>trigger</v>
      </c>
      <c r="E34" s="13">
        <f>IF($C$18&lt;Assumptions!C37,Assumptions!C37*(Assumptions!C48+Assumptions!C6/Assumptions!C37)/(Assumptions!C48+Assumptions!C6/$C$18),Assumptions!C37)</f>
        <v>48.90491308228115</v>
      </c>
      <c r="F34" s="21">
        <f>Assumptions!C37/E34</f>
        <v>1.005181440917654</v>
      </c>
      <c r="G34" s="14">
        <f>Assumptions!C36*Assumptions!C37/E34</f>
        <v>6134287.608500618</v>
      </c>
    </row>
    <row r="36" spans="2:7" x14ac:dyDescent="0.25">
      <c r="B36" s="16" t="s">
        <v>100</v>
      </c>
      <c r="G36" s="19">
        <f>SUM(G29:G34)</f>
        <v>23268211.997671872</v>
      </c>
    </row>
    <row r="38" spans="2:9" x14ac:dyDescent="0.25">
      <c r="B38" s="3" t="s">
        <v>101</v>
      </c>
      <c r="C38" s="4"/>
      <c r="D38" s="4"/>
      <c r="E38" s="4"/>
      <c r="F38" s="4"/>
      <c r="G38" s="4"/>
      <c r="H38" s="4"/>
      <c r="I38" s="4"/>
    </row>
    <row r="39" spans="2:7" x14ac:dyDescent="0.25">
      <c r="B39" s="11" t="s">
        <v>102</v>
      </c>
      <c r="C39" s="12" t="s">
        <v>103</v>
      </c>
      <c r="D39" s="12" t="s">
        <v>104</v>
      </c>
      <c r="E39" s="12" t="s">
        <v>105</v>
      </c>
      <c r="F39" s="12" t="s">
        <v>106</v>
      </c>
      <c r="G39" s="12" t="s">
        <v>107</v>
      </c>
    </row>
    <row r="40" spans="2:7" x14ac:dyDescent="0.25">
      <c r="B40" s="5" t="s">
        <v>108</v>
      </c>
      <c r="C40" s="13">
        <f>Assumptions!C41/(Assumptions!C21+C19+C21)</f>
        <v>26.813421400227718</v>
      </c>
      <c r="D40" s="13">
        <f>$C$18*(1-Assumptions!C42)</f>
        <v>29.88162763476432</v>
      </c>
      <c r="E40" s="13">
        <f>MIN(C40,D40)</f>
        <v>26.813421400227718</v>
      </c>
      <c r="F40" s="5" t="str">
        <f>IF(C40&lt;D40,"cap","discount")</f>
        <v>cap</v>
      </c>
      <c r="G40" s="14">
        <f>Assumptions!C40/E40</f>
        <v>186473.77838762256</v>
      </c>
    </row>
    <row r="41" spans="2:7" x14ac:dyDescent="0.25">
      <c r="B41" s="5" t="s">
        <v>109</v>
      </c>
      <c r="C41" s="13">
        <f>Assumptions!C44/(Assumptions!C21+C19+C20)</f>
        <v>42.79592293820471</v>
      </c>
      <c r="D41" s="13">
        <f>$C$18*(1-Assumptions!C45)</f>
        <v>31.74922936193709</v>
      </c>
      <c r="E41" s="13">
        <f>MIN(C41,D41)</f>
        <v>31.74922936193709</v>
      </c>
      <c r="F41" s="5" t="str">
        <f>IF(C41&lt;D41,"cap","discount")</f>
        <v>discount</v>
      </c>
      <c r="G41" s="14">
        <f>Assumptions!C43/E41</f>
        <v>94490.48245550749</v>
      </c>
    </row>
    <row r="42" spans="2:7" x14ac:dyDescent="0.25">
      <c r="B42" s="16" t="s">
        <v>110</v>
      </c>
      <c r="G42" s="19">
        <f>G40+G41</f>
        <v>280964.26084313006</v>
      </c>
    </row>
    <row r="43" spans="2:7" x14ac:dyDescent="0.25">
      <c r="B43" s="22" t="s">
        <v>111</v>
      </c>
      <c r="G43" s="22">
        <f>ROUND((G40+G41)-(C20+C21),2)</f>
        <v>0</v>
      </c>
    </row>
    <row r="45" spans="2:9" x14ac:dyDescent="0.25">
      <c r="B45" s="3" t="s">
        <v>112</v>
      </c>
      <c r="C45" s="4"/>
      <c r="D45" s="4"/>
      <c r="E45" s="4"/>
      <c r="F45" s="4"/>
      <c r="G45" s="4"/>
      <c r="H45" s="4"/>
      <c r="I45" s="4"/>
    </row>
    <row r="46" spans="2:3" x14ac:dyDescent="0.25">
      <c r="B46" s="5" t="s">
        <v>113</v>
      </c>
      <c r="C46" s="13">
        <f>$C$18*Assumptions!C8</f>
        <v>31.74922936193709</v>
      </c>
    </row>
    <row r="47" spans="2:3" x14ac:dyDescent="0.25">
      <c r="B47" s="5" t="s">
        <v>114</v>
      </c>
      <c r="C47" s="14">
        <f>Assumptions!C7/C46</f>
        <v>472452.41227753746</v>
      </c>
    </row>
    <row r="48" spans="2:3" x14ac:dyDescent="0.25">
      <c r="B48" s="15" t="s">
        <v>115</v>
      </c>
      <c r="C48" s="14">
        <f>C47*(Assumptions!C15/(Assumptions!C15+Assumptions!C16+Assumptions!C17))</f>
        <v>236226.20613876873</v>
      </c>
    </row>
    <row r="49" spans="2:3" x14ac:dyDescent="0.25">
      <c r="B49" s="15" t="s">
        <v>116</v>
      </c>
      <c r="C49" s="14">
        <f>C47*(Assumptions!C16/(Assumptions!C15+Assumptions!C16+Assumptions!C17))</f>
        <v>147641.37883673047</v>
      </c>
    </row>
    <row r="50" spans="2:3" x14ac:dyDescent="0.25">
      <c r="B50" s="15" t="s">
        <v>117</v>
      </c>
      <c r="C50" s="14">
        <f>C47*(Assumptions!C17/(Assumptions!C15+Assumptions!C16+Assumptions!C17))</f>
        <v>88584.82730203828</v>
      </c>
    </row>
    <row r="51" spans="2:3" x14ac:dyDescent="0.25">
      <c r="B51" s="22" t="s">
        <v>118</v>
      </c>
      <c r="C51" s="22">
        <f>ROUND((C48+C49+C50)-C47,2)</f>
        <v>0</v>
      </c>
    </row>
    <row r="52" spans="2:3" x14ac:dyDescent="0.25">
      <c r="B52" s="5" t="s">
        <v>119</v>
      </c>
      <c r="C52" s="14">
        <f>Assumptions!C11/$C$18</f>
        <v>535446.0672478758</v>
      </c>
    </row>
    <row r="53" spans="2:3" x14ac:dyDescent="0.25">
      <c r="B53" s="5" t="s">
        <v>120</v>
      </c>
      <c r="C53" s="14">
        <f>C47</f>
        <v>472452.41227753746</v>
      </c>
    </row>
    <row r="54" spans="2:3" x14ac:dyDescent="0.25">
      <c r="B54" s="16" t="s">
        <v>121</v>
      </c>
      <c r="C54" s="14">
        <f>Assumptions!C10/$C$18</f>
        <v>267723.0336239379</v>
      </c>
    </row>
    <row r="56" spans="2:9" x14ac:dyDescent="0.25">
      <c r="B56" s="3" t="s">
        <v>122</v>
      </c>
      <c r="C56" s="4"/>
      <c r="D56" s="4"/>
      <c r="E56" s="4"/>
      <c r="F56" s="4"/>
      <c r="G56" s="4"/>
      <c r="H56" s="4"/>
      <c r="I56" s="4"/>
    </row>
    <row r="57" spans="2:8" x14ac:dyDescent="0.25">
      <c r="B57" s="11" t="s">
        <v>123</v>
      </c>
      <c r="C57" s="12" t="s">
        <v>124</v>
      </c>
      <c r="D57" s="12" t="s">
        <v>125</v>
      </c>
      <c r="E57" s="12" t="s">
        <v>126</v>
      </c>
      <c r="F57" s="12" t="s">
        <v>127</v>
      </c>
      <c r="G57" s="12" t="s">
        <v>128</v>
      </c>
      <c r="H57" s="12" t="s">
        <v>129</v>
      </c>
    </row>
    <row r="58" spans="2:8" x14ac:dyDescent="0.25">
      <c r="B58" s="5" t="s">
        <v>130</v>
      </c>
      <c r="C58" s="5" t="s">
        <v>131</v>
      </c>
      <c r="D58" s="14">
        <f>Assumptions!C15-C48</f>
        <v>3763773.7938612313</v>
      </c>
      <c r="E58" s="14">
        <f>0</f>
        <v>0</v>
      </c>
      <c r="F58" s="14">
        <f>0</f>
        <v>0</v>
      </c>
      <c r="G58" s="14">
        <f>D58+E58+F58</f>
        <v>3763773.7938612313</v>
      </c>
      <c r="H58" s="20">
        <f>G58/$G$75</f>
        <v>0.09819569280641632</v>
      </c>
    </row>
    <row r="59" spans="2:8" x14ac:dyDescent="0.25">
      <c r="B59" s="5" t="s">
        <v>132</v>
      </c>
      <c r="C59" s="5" t="s">
        <v>131</v>
      </c>
      <c r="D59" s="14">
        <f>Assumptions!C16-C49</f>
        <v>2352358.6211632695</v>
      </c>
      <c r="E59" s="14">
        <f>0</f>
        <v>0</v>
      </c>
      <c r="F59" s="14">
        <f>0</f>
        <v>0</v>
      </c>
      <c r="G59" s="14">
        <f>D59+E59+F59</f>
        <v>2352358.6211632695</v>
      </c>
      <c r="H59" s="20">
        <f>G59/$G$75</f>
        <v>0.061372308004010195</v>
      </c>
    </row>
    <row r="60" spans="2:8" x14ac:dyDescent="0.25">
      <c r="B60" s="5" t="s">
        <v>133</v>
      </c>
      <c r="C60" s="5" t="s">
        <v>131</v>
      </c>
      <c r="D60" s="14">
        <f>Assumptions!C17-C50</f>
        <v>1411415.1726979618</v>
      </c>
      <c r="E60" s="14">
        <f>0</f>
        <v>0</v>
      </c>
      <c r="F60" s="14">
        <f>0</f>
        <v>0</v>
      </c>
      <c r="G60" s="14">
        <f>D60+E60+F60</f>
        <v>1411415.1726979618</v>
      </c>
      <c r="H60" s="20">
        <f>G60/$G$75</f>
        <v>0.03682338480240612</v>
      </c>
    </row>
    <row r="61" spans="2:8" x14ac:dyDescent="0.25">
      <c r="B61" s="5" t="s">
        <v>134</v>
      </c>
      <c r="C61" s="5" t="s">
        <v>135</v>
      </c>
      <c r="D61" s="14">
        <f>Assumptions!C18</f>
        <v>1000000</v>
      </c>
      <c r="E61" s="14">
        <f>0</f>
        <v>0</v>
      </c>
      <c r="F61" s="14">
        <f>0</f>
        <v>0</v>
      </c>
      <c r="G61" s="14">
        <f>D61+E61+F61</f>
        <v>1000000</v>
      </c>
      <c r="H61" s="20">
        <f>G61/$G$75</f>
        <v>0.0260896903439242</v>
      </c>
    </row>
    <row r="62" spans="2:8" x14ac:dyDescent="0.25">
      <c r="B62" s="5" t="s">
        <v>136</v>
      </c>
      <c r="C62" s="5" t="s">
        <v>127</v>
      </c>
      <c r="D62" s="14">
        <f>0</f>
        <v>0</v>
      </c>
      <c r="E62" s="14">
        <f>0</f>
        <v>0</v>
      </c>
      <c r="F62" s="14">
        <f>Assumptions!C19</f>
        <v>2500000</v>
      </c>
      <c r="G62" s="14">
        <f>D62+E62+F62</f>
        <v>2500000</v>
      </c>
      <c r="H62" s="20">
        <f>G62/$G$75</f>
        <v>0.0652242258598105</v>
      </c>
    </row>
    <row r="63" spans="2:8" x14ac:dyDescent="0.25">
      <c r="B63" s="5" t="s">
        <v>137</v>
      </c>
      <c r="C63" s="5" t="s">
        <v>138</v>
      </c>
      <c r="D63" s="14">
        <f>0</f>
        <v>0</v>
      </c>
      <c r="E63" s="14">
        <f>0</f>
        <v>0</v>
      </c>
      <c r="F63" s="14">
        <f>Assumptions!C20+C19</f>
        <v>2476971.195069006</v>
      </c>
      <c r="G63" s="14">
        <f>D63+E63+F63</f>
        <v>2476971.195069006</v>
      </c>
      <c r="H63" s="20">
        <f>G63/$G$75</f>
        <v>0.06462341147017023</v>
      </c>
    </row>
    <row r="64" spans="2:8" x14ac:dyDescent="0.25">
      <c r="B64" s="5" t="s">
        <v>139</v>
      </c>
      <c r="C64" s="5" t="s">
        <v>140</v>
      </c>
      <c r="D64" s="14">
        <f>0</f>
        <v>0</v>
      </c>
      <c r="E64" s="14">
        <f>G29</f>
        <v>5000000</v>
      </c>
      <c r="F64" s="14">
        <f>0</f>
        <v>0</v>
      </c>
      <c r="G64" s="14">
        <f>D64+E64+F64</f>
        <v>5000000</v>
      </c>
      <c r="H64" s="20">
        <f>G64/$G$75</f>
        <v>0.130448451719621</v>
      </c>
    </row>
    <row r="65" spans="2:8" x14ac:dyDescent="0.25">
      <c r="B65" s="5" t="s">
        <v>141</v>
      </c>
      <c r="C65" s="5" t="s">
        <v>142</v>
      </c>
      <c r="D65" s="14">
        <f>0</f>
        <v>0</v>
      </c>
      <c r="E65" s="14">
        <f>G30</f>
        <v>5000000</v>
      </c>
      <c r="F65" s="14">
        <f>0</f>
        <v>0</v>
      </c>
      <c r="G65" s="14">
        <f>D65+E65+F65</f>
        <v>5000000</v>
      </c>
      <c r="H65" s="20">
        <f>G65/$G$75</f>
        <v>0.130448451719621</v>
      </c>
    </row>
    <row r="66" spans="2:8" x14ac:dyDescent="0.25">
      <c r="B66" s="5" t="s">
        <v>143</v>
      </c>
      <c r="C66" s="5" t="s">
        <v>144</v>
      </c>
      <c r="D66" s="14">
        <f>0</f>
        <v>0</v>
      </c>
      <c r="E66" s="14">
        <f>G31</f>
        <v>3000000</v>
      </c>
      <c r="F66" s="14">
        <f>0</f>
        <v>0</v>
      </c>
      <c r="G66" s="14">
        <f>D66+E66+F66</f>
        <v>3000000</v>
      </c>
      <c r="H66" s="20">
        <f>G66/$G$75</f>
        <v>0.0782690710317726</v>
      </c>
    </row>
    <row r="67" spans="2:8" x14ac:dyDescent="0.25">
      <c r="B67" s="5" t="s">
        <v>145</v>
      </c>
      <c r="C67" s="5" t="s">
        <v>146</v>
      </c>
      <c r="D67" s="14">
        <f>0</f>
        <v>0</v>
      </c>
      <c r="E67" s="14">
        <f>G32</f>
        <v>2400000</v>
      </c>
      <c r="F67" s="14">
        <f>0</f>
        <v>0</v>
      </c>
      <c r="G67" s="14">
        <f>D67+E67+F67</f>
        <v>2400000</v>
      </c>
      <c r="H67" s="20">
        <f>G67/$G$75</f>
        <v>0.06261525682541808</v>
      </c>
    </row>
    <row r="68" spans="2:8" x14ac:dyDescent="0.25">
      <c r="B68" s="5" t="s">
        <v>147</v>
      </c>
      <c r="C68" s="5" t="s">
        <v>148</v>
      </c>
      <c r="D68" s="14">
        <f>0</f>
        <v>0</v>
      </c>
      <c r="E68" s="14">
        <f>G33</f>
        <v>1733924.3891712548</v>
      </c>
      <c r="F68" s="14">
        <f>0</f>
        <v>0</v>
      </c>
      <c r="G68" s="14">
        <f>D68+E68+F68</f>
        <v>1733924.3891712548</v>
      </c>
      <c r="H68" s="20">
        <f>G68/$G$75</f>
        <v>0.04523755039325595</v>
      </c>
    </row>
    <row r="69" spans="2:8" x14ac:dyDescent="0.25">
      <c r="B69" s="5" t="s">
        <v>149</v>
      </c>
      <c r="C69" s="5" t="s">
        <v>150</v>
      </c>
      <c r="D69" s="14">
        <f>0</f>
        <v>0</v>
      </c>
      <c r="E69" s="14">
        <f>G34</f>
        <v>6134287.608500618</v>
      </c>
      <c r="F69" s="14">
        <f>0</f>
        <v>0</v>
      </c>
      <c r="G69" s="14">
        <f>D69+E69+F69</f>
        <v>6134287.608500618</v>
      </c>
      <c r="H69" s="20">
        <f>G69/$G$75</f>
        <v>0.16004166418635246</v>
      </c>
    </row>
    <row r="70" spans="2:8" x14ac:dyDescent="0.25">
      <c r="B70" s="5" t="s">
        <v>151</v>
      </c>
      <c r="C70" s="5" t="s">
        <v>152</v>
      </c>
      <c r="D70" s="14">
        <f>G40</f>
        <v>186473.77838762256</v>
      </c>
      <c r="E70" s="14">
        <f>0</f>
        <v>0</v>
      </c>
      <c r="F70" s="14">
        <f>0</f>
        <v>0</v>
      </c>
      <c r="G70" s="14">
        <f>D70+E70+F70</f>
        <v>186473.77838762256</v>
      </c>
      <c r="H70" s="20">
        <f>G70/$G$75</f>
        <v>0.004865043135394618</v>
      </c>
    </row>
    <row r="71" spans="2:8" x14ac:dyDescent="0.25">
      <c r="B71" s="5" t="s">
        <v>153</v>
      </c>
      <c r="C71" s="5" t="s">
        <v>154</v>
      </c>
      <c r="D71" s="14">
        <f>G41</f>
        <v>94490.48245550749</v>
      </c>
      <c r="E71" s="14">
        <f>0</f>
        <v>0</v>
      </c>
      <c r="F71" s="14">
        <f>0</f>
        <v>0</v>
      </c>
      <c r="G71" s="14">
        <f>D71+E71+F71</f>
        <v>94490.48245550749</v>
      </c>
      <c r="H71" s="20">
        <f>G71/$G$75</f>
        <v>0.002465227427712193</v>
      </c>
    </row>
    <row r="72" spans="2:8" x14ac:dyDescent="0.25">
      <c r="B72" s="5" t="s">
        <v>155</v>
      </c>
      <c r="C72" s="5" t="s">
        <v>156</v>
      </c>
      <c r="D72" s="14">
        <f>0</f>
        <v>0</v>
      </c>
      <c r="E72" s="14">
        <f>C52</f>
        <v>535446.0672478758</v>
      </c>
      <c r="F72" s="14">
        <f>0</f>
        <v>0</v>
      </c>
      <c r="G72" s="14">
        <f>D72+E72+F72</f>
        <v>535446.0672478758</v>
      </c>
      <c r="H72" s="20">
        <f>G72/$G$75</f>
        <v>0.013969622090369093</v>
      </c>
    </row>
    <row r="73" spans="2:8" x14ac:dyDescent="0.25">
      <c r="B73" s="5" t="s">
        <v>157</v>
      </c>
      <c r="C73" s="5" t="s">
        <v>158</v>
      </c>
      <c r="D73" s="14">
        <f>C53</f>
        <v>472452.41227753746</v>
      </c>
      <c r="E73" s="14">
        <f>0</f>
        <v>0</v>
      </c>
      <c r="F73" s="14">
        <f>0</f>
        <v>0</v>
      </c>
      <c r="G73" s="14">
        <f>D73+E73+F73</f>
        <v>472452.41227753746</v>
      </c>
      <c r="H73" s="20">
        <f>G73/$G$75</f>
        <v>0.012326137138560964</v>
      </c>
    </row>
    <row r="74" spans="2:8" x14ac:dyDescent="0.25">
      <c r="B74" s="5" t="s">
        <v>159</v>
      </c>
      <c r="C74" s="5" t="s">
        <v>156</v>
      </c>
      <c r="D74" s="14">
        <f>0</f>
        <v>0</v>
      </c>
      <c r="E74" s="14">
        <f>C54</f>
        <v>267723.0336239379</v>
      </c>
      <c r="F74" s="14">
        <f>0</f>
        <v>0</v>
      </c>
      <c r="G74" s="14">
        <f>D74+E74+F74</f>
        <v>267723.0336239379</v>
      </c>
      <c r="H74" s="20">
        <f>G74/$G$75</f>
        <v>0.006984811045184547</v>
      </c>
    </row>
    <row r="75" spans="2:8" x14ac:dyDescent="0.25">
      <c r="B75" s="16" t="s">
        <v>160</v>
      </c>
      <c r="D75" s="19">
        <f>SUM(D58:D74)</f>
        <v>9280964.26084313</v>
      </c>
      <c r="E75" s="19">
        <f>SUM(E58:E74)</f>
        <v>24071381.098543685</v>
      </c>
      <c r="F75" s="19">
        <f>SUM(F58:F74)</f>
        <v>4976971.195069006</v>
      </c>
      <c r="G75" s="19">
        <f>SUM(G58:G74)</f>
        <v>38329316.55445582</v>
      </c>
      <c r="H75" s="19">
        <f>SUM(H58:H74)</f>
        <v>1</v>
      </c>
    </row>
    <row r="76" spans="2:7" x14ac:dyDescent="0.25">
      <c r="B76" s="22" t="s">
        <v>161</v>
      </c>
      <c r="G76" s="22">
        <f>ROUND(G75-C25,2)</f>
        <v>0</v>
      </c>
    </row>
    <row r="78" spans="2:3" x14ac:dyDescent="0.25">
      <c r="B78" s="16" t="s">
        <v>162</v>
      </c>
      <c r="C78" s="23">
        <f>C54/G75</f>
        <v>0.006984811045184547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70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35.205" customWidth="1"/>
    <col min="3" max="3" width="13.955" customWidth="1"/>
    <col min="4" max="4" width="16.455" customWidth="1"/>
    <col min="5" max="9" width="12.705" customWidth="1"/>
    <col min="10" max="14" width="13.955" customWidth="1"/>
  </cols>
  <sheetData>
    <row r="2" ht="18" customHeight="1" spans="2:2" x14ac:dyDescent="0.25">
      <c r="B2" s="1" t="s">
        <v>163</v>
      </c>
    </row>
    <row r="3" spans="2:2" x14ac:dyDescent="0.25">
      <c r="B3" s="2" t="s">
        <v>164</v>
      </c>
    </row>
    <row r="5" spans="2:14" x14ac:dyDescent="0.25">
      <c r="B5" s="3" t="s">
        <v>165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x14ac:dyDescent="0.25">
      <c r="B6" s="11" t="s">
        <v>88</v>
      </c>
      <c r="C6" s="12" t="s">
        <v>166</v>
      </c>
      <c r="D6" s="12" t="s">
        <v>167</v>
      </c>
      <c r="E6" s="12" t="s">
        <v>48</v>
      </c>
      <c r="F6" s="12" t="s">
        <v>49</v>
      </c>
      <c r="G6" s="12" t="s">
        <v>168</v>
      </c>
      <c r="H6" s="12" t="s">
        <v>51</v>
      </c>
      <c r="I6" s="12" t="s">
        <v>52</v>
      </c>
      <c r="J6" s="12" t="s">
        <v>169</v>
      </c>
      <c r="K6" s="12" t="s">
        <v>170</v>
      </c>
      <c r="L6" s="12" t="s">
        <v>171</v>
      </c>
      <c r="M6" s="12" t="s">
        <v>172</v>
      </c>
      <c r="N6" s="12" t="s">
        <v>173</v>
      </c>
    </row>
    <row r="7" spans="2:14" x14ac:dyDescent="0.25">
      <c r="B7" s="5" t="s">
        <v>174</v>
      </c>
      <c r="C7" s="14">
        <f>'Pro-Forma'!C22</f>
        <v>803169.1008718137</v>
      </c>
      <c r="D7" s="13">
        <f>Assumptions!C6</f>
        <v>30000000</v>
      </c>
      <c r="E7" s="5" t="str">
        <f>IF(D7&gt;(C7*(Assumptions!C51-(E$49-IF(E38="preference",D7,0))+$C$20)/($C$19+(E$50-IF(E38="convert",C7,0))+C7)),"preference","convert")</f>
        <v>preference</v>
      </c>
      <c r="F7" s="5" t="str">
        <f>IF(D7&gt;(C7*(Assumptions!C52-(F$49-IF(F38="preference",D7,0))+$C$20)/($C$19+(F$50-IF(F38="convert",C7,0))+C7)),"preference","convert")</f>
        <v>preference</v>
      </c>
      <c r="G7" s="5" t="str">
        <f>IF(D7&gt;(C7*(Assumptions!C53-(G$49-IF(G38="preference",D7,0))+$C$20)/($C$19+(G$50-IF(G38="convert",C7,0))+C7)),"preference","convert")</f>
        <v>convert</v>
      </c>
      <c r="H7" s="5" t="str">
        <f>IF(D7&gt;(C7*(Assumptions!C54-(H$49-IF(H38="preference",D7,0))+$C$20)/($C$19+(H$50-IF(H38="convert",C7,0))+C7)),"preference","convert")</f>
        <v>convert</v>
      </c>
      <c r="I7" s="5" t="str">
        <f>IF(D7&gt;(C7*(Assumptions!C55-(I$49-IF(I38="preference",D7,0))+$C$20)/($C$19+(I$50-IF(I38="convert",C7,0))+C7)),"preference","convert")</f>
        <v>convert</v>
      </c>
      <c r="J7" s="13">
        <f>IF(E7="preference",D7,C7*E60)</f>
        <v>30000000</v>
      </c>
      <c r="K7" s="13">
        <f>IF(F7="preference",D7,C7*F60)</f>
        <v>30000000</v>
      </c>
      <c r="L7" s="13">
        <f>IF(G7="preference",D7,C7*G60)</f>
        <v>44786046.80091058</v>
      </c>
      <c r="M7" s="13">
        <f>IF(H7="preference",D7,C7*H60)</f>
        <v>89664547.57743679</v>
      </c>
      <c r="N7" s="13">
        <f>IF(I7="preference",D7,C7*I60)</f>
        <v>179273089.81597447</v>
      </c>
    </row>
    <row r="8" spans="2:14" x14ac:dyDescent="0.25">
      <c r="B8" s="5" t="s">
        <v>99</v>
      </c>
      <c r="C8" s="14">
        <f>'Pro-Forma'!G34</f>
        <v>6134287.608500618</v>
      </c>
      <c r="D8" s="13">
        <f>Assumptions!C36*Assumptions!C37</f>
        <v>299996802.315437</v>
      </c>
      <c r="E8" s="5" t="str">
        <f>IF(D8&gt;(C8*(Assumptions!C51-(E$49-IF(E39="preference",D8,0))+$C$20)/($C$19+(E$50-IF(E39="convert",C8,0))+C8)),"preference","convert")</f>
        <v>preference</v>
      </c>
      <c r="F8" s="5" t="str">
        <f>IF(D8&gt;(C8*(Assumptions!C52-(F$49-IF(F39="preference",D8,0))+$C$20)/($C$19+(F$50-IF(F39="convert",C8,0))+C8)),"preference","convert")</f>
        <v>preference</v>
      </c>
      <c r="G8" s="5" t="str">
        <f>IF(D8&gt;(C8*(Assumptions!C53-(G$49-IF(G39="preference",D8,0))+$C$20)/($C$19+(G$50-IF(G39="convert",C8,0))+C8)),"preference","convert")</f>
        <v>convert</v>
      </c>
      <c r="H8" s="5" t="str">
        <f>IF(D8&gt;(C8*(Assumptions!C54-(H$49-IF(H39="preference",D8,0))+$C$20)/($C$19+(H$50-IF(H39="convert",C8,0))+C8)),"preference","convert")</f>
        <v>convert</v>
      </c>
      <c r="I8" s="5" t="str">
        <f>IF(D8&gt;(C8*(Assumptions!C55-(I$49-IF(I39="preference",D8,0))+$C$20)/($C$19+(I$50-IF(I39="convert",C8,0))+C8)),"preference","convert")</f>
        <v>convert</v>
      </c>
      <c r="J8" s="13">
        <f>IF(E8="preference",D8,C8*E60)</f>
        <v>299996802.315437</v>
      </c>
      <c r="K8" s="13">
        <f>IF(F8="preference",D8,C8*F60)</f>
        <v>299996802.315437</v>
      </c>
      <c r="L8" s="13">
        <f>IF(G8="preference",D8,C8*G60)</f>
        <v>342058094.15021515</v>
      </c>
      <c r="M8" s="13">
        <f>IF(H8="preference",D8,C8*H60)</f>
        <v>684822315.1625817</v>
      </c>
      <c r="N8" s="13">
        <f>IF(I8="preference",D8,C8*I60)</f>
        <v>1369216883.719815</v>
      </c>
    </row>
    <row r="9" spans="2:14" x14ac:dyDescent="0.25">
      <c r="B9" s="5" t="s">
        <v>98</v>
      </c>
      <c r="C9" s="14">
        <f>'Pro-Forma'!G33</f>
        <v>1733924.3891712548</v>
      </c>
      <c r="D9" s="13">
        <f>Assumptions!C32*Assumptions!C34</f>
        <v>100000020</v>
      </c>
      <c r="E9" s="5" t="str">
        <f>IF(D9&gt;(C9*(Assumptions!C51-(E$49-IF(E40="preference",D9,0))+$C$20)/($C$19+(E$50-IF(E40="convert",C9,0))+C9)),"preference","convert")</f>
        <v>preference</v>
      </c>
      <c r="F9" s="5" t="str">
        <f>IF(D9&gt;(C9*(Assumptions!C52-(F$49-IF(F40="preference",D9,0))+$C$20)/($C$19+(F$50-IF(F40="convert",C9,0))+C9)),"preference","convert")</f>
        <v>preference</v>
      </c>
      <c r="G9" s="5" t="str">
        <f>IF(D9&gt;(C9*(Assumptions!C53-(G$49-IF(G40="preference",D9,0))+$C$20)/($C$19+(G$50-IF(G40="convert",C9,0))+C9)),"preference","convert")</f>
        <v>preference</v>
      </c>
      <c r="H9" s="5" t="str">
        <f>IF(D9&gt;(C9*(Assumptions!C54-(H$49-IF(H40="preference",D9,0))+$C$20)/($C$19+(H$50-IF(H40="convert",C9,0))+C9)),"preference","convert")</f>
        <v>convert</v>
      </c>
      <c r="I9" s="5" t="str">
        <f>IF(D9&gt;(C9*(Assumptions!C55-(I$49-IF(I40="preference",D9,0))+$C$20)/($C$19+(I$50-IF(I40="convert",C9,0))+C9)),"preference","convert")</f>
        <v>convert</v>
      </c>
      <c r="J9" s="13">
        <f>IF(E9="preference",D9,C9*E60)</f>
        <v>100000020</v>
      </c>
      <c r="K9" s="13">
        <f>IF(F9="preference",D9,C9*F60)</f>
        <v>100000020</v>
      </c>
      <c r="L9" s="13">
        <f>IF(G9="preference",D9,C9*G60)</f>
        <v>100000020</v>
      </c>
      <c r="M9" s="13">
        <f>IF(H9="preference",D9,C9*H60)</f>
        <v>193572618.41841865</v>
      </c>
      <c r="N9" s="13">
        <f>IF(I9="preference",D9,C9*I60)</f>
        <v>387024329.5174004</v>
      </c>
    </row>
    <row r="10" spans="2:14" x14ac:dyDescent="0.25">
      <c r="B10" s="5" t="s">
        <v>97</v>
      </c>
      <c r="C10" s="14">
        <f>'Pro-Forma'!G32</f>
        <v>2400000</v>
      </c>
      <c r="D10" s="13">
        <f>Assumptions!C30*Assumptions!C31</f>
        <v>60000000</v>
      </c>
      <c r="E10" s="5" t="str">
        <f>IF(D10&gt;(C10*(Assumptions!C51-(E$49-IF(E41="preference",D10,0))+$C$20)/($C$19+(E$50-IF(E41="convert",C10,0))+C10)),"preference","convert")</f>
        <v>preference</v>
      </c>
      <c r="F10" s="5" t="str">
        <f>IF(D10&gt;(C10*(Assumptions!C52-(F$49-IF(F41="preference",D10,0))+$C$20)/($C$19+(F$50-IF(F41="convert",C10,0))+C10)),"preference","convert")</f>
        <v>convert</v>
      </c>
      <c r="G10" s="5" t="str">
        <f>IF(D10&gt;(C10*(Assumptions!C53-(G$49-IF(G41="preference",D10,0))+$C$20)/($C$19+(G$50-IF(G41="convert",C10,0))+C10)),"preference","convert")</f>
        <v>convert</v>
      </c>
      <c r="H10" s="5" t="str">
        <f>IF(D10&gt;(C10*(Assumptions!C54-(H$49-IF(H41="preference",D10,0))+$C$20)/($C$19+(H$50-IF(H41="convert",C10,0))+C10)),"preference","convert")</f>
        <v>convert</v>
      </c>
      <c r="I10" s="5" t="str">
        <f>IF(D10&gt;(C10*(Assumptions!C55-(I$49-IF(I41="preference",D10,0))+$C$20)/($C$19+(I$50-IF(I41="convert",C10,0))+C10)),"preference","convert")</f>
        <v>convert</v>
      </c>
      <c r="J10" s="13">
        <f>IF(E10="preference",D10,C10*E60)</f>
        <v>60000000</v>
      </c>
      <c r="K10" s="13">
        <f>IF(F10="preference",D10,C10*F60)</f>
        <v>68209781.25172082</v>
      </c>
      <c r="L10" s="13">
        <f>IF(G10="preference",D10,C10*G60)</f>
        <v>133827997.37379378</v>
      </c>
      <c r="M10" s="13">
        <f>IF(H10="preference",D10,C10*H60)</f>
        <v>267932262.27485752</v>
      </c>
      <c r="N10" s="13">
        <f>IF(I10="preference",D10,C10*I60)</f>
        <v>535697171.48146087</v>
      </c>
    </row>
    <row r="11" spans="2:14" x14ac:dyDescent="0.25">
      <c r="B11" s="5" t="s">
        <v>96</v>
      </c>
      <c r="C11" s="14">
        <f>'Pro-Forma'!G31</f>
        <v>3000000</v>
      </c>
      <c r="D11" s="13">
        <f>Assumptions!C28*Assumptions!C29</f>
        <v>30000000</v>
      </c>
      <c r="E11" s="5" t="str">
        <f>IF(D11&gt;(C11*(Assumptions!C51-(E$49-IF(E42="preference",D11,0))+$C$20)/($C$19+(E$50-IF(E42="convert",C11,0))+C11)),"preference","convert")</f>
        <v>preference</v>
      </c>
      <c r="F11" s="5" t="str">
        <f>IF(D11&gt;(C11*(Assumptions!C52-(F$49-IF(F42="preference",D11,0))+$C$20)/($C$19+(F$50-IF(F42="convert",C11,0))+C11)),"preference","convert")</f>
        <v>convert</v>
      </c>
      <c r="G11" s="5" t="str">
        <f>IF(D11&gt;(C11*(Assumptions!C53-(G$49-IF(G42="preference",D11,0))+$C$20)/($C$19+(G$50-IF(G42="convert",C11,0))+C11)),"preference","convert")</f>
        <v>convert</v>
      </c>
      <c r="H11" s="5" t="str">
        <f>IF(D11&gt;(C11*(Assumptions!C54-(H$49-IF(H42="preference",D11,0))+$C$20)/($C$19+(H$50-IF(H42="convert",C11,0))+C11)),"preference","convert")</f>
        <v>convert</v>
      </c>
      <c r="I11" s="5" t="str">
        <f>IF(D11&gt;(C11*(Assumptions!C55-(I$49-IF(I42="preference",D11,0))+$C$20)/($C$19+(I$50-IF(I42="convert",C11,0))+C11)),"preference","convert")</f>
        <v>convert</v>
      </c>
      <c r="J11" s="13">
        <f>IF(E11="preference",D11,C11*E60)</f>
        <v>30000000</v>
      </c>
      <c r="K11" s="13">
        <f>IF(F11="preference",D11,C11*F60)</f>
        <v>85262226.56465101</v>
      </c>
      <c r="L11" s="13">
        <f>IF(G11="preference",D11,C11*G60)</f>
        <v>167284996.7172422</v>
      </c>
      <c r="M11" s="13">
        <f>IF(H11="preference",D11,C11*H60)</f>
        <v>334915327.8435719</v>
      </c>
      <c r="N11" s="13">
        <f>IF(I11="preference",D11,C11*I60)</f>
        <v>669621464.3518261</v>
      </c>
    </row>
    <row r="12" spans="2:14" x14ac:dyDescent="0.25">
      <c r="B12" s="5" t="s">
        <v>95</v>
      </c>
      <c r="C12" s="14">
        <f>'Pro-Forma'!G30</f>
        <v>5000000</v>
      </c>
      <c r="D12" s="13">
        <f>Assumptions!C26*Assumptions!C27</f>
        <v>15000000</v>
      </c>
      <c r="E12" s="5" t="str">
        <f>IF(D12&gt;(C12*(Assumptions!C51-(E$49-IF(E43="preference",D12,0))+$C$20)/($C$19+(E$50-IF(E43="convert",C12,0))+C12)),"preference","convert")</f>
        <v>convert</v>
      </c>
      <c r="F12" s="5" t="str">
        <f>IF(D12&gt;(C12*(Assumptions!C52-(F$49-IF(F43="preference",D12,0))+$C$20)/($C$19+(F$50-IF(F43="convert",C12,0))+C12)),"preference","convert")</f>
        <v>convert</v>
      </c>
      <c r="G12" s="5" t="str">
        <f>IF(D12&gt;(C12*(Assumptions!C53-(G$49-IF(G43="preference",D12,0))+$C$20)/($C$19+(G$50-IF(G43="convert",C12,0))+C12)),"preference","convert")</f>
        <v>convert</v>
      </c>
      <c r="H12" s="5" t="str">
        <f>IF(D12&gt;(C12*(Assumptions!C54-(H$49-IF(H43="preference",D12,0))+$C$20)/($C$19+(H$50-IF(H43="convert",C12,0))+C12)),"preference","convert")</f>
        <v>convert</v>
      </c>
      <c r="I12" s="5" t="str">
        <f>IF(D12&gt;(C12*(Assumptions!C55-(I$49-IF(I43="preference",D12,0))+$C$20)/($C$19+(I$50-IF(I43="convert",C12,0))+C12)),"preference","convert")</f>
        <v>convert</v>
      </c>
      <c r="J12" s="13">
        <f>IF(E12="preference",D12,C12*E60)</f>
        <v>41895109.76165993</v>
      </c>
      <c r="K12" s="13">
        <f>IF(F12="preference",D12,C12*F60)</f>
        <v>142103710.941085</v>
      </c>
      <c r="L12" s="13">
        <f>IF(G12="preference",D12,C12*G60)</f>
        <v>278808327.8620704</v>
      </c>
      <c r="M12" s="13">
        <f>IF(H12="preference",D12,C12*H60)</f>
        <v>558192213.0726198</v>
      </c>
      <c r="N12" s="13">
        <f>IF(I12="preference",D12,C12*I60)</f>
        <v>1116035773.9197102</v>
      </c>
    </row>
    <row r="13" spans="2:14" x14ac:dyDescent="0.25">
      <c r="B13" s="5" t="s">
        <v>94</v>
      </c>
      <c r="C13" s="14">
        <f>'Pro-Forma'!G29</f>
        <v>5000000</v>
      </c>
      <c r="D13" s="13">
        <f>Assumptions!C24*Assumptions!C25</f>
        <v>5000000</v>
      </c>
      <c r="E13" s="5" t="str">
        <f>IF(D13&gt;(C13*(Assumptions!C51-(E$49-IF(E44="preference",D13,0))+$C$20)/($C$19+(E$50-IF(E44="convert",C13,0))+C13)),"preference","convert")</f>
        <v>convert</v>
      </c>
      <c r="F13" s="5" t="str">
        <f>IF(D13&gt;(C13*(Assumptions!C52-(F$49-IF(F44="preference",D13,0))+$C$20)/($C$19+(F$50-IF(F44="convert",C13,0))+C13)),"preference","convert")</f>
        <v>convert</v>
      </c>
      <c r="G13" s="5" t="str">
        <f>IF(D13&gt;(C13*(Assumptions!C53-(G$49-IF(G44="preference",D13,0))+$C$20)/($C$19+(G$50-IF(G44="convert",C13,0))+C13)),"preference","convert")</f>
        <v>convert</v>
      </c>
      <c r="H13" s="5" t="str">
        <f>IF(D13&gt;(C13*(Assumptions!C54-(H$49-IF(H44="preference",D13,0))+$C$20)/($C$19+(H$50-IF(H44="convert",C13,0))+C13)),"preference","convert")</f>
        <v>convert</v>
      </c>
      <c r="I13" s="5" t="str">
        <f>IF(D13&gt;(C13*(Assumptions!C55-(I$49-IF(I44="preference",D13,0))+$C$20)/($C$19+(I$50-IF(I44="convert",C13,0))+C13)),"preference","convert")</f>
        <v>convert</v>
      </c>
      <c r="J13" s="13">
        <f>IF(E13="preference",D13,C13*E60)</f>
        <v>41895109.76165993</v>
      </c>
      <c r="K13" s="13">
        <f>IF(F13="preference",D13,C13*F60)</f>
        <v>142103710.941085</v>
      </c>
      <c r="L13" s="13">
        <f>IF(G13="preference",D13,C13*G60)</f>
        <v>278808327.8620704</v>
      </c>
      <c r="M13" s="13">
        <f>IF(H13="preference",D13,C13*H60)</f>
        <v>558192213.0726198</v>
      </c>
      <c r="N13" s="13">
        <f>IF(I13="preference",D13,C13*I60)</f>
        <v>1116035773.9197102</v>
      </c>
    </row>
    <row r="14" spans="2:2" x14ac:dyDescent="0.25">
      <c r="B14" s="16" t="s">
        <v>175</v>
      </c>
    </row>
    <row r="15" spans="2:14" x14ac:dyDescent="0.25">
      <c r="B15" s="3" t="s">
        <v>176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2:3" x14ac:dyDescent="0.25">
      <c r="B16" s="5" t="s">
        <v>177</v>
      </c>
      <c r="C16" s="14">
        <f>Assumptions!C15+Assumptions!C16+Assumptions!C17+Assumptions!C18</f>
        <v>9000000</v>
      </c>
    </row>
    <row r="17" spans="2:3" x14ac:dyDescent="0.25">
      <c r="B17" s="5" t="s">
        <v>178</v>
      </c>
      <c r="C17" s="14">
        <f>Assumptions!C19</f>
        <v>2500000</v>
      </c>
    </row>
    <row r="18" spans="2:3" x14ac:dyDescent="0.25">
      <c r="B18" s="5" t="s">
        <v>179</v>
      </c>
      <c r="C18" s="14">
        <f>'Pro-Forma'!G40+'Pro-Forma'!G41</f>
        <v>280964.26084313006</v>
      </c>
    </row>
    <row r="19" spans="2:3" x14ac:dyDescent="0.25">
      <c r="B19" s="16" t="s">
        <v>180</v>
      </c>
      <c r="C19" s="19">
        <f>C16+C17+C18</f>
        <v>11780964.26084313</v>
      </c>
    </row>
    <row r="20" spans="2:3" x14ac:dyDescent="0.25">
      <c r="B20" s="5" t="s">
        <v>181</v>
      </c>
      <c r="C20" s="13">
        <f>Assumptions!C19*Assumptions!C12</f>
        <v>2500000</v>
      </c>
    </row>
    <row r="22" spans="2:14" x14ac:dyDescent="0.25">
      <c r="B22" s="3" t="s">
        <v>182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2:9" x14ac:dyDescent="0.25">
      <c r="B23" s="11" t="s">
        <v>88</v>
      </c>
      <c r="C23" s="12" t="s">
        <v>183</v>
      </c>
      <c r="D23" s="12" t="s">
        <v>184</v>
      </c>
      <c r="E23" s="12" t="s">
        <v>185</v>
      </c>
      <c r="F23" s="12" t="s">
        <v>186</v>
      </c>
      <c r="G23" s="12" t="s">
        <v>187</v>
      </c>
      <c r="H23" s="12" t="s">
        <v>188</v>
      </c>
      <c r="I23" s="12" t="s">
        <v>189</v>
      </c>
    </row>
    <row r="24" spans="2:9" x14ac:dyDescent="0.25">
      <c r="B24" s="5" t="s">
        <v>174</v>
      </c>
      <c r="C24" s="14">
        <f>C19+SUM(C7:C13)</f>
        <v>35852345.35938682</v>
      </c>
      <c r="E24" s="5" t="str">
        <f>IF(D7&gt;C7*(Assumptions!C51+C20)/C24,"preference","convert")</f>
        <v>preference</v>
      </c>
      <c r="F24" s="5" t="str">
        <f>IF(D7&gt;C7*(Assumptions!C52+C20)/C24,"preference","convert")</f>
        <v>preference</v>
      </c>
      <c r="G24" s="5" t="str">
        <f>IF(D7&gt;C7*(Assumptions!C53+C20)/C24,"preference","convert")</f>
        <v>convert</v>
      </c>
      <c r="H24" s="5" t="str">
        <f>IF(D7&gt;C7*(Assumptions!C54+C20)/C24,"preference","convert")</f>
        <v>convert</v>
      </c>
      <c r="I24" s="5" t="str">
        <f>IF(D7&gt;C7*(Assumptions!C55+C20)/C24,"preference","convert")</f>
        <v>convert</v>
      </c>
    </row>
    <row r="25" spans="2:9" x14ac:dyDescent="0.25">
      <c r="B25" s="5" t="s">
        <v>99</v>
      </c>
      <c r="E25" s="5" t="str">
        <f>IF(D8&gt;C8*(Assumptions!C51+C20)/C24,"preference","convert")</f>
        <v>preference</v>
      </c>
      <c r="F25" s="5" t="str">
        <f>IF(D8&gt;C8*(Assumptions!C52+C20)/C24,"preference","convert")</f>
        <v>preference</v>
      </c>
      <c r="G25" s="5" t="str">
        <f>IF(D8&gt;C8*(Assumptions!C53+C20)/C24,"preference","convert")</f>
        <v>convert</v>
      </c>
      <c r="H25" s="5" t="str">
        <f>IF(D8&gt;C8*(Assumptions!C54+C20)/C24,"preference","convert")</f>
        <v>convert</v>
      </c>
      <c r="I25" s="5" t="str">
        <f>IF(D8&gt;C8*(Assumptions!C55+C20)/C24,"preference","convert")</f>
        <v>convert</v>
      </c>
    </row>
    <row r="26" spans="2:9" x14ac:dyDescent="0.25">
      <c r="B26" s="5" t="s">
        <v>98</v>
      </c>
      <c r="E26" s="5" t="str">
        <f>IF(D9&gt;C9*(Assumptions!C51+C20)/C24,"preference","convert")</f>
        <v>preference</v>
      </c>
      <c r="F26" s="5" t="str">
        <f>IF(D9&gt;C9*(Assumptions!C52+C20)/C24,"preference","convert")</f>
        <v>preference</v>
      </c>
      <c r="G26" s="5" t="str">
        <f>IF(D9&gt;C9*(Assumptions!C53+C20)/C24,"preference","convert")</f>
        <v>preference</v>
      </c>
      <c r="H26" s="5" t="str">
        <f>IF(D9&gt;C9*(Assumptions!C54+C20)/C24,"preference","convert")</f>
        <v>convert</v>
      </c>
      <c r="I26" s="5" t="str">
        <f>IF(D9&gt;C9*(Assumptions!C55+C20)/C24,"preference","convert")</f>
        <v>convert</v>
      </c>
    </row>
    <row r="27" spans="2:9" x14ac:dyDescent="0.25">
      <c r="B27" s="5" t="s">
        <v>97</v>
      </c>
      <c r="E27" s="5" t="str">
        <f>IF(D10&gt;C10*(Assumptions!C51+C20)/C24,"preference","convert")</f>
        <v>preference</v>
      </c>
      <c r="F27" s="5" t="str">
        <f>IF(D10&gt;C10*(Assumptions!C52+C20)/C24,"preference","convert")</f>
        <v>convert</v>
      </c>
      <c r="G27" s="5" t="str">
        <f>IF(D10&gt;C10*(Assumptions!C53+C20)/C24,"preference","convert")</f>
        <v>convert</v>
      </c>
      <c r="H27" s="5" t="str">
        <f>IF(D10&gt;C10*(Assumptions!C54+C20)/C24,"preference","convert")</f>
        <v>convert</v>
      </c>
      <c r="I27" s="5" t="str">
        <f>IF(D10&gt;C10*(Assumptions!C55+C20)/C24,"preference","convert")</f>
        <v>convert</v>
      </c>
    </row>
    <row r="28" spans="2:9" x14ac:dyDescent="0.25">
      <c r="B28" s="5" t="s">
        <v>96</v>
      </c>
      <c r="E28" s="5" t="str">
        <f>IF(D11&gt;C11*(Assumptions!C51+C20)/C24,"preference","convert")</f>
        <v>convert</v>
      </c>
      <c r="F28" s="5" t="str">
        <f>IF(D11&gt;C11*(Assumptions!C52+C20)/C24,"preference","convert")</f>
        <v>convert</v>
      </c>
      <c r="G28" s="5" t="str">
        <f>IF(D11&gt;C11*(Assumptions!C53+C20)/C24,"preference","convert")</f>
        <v>convert</v>
      </c>
      <c r="H28" s="5" t="str">
        <f>IF(D11&gt;C11*(Assumptions!C54+C20)/C24,"preference","convert")</f>
        <v>convert</v>
      </c>
      <c r="I28" s="5" t="str">
        <f>IF(D11&gt;C11*(Assumptions!C55+C20)/C24,"preference","convert")</f>
        <v>convert</v>
      </c>
    </row>
    <row r="29" spans="2:9" x14ac:dyDescent="0.25">
      <c r="B29" s="5" t="s">
        <v>95</v>
      </c>
      <c r="E29" s="5" t="str">
        <f>IF(D12&gt;C12*(Assumptions!C51+C20)/C24,"preference","convert")</f>
        <v>convert</v>
      </c>
      <c r="F29" s="5" t="str">
        <f>IF(D12&gt;C12*(Assumptions!C52+C20)/C24,"preference","convert")</f>
        <v>convert</v>
      </c>
      <c r="G29" s="5" t="str">
        <f>IF(D12&gt;C12*(Assumptions!C53+C20)/C24,"preference","convert")</f>
        <v>convert</v>
      </c>
      <c r="H29" s="5" t="str">
        <f>IF(D12&gt;C12*(Assumptions!C54+C20)/C24,"preference","convert")</f>
        <v>convert</v>
      </c>
      <c r="I29" s="5" t="str">
        <f>IF(D12&gt;C12*(Assumptions!C55+C20)/C24,"preference","convert")</f>
        <v>convert</v>
      </c>
    </row>
    <row r="30" spans="2:9" x14ac:dyDescent="0.25">
      <c r="B30" s="5" t="s">
        <v>94</v>
      </c>
      <c r="E30" s="5" t="str">
        <f>IF(D13&gt;C13*(Assumptions!C51+C20)/C24,"preference","convert")</f>
        <v>convert</v>
      </c>
      <c r="F30" s="5" t="str">
        <f>IF(D13&gt;C13*(Assumptions!C52+C20)/C24,"preference","convert")</f>
        <v>convert</v>
      </c>
      <c r="G30" s="5" t="str">
        <f>IF(D13&gt;C13*(Assumptions!C53+C20)/C24,"preference","convert")</f>
        <v>convert</v>
      </c>
      <c r="H30" s="5" t="str">
        <f>IF(D13&gt;C13*(Assumptions!C54+C20)/C24,"preference","convert")</f>
        <v>convert</v>
      </c>
      <c r="I30" s="5" t="str">
        <f>IF(D13&gt;C13*(Assumptions!C55+C20)/C24,"preference","convert")</f>
        <v>convert</v>
      </c>
    </row>
    <row r="33" spans="2:14" x14ac:dyDescent="0.25">
      <c r="B33" s="3" t="s">
        <v>190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2:9" x14ac:dyDescent="0.25">
      <c r="B34" s="11" t="s">
        <v>191</v>
      </c>
      <c r="C34" s="12"/>
      <c r="E34" s="12" t="s">
        <v>48</v>
      </c>
      <c r="F34" s="12" t="s">
        <v>49</v>
      </c>
      <c r="G34" s="12" t="s">
        <v>168</v>
      </c>
      <c r="H34" s="12" t="s">
        <v>51</v>
      </c>
      <c r="I34" s="12" t="s">
        <v>52</v>
      </c>
    </row>
    <row r="35" spans="2:9" x14ac:dyDescent="0.25">
      <c r="B35" s="5" t="s">
        <v>192</v>
      </c>
      <c r="E35" s="13">
        <f>SUMPRODUCT((E24:E30="preference")*$D$7:$D$13)</f>
        <v>489996822.315437</v>
      </c>
      <c r="F35" s="13">
        <f>SUMPRODUCT((F24:F30="preference")*$D$7:$D$13)</f>
        <v>429996822.315437</v>
      </c>
      <c r="G35" s="13">
        <f>SUMPRODUCT((G24:G30="preference")*$D$7:$D$13)</f>
        <v>100000020</v>
      </c>
      <c r="H35" s="13">
        <f>SUMPRODUCT((H24:H30="preference")*$D$7:$D$13)</f>
        <v>0</v>
      </c>
      <c r="I35" s="13">
        <f>SUMPRODUCT((I24:I30="preference")*$D$7:$D$13)</f>
        <v>0</v>
      </c>
    </row>
    <row r="36" spans="2:9" x14ac:dyDescent="0.25">
      <c r="B36" s="5" t="s">
        <v>193</v>
      </c>
      <c r="E36" s="14">
        <f>SUMPRODUCT((E24:E30="convert")*$C$7:$C$13)</f>
        <v>13000000</v>
      </c>
      <c r="F36" s="14">
        <f>SUMPRODUCT((F24:F30="convert")*$C$7:$C$13)</f>
        <v>15400000</v>
      </c>
      <c r="G36" s="14">
        <f>SUMPRODUCT((G24:G30="convert")*$C$7:$C$13)</f>
        <v>22337456.709372435</v>
      </c>
      <c r="H36" s="14">
        <f>SUMPRODUCT((H24:H30="convert")*$C$7:$C$13)</f>
        <v>24071381.09854369</v>
      </c>
      <c r="I36" s="14">
        <f>SUMPRODUCT((I24:I30="convert")*$C$7:$C$13)</f>
        <v>24071381.09854369</v>
      </c>
    </row>
    <row r="37" spans="2:9" x14ac:dyDescent="0.25">
      <c r="B37" s="11" t="s">
        <v>194</v>
      </c>
      <c r="E37" s="12" t="s">
        <v>48</v>
      </c>
      <c r="F37" s="12" t="s">
        <v>49</v>
      </c>
      <c r="G37" s="12" t="s">
        <v>168</v>
      </c>
      <c r="H37" s="12" t="s">
        <v>51</v>
      </c>
      <c r="I37" s="12" t="s">
        <v>52</v>
      </c>
    </row>
    <row r="38" spans="2:9" x14ac:dyDescent="0.25">
      <c r="B38" s="5" t="s">
        <v>174</v>
      </c>
      <c r="E38" s="5" t="str">
        <f>IF(D7&gt;(C7*(Assumptions!C51-(E$35-IF(E24="preference",D7,0))+$C$20)/($C$19+(E$36-IF(E24="convert",C7,0))+C7)),"preference","convert")</f>
        <v>preference</v>
      </c>
      <c r="F38" s="5" t="str">
        <f>IF(D7&gt;(C7*(Assumptions!C52-(F$35-IF(F24="preference",D7,0))+$C$20)/($C$19+(F$36-IF(F24="convert",C7,0))+C7)),"preference","convert")</f>
        <v>preference</v>
      </c>
      <c r="G38" s="5" t="str">
        <f>IF(D7&gt;(C7*(Assumptions!C53-(G$35-IF(G24="preference",D7,0))+$C$20)/($C$19+(G$36-IF(G24="convert",C7,0))+C7)),"preference","convert")</f>
        <v>convert</v>
      </c>
      <c r="H38" s="5" t="str">
        <f>IF(D7&gt;(C7*(Assumptions!C54-(H$35-IF(H24="preference",D7,0))+$C$20)/($C$19+(H$36-IF(H24="convert",C7,0))+C7)),"preference","convert")</f>
        <v>convert</v>
      </c>
      <c r="I38" s="5" t="str">
        <f>IF(D7&gt;(C7*(Assumptions!C55-(I$35-IF(I24="preference",D7,0))+$C$20)/($C$19+(I$36-IF(I24="convert",C7,0))+C7)),"preference","convert")</f>
        <v>convert</v>
      </c>
    </row>
    <row r="39" spans="2:9" x14ac:dyDescent="0.25">
      <c r="B39" s="5" t="s">
        <v>99</v>
      </c>
      <c r="E39" s="5" t="str">
        <f>IF(D8&gt;(C8*(Assumptions!C51-(E$35-IF(E25="preference",D8,0))+$C$20)/($C$19+(E$36-IF(E25="convert",C8,0))+C8)),"preference","convert")</f>
        <v>preference</v>
      </c>
      <c r="F39" s="5" t="str">
        <f>IF(D8&gt;(C8*(Assumptions!C52-(F$35-IF(F25="preference",D8,0))+$C$20)/($C$19+(F$36-IF(F25="convert",C8,0))+C8)),"preference","convert")</f>
        <v>preference</v>
      </c>
      <c r="G39" s="5" t="str">
        <f>IF(D8&gt;(C8*(Assumptions!C53-(G$35-IF(G25="preference",D8,0))+$C$20)/($C$19+(G$36-IF(G25="convert",C8,0))+C8)),"preference","convert")</f>
        <v>convert</v>
      </c>
      <c r="H39" s="5" t="str">
        <f>IF(D8&gt;(C8*(Assumptions!C54-(H$35-IF(H25="preference",D8,0))+$C$20)/($C$19+(H$36-IF(H25="convert",C8,0))+C8)),"preference","convert")</f>
        <v>convert</v>
      </c>
      <c r="I39" s="5" t="str">
        <f>IF(D8&gt;(C8*(Assumptions!C55-(I$35-IF(I25="preference",D8,0))+$C$20)/($C$19+(I$36-IF(I25="convert",C8,0))+C8)),"preference","convert")</f>
        <v>convert</v>
      </c>
    </row>
    <row r="40" spans="2:9" x14ac:dyDescent="0.25">
      <c r="B40" s="5" t="s">
        <v>98</v>
      </c>
      <c r="E40" s="5" t="str">
        <f>IF(D9&gt;(C9*(Assumptions!C51-(E$35-IF(E26="preference",D9,0))+$C$20)/($C$19+(E$36-IF(E26="convert",C9,0))+C9)),"preference","convert")</f>
        <v>preference</v>
      </c>
      <c r="F40" s="5" t="str">
        <f>IF(D9&gt;(C9*(Assumptions!C52-(F$35-IF(F26="preference",D9,0))+$C$20)/($C$19+(F$36-IF(F26="convert",C9,0))+C9)),"preference","convert")</f>
        <v>preference</v>
      </c>
      <c r="G40" s="5" t="str">
        <f>IF(D9&gt;(C9*(Assumptions!C53-(G$35-IF(G26="preference",D9,0))+$C$20)/($C$19+(G$36-IF(G26="convert",C9,0))+C9)),"preference","convert")</f>
        <v>preference</v>
      </c>
      <c r="H40" s="5" t="str">
        <f>IF(D9&gt;(C9*(Assumptions!C54-(H$35-IF(H26="preference",D9,0))+$C$20)/($C$19+(H$36-IF(H26="convert",C9,0))+C9)),"preference","convert")</f>
        <v>convert</v>
      </c>
      <c r="I40" s="5" t="str">
        <f>IF(D9&gt;(C9*(Assumptions!C55-(I$35-IF(I26="preference",D9,0))+$C$20)/($C$19+(I$36-IF(I26="convert",C9,0))+C9)),"preference","convert")</f>
        <v>convert</v>
      </c>
    </row>
    <row r="41" spans="2:9" x14ac:dyDescent="0.25">
      <c r="B41" s="5" t="s">
        <v>97</v>
      </c>
      <c r="E41" s="5" t="str">
        <f>IF(D10&gt;(C10*(Assumptions!C51-(E$35-IF(E27="preference",D10,0))+$C$20)/($C$19+(E$36-IF(E27="convert",C10,0))+C10)),"preference","convert")</f>
        <v>preference</v>
      </c>
      <c r="F41" s="5" t="str">
        <f>IF(D10&gt;(C10*(Assumptions!C52-(F$35-IF(F27="preference",D10,0))+$C$20)/($C$19+(F$36-IF(F27="convert",C10,0))+C10)),"preference","convert")</f>
        <v>convert</v>
      </c>
      <c r="G41" s="5" t="str">
        <f>IF(D10&gt;(C10*(Assumptions!C53-(G$35-IF(G27="preference",D10,0))+$C$20)/($C$19+(G$36-IF(G27="convert",C10,0))+C10)),"preference","convert")</f>
        <v>convert</v>
      </c>
      <c r="H41" s="5" t="str">
        <f>IF(D10&gt;(C10*(Assumptions!C54-(H$35-IF(H27="preference",D10,0))+$C$20)/($C$19+(H$36-IF(H27="convert",C10,0))+C10)),"preference","convert")</f>
        <v>convert</v>
      </c>
      <c r="I41" s="5" t="str">
        <f>IF(D10&gt;(C10*(Assumptions!C55-(I$35-IF(I27="preference",D10,0))+$C$20)/($C$19+(I$36-IF(I27="convert",C10,0))+C10)),"preference","convert")</f>
        <v>convert</v>
      </c>
    </row>
    <row r="42" spans="2:9" x14ac:dyDescent="0.25">
      <c r="B42" s="5" t="s">
        <v>96</v>
      </c>
      <c r="E42" s="5" t="str">
        <f>IF(D11&gt;(C11*(Assumptions!C51-(E$35-IF(E28="preference",D11,0))+$C$20)/($C$19+(E$36-IF(E28="convert",C11,0))+C11)),"preference","convert")</f>
        <v>preference</v>
      </c>
      <c r="F42" s="5" t="str">
        <f>IF(D11&gt;(C11*(Assumptions!C52-(F$35-IF(F28="preference",D11,0))+$C$20)/($C$19+(F$36-IF(F28="convert",C11,0))+C11)),"preference","convert")</f>
        <v>convert</v>
      </c>
      <c r="G42" s="5" t="str">
        <f>IF(D11&gt;(C11*(Assumptions!C53-(G$35-IF(G28="preference",D11,0))+$C$20)/($C$19+(G$36-IF(G28="convert",C11,0))+C11)),"preference","convert")</f>
        <v>convert</v>
      </c>
      <c r="H42" s="5" t="str">
        <f>IF(D11&gt;(C11*(Assumptions!C54-(H$35-IF(H28="preference",D11,0))+$C$20)/($C$19+(H$36-IF(H28="convert",C11,0))+C11)),"preference","convert")</f>
        <v>convert</v>
      </c>
      <c r="I42" s="5" t="str">
        <f>IF(D11&gt;(C11*(Assumptions!C55-(I$35-IF(I28="preference",D11,0))+$C$20)/($C$19+(I$36-IF(I28="convert",C11,0))+C11)),"preference","convert")</f>
        <v>convert</v>
      </c>
    </row>
    <row r="43" spans="2:9" x14ac:dyDescent="0.25">
      <c r="B43" s="5" t="s">
        <v>95</v>
      </c>
      <c r="E43" s="5" t="str">
        <f>IF(D12&gt;(C12*(Assumptions!C51-(E$35-IF(E29="preference",D12,0))+$C$20)/($C$19+(E$36-IF(E29="convert",C12,0))+C12)),"preference","convert")</f>
        <v>convert</v>
      </c>
      <c r="F43" s="5" t="str">
        <f>IF(D12&gt;(C12*(Assumptions!C52-(F$35-IF(F29="preference",D12,0))+$C$20)/($C$19+(F$36-IF(F29="convert",C12,0))+C12)),"preference","convert")</f>
        <v>convert</v>
      </c>
      <c r="G43" s="5" t="str">
        <f>IF(D12&gt;(C12*(Assumptions!C53-(G$35-IF(G29="preference",D12,0))+$C$20)/($C$19+(G$36-IF(G29="convert",C12,0))+C12)),"preference","convert")</f>
        <v>convert</v>
      </c>
      <c r="H43" s="5" t="str">
        <f>IF(D12&gt;(C12*(Assumptions!C54-(H$35-IF(H29="preference",D12,0))+$C$20)/($C$19+(H$36-IF(H29="convert",C12,0))+C12)),"preference","convert")</f>
        <v>convert</v>
      </c>
      <c r="I43" s="5" t="str">
        <f>IF(D12&gt;(C12*(Assumptions!C55-(I$35-IF(I29="preference",D12,0))+$C$20)/($C$19+(I$36-IF(I29="convert",C12,0))+C12)),"preference","convert")</f>
        <v>convert</v>
      </c>
    </row>
    <row r="44" spans="2:9" x14ac:dyDescent="0.25">
      <c r="B44" s="5" t="s">
        <v>94</v>
      </c>
      <c r="E44" s="5" t="str">
        <f>IF(D13&gt;(C13*(Assumptions!C51-(E$35-IF(E30="preference",D13,0))+$C$20)/($C$19+(E$36-IF(E30="convert",C13,0))+C13)),"preference","convert")</f>
        <v>convert</v>
      </c>
      <c r="F44" s="5" t="str">
        <f>IF(D13&gt;(C13*(Assumptions!C52-(F$35-IF(F30="preference",D13,0))+$C$20)/($C$19+(F$36-IF(F30="convert",C13,0))+C13)),"preference","convert")</f>
        <v>convert</v>
      </c>
      <c r="G44" s="5" t="str">
        <f>IF(D13&gt;(C13*(Assumptions!C53-(G$35-IF(G30="preference",D13,0))+$C$20)/($C$19+(G$36-IF(G30="convert",C13,0))+C13)),"preference","convert")</f>
        <v>convert</v>
      </c>
      <c r="H44" s="5" t="str">
        <f>IF(D13&gt;(C13*(Assumptions!C54-(H$35-IF(H30="preference",D13,0))+$C$20)/($C$19+(H$36-IF(H30="convert",C13,0))+C13)),"preference","convert")</f>
        <v>convert</v>
      </c>
      <c r="I44" s="5" t="str">
        <f>IF(D13&gt;(C13*(Assumptions!C55-(I$35-IF(I30="preference",D13,0))+$C$20)/($C$19+(I$36-IF(I30="convert",C13,0))+C13)),"preference","convert")</f>
        <v>convert</v>
      </c>
    </row>
    <row r="47" spans="2:14" x14ac:dyDescent="0.25">
      <c r="B47" s="3" t="s">
        <v>195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2:9" x14ac:dyDescent="0.25">
      <c r="B48" s="11" t="s">
        <v>196</v>
      </c>
      <c r="E48" s="12" t="s">
        <v>48</v>
      </c>
      <c r="F48" s="12" t="s">
        <v>49</v>
      </c>
      <c r="G48" s="12" t="s">
        <v>168</v>
      </c>
      <c r="H48" s="12" t="s">
        <v>51</v>
      </c>
      <c r="I48" s="12" t="s">
        <v>52</v>
      </c>
    </row>
    <row r="49" spans="2:9" x14ac:dyDescent="0.25">
      <c r="B49" s="5" t="s">
        <v>197</v>
      </c>
      <c r="E49" s="13">
        <f>SUMPRODUCT((E38:E44="preference")*$D$7:$D$13)</f>
        <v>519996822.315437</v>
      </c>
      <c r="F49" s="13">
        <f>SUMPRODUCT((F38:F44="preference")*$D$7:$D$13)</f>
        <v>429996822.315437</v>
      </c>
      <c r="G49" s="13">
        <f>SUMPRODUCT((G38:G44="preference")*$D$7:$D$13)</f>
        <v>100000020</v>
      </c>
      <c r="H49" s="13">
        <f>SUMPRODUCT((H38:H44="preference")*$D$7:$D$13)</f>
        <v>0</v>
      </c>
      <c r="I49" s="13">
        <f>SUMPRODUCT((I38:I44="preference")*$D$7:$D$13)</f>
        <v>0</v>
      </c>
    </row>
    <row r="50" spans="2:9" x14ac:dyDescent="0.25">
      <c r="B50" s="5" t="s">
        <v>198</v>
      </c>
      <c r="E50" s="14">
        <f>SUMPRODUCT((E38:E44="convert")*$C$7:$C$13)</f>
        <v>10000000</v>
      </c>
      <c r="F50" s="14">
        <f>SUMPRODUCT((F38:F44="convert")*$C$7:$C$13)</f>
        <v>15400000</v>
      </c>
      <c r="G50" s="14">
        <f>SUMPRODUCT((G38:G44="convert")*$C$7:$C$13)</f>
        <v>22337456.709372435</v>
      </c>
      <c r="H50" s="14">
        <f>SUMPRODUCT((H38:H44="convert")*$C$7:$C$13)</f>
        <v>24071381.09854369</v>
      </c>
      <c r="I50" s="14">
        <f>SUMPRODUCT((I38:I44="convert")*$C$7:$C$13)</f>
        <v>24071381.09854369</v>
      </c>
    </row>
    <row r="53" spans="2:14" x14ac:dyDescent="0.25">
      <c r="B53" s="3" t="s">
        <v>199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2:9" x14ac:dyDescent="0.25">
      <c r="B54" s="11" t="s">
        <v>200</v>
      </c>
      <c r="E54" s="12" t="s">
        <v>48</v>
      </c>
      <c r="F54" s="12" t="s">
        <v>49</v>
      </c>
      <c r="G54" s="12" t="s">
        <v>168</v>
      </c>
      <c r="H54" s="12" t="s">
        <v>51</v>
      </c>
      <c r="I54" s="12" t="s">
        <v>52</v>
      </c>
    </row>
    <row r="55" spans="2:9" x14ac:dyDescent="0.25">
      <c r="B55" s="5" t="s">
        <v>201</v>
      </c>
      <c r="E55" s="13">
        <f>Assumptions!C51</f>
        <v>700000000</v>
      </c>
      <c r="F55" s="13">
        <f>Assumptions!C52</f>
        <v>1200000000</v>
      </c>
      <c r="G55" s="13">
        <f>Assumptions!C53</f>
        <v>2000000000</v>
      </c>
      <c r="H55" s="13">
        <f>Assumptions!C54</f>
        <v>4000000000</v>
      </c>
      <c r="I55" s="13">
        <f>Assumptions!C55</f>
        <v>8000000000</v>
      </c>
    </row>
    <row r="56" spans="2:9" x14ac:dyDescent="0.25">
      <c r="B56" s="5" t="s">
        <v>202</v>
      </c>
      <c r="E56" s="13">
        <f>SUMPRODUCT((E$7:E$13="preference")*$D$7:$D$13)</f>
        <v>519996822.315437</v>
      </c>
      <c r="F56" s="13">
        <f>SUMPRODUCT((F$7:F$13="preference")*$D$7:$D$13)</f>
        <v>429996822.315437</v>
      </c>
      <c r="G56" s="13">
        <f>SUMPRODUCT((G$7:G$13="preference")*$D$7:$D$13)</f>
        <v>100000020</v>
      </c>
      <c r="H56" s="13">
        <f>SUMPRODUCT((H$7:H$13="preference")*$D$7:$D$13)</f>
        <v>0</v>
      </c>
      <c r="I56" s="13">
        <f>SUMPRODUCT((I$7:I$13="preference")*$D$7:$D$13)</f>
        <v>0</v>
      </c>
    </row>
    <row r="57" spans="2:9" x14ac:dyDescent="0.25">
      <c r="B57" s="5" t="s">
        <v>203</v>
      </c>
      <c r="E57" s="14">
        <f>SUMPRODUCT((E$7:E$13="convert")*$C$7:$C$13)</f>
        <v>10000000</v>
      </c>
      <c r="F57" s="14">
        <f>SUMPRODUCT((F$7:F$13="convert")*$C$7:$C$13)</f>
        <v>15400000</v>
      </c>
      <c r="G57" s="14">
        <f>SUMPRODUCT((G$7:G$13="convert")*$C$7:$C$13)</f>
        <v>22337456.709372435</v>
      </c>
      <c r="H57" s="14">
        <f>SUMPRODUCT((H$7:H$13="convert")*$C$7:$C$13)</f>
        <v>24071381.09854369</v>
      </c>
      <c r="I57" s="14">
        <f>SUMPRODUCT((I$7:I$13="convert")*$C$7:$C$13)</f>
        <v>24071381.09854369</v>
      </c>
    </row>
    <row r="58" spans="2:9" x14ac:dyDescent="0.25">
      <c r="B58" s="5" t="s">
        <v>204</v>
      </c>
      <c r="E58" s="14">
        <f>$C$19+E57</f>
        <v>21780964.26084313</v>
      </c>
      <c r="F58" s="14">
        <f>$C$19+F57</f>
        <v>27180964.26084313</v>
      </c>
      <c r="G58" s="14">
        <f>$C$19+G57</f>
        <v>34118420.97021557</v>
      </c>
      <c r="H58" s="14">
        <f>$C$19+H57</f>
        <v>35852345.35938682</v>
      </c>
      <c r="I58" s="14">
        <f>$C$19+I57</f>
        <v>35852345.35938682</v>
      </c>
    </row>
    <row r="59" spans="2:9" x14ac:dyDescent="0.25">
      <c r="B59" s="5" t="s">
        <v>205</v>
      </c>
      <c r="E59" s="13">
        <f>Assumptions!C51-E56+$C$20</f>
        <v>182503177.684563</v>
      </c>
      <c r="F59" s="13">
        <f>Assumptions!C52-F56+$C$20</f>
        <v>772503177.684563</v>
      </c>
      <c r="G59" s="13">
        <f>Assumptions!C53-G56+$C$20</f>
        <v>1902499980</v>
      </c>
      <c r="H59" s="13">
        <f>Assumptions!C54-H56+$C$20</f>
        <v>4002500000</v>
      </c>
      <c r="I59" s="13">
        <f>Assumptions!C55-I56+$C$20</f>
        <v>8002500000</v>
      </c>
    </row>
    <row r="60" spans="2:9" x14ac:dyDescent="0.25">
      <c r="B60" s="5" t="s">
        <v>206</v>
      </c>
      <c r="E60" s="13">
        <f>E59/E58</f>
        <v>8.379021952331986</v>
      </c>
      <c r="F60" s="13">
        <f>F59/F58</f>
        <v>28.420742188217005</v>
      </c>
      <c r="G60" s="13">
        <f>G59/G58</f>
        <v>55.761665572414074</v>
      </c>
      <c r="H60" s="13">
        <f>H59/H58</f>
        <v>111.63844261452397</v>
      </c>
      <c r="I60" s="13">
        <f>I59/I58</f>
        <v>223.20715478394203</v>
      </c>
    </row>
    <row r="62" spans="2:9" x14ac:dyDescent="0.25">
      <c r="B62" s="11" t="s">
        <v>207</v>
      </c>
      <c r="E62" s="12" t="s">
        <v>48</v>
      </c>
      <c r="F62" s="12" t="s">
        <v>49</v>
      </c>
      <c r="G62" s="12" t="s">
        <v>168</v>
      </c>
      <c r="H62" s="12" t="s">
        <v>51</v>
      </c>
      <c r="I62" s="12" t="s">
        <v>52</v>
      </c>
    </row>
    <row r="63" spans="2:9" x14ac:dyDescent="0.25">
      <c r="B63" s="5" t="s">
        <v>208</v>
      </c>
      <c r="E63" s="13">
        <f>$C$16*E60</f>
        <v>75411197.57098788</v>
      </c>
      <c r="F63" s="13">
        <f>$C$16*F60</f>
        <v>255786679.69395304</v>
      </c>
      <c r="G63" s="13">
        <f>$C$16*G60</f>
        <v>501854990.15172666</v>
      </c>
      <c r="H63" s="13">
        <f>$C$16*H60</f>
        <v>1004745983.5307157</v>
      </c>
      <c r="I63" s="13">
        <f>$C$16*I60</f>
        <v>2008864393.0554783</v>
      </c>
    </row>
    <row r="64" spans="2:9" x14ac:dyDescent="0.25">
      <c r="B64" s="5" t="s">
        <v>209</v>
      </c>
      <c r="E64" s="13">
        <f>$C$18*E60</f>
        <v>2354205.709425317</v>
      </c>
      <c r="F64" s="13">
        <f>$C$18*F60</f>
        <v>7985212.821525553</v>
      </c>
      <c r="G64" s="13">
        <f>$C$18*G60</f>
        <v>15667035.150935134</v>
      </c>
      <c r="H64" s="13">
        <f>$C$18*H60</f>
        <v>31366412.51086792</v>
      </c>
      <c r="I64" s="13">
        <f>$C$18*I60</f>
        <v>62713233.258768395</v>
      </c>
    </row>
    <row r="65" spans="2:9" x14ac:dyDescent="0.25">
      <c r="B65" s="5" t="s">
        <v>210</v>
      </c>
      <c r="E65" s="13">
        <f>$C$17*E60-$C$20</f>
        <v>18447554.880829964</v>
      </c>
      <c r="F65" s="13">
        <f>$C$17*F60-$C$20</f>
        <v>68551855.4705425</v>
      </c>
      <c r="G65" s="13">
        <f>$C$17*G60-$C$20</f>
        <v>136904163.9310352</v>
      </c>
      <c r="H65" s="13">
        <f>$C$17*H60-$C$20</f>
        <v>276596106.5363099</v>
      </c>
      <c r="I65" s="13">
        <f>$C$17*I60-$C$20</f>
        <v>555517886.9598551</v>
      </c>
    </row>
    <row r="66" spans="2:9" x14ac:dyDescent="0.25">
      <c r="B66" s="16" t="s">
        <v>211</v>
      </c>
      <c r="E66" s="24">
        <f>E63+E64+E65</f>
        <v>96212958.16124317</v>
      </c>
      <c r="F66" s="24">
        <f>F63+F64+F65</f>
        <v>332323747.9860211</v>
      </c>
      <c r="G66" s="24">
        <f>G63+G64+G65</f>
        <v>654426189.233697</v>
      </c>
      <c r="H66" s="24">
        <f>H63+H64+H65</f>
        <v>1312708502.5778935</v>
      </c>
      <c r="I66" s="24">
        <f>I63+I64+I65</f>
        <v>2627095513.2741017</v>
      </c>
    </row>
    <row r="67" spans="2:9" x14ac:dyDescent="0.25">
      <c r="B67" s="16" t="s">
        <v>212</v>
      </c>
      <c r="E67" s="24">
        <f>SUM(J7:J13)</f>
        <v>603787041.8387568</v>
      </c>
      <c r="F67" s="24">
        <f>SUM(K7:K13)</f>
        <v>867676252.013979</v>
      </c>
      <c r="G67" s="24">
        <f>SUM(L7:L13)</f>
        <v>1345573810.7663026</v>
      </c>
      <c r="H67" s="24">
        <f>SUM(M7:M13)</f>
        <v>2687291497.422106</v>
      </c>
      <c r="I67" s="24">
        <f>SUM(N7:N13)</f>
        <v>5372904486.725897</v>
      </c>
    </row>
    <row r="68" spans="2:9" x14ac:dyDescent="0.25">
      <c r="B68" s="16" t="s">
        <v>213</v>
      </c>
      <c r="E68" s="25">
        <f>E66+E67</f>
        <v>700000000</v>
      </c>
      <c r="F68" s="25">
        <f>F66+F67</f>
        <v>1200000000</v>
      </c>
      <c r="G68" s="25">
        <f>G66+G67</f>
        <v>1999999999.9999995</v>
      </c>
      <c r="H68" s="25">
        <f>H66+H67</f>
        <v>3999999999.9999995</v>
      </c>
      <c r="I68" s="25">
        <f>I66+I67</f>
        <v>7999999999.999999</v>
      </c>
    </row>
    <row r="69" spans="2:9" x14ac:dyDescent="0.25">
      <c r="B69" s="22" t="s">
        <v>214</v>
      </c>
      <c r="E69" s="22">
        <f>ROUND(E68-Assumptions!C51,0)</f>
        <v>0</v>
      </c>
      <c r="F69" s="22">
        <f>ROUND(F68-Assumptions!C52,0)</f>
        <v>0</v>
      </c>
      <c r="G69" s="22">
        <f>ROUND(G68-Assumptions!C53,0)</f>
        <v>0</v>
      </c>
      <c r="H69" s="22">
        <f>ROUND(H68-Assumptions!C54,0)</f>
        <v>0</v>
      </c>
      <c r="I69" s="22">
        <f>ROUND(I68-Assumptions!C55,0)</f>
        <v>0</v>
      </c>
    </row>
    <row r="70" spans="2:9" x14ac:dyDescent="0.25">
      <c r="B70" s="22" t="s">
        <v>161</v>
      </c>
      <c r="E70" s="22">
        <f>ROUND(E69,0)</f>
        <v>0</v>
      </c>
      <c r="F70" s="22">
        <f>ROUND(F69,0)</f>
        <v>0</v>
      </c>
      <c r="G70" s="22">
        <f>ROUND(G69,0)</f>
        <v>0</v>
      </c>
      <c r="H70" s="22">
        <f>ROUND(H69,0)</f>
        <v>0</v>
      </c>
      <c r="I70" s="22">
        <f>ROUND(I69,0)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06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40.205" customWidth="1"/>
    <col min="3" max="12" width="16.455" customWidth="1"/>
  </cols>
  <sheetData>
    <row r="2" ht="18" customHeight="1" spans="2:2" x14ac:dyDescent="0.25">
      <c r="B2" s="1" t="s">
        <v>215</v>
      </c>
    </row>
    <row r="3" spans="2:2" x14ac:dyDescent="0.25">
      <c r="B3" s="2" t="s">
        <v>216</v>
      </c>
    </row>
    <row r="5" spans="2:12" x14ac:dyDescent="0.25">
      <c r="B5" s="3" t="s">
        <v>217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spans="2:5" x14ac:dyDescent="0.25">
      <c r="B6" s="26" t="s">
        <v>218</v>
      </c>
      <c r="C6" s="27">
        <f>Assumptions!C61</f>
        <v>1200000000</v>
      </c>
      <c r="D6" s="27">
        <f>Assumptions!C62</f>
        <v>1400000000</v>
      </c>
      <c r="E6" s="27">
        <f>Assumptions!C63</f>
        <v>1800000000</v>
      </c>
    </row>
    <row r="7" spans="2:5" x14ac:dyDescent="0.25">
      <c r="B7" s="28">
        <f>Assumptions!C58</f>
        <v>0.11</v>
      </c>
      <c r="C7" s="13">
        <f>D104</f>
        <v>0.008115046918286392</v>
      </c>
      <c r="D7" s="13">
        <f>E104</f>
        <v>0.006985171133044868</v>
      </c>
      <c r="E7" s="13">
        <f>F104</f>
        <v>0.005463714077613293</v>
      </c>
    </row>
    <row r="8" spans="2:5" x14ac:dyDescent="0.25">
      <c r="B8" s="28">
        <f>Assumptions!C59</f>
        <v>0.13</v>
      </c>
      <c r="C8" s="13">
        <f>G104</f>
        <v>0.008114150544993225</v>
      </c>
      <c r="D8" s="29">
        <f>H104</f>
        <v>0.006984469722344294</v>
      </c>
      <c r="E8" s="13">
        <f>I104</f>
        <v>0.005463198623015631</v>
      </c>
    </row>
    <row r="9" spans="2:5" x14ac:dyDescent="0.25">
      <c r="B9" s="28">
        <f>Assumptions!C60</f>
        <v>0.15</v>
      </c>
      <c r="C9" s="13">
        <f>J104</f>
        <v>0.008112659465007666</v>
      </c>
      <c r="D9" s="13">
        <f>K104</f>
        <v>0.00698325519436569</v>
      </c>
      <c r="E9" s="13">
        <f>L104</f>
        <v>0.005462266369107661</v>
      </c>
    </row>
    <row r="12" spans="2:12" x14ac:dyDescent="0.25">
      <c r="B12" s="3" t="s">
        <v>219</v>
      </c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2:5" x14ac:dyDescent="0.25">
      <c r="B13" s="26" t="s">
        <v>218</v>
      </c>
      <c r="C13" s="27">
        <f>Assumptions!C61</f>
        <v>1200000000</v>
      </c>
      <c r="D13" s="27">
        <f>Assumptions!C62</f>
        <v>1400000000</v>
      </c>
      <c r="E13" s="27">
        <f>Assumptions!C63</f>
        <v>1800000000</v>
      </c>
    </row>
    <row r="14" spans="2:5" x14ac:dyDescent="0.25">
      <c r="B14" s="28">
        <f>Assumptions!C58</f>
        <v>0.11</v>
      </c>
      <c r="C14" s="13">
        <f>D103</f>
        <v>17075712.403419223</v>
      </c>
      <c r="D14" s="13">
        <f>E103</f>
        <v>14703203.390121054</v>
      </c>
      <c r="E14" s="13">
        <f>F103</f>
        <v>11505529.099690776</v>
      </c>
    </row>
    <row r="15" spans="2:5" x14ac:dyDescent="0.25">
      <c r="B15" s="28">
        <f>Assumptions!C59</f>
        <v>0.13</v>
      </c>
      <c r="C15" s="13">
        <f>G103</f>
        <v>17345735.843525764</v>
      </c>
      <c r="D15" s="29">
        <f>H103</f>
        <v>14927842.316549107</v>
      </c>
      <c r="E15" s="13">
        <f>I103</f>
        <v>11673414.042538766</v>
      </c>
    </row>
    <row r="16" spans="2:5" x14ac:dyDescent="0.25">
      <c r="B16" s="28">
        <f>Assumptions!C60</f>
        <v>0.15</v>
      </c>
      <c r="C16" s="13">
        <f>J103</f>
        <v>17750050.83359074</v>
      </c>
      <c r="D16" s="13">
        <f>K103</f>
        <v>15276171.544501295</v>
      </c>
      <c r="E16" s="13">
        <f>L103</f>
        <v>11946054.760731</v>
      </c>
    </row>
    <row r="19" spans="2:12" x14ac:dyDescent="0.25">
      <c r="B19" s="3" t="s">
        <v>220</v>
      </c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2:12" x14ac:dyDescent="0.25">
      <c r="B20" s="11" t="s">
        <v>221</v>
      </c>
      <c r="D20" s="12" t="s">
        <v>222</v>
      </c>
      <c r="E20" s="12" t="s">
        <v>223</v>
      </c>
      <c r="F20" s="12" t="s">
        <v>224</v>
      </c>
      <c r="G20" s="12" t="s">
        <v>225</v>
      </c>
      <c r="H20" s="12" t="s">
        <v>226</v>
      </c>
      <c r="I20" s="12" t="s">
        <v>227</v>
      </c>
      <c r="J20" s="12" t="s">
        <v>228</v>
      </c>
      <c r="K20" s="12" t="s">
        <v>229</v>
      </c>
      <c r="L20" s="12" t="s">
        <v>230</v>
      </c>
    </row>
    <row r="21" spans="2:12" x14ac:dyDescent="0.25">
      <c r="B21" s="5" t="s">
        <v>231</v>
      </c>
      <c r="D21" s="20">
        <f>Assumptions!C58</f>
        <v>0.11</v>
      </c>
      <c r="E21" s="20">
        <f>Assumptions!C58</f>
        <v>0.11</v>
      </c>
      <c r="F21" s="20">
        <f>Assumptions!C58</f>
        <v>0.11</v>
      </c>
      <c r="G21" s="20">
        <f>Assumptions!C59</f>
        <v>0.13</v>
      </c>
      <c r="H21" s="20">
        <f>Assumptions!C59</f>
        <v>0.13</v>
      </c>
      <c r="I21" s="20">
        <f>Assumptions!C59</f>
        <v>0.13</v>
      </c>
      <c r="J21" s="20">
        <f>Assumptions!C60</f>
        <v>0.15</v>
      </c>
      <c r="K21" s="20">
        <f>Assumptions!C60</f>
        <v>0.15</v>
      </c>
      <c r="L21" s="20">
        <f>Assumptions!C60</f>
        <v>0.15</v>
      </c>
    </row>
    <row r="22" spans="2:12" x14ac:dyDescent="0.25">
      <c r="B22" s="5" t="s">
        <v>232</v>
      </c>
      <c r="D22" s="13">
        <f>Assumptions!C61</f>
        <v>1200000000</v>
      </c>
      <c r="E22" s="13">
        <f>Assumptions!C62</f>
        <v>1400000000</v>
      </c>
      <c r="F22" s="13">
        <f>Assumptions!C63</f>
        <v>1800000000</v>
      </c>
      <c r="G22" s="13">
        <f>Assumptions!C61</f>
        <v>1200000000</v>
      </c>
      <c r="H22" s="13">
        <f>Assumptions!C62</f>
        <v>1400000000</v>
      </c>
      <c r="I22" s="13">
        <f>Assumptions!C63</f>
        <v>1800000000</v>
      </c>
      <c r="J22" s="13">
        <f>Assumptions!C61</f>
        <v>1200000000</v>
      </c>
      <c r="K22" s="13">
        <f>Assumptions!C62</f>
        <v>1400000000</v>
      </c>
      <c r="L22" s="13">
        <f>Assumptions!C63</f>
        <v>1800000000</v>
      </c>
    </row>
    <row r="23" spans="2:12" x14ac:dyDescent="0.25">
      <c r="B23" s="5" t="s">
        <v>233</v>
      </c>
      <c r="D23" s="13">
        <f>Assumptions!C6</f>
        <v>30000000</v>
      </c>
      <c r="E23" s="13">
        <f>Assumptions!C6</f>
        <v>30000000</v>
      </c>
      <c r="F23" s="13">
        <f>Assumptions!C6</f>
        <v>30000000</v>
      </c>
      <c r="G23" s="13">
        <f>Assumptions!C6</f>
        <v>30000000</v>
      </c>
      <c r="H23" s="13">
        <f>Assumptions!C6</f>
        <v>30000000</v>
      </c>
      <c r="I23" s="13">
        <f>Assumptions!C6</f>
        <v>30000000</v>
      </c>
      <c r="J23" s="13">
        <f>Assumptions!C6</f>
        <v>30000000</v>
      </c>
      <c r="K23" s="13">
        <f>Assumptions!C6</f>
        <v>30000000</v>
      </c>
      <c r="L23" s="13">
        <f>Assumptions!C6</f>
        <v>30000000</v>
      </c>
    </row>
    <row r="24" spans="2:12" x14ac:dyDescent="0.25">
      <c r="B24" s="15" t="s">
        <v>234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</row>
    <row r="25" spans="2:12" x14ac:dyDescent="0.25">
      <c r="B25" s="15" t="s">
        <v>235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</row>
    <row r="26" spans="2:12" x14ac:dyDescent="0.25">
      <c r="B26" s="15" t="s">
        <v>236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</row>
    <row r="27" spans="2:12" x14ac:dyDescent="0.25">
      <c r="B27" s="15" t="s">
        <v>237</v>
      </c>
      <c r="D27" s="14">
        <f>D$22/(Assumptions!C21+D24+D25+D26)</f>
        <v>32.770803377064055</v>
      </c>
      <c r="E27" s="14">
        <f>E$22/(Assumptions!C21+E24+E25+E26)</f>
        <v>38.23260393990807</v>
      </c>
      <c r="F27" s="14">
        <f>F$22/(Assumptions!C21+F24+F25+F26)</f>
        <v>49.15620506559609</v>
      </c>
      <c r="G27" s="14">
        <f>G$22/(Assumptions!C21+G24+G25+G26)</f>
        <v>32.770803377064055</v>
      </c>
      <c r="H27" s="14">
        <f>H$22/(Assumptions!C21+H24+H25+H26)</f>
        <v>38.23260393990807</v>
      </c>
      <c r="I27" s="14">
        <f>I$22/(Assumptions!C21+I24+I25+I26)</f>
        <v>49.15620506559609</v>
      </c>
      <c r="J27" s="14">
        <f>J$22/(Assumptions!C21+J24+J25+J26)</f>
        <v>32.770803377064055</v>
      </c>
      <c r="K27" s="14">
        <f>K$22/(Assumptions!C21+K24+K25+K26)</f>
        <v>38.23260393990807</v>
      </c>
      <c r="L27" s="14">
        <f>L$22/(Assumptions!C21+L24+L25+L26)</f>
        <v>49.15620506559609</v>
      </c>
    </row>
    <row r="28" spans="2:12" x14ac:dyDescent="0.25">
      <c r="B28" s="15" t="s">
        <v>238</v>
      </c>
      <c r="D28" s="14">
        <f>MAX(0,D$21*(D$22+D$23)/D27-(Assumptions!C19+Assumptions!C20))</f>
        <v>0</v>
      </c>
      <c r="E28" s="14">
        <f>MAX(0,E$21*(E$22+E$23)/E27-(Assumptions!C19+Assumptions!C20))</f>
        <v>0</v>
      </c>
      <c r="F28" s="14">
        <f>MAX(0,F$21*(F$22+F$23)/F27-(Assumptions!C19+Assumptions!C20))</f>
        <v>0</v>
      </c>
      <c r="G28" s="14">
        <f>MAX(0,G$21*(G$22+G$23)/G27-(Assumptions!C19+Assumptions!C20))</f>
        <v>484676.303250001</v>
      </c>
      <c r="H28" s="14">
        <f>MAX(0,H$21*(H$22+H$23)/H27-(Assumptions!C19+Assumptions!C20))</f>
        <v>467675.107071429</v>
      </c>
      <c r="I28" s="14">
        <f>MAX(0,I$21*(I$22+I$23)/I27-(Assumptions!C19+Assumptions!C20))</f>
        <v>445006.8455</v>
      </c>
      <c r="J28" s="14">
        <f>MAX(0,J$21*(J$22+J$23)/J27-(Assumptions!C19+Assumptions!C20))</f>
        <v>1235344.503750001</v>
      </c>
      <c r="K28" s="14">
        <f>MAX(0,K$21*(K$22+K$23)/K27-(Assumptions!C19+Assumptions!C20))</f>
        <v>1215727.738928571</v>
      </c>
      <c r="L28" s="14">
        <f>MAX(0,L$21*(L$22+L$23)/L27-(Assumptions!C19+Assumptions!C20))</f>
        <v>1189572.0525</v>
      </c>
    </row>
    <row r="29" spans="2:12" x14ac:dyDescent="0.25">
      <c r="B29" s="15" t="s">
        <v>239</v>
      </c>
      <c r="D29" s="14">
        <f>MAX(Assumptions!C40*(Assumptions!C21+D28+D26)/Assumptions!C41,Assumptions!C40/((1-Assumptions!C42)*D27))</f>
        <v>190718.546875</v>
      </c>
      <c r="E29" s="14">
        <f>MAX(Assumptions!C40*(Assumptions!C21+E28+E26)/Assumptions!C41,Assumptions!C40/((1-Assumptions!C42)*E27))</f>
        <v>183089.805</v>
      </c>
      <c r="F29" s="14">
        <f>MAX(Assumptions!C40*(Assumptions!C21+F28+F26)/Assumptions!C41,Assumptions!C40/((1-Assumptions!C42)*F27))</f>
        <v>183089.805</v>
      </c>
      <c r="G29" s="14">
        <f>MAX(Assumptions!C40*(Assumptions!C21+G28+G26)/Assumptions!C41,Assumptions!C40/((1-Assumptions!C42)*G27))</f>
        <v>190718.546875</v>
      </c>
      <c r="H29" s="14">
        <f>MAX(Assumptions!C40*(Assumptions!C21+H28+H26)/Assumptions!C41,Assumptions!C40/((1-Assumptions!C42)*H27))</f>
        <v>185428.18053535715</v>
      </c>
      <c r="I29" s="14">
        <f>MAX(Assumptions!C40*(Assumptions!C21+I28+I26)/Assumptions!C41,Assumptions!C40/((1-Assumptions!C42)*I27))</f>
        <v>185314.8392275</v>
      </c>
      <c r="J29" s="14">
        <f>MAX(Assumptions!C40*(Assumptions!C21+J28+J26)/Assumptions!C41,Assumptions!C40/((1-Assumptions!C42)*J27))</f>
        <v>190718.546875</v>
      </c>
      <c r="K29" s="14">
        <f>MAX(Assumptions!C40*(Assumptions!C21+K28+K26)/Assumptions!C41,Assumptions!C40/((1-Assumptions!C42)*K27))</f>
        <v>189168.44369464283</v>
      </c>
      <c r="L29" s="14">
        <f>MAX(Assumptions!C40*(Assumptions!C21+L28+L26)/Assumptions!C41,Assumptions!C40/((1-Assumptions!C42)*L27))</f>
        <v>189037.6652625</v>
      </c>
    </row>
    <row r="30" spans="2:12" x14ac:dyDescent="0.25">
      <c r="B30" s="15" t="s">
        <v>240</v>
      </c>
      <c r="D30" s="14">
        <f>MAX(Assumptions!C43*(Assumptions!C21+D28+D29)/Assumptions!C44,Assumptions!C43/((1-Assumptions!C45)*D27))</f>
        <v>107699.88529411766</v>
      </c>
      <c r="E30" s="14">
        <f>MAX(Assumptions!C43*(Assumptions!C21+E28+E29)/Assumptions!C44,Assumptions!C43/((1-Assumptions!C45)*E27))</f>
        <v>92314.18739495797</v>
      </c>
      <c r="F30" s="14">
        <f>MAX(Assumptions!C43*(Assumptions!C21+F28+F29)/Assumptions!C44,Assumptions!C43/((1-Assumptions!C45)*F27))</f>
        <v>71799.92352941177</v>
      </c>
      <c r="G30" s="14">
        <f>MAX(Assumptions!C43*(Assumptions!C21+G28+G29)/Assumptions!C44,Assumptions!C43/((1-Assumptions!C45)*G27))</f>
        <v>107699.88529411766</v>
      </c>
      <c r="H30" s="14">
        <f>MAX(Assumptions!C43*(Assumptions!C21+H28+H29)/Assumptions!C44,Assumptions!C43/((1-Assumptions!C45)*H27))</f>
        <v>92314.18739495797</v>
      </c>
      <c r="I30" s="14">
        <f>MAX(Assumptions!C43*(Assumptions!C21+I28+I29)/Assumptions!C44,Assumptions!C43/((1-Assumptions!C45)*I27))</f>
        <v>71799.92352941177</v>
      </c>
      <c r="J30" s="14">
        <f>MAX(Assumptions!C43*(Assumptions!C21+J28+J29)/Assumptions!C44,Assumptions!C43/((1-Assumptions!C45)*J27))</f>
        <v>107699.88529411766</v>
      </c>
      <c r="K30" s="14">
        <f>MAX(Assumptions!C43*(Assumptions!C21+K28+K29)/Assumptions!C44,Assumptions!C43/((1-Assumptions!C45)*K27))</f>
        <v>92314.18739495797</v>
      </c>
      <c r="L30" s="14">
        <f>MAX(Assumptions!C43*(Assumptions!C21+L28+L29)/Assumptions!C44,Assumptions!C43/((1-Assumptions!C45)*L27))</f>
        <v>71799.92352941177</v>
      </c>
    </row>
    <row r="31" spans="2:12" x14ac:dyDescent="0.25">
      <c r="B31" s="15" t="s">
        <v>241</v>
      </c>
      <c r="D31" s="14">
        <f>D$22/(Assumptions!C21+D28+D29+D30)</f>
        <v>32.50589625683373</v>
      </c>
      <c r="E31" s="14">
        <f>E$22/(Assumptions!C21+E28+E29+E30)</f>
        <v>37.947202709446266</v>
      </c>
      <c r="F31" s="14">
        <f>F$22/(Assumptions!C21+F28+F29+F30)</f>
        <v>48.8164046021887</v>
      </c>
      <c r="G31" s="14">
        <f>G$22/(Assumptions!C21+G28+G29+G30)</f>
        <v>32.084655804611145</v>
      </c>
      <c r="H31" s="14">
        <f>H$22/(Assumptions!C21+H28+H29+H30)</f>
        <v>37.469844996396155</v>
      </c>
      <c r="I31" s="14">
        <f>I$22/(Assumptions!C21+I28+I29+I30)</f>
        <v>48.231404493240795</v>
      </c>
      <c r="J31" s="14">
        <f>J$22/(Assumptions!C21+J28+J29+J30)</f>
        <v>31.453362422509638</v>
      </c>
      <c r="K31" s="14">
        <f>K$22/(Assumptions!C21+K28+K29+K30)</f>
        <v>36.73078067546762</v>
      </c>
      <c r="L31" s="14">
        <f>L$22/(Assumptions!C21+L28+L29+L30)</f>
        <v>47.28334755802709</v>
      </c>
    </row>
    <row r="32" spans="2:12" x14ac:dyDescent="0.25">
      <c r="B32" s="15" t="s">
        <v>242</v>
      </c>
      <c r="D32" s="14">
        <f>MAX(0,D$21*(D$22+D$23)/D31-(Assumptions!C19+Assumptions!C20))</f>
        <v>0</v>
      </c>
      <c r="E32" s="14">
        <f>MAX(0,E$21*(E$22+E$23)/E31-(Assumptions!C19+Assumptions!C20))</f>
        <v>0</v>
      </c>
      <c r="F32" s="14">
        <f>MAX(0,F$21*(F$22+F$23)/F31-(Assumptions!C19+Assumptions!C20))</f>
        <v>0</v>
      </c>
      <c r="G32" s="14">
        <f>MAX(0,G$21*(G$22+G$23)/G31-(Assumptions!C19+Assumptions!C20))</f>
        <v>589023.676744598</v>
      </c>
      <c r="H32" s="14">
        <f>MAX(0,H$21*(H$22+H$23)/H31-(Assumptions!C19+Assumptions!C20))</f>
        <v>566655.898930589</v>
      </c>
      <c r="I32" s="14">
        <f>MAX(0,I$21*(I$22+I$23)/I31-(Assumptions!C19+Assumptions!C20))</f>
        <v>537803.918057955</v>
      </c>
      <c r="J32" s="14">
        <f>MAX(0,J$21*(J$22+J$23)/J31-(Assumptions!C19+Assumptions!C20))</f>
        <v>1471160.555147565</v>
      </c>
      <c r="K32" s="14">
        <f>MAX(0,K$21*(K$22+K$23)/K31-(Assumptions!C19+Assumptions!C20))</f>
        <v>1445121.756334926</v>
      </c>
      <c r="L32" s="14">
        <f>MAX(0,L$21*(L$22+L$23)/L31-(Assumptions!C19+Assumptions!C20))</f>
        <v>1410759.522797016</v>
      </c>
    </row>
    <row r="33" spans="2:12" x14ac:dyDescent="0.25">
      <c r="B33" s="15" t="s">
        <v>243</v>
      </c>
      <c r="D33" s="14">
        <f>MAX(Assumptions!C40*(Assumptions!C21+D32+D30)/Assumptions!C41,Assumptions!C40/((1-Assumptions!C42)*D31))</f>
        <v>192272.80954254753</v>
      </c>
      <c r="E33" s="14">
        <f>MAX(Assumptions!C40*(Assumptions!C21+E32+E30)/Assumptions!C41,Assumptions!C40/((1-Assumptions!C42)*E31))</f>
        <v>183551.37593697477</v>
      </c>
      <c r="F33" s="14">
        <f>MAX(Assumptions!C40*(Assumptions!C21+F32+F30)/Assumptions!C41,Assumptions!C40/((1-Assumptions!C42)*F31))</f>
        <v>183448.80461764705</v>
      </c>
      <c r="G33" s="14">
        <f>MAX(Assumptions!C40*(Assumptions!C21+G32+G30)/Assumptions!C41,Assumptions!C40/((1-Assumptions!C42)*G31))</f>
        <v>194797.16528864123</v>
      </c>
      <c r="H33" s="14">
        <f>MAX(Assumptions!C40*(Assumptions!C21+H32+H30)/Assumptions!C41,Assumptions!C40/((1-Assumptions!C42)*H31))</f>
        <v>186384.65543162776</v>
      </c>
      <c r="I33" s="14">
        <f>MAX(Assumptions!C40*(Assumptions!C21+I32+I30)/Assumptions!C41,Assumptions!C40/((1-Assumptions!C42)*I31))</f>
        <v>186137.8242079368</v>
      </c>
      <c r="J33" s="14">
        <f>MAX(Assumptions!C40*(Assumptions!C21+J32+J30)/Assumptions!C41,Assumptions!C40/((1-Assumptions!C42)*J31))</f>
        <v>198706.89549957876</v>
      </c>
      <c r="K33" s="14">
        <f>MAX(Assumptions!C40*(Assumptions!C21+K32+K30)/Assumptions!C41,Assumptions!C40/((1-Assumptions!C42)*K31))</f>
        <v>190776.9847186494</v>
      </c>
      <c r="L33" s="14">
        <f>MAX(Assumptions!C40*(Assumptions!C21+L32+L30)/Assumptions!C41,Assumptions!C40/((1-Assumptions!C42)*L31))</f>
        <v>190502.6022316322</v>
      </c>
    </row>
    <row r="34" spans="2:12" x14ac:dyDescent="0.25">
      <c r="B34" s="15" t="s">
        <v>244</v>
      </c>
      <c r="D34" s="14">
        <f>MAX(Assumptions!C43*(Assumptions!C21+D32+D33)/Assumptions!C44,Assumptions!C43/((1-Assumptions!C45)*D31))</f>
        <v>108577.58656520331</v>
      </c>
      <c r="E34" s="14">
        <f>MAX(Assumptions!C43*(Assumptions!C21+E32+E33)/Assumptions!C44,Assumptions!C43/((1-Assumptions!C45)*E31))</f>
        <v>93008.48317410494</v>
      </c>
      <c r="F34" s="14">
        <f>MAX(Assumptions!C43*(Assumptions!C21+F32+F33)/Assumptions!C44,Assumptions!C43/((1-Assumptions!C45)*F31))</f>
        <v>72299.70731084197</v>
      </c>
      <c r="G34" s="14">
        <f>MAX(Assumptions!C43*(Assumptions!C21+G32+G33)/Assumptions!C44,Assumptions!C43/((1-Assumptions!C45)*G31))</f>
        <v>110003.10510417387</v>
      </c>
      <c r="H34" s="14">
        <f>MAX(Assumptions!C43*(Assumptions!C21+H32+H33)/Assumptions!C44,Assumptions!C43/((1-Assumptions!C45)*H31))</f>
        <v>94193.39111344979</v>
      </c>
      <c r="I34" s="14">
        <f>MAX(Assumptions!C43*(Assumptions!C21+I32+I33)/Assumptions!C44,Assumptions!C43/((1-Assumptions!C45)*I31))</f>
        <v>73176.63256520964</v>
      </c>
      <c r="J34" s="14">
        <f>MAX(Assumptions!C43*(Assumptions!C21+J32+J33)/Assumptions!C44,Assumptions!C43/((1-Assumptions!C45)*J31))</f>
        <v>112210.95275270329</v>
      </c>
      <c r="K34" s="14">
        <f>MAX(Assumptions!C43*(Assumptions!C21+K32+K33)/Assumptions!C44,Assumptions!C43/((1-Assumptions!C45)*K31))</f>
        <v>96088.66731937352</v>
      </c>
      <c r="L34" s="14">
        <f>MAX(Assumptions!C43*(Assumptions!C21+L32+L33)/Assumptions!C44,Assumptions!C43/((1-Assumptions!C45)*L31))</f>
        <v>74643.86400253316</v>
      </c>
    </row>
    <row r="35" spans="2:12" x14ac:dyDescent="0.25">
      <c r="B35" s="15" t="s">
        <v>245</v>
      </c>
      <c r="D35" s="14">
        <f>D$22/(Assumptions!C21+D32+D33+D34)</f>
        <v>32.50375498617793</v>
      </c>
      <c r="E35" s="14">
        <f>E$22/(Assumptions!C21+E32+E33+E34)</f>
        <v>37.94601386330975</v>
      </c>
      <c r="F35" s="14">
        <f>F$22/(Assumptions!C21+F32+F33+F34)</f>
        <v>48.81526767513607</v>
      </c>
      <c r="G35" s="14">
        <f>G$22/(Assumptions!C21+G32+G33+G34)</f>
        <v>31.989946671188036</v>
      </c>
      <c r="H35" s="14">
        <f>H$22/(Assumptions!C21+H32+H33+H34)</f>
        <v>37.3680158888127</v>
      </c>
      <c r="I35" s="14">
        <f>I$22/(Assumptions!C21+I32+I33+I34)</f>
        <v>48.108945111869765</v>
      </c>
      <c r="J35" s="14">
        <f>J$22/(Assumptions!C21+J32+J33+J34)</f>
        <v>31.249967933464017</v>
      </c>
      <c r="K35" s="14">
        <f>K$22/(Assumptions!C21+K32+K33+K34)</f>
        <v>36.5059161251528</v>
      </c>
      <c r="L35" s="14">
        <f>L$22/(Assumptions!C21+L32+L33+L34)</f>
        <v>47.004915970371655</v>
      </c>
    </row>
    <row r="36" spans="2:12" x14ac:dyDescent="0.25">
      <c r="B36" s="15" t="s">
        <v>246</v>
      </c>
      <c r="D36" s="14">
        <f>MAX(0,D$21*(D$22+D$23)/D35-(Assumptions!C19+Assumptions!C20))</f>
        <v>0</v>
      </c>
      <c r="E36" s="14">
        <f>MAX(0,E$21*(E$22+E$23)/E35-(Assumptions!C19+Assumptions!C20))</f>
        <v>0</v>
      </c>
      <c r="F36" s="14">
        <f>MAX(0,F$21*(F$22+F$23)/F35-(Assumptions!C19+Assumptions!C20))</f>
        <v>0</v>
      </c>
      <c r="G36" s="14">
        <f>MAX(0,G$21*(G$22+G$23)/G35-(Assumptions!C19+Assumptions!C20))</f>
        <v>603778.34420606</v>
      </c>
      <c r="H36" s="14">
        <f>MAX(0,H$21*(H$22+H$23)/H35-(Assumptions!C19+Assumptions!C20))</f>
        <v>580175.671688519</v>
      </c>
      <c r="I36" s="14">
        <f>MAX(0,I$21*(I$22+I$23)/I35-(Assumptions!C19+Assumptions!C20))</f>
        <v>550359.324040177</v>
      </c>
      <c r="J36" s="14">
        <f>MAX(0,J$21*(J$22+J$23)/J35-(Assumptions!C19+Assumptions!C20))</f>
        <v>1509339.058272727</v>
      </c>
      <c r="K36" s="14">
        <f>MAX(0,K$21*(K$22+K$23)/K35-(Assumptions!C19+Assumptions!C20))</f>
        <v>1481092.95256857</v>
      </c>
      <c r="L36" s="14">
        <f>MAX(0,L$21*(L$22+L$23)/L35-(Assumptions!C19+Assumptions!C20))</f>
        <v>1445147.715827256</v>
      </c>
    </row>
    <row r="37" spans="2:12" x14ac:dyDescent="0.25">
      <c r="B37" s="15" t="s">
        <v>247</v>
      </c>
      <c r="D37" s="14">
        <f>MAX(Assumptions!C40*(Assumptions!C21+D36+D34)/Assumptions!C41,Assumptions!C40/((1-Assumptions!C42)*D35))</f>
        <v>192285.47602139457</v>
      </c>
      <c r="E37" s="14">
        <f>MAX(Assumptions!C40*(Assumptions!C21+E36+E34)/Assumptions!C41,Assumptions!C40/((1-Assumptions!C42)*E35))</f>
        <v>183554.84741587055</v>
      </c>
      <c r="F37" s="14">
        <f>MAX(Assumptions!C40*(Assumptions!C21+F36+F34)/Assumptions!C41,Assumptions!C40/((1-Assumptions!C42)*F35))</f>
        <v>183451.3035365542</v>
      </c>
      <c r="G37" s="14">
        <f>MAX(Assumptions!C40*(Assumptions!C21+G36+G34)/Assumptions!C41,Assumptions!C40/((1-Assumptions!C42)*G35))</f>
        <v>195373.87993300735</v>
      </c>
      <c r="H37" s="14">
        <f>MAX(Assumptions!C40*(Assumptions!C21+H36+H34)/Assumptions!C41,Assumptions!C40/((1-Assumptions!C42)*H35))</f>
        <v>186461.65031400984</v>
      </c>
      <c r="I37" s="14">
        <f>MAX(Assumptions!C40*(Assumptions!C21+I36+I34)/Assumptions!C41,Assumptions!C40/((1-Assumptions!C42)*I35))</f>
        <v>186207.4847830269</v>
      </c>
      <c r="J37" s="14">
        <f>MAX(Assumptions!C40*(Assumptions!C21+J36+J34)/Assumptions!C41,Assumptions!C40/((1-Assumptions!C42)*J35))</f>
        <v>200000.20522604088</v>
      </c>
      <c r="K37" s="14">
        <f>MAX(Assumptions!C40*(Assumptions!C21+K36+K34)/Assumptions!C41,Assumptions!C40/((1-Assumptions!C42)*K35))</f>
        <v>190975.7130994397</v>
      </c>
      <c r="L37" s="14">
        <f>MAX(Assumptions!C40*(Assumptions!C21+L36+L34)/Assumptions!C41,Assumptions!C40/((1-Assumptions!C42)*L35))</f>
        <v>190688.76289914895</v>
      </c>
    </row>
    <row r="38" spans="2:12" x14ac:dyDescent="0.25">
      <c r="B38" s="15" t="s">
        <v>248</v>
      </c>
      <c r="D38" s="14">
        <f>MAX(Assumptions!C43*(Assumptions!C21+D36+D37)/Assumptions!C44,Assumptions!C43/((1-Assumptions!C45)*D35))</f>
        <v>108584.73940031693</v>
      </c>
      <c r="E38" s="14">
        <f>MAX(Assumptions!C43*(Assumptions!C21+E36+E37)/Assumptions!C44,Assumptions!C43/((1-Assumptions!C45)*E35))</f>
        <v>93011.39712380947</v>
      </c>
      <c r="F38" s="14">
        <f>MAX(Assumptions!C43*(Assumptions!C21+F36+F37)/Assumptions!C44,Assumptions!C43/((1-Assumptions!C45)*F35))</f>
        <v>72301.39119985978</v>
      </c>
      <c r="G38" s="14">
        <f>MAX(Assumptions!C43*(Assumptions!C21+G36+G37)/Assumptions!C44,Assumptions!C43/((1-Assumptions!C45)*G35))</f>
        <v>110328.77925628652</v>
      </c>
      <c r="H38" s="14">
        <f>MAX(Assumptions!C43*(Assumptions!C21+H36+H37)/Assumptions!C44,Assumptions!C43/((1-Assumptions!C45)*H35))</f>
        <v>94450.07129111513</v>
      </c>
      <c r="I38" s="14">
        <f>MAX(Assumptions!C43*(Assumptions!C21+I36+I37)/Assumptions!C44,Assumptions!C43/((1-Assumptions!C45)*I35))</f>
        <v>73362.90073496294</v>
      </c>
      <c r="J38" s="14">
        <f>MAX(Assumptions!C43*(Assumptions!C21+J36+J37)/Assumptions!C44,Assumptions!C43/((1-Assumptions!C45)*J35))</f>
        <v>112941.29236294075</v>
      </c>
      <c r="K38" s="14">
        <f>MAX(Assumptions!C43*(Assumptions!C21+K36+K37)/Assumptions!C44,Assumptions!C43/((1-Assumptions!C45)*K35))</f>
        <v>96680.54220598223</v>
      </c>
      <c r="L38" s="14">
        <f>MAX(Assumptions!C43*(Assumptions!C21+L36+L37)/Assumptions!C44,Assumptions!C43/((1-Assumptions!C45)*L35))</f>
        <v>75086.01370398272</v>
      </c>
    </row>
    <row r="39" spans="2:12" x14ac:dyDescent="0.25">
      <c r="B39" s="15" t="s">
        <v>249</v>
      </c>
      <c r="D39" s="14">
        <f>D$22/(Assumptions!C21+D36+D37+D38)</f>
        <v>32.5037375370306</v>
      </c>
      <c r="E39" s="14">
        <f>E$22/(Assumptions!C21+E36+E37+E38)</f>
        <v>37.94600729589772</v>
      </c>
      <c r="F39" s="14">
        <f>F$22/(Assumptions!C21+F36+F37+F38)</f>
        <v>48.81526213772558</v>
      </c>
      <c r="G39" s="14">
        <f>G$22/(Assumptions!C21+G36+G37+G38)</f>
        <v>31.976599947617753</v>
      </c>
      <c r="H39" s="14">
        <f>H$22/(Assumptions!C21+H36+H37+H38)</f>
        <v>37.354203482138324</v>
      </c>
      <c r="I39" s="14">
        <f>I$22/(Assumptions!C21+I36+I37+I38)</f>
        <v>48.09247771850322</v>
      </c>
      <c r="J39" s="14">
        <f>J$22/(Assumptions!C21+J36+J37+J38)</f>
        <v>31.217285621271373</v>
      </c>
      <c r="K39" s="14">
        <f>K$22/(Assumptions!C21+K36+K37+K38)</f>
        <v>36.47095550565904</v>
      </c>
      <c r="L39" s="14">
        <f>L$22/(Assumptions!C21+L36+L37+L38)</f>
        <v>46.96197321676441</v>
      </c>
    </row>
    <row r="40" spans="2:12" x14ac:dyDescent="0.25">
      <c r="B40" s="15" t="s">
        <v>250</v>
      </c>
      <c r="D40" s="14">
        <f>MAX(0,D$21*(D$22+D$23)/D39-(Assumptions!C19+Assumptions!C20))</f>
        <v>0</v>
      </c>
      <c r="E40" s="14">
        <f>MAX(0,E$21*(E$22+E$23)/E39-(Assumptions!C19+Assumptions!C20))</f>
        <v>0</v>
      </c>
      <c r="F40" s="14">
        <f>MAX(0,F$21*(F$22+F$23)/F39-(Assumptions!C19+Assumptions!C20))</f>
        <v>0</v>
      </c>
      <c r="G40" s="14">
        <f>MAX(0,G$21*(G$22+G$23)/G39-(Assumptions!C19+Assumptions!C20))</f>
        <v>605864.646952431</v>
      </c>
      <c r="H40" s="14">
        <f>MAX(0,H$21*(H$22+H$23)/H39-(Assumptions!C19+Assumptions!C20))</f>
        <v>582015.211652348</v>
      </c>
      <c r="I40" s="14">
        <f>MAX(0,I$21*(I$22+I$23)/I39-(Assumptions!C19+Assumptions!C20))</f>
        <v>552052.555446605</v>
      </c>
      <c r="J40" s="14">
        <f>MAX(0,J$21*(J$22+J$23)/J39-(Assumptions!C19+Assumptions!C20))</f>
        <v>1515520.139213737</v>
      </c>
      <c r="K40" s="14">
        <f>MAX(0,K$21*(K$22+K$23)/K39-(Assumptions!C19+Assumptions!C20))</f>
        <v>1486725.385420694</v>
      </c>
      <c r="L40" s="14">
        <f>MAX(0,L$21*(L$22+L$23)/L39-(Assumptions!C19+Assumptions!C20))</f>
        <v>1450487.7325956365</v>
      </c>
    </row>
    <row r="41" spans="2:12" x14ac:dyDescent="0.25">
      <c r="B41" s="15" t="s">
        <v>251</v>
      </c>
      <c r="D41" s="14">
        <f>MAX(Assumptions!C40*(Assumptions!C21+D40+D38)/Assumptions!C41,Assumptions!C40/((1-Assumptions!C42)*D39))</f>
        <v>192285.5792469881</v>
      </c>
      <c r="E41" s="14">
        <f>MAX(Assumptions!C40*(Assumptions!C21+E40+E38)/Assumptions!C41,Assumptions!C40/((1-Assumptions!C42)*E39))</f>
        <v>183554.86198561903</v>
      </c>
      <c r="F41" s="14">
        <f>MAX(Assumptions!C40*(Assumptions!C21+F40+F38)/Assumptions!C41,Assumptions!C40/((1-Assumptions!C42)*F39))</f>
        <v>183451.3119559993</v>
      </c>
      <c r="G41" s="14">
        <f>MAX(Assumptions!C40*(Assumptions!C21+G40+G38)/Assumptions!C41,Assumptions!C40/((1-Assumptions!C42)*G39))</f>
        <v>195455.42710101744</v>
      </c>
      <c r="H41" s="14">
        <f>MAX(Assumptions!C40*(Assumptions!C21+H40+H38)/Assumptions!C41,Assumptions!C40/((1-Assumptions!C42)*H39))</f>
        <v>186472.1314147173</v>
      </c>
      <c r="I41" s="14">
        <f>MAX(Assumptions!C40*(Assumptions!C21+I40+I38)/Assumptions!C41,Assumptions!C40/((1-Assumptions!C42)*I39))</f>
        <v>186216.8822809078</v>
      </c>
      <c r="J41" s="14">
        <f>MAX(Assumptions!C40*(Assumptions!C21+J40+J38)/Assumptions!C41,Assumptions!C40/((1-Assumptions!C42)*J39))</f>
        <v>200209.5914367797</v>
      </c>
      <c r="K41" s="14">
        <f>MAX(Assumptions!C40*(Assumptions!C21+K40+K38)/Assumptions!C41,Assumptions!C40/((1-Assumptions!C42)*K39))</f>
        <v>191006.8346381334</v>
      </c>
      <c r="L41" s="14">
        <f>MAX(Assumptions!C40*(Assumptions!C21+L40+L38)/Assumptions!C41,Assumptions!C40/((1-Assumptions!C42)*L39))</f>
        <v>190717.67373149813</v>
      </c>
    </row>
    <row r="42" spans="2:12" x14ac:dyDescent="0.25">
      <c r="B42" s="15" t="s">
        <v>252</v>
      </c>
      <c r="D42" s="14">
        <f>MAX(Assumptions!C43*(Assumptions!C21+D40+D41)/Assumptions!C44,Assumptions!C43/((1-Assumptions!C45)*D39))</f>
        <v>108584.79769241682</v>
      </c>
      <c r="E42" s="14">
        <f>MAX(Assumptions!C43*(Assumptions!C21+E40+E41)/Assumptions!C44,Assumptions!C43/((1-Assumptions!C45)*E39))</f>
        <v>93011.41322152862</v>
      </c>
      <c r="F42" s="14">
        <f>MAX(Assumptions!C43*(Assumptions!C21+F40+F41)/Assumptions!C44,Assumptions!C43/((1-Assumptions!C45)*F39))</f>
        <v>72301.39940144397</v>
      </c>
      <c r="G42" s="14">
        <f>MAX(Assumptions!C43*(Assumptions!C21+G40+G41)/Assumptions!C44,Assumptions!C43/((1-Assumptions!C45)*G39))</f>
        <v>110374.82942175103</v>
      </c>
      <c r="H42" s="14">
        <f>MAX(Assumptions!C43*(Assumptions!C21+H40+H41)/Assumptions!C44,Assumptions!C43/((1-Assumptions!C45)*H39))</f>
        <v>94484.99594947975</v>
      </c>
      <c r="I42" s="14">
        <f>MAX(Assumptions!C43*(Assumptions!C21+I40+I41)/Assumptions!C44,Assumptions!C43/((1-Assumptions!C45)*I39))</f>
        <v>73388.02099913367</v>
      </c>
      <c r="J42" s="14">
        <f>MAX(Assumptions!C43*(Assumptions!C21+J40+J41)/Assumptions!C44,Assumptions!C43/((1-Assumptions!C45)*J39))</f>
        <v>113059.53398782854</v>
      </c>
      <c r="K42" s="14">
        <f>MAX(Assumptions!C43*(Assumptions!C21+K40+K41)/Assumptions!C44,Assumptions!C43/((1-Assumptions!C45)*K39))</f>
        <v>96773.21901144703</v>
      </c>
      <c r="L42" s="14">
        <f>MAX(Assumptions!C43*(Assumptions!C21+L40+L41)/Assumptions!C44,Assumptions!C43/((1-Assumptions!C45)*L39))</f>
        <v>75154.67351456941</v>
      </c>
    </row>
    <row r="44" spans="2:12" x14ac:dyDescent="0.25">
      <c r="B44" s="16" t="s">
        <v>253</v>
      </c>
      <c r="D44" s="13">
        <f>D39</f>
        <v>32.5037375370306</v>
      </c>
      <c r="E44" s="13">
        <f>E39</f>
        <v>37.94600729589772</v>
      </c>
      <c r="F44" s="13">
        <f>F39</f>
        <v>48.81526213772558</v>
      </c>
      <c r="G44" s="13">
        <f>G39</f>
        <v>31.976599947617753</v>
      </c>
      <c r="H44" s="13">
        <f>H39</f>
        <v>37.354203482138324</v>
      </c>
      <c r="I44" s="13">
        <f>I39</f>
        <v>48.09247771850322</v>
      </c>
      <c r="J44" s="13">
        <f>J39</f>
        <v>31.217285621271373</v>
      </c>
      <c r="K44" s="13">
        <f>K39</f>
        <v>36.47095550565904</v>
      </c>
      <c r="L44" s="13">
        <f>L39</f>
        <v>46.96197321676441</v>
      </c>
    </row>
    <row r="45" spans="2:12" x14ac:dyDescent="0.25">
      <c r="B45" s="5" t="s">
        <v>254</v>
      </c>
      <c r="D45" s="14">
        <f>D40</f>
        <v>0</v>
      </c>
      <c r="E45" s="14">
        <f>E40</f>
        <v>0</v>
      </c>
      <c r="F45" s="14">
        <f>F40</f>
        <v>0</v>
      </c>
      <c r="G45" s="14">
        <f>G40</f>
        <v>605864.646952431</v>
      </c>
      <c r="H45" s="14">
        <f>H40</f>
        <v>582015.211652348</v>
      </c>
      <c r="I45" s="14">
        <f>I40</f>
        <v>552052.555446605</v>
      </c>
      <c r="J45" s="14">
        <f>J40</f>
        <v>1515520.139213737</v>
      </c>
      <c r="K45" s="14">
        <f>K40</f>
        <v>1486725.385420694</v>
      </c>
      <c r="L45" s="14">
        <f>L40</f>
        <v>1450487.7325956365</v>
      </c>
    </row>
    <row r="46" spans="2:12" x14ac:dyDescent="0.25">
      <c r="B46" s="5" t="s">
        <v>255</v>
      </c>
      <c r="D46" s="14">
        <f>D41</f>
        <v>192285.5792469881</v>
      </c>
      <c r="E46" s="14">
        <f>E41</f>
        <v>183554.86198561903</v>
      </c>
      <c r="F46" s="14">
        <f>F41</f>
        <v>183451.3119559993</v>
      </c>
      <c r="G46" s="14">
        <f>G41</f>
        <v>195455.42710101744</v>
      </c>
      <c r="H46" s="14">
        <f>H41</f>
        <v>186472.1314147173</v>
      </c>
      <c r="I46" s="14">
        <f>I41</f>
        <v>186216.8822809078</v>
      </c>
      <c r="J46" s="14">
        <f>J41</f>
        <v>200209.5914367797</v>
      </c>
      <c r="K46" s="14">
        <f>K41</f>
        <v>191006.8346381334</v>
      </c>
      <c r="L46" s="14">
        <f>L41</f>
        <v>190717.67373149813</v>
      </c>
    </row>
    <row r="47" spans="2:12" x14ac:dyDescent="0.25">
      <c r="B47" s="5" t="s">
        <v>256</v>
      </c>
      <c r="D47" s="14">
        <f>D42</f>
        <v>108584.79769241682</v>
      </c>
      <c r="E47" s="14">
        <f>E42</f>
        <v>93011.41322152862</v>
      </c>
      <c r="F47" s="14">
        <f>F42</f>
        <v>72301.39940144397</v>
      </c>
      <c r="G47" s="14">
        <f>G42</f>
        <v>110374.82942175103</v>
      </c>
      <c r="H47" s="14">
        <f>H42</f>
        <v>94484.99594947975</v>
      </c>
      <c r="I47" s="14">
        <f>I42</f>
        <v>73388.02099913367</v>
      </c>
      <c r="J47" s="14">
        <f>J42</f>
        <v>113059.53398782854</v>
      </c>
      <c r="K47" s="14">
        <f>K42</f>
        <v>96773.21901144703</v>
      </c>
      <c r="L47" s="14">
        <f>L42</f>
        <v>75154.67351456941</v>
      </c>
    </row>
    <row r="48" spans="2:12" x14ac:dyDescent="0.25">
      <c r="B48" s="5" t="s">
        <v>257</v>
      </c>
      <c r="D48" s="14">
        <f>D$23/D44</f>
        <v>922970.780385543</v>
      </c>
      <c r="E48" s="14">
        <f>E$23/E44</f>
        <v>790597.0123829932</v>
      </c>
      <c r="F48" s="14">
        <f>F$23/F44</f>
        <v>614561.8949122736</v>
      </c>
      <c r="G48" s="14">
        <f>G$23/G44</f>
        <v>938186.0500848837</v>
      </c>
      <c r="H48" s="14">
        <f>H$23/H44</f>
        <v>803122.465570578</v>
      </c>
      <c r="I48" s="14">
        <f>I$23/I44</f>
        <v>623798.1784926362</v>
      </c>
      <c r="J48" s="14">
        <f>J$23/J44</f>
        <v>961006.0388965427</v>
      </c>
      <c r="K48" s="14">
        <f>K$23/K44</f>
        <v>822572.3615972998</v>
      </c>
      <c r="L48" s="14">
        <f>L$23/L44</f>
        <v>638814.72487384</v>
      </c>
    </row>
    <row r="49" spans="2:12" x14ac:dyDescent="0.25">
      <c r="B49" s="5" t="s">
        <v>258</v>
      </c>
      <c r="D49" s="14">
        <f>Assumptions!C10/D44</f>
        <v>307656.926795181</v>
      </c>
      <c r="E49" s="14">
        <f>Assumptions!C10/E44</f>
        <v>263532.33746099775</v>
      </c>
      <c r="F49" s="14">
        <f>Assumptions!C10/F44</f>
        <v>204853.9649707579</v>
      </c>
      <c r="G49" s="14">
        <f>Assumptions!C10/G44</f>
        <v>312728.6833616279</v>
      </c>
      <c r="H49" s="14">
        <f>Assumptions!C10/H44</f>
        <v>267707.488523526</v>
      </c>
      <c r="I49" s="14">
        <f>Assumptions!C10/I44</f>
        <v>207932.72616421207</v>
      </c>
      <c r="J49" s="14">
        <f>Assumptions!C10/J44</f>
        <v>320335.3462988476</v>
      </c>
      <c r="K49" s="14">
        <f>Assumptions!C10/K44</f>
        <v>274190.78719909996</v>
      </c>
      <c r="L49" s="14">
        <f>Assumptions!C10/L44</f>
        <v>212938.24162461335</v>
      </c>
    </row>
    <row r="50" spans="2:12" x14ac:dyDescent="0.25">
      <c r="B50" s="5" t="s">
        <v>259</v>
      </c>
      <c r="D50" s="13">
        <f>IF(D44&lt;Assumptions!C33,Assumptions!C33*(Assumptions!C48+D$23/Assumptions!C33)/(Assumptions!C48+D$23/D44),Assumptions!C33)</f>
        <v>57.488593422661765</v>
      </c>
      <c r="E50" s="13">
        <f>IF(E44&lt;Assumptions!C33,Assumptions!C33*(Assumptions!C48+E$23/Assumptions!C33)/(Assumptions!C48+E$23/E44),Assumptions!C33)</f>
        <v>57.69202232056277</v>
      </c>
      <c r="F50" s="13">
        <f>IF(F44&lt;Assumptions!C33,Assumptions!C33*(Assumptions!C48+F$23/Assumptions!C33)/(Assumptions!C48+F$23/F44),Assumptions!C33)</f>
        <v>57.964789813514784</v>
      </c>
      <c r="G50" s="13">
        <f>IF(G44&lt;Assumptions!C33,Assumptions!C33*(Assumptions!C48+G$23/Assumptions!C33)/(Assumptions!C48+G$23/G44),Assumptions!C33)</f>
        <v>57.4653028424967</v>
      </c>
      <c r="H50" s="13">
        <f>IF(H44&lt;Assumptions!C33,Assumptions!C33*(Assumptions!C48+H$23/Assumptions!C33)/(Assumptions!C48+H$23/H44),Assumptions!C33)</f>
        <v>57.6727118501554</v>
      </c>
      <c r="I50" s="13">
        <f>IF(I44&lt;Assumptions!C33,Assumptions!C33*(Assumptions!C48+I$23/Assumptions!C33)/(Assumptions!C48+I$23/I44),Assumptions!C33)</f>
        <v>57.95041403620985</v>
      </c>
      <c r="J50" s="13">
        <f>IF(J44&lt;Assumptions!C33,Assumptions!C33*(Assumptions!C48+J$23/Assumptions!C33)/(Assumptions!C48+J$23/J44),Assumptions!C33)</f>
        <v>57.43040679102813</v>
      </c>
      <c r="K50" s="13">
        <f>IF(K44&lt;Assumptions!C33,Assumptions!C33*(Assumptions!C48+K$23/Assumptions!C33)/(Assumptions!C48+K$23/K44),Assumptions!C33)</f>
        <v>57.64275158654935</v>
      </c>
      <c r="L50" s="13">
        <f>IF(L44&lt;Assumptions!C33,Assumptions!C33*(Assumptions!C48+L$23/Assumptions!C33)/(Assumptions!C48+L$23/L44),Assumptions!C33)</f>
        <v>57.927056806195885</v>
      </c>
    </row>
    <row r="51" spans="2:12" x14ac:dyDescent="0.25">
      <c r="B51" s="5" t="s">
        <v>260</v>
      </c>
      <c r="D51" s="14">
        <f>Assumptions!C35*Assumptions!C33/D50</f>
        <v>1739475.4522581417</v>
      </c>
      <c r="E51" s="14">
        <f>Assumptions!C35*Assumptions!C33/E50</f>
        <v>1733341.8559662225</v>
      </c>
      <c r="F51" s="14">
        <f>Assumptions!C35*Assumptions!C33/F50</f>
        <v>1725185.1919982894</v>
      </c>
      <c r="G51" s="14">
        <f>Assumptions!C35*Assumptions!C33/G50</f>
        <v>1740180.4584177197</v>
      </c>
      <c r="H51" s="14">
        <f>Assumptions!C35*Assumptions!C33/H50</f>
        <v>1733922.2283042262</v>
      </c>
      <c r="I51" s="14">
        <f>Assumptions!C35*Assumptions!C33/I50</f>
        <v>1725613.1592275563</v>
      </c>
      <c r="J51" s="14">
        <f>Assumptions!C35*Assumptions!C33/J50</f>
        <v>1741237.832555126</v>
      </c>
      <c r="K51" s="14">
        <f>Assumptions!C35*Assumptions!C33/K50</f>
        <v>1734823.4477221505</v>
      </c>
      <c r="L51" s="14">
        <f>Assumptions!C35*Assumptions!C33/L50</f>
        <v>1726308.9574554907</v>
      </c>
    </row>
    <row r="52" spans="2:12" x14ac:dyDescent="0.25">
      <c r="B52" s="5" t="s">
        <v>261</v>
      </c>
      <c r="D52" s="13">
        <f>IF(D44&lt;Assumptions!C37,Assumptions!C37*(Assumptions!C48+D$23/Assumptions!C37)/(Assumptions!C48+D$23/D44),Assumptions!C37)</f>
        <v>48.74884634536569</v>
      </c>
      <c r="E52" s="13">
        <f>IF(E44&lt;Assumptions!C37,Assumptions!C37*(Assumptions!C48+E$23/Assumptions!C37)/(Assumptions!C48+E$23/E44),Assumptions!C37)</f>
        <v>48.92134881056037</v>
      </c>
      <c r="F52" s="13">
        <f>IF(F44&lt;Assumptions!C37,Assumptions!C37*(Assumptions!C48+F$23/Assumptions!C37)/(Assumptions!C48+F$23/F44),Assumptions!C37)</f>
        <v>49.1526486182312</v>
      </c>
      <c r="G52" s="13">
        <f>IF(G44&lt;Assumptions!C37,Assumptions!C37*(Assumptions!C48+G$23/Assumptions!C37)/(Assumptions!C48+G$23/G44),Assumptions!C37)</f>
        <v>48.72909653333927</v>
      </c>
      <c r="H52" s="13">
        <f>IF(H44&lt;Assumptions!C37,Assumptions!C37*(Assumptions!C48+H$23/Assumptions!C37)/(Assumptions!C48+H$23/H44),Assumptions!C37)</f>
        <v>48.90497402908285</v>
      </c>
      <c r="I52" s="13">
        <f>IF(I44&lt;Assumptions!C37,Assumptions!C37*(Assumptions!C48+I$23/Assumptions!C37)/(Assumptions!C48+I$23/I44),Assumptions!C37)</f>
        <v>49.14045832938936</v>
      </c>
      <c r="J52" s="13">
        <f>IF(J44&lt;Assumptions!C37,Assumptions!C37*(Assumptions!C48+J$23/Assumptions!C37)/(Assumptions!C48+J$23/J44),Assumptions!C37)</f>
        <v>48.69950558059854</v>
      </c>
      <c r="K52" s="13">
        <f>IF(K44&lt;Assumptions!C37,Assumptions!C37*(Assumptions!C48+K$23/Assumptions!C37)/(Assumptions!C48+K$23/K44),Assumptions!C37)</f>
        <v>48.87956849730614</v>
      </c>
      <c r="L52" s="13">
        <f>IF(L44&lt;Assumptions!C37,Assumptions!C37*(Assumptions!C48+L$23/Assumptions!C37)/(Assumptions!C48+L$23/L44),Assumptions!C37)</f>
        <v>49.12065200000793</v>
      </c>
    </row>
    <row r="53" spans="2:12" x14ac:dyDescent="0.25">
      <c r="B53" s="5" t="s">
        <v>262</v>
      </c>
      <c r="D53" s="14">
        <f>Assumptions!C36*Assumptions!C37/D52</f>
        <v>6153926.191198085</v>
      </c>
      <c r="E53" s="14">
        <f>Assumptions!C36*Assumptions!C37/E52</f>
        <v>6132226.719200318</v>
      </c>
      <c r="F53" s="14">
        <f>Assumptions!C36*Assumptions!C37/F52</f>
        <v>6103370.026822221</v>
      </c>
      <c r="G53" s="14">
        <f>Assumptions!C36*Assumptions!C37/G52</f>
        <v>6156420.366016563</v>
      </c>
      <c r="H53" s="14">
        <f>Assumptions!C36*Assumptions!C37/H52</f>
        <v>6134279.9637729</v>
      </c>
      <c r="I53" s="14">
        <f>Assumptions!C36*Assumptions!C37/I52</f>
        <v>6104884.091730548</v>
      </c>
      <c r="J53" s="14">
        <f>Assumptions!C36*Assumptions!C37/J52</f>
        <v>6160161.150279791</v>
      </c>
      <c r="K53" s="14">
        <f>Assumptions!C36*Assumptions!C37/K52</f>
        <v>6137468.302977562</v>
      </c>
      <c r="L53" s="14">
        <f>Assumptions!C36*Assumptions!C37/L52</f>
        <v>6107345.69067586</v>
      </c>
    </row>
    <row r="54" spans="2:12" x14ac:dyDescent="0.25">
      <c r="B54" s="5" t="s">
        <v>263</v>
      </c>
      <c r="D54" s="14">
        <f>Assumptions!C21+D45+D46+D47+D48+(D51-Assumptions!C35)+(D53-Assumptions!C36)</f>
        <v>37911909.80078118</v>
      </c>
      <c r="E54" s="14">
        <f>Assumptions!C21+E45+E46+E47+E48+(E51-Assumptions!C35)+(E53-Assumptions!C36)</f>
        <v>37727398.862756684</v>
      </c>
      <c r="F54" s="14">
        <f>Assumptions!C21+F45+F46+F47+F48+(F51-Assumptions!C35)+(F53-Assumptions!C36)</f>
        <v>37493536.82509023</v>
      </c>
      <c r="G54" s="14">
        <f>Assumptions!C21+G45+G46+G47+G48+(G51-Assumptions!C35)+(G53-Assumptions!C36)</f>
        <v>38541148.777994365</v>
      </c>
      <c r="H54" s="14">
        <f>Assumptions!C21+H45+H46+H47+H48+(H51-Assumptions!C35)+(H53-Assumptions!C36)</f>
        <v>38328963.99666425</v>
      </c>
      <c r="I54" s="14">
        <f>Assumptions!C21+I45+I46+I47+I48+(I51-Assumptions!C35)+(I53-Assumptions!C36)</f>
        <v>38060619.88817739</v>
      </c>
      <c r="J54" s="14">
        <f>Assumptions!C21+J45+J46+J47+J48+(J51-Assumptions!C35)+(J53-Assumptions!C36)</f>
        <v>39485861.28636979</v>
      </c>
      <c r="K54" s="14">
        <f>Assumptions!C21+K45+K46+K47+K48+(K51-Assumptions!C35)+(K53-Assumptions!C36)</f>
        <v>39264036.55136729</v>
      </c>
      <c r="L54" s="14">
        <f>Assumptions!C21+L45+L46+L47+L48+(L51-Assumptions!C35)+(L53-Assumptions!C36)</f>
        <v>38983496.45284689</v>
      </c>
    </row>
    <row r="56" spans="2:12" x14ac:dyDescent="0.25">
      <c r="B56" s="11" t="s">
        <v>264</v>
      </c>
      <c r="D56" s="12"/>
      <c r="E56" s="12"/>
      <c r="F56" s="12"/>
      <c r="G56" s="12"/>
      <c r="H56" s="12"/>
      <c r="I56" s="12"/>
      <c r="J56" s="12"/>
      <c r="K56" s="12"/>
      <c r="L56" s="12"/>
    </row>
    <row r="57" spans="2:12" x14ac:dyDescent="0.25">
      <c r="B57" s="15" t="s">
        <v>265</v>
      </c>
      <c r="D57" s="14">
        <f>D48</f>
        <v>922970.780385543</v>
      </c>
      <c r="E57" s="14">
        <f>E48</f>
        <v>790597.0123829932</v>
      </c>
      <c r="F57" s="14">
        <f>F48</f>
        <v>614561.8949122736</v>
      </c>
      <c r="G57" s="14">
        <f>G48</f>
        <v>938186.0500848837</v>
      </c>
      <c r="H57" s="14">
        <f>H48</f>
        <v>803122.465570578</v>
      </c>
      <c r="I57" s="14">
        <f>I48</f>
        <v>623798.1784926362</v>
      </c>
      <c r="J57" s="14">
        <f>J48</f>
        <v>961006.0388965427</v>
      </c>
      <c r="K57" s="14">
        <f>K48</f>
        <v>822572.3615972998</v>
      </c>
      <c r="L57" s="14">
        <f>L48</f>
        <v>638814.72487384</v>
      </c>
    </row>
    <row r="58" spans="2:12" x14ac:dyDescent="0.25">
      <c r="B58" s="15" t="s">
        <v>266</v>
      </c>
      <c r="D58" s="14">
        <f>D53</f>
        <v>6153926.191198085</v>
      </c>
      <c r="E58" s="14">
        <f>E53</f>
        <v>6132226.719200318</v>
      </c>
      <c r="F58" s="14">
        <f>F53</f>
        <v>6103370.026822221</v>
      </c>
      <c r="G58" s="14">
        <f>G53</f>
        <v>6156420.366016563</v>
      </c>
      <c r="H58" s="14">
        <f>H53</f>
        <v>6134279.9637729</v>
      </c>
      <c r="I58" s="14">
        <f>I53</f>
        <v>6104884.091730548</v>
      </c>
      <c r="J58" s="14">
        <f>J53</f>
        <v>6160161.150279791</v>
      </c>
      <c r="K58" s="14">
        <f>K53</f>
        <v>6137468.302977562</v>
      </c>
      <c r="L58" s="14">
        <f>L53</f>
        <v>6107345.69067586</v>
      </c>
    </row>
    <row r="59" spans="2:12" x14ac:dyDescent="0.25">
      <c r="B59" s="15" t="s">
        <v>267</v>
      </c>
      <c r="D59" s="14">
        <f>D51</f>
        <v>1739475.4522581417</v>
      </c>
      <c r="E59" s="14">
        <f>E51</f>
        <v>1733341.8559662225</v>
      </c>
      <c r="F59" s="14">
        <f>F51</f>
        <v>1725185.1919982894</v>
      </c>
      <c r="G59" s="14">
        <f>G51</f>
        <v>1740180.4584177197</v>
      </c>
      <c r="H59" s="14">
        <f>H51</f>
        <v>1733922.2283042262</v>
      </c>
      <c r="I59" s="14">
        <f>I51</f>
        <v>1725613.1592275563</v>
      </c>
      <c r="J59" s="14">
        <f>J51</f>
        <v>1741237.832555126</v>
      </c>
      <c r="K59" s="14">
        <f>K51</f>
        <v>1734823.4477221505</v>
      </c>
      <c r="L59" s="14">
        <f>L51</f>
        <v>1726308.9574554907</v>
      </c>
    </row>
    <row r="60" spans="2:12" x14ac:dyDescent="0.25">
      <c r="B60" s="15" t="s">
        <v>268</v>
      </c>
      <c r="D60" s="14">
        <f>Assumptions!C30</f>
        <v>2400000</v>
      </c>
      <c r="E60" s="14">
        <f>Assumptions!C30</f>
        <v>2400000</v>
      </c>
      <c r="F60" s="14">
        <f>Assumptions!C30</f>
        <v>2400000</v>
      </c>
      <c r="G60" s="14">
        <f>Assumptions!C30</f>
        <v>2400000</v>
      </c>
      <c r="H60" s="14">
        <f>Assumptions!C30</f>
        <v>2400000</v>
      </c>
      <c r="I60" s="14">
        <f>Assumptions!C30</f>
        <v>2400000</v>
      </c>
      <c r="J60" s="14">
        <f>Assumptions!C30</f>
        <v>2400000</v>
      </c>
      <c r="K60" s="14">
        <f>Assumptions!C30</f>
        <v>2400000</v>
      </c>
      <c r="L60" s="14">
        <f>Assumptions!C30</f>
        <v>2400000</v>
      </c>
    </row>
    <row r="61" spans="2:12" x14ac:dyDescent="0.25">
      <c r="B61" s="15" t="s">
        <v>269</v>
      </c>
      <c r="D61" s="14">
        <f>Assumptions!C28</f>
        <v>3000000</v>
      </c>
      <c r="E61" s="14">
        <f>Assumptions!C28</f>
        <v>3000000</v>
      </c>
      <c r="F61" s="14">
        <f>Assumptions!C28</f>
        <v>3000000</v>
      </c>
      <c r="G61" s="14">
        <f>Assumptions!C28</f>
        <v>3000000</v>
      </c>
      <c r="H61" s="14">
        <f>Assumptions!C28</f>
        <v>3000000</v>
      </c>
      <c r="I61" s="14">
        <f>Assumptions!C28</f>
        <v>3000000</v>
      </c>
      <c r="J61" s="14">
        <f>Assumptions!C28</f>
        <v>3000000</v>
      </c>
      <c r="K61" s="14">
        <f>Assumptions!C28</f>
        <v>3000000</v>
      </c>
      <c r="L61" s="14">
        <f>Assumptions!C28</f>
        <v>3000000</v>
      </c>
    </row>
    <row r="62" spans="2:12" x14ac:dyDescent="0.25">
      <c r="B62" s="15" t="s">
        <v>270</v>
      </c>
      <c r="D62" s="14">
        <f>Assumptions!C26</f>
        <v>5000000</v>
      </c>
      <c r="E62" s="14">
        <f>Assumptions!C26</f>
        <v>5000000</v>
      </c>
      <c r="F62" s="14">
        <f>Assumptions!C26</f>
        <v>5000000</v>
      </c>
      <c r="G62" s="14">
        <f>Assumptions!C26</f>
        <v>5000000</v>
      </c>
      <c r="H62" s="14">
        <f>Assumptions!C26</f>
        <v>5000000</v>
      </c>
      <c r="I62" s="14">
        <f>Assumptions!C26</f>
        <v>5000000</v>
      </c>
      <c r="J62" s="14">
        <f>Assumptions!C26</f>
        <v>5000000</v>
      </c>
      <c r="K62" s="14">
        <f>Assumptions!C26</f>
        <v>5000000</v>
      </c>
      <c r="L62" s="14">
        <f>Assumptions!C26</f>
        <v>5000000</v>
      </c>
    </row>
    <row r="63" spans="2:12" x14ac:dyDescent="0.25">
      <c r="B63" s="15" t="s">
        <v>23</v>
      </c>
      <c r="D63" s="14">
        <f>Assumptions!C24</f>
        <v>5000000</v>
      </c>
      <c r="E63" s="14">
        <f>Assumptions!C24</f>
        <v>5000000</v>
      </c>
      <c r="F63" s="14">
        <f>Assumptions!C24</f>
        <v>5000000</v>
      </c>
      <c r="G63" s="14">
        <f>Assumptions!C24</f>
        <v>5000000</v>
      </c>
      <c r="H63" s="14">
        <f>Assumptions!C24</f>
        <v>5000000</v>
      </c>
      <c r="I63" s="14">
        <f>Assumptions!C24</f>
        <v>5000000</v>
      </c>
      <c r="J63" s="14">
        <f>Assumptions!C24</f>
        <v>5000000</v>
      </c>
      <c r="K63" s="14">
        <f>Assumptions!C24</f>
        <v>5000000</v>
      </c>
      <c r="L63" s="14">
        <f>Assumptions!C24</f>
        <v>5000000</v>
      </c>
    </row>
    <row r="65" spans="2:12" x14ac:dyDescent="0.25">
      <c r="B65" s="15" t="s">
        <v>271</v>
      </c>
      <c r="D65" s="13">
        <f>Assumptions!C6</f>
        <v>30000000</v>
      </c>
      <c r="E65" s="13">
        <f>Assumptions!C6</f>
        <v>30000000</v>
      </c>
      <c r="F65" s="13">
        <f>Assumptions!C6</f>
        <v>30000000</v>
      </c>
      <c r="G65" s="13">
        <f>Assumptions!C6</f>
        <v>30000000</v>
      </c>
      <c r="H65" s="13">
        <f>Assumptions!C6</f>
        <v>30000000</v>
      </c>
      <c r="I65" s="13">
        <f>Assumptions!C6</f>
        <v>30000000</v>
      </c>
      <c r="J65" s="13">
        <f>Assumptions!C6</f>
        <v>30000000</v>
      </c>
      <c r="K65" s="13">
        <f>Assumptions!C6</f>
        <v>30000000</v>
      </c>
      <c r="L65" s="13">
        <f>Assumptions!C6</f>
        <v>30000000</v>
      </c>
    </row>
    <row r="66" spans="2:12" x14ac:dyDescent="0.25">
      <c r="B66" s="15" t="s">
        <v>272</v>
      </c>
      <c r="D66" s="13">
        <f>Assumptions!C36*Assumptions!C37</f>
        <v>299996802.315437</v>
      </c>
      <c r="E66" s="13">
        <f>Assumptions!C36*Assumptions!C37</f>
        <v>299996802.315437</v>
      </c>
      <c r="F66" s="13">
        <f>Assumptions!C36*Assumptions!C37</f>
        <v>299996802.315437</v>
      </c>
      <c r="G66" s="13">
        <f>Assumptions!C36*Assumptions!C37</f>
        <v>299996802.315437</v>
      </c>
      <c r="H66" s="13">
        <f>Assumptions!C36*Assumptions!C37</f>
        <v>299996802.315437</v>
      </c>
      <c r="I66" s="13">
        <f>Assumptions!C36*Assumptions!C37</f>
        <v>299996802.315437</v>
      </c>
      <c r="J66" s="13">
        <f>Assumptions!C36*Assumptions!C37</f>
        <v>299996802.315437</v>
      </c>
      <c r="K66" s="13">
        <f>Assumptions!C36*Assumptions!C37</f>
        <v>299996802.315437</v>
      </c>
      <c r="L66" s="13">
        <f>Assumptions!C36*Assumptions!C37</f>
        <v>299996802.315437</v>
      </c>
    </row>
    <row r="67" spans="2:12" x14ac:dyDescent="0.25">
      <c r="B67" s="15" t="s">
        <v>273</v>
      </c>
      <c r="D67" s="13">
        <f>Assumptions!C32*Assumptions!C34</f>
        <v>100000020</v>
      </c>
      <c r="E67" s="13">
        <f>Assumptions!C32*Assumptions!C34</f>
        <v>100000020</v>
      </c>
      <c r="F67" s="13">
        <f>Assumptions!C32*Assumptions!C34</f>
        <v>100000020</v>
      </c>
      <c r="G67" s="13">
        <f>Assumptions!C32*Assumptions!C34</f>
        <v>100000020</v>
      </c>
      <c r="H67" s="13">
        <f>Assumptions!C32*Assumptions!C34</f>
        <v>100000020</v>
      </c>
      <c r="I67" s="13">
        <f>Assumptions!C32*Assumptions!C34</f>
        <v>100000020</v>
      </c>
      <c r="J67" s="13">
        <f>Assumptions!C32*Assumptions!C34</f>
        <v>100000020</v>
      </c>
      <c r="K67" s="13">
        <f>Assumptions!C32*Assumptions!C34</f>
        <v>100000020</v>
      </c>
      <c r="L67" s="13">
        <f>Assumptions!C32*Assumptions!C34</f>
        <v>100000020</v>
      </c>
    </row>
    <row r="68" spans="2:12" x14ac:dyDescent="0.25">
      <c r="B68" s="15" t="s">
        <v>274</v>
      </c>
      <c r="D68" s="13">
        <f>Assumptions!C30*Assumptions!C31</f>
        <v>60000000</v>
      </c>
      <c r="E68" s="13">
        <f>Assumptions!C30*Assumptions!C31</f>
        <v>60000000</v>
      </c>
      <c r="F68" s="13">
        <f>Assumptions!C30*Assumptions!C31</f>
        <v>60000000</v>
      </c>
      <c r="G68" s="13">
        <f>Assumptions!C30*Assumptions!C31</f>
        <v>60000000</v>
      </c>
      <c r="H68" s="13">
        <f>Assumptions!C30*Assumptions!C31</f>
        <v>60000000</v>
      </c>
      <c r="I68" s="13">
        <f>Assumptions!C30*Assumptions!C31</f>
        <v>60000000</v>
      </c>
      <c r="J68" s="13">
        <f>Assumptions!C30*Assumptions!C31</f>
        <v>60000000</v>
      </c>
      <c r="K68" s="13">
        <f>Assumptions!C30*Assumptions!C31</f>
        <v>60000000</v>
      </c>
      <c r="L68" s="13">
        <f>Assumptions!C30*Assumptions!C31</f>
        <v>60000000</v>
      </c>
    </row>
    <row r="69" spans="2:12" x14ac:dyDescent="0.25">
      <c r="B69" s="15" t="s">
        <v>275</v>
      </c>
      <c r="D69" s="13">
        <f>Assumptions!C28*Assumptions!C29</f>
        <v>30000000</v>
      </c>
      <c r="E69" s="13">
        <f>Assumptions!C28*Assumptions!C29</f>
        <v>30000000</v>
      </c>
      <c r="F69" s="13">
        <f>Assumptions!C28*Assumptions!C29</f>
        <v>30000000</v>
      </c>
      <c r="G69" s="13">
        <f>Assumptions!C28*Assumptions!C29</f>
        <v>30000000</v>
      </c>
      <c r="H69" s="13">
        <f>Assumptions!C28*Assumptions!C29</f>
        <v>30000000</v>
      </c>
      <c r="I69" s="13">
        <f>Assumptions!C28*Assumptions!C29</f>
        <v>30000000</v>
      </c>
      <c r="J69" s="13">
        <f>Assumptions!C28*Assumptions!C29</f>
        <v>30000000</v>
      </c>
      <c r="K69" s="13">
        <f>Assumptions!C28*Assumptions!C29</f>
        <v>30000000</v>
      </c>
      <c r="L69" s="13">
        <f>Assumptions!C28*Assumptions!C29</f>
        <v>30000000</v>
      </c>
    </row>
    <row r="70" spans="2:12" x14ac:dyDescent="0.25">
      <c r="B70" s="15" t="s">
        <v>276</v>
      </c>
      <c r="D70" s="13">
        <f>Assumptions!C26*Assumptions!C27</f>
        <v>15000000</v>
      </c>
      <c r="E70" s="13">
        <f>Assumptions!C26*Assumptions!C27</f>
        <v>15000000</v>
      </c>
      <c r="F70" s="13">
        <f>Assumptions!C26*Assumptions!C27</f>
        <v>15000000</v>
      </c>
      <c r="G70" s="13">
        <f>Assumptions!C26*Assumptions!C27</f>
        <v>15000000</v>
      </c>
      <c r="H70" s="13">
        <f>Assumptions!C26*Assumptions!C27</f>
        <v>15000000</v>
      </c>
      <c r="I70" s="13">
        <f>Assumptions!C26*Assumptions!C27</f>
        <v>15000000</v>
      </c>
      <c r="J70" s="13">
        <f>Assumptions!C26*Assumptions!C27</f>
        <v>15000000</v>
      </c>
      <c r="K70" s="13">
        <f>Assumptions!C26*Assumptions!C27</f>
        <v>15000000</v>
      </c>
      <c r="L70" s="13">
        <f>Assumptions!C26*Assumptions!C27</f>
        <v>15000000</v>
      </c>
    </row>
    <row r="71" spans="2:12" x14ac:dyDescent="0.25">
      <c r="B71" s="15" t="s">
        <v>277</v>
      </c>
      <c r="D71" s="13">
        <f>Assumptions!C24*Assumptions!C25</f>
        <v>5000000</v>
      </c>
      <c r="E71" s="13">
        <f>Assumptions!C24*Assumptions!C25</f>
        <v>5000000</v>
      </c>
      <c r="F71" s="13">
        <f>Assumptions!C24*Assumptions!C25</f>
        <v>5000000</v>
      </c>
      <c r="G71" s="13">
        <f>Assumptions!C24*Assumptions!C25</f>
        <v>5000000</v>
      </c>
      <c r="H71" s="13">
        <f>Assumptions!C24*Assumptions!C25</f>
        <v>5000000</v>
      </c>
      <c r="I71" s="13">
        <f>Assumptions!C24*Assumptions!C25</f>
        <v>5000000</v>
      </c>
      <c r="J71" s="13">
        <f>Assumptions!C24*Assumptions!C25</f>
        <v>5000000</v>
      </c>
      <c r="K71" s="13">
        <f>Assumptions!C24*Assumptions!C25</f>
        <v>5000000</v>
      </c>
      <c r="L71" s="13">
        <f>Assumptions!C24*Assumptions!C25</f>
        <v>5000000</v>
      </c>
    </row>
    <row r="73" spans="2:12" x14ac:dyDescent="0.25">
      <c r="B73" s="5" t="s">
        <v>278</v>
      </c>
      <c r="D73" s="14">
        <f>(Assumptions!C15+Assumptions!C16+Assumptions!C17+Assumptions!C18)+D46+D47+Assumptions!C19</f>
        <v>11800870.376939407</v>
      </c>
      <c r="E73" s="14">
        <f>(Assumptions!C15+Assumptions!C16+Assumptions!C17+Assumptions!C18)+E46+E47+Assumptions!C19</f>
        <v>11776566.275207147</v>
      </c>
      <c r="F73" s="14">
        <f>(Assumptions!C15+Assumptions!C16+Assumptions!C17+Assumptions!C18)+F46+F47+Assumptions!C19</f>
        <v>11755752.711357445</v>
      </c>
      <c r="G73" s="14">
        <f>(Assumptions!C15+Assumptions!C16+Assumptions!C17+Assumptions!C18)+G46+G47+Assumptions!C19</f>
        <v>11805830.25652277</v>
      </c>
      <c r="H73" s="14">
        <f>(Assumptions!C15+Assumptions!C16+Assumptions!C17+Assumptions!C18)+H46+H47+Assumptions!C19</f>
        <v>11780957.127364196</v>
      </c>
      <c r="I73" s="14">
        <f>(Assumptions!C15+Assumptions!C16+Assumptions!C17+Assumptions!C18)+I46+I47+Assumptions!C19</f>
        <v>11759604.903280042</v>
      </c>
      <c r="J73" s="14">
        <f>(Assumptions!C15+Assumptions!C16+Assumptions!C17+Assumptions!C18)+J46+J47+Assumptions!C19</f>
        <v>11813269.125424609</v>
      </c>
      <c r="K73" s="14">
        <f>(Assumptions!C15+Assumptions!C16+Assumptions!C17+Assumptions!C18)+K46+K47+Assumptions!C19</f>
        <v>11787780.05364958</v>
      </c>
      <c r="L73" s="14">
        <f>(Assumptions!C15+Assumptions!C16+Assumptions!C17+Assumptions!C18)+L46+L47+Assumptions!C19</f>
        <v>11765872.347246068</v>
      </c>
    </row>
    <row r="74" spans="2:12" x14ac:dyDescent="0.25">
      <c r="B74" s="5" t="s">
        <v>279</v>
      </c>
      <c r="D74" s="13">
        <f>Assumptions!C53</f>
        <v>2000000000</v>
      </c>
      <c r="E74" s="13">
        <f>Assumptions!C53</f>
        <v>2000000000</v>
      </c>
      <c r="F74" s="13">
        <f>Assumptions!C53</f>
        <v>2000000000</v>
      </c>
      <c r="G74" s="13">
        <f>Assumptions!C53</f>
        <v>2000000000</v>
      </c>
      <c r="H74" s="13">
        <f>Assumptions!C53</f>
        <v>2000000000</v>
      </c>
      <c r="I74" s="13">
        <f>Assumptions!C53</f>
        <v>2000000000</v>
      </c>
      <c r="J74" s="13">
        <f>Assumptions!C53</f>
        <v>2000000000</v>
      </c>
      <c r="K74" s="13">
        <f>Assumptions!C53</f>
        <v>2000000000</v>
      </c>
      <c r="L74" s="13">
        <f>Assumptions!C53</f>
        <v>2000000000</v>
      </c>
    </row>
    <row r="75" spans="2:12" x14ac:dyDescent="0.25">
      <c r="B75" s="5" t="s">
        <v>280</v>
      </c>
      <c r="D75" s="13">
        <f>Assumptions!C19*Assumptions!C12</f>
        <v>2500000</v>
      </c>
      <c r="E75" s="13">
        <f>Assumptions!C19*Assumptions!C12</f>
        <v>2500000</v>
      </c>
      <c r="F75" s="13">
        <f>Assumptions!C19*Assumptions!C12</f>
        <v>2500000</v>
      </c>
      <c r="G75" s="13">
        <f>Assumptions!C19*Assumptions!C12</f>
        <v>2500000</v>
      </c>
      <c r="H75" s="13">
        <f>Assumptions!C19*Assumptions!C12</f>
        <v>2500000</v>
      </c>
      <c r="I75" s="13">
        <f>Assumptions!C19*Assumptions!C12</f>
        <v>2500000</v>
      </c>
      <c r="J75" s="13">
        <f>Assumptions!C19*Assumptions!C12</f>
        <v>2500000</v>
      </c>
      <c r="K75" s="13">
        <f>Assumptions!C19*Assumptions!C12</f>
        <v>2500000</v>
      </c>
      <c r="L75" s="13">
        <f>Assumptions!C19*Assumptions!C12</f>
        <v>2500000</v>
      </c>
    </row>
    <row r="76" spans="2:12" x14ac:dyDescent="0.25">
      <c r="B76" s="5" t="s">
        <v>281</v>
      </c>
      <c r="D76" s="14">
        <f>D73+D57+D58+D59+D60+D61+D62+D63</f>
        <v>36017242.80078118</v>
      </c>
      <c r="E76" s="14">
        <f>E73+E57+E58+E59+E60+E61+E62+E63</f>
        <v>35832731.86275668</v>
      </c>
      <c r="F76" s="14">
        <f>F73+F57+F58+F59+F60+F61+F62+F63</f>
        <v>35598869.82509023</v>
      </c>
      <c r="G76" s="14">
        <f>G73+G57+G58+G59+G60+G61+G62+G63</f>
        <v>36040617.13104194</v>
      </c>
      <c r="H76" s="14">
        <f>H73+H57+H58+H59+H60+H61+H62+H63</f>
        <v>35852281.7850119</v>
      </c>
      <c r="I76" s="14">
        <f>I73+I57+I58+I59+I60+I61+I62+I63</f>
        <v>35613900.332730785</v>
      </c>
      <c r="J76" s="14">
        <f>J73+J57+J58+J59+J60+J61+J62+J63</f>
        <v>36075674.14715607</v>
      </c>
      <c r="K76" s="14">
        <f>K73+K57+K58+K59+K60+K61+K62+K63</f>
        <v>35882644.16594659</v>
      </c>
      <c r="L76" s="14">
        <f>L73+L57+L58+L59+L60+L61+L62+L63</f>
        <v>35638341.72025126</v>
      </c>
    </row>
    <row r="77" spans="2:12" x14ac:dyDescent="0.25">
      <c r="B77" s="11" t="s">
        <v>282</v>
      </c>
      <c r="D77" s="12"/>
      <c r="E77" s="12"/>
      <c r="F77" s="12"/>
      <c r="G77" s="12"/>
      <c r="H77" s="12"/>
      <c r="I77" s="12"/>
      <c r="J77" s="12"/>
      <c r="K77" s="12"/>
      <c r="L77" s="12"/>
    </row>
    <row r="78" spans="2:12" x14ac:dyDescent="0.25">
      <c r="B78" s="15" t="s">
        <v>283</v>
      </c>
      <c r="D78" s="5" t="str">
        <f>IF(D65&gt;D57*(D74+D75)/D76,"preference","convert")</f>
        <v>convert</v>
      </c>
      <c r="E78" s="5" t="str">
        <f>IF(E65&gt;E57*(E74+E75)/E76,"preference","convert")</f>
        <v>convert</v>
      </c>
      <c r="F78" s="5" t="str">
        <f>IF(F65&gt;F57*(F74+F75)/F76,"preference","convert")</f>
        <v>convert</v>
      </c>
      <c r="G78" s="5" t="str">
        <f>IF(G65&gt;G57*(G74+G75)/G76,"preference","convert")</f>
        <v>convert</v>
      </c>
      <c r="H78" s="5" t="str">
        <f>IF(H65&gt;H57*(H74+H75)/H76,"preference","convert")</f>
        <v>convert</v>
      </c>
      <c r="I78" s="5" t="str">
        <f>IF(I65&gt;I57*(I74+I75)/I76,"preference","convert")</f>
        <v>convert</v>
      </c>
      <c r="J78" s="5" t="str">
        <f>IF(J65&gt;J57*(J74+J75)/J76,"preference","convert")</f>
        <v>convert</v>
      </c>
      <c r="K78" s="5" t="str">
        <f>IF(K65&gt;K57*(K74+K75)/K76,"preference","convert")</f>
        <v>convert</v>
      </c>
      <c r="L78" s="5" t="str">
        <f>IF(L65&gt;L57*(L74+L75)/L76,"preference","convert")</f>
        <v>convert</v>
      </c>
    </row>
    <row r="79" spans="2:12" x14ac:dyDescent="0.25">
      <c r="B79" s="15" t="s">
        <v>284</v>
      </c>
      <c r="D79" s="5" t="str">
        <f>IF(D66&gt;D58*(D74+D75)/D76,"preference","convert")</f>
        <v>convert</v>
      </c>
      <c r="E79" s="5" t="str">
        <f>IF(E66&gt;E58*(E74+E75)/E76,"preference","convert")</f>
        <v>convert</v>
      </c>
      <c r="F79" s="5" t="str">
        <f>IF(F66&gt;F58*(F74+F75)/F76,"preference","convert")</f>
        <v>convert</v>
      </c>
      <c r="G79" s="5" t="str">
        <f>IF(G66&gt;G58*(G74+G75)/G76,"preference","convert")</f>
        <v>convert</v>
      </c>
      <c r="H79" s="5" t="str">
        <f>IF(H66&gt;H58*(H74+H75)/H76,"preference","convert")</f>
        <v>convert</v>
      </c>
      <c r="I79" s="5" t="str">
        <f>IF(I66&gt;I58*(I74+I75)/I76,"preference","convert")</f>
        <v>convert</v>
      </c>
      <c r="J79" s="5" t="str">
        <f>IF(J66&gt;J58*(J74+J75)/J76,"preference","convert")</f>
        <v>convert</v>
      </c>
      <c r="K79" s="5" t="str">
        <f>IF(K66&gt;K58*(K74+K75)/K76,"preference","convert")</f>
        <v>convert</v>
      </c>
      <c r="L79" s="5" t="str">
        <f>IF(L66&gt;L58*(L74+L75)/L76,"preference","convert")</f>
        <v>convert</v>
      </c>
    </row>
    <row r="80" spans="2:12" x14ac:dyDescent="0.25">
      <c r="B80" s="15" t="s">
        <v>285</v>
      </c>
      <c r="D80" s="5" t="str">
        <f>IF(D67&gt;D59*(D74+D75)/D76,"preference","convert")</f>
        <v>preference</v>
      </c>
      <c r="E80" s="5" t="str">
        <f>IF(E67&gt;E59*(E74+E75)/E76,"preference","convert")</f>
        <v>preference</v>
      </c>
      <c r="F80" s="5" t="str">
        <f>IF(F67&gt;F59*(F74+F75)/F76,"preference","convert")</f>
        <v>preference</v>
      </c>
      <c r="G80" s="5" t="str">
        <f>IF(G67&gt;G59*(G74+G75)/G76,"preference","convert")</f>
        <v>preference</v>
      </c>
      <c r="H80" s="5" t="str">
        <f>IF(H67&gt;H59*(H74+H75)/H76,"preference","convert")</f>
        <v>preference</v>
      </c>
      <c r="I80" s="5" t="str">
        <f>IF(I67&gt;I59*(I74+I75)/I76,"preference","convert")</f>
        <v>preference</v>
      </c>
      <c r="J80" s="5" t="str">
        <f>IF(J67&gt;J59*(J74+J75)/J76,"preference","convert")</f>
        <v>preference</v>
      </c>
      <c r="K80" s="5" t="str">
        <f>IF(K67&gt;K59*(K74+K75)/K76,"preference","convert")</f>
        <v>preference</v>
      </c>
      <c r="L80" s="5" t="str">
        <f>IF(L67&gt;L59*(L74+L75)/L76,"preference","convert")</f>
        <v>preference</v>
      </c>
    </row>
    <row r="81" spans="2:12" x14ac:dyDescent="0.25">
      <c r="B81" s="15" t="s">
        <v>286</v>
      </c>
      <c r="D81" s="5" t="str">
        <f>IF(D68&gt;D60*(D74+D75)/D76,"preference","convert")</f>
        <v>convert</v>
      </c>
      <c r="E81" s="5" t="str">
        <f>IF(E68&gt;E60*(E74+E75)/E76,"preference","convert")</f>
        <v>convert</v>
      </c>
      <c r="F81" s="5" t="str">
        <f>IF(F68&gt;F60*(F74+F75)/F76,"preference","convert")</f>
        <v>convert</v>
      </c>
      <c r="G81" s="5" t="str">
        <f>IF(G68&gt;G60*(G74+G75)/G76,"preference","convert")</f>
        <v>convert</v>
      </c>
      <c r="H81" s="5" t="str">
        <f>IF(H68&gt;H60*(H74+H75)/H76,"preference","convert")</f>
        <v>convert</v>
      </c>
      <c r="I81" s="5" t="str">
        <f>IF(I68&gt;I60*(I74+I75)/I76,"preference","convert")</f>
        <v>convert</v>
      </c>
      <c r="J81" s="5" t="str">
        <f>IF(J68&gt;J60*(J74+J75)/J76,"preference","convert")</f>
        <v>convert</v>
      </c>
      <c r="K81" s="5" t="str">
        <f>IF(K68&gt;K60*(K74+K75)/K76,"preference","convert")</f>
        <v>convert</v>
      </c>
      <c r="L81" s="5" t="str">
        <f>IF(L68&gt;L60*(L74+L75)/L76,"preference","convert")</f>
        <v>convert</v>
      </c>
    </row>
    <row r="82" spans="2:12" x14ac:dyDescent="0.25">
      <c r="B82" s="15" t="s">
        <v>287</v>
      </c>
      <c r="D82" s="5" t="str">
        <f>IF(D69&gt;D61*(D74+D75)/D76,"preference","convert")</f>
        <v>convert</v>
      </c>
      <c r="E82" s="5" t="str">
        <f>IF(E69&gt;E61*(E74+E75)/E76,"preference","convert")</f>
        <v>convert</v>
      </c>
      <c r="F82" s="5" t="str">
        <f>IF(F69&gt;F61*(F74+F75)/F76,"preference","convert")</f>
        <v>convert</v>
      </c>
      <c r="G82" s="5" t="str">
        <f>IF(G69&gt;G61*(G74+G75)/G76,"preference","convert")</f>
        <v>convert</v>
      </c>
      <c r="H82" s="5" t="str">
        <f>IF(H69&gt;H61*(H74+H75)/H76,"preference","convert")</f>
        <v>convert</v>
      </c>
      <c r="I82" s="5" t="str">
        <f>IF(I69&gt;I61*(I74+I75)/I76,"preference","convert")</f>
        <v>convert</v>
      </c>
      <c r="J82" s="5" t="str">
        <f>IF(J69&gt;J61*(J74+J75)/J76,"preference","convert")</f>
        <v>convert</v>
      </c>
      <c r="K82" s="5" t="str">
        <f>IF(K69&gt;K61*(K74+K75)/K76,"preference","convert")</f>
        <v>convert</v>
      </c>
      <c r="L82" s="5" t="str">
        <f>IF(L69&gt;L61*(L74+L75)/L76,"preference","convert")</f>
        <v>convert</v>
      </c>
    </row>
    <row r="83" spans="2:12" x14ac:dyDescent="0.25">
      <c r="B83" s="15" t="s">
        <v>288</v>
      </c>
      <c r="D83" s="5" t="str">
        <f>IF(D70&gt;D62*(D74+D75)/D76,"preference","convert")</f>
        <v>convert</v>
      </c>
      <c r="E83" s="5" t="str">
        <f>IF(E70&gt;E62*(E74+E75)/E76,"preference","convert")</f>
        <v>convert</v>
      </c>
      <c r="F83" s="5" t="str">
        <f>IF(F70&gt;F62*(F74+F75)/F76,"preference","convert")</f>
        <v>convert</v>
      </c>
      <c r="G83" s="5" t="str">
        <f>IF(G70&gt;G62*(G74+G75)/G76,"preference","convert")</f>
        <v>convert</v>
      </c>
      <c r="H83" s="5" t="str">
        <f>IF(H70&gt;H62*(H74+H75)/H76,"preference","convert")</f>
        <v>convert</v>
      </c>
      <c r="I83" s="5" t="str">
        <f>IF(I70&gt;I62*(I74+I75)/I76,"preference","convert")</f>
        <v>convert</v>
      </c>
      <c r="J83" s="5" t="str">
        <f>IF(J70&gt;J62*(J74+J75)/J76,"preference","convert")</f>
        <v>convert</v>
      </c>
      <c r="K83" s="5" t="str">
        <f>IF(K70&gt;K62*(K74+K75)/K76,"preference","convert")</f>
        <v>convert</v>
      </c>
      <c r="L83" s="5" t="str">
        <f>IF(L70&gt;L62*(L74+L75)/L76,"preference","convert")</f>
        <v>convert</v>
      </c>
    </row>
    <row r="84" spans="2:12" x14ac:dyDescent="0.25">
      <c r="B84" s="15" t="s">
        <v>289</v>
      </c>
      <c r="D84" s="5" t="str">
        <f>IF(D71&gt;D63*(D74+D75)/D76,"preference","convert")</f>
        <v>convert</v>
      </c>
      <c r="E84" s="5" t="str">
        <f>IF(E71&gt;E63*(E74+E75)/E76,"preference","convert")</f>
        <v>convert</v>
      </c>
      <c r="F84" s="5" t="str">
        <f>IF(F71&gt;F63*(F74+F75)/F76,"preference","convert")</f>
        <v>convert</v>
      </c>
      <c r="G84" s="5" t="str">
        <f>IF(G71&gt;G63*(G74+G75)/G76,"preference","convert")</f>
        <v>convert</v>
      </c>
      <c r="H84" s="5" t="str">
        <f>IF(H71&gt;H63*(H74+H75)/H76,"preference","convert")</f>
        <v>convert</v>
      </c>
      <c r="I84" s="5" t="str">
        <f>IF(I71&gt;I63*(I74+I75)/I76,"preference","convert")</f>
        <v>convert</v>
      </c>
      <c r="J84" s="5" t="str">
        <f>IF(J71&gt;J63*(J74+J75)/J76,"preference","convert")</f>
        <v>convert</v>
      </c>
      <c r="K84" s="5" t="str">
        <f>IF(K71&gt;K63*(K74+K75)/K76,"preference","convert")</f>
        <v>convert</v>
      </c>
      <c r="L84" s="5" t="str">
        <f>IF(L71&gt;L63*(L74+L75)/L76,"preference","convert")</f>
        <v>convert</v>
      </c>
    </row>
    <row r="86" spans="2:12" x14ac:dyDescent="0.25">
      <c r="B86" s="11" t="s">
        <v>290</v>
      </c>
      <c r="D86" s="12"/>
      <c r="E86" s="12"/>
      <c r="F86" s="12"/>
      <c r="G86" s="12"/>
      <c r="H86" s="12"/>
      <c r="I86" s="12"/>
      <c r="J86" s="12"/>
      <c r="K86" s="12"/>
      <c r="L86" s="12"/>
    </row>
    <row r="87" spans="2:12" x14ac:dyDescent="0.25">
      <c r="B87" s="15" t="s">
        <v>283</v>
      </c>
      <c r="D87" s="5" t="str">
        <f>IF(D65&gt;(D57*(D74-(D95-IF(D78="preference",D65,0))+D75)/(D73+(D96-IF(D78="convert",D57,0))+D57)),"preference","convert")</f>
        <v>convert</v>
      </c>
      <c r="E87" s="5" t="str">
        <f>IF(E65&gt;(E57*(E74-(E95-IF(E78="preference",E65,0))+E75)/(E73+(E96-IF(E78="convert",E57,0))+E57)),"preference","convert")</f>
        <v>convert</v>
      </c>
      <c r="F87" s="5" t="str">
        <f>IF(F65&gt;(F57*(F74-(F95-IF(F78="preference",F65,0))+F75)/(F73+(F96-IF(F78="convert",F57,0))+F57)),"preference","convert")</f>
        <v>convert</v>
      </c>
      <c r="G87" s="5" t="str">
        <f>IF(G65&gt;(G57*(G74-(G95-IF(G78="preference",G65,0))+G75)/(G73+(G96-IF(G78="convert",G57,0))+G57)),"preference","convert")</f>
        <v>convert</v>
      </c>
      <c r="H87" s="5" t="str">
        <f>IF(H65&gt;(H57*(H74-(H95-IF(H78="preference",H65,0))+H75)/(H73+(H96-IF(H78="convert",H57,0))+H57)),"preference","convert")</f>
        <v>convert</v>
      </c>
      <c r="I87" s="5" t="str">
        <f>IF(I65&gt;(I57*(I74-(I95-IF(I78="preference",I65,0))+I75)/(I73+(I96-IF(I78="convert",I57,0))+I57)),"preference","convert")</f>
        <v>convert</v>
      </c>
      <c r="J87" s="5" t="str">
        <f>IF(J65&gt;(J57*(J74-(J95-IF(J78="preference",J65,0))+J75)/(J73+(J96-IF(J78="convert",J57,0))+J57)),"preference","convert")</f>
        <v>convert</v>
      </c>
      <c r="K87" s="5" t="str">
        <f>IF(K65&gt;(K57*(K74-(K95-IF(K78="preference",K65,0))+K75)/(K73+(K96-IF(K78="convert",K57,0))+K57)),"preference","convert")</f>
        <v>convert</v>
      </c>
      <c r="L87" s="5" t="str">
        <f>IF(L65&gt;(L57*(L74-(L95-IF(L78="preference",L65,0))+L75)/(L73+(L96-IF(L78="convert",L57,0))+L57)),"preference","convert")</f>
        <v>convert</v>
      </c>
    </row>
    <row r="88" spans="2:12" x14ac:dyDescent="0.25">
      <c r="B88" s="15" t="s">
        <v>284</v>
      </c>
      <c r="D88" s="5" t="str">
        <f>IF(D66&gt;(D58*(D74-(D95-IF(D79="preference",D66,0))+D75)/(D73+(D96-IF(D79="convert",D58,0))+D58)),"preference","convert")</f>
        <v>convert</v>
      </c>
      <c r="E88" s="5" t="str">
        <f>IF(E66&gt;(E58*(E74-(E95-IF(E79="preference",E66,0))+E75)/(E73+(E96-IF(E79="convert",E58,0))+E58)),"preference","convert")</f>
        <v>convert</v>
      </c>
      <c r="F88" s="5" t="str">
        <f>IF(F66&gt;(F58*(F74-(F95-IF(F79="preference",F66,0))+F75)/(F73+(F96-IF(F79="convert",F58,0))+F58)),"preference","convert")</f>
        <v>convert</v>
      </c>
      <c r="G88" s="5" t="str">
        <f>IF(G66&gt;(G58*(G74-(G95-IF(G79="preference",G66,0))+G75)/(G73+(G96-IF(G79="convert",G58,0))+G58)),"preference","convert")</f>
        <v>convert</v>
      </c>
      <c r="H88" s="5" t="str">
        <f>IF(H66&gt;(H58*(H74-(H95-IF(H79="preference",H66,0))+H75)/(H73+(H96-IF(H79="convert",H58,0))+H58)),"preference","convert")</f>
        <v>convert</v>
      </c>
      <c r="I88" s="5" t="str">
        <f>IF(I66&gt;(I58*(I74-(I95-IF(I79="preference",I66,0))+I75)/(I73+(I96-IF(I79="convert",I58,0))+I58)),"preference","convert")</f>
        <v>convert</v>
      </c>
      <c r="J88" s="5" t="str">
        <f>IF(J66&gt;(J58*(J74-(J95-IF(J79="preference",J66,0))+J75)/(J73+(J96-IF(J79="convert",J58,0))+J58)),"preference","convert")</f>
        <v>convert</v>
      </c>
      <c r="K88" s="5" t="str">
        <f>IF(K66&gt;(K58*(K74-(K95-IF(K79="preference",K66,0))+K75)/(K73+(K96-IF(K79="convert",K58,0))+K58)),"preference","convert")</f>
        <v>convert</v>
      </c>
      <c r="L88" s="5" t="str">
        <f>IF(L66&gt;(L58*(L74-(L95-IF(L79="preference",L66,0))+L75)/(L73+(L96-IF(L79="convert",L58,0))+L58)),"preference","convert")</f>
        <v>convert</v>
      </c>
    </row>
    <row r="89" spans="2:12" x14ac:dyDescent="0.25">
      <c r="B89" s="15" t="s">
        <v>285</v>
      </c>
      <c r="D89" s="5" t="str">
        <f>IF(D67&gt;(D59*(D74-(D95-IF(D80="preference",D67,0))+D75)/(D73+(D96-IF(D80="convert",D59,0))+D59)),"preference","convert")</f>
        <v>preference</v>
      </c>
      <c r="E89" s="5" t="str">
        <f>IF(E67&gt;(E59*(E74-(E95-IF(E80="preference",E67,0))+E75)/(E73+(E96-IF(E80="convert",E59,0))+E59)),"preference","convert")</f>
        <v>preference</v>
      </c>
      <c r="F89" s="5" t="str">
        <f>IF(F67&gt;(F59*(F74-(F95-IF(F80="preference",F67,0))+F75)/(F73+(F96-IF(F80="convert",F59,0))+F59)),"preference","convert")</f>
        <v>preference</v>
      </c>
      <c r="G89" s="5" t="str">
        <f>IF(G67&gt;(G59*(G74-(G95-IF(G80="preference",G67,0))+G75)/(G73+(G96-IF(G80="convert",G59,0))+G59)),"preference","convert")</f>
        <v>preference</v>
      </c>
      <c r="H89" s="5" t="str">
        <f>IF(H67&gt;(H59*(H74-(H95-IF(H80="preference",H67,0))+H75)/(H73+(H96-IF(H80="convert",H59,0))+H59)),"preference","convert")</f>
        <v>preference</v>
      </c>
      <c r="I89" s="5" t="str">
        <f>IF(I67&gt;(I59*(I74-(I95-IF(I80="preference",I67,0))+I75)/(I73+(I96-IF(I80="convert",I59,0))+I59)),"preference","convert")</f>
        <v>preference</v>
      </c>
      <c r="J89" s="5" t="str">
        <f>IF(J67&gt;(J59*(J74-(J95-IF(J80="preference",J67,0))+J75)/(J73+(J96-IF(J80="convert",J59,0))+J59)),"preference","convert")</f>
        <v>preference</v>
      </c>
      <c r="K89" s="5" t="str">
        <f>IF(K67&gt;(K59*(K74-(K95-IF(K80="preference",K67,0))+K75)/(K73+(K96-IF(K80="convert",K59,0))+K59)),"preference","convert")</f>
        <v>preference</v>
      </c>
      <c r="L89" s="5" t="str">
        <f>IF(L67&gt;(L59*(L74-(L95-IF(L80="preference",L67,0))+L75)/(L73+(L96-IF(L80="convert",L59,0))+L59)),"preference","convert")</f>
        <v>preference</v>
      </c>
    </row>
    <row r="90" spans="2:12" x14ac:dyDescent="0.25">
      <c r="B90" s="15" t="s">
        <v>286</v>
      </c>
      <c r="D90" s="5" t="str">
        <f>IF(D68&gt;(D60*(D74-(D95-IF(D81="preference",D68,0))+D75)/(D73+(D96-IF(D81="convert",D60,0))+D60)),"preference","convert")</f>
        <v>convert</v>
      </c>
      <c r="E90" s="5" t="str">
        <f>IF(E68&gt;(E60*(E74-(E95-IF(E81="preference",E68,0))+E75)/(E73+(E96-IF(E81="convert",E60,0))+E60)),"preference","convert")</f>
        <v>convert</v>
      </c>
      <c r="F90" s="5" t="str">
        <f>IF(F68&gt;(F60*(F74-(F95-IF(F81="preference",F68,0))+F75)/(F73+(F96-IF(F81="convert",F60,0))+F60)),"preference","convert")</f>
        <v>convert</v>
      </c>
      <c r="G90" s="5" t="str">
        <f>IF(G68&gt;(G60*(G74-(G95-IF(G81="preference",G68,0))+G75)/(G73+(G96-IF(G81="convert",G60,0))+G60)),"preference","convert")</f>
        <v>convert</v>
      </c>
      <c r="H90" s="5" t="str">
        <f>IF(H68&gt;(H60*(H74-(H95-IF(H81="preference",H68,0))+H75)/(H73+(H96-IF(H81="convert",H60,0))+H60)),"preference","convert")</f>
        <v>convert</v>
      </c>
      <c r="I90" s="5" t="str">
        <f>IF(I68&gt;(I60*(I74-(I95-IF(I81="preference",I68,0))+I75)/(I73+(I96-IF(I81="convert",I60,0))+I60)),"preference","convert")</f>
        <v>convert</v>
      </c>
      <c r="J90" s="5" t="str">
        <f>IF(J68&gt;(J60*(J74-(J95-IF(J81="preference",J68,0))+J75)/(J73+(J96-IF(J81="convert",J60,0))+J60)),"preference","convert")</f>
        <v>convert</v>
      </c>
      <c r="K90" s="5" t="str">
        <f>IF(K68&gt;(K60*(K74-(K95-IF(K81="preference",K68,0))+K75)/(K73+(K96-IF(K81="convert",K60,0))+K60)),"preference","convert")</f>
        <v>convert</v>
      </c>
      <c r="L90" s="5" t="str">
        <f>IF(L68&gt;(L60*(L74-(L95-IF(L81="preference",L68,0))+L75)/(L73+(L96-IF(L81="convert",L60,0))+L60)),"preference","convert")</f>
        <v>convert</v>
      </c>
    </row>
    <row r="91" spans="2:12" x14ac:dyDescent="0.25">
      <c r="B91" s="15" t="s">
        <v>287</v>
      </c>
      <c r="D91" s="5" t="str">
        <f>IF(D69&gt;(D61*(D74-(D95-IF(D82="preference",D69,0))+D75)/(D73+(D96-IF(D82="convert",D61,0))+D61)),"preference","convert")</f>
        <v>convert</v>
      </c>
      <c r="E91" s="5" t="str">
        <f>IF(E69&gt;(E61*(E74-(E95-IF(E82="preference",E69,0))+E75)/(E73+(E96-IF(E82="convert",E61,0))+E61)),"preference","convert")</f>
        <v>convert</v>
      </c>
      <c r="F91" s="5" t="str">
        <f>IF(F69&gt;(F61*(F74-(F95-IF(F82="preference",F69,0))+F75)/(F73+(F96-IF(F82="convert",F61,0))+F61)),"preference","convert")</f>
        <v>convert</v>
      </c>
      <c r="G91" s="5" t="str">
        <f>IF(G69&gt;(G61*(G74-(G95-IF(G82="preference",G69,0))+G75)/(G73+(G96-IF(G82="convert",G61,0))+G61)),"preference","convert")</f>
        <v>convert</v>
      </c>
      <c r="H91" s="5" t="str">
        <f>IF(H69&gt;(H61*(H74-(H95-IF(H82="preference",H69,0))+H75)/(H73+(H96-IF(H82="convert",H61,0))+H61)),"preference","convert")</f>
        <v>convert</v>
      </c>
      <c r="I91" s="5" t="str">
        <f>IF(I69&gt;(I61*(I74-(I95-IF(I82="preference",I69,0))+I75)/(I73+(I96-IF(I82="convert",I61,0))+I61)),"preference","convert")</f>
        <v>convert</v>
      </c>
      <c r="J91" s="5" t="str">
        <f>IF(J69&gt;(J61*(J74-(J95-IF(J82="preference",J69,0))+J75)/(J73+(J96-IF(J82="convert",J61,0))+J61)),"preference","convert")</f>
        <v>convert</v>
      </c>
      <c r="K91" s="5" t="str">
        <f>IF(K69&gt;(K61*(K74-(K95-IF(K82="preference",K69,0))+K75)/(K73+(K96-IF(K82="convert",K61,0))+K61)),"preference","convert")</f>
        <v>convert</v>
      </c>
      <c r="L91" s="5" t="str">
        <f>IF(L69&gt;(L61*(L74-(L95-IF(L82="preference",L69,0))+L75)/(L73+(L96-IF(L82="convert",L61,0))+L61)),"preference","convert")</f>
        <v>convert</v>
      </c>
    </row>
    <row r="92" spans="2:12" x14ac:dyDescent="0.25">
      <c r="B92" s="15" t="s">
        <v>288</v>
      </c>
      <c r="D92" s="5" t="str">
        <f>IF(D70&gt;(D62*(D74-(D95-IF(D83="preference",D70,0))+D75)/(D73+(D96-IF(D83="convert",D62,0))+D62)),"preference","convert")</f>
        <v>convert</v>
      </c>
      <c r="E92" s="5" t="str">
        <f>IF(E70&gt;(E62*(E74-(E95-IF(E83="preference",E70,0))+E75)/(E73+(E96-IF(E83="convert",E62,0))+E62)),"preference","convert")</f>
        <v>convert</v>
      </c>
      <c r="F92" s="5" t="str">
        <f>IF(F70&gt;(F62*(F74-(F95-IF(F83="preference",F70,0))+F75)/(F73+(F96-IF(F83="convert",F62,0))+F62)),"preference","convert")</f>
        <v>convert</v>
      </c>
      <c r="G92" s="5" t="str">
        <f>IF(G70&gt;(G62*(G74-(G95-IF(G83="preference",G70,0))+G75)/(G73+(G96-IF(G83="convert",G62,0))+G62)),"preference","convert")</f>
        <v>convert</v>
      </c>
      <c r="H92" s="5" t="str">
        <f>IF(H70&gt;(H62*(H74-(H95-IF(H83="preference",H70,0))+H75)/(H73+(H96-IF(H83="convert",H62,0))+H62)),"preference","convert")</f>
        <v>convert</v>
      </c>
      <c r="I92" s="5" t="str">
        <f>IF(I70&gt;(I62*(I74-(I95-IF(I83="preference",I70,0))+I75)/(I73+(I96-IF(I83="convert",I62,0))+I62)),"preference","convert")</f>
        <v>convert</v>
      </c>
      <c r="J92" s="5" t="str">
        <f>IF(J70&gt;(J62*(J74-(J95-IF(J83="preference",J70,0))+J75)/(J73+(J96-IF(J83="convert",J62,0))+J62)),"preference","convert")</f>
        <v>convert</v>
      </c>
      <c r="K92" s="5" t="str">
        <f>IF(K70&gt;(K62*(K74-(K95-IF(K83="preference",K70,0))+K75)/(K73+(K96-IF(K83="convert",K62,0))+K62)),"preference","convert")</f>
        <v>convert</v>
      </c>
      <c r="L92" s="5" t="str">
        <f>IF(L70&gt;(L62*(L74-(L95-IF(L83="preference",L70,0))+L75)/(L73+(L96-IF(L83="convert",L62,0))+L62)),"preference","convert")</f>
        <v>convert</v>
      </c>
    </row>
    <row r="93" spans="2:12" x14ac:dyDescent="0.25">
      <c r="B93" s="15" t="s">
        <v>289</v>
      </c>
      <c r="D93" s="5" t="str">
        <f>IF(D71&gt;(D63*(D74-(D95-IF(D84="preference",D71,0))+D75)/(D73+(D96-IF(D84="convert",D63,0))+D63)),"preference","convert")</f>
        <v>convert</v>
      </c>
      <c r="E93" s="5" t="str">
        <f>IF(E71&gt;(E63*(E74-(E95-IF(E84="preference",E71,0))+E75)/(E73+(E96-IF(E84="convert",E63,0))+E63)),"preference","convert")</f>
        <v>convert</v>
      </c>
      <c r="F93" s="5" t="str">
        <f>IF(F71&gt;(F63*(F74-(F95-IF(F84="preference",F71,0))+F75)/(F73+(F96-IF(F84="convert",F63,0))+F63)),"preference","convert")</f>
        <v>convert</v>
      </c>
      <c r="G93" s="5" t="str">
        <f>IF(G71&gt;(G63*(G74-(G95-IF(G84="preference",G71,0))+G75)/(G73+(G96-IF(G84="convert",G63,0))+G63)),"preference","convert")</f>
        <v>convert</v>
      </c>
      <c r="H93" s="5" t="str">
        <f>IF(H71&gt;(H63*(H74-(H95-IF(H84="preference",H71,0))+H75)/(H73+(H96-IF(H84="convert",H63,0))+H63)),"preference","convert")</f>
        <v>convert</v>
      </c>
      <c r="I93" s="5" t="str">
        <f>IF(I71&gt;(I63*(I74-(I95-IF(I84="preference",I71,0))+I75)/(I73+(I96-IF(I84="convert",I63,0))+I63)),"preference","convert")</f>
        <v>convert</v>
      </c>
      <c r="J93" s="5" t="str">
        <f>IF(J71&gt;(J63*(J74-(J95-IF(J84="preference",J71,0))+J75)/(J73+(J96-IF(J84="convert",J63,0))+J63)),"preference","convert")</f>
        <v>convert</v>
      </c>
      <c r="K93" s="5" t="str">
        <f>IF(K71&gt;(K63*(K74-(K95-IF(K84="preference",K71,0))+K75)/(K73+(K96-IF(K84="convert",K63,0))+K63)),"preference","convert")</f>
        <v>convert</v>
      </c>
      <c r="L93" s="5" t="str">
        <f>IF(L71&gt;(L63*(L74-(L95-IF(L84="preference",L71,0))+L75)/(L73+(L96-IF(L84="convert",L63,0))+L63)),"preference","convert")</f>
        <v>convert</v>
      </c>
    </row>
    <row r="95" spans="2:12" x14ac:dyDescent="0.25">
      <c r="B95" s="5" t="s">
        <v>192</v>
      </c>
      <c r="D95" s="13">
        <f>SUMPRODUCT(--(D78:D84="preference")*D65:D71)</f>
        <v>100000020</v>
      </c>
      <c r="E95" s="13">
        <f>SUMPRODUCT(--(E78:E84="preference")*E65:E71)</f>
        <v>100000020</v>
      </c>
      <c r="F95" s="13">
        <f>SUMPRODUCT(--(F78:F84="preference")*F65:F71)</f>
        <v>100000020</v>
      </c>
      <c r="G95" s="13">
        <f>SUMPRODUCT(--(G78:G84="preference")*G65:G71)</f>
        <v>100000020</v>
      </c>
      <c r="H95" s="13">
        <f>SUMPRODUCT(--(H78:H84="preference")*H65:H71)</f>
        <v>100000020</v>
      </c>
      <c r="I95" s="13">
        <f>SUMPRODUCT(--(I78:I84="preference")*I65:I71)</f>
        <v>100000020</v>
      </c>
      <c r="J95" s="13">
        <f>SUMPRODUCT(--(J78:J84="preference")*J65:J71)</f>
        <v>100000020</v>
      </c>
      <c r="K95" s="13">
        <f>SUMPRODUCT(--(K78:K84="preference")*K65:K71)</f>
        <v>100000020</v>
      </c>
      <c r="L95" s="13">
        <f>SUMPRODUCT(--(L78:L84="preference")*L65:L71)</f>
        <v>100000020</v>
      </c>
    </row>
    <row r="96" spans="2:12" x14ac:dyDescent="0.25">
      <c r="B96" s="5" t="s">
        <v>193</v>
      </c>
      <c r="D96" s="14">
        <f>SUMPRODUCT(--(D78:D84="convert")*D57:D63)</f>
        <v>22476896.971583627</v>
      </c>
      <c r="E96" s="14">
        <f>SUMPRODUCT(--(E78:E84="convert")*E57:E63)</f>
        <v>22322823.73158331</v>
      </c>
      <c r="F96" s="14">
        <f>SUMPRODUCT(--(F78:F84="convert")*F57:F63)</f>
        <v>22117931.921734493</v>
      </c>
      <c r="G96" s="14">
        <f>SUMPRODUCT(--(G78:G84="convert")*G57:G63)</f>
        <v>22494606.416101445</v>
      </c>
      <c r="H96" s="14">
        <f>SUMPRODUCT(--(H78:H84="convert")*H57:H63)</f>
        <v>22337402.42934348</v>
      </c>
      <c r="I96" s="14">
        <f>SUMPRODUCT(--(I78:I84="convert")*I57:I63)</f>
        <v>22128682.270223185</v>
      </c>
      <c r="J96" s="14">
        <f>SUMPRODUCT(--(J78:J84="convert")*J57:J63)</f>
        <v>22521167.189176332</v>
      </c>
      <c r="K96" s="14">
        <f>SUMPRODUCT(--(K78:K84="convert")*K57:K63)</f>
        <v>22360040.66457486</v>
      </c>
      <c r="L96" s="14">
        <f>SUMPRODUCT(--(L78:L84="convert")*L57:L63)</f>
        <v>22146160.4155497</v>
      </c>
    </row>
    <row r="98" spans="2:12" x14ac:dyDescent="0.25">
      <c r="B98" s="5" t="s">
        <v>197</v>
      </c>
      <c r="D98" s="13">
        <f>SUMPRODUCT(--(D87:D93="preference")*D65:D71)</f>
        <v>100000020</v>
      </c>
      <c r="E98" s="13">
        <f>SUMPRODUCT(--(E87:E93="preference")*E65:E71)</f>
        <v>100000020</v>
      </c>
      <c r="F98" s="13">
        <f>SUMPRODUCT(--(F87:F93="preference")*F65:F71)</f>
        <v>100000020</v>
      </c>
      <c r="G98" s="13">
        <f>SUMPRODUCT(--(G87:G93="preference")*G65:G71)</f>
        <v>100000020</v>
      </c>
      <c r="H98" s="13">
        <f>SUMPRODUCT(--(H87:H93="preference")*H65:H71)</f>
        <v>100000020</v>
      </c>
      <c r="I98" s="13">
        <f>SUMPRODUCT(--(I87:I93="preference")*I65:I71)</f>
        <v>100000020</v>
      </c>
      <c r="J98" s="13">
        <f>SUMPRODUCT(--(J87:J93="preference")*J65:J71)</f>
        <v>100000020</v>
      </c>
      <c r="K98" s="13">
        <f>SUMPRODUCT(--(K87:K93="preference")*K65:K71)</f>
        <v>100000020</v>
      </c>
      <c r="L98" s="13">
        <f>SUMPRODUCT(--(L87:L93="preference")*L65:L71)</f>
        <v>100000020</v>
      </c>
    </row>
    <row r="99" spans="2:12" x14ac:dyDescent="0.25">
      <c r="B99" s="5" t="s">
        <v>198</v>
      </c>
      <c r="D99" s="14">
        <f>SUMPRODUCT(--(D87:D93="convert")*D57:D63)</f>
        <v>22476896.971583627</v>
      </c>
      <c r="E99" s="14">
        <f>SUMPRODUCT(--(E87:E93="convert")*E57:E63)</f>
        <v>22322823.73158331</v>
      </c>
      <c r="F99" s="14">
        <f>SUMPRODUCT(--(F87:F93="convert")*F57:F63)</f>
        <v>22117931.921734493</v>
      </c>
      <c r="G99" s="14">
        <f>SUMPRODUCT(--(G87:G93="convert")*G57:G63)</f>
        <v>22494606.416101445</v>
      </c>
      <c r="H99" s="14">
        <f>SUMPRODUCT(--(H87:H93="convert")*H57:H63)</f>
        <v>22337402.42934348</v>
      </c>
      <c r="I99" s="14">
        <f>SUMPRODUCT(--(I87:I93="convert")*I57:I63)</f>
        <v>22128682.270223185</v>
      </c>
      <c r="J99" s="14">
        <f>SUMPRODUCT(--(J87:J93="convert")*J57:J63)</f>
        <v>22521167.189176332</v>
      </c>
      <c r="K99" s="14">
        <f>SUMPRODUCT(--(K87:K93="convert")*K57:K63)</f>
        <v>22360040.66457486</v>
      </c>
      <c r="L99" s="14">
        <f>SUMPRODUCT(--(L87:L93="convert")*L57:L63)</f>
        <v>22146160.4155497</v>
      </c>
    </row>
    <row r="100" spans="2:12" x14ac:dyDescent="0.25">
      <c r="B100" s="5" t="s">
        <v>291</v>
      </c>
      <c r="D100" s="14">
        <f>D73+D99</f>
        <v>34277767.348523036</v>
      </c>
      <c r="E100" s="14">
        <f>E73+E99</f>
        <v>34099390.00679046</v>
      </c>
      <c r="F100" s="14">
        <f>F73+F99</f>
        <v>33873684.63309194</v>
      </c>
      <c r="G100" s="14">
        <f>G73+G99</f>
        <v>34300436.672624215</v>
      </c>
      <c r="H100" s="14">
        <f>H73+H99</f>
        <v>34118359.55670767</v>
      </c>
      <c r="I100" s="14">
        <f>I73+I99</f>
        <v>33888287.17350323</v>
      </c>
      <c r="J100" s="14">
        <f>J73+J99</f>
        <v>34334436.314600945</v>
      </c>
      <c r="K100" s="14">
        <f>K73+K99</f>
        <v>34147820.71822444</v>
      </c>
      <c r="L100" s="14">
        <f>L73+L99</f>
        <v>33912032.76279577</v>
      </c>
    </row>
    <row r="101" spans="2:12" x14ac:dyDescent="0.25">
      <c r="B101" s="5" t="s">
        <v>292</v>
      </c>
      <c r="D101" s="13">
        <f>D74-D98+D75</f>
        <v>1902499980</v>
      </c>
      <c r="E101" s="13">
        <f>E74-E98+E75</f>
        <v>1902499980</v>
      </c>
      <c r="F101" s="13">
        <f>F74-F98+F75</f>
        <v>1902499980</v>
      </c>
      <c r="G101" s="13">
        <f>G74-G98+G75</f>
        <v>1902499980</v>
      </c>
      <c r="H101" s="13">
        <f>H74-H98+H75</f>
        <v>1902499980</v>
      </c>
      <c r="I101" s="13">
        <f>I74-I98+I75</f>
        <v>1902499980</v>
      </c>
      <c r="J101" s="13">
        <f>J74-J98+J75</f>
        <v>1902499980</v>
      </c>
      <c r="K101" s="13">
        <f>K74-K98+K75</f>
        <v>1902499980</v>
      </c>
      <c r="L101" s="13">
        <f>L74-L98+L75</f>
        <v>1902499980</v>
      </c>
    </row>
    <row r="102" spans="2:12" x14ac:dyDescent="0.25">
      <c r="B102" s="5" t="s">
        <v>293</v>
      </c>
      <c r="D102" s="13">
        <f>D101/D100</f>
        <v>55.50244742185564</v>
      </c>
      <c r="E102" s="13">
        <f>E101/E100</f>
        <v>55.792786311460155</v>
      </c>
      <c r="F102" s="13">
        <f>F101/F100</f>
        <v>56.1645419034635</v>
      </c>
      <c r="G102" s="13">
        <f>G101/G100</f>
        <v>55.46576558654773</v>
      </c>
      <c r="H102" s="13">
        <f>H101/H100</f>
        <v>55.76176594416505</v>
      </c>
      <c r="I102" s="13">
        <f>I101/I100</f>
        <v>56.140340473965814</v>
      </c>
      <c r="J102" s="13">
        <f>J101/J100</f>
        <v>55.410840666428804</v>
      </c>
      <c r="K102" s="13">
        <f>K101/K100</f>
        <v>55.71365726963214</v>
      </c>
      <c r="L102" s="13">
        <f>L101/L100</f>
        <v>56.101030371945015</v>
      </c>
    </row>
    <row r="103" spans="2:12" x14ac:dyDescent="0.25">
      <c r="B103" s="16" t="s">
        <v>294</v>
      </c>
      <c r="D103" s="18">
        <f>IF(D87="preference",Assumptions!C10,D49*D102)</f>
        <v>17075712.403419223</v>
      </c>
      <c r="E103" s="18">
        <f>IF(E87="preference",Assumptions!C10,E49*E102)</f>
        <v>14703203.390121054</v>
      </c>
      <c r="F103" s="18">
        <f>IF(F87="preference",Assumptions!C10,F49*F102)</f>
        <v>11505529.099690776</v>
      </c>
      <c r="G103" s="18">
        <f>IF(G87="preference",Assumptions!C10,G49*G102)</f>
        <v>17345735.843525764</v>
      </c>
      <c r="H103" s="18">
        <f>IF(H87="preference",Assumptions!C10,H49*H102)</f>
        <v>14927842.316549107</v>
      </c>
      <c r="I103" s="18">
        <f>IF(I87="preference",Assumptions!C10,I49*I102)</f>
        <v>11673414.042538766</v>
      </c>
      <c r="J103" s="18">
        <f>IF(J87="preference",Assumptions!C10,J49*J102)</f>
        <v>17750050.83359074</v>
      </c>
      <c r="K103" s="18">
        <f>IF(K87="preference",Assumptions!C10,K49*K102)</f>
        <v>15276171.544501295</v>
      </c>
      <c r="L103" s="18">
        <f>IF(L87="preference",Assumptions!C10,L49*L102)</f>
        <v>11946054.760731</v>
      </c>
    </row>
    <row r="104" spans="2:12" x14ac:dyDescent="0.25">
      <c r="B104" s="16" t="s">
        <v>295</v>
      </c>
      <c r="D104" s="23">
        <f>D49/D54</f>
        <v>0.008115046918286392</v>
      </c>
      <c r="E104" s="23">
        <f>E49/E54</f>
        <v>0.006985171133044868</v>
      </c>
      <c r="F104" s="23">
        <f>F49/F54</f>
        <v>0.005463714077613293</v>
      </c>
      <c r="G104" s="23">
        <f>G49/G54</f>
        <v>0.008114150544993225</v>
      </c>
      <c r="H104" s="23">
        <f>H49/H54</f>
        <v>0.006984469722344294</v>
      </c>
      <c r="I104" s="23">
        <f>I49/I54</f>
        <v>0.005463198623015631</v>
      </c>
      <c r="J104" s="23">
        <f>J49/J54</f>
        <v>0.008112659465007666</v>
      </c>
      <c r="K104" s="23">
        <f>K49/K54</f>
        <v>0.00698325519436569</v>
      </c>
      <c r="L104" s="23">
        <f>L49/L54</f>
        <v>0.005462266369107661</v>
      </c>
    </row>
    <row r="106" spans="2:3" x14ac:dyDescent="0.25">
      <c r="B106" s="22" t="s">
        <v>296</v>
      </c>
      <c r="C106" s="22">
        <f>ROUND((H104-'Pro-Forma'!C77)*1000000,0)</f>
        <v>6984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45.205" customWidth="1"/>
    <col min="3" max="8" width="16.455" customWidth="1"/>
  </cols>
  <sheetData>
    <row r="2" ht="18" customHeight="1" spans="2:2" x14ac:dyDescent="0.25">
      <c r="B2" s="1" t="s">
        <v>297</v>
      </c>
    </row>
    <row r="3" spans="2:2" x14ac:dyDescent="0.25">
      <c r="B3" s="2" t="s">
        <v>298</v>
      </c>
    </row>
    <row r="5" spans="2:7" x14ac:dyDescent="0.25">
      <c r="B5" s="3" t="s">
        <v>299</v>
      </c>
      <c r="C5" s="4"/>
      <c r="D5" s="4"/>
      <c r="E5" s="4"/>
      <c r="F5" s="4"/>
      <c r="G5" s="4"/>
    </row>
    <row r="6" spans="2:7" x14ac:dyDescent="0.25">
      <c r="B6" s="11" t="s">
        <v>300</v>
      </c>
      <c r="C6" s="12" t="s">
        <v>48</v>
      </c>
      <c r="D6" s="12" t="s">
        <v>49</v>
      </c>
      <c r="E6" s="12" t="s">
        <v>168</v>
      </c>
      <c r="F6" s="12" t="s">
        <v>51</v>
      </c>
      <c r="G6" s="12" t="s">
        <v>52</v>
      </c>
    </row>
    <row r="7" spans="2:7" x14ac:dyDescent="0.25">
      <c r="B7" s="5" t="s">
        <v>201</v>
      </c>
      <c r="C7" s="13">
        <f>Assumptions!C51</f>
        <v>700000000</v>
      </c>
      <c r="D7" s="13">
        <f>Assumptions!C52</f>
        <v>1200000000</v>
      </c>
      <c r="E7" s="13">
        <f>Assumptions!C53</f>
        <v>2000000000</v>
      </c>
      <c r="F7" s="13">
        <f>Assumptions!C54</f>
        <v>4000000000</v>
      </c>
      <c r="G7" s="13">
        <f>Assumptions!C55</f>
        <v>8000000000</v>
      </c>
    </row>
    <row r="8" spans="2:7" x14ac:dyDescent="0.25">
      <c r="B8" s="5" t="s">
        <v>301</v>
      </c>
      <c r="C8" s="5" t="str">
        <f>Waterfall!E7</f>
        <v>preference</v>
      </c>
      <c r="D8" s="5" t="str">
        <f>Waterfall!F7</f>
        <v>preference</v>
      </c>
      <c r="E8" s="5" t="str">
        <f>Waterfall!G7</f>
        <v>convert</v>
      </c>
      <c r="F8" s="5" t="str">
        <f>Waterfall!H7</f>
        <v>convert</v>
      </c>
      <c r="G8" s="5" t="str">
        <f>Waterfall!I7</f>
        <v>convert</v>
      </c>
    </row>
    <row r="9" spans="2:7" x14ac:dyDescent="0.25">
      <c r="B9" s="5" t="s">
        <v>302</v>
      </c>
      <c r="C9" s="13">
        <f>Waterfall!J7</f>
        <v>30000000</v>
      </c>
      <c r="D9" s="13">
        <f>Waterfall!K7</f>
        <v>30000000</v>
      </c>
      <c r="E9" s="13">
        <f>Waterfall!L7</f>
        <v>44786046.80091058</v>
      </c>
      <c r="F9" s="13">
        <f>Waterfall!M7</f>
        <v>89664547.57743679</v>
      </c>
      <c r="G9" s="13">
        <f>Waterfall!N7</f>
        <v>179273089.81597447</v>
      </c>
    </row>
    <row r="10" spans="2:7" x14ac:dyDescent="0.25">
      <c r="B10" s="5" t="s">
        <v>303</v>
      </c>
      <c r="C10" s="13">
        <f>Assumptions!C6</f>
        <v>30000000</v>
      </c>
      <c r="D10" s="13">
        <f>Assumptions!C6</f>
        <v>30000000</v>
      </c>
      <c r="E10" s="13">
        <f>Assumptions!C6</f>
        <v>30000000</v>
      </c>
      <c r="F10" s="13">
        <f>Assumptions!C6</f>
        <v>30000000</v>
      </c>
      <c r="G10" s="13">
        <f>Assumptions!C6</f>
        <v>30000000</v>
      </c>
    </row>
    <row r="11" spans="2:7" x14ac:dyDescent="0.25">
      <c r="B11" s="5" t="s">
        <v>304</v>
      </c>
      <c r="C11" s="14">
        <f>'Pro-Forma'!C22</f>
        <v>803169.1008718137</v>
      </c>
      <c r="D11" s="14">
        <f>'Pro-Forma'!C22</f>
        <v>803169.1008718137</v>
      </c>
      <c r="E11" s="14">
        <f>'Pro-Forma'!C22</f>
        <v>803169.1008718137</v>
      </c>
      <c r="F11" s="14">
        <f>'Pro-Forma'!C22</f>
        <v>803169.1008718137</v>
      </c>
      <c r="G11" s="14">
        <f>'Pro-Forma'!C22</f>
        <v>803169.1008718137</v>
      </c>
    </row>
    <row r="12" spans="2:7" x14ac:dyDescent="0.25">
      <c r="B12" s="5" t="s">
        <v>305</v>
      </c>
      <c r="C12" s="13">
        <f>Waterfall!E60</f>
        <v>8.379021952331986</v>
      </c>
      <c r="D12" s="13">
        <f>Waterfall!F60</f>
        <v>28.420742188217005</v>
      </c>
      <c r="E12" s="13">
        <f>Waterfall!G60</f>
        <v>55.761665572414074</v>
      </c>
      <c r="F12" s="13">
        <f>Waterfall!H60</f>
        <v>111.63844261452397</v>
      </c>
      <c r="G12" s="13">
        <f>Waterfall!I60</f>
        <v>223.20715478394203</v>
      </c>
    </row>
    <row r="13" spans="2:7" x14ac:dyDescent="0.25">
      <c r="B13" s="5" t="s">
        <v>306</v>
      </c>
      <c r="C13" s="14">
        <f>'Pro-Forma'!C25</f>
        <v>38329316.55401596</v>
      </c>
      <c r="D13" s="14">
        <f>'Pro-Forma'!C25</f>
        <v>38329316.55401596</v>
      </c>
      <c r="E13" s="14">
        <f>'Pro-Forma'!C25</f>
        <v>38329316.55401596</v>
      </c>
      <c r="F13" s="14">
        <f>'Pro-Forma'!C25</f>
        <v>38329316.55401596</v>
      </c>
      <c r="G13" s="14">
        <f>'Pro-Forma'!C25</f>
        <v>38329316.55401596</v>
      </c>
    </row>
    <row r="15" spans="2:7" x14ac:dyDescent="0.25">
      <c r="B15" s="3" t="s">
        <v>307</v>
      </c>
      <c r="C15" s="4"/>
      <c r="D15" s="4"/>
      <c r="E15" s="4"/>
      <c r="F15" s="4"/>
      <c r="G15" s="4"/>
    </row>
    <row r="16" spans="2:7" x14ac:dyDescent="0.25">
      <c r="B16" s="11" t="s">
        <v>300</v>
      </c>
      <c r="C16" s="12" t="s">
        <v>48</v>
      </c>
      <c r="D16" s="12" t="s">
        <v>49</v>
      </c>
      <c r="E16" s="12" t="s">
        <v>168</v>
      </c>
      <c r="F16" s="12" t="s">
        <v>51</v>
      </c>
      <c r="G16" s="12" t="s">
        <v>52</v>
      </c>
    </row>
    <row r="17" spans="2:7" x14ac:dyDescent="0.25">
      <c r="B17" s="5" t="s">
        <v>308</v>
      </c>
      <c r="C17" s="13">
        <f>Assumptions!C10*Assumptions!C66</f>
        <v>30000000</v>
      </c>
      <c r="D17" s="13">
        <f>Assumptions!C10*Assumptions!C66</f>
        <v>30000000</v>
      </c>
      <c r="E17" s="13">
        <f>Assumptions!C10*Assumptions!C66</f>
        <v>30000000</v>
      </c>
      <c r="F17" s="13">
        <f>Assumptions!C10*Assumptions!C66</f>
        <v>30000000</v>
      </c>
      <c r="G17" s="13">
        <f>Assumptions!C10*Assumptions!C66</f>
        <v>30000000</v>
      </c>
    </row>
    <row r="18" spans="2:7" x14ac:dyDescent="0.25">
      <c r="B18" s="5" t="s">
        <v>309</v>
      </c>
      <c r="C18" s="20">
        <f>C17/C9</f>
        <v>1</v>
      </c>
      <c r="D18" s="20">
        <f>D17/D9</f>
        <v>1</v>
      </c>
      <c r="E18" s="20">
        <f>E17/E9</f>
        <v>0.6698514859630355</v>
      </c>
      <c r="F18" s="20">
        <f>F17/F9</f>
        <v>0.33458039783328153</v>
      </c>
      <c r="G18" s="20">
        <f>G17/G9</f>
        <v>0.16734246077197243</v>
      </c>
    </row>
    <row r="19" spans="2:7" x14ac:dyDescent="0.25">
      <c r="B19" s="5" t="s">
        <v>310</v>
      </c>
      <c r="C19" s="20">
        <f>C18*C11/C13</f>
        <v>0.02095443313579411</v>
      </c>
      <c r="D19" s="20">
        <f>D18*D11/D13</f>
        <v>0.02095443313579411</v>
      </c>
      <c r="E19" s="20">
        <f>E18*E11/E13</f>
        <v>0.014036358173524754</v>
      </c>
      <c r="F19" s="20">
        <f>F18*F11/F13</f>
        <v>0.0070109425749448895</v>
      </c>
      <c r="G19" s="20">
        <f>G18*G11/G13</f>
        <v>0.0035065664050255452</v>
      </c>
    </row>
    <row r="20" spans="2:7" x14ac:dyDescent="0.25">
      <c r="B20" s="5" t="s">
        <v>311</v>
      </c>
      <c r="C20" s="5" t="str">
        <f>IF(AND(C18&gt;0,C18&lt;=1),"feasible","infeasible")</f>
        <v>feasible</v>
      </c>
      <c r="D20" s="5" t="str">
        <f>IF(AND(D18&gt;0,D18&lt;=1),"feasible","infeasible")</f>
        <v>feasible</v>
      </c>
      <c r="E20" s="5" t="str">
        <f>IF(AND(E18&gt;0,E18&lt;=1),"feasible","infeasible")</f>
        <v>feasible</v>
      </c>
      <c r="F20" s="5" t="str">
        <f>IF(AND(F18&gt;0,F18&lt;=1),"feasible","infeasible")</f>
        <v>feasible</v>
      </c>
      <c r="G20" s="5" t="str">
        <f>IF(AND(G18&gt;0,G18&lt;=1),"feasible","infeasible")</f>
        <v>feasible</v>
      </c>
    </row>
    <row r="22" spans="2:7" x14ac:dyDescent="0.25">
      <c r="B22" s="3" t="s">
        <v>312</v>
      </c>
      <c r="C22" s="4"/>
      <c r="D22" s="4"/>
      <c r="E22" s="4"/>
      <c r="F22" s="4"/>
      <c r="G22" s="4"/>
    </row>
    <row r="23" spans="2:7" x14ac:dyDescent="0.25">
      <c r="B23" s="11" t="s">
        <v>300</v>
      </c>
      <c r="C23" s="12" t="s">
        <v>48</v>
      </c>
      <c r="D23" s="12" t="s">
        <v>49</v>
      </c>
      <c r="E23" s="12" t="s">
        <v>168</v>
      </c>
      <c r="F23" s="12" t="s">
        <v>51</v>
      </c>
      <c r="G23" s="12" t="s">
        <v>52</v>
      </c>
    </row>
    <row r="24" spans="2:7" x14ac:dyDescent="0.25">
      <c r="B24" s="5" t="s">
        <v>308</v>
      </c>
      <c r="C24" s="13">
        <f>Assumptions!C10*Assumptions!C67</f>
        <v>40000000</v>
      </c>
      <c r="D24" s="13">
        <f>Assumptions!C10*Assumptions!C67</f>
        <v>40000000</v>
      </c>
      <c r="E24" s="13">
        <f>Assumptions!C10*Assumptions!C67</f>
        <v>40000000</v>
      </c>
      <c r="F24" s="13">
        <f>Assumptions!C10*Assumptions!C67</f>
        <v>40000000</v>
      </c>
      <c r="G24" s="13">
        <f>Assumptions!C10*Assumptions!C67</f>
        <v>40000000</v>
      </c>
    </row>
    <row r="25" spans="2:7" x14ac:dyDescent="0.25">
      <c r="B25" s="5" t="s">
        <v>309</v>
      </c>
      <c r="C25" s="20">
        <f>C24/C9</f>
        <v>1.3333333333333333</v>
      </c>
      <c r="D25" s="20">
        <f>D24/D9</f>
        <v>1.3333333333333333</v>
      </c>
      <c r="E25" s="20">
        <f>E24/E9</f>
        <v>0.8931353146173805</v>
      </c>
      <c r="F25" s="20">
        <f>F24/F9</f>
        <v>0.446107197111042</v>
      </c>
      <c r="G25" s="20">
        <f>G24/G9</f>
        <v>0.2231232810292966</v>
      </c>
    </row>
    <row r="26" spans="2:7" x14ac:dyDescent="0.25">
      <c r="B26" s="5" t="s">
        <v>310</v>
      </c>
      <c r="C26" s="20">
        <f>C25*C11/C13</f>
        <v>0.02793924418105881</v>
      </c>
      <c r="D26" s="20">
        <f>D25*D11/D13</f>
        <v>0.02793924418105881</v>
      </c>
      <c r="E26" s="20">
        <f>E25*E11/E13</f>
        <v>0.018715144231366335</v>
      </c>
      <c r="F26" s="20">
        <f>F25*F11/F13</f>
        <v>0.009347923433259853</v>
      </c>
      <c r="G26" s="20">
        <f>G25*G11/G13</f>
        <v>0.004675421873367394</v>
      </c>
    </row>
    <row r="27" spans="2:7" x14ac:dyDescent="0.25">
      <c r="B27" s="5" t="s">
        <v>311</v>
      </c>
      <c r="C27" s="5" t="str">
        <f>IF(AND(C25&gt;0,C25&lt;=1),"feasible","infeasible")</f>
        <v>infeasible</v>
      </c>
      <c r="D27" s="5" t="str">
        <f>IF(AND(D25&gt;0,D25&lt;=1),"feasible","infeasible")</f>
        <v>infeasible</v>
      </c>
      <c r="E27" s="5" t="str">
        <f>IF(AND(E25&gt;0,E25&lt;=1),"feasible","infeasible")</f>
        <v>feasible</v>
      </c>
      <c r="F27" s="5" t="str">
        <f>IF(AND(F25&gt;0,F25&lt;=1),"feasible","infeasible")</f>
        <v>feasible</v>
      </c>
      <c r="G27" s="5" t="str">
        <f>IF(AND(G25&gt;0,G25&lt;=1),"feasible","infeasible")</f>
        <v>feasible</v>
      </c>
    </row>
    <row r="29" spans="2:7" x14ac:dyDescent="0.25">
      <c r="B29" s="11" t="s">
        <v>313</v>
      </c>
      <c r="C29" s="12"/>
      <c r="D29" s="12"/>
      <c r="E29" s="12"/>
      <c r="F29" s="12"/>
      <c r="G29" s="12"/>
    </row>
    <row r="30" spans="2:3" x14ac:dyDescent="0.25">
      <c r="B30" s="5" t="s">
        <v>314</v>
      </c>
      <c r="C30" s="23">
        <f>Assumptions!C10/Assumptions!C6</f>
        <v>0.3333333333333333</v>
      </c>
    </row>
    <row r="31" spans="2:3" x14ac:dyDescent="0.25">
      <c r="B31" s="5" t="s">
        <v>315</v>
      </c>
      <c r="C31" s="23">
        <f>'Pro-Forma'!C78</f>
        <v>0.006984811045184547</v>
      </c>
    </row>
    <row r="33" spans="2:2" x14ac:dyDescent="0.25">
      <c r="B33" s="17" t="s">
        <v>316</v>
      </c>
    </row>
    <row r="34" spans="2:2" x14ac:dyDescent="0.25">
      <c r="B34" s="17" t="s">
        <v>317</v>
      </c>
    </row>
    <row r="35" spans="2:2" x14ac:dyDescent="0.25">
      <c r="B35" s="17" t="s">
        <v>318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Pro-Forma</vt:lpstr>
      <vt:lpstr>Waterfall</vt:lpstr>
      <vt:lpstr>Sensitivity</vt:lpstr>
      <vt:lpstr>Return-Solver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2026-04-27T02:32:22Z</dcterms:created>
  <dcterms:modified xsi:type="dcterms:W3CDTF">2026-04-27T02:32:22Z</dcterms:modified>
</cp:coreProperties>
</file>