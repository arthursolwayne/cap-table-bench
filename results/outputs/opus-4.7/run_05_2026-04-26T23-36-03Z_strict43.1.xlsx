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-Forma" sheetId="2" state="visible" r:id="rId2"/>
    <sheet xmlns:r="http://schemas.openxmlformats.org/officeDocument/2006/relationships" name="Waterfall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turn-Solver" sheetId="5" state="visible" r:id="rId5"/>
  </sheets>
  <definedNames/>
  <calcPr calcId="124519" calcMode="auto" fullCalcOnLoad="1" iterate="1" iterateCount="500" iterateDelta="1e-07"/>
</workbook>
</file>

<file path=xl/styles.xml><?xml version="1.0" encoding="utf-8"?>
<styleSheet xmlns="http://schemas.openxmlformats.org/spreadsheetml/2006/main">
  <numFmts count="8">
    <numFmt numFmtId="164" formatCode="$#,##0.0000"/>
    <numFmt numFmtId="165" formatCode="#,##0.000000"/>
    <numFmt numFmtId="166" formatCode="$#,##0.00"/>
    <numFmt numFmtId="167" formatCode="$#,##0.000000"/>
    <numFmt numFmtId="168" formatCode="0.000000"/>
    <numFmt numFmtId="169" formatCode="0.000000%"/>
    <numFmt numFmtId="170" formatCode="0.0000000%"/>
    <numFmt numFmtId="171" formatCode="$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E8F4FF"/>
      </patternFill>
    </fill>
    <fill>
      <patternFill patternType="solid">
        <fgColor rgb="00DDDDDD"/>
      </patternFill>
    </fill>
    <fill>
      <patternFill patternType="solid">
        <fgColor rgb="00FFE8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7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171" fontId="0" fillId="0" borderId="0" pivotButton="0" quotePrefix="0" xfId="0"/>
    <xf numFmtId="166" fontId="0" fillId="0" borderId="0" pivotButton="0" quotePrefix="0" xfId="0"/>
    <xf numFmtId="0" fontId="0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30" customWidth="1" min="3" max="3"/>
  </cols>
  <sheetData>
    <row r="1">
      <c r="A1" s="1" t="inlineStr">
        <is>
          <t>Kelvin Dynamics — Series F Assumptions</t>
        </is>
      </c>
    </row>
    <row r="3">
      <c r="A3" s="2" t="inlineStr">
        <is>
          <t>ROUND TERMS</t>
        </is>
      </c>
    </row>
    <row r="4">
      <c r="A4" t="inlineStr">
        <is>
          <t>Series F pre-money</t>
        </is>
      </c>
      <c r="B4" s="3" t="n">
        <v>1400000000</v>
      </c>
      <c r="C4" t="inlineStr">
        <is>
          <t>USD</t>
        </is>
      </c>
    </row>
    <row r="5">
      <c r="A5" t="inlineStr">
        <is>
          <t>Series F primary raise</t>
        </is>
      </c>
      <c r="B5" s="3" t="n">
        <v>30000000</v>
      </c>
      <c r="C5" t="inlineStr">
        <is>
          <t>USD</t>
        </is>
      </c>
    </row>
    <row r="6">
      <c r="A6" t="inlineStr">
        <is>
          <t>Series F secondary raise</t>
        </is>
      </c>
      <c r="B6" s="3" t="n">
        <v>15000000</v>
      </c>
      <c r="C6" t="inlineStr">
        <is>
          <t>USD</t>
        </is>
      </c>
    </row>
    <row r="7">
      <c r="A7" t="inlineStr">
        <is>
          <t>Tender PPS multiplier (× F_PPS)</t>
        </is>
      </c>
      <c r="B7" s="3" t="n">
        <v>0.85</v>
      </c>
    </row>
    <row r="8">
      <c r="A8" t="inlineStr">
        <is>
          <t>ESOP refresh target (post-F FD)</t>
        </is>
      </c>
      <c r="B8" s="3" t="n">
        <v>0.13</v>
      </c>
    </row>
    <row r="9">
      <c r="A9" t="inlineStr">
        <is>
          <t>Our fund check</t>
        </is>
      </c>
      <c r="B9" s="3" t="n">
        <v>10000000</v>
      </c>
      <c r="C9" t="inlineStr">
        <is>
          <t>USD (1/3 of primary)</t>
        </is>
      </c>
    </row>
    <row r="10">
      <c r="A10" t="inlineStr">
        <is>
          <t>F_LEAD primary check</t>
        </is>
      </c>
      <c r="B10" s="3" t="n">
        <v>20000000</v>
      </c>
      <c r="C10" t="inlineStr">
        <is>
          <t>USD (2/3 of primary)</t>
        </is>
      </c>
    </row>
    <row r="11">
      <c r="A11" t="inlineStr">
        <is>
          <t>Option strike</t>
        </is>
      </c>
      <c r="B11" s="3" t="n">
        <v>1</v>
      </c>
      <c r="C11" t="inlineStr">
        <is>
          <t>USD</t>
        </is>
      </c>
    </row>
    <row r="13">
      <c r="A13" s="2" t="inlineStr">
        <is>
          <t>EXIT VALUES</t>
        </is>
      </c>
    </row>
    <row r="14">
      <c r="A14" t="inlineStr">
        <is>
          <t>Exit 1</t>
        </is>
      </c>
      <c r="B14" s="3" t="n">
        <v>700000000</v>
      </c>
      <c r="C14" t="inlineStr">
        <is>
          <t>USD</t>
        </is>
      </c>
    </row>
    <row r="15">
      <c r="A15" t="inlineStr">
        <is>
          <t>Exit 2</t>
        </is>
      </c>
      <c r="B15" s="3" t="n">
        <v>1200000000</v>
      </c>
      <c r="C15" t="inlineStr">
        <is>
          <t>USD</t>
        </is>
      </c>
    </row>
    <row r="16">
      <c r="A16" t="inlineStr">
        <is>
          <t>Exit 3</t>
        </is>
      </c>
      <c r="B16" s="3" t="n">
        <v>2000000000</v>
      </c>
      <c r="C16" t="inlineStr">
        <is>
          <t>USD (sensitivity ref)</t>
        </is>
      </c>
    </row>
    <row r="17">
      <c r="A17" t="inlineStr">
        <is>
          <t>Exit 4</t>
        </is>
      </c>
      <c r="B17" s="3" t="n">
        <v>4000000000</v>
      </c>
      <c r="C17" t="inlineStr">
        <is>
          <t>USD</t>
        </is>
      </c>
    </row>
    <row r="18">
      <c r="A18" t="inlineStr">
        <is>
          <t>Exit 5</t>
        </is>
      </c>
      <c r="B18" s="3" t="n">
        <v>8000000000</v>
      </c>
      <c r="C18" t="inlineStr">
        <is>
          <t>USD</t>
        </is>
      </c>
    </row>
    <row r="20">
      <c r="A20" s="2" t="inlineStr">
        <is>
          <t>PRIOR-ROUND OCPs (for AD)</t>
        </is>
      </c>
    </row>
    <row r="21">
      <c r="A21" t="inlineStr">
        <is>
          <t>OCP Seed</t>
        </is>
      </c>
      <c r="B21" s="3" t="n">
        <v>1</v>
      </c>
    </row>
    <row r="22">
      <c r="A22" t="inlineStr">
        <is>
          <t>OCP Series A</t>
        </is>
      </c>
      <c r="B22" s="3" t="n">
        <v>3</v>
      </c>
    </row>
    <row r="23">
      <c r="A23" t="inlineStr">
        <is>
          <t>OCP Series B</t>
        </is>
      </c>
      <c r="B23" s="3" t="n">
        <v>10</v>
      </c>
    </row>
    <row r="24">
      <c r="A24" t="inlineStr">
        <is>
          <t>OCP Series C</t>
        </is>
      </c>
      <c r="B24" s="3" t="n">
        <v>25</v>
      </c>
    </row>
    <row r="25">
      <c r="A25" t="inlineStr">
        <is>
          <t>OCP Series D (effective post-E NCP)</t>
        </is>
      </c>
      <c r="B25" s="3" t="n">
        <v>58.118347</v>
      </c>
      <c r="C25" t="inlineStr">
        <is>
          <t>compound v3·v4 off $60 original</t>
        </is>
      </c>
    </row>
    <row r="26">
      <c r="A26" t="inlineStr">
        <is>
          <t>OCP Series E</t>
        </is>
      </c>
      <c r="B26" s="3" t="n">
        <v>49.158311</v>
      </c>
    </row>
    <row r="27">
      <c r="A27" t="inlineStr">
        <is>
          <t>OCP Series D (original)</t>
        </is>
      </c>
      <c r="B27" s="3" t="n">
        <v>60</v>
      </c>
    </row>
    <row r="29">
      <c r="A29" s="2" t="inlineStr">
        <is>
          <t>INVESTED $ BY CLASS</t>
        </is>
      </c>
    </row>
    <row r="30">
      <c r="A30" t="inlineStr">
        <is>
          <t>Seed invested</t>
        </is>
      </c>
      <c r="B30" s="3" t="n">
        <v>5000000</v>
      </c>
      <c r="C30" t="inlineStr">
        <is>
          <t>USD</t>
        </is>
      </c>
    </row>
    <row r="31">
      <c r="A31" t="inlineStr">
        <is>
          <t>Series A invested</t>
        </is>
      </c>
      <c r="B31" s="3" t="n">
        <v>15000000</v>
      </c>
      <c r="C31" t="inlineStr">
        <is>
          <t>USD</t>
        </is>
      </c>
    </row>
    <row r="32">
      <c r="A32" t="inlineStr">
        <is>
          <t>Series B invested</t>
        </is>
      </c>
      <c r="B32" s="3" t="n">
        <v>30000000</v>
      </c>
      <c r="C32" t="inlineStr">
        <is>
          <t>USD</t>
        </is>
      </c>
    </row>
    <row r="33">
      <c r="A33" t="inlineStr">
        <is>
          <t>Series C invested</t>
        </is>
      </c>
      <c r="B33" s="3" t="n">
        <v>60000000</v>
      </c>
      <c r="C33" t="inlineStr">
        <is>
          <t>USD</t>
        </is>
      </c>
    </row>
    <row r="34">
      <c r="A34" t="inlineStr">
        <is>
          <t>Series D invested</t>
        </is>
      </c>
      <c r="B34" s="3" t="n">
        <v>100000000</v>
      </c>
      <c r="C34" t="inlineStr">
        <is>
          <t>USD</t>
        </is>
      </c>
    </row>
    <row r="35">
      <c r="A35" t="inlineStr">
        <is>
          <t>Series E invested</t>
        </is>
      </c>
      <c r="B35" s="3" t="n">
        <v>300000000</v>
      </c>
      <c r="C35" t="inlineStr">
        <is>
          <t>USD</t>
        </is>
      </c>
    </row>
    <row r="37">
      <c r="A37" s="2" t="inlineStr">
        <is>
          <t>PRE-F SHARE COUNTS</t>
        </is>
      </c>
    </row>
    <row r="38">
      <c r="A38" t="inlineStr">
        <is>
          <t>Seed shares</t>
        </is>
      </c>
      <c r="B38" s="3" t="n">
        <v>5000000</v>
      </c>
    </row>
    <row r="39">
      <c r="A39" t="inlineStr">
        <is>
          <t>Series A shares</t>
        </is>
      </c>
      <c r="B39" s="3" t="n">
        <v>5000000</v>
      </c>
    </row>
    <row r="40">
      <c r="A40" t="inlineStr">
        <is>
          <t>Series B shares</t>
        </is>
      </c>
      <c r="B40" s="3" t="n">
        <v>3000000</v>
      </c>
    </row>
    <row r="41">
      <c r="A41" t="inlineStr">
        <is>
          <t>Series C shares</t>
        </is>
      </c>
      <c r="B41" s="3" t="n">
        <v>2400000</v>
      </c>
    </row>
    <row r="42">
      <c r="A42" t="inlineStr">
        <is>
          <t>Series D shares (post-E adj)</t>
        </is>
      </c>
      <c r="B42" s="3" t="n">
        <v>1720627</v>
      </c>
    </row>
    <row r="43">
      <c r="A43" t="inlineStr">
        <is>
          <t>Series E shares</t>
        </is>
      </c>
      <c r="B43" s="3" t="n">
        <v>6102667</v>
      </c>
    </row>
    <row r="44">
      <c r="A44" t="inlineStr">
        <is>
          <t>Founder F1 (CEO) common</t>
        </is>
      </c>
      <c r="B44" s="3" t="n">
        <v>4000000</v>
      </c>
    </row>
    <row r="45">
      <c r="A45" t="inlineStr">
        <is>
          <t>Founder F2 (CTO) common</t>
        </is>
      </c>
      <c r="B45" s="3" t="n">
        <v>2500000</v>
      </c>
    </row>
    <row r="46">
      <c r="A46" t="inlineStr">
        <is>
          <t>Founder F3 (CSci) common</t>
        </is>
      </c>
      <c r="B46" s="3" t="n">
        <v>1500000</v>
      </c>
    </row>
    <row r="47">
      <c r="A47" t="inlineStr">
        <is>
          <t>Employee RSAs (10×100k)</t>
        </is>
      </c>
      <c r="B47" s="3" t="n">
        <v>1000000</v>
      </c>
    </row>
    <row r="48">
      <c r="A48" t="inlineStr">
        <is>
          <t>Pre-F options issued</t>
        </is>
      </c>
      <c r="B48" s="3" t="n">
        <v>2500000</v>
      </c>
    </row>
    <row r="49">
      <c r="A49" t="inlineStr">
        <is>
          <t>Pre-F options unissued</t>
        </is>
      </c>
      <c r="B49" s="3" t="n">
        <v>1894667</v>
      </c>
    </row>
    <row r="50">
      <c r="A50" t="inlineStr">
        <is>
          <t>Pre-F FD total</t>
        </is>
      </c>
      <c r="B50" s="3" t="n">
        <v>36617961</v>
      </c>
      <c r="C50" t="inlineStr">
        <is>
          <t>v3 post-E</t>
        </is>
      </c>
    </row>
    <row r="51">
      <c r="A51" t="inlineStr">
        <is>
          <t>Pre-F existing pool (iss+uniss)</t>
        </is>
      </c>
      <c r="B51" s="3" t="n">
        <v>4394667</v>
      </c>
    </row>
    <row r="53">
      <c r="A53" s="2" t="inlineStr">
        <is>
          <t>FOUNDER PRO-RATA (tender)</t>
        </is>
      </c>
    </row>
    <row r="54">
      <c r="A54" t="inlineStr">
        <is>
          <t>F1 pro-rata</t>
        </is>
      </c>
      <c r="B54" s="3" t="n">
        <v>0.5</v>
      </c>
      <c r="C54" t="inlineStr">
        <is>
          <t>of 8M founder common</t>
        </is>
      </c>
    </row>
    <row r="55">
      <c r="A55" t="inlineStr">
        <is>
          <t>F2 pro-rata</t>
        </is>
      </c>
      <c r="B55" s="3" t="n">
        <v>0.3125</v>
      </c>
    </row>
    <row r="56">
      <c r="A56" t="inlineStr">
        <is>
          <t>F3 pro-rata</t>
        </is>
      </c>
      <c r="B56" s="3" t="n">
        <v>0.1875</v>
      </c>
    </row>
    <row r="58">
      <c r="A58" s="2" t="inlineStr">
        <is>
          <t>CONVERTIBLE NOTES</t>
        </is>
      </c>
    </row>
    <row r="59">
      <c r="A59" t="inlineStr">
        <is>
          <t>Note A principal</t>
        </is>
      </c>
      <c r="B59" s="3" t="n">
        <v>5000000</v>
      </c>
      <c r="C59" t="inlineStr">
        <is>
          <t>USD</t>
        </is>
      </c>
    </row>
    <row r="60">
      <c r="A60" t="inlineStr">
        <is>
          <t>Note A cap</t>
        </is>
      </c>
      <c r="B60" s="3" t="n">
        <v>1000000000</v>
      </c>
      <c r="C60" t="inlineStr">
        <is>
          <t>USD</t>
        </is>
      </c>
    </row>
    <row r="61">
      <c r="A61" t="inlineStr">
        <is>
          <t>Note A discount</t>
        </is>
      </c>
      <c r="B61" s="3" t="n">
        <v>0.2</v>
      </c>
    </row>
    <row r="62">
      <c r="A62" t="inlineStr">
        <is>
          <t>Note B principal</t>
        </is>
      </c>
      <c r="B62" s="3" t="n">
        <v>3000000</v>
      </c>
      <c r="C62" t="inlineStr">
        <is>
          <t>USD</t>
        </is>
      </c>
    </row>
    <row r="63">
      <c r="A63" t="inlineStr">
        <is>
          <t>Note B cap</t>
        </is>
      </c>
      <c r="B63" s="3" t="n">
        <v>1600000000</v>
      </c>
      <c r="C63" t="inlineStr">
        <is>
          <t>USD</t>
        </is>
      </c>
    </row>
    <row r="64">
      <c r="A64" t="inlineStr">
        <is>
          <t>Note B discount</t>
        </is>
      </c>
      <c r="B64" s="3" t="n">
        <v>0.15</v>
      </c>
    </row>
    <row r="66">
      <c r="A66" s="2" t="inlineStr">
        <is>
          <t>SENSITIVITY AXES</t>
        </is>
      </c>
    </row>
    <row r="67">
      <c r="A67" t="inlineStr">
        <is>
          <t>ESOP low</t>
        </is>
      </c>
      <c r="B67" s="3" t="n">
        <v>0.11</v>
      </c>
    </row>
    <row r="68">
      <c r="A68" t="inlineStr">
        <is>
          <t>ESOP base</t>
        </is>
      </c>
      <c r="B68" s="3" t="n">
        <v>0.13</v>
      </c>
    </row>
    <row r="69">
      <c r="A69" t="inlineStr">
        <is>
          <t>ESOP high</t>
        </is>
      </c>
      <c r="B69" s="3" t="n">
        <v>0.15</v>
      </c>
    </row>
    <row r="70">
      <c r="A70" t="inlineStr">
        <is>
          <t>Pre-money low</t>
        </is>
      </c>
      <c r="B70" s="3" t="n">
        <v>1200000000</v>
      </c>
    </row>
    <row r="71">
      <c r="A71" t="inlineStr">
        <is>
          <t>Pre-money base</t>
        </is>
      </c>
      <c r="B71" s="3" t="n">
        <v>1400000000</v>
      </c>
    </row>
    <row r="72">
      <c r="A72" t="inlineStr">
        <is>
          <t>Pre-money high</t>
        </is>
      </c>
      <c r="B72" s="3" t="n">
        <v>1800000000</v>
      </c>
    </row>
    <row r="74">
      <c r="A74" s="2" t="inlineStr">
        <is>
          <t>RETURN-SOLVER TARGETS</t>
        </is>
      </c>
    </row>
    <row r="75">
      <c r="A75" t="inlineStr">
        <is>
          <t>3× target</t>
        </is>
      </c>
      <c r="B75" s="3" t="n">
        <v>3</v>
      </c>
    </row>
    <row r="76">
      <c r="A76" t="inlineStr">
        <is>
          <t>4× target</t>
        </is>
      </c>
      <c r="B76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Pro-Forma Cap Table — Post-Series F</t>
        </is>
      </c>
    </row>
    <row r="3">
      <c r="A3" s="2" t="inlineStr">
        <is>
          <t>ROUND MECHANICS (solved fixed point)</t>
        </is>
      </c>
    </row>
    <row r="4">
      <c r="A4" t="inlineStr">
        <is>
          <t>F_PPS</t>
        </is>
      </c>
      <c r="B4" s="4">
        <f>'Pro-Forma'!$B$162</f>
        <v/>
      </c>
    </row>
    <row r="5">
      <c r="A5" t="inlineStr">
        <is>
          <t>F primary shares</t>
        </is>
      </c>
      <c r="B5" s="5">
        <f>'Pro-Forma'!$F$162</f>
        <v/>
      </c>
    </row>
    <row r="6">
      <c r="A6" t="inlineStr">
        <is>
          <t>Pre-money FD (incl AD, ESOP, notes)</t>
        </is>
      </c>
      <c r="B6" s="5">
        <f>'Pro-Forma'!$I$162</f>
        <v/>
      </c>
    </row>
    <row r="7">
      <c r="A7" t="inlineStr">
        <is>
          <t>T_F (post-F FD)</t>
        </is>
      </c>
      <c r="B7" s="5">
        <f>'Pro-Forma'!$J$162</f>
        <v/>
      </c>
    </row>
    <row r="8">
      <c r="A8" t="inlineStr">
        <is>
          <t>ESOP top-up shares</t>
        </is>
      </c>
      <c r="B8" s="5">
        <f>'Pro-Forma'!$H$162</f>
        <v/>
      </c>
    </row>
    <row r="9">
      <c r="A9" t="inlineStr">
        <is>
          <t>AD extra shares total</t>
        </is>
      </c>
      <c r="B9" s="5">
        <f>'Pro-Forma'!$E$162</f>
        <v/>
      </c>
    </row>
    <row r="10">
      <c r="A10" t="inlineStr">
        <is>
          <t>Note A converted shares</t>
        </is>
      </c>
      <c r="B10" s="5">
        <f>'Pro-Forma'!$C$162</f>
        <v/>
      </c>
    </row>
    <row r="11">
      <c r="A11" t="inlineStr">
        <is>
          <t>Note B converted shares</t>
        </is>
      </c>
      <c r="B11" s="5">
        <f>'Pro-Forma'!$D$162</f>
        <v/>
      </c>
    </row>
    <row r="12">
      <c r="A12" t="inlineStr">
        <is>
          <t>Check: F_PPS × pre-money FD</t>
        </is>
      </c>
      <c r="B12" s="6">
        <f>'Pro-Forma'!$B$162*'Pro-Forma'!$I$162</f>
        <v/>
      </c>
    </row>
    <row r="14">
      <c r="A14" s="2" t="inlineStr">
        <is>
          <t>ANTI-DILUTION (Broad-based WA)</t>
        </is>
      </c>
    </row>
    <row r="15">
      <c r="A15" s="2" t="inlineStr">
        <is>
          <t>Class</t>
        </is>
      </c>
      <c r="B15" s="2" t="inlineStr">
        <is>
          <t>OCP</t>
        </is>
      </c>
      <c r="C15" s="2" t="inlineStr">
        <is>
          <t>Trigger?</t>
        </is>
      </c>
      <c r="D15" s="2" t="inlineStr">
        <is>
          <t>B = primary/OCP</t>
        </is>
      </c>
      <c r="E15" s="2" t="inlineStr">
        <is>
          <t>C = primary/F_PPS</t>
        </is>
      </c>
      <c r="F15" s="2" t="inlineStr">
        <is>
          <t>NCP</t>
        </is>
      </c>
      <c r="G15" s="2" t="inlineStr">
        <is>
          <t>New ratio</t>
        </is>
      </c>
      <c r="H15" s="2" t="inlineStr">
        <is>
          <t>As-converted</t>
        </is>
      </c>
      <c r="I15" s="2" t="inlineStr">
        <is>
          <t>AD extra</t>
        </is>
      </c>
    </row>
    <row r="16">
      <c r="A16" t="inlineStr">
        <is>
          <t>Seed</t>
        </is>
      </c>
      <c r="B16" s="7">
        <f>Assumptions!$B$21</f>
        <v/>
      </c>
      <c r="C16">
        <f>IF('Pro-Forma'!$B$162&lt;Assumptions!$B$21,"YES","NO")</f>
        <v/>
      </c>
      <c r="D16" s="8">
        <f>Assumptions!$B$5/Assumptions!$B$21</f>
        <v/>
      </c>
      <c r="E16" s="8">
        <f>Assumptions!$B$5/'Pro-Forma'!$B$162</f>
        <v/>
      </c>
      <c r="F16" s="7">
        <f>IF('Pro-Forma'!$B$162&lt;Assumptions!$B$21,Assumptions!$B$21*(Assumptions!$B$50+D16)/(Assumptions!$B$50+E16),Assumptions!$B$21)</f>
        <v/>
      </c>
      <c r="G16" s="9">
        <f>Assumptions!$B$21/F16</f>
        <v/>
      </c>
      <c r="H16" s="8">
        <f>Assumptions!$B$38</f>
        <v/>
      </c>
      <c r="I16" s="8">
        <f>MAX(0,H16-Assumptions!$B$38)</f>
        <v/>
      </c>
    </row>
    <row r="17">
      <c r="A17" t="inlineStr">
        <is>
          <t>Series A</t>
        </is>
      </c>
      <c r="B17" s="7">
        <f>Assumptions!$B$22</f>
        <v/>
      </c>
      <c r="C17">
        <f>IF('Pro-Forma'!$B$162&lt;Assumptions!$B$22,"YES","NO")</f>
        <v/>
      </c>
      <c r="D17" s="8">
        <f>Assumptions!$B$5/Assumptions!$B$22</f>
        <v/>
      </c>
      <c r="E17" s="8">
        <f>Assumptions!$B$5/'Pro-Forma'!$B$162</f>
        <v/>
      </c>
      <c r="F17" s="7">
        <f>IF('Pro-Forma'!$B$162&lt;Assumptions!$B$22,Assumptions!$B$22*(Assumptions!$B$50+D17)/(Assumptions!$B$50+E17),Assumptions!$B$22)</f>
        <v/>
      </c>
      <c r="G17" s="9">
        <f>Assumptions!$B$22/F17</f>
        <v/>
      </c>
      <c r="H17" s="8">
        <f>Assumptions!$B$39</f>
        <v/>
      </c>
      <c r="I17" s="8">
        <f>MAX(0,H17-Assumptions!$B$39)</f>
        <v/>
      </c>
    </row>
    <row r="18">
      <c r="A18" t="inlineStr">
        <is>
          <t>Series B</t>
        </is>
      </c>
      <c r="B18" s="7">
        <f>Assumptions!$B$23</f>
        <v/>
      </c>
      <c r="C18">
        <f>IF('Pro-Forma'!$B$162&lt;Assumptions!$B$23,"YES","NO")</f>
        <v/>
      </c>
      <c r="D18" s="8">
        <f>Assumptions!$B$5/Assumptions!$B$23</f>
        <v/>
      </c>
      <c r="E18" s="8">
        <f>Assumptions!$B$5/'Pro-Forma'!$B$162</f>
        <v/>
      </c>
      <c r="F18" s="7">
        <f>IF('Pro-Forma'!$B$162&lt;Assumptions!$B$23,Assumptions!$B$23*(Assumptions!$B$50+D18)/(Assumptions!$B$50+E18),Assumptions!$B$23)</f>
        <v/>
      </c>
      <c r="G18" s="9">
        <f>Assumptions!$B$23/F18</f>
        <v/>
      </c>
      <c r="H18" s="8">
        <f>Assumptions!$B$40</f>
        <v/>
      </c>
      <c r="I18" s="8">
        <f>MAX(0,H18-Assumptions!$B$40)</f>
        <v/>
      </c>
    </row>
    <row r="19">
      <c r="A19" t="inlineStr">
        <is>
          <t>Series C</t>
        </is>
      </c>
      <c r="B19" s="7">
        <f>Assumptions!$B$24</f>
        <v/>
      </c>
      <c r="C19">
        <f>IF('Pro-Forma'!$B$162&lt;Assumptions!$B$24,"YES","NO")</f>
        <v/>
      </c>
      <c r="D19" s="8">
        <f>Assumptions!$B$5/Assumptions!$B$24</f>
        <v/>
      </c>
      <c r="E19" s="8">
        <f>Assumptions!$B$5/'Pro-Forma'!$B$162</f>
        <v/>
      </c>
      <c r="F19" s="7">
        <f>IF('Pro-Forma'!$B$162&lt;Assumptions!$B$24,Assumptions!$B$24*(Assumptions!$B$50+D19)/(Assumptions!$B$50+E19),Assumptions!$B$24)</f>
        <v/>
      </c>
      <c r="G19" s="9">
        <f>Assumptions!$B$24/F19</f>
        <v/>
      </c>
      <c r="H19" s="8">
        <f>Assumptions!$B$41</f>
        <v/>
      </c>
      <c r="I19" s="8">
        <f>MAX(0,H19-Assumptions!$B$41)</f>
        <v/>
      </c>
    </row>
    <row r="20">
      <c r="A20" t="inlineStr">
        <is>
          <t>Series D</t>
        </is>
      </c>
      <c r="B20" s="7">
        <f>Assumptions!$B$25</f>
        <v/>
      </c>
      <c r="C20">
        <f>IF('Pro-Forma'!$B$162&lt;Assumptions!$B$25,"YES","NO")</f>
        <v/>
      </c>
      <c r="D20" s="8">
        <f>Assumptions!$B$5/Assumptions!$B$25</f>
        <v/>
      </c>
      <c r="E20" s="8">
        <f>Assumptions!$B$5/'Pro-Forma'!$B$162</f>
        <v/>
      </c>
      <c r="F20" s="7">
        <f>IF('Pro-Forma'!$B$162&lt;Assumptions!$B$25,Assumptions!$B$25*(Assumptions!$B$50+D20)/(Assumptions!$B$50+E20),Assumptions!$B$25)</f>
        <v/>
      </c>
      <c r="G20" s="9">
        <f>Assumptions!$B$27/F20</f>
        <v/>
      </c>
      <c r="H20" s="8">
        <f>Assumptions!$B$34/F20</f>
        <v/>
      </c>
      <c r="I20" s="8">
        <f>MAX(0,H20-Assumptions!$B$42)</f>
        <v/>
      </c>
    </row>
    <row r="21">
      <c r="A21" t="inlineStr">
        <is>
          <t>Series E</t>
        </is>
      </c>
      <c r="B21" s="7">
        <f>Assumptions!$B$26</f>
        <v/>
      </c>
      <c r="C21">
        <f>IF('Pro-Forma'!$B$162&lt;Assumptions!$B$26,"YES","NO")</f>
        <v/>
      </c>
      <c r="D21" s="8">
        <f>Assumptions!$B$5/Assumptions!$B$26</f>
        <v/>
      </c>
      <c r="E21" s="8">
        <f>Assumptions!$B$5/'Pro-Forma'!$B$162</f>
        <v/>
      </c>
      <c r="F21" s="7">
        <f>IF('Pro-Forma'!$B$162&lt;Assumptions!$B$26,Assumptions!$B$26*(Assumptions!$B$50+D21)/(Assumptions!$B$50+E21),Assumptions!$B$26)</f>
        <v/>
      </c>
      <c r="G21" s="9">
        <f>Assumptions!$B$26/F21</f>
        <v/>
      </c>
      <c r="H21" s="8">
        <f>Assumptions!$B$35/F21</f>
        <v/>
      </c>
      <c r="I21" s="8">
        <f>MAX(0,H21-Assumptions!$B$43)</f>
        <v/>
      </c>
    </row>
    <row r="24">
      <c r="A24" s="2" t="inlineStr">
        <is>
          <t>CONVERTIBLE NOTES (convert at F closing)</t>
        </is>
      </c>
    </row>
    <row r="25">
      <c r="A25" s="2" t="inlineStr">
        <is>
          <t>Note</t>
        </is>
      </c>
      <c r="B25" s="2" t="inlineStr"/>
      <c r="C25" s="2" t="inlineStr">
        <is>
          <t>Cap-implied PPS</t>
        </is>
      </c>
      <c r="D25" s="2" t="inlineStr">
        <is>
          <t>Discount-implied PPS</t>
        </is>
      </c>
      <c r="E25" s="2" t="inlineStr">
        <is>
          <t>Conv PPS</t>
        </is>
      </c>
      <c r="F25" s="2" t="inlineStr">
        <is>
          <t>Branch</t>
        </is>
      </c>
      <c r="G25" s="2" t="inlineStr">
        <is>
          <t>Shares</t>
        </is>
      </c>
    </row>
    <row r="26">
      <c r="A26" t="inlineStr">
        <is>
          <t>Note A</t>
        </is>
      </c>
      <c r="C26" s="10">
        <f>'Pro-Forma'!$M$162</f>
        <v/>
      </c>
      <c r="D26" s="10">
        <f>'Pro-Forma'!$N$162</f>
        <v/>
      </c>
      <c r="E26" s="10">
        <f>'Pro-Forma'!$O$162</f>
        <v/>
      </c>
      <c r="F26">
        <f>IF(C26&lt;D26,"cap","discount")</f>
        <v/>
      </c>
      <c r="G26" s="8">
        <f>'Pro-Forma'!$C$162</f>
        <v/>
      </c>
    </row>
    <row r="27">
      <c r="A27" t="inlineStr">
        <is>
          <t>Note B</t>
        </is>
      </c>
      <c r="C27" s="10">
        <f>'Pro-Forma'!$P$162</f>
        <v/>
      </c>
      <c r="D27" s="10">
        <f>'Pro-Forma'!$Q$162</f>
        <v/>
      </c>
      <c r="E27" s="10">
        <f>'Pro-Forma'!$R$162</f>
        <v/>
      </c>
      <c r="F27">
        <f>IF(C27&lt;D27,"cap","discount")</f>
        <v/>
      </c>
      <c r="G27" s="8">
        <f>'Pro-Forma'!$D$162</f>
        <v/>
      </c>
    </row>
    <row r="30">
      <c r="A30" s="2" t="inlineStr">
        <is>
          <t>SECONDARY TENDER (F_LEAD buys from founders)</t>
        </is>
      </c>
    </row>
    <row r="31">
      <c r="A31" t="inlineStr">
        <is>
          <t>Tender shares</t>
        </is>
      </c>
      <c r="B31" s="8">
        <f>Assumptions!$B$6/(Assumptions!$B$7*'Pro-Forma'!$B$162)</f>
        <v/>
      </c>
    </row>
    <row r="32">
      <c r="A32" t="inlineStr">
        <is>
          <t>Tender PPS</t>
        </is>
      </c>
      <c r="B32" s="10">
        <f>Assumptions!$B$7*'Pro-Forma'!$B$162</f>
        <v/>
      </c>
    </row>
    <row r="33">
      <c r="A33" t="inlineStr">
        <is>
          <t>F1 shares transferred</t>
        </is>
      </c>
      <c r="B33" s="11">
        <f>Assumptions!$B$54*'Pro-Forma'!$B$31</f>
        <v/>
      </c>
    </row>
    <row r="34">
      <c r="A34" t="inlineStr">
        <is>
          <t>F2 shares transferred</t>
        </is>
      </c>
      <c r="B34" s="11">
        <f>Assumptions!$B$55*'Pro-Forma'!$B$31</f>
        <v/>
      </c>
    </row>
    <row r="35">
      <c r="A35" t="inlineStr">
        <is>
          <t>F3 shares transferred</t>
        </is>
      </c>
      <c r="B35" s="11">
        <f>Assumptions!$B$56*'Pro-Forma'!$B$31</f>
        <v/>
      </c>
    </row>
    <row r="36">
      <c r="A36" t="inlineStr">
        <is>
          <t>F_LEAD secondary holding (common)</t>
        </is>
      </c>
      <c r="B36" s="11">
        <f>'Pro-Forma'!$B$31</f>
        <v/>
      </c>
    </row>
    <row r="39">
      <c r="A39" s="2" t="inlineStr">
        <is>
          <t>POST-F CAP TABLE BY STAKEHOLDER</t>
        </is>
      </c>
    </row>
    <row r="40">
      <c r="A40" s="2" t="inlineStr">
        <is>
          <t>Stakeholder</t>
        </is>
      </c>
      <c r="B40" s="2" t="inlineStr">
        <is>
          <t>Class</t>
        </is>
      </c>
      <c r="C40" s="2" t="inlineStr">
        <is>
          <t>Shares</t>
        </is>
      </c>
      <c r="D40" s="2" t="inlineStr">
        <is>
          <t>% of T_F</t>
        </is>
      </c>
    </row>
    <row r="41">
      <c r="A41" t="inlineStr">
        <is>
          <t>F1 (CEO)</t>
        </is>
      </c>
      <c r="B41" t="inlineStr">
        <is>
          <t>Common</t>
        </is>
      </c>
      <c r="C41" s="8">
        <f>Assumptions!$B$44-'Pro-Forma'!$B$33</f>
        <v/>
      </c>
      <c r="D41" s="13">
        <f>C41/'Pro-Forma'!$J$162</f>
        <v/>
      </c>
    </row>
    <row r="42">
      <c r="A42" t="inlineStr">
        <is>
          <t>F2 (CTO)</t>
        </is>
      </c>
      <c r="B42" t="inlineStr">
        <is>
          <t>Common</t>
        </is>
      </c>
      <c r="C42" s="8">
        <f>Assumptions!$B$45-'Pro-Forma'!$B$34</f>
        <v/>
      </c>
      <c r="D42" s="13">
        <f>C42/'Pro-Forma'!$J$162</f>
        <v/>
      </c>
    </row>
    <row r="43">
      <c r="A43" t="inlineStr">
        <is>
          <t>F3 (CSci)</t>
        </is>
      </c>
      <c r="B43" t="inlineStr">
        <is>
          <t>Common</t>
        </is>
      </c>
      <c r="C43" s="8">
        <f>Assumptions!$B$46-'Pro-Forma'!$B$35</f>
        <v/>
      </c>
      <c r="D43" s="13">
        <f>C43/'Pro-Forma'!$J$162</f>
        <v/>
      </c>
    </row>
    <row r="44">
      <c r="A44" t="inlineStr">
        <is>
          <t>E1 (RSA)</t>
        </is>
      </c>
      <c r="B44" t="inlineStr">
        <is>
          <t>RSA</t>
        </is>
      </c>
      <c r="C44" s="8">
        <f>100000</f>
        <v/>
      </c>
      <c r="D44" s="13">
        <f>C44/'Pro-Forma'!$J$162</f>
        <v/>
      </c>
    </row>
    <row r="45">
      <c r="A45" t="inlineStr">
        <is>
          <t>E2 (RSA)</t>
        </is>
      </c>
      <c r="B45" t="inlineStr">
        <is>
          <t>RSA</t>
        </is>
      </c>
      <c r="C45" s="8">
        <f>100000</f>
        <v/>
      </c>
      <c r="D45" s="13">
        <f>C45/'Pro-Forma'!$J$162</f>
        <v/>
      </c>
    </row>
    <row r="46">
      <c r="A46" t="inlineStr">
        <is>
          <t>E3 (RSA)</t>
        </is>
      </c>
      <c r="B46" t="inlineStr">
        <is>
          <t>RSA</t>
        </is>
      </c>
      <c r="C46" s="8">
        <f>100000</f>
        <v/>
      </c>
      <c r="D46" s="13">
        <f>C46/'Pro-Forma'!$J$162</f>
        <v/>
      </c>
    </row>
    <row r="47">
      <c r="A47" t="inlineStr">
        <is>
          <t>E4 (RSA)</t>
        </is>
      </c>
      <c r="B47" t="inlineStr">
        <is>
          <t>RSA</t>
        </is>
      </c>
      <c r="C47" s="8">
        <f>100000</f>
        <v/>
      </c>
      <c r="D47" s="13">
        <f>C47/'Pro-Forma'!$J$162</f>
        <v/>
      </c>
    </row>
    <row r="48">
      <c r="A48" t="inlineStr">
        <is>
          <t>E5 (RSA)</t>
        </is>
      </c>
      <c r="B48" t="inlineStr">
        <is>
          <t>RSA</t>
        </is>
      </c>
      <c r="C48" s="8">
        <f>100000</f>
        <v/>
      </c>
      <c r="D48" s="13">
        <f>C48/'Pro-Forma'!$J$162</f>
        <v/>
      </c>
    </row>
    <row r="49">
      <c r="A49" t="inlineStr">
        <is>
          <t>E6 (RSA)</t>
        </is>
      </c>
      <c r="B49" t="inlineStr">
        <is>
          <t>RSA</t>
        </is>
      </c>
      <c r="C49" s="8">
        <f>100000</f>
        <v/>
      </c>
      <c r="D49" s="13">
        <f>C49/'Pro-Forma'!$J$162</f>
        <v/>
      </c>
    </row>
    <row r="50">
      <c r="A50" t="inlineStr">
        <is>
          <t>E7 (RSA)</t>
        </is>
      </c>
      <c r="B50" t="inlineStr">
        <is>
          <t>RSA</t>
        </is>
      </c>
      <c r="C50" s="8">
        <f>100000</f>
        <v/>
      </c>
      <c r="D50" s="13">
        <f>C50/'Pro-Forma'!$J$162</f>
        <v/>
      </c>
    </row>
    <row r="51">
      <c r="A51" t="inlineStr">
        <is>
          <t>E8 (RSA)</t>
        </is>
      </c>
      <c r="B51" t="inlineStr">
        <is>
          <t>RSA</t>
        </is>
      </c>
      <c r="C51" s="8">
        <f>100000</f>
        <v/>
      </c>
      <c r="D51" s="13">
        <f>C51/'Pro-Forma'!$J$162</f>
        <v/>
      </c>
    </row>
    <row r="52">
      <c r="A52" t="inlineStr">
        <is>
          <t>E9 (RSA)</t>
        </is>
      </c>
      <c r="B52" t="inlineStr">
        <is>
          <t>RSA</t>
        </is>
      </c>
      <c r="C52" s="8">
        <f>100000</f>
        <v/>
      </c>
      <c r="D52" s="13">
        <f>C52/'Pro-Forma'!$J$162</f>
        <v/>
      </c>
    </row>
    <row r="53">
      <c r="A53" t="inlineStr">
        <is>
          <t>E10 (RSA)</t>
        </is>
      </c>
      <c r="B53" t="inlineStr">
        <is>
          <t>RSA</t>
        </is>
      </c>
      <c r="C53" s="8">
        <f>100000</f>
        <v/>
      </c>
      <c r="D53" s="13">
        <f>C53/'Pro-Forma'!$J$162</f>
        <v/>
      </c>
    </row>
    <row r="54">
      <c r="A54" t="inlineStr">
        <is>
          <t>SEED1</t>
        </is>
      </c>
      <c r="B54" t="inlineStr">
        <is>
          <t>Seed Pref</t>
        </is>
      </c>
      <c r="C54" s="8">
        <f>'Pro-Forma'!$H$16</f>
        <v/>
      </c>
      <c r="D54" s="13">
        <f>C54/'Pro-Forma'!$J$162</f>
        <v/>
      </c>
    </row>
    <row r="55">
      <c r="A55" t="inlineStr">
        <is>
          <t>A1</t>
        </is>
      </c>
      <c r="B55" t="inlineStr">
        <is>
          <t>Series A Pref</t>
        </is>
      </c>
      <c r="C55" s="8">
        <f>'Pro-Forma'!$H$17</f>
        <v/>
      </c>
      <c r="D55" s="13">
        <f>C55/'Pro-Forma'!$J$162</f>
        <v/>
      </c>
    </row>
    <row r="56">
      <c r="A56" t="inlineStr">
        <is>
          <t>B1</t>
        </is>
      </c>
      <c r="B56" t="inlineStr">
        <is>
          <t>Series B Pref</t>
        </is>
      </c>
      <c r="C56" s="8">
        <f>'Pro-Forma'!$H$18</f>
        <v/>
      </c>
      <c r="D56" s="13">
        <f>C56/'Pro-Forma'!$J$162</f>
        <v/>
      </c>
    </row>
    <row r="57">
      <c r="A57" t="inlineStr">
        <is>
          <t>C1</t>
        </is>
      </c>
      <c r="B57" t="inlineStr">
        <is>
          <t>Series C Pref</t>
        </is>
      </c>
      <c r="C57" s="8">
        <f>'Pro-Forma'!$H$19</f>
        <v/>
      </c>
      <c r="D57" s="13">
        <f>C57/'Pro-Forma'!$J$162</f>
        <v/>
      </c>
    </row>
    <row r="58">
      <c r="A58" t="inlineStr">
        <is>
          <t>D1</t>
        </is>
      </c>
      <c r="B58" t="inlineStr">
        <is>
          <t>Series D Pref</t>
        </is>
      </c>
      <c r="C58" s="8">
        <f>'Pro-Forma'!$H$20</f>
        <v/>
      </c>
      <c r="D58" s="13">
        <f>C58/'Pro-Forma'!$J$162</f>
        <v/>
      </c>
    </row>
    <row r="59">
      <c r="A59" t="inlineStr">
        <is>
          <t>E1_INV</t>
        </is>
      </c>
      <c r="B59" t="inlineStr">
        <is>
          <t>Series E Pref</t>
        </is>
      </c>
      <c r="C59" s="8">
        <f>610267*'Pro-Forma'!$H$21/Assumptions!$B$43</f>
        <v/>
      </c>
      <c r="D59" s="13">
        <f>C59/'Pro-Forma'!$J$162</f>
        <v/>
      </c>
    </row>
    <row r="60">
      <c r="A60" t="inlineStr">
        <is>
          <t>E2_INV</t>
        </is>
      </c>
      <c r="B60" t="inlineStr">
        <is>
          <t>Series E Pref</t>
        </is>
      </c>
      <c r="C60" s="8">
        <f>610267*'Pro-Forma'!$H$21/Assumptions!$B$43</f>
        <v/>
      </c>
      <c r="D60" s="13">
        <f>C60/'Pro-Forma'!$J$162</f>
        <v/>
      </c>
    </row>
    <row r="61">
      <c r="A61" t="inlineStr">
        <is>
          <t>E3_INV</t>
        </is>
      </c>
      <c r="B61" t="inlineStr">
        <is>
          <t>Series E Pref</t>
        </is>
      </c>
      <c r="C61" s="8">
        <f>610267*'Pro-Forma'!$H$21/Assumptions!$B$43</f>
        <v/>
      </c>
      <c r="D61" s="13">
        <f>C61/'Pro-Forma'!$J$162</f>
        <v/>
      </c>
    </row>
    <row r="62">
      <c r="A62" t="inlineStr">
        <is>
          <t>E4_INV</t>
        </is>
      </c>
      <c r="B62" t="inlineStr">
        <is>
          <t>Series E Pref</t>
        </is>
      </c>
      <c r="C62" s="8">
        <f>610267*'Pro-Forma'!$H$21/Assumptions!$B$43</f>
        <v/>
      </c>
      <c r="D62" s="13">
        <f>C62/'Pro-Forma'!$J$162</f>
        <v/>
      </c>
    </row>
    <row r="63">
      <c r="A63" t="inlineStr">
        <is>
          <t>E5_INV</t>
        </is>
      </c>
      <c r="B63" t="inlineStr">
        <is>
          <t>Series E Pref</t>
        </is>
      </c>
      <c r="C63" s="8">
        <f>610267*'Pro-Forma'!$H$21/Assumptions!$B$43</f>
        <v/>
      </c>
      <c r="D63" s="13">
        <f>C63/'Pro-Forma'!$J$162</f>
        <v/>
      </c>
    </row>
    <row r="64">
      <c r="A64" t="inlineStr">
        <is>
          <t>E6_INV</t>
        </is>
      </c>
      <c r="B64" t="inlineStr">
        <is>
          <t>Series E Pref</t>
        </is>
      </c>
      <c r="C64" s="8">
        <f>610267*'Pro-Forma'!$H$21/Assumptions!$B$43</f>
        <v/>
      </c>
      <c r="D64" s="13">
        <f>C64/'Pro-Forma'!$J$162</f>
        <v/>
      </c>
    </row>
    <row r="65">
      <c r="A65" t="inlineStr">
        <is>
          <t>E7_INV</t>
        </is>
      </c>
      <c r="B65" t="inlineStr">
        <is>
          <t>Series E Pref</t>
        </is>
      </c>
      <c r="C65" s="8">
        <f>610267*'Pro-Forma'!$H$21/Assumptions!$B$43</f>
        <v/>
      </c>
      <c r="D65" s="13">
        <f>C65/'Pro-Forma'!$J$162</f>
        <v/>
      </c>
    </row>
    <row r="66">
      <c r="A66" t="inlineStr">
        <is>
          <t>E8_INV</t>
        </is>
      </c>
      <c r="B66" t="inlineStr">
        <is>
          <t>Series E Pref</t>
        </is>
      </c>
      <c r="C66" s="8">
        <f>610267*'Pro-Forma'!$H$21/Assumptions!$B$43</f>
        <v/>
      </c>
      <c r="D66" s="13">
        <f>C66/'Pro-Forma'!$J$162</f>
        <v/>
      </c>
    </row>
    <row r="67">
      <c r="A67" t="inlineStr">
        <is>
          <t>E9_INV</t>
        </is>
      </c>
      <c r="B67" t="inlineStr">
        <is>
          <t>Series E Pref</t>
        </is>
      </c>
      <c r="C67" s="8">
        <f>610267*'Pro-Forma'!$H$21/Assumptions!$B$43</f>
        <v/>
      </c>
      <c r="D67" s="13">
        <f>C67/'Pro-Forma'!$J$162</f>
        <v/>
      </c>
    </row>
    <row r="68">
      <c r="A68" t="inlineStr">
        <is>
          <t>E10_INV</t>
        </is>
      </c>
      <c r="B68" t="inlineStr">
        <is>
          <t>Series E Pref</t>
        </is>
      </c>
      <c r="C68" s="8">
        <f>610264*'Pro-Forma'!$H$21/Assumptions!$B$43</f>
        <v/>
      </c>
      <c r="D68" s="13">
        <f>C68/'Pro-Forma'!$J$162</f>
        <v/>
      </c>
    </row>
    <row r="69">
      <c r="A69" t="inlineStr">
        <is>
          <t>NA1 (Note A converted)</t>
        </is>
      </c>
      <c r="B69" t="inlineStr">
        <is>
          <t>Common (note)</t>
        </is>
      </c>
      <c r="C69" s="8">
        <f>'Pro-Forma'!$C$162</f>
        <v/>
      </c>
      <c r="D69" s="13">
        <f>C69/'Pro-Forma'!$J$162</f>
        <v/>
      </c>
    </row>
    <row r="70">
      <c r="A70" t="inlineStr">
        <is>
          <t>NB1 (Note B converted)</t>
        </is>
      </c>
      <c r="B70" t="inlineStr">
        <is>
          <t>Common (note)</t>
        </is>
      </c>
      <c r="C70" s="8">
        <f>'Pro-Forma'!$D$162</f>
        <v/>
      </c>
      <c r="D70" s="13">
        <f>C70/'Pro-Forma'!$J$162</f>
        <v/>
      </c>
    </row>
    <row r="71">
      <c r="A71" t="inlineStr">
        <is>
          <t>F_LEAD (primary)</t>
        </is>
      </c>
      <c r="B71" t="inlineStr">
        <is>
          <t>Series F Pref</t>
        </is>
      </c>
      <c r="C71" s="8">
        <f>Assumptions!$B$10/'Pro-Forma'!$B$162</f>
        <v/>
      </c>
      <c r="D71" s="13">
        <f>C71/'Pro-Forma'!$J$162</f>
        <v/>
      </c>
    </row>
    <row r="72">
      <c r="A72" t="inlineStr">
        <is>
          <t>F_LEAD (secondary)</t>
        </is>
      </c>
      <c r="B72" t="inlineStr">
        <is>
          <t>Common</t>
        </is>
      </c>
      <c r="C72" s="8">
        <f>'Pro-Forma'!$B$36</f>
        <v/>
      </c>
      <c r="D72" s="13">
        <f>C72/'Pro-Forma'!$J$162</f>
        <v/>
      </c>
    </row>
    <row r="73">
      <c r="A73" t="inlineStr">
        <is>
          <t>F_FUND (our $10M)</t>
        </is>
      </c>
      <c r="B73" t="inlineStr">
        <is>
          <t>Series F Pref</t>
        </is>
      </c>
      <c r="C73" s="8">
        <f>Assumptions!$B$9/'Pro-Forma'!$B$162</f>
        <v/>
      </c>
      <c r="D73" s="13">
        <f>C73/'Pro-Forma'!$J$162</f>
        <v/>
      </c>
    </row>
    <row r="74">
      <c r="A74" t="inlineStr">
        <is>
          <t>Options (issued)</t>
        </is>
      </c>
      <c r="B74" t="inlineStr">
        <is>
          <t>Options</t>
        </is>
      </c>
      <c r="C74" s="8">
        <f>Assumptions!$B$48</f>
        <v/>
      </c>
      <c r="D74" s="13">
        <f>C74/'Pro-Forma'!$J$162</f>
        <v/>
      </c>
    </row>
    <row r="75">
      <c r="A75" t="inlineStr">
        <is>
          <t>Options (unissued, post top-up)</t>
        </is>
      </c>
      <c r="B75" t="inlineStr">
        <is>
          <t>Options</t>
        </is>
      </c>
      <c r="C75" s="8">
        <f>Assumptions!$B$49+'Pro-Forma'!$H$162</f>
        <v/>
      </c>
      <c r="D75" s="13">
        <f>C75/'Pro-Forma'!$J$162</f>
        <v/>
      </c>
    </row>
    <row r="76">
      <c r="A76" s="2" t="inlineStr">
        <is>
          <t>TOTAL</t>
        </is>
      </c>
      <c r="C76" s="8">
        <f>SUM(C41:C75)</f>
        <v/>
      </c>
      <c r="D76" s="13">
        <f>SUM(D41:D75)</f>
        <v/>
      </c>
    </row>
    <row r="100">
      <c r="A100" s="2" t="inlineStr">
        <is>
          <t>FIXED-POINT SOLVER (iteration unrolling)</t>
        </is>
      </c>
    </row>
    <row r="101">
      <c r="A101" s="14" t="inlineStr">
        <is>
          <t>k</t>
        </is>
      </c>
      <c r="B101" s="14" t="inlineStr">
        <is>
          <t>F_PPS_k</t>
        </is>
      </c>
      <c r="C101" s="14" t="inlineStr">
        <is>
          <t>nA_k</t>
        </is>
      </c>
      <c r="D101" s="14" t="inlineStr">
        <is>
          <t>nB_k</t>
        </is>
      </c>
      <c r="E101" s="14" t="inlineStr">
        <is>
          <t>AD_extra</t>
        </is>
      </c>
      <c r="F101" s="14" t="inlineStr">
        <is>
          <t>F_primary</t>
        </is>
      </c>
      <c r="G101" s="14" t="inlineStr">
        <is>
          <t>topup_prov</t>
        </is>
      </c>
      <c r="H101" s="14" t="inlineStr">
        <is>
          <t>topup</t>
        </is>
      </c>
      <c r="I101" s="14" t="inlineStr">
        <is>
          <t>pmFD</t>
        </is>
      </c>
      <c r="J101" s="14" t="inlineStr">
        <is>
          <t>T_F</t>
        </is>
      </c>
      <c r="K101" s="14" t="inlineStr">
        <is>
          <t>pmFD_A</t>
        </is>
      </c>
      <c r="L101" s="14" t="inlineStr">
        <is>
          <t>pmFD_B</t>
        </is>
      </c>
      <c r="M101" s="14" t="inlineStr">
        <is>
          <t>cap_PPS_A</t>
        </is>
      </c>
      <c r="N101" s="14" t="inlineStr">
        <is>
          <t>disc_PPS_A</t>
        </is>
      </c>
      <c r="O101" s="14" t="inlineStr">
        <is>
          <t>conv_PPS_A</t>
        </is>
      </c>
      <c r="P101" s="14" t="inlineStr">
        <is>
          <t>cap_PPS_B</t>
        </is>
      </c>
      <c r="Q101" s="14" t="inlineStr">
        <is>
          <t>disc_PPS_B</t>
        </is>
      </c>
      <c r="R101" s="14" t="inlineStr">
        <is>
          <t>conv_PPS_B</t>
        </is>
      </c>
      <c r="S101" s="14" t="inlineStr">
        <is>
          <t>F_PPS_next</t>
        </is>
      </c>
      <c r="T101" s="14" t="inlineStr">
        <is>
          <t>nA_next</t>
        </is>
      </c>
      <c r="U101" s="14" t="inlineStr">
        <is>
          <t>nB_next</t>
        </is>
      </c>
    </row>
    <row r="102">
      <c r="A102" t="n">
        <v>0</v>
      </c>
      <c r="B102">
        <f>Assumptions!$B$4/Assumptions!$B$50</f>
        <v/>
      </c>
      <c r="C102" t="n">
        <v>0</v>
      </c>
      <c r="D102" t="n">
        <v>0</v>
      </c>
      <c r="E102">
        <f>MAX(0,Assumptions!$B$34/IF(B102&lt;Assumptions!$B$25,Assumptions!$B$25*(Assumptions!$B$50+Assumptions!$B$5/Assumptions!$B$25)/(Assumptions!$B$50+Assumptions!$B$5/B102),Assumptions!$B$25)-Assumptions!$B$42)+MAX(0,Assumptions!$B$35/IF(B102&lt;Assumptions!$B$26,Assumptions!$B$26*(Assumptions!$B$50+Assumptions!$B$5/Assumptions!$B$26)/(Assumptions!$B$50+Assumptions!$B$5/B102),Assumptions!$B$26)-Assumptions!$B$43)</f>
        <v/>
      </c>
      <c r="F102">
        <f>Assumptions!$B$5/B102</f>
        <v/>
      </c>
      <c r="G102">
        <f>Assumptions!$B$8*(((Assumptions!$B$50-Assumptions!$B$51+E102+C102+D102)+F102)/(1-Assumptions!$B$8))-Assumptions!$B$51</f>
        <v/>
      </c>
      <c r="H102">
        <f>MAX(0,G102)</f>
        <v/>
      </c>
      <c r="I102">
        <f>Assumptions!$B$50+E102+H102+C102+D102</f>
        <v/>
      </c>
      <c r="J102">
        <f>I102+F102</f>
        <v/>
      </c>
      <c r="K102">
        <f>Assumptions!$B$50+E102+H102+D102</f>
        <v/>
      </c>
      <c r="L102">
        <f>Assumptions!$B$50+E102+H102+C102</f>
        <v/>
      </c>
      <c r="M102">
        <f>Assumptions!$B$60/K102</f>
        <v/>
      </c>
      <c r="N102">
        <f>B102*(1-Assumptions!$B$61)</f>
        <v/>
      </c>
      <c r="O102">
        <f>MIN(M102,N102)</f>
        <v/>
      </c>
      <c r="P102">
        <f>Assumptions!$B$63/L102</f>
        <v/>
      </c>
      <c r="Q102">
        <f>B102*(1-Assumptions!$B$64)</f>
        <v/>
      </c>
      <c r="R102">
        <f>MIN(P102,Q102)</f>
        <v/>
      </c>
      <c r="S102">
        <f>Assumptions!$B$4/I102</f>
        <v/>
      </c>
      <c r="T102">
        <f>Assumptions!$B$59/O102</f>
        <v/>
      </c>
      <c r="U102">
        <f>Assumptions!$B$62/R102</f>
        <v/>
      </c>
    </row>
    <row r="103">
      <c r="A103" t="n">
        <v>1</v>
      </c>
      <c r="B103">
        <f>S102</f>
        <v/>
      </c>
      <c r="C103">
        <f>T102</f>
        <v/>
      </c>
      <c r="D103">
        <f>U102</f>
        <v/>
      </c>
      <c r="E103">
        <f>MAX(0,Assumptions!$B$34/IF(B103&lt;Assumptions!$B$25,Assumptions!$B$25*(Assumptions!$B$50+Assumptions!$B$5/Assumptions!$B$25)/(Assumptions!$B$50+Assumptions!$B$5/B103),Assumptions!$B$25)-Assumptions!$B$42)+MAX(0,Assumptions!$B$35/IF(B103&lt;Assumptions!$B$26,Assumptions!$B$26*(Assumptions!$B$50+Assumptions!$B$5/Assumptions!$B$26)/(Assumptions!$B$50+Assumptions!$B$5/B103),Assumptions!$B$26)-Assumptions!$B$43)</f>
        <v/>
      </c>
      <c r="F103">
        <f>Assumptions!$B$5/B103</f>
        <v/>
      </c>
      <c r="G103">
        <f>Assumptions!$B$8*(((Assumptions!$B$50-Assumptions!$B$51+E103+C103+D103)+F103)/(1-Assumptions!$B$8))-Assumptions!$B$51</f>
        <v/>
      </c>
      <c r="H103">
        <f>MAX(0,G103)</f>
        <v/>
      </c>
      <c r="I103">
        <f>Assumptions!$B$50+E103+H103+C103+D103</f>
        <v/>
      </c>
      <c r="J103">
        <f>I103+F103</f>
        <v/>
      </c>
      <c r="K103">
        <f>Assumptions!$B$50+E103+H103+D103</f>
        <v/>
      </c>
      <c r="L103">
        <f>Assumptions!$B$50+E103+H103+C103</f>
        <v/>
      </c>
      <c r="M103">
        <f>Assumptions!$B$60/K103</f>
        <v/>
      </c>
      <c r="N103">
        <f>B103*(1-Assumptions!$B$61)</f>
        <v/>
      </c>
      <c r="O103">
        <f>MIN(M103,N103)</f>
        <v/>
      </c>
      <c r="P103">
        <f>Assumptions!$B$63/L103</f>
        <v/>
      </c>
      <c r="Q103">
        <f>B103*(1-Assumptions!$B$64)</f>
        <v/>
      </c>
      <c r="R103">
        <f>MIN(P103,Q103)</f>
        <v/>
      </c>
      <c r="S103">
        <f>Assumptions!$B$4/I103</f>
        <v/>
      </c>
      <c r="T103">
        <f>Assumptions!$B$59/O103</f>
        <v/>
      </c>
      <c r="U103">
        <f>Assumptions!$B$62/R103</f>
        <v/>
      </c>
    </row>
    <row r="104">
      <c r="A104" t="n">
        <v>2</v>
      </c>
      <c r="B104">
        <f>S103</f>
        <v/>
      </c>
      <c r="C104">
        <f>T103</f>
        <v/>
      </c>
      <c r="D104">
        <f>U103</f>
        <v/>
      </c>
      <c r="E104">
        <f>MAX(0,Assumptions!$B$34/IF(B104&lt;Assumptions!$B$25,Assumptions!$B$25*(Assumptions!$B$50+Assumptions!$B$5/Assumptions!$B$25)/(Assumptions!$B$50+Assumptions!$B$5/B104),Assumptions!$B$25)-Assumptions!$B$42)+MAX(0,Assumptions!$B$35/IF(B104&lt;Assumptions!$B$26,Assumptions!$B$26*(Assumptions!$B$50+Assumptions!$B$5/Assumptions!$B$26)/(Assumptions!$B$50+Assumptions!$B$5/B104),Assumptions!$B$26)-Assumptions!$B$43)</f>
        <v/>
      </c>
      <c r="F104">
        <f>Assumptions!$B$5/B104</f>
        <v/>
      </c>
      <c r="G104">
        <f>Assumptions!$B$8*(((Assumptions!$B$50-Assumptions!$B$51+E104+C104+D104)+F104)/(1-Assumptions!$B$8))-Assumptions!$B$51</f>
        <v/>
      </c>
      <c r="H104">
        <f>MAX(0,G104)</f>
        <v/>
      </c>
      <c r="I104">
        <f>Assumptions!$B$50+E104+H104+C104+D104</f>
        <v/>
      </c>
      <c r="J104">
        <f>I104+F104</f>
        <v/>
      </c>
      <c r="K104">
        <f>Assumptions!$B$50+E104+H104+D104</f>
        <v/>
      </c>
      <c r="L104">
        <f>Assumptions!$B$50+E104+H104+C104</f>
        <v/>
      </c>
      <c r="M104">
        <f>Assumptions!$B$60/K104</f>
        <v/>
      </c>
      <c r="N104">
        <f>B104*(1-Assumptions!$B$61)</f>
        <v/>
      </c>
      <c r="O104">
        <f>MIN(M104,N104)</f>
        <v/>
      </c>
      <c r="P104">
        <f>Assumptions!$B$63/L104</f>
        <v/>
      </c>
      <c r="Q104">
        <f>B104*(1-Assumptions!$B$64)</f>
        <v/>
      </c>
      <c r="R104">
        <f>MIN(P104,Q104)</f>
        <v/>
      </c>
      <c r="S104">
        <f>Assumptions!$B$4/I104</f>
        <v/>
      </c>
      <c r="T104">
        <f>Assumptions!$B$59/O104</f>
        <v/>
      </c>
      <c r="U104">
        <f>Assumptions!$B$62/R104</f>
        <v/>
      </c>
    </row>
    <row r="105">
      <c r="A105" t="n">
        <v>3</v>
      </c>
      <c r="B105">
        <f>S104</f>
        <v/>
      </c>
      <c r="C105">
        <f>T104</f>
        <v/>
      </c>
      <c r="D105">
        <f>U104</f>
        <v/>
      </c>
      <c r="E105">
        <f>MAX(0,Assumptions!$B$34/IF(B105&lt;Assumptions!$B$25,Assumptions!$B$25*(Assumptions!$B$50+Assumptions!$B$5/Assumptions!$B$25)/(Assumptions!$B$50+Assumptions!$B$5/B105),Assumptions!$B$25)-Assumptions!$B$42)+MAX(0,Assumptions!$B$35/IF(B105&lt;Assumptions!$B$26,Assumptions!$B$26*(Assumptions!$B$50+Assumptions!$B$5/Assumptions!$B$26)/(Assumptions!$B$50+Assumptions!$B$5/B105),Assumptions!$B$26)-Assumptions!$B$43)</f>
        <v/>
      </c>
      <c r="F105">
        <f>Assumptions!$B$5/B105</f>
        <v/>
      </c>
      <c r="G105">
        <f>Assumptions!$B$8*(((Assumptions!$B$50-Assumptions!$B$51+E105+C105+D105)+F105)/(1-Assumptions!$B$8))-Assumptions!$B$51</f>
        <v/>
      </c>
      <c r="H105">
        <f>MAX(0,G105)</f>
        <v/>
      </c>
      <c r="I105">
        <f>Assumptions!$B$50+E105+H105+C105+D105</f>
        <v/>
      </c>
      <c r="J105">
        <f>I105+F105</f>
        <v/>
      </c>
      <c r="K105">
        <f>Assumptions!$B$50+E105+H105+D105</f>
        <v/>
      </c>
      <c r="L105">
        <f>Assumptions!$B$50+E105+H105+C105</f>
        <v/>
      </c>
      <c r="M105">
        <f>Assumptions!$B$60/K105</f>
        <v/>
      </c>
      <c r="N105">
        <f>B105*(1-Assumptions!$B$61)</f>
        <v/>
      </c>
      <c r="O105">
        <f>MIN(M105,N105)</f>
        <v/>
      </c>
      <c r="P105">
        <f>Assumptions!$B$63/L105</f>
        <v/>
      </c>
      <c r="Q105">
        <f>B105*(1-Assumptions!$B$64)</f>
        <v/>
      </c>
      <c r="R105">
        <f>MIN(P105,Q105)</f>
        <v/>
      </c>
      <c r="S105">
        <f>Assumptions!$B$4/I105</f>
        <v/>
      </c>
      <c r="T105">
        <f>Assumptions!$B$59/O105</f>
        <v/>
      </c>
      <c r="U105">
        <f>Assumptions!$B$62/R105</f>
        <v/>
      </c>
    </row>
    <row r="106">
      <c r="A106" t="n">
        <v>4</v>
      </c>
      <c r="B106">
        <f>S105</f>
        <v/>
      </c>
      <c r="C106">
        <f>T105</f>
        <v/>
      </c>
      <c r="D106">
        <f>U105</f>
        <v/>
      </c>
      <c r="E106">
        <f>MAX(0,Assumptions!$B$34/IF(B106&lt;Assumptions!$B$25,Assumptions!$B$25*(Assumptions!$B$50+Assumptions!$B$5/Assumptions!$B$25)/(Assumptions!$B$50+Assumptions!$B$5/B106),Assumptions!$B$25)-Assumptions!$B$42)+MAX(0,Assumptions!$B$35/IF(B106&lt;Assumptions!$B$26,Assumptions!$B$26*(Assumptions!$B$50+Assumptions!$B$5/Assumptions!$B$26)/(Assumptions!$B$50+Assumptions!$B$5/B106),Assumptions!$B$26)-Assumptions!$B$43)</f>
        <v/>
      </c>
      <c r="F106">
        <f>Assumptions!$B$5/B106</f>
        <v/>
      </c>
      <c r="G106">
        <f>Assumptions!$B$8*(((Assumptions!$B$50-Assumptions!$B$51+E106+C106+D106)+F106)/(1-Assumptions!$B$8))-Assumptions!$B$51</f>
        <v/>
      </c>
      <c r="H106">
        <f>MAX(0,G106)</f>
        <v/>
      </c>
      <c r="I106">
        <f>Assumptions!$B$50+E106+H106+C106+D106</f>
        <v/>
      </c>
      <c r="J106">
        <f>I106+F106</f>
        <v/>
      </c>
      <c r="K106">
        <f>Assumptions!$B$50+E106+H106+D106</f>
        <v/>
      </c>
      <c r="L106">
        <f>Assumptions!$B$50+E106+H106+C106</f>
        <v/>
      </c>
      <c r="M106">
        <f>Assumptions!$B$60/K106</f>
        <v/>
      </c>
      <c r="N106">
        <f>B106*(1-Assumptions!$B$61)</f>
        <v/>
      </c>
      <c r="O106">
        <f>MIN(M106,N106)</f>
        <v/>
      </c>
      <c r="P106">
        <f>Assumptions!$B$63/L106</f>
        <v/>
      </c>
      <c r="Q106">
        <f>B106*(1-Assumptions!$B$64)</f>
        <v/>
      </c>
      <c r="R106">
        <f>MIN(P106,Q106)</f>
        <v/>
      </c>
      <c r="S106">
        <f>Assumptions!$B$4/I106</f>
        <v/>
      </c>
      <c r="T106">
        <f>Assumptions!$B$59/O106</f>
        <v/>
      </c>
      <c r="U106">
        <f>Assumptions!$B$62/R106</f>
        <v/>
      </c>
    </row>
    <row r="107">
      <c r="A107" t="n">
        <v>5</v>
      </c>
      <c r="B107">
        <f>S106</f>
        <v/>
      </c>
      <c r="C107">
        <f>T106</f>
        <v/>
      </c>
      <c r="D107">
        <f>U106</f>
        <v/>
      </c>
      <c r="E107">
        <f>MAX(0,Assumptions!$B$34/IF(B107&lt;Assumptions!$B$25,Assumptions!$B$25*(Assumptions!$B$50+Assumptions!$B$5/Assumptions!$B$25)/(Assumptions!$B$50+Assumptions!$B$5/B107),Assumptions!$B$25)-Assumptions!$B$42)+MAX(0,Assumptions!$B$35/IF(B107&lt;Assumptions!$B$26,Assumptions!$B$26*(Assumptions!$B$50+Assumptions!$B$5/Assumptions!$B$26)/(Assumptions!$B$50+Assumptions!$B$5/B107),Assumptions!$B$26)-Assumptions!$B$43)</f>
        <v/>
      </c>
      <c r="F107">
        <f>Assumptions!$B$5/B107</f>
        <v/>
      </c>
      <c r="G107">
        <f>Assumptions!$B$8*(((Assumptions!$B$50-Assumptions!$B$51+E107+C107+D107)+F107)/(1-Assumptions!$B$8))-Assumptions!$B$51</f>
        <v/>
      </c>
      <c r="H107">
        <f>MAX(0,G107)</f>
        <v/>
      </c>
      <c r="I107">
        <f>Assumptions!$B$50+E107+H107+C107+D107</f>
        <v/>
      </c>
      <c r="J107">
        <f>I107+F107</f>
        <v/>
      </c>
      <c r="K107">
        <f>Assumptions!$B$50+E107+H107+D107</f>
        <v/>
      </c>
      <c r="L107">
        <f>Assumptions!$B$50+E107+H107+C107</f>
        <v/>
      </c>
      <c r="M107">
        <f>Assumptions!$B$60/K107</f>
        <v/>
      </c>
      <c r="N107">
        <f>B107*(1-Assumptions!$B$61)</f>
        <v/>
      </c>
      <c r="O107">
        <f>MIN(M107,N107)</f>
        <v/>
      </c>
      <c r="P107">
        <f>Assumptions!$B$63/L107</f>
        <v/>
      </c>
      <c r="Q107">
        <f>B107*(1-Assumptions!$B$64)</f>
        <v/>
      </c>
      <c r="R107">
        <f>MIN(P107,Q107)</f>
        <v/>
      </c>
      <c r="S107">
        <f>Assumptions!$B$4/I107</f>
        <v/>
      </c>
      <c r="T107">
        <f>Assumptions!$B$59/O107</f>
        <v/>
      </c>
      <c r="U107">
        <f>Assumptions!$B$62/R107</f>
        <v/>
      </c>
    </row>
    <row r="108">
      <c r="A108" t="n">
        <v>6</v>
      </c>
      <c r="B108">
        <f>S107</f>
        <v/>
      </c>
      <c r="C108">
        <f>T107</f>
        <v/>
      </c>
      <c r="D108">
        <f>U107</f>
        <v/>
      </c>
      <c r="E108">
        <f>MAX(0,Assumptions!$B$34/IF(B108&lt;Assumptions!$B$25,Assumptions!$B$25*(Assumptions!$B$50+Assumptions!$B$5/Assumptions!$B$25)/(Assumptions!$B$50+Assumptions!$B$5/B108),Assumptions!$B$25)-Assumptions!$B$42)+MAX(0,Assumptions!$B$35/IF(B108&lt;Assumptions!$B$26,Assumptions!$B$26*(Assumptions!$B$50+Assumptions!$B$5/Assumptions!$B$26)/(Assumptions!$B$50+Assumptions!$B$5/B108),Assumptions!$B$26)-Assumptions!$B$43)</f>
        <v/>
      </c>
      <c r="F108">
        <f>Assumptions!$B$5/B108</f>
        <v/>
      </c>
      <c r="G108">
        <f>Assumptions!$B$8*(((Assumptions!$B$50-Assumptions!$B$51+E108+C108+D108)+F108)/(1-Assumptions!$B$8))-Assumptions!$B$51</f>
        <v/>
      </c>
      <c r="H108">
        <f>MAX(0,G108)</f>
        <v/>
      </c>
      <c r="I108">
        <f>Assumptions!$B$50+E108+H108+C108+D108</f>
        <v/>
      </c>
      <c r="J108">
        <f>I108+F108</f>
        <v/>
      </c>
      <c r="K108">
        <f>Assumptions!$B$50+E108+H108+D108</f>
        <v/>
      </c>
      <c r="L108">
        <f>Assumptions!$B$50+E108+H108+C108</f>
        <v/>
      </c>
      <c r="M108">
        <f>Assumptions!$B$60/K108</f>
        <v/>
      </c>
      <c r="N108">
        <f>B108*(1-Assumptions!$B$61)</f>
        <v/>
      </c>
      <c r="O108">
        <f>MIN(M108,N108)</f>
        <v/>
      </c>
      <c r="P108">
        <f>Assumptions!$B$63/L108</f>
        <v/>
      </c>
      <c r="Q108">
        <f>B108*(1-Assumptions!$B$64)</f>
        <v/>
      </c>
      <c r="R108">
        <f>MIN(P108,Q108)</f>
        <v/>
      </c>
      <c r="S108">
        <f>Assumptions!$B$4/I108</f>
        <v/>
      </c>
      <c r="T108">
        <f>Assumptions!$B$59/O108</f>
        <v/>
      </c>
      <c r="U108">
        <f>Assumptions!$B$62/R108</f>
        <v/>
      </c>
    </row>
    <row r="109">
      <c r="A109" t="n">
        <v>7</v>
      </c>
      <c r="B109">
        <f>S108</f>
        <v/>
      </c>
      <c r="C109">
        <f>T108</f>
        <v/>
      </c>
      <c r="D109">
        <f>U108</f>
        <v/>
      </c>
      <c r="E109">
        <f>MAX(0,Assumptions!$B$34/IF(B109&lt;Assumptions!$B$25,Assumptions!$B$25*(Assumptions!$B$50+Assumptions!$B$5/Assumptions!$B$25)/(Assumptions!$B$50+Assumptions!$B$5/B109),Assumptions!$B$25)-Assumptions!$B$42)+MAX(0,Assumptions!$B$35/IF(B109&lt;Assumptions!$B$26,Assumptions!$B$26*(Assumptions!$B$50+Assumptions!$B$5/Assumptions!$B$26)/(Assumptions!$B$50+Assumptions!$B$5/B109),Assumptions!$B$26)-Assumptions!$B$43)</f>
        <v/>
      </c>
      <c r="F109">
        <f>Assumptions!$B$5/B109</f>
        <v/>
      </c>
      <c r="G109">
        <f>Assumptions!$B$8*(((Assumptions!$B$50-Assumptions!$B$51+E109+C109+D109)+F109)/(1-Assumptions!$B$8))-Assumptions!$B$51</f>
        <v/>
      </c>
      <c r="H109">
        <f>MAX(0,G109)</f>
        <v/>
      </c>
      <c r="I109">
        <f>Assumptions!$B$50+E109+H109+C109+D109</f>
        <v/>
      </c>
      <c r="J109">
        <f>I109+F109</f>
        <v/>
      </c>
      <c r="K109">
        <f>Assumptions!$B$50+E109+H109+D109</f>
        <v/>
      </c>
      <c r="L109">
        <f>Assumptions!$B$50+E109+H109+C109</f>
        <v/>
      </c>
      <c r="M109">
        <f>Assumptions!$B$60/K109</f>
        <v/>
      </c>
      <c r="N109">
        <f>B109*(1-Assumptions!$B$61)</f>
        <v/>
      </c>
      <c r="O109">
        <f>MIN(M109,N109)</f>
        <v/>
      </c>
      <c r="P109">
        <f>Assumptions!$B$63/L109</f>
        <v/>
      </c>
      <c r="Q109">
        <f>B109*(1-Assumptions!$B$64)</f>
        <v/>
      </c>
      <c r="R109">
        <f>MIN(P109,Q109)</f>
        <v/>
      </c>
      <c r="S109">
        <f>Assumptions!$B$4/I109</f>
        <v/>
      </c>
      <c r="T109">
        <f>Assumptions!$B$59/O109</f>
        <v/>
      </c>
      <c r="U109">
        <f>Assumptions!$B$62/R109</f>
        <v/>
      </c>
    </row>
    <row r="110">
      <c r="A110" t="n">
        <v>8</v>
      </c>
      <c r="B110">
        <f>S109</f>
        <v/>
      </c>
      <c r="C110">
        <f>T109</f>
        <v/>
      </c>
      <c r="D110">
        <f>U109</f>
        <v/>
      </c>
      <c r="E110">
        <f>MAX(0,Assumptions!$B$34/IF(B110&lt;Assumptions!$B$25,Assumptions!$B$25*(Assumptions!$B$50+Assumptions!$B$5/Assumptions!$B$25)/(Assumptions!$B$50+Assumptions!$B$5/B110),Assumptions!$B$25)-Assumptions!$B$42)+MAX(0,Assumptions!$B$35/IF(B110&lt;Assumptions!$B$26,Assumptions!$B$26*(Assumptions!$B$50+Assumptions!$B$5/Assumptions!$B$26)/(Assumptions!$B$50+Assumptions!$B$5/B110),Assumptions!$B$26)-Assumptions!$B$43)</f>
        <v/>
      </c>
      <c r="F110">
        <f>Assumptions!$B$5/B110</f>
        <v/>
      </c>
      <c r="G110">
        <f>Assumptions!$B$8*(((Assumptions!$B$50-Assumptions!$B$51+E110+C110+D110)+F110)/(1-Assumptions!$B$8))-Assumptions!$B$51</f>
        <v/>
      </c>
      <c r="H110">
        <f>MAX(0,G110)</f>
        <v/>
      </c>
      <c r="I110">
        <f>Assumptions!$B$50+E110+H110+C110+D110</f>
        <v/>
      </c>
      <c r="J110">
        <f>I110+F110</f>
        <v/>
      </c>
      <c r="K110">
        <f>Assumptions!$B$50+E110+H110+D110</f>
        <v/>
      </c>
      <c r="L110">
        <f>Assumptions!$B$50+E110+H110+C110</f>
        <v/>
      </c>
      <c r="M110">
        <f>Assumptions!$B$60/K110</f>
        <v/>
      </c>
      <c r="N110">
        <f>B110*(1-Assumptions!$B$61)</f>
        <v/>
      </c>
      <c r="O110">
        <f>MIN(M110,N110)</f>
        <v/>
      </c>
      <c r="P110">
        <f>Assumptions!$B$63/L110</f>
        <v/>
      </c>
      <c r="Q110">
        <f>B110*(1-Assumptions!$B$64)</f>
        <v/>
      </c>
      <c r="R110">
        <f>MIN(P110,Q110)</f>
        <v/>
      </c>
      <c r="S110">
        <f>Assumptions!$B$4/I110</f>
        <v/>
      </c>
      <c r="T110">
        <f>Assumptions!$B$59/O110</f>
        <v/>
      </c>
      <c r="U110">
        <f>Assumptions!$B$62/R110</f>
        <v/>
      </c>
    </row>
    <row r="111">
      <c r="A111" t="n">
        <v>9</v>
      </c>
      <c r="B111">
        <f>S110</f>
        <v/>
      </c>
      <c r="C111">
        <f>T110</f>
        <v/>
      </c>
      <c r="D111">
        <f>U110</f>
        <v/>
      </c>
      <c r="E111">
        <f>MAX(0,Assumptions!$B$34/IF(B111&lt;Assumptions!$B$25,Assumptions!$B$25*(Assumptions!$B$50+Assumptions!$B$5/Assumptions!$B$25)/(Assumptions!$B$50+Assumptions!$B$5/B111),Assumptions!$B$25)-Assumptions!$B$42)+MAX(0,Assumptions!$B$35/IF(B111&lt;Assumptions!$B$26,Assumptions!$B$26*(Assumptions!$B$50+Assumptions!$B$5/Assumptions!$B$26)/(Assumptions!$B$50+Assumptions!$B$5/B111),Assumptions!$B$26)-Assumptions!$B$43)</f>
        <v/>
      </c>
      <c r="F111">
        <f>Assumptions!$B$5/B111</f>
        <v/>
      </c>
      <c r="G111">
        <f>Assumptions!$B$8*(((Assumptions!$B$50-Assumptions!$B$51+E111+C111+D111)+F111)/(1-Assumptions!$B$8))-Assumptions!$B$51</f>
        <v/>
      </c>
      <c r="H111">
        <f>MAX(0,G111)</f>
        <v/>
      </c>
      <c r="I111">
        <f>Assumptions!$B$50+E111+H111+C111+D111</f>
        <v/>
      </c>
      <c r="J111">
        <f>I111+F111</f>
        <v/>
      </c>
      <c r="K111">
        <f>Assumptions!$B$50+E111+H111+D111</f>
        <v/>
      </c>
      <c r="L111">
        <f>Assumptions!$B$50+E111+H111+C111</f>
        <v/>
      </c>
      <c r="M111">
        <f>Assumptions!$B$60/K111</f>
        <v/>
      </c>
      <c r="N111">
        <f>B111*(1-Assumptions!$B$61)</f>
        <v/>
      </c>
      <c r="O111">
        <f>MIN(M111,N111)</f>
        <v/>
      </c>
      <c r="P111">
        <f>Assumptions!$B$63/L111</f>
        <v/>
      </c>
      <c r="Q111">
        <f>B111*(1-Assumptions!$B$64)</f>
        <v/>
      </c>
      <c r="R111">
        <f>MIN(P111,Q111)</f>
        <v/>
      </c>
      <c r="S111">
        <f>Assumptions!$B$4/I111</f>
        <v/>
      </c>
      <c r="T111">
        <f>Assumptions!$B$59/O111</f>
        <v/>
      </c>
      <c r="U111">
        <f>Assumptions!$B$62/R111</f>
        <v/>
      </c>
    </row>
    <row r="112">
      <c r="A112" t="n">
        <v>10</v>
      </c>
      <c r="B112">
        <f>S111</f>
        <v/>
      </c>
      <c r="C112">
        <f>T111</f>
        <v/>
      </c>
      <c r="D112">
        <f>U111</f>
        <v/>
      </c>
      <c r="E112">
        <f>MAX(0,Assumptions!$B$34/IF(B112&lt;Assumptions!$B$25,Assumptions!$B$25*(Assumptions!$B$50+Assumptions!$B$5/Assumptions!$B$25)/(Assumptions!$B$50+Assumptions!$B$5/B112),Assumptions!$B$25)-Assumptions!$B$42)+MAX(0,Assumptions!$B$35/IF(B112&lt;Assumptions!$B$26,Assumptions!$B$26*(Assumptions!$B$50+Assumptions!$B$5/Assumptions!$B$26)/(Assumptions!$B$50+Assumptions!$B$5/B112),Assumptions!$B$26)-Assumptions!$B$43)</f>
        <v/>
      </c>
      <c r="F112">
        <f>Assumptions!$B$5/B112</f>
        <v/>
      </c>
      <c r="G112">
        <f>Assumptions!$B$8*(((Assumptions!$B$50-Assumptions!$B$51+E112+C112+D112)+F112)/(1-Assumptions!$B$8))-Assumptions!$B$51</f>
        <v/>
      </c>
      <c r="H112">
        <f>MAX(0,G112)</f>
        <v/>
      </c>
      <c r="I112">
        <f>Assumptions!$B$50+E112+H112+C112+D112</f>
        <v/>
      </c>
      <c r="J112">
        <f>I112+F112</f>
        <v/>
      </c>
      <c r="K112">
        <f>Assumptions!$B$50+E112+H112+D112</f>
        <v/>
      </c>
      <c r="L112">
        <f>Assumptions!$B$50+E112+H112+C112</f>
        <v/>
      </c>
      <c r="M112">
        <f>Assumptions!$B$60/K112</f>
        <v/>
      </c>
      <c r="N112">
        <f>B112*(1-Assumptions!$B$61)</f>
        <v/>
      </c>
      <c r="O112">
        <f>MIN(M112,N112)</f>
        <v/>
      </c>
      <c r="P112">
        <f>Assumptions!$B$63/L112</f>
        <v/>
      </c>
      <c r="Q112">
        <f>B112*(1-Assumptions!$B$64)</f>
        <v/>
      </c>
      <c r="R112">
        <f>MIN(P112,Q112)</f>
        <v/>
      </c>
      <c r="S112">
        <f>Assumptions!$B$4/I112</f>
        <v/>
      </c>
      <c r="T112">
        <f>Assumptions!$B$59/O112</f>
        <v/>
      </c>
      <c r="U112">
        <f>Assumptions!$B$62/R112</f>
        <v/>
      </c>
    </row>
    <row r="113">
      <c r="A113" t="n">
        <v>11</v>
      </c>
      <c r="B113">
        <f>S112</f>
        <v/>
      </c>
      <c r="C113">
        <f>T112</f>
        <v/>
      </c>
      <c r="D113">
        <f>U112</f>
        <v/>
      </c>
      <c r="E113">
        <f>MAX(0,Assumptions!$B$34/IF(B113&lt;Assumptions!$B$25,Assumptions!$B$25*(Assumptions!$B$50+Assumptions!$B$5/Assumptions!$B$25)/(Assumptions!$B$50+Assumptions!$B$5/B113),Assumptions!$B$25)-Assumptions!$B$42)+MAX(0,Assumptions!$B$35/IF(B113&lt;Assumptions!$B$26,Assumptions!$B$26*(Assumptions!$B$50+Assumptions!$B$5/Assumptions!$B$26)/(Assumptions!$B$50+Assumptions!$B$5/B113),Assumptions!$B$26)-Assumptions!$B$43)</f>
        <v/>
      </c>
      <c r="F113">
        <f>Assumptions!$B$5/B113</f>
        <v/>
      </c>
      <c r="G113">
        <f>Assumptions!$B$8*(((Assumptions!$B$50-Assumptions!$B$51+E113+C113+D113)+F113)/(1-Assumptions!$B$8))-Assumptions!$B$51</f>
        <v/>
      </c>
      <c r="H113">
        <f>MAX(0,G113)</f>
        <v/>
      </c>
      <c r="I113">
        <f>Assumptions!$B$50+E113+H113+C113+D113</f>
        <v/>
      </c>
      <c r="J113">
        <f>I113+F113</f>
        <v/>
      </c>
      <c r="K113">
        <f>Assumptions!$B$50+E113+H113+D113</f>
        <v/>
      </c>
      <c r="L113">
        <f>Assumptions!$B$50+E113+H113+C113</f>
        <v/>
      </c>
      <c r="M113">
        <f>Assumptions!$B$60/K113</f>
        <v/>
      </c>
      <c r="N113">
        <f>B113*(1-Assumptions!$B$61)</f>
        <v/>
      </c>
      <c r="O113">
        <f>MIN(M113,N113)</f>
        <v/>
      </c>
      <c r="P113">
        <f>Assumptions!$B$63/L113</f>
        <v/>
      </c>
      <c r="Q113">
        <f>B113*(1-Assumptions!$B$64)</f>
        <v/>
      </c>
      <c r="R113">
        <f>MIN(P113,Q113)</f>
        <v/>
      </c>
      <c r="S113">
        <f>Assumptions!$B$4/I113</f>
        <v/>
      </c>
      <c r="T113">
        <f>Assumptions!$B$59/O113</f>
        <v/>
      </c>
      <c r="U113">
        <f>Assumptions!$B$62/R113</f>
        <v/>
      </c>
    </row>
    <row r="114">
      <c r="A114" t="n">
        <v>12</v>
      </c>
      <c r="B114">
        <f>S113</f>
        <v/>
      </c>
      <c r="C114">
        <f>T113</f>
        <v/>
      </c>
      <c r="D114">
        <f>U113</f>
        <v/>
      </c>
      <c r="E114">
        <f>MAX(0,Assumptions!$B$34/IF(B114&lt;Assumptions!$B$25,Assumptions!$B$25*(Assumptions!$B$50+Assumptions!$B$5/Assumptions!$B$25)/(Assumptions!$B$50+Assumptions!$B$5/B114),Assumptions!$B$25)-Assumptions!$B$42)+MAX(0,Assumptions!$B$35/IF(B114&lt;Assumptions!$B$26,Assumptions!$B$26*(Assumptions!$B$50+Assumptions!$B$5/Assumptions!$B$26)/(Assumptions!$B$50+Assumptions!$B$5/B114),Assumptions!$B$26)-Assumptions!$B$43)</f>
        <v/>
      </c>
      <c r="F114">
        <f>Assumptions!$B$5/B114</f>
        <v/>
      </c>
      <c r="G114">
        <f>Assumptions!$B$8*(((Assumptions!$B$50-Assumptions!$B$51+E114+C114+D114)+F114)/(1-Assumptions!$B$8))-Assumptions!$B$51</f>
        <v/>
      </c>
      <c r="H114">
        <f>MAX(0,G114)</f>
        <v/>
      </c>
      <c r="I114">
        <f>Assumptions!$B$50+E114+H114+C114+D114</f>
        <v/>
      </c>
      <c r="J114">
        <f>I114+F114</f>
        <v/>
      </c>
      <c r="K114">
        <f>Assumptions!$B$50+E114+H114+D114</f>
        <v/>
      </c>
      <c r="L114">
        <f>Assumptions!$B$50+E114+H114+C114</f>
        <v/>
      </c>
      <c r="M114">
        <f>Assumptions!$B$60/K114</f>
        <v/>
      </c>
      <c r="N114">
        <f>B114*(1-Assumptions!$B$61)</f>
        <v/>
      </c>
      <c r="O114">
        <f>MIN(M114,N114)</f>
        <v/>
      </c>
      <c r="P114">
        <f>Assumptions!$B$63/L114</f>
        <v/>
      </c>
      <c r="Q114">
        <f>B114*(1-Assumptions!$B$64)</f>
        <v/>
      </c>
      <c r="R114">
        <f>MIN(P114,Q114)</f>
        <v/>
      </c>
      <c r="S114">
        <f>Assumptions!$B$4/I114</f>
        <v/>
      </c>
      <c r="T114">
        <f>Assumptions!$B$59/O114</f>
        <v/>
      </c>
      <c r="U114">
        <f>Assumptions!$B$62/R114</f>
        <v/>
      </c>
    </row>
    <row r="115">
      <c r="A115" t="n">
        <v>13</v>
      </c>
      <c r="B115">
        <f>S114</f>
        <v/>
      </c>
      <c r="C115">
        <f>T114</f>
        <v/>
      </c>
      <c r="D115">
        <f>U114</f>
        <v/>
      </c>
      <c r="E115">
        <f>MAX(0,Assumptions!$B$34/IF(B115&lt;Assumptions!$B$25,Assumptions!$B$25*(Assumptions!$B$50+Assumptions!$B$5/Assumptions!$B$25)/(Assumptions!$B$50+Assumptions!$B$5/B115),Assumptions!$B$25)-Assumptions!$B$42)+MAX(0,Assumptions!$B$35/IF(B115&lt;Assumptions!$B$26,Assumptions!$B$26*(Assumptions!$B$50+Assumptions!$B$5/Assumptions!$B$26)/(Assumptions!$B$50+Assumptions!$B$5/B115),Assumptions!$B$26)-Assumptions!$B$43)</f>
        <v/>
      </c>
      <c r="F115">
        <f>Assumptions!$B$5/B115</f>
        <v/>
      </c>
      <c r="G115">
        <f>Assumptions!$B$8*(((Assumptions!$B$50-Assumptions!$B$51+E115+C115+D115)+F115)/(1-Assumptions!$B$8))-Assumptions!$B$51</f>
        <v/>
      </c>
      <c r="H115">
        <f>MAX(0,G115)</f>
        <v/>
      </c>
      <c r="I115">
        <f>Assumptions!$B$50+E115+H115+C115+D115</f>
        <v/>
      </c>
      <c r="J115">
        <f>I115+F115</f>
        <v/>
      </c>
      <c r="K115">
        <f>Assumptions!$B$50+E115+H115+D115</f>
        <v/>
      </c>
      <c r="L115">
        <f>Assumptions!$B$50+E115+H115+C115</f>
        <v/>
      </c>
      <c r="M115">
        <f>Assumptions!$B$60/K115</f>
        <v/>
      </c>
      <c r="N115">
        <f>B115*(1-Assumptions!$B$61)</f>
        <v/>
      </c>
      <c r="O115">
        <f>MIN(M115,N115)</f>
        <v/>
      </c>
      <c r="P115">
        <f>Assumptions!$B$63/L115</f>
        <v/>
      </c>
      <c r="Q115">
        <f>B115*(1-Assumptions!$B$64)</f>
        <v/>
      </c>
      <c r="R115">
        <f>MIN(P115,Q115)</f>
        <v/>
      </c>
      <c r="S115">
        <f>Assumptions!$B$4/I115</f>
        <v/>
      </c>
      <c r="T115">
        <f>Assumptions!$B$59/O115</f>
        <v/>
      </c>
      <c r="U115">
        <f>Assumptions!$B$62/R115</f>
        <v/>
      </c>
    </row>
    <row r="116">
      <c r="A116" t="n">
        <v>14</v>
      </c>
      <c r="B116">
        <f>S115</f>
        <v/>
      </c>
      <c r="C116">
        <f>T115</f>
        <v/>
      </c>
      <c r="D116">
        <f>U115</f>
        <v/>
      </c>
      <c r="E116">
        <f>MAX(0,Assumptions!$B$34/IF(B116&lt;Assumptions!$B$25,Assumptions!$B$25*(Assumptions!$B$50+Assumptions!$B$5/Assumptions!$B$25)/(Assumptions!$B$50+Assumptions!$B$5/B116),Assumptions!$B$25)-Assumptions!$B$42)+MAX(0,Assumptions!$B$35/IF(B116&lt;Assumptions!$B$26,Assumptions!$B$26*(Assumptions!$B$50+Assumptions!$B$5/Assumptions!$B$26)/(Assumptions!$B$50+Assumptions!$B$5/B116),Assumptions!$B$26)-Assumptions!$B$43)</f>
        <v/>
      </c>
      <c r="F116">
        <f>Assumptions!$B$5/B116</f>
        <v/>
      </c>
      <c r="G116">
        <f>Assumptions!$B$8*(((Assumptions!$B$50-Assumptions!$B$51+E116+C116+D116)+F116)/(1-Assumptions!$B$8))-Assumptions!$B$51</f>
        <v/>
      </c>
      <c r="H116">
        <f>MAX(0,G116)</f>
        <v/>
      </c>
      <c r="I116">
        <f>Assumptions!$B$50+E116+H116+C116+D116</f>
        <v/>
      </c>
      <c r="J116">
        <f>I116+F116</f>
        <v/>
      </c>
      <c r="K116">
        <f>Assumptions!$B$50+E116+H116+D116</f>
        <v/>
      </c>
      <c r="L116">
        <f>Assumptions!$B$50+E116+H116+C116</f>
        <v/>
      </c>
      <c r="M116">
        <f>Assumptions!$B$60/K116</f>
        <v/>
      </c>
      <c r="N116">
        <f>B116*(1-Assumptions!$B$61)</f>
        <v/>
      </c>
      <c r="O116">
        <f>MIN(M116,N116)</f>
        <v/>
      </c>
      <c r="P116">
        <f>Assumptions!$B$63/L116</f>
        <v/>
      </c>
      <c r="Q116">
        <f>B116*(1-Assumptions!$B$64)</f>
        <v/>
      </c>
      <c r="R116">
        <f>MIN(P116,Q116)</f>
        <v/>
      </c>
      <c r="S116">
        <f>Assumptions!$B$4/I116</f>
        <v/>
      </c>
      <c r="T116">
        <f>Assumptions!$B$59/O116</f>
        <v/>
      </c>
      <c r="U116">
        <f>Assumptions!$B$62/R116</f>
        <v/>
      </c>
    </row>
    <row r="117">
      <c r="A117" t="n">
        <v>15</v>
      </c>
      <c r="B117">
        <f>S116</f>
        <v/>
      </c>
      <c r="C117">
        <f>T116</f>
        <v/>
      </c>
      <c r="D117">
        <f>U116</f>
        <v/>
      </c>
      <c r="E117">
        <f>MAX(0,Assumptions!$B$34/IF(B117&lt;Assumptions!$B$25,Assumptions!$B$25*(Assumptions!$B$50+Assumptions!$B$5/Assumptions!$B$25)/(Assumptions!$B$50+Assumptions!$B$5/B117),Assumptions!$B$25)-Assumptions!$B$42)+MAX(0,Assumptions!$B$35/IF(B117&lt;Assumptions!$B$26,Assumptions!$B$26*(Assumptions!$B$50+Assumptions!$B$5/Assumptions!$B$26)/(Assumptions!$B$50+Assumptions!$B$5/B117),Assumptions!$B$26)-Assumptions!$B$43)</f>
        <v/>
      </c>
      <c r="F117">
        <f>Assumptions!$B$5/B117</f>
        <v/>
      </c>
      <c r="G117">
        <f>Assumptions!$B$8*(((Assumptions!$B$50-Assumptions!$B$51+E117+C117+D117)+F117)/(1-Assumptions!$B$8))-Assumptions!$B$51</f>
        <v/>
      </c>
      <c r="H117">
        <f>MAX(0,G117)</f>
        <v/>
      </c>
      <c r="I117">
        <f>Assumptions!$B$50+E117+H117+C117+D117</f>
        <v/>
      </c>
      <c r="J117">
        <f>I117+F117</f>
        <v/>
      </c>
      <c r="K117">
        <f>Assumptions!$B$50+E117+H117+D117</f>
        <v/>
      </c>
      <c r="L117">
        <f>Assumptions!$B$50+E117+H117+C117</f>
        <v/>
      </c>
      <c r="M117">
        <f>Assumptions!$B$60/K117</f>
        <v/>
      </c>
      <c r="N117">
        <f>B117*(1-Assumptions!$B$61)</f>
        <v/>
      </c>
      <c r="O117">
        <f>MIN(M117,N117)</f>
        <v/>
      </c>
      <c r="P117">
        <f>Assumptions!$B$63/L117</f>
        <v/>
      </c>
      <c r="Q117">
        <f>B117*(1-Assumptions!$B$64)</f>
        <v/>
      </c>
      <c r="R117">
        <f>MIN(P117,Q117)</f>
        <v/>
      </c>
      <c r="S117">
        <f>Assumptions!$B$4/I117</f>
        <v/>
      </c>
      <c r="T117">
        <f>Assumptions!$B$59/O117</f>
        <v/>
      </c>
      <c r="U117">
        <f>Assumptions!$B$62/R117</f>
        <v/>
      </c>
    </row>
    <row r="118">
      <c r="A118" t="n">
        <v>16</v>
      </c>
      <c r="B118">
        <f>S117</f>
        <v/>
      </c>
      <c r="C118">
        <f>T117</f>
        <v/>
      </c>
      <c r="D118">
        <f>U117</f>
        <v/>
      </c>
      <c r="E118">
        <f>MAX(0,Assumptions!$B$34/IF(B118&lt;Assumptions!$B$25,Assumptions!$B$25*(Assumptions!$B$50+Assumptions!$B$5/Assumptions!$B$25)/(Assumptions!$B$50+Assumptions!$B$5/B118),Assumptions!$B$25)-Assumptions!$B$42)+MAX(0,Assumptions!$B$35/IF(B118&lt;Assumptions!$B$26,Assumptions!$B$26*(Assumptions!$B$50+Assumptions!$B$5/Assumptions!$B$26)/(Assumptions!$B$50+Assumptions!$B$5/B118),Assumptions!$B$26)-Assumptions!$B$43)</f>
        <v/>
      </c>
      <c r="F118">
        <f>Assumptions!$B$5/B118</f>
        <v/>
      </c>
      <c r="G118">
        <f>Assumptions!$B$8*(((Assumptions!$B$50-Assumptions!$B$51+E118+C118+D118)+F118)/(1-Assumptions!$B$8))-Assumptions!$B$51</f>
        <v/>
      </c>
      <c r="H118">
        <f>MAX(0,G118)</f>
        <v/>
      </c>
      <c r="I118">
        <f>Assumptions!$B$50+E118+H118+C118+D118</f>
        <v/>
      </c>
      <c r="J118">
        <f>I118+F118</f>
        <v/>
      </c>
      <c r="K118">
        <f>Assumptions!$B$50+E118+H118+D118</f>
        <v/>
      </c>
      <c r="L118">
        <f>Assumptions!$B$50+E118+H118+C118</f>
        <v/>
      </c>
      <c r="M118">
        <f>Assumptions!$B$60/K118</f>
        <v/>
      </c>
      <c r="N118">
        <f>B118*(1-Assumptions!$B$61)</f>
        <v/>
      </c>
      <c r="O118">
        <f>MIN(M118,N118)</f>
        <v/>
      </c>
      <c r="P118">
        <f>Assumptions!$B$63/L118</f>
        <v/>
      </c>
      <c r="Q118">
        <f>B118*(1-Assumptions!$B$64)</f>
        <v/>
      </c>
      <c r="R118">
        <f>MIN(P118,Q118)</f>
        <v/>
      </c>
      <c r="S118">
        <f>Assumptions!$B$4/I118</f>
        <v/>
      </c>
      <c r="T118">
        <f>Assumptions!$B$59/O118</f>
        <v/>
      </c>
      <c r="U118">
        <f>Assumptions!$B$62/R118</f>
        <v/>
      </c>
    </row>
    <row r="119">
      <c r="A119" t="n">
        <v>17</v>
      </c>
      <c r="B119">
        <f>S118</f>
        <v/>
      </c>
      <c r="C119">
        <f>T118</f>
        <v/>
      </c>
      <c r="D119">
        <f>U118</f>
        <v/>
      </c>
      <c r="E119">
        <f>MAX(0,Assumptions!$B$34/IF(B119&lt;Assumptions!$B$25,Assumptions!$B$25*(Assumptions!$B$50+Assumptions!$B$5/Assumptions!$B$25)/(Assumptions!$B$50+Assumptions!$B$5/B119),Assumptions!$B$25)-Assumptions!$B$42)+MAX(0,Assumptions!$B$35/IF(B119&lt;Assumptions!$B$26,Assumptions!$B$26*(Assumptions!$B$50+Assumptions!$B$5/Assumptions!$B$26)/(Assumptions!$B$50+Assumptions!$B$5/B119),Assumptions!$B$26)-Assumptions!$B$43)</f>
        <v/>
      </c>
      <c r="F119">
        <f>Assumptions!$B$5/B119</f>
        <v/>
      </c>
      <c r="G119">
        <f>Assumptions!$B$8*(((Assumptions!$B$50-Assumptions!$B$51+E119+C119+D119)+F119)/(1-Assumptions!$B$8))-Assumptions!$B$51</f>
        <v/>
      </c>
      <c r="H119">
        <f>MAX(0,G119)</f>
        <v/>
      </c>
      <c r="I119">
        <f>Assumptions!$B$50+E119+H119+C119+D119</f>
        <v/>
      </c>
      <c r="J119">
        <f>I119+F119</f>
        <v/>
      </c>
      <c r="K119">
        <f>Assumptions!$B$50+E119+H119+D119</f>
        <v/>
      </c>
      <c r="L119">
        <f>Assumptions!$B$50+E119+H119+C119</f>
        <v/>
      </c>
      <c r="M119">
        <f>Assumptions!$B$60/K119</f>
        <v/>
      </c>
      <c r="N119">
        <f>B119*(1-Assumptions!$B$61)</f>
        <v/>
      </c>
      <c r="O119">
        <f>MIN(M119,N119)</f>
        <v/>
      </c>
      <c r="P119">
        <f>Assumptions!$B$63/L119</f>
        <v/>
      </c>
      <c r="Q119">
        <f>B119*(1-Assumptions!$B$64)</f>
        <v/>
      </c>
      <c r="R119">
        <f>MIN(P119,Q119)</f>
        <v/>
      </c>
      <c r="S119">
        <f>Assumptions!$B$4/I119</f>
        <v/>
      </c>
      <c r="T119">
        <f>Assumptions!$B$59/O119</f>
        <v/>
      </c>
      <c r="U119">
        <f>Assumptions!$B$62/R119</f>
        <v/>
      </c>
    </row>
    <row r="120">
      <c r="A120" t="n">
        <v>18</v>
      </c>
      <c r="B120">
        <f>S119</f>
        <v/>
      </c>
      <c r="C120">
        <f>T119</f>
        <v/>
      </c>
      <c r="D120">
        <f>U119</f>
        <v/>
      </c>
      <c r="E120">
        <f>MAX(0,Assumptions!$B$34/IF(B120&lt;Assumptions!$B$25,Assumptions!$B$25*(Assumptions!$B$50+Assumptions!$B$5/Assumptions!$B$25)/(Assumptions!$B$50+Assumptions!$B$5/B120),Assumptions!$B$25)-Assumptions!$B$42)+MAX(0,Assumptions!$B$35/IF(B120&lt;Assumptions!$B$26,Assumptions!$B$26*(Assumptions!$B$50+Assumptions!$B$5/Assumptions!$B$26)/(Assumptions!$B$50+Assumptions!$B$5/B120),Assumptions!$B$26)-Assumptions!$B$43)</f>
        <v/>
      </c>
      <c r="F120">
        <f>Assumptions!$B$5/B120</f>
        <v/>
      </c>
      <c r="G120">
        <f>Assumptions!$B$8*(((Assumptions!$B$50-Assumptions!$B$51+E120+C120+D120)+F120)/(1-Assumptions!$B$8))-Assumptions!$B$51</f>
        <v/>
      </c>
      <c r="H120">
        <f>MAX(0,G120)</f>
        <v/>
      </c>
      <c r="I120">
        <f>Assumptions!$B$50+E120+H120+C120+D120</f>
        <v/>
      </c>
      <c r="J120">
        <f>I120+F120</f>
        <v/>
      </c>
      <c r="K120">
        <f>Assumptions!$B$50+E120+H120+D120</f>
        <v/>
      </c>
      <c r="L120">
        <f>Assumptions!$B$50+E120+H120+C120</f>
        <v/>
      </c>
      <c r="M120">
        <f>Assumptions!$B$60/K120</f>
        <v/>
      </c>
      <c r="N120">
        <f>B120*(1-Assumptions!$B$61)</f>
        <v/>
      </c>
      <c r="O120">
        <f>MIN(M120,N120)</f>
        <v/>
      </c>
      <c r="P120">
        <f>Assumptions!$B$63/L120</f>
        <v/>
      </c>
      <c r="Q120">
        <f>B120*(1-Assumptions!$B$64)</f>
        <v/>
      </c>
      <c r="R120">
        <f>MIN(P120,Q120)</f>
        <v/>
      </c>
      <c r="S120">
        <f>Assumptions!$B$4/I120</f>
        <v/>
      </c>
      <c r="T120">
        <f>Assumptions!$B$59/O120</f>
        <v/>
      </c>
      <c r="U120">
        <f>Assumptions!$B$62/R120</f>
        <v/>
      </c>
    </row>
    <row r="121">
      <c r="A121" t="n">
        <v>19</v>
      </c>
      <c r="B121">
        <f>S120</f>
        <v/>
      </c>
      <c r="C121">
        <f>T120</f>
        <v/>
      </c>
      <c r="D121">
        <f>U120</f>
        <v/>
      </c>
      <c r="E121">
        <f>MAX(0,Assumptions!$B$34/IF(B121&lt;Assumptions!$B$25,Assumptions!$B$25*(Assumptions!$B$50+Assumptions!$B$5/Assumptions!$B$25)/(Assumptions!$B$50+Assumptions!$B$5/B121),Assumptions!$B$25)-Assumptions!$B$42)+MAX(0,Assumptions!$B$35/IF(B121&lt;Assumptions!$B$26,Assumptions!$B$26*(Assumptions!$B$50+Assumptions!$B$5/Assumptions!$B$26)/(Assumptions!$B$50+Assumptions!$B$5/B121),Assumptions!$B$26)-Assumptions!$B$43)</f>
        <v/>
      </c>
      <c r="F121">
        <f>Assumptions!$B$5/B121</f>
        <v/>
      </c>
      <c r="G121">
        <f>Assumptions!$B$8*(((Assumptions!$B$50-Assumptions!$B$51+E121+C121+D121)+F121)/(1-Assumptions!$B$8))-Assumptions!$B$51</f>
        <v/>
      </c>
      <c r="H121">
        <f>MAX(0,G121)</f>
        <v/>
      </c>
      <c r="I121">
        <f>Assumptions!$B$50+E121+H121+C121+D121</f>
        <v/>
      </c>
      <c r="J121">
        <f>I121+F121</f>
        <v/>
      </c>
      <c r="K121">
        <f>Assumptions!$B$50+E121+H121+D121</f>
        <v/>
      </c>
      <c r="L121">
        <f>Assumptions!$B$50+E121+H121+C121</f>
        <v/>
      </c>
      <c r="M121">
        <f>Assumptions!$B$60/K121</f>
        <v/>
      </c>
      <c r="N121">
        <f>B121*(1-Assumptions!$B$61)</f>
        <v/>
      </c>
      <c r="O121">
        <f>MIN(M121,N121)</f>
        <v/>
      </c>
      <c r="P121">
        <f>Assumptions!$B$63/L121</f>
        <v/>
      </c>
      <c r="Q121">
        <f>B121*(1-Assumptions!$B$64)</f>
        <v/>
      </c>
      <c r="R121">
        <f>MIN(P121,Q121)</f>
        <v/>
      </c>
      <c r="S121">
        <f>Assumptions!$B$4/I121</f>
        <v/>
      </c>
      <c r="T121">
        <f>Assumptions!$B$59/O121</f>
        <v/>
      </c>
      <c r="U121">
        <f>Assumptions!$B$62/R121</f>
        <v/>
      </c>
    </row>
    <row r="122">
      <c r="A122" t="n">
        <v>20</v>
      </c>
      <c r="B122">
        <f>S121</f>
        <v/>
      </c>
      <c r="C122">
        <f>T121</f>
        <v/>
      </c>
      <c r="D122">
        <f>U121</f>
        <v/>
      </c>
      <c r="E122">
        <f>MAX(0,Assumptions!$B$34/IF(B122&lt;Assumptions!$B$25,Assumptions!$B$25*(Assumptions!$B$50+Assumptions!$B$5/Assumptions!$B$25)/(Assumptions!$B$50+Assumptions!$B$5/B122),Assumptions!$B$25)-Assumptions!$B$42)+MAX(0,Assumptions!$B$35/IF(B122&lt;Assumptions!$B$26,Assumptions!$B$26*(Assumptions!$B$50+Assumptions!$B$5/Assumptions!$B$26)/(Assumptions!$B$50+Assumptions!$B$5/B122),Assumptions!$B$26)-Assumptions!$B$43)</f>
        <v/>
      </c>
      <c r="F122">
        <f>Assumptions!$B$5/B122</f>
        <v/>
      </c>
      <c r="G122">
        <f>Assumptions!$B$8*(((Assumptions!$B$50-Assumptions!$B$51+E122+C122+D122)+F122)/(1-Assumptions!$B$8))-Assumptions!$B$51</f>
        <v/>
      </c>
      <c r="H122">
        <f>MAX(0,G122)</f>
        <v/>
      </c>
      <c r="I122">
        <f>Assumptions!$B$50+E122+H122+C122+D122</f>
        <v/>
      </c>
      <c r="J122">
        <f>I122+F122</f>
        <v/>
      </c>
      <c r="K122">
        <f>Assumptions!$B$50+E122+H122+D122</f>
        <v/>
      </c>
      <c r="L122">
        <f>Assumptions!$B$50+E122+H122+C122</f>
        <v/>
      </c>
      <c r="M122">
        <f>Assumptions!$B$60/K122</f>
        <v/>
      </c>
      <c r="N122">
        <f>B122*(1-Assumptions!$B$61)</f>
        <v/>
      </c>
      <c r="O122">
        <f>MIN(M122,N122)</f>
        <v/>
      </c>
      <c r="P122">
        <f>Assumptions!$B$63/L122</f>
        <v/>
      </c>
      <c r="Q122">
        <f>B122*(1-Assumptions!$B$64)</f>
        <v/>
      </c>
      <c r="R122">
        <f>MIN(P122,Q122)</f>
        <v/>
      </c>
      <c r="S122">
        <f>Assumptions!$B$4/I122</f>
        <v/>
      </c>
      <c r="T122">
        <f>Assumptions!$B$59/O122</f>
        <v/>
      </c>
      <c r="U122">
        <f>Assumptions!$B$62/R122</f>
        <v/>
      </c>
    </row>
    <row r="123">
      <c r="A123" t="n">
        <v>21</v>
      </c>
      <c r="B123">
        <f>S122</f>
        <v/>
      </c>
      <c r="C123">
        <f>T122</f>
        <v/>
      </c>
      <c r="D123">
        <f>U122</f>
        <v/>
      </c>
      <c r="E123">
        <f>MAX(0,Assumptions!$B$34/IF(B123&lt;Assumptions!$B$25,Assumptions!$B$25*(Assumptions!$B$50+Assumptions!$B$5/Assumptions!$B$25)/(Assumptions!$B$50+Assumptions!$B$5/B123),Assumptions!$B$25)-Assumptions!$B$42)+MAX(0,Assumptions!$B$35/IF(B123&lt;Assumptions!$B$26,Assumptions!$B$26*(Assumptions!$B$50+Assumptions!$B$5/Assumptions!$B$26)/(Assumptions!$B$50+Assumptions!$B$5/B123),Assumptions!$B$26)-Assumptions!$B$43)</f>
        <v/>
      </c>
      <c r="F123">
        <f>Assumptions!$B$5/B123</f>
        <v/>
      </c>
      <c r="G123">
        <f>Assumptions!$B$8*(((Assumptions!$B$50-Assumptions!$B$51+E123+C123+D123)+F123)/(1-Assumptions!$B$8))-Assumptions!$B$51</f>
        <v/>
      </c>
      <c r="H123">
        <f>MAX(0,G123)</f>
        <v/>
      </c>
      <c r="I123">
        <f>Assumptions!$B$50+E123+H123+C123+D123</f>
        <v/>
      </c>
      <c r="J123">
        <f>I123+F123</f>
        <v/>
      </c>
      <c r="K123">
        <f>Assumptions!$B$50+E123+H123+D123</f>
        <v/>
      </c>
      <c r="L123">
        <f>Assumptions!$B$50+E123+H123+C123</f>
        <v/>
      </c>
      <c r="M123">
        <f>Assumptions!$B$60/K123</f>
        <v/>
      </c>
      <c r="N123">
        <f>B123*(1-Assumptions!$B$61)</f>
        <v/>
      </c>
      <c r="O123">
        <f>MIN(M123,N123)</f>
        <v/>
      </c>
      <c r="P123">
        <f>Assumptions!$B$63/L123</f>
        <v/>
      </c>
      <c r="Q123">
        <f>B123*(1-Assumptions!$B$64)</f>
        <v/>
      </c>
      <c r="R123">
        <f>MIN(P123,Q123)</f>
        <v/>
      </c>
      <c r="S123">
        <f>Assumptions!$B$4/I123</f>
        <v/>
      </c>
      <c r="T123">
        <f>Assumptions!$B$59/O123</f>
        <v/>
      </c>
      <c r="U123">
        <f>Assumptions!$B$62/R123</f>
        <v/>
      </c>
    </row>
    <row r="124">
      <c r="A124" t="n">
        <v>22</v>
      </c>
      <c r="B124">
        <f>S123</f>
        <v/>
      </c>
      <c r="C124">
        <f>T123</f>
        <v/>
      </c>
      <c r="D124">
        <f>U123</f>
        <v/>
      </c>
      <c r="E124">
        <f>MAX(0,Assumptions!$B$34/IF(B124&lt;Assumptions!$B$25,Assumptions!$B$25*(Assumptions!$B$50+Assumptions!$B$5/Assumptions!$B$25)/(Assumptions!$B$50+Assumptions!$B$5/B124),Assumptions!$B$25)-Assumptions!$B$42)+MAX(0,Assumptions!$B$35/IF(B124&lt;Assumptions!$B$26,Assumptions!$B$26*(Assumptions!$B$50+Assumptions!$B$5/Assumptions!$B$26)/(Assumptions!$B$50+Assumptions!$B$5/B124),Assumptions!$B$26)-Assumptions!$B$43)</f>
        <v/>
      </c>
      <c r="F124">
        <f>Assumptions!$B$5/B124</f>
        <v/>
      </c>
      <c r="G124">
        <f>Assumptions!$B$8*(((Assumptions!$B$50-Assumptions!$B$51+E124+C124+D124)+F124)/(1-Assumptions!$B$8))-Assumptions!$B$51</f>
        <v/>
      </c>
      <c r="H124">
        <f>MAX(0,G124)</f>
        <v/>
      </c>
      <c r="I124">
        <f>Assumptions!$B$50+E124+H124+C124+D124</f>
        <v/>
      </c>
      <c r="J124">
        <f>I124+F124</f>
        <v/>
      </c>
      <c r="K124">
        <f>Assumptions!$B$50+E124+H124+D124</f>
        <v/>
      </c>
      <c r="L124">
        <f>Assumptions!$B$50+E124+H124+C124</f>
        <v/>
      </c>
      <c r="M124">
        <f>Assumptions!$B$60/K124</f>
        <v/>
      </c>
      <c r="N124">
        <f>B124*(1-Assumptions!$B$61)</f>
        <v/>
      </c>
      <c r="O124">
        <f>MIN(M124,N124)</f>
        <v/>
      </c>
      <c r="P124">
        <f>Assumptions!$B$63/L124</f>
        <v/>
      </c>
      <c r="Q124">
        <f>B124*(1-Assumptions!$B$64)</f>
        <v/>
      </c>
      <c r="R124">
        <f>MIN(P124,Q124)</f>
        <v/>
      </c>
      <c r="S124">
        <f>Assumptions!$B$4/I124</f>
        <v/>
      </c>
      <c r="T124">
        <f>Assumptions!$B$59/O124</f>
        <v/>
      </c>
      <c r="U124">
        <f>Assumptions!$B$62/R124</f>
        <v/>
      </c>
    </row>
    <row r="125">
      <c r="A125" t="n">
        <v>23</v>
      </c>
      <c r="B125">
        <f>S124</f>
        <v/>
      </c>
      <c r="C125">
        <f>T124</f>
        <v/>
      </c>
      <c r="D125">
        <f>U124</f>
        <v/>
      </c>
      <c r="E125">
        <f>MAX(0,Assumptions!$B$34/IF(B125&lt;Assumptions!$B$25,Assumptions!$B$25*(Assumptions!$B$50+Assumptions!$B$5/Assumptions!$B$25)/(Assumptions!$B$50+Assumptions!$B$5/B125),Assumptions!$B$25)-Assumptions!$B$42)+MAX(0,Assumptions!$B$35/IF(B125&lt;Assumptions!$B$26,Assumptions!$B$26*(Assumptions!$B$50+Assumptions!$B$5/Assumptions!$B$26)/(Assumptions!$B$50+Assumptions!$B$5/B125),Assumptions!$B$26)-Assumptions!$B$43)</f>
        <v/>
      </c>
      <c r="F125">
        <f>Assumptions!$B$5/B125</f>
        <v/>
      </c>
      <c r="G125">
        <f>Assumptions!$B$8*(((Assumptions!$B$50-Assumptions!$B$51+E125+C125+D125)+F125)/(1-Assumptions!$B$8))-Assumptions!$B$51</f>
        <v/>
      </c>
      <c r="H125">
        <f>MAX(0,G125)</f>
        <v/>
      </c>
      <c r="I125">
        <f>Assumptions!$B$50+E125+H125+C125+D125</f>
        <v/>
      </c>
      <c r="J125">
        <f>I125+F125</f>
        <v/>
      </c>
      <c r="K125">
        <f>Assumptions!$B$50+E125+H125+D125</f>
        <v/>
      </c>
      <c r="L125">
        <f>Assumptions!$B$50+E125+H125+C125</f>
        <v/>
      </c>
      <c r="M125">
        <f>Assumptions!$B$60/K125</f>
        <v/>
      </c>
      <c r="N125">
        <f>B125*(1-Assumptions!$B$61)</f>
        <v/>
      </c>
      <c r="O125">
        <f>MIN(M125,N125)</f>
        <v/>
      </c>
      <c r="P125">
        <f>Assumptions!$B$63/L125</f>
        <v/>
      </c>
      <c r="Q125">
        <f>B125*(1-Assumptions!$B$64)</f>
        <v/>
      </c>
      <c r="R125">
        <f>MIN(P125,Q125)</f>
        <v/>
      </c>
      <c r="S125">
        <f>Assumptions!$B$4/I125</f>
        <v/>
      </c>
      <c r="T125">
        <f>Assumptions!$B$59/O125</f>
        <v/>
      </c>
      <c r="U125">
        <f>Assumptions!$B$62/R125</f>
        <v/>
      </c>
    </row>
    <row r="126">
      <c r="A126" t="n">
        <v>24</v>
      </c>
      <c r="B126">
        <f>S125</f>
        <v/>
      </c>
      <c r="C126">
        <f>T125</f>
        <v/>
      </c>
      <c r="D126">
        <f>U125</f>
        <v/>
      </c>
      <c r="E126">
        <f>MAX(0,Assumptions!$B$34/IF(B126&lt;Assumptions!$B$25,Assumptions!$B$25*(Assumptions!$B$50+Assumptions!$B$5/Assumptions!$B$25)/(Assumptions!$B$50+Assumptions!$B$5/B126),Assumptions!$B$25)-Assumptions!$B$42)+MAX(0,Assumptions!$B$35/IF(B126&lt;Assumptions!$B$26,Assumptions!$B$26*(Assumptions!$B$50+Assumptions!$B$5/Assumptions!$B$26)/(Assumptions!$B$50+Assumptions!$B$5/B126),Assumptions!$B$26)-Assumptions!$B$43)</f>
        <v/>
      </c>
      <c r="F126">
        <f>Assumptions!$B$5/B126</f>
        <v/>
      </c>
      <c r="G126">
        <f>Assumptions!$B$8*(((Assumptions!$B$50-Assumptions!$B$51+E126+C126+D126)+F126)/(1-Assumptions!$B$8))-Assumptions!$B$51</f>
        <v/>
      </c>
      <c r="H126">
        <f>MAX(0,G126)</f>
        <v/>
      </c>
      <c r="I126">
        <f>Assumptions!$B$50+E126+H126+C126+D126</f>
        <v/>
      </c>
      <c r="J126">
        <f>I126+F126</f>
        <v/>
      </c>
      <c r="K126">
        <f>Assumptions!$B$50+E126+H126+D126</f>
        <v/>
      </c>
      <c r="L126">
        <f>Assumptions!$B$50+E126+H126+C126</f>
        <v/>
      </c>
      <c r="M126">
        <f>Assumptions!$B$60/K126</f>
        <v/>
      </c>
      <c r="N126">
        <f>B126*(1-Assumptions!$B$61)</f>
        <v/>
      </c>
      <c r="O126">
        <f>MIN(M126,N126)</f>
        <v/>
      </c>
      <c r="P126">
        <f>Assumptions!$B$63/L126</f>
        <v/>
      </c>
      <c r="Q126">
        <f>B126*(1-Assumptions!$B$64)</f>
        <v/>
      </c>
      <c r="R126">
        <f>MIN(P126,Q126)</f>
        <v/>
      </c>
      <c r="S126">
        <f>Assumptions!$B$4/I126</f>
        <v/>
      </c>
      <c r="T126">
        <f>Assumptions!$B$59/O126</f>
        <v/>
      </c>
      <c r="U126">
        <f>Assumptions!$B$62/R126</f>
        <v/>
      </c>
    </row>
    <row r="127">
      <c r="A127" t="n">
        <v>25</v>
      </c>
      <c r="B127">
        <f>S126</f>
        <v/>
      </c>
      <c r="C127">
        <f>T126</f>
        <v/>
      </c>
      <c r="D127">
        <f>U126</f>
        <v/>
      </c>
      <c r="E127">
        <f>MAX(0,Assumptions!$B$34/IF(B127&lt;Assumptions!$B$25,Assumptions!$B$25*(Assumptions!$B$50+Assumptions!$B$5/Assumptions!$B$25)/(Assumptions!$B$50+Assumptions!$B$5/B127),Assumptions!$B$25)-Assumptions!$B$42)+MAX(0,Assumptions!$B$35/IF(B127&lt;Assumptions!$B$26,Assumptions!$B$26*(Assumptions!$B$50+Assumptions!$B$5/Assumptions!$B$26)/(Assumptions!$B$50+Assumptions!$B$5/B127),Assumptions!$B$26)-Assumptions!$B$43)</f>
        <v/>
      </c>
      <c r="F127">
        <f>Assumptions!$B$5/B127</f>
        <v/>
      </c>
      <c r="G127">
        <f>Assumptions!$B$8*(((Assumptions!$B$50-Assumptions!$B$51+E127+C127+D127)+F127)/(1-Assumptions!$B$8))-Assumptions!$B$51</f>
        <v/>
      </c>
      <c r="H127">
        <f>MAX(0,G127)</f>
        <v/>
      </c>
      <c r="I127">
        <f>Assumptions!$B$50+E127+H127+C127+D127</f>
        <v/>
      </c>
      <c r="J127">
        <f>I127+F127</f>
        <v/>
      </c>
      <c r="K127">
        <f>Assumptions!$B$50+E127+H127+D127</f>
        <v/>
      </c>
      <c r="L127">
        <f>Assumptions!$B$50+E127+H127+C127</f>
        <v/>
      </c>
      <c r="M127">
        <f>Assumptions!$B$60/K127</f>
        <v/>
      </c>
      <c r="N127">
        <f>B127*(1-Assumptions!$B$61)</f>
        <v/>
      </c>
      <c r="O127">
        <f>MIN(M127,N127)</f>
        <v/>
      </c>
      <c r="P127">
        <f>Assumptions!$B$63/L127</f>
        <v/>
      </c>
      <c r="Q127">
        <f>B127*(1-Assumptions!$B$64)</f>
        <v/>
      </c>
      <c r="R127">
        <f>MIN(P127,Q127)</f>
        <v/>
      </c>
      <c r="S127">
        <f>Assumptions!$B$4/I127</f>
        <v/>
      </c>
      <c r="T127">
        <f>Assumptions!$B$59/O127</f>
        <v/>
      </c>
      <c r="U127">
        <f>Assumptions!$B$62/R127</f>
        <v/>
      </c>
    </row>
    <row r="128">
      <c r="A128" t="n">
        <v>26</v>
      </c>
      <c r="B128">
        <f>S127</f>
        <v/>
      </c>
      <c r="C128">
        <f>T127</f>
        <v/>
      </c>
      <c r="D128">
        <f>U127</f>
        <v/>
      </c>
      <c r="E128">
        <f>MAX(0,Assumptions!$B$34/IF(B128&lt;Assumptions!$B$25,Assumptions!$B$25*(Assumptions!$B$50+Assumptions!$B$5/Assumptions!$B$25)/(Assumptions!$B$50+Assumptions!$B$5/B128),Assumptions!$B$25)-Assumptions!$B$42)+MAX(0,Assumptions!$B$35/IF(B128&lt;Assumptions!$B$26,Assumptions!$B$26*(Assumptions!$B$50+Assumptions!$B$5/Assumptions!$B$26)/(Assumptions!$B$50+Assumptions!$B$5/B128),Assumptions!$B$26)-Assumptions!$B$43)</f>
        <v/>
      </c>
      <c r="F128">
        <f>Assumptions!$B$5/B128</f>
        <v/>
      </c>
      <c r="G128">
        <f>Assumptions!$B$8*(((Assumptions!$B$50-Assumptions!$B$51+E128+C128+D128)+F128)/(1-Assumptions!$B$8))-Assumptions!$B$51</f>
        <v/>
      </c>
      <c r="H128">
        <f>MAX(0,G128)</f>
        <v/>
      </c>
      <c r="I128">
        <f>Assumptions!$B$50+E128+H128+C128+D128</f>
        <v/>
      </c>
      <c r="J128">
        <f>I128+F128</f>
        <v/>
      </c>
      <c r="K128">
        <f>Assumptions!$B$50+E128+H128+D128</f>
        <v/>
      </c>
      <c r="L128">
        <f>Assumptions!$B$50+E128+H128+C128</f>
        <v/>
      </c>
      <c r="M128">
        <f>Assumptions!$B$60/K128</f>
        <v/>
      </c>
      <c r="N128">
        <f>B128*(1-Assumptions!$B$61)</f>
        <v/>
      </c>
      <c r="O128">
        <f>MIN(M128,N128)</f>
        <v/>
      </c>
      <c r="P128">
        <f>Assumptions!$B$63/L128</f>
        <v/>
      </c>
      <c r="Q128">
        <f>B128*(1-Assumptions!$B$64)</f>
        <v/>
      </c>
      <c r="R128">
        <f>MIN(P128,Q128)</f>
        <v/>
      </c>
      <c r="S128">
        <f>Assumptions!$B$4/I128</f>
        <v/>
      </c>
      <c r="T128">
        <f>Assumptions!$B$59/O128</f>
        <v/>
      </c>
      <c r="U128">
        <f>Assumptions!$B$62/R128</f>
        <v/>
      </c>
    </row>
    <row r="129">
      <c r="A129" t="n">
        <v>27</v>
      </c>
      <c r="B129">
        <f>S128</f>
        <v/>
      </c>
      <c r="C129">
        <f>T128</f>
        <v/>
      </c>
      <c r="D129">
        <f>U128</f>
        <v/>
      </c>
      <c r="E129">
        <f>MAX(0,Assumptions!$B$34/IF(B129&lt;Assumptions!$B$25,Assumptions!$B$25*(Assumptions!$B$50+Assumptions!$B$5/Assumptions!$B$25)/(Assumptions!$B$50+Assumptions!$B$5/B129),Assumptions!$B$25)-Assumptions!$B$42)+MAX(0,Assumptions!$B$35/IF(B129&lt;Assumptions!$B$26,Assumptions!$B$26*(Assumptions!$B$50+Assumptions!$B$5/Assumptions!$B$26)/(Assumptions!$B$50+Assumptions!$B$5/B129),Assumptions!$B$26)-Assumptions!$B$43)</f>
        <v/>
      </c>
      <c r="F129">
        <f>Assumptions!$B$5/B129</f>
        <v/>
      </c>
      <c r="G129">
        <f>Assumptions!$B$8*(((Assumptions!$B$50-Assumptions!$B$51+E129+C129+D129)+F129)/(1-Assumptions!$B$8))-Assumptions!$B$51</f>
        <v/>
      </c>
      <c r="H129">
        <f>MAX(0,G129)</f>
        <v/>
      </c>
      <c r="I129">
        <f>Assumptions!$B$50+E129+H129+C129+D129</f>
        <v/>
      </c>
      <c r="J129">
        <f>I129+F129</f>
        <v/>
      </c>
      <c r="K129">
        <f>Assumptions!$B$50+E129+H129+D129</f>
        <v/>
      </c>
      <c r="L129">
        <f>Assumptions!$B$50+E129+H129+C129</f>
        <v/>
      </c>
      <c r="M129">
        <f>Assumptions!$B$60/K129</f>
        <v/>
      </c>
      <c r="N129">
        <f>B129*(1-Assumptions!$B$61)</f>
        <v/>
      </c>
      <c r="O129">
        <f>MIN(M129,N129)</f>
        <v/>
      </c>
      <c r="P129">
        <f>Assumptions!$B$63/L129</f>
        <v/>
      </c>
      <c r="Q129">
        <f>B129*(1-Assumptions!$B$64)</f>
        <v/>
      </c>
      <c r="R129">
        <f>MIN(P129,Q129)</f>
        <v/>
      </c>
      <c r="S129">
        <f>Assumptions!$B$4/I129</f>
        <v/>
      </c>
      <c r="T129">
        <f>Assumptions!$B$59/O129</f>
        <v/>
      </c>
      <c r="U129">
        <f>Assumptions!$B$62/R129</f>
        <v/>
      </c>
    </row>
    <row r="130">
      <c r="A130" t="n">
        <v>28</v>
      </c>
      <c r="B130">
        <f>S129</f>
        <v/>
      </c>
      <c r="C130">
        <f>T129</f>
        <v/>
      </c>
      <c r="D130">
        <f>U129</f>
        <v/>
      </c>
      <c r="E130">
        <f>MAX(0,Assumptions!$B$34/IF(B130&lt;Assumptions!$B$25,Assumptions!$B$25*(Assumptions!$B$50+Assumptions!$B$5/Assumptions!$B$25)/(Assumptions!$B$50+Assumptions!$B$5/B130),Assumptions!$B$25)-Assumptions!$B$42)+MAX(0,Assumptions!$B$35/IF(B130&lt;Assumptions!$B$26,Assumptions!$B$26*(Assumptions!$B$50+Assumptions!$B$5/Assumptions!$B$26)/(Assumptions!$B$50+Assumptions!$B$5/B130),Assumptions!$B$26)-Assumptions!$B$43)</f>
        <v/>
      </c>
      <c r="F130">
        <f>Assumptions!$B$5/B130</f>
        <v/>
      </c>
      <c r="G130">
        <f>Assumptions!$B$8*(((Assumptions!$B$50-Assumptions!$B$51+E130+C130+D130)+F130)/(1-Assumptions!$B$8))-Assumptions!$B$51</f>
        <v/>
      </c>
      <c r="H130">
        <f>MAX(0,G130)</f>
        <v/>
      </c>
      <c r="I130">
        <f>Assumptions!$B$50+E130+H130+C130+D130</f>
        <v/>
      </c>
      <c r="J130">
        <f>I130+F130</f>
        <v/>
      </c>
      <c r="K130">
        <f>Assumptions!$B$50+E130+H130+D130</f>
        <v/>
      </c>
      <c r="L130">
        <f>Assumptions!$B$50+E130+H130+C130</f>
        <v/>
      </c>
      <c r="M130">
        <f>Assumptions!$B$60/K130</f>
        <v/>
      </c>
      <c r="N130">
        <f>B130*(1-Assumptions!$B$61)</f>
        <v/>
      </c>
      <c r="O130">
        <f>MIN(M130,N130)</f>
        <v/>
      </c>
      <c r="P130">
        <f>Assumptions!$B$63/L130</f>
        <v/>
      </c>
      <c r="Q130">
        <f>B130*(1-Assumptions!$B$64)</f>
        <v/>
      </c>
      <c r="R130">
        <f>MIN(P130,Q130)</f>
        <v/>
      </c>
      <c r="S130">
        <f>Assumptions!$B$4/I130</f>
        <v/>
      </c>
      <c r="T130">
        <f>Assumptions!$B$59/O130</f>
        <v/>
      </c>
      <c r="U130">
        <f>Assumptions!$B$62/R130</f>
        <v/>
      </c>
    </row>
    <row r="131">
      <c r="A131" t="n">
        <v>29</v>
      </c>
      <c r="B131">
        <f>S130</f>
        <v/>
      </c>
      <c r="C131">
        <f>T130</f>
        <v/>
      </c>
      <c r="D131">
        <f>U130</f>
        <v/>
      </c>
      <c r="E131">
        <f>MAX(0,Assumptions!$B$34/IF(B131&lt;Assumptions!$B$25,Assumptions!$B$25*(Assumptions!$B$50+Assumptions!$B$5/Assumptions!$B$25)/(Assumptions!$B$50+Assumptions!$B$5/B131),Assumptions!$B$25)-Assumptions!$B$42)+MAX(0,Assumptions!$B$35/IF(B131&lt;Assumptions!$B$26,Assumptions!$B$26*(Assumptions!$B$50+Assumptions!$B$5/Assumptions!$B$26)/(Assumptions!$B$50+Assumptions!$B$5/B131),Assumptions!$B$26)-Assumptions!$B$43)</f>
        <v/>
      </c>
      <c r="F131">
        <f>Assumptions!$B$5/B131</f>
        <v/>
      </c>
      <c r="G131">
        <f>Assumptions!$B$8*(((Assumptions!$B$50-Assumptions!$B$51+E131+C131+D131)+F131)/(1-Assumptions!$B$8))-Assumptions!$B$51</f>
        <v/>
      </c>
      <c r="H131">
        <f>MAX(0,G131)</f>
        <v/>
      </c>
      <c r="I131">
        <f>Assumptions!$B$50+E131+H131+C131+D131</f>
        <v/>
      </c>
      <c r="J131">
        <f>I131+F131</f>
        <v/>
      </c>
      <c r="K131">
        <f>Assumptions!$B$50+E131+H131+D131</f>
        <v/>
      </c>
      <c r="L131">
        <f>Assumptions!$B$50+E131+H131+C131</f>
        <v/>
      </c>
      <c r="M131">
        <f>Assumptions!$B$60/K131</f>
        <v/>
      </c>
      <c r="N131">
        <f>B131*(1-Assumptions!$B$61)</f>
        <v/>
      </c>
      <c r="O131">
        <f>MIN(M131,N131)</f>
        <v/>
      </c>
      <c r="P131">
        <f>Assumptions!$B$63/L131</f>
        <v/>
      </c>
      <c r="Q131">
        <f>B131*(1-Assumptions!$B$64)</f>
        <v/>
      </c>
      <c r="R131">
        <f>MIN(P131,Q131)</f>
        <v/>
      </c>
      <c r="S131">
        <f>Assumptions!$B$4/I131</f>
        <v/>
      </c>
      <c r="T131">
        <f>Assumptions!$B$59/O131</f>
        <v/>
      </c>
      <c r="U131">
        <f>Assumptions!$B$62/R131</f>
        <v/>
      </c>
    </row>
    <row r="132">
      <c r="A132" t="n">
        <v>30</v>
      </c>
      <c r="B132">
        <f>S131</f>
        <v/>
      </c>
      <c r="C132">
        <f>T131</f>
        <v/>
      </c>
      <c r="D132">
        <f>U131</f>
        <v/>
      </c>
      <c r="E132">
        <f>MAX(0,Assumptions!$B$34/IF(B132&lt;Assumptions!$B$25,Assumptions!$B$25*(Assumptions!$B$50+Assumptions!$B$5/Assumptions!$B$25)/(Assumptions!$B$50+Assumptions!$B$5/B132),Assumptions!$B$25)-Assumptions!$B$42)+MAX(0,Assumptions!$B$35/IF(B132&lt;Assumptions!$B$26,Assumptions!$B$26*(Assumptions!$B$50+Assumptions!$B$5/Assumptions!$B$26)/(Assumptions!$B$50+Assumptions!$B$5/B132),Assumptions!$B$26)-Assumptions!$B$43)</f>
        <v/>
      </c>
      <c r="F132">
        <f>Assumptions!$B$5/B132</f>
        <v/>
      </c>
      <c r="G132">
        <f>Assumptions!$B$8*(((Assumptions!$B$50-Assumptions!$B$51+E132+C132+D132)+F132)/(1-Assumptions!$B$8))-Assumptions!$B$51</f>
        <v/>
      </c>
      <c r="H132">
        <f>MAX(0,G132)</f>
        <v/>
      </c>
      <c r="I132">
        <f>Assumptions!$B$50+E132+H132+C132+D132</f>
        <v/>
      </c>
      <c r="J132">
        <f>I132+F132</f>
        <v/>
      </c>
      <c r="K132">
        <f>Assumptions!$B$50+E132+H132+D132</f>
        <v/>
      </c>
      <c r="L132">
        <f>Assumptions!$B$50+E132+H132+C132</f>
        <v/>
      </c>
      <c r="M132">
        <f>Assumptions!$B$60/K132</f>
        <v/>
      </c>
      <c r="N132">
        <f>B132*(1-Assumptions!$B$61)</f>
        <v/>
      </c>
      <c r="O132">
        <f>MIN(M132,N132)</f>
        <v/>
      </c>
      <c r="P132">
        <f>Assumptions!$B$63/L132</f>
        <v/>
      </c>
      <c r="Q132">
        <f>B132*(1-Assumptions!$B$64)</f>
        <v/>
      </c>
      <c r="R132">
        <f>MIN(P132,Q132)</f>
        <v/>
      </c>
      <c r="S132">
        <f>Assumptions!$B$4/I132</f>
        <v/>
      </c>
      <c r="T132">
        <f>Assumptions!$B$59/O132</f>
        <v/>
      </c>
      <c r="U132">
        <f>Assumptions!$B$62/R132</f>
        <v/>
      </c>
    </row>
    <row r="133">
      <c r="A133" t="n">
        <v>31</v>
      </c>
      <c r="B133">
        <f>S132</f>
        <v/>
      </c>
      <c r="C133">
        <f>T132</f>
        <v/>
      </c>
      <c r="D133">
        <f>U132</f>
        <v/>
      </c>
      <c r="E133">
        <f>MAX(0,Assumptions!$B$34/IF(B133&lt;Assumptions!$B$25,Assumptions!$B$25*(Assumptions!$B$50+Assumptions!$B$5/Assumptions!$B$25)/(Assumptions!$B$50+Assumptions!$B$5/B133),Assumptions!$B$25)-Assumptions!$B$42)+MAX(0,Assumptions!$B$35/IF(B133&lt;Assumptions!$B$26,Assumptions!$B$26*(Assumptions!$B$50+Assumptions!$B$5/Assumptions!$B$26)/(Assumptions!$B$50+Assumptions!$B$5/B133),Assumptions!$B$26)-Assumptions!$B$43)</f>
        <v/>
      </c>
      <c r="F133">
        <f>Assumptions!$B$5/B133</f>
        <v/>
      </c>
      <c r="G133">
        <f>Assumptions!$B$8*(((Assumptions!$B$50-Assumptions!$B$51+E133+C133+D133)+F133)/(1-Assumptions!$B$8))-Assumptions!$B$51</f>
        <v/>
      </c>
      <c r="H133">
        <f>MAX(0,G133)</f>
        <v/>
      </c>
      <c r="I133">
        <f>Assumptions!$B$50+E133+H133+C133+D133</f>
        <v/>
      </c>
      <c r="J133">
        <f>I133+F133</f>
        <v/>
      </c>
      <c r="K133">
        <f>Assumptions!$B$50+E133+H133+D133</f>
        <v/>
      </c>
      <c r="L133">
        <f>Assumptions!$B$50+E133+H133+C133</f>
        <v/>
      </c>
      <c r="M133">
        <f>Assumptions!$B$60/K133</f>
        <v/>
      </c>
      <c r="N133">
        <f>B133*(1-Assumptions!$B$61)</f>
        <v/>
      </c>
      <c r="O133">
        <f>MIN(M133,N133)</f>
        <v/>
      </c>
      <c r="P133">
        <f>Assumptions!$B$63/L133</f>
        <v/>
      </c>
      <c r="Q133">
        <f>B133*(1-Assumptions!$B$64)</f>
        <v/>
      </c>
      <c r="R133">
        <f>MIN(P133,Q133)</f>
        <v/>
      </c>
      <c r="S133">
        <f>Assumptions!$B$4/I133</f>
        <v/>
      </c>
      <c r="T133">
        <f>Assumptions!$B$59/O133</f>
        <v/>
      </c>
      <c r="U133">
        <f>Assumptions!$B$62/R133</f>
        <v/>
      </c>
    </row>
    <row r="134">
      <c r="A134" t="n">
        <v>32</v>
      </c>
      <c r="B134">
        <f>S133</f>
        <v/>
      </c>
      <c r="C134">
        <f>T133</f>
        <v/>
      </c>
      <c r="D134">
        <f>U133</f>
        <v/>
      </c>
      <c r="E134">
        <f>MAX(0,Assumptions!$B$34/IF(B134&lt;Assumptions!$B$25,Assumptions!$B$25*(Assumptions!$B$50+Assumptions!$B$5/Assumptions!$B$25)/(Assumptions!$B$50+Assumptions!$B$5/B134),Assumptions!$B$25)-Assumptions!$B$42)+MAX(0,Assumptions!$B$35/IF(B134&lt;Assumptions!$B$26,Assumptions!$B$26*(Assumptions!$B$50+Assumptions!$B$5/Assumptions!$B$26)/(Assumptions!$B$50+Assumptions!$B$5/B134),Assumptions!$B$26)-Assumptions!$B$43)</f>
        <v/>
      </c>
      <c r="F134">
        <f>Assumptions!$B$5/B134</f>
        <v/>
      </c>
      <c r="G134">
        <f>Assumptions!$B$8*(((Assumptions!$B$50-Assumptions!$B$51+E134+C134+D134)+F134)/(1-Assumptions!$B$8))-Assumptions!$B$51</f>
        <v/>
      </c>
      <c r="H134">
        <f>MAX(0,G134)</f>
        <v/>
      </c>
      <c r="I134">
        <f>Assumptions!$B$50+E134+H134+C134+D134</f>
        <v/>
      </c>
      <c r="J134">
        <f>I134+F134</f>
        <v/>
      </c>
      <c r="K134">
        <f>Assumptions!$B$50+E134+H134+D134</f>
        <v/>
      </c>
      <c r="L134">
        <f>Assumptions!$B$50+E134+H134+C134</f>
        <v/>
      </c>
      <c r="M134">
        <f>Assumptions!$B$60/K134</f>
        <v/>
      </c>
      <c r="N134">
        <f>B134*(1-Assumptions!$B$61)</f>
        <v/>
      </c>
      <c r="O134">
        <f>MIN(M134,N134)</f>
        <v/>
      </c>
      <c r="P134">
        <f>Assumptions!$B$63/L134</f>
        <v/>
      </c>
      <c r="Q134">
        <f>B134*(1-Assumptions!$B$64)</f>
        <v/>
      </c>
      <c r="R134">
        <f>MIN(P134,Q134)</f>
        <v/>
      </c>
      <c r="S134">
        <f>Assumptions!$B$4/I134</f>
        <v/>
      </c>
      <c r="T134">
        <f>Assumptions!$B$59/O134</f>
        <v/>
      </c>
      <c r="U134">
        <f>Assumptions!$B$62/R134</f>
        <v/>
      </c>
    </row>
    <row r="135">
      <c r="A135" t="n">
        <v>33</v>
      </c>
      <c r="B135">
        <f>S134</f>
        <v/>
      </c>
      <c r="C135">
        <f>T134</f>
        <v/>
      </c>
      <c r="D135">
        <f>U134</f>
        <v/>
      </c>
      <c r="E135">
        <f>MAX(0,Assumptions!$B$34/IF(B135&lt;Assumptions!$B$25,Assumptions!$B$25*(Assumptions!$B$50+Assumptions!$B$5/Assumptions!$B$25)/(Assumptions!$B$50+Assumptions!$B$5/B135),Assumptions!$B$25)-Assumptions!$B$42)+MAX(0,Assumptions!$B$35/IF(B135&lt;Assumptions!$B$26,Assumptions!$B$26*(Assumptions!$B$50+Assumptions!$B$5/Assumptions!$B$26)/(Assumptions!$B$50+Assumptions!$B$5/B135),Assumptions!$B$26)-Assumptions!$B$43)</f>
        <v/>
      </c>
      <c r="F135">
        <f>Assumptions!$B$5/B135</f>
        <v/>
      </c>
      <c r="G135">
        <f>Assumptions!$B$8*(((Assumptions!$B$50-Assumptions!$B$51+E135+C135+D135)+F135)/(1-Assumptions!$B$8))-Assumptions!$B$51</f>
        <v/>
      </c>
      <c r="H135">
        <f>MAX(0,G135)</f>
        <v/>
      </c>
      <c r="I135">
        <f>Assumptions!$B$50+E135+H135+C135+D135</f>
        <v/>
      </c>
      <c r="J135">
        <f>I135+F135</f>
        <v/>
      </c>
      <c r="K135">
        <f>Assumptions!$B$50+E135+H135+D135</f>
        <v/>
      </c>
      <c r="L135">
        <f>Assumptions!$B$50+E135+H135+C135</f>
        <v/>
      </c>
      <c r="M135">
        <f>Assumptions!$B$60/K135</f>
        <v/>
      </c>
      <c r="N135">
        <f>B135*(1-Assumptions!$B$61)</f>
        <v/>
      </c>
      <c r="O135">
        <f>MIN(M135,N135)</f>
        <v/>
      </c>
      <c r="P135">
        <f>Assumptions!$B$63/L135</f>
        <v/>
      </c>
      <c r="Q135">
        <f>B135*(1-Assumptions!$B$64)</f>
        <v/>
      </c>
      <c r="R135">
        <f>MIN(P135,Q135)</f>
        <v/>
      </c>
      <c r="S135">
        <f>Assumptions!$B$4/I135</f>
        <v/>
      </c>
      <c r="T135">
        <f>Assumptions!$B$59/O135</f>
        <v/>
      </c>
      <c r="U135">
        <f>Assumptions!$B$62/R135</f>
        <v/>
      </c>
    </row>
    <row r="136">
      <c r="A136" t="n">
        <v>34</v>
      </c>
      <c r="B136">
        <f>S135</f>
        <v/>
      </c>
      <c r="C136">
        <f>T135</f>
        <v/>
      </c>
      <c r="D136">
        <f>U135</f>
        <v/>
      </c>
      <c r="E136">
        <f>MAX(0,Assumptions!$B$34/IF(B136&lt;Assumptions!$B$25,Assumptions!$B$25*(Assumptions!$B$50+Assumptions!$B$5/Assumptions!$B$25)/(Assumptions!$B$50+Assumptions!$B$5/B136),Assumptions!$B$25)-Assumptions!$B$42)+MAX(0,Assumptions!$B$35/IF(B136&lt;Assumptions!$B$26,Assumptions!$B$26*(Assumptions!$B$50+Assumptions!$B$5/Assumptions!$B$26)/(Assumptions!$B$50+Assumptions!$B$5/B136),Assumptions!$B$26)-Assumptions!$B$43)</f>
        <v/>
      </c>
      <c r="F136">
        <f>Assumptions!$B$5/B136</f>
        <v/>
      </c>
      <c r="G136">
        <f>Assumptions!$B$8*(((Assumptions!$B$50-Assumptions!$B$51+E136+C136+D136)+F136)/(1-Assumptions!$B$8))-Assumptions!$B$51</f>
        <v/>
      </c>
      <c r="H136">
        <f>MAX(0,G136)</f>
        <v/>
      </c>
      <c r="I136">
        <f>Assumptions!$B$50+E136+H136+C136+D136</f>
        <v/>
      </c>
      <c r="J136">
        <f>I136+F136</f>
        <v/>
      </c>
      <c r="K136">
        <f>Assumptions!$B$50+E136+H136+D136</f>
        <v/>
      </c>
      <c r="L136">
        <f>Assumptions!$B$50+E136+H136+C136</f>
        <v/>
      </c>
      <c r="M136">
        <f>Assumptions!$B$60/K136</f>
        <v/>
      </c>
      <c r="N136">
        <f>B136*(1-Assumptions!$B$61)</f>
        <v/>
      </c>
      <c r="O136">
        <f>MIN(M136,N136)</f>
        <v/>
      </c>
      <c r="P136">
        <f>Assumptions!$B$63/L136</f>
        <v/>
      </c>
      <c r="Q136">
        <f>B136*(1-Assumptions!$B$64)</f>
        <v/>
      </c>
      <c r="R136">
        <f>MIN(P136,Q136)</f>
        <v/>
      </c>
      <c r="S136">
        <f>Assumptions!$B$4/I136</f>
        <v/>
      </c>
      <c r="T136">
        <f>Assumptions!$B$59/O136</f>
        <v/>
      </c>
      <c r="U136">
        <f>Assumptions!$B$62/R136</f>
        <v/>
      </c>
    </row>
    <row r="137">
      <c r="A137" t="n">
        <v>35</v>
      </c>
      <c r="B137">
        <f>S136</f>
        <v/>
      </c>
      <c r="C137">
        <f>T136</f>
        <v/>
      </c>
      <c r="D137">
        <f>U136</f>
        <v/>
      </c>
      <c r="E137">
        <f>MAX(0,Assumptions!$B$34/IF(B137&lt;Assumptions!$B$25,Assumptions!$B$25*(Assumptions!$B$50+Assumptions!$B$5/Assumptions!$B$25)/(Assumptions!$B$50+Assumptions!$B$5/B137),Assumptions!$B$25)-Assumptions!$B$42)+MAX(0,Assumptions!$B$35/IF(B137&lt;Assumptions!$B$26,Assumptions!$B$26*(Assumptions!$B$50+Assumptions!$B$5/Assumptions!$B$26)/(Assumptions!$B$50+Assumptions!$B$5/B137),Assumptions!$B$26)-Assumptions!$B$43)</f>
        <v/>
      </c>
      <c r="F137">
        <f>Assumptions!$B$5/B137</f>
        <v/>
      </c>
      <c r="G137">
        <f>Assumptions!$B$8*(((Assumptions!$B$50-Assumptions!$B$51+E137+C137+D137)+F137)/(1-Assumptions!$B$8))-Assumptions!$B$51</f>
        <v/>
      </c>
      <c r="H137">
        <f>MAX(0,G137)</f>
        <v/>
      </c>
      <c r="I137">
        <f>Assumptions!$B$50+E137+H137+C137+D137</f>
        <v/>
      </c>
      <c r="J137">
        <f>I137+F137</f>
        <v/>
      </c>
      <c r="K137">
        <f>Assumptions!$B$50+E137+H137+D137</f>
        <v/>
      </c>
      <c r="L137">
        <f>Assumptions!$B$50+E137+H137+C137</f>
        <v/>
      </c>
      <c r="M137">
        <f>Assumptions!$B$60/K137</f>
        <v/>
      </c>
      <c r="N137">
        <f>B137*(1-Assumptions!$B$61)</f>
        <v/>
      </c>
      <c r="O137">
        <f>MIN(M137,N137)</f>
        <v/>
      </c>
      <c r="P137">
        <f>Assumptions!$B$63/L137</f>
        <v/>
      </c>
      <c r="Q137">
        <f>B137*(1-Assumptions!$B$64)</f>
        <v/>
      </c>
      <c r="R137">
        <f>MIN(P137,Q137)</f>
        <v/>
      </c>
      <c r="S137">
        <f>Assumptions!$B$4/I137</f>
        <v/>
      </c>
      <c r="T137">
        <f>Assumptions!$B$59/O137</f>
        <v/>
      </c>
      <c r="U137">
        <f>Assumptions!$B$62/R137</f>
        <v/>
      </c>
    </row>
    <row r="138">
      <c r="A138" t="n">
        <v>36</v>
      </c>
      <c r="B138">
        <f>S137</f>
        <v/>
      </c>
      <c r="C138">
        <f>T137</f>
        <v/>
      </c>
      <c r="D138">
        <f>U137</f>
        <v/>
      </c>
      <c r="E138">
        <f>MAX(0,Assumptions!$B$34/IF(B138&lt;Assumptions!$B$25,Assumptions!$B$25*(Assumptions!$B$50+Assumptions!$B$5/Assumptions!$B$25)/(Assumptions!$B$50+Assumptions!$B$5/B138),Assumptions!$B$25)-Assumptions!$B$42)+MAX(0,Assumptions!$B$35/IF(B138&lt;Assumptions!$B$26,Assumptions!$B$26*(Assumptions!$B$50+Assumptions!$B$5/Assumptions!$B$26)/(Assumptions!$B$50+Assumptions!$B$5/B138),Assumptions!$B$26)-Assumptions!$B$43)</f>
        <v/>
      </c>
      <c r="F138">
        <f>Assumptions!$B$5/B138</f>
        <v/>
      </c>
      <c r="G138">
        <f>Assumptions!$B$8*(((Assumptions!$B$50-Assumptions!$B$51+E138+C138+D138)+F138)/(1-Assumptions!$B$8))-Assumptions!$B$51</f>
        <v/>
      </c>
      <c r="H138">
        <f>MAX(0,G138)</f>
        <v/>
      </c>
      <c r="I138">
        <f>Assumptions!$B$50+E138+H138+C138+D138</f>
        <v/>
      </c>
      <c r="J138">
        <f>I138+F138</f>
        <v/>
      </c>
      <c r="K138">
        <f>Assumptions!$B$50+E138+H138+D138</f>
        <v/>
      </c>
      <c r="L138">
        <f>Assumptions!$B$50+E138+H138+C138</f>
        <v/>
      </c>
      <c r="M138">
        <f>Assumptions!$B$60/K138</f>
        <v/>
      </c>
      <c r="N138">
        <f>B138*(1-Assumptions!$B$61)</f>
        <v/>
      </c>
      <c r="O138">
        <f>MIN(M138,N138)</f>
        <v/>
      </c>
      <c r="P138">
        <f>Assumptions!$B$63/L138</f>
        <v/>
      </c>
      <c r="Q138">
        <f>B138*(1-Assumptions!$B$64)</f>
        <v/>
      </c>
      <c r="R138">
        <f>MIN(P138,Q138)</f>
        <v/>
      </c>
      <c r="S138">
        <f>Assumptions!$B$4/I138</f>
        <v/>
      </c>
      <c r="T138">
        <f>Assumptions!$B$59/O138</f>
        <v/>
      </c>
      <c r="U138">
        <f>Assumptions!$B$62/R138</f>
        <v/>
      </c>
    </row>
    <row r="139">
      <c r="A139" t="n">
        <v>37</v>
      </c>
      <c r="B139">
        <f>S138</f>
        <v/>
      </c>
      <c r="C139">
        <f>T138</f>
        <v/>
      </c>
      <c r="D139">
        <f>U138</f>
        <v/>
      </c>
      <c r="E139">
        <f>MAX(0,Assumptions!$B$34/IF(B139&lt;Assumptions!$B$25,Assumptions!$B$25*(Assumptions!$B$50+Assumptions!$B$5/Assumptions!$B$25)/(Assumptions!$B$50+Assumptions!$B$5/B139),Assumptions!$B$25)-Assumptions!$B$42)+MAX(0,Assumptions!$B$35/IF(B139&lt;Assumptions!$B$26,Assumptions!$B$26*(Assumptions!$B$50+Assumptions!$B$5/Assumptions!$B$26)/(Assumptions!$B$50+Assumptions!$B$5/B139),Assumptions!$B$26)-Assumptions!$B$43)</f>
        <v/>
      </c>
      <c r="F139">
        <f>Assumptions!$B$5/B139</f>
        <v/>
      </c>
      <c r="G139">
        <f>Assumptions!$B$8*(((Assumptions!$B$50-Assumptions!$B$51+E139+C139+D139)+F139)/(1-Assumptions!$B$8))-Assumptions!$B$51</f>
        <v/>
      </c>
      <c r="H139">
        <f>MAX(0,G139)</f>
        <v/>
      </c>
      <c r="I139">
        <f>Assumptions!$B$50+E139+H139+C139+D139</f>
        <v/>
      </c>
      <c r="J139">
        <f>I139+F139</f>
        <v/>
      </c>
      <c r="K139">
        <f>Assumptions!$B$50+E139+H139+D139</f>
        <v/>
      </c>
      <c r="L139">
        <f>Assumptions!$B$50+E139+H139+C139</f>
        <v/>
      </c>
      <c r="M139">
        <f>Assumptions!$B$60/K139</f>
        <v/>
      </c>
      <c r="N139">
        <f>B139*(1-Assumptions!$B$61)</f>
        <v/>
      </c>
      <c r="O139">
        <f>MIN(M139,N139)</f>
        <v/>
      </c>
      <c r="P139">
        <f>Assumptions!$B$63/L139</f>
        <v/>
      </c>
      <c r="Q139">
        <f>B139*(1-Assumptions!$B$64)</f>
        <v/>
      </c>
      <c r="R139">
        <f>MIN(P139,Q139)</f>
        <v/>
      </c>
      <c r="S139">
        <f>Assumptions!$B$4/I139</f>
        <v/>
      </c>
      <c r="T139">
        <f>Assumptions!$B$59/O139</f>
        <v/>
      </c>
      <c r="U139">
        <f>Assumptions!$B$62/R139</f>
        <v/>
      </c>
    </row>
    <row r="140">
      <c r="A140" t="n">
        <v>38</v>
      </c>
      <c r="B140">
        <f>S139</f>
        <v/>
      </c>
      <c r="C140">
        <f>T139</f>
        <v/>
      </c>
      <c r="D140">
        <f>U139</f>
        <v/>
      </c>
      <c r="E140">
        <f>MAX(0,Assumptions!$B$34/IF(B140&lt;Assumptions!$B$25,Assumptions!$B$25*(Assumptions!$B$50+Assumptions!$B$5/Assumptions!$B$25)/(Assumptions!$B$50+Assumptions!$B$5/B140),Assumptions!$B$25)-Assumptions!$B$42)+MAX(0,Assumptions!$B$35/IF(B140&lt;Assumptions!$B$26,Assumptions!$B$26*(Assumptions!$B$50+Assumptions!$B$5/Assumptions!$B$26)/(Assumptions!$B$50+Assumptions!$B$5/B140),Assumptions!$B$26)-Assumptions!$B$43)</f>
        <v/>
      </c>
      <c r="F140">
        <f>Assumptions!$B$5/B140</f>
        <v/>
      </c>
      <c r="G140">
        <f>Assumptions!$B$8*(((Assumptions!$B$50-Assumptions!$B$51+E140+C140+D140)+F140)/(1-Assumptions!$B$8))-Assumptions!$B$51</f>
        <v/>
      </c>
      <c r="H140">
        <f>MAX(0,G140)</f>
        <v/>
      </c>
      <c r="I140">
        <f>Assumptions!$B$50+E140+H140+C140+D140</f>
        <v/>
      </c>
      <c r="J140">
        <f>I140+F140</f>
        <v/>
      </c>
      <c r="K140">
        <f>Assumptions!$B$50+E140+H140+D140</f>
        <v/>
      </c>
      <c r="L140">
        <f>Assumptions!$B$50+E140+H140+C140</f>
        <v/>
      </c>
      <c r="M140">
        <f>Assumptions!$B$60/K140</f>
        <v/>
      </c>
      <c r="N140">
        <f>B140*(1-Assumptions!$B$61)</f>
        <v/>
      </c>
      <c r="O140">
        <f>MIN(M140,N140)</f>
        <v/>
      </c>
      <c r="P140">
        <f>Assumptions!$B$63/L140</f>
        <v/>
      </c>
      <c r="Q140">
        <f>B140*(1-Assumptions!$B$64)</f>
        <v/>
      </c>
      <c r="R140">
        <f>MIN(P140,Q140)</f>
        <v/>
      </c>
      <c r="S140">
        <f>Assumptions!$B$4/I140</f>
        <v/>
      </c>
      <c r="T140">
        <f>Assumptions!$B$59/O140</f>
        <v/>
      </c>
      <c r="U140">
        <f>Assumptions!$B$62/R140</f>
        <v/>
      </c>
    </row>
    <row r="141">
      <c r="A141" t="n">
        <v>39</v>
      </c>
      <c r="B141">
        <f>S140</f>
        <v/>
      </c>
      <c r="C141">
        <f>T140</f>
        <v/>
      </c>
      <c r="D141">
        <f>U140</f>
        <v/>
      </c>
      <c r="E141">
        <f>MAX(0,Assumptions!$B$34/IF(B141&lt;Assumptions!$B$25,Assumptions!$B$25*(Assumptions!$B$50+Assumptions!$B$5/Assumptions!$B$25)/(Assumptions!$B$50+Assumptions!$B$5/B141),Assumptions!$B$25)-Assumptions!$B$42)+MAX(0,Assumptions!$B$35/IF(B141&lt;Assumptions!$B$26,Assumptions!$B$26*(Assumptions!$B$50+Assumptions!$B$5/Assumptions!$B$26)/(Assumptions!$B$50+Assumptions!$B$5/B141),Assumptions!$B$26)-Assumptions!$B$43)</f>
        <v/>
      </c>
      <c r="F141">
        <f>Assumptions!$B$5/B141</f>
        <v/>
      </c>
      <c r="G141">
        <f>Assumptions!$B$8*(((Assumptions!$B$50-Assumptions!$B$51+E141+C141+D141)+F141)/(1-Assumptions!$B$8))-Assumptions!$B$51</f>
        <v/>
      </c>
      <c r="H141">
        <f>MAX(0,G141)</f>
        <v/>
      </c>
      <c r="I141">
        <f>Assumptions!$B$50+E141+H141+C141+D141</f>
        <v/>
      </c>
      <c r="J141">
        <f>I141+F141</f>
        <v/>
      </c>
      <c r="K141">
        <f>Assumptions!$B$50+E141+H141+D141</f>
        <v/>
      </c>
      <c r="L141">
        <f>Assumptions!$B$50+E141+H141+C141</f>
        <v/>
      </c>
      <c r="M141">
        <f>Assumptions!$B$60/K141</f>
        <v/>
      </c>
      <c r="N141">
        <f>B141*(1-Assumptions!$B$61)</f>
        <v/>
      </c>
      <c r="O141">
        <f>MIN(M141,N141)</f>
        <v/>
      </c>
      <c r="P141">
        <f>Assumptions!$B$63/L141</f>
        <v/>
      </c>
      <c r="Q141">
        <f>B141*(1-Assumptions!$B$64)</f>
        <v/>
      </c>
      <c r="R141">
        <f>MIN(P141,Q141)</f>
        <v/>
      </c>
      <c r="S141">
        <f>Assumptions!$B$4/I141</f>
        <v/>
      </c>
      <c r="T141">
        <f>Assumptions!$B$59/O141</f>
        <v/>
      </c>
      <c r="U141">
        <f>Assumptions!$B$62/R141</f>
        <v/>
      </c>
    </row>
    <row r="142">
      <c r="A142" t="n">
        <v>40</v>
      </c>
      <c r="B142">
        <f>S141</f>
        <v/>
      </c>
      <c r="C142">
        <f>T141</f>
        <v/>
      </c>
      <c r="D142">
        <f>U141</f>
        <v/>
      </c>
      <c r="E142">
        <f>MAX(0,Assumptions!$B$34/IF(B142&lt;Assumptions!$B$25,Assumptions!$B$25*(Assumptions!$B$50+Assumptions!$B$5/Assumptions!$B$25)/(Assumptions!$B$50+Assumptions!$B$5/B142),Assumptions!$B$25)-Assumptions!$B$42)+MAX(0,Assumptions!$B$35/IF(B142&lt;Assumptions!$B$26,Assumptions!$B$26*(Assumptions!$B$50+Assumptions!$B$5/Assumptions!$B$26)/(Assumptions!$B$50+Assumptions!$B$5/B142),Assumptions!$B$26)-Assumptions!$B$43)</f>
        <v/>
      </c>
      <c r="F142">
        <f>Assumptions!$B$5/B142</f>
        <v/>
      </c>
      <c r="G142">
        <f>Assumptions!$B$8*(((Assumptions!$B$50-Assumptions!$B$51+E142+C142+D142)+F142)/(1-Assumptions!$B$8))-Assumptions!$B$51</f>
        <v/>
      </c>
      <c r="H142">
        <f>MAX(0,G142)</f>
        <v/>
      </c>
      <c r="I142">
        <f>Assumptions!$B$50+E142+H142+C142+D142</f>
        <v/>
      </c>
      <c r="J142">
        <f>I142+F142</f>
        <v/>
      </c>
      <c r="K142">
        <f>Assumptions!$B$50+E142+H142+D142</f>
        <v/>
      </c>
      <c r="L142">
        <f>Assumptions!$B$50+E142+H142+C142</f>
        <v/>
      </c>
      <c r="M142">
        <f>Assumptions!$B$60/K142</f>
        <v/>
      </c>
      <c r="N142">
        <f>B142*(1-Assumptions!$B$61)</f>
        <v/>
      </c>
      <c r="O142">
        <f>MIN(M142,N142)</f>
        <v/>
      </c>
      <c r="P142">
        <f>Assumptions!$B$63/L142</f>
        <v/>
      </c>
      <c r="Q142">
        <f>B142*(1-Assumptions!$B$64)</f>
        <v/>
      </c>
      <c r="R142">
        <f>MIN(P142,Q142)</f>
        <v/>
      </c>
      <c r="S142">
        <f>Assumptions!$B$4/I142</f>
        <v/>
      </c>
      <c r="T142">
        <f>Assumptions!$B$59/O142</f>
        <v/>
      </c>
      <c r="U142">
        <f>Assumptions!$B$62/R142</f>
        <v/>
      </c>
    </row>
    <row r="143">
      <c r="A143" t="n">
        <v>41</v>
      </c>
      <c r="B143">
        <f>S142</f>
        <v/>
      </c>
      <c r="C143">
        <f>T142</f>
        <v/>
      </c>
      <c r="D143">
        <f>U142</f>
        <v/>
      </c>
      <c r="E143">
        <f>MAX(0,Assumptions!$B$34/IF(B143&lt;Assumptions!$B$25,Assumptions!$B$25*(Assumptions!$B$50+Assumptions!$B$5/Assumptions!$B$25)/(Assumptions!$B$50+Assumptions!$B$5/B143),Assumptions!$B$25)-Assumptions!$B$42)+MAX(0,Assumptions!$B$35/IF(B143&lt;Assumptions!$B$26,Assumptions!$B$26*(Assumptions!$B$50+Assumptions!$B$5/Assumptions!$B$26)/(Assumptions!$B$50+Assumptions!$B$5/B143),Assumptions!$B$26)-Assumptions!$B$43)</f>
        <v/>
      </c>
      <c r="F143">
        <f>Assumptions!$B$5/B143</f>
        <v/>
      </c>
      <c r="G143">
        <f>Assumptions!$B$8*(((Assumptions!$B$50-Assumptions!$B$51+E143+C143+D143)+F143)/(1-Assumptions!$B$8))-Assumptions!$B$51</f>
        <v/>
      </c>
      <c r="H143">
        <f>MAX(0,G143)</f>
        <v/>
      </c>
      <c r="I143">
        <f>Assumptions!$B$50+E143+H143+C143+D143</f>
        <v/>
      </c>
      <c r="J143">
        <f>I143+F143</f>
        <v/>
      </c>
      <c r="K143">
        <f>Assumptions!$B$50+E143+H143+D143</f>
        <v/>
      </c>
      <c r="L143">
        <f>Assumptions!$B$50+E143+H143+C143</f>
        <v/>
      </c>
      <c r="M143">
        <f>Assumptions!$B$60/K143</f>
        <v/>
      </c>
      <c r="N143">
        <f>B143*(1-Assumptions!$B$61)</f>
        <v/>
      </c>
      <c r="O143">
        <f>MIN(M143,N143)</f>
        <v/>
      </c>
      <c r="P143">
        <f>Assumptions!$B$63/L143</f>
        <v/>
      </c>
      <c r="Q143">
        <f>B143*(1-Assumptions!$B$64)</f>
        <v/>
      </c>
      <c r="R143">
        <f>MIN(P143,Q143)</f>
        <v/>
      </c>
      <c r="S143">
        <f>Assumptions!$B$4/I143</f>
        <v/>
      </c>
      <c r="T143">
        <f>Assumptions!$B$59/O143</f>
        <v/>
      </c>
      <c r="U143">
        <f>Assumptions!$B$62/R143</f>
        <v/>
      </c>
    </row>
    <row r="144">
      <c r="A144" t="n">
        <v>42</v>
      </c>
      <c r="B144">
        <f>S143</f>
        <v/>
      </c>
      <c r="C144">
        <f>T143</f>
        <v/>
      </c>
      <c r="D144">
        <f>U143</f>
        <v/>
      </c>
      <c r="E144">
        <f>MAX(0,Assumptions!$B$34/IF(B144&lt;Assumptions!$B$25,Assumptions!$B$25*(Assumptions!$B$50+Assumptions!$B$5/Assumptions!$B$25)/(Assumptions!$B$50+Assumptions!$B$5/B144),Assumptions!$B$25)-Assumptions!$B$42)+MAX(0,Assumptions!$B$35/IF(B144&lt;Assumptions!$B$26,Assumptions!$B$26*(Assumptions!$B$50+Assumptions!$B$5/Assumptions!$B$26)/(Assumptions!$B$50+Assumptions!$B$5/B144),Assumptions!$B$26)-Assumptions!$B$43)</f>
        <v/>
      </c>
      <c r="F144">
        <f>Assumptions!$B$5/B144</f>
        <v/>
      </c>
      <c r="G144">
        <f>Assumptions!$B$8*(((Assumptions!$B$50-Assumptions!$B$51+E144+C144+D144)+F144)/(1-Assumptions!$B$8))-Assumptions!$B$51</f>
        <v/>
      </c>
      <c r="H144">
        <f>MAX(0,G144)</f>
        <v/>
      </c>
      <c r="I144">
        <f>Assumptions!$B$50+E144+H144+C144+D144</f>
        <v/>
      </c>
      <c r="J144">
        <f>I144+F144</f>
        <v/>
      </c>
      <c r="K144">
        <f>Assumptions!$B$50+E144+H144+D144</f>
        <v/>
      </c>
      <c r="L144">
        <f>Assumptions!$B$50+E144+H144+C144</f>
        <v/>
      </c>
      <c r="M144">
        <f>Assumptions!$B$60/K144</f>
        <v/>
      </c>
      <c r="N144">
        <f>B144*(1-Assumptions!$B$61)</f>
        <v/>
      </c>
      <c r="O144">
        <f>MIN(M144,N144)</f>
        <v/>
      </c>
      <c r="P144">
        <f>Assumptions!$B$63/L144</f>
        <v/>
      </c>
      <c r="Q144">
        <f>B144*(1-Assumptions!$B$64)</f>
        <v/>
      </c>
      <c r="R144">
        <f>MIN(P144,Q144)</f>
        <v/>
      </c>
      <c r="S144">
        <f>Assumptions!$B$4/I144</f>
        <v/>
      </c>
      <c r="T144">
        <f>Assumptions!$B$59/O144</f>
        <v/>
      </c>
      <c r="U144">
        <f>Assumptions!$B$62/R144</f>
        <v/>
      </c>
    </row>
    <row r="145">
      <c r="A145" t="n">
        <v>43</v>
      </c>
      <c r="B145">
        <f>S144</f>
        <v/>
      </c>
      <c r="C145">
        <f>T144</f>
        <v/>
      </c>
      <c r="D145">
        <f>U144</f>
        <v/>
      </c>
      <c r="E145">
        <f>MAX(0,Assumptions!$B$34/IF(B145&lt;Assumptions!$B$25,Assumptions!$B$25*(Assumptions!$B$50+Assumptions!$B$5/Assumptions!$B$25)/(Assumptions!$B$50+Assumptions!$B$5/B145),Assumptions!$B$25)-Assumptions!$B$42)+MAX(0,Assumptions!$B$35/IF(B145&lt;Assumptions!$B$26,Assumptions!$B$26*(Assumptions!$B$50+Assumptions!$B$5/Assumptions!$B$26)/(Assumptions!$B$50+Assumptions!$B$5/B145),Assumptions!$B$26)-Assumptions!$B$43)</f>
        <v/>
      </c>
      <c r="F145">
        <f>Assumptions!$B$5/B145</f>
        <v/>
      </c>
      <c r="G145">
        <f>Assumptions!$B$8*(((Assumptions!$B$50-Assumptions!$B$51+E145+C145+D145)+F145)/(1-Assumptions!$B$8))-Assumptions!$B$51</f>
        <v/>
      </c>
      <c r="H145">
        <f>MAX(0,G145)</f>
        <v/>
      </c>
      <c r="I145">
        <f>Assumptions!$B$50+E145+H145+C145+D145</f>
        <v/>
      </c>
      <c r="J145">
        <f>I145+F145</f>
        <v/>
      </c>
      <c r="K145">
        <f>Assumptions!$B$50+E145+H145+D145</f>
        <v/>
      </c>
      <c r="L145">
        <f>Assumptions!$B$50+E145+H145+C145</f>
        <v/>
      </c>
      <c r="M145">
        <f>Assumptions!$B$60/K145</f>
        <v/>
      </c>
      <c r="N145">
        <f>B145*(1-Assumptions!$B$61)</f>
        <v/>
      </c>
      <c r="O145">
        <f>MIN(M145,N145)</f>
        <v/>
      </c>
      <c r="P145">
        <f>Assumptions!$B$63/L145</f>
        <v/>
      </c>
      <c r="Q145">
        <f>B145*(1-Assumptions!$B$64)</f>
        <v/>
      </c>
      <c r="R145">
        <f>MIN(P145,Q145)</f>
        <v/>
      </c>
      <c r="S145">
        <f>Assumptions!$B$4/I145</f>
        <v/>
      </c>
      <c r="T145">
        <f>Assumptions!$B$59/O145</f>
        <v/>
      </c>
      <c r="U145">
        <f>Assumptions!$B$62/R145</f>
        <v/>
      </c>
    </row>
    <row r="146">
      <c r="A146" t="n">
        <v>44</v>
      </c>
      <c r="B146">
        <f>S145</f>
        <v/>
      </c>
      <c r="C146">
        <f>T145</f>
        <v/>
      </c>
      <c r="D146">
        <f>U145</f>
        <v/>
      </c>
      <c r="E146">
        <f>MAX(0,Assumptions!$B$34/IF(B146&lt;Assumptions!$B$25,Assumptions!$B$25*(Assumptions!$B$50+Assumptions!$B$5/Assumptions!$B$25)/(Assumptions!$B$50+Assumptions!$B$5/B146),Assumptions!$B$25)-Assumptions!$B$42)+MAX(0,Assumptions!$B$35/IF(B146&lt;Assumptions!$B$26,Assumptions!$B$26*(Assumptions!$B$50+Assumptions!$B$5/Assumptions!$B$26)/(Assumptions!$B$50+Assumptions!$B$5/B146),Assumptions!$B$26)-Assumptions!$B$43)</f>
        <v/>
      </c>
      <c r="F146">
        <f>Assumptions!$B$5/B146</f>
        <v/>
      </c>
      <c r="G146">
        <f>Assumptions!$B$8*(((Assumptions!$B$50-Assumptions!$B$51+E146+C146+D146)+F146)/(1-Assumptions!$B$8))-Assumptions!$B$51</f>
        <v/>
      </c>
      <c r="H146">
        <f>MAX(0,G146)</f>
        <v/>
      </c>
      <c r="I146">
        <f>Assumptions!$B$50+E146+H146+C146+D146</f>
        <v/>
      </c>
      <c r="J146">
        <f>I146+F146</f>
        <v/>
      </c>
      <c r="K146">
        <f>Assumptions!$B$50+E146+H146+D146</f>
        <v/>
      </c>
      <c r="L146">
        <f>Assumptions!$B$50+E146+H146+C146</f>
        <v/>
      </c>
      <c r="M146">
        <f>Assumptions!$B$60/K146</f>
        <v/>
      </c>
      <c r="N146">
        <f>B146*(1-Assumptions!$B$61)</f>
        <v/>
      </c>
      <c r="O146">
        <f>MIN(M146,N146)</f>
        <v/>
      </c>
      <c r="P146">
        <f>Assumptions!$B$63/L146</f>
        <v/>
      </c>
      <c r="Q146">
        <f>B146*(1-Assumptions!$B$64)</f>
        <v/>
      </c>
      <c r="R146">
        <f>MIN(P146,Q146)</f>
        <v/>
      </c>
      <c r="S146">
        <f>Assumptions!$B$4/I146</f>
        <v/>
      </c>
      <c r="T146">
        <f>Assumptions!$B$59/O146</f>
        <v/>
      </c>
      <c r="U146">
        <f>Assumptions!$B$62/R146</f>
        <v/>
      </c>
    </row>
    <row r="147">
      <c r="A147" t="n">
        <v>45</v>
      </c>
      <c r="B147">
        <f>S146</f>
        <v/>
      </c>
      <c r="C147">
        <f>T146</f>
        <v/>
      </c>
      <c r="D147">
        <f>U146</f>
        <v/>
      </c>
      <c r="E147">
        <f>MAX(0,Assumptions!$B$34/IF(B147&lt;Assumptions!$B$25,Assumptions!$B$25*(Assumptions!$B$50+Assumptions!$B$5/Assumptions!$B$25)/(Assumptions!$B$50+Assumptions!$B$5/B147),Assumptions!$B$25)-Assumptions!$B$42)+MAX(0,Assumptions!$B$35/IF(B147&lt;Assumptions!$B$26,Assumptions!$B$26*(Assumptions!$B$50+Assumptions!$B$5/Assumptions!$B$26)/(Assumptions!$B$50+Assumptions!$B$5/B147),Assumptions!$B$26)-Assumptions!$B$43)</f>
        <v/>
      </c>
      <c r="F147">
        <f>Assumptions!$B$5/B147</f>
        <v/>
      </c>
      <c r="G147">
        <f>Assumptions!$B$8*(((Assumptions!$B$50-Assumptions!$B$51+E147+C147+D147)+F147)/(1-Assumptions!$B$8))-Assumptions!$B$51</f>
        <v/>
      </c>
      <c r="H147">
        <f>MAX(0,G147)</f>
        <v/>
      </c>
      <c r="I147">
        <f>Assumptions!$B$50+E147+H147+C147+D147</f>
        <v/>
      </c>
      <c r="J147">
        <f>I147+F147</f>
        <v/>
      </c>
      <c r="K147">
        <f>Assumptions!$B$50+E147+H147+D147</f>
        <v/>
      </c>
      <c r="L147">
        <f>Assumptions!$B$50+E147+H147+C147</f>
        <v/>
      </c>
      <c r="M147">
        <f>Assumptions!$B$60/K147</f>
        <v/>
      </c>
      <c r="N147">
        <f>B147*(1-Assumptions!$B$61)</f>
        <v/>
      </c>
      <c r="O147">
        <f>MIN(M147,N147)</f>
        <v/>
      </c>
      <c r="P147">
        <f>Assumptions!$B$63/L147</f>
        <v/>
      </c>
      <c r="Q147">
        <f>B147*(1-Assumptions!$B$64)</f>
        <v/>
      </c>
      <c r="R147">
        <f>MIN(P147,Q147)</f>
        <v/>
      </c>
      <c r="S147">
        <f>Assumptions!$B$4/I147</f>
        <v/>
      </c>
      <c r="T147">
        <f>Assumptions!$B$59/O147</f>
        <v/>
      </c>
      <c r="U147">
        <f>Assumptions!$B$62/R147</f>
        <v/>
      </c>
    </row>
    <row r="148">
      <c r="A148" t="n">
        <v>46</v>
      </c>
      <c r="B148">
        <f>S147</f>
        <v/>
      </c>
      <c r="C148">
        <f>T147</f>
        <v/>
      </c>
      <c r="D148">
        <f>U147</f>
        <v/>
      </c>
      <c r="E148">
        <f>MAX(0,Assumptions!$B$34/IF(B148&lt;Assumptions!$B$25,Assumptions!$B$25*(Assumptions!$B$50+Assumptions!$B$5/Assumptions!$B$25)/(Assumptions!$B$50+Assumptions!$B$5/B148),Assumptions!$B$25)-Assumptions!$B$42)+MAX(0,Assumptions!$B$35/IF(B148&lt;Assumptions!$B$26,Assumptions!$B$26*(Assumptions!$B$50+Assumptions!$B$5/Assumptions!$B$26)/(Assumptions!$B$50+Assumptions!$B$5/B148),Assumptions!$B$26)-Assumptions!$B$43)</f>
        <v/>
      </c>
      <c r="F148">
        <f>Assumptions!$B$5/B148</f>
        <v/>
      </c>
      <c r="G148">
        <f>Assumptions!$B$8*(((Assumptions!$B$50-Assumptions!$B$51+E148+C148+D148)+F148)/(1-Assumptions!$B$8))-Assumptions!$B$51</f>
        <v/>
      </c>
      <c r="H148">
        <f>MAX(0,G148)</f>
        <v/>
      </c>
      <c r="I148">
        <f>Assumptions!$B$50+E148+H148+C148+D148</f>
        <v/>
      </c>
      <c r="J148">
        <f>I148+F148</f>
        <v/>
      </c>
      <c r="K148">
        <f>Assumptions!$B$50+E148+H148+D148</f>
        <v/>
      </c>
      <c r="L148">
        <f>Assumptions!$B$50+E148+H148+C148</f>
        <v/>
      </c>
      <c r="M148">
        <f>Assumptions!$B$60/K148</f>
        <v/>
      </c>
      <c r="N148">
        <f>B148*(1-Assumptions!$B$61)</f>
        <v/>
      </c>
      <c r="O148">
        <f>MIN(M148,N148)</f>
        <v/>
      </c>
      <c r="P148">
        <f>Assumptions!$B$63/L148</f>
        <v/>
      </c>
      <c r="Q148">
        <f>B148*(1-Assumptions!$B$64)</f>
        <v/>
      </c>
      <c r="R148">
        <f>MIN(P148,Q148)</f>
        <v/>
      </c>
      <c r="S148">
        <f>Assumptions!$B$4/I148</f>
        <v/>
      </c>
      <c r="T148">
        <f>Assumptions!$B$59/O148</f>
        <v/>
      </c>
      <c r="U148">
        <f>Assumptions!$B$62/R148</f>
        <v/>
      </c>
    </row>
    <row r="149">
      <c r="A149" t="n">
        <v>47</v>
      </c>
      <c r="B149">
        <f>S148</f>
        <v/>
      </c>
      <c r="C149">
        <f>T148</f>
        <v/>
      </c>
      <c r="D149">
        <f>U148</f>
        <v/>
      </c>
      <c r="E149">
        <f>MAX(0,Assumptions!$B$34/IF(B149&lt;Assumptions!$B$25,Assumptions!$B$25*(Assumptions!$B$50+Assumptions!$B$5/Assumptions!$B$25)/(Assumptions!$B$50+Assumptions!$B$5/B149),Assumptions!$B$25)-Assumptions!$B$42)+MAX(0,Assumptions!$B$35/IF(B149&lt;Assumptions!$B$26,Assumptions!$B$26*(Assumptions!$B$50+Assumptions!$B$5/Assumptions!$B$26)/(Assumptions!$B$50+Assumptions!$B$5/B149),Assumptions!$B$26)-Assumptions!$B$43)</f>
        <v/>
      </c>
      <c r="F149">
        <f>Assumptions!$B$5/B149</f>
        <v/>
      </c>
      <c r="G149">
        <f>Assumptions!$B$8*(((Assumptions!$B$50-Assumptions!$B$51+E149+C149+D149)+F149)/(1-Assumptions!$B$8))-Assumptions!$B$51</f>
        <v/>
      </c>
      <c r="H149">
        <f>MAX(0,G149)</f>
        <v/>
      </c>
      <c r="I149">
        <f>Assumptions!$B$50+E149+H149+C149+D149</f>
        <v/>
      </c>
      <c r="J149">
        <f>I149+F149</f>
        <v/>
      </c>
      <c r="K149">
        <f>Assumptions!$B$50+E149+H149+D149</f>
        <v/>
      </c>
      <c r="L149">
        <f>Assumptions!$B$50+E149+H149+C149</f>
        <v/>
      </c>
      <c r="M149">
        <f>Assumptions!$B$60/K149</f>
        <v/>
      </c>
      <c r="N149">
        <f>B149*(1-Assumptions!$B$61)</f>
        <v/>
      </c>
      <c r="O149">
        <f>MIN(M149,N149)</f>
        <v/>
      </c>
      <c r="P149">
        <f>Assumptions!$B$63/L149</f>
        <v/>
      </c>
      <c r="Q149">
        <f>B149*(1-Assumptions!$B$64)</f>
        <v/>
      </c>
      <c r="R149">
        <f>MIN(P149,Q149)</f>
        <v/>
      </c>
      <c r="S149">
        <f>Assumptions!$B$4/I149</f>
        <v/>
      </c>
      <c r="T149">
        <f>Assumptions!$B$59/O149</f>
        <v/>
      </c>
      <c r="U149">
        <f>Assumptions!$B$62/R149</f>
        <v/>
      </c>
    </row>
    <row r="150">
      <c r="A150" t="n">
        <v>48</v>
      </c>
      <c r="B150">
        <f>S149</f>
        <v/>
      </c>
      <c r="C150">
        <f>T149</f>
        <v/>
      </c>
      <c r="D150">
        <f>U149</f>
        <v/>
      </c>
      <c r="E150">
        <f>MAX(0,Assumptions!$B$34/IF(B150&lt;Assumptions!$B$25,Assumptions!$B$25*(Assumptions!$B$50+Assumptions!$B$5/Assumptions!$B$25)/(Assumptions!$B$50+Assumptions!$B$5/B150),Assumptions!$B$25)-Assumptions!$B$42)+MAX(0,Assumptions!$B$35/IF(B150&lt;Assumptions!$B$26,Assumptions!$B$26*(Assumptions!$B$50+Assumptions!$B$5/Assumptions!$B$26)/(Assumptions!$B$50+Assumptions!$B$5/B150),Assumptions!$B$26)-Assumptions!$B$43)</f>
        <v/>
      </c>
      <c r="F150">
        <f>Assumptions!$B$5/B150</f>
        <v/>
      </c>
      <c r="G150">
        <f>Assumptions!$B$8*(((Assumptions!$B$50-Assumptions!$B$51+E150+C150+D150)+F150)/(1-Assumptions!$B$8))-Assumptions!$B$51</f>
        <v/>
      </c>
      <c r="H150">
        <f>MAX(0,G150)</f>
        <v/>
      </c>
      <c r="I150">
        <f>Assumptions!$B$50+E150+H150+C150+D150</f>
        <v/>
      </c>
      <c r="J150">
        <f>I150+F150</f>
        <v/>
      </c>
      <c r="K150">
        <f>Assumptions!$B$50+E150+H150+D150</f>
        <v/>
      </c>
      <c r="L150">
        <f>Assumptions!$B$50+E150+H150+C150</f>
        <v/>
      </c>
      <c r="M150">
        <f>Assumptions!$B$60/K150</f>
        <v/>
      </c>
      <c r="N150">
        <f>B150*(1-Assumptions!$B$61)</f>
        <v/>
      </c>
      <c r="O150">
        <f>MIN(M150,N150)</f>
        <v/>
      </c>
      <c r="P150">
        <f>Assumptions!$B$63/L150</f>
        <v/>
      </c>
      <c r="Q150">
        <f>B150*(1-Assumptions!$B$64)</f>
        <v/>
      </c>
      <c r="R150">
        <f>MIN(P150,Q150)</f>
        <v/>
      </c>
      <c r="S150">
        <f>Assumptions!$B$4/I150</f>
        <v/>
      </c>
      <c r="T150">
        <f>Assumptions!$B$59/O150</f>
        <v/>
      </c>
      <c r="U150">
        <f>Assumptions!$B$62/R150</f>
        <v/>
      </c>
    </row>
    <row r="151">
      <c r="A151" t="n">
        <v>49</v>
      </c>
      <c r="B151">
        <f>S150</f>
        <v/>
      </c>
      <c r="C151">
        <f>T150</f>
        <v/>
      </c>
      <c r="D151">
        <f>U150</f>
        <v/>
      </c>
      <c r="E151">
        <f>MAX(0,Assumptions!$B$34/IF(B151&lt;Assumptions!$B$25,Assumptions!$B$25*(Assumptions!$B$50+Assumptions!$B$5/Assumptions!$B$25)/(Assumptions!$B$50+Assumptions!$B$5/B151),Assumptions!$B$25)-Assumptions!$B$42)+MAX(0,Assumptions!$B$35/IF(B151&lt;Assumptions!$B$26,Assumptions!$B$26*(Assumptions!$B$50+Assumptions!$B$5/Assumptions!$B$26)/(Assumptions!$B$50+Assumptions!$B$5/B151),Assumptions!$B$26)-Assumptions!$B$43)</f>
        <v/>
      </c>
      <c r="F151">
        <f>Assumptions!$B$5/B151</f>
        <v/>
      </c>
      <c r="G151">
        <f>Assumptions!$B$8*(((Assumptions!$B$50-Assumptions!$B$51+E151+C151+D151)+F151)/(1-Assumptions!$B$8))-Assumptions!$B$51</f>
        <v/>
      </c>
      <c r="H151">
        <f>MAX(0,G151)</f>
        <v/>
      </c>
      <c r="I151">
        <f>Assumptions!$B$50+E151+H151+C151+D151</f>
        <v/>
      </c>
      <c r="J151">
        <f>I151+F151</f>
        <v/>
      </c>
      <c r="K151">
        <f>Assumptions!$B$50+E151+H151+D151</f>
        <v/>
      </c>
      <c r="L151">
        <f>Assumptions!$B$50+E151+H151+C151</f>
        <v/>
      </c>
      <c r="M151">
        <f>Assumptions!$B$60/K151</f>
        <v/>
      </c>
      <c r="N151">
        <f>B151*(1-Assumptions!$B$61)</f>
        <v/>
      </c>
      <c r="O151">
        <f>MIN(M151,N151)</f>
        <v/>
      </c>
      <c r="P151">
        <f>Assumptions!$B$63/L151</f>
        <v/>
      </c>
      <c r="Q151">
        <f>B151*(1-Assumptions!$B$64)</f>
        <v/>
      </c>
      <c r="R151">
        <f>MIN(P151,Q151)</f>
        <v/>
      </c>
      <c r="S151">
        <f>Assumptions!$B$4/I151</f>
        <v/>
      </c>
      <c r="T151">
        <f>Assumptions!$B$59/O151</f>
        <v/>
      </c>
      <c r="U151">
        <f>Assumptions!$B$62/R151</f>
        <v/>
      </c>
    </row>
    <row r="152">
      <c r="A152" t="n">
        <v>50</v>
      </c>
      <c r="B152">
        <f>S151</f>
        <v/>
      </c>
      <c r="C152">
        <f>T151</f>
        <v/>
      </c>
      <c r="D152">
        <f>U151</f>
        <v/>
      </c>
      <c r="E152">
        <f>MAX(0,Assumptions!$B$34/IF(B152&lt;Assumptions!$B$25,Assumptions!$B$25*(Assumptions!$B$50+Assumptions!$B$5/Assumptions!$B$25)/(Assumptions!$B$50+Assumptions!$B$5/B152),Assumptions!$B$25)-Assumptions!$B$42)+MAX(0,Assumptions!$B$35/IF(B152&lt;Assumptions!$B$26,Assumptions!$B$26*(Assumptions!$B$50+Assumptions!$B$5/Assumptions!$B$26)/(Assumptions!$B$50+Assumptions!$B$5/B152),Assumptions!$B$26)-Assumptions!$B$43)</f>
        <v/>
      </c>
      <c r="F152">
        <f>Assumptions!$B$5/B152</f>
        <v/>
      </c>
      <c r="G152">
        <f>Assumptions!$B$8*(((Assumptions!$B$50-Assumptions!$B$51+E152+C152+D152)+F152)/(1-Assumptions!$B$8))-Assumptions!$B$51</f>
        <v/>
      </c>
      <c r="H152">
        <f>MAX(0,G152)</f>
        <v/>
      </c>
      <c r="I152">
        <f>Assumptions!$B$50+E152+H152+C152+D152</f>
        <v/>
      </c>
      <c r="J152">
        <f>I152+F152</f>
        <v/>
      </c>
      <c r="K152">
        <f>Assumptions!$B$50+E152+H152+D152</f>
        <v/>
      </c>
      <c r="L152">
        <f>Assumptions!$B$50+E152+H152+C152</f>
        <v/>
      </c>
      <c r="M152">
        <f>Assumptions!$B$60/K152</f>
        <v/>
      </c>
      <c r="N152">
        <f>B152*(1-Assumptions!$B$61)</f>
        <v/>
      </c>
      <c r="O152">
        <f>MIN(M152,N152)</f>
        <v/>
      </c>
      <c r="P152">
        <f>Assumptions!$B$63/L152</f>
        <v/>
      </c>
      <c r="Q152">
        <f>B152*(1-Assumptions!$B$64)</f>
        <v/>
      </c>
      <c r="R152">
        <f>MIN(P152,Q152)</f>
        <v/>
      </c>
      <c r="S152">
        <f>Assumptions!$B$4/I152</f>
        <v/>
      </c>
      <c r="T152">
        <f>Assumptions!$B$59/O152</f>
        <v/>
      </c>
      <c r="U152">
        <f>Assumptions!$B$62/R152</f>
        <v/>
      </c>
    </row>
    <row r="153">
      <c r="A153" t="n">
        <v>51</v>
      </c>
      <c r="B153">
        <f>S152</f>
        <v/>
      </c>
      <c r="C153">
        <f>T152</f>
        <v/>
      </c>
      <c r="D153">
        <f>U152</f>
        <v/>
      </c>
      <c r="E153">
        <f>MAX(0,Assumptions!$B$34/IF(B153&lt;Assumptions!$B$25,Assumptions!$B$25*(Assumptions!$B$50+Assumptions!$B$5/Assumptions!$B$25)/(Assumptions!$B$50+Assumptions!$B$5/B153),Assumptions!$B$25)-Assumptions!$B$42)+MAX(0,Assumptions!$B$35/IF(B153&lt;Assumptions!$B$26,Assumptions!$B$26*(Assumptions!$B$50+Assumptions!$B$5/Assumptions!$B$26)/(Assumptions!$B$50+Assumptions!$B$5/B153),Assumptions!$B$26)-Assumptions!$B$43)</f>
        <v/>
      </c>
      <c r="F153">
        <f>Assumptions!$B$5/B153</f>
        <v/>
      </c>
      <c r="G153">
        <f>Assumptions!$B$8*(((Assumptions!$B$50-Assumptions!$B$51+E153+C153+D153)+F153)/(1-Assumptions!$B$8))-Assumptions!$B$51</f>
        <v/>
      </c>
      <c r="H153">
        <f>MAX(0,G153)</f>
        <v/>
      </c>
      <c r="I153">
        <f>Assumptions!$B$50+E153+H153+C153+D153</f>
        <v/>
      </c>
      <c r="J153">
        <f>I153+F153</f>
        <v/>
      </c>
      <c r="K153">
        <f>Assumptions!$B$50+E153+H153+D153</f>
        <v/>
      </c>
      <c r="L153">
        <f>Assumptions!$B$50+E153+H153+C153</f>
        <v/>
      </c>
      <c r="M153">
        <f>Assumptions!$B$60/K153</f>
        <v/>
      </c>
      <c r="N153">
        <f>B153*(1-Assumptions!$B$61)</f>
        <v/>
      </c>
      <c r="O153">
        <f>MIN(M153,N153)</f>
        <v/>
      </c>
      <c r="P153">
        <f>Assumptions!$B$63/L153</f>
        <v/>
      </c>
      <c r="Q153">
        <f>B153*(1-Assumptions!$B$64)</f>
        <v/>
      </c>
      <c r="R153">
        <f>MIN(P153,Q153)</f>
        <v/>
      </c>
      <c r="S153">
        <f>Assumptions!$B$4/I153</f>
        <v/>
      </c>
      <c r="T153">
        <f>Assumptions!$B$59/O153</f>
        <v/>
      </c>
      <c r="U153">
        <f>Assumptions!$B$62/R153</f>
        <v/>
      </c>
    </row>
    <row r="154">
      <c r="A154" t="n">
        <v>52</v>
      </c>
      <c r="B154">
        <f>S153</f>
        <v/>
      </c>
      <c r="C154">
        <f>T153</f>
        <v/>
      </c>
      <c r="D154">
        <f>U153</f>
        <v/>
      </c>
      <c r="E154">
        <f>MAX(0,Assumptions!$B$34/IF(B154&lt;Assumptions!$B$25,Assumptions!$B$25*(Assumptions!$B$50+Assumptions!$B$5/Assumptions!$B$25)/(Assumptions!$B$50+Assumptions!$B$5/B154),Assumptions!$B$25)-Assumptions!$B$42)+MAX(0,Assumptions!$B$35/IF(B154&lt;Assumptions!$B$26,Assumptions!$B$26*(Assumptions!$B$50+Assumptions!$B$5/Assumptions!$B$26)/(Assumptions!$B$50+Assumptions!$B$5/B154),Assumptions!$B$26)-Assumptions!$B$43)</f>
        <v/>
      </c>
      <c r="F154">
        <f>Assumptions!$B$5/B154</f>
        <v/>
      </c>
      <c r="G154">
        <f>Assumptions!$B$8*(((Assumptions!$B$50-Assumptions!$B$51+E154+C154+D154)+F154)/(1-Assumptions!$B$8))-Assumptions!$B$51</f>
        <v/>
      </c>
      <c r="H154">
        <f>MAX(0,G154)</f>
        <v/>
      </c>
      <c r="I154">
        <f>Assumptions!$B$50+E154+H154+C154+D154</f>
        <v/>
      </c>
      <c r="J154">
        <f>I154+F154</f>
        <v/>
      </c>
      <c r="K154">
        <f>Assumptions!$B$50+E154+H154+D154</f>
        <v/>
      </c>
      <c r="L154">
        <f>Assumptions!$B$50+E154+H154+C154</f>
        <v/>
      </c>
      <c r="M154">
        <f>Assumptions!$B$60/K154</f>
        <v/>
      </c>
      <c r="N154">
        <f>B154*(1-Assumptions!$B$61)</f>
        <v/>
      </c>
      <c r="O154">
        <f>MIN(M154,N154)</f>
        <v/>
      </c>
      <c r="P154">
        <f>Assumptions!$B$63/L154</f>
        <v/>
      </c>
      <c r="Q154">
        <f>B154*(1-Assumptions!$B$64)</f>
        <v/>
      </c>
      <c r="R154">
        <f>MIN(P154,Q154)</f>
        <v/>
      </c>
      <c r="S154">
        <f>Assumptions!$B$4/I154</f>
        <v/>
      </c>
      <c r="T154">
        <f>Assumptions!$B$59/O154</f>
        <v/>
      </c>
      <c r="U154">
        <f>Assumptions!$B$62/R154</f>
        <v/>
      </c>
    </row>
    <row r="155">
      <c r="A155" t="n">
        <v>53</v>
      </c>
      <c r="B155">
        <f>S154</f>
        <v/>
      </c>
      <c r="C155">
        <f>T154</f>
        <v/>
      </c>
      <c r="D155">
        <f>U154</f>
        <v/>
      </c>
      <c r="E155">
        <f>MAX(0,Assumptions!$B$34/IF(B155&lt;Assumptions!$B$25,Assumptions!$B$25*(Assumptions!$B$50+Assumptions!$B$5/Assumptions!$B$25)/(Assumptions!$B$50+Assumptions!$B$5/B155),Assumptions!$B$25)-Assumptions!$B$42)+MAX(0,Assumptions!$B$35/IF(B155&lt;Assumptions!$B$26,Assumptions!$B$26*(Assumptions!$B$50+Assumptions!$B$5/Assumptions!$B$26)/(Assumptions!$B$50+Assumptions!$B$5/B155),Assumptions!$B$26)-Assumptions!$B$43)</f>
        <v/>
      </c>
      <c r="F155">
        <f>Assumptions!$B$5/B155</f>
        <v/>
      </c>
      <c r="G155">
        <f>Assumptions!$B$8*(((Assumptions!$B$50-Assumptions!$B$51+E155+C155+D155)+F155)/(1-Assumptions!$B$8))-Assumptions!$B$51</f>
        <v/>
      </c>
      <c r="H155">
        <f>MAX(0,G155)</f>
        <v/>
      </c>
      <c r="I155">
        <f>Assumptions!$B$50+E155+H155+C155+D155</f>
        <v/>
      </c>
      <c r="J155">
        <f>I155+F155</f>
        <v/>
      </c>
      <c r="K155">
        <f>Assumptions!$B$50+E155+H155+D155</f>
        <v/>
      </c>
      <c r="L155">
        <f>Assumptions!$B$50+E155+H155+C155</f>
        <v/>
      </c>
      <c r="M155">
        <f>Assumptions!$B$60/K155</f>
        <v/>
      </c>
      <c r="N155">
        <f>B155*(1-Assumptions!$B$61)</f>
        <v/>
      </c>
      <c r="O155">
        <f>MIN(M155,N155)</f>
        <v/>
      </c>
      <c r="P155">
        <f>Assumptions!$B$63/L155</f>
        <v/>
      </c>
      <c r="Q155">
        <f>B155*(1-Assumptions!$B$64)</f>
        <v/>
      </c>
      <c r="R155">
        <f>MIN(P155,Q155)</f>
        <v/>
      </c>
      <c r="S155">
        <f>Assumptions!$B$4/I155</f>
        <v/>
      </c>
      <c r="T155">
        <f>Assumptions!$B$59/O155</f>
        <v/>
      </c>
      <c r="U155">
        <f>Assumptions!$B$62/R155</f>
        <v/>
      </c>
    </row>
    <row r="156">
      <c r="A156" t="n">
        <v>54</v>
      </c>
      <c r="B156">
        <f>S155</f>
        <v/>
      </c>
      <c r="C156">
        <f>T155</f>
        <v/>
      </c>
      <c r="D156">
        <f>U155</f>
        <v/>
      </c>
      <c r="E156">
        <f>MAX(0,Assumptions!$B$34/IF(B156&lt;Assumptions!$B$25,Assumptions!$B$25*(Assumptions!$B$50+Assumptions!$B$5/Assumptions!$B$25)/(Assumptions!$B$50+Assumptions!$B$5/B156),Assumptions!$B$25)-Assumptions!$B$42)+MAX(0,Assumptions!$B$35/IF(B156&lt;Assumptions!$B$26,Assumptions!$B$26*(Assumptions!$B$50+Assumptions!$B$5/Assumptions!$B$26)/(Assumptions!$B$50+Assumptions!$B$5/B156),Assumptions!$B$26)-Assumptions!$B$43)</f>
        <v/>
      </c>
      <c r="F156">
        <f>Assumptions!$B$5/B156</f>
        <v/>
      </c>
      <c r="G156">
        <f>Assumptions!$B$8*(((Assumptions!$B$50-Assumptions!$B$51+E156+C156+D156)+F156)/(1-Assumptions!$B$8))-Assumptions!$B$51</f>
        <v/>
      </c>
      <c r="H156">
        <f>MAX(0,G156)</f>
        <v/>
      </c>
      <c r="I156">
        <f>Assumptions!$B$50+E156+H156+C156+D156</f>
        <v/>
      </c>
      <c r="J156">
        <f>I156+F156</f>
        <v/>
      </c>
      <c r="K156">
        <f>Assumptions!$B$50+E156+H156+D156</f>
        <v/>
      </c>
      <c r="L156">
        <f>Assumptions!$B$50+E156+H156+C156</f>
        <v/>
      </c>
      <c r="M156">
        <f>Assumptions!$B$60/K156</f>
        <v/>
      </c>
      <c r="N156">
        <f>B156*(1-Assumptions!$B$61)</f>
        <v/>
      </c>
      <c r="O156">
        <f>MIN(M156,N156)</f>
        <v/>
      </c>
      <c r="P156">
        <f>Assumptions!$B$63/L156</f>
        <v/>
      </c>
      <c r="Q156">
        <f>B156*(1-Assumptions!$B$64)</f>
        <v/>
      </c>
      <c r="R156">
        <f>MIN(P156,Q156)</f>
        <v/>
      </c>
      <c r="S156">
        <f>Assumptions!$B$4/I156</f>
        <v/>
      </c>
      <c r="T156">
        <f>Assumptions!$B$59/O156</f>
        <v/>
      </c>
      <c r="U156">
        <f>Assumptions!$B$62/R156</f>
        <v/>
      </c>
    </row>
    <row r="157">
      <c r="A157" t="n">
        <v>55</v>
      </c>
      <c r="B157">
        <f>S156</f>
        <v/>
      </c>
      <c r="C157">
        <f>T156</f>
        <v/>
      </c>
      <c r="D157">
        <f>U156</f>
        <v/>
      </c>
      <c r="E157">
        <f>MAX(0,Assumptions!$B$34/IF(B157&lt;Assumptions!$B$25,Assumptions!$B$25*(Assumptions!$B$50+Assumptions!$B$5/Assumptions!$B$25)/(Assumptions!$B$50+Assumptions!$B$5/B157),Assumptions!$B$25)-Assumptions!$B$42)+MAX(0,Assumptions!$B$35/IF(B157&lt;Assumptions!$B$26,Assumptions!$B$26*(Assumptions!$B$50+Assumptions!$B$5/Assumptions!$B$26)/(Assumptions!$B$50+Assumptions!$B$5/B157),Assumptions!$B$26)-Assumptions!$B$43)</f>
        <v/>
      </c>
      <c r="F157">
        <f>Assumptions!$B$5/B157</f>
        <v/>
      </c>
      <c r="G157">
        <f>Assumptions!$B$8*(((Assumptions!$B$50-Assumptions!$B$51+E157+C157+D157)+F157)/(1-Assumptions!$B$8))-Assumptions!$B$51</f>
        <v/>
      </c>
      <c r="H157">
        <f>MAX(0,G157)</f>
        <v/>
      </c>
      <c r="I157">
        <f>Assumptions!$B$50+E157+H157+C157+D157</f>
        <v/>
      </c>
      <c r="J157">
        <f>I157+F157</f>
        <v/>
      </c>
      <c r="K157">
        <f>Assumptions!$B$50+E157+H157+D157</f>
        <v/>
      </c>
      <c r="L157">
        <f>Assumptions!$B$50+E157+H157+C157</f>
        <v/>
      </c>
      <c r="M157">
        <f>Assumptions!$B$60/K157</f>
        <v/>
      </c>
      <c r="N157">
        <f>B157*(1-Assumptions!$B$61)</f>
        <v/>
      </c>
      <c r="O157">
        <f>MIN(M157,N157)</f>
        <v/>
      </c>
      <c r="P157">
        <f>Assumptions!$B$63/L157</f>
        <v/>
      </c>
      <c r="Q157">
        <f>B157*(1-Assumptions!$B$64)</f>
        <v/>
      </c>
      <c r="R157">
        <f>MIN(P157,Q157)</f>
        <v/>
      </c>
      <c r="S157">
        <f>Assumptions!$B$4/I157</f>
        <v/>
      </c>
      <c r="T157">
        <f>Assumptions!$B$59/O157</f>
        <v/>
      </c>
      <c r="U157">
        <f>Assumptions!$B$62/R157</f>
        <v/>
      </c>
    </row>
    <row r="158">
      <c r="A158" t="n">
        <v>56</v>
      </c>
      <c r="B158">
        <f>S157</f>
        <v/>
      </c>
      <c r="C158">
        <f>T157</f>
        <v/>
      </c>
      <c r="D158">
        <f>U157</f>
        <v/>
      </c>
      <c r="E158">
        <f>MAX(0,Assumptions!$B$34/IF(B158&lt;Assumptions!$B$25,Assumptions!$B$25*(Assumptions!$B$50+Assumptions!$B$5/Assumptions!$B$25)/(Assumptions!$B$50+Assumptions!$B$5/B158),Assumptions!$B$25)-Assumptions!$B$42)+MAX(0,Assumptions!$B$35/IF(B158&lt;Assumptions!$B$26,Assumptions!$B$26*(Assumptions!$B$50+Assumptions!$B$5/Assumptions!$B$26)/(Assumptions!$B$50+Assumptions!$B$5/B158),Assumptions!$B$26)-Assumptions!$B$43)</f>
        <v/>
      </c>
      <c r="F158">
        <f>Assumptions!$B$5/B158</f>
        <v/>
      </c>
      <c r="G158">
        <f>Assumptions!$B$8*(((Assumptions!$B$50-Assumptions!$B$51+E158+C158+D158)+F158)/(1-Assumptions!$B$8))-Assumptions!$B$51</f>
        <v/>
      </c>
      <c r="H158">
        <f>MAX(0,G158)</f>
        <v/>
      </c>
      <c r="I158">
        <f>Assumptions!$B$50+E158+H158+C158+D158</f>
        <v/>
      </c>
      <c r="J158">
        <f>I158+F158</f>
        <v/>
      </c>
      <c r="K158">
        <f>Assumptions!$B$50+E158+H158+D158</f>
        <v/>
      </c>
      <c r="L158">
        <f>Assumptions!$B$50+E158+H158+C158</f>
        <v/>
      </c>
      <c r="M158">
        <f>Assumptions!$B$60/K158</f>
        <v/>
      </c>
      <c r="N158">
        <f>B158*(1-Assumptions!$B$61)</f>
        <v/>
      </c>
      <c r="O158">
        <f>MIN(M158,N158)</f>
        <v/>
      </c>
      <c r="P158">
        <f>Assumptions!$B$63/L158</f>
        <v/>
      </c>
      <c r="Q158">
        <f>B158*(1-Assumptions!$B$64)</f>
        <v/>
      </c>
      <c r="R158">
        <f>MIN(P158,Q158)</f>
        <v/>
      </c>
      <c r="S158">
        <f>Assumptions!$B$4/I158</f>
        <v/>
      </c>
      <c r="T158">
        <f>Assumptions!$B$59/O158</f>
        <v/>
      </c>
      <c r="U158">
        <f>Assumptions!$B$62/R158</f>
        <v/>
      </c>
    </row>
    <row r="159">
      <c r="A159" t="n">
        <v>57</v>
      </c>
      <c r="B159">
        <f>S158</f>
        <v/>
      </c>
      <c r="C159">
        <f>T158</f>
        <v/>
      </c>
      <c r="D159">
        <f>U158</f>
        <v/>
      </c>
      <c r="E159">
        <f>MAX(0,Assumptions!$B$34/IF(B159&lt;Assumptions!$B$25,Assumptions!$B$25*(Assumptions!$B$50+Assumptions!$B$5/Assumptions!$B$25)/(Assumptions!$B$50+Assumptions!$B$5/B159),Assumptions!$B$25)-Assumptions!$B$42)+MAX(0,Assumptions!$B$35/IF(B159&lt;Assumptions!$B$26,Assumptions!$B$26*(Assumptions!$B$50+Assumptions!$B$5/Assumptions!$B$26)/(Assumptions!$B$50+Assumptions!$B$5/B159),Assumptions!$B$26)-Assumptions!$B$43)</f>
        <v/>
      </c>
      <c r="F159">
        <f>Assumptions!$B$5/B159</f>
        <v/>
      </c>
      <c r="G159">
        <f>Assumptions!$B$8*(((Assumptions!$B$50-Assumptions!$B$51+E159+C159+D159)+F159)/(1-Assumptions!$B$8))-Assumptions!$B$51</f>
        <v/>
      </c>
      <c r="H159">
        <f>MAX(0,G159)</f>
        <v/>
      </c>
      <c r="I159">
        <f>Assumptions!$B$50+E159+H159+C159+D159</f>
        <v/>
      </c>
      <c r="J159">
        <f>I159+F159</f>
        <v/>
      </c>
      <c r="K159">
        <f>Assumptions!$B$50+E159+H159+D159</f>
        <v/>
      </c>
      <c r="L159">
        <f>Assumptions!$B$50+E159+H159+C159</f>
        <v/>
      </c>
      <c r="M159">
        <f>Assumptions!$B$60/K159</f>
        <v/>
      </c>
      <c r="N159">
        <f>B159*(1-Assumptions!$B$61)</f>
        <v/>
      </c>
      <c r="O159">
        <f>MIN(M159,N159)</f>
        <v/>
      </c>
      <c r="P159">
        <f>Assumptions!$B$63/L159</f>
        <v/>
      </c>
      <c r="Q159">
        <f>B159*(1-Assumptions!$B$64)</f>
        <v/>
      </c>
      <c r="R159">
        <f>MIN(P159,Q159)</f>
        <v/>
      </c>
      <c r="S159">
        <f>Assumptions!$B$4/I159</f>
        <v/>
      </c>
      <c r="T159">
        <f>Assumptions!$B$59/O159</f>
        <v/>
      </c>
      <c r="U159">
        <f>Assumptions!$B$62/R159</f>
        <v/>
      </c>
    </row>
    <row r="160">
      <c r="A160" t="n">
        <v>58</v>
      </c>
      <c r="B160">
        <f>S159</f>
        <v/>
      </c>
      <c r="C160">
        <f>T159</f>
        <v/>
      </c>
      <c r="D160">
        <f>U159</f>
        <v/>
      </c>
      <c r="E160">
        <f>MAX(0,Assumptions!$B$34/IF(B160&lt;Assumptions!$B$25,Assumptions!$B$25*(Assumptions!$B$50+Assumptions!$B$5/Assumptions!$B$25)/(Assumptions!$B$50+Assumptions!$B$5/B160),Assumptions!$B$25)-Assumptions!$B$42)+MAX(0,Assumptions!$B$35/IF(B160&lt;Assumptions!$B$26,Assumptions!$B$26*(Assumptions!$B$50+Assumptions!$B$5/Assumptions!$B$26)/(Assumptions!$B$50+Assumptions!$B$5/B160),Assumptions!$B$26)-Assumptions!$B$43)</f>
        <v/>
      </c>
      <c r="F160">
        <f>Assumptions!$B$5/B160</f>
        <v/>
      </c>
      <c r="G160">
        <f>Assumptions!$B$8*(((Assumptions!$B$50-Assumptions!$B$51+E160+C160+D160)+F160)/(1-Assumptions!$B$8))-Assumptions!$B$51</f>
        <v/>
      </c>
      <c r="H160">
        <f>MAX(0,G160)</f>
        <v/>
      </c>
      <c r="I160">
        <f>Assumptions!$B$50+E160+H160+C160+D160</f>
        <v/>
      </c>
      <c r="J160">
        <f>I160+F160</f>
        <v/>
      </c>
      <c r="K160">
        <f>Assumptions!$B$50+E160+H160+D160</f>
        <v/>
      </c>
      <c r="L160">
        <f>Assumptions!$B$50+E160+H160+C160</f>
        <v/>
      </c>
      <c r="M160">
        <f>Assumptions!$B$60/K160</f>
        <v/>
      </c>
      <c r="N160">
        <f>B160*(1-Assumptions!$B$61)</f>
        <v/>
      </c>
      <c r="O160">
        <f>MIN(M160,N160)</f>
        <v/>
      </c>
      <c r="P160">
        <f>Assumptions!$B$63/L160</f>
        <v/>
      </c>
      <c r="Q160">
        <f>B160*(1-Assumptions!$B$64)</f>
        <v/>
      </c>
      <c r="R160">
        <f>MIN(P160,Q160)</f>
        <v/>
      </c>
      <c r="S160">
        <f>Assumptions!$B$4/I160</f>
        <v/>
      </c>
      <c r="T160">
        <f>Assumptions!$B$59/O160</f>
        <v/>
      </c>
      <c r="U160">
        <f>Assumptions!$B$62/R160</f>
        <v/>
      </c>
    </row>
    <row r="161">
      <c r="A161" t="n">
        <v>59</v>
      </c>
      <c r="B161">
        <f>S160</f>
        <v/>
      </c>
      <c r="C161">
        <f>T160</f>
        <v/>
      </c>
      <c r="D161">
        <f>U160</f>
        <v/>
      </c>
      <c r="E161">
        <f>MAX(0,Assumptions!$B$34/IF(B161&lt;Assumptions!$B$25,Assumptions!$B$25*(Assumptions!$B$50+Assumptions!$B$5/Assumptions!$B$25)/(Assumptions!$B$50+Assumptions!$B$5/B161),Assumptions!$B$25)-Assumptions!$B$42)+MAX(0,Assumptions!$B$35/IF(B161&lt;Assumptions!$B$26,Assumptions!$B$26*(Assumptions!$B$50+Assumptions!$B$5/Assumptions!$B$26)/(Assumptions!$B$50+Assumptions!$B$5/B161),Assumptions!$B$26)-Assumptions!$B$43)</f>
        <v/>
      </c>
      <c r="F161">
        <f>Assumptions!$B$5/B161</f>
        <v/>
      </c>
      <c r="G161">
        <f>Assumptions!$B$8*(((Assumptions!$B$50-Assumptions!$B$51+E161+C161+D161)+F161)/(1-Assumptions!$B$8))-Assumptions!$B$51</f>
        <v/>
      </c>
      <c r="H161">
        <f>MAX(0,G161)</f>
        <v/>
      </c>
      <c r="I161">
        <f>Assumptions!$B$50+E161+H161+C161+D161</f>
        <v/>
      </c>
      <c r="J161">
        <f>I161+F161</f>
        <v/>
      </c>
      <c r="K161">
        <f>Assumptions!$B$50+E161+H161+D161</f>
        <v/>
      </c>
      <c r="L161">
        <f>Assumptions!$B$50+E161+H161+C161</f>
        <v/>
      </c>
      <c r="M161">
        <f>Assumptions!$B$60/K161</f>
        <v/>
      </c>
      <c r="N161">
        <f>B161*(1-Assumptions!$B$61)</f>
        <v/>
      </c>
      <c r="O161">
        <f>MIN(M161,N161)</f>
        <v/>
      </c>
      <c r="P161">
        <f>Assumptions!$B$63/L161</f>
        <v/>
      </c>
      <c r="Q161">
        <f>B161*(1-Assumptions!$B$64)</f>
        <v/>
      </c>
      <c r="R161">
        <f>MIN(P161,Q161)</f>
        <v/>
      </c>
      <c r="S161">
        <f>Assumptions!$B$4/I161</f>
        <v/>
      </c>
      <c r="T161">
        <f>Assumptions!$B$59/O161</f>
        <v/>
      </c>
      <c r="U161">
        <f>Assumptions!$B$62/R161</f>
        <v/>
      </c>
    </row>
    <row r="162">
      <c r="A162" t="n">
        <v>60</v>
      </c>
      <c r="B162">
        <f>S161</f>
        <v/>
      </c>
      <c r="C162">
        <f>T161</f>
        <v/>
      </c>
      <c r="D162">
        <f>U161</f>
        <v/>
      </c>
      <c r="E162">
        <f>MAX(0,Assumptions!$B$34/IF(B162&lt;Assumptions!$B$25,Assumptions!$B$25*(Assumptions!$B$50+Assumptions!$B$5/Assumptions!$B$25)/(Assumptions!$B$50+Assumptions!$B$5/B162),Assumptions!$B$25)-Assumptions!$B$42)+MAX(0,Assumptions!$B$35/IF(B162&lt;Assumptions!$B$26,Assumptions!$B$26*(Assumptions!$B$50+Assumptions!$B$5/Assumptions!$B$26)/(Assumptions!$B$50+Assumptions!$B$5/B162),Assumptions!$B$26)-Assumptions!$B$43)</f>
        <v/>
      </c>
      <c r="F162">
        <f>Assumptions!$B$5/B162</f>
        <v/>
      </c>
      <c r="G162">
        <f>Assumptions!$B$8*(((Assumptions!$B$50-Assumptions!$B$51+E162+C162+D162)+F162)/(1-Assumptions!$B$8))-Assumptions!$B$51</f>
        <v/>
      </c>
      <c r="H162">
        <f>MAX(0,G162)</f>
        <v/>
      </c>
      <c r="I162">
        <f>Assumptions!$B$50+E162+H162+C162+D162</f>
        <v/>
      </c>
      <c r="J162">
        <f>I162+F162</f>
        <v/>
      </c>
      <c r="K162">
        <f>Assumptions!$B$50+E162+H162+D162</f>
        <v/>
      </c>
      <c r="L162">
        <f>Assumptions!$B$50+E162+H162+C162</f>
        <v/>
      </c>
      <c r="M162">
        <f>Assumptions!$B$60/K162</f>
        <v/>
      </c>
      <c r="N162">
        <f>B162*(1-Assumptions!$B$61)</f>
        <v/>
      </c>
      <c r="O162">
        <f>MIN(M162,N162)</f>
        <v/>
      </c>
      <c r="P162">
        <f>Assumptions!$B$63/L162</f>
        <v/>
      </c>
      <c r="Q162">
        <f>B162*(1-Assumptions!$B$64)</f>
        <v/>
      </c>
      <c r="R162">
        <f>MIN(P162,Q162)</f>
        <v/>
      </c>
      <c r="S162">
        <f>Assumptions!$B$4/I162</f>
        <v/>
      </c>
      <c r="T162">
        <f>Assumptions!$B$59/O162</f>
        <v/>
      </c>
      <c r="U162">
        <f>Assumptions!$B$62/R162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Liquidation Waterfall — 5 Exit Scenarios</t>
        </is>
      </c>
    </row>
    <row r="2">
      <c r="A2" s="15" t="inlineStr">
        <is>
          <t>Reverse-chronological seniority: F &gt; E &gt; D &gt; C &gt; B &gt; A &gt; Seed</t>
        </is>
      </c>
    </row>
    <row r="3">
      <c r="A3" s="2" t="inlineStr"/>
      <c r="B3" s="16" t="inlineStr">
        <is>
          <t>Exit 1: $700M</t>
        </is>
      </c>
      <c r="C3" s="16" t="inlineStr">
        <is>
          <t>Exit 2: $1.2B</t>
        </is>
      </c>
      <c r="D3" s="16" t="inlineStr">
        <is>
          <t>Exit 3: $2B</t>
        </is>
      </c>
      <c r="E3" s="16" t="inlineStr">
        <is>
          <t>Exit 4: $4B</t>
        </is>
      </c>
      <c r="F3" s="16" t="inlineStr">
        <is>
          <t>Exit 5: $8B</t>
        </is>
      </c>
    </row>
    <row r="4">
      <c r="A4" t="inlineStr">
        <is>
          <t>Exit value (USD)</t>
        </is>
      </c>
      <c r="B4" s="17">
        <f>Assumptions!$B$14</f>
        <v/>
      </c>
      <c r="C4" s="17">
        <f>Assumptions!$B$15</f>
        <v/>
      </c>
      <c r="D4" s="17">
        <f>Assumptions!$B$16</f>
        <v/>
      </c>
      <c r="E4" s="17">
        <f>Assumptions!$B$17</f>
        <v/>
      </c>
      <c r="F4" s="17">
        <f>Assumptions!$B$18</f>
        <v/>
      </c>
    </row>
    <row r="5">
      <c r="A5" s="2" t="inlineStr">
        <is>
          <t>Common + RSA total</t>
        </is>
      </c>
    </row>
    <row r="6">
      <c r="A6" t="inlineStr">
        <is>
          <t>Founders post-tender common</t>
        </is>
      </c>
      <c r="B6" s="11">
        <f>'Pro-Forma'!C41+'Pro-Forma'!C42+'Pro-Forma'!C43</f>
        <v/>
      </c>
      <c r="C6" s="11">
        <f>'Pro-Forma'!C41+'Pro-Forma'!C42+'Pro-Forma'!C43</f>
        <v/>
      </c>
      <c r="D6" s="11">
        <f>'Pro-Forma'!C41+'Pro-Forma'!C42+'Pro-Forma'!C43</f>
        <v/>
      </c>
      <c r="E6" s="11">
        <f>'Pro-Forma'!C41+'Pro-Forma'!C42+'Pro-Forma'!C43</f>
        <v/>
      </c>
      <c r="F6" s="11">
        <f>'Pro-Forma'!C41+'Pro-Forma'!C42+'Pro-Forma'!C43</f>
        <v/>
      </c>
    </row>
    <row r="7">
      <c r="A7" t="inlineStr">
        <is>
          <t>RSAs (10×100k)</t>
        </is>
      </c>
      <c r="B7" s="11">
        <f>SUM('Pro-Forma'!C44:C53)</f>
        <v/>
      </c>
      <c r="C7" s="11">
        <f>SUM('Pro-Forma'!C44:C53)</f>
        <v/>
      </c>
      <c r="D7" s="11">
        <f>SUM('Pro-Forma'!C44:C53)</f>
        <v/>
      </c>
      <c r="E7" s="11">
        <f>SUM('Pro-Forma'!C44:C53)</f>
        <v/>
      </c>
      <c r="F7" s="11">
        <f>SUM('Pro-Forma'!C44:C53)</f>
        <v/>
      </c>
    </row>
    <row r="8">
      <c r="A8" t="inlineStr">
        <is>
          <t>F_LEAD secondary common</t>
        </is>
      </c>
      <c r="B8" s="11">
        <f>'Pro-Forma'!C72</f>
        <v/>
      </c>
      <c r="C8" s="11">
        <f>'Pro-Forma'!C72</f>
        <v/>
      </c>
      <c r="D8" s="11">
        <f>'Pro-Forma'!C72</f>
        <v/>
      </c>
      <c r="E8" s="11">
        <f>'Pro-Forma'!C72</f>
        <v/>
      </c>
      <c r="F8" s="11">
        <f>'Pro-Forma'!C72</f>
        <v/>
      </c>
    </row>
    <row r="9">
      <c r="A9" t="inlineStr">
        <is>
          <t>Notes A+B (combined)</t>
        </is>
      </c>
      <c r="B9" s="11">
        <f>('Pro-Forma'!C69+'Pro-Forma'!C70)</f>
        <v/>
      </c>
      <c r="C9" s="11">
        <f>('Pro-Forma'!C69+'Pro-Forma'!C70)</f>
        <v/>
      </c>
      <c r="D9" s="11">
        <f>('Pro-Forma'!C69+'Pro-Forma'!C70)</f>
        <v/>
      </c>
      <c r="E9" s="11">
        <f>('Pro-Forma'!C69+'Pro-Forma'!C70)</f>
        <v/>
      </c>
      <c r="F9" s="11">
        <f>('Pro-Forma'!C69+'Pro-Forma'!C70)</f>
        <v/>
      </c>
    </row>
    <row r="10">
      <c r="A10" t="inlineStr">
        <is>
          <t>Issued options (pre-strike)</t>
        </is>
      </c>
      <c r="B10" s="11">
        <f>Assumptions!$B$48</f>
        <v/>
      </c>
      <c r="C10" s="11">
        <f>Assumptions!$B$48</f>
        <v/>
      </c>
      <c r="D10" s="11">
        <f>Assumptions!$B$48</f>
        <v/>
      </c>
      <c r="E10" s="11">
        <f>Assumptions!$B$48</f>
        <v/>
      </c>
      <c r="F10" s="11">
        <f>Assumptions!$B$48</f>
        <v/>
      </c>
    </row>
    <row r="11">
      <c r="A11" s="2" t="inlineStr">
        <is>
          <t>Pool if all convert (no options)</t>
        </is>
      </c>
      <c r="B11" s="11">
        <f>('Pro-Forma'!C71+'Pro-Forma'!C73)+SUM('Pro-Forma'!C59:C68)+'Pro-Forma'!C58+'Pro-Forma'!C57+'Pro-Forma'!C56+'Pro-Forma'!C55+'Pro-Forma'!C54+'Pro-Forma'!C41+'Pro-Forma'!C42+'Pro-Forma'!C43+SUM('Pro-Forma'!C44:C53)+'Pro-Forma'!C72+('Pro-Forma'!C69+'Pro-Forma'!C70)</f>
        <v/>
      </c>
      <c r="C11" s="11">
        <f>('Pro-Forma'!C71+'Pro-Forma'!C73)+SUM('Pro-Forma'!C59:C68)+'Pro-Forma'!C58+'Pro-Forma'!C57+'Pro-Forma'!C56+'Pro-Forma'!C55+'Pro-Forma'!C54+'Pro-Forma'!C41+'Pro-Forma'!C42+'Pro-Forma'!C43+SUM('Pro-Forma'!C44:C53)+'Pro-Forma'!C72+('Pro-Forma'!C69+'Pro-Forma'!C70)</f>
        <v/>
      </c>
      <c r="D11" s="11">
        <f>('Pro-Forma'!C71+'Pro-Forma'!C73)+SUM('Pro-Forma'!C59:C68)+'Pro-Forma'!C58+'Pro-Forma'!C57+'Pro-Forma'!C56+'Pro-Forma'!C55+'Pro-Forma'!C54+'Pro-Forma'!C41+'Pro-Forma'!C42+'Pro-Forma'!C43+SUM('Pro-Forma'!C44:C53)+'Pro-Forma'!C72+('Pro-Forma'!C69+'Pro-Forma'!C70)</f>
        <v/>
      </c>
      <c r="E11" s="11">
        <f>('Pro-Forma'!C71+'Pro-Forma'!C73)+SUM('Pro-Forma'!C59:C68)+'Pro-Forma'!C58+'Pro-Forma'!C57+'Pro-Forma'!C56+'Pro-Forma'!C55+'Pro-Forma'!C54+'Pro-Forma'!C41+'Pro-Forma'!C42+'Pro-Forma'!C43+SUM('Pro-Forma'!C44:C53)+'Pro-Forma'!C72+('Pro-Forma'!C69+'Pro-Forma'!C70)</f>
        <v/>
      </c>
      <c r="F11" s="11">
        <f>('Pro-Forma'!C71+'Pro-Forma'!C73)+SUM('Pro-Forma'!C59:C68)+'Pro-Forma'!C58+'Pro-Forma'!C57+'Pro-Forma'!C56+'Pro-Forma'!C55+'Pro-Forma'!C54+'Pro-Forma'!C41+'Pro-Forma'!C42+'Pro-Forma'!C43+SUM('Pro-Forma'!C44:C53)+'Pro-Forma'!C72+('Pro-Forma'!C69+'Pro-Forma'!C70)</f>
        <v/>
      </c>
    </row>
    <row r="12">
      <c r="A12" s="2" t="inlineStr">
        <is>
          <t>Pool with options</t>
        </is>
      </c>
      <c r="B12" s="11">
        <f>B11+Assumptions!$B$48</f>
        <v/>
      </c>
      <c r="C12" s="11">
        <f>C11+Assumptions!$B$48</f>
        <v/>
      </c>
      <c r="D12" s="11">
        <f>D11+Assumptions!$B$48</f>
        <v/>
      </c>
      <c r="E12" s="11">
        <f>E11+Assumptions!$B$48</f>
        <v/>
      </c>
      <c r="F12" s="11">
        <f>F11+Assumptions!$B$48</f>
        <v/>
      </c>
    </row>
    <row r="13">
      <c r="A13" t="inlineStr">
        <is>
          <t>Tentative PPS (all convert, options in)</t>
        </is>
      </c>
      <c r="B13" s="10">
        <f>(B4+Assumptions!$B$11*Assumptions!$B$48)/B12</f>
        <v/>
      </c>
      <c r="C13" s="10">
        <f>(C4+Assumptions!$B$11*Assumptions!$B$48)/C12</f>
        <v/>
      </c>
      <c r="D13" s="10">
        <f>(D4+Assumptions!$B$11*Assumptions!$B$48)/D12</f>
        <v/>
      </c>
      <c r="E13" s="10">
        <f>(E4+Assumptions!$B$11*Assumptions!$B$48)/E12</f>
        <v/>
      </c>
      <c r="F13" s="10">
        <f>(F4+Assumptions!$B$11*Assumptions!$B$48)/F12</f>
        <v/>
      </c>
    </row>
    <row r="14">
      <c r="A14" s="2" t="inlineStr">
        <is>
          <t>Options ITM?</t>
        </is>
      </c>
      <c r="B14">
        <f>IF(B13&gt;Assumptions!$B$11,"YES","NO")</f>
        <v/>
      </c>
      <c r="C14">
        <f>IF(C13&gt;Assumptions!$B$11,"YES","NO")</f>
        <v/>
      </c>
      <c r="D14">
        <f>IF(D13&gt;Assumptions!$B$11,"YES","NO")</f>
        <v/>
      </c>
      <c r="E14">
        <f>IF(E13&gt;Assumptions!$B$11,"YES","NO")</f>
        <v/>
      </c>
      <c r="F14">
        <f>IF(F13&gt;Assumptions!$B$11,"YES","NO")</f>
        <v/>
      </c>
    </row>
    <row r="15">
      <c r="A15" t="inlineStr">
        <is>
          <t>Effective pool (ITM-aware)</t>
        </is>
      </c>
      <c r="B15" s="11">
        <f>IF(B14="YES",B12,B11)</f>
        <v/>
      </c>
      <c r="C15" s="11">
        <f>IF(C14="YES",C12,C11)</f>
        <v/>
      </c>
      <c r="D15" s="11">
        <f>IF(D14="YES",D12,D11)</f>
        <v/>
      </c>
      <c r="E15" s="11">
        <f>IF(E14="YES",E12,E11)</f>
        <v/>
      </c>
      <c r="F15" s="11">
        <f>IF(F14="YES",F12,F11)</f>
        <v/>
      </c>
    </row>
    <row r="16">
      <c r="A16" t="inlineStr">
        <is>
          <t>Adjusted exit (incl. strike if ITM)</t>
        </is>
      </c>
      <c r="B16" s="18">
        <f>IF(B14="YES",B4+Assumptions!$B$11*Assumptions!$B$48,B4)</f>
        <v/>
      </c>
      <c r="C16" s="18">
        <f>IF(C14="YES",C4+Assumptions!$B$11*Assumptions!$B$48,C4)</f>
        <v/>
      </c>
      <c r="D16" s="18">
        <f>IF(D14="YES",D4+Assumptions!$B$11*Assumptions!$B$48,D4)</f>
        <v/>
      </c>
      <c r="E16" s="18">
        <f>IF(E14="YES",E4+Assumptions!$B$11*Assumptions!$B$48,E4)</f>
        <v/>
      </c>
      <c r="F16" s="18">
        <f>IF(F14="YES",F4+Assumptions!$B$11*Assumptions!$B$48,F4)</f>
        <v/>
      </c>
    </row>
    <row r="18">
      <c r="A18" s="2" t="inlineStr">
        <is>
          <t>ELECTIONS (seniority F&gt;E&gt;D&gt;C&gt;B&gt;A&gt;Seed)</t>
        </is>
      </c>
    </row>
    <row r="20">
      <c r="A20" t="inlineStr">
        <is>
          <t>F: election</t>
        </is>
      </c>
      <c r="B20" s="19">
        <f>IF(Assumptions!$B$5&gt;(('Pro-Forma'!C71+'Pro-Forma'!C73))*(B16-(0))/(B15-(0)),"preference","convert")</f>
        <v/>
      </c>
      <c r="C20" s="19">
        <f>IF(Assumptions!$B$5&gt;(('Pro-Forma'!C71+'Pro-Forma'!C73))*(C16-(0))/(C15-(0)),"preference","convert")</f>
        <v/>
      </c>
      <c r="D20" s="19">
        <f>IF(Assumptions!$B$5&gt;(('Pro-Forma'!C71+'Pro-Forma'!C73))*(D16-(0))/(D15-(0)),"preference","convert")</f>
        <v/>
      </c>
      <c r="E20" s="19">
        <f>IF(Assumptions!$B$5&gt;(('Pro-Forma'!C71+'Pro-Forma'!C73))*(E16-(0))/(E15-(0)),"preference","convert")</f>
        <v/>
      </c>
      <c r="F20" s="19">
        <f>IF(Assumptions!$B$5&gt;(('Pro-Forma'!C71+'Pro-Forma'!C73))*(F16-(0))/(F15-(0)),"preference","convert")</f>
        <v/>
      </c>
    </row>
    <row r="21">
      <c r="A21" t="inlineStr">
        <is>
          <t>F: pref taken (USD)</t>
        </is>
      </c>
      <c r="B21" s="18">
        <f>IF(B20="preference",Assumptions!$B$5,0)</f>
        <v/>
      </c>
      <c r="C21" s="18">
        <f>IF(C20="preference",Assumptions!$B$5,0)</f>
        <v/>
      </c>
      <c r="D21" s="18">
        <f>IF(D20="preference",Assumptions!$B$5,0)</f>
        <v/>
      </c>
      <c r="E21" s="18">
        <f>IF(E20="preference",Assumptions!$B$5,0)</f>
        <v/>
      </c>
      <c r="F21" s="18">
        <f>IF(F20="preference",Assumptions!$B$5,0)</f>
        <v/>
      </c>
    </row>
    <row r="22">
      <c r="A22" t="inlineStr">
        <is>
          <t>F: pool loss (shares)</t>
        </is>
      </c>
      <c r="B22" s="11">
        <f>IF(B20="preference",('Pro-Forma'!C71+'Pro-Forma'!C73),0)</f>
        <v/>
      </c>
      <c r="C22" s="11">
        <f>IF(C20="preference",('Pro-Forma'!C71+'Pro-Forma'!C73),0)</f>
        <v/>
      </c>
      <c r="D22" s="11">
        <f>IF(D20="preference",('Pro-Forma'!C71+'Pro-Forma'!C73),0)</f>
        <v/>
      </c>
      <c r="E22" s="11">
        <f>IF(E20="preference",('Pro-Forma'!C71+'Pro-Forma'!C73),0)</f>
        <v/>
      </c>
      <c r="F22" s="11">
        <f>IF(F20="preference",('Pro-Forma'!C71+'Pro-Forma'!C73),0)</f>
        <v/>
      </c>
    </row>
    <row r="23">
      <c r="A23" t="inlineStr">
        <is>
          <t>E: election</t>
        </is>
      </c>
      <c r="B23" s="19">
        <f>IF(Assumptions!$B$35&gt;(SUM('Pro-Forma'!C59:C68))*(B16-(B21))/(B15-(B22)),"preference","convert")</f>
        <v/>
      </c>
      <c r="C23" s="19">
        <f>IF(Assumptions!$B$35&gt;(SUM('Pro-Forma'!C59:C68))*(C16-(C21))/(C15-(C22)),"preference","convert")</f>
        <v/>
      </c>
      <c r="D23" s="19">
        <f>IF(Assumptions!$B$35&gt;(SUM('Pro-Forma'!C59:C68))*(D16-(D21))/(D15-(D22)),"preference","convert")</f>
        <v/>
      </c>
      <c r="E23" s="19">
        <f>IF(Assumptions!$B$35&gt;(SUM('Pro-Forma'!C59:C68))*(E16-(E21))/(E15-(E22)),"preference","convert")</f>
        <v/>
      </c>
      <c r="F23" s="19">
        <f>IF(Assumptions!$B$35&gt;(SUM('Pro-Forma'!C59:C68))*(F16-(F21))/(F15-(F22)),"preference","convert")</f>
        <v/>
      </c>
    </row>
    <row r="24">
      <c r="A24" t="inlineStr">
        <is>
          <t>E: pref taken (USD)</t>
        </is>
      </c>
      <c r="B24" s="18">
        <f>IF(B23="preference",Assumptions!$B$35,0)</f>
        <v/>
      </c>
      <c r="C24" s="18">
        <f>IF(C23="preference",Assumptions!$B$35,0)</f>
        <v/>
      </c>
      <c r="D24" s="18">
        <f>IF(D23="preference",Assumptions!$B$35,0)</f>
        <v/>
      </c>
      <c r="E24" s="18">
        <f>IF(E23="preference",Assumptions!$B$35,0)</f>
        <v/>
      </c>
      <c r="F24" s="18">
        <f>IF(F23="preference",Assumptions!$B$35,0)</f>
        <v/>
      </c>
    </row>
    <row r="25">
      <c r="A25" t="inlineStr">
        <is>
          <t>E: pool loss (shares)</t>
        </is>
      </c>
      <c r="B25" s="11">
        <f>IF(B23="preference",SUM('Pro-Forma'!C59:C68),0)</f>
        <v/>
      </c>
      <c r="C25" s="11">
        <f>IF(C23="preference",SUM('Pro-Forma'!C59:C68),0)</f>
        <v/>
      </c>
      <c r="D25" s="11">
        <f>IF(D23="preference",SUM('Pro-Forma'!C59:C68),0)</f>
        <v/>
      </c>
      <c r="E25" s="11">
        <f>IF(E23="preference",SUM('Pro-Forma'!C59:C68),0)</f>
        <v/>
      </c>
      <c r="F25" s="11">
        <f>IF(F23="preference",SUM('Pro-Forma'!C59:C68),0)</f>
        <v/>
      </c>
    </row>
    <row r="26">
      <c r="A26" t="inlineStr">
        <is>
          <t>D: election</t>
        </is>
      </c>
      <c r="B26" s="19">
        <f>IF(Assumptions!$B$34&gt;('Pro-Forma'!C58)*(B16-(B21+B24))/(B15-(B22+B25)),"preference","convert")</f>
        <v/>
      </c>
      <c r="C26" s="19">
        <f>IF(Assumptions!$B$34&gt;('Pro-Forma'!C58)*(C16-(C21+C24))/(C15-(C22+C25)),"preference","convert")</f>
        <v/>
      </c>
      <c r="D26" s="19">
        <f>IF(Assumptions!$B$34&gt;('Pro-Forma'!C58)*(D16-(D21+D24))/(D15-(D22+D25)),"preference","convert")</f>
        <v/>
      </c>
      <c r="E26" s="19">
        <f>IF(Assumptions!$B$34&gt;('Pro-Forma'!C58)*(E16-(E21+E24))/(E15-(E22+E25)),"preference","convert")</f>
        <v/>
      </c>
      <c r="F26" s="19">
        <f>IF(Assumptions!$B$34&gt;('Pro-Forma'!C58)*(F16-(F21+F24))/(F15-(F22+F25)),"preference","convert")</f>
        <v/>
      </c>
    </row>
    <row r="27">
      <c r="A27" t="inlineStr">
        <is>
          <t>D: pref taken (USD)</t>
        </is>
      </c>
      <c r="B27" s="18">
        <f>IF(B26="preference",Assumptions!$B$34,0)</f>
        <v/>
      </c>
      <c r="C27" s="18">
        <f>IF(C26="preference",Assumptions!$B$34,0)</f>
        <v/>
      </c>
      <c r="D27" s="18">
        <f>IF(D26="preference",Assumptions!$B$34,0)</f>
        <v/>
      </c>
      <c r="E27" s="18">
        <f>IF(E26="preference",Assumptions!$B$34,0)</f>
        <v/>
      </c>
      <c r="F27" s="18">
        <f>IF(F26="preference",Assumptions!$B$34,0)</f>
        <v/>
      </c>
    </row>
    <row r="28">
      <c r="A28" t="inlineStr">
        <is>
          <t>D: pool loss (shares)</t>
        </is>
      </c>
      <c r="B28" s="11">
        <f>IF(B26="preference",'Pro-Forma'!C58,0)</f>
        <v/>
      </c>
      <c r="C28" s="11">
        <f>IF(C26="preference",'Pro-Forma'!C58,0)</f>
        <v/>
      </c>
      <c r="D28" s="11">
        <f>IF(D26="preference",'Pro-Forma'!C58,0)</f>
        <v/>
      </c>
      <c r="E28" s="11">
        <f>IF(E26="preference",'Pro-Forma'!C58,0)</f>
        <v/>
      </c>
      <c r="F28" s="11">
        <f>IF(F26="preference",'Pro-Forma'!C58,0)</f>
        <v/>
      </c>
    </row>
    <row r="29">
      <c r="A29" t="inlineStr">
        <is>
          <t>C: election</t>
        </is>
      </c>
      <c r="B29" s="19">
        <f>IF(Assumptions!$B$33&gt;('Pro-Forma'!C57)*(B16-(B21+B24+B27))/(B15-(B22+B25+B28)),"preference","convert")</f>
        <v/>
      </c>
      <c r="C29" s="19">
        <f>IF(Assumptions!$B$33&gt;('Pro-Forma'!C57)*(C16-(C21+C24+C27))/(C15-(C22+C25+C28)),"preference","convert")</f>
        <v/>
      </c>
      <c r="D29" s="19">
        <f>IF(Assumptions!$B$33&gt;('Pro-Forma'!C57)*(D16-(D21+D24+D27))/(D15-(D22+D25+D28)),"preference","convert")</f>
        <v/>
      </c>
      <c r="E29" s="19">
        <f>IF(Assumptions!$B$33&gt;('Pro-Forma'!C57)*(E16-(E21+E24+E27))/(E15-(E22+E25+E28)),"preference","convert")</f>
        <v/>
      </c>
      <c r="F29" s="19">
        <f>IF(Assumptions!$B$33&gt;('Pro-Forma'!C57)*(F16-(F21+F24+F27))/(F15-(F22+F25+F28)),"preference","convert")</f>
        <v/>
      </c>
    </row>
    <row r="30">
      <c r="A30" t="inlineStr">
        <is>
          <t>C: pref taken (USD)</t>
        </is>
      </c>
      <c r="B30" s="18">
        <f>IF(B29="preference",Assumptions!$B$33,0)</f>
        <v/>
      </c>
      <c r="C30" s="18">
        <f>IF(C29="preference",Assumptions!$B$33,0)</f>
        <v/>
      </c>
      <c r="D30" s="18">
        <f>IF(D29="preference",Assumptions!$B$33,0)</f>
        <v/>
      </c>
      <c r="E30" s="18">
        <f>IF(E29="preference",Assumptions!$B$33,0)</f>
        <v/>
      </c>
      <c r="F30" s="18">
        <f>IF(F29="preference",Assumptions!$B$33,0)</f>
        <v/>
      </c>
    </row>
    <row r="31">
      <c r="A31" t="inlineStr">
        <is>
          <t>C: pool loss (shares)</t>
        </is>
      </c>
      <c r="B31" s="11">
        <f>IF(B29="preference",'Pro-Forma'!C57,0)</f>
        <v/>
      </c>
      <c r="C31" s="11">
        <f>IF(C29="preference",'Pro-Forma'!C57,0)</f>
        <v/>
      </c>
      <c r="D31" s="11">
        <f>IF(D29="preference",'Pro-Forma'!C57,0)</f>
        <v/>
      </c>
      <c r="E31" s="11">
        <f>IF(E29="preference",'Pro-Forma'!C57,0)</f>
        <v/>
      </c>
      <c r="F31" s="11">
        <f>IF(F29="preference",'Pro-Forma'!C57,0)</f>
        <v/>
      </c>
    </row>
    <row r="32">
      <c r="A32" t="inlineStr">
        <is>
          <t>B: election</t>
        </is>
      </c>
      <c r="B32" s="19">
        <f>IF(Assumptions!$B$32&gt;('Pro-Forma'!C56)*(B16-(B21+B24+B27+B30))/(B15-(B22+B25+B28+B31)),"preference","convert")</f>
        <v/>
      </c>
      <c r="C32" s="19">
        <f>IF(Assumptions!$B$32&gt;('Pro-Forma'!C56)*(C16-(C21+C24+C27+C30))/(C15-(C22+C25+C28+C31)),"preference","convert")</f>
        <v/>
      </c>
      <c r="D32" s="19">
        <f>IF(Assumptions!$B$32&gt;('Pro-Forma'!C56)*(D16-(D21+D24+D27+D30))/(D15-(D22+D25+D28+D31)),"preference","convert")</f>
        <v/>
      </c>
      <c r="E32" s="19">
        <f>IF(Assumptions!$B$32&gt;('Pro-Forma'!C56)*(E16-(E21+E24+E27+E30))/(E15-(E22+E25+E28+E31)),"preference","convert")</f>
        <v/>
      </c>
      <c r="F32" s="19">
        <f>IF(Assumptions!$B$32&gt;('Pro-Forma'!C56)*(F16-(F21+F24+F27+F30))/(F15-(F22+F25+F28+F31)),"preference","convert")</f>
        <v/>
      </c>
    </row>
    <row r="33">
      <c r="A33" t="inlineStr">
        <is>
          <t>B: pref taken (USD)</t>
        </is>
      </c>
      <c r="B33" s="18">
        <f>IF(B32="preference",Assumptions!$B$32,0)</f>
        <v/>
      </c>
      <c r="C33" s="18">
        <f>IF(C32="preference",Assumptions!$B$32,0)</f>
        <v/>
      </c>
      <c r="D33" s="18">
        <f>IF(D32="preference",Assumptions!$B$32,0)</f>
        <v/>
      </c>
      <c r="E33" s="18">
        <f>IF(E32="preference",Assumptions!$B$32,0)</f>
        <v/>
      </c>
      <c r="F33" s="18">
        <f>IF(F32="preference",Assumptions!$B$32,0)</f>
        <v/>
      </c>
    </row>
    <row r="34">
      <c r="A34" t="inlineStr">
        <is>
          <t>B: pool loss (shares)</t>
        </is>
      </c>
      <c r="B34" s="11">
        <f>IF(B32="preference",'Pro-Forma'!C56,0)</f>
        <v/>
      </c>
      <c r="C34" s="11">
        <f>IF(C32="preference",'Pro-Forma'!C56,0)</f>
        <v/>
      </c>
      <c r="D34" s="11">
        <f>IF(D32="preference",'Pro-Forma'!C56,0)</f>
        <v/>
      </c>
      <c r="E34" s="11">
        <f>IF(E32="preference",'Pro-Forma'!C56,0)</f>
        <v/>
      </c>
      <c r="F34" s="11">
        <f>IF(F32="preference",'Pro-Forma'!C56,0)</f>
        <v/>
      </c>
    </row>
    <row r="35">
      <c r="A35" t="inlineStr">
        <is>
          <t>A: election</t>
        </is>
      </c>
      <c r="B35" s="19">
        <f>IF(Assumptions!$B$31&gt;('Pro-Forma'!C55)*(B16-(B21+B24+B27+B30+B33))/(B15-(B22+B25+B28+B31+B34)),"preference","convert")</f>
        <v/>
      </c>
      <c r="C35" s="19">
        <f>IF(Assumptions!$B$31&gt;('Pro-Forma'!C55)*(C16-(C21+C24+C27+C30+C33))/(C15-(C22+C25+C28+C31+C34)),"preference","convert")</f>
        <v/>
      </c>
      <c r="D35" s="19">
        <f>IF(Assumptions!$B$31&gt;('Pro-Forma'!C55)*(D16-(D21+D24+D27+D30+D33))/(D15-(D22+D25+D28+D31+D34)),"preference","convert")</f>
        <v/>
      </c>
      <c r="E35" s="19">
        <f>IF(Assumptions!$B$31&gt;('Pro-Forma'!C55)*(E16-(E21+E24+E27+E30+E33))/(E15-(E22+E25+E28+E31+E34)),"preference","convert")</f>
        <v/>
      </c>
      <c r="F35" s="19">
        <f>IF(Assumptions!$B$31&gt;('Pro-Forma'!C55)*(F16-(F21+F24+F27+F30+F33))/(F15-(F22+F25+F28+F31+F34)),"preference","convert")</f>
        <v/>
      </c>
    </row>
    <row r="36">
      <c r="A36" t="inlineStr">
        <is>
          <t>A: pref taken (USD)</t>
        </is>
      </c>
      <c r="B36" s="18">
        <f>IF(B35="preference",Assumptions!$B$31,0)</f>
        <v/>
      </c>
      <c r="C36" s="18">
        <f>IF(C35="preference",Assumptions!$B$31,0)</f>
        <v/>
      </c>
      <c r="D36" s="18">
        <f>IF(D35="preference",Assumptions!$B$31,0)</f>
        <v/>
      </c>
      <c r="E36" s="18">
        <f>IF(E35="preference",Assumptions!$B$31,0)</f>
        <v/>
      </c>
      <c r="F36" s="18">
        <f>IF(F35="preference",Assumptions!$B$31,0)</f>
        <v/>
      </c>
    </row>
    <row r="37">
      <c r="A37" t="inlineStr">
        <is>
          <t>A: pool loss (shares)</t>
        </is>
      </c>
      <c r="B37" s="11">
        <f>IF(B35="preference",'Pro-Forma'!C55,0)</f>
        <v/>
      </c>
      <c r="C37" s="11">
        <f>IF(C35="preference",'Pro-Forma'!C55,0)</f>
        <v/>
      </c>
      <c r="D37" s="11">
        <f>IF(D35="preference",'Pro-Forma'!C55,0)</f>
        <v/>
      </c>
      <c r="E37" s="11">
        <f>IF(E35="preference",'Pro-Forma'!C55,0)</f>
        <v/>
      </c>
      <c r="F37" s="11">
        <f>IF(F35="preference",'Pro-Forma'!C55,0)</f>
        <v/>
      </c>
    </row>
    <row r="38">
      <c r="A38" t="inlineStr">
        <is>
          <t>Seed: election</t>
        </is>
      </c>
      <c r="B38" s="19">
        <f>IF(Assumptions!$B$30&gt;('Pro-Forma'!C54)*(B16-(B21+B24+B27+B30+B33+B36))/(B15-(B22+B25+B28+B31+B34+B37)),"preference","convert")</f>
        <v/>
      </c>
      <c r="C38" s="19">
        <f>IF(Assumptions!$B$30&gt;('Pro-Forma'!C54)*(C16-(C21+C24+C27+C30+C33+C36))/(C15-(C22+C25+C28+C31+C34+C37)),"preference","convert")</f>
        <v/>
      </c>
      <c r="D38" s="19">
        <f>IF(Assumptions!$B$30&gt;('Pro-Forma'!C54)*(D16-(D21+D24+D27+D30+D33+D36))/(D15-(D22+D25+D28+D31+D34+D37)),"preference","convert")</f>
        <v/>
      </c>
      <c r="E38" s="19">
        <f>IF(Assumptions!$B$30&gt;('Pro-Forma'!C54)*(E16-(E21+E24+E27+E30+E33+E36))/(E15-(E22+E25+E28+E31+E34+E37)),"preference","convert")</f>
        <v/>
      </c>
      <c r="F38" s="19">
        <f>IF(Assumptions!$B$30&gt;('Pro-Forma'!C54)*(F16-(F21+F24+F27+F30+F33+F36))/(F15-(F22+F25+F28+F31+F34+F37)),"preference","convert")</f>
        <v/>
      </c>
    </row>
    <row r="39">
      <c r="A39" t="inlineStr">
        <is>
          <t>Seed: pref taken (USD)</t>
        </is>
      </c>
      <c r="B39" s="18">
        <f>IF(B38="preference",Assumptions!$B$30,0)</f>
        <v/>
      </c>
      <c r="C39" s="18">
        <f>IF(C38="preference",Assumptions!$B$30,0)</f>
        <v/>
      </c>
      <c r="D39" s="18">
        <f>IF(D38="preference",Assumptions!$B$30,0)</f>
        <v/>
      </c>
      <c r="E39" s="18">
        <f>IF(E38="preference",Assumptions!$B$30,0)</f>
        <v/>
      </c>
      <c r="F39" s="18">
        <f>IF(F38="preference",Assumptions!$B$30,0)</f>
        <v/>
      </c>
    </row>
    <row r="40">
      <c r="A40" t="inlineStr">
        <is>
          <t>Seed: pool loss (shares)</t>
        </is>
      </c>
      <c r="B40" s="11">
        <f>IF(B38="preference",'Pro-Forma'!C54,0)</f>
        <v/>
      </c>
      <c r="C40" s="11">
        <f>IF(C38="preference",'Pro-Forma'!C54,0)</f>
        <v/>
      </c>
      <c r="D40" s="11">
        <f>IF(D38="preference",'Pro-Forma'!C54,0)</f>
        <v/>
      </c>
      <c r="E40" s="11">
        <f>IF(E38="preference",'Pro-Forma'!C54,0)</f>
        <v/>
      </c>
      <c r="F40" s="11">
        <f>IF(F38="preference",'Pro-Forma'!C54,0)</f>
        <v/>
      </c>
    </row>
    <row r="41">
      <c r="A41" s="2" t="inlineStr">
        <is>
          <t>Total prefs taken (USD)</t>
        </is>
      </c>
      <c r="B41" s="18">
        <f>B21+B24+B27+B30+B33+B36+B39</f>
        <v/>
      </c>
      <c r="C41" s="18">
        <f>C21+C24+C27+C30+C33+C36+C39</f>
        <v/>
      </c>
      <c r="D41" s="18">
        <f>D21+D24+D27+D30+D33+D36+D39</f>
        <v/>
      </c>
      <c r="E41" s="18">
        <f>E21+E24+E27+E30+E33+E36+E39</f>
        <v/>
      </c>
      <c r="F41" s="18">
        <f>F21+F24+F27+F30+F33+F36+F39</f>
        <v/>
      </c>
    </row>
    <row r="42">
      <c r="A42" s="2" t="inlineStr">
        <is>
          <t>Total pool losses (shares)</t>
        </is>
      </c>
      <c r="B42" s="11">
        <f>B22+B25+B28+B31+B34+B37+B40</f>
        <v/>
      </c>
      <c r="C42" s="11">
        <f>C22+C25+C28+C31+C34+C37+C40</f>
        <v/>
      </c>
      <c r="D42" s="11">
        <f>D22+D25+D28+D31+D34+D37+D40</f>
        <v/>
      </c>
      <c r="E42" s="11">
        <f>E22+E25+E28+E31+E34+E37+E40</f>
        <v/>
      </c>
      <c r="F42" s="11">
        <f>F22+F25+F28+F31+F34+F37+F40</f>
        <v/>
      </c>
    </row>
    <row r="43">
      <c r="A43" s="2" t="inlineStr">
        <is>
          <t>Final convert PPS</t>
        </is>
      </c>
      <c r="B43" s="10">
        <f>(B16-B41)/(B15-B42)</f>
        <v/>
      </c>
      <c r="C43" s="10">
        <f>(C16-C41)/(C15-C42)</f>
        <v/>
      </c>
      <c r="D43" s="10">
        <f>(D16-D41)/(D15-D42)</f>
        <v/>
      </c>
      <c r="E43" s="10">
        <f>(E16-E41)/(E15-E42)</f>
        <v/>
      </c>
      <c r="F43" s="10">
        <f>(F16-F41)/(F15-F42)</f>
        <v/>
      </c>
    </row>
    <row r="46">
      <c r="A46" s="2" t="inlineStr">
        <is>
          <t>PAYOFFS BY STAKEHOLDER CLASS</t>
        </is>
      </c>
    </row>
    <row r="47">
      <c r="A47" t="inlineStr">
        <is>
          <t>F (primary preferred)</t>
        </is>
      </c>
      <c r="B47" s="18">
        <f>IF(B20="preference",Assumptions!$B$5,(('Pro-Forma'!C71+'Pro-Forma'!C73))*B43)</f>
        <v/>
      </c>
      <c r="C47" s="18">
        <f>IF(C20="preference",Assumptions!$B$5,(('Pro-Forma'!C71+'Pro-Forma'!C73))*C43)</f>
        <v/>
      </c>
      <c r="D47" s="18">
        <f>IF(D20="preference",Assumptions!$B$5,(('Pro-Forma'!C71+'Pro-Forma'!C73))*D43)</f>
        <v/>
      </c>
      <c r="E47" s="18">
        <f>IF(E20="preference",Assumptions!$B$5,(('Pro-Forma'!C71+'Pro-Forma'!C73))*E43)</f>
        <v/>
      </c>
      <c r="F47" s="18">
        <f>IF(F20="preference",Assumptions!$B$5,(('Pro-Forma'!C71+'Pro-Forma'!C73))*F43)</f>
        <v/>
      </c>
    </row>
    <row r="48">
      <c r="A48" t="inlineStr">
        <is>
          <t>E (preferred)</t>
        </is>
      </c>
      <c r="B48" s="18">
        <f>IF(B23="preference",Assumptions!$B$35,(SUM('Pro-Forma'!C59:C68))*B43)</f>
        <v/>
      </c>
      <c r="C48" s="18">
        <f>IF(C23="preference",Assumptions!$B$35,(SUM('Pro-Forma'!C59:C68))*C43)</f>
        <v/>
      </c>
      <c r="D48" s="18">
        <f>IF(D23="preference",Assumptions!$B$35,(SUM('Pro-Forma'!C59:C68))*D43)</f>
        <v/>
      </c>
      <c r="E48" s="18">
        <f>IF(E23="preference",Assumptions!$B$35,(SUM('Pro-Forma'!C59:C68))*E43)</f>
        <v/>
      </c>
      <c r="F48" s="18">
        <f>IF(F23="preference",Assumptions!$B$35,(SUM('Pro-Forma'!C59:C68))*F43)</f>
        <v/>
      </c>
    </row>
    <row r="49">
      <c r="A49" t="inlineStr">
        <is>
          <t>D (preferred)</t>
        </is>
      </c>
      <c r="B49" s="18">
        <f>IF(B26="preference",Assumptions!$B$34,('Pro-Forma'!C58)*B43)</f>
        <v/>
      </c>
      <c r="C49" s="18">
        <f>IF(C26="preference",Assumptions!$B$34,('Pro-Forma'!C58)*C43)</f>
        <v/>
      </c>
      <c r="D49" s="18">
        <f>IF(D26="preference",Assumptions!$B$34,('Pro-Forma'!C58)*D43)</f>
        <v/>
      </c>
      <c r="E49" s="18">
        <f>IF(E26="preference",Assumptions!$B$34,('Pro-Forma'!C58)*E43)</f>
        <v/>
      </c>
      <c r="F49" s="18">
        <f>IF(F26="preference",Assumptions!$B$34,('Pro-Forma'!C58)*F43)</f>
        <v/>
      </c>
    </row>
    <row r="50">
      <c r="A50" t="inlineStr">
        <is>
          <t>C (preferred)</t>
        </is>
      </c>
      <c r="B50" s="18">
        <f>IF(B29="preference",Assumptions!$B$33,('Pro-Forma'!C57)*B43)</f>
        <v/>
      </c>
      <c r="C50" s="18">
        <f>IF(C29="preference",Assumptions!$B$33,('Pro-Forma'!C57)*C43)</f>
        <v/>
      </c>
      <c r="D50" s="18">
        <f>IF(D29="preference",Assumptions!$B$33,('Pro-Forma'!C57)*D43)</f>
        <v/>
      </c>
      <c r="E50" s="18">
        <f>IF(E29="preference",Assumptions!$B$33,('Pro-Forma'!C57)*E43)</f>
        <v/>
      </c>
      <c r="F50" s="18">
        <f>IF(F29="preference",Assumptions!$B$33,('Pro-Forma'!C57)*F43)</f>
        <v/>
      </c>
    </row>
    <row r="51">
      <c r="A51" t="inlineStr">
        <is>
          <t>B (preferred)</t>
        </is>
      </c>
      <c r="B51" s="18">
        <f>IF(B32="preference",Assumptions!$B$32,('Pro-Forma'!C56)*B43)</f>
        <v/>
      </c>
      <c r="C51" s="18">
        <f>IF(C32="preference",Assumptions!$B$32,('Pro-Forma'!C56)*C43)</f>
        <v/>
      </c>
      <c r="D51" s="18">
        <f>IF(D32="preference",Assumptions!$B$32,('Pro-Forma'!C56)*D43)</f>
        <v/>
      </c>
      <c r="E51" s="18">
        <f>IF(E32="preference",Assumptions!$B$32,('Pro-Forma'!C56)*E43)</f>
        <v/>
      </c>
      <c r="F51" s="18">
        <f>IF(F32="preference",Assumptions!$B$32,('Pro-Forma'!C56)*F43)</f>
        <v/>
      </c>
    </row>
    <row r="52">
      <c r="A52" t="inlineStr">
        <is>
          <t>A (preferred)</t>
        </is>
      </c>
      <c r="B52" s="18">
        <f>IF(B35="preference",Assumptions!$B$31,('Pro-Forma'!C55)*B43)</f>
        <v/>
      </c>
      <c r="C52" s="18">
        <f>IF(C35="preference",Assumptions!$B$31,('Pro-Forma'!C55)*C43)</f>
        <v/>
      </c>
      <c r="D52" s="18">
        <f>IF(D35="preference",Assumptions!$B$31,('Pro-Forma'!C55)*D43)</f>
        <v/>
      </c>
      <c r="E52" s="18">
        <f>IF(E35="preference",Assumptions!$B$31,('Pro-Forma'!C55)*E43)</f>
        <v/>
      </c>
      <c r="F52" s="18">
        <f>IF(F35="preference",Assumptions!$B$31,('Pro-Forma'!C55)*F43)</f>
        <v/>
      </c>
    </row>
    <row r="53">
      <c r="A53" t="inlineStr">
        <is>
          <t>Seed (preferred)</t>
        </is>
      </c>
      <c r="B53" s="18">
        <f>IF(B38="preference",Assumptions!$B$30,('Pro-Forma'!C54)*B43)</f>
        <v/>
      </c>
      <c r="C53" s="18">
        <f>IF(C38="preference",Assumptions!$B$30,('Pro-Forma'!C54)*C43)</f>
        <v/>
      </c>
      <c r="D53" s="18">
        <f>IF(D38="preference",Assumptions!$B$30,('Pro-Forma'!C54)*D43)</f>
        <v/>
      </c>
      <c r="E53" s="18">
        <f>IF(E38="preference",Assumptions!$B$30,('Pro-Forma'!C54)*E43)</f>
        <v/>
      </c>
      <c r="F53" s="18">
        <f>IF(F38="preference",Assumptions!$B$30,('Pro-Forma'!C54)*F43)</f>
        <v/>
      </c>
    </row>
    <row r="54">
      <c r="A54" t="inlineStr">
        <is>
          <t>Notes A+B (common-equiv, always convert)</t>
        </is>
      </c>
      <c r="B54" s="18">
        <f>(('Pro-Forma'!C69+'Pro-Forma'!C70))*B43</f>
        <v/>
      </c>
      <c r="C54" s="18">
        <f>(('Pro-Forma'!C69+'Pro-Forma'!C70))*C43</f>
        <v/>
      </c>
      <c r="D54" s="18">
        <f>(('Pro-Forma'!C69+'Pro-Forma'!C70))*D43</f>
        <v/>
      </c>
      <c r="E54" s="18">
        <f>(('Pro-Forma'!C69+'Pro-Forma'!C70))*E43</f>
        <v/>
      </c>
      <c r="F54" s="18">
        <f>(('Pro-Forma'!C69+'Pro-Forma'!C70))*F43</f>
        <v/>
      </c>
    </row>
    <row r="55">
      <c r="A55" t="inlineStr">
        <is>
          <t>Common + RSAs</t>
        </is>
      </c>
      <c r="B55" s="18">
        <f>('Pro-Forma'!C41+'Pro-Forma'!C42+'Pro-Forma'!C43+SUM('Pro-Forma'!C44:C53)+'Pro-Forma'!C72)*B43</f>
        <v/>
      </c>
      <c r="C55" s="18">
        <f>('Pro-Forma'!C41+'Pro-Forma'!C42+'Pro-Forma'!C43+SUM('Pro-Forma'!C44:C53)+'Pro-Forma'!C72)*C43</f>
        <v/>
      </c>
      <c r="D55" s="18">
        <f>('Pro-Forma'!C41+'Pro-Forma'!C42+'Pro-Forma'!C43+SUM('Pro-Forma'!C44:C53)+'Pro-Forma'!C72)*D43</f>
        <v/>
      </c>
      <c r="E55" s="18">
        <f>('Pro-Forma'!C41+'Pro-Forma'!C42+'Pro-Forma'!C43+SUM('Pro-Forma'!C44:C53)+'Pro-Forma'!C72)*E43</f>
        <v/>
      </c>
      <c r="F55" s="18">
        <f>('Pro-Forma'!C41+'Pro-Forma'!C42+'Pro-Forma'!C43+SUM('Pro-Forma'!C44:C53)+'Pro-Forma'!C72)*F43</f>
        <v/>
      </c>
    </row>
    <row r="56">
      <c r="A56" t="inlineStr">
        <is>
          <t>Issued options (net of strike if ITM)</t>
        </is>
      </c>
      <c r="B56" s="18">
        <f>IF(B14="YES",Assumptions!$B$48*(B43-Assumptions!$B$11),0)</f>
        <v/>
      </c>
      <c r="C56" s="18">
        <f>IF(C14="YES",Assumptions!$B$48*(C43-Assumptions!$B$11),0)</f>
        <v/>
      </c>
      <c r="D56" s="18">
        <f>IF(D14="YES",Assumptions!$B$48*(D43-Assumptions!$B$11),0)</f>
        <v/>
      </c>
      <c r="E56" s="18">
        <f>IF(E14="YES",Assumptions!$B$48*(E43-Assumptions!$B$11),0)</f>
        <v/>
      </c>
      <c r="F56" s="18">
        <f>IF(F14="YES",Assumptions!$B$48*(F43-Assumptions!$B$11),0)</f>
        <v/>
      </c>
    </row>
    <row r="57">
      <c r="A57" t="inlineStr">
        <is>
          <t>Unissued options (forfeit)</t>
        </is>
      </c>
      <c r="B57" s="18">
        <f>0</f>
        <v/>
      </c>
      <c r="C57" s="18">
        <f>0</f>
        <v/>
      </c>
      <c r="D57" s="18">
        <f>0</f>
        <v/>
      </c>
      <c r="E57" s="18">
        <f>0</f>
        <v/>
      </c>
      <c r="F57" s="18">
        <f>0</f>
        <v/>
      </c>
    </row>
    <row r="58">
      <c r="A58" s="2" t="inlineStr">
        <is>
          <t>TOTAL PAYOFFS</t>
        </is>
      </c>
      <c r="B58" s="18">
        <f>SUM(B47:B57)</f>
        <v/>
      </c>
      <c r="C58" s="18">
        <f>SUM(C47:C57)</f>
        <v/>
      </c>
      <c r="D58" s="18">
        <f>SUM(D47:D57)</f>
        <v/>
      </c>
      <c r="E58" s="18">
        <f>SUM(E47:E57)</f>
        <v/>
      </c>
      <c r="F58" s="18">
        <f>SUM(F47:F57)</f>
        <v/>
      </c>
    </row>
    <row r="59">
      <c r="A59" s="2" t="inlineStr">
        <is>
          <t>Reconcile (= total - exit)</t>
        </is>
      </c>
      <c r="B59" s="18">
        <f>B58-B4</f>
        <v/>
      </c>
      <c r="C59" s="18">
        <f>C58-C4</f>
        <v/>
      </c>
      <c r="D59" s="18">
        <f>D58-D4</f>
        <v/>
      </c>
      <c r="E59" s="18">
        <f>E58-E4</f>
        <v/>
      </c>
      <c r="F59" s="18">
        <f>F58-F4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Sensitivity: Our $10M check at $2B exit</t>
        </is>
      </c>
    </row>
    <row r="2">
      <c r="A2" s="15" t="inlineStr">
        <is>
          <t>3×3 grid: ESOP refresh × Series F pre-money</t>
        </is>
      </c>
    </row>
    <row r="4">
      <c r="A4" s="2" t="inlineStr">
        <is>
          <t>ESOP \ Pre-money</t>
        </is>
      </c>
      <c r="B4" s="16" t="inlineStr">
        <is>
          <t>$1.2B</t>
        </is>
      </c>
      <c r="C4" s="16" t="inlineStr">
        <is>
          <t>$1.4B</t>
        </is>
      </c>
      <c r="D4" s="16" t="inlineStr">
        <is>
          <t>$1.8B</t>
        </is>
      </c>
      <c r="F4" s="2" t="inlineStr">
        <is>
          <t>$ Proceeds</t>
        </is>
      </c>
      <c r="G4" s="16" t="inlineStr">
        <is>
          <t>$1.2B</t>
        </is>
      </c>
      <c r="H4" s="16" t="inlineStr">
        <is>
          <t>$1.4B</t>
        </is>
      </c>
      <c r="I4" s="16" t="inlineStr">
        <is>
          <t>$1.8B</t>
        </is>
      </c>
    </row>
    <row r="5">
      <c r="A5" s="16" t="inlineStr">
        <is>
          <t>ESOP 11%</t>
        </is>
      </c>
      <c r="B5" s="12">
        <f>'Sensitivity'!B60</f>
        <v/>
      </c>
      <c r="C5" s="12">
        <f>'Sensitivity'!B160</f>
        <v/>
      </c>
      <c r="D5" s="12">
        <f>'Sensitivity'!B260</f>
        <v/>
      </c>
      <c r="F5" s="16" t="inlineStr">
        <is>
          <t>ESOP 11%</t>
        </is>
      </c>
      <c r="G5" s="18">
        <f>'Sensitivity'!B88</f>
        <v/>
      </c>
      <c r="H5" s="18">
        <f>'Sensitivity'!B188</f>
        <v/>
      </c>
      <c r="I5" s="18">
        <f>'Sensitivity'!B288</f>
        <v/>
      </c>
    </row>
    <row r="6">
      <c r="A6" s="16" t="inlineStr">
        <is>
          <t>ESOP 13%</t>
        </is>
      </c>
      <c r="B6" s="12">
        <f>'Sensitivity'!B360</f>
        <v/>
      </c>
      <c r="C6" s="12">
        <f>'Sensitivity'!B460</f>
        <v/>
      </c>
      <c r="D6" s="12">
        <f>'Sensitivity'!B560</f>
        <v/>
      </c>
      <c r="F6" s="16" t="inlineStr">
        <is>
          <t>ESOP 13%</t>
        </is>
      </c>
      <c r="G6" s="18">
        <f>'Sensitivity'!B388</f>
        <v/>
      </c>
      <c r="H6" s="18">
        <f>'Sensitivity'!B488</f>
        <v/>
      </c>
      <c r="I6" s="18">
        <f>'Sensitivity'!B588</f>
        <v/>
      </c>
    </row>
    <row r="7">
      <c r="A7" s="16" t="inlineStr">
        <is>
          <t>ESOP 15%</t>
        </is>
      </c>
      <c r="B7" s="12">
        <f>'Sensitivity'!B660</f>
        <v/>
      </c>
      <c r="C7" s="12">
        <f>'Sensitivity'!B760</f>
        <v/>
      </c>
      <c r="D7" s="12">
        <f>'Sensitivity'!B860</f>
        <v/>
      </c>
      <c r="F7" s="16" t="inlineStr">
        <is>
          <t>ESOP 15%</t>
        </is>
      </c>
      <c r="G7" s="18">
        <f>'Sensitivity'!B688</f>
        <v/>
      </c>
      <c r="H7" s="18">
        <f>'Sensitivity'!B788</f>
        <v/>
      </c>
      <c r="I7" s="18">
        <f>'Sensitivity'!B888</f>
        <v/>
      </c>
    </row>
    <row r="10">
      <c r="A10" s="2" t="inlineStr">
        <is>
          <t>--- SCRATCH BLOCKS (per-scenario fixed-point solve at $2B exit) ---</t>
        </is>
      </c>
    </row>
    <row r="12">
      <c r="A12" s="2" t="inlineStr">
        <is>
          <t>Scenario [esop=11%, pre=$1.2B]</t>
        </is>
      </c>
    </row>
    <row r="13">
      <c r="A13" t="inlineStr">
        <is>
          <t>ESOP target</t>
        </is>
      </c>
      <c r="B13">
        <f>Assumptions!$B$67</f>
        <v/>
      </c>
    </row>
    <row r="14">
      <c r="A14" t="inlineStr">
        <is>
          <t>Pre-money</t>
        </is>
      </c>
      <c r="B14">
        <f>Assumptions!$B$70</f>
        <v/>
      </c>
    </row>
    <row r="16">
      <c r="A16" s="14" t="inlineStr">
        <is>
          <t>k</t>
        </is>
      </c>
      <c r="B16" s="14" t="inlineStr">
        <is>
          <t>F_PPS_k</t>
        </is>
      </c>
      <c r="C16" s="14" t="inlineStr">
        <is>
          <t>nA_k</t>
        </is>
      </c>
      <c r="D16" s="14" t="inlineStr">
        <is>
          <t>nB_k</t>
        </is>
      </c>
      <c r="E16" s="14" t="inlineStr">
        <is>
          <t>AD_x</t>
        </is>
      </c>
      <c r="F16" s="14" t="inlineStr">
        <is>
          <t>F_pri</t>
        </is>
      </c>
      <c r="G16" s="14" t="inlineStr">
        <is>
          <t>topup_p</t>
        </is>
      </c>
      <c r="H16" s="14" t="inlineStr">
        <is>
          <t>topup</t>
        </is>
      </c>
      <c r="I16" s="14" t="inlineStr">
        <is>
          <t>pmFD</t>
        </is>
      </c>
      <c r="J16" s="14" t="inlineStr">
        <is>
          <t>T_F</t>
        </is>
      </c>
      <c r="K16" s="14" t="inlineStr">
        <is>
          <t>pmFD_A</t>
        </is>
      </c>
      <c r="L16" s="14" t="inlineStr">
        <is>
          <t>pmFD_B</t>
        </is>
      </c>
      <c r="M16" s="14" t="inlineStr">
        <is>
          <t>cap_A</t>
        </is>
      </c>
      <c r="N16" s="14" t="inlineStr">
        <is>
          <t>disc_A</t>
        </is>
      </c>
      <c r="O16" s="14" t="inlineStr">
        <is>
          <t>conv_A</t>
        </is>
      </c>
      <c r="P16" s="14" t="inlineStr">
        <is>
          <t>cap_B</t>
        </is>
      </c>
      <c r="Q16" s="14" t="inlineStr">
        <is>
          <t>disc_B</t>
        </is>
      </c>
      <c r="R16" s="14" t="inlineStr">
        <is>
          <t>conv_B</t>
        </is>
      </c>
      <c r="S16" s="14" t="inlineStr">
        <is>
          <t>F_PPS_n</t>
        </is>
      </c>
      <c r="T16" s="14" t="inlineStr">
        <is>
          <t>nA_n</t>
        </is>
      </c>
      <c r="U16" s="14" t="inlineStr">
        <is>
          <t>nB_n</t>
        </is>
      </c>
    </row>
    <row r="17">
      <c r="A17" t="n">
        <v>0</v>
      </c>
      <c r="B17">
        <f>$B$14/Assumptions!$B$50</f>
        <v/>
      </c>
      <c r="C17" t="n">
        <v>0</v>
      </c>
      <c r="D17" t="n">
        <v>0</v>
      </c>
      <c r="E17">
        <f>MAX(0,Assumptions!$B$34/IF(B17&lt;Assumptions!$B$25,Assumptions!$B$25*(Assumptions!$B$50+Assumptions!$B$5/Assumptions!$B$25)/(Assumptions!$B$50+Assumptions!$B$5/B17),Assumptions!$B$25)-Assumptions!$B$42)+MAX(0,Assumptions!$B$35/IF(B17&lt;Assumptions!$B$26,Assumptions!$B$26*(Assumptions!$B$50+Assumptions!$B$5/Assumptions!$B$26)/(Assumptions!$B$50+Assumptions!$B$5/B17),Assumptions!$B$26)-Assumptions!$B$43)</f>
        <v/>
      </c>
      <c r="F17">
        <f>Assumptions!$B$5/B17</f>
        <v/>
      </c>
      <c r="G17">
        <f>$B$13*(((Assumptions!$B$50-Assumptions!$B$51+E17+C17+D17)+F17)/(1-$B$13))-Assumptions!$B$51</f>
        <v/>
      </c>
      <c r="H17">
        <f>MAX(0,G17)</f>
        <v/>
      </c>
      <c r="I17">
        <f>Assumptions!$B$50+E17+H17+C17+D17</f>
        <v/>
      </c>
      <c r="J17">
        <f>I17+F17</f>
        <v/>
      </c>
      <c r="K17">
        <f>Assumptions!$B$50+E17+H17+D17</f>
        <v/>
      </c>
      <c r="L17">
        <f>Assumptions!$B$50+E17+H17+C17</f>
        <v/>
      </c>
      <c r="M17">
        <f>Assumptions!$B$60/K17</f>
        <v/>
      </c>
      <c r="N17">
        <f>B17*(1-Assumptions!$B$61)</f>
        <v/>
      </c>
      <c r="O17">
        <f>MIN(M17,N17)</f>
        <v/>
      </c>
      <c r="P17">
        <f>Assumptions!$B$63/L17</f>
        <v/>
      </c>
      <c r="Q17">
        <f>B17*(1-Assumptions!$B$64)</f>
        <v/>
      </c>
      <c r="R17">
        <f>MIN(P17,Q17)</f>
        <v/>
      </c>
      <c r="S17">
        <f>$B$14/I17</f>
        <v/>
      </c>
      <c r="T17">
        <f>Assumptions!$B$59/O17</f>
        <v/>
      </c>
      <c r="U17">
        <f>Assumptions!$B$62/R17</f>
        <v/>
      </c>
    </row>
    <row r="18">
      <c r="A18" t="n">
        <v>1</v>
      </c>
      <c r="B18">
        <f>S17</f>
        <v/>
      </c>
      <c r="C18">
        <f>T17</f>
        <v/>
      </c>
      <c r="D18">
        <f>U17</f>
        <v/>
      </c>
      <c r="E18">
        <f>MAX(0,Assumptions!$B$34/IF(B18&lt;Assumptions!$B$25,Assumptions!$B$25*(Assumptions!$B$50+Assumptions!$B$5/Assumptions!$B$25)/(Assumptions!$B$50+Assumptions!$B$5/B18),Assumptions!$B$25)-Assumptions!$B$42)+MAX(0,Assumptions!$B$35/IF(B18&lt;Assumptions!$B$26,Assumptions!$B$26*(Assumptions!$B$50+Assumptions!$B$5/Assumptions!$B$26)/(Assumptions!$B$50+Assumptions!$B$5/B18),Assumptions!$B$26)-Assumptions!$B$43)</f>
        <v/>
      </c>
      <c r="F18">
        <f>Assumptions!$B$5/B18</f>
        <v/>
      </c>
      <c r="G18">
        <f>$B$13*(((Assumptions!$B$50-Assumptions!$B$51+E18+C18+D18)+F18)/(1-$B$13))-Assumptions!$B$51</f>
        <v/>
      </c>
      <c r="H18">
        <f>MAX(0,G18)</f>
        <v/>
      </c>
      <c r="I18">
        <f>Assumptions!$B$50+E18+H18+C18+D18</f>
        <v/>
      </c>
      <c r="J18">
        <f>I18+F18</f>
        <v/>
      </c>
      <c r="K18">
        <f>Assumptions!$B$50+E18+H18+D18</f>
        <v/>
      </c>
      <c r="L18">
        <f>Assumptions!$B$50+E18+H18+C18</f>
        <v/>
      </c>
      <c r="M18">
        <f>Assumptions!$B$60/K18</f>
        <v/>
      </c>
      <c r="N18">
        <f>B18*(1-Assumptions!$B$61)</f>
        <v/>
      </c>
      <c r="O18">
        <f>MIN(M18,N18)</f>
        <v/>
      </c>
      <c r="P18">
        <f>Assumptions!$B$63/L18</f>
        <v/>
      </c>
      <c r="Q18">
        <f>B18*(1-Assumptions!$B$64)</f>
        <v/>
      </c>
      <c r="R18">
        <f>MIN(P18,Q18)</f>
        <v/>
      </c>
      <c r="S18">
        <f>$B$14/I18</f>
        <v/>
      </c>
      <c r="T18">
        <f>Assumptions!$B$59/O18</f>
        <v/>
      </c>
      <c r="U18">
        <f>Assumptions!$B$62/R18</f>
        <v/>
      </c>
    </row>
    <row r="19">
      <c r="A19" t="n">
        <v>2</v>
      </c>
      <c r="B19">
        <f>S18</f>
        <v/>
      </c>
      <c r="C19">
        <f>T18</f>
        <v/>
      </c>
      <c r="D19">
        <f>U18</f>
        <v/>
      </c>
      <c r="E19">
        <f>MAX(0,Assumptions!$B$34/IF(B19&lt;Assumptions!$B$25,Assumptions!$B$25*(Assumptions!$B$50+Assumptions!$B$5/Assumptions!$B$25)/(Assumptions!$B$50+Assumptions!$B$5/B19),Assumptions!$B$25)-Assumptions!$B$42)+MAX(0,Assumptions!$B$35/IF(B19&lt;Assumptions!$B$26,Assumptions!$B$26*(Assumptions!$B$50+Assumptions!$B$5/Assumptions!$B$26)/(Assumptions!$B$50+Assumptions!$B$5/B19),Assumptions!$B$26)-Assumptions!$B$43)</f>
        <v/>
      </c>
      <c r="F19">
        <f>Assumptions!$B$5/B19</f>
        <v/>
      </c>
      <c r="G19">
        <f>$B$13*(((Assumptions!$B$50-Assumptions!$B$51+E19+C19+D19)+F19)/(1-$B$13))-Assumptions!$B$51</f>
        <v/>
      </c>
      <c r="H19">
        <f>MAX(0,G19)</f>
        <v/>
      </c>
      <c r="I19">
        <f>Assumptions!$B$50+E19+H19+C19+D19</f>
        <v/>
      </c>
      <c r="J19">
        <f>I19+F19</f>
        <v/>
      </c>
      <c r="K19">
        <f>Assumptions!$B$50+E19+H19+D19</f>
        <v/>
      </c>
      <c r="L19">
        <f>Assumptions!$B$50+E19+H19+C19</f>
        <v/>
      </c>
      <c r="M19">
        <f>Assumptions!$B$60/K19</f>
        <v/>
      </c>
      <c r="N19">
        <f>B19*(1-Assumptions!$B$61)</f>
        <v/>
      </c>
      <c r="O19">
        <f>MIN(M19,N19)</f>
        <v/>
      </c>
      <c r="P19">
        <f>Assumptions!$B$63/L19</f>
        <v/>
      </c>
      <c r="Q19">
        <f>B19*(1-Assumptions!$B$64)</f>
        <v/>
      </c>
      <c r="R19">
        <f>MIN(P19,Q19)</f>
        <v/>
      </c>
      <c r="S19">
        <f>$B$14/I19</f>
        <v/>
      </c>
      <c r="T19">
        <f>Assumptions!$B$59/O19</f>
        <v/>
      </c>
      <c r="U19">
        <f>Assumptions!$B$62/R19</f>
        <v/>
      </c>
    </row>
    <row r="20">
      <c r="A20" t="n">
        <v>3</v>
      </c>
      <c r="B20">
        <f>S19</f>
        <v/>
      </c>
      <c r="C20">
        <f>T19</f>
        <v/>
      </c>
      <c r="D20">
        <f>U19</f>
        <v/>
      </c>
      <c r="E20">
        <f>MAX(0,Assumptions!$B$34/IF(B20&lt;Assumptions!$B$25,Assumptions!$B$25*(Assumptions!$B$50+Assumptions!$B$5/Assumptions!$B$25)/(Assumptions!$B$50+Assumptions!$B$5/B20),Assumptions!$B$25)-Assumptions!$B$42)+MAX(0,Assumptions!$B$35/IF(B20&lt;Assumptions!$B$26,Assumptions!$B$26*(Assumptions!$B$50+Assumptions!$B$5/Assumptions!$B$26)/(Assumptions!$B$50+Assumptions!$B$5/B20),Assumptions!$B$26)-Assumptions!$B$43)</f>
        <v/>
      </c>
      <c r="F20">
        <f>Assumptions!$B$5/B20</f>
        <v/>
      </c>
      <c r="G20">
        <f>$B$13*(((Assumptions!$B$50-Assumptions!$B$51+E20+C20+D20)+F20)/(1-$B$13))-Assumptions!$B$51</f>
        <v/>
      </c>
      <c r="H20">
        <f>MAX(0,G20)</f>
        <v/>
      </c>
      <c r="I20">
        <f>Assumptions!$B$50+E20+H20+C20+D20</f>
        <v/>
      </c>
      <c r="J20">
        <f>I20+F20</f>
        <v/>
      </c>
      <c r="K20">
        <f>Assumptions!$B$50+E20+H20+D20</f>
        <v/>
      </c>
      <c r="L20">
        <f>Assumptions!$B$50+E20+H20+C20</f>
        <v/>
      </c>
      <c r="M20">
        <f>Assumptions!$B$60/K20</f>
        <v/>
      </c>
      <c r="N20">
        <f>B20*(1-Assumptions!$B$61)</f>
        <v/>
      </c>
      <c r="O20">
        <f>MIN(M20,N20)</f>
        <v/>
      </c>
      <c r="P20">
        <f>Assumptions!$B$63/L20</f>
        <v/>
      </c>
      <c r="Q20">
        <f>B20*(1-Assumptions!$B$64)</f>
        <v/>
      </c>
      <c r="R20">
        <f>MIN(P20,Q20)</f>
        <v/>
      </c>
      <c r="S20">
        <f>$B$14/I20</f>
        <v/>
      </c>
      <c r="T20">
        <f>Assumptions!$B$59/O20</f>
        <v/>
      </c>
      <c r="U20">
        <f>Assumptions!$B$62/R20</f>
        <v/>
      </c>
    </row>
    <row r="21">
      <c r="A21" t="n">
        <v>4</v>
      </c>
      <c r="B21">
        <f>S20</f>
        <v/>
      </c>
      <c r="C21">
        <f>T20</f>
        <v/>
      </c>
      <c r="D21">
        <f>U20</f>
        <v/>
      </c>
      <c r="E21">
        <f>MAX(0,Assumptions!$B$34/IF(B21&lt;Assumptions!$B$25,Assumptions!$B$25*(Assumptions!$B$50+Assumptions!$B$5/Assumptions!$B$25)/(Assumptions!$B$50+Assumptions!$B$5/B21),Assumptions!$B$25)-Assumptions!$B$42)+MAX(0,Assumptions!$B$35/IF(B21&lt;Assumptions!$B$26,Assumptions!$B$26*(Assumptions!$B$50+Assumptions!$B$5/Assumptions!$B$26)/(Assumptions!$B$50+Assumptions!$B$5/B21),Assumptions!$B$26)-Assumptions!$B$43)</f>
        <v/>
      </c>
      <c r="F21">
        <f>Assumptions!$B$5/B21</f>
        <v/>
      </c>
      <c r="G21">
        <f>$B$13*(((Assumptions!$B$50-Assumptions!$B$51+E21+C21+D21)+F21)/(1-$B$13))-Assumptions!$B$51</f>
        <v/>
      </c>
      <c r="H21">
        <f>MAX(0,G21)</f>
        <v/>
      </c>
      <c r="I21">
        <f>Assumptions!$B$50+E21+H21+C21+D21</f>
        <v/>
      </c>
      <c r="J21">
        <f>I21+F21</f>
        <v/>
      </c>
      <c r="K21">
        <f>Assumptions!$B$50+E21+H21+D21</f>
        <v/>
      </c>
      <c r="L21">
        <f>Assumptions!$B$50+E21+H21+C21</f>
        <v/>
      </c>
      <c r="M21">
        <f>Assumptions!$B$60/K21</f>
        <v/>
      </c>
      <c r="N21">
        <f>B21*(1-Assumptions!$B$61)</f>
        <v/>
      </c>
      <c r="O21">
        <f>MIN(M21,N21)</f>
        <v/>
      </c>
      <c r="P21">
        <f>Assumptions!$B$63/L21</f>
        <v/>
      </c>
      <c r="Q21">
        <f>B21*(1-Assumptions!$B$64)</f>
        <v/>
      </c>
      <c r="R21">
        <f>MIN(P21,Q21)</f>
        <v/>
      </c>
      <c r="S21">
        <f>$B$14/I21</f>
        <v/>
      </c>
      <c r="T21">
        <f>Assumptions!$B$59/O21</f>
        <v/>
      </c>
      <c r="U21">
        <f>Assumptions!$B$62/R21</f>
        <v/>
      </c>
    </row>
    <row r="22">
      <c r="A22" t="n">
        <v>5</v>
      </c>
      <c r="B22">
        <f>S21</f>
        <v/>
      </c>
      <c r="C22">
        <f>T21</f>
        <v/>
      </c>
      <c r="D22">
        <f>U21</f>
        <v/>
      </c>
      <c r="E22">
        <f>MAX(0,Assumptions!$B$34/IF(B22&lt;Assumptions!$B$25,Assumptions!$B$25*(Assumptions!$B$50+Assumptions!$B$5/Assumptions!$B$25)/(Assumptions!$B$50+Assumptions!$B$5/B22),Assumptions!$B$25)-Assumptions!$B$42)+MAX(0,Assumptions!$B$35/IF(B22&lt;Assumptions!$B$26,Assumptions!$B$26*(Assumptions!$B$50+Assumptions!$B$5/Assumptions!$B$26)/(Assumptions!$B$50+Assumptions!$B$5/B22),Assumptions!$B$26)-Assumptions!$B$43)</f>
        <v/>
      </c>
      <c r="F22">
        <f>Assumptions!$B$5/B22</f>
        <v/>
      </c>
      <c r="G22">
        <f>$B$13*(((Assumptions!$B$50-Assumptions!$B$51+E22+C22+D22)+F22)/(1-$B$13))-Assumptions!$B$51</f>
        <v/>
      </c>
      <c r="H22">
        <f>MAX(0,G22)</f>
        <v/>
      </c>
      <c r="I22">
        <f>Assumptions!$B$50+E22+H22+C22+D22</f>
        <v/>
      </c>
      <c r="J22">
        <f>I22+F22</f>
        <v/>
      </c>
      <c r="K22">
        <f>Assumptions!$B$50+E22+H22+D22</f>
        <v/>
      </c>
      <c r="L22">
        <f>Assumptions!$B$50+E22+H22+C22</f>
        <v/>
      </c>
      <c r="M22">
        <f>Assumptions!$B$60/K22</f>
        <v/>
      </c>
      <c r="N22">
        <f>B22*(1-Assumptions!$B$61)</f>
        <v/>
      </c>
      <c r="O22">
        <f>MIN(M22,N22)</f>
        <v/>
      </c>
      <c r="P22">
        <f>Assumptions!$B$63/L22</f>
        <v/>
      </c>
      <c r="Q22">
        <f>B22*(1-Assumptions!$B$64)</f>
        <v/>
      </c>
      <c r="R22">
        <f>MIN(P22,Q22)</f>
        <v/>
      </c>
      <c r="S22">
        <f>$B$14/I22</f>
        <v/>
      </c>
      <c r="T22">
        <f>Assumptions!$B$59/O22</f>
        <v/>
      </c>
      <c r="U22">
        <f>Assumptions!$B$62/R22</f>
        <v/>
      </c>
    </row>
    <row r="23">
      <c r="A23" t="n">
        <v>6</v>
      </c>
      <c r="B23">
        <f>S22</f>
        <v/>
      </c>
      <c r="C23">
        <f>T22</f>
        <v/>
      </c>
      <c r="D23">
        <f>U22</f>
        <v/>
      </c>
      <c r="E23">
        <f>MAX(0,Assumptions!$B$34/IF(B23&lt;Assumptions!$B$25,Assumptions!$B$25*(Assumptions!$B$50+Assumptions!$B$5/Assumptions!$B$25)/(Assumptions!$B$50+Assumptions!$B$5/B23),Assumptions!$B$25)-Assumptions!$B$42)+MAX(0,Assumptions!$B$35/IF(B23&lt;Assumptions!$B$26,Assumptions!$B$26*(Assumptions!$B$50+Assumptions!$B$5/Assumptions!$B$26)/(Assumptions!$B$50+Assumptions!$B$5/B23),Assumptions!$B$26)-Assumptions!$B$43)</f>
        <v/>
      </c>
      <c r="F23">
        <f>Assumptions!$B$5/B23</f>
        <v/>
      </c>
      <c r="G23">
        <f>$B$13*(((Assumptions!$B$50-Assumptions!$B$51+E23+C23+D23)+F23)/(1-$B$13))-Assumptions!$B$51</f>
        <v/>
      </c>
      <c r="H23">
        <f>MAX(0,G23)</f>
        <v/>
      </c>
      <c r="I23">
        <f>Assumptions!$B$50+E23+H23+C23+D23</f>
        <v/>
      </c>
      <c r="J23">
        <f>I23+F23</f>
        <v/>
      </c>
      <c r="K23">
        <f>Assumptions!$B$50+E23+H23+D23</f>
        <v/>
      </c>
      <c r="L23">
        <f>Assumptions!$B$50+E23+H23+C23</f>
        <v/>
      </c>
      <c r="M23">
        <f>Assumptions!$B$60/K23</f>
        <v/>
      </c>
      <c r="N23">
        <f>B23*(1-Assumptions!$B$61)</f>
        <v/>
      </c>
      <c r="O23">
        <f>MIN(M23,N23)</f>
        <v/>
      </c>
      <c r="P23">
        <f>Assumptions!$B$63/L23</f>
        <v/>
      </c>
      <c r="Q23">
        <f>B23*(1-Assumptions!$B$64)</f>
        <v/>
      </c>
      <c r="R23">
        <f>MIN(P23,Q23)</f>
        <v/>
      </c>
      <c r="S23">
        <f>$B$14/I23</f>
        <v/>
      </c>
      <c r="T23">
        <f>Assumptions!$B$59/O23</f>
        <v/>
      </c>
      <c r="U23">
        <f>Assumptions!$B$62/R23</f>
        <v/>
      </c>
    </row>
    <row r="24">
      <c r="A24" t="n">
        <v>7</v>
      </c>
      <c r="B24">
        <f>S23</f>
        <v/>
      </c>
      <c r="C24">
        <f>T23</f>
        <v/>
      </c>
      <c r="D24">
        <f>U23</f>
        <v/>
      </c>
      <c r="E24">
        <f>MAX(0,Assumptions!$B$34/IF(B24&lt;Assumptions!$B$25,Assumptions!$B$25*(Assumptions!$B$50+Assumptions!$B$5/Assumptions!$B$25)/(Assumptions!$B$50+Assumptions!$B$5/B24),Assumptions!$B$25)-Assumptions!$B$42)+MAX(0,Assumptions!$B$35/IF(B24&lt;Assumptions!$B$26,Assumptions!$B$26*(Assumptions!$B$50+Assumptions!$B$5/Assumptions!$B$26)/(Assumptions!$B$50+Assumptions!$B$5/B24),Assumptions!$B$26)-Assumptions!$B$43)</f>
        <v/>
      </c>
      <c r="F24">
        <f>Assumptions!$B$5/B24</f>
        <v/>
      </c>
      <c r="G24">
        <f>$B$13*(((Assumptions!$B$50-Assumptions!$B$51+E24+C24+D24)+F24)/(1-$B$13))-Assumptions!$B$51</f>
        <v/>
      </c>
      <c r="H24">
        <f>MAX(0,G24)</f>
        <v/>
      </c>
      <c r="I24">
        <f>Assumptions!$B$50+E24+H24+C24+D24</f>
        <v/>
      </c>
      <c r="J24">
        <f>I24+F24</f>
        <v/>
      </c>
      <c r="K24">
        <f>Assumptions!$B$50+E24+H24+D24</f>
        <v/>
      </c>
      <c r="L24">
        <f>Assumptions!$B$50+E24+H24+C24</f>
        <v/>
      </c>
      <c r="M24">
        <f>Assumptions!$B$60/K24</f>
        <v/>
      </c>
      <c r="N24">
        <f>B24*(1-Assumptions!$B$61)</f>
        <v/>
      </c>
      <c r="O24">
        <f>MIN(M24,N24)</f>
        <v/>
      </c>
      <c r="P24">
        <f>Assumptions!$B$63/L24</f>
        <v/>
      </c>
      <c r="Q24">
        <f>B24*(1-Assumptions!$B$64)</f>
        <v/>
      </c>
      <c r="R24">
        <f>MIN(P24,Q24)</f>
        <v/>
      </c>
      <c r="S24">
        <f>$B$14/I24</f>
        <v/>
      </c>
      <c r="T24">
        <f>Assumptions!$B$59/O24</f>
        <v/>
      </c>
      <c r="U24">
        <f>Assumptions!$B$62/R24</f>
        <v/>
      </c>
    </row>
    <row r="25">
      <c r="A25" t="n">
        <v>8</v>
      </c>
      <c r="B25">
        <f>S24</f>
        <v/>
      </c>
      <c r="C25">
        <f>T24</f>
        <v/>
      </c>
      <c r="D25">
        <f>U24</f>
        <v/>
      </c>
      <c r="E25">
        <f>MAX(0,Assumptions!$B$34/IF(B25&lt;Assumptions!$B$25,Assumptions!$B$25*(Assumptions!$B$50+Assumptions!$B$5/Assumptions!$B$25)/(Assumptions!$B$50+Assumptions!$B$5/B25),Assumptions!$B$25)-Assumptions!$B$42)+MAX(0,Assumptions!$B$35/IF(B25&lt;Assumptions!$B$26,Assumptions!$B$26*(Assumptions!$B$50+Assumptions!$B$5/Assumptions!$B$26)/(Assumptions!$B$50+Assumptions!$B$5/B25),Assumptions!$B$26)-Assumptions!$B$43)</f>
        <v/>
      </c>
      <c r="F25">
        <f>Assumptions!$B$5/B25</f>
        <v/>
      </c>
      <c r="G25">
        <f>$B$13*(((Assumptions!$B$50-Assumptions!$B$51+E25+C25+D25)+F25)/(1-$B$13))-Assumptions!$B$51</f>
        <v/>
      </c>
      <c r="H25">
        <f>MAX(0,G25)</f>
        <v/>
      </c>
      <c r="I25">
        <f>Assumptions!$B$50+E25+H25+C25+D25</f>
        <v/>
      </c>
      <c r="J25">
        <f>I25+F25</f>
        <v/>
      </c>
      <c r="K25">
        <f>Assumptions!$B$50+E25+H25+D25</f>
        <v/>
      </c>
      <c r="L25">
        <f>Assumptions!$B$50+E25+H25+C25</f>
        <v/>
      </c>
      <c r="M25">
        <f>Assumptions!$B$60/K25</f>
        <v/>
      </c>
      <c r="N25">
        <f>B25*(1-Assumptions!$B$61)</f>
        <v/>
      </c>
      <c r="O25">
        <f>MIN(M25,N25)</f>
        <v/>
      </c>
      <c r="P25">
        <f>Assumptions!$B$63/L25</f>
        <v/>
      </c>
      <c r="Q25">
        <f>B25*(1-Assumptions!$B$64)</f>
        <v/>
      </c>
      <c r="R25">
        <f>MIN(P25,Q25)</f>
        <v/>
      </c>
      <c r="S25">
        <f>$B$14/I25</f>
        <v/>
      </c>
      <c r="T25">
        <f>Assumptions!$B$59/O25</f>
        <v/>
      </c>
      <c r="U25">
        <f>Assumptions!$B$62/R25</f>
        <v/>
      </c>
    </row>
    <row r="26">
      <c r="A26" t="n">
        <v>9</v>
      </c>
      <c r="B26">
        <f>S25</f>
        <v/>
      </c>
      <c r="C26">
        <f>T25</f>
        <v/>
      </c>
      <c r="D26">
        <f>U25</f>
        <v/>
      </c>
      <c r="E26">
        <f>MAX(0,Assumptions!$B$34/IF(B26&lt;Assumptions!$B$25,Assumptions!$B$25*(Assumptions!$B$50+Assumptions!$B$5/Assumptions!$B$25)/(Assumptions!$B$50+Assumptions!$B$5/B26),Assumptions!$B$25)-Assumptions!$B$42)+MAX(0,Assumptions!$B$35/IF(B26&lt;Assumptions!$B$26,Assumptions!$B$26*(Assumptions!$B$50+Assumptions!$B$5/Assumptions!$B$26)/(Assumptions!$B$50+Assumptions!$B$5/B26),Assumptions!$B$26)-Assumptions!$B$43)</f>
        <v/>
      </c>
      <c r="F26">
        <f>Assumptions!$B$5/B26</f>
        <v/>
      </c>
      <c r="G26">
        <f>$B$13*(((Assumptions!$B$50-Assumptions!$B$51+E26+C26+D26)+F26)/(1-$B$13))-Assumptions!$B$51</f>
        <v/>
      </c>
      <c r="H26">
        <f>MAX(0,G26)</f>
        <v/>
      </c>
      <c r="I26">
        <f>Assumptions!$B$50+E26+H26+C26+D26</f>
        <v/>
      </c>
      <c r="J26">
        <f>I26+F26</f>
        <v/>
      </c>
      <c r="K26">
        <f>Assumptions!$B$50+E26+H26+D26</f>
        <v/>
      </c>
      <c r="L26">
        <f>Assumptions!$B$50+E26+H26+C26</f>
        <v/>
      </c>
      <c r="M26">
        <f>Assumptions!$B$60/K26</f>
        <v/>
      </c>
      <c r="N26">
        <f>B26*(1-Assumptions!$B$61)</f>
        <v/>
      </c>
      <c r="O26">
        <f>MIN(M26,N26)</f>
        <v/>
      </c>
      <c r="P26">
        <f>Assumptions!$B$63/L26</f>
        <v/>
      </c>
      <c r="Q26">
        <f>B26*(1-Assumptions!$B$64)</f>
        <v/>
      </c>
      <c r="R26">
        <f>MIN(P26,Q26)</f>
        <v/>
      </c>
      <c r="S26">
        <f>$B$14/I26</f>
        <v/>
      </c>
      <c r="T26">
        <f>Assumptions!$B$59/O26</f>
        <v/>
      </c>
      <c r="U26">
        <f>Assumptions!$B$62/R26</f>
        <v/>
      </c>
    </row>
    <row r="27">
      <c r="A27" t="n">
        <v>10</v>
      </c>
      <c r="B27">
        <f>S26</f>
        <v/>
      </c>
      <c r="C27">
        <f>T26</f>
        <v/>
      </c>
      <c r="D27">
        <f>U26</f>
        <v/>
      </c>
      <c r="E27">
        <f>MAX(0,Assumptions!$B$34/IF(B27&lt;Assumptions!$B$25,Assumptions!$B$25*(Assumptions!$B$50+Assumptions!$B$5/Assumptions!$B$25)/(Assumptions!$B$50+Assumptions!$B$5/B27),Assumptions!$B$25)-Assumptions!$B$42)+MAX(0,Assumptions!$B$35/IF(B27&lt;Assumptions!$B$26,Assumptions!$B$26*(Assumptions!$B$50+Assumptions!$B$5/Assumptions!$B$26)/(Assumptions!$B$50+Assumptions!$B$5/B27),Assumptions!$B$26)-Assumptions!$B$43)</f>
        <v/>
      </c>
      <c r="F27">
        <f>Assumptions!$B$5/B27</f>
        <v/>
      </c>
      <c r="G27">
        <f>$B$13*(((Assumptions!$B$50-Assumptions!$B$51+E27+C27+D27)+F27)/(1-$B$13))-Assumptions!$B$51</f>
        <v/>
      </c>
      <c r="H27">
        <f>MAX(0,G27)</f>
        <v/>
      </c>
      <c r="I27">
        <f>Assumptions!$B$50+E27+H27+C27+D27</f>
        <v/>
      </c>
      <c r="J27">
        <f>I27+F27</f>
        <v/>
      </c>
      <c r="K27">
        <f>Assumptions!$B$50+E27+H27+D27</f>
        <v/>
      </c>
      <c r="L27">
        <f>Assumptions!$B$50+E27+H27+C27</f>
        <v/>
      </c>
      <c r="M27">
        <f>Assumptions!$B$60/K27</f>
        <v/>
      </c>
      <c r="N27">
        <f>B27*(1-Assumptions!$B$61)</f>
        <v/>
      </c>
      <c r="O27">
        <f>MIN(M27,N27)</f>
        <v/>
      </c>
      <c r="P27">
        <f>Assumptions!$B$63/L27</f>
        <v/>
      </c>
      <c r="Q27">
        <f>B27*(1-Assumptions!$B$64)</f>
        <v/>
      </c>
      <c r="R27">
        <f>MIN(P27,Q27)</f>
        <v/>
      </c>
      <c r="S27">
        <f>$B$14/I27</f>
        <v/>
      </c>
      <c r="T27">
        <f>Assumptions!$B$59/O27</f>
        <v/>
      </c>
      <c r="U27">
        <f>Assumptions!$B$62/R27</f>
        <v/>
      </c>
    </row>
    <row r="28">
      <c r="A28" t="n">
        <v>11</v>
      </c>
      <c r="B28">
        <f>S27</f>
        <v/>
      </c>
      <c r="C28">
        <f>T27</f>
        <v/>
      </c>
      <c r="D28">
        <f>U27</f>
        <v/>
      </c>
      <c r="E28">
        <f>MAX(0,Assumptions!$B$34/IF(B28&lt;Assumptions!$B$25,Assumptions!$B$25*(Assumptions!$B$50+Assumptions!$B$5/Assumptions!$B$25)/(Assumptions!$B$50+Assumptions!$B$5/B28),Assumptions!$B$25)-Assumptions!$B$42)+MAX(0,Assumptions!$B$35/IF(B28&lt;Assumptions!$B$26,Assumptions!$B$26*(Assumptions!$B$50+Assumptions!$B$5/Assumptions!$B$26)/(Assumptions!$B$50+Assumptions!$B$5/B28),Assumptions!$B$26)-Assumptions!$B$43)</f>
        <v/>
      </c>
      <c r="F28">
        <f>Assumptions!$B$5/B28</f>
        <v/>
      </c>
      <c r="G28">
        <f>$B$13*(((Assumptions!$B$50-Assumptions!$B$51+E28+C28+D28)+F28)/(1-$B$13))-Assumptions!$B$51</f>
        <v/>
      </c>
      <c r="H28">
        <f>MAX(0,G28)</f>
        <v/>
      </c>
      <c r="I28">
        <f>Assumptions!$B$50+E28+H28+C28+D28</f>
        <v/>
      </c>
      <c r="J28">
        <f>I28+F28</f>
        <v/>
      </c>
      <c r="K28">
        <f>Assumptions!$B$50+E28+H28+D28</f>
        <v/>
      </c>
      <c r="L28">
        <f>Assumptions!$B$50+E28+H28+C28</f>
        <v/>
      </c>
      <c r="M28">
        <f>Assumptions!$B$60/K28</f>
        <v/>
      </c>
      <c r="N28">
        <f>B28*(1-Assumptions!$B$61)</f>
        <v/>
      </c>
      <c r="O28">
        <f>MIN(M28,N28)</f>
        <v/>
      </c>
      <c r="P28">
        <f>Assumptions!$B$63/L28</f>
        <v/>
      </c>
      <c r="Q28">
        <f>B28*(1-Assumptions!$B$64)</f>
        <v/>
      </c>
      <c r="R28">
        <f>MIN(P28,Q28)</f>
        <v/>
      </c>
      <c r="S28">
        <f>$B$14/I28</f>
        <v/>
      </c>
      <c r="T28">
        <f>Assumptions!$B$59/O28</f>
        <v/>
      </c>
      <c r="U28">
        <f>Assumptions!$B$62/R28</f>
        <v/>
      </c>
    </row>
    <row r="29">
      <c r="A29" t="n">
        <v>12</v>
      </c>
      <c r="B29">
        <f>S28</f>
        <v/>
      </c>
      <c r="C29">
        <f>T28</f>
        <v/>
      </c>
      <c r="D29">
        <f>U28</f>
        <v/>
      </c>
      <c r="E29">
        <f>MAX(0,Assumptions!$B$34/IF(B29&lt;Assumptions!$B$25,Assumptions!$B$25*(Assumptions!$B$50+Assumptions!$B$5/Assumptions!$B$25)/(Assumptions!$B$50+Assumptions!$B$5/B29),Assumptions!$B$25)-Assumptions!$B$42)+MAX(0,Assumptions!$B$35/IF(B29&lt;Assumptions!$B$26,Assumptions!$B$26*(Assumptions!$B$50+Assumptions!$B$5/Assumptions!$B$26)/(Assumptions!$B$50+Assumptions!$B$5/B29),Assumptions!$B$26)-Assumptions!$B$43)</f>
        <v/>
      </c>
      <c r="F29">
        <f>Assumptions!$B$5/B29</f>
        <v/>
      </c>
      <c r="G29">
        <f>$B$13*(((Assumptions!$B$50-Assumptions!$B$51+E29+C29+D29)+F29)/(1-$B$13))-Assumptions!$B$51</f>
        <v/>
      </c>
      <c r="H29">
        <f>MAX(0,G29)</f>
        <v/>
      </c>
      <c r="I29">
        <f>Assumptions!$B$50+E29+H29+C29+D29</f>
        <v/>
      </c>
      <c r="J29">
        <f>I29+F29</f>
        <v/>
      </c>
      <c r="K29">
        <f>Assumptions!$B$50+E29+H29+D29</f>
        <v/>
      </c>
      <c r="L29">
        <f>Assumptions!$B$50+E29+H29+C29</f>
        <v/>
      </c>
      <c r="M29">
        <f>Assumptions!$B$60/K29</f>
        <v/>
      </c>
      <c r="N29">
        <f>B29*(1-Assumptions!$B$61)</f>
        <v/>
      </c>
      <c r="O29">
        <f>MIN(M29,N29)</f>
        <v/>
      </c>
      <c r="P29">
        <f>Assumptions!$B$63/L29</f>
        <v/>
      </c>
      <c r="Q29">
        <f>B29*(1-Assumptions!$B$64)</f>
        <v/>
      </c>
      <c r="R29">
        <f>MIN(P29,Q29)</f>
        <v/>
      </c>
      <c r="S29">
        <f>$B$14/I29</f>
        <v/>
      </c>
      <c r="T29">
        <f>Assumptions!$B$59/O29</f>
        <v/>
      </c>
      <c r="U29">
        <f>Assumptions!$B$62/R29</f>
        <v/>
      </c>
    </row>
    <row r="30">
      <c r="A30" t="n">
        <v>13</v>
      </c>
      <c r="B30">
        <f>S29</f>
        <v/>
      </c>
      <c r="C30">
        <f>T29</f>
        <v/>
      </c>
      <c r="D30">
        <f>U29</f>
        <v/>
      </c>
      <c r="E30">
        <f>MAX(0,Assumptions!$B$34/IF(B30&lt;Assumptions!$B$25,Assumptions!$B$25*(Assumptions!$B$50+Assumptions!$B$5/Assumptions!$B$25)/(Assumptions!$B$50+Assumptions!$B$5/B30),Assumptions!$B$25)-Assumptions!$B$42)+MAX(0,Assumptions!$B$35/IF(B30&lt;Assumptions!$B$26,Assumptions!$B$26*(Assumptions!$B$50+Assumptions!$B$5/Assumptions!$B$26)/(Assumptions!$B$50+Assumptions!$B$5/B30),Assumptions!$B$26)-Assumptions!$B$43)</f>
        <v/>
      </c>
      <c r="F30">
        <f>Assumptions!$B$5/B30</f>
        <v/>
      </c>
      <c r="G30">
        <f>$B$13*(((Assumptions!$B$50-Assumptions!$B$51+E30+C30+D30)+F30)/(1-$B$13))-Assumptions!$B$51</f>
        <v/>
      </c>
      <c r="H30">
        <f>MAX(0,G30)</f>
        <v/>
      </c>
      <c r="I30">
        <f>Assumptions!$B$50+E30+H30+C30+D30</f>
        <v/>
      </c>
      <c r="J30">
        <f>I30+F30</f>
        <v/>
      </c>
      <c r="K30">
        <f>Assumptions!$B$50+E30+H30+D30</f>
        <v/>
      </c>
      <c r="L30">
        <f>Assumptions!$B$50+E30+H30+C30</f>
        <v/>
      </c>
      <c r="M30">
        <f>Assumptions!$B$60/K30</f>
        <v/>
      </c>
      <c r="N30">
        <f>B30*(1-Assumptions!$B$61)</f>
        <v/>
      </c>
      <c r="O30">
        <f>MIN(M30,N30)</f>
        <v/>
      </c>
      <c r="P30">
        <f>Assumptions!$B$63/L30</f>
        <v/>
      </c>
      <c r="Q30">
        <f>B30*(1-Assumptions!$B$64)</f>
        <v/>
      </c>
      <c r="R30">
        <f>MIN(P30,Q30)</f>
        <v/>
      </c>
      <c r="S30">
        <f>$B$14/I30</f>
        <v/>
      </c>
      <c r="T30">
        <f>Assumptions!$B$59/O30</f>
        <v/>
      </c>
      <c r="U30">
        <f>Assumptions!$B$62/R30</f>
        <v/>
      </c>
    </row>
    <row r="31">
      <c r="A31" t="n">
        <v>14</v>
      </c>
      <c r="B31">
        <f>S30</f>
        <v/>
      </c>
      <c r="C31">
        <f>T30</f>
        <v/>
      </c>
      <c r="D31">
        <f>U30</f>
        <v/>
      </c>
      <c r="E31">
        <f>MAX(0,Assumptions!$B$34/IF(B31&lt;Assumptions!$B$25,Assumptions!$B$25*(Assumptions!$B$50+Assumptions!$B$5/Assumptions!$B$25)/(Assumptions!$B$50+Assumptions!$B$5/B31),Assumptions!$B$25)-Assumptions!$B$42)+MAX(0,Assumptions!$B$35/IF(B31&lt;Assumptions!$B$26,Assumptions!$B$26*(Assumptions!$B$50+Assumptions!$B$5/Assumptions!$B$26)/(Assumptions!$B$50+Assumptions!$B$5/B31),Assumptions!$B$26)-Assumptions!$B$43)</f>
        <v/>
      </c>
      <c r="F31">
        <f>Assumptions!$B$5/B31</f>
        <v/>
      </c>
      <c r="G31">
        <f>$B$13*(((Assumptions!$B$50-Assumptions!$B$51+E31+C31+D31)+F31)/(1-$B$13))-Assumptions!$B$51</f>
        <v/>
      </c>
      <c r="H31">
        <f>MAX(0,G31)</f>
        <v/>
      </c>
      <c r="I31">
        <f>Assumptions!$B$50+E31+H31+C31+D31</f>
        <v/>
      </c>
      <c r="J31">
        <f>I31+F31</f>
        <v/>
      </c>
      <c r="K31">
        <f>Assumptions!$B$50+E31+H31+D31</f>
        <v/>
      </c>
      <c r="L31">
        <f>Assumptions!$B$50+E31+H31+C31</f>
        <v/>
      </c>
      <c r="M31">
        <f>Assumptions!$B$60/K31</f>
        <v/>
      </c>
      <c r="N31">
        <f>B31*(1-Assumptions!$B$61)</f>
        <v/>
      </c>
      <c r="O31">
        <f>MIN(M31,N31)</f>
        <v/>
      </c>
      <c r="P31">
        <f>Assumptions!$B$63/L31</f>
        <v/>
      </c>
      <c r="Q31">
        <f>B31*(1-Assumptions!$B$64)</f>
        <v/>
      </c>
      <c r="R31">
        <f>MIN(P31,Q31)</f>
        <v/>
      </c>
      <c r="S31">
        <f>$B$14/I31</f>
        <v/>
      </c>
      <c r="T31">
        <f>Assumptions!$B$59/O31</f>
        <v/>
      </c>
      <c r="U31">
        <f>Assumptions!$B$62/R31</f>
        <v/>
      </c>
    </row>
    <row r="32">
      <c r="A32" t="n">
        <v>15</v>
      </c>
      <c r="B32">
        <f>S31</f>
        <v/>
      </c>
      <c r="C32">
        <f>T31</f>
        <v/>
      </c>
      <c r="D32">
        <f>U31</f>
        <v/>
      </c>
      <c r="E32">
        <f>MAX(0,Assumptions!$B$34/IF(B32&lt;Assumptions!$B$25,Assumptions!$B$25*(Assumptions!$B$50+Assumptions!$B$5/Assumptions!$B$25)/(Assumptions!$B$50+Assumptions!$B$5/B32),Assumptions!$B$25)-Assumptions!$B$42)+MAX(0,Assumptions!$B$35/IF(B32&lt;Assumptions!$B$26,Assumptions!$B$26*(Assumptions!$B$50+Assumptions!$B$5/Assumptions!$B$26)/(Assumptions!$B$50+Assumptions!$B$5/B32),Assumptions!$B$26)-Assumptions!$B$43)</f>
        <v/>
      </c>
      <c r="F32">
        <f>Assumptions!$B$5/B32</f>
        <v/>
      </c>
      <c r="G32">
        <f>$B$13*(((Assumptions!$B$50-Assumptions!$B$51+E32+C32+D32)+F32)/(1-$B$13))-Assumptions!$B$51</f>
        <v/>
      </c>
      <c r="H32">
        <f>MAX(0,G32)</f>
        <v/>
      </c>
      <c r="I32">
        <f>Assumptions!$B$50+E32+H32+C32+D32</f>
        <v/>
      </c>
      <c r="J32">
        <f>I32+F32</f>
        <v/>
      </c>
      <c r="K32">
        <f>Assumptions!$B$50+E32+H32+D32</f>
        <v/>
      </c>
      <c r="L32">
        <f>Assumptions!$B$50+E32+H32+C32</f>
        <v/>
      </c>
      <c r="M32">
        <f>Assumptions!$B$60/K32</f>
        <v/>
      </c>
      <c r="N32">
        <f>B32*(1-Assumptions!$B$61)</f>
        <v/>
      </c>
      <c r="O32">
        <f>MIN(M32,N32)</f>
        <v/>
      </c>
      <c r="P32">
        <f>Assumptions!$B$63/L32</f>
        <v/>
      </c>
      <c r="Q32">
        <f>B32*(1-Assumptions!$B$64)</f>
        <v/>
      </c>
      <c r="R32">
        <f>MIN(P32,Q32)</f>
        <v/>
      </c>
      <c r="S32">
        <f>$B$14/I32</f>
        <v/>
      </c>
      <c r="T32">
        <f>Assumptions!$B$59/O32</f>
        <v/>
      </c>
      <c r="U32">
        <f>Assumptions!$B$62/R32</f>
        <v/>
      </c>
    </row>
    <row r="33">
      <c r="A33" t="n">
        <v>16</v>
      </c>
      <c r="B33">
        <f>S32</f>
        <v/>
      </c>
      <c r="C33">
        <f>T32</f>
        <v/>
      </c>
      <c r="D33">
        <f>U32</f>
        <v/>
      </c>
      <c r="E33">
        <f>MAX(0,Assumptions!$B$34/IF(B33&lt;Assumptions!$B$25,Assumptions!$B$25*(Assumptions!$B$50+Assumptions!$B$5/Assumptions!$B$25)/(Assumptions!$B$50+Assumptions!$B$5/B33),Assumptions!$B$25)-Assumptions!$B$42)+MAX(0,Assumptions!$B$35/IF(B33&lt;Assumptions!$B$26,Assumptions!$B$26*(Assumptions!$B$50+Assumptions!$B$5/Assumptions!$B$26)/(Assumptions!$B$50+Assumptions!$B$5/B33),Assumptions!$B$26)-Assumptions!$B$43)</f>
        <v/>
      </c>
      <c r="F33">
        <f>Assumptions!$B$5/B33</f>
        <v/>
      </c>
      <c r="G33">
        <f>$B$13*(((Assumptions!$B$50-Assumptions!$B$51+E33+C33+D33)+F33)/(1-$B$13))-Assumptions!$B$51</f>
        <v/>
      </c>
      <c r="H33">
        <f>MAX(0,G33)</f>
        <v/>
      </c>
      <c r="I33">
        <f>Assumptions!$B$50+E33+H33+C33+D33</f>
        <v/>
      </c>
      <c r="J33">
        <f>I33+F33</f>
        <v/>
      </c>
      <c r="K33">
        <f>Assumptions!$B$50+E33+H33+D33</f>
        <v/>
      </c>
      <c r="L33">
        <f>Assumptions!$B$50+E33+H33+C33</f>
        <v/>
      </c>
      <c r="M33">
        <f>Assumptions!$B$60/K33</f>
        <v/>
      </c>
      <c r="N33">
        <f>B33*(1-Assumptions!$B$61)</f>
        <v/>
      </c>
      <c r="O33">
        <f>MIN(M33,N33)</f>
        <v/>
      </c>
      <c r="P33">
        <f>Assumptions!$B$63/L33</f>
        <v/>
      </c>
      <c r="Q33">
        <f>B33*(1-Assumptions!$B$64)</f>
        <v/>
      </c>
      <c r="R33">
        <f>MIN(P33,Q33)</f>
        <v/>
      </c>
      <c r="S33">
        <f>$B$14/I33</f>
        <v/>
      </c>
      <c r="T33">
        <f>Assumptions!$B$59/O33</f>
        <v/>
      </c>
      <c r="U33">
        <f>Assumptions!$B$62/R33</f>
        <v/>
      </c>
    </row>
    <row r="34">
      <c r="A34" t="n">
        <v>17</v>
      </c>
      <c r="B34">
        <f>S33</f>
        <v/>
      </c>
      <c r="C34">
        <f>T33</f>
        <v/>
      </c>
      <c r="D34">
        <f>U33</f>
        <v/>
      </c>
      <c r="E34">
        <f>MAX(0,Assumptions!$B$34/IF(B34&lt;Assumptions!$B$25,Assumptions!$B$25*(Assumptions!$B$50+Assumptions!$B$5/Assumptions!$B$25)/(Assumptions!$B$50+Assumptions!$B$5/B34),Assumptions!$B$25)-Assumptions!$B$42)+MAX(0,Assumptions!$B$35/IF(B34&lt;Assumptions!$B$26,Assumptions!$B$26*(Assumptions!$B$50+Assumptions!$B$5/Assumptions!$B$26)/(Assumptions!$B$50+Assumptions!$B$5/B34),Assumptions!$B$26)-Assumptions!$B$43)</f>
        <v/>
      </c>
      <c r="F34">
        <f>Assumptions!$B$5/B34</f>
        <v/>
      </c>
      <c r="G34">
        <f>$B$13*(((Assumptions!$B$50-Assumptions!$B$51+E34+C34+D34)+F34)/(1-$B$13))-Assumptions!$B$51</f>
        <v/>
      </c>
      <c r="H34">
        <f>MAX(0,G34)</f>
        <v/>
      </c>
      <c r="I34">
        <f>Assumptions!$B$50+E34+H34+C34+D34</f>
        <v/>
      </c>
      <c r="J34">
        <f>I34+F34</f>
        <v/>
      </c>
      <c r="K34">
        <f>Assumptions!$B$50+E34+H34+D34</f>
        <v/>
      </c>
      <c r="L34">
        <f>Assumptions!$B$50+E34+H34+C34</f>
        <v/>
      </c>
      <c r="M34">
        <f>Assumptions!$B$60/K34</f>
        <v/>
      </c>
      <c r="N34">
        <f>B34*(1-Assumptions!$B$61)</f>
        <v/>
      </c>
      <c r="O34">
        <f>MIN(M34,N34)</f>
        <v/>
      </c>
      <c r="P34">
        <f>Assumptions!$B$63/L34</f>
        <v/>
      </c>
      <c r="Q34">
        <f>B34*(1-Assumptions!$B$64)</f>
        <v/>
      </c>
      <c r="R34">
        <f>MIN(P34,Q34)</f>
        <v/>
      </c>
      <c r="S34">
        <f>$B$14/I34</f>
        <v/>
      </c>
      <c r="T34">
        <f>Assumptions!$B$59/O34</f>
        <v/>
      </c>
      <c r="U34">
        <f>Assumptions!$B$62/R34</f>
        <v/>
      </c>
    </row>
    <row r="35">
      <c r="A35" t="n">
        <v>18</v>
      </c>
      <c r="B35">
        <f>S34</f>
        <v/>
      </c>
      <c r="C35">
        <f>T34</f>
        <v/>
      </c>
      <c r="D35">
        <f>U34</f>
        <v/>
      </c>
      <c r="E35">
        <f>MAX(0,Assumptions!$B$34/IF(B35&lt;Assumptions!$B$25,Assumptions!$B$25*(Assumptions!$B$50+Assumptions!$B$5/Assumptions!$B$25)/(Assumptions!$B$50+Assumptions!$B$5/B35),Assumptions!$B$25)-Assumptions!$B$42)+MAX(0,Assumptions!$B$35/IF(B35&lt;Assumptions!$B$26,Assumptions!$B$26*(Assumptions!$B$50+Assumptions!$B$5/Assumptions!$B$26)/(Assumptions!$B$50+Assumptions!$B$5/B35),Assumptions!$B$26)-Assumptions!$B$43)</f>
        <v/>
      </c>
      <c r="F35">
        <f>Assumptions!$B$5/B35</f>
        <v/>
      </c>
      <c r="G35">
        <f>$B$13*(((Assumptions!$B$50-Assumptions!$B$51+E35+C35+D35)+F35)/(1-$B$13))-Assumptions!$B$51</f>
        <v/>
      </c>
      <c r="H35">
        <f>MAX(0,G35)</f>
        <v/>
      </c>
      <c r="I35">
        <f>Assumptions!$B$50+E35+H35+C35+D35</f>
        <v/>
      </c>
      <c r="J35">
        <f>I35+F35</f>
        <v/>
      </c>
      <c r="K35">
        <f>Assumptions!$B$50+E35+H35+D35</f>
        <v/>
      </c>
      <c r="L35">
        <f>Assumptions!$B$50+E35+H35+C35</f>
        <v/>
      </c>
      <c r="M35">
        <f>Assumptions!$B$60/K35</f>
        <v/>
      </c>
      <c r="N35">
        <f>B35*(1-Assumptions!$B$61)</f>
        <v/>
      </c>
      <c r="O35">
        <f>MIN(M35,N35)</f>
        <v/>
      </c>
      <c r="P35">
        <f>Assumptions!$B$63/L35</f>
        <v/>
      </c>
      <c r="Q35">
        <f>B35*(1-Assumptions!$B$64)</f>
        <v/>
      </c>
      <c r="R35">
        <f>MIN(P35,Q35)</f>
        <v/>
      </c>
      <c r="S35">
        <f>$B$14/I35</f>
        <v/>
      </c>
      <c r="T35">
        <f>Assumptions!$B$59/O35</f>
        <v/>
      </c>
      <c r="U35">
        <f>Assumptions!$B$62/R35</f>
        <v/>
      </c>
    </row>
    <row r="36">
      <c r="A36" t="n">
        <v>19</v>
      </c>
      <c r="B36">
        <f>S35</f>
        <v/>
      </c>
      <c r="C36">
        <f>T35</f>
        <v/>
      </c>
      <c r="D36">
        <f>U35</f>
        <v/>
      </c>
      <c r="E36">
        <f>MAX(0,Assumptions!$B$34/IF(B36&lt;Assumptions!$B$25,Assumptions!$B$25*(Assumptions!$B$50+Assumptions!$B$5/Assumptions!$B$25)/(Assumptions!$B$50+Assumptions!$B$5/B36),Assumptions!$B$25)-Assumptions!$B$42)+MAX(0,Assumptions!$B$35/IF(B36&lt;Assumptions!$B$26,Assumptions!$B$26*(Assumptions!$B$50+Assumptions!$B$5/Assumptions!$B$26)/(Assumptions!$B$50+Assumptions!$B$5/B36),Assumptions!$B$26)-Assumptions!$B$43)</f>
        <v/>
      </c>
      <c r="F36">
        <f>Assumptions!$B$5/B36</f>
        <v/>
      </c>
      <c r="G36">
        <f>$B$13*(((Assumptions!$B$50-Assumptions!$B$51+E36+C36+D36)+F36)/(1-$B$13))-Assumptions!$B$51</f>
        <v/>
      </c>
      <c r="H36">
        <f>MAX(0,G36)</f>
        <v/>
      </c>
      <c r="I36">
        <f>Assumptions!$B$50+E36+H36+C36+D36</f>
        <v/>
      </c>
      <c r="J36">
        <f>I36+F36</f>
        <v/>
      </c>
      <c r="K36">
        <f>Assumptions!$B$50+E36+H36+D36</f>
        <v/>
      </c>
      <c r="L36">
        <f>Assumptions!$B$50+E36+H36+C36</f>
        <v/>
      </c>
      <c r="M36">
        <f>Assumptions!$B$60/K36</f>
        <v/>
      </c>
      <c r="N36">
        <f>B36*(1-Assumptions!$B$61)</f>
        <v/>
      </c>
      <c r="O36">
        <f>MIN(M36,N36)</f>
        <v/>
      </c>
      <c r="P36">
        <f>Assumptions!$B$63/L36</f>
        <v/>
      </c>
      <c r="Q36">
        <f>B36*(1-Assumptions!$B$64)</f>
        <v/>
      </c>
      <c r="R36">
        <f>MIN(P36,Q36)</f>
        <v/>
      </c>
      <c r="S36">
        <f>$B$14/I36</f>
        <v/>
      </c>
      <c r="T36">
        <f>Assumptions!$B$59/O36</f>
        <v/>
      </c>
      <c r="U36">
        <f>Assumptions!$B$62/R36</f>
        <v/>
      </c>
    </row>
    <row r="37">
      <c r="A37" t="n">
        <v>20</v>
      </c>
      <c r="B37">
        <f>S36</f>
        <v/>
      </c>
      <c r="C37">
        <f>T36</f>
        <v/>
      </c>
      <c r="D37">
        <f>U36</f>
        <v/>
      </c>
      <c r="E37">
        <f>MAX(0,Assumptions!$B$34/IF(B37&lt;Assumptions!$B$25,Assumptions!$B$25*(Assumptions!$B$50+Assumptions!$B$5/Assumptions!$B$25)/(Assumptions!$B$50+Assumptions!$B$5/B37),Assumptions!$B$25)-Assumptions!$B$42)+MAX(0,Assumptions!$B$35/IF(B37&lt;Assumptions!$B$26,Assumptions!$B$26*(Assumptions!$B$50+Assumptions!$B$5/Assumptions!$B$26)/(Assumptions!$B$50+Assumptions!$B$5/B37),Assumptions!$B$26)-Assumptions!$B$43)</f>
        <v/>
      </c>
      <c r="F37">
        <f>Assumptions!$B$5/B37</f>
        <v/>
      </c>
      <c r="G37">
        <f>$B$13*(((Assumptions!$B$50-Assumptions!$B$51+E37+C37+D37)+F37)/(1-$B$13))-Assumptions!$B$51</f>
        <v/>
      </c>
      <c r="H37">
        <f>MAX(0,G37)</f>
        <v/>
      </c>
      <c r="I37">
        <f>Assumptions!$B$50+E37+H37+C37+D37</f>
        <v/>
      </c>
      <c r="J37">
        <f>I37+F37</f>
        <v/>
      </c>
      <c r="K37">
        <f>Assumptions!$B$50+E37+H37+D37</f>
        <v/>
      </c>
      <c r="L37">
        <f>Assumptions!$B$50+E37+H37+C37</f>
        <v/>
      </c>
      <c r="M37">
        <f>Assumptions!$B$60/K37</f>
        <v/>
      </c>
      <c r="N37">
        <f>B37*(1-Assumptions!$B$61)</f>
        <v/>
      </c>
      <c r="O37">
        <f>MIN(M37,N37)</f>
        <v/>
      </c>
      <c r="P37">
        <f>Assumptions!$B$63/L37</f>
        <v/>
      </c>
      <c r="Q37">
        <f>B37*(1-Assumptions!$B$64)</f>
        <v/>
      </c>
      <c r="R37">
        <f>MIN(P37,Q37)</f>
        <v/>
      </c>
      <c r="S37">
        <f>$B$14/I37</f>
        <v/>
      </c>
      <c r="T37">
        <f>Assumptions!$B$59/O37</f>
        <v/>
      </c>
      <c r="U37">
        <f>Assumptions!$B$62/R37</f>
        <v/>
      </c>
    </row>
    <row r="38">
      <c r="A38" t="n">
        <v>21</v>
      </c>
      <c r="B38">
        <f>S37</f>
        <v/>
      </c>
      <c r="C38">
        <f>T37</f>
        <v/>
      </c>
      <c r="D38">
        <f>U37</f>
        <v/>
      </c>
      <c r="E38">
        <f>MAX(0,Assumptions!$B$34/IF(B38&lt;Assumptions!$B$25,Assumptions!$B$25*(Assumptions!$B$50+Assumptions!$B$5/Assumptions!$B$25)/(Assumptions!$B$50+Assumptions!$B$5/B38),Assumptions!$B$25)-Assumptions!$B$42)+MAX(0,Assumptions!$B$35/IF(B38&lt;Assumptions!$B$26,Assumptions!$B$26*(Assumptions!$B$50+Assumptions!$B$5/Assumptions!$B$26)/(Assumptions!$B$50+Assumptions!$B$5/B38),Assumptions!$B$26)-Assumptions!$B$43)</f>
        <v/>
      </c>
      <c r="F38">
        <f>Assumptions!$B$5/B38</f>
        <v/>
      </c>
      <c r="G38">
        <f>$B$13*(((Assumptions!$B$50-Assumptions!$B$51+E38+C38+D38)+F38)/(1-$B$13))-Assumptions!$B$51</f>
        <v/>
      </c>
      <c r="H38">
        <f>MAX(0,G38)</f>
        <v/>
      </c>
      <c r="I38">
        <f>Assumptions!$B$50+E38+H38+C38+D38</f>
        <v/>
      </c>
      <c r="J38">
        <f>I38+F38</f>
        <v/>
      </c>
      <c r="K38">
        <f>Assumptions!$B$50+E38+H38+D38</f>
        <v/>
      </c>
      <c r="L38">
        <f>Assumptions!$B$50+E38+H38+C38</f>
        <v/>
      </c>
      <c r="M38">
        <f>Assumptions!$B$60/K38</f>
        <v/>
      </c>
      <c r="N38">
        <f>B38*(1-Assumptions!$B$61)</f>
        <v/>
      </c>
      <c r="O38">
        <f>MIN(M38,N38)</f>
        <v/>
      </c>
      <c r="P38">
        <f>Assumptions!$B$63/L38</f>
        <v/>
      </c>
      <c r="Q38">
        <f>B38*(1-Assumptions!$B$64)</f>
        <v/>
      </c>
      <c r="R38">
        <f>MIN(P38,Q38)</f>
        <v/>
      </c>
      <c r="S38">
        <f>$B$14/I38</f>
        <v/>
      </c>
      <c r="T38">
        <f>Assumptions!$B$59/O38</f>
        <v/>
      </c>
      <c r="U38">
        <f>Assumptions!$B$62/R38</f>
        <v/>
      </c>
    </row>
    <row r="39">
      <c r="A39" t="n">
        <v>22</v>
      </c>
      <c r="B39">
        <f>S38</f>
        <v/>
      </c>
      <c r="C39">
        <f>T38</f>
        <v/>
      </c>
      <c r="D39">
        <f>U38</f>
        <v/>
      </c>
      <c r="E39">
        <f>MAX(0,Assumptions!$B$34/IF(B39&lt;Assumptions!$B$25,Assumptions!$B$25*(Assumptions!$B$50+Assumptions!$B$5/Assumptions!$B$25)/(Assumptions!$B$50+Assumptions!$B$5/B39),Assumptions!$B$25)-Assumptions!$B$42)+MAX(0,Assumptions!$B$35/IF(B39&lt;Assumptions!$B$26,Assumptions!$B$26*(Assumptions!$B$50+Assumptions!$B$5/Assumptions!$B$26)/(Assumptions!$B$50+Assumptions!$B$5/B39),Assumptions!$B$26)-Assumptions!$B$43)</f>
        <v/>
      </c>
      <c r="F39">
        <f>Assumptions!$B$5/B39</f>
        <v/>
      </c>
      <c r="G39">
        <f>$B$13*(((Assumptions!$B$50-Assumptions!$B$51+E39+C39+D39)+F39)/(1-$B$13))-Assumptions!$B$51</f>
        <v/>
      </c>
      <c r="H39">
        <f>MAX(0,G39)</f>
        <v/>
      </c>
      <c r="I39">
        <f>Assumptions!$B$50+E39+H39+C39+D39</f>
        <v/>
      </c>
      <c r="J39">
        <f>I39+F39</f>
        <v/>
      </c>
      <c r="K39">
        <f>Assumptions!$B$50+E39+H39+D39</f>
        <v/>
      </c>
      <c r="L39">
        <f>Assumptions!$B$50+E39+H39+C39</f>
        <v/>
      </c>
      <c r="M39">
        <f>Assumptions!$B$60/K39</f>
        <v/>
      </c>
      <c r="N39">
        <f>B39*(1-Assumptions!$B$61)</f>
        <v/>
      </c>
      <c r="O39">
        <f>MIN(M39,N39)</f>
        <v/>
      </c>
      <c r="P39">
        <f>Assumptions!$B$63/L39</f>
        <v/>
      </c>
      <c r="Q39">
        <f>B39*(1-Assumptions!$B$64)</f>
        <v/>
      </c>
      <c r="R39">
        <f>MIN(P39,Q39)</f>
        <v/>
      </c>
      <c r="S39">
        <f>$B$14/I39</f>
        <v/>
      </c>
      <c r="T39">
        <f>Assumptions!$B$59/O39</f>
        <v/>
      </c>
      <c r="U39">
        <f>Assumptions!$B$62/R39</f>
        <v/>
      </c>
    </row>
    <row r="40">
      <c r="A40" t="n">
        <v>23</v>
      </c>
      <c r="B40">
        <f>S39</f>
        <v/>
      </c>
      <c r="C40">
        <f>T39</f>
        <v/>
      </c>
      <c r="D40">
        <f>U39</f>
        <v/>
      </c>
      <c r="E40">
        <f>MAX(0,Assumptions!$B$34/IF(B40&lt;Assumptions!$B$25,Assumptions!$B$25*(Assumptions!$B$50+Assumptions!$B$5/Assumptions!$B$25)/(Assumptions!$B$50+Assumptions!$B$5/B40),Assumptions!$B$25)-Assumptions!$B$42)+MAX(0,Assumptions!$B$35/IF(B40&lt;Assumptions!$B$26,Assumptions!$B$26*(Assumptions!$B$50+Assumptions!$B$5/Assumptions!$B$26)/(Assumptions!$B$50+Assumptions!$B$5/B40),Assumptions!$B$26)-Assumptions!$B$43)</f>
        <v/>
      </c>
      <c r="F40">
        <f>Assumptions!$B$5/B40</f>
        <v/>
      </c>
      <c r="G40">
        <f>$B$13*(((Assumptions!$B$50-Assumptions!$B$51+E40+C40+D40)+F40)/(1-$B$13))-Assumptions!$B$51</f>
        <v/>
      </c>
      <c r="H40">
        <f>MAX(0,G40)</f>
        <v/>
      </c>
      <c r="I40">
        <f>Assumptions!$B$50+E40+H40+C40+D40</f>
        <v/>
      </c>
      <c r="J40">
        <f>I40+F40</f>
        <v/>
      </c>
      <c r="K40">
        <f>Assumptions!$B$50+E40+H40+D40</f>
        <v/>
      </c>
      <c r="L40">
        <f>Assumptions!$B$50+E40+H40+C40</f>
        <v/>
      </c>
      <c r="M40">
        <f>Assumptions!$B$60/K40</f>
        <v/>
      </c>
      <c r="N40">
        <f>B40*(1-Assumptions!$B$61)</f>
        <v/>
      </c>
      <c r="O40">
        <f>MIN(M40,N40)</f>
        <v/>
      </c>
      <c r="P40">
        <f>Assumptions!$B$63/L40</f>
        <v/>
      </c>
      <c r="Q40">
        <f>B40*(1-Assumptions!$B$64)</f>
        <v/>
      </c>
      <c r="R40">
        <f>MIN(P40,Q40)</f>
        <v/>
      </c>
      <c r="S40">
        <f>$B$14/I40</f>
        <v/>
      </c>
      <c r="T40">
        <f>Assumptions!$B$59/O40</f>
        <v/>
      </c>
      <c r="U40">
        <f>Assumptions!$B$62/R40</f>
        <v/>
      </c>
    </row>
    <row r="41">
      <c r="A41" t="n">
        <v>24</v>
      </c>
      <c r="B41">
        <f>S40</f>
        <v/>
      </c>
      <c r="C41">
        <f>T40</f>
        <v/>
      </c>
      <c r="D41">
        <f>U40</f>
        <v/>
      </c>
      <c r="E41">
        <f>MAX(0,Assumptions!$B$34/IF(B41&lt;Assumptions!$B$25,Assumptions!$B$25*(Assumptions!$B$50+Assumptions!$B$5/Assumptions!$B$25)/(Assumptions!$B$50+Assumptions!$B$5/B41),Assumptions!$B$25)-Assumptions!$B$42)+MAX(0,Assumptions!$B$35/IF(B41&lt;Assumptions!$B$26,Assumptions!$B$26*(Assumptions!$B$50+Assumptions!$B$5/Assumptions!$B$26)/(Assumptions!$B$50+Assumptions!$B$5/B41),Assumptions!$B$26)-Assumptions!$B$43)</f>
        <v/>
      </c>
      <c r="F41">
        <f>Assumptions!$B$5/B41</f>
        <v/>
      </c>
      <c r="G41">
        <f>$B$13*(((Assumptions!$B$50-Assumptions!$B$51+E41+C41+D41)+F41)/(1-$B$13))-Assumptions!$B$51</f>
        <v/>
      </c>
      <c r="H41">
        <f>MAX(0,G41)</f>
        <v/>
      </c>
      <c r="I41">
        <f>Assumptions!$B$50+E41+H41+C41+D41</f>
        <v/>
      </c>
      <c r="J41">
        <f>I41+F41</f>
        <v/>
      </c>
      <c r="K41">
        <f>Assumptions!$B$50+E41+H41+D41</f>
        <v/>
      </c>
      <c r="L41">
        <f>Assumptions!$B$50+E41+H41+C41</f>
        <v/>
      </c>
      <c r="M41">
        <f>Assumptions!$B$60/K41</f>
        <v/>
      </c>
      <c r="N41">
        <f>B41*(1-Assumptions!$B$61)</f>
        <v/>
      </c>
      <c r="O41">
        <f>MIN(M41,N41)</f>
        <v/>
      </c>
      <c r="P41">
        <f>Assumptions!$B$63/L41</f>
        <v/>
      </c>
      <c r="Q41">
        <f>B41*(1-Assumptions!$B$64)</f>
        <v/>
      </c>
      <c r="R41">
        <f>MIN(P41,Q41)</f>
        <v/>
      </c>
      <c r="S41">
        <f>$B$14/I41</f>
        <v/>
      </c>
      <c r="T41">
        <f>Assumptions!$B$59/O41</f>
        <v/>
      </c>
      <c r="U41">
        <f>Assumptions!$B$62/R41</f>
        <v/>
      </c>
    </row>
    <row r="42">
      <c r="A42" t="n">
        <v>25</v>
      </c>
      <c r="B42">
        <f>S41</f>
        <v/>
      </c>
      <c r="C42">
        <f>T41</f>
        <v/>
      </c>
      <c r="D42">
        <f>U41</f>
        <v/>
      </c>
      <c r="E42">
        <f>MAX(0,Assumptions!$B$34/IF(B42&lt;Assumptions!$B$25,Assumptions!$B$25*(Assumptions!$B$50+Assumptions!$B$5/Assumptions!$B$25)/(Assumptions!$B$50+Assumptions!$B$5/B42),Assumptions!$B$25)-Assumptions!$B$42)+MAX(0,Assumptions!$B$35/IF(B42&lt;Assumptions!$B$26,Assumptions!$B$26*(Assumptions!$B$50+Assumptions!$B$5/Assumptions!$B$26)/(Assumptions!$B$50+Assumptions!$B$5/B42),Assumptions!$B$26)-Assumptions!$B$43)</f>
        <v/>
      </c>
      <c r="F42">
        <f>Assumptions!$B$5/B42</f>
        <v/>
      </c>
      <c r="G42">
        <f>$B$13*(((Assumptions!$B$50-Assumptions!$B$51+E42+C42+D42)+F42)/(1-$B$13))-Assumptions!$B$51</f>
        <v/>
      </c>
      <c r="H42">
        <f>MAX(0,G42)</f>
        <v/>
      </c>
      <c r="I42">
        <f>Assumptions!$B$50+E42+H42+C42+D42</f>
        <v/>
      </c>
      <c r="J42">
        <f>I42+F42</f>
        <v/>
      </c>
      <c r="K42">
        <f>Assumptions!$B$50+E42+H42+D42</f>
        <v/>
      </c>
      <c r="L42">
        <f>Assumptions!$B$50+E42+H42+C42</f>
        <v/>
      </c>
      <c r="M42">
        <f>Assumptions!$B$60/K42</f>
        <v/>
      </c>
      <c r="N42">
        <f>B42*(1-Assumptions!$B$61)</f>
        <v/>
      </c>
      <c r="O42">
        <f>MIN(M42,N42)</f>
        <v/>
      </c>
      <c r="P42">
        <f>Assumptions!$B$63/L42</f>
        <v/>
      </c>
      <c r="Q42">
        <f>B42*(1-Assumptions!$B$64)</f>
        <v/>
      </c>
      <c r="R42">
        <f>MIN(P42,Q42)</f>
        <v/>
      </c>
      <c r="S42">
        <f>$B$14/I42</f>
        <v/>
      </c>
      <c r="T42">
        <f>Assumptions!$B$59/O42</f>
        <v/>
      </c>
      <c r="U42">
        <f>Assumptions!$B$62/R42</f>
        <v/>
      </c>
    </row>
    <row r="43">
      <c r="A43" t="n">
        <v>26</v>
      </c>
      <c r="B43">
        <f>S42</f>
        <v/>
      </c>
      <c r="C43">
        <f>T42</f>
        <v/>
      </c>
      <c r="D43">
        <f>U42</f>
        <v/>
      </c>
      <c r="E43">
        <f>MAX(0,Assumptions!$B$34/IF(B43&lt;Assumptions!$B$25,Assumptions!$B$25*(Assumptions!$B$50+Assumptions!$B$5/Assumptions!$B$25)/(Assumptions!$B$50+Assumptions!$B$5/B43),Assumptions!$B$25)-Assumptions!$B$42)+MAX(0,Assumptions!$B$35/IF(B43&lt;Assumptions!$B$26,Assumptions!$B$26*(Assumptions!$B$50+Assumptions!$B$5/Assumptions!$B$26)/(Assumptions!$B$50+Assumptions!$B$5/B43),Assumptions!$B$26)-Assumptions!$B$43)</f>
        <v/>
      </c>
      <c r="F43">
        <f>Assumptions!$B$5/B43</f>
        <v/>
      </c>
      <c r="G43">
        <f>$B$13*(((Assumptions!$B$50-Assumptions!$B$51+E43+C43+D43)+F43)/(1-$B$13))-Assumptions!$B$51</f>
        <v/>
      </c>
      <c r="H43">
        <f>MAX(0,G43)</f>
        <v/>
      </c>
      <c r="I43">
        <f>Assumptions!$B$50+E43+H43+C43+D43</f>
        <v/>
      </c>
      <c r="J43">
        <f>I43+F43</f>
        <v/>
      </c>
      <c r="K43">
        <f>Assumptions!$B$50+E43+H43+D43</f>
        <v/>
      </c>
      <c r="L43">
        <f>Assumptions!$B$50+E43+H43+C43</f>
        <v/>
      </c>
      <c r="M43">
        <f>Assumptions!$B$60/K43</f>
        <v/>
      </c>
      <c r="N43">
        <f>B43*(1-Assumptions!$B$61)</f>
        <v/>
      </c>
      <c r="O43">
        <f>MIN(M43,N43)</f>
        <v/>
      </c>
      <c r="P43">
        <f>Assumptions!$B$63/L43</f>
        <v/>
      </c>
      <c r="Q43">
        <f>B43*(1-Assumptions!$B$64)</f>
        <v/>
      </c>
      <c r="R43">
        <f>MIN(P43,Q43)</f>
        <v/>
      </c>
      <c r="S43">
        <f>$B$14/I43</f>
        <v/>
      </c>
      <c r="T43">
        <f>Assumptions!$B$59/O43</f>
        <v/>
      </c>
      <c r="U43">
        <f>Assumptions!$B$62/R43</f>
        <v/>
      </c>
    </row>
    <row r="44">
      <c r="A44" t="n">
        <v>27</v>
      </c>
      <c r="B44">
        <f>S43</f>
        <v/>
      </c>
      <c r="C44">
        <f>T43</f>
        <v/>
      </c>
      <c r="D44">
        <f>U43</f>
        <v/>
      </c>
      <c r="E44">
        <f>MAX(0,Assumptions!$B$34/IF(B44&lt;Assumptions!$B$25,Assumptions!$B$25*(Assumptions!$B$50+Assumptions!$B$5/Assumptions!$B$25)/(Assumptions!$B$50+Assumptions!$B$5/B44),Assumptions!$B$25)-Assumptions!$B$42)+MAX(0,Assumptions!$B$35/IF(B44&lt;Assumptions!$B$26,Assumptions!$B$26*(Assumptions!$B$50+Assumptions!$B$5/Assumptions!$B$26)/(Assumptions!$B$50+Assumptions!$B$5/B44),Assumptions!$B$26)-Assumptions!$B$43)</f>
        <v/>
      </c>
      <c r="F44">
        <f>Assumptions!$B$5/B44</f>
        <v/>
      </c>
      <c r="G44">
        <f>$B$13*(((Assumptions!$B$50-Assumptions!$B$51+E44+C44+D44)+F44)/(1-$B$13))-Assumptions!$B$51</f>
        <v/>
      </c>
      <c r="H44">
        <f>MAX(0,G44)</f>
        <v/>
      </c>
      <c r="I44">
        <f>Assumptions!$B$50+E44+H44+C44+D44</f>
        <v/>
      </c>
      <c r="J44">
        <f>I44+F44</f>
        <v/>
      </c>
      <c r="K44">
        <f>Assumptions!$B$50+E44+H44+D44</f>
        <v/>
      </c>
      <c r="L44">
        <f>Assumptions!$B$50+E44+H44+C44</f>
        <v/>
      </c>
      <c r="M44">
        <f>Assumptions!$B$60/K44</f>
        <v/>
      </c>
      <c r="N44">
        <f>B44*(1-Assumptions!$B$61)</f>
        <v/>
      </c>
      <c r="O44">
        <f>MIN(M44,N44)</f>
        <v/>
      </c>
      <c r="P44">
        <f>Assumptions!$B$63/L44</f>
        <v/>
      </c>
      <c r="Q44">
        <f>B44*(1-Assumptions!$B$64)</f>
        <v/>
      </c>
      <c r="R44">
        <f>MIN(P44,Q44)</f>
        <v/>
      </c>
      <c r="S44">
        <f>$B$14/I44</f>
        <v/>
      </c>
      <c r="T44">
        <f>Assumptions!$B$59/O44</f>
        <v/>
      </c>
      <c r="U44">
        <f>Assumptions!$B$62/R44</f>
        <v/>
      </c>
    </row>
    <row r="45">
      <c r="A45" t="n">
        <v>28</v>
      </c>
      <c r="B45">
        <f>S44</f>
        <v/>
      </c>
      <c r="C45">
        <f>T44</f>
        <v/>
      </c>
      <c r="D45">
        <f>U44</f>
        <v/>
      </c>
      <c r="E45">
        <f>MAX(0,Assumptions!$B$34/IF(B45&lt;Assumptions!$B$25,Assumptions!$B$25*(Assumptions!$B$50+Assumptions!$B$5/Assumptions!$B$25)/(Assumptions!$B$50+Assumptions!$B$5/B45),Assumptions!$B$25)-Assumptions!$B$42)+MAX(0,Assumptions!$B$35/IF(B45&lt;Assumptions!$B$26,Assumptions!$B$26*(Assumptions!$B$50+Assumptions!$B$5/Assumptions!$B$26)/(Assumptions!$B$50+Assumptions!$B$5/B45),Assumptions!$B$26)-Assumptions!$B$43)</f>
        <v/>
      </c>
      <c r="F45">
        <f>Assumptions!$B$5/B45</f>
        <v/>
      </c>
      <c r="G45">
        <f>$B$13*(((Assumptions!$B$50-Assumptions!$B$51+E45+C45+D45)+F45)/(1-$B$13))-Assumptions!$B$51</f>
        <v/>
      </c>
      <c r="H45">
        <f>MAX(0,G45)</f>
        <v/>
      </c>
      <c r="I45">
        <f>Assumptions!$B$50+E45+H45+C45+D45</f>
        <v/>
      </c>
      <c r="J45">
        <f>I45+F45</f>
        <v/>
      </c>
      <c r="K45">
        <f>Assumptions!$B$50+E45+H45+D45</f>
        <v/>
      </c>
      <c r="L45">
        <f>Assumptions!$B$50+E45+H45+C45</f>
        <v/>
      </c>
      <c r="M45">
        <f>Assumptions!$B$60/K45</f>
        <v/>
      </c>
      <c r="N45">
        <f>B45*(1-Assumptions!$B$61)</f>
        <v/>
      </c>
      <c r="O45">
        <f>MIN(M45,N45)</f>
        <v/>
      </c>
      <c r="P45">
        <f>Assumptions!$B$63/L45</f>
        <v/>
      </c>
      <c r="Q45">
        <f>B45*(1-Assumptions!$B$64)</f>
        <v/>
      </c>
      <c r="R45">
        <f>MIN(P45,Q45)</f>
        <v/>
      </c>
      <c r="S45">
        <f>$B$14/I45</f>
        <v/>
      </c>
      <c r="T45">
        <f>Assumptions!$B$59/O45</f>
        <v/>
      </c>
      <c r="U45">
        <f>Assumptions!$B$62/R45</f>
        <v/>
      </c>
    </row>
    <row r="46">
      <c r="A46" t="n">
        <v>29</v>
      </c>
      <c r="B46">
        <f>S45</f>
        <v/>
      </c>
      <c r="C46">
        <f>T45</f>
        <v/>
      </c>
      <c r="D46">
        <f>U45</f>
        <v/>
      </c>
      <c r="E46">
        <f>MAX(0,Assumptions!$B$34/IF(B46&lt;Assumptions!$B$25,Assumptions!$B$25*(Assumptions!$B$50+Assumptions!$B$5/Assumptions!$B$25)/(Assumptions!$B$50+Assumptions!$B$5/B46),Assumptions!$B$25)-Assumptions!$B$42)+MAX(0,Assumptions!$B$35/IF(B46&lt;Assumptions!$B$26,Assumptions!$B$26*(Assumptions!$B$50+Assumptions!$B$5/Assumptions!$B$26)/(Assumptions!$B$50+Assumptions!$B$5/B46),Assumptions!$B$26)-Assumptions!$B$43)</f>
        <v/>
      </c>
      <c r="F46">
        <f>Assumptions!$B$5/B46</f>
        <v/>
      </c>
      <c r="G46">
        <f>$B$13*(((Assumptions!$B$50-Assumptions!$B$51+E46+C46+D46)+F46)/(1-$B$13))-Assumptions!$B$51</f>
        <v/>
      </c>
      <c r="H46">
        <f>MAX(0,G46)</f>
        <v/>
      </c>
      <c r="I46">
        <f>Assumptions!$B$50+E46+H46+C46+D46</f>
        <v/>
      </c>
      <c r="J46">
        <f>I46+F46</f>
        <v/>
      </c>
      <c r="K46">
        <f>Assumptions!$B$50+E46+H46+D46</f>
        <v/>
      </c>
      <c r="L46">
        <f>Assumptions!$B$50+E46+H46+C46</f>
        <v/>
      </c>
      <c r="M46">
        <f>Assumptions!$B$60/K46</f>
        <v/>
      </c>
      <c r="N46">
        <f>B46*(1-Assumptions!$B$61)</f>
        <v/>
      </c>
      <c r="O46">
        <f>MIN(M46,N46)</f>
        <v/>
      </c>
      <c r="P46">
        <f>Assumptions!$B$63/L46</f>
        <v/>
      </c>
      <c r="Q46">
        <f>B46*(1-Assumptions!$B$64)</f>
        <v/>
      </c>
      <c r="R46">
        <f>MIN(P46,Q46)</f>
        <v/>
      </c>
      <c r="S46">
        <f>$B$14/I46</f>
        <v/>
      </c>
      <c r="T46">
        <f>Assumptions!$B$59/O46</f>
        <v/>
      </c>
      <c r="U46">
        <f>Assumptions!$B$62/R46</f>
        <v/>
      </c>
    </row>
    <row r="47">
      <c r="A47" t="n">
        <v>30</v>
      </c>
      <c r="B47">
        <f>S46</f>
        <v/>
      </c>
      <c r="C47">
        <f>T46</f>
        <v/>
      </c>
      <c r="D47">
        <f>U46</f>
        <v/>
      </c>
      <c r="E47">
        <f>MAX(0,Assumptions!$B$34/IF(B47&lt;Assumptions!$B$25,Assumptions!$B$25*(Assumptions!$B$50+Assumptions!$B$5/Assumptions!$B$25)/(Assumptions!$B$50+Assumptions!$B$5/B47),Assumptions!$B$25)-Assumptions!$B$42)+MAX(0,Assumptions!$B$35/IF(B47&lt;Assumptions!$B$26,Assumptions!$B$26*(Assumptions!$B$50+Assumptions!$B$5/Assumptions!$B$26)/(Assumptions!$B$50+Assumptions!$B$5/B47),Assumptions!$B$26)-Assumptions!$B$43)</f>
        <v/>
      </c>
      <c r="F47">
        <f>Assumptions!$B$5/B47</f>
        <v/>
      </c>
      <c r="G47">
        <f>$B$13*(((Assumptions!$B$50-Assumptions!$B$51+E47+C47+D47)+F47)/(1-$B$13))-Assumptions!$B$51</f>
        <v/>
      </c>
      <c r="H47">
        <f>MAX(0,G47)</f>
        <v/>
      </c>
      <c r="I47">
        <f>Assumptions!$B$50+E47+H47+C47+D47</f>
        <v/>
      </c>
      <c r="J47">
        <f>I47+F47</f>
        <v/>
      </c>
      <c r="K47">
        <f>Assumptions!$B$50+E47+H47+D47</f>
        <v/>
      </c>
      <c r="L47">
        <f>Assumptions!$B$50+E47+H47+C47</f>
        <v/>
      </c>
      <c r="M47">
        <f>Assumptions!$B$60/K47</f>
        <v/>
      </c>
      <c r="N47">
        <f>B47*(1-Assumptions!$B$61)</f>
        <v/>
      </c>
      <c r="O47">
        <f>MIN(M47,N47)</f>
        <v/>
      </c>
      <c r="P47">
        <f>Assumptions!$B$63/L47</f>
        <v/>
      </c>
      <c r="Q47">
        <f>B47*(1-Assumptions!$B$64)</f>
        <v/>
      </c>
      <c r="R47">
        <f>MIN(P47,Q47)</f>
        <v/>
      </c>
      <c r="S47">
        <f>$B$14/I47</f>
        <v/>
      </c>
      <c r="T47">
        <f>Assumptions!$B$59/O47</f>
        <v/>
      </c>
      <c r="U47">
        <f>Assumptions!$B$62/R47</f>
        <v/>
      </c>
    </row>
    <row r="49">
      <c r="A49" s="2" t="inlineStr">
        <is>
          <t>Solved F_PPS</t>
        </is>
      </c>
      <c r="B49">
        <f>B47</f>
        <v/>
      </c>
    </row>
    <row r="50">
      <c r="A50" t="inlineStr">
        <is>
          <t>Solved pmFD</t>
        </is>
      </c>
      <c r="B50">
        <f>I47</f>
        <v/>
      </c>
    </row>
    <row r="51">
      <c r="A51" t="inlineStr">
        <is>
          <t>Solved T_F</t>
        </is>
      </c>
      <c r="B51">
        <f>J47</f>
        <v/>
      </c>
    </row>
    <row r="52">
      <c r="A52" t="inlineStr">
        <is>
          <t>Solved AD_extra</t>
        </is>
      </c>
      <c r="B52">
        <f>E47</f>
        <v/>
      </c>
    </row>
    <row r="53">
      <c r="A53" t="inlineStr">
        <is>
          <t>Solved topup</t>
        </is>
      </c>
      <c r="B53">
        <f>H47</f>
        <v/>
      </c>
    </row>
    <row r="54">
      <c r="A54" t="inlineStr">
        <is>
          <t>Solved nA</t>
        </is>
      </c>
      <c r="B54">
        <f>C47</f>
        <v/>
      </c>
    </row>
    <row r="55">
      <c r="A55" t="inlineStr">
        <is>
          <t>Solved nB</t>
        </is>
      </c>
      <c r="B55">
        <f>D47</f>
        <v/>
      </c>
    </row>
    <row r="56">
      <c r="A56" t="inlineStr">
        <is>
          <t>Branch A</t>
        </is>
      </c>
      <c r="B56">
        <f>IF(M47&lt;N47,"cap","discount")</f>
        <v/>
      </c>
    </row>
    <row r="57">
      <c r="A57" t="inlineStr">
        <is>
          <t>Branch B</t>
        </is>
      </c>
      <c r="B57">
        <f>IF(P47&lt;Q47,"cap","discount")</f>
        <v/>
      </c>
    </row>
    <row r="59">
      <c r="A59" t="inlineStr">
        <is>
          <t>Fund shares</t>
        </is>
      </c>
      <c r="B59">
        <f>Assumptions!$B$9/B47</f>
        <v/>
      </c>
    </row>
    <row r="60">
      <c r="A60" t="inlineStr">
        <is>
          <t>Fund ownership %</t>
        </is>
      </c>
      <c r="B60" s="12">
        <f>B59/J47</f>
        <v/>
      </c>
    </row>
    <row r="61">
      <c r="A61" t="inlineStr">
        <is>
          <t>Tender shares</t>
        </is>
      </c>
      <c r="B61">
        <f>Assumptions!$B$6/(Assumptions!$B$7*B47)</f>
        <v/>
      </c>
    </row>
    <row r="62">
      <c r="A62" t="inlineStr">
        <is>
          <t>ITM test PPS</t>
        </is>
      </c>
      <c r="B62">
        <f>(Assumptions!$B$16+Assumptions!$B$11*Assumptions!$B$48)/(F47+(Assumptions!$B$35/IF(B47&lt;Assumptions!$B$26,Assumptions!$B$26*(Assumptions!$B$50+Assumptions!$B$5/Assumptions!$B$26)/(Assumptions!$B$50+Assumptions!$B$5/B47),Assumptions!$B$26))+(Assumptions!$B$34/IF(B47&lt;Assumptions!$B$25,Assumptions!$B$25*(Assumptions!$B$50+Assumptions!$B$5/Assumptions!$B$25)/(Assumptions!$B$50+Assumptions!$B$5/B47),Assumptions!$B$25))+Assumptions!$B$41+Assumptions!$B$40+Assumptions!$B$39+Assumptions!$B$38+(Assumptions!$B$44+Assumptions!$B$45+Assumptions!$B$46-B61)+Assumptions!$B$47+B61+(C47+D47)+Assumptions!$B$48)</f>
        <v/>
      </c>
    </row>
    <row r="63">
      <c r="A63" t="inlineStr">
        <is>
          <t>ITM?</t>
        </is>
      </c>
      <c r="B63">
        <f>IF(B62&gt;Assumptions!$B$11,"YES","NO")</f>
        <v/>
      </c>
    </row>
    <row r="64">
      <c r="A64" t="inlineStr">
        <is>
          <t>Effective pool</t>
        </is>
      </c>
      <c r="B64">
        <f>IF(B63="YES",(F47+(Assumptions!$B$35/IF(B47&lt;Assumptions!$B$26,Assumptions!$B$26*(Assumptions!$B$50+Assumptions!$B$5/Assumptions!$B$26)/(Assumptions!$B$50+Assumptions!$B$5/B47),Assumptions!$B$26))+(Assumptions!$B$34/IF(B47&lt;Assumptions!$B$25,Assumptions!$B$25*(Assumptions!$B$50+Assumptions!$B$5/Assumptions!$B$25)/(Assumptions!$B$50+Assumptions!$B$5/B47),Assumptions!$B$25))+Assumptions!$B$41+Assumptions!$B$40+Assumptions!$B$39+Assumptions!$B$38+(Assumptions!$B$44+Assumptions!$B$45+Assumptions!$B$46-B61)+Assumptions!$B$47+B61+(C47+D47)+Assumptions!$B$48),(F47+(Assumptions!$B$35/IF(B47&lt;Assumptions!$B$26,Assumptions!$B$26*(Assumptions!$B$50+Assumptions!$B$5/Assumptions!$B$26)/(Assumptions!$B$50+Assumptions!$B$5/B47),Assumptions!$B$26))+(Assumptions!$B$34/IF(B47&lt;Assumptions!$B$25,Assumptions!$B$25*(Assumptions!$B$50+Assumptions!$B$5/Assumptions!$B$25)/(Assumptions!$B$50+Assumptions!$B$5/B47),Assumptions!$B$25))+Assumptions!$B$41+Assumptions!$B$40+Assumptions!$B$39+Assumptions!$B$38+(Assumptions!$B$44+Assumptions!$B$45+Assumptions!$B$46-B61)+Assumptions!$B$47+B61+(C47+D47)))</f>
        <v/>
      </c>
    </row>
    <row r="65">
      <c r="A65" t="inlineStr">
        <is>
          <t>Adjusted exit</t>
        </is>
      </c>
      <c r="B65">
        <f>IF(B63="YES",Assumptions!$B$16+Assumptions!$B$11*Assumptions!$B$48,Assumptions!$B$16)</f>
        <v/>
      </c>
    </row>
    <row r="66">
      <c r="A66" s="20" t="inlineStr">
        <is>
          <t>F elect</t>
        </is>
      </c>
      <c r="B66">
        <f>IF(Assumptions!$B$5&gt;(F47)*(B65-(0))/(B64-(0)),"preference","convert")</f>
        <v/>
      </c>
    </row>
    <row r="67">
      <c r="A67" t="inlineStr">
        <is>
          <t>F pref taken</t>
        </is>
      </c>
      <c r="B67">
        <f>IF(B66="preference",Assumptions!$B$5,0)</f>
        <v/>
      </c>
    </row>
    <row r="68">
      <c r="A68" t="inlineStr">
        <is>
          <t>F pool loss</t>
        </is>
      </c>
      <c r="B68">
        <f>IF(B66="preference",F47,0)</f>
        <v/>
      </c>
    </row>
    <row r="69">
      <c r="A69" s="20" t="inlineStr">
        <is>
          <t>E elect</t>
        </is>
      </c>
      <c r="B69">
        <f>IF(Assumptions!$B$35&gt;((Assumptions!$B$35/IF(B47&lt;Assumptions!$B$26,Assumptions!$B$26*(Assumptions!$B$50+Assumptions!$B$5/Assumptions!$B$26)/(Assumptions!$B$50+Assumptions!$B$5/B47),Assumptions!$B$26)))*(B65-(B67))/(B64-(B68)),"preference","convert")</f>
        <v/>
      </c>
    </row>
    <row r="70">
      <c r="A70" t="inlineStr">
        <is>
          <t>E pref taken</t>
        </is>
      </c>
      <c r="B70">
        <f>IF(B69="preference",Assumptions!$B$35,0)</f>
        <v/>
      </c>
    </row>
    <row r="71">
      <c r="A71" t="inlineStr">
        <is>
          <t>E pool loss</t>
        </is>
      </c>
      <c r="B71">
        <f>IF(B69="preference",(Assumptions!$B$35/IF(B47&lt;Assumptions!$B$26,Assumptions!$B$26*(Assumptions!$B$50+Assumptions!$B$5/Assumptions!$B$26)/(Assumptions!$B$50+Assumptions!$B$5/B47),Assumptions!$B$26)),0)</f>
        <v/>
      </c>
    </row>
    <row r="72">
      <c r="A72" s="20" t="inlineStr">
        <is>
          <t>D elect</t>
        </is>
      </c>
      <c r="B72">
        <f>IF(Assumptions!$B$34&gt;((Assumptions!$B$34/IF(B47&lt;Assumptions!$B$25,Assumptions!$B$25*(Assumptions!$B$50+Assumptions!$B$5/Assumptions!$B$25)/(Assumptions!$B$50+Assumptions!$B$5/B47),Assumptions!$B$25)))*(B65-(B67+B70))/(B64-(B68+B71)),"preference","convert")</f>
        <v/>
      </c>
    </row>
    <row r="73">
      <c r="A73" t="inlineStr">
        <is>
          <t>D pref taken</t>
        </is>
      </c>
      <c r="B73">
        <f>IF(B72="preference",Assumptions!$B$34,0)</f>
        <v/>
      </c>
    </row>
    <row r="74">
      <c r="A74" t="inlineStr">
        <is>
          <t>D pool loss</t>
        </is>
      </c>
      <c r="B74">
        <f>IF(B72="preference",(Assumptions!$B$34/IF(B47&lt;Assumptions!$B$25,Assumptions!$B$25*(Assumptions!$B$50+Assumptions!$B$5/Assumptions!$B$25)/(Assumptions!$B$50+Assumptions!$B$5/B47),Assumptions!$B$25)),0)</f>
        <v/>
      </c>
    </row>
    <row r="75">
      <c r="A75" s="20" t="inlineStr">
        <is>
          <t>C elect</t>
        </is>
      </c>
      <c r="B75">
        <f>IF(Assumptions!$B$33&gt;(Assumptions!$B$41)*(B65-(B67+B70+B73))/(B64-(B68+B71+B74)),"preference","convert")</f>
        <v/>
      </c>
    </row>
    <row r="76">
      <c r="A76" t="inlineStr">
        <is>
          <t>C pref taken</t>
        </is>
      </c>
      <c r="B76">
        <f>IF(B75="preference",Assumptions!$B$33,0)</f>
        <v/>
      </c>
    </row>
    <row r="77">
      <c r="A77" t="inlineStr">
        <is>
          <t>C pool loss</t>
        </is>
      </c>
      <c r="B77">
        <f>IF(B75="preference",Assumptions!$B$41,0)</f>
        <v/>
      </c>
    </row>
    <row r="78">
      <c r="A78" s="20" t="inlineStr">
        <is>
          <t>B elect</t>
        </is>
      </c>
      <c r="B78">
        <f>IF(Assumptions!$B$32&gt;(Assumptions!$B$40)*(B65-(B67+B70+B73+B76))/(B64-(B68+B71+B74+B77)),"preference","convert")</f>
        <v/>
      </c>
    </row>
    <row r="79">
      <c r="A79" t="inlineStr">
        <is>
          <t>B pref taken</t>
        </is>
      </c>
      <c r="B79">
        <f>IF(B78="preference",Assumptions!$B$32,0)</f>
        <v/>
      </c>
    </row>
    <row r="80">
      <c r="A80" t="inlineStr">
        <is>
          <t>B pool loss</t>
        </is>
      </c>
      <c r="B80">
        <f>IF(B78="preference",Assumptions!$B$40,0)</f>
        <v/>
      </c>
    </row>
    <row r="81">
      <c r="A81" s="20" t="inlineStr">
        <is>
          <t>A elect</t>
        </is>
      </c>
      <c r="B81">
        <f>IF(Assumptions!$B$31&gt;(Assumptions!$B$39)*(B65-(B67+B70+B73+B76+B79))/(B64-(B68+B71+B74+B77+B80)),"preference","convert")</f>
        <v/>
      </c>
    </row>
    <row r="82">
      <c r="A82" t="inlineStr">
        <is>
          <t>A pref taken</t>
        </is>
      </c>
      <c r="B82">
        <f>IF(B81="preference",Assumptions!$B$31,0)</f>
        <v/>
      </c>
    </row>
    <row r="83">
      <c r="A83" t="inlineStr">
        <is>
          <t>A pool loss</t>
        </is>
      </c>
      <c r="B83">
        <f>IF(B81="preference",Assumptions!$B$39,0)</f>
        <v/>
      </c>
    </row>
    <row r="84">
      <c r="A84" s="20" t="inlineStr">
        <is>
          <t>Seed elect</t>
        </is>
      </c>
      <c r="B84">
        <f>IF(Assumptions!$B$30&gt;(Assumptions!$B$38)*(B65-(B67+B70+B73+B76+B79+B82))/(B64-(B68+B71+B74+B77+B80+B83)),"preference","convert")</f>
        <v/>
      </c>
    </row>
    <row r="85">
      <c r="A85" t="inlineStr">
        <is>
          <t>Seed pref taken</t>
        </is>
      </c>
      <c r="B85">
        <f>IF(B84="preference",Assumptions!$B$30,0)</f>
        <v/>
      </c>
    </row>
    <row r="86">
      <c r="A86" t="inlineStr">
        <is>
          <t>Seed pool loss</t>
        </is>
      </c>
      <c r="B86">
        <f>IF(B84="preference",Assumptions!$B$38,0)</f>
        <v/>
      </c>
    </row>
    <row r="87">
      <c r="A87" s="2" t="inlineStr">
        <is>
          <t>Final PPS at $2B</t>
        </is>
      </c>
      <c r="B87">
        <f>(B65-(B67+B70+B73+B76+B79+B82+B85))/(B64-(B68+B71+B74+B77+B80+B83+B86))</f>
        <v/>
      </c>
    </row>
    <row r="88">
      <c r="A88" s="2" t="inlineStr">
        <is>
          <t>Fund proceeds at $2B</t>
        </is>
      </c>
      <c r="B88" s="18">
        <f>IF(B66="preference",Assumptions!$B$9,B59*B87)</f>
        <v/>
      </c>
    </row>
    <row r="112">
      <c r="A112" s="2" t="inlineStr">
        <is>
          <t>Scenario [esop=11%, pre=$1.4B]</t>
        </is>
      </c>
    </row>
    <row r="113">
      <c r="A113" t="inlineStr">
        <is>
          <t>ESOP target</t>
        </is>
      </c>
      <c r="B113">
        <f>Assumptions!$B$67</f>
        <v/>
      </c>
    </row>
    <row r="114">
      <c r="A114" t="inlineStr">
        <is>
          <t>Pre-money</t>
        </is>
      </c>
      <c r="B114">
        <f>Assumptions!$B$71</f>
        <v/>
      </c>
    </row>
    <row r="116">
      <c r="A116" s="14" t="inlineStr">
        <is>
          <t>k</t>
        </is>
      </c>
      <c r="B116" s="14" t="inlineStr">
        <is>
          <t>F_PPS_k</t>
        </is>
      </c>
      <c r="C116" s="14" t="inlineStr">
        <is>
          <t>nA_k</t>
        </is>
      </c>
      <c r="D116" s="14" t="inlineStr">
        <is>
          <t>nB_k</t>
        </is>
      </c>
      <c r="E116" s="14" t="inlineStr">
        <is>
          <t>AD_x</t>
        </is>
      </c>
      <c r="F116" s="14" t="inlineStr">
        <is>
          <t>F_pri</t>
        </is>
      </c>
      <c r="G116" s="14" t="inlineStr">
        <is>
          <t>topup_p</t>
        </is>
      </c>
      <c r="H116" s="14" t="inlineStr">
        <is>
          <t>topup</t>
        </is>
      </c>
      <c r="I116" s="14" t="inlineStr">
        <is>
          <t>pmFD</t>
        </is>
      </c>
      <c r="J116" s="14" t="inlineStr">
        <is>
          <t>T_F</t>
        </is>
      </c>
      <c r="K116" s="14" t="inlineStr">
        <is>
          <t>pmFD_A</t>
        </is>
      </c>
      <c r="L116" s="14" t="inlineStr">
        <is>
          <t>pmFD_B</t>
        </is>
      </c>
      <c r="M116" s="14" t="inlineStr">
        <is>
          <t>cap_A</t>
        </is>
      </c>
      <c r="N116" s="14" t="inlineStr">
        <is>
          <t>disc_A</t>
        </is>
      </c>
      <c r="O116" s="14" t="inlineStr">
        <is>
          <t>conv_A</t>
        </is>
      </c>
      <c r="P116" s="14" t="inlineStr">
        <is>
          <t>cap_B</t>
        </is>
      </c>
      <c r="Q116" s="14" t="inlineStr">
        <is>
          <t>disc_B</t>
        </is>
      </c>
      <c r="R116" s="14" t="inlineStr">
        <is>
          <t>conv_B</t>
        </is>
      </c>
      <c r="S116" s="14" t="inlineStr">
        <is>
          <t>F_PPS_n</t>
        </is>
      </c>
      <c r="T116" s="14" t="inlineStr">
        <is>
          <t>nA_n</t>
        </is>
      </c>
      <c r="U116" s="14" t="inlineStr">
        <is>
          <t>nB_n</t>
        </is>
      </c>
    </row>
    <row r="117">
      <c r="A117" t="n">
        <v>0</v>
      </c>
      <c r="B117">
        <f>$B$114/Assumptions!$B$50</f>
        <v/>
      </c>
      <c r="C117" t="n">
        <v>0</v>
      </c>
      <c r="D117" t="n">
        <v>0</v>
      </c>
      <c r="E117">
        <f>MAX(0,Assumptions!$B$34/IF(B117&lt;Assumptions!$B$25,Assumptions!$B$25*(Assumptions!$B$50+Assumptions!$B$5/Assumptions!$B$25)/(Assumptions!$B$50+Assumptions!$B$5/B117),Assumptions!$B$25)-Assumptions!$B$42)+MAX(0,Assumptions!$B$35/IF(B117&lt;Assumptions!$B$26,Assumptions!$B$26*(Assumptions!$B$50+Assumptions!$B$5/Assumptions!$B$26)/(Assumptions!$B$50+Assumptions!$B$5/B117),Assumptions!$B$26)-Assumptions!$B$43)</f>
        <v/>
      </c>
      <c r="F117">
        <f>Assumptions!$B$5/B117</f>
        <v/>
      </c>
      <c r="G117">
        <f>$B$113*(((Assumptions!$B$50-Assumptions!$B$51+E117+C117+D117)+F117)/(1-$B$113))-Assumptions!$B$51</f>
        <v/>
      </c>
      <c r="H117">
        <f>MAX(0,G117)</f>
        <v/>
      </c>
      <c r="I117">
        <f>Assumptions!$B$50+E117+H117+C117+D117</f>
        <v/>
      </c>
      <c r="J117">
        <f>I117+F117</f>
        <v/>
      </c>
      <c r="K117">
        <f>Assumptions!$B$50+E117+H117+D117</f>
        <v/>
      </c>
      <c r="L117">
        <f>Assumptions!$B$50+E117+H117+C117</f>
        <v/>
      </c>
      <c r="M117">
        <f>Assumptions!$B$60/K117</f>
        <v/>
      </c>
      <c r="N117">
        <f>B117*(1-Assumptions!$B$61)</f>
        <v/>
      </c>
      <c r="O117">
        <f>MIN(M117,N117)</f>
        <v/>
      </c>
      <c r="P117">
        <f>Assumptions!$B$63/L117</f>
        <v/>
      </c>
      <c r="Q117">
        <f>B117*(1-Assumptions!$B$64)</f>
        <v/>
      </c>
      <c r="R117">
        <f>MIN(P117,Q117)</f>
        <v/>
      </c>
      <c r="S117">
        <f>$B$114/I117</f>
        <v/>
      </c>
      <c r="T117">
        <f>Assumptions!$B$59/O117</f>
        <v/>
      </c>
      <c r="U117">
        <f>Assumptions!$B$62/R117</f>
        <v/>
      </c>
    </row>
    <row r="118">
      <c r="A118" t="n">
        <v>1</v>
      </c>
      <c r="B118">
        <f>S117</f>
        <v/>
      </c>
      <c r="C118">
        <f>T117</f>
        <v/>
      </c>
      <c r="D118">
        <f>U117</f>
        <v/>
      </c>
      <c r="E118">
        <f>MAX(0,Assumptions!$B$34/IF(B118&lt;Assumptions!$B$25,Assumptions!$B$25*(Assumptions!$B$50+Assumptions!$B$5/Assumptions!$B$25)/(Assumptions!$B$50+Assumptions!$B$5/B118),Assumptions!$B$25)-Assumptions!$B$42)+MAX(0,Assumptions!$B$35/IF(B118&lt;Assumptions!$B$26,Assumptions!$B$26*(Assumptions!$B$50+Assumptions!$B$5/Assumptions!$B$26)/(Assumptions!$B$50+Assumptions!$B$5/B118),Assumptions!$B$26)-Assumptions!$B$43)</f>
        <v/>
      </c>
      <c r="F118">
        <f>Assumptions!$B$5/B118</f>
        <v/>
      </c>
      <c r="G118">
        <f>$B$113*(((Assumptions!$B$50-Assumptions!$B$51+E118+C118+D118)+F118)/(1-$B$113))-Assumptions!$B$51</f>
        <v/>
      </c>
      <c r="H118">
        <f>MAX(0,G118)</f>
        <v/>
      </c>
      <c r="I118">
        <f>Assumptions!$B$50+E118+H118+C118+D118</f>
        <v/>
      </c>
      <c r="J118">
        <f>I118+F118</f>
        <v/>
      </c>
      <c r="K118">
        <f>Assumptions!$B$50+E118+H118+D118</f>
        <v/>
      </c>
      <c r="L118">
        <f>Assumptions!$B$50+E118+H118+C118</f>
        <v/>
      </c>
      <c r="M118">
        <f>Assumptions!$B$60/K118</f>
        <v/>
      </c>
      <c r="N118">
        <f>B118*(1-Assumptions!$B$61)</f>
        <v/>
      </c>
      <c r="O118">
        <f>MIN(M118,N118)</f>
        <v/>
      </c>
      <c r="P118">
        <f>Assumptions!$B$63/L118</f>
        <v/>
      </c>
      <c r="Q118">
        <f>B118*(1-Assumptions!$B$64)</f>
        <v/>
      </c>
      <c r="R118">
        <f>MIN(P118,Q118)</f>
        <v/>
      </c>
      <c r="S118">
        <f>$B$114/I118</f>
        <v/>
      </c>
      <c r="T118">
        <f>Assumptions!$B$59/O118</f>
        <v/>
      </c>
      <c r="U118">
        <f>Assumptions!$B$62/R118</f>
        <v/>
      </c>
    </row>
    <row r="119">
      <c r="A119" t="n">
        <v>2</v>
      </c>
      <c r="B119">
        <f>S118</f>
        <v/>
      </c>
      <c r="C119">
        <f>T118</f>
        <v/>
      </c>
      <c r="D119">
        <f>U118</f>
        <v/>
      </c>
      <c r="E119">
        <f>MAX(0,Assumptions!$B$34/IF(B119&lt;Assumptions!$B$25,Assumptions!$B$25*(Assumptions!$B$50+Assumptions!$B$5/Assumptions!$B$25)/(Assumptions!$B$50+Assumptions!$B$5/B119),Assumptions!$B$25)-Assumptions!$B$42)+MAX(0,Assumptions!$B$35/IF(B119&lt;Assumptions!$B$26,Assumptions!$B$26*(Assumptions!$B$50+Assumptions!$B$5/Assumptions!$B$26)/(Assumptions!$B$50+Assumptions!$B$5/B119),Assumptions!$B$26)-Assumptions!$B$43)</f>
        <v/>
      </c>
      <c r="F119">
        <f>Assumptions!$B$5/B119</f>
        <v/>
      </c>
      <c r="G119">
        <f>$B$113*(((Assumptions!$B$50-Assumptions!$B$51+E119+C119+D119)+F119)/(1-$B$113))-Assumptions!$B$51</f>
        <v/>
      </c>
      <c r="H119">
        <f>MAX(0,G119)</f>
        <v/>
      </c>
      <c r="I119">
        <f>Assumptions!$B$50+E119+H119+C119+D119</f>
        <v/>
      </c>
      <c r="J119">
        <f>I119+F119</f>
        <v/>
      </c>
      <c r="K119">
        <f>Assumptions!$B$50+E119+H119+D119</f>
        <v/>
      </c>
      <c r="L119">
        <f>Assumptions!$B$50+E119+H119+C119</f>
        <v/>
      </c>
      <c r="M119">
        <f>Assumptions!$B$60/K119</f>
        <v/>
      </c>
      <c r="N119">
        <f>B119*(1-Assumptions!$B$61)</f>
        <v/>
      </c>
      <c r="O119">
        <f>MIN(M119,N119)</f>
        <v/>
      </c>
      <c r="P119">
        <f>Assumptions!$B$63/L119</f>
        <v/>
      </c>
      <c r="Q119">
        <f>B119*(1-Assumptions!$B$64)</f>
        <v/>
      </c>
      <c r="R119">
        <f>MIN(P119,Q119)</f>
        <v/>
      </c>
      <c r="S119">
        <f>$B$114/I119</f>
        <v/>
      </c>
      <c r="T119">
        <f>Assumptions!$B$59/O119</f>
        <v/>
      </c>
      <c r="U119">
        <f>Assumptions!$B$62/R119</f>
        <v/>
      </c>
    </row>
    <row r="120">
      <c r="A120" t="n">
        <v>3</v>
      </c>
      <c r="B120">
        <f>S119</f>
        <v/>
      </c>
      <c r="C120">
        <f>T119</f>
        <v/>
      </c>
      <c r="D120">
        <f>U119</f>
        <v/>
      </c>
      <c r="E120">
        <f>MAX(0,Assumptions!$B$34/IF(B120&lt;Assumptions!$B$25,Assumptions!$B$25*(Assumptions!$B$50+Assumptions!$B$5/Assumptions!$B$25)/(Assumptions!$B$50+Assumptions!$B$5/B120),Assumptions!$B$25)-Assumptions!$B$42)+MAX(0,Assumptions!$B$35/IF(B120&lt;Assumptions!$B$26,Assumptions!$B$26*(Assumptions!$B$50+Assumptions!$B$5/Assumptions!$B$26)/(Assumptions!$B$50+Assumptions!$B$5/B120),Assumptions!$B$26)-Assumptions!$B$43)</f>
        <v/>
      </c>
      <c r="F120">
        <f>Assumptions!$B$5/B120</f>
        <v/>
      </c>
      <c r="G120">
        <f>$B$113*(((Assumptions!$B$50-Assumptions!$B$51+E120+C120+D120)+F120)/(1-$B$113))-Assumptions!$B$51</f>
        <v/>
      </c>
      <c r="H120">
        <f>MAX(0,G120)</f>
        <v/>
      </c>
      <c r="I120">
        <f>Assumptions!$B$50+E120+H120+C120+D120</f>
        <v/>
      </c>
      <c r="J120">
        <f>I120+F120</f>
        <v/>
      </c>
      <c r="K120">
        <f>Assumptions!$B$50+E120+H120+D120</f>
        <v/>
      </c>
      <c r="L120">
        <f>Assumptions!$B$50+E120+H120+C120</f>
        <v/>
      </c>
      <c r="M120">
        <f>Assumptions!$B$60/K120</f>
        <v/>
      </c>
      <c r="N120">
        <f>B120*(1-Assumptions!$B$61)</f>
        <v/>
      </c>
      <c r="O120">
        <f>MIN(M120,N120)</f>
        <v/>
      </c>
      <c r="P120">
        <f>Assumptions!$B$63/L120</f>
        <v/>
      </c>
      <c r="Q120">
        <f>B120*(1-Assumptions!$B$64)</f>
        <v/>
      </c>
      <c r="R120">
        <f>MIN(P120,Q120)</f>
        <v/>
      </c>
      <c r="S120">
        <f>$B$114/I120</f>
        <v/>
      </c>
      <c r="T120">
        <f>Assumptions!$B$59/O120</f>
        <v/>
      </c>
      <c r="U120">
        <f>Assumptions!$B$62/R120</f>
        <v/>
      </c>
    </row>
    <row r="121">
      <c r="A121" t="n">
        <v>4</v>
      </c>
      <c r="B121">
        <f>S120</f>
        <v/>
      </c>
      <c r="C121">
        <f>T120</f>
        <v/>
      </c>
      <c r="D121">
        <f>U120</f>
        <v/>
      </c>
      <c r="E121">
        <f>MAX(0,Assumptions!$B$34/IF(B121&lt;Assumptions!$B$25,Assumptions!$B$25*(Assumptions!$B$50+Assumptions!$B$5/Assumptions!$B$25)/(Assumptions!$B$50+Assumptions!$B$5/B121),Assumptions!$B$25)-Assumptions!$B$42)+MAX(0,Assumptions!$B$35/IF(B121&lt;Assumptions!$B$26,Assumptions!$B$26*(Assumptions!$B$50+Assumptions!$B$5/Assumptions!$B$26)/(Assumptions!$B$50+Assumptions!$B$5/B121),Assumptions!$B$26)-Assumptions!$B$43)</f>
        <v/>
      </c>
      <c r="F121">
        <f>Assumptions!$B$5/B121</f>
        <v/>
      </c>
      <c r="G121">
        <f>$B$113*(((Assumptions!$B$50-Assumptions!$B$51+E121+C121+D121)+F121)/(1-$B$113))-Assumptions!$B$51</f>
        <v/>
      </c>
      <c r="H121">
        <f>MAX(0,G121)</f>
        <v/>
      </c>
      <c r="I121">
        <f>Assumptions!$B$50+E121+H121+C121+D121</f>
        <v/>
      </c>
      <c r="J121">
        <f>I121+F121</f>
        <v/>
      </c>
      <c r="K121">
        <f>Assumptions!$B$50+E121+H121+D121</f>
        <v/>
      </c>
      <c r="L121">
        <f>Assumptions!$B$50+E121+H121+C121</f>
        <v/>
      </c>
      <c r="M121">
        <f>Assumptions!$B$60/K121</f>
        <v/>
      </c>
      <c r="N121">
        <f>B121*(1-Assumptions!$B$61)</f>
        <v/>
      </c>
      <c r="O121">
        <f>MIN(M121,N121)</f>
        <v/>
      </c>
      <c r="P121">
        <f>Assumptions!$B$63/L121</f>
        <v/>
      </c>
      <c r="Q121">
        <f>B121*(1-Assumptions!$B$64)</f>
        <v/>
      </c>
      <c r="R121">
        <f>MIN(P121,Q121)</f>
        <v/>
      </c>
      <c r="S121">
        <f>$B$114/I121</f>
        <v/>
      </c>
      <c r="T121">
        <f>Assumptions!$B$59/O121</f>
        <v/>
      </c>
      <c r="U121">
        <f>Assumptions!$B$62/R121</f>
        <v/>
      </c>
    </row>
    <row r="122">
      <c r="A122" t="n">
        <v>5</v>
      </c>
      <c r="B122">
        <f>S121</f>
        <v/>
      </c>
      <c r="C122">
        <f>T121</f>
        <v/>
      </c>
      <c r="D122">
        <f>U121</f>
        <v/>
      </c>
      <c r="E122">
        <f>MAX(0,Assumptions!$B$34/IF(B122&lt;Assumptions!$B$25,Assumptions!$B$25*(Assumptions!$B$50+Assumptions!$B$5/Assumptions!$B$25)/(Assumptions!$B$50+Assumptions!$B$5/B122),Assumptions!$B$25)-Assumptions!$B$42)+MAX(0,Assumptions!$B$35/IF(B122&lt;Assumptions!$B$26,Assumptions!$B$26*(Assumptions!$B$50+Assumptions!$B$5/Assumptions!$B$26)/(Assumptions!$B$50+Assumptions!$B$5/B122),Assumptions!$B$26)-Assumptions!$B$43)</f>
        <v/>
      </c>
      <c r="F122">
        <f>Assumptions!$B$5/B122</f>
        <v/>
      </c>
      <c r="G122">
        <f>$B$113*(((Assumptions!$B$50-Assumptions!$B$51+E122+C122+D122)+F122)/(1-$B$113))-Assumptions!$B$51</f>
        <v/>
      </c>
      <c r="H122">
        <f>MAX(0,G122)</f>
        <v/>
      </c>
      <c r="I122">
        <f>Assumptions!$B$50+E122+H122+C122+D122</f>
        <v/>
      </c>
      <c r="J122">
        <f>I122+F122</f>
        <v/>
      </c>
      <c r="K122">
        <f>Assumptions!$B$50+E122+H122+D122</f>
        <v/>
      </c>
      <c r="L122">
        <f>Assumptions!$B$50+E122+H122+C122</f>
        <v/>
      </c>
      <c r="M122">
        <f>Assumptions!$B$60/K122</f>
        <v/>
      </c>
      <c r="N122">
        <f>B122*(1-Assumptions!$B$61)</f>
        <v/>
      </c>
      <c r="O122">
        <f>MIN(M122,N122)</f>
        <v/>
      </c>
      <c r="P122">
        <f>Assumptions!$B$63/L122</f>
        <v/>
      </c>
      <c r="Q122">
        <f>B122*(1-Assumptions!$B$64)</f>
        <v/>
      </c>
      <c r="R122">
        <f>MIN(P122,Q122)</f>
        <v/>
      </c>
      <c r="S122">
        <f>$B$114/I122</f>
        <v/>
      </c>
      <c r="T122">
        <f>Assumptions!$B$59/O122</f>
        <v/>
      </c>
      <c r="U122">
        <f>Assumptions!$B$62/R122</f>
        <v/>
      </c>
    </row>
    <row r="123">
      <c r="A123" t="n">
        <v>6</v>
      </c>
      <c r="B123">
        <f>S122</f>
        <v/>
      </c>
      <c r="C123">
        <f>T122</f>
        <v/>
      </c>
      <c r="D123">
        <f>U122</f>
        <v/>
      </c>
      <c r="E123">
        <f>MAX(0,Assumptions!$B$34/IF(B123&lt;Assumptions!$B$25,Assumptions!$B$25*(Assumptions!$B$50+Assumptions!$B$5/Assumptions!$B$25)/(Assumptions!$B$50+Assumptions!$B$5/B123),Assumptions!$B$25)-Assumptions!$B$42)+MAX(0,Assumptions!$B$35/IF(B123&lt;Assumptions!$B$26,Assumptions!$B$26*(Assumptions!$B$50+Assumptions!$B$5/Assumptions!$B$26)/(Assumptions!$B$50+Assumptions!$B$5/B123),Assumptions!$B$26)-Assumptions!$B$43)</f>
        <v/>
      </c>
      <c r="F123">
        <f>Assumptions!$B$5/B123</f>
        <v/>
      </c>
      <c r="G123">
        <f>$B$113*(((Assumptions!$B$50-Assumptions!$B$51+E123+C123+D123)+F123)/(1-$B$113))-Assumptions!$B$51</f>
        <v/>
      </c>
      <c r="H123">
        <f>MAX(0,G123)</f>
        <v/>
      </c>
      <c r="I123">
        <f>Assumptions!$B$50+E123+H123+C123+D123</f>
        <v/>
      </c>
      <c r="J123">
        <f>I123+F123</f>
        <v/>
      </c>
      <c r="K123">
        <f>Assumptions!$B$50+E123+H123+D123</f>
        <v/>
      </c>
      <c r="L123">
        <f>Assumptions!$B$50+E123+H123+C123</f>
        <v/>
      </c>
      <c r="M123">
        <f>Assumptions!$B$60/K123</f>
        <v/>
      </c>
      <c r="N123">
        <f>B123*(1-Assumptions!$B$61)</f>
        <v/>
      </c>
      <c r="O123">
        <f>MIN(M123,N123)</f>
        <v/>
      </c>
      <c r="P123">
        <f>Assumptions!$B$63/L123</f>
        <v/>
      </c>
      <c r="Q123">
        <f>B123*(1-Assumptions!$B$64)</f>
        <v/>
      </c>
      <c r="R123">
        <f>MIN(P123,Q123)</f>
        <v/>
      </c>
      <c r="S123">
        <f>$B$114/I123</f>
        <v/>
      </c>
      <c r="T123">
        <f>Assumptions!$B$59/O123</f>
        <v/>
      </c>
      <c r="U123">
        <f>Assumptions!$B$62/R123</f>
        <v/>
      </c>
    </row>
    <row r="124">
      <c r="A124" t="n">
        <v>7</v>
      </c>
      <c r="B124">
        <f>S123</f>
        <v/>
      </c>
      <c r="C124">
        <f>T123</f>
        <v/>
      </c>
      <c r="D124">
        <f>U123</f>
        <v/>
      </c>
      <c r="E124">
        <f>MAX(0,Assumptions!$B$34/IF(B124&lt;Assumptions!$B$25,Assumptions!$B$25*(Assumptions!$B$50+Assumptions!$B$5/Assumptions!$B$25)/(Assumptions!$B$50+Assumptions!$B$5/B124),Assumptions!$B$25)-Assumptions!$B$42)+MAX(0,Assumptions!$B$35/IF(B124&lt;Assumptions!$B$26,Assumptions!$B$26*(Assumptions!$B$50+Assumptions!$B$5/Assumptions!$B$26)/(Assumptions!$B$50+Assumptions!$B$5/B124),Assumptions!$B$26)-Assumptions!$B$43)</f>
        <v/>
      </c>
      <c r="F124">
        <f>Assumptions!$B$5/B124</f>
        <v/>
      </c>
      <c r="G124">
        <f>$B$113*(((Assumptions!$B$50-Assumptions!$B$51+E124+C124+D124)+F124)/(1-$B$113))-Assumptions!$B$51</f>
        <v/>
      </c>
      <c r="H124">
        <f>MAX(0,G124)</f>
        <v/>
      </c>
      <c r="I124">
        <f>Assumptions!$B$50+E124+H124+C124+D124</f>
        <v/>
      </c>
      <c r="J124">
        <f>I124+F124</f>
        <v/>
      </c>
      <c r="K124">
        <f>Assumptions!$B$50+E124+H124+D124</f>
        <v/>
      </c>
      <c r="L124">
        <f>Assumptions!$B$50+E124+H124+C124</f>
        <v/>
      </c>
      <c r="M124">
        <f>Assumptions!$B$60/K124</f>
        <v/>
      </c>
      <c r="N124">
        <f>B124*(1-Assumptions!$B$61)</f>
        <v/>
      </c>
      <c r="O124">
        <f>MIN(M124,N124)</f>
        <v/>
      </c>
      <c r="P124">
        <f>Assumptions!$B$63/L124</f>
        <v/>
      </c>
      <c r="Q124">
        <f>B124*(1-Assumptions!$B$64)</f>
        <v/>
      </c>
      <c r="R124">
        <f>MIN(P124,Q124)</f>
        <v/>
      </c>
      <c r="S124">
        <f>$B$114/I124</f>
        <v/>
      </c>
      <c r="T124">
        <f>Assumptions!$B$59/O124</f>
        <v/>
      </c>
      <c r="U124">
        <f>Assumptions!$B$62/R124</f>
        <v/>
      </c>
    </row>
    <row r="125">
      <c r="A125" t="n">
        <v>8</v>
      </c>
      <c r="B125">
        <f>S124</f>
        <v/>
      </c>
      <c r="C125">
        <f>T124</f>
        <v/>
      </c>
      <c r="D125">
        <f>U124</f>
        <v/>
      </c>
      <c r="E125">
        <f>MAX(0,Assumptions!$B$34/IF(B125&lt;Assumptions!$B$25,Assumptions!$B$25*(Assumptions!$B$50+Assumptions!$B$5/Assumptions!$B$25)/(Assumptions!$B$50+Assumptions!$B$5/B125),Assumptions!$B$25)-Assumptions!$B$42)+MAX(0,Assumptions!$B$35/IF(B125&lt;Assumptions!$B$26,Assumptions!$B$26*(Assumptions!$B$50+Assumptions!$B$5/Assumptions!$B$26)/(Assumptions!$B$50+Assumptions!$B$5/B125),Assumptions!$B$26)-Assumptions!$B$43)</f>
        <v/>
      </c>
      <c r="F125">
        <f>Assumptions!$B$5/B125</f>
        <v/>
      </c>
      <c r="G125">
        <f>$B$113*(((Assumptions!$B$50-Assumptions!$B$51+E125+C125+D125)+F125)/(1-$B$113))-Assumptions!$B$51</f>
        <v/>
      </c>
      <c r="H125">
        <f>MAX(0,G125)</f>
        <v/>
      </c>
      <c r="I125">
        <f>Assumptions!$B$50+E125+H125+C125+D125</f>
        <v/>
      </c>
      <c r="J125">
        <f>I125+F125</f>
        <v/>
      </c>
      <c r="K125">
        <f>Assumptions!$B$50+E125+H125+D125</f>
        <v/>
      </c>
      <c r="L125">
        <f>Assumptions!$B$50+E125+H125+C125</f>
        <v/>
      </c>
      <c r="M125">
        <f>Assumptions!$B$60/K125</f>
        <v/>
      </c>
      <c r="N125">
        <f>B125*(1-Assumptions!$B$61)</f>
        <v/>
      </c>
      <c r="O125">
        <f>MIN(M125,N125)</f>
        <v/>
      </c>
      <c r="P125">
        <f>Assumptions!$B$63/L125</f>
        <v/>
      </c>
      <c r="Q125">
        <f>B125*(1-Assumptions!$B$64)</f>
        <v/>
      </c>
      <c r="R125">
        <f>MIN(P125,Q125)</f>
        <v/>
      </c>
      <c r="S125">
        <f>$B$114/I125</f>
        <v/>
      </c>
      <c r="T125">
        <f>Assumptions!$B$59/O125</f>
        <v/>
      </c>
      <c r="U125">
        <f>Assumptions!$B$62/R125</f>
        <v/>
      </c>
    </row>
    <row r="126">
      <c r="A126" t="n">
        <v>9</v>
      </c>
      <c r="B126">
        <f>S125</f>
        <v/>
      </c>
      <c r="C126">
        <f>T125</f>
        <v/>
      </c>
      <c r="D126">
        <f>U125</f>
        <v/>
      </c>
      <c r="E126">
        <f>MAX(0,Assumptions!$B$34/IF(B126&lt;Assumptions!$B$25,Assumptions!$B$25*(Assumptions!$B$50+Assumptions!$B$5/Assumptions!$B$25)/(Assumptions!$B$50+Assumptions!$B$5/B126),Assumptions!$B$25)-Assumptions!$B$42)+MAX(0,Assumptions!$B$35/IF(B126&lt;Assumptions!$B$26,Assumptions!$B$26*(Assumptions!$B$50+Assumptions!$B$5/Assumptions!$B$26)/(Assumptions!$B$50+Assumptions!$B$5/B126),Assumptions!$B$26)-Assumptions!$B$43)</f>
        <v/>
      </c>
      <c r="F126">
        <f>Assumptions!$B$5/B126</f>
        <v/>
      </c>
      <c r="G126">
        <f>$B$113*(((Assumptions!$B$50-Assumptions!$B$51+E126+C126+D126)+F126)/(1-$B$113))-Assumptions!$B$51</f>
        <v/>
      </c>
      <c r="H126">
        <f>MAX(0,G126)</f>
        <v/>
      </c>
      <c r="I126">
        <f>Assumptions!$B$50+E126+H126+C126+D126</f>
        <v/>
      </c>
      <c r="J126">
        <f>I126+F126</f>
        <v/>
      </c>
      <c r="K126">
        <f>Assumptions!$B$50+E126+H126+D126</f>
        <v/>
      </c>
      <c r="L126">
        <f>Assumptions!$B$50+E126+H126+C126</f>
        <v/>
      </c>
      <c r="M126">
        <f>Assumptions!$B$60/K126</f>
        <v/>
      </c>
      <c r="N126">
        <f>B126*(1-Assumptions!$B$61)</f>
        <v/>
      </c>
      <c r="O126">
        <f>MIN(M126,N126)</f>
        <v/>
      </c>
      <c r="P126">
        <f>Assumptions!$B$63/L126</f>
        <v/>
      </c>
      <c r="Q126">
        <f>B126*(1-Assumptions!$B$64)</f>
        <v/>
      </c>
      <c r="R126">
        <f>MIN(P126,Q126)</f>
        <v/>
      </c>
      <c r="S126">
        <f>$B$114/I126</f>
        <v/>
      </c>
      <c r="T126">
        <f>Assumptions!$B$59/O126</f>
        <v/>
      </c>
      <c r="U126">
        <f>Assumptions!$B$62/R126</f>
        <v/>
      </c>
    </row>
    <row r="127">
      <c r="A127" t="n">
        <v>10</v>
      </c>
      <c r="B127">
        <f>S126</f>
        <v/>
      </c>
      <c r="C127">
        <f>T126</f>
        <v/>
      </c>
      <c r="D127">
        <f>U126</f>
        <v/>
      </c>
      <c r="E127">
        <f>MAX(0,Assumptions!$B$34/IF(B127&lt;Assumptions!$B$25,Assumptions!$B$25*(Assumptions!$B$50+Assumptions!$B$5/Assumptions!$B$25)/(Assumptions!$B$50+Assumptions!$B$5/B127),Assumptions!$B$25)-Assumptions!$B$42)+MAX(0,Assumptions!$B$35/IF(B127&lt;Assumptions!$B$26,Assumptions!$B$26*(Assumptions!$B$50+Assumptions!$B$5/Assumptions!$B$26)/(Assumptions!$B$50+Assumptions!$B$5/B127),Assumptions!$B$26)-Assumptions!$B$43)</f>
        <v/>
      </c>
      <c r="F127">
        <f>Assumptions!$B$5/B127</f>
        <v/>
      </c>
      <c r="G127">
        <f>$B$113*(((Assumptions!$B$50-Assumptions!$B$51+E127+C127+D127)+F127)/(1-$B$113))-Assumptions!$B$51</f>
        <v/>
      </c>
      <c r="H127">
        <f>MAX(0,G127)</f>
        <v/>
      </c>
      <c r="I127">
        <f>Assumptions!$B$50+E127+H127+C127+D127</f>
        <v/>
      </c>
      <c r="J127">
        <f>I127+F127</f>
        <v/>
      </c>
      <c r="K127">
        <f>Assumptions!$B$50+E127+H127+D127</f>
        <v/>
      </c>
      <c r="L127">
        <f>Assumptions!$B$50+E127+H127+C127</f>
        <v/>
      </c>
      <c r="M127">
        <f>Assumptions!$B$60/K127</f>
        <v/>
      </c>
      <c r="N127">
        <f>B127*(1-Assumptions!$B$61)</f>
        <v/>
      </c>
      <c r="O127">
        <f>MIN(M127,N127)</f>
        <v/>
      </c>
      <c r="P127">
        <f>Assumptions!$B$63/L127</f>
        <v/>
      </c>
      <c r="Q127">
        <f>B127*(1-Assumptions!$B$64)</f>
        <v/>
      </c>
      <c r="R127">
        <f>MIN(P127,Q127)</f>
        <v/>
      </c>
      <c r="S127">
        <f>$B$114/I127</f>
        <v/>
      </c>
      <c r="T127">
        <f>Assumptions!$B$59/O127</f>
        <v/>
      </c>
      <c r="U127">
        <f>Assumptions!$B$62/R127</f>
        <v/>
      </c>
    </row>
    <row r="128">
      <c r="A128" t="n">
        <v>11</v>
      </c>
      <c r="B128">
        <f>S127</f>
        <v/>
      </c>
      <c r="C128">
        <f>T127</f>
        <v/>
      </c>
      <c r="D128">
        <f>U127</f>
        <v/>
      </c>
      <c r="E128">
        <f>MAX(0,Assumptions!$B$34/IF(B128&lt;Assumptions!$B$25,Assumptions!$B$25*(Assumptions!$B$50+Assumptions!$B$5/Assumptions!$B$25)/(Assumptions!$B$50+Assumptions!$B$5/B128),Assumptions!$B$25)-Assumptions!$B$42)+MAX(0,Assumptions!$B$35/IF(B128&lt;Assumptions!$B$26,Assumptions!$B$26*(Assumptions!$B$50+Assumptions!$B$5/Assumptions!$B$26)/(Assumptions!$B$50+Assumptions!$B$5/B128),Assumptions!$B$26)-Assumptions!$B$43)</f>
        <v/>
      </c>
      <c r="F128">
        <f>Assumptions!$B$5/B128</f>
        <v/>
      </c>
      <c r="G128">
        <f>$B$113*(((Assumptions!$B$50-Assumptions!$B$51+E128+C128+D128)+F128)/(1-$B$113))-Assumptions!$B$51</f>
        <v/>
      </c>
      <c r="H128">
        <f>MAX(0,G128)</f>
        <v/>
      </c>
      <c r="I128">
        <f>Assumptions!$B$50+E128+H128+C128+D128</f>
        <v/>
      </c>
      <c r="J128">
        <f>I128+F128</f>
        <v/>
      </c>
      <c r="K128">
        <f>Assumptions!$B$50+E128+H128+D128</f>
        <v/>
      </c>
      <c r="L128">
        <f>Assumptions!$B$50+E128+H128+C128</f>
        <v/>
      </c>
      <c r="M128">
        <f>Assumptions!$B$60/K128</f>
        <v/>
      </c>
      <c r="N128">
        <f>B128*(1-Assumptions!$B$61)</f>
        <v/>
      </c>
      <c r="O128">
        <f>MIN(M128,N128)</f>
        <v/>
      </c>
      <c r="P128">
        <f>Assumptions!$B$63/L128</f>
        <v/>
      </c>
      <c r="Q128">
        <f>B128*(1-Assumptions!$B$64)</f>
        <v/>
      </c>
      <c r="R128">
        <f>MIN(P128,Q128)</f>
        <v/>
      </c>
      <c r="S128">
        <f>$B$114/I128</f>
        <v/>
      </c>
      <c r="T128">
        <f>Assumptions!$B$59/O128</f>
        <v/>
      </c>
      <c r="U128">
        <f>Assumptions!$B$62/R128</f>
        <v/>
      </c>
    </row>
    <row r="129">
      <c r="A129" t="n">
        <v>12</v>
      </c>
      <c r="B129">
        <f>S128</f>
        <v/>
      </c>
      <c r="C129">
        <f>T128</f>
        <v/>
      </c>
      <c r="D129">
        <f>U128</f>
        <v/>
      </c>
      <c r="E129">
        <f>MAX(0,Assumptions!$B$34/IF(B129&lt;Assumptions!$B$25,Assumptions!$B$25*(Assumptions!$B$50+Assumptions!$B$5/Assumptions!$B$25)/(Assumptions!$B$50+Assumptions!$B$5/B129),Assumptions!$B$25)-Assumptions!$B$42)+MAX(0,Assumptions!$B$35/IF(B129&lt;Assumptions!$B$26,Assumptions!$B$26*(Assumptions!$B$50+Assumptions!$B$5/Assumptions!$B$26)/(Assumptions!$B$50+Assumptions!$B$5/B129),Assumptions!$B$26)-Assumptions!$B$43)</f>
        <v/>
      </c>
      <c r="F129">
        <f>Assumptions!$B$5/B129</f>
        <v/>
      </c>
      <c r="G129">
        <f>$B$113*(((Assumptions!$B$50-Assumptions!$B$51+E129+C129+D129)+F129)/(1-$B$113))-Assumptions!$B$51</f>
        <v/>
      </c>
      <c r="H129">
        <f>MAX(0,G129)</f>
        <v/>
      </c>
      <c r="I129">
        <f>Assumptions!$B$50+E129+H129+C129+D129</f>
        <v/>
      </c>
      <c r="J129">
        <f>I129+F129</f>
        <v/>
      </c>
      <c r="K129">
        <f>Assumptions!$B$50+E129+H129+D129</f>
        <v/>
      </c>
      <c r="L129">
        <f>Assumptions!$B$50+E129+H129+C129</f>
        <v/>
      </c>
      <c r="M129">
        <f>Assumptions!$B$60/K129</f>
        <v/>
      </c>
      <c r="N129">
        <f>B129*(1-Assumptions!$B$61)</f>
        <v/>
      </c>
      <c r="O129">
        <f>MIN(M129,N129)</f>
        <v/>
      </c>
      <c r="P129">
        <f>Assumptions!$B$63/L129</f>
        <v/>
      </c>
      <c r="Q129">
        <f>B129*(1-Assumptions!$B$64)</f>
        <v/>
      </c>
      <c r="R129">
        <f>MIN(P129,Q129)</f>
        <v/>
      </c>
      <c r="S129">
        <f>$B$114/I129</f>
        <v/>
      </c>
      <c r="T129">
        <f>Assumptions!$B$59/O129</f>
        <v/>
      </c>
      <c r="U129">
        <f>Assumptions!$B$62/R129</f>
        <v/>
      </c>
    </row>
    <row r="130">
      <c r="A130" t="n">
        <v>13</v>
      </c>
      <c r="B130">
        <f>S129</f>
        <v/>
      </c>
      <c r="C130">
        <f>T129</f>
        <v/>
      </c>
      <c r="D130">
        <f>U129</f>
        <v/>
      </c>
      <c r="E130">
        <f>MAX(0,Assumptions!$B$34/IF(B130&lt;Assumptions!$B$25,Assumptions!$B$25*(Assumptions!$B$50+Assumptions!$B$5/Assumptions!$B$25)/(Assumptions!$B$50+Assumptions!$B$5/B130),Assumptions!$B$25)-Assumptions!$B$42)+MAX(0,Assumptions!$B$35/IF(B130&lt;Assumptions!$B$26,Assumptions!$B$26*(Assumptions!$B$50+Assumptions!$B$5/Assumptions!$B$26)/(Assumptions!$B$50+Assumptions!$B$5/B130),Assumptions!$B$26)-Assumptions!$B$43)</f>
        <v/>
      </c>
      <c r="F130">
        <f>Assumptions!$B$5/B130</f>
        <v/>
      </c>
      <c r="G130">
        <f>$B$113*(((Assumptions!$B$50-Assumptions!$B$51+E130+C130+D130)+F130)/(1-$B$113))-Assumptions!$B$51</f>
        <v/>
      </c>
      <c r="H130">
        <f>MAX(0,G130)</f>
        <v/>
      </c>
      <c r="I130">
        <f>Assumptions!$B$50+E130+H130+C130+D130</f>
        <v/>
      </c>
      <c r="J130">
        <f>I130+F130</f>
        <v/>
      </c>
      <c r="K130">
        <f>Assumptions!$B$50+E130+H130+D130</f>
        <v/>
      </c>
      <c r="L130">
        <f>Assumptions!$B$50+E130+H130+C130</f>
        <v/>
      </c>
      <c r="M130">
        <f>Assumptions!$B$60/K130</f>
        <v/>
      </c>
      <c r="N130">
        <f>B130*(1-Assumptions!$B$61)</f>
        <v/>
      </c>
      <c r="O130">
        <f>MIN(M130,N130)</f>
        <v/>
      </c>
      <c r="P130">
        <f>Assumptions!$B$63/L130</f>
        <v/>
      </c>
      <c r="Q130">
        <f>B130*(1-Assumptions!$B$64)</f>
        <v/>
      </c>
      <c r="R130">
        <f>MIN(P130,Q130)</f>
        <v/>
      </c>
      <c r="S130">
        <f>$B$114/I130</f>
        <v/>
      </c>
      <c r="T130">
        <f>Assumptions!$B$59/O130</f>
        <v/>
      </c>
      <c r="U130">
        <f>Assumptions!$B$62/R130</f>
        <v/>
      </c>
    </row>
    <row r="131">
      <c r="A131" t="n">
        <v>14</v>
      </c>
      <c r="B131">
        <f>S130</f>
        <v/>
      </c>
      <c r="C131">
        <f>T130</f>
        <v/>
      </c>
      <c r="D131">
        <f>U130</f>
        <v/>
      </c>
      <c r="E131">
        <f>MAX(0,Assumptions!$B$34/IF(B131&lt;Assumptions!$B$25,Assumptions!$B$25*(Assumptions!$B$50+Assumptions!$B$5/Assumptions!$B$25)/(Assumptions!$B$50+Assumptions!$B$5/B131),Assumptions!$B$25)-Assumptions!$B$42)+MAX(0,Assumptions!$B$35/IF(B131&lt;Assumptions!$B$26,Assumptions!$B$26*(Assumptions!$B$50+Assumptions!$B$5/Assumptions!$B$26)/(Assumptions!$B$50+Assumptions!$B$5/B131),Assumptions!$B$26)-Assumptions!$B$43)</f>
        <v/>
      </c>
      <c r="F131">
        <f>Assumptions!$B$5/B131</f>
        <v/>
      </c>
      <c r="G131">
        <f>$B$113*(((Assumptions!$B$50-Assumptions!$B$51+E131+C131+D131)+F131)/(1-$B$113))-Assumptions!$B$51</f>
        <v/>
      </c>
      <c r="H131">
        <f>MAX(0,G131)</f>
        <v/>
      </c>
      <c r="I131">
        <f>Assumptions!$B$50+E131+H131+C131+D131</f>
        <v/>
      </c>
      <c r="J131">
        <f>I131+F131</f>
        <v/>
      </c>
      <c r="K131">
        <f>Assumptions!$B$50+E131+H131+D131</f>
        <v/>
      </c>
      <c r="L131">
        <f>Assumptions!$B$50+E131+H131+C131</f>
        <v/>
      </c>
      <c r="M131">
        <f>Assumptions!$B$60/K131</f>
        <v/>
      </c>
      <c r="N131">
        <f>B131*(1-Assumptions!$B$61)</f>
        <v/>
      </c>
      <c r="O131">
        <f>MIN(M131,N131)</f>
        <v/>
      </c>
      <c r="P131">
        <f>Assumptions!$B$63/L131</f>
        <v/>
      </c>
      <c r="Q131">
        <f>B131*(1-Assumptions!$B$64)</f>
        <v/>
      </c>
      <c r="R131">
        <f>MIN(P131,Q131)</f>
        <v/>
      </c>
      <c r="S131">
        <f>$B$114/I131</f>
        <v/>
      </c>
      <c r="T131">
        <f>Assumptions!$B$59/O131</f>
        <v/>
      </c>
      <c r="U131">
        <f>Assumptions!$B$62/R131</f>
        <v/>
      </c>
    </row>
    <row r="132">
      <c r="A132" t="n">
        <v>15</v>
      </c>
      <c r="B132">
        <f>S131</f>
        <v/>
      </c>
      <c r="C132">
        <f>T131</f>
        <v/>
      </c>
      <c r="D132">
        <f>U131</f>
        <v/>
      </c>
      <c r="E132">
        <f>MAX(0,Assumptions!$B$34/IF(B132&lt;Assumptions!$B$25,Assumptions!$B$25*(Assumptions!$B$50+Assumptions!$B$5/Assumptions!$B$25)/(Assumptions!$B$50+Assumptions!$B$5/B132),Assumptions!$B$25)-Assumptions!$B$42)+MAX(0,Assumptions!$B$35/IF(B132&lt;Assumptions!$B$26,Assumptions!$B$26*(Assumptions!$B$50+Assumptions!$B$5/Assumptions!$B$26)/(Assumptions!$B$50+Assumptions!$B$5/B132),Assumptions!$B$26)-Assumptions!$B$43)</f>
        <v/>
      </c>
      <c r="F132">
        <f>Assumptions!$B$5/B132</f>
        <v/>
      </c>
      <c r="G132">
        <f>$B$113*(((Assumptions!$B$50-Assumptions!$B$51+E132+C132+D132)+F132)/(1-$B$113))-Assumptions!$B$51</f>
        <v/>
      </c>
      <c r="H132">
        <f>MAX(0,G132)</f>
        <v/>
      </c>
      <c r="I132">
        <f>Assumptions!$B$50+E132+H132+C132+D132</f>
        <v/>
      </c>
      <c r="J132">
        <f>I132+F132</f>
        <v/>
      </c>
      <c r="K132">
        <f>Assumptions!$B$50+E132+H132+D132</f>
        <v/>
      </c>
      <c r="L132">
        <f>Assumptions!$B$50+E132+H132+C132</f>
        <v/>
      </c>
      <c r="M132">
        <f>Assumptions!$B$60/K132</f>
        <v/>
      </c>
      <c r="N132">
        <f>B132*(1-Assumptions!$B$61)</f>
        <v/>
      </c>
      <c r="O132">
        <f>MIN(M132,N132)</f>
        <v/>
      </c>
      <c r="P132">
        <f>Assumptions!$B$63/L132</f>
        <v/>
      </c>
      <c r="Q132">
        <f>B132*(1-Assumptions!$B$64)</f>
        <v/>
      </c>
      <c r="R132">
        <f>MIN(P132,Q132)</f>
        <v/>
      </c>
      <c r="S132">
        <f>$B$114/I132</f>
        <v/>
      </c>
      <c r="T132">
        <f>Assumptions!$B$59/O132</f>
        <v/>
      </c>
      <c r="U132">
        <f>Assumptions!$B$62/R132</f>
        <v/>
      </c>
    </row>
    <row r="133">
      <c r="A133" t="n">
        <v>16</v>
      </c>
      <c r="B133">
        <f>S132</f>
        <v/>
      </c>
      <c r="C133">
        <f>T132</f>
        <v/>
      </c>
      <c r="D133">
        <f>U132</f>
        <v/>
      </c>
      <c r="E133">
        <f>MAX(0,Assumptions!$B$34/IF(B133&lt;Assumptions!$B$25,Assumptions!$B$25*(Assumptions!$B$50+Assumptions!$B$5/Assumptions!$B$25)/(Assumptions!$B$50+Assumptions!$B$5/B133),Assumptions!$B$25)-Assumptions!$B$42)+MAX(0,Assumptions!$B$35/IF(B133&lt;Assumptions!$B$26,Assumptions!$B$26*(Assumptions!$B$50+Assumptions!$B$5/Assumptions!$B$26)/(Assumptions!$B$50+Assumptions!$B$5/B133),Assumptions!$B$26)-Assumptions!$B$43)</f>
        <v/>
      </c>
      <c r="F133">
        <f>Assumptions!$B$5/B133</f>
        <v/>
      </c>
      <c r="G133">
        <f>$B$113*(((Assumptions!$B$50-Assumptions!$B$51+E133+C133+D133)+F133)/(1-$B$113))-Assumptions!$B$51</f>
        <v/>
      </c>
      <c r="H133">
        <f>MAX(0,G133)</f>
        <v/>
      </c>
      <c r="I133">
        <f>Assumptions!$B$50+E133+H133+C133+D133</f>
        <v/>
      </c>
      <c r="J133">
        <f>I133+F133</f>
        <v/>
      </c>
      <c r="K133">
        <f>Assumptions!$B$50+E133+H133+D133</f>
        <v/>
      </c>
      <c r="L133">
        <f>Assumptions!$B$50+E133+H133+C133</f>
        <v/>
      </c>
      <c r="M133">
        <f>Assumptions!$B$60/K133</f>
        <v/>
      </c>
      <c r="N133">
        <f>B133*(1-Assumptions!$B$61)</f>
        <v/>
      </c>
      <c r="O133">
        <f>MIN(M133,N133)</f>
        <v/>
      </c>
      <c r="P133">
        <f>Assumptions!$B$63/L133</f>
        <v/>
      </c>
      <c r="Q133">
        <f>B133*(1-Assumptions!$B$64)</f>
        <v/>
      </c>
      <c r="R133">
        <f>MIN(P133,Q133)</f>
        <v/>
      </c>
      <c r="S133">
        <f>$B$114/I133</f>
        <v/>
      </c>
      <c r="T133">
        <f>Assumptions!$B$59/O133</f>
        <v/>
      </c>
      <c r="U133">
        <f>Assumptions!$B$62/R133</f>
        <v/>
      </c>
    </row>
    <row r="134">
      <c r="A134" t="n">
        <v>17</v>
      </c>
      <c r="B134">
        <f>S133</f>
        <v/>
      </c>
      <c r="C134">
        <f>T133</f>
        <v/>
      </c>
      <c r="D134">
        <f>U133</f>
        <v/>
      </c>
      <c r="E134">
        <f>MAX(0,Assumptions!$B$34/IF(B134&lt;Assumptions!$B$25,Assumptions!$B$25*(Assumptions!$B$50+Assumptions!$B$5/Assumptions!$B$25)/(Assumptions!$B$50+Assumptions!$B$5/B134),Assumptions!$B$25)-Assumptions!$B$42)+MAX(0,Assumptions!$B$35/IF(B134&lt;Assumptions!$B$26,Assumptions!$B$26*(Assumptions!$B$50+Assumptions!$B$5/Assumptions!$B$26)/(Assumptions!$B$50+Assumptions!$B$5/B134),Assumptions!$B$26)-Assumptions!$B$43)</f>
        <v/>
      </c>
      <c r="F134">
        <f>Assumptions!$B$5/B134</f>
        <v/>
      </c>
      <c r="G134">
        <f>$B$113*(((Assumptions!$B$50-Assumptions!$B$51+E134+C134+D134)+F134)/(1-$B$113))-Assumptions!$B$51</f>
        <v/>
      </c>
      <c r="H134">
        <f>MAX(0,G134)</f>
        <v/>
      </c>
      <c r="I134">
        <f>Assumptions!$B$50+E134+H134+C134+D134</f>
        <v/>
      </c>
      <c r="J134">
        <f>I134+F134</f>
        <v/>
      </c>
      <c r="K134">
        <f>Assumptions!$B$50+E134+H134+D134</f>
        <v/>
      </c>
      <c r="L134">
        <f>Assumptions!$B$50+E134+H134+C134</f>
        <v/>
      </c>
      <c r="M134">
        <f>Assumptions!$B$60/K134</f>
        <v/>
      </c>
      <c r="N134">
        <f>B134*(1-Assumptions!$B$61)</f>
        <v/>
      </c>
      <c r="O134">
        <f>MIN(M134,N134)</f>
        <v/>
      </c>
      <c r="P134">
        <f>Assumptions!$B$63/L134</f>
        <v/>
      </c>
      <c r="Q134">
        <f>B134*(1-Assumptions!$B$64)</f>
        <v/>
      </c>
      <c r="R134">
        <f>MIN(P134,Q134)</f>
        <v/>
      </c>
      <c r="S134">
        <f>$B$114/I134</f>
        <v/>
      </c>
      <c r="T134">
        <f>Assumptions!$B$59/O134</f>
        <v/>
      </c>
      <c r="U134">
        <f>Assumptions!$B$62/R134</f>
        <v/>
      </c>
    </row>
    <row r="135">
      <c r="A135" t="n">
        <v>18</v>
      </c>
      <c r="B135">
        <f>S134</f>
        <v/>
      </c>
      <c r="C135">
        <f>T134</f>
        <v/>
      </c>
      <c r="D135">
        <f>U134</f>
        <v/>
      </c>
      <c r="E135">
        <f>MAX(0,Assumptions!$B$34/IF(B135&lt;Assumptions!$B$25,Assumptions!$B$25*(Assumptions!$B$50+Assumptions!$B$5/Assumptions!$B$25)/(Assumptions!$B$50+Assumptions!$B$5/B135),Assumptions!$B$25)-Assumptions!$B$42)+MAX(0,Assumptions!$B$35/IF(B135&lt;Assumptions!$B$26,Assumptions!$B$26*(Assumptions!$B$50+Assumptions!$B$5/Assumptions!$B$26)/(Assumptions!$B$50+Assumptions!$B$5/B135),Assumptions!$B$26)-Assumptions!$B$43)</f>
        <v/>
      </c>
      <c r="F135">
        <f>Assumptions!$B$5/B135</f>
        <v/>
      </c>
      <c r="G135">
        <f>$B$113*(((Assumptions!$B$50-Assumptions!$B$51+E135+C135+D135)+F135)/(1-$B$113))-Assumptions!$B$51</f>
        <v/>
      </c>
      <c r="H135">
        <f>MAX(0,G135)</f>
        <v/>
      </c>
      <c r="I135">
        <f>Assumptions!$B$50+E135+H135+C135+D135</f>
        <v/>
      </c>
      <c r="J135">
        <f>I135+F135</f>
        <v/>
      </c>
      <c r="K135">
        <f>Assumptions!$B$50+E135+H135+D135</f>
        <v/>
      </c>
      <c r="L135">
        <f>Assumptions!$B$50+E135+H135+C135</f>
        <v/>
      </c>
      <c r="M135">
        <f>Assumptions!$B$60/K135</f>
        <v/>
      </c>
      <c r="N135">
        <f>B135*(1-Assumptions!$B$61)</f>
        <v/>
      </c>
      <c r="O135">
        <f>MIN(M135,N135)</f>
        <v/>
      </c>
      <c r="P135">
        <f>Assumptions!$B$63/L135</f>
        <v/>
      </c>
      <c r="Q135">
        <f>B135*(1-Assumptions!$B$64)</f>
        <v/>
      </c>
      <c r="R135">
        <f>MIN(P135,Q135)</f>
        <v/>
      </c>
      <c r="S135">
        <f>$B$114/I135</f>
        <v/>
      </c>
      <c r="T135">
        <f>Assumptions!$B$59/O135</f>
        <v/>
      </c>
      <c r="U135">
        <f>Assumptions!$B$62/R135</f>
        <v/>
      </c>
    </row>
    <row r="136">
      <c r="A136" t="n">
        <v>19</v>
      </c>
      <c r="B136">
        <f>S135</f>
        <v/>
      </c>
      <c r="C136">
        <f>T135</f>
        <v/>
      </c>
      <c r="D136">
        <f>U135</f>
        <v/>
      </c>
      <c r="E136">
        <f>MAX(0,Assumptions!$B$34/IF(B136&lt;Assumptions!$B$25,Assumptions!$B$25*(Assumptions!$B$50+Assumptions!$B$5/Assumptions!$B$25)/(Assumptions!$B$50+Assumptions!$B$5/B136),Assumptions!$B$25)-Assumptions!$B$42)+MAX(0,Assumptions!$B$35/IF(B136&lt;Assumptions!$B$26,Assumptions!$B$26*(Assumptions!$B$50+Assumptions!$B$5/Assumptions!$B$26)/(Assumptions!$B$50+Assumptions!$B$5/B136),Assumptions!$B$26)-Assumptions!$B$43)</f>
        <v/>
      </c>
      <c r="F136">
        <f>Assumptions!$B$5/B136</f>
        <v/>
      </c>
      <c r="G136">
        <f>$B$113*(((Assumptions!$B$50-Assumptions!$B$51+E136+C136+D136)+F136)/(1-$B$113))-Assumptions!$B$51</f>
        <v/>
      </c>
      <c r="H136">
        <f>MAX(0,G136)</f>
        <v/>
      </c>
      <c r="I136">
        <f>Assumptions!$B$50+E136+H136+C136+D136</f>
        <v/>
      </c>
      <c r="J136">
        <f>I136+F136</f>
        <v/>
      </c>
      <c r="K136">
        <f>Assumptions!$B$50+E136+H136+D136</f>
        <v/>
      </c>
      <c r="L136">
        <f>Assumptions!$B$50+E136+H136+C136</f>
        <v/>
      </c>
      <c r="M136">
        <f>Assumptions!$B$60/K136</f>
        <v/>
      </c>
      <c r="N136">
        <f>B136*(1-Assumptions!$B$61)</f>
        <v/>
      </c>
      <c r="O136">
        <f>MIN(M136,N136)</f>
        <v/>
      </c>
      <c r="P136">
        <f>Assumptions!$B$63/L136</f>
        <v/>
      </c>
      <c r="Q136">
        <f>B136*(1-Assumptions!$B$64)</f>
        <v/>
      </c>
      <c r="R136">
        <f>MIN(P136,Q136)</f>
        <v/>
      </c>
      <c r="S136">
        <f>$B$114/I136</f>
        <v/>
      </c>
      <c r="T136">
        <f>Assumptions!$B$59/O136</f>
        <v/>
      </c>
      <c r="U136">
        <f>Assumptions!$B$62/R136</f>
        <v/>
      </c>
    </row>
    <row r="137">
      <c r="A137" t="n">
        <v>20</v>
      </c>
      <c r="B137">
        <f>S136</f>
        <v/>
      </c>
      <c r="C137">
        <f>T136</f>
        <v/>
      </c>
      <c r="D137">
        <f>U136</f>
        <v/>
      </c>
      <c r="E137">
        <f>MAX(0,Assumptions!$B$34/IF(B137&lt;Assumptions!$B$25,Assumptions!$B$25*(Assumptions!$B$50+Assumptions!$B$5/Assumptions!$B$25)/(Assumptions!$B$50+Assumptions!$B$5/B137),Assumptions!$B$25)-Assumptions!$B$42)+MAX(0,Assumptions!$B$35/IF(B137&lt;Assumptions!$B$26,Assumptions!$B$26*(Assumptions!$B$50+Assumptions!$B$5/Assumptions!$B$26)/(Assumptions!$B$50+Assumptions!$B$5/B137),Assumptions!$B$26)-Assumptions!$B$43)</f>
        <v/>
      </c>
      <c r="F137">
        <f>Assumptions!$B$5/B137</f>
        <v/>
      </c>
      <c r="G137">
        <f>$B$113*(((Assumptions!$B$50-Assumptions!$B$51+E137+C137+D137)+F137)/(1-$B$113))-Assumptions!$B$51</f>
        <v/>
      </c>
      <c r="H137">
        <f>MAX(0,G137)</f>
        <v/>
      </c>
      <c r="I137">
        <f>Assumptions!$B$50+E137+H137+C137+D137</f>
        <v/>
      </c>
      <c r="J137">
        <f>I137+F137</f>
        <v/>
      </c>
      <c r="K137">
        <f>Assumptions!$B$50+E137+H137+D137</f>
        <v/>
      </c>
      <c r="L137">
        <f>Assumptions!$B$50+E137+H137+C137</f>
        <v/>
      </c>
      <c r="M137">
        <f>Assumptions!$B$60/K137</f>
        <v/>
      </c>
      <c r="N137">
        <f>B137*(1-Assumptions!$B$61)</f>
        <v/>
      </c>
      <c r="O137">
        <f>MIN(M137,N137)</f>
        <v/>
      </c>
      <c r="P137">
        <f>Assumptions!$B$63/L137</f>
        <v/>
      </c>
      <c r="Q137">
        <f>B137*(1-Assumptions!$B$64)</f>
        <v/>
      </c>
      <c r="R137">
        <f>MIN(P137,Q137)</f>
        <v/>
      </c>
      <c r="S137">
        <f>$B$114/I137</f>
        <v/>
      </c>
      <c r="T137">
        <f>Assumptions!$B$59/O137</f>
        <v/>
      </c>
      <c r="U137">
        <f>Assumptions!$B$62/R137</f>
        <v/>
      </c>
    </row>
    <row r="138">
      <c r="A138" t="n">
        <v>21</v>
      </c>
      <c r="B138">
        <f>S137</f>
        <v/>
      </c>
      <c r="C138">
        <f>T137</f>
        <v/>
      </c>
      <c r="D138">
        <f>U137</f>
        <v/>
      </c>
      <c r="E138">
        <f>MAX(0,Assumptions!$B$34/IF(B138&lt;Assumptions!$B$25,Assumptions!$B$25*(Assumptions!$B$50+Assumptions!$B$5/Assumptions!$B$25)/(Assumptions!$B$50+Assumptions!$B$5/B138),Assumptions!$B$25)-Assumptions!$B$42)+MAX(0,Assumptions!$B$35/IF(B138&lt;Assumptions!$B$26,Assumptions!$B$26*(Assumptions!$B$50+Assumptions!$B$5/Assumptions!$B$26)/(Assumptions!$B$50+Assumptions!$B$5/B138),Assumptions!$B$26)-Assumptions!$B$43)</f>
        <v/>
      </c>
      <c r="F138">
        <f>Assumptions!$B$5/B138</f>
        <v/>
      </c>
      <c r="G138">
        <f>$B$113*(((Assumptions!$B$50-Assumptions!$B$51+E138+C138+D138)+F138)/(1-$B$113))-Assumptions!$B$51</f>
        <v/>
      </c>
      <c r="H138">
        <f>MAX(0,G138)</f>
        <v/>
      </c>
      <c r="I138">
        <f>Assumptions!$B$50+E138+H138+C138+D138</f>
        <v/>
      </c>
      <c r="J138">
        <f>I138+F138</f>
        <v/>
      </c>
      <c r="K138">
        <f>Assumptions!$B$50+E138+H138+D138</f>
        <v/>
      </c>
      <c r="L138">
        <f>Assumptions!$B$50+E138+H138+C138</f>
        <v/>
      </c>
      <c r="M138">
        <f>Assumptions!$B$60/K138</f>
        <v/>
      </c>
      <c r="N138">
        <f>B138*(1-Assumptions!$B$61)</f>
        <v/>
      </c>
      <c r="O138">
        <f>MIN(M138,N138)</f>
        <v/>
      </c>
      <c r="P138">
        <f>Assumptions!$B$63/L138</f>
        <v/>
      </c>
      <c r="Q138">
        <f>B138*(1-Assumptions!$B$64)</f>
        <v/>
      </c>
      <c r="R138">
        <f>MIN(P138,Q138)</f>
        <v/>
      </c>
      <c r="S138">
        <f>$B$114/I138</f>
        <v/>
      </c>
      <c r="T138">
        <f>Assumptions!$B$59/O138</f>
        <v/>
      </c>
      <c r="U138">
        <f>Assumptions!$B$62/R138</f>
        <v/>
      </c>
    </row>
    <row r="139">
      <c r="A139" t="n">
        <v>22</v>
      </c>
      <c r="B139">
        <f>S138</f>
        <v/>
      </c>
      <c r="C139">
        <f>T138</f>
        <v/>
      </c>
      <c r="D139">
        <f>U138</f>
        <v/>
      </c>
      <c r="E139">
        <f>MAX(0,Assumptions!$B$34/IF(B139&lt;Assumptions!$B$25,Assumptions!$B$25*(Assumptions!$B$50+Assumptions!$B$5/Assumptions!$B$25)/(Assumptions!$B$50+Assumptions!$B$5/B139),Assumptions!$B$25)-Assumptions!$B$42)+MAX(0,Assumptions!$B$35/IF(B139&lt;Assumptions!$B$26,Assumptions!$B$26*(Assumptions!$B$50+Assumptions!$B$5/Assumptions!$B$26)/(Assumptions!$B$50+Assumptions!$B$5/B139),Assumptions!$B$26)-Assumptions!$B$43)</f>
        <v/>
      </c>
      <c r="F139">
        <f>Assumptions!$B$5/B139</f>
        <v/>
      </c>
      <c r="G139">
        <f>$B$113*(((Assumptions!$B$50-Assumptions!$B$51+E139+C139+D139)+F139)/(1-$B$113))-Assumptions!$B$51</f>
        <v/>
      </c>
      <c r="H139">
        <f>MAX(0,G139)</f>
        <v/>
      </c>
      <c r="I139">
        <f>Assumptions!$B$50+E139+H139+C139+D139</f>
        <v/>
      </c>
      <c r="J139">
        <f>I139+F139</f>
        <v/>
      </c>
      <c r="K139">
        <f>Assumptions!$B$50+E139+H139+D139</f>
        <v/>
      </c>
      <c r="L139">
        <f>Assumptions!$B$50+E139+H139+C139</f>
        <v/>
      </c>
      <c r="M139">
        <f>Assumptions!$B$60/K139</f>
        <v/>
      </c>
      <c r="N139">
        <f>B139*(1-Assumptions!$B$61)</f>
        <v/>
      </c>
      <c r="O139">
        <f>MIN(M139,N139)</f>
        <v/>
      </c>
      <c r="P139">
        <f>Assumptions!$B$63/L139</f>
        <v/>
      </c>
      <c r="Q139">
        <f>B139*(1-Assumptions!$B$64)</f>
        <v/>
      </c>
      <c r="R139">
        <f>MIN(P139,Q139)</f>
        <v/>
      </c>
      <c r="S139">
        <f>$B$114/I139</f>
        <v/>
      </c>
      <c r="T139">
        <f>Assumptions!$B$59/O139</f>
        <v/>
      </c>
      <c r="U139">
        <f>Assumptions!$B$62/R139</f>
        <v/>
      </c>
    </row>
    <row r="140">
      <c r="A140" t="n">
        <v>23</v>
      </c>
      <c r="B140">
        <f>S139</f>
        <v/>
      </c>
      <c r="C140">
        <f>T139</f>
        <v/>
      </c>
      <c r="D140">
        <f>U139</f>
        <v/>
      </c>
      <c r="E140">
        <f>MAX(0,Assumptions!$B$34/IF(B140&lt;Assumptions!$B$25,Assumptions!$B$25*(Assumptions!$B$50+Assumptions!$B$5/Assumptions!$B$25)/(Assumptions!$B$50+Assumptions!$B$5/B140),Assumptions!$B$25)-Assumptions!$B$42)+MAX(0,Assumptions!$B$35/IF(B140&lt;Assumptions!$B$26,Assumptions!$B$26*(Assumptions!$B$50+Assumptions!$B$5/Assumptions!$B$26)/(Assumptions!$B$50+Assumptions!$B$5/B140),Assumptions!$B$26)-Assumptions!$B$43)</f>
        <v/>
      </c>
      <c r="F140">
        <f>Assumptions!$B$5/B140</f>
        <v/>
      </c>
      <c r="G140">
        <f>$B$113*(((Assumptions!$B$50-Assumptions!$B$51+E140+C140+D140)+F140)/(1-$B$113))-Assumptions!$B$51</f>
        <v/>
      </c>
      <c r="H140">
        <f>MAX(0,G140)</f>
        <v/>
      </c>
      <c r="I140">
        <f>Assumptions!$B$50+E140+H140+C140+D140</f>
        <v/>
      </c>
      <c r="J140">
        <f>I140+F140</f>
        <v/>
      </c>
      <c r="K140">
        <f>Assumptions!$B$50+E140+H140+D140</f>
        <v/>
      </c>
      <c r="L140">
        <f>Assumptions!$B$50+E140+H140+C140</f>
        <v/>
      </c>
      <c r="M140">
        <f>Assumptions!$B$60/K140</f>
        <v/>
      </c>
      <c r="N140">
        <f>B140*(1-Assumptions!$B$61)</f>
        <v/>
      </c>
      <c r="O140">
        <f>MIN(M140,N140)</f>
        <v/>
      </c>
      <c r="P140">
        <f>Assumptions!$B$63/L140</f>
        <v/>
      </c>
      <c r="Q140">
        <f>B140*(1-Assumptions!$B$64)</f>
        <v/>
      </c>
      <c r="R140">
        <f>MIN(P140,Q140)</f>
        <v/>
      </c>
      <c r="S140">
        <f>$B$114/I140</f>
        <v/>
      </c>
      <c r="T140">
        <f>Assumptions!$B$59/O140</f>
        <v/>
      </c>
      <c r="U140">
        <f>Assumptions!$B$62/R140</f>
        <v/>
      </c>
    </row>
    <row r="141">
      <c r="A141" t="n">
        <v>24</v>
      </c>
      <c r="B141">
        <f>S140</f>
        <v/>
      </c>
      <c r="C141">
        <f>T140</f>
        <v/>
      </c>
      <c r="D141">
        <f>U140</f>
        <v/>
      </c>
      <c r="E141">
        <f>MAX(0,Assumptions!$B$34/IF(B141&lt;Assumptions!$B$25,Assumptions!$B$25*(Assumptions!$B$50+Assumptions!$B$5/Assumptions!$B$25)/(Assumptions!$B$50+Assumptions!$B$5/B141),Assumptions!$B$25)-Assumptions!$B$42)+MAX(0,Assumptions!$B$35/IF(B141&lt;Assumptions!$B$26,Assumptions!$B$26*(Assumptions!$B$50+Assumptions!$B$5/Assumptions!$B$26)/(Assumptions!$B$50+Assumptions!$B$5/B141),Assumptions!$B$26)-Assumptions!$B$43)</f>
        <v/>
      </c>
      <c r="F141">
        <f>Assumptions!$B$5/B141</f>
        <v/>
      </c>
      <c r="G141">
        <f>$B$113*(((Assumptions!$B$50-Assumptions!$B$51+E141+C141+D141)+F141)/(1-$B$113))-Assumptions!$B$51</f>
        <v/>
      </c>
      <c r="H141">
        <f>MAX(0,G141)</f>
        <v/>
      </c>
      <c r="I141">
        <f>Assumptions!$B$50+E141+H141+C141+D141</f>
        <v/>
      </c>
      <c r="J141">
        <f>I141+F141</f>
        <v/>
      </c>
      <c r="K141">
        <f>Assumptions!$B$50+E141+H141+D141</f>
        <v/>
      </c>
      <c r="L141">
        <f>Assumptions!$B$50+E141+H141+C141</f>
        <v/>
      </c>
      <c r="M141">
        <f>Assumptions!$B$60/K141</f>
        <v/>
      </c>
      <c r="N141">
        <f>B141*(1-Assumptions!$B$61)</f>
        <v/>
      </c>
      <c r="O141">
        <f>MIN(M141,N141)</f>
        <v/>
      </c>
      <c r="P141">
        <f>Assumptions!$B$63/L141</f>
        <v/>
      </c>
      <c r="Q141">
        <f>B141*(1-Assumptions!$B$64)</f>
        <v/>
      </c>
      <c r="R141">
        <f>MIN(P141,Q141)</f>
        <v/>
      </c>
      <c r="S141">
        <f>$B$114/I141</f>
        <v/>
      </c>
      <c r="T141">
        <f>Assumptions!$B$59/O141</f>
        <v/>
      </c>
      <c r="U141">
        <f>Assumptions!$B$62/R141</f>
        <v/>
      </c>
    </row>
    <row r="142">
      <c r="A142" t="n">
        <v>25</v>
      </c>
      <c r="B142">
        <f>S141</f>
        <v/>
      </c>
      <c r="C142">
        <f>T141</f>
        <v/>
      </c>
      <c r="D142">
        <f>U141</f>
        <v/>
      </c>
      <c r="E142">
        <f>MAX(0,Assumptions!$B$34/IF(B142&lt;Assumptions!$B$25,Assumptions!$B$25*(Assumptions!$B$50+Assumptions!$B$5/Assumptions!$B$25)/(Assumptions!$B$50+Assumptions!$B$5/B142),Assumptions!$B$25)-Assumptions!$B$42)+MAX(0,Assumptions!$B$35/IF(B142&lt;Assumptions!$B$26,Assumptions!$B$26*(Assumptions!$B$50+Assumptions!$B$5/Assumptions!$B$26)/(Assumptions!$B$50+Assumptions!$B$5/B142),Assumptions!$B$26)-Assumptions!$B$43)</f>
        <v/>
      </c>
      <c r="F142">
        <f>Assumptions!$B$5/B142</f>
        <v/>
      </c>
      <c r="G142">
        <f>$B$113*(((Assumptions!$B$50-Assumptions!$B$51+E142+C142+D142)+F142)/(1-$B$113))-Assumptions!$B$51</f>
        <v/>
      </c>
      <c r="H142">
        <f>MAX(0,G142)</f>
        <v/>
      </c>
      <c r="I142">
        <f>Assumptions!$B$50+E142+H142+C142+D142</f>
        <v/>
      </c>
      <c r="J142">
        <f>I142+F142</f>
        <v/>
      </c>
      <c r="K142">
        <f>Assumptions!$B$50+E142+H142+D142</f>
        <v/>
      </c>
      <c r="L142">
        <f>Assumptions!$B$50+E142+H142+C142</f>
        <v/>
      </c>
      <c r="M142">
        <f>Assumptions!$B$60/K142</f>
        <v/>
      </c>
      <c r="N142">
        <f>B142*(1-Assumptions!$B$61)</f>
        <v/>
      </c>
      <c r="O142">
        <f>MIN(M142,N142)</f>
        <v/>
      </c>
      <c r="P142">
        <f>Assumptions!$B$63/L142</f>
        <v/>
      </c>
      <c r="Q142">
        <f>B142*(1-Assumptions!$B$64)</f>
        <v/>
      </c>
      <c r="R142">
        <f>MIN(P142,Q142)</f>
        <v/>
      </c>
      <c r="S142">
        <f>$B$114/I142</f>
        <v/>
      </c>
      <c r="T142">
        <f>Assumptions!$B$59/O142</f>
        <v/>
      </c>
      <c r="U142">
        <f>Assumptions!$B$62/R142</f>
        <v/>
      </c>
    </row>
    <row r="143">
      <c r="A143" t="n">
        <v>26</v>
      </c>
      <c r="B143">
        <f>S142</f>
        <v/>
      </c>
      <c r="C143">
        <f>T142</f>
        <v/>
      </c>
      <c r="D143">
        <f>U142</f>
        <v/>
      </c>
      <c r="E143">
        <f>MAX(0,Assumptions!$B$34/IF(B143&lt;Assumptions!$B$25,Assumptions!$B$25*(Assumptions!$B$50+Assumptions!$B$5/Assumptions!$B$25)/(Assumptions!$B$50+Assumptions!$B$5/B143),Assumptions!$B$25)-Assumptions!$B$42)+MAX(0,Assumptions!$B$35/IF(B143&lt;Assumptions!$B$26,Assumptions!$B$26*(Assumptions!$B$50+Assumptions!$B$5/Assumptions!$B$26)/(Assumptions!$B$50+Assumptions!$B$5/B143),Assumptions!$B$26)-Assumptions!$B$43)</f>
        <v/>
      </c>
      <c r="F143">
        <f>Assumptions!$B$5/B143</f>
        <v/>
      </c>
      <c r="G143">
        <f>$B$113*(((Assumptions!$B$50-Assumptions!$B$51+E143+C143+D143)+F143)/(1-$B$113))-Assumptions!$B$51</f>
        <v/>
      </c>
      <c r="H143">
        <f>MAX(0,G143)</f>
        <v/>
      </c>
      <c r="I143">
        <f>Assumptions!$B$50+E143+H143+C143+D143</f>
        <v/>
      </c>
      <c r="J143">
        <f>I143+F143</f>
        <v/>
      </c>
      <c r="K143">
        <f>Assumptions!$B$50+E143+H143+D143</f>
        <v/>
      </c>
      <c r="L143">
        <f>Assumptions!$B$50+E143+H143+C143</f>
        <v/>
      </c>
      <c r="M143">
        <f>Assumptions!$B$60/K143</f>
        <v/>
      </c>
      <c r="N143">
        <f>B143*(1-Assumptions!$B$61)</f>
        <v/>
      </c>
      <c r="O143">
        <f>MIN(M143,N143)</f>
        <v/>
      </c>
      <c r="P143">
        <f>Assumptions!$B$63/L143</f>
        <v/>
      </c>
      <c r="Q143">
        <f>B143*(1-Assumptions!$B$64)</f>
        <v/>
      </c>
      <c r="R143">
        <f>MIN(P143,Q143)</f>
        <v/>
      </c>
      <c r="S143">
        <f>$B$114/I143</f>
        <v/>
      </c>
      <c r="T143">
        <f>Assumptions!$B$59/O143</f>
        <v/>
      </c>
      <c r="U143">
        <f>Assumptions!$B$62/R143</f>
        <v/>
      </c>
    </row>
    <row r="144">
      <c r="A144" t="n">
        <v>27</v>
      </c>
      <c r="B144">
        <f>S143</f>
        <v/>
      </c>
      <c r="C144">
        <f>T143</f>
        <v/>
      </c>
      <c r="D144">
        <f>U143</f>
        <v/>
      </c>
      <c r="E144">
        <f>MAX(0,Assumptions!$B$34/IF(B144&lt;Assumptions!$B$25,Assumptions!$B$25*(Assumptions!$B$50+Assumptions!$B$5/Assumptions!$B$25)/(Assumptions!$B$50+Assumptions!$B$5/B144),Assumptions!$B$25)-Assumptions!$B$42)+MAX(0,Assumptions!$B$35/IF(B144&lt;Assumptions!$B$26,Assumptions!$B$26*(Assumptions!$B$50+Assumptions!$B$5/Assumptions!$B$26)/(Assumptions!$B$50+Assumptions!$B$5/B144),Assumptions!$B$26)-Assumptions!$B$43)</f>
        <v/>
      </c>
      <c r="F144">
        <f>Assumptions!$B$5/B144</f>
        <v/>
      </c>
      <c r="G144">
        <f>$B$113*(((Assumptions!$B$50-Assumptions!$B$51+E144+C144+D144)+F144)/(1-$B$113))-Assumptions!$B$51</f>
        <v/>
      </c>
      <c r="H144">
        <f>MAX(0,G144)</f>
        <v/>
      </c>
      <c r="I144">
        <f>Assumptions!$B$50+E144+H144+C144+D144</f>
        <v/>
      </c>
      <c r="J144">
        <f>I144+F144</f>
        <v/>
      </c>
      <c r="K144">
        <f>Assumptions!$B$50+E144+H144+D144</f>
        <v/>
      </c>
      <c r="L144">
        <f>Assumptions!$B$50+E144+H144+C144</f>
        <v/>
      </c>
      <c r="M144">
        <f>Assumptions!$B$60/K144</f>
        <v/>
      </c>
      <c r="N144">
        <f>B144*(1-Assumptions!$B$61)</f>
        <v/>
      </c>
      <c r="O144">
        <f>MIN(M144,N144)</f>
        <v/>
      </c>
      <c r="P144">
        <f>Assumptions!$B$63/L144</f>
        <v/>
      </c>
      <c r="Q144">
        <f>B144*(1-Assumptions!$B$64)</f>
        <v/>
      </c>
      <c r="R144">
        <f>MIN(P144,Q144)</f>
        <v/>
      </c>
      <c r="S144">
        <f>$B$114/I144</f>
        <v/>
      </c>
      <c r="T144">
        <f>Assumptions!$B$59/O144</f>
        <v/>
      </c>
      <c r="U144">
        <f>Assumptions!$B$62/R144</f>
        <v/>
      </c>
    </row>
    <row r="145">
      <c r="A145" t="n">
        <v>28</v>
      </c>
      <c r="B145">
        <f>S144</f>
        <v/>
      </c>
      <c r="C145">
        <f>T144</f>
        <v/>
      </c>
      <c r="D145">
        <f>U144</f>
        <v/>
      </c>
      <c r="E145">
        <f>MAX(0,Assumptions!$B$34/IF(B145&lt;Assumptions!$B$25,Assumptions!$B$25*(Assumptions!$B$50+Assumptions!$B$5/Assumptions!$B$25)/(Assumptions!$B$50+Assumptions!$B$5/B145),Assumptions!$B$25)-Assumptions!$B$42)+MAX(0,Assumptions!$B$35/IF(B145&lt;Assumptions!$B$26,Assumptions!$B$26*(Assumptions!$B$50+Assumptions!$B$5/Assumptions!$B$26)/(Assumptions!$B$50+Assumptions!$B$5/B145),Assumptions!$B$26)-Assumptions!$B$43)</f>
        <v/>
      </c>
      <c r="F145">
        <f>Assumptions!$B$5/B145</f>
        <v/>
      </c>
      <c r="G145">
        <f>$B$113*(((Assumptions!$B$50-Assumptions!$B$51+E145+C145+D145)+F145)/(1-$B$113))-Assumptions!$B$51</f>
        <v/>
      </c>
      <c r="H145">
        <f>MAX(0,G145)</f>
        <v/>
      </c>
      <c r="I145">
        <f>Assumptions!$B$50+E145+H145+C145+D145</f>
        <v/>
      </c>
      <c r="J145">
        <f>I145+F145</f>
        <v/>
      </c>
      <c r="K145">
        <f>Assumptions!$B$50+E145+H145+D145</f>
        <v/>
      </c>
      <c r="L145">
        <f>Assumptions!$B$50+E145+H145+C145</f>
        <v/>
      </c>
      <c r="M145">
        <f>Assumptions!$B$60/K145</f>
        <v/>
      </c>
      <c r="N145">
        <f>B145*(1-Assumptions!$B$61)</f>
        <v/>
      </c>
      <c r="O145">
        <f>MIN(M145,N145)</f>
        <v/>
      </c>
      <c r="P145">
        <f>Assumptions!$B$63/L145</f>
        <v/>
      </c>
      <c r="Q145">
        <f>B145*(1-Assumptions!$B$64)</f>
        <v/>
      </c>
      <c r="R145">
        <f>MIN(P145,Q145)</f>
        <v/>
      </c>
      <c r="S145">
        <f>$B$114/I145</f>
        <v/>
      </c>
      <c r="T145">
        <f>Assumptions!$B$59/O145</f>
        <v/>
      </c>
      <c r="U145">
        <f>Assumptions!$B$62/R145</f>
        <v/>
      </c>
    </row>
    <row r="146">
      <c r="A146" t="n">
        <v>29</v>
      </c>
      <c r="B146">
        <f>S145</f>
        <v/>
      </c>
      <c r="C146">
        <f>T145</f>
        <v/>
      </c>
      <c r="D146">
        <f>U145</f>
        <v/>
      </c>
      <c r="E146">
        <f>MAX(0,Assumptions!$B$34/IF(B146&lt;Assumptions!$B$25,Assumptions!$B$25*(Assumptions!$B$50+Assumptions!$B$5/Assumptions!$B$25)/(Assumptions!$B$50+Assumptions!$B$5/B146),Assumptions!$B$25)-Assumptions!$B$42)+MAX(0,Assumptions!$B$35/IF(B146&lt;Assumptions!$B$26,Assumptions!$B$26*(Assumptions!$B$50+Assumptions!$B$5/Assumptions!$B$26)/(Assumptions!$B$50+Assumptions!$B$5/B146),Assumptions!$B$26)-Assumptions!$B$43)</f>
        <v/>
      </c>
      <c r="F146">
        <f>Assumptions!$B$5/B146</f>
        <v/>
      </c>
      <c r="G146">
        <f>$B$113*(((Assumptions!$B$50-Assumptions!$B$51+E146+C146+D146)+F146)/(1-$B$113))-Assumptions!$B$51</f>
        <v/>
      </c>
      <c r="H146">
        <f>MAX(0,G146)</f>
        <v/>
      </c>
      <c r="I146">
        <f>Assumptions!$B$50+E146+H146+C146+D146</f>
        <v/>
      </c>
      <c r="J146">
        <f>I146+F146</f>
        <v/>
      </c>
      <c r="K146">
        <f>Assumptions!$B$50+E146+H146+D146</f>
        <v/>
      </c>
      <c r="L146">
        <f>Assumptions!$B$50+E146+H146+C146</f>
        <v/>
      </c>
      <c r="M146">
        <f>Assumptions!$B$60/K146</f>
        <v/>
      </c>
      <c r="N146">
        <f>B146*(1-Assumptions!$B$61)</f>
        <v/>
      </c>
      <c r="O146">
        <f>MIN(M146,N146)</f>
        <v/>
      </c>
      <c r="P146">
        <f>Assumptions!$B$63/L146</f>
        <v/>
      </c>
      <c r="Q146">
        <f>B146*(1-Assumptions!$B$64)</f>
        <v/>
      </c>
      <c r="R146">
        <f>MIN(P146,Q146)</f>
        <v/>
      </c>
      <c r="S146">
        <f>$B$114/I146</f>
        <v/>
      </c>
      <c r="T146">
        <f>Assumptions!$B$59/O146</f>
        <v/>
      </c>
      <c r="U146">
        <f>Assumptions!$B$62/R146</f>
        <v/>
      </c>
    </row>
    <row r="147">
      <c r="A147" t="n">
        <v>30</v>
      </c>
      <c r="B147">
        <f>S146</f>
        <v/>
      </c>
      <c r="C147">
        <f>T146</f>
        <v/>
      </c>
      <c r="D147">
        <f>U146</f>
        <v/>
      </c>
      <c r="E147">
        <f>MAX(0,Assumptions!$B$34/IF(B147&lt;Assumptions!$B$25,Assumptions!$B$25*(Assumptions!$B$50+Assumptions!$B$5/Assumptions!$B$25)/(Assumptions!$B$50+Assumptions!$B$5/B147),Assumptions!$B$25)-Assumptions!$B$42)+MAX(0,Assumptions!$B$35/IF(B147&lt;Assumptions!$B$26,Assumptions!$B$26*(Assumptions!$B$50+Assumptions!$B$5/Assumptions!$B$26)/(Assumptions!$B$50+Assumptions!$B$5/B147),Assumptions!$B$26)-Assumptions!$B$43)</f>
        <v/>
      </c>
      <c r="F147">
        <f>Assumptions!$B$5/B147</f>
        <v/>
      </c>
      <c r="G147">
        <f>$B$113*(((Assumptions!$B$50-Assumptions!$B$51+E147+C147+D147)+F147)/(1-$B$113))-Assumptions!$B$51</f>
        <v/>
      </c>
      <c r="H147">
        <f>MAX(0,G147)</f>
        <v/>
      </c>
      <c r="I147">
        <f>Assumptions!$B$50+E147+H147+C147+D147</f>
        <v/>
      </c>
      <c r="J147">
        <f>I147+F147</f>
        <v/>
      </c>
      <c r="K147">
        <f>Assumptions!$B$50+E147+H147+D147</f>
        <v/>
      </c>
      <c r="L147">
        <f>Assumptions!$B$50+E147+H147+C147</f>
        <v/>
      </c>
      <c r="M147">
        <f>Assumptions!$B$60/K147</f>
        <v/>
      </c>
      <c r="N147">
        <f>B147*(1-Assumptions!$B$61)</f>
        <v/>
      </c>
      <c r="O147">
        <f>MIN(M147,N147)</f>
        <v/>
      </c>
      <c r="P147">
        <f>Assumptions!$B$63/L147</f>
        <v/>
      </c>
      <c r="Q147">
        <f>B147*(1-Assumptions!$B$64)</f>
        <v/>
      </c>
      <c r="R147">
        <f>MIN(P147,Q147)</f>
        <v/>
      </c>
      <c r="S147">
        <f>$B$114/I147</f>
        <v/>
      </c>
      <c r="T147">
        <f>Assumptions!$B$59/O147</f>
        <v/>
      </c>
      <c r="U147">
        <f>Assumptions!$B$62/R147</f>
        <v/>
      </c>
    </row>
    <row r="149">
      <c r="A149" s="2" t="inlineStr">
        <is>
          <t>Solved F_PPS</t>
        </is>
      </c>
      <c r="B149">
        <f>B147</f>
        <v/>
      </c>
    </row>
    <row r="150">
      <c r="A150" t="inlineStr">
        <is>
          <t>Solved pmFD</t>
        </is>
      </c>
      <c r="B150">
        <f>I147</f>
        <v/>
      </c>
    </row>
    <row r="151">
      <c r="A151" t="inlineStr">
        <is>
          <t>Solved T_F</t>
        </is>
      </c>
      <c r="B151">
        <f>J147</f>
        <v/>
      </c>
    </row>
    <row r="152">
      <c r="A152" t="inlineStr">
        <is>
          <t>Solved AD_extra</t>
        </is>
      </c>
      <c r="B152">
        <f>E147</f>
        <v/>
      </c>
    </row>
    <row r="153">
      <c r="A153" t="inlineStr">
        <is>
          <t>Solved topup</t>
        </is>
      </c>
      <c r="B153">
        <f>H147</f>
        <v/>
      </c>
    </row>
    <row r="154">
      <c r="A154" t="inlineStr">
        <is>
          <t>Solved nA</t>
        </is>
      </c>
      <c r="B154">
        <f>C147</f>
        <v/>
      </c>
    </row>
    <row r="155">
      <c r="A155" t="inlineStr">
        <is>
          <t>Solved nB</t>
        </is>
      </c>
      <c r="B155">
        <f>D147</f>
        <v/>
      </c>
    </row>
    <row r="156">
      <c r="A156" t="inlineStr">
        <is>
          <t>Branch A</t>
        </is>
      </c>
      <c r="B156">
        <f>IF(M147&lt;N147,"cap","discount")</f>
        <v/>
      </c>
    </row>
    <row r="157">
      <c r="A157" t="inlineStr">
        <is>
          <t>Branch B</t>
        </is>
      </c>
      <c r="B157">
        <f>IF(P147&lt;Q147,"cap","discount")</f>
        <v/>
      </c>
    </row>
    <row r="159">
      <c r="A159" t="inlineStr">
        <is>
          <t>Fund shares</t>
        </is>
      </c>
      <c r="B159">
        <f>Assumptions!$B$9/B147</f>
        <v/>
      </c>
    </row>
    <row r="160">
      <c r="A160" t="inlineStr">
        <is>
          <t>Fund ownership %</t>
        </is>
      </c>
      <c r="B160" s="12">
        <f>B159/J147</f>
        <v/>
      </c>
    </row>
    <row r="161">
      <c r="A161" t="inlineStr">
        <is>
          <t>Tender shares</t>
        </is>
      </c>
      <c r="B161">
        <f>Assumptions!$B$6/(Assumptions!$B$7*B147)</f>
        <v/>
      </c>
    </row>
    <row r="162">
      <c r="A162" t="inlineStr">
        <is>
          <t>ITM test PPS</t>
        </is>
      </c>
      <c r="B162">
        <f>(Assumptions!$B$16+Assumptions!$B$11*Assumptions!$B$48)/(F147+(Assumptions!$B$35/IF(B147&lt;Assumptions!$B$26,Assumptions!$B$26*(Assumptions!$B$50+Assumptions!$B$5/Assumptions!$B$26)/(Assumptions!$B$50+Assumptions!$B$5/B147),Assumptions!$B$26))+(Assumptions!$B$34/IF(B147&lt;Assumptions!$B$25,Assumptions!$B$25*(Assumptions!$B$50+Assumptions!$B$5/Assumptions!$B$25)/(Assumptions!$B$50+Assumptions!$B$5/B147),Assumptions!$B$25))+Assumptions!$B$41+Assumptions!$B$40+Assumptions!$B$39+Assumptions!$B$38+(Assumptions!$B$44+Assumptions!$B$45+Assumptions!$B$46-B161)+Assumptions!$B$47+B161+(C147+D147)+Assumptions!$B$48)</f>
        <v/>
      </c>
    </row>
    <row r="163">
      <c r="A163" t="inlineStr">
        <is>
          <t>ITM?</t>
        </is>
      </c>
      <c r="B163">
        <f>IF(B162&gt;Assumptions!$B$11,"YES","NO")</f>
        <v/>
      </c>
    </row>
    <row r="164">
      <c r="A164" t="inlineStr">
        <is>
          <t>Effective pool</t>
        </is>
      </c>
      <c r="B164">
        <f>IF(B163="YES",(F147+(Assumptions!$B$35/IF(B147&lt;Assumptions!$B$26,Assumptions!$B$26*(Assumptions!$B$50+Assumptions!$B$5/Assumptions!$B$26)/(Assumptions!$B$50+Assumptions!$B$5/B147),Assumptions!$B$26))+(Assumptions!$B$34/IF(B147&lt;Assumptions!$B$25,Assumptions!$B$25*(Assumptions!$B$50+Assumptions!$B$5/Assumptions!$B$25)/(Assumptions!$B$50+Assumptions!$B$5/B147),Assumptions!$B$25))+Assumptions!$B$41+Assumptions!$B$40+Assumptions!$B$39+Assumptions!$B$38+(Assumptions!$B$44+Assumptions!$B$45+Assumptions!$B$46-B161)+Assumptions!$B$47+B161+(C147+D147)+Assumptions!$B$48),(F147+(Assumptions!$B$35/IF(B147&lt;Assumptions!$B$26,Assumptions!$B$26*(Assumptions!$B$50+Assumptions!$B$5/Assumptions!$B$26)/(Assumptions!$B$50+Assumptions!$B$5/B147),Assumptions!$B$26))+(Assumptions!$B$34/IF(B147&lt;Assumptions!$B$25,Assumptions!$B$25*(Assumptions!$B$50+Assumptions!$B$5/Assumptions!$B$25)/(Assumptions!$B$50+Assumptions!$B$5/B147),Assumptions!$B$25))+Assumptions!$B$41+Assumptions!$B$40+Assumptions!$B$39+Assumptions!$B$38+(Assumptions!$B$44+Assumptions!$B$45+Assumptions!$B$46-B161)+Assumptions!$B$47+B161+(C147+D147)))</f>
        <v/>
      </c>
    </row>
    <row r="165">
      <c r="A165" t="inlineStr">
        <is>
          <t>Adjusted exit</t>
        </is>
      </c>
      <c r="B165">
        <f>IF(B163="YES",Assumptions!$B$16+Assumptions!$B$11*Assumptions!$B$48,Assumptions!$B$16)</f>
        <v/>
      </c>
    </row>
    <row r="166">
      <c r="A166" s="20" t="inlineStr">
        <is>
          <t>F elect</t>
        </is>
      </c>
      <c r="B166">
        <f>IF(Assumptions!$B$5&gt;(F147)*(B165-(0))/(B164-(0)),"preference","convert")</f>
        <v/>
      </c>
    </row>
    <row r="167">
      <c r="A167" t="inlineStr">
        <is>
          <t>F pref taken</t>
        </is>
      </c>
      <c r="B167">
        <f>IF(B166="preference",Assumptions!$B$5,0)</f>
        <v/>
      </c>
    </row>
    <row r="168">
      <c r="A168" t="inlineStr">
        <is>
          <t>F pool loss</t>
        </is>
      </c>
      <c r="B168">
        <f>IF(B166="preference",F147,0)</f>
        <v/>
      </c>
    </row>
    <row r="169">
      <c r="A169" s="20" t="inlineStr">
        <is>
          <t>E elect</t>
        </is>
      </c>
      <c r="B169">
        <f>IF(Assumptions!$B$35&gt;((Assumptions!$B$35/IF(B147&lt;Assumptions!$B$26,Assumptions!$B$26*(Assumptions!$B$50+Assumptions!$B$5/Assumptions!$B$26)/(Assumptions!$B$50+Assumptions!$B$5/B147),Assumptions!$B$26)))*(B165-(B167))/(B164-(B168)),"preference","convert")</f>
        <v/>
      </c>
    </row>
    <row r="170">
      <c r="A170" t="inlineStr">
        <is>
          <t>E pref taken</t>
        </is>
      </c>
      <c r="B170">
        <f>IF(B169="preference",Assumptions!$B$35,0)</f>
        <v/>
      </c>
    </row>
    <row r="171">
      <c r="A171" t="inlineStr">
        <is>
          <t>E pool loss</t>
        </is>
      </c>
      <c r="B171">
        <f>IF(B169="preference",(Assumptions!$B$35/IF(B147&lt;Assumptions!$B$26,Assumptions!$B$26*(Assumptions!$B$50+Assumptions!$B$5/Assumptions!$B$26)/(Assumptions!$B$50+Assumptions!$B$5/B147),Assumptions!$B$26)),0)</f>
        <v/>
      </c>
    </row>
    <row r="172">
      <c r="A172" s="20" t="inlineStr">
        <is>
          <t>D elect</t>
        </is>
      </c>
      <c r="B172">
        <f>IF(Assumptions!$B$34&gt;((Assumptions!$B$34/IF(B147&lt;Assumptions!$B$25,Assumptions!$B$25*(Assumptions!$B$50+Assumptions!$B$5/Assumptions!$B$25)/(Assumptions!$B$50+Assumptions!$B$5/B147),Assumptions!$B$25)))*(B165-(B167+B170))/(B164-(B168+B171)),"preference","convert")</f>
        <v/>
      </c>
    </row>
    <row r="173">
      <c r="A173" t="inlineStr">
        <is>
          <t>D pref taken</t>
        </is>
      </c>
      <c r="B173">
        <f>IF(B172="preference",Assumptions!$B$34,0)</f>
        <v/>
      </c>
    </row>
    <row r="174">
      <c r="A174" t="inlineStr">
        <is>
          <t>D pool loss</t>
        </is>
      </c>
      <c r="B174">
        <f>IF(B172="preference",(Assumptions!$B$34/IF(B147&lt;Assumptions!$B$25,Assumptions!$B$25*(Assumptions!$B$50+Assumptions!$B$5/Assumptions!$B$25)/(Assumptions!$B$50+Assumptions!$B$5/B147),Assumptions!$B$25)),0)</f>
        <v/>
      </c>
    </row>
    <row r="175">
      <c r="A175" s="20" t="inlineStr">
        <is>
          <t>C elect</t>
        </is>
      </c>
      <c r="B175">
        <f>IF(Assumptions!$B$33&gt;(Assumptions!$B$41)*(B165-(B167+B170+B173))/(B164-(B168+B171+B174)),"preference","convert")</f>
        <v/>
      </c>
    </row>
    <row r="176">
      <c r="A176" t="inlineStr">
        <is>
          <t>C pref taken</t>
        </is>
      </c>
      <c r="B176">
        <f>IF(B175="preference",Assumptions!$B$33,0)</f>
        <v/>
      </c>
    </row>
    <row r="177">
      <c r="A177" t="inlineStr">
        <is>
          <t>C pool loss</t>
        </is>
      </c>
      <c r="B177">
        <f>IF(B175="preference",Assumptions!$B$41,0)</f>
        <v/>
      </c>
    </row>
    <row r="178">
      <c r="A178" s="20" t="inlineStr">
        <is>
          <t>B elect</t>
        </is>
      </c>
      <c r="B178">
        <f>IF(Assumptions!$B$32&gt;(Assumptions!$B$40)*(B165-(B167+B170+B173+B176))/(B164-(B168+B171+B174+B177)),"preference","convert")</f>
        <v/>
      </c>
    </row>
    <row r="179">
      <c r="A179" t="inlineStr">
        <is>
          <t>B pref taken</t>
        </is>
      </c>
      <c r="B179">
        <f>IF(B178="preference",Assumptions!$B$32,0)</f>
        <v/>
      </c>
    </row>
    <row r="180">
      <c r="A180" t="inlineStr">
        <is>
          <t>B pool loss</t>
        </is>
      </c>
      <c r="B180">
        <f>IF(B178="preference",Assumptions!$B$40,0)</f>
        <v/>
      </c>
    </row>
    <row r="181">
      <c r="A181" s="20" t="inlineStr">
        <is>
          <t>A elect</t>
        </is>
      </c>
      <c r="B181">
        <f>IF(Assumptions!$B$31&gt;(Assumptions!$B$39)*(B165-(B167+B170+B173+B176+B179))/(B164-(B168+B171+B174+B177+B180)),"preference","convert")</f>
        <v/>
      </c>
    </row>
    <row r="182">
      <c r="A182" t="inlineStr">
        <is>
          <t>A pref taken</t>
        </is>
      </c>
      <c r="B182">
        <f>IF(B181="preference",Assumptions!$B$31,0)</f>
        <v/>
      </c>
    </row>
    <row r="183">
      <c r="A183" t="inlineStr">
        <is>
          <t>A pool loss</t>
        </is>
      </c>
      <c r="B183">
        <f>IF(B181="preference",Assumptions!$B$39,0)</f>
        <v/>
      </c>
    </row>
    <row r="184">
      <c r="A184" s="20" t="inlineStr">
        <is>
          <t>Seed elect</t>
        </is>
      </c>
      <c r="B184">
        <f>IF(Assumptions!$B$30&gt;(Assumptions!$B$38)*(B165-(B167+B170+B173+B176+B179+B182))/(B164-(B168+B171+B174+B177+B180+B183)),"preference","convert")</f>
        <v/>
      </c>
    </row>
    <row r="185">
      <c r="A185" t="inlineStr">
        <is>
          <t>Seed pref taken</t>
        </is>
      </c>
      <c r="B185">
        <f>IF(B184="preference",Assumptions!$B$30,0)</f>
        <v/>
      </c>
    </row>
    <row r="186">
      <c r="A186" t="inlineStr">
        <is>
          <t>Seed pool loss</t>
        </is>
      </c>
      <c r="B186">
        <f>IF(B184="preference",Assumptions!$B$38,0)</f>
        <v/>
      </c>
    </row>
    <row r="187">
      <c r="A187" s="2" t="inlineStr">
        <is>
          <t>Final PPS at $2B</t>
        </is>
      </c>
      <c r="B187">
        <f>(B165-(B167+B170+B173+B176+B179+B182+B185))/(B164-(B168+B171+B174+B177+B180+B183+B186))</f>
        <v/>
      </c>
    </row>
    <row r="188">
      <c r="A188" s="2" t="inlineStr">
        <is>
          <t>Fund proceeds at $2B</t>
        </is>
      </c>
      <c r="B188" s="18">
        <f>IF(B166="preference",Assumptions!$B$9,B159*B187)</f>
        <v/>
      </c>
    </row>
    <row r="212">
      <c r="A212" s="2" t="inlineStr">
        <is>
          <t>Scenario [esop=11%, pre=$1.8B]</t>
        </is>
      </c>
    </row>
    <row r="213">
      <c r="A213" t="inlineStr">
        <is>
          <t>ESOP target</t>
        </is>
      </c>
      <c r="B213">
        <f>Assumptions!$B$67</f>
        <v/>
      </c>
    </row>
    <row r="214">
      <c r="A214" t="inlineStr">
        <is>
          <t>Pre-money</t>
        </is>
      </c>
      <c r="B214">
        <f>Assumptions!$B$72</f>
        <v/>
      </c>
    </row>
    <row r="216">
      <c r="A216" s="14" t="inlineStr">
        <is>
          <t>k</t>
        </is>
      </c>
      <c r="B216" s="14" t="inlineStr">
        <is>
          <t>F_PPS_k</t>
        </is>
      </c>
      <c r="C216" s="14" t="inlineStr">
        <is>
          <t>nA_k</t>
        </is>
      </c>
      <c r="D216" s="14" t="inlineStr">
        <is>
          <t>nB_k</t>
        </is>
      </c>
      <c r="E216" s="14" t="inlineStr">
        <is>
          <t>AD_x</t>
        </is>
      </c>
      <c r="F216" s="14" t="inlineStr">
        <is>
          <t>F_pri</t>
        </is>
      </c>
      <c r="G216" s="14" t="inlineStr">
        <is>
          <t>topup_p</t>
        </is>
      </c>
      <c r="H216" s="14" t="inlineStr">
        <is>
          <t>topup</t>
        </is>
      </c>
      <c r="I216" s="14" t="inlineStr">
        <is>
          <t>pmFD</t>
        </is>
      </c>
      <c r="J216" s="14" t="inlineStr">
        <is>
          <t>T_F</t>
        </is>
      </c>
      <c r="K216" s="14" t="inlineStr">
        <is>
          <t>pmFD_A</t>
        </is>
      </c>
      <c r="L216" s="14" t="inlineStr">
        <is>
          <t>pmFD_B</t>
        </is>
      </c>
      <c r="M216" s="14" t="inlineStr">
        <is>
          <t>cap_A</t>
        </is>
      </c>
      <c r="N216" s="14" t="inlineStr">
        <is>
          <t>disc_A</t>
        </is>
      </c>
      <c r="O216" s="14" t="inlineStr">
        <is>
          <t>conv_A</t>
        </is>
      </c>
      <c r="P216" s="14" t="inlineStr">
        <is>
          <t>cap_B</t>
        </is>
      </c>
      <c r="Q216" s="14" t="inlineStr">
        <is>
          <t>disc_B</t>
        </is>
      </c>
      <c r="R216" s="14" t="inlineStr">
        <is>
          <t>conv_B</t>
        </is>
      </c>
      <c r="S216" s="14" t="inlineStr">
        <is>
          <t>F_PPS_n</t>
        </is>
      </c>
      <c r="T216" s="14" t="inlineStr">
        <is>
          <t>nA_n</t>
        </is>
      </c>
      <c r="U216" s="14" t="inlineStr">
        <is>
          <t>nB_n</t>
        </is>
      </c>
    </row>
    <row r="217">
      <c r="A217" t="n">
        <v>0</v>
      </c>
      <c r="B217">
        <f>$B$214/Assumptions!$B$50</f>
        <v/>
      </c>
      <c r="C217" t="n">
        <v>0</v>
      </c>
      <c r="D217" t="n">
        <v>0</v>
      </c>
      <c r="E217">
        <f>MAX(0,Assumptions!$B$34/IF(B217&lt;Assumptions!$B$25,Assumptions!$B$25*(Assumptions!$B$50+Assumptions!$B$5/Assumptions!$B$25)/(Assumptions!$B$50+Assumptions!$B$5/B217),Assumptions!$B$25)-Assumptions!$B$42)+MAX(0,Assumptions!$B$35/IF(B217&lt;Assumptions!$B$26,Assumptions!$B$26*(Assumptions!$B$50+Assumptions!$B$5/Assumptions!$B$26)/(Assumptions!$B$50+Assumptions!$B$5/B217),Assumptions!$B$26)-Assumptions!$B$43)</f>
        <v/>
      </c>
      <c r="F217">
        <f>Assumptions!$B$5/B217</f>
        <v/>
      </c>
      <c r="G217">
        <f>$B$213*(((Assumptions!$B$50-Assumptions!$B$51+E217+C217+D217)+F217)/(1-$B$213))-Assumptions!$B$51</f>
        <v/>
      </c>
      <c r="H217">
        <f>MAX(0,G217)</f>
        <v/>
      </c>
      <c r="I217">
        <f>Assumptions!$B$50+E217+H217+C217+D217</f>
        <v/>
      </c>
      <c r="J217">
        <f>I217+F217</f>
        <v/>
      </c>
      <c r="K217">
        <f>Assumptions!$B$50+E217+H217+D217</f>
        <v/>
      </c>
      <c r="L217">
        <f>Assumptions!$B$50+E217+H217+C217</f>
        <v/>
      </c>
      <c r="M217">
        <f>Assumptions!$B$60/K217</f>
        <v/>
      </c>
      <c r="N217">
        <f>B217*(1-Assumptions!$B$61)</f>
        <v/>
      </c>
      <c r="O217">
        <f>MIN(M217,N217)</f>
        <v/>
      </c>
      <c r="P217">
        <f>Assumptions!$B$63/L217</f>
        <v/>
      </c>
      <c r="Q217">
        <f>B217*(1-Assumptions!$B$64)</f>
        <v/>
      </c>
      <c r="R217">
        <f>MIN(P217,Q217)</f>
        <v/>
      </c>
      <c r="S217">
        <f>$B$214/I217</f>
        <v/>
      </c>
      <c r="T217">
        <f>Assumptions!$B$59/O217</f>
        <v/>
      </c>
      <c r="U217">
        <f>Assumptions!$B$62/R217</f>
        <v/>
      </c>
    </row>
    <row r="218">
      <c r="A218" t="n">
        <v>1</v>
      </c>
      <c r="B218">
        <f>S217</f>
        <v/>
      </c>
      <c r="C218">
        <f>T217</f>
        <v/>
      </c>
      <c r="D218">
        <f>U217</f>
        <v/>
      </c>
      <c r="E218">
        <f>MAX(0,Assumptions!$B$34/IF(B218&lt;Assumptions!$B$25,Assumptions!$B$25*(Assumptions!$B$50+Assumptions!$B$5/Assumptions!$B$25)/(Assumptions!$B$50+Assumptions!$B$5/B218),Assumptions!$B$25)-Assumptions!$B$42)+MAX(0,Assumptions!$B$35/IF(B218&lt;Assumptions!$B$26,Assumptions!$B$26*(Assumptions!$B$50+Assumptions!$B$5/Assumptions!$B$26)/(Assumptions!$B$50+Assumptions!$B$5/B218),Assumptions!$B$26)-Assumptions!$B$43)</f>
        <v/>
      </c>
      <c r="F218">
        <f>Assumptions!$B$5/B218</f>
        <v/>
      </c>
      <c r="G218">
        <f>$B$213*(((Assumptions!$B$50-Assumptions!$B$51+E218+C218+D218)+F218)/(1-$B$213))-Assumptions!$B$51</f>
        <v/>
      </c>
      <c r="H218">
        <f>MAX(0,G218)</f>
        <v/>
      </c>
      <c r="I218">
        <f>Assumptions!$B$50+E218+H218+C218+D218</f>
        <v/>
      </c>
      <c r="J218">
        <f>I218+F218</f>
        <v/>
      </c>
      <c r="K218">
        <f>Assumptions!$B$50+E218+H218+D218</f>
        <v/>
      </c>
      <c r="L218">
        <f>Assumptions!$B$50+E218+H218+C218</f>
        <v/>
      </c>
      <c r="M218">
        <f>Assumptions!$B$60/K218</f>
        <v/>
      </c>
      <c r="N218">
        <f>B218*(1-Assumptions!$B$61)</f>
        <v/>
      </c>
      <c r="O218">
        <f>MIN(M218,N218)</f>
        <v/>
      </c>
      <c r="P218">
        <f>Assumptions!$B$63/L218</f>
        <v/>
      </c>
      <c r="Q218">
        <f>B218*(1-Assumptions!$B$64)</f>
        <v/>
      </c>
      <c r="R218">
        <f>MIN(P218,Q218)</f>
        <v/>
      </c>
      <c r="S218">
        <f>$B$214/I218</f>
        <v/>
      </c>
      <c r="T218">
        <f>Assumptions!$B$59/O218</f>
        <v/>
      </c>
      <c r="U218">
        <f>Assumptions!$B$62/R218</f>
        <v/>
      </c>
    </row>
    <row r="219">
      <c r="A219" t="n">
        <v>2</v>
      </c>
      <c r="B219">
        <f>S218</f>
        <v/>
      </c>
      <c r="C219">
        <f>T218</f>
        <v/>
      </c>
      <c r="D219">
        <f>U218</f>
        <v/>
      </c>
      <c r="E219">
        <f>MAX(0,Assumptions!$B$34/IF(B219&lt;Assumptions!$B$25,Assumptions!$B$25*(Assumptions!$B$50+Assumptions!$B$5/Assumptions!$B$25)/(Assumptions!$B$50+Assumptions!$B$5/B219),Assumptions!$B$25)-Assumptions!$B$42)+MAX(0,Assumptions!$B$35/IF(B219&lt;Assumptions!$B$26,Assumptions!$B$26*(Assumptions!$B$50+Assumptions!$B$5/Assumptions!$B$26)/(Assumptions!$B$50+Assumptions!$B$5/B219),Assumptions!$B$26)-Assumptions!$B$43)</f>
        <v/>
      </c>
      <c r="F219">
        <f>Assumptions!$B$5/B219</f>
        <v/>
      </c>
      <c r="G219">
        <f>$B$213*(((Assumptions!$B$50-Assumptions!$B$51+E219+C219+D219)+F219)/(1-$B$213))-Assumptions!$B$51</f>
        <v/>
      </c>
      <c r="H219">
        <f>MAX(0,G219)</f>
        <v/>
      </c>
      <c r="I219">
        <f>Assumptions!$B$50+E219+H219+C219+D219</f>
        <v/>
      </c>
      <c r="J219">
        <f>I219+F219</f>
        <v/>
      </c>
      <c r="K219">
        <f>Assumptions!$B$50+E219+H219+D219</f>
        <v/>
      </c>
      <c r="L219">
        <f>Assumptions!$B$50+E219+H219+C219</f>
        <v/>
      </c>
      <c r="M219">
        <f>Assumptions!$B$60/K219</f>
        <v/>
      </c>
      <c r="N219">
        <f>B219*(1-Assumptions!$B$61)</f>
        <v/>
      </c>
      <c r="O219">
        <f>MIN(M219,N219)</f>
        <v/>
      </c>
      <c r="P219">
        <f>Assumptions!$B$63/L219</f>
        <v/>
      </c>
      <c r="Q219">
        <f>B219*(1-Assumptions!$B$64)</f>
        <v/>
      </c>
      <c r="R219">
        <f>MIN(P219,Q219)</f>
        <v/>
      </c>
      <c r="S219">
        <f>$B$214/I219</f>
        <v/>
      </c>
      <c r="T219">
        <f>Assumptions!$B$59/O219</f>
        <v/>
      </c>
      <c r="U219">
        <f>Assumptions!$B$62/R219</f>
        <v/>
      </c>
    </row>
    <row r="220">
      <c r="A220" t="n">
        <v>3</v>
      </c>
      <c r="B220">
        <f>S219</f>
        <v/>
      </c>
      <c r="C220">
        <f>T219</f>
        <v/>
      </c>
      <c r="D220">
        <f>U219</f>
        <v/>
      </c>
      <c r="E220">
        <f>MAX(0,Assumptions!$B$34/IF(B220&lt;Assumptions!$B$25,Assumptions!$B$25*(Assumptions!$B$50+Assumptions!$B$5/Assumptions!$B$25)/(Assumptions!$B$50+Assumptions!$B$5/B220),Assumptions!$B$25)-Assumptions!$B$42)+MAX(0,Assumptions!$B$35/IF(B220&lt;Assumptions!$B$26,Assumptions!$B$26*(Assumptions!$B$50+Assumptions!$B$5/Assumptions!$B$26)/(Assumptions!$B$50+Assumptions!$B$5/B220),Assumptions!$B$26)-Assumptions!$B$43)</f>
        <v/>
      </c>
      <c r="F220">
        <f>Assumptions!$B$5/B220</f>
        <v/>
      </c>
      <c r="G220">
        <f>$B$213*(((Assumptions!$B$50-Assumptions!$B$51+E220+C220+D220)+F220)/(1-$B$213))-Assumptions!$B$51</f>
        <v/>
      </c>
      <c r="H220">
        <f>MAX(0,G220)</f>
        <v/>
      </c>
      <c r="I220">
        <f>Assumptions!$B$50+E220+H220+C220+D220</f>
        <v/>
      </c>
      <c r="J220">
        <f>I220+F220</f>
        <v/>
      </c>
      <c r="K220">
        <f>Assumptions!$B$50+E220+H220+D220</f>
        <v/>
      </c>
      <c r="L220">
        <f>Assumptions!$B$50+E220+H220+C220</f>
        <v/>
      </c>
      <c r="M220">
        <f>Assumptions!$B$60/K220</f>
        <v/>
      </c>
      <c r="N220">
        <f>B220*(1-Assumptions!$B$61)</f>
        <v/>
      </c>
      <c r="O220">
        <f>MIN(M220,N220)</f>
        <v/>
      </c>
      <c r="P220">
        <f>Assumptions!$B$63/L220</f>
        <v/>
      </c>
      <c r="Q220">
        <f>B220*(1-Assumptions!$B$64)</f>
        <v/>
      </c>
      <c r="R220">
        <f>MIN(P220,Q220)</f>
        <v/>
      </c>
      <c r="S220">
        <f>$B$214/I220</f>
        <v/>
      </c>
      <c r="T220">
        <f>Assumptions!$B$59/O220</f>
        <v/>
      </c>
      <c r="U220">
        <f>Assumptions!$B$62/R220</f>
        <v/>
      </c>
    </row>
    <row r="221">
      <c r="A221" t="n">
        <v>4</v>
      </c>
      <c r="B221">
        <f>S220</f>
        <v/>
      </c>
      <c r="C221">
        <f>T220</f>
        <v/>
      </c>
      <c r="D221">
        <f>U220</f>
        <v/>
      </c>
      <c r="E221">
        <f>MAX(0,Assumptions!$B$34/IF(B221&lt;Assumptions!$B$25,Assumptions!$B$25*(Assumptions!$B$50+Assumptions!$B$5/Assumptions!$B$25)/(Assumptions!$B$50+Assumptions!$B$5/B221),Assumptions!$B$25)-Assumptions!$B$42)+MAX(0,Assumptions!$B$35/IF(B221&lt;Assumptions!$B$26,Assumptions!$B$26*(Assumptions!$B$50+Assumptions!$B$5/Assumptions!$B$26)/(Assumptions!$B$50+Assumptions!$B$5/B221),Assumptions!$B$26)-Assumptions!$B$43)</f>
        <v/>
      </c>
      <c r="F221">
        <f>Assumptions!$B$5/B221</f>
        <v/>
      </c>
      <c r="G221">
        <f>$B$213*(((Assumptions!$B$50-Assumptions!$B$51+E221+C221+D221)+F221)/(1-$B$213))-Assumptions!$B$51</f>
        <v/>
      </c>
      <c r="H221">
        <f>MAX(0,G221)</f>
        <v/>
      </c>
      <c r="I221">
        <f>Assumptions!$B$50+E221+H221+C221+D221</f>
        <v/>
      </c>
      <c r="J221">
        <f>I221+F221</f>
        <v/>
      </c>
      <c r="K221">
        <f>Assumptions!$B$50+E221+H221+D221</f>
        <v/>
      </c>
      <c r="L221">
        <f>Assumptions!$B$50+E221+H221+C221</f>
        <v/>
      </c>
      <c r="M221">
        <f>Assumptions!$B$60/K221</f>
        <v/>
      </c>
      <c r="N221">
        <f>B221*(1-Assumptions!$B$61)</f>
        <v/>
      </c>
      <c r="O221">
        <f>MIN(M221,N221)</f>
        <v/>
      </c>
      <c r="P221">
        <f>Assumptions!$B$63/L221</f>
        <v/>
      </c>
      <c r="Q221">
        <f>B221*(1-Assumptions!$B$64)</f>
        <v/>
      </c>
      <c r="R221">
        <f>MIN(P221,Q221)</f>
        <v/>
      </c>
      <c r="S221">
        <f>$B$214/I221</f>
        <v/>
      </c>
      <c r="T221">
        <f>Assumptions!$B$59/O221</f>
        <v/>
      </c>
      <c r="U221">
        <f>Assumptions!$B$62/R221</f>
        <v/>
      </c>
    </row>
    <row r="222">
      <c r="A222" t="n">
        <v>5</v>
      </c>
      <c r="B222">
        <f>S221</f>
        <v/>
      </c>
      <c r="C222">
        <f>T221</f>
        <v/>
      </c>
      <c r="D222">
        <f>U221</f>
        <v/>
      </c>
      <c r="E222">
        <f>MAX(0,Assumptions!$B$34/IF(B222&lt;Assumptions!$B$25,Assumptions!$B$25*(Assumptions!$B$50+Assumptions!$B$5/Assumptions!$B$25)/(Assumptions!$B$50+Assumptions!$B$5/B222),Assumptions!$B$25)-Assumptions!$B$42)+MAX(0,Assumptions!$B$35/IF(B222&lt;Assumptions!$B$26,Assumptions!$B$26*(Assumptions!$B$50+Assumptions!$B$5/Assumptions!$B$26)/(Assumptions!$B$50+Assumptions!$B$5/B222),Assumptions!$B$26)-Assumptions!$B$43)</f>
        <v/>
      </c>
      <c r="F222">
        <f>Assumptions!$B$5/B222</f>
        <v/>
      </c>
      <c r="G222">
        <f>$B$213*(((Assumptions!$B$50-Assumptions!$B$51+E222+C222+D222)+F222)/(1-$B$213))-Assumptions!$B$51</f>
        <v/>
      </c>
      <c r="H222">
        <f>MAX(0,G222)</f>
        <v/>
      </c>
      <c r="I222">
        <f>Assumptions!$B$50+E222+H222+C222+D222</f>
        <v/>
      </c>
      <c r="J222">
        <f>I222+F222</f>
        <v/>
      </c>
      <c r="K222">
        <f>Assumptions!$B$50+E222+H222+D222</f>
        <v/>
      </c>
      <c r="L222">
        <f>Assumptions!$B$50+E222+H222+C222</f>
        <v/>
      </c>
      <c r="M222">
        <f>Assumptions!$B$60/K222</f>
        <v/>
      </c>
      <c r="N222">
        <f>B222*(1-Assumptions!$B$61)</f>
        <v/>
      </c>
      <c r="O222">
        <f>MIN(M222,N222)</f>
        <v/>
      </c>
      <c r="P222">
        <f>Assumptions!$B$63/L222</f>
        <v/>
      </c>
      <c r="Q222">
        <f>B222*(1-Assumptions!$B$64)</f>
        <v/>
      </c>
      <c r="R222">
        <f>MIN(P222,Q222)</f>
        <v/>
      </c>
      <c r="S222">
        <f>$B$214/I222</f>
        <v/>
      </c>
      <c r="T222">
        <f>Assumptions!$B$59/O222</f>
        <v/>
      </c>
      <c r="U222">
        <f>Assumptions!$B$62/R222</f>
        <v/>
      </c>
    </row>
    <row r="223">
      <c r="A223" t="n">
        <v>6</v>
      </c>
      <c r="B223">
        <f>S222</f>
        <v/>
      </c>
      <c r="C223">
        <f>T222</f>
        <v/>
      </c>
      <c r="D223">
        <f>U222</f>
        <v/>
      </c>
      <c r="E223">
        <f>MAX(0,Assumptions!$B$34/IF(B223&lt;Assumptions!$B$25,Assumptions!$B$25*(Assumptions!$B$50+Assumptions!$B$5/Assumptions!$B$25)/(Assumptions!$B$50+Assumptions!$B$5/B223),Assumptions!$B$25)-Assumptions!$B$42)+MAX(0,Assumptions!$B$35/IF(B223&lt;Assumptions!$B$26,Assumptions!$B$26*(Assumptions!$B$50+Assumptions!$B$5/Assumptions!$B$26)/(Assumptions!$B$50+Assumptions!$B$5/B223),Assumptions!$B$26)-Assumptions!$B$43)</f>
        <v/>
      </c>
      <c r="F223">
        <f>Assumptions!$B$5/B223</f>
        <v/>
      </c>
      <c r="G223">
        <f>$B$213*(((Assumptions!$B$50-Assumptions!$B$51+E223+C223+D223)+F223)/(1-$B$213))-Assumptions!$B$51</f>
        <v/>
      </c>
      <c r="H223">
        <f>MAX(0,G223)</f>
        <v/>
      </c>
      <c r="I223">
        <f>Assumptions!$B$50+E223+H223+C223+D223</f>
        <v/>
      </c>
      <c r="J223">
        <f>I223+F223</f>
        <v/>
      </c>
      <c r="K223">
        <f>Assumptions!$B$50+E223+H223+D223</f>
        <v/>
      </c>
      <c r="L223">
        <f>Assumptions!$B$50+E223+H223+C223</f>
        <v/>
      </c>
      <c r="M223">
        <f>Assumptions!$B$60/K223</f>
        <v/>
      </c>
      <c r="N223">
        <f>B223*(1-Assumptions!$B$61)</f>
        <v/>
      </c>
      <c r="O223">
        <f>MIN(M223,N223)</f>
        <v/>
      </c>
      <c r="P223">
        <f>Assumptions!$B$63/L223</f>
        <v/>
      </c>
      <c r="Q223">
        <f>B223*(1-Assumptions!$B$64)</f>
        <v/>
      </c>
      <c r="R223">
        <f>MIN(P223,Q223)</f>
        <v/>
      </c>
      <c r="S223">
        <f>$B$214/I223</f>
        <v/>
      </c>
      <c r="T223">
        <f>Assumptions!$B$59/O223</f>
        <v/>
      </c>
      <c r="U223">
        <f>Assumptions!$B$62/R223</f>
        <v/>
      </c>
    </row>
    <row r="224">
      <c r="A224" t="n">
        <v>7</v>
      </c>
      <c r="B224">
        <f>S223</f>
        <v/>
      </c>
      <c r="C224">
        <f>T223</f>
        <v/>
      </c>
      <c r="D224">
        <f>U223</f>
        <v/>
      </c>
      <c r="E224">
        <f>MAX(0,Assumptions!$B$34/IF(B224&lt;Assumptions!$B$25,Assumptions!$B$25*(Assumptions!$B$50+Assumptions!$B$5/Assumptions!$B$25)/(Assumptions!$B$50+Assumptions!$B$5/B224),Assumptions!$B$25)-Assumptions!$B$42)+MAX(0,Assumptions!$B$35/IF(B224&lt;Assumptions!$B$26,Assumptions!$B$26*(Assumptions!$B$50+Assumptions!$B$5/Assumptions!$B$26)/(Assumptions!$B$50+Assumptions!$B$5/B224),Assumptions!$B$26)-Assumptions!$B$43)</f>
        <v/>
      </c>
      <c r="F224">
        <f>Assumptions!$B$5/B224</f>
        <v/>
      </c>
      <c r="G224">
        <f>$B$213*(((Assumptions!$B$50-Assumptions!$B$51+E224+C224+D224)+F224)/(1-$B$213))-Assumptions!$B$51</f>
        <v/>
      </c>
      <c r="H224">
        <f>MAX(0,G224)</f>
        <v/>
      </c>
      <c r="I224">
        <f>Assumptions!$B$50+E224+H224+C224+D224</f>
        <v/>
      </c>
      <c r="J224">
        <f>I224+F224</f>
        <v/>
      </c>
      <c r="K224">
        <f>Assumptions!$B$50+E224+H224+D224</f>
        <v/>
      </c>
      <c r="L224">
        <f>Assumptions!$B$50+E224+H224+C224</f>
        <v/>
      </c>
      <c r="M224">
        <f>Assumptions!$B$60/K224</f>
        <v/>
      </c>
      <c r="N224">
        <f>B224*(1-Assumptions!$B$61)</f>
        <v/>
      </c>
      <c r="O224">
        <f>MIN(M224,N224)</f>
        <v/>
      </c>
      <c r="P224">
        <f>Assumptions!$B$63/L224</f>
        <v/>
      </c>
      <c r="Q224">
        <f>B224*(1-Assumptions!$B$64)</f>
        <v/>
      </c>
      <c r="R224">
        <f>MIN(P224,Q224)</f>
        <v/>
      </c>
      <c r="S224">
        <f>$B$214/I224</f>
        <v/>
      </c>
      <c r="T224">
        <f>Assumptions!$B$59/O224</f>
        <v/>
      </c>
      <c r="U224">
        <f>Assumptions!$B$62/R224</f>
        <v/>
      </c>
    </row>
    <row r="225">
      <c r="A225" t="n">
        <v>8</v>
      </c>
      <c r="B225">
        <f>S224</f>
        <v/>
      </c>
      <c r="C225">
        <f>T224</f>
        <v/>
      </c>
      <c r="D225">
        <f>U224</f>
        <v/>
      </c>
      <c r="E225">
        <f>MAX(0,Assumptions!$B$34/IF(B225&lt;Assumptions!$B$25,Assumptions!$B$25*(Assumptions!$B$50+Assumptions!$B$5/Assumptions!$B$25)/(Assumptions!$B$50+Assumptions!$B$5/B225),Assumptions!$B$25)-Assumptions!$B$42)+MAX(0,Assumptions!$B$35/IF(B225&lt;Assumptions!$B$26,Assumptions!$B$26*(Assumptions!$B$50+Assumptions!$B$5/Assumptions!$B$26)/(Assumptions!$B$50+Assumptions!$B$5/B225),Assumptions!$B$26)-Assumptions!$B$43)</f>
        <v/>
      </c>
      <c r="F225">
        <f>Assumptions!$B$5/B225</f>
        <v/>
      </c>
      <c r="G225">
        <f>$B$213*(((Assumptions!$B$50-Assumptions!$B$51+E225+C225+D225)+F225)/(1-$B$213))-Assumptions!$B$51</f>
        <v/>
      </c>
      <c r="H225">
        <f>MAX(0,G225)</f>
        <v/>
      </c>
      <c r="I225">
        <f>Assumptions!$B$50+E225+H225+C225+D225</f>
        <v/>
      </c>
      <c r="J225">
        <f>I225+F225</f>
        <v/>
      </c>
      <c r="K225">
        <f>Assumptions!$B$50+E225+H225+D225</f>
        <v/>
      </c>
      <c r="L225">
        <f>Assumptions!$B$50+E225+H225+C225</f>
        <v/>
      </c>
      <c r="M225">
        <f>Assumptions!$B$60/K225</f>
        <v/>
      </c>
      <c r="N225">
        <f>B225*(1-Assumptions!$B$61)</f>
        <v/>
      </c>
      <c r="O225">
        <f>MIN(M225,N225)</f>
        <v/>
      </c>
      <c r="P225">
        <f>Assumptions!$B$63/L225</f>
        <v/>
      </c>
      <c r="Q225">
        <f>B225*(1-Assumptions!$B$64)</f>
        <v/>
      </c>
      <c r="R225">
        <f>MIN(P225,Q225)</f>
        <v/>
      </c>
      <c r="S225">
        <f>$B$214/I225</f>
        <v/>
      </c>
      <c r="T225">
        <f>Assumptions!$B$59/O225</f>
        <v/>
      </c>
      <c r="U225">
        <f>Assumptions!$B$62/R225</f>
        <v/>
      </c>
    </row>
    <row r="226">
      <c r="A226" t="n">
        <v>9</v>
      </c>
      <c r="B226">
        <f>S225</f>
        <v/>
      </c>
      <c r="C226">
        <f>T225</f>
        <v/>
      </c>
      <c r="D226">
        <f>U225</f>
        <v/>
      </c>
      <c r="E226">
        <f>MAX(0,Assumptions!$B$34/IF(B226&lt;Assumptions!$B$25,Assumptions!$B$25*(Assumptions!$B$50+Assumptions!$B$5/Assumptions!$B$25)/(Assumptions!$B$50+Assumptions!$B$5/B226),Assumptions!$B$25)-Assumptions!$B$42)+MAX(0,Assumptions!$B$35/IF(B226&lt;Assumptions!$B$26,Assumptions!$B$26*(Assumptions!$B$50+Assumptions!$B$5/Assumptions!$B$26)/(Assumptions!$B$50+Assumptions!$B$5/B226),Assumptions!$B$26)-Assumptions!$B$43)</f>
        <v/>
      </c>
      <c r="F226">
        <f>Assumptions!$B$5/B226</f>
        <v/>
      </c>
      <c r="G226">
        <f>$B$213*(((Assumptions!$B$50-Assumptions!$B$51+E226+C226+D226)+F226)/(1-$B$213))-Assumptions!$B$51</f>
        <v/>
      </c>
      <c r="H226">
        <f>MAX(0,G226)</f>
        <v/>
      </c>
      <c r="I226">
        <f>Assumptions!$B$50+E226+H226+C226+D226</f>
        <v/>
      </c>
      <c r="J226">
        <f>I226+F226</f>
        <v/>
      </c>
      <c r="K226">
        <f>Assumptions!$B$50+E226+H226+D226</f>
        <v/>
      </c>
      <c r="L226">
        <f>Assumptions!$B$50+E226+H226+C226</f>
        <v/>
      </c>
      <c r="M226">
        <f>Assumptions!$B$60/K226</f>
        <v/>
      </c>
      <c r="N226">
        <f>B226*(1-Assumptions!$B$61)</f>
        <v/>
      </c>
      <c r="O226">
        <f>MIN(M226,N226)</f>
        <v/>
      </c>
      <c r="P226">
        <f>Assumptions!$B$63/L226</f>
        <v/>
      </c>
      <c r="Q226">
        <f>B226*(1-Assumptions!$B$64)</f>
        <v/>
      </c>
      <c r="R226">
        <f>MIN(P226,Q226)</f>
        <v/>
      </c>
      <c r="S226">
        <f>$B$214/I226</f>
        <v/>
      </c>
      <c r="T226">
        <f>Assumptions!$B$59/O226</f>
        <v/>
      </c>
      <c r="U226">
        <f>Assumptions!$B$62/R226</f>
        <v/>
      </c>
    </row>
    <row r="227">
      <c r="A227" t="n">
        <v>10</v>
      </c>
      <c r="B227">
        <f>S226</f>
        <v/>
      </c>
      <c r="C227">
        <f>T226</f>
        <v/>
      </c>
      <c r="D227">
        <f>U226</f>
        <v/>
      </c>
      <c r="E227">
        <f>MAX(0,Assumptions!$B$34/IF(B227&lt;Assumptions!$B$25,Assumptions!$B$25*(Assumptions!$B$50+Assumptions!$B$5/Assumptions!$B$25)/(Assumptions!$B$50+Assumptions!$B$5/B227),Assumptions!$B$25)-Assumptions!$B$42)+MAX(0,Assumptions!$B$35/IF(B227&lt;Assumptions!$B$26,Assumptions!$B$26*(Assumptions!$B$50+Assumptions!$B$5/Assumptions!$B$26)/(Assumptions!$B$50+Assumptions!$B$5/B227),Assumptions!$B$26)-Assumptions!$B$43)</f>
        <v/>
      </c>
      <c r="F227">
        <f>Assumptions!$B$5/B227</f>
        <v/>
      </c>
      <c r="G227">
        <f>$B$213*(((Assumptions!$B$50-Assumptions!$B$51+E227+C227+D227)+F227)/(1-$B$213))-Assumptions!$B$51</f>
        <v/>
      </c>
      <c r="H227">
        <f>MAX(0,G227)</f>
        <v/>
      </c>
      <c r="I227">
        <f>Assumptions!$B$50+E227+H227+C227+D227</f>
        <v/>
      </c>
      <c r="J227">
        <f>I227+F227</f>
        <v/>
      </c>
      <c r="K227">
        <f>Assumptions!$B$50+E227+H227+D227</f>
        <v/>
      </c>
      <c r="L227">
        <f>Assumptions!$B$50+E227+H227+C227</f>
        <v/>
      </c>
      <c r="M227">
        <f>Assumptions!$B$60/K227</f>
        <v/>
      </c>
      <c r="N227">
        <f>B227*(1-Assumptions!$B$61)</f>
        <v/>
      </c>
      <c r="O227">
        <f>MIN(M227,N227)</f>
        <v/>
      </c>
      <c r="P227">
        <f>Assumptions!$B$63/L227</f>
        <v/>
      </c>
      <c r="Q227">
        <f>B227*(1-Assumptions!$B$64)</f>
        <v/>
      </c>
      <c r="R227">
        <f>MIN(P227,Q227)</f>
        <v/>
      </c>
      <c r="S227">
        <f>$B$214/I227</f>
        <v/>
      </c>
      <c r="T227">
        <f>Assumptions!$B$59/O227</f>
        <v/>
      </c>
      <c r="U227">
        <f>Assumptions!$B$62/R227</f>
        <v/>
      </c>
    </row>
    <row r="228">
      <c r="A228" t="n">
        <v>11</v>
      </c>
      <c r="B228">
        <f>S227</f>
        <v/>
      </c>
      <c r="C228">
        <f>T227</f>
        <v/>
      </c>
      <c r="D228">
        <f>U227</f>
        <v/>
      </c>
      <c r="E228">
        <f>MAX(0,Assumptions!$B$34/IF(B228&lt;Assumptions!$B$25,Assumptions!$B$25*(Assumptions!$B$50+Assumptions!$B$5/Assumptions!$B$25)/(Assumptions!$B$50+Assumptions!$B$5/B228),Assumptions!$B$25)-Assumptions!$B$42)+MAX(0,Assumptions!$B$35/IF(B228&lt;Assumptions!$B$26,Assumptions!$B$26*(Assumptions!$B$50+Assumptions!$B$5/Assumptions!$B$26)/(Assumptions!$B$50+Assumptions!$B$5/B228),Assumptions!$B$26)-Assumptions!$B$43)</f>
        <v/>
      </c>
      <c r="F228">
        <f>Assumptions!$B$5/B228</f>
        <v/>
      </c>
      <c r="G228">
        <f>$B$213*(((Assumptions!$B$50-Assumptions!$B$51+E228+C228+D228)+F228)/(1-$B$213))-Assumptions!$B$51</f>
        <v/>
      </c>
      <c r="H228">
        <f>MAX(0,G228)</f>
        <v/>
      </c>
      <c r="I228">
        <f>Assumptions!$B$50+E228+H228+C228+D228</f>
        <v/>
      </c>
      <c r="J228">
        <f>I228+F228</f>
        <v/>
      </c>
      <c r="K228">
        <f>Assumptions!$B$50+E228+H228+D228</f>
        <v/>
      </c>
      <c r="L228">
        <f>Assumptions!$B$50+E228+H228+C228</f>
        <v/>
      </c>
      <c r="M228">
        <f>Assumptions!$B$60/K228</f>
        <v/>
      </c>
      <c r="N228">
        <f>B228*(1-Assumptions!$B$61)</f>
        <v/>
      </c>
      <c r="O228">
        <f>MIN(M228,N228)</f>
        <v/>
      </c>
      <c r="P228">
        <f>Assumptions!$B$63/L228</f>
        <v/>
      </c>
      <c r="Q228">
        <f>B228*(1-Assumptions!$B$64)</f>
        <v/>
      </c>
      <c r="R228">
        <f>MIN(P228,Q228)</f>
        <v/>
      </c>
      <c r="S228">
        <f>$B$214/I228</f>
        <v/>
      </c>
      <c r="T228">
        <f>Assumptions!$B$59/O228</f>
        <v/>
      </c>
      <c r="U228">
        <f>Assumptions!$B$62/R228</f>
        <v/>
      </c>
    </row>
    <row r="229">
      <c r="A229" t="n">
        <v>12</v>
      </c>
      <c r="B229">
        <f>S228</f>
        <v/>
      </c>
      <c r="C229">
        <f>T228</f>
        <v/>
      </c>
      <c r="D229">
        <f>U228</f>
        <v/>
      </c>
      <c r="E229">
        <f>MAX(0,Assumptions!$B$34/IF(B229&lt;Assumptions!$B$25,Assumptions!$B$25*(Assumptions!$B$50+Assumptions!$B$5/Assumptions!$B$25)/(Assumptions!$B$50+Assumptions!$B$5/B229),Assumptions!$B$25)-Assumptions!$B$42)+MAX(0,Assumptions!$B$35/IF(B229&lt;Assumptions!$B$26,Assumptions!$B$26*(Assumptions!$B$50+Assumptions!$B$5/Assumptions!$B$26)/(Assumptions!$B$50+Assumptions!$B$5/B229),Assumptions!$B$26)-Assumptions!$B$43)</f>
        <v/>
      </c>
      <c r="F229">
        <f>Assumptions!$B$5/B229</f>
        <v/>
      </c>
      <c r="G229">
        <f>$B$213*(((Assumptions!$B$50-Assumptions!$B$51+E229+C229+D229)+F229)/(1-$B$213))-Assumptions!$B$51</f>
        <v/>
      </c>
      <c r="H229">
        <f>MAX(0,G229)</f>
        <v/>
      </c>
      <c r="I229">
        <f>Assumptions!$B$50+E229+H229+C229+D229</f>
        <v/>
      </c>
      <c r="J229">
        <f>I229+F229</f>
        <v/>
      </c>
      <c r="K229">
        <f>Assumptions!$B$50+E229+H229+D229</f>
        <v/>
      </c>
      <c r="L229">
        <f>Assumptions!$B$50+E229+H229+C229</f>
        <v/>
      </c>
      <c r="M229">
        <f>Assumptions!$B$60/K229</f>
        <v/>
      </c>
      <c r="N229">
        <f>B229*(1-Assumptions!$B$61)</f>
        <v/>
      </c>
      <c r="O229">
        <f>MIN(M229,N229)</f>
        <v/>
      </c>
      <c r="P229">
        <f>Assumptions!$B$63/L229</f>
        <v/>
      </c>
      <c r="Q229">
        <f>B229*(1-Assumptions!$B$64)</f>
        <v/>
      </c>
      <c r="R229">
        <f>MIN(P229,Q229)</f>
        <v/>
      </c>
      <c r="S229">
        <f>$B$214/I229</f>
        <v/>
      </c>
      <c r="T229">
        <f>Assumptions!$B$59/O229</f>
        <v/>
      </c>
      <c r="U229">
        <f>Assumptions!$B$62/R229</f>
        <v/>
      </c>
    </row>
    <row r="230">
      <c r="A230" t="n">
        <v>13</v>
      </c>
      <c r="B230">
        <f>S229</f>
        <v/>
      </c>
      <c r="C230">
        <f>T229</f>
        <v/>
      </c>
      <c r="D230">
        <f>U229</f>
        <v/>
      </c>
      <c r="E230">
        <f>MAX(0,Assumptions!$B$34/IF(B230&lt;Assumptions!$B$25,Assumptions!$B$25*(Assumptions!$B$50+Assumptions!$B$5/Assumptions!$B$25)/(Assumptions!$B$50+Assumptions!$B$5/B230),Assumptions!$B$25)-Assumptions!$B$42)+MAX(0,Assumptions!$B$35/IF(B230&lt;Assumptions!$B$26,Assumptions!$B$26*(Assumptions!$B$50+Assumptions!$B$5/Assumptions!$B$26)/(Assumptions!$B$50+Assumptions!$B$5/B230),Assumptions!$B$26)-Assumptions!$B$43)</f>
        <v/>
      </c>
      <c r="F230">
        <f>Assumptions!$B$5/B230</f>
        <v/>
      </c>
      <c r="G230">
        <f>$B$213*(((Assumptions!$B$50-Assumptions!$B$51+E230+C230+D230)+F230)/(1-$B$213))-Assumptions!$B$51</f>
        <v/>
      </c>
      <c r="H230">
        <f>MAX(0,G230)</f>
        <v/>
      </c>
      <c r="I230">
        <f>Assumptions!$B$50+E230+H230+C230+D230</f>
        <v/>
      </c>
      <c r="J230">
        <f>I230+F230</f>
        <v/>
      </c>
      <c r="K230">
        <f>Assumptions!$B$50+E230+H230+D230</f>
        <v/>
      </c>
      <c r="L230">
        <f>Assumptions!$B$50+E230+H230+C230</f>
        <v/>
      </c>
      <c r="M230">
        <f>Assumptions!$B$60/K230</f>
        <v/>
      </c>
      <c r="N230">
        <f>B230*(1-Assumptions!$B$61)</f>
        <v/>
      </c>
      <c r="O230">
        <f>MIN(M230,N230)</f>
        <v/>
      </c>
      <c r="P230">
        <f>Assumptions!$B$63/L230</f>
        <v/>
      </c>
      <c r="Q230">
        <f>B230*(1-Assumptions!$B$64)</f>
        <v/>
      </c>
      <c r="R230">
        <f>MIN(P230,Q230)</f>
        <v/>
      </c>
      <c r="S230">
        <f>$B$214/I230</f>
        <v/>
      </c>
      <c r="T230">
        <f>Assumptions!$B$59/O230</f>
        <v/>
      </c>
      <c r="U230">
        <f>Assumptions!$B$62/R230</f>
        <v/>
      </c>
    </row>
    <row r="231">
      <c r="A231" t="n">
        <v>14</v>
      </c>
      <c r="B231">
        <f>S230</f>
        <v/>
      </c>
      <c r="C231">
        <f>T230</f>
        <v/>
      </c>
      <c r="D231">
        <f>U230</f>
        <v/>
      </c>
      <c r="E231">
        <f>MAX(0,Assumptions!$B$34/IF(B231&lt;Assumptions!$B$25,Assumptions!$B$25*(Assumptions!$B$50+Assumptions!$B$5/Assumptions!$B$25)/(Assumptions!$B$50+Assumptions!$B$5/B231),Assumptions!$B$25)-Assumptions!$B$42)+MAX(0,Assumptions!$B$35/IF(B231&lt;Assumptions!$B$26,Assumptions!$B$26*(Assumptions!$B$50+Assumptions!$B$5/Assumptions!$B$26)/(Assumptions!$B$50+Assumptions!$B$5/B231),Assumptions!$B$26)-Assumptions!$B$43)</f>
        <v/>
      </c>
      <c r="F231">
        <f>Assumptions!$B$5/B231</f>
        <v/>
      </c>
      <c r="G231">
        <f>$B$213*(((Assumptions!$B$50-Assumptions!$B$51+E231+C231+D231)+F231)/(1-$B$213))-Assumptions!$B$51</f>
        <v/>
      </c>
      <c r="H231">
        <f>MAX(0,G231)</f>
        <v/>
      </c>
      <c r="I231">
        <f>Assumptions!$B$50+E231+H231+C231+D231</f>
        <v/>
      </c>
      <c r="J231">
        <f>I231+F231</f>
        <v/>
      </c>
      <c r="K231">
        <f>Assumptions!$B$50+E231+H231+D231</f>
        <v/>
      </c>
      <c r="L231">
        <f>Assumptions!$B$50+E231+H231+C231</f>
        <v/>
      </c>
      <c r="M231">
        <f>Assumptions!$B$60/K231</f>
        <v/>
      </c>
      <c r="N231">
        <f>B231*(1-Assumptions!$B$61)</f>
        <v/>
      </c>
      <c r="O231">
        <f>MIN(M231,N231)</f>
        <v/>
      </c>
      <c r="P231">
        <f>Assumptions!$B$63/L231</f>
        <v/>
      </c>
      <c r="Q231">
        <f>B231*(1-Assumptions!$B$64)</f>
        <v/>
      </c>
      <c r="R231">
        <f>MIN(P231,Q231)</f>
        <v/>
      </c>
      <c r="S231">
        <f>$B$214/I231</f>
        <v/>
      </c>
      <c r="T231">
        <f>Assumptions!$B$59/O231</f>
        <v/>
      </c>
      <c r="U231">
        <f>Assumptions!$B$62/R231</f>
        <v/>
      </c>
    </row>
    <row r="232">
      <c r="A232" t="n">
        <v>15</v>
      </c>
      <c r="B232">
        <f>S231</f>
        <v/>
      </c>
      <c r="C232">
        <f>T231</f>
        <v/>
      </c>
      <c r="D232">
        <f>U231</f>
        <v/>
      </c>
      <c r="E232">
        <f>MAX(0,Assumptions!$B$34/IF(B232&lt;Assumptions!$B$25,Assumptions!$B$25*(Assumptions!$B$50+Assumptions!$B$5/Assumptions!$B$25)/(Assumptions!$B$50+Assumptions!$B$5/B232),Assumptions!$B$25)-Assumptions!$B$42)+MAX(0,Assumptions!$B$35/IF(B232&lt;Assumptions!$B$26,Assumptions!$B$26*(Assumptions!$B$50+Assumptions!$B$5/Assumptions!$B$26)/(Assumptions!$B$50+Assumptions!$B$5/B232),Assumptions!$B$26)-Assumptions!$B$43)</f>
        <v/>
      </c>
      <c r="F232">
        <f>Assumptions!$B$5/B232</f>
        <v/>
      </c>
      <c r="G232">
        <f>$B$213*(((Assumptions!$B$50-Assumptions!$B$51+E232+C232+D232)+F232)/(1-$B$213))-Assumptions!$B$51</f>
        <v/>
      </c>
      <c r="H232">
        <f>MAX(0,G232)</f>
        <v/>
      </c>
      <c r="I232">
        <f>Assumptions!$B$50+E232+H232+C232+D232</f>
        <v/>
      </c>
      <c r="J232">
        <f>I232+F232</f>
        <v/>
      </c>
      <c r="K232">
        <f>Assumptions!$B$50+E232+H232+D232</f>
        <v/>
      </c>
      <c r="L232">
        <f>Assumptions!$B$50+E232+H232+C232</f>
        <v/>
      </c>
      <c r="M232">
        <f>Assumptions!$B$60/K232</f>
        <v/>
      </c>
      <c r="N232">
        <f>B232*(1-Assumptions!$B$61)</f>
        <v/>
      </c>
      <c r="O232">
        <f>MIN(M232,N232)</f>
        <v/>
      </c>
      <c r="P232">
        <f>Assumptions!$B$63/L232</f>
        <v/>
      </c>
      <c r="Q232">
        <f>B232*(1-Assumptions!$B$64)</f>
        <v/>
      </c>
      <c r="R232">
        <f>MIN(P232,Q232)</f>
        <v/>
      </c>
      <c r="S232">
        <f>$B$214/I232</f>
        <v/>
      </c>
      <c r="T232">
        <f>Assumptions!$B$59/O232</f>
        <v/>
      </c>
      <c r="U232">
        <f>Assumptions!$B$62/R232</f>
        <v/>
      </c>
    </row>
    <row r="233">
      <c r="A233" t="n">
        <v>16</v>
      </c>
      <c r="B233">
        <f>S232</f>
        <v/>
      </c>
      <c r="C233">
        <f>T232</f>
        <v/>
      </c>
      <c r="D233">
        <f>U232</f>
        <v/>
      </c>
      <c r="E233">
        <f>MAX(0,Assumptions!$B$34/IF(B233&lt;Assumptions!$B$25,Assumptions!$B$25*(Assumptions!$B$50+Assumptions!$B$5/Assumptions!$B$25)/(Assumptions!$B$50+Assumptions!$B$5/B233),Assumptions!$B$25)-Assumptions!$B$42)+MAX(0,Assumptions!$B$35/IF(B233&lt;Assumptions!$B$26,Assumptions!$B$26*(Assumptions!$B$50+Assumptions!$B$5/Assumptions!$B$26)/(Assumptions!$B$50+Assumptions!$B$5/B233),Assumptions!$B$26)-Assumptions!$B$43)</f>
        <v/>
      </c>
      <c r="F233">
        <f>Assumptions!$B$5/B233</f>
        <v/>
      </c>
      <c r="G233">
        <f>$B$213*(((Assumptions!$B$50-Assumptions!$B$51+E233+C233+D233)+F233)/(1-$B$213))-Assumptions!$B$51</f>
        <v/>
      </c>
      <c r="H233">
        <f>MAX(0,G233)</f>
        <v/>
      </c>
      <c r="I233">
        <f>Assumptions!$B$50+E233+H233+C233+D233</f>
        <v/>
      </c>
      <c r="J233">
        <f>I233+F233</f>
        <v/>
      </c>
      <c r="K233">
        <f>Assumptions!$B$50+E233+H233+D233</f>
        <v/>
      </c>
      <c r="L233">
        <f>Assumptions!$B$50+E233+H233+C233</f>
        <v/>
      </c>
      <c r="M233">
        <f>Assumptions!$B$60/K233</f>
        <v/>
      </c>
      <c r="N233">
        <f>B233*(1-Assumptions!$B$61)</f>
        <v/>
      </c>
      <c r="O233">
        <f>MIN(M233,N233)</f>
        <v/>
      </c>
      <c r="P233">
        <f>Assumptions!$B$63/L233</f>
        <v/>
      </c>
      <c r="Q233">
        <f>B233*(1-Assumptions!$B$64)</f>
        <v/>
      </c>
      <c r="R233">
        <f>MIN(P233,Q233)</f>
        <v/>
      </c>
      <c r="S233">
        <f>$B$214/I233</f>
        <v/>
      </c>
      <c r="T233">
        <f>Assumptions!$B$59/O233</f>
        <v/>
      </c>
      <c r="U233">
        <f>Assumptions!$B$62/R233</f>
        <v/>
      </c>
    </row>
    <row r="234">
      <c r="A234" t="n">
        <v>17</v>
      </c>
      <c r="B234">
        <f>S233</f>
        <v/>
      </c>
      <c r="C234">
        <f>T233</f>
        <v/>
      </c>
      <c r="D234">
        <f>U233</f>
        <v/>
      </c>
      <c r="E234">
        <f>MAX(0,Assumptions!$B$34/IF(B234&lt;Assumptions!$B$25,Assumptions!$B$25*(Assumptions!$B$50+Assumptions!$B$5/Assumptions!$B$25)/(Assumptions!$B$50+Assumptions!$B$5/B234),Assumptions!$B$25)-Assumptions!$B$42)+MAX(0,Assumptions!$B$35/IF(B234&lt;Assumptions!$B$26,Assumptions!$B$26*(Assumptions!$B$50+Assumptions!$B$5/Assumptions!$B$26)/(Assumptions!$B$50+Assumptions!$B$5/B234),Assumptions!$B$26)-Assumptions!$B$43)</f>
        <v/>
      </c>
      <c r="F234">
        <f>Assumptions!$B$5/B234</f>
        <v/>
      </c>
      <c r="G234">
        <f>$B$213*(((Assumptions!$B$50-Assumptions!$B$51+E234+C234+D234)+F234)/(1-$B$213))-Assumptions!$B$51</f>
        <v/>
      </c>
      <c r="H234">
        <f>MAX(0,G234)</f>
        <v/>
      </c>
      <c r="I234">
        <f>Assumptions!$B$50+E234+H234+C234+D234</f>
        <v/>
      </c>
      <c r="J234">
        <f>I234+F234</f>
        <v/>
      </c>
      <c r="K234">
        <f>Assumptions!$B$50+E234+H234+D234</f>
        <v/>
      </c>
      <c r="L234">
        <f>Assumptions!$B$50+E234+H234+C234</f>
        <v/>
      </c>
      <c r="M234">
        <f>Assumptions!$B$60/K234</f>
        <v/>
      </c>
      <c r="N234">
        <f>B234*(1-Assumptions!$B$61)</f>
        <v/>
      </c>
      <c r="O234">
        <f>MIN(M234,N234)</f>
        <v/>
      </c>
      <c r="P234">
        <f>Assumptions!$B$63/L234</f>
        <v/>
      </c>
      <c r="Q234">
        <f>B234*(1-Assumptions!$B$64)</f>
        <v/>
      </c>
      <c r="R234">
        <f>MIN(P234,Q234)</f>
        <v/>
      </c>
      <c r="S234">
        <f>$B$214/I234</f>
        <v/>
      </c>
      <c r="T234">
        <f>Assumptions!$B$59/O234</f>
        <v/>
      </c>
      <c r="U234">
        <f>Assumptions!$B$62/R234</f>
        <v/>
      </c>
    </row>
    <row r="235">
      <c r="A235" t="n">
        <v>18</v>
      </c>
      <c r="B235">
        <f>S234</f>
        <v/>
      </c>
      <c r="C235">
        <f>T234</f>
        <v/>
      </c>
      <c r="D235">
        <f>U234</f>
        <v/>
      </c>
      <c r="E235">
        <f>MAX(0,Assumptions!$B$34/IF(B235&lt;Assumptions!$B$25,Assumptions!$B$25*(Assumptions!$B$50+Assumptions!$B$5/Assumptions!$B$25)/(Assumptions!$B$50+Assumptions!$B$5/B235),Assumptions!$B$25)-Assumptions!$B$42)+MAX(0,Assumptions!$B$35/IF(B235&lt;Assumptions!$B$26,Assumptions!$B$26*(Assumptions!$B$50+Assumptions!$B$5/Assumptions!$B$26)/(Assumptions!$B$50+Assumptions!$B$5/B235),Assumptions!$B$26)-Assumptions!$B$43)</f>
        <v/>
      </c>
      <c r="F235">
        <f>Assumptions!$B$5/B235</f>
        <v/>
      </c>
      <c r="G235">
        <f>$B$213*(((Assumptions!$B$50-Assumptions!$B$51+E235+C235+D235)+F235)/(1-$B$213))-Assumptions!$B$51</f>
        <v/>
      </c>
      <c r="H235">
        <f>MAX(0,G235)</f>
        <v/>
      </c>
      <c r="I235">
        <f>Assumptions!$B$50+E235+H235+C235+D235</f>
        <v/>
      </c>
      <c r="J235">
        <f>I235+F235</f>
        <v/>
      </c>
      <c r="K235">
        <f>Assumptions!$B$50+E235+H235+D235</f>
        <v/>
      </c>
      <c r="L235">
        <f>Assumptions!$B$50+E235+H235+C235</f>
        <v/>
      </c>
      <c r="M235">
        <f>Assumptions!$B$60/K235</f>
        <v/>
      </c>
      <c r="N235">
        <f>B235*(1-Assumptions!$B$61)</f>
        <v/>
      </c>
      <c r="O235">
        <f>MIN(M235,N235)</f>
        <v/>
      </c>
      <c r="P235">
        <f>Assumptions!$B$63/L235</f>
        <v/>
      </c>
      <c r="Q235">
        <f>B235*(1-Assumptions!$B$64)</f>
        <v/>
      </c>
      <c r="R235">
        <f>MIN(P235,Q235)</f>
        <v/>
      </c>
      <c r="S235">
        <f>$B$214/I235</f>
        <v/>
      </c>
      <c r="T235">
        <f>Assumptions!$B$59/O235</f>
        <v/>
      </c>
      <c r="U235">
        <f>Assumptions!$B$62/R235</f>
        <v/>
      </c>
    </row>
    <row r="236">
      <c r="A236" t="n">
        <v>19</v>
      </c>
      <c r="B236">
        <f>S235</f>
        <v/>
      </c>
      <c r="C236">
        <f>T235</f>
        <v/>
      </c>
      <c r="D236">
        <f>U235</f>
        <v/>
      </c>
      <c r="E236">
        <f>MAX(0,Assumptions!$B$34/IF(B236&lt;Assumptions!$B$25,Assumptions!$B$25*(Assumptions!$B$50+Assumptions!$B$5/Assumptions!$B$25)/(Assumptions!$B$50+Assumptions!$B$5/B236),Assumptions!$B$25)-Assumptions!$B$42)+MAX(0,Assumptions!$B$35/IF(B236&lt;Assumptions!$B$26,Assumptions!$B$26*(Assumptions!$B$50+Assumptions!$B$5/Assumptions!$B$26)/(Assumptions!$B$50+Assumptions!$B$5/B236),Assumptions!$B$26)-Assumptions!$B$43)</f>
        <v/>
      </c>
      <c r="F236">
        <f>Assumptions!$B$5/B236</f>
        <v/>
      </c>
      <c r="G236">
        <f>$B$213*(((Assumptions!$B$50-Assumptions!$B$51+E236+C236+D236)+F236)/(1-$B$213))-Assumptions!$B$51</f>
        <v/>
      </c>
      <c r="H236">
        <f>MAX(0,G236)</f>
        <v/>
      </c>
      <c r="I236">
        <f>Assumptions!$B$50+E236+H236+C236+D236</f>
        <v/>
      </c>
      <c r="J236">
        <f>I236+F236</f>
        <v/>
      </c>
      <c r="K236">
        <f>Assumptions!$B$50+E236+H236+D236</f>
        <v/>
      </c>
      <c r="L236">
        <f>Assumptions!$B$50+E236+H236+C236</f>
        <v/>
      </c>
      <c r="M236">
        <f>Assumptions!$B$60/K236</f>
        <v/>
      </c>
      <c r="N236">
        <f>B236*(1-Assumptions!$B$61)</f>
        <v/>
      </c>
      <c r="O236">
        <f>MIN(M236,N236)</f>
        <v/>
      </c>
      <c r="P236">
        <f>Assumptions!$B$63/L236</f>
        <v/>
      </c>
      <c r="Q236">
        <f>B236*(1-Assumptions!$B$64)</f>
        <v/>
      </c>
      <c r="R236">
        <f>MIN(P236,Q236)</f>
        <v/>
      </c>
      <c r="S236">
        <f>$B$214/I236</f>
        <v/>
      </c>
      <c r="T236">
        <f>Assumptions!$B$59/O236</f>
        <v/>
      </c>
      <c r="U236">
        <f>Assumptions!$B$62/R236</f>
        <v/>
      </c>
    </row>
    <row r="237">
      <c r="A237" t="n">
        <v>20</v>
      </c>
      <c r="B237">
        <f>S236</f>
        <v/>
      </c>
      <c r="C237">
        <f>T236</f>
        <v/>
      </c>
      <c r="D237">
        <f>U236</f>
        <v/>
      </c>
      <c r="E237">
        <f>MAX(0,Assumptions!$B$34/IF(B237&lt;Assumptions!$B$25,Assumptions!$B$25*(Assumptions!$B$50+Assumptions!$B$5/Assumptions!$B$25)/(Assumptions!$B$50+Assumptions!$B$5/B237),Assumptions!$B$25)-Assumptions!$B$42)+MAX(0,Assumptions!$B$35/IF(B237&lt;Assumptions!$B$26,Assumptions!$B$26*(Assumptions!$B$50+Assumptions!$B$5/Assumptions!$B$26)/(Assumptions!$B$50+Assumptions!$B$5/B237),Assumptions!$B$26)-Assumptions!$B$43)</f>
        <v/>
      </c>
      <c r="F237">
        <f>Assumptions!$B$5/B237</f>
        <v/>
      </c>
      <c r="G237">
        <f>$B$213*(((Assumptions!$B$50-Assumptions!$B$51+E237+C237+D237)+F237)/(1-$B$213))-Assumptions!$B$51</f>
        <v/>
      </c>
      <c r="H237">
        <f>MAX(0,G237)</f>
        <v/>
      </c>
      <c r="I237">
        <f>Assumptions!$B$50+E237+H237+C237+D237</f>
        <v/>
      </c>
      <c r="J237">
        <f>I237+F237</f>
        <v/>
      </c>
      <c r="K237">
        <f>Assumptions!$B$50+E237+H237+D237</f>
        <v/>
      </c>
      <c r="L237">
        <f>Assumptions!$B$50+E237+H237+C237</f>
        <v/>
      </c>
      <c r="M237">
        <f>Assumptions!$B$60/K237</f>
        <v/>
      </c>
      <c r="N237">
        <f>B237*(1-Assumptions!$B$61)</f>
        <v/>
      </c>
      <c r="O237">
        <f>MIN(M237,N237)</f>
        <v/>
      </c>
      <c r="P237">
        <f>Assumptions!$B$63/L237</f>
        <v/>
      </c>
      <c r="Q237">
        <f>B237*(1-Assumptions!$B$64)</f>
        <v/>
      </c>
      <c r="R237">
        <f>MIN(P237,Q237)</f>
        <v/>
      </c>
      <c r="S237">
        <f>$B$214/I237</f>
        <v/>
      </c>
      <c r="T237">
        <f>Assumptions!$B$59/O237</f>
        <v/>
      </c>
      <c r="U237">
        <f>Assumptions!$B$62/R237</f>
        <v/>
      </c>
    </row>
    <row r="238">
      <c r="A238" t="n">
        <v>21</v>
      </c>
      <c r="B238">
        <f>S237</f>
        <v/>
      </c>
      <c r="C238">
        <f>T237</f>
        <v/>
      </c>
      <c r="D238">
        <f>U237</f>
        <v/>
      </c>
      <c r="E238">
        <f>MAX(0,Assumptions!$B$34/IF(B238&lt;Assumptions!$B$25,Assumptions!$B$25*(Assumptions!$B$50+Assumptions!$B$5/Assumptions!$B$25)/(Assumptions!$B$50+Assumptions!$B$5/B238),Assumptions!$B$25)-Assumptions!$B$42)+MAX(0,Assumptions!$B$35/IF(B238&lt;Assumptions!$B$26,Assumptions!$B$26*(Assumptions!$B$50+Assumptions!$B$5/Assumptions!$B$26)/(Assumptions!$B$50+Assumptions!$B$5/B238),Assumptions!$B$26)-Assumptions!$B$43)</f>
        <v/>
      </c>
      <c r="F238">
        <f>Assumptions!$B$5/B238</f>
        <v/>
      </c>
      <c r="G238">
        <f>$B$213*(((Assumptions!$B$50-Assumptions!$B$51+E238+C238+D238)+F238)/(1-$B$213))-Assumptions!$B$51</f>
        <v/>
      </c>
      <c r="H238">
        <f>MAX(0,G238)</f>
        <v/>
      </c>
      <c r="I238">
        <f>Assumptions!$B$50+E238+H238+C238+D238</f>
        <v/>
      </c>
      <c r="J238">
        <f>I238+F238</f>
        <v/>
      </c>
      <c r="K238">
        <f>Assumptions!$B$50+E238+H238+D238</f>
        <v/>
      </c>
      <c r="L238">
        <f>Assumptions!$B$50+E238+H238+C238</f>
        <v/>
      </c>
      <c r="M238">
        <f>Assumptions!$B$60/K238</f>
        <v/>
      </c>
      <c r="N238">
        <f>B238*(1-Assumptions!$B$61)</f>
        <v/>
      </c>
      <c r="O238">
        <f>MIN(M238,N238)</f>
        <v/>
      </c>
      <c r="P238">
        <f>Assumptions!$B$63/L238</f>
        <v/>
      </c>
      <c r="Q238">
        <f>B238*(1-Assumptions!$B$64)</f>
        <v/>
      </c>
      <c r="R238">
        <f>MIN(P238,Q238)</f>
        <v/>
      </c>
      <c r="S238">
        <f>$B$214/I238</f>
        <v/>
      </c>
      <c r="T238">
        <f>Assumptions!$B$59/O238</f>
        <v/>
      </c>
      <c r="U238">
        <f>Assumptions!$B$62/R238</f>
        <v/>
      </c>
    </row>
    <row r="239">
      <c r="A239" t="n">
        <v>22</v>
      </c>
      <c r="B239">
        <f>S238</f>
        <v/>
      </c>
      <c r="C239">
        <f>T238</f>
        <v/>
      </c>
      <c r="D239">
        <f>U238</f>
        <v/>
      </c>
      <c r="E239">
        <f>MAX(0,Assumptions!$B$34/IF(B239&lt;Assumptions!$B$25,Assumptions!$B$25*(Assumptions!$B$50+Assumptions!$B$5/Assumptions!$B$25)/(Assumptions!$B$50+Assumptions!$B$5/B239),Assumptions!$B$25)-Assumptions!$B$42)+MAX(0,Assumptions!$B$35/IF(B239&lt;Assumptions!$B$26,Assumptions!$B$26*(Assumptions!$B$50+Assumptions!$B$5/Assumptions!$B$26)/(Assumptions!$B$50+Assumptions!$B$5/B239),Assumptions!$B$26)-Assumptions!$B$43)</f>
        <v/>
      </c>
      <c r="F239">
        <f>Assumptions!$B$5/B239</f>
        <v/>
      </c>
      <c r="G239">
        <f>$B$213*(((Assumptions!$B$50-Assumptions!$B$51+E239+C239+D239)+F239)/(1-$B$213))-Assumptions!$B$51</f>
        <v/>
      </c>
      <c r="H239">
        <f>MAX(0,G239)</f>
        <v/>
      </c>
      <c r="I239">
        <f>Assumptions!$B$50+E239+H239+C239+D239</f>
        <v/>
      </c>
      <c r="J239">
        <f>I239+F239</f>
        <v/>
      </c>
      <c r="K239">
        <f>Assumptions!$B$50+E239+H239+D239</f>
        <v/>
      </c>
      <c r="L239">
        <f>Assumptions!$B$50+E239+H239+C239</f>
        <v/>
      </c>
      <c r="M239">
        <f>Assumptions!$B$60/K239</f>
        <v/>
      </c>
      <c r="N239">
        <f>B239*(1-Assumptions!$B$61)</f>
        <v/>
      </c>
      <c r="O239">
        <f>MIN(M239,N239)</f>
        <v/>
      </c>
      <c r="P239">
        <f>Assumptions!$B$63/L239</f>
        <v/>
      </c>
      <c r="Q239">
        <f>B239*(1-Assumptions!$B$64)</f>
        <v/>
      </c>
      <c r="R239">
        <f>MIN(P239,Q239)</f>
        <v/>
      </c>
      <c r="S239">
        <f>$B$214/I239</f>
        <v/>
      </c>
      <c r="T239">
        <f>Assumptions!$B$59/O239</f>
        <v/>
      </c>
      <c r="U239">
        <f>Assumptions!$B$62/R239</f>
        <v/>
      </c>
    </row>
    <row r="240">
      <c r="A240" t="n">
        <v>23</v>
      </c>
      <c r="B240">
        <f>S239</f>
        <v/>
      </c>
      <c r="C240">
        <f>T239</f>
        <v/>
      </c>
      <c r="D240">
        <f>U239</f>
        <v/>
      </c>
      <c r="E240">
        <f>MAX(0,Assumptions!$B$34/IF(B240&lt;Assumptions!$B$25,Assumptions!$B$25*(Assumptions!$B$50+Assumptions!$B$5/Assumptions!$B$25)/(Assumptions!$B$50+Assumptions!$B$5/B240),Assumptions!$B$25)-Assumptions!$B$42)+MAX(0,Assumptions!$B$35/IF(B240&lt;Assumptions!$B$26,Assumptions!$B$26*(Assumptions!$B$50+Assumptions!$B$5/Assumptions!$B$26)/(Assumptions!$B$50+Assumptions!$B$5/B240),Assumptions!$B$26)-Assumptions!$B$43)</f>
        <v/>
      </c>
      <c r="F240">
        <f>Assumptions!$B$5/B240</f>
        <v/>
      </c>
      <c r="G240">
        <f>$B$213*(((Assumptions!$B$50-Assumptions!$B$51+E240+C240+D240)+F240)/(1-$B$213))-Assumptions!$B$51</f>
        <v/>
      </c>
      <c r="H240">
        <f>MAX(0,G240)</f>
        <v/>
      </c>
      <c r="I240">
        <f>Assumptions!$B$50+E240+H240+C240+D240</f>
        <v/>
      </c>
      <c r="J240">
        <f>I240+F240</f>
        <v/>
      </c>
      <c r="K240">
        <f>Assumptions!$B$50+E240+H240+D240</f>
        <v/>
      </c>
      <c r="L240">
        <f>Assumptions!$B$50+E240+H240+C240</f>
        <v/>
      </c>
      <c r="M240">
        <f>Assumptions!$B$60/K240</f>
        <v/>
      </c>
      <c r="N240">
        <f>B240*(1-Assumptions!$B$61)</f>
        <v/>
      </c>
      <c r="O240">
        <f>MIN(M240,N240)</f>
        <v/>
      </c>
      <c r="P240">
        <f>Assumptions!$B$63/L240</f>
        <v/>
      </c>
      <c r="Q240">
        <f>B240*(1-Assumptions!$B$64)</f>
        <v/>
      </c>
      <c r="R240">
        <f>MIN(P240,Q240)</f>
        <v/>
      </c>
      <c r="S240">
        <f>$B$214/I240</f>
        <v/>
      </c>
      <c r="T240">
        <f>Assumptions!$B$59/O240</f>
        <v/>
      </c>
      <c r="U240">
        <f>Assumptions!$B$62/R240</f>
        <v/>
      </c>
    </row>
    <row r="241">
      <c r="A241" t="n">
        <v>24</v>
      </c>
      <c r="B241">
        <f>S240</f>
        <v/>
      </c>
      <c r="C241">
        <f>T240</f>
        <v/>
      </c>
      <c r="D241">
        <f>U240</f>
        <v/>
      </c>
      <c r="E241">
        <f>MAX(0,Assumptions!$B$34/IF(B241&lt;Assumptions!$B$25,Assumptions!$B$25*(Assumptions!$B$50+Assumptions!$B$5/Assumptions!$B$25)/(Assumptions!$B$50+Assumptions!$B$5/B241),Assumptions!$B$25)-Assumptions!$B$42)+MAX(0,Assumptions!$B$35/IF(B241&lt;Assumptions!$B$26,Assumptions!$B$26*(Assumptions!$B$50+Assumptions!$B$5/Assumptions!$B$26)/(Assumptions!$B$50+Assumptions!$B$5/B241),Assumptions!$B$26)-Assumptions!$B$43)</f>
        <v/>
      </c>
      <c r="F241">
        <f>Assumptions!$B$5/B241</f>
        <v/>
      </c>
      <c r="G241">
        <f>$B$213*(((Assumptions!$B$50-Assumptions!$B$51+E241+C241+D241)+F241)/(1-$B$213))-Assumptions!$B$51</f>
        <v/>
      </c>
      <c r="H241">
        <f>MAX(0,G241)</f>
        <v/>
      </c>
      <c r="I241">
        <f>Assumptions!$B$50+E241+H241+C241+D241</f>
        <v/>
      </c>
      <c r="J241">
        <f>I241+F241</f>
        <v/>
      </c>
      <c r="K241">
        <f>Assumptions!$B$50+E241+H241+D241</f>
        <v/>
      </c>
      <c r="L241">
        <f>Assumptions!$B$50+E241+H241+C241</f>
        <v/>
      </c>
      <c r="M241">
        <f>Assumptions!$B$60/K241</f>
        <v/>
      </c>
      <c r="N241">
        <f>B241*(1-Assumptions!$B$61)</f>
        <v/>
      </c>
      <c r="O241">
        <f>MIN(M241,N241)</f>
        <v/>
      </c>
      <c r="P241">
        <f>Assumptions!$B$63/L241</f>
        <v/>
      </c>
      <c r="Q241">
        <f>B241*(1-Assumptions!$B$64)</f>
        <v/>
      </c>
      <c r="R241">
        <f>MIN(P241,Q241)</f>
        <v/>
      </c>
      <c r="S241">
        <f>$B$214/I241</f>
        <v/>
      </c>
      <c r="T241">
        <f>Assumptions!$B$59/O241</f>
        <v/>
      </c>
      <c r="U241">
        <f>Assumptions!$B$62/R241</f>
        <v/>
      </c>
    </row>
    <row r="242">
      <c r="A242" t="n">
        <v>25</v>
      </c>
      <c r="B242">
        <f>S241</f>
        <v/>
      </c>
      <c r="C242">
        <f>T241</f>
        <v/>
      </c>
      <c r="D242">
        <f>U241</f>
        <v/>
      </c>
      <c r="E242">
        <f>MAX(0,Assumptions!$B$34/IF(B242&lt;Assumptions!$B$25,Assumptions!$B$25*(Assumptions!$B$50+Assumptions!$B$5/Assumptions!$B$25)/(Assumptions!$B$50+Assumptions!$B$5/B242),Assumptions!$B$25)-Assumptions!$B$42)+MAX(0,Assumptions!$B$35/IF(B242&lt;Assumptions!$B$26,Assumptions!$B$26*(Assumptions!$B$50+Assumptions!$B$5/Assumptions!$B$26)/(Assumptions!$B$50+Assumptions!$B$5/B242),Assumptions!$B$26)-Assumptions!$B$43)</f>
        <v/>
      </c>
      <c r="F242">
        <f>Assumptions!$B$5/B242</f>
        <v/>
      </c>
      <c r="G242">
        <f>$B$213*(((Assumptions!$B$50-Assumptions!$B$51+E242+C242+D242)+F242)/(1-$B$213))-Assumptions!$B$51</f>
        <v/>
      </c>
      <c r="H242">
        <f>MAX(0,G242)</f>
        <v/>
      </c>
      <c r="I242">
        <f>Assumptions!$B$50+E242+H242+C242+D242</f>
        <v/>
      </c>
      <c r="J242">
        <f>I242+F242</f>
        <v/>
      </c>
      <c r="K242">
        <f>Assumptions!$B$50+E242+H242+D242</f>
        <v/>
      </c>
      <c r="L242">
        <f>Assumptions!$B$50+E242+H242+C242</f>
        <v/>
      </c>
      <c r="M242">
        <f>Assumptions!$B$60/K242</f>
        <v/>
      </c>
      <c r="N242">
        <f>B242*(1-Assumptions!$B$61)</f>
        <v/>
      </c>
      <c r="O242">
        <f>MIN(M242,N242)</f>
        <v/>
      </c>
      <c r="P242">
        <f>Assumptions!$B$63/L242</f>
        <v/>
      </c>
      <c r="Q242">
        <f>B242*(1-Assumptions!$B$64)</f>
        <v/>
      </c>
      <c r="R242">
        <f>MIN(P242,Q242)</f>
        <v/>
      </c>
      <c r="S242">
        <f>$B$214/I242</f>
        <v/>
      </c>
      <c r="T242">
        <f>Assumptions!$B$59/O242</f>
        <v/>
      </c>
      <c r="U242">
        <f>Assumptions!$B$62/R242</f>
        <v/>
      </c>
    </row>
    <row r="243">
      <c r="A243" t="n">
        <v>26</v>
      </c>
      <c r="B243">
        <f>S242</f>
        <v/>
      </c>
      <c r="C243">
        <f>T242</f>
        <v/>
      </c>
      <c r="D243">
        <f>U242</f>
        <v/>
      </c>
      <c r="E243">
        <f>MAX(0,Assumptions!$B$34/IF(B243&lt;Assumptions!$B$25,Assumptions!$B$25*(Assumptions!$B$50+Assumptions!$B$5/Assumptions!$B$25)/(Assumptions!$B$50+Assumptions!$B$5/B243),Assumptions!$B$25)-Assumptions!$B$42)+MAX(0,Assumptions!$B$35/IF(B243&lt;Assumptions!$B$26,Assumptions!$B$26*(Assumptions!$B$50+Assumptions!$B$5/Assumptions!$B$26)/(Assumptions!$B$50+Assumptions!$B$5/B243),Assumptions!$B$26)-Assumptions!$B$43)</f>
        <v/>
      </c>
      <c r="F243">
        <f>Assumptions!$B$5/B243</f>
        <v/>
      </c>
      <c r="G243">
        <f>$B$213*(((Assumptions!$B$50-Assumptions!$B$51+E243+C243+D243)+F243)/(1-$B$213))-Assumptions!$B$51</f>
        <v/>
      </c>
      <c r="H243">
        <f>MAX(0,G243)</f>
        <v/>
      </c>
      <c r="I243">
        <f>Assumptions!$B$50+E243+H243+C243+D243</f>
        <v/>
      </c>
      <c r="J243">
        <f>I243+F243</f>
        <v/>
      </c>
      <c r="K243">
        <f>Assumptions!$B$50+E243+H243+D243</f>
        <v/>
      </c>
      <c r="L243">
        <f>Assumptions!$B$50+E243+H243+C243</f>
        <v/>
      </c>
      <c r="M243">
        <f>Assumptions!$B$60/K243</f>
        <v/>
      </c>
      <c r="N243">
        <f>B243*(1-Assumptions!$B$61)</f>
        <v/>
      </c>
      <c r="O243">
        <f>MIN(M243,N243)</f>
        <v/>
      </c>
      <c r="P243">
        <f>Assumptions!$B$63/L243</f>
        <v/>
      </c>
      <c r="Q243">
        <f>B243*(1-Assumptions!$B$64)</f>
        <v/>
      </c>
      <c r="R243">
        <f>MIN(P243,Q243)</f>
        <v/>
      </c>
      <c r="S243">
        <f>$B$214/I243</f>
        <v/>
      </c>
      <c r="T243">
        <f>Assumptions!$B$59/O243</f>
        <v/>
      </c>
      <c r="U243">
        <f>Assumptions!$B$62/R243</f>
        <v/>
      </c>
    </row>
    <row r="244">
      <c r="A244" t="n">
        <v>27</v>
      </c>
      <c r="B244">
        <f>S243</f>
        <v/>
      </c>
      <c r="C244">
        <f>T243</f>
        <v/>
      </c>
      <c r="D244">
        <f>U243</f>
        <v/>
      </c>
      <c r="E244">
        <f>MAX(0,Assumptions!$B$34/IF(B244&lt;Assumptions!$B$25,Assumptions!$B$25*(Assumptions!$B$50+Assumptions!$B$5/Assumptions!$B$25)/(Assumptions!$B$50+Assumptions!$B$5/B244),Assumptions!$B$25)-Assumptions!$B$42)+MAX(0,Assumptions!$B$35/IF(B244&lt;Assumptions!$B$26,Assumptions!$B$26*(Assumptions!$B$50+Assumptions!$B$5/Assumptions!$B$26)/(Assumptions!$B$50+Assumptions!$B$5/B244),Assumptions!$B$26)-Assumptions!$B$43)</f>
        <v/>
      </c>
      <c r="F244">
        <f>Assumptions!$B$5/B244</f>
        <v/>
      </c>
      <c r="G244">
        <f>$B$213*(((Assumptions!$B$50-Assumptions!$B$51+E244+C244+D244)+F244)/(1-$B$213))-Assumptions!$B$51</f>
        <v/>
      </c>
      <c r="H244">
        <f>MAX(0,G244)</f>
        <v/>
      </c>
      <c r="I244">
        <f>Assumptions!$B$50+E244+H244+C244+D244</f>
        <v/>
      </c>
      <c r="J244">
        <f>I244+F244</f>
        <v/>
      </c>
      <c r="K244">
        <f>Assumptions!$B$50+E244+H244+D244</f>
        <v/>
      </c>
      <c r="L244">
        <f>Assumptions!$B$50+E244+H244+C244</f>
        <v/>
      </c>
      <c r="M244">
        <f>Assumptions!$B$60/K244</f>
        <v/>
      </c>
      <c r="N244">
        <f>B244*(1-Assumptions!$B$61)</f>
        <v/>
      </c>
      <c r="O244">
        <f>MIN(M244,N244)</f>
        <v/>
      </c>
      <c r="P244">
        <f>Assumptions!$B$63/L244</f>
        <v/>
      </c>
      <c r="Q244">
        <f>B244*(1-Assumptions!$B$64)</f>
        <v/>
      </c>
      <c r="R244">
        <f>MIN(P244,Q244)</f>
        <v/>
      </c>
      <c r="S244">
        <f>$B$214/I244</f>
        <v/>
      </c>
      <c r="T244">
        <f>Assumptions!$B$59/O244</f>
        <v/>
      </c>
      <c r="U244">
        <f>Assumptions!$B$62/R244</f>
        <v/>
      </c>
    </row>
    <row r="245">
      <c r="A245" t="n">
        <v>28</v>
      </c>
      <c r="B245">
        <f>S244</f>
        <v/>
      </c>
      <c r="C245">
        <f>T244</f>
        <v/>
      </c>
      <c r="D245">
        <f>U244</f>
        <v/>
      </c>
      <c r="E245">
        <f>MAX(0,Assumptions!$B$34/IF(B245&lt;Assumptions!$B$25,Assumptions!$B$25*(Assumptions!$B$50+Assumptions!$B$5/Assumptions!$B$25)/(Assumptions!$B$50+Assumptions!$B$5/B245),Assumptions!$B$25)-Assumptions!$B$42)+MAX(0,Assumptions!$B$35/IF(B245&lt;Assumptions!$B$26,Assumptions!$B$26*(Assumptions!$B$50+Assumptions!$B$5/Assumptions!$B$26)/(Assumptions!$B$50+Assumptions!$B$5/B245),Assumptions!$B$26)-Assumptions!$B$43)</f>
        <v/>
      </c>
      <c r="F245">
        <f>Assumptions!$B$5/B245</f>
        <v/>
      </c>
      <c r="G245">
        <f>$B$213*(((Assumptions!$B$50-Assumptions!$B$51+E245+C245+D245)+F245)/(1-$B$213))-Assumptions!$B$51</f>
        <v/>
      </c>
      <c r="H245">
        <f>MAX(0,G245)</f>
        <v/>
      </c>
      <c r="I245">
        <f>Assumptions!$B$50+E245+H245+C245+D245</f>
        <v/>
      </c>
      <c r="J245">
        <f>I245+F245</f>
        <v/>
      </c>
      <c r="K245">
        <f>Assumptions!$B$50+E245+H245+D245</f>
        <v/>
      </c>
      <c r="L245">
        <f>Assumptions!$B$50+E245+H245+C245</f>
        <v/>
      </c>
      <c r="M245">
        <f>Assumptions!$B$60/K245</f>
        <v/>
      </c>
      <c r="N245">
        <f>B245*(1-Assumptions!$B$61)</f>
        <v/>
      </c>
      <c r="O245">
        <f>MIN(M245,N245)</f>
        <v/>
      </c>
      <c r="P245">
        <f>Assumptions!$B$63/L245</f>
        <v/>
      </c>
      <c r="Q245">
        <f>B245*(1-Assumptions!$B$64)</f>
        <v/>
      </c>
      <c r="R245">
        <f>MIN(P245,Q245)</f>
        <v/>
      </c>
      <c r="S245">
        <f>$B$214/I245</f>
        <v/>
      </c>
      <c r="T245">
        <f>Assumptions!$B$59/O245</f>
        <v/>
      </c>
      <c r="U245">
        <f>Assumptions!$B$62/R245</f>
        <v/>
      </c>
    </row>
    <row r="246">
      <c r="A246" t="n">
        <v>29</v>
      </c>
      <c r="B246">
        <f>S245</f>
        <v/>
      </c>
      <c r="C246">
        <f>T245</f>
        <v/>
      </c>
      <c r="D246">
        <f>U245</f>
        <v/>
      </c>
      <c r="E246">
        <f>MAX(0,Assumptions!$B$34/IF(B246&lt;Assumptions!$B$25,Assumptions!$B$25*(Assumptions!$B$50+Assumptions!$B$5/Assumptions!$B$25)/(Assumptions!$B$50+Assumptions!$B$5/B246),Assumptions!$B$25)-Assumptions!$B$42)+MAX(0,Assumptions!$B$35/IF(B246&lt;Assumptions!$B$26,Assumptions!$B$26*(Assumptions!$B$50+Assumptions!$B$5/Assumptions!$B$26)/(Assumptions!$B$50+Assumptions!$B$5/B246),Assumptions!$B$26)-Assumptions!$B$43)</f>
        <v/>
      </c>
      <c r="F246">
        <f>Assumptions!$B$5/B246</f>
        <v/>
      </c>
      <c r="G246">
        <f>$B$213*(((Assumptions!$B$50-Assumptions!$B$51+E246+C246+D246)+F246)/(1-$B$213))-Assumptions!$B$51</f>
        <v/>
      </c>
      <c r="H246">
        <f>MAX(0,G246)</f>
        <v/>
      </c>
      <c r="I246">
        <f>Assumptions!$B$50+E246+H246+C246+D246</f>
        <v/>
      </c>
      <c r="J246">
        <f>I246+F246</f>
        <v/>
      </c>
      <c r="K246">
        <f>Assumptions!$B$50+E246+H246+D246</f>
        <v/>
      </c>
      <c r="L246">
        <f>Assumptions!$B$50+E246+H246+C246</f>
        <v/>
      </c>
      <c r="M246">
        <f>Assumptions!$B$60/K246</f>
        <v/>
      </c>
      <c r="N246">
        <f>B246*(1-Assumptions!$B$61)</f>
        <v/>
      </c>
      <c r="O246">
        <f>MIN(M246,N246)</f>
        <v/>
      </c>
      <c r="P246">
        <f>Assumptions!$B$63/L246</f>
        <v/>
      </c>
      <c r="Q246">
        <f>B246*(1-Assumptions!$B$64)</f>
        <v/>
      </c>
      <c r="R246">
        <f>MIN(P246,Q246)</f>
        <v/>
      </c>
      <c r="S246">
        <f>$B$214/I246</f>
        <v/>
      </c>
      <c r="T246">
        <f>Assumptions!$B$59/O246</f>
        <v/>
      </c>
      <c r="U246">
        <f>Assumptions!$B$62/R246</f>
        <v/>
      </c>
    </row>
    <row r="247">
      <c r="A247" t="n">
        <v>30</v>
      </c>
      <c r="B247">
        <f>S246</f>
        <v/>
      </c>
      <c r="C247">
        <f>T246</f>
        <v/>
      </c>
      <c r="D247">
        <f>U246</f>
        <v/>
      </c>
      <c r="E247">
        <f>MAX(0,Assumptions!$B$34/IF(B247&lt;Assumptions!$B$25,Assumptions!$B$25*(Assumptions!$B$50+Assumptions!$B$5/Assumptions!$B$25)/(Assumptions!$B$50+Assumptions!$B$5/B247),Assumptions!$B$25)-Assumptions!$B$42)+MAX(0,Assumptions!$B$35/IF(B247&lt;Assumptions!$B$26,Assumptions!$B$26*(Assumptions!$B$50+Assumptions!$B$5/Assumptions!$B$26)/(Assumptions!$B$50+Assumptions!$B$5/B247),Assumptions!$B$26)-Assumptions!$B$43)</f>
        <v/>
      </c>
      <c r="F247">
        <f>Assumptions!$B$5/B247</f>
        <v/>
      </c>
      <c r="G247">
        <f>$B$213*(((Assumptions!$B$50-Assumptions!$B$51+E247+C247+D247)+F247)/(1-$B$213))-Assumptions!$B$51</f>
        <v/>
      </c>
      <c r="H247">
        <f>MAX(0,G247)</f>
        <v/>
      </c>
      <c r="I247">
        <f>Assumptions!$B$50+E247+H247+C247+D247</f>
        <v/>
      </c>
      <c r="J247">
        <f>I247+F247</f>
        <v/>
      </c>
      <c r="K247">
        <f>Assumptions!$B$50+E247+H247+D247</f>
        <v/>
      </c>
      <c r="L247">
        <f>Assumptions!$B$50+E247+H247+C247</f>
        <v/>
      </c>
      <c r="M247">
        <f>Assumptions!$B$60/K247</f>
        <v/>
      </c>
      <c r="N247">
        <f>B247*(1-Assumptions!$B$61)</f>
        <v/>
      </c>
      <c r="O247">
        <f>MIN(M247,N247)</f>
        <v/>
      </c>
      <c r="P247">
        <f>Assumptions!$B$63/L247</f>
        <v/>
      </c>
      <c r="Q247">
        <f>B247*(1-Assumptions!$B$64)</f>
        <v/>
      </c>
      <c r="R247">
        <f>MIN(P247,Q247)</f>
        <v/>
      </c>
      <c r="S247">
        <f>$B$214/I247</f>
        <v/>
      </c>
      <c r="T247">
        <f>Assumptions!$B$59/O247</f>
        <v/>
      </c>
      <c r="U247">
        <f>Assumptions!$B$62/R247</f>
        <v/>
      </c>
    </row>
    <row r="249">
      <c r="A249" s="2" t="inlineStr">
        <is>
          <t>Solved F_PPS</t>
        </is>
      </c>
      <c r="B249">
        <f>B247</f>
        <v/>
      </c>
    </row>
    <row r="250">
      <c r="A250" t="inlineStr">
        <is>
          <t>Solved pmFD</t>
        </is>
      </c>
      <c r="B250">
        <f>I247</f>
        <v/>
      </c>
    </row>
    <row r="251">
      <c r="A251" t="inlineStr">
        <is>
          <t>Solved T_F</t>
        </is>
      </c>
      <c r="B251">
        <f>J247</f>
        <v/>
      </c>
    </row>
    <row r="252">
      <c r="A252" t="inlineStr">
        <is>
          <t>Solved AD_extra</t>
        </is>
      </c>
      <c r="B252">
        <f>E247</f>
        <v/>
      </c>
    </row>
    <row r="253">
      <c r="A253" t="inlineStr">
        <is>
          <t>Solved topup</t>
        </is>
      </c>
      <c r="B253">
        <f>H247</f>
        <v/>
      </c>
    </row>
    <row r="254">
      <c r="A254" t="inlineStr">
        <is>
          <t>Solved nA</t>
        </is>
      </c>
      <c r="B254">
        <f>C247</f>
        <v/>
      </c>
    </row>
    <row r="255">
      <c r="A255" t="inlineStr">
        <is>
          <t>Solved nB</t>
        </is>
      </c>
      <c r="B255">
        <f>D247</f>
        <v/>
      </c>
    </row>
    <row r="256">
      <c r="A256" t="inlineStr">
        <is>
          <t>Branch A</t>
        </is>
      </c>
      <c r="B256">
        <f>IF(M247&lt;N247,"cap","discount")</f>
        <v/>
      </c>
    </row>
    <row r="257">
      <c r="A257" t="inlineStr">
        <is>
          <t>Branch B</t>
        </is>
      </c>
      <c r="B257">
        <f>IF(P247&lt;Q247,"cap","discount")</f>
        <v/>
      </c>
    </row>
    <row r="259">
      <c r="A259" t="inlineStr">
        <is>
          <t>Fund shares</t>
        </is>
      </c>
      <c r="B259">
        <f>Assumptions!$B$9/B247</f>
        <v/>
      </c>
    </row>
    <row r="260">
      <c r="A260" t="inlineStr">
        <is>
          <t>Fund ownership %</t>
        </is>
      </c>
      <c r="B260" s="12">
        <f>B259/J247</f>
        <v/>
      </c>
    </row>
    <row r="261">
      <c r="A261" t="inlineStr">
        <is>
          <t>Tender shares</t>
        </is>
      </c>
      <c r="B261">
        <f>Assumptions!$B$6/(Assumptions!$B$7*B247)</f>
        <v/>
      </c>
    </row>
    <row r="262">
      <c r="A262" t="inlineStr">
        <is>
          <t>ITM test PPS</t>
        </is>
      </c>
      <c r="B262">
        <f>(Assumptions!$B$16+Assumptions!$B$11*Assumptions!$B$48)/(F247+(Assumptions!$B$35/IF(B247&lt;Assumptions!$B$26,Assumptions!$B$26*(Assumptions!$B$50+Assumptions!$B$5/Assumptions!$B$26)/(Assumptions!$B$50+Assumptions!$B$5/B247),Assumptions!$B$26))+(Assumptions!$B$34/IF(B247&lt;Assumptions!$B$25,Assumptions!$B$25*(Assumptions!$B$50+Assumptions!$B$5/Assumptions!$B$25)/(Assumptions!$B$50+Assumptions!$B$5/B247),Assumptions!$B$25))+Assumptions!$B$41+Assumptions!$B$40+Assumptions!$B$39+Assumptions!$B$38+(Assumptions!$B$44+Assumptions!$B$45+Assumptions!$B$46-B261)+Assumptions!$B$47+B261+(C247+D247)+Assumptions!$B$48)</f>
        <v/>
      </c>
    </row>
    <row r="263">
      <c r="A263" t="inlineStr">
        <is>
          <t>ITM?</t>
        </is>
      </c>
      <c r="B263">
        <f>IF(B262&gt;Assumptions!$B$11,"YES","NO")</f>
        <v/>
      </c>
    </row>
    <row r="264">
      <c r="A264" t="inlineStr">
        <is>
          <t>Effective pool</t>
        </is>
      </c>
      <c r="B264">
        <f>IF(B263="YES",(F247+(Assumptions!$B$35/IF(B247&lt;Assumptions!$B$26,Assumptions!$B$26*(Assumptions!$B$50+Assumptions!$B$5/Assumptions!$B$26)/(Assumptions!$B$50+Assumptions!$B$5/B247),Assumptions!$B$26))+(Assumptions!$B$34/IF(B247&lt;Assumptions!$B$25,Assumptions!$B$25*(Assumptions!$B$50+Assumptions!$B$5/Assumptions!$B$25)/(Assumptions!$B$50+Assumptions!$B$5/B247),Assumptions!$B$25))+Assumptions!$B$41+Assumptions!$B$40+Assumptions!$B$39+Assumptions!$B$38+(Assumptions!$B$44+Assumptions!$B$45+Assumptions!$B$46-B261)+Assumptions!$B$47+B261+(C247+D247)+Assumptions!$B$48),(F247+(Assumptions!$B$35/IF(B247&lt;Assumptions!$B$26,Assumptions!$B$26*(Assumptions!$B$50+Assumptions!$B$5/Assumptions!$B$26)/(Assumptions!$B$50+Assumptions!$B$5/B247),Assumptions!$B$26))+(Assumptions!$B$34/IF(B247&lt;Assumptions!$B$25,Assumptions!$B$25*(Assumptions!$B$50+Assumptions!$B$5/Assumptions!$B$25)/(Assumptions!$B$50+Assumptions!$B$5/B247),Assumptions!$B$25))+Assumptions!$B$41+Assumptions!$B$40+Assumptions!$B$39+Assumptions!$B$38+(Assumptions!$B$44+Assumptions!$B$45+Assumptions!$B$46-B261)+Assumptions!$B$47+B261+(C247+D247)))</f>
        <v/>
      </c>
    </row>
    <row r="265">
      <c r="A265" t="inlineStr">
        <is>
          <t>Adjusted exit</t>
        </is>
      </c>
      <c r="B265">
        <f>IF(B263="YES",Assumptions!$B$16+Assumptions!$B$11*Assumptions!$B$48,Assumptions!$B$16)</f>
        <v/>
      </c>
    </row>
    <row r="266">
      <c r="A266" s="20" t="inlineStr">
        <is>
          <t>F elect</t>
        </is>
      </c>
      <c r="B266">
        <f>IF(Assumptions!$B$5&gt;(F247)*(B265-(0))/(B264-(0)),"preference","convert")</f>
        <v/>
      </c>
    </row>
    <row r="267">
      <c r="A267" t="inlineStr">
        <is>
          <t>F pref taken</t>
        </is>
      </c>
      <c r="B267">
        <f>IF(B266="preference",Assumptions!$B$5,0)</f>
        <v/>
      </c>
    </row>
    <row r="268">
      <c r="A268" t="inlineStr">
        <is>
          <t>F pool loss</t>
        </is>
      </c>
      <c r="B268">
        <f>IF(B266="preference",F247,0)</f>
        <v/>
      </c>
    </row>
    <row r="269">
      <c r="A269" s="20" t="inlineStr">
        <is>
          <t>E elect</t>
        </is>
      </c>
      <c r="B269">
        <f>IF(Assumptions!$B$35&gt;((Assumptions!$B$35/IF(B247&lt;Assumptions!$B$26,Assumptions!$B$26*(Assumptions!$B$50+Assumptions!$B$5/Assumptions!$B$26)/(Assumptions!$B$50+Assumptions!$B$5/B247),Assumptions!$B$26)))*(B265-(B267))/(B264-(B268)),"preference","convert")</f>
        <v/>
      </c>
    </row>
    <row r="270">
      <c r="A270" t="inlineStr">
        <is>
          <t>E pref taken</t>
        </is>
      </c>
      <c r="B270">
        <f>IF(B269="preference",Assumptions!$B$35,0)</f>
        <v/>
      </c>
    </row>
    <row r="271">
      <c r="A271" t="inlineStr">
        <is>
          <t>E pool loss</t>
        </is>
      </c>
      <c r="B271">
        <f>IF(B269="preference",(Assumptions!$B$35/IF(B247&lt;Assumptions!$B$26,Assumptions!$B$26*(Assumptions!$B$50+Assumptions!$B$5/Assumptions!$B$26)/(Assumptions!$B$50+Assumptions!$B$5/B247),Assumptions!$B$26)),0)</f>
        <v/>
      </c>
    </row>
    <row r="272">
      <c r="A272" s="20" t="inlineStr">
        <is>
          <t>D elect</t>
        </is>
      </c>
      <c r="B272">
        <f>IF(Assumptions!$B$34&gt;((Assumptions!$B$34/IF(B247&lt;Assumptions!$B$25,Assumptions!$B$25*(Assumptions!$B$50+Assumptions!$B$5/Assumptions!$B$25)/(Assumptions!$B$50+Assumptions!$B$5/B247),Assumptions!$B$25)))*(B265-(B267+B270))/(B264-(B268+B271)),"preference","convert")</f>
        <v/>
      </c>
    </row>
    <row r="273">
      <c r="A273" t="inlineStr">
        <is>
          <t>D pref taken</t>
        </is>
      </c>
      <c r="B273">
        <f>IF(B272="preference",Assumptions!$B$34,0)</f>
        <v/>
      </c>
    </row>
    <row r="274">
      <c r="A274" t="inlineStr">
        <is>
          <t>D pool loss</t>
        </is>
      </c>
      <c r="B274">
        <f>IF(B272="preference",(Assumptions!$B$34/IF(B247&lt;Assumptions!$B$25,Assumptions!$B$25*(Assumptions!$B$50+Assumptions!$B$5/Assumptions!$B$25)/(Assumptions!$B$50+Assumptions!$B$5/B247),Assumptions!$B$25)),0)</f>
        <v/>
      </c>
    </row>
    <row r="275">
      <c r="A275" s="20" t="inlineStr">
        <is>
          <t>C elect</t>
        </is>
      </c>
      <c r="B275">
        <f>IF(Assumptions!$B$33&gt;(Assumptions!$B$41)*(B265-(B267+B270+B273))/(B264-(B268+B271+B274)),"preference","convert")</f>
        <v/>
      </c>
    </row>
    <row r="276">
      <c r="A276" t="inlineStr">
        <is>
          <t>C pref taken</t>
        </is>
      </c>
      <c r="B276">
        <f>IF(B275="preference",Assumptions!$B$33,0)</f>
        <v/>
      </c>
    </row>
    <row r="277">
      <c r="A277" t="inlineStr">
        <is>
          <t>C pool loss</t>
        </is>
      </c>
      <c r="B277">
        <f>IF(B275="preference",Assumptions!$B$41,0)</f>
        <v/>
      </c>
    </row>
    <row r="278">
      <c r="A278" s="20" t="inlineStr">
        <is>
          <t>B elect</t>
        </is>
      </c>
      <c r="B278">
        <f>IF(Assumptions!$B$32&gt;(Assumptions!$B$40)*(B265-(B267+B270+B273+B276))/(B264-(B268+B271+B274+B277)),"preference","convert")</f>
        <v/>
      </c>
    </row>
    <row r="279">
      <c r="A279" t="inlineStr">
        <is>
          <t>B pref taken</t>
        </is>
      </c>
      <c r="B279">
        <f>IF(B278="preference",Assumptions!$B$32,0)</f>
        <v/>
      </c>
    </row>
    <row r="280">
      <c r="A280" t="inlineStr">
        <is>
          <t>B pool loss</t>
        </is>
      </c>
      <c r="B280">
        <f>IF(B278="preference",Assumptions!$B$40,0)</f>
        <v/>
      </c>
    </row>
    <row r="281">
      <c r="A281" s="20" t="inlineStr">
        <is>
          <t>A elect</t>
        </is>
      </c>
      <c r="B281">
        <f>IF(Assumptions!$B$31&gt;(Assumptions!$B$39)*(B265-(B267+B270+B273+B276+B279))/(B264-(B268+B271+B274+B277+B280)),"preference","convert")</f>
        <v/>
      </c>
    </row>
    <row r="282">
      <c r="A282" t="inlineStr">
        <is>
          <t>A pref taken</t>
        </is>
      </c>
      <c r="B282">
        <f>IF(B281="preference",Assumptions!$B$31,0)</f>
        <v/>
      </c>
    </row>
    <row r="283">
      <c r="A283" t="inlineStr">
        <is>
          <t>A pool loss</t>
        </is>
      </c>
      <c r="B283">
        <f>IF(B281="preference",Assumptions!$B$39,0)</f>
        <v/>
      </c>
    </row>
    <row r="284">
      <c r="A284" s="20" t="inlineStr">
        <is>
          <t>Seed elect</t>
        </is>
      </c>
      <c r="B284">
        <f>IF(Assumptions!$B$30&gt;(Assumptions!$B$38)*(B265-(B267+B270+B273+B276+B279+B282))/(B264-(B268+B271+B274+B277+B280+B283)),"preference","convert")</f>
        <v/>
      </c>
    </row>
    <row r="285">
      <c r="A285" t="inlineStr">
        <is>
          <t>Seed pref taken</t>
        </is>
      </c>
      <c r="B285">
        <f>IF(B284="preference",Assumptions!$B$30,0)</f>
        <v/>
      </c>
    </row>
    <row r="286">
      <c r="A286" t="inlineStr">
        <is>
          <t>Seed pool loss</t>
        </is>
      </c>
      <c r="B286">
        <f>IF(B284="preference",Assumptions!$B$38,0)</f>
        <v/>
      </c>
    </row>
    <row r="287">
      <c r="A287" s="2" t="inlineStr">
        <is>
          <t>Final PPS at $2B</t>
        </is>
      </c>
      <c r="B287">
        <f>(B265-(B267+B270+B273+B276+B279+B282+B285))/(B264-(B268+B271+B274+B277+B280+B283+B286))</f>
        <v/>
      </c>
    </row>
    <row r="288">
      <c r="A288" s="2" t="inlineStr">
        <is>
          <t>Fund proceeds at $2B</t>
        </is>
      </c>
      <c r="B288" s="18">
        <f>IF(B266="preference",Assumptions!$B$9,B259*B287)</f>
        <v/>
      </c>
    </row>
    <row r="312">
      <c r="A312" s="2" t="inlineStr">
        <is>
          <t>Scenario [esop=13%, pre=$1.2B]</t>
        </is>
      </c>
    </row>
    <row r="313">
      <c r="A313" t="inlineStr">
        <is>
          <t>ESOP target</t>
        </is>
      </c>
      <c r="B313">
        <f>Assumptions!$B$68</f>
        <v/>
      </c>
    </row>
    <row r="314">
      <c r="A314" t="inlineStr">
        <is>
          <t>Pre-money</t>
        </is>
      </c>
      <c r="B314">
        <f>Assumptions!$B$70</f>
        <v/>
      </c>
    </row>
    <row r="316">
      <c r="A316" s="14" t="inlineStr">
        <is>
          <t>k</t>
        </is>
      </c>
      <c r="B316" s="14" t="inlineStr">
        <is>
          <t>F_PPS_k</t>
        </is>
      </c>
      <c r="C316" s="14" t="inlineStr">
        <is>
          <t>nA_k</t>
        </is>
      </c>
      <c r="D316" s="14" t="inlineStr">
        <is>
          <t>nB_k</t>
        </is>
      </c>
      <c r="E316" s="14" t="inlineStr">
        <is>
          <t>AD_x</t>
        </is>
      </c>
      <c r="F316" s="14" t="inlineStr">
        <is>
          <t>F_pri</t>
        </is>
      </c>
      <c r="G316" s="14" t="inlineStr">
        <is>
          <t>topup_p</t>
        </is>
      </c>
      <c r="H316" s="14" t="inlineStr">
        <is>
          <t>topup</t>
        </is>
      </c>
      <c r="I316" s="14" t="inlineStr">
        <is>
          <t>pmFD</t>
        </is>
      </c>
      <c r="J316" s="14" t="inlineStr">
        <is>
          <t>T_F</t>
        </is>
      </c>
      <c r="K316" s="14" t="inlineStr">
        <is>
          <t>pmFD_A</t>
        </is>
      </c>
      <c r="L316" s="14" t="inlineStr">
        <is>
          <t>pmFD_B</t>
        </is>
      </c>
      <c r="M316" s="14" t="inlineStr">
        <is>
          <t>cap_A</t>
        </is>
      </c>
      <c r="N316" s="14" t="inlineStr">
        <is>
          <t>disc_A</t>
        </is>
      </c>
      <c r="O316" s="14" t="inlineStr">
        <is>
          <t>conv_A</t>
        </is>
      </c>
      <c r="P316" s="14" t="inlineStr">
        <is>
          <t>cap_B</t>
        </is>
      </c>
      <c r="Q316" s="14" t="inlineStr">
        <is>
          <t>disc_B</t>
        </is>
      </c>
      <c r="R316" s="14" t="inlineStr">
        <is>
          <t>conv_B</t>
        </is>
      </c>
      <c r="S316" s="14" t="inlineStr">
        <is>
          <t>F_PPS_n</t>
        </is>
      </c>
      <c r="T316" s="14" t="inlineStr">
        <is>
          <t>nA_n</t>
        </is>
      </c>
      <c r="U316" s="14" t="inlineStr">
        <is>
          <t>nB_n</t>
        </is>
      </c>
    </row>
    <row r="317">
      <c r="A317" t="n">
        <v>0</v>
      </c>
      <c r="B317">
        <f>$B$314/Assumptions!$B$50</f>
        <v/>
      </c>
      <c r="C317" t="n">
        <v>0</v>
      </c>
      <c r="D317" t="n">
        <v>0</v>
      </c>
      <c r="E317">
        <f>MAX(0,Assumptions!$B$34/IF(B317&lt;Assumptions!$B$25,Assumptions!$B$25*(Assumptions!$B$50+Assumptions!$B$5/Assumptions!$B$25)/(Assumptions!$B$50+Assumptions!$B$5/B317),Assumptions!$B$25)-Assumptions!$B$42)+MAX(0,Assumptions!$B$35/IF(B317&lt;Assumptions!$B$26,Assumptions!$B$26*(Assumptions!$B$50+Assumptions!$B$5/Assumptions!$B$26)/(Assumptions!$B$50+Assumptions!$B$5/B317),Assumptions!$B$26)-Assumptions!$B$43)</f>
        <v/>
      </c>
      <c r="F317">
        <f>Assumptions!$B$5/B317</f>
        <v/>
      </c>
      <c r="G317">
        <f>$B$313*(((Assumptions!$B$50-Assumptions!$B$51+E317+C317+D317)+F317)/(1-$B$313))-Assumptions!$B$51</f>
        <v/>
      </c>
      <c r="H317">
        <f>MAX(0,G317)</f>
        <v/>
      </c>
      <c r="I317">
        <f>Assumptions!$B$50+E317+H317+C317+D317</f>
        <v/>
      </c>
      <c r="J317">
        <f>I317+F317</f>
        <v/>
      </c>
      <c r="K317">
        <f>Assumptions!$B$50+E317+H317+D317</f>
        <v/>
      </c>
      <c r="L317">
        <f>Assumptions!$B$50+E317+H317+C317</f>
        <v/>
      </c>
      <c r="M317">
        <f>Assumptions!$B$60/K317</f>
        <v/>
      </c>
      <c r="N317">
        <f>B317*(1-Assumptions!$B$61)</f>
        <v/>
      </c>
      <c r="O317">
        <f>MIN(M317,N317)</f>
        <v/>
      </c>
      <c r="P317">
        <f>Assumptions!$B$63/L317</f>
        <v/>
      </c>
      <c r="Q317">
        <f>B317*(1-Assumptions!$B$64)</f>
        <v/>
      </c>
      <c r="R317">
        <f>MIN(P317,Q317)</f>
        <v/>
      </c>
      <c r="S317">
        <f>$B$314/I317</f>
        <v/>
      </c>
      <c r="T317">
        <f>Assumptions!$B$59/O317</f>
        <v/>
      </c>
      <c r="U317">
        <f>Assumptions!$B$62/R317</f>
        <v/>
      </c>
    </row>
    <row r="318">
      <c r="A318" t="n">
        <v>1</v>
      </c>
      <c r="B318">
        <f>S317</f>
        <v/>
      </c>
      <c r="C318">
        <f>T317</f>
        <v/>
      </c>
      <c r="D318">
        <f>U317</f>
        <v/>
      </c>
      <c r="E318">
        <f>MAX(0,Assumptions!$B$34/IF(B318&lt;Assumptions!$B$25,Assumptions!$B$25*(Assumptions!$B$50+Assumptions!$B$5/Assumptions!$B$25)/(Assumptions!$B$50+Assumptions!$B$5/B318),Assumptions!$B$25)-Assumptions!$B$42)+MAX(0,Assumptions!$B$35/IF(B318&lt;Assumptions!$B$26,Assumptions!$B$26*(Assumptions!$B$50+Assumptions!$B$5/Assumptions!$B$26)/(Assumptions!$B$50+Assumptions!$B$5/B318),Assumptions!$B$26)-Assumptions!$B$43)</f>
        <v/>
      </c>
      <c r="F318">
        <f>Assumptions!$B$5/B318</f>
        <v/>
      </c>
      <c r="G318">
        <f>$B$313*(((Assumptions!$B$50-Assumptions!$B$51+E318+C318+D318)+F318)/(1-$B$313))-Assumptions!$B$51</f>
        <v/>
      </c>
      <c r="H318">
        <f>MAX(0,G318)</f>
        <v/>
      </c>
      <c r="I318">
        <f>Assumptions!$B$50+E318+H318+C318+D318</f>
        <v/>
      </c>
      <c r="J318">
        <f>I318+F318</f>
        <v/>
      </c>
      <c r="K318">
        <f>Assumptions!$B$50+E318+H318+D318</f>
        <v/>
      </c>
      <c r="L318">
        <f>Assumptions!$B$50+E318+H318+C318</f>
        <v/>
      </c>
      <c r="M318">
        <f>Assumptions!$B$60/K318</f>
        <v/>
      </c>
      <c r="N318">
        <f>B318*(1-Assumptions!$B$61)</f>
        <v/>
      </c>
      <c r="O318">
        <f>MIN(M318,N318)</f>
        <v/>
      </c>
      <c r="P318">
        <f>Assumptions!$B$63/L318</f>
        <v/>
      </c>
      <c r="Q318">
        <f>B318*(1-Assumptions!$B$64)</f>
        <v/>
      </c>
      <c r="R318">
        <f>MIN(P318,Q318)</f>
        <v/>
      </c>
      <c r="S318">
        <f>$B$314/I318</f>
        <v/>
      </c>
      <c r="T318">
        <f>Assumptions!$B$59/O318</f>
        <v/>
      </c>
      <c r="U318">
        <f>Assumptions!$B$62/R318</f>
        <v/>
      </c>
    </row>
    <row r="319">
      <c r="A319" t="n">
        <v>2</v>
      </c>
      <c r="B319">
        <f>S318</f>
        <v/>
      </c>
      <c r="C319">
        <f>T318</f>
        <v/>
      </c>
      <c r="D319">
        <f>U318</f>
        <v/>
      </c>
      <c r="E319">
        <f>MAX(0,Assumptions!$B$34/IF(B319&lt;Assumptions!$B$25,Assumptions!$B$25*(Assumptions!$B$50+Assumptions!$B$5/Assumptions!$B$25)/(Assumptions!$B$50+Assumptions!$B$5/B319),Assumptions!$B$25)-Assumptions!$B$42)+MAX(0,Assumptions!$B$35/IF(B319&lt;Assumptions!$B$26,Assumptions!$B$26*(Assumptions!$B$50+Assumptions!$B$5/Assumptions!$B$26)/(Assumptions!$B$50+Assumptions!$B$5/B319),Assumptions!$B$26)-Assumptions!$B$43)</f>
        <v/>
      </c>
      <c r="F319">
        <f>Assumptions!$B$5/B319</f>
        <v/>
      </c>
      <c r="G319">
        <f>$B$313*(((Assumptions!$B$50-Assumptions!$B$51+E319+C319+D319)+F319)/(1-$B$313))-Assumptions!$B$51</f>
        <v/>
      </c>
      <c r="H319">
        <f>MAX(0,G319)</f>
        <v/>
      </c>
      <c r="I319">
        <f>Assumptions!$B$50+E319+H319+C319+D319</f>
        <v/>
      </c>
      <c r="J319">
        <f>I319+F319</f>
        <v/>
      </c>
      <c r="K319">
        <f>Assumptions!$B$50+E319+H319+D319</f>
        <v/>
      </c>
      <c r="L319">
        <f>Assumptions!$B$50+E319+H319+C319</f>
        <v/>
      </c>
      <c r="M319">
        <f>Assumptions!$B$60/K319</f>
        <v/>
      </c>
      <c r="N319">
        <f>B319*(1-Assumptions!$B$61)</f>
        <v/>
      </c>
      <c r="O319">
        <f>MIN(M319,N319)</f>
        <v/>
      </c>
      <c r="P319">
        <f>Assumptions!$B$63/L319</f>
        <v/>
      </c>
      <c r="Q319">
        <f>B319*(1-Assumptions!$B$64)</f>
        <v/>
      </c>
      <c r="R319">
        <f>MIN(P319,Q319)</f>
        <v/>
      </c>
      <c r="S319">
        <f>$B$314/I319</f>
        <v/>
      </c>
      <c r="T319">
        <f>Assumptions!$B$59/O319</f>
        <v/>
      </c>
      <c r="U319">
        <f>Assumptions!$B$62/R319</f>
        <v/>
      </c>
    </row>
    <row r="320">
      <c r="A320" t="n">
        <v>3</v>
      </c>
      <c r="B320">
        <f>S319</f>
        <v/>
      </c>
      <c r="C320">
        <f>T319</f>
        <v/>
      </c>
      <c r="D320">
        <f>U319</f>
        <v/>
      </c>
      <c r="E320">
        <f>MAX(0,Assumptions!$B$34/IF(B320&lt;Assumptions!$B$25,Assumptions!$B$25*(Assumptions!$B$50+Assumptions!$B$5/Assumptions!$B$25)/(Assumptions!$B$50+Assumptions!$B$5/B320),Assumptions!$B$25)-Assumptions!$B$42)+MAX(0,Assumptions!$B$35/IF(B320&lt;Assumptions!$B$26,Assumptions!$B$26*(Assumptions!$B$50+Assumptions!$B$5/Assumptions!$B$26)/(Assumptions!$B$50+Assumptions!$B$5/B320),Assumptions!$B$26)-Assumptions!$B$43)</f>
        <v/>
      </c>
      <c r="F320">
        <f>Assumptions!$B$5/B320</f>
        <v/>
      </c>
      <c r="G320">
        <f>$B$313*(((Assumptions!$B$50-Assumptions!$B$51+E320+C320+D320)+F320)/(1-$B$313))-Assumptions!$B$51</f>
        <v/>
      </c>
      <c r="H320">
        <f>MAX(0,G320)</f>
        <v/>
      </c>
      <c r="I320">
        <f>Assumptions!$B$50+E320+H320+C320+D320</f>
        <v/>
      </c>
      <c r="J320">
        <f>I320+F320</f>
        <v/>
      </c>
      <c r="K320">
        <f>Assumptions!$B$50+E320+H320+D320</f>
        <v/>
      </c>
      <c r="L320">
        <f>Assumptions!$B$50+E320+H320+C320</f>
        <v/>
      </c>
      <c r="M320">
        <f>Assumptions!$B$60/K320</f>
        <v/>
      </c>
      <c r="N320">
        <f>B320*(1-Assumptions!$B$61)</f>
        <v/>
      </c>
      <c r="O320">
        <f>MIN(M320,N320)</f>
        <v/>
      </c>
      <c r="P320">
        <f>Assumptions!$B$63/L320</f>
        <v/>
      </c>
      <c r="Q320">
        <f>B320*(1-Assumptions!$B$64)</f>
        <v/>
      </c>
      <c r="R320">
        <f>MIN(P320,Q320)</f>
        <v/>
      </c>
      <c r="S320">
        <f>$B$314/I320</f>
        <v/>
      </c>
      <c r="T320">
        <f>Assumptions!$B$59/O320</f>
        <v/>
      </c>
      <c r="U320">
        <f>Assumptions!$B$62/R320</f>
        <v/>
      </c>
    </row>
    <row r="321">
      <c r="A321" t="n">
        <v>4</v>
      </c>
      <c r="B321">
        <f>S320</f>
        <v/>
      </c>
      <c r="C321">
        <f>T320</f>
        <v/>
      </c>
      <c r="D321">
        <f>U320</f>
        <v/>
      </c>
      <c r="E321">
        <f>MAX(0,Assumptions!$B$34/IF(B321&lt;Assumptions!$B$25,Assumptions!$B$25*(Assumptions!$B$50+Assumptions!$B$5/Assumptions!$B$25)/(Assumptions!$B$50+Assumptions!$B$5/B321),Assumptions!$B$25)-Assumptions!$B$42)+MAX(0,Assumptions!$B$35/IF(B321&lt;Assumptions!$B$26,Assumptions!$B$26*(Assumptions!$B$50+Assumptions!$B$5/Assumptions!$B$26)/(Assumptions!$B$50+Assumptions!$B$5/B321),Assumptions!$B$26)-Assumptions!$B$43)</f>
        <v/>
      </c>
      <c r="F321">
        <f>Assumptions!$B$5/B321</f>
        <v/>
      </c>
      <c r="G321">
        <f>$B$313*(((Assumptions!$B$50-Assumptions!$B$51+E321+C321+D321)+F321)/(1-$B$313))-Assumptions!$B$51</f>
        <v/>
      </c>
      <c r="H321">
        <f>MAX(0,G321)</f>
        <v/>
      </c>
      <c r="I321">
        <f>Assumptions!$B$50+E321+H321+C321+D321</f>
        <v/>
      </c>
      <c r="J321">
        <f>I321+F321</f>
        <v/>
      </c>
      <c r="K321">
        <f>Assumptions!$B$50+E321+H321+D321</f>
        <v/>
      </c>
      <c r="L321">
        <f>Assumptions!$B$50+E321+H321+C321</f>
        <v/>
      </c>
      <c r="M321">
        <f>Assumptions!$B$60/K321</f>
        <v/>
      </c>
      <c r="N321">
        <f>B321*(1-Assumptions!$B$61)</f>
        <v/>
      </c>
      <c r="O321">
        <f>MIN(M321,N321)</f>
        <v/>
      </c>
      <c r="P321">
        <f>Assumptions!$B$63/L321</f>
        <v/>
      </c>
      <c r="Q321">
        <f>B321*(1-Assumptions!$B$64)</f>
        <v/>
      </c>
      <c r="R321">
        <f>MIN(P321,Q321)</f>
        <v/>
      </c>
      <c r="S321">
        <f>$B$314/I321</f>
        <v/>
      </c>
      <c r="T321">
        <f>Assumptions!$B$59/O321</f>
        <v/>
      </c>
      <c r="U321">
        <f>Assumptions!$B$62/R321</f>
        <v/>
      </c>
    </row>
    <row r="322">
      <c r="A322" t="n">
        <v>5</v>
      </c>
      <c r="B322">
        <f>S321</f>
        <v/>
      </c>
      <c r="C322">
        <f>T321</f>
        <v/>
      </c>
      <c r="D322">
        <f>U321</f>
        <v/>
      </c>
      <c r="E322">
        <f>MAX(0,Assumptions!$B$34/IF(B322&lt;Assumptions!$B$25,Assumptions!$B$25*(Assumptions!$B$50+Assumptions!$B$5/Assumptions!$B$25)/(Assumptions!$B$50+Assumptions!$B$5/B322),Assumptions!$B$25)-Assumptions!$B$42)+MAX(0,Assumptions!$B$35/IF(B322&lt;Assumptions!$B$26,Assumptions!$B$26*(Assumptions!$B$50+Assumptions!$B$5/Assumptions!$B$26)/(Assumptions!$B$50+Assumptions!$B$5/B322),Assumptions!$B$26)-Assumptions!$B$43)</f>
        <v/>
      </c>
      <c r="F322">
        <f>Assumptions!$B$5/B322</f>
        <v/>
      </c>
      <c r="G322">
        <f>$B$313*(((Assumptions!$B$50-Assumptions!$B$51+E322+C322+D322)+F322)/(1-$B$313))-Assumptions!$B$51</f>
        <v/>
      </c>
      <c r="H322">
        <f>MAX(0,G322)</f>
        <v/>
      </c>
      <c r="I322">
        <f>Assumptions!$B$50+E322+H322+C322+D322</f>
        <v/>
      </c>
      <c r="J322">
        <f>I322+F322</f>
        <v/>
      </c>
      <c r="K322">
        <f>Assumptions!$B$50+E322+H322+D322</f>
        <v/>
      </c>
      <c r="L322">
        <f>Assumptions!$B$50+E322+H322+C322</f>
        <v/>
      </c>
      <c r="M322">
        <f>Assumptions!$B$60/K322</f>
        <v/>
      </c>
      <c r="N322">
        <f>B322*(1-Assumptions!$B$61)</f>
        <v/>
      </c>
      <c r="O322">
        <f>MIN(M322,N322)</f>
        <v/>
      </c>
      <c r="P322">
        <f>Assumptions!$B$63/L322</f>
        <v/>
      </c>
      <c r="Q322">
        <f>B322*(1-Assumptions!$B$64)</f>
        <v/>
      </c>
      <c r="R322">
        <f>MIN(P322,Q322)</f>
        <v/>
      </c>
      <c r="S322">
        <f>$B$314/I322</f>
        <v/>
      </c>
      <c r="T322">
        <f>Assumptions!$B$59/O322</f>
        <v/>
      </c>
      <c r="U322">
        <f>Assumptions!$B$62/R322</f>
        <v/>
      </c>
    </row>
    <row r="323">
      <c r="A323" t="n">
        <v>6</v>
      </c>
      <c r="B323">
        <f>S322</f>
        <v/>
      </c>
      <c r="C323">
        <f>T322</f>
        <v/>
      </c>
      <c r="D323">
        <f>U322</f>
        <v/>
      </c>
      <c r="E323">
        <f>MAX(0,Assumptions!$B$34/IF(B323&lt;Assumptions!$B$25,Assumptions!$B$25*(Assumptions!$B$50+Assumptions!$B$5/Assumptions!$B$25)/(Assumptions!$B$50+Assumptions!$B$5/B323),Assumptions!$B$25)-Assumptions!$B$42)+MAX(0,Assumptions!$B$35/IF(B323&lt;Assumptions!$B$26,Assumptions!$B$26*(Assumptions!$B$50+Assumptions!$B$5/Assumptions!$B$26)/(Assumptions!$B$50+Assumptions!$B$5/B323),Assumptions!$B$26)-Assumptions!$B$43)</f>
        <v/>
      </c>
      <c r="F323">
        <f>Assumptions!$B$5/B323</f>
        <v/>
      </c>
      <c r="G323">
        <f>$B$313*(((Assumptions!$B$50-Assumptions!$B$51+E323+C323+D323)+F323)/(1-$B$313))-Assumptions!$B$51</f>
        <v/>
      </c>
      <c r="H323">
        <f>MAX(0,G323)</f>
        <v/>
      </c>
      <c r="I323">
        <f>Assumptions!$B$50+E323+H323+C323+D323</f>
        <v/>
      </c>
      <c r="J323">
        <f>I323+F323</f>
        <v/>
      </c>
      <c r="K323">
        <f>Assumptions!$B$50+E323+H323+D323</f>
        <v/>
      </c>
      <c r="L323">
        <f>Assumptions!$B$50+E323+H323+C323</f>
        <v/>
      </c>
      <c r="M323">
        <f>Assumptions!$B$60/K323</f>
        <v/>
      </c>
      <c r="N323">
        <f>B323*(1-Assumptions!$B$61)</f>
        <v/>
      </c>
      <c r="O323">
        <f>MIN(M323,N323)</f>
        <v/>
      </c>
      <c r="P323">
        <f>Assumptions!$B$63/L323</f>
        <v/>
      </c>
      <c r="Q323">
        <f>B323*(1-Assumptions!$B$64)</f>
        <v/>
      </c>
      <c r="R323">
        <f>MIN(P323,Q323)</f>
        <v/>
      </c>
      <c r="S323">
        <f>$B$314/I323</f>
        <v/>
      </c>
      <c r="T323">
        <f>Assumptions!$B$59/O323</f>
        <v/>
      </c>
      <c r="U323">
        <f>Assumptions!$B$62/R323</f>
        <v/>
      </c>
    </row>
    <row r="324">
      <c r="A324" t="n">
        <v>7</v>
      </c>
      <c r="B324">
        <f>S323</f>
        <v/>
      </c>
      <c r="C324">
        <f>T323</f>
        <v/>
      </c>
      <c r="D324">
        <f>U323</f>
        <v/>
      </c>
      <c r="E324">
        <f>MAX(0,Assumptions!$B$34/IF(B324&lt;Assumptions!$B$25,Assumptions!$B$25*(Assumptions!$B$50+Assumptions!$B$5/Assumptions!$B$25)/(Assumptions!$B$50+Assumptions!$B$5/B324),Assumptions!$B$25)-Assumptions!$B$42)+MAX(0,Assumptions!$B$35/IF(B324&lt;Assumptions!$B$26,Assumptions!$B$26*(Assumptions!$B$50+Assumptions!$B$5/Assumptions!$B$26)/(Assumptions!$B$50+Assumptions!$B$5/B324),Assumptions!$B$26)-Assumptions!$B$43)</f>
        <v/>
      </c>
      <c r="F324">
        <f>Assumptions!$B$5/B324</f>
        <v/>
      </c>
      <c r="G324">
        <f>$B$313*(((Assumptions!$B$50-Assumptions!$B$51+E324+C324+D324)+F324)/(1-$B$313))-Assumptions!$B$51</f>
        <v/>
      </c>
      <c r="H324">
        <f>MAX(0,G324)</f>
        <v/>
      </c>
      <c r="I324">
        <f>Assumptions!$B$50+E324+H324+C324+D324</f>
        <v/>
      </c>
      <c r="J324">
        <f>I324+F324</f>
        <v/>
      </c>
      <c r="K324">
        <f>Assumptions!$B$50+E324+H324+D324</f>
        <v/>
      </c>
      <c r="L324">
        <f>Assumptions!$B$50+E324+H324+C324</f>
        <v/>
      </c>
      <c r="M324">
        <f>Assumptions!$B$60/K324</f>
        <v/>
      </c>
      <c r="N324">
        <f>B324*(1-Assumptions!$B$61)</f>
        <v/>
      </c>
      <c r="O324">
        <f>MIN(M324,N324)</f>
        <v/>
      </c>
      <c r="P324">
        <f>Assumptions!$B$63/L324</f>
        <v/>
      </c>
      <c r="Q324">
        <f>B324*(1-Assumptions!$B$64)</f>
        <v/>
      </c>
      <c r="R324">
        <f>MIN(P324,Q324)</f>
        <v/>
      </c>
      <c r="S324">
        <f>$B$314/I324</f>
        <v/>
      </c>
      <c r="T324">
        <f>Assumptions!$B$59/O324</f>
        <v/>
      </c>
      <c r="U324">
        <f>Assumptions!$B$62/R324</f>
        <v/>
      </c>
    </row>
    <row r="325">
      <c r="A325" t="n">
        <v>8</v>
      </c>
      <c r="B325">
        <f>S324</f>
        <v/>
      </c>
      <c r="C325">
        <f>T324</f>
        <v/>
      </c>
      <c r="D325">
        <f>U324</f>
        <v/>
      </c>
      <c r="E325">
        <f>MAX(0,Assumptions!$B$34/IF(B325&lt;Assumptions!$B$25,Assumptions!$B$25*(Assumptions!$B$50+Assumptions!$B$5/Assumptions!$B$25)/(Assumptions!$B$50+Assumptions!$B$5/B325),Assumptions!$B$25)-Assumptions!$B$42)+MAX(0,Assumptions!$B$35/IF(B325&lt;Assumptions!$B$26,Assumptions!$B$26*(Assumptions!$B$50+Assumptions!$B$5/Assumptions!$B$26)/(Assumptions!$B$50+Assumptions!$B$5/B325),Assumptions!$B$26)-Assumptions!$B$43)</f>
        <v/>
      </c>
      <c r="F325">
        <f>Assumptions!$B$5/B325</f>
        <v/>
      </c>
      <c r="G325">
        <f>$B$313*(((Assumptions!$B$50-Assumptions!$B$51+E325+C325+D325)+F325)/(1-$B$313))-Assumptions!$B$51</f>
        <v/>
      </c>
      <c r="H325">
        <f>MAX(0,G325)</f>
        <v/>
      </c>
      <c r="I325">
        <f>Assumptions!$B$50+E325+H325+C325+D325</f>
        <v/>
      </c>
      <c r="J325">
        <f>I325+F325</f>
        <v/>
      </c>
      <c r="K325">
        <f>Assumptions!$B$50+E325+H325+D325</f>
        <v/>
      </c>
      <c r="L325">
        <f>Assumptions!$B$50+E325+H325+C325</f>
        <v/>
      </c>
      <c r="M325">
        <f>Assumptions!$B$60/K325</f>
        <v/>
      </c>
      <c r="N325">
        <f>B325*(1-Assumptions!$B$61)</f>
        <v/>
      </c>
      <c r="O325">
        <f>MIN(M325,N325)</f>
        <v/>
      </c>
      <c r="P325">
        <f>Assumptions!$B$63/L325</f>
        <v/>
      </c>
      <c r="Q325">
        <f>B325*(1-Assumptions!$B$64)</f>
        <v/>
      </c>
      <c r="R325">
        <f>MIN(P325,Q325)</f>
        <v/>
      </c>
      <c r="S325">
        <f>$B$314/I325</f>
        <v/>
      </c>
      <c r="T325">
        <f>Assumptions!$B$59/O325</f>
        <v/>
      </c>
      <c r="U325">
        <f>Assumptions!$B$62/R325</f>
        <v/>
      </c>
    </row>
    <row r="326">
      <c r="A326" t="n">
        <v>9</v>
      </c>
      <c r="B326">
        <f>S325</f>
        <v/>
      </c>
      <c r="C326">
        <f>T325</f>
        <v/>
      </c>
      <c r="D326">
        <f>U325</f>
        <v/>
      </c>
      <c r="E326">
        <f>MAX(0,Assumptions!$B$34/IF(B326&lt;Assumptions!$B$25,Assumptions!$B$25*(Assumptions!$B$50+Assumptions!$B$5/Assumptions!$B$25)/(Assumptions!$B$50+Assumptions!$B$5/B326),Assumptions!$B$25)-Assumptions!$B$42)+MAX(0,Assumptions!$B$35/IF(B326&lt;Assumptions!$B$26,Assumptions!$B$26*(Assumptions!$B$50+Assumptions!$B$5/Assumptions!$B$26)/(Assumptions!$B$50+Assumptions!$B$5/B326),Assumptions!$B$26)-Assumptions!$B$43)</f>
        <v/>
      </c>
      <c r="F326">
        <f>Assumptions!$B$5/B326</f>
        <v/>
      </c>
      <c r="G326">
        <f>$B$313*(((Assumptions!$B$50-Assumptions!$B$51+E326+C326+D326)+F326)/(1-$B$313))-Assumptions!$B$51</f>
        <v/>
      </c>
      <c r="H326">
        <f>MAX(0,G326)</f>
        <v/>
      </c>
      <c r="I326">
        <f>Assumptions!$B$50+E326+H326+C326+D326</f>
        <v/>
      </c>
      <c r="J326">
        <f>I326+F326</f>
        <v/>
      </c>
      <c r="K326">
        <f>Assumptions!$B$50+E326+H326+D326</f>
        <v/>
      </c>
      <c r="L326">
        <f>Assumptions!$B$50+E326+H326+C326</f>
        <v/>
      </c>
      <c r="M326">
        <f>Assumptions!$B$60/K326</f>
        <v/>
      </c>
      <c r="N326">
        <f>B326*(1-Assumptions!$B$61)</f>
        <v/>
      </c>
      <c r="O326">
        <f>MIN(M326,N326)</f>
        <v/>
      </c>
      <c r="P326">
        <f>Assumptions!$B$63/L326</f>
        <v/>
      </c>
      <c r="Q326">
        <f>B326*(1-Assumptions!$B$64)</f>
        <v/>
      </c>
      <c r="R326">
        <f>MIN(P326,Q326)</f>
        <v/>
      </c>
      <c r="S326">
        <f>$B$314/I326</f>
        <v/>
      </c>
      <c r="T326">
        <f>Assumptions!$B$59/O326</f>
        <v/>
      </c>
      <c r="U326">
        <f>Assumptions!$B$62/R326</f>
        <v/>
      </c>
    </row>
    <row r="327">
      <c r="A327" t="n">
        <v>10</v>
      </c>
      <c r="B327">
        <f>S326</f>
        <v/>
      </c>
      <c r="C327">
        <f>T326</f>
        <v/>
      </c>
      <c r="D327">
        <f>U326</f>
        <v/>
      </c>
      <c r="E327">
        <f>MAX(0,Assumptions!$B$34/IF(B327&lt;Assumptions!$B$25,Assumptions!$B$25*(Assumptions!$B$50+Assumptions!$B$5/Assumptions!$B$25)/(Assumptions!$B$50+Assumptions!$B$5/B327),Assumptions!$B$25)-Assumptions!$B$42)+MAX(0,Assumptions!$B$35/IF(B327&lt;Assumptions!$B$26,Assumptions!$B$26*(Assumptions!$B$50+Assumptions!$B$5/Assumptions!$B$26)/(Assumptions!$B$50+Assumptions!$B$5/B327),Assumptions!$B$26)-Assumptions!$B$43)</f>
        <v/>
      </c>
      <c r="F327">
        <f>Assumptions!$B$5/B327</f>
        <v/>
      </c>
      <c r="G327">
        <f>$B$313*(((Assumptions!$B$50-Assumptions!$B$51+E327+C327+D327)+F327)/(1-$B$313))-Assumptions!$B$51</f>
        <v/>
      </c>
      <c r="H327">
        <f>MAX(0,G327)</f>
        <v/>
      </c>
      <c r="I327">
        <f>Assumptions!$B$50+E327+H327+C327+D327</f>
        <v/>
      </c>
      <c r="J327">
        <f>I327+F327</f>
        <v/>
      </c>
      <c r="K327">
        <f>Assumptions!$B$50+E327+H327+D327</f>
        <v/>
      </c>
      <c r="L327">
        <f>Assumptions!$B$50+E327+H327+C327</f>
        <v/>
      </c>
      <c r="M327">
        <f>Assumptions!$B$60/K327</f>
        <v/>
      </c>
      <c r="N327">
        <f>B327*(1-Assumptions!$B$61)</f>
        <v/>
      </c>
      <c r="O327">
        <f>MIN(M327,N327)</f>
        <v/>
      </c>
      <c r="P327">
        <f>Assumptions!$B$63/L327</f>
        <v/>
      </c>
      <c r="Q327">
        <f>B327*(1-Assumptions!$B$64)</f>
        <v/>
      </c>
      <c r="R327">
        <f>MIN(P327,Q327)</f>
        <v/>
      </c>
      <c r="S327">
        <f>$B$314/I327</f>
        <v/>
      </c>
      <c r="T327">
        <f>Assumptions!$B$59/O327</f>
        <v/>
      </c>
      <c r="U327">
        <f>Assumptions!$B$62/R327</f>
        <v/>
      </c>
    </row>
    <row r="328">
      <c r="A328" t="n">
        <v>11</v>
      </c>
      <c r="B328">
        <f>S327</f>
        <v/>
      </c>
      <c r="C328">
        <f>T327</f>
        <v/>
      </c>
      <c r="D328">
        <f>U327</f>
        <v/>
      </c>
      <c r="E328">
        <f>MAX(0,Assumptions!$B$34/IF(B328&lt;Assumptions!$B$25,Assumptions!$B$25*(Assumptions!$B$50+Assumptions!$B$5/Assumptions!$B$25)/(Assumptions!$B$50+Assumptions!$B$5/B328),Assumptions!$B$25)-Assumptions!$B$42)+MAX(0,Assumptions!$B$35/IF(B328&lt;Assumptions!$B$26,Assumptions!$B$26*(Assumptions!$B$50+Assumptions!$B$5/Assumptions!$B$26)/(Assumptions!$B$50+Assumptions!$B$5/B328),Assumptions!$B$26)-Assumptions!$B$43)</f>
        <v/>
      </c>
      <c r="F328">
        <f>Assumptions!$B$5/B328</f>
        <v/>
      </c>
      <c r="G328">
        <f>$B$313*(((Assumptions!$B$50-Assumptions!$B$51+E328+C328+D328)+F328)/(1-$B$313))-Assumptions!$B$51</f>
        <v/>
      </c>
      <c r="H328">
        <f>MAX(0,G328)</f>
        <v/>
      </c>
      <c r="I328">
        <f>Assumptions!$B$50+E328+H328+C328+D328</f>
        <v/>
      </c>
      <c r="J328">
        <f>I328+F328</f>
        <v/>
      </c>
      <c r="K328">
        <f>Assumptions!$B$50+E328+H328+D328</f>
        <v/>
      </c>
      <c r="L328">
        <f>Assumptions!$B$50+E328+H328+C328</f>
        <v/>
      </c>
      <c r="M328">
        <f>Assumptions!$B$60/K328</f>
        <v/>
      </c>
      <c r="N328">
        <f>B328*(1-Assumptions!$B$61)</f>
        <v/>
      </c>
      <c r="O328">
        <f>MIN(M328,N328)</f>
        <v/>
      </c>
      <c r="P328">
        <f>Assumptions!$B$63/L328</f>
        <v/>
      </c>
      <c r="Q328">
        <f>B328*(1-Assumptions!$B$64)</f>
        <v/>
      </c>
      <c r="R328">
        <f>MIN(P328,Q328)</f>
        <v/>
      </c>
      <c r="S328">
        <f>$B$314/I328</f>
        <v/>
      </c>
      <c r="T328">
        <f>Assumptions!$B$59/O328</f>
        <v/>
      </c>
      <c r="U328">
        <f>Assumptions!$B$62/R328</f>
        <v/>
      </c>
    </row>
    <row r="329">
      <c r="A329" t="n">
        <v>12</v>
      </c>
      <c r="B329">
        <f>S328</f>
        <v/>
      </c>
      <c r="C329">
        <f>T328</f>
        <v/>
      </c>
      <c r="D329">
        <f>U328</f>
        <v/>
      </c>
      <c r="E329">
        <f>MAX(0,Assumptions!$B$34/IF(B329&lt;Assumptions!$B$25,Assumptions!$B$25*(Assumptions!$B$50+Assumptions!$B$5/Assumptions!$B$25)/(Assumptions!$B$50+Assumptions!$B$5/B329),Assumptions!$B$25)-Assumptions!$B$42)+MAX(0,Assumptions!$B$35/IF(B329&lt;Assumptions!$B$26,Assumptions!$B$26*(Assumptions!$B$50+Assumptions!$B$5/Assumptions!$B$26)/(Assumptions!$B$50+Assumptions!$B$5/B329),Assumptions!$B$26)-Assumptions!$B$43)</f>
        <v/>
      </c>
      <c r="F329">
        <f>Assumptions!$B$5/B329</f>
        <v/>
      </c>
      <c r="G329">
        <f>$B$313*(((Assumptions!$B$50-Assumptions!$B$51+E329+C329+D329)+F329)/(1-$B$313))-Assumptions!$B$51</f>
        <v/>
      </c>
      <c r="H329">
        <f>MAX(0,G329)</f>
        <v/>
      </c>
      <c r="I329">
        <f>Assumptions!$B$50+E329+H329+C329+D329</f>
        <v/>
      </c>
      <c r="J329">
        <f>I329+F329</f>
        <v/>
      </c>
      <c r="K329">
        <f>Assumptions!$B$50+E329+H329+D329</f>
        <v/>
      </c>
      <c r="L329">
        <f>Assumptions!$B$50+E329+H329+C329</f>
        <v/>
      </c>
      <c r="M329">
        <f>Assumptions!$B$60/K329</f>
        <v/>
      </c>
      <c r="N329">
        <f>B329*(1-Assumptions!$B$61)</f>
        <v/>
      </c>
      <c r="O329">
        <f>MIN(M329,N329)</f>
        <v/>
      </c>
      <c r="P329">
        <f>Assumptions!$B$63/L329</f>
        <v/>
      </c>
      <c r="Q329">
        <f>B329*(1-Assumptions!$B$64)</f>
        <v/>
      </c>
      <c r="R329">
        <f>MIN(P329,Q329)</f>
        <v/>
      </c>
      <c r="S329">
        <f>$B$314/I329</f>
        <v/>
      </c>
      <c r="T329">
        <f>Assumptions!$B$59/O329</f>
        <v/>
      </c>
      <c r="U329">
        <f>Assumptions!$B$62/R329</f>
        <v/>
      </c>
    </row>
    <row r="330">
      <c r="A330" t="n">
        <v>13</v>
      </c>
      <c r="B330">
        <f>S329</f>
        <v/>
      </c>
      <c r="C330">
        <f>T329</f>
        <v/>
      </c>
      <c r="D330">
        <f>U329</f>
        <v/>
      </c>
      <c r="E330">
        <f>MAX(0,Assumptions!$B$34/IF(B330&lt;Assumptions!$B$25,Assumptions!$B$25*(Assumptions!$B$50+Assumptions!$B$5/Assumptions!$B$25)/(Assumptions!$B$50+Assumptions!$B$5/B330),Assumptions!$B$25)-Assumptions!$B$42)+MAX(0,Assumptions!$B$35/IF(B330&lt;Assumptions!$B$26,Assumptions!$B$26*(Assumptions!$B$50+Assumptions!$B$5/Assumptions!$B$26)/(Assumptions!$B$50+Assumptions!$B$5/B330),Assumptions!$B$26)-Assumptions!$B$43)</f>
        <v/>
      </c>
      <c r="F330">
        <f>Assumptions!$B$5/B330</f>
        <v/>
      </c>
      <c r="G330">
        <f>$B$313*(((Assumptions!$B$50-Assumptions!$B$51+E330+C330+D330)+F330)/(1-$B$313))-Assumptions!$B$51</f>
        <v/>
      </c>
      <c r="H330">
        <f>MAX(0,G330)</f>
        <v/>
      </c>
      <c r="I330">
        <f>Assumptions!$B$50+E330+H330+C330+D330</f>
        <v/>
      </c>
      <c r="J330">
        <f>I330+F330</f>
        <v/>
      </c>
      <c r="K330">
        <f>Assumptions!$B$50+E330+H330+D330</f>
        <v/>
      </c>
      <c r="L330">
        <f>Assumptions!$B$50+E330+H330+C330</f>
        <v/>
      </c>
      <c r="M330">
        <f>Assumptions!$B$60/K330</f>
        <v/>
      </c>
      <c r="N330">
        <f>B330*(1-Assumptions!$B$61)</f>
        <v/>
      </c>
      <c r="O330">
        <f>MIN(M330,N330)</f>
        <v/>
      </c>
      <c r="P330">
        <f>Assumptions!$B$63/L330</f>
        <v/>
      </c>
      <c r="Q330">
        <f>B330*(1-Assumptions!$B$64)</f>
        <v/>
      </c>
      <c r="R330">
        <f>MIN(P330,Q330)</f>
        <v/>
      </c>
      <c r="S330">
        <f>$B$314/I330</f>
        <v/>
      </c>
      <c r="T330">
        <f>Assumptions!$B$59/O330</f>
        <v/>
      </c>
      <c r="U330">
        <f>Assumptions!$B$62/R330</f>
        <v/>
      </c>
    </row>
    <row r="331">
      <c r="A331" t="n">
        <v>14</v>
      </c>
      <c r="B331">
        <f>S330</f>
        <v/>
      </c>
      <c r="C331">
        <f>T330</f>
        <v/>
      </c>
      <c r="D331">
        <f>U330</f>
        <v/>
      </c>
      <c r="E331">
        <f>MAX(0,Assumptions!$B$34/IF(B331&lt;Assumptions!$B$25,Assumptions!$B$25*(Assumptions!$B$50+Assumptions!$B$5/Assumptions!$B$25)/(Assumptions!$B$50+Assumptions!$B$5/B331),Assumptions!$B$25)-Assumptions!$B$42)+MAX(0,Assumptions!$B$35/IF(B331&lt;Assumptions!$B$26,Assumptions!$B$26*(Assumptions!$B$50+Assumptions!$B$5/Assumptions!$B$26)/(Assumptions!$B$50+Assumptions!$B$5/B331),Assumptions!$B$26)-Assumptions!$B$43)</f>
        <v/>
      </c>
      <c r="F331">
        <f>Assumptions!$B$5/B331</f>
        <v/>
      </c>
      <c r="G331">
        <f>$B$313*(((Assumptions!$B$50-Assumptions!$B$51+E331+C331+D331)+F331)/(1-$B$313))-Assumptions!$B$51</f>
        <v/>
      </c>
      <c r="H331">
        <f>MAX(0,G331)</f>
        <v/>
      </c>
      <c r="I331">
        <f>Assumptions!$B$50+E331+H331+C331+D331</f>
        <v/>
      </c>
      <c r="J331">
        <f>I331+F331</f>
        <v/>
      </c>
      <c r="K331">
        <f>Assumptions!$B$50+E331+H331+D331</f>
        <v/>
      </c>
      <c r="L331">
        <f>Assumptions!$B$50+E331+H331+C331</f>
        <v/>
      </c>
      <c r="M331">
        <f>Assumptions!$B$60/K331</f>
        <v/>
      </c>
      <c r="N331">
        <f>B331*(1-Assumptions!$B$61)</f>
        <v/>
      </c>
      <c r="O331">
        <f>MIN(M331,N331)</f>
        <v/>
      </c>
      <c r="P331">
        <f>Assumptions!$B$63/L331</f>
        <v/>
      </c>
      <c r="Q331">
        <f>B331*(1-Assumptions!$B$64)</f>
        <v/>
      </c>
      <c r="R331">
        <f>MIN(P331,Q331)</f>
        <v/>
      </c>
      <c r="S331">
        <f>$B$314/I331</f>
        <v/>
      </c>
      <c r="T331">
        <f>Assumptions!$B$59/O331</f>
        <v/>
      </c>
      <c r="U331">
        <f>Assumptions!$B$62/R331</f>
        <v/>
      </c>
    </row>
    <row r="332">
      <c r="A332" t="n">
        <v>15</v>
      </c>
      <c r="B332">
        <f>S331</f>
        <v/>
      </c>
      <c r="C332">
        <f>T331</f>
        <v/>
      </c>
      <c r="D332">
        <f>U331</f>
        <v/>
      </c>
      <c r="E332">
        <f>MAX(0,Assumptions!$B$34/IF(B332&lt;Assumptions!$B$25,Assumptions!$B$25*(Assumptions!$B$50+Assumptions!$B$5/Assumptions!$B$25)/(Assumptions!$B$50+Assumptions!$B$5/B332),Assumptions!$B$25)-Assumptions!$B$42)+MAX(0,Assumptions!$B$35/IF(B332&lt;Assumptions!$B$26,Assumptions!$B$26*(Assumptions!$B$50+Assumptions!$B$5/Assumptions!$B$26)/(Assumptions!$B$50+Assumptions!$B$5/B332),Assumptions!$B$26)-Assumptions!$B$43)</f>
        <v/>
      </c>
      <c r="F332">
        <f>Assumptions!$B$5/B332</f>
        <v/>
      </c>
      <c r="G332">
        <f>$B$313*(((Assumptions!$B$50-Assumptions!$B$51+E332+C332+D332)+F332)/(1-$B$313))-Assumptions!$B$51</f>
        <v/>
      </c>
      <c r="H332">
        <f>MAX(0,G332)</f>
        <v/>
      </c>
      <c r="I332">
        <f>Assumptions!$B$50+E332+H332+C332+D332</f>
        <v/>
      </c>
      <c r="J332">
        <f>I332+F332</f>
        <v/>
      </c>
      <c r="K332">
        <f>Assumptions!$B$50+E332+H332+D332</f>
        <v/>
      </c>
      <c r="L332">
        <f>Assumptions!$B$50+E332+H332+C332</f>
        <v/>
      </c>
      <c r="M332">
        <f>Assumptions!$B$60/K332</f>
        <v/>
      </c>
      <c r="N332">
        <f>B332*(1-Assumptions!$B$61)</f>
        <v/>
      </c>
      <c r="O332">
        <f>MIN(M332,N332)</f>
        <v/>
      </c>
      <c r="P332">
        <f>Assumptions!$B$63/L332</f>
        <v/>
      </c>
      <c r="Q332">
        <f>B332*(1-Assumptions!$B$64)</f>
        <v/>
      </c>
      <c r="R332">
        <f>MIN(P332,Q332)</f>
        <v/>
      </c>
      <c r="S332">
        <f>$B$314/I332</f>
        <v/>
      </c>
      <c r="T332">
        <f>Assumptions!$B$59/O332</f>
        <v/>
      </c>
      <c r="U332">
        <f>Assumptions!$B$62/R332</f>
        <v/>
      </c>
    </row>
    <row r="333">
      <c r="A333" t="n">
        <v>16</v>
      </c>
      <c r="B333">
        <f>S332</f>
        <v/>
      </c>
      <c r="C333">
        <f>T332</f>
        <v/>
      </c>
      <c r="D333">
        <f>U332</f>
        <v/>
      </c>
      <c r="E333">
        <f>MAX(0,Assumptions!$B$34/IF(B333&lt;Assumptions!$B$25,Assumptions!$B$25*(Assumptions!$B$50+Assumptions!$B$5/Assumptions!$B$25)/(Assumptions!$B$50+Assumptions!$B$5/B333),Assumptions!$B$25)-Assumptions!$B$42)+MAX(0,Assumptions!$B$35/IF(B333&lt;Assumptions!$B$26,Assumptions!$B$26*(Assumptions!$B$50+Assumptions!$B$5/Assumptions!$B$26)/(Assumptions!$B$50+Assumptions!$B$5/B333),Assumptions!$B$26)-Assumptions!$B$43)</f>
        <v/>
      </c>
      <c r="F333">
        <f>Assumptions!$B$5/B333</f>
        <v/>
      </c>
      <c r="G333">
        <f>$B$313*(((Assumptions!$B$50-Assumptions!$B$51+E333+C333+D333)+F333)/(1-$B$313))-Assumptions!$B$51</f>
        <v/>
      </c>
      <c r="H333">
        <f>MAX(0,G333)</f>
        <v/>
      </c>
      <c r="I333">
        <f>Assumptions!$B$50+E333+H333+C333+D333</f>
        <v/>
      </c>
      <c r="J333">
        <f>I333+F333</f>
        <v/>
      </c>
      <c r="K333">
        <f>Assumptions!$B$50+E333+H333+D333</f>
        <v/>
      </c>
      <c r="L333">
        <f>Assumptions!$B$50+E333+H333+C333</f>
        <v/>
      </c>
      <c r="M333">
        <f>Assumptions!$B$60/K333</f>
        <v/>
      </c>
      <c r="N333">
        <f>B333*(1-Assumptions!$B$61)</f>
        <v/>
      </c>
      <c r="O333">
        <f>MIN(M333,N333)</f>
        <v/>
      </c>
      <c r="P333">
        <f>Assumptions!$B$63/L333</f>
        <v/>
      </c>
      <c r="Q333">
        <f>B333*(1-Assumptions!$B$64)</f>
        <v/>
      </c>
      <c r="R333">
        <f>MIN(P333,Q333)</f>
        <v/>
      </c>
      <c r="S333">
        <f>$B$314/I333</f>
        <v/>
      </c>
      <c r="T333">
        <f>Assumptions!$B$59/O333</f>
        <v/>
      </c>
      <c r="U333">
        <f>Assumptions!$B$62/R333</f>
        <v/>
      </c>
    </row>
    <row r="334">
      <c r="A334" t="n">
        <v>17</v>
      </c>
      <c r="B334">
        <f>S333</f>
        <v/>
      </c>
      <c r="C334">
        <f>T333</f>
        <v/>
      </c>
      <c r="D334">
        <f>U333</f>
        <v/>
      </c>
      <c r="E334">
        <f>MAX(0,Assumptions!$B$34/IF(B334&lt;Assumptions!$B$25,Assumptions!$B$25*(Assumptions!$B$50+Assumptions!$B$5/Assumptions!$B$25)/(Assumptions!$B$50+Assumptions!$B$5/B334),Assumptions!$B$25)-Assumptions!$B$42)+MAX(0,Assumptions!$B$35/IF(B334&lt;Assumptions!$B$26,Assumptions!$B$26*(Assumptions!$B$50+Assumptions!$B$5/Assumptions!$B$26)/(Assumptions!$B$50+Assumptions!$B$5/B334),Assumptions!$B$26)-Assumptions!$B$43)</f>
        <v/>
      </c>
      <c r="F334">
        <f>Assumptions!$B$5/B334</f>
        <v/>
      </c>
      <c r="G334">
        <f>$B$313*(((Assumptions!$B$50-Assumptions!$B$51+E334+C334+D334)+F334)/(1-$B$313))-Assumptions!$B$51</f>
        <v/>
      </c>
      <c r="H334">
        <f>MAX(0,G334)</f>
        <v/>
      </c>
      <c r="I334">
        <f>Assumptions!$B$50+E334+H334+C334+D334</f>
        <v/>
      </c>
      <c r="J334">
        <f>I334+F334</f>
        <v/>
      </c>
      <c r="K334">
        <f>Assumptions!$B$50+E334+H334+D334</f>
        <v/>
      </c>
      <c r="L334">
        <f>Assumptions!$B$50+E334+H334+C334</f>
        <v/>
      </c>
      <c r="M334">
        <f>Assumptions!$B$60/K334</f>
        <v/>
      </c>
      <c r="N334">
        <f>B334*(1-Assumptions!$B$61)</f>
        <v/>
      </c>
      <c r="O334">
        <f>MIN(M334,N334)</f>
        <v/>
      </c>
      <c r="P334">
        <f>Assumptions!$B$63/L334</f>
        <v/>
      </c>
      <c r="Q334">
        <f>B334*(1-Assumptions!$B$64)</f>
        <v/>
      </c>
      <c r="R334">
        <f>MIN(P334,Q334)</f>
        <v/>
      </c>
      <c r="S334">
        <f>$B$314/I334</f>
        <v/>
      </c>
      <c r="T334">
        <f>Assumptions!$B$59/O334</f>
        <v/>
      </c>
      <c r="U334">
        <f>Assumptions!$B$62/R334</f>
        <v/>
      </c>
    </row>
    <row r="335">
      <c r="A335" t="n">
        <v>18</v>
      </c>
      <c r="B335">
        <f>S334</f>
        <v/>
      </c>
      <c r="C335">
        <f>T334</f>
        <v/>
      </c>
      <c r="D335">
        <f>U334</f>
        <v/>
      </c>
      <c r="E335">
        <f>MAX(0,Assumptions!$B$34/IF(B335&lt;Assumptions!$B$25,Assumptions!$B$25*(Assumptions!$B$50+Assumptions!$B$5/Assumptions!$B$25)/(Assumptions!$B$50+Assumptions!$B$5/B335),Assumptions!$B$25)-Assumptions!$B$42)+MAX(0,Assumptions!$B$35/IF(B335&lt;Assumptions!$B$26,Assumptions!$B$26*(Assumptions!$B$50+Assumptions!$B$5/Assumptions!$B$26)/(Assumptions!$B$50+Assumptions!$B$5/B335),Assumptions!$B$26)-Assumptions!$B$43)</f>
        <v/>
      </c>
      <c r="F335">
        <f>Assumptions!$B$5/B335</f>
        <v/>
      </c>
      <c r="G335">
        <f>$B$313*(((Assumptions!$B$50-Assumptions!$B$51+E335+C335+D335)+F335)/(1-$B$313))-Assumptions!$B$51</f>
        <v/>
      </c>
      <c r="H335">
        <f>MAX(0,G335)</f>
        <v/>
      </c>
      <c r="I335">
        <f>Assumptions!$B$50+E335+H335+C335+D335</f>
        <v/>
      </c>
      <c r="J335">
        <f>I335+F335</f>
        <v/>
      </c>
      <c r="K335">
        <f>Assumptions!$B$50+E335+H335+D335</f>
        <v/>
      </c>
      <c r="L335">
        <f>Assumptions!$B$50+E335+H335+C335</f>
        <v/>
      </c>
      <c r="M335">
        <f>Assumptions!$B$60/K335</f>
        <v/>
      </c>
      <c r="N335">
        <f>B335*(1-Assumptions!$B$61)</f>
        <v/>
      </c>
      <c r="O335">
        <f>MIN(M335,N335)</f>
        <v/>
      </c>
      <c r="P335">
        <f>Assumptions!$B$63/L335</f>
        <v/>
      </c>
      <c r="Q335">
        <f>B335*(1-Assumptions!$B$64)</f>
        <v/>
      </c>
      <c r="R335">
        <f>MIN(P335,Q335)</f>
        <v/>
      </c>
      <c r="S335">
        <f>$B$314/I335</f>
        <v/>
      </c>
      <c r="T335">
        <f>Assumptions!$B$59/O335</f>
        <v/>
      </c>
      <c r="U335">
        <f>Assumptions!$B$62/R335</f>
        <v/>
      </c>
    </row>
    <row r="336">
      <c r="A336" t="n">
        <v>19</v>
      </c>
      <c r="B336">
        <f>S335</f>
        <v/>
      </c>
      <c r="C336">
        <f>T335</f>
        <v/>
      </c>
      <c r="D336">
        <f>U335</f>
        <v/>
      </c>
      <c r="E336">
        <f>MAX(0,Assumptions!$B$34/IF(B336&lt;Assumptions!$B$25,Assumptions!$B$25*(Assumptions!$B$50+Assumptions!$B$5/Assumptions!$B$25)/(Assumptions!$B$50+Assumptions!$B$5/B336),Assumptions!$B$25)-Assumptions!$B$42)+MAX(0,Assumptions!$B$35/IF(B336&lt;Assumptions!$B$26,Assumptions!$B$26*(Assumptions!$B$50+Assumptions!$B$5/Assumptions!$B$26)/(Assumptions!$B$50+Assumptions!$B$5/B336),Assumptions!$B$26)-Assumptions!$B$43)</f>
        <v/>
      </c>
      <c r="F336">
        <f>Assumptions!$B$5/B336</f>
        <v/>
      </c>
      <c r="G336">
        <f>$B$313*(((Assumptions!$B$50-Assumptions!$B$51+E336+C336+D336)+F336)/(1-$B$313))-Assumptions!$B$51</f>
        <v/>
      </c>
      <c r="H336">
        <f>MAX(0,G336)</f>
        <v/>
      </c>
      <c r="I336">
        <f>Assumptions!$B$50+E336+H336+C336+D336</f>
        <v/>
      </c>
      <c r="J336">
        <f>I336+F336</f>
        <v/>
      </c>
      <c r="K336">
        <f>Assumptions!$B$50+E336+H336+D336</f>
        <v/>
      </c>
      <c r="L336">
        <f>Assumptions!$B$50+E336+H336+C336</f>
        <v/>
      </c>
      <c r="M336">
        <f>Assumptions!$B$60/K336</f>
        <v/>
      </c>
      <c r="N336">
        <f>B336*(1-Assumptions!$B$61)</f>
        <v/>
      </c>
      <c r="O336">
        <f>MIN(M336,N336)</f>
        <v/>
      </c>
      <c r="P336">
        <f>Assumptions!$B$63/L336</f>
        <v/>
      </c>
      <c r="Q336">
        <f>B336*(1-Assumptions!$B$64)</f>
        <v/>
      </c>
      <c r="R336">
        <f>MIN(P336,Q336)</f>
        <v/>
      </c>
      <c r="S336">
        <f>$B$314/I336</f>
        <v/>
      </c>
      <c r="T336">
        <f>Assumptions!$B$59/O336</f>
        <v/>
      </c>
      <c r="U336">
        <f>Assumptions!$B$62/R336</f>
        <v/>
      </c>
    </row>
    <row r="337">
      <c r="A337" t="n">
        <v>20</v>
      </c>
      <c r="B337">
        <f>S336</f>
        <v/>
      </c>
      <c r="C337">
        <f>T336</f>
        <v/>
      </c>
      <c r="D337">
        <f>U336</f>
        <v/>
      </c>
      <c r="E337">
        <f>MAX(0,Assumptions!$B$34/IF(B337&lt;Assumptions!$B$25,Assumptions!$B$25*(Assumptions!$B$50+Assumptions!$B$5/Assumptions!$B$25)/(Assumptions!$B$50+Assumptions!$B$5/B337),Assumptions!$B$25)-Assumptions!$B$42)+MAX(0,Assumptions!$B$35/IF(B337&lt;Assumptions!$B$26,Assumptions!$B$26*(Assumptions!$B$50+Assumptions!$B$5/Assumptions!$B$26)/(Assumptions!$B$50+Assumptions!$B$5/B337),Assumptions!$B$26)-Assumptions!$B$43)</f>
        <v/>
      </c>
      <c r="F337">
        <f>Assumptions!$B$5/B337</f>
        <v/>
      </c>
      <c r="G337">
        <f>$B$313*(((Assumptions!$B$50-Assumptions!$B$51+E337+C337+D337)+F337)/(1-$B$313))-Assumptions!$B$51</f>
        <v/>
      </c>
      <c r="H337">
        <f>MAX(0,G337)</f>
        <v/>
      </c>
      <c r="I337">
        <f>Assumptions!$B$50+E337+H337+C337+D337</f>
        <v/>
      </c>
      <c r="J337">
        <f>I337+F337</f>
        <v/>
      </c>
      <c r="K337">
        <f>Assumptions!$B$50+E337+H337+D337</f>
        <v/>
      </c>
      <c r="L337">
        <f>Assumptions!$B$50+E337+H337+C337</f>
        <v/>
      </c>
      <c r="M337">
        <f>Assumptions!$B$60/K337</f>
        <v/>
      </c>
      <c r="N337">
        <f>B337*(1-Assumptions!$B$61)</f>
        <v/>
      </c>
      <c r="O337">
        <f>MIN(M337,N337)</f>
        <v/>
      </c>
      <c r="P337">
        <f>Assumptions!$B$63/L337</f>
        <v/>
      </c>
      <c r="Q337">
        <f>B337*(1-Assumptions!$B$64)</f>
        <v/>
      </c>
      <c r="R337">
        <f>MIN(P337,Q337)</f>
        <v/>
      </c>
      <c r="S337">
        <f>$B$314/I337</f>
        <v/>
      </c>
      <c r="T337">
        <f>Assumptions!$B$59/O337</f>
        <v/>
      </c>
      <c r="U337">
        <f>Assumptions!$B$62/R337</f>
        <v/>
      </c>
    </row>
    <row r="338">
      <c r="A338" t="n">
        <v>21</v>
      </c>
      <c r="B338">
        <f>S337</f>
        <v/>
      </c>
      <c r="C338">
        <f>T337</f>
        <v/>
      </c>
      <c r="D338">
        <f>U337</f>
        <v/>
      </c>
      <c r="E338">
        <f>MAX(0,Assumptions!$B$34/IF(B338&lt;Assumptions!$B$25,Assumptions!$B$25*(Assumptions!$B$50+Assumptions!$B$5/Assumptions!$B$25)/(Assumptions!$B$50+Assumptions!$B$5/B338),Assumptions!$B$25)-Assumptions!$B$42)+MAX(0,Assumptions!$B$35/IF(B338&lt;Assumptions!$B$26,Assumptions!$B$26*(Assumptions!$B$50+Assumptions!$B$5/Assumptions!$B$26)/(Assumptions!$B$50+Assumptions!$B$5/B338),Assumptions!$B$26)-Assumptions!$B$43)</f>
        <v/>
      </c>
      <c r="F338">
        <f>Assumptions!$B$5/B338</f>
        <v/>
      </c>
      <c r="G338">
        <f>$B$313*(((Assumptions!$B$50-Assumptions!$B$51+E338+C338+D338)+F338)/(1-$B$313))-Assumptions!$B$51</f>
        <v/>
      </c>
      <c r="H338">
        <f>MAX(0,G338)</f>
        <v/>
      </c>
      <c r="I338">
        <f>Assumptions!$B$50+E338+H338+C338+D338</f>
        <v/>
      </c>
      <c r="J338">
        <f>I338+F338</f>
        <v/>
      </c>
      <c r="K338">
        <f>Assumptions!$B$50+E338+H338+D338</f>
        <v/>
      </c>
      <c r="L338">
        <f>Assumptions!$B$50+E338+H338+C338</f>
        <v/>
      </c>
      <c r="M338">
        <f>Assumptions!$B$60/K338</f>
        <v/>
      </c>
      <c r="N338">
        <f>B338*(1-Assumptions!$B$61)</f>
        <v/>
      </c>
      <c r="O338">
        <f>MIN(M338,N338)</f>
        <v/>
      </c>
      <c r="P338">
        <f>Assumptions!$B$63/L338</f>
        <v/>
      </c>
      <c r="Q338">
        <f>B338*(1-Assumptions!$B$64)</f>
        <v/>
      </c>
      <c r="R338">
        <f>MIN(P338,Q338)</f>
        <v/>
      </c>
      <c r="S338">
        <f>$B$314/I338</f>
        <v/>
      </c>
      <c r="T338">
        <f>Assumptions!$B$59/O338</f>
        <v/>
      </c>
      <c r="U338">
        <f>Assumptions!$B$62/R338</f>
        <v/>
      </c>
    </row>
    <row r="339">
      <c r="A339" t="n">
        <v>22</v>
      </c>
      <c r="B339">
        <f>S338</f>
        <v/>
      </c>
      <c r="C339">
        <f>T338</f>
        <v/>
      </c>
      <c r="D339">
        <f>U338</f>
        <v/>
      </c>
      <c r="E339">
        <f>MAX(0,Assumptions!$B$34/IF(B339&lt;Assumptions!$B$25,Assumptions!$B$25*(Assumptions!$B$50+Assumptions!$B$5/Assumptions!$B$25)/(Assumptions!$B$50+Assumptions!$B$5/B339),Assumptions!$B$25)-Assumptions!$B$42)+MAX(0,Assumptions!$B$35/IF(B339&lt;Assumptions!$B$26,Assumptions!$B$26*(Assumptions!$B$50+Assumptions!$B$5/Assumptions!$B$26)/(Assumptions!$B$50+Assumptions!$B$5/B339),Assumptions!$B$26)-Assumptions!$B$43)</f>
        <v/>
      </c>
      <c r="F339">
        <f>Assumptions!$B$5/B339</f>
        <v/>
      </c>
      <c r="G339">
        <f>$B$313*(((Assumptions!$B$50-Assumptions!$B$51+E339+C339+D339)+F339)/(1-$B$313))-Assumptions!$B$51</f>
        <v/>
      </c>
      <c r="H339">
        <f>MAX(0,G339)</f>
        <v/>
      </c>
      <c r="I339">
        <f>Assumptions!$B$50+E339+H339+C339+D339</f>
        <v/>
      </c>
      <c r="J339">
        <f>I339+F339</f>
        <v/>
      </c>
      <c r="K339">
        <f>Assumptions!$B$50+E339+H339+D339</f>
        <v/>
      </c>
      <c r="L339">
        <f>Assumptions!$B$50+E339+H339+C339</f>
        <v/>
      </c>
      <c r="M339">
        <f>Assumptions!$B$60/K339</f>
        <v/>
      </c>
      <c r="N339">
        <f>B339*(1-Assumptions!$B$61)</f>
        <v/>
      </c>
      <c r="O339">
        <f>MIN(M339,N339)</f>
        <v/>
      </c>
      <c r="P339">
        <f>Assumptions!$B$63/L339</f>
        <v/>
      </c>
      <c r="Q339">
        <f>B339*(1-Assumptions!$B$64)</f>
        <v/>
      </c>
      <c r="R339">
        <f>MIN(P339,Q339)</f>
        <v/>
      </c>
      <c r="S339">
        <f>$B$314/I339</f>
        <v/>
      </c>
      <c r="T339">
        <f>Assumptions!$B$59/O339</f>
        <v/>
      </c>
      <c r="U339">
        <f>Assumptions!$B$62/R339</f>
        <v/>
      </c>
    </row>
    <row r="340">
      <c r="A340" t="n">
        <v>23</v>
      </c>
      <c r="B340">
        <f>S339</f>
        <v/>
      </c>
      <c r="C340">
        <f>T339</f>
        <v/>
      </c>
      <c r="D340">
        <f>U339</f>
        <v/>
      </c>
      <c r="E340">
        <f>MAX(0,Assumptions!$B$34/IF(B340&lt;Assumptions!$B$25,Assumptions!$B$25*(Assumptions!$B$50+Assumptions!$B$5/Assumptions!$B$25)/(Assumptions!$B$50+Assumptions!$B$5/B340),Assumptions!$B$25)-Assumptions!$B$42)+MAX(0,Assumptions!$B$35/IF(B340&lt;Assumptions!$B$26,Assumptions!$B$26*(Assumptions!$B$50+Assumptions!$B$5/Assumptions!$B$26)/(Assumptions!$B$50+Assumptions!$B$5/B340),Assumptions!$B$26)-Assumptions!$B$43)</f>
        <v/>
      </c>
      <c r="F340">
        <f>Assumptions!$B$5/B340</f>
        <v/>
      </c>
      <c r="G340">
        <f>$B$313*(((Assumptions!$B$50-Assumptions!$B$51+E340+C340+D340)+F340)/(1-$B$313))-Assumptions!$B$51</f>
        <v/>
      </c>
      <c r="H340">
        <f>MAX(0,G340)</f>
        <v/>
      </c>
      <c r="I340">
        <f>Assumptions!$B$50+E340+H340+C340+D340</f>
        <v/>
      </c>
      <c r="J340">
        <f>I340+F340</f>
        <v/>
      </c>
      <c r="K340">
        <f>Assumptions!$B$50+E340+H340+D340</f>
        <v/>
      </c>
      <c r="L340">
        <f>Assumptions!$B$50+E340+H340+C340</f>
        <v/>
      </c>
      <c r="M340">
        <f>Assumptions!$B$60/K340</f>
        <v/>
      </c>
      <c r="N340">
        <f>B340*(1-Assumptions!$B$61)</f>
        <v/>
      </c>
      <c r="O340">
        <f>MIN(M340,N340)</f>
        <v/>
      </c>
      <c r="P340">
        <f>Assumptions!$B$63/L340</f>
        <v/>
      </c>
      <c r="Q340">
        <f>B340*(1-Assumptions!$B$64)</f>
        <v/>
      </c>
      <c r="R340">
        <f>MIN(P340,Q340)</f>
        <v/>
      </c>
      <c r="S340">
        <f>$B$314/I340</f>
        <v/>
      </c>
      <c r="T340">
        <f>Assumptions!$B$59/O340</f>
        <v/>
      </c>
      <c r="U340">
        <f>Assumptions!$B$62/R340</f>
        <v/>
      </c>
    </row>
    <row r="341">
      <c r="A341" t="n">
        <v>24</v>
      </c>
      <c r="B341">
        <f>S340</f>
        <v/>
      </c>
      <c r="C341">
        <f>T340</f>
        <v/>
      </c>
      <c r="D341">
        <f>U340</f>
        <v/>
      </c>
      <c r="E341">
        <f>MAX(0,Assumptions!$B$34/IF(B341&lt;Assumptions!$B$25,Assumptions!$B$25*(Assumptions!$B$50+Assumptions!$B$5/Assumptions!$B$25)/(Assumptions!$B$50+Assumptions!$B$5/B341),Assumptions!$B$25)-Assumptions!$B$42)+MAX(0,Assumptions!$B$35/IF(B341&lt;Assumptions!$B$26,Assumptions!$B$26*(Assumptions!$B$50+Assumptions!$B$5/Assumptions!$B$26)/(Assumptions!$B$50+Assumptions!$B$5/B341),Assumptions!$B$26)-Assumptions!$B$43)</f>
        <v/>
      </c>
      <c r="F341">
        <f>Assumptions!$B$5/B341</f>
        <v/>
      </c>
      <c r="G341">
        <f>$B$313*(((Assumptions!$B$50-Assumptions!$B$51+E341+C341+D341)+F341)/(1-$B$313))-Assumptions!$B$51</f>
        <v/>
      </c>
      <c r="H341">
        <f>MAX(0,G341)</f>
        <v/>
      </c>
      <c r="I341">
        <f>Assumptions!$B$50+E341+H341+C341+D341</f>
        <v/>
      </c>
      <c r="J341">
        <f>I341+F341</f>
        <v/>
      </c>
      <c r="K341">
        <f>Assumptions!$B$50+E341+H341+D341</f>
        <v/>
      </c>
      <c r="L341">
        <f>Assumptions!$B$50+E341+H341+C341</f>
        <v/>
      </c>
      <c r="M341">
        <f>Assumptions!$B$60/K341</f>
        <v/>
      </c>
      <c r="N341">
        <f>B341*(1-Assumptions!$B$61)</f>
        <v/>
      </c>
      <c r="O341">
        <f>MIN(M341,N341)</f>
        <v/>
      </c>
      <c r="P341">
        <f>Assumptions!$B$63/L341</f>
        <v/>
      </c>
      <c r="Q341">
        <f>B341*(1-Assumptions!$B$64)</f>
        <v/>
      </c>
      <c r="R341">
        <f>MIN(P341,Q341)</f>
        <v/>
      </c>
      <c r="S341">
        <f>$B$314/I341</f>
        <v/>
      </c>
      <c r="T341">
        <f>Assumptions!$B$59/O341</f>
        <v/>
      </c>
      <c r="U341">
        <f>Assumptions!$B$62/R341</f>
        <v/>
      </c>
    </row>
    <row r="342">
      <c r="A342" t="n">
        <v>25</v>
      </c>
      <c r="B342">
        <f>S341</f>
        <v/>
      </c>
      <c r="C342">
        <f>T341</f>
        <v/>
      </c>
      <c r="D342">
        <f>U341</f>
        <v/>
      </c>
      <c r="E342">
        <f>MAX(0,Assumptions!$B$34/IF(B342&lt;Assumptions!$B$25,Assumptions!$B$25*(Assumptions!$B$50+Assumptions!$B$5/Assumptions!$B$25)/(Assumptions!$B$50+Assumptions!$B$5/B342),Assumptions!$B$25)-Assumptions!$B$42)+MAX(0,Assumptions!$B$35/IF(B342&lt;Assumptions!$B$26,Assumptions!$B$26*(Assumptions!$B$50+Assumptions!$B$5/Assumptions!$B$26)/(Assumptions!$B$50+Assumptions!$B$5/B342),Assumptions!$B$26)-Assumptions!$B$43)</f>
        <v/>
      </c>
      <c r="F342">
        <f>Assumptions!$B$5/B342</f>
        <v/>
      </c>
      <c r="G342">
        <f>$B$313*(((Assumptions!$B$50-Assumptions!$B$51+E342+C342+D342)+F342)/(1-$B$313))-Assumptions!$B$51</f>
        <v/>
      </c>
      <c r="H342">
        <f>MAX(0,G342)</f>
        <v/>
      </c>
      <c r="I342">
        <f>Assumptions!$B$50+E342+H342+C342+D342</f>
        <v/>
      </c>
      <c r="J342">
        <f>I342+F342</f>
        <v/>
      </c>
      <c r="K342">
        <f>Assumptions!$B$50+E342+H342+D342</f>
        <v/>
      </c>
      <c r="L342">
        <f>Assumptions!$B$50+E342+H342+C342</f>
        <v/>
      </c>
      <c r="M342">
        <f>Assumptions!$B$60/K342</f>
        <v/>
      </c>
      <c r="N342">
        <f>B342*(1-Assumptions!$B$61)</f>
        <v/>
      </c>
      <c r="O342">
        <f>MIN(M342,N342)</f>
        <v/>
      </c>
      <c r="P342">
        <f>Assumptions!$B$63/L342</f>
        <v/>
      </c>
      <c r="Q342">
        <f>B342*(1-Assumptions!$B$64)</f>
        <v/>
      </c>
      <c r="R342">
        <f>MIN(P342,Q342)</f>
        <v/>
      </c>
      <c r="S342">
        <f>$B$314/I342</f>
        <v/>
      </c>
      <c r="T342">
        <f>Assumptions!$B$59/O342</f>
        <v/>
      </c>
      <c r="U342">
        <f>Assumptions!$B$62/R342</f>
        <v/>
      </c>
    </row>
    <row r="343">
      <c r="A343" t="n">
        <v>26</v>
      </c>
      <c r="B343">
        <f>S342</f>
        <v/>
      </c>
      <c r="C343">
        <f>T342</f>
        <v/>
      </c>
      <c r="D343">
        <f>U342</f>
        <v/>
      </c>
      <c r="E343">
        <f>MAX(0,Assumptions!$B$34/IF(B343&lt;Assumptions!$B$25,Assumptions!$B$25*(Assumptions!$B$50+Assumptions!$B$5/Assumptions!$B$25)/(Assumptions!$B$50+Assumptions!$B$5/B343),Assumptions!$B$25)-Assumptions!$B$42)+MAX(0,Assumptions!$B$35/IF(B343&lt;Assumptions!$B$26,Assumptions!$B$26*(Assumptions!$B$50+Assumptions!$B$5/Assumptions!$B$26)/(Assumptions!$B$50+Assumptions!$B$5/B343),Assumptions!$B$26)-Assumptions!$B$43)</f>
        <v/>
      </c>
      <c r="F343">
        <f>Assumptions!$B$5/B343</f>
        <v/>
      </c>
      <c r="G343">
        <f>$B$313*(((Assumptions!$B$50-Assumptions!$B$51+E343+C343+D343)+F343)/(1-$B$313))-Assumptions!$B$51</f>
        <v/>
      </c>
      <c r="H343">
        <f>MAX(0,G343)</f>
        <v/>
      </c>
      <c r="I343">
        <f>Assumptions!$B$50+E343+H343+C343+D343</f>
        <v/>
      </c>
      <c r="J343">
        <f>I343+F343</f>
        <v/>
      </c>
      <c r="K343">
        <f>Assumptions!$B$50+E343+H343+D343</f>
        <v/>
      </c>
      <c r="L343">
        <f>Assumptions!$B$50+E343+H343+C343</f>
        <v/>
      </c>
      <c r="M343">
        <f>Assumptions!$B$60/K343</f>
        <v/>
      </c>
      <c r="N343">
        <f>B343*(1-Assumptions!$B$61)</f>
        <v/>
      </c>
      <c r="O343">
        <f>MIN(M343,N343)</f>
        <v/>
      </c>
      <c r="P343">
        <f>Assumptions!$B$63/L343</f>
        <v/>
      </c>
      <c r="Q343">
        <f>B343*(1-Assumptions!$B$64)</f>
        <v/>
      </c>
      <c r="R343">
        <f>MIN(P343,Q343)</f>
        <v/>
      </c>
      <c r="S343">
        <f>$B$314/I343</f>
        <v/>
      </c>
      <c r="T343">
        <f>Assumptions!$B$59/O343</f>
        <v/>
      </c>
      <c r="U343">
        <f>Assumptions!$B$62/R343</f>
        <v/>
      </c>
    </row>
    <row r="344">
      <c r="A344" t="n">
        <v>27</v>
      </c>
      <c r="B344">
        <f>S343</f>
        <v/>
      </c>
      <c r="C344">
        <f>T343</f>
        <v/>
      </c>
      <c r="D344">
        <f>U343</f>
        <v/>
      </c>
      <c r="E344">
        <f>MAX(0,Assumptions!$B$34/IF(B344&lt;Assumptions!$B$25,Assumptions!$B$25*(Assumptions!$B$50+Assumptions!$B$5/Assumptions!$B$25)/(Assumptions!$B$50+Assumptions!$B$5/B344),Assumptions!$B$25)-Assumptions!$B$42)+MAX(0,Assumptions!$B$35/IF(B344&lt;Assumptions!$B$26,Assumptions!$B$26*(Assumptions!$B$50+Assumptions!$B$5/Assumptions!$B$26)/(Assumptions!$B$50+Assumptions!$B$5/B344),Assumptions!$B$26)-Assumptions!$B$43)</f>
        <v/>
      </c>
      <c r="F344">
        <f>Assumptions!$B$5/B344</f>
        <v/>
      </c>
      <c r="G344">
        <f>$B$313*(((Assumptions!$B$50-Assumptions!$B$51+E344+C344+D344)+F344)/(1-$B$313))-Assumptions!$B$51</f>
        <v/>
      </c>
      <c r="H344">
        <f>MAX(0,G344)</f>
        <v/>
      </c>
      <c r="I344">
        <f>Assumptions!$B$50+E344+H344+C344+D344</f>
        <v/>
      </c>
      <c r="J344">
        <f>I344+F344</f>
        <v/>
      </c>
      <c r="K344">
        <f>Assumptions!$B$50+E344+H344+D344</f>
        <v/>
      </c>
      <c r="L344">
        <f>Assumptions!$B$50+E344+H344+C344</f>
        <v/>
      </c>
      <c r="M344">
        <f>Assumptions!$B$60/K344</f>
        <v/>
      </c>
      <c r="N344">
        <f>B344*(1-Assumptions!$B$61)</f>
        <v/>
      </c>
      <c r="O344">
        <f>MIN(M344,N344)</f>
        <v/>
      </c>
      <c r="P344">
        <f>Assumptions!$B$63/L344</f>
        <v/>
      </c>
      <c r="Q344">
        <f>B344*(1-Assumptions!$B$64)</f>
        <v/>
      </c>
      <c r="R344">
        <f>MIN(P344,Q344)</f>
        <v/>
      </c>
      <c r="S344">
        <f>$B$314/I344</f>
        <v/>
      </c>
      <c r="T344">
        <f>Assumptions!$B$59/O344</f>
        <v/>
      </c>
      <c r="U344">
        <f>Assumptions!$B$62/R344</f>
        <v/>
      </c>
    </row>
    <row r="345">
      <c r="A345" t="n">
        <v>28</v>
      </c>
      <c r="B345">
        <f>S344</f>
        <v/>
      </c>
      <c r="C345">
        <f>T344</f>
        <v/>
      </c>
      <c r="D345">
        <f>U344</f>
        <v/>
      </c>
      <c r="E345">
        <f>MAX(0,Assumptions!$B$34/IF(B345&lt;Assumptions!$B$25,Assumptions!$B$25*(Assumptions!$B$50+Assumptions!$B$5/Assumptions!$B$25)/(Assumptions!$B$50+Assumptions!$B$5/B345),Assumptions!$B$25)-Assumptions!$B$42)+MAX(0,Assumptions!$B$35/IF(B345&lt;Assumptions!$B$26,Assumptions!$B$26*(Assumptions!$B$50+Assumptions!$B$5/Assumptions!$B$26)/(Assumptions!$B$50+Assumptions!$B$5/B345),Assumptions!$B$26)-Assumptions!$B$43)</f>
        <v/>
      </c>
      <c r="F345">
        <f>Assumptions!$B$5/B345</f>
        <v/>
      </c>
      <c r="G345">
        <f>$B$313*(((Assumptions!$B$50-Assumptions!$B$51+E345+C345+D345)+F345)/(1-$B$313))-Assumptions!$B$51</f>
        <v/>
      </c>
      <c r="H345">
        <f>MAX(0,G345)</f>
        <v/>
      </c>
      <c r="I345">
        <f>Assumptions!$B$50+E345+H345+C345+D345</f>
        <v/>
      </c>
      <c r="J345">
        <f>I345+F345</f>
        <v/>
      </c>
      <c r="K345">
        <f>Assumptions!$B$50+E345+H345+D345</f>
        <v/>
      </c>
      <c r="L345">
        <f>Assumptions!$B$50+E345+H345+C345</f>
        <v/>
      </c>
      <c r="M345">
        <f>Assumptions!$B$60/K345</f>
        <v/>
      </c>
      <c r="N345">
        <f>B345*(1-Assumptions!$B$61)</f>
        <v/>
      </c>
      <c r="O345">
        <f>MIN(M345,N345)</f>
        <v/>
      </c>
      <c r="P345">
        <f>Assumptions!$B$63/L345</f>
        <v/>
      </c>
      <c r="Q345">
        <f>B345*(1-Assumptions!$B$64)</f>
        <v/>
      </c>
      <c r="R345">
        <f>MIN(P345,Q345)</f>
        <v/>
      </c>
      <c r="S345">
        <f>$B$314/I345</f>
        <v/>
      </c>
      <c r="T345">
        <f>Assumptions!$B$59/O345</f>
        <v/>
      </c>
      <c r="U345">
        <f>Assumptions!$B$62/R345</f>
        <v/>
      </c>
    </row>
    <row r="346">
      <c r="A346" t="n">
        <v>29</v>
      </c>
      <c r="B346">
        <f>S345</f>
        <v/>
      </c>
      <c r="C346">
        <f>T345</f>
        <v/>
      </c>
      <c r="D346">
        <f>U345</f>
        <v/>
      </c>
      <c r="E346">
        <f>MAX(0,Assumptions!$B$34/IF(B346&lt;Assumptions!$B$25,Assumptions!$B$25*(Assumptions!$B$50+Assumptions!$B$5/Assumptions!$B$25)/(Assumptions!$B$50+Assumptions!$B$5/B346),Assumptions!$B$25)-Assumptions!$B$42)+MAX(0,Assumptions!$B$35/IF(B346&lt;Assumptions!$B$26,Assumptions!$B$26*(Assumptions!$B$50+Assumptions!$B$5/Assumptions!$B$26)/(Assumptions!$B$50+Assumptions!$B$5/B346),Assumptions!$B$26)-Assumptions!$B$43)</f>
        <v/>
      </c>
      <c r="F346">
        <f>Assumptions!$B$5/B346</f>
        <v/>
      </c>
      <c r="G346">
        <f>$B$313*(((Assumptions!$B$50-Assumptions!$B$51+E346+C346+D346)+F346)/(1-$B$313))-Assumptions!$B$51</f>
        <v/>
      </c>
      <c r="H346">
        <f>MAX(0,G346)</f>
        <v/>
      </c>
      <c r="I346">
        <f>Assumptions!$B$50+E346+H346+C346+D346</f>
        <v/>
      </c>
      <c r="J346">
        <f>I346+F346</f>
        <v/>
      </c>
      <c r="K346">
        <f>Assumptions!$B$50+E346+H346+D346</f>
        <v/>
      </c>
      <c r="L346">
        <f>Assumptions!$B$50+E346+H346+C346</f>
        <v/>
      </c>
      <c r="M346">
        <f>Assumptions!$B$60/K346</f>
        <v/>
      </c>
      <c r="N346">
        <f>B346*(1-Assumptions!$B$61)</f>
        <v/>
      </c>
      <c r="O346">
        <f>MIN(M346,N346)</f>
        <v/>
      </c>
      <c r="P346">
        <f>Assumptions!$B$63/L346</f>
        <v/>
      </c>
      <c r="Q346">
        <f>B346*(1-Assumptions!$B$64)</f>
        <v/>
      </c>
      <c r="R346">
        <f>MIN(P346,Q346)</f>
        <v/>
      </c>
      <c r="S346">
        <f>$B$314/I346</f>
        <v/>
      </c>
      <c r="T346">
        <f>Assumptions!$B$59/O346</f>
        <v/>
      </c>
      <c r="U346">
        <f>Assumptions!$B$62/R346</f>
        <v/>
      </c>
    </row>
    <row r="347">
      <c r="A347" t="n">
        <v>30</v>
      </c>
      <c r="B347">
        <f>S346</f>
        <v/>
      </c>
      <c r="C347">
        <f>T346</f>
        <v/>
      </c>
      <c r="D347">
        <f>U346</f>
        <v/>
      </c>
      <c r="E347">
        <f>MAX(0,Assumptions!$B$34/IF(B347&lt;Assumptions!$B$25,Assumptions!$B$25*(Assumptions!$B$50+Assumptions!$B$5/Assumptions!$B$25)/(Assumptions!$B$50+Assumptions!$B$5/B347),Assumptions!$B$25)-Assumptions!$B$42)+MAX(0,Assumptions!$B$35/IF(B347&lt;Assumptions!$B$26,Assumptions!$B$26*(Assumptions!$B$50+Assumptions!$B$5/Assumptions!$B$26)/(Assumptions!$B$50+Assumptions!$B$5/B347),Assumptions!$B$26)-Assumptions!$B$43)</f>
        <v/>
      </c>
      <c r="F347">
        <f>Assumptions!$B$5/B347</f>
        <v/>
      </c>
      <c r="G347">
        <f>$B$313*(((Assumptions!$B$50-Assumptions!$B$51+E347+C347+D347)+F347)/(1-$B$313))-Assumptions!$B$51</f>
        <v/>
      </c>
      <c r="H347">
        <f>MAX(0,G347)</f>
        <v/>
      </c>
      <c r="I347">
        <f>Assumptions!$B$50+E347+H347+C347+D347</f>
        <v/>
      </c>
      <c r="J347">
        <f>I347+F347</f>
        <v/>
      </c>
      <c r="K347">
        <f>Assumptions!$B$50+E347+H347+D347</f>
        <v/>
      </c>
      <c r="L347">
        <f>Assumptions!$B$50+E347+H347+C347</f>
        <v/>
      </c>
      <c r="M347">
        <f>Assumptions!$B$60/K347</f>
        <v/>
      </c>
      <c r="N347">
        <f>B347*(1-Assumptions!$B$61)</f>
        <v/>
      </c>
      <c r="O347">
        <f>MIN(M347,N347)</f>
        <v/>
      </c>
      <c r="P347">
        <f>Assumptions!$B$63/L347</f>
        <v/>
      </c>
      <c r="Q347">
        <f>B347*(1-Assumptions!$B$64)</f>
        <v/>
      </c>
      <c r="R347">
        <f>MIN(P347,Q347)</f>
        <v/>
      </c>
      <c r="S347">
        <f>$B$314/I347</f>
        <v/>
      </c>
      <c r="T347">
        <f>Assumptions!$B$59/O347</f>
        <v/>
      </c>
      <c r="U347">
        <f>Assumptions!$B$62/R347</f>
        <v/>
      </c>
    </row>
    <row r="349">
      <c r="A349" s="2" t="inlineStr">
        <is>
          <t>Solved F_PPS</t>
        </is>
      </c>
      <c r="B349">
        <f>B347</f>
        <v/>
      </c>
    </row>
    <row r="350">
      <c r="A350" t="inlineStr">
        <is>
          <t>Solved pmFD</t>
        </is>
      </c>
      <c r="B350">
        <f>I347</f>
        <v/>
      </c>
    </row>
    <row r="351">
      <c r="A351" t="inlineStr">
        <is>
          <t>Solved T_F</t>
        </is>
      </c>
      <c r="B351">
        <f>J347</f>
        <v/>
      </c>
    </row>
    <row r="352">
      <c r="A352" t="inlineStr">
        <is>
          <t>Solved AD_extra</t>
        </is>
      </c>
      <c r="B352">
        <f>E347</f>
        <v/>
      </c>
    </row>
    <row r="353">
      <c r="A353" t="inlineStr">
        <is>
          <t>Solved topup</t>
        </is>
      </c>
      <c r="B353">
        <f>H347</f>
        <v/>
      </c>
    </row>
    <row r="354">
      <c r="A354" t="inlineStr">
        <is>
          <t>Solved nA</t>
        </is>
      </c>
      <c r="B354">
        <f>C347</f>
        <v/>
      </c>
    </row>
    <row r="355">
      <c r="A355" t="inlineStr">
        <is>
          <t>Solved nB</t>
        </is>
      </c>
      <c r="B355">
        <f>D347</f>
        <v/>
      </c>
    </row>
    <row r="356">
      <c r="A356" t="inlineStr">
        <is>
          <t>Branch A</t>
        </is>
      </c>
      <c r="B356">
        <f>IF(M347&lt;N347,"cap","discount")</f>
        <v/>
      </c>
    </row>
    <row r="357">
      <c r="A357" t="inlineStr">
        <is>
          <t>Branch B</t>
        </is>
      </c>
      <c r="B357">
        <f>IF(P347&lt;Q347,"cap","discount")</f>
        <v/>
      </c>
    </row>
    <row r="359">
      <c r="A359" t="inlineStr">
        <is>
          <t>Fund shares</t>
        </is>
      </c>
      <c r="B359">
        <f>Assumptions!$B$9/B347</f>
        <v/>
      </c>
    </row>
    <row r="360">
      <c r="A360" t="inlineStr">
        <is>
          <t>Fund ownership %</t>
        </is>
      </c>
      <c r="B360" s="12">
        <f>B359/J347</f>
        <v/>
      </c>
    </row>
    <row r="361">
      <c r="A361" t="inlineStr">
        <is>
          <t>Tender shares</t>
        </is>
      </c>
      <c r="B361">
        <f>Assumptions!$B$6/(Assumptions!$B$7*B347)</f>
        <v/>
      </c>
    </row>
    <row r="362">
      <c r="A362" t="inlineStr">
        <is>
          <t>ITM test PPS</t>
        </is>
      </c>
      <c r="B362">
        <f>(Assumptions!$B$16+Assumptions!$B$11*Assumptions!$B$48)/(F347+(Assumptions!$B$35/IF(B347&lt;Assumptions!$B$26,Assumptions!$B$26*(Assumptions!$B$50+Assumptions!$B$5/Assumptions!$B$26)/(Assumptions!$B$50+Assumptions!$B$5/B347),Assumptions!$B$26))+(Assumptions!$B$34/IF(B347&lt;Assumptions!$B$25,Assumptions!$B$25*(Assumptions!$B$50+Assumptions!$B$5/Assumptions!$B$25)/(Assumptions!$B$50+Assumptions!$B$5/B347),Assumptions!$B$25))+Assumptions!$B$41+Assumptions!$B$40+Assumptions!$B$39+Assumptions!$B$38+(Assumptions!$B$44+Assumptions!$B$45+Assumptions!$B$46-B361)+Assumptions!$B$47+B361+(C347+D347)+Assumptions!$B$48)</f>
        <v/>
      </c>
    </row>
    <row r="363">
      <c r="A363" t="inlineStr">
        <is>
          <t>ITM?</t>
        </is>
      </c>
      <c r="B363">
        <f>IF(B362&gt;Assumptions!$B$11,"YES","NO")</f>
        <v/>
      </c>
    </row>
    <row r="364">
      <c r="A364" t="inlineStr">
        <is>
          <t>Effective pool</t>
        </is>
      </c>
      <c r="B364">
        <f>IF(B363="YES",(F347+(Assumptions!$B$35/IF(B347&lt;Assumptions!$B$26,Assumptions!$B$26*(Assumptions!$B$50+Assumptions!$B$5/Assumptions!$B$26)/(Assumptions!$B$50+Assumptions!$B$5/B347),Assumptions!$B$26))+(Assumptions!$B$34/IF(B347&lt;Assumptions!$B$25,Assumptions!$B$25*(Assumptions!$B$50+Assumptions!$B$5/Assumptions!$B$25)/(Assumptions!$B$50+Assumptions!$B$5/B347),Assumptions!$B$25))+Assumptions!$B$41+Assumptions!$B$40+Assumptions!$B$39+Assumptions!$B$38+(Assumptions!$B$44+Assumptions!$B$45+Assumptions!$B$46-B361)+Assumptions!$B$47+B361+(C347+D347)+Assumptions!$B$48),(F347+(Assumptions!$B$35/IF(B347&lt;Assumptions!$B$26,Assumptions!$B$26*(Assumptions!$B$50+Assumptions!$B$5/Assumptions!$B$26)/(Assumptions!$B$50+Assumptions!$B$5/B347),Assumptions!$B$26))+(Assumptions!$B$34/IF(B347&lt;Assumptions!$B$25,Assumptions!$B$25*(Assumptions!$B$50+Assumptions!$B$5/Assumptions!$B$25)/(Assumptions!$B$50+Assumptions!$B$5/B347),Assumptions!$B$25))+Assumptions!$B$41+Assumptions!$B$40+Assumptions!$B$39+Assumptions!$B$38+(Assumptions!$B$44+Assumptions!$B$45+Assumptions!$B$46-B361)+Assumptions!$B$47+B361+(C347+D347)))</f>
        <v/>
      </c>
    </row>
    <row r="365">
      <c r="A365" t="inlineStr">
        <is>
          <t>Adjusted exit</t>
        </is>
      </c>
      <c r="B365">
        <f>IF(B363="YES",Assumptions!$B$16+Assumptions!$B$11*Assumptions!$B$48,Assumptions!$B$16)</f>
        <v/>
      </c>
    </row>
    <row r="366">
      <c r="A366" s="20" t="inlineStr">
        <is>
          <t>F elect</t>
        </is>
      </c>
      <c r="B366">
        <f>IF(Assumptions!$B$5&gt;(F347)*(B365-(0))/(B364-(0)),"preference","convert")</f>
        <v/>
      </c>
    </row>
    <row r="367">
      <c r="A367" t="inlineStr">
        <is>
          <t>F pref taken</t>
        </is>
      </c>
      <c r="B367">
        <f>IF(B366="preference",Assumptions!$B$5,0)</f>
        <v/>
      </c>
    </row>
    <row r="368">
      <c r="A368" t="inlineStr">
        <is>
          <t>F pool loss</t>
        </is>
      </c>
      <c r="B368">
        <f>IF(B366="preference",F347,0)</f>
        <v/>
      </c>
    </row>
    <row r="369">
      <c r="A369" s="20" t="inlineStr">
        <is>
          <t>E elect</t>
        </is>
      </c>
      <c r="B369">
        <f>IF(Assumptions!$B$35&gt;((Assumptions!$B$35/IF(B347&lt;Assumptions!$B$26,Assumptions!$B$26*(Assumptions!$B$50+Assumptions!$B$5/Assumptions!$B$26)/(Assumptions!$B$50+Assumptions!$B$5/B347),Assumptions!$B$26)))*(B365-(B367))/(B364-(B368)),"preference","convert")</f>
        <v/>
      </c>
    </row>
    <row r="370">
      <c r="A370" t="inlineStr">
        <is>
          <t>E pref taken</t>
        </is>
      </c>
      <c r="B370">
        <f>IF(B369="preference",Assumptions!$B$35,0)</f>
        <v/>
      </c>
    </row>
    <row r="371">
      <c r="A371" t="inlineStr">
        <is>
          <t>E pool loss</t>
        </is>
      </c>
      <c r="B371">
        <f>IF(B369="preference",(Assumptions!$B$35/IF(B347&lt;Assumptions!$B$26,Assumptions!$B$26*(Assumptions!$B$50+Assumptions!$B$5/Assumptions!$B$26)/(Assumptions!$B$50+Assumptions!$B$5/B347),Assumptions!$B$26)),0)</f>
        <v/>
      </c>
    </row>
    <row r="372">
      <c r="A372" s="20" t="inlineStr">
        <is>
          <t>D elect</t>
        </is>
      </c>
      <c r="B372">
        <f>IF(Assumptions!$B$34&gt;((Assumptions!$B$34/IF(B347&lt;Assumptions!$B$25,Assumptions!$B$25*(Assumptions!$B$50+Assumptions!$B$5/Assumptions!$B$25)/(Assumptions!$B$50+Assumptions!$B$5/B347),Assumptions!$B$25)))*(B365-(B367+B370))/(B364-(B368+B371)),"preference","convert")</f>
        <v/>
      </c>
    </row>
    <row r="373">
      <c r="A373" t="inlineStr">
        <is>
          <t>D pref taken</t>
        </is>
      </c>
      <c r="B373">
        <f>IF(B372="preference",Assumptions!$B$34,0)</f>
        <v/>
      </c>
    </row>
    <row r="374">
      <c r="A374" t="inlineStr">
        <is>
          <t>D pool loss</t>
        </is>
      </c>
      <c r="B374">
        <f>IF(B372="preference",(Assumptions!$B$34/IF(B347&lt;Assumptions!$B$25,Assumptions!$B$25*(Assumptions!$B$50+Assumptions!$B$5/Assumptions!$B$25)/(Assumptions!$B$50+Assumptions!$B$5/B347),Assumptions!$B$25)),0)</f>
        <v/>
      </c>
    </row>
    <row r="375">
      <c r="A375" s="20" t="inlineStr">
        <is>
          <t>C elect</t>
        </is>
      </c>
      <c r="B375">
        <f>IF(Assumptions!$B$33&gt;(Assumptions!$B$41)*(B365-(B367+B370+B373))/(B364-(B368+B371+B374)),"preference","convert")</f>
        <v/>
      </c>
    </row>
    <row r="376">
      <c r="A376" t="inlineStr">
        <is>
          <t>C pref taken</t>
        </is>
      </c>
      <c r="B376">
        <f>IF(B375="preference",Assumptions!$B$33,0)</f>
        <v/>
      </c>
    </row>
    <row r="377">
      <c r="A377" t="inlineStr">
        <is>
          <t>C pool loss</t>
        </is>
      </c>
      <c r="B377">
        <f>IF(B375="preference",Assumptions!$B$41,0)</f>
        <v/>
      </c>
    </row>
    <row r="378">
      <c r="A378" s="20" t="inlineStr">
        <is>
          <t>B elect</t>
        </is>
      </c>
      <c r="B378">
        <f>IF(Assumptions!$B$32&gt;(Assumptions!$B$40)*(B365-(B367+B370+B373+B376))/(B364-(B368+B371+B374+B377)),"preference","convert")</f>
        <v/>
      </c>
    </row>
    <row r="379">
      <c r="A379" t="inlineStr">
        <is>
          <t>B pref taken</t>
        </is>
      </c>
      <c r="B379">
        <f>IF(B378="preference",Assumptions!$B$32,0)</f>
        <v/>
      </c>
    </row>
    <row r="380">
      <c r="A380" t="inlineStr">
        <is>
          <t>B pool loss</t>
        </is>
      </c>
      <c r="B380">
        <f>IF(B378="preference",Assumptions!$B$40,0)</f>
        <v/>
      </c>
    </row>
    <row r="381">
      <c r="A381" s="20" t="inlineStr">
        <is>
          <t>A elect</t>
        </is>
      </c>
      <c r="B381">
        <f>IF(Assumptions!$B$31&gt;(Assumptions!$B$39)*(B365-(B367+B370+B373+B376+B379))/(B364-(B368+B371+B374+B377+B380)),"preference","convert")</f>
        <v/>
      </c>
    </row>
    <row r="382">
      <c r="A382" t="inlineStr">
        <is>
          <t>A pref taken</t>
        </is>
      </c>
      <c r="B382">
        <f>IF(B381="preference",Assumptions!$B$31,0)</f>
        <v/>
      </c>
    </row>
    <row r="383">
      <c r="A383" t="inlineStr">
        <is>
          <t>A pool loss</t>
        </is>
      </c>
      <c r="B383">
        <f>IF(B381="preference",Assumptions!$B$39,0)</f>
        <v/>
      </c>
    </row>
    <row r="384">
      <c r="A384" s="20" t="inlineStr">
        <is>
          <t>Seed elect</t>
        </is>
      </c>
      <c r="B384">
        <f>IF(Assumptions!$B$30&gt;(Assumptions!$B$38)*(B365-(B367+B370+B373+B376+B379+B382))/(B364-(B368+B371+B374+B377+B380+B383)),"preference","convert")</f>
        <v/>
      </c>
    </row>
    <row r="385">
      <c r="A385" t="inlineStr">
        <is>
          <t>Seed pref taken</t>
        </is>
      </c>
      <c r="B385">
        <f>IF(B384="preference",Assumptions!$B$30,0)</f>
        <v/>
      </c>
    </row>
    <row r="386">
      <c r="A386" t="inlineStr">
        <is>
          <t>Seed pool loss</t>
        </is>
      </c>
      <c r="B386">
        <f>IF(B384="preference",Assumptions!$B$38,0)</f>
        <v/>
      </c>
    </row>
    <row r="387">
      <c r="A387" s="2" t="inlineStr">
        <is>
          <t>Final PPS at $2B</t>
        </is>
      </c>
      <c r="B387">
        <f>(B365-(B367+B370+B373+B376+B379+B382+B385))/(B364-(B368+B371+B374+B377+B380+B383+B386))</f>
        <v/>
      </c>
    </row>
    <row r="388">
      <c r="A388" s="2" t="inlineStr">
        <is>
          <t>Fund proceeds at $2B</t>
        </is>
      </c>
      <c r="B388" s="18">
        <f>IF(B366="preference",Assumptions!$B$9,B359*B387)</f>
        <v/>
      </c>
    </row>
    <row r="412">
      <c r="A412" s="2" t="inlineStr">
        <is>
          <t>Scenario [esop=13%, pre=$1.4B]</t>
        </is>
      </c>
    </row>
    <row r="413">
      <c r="A413" t="inlineStr">
        <is>
          <t>ESOP target</t>
        </is>
      </c>
      <c r="B413">
        <f>Assumptions!$B$68</f>
        <v/>
      </c>
    </row>
    <row r="414">
      <c r="A414" t="inlineStr">
        <is>
          <t>Pre-money</t>
        </is>
      </c>
      <c r="B414">
        <f>Assumptions!$B$71</f>
        <v/>
      </c>
    </row>
    <row r="416">
      <c r="A416" s="14" t="inlineStr">
        <is>
          <t>k</t>
        </is>
      </c>
      <c r="B416" s="14" t="inlineStr">
        <is>
          <t>F_PPS_k</t>
        </is>
      </c>
      <c r="C416" s="14" t="inlineStr">
        <is>
          <t>nA_k</t>
        </is>
      </c>
      <c r="D416" s="14" t="inlineStr">
        <is>
          <t>nB_k</t>
        </is>
      </c>
      <c r="E416" s="14" t="inlineStr">
        <is>
          <t>AD_x</t>
        </is>
      </c>
      <c r="F416" s="14" t="inlineStr">
        <is>
          <t>F_pri</t>
        </is>
      </c>
      <c r="G416" s="14" t="inlineStr">
        <is>
          <t>topup_p</t>
        </is>
      </c>
      <c r="H416" s="14" t="inlineStr">
        <is>
          <t>topup</t>
        </is>
      </c>
      <c r="I416" s="14" t="inlineStr">
        <is>
          <t>pmFD</t>
        </is>
      </c>
      <c r="J416" s="14" t="inlineStr">
        <is>
          <t>T_F</t>
        </is>
      </c>
      <c r="K416" s="14" t="inlineStr">
        <is>
          <t>pmFD_A</t>
        </is>
      </c>
      <c r="L416" s="14" t="inlineStr">
        <is>
          <t>pmFD_B</t>
        </is>
      </c>
      <c r="M416" s="14" t="inlineStr">
        <is>
          <t>cap_A</t>
        </is>
      </c>
      <c r="N416" s="14" t="inlineStr">
        <is>
          <t>disc_A</t>
        </is>
      </c>
      <c r="O416" s="14" t="inlineStr">
        <is>
          <t>conv_A</t>
        </is>
      </c>
      <c r="P416" s="14" t="inlineStr">
        <is>
          <t>cap_B</t>
        </is>
      </c>
      <c r="Q416" s="14" t="inlineStr">
        <is>
          <t>disc_B</t>
        </is>
      </c>
      <c r="R416" s="14" t="inlineStr">
        <is>
          <t>conv_B</t>
        </is>
      </c>
      <c r="S416" s="14" t="inlineStr">
        <is>
          <t>F_PPS_n</t>
        </is>
      </c>
      <c r="T416" s="14" t="inlineStr">
        <is>
          <t>nA_n</t>
        </is>
      </c>
      <c r="U416" s="14" t="inlineStr">
        <is>
          <t>nB_n</t>
        </is>
      </c>
    </row>
    <row r="417">
      <c r="A417" t="n">
        <v>0</v>
      </c>
      <c r="B417">
        <f>$B$414/Assumptions!$B$50</f>
        <v/>
      </c>
      <c r="C417" t="n">
        <v>0</v>
      </c>
      <c r="D417" t="n">
        <v>0</v>
      </c>
      <c r="E417">
        <f>MAX(0,Assumptions!$B$34/IF(B417&lt;Assumptions!$B$25,Assumptions!$B$25*(Assumptions!$B$50+Assumptions!$B$5/Assumptions!$B$25)/(Assumptions!$B$50+Assumptions!$B$5/B417),Assumptions!$B$25)-Assumptions!$B$42)+MAX(0,Assumptions!$B$35/IF(B417&lt;Assumptions!$B$26,Assumptions!$B$26*(Assumptions!$B$50+Assumptions!$B$5/Assumptions!$B$26)/(Assumptions!$B$50+Assumptions!$B$5/B417),Assumptions!$B$26)-Assumptions!$B$43)</f>
        <v/>
      </c>
      <c r="F417">
        <f>Assumptions!$B$5/B417</f>
        <v/>
      </c>
      <c r="G417">
        <f>$B$413*(((Assumptions!$B$50-Assumptions!$B$51+E417+C417+D417)+F417)/(1-$B$413))-Assumptions!$B$51</f>
        <v/>
      </c>
      <c r="H417">
        <f>MAX(0,G417)</f>
        <v/>
      </c>
      <c r="I417">
        <f>Assumptions!$B$50+E417+H417+C417+D417</f>
        <v/>
      </c>
      <c r="J417">
        <f>I417+F417</f>
        <v/>
      </c>
      <c r="K417">
        <f>Assumptions!$B$50+E417+H417+D417</f>
        <v/>
      </c>
      <c r="L417">
        <f>Assumptions!$B$50+E417+H417+C417</f>
        <v/>
      </c>
      <c r="M417">
        <f>Assumptions!$B$60/K417</f>
        <v/>
      </c>
      <c r="N417">
        <f>B417*(1-Assumptions!$B$61)</f>
        <v/>
      </c>
      <c r="O417">
        <f>MIN(M417,N417)</f>
        <v/>
      </c>
      <c r="P417">
        <f>Assumptions!$B$63/L417</f>
        <v/>
      </c>
      <c r="Q417">
        <f>B417*(1-Assumptions!$B$64)</f>
        <v/>
      </c>
      <c r="R417">
        <f>MIN(P417,Q417)</f>
        <v/>
      </c>
      <c r="S417">
        <f>$B$414/I417</f>
        <v/>
      </c>
      <c r="T417">
        <f>Assumptions!$B$59/O417</f>
        <v/>
      </c>
      <c r="U417">
        <f>Assumptions!$B$62/R417</f>
        <v/>
      </c>
    </row>
    <row r="418">
      <c r="A418" t="n">
        <v>1</v>
      </c>
      <c r="B418">
        <f>S417</f>
        <v/>
      </c>
      <c r="C418">
        <f>T417</f>
        <v/>
      </c>
      <c r="D418">
        <f>U417</f>
        <v/>
      </c>
      <c r="E418">
        <f>MAX(0,Assumptions!$B$34/IF(B418&lt;Assumptions!$B$25,Assumptions!$B$25*(Assumptions!$B$50+Assumptions!$B$5/Assumptions!$B$25)/(Assumptions!$B$50+Assumptions!$B$5/B418),Assumptions!$B$25)-Assumptions!$B$42)+MAX(0,Assumptions!$B$35/IF(B418&lt;Assumptions!$B$26,Assumptions!$B$26*(Assumptions!$B$50+Assumptions!$B$5/Assumptions!$B$26)/(Assumptions!$B$50+Assumptions!$B$5/B418),Assumptions!$B$26)-Assumptions!$B$43)</f>
        <v/>
      </c>
      <c r="F418">
        <f>Assumptions!$B$5/B418</f>
        <v/>
      </c>
      <c r="G418">
        <f>$B$413*(((Assumptions!$B$50-Assumptions!$B$51+E418+C418+D418)+F418)/(1-$B$413))-Assumptions!$B$51</f>
        <v/>
      </c>
      <c r="H418">
        <f>MAX(0,G418)</f>
        <v/>
      </c>
      <c r="I418">
        <f>Assumptions!$B$50+E418+H418+C418+D418</f>
        <v/>
      </c>
      <c r="J418">
        <f>I418+F418</f>
        <v/>
      </c>
      <c r="K418">
        <f>Assumptions!$B$50+E418+H418+D418</f>
        <v/>
      </c>
      <c r="L418">
        <f>Assumptions!$B$50+E418+H418+C418</f>
        <v/>
      </c>
      <c r="M418">
        <f>Assumptions!$B$60/K418</f>
        <v/>
      </c>
      <c r="N418">
        <f>B418*(1-Assumptions!$B$61)</f>
        <v/>
      </c>
      <c r="O418">
        <f>MIN(M418,N418)</f>
        <v/>
      </c>
      <c r="P418">
        <f>Assumptions!$B$63/L418</f>
        <v/>
      </c>
      <c r="Q418">
        <f>B418*(1-Assumptions!$B$64)</f>
        <v/>
      </c>
      <c r="R418">
        <f>MIN(P418,Q418)</f>
        <v/>
      </c>
      <c r="S418">
        <f>$B$414/I418</f>
        <v/>
      </c>
      <c r="T418">
        <f>Assumptions!$B$59/O418</f>
        <v/>
      </c>
      <c r="U418">
        <f>Assumptions!$B$62/R418</f>
        <v/>
      </c>
    </row>
    <row r="419">
      <c r="A419" t="n">
        <v>2</v>
      </c>
      <c r="B419">
        <f>S418</f>
        <v/>
      </c>
      <c r="C419">
        <f>T418</f>
        <v/>
      </c>
      <c r="D419">
        <f>U418</f>
        <v/>
      </c>
      <c r="E419">
        <f>MAX(0,Assumptions!$B$34/IF(B419&lt;Assumptions!$B$25,Assumptions!$B$25*(Assumptions!$B$50+Assumptions!$B$5/Assumptions!$B$25)/(Assumptions!$B$50+Assumptions!$B$5/B419),Assumptions!$B$25)-Assumptions!$B$42)+MAX(0,Assumptions!$B$35/IF(B419&lt;Assumptions!$B$26,Assumptions!$B$26*(Assumptions!$B$50+Assumptions!$B$5/Assumptions!$B$26)/(Assumptions!$B$50+Assumptions!$B$5/B419),Assumptions!$B$26)-Assumptions!$B$43)</f>
        <v/>
      </c>
      <c r="F419">
        <f>Assumptions!$B$5/B419</f>
        <v/>
      </c>
      <c r="G419">
        <f>$B$413*(((Assumptions!$B$50-Assumptions!$B$51+E419+C419+D419)+F419)/(1-$B$413))-Assumptions!$B$51</f>
        <v/>
      </c>
      <c r="H419">
        <f>MAX(0,G419)</f>
        <v/>
      </c>
      <c r="I419">
        <f>Assumptions!$B$50+E419+H419+C419+D419</f>
        <v/>
      </c>
      <c r="J419">
        <f>I419+F419</f>
        <v/>
      </c>
      <c r="K419">
        <f>Assumptions!$B$50+E419+H419+D419</f>
        <v/>
      </c>
      <c r="L419">
        <f>Assumptions!$B$50+E419+H419+C419</f>
        <v/>
      </c>
      <c r="M419">
        <f>Assumptions!$B$60/K419</f>
        <v/>
      </c>
      <c r="N419">
        <f>B419*(1-Assumptions!$B$61)</f>
        <v/>
      </c>
      <c r="O419">
        <f>MIN(M419,N419)</f>
        <v/>
      </c>
      <c r="P419">
        <f>Assumptions!$B$63/L419</f>
        <v/>
      </c>
      <c r="Q419">
        <f>B419*(1-Assumptions!$B$64)</f>
        <v/>
      </c>
      <c r="R419">
        <f>MIN(P419,Q419)</f>
        <v/>
      </c>
      <c r="S419">
        <f>$B$414/I419</f>
        <v/>
      </c>
      <c r="T419">
        <f>Assumptions!$B$59/O419</f>
        <v/>
      </c>
      <c r="U419">
        <f>Assumptions!$B$62/R419</f>
        <v/>
      </c>
    </row>
    <row r="420">
      <c r="A420" t="n">
        <v>3</v>
      </c>
      <c r="B420">
        <f>S419</f>
        <v/>
      </c>
      <c r="C420">
        <f>T419</f>
        <v/>
      </c>
      <c r="D420">
        <f>U419</f>
        <v/>
      </c>
      <c r="E420">
        <f>MAX(0,Assumptions!$B$34/IF(B420&lt;Assumptions!$B$25,Assumptions!$B$25*(Assumptions!$B$50+Assumptions!$B$5/Assumptions!$B$25)/(Assumptions!$B$50+Assumptions!$B$5/B420),Assumptions!$B$25)-Assumptions!$B$42)+MAX(0,Assumptions!$B$35/IF(B420&lt;Assumptions!$B$26,Assumptions!$B$26*(Assumptions!$B$50+Assumptions!$B$5/Assumptions!$B$26)/(Assumptions!$B$50+Assumptions!$B$5/B420),Assumptions!$B$26)-Assumptions!$B$43)</f>
        <v/>
      </c>
      <c r="F420">
        <f>Assumptions!$B$5/B420</f>
        <v/>
      </c>
      <c r="G420">
        <f>$B$413*(((Assumptions!$B$50-Assumptions!$B$51+E420+C420+D420)+F420)/(1-$B$413))-Assumptions!$B$51</f>
        <v/>
      </c>
      <c r="H420">
        <f>MAX(0,G420)</f>
        <v/>
      </c>
      <c r="I420">
        <f>Assumptions!$B$50+E420+H420+C420+D420</f>
        <v/>
      </c>
      <c r="J420">
        <f>I420+F420</f>
        <v/>
      </c>
      <c r="K420">
        <f>Assumptions!$B$50+E420+H420+D420</f>
        <v/>
      </c>
      <c r="L420">
        <f>Assumptions!$B$50+E420+H420+C420</f>
        <v/>
      </c>
      <c r="M420">
        <f>Assumptions!$B$60/K420</f>
        <v/>
      </c>
      <c r="N420">
        <f>B420*(1-Assumptions!$B$61)</f>
        <v/>
      </c>
      <c r="O420">
        <f>MIN(M420,N420)</f>
        <v/>
      </c>
      <c r="P420">
        <f>Assumptions!$B$63/L420</f>
        <v/>
      </c>
      <c r="Q420">
        <f>B420*(1-Assumptions!$B$64)</f>
        <v/>
      </c>
      <c r="R420">
        <f>MIN(P420,Q420)</f>
        <v/>
      </c>
      <c r="S420">
        <f>$B$414/I420</f>
        <v/>
      </c>
      <c r="T420">
        <f>Assumptions!$B$59/O420</f>
        <v/>
      </c>
      <c r="U420">
        <f>Assumptions!$B$62/R420</f>
        <v/>
      </c>
    </row>
    <row r="421">
      <c r="A421" t="n">
        <v>4</v>
      </c>
      <c r="B421">
        <f>S420</f>
        <v/>
      </c>
      <c r="C421">
        <f>T420</f>
        <v/>
      </c>
      <c r="D421">
        <f>U420</f>
        <v/>
      </c>
      <c r="E421">
        <f>MAX(0,Assumptions!$B$34/IF(B421&lt;Assumptions!$B$25,Assumptions!$B$25*(Assumptions!$B$50+Assumptions!$B$5/Assumptions!$B$25)/(Assumptions!$B$50+Assumptions!$B$5/B421),Assumptions!$B$25)-Assumptions!$B$42)+MAX(0,Assumptions!$B$35/IF(B421&lt;Assumptions!$B$26,Assumptions!$B$26*(Assumptions!$B$50+Assumptions!$B$5/Assumptions!$B$26)/(Assumptions!$B$50+Assumptions!$B$5/B421),Assumptions!$B$26)-Assumptions!$B$43)</f>
        <v/>
      </c>
      <c r="F421">
        <f>Assumptions!$B$5/B421</f>
        <v/>
      </c>
      <c r="G421">
        <f>$B$413*(((Assumptions!$B$50-Assumptions!$B$51+E421+C421+D421)+F421)/(1-$B$413))-Assumptions!$B$51</f>
        <v/>
      </c>
      <c r="H421">
        <f>MAX(0,G421)</f>
        <v/>
      </c>
      <c r="I421">
        <f>Assumptions!$B$50+E421+H421+C421+D421</f>
        <v/>
      </c>
      <c r="J421">
        <f>I421+F421</f>
        <v/>
      </c>
      <c r="K421">
        <f>Assumptions!$B$50+E421+H421+D421</f>
        <v/>
      </c>
      <c r="L421">
        <f>Assumptions!$B$50+E421+H421+C421</f>
        <v/>
      </c>
      <c r="M421">
        <f>Assumptions!$B$60/K421</f>
        <v/>
      </c>
      <c r="N421">
        <f>B421*(1-Assumptions!$B$61)</f>
        <v/>
      </c>
      <c r="O421">
        <f>MIN(M421,N421)</f>
        <v/>
      </c>
      <c r="P421">
        <f>Assumptions!$B$63/L421</f>
        <v/>
      </c>
      <c r="Q421">
        <f>B421*(1-Assumptions!$B$64)</f>
        <v/>
      </c>
      <c r="R421">
        <f>MIN(P421,Q421)</f>
        <v/>
      </c>
      <c r="S421">
        <f>$B$414/I421</f>
        <v/>
      </c>
      <c r="T421">
        <f>Assumptions!$B$59/O421</f>
        <v/>
      </c>
      <c r="U421">
        <f>Assumptions!$B$62/R421</f>
        <v/>
      </c>
    </row>
    <row r="422">
      <c r="A422" t="n">
        <v>5</v>
      </c>
      <c r="B422">
        <f>S421</f>
        <v/>
      </c>
      <c r="C422">
        <f>T421</f>
        <v/>
      </c>
      <c r="D422">
        <f>U421</f>
        <v/>
      </c>
      <c r="E422">
        <f>MAX(0,Assumptions!$B$34/IF(B422&lt;Assumptions!$B$25,Assumptions!$B$25*(Assumptions!$B$50+Assumptions!$B$5/Assumptions!$B$25)/(Assumptions!$B$50+Assumptions!$B$5/B422),Assumptions!$B$25)-Assumptions!$B$42)+MAX(0,Assumptions!$B$35/IF(B422&lt;Assumptions!$B$26,Assumptions!$B$26*(Assumptions!$B$50+Assumptions!$B$5/Assumptions!$B$26)/(Assumptions!$B$50+Assumptions!$B$5/B422),Assumptions!$B$26)-Assumptions!$B$43)</f>
        <v/>
      </c>
      <c r="F422">
        <f>Assumptions!$B$5/B422</f>
        <v/>
      </c>
      <c r="G422">
        <f>$B$413*(((Assumptions!$B$50-Assumptions!$B$51+E422+C422+D422)+F422)/(1-$B$413))-Assumptions!$B$51</f>
        <v/>
      </c>
      <c r="H422">
        <f>MAX(0,G422)</f>
        <v/>
      </c>
      <c r="I422">
        <f>Assumptions!$B$50+E422+H422+C422+D422</f>
        <v/>
      </c>
      <c r="J422">
        <f>I422+F422</f>
        <v/>
      </c>
      <c r="K422">
        <f>Assumptions!$B$50+E422+H422+D422</f>
        <v/>
      </c>
      <c r="L422">
        <f>Assumptions!$B$50+E422+H422+C422</f>
        <v/>
      </c>
      <c r="M422">
        <f>Assumptions!$B$60/K422</f>
        <v/>
      </c>
      <c r="N422">
        <f>B422*(1-Assumptions!$B$61)</f>
        <v/>
      </c>
      <c r="O422">
        <f>MIN(M422,N422)</f>
        <v/>
      </c>
      <c r="P422">
        <f>Assumptions!$B$63/L422</f>
        <v/>
      </c>
      <c r="Q422">
        <f>B422*(1-Assumptions!$B$64)</f>
        <v/>
      </c>
      <c r="R422">
        <f>MIN(P422,Q422)</f>
        <v/>
      </c>
      <c r="S422">
        <f>$B$414/I422</f>
        <v/>
      </c>
      <c r="T422">
        <f>Assumptions!$B$59/O422</f>
        <v/>
      </c>
      <c r="U422">
        <f>Assumptions!$B$62/R422</f>
        <v/>
      </c>
    </row>
    <row r="423">
      <c r="A423" t="n">
        <v>6</v>
      </c>
      <c r="B423">
        <f>S422</f>
        <v/>
      </c>
      <c r="C423">
        <f>T422</f>
        <v/>
      </c>
      <c r="D423">
        <f>U422</f>
        <v/>
      </c>
      <c r="E423">
        <f>MAX(0,Assumptions!$B$34/IF(B423&lt;Assumptions!$B$25,Assumptions!$B$25*(Assumptions!$B$50+Assumptions!$B$5/Assumptions!$B$25)/(Assumptions!$B$50+Assumptions!$B$5/B423),Assumptions!$B$25)-Assumptions!$B$42)+MAX(0,Assumptions!$B$35/IF(B423&lt;Assumptions!$B$26,Assumptions!$B$26*(Assumptions!$B$50+Assumptions!$B$5/Assumptions!$B$26)/(Assumptions!$B$50+Assumptions!$B$5/B423),Assumptions!$B$26)-Assumptions!$B$43)</f>
        <v/>
      </c>
      <c r="F423">
        <f>Assumptions!$B$5/B423</f>
        <v/>
      </c>
      <c r="G423">
        <f>$B$413*(((Assumptions!$B$50-Assumptions!$B$51+E423+C423+D423)+F423)/(1-$B$413))-Assumptions!$B$51</f>
        <v/>
      </c>
      <c r="H423">
        <f>MAX(0,G423)</f>
        <v/>
      </c>
      <c r="I423">
        <f>Assumptions!$B$50+E423+H423+C423+D423</f>
        <v/>
      </c>
      <c r="J423">
        <f>I423+F423</f>
        <v/>
      </c>
      <c r="K423">
        <f>Assumptions!$B$50+E423+H423+D423</f>
        <v/>
      </c>
      <c r="L423">
        <f>Assumptions!$B$50+E423+H423+C423</f>
        <v/>
      </c>
      <c r="M423">
        <f>Assumptions!$B$60/K423</f>
        <v/>
      </c>
      <c r="N423">
        <f>B423*(1-Assumptions!$B$61)</f>
        <v/>
      </c>
      <c r="O423">
        <f>MIN(M423,N423)</f>
        <v/>
      </c>
      <c r="P423">
        <f>Assumptions!$B$63/L423</f>
        <v/>
      </c>
      <c r="Q423">
        <f>B423*(1-Assumptions!$B$64)</f>
        <v/>
      </c>
      <c r="R423">
        <f>MIN(P423,Q423)</f>
        <v/>
      </c>
      <c r="S423">
        <f>$B$414/I423</f>
        <v/>
      </c>
      <c r="T423">
        <f>Assumptions!$B$59/O423</f>
        <v/>
      </c>
      <c r="U423">
        <f>Assumptions!$B$62/R423</f>
        <v/>
      </c>
    </row>
    <row r="424">
      <c r="A424" t="n">
        <v>7</v>
      </c>
      <c r="B424">
        <f>S423</f>
        <v/>
      </c>
      <c r="C424">
        <f>T423</f>
        <v/>
      </c>
      <c r="D424">
        <f>U423</f>
        <v/>
      </c>
      <c r="E424">
        <f>MAX(0,Assumptions!$B$34/IF(B424&lt;Assumptions!$B$25,Assumptions!$B$25*(Assumptions!$B$50+Assumptions!$B$5/Assumptions!$B$25)/(Assumptions!$B$50+Assumptions!$B$5/B424),Assumptions!$B$25)-Assumptions!$B$42)+MAX(0,Assumptions!$B$35/IF(B424&lt;Assumptions!$B$26,Assumptions!$B$26*(Assumptions!$B$50+Assumptions!$B$5/Assumptions!$B$26)/(Assumptions!$B$50+Assumptions!$B$5/B424),Assumptions!$B$26)-Assumptions!$B$43)</f>
        <v/>
      </c>
      <c r="F424">
        <f>Assumptions!$B$5/B424</f>
        <v/>
      </c>
      <c r="G424">
        <f>$B$413*(((Assumptions!$B$50-Assumptions!$B$51+E424+C424+D424)+F424)/(1-$B$413))-Assumptions!$B$51</f>
        <v/>
      </c>
      <c r="H424">
        <f>MAX(0,G424)</f>
        <v/>
      </c>
      <c r="I424">
        <f>Assumptions!$B$50+E424+H424+C424+D424</f>
        <v/>
      </c>
      <c r="J424">
        <f>I424+F424</f>
        <v/>
      </c>
      <c r="K424">
        <f>Assumptions!$B$50+E424+H424+D424</f>
        <v/>
      </c>
      <c r="L424">
        <f>Assumptions!$B$50+E424+H424+C424</f>
        <v/>
      </c>
      <c r="M424">
        <f>Assumptions!$B$60/K424</f>
        <v/>
      </c>
      <c r="N424">
        <f>B424*(1-Assumptions!$B$61)</f>
        <v/>
      </c>
      <c r="O424">
        <f>MIN(M424,N424)</f>
        <v/>
      </c>
      <c r="P424">
        <f>Assumptions!$B$63/L424</f>
        <v/>
      </c>
      <c r="Q424">
        <f>B424*(1-Assumptions!$B$64)</f>
        <v/>
      </c>
      <c r="R424">
        <f>MIN(P424,Q424)</f>
        <v/>
      </c>
      <c r="S424">
        <f>$B$414/I424</f>
        <v/>
      </c>
      <c r="T424">
        <f>Assumptions!$B$59/O424</f>
        <v/>
      </c>
      <c r="U424">
        <f>Assumptions!$B$62/R424</f>
        <v/>
      </c>
    </row>
    <row r="425">
      <c r="A425" t="n">
        <v>8</v>
      </c>
      <c r="B425">
        <f>S424</f>
        <v/>
      </c>
      <c r="C425">
        <f>T424</f>
        <v/>
      </c>
      <c r="D425">
        <f>U424</f>
        <v/>
      </c>
      <c r="E425">
        <f>MAX(0,Assumptions!$B$34/IF(B425&lt;Assumptions!$B$25,Assumptions!$B$25*(Assumptions!$B$50+Assumptions!$B$5/Assumptions!$B$25)/(Assumptions!$B$50+Assumptions!$B$5/B425),Assumptions!$B$25)-Assumptions!$B$42)+MAX(0,Assumptions!$B$35/IF(B425&lt;Assumptions!$B$26,Assumptions!$B$26*(Assumptions!$B$50+Assumptions!$B$5/Assumptions!$B$26)/(Assumptions!$B$50+Assumptions!$B$5/B425),Assumptions!$B$26)-Assumptions!$B$43)</f>
        <v/>
      </c>
      <c r="F425">
        <f>Assumptions!$B$5/B425</f>
        <v/>
      </c>
      <c r="G425">
        <f>$B$413*(((Assumptions!$B$50-Assumptions!$B$51+E425+C425+D425)+F425)/(1-$B$413))-Assumptions!$B$51</f>
        <v/>
      </c>
      <c r="H425">
        <f>MAX(0,G425)</f>
        <v/>
      </c>
      <c r="I425">
        <f>Assumptions!$B$50+E425+H425+C425+D425</f>
        <v/>
      </c>
      <c r="J425">
        <f>I425+F425</f>
        <v/>
      </c>
      <c r="K425">
        <f>Assumptions!$B$50+E425+H425+D425</f>
        <v/>
      </c>
      <c r="L425">
        <f>Assumptions!$B$50+E425+H425+C425</f>
        <v/>
      </c>
      <c r="M425">
        <f>Assumptions!$B$60/K425</f>
        <v/>
      </c>
      <c r="N425">
        <f>B425*(1-Assumptions!$B$61)</f>
        <v/>
      </c>
      <c r="O425">
        <f>MIN(M425,N425)</f>
        <v/>
      </c>
      <c r="P425">
        <f>Assumptions!$B$63/L425</f>
        <v/>
      </c>
      <c r="Q425">
        <f>B425*(1-Assumptions!$B$64)</f>
        <v/>
      </c>
      <c r="R425">
        <f>MIN(P425,Q425)</f>
        <v/>
      </c>
      <c r="S425">
        <f>$B$414/I425</f>
        <v/>
      </c>
      <c r="T425">
        <f>Assumptions!$B$59/O425</f>
        <v/>
      </c>
      <c r="U425">
        <f>Assumptions!$B$62/R425</f>
        <v/>
      </c>
    </row>
    <row r="426">
      <c r="A426" t="n">
        <v>9</v>
      </c>
      <c r="B426">
        <f>S425</f>
        <v/>
      </c>
      <c r="C426">
        <f>T425</f>
        <v/>
      </c>
      <c r="D426">
        <f>U425</f>
        <v/>
      </c>
      <c r="E426">
        <f>MAX(0,Assumptions!$B$34/IF(B426&lt;Assumptions!$B$25,Assumptions!$B$25*(Assumptions!$B$50+Assumptions!$B$5/Assumptions!$B$25)/(Assumptions!$B$50+Assumptions!$B$5/B426),Assumptions!$B$25)-Assumptions!$B$42)+MAX(0,Assumptions!$B$35/IF(B426&lt;Assumptions!$B$26,Assumptions!$B$26*(Assumptions!$B$50+Assumptions!$B$5/Assumptions!$B$26)/(Assumptions!$B$50+Assumptions!$B$5/B426),Assumptions!$B$26)-Assumptions!$B$43)</f>
        <v/>
      </c>
      <c r="F426">
        <f>Assumptions!$B$5/B426</f>
        <v/>
      </c>
      <c r="G426">
        <f>$B$413*(((Assumptions!$B$50-Assumptions!$B$51+E426+C426+D426)+F426)/(1-$B$413))-Assumptions!$B$51</f>
        <v/>
      </c>
      <c r="H426">
        <f>MAX(0,G426)</f>
        <v/>
      </c>
      <c r="I426">
        <f>Assumptions!$B$50+E426+H426+C426+D426</f>
        <v/>
      </c>
      <c r="J426">
        <f>I426+F426</f>
        <v/>
      </c>
      <c r="K426">
        <f>Assumptions!$B$50+E426+H426+D426</f>
        <v/>
      </c>
      <c r="L426">
        <f>Assumptions!$B$50+E426+H426+C426</f>
        <v/>
      </c>
      <c r="M426">
        <f>Assumptions!$B$60/K426</f>
        <v/>
      </c>
      <c r="N426">
        <f>B426*(1-Assumptions!$B$61)</f>
        <v/>
      </c>
      <c r="O426">
        <f>MIN(M426,N426)</f>
        <v/>
      </c>
      <c r="P426">
        <f>Assumptions!$B$63/L426</f>
        <v/>
      </c>
      <c r="Q426">
        <f>B426*(1-Assumptions!$B$64)</f>
        <v/>
      </c>
      <c r="R426">
        <f>MIN(P426,Q426)</f>
        <v/>
      </c>
      <c r="S426">
        <f>$B$414/I426</f>
        <v/>
      </c>
      <c r="T426">
        <f>Assumptions!$B$59/O426</f>
        <v/>
      </c>
      <c r="U426">
        <f>Assumptions!$B$62/R426</f>
        <v/>
      </c>
    </row>
    <row r="427">
      <c r="A427" t="n">
        <v>10</v>
      </c>
      <c r="B427">
        <f>S426</f>
        <v/>
      </c>
      <c r="C427">
        <f>T426</f>
        <v/>
      </c>
      <c r="D427">
        <f>U426</f>
        <v/>
      </c>
      <c r="E427">
        <f>MAX(0,Assumptions!$B$34/IF(B427&lt;Assumptions!$B$25,Assumptions!$B$25*(Assumptions!$B$50+Assumptions!$B$5/Assumptions!$B$25)/(Assumptions!$B$50+Assumptions!$B$5/B427),Assumptions!$B$25)-Assumptions!$B$42)+MAX(0,Assumptions!$B$35/IF(B427&lt;Assumptions!$B$26,Assumptions!$B$26*(Assumptions!$B$50+Assumptions!$B$5/Assumptions!$B$26)/(Assumptions!$B$50+Assumptions!$B$5/B427),Assumptions!$B$26)-Assumptions!$B$43)</f>
        <v/>
      </c>
      <c r="F427">
        <f>Assumptions!$B$5/B427</f>
        <v/>
      </c>
      <c r="G427">
        <f>$B$413*(((Assumptions!$B$50-Assumptions!$B$51+E427+C427+D427)+F427)/(1-$B$413))-Assumptions!$B$51</f>
        <v/>
      </c>
      <c r="H427">
        <f>MAX(0,G427)</f>
        <v/>
      </c>
      <c r="I427">
        <f>Assumptions!$B$50+E427+H427+C427+D427</f>
        <v/>
      </c>
      <c r="J427">
        <f>I427+F427</f>
        <v/>
      </c>
      <c r="K427">
        <f>Assumptions!$B$50+E427+H427+D427</f>
        <v/>
      </c>
      <c r="L427">
        <f>Assumptions!$B$50+E427+H427+C427</f>
        <v/>
      </c>
      <c r="M427">
        <f>Assumptions!$B$60/K427</f>
        <v/>
      </c>
      <c r="N427">
        <f>B427*(1-Assumptions!$B$61)</f>
        <v/>
      </c>
      <c r="O427">
        <f>MIN(M427,N427)</f>
        <v/>
      </c>
      <c r="P427">
        <f>Assumptions!$B$63/L427</f>
        <v/>
      </c>
      <c r="Q427">
        <f>B427*(1-Assumptions!$B$64)</f>
        <v/>
      </c>
      <c r="R427">
        <f>MIN(P427,Q427)</f>
        <v/>
      </c>
      <c r="S427">
        <f>$B$414/I427</f>
        <v/>
      </c>
      <c r="T427">
        <f>Assumptions!$B$59/O427</f>
        <v/>
      </c>
      <c r="U427">
        <f>Assumptions!$B$62/R427</f>
        <v/>
      </c>
    </row>
    <row r="428">
      <c r="A428" t="n">
        <v>11</v>
      </c>
      <c r="B428">
        <f>S427</f>
        <v/>
      </c>
      <c r="C428">
        <f>T427</f>
        <v/>
      </c>
      <c r="D428">
        <f>U427</f>
        <v/>
      </c>
      <c r="E428">
        <f>MAX(0,Assumptions!$B$34/IF(B428&lt;Assumptions!$B$25,Assumptions!$B$25*(Assumptions!$B$50+Assumptions!$B$5/Assumptions!$B$25)/(Assumptions!$B$50+Assumptions!$B$5/B428),Assumptions!$B$25)-Assumptions!$B$42)+MAX(0,Assumptions!$B$35/IF(B428&lt;Assumptions!$B$26,Assumptions!$B$26*(Assumptions!$B$50+Assumptions!$B$5/Assumptions!$B$26)/(Assumptions!$B$50+Assumptions!$B$5/B428),Assumptions!$B$26)-Assumptions!$B$43)</f>
        <v/>
      </c>
      <c r="F428">
        <f>Assumptions!$B$5/B428</f>
        <v/>
      </c>
      <c r="G428">
        <f>$B$413*(((Assumptions!$B$50-Assumptions!$B$51+E428+C428+D428)+F428)/(1-$B$413))-Assumptions!$B$51</f>
        <v/>
      </c>
      <c r="H428">
        <f>MAX(0,G428)</f>
        <v/>
      </c>
      <c r="I428">
        <f>Assumptions!$B$50+E428+H428+C428+D428</f>
        <v/>
      </c>
      <c r="J428">
        <f>I428+F428</f>
        <v/>
      </c>
      <c r="K428">
        <f>Assumptions!$B$50+E428+H428+D428</f>
        <v/>
      </c>
      <c r="L428">
        <f>Assumptions!$B$50+E428+H428+C428</f>
        <v/>
      </c>
      <c r="M428">
        <f>Assumptions!$B$60/K428</f>
        <v/>
      </c>
      <c r="N428">
        <f>B428*(1-Assumptions!$B$61)</f>
        <v/>
      </c>
      <c r="O428">
        <f>MIN(M428,N428)</f>
        <v/>
      </c>
      <c r="P428">
        <f>Assumptions!$B$63/L428</f>
        <v/>
      </c>
      <c r="Q428">
        <f>B428*(1-Assumptions!$B$64)</f>
        <v/>
      </c>
      <c r="R428">
        <f>MIN(P428,Q428)</f>
        <v/>
      </c>
      <c r="S428">
        <f>$B$414/I428</f>
        <v/>
      </c>
      <c r="T428">
        <f>Assumptions!$B$59/O428</f>
        <v/>
      </c>
      <c r="U428">
        <f>Assumptions!$B$62/R428</f>
        <v/>
      </c>
    </row>
    <row r="429">
      <c r="A429" t="n">
        <v>12</v>
      </c>
      <c r="B429">
        <f>S428</f>
        <v/>
      </c>
      <c r="C429">
        <f>T428</f>
        <v/>
      </c>
      <c r="D429">
        <f>U428</f>
        <v/>
      </c>
      <c r="E429">
        <f>MAX(0,Assumptions!$B$34/IF(B429&lt;Assumptions!$B$25,Assumptions!$B$25*(Assumptions!$B$50+Assumptions!$B$5/Assumptions!$B$25)/(Assumptions!$B$50+Assumptions!$B$5/B429),Assumptions!$B$25)-Assumptions!$B$42)+MAX(0,Assumptions!$B$35/IF(B429&lt;Assumptions!$B$26,Assumptions!$B$26*(Assumptions!$B$50+Assumptions!$B$5/Assumptions!$B$26)/(Assumptions!$B$50+Assumptions!$B$5/B429),Assumptions!$B$26)-Assumptions!$B$43)</f>
        <v/>
      </c>
      <c r="F429">
        <f>Assumptions!$B$5/B429</f>
        <v/>
      </c>
      <c r="G429">
        <f>$B$413*(((Assumptions!$B$50-Assumptions!$B$51+E429+C429+D429)+F429)/(1-$B$413))-Assumptions!$B$51</f>
        <v/>
      </c>
      <c r="H429">
        <f>MAX(0,G429)</f>
        <v/>
      </c>
      <c r="I429">
        <f>Assumptions!$B$50+E429+H429+C429+D429</f>
        <v/>
      </c>
      <c r="J429">
        <f>I429+F429</f>
        <v/>
      </c>
      <c r="K429">
        <f>Assumptions!$B$50+E429+H429+D429</f>
        <v/>
      </c>
      <c r="L429">
        <f>Assumptions!$B$50+E429+H429+C429</f>
        <v/>
      </c>
      <c r="M429">
        <f>Assumptions!$B$60/K429</f>
        <v/>
      </c>
      <c r="N429">
        <f>B429*(1-Assumptions!$B$61)</f>
        <v/>
      </c>
      <c r="O429">
        <f>MIN(M429,N429)</f>
        <v/>
      </c>
      <c r="P429">
        <f>Assumptions!$B$63/L429</f>
        <v/>
      </c>
      <c r="Q429">
        <f>B429*(1-Assumptions!$B$64)</f>
        <v/>
      </c>
      <c r="R429">
        <f>MIN(P429,Q429)</f>
        <v/>
      </c>
      <c r="S429">
        <f>$B$414/I429</f>
        <v/>
      </c>
      <c r="T429">
        <f>Assumptions!$B$59/O429</f>
        <v/>
      </c>
      <c r="U429">
        <f>Assumptions!$B$62/R429</f>
        <v/>
      </c>
    </row>
    <row r="430">
      <c r="A430" t="n">
        <v>13</v>
      </c>
      <c r="B430">
        <f>S429</f>
        <v/>
      </c>
      <c r="C430">
        <f>T429</f>
        <v/>
      </c>
      <c r="D430">
        <f>U429</f>
        <v/>
      </c>
      <c r="E430">
        <f>MAX(0,Assumptions!$B$34/IF(B430&lt;Assumptions!$B$25,Assumptions!$B$25*(Assumptions!$B$50+Assumptions!$B$5/Assumptions!$B$25)/(Assumptions!$B$50+Assumptions!$B$5/B430),Assumptions!$B$25)-Assumptions!$B$42)+MAX(0,Assumptions!$B$35/IF(B430&lt;Assumptions!$B$26,Assumptions!$B$26*(Assumptions!$B$50+Assumptions!$B$5/Assumptions!$B$26)/(Assumptions!$B$50+Assumptions!$B$5/B430),Assumptions!$B$26)-Assumptions!$B$43)</f>
        <v/>
      </c>
      <c r="F430">
        <f>Assumptions!$B$5/B430</f>
        <v/>
      </c>
      <c r="G430">
        <f>$B$413*(((Assumptions!$B$50-Assumptions!$B$51+E430+C430+D430)+F430)/(1-$B$413))-Assumptions!$B$51</f>
        <v/>
      </c>
      <c r="H430">
        <f>MAX(0,G430)</f>
        <v/>
      </c>
      <c r="I430">
        <f>Assumptions!$B$50+E430+H430+C430+D430</f>
        <v/>
      </c>
      <c r="J430">
        <f>I430+F430</f>
        <v/>
      </c>
      <c r="K430">
        <f>Assumptions!$B$50+E430+H430+D430</f>
        <v/>
      </c>
      <c r="L430">
        <f>Assumptions!$B$50+E430+H430+C430</f>
        <v/>
      </c>
      <c r="M430">
        <f>Assumptions!$B$60/K430</f>
        <v/>
      </c>
      <c r="N430">
        <f>B430*(1-Assumptions!$B$61)</f>
        <v/>
      </c>
      <c r="O430">
        <f>MIN(M430,N430)</f>
        <v/>
      </c>
      <c r="P430">
        <f>Assumptions!$B$63/L430</f>
        <v/>
      </c>
      <c r="Q430">
        <f>B430*(1-Assumptions!$B$64)</f>
        <v/>
      </c>
      <c r="R430">
        <f>MIN(P430,Q430)</f>
        <v/>
      </c>
      <c r="S430">
        <f>$B$414/I430</f>
        <v/>
      </c>
      <c r="T430">
        <f>Assumptions!$B$59/O430</f>
        <v/>
      </c>
      <c r="U430">
        <f>Assumptions!$B$62/R430</f>
        <v/>
      </c>
    </row>
    <row r="431">
      <c r="A431" t="n">
        <v>14</v>
      </c>
      <c r="B431">
        <f>S430</f>
        <v/>
      </c>
      <c r="C431">
        <f>T430</f>
        <v/>
      </c>
      <c r="D431">
        <f>U430</f>
        <v/>
      </c>
      <c r="E431">
        <f>MAX(0,Assumptions!$B$34/IF(B431&lt;Assumptions!$B$25,Assumptions!$B$25*(Assumptions!$B$50+Assumptions!$B$5/Assumptions!$B$25)/(Assumptions!$B$50+Assumptions!$B$5/B431),Assumptions!$B$25)-Assumptions!$B$42)+MAX(0,Assumptions!$B$35/IF(B431&lt;Assumptions!$B$26,Assumptions!$B$26*(Assumptions!$B$50+Assumptions!$B$5/Assumptions!$B$26)/(Assumptions!$B$50+Assumptions!$B$5/B431),Assumptions!$B$26)-Assumptions!$B$43)</f>
        <v/>
      </c>
      <c r="F431">
        <f>Assumptions!$B$5/B431</f>
        <v/>
      </c>
      <c r="G431">
        <f>$B$413*(((Assumptions!$B$50-Assumptions!$B$51+E431+C431+D431)+F431)/(1-$B$413))-Assumptions!$B$51</f>
        <v/>
      </c>
      <c r="H431">
        <f>MAX(0,G431)</f>
        <v/>
      </c>
      <c r="I431">
        <f>Assumptions!$B$50+E431+H431+C431+D431</f>
        <v/>
      </c>
      <c r="J431">
        <f>I431+F431</f>
        <v/>
      </c>
      <c r="K431">
        <f>Assumptions!$B$50+E431+H431+D431</f>
        <v/>
      </c>
      <c r="L431">
        <f>Assumptions!$B$50+E431+H431+C431</f>
        <v/>
      </c>
      <c r="M431">
        <f>Assumptions!$B$60/K431</f>
        <v/>
      </c>
      <c r="N431">
        <f>B431*(1-Assumptions!$B$61)</f>
        <v/>
      </c>
      <c r="O431">
        <f>MIN(M431,N431)</f>
        <v/>
      </c>
      <c r="P431">
        <f>Assumptions!$B$63/L431</f>
        <v/>
      </c>
      <c r="Q431">
        <f>B431*(1-Assumptions!$B$64)</f>
        <v/>
      </c>
      <c r="R431">
        <f>MIN(P431,Q431)</f>
        <v/>
      </c>
      <c r="S431">
        <f>$B$414/I431</f>
        <v/>
      </c>
      <c r="T431">
        <f>Assumptions!$B$59/O431</f>
        <v/>
      </c>
      <c r="U431">
        <f>Assumptions!$B$62/R431</f>
        <v/>
      </c>
    </row>
    <row r="432">
      <c r="A432" t="n">
        <v>15</v>
      </c>
      <c r="B432">
        <f>S431</f>
        <v/>
      </c>
      <c r="C432">
        <f>T431</f>
        <v/>
      </c>
      <c r="D432">
        <f>U431</f>
        <v/>
      </c>
      <c r="E432">
        <f>MAX(0,Assumptions!$B$34/IF(B432&lt;Assumptions!$B$25,Assumptions!$B$25*(Assumptions!$B$50+Assumptions!$B$5/Assumptions!$B$25)/(Assumptions!$B$50+Assumptions!$B$5/B432),Assumptions!$B$25)-Assumptions!$B$42)+MAX(0,Assumptions!$B$35/IF(B432&lt;Assumptions!$B$26,Assumptions!$B$26*(Assumptions!$B$50+Assumptions!$B$5/Assumptions!$B$26)/(Assumptions!$B$50+Assumptions!$B$5/B432),Assumptions!$B$26)-Assumptions!$B$43)</f>
        <v/>
      </c>
      <c r="F432">
        <f>Assumptions!$B$5/B432</f>
        <v/>
      </c>
      <c r="G432">
        <f>$B$413*(((Assumptions!$B$50-Assumptions!$B$51+E432+C432+D432)+F432)/(1-$B$413))-Assumptions!$B$51</f>
        <v/>
      </c>
      <c r="H432">
        <f>MAX(0,G432)</f>
        <v/>
      </c>
      <c r="I432">
        <f>Assumptions!$B$50+E432+H432+C432+D432</f>
        <v/>
      </c>
      <c r="J432">
        <f>I432+F432</f>
        <v/>
      </c>
      <c r="K432">
        <f>Assumptions!$B$50+E432+H432+D432</f>
        <v/>
      </c>
      <c r="L432">
        <f>Assumptions!$B$50+E432+H432+C432</f>
        <v/>
      </c>
      <c r="M432">
        <f>Assumptions!$B$60/K432</f>
        <v/>
      </c>
      <c r="N432">
        <f>B432*(1-Assumptions!$B$61)</f>
        <v/>
      </c>
      <c r="O432">
        <f>MIN(M432,N432)</f>
        <v/>
      </c>
      <c r="P432">
        <f>Assumptions!$B$63/L432</f>
        <v/>
      </c>
      <c r="Q432">
        <f>B432*(1-Assumptions!$B$64)</f>
        <v/>
      </c>
      <c r="R432">
        <f>MIN(P432,Q432)</f>
        <v/>
      </c>
      <c r="S432">
        <f>$B$414/I432</f>
        <v/>
      </c>
      <c r="T432">
        <f>Assumptions!$B$59/O432</f>
        <v/>
      </c>
      <c r="U432">
        <f>Assumptions!$B$62/R432</f>
        <v/>
      </c>
    </row>
    <row r="433">
      <c r="A433" t="n">
        <v>16</v>
      </c>
      <c r="B433">
        <f>S432</f>
        <v/>
      </c>
      <c r="C433">
        <f>T432</f>
        <v/>
      </c>
      <c r="D433">
        <f>U432</f>
        <v/>
      </c>
      <c r="E433">
        <f>MAX(0,Assumptions!$B$34/IF(B433&lt;Assumptions!$B$25,Assumptions!$B$25*(Assumptions!$B$50+Assumptions!$B$5/Assumptions!$B$25)/(Assumptions!$B$50+Assumptions!$B$5/B433),Assumptions!$B$25)-Assumptions!$B$42)+MAX(0,Assumptions!$B$35/IF(B433&lt;Assumptions!$B$26,Assumptions!$B$26*(Assumptions!$B$50+Assumptions!$B$5/Assumptions!$B$26)/(Assumptions!$B$50+Assumptions!$B$5/B433),Assumptions!$B$26)-Assumptions!$B$43)</f>
        <v/>
      </c>
      <c r="F433">
        <f>Assumptions!$B$5/B433</f>
        <v/>
      </c>
      <c r="G433">
        <f>$B$413*(((Assumptions!$B$50-Assumptions!$B$51+E433+C433+D433)+F433)/(1-$B$413))-Assumptions!$B$51</f>
        <v/>
      </c>
      <c r="H433">
        <f>MAX(0,G433)</f>
        <v/>
      </c>
      <c r="I433">
        <f>Assumptions!$B$50+E433+H433+C433+D433</f>
        <v/>
      </c>
      <c r="J433">
        <f>I433+F433</f>
        <v/>
      </c>
      <c r="K433">
        <f>Assumptions!$B$50+E433+H433+D433</f>
        <v/>
      </c>
      <c r="L433">
        <f>Assumptions!$B$50+E433+H433+C433</f>
        <v/>
      </c>
      <c r="M433">
        <f>Assumptions!$B$60/K433</f>
        <v/>
      </c>
      <c r="N433">
        <f>B433*(1-Assumptions!$B$61)</f>
        <v/>
      </c>
      <c r="O433">
        <f>MIN(M433,N433)</f>
        <v/>
      </c>
      <c r="P433">
        <f>Assumptions!$B$63/L433</f>
        <v/>
      </c>
      <c r="Q433">
        <f>B433*(1-Assumptions!$B$64)</f>
        <v/>
      </c>
      <c r="R433">
        <f>MIN(P433,Q433)</f>
        <v/>
      </c>
      <c r="S433">
        <f>$B$414/I433</f>
        <v/>
      </c>
      <c r="T433">
        <f>Assumptions!$B$59/O433</f>
        <v/>
      </c>
      <c r="U433">
        <f>Assumptions!$B$62/R433</f>
        <v/>
      </c>
    </row>
    <row r="434">
      <c r="A434" t="n">
        <v>17</v>
      </c>
      <c r="B434">
        <f>S433</f>
        <v/>
      </c>
      <c r="C434">
        <f>T433</f>
        <v/>
      </c>
      <c r="D434">
        <f>U433</f>
        <v/>
      </c>
      <c r="E434">
        <f>MAX(0,Assumptions!$B$34/IF(B434&lt;Assumptions!$B$25,Assumptions!$B$25*(Assumptions!$B$50+Assumptions!$B$5/Assumptions!$B$25)/(Assumptions!$B$50+Assumptions!$B$5/B434),Assumptions!$B$25)-Assumptions!$B$42)+MAX(0,Assumptions!$B$35/IF(B434&lt;Assumptions!$B$26,Assumptions!$B$26*(Assumptions!$B$50+Assumptions!$B$5/Assumptions!$B$26)/(Assumptions!$B$50+Assumptions!$B$5/B434),Assumptions!$B$26)-Assumptions!$B$43)</f>
        <v/>
      </c>
      <c r="F434">
        <f>Assumptions!$B$5/B434</f>
        <v/>
      </c>
      <c r="G434">
        <f>$B$413*(((Assumptions!$B$50-Assumptions!$B$51+E434+C434+D434)+F434)/(1-$B$413))-Assumptions!$B$51</f>
        <v/>
      </c>
      <c r="H434">
        <f>MAX(0,G434)</f>
        <v/>
      </c>
      <c r="I434">
        <f>Assumptions!$B$50+E434+H434+C434+D434</f>
        <v/>
      </c>
      <c r="J434">
        <f>I434+F434</f>
        <v/>
      </c>
      <c r="K434">
        <f>Assumptions!$B$50+E434+H434+D434</f>
        <v/>
      </c>
      <c r="L434">
        <f>Assumptions!$B$50+E434+H434+C434</f>
        <v/>
      </c>
      <c r="M434">
        <f>Assumptions!$B$60/K434</f>
        <v/>
      </c>
      <c r="N434">
        <f>B434*(1-Assumptions!$B$61)</f>
        <v/>
      </c>
      <c r="O434">
        <f>MIN(M434,N434)</f>
        <v/>
      </c>
      <c r="P434">
        <f>Assumptions!$B$63/L434</f>
        <v/>
      </c>
      <c r="Q434">
        <f>B434*(1-Assumptions!$B$64)</f>
        <v/>
      </c>
      <c r="R434">
        <f>MIN(P434,Q434)</f>
        <v/>
      </c>
      <c r="S434">
        <f>$B$414/I434</f>
        <v/>
      </c>
      <c r="T434">
        <f>Assumptions!$B$59/O434</f>
        <v/>
      </c>
      <c r="U434">
        <f>Assumptions!$B$62/R434</f>
        <v/>
      </c>
    </row>
    <row r="435">
      <c r="A435" t="n">
        <v>18</v>
      </c>
      <c r="B435">
        <f>S434</f>
        <v/>
      </c>
      <c r="C435">
        <f>T434</f>
        <v/>
      </c>
      <c r="D435">
        <f>U434</f>
        <v/>
      </c>
      <c r="E435">
        <f>MAX(0,Assumptions!$B$34/IF(B435&lt;Assumptions!$B$25,Assumptions!$B$25*(Assumptions!$B$50+Assumptions!$B$5/Assumptions!$B$25)/(Assumptions!$B$50+Assumptions!$B$5/B435),Assumptions!$B$25)-Assumptions!$B$42)+MAX(0,Assumptions!$B$35/IF(B435&lt;Assumptions!$B$26,Assumptions!$B$26*(Assumptions!$B$50+Assumptions!$B$5/Assumptions!$B$26)/(Assumptions!$B$50+Assumptions!$B$5/B435),Assumptions!$B$26)-Assumptions!$B$43)</f>
        <v/>
      </c>
      <c r="F435">
        <f>Assumptions!$B$5/B435</f>
        <v/>
      </c>
      <c r="G435">
        <f>$B$413*(((Assumptions!$B$50-Assumptions!$B$51+E435+C435+D435)+F435)/(1-$B$413))-Assumptions!$B$51</f>
        <v/>
      </c>
      <c r="H435">
        <f>MAX(0,G435)</f>
        <v/>
      </c>
      <c r="I435">
        <f>Assumptions!$B$50+E435+H435+C435+D435</f>
        <v/>
      </c>
      <c r="J435">
        <f>I435+F435</f>
        <v/>
      </c>
      <c r="K435">
        <f>Assumptions!$B$50+E435+H435+D435</f>
        <v/>
      </c>
      <c r="L435">
        <f>Assumptions!$B$50+E435+H435+C435</f>
        <v/>
      </c>
      <c r="M435">
        <f>Assumptions!$B$60/K435</f>
        <v/>
      </c>
      <c r="N435">
        <f>B435*(1-Assumptions!$B$61)</f>
        <v/>
      </c>
      <c r="O435">
        <f>MIN(M435,N435)</f>
        <v/>
      </c>
      <c r="P435">
        <f>Assumptions!$B$63/L435</f>
        <v/>
      </c>
      <c r="Q435">
        <f>B435*(1-Assumptions!$B$64)</f>
        <v/>
      </c>
      <c r="R435">
        <f>MIN(P435,Q435)</f>
        <v/>
      </c>
      <c r="S435">
        <f>$B$414/I435</f>
        <v/>
      </c>
      <c r="T435">
        <f>Assumptions!$B$59/O435</f>
        <v/>
      </c>
      <c r="U435">
        <f>Assumptions!$B$62/R435</f>
        <v/>
      </c>
    </row>
    <row r="436">
      <c r="A436" t="n">
        <v>19</v>
      </c>
      <c r="B436">
        <f>S435</f>
        <v/>
      </c>
      <c r="C436">
        <f>T435</f>
        <v/>
      </c>
      <c r="D436">
        <f>U435</f>
        <v/>
      </c>
      <c r="E436">
        <f>MAX(0,Assumptions!$B$34/IF(B436&lt;Assumptions!$B$25,Assumptions!$B$25*(Assumptions!$B$50+Assumptions!$B$5/Assumptions!$B$25)/(Assumptions!$B$50+Assumptions!$B$5/B436),Assumptions!$B$25)-Assumptions!$B$42)+MAX(0,Assumptions!$B$35/IF(B436&lt;Assumptions!$B$26,Assumptions!$B$26*(Assumptions!$B$50+Assumptions!$B$5/Assumptions!$B$26)/(Assumptions!$B$50+Assumptions!$B$5/B436),Assumptions!$B$26)-Assumptions!$B$43)</f>
        <v/>
      </c>
      <c r="F436">
        <f>Assumptions!$B$5/B436</f>
        <v/>
      </c>
      <c r="G436">
        <f>$B$413*(((Assumptions!$B$50-Assumptions!$B$51+E436+C436+D436)+F436)/(1-$B$413))-Assumptions!$B$51</f>
        <v/>
      </c>
      <c r="H436">
        <f>MAX(0,G436)</f>
        <v/>
      </c>
      <c r="I436">
        <f>Assumptions!$B$50+E436+H436+C436+D436</f>
        <v/>
      </c>
      <c r="J436">
        <f>I436+F436</f>
        <v/>
      </c>
      <c r="K436">
        <f>Assumptions!$B$50+E436+H436+D436</f>
        <v/>
      </c>
      <c r="L436">
        <f>Assumptions!$B$50+E436+H436+C436</f>
        <v/>
      </c>
      <c r="M436">
        <f>Assumptions!$B$60/K436</f>
        <v/>
      </c>
      <c r="N436">
        <f>B436*(1-Assumptions!$B$61)</f>
        <v/>
      </c>
      <c r="O436">
        <f>MIN(M436,N436)</f>
        <v/>
      </c>
      <c r="P436">
        <f>Assumptions!$B$63/L436</f>
        <v/>
      </c>
      <c r="Q436">
        <f>B436*(1-Assumptions!$B$64)</f>
        <v/>
      </c>
      <c r="R436">
        <f>MIN(P436,Q436)</f>
        <v/>
      </c>
      <c r="S436">
        <f>$B$414/I436</f>
        <v/>
      </c>
      <c r="T436">
        <f>Assumptions!$B$59/O436</f>
        <v/>
      </c>
      <c r="U436">
        <f>Assumptions!$B$62/R436</f>
        <v/>
      </c>
    </row>
    <row r="437">
      <c r="A437" t="n">
        <v>20</v>
      </c>
      <c r="B437">
        <f>S436</f>
        <v/>
      </c>
      <c r="C437">
        <f>T436</f>
        <v/>
      </c>
      <c r="D437">
        <f>U436</f>
        <v/>
      </c>
      <c r="E437">
        <f>MAX(0,Assumptions!$B$34/IF(B437&lt;Assumptions!$B$25,Assumptions!$B$25*(Assumptions!$B$50+Assumptions!$B$5/Assumptions!$B$25)/(Assumptions!$B$50+Assumptions!$B$5/B437),Assumptions!$B$25)-Assumptions!$B$42)+MAX(0,Assumptions!$B$35/IF(B437&lt;Assumptions!$B$26,Assumptions!$B$26*(Assumptions!$B$50+Assumptions!$B$5/Assumptions!$B$26)/(Assumptions!$B$50+Assumptions!$B$5/B437),Assumptions!$B$26)-Assumptions!$B$43)</f>
        <v/>
      </c>
      <c r="F437">
        <f>Assumptions!$B$5/B437</f>
        <v/>
      </c>
      <c r="G437">
        <f>$B$413*(((Assumptions!$B$50-Assumptions!$B$51+E437+C437+D437)+F437)/(1-$B$413))-Assumptions!$B$51</f>
        <v/>
      </c>
      <c r="H437">
        <f>MAX(0,G437)</f>
        <v/>
      </c>
      <c r="I437">
        <f>Assumptions!$B$50+E437+H437+C437+D437</f>
        <v/>
      </c>
      <c r="J437">
        <f>I437+F437</f>
        <v/>
      </c>
      <c r="K437">
        <f>Assumptions!$B$50+E437+H437+D437</f>
        <v/>
      </c>
      <c r="L437">
        <f>Assumptions!$B$50+E437+H437+C437</f>
        <v/>
      </c>
      <c r="M437">
        <f>Assumptions!$B$60/K437</f>
        <v/>
      </c>
      <c r="N437">
        <f>B437*(1-Assumptions!$B$61)</f>
        <v/>
      </c>
      <c r="O437">
        <f>MIN(M437,N437)</f>
        <v/>
      </c>
      <c r="P437">
        <f>Assumptions!$B$63/L437</f>
        <v/>
      </c>
      <c r="Q437">
        <f>B437*(1-Assumptions!$B$64)</f>
        <v/>
      </c>
      <c r="R437">
        <f>MIN(P437,Q437)</f>
        <v/>
      </c>
      <c r="S437">
        <f>$B$414/I437</f>
        <v/>
      </c>
      <c r="T437">
        <f>Assumptions!$B$59/O437</f>
        <v/>
      </c>
      <c r="U437">
        <f>Assumptions!$B$62/R437</f>
        <v/>
      </c>
    </row>
    <row r="438">
      <c r="A438" t="n">
        <v>21</v>
      </c>
      <c r="B438">
        <f>S437</f>
        <v/>
      </c>
      <c r="C438">
        <f>T437</f>
        <v/>
      </c>
      <c r="D438">
        <f>U437</f>
        <v/>
      </c>
      <c r="E438">
        <f>MAX(0,Assumptions!$B$34/IF(B438&lt;Assumptions!$B$25,Assumptions!$B$25*(Assumptions!$B$50+Assumptions!$B$5/Assumptions!$B$25)/(Assumptions!$B$50+Assumptions!$B$5/B438),Assumptions!$B$25)-Assumptions!$B$42)+MAX(0,Assumptions!$B$35/IF(B438&lt;Assumptions!$B$26,Assumptions!$B$26*(Assumptions!$B$50+Assumptions!$B$5/Assumptions!$B$26)/(Assumptions!$B$50+Assumptions!$B$5/B438),Assumptions!$B$26)-Assumptions!$B$43)</f>
        <v/>
      </c>
      <c r="F438">
        <f>Assumptions!$B$5/B438</f>
        <v/>
      </c>
      <c r="G438">
        <f>$B$413*(((Assumptions!$B$50-Assumptions!$B$51+E438+C438+D438)+F438)/(1-$B$413))-Assumptions!$B$51</f>
        <v/>
      </c>
      <c r="H438">
        <f>MAX(0,G438)</f>
        <v/>
      </c>
      <c r="I438">
        <f>Assumptions!$B$50+E438+H438+C438+D438</f>
        <v/>
      </c>
      <c r="J438">
        <f>I438+F438</f>
        <v/>
      </c>
      <c r="K438">
        <f>Assumptions!$B$50+E438+H438+D438</f>
        <v/>
      </c>
      <c r="L438">
        <f>Assumptions!$B$50+E438+H438+C438</f>
        <v/>
      </c>
      <c r="M438">
        <f>Assumptions!$B$60/K438</f>
        <v/>
      </c>
      <c r="N438">
        <f>B438*(1-Assumptions!$B$61)</f>
        <v/>
      </c>
      <c r="O438">
        <f>MIN(M438,N438)</f>
        <v/>
      </c>
      <c r="P438">
        <f>Assumptions!$B$63/L438</f>
        <v/>
      </c>
      <c r="Q438">
        <f>B438*(1-Assumptions!$B$64)</f>
        <v/>
      </c>
      <c r="R438">
        <f>MIN(P438,Q438)</f>
        <v/>
      </c>
      <c r="S438">
        <f>$B$414/I438</f>
        <v/>
      </c>
      <c r="T438">
        <f>Assumptions!$B$59/O438</f>
        <v/>
      </c>
      <c r="U438">
        <f>Assumptions!$B$62/R438</f>
        <v/>
      </c>
    </row>
    <row r="439">
      <c r="A439" t="n">
        <v>22</v>
      </c>
      <c r="B439">
        <f>S438</f>
        <v/>
      </c>
      <c r="C439">
        <f>T438</f>
        <v/>
      </c>
      <c r="D439">
        <f>U438</f>
        <v/>
      </c>
      <c r="E439">
        <f>MAX(0,Assumptions!$B$34/IF(B439&lt;Assumptions!$B$25,Assumptions!$B$25*(Assumptions!$B$50+Assumptions!$B$5/Assumptions!$B$25)/(Assumptions!$B$50+Assumptions!$B$5/B439),Assumptions!$B$25)-Assumptions!$B$42)+MAX(0,Assumptions!$B$35/IF(B439&lt;Assumptions!$B$26,Assumptions!$B$26*(Assumptions!$B$50+Assumptions!$B$5/Assumptions!$B$26)/(Assumptions!$B$50+Assumptions!$B$5/B439),Assumptions!$B$26)-Assumptions!$B$43)</f>
        <v/>
      </c>
      <c r="F439">
        <f>Assumptions!$B$5/B439</f>
        <v/>
      </c>
      <c r="G439">
        <f>$B$413*(((Assumptions!$B$50-Assumptions!$B$51+E439+C439+D439)+F439)/(1-$B$413))-Assumptions!$B$51</f>
        <v/>
      </c>
      <c r="H439">
        <f>MAX(0,G439)</f>
        <v/>
      </c>
      <c r="I439">
        <f>Assumptions!$B$50+E439+H439+C439+D439</f>
        <v/>
      </c>
      <c r="J439">
        <f>I439+F439</f>
        <v/>
      </c>
      <c r="K439">
        <f>Assumptions!$B$50+E439+H439+D439</f>
        <v/>
      </c>
      <c r="L439">
        <f>Assumptions!$B$50+E439+H439+C439</f>
        <v/>
      </c>
      <c r="M439">
        <f>Assumptions!$B$60/K439</f>
        <v/>
      </c>
      <c r="N439">
        <f>B439*(1-Assumptions!$B$61)</f>
        <v/>
      </c>
      <c r="O439">
        <f>MIN(M439,N439)</f>
        <v/>
      </c>
      <c r="P439">
        <f>Assumptions!$B$63/L439</f>
        <v/>
      </c>
      <c r="Q439">
        <f>B439*(1-Assumptions!$B$64)</f>
        <v/>
      </c>
      <c r="R439">
        <f>MIN(P439,Q439)</f>
        <v/>
      </c>
      <c r="S439">
        <f>$B$414/I439</f>
        <v/>
      </c>
      <c r="T439">
        <f>Assumptions!$B$59/O439</f>
        <v/>
      </c>
      <c r="U439">
        <f>Assumptions!$B$62/R439</f>
        <v/>
      </c>
    </row>
    <row r="440">
      <c r="A440" t="n">
        <v>23</v>
      </c>
      <c r="B440">
        <f>S439</f>
        <v/>
      </c>
      <c r="C440">
        <f>T439</f>
        <v/>
      </c>
      <c r="D440">
        <f>U439</f>
        <v/>
      </c>
      <c r="E440">
        <f>MAX(0,Assumptions!$B$34/IF(B440&lt;Assumptions!$B$25,Assumptions!$B$25*(Assumptions!$B$50+Assumptions!$B$5/Assumptions!$B$25)/(Assumptions!$B$50+Assumptions!$B$5/B440),Assumptions!$B$25)-Assumptions!$B$42)+MAX(0,Assumptions!$B$35/IF(B440&lt;Assumptions!$B$26,Assumptions!$B$26*(Assumptions!$B$50+Assumptions!$B$5/Assumptions!$B$26)/(Assumptions!$B$50+Assumptions!$B$5/B440),Assumptions!$B$26)-Assumptions!$B$43)</f>
        <v/>
      </c>
      <c r="F440">
        <f>Assumptions!$B$5/B440</f>
        <v/>
      </c>
      <c r="G440">
        <f>$B$413*(((Assumptions!$B$50-Assumptions!$B$51+E440+C440+D440)+F440)/(1-$B$413))-Assumptions!$B$51</f>
        <v/>
      </c>
      <c r="H440">
        <f>MAX(0,G440)</f>
        <v/>
      </c>
      <c r="I440">
        <f>Assumptions!$B$50+E440+H440+C440+D440</f>
        <v/>
      </c>
      <c r="J440">
        <f>I440+F440</f>
        <v/>
      </c>
      <c r="K440">
        <f>Assumptions!$B$50+E440+H440+D440</f>
        <v/>
      </c>
      <c r="L440">
        <f>Assumptions!$B$50+E440+H440+C440</f>
        <v/>
      </c>
      <c r="M440">
        <f>Assumptions!$B$60/K440</f>
        <v/>
      </c>
      <c r="N440">
        <f>B440*(1-Assumptions!$B$61)</f>
        <v/>
      </c>
      <c r="O440">
        <f>MIN(M440,N440)</f>
        <v/>
      </c>
      <c r="P440">
        <f>Assumptions!$B$63/L440</f>
        <v/>
      </c>
      <c r="Q440">
        <f>B440*(1-Assumptions!$B$64)</f>
        <v/>
      </c>
      <c r="R440">
        <f>MIN(P440,Q440)</f>
        <v/>
      </c>
      <c r="S440">
        <f>$B$414/I440</f>
        <v/>
      </c>
      <c r="T440">
        <f>Assumptions!$B$59/O440</f>
        <v/>
      </c>
      <c r="U440">
        <f>Assumptions!$B$62/R440</f>
        <v/>
      </c>
    </row>
    <row r="441">
      <c r="A441" t="n">
        <v>24</v>
      </c>
      <c r="B441">
        <f>S440</f>
        <v/>
      </c>
      <c r="C441">
        <f>T440</f>
        <v/>
      </c>
      <c r="D441">
        <f>U440</f>
        <v/>
      </c>
      <c r="E441">
        <f>MAX(0,Assumptions!$B$34/IF(B441&lt;Assumptions!$B$25,Assumptions!$B$25*(Assumptions!$B$50+Assumptions!$B$5/Assumptions!$B$25)/(Assumptions!$B$50+Assumptions!$B$5/B441),Assumptions!$B$25)-Assumptions!$B$42)+MAX(0,Assumptions!$B$35/IF(B441&lt;Assumptions!$B$26,Assumptions!$B$26*(Assumptions!$B$50+Assumptions!$B$5/Assumptions!$B$26)/(Assumptions!$B$50+Assumptions!$B$5/B441),Assumptions!$B$26)-Assumptions!$B$43)</f>
        <v/>
      </c>
      <c r="F441">
        <f>Assumptions!$B$5/B441</f>
        <v/>
      </c>
      <c r="G441">
        <f>$B$413*(((Assumptions!$B$50-Assumptions!$B$51+E441+C441+D441)+F441)/(1-$B$413))-Assumptions!$B$51</f>
        <v/>
      </c>
      <c r="H441">
        <f>MAX(0,G441)</f>
        <v/>
      </c>
      <c r="I441">
        <f>Assumptions!$B$50+E441+H441+C441+D441</f>
        <v/>
      </c>
      <c r="J441">
        <f>I441+F441</f>
        <v/>
      </c>
      <c r="K441">
        <f>Assumptions!$B$50+E441+H441+D441</f>
        <v/>
      </c>
      <c r="L441">
        <f>Assumptions!$B$50+E441+H441+C441</f>
        <v/>
      </c>
      <c r="M441">
        <f>Assumptions!$B$60/K441</f>
        <v/>
      </c>
      <c r="N441">
        <f>B441*(1-Assumptions!$B$61)</f>
        <v/>
      </c>
      <c r="O441">
        <f>MIN(M441,N441)</f>
        <v/>
      </c>
      <c r="P441">
        <f>Assumptions!$B$63/L441</f>
        <v/>
      </c>
      <c r="Q441">
        <f>B441*(1-Assumptions!$B$64)</f>
        <v/>
      </c>
      <c r="R441">
        <f>MIN(P441,Q441)</f>
        <v/>
      </c>
      <c r="S441">
        <f>$B$414/I441</f>
        <v/>
      </c>
      <c r="T441">
        <f>Assumptions!$B$59/O441</f>
        <v/>
      </c>
      <c r="U441">
        <f>Assumptions!$B$62/R441</f>
        <v/>
      </c>
    </row>
    <row r="442">
      <c r="A442" t="n">
        <v>25</v>
      </c>
      <c r="B442">
        <f>S441</f>
        <v/>
      </c>
      <c r="C442">
        <f>T441</f>
        <v/>
      </c>
      <c r="D442">
        <f>U441</f>
        <v/>
      </c>
      <c r="E442">
        <f>MAX(0,Assumptions!$B$34/IF(B442&lt;Assumptions!$B$25,Assumptions!$B$25*(Assumptions!$B$50+Assumptions!$B$5/Assumptions!$B$25)/(Assumptions!$B$50+Assumptions!$B$5/B442),Assumptions!$B$25)-Assumptions!$B$42)+MAX(0,Assumptions!$B$35/IF(B442&lt;Assumptions!$B$26,Assumptions!$B$26*(Assumptions!$B$50+Assumptions!$B$5/Assumptions!$B$26)/(Assumptions!$B$50+Assumptions!$B$5/B442),Assumptions!$B$26)-Assumptions!$B$43)</f>
        <v/>
      </c>
      <c r="F442">
        <f>Assumptions!$B$5/B442</f>
        <v/>
      </c>
      <c r="G442">
        <f>$B$413*(((Assumptions!$B$50-Assumptions!$B$51+E442+C442+D442)+F442)/(1-$B$413))-Assumptions!$B$51</f>
        <v/>
      </c>
      <c r="H442">
        <f>MAX(0,G442)</f>
        <v/>
      </c>
      <c r="I442">
        <f>Assumptions!$B$50+E442+H442+C442+D442</f>
        <v/>
      </c>
      <c r="J442">
        <f>I442+F442</f>
        <v/>
      </c>
      <c r="K442">
        <f>Assumptions!$B$50+E442+H442+D442</f>
        <v/>
      </c>
      <c r="L442">
        <f>Assumptions!$B$50+E442+H442+C442</f>
        <v/>
      </c>
      <c r="M442">
        <f>Assumptions!$B$60/K442</f>
        <v/>
      </c>
      <c r="N442">
        <f>B442*(1-Assumptions!$B$61)</f>
        <v/>
      </c>
      <c r="O442">
        <f>MIN(M442,N442)</f>
        <v/>
      </c>
      <c r="P442">
        <f>Assumptions!$B$63/L442</f>
        <v/>
      </c>
      <c r="Q442">
        <f>B442*(1-Assumptions!$B$64)</f>
        <v/>
      </c>
      <c r="R442">
        <f>MIN(P442,Q442)</f>
        <v/>
      </c>
      <c r="S442">
        <f>$B$414/I442</f>
        <v/>
      </c>
      <c r="T442">
        <f>Assumptions!$B$59/O442</f>
        <v/>
      </c>
      <c r="U442">
        <f>Assumptions!$B$62/R442</f>
        <v/>
      </c>
    </row>
    <row r="443">
      <c r="A443" t="n">
        <v>26</v>
      </c>
      <c r="B443">
        <f>S442</f>
        <v/>
      </c>
      <c r="C443">
        <f>T442</f>
        <v/>
      </c>
      <c r="D443">
        <f>U442</f>
        <v/>
      </c>
      <c r="E443">
        <f>MAX(0,Assumptions!$B$34/IF(B443&lt;Assumptions!$B$25,Assumptions!$B$25*(Assumptions!$B$50+Assumptions!$B$5/Assumptions!$B$25)/(Assumptions!$B$50+Assumptions!$B$5/B443),Assumptions!$B$25)-Assumptions!$B$42)+MAX(0,Assumptions!$B$35/IF(B443&lt;Assumptions!$B$26,Assumptions!$B$26*(Assumptions!$B$50+Assumptions!$B$5/Assumptions!$B$26)/(Assumptions!$B$50+Assumptions!$B$5/B443),Assumptions!$B$26)-Assumptions!$B$43)</f>
        <v/>
      </c>
      <c r="F443">
        <f>Assumptions!$B$5/B443</f>
        <v/>
      </c>
      <c r="G443">
        <f>$B$413*(((Assumptions!$B$50-Assumptions!$B$51+E443+C443+D443)+F443)/(1-$B$413))-Assumptions!$B$51</f>
        <v/>
      </c>
      <c r="H443">
        <f>MAX(0,G443)</f>
        <v/>
      </c>
      <c r="I443">
        <f>Assumptions!$B$50+E443+H443+C443+D443</f>
        <v/>
      </c>
      <c r="J443">
        <f>I443+F443</f>
        <v/>
      </c>
      <c r="K443">
        <f>Assumptions!$B$50+E443+H443+D443</f>
        <v/>
      </c>
      <c r="L443">
        <f>Assumptions!$B$50+E443+H443+C443</f>
        <v/>
      </c>
      <c r="M443">
        <f>Assumptions!$B$60/K443</f>
        <v/>
      </c>
      <c r="N443">
        <f>B443*(1-Assumptions!$B$61)</f>
        <v/>
      </c>
      <c r="O443">
        <f>MIN(M443,N443)</f>
        <v/>
      </c>
      <c r="P443">
        <f>Assumptions!$B$63/L443</f>
        <v/>
      </c>
      <c r="Q443">
        <f>B443*(1-Assumptions!$B$64)</f>
        <v/>
      </c>
      <c r="R443">
        <f>MIN(P443,Q443)</f>
        <v/>
      </c>
      <c r="S443">
        <f>$B$414/I443</f>
        <v/>
      </c>
      <c r="T443">
        <f>Assumptions!$B$59/O443</f>
        <v/>
      </c>
      <c r="U443">
        <f>Assumptions!$B$62/R443</f>
        <v/>
      </c>
    </row>
    <row r="444">
      <c r="A444" t="n">
        <v>27</v>
      </c>
      <c r="B444">
        <f>S443</f>
        <v/>
      </c>
      <c r="C444">
        <f>T443</f>
        <v/>
      </c>
      <c r="D444">
        <f>U443</f>
        <v/>
      </c>
      <c r="E444">
        <f>MAX(0,Assumptions!$B$34/IF(B444&lt;Assumptions!$B$25,Assumptions!$B$25*(Assumptions!$B$50+Assumptions!$B$5/Assumptions!$B$25)/(Assumptions!$B$50+Assumptions!$B$5/B444),Assumptions!$B$25)-Assumptions!$B$42)+MAX(0,Assumptions!$B$35/IF(B444&lt;Assumptions!$B$26,Assumptions!$B$26*(Assumptions!$B$50+Assumptions!$B$5/Assumptions!$B$26)/(Assumptions!$B$50+Assumptions!$B$5/B444),Assumptions!$B$26)-Assumptions!$B$43)</f>
        <v/>
      </c>
      <c r="F444">
        <f>Assumptions!$B$5/B444</f>
        <v/>
      </c>
      <c r="G444">
        <f>$B$413*(((Assumptions!$B$50-Assumptions!$B$51+E444+C444+D444)+F444)/(1-$B$413))-Assumptions!$B$51</f>
        <v/>
      </c>
      <c r="H444">
        <f>MAX(0,G444)</f>
        <v/>
      </c>
      <c r="I444">
        <f>Assumptions!$B$50+E444+H444+C444+D444</f>
        <v/>
      </c>
      <c r="J444">
        <f>I444+F444</f>
        <v/>
      </c>
      <c r="K444">
        <f>Assumptions!$B$50+E444+H444+D444</f>
        <v/>
      </c>
      <c r="L444">
        <f>Assumptions!$B$50+E444+H444+C444</f>
        <v/>
      </c>
      <c r="M444">
        <f>Assumptions!$B$60/K444</f>
        <v/>
      </c>
      <c r="N444">
        <f>B444*(1-Assumptions!$B$61)</f>
        <v/>
      </c>
      <c r="O444">
        <f>MIN(M444,N444)</f>
        <v/>
      </c>
      <c r="P444">
        <f>Assumptions!$B$63/L444</f>
        <v/>
      </c>
      <c r="Q444">
        <f>B444*(1-Assumptions!$B$64)</f>
        <v/>
      </c>
      <c r="R444">
        <f>MIN(P444,Q444)</f>
        <v/>
      </c>
      <c r="S444">
        <f>$B$414/I444</f>
        <v/>
      </c>
      <c r="T444">
        <f>Assumptions!$B$59/O444</f>
        <v/>
      </c>
      <c r="U444">
        <f>Assumptions!$B$62/R444</f>
        <v/>
      </c>
    </row>
    <row r="445">
      <c r="A445" t="n">
        <v>28</v>
      </c>
      <c r="B445">
        <f>S444</f>
        <v/>
      </c>
      <c r="C445">
        <f>T444</f>
        <v/>
      </c>
      <c r="D445">
        <f>U444</f>
        <v/>
      </c>
      <c r="E445">
        <f>MAX(0,Assumptions!$B$34/IF(B445&lt;Assumptions!$B$25,Assumptions!$B$25*(Assumptions!$B$50+Assumptions!$B$5/Assumptions!$B$25)/(Assumptions!$B$50+Assumptions!$B$5/B445),Assumptions!$B$25)-Assumptions!$B$42)+MAX(0,Assumptions!$B$35/IF(B445&lt;Assumptions!$B$26,Assumptions!$B$26*(Assumptions!$B$50+Assumptions!$B$5/Assumptions!$B$26)/(Assumptions!$B$50+Assumptions!$B$5/B445),Assumptions!$B$26)-Assumptions!$B$43)</f>
        <v/>
      </c>
      <c r="F445">
        <f>Assumptions!$B$5/B445</f>
        <v/>
      </c>
      <c r="G445">
        <f>$B$413*(((Assumptions!$B$50-Assumptions!$B$51+E445+C445+D445)+F445)/(1-$B$413))-Assumptions!$B$51</f>
        <v/>
      </c>
      <c r="H445">
        <f>MAX(0,G445)</f>
        <v/>
      </c>
      <c r="I445">
        <f>Assumptions!$B$50+E445+H445+C445+D445</f>
        <v/>
      </c>
      <c r="J445">
        <f>I445+F445</f>
        <v/>
      </c>
      <c r="K445">
        <f>Assumptions!$B$50+E445+H445+D445</f>
        <v/>
      </c>
      <c r="L445">
        <f>Assumptions!$B$50+E445+H445+C445</f>
        <v/>
      </c>
      <c r="M445">
        <f>Assumptions!$B$60/K445</f>
        <v/>
      </c>
      <c r="N445">
        <f>B445*(1-Assumptions!$B$61)</f>
        <v/>
      </c>
      <c r="O445">
        <f>MIN(M445,N445)</f>
        <v/>
      </c>
      <c r="P445">
        <f>Assumptions!$B$63/L445</f>
        <v/>
      </c>
      <c r="Q445">
        <f>B445*(1-Assumptions!$B$64)</f>
        <v/>
      </c>
      <c r="R445">
        <f>MIN(P445,Q445)</f>
        <v/>
      </c>
      <c r="S445">
        <f>$B$414/I445</f>
        <v/>
      </c>
      <c r="T445">
        <f>Assumptions!$B$59/O445</f>
        <v/>
      </c>
      <c r="U445">
        <f>Assumptions!$B$62/R445</f>
        <v/>
      </c>
    </row>
    <row r="446">
      <c r="A446" t="n">
        <v>29</v>
      </c>
      <c r="B446">
        <f>S445</f>
        <v/>
      </c>
      <c r="C446">
        <f>T445</f>
        <v/>
      </c>
      <c r="D446">
        <f>U445</f>
        <v/>
      </c>
      <c r="E446">
        <f>MAX(0,Assumptions!$B$34/IF(B446&lt;Assumptions!$B$25,Assumptions!$B$25*(Assumptions!$B$50+Assumptions!$B$5/Assumptions!$B$25)/(Assumptions!$B$50+Assumptions!$B$5/B446),Assumptions!$B$25)-Assumptions!$B$42)+MAX(0,Assumptions!$B$35/IF(B446&lt;Assumptions!$B$26,Assumptions!$B$26*(Assumptions!$B$50+Assumptions!$B$5/Assumptions!$B$26)/(Assumptions!$B$50+Assumptions!$B$5/B446),Assumptions!$B$26)-Assumptions!$B$43)</f>
        <v/>
      </c>
      <c r="F446">
        <f>Assumptions!$B$5/B446</f>
        <v/>
      </c>
      <c r="G446">
        <f>$B$413*(((Assumptions!$B$50-Assumptions!$B$51+E446+C446+D446)+F446)/(1-$B$413))-Assumptions!$B$51</f>
        <v/>
      </c>
      <c r="H446">
        <f>MAX(0,G446)</f>
        <v/>
      </c>
      <c r="I446">
        <f>Assumptions!$B$50+E446+H446+C446+D446</f>
        <v/>
      </c>
      <c r="J446">
        <f>I446+F446</f>
        <v/>
      </c>
      <c r="K446">
        <f>Assumptions!$B$50+E446+H446+D446</f>
        <v/>
      </c>
      <c r="L446">
        <f>Assumptions!$B$50+E446+H446+C446</f>
        <v/>
      </c>
      <c r="M446">
        <f>Assumptions!$B$60/K446</f>
        <v/>
      </c>
      <c r="N446">
        <f>B446*(1-Assumptions!$B$61)</f>
        <v/>
      </c>
      <c r="O446">
        <f>MIN(M446,N446)</f>
        <v/>
      </c>
      <c r="P446">
        <f>Assumptions!$B$63/L446</f>
        <v/>
      </c>
      <c r="Q446">
        <f>B446*(1-Assumptions!$B$64)</f>
        <v/>
      </c>
      <c r="R446">
        <f>MIN(P446,Q446)</f>
        <v/>
      </c>
      <c r="S446">
        <f>$B$414/I446</f>
        <v/>
      </c>
      <c r="T446">
        <f>Assumptions!$B$59/O446</f>
        <v/>
      </c>
      <c r="U446">
        <f>Assumptions!$B$62/R446</f>
        <v/>
      </c>
    </row>
    <row r="447">
      <c r="A447" t="n">
        <v>30</v>
      </c>
      <c r="B447">
        <f>S446</f>
        <v/>
      </c>
      <c r="C447">
        <f>T446</f>
        <v/>
      </c>
      <c r="D447">
        <f>U446</f>
        <v/>
      </c>
      <c r="E447">
        <f>MAX(0,Assumptions!$B$34/IF(B447&lt;Assumptions!$B$25,Assumptions!$B$25*(Assumptions!$B$50+Assumptions!$B$5/Assumptions!$B$25)/(Assumptions!$B$50+Assumptions!$B$5/B447),Assumptions!$B$25)-Assumptions!$B$42)+MAX(0,Assumptions!$B$35/IF(B447&lt;Assumptions!$B$26,Assumptions!$B$26*(Assumptions!$B$50+Assumptions!$B$5/Assumptions!$B$26)/(Assumptions!$B$50+Assumptions!$B$5/B447),Assumptions!$B$26)-Assumptions!$B$43)</f>
        <v/>
      </c>
      <c r="F447">
        <f>Assumptions!$B$5/B447</f>
        <v/>
      </c>
      <c r="G447">
        <f>$B$413*(((Assumptions!$B$50-Assumptions!$B$51+E447+C447+D447)+F447)/(1-$B$413))-Assumptions!$B$51</f>
        <v/>
      </c>
      <c r="H447">
        <f>MAX(0,G447)</f>
        <v/>
      </c>
      <c r="I447">
        <f>Assumptions!$B$50+E447+H447+C447+D447</f>
        <v/>
      </c>
      <c r="J447">
        <f>I447+F447</f>
        <v/>
      </c>
      <c r="K447">
        <f>Assumptions!$B$50+E447+H447+D447</f>
        <v/>
      </c>
      <c r="L447">
        <f>Assumptions!$B$50+E447+H447+C447</f>
        <v/>
      </c>
      <c r="M447">
        <f>Assumptions!$B$60/K447</f>
        <v/>
      </c>
      <c r="N447">
        <f>B447*(1-Assumptions!$B$61)</f>
        <v/>
      </c>
      <c r="O447">
        <f>MIN(M447,N447)</f>
        <v/>
      </c>
      <c r="P447">
        <f>Assumptions!$B$63/L447</f>
        <v/>
      </c>
      <c r="Q447">
        <f>B447*(1-Assumptions!$B$64)</f>
        <v/>
      </c>
      <c r="R447">
        <f>MIN(P447,Q447)</f>
        <v/>
      </c>
      <c r="S447">
        <f>$B$414/I447</f>
        <v/>
      </c>
      <c r="T447">
        <f>Assumptions!$B$59/O447</f>
        <v/>
      </c>
      <c r="U447">
        <f>Assumptions!$B$62/R447</f>
        <v/>
      </c>
    </row>
    <row r="449">
      <c r="A449" s="2" t="inlineStr">
        <is>
          <t>Solved F_PPS</t>
        </is>
      </c>
      <c r="B449">
        <f>B447</f>
        <v/>
      </c>
    </row>
    <row r="450">
      <c r="A450" t="inlineStr">
        <is>
          <t>Solved pmFD</t>
        </is>
      </c>
      <c r="B450">
        <f>I447</f>
        <v/>
      </c>
    </row>
    <row r="451">
      <c r="A451" t="inlineStr">
        <is>
          <t>Solved T_F</t>
        </is>
      </c>
      <c r="B451">
        <f>J447</f>
        <v/>
      </c>
    </row>
    <row r="452">
      <c r="A452" t="inlineStr">
        <is>
          <t>Solved AD_extra</t>
        </is>
      </c>
      <c r="B452">
        <f>E447</f>
        <v/>
      </c>
    </row>
    <row r="453">
      <c r="A453" t="inlineStr">
        <is>
          <t>Solved topup</t>
        </is>
      </c>
      <c r="B453">
        <f>H447</f>
        <v/>
      </c>
    </row>
    <row r="454">
      <c r="A454" t="inlineStr">
        <is>
          <t>Solved nA</t>
        </is>
      </c>
      <c r="B454">
        <f>C447</f>
        <v/>
      </c>
    </row>
    <row r="455">
      <c r="A455" t="inlineStr">
        <is>
          <t>Solved nB</t>
        </is>
      </c>
      <c r="B455">
        <f>D447</f>
        <v/>
      </c>
    </row>
    <row r="456">
      <c r="A456" t="inlineStr">
        <is>
          <t>Branch A</t>
        </is>
      </c>
      <c r="B456">
        <f>IF(M447&lt;N447,"cap","discount")</f>
        <v/>
      </c>
    </row>
    <row r="457">
      <c r="A457" t="inlineStr">
        <is>
          <t>Branch B</t>
        </is>
      </c>
      <c r="B457">
        <f>IF(P447&lt;Q447,"cap","discount")</f>
        <v/>
      </c>
    </row>
    <row r="459">
      <c r="A459" t="inlineStr">
        <is>
          <t>Fund shares</t>
        </is>
      </c>
      <c r="B459">
        <f>Assumptions!$B$9/B447</f>
        <v/>
      </c>
    </row>
    <row r="460">
      <c r="A460" t="inlineStr">
        <is>
          <t>Fund ownership %</t>
        </is>
      </c>
      <c r="B460" s="12">
        <f>B459/J447</f>
        <v/>
      </c>
    </row>
    <row r="461">
      <c r="A461" t="inlineStr">
        <is>
          <t>Tender shares</t>
        </is>
      </c>
      <c r="B461">
        <f>Assumptions!$B$6/(Assumptions!$B$7*B447)</f>
        <v/>
      </c>
    </row>
    <row r="462">
      <c r="A462" t="inlineStr">
        <is>
          <t>ITM test PPS</t>
        </is>
      </c>
      <c r="B462">
        <f>(Assumptions!$B$16+Assumptions!$B$11*Assumptions!$B$48)/(F447+(Assumptions!$B$35/IF(B447&lt;Assumptions!$B$26,Assumptions!$B$26*(Assumptions!$B$50+Assumptions!$B$5/Assumptions!$B$26)/(Assumptions!$B$50+Assumptions!$B$5/B447),Assumptions!$B$26))+(Assumptions!$B$34/IF(B447&lt;Assumptions!$B$25,Assumptions!$B$25*(Assumptions!$B$50+Assumptions!$B$5/Assumptions!$B$25)/(Assumptions!$B$50+Assumptions!$B$5/B447),Assumptions!$B$25))+Assumptions!$B$41+Assumptions!$B$40+Assumptions!$B$39+Assumptions!$B$38+(Assumptions!$B$44+Assumptions!$B$45+Assumptions!$B$46-B461)+Assumptions!$B$47+B461+(C447+D447)+Assumptions!$B$48)</f>
        <v/>
      </c>
    </row>
    <row r="463">
      <c r="A463" t="inlineStr">
        <is>
          <t>ITM?</t>
        </is>
      </c>
      <c r="B463">
        <f>IF(B462&gt;Assumptions!$B$11,"YES","NO")</f>
        <v/>
      </c>
    </row>
    <row r="464">
      <c r="A464" t="inlineStr">
        <is>
          <t>Effective pool</t>
        </is>
      </c>
      <c r="B464">
        <f>IF(B463="YES",(F447+(Assumptions!$B$35/IF(B447&lt;Assumptions!$B$26,Assumptions!$B$26*(Assumptions!$B$50+Assumptions!$B$5/Assumptions!$B$26)/(Assumptions!$B$50+Assumptions!$B$5/B447),Assumptions!$B$26))+(Assumptions!$B$34/IF(B447&lt;Assumptions!$B$25,Assumptions!$B$25*(Assumptions!$B$50+Assumptions!$B$5/Assumptions!$B$25)/(Assumptions!$B$50+Assumptions!$B$5/B447),Assumptions!$B$25))+Assumptions!$B$41+Assumptions!$B$40+Assumptions!$B$39+Assumptions!$B$38+(Assumptions!$B$44+Assumptions!$B$45+Assumptions!$B$46-B461)+Assumptions!$B$47+B461+(C447+D447)+Assumptions!$B$48),(F447+(Assumptions!$B$35/IF(B447&lt;Assumptions!$B$26,Assumptions!$B$26*(Assumptions!$B$50+Assumptions!$B$5/Assumptions!$B$26)/(Assumptions!$B$50+Assumptions!$B$5/B447),Assumptions!$B$26))+(Assumptions!$B$34/IF(B447&lt;Assumptions!$B$25,Assumptions!$B$25*(Assumptions!$B$50+Assumptions!$B$5/Assumptions!$B$25)/(Assumptions!$B$50+Assumptions!$B$5/B447),Assumptions!$B$25))+Assumptions!$B$41+Assumptions!$B$40+Assumptions!$B$39+Assumptions!$B$38+(Assumptions!$B$44+Assumptions!$B$45+Assumptions!$B$46-B461)+Assumptions!$B$47+B461+(C447+D447)))</f>
        <v/>
      </c>
    </row>
    <row r="465">
      <c r="A465" t="inlineStr">
        <is>
          <t>Adjusted exit</t>
        </is>
      </c>
      <c r="B465">
        <f>IF(B463="YES",Assumptions!$B$16+Assumptions!$B$11*Assumptions!$B$48,Assumptions!$B$16)</f>
        <v/>
      </c>
    </row>
    <row r="466">
      <c r="A466" s="20" t="inlineStr">
        <is>
          <t>F elect</t>
        </is>
      </c>
      <c r="B466">
        <f>IF(Assumptions!$B$5&gt;(F447)*(B465-(0))/(B464-(0)),"preference","convert")</f>
        <v/>
      </c>
    </row>
    <row r="467">
      <c r="A467" t="inlineStr">
        <is>
          <t>F pref taken</t>
        </is>
      </c>
      <c r="B467">
        <f>IF(B466="preference",Assumptions!$B$5,0)</f>
        <v/>
      </c>
    </row>
    <row r="468">
      <c r="A468" t="inlineStr">
        <is>
          <t>F pool loss</t>
        </is>
      </c>
      <c r="B468">
        <f>IF(B466="preference",F447,0)</f>
        <v/>
      </c>
    </row>
    <row r="469">
      <c r="A469" s="20" t="inlineStr">
        <is>
          <t>E elect</t>
        </is>
      </c>
      <c r="B469">
        <f>IF(Assumptions!$B$35&gt;((Assumptions!$B$35/IF(B447&lt;Assumptions!$B$26,Assumptions!$B$26*(Assumptions!$B$50+Assumptions!$B$5/Assumptions!$B$26)/(Assumptions!$B$50+Assumptions!$B$5/B447),Assumptions!$B$26)))*(B465-(B467))/(B464-(B468)),"preference","convert")</f>
        <v/>
      </c>
    </row>
    <row r="470">
      <c r="A470" t="inlineStr">
        <is>
          <t>E pref taken</t>
        </is>
      </c>
      <c r="B470">
        <f>IF(B469="preference",Assumptions!$B$35,0)</f>
        <v/>
      </c>
    </row>
    <row r="471">
      <c r="A471" t="inlineStr">
        <is>
          <t>E pool loss</t>
        </is>
      </c>
      <c r="B471">
        <f>IF(B469="preference",(Assumptions!$B$35/IF(B447&lt;Assumptions!$B$26,Assumptions!$B$26*(Assumptions!$B$50+Assumptions!$B$5/Assumptions!$B$26)/(Assumptions!$B$50+Assumptions!$B$5/B447),Assumptions!$B$26)),0)</f>
        <v/>
      </c>
    </row>
    <row r="472">
      <c r="A472" s="20" t="inlineStr">
        <is>
          <t>D elect</t>
        </is>
      </c>
      <c r="B472">
        <f>IF(Assumptions!$B$34&gt;((Assumptions!$B$34/IF(B447&lt;Assumptions!$B$25,Assumptions!$B$25*(Assumptions!$B$50+Assumptions!$B$5/Assumptions!$B$25)/(Assumptions!$B$50+Assumptions!$B$5/B447),Assumptions!$B$25)))*(B465-(B467+B470))/(B464-(B468+B471)),"preference","convert")</f>
        <v/>
      </c>
    </row>
    <row r="473">
      <c r="A473" t="inlineStr">
        <is>
          <t>D pref taken</t>
        </is>
      </c>
      <c r="B473">
        <f>IF(B472="preference",Assumptions!$B$34,0)</f>
        <v/>
      </c>
    </row>
    <row r="474">
      <c r="A474" t="inlineStr">
        <is>
          <t>D pool loss</t>
        </is>
      </c>
      <c r="B474">
        <f>IF(B472="preference",(Assumptions!$B$34/IF(B447&lt;Assumptions!$B$25,Assumptions!$B$25*(Assumptions!$B$50+Assumptions!$B$5/Assumptions!$B$25)/(Assumptions!$B$50+Assumptions!$B$5/B447),Assumptions!$B$25)),0)</f>
        <v/>
      </c>
    </row>
    <row r="475">
      <c r="A475" s="20" t="inlineStr">
        <is>
          <t>C elect</t>
        </is>
      </c>
      <c r="B475">
        <f>IF(Assumptions!$B$33&gt;(Assumptions!$B$41)*(B465-(B467+B470+B473))/(B464-(B468+B471+B474)),"preference","convert")</f>
        <v/>
      </c>
    </row>
    <row r="476">
      <c r="A476" t="inlineStr">
        <is>
          <t>C pref taken</t>
        </is>
      </c>
      <c r="B476">
        <f>IF(B475="preference",Assumptions!$B$33,0)</f>
        <v/>
      </c>
    </row>
    <row r="477">
      <c r="A477" t="inlineStr">
        <is>
          <t>C pool loss</t>
        </is>
      </c>
      <c r="B477">
        <f>IF(B475="preference",Assumptions!$B$41,0)</f>
        <v/>
      </c>
    </row>
    <row r="478">
      <c r="A478" s="20" t="inlineStr">
        <is>
          <t>B elect</t>
        </is>
      </c>
      <c r="B478">
        <f>IF(Assumptions!$B$32&gt;(Assumptions!$B$40)*(B465-(B467+B470+B473+B476))/(B464-(B468+B471+B474+B477)),"preference","convert")</f>
        <v/>
      </c>
    </row>
    <row r="479">
      <c r="A479" t="inlineStr">
        <is>
          <t>B pref taken</t>
        </is>
      </c>
      <c r="B479">
        <f>IF(B478="preference",Assumptions!$B$32,0)</f>
        <v/>
      </c>
    </row>
    <row r="480">
      <c r="A480" t="inlineStr">
        <is>
          <t>B pool loss</t>
        </is>
      </c>
      <c r="B480">
        <f>IF(B478="preference",Assumptions!$B$40,0)</f>
        <v/>
      </c>
    </row>
    <row r="481">
      <c r="A481" s="20" t="inlineStr">
        <is>
          <t>A elect</t>
        </is>
      </c>
      <c r="B481">
        <f>IF(Assumptions!$B$31&gt;(Assumptions!$B$39)*(B465-(B467+B470+B473+B476+B479))/(B464-(B468+B471+B474+B477+B480)),"preference","convert")</f>
        <v/>
      </c>
    </row>
    <row r="482">
      <c r="A482" t="inlineStr">
        <is>
          <t>A pref taken</t>
        </is>
      </c>
      <c r="B482">
        <f>IF(B481="preference",Assumptions!$B$31,0)</f>
        <v/>
      </c>
    </row>
    <row r="483">
      <c r="A483" t="inlineStr">
        <is>
          <t>A pool loss</t>
        </is>
      </c>
      <c r="B483">
        <f>IF(B481="preference",Assumptions!$B$39,0)</f>
        <v/>
      </c>
    </row>
    <row r="484">
      <c r="A484" s="20" t="inlineStr">
        <is>
          <t>Seed elect</t>
        </is>
      </c>
      <c r="B484">
        <f>IF(Assumptions!$B$30&gt;(Assumptions!$B$38)*(B465-(B467+B470+B473+B476+B479+B482))/(B464-(B468+B471+B474+B477+B480+B483)),"preference","convert")</f>
        <v/>
      </c>
    </row>
    <row r="485">
      <c r="A485" t="inlineStr">
        <is>
          <t>Seed pref taken</t>
        </is>
      </c>
      <c r="B485">
        <f>IF(B484="preference",Assumptions!$B$30,0)</f>
        <v/>
      </c>
    </row>
    <row r="486">
      <c r="A486" t="inlineStr">
        <is>
          <t>Seed pool loss</t>
        </is>
      </c>
      <c r="B486">
        <f>IF(B484="preference",Assumptions!$B$38,0)</f>
        <v/>
      </c>
    </row>
    <row r="487">
      <c r="A487" s="2" t="inlineStr">
        <is>
          <t>Final PPS at $2B</t>
        </is>
      </c>
      <c r="B487">
        <f>(B465-(B467+B470+B473+B476+B479+B482+B485))/(B464-(B468+B471+B474+B477+B480+B483+B486))</f>
        <v/>
      </c>
    </row>
    <row r="488">
      <c r="A488" s="2" t="inlineStr">
        <is>
          <t>Fund proceeds at $2B</t>
        </is>
      </c>
      <c r="B488" s="18">
        <f>IF(B466="preference",Assumptions!$B$9,B459*B487)</f>
        <v/>
      </c>
    </row>
    <row r="512">
      <c r="A512" s="2" t="inlineStr">
        <is>
          <t>Scenario [esop=13%, pre=$1.8B]</t>
        </is>
      </c>
    </row>
    <row r="513">
      <c r="A513" t="inlineStr">
        <is>
          <t>ESOP target</t>
        </is>
      </c>
      <c r="B513">
        <f>Assumptions!$B$68</f>
        <v/>
      </c>
    </row>
    <row r="514">
      <c r="A514" t="inlineStr">
        <is>
          <t>Pre-money</t>
        </is>
      </c>
      <c r="B514">
        <f>Assumptions!$B$72</f>
        <v/>
      </c>
    </row>
    <row r="516">
      <c r="A516" s="14" t="inlineStr">
        <is>
          <t>k</t>
        </is>
      </c>
      <c r="B516" s="14" t="inlineStr">
        <is>
          <t>F_PPS_k</t>
        </is>
      </c>
      <c r="C516" s="14" t="inlineStr">
        <is>
          <t>nA_k</t>
        </is>
      </c>
      <c r="D516" s="14" t="inlineStr">
        <is>
          <t>nB_k</t>
        </is>
      </c>
      <c r="E516" s="14" t="inlineStr">
        <is>
          <t>AD_x</t>
        </is>
      </c>
      <c r="F516" s="14" t="inlineStr">
        <is>
          <t>F_pri</t>
        </is>
      </c>
      <c r="G516" s="14" t="inlineStr">
        <is>
          <t>topup_p</t>
        </is>
      </c>
      <c r="H516" s="14" t="inlineStr">
        <is>
          <t>topup</t>
        </is>
      </c>
      <c r="I516" s="14" t="inlineStr">
        <is>
          <t>pmFD</t>
        </is>
      </c>
      <c r="J516" s="14" t="inlineStr">
        <is>
          <t>T_F</t>
        </is>
      </c>
      <c r="K516" s="14" t="inlineStr">
        <is>
          <t>pmFD_A</t>
        </is>
      </c>
      <c r="L516" s="14" t="inlineStr">
        <is>
          <t>pmFD_B</t>
        </is>
      </c>
      <c r="M516" s="14" t="inlineStr">
        <is>
          <t>cap_A</t>
        </is>
      </c>
      <c r="N516" s="14" t="inlineStr">
        <is>
          <t>disc_A</t>
        </is>
      </c>
      <c r="O516" s="14" t="inlineStr">
        <is>
          <t>conv_A</t>
        </is>
      </c>
      <c r="P516" s="14" t="inlineStr">
        <is>
          <t>cap_B</t>
        </is>
      </c>
      <c r="Q516" s="14" t="inlineStr">
        <is>
          <t>disc_B</t>
        </is>
      </c>
      <c r="R516" s="14" t="inlineStr">
        <is>
          <t>conv_B</t>
        </is>
      </c>
      <c r="S516" s="14" t="inlineStr">
        <is>
          <t>F_PPS_n</t>
        </is>
      </c>
      <c r="T516" s="14" t="inlineStr">
        <is>
          <t>nA_n</t>
        </is>
      </c>
      <c r="U516" s="14" t="inlineStr">
        <is>
          <t>nB_n</t>
        </is>
      </c>
    </row>
    <row r="517">
      <c r="A517" t="n">
        <v>0</v>
      </c>
      <c r="B517">
        <f>$B$514/Assumptions!$B$50</f>
        <v/>
      </c>
      <c r="C517" t="n">
        <v>0</v>
      </c>
      <c r="D517" t="n">
        <v>0</v>
      </c>
      <c r="E517">
        <f>MAX(0,Assumptions!$B$34/IF(B517&lt;Assumptions!$B$25,Assumptions!$B$25*(Assumptions!$B$50+Assumptions!$B$5/Assumptions!$B$25)/(Assumptions!$B$50+Assumptions!$B$5/B517),Assumptions!$B$25)-Assumptions!$B$42)+MAX(0,Assumptions!$B$35/IF(B517&lt;Assumptions!$B$26,Assumptions!$B$26*(Assumptions!$B$50+Assumptions!$B$5/Assumptions!$B$26)/(Assumptions!$B$50+Assumptions!$B$5/B517),Assumptions!$B$26)-Assumptions!$B$43)</f>
        <v/>
      </c>
      <c r="F517">
        <f>Assumptions!$B$5/B517</f>
        <v/>
      </c>
      <c r="G517">
        <f>$B$513*(((Assumptions!$B$50-Assumptions!$B$51+E517+C517+D517)+F517)/(1-$B$513))-Assumptions!$B$51</f>
        <v/>
      </c>
      <c r="H517">
        <f>MAX(0,G517)</f>
        <v/>
      </c>
      <c r="I517">
        <f>Assumptions!$B$50+E517+H517+C517+D517</f>
        <v/>
      </c>
      <c r="J517">
        <f>I517+F517</f>
        <v/>
      </c>
      <c r="K517">
        <f>Assumptions!$B$50+E517+H517+D517</f>
        <v/>
      </c>
      <c r="L517">
        <f>Assumptions!$B$50+E517+H517+C517</f>
        <v/>
      </c>
      <c r="M517">
        <f>Assumptions!$B$60/K517</f>
        <v/>
      </c>
      <c r="N517">
        <f>B517*(1-Assumptions!$B$61)</f>
        <v/>
      </c>
      <c r="O517">
        <f>MIN(M517,N517)</f>
        <v/>
      </c>
      <c r="P517">
        <f>Assumptions!$B$63/L517</f>
        <v/>
      </c>
      <c r="Q517">
        <f>B517*(1-Assumptions!$B$64)</f>
        <v/>
      </c>
      <c r="R517">
        <f>MIN(P517,Q517)</f>
        <v/>
      </c>
      <c r="S517">
        <f>$B$514/I517</f>
        <v/>
      </c>
      <c r="T517">
        <f>Assumptions!$B$59/O517</f>
        <v/>
      </c>
      <c r="U517">
        <f>Assumptions!$B$62/R517</f>
        <v/>
      </c>
    </row>
    <row r="518">
      <c r="A518" t="n">
        <v>1</v>
      </c>
      <c r="B518">
        <f>S517</f>
        <v/>
      </c>
      <c r="C518">
        <f>T517</f>
        <v/>
      </c>
      <c r="D518">
        <f>U517</f>
        <v/>
      </c>
      <c r="E518">
        <f>MAX(0,Assumptions!$B$34/IF(B518&lt;Assumptions!$B$25,Assumptions!$B$25*(Assumptions!$B$50+Assumptions!$B$5/Assumptions!$B$25)/(Assumptions!$B$50+Assumptions!$B$5/B518),Assumptions!$B$25)-Assumptions!$B$42)+MAX(0,Assumptions!$B$35/IF(B518&lt;Assumptions!$B$26,Assumptions!$B$26*(Assumptions!$B$50+Assumptions!$B$5/Assumptions!$B$26)/(Assumptions!$B$50+Assumptions!$B$5/B518),Assumptions!$B$26)-Assumptions!$B$43)</f>
        <v/>
      </c>
      <c r="F518">
        <f>Assumptions!$B$5/B518</f>
        <v/>
      </c>
      <c r="G518">
        <f>$B$513*(((Assumptions!$B$50-Assumptions!$B$51+E518+C518+D518)+F518)/(1-$B$513))-Assumptions!$B$51</f>
        <v/>
      </c>
      <c r="H518">
        <f>MAX(0,G518)</f>
        <v/>
      </c>
      <c r="I518">
        <f>Assumptions!$B$50+E518+H518+C518+D518</f>
        <v/>
      </c>
      <c r="J518">
        <f>I518+F518</f>
        <v/>
      </c>
      <c r="K518">
        <f>Assumptions!$B$50+E518+H518+D518</f>
        <v/>
      </c>
      <c r="L518">
        <f>Assumptions!$B$50+E518+H518+C518</f>
        <v/>
      </c>
      <c r="M518">
        <f>Assumptions!$B$60/K518</f>
        <v/>
      </c>
      <c r="N518">
        <f>B518*(1-Assumptions!$B$61)</f>
        <v/>
      </c>
      <c r="O518">
        <f>MIN(M518,N518)</f>
        <v/>
      </c>
      <c r="P518">
        <f>Assumptions!$B$63/L518</f>
        <v/>
      </c>
      <c r="Q518">
        <f>B518*(1-Assumptions!$B$64)</f>
        <v/>
      </c>
      <c r="R518">
        <f>MIN(P518,Q518)</f>
        <v/>
      </c>
      <c r="S518">
        <f>$B$514/I518</f>
        <v/>
      </c>
      <c r="T518">
        <f>Assumptions!$B$59/O518</f>
        <v/>
      </c>
      <c r="U518">
        <f>Assumptions!$B$62/R518</f>
        <v/>
      </c>
    </row>
    <row r="519">
      <c r="A519" t="n">
        <v>2</v>
      </c>
      <c r="B519">
        <f>S518</f>
        <v/>
      </c>
      <c r="C519">
        <f>T518</f>
        <v/>
      </c>
      <c r="D519">
        <f>U518</f>
        <v/>
      </c>
      <c r="E519">
        <f>MAX(0,Assumptions!$B$34/IF(B519&lt;Assumptions!$B$25,Assumptions!$B$25*(Assumptions!$B$50+Assumptions!$B$5/Assumptions!$B$25)/(Assumptions!$B$50+Assumptions!$B$5/B519),Assumptions!$B$25)-Assumptions!$B$42)+MAX(0,Assumptions!$B$35/IF(B519&lt;Assumptions!$B$26,Assumptions!$B$26*(Assumptions!$B$50+Assumptions!$B$5/Assumptions!$B$26)/(Assumptions!$B$50+Assumptions!$B$5/B519),Assumptions!$B$26)-Assumptions!$B$43)</f>
        <v/>
      </c>
      <c r="F519">
        <f>Assumptions!$B$5/B519</f>
        <v/>
      </c>
      <c r="G519">
        <f>$B$513*(((Assumptions!$B$50-Assumptions!$B$51+E519+C519+D519)+F519)/(1-$B$513))-Assumptions!$B$51</f>
        <v/>
      </c>
      <c r="H519">
        <f>MAX(0,G519)</f>
        <v/>
      </c>
      <c r="I519">
        <f>Assumptions!$B$50+E519+H519+C519+D519</f>
        <v/>
      </c>
      <c r="J519">
        <f>I519+F519</f>
        <v/>
      </c>
      <c r="K519">
        <f>Assumptions!$B$50+E519+H519+D519</f>
        <v/>
      </c>
      <c r="L519">
        <f>Assumptions!$B$50+E519+H519+C519</f>
        <v/>
      </c>
      <c r="M519">
        <f>Assumptions!$B$60/K519</f>
        <v/>
      </c>
      <c r="N519">
        <f>B519*(1-Assumptions!$B$61)</f>
        <v/>
      </c>
      <c r="O519">
        <f>MIN(M519,N519)</f>
        <v/>
      </c>
      <c r="P519">
        <f>Assumptions!$B$63/L519</f>
        <v/>
      </c>
      <c r="Q519">
        <f>B519*(1-Assumptions!$B$64)</f>
        <v/>
      </c>
      <c r="R519">
        <f>MIN(P519,Q519)</f>
        <v/>
      </c>
      <c r="S519">
        <f>$B$514/I519</f>
        <v/>
      </c>
      <c r="T519">
        <f>Assumptions!$B$59/O519</f>
        <v/>
      </c>
      <c r="U519">
        <f>Assumptions!$B$62/R519</f>
        <v/>
      </c>
    </row>
    <row r="520">
      <c r="A520" t="n">
        <v>3</v>
      </c>
      <c r="B520">
        <f>S519</f>
        <v/>
      </c>
      <c r="C520">
        <f>T519</f>
        <v/>
      </c>
      <c r="D520">
        <f>U519</f>
        <v/>
      </c>
      <c r="E520">
        <f>MAX(0,Assumptions!$B$34/IF(B520&lt;Assumptions!$B$25,Assumptions!$B$25*(Assumptions!$B$50+Assumptions!$B$5/Assumptions!$B$25)/(Assumptions!$B$50+Assumptions!$B$5/B520),Assumptions!$B$25)-Assumptions!$B$42)+MAX(0,Assumptions!$B$35/IF(B520&lt;Assumptions!$B$26,Assumptions!$B$26*(Assumptions!$B$50+Assumptions!$B$5/Assumptions!$B$26)/(Assumptions!$B$50+Assumptions!$B$5/B520),Assumptions!$B$26)-Assumptions!$B$43)</f>
        <v/>
      </c>
      <c r="F520">
        <f>Assumptions!$B$5/B520</f>
        <v/>
      </c>
      <c r="G520">
        <f>$B$513*(((Assumptions!$B$50-Assumptions!$B$51+E520+C520+D520)+F520)/(1-$B$513))-Assumptions!$B$51</f>
        <v/>
      </c>
      <c r="H520">
        <f>MAX(0,G520)</f>
        <v/>
      </c>
      <c r="I520">
        <f>Assumptions!$B$50+E520+H520+C520+D520</f>
        <v/>
      </c>
      <c r="J520">
        <f>I520+F520</f>
        <v/>
      </c>
      <c r="K520">
        <f>Assumptions!$B$50+E520+H520+D520</f>
        <v/>
      </c>
      <c r="L520">
        <f>Assumptions!$B$50+E520+H520+C520</f>
        <v/>
      </c>
      <c r="M520">
        <f>Assumptions!$B$60/K520</f>
        <v/>
      </c>
      <c r="N520">
        <f>B520*(1-Assumptions!$B$61)</f>
        <v/>
      </c>
      <c r="O520">
        <f>MIN(M520,N520)</f>
        <v/>
      </c>
      <c r="P520">
        <f>Assumptions!$B$63/L520</f>
        <v/>
      </c>
      <c r="Q520">
        <f>B520*(1-Assumptions!$B$64)</f>
        <v/>
      </c>
      <c r="R520">
        <f>MIN(P520,Q520)</f>
        <v/>
      </c>
      <c r="S520">
        <f>$B$514/I520</f>
        <v/>
      </c>
      <c r="T520">
        <f>Assumptions!$B$59/O520</f>
        <v/>
      </c>
      <c r="U520">
        <f>Assumptions!$B$62/R520</f>
        <v/>
      </c>
    </row>
    <row r="521">
      <c r="A521" t="n">
        <v>4</v>
      </c>
      <c r="B521">
        <f>S520</f>
        <v/>
      </c>
      <c r="C521">
        <f>T520</f>
        <v/>
      </c>
      <c r="D521">
        <f>U520</f>
        <v/>
      </c>
      <c r="E521">
        <f>MAX(0,Assumptions!$B$34/IF(B521&lt;Assumptions!$B$25,Assumptions!$B$25*(Assumptions!$B$50+Assumptions!$B$5/Assumptions!$B$25)/(Assumptions!$B$50+Assumptions!$B$5/B521),Assumptions!$B$25)-Assumptions!$B$42)+MAX(0,Assumptions!$B$35/IF(B521&lt;Assumptions!$B$26,Assumptions!$B$26*(Assumptions!$B$50+Assumptions!$B$5/Assumptions!$B$26)/(Assumptions!$B$50+Assumptions!$B$5/B521),Assumptions!$B$26)-Assumptions!$B$43)</f>
        <v/>
      </c>
      <c r="F521">
        <f>Assumptions!$B$5/B521</f>
        <v/>
      </c>
      <c r="G521">
        <f>$B$513*(((Assumptions!$B$50-Assumptions!$B$51+E521+C521+D521)+F521)/(1-$B$513))-Assumptions!$B$51</f>
        <v/>
      </c>
      <c r="H521">
        <f>MAX(0,G521)</f>
        <v/>
      </c>
      <c r="I521">
        <f>Assumptions!$B$50+E521+H521+C521+D521</f>
        <v/>
      </c>
      <c r="J521">
        <f>I521+F521</f>
        <v/>
      </c>
      <c r="K521">
        <f>Assumptions!$B$50+E521+H521+D521</f>
        <v/>
      </c>
      <c r="L521">
        <f>Assumptions!$B$50+E521+H521+C521</f>
        <v/>
      </c>
      <c r="M521">
        <f>Assumptions!$B$60/K521</f>
        <v/>
      </c>
      <c r="N521">
        <f>B521*(1-Assumptions!$B$61)</f>
        <v/>
      </c>
      <c r="O521">
        <f>MIN(M521,N521)</f>
        <v/>
      </c>
      <c r="P521">
        <f>Assumptions!$B$63/L521</f>
        <v/>
      </c>
      <c r="Q521">
        <f>B521*(1-Assumptions!$B$64)</f>
        <v/>
      </c>
      <c r="R521">
        <f>MIN(P521,Q521)</f>
        <v/>
      </c>
      <c r="S521">
        <f>$B$514/I521</f>
        <v/>
      </c>
      <c r="T521">
        <f>Assumptions!$B$59/O521</f>
        <v/>
      </c>
      <c r="U521">
        <f>Assumptions!$B$62/R521</f>
        <v/>
      </c>
    </row>
    <row r="522">
      <c r="A522" t="n">
        <v>5</v>
      </c>
      <c r="B522">
        <f>S521</f>
        <v/>
      </c>
      <c r="C522">
        <f>T521</f>
        <v/>
      </c>
      <c r="D522">
        <f>U521</f>
        <v/>
      </c>
      <c r="E522">
        <f>MAX(0,Assumptions!$B$34/IF(B522&lt;Assumptions!$B$25,Assumptions!$B$25*(Assumptions!$B$50+Assumptions!$B$5/Assumptions!$B$25)/(Assumptions!$B$50+Assumptions!$B$5/B522),Assumptions!$B$25)-Assumptions!$B$42)+MAX(0,Assumptions!$B$35/IF(B522&lt;Assumptions!$B$26,Assumptions!$B$26*(Assumptions!$B$50+Assumptions!$B$5/Assumptions!$B$26)/(Assumptions!$B$50+Assumptions!$B$5/B522),Assumptions!$B$26)-Assumptions!$B$43)</f>
        <v/>
      </c>
      <c r="F522">
        <f>Assumptions!$B$5/B522</f>
        <v/>
      </c>
      <c r="G522">
        <f>$B$513*(((Assumptions!$B$50-Assumptions!$B$51+E522+C522+D522)+F522)/(1-$B$513))-Assumptions!$B$51</f>
        <v/>
      </c>
      <c r="H522">
        <f>MAX(0,G522)</f>
        <v/>
      </c>
      <c r="I522">
        <f>Assumptions!$B$50+E522+H522+C522+D522</f>
        <v/>
      </c>
      <c r="J522">
        <f>I522+F522</f>
        <v/>
      </c>
      <c r="K522">
        <f>Assumptions!$B$50+E522+H522+D522</f>
        <v/>
      </c>
      <c r="L522">
        <f>Assumptions!$B$50+E522+H522+C522</f>
        <v/>
      </c>
      <c r="M522">
        <f>Assumptions!$B$60/K522</f>
        <v/>
      </c>
      <c r="N522">
        <f>B522*(1-Assumptions!$B$61)</f>
        <v/>
      </c>
      <c r="O522">
        <f>MIN(M522,N522)</f>
        <v/>
      </c>
      <c r="P522">
        <f>Assumptions!$B$63/L522</f>
        <v/>
      </c>
      <c r="Q522">
        <f>B522*(1-Assumptions!$B$64)</f>
        <v/>
      </c>
      <c r="R522">
        <f>MIN(P522,Q522)</f>
        <v/>
      </c>
      <c r="S522">
        <f>$B$514/I522</f>
        <v/>
      </c>
      <c r="T522">
        <f>Assumptions!$B$59/O522</f>
        <v/>
      </c>
      <c r="U522">
        <f>Assumptions!$B$62/R522</f>
        <v/>
      </c>
    </row>
    <row r="523">
      <c r="A523" t="n">
        <v>6</v>
      </c>
      <c r="B523">
        <f>S522</f>
        <v/>
      </c>
      <c r="C523">
        <f>T522</f>
        <v/>
      </c>
      <c r="D523">
        <f>U522</f>
        <v/>
      </c>
      <c r="E523">
        <f>MAX(0,Assumptions!$B$34/IF(B523&lt;Assumptions!$B$25,Assumptions!$B$25*(Assumptions!$B$50+Assumptions!$B$5/Assumptions!$B$25)/(Assumptions!$B$50+Assumptions!$B$5/B523),Assumptions!$B$25)-Assumptions!$B$42)+MAX(0,Assumptions!$B$35/IF(B523&lt;Assumptions!$B$26,Assumptions!$B$26*(Assumptions!$B$50+Assumptions!$B$5/Assumptions!$B$26)/(Assumptions!$B$50+Assumptions!$B$5/B523),Assumptions!$B$26)-Assumptions!$B$43)</f>
        <v/>
      </c>
      <c r="F523">
        <f>Assumptions!$B$5/B523</f>
        <v/>
      </c>
      <c r="G523">
        <f>$B$513*(((Assumptions!$B$50-Assumptions!$B$51+E523+C523+D523)+F523)/(1-$B$513))-Assumptions!$B$51</f>
        <v/>
      </c>
      <c r="H523">
        <f>MAX(0,G523)</f>
        <v/>
      </c>
      <c r="I523">
        <f>Assumptions!$B$50+E523+H523+C523+D523</f>
        <v/>
      </c>
      <c r="J523">
        <f>I523+F523</f>
        <v/>
      </c>
      <c r="K523">
        <f>Assumptions!$B$50+E523+H523+D523</f>
        <v/>
      </c>
      <c r="L523">
        <f>Assumptions!$B$50+E523+H523+C523</f>
        <v/>
      </c>
      <c r="M523">
        <f>Assumptions!$B$60/K523</f>
        <v/>
      </c>
      <c r="N523">
        <f>B523*(1-Assumptions!$B$61)</f>
        <v/>
      </c>
      <c r="O523">
        <f>MIN(M523,N523)</f>
        <v/>
      </c>
      <c r="P523">
        <f>Assumptions!$B$63/L523</f>
        <v/>
      </c>
      <c r="Q523">
        <f>B523*(1-Assumptions!$B$64)</f>
        <v/>
      </c>
      <c r="R523">
        <f>MIN(P523,Q523)</f>
        <v/>
      </c>
      <c r="S523">
        <f>$B$514/I523</f>
        <v/>
      </c>
      <c r="T523">
        <f>Assumptions!$B$59/O523</f>
        <v/>
      </c>
      <c r="U523">
        <f>Assumptions!$B$62/R523</f>
        <v/>
      </c>
    </row>
    <row r="524">
      <c r="A524" t="n">
        <v>7</v>
      </c>
      <c r="B524">
        <f>S523</f>
        <v/>
      </c>
      <c r="C524">
        <f>T523</f>
        <v/>
      </c>
      <c r="D524">
        <f>U523</f>
        <v/>
      </c>
      <c r="E524">
        <f>MAX(0,Assumptions!$B$34/IF(B524&lt;Assumptions!$B$25,Assumptions!$B$25*(Assumptions!$B$50+Assumptions!$B$5/Assumptions!$B$25)/(Assumptions!$B$50+Assumptions!$B$5/B524),Assumptions!$B$25)-Assumptions!$B$42)+MAX(0,Assumptions!$B$35/IF(B524&lt;Assumptions!$B$26,Assumptions!$B$26*(Assumptions!$B$50+Assumptions!$B$5/Assumptions!$B$26)/(Assumptions!$B$50+Assumptions!$B$5/B524),Assumptions!$B$26)-Assumptions!$B$43)</f>
        <v/>
      </c>
      <c r="F524">
        <f>Assumptions!$B$5/B524</f>
        <v/>
      </c>
      <c r="G524">
        <f>$B$513*(((Assumptions!$B$50-Assumptions!$B$51+E524+C524+D524)+F524)/(1-$B$513))-Assumptions!$B$51</f>
        <v/>
      </c>
      <c r="H524">
        <f>MAX(0,G524)</f>
        <v/>
      </c>
      <c r="I524">
        <f>Assumptions!$B$50+E524+H524+C524+D524</f>
        <v/>
      </c>
      <c r="J524">
        <f>I524+F524</f>
        <v/>
      </c>
      <c r="K524">
        <f>Assumptions!$B$50+E524+H524+D524</f>
        <v/>
      </c>
      <c r="L524">
        <f>Assumptions!$B$50+E524+H524+C524</f>
        <v/>
      </c>
      <c r="M524">
        <f>Assumptions!$B$60/K524</f>
        <v/>
      </c>
      <c r="N524">
        <f>B524*(1-Assumptions!$B$61)</f>
        <v/>
      </c>
      <c r="O524">
        <f>MIN(M524,N524)</f>
        <v/>
      </c>
      <c r="P524">
        <f>Assumptions!$B$63/L524</f>
        <v/>
      </c>
      <c r="Q524">
        <f>B524*(1-Assumptions!$B$64)</f>
        <v/>
      </c>
      <c r="R524">
        <f>MIN(P524,Q524)</f>
        <v/>
      </c>
      <c r="S524">
        <f>$B$514/I524</f>
        <v/>
      </c>
      <c r="T524">
        <f>Assumptions!$B$59/O524</f>
        <v/>
      </c>
      <c r="U524">
        <f>Assumptions!$B$62/R524</f>
        <v/>
      </c>
    </row>
    <row r="525">
      <c r="A525" t="n">
        <v>8</v>
      </c>
      <c r="B525">
        <f>S524</f>
        <v/>
      </c>
      <c r="C525">
        <f>T524</f>
        <v/>
      </c>
      <c r="D525">
        <f>U524</f>
        <v/>
      </c>
      <c r="E525">
        <f>MAX(0,Assumptions!$B$34/IF(B525&lt;Assumptions!$B$25,Assumptions!$B$25*(Assumptions!$B$50+Assumptions!$B$5/Assumptions!$B$25)/(Assumptions!$B$50+Assumptions!$B$5/B525),Assumptions!$B$25)-Assumptions!$B$42)+MAX(0,Assumptions!$B$35/IF(B525&lt;Assumptions!$B$26,Assumptions!$B$26*(Assumptions!$B$50+Assumptions!$B$5/Assumptions!$B$26)/(Assumptions!$B$50+Assumptions!$B$5/B525),Assumptions!$B$26)-Assumptions!$B$43)</f>
        <v/>
      </c>
      <c r="F525">
        <f>Assumptions!$B$5/B525</f>
        <v/>
      </c>
      <c r="G525">
        <f>$B$513*(((Assumptions!$B$50-Assumptions!$B$51+E525+C525+D525)+F525)/(1-$B$513))-Assumptions!$B$51</f>
        <v/>
      </c>
      <c r="H525">
        <f>MAX(0,G525)</f>
        <v/>
      </c>
      <c r="I525">
        <f>Assumptions!$B$50+E525+H525+C525+D525</f>
        <v/>
      </c>
      <c r="J525">
        <f>I525+F525</f>
        <v/>
      </c>
      <c r="K525">
        <f>Assumptions!$B$50+E525+H525+D525</f>
        <v/>
      </c>
      <c r="L525">
        <f>Assumptions!$B$50+E525+H525+C525</f>
        <v/>
      </c>
      <c r="M525">
        <f>Assumptions!$B$60/K525</f>
        <v/>
      </c>
      <c r="N525">
        <f>B525*(1-Assumptions!$B$61)</f>
        <v/>
      </c>
      <c r="O525">
        <f>MIN(M525,N525)</f>
        <v/>
      </c>
      <c r="P525">
        <f>Assumptions!$B$63/L525</f>
        <v/>
      </c>
      <c r="Q525">
        <f>B525*(1-Assumptions!$B$64)</f>
        <v/>
      </c>
      <c r="R525">
        <f>MIN(P525,Q525)</f>
        <v/>
      </c>
      <c r="S525">
        <f>$B$514/I525</f>
        <v/>
      </c>
      <c r="T525">
        <f>Assumptions!$B$59/O525</f>
        <v/>
      </c>
      <c r="U525">
        <f>Assumptions!$B$62/R525</f>
        <v/>
      </c>
    </row>
    <row r="526">
      <c r="A526" t="n">
        <v>9</v>
      </c>
      <c r="B526">
        <f>S525</f>
        <v/>
      </c>
      <c r="C526">
        <f>T525</f>
        <v/>
      </c>
      <c r="D526">
        <f>U525</f>
        <v/>
      </c>
      <c r="E526">
        <f>MAX(0,Assumptions!$B$34/IF(B526&lt;Assumptions!$B$25,Assumptions!$B$25*(Assumptions!$B$50+Assumptions!$B$5/Assumptions!$B$25)/(Assumptions!$B$50+Assumptions!$B$5/B526),Assumptions!$B$25)-Assumptions!$B$42)+MAX(0,Assumptions!$B$35/IF(B526&lt;Assumptions!$B$26,Assumptions!$B$26*(Assumptions!$B$50+Assumptions!$B$5/Assumptions!$B$26)/(Assumptions!$B$50+Assumptions!$B$5/B526),Assumptions!$B$26)-Assumptions!$B$43)</f>
        <v/>
      </c>
      <c r="F526">
        <f>Assumptions!$B$5/B526</f>
        <v/>
      </c>
      <c r="G526">
        <f>$B$513*(((Assumptions!$B$50-Assumptions!$B$51+E526+C526+D526)+F526)/(1-$B$513))-Assumptions!$B$51</f>
        <v/>
      </c>
      <c r="H526">
        <f>MAX(0,G526)</f>
        <v/>
      </c>
      <c r="I526">
        <f>Assumptions!$B$50+E526+H526+C526+D526</f>
        <v/>
      </c>
      <c r="J526">
        <f>I526+F526</f>
        <v/>
      </c>
      <c r="K526">
        <f>Assumptions!$B$50+E526+H526+D526</f>
        <v/>
      </c>
      <c r="L526">
        <f>Assumptions!$B$50+E526+H526+C526</f>
        <v/>
      </c>
      <c r="M526">
        <f>Assumptions!$B$60/K526</f>
        <v/>
      </c>
      <c r="N526">
        <f>B526*(1-Assumptions!$B$61)</f>
        <v/>
      </c>
      <c r="O526">
        <f>MIN(M526,N526)</f>
        <v/>
      </c>
      <c r="P526">
        <f>Assumptions!$B$63/L526</f>
        <v/>
      </c>
      <c r="Q526">
        <f>B526*(1-Assumptions!$B$64)</f>
        <v/>
      </c>
      <c r="R526">
        <f>MIN(P526,Q526)</f>
        <v/>
      </c>
      <c r="S526">
        <f>$B$514/I526</f>
        <v/>
      </c>
      <c r="T526">
        <f>Assumptions!$B$59/O526</f>
        <v/>
      </c>
      <c r="U526">
        <f>Assumptions!$B$62/R526</f>
        <v/>
      </c>
    </row>
    <row r="527">
      <c r="A527" t="n">
        <v>10</v>
      </c>
      <c r="B527">
        <f>S526</f>
        <v/>
      </c>
      <c r="C527">
        <f>T526</f>
        <v/>
      </c>
      <c r="D527">
        <f>U526</f>
        <v/>
      </c>
      <c r="E527">
        <f>MAX(0,Assumptions!$B$34/IF(B527&lt;Assumptions!$B$25,Assumptions!$B$25*(Assumptions!$B$50+Assumptions!$B$5/Assumptions!$B$25)/(Assumptions!$B$50+Assumptions!$B$5/B527),Assumptions!$B$25)-Assumptions!$B$42)+MAX(0,Assumptions!$B$35/IF(B527&lt;Assumptions!$B$26,Assumptions!$B$26*(Assumptions!$B$50+Assumptions!$B$5/Assumptions!$B$26)/(Assumptions!$B$50+Assumptions!$B$5/B527),Assumptions!$B$26)-Assumptions!$B$43)</f>
        <v/>
      </c>
      <c r="F527">
        <f>Assumptions!$B$5/B527</f>
        <v/>
      </c>
      <c r="G527">
        <f>$B$513*(((Assumptions!$B$50-Assumptions!$B$51+E527+C527+D527)+F527)/(1-$B$513))-Assumptions!$B$51</f>
        <v/>
      </c>
      <c r="H527">
        <f>MAX(0,G527)</f>
        <v/>
      </c>
      <c r="I527">
        <f>Assumptions!$B$50+E527+H527+C527+D527</f>
        <v/>
      </c>
      <c r="J527">
        <f>I527+F527</f>
        <v/>
      </c>
      <c r="K527">
        <f>Assumptions!$B$50+E527+H527+D527</f>
        <v/>
      </c>
      <c r="L527">
        <f>Assumptions!$B$50+E527+H527+C527</f>
        <v/>
      </c>
      <c r="M527">
        <f>Assumptions!$B$60/K527</f>
        <v/>
      </c>
      <c r="N527">
        <f>B527*(1-Assumptions!$B$61)</f>
        <v/>
      </c>
      <c r="O527">
        <f>MIN(M527,N527)</f>
        <v/>
      </c>
      <c r="P527">
        <f>Assumptions!$B$63/L527</f>
        <v/>
      </c>
      <c r="Q527">
        <f>B527*(1-Assumptions!$B$64)</f>
        <v/>
      </c>
      <c r="R527">
        <f>MIN(P527,Q527)</f>
        <v/>
      </c>
      <c r="S527">
        <f>$B$514/I527</f>
        <v/>
      </c>
      <c r="T527">
        <f>Assumptions!$B$59/O527</f>
        <v/>
      </c>
      <c r="U527">
        <f>Assumptions!$B$62/R527</f>
        <v/>
      </c>
    </row>
    <row r="528">
      <c r="A528" t="n">
        <v>11</v>
      </c>
      <c r="B528">
        <f>S527</f>
        <v/>
      </c>
      <c r="C528">
        <f>T527</f>
        <v/>
      </c>
      <c r="D528">
        <f>U527</f>
        <v/>
      </c>
      <c r="E528">
        <f>MAX(0,Assumptions!$B$34/IF(B528&lt;Assumptions!$B$25,Assumptions!$B$25*(Assumptions!$B$50+Assumptions!$B$5/Assumptions!$B$25)/(Assumptions!$B$50+Assumptions!$B$5/B528),Assumptions!$B$25)-Assumptions!$B$42)+MAX(0,Assumptions!$B$35/IF(B528&lt;Assumptions!$B$26,Assumptions!$B$26*(Assumptions!$B$50+Assumptions!$B$5/Assumptions!$B$26)/(Assumptions!$B$50+Assumptions!$B$5/B528),Assumptions!$B$26)-Assumptions!$B$43)</f>
        <v/>
      </c>
      <c r="F528">
        <f>Assumptions!$B$5/B528</f>
        <v/>
      </c>
      <c r="G528">
        <f>$B$513*(((Assumptions!$B$50-Assumptions!$B$51+E528+C528+D528)+F528)/(1-$B$513))-Assumptions!$B$51</f>
        <v/>
      </c>
      <c r="H528">
        <f>MAX(0,G528)</f>
        <v/>
      </c>
      <c r="I528">
        <f>Assumptions!$B$50+E528+H528+C528+D528</f>
        <v/>
      </c>
      <c r="J528">
        <f>I528+F528</f>
        <v/>
      </c>
      <c r="K528">
        <f>Assumptions!$B$50+E528+H528+D528</f>
        <v/>
      </c>
      <c r="L528">
        <f>Assumptions!$B$50+E528+H528+C528</f>
        <v/>
      </c>
      <c r="M528">
        <f>Assumptions!$B$60/K528</f>
        <v/>
      </c>
      <c r="N528">
        <f>B528*(1-Assumptions!$B$61)</f>
        <v/>
      </c>
      <c r="O528">
        <f>MIN(M528,N528)</f>
        <v/>
      </c>
      <c r="P528">
        <f>Assumptions!$B$63/L528</f>
        <v/>
      </c>
      <c r="Q528">
        <f>B528*(1-Assumptions!$B$64)</f>
        <v/>
      </c>
      <c r="R528">
        <f>MIN(P528,Q528)</f>
        <v/>
      </c>
      <c r="S528">
        <f>$B$514/I528</f>
        <v/>
      </c>
      <c r="T528">
        <f>Assumptions!$B$59/O528</f>
        <v/>
      </c>
      <c r="U528">
        <f>Assumptions!$B$62/R528</f>
        <v/>
      </c>
    </row>
    <row r="529">
      <c r="A529" t="n">
        <v>12</v>
      </c>
      <c r="B529">
        <f>S528</f>
        <v/>
      </c>
      <c r="C529">
        <f>T528</f>
        <v/>
      </c>
      <c r="D529">
        <f>U528</f>
        <v/>
      </c>
      <c r="E529">
        <f>MAX(0,Assumptions!$B$34/IF(B529&lt;Assumptions!$B$25,Assumptions!$B$25*(Assumptions!$B$50+Assumptions!$B$5/Assumptions!$B$25)/(Assumptions!$B$50+Assumptions!$B$5/B529),Assumptions!$B$25)-Assumptions!$B$42)+MAX(0,Assumptions!$B$35/IF(B529&lt;Assumptions!$B$26,Assumptions!$B$26*(Assumptions!$B$50+Assumptions!$B$5/Assumptions!$B$26)/(Assumptions!$B$50+Assumptions!$B$5/B529),Assumptions!$B$26)-Assumptions!$B$43)</f>
        <v/>
      </c>
      <c r="F529">
        <f>Assumptions!$B$5/B529</f>
        <v/>
      </c>
      <c r="G529">
        <f>$B$513*(((Assumptions!$B$50-Assumptions!$B$51+E529+C529+D529)+F529)/(1-$B$513))-Assumptions!$B$51</f>
        <v/>
      </c>
      <c r="H529">
        <f>MAX(0,G529)</f>
        <v/>
      </c>
      <c r="I529">
        <f>Assumptions!$B$50+E529+H529+C529+D529</f>
        <v/>
      </c>
      <c r="J529">
        <f>I529+F529</f>
        <v/>
      </c>
      <c r="K529">
        <f>Assumptions!$B$50+E529+H529+D529</f>
        <v/>
      </c>
      <c r="L529">
        <f>Assumptions!$B$50+E529+H529+C529</f>
        <v/>
      </c>
      <c r="M529">
        <f>Assumptions!$B$60/K529</f>
        <v/>
      </c>
      <c r="N529">
        <f>B529*(1-Assumptions!$B$61)</f>
        <v/>
      </c>
      <c r="O529">
        <f>MIN(M529,N529)</f>
        <v/>
      </c>
      <c r="P529">
        <f>Assumptions!$B$63/L529</f>
        <v/>
      </c>
      <c r="Q529">
        <f>B529*(1-Assumptions!$B$64)</f>
        <v/>
      </c>
      <c r="R529">
        <f>MIN(P529,Q529)</f>
        <v/>
      </c>
      <c r="S529">
        <f>$B$514/I529</f>
        <v/>
      </c>
      <c r="T529">
        <f>Assumptions!$B$59/O529</f>
        <v/>
      </c>
      <c r="U529">
        <f>Assumptions!$B$62/R529</f>
        <v/>
      </c>
    </row>
    <row r="530">
      <c r="A530" t="n">
        <v>13</v>
      </c>
      <c r="B530">
        <f>S529</f>
        <v/>
      </c>
      <c r="C530">
        <f>T529</f>
        <v/>
      </c>
      <c r="D530">
        <f>U529</f>
        <v/>
      </c>
      <c r="E530">
        <f>MAX(0,Assumptions!$B$34/IF(B530&lt;Assumptions!$B$25,Assumptions!$B$25*(Assumptions!$B$50+Assumptions!$B$5/Assumptions!$B$25)/(Assumptions!$B$50+Assumptions!$B$5/B530),Assumptions!$B$25)-Assumptions!$B$42)+MAX(0,Assumptions!$B$35/IF(B530&lt;Assumptions!$B$26,Assumptions!$B$26*(Assumptions!$B$50+Assumptions!$B$5/Assumptions!$B$26)/(Assumptions!$B$50+Assumptions!$B$5/B530),Assumptions!$B$26)-Assumptions!$B$43)</f>
        <v/>
      </c>
      <c r="F530">
        <f>Assumptions!$B$5/B530</f>
        <v/>
      </c>
      <c r="G530">
        <f>$B$513*(((Assumptions!$B$50-Assumptions!$B$51+E530+C530+D530)+F530)/(1-$B$513))-Assumptions!$B$51</f>
        <v/>
      </c>
      <c r="H530">
        <f>MAX(0,G530)</f>
        <v/>
      </c>
      <c r="I530">
        <f>Assumptions!$B$50+E530+H530+C530+D530</f>
        <v/>
      </c>
      <c r="J530">
        <f>I530+F530</f>
        <v/>
      </c>
      <c r="K530">
        <f>Assumptions!$B$50+E530+H530+D530</f>
        <v/>
      </c>
      <c r="L530">
        <f>Assumptions!$B$50+E530+H530+C530</f>
        <v/>
      </c>
      <c r="M530">
        <f>Assumptions!$B$60/K530</f>
        <v/>
      </c>
      <c r="N530">
        <f>B530*(1-Assumptions!$B$61)</f>
        <v/>
      </c>
      <c r="O530">
        <f>MIN(M530,N530)</f>
        <v/>
      </c>
      <c r="P530">
        <f>Assumptions!$B$63/L530</f>
        <v/>
      </c>
      <c r="Q530">
        <f>B530*(1-Assumptions!$B$64)</f>
        <v/>
      </c>
      <c r="R530">
        <f>MIN(P530,Q530)</f>
        <v/>
      </c>
      <c r="S530">
        <f>$B$514/I530</f>
        <v/>
      </c>
      <c r="T530">
        <f>Assumptions!$B$59/O530</f>
        <v/>
      </c>
      <c r="U530">
        <f>Assumptions!$B$62/R530</f>
        <v/>
      </c>
    </row>
    <row r="531">
      <c r="A531" t="n">
        <v>14</v>
      </c>
      <c r="B531">
        <f>S530</f>
        <v/>
      </c>
      <c r="C531">
        <f>T530</f>
        <v/>
      </c>
      <c r="D531">
        <f>U530</f>
        <v/>
      </c>
      <c r="E531">
        <f>MAX(0,Assumptions!$B$34/IF(B531&lt;Assumptions!$B$25,Assumptions!$B$25*(Assumptions!$B$50+Assumptions!$B$5/Assumptions!$B$25)/(Assumptions!$B$50+Assumptions!$B$5/B531),Assumptions!$B$25)-Assumptions!$B$42)+MAX(0,Assumptions!$B$35/IF(B531&lt;Assumptions!$B$26,Assumptions!$B$26*(Assumptions!$B$50+Assumptions!$B$5/Assumptions!$B$26)/(Assumptions!$B$50+Assumptions!$B$5/B531),Assumptions!$B$26)-Assumptions!$B$43)</f>
        <v/>
      </c>
      <c r="F531">
        <f>Assumptions!$B$5/B531</f>
        <v/>
      </c>
      <c r="G531">
        <f>$B$513*(((Assumptions!$B$50-Assumptions!$B$51+E531+C531+D531)+F531)/(1-$B$513))-Assumptions!$B$51</f>
        <v/>
      </c>
      <c r="H531">
        <f>MAX(0,G531)</f>
        <v/>
      </c>
      <c r="I531">
        <f>Assumptions!$B$50+E531+H531+C531+D531</f>
        <v/>
      </c>
      <c r="J531">
        <f>I531+F531</f>
        <v/>
      </c>
      <c r="K531">
        <f>Assumptions!$B$50+E531+H531+D531</f>
        <v/>
      </c>
      <c r="L531">
        <f>Assumptions!$B$50+E531+H531+C531</f>
        <v/>
      </c>
      <c r="M531">
        <f>Assumptions!$B$60/K531</f>
        <v/>
      </c>
      <c r="N531">
        <f>B531*(1-Assumptions!$B$61)</f>
        <v/>
      </c>
      <c r="O531">
        <f>MIN(M531,N531)</f>
        <v/>
      </c>
      <c r="P531">
        <f>Assumptions!$B$63/L531</f>
        <v/>
      </c>
      <c r="Q531">
        <f>B531*(1-Assumptions!$B$64)</f>
        <v/>
      </c>
      <c r="R531">
        <f>MIN(P531,Q531)</f>
        <v/>
      </c>
      <c r="S531">
        <f>$B$514/I531</f>
        <v/>
      </c>
      <c r="T531">
        <f>Assumptions!$B$59/O531</f>
        <v/>
      </c>
      <c r="U531">
        <f>Assumptions!$B$62/R531</f>
        <v/>
      </c>
    </row>
    <row r="532">
      <c r="A532" t="n">
        <v>15</v>
      </c>
      <c r="B532">
        <f>S531</f>
        <v/>
      </c>
      <c r="C532">
        <f>T531</f>
        <v/>
      </c>
      <c r="D532">
        <f>U531</f>
        <v/>
      </c>
      <c r="E532">
        <f>MAX(0,Assumptions!$B$34/IF(B532&lt;Assumptions!$B$25,Assumptions!$B$25*(Assumptions!$B$50+Assumptions!$B$5/Assumptions!$B$25)/(Assumptions!$B$50+Assumptions!$B$5/B532),Assumptions!$B$25)-Assumptions!$B$42)+MAX(0,Assumptions!$B$35/IF(B532&lt;Assumptions!$B$26,Assumptions!$B$26*(Assumptions!$B$50+Assumptions!$B$5/Assumptions!$B$26)/(Assumptions!$B$50+Assumptions!$B$5/B532),Assumptions!$B$26)-Assumptions!$B$43)</f>
        <v/>
      </c>
      <c r="F532">
        <f>Assumptions!$B$5/B532</f>
        <v/>
      </c>
      <c r="G532">
        <f>$B$513*(((Assumptions!$B$50-Assumptions!$B$51+E532+C532+D532)+F532)/(1-$B$513))-Assumptions!$B$51</f>
        <v/>
      </c>
      <c r="H532">
        <f>MAX(0,G532)</f>
        <v/>
      </c>
      <c r="I532">
        <f>Assumptions!$B$50+E532+H532+C532+D532</f>
        <v/>
      </c>
      <c r="J532">
        <f>I532+F532</f>
        <v/>
      </c>
      <c r="K532">
        <f>Assumptions!$B$50+E532+H532+D532</f>
        <v/>
      </c>
      <c r="L532">
        <f>Assumptions!$B$50+E532+H532+C532</f>
        <v/>
      </c>
      <c r="M532">
        <f>Assumptions!$B$60/K532</f>
        <v/>
      </c>
      <c r="N532">
        <f>B532*(1-Assumptions!$B$61)</f>
        <v/>
      </c>
      <c r="O532">
        <f>MIN(M532,N532)</f>
        <v/>
      </c>
      <c r="P532">
        <f>Assumptions!$B$63/L532</f>
        <v/>
      </c>
      <c r="Q532">
        <f>B532*(1-Assumptions!$B$64)</f>
        <v/>
      </c>
      <c r="R532">
        <f>MIN(P532,Q532)</f>
        <v/>
      </c>
      <c r="S532">
        <f>$B$514/I532</f>
        <v/>
      </c>
      <c r="T532">
        <f>Assumptions!$B$59/O532</f>
        <v/>
      </c>
      <c r="U532">
        <f>Assumptions!$B$62/R532</f>
        <v/>
      </c>
    </row>
    <row r="533">
      <c r="A533" t="n">
        <v>16</v>
      </c>
      <c r="B533">
        <f>S532</f>
        <v/>
      </c>
      <c r="C533">
        <f>T532</f>
        <v/>
      </c>
      <c r="D533">
        <f>U532</f>
        <v/>
      </c>
      <c r="E533">
        <f>MAX(0,Assumptions!$B$34/IF(B533&lt;Assumptions!$B$25,Assumptions!$B$25*(Assumptions!$B$50+Assumptions!$B$5/Assumptions!$B$25)/(Assumptions!$B$50+Assumptions!$B$5/B533),Assumptions!$B$25)-Assumptions!$B$42)+MAX(0,Assumptions!$B$35/IF(B533&lt;Assumptions!$B$26,Assumptions!$B$26*(Assumptions!$B$50+Assumptions!$B$5/Assumptions!$B$26)/(Assumptions!$B$50+Assumptions!$B$5/B533),Assumptions!$B$26)-Assumptions!$B$43)</f>
        <v/>
      </c>
      <c r="F533">
        <f>Assumptions!$B$5/B533</f>
        <v/>
      </c>
      <c r="G533">
        <f>$B$513*(((Assumptions!$B$50-Assumptions!$B$51+E533+C533+D533)+F533)/(1-$B$513))-Assumptions!$B$51</f>
        <v/>
      </c>
      <c r="H533">
        <f>MAX(0,G533)</f>
        <v/>
      </c>
      <c r="I533">
        <f>Assumptions!$B$50+E533+H533+C533+D533</f>
        <v/>
      </c>
      <c r="J533">
        <f>I533+F533</f>
        <v/>
      </c>
      <c r="K533">
        <f>Assumptions!$B$50+E533+H533+D533</f>
        <v/>
      </c>
      <c r="L533">
        <f>Assumptions!$B$50+E533+H533+C533</f>
        <v/>
      </c>
      <c r="M533">
        <f>Assumptions!$B$60/K533</f>
        <v/>
      </c>
      <c r="N533">
        <f>B533*(1-Assumptions!$B$61)</f>
        <v/>
      </c>
      <c r="O533">
        <f>MIN(M533,N533)</f>
        <v/>
      </c>
      <c r="P533">
        <f>Assumptions!$B$63/L533</f>
        <v/>
      </c>
      <c r="Q533">
        <f>B533*(1-Assumptions!$B$64)</f>
        <v/>
      </c>
      <c r="R533">
        <f>MIN(P533,Q533)</f>
        <v/>
      </c>
      <c r="S533">
        <f>$B$514/I533</f>
        <v/>
      </c>
      <c r="T533">
        <f>Assumptions!$B$59/O533</f>
        <v/>
      </c>
      <c r="U533">
        <f>Assumptions!$B$62/R533</f>
        <v/>
      </c>
    </row>
    <row r="534">
      <c r="A534" t="n">
        <v>17</v>
      </c>
      <c r="B534">
        <f>S533</f>
        <v/>
      </c>
      <c r="C534">
        <f>T533</f>
        <v/>
      </c>
      <c r="D534">
        <f>U533</f>
        <v/>
      </c>
      <c r="E534">
        <f>MAX(0,Assumptions!$B$34/IF(B534&lt;Assumptions!$B$25,Assumptions!$B$25*(Assumptions!$B$50+Assumptions!$B$5/Assumptions!$B$25)/(Assumptions!$B$50+Assumptions!$B$5/B534),Assumptions!$B$25)-Assumptions!$B$42)+MAX(0,Assumptions!$B$35/IF(B534&lt;Assumptions!$B$26,Assumptions!$B$26*(Assumptions!$B$50+Assumptions!$B$5/Assumptions!$B$26)/(Assumptions!$B$50+Assumptions!$B$5/B534),Assumptions!$B$26)-Assumptions!$B$43)</f>
        <v/>
      </c>
      <c r="F534">
        <f>Assumptions!$B$5/B534</f>
        <v/>
      </c>
      <c r="G534">
        <f>$B$513*(((Assumptions!$B$50-Assumptions!$B$51+E534+C534+D534)+F534)/(1-$B$513))-Assumptions!$B$51</f>
        <v/>
      </c>
      <c r="H534">
        <f>MAX(0,G534)</f>
        <v/>
      </c>
      <c r="I534">
        <f>Assumptions!$B$50+E534+H534+C534+D534</f>
        <v/>
      </c>
      <c r="J534">
        <f>I534+F534</f>
        <v/>
      </c>
      <c r="K534">
        <f>Assumptions!$B$50+E534+H534+D534</f>
        <v/>
      </c>
      <c r="L534">
        <f>Assumptions!$B$50+E534+H534+C534</f>
        <v/>
      </c>
      <c r="M534">
        <f>Assumptions!$B$60/K534</f>
        <v/>
      </c>
      <c r="N534">
        <f>B534*(1-Assumptions!$B$61)</f>
        <v/>
      </c>
      <c r="O534">
        <f>MIN(M534,N534)</f>
        <v/>
      </c>
      <c r="P534">
        <f>Assumptions!$B$63/L534</f>
        <v/>
      </c>
      <c r="Q534">
        <f>B534*(1-Assumptions!$B$64)</f>
        <v/>
      </c>
      <c r="R534">
        <f>MIN(P534,Q534)</f>
        <v/>
      </c>
      <c r="S534">
        <f>$B$514/I534</f>
        <v/>
      </c>
      <c r="T534">
        <f>Assumptions!$B$59/O534</f>
        <v/>
      </c>
      <c r="U534">
        <f>Assumptions!$B$62/R534</f>
        <v/>
      </c>
    </row>
    <row r="535">
      <c r="A535" t="n">
        <v>18</v>
      </c>
      <c r="B535">
        <f>S534</f>
        <v/>
      </c>
      <c r="C535">
        <f>T534</f>
        <v/>
      </c>
      <c r="D535">
        <f>U534</f>
        <v/>
      </c>
      <c r="E535">
        <f>MAX(0,Assumptions!$B$34/IF(B535&lt;Assumptions!$B$25,Assumptions!$B$25*(Assumptions!$B$50+Assumptions!$B$5/Assumptions!$B$25)/(Assumptions!$B$50+Assumptions!$B$5/B535),Assumptions!$B$25)-Assumptions!$B$42)+MAX(0,Assumptions!$B$35/IF(B535&lt;Assumptions!$B$26,Assumptions!$B$26*(Assumptions!$B$50+Assumptions!$B$5/Assumptions!$B$26)/(Assumptions!$B$50+Assumptions!$B$5/B535),Assumptions!$B$26)-Assumptions!$B$43)</f>
        <v/>
      </c>
      <c r="F535">
        <f>Assumptions!$B$5/B535</f>
        <v/>
      </c>
      <c r="G535">
        <f>$B$513*(((Assumptions!$B$50-Assumptions!$B$51+E535+C535+D535)+F535)/(1-$B$513))-Assumptions!$B$51</f>
        <v/>
      </c>
      <c r="H535">
        <f>MAX(0,G535)</f>
        <v/>
      </c>
      <c r="I535">
        <f>Assumptions!$B$50+E535+H535+C535+D535</f>
        <v/>
      </c>
      <c r="J535">
        <f>I535+F535</f>
        <v/>
      </c>
      <c r="K535">
        <f>Assumptions!$B$50+E535+H535+D535</f>
        <v/>
      </c>
      <c r="L535">
        <f>Assumptions!$B$50+E535+H535+C535</f>
        <v/>
      </c>
      <c r="M535">
        <f>Assumptions!$B$60/K535</f>
        <v/>
      </c>
      <c r="N535">
        <f>B535*(1-Assumptions!$B$61)</f>
        <v/>
      </c>
      <c r="O535">
        <f>MIN(M535,N535)</f>
        <v/>
      </c>
      <c r="P535">
        <f>Assumptions!$B$63/L535</f>
        <v/>
      </c>
      <c r="Q535">
        <f>B535*(1-Assumptions!$B$64)</f>
        <v/>
      </c>
      <c r="R535">
        <f>MIN(P535,Q535)</f>
        <v/>
      </c>
      <c r="S535">
        <f>$B$514/I535</f>
        <v/>
      </c>
      <c r="T535">
        <f>Assumptions!$B$59/O535</f>
        <v/>
      </c>
      <c r="U535">
        <f>Assumptions!$B$62/R535</f>
        <v/>
      </c>
    </row>
    <row r="536">
      <c r="A536" t="n">
        <v>19</v>
      </c>
      <c r="B536">
        <f>S535</f>
        <v/>
      </c>
      <c r="C536">
        <f>T535</f>
        <v/>
      </c>
      <c r="D536">
        <f>U535</f>
        <v/>
      </c>
      <c r="E536">
        <f>MAX(0,Assumptions!$B$34/IF(B536&lt;Assumptions!$B$25,Assumptions!$B$25*(Assumptions!$B$50+Assumptions!$B$5/Assumptions!$B$25)/(Assumptions!$B$50+Assumptions!$B$5/B536),Assumptions!$B$25)-Assumptions!$B$42)+MAX(0,Assumptions!$B$35/IF(B536&lt;Assumptions!$B$26,Assumptions!$B$26*(Assumptions!$B$50+Assumptions!$B$5/Assumptions!$B$26)/(Assumptions!$B$50+Assumptions!$B$5/B536),Assumptions!$B$26)-Assumptions!$B$43)</f>
        <v/>
      </c>
      <c r="F536">
        <f>Assumptions!$B$5/B536</f>
        <v/>
      </c>
      <c r="G536">
        <f>$B$513*(((Assumptions!$B$50-Assumptions!$B$51+E536+C536+D536)+F536)/(1-$B$513))-Assumptions!$B$51</f>
        <v/>
      </c>
      <c r="H536">
        <f>MAX(0,G536)</f>
        <v/>
      </c>
      <c r="I536">
        <f>Assumptions!$B$50+E536+H536+C536+D536</f>
        <v/>
      </c>
      <c r="J536">
        <f>I536+F536</f>
        <v/>
      </c>
      <c r="K536">
        <f>Assumptions!$B$50+E536+H536+D536</f>
        <v/>
      </c>
      <c r="L536">
        <f>Assumptions!$B$50+E536+H536+C536</f>
        <v/>
      </c>
      <c r="M536">
        <f>Assumptions!$B$60/K536</f>
        <v/>
      </c>
      <c r="N536">
        <f>B536*(1-Assumptions!$B$61)</f>
        <v/>
      </c>
      <c r="O536">
        <f>MIN(M536,N536)</f>
        <v/>
      </c>
      <c r="P536">
        <f>Assumptions!$B$63/L536</f>
        <v/>
      </c>
      <c r="Q536">
        <f>B536*(1-Assumptions!$B$64)</f>
        <v/>
      </c>
      <c r="R536">
        <f>MIN(P536,Q536)</f>
        <v/>
      </c>
      <c r="S536">
        <f>$B$514/I536</f>
        <v/>
      </c>
      <c r="T536">
        <f>Assumptions!$B$59/O536</f>
        <v/>
      </c>
      <c r="U536">
        <f>Assumptions!$B$62/R536</f>
        <v/>
      </c>
    </row>
    <row r="537">
      <c r="A537" t="n">
        <v>20</v>
      </c>
      <c r="B537">
        <f>S536</f>
        <v/>
      </c>
      <c r="C537">
        <f>T536</f>
        <v/>
      </c>
      <c r="D537">
        <f>U536</f>
        <v/>
      </c>
      <c r="E537">
        <f>MAX(0,Assumptions!$B$34/IF(B537&lt;Assumptions!$B$25,Assumptions!$B$25*(Assumptions!$B$50+Assumptions!$B$5/Assumptions!$B$25)/(Assumptions!$B$50+Assumptions!$B$5/B537),Assumptions!$B$25)-Assumptions!$B$42)+MAX(0,Assumptions!$B$35/IF(B537&lt;Assumptions!$B$26,Assumptions!$B$26*(Assumptions!$B$50+Assumptions!$B$5/Assumptions!$B$26)/(Assumptions!$B$50+Assumptions!$B$5/B537),Assumptions!$B$26)-Assumptions!$B$43)</f>
        <v/>
      </c>
      <c r="F537">
        <f>Assumptions!$B$5/B537</f>
        <v/>
      </c>
      <c r="G537">
        <f>$B$513*(((Assumptions!$B$50-Assumptions!$B$51+E537+C537+D537)+F537)/(1-$B$513))-Assumptions!$B$51</f>
        <v/>
      </c>
      <c r="H537">
        <f>MAX(0,G537)</f>
        <v/>
      </c>
      <c r="I537">
        <f>Assumptions!$B$50+E537+H537+C537+D537</f>
        <v/>
      </c>
      <c r="J537">
        <f>I537+F537</f>
        <v/>
      </c>
      <c r="K537">
        <f>Assumptions!$B$50+E537+H537+D537</f>
        <v/>
      </c>
      <c r="L537">
        <f>Assumptions!$B$50+E537+H537+C537</f>
        <v/>
      </c>
      <c r="M537">
        <f>Assumptions!$B$60/K537</f>
        <v/>
      </c>
      <c r="N537">
        <f>B537*(1-Assumptions!$B$61)</f>
        <v/>
      </c>
      <c r="O537">
        <f>MIN(M537,N537)</f>
        <v/>
      </c>
      <c r="P537">
        <f>Assumptions!$B$63/L537</f>
        <v/>
      </c>
      <c r="Q537">
        <f>B537*(1-Assumptions!$B$64)</f>
        <v/>
      </c>
      <c r="R537">
        <f>MIN(P537,Q537)</f>
        <v/>
      </c>
      <c r="S537">
        <f>$B$514/I537</f>
        <v/>
      </c>
      <c r="T537">
        <f>Assumptions!$B$59/O537</f>
        <v/>
      </c>
      <c r="U537">
        <f>Assumptions!$B$62/R537</f>
        <v/>
      </c>
    </row>
    <row r="538">
      <c r="A538" t="n">
        <v>21</v>
      </c>
      <c r="B538">
        <f>S537</f>
        <v/>
      </c>
      <c r="C538">
        <f>T537</f>
        <v/>
      </c>
      <c r="D538">
        <f>U537</f>
        <v/>
      </c>
      <c r="E538">
        <f>MAX(0,Assumptions!$B$34/IF(B538&lt;Assumptions!$B$25,Assumptions!$B$25*(Assumptions!$B$50+Assumptions!$B$5/Assumptions!$B$25)/(Assumptions!$B$50+Assumptions!$B$5/B538),Assumptions!$B$25)-Assumptions!$B$42)+MAX(0,Assumptions!$B$35/IF(B538&lt;Assumptions!$B$26,Assumptions!$B$26*(Assumptions!$B$50+Assumptions!$B$5/Assumptions!$B$26)/(Assumptions!$B$50+Assumptions!$B$5/B538),Assumptions!$B$26)-Assumptions!$B$43)</f>
        <v/>
      </c>
      <c r="F538">
        <f>Assumptions!$B$5/B538</f>
        <v/>
      </c>
      <c r="G538">
        <f>$B$513*(((Assumptions!$B$50-Assumptions!$B$51+E538+C538+D538)+F538)/(1-$B$513))-Assumptions!$B$51</f>
        <v/>
      </c>
      <c r="H538">
        <f>MAX(0,G538)</f>
        <v/>
      </c>
      <c r="I538">
        <f>Assumptions!$B$50+E538+H538+C538+D538</f>
        <v/>
      </c>
      <c r="J538">
        <f>I538+F538</f>
        <v/>
      </c>
      <c r="K538">
        <f>Assumptions!$B$50+E538+H538+D538</f>
        <v/>
      </c>
      <c r="L538">
        <f>Assumptions!$B$50+E538+H538+C538</f>
        <v/>
      </c>
      <c r="M538">
        <f>Assumptions!$B$60/K538</f>
        <v/>
      </c>
      <c r="N538">
        <f>B538*(1-Assumptions!$B$61)</f>
        <v/>
      </c>
      <c r="O538">
        <f>MIN(M538,N538)</f>
        <v/>
      </c>
      <c r="P538">
        <f>Assumptions!$B$63/L538</f>
        <v/>
      </c>
      <c r="Q538">
        <f>B538*(1-Assumptions!$B$64)</f>
        <v/>
      </c>
      <c r="R538">
        <f>MIN(P538,Q538)</f>
        <v/>
      </c>
      <c r="S538">
        <f>$B$514/I538</f>
        <v/>
      </c>
      <c r="T538">
        <f>Assumptions!$B$59/O538</f>
        <v/>
      </c>
      <c r="U538">
        <f>Assumptions!$B$62/R538</f>
        <v/>
      </c>
    </row>
    <row r="539">
      <c r="A539" t="n">
        <v>22</v>
      </c>
      <c r="B539">
        <f>S538</f>
        <v/>
      </c>
      <c r="C539">
        <f>T538</f>
        <v/>
      </c>
      <c r="D539">
        <f>U538</f>
        <v/>
      </c>
      <c r="E539">
        <f>MAX(0,Assumptions!$B$34/IF(B539&lt;Assumptions!$B$25,Assumptions!$B$25*(Assumptions!$B$50+Assumptions!$B$5/Assumptions!$B$25)/(Assumptions!$B$50+Assumptions!$B$5/B539),Assumptions!$B$25)-Assumptions!$B$42)+MAX(0,Assumptions!$B$35/IF(B539&lt;Assumptions!$B$26,Assumptions!$B$26*(Assumptions!$B$50+Assumptions!$B$5/Assumptions!$B$26)/(Assumptions!$B$50+Assumptions!$B$5/B539),Assumptions!$B$26)-Assumptions!$B$43)</f>
        <v/>
      </c>
      <c r="F539">
        <f>Assumptions!$B$5/B539</f>
        <v/>
      </c>
      <c r="G539">
        <f>$B$513*(((Assumptions!$B$50-Assumptions!$B$51+E539+C539+D539)+F539)/(1-$B$513))-Assumptions!$B$51</f>
        <v/>
      </c>
      <c r="H539">
        <f>MAX(0,G539)</f>
        <v/>
      </c>
      <c r="I539">
        <f>Assumptions!$B$50+E539+H539+C539+D539</f>
        <v/>
      </c>
      <c r="J539">
        <f>I539+F539</f>
        <v/>
      </c>
      <c r="K539">
        <f>Assumptions!$B$50+E539+H539+D539</f>
        <v/>
      </c>
      <c r="L539">
        <f>Assumptions!$B$50+E539+H539+C539</f>
        <v/>
      </c>
      <c r="M539">
        <f>Assumptions!$B$60/K539</f>
        <v/>
      </c>
      <c r="N539">
        <f>B539*(1-Assumptions!$B$61)</f>
        <v/>
      </c>
      <c r="O539">
        <f>MIN(M539,N539)</f>
        <v/>
      </c>
      <c r="P539">
        <f>Assumptions!$B$63/L539</f>
        <v/>
      </c>
      <c r="Q539">
        <f>B539*(1-Assumptions!$B$64)</f>
        <v/>
      </c>
      <c r="R539">
        <f>MIN(P539,Q539)</f>
        <v/>
      </c>
      <c r="S539">
        <f>$B$514/I539</f>
        <v/>
      </c>
      <c r="T539">
        <f>Assumptions!$B$59/O539</f>
        <v/>
      </c>
      <c r="U539">
        <f>Assumptions!$B$62/R539</f>
        <v/>
      </c>
    </row>
    <row r="540">
      <c r="A540" t="n">
        <v>23</v>
      </c>
      <c r="B540">
        <f>S539</f>
        <v/>
      </c>
      <c r="C540">
        <f>T539</f>
        <v/>
      </c>
      <c r="D540">
        <f>U539</f>
        <v/>
      </c>
      <c r="E540">
        <f>MAX(0,Assumptions!$B$34/IF(B540&lt;Assumptions!$B$25,Assumptions!$B$25*(Assumptions!$B$50+Assumptions!$B$5/Assumptions!$B$25)/(Assumptions!$B$50+Assumptions!$B$5/B540),Assumptions!$B$25)-Assumptions!$B$42)+MAX(0,Assumptions!$B$35/IF(B540&lt;Assumptions!$B$26,Assumptions!$B$26*(Assumptions!$B$50+Assumptions!$B$5/Assumptions!$B$26)/(Assumptions!$B$50+Assumptions!$B$5/B540),Assumptions!$B$26)-Assumptions!$B$43)</f>
        <v/>
      </c>
      <c r="F540">
        <f>Assumptions!$B$5/B540</f>
        <v/>
      </c>
      <c r="G540">
        <f>$B$513*(((Assumptions!$B$50-Assumptions!$B$51+E540+C540+D540)+F540)/(1-$B$513))-Assumptions!$B$51</f>
        <v/>
      </c>
      <c r="H540">
        <f>MAX(0,G540)</f>
        <v/>
      </c>
      <c r="I540">
        <f>Assumptions!$B$50+E540+H540+C540+D540</f>
        <v/>
      </c>
      <c r="J540">
        <f>I540+F540</f>
        <v/>
      </c>
      <c r="K540">
        <f>Assumptions!$B$50+E540+H540+D540</f>
        <v/>
      </c>
      <c r="L540">
        <f>Assumptions!$B$50+E540+H540+C540</f>
        <v/>
      </c>
      <c r="M540">
        <f>Assumptions!$B$60/K540</f>
        <v/>
      </c>
      <c r="N540">
        <f>B540*(1-Assumptions!$B$61)</f>
        <v/>
      </c>
      <c r="O540">
        <f>MIN(M540,N540)</f>
        <v/>
      </c>
      <c r="P540">
        <f>Assumptions!$B$63/L540</f>
        <v/>
      </c>
      <c r="Q540">
        <f>B540*(1-Assumptions!$B$64)</f>
        <v/>
      </c>
      <c r="R540">
        <f>MIN(P540,Q540)</f>
        <v/>
      </c>
      <c r="S540">
        <f>$B$514/I540</f>
        <v/>
      </c>
      <c r="T540">
        <f>Assumptions!$B$59/O540</f>
        <v/>
      </c>
      <c r="U540">
        <f>Assumptions!$B$62/R540</f>
        <v/>
      </c>
    </row>
    <row r="541">
      <c r="A541" t="n">
        <v>24</v>
      </c>
      <c r="B541">
        <f>S540</f>
        <v/>
      </c>
      <c r="C541">
        <f>T540</f>
        <v/>
      </c>
      <c r="D541">
        <f>U540</f>
        <v/>
      </c>
      <c r="E541">
        <f>MAX(0,Assumptions!$B$34/IF(B541&lt;Assumptions!$B$25,Assumptions!$B$25*(Assumptions!$B$50+Assumptions!$B$5/Assumptions!$B$25)/(Assumptions!$B$50+Assumptions!$B$5/B541),Assumptions!$B$25)-Assumptions!$B$42)+MAX(0,Assumptions!$B$35/IF(B541&lt;Assumptions!$B$26,Assumptions!$B$26*(Assumptions!$B$50+Assumptions!$B$5/Assumptions!$B$26)/(Assumptions!$B$50+Assumptions!$B$5/B541),Assumptions!$B$26)-Assumptions!$B$43)</f>
        <v/>
      </c>
      <c r="F541">
        <f>Assumptions!$B$5/B541</f>
        <v/>
      </c>
      <c r="G541">
        <f>$B$513*(((Assumptions!$B$50-Assumptions!$B$51+E541+C541+D541)+F541)/(1-$B$513))-Assumptions!$B$51</f>
        <v/>
      </c>
      <c r="H541">
        <f>MAX(0,G541)</f>
        <v/>
      </c>
      <c r="I541">
        <f>Assumptions!$B$50+E541+H541+C541+D541</f>
        <v/>
      </c>
      <c r="J541">
        <f>I541+F541</f>
        <v/>
      </c>
      <c r="K541">
        <f>Assumptions!$B$50+E541+H541+D541</f>
        <v/>
      </c>
      <c r="L541">
        <f>Assumptions!$B$50+E541+H541+C541</f>
        <v/>
      </c>
      <c r="M541">
        <f>Assumptions!$B$60/K541</f>
        <v/>
      </c>
      <c r="N541">
        <f>B541*(1-Assumptions!$B$61)</f>
        <v/>
      </c>
      <c r="O541">
        <f>MIN(M541,N541)</f>
        <v/>
      </c>
      <c r="P541">
        <f>Assumptions!$B$63/L541</f>
        <v/>
      </c>
      <c r="Q541">
        <f>B541*(1-Assumptions!$B$64)</f>
        <v/>
      </c>
      <c r="R541">
        <f>MIN(P541,Q541)</f>
        <v/>
      </c>
      <c r="S541">
        <f>$B$514/I541</f>
        <v/>
      </c>
      <c r="T541">
        <f>Assumptions!$B$59/O541</f>
        <v/>
      </c>
      <c r="U541">
        <f>Assumptions!$B$62/R541</f>
        <v/>
      </c>
    </row>
    <row r="542">
      <c r="A542" t="n">
        <v>25</v>
      </c>
      <c r="B542">
        <f>S541</f>
        <v/>
      </c>
      <c r="C542">
        <f>T541</f>
        <v/>
      </c>
      <c r="D542">
        <f>U541</f>
        <v/>
      </c>
      <c r="E542">
        <f>MAX(0,Assumptions!$B$34/IF(B542&lt;Assumptions!$B$25,Assumptions!$B$25*(Assumptions!$B$50+Assumptions!$B$5/Assumptions!$B$25)/(Assumptions!$B$50+Assumptions!$B$5/B542),Assumptions!$B$25)-Assumptions!$B$42)+MAX(0,Assumptions!$B$35/IF(B542&lt;Assumptions!$B$26,Assumptions!$B$26*(Assumptions!$B$50+Assumptions!$B$5/Assumptions!$B$26)/(Assumptions!$B$50+Assumptions!$B$5/B542),Assumptions!$B$26)-Assumptions!$B$43)</f>
        <v/>
      </c>
      <c r="F542">
        <f>Assumptions!$B$5/B542</f>
        <v/>
      </c>
      <c r="G542">
        <f>$B$513*(((Assumptions!$B$50-Assumptions!$B$51+E542+C542+D542)+F542)/(1-$B$513))-Assumptions!$B$51</f>
        <v/>
      </c>
      <c r="H542">
        <f>MAX(0,G542)</f>
        <v/>
      </c>
      <c r="I542">
        <f>Assumptions!$B$50+E542+H542+C542+D542</f>
        <v/>
      </c>
      <c r="J542">
        <f>I542+F542</f>
        <v/>
      </c>
      <c r="K542">
        <f>Assumptions!$B$50+E542+H542+D542</f>
        <v/>
      </c>
      <c r="L542">
        <f>Assumptions!$B$50+E542+H542+C542</f>
        <v/>
      </c>
      <c r="M542">
        <f>Assumptions!$B$60/K542</f>
        <v/>
      </c>
      <c r="N542">
        <f>B542*(1-Assumptions!$B$61)</f>
        <v/>
      </c>
      <c r="O542">
        <f>MIN(M542,N542)</f>
        <v/>
      </c>
      <c r="P542">
        <f>Assumptions!$B$63/L542</f>
        <v/>
      </c>
      <c r="Q542">
        <f>B542*(1-Assumptions!$B$64)</f>
        <v/>
      </c>
      <c r="R542">
        <f>MIN(P542,Q542)</f>
        <v/>
      </c>
      <c r="S542">
        <f>$B$514/I542</f>
        <v/>
      </c>
      <c r="T542">
        <f>Assumptions!$B$59/O542</f>
        <v/>
      </c>
      <c r="U542">
        <f>Assumptions!$B$62/R542</f>
        <v/>
      </c>
    </row>
    <row r="543">
      <c r="A543" t="n">
        <v>26</v>
      </c>
      <c r="B543">
        <f>S542</f>
        <v/>
      </c>
      <c r="C543">
        <f>T542</f>
        <v/>
      </c>
      <c r="D543">
        <f>U542</f>
        <v/>
      </c>
      <c r="E543">
        <f>MAX(0,Assumptions!$B$34/IF(B543&lt;Assumptions!$B$25,Assumptions!$B$25*(Assumptions!$B$50+Assumptions!$B$5/Assumptions!$B$25)/(Assumptions!$B$50+Assumptions!$B$5/B543),Assumptions!$B$25)-Assumptions!$B$42)+MAX(0,Assumptions!$B$35/IF(B543&lt;Assumptions!$B$26,Assumptions!$B$26*(Assumptions!$B$50+Assumptions!$B$5/Assumptions!$B$26)/(Assumptions!$B$50+Assumptions!$B$5/B543),Assumptions!$B$26)-Assumptions!$B$43)</f>
        <v/>
      </c>
      <c r="F543">
        <f>Assumptions!$B$5/B543</f>
        <v/>
      </c>
      <c r="G543">
        <f>$B$513*(((Assumptions!$B$50-Assumptions!$B$51+E543+C543+D543)+F543)/(1-$B$513))-Assumptions!$B$51</f>
        <v/>
      </c>
      <c r="H543">
        <f>MAX(0,G543)</f>
        <v/>
      </c>
      <c r="I543">
        <f>Assumptions!$B$50+E543+H543+C543+D543</f>
        <v/>
      </c>
      <c r="J543">
        <f>I543+F543</f>
        <v/>
      </c>
      <c r="K543">
        <f>Assumptions!$B$50+E543+H543+D543</f>
        <v/>
      </c>
      <c r="L543">
        <f>Assumptions!$B$50+E543+H543+C543</f>
        <v/>
      </c>
      <c r="M543">
        <f>Assumptions!$B$60/K543</f>
        <v/>
      </c>
      <c r="N543">
        <f>B543*(1-Assumptions!$B$61)</f>
        <v/>
      </c>
      <c r="O543">
        <f>MIN(M543,N543)</f>
        <v/>
      </c>
      <c r="P543">
        <f>Assumptions!$B$63/L543</f>
        <v/>
      </c>
      <c r="Q543">
        <f>B543*(1-Assumptions!$B$64)</f>
        <v/>
      </c>
      <c r="R543">
        <f>MIN(P543,Q543)</f>
        <v/>
      </c>
      <c r="S543">
        <f>$B$514/I543</f>
        <v/>
      </c>
      <c r="T543">
        <f>Assumptions!$B$59/O543</f>
        <v/>
      </c>
      <c r="U543">
        <f>Assumptions!$B$62/R543</f>
        <v/>
      </c>
    </row>
    <row r="544">
      <c r="A544" t="n">
        <v>27</v>
      </c>
      <c r="B544">
        <f>S543</f>
        <v/>
      </c>
      <c r="C544">
        <f>T543</f>
        <v/>
      </c>
      <c r="D544">
        <f>U543</f>
        <v/>
      </c>
      <c r="E544">
        <f>MAX(0,Assumptions!$B$34/IF(B544&lt;Assumptions!$B$25,Assumptions!$B$25*(Assumptions!$B$50+Assumptions!$B$5/Assumptions!$B$25)/(Assumptions!$B$50+Assumptions!$B$5/B544),Assumptions!$B$25)-Assumptions!$B$42)+MAX(0,Assumptions!$B$35/IF(B544&lt;Assumptions!$B$26,Assumptions!$B$26*(Assumptions!$B$50+Assumptions!$B$5/Assumptions!$B$26)/(Assumptions!$B$50+Assumptions!$B$5/B544),Assumptions!$B$26)-Assumptions!$B$43)</f>
        <v/>
      </c>
      <c r="F544">
        <f>Assumptions!$B$5/B544</f>
        <v/>
      </c>
      <c r="G544">
        <f>$B$513*(((Assumptions!$B$50-Assumptions!$B$51+E544+C544+D544)+F544)/(1-$B$513))-Assumptions!$B$51</f>
        <v/>
      </c>
      <c r="H544">
        <f>MAX(0,G544)</f>
        <v/>
      </c>
      <c r="I544">
        <f>Assumptions!$B$50+E544+H544+C544+D544</f>
        <v/>
      </c>
      <c r="J544">
        <f>I544+F544</f>
        <v/>
      </c>
      <c r="K544">
        <f>Assumptions!$B$50+E544+H544+D544</f>
        <v/>
      </c>
      <c r="L544">
        <f>Assumptions!$B$50+E544+H544+C544</f>
        <v/>
      </c>
      <c r="M544">
        <f>Assumptions!$B$60/K544</f>
        <v/>
      </c>
      <c r="N544">
        <f>B544*(1-Assumptions!$B$61)</f>
        <v/>
      </c>
      <c r="O544">
        <f>MIN(M544,N544)</f>
        <v/>
      </c>
      <c r="P544">
        <f>Assumptions!$B$63/L544</f>
        <v/>
      </c>
      <c r="Q544">
        <f>B544*(1-Assumptions!$B$64)</f>
        <v/>
      </c>
      <c r="R544">
        <f>MIN(P544,Q544)</f>
        <v/>
      </c>
      <c r="S544">
        <f>$B$514/I544</f>
        <v/>
      </c>
      <c r="T544">
        <f>Assumptions!$B$59/O544</f>
        <v/>
      </c>
      <c r="U544">
        <f>Assumptions!$B$62/R544</f>
        <v/>
      </c>
    </row>
    <row r="545">
      <c r="A545" t="n">
        <v>28</v>
      </c>
      <c r="B545">
        <f>S544</f>
        <v/>
      </c>
      <c r="C545">
        <f>T544</f>
        <v/>
      </c>
      <c r="D545">
        <f>U544</f>
        <v/>
      </c>
      <c r="E545">
        <f>MAX(0,Assumptions!$B$34/IF(B545&lt;Assumptions!$B$25,Assumptions!$B$25*(Assumptions!$B$50+Assumptions!$B$5/Assumptions!$B$25)/(Assumptions!$B$50+Assumptions!$B$5/B545),Assumptions!$B$25)-Assumptions!$B$42)+MAX(0,Assumptions!$B$35/IF(B545&lt;Assumptions!$B$26,Assumptions!$B$26*(Assumptions!$B$50+Assumptions!$B$5/Assumptions!$B$26)/(Assumptions!$B$50+Assumptions!$B$5/B545),Assumptions!$B$26)-Assumptions!$B$43)</f>
        <v/>
      </c>
      <c r="F545">
        <f>Assumptions!$B$5/B545</f>
        <v/>
      </c>
      <c r="G545">
        <f>$B$513*(((Assumptions!$B$50-Assumptions!$B$51+E545+C545+D545)+F545)/(1-$B$513))-Assumptions!$B$51</f>
        <v/>
      </c>
      <c r="H545">
        <f>MAX(0,G545)</f>
        <v/>
      </c>
      <c r="I545">
        <f>Assumptions!$B$50+E545+H545+C545+D545</f>
        <v/>
      </c>
      <c r="J545">
        <f>I545+F545</f>
        <v/>
      </c>
      <c r="K545">
        <f>Assumptions!$B$50+E545+H545+D545</f>
        <v/>
      </c>
      <c r="L545">
        <f>Assumptions!$B$50+E545+H545+C545</f>
        <v/>
      </c>
      <c r="M545">
        <f>Assumptions!$B$60/K545</f>
        <v/>
      </c>
      <c r="N545">
        <f>B545*(1-Assumptions!$B$61)</f>
        <v/>
      </c>
      <c r="O545">
        <f>MIN(M545,N545)</f>
        <v/>
      </c>
      <c r="P545">
        <f>Assumptions!$B$63/L545</f>
        <v/>
      </c>
      <c r="Q545">
        <f>B545*(1-Assumptions!$B$64)</f>
        <v/>
      </c>
      <c r="R545">
        <f>MIN(P545,Q545)</f>
        <v/>
      </c>
      <c r="S545">
        <f>$B$514/I545</f>
        <v/>
      </c>
      <c r="T545">
        <f>Assumptions!$B$59/O545</f>
        <v/>
      </c>
      <c r="U545">
        <f>Assumptions!$B$62/R545</f>
        <v/>
      </c>
    </row>
    <row r="546">
      <c r="A546" t="n">
        <v>29</v>
      </c>
      <c r="B546">
        <f>S545</f>
        <v/>
      </c>
      <c r="C546">
        <f>T545</f>
        <v/>
      </c>
      <c r="D546">
        <f>U545</f>
        <v/>
      </c>
      <c r="E546">
        <f>MAX(0,Assumptions!$B$34/IF(B546&lt;Assumptions!$B$25,Assumptions!$B$25*(Assumptions!$B$50+Assumptions!$B$5/Assumptions!$B$25)/(Assumptions!$B$50+Assumptions!$B$5/B546),Assumptions!$B$25)-Assumptions!$B$42)+MAX(0,Assumptions!$B$35/IF(B546&lt;Assumptions!$B$26,Assumptions!$B$26*(Assumptions!$B$50+Assumptions!$B$5/Assumptions!$B$26)/(Assumptions!$B$50+Assumptions!$B$5/B546),Assumptions!$B$26)-Assumptions!$B$43)</f>
        <v/>
      </c>
      <c r="F546">
        <f>Assumptions!$B$5/B546</f>
        <v/>
      </c>
      <c r="G546">
        <f>$B$513*(((Assumptions!$B$50-Assumptions!$B$51+E546+C546+D546)+F546)/(1-$B$513))-Assumptions!$B$51</f>
        <v/>
      </c>
      <c r="H546">
        <f>MAX(0,G546)</f>
        <v/>
      </c>
      <c r="I546">
        <f>Assumptions!$B$50+E546+H546+C546+D546</f>
        <v/>
      </c>
      <c r="J546">
        <f>I546+F546</f>
        <v/>
      </c>
      <c r="K546">
        <f>Assumptions!$B$50+E546+H546+D546</f>
        <v/>
      </c>
      <c r="L546">
        <f>Assumptions!$B$50+E546+H546+C546</f>
        <v/>
      </c>
      <c r="M546">
        <f>Assumptions!$B$60/K546</f>
        <v/>
      </c>
      <c r="N546">
        <f>B546*(1-Assumptions!$B$61)</f>
        <v/>
      </c>
      <c r="O546">
        <f>MIN(M546,N546)</f>
        <v/>
      </c>
      <c r="P546">
        <f>Assumptions!$B$63/L546</f>
        <v/>
      </c>
      <c r="Q546">
        <f>B546*(1-Assumptions!$B$64)</f>
        <v/>
      </c>
      <c r="R546">
        <f>MIN(P546,Q546)</f>
        <v/>
      </c>
      <c r="S546">
        <f>$B$514/I546</f>
        <v/>
      </c>
      <c r="T546">
        <f>Assumptions!$B$59/O546</f>
        <v/>
      </c>
      <c r="U546">
        <f>Assumptions!$B$62/R546</f>
        <v/>
      </c>
    </row>
    <row r="547">
      <c r="A547" t="n">
        <v>30</v>
      </c>
      <c r="B547">
        <f>S546</f>
        <v/>
      </c>
      <c r="C547">
        <f>T546</f>
        <v/>
      </c>
      <c r="D547">
        <f>U546</f>
        <v/>
      </c>
      <c r="E547">
        <f>MAX(0,Assumptions!$B$34/IF(B547&lt;Assumptions!$B$25,Assumptions!$B$25*(Assumptions!$B$50+Assumptions!$B$5/Assumptions!$B$25)/(Assumptions!$B$50+Assumptions!$B$5/B547),Assumptions!$B$25)-Assumptions!$B$42)+MAX(0,Assumptions!$B$35/IF(B547&lt;Assumptions!$B$26,Assumptions!$B$26*(Assumptions!$B$50+Assumptions!$B$5/Assumptions!$B$26)/(Assumptions!$B$50+Assumptions!$B$5/B547),Assumptions!$B$26)-Assumptions!$B$43)</f>
        <v/>
      </c>
      <c r="F547">
        <f>Assumptions!$B$5/B547</f>
        <v/>
      </c>
      <c r="G547">
        <f>$B$513*(((Assumptions!$B$50-Assumptions!$B$51+E547+C547+D547)+F547)/(1-$B$513))-Assumptions!$B$51</f>
        <v/>
      </c>
      <c r="H547">
        <f>MAX(0,G547)</f>
        <v/>
      </c>
      <c r="I547">
        <f>Assumptions!$B$50+E547+H547+C547+D547</f>
        <v/>
      </c>
      <c r="J547">
        <f>I547+F547</f>
        <v/>
      </c>
      <c r="K547">
        <f>Assumptions!$B$50+E547+H547+D547</f>
        <v/>
      </c>
      <c r="L547">
        <f>Assumptions!$B$50+E547+H547+C547</f>
        <v/>
      </c>
      <c r="M547">
        <f>Assumptions!$B$60/K547</f>
        <v/>
      </c>
      <c r="N547">
        <f>B547*(1-Assumptions!$B$61)</f>
        <v/>
      </c>
      <c r="O547">
        <f>MIN(M547,N547)</f>
        <v/>
      </c>
      <c r="P547">
        <f>Assumptions!$B$63/L547</f>
        <v/>
      </c>
      <c r="Q547">
        <f>B547*(1-Assumptions!$B$64)</f>
        <v/>
      </c>
      <c r="R547">
        <f>MIN(P547,Q547)</f>
        <v/>
      </c>
      <c r="S547">
        <f>$B$514/I547</f>
        <v/>
      </c>
      <c r="T547">
        <f>Assumptions!$B$59/O547</f>
        <v/>
      </c>
      <c r="U547">
        <f>Assumptions!$B$62/R547</f>
        <v/>
      </c>
    </row>
    <row r="549">
      <c r="A549" s="2" t="inlineStr">
        <is>
          <t>Solved F_PPS</t>
        </is>
      </c>
      <c r="B549">
        <f>B547</f>
        <v/>
      </c>
    </row>
    <row r="550">
      <c r="A550" t="inlineStr">
        <is>
          <t>Solved pmFD</t>
        </is>
      </c>
      <c r="B550">
        <f>I547</f>
        <v/>
      </c>
    </row>
    <row r="551">
      <c r="A551" t="inlineStr">
        <is>
          <t>Solved T_F</t>
        </is>
      </c>
      <c r="B551">
        <f>J547</f>
        <v/>
      </c>
    </row>
    <row r="552">
      <c r="A552" t="inlineStr">
        <is>
          <t>Solved AD_extra</t>
        </is>
      </c>
      <c r="B552">
        <f>E547</f>
        <v/>
      </c>
    </row>
    <row r="553">
      <c r="A553" t="inlineStr">
        <is>
          <t>Solved topup</t>
        </is>
      </c>
      <c r="B553">
        <f>H547</f>
        <v/>
      </c>
    </row>
    <row r="554">
      <c r="A554" t="inlineStr">
        <is>
          <t>Solved nA</t>
        </is>
      </c>
      <c r="B554">
        <f>C547</f>
        <v/>
      </c>
    </row>
    <row r="555">
      <c r="A555" t="inlineStr">
        <is>
          <t>Solved nB</t>
        </is>
      </c>
      <c r="B555">
        <f>D547</f>
        <v/>
      </c>
    </row>
    <row r="556">
      <c r="A556" t="inlineStr">
        <is>
          <t>Branch A</t>
        </is>
      </c>
      <c r="B556">
        <f>IF(M547&lt;N547,"cap","discount")</f>
        <v/>
      </c>
    </row>
    <row r="557">
      <c r="A557" t="inlineStr">
        <is>
          <t>Branch B</t>
        </is>
      </c>
      <c r="B557">
        <f>IF(P547&lt;Q547,"cap","discount")</f>
        <v/>
      </c>
    </row>
    <row r="559">
      <c r="A559" t="inlineStr">
        <is>
          <t>Fund shares</t>
        </is>
      </c>
      <c r="B559">
        <f>Assumptions!$B$9/B547</f>
        <v/>
      </c>
    </row>
    <row r="560">
      <c r="A560" t="inlineStr">
        <is>
          <t>Fund ownership %</t>
        </is>
      </c>
      <c r="B560" s="12">
        <f>B559/J547</f>
        <v/>
      </c>
    </row>
    <row r="561">
      <c r="A561" t="inlineStr">
        <is>
          <t>Tender shares</t>
        </is>
      </c>
      <c r="B561">
        <f>Assumptions!$B$6/(Assumptions!$B$7*B547)</f>
        <v/>
      </c>
    </row>
    <row r="562">
      <c r="A562" t="inlineStr">
        <is>
          <t>ITM test PPS</t>
        </is>
      </c>
      <c r="B562">
        <f>(Assumptions!$B$16+Assumptions!$B$11*Assumptions!$B$48)/(F547+(Assumptions!$B$35/IF(B547&lt;Assumptions!$B$26,Assumptions!$B$26*(Assumptions!$B$50+Assumptions!$B$5/Assumptions!$B$26)/(Assumptions!$B$50+Assumptions!$B$5/B547),Assumptions!$B$26))+(Assumptions!$B$34/IF(B547&lt;Assumptions!$B$25,Assumptions!$B$25*(Assumptions!$B$50+Assumptions!$B$5/Assumptions!$B$25)/(Assumptions!$B$50+Assumptions!$B$5/B547),Assumptions!$B$25))+Assumptions!$B$41+Assumptions!$B$40+Assumptions!$B$39+Assumptions!$B$38+(Assumptions!$B$44+Assumptions!$B$45+Assumptions!$B$46-B561)+Assumptions!$B$47+B561+(C547+D547)+Assumptions!$B$48)</f>
        <v/>
      </c>
    </row>
    <row r="563">
      <c r="A563" t="inlineStr">
        <is>
          <t>ITM?</t>
        </is>
      </c>
      <c r="B563">
        <f>IF(B562&gt;Assumptions!$B$11,"YES","NO")</f>
        <v/>
      </c>
    </row>
    <row r="564">
      <c r="A564" t="inlineStr">
        <is>
          <t>Effective pool</t>
        </is>
      </c>
      <c r="B564">
        <f>IF(B563="YES",(F547+(Assumptions!$B$35/IF(B547&lt;Assumptions!$B$26,Assumptions!$B$26*(Assumptions!$B$50+Assumptions!$B$5/Assumptions!$B$26)/(Assumptions!$B$50+Assumptions!$B$5/B547),Assumptions!$B$26))+(Assumptions!$B$34/IF(B547&lt;Assumptions!$B$25,Assumptions!$B$25*(Assumptions!$B$50+Assumptions!$B$5/Assumptions!$B$25)/(Assumptions!$B$50+Assumptions!$B$5/B547),Assumptions!$B$25))+Assumptions!$B$41+Assumptions!$B$40+Assumptions!$B$39+Assumptions!$B$38+(Assumptions!$B$44+Assumptions!$B$45+Assumptions!$B$46-B561)+Assumptions!$B$47+B561+(C547+D547)+Assumptions!$B$48),(F547+(Assumptions!$B$35/IF(B547&lt;Assumptions!$B$26,Assumptions!$B$26*(Assumptions!$B$50+Assumptions!$B$5/Assumptions!$B$26)/(Assumptions!$B$50+Assumptions!$B$5/B547),Assumptions!$B$26))+(Assumptions!$B$34/IF(B547&lt;Assumptions!$B$25,Assumptions!$B$25*(Assumptions!$B$50+Assumptions!$B$5/Assumptions!$B$25)/(Assumptions!$B$50+Assumptions!$B$5/B547),Assumptions!$B$25))+Assumptions!$B$41+Assumptions!$B$40+Assumptions!$B$39+Assumptions!$B$38+(Assumptions!$B$44+Assumptions!$B$45+Assumptions!$B$46-B561)+Assumptions!$B$47+B561+(C547+D547)))</f>
        <v/>
      </c>
    </row>
    <row r="565">
      <c r="A565" t="inlineStr">
        <is>
          <t>Adjusted exit</t>
        </is>
      </c>
      <c r="B565">
        <f>IF(B563="YES",Assumptions!$B$16+Assumptions!$B$11*Assumptions!$B$48,Assumptions!$B$16)</f>
        <v/>
      </c>
    </row>
    <row r="566">
      <c r="A566" s="20" t="inlineStr">
        <is>
          <t>F elect</t>
        </is>
      </c>
      <c r="B566">
        <f>IF(Assumptions!$B$5&gt;(F547)*(B565-(0))/(B564-(0)),"preference","convert")</f>
        <v/>
      </c>
    </row>
    <row r="567">
      <c r="A567" t="inlineStr">
        <is>
          <t>F pref taken</t>
        </is>
      </c>
      <c r="B567">
        <f>IF(B566="preference",Assumptions!$B$5,0)</f>
        <v/>
      </c>
    </row>
    <row r="568">
      <c r="A568" t="inlineStr">
        <is>
          <t>F pool loss</t>
        </is>
      </c>
      <c r="B568">
        <f>IF(B566="preference",F547,0)</f>
        <v/>
      </c>
    </row>
    <row r="569">
      <c r="A569" s="20" t="inlineStr">
        <is>
          <t>E elect</t>
        </is>
      </c>
      <c r="B569">
        <f>IF(Assumptions!$B$35&gt;((Assumptions!$B$35/IF(B547&lt;Assumptions!$B$26,Assumptions!$B$26*(Assumptions!$B$50+Assumptions!$B$5/Assumptions!$B$26)/(Assumptions!$B$50+Assumptions!$B$5/B547),Assumptions!$B$26)))*(B565-(B567))/(B564-(B568)),"preference","convert")</f>
        <v/>
      </c>
    </row>
    <row r="570">
      <c r="A570" t="inlineStr">
        <is>
          <t>E pref taken</t>
        </is>
      </c>
      <c r="B570">
        <f>IF(B569="preference",Assumptions!$B$35,0)</f>
        <v/>
      </c>
    </row>
    <row r="571">
      <c r="A571" t="inlineStr">
        <is>
          <t>E pool loss</t>
        </is>
      </c>
      <c r="B571">
        <f>IF(B569="preference",(Assumptions!$B$35/IF(B547&lt;Assumptions!$B$26,Assumptions!$B$26*(Assumptions!$B$50+Assumptions!$B$5/Assumptions!$B$26)/(Assumptions!$B$50+Assumptions!$B$5/B547),Assumptions!$B$26)),0)</f>
        <v/>
      </c>
    </row>
    <row r="572">
      <c r="A572" s="20" t="inlineStr">
        <is>
          <t>D elect</t>
        </is>
      </c>
      <c r="B572">
        <f>IF(Assumptions!$B$34&gt;((Assumptions!$B$34/IF(B547&lt;Assumptions!$B$25,Assumptions!$B$25*(Assumptions!$B$50+Assumptions!$B$5/Assumptions!$B$25)/(Assumptions!$B$50+Assumptions!$B$5/B547),Assumptions!$B$25)))*(B565-(B567+B570))/(B564-(B568+B571)),"preference","convert")</f>
        <v/>
      </c>
    </row>
    <row r="573">
      <c r="A573" t="inlineStr">
        <is>
          <t>D pref taken</t>
        </is>
      </c>
      <c r="B573">
        <f>IF(B572="preference",Assumptions!$B$34,0)</f>
        <v/>
      </c>
    </row>
    <row r="574">
      <c r="A574" t="inlineStr">
        <is>
          <t>D pool loss</t>
        </is>
      </c>
      <c r="B574">
        <f>IF(B572="preference",(Assumptions!$B$34/IF(B547&lt;Assumptions!$B$25,Assumptions!$B$25*(Assumptions!$B$50+Assumptions!$B$5/Assumptions!$B$25)/(Assumptions!$B$50+Assumptions!$B$5/B547),Assumptions!$B$25)),0)</f>
        <v/>
      </c>
    </row>
    <row r="575">
      <c r="A575" s="20" t="inlineStr">
        <is>
          <t>C elect</t>
        </is>
      </c>
      <c r="B575">
        <f>IF(Assumptions!$B$33&gt;(Assumptions!$B$41)*(B565-(B567+B570+B573))/(B564-(B568+B571+B574)),"preference","convert")</f>
        <v/>
      </c>
    </row>
    <row r="576">
      <c r="A576" t="inlineStr">
        <is>
          <t>C pref taken</t>
        </is>
      </c>
      <c r="B576">
        <f>IF(B575="preference",Assumptions!$B$33,0)</f>
        <v/>
      </c>
    </row>
    <row r="577">
      <c r="A577" t="inlineStr">
        <is>
          <t>C pool loss</t>
        </is>
      </c>
      <c r="B577">
        <f>IF(B575="preference",Assumptions!$B$41,0)</f>
        <v/>
      </c>
    </row>
    <row r="578">
      <c r="A578" s="20" t="inlineStr">
        <is>
          <t>B elect</t>
        </is>
      </c>
      <c r="B578">
        <f>IF(Assumptions!$B$32&gt;(Assumptions!$B$40)*(B565-(B567+B570+B573+B576))/(B564-(B568+B571+B574+B577)),"preference","convert")</f>
        <v/>
      </c>
    </row>
    <row r="579">
      <c r="A579" t="inlineStr">
        <is>
          <t>B pref taken</t>
        </is>
      </c>
      <c r="B579">
        <f>IF(B578="preference",Assumptions!$B$32,0)</f>
        <v/>
      </c>
    </row>
    <row r="580">
      <c r="A580" t="inlineStr">
        <is>
          <t>B pool loss</t>
        </is>
      </c>
      <c r="B580">
        <f>IF(B578="preference",Assumptions!$B$40,0)</f>
        <v/>
      </c>
    </row>
    <row r="581">
      <c r="A581" s="20" t="inlineStr">
        <is>
          <t>A elect</t>
        </is>
      </c>
      <c r="B581">
        <f>IF(Assumptions!$B$31&gt;(Assumptions!$B$39)*(B565-(B567+B570+B573+B576+B579))/(B564-(B568+B571+B574+B577+B580)),"preference","convert")</f>
        <v/>
      </c>
    </row>
    <row r="582">
      <c r="A582" t="inlineStr">
        <is>
          <t>A pref taken</t>
        </is>
      </c>
      <c r="B582">
        <f>IF(B581="preference",Assumptions!$B$31,0)</f>
        <v/>
      </c>
    </row>
    <row r="583">
      <c r="A583" t="inlineStr">
        <is>
          <t>A pool loss</t>
        </is>
      </c>
      <c r="B583">
        <f>IF(B581="preference",Assumptions!$B$39,0)</f>
        <v/>
      </c>
    </row>
    <row r="584">
      <c r="A584" s="20" t="inlineStr">
        <is>
          <t>Seed elect</t>
        </is>
      </c>
      <c r="B584">
        <f>IF(Assumptions!$B$30&gt;(Assumptions!$B$38)*(B565-(B567+B570+B573+B576+B579+B582))/(B564-(B568+B571+B574+B577+B580+B583)),"preference","convert")</f>
        <v/>
      </c>
    </row>
    <row r="585">
      <c r="A585" t="inlineStr">
        <is>
          <t>Seed pref taken</t>
        </is>
      </c>
      <c r="B585">
        <f>IF(B584="preference",Assumptions!$B$30,0)</f>
        <v/>
      </c>
    </row>
    <row r="586">
      <c r="A586" t="inlineStr">
        <is>
          <t>Seed pool loss</t>
        </is>
      </c>
      <c r="B586">
        <f>IF(B584="preference",Assumptions!$B$38,0)</f>
        <v/>
      </c>
    </row>
    <row r="587">
      <c r="A587" s="2" t="inlineStr">
        <is>
          <t>Final PPS at $2B</t>
        </is>
      </c>
      <c r="B587">
        <f>(B565-(B567+B570+B573+B576+B579+B582+B585))/(B564-(B568+B571+B574+B577+B580+B583+B586))</f>
        <v/>
      </c>
    </row>
    <row r="588">
      <c r="A588" s="2" t="inlineStr">
        <is>
          <t>Fund proceeds at $2B</t>
        </is>
      </c>
      <c r="B588" s="18">
        <f>IF(B566="preference",Assumptions!$B$9,B559*B587)</f>
        <v/>
      </c>
    </row>
    <row r="612">
      <c r="A612" s="2" t="inlineStr">
        <is>
          <t>Scenario [esop=15%, pre=$1.2B]</t>
        </is>
      </c>
    </row>
    <row r="613">
      <c r="A613" t="inlineStr">
        <is>
          <t>ESOP target</t>
        </is>
      </c>
      <c r="B613">
        <f>Assumptions!$B$69</f>
        <v/>
      </c>
    </row>
    <row r="614">
      <c r="A614" t="inlineStr">
        <is>
          <t>Pre-money</t>
        </is>
      </c>
      <c r="B614">
        <f>Assumptions!$B$70</f>
        <v/>
      </c>
    </row>
    <row r="616">
      <c r="A616" s="14" t="inlineStr">
        <is>
          <t>k</t>
        </is>
      </c>
      <c r="B616" s="14" t="inlineStr">
        <is>
          <t>F_PPS_k</t>
        </is>
      </c>
      <c r="C616" s="14" t="inlineStr">
        <is>
          <t>nA_k</t>
        </is>
      </c>
      <c r="D616" s="14" t="inlineStr">
        <is>
          <t>nB_k</t>
        </is>
      </c>
      <c r="E616" s="14" t="inlineStr">
        <is>
          <t>AD_x</t>
        </is>
      </c>
      <c r="F616" s="14" t="inlineStr">
        <is>
          <t>F_pri</t>
        </is>
      </c>
      <c r="G616" s="14" t="inlineStr">
        <is>
          <t>topup_p</t>
        </is>
      </c>
      <c r="H616" s="14" t="inlineStr">
        <is>
          <t>topup</t>
        </is>
      </c>
      <c r="I616" s="14" t="inlineStr">
        <is>
          <t>pmFD</t>
        </is>
      </c>
      <c r="J616" s="14" t="inlineStr">
        <is>
          <t>T_F</t>
        </is>
      </c>
      <c r="K616" s="14" t="inlineStr">
        <is>
          <t>pmFD_A</t>
        </is>
      </c>
      <c r="L616" s="14" t="inlineStr">
        <is>
          <t>pmFD_B</t>
        </is>
      </c>
      <c r="M616" s="14" t="inlineStr">
        <is>
          <t>cap_A</t>
        </is>
      </c>
      <c r="N616" s="14" t="inlineStr">
        <is>
          <t>disc_A</t>
        </is>
      </c>
      <c r="O616" s="14" t="inlineStr">
        <is>
          <t>conv_A</t>
        </is>
      </c>
      <c r="P616" s="14" t="inlineStr">
        <is>
          <t>cap_B</t>
        </is>
      </c>
      <c r="Q616" s="14" t="inlineStr">
        <is>
          <t>disc_B</t>
        </is>
      </c>
      <c r="R616" s="14" t="inlineStr">
        <is>
          <t>conv_B</t>
        </is>
      </c>
      <c r="S616" s="14" t="inlineStr">
        <is>
          <t>F_PPS_n</t>
        </is>
      </c>
      <c r="T616" s="14" t="inlineStr">
        <is>
          <t>nA_n</t>
        </is>
      </c>
      <c r="U616" s="14" t="inlineStr">
        <is>
          <t>nB_n</t>
        </is>
      </c>
    </row>
    <row r="617">
      <c r="A617" t="n">
        <v>0</v>
      </c>
      <c r="B617">
        <f>$B$614/Assumptions!$B$50</f>
        <v/>
      </c>
      <c r="C617" t="n">
        <v>0</v>
      </c>
      <c r="D617" t="n">
        <v>0</v>
      </c>
      <c r="E617">
        <f>MAX(0,Assumptions!$B$34/IF(B617&lt;Assumptions!$B$25,Assumptions!$B$25*(Assumptions!$B$50+Assumptions!$B$5/Assumptions!$B$25)/(Assumptions!$B$50+Assumptions!$B$5/B617),Assumptions!$B$25)-Assumptions!$B$42)+MAX(0,Assumptions!$B$35/IF(B617&lt;Assumptions!$B$26,Assumptions!$B$26*(Assumptions!$B$50+Assumptions!$B$5/Assumptions!$B$26)/(Assumptions!$B$50+Assumptions!$B$5/B617),Assumptions!$B$26)-Assumptions!$B$43)</f>
        <v/>
      </c>
      <c r="F617">
        <f>Assumptions!$B$5/B617</f>
        <v/>
      </c>
      <c r="G617">
        <f>$B$613*(((Assumptions!$B$50-Assumptions!$B$51+E617+C617+D617)+F617)/(1-$B$613))-Assumptions!$B$51</f>
        <v/>
      </c>
      <c r="H617">
        <f>MAX(0,G617)</f>
        <v/>
      </c>
      <c r="I617">
        <f>Assumptions!$B$50+E617+H617+C617+D617</f>
        <v/>
      </c>
      <c r="J617">
        <f>I617+F617</f>
        <v/>
      </c>
      <c r="K617">
        <f>Assumptions!$B$50+E617+H617+D617</f>
        <v/>
      </c>
      <c r="L617">
        <f>Assumptions!$B$50+E617+H617+C617</f>
        <v/>
      </c>
      <c r="M617">
        <f>Assumptions!$B$60/K617</f>
        <v/>
      </c>
      <c r="N617">
        <f>B617*(1-Assumptions!$B$61)</f>
        <v/>
      </c>
      <c r="O617">
        <f>MIN(M617,N617)</f>
        <v/>
      </c>
      <c r="P617">
        <f>Assumptions!$B$63/L617</f>
        <v/>
      </c>
      <c r="Q617">
        <f>B617*(1-Assumptions!$B$64)</f>
        <v/>
      </c>
      <c r="R617">
        <f>MIN(P617,Q617)</f>
        <v/>
      </c>
      <c r="S617">
        <f>$B$614/I617</f>
        <v/>
      </c>
      <c r="T617">
        <f>Assumptions!$B$59/O617</f>
        <v/>
      </c>
      <c r="U617">
        <f>Assumptions!$B$62/R617</f>
        <v/>
      </c>
    </row>
    <row r="618">
      <c r="A618" t="n">
        <v>1</v>
      </c>
      <c r="B618">
        <f>S617</f>
        <v/>
      </c>
      <c r="C618">
        <f>T617</f>
        <v/>
      </c>
      <c r="D618">
        <f>U617</f>
        <v/>
      </c>
      <c r="E618">
        <f>MAX(0,Assumptions!$B$34/IF(B618&lt;Assumptions!$B$25,Assumptions!$B$25*(Assumptions!$B$50+Assumptions!$B$5/Assumptions!$B$25)/(Assumptions!$B$50+Assumptions!$B$5/B618),Assumptions!$B$25)-Assumptions!$B$42)+MAX(0,Assumptions!$B$35/IF(B618&lt;Assumptions!$B$26,Assumptions!$B$26*(Assumptions!$B$50+Assumptions!$B$5/Assumptions!$B$26)/(Assumptions!$B$50+Assumptions!$B$5/B618),Assumptions!$B$26)-Assumptions!$B$43)</f>
        <v/>
      </c>
      <c r="F618">
        <f>Assumptions!$B$5/B618</f>
        <v/>
      </c>
      <c r="G618">
        <f>$B$613*(((Assumptions!$B$50-Assumptions!$B$51+E618+C618+D618)+F618)/(1-$B$613))-Assumptions!$B$51</f>
        <v/>
      </c>
      <c r="H618">
        <f>MAX(0,G618)</f>
        <v/>
      </c>
      <c r="I618">
        <f>Assumptions!$B$50+E618+H618+C618+D618</f>
        <v/>
      </c>
      <c r="J618">
        <f>I618+F618</f>
        <v/>
      </c>
      <c r="K618">
        <f>Assumptions!$B$50+E618+H618+D618</f>
        <v/>
      </c>
      <c r="L618">
        <f>Assumptions!$B$50+E618+H618+C618</f>
        <v/>
      </c>
      <c r="M618">
        <f>Assumptions!$B$60/K618</f>
        <v/>
      </c>
      <c r="N618">
        <f>B618*(1-Assumptions!$B$61)</f>
        <v/>
      </c>
      <c r="O618">
        <f>MIN(M618,N618)</f>
        <v/>
      </c>
      <c r="P618">
        <f>Assumptions!$B$63/L618</f>
        <v/>
      </c>
      <c r="Q618">
        <f>B618*(1-Assumptions!$B$64)</f>
        <v/>
      </c>
      <c r="R618">
        <f>MIN(P618,Q618)</f>
        <v/>
      </c>
      <c r="S618">
        <f>$B$614/I618</f>
        <v/>
      </c>
      <c r="T618">
        <f>Assumptions!$B$59/O618</f>
        <v/>
      </c>
      <c r="U618">
        <f>Assumptions!$B$62/R618</f>
        <v/>
      </c>
    </row>
    <row r="619">
      <c r="A619" t="n">
        <v>2</v>
      </c>
      <c r="B619">
        <f>S618</f>
        <v/>
      </c>
      <c r="C619">
        <f>T618</f>
        <v/>
      </c>
      <c r="D619">
        <f>U618</f>
        <v/>
      </c>
      <c r="E619">
        <f>MAX(0,Assumptions!$B$34/IF(B619&lt;Assumptions!$B$25,Assumptions!$B$25*(Assumptions!$B$50+Assumptions!$B$5/Assumptions!$B$25)/(Assumptions!$B$50+Assumptions!$B$5/B619),Assumptions!$B$25)-Assumptions!$B$42)+MAX(0,Assumptions!$B$35/IF(B619&lt;Assumptions!$B$26,Assumptions!$B$26*(Assumptions!$B$50+Assumptions!$B$5/Assumptions!$B$26)/(Assumptions!$B$50+Assumptions!$B$5/B619),Assumptions!$B$26)-Assumptions!$B$43)</f>
        <v/>
      </c>
      <c r="F619">
        <f>Assumptions!$B$5/B619</f>
        <v/>
      </c>
      <c r="G619">
        <f>$B$613*(((Assumptions!$B$50-Assumptions!$B$51+E619+C619+D619)+F619)/(1-$B$613))-Assumptions!$B$51</f>
        <v/>
      </c>
      <c r="H619">
        <f>MAX(0,G619)</f>
        <v/>
      </c>
      <c r="I619">
        <f>Assumptions!$B$50+E619+H619+C619+D619</f>
        <v/>
      </c>
      <c r="J619">
        <f>I619+F619</f>
        <v/>
      </c>
      <c r="K619">
        <f>Assumptions!$B$50+E619+H619+D619</f>
        <v/>
      </c>
      <c r="L619">
        <f>Assumptions!$B$50+E619+H619+C619</f>
        <v/>
      </c>
      <c r="M619">
        <f>Assumptions!$B$60/K619</f>
        <v/>
      </c>
      <c r="N619">
        <f>B619*(1-Assumptions!$B$61)</f>
        <v/>
      </c>
      <c r="O619">
        <f>MIN(M619,N619)</f>
        <v/>
      </c>
      <c r="P619">
        <f>Assumptions!$B$63/L619</f>
        <v/>
      </c>
      <c r="Q619">
        <f>B619*(1-Assumptions!$B$64)</f>
        <v/>
      </c>
      <c r="R619">
        <f>MIN(P619,Q619)</f>
        <v/>
      </c>
      <c r="S619">
        <f>$B$614/I619</f>
        <v/>
      </c>
      <c r="T619">
        <f>Assumptions!$B$59/O619</f>
        <v/>
      </c>
      <c r="U619">
        <f>Assumptions!$B$62/R619</f>
        <v/>
      </c>
    </row>
    <row r="620">
      <c r="A620" t="n">
        <v>3</v>
      </c>
      <c r="B620">
        <f>S619</f>
        <v/>
      </c>
      <c r="C620">
        <f>T619</f>
        <v/>
      </c>
      <c r="D620">
        <f>U619</f>
        <v/>
      </c>
      <c r="E620">
        <f>MAX(0,Assumptions!$B$34/IF(B620&lt;Assumptions!$B$25,Assumptions!$B$25*(Assumptions!$B$50+Assumptions!$B$5/Assumptions!$B$25)/(Assumptions!$B$50+Assumptions!$B$5/B620),Assumptions!$B$25)-Assumptions!$B$42)+MAX(0,Assumptions!$B$35/IF(B620&lt;Assumptions!$B$26,Assumptions!$B$26*(Assumptions!$B$50+Assumptions!$B$5/Assumptions!$B$26)/(Assumptions!$B$50+Assumptions!$B$5/B620),Assumptions!$B$26)-Assumptions!$B$43)</f>
        <v/>
      </c>
      <c r="F620">
        <f>Assumptions!$B$5/B620</f>
        <v/>
      </c>
      <c r="G620">
        <f>$B$613*(((Assumptions!$B$50-Assumptions!$B$51+E620+C620+D620)+F620)/(1-$B$613))-Assumptions!$B$51</f>
        <v/>
      </c>
      <c r="H620">
        <f>MAX(0,G620)</f>
        <v/>
      </c>
      <c r="I620">
        <f>Assumptions!$B$50+E620+H620+C620+D620</f>
        <v/>
      </c>
      <c r="J620">
        <f>I620+F620</f>
        <v/>
      </c>
      <c r="K620">
        <f>Assumptions!$B$50+E620+H620+D620</f>
        <v/>
      </c>
      <c r="L620">
        <f>Assumptions!$B$50+E620+H620+C620</f>
        <v/>
      </c>
      <c r="M620">
        <f>Assumptions!$B$60/K620</f>
        <v/>
      </c>
      <c r="N620">
        <f>B620*(1-Assumptions!$B$61)</f>
        <v/>
      </c>
      <c r="O620">
        <f>MIN(M620,N620)</f>
        <v/>
      </c>
      <c r="P620">
        <f>Assumptions!$B$63/L620</f>
        <v/>
      </c>
      <c r="Q620">
        <f>B620*(1-Assumptions!$B$64)</f>
        <v/>
      </c>
      <c r="R620">
        <f>MIN(P620,Q620)</f>
        <v/>
      </c>
      <c r="S620">
        <f>$B$614/I620</f>
        <v/>
      </c>
      <c r="T620">
        <f>Assumptions!$B$59/O620</f>
        <v/>
      </c>
      <c r="U620">
        <f>Assumptions!$B$62/R620</f>
        <v/>
      </c>
    </row>
    <row r="621">
      <c r="A621" t="n">
        <v>4</v>
      </c>
      <c r="B621">
        <f>S620</f>
        <v/>
      </c>
      <c r="C621">
        <f>T620</f>
        <v/>
      </c>
      <c r="D621">
        <f>U620</f>
        <v/>
      </c>
      <c r="E621">
        <f>MAX(0,Assumptions!$B$34/IF(B621&lt;Assumptions!$B$25,Assumptions!$B$25*(Assumptions!$B$50+Assumptions!$B$5/Assumptions!$B$25)/(Assumptions!$B$50+Assumptions!$B$5/B621),Assumptions!$B$25)-Assumptions!$B$42)+MAX(0,Assumptions!$B$35/IF(B621&lt;Assumptions!$B$26,Assumptions!$B$26*(Assumptions!$B$50+Assumptions!$B$5/Assumptions!$B$26)/(Assumptions!$B$50+Assumptions!$B$5/B621),Assumptions!$B$26)-Assumptions!$B$43)</f>
        <v/>
      </c>
      <c r="F621">
        <f>Assumptions!$B$5/B621</f>
        <v/>
      </c>
      <c r="G621">
        <f>$B$613*(((Assumptions!$B$50-Assumptions!$B$51+E621+C621+D621)+F621)/(1-$B$613))-Assumptions!$B$51</f>
        <v/>
      </c>
      <c r="H621">
        <f>MAX(0,G621)</f>
        <v/>
      </c>
      <c r="I621">
        <f>Assumptions!$B$50+E621+H621+C621+D621</f>
        <v/>
      </c>
      <c r="J621">
        <f>I621+F621</f>
        <v/>
      </c>
      <c r="K621">
        <f>Assumptions!$B$50+E621+H621+D621</f>
        <v/>
      </c>
      <c r="L621">
        <f>Assumptions!$B$50+E621+H621+C621</f>
        <v/>
      </c>
      <c r="M621">
        <f>Assumptions!$B$60/K621</f>
        <v/>
      </c>
      <c r="N621">
        <f>B621*(1-Assumptions!$B$61)</f>
        <v/>
      </c>
      <c r="O621">
        <f>MIN(M621,N621)</f>
        <v/>
      </c>
      <c r="P621">
        <f>Assumptions!$B$63/L621</f>
        <v/>
      </c>
      <c r="Q621">
        <f>B621*(1-Assumptions!$B$64)</f>
        <v/>
      </c>
      <c r="R621">
        <f>MIN(P621,Q621)</f>
        <v/>
      </c>
      <c r="S621">
        <f>$B$614/I621</f>
        <v/>
      </c>
      <c r="T621">
        <f>Assumptions!$B$59/O621</f>
        <v/>
      </c>
      <c r="U621">
        <f>Assumptions!$B$62/R621</f>
        <v/>
      </c>
    </row>
    <row r="622">
      <c r="A622" t="n">
        <v>5</v>
      </c>
      <c r="B622">
        <f>S621</f>
        <v/>
      </c>
      <c r="C622">
        <f>T621</f>
        <v/>
      </c>
      <c r="D622">
        <f>U621</f>
        <v/>
      </c>
      <c r="E622">
        <f>MAX(0,Assumptions!$B$34/IF(B622&lt;Assumptions!$B$25,Assumptions!$B$25*(Assumptions!$B$50+Assumptions!$B$5/Assumptions!$B$25)/(Assumptions!$B$50+Assumptions!$B$5/B622),Assumptions!$B$25)-Assumptions!$B$42)+MAX(0,Assumptions!$B$35/IF(B622&lt;Assumptions!$B$26,Assumptions!$B$26*(Assumptions!$B$50+Assumptions!$B$5/Assumptions!$B$26)/(Assumptions!$B$50+Assumptions!$B$5/B622),Assumptions!$B$26)-Assumptions!$B$43)</f>
        <v/>
      </c>
      <c r="F622">
        <f>Assumptions!$B$5/B622</f>
        <v/>
      </c>
      <c r="G622">
        <f>$B$613*(((Assumptions!$B$50-Assumptions!$B$51+E622+C622+D622)+F622)/(1-$B$613))-Assumptions!$B$51</f>
        <v/>
      </c>
      <c r="H622">
        <f>MAX(0,G622)</f>
        <v/>
      </c>
      <c r="I622">
        <f>Assumptions!$B$50+E622+H622+C622+D622</f>
        <v/>
      </c>
      <c r="J622">
        <f>I622+F622</f>
        <v/>
      </c>
      <c r="K622">
        <f>Assumptions!$B$50+E622+H622+D622</f>
        <v/>
      </c>
      <c r="L622">
        <f>Assumptions!$B$50+E622+H622+C622</f>
        <v/>
      </c>
      <c r="M622">
        <f>Assumptions!$B$60/K622</f>
        <v/>
      </c>
      <c r="N622">
        <f>B622*(1-Assumptions!$B$61)</f>
        <v/>
      </c>
      <c r="O622">
        <f>MIN(M622,N622)</f>
        <v/>
      </c>
      <c r="P622">
        <f>Assumptions!$B$63/L622</f>
        <v/>
      </c>
      <c r="Q622">
        <f>B622*(1-Assumptions!$B$64)</f>
        <v/>
      </c>
      <c r="R622">
        <f>MIN(P622,Q622)</f>
        <v/>
      </c>
      <c r="S622">
        <f>$B$614/I622</f>
        <v/>
      </c>
      <c r="T622">
        <f>Assumptions!$B$59/O622</f>
        <v/>
      </c>
      <c r="U622">
        <f>Assumptions!$B$62/R622</f>
        <v/>
      </c>
    </row>
    <row r="623">
      <c r="A623" t="n">
        <v>6</v>
      </c>
      <c r="B623">
        <f>S622</f>
        <v/>
      </c>
      <c r="C623">
        <f>T622</f>
        <v/>
      </c>
      <c r="D623">
        <f>U622</f>
        <v/>
      </c>
      <c r="E623">
        <f>MAX(0,Assumptions!$B$34/IF(B623&lt;Assumptions!$B$25,Assumptions!$B$25*(Assumptions!$B$50+Assumptions!$B$5/Assumptions!$B$25)/(Assumptions!$B$50+Assumptions!$B$5/B623),Assumptions!$B$25)-Assumptions!$B$42)+MAX(0,Assumptions!$B$35/IF(B623&lt;Assumptions!$B$26,Assumptions!$B$26*(Assumptions!$B$50+Assumptions!$B$5/Assumptions!$B$26)/(Assumptions!$B$50+Assumptions!$B$5/B623),Assumptions!$B$26)-Assumptions!$B$43)</f>
        <v/>
      </c>
      <c r="F623">
        <f>Assumptions!$B$5/B623</f>
        <v/>
      </c>
      <c r="G623">
        <f>$B$613*(((Assumptions!$B$50-Assumptions!$B$51+E623+C623+D623)+F623)/(1-$B$613))-Assumptions!$B$51</f>
        <v/>
      </c>
      <c r="H623">
        <f>MAX(0,G623)</f>
        <v/>
      </c>
      <c r="I623">
        <f>Assumptions!$B$50+E623+H623+C623+D623</f>
        <v/>
      </c>
      <c r="J623">
        <f>I623+F623</f>
        <v/>
      </c>
      <c r="K623">
        <f>Assumptions!$B$50+E623+H623+D623</f>
        <v/>
      </c>
      <c r="L623">
        <f>Assumptions!$B$50+E623+H623+C623</f>
        <v/>
      </c>
      <c r="M623">
        <f>Assumptions!$B$60/K623</f>
        <v/>
      </c>
      <c r="N623">
        <f>B623*(1-Assumptions!$B$61)</f>
        <v/>
      </c>
      <c r="O623">
        <f>MIN(M623,N623)</f>
        <v/>
      </c>
      <c r="P623">
        <f>Assumptions!$B$63/L623</f>
        <v/>
      </c>
      <c r="Q623">
        <f>B623*(1-Assumptions!$B$64)</f>
        <v/>
      </c>
      <c r="R623">
        <f>MIN(P623,Q623)</f>
        <v/>
      </c>
      <c r="S623">
        <f>$B$614/I623</f>
        <v/>
      </c>
      <c r="T623">
        <f>Assumptions!$B$59/O623</f>
        <v/>
      </c>
      <c r="U623">
        <f>Assumptions!$B$62/R623</f>
        <v/>
      </c>
    </row>
    <row r="624">
      <c r="A624" t="n">
        <v>7</v>
      </c>
      <c r="B624">
        <f>S623</f>
        <v/>
      </c>
      <c r="C624">
        <f>T623</f>
        <v/>
      </c>
      <c r="D624">
        <f>U623</f>
        <v/>
      </c>
      <c r="E624">
        <f>MAX(0,Assumptions!$B$34/IF(B624&lt;Assumptions!$B$25,Assumptions!$B$25*(Assumptions!$B$50+Assumptions!$B$5/Assumptions!$B$25)/(Assumptions!$B$50+Assumptions!$B$5/B624),Assumptions!$B$25)-Assumptions!$B$42)+MAX(0,Assumptions!$B$35/IF(B624&lt;Assumptions!$B$26,Assumptions!$B$26*(Assumptions!$B$50+Assumptions!$B$5/Assumptions!$B$26)/(Assumptions!$B$50+Assumptions!$B$5/B624),Assumptions!$B$26)-Assumptions!$B$43)</f>
        <v/>
      </c>
      <c r="F624">
        <f>Assumptions!$B$5/B624</f>
        <v/>
      </c>
      <c r="G624">
        <f>$B$613*(((Assumptions!$B$50-Assumptions!$B$51+E624+C624+D624)+F624)/(1-$B$613))-Assumptions!$B$51</f>
        <v/>
      </c>
      <c r="H624">
        <f>MAX(0,G624)</f>
        <v/>
      </c>
      <c r="I624">
        <f>Assumptions!$B$50+E624+H624+C624+D624</f>
        <v/>
      </c>
      <c r="J624">
        <f>I624+F624</f>
        <v/>
      </c>
      <c r="K624">
        <f>Assumptions!$B$50+E624+H624+D624</f>
        <v/>
      </c>
      <c r="L624">
        <f>Assumptions!$B$50+E624+H624+C624</f>
        <v/>
      </c>
      <c r="M624">
        <f>Assumptions!$B$60/K624</f>
        <v/>
      </c>
      <c r="N624">
        <f>B624*(1-Assumptions!$B$61)</f>
        <v/>
      </c>
      <c r="O624">
        <f>MIN(M624,N624)</f>
        <v/>
      </c>
      <c r="P624">
        <f>Assumptions!$B$63/L624</f>
        <v/>
      </c>
      <c r="Q624">
        <f>B624*(1-Assumptions!$B$64)</f>
        <v/>
      </c>
      <c r="R624">
        <f>MIN(P624,Q624)</f>
        <v/>
      </c>
      <c r="S624">
        <f>$B$614/I624</f>
        <v/>
      </c>
      <c r="T624">
        <f>Assumptions!$B$59/O624</f>
        <v/>
      </c>
      <c r="U624">
        <f>Assumptions!$B$62/R624</f>
        <v/>
      </c>
    </row>
    <row r="625">
      <c r="A625" t="n">
        <v>8</v>
      </c>
      <c r="B625">
        <f>S624</f>
        <v/>
      </c>
      <c r="C625">
        <f>T624</f>
        <v/>
      </c>
      <c r="D625">
        <f>U624</f>
        <v/>
      </c>
      <c r="E625">
        <f>MAX(0,Assumptions!$B$34/IF(B625&lt;Assumptions!$B$25,Assumptions!$B$25*(Assumptions!$B$50+Assumptions!$B$5/Assumptions!$B$25)/(Assumptions!$B$50+Assumptions!$B$5/B625),Assumptions!$B$25)-Assumptions!$B$42)+MAX(0,Assumptions!$B$35/IF(B625&lt;Assumptions!$B$26,Assumptions!$B$26*(Assumptions!$B$50+Assumptions!$B$5/Assumptions!$B$26)/(Assumptions!$B$50+Assumptions!$B$5/B625),Assumptions!$B$26)-Assumptions!$B$43)</f>
        <v/>
      </c>
      <c r="F625">
        <f>Assumptions!$B$5/B625</f>
        <v/>
      </c>
      <c r="G625">
        <f>$B$613*(((Assumptions!$B$50-Assumptions!$B$51+E625+C625+D625)+F625)/(1-$B$613))-Assumptions!$B$51</f>
        <v/>
      </c>
      <c r="H625">
        <f>MAX(0,G625)</f>
        <v/>
      </c>
      <c r="I625">
        <f>Assumptions!$B$50+E625+H625+C625+D625</f>
        <v/>
      </c>
      <c r="J625">
        <f>I625+F625</f>
        <v/>
      </c>
      <c r="K625">
        <f>Assumptions!$B$50+E625+H625+D625</f>
        <v/>
      </c>
      <c r="L625">
        <f>Assumptions!$B$50+E625+H625+C625</f>
        <v/>
      </c>
      <c r="M625">
        <f>Assumptions!$B$60/K625</f>
        <v/>
      </c>
      <c r="N625">
        <f>B625*(1-Assumptions!$B$61)</f>
        <v/>
      </c>
      <c r="O625">
        <f>MIN(M625,N625)</f>
        <v/>
      </c>
      <c r="P625">
        <f>Assumptions!$B$63/L625</f>
        <v/>
      </c>
      <c r="Q625">
        <f>B625*(1-Assumptions!$B$64)</f>
        <v/>
      </c>
      <c r="R625">
        <f>MIN(P625,Q625)</f>
        <v/>
      </c>
      <c r="S625">
        <f>$B$614/I625</f>
        <v/>
      </c>
      <c r="T625">
        <f>Assumptions!$B$59/O625</f>
        <v/>
      </c>
      <c r="U625">
        <f>Assumptions!$B$62/R625</f>
        <v/>
      </c>
    </row>
    <row r="626">
      <c r="A626" t="n">
        <v>9</v>
      </c>
      <c r="B626">
        <f>S625</f>
        <v/>
      </c>
      <c r="C626">
        <f>T625</f>
        <v/>
      </c>
      <c r="D626">
        <f>U625</f>
        <v/>
      </c>
      <c r="E626">
        <f>MAX(0,Assumptions!$B$34/IF(B626&lt;Assumptions!$B$25,Assumptions!$B$25*(Assumptions!$B$50+Assumptions!$B$5/Assumptions!$B$25)/(Assumptions!$B$50+Assumptions!$B$5/B626),Assumptions!$B$25)-Assumptions!$B$42)+MAX(0,Assumptions!$B$35/IF(B626&lt;Assumptions!$B$26,Assumptions!$B$26*(Assumptions!$B$50+Assumptions!$B$5/Assumptions!$B$26)/(Assumptions!$B$50+Assumptions!$B$5/B626),Assumptions!$B$26)-Assumptions!$B$43)</f>
        <v/>
      </c>
      <c r="F626">
        <f>Assumptions!$B$5/B626</f>
        <v/>
      </c>
      <c r="G626">
        <f>$B$613*(((Assumptions!$B$50-Assumptions!$B$51+E626+C626+D626)+F626)/(1-$B$613))-Assumptions!$B$51</f>
        <v/>
      </c>
      <c r="H626">
        <f>MAX(0,G626)</f>
        <v/>
      </c>
      <c r="I626">
        <f>Assumptions!$B$50+E626+H626+C626+D626</f>
        <v/>
      </c>
      <c r="J626">
        <f>I626+F626</f>
        <v/>
      </c>
      <c r="K626">
        <f>Assumptions!$B$50+E626+H626+D626</f>
        <v/>
      </c>
      <c r="L626">
        <f>Assumptions!$B$50+E626+H626+C626</f>
        <v/>
      </c>
      <c r="M626">
        <f>Assumptions!$B$60/K626</f>
        <v/>
      </c>
      <c r="N626">
        <f>B626*(1-Assumptions!$B$61)</f>
        <v/>
      </c>
      <c r="O626">
        <f>MIN(M626,N626)</f>
        <v/>
      </c>
      <c r="P626">
        <f>Assumptions!$B$63/L626</f>
        <v/>
      </c>
      <c r="Q626">
        <f>B626*(1-Assumptions!$B$64)</f>
        <v/>
      </c>
      <c r="R626">
        <f>MIN(P626,Q626)</f>
        <v/>
      </c>
      <c r="S626">
        <f>$B$614/I626</f>
        <v/>
      </c>
      <c r="T626">
        <f>Assumptions!$B$59/O626</f>
        <v/>
      </c>
      <c r="U626">
        <f>Assumptions!$B$62/R626</f>
        <v/>
      </c>
    </row>
    <row r="627">
      <c r="A627" t="n">
        <v>10</v>
      </c>
      <c r="B627">
        <f>S626</f>
        <v/>
      </c>
      <c r="C627">
        <f>T626</f>
        <v/>
      </c>
      <c r="D627">
        <f>U626</f>
        <v/>
      </c>
      <c r="E627">
        <f>MAX(0,Assumptions!$B$34/IF(B627&lt;Assumptions!$B$25,Assumptions!$B$25*(Assumptions!$B$50+Assumptions!$B$5/Assumptions!$B$25)/(Assumptions!$B$50+Assumptions!$B$5/B627),Assumptions!$B$25)-Assumptions!$B$42)+MAX(0,Assumptions!$B$35/IF(B627&lt;Assumptions!$B$26,Assumptions!$B$26*(Assumptions!$B$50+Assumptions!$B$5/Assumptions!$B$26)/(Assumptions!$B$50+Assumptions!$B$5/B627),Assumptions!$B$26)-Assumptions!$B$43)</f>
        <v/>
      </c>
      <c r="F627">
        <f>Assumptions!$B$5/B627</f>
        <v/>
      </c>
      <c r="G627">
        <f>$B$613*(((Assumptions!$B$50-Assumptions!$B$51+E627+C627+D627)+F627)/(1-$B$613))-Assumptions!$B$51</f>
        <v/>
      </c>
      <c r="H627">
        <f>MAX(0,G627)</f>
        <v/>
      </c>
      <c r="I627">
        <f>Assumptions!$B$50+E627+H627+C627+D627</f>
        <v/>
      </c>
      <c r="J627">
        <f>I627+F627</f>
        <v/>
      </c>
      <c r="K627">
        <f>Assumptions!$B$50+E627+H627+D627</f>
        <v/>
      </c>
      <c r="L627">
        <f>Assumptions!$B$50+E627+H627+C627</f>
        <v/>
      </c>
      <c r="M627">
        <f>Assumptions!$B$60/K627</f>
        <v/>
      </c>
      <c r="N627">
        <f>B627*(1-Assumptions!$B$61)</f>
        <v/>
      </c>
      <c r="O627">
        <f>MIN(M627,N627)</f>
        <v/>
      </c>
      <c r="P627">
        <f>Assumptions!$B$63/L627</f>
        <v/>
      </c>
      <c r="Q627">
        <f>B627*(1-Assumptions!$B$64)</f>
        <v/>
      </c>
      <c r="R627">
        <f>MIN(P627,Q627)</f>
        <v/>
      </c>
      <c r="S627">
        <f>$B$614/I627</f>
        <v/>
      </c>
      <c r="T627">
        <f>Assumptions!$B$59/O627</f>
        <v/>
      </c>
      <c r="U627">
        <f>Assumptions!$B$62/R627</f>
        <v/>
      </c>
    </row>
    <row r="628">
      <c r="A628" t="n">
        <v>11</v>
      </c>
      <c r="B628">
        <f>S627</f>
        <v/>
      </c>
      <c r="C628">
        <f>T627</f>
        <v/>
      </c>
      <c r="D628">
        <f>U627</f>
        <v/>
      </c>
      <c r="E628">
        <f>MAX(0,Assumptions!$B$34/IF(B628&lt;Assumptions!$B$25,Assumptions!$B$25*(Assumptions!$B$50+Assumptions!$B$5/Assumptions!$B$25)/(Assumptions!$B$50+Assumptions!$B$5/B628),Assumptions!$B$25)-Assumptions!$B$42)+MAX(0,Assumptions!$B$35/IF(B628&lt;Assumptions!$B$26,Assumptions!$B$26*(Assumptions!$B$50+Assumptions!$B$5/Assumptions!$B$26)/(Assumptions!$B$50+Assumptions!$B$5/B628),Assumptions!$B$26)-Assumptions!$B$43)</f>
        <v/>
      </c>
      <c r="F628">
        <f>Assumptions!$B$5/B628</f>
        <v/>
      </c>
      <c r="G628">
        <f>$B$613*(((Assumptions!$B$50-Assumptions!$B$51+E628+C628+D628)+F628)/(1-$B$613))-Assumptions!$B$51</f>
        <v/>
      </c>
      <c r="H628">
        <f>MAX(0,G628)</f>
        <v/>
      </c>
      <c r="I628">
        <f>Assumptions!$B$50+E628+H628+C628+D628</f>
        <v/>
      </c>
      <c r="J628">
        <f>I628+F628</f>
        <v/>
      </c>
      <c r="K628">
        <f>Assumptions!$B$50+E628+H628+D628</f>
        <v/>
      </c>
      <c r="L628">
        <f>Assumptions!$B$50+E628+H628+C628</f>
        <v/>
      </c>
      <c r="M628">
        <f>Assumptions!$B$60/K628</f>
        <v/>
      </c>
      <c r="N628">
        <f>B628*(1-Assumptions!$B$61)</f>
        <v/>
      </c>
      <c r="O628">
        <f>MIN(M628,N628)</f>
        <v/>
      </c>
      <c r="P628">
        <f>Assumptions!$B$63/L628</f>
        <v/>
      </c>
      <c r="Q628">
        <f>B628*(1-Assumptions!$B$64)</f>
        <v/>
      </c>
      <c r="R628">
        <f>MIN(P628,Q628)</f>
        <v/>
      </c>
      <c r="S628">
        <f>$B$614/I628</f>
        <v/>
      </c>
      <c r="T628">
        <f>Assumptions!$B$59/O628</f>
        <v/>
      </c>
      <c r="U628">
        <f>Assumptions!$B$62/R628</f>
        <v/>
      </c>
    </row>
    <row r="629">
      <c r="A629" t="n">
        <v>12</v>
      </c>
      <c r="B629">
        <f>S628</f>
        <v/>
      </c>
      <c r="C629">
        <f>T628</f>
        <v/>
      </c>
      <c r="D629">
        <f>U628</f>
        <v/>
      </c>
      <c r="E629">
        <f>MAX(0,Assumptions!$B$34/IF(B629&lt;Assumptions!$B$25,Assumptions!$B$25*(Assumptions!$B$50+Assumptions!$B$5/Assumptions!$B$25)/(Assumptions!$B$50+Assumptions!$B$5/B629),Assumptions!$B$25)-Assumptions!$B$42)+MAX(0,Assumptions!$B$35/IF(B629&lt;Assumptions!$B$26,Assumptions!$B$26*(Assumptions!$B$50+Assumptions!$B$5/Assumptions!$B$26)/(Assumptions!$B$50+Assumptions!$B$5/B629),Assumptions!$B$26)-Assumptions!$B$43)</f>
        <v/>
      </c>
      <c r="F629">
        <f>Assumptions!$B$5/B629</f>
        <v/>
      </c>
      <c r="G629">
        <f>$B$613*(((Assumptions!$B$50-Assumptions!$B$51+E629+C629+D629)+F629)/(1-$B$613))-Assumptions!$B$51</f>
        <v/>
      </c>
      <c r="H629">
        <f>MAX(0,G629)</f>
        <v/>
      </c>
      <c r="I629">
        <f>Assumptions!$B$50+E629+H629+C629+D629</f>
        <v/>
      </c>
      <c r="J629">
        <f>I629+F629</f>
        <v/>
      </c>
      <c r="K629">
        <f>Assumptions!$B$50+E629+H629+D629</f>
        <v/>
      </c>
      <c r="L629">
        <f>Assumptions!$B$50+E629+H629+C629</f>
        <v/>
      </c>
      <c r="M629">
        <f>Assumptions!$B$60/K629</f>
        <v/>
      </c>
      <c r="N629">
        <f>B629*(1-Assumptions!$B$61)</f>
        <v/>
      </c>
      <c r="O629">
        <f>MIN(M629,N629)</f>
        <v/>
      </c>
      <c r="P629">
        <f>Assumptions!$B$63/L629</f>
        <v/>
      </c>
      <c r="Q629">
        <f>B629*(1-Assumptions!$B$64)</f>
        <v/>
      </c>
      <c r="R629">
        <f>MIN(P629,Q629)</f>
        <v/>
      </c>
      <c r="S629">
        <f>$B$614/I629</f>
        <v/>
      </c>
      <c r="T629">
        <f>Assumptions!$B$59/O629</f>
        <v/>
      </c>
      <c r="U629">
        <f>Assumptions!$B$62/R629</f>
        <v/>
      </c>
    </row>
    <row r="630">
      <c r="A630" t="n">
        <v>13</v>
      </c>
      <c r="B630">
        <f>S629</f>
        <v/>
      </c>
      <c r="C630">
        <f>T629</f>
        <v/>
      </c>
      <c r="D630">
        <f>U629</f>
        <v/>
      </c>
      <c r="E630">
        <f>MAX(0,Assumptions!$B$34/IF(B630&lt;Assumptions!$B$25,Assumptions!$B$25*(Assumptions!$B$50+Assumptions!$B$5/Assumptions!$B$25)/(Assumptions!$B$50+Assumptions!$B$5/B630),Assumptions!$B$25)-Assumptions!$B$42)+MAX(0,Assumptions!$B$35/IF(B630&lt;Assumptions!$B$26,Assumptions!$B$26*(Assumptions!$B$50+Assumptions!$B$5/Assumptions!$B$26)/(Assumptions!$B$50+Assumptions!$B$5/B630),Assumptions!$B$26)-Assumptions!$B$43)</f>
        <v/>
      </c>
      <c r="F630">
        <f>Assumptions!$B$5/B630</f>
        <v/>
      </c>
      <c r="G630">
        <f>$B$613*(((Assumptions!$B$50-Assumptions!$B$51+E630+C630+D630)+F630)/(1-$B$613))-Assumptions!$B$51</f>
        <v/>
      </c>
      <c r="H630">
        <f>MAX(0,G630)</f>
        <v/>
      </c>
      <c r="I630">
        <f>Assumptions!$B$50+E630+H630+C630+D630</f>
        <v/>
      </c>
      <c r="J630">
        <f>I630+F630</f>
        <v/>
      </c>
      <c r="K630">
        <f>Assumptions!$B$50+E630+H630+D630</f>
        <v/>
      </c>
      <c r="L630">
        <f>Assumptions!$B$50+E630+H630+C630</f>
        <v/>
      </c>
      <c r="M630">
        <f>Assumptions!$B$60/K630</f>
        <v/>
      </c>
      <c r="N630">
        <f>B630*(1-Assumptions!$B$61)</f>
        <v/>
      </c>
      <c r="O630">
        <f>MIN(M630,N630)</f>
        <v/>
      </c>
      <c r="P630">
        <f>Assumptions!$B$63/L630</f>
        <v/>
      </c>
      <c r="Q630">
        <f>B630*(1-Assumptions!$B$64)</f>
        <v/>
      </c>
      <c r="R630">
        <f>MIN(P630,Q630)</f>
        <v/>
      </c>
      <c r="S630">
        <f>$B$614/I630</f>
        <v/>
      </c>
      <c r="T630">
        <f>Assumptions!$B$59/O630</f>
        <v/>
      </c>
      <c r="U630">
        <f>Assumptions!$B$62/R630</f>
        <v/>
      </c>
    </row>
    <row r="631">
      <c r="A631" t="n">
        <v>14</v>
      </c>
      <c r="B631">
        <f>S630</f>
        <v/>
      </c>
      <c r="C631">
        <f>T630</f>
        <v/>
      </c>
      <c r="D631">
        <f>U630</f>
        <v/>
      </c>
      <c r="E631">
        <f>MAX(0,Assumptions!$B$34/IF(B631&lt;Assumptions!$B$25,Assumptions!$B$25*(Assumptions!$B$50+Assumptions!$B$5/Assumptions!$B$25)/(Assumptions!$B$50+Assumptions!$B$5/B631),Assumptions!$B$25)-Assumptions!$B$42)+MAX(0,Assumptions!$B$35/IF(B631&lt;Assumptions!$B$26,Assumptions!$B$26*(Assumptions!$B$50+Assumptions!$B$5/Assumptions!$B$26)/(Assumptions!$B$50+Assumptions!$B$5/B631),Assumptions!$B$26)-Assumptions!$B$43)</f>
        <v/>
      </c>
      <c r="F631">
        <f>Assumptions!$B$5/B631</f>
        <v/>
      </c>
      <c r="G631">
        <f>$B$613*(((Assumptions!$B$50-Assumptions!$B$51+E631+C631+D631)+F631)/(1-$B$613))-Assumptions!$B$51</f>
        <v/>
      </c>
      <c r="H631">
        <f>MAX(0,G631)</f>
        <v/>
      </c>
      <c r="I631">
        <f>Assumptions!$B$50+E631+H631+C631+D631</f>
        <v/>
      </c>
      <c r="J631">
        <f>I631+F631</f>
        <v/>
      </c>
      <c r="K631">
        <f>Assumptions!$B$50+E631+H631+D631</f>
        <v/>
      </c>
      <c r="L631">
        <f>Assumptions!$B$50+E631+H631+C631</f>
        <v/>
      </c>
      <c r="M631">
        <f>Assumptions!$B$60/K631</f>
        <v/>
      </c>
      <c r="N631">
        <f>B631*(1-Assumptions!$B$61)</f>
        <v/>
      </c>
      <c r="O631">
        <f>MIN(M631,N631)</f>
        <v/>
      </c>
      <c r="P631">
        <f>Assumptions!$B$63/L631</f>
        <v/>
      </c>
      <c r="Q631">
        <f>B631*(1-Assumptions!$B$64)</f>
        <v/>
      </c>
      <c r="R631">
        <f>MIN(P631,Q631)</f>
        <v/>
      </c>
      <c r="S631">
        <f>$B$614/I631</f>
        <v/>
      </c>
      <c r="T631">
        <f>Assumptions!$B$59/O631</f>
        <v/>
      </c>
      <c r="U631">
        <f>Assumptions!$B$62/R631</f>
        <v/>
      </c>
    </row>
    <row r="632">
      <c r="A632" t="n">
        <v>15</v>
      </c>
      <c r="B632">
        <f>S631</f>
        <v/>
      </c>
      <c r="C632">
        <f>T631</f>
        <v/>
      </c>
      <c r="D632">
        <f>U631</f>
        <v/>
      </c>
      <c r="E632">
        <f>MAX(0,Assumptions!$B$34/IF(B632&lt;Assumptions!$B$25,Assumptions!$B$25*(Assumptions!$B$50+Assumptions!$B$5/Assumptions!$B$25)/(Assumptions!$B$50+Assumptions!$B$5/B632),Assumptions!$B$25)-Assumptions!$B$42)+MAX(0,Assumptions!$B$35/IF(B632&lt;Assumptions!$B$26,Assumptions!$B$26*(Assumptions!$B$50+Assumptions!$B$5/Assumptions!$B$26)/(Assumptions!$B$50+Assumptions!$B$5/B632),Assumptions!$B$26)-Assumptions!$B$43)</f>
        <v/>
      </c>
      <c r="F632">
        <f>Assumptions!$B$5/B632</f>
        <v/>
      </c>
      <c r="G632">
        <f>$B$613*(((Assumptions!$B$50-Assumptions!$B$51+E632+C632+D632)+F632)/(1-$B$613))-Assumptions!$B$51</f>
        <v/>
      </c>
      <c r="H632">
        <f>MAX(0,G632)</f>
        <v/>
      </c>
      <c r="I632">
        <f>Assumptions!$B$50+E632+H632+C632+D632</f>
        <v/>
      </c>
      <c r="J632">
        <f>I632+F632</f>
        <v/>
      </c>
      <c r="K632">
        <f>Assumptions!$B$50+E632+H632+D632</f>
        <v/>
      </c>
      <c r="L632">
        <f>Assumptions!$B$50+E632+H632+C632</f>
        <v/>
      </c>
      <c r="M632">
        <f>Assumptions!$B$60/K632</f>
        <v/>
      </c>
      <c r="N632">
        <f>B632*(1-Assumptions!$B$61)</f>
        <v/>
      </c>
      <c r="O632">
        <f>MIN(M632,N632)</f>
        <v/>
      </c>
      <c r="P632">
        <f>Assumptions!$B$63/L632</f>
        <v/>
      </c>
      <c r="Q632">
        <f>B632*(1-Assumptions!$B$64)</f>
        <v/>
      </c>
      <c r="R632">
        <f>MIN(P632,Q632)</f>
        <v/>
      </c>
      <c r="S632">
        <f>$B$614/I632</f>
        <v/>
      </c>
      <c r="T632">
        <f>Assumptions!$B$59/O632</f>
        <v/>
      </c>
      <c r="U632">
        <f>Assumptions!$B$62/R632</f>
        <v/>
      </c>
    </row>
    <row r="633">
      <c r="A633" t="n">
        <v>16</v>
      </c>
      <c r="B633">
        <f>S632</f>
        <v/>
      </c>
      <c r="C633">
        <f>T632</f>
        <v/>
      </c>
      <c r="D633">
        <f>U632</f>
        <v/>
      </c>
      <c r="E633">
        <f>MAX(0,Assumptions!$B$34/IF(B633&lt;Assumptions!$B$25,Assumptions!$B$25*(Assumptions!$B$50+Assumptions!$B$5/Assumptions!$B$25)/(Assumptions!$B$50+Assumptions!$B$5/B633),Assumptions!$B$25)-Assumptions!$B$42)+MAX(0,Assumptions!$B$35/IF(B633&lt;Assumptions!$B$26,Assumptions!$B$26*(Assumptions!$B$50+Assumptions!$B$5/Assumptions!$B$26)/(Assumptions!$B$50+Assumptions!$B$5/B633),Assumptions!$B$26)-Assumptions!$B$43)</f>
        <v/>
      </c>
      <c r="F633">
        <f>Assumptions!$B$5/B633</f>
        <v/>
      </c>
      <c r="G633">
        <f>$B$613*(((Assumptions!$B$50-Assumptions!$B$51+E633+C633+D633)+F633)/(1-$B$613))-Assumptions!$B$51</f>
        <v/>
      </c>
      <c r="H633">
        <f>MAX(0,G633)</f>
        <v/>
      </c>
      <c r="I633">
        <f>Assumptions!$B$50+E633+H633+C633+D633</f>
        <v/>
      </c>
      <c r="J633">
        <f>I633+F633</f>
        <v/>
      </c>
      <c r="K633">
        <f>Assumptions!$B$50+E633+H633+D633</f>
        <v/>
      </c>
      <c r="L633">
        <f>Assumptions!$B$50+E633+H633+C633</f>
        <v/>
      </c>
      <c r="M633">
        <f>Assumptions!$B$60/K633</f>
        <v/>
      </c>
      <c r="N633">
        <f>B633*(1-Assumptions!$B$61)</f>
        <v/>
      </c>
      <c r="O633">
        <f>MIN(M633,N633)</f>
        <v/>
      </c>
      <c r="P633">
        <f>Assumptions!$B$63/L633</f>
        <v/>
      </c>
      <c r="Q633">
        <f>B633*(1-Assumptions!$B$64)</f>
        <v/>
      </c>
      <c r="R633">
        <f>MIN(P633,Q633)</f>
        <v/>
      </c>
      <c r="S633">
        <f>$B$614/I633</f>
        <v/>
      </c>
      <c r="T633">
        <f>Assumptions!$B$59/O633</f>
        <v/>
      </c>
      <c r="U633">
        <f>Assumptions!$B$62/R633</f>
        <v/>
      </c>
    </row>
    <row r="634">
      <c r="A634" t="n">
        <v>17</v>
      </c>
      <c r="B634">
        <f>S633</f>
        <v/>
      </c>
      <c r="C634">
        <f>T633</f>
        <v/>
      </c>
      <c r="D634">
        <f>U633</f>
        <v/>
      </c>
      <c r="E634">
        <f>MAX(0,Assumptions!$B$34/IF(B634&lt;Assumptions!$B$25,Assumptions!$B$25*(Assumptions!$B$50+Assumptions!$B$5/Assumptions!$B$25)/(Assumptions!$B$50+Assumptions!$B$5/B634),Assumptions!$B$25)-Assumptions!$B$42)+MAX(0,Assumptions!$B$35/IF(B634&lt;Assumptions!$B$26,Assumptions!$B$26*(Assumptions!$B$50+Assumptions!$B$5/Assumptions!$B$26)/(Assumptions!$B$50+Assumptions!$B$5/B634),Assumptions!$B$26)-Assumptions!$B$43)</f>
        <v/>
      </c>
      <c r="F634">
        <f>Assumptions!$B$5/B634</f>
        <v/>
      </c>
      <c r="G634">
        <f>$B$613*(((Assumptions!$B$50-Assumptions!$B$51+E634+C634+D634)+F634)/(1-$B$613))-Assumptions!$B$51</f>
        <v/>
      </c>
      <c r="H634">
        <f>MAX(0,G634)</f>
        <v/>
      </c>
      <c r="I634">
        <f>Assumptions!$B$50+E634+H634+C634+D634</f>
        <v/>
      </c>
      <c r="J634">
        <f>I634+F634</f>
        <v/>
      </c>
      <c r="K634">
        <f>Assumptions!$B$50+E634+H634+D634</f>
        <v/>
      </c>
      <c r="L634">
        <f>Assumptions!$B$50+E634+H634+C634</f>
        <v/>
      </c>
      <c r="M634">
        <f>Assumptions!$B$60/K634</f>
        <v/>
      </c>
      <c r="N634">
        <f>B634*(1-Assumptions!$B$61)</f>
        <v/>
      </c>
      <c r="O634">
        <f>MIN(M634,N634)</f>
        <v/>
      </c>
      <c r="P634">
        <f>Assumptions!$B$63/L634</f>
        <v/>
      </c>
      <c r="Q634">
        <f>B634*(1-Assumptions!$B$64)</f>
        <v/>
      </c>
      <c r="R634">
        <f>MIN(P634,Q634)</f>
        <v/>
      </c>
      <c r="S634">
        <f>$B$614/I634</f>
        <v/>
      </c>
      <c r="T634">
        <f>Assumptions!$B$59/O634</f>
        <v/>
      </c>
      <c r="U634">
        <f>Assumptions!$B$62/R634</f>
        <v/>
      </c>
    </row>
    <row r="635">
      <c r="A635" t="n">
        <v>18</v>
      </c>
      <c r="B635">
        <f>S634</f>
        <v/>
      </c>
      <c r="C635">
        <f>T634</f>
        <v/>
      </c>
      <c r="D635">
        <f>U634</f>
        <v/>
      </c>
      <c r="E635">
        <f>MAX(0,Assumptions!$B$34/IF(B635&lt;Assumptions!$B$25,Assumptions!$B$25*(Assumptions!$B$50+Assumptions!$B$5/Assumptions!$B$25)/(Assumptions!$B$50+Assumptions!$B$5/B635),Assumptions!$B$25)-Assumptions!$B$42)+MAX(0,Assumptions!$B$35/IF(B635&lt;Assumptions!$B$26,Assumptions!$B$26*(Assumptions!$B$50+Assumptions!$B$5/Assumptions!$B$26)/(Assumptions!$B$50+Assumptions!$B$5/B635),Assumptions!$B$26)-Assumptions!$B$43)</f>
        <v/>
      </c>
      <c r="F635">
        <f>Assumptions!$B$5/B635</f>
        <v/>
      </c>
      <c r="G635">
        <f>$B$613*(((Assumptions!$B$50-Assumptions!$B$51+E635+C635+D635)+F635)/(1-$B$613))-Assumptions!$B$51</f>
        <v/>
      </c>
      <c r="H635">
        <f>MAX(0,G635)</f>
        <v/>
      </c>
      <c r="I635">
        <f>Assumptions!$B$50+E635+H635+C635+D635</f>
        <v/>
      </c>
      <c r="J635">
        <f>I635+F635</f>
        <v/>
      </c>
      <c r="K635">
        <f>Assumptions!$B$50+E635+H635+D635</f>
        <v/>
      </c>
      <c r="L635">
        <f>Assumptions!$B$50+E635+H635+C635</f>
        <v/>
      </c>
      <c r="M635">
        <f>Assumptions!$B$60/K635</f>
        <v/>
      </c>
      <c r="N635">
        <f>B635*(1-Assumptions!$B$61)</f>
        <v/>
      </c>
      <c r="O635">
        <f>MIN(M635,N635)</f>
        <v/>
      </c>
      <c r="P635">
        <f>Assumptions!$B$63/L635</f>
        <v/>
      </c>
      <c r="Q635">
        <f>B635*(1-Assumptions!$B$64)</f>
        <v/>
      </c>
      <c r="R635">
        <f>MIN(P635,Q635)</f>
        <v/>
      </c>
      <c r="S635">
        <f>$B$614/I635</f>
        <v/>
      </c>
      <c r="T635">
        <f>Assumptions!$B$59/O635</f>
        <v/>
      </c>
      <c r="U635">
        <f>Assumptions!$B$62/R635</f>
        <v/>
      </c>
    </row>
    <row r="636">
      <c r="A636" t="n">
        <v>19</v>
      </c>
      <c r="B636">
        <f>S635</f>
        <v/>
      </c>
      <c r="C636">
        <f>T635</f>
        <v/>
      </c>
      <c r="D636">
        <f>U635</f>
        <v/>
      </c>
      <c r="E636">
        <f>MAX(0,Assumptions!$B$34/IF(B636&lt;Assumptions!$B$25,Assumptions!$B$25*(Assumptions!$B$50+Assumptions!$B$5/Assumptions!$B$25)/(Assumptions!$B$50+Assumptions!$B$5/B636),Assumptions!$B$25)-Assumptions!$B$42)+MAX(0,Assumptions!$B$35/IF(B636&lt;Assumptions!$B$26,Assumptions!$B$26*(Assumptions!$B$50+Assumptions!$B$5/Assumptions!$B$26)/(Assumptions!$B$50+Assumptions!$B$5/B636),Assumptions!$B$26)-Assumptions!$B$43)</f>
        <v/>
      </c>
      <c r="F636">
        <f>Assumptions!$B$5/B636</f>
        <v/>
      </c>
      <c r="G636">
        <f>$B$613*(((Assumptions!$B$50-Assumptions!$B$51+E636+C636+D636)+F636)/(1-$B$613))-Assumptions!$B$51</f>
        <v/>
      </c>
      <c r="H636">
        <f>MAX(0,G636)</f>
        <v/>
      </c>
      <c r="I636">
        <f>Assumptions!$B$50+E636+H636+C636+D636</f>
        <v/>
      </c>
      <c r="J636">
        <f>I636+F636</f>
        <v/>
      </c>
      <c r="K636">
        <f>Assumptions!$B$50+E636+H636+D636</f>
        <v/>
      </c>
      <c r="L636">
        <f>Assumptions!$B$50+E636+H636+C636</f>
        <v/>
      </c>
      <c r="M636">
        <f>Assumptions!$B$60/K636</f>
        <v/>
      </c>
      <c r="N636">
        <f>B636*(1-Assumptions!$B$61)</f>
        <v/>
      </c>
      <c r="O636">
        <f>MIN(M636,N636)</f>
        <v/>
      </c>
      <c r="P636">
        <f>Assumptions!$B$63/L636</f>
        <v/>
      </c>
      <c r="Q636">
        <f>B636*(1-Assumptions!$B$64)</f>
        <v/>
      </c>
      <c r="R636">
        <f>MIN(P636,Q636)</f>
        <v/>
      </c>
      <c r="S636">
        <f>$B$614/I636</f>
        <v/>
      </c>
      <c r="T636">
        <f>Assumptions!$B$59/O636</f>
        <v/>
      </c>
      <c r="U636">
        <f>Assumptions!$B$62/R636</f>
        <v/>
      </c>
    </row>
    <row r="637">
      <c r="A637" t="n">
        <v>20</v>
      </c>
      <c r="B637">
        <f>S636</f>
        <v/>
      </c>
      <c r="C637">
        <f>T636</f>
        <v/>
      </c>
      <c r="D637">
        <f>U636</f>
        <v/>
      </c>
      <c r="E637">
        <f>MAX(0,Assumptions!$B$34/IF(B637&lt;Assumptions!$B$25,Assumptions!$B$25*(Assumptions!$B$50+Assumptions!$B$5/Assumptions!$B$25)/(Assumptions!$B$50+Assumptions!$B$5/B637),Assumptions!$B$25)-Assumptions!$B$42)+MAX(0,Assumptions!$B$35/IF(B637&lt;Assumptions!$B$26,Assumptions!$B$26*(Assumptions!$B$50+Assumptions!$B$5/Assumptions!$B$26)/(Assumptions!$B$50+Assumptions!$B$5/B637),Assumptions!$B$26)-Assumptions!$B$43)</f>
        <v/>
      </c>
      <c r="F637">
        <f>Assumptions!$B$5/B637</f>
        <v/>
      </c>
      <c r="G637">
        <f>$B$613*(((Assumptions!$B$50-Assumptions!$B$51+E637+C637+D637)+F637)/(1-$B$613))-Assumptions!$B$51</f>
        <v/>
      </c>
      <c r="H637">
        <f>MAX(0,G637)</f>
        <v/>
      </c>
      <c r="I637">
        <f>Assumptions!$B$50+E637+H637+C637+D637</f>
        <v/>
      </c>
      <c r="J637">
        <f>I637+F637</f>
        <v/>
      </c>
      <c r="K637">
        <f>Assumptions!$B$50+E637+H637+D637</f>
        <v/>
      </c>
      <c r="L637">
        <f>Assumptions!$B$50+E637+H637+C637</f>
        <v/>
      </c>
      <c r="M637">
        <f>Assumptions!$B$60/K637</f>
        <v/>
      </c>
      <c r="N637">
        <f>B637*(1-Assumptions!$B$61)</f>
        <v/>
      </c>
      <c r="O637">
        <f>MIN(M637,N637)</f>
        <v/>
      </c>
      <c r="P637">
        <f>Assumptions!$B$63/L637</f>
        <v/>
      </c>
      <c r="Q637">
        <f>B637*(1-Assumptions!$B$64)</f>
        <v/>
      </c>
      <c r="R637">
        <f>MIN(P637,Q637)</f>
        <v/>
      </c>
      <c r="S637">
        <f>$B$614/I637</f>
        <v/>
      </c>
      <c r="T637">
        <f>Assumptions!$B$59/O637</f>
        <v/>
      </c>
      <c r="U637">
        <f>Assumptions!$B$62/R637</f>
        <v/>
      </c>
    </row>
    <row r="638">
      <c r="A638" t="n">
        <v>21</v>
      </c>
      <c r="B638">
        <f>S637</f>
        <v/>
      </c>
      <c r="C638">
        <f>T637</f>
        <v/>
      </c>
      <c r="D638">
        <f>U637</f>
        <v/>
      </c>
      <c r="E638">
        <f>MAX(0,Assumptions!$B$34/IF(B638&lt;Assumptions!$B$25,Assumptions!$B$25*(Assumptions!$B$50+Assumptions!$B$5/Assumptions!$B$25)/(Assumptions!$B$50+Assumptions!$B$5/B638),Assumptions!$B$25)-Assumptions!$B$42)+MAX(0,Assumptions!$B$35/IF(B638&lt;Assumptions!$B$26,Assumptions!$B$26*(Assumptions!$B$50+Assumptions!$B$5/Assumptions!$B$26)/(Assumptions!$B$50+Assumptions!$B$5/B638),Assumptions!$B$26)-Assumptions!$B$43)</f>
        <v/>
      </c>
      <c r="F638">
        <f>Assumptions!$B$5/B638</f>
        <v/>
      </c>
      <c r="G638">
        <f>$B$613*(((Assumptions!$B$50-Assumptions!$B$51+E638+C638+D638)+F638)/(1-$B$613))-Assumptions!$B$51</f>
        <v/>
      </c>
      <c r="H638">
        <f>MAX(0,G638)</f>
        <v/>
      </c>
      <c r="I638">
        <f>Assumptions!$B$50+E638+H638+C638+D638</f>
        <v/>
      </c>
      <c r="J638">
        <f>I638+F638</f>
        <v/>
      </c>
      <c r="K638">
        <f>Assumptions!$B$50+E638+H638+D638</f>
        <v/>
      </c>
      <c r="L638">
        <f>Assumptions!$B$50+E638+H638+C638</f>
        <v/>
      </c>
      <c r="M638">
        <f>Assumptions!$B$60/K638</f>
        <v/>
      </c>
      <c r="N638">
        <f>B638*(1-Assumptions!$B$61)</f>
        <v/>
      </c>
      <c r="O638">
        <f>MIN(M638,N638)</f>
        <v/>
      </c>
      <c r="P638">
        <f>Assumptions!$B$63/L638</f>
        <v/>
      </c>
      <c r="Q638">
        <f>B638*(1-Assumptions!$B$64)</f>
        <v/>
      </c>
      <c r="R638">
        <f>MIN(P638,Q638)</f>
        <v/>
      </c>
      <c r="S638">
        <f>$B$614/I638</f>
        <v/>
      </c>
      <c r="T638">
        <f>Assumptions!$B$59/O638</f>
        <v/>
      </c>
      <c r="U638">
        <f>Assumptions!$B$62/R638</f>
        <v/>
      </c>
    </row>
    <row r="639">
      <c r="A639" t="n">
        <v>22</v>
      </c>
      <c r="B639">
        <f>S638</f>
        <v/>
      </c>
      <c r="C639">
        <f>T638</f>
        <v/>
      </c>
      <c r="D639">
        <f>U638</f>
        <v/>
      </c>
      <c r="E639">
        <f>MAX(0,Assumptions!$B$34/IF(B639&lt;Assumptions!$B$25,Assumptions!$B$25*(Assumptions!$B$50+Assumptions!$B$5/Assumptions!$B$25)/(Assumptions!$B$50+Assumptions!$B$5/B639),Assumptions!$B$25)-Assumptions!$B$42)+MAX(0,Assumptions!$B$35/IF(B639&lt;Assumptions!$B$26,Assumptions!$B$26*(Assumptions!$B$50+Assumptions!$B$5/Assumptions!$B$26)/(Assumptions!$B$50+Assumptions!$B$5/B639),Assumptions!$B$26)-Assumptions!$B$43)</f>
        <v/>
      </c>
      <c r="F639">
        <f>Assumptions!$B$5/B639</f>
        <v/>
      </c>
      <c r="G639">
        <f>$B$613*(((Assumptions!$B$50-Assumptions!$B$51+E639+C639+D639)+F639)/(1-$B$613))-Assumptions!$B$51</f>
        <v/>
      </c>
      <c r="H639">
        <f>MAX(0,G639)</f>
        <v/>
      </c>
      <c r="I639">
        <f>Assumptions!$B$50+E639+H639+C639+D639</f>
        <v/>
      </c>
      <c r="J639">
        <f>I639+F639</f>
        <v/>
      </c>
      <c r="K639">
        <f>Assumptions!$B$50+E639+H639+D639</f>
        <v/>
      </c>
      <c r="L639">
        <f>Assumptions!$B$50+E639+H639+C639</f>
        <v/>
      </c>
      <c r="M639">
        <f>Assumptions!$B$60/K639</f>
        <v/>
      </c>
      <c r="N639">
        <f>B639*(1-Assumptions!$B$61)</f>
        <v/>
      </c>
      <c r="O639">
        <f>MIN(M639,N639)</f>
        <v/>
      </c>
      <c r="P639">
        <f>Assumptions!$B$63/L639</f>
        <v/>
      </c>
      <c r="Q639">
        <f>B639*(1-Assumptions!$B$64)</f>
        <v/>
      </c>
      <c r="R639">
        <f>MIN(P639,Q639)</f>
        <v/>
      </c>
      <c r="S639">
        <f>$B$614/I639</f>
        <v/>
      </c>
      <c r="T639">
        <f>Assumptions!$B$59/O639</f>
        <v/>
      </c>
      <c r="U639">
        <f>Assumptions!$B$62/R639</f>
        <v/>
      </c>
    </row>
    <row r="640">
      <c r="A640" t="n">
        <v>23</v>
      </c>
      <c r="B640">
        <f>S639</f>
        <v/>
      </c>
      <c r="C640">
        <f>T639</f>
        <v/>
      </c>
      <c r="D640">
        <f>U639</f>
        <v/>
      </c>
      <c r="E640">
        <f>MAX(0,Assumptions!$B$34/IF(B640&lt;Assumptions!$B$25,Assumptions!$B$25*(Assumptions!$B$50+Assumptions!$B$5/Assumptions!$B$25)/(Assumptions!$B$50+Assumptions!$B$5/B640),Assumptions!$B$25)-Assumptions!$B$42)+MAX(0,Assumptions!$B$35/IF(B640&lt;Assumptions!$B$26,Assumptions!$B$26*(Assumptions!$B$50+Assumptions!$B$5/Assumptions!$B$26)/(Assumptions!$B$50+Assumptions!$B$5/B640),Assumptions!$B$26)-Assumptions!$B$43)</f>
        <v/>
      </c>
      <c r="F640">
        <f>Assumptions!$B$5/B640</f>
        <v/>
      </c>
      <c r="G640">
        <f>$B$613*(((Assumptions!$B$50-Assumptions!$B$51+E640+C640+D640)+F640)/(1-$B$613))-Assumptions!$B$51</f>
        <v/>
      </c>
      <c r="H640">
        <f>MAX(0,G640)</f>
        <v/>
      </c>
      <c r="I640">
        <f>Assumptions!$B$50+E640+H640+C640+D640</f>
        <v/>
      </c>
      <c r="J640">
        <f>I640+F640</f>
        <v/>
      </c>
      <c r="K640">
        <f>Assumptions!$B$50+E640+H640+D640</f>
        <v/>
      </c>
      <c r="L640">
        <f>Assumptions!$B$50+E640+H640+C640</f>
        <v/>
      </c>
      <c r="M640">
        <f>Assumptions!$B$60/K640</f>
        <v/>
      </c>
      <c r="N640">
        <f>B640*(1-Assumptions!$B$61)</f>
        <v/>
      </c>
      <c r="O640">
        <f>MIN(M640,N640)</f>
        <v/>
      </c>
      <c r="P640">
        <f>Assumptions!$B$63/L640</f>
        <v/>
      </c>
      <c r="Q640">
        <f>B640*(1-Assumptions!$B$64)</f>
        <v/>
      </c>
      <c r="R640">
        <f>MIN(P640,Q640)</f>
        <v/>
      </c>
      <c r="S640">
        <f>$B$614/I640</f>
        <v/>
      </c>
      <c r="T640">
        <f>Assumptions!$B$59/O640</f>
        <v/>
      </c>
      <c r="U640">
        <f>Assumptions!$B$62/R640</f>
        <v/>
      </c>
    </row>
    <row r="641">
      <c r="A641" t="n">
        <v>24</v>
      </c>
      <c r="B641">
        <f>S640</f>
        <v/>
      </c>
      <c r="C641">
        <f>T640</f>
        <v/>
      </c>
      <c r="D641">
        <f>U640</f>
        <v/>
      </c>
      <c r="E641">
        <f>MAX(0,Assumptions!$B$34/IF(B641&lt;Assumptions!$B$25,Assumptions!$B$25*(Assumptions!$B$50+Assumptions!$B$5/Assumptions!$B$25)/(Assumptions!$B$50+Assumptions!$B$5/B641),Assumptions!$B$25)-Assumptions!$B$42)+MAX(0,Assumptions!$B$35/IF(B641&lt;Assumptions!$B$26,Assumptions!$B$26*(Assumptions!$B$50+Assumptions!$B$5/Assumptions!$B$26)/(Assumptions!$B$50+Assumptions!$B$5/B641),Assumptions!$B$26)-Assumptions!$B$43)</f>
        <v/>
      </c>
      <c r="F641">
        <f>Assumptions!$B$5/B641</f>
        <v/>
      </c>
      <c r="G641">
        <f>$B$613*(((Assumptions!$B$50-Assumptions!$B$51+E641+C641+D641)+F641)/(1-$B$613))-Assumptions!$B$51</f>
        <v/>
      </c>
      <c r="H641">
        <f>MAX(0,G641)</f>
        <v/>
      </c>
      <c r="I641">
        <f>Assumptions!$B$50+E641+H641+C641+D641</f>
        <v/>
      </c>
      <c r="J641">
        <f>I641+F641</f>
        <v/>
      </c>
      <c r="K641">
        <f>Assumptions!$B$50+E641+H641+D641</f>
        <v/>
      </c>
      <c r="L641">
        <f>Assumptions!$B$50+E641+H641+C641</f>
        <v/>
      </c>
      <c r="M641">
        <f>Assumptions!$B$60/K641</f>
        <v/>
      </c>
      <c r="N641">
        <f>B641*(1-Assumptions!$B$61)</f>
        <v/>
      </c>
      <c r="O641">
        <f>MIN(M641,N641)</f>
        <v/>
      </c>
      <c r="P641">
        <f>Assumptions!$B$63/L641</f>
        <v/>
      </c>
      <c r="Q641">
        <f>B641*(1-Assumptions!$B$64)</f>
        <v/>
      </c>
      <c r="R641">
        <f>MIN(P641,Q641)</f>
        <v/>
      </c>
      <c r="S641">
        <f>$B$614/I641</f>
        <v/>
      </c>
      <c r="T641">
        <f>Assumptions!$B$59/O641</f>
        <v/>
      </c>
      <c r="U641">
        <f>Assumptions!$B$62/R641</f>
        <v/>
      </c>
    </row>
    <row r="642">
      <c r="A642" t="n">
        <v>25</v>
      </c>
      <c r="B642">
        <f>S641</f>
        <v/>
      </c>
      <c r="C642">
        <f>T641</f>
        <v/>
      </c>
      <c r="D642">
        <f>U641</f>
        <v/>
      </c>
      <c r="E642">
        <f>MAX(0,Assumptions!$B$34/IF(B642&lt;Assumptions!$B$25,Assumptions!$B$25*(Assumptions!$B$50+Assumptions!$B$5/Assumptions!$B$25)/(Assumptions!$B$50+Assumptions!$B$5/B642),Assumptions!$B$25)-Assumptions!$B$42)+MAX(0,Assumptions!$B$35/IF(B642&lt;Assumptions!$B$26,Assumptions!$B$26*(Assumptions!$B$50+Assumptions!$B$5/Assumptions!$B$26)/(Assumptions!$B$50+Assumptions!$B$5/B642),Assumptions!$B$26)-Assumptions!$B$43)</f>
        <v/>
      </c>
      <c r="F642">
        <f>Assumptions!$B$5/B642</f>
        <v/>
      </c>
      <c r="G642">
        <f>$B$613*(((Assumptions!$B$50-Assumptions!$B$51+E642+C642+D642)+F642)/(1-$B$613))-Assumptions!$B$51</f>
        <v/>
      </c>
      <c r="H642">
        <f>MAX(0,G642)</f>
        <v/>
      </c>
      <c r="I642">
        <f>Assumptions!$B$50+E642+H642+C642+D642</f>
        <v/>
      </c>
      <c r="J642">
        <f>I642+F642</f>
        <v/>
      </c>
      <c r="K642">
        <f>Assumptions!$B$50+E642+H642+D642</f>
        <v/>
      </c>
      <c r="L642">
        <f>Assumptions!$B$50+E642+H642+C642</f>
        <v/>
      </c>
      <c r="M642">
        <f>Assumptions!$B$60/K642</f>
        <v/>
      </c>
      <c r="N642">
        <f>B642*(1-Assumptions!$B$61)</f>
        <v/>
      </c>
      <c r="O642">
        <f>MIN(M642,N642)</f>
        <v/>
      </c>
      <c r="P642">
        <f>Assumptions!$B$63/L642</f>
        <v/>
      </c>
      <c r="Q642">
        <f>B642*(1-Assumptions!$B$64)</f>
        <v/>
      </c>
      <c r="R642">
        <f>MIN(P642,Q642)</f>
        <v/>
      </c>
      <c r="S642">
        <f>$B$614/I642</f>
        <v/>
      </c>
      <c r="T642">
        <f>Assumptions!$B$59/O642</f>
        <v/>
      </c>
      <c r="U642">
        <f>Assumptions!$B$62/R642</f>
        <v/>
      </c>
    </row>
    <row r="643">
      <c r="A643" t="n">
        <v>26</v>
      </c>
      <c r="B643">
        <f>S642</f>
        <v/>
      </c>
      <c r="C643">
        <f>T642</f>
        <v/>
      </c>
      <c r="D643">
        <f>U642</f>
        <v/>
      </c>
      <c r="E643">
        <f>MAX(0,Assumptions!$B$34/IF(B643&lt;Assumptions!$B$25,Assumptions!$B$25*(Assumptions!$B$50+Assumptions!$B$5/Assumptions!$B$25)/(Assumptions!$B$50+Assumptions!$B$5/B643),Assumptions!$B$25)-Assumptions!$B$42)+MAX(0,Assumptions!$B$35/IF(B643&lt;Assumptions!$B$26,Assumptions!$B$26*(Assumptions!$B$50+Assumptions!$B$5/Assumptions!$B$26)/(Assumptions!$B$50+Assumptions!$B$5/B643),Assumptions!$B$26)-Assumptions!$B$43)</f>
        <v/>
      </c>
      <c r="F643">
        <f>Assumptions!$B$5/B643</f>
        <v/>
      </c>
      <c r="G643">
        <f>$B$613*(((Assumptions!$B$50-Assumptions!$B$51+E643+C643+D643)+F643)/(1-$B$613))-Assumptions!$B$51</f>
        <v/>
      </c>
      <c r="H643">
        <f>MAX(0,G643)</f>
        <v/>
      </c>
      <c r="I643">
        <f>Assumptions!$B$50+E643+H643+C643+D643</f>
        <v/>
      </c>
      <c r="J643">
        <f>I643+F643</f>
        <v/>
      </c>
      <c r="K643">
        <f>Assumptions!$B$50+E643+H643+D643</f>
        <v/>
      </c>
      <c r="L643">
        <f>Assumptions!$B$50+E643+H643+C643</f>
        <v/>
      </c>
      <c r="M643">
        <f>Assumptions!$B$60/K643</f>
        <v/>
      </c>
      <c r="N643">
        <f>B643*(1-Assumptions!$B$61)</f>
        <v/>
      </c>
      <c r="O643">
        <f>MIN(M643,N643)</f>
        <v/>
      </c>
      <c r="P643">
        <f>Assumptions!$B$63/L643</f>
        <v/>
      </c>
      <c r="Q643">
        <f>B643*(1-Assumptions!$B$64)</f>
        <v/>
      </c>
      <c r="R643">
        <f>MIN(P643,Q643)</f>
        <v/>
      </c>
      <c r="S643">
        <f>$B$614/I643</f>
        <v/>
      </c>
      <c r="T643">
        <f>Assumptions!$B$59/O643</f>
        <v/>
      </c>
      <c r="U643">
        <f>Assumptions!$B$62/R643</f>
        <v/>
      </c>
    </row>
    <row r="644">
      <c r="A644" t="n">
        <v>27</v>
      </c>
      <c r="B644">
        <f>S643</f>
        <v/>
      </c>
      <c r="C644">
        <f>T643</f>
        <v/>
      </c>
      <c r="D644">
        <f>U643</f>
        <v/>
      </c>
      <c r="E644">
        <f>MAX(0,Assumptions!$B$34/IF(B644&lt;Assumptions!$B$25,Assumptions!$B$25*(Assumptions!$B$50+Assumptions!$B$5/Assumptions!$B$25)/(Assumptions!$B$50+Assumptions!$B$5/B644),Assumptions!$B$25)-Assumptions!$B$42)+MAX(0,Assumptions!$B$35/IF(B644&lt;Assumptions!$B$26,Assumptions!$B$26*(Assumptions!$B$50+Assumptions!$B$5/Assumptions!$B$26)/(Assumptions!$B$50+Assumptions!$B$5/B644),Assumptions!$B$26)-Assumptions!$B$43)</f>
        <v/>
      </c>
      <c r="F644">
        <f>Assumptions!$B$5/B644</f>
        <v/>
      </c>
      <c r="G644">
        <f>$B$613*(((Assumptions!$B$50-Assumptions!$B$51+E644+C644+D644)+F644)/(1-$B$613))-Assumptions!$B$51</f>
        <v/>
      </c>
      <c r="H644">
        <f>MAX(0,G644)</f>
        <v/>
      </c>
      <c r="I644">
        <f>Assumptions!$B$50+E644+H644+C644+D644</f>
        <v/>
      </c>
      <c r="J644">
        <f>I644+F644</f>
        <v/>
      </c>
      <c r="K644">
        <f>Assumptions!$B$50+E644+H644+D644</f>
        <v/>
      </c>
      <c r="L644">
        <f>Assumptions!$B$50+E644+H644+C644</f>
        <v/>
      </c>
      <c r="M644">
        <f>Assumptions!$B$60/K644</f>
        <v/>
      </c>
      <c r="N644">
        <f>B644*(1-Assumptions!$B$61)</f>
        <v/>
      </c>
      <c r="O644">
        <f>MIN(M644,N644)</f>
        <v/>
      </c>
      <c r="P644">
        <f>Assumptions!$B$63/L644</f>
        <v/>
      </c>
      <c r="Q644">
        <f>B644*(1-Assumptions!$B$64)</f>
        <v/>
      </c>
      <c r="R644">
        <f>MIN(P644,Q644)</f>
        <v/>
      </c>
      <c r="S644">
        <f>$B$614/I644</f>
        <v/>
      </c>
      <c r="T644">
        <f>Assumptions!$B$59/O644</f>
        <v/>
      </c>
      <c r="U644">
        <f>Assumptions!$B$62/R644</f>
        <v/>
      </c>
    </row>
    <row r="645">
      <c r="A645" t="n">
        <v>28</v>
      </c>
      <c r="B645">
        <f>S644</f>
        <v/>
      </c>
      <c r="C645">
        <f>T644</f>
        <v/>
      </c>
      <c r="D645">
        <f>U644</f>
        <v/>
      </c>
      <c r="E645">
        <f>MAX(0,Assumptions!$B$34/IF(B645&lt;Assumptions!$B$25,Assumptions!$B$25*(Assumptions!$B$50+Assumptions!$B$5/Assumptions!$B$25)/(Assumptions!$B$50+Assumptions!$B$5/B645),Assumptions!$B$25)-Assumptions!$B$42)+MAX(0,Assumptions!$B$35/IF(B645&lt;Assumptions!$B$26,Assumptions!$B$26*(Assumptions!$B$50+Assumptions!$B$5/Assumptions!$B$26)/(Assumptions!$B$50+Assumptions!$B$5/B645),Assumptions!$B$26)-Assumptions!$B$43)</f>
        <v/>
      </c>
      <c r="F645">
        <f>Assumptions!$B$5/B645</f>
        <v/>
      </c>
      <c r="G645">
        <f>$B$613*(((Assumptions!$B$50-Assumptions!$B$51+E645+C645+D645)+F645)/(1-$B$613))-Assumptions!$B$51</f>
        <v/>
      </c>
      <c r="H645">
        <f>MAX(0,G645)</f>
        <v/>
      </c>
      <c r="I645">
        <f>Assumptions!$B$50+E645+H645+C645+D645</f>
        <v/>
      </c>
      <c r="J645">
        <f>I645+F645</f>
        <v/>
      </c>
      <c r="K645">
        <f>Assumptions!$B$50+E645+H645+D645</f>
        <v/>
      </c>
      <c r="L645">
        <f>Assumptions!$B$50+E645+H645+C645</f>
        <v/>
      </c>
      <c r="M645">
        <f>Assumptions!$B$60/K645</f>
        <v/>
      </c>
      <c r="N645">
        <f>B645*(1-Assumptions!$B$61)</f>
        <v/>
      </c>
      <c r="O645">
        <f>MIN(M645,N645)</f>
        <v/>
      </c>
      <c r="P645">
        <f>Assumptions!$B$63/L645</f>
        <v/>
      </c>
      <c r="Q645">
        <f>B645*(1-Assumptions!$B$64)</f>
        <v/>
      </c>
      <c r="R645">
        <f>MIN(P645,Q645)</f>
        <v/>
      </c>
      <c r="S645">
        <f>$B$614/I645</f>
        <v/>
      </c>
      <c r="T645">
        <f>Assumptions!$B$59/O645</f>
        <v/>
      </c>
      <c r="U645">
        <f>Assumptions!$B$62/R645</f>
        <v/>
      </c>
    </row>
    <row r="646">
      <c r="A646" t="n">
        <v>29</v>
      </c>
      <c r="B646">
        <f>S645</f>
        <v/>
      </c>
      <c r="C646">
        <f>T645</f>
        <v/>
      </c>
      <c r="D646">
        <f>U645</f>
        <v/>
      </c>
      <c r="E646">
        <f>MAX(0,Assumptions!$B$34/IF(B646&lt;Assumptions!$B$25,Assumptions!$B$25*(Assumptions!$B$50+Assumptions!$B$5/Assumptions!$B$25)/(Assumptions!$B$50+Assumptions!$B$5/B646),Assumptions!$B$25)-Assumptions!$B$42)+MAX(0,Assumptions!$B$35/IF(B646&lt;Assumptions!$B$26,Assumptions!$B$26*(Assumptions!$B$50+Assumptions!$B$5/Assumptions!$B$26)/(Assumptions!$B$50+Assumptions!$B$5/B646),Assumptions!$B$26)-Assumptions!$B$43)</f>
        <v/>
      </c>
      <c r="F646">
        <f>Assumptions!$B$5/B646</f>
        <v/>
      </c>
      <c r="G646">
        <f>$B$613*(((Assumptions!$B$50-Assumptions!$B$51+E646+C646+D646)+F646)/(1-$B$613))-Assumptions!$B$51</f>
        <v/>
      </c>
      <c r="H646">
        <f>MAX(0,G646)</f>
        <v/>
      </c>
      <c r="I646">
        <f>Assumptions!$B$50+E646+H646+C646+D646</f>
        <v/>
      </c>
      <c r="J646">
        <f>I646+F646</f>
        <v/>
      </c>
      <c r="K646">
        <f>Assumptions!$B$50+E646+H646+D646</f>
        <v/>
      </c>
      <c r="L646">
        <f>Assumptions!$B$50+E646+H646+C646</f>
        <v/>
      </c>
      <c r="M646">
        <f>Assumptions!$B$60/K646</f>
        <v/>
      </c>
      <c r="N646">
        <f>B646*(1-Assumptions!$B$61)</f>
        <v/>
      </c>
      <c r="O646">
        <f>MIN(M646,N646)</f>
        <v/>
      </c>
      <c r="P646">
        <f>Assumptions!$B$63/L646</f>
        <v/>
      </c>
      <c r="Q646">
        <f>B646*(1-Assumptions!$B$64)</f>
        <v/>
      </c>
      <c r="R646">
        <f>MIN(P646,Q646)</f>
        <v/>
      </c>
      <c r="S646">
        <f>$B$614/I646</f>
        <v/>
      </c>
      <c r="T646">
        <f>Assumptions!$B$59/O646</f>
        <v/>
      </c>
      <c r="U646">
        <f>Assumptions!$B$62/R646</f>
        <v/>
      </c>
    </row>
    <row r="647">
      <c r="A647" t="n">
        <v>30</v>
      </c>
      <c r="B647">
        <f>S646</f>
        <v/>
      </c>
      <c r="C647">
        <f>T646</f>
        <v/>
      </c>
      <c r="D647">
        <f>U646</f>
        <v/>
      </c>
      <c r="E647">
        <f>MAX(0,Assumptions!$B$34/IF(B647&lt;Assumptions!$B$25,Assumptions!$B$25*(Assumptions!$B$50+Assumptions!$B$5/Assumptions!$B$25)/(Assumptions!$B$50+Assumptions!$B$5/B647),Assumptions!$B$25)-Assumptions!$B$42)+MAX(0,Assumptions!$B$35/IF(B647&lt;Assumptions!$B$26,Assumptions!$B$26*(Assumptions!$B$50+Assumptions!$B$5/Assumptions!$B$26)/(Assumptions!$B$50+Assumptions!$B$5/B647),Assumptions!$B$26)-Assumptions!$B$43)</f>
        <v/>
      </c>
      <c r="F647">
        <f>Assumptions!$B$5/B647</f>
        <v/>
      </c>
      <c r="G647">
        <f>$B$613*(((Assumptions!$B$50-Assumptions!$B$51+E647+C647+D647)+F647)/(1-$B$613))-Assumptions!$B$51</f>
        <v/>
      </c>
      <c r="H647">
        <f>MAX(0,G647)</f>
        <v/>
      </c>
      <c r="I647">
        <f>Assumptions!$B$50+E647+H647+C647+D647</f>
        <v/>
      </c>
      <c r="J647">
        <f>I647+F647</f>
        <v/>
      </c>
      <c r="K647">
        <f>Assumptions!$B$50+E647+H647+D647</f>
        <v/>
      </c>
      <c r="L647">
        <f>Assumptions!$B$50+E647+H647+C647</f>
        <v/>
      </c>
      <c r="M647">
        <f>Assumptions!$B$60/K647</f>
        <v/>
      </c>
      <c r="N647">
        <f>B647*(1-Assumptions!$B$61)</f>
        <v/>
      </c>
      <c r="O647">
        <f>MIN(M647,N647)</f>
        <v/>
      </c>
      <c r="P647">
        <f>Assumptions!$B$63/L647</f>
        <v/>
      </c>
      <c r="Q647">
        <f>B647*(1-Assumptions!$B$64)</f>
        <v/>
      </c>
      <c r="R647">
        <f>MIN(P647,Q647)</f>
        <v/>
      </c>
      <c r="S647">
        <f>$B$614/I647</f>
        <v/>
      </c>
      <c r="T647">
        <f>Assumptions!$B$59/O647</f>
        <v/>
      </c>
      <c r="U647">
        <f>Assumptions!$B$62/R647</f>
        <v/>
      </c>
    </row>
    <row r="649">
      <c r="A649" s="2" t="inlineStr">
        <is>
          <t>Solved F_PPS</t>
        </is>
      </c>
      <c r="B649">
        <f>B647</f>
        <v/>
      </c>
    </row>
    <row r="650">
      <c r="A650" t="inlineStr">
        <is>
          <t>Solved pmFD</t>
        </is>
      </c>
      <c r="B650">
        <f>I647</f>
        <v/>
      </c>
    </row>
    <row r="651">
      <c r="A651" t="inlineStr">
        <is>
          <t>Solved T_F</t>
        </is>
      </c>
      <c r="B651">
        <f>J647</f>
        <v/>
      </c>
    </row>
    <row r="652">
      <c r="A652" t="inlineStr">
        <is>
          <t>Solved AD_extra</t>
        </is>
      </c>
      <c r="B652">
        <f>E647</f>
        <v/>
      </c>
    </row>
    <row r="653">
      <c r="A653" t="inlineStr">
        <is>
          <t>Solved topup</t>
        </is>
      </c>
      <c r="B653">
        <f>H647</f>
        <v/>
      </c>
    </row>
    <row r="654">
      <c r="A654" t="inlineStr">
        <is>
          <t>Solved nA</t>
        </is>
      </c>
      <c r="B654">
        <f>C647</f>
        <v/>
      </c>
    </row>
    <row r="655">
      <c r="A655" t="inlineStr">
        <is>
          <t>Solved nB</t>
        </is>
      </c>
      <c r="B655">
        <f>D647</f>
        <v/>
      </c>
    </row>
    <row r="656">
      <c r="A656" t="inlineStr">
        <is>
          <t>Branch A</t>
        </is>
      </c>
      <c r="B656">
        <f>IF(M647&lt;N647,"cap","discount")</f>
        <v/>
      </c>
    </row>
    <row r="657">
      <c r="A657" t="inlineStr">
        <is>
          <t>Branch B</t>
        </is>
      </c>
      <c r="B657">
        <f>IF(P647&lt;Q647,"cap","discount")</f>
        <v/>
      </c>
    </row>
    <row r="659">
      <c r="A659" t="inlineStr">
        <is>
          <t>Fund shares</t>
        </is>
      </c>
      <c r="B659">
        <f>Assumptions!$B$9/B647</f>
        <v/>
      </c>
    </row>
    <row r="660">
      <c r="A660" t="inlineStr">
        <is>
          <t>Fund ownership %</t>
        </is>
      </c>
      <c r="B660" s="12">
        <f>B659/J647</f>
        <v/>
      </c>
    </row>
    <row r="661">
      <c r="A661" t="inlineStr">
        <is>
          <t>Tender shares</t>
        </is>
      </c>
      <c r="B661">
        <f>Assumptions!$B$6/(Assumptions!$B$7*B647)</f>
        <v/>
      </c>
    </row>
    <row r="662">
      <c r="A662" t="inlineStr">
        <is>
          <t>ITM test PPS</t>
        </is>
      </c>
      <c r="B662">
        <f>(Assumptions!$B$16+Assumptions!$B$11*Assumptions!$B$48)/(F647+(Assumptions!$B$35/IF(B647&lt;Assumptions!$B$26,Assumptions!$B$26*(Assumptions!$B$50+Assumptions!$B$5/Assumptions!$B$26)/(Assumptions!$B$50+Assumptions!$B$5/B647),Assumptions!$B$26))+(Assumptions!$B$34/IF(B647&lt;Assumptions!$B$25,Assumptions!$B$25*(Assumptions!$B$50+Assumptions!$B$5/Assumptions!$B$25)/(Assumptions!$B$50+Assumptions!$B$5/B647),Assumptions!$B$25))+Assumptions!$B$41+Assumptions!$B$40+Assumptions!$B$39+Assumptions!$B$38+(Assumptions!$B$44+Assumptions!$B$45+Assumptions!$B$46-B661)+Assumptions!$B$47+B661+(C647+D647)+Assumptions!$B$48)</f>
        <v/>
      </c>
    </row>
    <row r="663">
      <c r="A663" t="inlineStr">
        <is>
          <t>ITM?</t>
        </is>
      </c>
      <c r="B663">
        <f>IF(B662&gt;Assumptions!$B$11,"YES","NO")</f>
        <v/>
      </c>
    </row>
    <row r="664">
      <c r="A664" t="inlineStr">
        <is>
          <t>Effective pool</t>
        </is>
      </c>
      <c r="B664">
        <f>IF(B663="YES",(F647+(Assumptions!$B$35/IF(B647&lt;Assumptions!$B$26,Assumptions!$B$26*(Assumptions!$B$50+Assumptions!$B$5/Assumptions!$B$26)/(Assumptions!$B$50+Assumptions!$B$5/B647),Assumptions!$B$26))+(Assumptions!$B$34/IF(B647&lt;Assumptions!$B$25,Assumptions!$B$25*(Assumptions!$B$50+Assumptions!$B$5/Assumptions!$B$25)/(Assumptions!$B$50+Assumptions!$B$5/B647),Assumptions!$B$25))+Assumptions!$B$41+Assumptions!$B$40+Assumptions!$B$39+Assumptions!$B$38+(Assumptions!$B$44+Assumptions!$B$45+Assumptions!$B$46-B661)+Assumptions!$B$47+B661+(C647+D647)+Assumptions!$B$48),(F647+(Assumptions!$B$35/IF(B647&lt;Assumptions!$B$26,Assumptions!$B$26*(Assumptions!$B$50+Assumptions!$B$5/Assumptions!$B$26)/(Assumptions!$B$50+Assumptions!$B$5/B647),Assumptions!$B$26))+(Assumptions!$B$34/IF(B647&lt;Assumptions!$B$25,Assumptions!$B$25*(Assumptions!$B$50+Assumptions!$B$5/Assumptions!$B$25)/(Assumptions!$B$50+Assumptions!$B$5/B647),Assumptions!$B$25))+Assumptions!$B$41+Assumptions!$B$40+Assumptions!$B$39+Assumptions!$B$38+(Assumptions!$B$44+Assumptions!$B$45+Assumptions!$B$46-B661)+Assumptions!$B$47+B661+(C647+D647)))</f>
        <v/>
      </c>
    </row>
    <row r="665">
      <c r="A665" t="inlineStr">
        <is>
          <t>Adjusted exit</t>
        </is>
      </c>
      <c r="B665">
        <f>IF(B663="YES",Assumptions!$B$16+Assumptions!$B$11*Assumptions!$B$48,Assumptions!$B$16)</f>
        <v/>
      </c>
    </row>
    <row r="666">
      <c r="A666" s="20" t="inlineStr">
        <is>
          <t>F elect</t>
        </is>
      </c>
      <c r="B666">
        <f>IF(Assumptions!$B$5&gt;(F647)*(B665-(0))/(B664-(0)),"preference","convert")</f>
        <v/>
      </c>
    </row>
    <row r="667">
      <c r="A667" t="inlineStr">
        <is>
          <t>F pref taken</t>
        </is>
      </c>
      <c r="B667">
        <f>IF(B666="preference",Assumptions!$B$5,0)</f>
        <v/>
      </c>
    </row>
    <row r="668">
      <c r="A668" t="inlineStr">
        <is>
          <t>F pool loss</t>
        </is>
      </c>
      <c r="B668">
        <f>IF(B666="preference",F647,0)</f>
        <v/>
      </c>
    </row>
    <row r="669">
      <c r="A669" s="20" t="inlineStr">
        <is>
          <t>E elect</t>
        </is>
      </c>
      <c r="B669">
        <f>IF(Assumptions!$B$35&gt;((Assumptions!$B$35/IF(B647&lt;Assumptions!$B$26,Assumptions!$B$26*(Assumptions!$B$50+Assumptions!$B$5/Assumptions!$B$26)/(Assumptions!$B$50+Assumptions!$B$5/B647),Assumptions!$B$26)))*(B665-(B667))/(B664-(B668)),"preference","convert")</f>
        <v/>
      </c>
    </row>
    <row r="670">
      <c r="A670" t="inlineStr">
        <is>
          <t>E pref taken</t>
        </is>
      </c>
      <c r="B670">
        <f>IF(B669="preference",Assumptions!$B$35,0)</f>
        <v/>
      </c>
    </row>
    <row r="671">
      <c r="A671" t="inlineStr">
        <is>
          <t>E pool loss</t>
        </is>
      </c>
      <c r="B671">
        <f>IF(B669="preference",(Assumptions!$B$35/IF(B647&lt;Assumptions!$B$26,Assumptions!$B$26*(Assumptions!$B$50+Assumptions!$B$5/Assumptions!$B$26)/(Assumptions!$B$50+Assumptions!$B$5/B647),Assumptions!$B$26)),0)</f>
        <v/>
      </c>
    </row>
    <row r="672">
      <c r="A672" s="20" t="inlineStr">
        <is>
          <t>D elect</t>
        </is>
      </c>
      <c r="B672">
        <f>IF(Assumptions!$B$34&gt;((Assumptions!$B$34/IF(B647&lt;Assumptions!$B$25,Assumptions!$B$25*(Assumptions!$B$50+Assumptions!$B$5/Assumptions!$B$25)/(Assumptions!$B$50+Assumptions!$B$5/B647),Assumptions!$B$25)))*(B665-(B667+B670))/(B664-(B668+B671)),"preference","convert")</f>
        <v/>
      </c>
    </row>
    <row r="673">
      <c r="A673" t="inlineStr">
        <is>
          <t>D pref taken</t>
        </is>
      </c>
      <c r="B673">
        <f>IF(B672="preference",Assumptions!$B$34,0)</f>
        <v/>
      </c>
    </row>
    <row r="674">
      <c r="A674" t="inlineStr">
        <is>
          <t>D pool loss</t>
        </is>
      </c>
      <c r="B674">
        <f>IF(B672="preference",(Assumptions!$B$34/IF(B647&lt;Assumptions!$B$25,Assumptions!$B$25*(Assumptions!$B$50+Assumptions!$B$5/Assumptions!$B$25)/(Assumptions!$B$50+Assumptions!$B$5/B647),Assumptions!$B$25)),0)</f>
        <v/>
      </c>
    </row>
    <row r="675">
      <c r="A675" s="20" t="inlineStr">
        <is>
          <t>C elect</t>
        </is>
      </c>
      <c r="B675">
        <f>IF(Assumptions!$B$33&gt;(Assumptions!$B$41)*(B665-(B667+B670+B673))/(B664-(B668+B671+B674)),"preference","convert")</f>
        <v/>
      </c>
    </row>
    <row r="676">
      <c r="A676" t="inlineStr">
        <is>
          <t>C pref taken</t>
        </is>
      </c>
      <c r="B676">
        <f>IF(B675="preference",Assumptions!$B$33,0)</f>
        <v/>
      </c>
    </row>
    <row r="677">
      <c r="A677" t="inlineStr">
        <is>
          <t>C pool loss</t>
        </is>
      </c>
      <c r="B677">
        <f>IF(B675="preference",Assumptions!$B$41,0)</f>
        <v/>
      </c>
    </row>
    <row r="678">
      <c r="A678" s="20" t="inlineStr">
        <is>
          <t>B elect</t>
        </is>
      </c>
      <c r="B678">
        <f>IF(Assumptions!$B$32&gt;(Assumptions!$B$40)*(B665-(B667+B670+B673+B676))/(B664-(B668+B671+B674+B677)),"preference","convert")</f>
        <v/>
      </c>
    </row>
    <row r="679">
      <c r="A679" t="inlineStr">
        <is>
          <t>B pref taken</t>
        </is>
      </c>
      <c r="B679">
        <f>IF(B678="preference",Assumptions!$B$32,0)</f>
        <v/>
      </c>
    </row>
    <row r="680">
      <c r="A680" t="inlineStr">
        <is>
          <t>B pool loss</t>
        </is>
      </c>
      <c r="B680">
        <f>IF(B678="preference",Assumptions!$B$40,0)</f>
        <v/>
      </c>
    </row>
    <row r="681">
      <c r="A681" s="20" t="inlineStr">
        <is>
          <t>A elect</t>
        </is>
      </c>
      <c r="B681">
        <f>IF(Assumptions!$B$31&gt;(Assumptions!$B$39)*(B665-(B667+B670+B673+B676+B679))/(B664-(B668+B671+B674+B677+B680)),"preference","convert")</f>
        <v/>
      </c>
    </row>
    <row r="682">
      <c r="A682" t="inlineStr">
        <is>
          <t>A pref taken</t>
        </is>
      </c>
      <c r="B682">
        <f>IF(B681="preference",Assumptions!$B$31,0)</f>
        <v/>
      </c>
    </row>
    <row r="683">
      <c r="A683" t="inlineStr">
        <is>
          <t>A pool loss</t>
        </is>
      </c>
      <c r="B683">
        <f>IF(B681="preference",Assumptions!$B$39,0)</f>
        <v/>
      </c>
    </row>
    <row r="684">
      <c r="A684" s="20" t="inlineStr">
        <is>
          <t>Seed elect</t>
        </is>
      </c>
      <c r="B684">
        <f>IF(Assumptions!$B$30&gt;(Assumptions!$B$38)*(B665-(B667+B670+B673+B676+B679+B682))/(B664-(B668+B671+B674+B677+B680+B683)),"preference","convert")</f>
        <v/>
      </c>
    </row>
    <row r="685">
      <c r="A685" t="inlineStr">
        <is>
          <t>Seed pref taken</t>
        </is>
      </c>
      <c r="B685">
        <f>IF(B684="preference",Assumptions!$B$30,0)</f>
        <v/>
      </c>
    </row>
    <row r="686">
      <c r="A686" t="inlineStr">
        <is>
          <t>Seed pool loss</t>
        </is>
      </c>
      <c r="B686">
        <f>IF(B684="preference",Assumptions!$B$38,0)</f>
        <v/>
      </c>
    </row>
    <row r="687">
      <c r="A687" s="2" t="inlineStr">
        <is>
          <t>Final PPS at $2B</t>
        </is>
      </c>
      <c r="B687">
        <f>(B665-(B667+B670+B673+B676+B679+B682+B685))/(B664-(B668+B671+B674+B677+B680+B683+B686))</f>
        <v/>
      </c>
    </row>
    <row r="688">
      <c r="A688" s="2" t="inlineStr">
        <is>
          <t>Fund proceeds at $2B</t>
        </is>
      </c>
      <c r="B688" s="18">
        <f>IF(B666="preference",Assumptions!$B$9,B659*B687)</f>
        <v/>
      </c>
    </row>
    <row r="712">
      <c r="A712" s="2" t="inlineStr">
        <is>
          <t>Scenario [esop=15%, pre=$1.4B]</t>
        </is>
      </c>
    </row>
    <row r="713">
      <c r="A713" t="inlineStr">
        <is>
          <t>ESOP target</t>
        </is>
      </c>
      <c r="B713">
        <f>Assumptions!$B$69</f>
        <v/>
      </c>
    </row>
    <row r="714">
      <c r="A714" t="inlineStr">
        <is>
          <t>Pre-money</t>
        </is>
      </c>
      <c r="B714">
        <f>Assumptions!$B$71</f>
        <v/>
      </c>
    </row>
    <row r="716">
      <c r="A716" s="14" t="inlineStr">
        <is>
          <t>k</t>
        </is>
      </c>
      <c r="B716" s="14" t="inlineStr">
        <is>
          <t>F_PPS_k</t>
        </is>
      </c>
      <c r="C716" s="14" t="inlineStr">
        <is>
          <t>nA_k</t>
        </is>
      </c>
      <c r="D716" s="14" t="inlineStr">
        <is>
          <t>nB_k</t>
        </is>
      </c>
      <c r="E716" s="14" t="inlineStr">
        <is>
          <t>AD_x</t>
        </is>
      </c>
      <c r="F716" s="14" t="inlineStr">
        <is>
          <t>F_pri</t>
        </is>
      </c>
      <c r="G716" s="14" t="inlineStr">
        <is>
          <t>topup_p</t>
        </is>
      </c>
      <c r="H716" s="14" t="inlineStr">
        <is>
          <t>topup</t>
        </is>
      </c>
      <c r="I716" s="14" t="inlineStr">
        <is>
          <t>pmFD</t>
        </is>
      </c>
      <c r="J716" s="14" t="inlineStr">
        <is>
          <t>T_F</t>
        </is>
      </c>
      <c r="K716" s="14" t="inlineStr">
        <is>
          <t>pmFD_A</t>
        </is>
      </c>
      <c r="L716" s="14" t="inlineStr">
        <is>
          <t>pmFD_B</t>
        </is>
      </c>
      <c r="M716" s="14" t="inlineStr">
        <is>
          <t>cap_A</t>
        </is>
      </c>
      <c r="N716" s="14" t="inlineStr">
        <is>
          <t>disc_A</t>
        </is>
      </c>
      <c r="O716" s="14" t="inlineStr">
        <is>
          <t>conv_A</t>
        </is>
      </c>
      <c r="P716" s="14" t="inlineStr">
        <is>
          <t>cap_B</t>
        </is>
      </c>
      <c r="Q716" s="14" t="inlineStr">
        <is>
          <t>disc_B</t>
        </is>
      </c>
      <c r="R716" s="14" t="inlineStr">
        <is>
          <t>conv_B</t>
        </is>
      </c>
      <c r="S716" s="14" t="inlineStr">
        <is>
          <t>F_PPS_n</t>
        </is>
      </c>
      <c r="T716" s="14" t="inlineStr">
        <is>
          <t>nA_n</t>
        </is>
      </c>
      <c r="U716" s="14" t="inlineStr">
        <is>
          <t>nB_n</t>
        </is>
      </c>
    </row>
    <row r="717">
      <c r="A717" t="n">
        <v>0</v>
      </c>
      <c r="B717">
        <f>$B$714/Assumptions!$B$50</f>
        <v/>
      </c>
      <c r="C717" t="n">
        <v>0</v>
      </c>
      <c r="D717" t="n">
        <v>0</v>
      </c>
      <c r="E717">
        <f>MAX(0,Assumptions!$B$34/IF(B717&lt;Assumptions!$B$25,Assumptions!$B$25*(Assumptions!$B$50+Assumptions!$B$5/Assumptions!$B$25)/(Assumptions!$B$50+Assumptions!$B$5/B717),Assumptions!$B$25)-Assumptions!$B$42)+MAX(0,Assumptions!$B$35/IF(B717&lt;Assumptions!$B$26,Assumptions!$B$26*(Assumptions!$B$50+Assumptions!$B$5/Assumptions!$B$26)/(Assumptions!$B$50+Assumptions!$B$5/B717),Assumptions!$B$26)-Assumptions!$B$43)</f>
        <v/>
      </c>
      <c r="F717">
        <f>Assumptions!$B$5/B717</f>
        <v/>
      </c>
      <c r="G717">
        <f>$B$713*(((Assumptions!$B$50-Assumptions!$B$51+E717+C717+D717)+F717)/(1-$B$713))-Assumptions!$B$51</f>
        <v/>
      </c>
      <c r="H717">
        <f>MAX(0,G717)</f>
        <v/>
      </c>
      <c r="I717">
        <f>Assumptions!$B$50+E717+H717+C717+D717</f>
        <v/>
      </c>
      <c r="J717">
        <f>I717+F717</f>
        <v/>
      </c>
      <c r="K717">
        <f>Assumptions!$B$50+E717+H717+D717</f>
        <v/>
      </c>
      <c r="L717">
        <f>Assumptions!$B$50+E717+H717+C717</f>
        <v/>
      </c>
      <c r="M717">
        <f>Assumptions!$B$60/K717</f>
        <v/>
      </c>
      <c r="N717">
        <f>B717*(1-Assumptions!$B$61)</f>
        <v/>
      </c>
      <c r="O717">
        <f>MIN(M717,N717)</f>
        <v/>
      </c>
      <c r="P717">
        <f>Assumptions!$B$63/L717</f>
        <v/>
      </c>
      <c r="Q717">
        <f>B717*(1-Assumptions!$B$64)</f>
        <v/>
      </c>
      <c r="R717">
        <f>MIN(P717,Q717)</f>
        <v/>
      </c>
      <c r="S717">
        <f>$B$714/I717</f>
        <v/>
      </c>
      <c r="T717">
        <f>Assumptions!$B$59/O717</f>
        <v/>
      </c>
      <c r="U717">
        <f>Assumptions!$B$62/R717</f>
        <v/>
      </c>
    </row>
    <row r="718">
      <c r="A718" t="n">
        <v>1</v>
      </c>
      <c r="B718">
        <f>S717</f>
        <v/>
      </c>
      <c r="C718">
        <f>T717</f>
        <v/>
      </c>
      <c r="D718">
        <f>U717</f>
        <v/>
      </c>
      <c r="E718">
        <f>MAX(0,Assumptions!$B$34/IF(B718&lt;Assumptions!$B$25,Assumptions!$B$25*(Assumptions!$B$50+Assumptions!$B$5/Assumptions!$B$25)/(Assumptions!$B$50+Assumptions!$B$5/B718),Assumptions!$B$25)-Assumptions!$B$42)+MAX(0,Assumptions!$B$35/IF(B718&lt;Assumptions!$B$26,Assumptions!$B$26*(Assumptions!$B$50+Assumptions!$B$5/Assumptions!$B$26)/(Assumptions!$B$50+Assumptions!$B$5/B718),Assumptions!$B$26)-Assumptions!$B$43)</f>
        <v/>
      </c>
      <c r="F718">
        <f>Assumptions!$B$5/B718</f>
        <v/>
      </c>
      <c r="G718">
        <f>$B$713*(((Assumptions!$B$50-Assumptions!$B$51+E718+C718+D718)+F718)/(1-$B$713))-Assumptions!$B$51</f>
        <v/>
      </c>
      <c r="H718">
        <f>MAX(0,G718)</f>
        <v/>
      </c>
      <c r="I718">
        <f>Assumptions!$B$50+E718+H718+C718+D718</f>
        <v/>
      </c>
      <c r="J718">
        <f>I718+F718</f>
        <v/>
      </c>
      <c r="K718">
        <f>Assumptions!$B$50+E718+H718+D718</f>
        <v/>
      </c>
      <c r="L718">
        <f>Assumptions!$B$50+E718+H718+C718</f>
        <v/>
      </c>
      <c r="M718">
        <f>Assumptions!$B$60/K718</f>
        <v/>
      </c>
      <c r="N718">
        <f>B718*(1-Assumptions!$B$61)</f>
        <v/>
      </c>
      <c r="O718">
        <f>MIN(M718,N718)</f>
        <v/>
      </c>
      <c r="P718">
        <f>Assumptions!$B$63/L718</f>
        <v/>
      </c>
      <c r="Q718">
        <f>B718*(1-Assumptions!$B$64)</f>
        <v/>
      </c>
      <c r="R718">
        <f>MIN(P718,Q718)</f>
        <v/>
      </c>
      <c r="S718">
        <f>$B$714/I718</f>
        <v/>
      </c>
      <c r="T718">
        <f>Assumptions!$B$59/O718</f>
        <v/>
      </c>
      <c r="U718">
        <f>Assumptions!$B$62/R718</f>
        <v/>
      </c>
    </row>
    <row r="719">
      <c r="A719" t="n">
        <v>2</v>
      </c>
      <c r="B719">
        <f>S718</f>
        <v/>
      </c>
      <c r="C719">
        <f>T718</f>
        <v/>
      </c>
      <c r="D719">
        <f>U718</f>
        <v/>
      </c>
      <c r="E719">
        <f>MAX(0,Assumptions!$B$34/IF(B719&lt;Assumptions!$B$25,Assumptions!$B$25*(Assumptions!$B$50+Assumptions!$B$5/Assumptions!$B$25)/(Assumptions!$B$50+Assumptions!$B$5/B719),Assumptions!$B$25)-Assumptions!$B$42)+MAX(0,Assumptions!$B$35/IF(B719&lt;Assumptions!$B$26,Assumptions!$B$26*(Assumptions!$B$50+Assumptions!$B$5/Assumptions!$B$26)/(Assumptions!$B$50+Assumptions!$B$5/B719),Assumptions!$B$26)-Assumptions!$B$43)</f>
        <v/>
      </c>
      <c r="F719">
        <f>Assumptions!$B$5/B719</f>
        <v/>
      </c>
      <c r="G719">
        <f>$B$713*(((Assumptions!$B$50-Assumptions!$B$51+E719+C719+D719)+F719)/(1-$B$713))-Assumptions!$B$51</f>
        <v/>
      </c>
      <c r="H719">
        <f>MAX(0,G719)</f>
        <v/>
      </c>
      <c r="I719">
        <f>Assumptions!$B$50+E719+H719+C719+D719</f>
        <v/>
      </c>
      <c r="J719">
        <f>I719+F719</f>
        <v/>
      </c>
      <c r="K719">
        <f>Assumptions!$B$50+E719+H719+D719</f>
        <v/>
      </c>
      <c r="L719">
        <f>Assumptions!$B$50+E719+H719+C719</f>
        <v/>
      </c>
      <c r="M719">
        <f>Assumptions!$B$60/K719</f>
        <v/>
      </c>
      <c r="N719">
        <f>B719*(1-Assumptions!$B$61)</f>
        <v/>
      </c>
      <c r="O719">
        <f>MIN(M719,N719)</f>
        <v/>
      </c>
      <c r="P719">
        <f>Assumptions!$B$63/L719</f>
        <v/>
      </c>
      <c r="Q719">
        <f>B719*(1-Assumptions!$B$64)</f>
        <v/>
      </c>
      <c r="R719">
        <f>MIN(P719,Q719)</f>
        <v/>
      </c>
      <c r="S719">
        <f>$B$714/I719</f>
        <v/>
      </c>
      <c r="T719">
        <f>Assumptions!$B$59/O719</f>
        <v/>
      </c>
      <c r="U719">
        <f>Assumptions!$B$62/R719</f>
        <v/>
      </c>
    </row>
    <row r="720">
      <c r="A720" t="n">
        <v>3</v>
      </c>
      <c r="B720">
        <f>S719</f>
        <v/>
      </c>
      <c r="C720">
        <f>T719</f>
        <v/>
      </c>
      <c r="D720">
        <f>U719</f>
        <v/>
      </c>
      <c r="E720">
        <f>MAX(0,Assumptions!$B$34/IF(B720&lt;Assumptions!$B$25,Assumptions!$B$25*(Assumptions!$B$50+Assumptions!$B$5/Assumptions!$B$25)/(Assumptions!$B$50+Assumptions!$B$5/B720),Assumptions!$B$25)-Assumptions!$B$42)+MAX(0,Assumptions!$B$35/IF(B720&lt;Assumptions!$B$26,Assumptions!$B$26*(Assumptions!$B$50+Assumptions!$B$5/Assumptions!$B$26)/(Assumptions!$B$50+Assumptions!$B$5/B720),Assumptions!$B$26)-Assumptions!$B$43)</f>
        <v/>
      </c>
      <c r="F720">
        <f>Assumptions!$B$5/B720</f>
        <v/>
      </c>
      <c r="G720">
        <f>$B$713*(((Assumptions!$B$50-Assumptions!$B$51+E720+C720+D720)+F720)/(1-$B$713))-Assumptions!$B$51</f>
        <v/>
      </c>
      <c r="H720">
        <f>MAX(0,G720)</f>
        <v/>
      </c>
      <c r="I720">
        <f>Assumptions!$B$50+E720+H720+C720+D720</f>
        <v/>
      </c>
      <c r="J720">
        <f>I720+F720</f>
        <v/>
      </c>
      <c r="K720">
        <f>Assumptions!$B$50+E720+H720+D720</f>
        <v/>
      </c>
      <c r="L720">
        <f>Assumptions!$B$50+E720+H720+C720</f>
        <v/>
      </c>
      <c r="M720">
        <f>Assumptions!$B$60/K720</f>
        <v/>
      </c>
      <c r="N720">
        <f>B720*(1-Assumptions!$B$61)</f>
        <v/>
      </c>
      <c r="O720">
        <f>MIN(M720,N720)</f>
        <v/>
      </c>
      <c r="P720">
        <f>Assumptions!$B$63/L720</f>
        <v/>
      </c>
      <c r="Q720">
        <f>B720*(1-Assumptions!$B$64)</f>
        <v/>
      </c>
      <c r="R720">
        <f>MIN(P720,Q720)</f>
        <v/>
      </c>
      <c r="S720">
        <f>$B$714/I720</f>
        <v/>
      </c>
      <c r="T720">
        <f>Assumptions!$B$59/O720</f>
        <v/>
      </c>
      <c r="U720">
        <f>Assumptions!$B$62/R720</f>
        <v/>
      </c>
    </row>
    <row r="721">
      <c r="A721" t="n">
        <v>4</v>
      </c>
      <c r="B721">
        <f>S720</f>
        <v/>
      </c>
      <c r="C721">
        <f>T720</f>
        <v/>
      </c>
      <c r="D721">
        <f>U720</f>
        <v/>
      </c>
      <c r="E721">
        <f>MAX(0,Assumptions!$B$34/IF(B721&lt;Assumptions!$B$25,Assumptions!$B$25*(Assumptions!$B$50+Assumptions!$B$5/Assumptions!$B$25)/(Assumptions!$B$50+Assumptions!$B$5/B721),Assumptions!$B$25)-Assumptions!$B$42)+MAX(0,Assumptions!$B$35/IF(B721&lt;Assumptions!$B$26,Assumptions!$B$26*(Assumptions!$B$50+Assumptions!$B$5/Assumptions!$B$26)/(Assumptions!$B$50+Assumptions!$B$5/B721),Assumptions!$B$26)-Assumptions!$B$43)</f>
        <v/>
      </c>
      <c r="F721">
        <f>Assumptions!$B$5/B721</f>
        <v/>
      </c>
      <c r="G721">
        <f>$B$713*(((Assumptions!$B$50-Assumptions!$B$51+E721+C721+D721)+F721)/(1-$B$713))-Assumptions!$B$51</f>
        <v/>
      </c>
      <c r="H721">
        <f>MAX(0,G721)</f>
        <v/>
      </c>
      <c r="I721">
        <f>Assumptions!$B$50+E721+H721+C721+D721</f>
        <v/>
      </c>
      <c r="J721">
        <f>I721+F721</f>
        <v/>
      </c>
      <c r="K721">
        <f>Assumptions!$B$50+E721+H721+D721</f>
        <v/>
      </c>
      <c r="L721">
        <f>Assumptions!$B$50+E721+H721+C721</f>
        <v/>
      </c>
      <c r="M721">
        <f>Assumptions!$B$60/K721</f>
        <v/>
      </c>
      <c r="N721">
        <f>B721*(1-Assumptions!$B$61)</f>
        <v/>
      </c>
      <c r="O721">
        <f>MIN(M721,N721)</f>
        <v/>
      </c>
      <c r="P721">
        <f>Assumptions!$B$63/L721</f>
        <v/>
      </c>
      <c r="Q721">
        <f>B721*(1-Assumptions!$B$64)</f>
        <v/>
      </c>
      <c r="R721">
        <f>MIN(P721,Q721)</f>
        <v/>
      </c>
      <c r="S721">
        <f>$B$714/I721</f>
        <v/>
      </c>
      <c r="T721">
        <f>Assumptions!$B$59/O721</f>
        <v/>
      </c>
      <c r="U721">
        <f>Assumptions!$B$62/R721</f>
        <v/>
      </c>
    </row>
    <row r="722">
      <c r="A722" t="n">
        <v>5</v>
      </c>
      <c r="B722">
        <f>S721</f>
        <v/>
      </c>
      <c r="C722">
        <f>T721</f>
        <v/>
      </c>
      <c r="D722">
        <f>U721</f>
        <v/>
      </c>
      <c r="E722">
        <f>MAX(0,Assumptions!$B$34/IF(B722&lt;Assumptions!$B$25,Assumptions!$B$25*(Assumptions!$B$50+Assumptions!$B$5/Assumptions!$B$25)/(Assumptions!$B$50+Assumptions!$B$5/B722),Assumptions!$B$25)-Assumptions!$B$42)+MAX(0,Assumptions!$B$35/IF(B722&lt;Assumptions!$B$26,Assumptions!$B$26*(Assumptions!$B$50+Assumptions!$B$5/Assumptions!$B$26)/(Assumptions!$B$50+Assumptions!$B$5/B722),Assumptions!$B$26)-Assumptions!$B$43)</f>
        <v/>
      </c>
      <c r="F722">
        <f>Assumptions!$B$5/B722</f>
        <v/>
      </c>
      <c r="G722">
        <f>$B$713*(((Assumptions!$B$50-Assumptions!$B$51+E722+C722+D722)+F722)/(1-$B$713))-Assumptions!$B$51</f>
        <v/>
      </c>
      <c r="H722">
        <f>MAX(0,G722)</f>
        <v/>
      </c>
      <c r="I722">
        <f>Assumptions!$B$50+E722+H722+C722+D722</f>
        <v/>
      </c>
      <c r="J722">
        <f>I722+F722</f>
        <v/>
      </c>
      <c r="K722">
        <f>Assumptions!$B$50+E722+H722+D722</f>
        <v/>
      </c>
      <c r="L722">
        <f>Assumptions!$B$50+E722+H722+C722</f>
        <v/>
      </c>
      <c r="M722">
        <f>Assumptions!$B$60/K722</f>
        <v/>
      </c>
      <c r="N722">
        <f>B722*(1-Assumptions!$B$61)</f>
        <v/>
      </c>
      <c r="O722">
        <f>MIN(M722,N722)</f>
        <v/>
      </c>
      <c r="P722">
        <f>Assumptions!$B$63/L722</f>
        <v/>
      </c>
      <c r="Q722">
        <f>B722*(1-Assumptions!$B$64)</f>
        <v/>
      </c>
      <c r="R722">
        <f>MIN(P722,Q722)</f>
        <v/>
      </c>
      <c r="S722">
        <f>$B$714/I722</f>
        <v/>
      </c>
      <c r="T722">
        <f>Assumptions!$B$59/O722</f>
        <v/>
      </c>
      <c r="U722">
        <f>Assumptions!$B$62/R722</f>
        <v/>
      </c>
    </row>
    <row r="723">
      <c r="A723" t="n">
        <v>6</v>
      </c>
      <c r="B723">
        <f>S722</f>
        <v/>
      </c>
      <c r="C723">
        <f>T722</f>
        <v/>
      </c>
      <c r="D723">
        <f>U722</f>
        <v/>
      </c>
      <c r="E723">
        <f>MAX(0,Assumptions!$B$34/IF(B723&lt;Assumptions!$B$25,Assumptions!$B$25*(Assumptions!$B$50+Assumptions!$B$5/Assumptions!$B$25)/(Assumptions!$B$50+Assumptions!$B$5/B723),Assumptions!$B$25)-Assumptions!$B$42)+MAX(0,Assumptions!$B$35/IF(B723&lt;Assumptions!$B$26,Assumptions!$B$26*(Assumptions!$B$50+Assumptions!$B$5/Assumptions!$B$26)/(Assumptions!$B$50+Assumptions!$B$5/B723),Assumptions!$B$26)-Assumptions!$B$43)</f>
        <v/>
      </c>
      <c r="F723">
        <f>Assumptions!$B$5/B723</f>
        <v/>
      </c>
      <c r="G723">
        <f>$B$713*(((Assumptions!$B$50-Assumptions!$B$51+E723+C723+D723)+F723)/(1-$B$713))-Assumptions!$B$51</f>
        <v/>
      </c>
      <c r="H723">
        <f>MAX(0,G723)</f>
        <v/>
      </c>
      <c r="I723">
        <f>Assumptions!$B$50+E723+H723+C723+D723</f>
        <v/>
      </c>
      <c r="J723">
        <f>I723+F723</f>
        <v/>
      </c>
      <c r="K723">
        <f>Assumptions!$B$50+E723+H723+D723</f>
        <v/>
      </c>
      <c r="L723">
        <f>Assumptions!$B$50+E723+H723+C723</f>
        <v/>
      </c>
      <c r="M723">
        <f>Assumptions!$B$60/K723</f>
        <v/>
      </c>
      <c r="N723">
        <f>B723*(1-Assumptions!$B$61)</f>
        <v/>
      </c>
      <c r="O723">
        <f>MIN(M723,N723)</f>
        <v/>
      </c>
      <c r="P723">
        <f>Assumptions!$B$63/L723</f>
        <v/>
      </c>
      <c r="Q723">
        <f>B723*(1-Assumptions!$B$64)</f>
        <v/>
      </c>
      <c r="R723">
        <f>MIN(P723,Q723)</f>
        <v/>
      </c>
      <c r="S723">
        <f>$B$714/I723</f>
        <v/>
      </c>
      <c r="T723">
        <f>Assumptions!$B$59/O723</f>
        <v/>
      </c>
      <c r="U723">
        <f>Assumptions!$B$62/R723</f>
        <v/>
      </c>
    </row>
    <row r="724">
      <c r="A724" t="n">
        <v>7</v>
      </c>
      <c r="B724">
        <f>S723</f>
        <v/>
      </c>
      <c r="C724">
        <f>T723</f>
        <v/>
      </c>
      <c r="D724">
        <f>U723</f>
        <v/>
      </c>
      <c r="E724">
        <f>MAX(0,Assumptions!$B$34/IF(B724&lt;Assumptions!$B$25,Assumptions!$B$25*(Assumptions!$B$50+Assumptions!$B$5/Assumptions!$B$25)/(Assumptions!$B$50+Assumptions!$B$5/B724),Assumptions!$B$25)-Assumptions!$B$42)+MAX(0,Assumptions!$B$35/IF(B724&lt;Assumptions!$B$26,Assumptions!$B$26*(Assumptions!$B$50+Assumptions!$B$5/Assumptions!$B$26)/(Assumptions!$B$50+Assumptions!$B$5/B724),Assumptions!$B$26)-Assumptions!$B$43)</f>
        <v/>
      </c>
      <c r="F724">
        <f>Assumptions!$B$5/B724</f>
        <v/>
      </c>
      <c r="G724">
        <f>$B$713*(((Assumptions!$B$50-Assumptions!$B$51+E724+C724+D724)+F724)/(1-$B$713))-Assumptions!$B$51</f>
        <v/>
      </c>
      <c r="H724">
        <f>MAX(0,G724)</f>
        <v/>
      </c>
      <c r="I724">
        <f>Assumptions!$B$50+E724+H724+C724+D724</f>
        <v/>
      </c>
      <c r="J724">
        <f>I724+F724</f>
        <v/>
      </c>
      <c r="K724">
        <f>Assumptions!$B$50+E724+H724+D724</f>
        <v/>
      </c>
      <c r="L724">
        <f>Assumptions!$B$50+E724+H724+C724</f>
        <v/>
      </c>
      <c r="M724">
        <f>Assumptions!$B$60/K724</f>
        <v/>
      </c>
      <c r="N724">
        <f>B724*(1-Assumptions!$B$61)</f>
        <v/>
      </c>
      <c r="O724">
        <f>MIN(M724,N724)</f>
        <v/>
      </c>
      <c r="P724">
        <f>Assumptions!$B$63/L724</f>
        <v/>
      </c>
      <c r="Q724">
        <f>B724*(1-Assumptions!$B$64)</f>
        <v/>
      </c>
      <c r="R724">
        <f>MIN(P724,Q724)</f>
        <v/>
      </c>
      <c r="S724">
        <f>$B$714/I724</f>
        <v/>
      </c>
      <c r="T724">
        <f>Assumptions!$B$59/O724</f>
        <v/>
      </c>
      <c r="U724">
        <f>Assumptions!$B$62/R724</f>
        <v/>
      </c>
    </row>
    <row r="725">
      <c r="A725" t="n">
        <v>8</v>
      </c>
      <c r="B725">
        <f>S724</f>
        <v/>
      </c>
      <c r="C725">
        <f>T724</f>
        <v/>
      </c>
      <c r="D725">
        <f>U724</f>
        <v/>
      </c>
      <c r="E725">
        <f>MAX(0,Assumptions!$B$34/IF(B725&lt;Assumptions!$B$25,Assumptions!$B$25*(Assumptions!$B$50+Assumptions!$B$5/Assumptions!$B$25)/(Assumptions!$B$50+Assumptions!$B$5/B725),Assumptions!$B$25)-Assumptions!$B$42)+MAX(0,Assumptions!$B$35/IF(B725&lt;Assumptions!$B$26,Assumptions!$B$26*(Assumptions!$B$50+Assumptions!$B$5/Assumptions!$B$26)/(Assumptions!$B$50+Assumptions!$B$5/B725),Assumptions!$B$26)-Assumptions!$B$43)</f>
        <v/>
      </c>
      <c r="F725">
        <f>Assumptions!$B$5/B725</f>
        <v/>
      </c>
      <c r="G725">
        <f>$B$713*(((Assumptions!$B$50-Assumptions!$B$51+E725+C725+D725)+F725)/(1-$B$713))-Assumptions!$B$51</f>
        <v/>
      </c>
      <c r="H725">
        <f>MAX(0,G725)</f>
        <v/>
      </c>
      <c r="I725">
        <f>Assumptions!$B$50+E725+H725+C725+D725</f>
        <v/>
      </c>
      <c r="J725">
        <f>I725+F725</f>
        <v/>
      </c>
      <c r="K725">
        <f>Assumptions!$B$50+E725+H725+D725</f>
        <v/>
      </c>
      <c r="L725">
        <f>Assumptions!$B$50+E725+H725+C725</f>
        <v/>
      </c>
      <c r="M725">
        <f>Assumptions!$B$60/K725</f>
        <v/>
      </c>
      <c r="N725">
        <f>B725*(1-Assumptions!$B$61)</f>
        <v/>
      </c>
      <c r="O725">
        <f>MIN(M725,N725)</f>
        <v/>
      </c>
      <c r="P725">
        <f>Assumptions!$B$63/L725</f>
        <v/>
      </c>
      <c r="Q725">
        <f>B725*(1-Assumptions!$B$64)</f>
        <v/>
      </c>
      <c r="R725">
        <f>MIN(P725,Q725)</f>
        <v/>
      </c>
      <c r="S725">
        <f>$B$714/I725</f>
        <v/>
      </c>
      <c r="T725">
        <f>Assumptions!$B$59/O725</f>
        <v/>
      </c>
      <c r="U725">
        <f>Assumptions!$B$62/R725</f>
        <v/>
      </c>
    </row>
    <row r="726">
      <c r="A726" t="n">
        <v>9</v>
      </c>
      <c r="B726">
        <f>S725</f>
        <v/>
      </c>
      <c r="C726">
        <f>T725</f>
        <v/>
      </c>
      <c r="D726">
        <f>U725</f>
        <v/>
      </c>
      <c r="E726">
        <f>MAX(0,Assumptions!$B$34/IF(B726&lt;Assumptions!$B$25,Assumptions!$B$25*(Assumptions!$B$50+Assumptions!$B$5/Assumptions!$B$25)/(Assumptions!$B$50+Assumptions!$B$5/B726),Assumptions!$B$25)-Assumptions!$B$42)+MAX(0,Assumptions!$B$35/IF(B726&lt;Assumptions!$B$26,Assumptions!$B$26*(Assumptions!$B$50+Assumptions!$B$5/Assumptions!$B$26)/(Assumptions!$B$50+Assumptions!$B$5/B726),Assumptions!$B$26)-Assumptions!$B$43)</f>
        <v/>
      </c>
      <c r="F726">
        <f>Assumptions!$B$5/B726</f>
        <v/>
      </c>
      <c r="G726">
        <f>$B$713*(((Assumptions!$B$50-Assumptions!$B$51+E726+C726+D726)+F726)/(1-$B$713))-Assumptions!$B$51</f>
        <v/>
      </c>
      <c r="H726">
        <f>MAX(0,G726)</f>
        <v/>
      </c>
      <c r="I726">
        <f>Assumptions!$B$50+E726+H726+C726+D726</f>
        <v/>
      </c>
      <c r="J726">
        <f>I726+F726</f>
        <v/>
      </c>
      <c r="K726">
        <f>Assumptions!$B$50+E726+H726+D726</f>
        <v/>
      </c>
      <c r="L726">
        <f>Assumptions!$B$50+E726+H726+C726</f>
        <v/>
      </c>
      <c r="M726">
        <f>Assumptions!$B$60/K726</f>
        <v/>
      </c>
      <c r="N726">
        <f>B726*(1-Assumptions!$B$61)</f>
        <v/>
      </c>
      <c r="O726">
        <f>MIN(M726,N726)</f>
        <v/>
      </c>
      <c r="P726">
        <f>Assumptions!$B$63/L726</f>
        <v/>
      </c>
      <c r="Q726">
        <f>B726*(1-Assumptions!$B$64)</f>
        <v/>
      </c>
      <c r="R726">
        <f>MIN(P726,Q726)</f>
        <v/>
      </c>
      <c r="S726">
        <f>$B$714/I726</f>
        <v/>
      </c>
      <c r="T726">
        <f>Assumptions!$B$59/O726</f>
        <v/>
      </c>
      <c r="U726">
        <f>Assumptions!$B$62/R726</f>
        <v/>
      </c>
    </row>
    <row r="727">
      <c r="A727" t="n">
        <v>10</v>
      </c>
      <c r="B727">
        <f>S726</f>
        <v/>
      </c>
      <c r="C727">
        <f>T726</f>
        <v/>
      </c>
      <c r="D727">
        <f>U726</f>
        <v/>
      </c>
      <c r="E727">
        <f>MAX(0,Assumptions!$B$34/IF(B727&lt;Assumptions!$B$25,Assumptions!$B$25*(Assumptions!$B$50+Assumptions!$B$5/Assumptions!$B$25)/(Assumptions!$B$50+Assumptions!$B$5/B727),Assumptions!$B$25)-Assumptions!$B$42)+MAX(0,Assumptions!$B$35/IF(B727&lt;Assumptions!$B$26,Assumptions!$B$26*(Assumptions!$B$50+Assumptions!$B$5/Assumptions!$B$26)/(Assumptions!$B$50+Assumptions!$B$5/B727),Assumptions!$B$26)-Assumptions!$B$43)</f>
        <v/>
      </c>
      <c r="F727">
        <f>Assumptions!$B$5/B727</f>
        <v/>
      </c>
      <c r="G727">
        <f>$B$713*(((Assumptions!$B$50-Assumptions!$B$51+E727+C727+D727)+F727)/(1-$B$713))-Assumptions!$B$51</f>
        <v/>
      </c>
      <c r="H727">
        <f>MAX(0,G727)</f>
        <v/>
      </c>
      <c r="I727">
        <f>Assumptions!$B$50+E727+H727+C727+D727</f>
        <v/>
      </c>
      <c r="J727">
        <f>I727+F727</f>
        <v/>
      </c>
      <c r="K727">
        <f>Assumptions!$B$50+E727+H727+D727</f>
        <v/>
      </c>
      <c r="L727">
        <f>Assumptions!$B$50+E727+H727+C727</f>
        <v/>
      </c>
      <c r="M727">
        <f>Assumptions!$B$60/K727</f>
        <v/>
      </c>
      <c r="N727">
        <f>B727*(1-Assumptions!$B$61)</f>
        <v/>
      </c>
      <c r="O727">
        <f>MIN(M727,N727)</f>
        <v/>
      </c>
      <c r="P727">
        <f>Assumptions!$B$63/L727</f>
        <v/>
      </c>
      <c r="Q727">
        <f>B727*(1-Assumptions!$B$64)</f>
        <v/>
      </c>
      <c r="R727">
        <f>MIN(P727,Q727)</f>
        <v/>
      </c>
      <c r="S727">
        <f>$B$714/I727</f>
        <v/>
      </c>
      <c r="T727">
        <f>Assumptions!$B$59/O727</f>
        <v/>
      </c>
      <c r="U727">
        <f>Assumptions!$B$62/R727</f>
        <v/>
      </c>
    </row>
    <row r="728">
      <c r="A728" t="n">
        <v>11</v>
      </c>
      <c r="B728">
        <f>S727</f>
        <v/>
      </c>
      <c r="C728">
        <f>T727</f>
        <v/>
      </c>
      <c r="D728">
        <f>U727</f>
        <v/>
      </c>
      <c r="E728">
        <f>MAX(0,Assumptions!$B$34/IF(B728&lt;Assumptions!$B$25,Assumptions!$B$25*(Assumptions!$B$50+Assumptions!$B$5/Assumptions!$B$25)/(Assumptions!$B$50+Assumptions!$B$5/B728),Assumptions!$B$25)-Assumptions!$B$42)+MAX(0,Assumptions!$B$35/IF(B728&lt;Assumptions!$B$26,Assumptions!$B$26*(Assumptions!$B$50+Assumptions!$B$5/Assumptions!$B$26)/(Assumptions!$B$50+Assumptions!$B$5/B728),Assumptions!$B$26)-Assumptions!$B$43)</f>
        <v/>
      </c>
      <c r="F728">
        <f>Assumptions!$B$5/B728</f>
        <v/>
      </c>
      <c r="G728">
        <f>$B$713*(((Assumptions!$B$50-Assumptions!$B$51+E728+C728+D728)+F728)/(1-$B$713))-Assumptions!$B$51</f>
        <v/>
      </c>
      <c r="H728">
        <f>MAX(0,G728)</f>
        <v/>
      </c>
      <c r="I728">
        <f>Assumptions!$B$50+E728+H728+C728+D728</f>
        <v/>
      </c>
      <c r="J728">
        <f>I728+F728</f>
        <v/>
      </c>
      <c r="K728">
        <f>Assumptions!$B$50+E728+H728+D728</f>
        <v/>
      </c>
      <c r="L728">
        <f>Assumptions!$B$50+E728+H728+C728</f>
        <v/>
      </c>
      <c r="M728">
        <f>Assumptions!$B$60/K728</f>
        <v/>
      </c>
      <c r="N728">
        <f>B728*(1-Assumptions!$B$61)</f>
        <v/>
      </c>
      <c r="O728">
        <f>MIN(M728,N728)</f>
        <v/>
      </c>
      <c r="P728">
        <f>Assumptions!$B$63/L728</f>
        <v/>
      </c>
      <c r="Q728">
        <f>B728*(1-Assumptions!$B$64)</f>
        <v/>
      </c>
      <c r="R728">
        <f>MIN(P728,Q728)</f>
        <v/>
      </c>
      <c r="S728">
        <f>$B$714/I728</f>
        <v/>
      </c>
      <c r="T728">
        <f>Assumptions!$B$59/O728</f>
        <v/>
      </c>
      <c r="U728">
        <f>Assumptions!$B$62/R728</f>
        <v/>
      </c>
    </row>
    <row r="729">
      <c r="A729" t="n">
        <v>12</v>
      </c>
      <c r="B729">
        <f>S728</f>
        <v/>
      </c>
      <c r="C729">
        <f>T728</f>
        <v/>
      </c>
      <c r="D729">
        <f>U728</f>
        <v/>
      </c>
      <c r="E729">
        <f>MAX(0,Assumptions!$B$34/IF(B729&lt;Assumptions!$B$25,Assumptions!$B$25*(Assumptions!$B$50+Assumptions!$B$5/Assumptions!$B$25)/(Assumptions!$B$50+Assumptions!$B$5/B729),Assumptions!$B$25)-Assumptions!$B$42)+MAX(0,Assumptions!$B$35/IF(B729&lt;Assumptions!$B$26,Assumptions!$B$26*(Assumptions!$B$50+Assumptions!$B$5/Assumptions!$B$26)/(Assumptions!$B$50+Assumptions!$B$5/B729),Assumptions!$B$26)-Assumptions!$B$43)</f>
        <v/>
      </c>
      <c r="F729">
        <f>Assumptions!$B$5/B729</f>
        <v/>
      </c>
      <c r="G729">
        <f>$B$713*(((Assumptions!$B$50-Assumptions!$B$51+E729+C729+D729)+F729)/(1-$B$713))-Assumptions!$B$51</f>
        <v/>
      </c>
      <c r="H729">
        <f>MAX(0,G729)</f>
        <v/>
      </c>
      <c r="I729">
        <f>Assumptions!$B$50+E729+H729+C729+D729</f>
        <v/>
      </c>
      <c r="J729">
        <f>I729+F729</f>
        <v/>
      </c>
      <c r="K729">
        <f>Assumptions!$B$50+E729+H729+D729</f>
        <v/>
      </c>
      <c r="L729">
        <f>Assumptions!$B$50+E729+H729+C729</f>
        <v/>
      </c>
      <c r="M729">
        <f>Assumptions!$B$60/K729</f>
        <v/>
      </c>
      <c r="N729">
        <f>B729*(1-Assumptions!$B$61)</f>
        <v/>
      </c>
      <c r="O729">
        <f>MIN(M729,N729)</f>
        <v/>
      </c>
      <c r="P729">
        <f>Assumptions!$B$63/L729</f>
        <v/>
      </c>
      <c r="Q729">
        <f>B729*(1-Assumptions!$B$64)</f>
        <v/>
      </c>
      <c r="R729">
        <f>MIN(P729,Q729)</f>
        <v/>
      </c>
      <c r="S729">
        <f>$B$714/I729</f>
        <v/>
      </c>
      <c r="T729">
        <f>Assumptions!$B$59/O729</f>
        <v/>
      </c>
      <c r="U729">
        <f>Assumptions!$B$62/R729</f>
        <v/>
      </c>
    </row>
    <row r="730">
      <c r="A730" t="n">
        <v>13</v>
      </c>
      <c r="B730">
        <f>S729</f>
        <v/>
      </c>
      <c r="C730">
        <f>T729</f>
        <v/>
      </c>
      <c r="D730">
        <f>U729</f>
        <v/>
      </c>
      <c r="E730">
        <f>MAX(0,Assumptions!$B$34/IF(B730&lt;Assumptions!$B$25,Assumptions!$B$25*(Assumptions!$B$50+Assumptions!$B$5/Assumptions!$B$25)/(Assumptions!$B$50+Assumptions!$B$5/B730),Assumptions!$B$25)-Assumptions!$B$42)+MAX(0,Assumptions!$B$35/IF(B730&lt;Assumptions!$B$26,Assumptions!$B$26*(Assumptions!$B$50+Assumptions!$B$5/Assumptions!$B$26)/(Assumptions!$B$50+Assumptions!$B$5/B730),Assumptions!$B$26)-Assumptions!$B$43)</f>
        <v/>
      </c>
      <c r="F730">
        <f>Assumptions!$B$5/B730</f>
        <v/>
      </c>
      <c r="G730">
        <f>$B$713*(((Assumptions!$B$50-Assumptions!$B$51+E730+C730+D730)+F730)/(1-$B$713))-Assumptions!$B$51</f>
        <v/>
      </c>
      <c r="H730">
        <f>MAX(0,G730)</f>
        <v/>
      </c>
      <c r="I730">
        <f>Assumptions!$B$50+E730+H730+C730+D730</f>
        <v/>
      </c>
      <c r="J730">
        <f>I730+F730</f>
        <v/>
      </c>
      <c r="K730">
        <f>Assumptions!$B$50+E730+H730+D730</f>
        <v/>
      </c>
      <c r="L730">
        <f>Assumptions!$B$50+E730+H730+C730</f>
        <v/>
      </c>
      <c r="M730">
        <f>Assumptions!$B$60/K730</f>
        <v/>
      </c>
      <c r="N730">
        <f>B730*(1-Assumptions!$B$61)</f>
        <v/>
      </c>
      <c r="O730">
        <f>MIN(M730,N730)</f>
        <v/>
      </c>
      <c r="P730">
        <f>Assumptions!$B$63/L730</f>
        <v/>
      </c>
      <c r="Q730">
        <f>B730*(1-Assumptions!$B$64)</f>
        <v/>
      </c>
      <c r="R730">
        <f>MIN(P730,Q730)</f>
        <v/>
      </c>
      <c r="S730">
        <f>$B$714/I730</f>
        <v/>
      </c>
      <c r="T730">
        <f>Assumptions!$B$59/O730</f>
        <v/>
      </c>
      <c r="U730">
        <f>Assumptions!$B$62/R730</f>
        <v/>
      </c>
    </row>
    <row r="731">
      <c r="A731" t="n">
        <v>14</v>
      </c>
      <c r="B731">
        <f>S730</f>
        <v/>
      </c>
      <c r="C731">
        <f>T730</f>
        <v/>
      </c>
      <c r="D731">
        <f>U730</f>
        <v/>
      </c>
      <c r="E731">
        <f>MAX(0,Assumptions!$B$34/IF(B731&lt;Assumptions!$B$25,Assumptions!$B$25*(Assumptions!$B$50+Assumptions!$B$5/Assumptions!$B$25)/(Assumptions!$B$50+Assumptions!$B$5/B731),Assumptions!$B$25)-Assumptions!$B$42)+MAX(0,Assumptions!$B$35/IF(B731&lt;Assumptions!$B$26,Assumptions!$B$26*(Assumptions!$B$50+Assumptions!$B$5/Assumptions!$B$26)/(Assumptions!$B$50+Assumptions!$B$5/B731),Assumptions!$B$26)-Assumptions!$B$43)</f>
        <v/>
      </c>
      <c r="F731">
        <f>Assumptions!$B$5/B731</f>
        <v/>
      </c>
      <c r="G731">
        <f>$B$713*(((Assumptions!$B$50-Assumptions!$B$51+E731+C731+D731)+F731)/(1-$B$713))-Assumptions!$B$51</f>
        <v/>
      </c>
      <c r="H731">
        <f>MAX(0,G731)</f>
        <v/>
      </c>
      <c r="I731">
        <f>Assumptions!$B$50+E731+H731+C731+D731</f>
        <v/>
      </c>
      <c r="J731">
        <f>I731+F731</f>
        <v/>
      </c>
      <c r="K731">
        <f>Assumptions!$B$50+E731+H731+D731</f>
        <v/>
      </c>
      <c r="L731">
        <f>Assumptions!$B$50+E731+H731+C731</f>
        <v/>
      </c>
      <c r="M731">
        <f>Assumptions!$B$60/K731</f>
        <v/>
      </c>
      <c r="N731">
        <f>B731*(1-Assumptions!$B$61)</f>
        <v/>
      </c>
      <c r="O731">
        <f>MIN(M731,N731)</f>
        <v/>
      </c>
      <c r="P731">
        <f>Assumptions!$B$63/L731</f>
        <v/>
      </c>
      <c r="Q731">
        <f>B731*(1-Assumptions!$B$64)</f>
        <v/>
      </c>
      <c r="R731">
        <f>MIN(P731,Q731)</f>
        <v/>
      </c>
      <c r="S731">
        <f>$B$714/I731</f>
        <v/>
      </c>
      <c r="T731">
        <f>Assumptions!$B$59/O731</f>
        <v/>
      </c>
      <c r="U731">
        <f>Assumptions!$B$62/R731</f>
        <v/>
      </c>
    </row>
    <row r="732">
      <c r="A732" t="n">
        <v>15</v>
      </c>
      <c r="B732">
        <f>S731</f>
        <v/>
      </c>
      <c r="C732">
        <f>T731</f>
        <v/>
      </c>
      <c r="D732">
        <f>U731</f>
        <v/>
      </c>
      <c r="E732">
        <f>MAX(0,Assumptions!$B$34/IF(B732&lt;Assumptions!$B$25,Assumptions!$B$25*(Assumptions!$B$50+Assumptions!$B$5/Assumptions!$B$25)/(Assumptions!$B$50+Assumptions!$B$5/B732),Assumptions!$B$25)-Assumptions!$B$42)+MAX(0,Assumptions!$B$35/IF(B732&lt;Assumptions!$B$26,Assumptions!$B$26*(Assumptions!$B$50+Assumptions!$B$5/Assumptions!$B$26)/(Assumptions!$B$50+Assumptions!$B$5/B732),Assumptions!$B$26)-Assumptions!$B$43)</f>
        <v/>
      </c>
      <c r="F732">
        <f>Assumptions!$B$5/B732</f>
        <v/>
      </c>
      <c r="G732">
        <f>$B$713*(((Assumptions!$B$50-Assumptions!$B$51+E732+C732+D732)+F732)/(1-$B$713))-Assumptions!$B$51</f>
        <v/>
      </c>
      <c r="H732">
        <f>MAX(0,G732)</f>
        <v/>
      </c>
      <c r="I732">
        <f>Assumptions!$B$50+E732+H732+C732+D732</f>
        <v/>
      </c>
      <c r="J732">
        <f>I732+F732</f>
        <v/>
      </c>
      <c r="K732">
        <f>Assumptions!$B$50+E732+H732+D732</f>
        <v/>
      </c>
      <c r="L732">
        <f>Assumptions!$B$50+E732+H732+C732</f>
        <v/>
      </c>
      <c r="M732">
        <f>Assumptions!$B$60/K732</f>
        <v/>
      </c>
      <c r="N732">
        <f>B732*(1-Assumptions!$B$61)</f>
        <v/>
      </c>
      <c r="O732">
        <f>MIN(M732,N732)</f>
        <v/>
      </c>
      <c r="P732">
        <f>Assumptions!$B$63/L732</f>
        <v/>
      </c>
      <c r="Q732">
        <f>B732*(1-Assumptions!$B$64)</f>
        <v/>
      </c>
      <c r="R732">
        <f>MIN(P732,Q732)</f>
        <v/>
      </c>
      <c r="S732">
        <f>$B$714/I732</f>
        <v/>
      </c>
      <c r="T732">
        <f>Assumptions!$B$59/O732</f>
        <v/>
      </c>
      <c r="U732">
        <f>Assumptions!$B$62/R732</f>
        <v/>
      </c>
    </row>
    <row r="733">
      <c r="A733" t="n">
        <v>16</v>
      </c>
      <c r="B733">
        <f>S732</f>
        <v/>
      </c>
      <c r="C733">
        <f>T732</f>
        <v/>
      </c>
      <c r="D733">
        <f>U732</f>
        <v/>
      </c>
      <c r="E733">
        <f>MAX(0,Assumptions!$B$34/IF(B733&lt;Assumptions!$B$25,Assumptions!$B$25*(Assumptions!$B$50+Assumptions!$B$5/Assumptions!$B$25)/(Assumptions!$B$50+Assumptions!$B$5/B733),Assumptions!$B$25)-Assumptions!$B$42)+MAX(0,Assumptions!$B$35/IF(B733&lt;Assumptions!$B$26,Assumptions!$B$26*(Assumptions!$B$50+Assumptions!$B$5/Assumptions!$B$26)/(Assumptions!$B$50+Assumptions!$B$5/B733),Assumptions!$B$26)-Assumptions!$B$43)</f>
        <v/>
      </c>
      <c r="F733">
        <f>Assumptions!$B$5/B733</f>
        <v/>
      </c>
      <c r="G733">
        <f>$B$713*(((Assumptions!$B$50-Assumptions!$B$51+E733+C733+D733)+F733)/(1-$B$713))-Assumptions!$B$51</f>
        <v/>
      </c>
      <c r="H733">
        <f>MAX(0,G733)</f>
        <v/>
      </c>
      <c r="I733">
        <f>Assumptions!$B$50+E733+H733+C733+D733</f>
        <v/>
      </c>
      <c r="J733">
        <f>I733+F733</f>
        <v/>
      </c>
      <c r="K733">
        <f>Assumptions!$B$50+E733+H733+D733</f>
        <v/>
      </c>
      <c r="L733">
        <f>Assumptions!$B$50+E733+H733+C733</f>
        <v/>
      </c>
      <c r="M733">
        <f>Assumptions!$B$60/K733</f>
        <v/>
      </c>
      <c r="N733">
        <f>B733*(1-Assumptions!$B$61)</f>
        <v/>
      </c>
      <c r="O733">
        <f>MIN(M733,N733)</f>
        <v/>
      </c>
      <c r="P733">
        <f>Assumptions!$B$63/L733</f>
        <v/>
      </c>
      <c r="Q733">
        <f>B733*(1-Assumptions!$B$64)</f>
        <v/>
      </c>
      <c r="R733">
        <f>MIN(P733,Q733)</f>
        <v/>
      </c>
      <c r="S733">
        <f>$B$714/I733</f>
        <v/>
      </c>
      <c r="T733">
        <f>Assumptions!$B$59/O733</f>
        <v/>
      </c>
      <c r="U733">
        <f>Assumptions!$B$62/R733</f>
        <v/>
      </c>
    </row>
    <row r="734">
      <c r="A734" t="n">
        <v>17</v>
      </c>
      <c r="B734">
        <f>S733</f>
        <v/>
      </c>
      <c r="C734">
        <f>T733</f>
        <v/>
      </c>
      <c r="D734">
        <f>U733</f>
        <v/>
      </c>
      <c r="E734">
        <f>MAX(0,Assumptions!$B$34/IF(B734&lt;Assumptions!$B$25,Assumptions!$B$25*(Assumptions!$B$50+Assumptions!$B$5/Assumptions!$B$25)/(Assumptions!$B$50+Assumptions!$B$5/B734),Assumptions!$B$25)-Assumptions!$B$42)+MAX(0,Assumptions!$B$35/IF(B734&lt;Assumptions!$B$26,Assumptions!$B$26*(Assumptions!$B$50+Assumptions!$B$5/Assumptions!$B$26)/(Assumptions!$B$50+Assumptions!$B$5/B734),Assumptions!$B$26)-Assumptions!$B$43)</f>
        <v/>
      </c>
      <c r="F734">
        <f>Assumptions!$B$5/B734</f>
        <v/>
      </c>
      <c r="G734">
        <f>$B$713*(((Assumptions!$B$50-Assumptions!$B$51+E734+C734+D734)+F734)/(1-$B$713))-Assumptions!$B$51</f>
        <v/>
      </c>
      <c r="H734">
        <f>MAX(0,G734)</f>
        <v/>
      </c>
      <c r="I734">
        <f>Assumptions!$B$50+E734+H734+C734+D734</f>
        <v/>
      </c>
      <c r="J734">
        <f>I734+F734</f>
        <v/>
      </c>
      <c r="K734">
        <f>Assumptions!$B$50+E734+H734+D734</f>
        <v/>
      </c>
      <c r="L734">
        <f>Assumptions!$B$50+E734+H734+C734</f>
        <v/>
      </c>
      <c r="M734">
        <f>Assumptions!$B$60/K734</f>
        <v/>
      </c>
      <c r="N734">
        <f>B734*(1-Assumptions!$B$61)</f>
        <v/>
      </c>
      <c r="O734">
        <f>MIN(M734,N734)</f>
        <v/>
      </c>
      <c r="P734">
        <f>Assumptions!$B$63/L734</f>
        <v/>
      </c>
      <c r="Q734">
        <f>B734*(1-Assumptions!$B$64)</f>
        <v/>
      </c>
      <c r="R734">
        <f>MIN(P734,Q734)</f>
        <v/>
      </c>
      <c r="S734">
        <f>$B$714/I734</f>
        <v/>
      </c>
      <c r="T734">
        <f>Assumptions!$B$59/O734</f>
        <v/>
      </c>
      <c r="U734">
        <f>Assumptions!$B$62/R734</f>
        <v/>
      </c>
    </row>
    <row r="735">
      <c r="A735" t="n">
        <v>18</v>
      </c>
      <c r="B735">
        <f>S734</f>
        <v/>
      </c>
      <c r="C735">
        <f>T734</f>
        <v/>
      </c>
      <c r="D735">
        <f>U734</f>
        <v/>
      </c>
      <c r="E735">
        <f>MAX(0,Assumptions!$B$34/IF(B735&lt;Assumptions!$B$25,Assumptions!$B$25*(Assumptions!$B$50+Assumptions!$B$5/Assumptions!$B$25)/(Assumptions!$B$50+Assumptions!$B$5/B735),Assumptions!$B$25)-Assumptions!$B$42)+MAX(0,Assumptions!$B$35/IF(B735&lt;Assumptions!$B$26,Assumptions!$B$26*(Assumptions!$B$50+Assumptions!$B$5/Assumptions!$B$26)/(Assumptions!$B$50+Assumptions!$B$5/B735),Assumptions!$B$26)-Assumptions!$B$43)</f>
        <v/>
      </c>
      <c r="F735">
        <f>Assumptions!$B$5/B735</f>
        <v/>
      </c>
      <c r="G735">
        <f>$B$713*(((Assumptions!$B$50-Assumptions!$B$51+E735+C735+D735)+F735)/(1-$B$713))-Assumptions!$B$51</f>
        <v/>
      </c>
      <c r="H735">
        <f>MAX(0,G735)</f>
        <v/>
      </c>
      <c r="I735">
        <f>Assumptions!$B$50+E735+H735+C735+D735</f>
        <v/>
      </c>
      <c r="J735">
        <f>I735+F735</f>
        <v/>
      </c>
      <c r="K735">
        <f>Assumptions!$B$50+E735+H735+D735</f>
        <v/>
      </c>
      <c r="L735">
        <f>Assumptions!$B$50+E735+H735+C735</f>
        <v/>
      </c>
      <c r="M735">
        <f>Assumptions!$B$60/K735</f>
        <v/>
      </c>
      <c r="N735">
        <f>B735*(1-Assumptions!$B$61)</f>
        <v/>
      </c>
      <c r="O735">
        <f>MIN(M735,N735)</f>
        <v/>
      </c>
      <c r="P735">
        <f>Assumptions!$B$63/L735</f>
        <v/>
      </c>
      <c r="Q735">
        <f>B735*(1-Assumptions!$B$64)</f>
        <v/>
      </c>
      <c r="R735">
        <f>MIN(P735,Q735)</f>
        <v/>
      </c>
      <c r="S735">
        <f>$B$714/I735</f>
        <v/>
      </c>
      <c r="T735">
        <f>Assumptions!$B$59/O735</f>
        <v/>
      </c>
      <c r="U735">
        <f>Assumptions!$B$62/R735</f>
        <v/>
      </c>
    </row>
    <row r="736">
      <c r="A736" t="n">
        <v>19</v>
      </c>
      <c r="B736">
        <f>S735</f>
        <v/>
      </c>
      <c r="C736">
        <f>T735</f>
        <v/>
      </c>
      <c r="D736">
        <f>U735</f>
        <v/>
      </c>
      <c r="E736">
        <f>MAX(0,Assumptions!$B$34/IF(B736&lt;Assumptions!$B$25,Assumptions!$B$25*(Assumptions!$B$50+Assumptions!$B$5/Assumptions!$B$25)/(Assumptions!$B$50+Assumptions!$B$5/B736),Assumptions!$B$25)-Assumptions!$B$42)+MAX(0,Assumptions!$B$35/IF(B736&lt;Assumptions!$B$26,Assumptions!$B$26*(Assumptions!$B$50+Assumptions!$B$5/Assumptions!$B$26)/(Assumptions!$B$50+Assumptions!$B$5/B736),Assumptions!$B$26)-Assumptions!$B$43)</f>
        <v/>
      </c>
      <c r="F736">
        <f>Assumptions!$B$5/B736</f>
        <v/>
      </c>
      <c r="G736">
        <f>$B$713*(((Assumptions!$B$50-Assumptions!$B$51+E736+C736+D736)+F736)/(1-$B$713))-Assumptions!$B$51</f>
        <v/>
      </c>
      <c r="H736">
        <f>MAX(0,G736)</f>
        <v/>
      </c>
      <c r="I736">
        <f>Assumptions!$B$50+E736+H736+C736+D736</f>
        <v/>
      </c>
      <c r="J736">
        <f>I736+F736</f>
        <v/>
      </c>
      <c r="K736">
        <f>Assumptions!$B$50+E736+H736+D736</f>
        <v/>
      </c>
      <c r="L736">
        <f>Assumptions!$B$50+E736+H736+C736</f>
        <v/>
      </c>
      <c r="M736">
        <f>Assumptions!$B$60/K736</f>
        <v/>
      </c>
      <c r="N736">
        <f>B736*(1-Assumptions!$B$61)</f>
        <v/>
      </c>
      <c r="O736">
        <f>MIN(M736,N736)</f>
        <v/>
      </c>
      <c r="P736">
        <f>Assumptions!$B$63/L736</f>
        <v/>
      </c>
      <c r="Q736">
        <f>B736*(1-Assumptions!$B$64)</f>
        <v/>
      </c>
      <c r="R736">
        <f>MIN(P736,Q736)</f>
        <v/>
      </c>
      <c r="S736">
        <f>$B$714/I736</f>
        <v/>
      </c>
      <c r="T736">
        <f>Assumptions!$B$59/O736</f>
        <v/>
      </c>
      <c r="U736">
        <f>Assumptions!$B$62/R736</f>
        <v/>
      </c>
    </row>
    <row r="737">
      <c r="A737" t="n">
        <v>20</v>
      </c>
      <c r="B737">
        <f>S736</f>
        <v/>
      </c>
      <c r="C737">
        <f>T736</f>
        <v/>
      </c>
      <c r="D737">
        <f>U736</f>
        <v/>
      </c>
      <c r="E737">
        <f>MAX(0,Assumptions!$B$34/IF(B737&lt;Assumptions!$B$25,Assumptions!$B$25*(Assumptions!$B$50+Assumptions!$B$5/Assumptions!$B$25)/(Assumptions!$B$50+Assumptions!$B$5/B737),Assumptions!$B$25)-Assumptions!$B$42)+MAX(0,Assumptions!$B$35/IF(B737&lt;Assumptions!$B$26,Assumptions!$B$26*(Assumptions!$B$50+Assumptions!$B$5/Assumptions!$B$26)/(Assumptions!$B$50+Assumptions!$B$5/B737),Assumptions!$B$26)-Assumptions!$B$43)</f>
        <v/>
      </c>
      <c r="F737">
        <f>Assumptions!$B$5/B737</f>
        <v/>
      </c>
      <c r="G737">
        <f>$B$713*(((Assumptions!$B$50-Assumptions!$B$51+E737+C737+D737)+F737)/(1-$B$713))-Assumptions!$B$51</f>
        <v/>
      </c>
      <c r="H737">
        <f>MAX(0,G737)</f>
        <v/>
      </c>
      <c r="I737">
        <f>Assumptions!$B$50+E737+H737+C737+D737</f>
        <v/>
      </c>
      <c r="J737">
        <f>I737+F737</f>
        <v/>
      </c>
      <c r="K737">
        <f>Assumptions!$B$50+E737+H737+D737</f>
        <v/>
      </c>
      <c r="L737">
        <f>Assumptions!$B$50+E737+H737+C737</f>
        <v/>
      </c>
      <c r="M737">
        <f>Assumptions!$B$60/K737</f>
        <v/>
      </c>
      <c r="N737">
        <f>B737*(1-Assumptions!$B$61)</f>
        <v/>
      </c>
      <c r="O737">
        <f>MIN(M737,N737)</f>
        <v/>
      </c>
      <c r="P737">
        <f>Assumptions!$B$63/L737</f>
        <v/>
      </c>
      <c r="Q737">
        <f>B737*(1-Assumptions!$B$64)</f>
        <v/>
      </c>
      <c r="R737">
        <f>MIN(P737,Q737)</f>
        <v/>
      </c>
      <c r="S737">
        <f>$B$714/I737</f>
        <v/>
      </c>
      <c r="T737">
        <f>Assumptions!$B$59/O737</f>
        <v/>
      </c>
      <c r="U737">
        <f>Assumptions!$B$62/R737</f>
        <v/>
      </c>
    </row>
    <row r="738">
      <c r="A738" t="n">
        <v>21</v>
      </c>
      <c r="B738">
        <f>S737</f>
        <v/>
      </c>
      <c r="C738">
        <f>T737</f>
        <v/>
      </c>
      <c r="D738">
        <f>U737</f>
        <v/>
      </c>
      <c r="E738">
        <f>MAX(0,Assumptions!$B$34/IF(B738&lt;Assumptions!$B$25,Assumptions!$B$25*(Assumptions!$B$50+Assumptions!$B$5/Assumptions!$B$25)/(Assumptions!$B$50+Assumptions!$B$5/B738),Assumptions!$B$25)-Assumptions!$B$42)+MAX(0,Assumptions!$B$35/IF(B738&lt;Assumptions!$B$26,Assumptions!$B$26*(Assumptions!$B$50+Assumptions!$B$5/Assumptions!$B$26)/(Assumptions!$B$50+Assumptions!$B$5/B738),Assumptions!$B$26)-Assumptions!$B$43)</f>
        <v/>
      </c>
      <c r="F738">
        <f>Assumptions!$B$5/B738</f>
        <v/>
      </c>
      <c r="G738">
        <f>$B$713*(((Assumptions!$B$50-Assumptions!$B$51+E738+C738+D738)+F738)/(1-$B$713))-Assumptions!$B$51</f>
        <v/>
      </c>
      <c r="H738">
        <f>MAX(0,G738)</f>
        <v/>
      </c>
      <c r="I738">
        <f>Assumptions!$B$50+E738+H738+C738+D738</f>
        <v/>
      </c>
      <c r="J738">
        <f>I738+F738</f>
        <v/>
      </c>
      <c r="K738">
        <f>Assumptions!$B$50+E738+H738+D738</f>
        <v/>
      </c>
      <c r="L738">
        <f>Assumptions!$B$50+E738+H738+C738</f>
        <v/>
      </c>
      <c r="M738">
        <f>Assumptions!$B$60/K738</f>
        <v/>
      </c>
      <c r="N738">
        <f>B738*(1-Assumptions!$B$61)</f>
        <v/>
      </c>
      <c r="O738">
        <f>MIN(M738,N738)</f>
        <v/>
      </c>
      <c r="P738">
        <f>Assumptions!$B$63/L738</f>
        <v/>
      </c>
      <c r="Q738">
        <f>B738*(1-Assumptions!$B$64)</f>
        <v/>
      </c>
      <c r="R738">
        <f>MIN(P738,Q738)</f>
        <v/>
      </c>
      <c r="S738">
        <f>$B$714/I738</f>
        <v/>
      </c>
      <c r="T738">
        <f>Assumptions!$B$59/O738</f>
        <v/>
      </c>
      <c r="U738">
        <f>Assumptions!$B$62/R738</f>
        <v/>
      </c>
    </row>
    <row r="739">
      <c r="A739" t="n">
        <v>22</v>
      </c>
      <c r="B739">
        <f>S738</f>
        <v/>
      </c>
      <c r="C739">
        <f>T738</f>
        <v/>
      </c>
      <c r="D739">
        <f>U738</f>
        <v/>
      </c>
      <c r="E739">
        <f>MAX(0,Assumptions!$B$34/IF(B739&lt;Assumptions!$B$25,Assumptions!$B$25*(Assumptions!$B$50+Assumptions!$B$5/Assumptions!$B$25)/(Assumptions!$B$50+Assumptions!$B$5/B739),Assumptions!$B$25)-Assumptions!$B$42)+MAX(0,Assumptions!$B$35/IF(B739&lt;Assumptions!$B$26,Assumptions!$B$26*(Assumptions!$B$50+Assumptions!$B$5/Assumptions!$B$26)/(Assumptions!$B$50+Assumptions!$B$5/B739),Assumptions!$B$26)-Assumptions!$B$43)</f>
        <v/>
      </c>
      <c r="F739">
        <f>Assumptions!$B$5/B739</f>
        <v/>
      </c>
      <c r="G739">
        <f>$B$713*(((Assumptions!$B$50-Assumptions!$B$51+E739+C739+D739)+F739)/(1-$B$713))-Assumptions!$B$51</f>
        <v/>
      </c>
      <c r="H739">
        <f>MAX(0,G739)</f>
        <v/>
      </c>
      <c r="I739">
        <f>Assumptions!$B$50+E739+H739+C739+D739</f>
        <v/>
      </c>
      <c r="J739">
        <f>I739+F739</f>
        <v/>
      </c>
      <c r="K739">
        <f>Assumptions!$B$50+E739+H739+D739</f>
        <v/>
      </c>
      <c r="L739">
        <f>Assumptions!$B$50+E739+H739+C739</f>
        <v/>
      </c>
      <c r="M739">
        <f>Assumptions!$B$60/K739</f>
        <v/>
      </c>
      <c r="N739">
        <f>B739*(1-Assumptions!$B$61)</f>
        <v/>
      </c>
      <c r="O739">
        <f>MIN(M739,N739)</f>
        <v/>
      </c>
      <c r="P739">
        <f>Assumptions!$B$63/L739</f>
        <v/>
      </c>
      <c r="Q739">
        <f>B739*(1-Assumptions!$B$64)</f>
        <v/>
      </c>
      <c r="R739">
        <f>MIN(P739,Q739)</f>
        <v/>
      </c>
      <c r="S739">
        <f>$B$714/I739</f>
        <v/>
      </c>
      <c r="T739">
        <f>Assumptions!$B$59/O739</f>
        <v/>
      </c>
      <c r="U739">
        <f>Assumptions!$B$62/R739</f>
        <v/>
      </c>
    </row>
    <row r="740">
      <c r="A740" t="n">
        <v>23</v>
      </c>
      <c r="B740">
        <f>S739</f>
        <v/>
      </c>
      <c r="C740">
        <f>T739</f>
        <v/>
      </c>
      <c r="D740">
        <f>U739</f>
        <v/>
      </c>
      <c r="E740">
        <f>MAX(0,Assumptions!$B$34/IF(B740&lt;Assumptions!$B$25,Assumptions!$B$25*(Assumptions!$B$50+Assumptions!$B$5/Assumptions!$B$25)/(Assumptions!$B$50+Assumptions!$B$5/B740),Assumptions!$B$25)-Assumptions!$B$42)+MAX(0,Assumptions!$B$35/IF(B740&lt;Assumptions!$B$26,Assumptions!$B$26*(Assumptions!$B$50+Assumptions!$B$5/Assumptions!$B$26)/(Assumptions!$B$50+Assumptions!$B$5/B740),Assumptions!$B$26)-Assumptions!$B$43)</f>
        <v/>
      </c>
      <c r="F740">
        <f>Assumptions!$B$5/B740</f>
        <v/>
      </c>
      <c r="G740">
        <f>$B$713*(((Assumptions!$B$50-Assumptions!$B$51+E740+C740+D740)+F740)/(1-$B$713))-Assumptions!$B$51</f>
        <v/>
      </c>
      <c r="H740">
        <f>MAX(0,G740)</f>
        <v/>
      </c>
      <c r="I740">
        <f>Assumptions!$B$50+E740+H740+C740+D740</f>
        <v/>
      </c>
      <c r="J740">
        <f>I740+F740</f>
        <v/>
      </c>
      <c r="K740">
        <f>Assumptions!$B$50+E740+H740+D740</f>
        <v/>
      </c>
      <c r="L740">
        <f>Assumptions!$B$50+E740+H740+C740</f>
        <v/>
      </c>
      <c r="M740">
        <f>Assumptions!$B$60/K740</f>
        <v/>
      </c>
      <c r="N740">
        <f>B740*(1-Assumptions!$B$61)</f>
        <v/>
      </c>
      <c r="O740">
        <f>MIN(M740,N740)</f>
        <v/>
      </c>
      <c r="P740">
        <f>Assumptions!$B$63/L740</f>
        <v/>
      </c>
      <c r="Q740">
        <f>B740*(1-Assumptions!$B$64)</f>
        <v/>
      </c>
      <c r="R740">
        <f>MIN(P740,Q740)</f>
        <v/>
      </c>
      <c r="S740">
        <f>$B$714/I740</f>
        <v/>
      </c>
      <c r="T740">
        <f>Assumptions!$B$59/O740</f>
        <v/>
      </c>
      <c r="U740">
        <f>Assumptions!$B$62/R740</f>
        <v/>
      </c>
    </row>
    <row r="741">
      <c r="A741" t="n">
        <v>24</v>
      </c>
      <c r="B741">
        <f>S740</f>
        <v/>
      </c>
      <c r="C741">
        <f>T740</f>
        <v/>
      </c>
      <c r="D741">
        <f>U740</f>
        <v/>
      </c>
      <c r="E741">
        <f>MAX(0,Assumptions!$B$34/IF(B741&lt;Assumptions!$B$25,Assumptions!$B$25*(Assumptions!$B$50+Assumptions!$B$5/Assumptions!$B$25)/(Assumptions!$B$50+Assumptions!$B$5/B741),Assumptions!$B$25)-Assumptions!$B$42)+MAX(0,Assumptions!$B$35/IF(B741&lt;Assumptions!$B$26,Assumptions!$B$26*(Assumptions!$B$50+Assumptions!$B$5/Assumptions!$B$26)/(Assumptions!$B$50+Assumptions!$B$5/B741),Assumptions!$B$26)-Assumptions!$B$43)</f>
        <v/>
      </c>
      <c r="F741">
        <f>Assumptions!$B$5/B741</f>
        <v/>
      </c>
      <c r="G741">
        <f>$B$713*(((Assumptions!$B$50-Assumptions!$B$51+E741+C741+D741)+F741)/(1-$B$713))-Assumptions!$B$51</f>
        <v/>
      </c>
      <c r="H741">
        <f>MAX(0,G741)</f>
        <v/>
      </c>
      <c r="I741">
        <f>Assumptions!$B$50+E741+H741+C741+D741</f>
        <v/>
      </c>
      <c r="J741">
        <f>I741+F741</f>
        <v/>
      </c>
      <c r="K741">
        <f>Assumptions!$B$50+E741+H741+D741</f>
        <v/>
      </c>
      <c r="L741">
        <f>Assumptions!$B$50+E741+H741+C741</f>
        <v/>
      </c>
      <c r="M741">
        <f>Assumptions!$B$60/K741</f>
        <v/>
      </c>
      <c r="N741">
        <f>B741*(1-Assumptions!$B$61)</f>
        <v/>
      </c>
      <c r="O741">
        <f>MIN(M741,N741)</f>
        <v/>
      </c>
      <c r="P741">
        <f>Assumptions!$B$63/L741</f>
        <v/>
      </c>
      <c r="Q741">
        <f>B741*(1-Assumptions!$B$64)</f>
        <v/>
      </c>
      <c r="R741">
        <f>MIN(P741,Q741)</f>
        <v/>
      </c>
      <c r="S741">
        <f>$B$714/I741</f>
        <v/>
      </c>
      <c r="T741">
        <f>Assumptions!$B$59/O741</f>
        <v/>
      </c>
      <c r="U741">
        <f>Assumptions!$B$62/R741</f>
        <v/>
      </c>
    </row>
    <row r="742">
      <c r="A742" t="n">
        <v>25</v>
      </c>
      <c r="B742">
        <f>S741</f>
        <v/>
      </c>
      <c r="C742">
        <f>T741</f>
        <v/>
      </c>
      <c r="D742">
        <f>U741</f>
        <v/>
      </c>
      <c r="E742">
        <f>MAX(0,Assumptions!$B$34/IF(B742&lt;Assumptions!$B$25,Assumptions!$B$25*(Assumptions!$B$50+Assumptions!$B$5/Assumptions!$B$25)/(Assumptions!$B$50+Assumptions!$B$5/B742),Assumptions!$B$25)-Assumptions!$B$42)+MAX(0,Assumptions!$B$35/IF(B742&lt;Assumptions!$B$26,Assumptions!$B$26*(Assumptions!$B$50+Assumptions!$B$5/Assumptions!$B$26)/(Assumptions!$B$50+Assumptions!$B$5/B742),Assumptions!$B$26)-Assumptions!$B$43)</f>
        <v/>
      </c>
      <c r="F742">
        <f>Assumptions!$B$5/B742</f>
        <v/>
      </c>
      <c r="G742">
        <f>$B$713*(((Assumptions!$B$50-Assumptions!$B$51+E742+C742+D742)+F742)/(1-$B$713))-Assumptions!$B$51</f>
        <v/>
      </c>
      <c r="H742">
        <f>MAX(0,G742)</f>
        <v/>
      </c>
      <c r="I742">
        <f>Assumptions!$B$50+E742+H742+C742+D742</f>
        <v/>
      </c>
      <c r="J742">
        <f>I742+F742</f>
        <v/>
      </c>
      <c r="K742">
        <f>Assumptions!$B$50+E742+H742+D742</f>
        <v/>
      </c>
      <c r="L742">
        <f>Assumptions!$B$50+E742+H742+C742</f>
        <v/>
      </c>
      <c r="M742">
        <f>Assumptions!$B$60/K742</f>
        <v/>
      </c>
      <c r="N742">
        <f>B742*(1-Assumptions!$B$61)</f>
        <v/>
      </c>
      <c r="O742">
        <f>MIN(M742,N742)</f>
        <v/>
      </c>
      <c r="P742">
        <f>Assumptions!$B$63/L742</f>
        <v/>
      </c>
      <c r="Q742">
        <f>B742*(1-Assumptions!$B$64)</f>
        <v/>
      </c>
      <c r="R742">
        <f>MIN(P742,Q742)</f>
        <v/>
      </c>
      <c r="S742">
        <f>$B$714/I742</f>
        <v/>
      </c>
      <c r="T742">
        <f>Assumptions!$B$59/O742</f>
        <v/>
      </c>
      <c r="U742">
        <f>Assumptions!$B$62/R742</f>
        <v/>
      </c>
    </row>
    <row r="743">
      <c r="A743" t="n">
        <v>26</v>
      </c>
      <c r="B743">
        <f>S742</f>
        <v/>
      </c>
      <c r="C743">
        <f>T742</f>
        <v/>
      </c>
      <c r="D743">
        <f>U742</f>
        <v/>
      </c>
      <c r="E743">
        <f>MAX(0,Assumptions!$B$34/IF(B743&lt;Assumptions!$B$25,Assumptions!$B$25*(Assumptions!$B$50+Assumptions!$B$5/Assumptions!$B$25)/(Assumptions!$B$50+Assumptions!$B$5/B743),Assumptions!$B$25)-Assumptions!$B$42)+MAX(0,Assumptions!$B$35/IF(B743&lt;Assumptions!$B$26,Assumptions!$B$26*(Assumptions!$B$50+Assumptions!$B$5/Assumptions!$B$26)/(Assumptions!$B$50+Assumptions!$B$5/B743),Assumptions!$B$26)-Assumptions!$B$43)</f>
        <v/>
      </c>
      <c r="F743">
        <f>Assumptions!$B$5/B743</f>
        <v/>
      </c>
      <c r="G743">
        <f>$B$713*(((Assumptions!$B$50-Assumptions!$B$51+E743+C743+D743)+F743)/(1-$B$713))-Assumptions!$B$51</f>
        <v/>
      </c>
      <c r="H743">
        <f>MAX(0,G743)</f>
        <v/>
      </c>
      <c r="I743">
        <f>Assumptions!$B$50+E743+H743+C743+D743</f>
        <v/>
      </c>
      <c r="J743">
        <f>I743+F743</f>
        <v/>
      </c>
      <c r="K743">
        <f>Assumptions!$B$50+E743+H743+D743</f>
        <v/>
      </c>
      <c r="L743">
        <f>Assumptions!$B$50+E743+H743+C743</f>
        <v/>
      </c>
      <c r="M743">
        <f>Assumptions!$B$60/K743</f>
        <v/>
      </c>
      <c r="N743">
        <f>B743*(1-Assumptions!$B$61)</f>
        <v/>
      </c>
      <c r="O743">
        <f>MIN(M743,N743)</f>
        <v/>
      </c>
      <c r="P743">
        <f>Assumptions!$B$63/L743</f>
        <v/>
      </c>
      <c r="Q743">
        <f>B743*(1-Assumptions!$B$64)</f>
        <v/>
      </c>
      <c r="R743">
        <f>MIN(P743,Q743)</f>
        <v/>
      </c>
      <c r="S743">
        <f>$B$714/I743</f>
        <v/>
      </c>
      <c r="T743">
        <f>Assumptions!$B$59/O743</f>
        <v/>
      </c>
      <c r="U743">
        <f>Assumptions!$B$62/R743</f>
        <v/>
      </c>
    </row>
    <row r="744">
      <c r="A744" t="n">
        <v>27</v>
      </c>
      <c r="B744">
        <f>S743</f>
        <v/>
      </c>
      <c r="C744">
        <f>T743</f>
        <v/>
      </c>
      <c r="D744">
        <f>U743</f>
        <v/>
      </c>
      <c r="E744">
        <f>MAX(0,Assumptions!$B$34/IF(B744&lt;Assumptions!$B$25,Assumptions!$B$25*(Assumptions!$B$50+Assumptions!$B$5/Assumptions!$B$25)/(Assumptions!$B$50+Assumptions!$B$5/B744),Assumptions!$B$25)-Assumptions!$B$42)+MAX(0,Assumptions!$B$35/IF(B744&lt;Assumptions!$B$26,Assumptions!$B$26*(Assumptions!$B$50+Assumptions!$B$5/Assumptions!$B$26)/(Assumptions!$B$50+Assumptions!$B$5/B744),Assumptions!$B$26)-Assumptions!$B$43)</f>
        <v/>
      </c>
      <c r="F744">
        <f>Assumptions!$B$5/B744</f>
        <v/>
      </c>
      <c r="G744">
        <f>$B$713*(((Assumptions!$B$50-Assumptions!$B$51+E744+C744+D744)+F744)/(1-$B$713))-Assumptions!$B$51</f>
        <v/>
      </c>
      <c r="H744">
        <f>MAX(0,G744)</f>
        <v/>
      </c>
      <c r="I744">
        <f>Assumptions!$B$50+E744+H744+C744+D744</f>
        <v/>
      </c>
      <c r="J744">
        <f>I744+F744</f>
        <v/>
      </c>
      <c r="K744">
        <f>Assumptions!$B$50+E744+H744+D744</f>
        <v/>
      </c>
      <c r="L744">
        <f>Assumptions!$B$50+E744+H744+C744</f>
        <v/>
      </c>
      <c r="M744">
        <f>Assumptions!$B$60/K744</f>
        <v/>
      </c>
      <c r="N744">
        <f>B744*(1-Assumptions!$B$61)</f>
        <v/>
      </c>
      <c r="O744">
        <f>MIN(M744,N744)</f>
        <v/>
      </c>
      <c r="P744">
        <f>Assumptions!$B$63/L744</f>
        <v/>
      </c>
      <c r="Q744">
        <f>B744*(1-Assumptions!$B$64)</f>
        <v/>
      </c>
      <c r="R744">
        <f>MIN(P744,Q744)</f>
        <v/>
      </c>
      <c r="S744">
        <f>$B$714/I744</f>
        <v/>
      </c>
      <c r="T744">
        <f>Assumptions!$B$59/O744</f>
        <v/>
      </c>
      <c r="U744">
        <f>Assumptions!$B$62/R744</f>
        <v/>
      </c>
    </row>
    <row r="745">
      <c r="A745" t="n">
        <v>28</v>
      </c>
      <c r="B745">
        <f>S744</f>
        <v/>
      </c>
      <c r="C745">
        <f>T744</f>
        <v/>
      </c>
      <c r="D745">
        <f>U744</f>
        <v/>
      </c>
      <c r="E745">
        <f>MAX(0,Assumptions!$B$34/IF(B745&lt;Assumptions!$B$25,Assumptions!$B$25*(Assumptions!$B$50+Assumptions!$B$5/Assumptions!$B$25)/(Assumptions!$B$50+Assumptions!$B$5/B745),Assumptions!$B$25)-Assumptions!$B$42)+MAX(0,Assumptions!$B$35/IF(B745&lt;Assumptions!$B$26,Assumptions!$B$26*(Assumptions!$B$50+Assumptions!$B$5/Assumptions!$B$26)/(Assumptions!$B$50+Assumptions!$B$5/B745),Assumptions!$B$26)-Assumptions!$B$43)</f>
        <v/>
      </c>
      <c r="F745">
        <f>Assumptions!$B$5/B745</f>
        <v/>
      </c>
      <c r="G745">
        <f>$B$713*(((Assumptions!$B$50-Assumptions!$B$51+E745+C745+D745)+F745)/(1-$B$713))-Assumptions!$B$51</f>
        <v/>
      </c>
      <c r="H745">
        <f>MAX(0,G745)</f>
        <v/>
      </c>
      <c r="I745">
        <f>Assumptions!$B$50+E745+H745+C745+D745</f>
        <v/>
      </c>
      <c r="J745">
        <f>I745+F745</f>
        <v/>
      </c>
      <c r="K745">
        <f>Assumptions!$B$50+E745+H745+D745</f>
        <v/>
      </c>
      <c r="L745">
        <f>Assumptions!$B$50+E745+H745+C745</f>
        <v/>
      </c>
      <c r="M745">
        <f>Assumptions!$B$60/K745</f>
        <v/>
      </c>
      <c r="N745">
        <f>B745*(1-Assumptions!$B$61)</f>
        <v/>
      </c>
      <c r="O745">
        <f>MIN(M745,N745)</f>
        <v/>
      </c>
      <c r="P745">
        <f>Assumptions!$B$63/L745</f>
        <v/>
      </c>
      <c r="Q745">
        <f>B745*(1-Assumptions!$B$64)</f>
        <v/>
      </c>
      <c r="R745">
        <f>MIN(P745,Q745)</f>
        <v/>
      </c>
      <c r="S745">
        <f>$B$714/I745</f>
        <v/>
      </c>
      <c r="T745">
        <f>Assumptions!$B$59/O745</f>
        <v/>
      </c>
      <c r="U745">
        <f>Assumptions!$B$62/R745</f>
        <v/>
      </c>
    </row>
    <row r="746">
      <c r="A746" t="n">
        <v>29</v>
      </c>
      <c r="B746">
        <f>S745</f>
        <v/>
      </c>
      <c r="C746">
        <f>T745</f>
        <v/>
      </c>
      <c r="D746">
        <f>U745</f>
        <v/>
      </c>
      <c r="E746">
        <f>MAX(0,Assumptions!$B$34/IF(B746&lt;Assumptions!$B$25,Assumptions!$B$25*(Assumptions!$B$50+Assumptions!$B$5/Assumptions!$B$25)/(Assumptions!$B$50+Assumptions!$B$5/B746),Assumptions!$B$25)-Assumptions!$B$42)+MAX(0,Assumptions!$B$35/IF(B746&lt;Assumptions!$B$26,Assumptions!$B$26*(Assumptions!$B$50+Assumptions!$B$5/Assumptions!$B$26)/(Assumptions!$B$50+Assumptions!$B$5/B746),Assumptions!$B$26)-Assumptions!$B$43)</f>
        <v/>
      </c>
      <c r="F746">
        <f>Assumptions!$B$5/B746</f>
        <v/>
      </c>
      <c r="G746">
        <f>$B$713*(((Assumptions!$B$50-Assumptions!$B$51+E746+C746+D746)+F746)/(1-$B$713))-Assumptions!$B$51</f>
        <v/>
      </c>
      <c r="H746">
        <f>MAX(0,G746)</f>
        <v/>
      </c>
      <c r="I746">
        <f>Assumptions!$B$50+E746+H746+C746+D746</f>
        <v/>
      </c>
      <c r="J746">
        <f>I746+F746</f>
        <v/>
      </c>
      <c r="K746">
        <f>Assumptions!$B$50+E746+H746+D746</f>
        <v/>
      </c>
      <c r="L746">
        <f>Assumptions!$B$50+E746+H746+C746</f>
        <v/>
      </c>
      <c r="M746">
        <f>Assumptions!$B$60/K746</f>
        <v/>
      </c>
      <c r="N746">
        <f>B746*(1-Assumptions!$B$61)</f>
        <v/>
      </c>
      <c r="O746">
        <f>MIN(M746,N746)</f>
        <v/>
      </c>
      <c r="P746">
        <f>Assumptions!$B$63/L746</f>
        <v/>
      </c>
      <c r="Q746">
        <f>B746*(1-Assumptions!$B$64)</f>
        <v/>
      </c>
      <c r="R746">
        <f>MIN(P746,Q746)</f>
        <v/>
      </c>
      <c r="S746">
        <f>$B$714/I746</f>
        <v/>
      </c>
      <c r="T746">
        <f>Assumptions!$B$59/O746</f>
        <v/>
      </c>
      <c r="U746">
        <f>Assumptions!$B$62/R746</f>
        <v/>
      </c>
    </row>
    <row r="747">
      <c r="A747" t="n">
        <v>30</v>
      </c>
      <c r="B747">
        <f>S746</f>
        <v/>
      </c>
      <c r="C747">
        <f>T746</f>
        <v/>
      </c>
      <c r="D747">
        <f>U746</f>
        <v/>
      </c>
      <c r="E747">
        <f>MAX(0,Assumptions!$B$34/IF(B747&lt;Assumptions!$B$25,Assumptions!$B$25*(Assumptions!$B$50+Assumptions!$B$5/Assumptions!$B$25)/(Assumptions!$B$50+Assumptions!$B$5/B747),Assumptions!$B$25)-Assumptions!$B$42)+MAX(0,Assumptions!$B$35/IF(B747&lt;Assumptions!$B$26,Assumptions!$B$26*(Assumptions!$B$50+Assumptions!$B$5/Assumptions!$B$26)/(Assumptions!$B$50+Assumptions!$B$5/B747),Assumptions!$B$26)-Assumptions!$B$43)</f>
        <v/>
      </c>
      <c r="F747">
        <f>Assumptions!$B$5/B747</f>
        <v/>
      </c>
      <c r="G747">
        <f>$B$713*(((Assumptions!$B$50-Assumptions!$B$51+E747+C747+D747)+F747)/(1-$B$713))-Assumptions!$B$51</f>
        <v/>
      </c>
      <c r="H747">
        <f>MAX(0,G747)</f>
        <v/>
      </c>
      <c r="I747">
        <f>Assumptions!$B$50+E747+H747+C747+D747</f>
        <v/>
      </c>
      <c r="J747">
        <f>I747+F747</f>
        <v/>
      </c>
      <c r="K747">
        <f>Assumptions!$B$50+E747+H747+D747</f>
        <v/>
      </c>
      <c r="L747">
        <f>Assumptions!$B$50+E747+H747+C747</f>
        <v/>
      </c>
      <c r="M747">
        <f>Assumptions!$B$60/K747</f>
        <v/>
      </c>
      <c r="N747">
        <f>B747*(1-Assumptions!$B$61)</f>
        <v/>
      </c>
      <c r="O747">
        <f>MIN(M747,N747)</f>
        <v/>
      </c>
      <c r="P747">
        <f>Assumptions!$B$63/L747</f>
        <v/>
      </c>
      <c r="Q747">
        <f>B747*(1-Assumptions!$B$64)</f>
        <v/>
      </c>
      <c r="R747">
        <f>MIN(P747,Q747)</f>
        <v/>
      </c>
      <c r="S747">
        <f>$B$714/I747</f>
        <v/>
      </c>
      <c r="T747">
        <f>Assumptions!$B$59/O747</f>
        <v/>
      </c>
      <c r="U747">
        <f>Assumptions!$B$62/R747</f>
        <v/>
      </c>
    </row>
    <row r="749">
      <c r="A749" s="2" t="inlineStr">
        <is>
          <t>Solved F_PPS</t>
        </is>
      </c>
      <c r="B749">
        <f>B747</f>
        <v/>
      </c>
    </row>
    <row r="750">
      <c r="A750" t="inlineStr">
        <is>
          <t>Solved pmFD</t>
        </is>
      </c>
      <c r="B750">
        <f>I747</f>
        <v/>
      </c>
    </row>
    <row r="751">
      <c r="A751" t="inlineStr">
        <is>
          <t>Solved T_F</t>
        </is>
      </c>
      <c r="B751">
        <f>J747</f>
        <v/>
      </c>
    </row>
    <row r="752">
      <c r="A752" t="inlineStr">
        <is>
          <t>Solved AD_extra</t>
        </is>
      </c>
      <c r="B752">
        <f>E747</f>
        <v/>
      </c>
    </row>
    <row r="753">
      <c r="A753" t="inlineStr">
        <is>
          <t>Solved topup</t>
        </is>
      </c>
      <c r="B753">
        <f>H747</f>
        <v/>
      </c>
    </row>
    <row r="754">
      <c r="A754" t="inlineStr">
        <is>
          <t>Solved nA</t>
        </is>
      </c>
      <c r="B754">
        <f>C747</f>
        <v/>
      </c>
    </row>
    <row r="755">
      <c r="A755" t="inlineStr">
        <is>
          <t>Solved nB</t>
        </is>
      </c>
      <c r="B755">
        <f>D747</f>
        <v/>
      </c>
    </row>
    <row r="756">
      <c r="A756" t="inlineStr">
        <is>
          <t>Branch A</t>
        </is>
      </c>
      <c r="B756">
        <f>IF(M747&lt;N747,"cap","discount")</f>
        <v/>
      </c>
    </row>
    <row r="757">
      <c r="A757" t="inlineStr">
        <is>
          <t>Branch B</t>
        </is>
      </c>
      <c r="B757">
        <f>IF(P747&lt;Q747,"cap","discount")</f>
        <v/>
      </c>
    </row>
    <row r="759">
      <c r="A759" t="inlineStr">
        <is>
          <t>Fund shares</t>
        </is>
      </c>
      <c r="B759">
        <f>Assumptions!$B$9/B747</f>
        <v/>
      </c>
    </row>
    <row r="760">
      <c r="A760" t="inlineStr">
        <is>
          <t>Fund ownership %</t>
        </is>
      </c>
      <c r="B760" s="12">
        <f>B759/J747</f>
        <v/>
      </c>
    </row>
    <row r="761">
      <c r="A761" t="inlineStr">
        <is>
          <t>Tender shares</t>
        </is>
      </c>
      <c r="B761">
        <f>Assumptions!$B$6/(Assumptions!$B$7*B747)</f>
        <v/>
      </c>
    </row>
    <row r="762">
      <c r="A762" t="inlineStr">
        <is>
          <t>ITM test PPS</t>
        </is>
      </c>
      <c r="B762">
        <f>(Assumptions!$B$16+Assumptions!$B$11*Assumptions!$B$48)/(F747+(Assumptions!$B$35/IF(B747&lt;Assumptions!$B$26,Assumptions!$B$26*(Assumptions!$B$50+Assumptions!$B$5/Assumptions!$B$26)/(Assumptions!$B$50+Assumptions!$B$5/B747),Assumptions!$B$26))+(Assumptions!$B$34/IF(B747&lt;Assumptions!$B$25,Assumptions!$B$25*(Assumptions!$B$50+Assumptions!$B$5/Assumptions!$B$25)/(Assumptions!$B$50+Assumptions!$B$5/B747),Assumptions!$B$25))+Assumptions!$B$41+Assumptions!$B$40+Assumptions!$B$39+Assumptions!$B$38+(Assumptions!$B$44+Assumptions!$B$45+Assumptions!$B$46-B761)+Assumptions!$B$47+B761+(C747+D747)+Assumptions!$B$48)</f>
        <v/>
      </c>
    </row>
    <row r="763">
      <c r="A763" t="inlineStr">
        <is>
          <t>ITM?</t>
        </is>
      </c>
      <c r="B763">
        <f>IF(B762&gt;Assumptions!$B$11,"YES","NO")</f>
        <v/>
      </c>
    </row>
    <row r="764">
      <c r="A764" t="inlineStr">
        <is>
          <t>Effective pool</t>
        </is>
      </c>
      <c r="B764">
        <f>IF(B763="YES",(F747+(Assumptions!$B$35/IF(B747&lt;Assumptions!$B$26,Assumptions!$B$26*(Assumptions!$B$50+Assumptions!$B$5/Assumptions!$B$26)/(Assumptions!$B$50+Assumptions!$B$5/B747),Assumptions!$B$26))+(Assumptions!$B$34/IF(B747&lt;Assumptions!$B$25,Assumptions!$B$25*(Assumptions!$B$50+Assumptions!$B$5/Assumptions!$B$25)/(Assumptions!$B$50+Assumptions!$B$5/B747),Assumptions!$B$25))+Assumptions!$B$41+Assumptions!$B$40+Assumptions!$B$39+Assumptions!$B$38+(Assumptions!$B$44+Assumptions!$B$45+Assumptions!$B$46-B761)+Assumptions!$B$47+B761+(C747+D747)+Assumptions!$B$48),(F747+(Assumptions!$B$35/IF(B747&lt;Assumptions!$B$26,Assumptions!$B$26*(Assumptions!$B$50+Assumptions!$B$5/Assumptions!$B$26)/(Assumptions!$B$50+Assumptions!$B$5/B747),Assumptions!$B$26))+(Assumptions!$B$34/IF(B747&lt;Assumptions!$B$25,Assumptions!$B$25*(Assumptions!$B$50+Assumptions!$B$5/Assumptions!$B$25)/(Assumptions!$B$50+Assumptions!$B$5/B747),Assumptions!$B$25))+Assumptions!$B$41+Assumptions!$B$40+Assumptions!$B$39+Assumptions!$B$38+(Assumptions!$B$44+Assumptions!$B$45+Assumptions!$B$46-B761)+Assumptions!$B$47+B761+(C747+D747)))</f>
        <v/>
      </c>
    </row>
    <row r="765">
      <c r="A765" t="inlineStr">
        <is>
          <t>Adjusted exit</t>
        </is>
      </c>
      <c r="B765">
        <f>IF(B763="YES",Assumptions!$B$16+Assumptions!$B$11*Assumptions!$B$48,Assumptions!$B$16)</f>
        <v/>
      </c>
    </row>
    <row r="766">
      <c r="A766" s="20" t="inlineStr">
        <is>
          <t>F elect</t>
        </is>
      </c>
      <c r="B766">
        <f>IF(Assumptions!$B$5&gt;(F747)*(B765-(0))/(B764-(0)),"preference","convert")</f>
        <v/>
      </c>
    </row>
    <row r="767">
      <c r="A767" t="inlineStr">
        <is>
          <t>F pref taken</t>
        </is>
      </c>
      <c r="B767">
        <f>IF(B766="preference",Assumptions!$B$5,0)</f>
        <v/>
      </c>
    </row>
    <row r="768">
      <c r="A768" t="inlineStr">
        <is>
          <t>F pool loss</t>
        </is>
      </c>
      <c r="B768">
        <f>IF(B766="preference",F747,0)</f>
        <v/>
      </c>
    </row>
    <row r="769">
      <c r="A769" s="20" t="inlineStr">
        <is>
          <t>E elect</t>
        </is>
      </c>
      <c r="B769">
        <f>IF(Assumptions!$B$35&gt;((Assumptions!$B$35/IF(B747&lt;Assumptions!$B$26,Assumptions!$B$26*(Assumptions!$B$50+Assumptions!$B$5/Assumptions!$B$26)/(Assumptions!$B$50+Assumptions!$B$5/B747),Assumptions!$B$26)))*(B765-(B767))/(B764-(B768)),"preference","convert")</f>
        <v/>
      </c>
    </row>
    <row r="770">
      <c r="A770" t="inlineStr">
        <is>
          <t>E pref taken</t>
        </is>
      </c>
      <c r="B770">
        <f>IF(B769="preference",Assumptions!$B$35,0)</f>
        <v/>
      </c>
    </row>
    <row r="771">
      <c r="A771" t="inlineStr">
        <is>
          <t>E pool loss</t>
        </is>
      </c>
      <c r="B771">
        <f>IF(B769="preference",(Assumptions!$B$35/IF(B747&lt;Assumptions!$B$26,Assumptions!$B$26*(Assumptions!$B$50+Assumptions!$B$5/Assumptions!$B$26)/(Assumptions!$B$50+Assumptions!$B$5/B747),Assumptions!$B$26)),0)</f>
        <v/>
      </c>
    </row>
    <row r="772">
      <c r="A772" s="20" t="inlineStr">
        <is>
          <t>D elect</t>
        </is>
      </c>
      <c r="B772">
        <f>IF(Assumptions!$B$34&gt;((Assumptions!$B$34/IF(B747&lt;Assumptions!$B$25,Assumptions!$B$25*(Assumptions!$B$50+Assumptions!$B$5/Assumptions!$B$25)/(Assumptions!$B$50+Assumptions!$B$5/B747),Assumptions!$B$25)))*(B765-(B767+B770))/(B764-(B768+B771)),"preference","convert")</f>
        <v/>
      </c>
    </row>
    <row r="773">
      <c r="A773" t="inlineStr">
        <is>
          <t>D pref taken</t>
        </is>
      </c>
      <c r="B773">
        <f>IF(B772="preference",Assumptions!$B$34,0)</f>
        <v/>
      </c>
    </row>
    <row r="774">
      <c r="A774" t="inlineStr">
        <is>
          <t>D pool loss</t>
        </is>
      </c>
      <c r="B774">
        <f>IF(B772="preference",(Assumptions!$B$34/IF(B747&lt;Assumptions!$B$25,Assumptions!$B$25*(Assumptions!$B$50+Assumptions!$B$5/Assumptions!$B$25)/(Assumptions!$B$50+Assumptions!$B$5/B747),Assumptions!$B$25)),0)</f>
        <v/>
      </c>
    </row>
    <row r="775">
      <c r="A775" s="20" t="inlineStr">
        <is>
          <t>C elect</t>
        </is>
      </c>
      <c r="B775">
        <f>IF(Assumptions!$B$33&gt;(Assumptions!$B$41)*(B765-(B767+B770+B773))/(B764-(B768+B771+B774)),"preference","convert")</f>
        <v/>
      </c>
    </row>
    <row r="776">
      <c r="A776" t="inlineStr">
        <is>
          <t>C pref taken</t>
        </is>
      </c>
      <c r="B776">
        <f>IF(B775="preference",Assumptions!$B$33,0)</f>
        <v/>
      </c>
    </row>
    <row r="777">
      <c r="A777" t="inlineStr">
        <is>
          <t>C pool loss</t>
        </is>
      </c>
      <c r="B777">
        <f>IF(B775="preference",Assumptions!$B$41,0)</f>
        <v/>
      </c>
    </row>
    <row r="778">
      <c r="A778" s="20" t="inlineStr">
        <is>
          <t>B elect</t>
        </is>
      </c>
      <c r="B778">
        <f>IF(Assumptions!$B$32&gt;(Assumptions!$B$40)*(B765-(B767+B770+B773+B776))/(B764-(B768+B771+B774+B777)),"preference","convert")</f>
        <v/>
      </c>
    </row>
    <row r="779">
      <c r="A779" t="inlineStr">
        <is>
          <t>B pref taken</t>
        </is>
      </c>
      <c r="B779">
        <f>IF(B778="preference",Assumptions!$B$32,0)</f>
        <v/>
      </c>
    </row>
    <row r="780">
      <c r="A780" t="inlineStr">
        <is>
          <t>B pool loss</t>
        </is>
      </c>
      <c r="B780">
        <f>IF(B778="preference",Assumptions!$B$40,0)</f>
        <v/>
      </c>
    </row>
    <row r="781">
      <c r="A781" s="20" t="inlineStr">
        <is>
          <t>A elect</t>
        </is>
      </c>
      <c r="B781">
        <f>IF(Assumptions!$B$31&gt;(Assumptions!$B$39)*(B765-(B767+B770+B773+B776+B779))/(B764-(B768+B771+B774+B777+B780)),"preference","convert")</f>
        <v/>
      </c>
    </row>
    <row r="782">
      <c r="A782" t="inlineStr">
        <is>
          <t>A pref taken</t>
        </is>
      </c>
      <c r="B782">
        <f>IF(B781="preference",Assumptions!$B$31,0)</f>
        <v/>
      </c>
    </row>
    <row r="783">
      <c r="A783" t="inlineStr">
        <is>
          <t>A pool loss</t>
        </is>
      </c>
      <c r="B783">
        <f>IF(B781="preference",Assumptions!$B$39,0)</f>
        <v/>
      </c>
    </row>
    <row r="784">
      <c r="A784" s="20" t="inlineStr">
        <is>
          <t>Seed elect</t>
        </is>
      </c>
      <c r="B784">
        <f>IF(Assumptions!$B$30&gt;(Assumptions!$B$38)*(B765-(B767+B770+B773+B776+B779+B782))/(B764-(B768+B771+B774+B777+B780+B783)),"preference","convert")</f>
        <v/>
      </c>
    </row>
    <row r="785">
      <c r="A785" t="inlineStr">
        <is>
          <t>Seed pref taken</t>
        </is>
      </c>
      <c r="B785">
        <f>IF(B784="preference",Assumptions!$B$30,0)</f>
        <v/>
      </c>
    </row>
    <row r="786">
      <c r="A786" t="inlineStr">
        <is>
          <t>Seed pool loss</t>
        </is>
      </c>
      <c r="B786">
        <f>IF(B784="preference",Assumptions!$B$38,0)</f>
        <v/>
      </c>
    </row>
    <row r="787">
      <c r="A787" s="2" t="inlineStr">
        <is>
          <t>Final PPS at $2B</t>
        </is>
      </c>
      <c r="B787">
        <f>(B765-(B767+B770+B773+B776+B779+B782+B785))/(B764-(B768+B771+B774+B777+B780+B783+B786))</f>
        <v/>
      </c>
    </row>
    <row r="788">
      <c r="A788" s="2" t="inlineStr">
        <is>
          <t>Fund proceeds at $2B</t>
        </is>
      </c>
      <c r="B788" s="18">
        <f>IF(B766="preference",Assumptions!$B$9,B759*B787)</f>
        <v/>
      </c>
    </row>
    <row r="812">
      <c r="A812" s="2" t="inlineStr">
        <is>
          <t>Scenario [esop=15%, pre=$1.8B]</t>
        </is>
      </c>
    </row>
    <row r="813">
      <c r="A813" t="inlineStr">
        <is>
          <t>ESOP target</t>
        </is>
      </c>
      <c r="B813">
        <f>Assumptions!$B$69</f>
        <v/>
      </c>
    </row>
    <row r="814">
      <c r="A814" t="inlineStr">
        <is>
          <t>Pre-money</t>
        </is>
      </c>
      <c r="B814">
        <f>Assumptions!$B$72</f>
        <v/>
      </c>
    </row>
    <row r="816">
      <c r="A816" s="14" t="inlineStr">
        <is>
          <t>k</t>
        </is>
      </c>
      <c r="B816" s="14" t="inlineStr">
        <is>
          <t>F_PPS_k</t>
        </is>
      </c>
      <c r="C816" s="14" t="inlineStr">
        <is>
          <t>nA_k</t>
        </is>
      </c>
      <c r="D816" s="14" t="inlineStr">
        <is>
          <t>nB_k</t>
        </is>
      </c>
      <c r="E816" s="14" t="inlineStr">
        <is>
          <t>AD_x</t>
        </is>
      </c>
      <c r="F816" s="14" t="inlineStr">
        <is>
          <t>F_pri</t>
        </is>
      </c>
      <c r="G816" s="14" t="inlineStr">
        <is>
          <t>topup_p</t>
        </is>
      </c>
      <c r="H816" s="14" t="inlineStr">
        <is>
          <t>topup</t>
        </is>
      </c>
      <c r="I816" s="14" t="inlineStr">
        <is>
          <t>pmFD</t>
        </is>
      </c>
      <c r="J816" s="14" t="inlineStr">
        <is>
          <t>T_F</t>
        </is>
      </c>
      <c r="K816" s="14" t="inlineStr">
        <is>
          <t>pmFD_A</t>
        </is>
      </c>
      <c r="L816" s="14" t="inlineStr">
        <is>
          <t>pmFD_B</t>
        </is>
      </c>
      <c r="M816" s="14" t="inlineStr">
        <is>
          <t>cap_A</t>
        </is>
      </c>
      <c r="N816" s="14" t="inlineStr">
        <is>
          <t>disc_A</t>
        </is>
      </c>
      <c r="O816" s="14" t="inlineStr">
        <is>
          <t>conv_A</t>
        </is>
      </c>
      <c r="P816" s="14" t="inlineStr">
        <is>
          <t>cap_B</t>
        </is>
      </c>
      <c r="Q816" s="14" t="inlineStr">
        <is>
          <t>disc_B</t>
        </is>
      </c>
      <c r="R816" s="14" t="inlineStr">
        <is>
          <t>conv_B</t>
        </is>
      </c>
      <c r="S816" s="14" t="inlineStr">
        <is>
          <t>F_PPS_n</t>
        </is>
      </c>
      <c r="T816" s="14" t="inlineStr">
        <is>
          <t>nA_n</t>
        </is>
      </c>
      <c r="U816" s="14" t="inlineStr">
        <is>
          <t>nB_n</t>
        </is>
      </c>
    </row>
    <row r="817">
      <c r="A817" t="n">
        <v>0</v>
      </c>
      <c r="B817">
        <f>$B$814/Assumptions!$B$50</f>
        <v/>
      </c>
      <c r="C817" t="n">
        <v>0</v>
      </c>
      <c r="D817" t="n">
        <v>0</v>
      </c>
      <c r="E817">
        <f>MAX(0,Assumptions!$B$34/IF(B817&lt;Assumptions!$B$25,Assumptions!$B$25*(Assumptions!$B$50+Assumptions!$B$5/Assumptions!$B$25)/(Assumptions!$B$50+Assumptions!$B$5/B817),Assumptions!$B$25)-Assumptions!$B$42)+MAX(0,Assumptions!$B$35/IF(B817&lt;Assumptions!$B$26,Assumptions!$B$26*(Assumptions!$B$50+Assumptions!$B$5/Assumptions!$B$26)/(Assumptions!$B$50+Assumptions!$B$5/B817),Assumptions!$B$26)-Assumptions!$B$43)</f>
        <v/>
      </c>
      <c r="F817">
        <f>Assumptions!$B$5/B817</f>
        <v/>
      </c>
      <c r="G817">
        <f>$B$813*(((Assumptions!$B$50-Assumptions!$B$51+E817+C817+D817)+F817)/(1-$B$813))-Assumptions!$B$51</f>
        <v/>
      </c>
      <c r="H817">
        <f>MAX(0,G817)</f>
        <v/>
      </c>
      <c r="I817">
        <f>Assumptions!$B$50+E817+H817+C817+D817</f>
        <v/>
      </c>
      <c r="J817">
        <f>I817+F817</f>
        <v/>
      </c>
      <c r="K817">
        <f>Assumptions!$B$50+E817+H817+D817</f>
        <v/>
      </c>
      <c r="L817">
        <f>Assumptions!$B$50+E817+H817+C817</f>
        <v/>
      </c>
      <c r="M817">
        <f>Assumptions!$B$60/K817</f>
        <v/>
      </c>
      <c r="N817">
        <f>B817*(1-Assumptions!$B$61)</f>
        <v/>
      </c>
      <c r="O817">
        <f>MIN(M817,N817)</f>
        <v/>
      </c>
      <c r="P817">
        <f>Assumptions!$B$63/L817</f>
        <v/>
      </c>
      <c r="Q817">
        <f>B817*(1-Assumptions!$B$64)</f>
        <v/>
      </c>
      <c r="R817">
        <f>MIN(P817,Q817)</f>
        <v/>
      </c>
      <c r="S817">
        <f>$B$814/I817</f>
        <v/>
      </c>
      <c r="T817">
        <f>Assumptions!$B$59/O817</f>
        <v/>
      </c>
      <c r="U817">
        <f>Assumptions!$B$62/R817</f>
        <v/>
      </c>
    </row>
    <row r="818">
      <c r="A818" t="n">
        <v>1</v>
      </c>
      <c r="B818">
        <f>S817</f>
        <v/>
      </c>
      <c r="C818">
        <f>T817</f>
        <v/>
      </c>
      <c r="D818">
        <f>U817</f>
        <v/>
      </c>
      <c r="E818">
        <f>MAX(0,Assumptions!$B$34/IF(B818&lt;Assumptions!$B$25,Assumptions!$B$25*(Assumptions!$B$50+Assumptions!$B$5/Assumptions!$B$25)/(Assumptions!$B$50+Assumptions!$B$5/B818),Assumptions!$B$25)-Assumptions!$B$42)+MAX(0,Assumptions!$B$35/IF(B818&lt;Assumptions!$B$26,Assumptions!$B$26*(Assumptions!$B$50+Assumptions!$B$5/Assumptions!$B$26)/(Assumptions!$B$50+Assumptions!$B$5/B818),Assumptions!$B$26)-Assumptions!$B$43)</f>
        <v/>
      </c>
      <c r="F818">
        <f>Assumptions!$B$5/B818</f>
        <v/>
      </c>
      <c r="G818">
        <f>$B$813*(((Assumptions!$B$50-Assumptions!$B$51+E818+C818+D818)+F818)/(1-$B$813))-Assumptions!$B$51</f>
        <v/>
      </c>
      <c r="H818">
        <f>MAX(0,G818)</f>
        <v/>
      </c>
      <c r="I818">
        <f>Assumptions!$B$50+E818+H818+C818+D818</f>
        <v/>
      </c>
      <c r="J818">
        <f>I818+F818</f>
        <v/>
      </c>
      <c r="K818">
        <f>Assumptions!$B$50+E818+H818+D818</f>
        <v/>
      </c>
      <c r="L818">
        <f>Assumptions!$B$50+E818+H818+C818</f>
        <v/>
      </c>
      <c r="M818">
        <f>Assumptions!$B$60/K818</f>
        <v/>
      </c>
      <c r="N818">
        <f>B818*(1-Assumptions!$B$61)</f>
        <v/>
      </c>
      <c r="O818">
        <f>MIN(M818,N818)</f>
        <v/>
      </c>
      <c r="P818">
        <f>Assumptions!$B$63/L818</f>
        <v/>
      </c>
      <c r="Q818">
        <f>B818*(1-Assumptions!$B$64)</f>
        <v/>
      </c>
      <c r="R818">
        <f>MIN(P818,Q818)</f>
        <v/>
      </c>
      <c r="S818">
        <f>$B$814/I818</f>
        <v/>
      </c>
      <c r="T818">
        <f>Assumptions!$B$59/O818</f>
        <v/>
      </c>
      <c r="U818">
        <f>Assumptions!$B$62/R818</f>
        <v/>
      </c>
    </row>
    <row r="819">
      <c r="A819" t="n">
        <v>2</v>
      </c>
      <c r="B819">
        <f>S818</f>
        <v/>
      </c>
      <c r="C819">
        <f>T818</f>
        <v/>
      </c>
      <c r="D819">
        <f>U818</f>
        <v/>
      </c>
      <c r="E819">
        <f>MAX(0,Assumptions!$B$34/IF(B819&lt;Assumptions!$B$25,Assumptions!$B$25*(Assumptions!$B$50+Assumptions!$B$5/Assumptions!$B$25)/(Assumptions!$B$50+Assumptions!$B$5/B819),Assumptions!$B$25)-Assumptions!$B$42)+MAX(0,Assumptions!$B$35/IF(B819&lt;Assumptions!$B$26,Assumptions!$B$26*(Assumptions!$B$50+Assumptions!$B$5/Assumptions!$B$26)/(Assumptions!$B$50+Assumptions!$B$5/B819),Assumptions!$B$26)-Assumptions!$B$43)</f>
        <v/>
      </c>
      <c r="F819">
        <f>Assumptions!$B$5/B819</f>
        <v/>
      </c>
      <c r="G819">
        <f>$B$813*(((Assumptions!$B$50-Assumptions!$B$51+E819+C819+D819)+F819)/(1-$B$813))-Assumptions!$B$51</f>
        <v/>
      </c>
      <c r="H819">
        <f>MAX(0,G819)</f>
        <v/>
      </c>
      <c r="I819">
        <f>Assumptions!$B$50+E819+H819+C819+D819</f>
        <v/>
      </c>
      <c r="J819">
        <f>I819+F819</f>
        <v/>
      </c>
      <c r="K819">
        <f>Assumptions!$B$50+E819+H819+D819</f>
        <v/>
      </c>
      <c r="L819">
        <f>Assumptions!$B$50+E819+H819+C819</f>
        <v/>
      </c>
      <c r="M819">
        <f>Assumptions!$B$60/K819</f>
        <v/>
      </c>
      <c r="N819">
        <f>B819*(1-Assumptions!$B$61)</f>
        <v/>
      </c>
      <c r="O819">
        <f>MIN(M819,N819)</f>
        <v/>
      </c>
      <c r="P819">
        <f>Assumptions!$B$63/L819</f>
        <v/>
      </c>
      <c r="Q819">
        <f>B819*(1-Assumptions!$B$64)</f>
        <v/>
      </c>
      <c r="R819">
        <f>MIN(P819,Q819)</f>
        <v/>
      </c>
      <c r="S819">
        <f>$B$814/I819</f>
        <v/>
      </c>
      <c r="T819">
        <f>Assumptions!$B$59/O819</f>
        <v/>
      </c>
      <c r="U819">
        <f>Assumptions!$B$62/R819</f>
        <v/>
      </c>
    </row>
    <row r="820">
      <c r="A820" t="n">
        <v>3</v>
      </c>
      <c r="B820">
        <f>S819</f>
        <v/>
      </c>
      <c r="C820">
        <f>T819</f>
        <v/>
      </c>
      <c r="D820">
        <f>U819</f>
        <v/>
      </c>
      <c r="E820">
        <f>MAX(0,Assumptions!$B$34/IF(B820&lt;Assumptions!$B$25,Assumptions!$B$25*(Assumptions!$B$50+Assumptions!$B$5/Assumptions!$B$25)/(Assumptions!$B$50+Assumptions!$B$5/B820),Assumptions!$B$25)-Assumptions!$B$42)+MAX(0,Assumptions!$B$35/IF(B820&lt;Assumptions!$B$26,Assumptions!$B$26*(Assumptions!$B$50+Assumptions!$B$5/Assumptions!$B$26)/(Assumptions!$B$50+Assumptions!$B$5/B820),Assumptions!$B$26)-Assumptions!$B$43)</f>
        <v/>
      </c>
      <c r="F820">
        <f>Assumptions!$B$5/B820</f>
        <v/>
      </c>
      <c r="G820">
        <f>$B$813*(((Assumptions!$B$50-Assumptions!$B$51+E820+C820+D820)+F820)/(1-$B$813))-Assumptions!$B$51</f>
        <v/>
      </c>
      <c r="H820">
        <f>MAX(0,G820)</f>
        <v/>
      </c>
      <c r="I820">
        <f>Assumptions!$B$50+E820+H820+C820+D820</f>
        <v/>
      </c>
      <c r="J820">
        <f>I820+F820</f>
        <v/>
      </c>
      <c r="K820">
        <f>Assumptions!$B$50+E820+H820+D820</f>
        <v/>
      </c>
      <c r="L820">
        <f>Assumptions!$B$50+E820+H820+C820</f>
        <v/>
      </c>
      <c r="M820">
        <f>Assumptions!$B$60/K820</f>
        <v/>
      </c>
      <c r="N820">
        <f>B820*(1-Assumptions!$B$61)</f>
        <v/>
      </c>
      <c r="O820">
        <f>MIN(M820,N820)</f>
        <v/>
      </c>
      <c r="P820">
        <f>Assumptions!$B$63/L820</f>
        <v/>
      </c>
      <c r="Q820">
        <f>B820*(1-Assumptions!$B$64)</f>
        <v/>
      </c>
      <c r="R820">
        <f>MIN(P820,Q820)</f>
        <v/>
      </c>
      <c r="S820">
        <f>$B$814/I820</f>
        <v/>
      </c>
      <c r="T820">
        <f>Assumptions!$B$59/O820</f>
        <v/>
      </c>
      <c r="U820">
        <f>Assumptions!$B$62/R820</f>
        <v/>
      </c>
    </row>
    <row r="821">
      <c r="A821" t="n">
        <v>4</v>
      </c>
      <c r="B821">
        <f>S820</f>
        <v/>
      </c>
      <c r="C821">
        <f>T820</f>
        <v/>
      </c>
      <c r="D821">
        <f>U820</f>
        <v/>
      </c>
      <c r="E821">
        <f>MAX(0,Assumptions!$B$34/IF(B821&lt;Assumptions!$B$25,Assumptions!$B$25*(Assumptions!$B$50+Assumptions!$B$5/Assumptions!$B$25)/(Assumptions!$B$50+Assumptions!$B$5/B821),Assumptions!$B$25)-Assumptions!$B$42)+MAX(0,Assumptions!$B$35/IF(B821&lt;Assumptions!$B$26,Assumptions!$B$26*(Assumptions!$B$50+Assumptions!$B$5/Assumptions!$B$26)/(Assumptions!$B$50+Assumptions!$B$5/B821),Assumptions!$B$26)-Assumptions!$B$43)</f>
        <v/>
      </c>
      <c r="F821">
        <f>Assumptions!$B$5/B821</f>
        <v/>
      </c>
      <c r="G821">
        <f>$B$813*(((Assumptions!$B$50-Assumptions!$B$51+E821+C821+D821)+F821)/(1-$B$813))-Assumptions!$B$51</f>
        <v/>
      </c>
      <c r="H821">
        <f>MAX(0,G821)</f>
        <v/>
      </c>
      <c r="I821">
        <f>Assumptions!$B$50+E821+H821+C821+D821</f>
        <v/>
      </c>
      <c r="J821">
        <f>I821+F821</f>
        <v/>
      </c>
      <c r="K821">
        <f>Assumptions!$B$50+E821+H821+D821</f>
        <v/>
      </c>
      <c r="L821">
        <f>Assumptions!$B$50+E821+H821+C821</f>
        <v/>
      </c>
      <c r="M821">
        <f>Assumptions!$B$60/K821</f>
        <v/>
      </c>
      <c r="N821">
        <f>B821*(1-Assumptions!$B$61)</f>
        <v/>
      </c>
      <c r="O821">
        <f>MIN(M821,N821)</f>
        <v/>
      </c>
      <c r="P821">
        <f>Assumptions!$B$63/L821</f>
        <v/>
      </c>
      <c r="Q821">
        <f>B821*(1-Assumptions!$B$64)</f>
        <v/>
      </c>
      <c r="R821">
        <f>MIN(P821,Q821)</f>
        <v/>
      </c>
      <c r="S821">
        <f>$B$814/I821</f>
        <v/>
      </c>
      <c r="T821">
        <f>Assumptions!$B$59/O821</f>
        <v/>
      </c>
      <c r="U821">
        <f>Assumptions!$B$62/R821</f>
        <v/>
      </c>
    </row>
    <row r="822">
      <c r="A822" t="n">
        <v>5</v>
      </c>
      <c r="B822">
        <f>S821</f>
        <v/>
      </c>
      <c r="C822">
        <f>T821</f>
        <v/>
      </c>
      <c r="D822">
        <f>U821</f>
        <v/>
      </c>
      <c r="E822">
        <f>MAX(0,Assumptions!$B$34/IF(B822&lt;Assumptions!$B$25,Assumptions!$B$25*(Assumptions!$B$50+Assumptions!$B$5/Assumptions!$B$25)/(Assumptions!$B$50+Assumptions!$B$5/B822),Assumptions!$B$25)-Assumptions!$B$42)+MAX(0,Assumptions!$B$35/IF(B822&lt;Assumptions!$B$26,Assumptions!$B$26*(Assumptions!$B$50+Assumptions!$B$5/Assumptions!$B$26)/(Assumptions!$B$50+Assumptions!$B$5/B822),Assumptions!$B$26)-Assumptions!$B$43)</f>
        <v/>
      </c>
      <c r="F822">
        <f>Assumptions!$B$5/B822</f>
        <v/>
      </c>
      <c r="G822">
        <f>$B$813*(((Assumptions!$B$50-Assumptions!$B$51+E822+C822+D822)+F822)/(1-$B$813))-Assumptions!$B$51</f>
        <v/>
      </c>
      <c r="H822">
        <f>MAX(0,G822)</f>
        <v/>
      </c>
      <c r="I822">
        <f>Assumptions!$B$50+E822+H822+C822+D822</f>
        <v/>
      </c>
      <c r="J822">
        <f>I822+F822</f>
        <v/>
      </c>
      <c r="K822">
        <f>Assumptions!$B$50+E822+H822+D822</f>
        <v/>
      </c>
      <c r="L822">
        <f>Assumptions!$B$50+E822+H822+C822</f>
        <v/>
      </c>
      <c r="M822">
        <f>Assumptions!$B$60/K822</f>
        <v/>
      </c>
      <c r="N822">
        <f>B822*(1-Assumptions!$B$61)</f>
        <v/>
      </c>
      <c r="O822">
        <f>MIN(M822,N822)</f>
        <v/>
      </c>
      <c r="P822">
        <f>Assumptions!$B$63/L822</f>
        <v/>
      </c>
      <c r="Q822">
        <f>B822*(1-Assumptions!$B$64)</f>
        <v/>
      </c>
      <c r="R822">
        <f>MIN(P822,Q822)</f>
        <v/>
      </c>
      <c r="S822">
        <f>$B$814/I822</f>
        <v/>
      </c>
      <c r="T822">
        <f>Assumptions!$B$59/O822</f>
        <v/>
      </c>
      <c r="U822">
        <f>Assumptions!$B$62/R822</f>
        <v/>
      </c>
    </row>
    <row r="823">
      <c r="A823" t="n">
        <v>6</v>
      </c>
      <c r="B823">
        <f>S822</f>
        <v/>
      </c>
      <c r="C823">
        <f>T822</f>
        <v/>
      </c>
      <c r="D823">
        <f>U822</f>
        <v/>
      </c>
      <c r="E823">
        <f>MAX(0,Assumptions!$B$34/IF(B823&lt;Assumptions!$B$25,Assumptions!$B$25*(Assumptions!$B$50+Assumptions!$B$5/Assumptions!$B$25)/(Assumptions!$B$50+Assumptions!$B$5/B823),Assumptions!$B$25)-Assumptions!$B$42)+MAX(0,Assumptions!$B$35/IF(B823&lt;Assumptions!$B$26,Assumptions!$B$26*(Assumptions!$B$50+Assumptions!$B$5/Assumptions!$B$26)/(Assumptions!$B$50+Assumptions!$B$5/B823),Assumptions!$B$26)-Assumptions!$B$43)</f>
        <v/>
      </c>
      <c r="F823">
        <f>Assumptions!$B$5/B823</f>
        <v/>
      </c>
      <c r="G823">
        <f>$B$813*(((Assumptions!$B$50-Assumptions!$B$51+E823+C823+D823)+F823)/(1-$B$813))-Assumptions!$B$51</f>
        <v/>
      </c>
      <c r="H823">
        <f>MAX(0,G823)</f>
        <v/>
      </c>
      <c r="I823">
        <f>Assumptions!$B$50+E823+H823+C823+D823</f>
        <v/>
      </c>
      <c r="J823">
        <f>I823+F823</f>
        <v/>
      </c>
      <c r="K823">
        <f>Assumptions!$B$50+E823+H823+D823</f>
        <v/>
      </c>
      <c r="L823">
        <f>Assumptions!$B$50+E823+H823+C823</f>
        <v/>
      </c>
      <c r="M823">
        <f>Assumptions!$B$60/K823</f>
        <v/>
      </c>
      <c r="N823">
        <f>B823*(1-Assumptions!$B$61)</f>
        <v/>
      </c>
      <c r="O823">
        <f>MIN(M823,N823)</f>
        <v/>
      </c>
      <c r="P823">
        <f>Assumptions!$B$63/L823</f>
        <v/>
      </c>
      <c r="Q823">
        <f>B823*(1-Assumptions!$B$64)</f>
        <v/>
      </c>
      <c r="R823">
        <f>MIN(P823,Q823)</f>
        <v/>
      </c>
      <c r="S823">
        <f>$B$814/I823</f>
        <v/>
      </c>
      <c r="T823">
        <f>Assumptions!$B$59/O823</f>
        <v/>
      </c>
      <c r="U823">
        <f>Assumptions!$B$62/R823</f>
        <v/>
      </c>
    </row>
    <row r="824">
      <c r="A824" t="n">
        <v>7</v>
      </c>
      <c r="B824">
        <f>S823</f>
        <v/>
      </c>
      <c r="C824">
        <f>T823</f>
        <v/>
      </c>
      <c r="D824">
        <f>U823</f>
        <v/>
      </c>
      <c r="E824">
        <f>MAX(0,Assumptions!$B$34/IF(B824&lt;Assumptions!$B$25,Assumptions!$B$25*(Assumptions!$B$50+Assumptions!$B$5/Assumptions!$B$25)/(Assumptions!$B$50+Assumptions!$B$5/B824),Assumptions!$B$25)-Assumptions!$B$42)+MAX(0,Assumptions!$B$35/IF(B824&lt;Assumptions!$B$26,Assumptions!$B$26*(Assumptions!$B$50+Assumptions!$B$5/Assumptions!$B$26)/(Assumptions!$B$50+Assumptions!$B$5/B824),Assumptions!$B$26)-Assumptions!$B$43)</f>
        <v/>
      </c>
      <c r="F824">
        <f>Assumptions!$B$5/B824</f>
        <v/>
      </c>
      <c r="G824">
        <f>$B$813*(((Assumptions!$B$50-Assumptions!$B$51+E824+C824+D824)+F824)/(1-$B$813))-Assumptions!$B$51</f>
        <v/>
      </c>
      <c r="H824">
        <f>MAX(0,G824)</f>
        <v/>
      </c>
      <c r="I824">
        <f>Assumptions!$B$50+E824+H824+C824+D824</f>
        <v/>
      </c>
      <c r="J824">
        <f>I824+F824</f>
        <v/>
      </c>
      <c r="K824">
        <f>Assumptions!$B$50+E824+H824+D824</f>
        <v/>
      </c>
      <c r="L824">
        <f>Assumptions!$B$50+E824+H824+C824</f>
        <v/>
      </c>
      <c r="M824">
        <f>Assumptions!$B$60/K824</f>
        <v/>
      </c>
      <c r="N824">
        <f>B824*(1-Assumptions!$B$61)</f>
        <v/>
      </c>
      <c r="O824">
        <f>MIN(M824,N824)</f>
        <v/>
      </c>
      <c r="P824">
        <f>Assumptions!$B$63/L824</f>
        <v/>
      </c>
      <c r="Q824">
        <f>B824*(1-Assumptions!$B$64)</f>
        <v/>
      </c>
      <c r="R824">
        <f>MIN(P824,Q824)</f>
        <v/>
      </c>
      <c r="S824">
        <f>$B$814/I824</f>
        <v/>
      </c>
      <c r="T824">
        <f>Assumptions!$B$59/O824</f>
        <v/>
      </c>
      <c r="U824">
        <f>Assumptions!$B$62/R824</f>
        <v/>
      </c>
    </row>
    <row r="825">
      <c r="A825" t="n">
        <v>8</v>
      </c>
      <c r="B825">
        <f>S824</f>
        <v/>
      </c>
      <c r="C825">
        <f>T824</f>
        <v/>
      </c>
      <c r="D825">
        <f>U824</f>
        <v/>
      </c>
      <c r="E825">
        <f>MAX(0,Assumptions!$B$34/IF(B825&lt;Assumptions!$B$25,Assumptions!$B$25*(Assumptions!$B$50+Assumptions!$B$5/Assumptions!$B$25)/(Assumptions!$B$50+Assumptions!$B$5/B825),Assumptions!$B$25)-Assumptions!$B$42)+MAX(0,Assumptions!$B$35/IF(B825&lt;Assumptions!$B$26,Assumptions!$B$26*(Assumptions!$B$50+Assumptions!$B$5/Assumptions!$B$26)/(Assumptions!$B$50+Assumptions!$B$5/B825),Assumptions!$B$26)-Assumptions!$B$43)</f>
        <v/>
      </c>
      <c r="F825">
        <f>Assumptions!$B$5/B825</f>
        <v/>
      </c>
      <c r="G825">
        <f>$B$813*(((Assumptions!$B$50-Assumptions!$B$51+E825+C825+D825)+F825)/(1-$B$813))-Assumptions!$B$51</f>
        <v/>
      </c>
      <c r="H825">
        <f>MAX(0,G825)</f>
        <v/>
      </c>
      <c r="I825">
        <f>Assumptions!$B$50+E825+H825+C825+D825</f>
        <v/>
      </c>
      <c r="J825">
        <f>I825+F825</f>
        <v/>
      </c>
      <c r="K825">
        <f>Assumptions!$B$50+E825+H825+D825</f>
        <v/>
      </c>
      <c r="L825">
        <f>Assumptions!$B$50+E825+H825+C825</f>
        <v/>
      </c>
      <c r="M825">
        <f>Assumptions!$B$60/K825</f>
        <v/>
      </c>
      <c r="N825">
        <f>B825*(1-Assumptions!$B$61)</f>
        <v/>
      </c>
      <c r="O825">
        <f>MIN(M825,N825)</f>
        <v/>
      </c>
      <c r="P825">
        <f>Assumptions!$B$63/L825</f>
        <v/>
      </c>
      <c r="Q825">
        <f>B825*(1-Assumptions!$B$64)</f>
        <v/>
      </c>
      <c r="R825">
        <f>MIN(P825,Q825)</f>
        <v/>
      </c>
      <c r="S825">
        <f>$B$814/I825</f>
        <v/>
      </c>
      <c r="T825">
        <f>Assumptions!$B$59/O825</f>
        <v/>
      </c>
      <c r="U825">
        <f>Assumptions!$B$62/R825</f>
        <v/>
      </c>
    </row>
    <row r="826">
      <c r="A826" t="n">
        <v>9</v>
      </c>
      <c r="B826">
        <f>S825</f>
        <v/>
      </c>
      <c r="C826">
        <f>T825</f>
        <v/>
      </c>
      <c r="D826">
        <f>U825</f>
        <v/>
      </c>
      <c r="E826">
        <f>MAX(0,Assumptions!$B$34/IF(B826&lt;Assumptions!$B$25,Assumptions!$B$25*(Assumptions!$B$50+Assumptions!$B$5/Assumptions!$B$25)/(Assumptions!$B$50+Assumptions!$B$5/B826),Assumptions!$B$25)-Assumptions!$B$42)+MAX(0,Assumptions!$B$35/IF(B826&lt;Assumptions!$B$26,Assumptions!$B$26*(Assumptions!$B$50+Assumptions!$B$5/Assumptions!$B$26)/(Assumptions!$B$50+Assumptions!$B$5/B826),Assumptions!$B$26)-Assumptions!$B$43)</f>
        <v/>
      </c>
      <c r="F826">
        <f>Assumptions!$B$5/B826</f>
        <v/>
      </c>
      <c r="G826">
        <f>$B$813*(((Assumptions!$B$50-Assumptions!$B$51+E826+C826+D826)+F826)/(1-$B$813))-Assumptions!$B$51</f>
        <v/>
      </c>
      <c r="H826">
        <f>MAX(0,G826)</f>
        <v/>
      </c>
      <c r="I826">
        <f>Assumptions!$B$50+E826+H826+C826+D826</f>
        <v/>
      </c>
      <c r="J826">
        <f>I826+F826</f>
        <v/>
      </c>
      <c r="K826">
        <f>Assumptions!$B$50+E826+H826+D826</f>
        <v/>
      </c>
      <c r="L826">
        <f>Assumptions!$B$50+E826+H826+C826</f>
        <v/>
      </c>
      <c r="M826">
        <f>Assumptions!$B$60/K826</f>
        <v/>
      </c>
      <c r="N826">
        <f>B826*(1-Assumptions!$B$61)</f>
        <v/>
      </c>
      <c r="O826">
        <f>MIN(M826,N826)</f>
        <v/>
      </c>
      <c r="P826">
        <f>Assumptions!$B$63/L826</f>
        <v/>
      </c>
      <c r="Q826">
        <f>B826*(1-Assumptions!$B$64)</f>
        <v/>
      </c>
      <c r="R826">
        <f>MIN(P826,Q826)</f>
        <v/>
      </c>
      <c r="S826">
        <f>$B$814/I826</f>
        <v/>
      </c>
      <c r="T826">
        <f>Assumptions!$B$59/O826</f>
        <v/>
      </c>
      <c r="U826">
        <f>Assumptions!$B$62/R826</f>
        <v/>
      </c>
    </row>
    <row r="827">
      <c r="A827" t="n">
        <v>10</v>
      </c>
      <c r="B827">
        <f>S826</f>
        <v/>
      </c>
      <c r="C827">
        <f>T826</f>
        <v/>
      </c>
      <c r="D827">
        <f>U826</f>
        <v/>
      </c>
      <c r="E827">
        <f>MAX(0,Assumptions!$B$34/IF(B827&lt;Assumptions!$B$25,Assumptions!$B$25*(Assumptions!$B$50+Assumptions!$B$5/Assumptions!$B$25)/(Assumptions!$B$50+Assumptions!$B$5/B827),Assumptions!$B$25)-Assumptions!$B$42)+MAX(0,Assumptions!$B$35/IF(B827&lt;Assumptions!$B$26,Assumptions!$B$26*(Assumptions!$B$50+Assumptions!$B$5/Assumptions!$B$26)/(Assumptions!$B$50+Assumptions!$B$5/B827),Assumptions!$B$26)-Assumptions!$B$43)</f>
        <v/>
      </c>
      <c r="F827">
        <f>Assumptions!$B$5/B827</f>
        <v/>
      </c>
      <c r="G827">
        <f>$B$813*(((Assumptions!$B$50-Assumptions!$B$51+E827+C827+D827)+F827)/(1-$B$813))-Assumptions!$B$51</f>
        <v/>
      </c>
      <c r="H827">
        <f>MAX(0,G827)</f>
        <v/>
      </c>
      <c r="I827">
        <f>Assumptions!$B$50+E827+H827+C827+D827</f>
        <v/>
      </c>
      <c r="J827">
        <f>I827+F827</f>
        <v/>
      </c>
      <c r="K827">
        <f>Assumptions!$B$50+E827+H827+D827</f>
        <v/>
      </c>
      <c r="L827">
        <f>Assumptions!$B$50+E827+H827+C827</f>
        <v/>
      </c>
      <c r="M827">
        <f>Assumptions!$B$60/K827</f>
        <v/>
      </c>
      <c r="N827">
        <f>B827*(1-Assumptions!$B$61)</f>
        <v/>
      </c>
      <c r="O827">
        <f>MIN(M827,N827)</f>
        <v/>
      </c>
      <c r="P827">
        <f>Assumptions!$B$63/L827</f>
        <v/>
      </c>
      <c r="Q827">
        <f>B827*(1-Assumptions!$B$64)</f>
        <v/>
      </c>
      <c r="R827">
        <f>MIN(P827,Q827)</f>
        <v/>
      </c>
      <c r="S827">
        <f>$B$814/I827</f>
        <v/>
      </c>
      <c r="T827">
        <f>Assumptions!$B$59/O827</f>
        <v/>
      </c>
      <c r="U827">
        <f>Assumptions!$B$62/R827</f>
        <v/>
      </c>
    </row>
    <row r="828">
      <c r="A828" t="n">
        <v>11</v>
      </c>
      <c r="B828">
        <f>S827</f>
        <v/>
      </c>
      <c r="C828">
        <f>T827</f>
        <v/>
      </c>
      <c r="D828">
        <f>U827</f>
        <v/>
      </c>
      <c r="E828">
        <f>MAX(0,Assumptions!$B$34/IF(B828&lt;Assumptions!$B$25,Assumptions!$B$25*(Assumptions!$B$50+Assumptions!$B$5/Assumptions!$B$25)/(Assumptions!$B$50+Assumptions!$B$5/B828),Assumptions!$B$25)-Assumptions!$B$42)+MAX(0,Assumptions!$B$35/IF(B828&lt;Assumptions!$B$26,Assumptions!$B$26*(Assumptions!$B$50+Assumptions!$B$5/Assumptions!$B$26)/(Assumptions!$B$50+Assumptions!$B$5/B828),Assumptions!$B$26)-Assumptions!$B$43)</f>
        <v/>
      </c>
      <c r="F828">
        <f>Assumptions!$B$5/B828</f>
        <v/>
      </c>
      <c r="G828">
        <f>$B$813*(((Assumptions!$B$50-Assumptions!$B$51+E828+C828+D828)+F828)/(1-$B$813))-Assumptions!$B$51</f>
        <v/>
      </c>
      <c r="H828">
        <f>MAX(0,G828)</f>
        <v/>
      </c>
      <c r="I828">
        <f>Assumptions!$B$50+E828+H828+C828+D828</f>
        <v/>
      </c>
      <c r="J828">
        <f>I828+F828</f>
        <v/>
      </c>
      <c r="K828">
        <f>Assumptions!$B$50+E828+H828+D828</f>
        <v/>
      </c>
      <c r="L828">
        <f>Assumptions!$B$50+E828+H828+C828</f>
        <v/>
      </c>
      <c r="M828">
        <f>Assumptions!$B$60/K828</f>
        <v/>
      </c>
      <c r="N828">
        <f>B828*(1-Assumptions!$B$61)</f>
        <v/>
      </c>
      <c r="O828">
        <f>MIN(M828,N828)</f>
        <v/>
      </c>
      <c r="P828">
        <f>Assumptions!$B$63/L828</f>
        <v/>
      </c>
      <c r="Q828">
        <f>B828*(1-Assumptions!$B$64)</f>
        <v/>
      </c>
      <c r="R828">
        <f>MIN(P828,Q828)</f>
        <v/>
      </c>
      <c r="S828">
        <f>$B$814/I828</f>
        <v/>
      </c>
      <c r="T828">
        <f>Assumptions!$B$59/O828</f>
        <v/>
      </c>
      <c r="U828">
        <f>Assumptions!$B$62/R828</f>
        <v/>
      </c>
    </row>
    <row r="829">
      <c r="A829" t="n">
        <v>12</v>
      </c>
      <c r="B829">
        <f>S828</f>
        <v/>
      </c>
      <c r="C829">
        <f>T828</f>
        <v/>
      </c>
      <c r="D829">
        <f>U828</f>
        <v/>
      </c>
      <c r="E829">
        <f>MAX(0,Assumptions!$B$34/IF(B829&lt;Assumptions!$B$25,Assumptions!$B$25*(Assumptions!$B$50+Assumptions!$B$5/Assumptions!$B$25)/(Assumptions!$B$50+Assumptions!$B$5/B829),Assumptions!$B$25)-Assumptions!$B$42)+MAX(0,Assumptions!$B$35/IF(B829&lt;Assumptions!$B$26,Assumptions!$B$26*(Assumptions!$B$50+Assumptions!$B$5/Assumptions!$B$26)/(Assumptions!$B$50+Assumptions!$B$5/B829),Assumptions!$B$26)-Assumptions!$B$43)</f>
        <v/>
      </c>
      <c r="F829">
        <f>Assumptions!$B$5/B829</f>
        <v/>
      </c>
      <c r="G829">
        <f>$B$813*(((Assumptions!$B$50-Assumptions!$B$51+E829+C829+D829)+F829)/(1-$B$813))-Assumptions!$B$51</f>
        <v/>
      </c>
      <c r="H829">
        <f>MAX(0,G829)</f>
        <v/>
      </c>
      <c r="I829">
        <f>Assumptions!$B$50+E829+H829+C829+D829</f>
        <v/>
      </c>
      <c r="J829">
        <f>I829+F829</f>
        <v/>
      </c>
      <c r="K829">
        <f>Assumptions!$B$50+E829+H829+D829</f>
        <v/>
      </c>
      <c r="L829">
        <f>Assumptions!$B$50+E829+H829+C829</f>
        <v/>
      </c>
      <c r="M829">
        <f>Assumptions!$B$60/K829</f>
        <v/>
      </c>
      <c r="N829">
        <f>B829*(1-Assumptions!$B$61)</f>
        <v/>
      </c>
      <c r="O829">
        <f>MIN(M829,N829)</f>
        <v/>
      </c>
      <c r="P829">
        <f>Assumptions!$B$63/L829</f>
        <v/>
      </c>
      <c r="Q829">
        <f>B829*(1-Assumptions!$B$64)</f>
        <v/>
      </c>
      <c r="R829">
        <f>MIN(P829,Q829)</f>
        <v/>
      </c>
      <c r="S829">
        <f>$B$814/I829</f>
        <v/>
      </c>
      <c r="T829">
        <f>Assumptions!$B$59/O829</f>
        <v/>
      </c>
      <c r="U829">
        <f>Assumptions!$B$62/R829</f>
        <v/>
      </c>
    </row>
    <row r="830">
      <c r="A830" t="n">
        <v>13</v>
      </c>
      <c r="B830">
        <f>S829</f>
        <v/>
      </c>
      <c r="C830">
        <f>T829</f>
        <v/>
      </c>
      <c r="D830">
        <f>U829</f>
        <v/>
      </c>
      <c r="E830">
        <f>MAX(0,Assumptions!$B$34/IF(B830&lt;Assumptions!$B$25,Assumptions!$B$25*(Assumptions!$B$50+Assumptions!$B$5/Assumptions!$B$25)/(Assumptions!$B$50+Assumptions!$B$5/B830),Assumptions!$B$25)-Assumptions!$B$42)+MAX(0,Assumptions!$B$35/IF(B830&lt;Assumptions!$B$26,Assumptions!$B$26*(Assumptions!$B$50+Assumptions!$B$5/Assumptions!$B$26)/(Assumptions!$B$50+Assumptions!$B$5/B830),Assumptions!$B$26)-Assumptions!$B$43)</f>
        <v/>
      </c>
      <c r="F830">
        <f>Assumptions!$B$5/B830</f>
        <v/>
      </c>
      <c r="G830">
        <f>$B$813*(((Assumptions!$B$50-Assumptions!$B$51+E830+C830+D830)+F830)/(1-$B$813))-Assumptions!$B$51</f>
        <v/>
      </c>
      <c r="H830">
        <f>MAX(0,G830)</f>
        <v/>
      </c>
      <c r="I830">
        <f>Assumptions!$B$50+E830+H830+C830+D830</f>
        <v/>
      </c>
      <c r="J830">
        <f>I830+F830</f>
        <v/>
      </c>
      <c r="K830">
        <f>Assumptions!$B$50+E830+H830+D830</f>
        <v/>
      </c>
      <c r="L830">
        <f>Assumptions!$B$50+E830+H830+C830</f>
        <v/>
      </c>
      <c r="M830">
        <f>Assumptions!$B$60/K830</f>
        <v/>
      </c>
      <c r="N830">
        <f>B830*(1-Assumptions!$B$61)</f>
        <v/>
      </c>
      <c r="O830">
        <f>MIN(M830,N830)</f>
        <v/>
      </c>
      <c r="P830">
        <f>Assumptions!$B$63/L830</f>
        <v/>
      </c>
      <c r="Q830">
        <f>B830*(1-Assumptions!$B$64)</f>
        <v/>
      </c>
      <c r="R830">
        <f>MIN(P830,Q830)</f>
        <v/>
      </c>
      <c r="S830">
        <f>$B$814/I830</f>
        <v/>
      </c>
      <c r="T830">
        <f>Assumptions!$B$59/O830</f>
        <v/>
      </c>
      <c r="U830">
        <f>Assumptions!$B$62/R830</f>
        <v/>
      </c>
    </row>
    <row r="831">
      <c r="A831" t="n">
        <v>14</v>
      </c>
      <c r="B831">
        <f>S830</f>
        <v/>
      </c>
      <c r="C831">
        <f>T830</f>
        <v/>
      </c>
      <c r="D831">
        <f>U830</f>
        <v/>
      </c>
      <c r="E831">
        <f>MAX(0,Assumptions!$B$34/IF(B831&lt;Assumptions!$B$25,Assumptions!$B$25*(Assumptions!$B$50+Assumptions!$B$5/Assumptions!$B$25)/(Assumptions!$B$50+Assumptions!$B$5/B831),Assumptions!$B$25)-Assumptions!$B$42)+MAX(0,Assumptions!$B$35/IF(B831&lt;Assumptions!$B$26,Assumptions!$B$26*(Assumptions!$B$50+Assumptions!$B$5/Assumptions!$B$26)/(Assumptions!$B$50+Assumptions!$B$5/B831),Assumptions!$B$26)-Assumptions!$B$43)</f>
        <v/>
      </c>
      <c r="F831">
        <f>Assumptions!$B$5/B831</f>
        <v/>
      </c>
      <c r="G831">
        <f>$B$813*(((Assumptions!$B$50-Assumptions!$B$51+E831+C831+D831)+F831)/(1-$B$813))-Assumptions!$B$51</f>
        <v/>
      </c>
      <c r="H831">
        <f>MAX(0,G831)</f>
        <v/>
      </c>
      <c r="I831">
        <f>Assumptions!$B$50+E831+H831+C831+D831</f>
        <v/>
      </c>
      <c r="J831">
        <f>I831+F831</f>
        <v/>
      </c>
      <c r="K831">
        <f>Assumptions!$B$50+E831+H831+D831</f>
        <v/>
      </c>
      <c r="L831">
        <f>Assumptions!$B$50+E831+H831+C831</f>
        <v/>
      </c>
      <c r="M831">
        <f>Assumptions!$B$60/K831</f>
        <v/>
      </c>
      <c r="N831">
        <f>B831*(1-Assumptions!$B$61)</f>
        <v/>
      </c>
      <c r="O831">
        <f>MIN(M831,N831)</f>
        <v/>
      </c>
      <c r="P831">
        <f>Assumptions!$B$63/L831</f>
        <v/>
      </c>
      <c r="Q831">
        <f>B831*(1-Assumptions!$B$64)</f>
        <v/>
      </c>
      <c r="R831">
        <f>MIN(P831,Q831)</f>
        <v/>
      </c>
      <c r="S831">
        <f>$B$814/I831</f>
        <v/>
      </c>
      <c r="T831">
        <f>Assumptions!$B$59/O831</f>
        <v/>
      </c>
      <c r="U831">
        <f>Assumptions!$B$62/R831</f>
        <v/>
      </c>
    </row>
    <row r="832">
      <c r="A832" t="n">
        <v>15</v>
      </c>
      <c r="B832">
        <f>S831</f>
        <v/>
      </c>
      <c r="C832">
        <f>T831</f>
        <v/>
      </c>
      <c r="D832">
        <f>U831</f>
        <v/>
      </c>
      <c r="E832">
        <f>MAX(0,Assumptions!$B$34/IF(B832&lt;Assumptions!$B$25,Assumptions!$B$25*(Assumptions!$B$50+Assumptions!$B$5/Assumptions!$B$25)/(Assumptions!$B$50+Assumptions!$B$5/B832),Assumptions!$B$25)-Assumptions!$B$42)+MAX(0,Assumptions!$B$35/IF(B832&lt;Assumptions!$B$26,Assumptions!$B$26*(Assumptions!$B$50+Assumptions!$B$5/Assumptions!$B$26)/(Assumptions!$B$50+Assumptions!$B$5/B832),Assumptions!$B$26)-Assumptions!$B$43)</f>
        <v/>
      </c>
      <c r="F832">
        <f>Assumptions!$B$5/B832</f>
        <v/>
      </c>
      <c r="G832">
        <f>$B$813*(((Assumptions!$B$50-Assumptions!$B$51+E832+C832+D832)+F832)/(1-$B$813))-Assumptions!$B$51</f>
        <v/>
      </c>
      <c r="H832">
        <f>MAX(0,G832)</f>
        <v/>
      </c>
      <c r="I832">
        <f>Assumptions!$B$50+E832+H832+C832+D832</f>
        <v/>
      </c>
      <c r="J832">
        <f>I832+F832</f>
        <v/>
      </c>
      <c r="K832">
        <f>Assumptions!$B$50+E832+H832+D832</f>
        <v/>
      </c>
      <c r="L832">
        <f>Assumptions!$B$50+E832+H832+C832</f>
        <v/>
      </c>
      <c r="M832">
        <f>Assumptions!$B$60/K832</f>
        <v/>
      </c>
      <c r="N832">
        <f>B832*(1-Assumptions!$B$61)</f>
        <v/>
      </c>
      <c r="O832">
        <f>MIN(M832,N832)</f>
        <v/>
      </c>
      <c r="P832">
        <f>Assumptions!$B$63/L832</f>
        <v/>
      </c>
      <c r="Q832">
        <f>B832*(1-Assumptions!$B$64)</f>
        <v/>
      </c>
      <c r="R832">
        <f>MIN(P832,Q832)</f>
        <v/>
      </c>
      <c r="S832">
        <f>$B$814/I832</f>
        <v/>
      </c>
      <c r="T832">
        <f>Assumptions!$B$59/O832</f>
        <v/>
      </c>
      <c r="U832">
        <f>Assumptions!$B$62/R832</f>
        <v/>
      </c>
    </row>
    <row r="833">
      <c r="A833" t="n">
        <v>16</v>
      </c>
      <c r="B833">
        <f>S832</f>
        <v/>
      </c>
      <c r="C833">
        <f>T832</f>
        <v/>
      </c>
      <c r="D833">
        <f>U832</f>
        <v/>
      </c>
      <c r="E833">
        <f>MAX(0,Assumptions!$B$34/IF(B833&lt;Assumptions!$B$25,Assumptions!$B$25*(Assumptions!$B$50+Assumptions!$B$5/Assumptions!$B$25)/(Assumptions!$B$50+Assumptions!$B$5/B833),Assumptions!$B$25)-Assumptions!$B$42)+MAX(0,Assumptions!$B$35/IF(B833&lt;Assumptions!$B$26,Assumptions!$B$26*(Assumptions!$B$50+Assumptions!$B$5/Assumptions!$B$26)/(Assumptions!$B$50+Assumptions!$B$5/B833),Assumptions!$B$26)-Assumptions!$B$43)</f>
        <v/>
      </c>
      <c r="F833">
        <f>Assumptions!$B$5/B833</f>
        <v/>
      </c>
      <c r="G833">
        <f>$B$813*(((Assumptions!$B$50-Assumptions!$B$51+E833+C833+D833)+F833)/(1-$B$813))-Assumptions!$B$51</f>
        <v/>
      </c>
      <c r="H833">
        <f>MAX(0,G833)</f>
        <v/>
      </c>
      <c r="I833">
        <f>Assumptions!$B$50+E833+H833+C833+D833</f>
        <v/>
      </c>
      <c r="J833">
        <f>I833+F833</f>
        <v/>
      </c>
      <c r="K833">
        <f>Assumptions!$B$50+E833+H833+D833</f>
        <v/>
      </c>
      <c r="L833">
        <f>Assumptions!$B$50+E833+H833+C833</f>
        <v/>
      </c>
      <c r="M833">
        <f>Assumptions!$B$60/K833</f>
        <v/>
      </c>
      <c r="N833">
        <f>B833*(1-Assumptions!$B$61)</f>
        <v/>
      </c>
      <c r="O833">
        <f>MIN(M833,N833)</f>
        <v/>
      </c>
      <c r="P833">
        <f>Assumptions!$B$63/L833</f>
        <v/>
      </c>
      <c r="Q833">
        <f>B833*(1-Assumptions!$B$64)</f>
        <v/>
      </c>
      <c r="R833">
        <f>MIN(P833,Q833)</f>
        <v/>
      </c>
      <c r="S833">
        <f>$B$814/I833</f>
        <v/>
      </c>
      <c r="T833">
        <f>Assumptions!$B$59/O833</f>
        <v/>
      </c>
      <c r="U833">
        <f>Assumptions!$B$62/R833</f>
        <v/>
      </c>
    </row>
    <row r="834">
      <c r="A834" t="n">
        <v>17</v>
      </c>
      <c r="B834">
        <f>S833</f>
        <v/>
      </c>
      <c r="C834">
        <f>T833</f>
        <v/>
      </c>
      <c r="D834">
        <f>U833</f>
        <v/>
      </c>
      <c r="E834">
        <f>MAX(0,Assumptions!$B$34/IF(B834&lt;Assumptions!$B$25,Assumptions!$B$25*(Assumptions!$B$50+Assumptions!$B$5/Assumptions!$B$25)/(Assumptions!$B$50+Assumptions!$B$5/B834),Assumptions!$B$25)-Assumptions!$B$42)+MAX(0,Assumptions!$B$35/IF(B834&lt;Assumptions!$B$26,Assumptions!$B$26*(Assumptions!$B$50+Assumptions!$B$5/Assumptions!$B$26)/(Assumptions!$B$50+Assumptions!$B$5/B834),Assumptions!$B$26)-Assumptions!$B$43)</f>
        <v/>
      </c>
      <c r="F834">
        <f>Assumptions!$B$5/B834</f>
        <v/>
      </c>
      <c r="G834">
        <f>$B$813*(((Assumptions!$B$50-Assumptions!$B$51+E834+C834+D834)+F834)/(1-$B$813))-Assumptions!$B$51</f>
        <v/>
      </c>
      <c r="H834">
        <f>MAX(0,G834)</f>
        <v/>
      </c>
      <c r="I834">
        <f>Assumptions!$B$50+E834+H834+C834+D834</f>
        <v/>
      </c>
      <c r="J834">
        <f>I834+F834</f>
        <v/>
      </c>
      <c r="K834">
        <f>Assumptions!$B$50+E834+H834+D834</f>
        <v/>
      </c>
      <c r="L834">
        <f>Assumptions!$B$50+E834+H834+C834</f>
        <v/>
      </c>
      <c r="M834">
        <f>Assumptions!$B$60/K834</f>
        <v/>
      </c>
      <c r="N834">
        <f>B834*(1-Assumptions!$B$61)</f>
        <v/>
      </c>
      <c r="O834">
        <f>MIN(M834,N834)</f>
        <v/>
      </c>
      <c r="P834">
        <f>Assumptions!$B$63/L834</f>
        <v/>
      </c>
      <c r="Q834">
        <f>B834*(1-Assumptions!$B$64)</f>
        <v/>
      </c>
      <c r="R834">
        <f>MIN(P834,Q834)</f>
        <v/>
      </c>
      <c r="S834">
        <f>$B$814/I834</f>
        <v/>
      </c>
      <c r="T834">
        <f>Assumptions!$B$59/O834</f>
        <v/>
      </c>
      <c r="U834">
        <f>Assumptions!$B$62/R834</f>
        <v/>
      </c>
    </row>
    <row r="835">
      <c r="A835" t="n">
        <v>18</v>
      </c>
      <c r="B835">
        <f>S834</f>
        <v/>
      </c>
      <c r="C835">
        <f>T834</f>
        <v/>
      </c>
      <c r="D835">
        <f>U834</f>
        <v/>
      </c>
      <c r="E835">
        <f>MAX(0,Assumptions!$B$34/IF(B835&lt;Assumptions!$B$25,Assumptions!$B$25*(Assumptions!$B$50+Assumptions!$B$5/Assumptions!$B$25)/(Assumptions!$B$50+Assumptions!$B$5/B835),Assumptions!$B$25)-Assumptions!$B$42)+MAX(0,Assumptions!$B$35/IF(B835&lt;Assumptions!$B$26,Assumptions!$B$26*(Assumptions!$B$50+Assumptions!$B$5/Assumptions!$B$26)/(Assumptions!$B$50+Assumptions!$B$5/B835),Assumptions!$B$26)-Assumptions!$B$43)</f>
        <v/>
      </c>
      <c r="F835">
        <f>Assumptions!$B$5/B835</f>
        <v/>
      </c>
      <c r="G835">
        <f>$B$813*(((Assumptions!$B$50-Assumptions!$B$51+E835+C835+D835)+F835)/(1-$B$813))-Assumptions!$B$51</f>
        <v/>
      </c>
      <c r="H835">
        <f>MAX(0,G835)</f>
        <v/>
      </c>
      <c r="I835">
        <f>Assumptions!$B$50+E835+H835+C835+D835</f>
        <v/>
      </c>
      <c r="J835">
        <f>I835+F835</f>
        <v/>
      </c>
      <c r="K835">
        <f>Assumptions!$B$50+E835+H835+D835</f>
        <v/>
      </c>
      <c r="L835">
        <f>Assumptions!$B$50+E835+H835+C835</f>
        <v/>
      </c>
      <c r="M835">
        <f>Assumptions!$B$60/K835</f>
        <v/>
      </c>
      <c r="N835">
        <f>B835*(1-Assumptions!$B$61)</f>
        <v/>
      </c>
      <c r="O835">
        <f>MIN(M835,N835)</f>
        <v/>
      </c>
      <c r="P835">
        <f>Assumptions!$B$63/L835</f>
        <v/>
      </c>
      <c r="Q835">
        <f>B835*(1-Assumptions!$B$64)</f>
        <v/>
      </c>
      <c r="R835">
        <f>MIN(P835,Q835)</f>
        <v/>
      </c>
      <c r="S835">
        <f>$B$814/I835</f>
        <v/>
      </c>
      <c r="T835">
        <f>Assumptions!$B$59/O835</f>
        <v/>
      </c>
      <c r="U835">
        <f>Assumptions!$B$62/R835</f>
        <v/>
      </c>
    </row>
    <row r="836">
      <c r="A836" t="n">
        <v>19</v>
      </c>
      <c r="B836">
        <f>S835</f>
        <v/>
      </c>
      <c r="C836">
        <f>T835</f>
        <v/>
      </c>
      <c r="D836">
        <f>U835</f>
        <v/>
      </c>
      <c r="E836">
        <f>MAX(0,Assumptions!$B$34/IF(B836&lt;Assumptions!$B$25,Assumptions!$B$25*(Assumptions!$B$50+Assumptions!$B$5/Assumptions!$B$25)/(Assumptions!$B$50+Assumptions!$B$5/B836),Assumptions!$B$25)-Assumptions!$B$42)+MAX(0,Assumptions!$B$35/IF(B836&lt;Assumptions!$B$26,Assumptions!$B$26*(Assumptions!$B$50+Assumptions!$B$5/Assumptions!$B$26)/(Assumptions!$B$50+Assumptions!$B$5/B836),Assumptions!$B$26)-Assumptions!$B$43)</f>
        <v/>
      </c>
      <c r="F836">
        <f>Assumptions!$B$5/B836</f>
        <v/>
      </c>
      <c r="G836">
        <f>$B$813*(((Assumptions!$B$50-Assumptions!$B$51+E836+C836+D836)+F836)/(1-$B$813))-Assumptions!$B$51</f>
        <v/>
      </c>
      <c r="H836">
        <f>MAX(0,G836)</f>
        <v/>
      </c>
      <c r="I836">
        <f>Assumptions!$B$50+E836+H836+C836+D836</f>
        <v/>
      </c>
      <c r="J836">
        <f>I836+F836</f>
        <v/>
      </c>
      <c r="K836">
        <f>Assumptions!$B$50+E836+H836+D836</f>
        <v/>
      </c>
      <c r="L836">
        <f>Assumptions!$B$50+E836+H836+C836</f>
        <v/>
      </c>
      <c r="M836">
        <f>Assumptions!$B$60/K836</f>
        <v/>
      </c>
      <c r="N836">
        <f>B836*(1-Assumptions!$B$61)</f>
        <v/>
      </c>
      <c r="O836">
        <f>MIN(M836,N836)</f>
        <v/>
      </c>
      <c r="P836">
        <f>Assumptions!$B$63/L836</f>
        <v/>
      </c>
      <c r="Q836">
        <f>B836*(1-Assumptions!$B$64)</f>
        <v/>
      </c>
      <c r="R836">
        <f>MIN(P836,Q836)</f>
        <v/>
      </c>
      <c r="S836">
        <f>$B$814/I836</f>
        <v/>
      </c>
      <c r="T836">
        <f>Assumptions!$B$59/O836</f>
        <v/>
      </c>
      <c r="U836">
        <f>Assumptions!$B$62/R836</f>
        <v/>
      </c>
    </row>
    <row r="837">
      <c r="A837" t="n">
        <v>20</v>
      </c>
      <c r="B837">
        <f>S836</f>
        <v/>
      </c>
      <c r="C837">
        <f>T836</f>
        <v/>
      </c>
      <c r="D837">
        <f>U836</f>
        <v/>
      </c>
      <c r="E837">
        <f>MAX(0,Assumptions!$B$34/IF(B837&lt;Assumptions!$B$25,Assumptions!$B$25*(Assumptions!$B$50+Assumptions!$B$5/Assumptions!$B$25)/(Assumptions!$B$50+Assumptions!$B$5/B837),Assumptions!$B$25)-Assumptions!$B$42)+MAX(0,Assumptions!$B$35/IF(B837&lt;Assumptions!$B$26,Assumptions!$B$26*(Assumptions!$B$50+Assumptions!$B$5/Assumptions!$B$26)/(Assumptions!$B$50+Assumptions!$B$5/B837),Assumptions!$B$26)-Assumptions!$B$43)</f>
        <v/>
      </c>
      <c r="F837">
        <f>Assumptions!$B$5/B837</f>
        <v/>
      </c>
      <c r="G837">
        <f>$B$813*(((Assumptions!$B$50-Assumptions!$B$51+E837+C837+D837)+F837)/(1-$B$813))-Assumptions!$B$51</f>
        <v/>
      </c>
      <c r="H837">
        <f>MAX(0,G837)</f>
        <v/>
      </c>
      <c r="I837">
        <f>Assumptions!$B$50+E837+H837+C837+D837</f>
        <v/>
      </c>
      <c r="J837">
        <f>I837+F837</f>
        <v/>
      </c>
      <c r="K837">
        <f>Assumptions!$B$50+E837+H837+D837</f>
        <v/>
      </c>
      <c r="L837">
        <f>Assumptions!$B$50+E837+H837+C837</f>
        <v/>
      </c>
      <c r="M837">
        <f>Assumptions!$B$60/K837</f>
        <v/>
      </c>
      <c r="N837">
        <f>B837*(1-Assumptions!$B$61)</f>
        <v/>
      </c>
      <c r="O837">
        <f>MIN(M837,N837)</f>
        <v/>
      </c>
      <c r="P837">
        <f>Assumptions!$B$63/L837</f>
        <v/>
      </c>
      <c r="Q837">
        <f>B837*(1-Assumptions!$B$64)</f>
        <v/>
      </c>
      <c r="R837">
        <f>MIN(P837,Q837)</f>
        <v/>
      </c>
      <c r="S837">
        <f>$B$814/I837</f>
        <v/>
      </c>
      <c r="T837">
        <f>Assumptions!$B$59/O837</f>
        <v/>
      </c>
      <c r="U837">
        <f>Assumptions!$B$62/R837</f>
        <v/>
      </c>
    </row>
    <row r="838">
      <c r="A838" t="n">
        <v>21</v>
      </c>
      <c r="B838">
        <f>S837</f>
        <v/>
      </c>
      <c r="C838">
        <f>T837</f>
        <v/>
      </c>
      <c r="D838">
        <f>U837</f>
        <v/>
      </c>
      <c r="E838">
        <f>MAX(0,Assumptions!$B$34/IF(B838&lt;Assumptions!$B$25,Assumptions!$B$25*(Assumptions!$B$50+Assumptions!$B$5/Assumptions!$B$25)/(Assumptions!$B$50+Assumptions!$B$5/B838),Assumptions!$B$25)-Assumptions!$B$42)+MAX(0,Assumptions!$B$35/IF(B838&lt;Assumptions!$B$26,Assumptions!$B$26*(Assumptions!$B$50+Assumptions!$B$5/Assumptions!$B$26)/(Assumptions!$B$50+Assumptions!$B$5/B838),Assumptions!$B$26)-Assumptions!$B$43)</f>
        <v/>
      </c>
      <c r="F838">
        <f>Assumptions!$B$5/B838</f>
        <v/>
      </c>
      <c r="G838">
        <f>$B$813*(((Assumptions!$B$50-Assumptions!$B$51+E838+C838+D838)+F838)/(1-$B$813))-Assumptions!$B$51</f>
        <v/>
      </c>
      <c r="H838">
        <f>MAX(0,G838)</f>
        <v/>
      </c>
      <c r="I838">
        <f>Assumptions!$B$50+E838+H838+C838+D838</f>
        <v/>
      </c>
      <c r="J838">
        <f>I838+F838</f>
        <v/>
      </c>
      <c r="K838">
        <f>Assumptions!$B$50+E838+H838+D838</f>
        <v/>
      </c>
      <c r="L838">
        <f>Assumptions!$B$50+E838+H838+C838</f>
        <v/>
      </c>
      <c r="M838">
        <f>Assumptions!$B$60/K838</f>
        <v/>
      </c>
      <c r="N838">
        <f>B838*(1-Assumptions!$B$61)</f>
        <v/>
      </c>
      <c r="O838">
        <f>MIN(M838,N838)</f>
        <v/>
      </c>
      <c r="P838">
        <f>Assumptions!$B$63/L838</f>
        <v/>
      </c>
      <c r="Q838">
        <f>B838*(1-Assumptions!$B$64)</f>
        <v/>
      </c>
      <c r="R838">
        <f>MIN(P838,Q838)</f>
        <v/>
      </c>
      <c r="S838">
        <f>$B$814/I838</f>
        <v/>
      </c>
      <c r="T838">
        <f>Assumptions!$B$59/O838</f>
        <v/>
      </c>
      <c r="U838">
        <f>Assumptions!$B$62/R838</f>
        <v/>
      </c>
    </row>
    <row r="839">
      <c r="A839" t="n">
        <v>22</v>
      </c>
      <c r="B839">
        <f>S838</f>
        <v/>
      </c>
      <c r="C839">
        <f>T838</f>
        <v/>
      </c>
      <c r="D839">
        <f>U838</f>
        <v/>
      </c>
      <c r="E839">
        <f>MAX(0,Assumptions!$B$34/IF(B839&lt;Assumptions!$B$25,Assumptions!$B$25*(Assumptions!$B$50+Assumptions!$B$5/Assumptions!$B$25)/(Assumptions!$B$50+Assumptions!$B$5/B839),Assumptions!$B$25)-Assumptions!$B$42)+MAX(0,Assumptions!$B$35/IF(B839&lt;Assumptions!$B$26,Assumptions!$B$26*(Assumptions!$B$50+Assumptions!$B$5/Assumptions!$B$26)/(Assumptions!$B$50+Assumptions!$B$5/B839),Assumptions!$B$26)-Assumptions!$B$43)</f>
        <v/>
      </c>
      <c r="F839">
        <f>Assumptions!$B$5/B839</f>
        <v/>
      </c>
      <c r="G839">
        <f>$B$813*(((Assumptions!$B$50-Assumptions!$B$51+E839+C839+D839)+F839)/(1-$B$813))-Assumptions!$B$51</f>
        <v/>
      </c>
      <c r="H839">
        <f>MAX(0,G839)</f>
        <v/>
      </c>
      <c r="I839">
        <f>Assumptions!$B$50+E839+H839+C839+D839</f>
        <v/>
      </c>
      <c r="J839">
        <f>I839+F839</f>
        <v/>
      </c>
      <c r="K839">
        <f>Assumptions!$B$50+E839+H839+D839</f>
        <v/>
      </c>
      <c r="L839">
        <f>Assumptions!$B$50+E839+H839+C839</f>
        <v/>
      </c>
      <c r="M839">
        <f>Assumptions!$B$60/K839</f>
        <v/>
      </c>
      <c r="N839">
        <f>B839*(1-Assumptions!$B$61)</f>
        <v/>
      </c>
      <c r="O839">
        <f>MIN(M839,N839)</f>
        <v/>
      </c>
      <c r="P839">
        <f>Assumptions!$B$63/L839</f>
        <v/>
      </c>
      <c r="Q839">
        <f>B839*(1-Assumptions!$B$64)</f>
        <v/>
      </c>
      <c r="R839">
        <f>MIN(P839,Q839)</f>
        <v/>
      </c>
      <c r="S839">
        <f>$B$814/I839</f>
        <v/>
      </c>
      <c r="T839">
        <f>Assumptions!$B$59/O839</f>
        <v/>
      </c>
      <c r="U839">
        <f>Assumptions!$B$62/R839</f>
        <v/>
      </c>
    </row>
    <row r="840">
      <c r="A840" t="n">
        <v>23</v>
      </c>
      <c r="B840">
        <f>S839</f>
        <v/>
      </c>
      <c r="C840">
        <f>T839</f>
        <v/>
      </c>
      <c r="D840">
        <f>U839</f>
        <v/>
      </c>
      <c r="E840">
        <f>MAX(0,Assumptions!$B$34/IF(B840&lt;Assumptions!$B$25,Assumptions!$B$25*(Assumptions!$B$50+Assumptions!$B$5/Assumptions!$B$25)/(Assumptions!$B$50+Assumptions!$B$5/B840),Assumptions!$B$25)-Assumptions!$B$42)+MAX(0,Assumptions!$B$35/IF(B840&lt;Assumptions!$B$26,Assumptions!$B$26*(Assumptions!$B$50+Assumptions!$B$5/Assumptions!$B$26)/(Assumptions!$B$50+Assumptions!$B$5/B840),Assumptions!$B$26)-Assumptions!$B$43)</f>
        <v/>
      </c>
      <c r="F840">
        <f>Assumptions!$B$5/B840</f>
        <v/>
      </c>
      <c r="G840">
        <f>$B$813*(((Assumptions!$B$50-Assumptions!$B$51+E840+C840+D840)+F840)/(1-$B$813))-Assumptions!$B$51</f>
        <v/>
      </c>
      <c r="H840">
        <f>MAX(0,G840)</f>
        <v/>
      </c>
      <c r="I840">
        <f>Assumptions!$B$50+E840+H840+C840+D840</f>
        <v/>
      </c>
      <c r="J840">
        <f>I840+F840</f>
        <v/>
      </c>
      <c r="K840">
        <f>Assumptions!$B$50+E840+H840+D840</f>
        <v/>
      </c>
      <c r="L840">
        <f>Assumptions!$B$50+E840+H840+C840</f>
        <v/>
      </c>
      <c r="M840">
        <f>Assumptions!$B$60/K840</f>
        <v/>
      </c>
      <c r="N840">
        <f>B840*(1-Assumptions!$B$61)</f>
        <v/>
      </c>
      <c r="O840">
        <f>MIN(M840,N840)</f>
        <v/>
      </c>
      <c r="P840">
        <f>Assumptions!$B$63/L840</f>
        <v/>
      </c>
      <c r="Q840">
        <f>B840*(1-Assumptions!$B$64)</f>
        <v/>
      </c>
      <c r="R840">
        <f>MIN(P840,Q840)</f>
        <v/>
      </c>
      <c r="S840">
        <f>$B$814/I840</f>
        <v/>
      </c>
      <c r="T840">
        <f>Assumptions!$B$59/O840</f>
        <v/>
      </c>
      <c r="U840">
        <f>Assumptions!$B$62/R840</f>
        <v/>
      </c>
    </row>
    <row r="841">
      <c r="A841" t="n">
        <v>24</v>
      </c>
      <c r="B841">
        <f>S840</f>
        <v/>
      </c>
      <c r="C841">
        <f>T840</f>
        <v/>
      </c>
      <c r="D841">
        <f>U840</f>
        <v/>
      </c>
      <c r="E841">
        <f>MAX(0,Assumptions!$B$34/IF(B841&lt;Assumptions!$B$25,Assumptions!$B$25*(Assumptions!$B$50+Assumptions!$B$5/Assumptions!$B$25)/(Assumptions!$B$50+Assumptions!$B$5/B841),Assumptions!$B$25)-Assumptions!$B$42)+MAX(0,Assumptions!$B$35/IF(B841&lt;Assumptions!$B$26,Assumptions!$B$26*(Assumptions!$B$50+Assumptions!$B$5/Assumptions!$B$26)/(Assumptions!$B$50+Assumptions!$B$5/B841),Assumptions!$B$26)-Assumptions!$B$43)</f>
        <v/>
      </c>
      <c r="F841">
        <f>Assumptions!$B$5/B841</f>
        <v/>
      </c>
      <c r="G841">
        <f>$B$813*(((Assumptions!$B$50-Assumptions!$B$51+E841+C841+D841)+F841)/(1-$B$813))-Assumptions!$B$51</f>
        <v/>
      </c>
      <c r="H841">
        <f>MAX(0,G841)</f>
        <v/>
      </c>
      <c r="I841">
        <f>Assumptions!$B$50+E841+H841+C841+D841</f>
        <v/>
      </c>
      <c r="J841">
        <f>I841+F841</f>
        <v/>
      </c>
      <c r="K841">
        <f>Assumptions!$B$50+E841+H841+D841</f>
        <v/>
      </c>
      <c r="L841">
        <f>Assumptions!$B$50+E841+H841+C841</f>
        <v/>
      </c>
      <c r="M841">
        <f>Assumptions!$B$60/K841</f>
        <v/>
      </c>
      <c r="N841">
        <f>B841*(1-Assumptions!$B$61)</f>
        <v/>
      </c>
      <c r="O841">
        <f>MIN(M841,N841)</f>
        <v/>
      </c>
      <c r="P841">
        <f>Assumptions!$B$63/L841</f>
        <v/>
      </c>
      <c r="Q841">
        <f>B841*(1-Assumptions!$B$64)</f>
        <v/>
      </c>
      <c r="R841">
        <f>MIN(P841,Q841)</f>
        <v/>
      </c>
      <c r="S841">
        <f>$B$814/I841</f>
        <v/>
      </c>
      <c r="T841">
        <f>Assumptions!$B$59/O841</f>
        <v/>
      </c>
      <c r="U841">
        <f>Assumptions!$B$62/R841</f>
        <v/>
      </c>
    </row>
    <row r="842">
      <c r="A842" t="n">
        <v>25</v>
      </c>
      <c r="B842">
        <f>S841</f>
        <v/>
      </c>
      <c r="C842">
        <f>T841</f>
        <v/>
      </c>
      <c r="D842">
        <f>U841</f>
        <v/>
      </c>
      <c r="E842">
        <f>MAX(0,Assumptions!$B$34/IF(B842&lt;Assumptions!$B$25,Assumptions!$B$25*(Assumptions!$B$50+Assumptions!$B$5/Assumptions!$B$25)/(Assumptions!$B$50+Assumptions!$B$5/B842),Assumptions!$B$25)-Assumptions!$B$42)+MAX(0,Assumptions!$B$35/IF(B842&lt;Assumptions!$B$26,Assumptions!$B$26*(Assumptions!$B$50+Assumptions!$B$5/Assumptions!$B$26)/(Assumptions!$B$50+Assumptions!$B$5/B842),Assumptions!$B$26)-Assumptions!$B$43)</f>
        <v/>
      </c>
      <c r="F842">
        <f>Assumptions!$B$5/B842</f>
        <v/>
      </c>
      <c r="G842">
        <f>$B$813*(((Assumptions!$B$50-Assumptions!$B$51+E842+C842+D842)+F842)/(1-$B$813))-Assumptions!$B$51</f>
        <v/>
      </c>
      <c r="H842">
        <f>MAX(0,G842)</f>
        <v/>
      </c>
      <c r="I842">
        <f>Assumptions!$B$50+E842+H842+C842+D842</f>
        <v/>
      </c>
      <c r="J842">
        <f>I842+F842</f>
        <v/>
      </c>
      <c r="K842">
        <f>Assumptions!$B$50+E842+H842+D842</f>
        <v/>
      </c>
      <c r="L842">
        <f>Assumptions!$B$50+E842+H842+C842</f>
        <v/>
      </c>
      <c r="M842">
        <f>Assumptions!$B$60/K842</f>
        <v/>
      </c>
      <c r="N842">
        <f>B842*(1-Assumptions!$B$61)</f>
        <v/>
      </c>
      <c r="O842">
        <f>MIN(M842,N842)</f>
        <v/>
      </c>
      <c r="P842">
        <f>Assumptions!$B$63/L842</f>
        <v/>
      </c>
      <c r="Q842">
        <f>B842*(1-Assumptions!$B$64)</f>
        <v/>
      </c>
      <c r="R842">
        <f>MIN(P842,Q842)</f>
        <v/>
      </c>
      <c r="S842">
        <f>$B$814/I842</f>
        <v/>
      </c>
      <c r="T842">
        <f>Assumptions!$B$59/O842</f>
        <v/>
      </c>
      <c r="U842">
        <f>Assumptions!$B$62/R842</f>
        <v/>
      </c>
    </row>
    <row r="843">
      <c r="A843" t="n">
        <v>26</v>
      </c>
      <c r="B843">
        <f>S842</f>
        <v/>
      </c>
      <c r="C843">
        <f>T842</f>
        <v/>
      </c>
      <c r="D843">
        <f>U842</f>
        <v/>
      </c>
      <c r="E843">
        <f>MAX(0,Assumptions!$B$34/IF(B843&lt;Assumptions!$B$25,Assumptions!$B$25*(Assumptions!$B$50+Assumptions!$B$5/Assumptions!$B$25)/(Assumptions!$B$50+Assumptions!$B$5/B843),Assumptions!$B$25)-Assumptions!$B$42)+MAX(0,Assumptions!$B$35/IF(B843&lt;Assumptions!$B$26,Assumptions!$B$26*(Assumptions!$B$50+Assumptions!$B$5/Assumptions!$B$26)/(Assumptions!$B$50+Assumptions!$B$5/B843),Assumptions!$B$26)-Assumptions!$B$43)</f>
        <v/>
      </c>
      <c r="F843">
        <f>Assumptions!$B$5/B843</f>
        <v/>
      </c>
      <c r="G843">
        <f>$B$813*(((Assumptions!$B$50-Assumptions!$B$51+E843+C843+D843)+F843)/(1-$B$813))-Assumptions!$B$51</f>
        <v/>
      </c>
      <c r="H843">
        <f>MAX(0,G843)</f>
        <v/>
      </c>
      <c r="I843">
        <f>Assumptions!$B$50+E843+H843+C843+D843</f>
        <v/>
      </c>
      <c r="J843">
        <f>I843+F843</f>
        <v/>
      </c>
      <c r="K843">
        <f>Assumptions!$B$50+E843+H843+D843</f>
        <v/>
      </c>
      <c r="L843">
        <f>Assumptions!$B$50+E843+H843+C843</f>
        <v/>
      </c>
      <c r="M843">
        <f>Assumptions!$B$60/K843</f>
        <v/>
      </c>
      <c r="N843">
        <f>B843*(1-Assumptions!$B$61)</f>
        <v/>
      </c>
      <c r="O843">
        <f>MIN(M843,N843)</f>
        <v/>
      </c>
      <c r="P843">
        <f>Assumptions!$B$63/L843</f>
        <v/>
      </c>
      <c r="Q843">
        <f>B843*(1-Assumptions!$B$64)</f>
        <v/>
      </c>
      <c r="R843">
        <f>MIN(P843,Q843)</f>
        <v/>
      </c>
      <c r="S843">
        <f>$B$814/I843</f>
        <v/>
      </c>
      <c r="T843">
        <f>Assumptions!$B$59/O843</f>
        <v/>
      </c>
      <c r="U843">
        <f>Assumptions!$B$62/R843</f>
        <v/>
      </c>
    </row>
    <row r="844">
      <c r="A844" t="n">
        <v>27</v>
      </c>
      <c r="B844">
        <f>S843</f>
        <v/>
      </c>
      <c r="C844">
        <f>T843</f>
        <v/>
      </c>
      <c r="D844">
        <f>U843</f>
        <v/>
      </c>
      <c r="E844">
        <f>MAX(0,Assumptions!$B$34/IF(B844&lt;Assumptions!$B$25,Assumptions!$B$25*(Assumptions!$B$50+Assumptions!$B$5/Assumptions!$B$25)/(Assumptions!$B$50+Assumptions!$B$5/B844),Assumptions!$B$25)-Assumptions!$B$42)+MAX(0,Assumptions!$B$35/IF(B844&lt;Assumptions!$B$26,Assumptions!$B$26*(Assumptions!$B$50+Assumptions!$B$5/Assumptions!$B$26)/(Assumptions!$B$50+Assumptions!$B$5/B844),Assumptions!$B$26)-Assumptions!$B$43)</f>
        <v/>
      </c>
      <c r="F844">
        <f>Assumptions!$B$5/B844</f>
        <v/>
      </c>
      <c r="G844">
        <f>$B$813*(((Assumptions!$B$50-Assumptions!$B$51+E844+C844+D844)+F844)/(1-$B$813))-Assumptions!$B$51</f>
        <v/>
      </c>
      <c r="H844">
        <f>MAX(0,G844)</f>
        <v/>
      </c>
      <c r="I844">
        <f>Assumptions!$B$50+E844+H844+C844+D844</f>
        <v/>
      </c>
      <c r="J844">
        <f>I844+F844</f>
        <v/>
      </c>
      <c r="K844">
        <f>Assumptions!$B$50+E844+H844+D844</f>
        <v/>
      </c>
      <c r="L844">
        <f>Assumptions!$B$50+E844+H844+C844</f>
        <v/>
      </c>
      <c r="M844">
        <f>Assumptions!$B$60/K844</f>
        <v/>
      </c>
      <c r="N844">
        <f>B844*(1-Assumptions!$B$61)</f>
        <v/>
      </c>
      <c r="O844">
        <f>MIN(M844,N844)</f>
        <v/>
      </c>
      <c r="P844">
        <f>Assumptions!$B$63/L844</f>
        <v/>
      </c>
      <c r="Q844">
        <f>B844*(1-Assumptions!$B$64)</f>
        <v/>
      </c>
      <c r="R844">
        <f>MIN(P844,Q844)</f>
        <v/>
      </c>
      <c r="S844">
        <f>$B$814/I844</f>
        <v/>
      </c>
      <c r="T844">
        <f>Assumptions!$B$59/O844</f>
        <v/>
      </c>
      <c r="U844">
        <f>Assumptions!$B$62/R844</f>
        <v/>
      </c>
    </row>
    <row r="845">
      <c r="A845" t="n">
        <v>28</v>
      </c>
      <c r="B845">
        <f>S844</f>
        <v/>
      </c>
      <c r="C845">
        <f>T844</f>
        <v/>
      </c>
      <c r="D845">
        <f>U844</f>
        <v/>
      </c>
      <c r="E845">
        <f>MAX(0,Assumptions!$B$34/IF(B845&lt;Assumptions!$B$25,Assumptions!$B$25*(Assumptions!$B$50+Assumptions!$B$5/Assumptions!$B$25)/(Assumptions!$B$50+Assumptions!$B$5/B845),Assumptions!$B$25)-Assumptions!$B$42)+MAX(0,Assumptions!$B$35/IF(B845&lt;Assumptions!$B$26,Assumptions!$B$26*(Assumptions!$B$50+Assumptions!$B$5/Assumptions!$B$26)/(Assumptions!$B$50+Assumptions!$B$5/B845),Assumptions!$B$26)-Assumptions!$B$43)</f>
        <v/>
      </c>
      <c r="F845">
        <f>Assumptions!$B$5/B845</f>
        <v/>
      </c>
      <c r="G845">
        <f>$B$813*(((Assumptions!$B$50-Assumptions!$B$51+E845+C845+D845)+F845)/(1-$B$813))-Assumptions!$B$51</f>
        <v/>
      </c>
      <c r="H845">
        <f>MAX(0,G845)</f>
        <v/>
      </c>
      <c r="I845">
        <f>Assumptions!$B$50+E845+H845+C845+D845</f>
        <v/>
      </c>
      <c r="J845">
        <f>I845+F845</f>
        <v/>
      </c>
      <c r="K845">
        <f>Assumptions!$B$50+E845+H845+D845</f>
        <v/>
      </c>
      <c r="L845">
        <f>Assumptions!$B$50+E845+H845+C845</f>
        <v/>
      </c>
      <c r="M845">
        <f>Assumptions!$B$60/K845</f>
        <v/>
      </c>
      <c r="N845">
        <f>B845*(1-Assumptions!$B$61)</f>
        <v/>
      </c>
      <c r="O845">
        <f>MIN(M845,N845)</f>
        <v/>
      </c>
      <c r="P845">
        <f>Assumptions!$B$63/L845</f>
        <v/>
      </c>
      <c r="Q845">
        <f>B845*(1-Assumptions!$B$64)</f>
        <v/>
      </c>
      <c r="R845">
        <f>MIN(P845,Q845)</f>
        <v/>
      </c>
      <c r="S845">
        <f>$B$814/I845</f>
        <v/>
      </c>
      <c r="T845">
        <f>Assumptions!$B$59/O845</f>
        <v/>
      </c>
      <c r="U845">
        <f>Assumptions!$B$62/R845</f>
        <v/>
      </c>
    </row>
    <row r="846">
      <c r="A846" t="n">
        <v>29</v>
      </c>
      <c r="B846">
        <f>S845</f>
        <v/>
      </c>
      <c r="C846">
        <f>T845</f>
        <v/>
      </c>
      <c r="D846">
        <f>U845</f>
        <v/>
      </c>
      <c r="E846">
        <f>MAX(0,Assumptions!$B$34/IF(B846&lt;Assumptions!$B$25,Assumptions!$B$25*(Assumptions!$B$50+Assumptions!$B$5/Assumptions!$B$25)/(Assumptions!$B$50+Assumptions!$B$5/B846),Assumptions!$B$25)-Assumptions!$B$42)+MAX(0,Assumptions!$B$35/IF(B846&lt;Assumptions!$B$26,Assumptions!$B$26*(Assumptions!$B$50+Assumptions!$B$5/Assumptions!$B$26)/(Assumptions!$B$50+Assumptions!$B$5/B846),Assumptions!$B$26)-Assumptions!$B$43)</f>
        <v/>
      </c>
      <c r="F846">
        <f>Assumptions!$B$5/B846</f>
        <v/>
      </c>
      <c r="G846">
        <f>$B$813*(((Assumptions!$B$50-Assumptions!$B$51+E846+C846+D846)+F846)/(1-$B$813))-Assumptions!$B$51</f>
        <v/>
      </c>
      <c r="H846">
        <f>MAX(0,G846)</f>
        <v/>
      </c>
      <c r="I846">
        <f>Assumptions!$B$50+E846+H846+C846+D846</f>
        <v/>
      </c>
      <c r="J846">
        <f>I846+F846</f>
        <v/>
      </c>
      <c r="K846">
        <f>Assumptions!$B$50+E846+H846+D846</f>
        <v/>
      </c>
      <c r="L846">
        <f>Assumptions!$B$50+E846+H846+C846</f>
        <v/>
      </c>
      <c r="M846">
        <f>Assumptions!$B$60/K846</f>
        <v/>
      </c>
      <c r="N846">
        <f>B846*(1-Assumptions!$B$61)</f>
        <v/>
      </c>
      <c r="O846">
        <f>MIN(M846,N846)</f>
        <v/>
      </c>
      <c r="P846">
        <f>Assumptions!$B$63/L846</f>
        <v/>
      </c>
      <c r="Q846">
        <f>B846*(1-Assumptions!$B$64)</f>
        <v/>
      </c>
      <c r="R846">
        <f>MIN(P846,Q846)</f>
        <v/>
      </c>
      <c r="S846">
        <f>$B$814/I846</f>
        <v/>
      </c>
      <c r="T846">
        <f>Assumptions!$B$59/O846</f>
        <v/>
      </c>
      <c r="U846">
        <f>Assumptions!$B$62/R846</f>
        <v/>
      </c>
    </row>
    <row r="847">
      <c r="A847" t="n">
        <v>30</v>
      </c>
      <c r="B847">
        <f>S846</f>
        <v/>
      </c>
      <c r="C847">
        <f>T846</f>
        <v/>
      </c>
      <c r="D847">
        <f>U846</f>
        <v/>
      </c>
      <c r="E847">
        <f>MAX(0,Assumptions!$B$34/IF(B847&lt;Assumptions!$B$25,Assumptions!$B$25*(Assumptions!$B$50+Assumptions!$B$5/Assumptions!$B$25)/(Assumptions!$B$50+Assumptions!$B$5/B847),Assumptions!$B$25)-Assumptions!$B$42)+MAX(0,Assumptions!$B$35/IF(B847&lt;Assumptions!$B$26,Assumptions!$B$26*(Assumptions!$B$50+Assumptions!$B$5/Assumptions!$B$26)/(Assumptions!$B$50+Assumptions!$B$5/B847),Assumptions!$B$26)-Assumptions!$B$43)</f>
        <v/>
      </c>
      <c r="F847">
        <f>Assumptions!$B$5/B847</f>
        <v/>
      </c>
      <c r="G847">
        <f>$B$813*(((Assumptions!$B$50-Assumptions!$B$51+E847+C847+D847)+F847)/(1-$B$813))-Assumptions!$B$51</f>
        <v/>
      </c>
      <c r="H847">
        <f>MAX(0,G847)</f>
        <v/>
      </c>
      <c r="I847">
        <f>Assumptions!$B$50+E847+H847+C847+D847</f>
        <v/>
      </c>
      <c r="J847">
        <f>I847+F847</f>
        <v/>
      </c>
      <c r="K847">
        <f>Assumptions!$B$50+E847+H847+D847</f>
        <v/>
      </c>
      <c r="L847">
        <f>Assumptions!$B$50+E847+H847+C847</f>
        <v/>
      </c>
      <c r="M847">
        <f>Assumptions!$B$60/K847</f>
        <v/>
      </c>
      <c r="N847">
        <f>B847*(1-Assumptions!$B$61)</f>
        <v/>
      </c>
      <c r="O847">
        <f>MIN(M847,N847)</f>
        <v/>
      </c>
      <c r="P847">
        <f>Assumptions!$B$63/L847</f>
        <v/>
      </c>
      <c r="Q847">
        <f>B847*(1-Assumptions!$B$64)</f>
        <v/>
      </c>
      <c r="R847">
        <f>MIN(P847,Q847)</f>
        <v/>
      </c>
      <c r="S847">
        <f>$B$814/I847</f>
        <v/>
      </c>
      <c r="T847">
        <f>Assumptions!$B$59/O847</f>
        <v/>
      </c>
      <c r="U847">
        <f>Assumptions!$B$62/R847</f>
        <v/>
      </c>
    </row>
    <row r="849">
      <c r="A849" s="2" t="inlineStr">
        <is>
          <t>Solved F_PPS</t>
        </is>
      </c>
      <c r="B849">
        <f>B847</f>
        <v/>
      </c>
    </row>
    <row r="850">
      <c r="A850" t="inlineStr">
        <is>
          <t>Solved pmFD</t>
        </is>
      </c>
      <c r="B850">
        <f>I847</f>
        <v/>
      </c>
    </row>
    <row r="851">
      <c r="A851" t="inlineStr">
        <is>
          <t>Solved T_F</t>
        </is>
      </c>
      <c r="B851">
        <f>J847</f>
        <v/>
      </c>
    </row>
    <row r="852">
      <c r="A852" t="inlineStr">
        <is>
          <t>Solved AD_extra</t>
        </is>
      </c>
      <c r="B852">
        <f>E847</f>
        <v/>
      </c>
    </row>
    <row r="853">
      <c r="A853" t="inlineStr">
        <is>
          <t>Solved topup</t>
        </is>
      </c>
      <c r="B853">
        <f>H847</f>
        <v/>
      </c>
    </row>
    <row r="854">
      <c r="A854" t="inlineStr">
        <is>
          <t>Solved nA</t>
        </is>
      </c>
      <c r="B854">
        <f>C847</f>
        <v/>
      </c>
    </row>
    <row r="855">
      <c r="A855" t="inlineStr">
        <is>
          <t>Solved nB</t>
        </is>
      </c>
      <c r="B855">
        <f>D847</f>
        <v/>
      </c>
    </row>
    <row r="856">
      <c r="A856" t="inlineStr">
        <is>
          <t>Branch A</t>
        </is>
      </c>
      <c r="B856">
        <f>IF(M847&lt;N847,"cap","discount")</f>
        <v/>
      </c>
    </row>
    <row r="857">
      <c r="A857" t="inlineStr">
        <is>
          <t>Branch B</t>
        </is>
      </c>
      <c r="B857">
        <f>IF(P847&lt;Q847,"cap","discount")</f>
        <v/>
      </c>
    </row>
    <row r="859">
      <c r="A859" t="inlineStr">
        <is>
          <t>Fund shares</t>
        </is>
      </c>
      <c r="B859">
        <f>Assumptions!$B$9/B847</f>
        <v/>
      </c>
    </row>
    <row r="860">
      <c r="A860" t="inlineStr">
        <is>
          <t>Fund ownership %</t>
        </is>
      </c>
      <c r="B860" s="12">
        <f>B859/J847</f>
        <v/>
      </c>
    </row>
    <row r="861">
      <c r="A861" t="inlineStr">
        <is>
          <t>Tender shares</t>
        </is>
      </c>
      <c r="B861">
        <f>Assumptions!$B$6/(Assumptions!$B$7*B847)</f>
        <v/>
      </c>
    </row>
    <row r="862">
      <c r="A862" t="inlineStr">
        <is>
          <t>ITM test PPS</t>
        </is>
      </c>
      <c r="B862">
        <f>(Assumptions!$B$16+Assumptions!$B$11*Assumptions!$B$48)/(F847+(Assumptions!$B$35/IF(B847&lt;Assumptions!$B$26,Assumptions!$B$26*(Assumptions!$B$50+Assumptions!$B$5/Assumptions!$B$26)/(Assumptions!$B$50+Assumptions!$B$5/B847),Assumptions!$B$26))+(Assumptions!$B$34/IF(B847&lt;Assumptions!$B$25,Assumptions!$B$25*(Assumptions!$B$50+Assumptions!$B$5/Assumptions!$B$25)/(Assumptions!$B$50+Assumptions!$B$5/B847),Assumptions!$B$25))+Assumptions!$B$41+Assumptions!$B$40+Assumptions!$B$39+Assumptions!$B$38+(Assumptions!$B$44+Assumptions!$B$45+Assumptions!$B$46-B861)+Assumptions!$B$47+B861+(C847+D847)+Assumptions!$B$48)</f>
        <v/>
      </c>
    </row>
    <row r="863">
      <c r="A863" t="inlineStr">
        <is>
          <t>ITM?</t>
        </is>
      </c>
      <c r="B863">
        <f>IF(B862&gt;Assumptions!$B$11,"YES","NO")</f>
        <v/>
      </c>
    </row>
    <row r="864">
      <c r="A864" t="inlineStr">
        <is>
          <t>Effective pool</t>
        </is>
      </c>
      <c r="B864">
        <f>IF(B863="YES",(F847+(Assumptions!$B$35/IF(B847&lt;Assumptions!$B$26,Assumptions!$B$26*(Assumptions!$B$50+Assumptions!$B$5/Assumptions!$B$26)/(Assumptions!$B$50+Assumptions!$B$5/B847),Assumptions!$B$26))+(Assumptions!$B$34/IF(B847&lt;Assumptions!$B$25,Assumptions!$B$25*(Assumptions!$B$50+Assumptions!$B$5/Assumptions!$B$25)/(Assumptions!$B$50+Assumptions!$B$5/B847),Assumptions!$B$25))+Assumptions!$B$41+Assumptions!$B$40+Assumptions!$B$39+Assumptions!$B$38+(Assumptions!$B$44+Assumptions!$B$45+Assumptions!$B$46-B861)+Assumptions!$B$47+B861+(C847+D847)+Assumptions!$B$48),(F847+(Assumptions!$B$35/IF(B847&lt;Assumptions!$B$26,Assumptions!$B$26*(Assumptions!$B$50+Assumptions!$B$5/Assumptions!$B$26)/(Assumptions!$B$50+Assumptions!$B$5/B847),Assumptions!$B$26))+(Assumptions!$B$34/IF(B847&lt;Assumptions!$B$25,Assumptions!$B$25*(Assumptions!$B$50+Assumptions!$B$5/Assumptions!$B$25)/(Assumptions!$B$50+Assumptions!$B$5/B847),Assumptions!$B$25))+Assumptions!$B$41+Assumptions!$B$40+Assumptions!$B$39+Assumptions!$B$38+(Assumptions!$B$44+Assumptions!$B$45+Assumptions!$B$46-B861)+Assumptions!$B$47+B861+(C847+D847)))</f>
        <v/>
      </c>
    </row>
    <row r="865">
      <c r="A865" t="inlineStr">
        <is>
          <t>Adjusted exit</t>
        </is>
      </c>
      <c r="B865">
        <f>IF(B863="YES",Assumptions!$B$16+Assumptions!$B$11*Assumptions!$B$48,Assumptions!$B$16)</f>
        <v/>
      </c>
    </row>
    <row r="866">
      <c r="A866" s="20" t="inlineStr">
        <is>
          <t>F elect</t>
        </is>
      </c>
      <c r="B866">
        <f>IF(Assumptions!$B$5&gt;(F847)*(B865-(0))/(B864-(0)),"preference","convert")</f>
        <v/>
      </c>
    </row>
    <row r="867">
      <c r="A867" t="inlineStr">
        <is>
          <t>F pref taken</t>
        </is>
      </c>
      <c r="B867">
        <f>IF(B866="preference",Assumptions!$B$5,0)</f>
        <v/>
      </c>
    </row>
    <row r="868">
      <c r="A868" t="inlineStr">
        <is>
          <t>F pool loss</t>
        </is>
      </c>
      <c r="B868">
        <f>IF(B866="preference",F847,0)</f>
        <v/>
      </c>
    </row>
    <row r="869">
      <c r="A869" s="20" t="inlineStr">
        <is>
          <t>E elect</t>
        </is>
      </c>
      <c r="B869">
        <f>IF(Assumptions!$B$35&gt;((Assumptions!$B$35/IF(B847&lt;Assumptions!$B$26,Assumptions!$B$26*(Assumptions!$B$50+Assumptions!$B$5/Assumptions!$B$26)/(Assumptions!$B$50+Assumptions!$B$5/B847),Assumptions!$B$26)))*(B865-(B867))/(B864-(B868)),"preference","convert")</f>
        <v/>
      </c>
    </row>
    <row r="870">
      <c r="A870" t="inlineStr">
        <is>
          <t>E pref taken</t>
        </is>
      </c>
      <c r="B870">
        <f>IF(B869="preference",Assumptions!$B$35,0)</f>
        <v/>
      </c>
    </row>
    <row r="871">
      <c r="A871" t="inlineStr">
        <is>
          <t>E pool loss</t>
        </is>
      </c>
      <c r="B871">
        <f>IF(B869="preference",(Assumptions!$B$35/IF(B847&lt;Assumptions!$B$26,Assumptions!$B$26*(Assumptions!$B$50+Assumptions!$B$5/Assumptions!$B$26)/(Assumptions!$B$50+Assumptions!$B$5/B847),Assumptions!$B$26)),0)</f>
        <v/>
      </c>
    </row>
    <row r="872">
      <c r="A872" s="20" t="inlineStr">
        <is>
          <t>D elect</t>
        </is>
      </c>
      <c r="B872">
        <f>IF(Assumptions!$B$34&gt;((Assumptions!$B$34/IF(B847&lt;Assumptions!$B$25,Assumptions!$B$25*(Assumptions!$B$50+Assumptions!$B$5/Assumptions!$B$25)/(Assumptions!$B$50+Assumptions!$B$5/B847),Assumptions!$B$25)))*(B865-(B867+B870))/(B864-(B868+B871)),"preference","convert")</f>
        <v/>
      </c>
    </row>
    <row r="873">
      <c r="A873" t="inlineStr">
        <is>
          <t>D pref taken</t>
        </is>
      </c>
      <c r="B873">
        <f>IF(B872="preference",Assumptions!$B$34,0)</f>
        <v/>
      </c>
    </row>
    <row r="874">
      <c r="A874" t="inlineStr">
        <is>
          <t>D pool loss</t>
        </is>
      </c>
      <c r="B874">
        <f>IF(B872="preference",(Assumptions!$B$34/IF(B847&lt;Assumptions!$B$25,Assumptions!$B$25*(Assumptions!$B$50+Assumptions!$B$5/Assumptions!$B$25)/(Assumptions!$B$50+Assumptions!$B$5/B847),Assumptions!$B$25)),0)</f>
        <v/>
      </c>
    </row>
    <row r="875">
      <c r="A875" s="20" t="inlineStr">
        <is>
          <t>C elect</t>
        </is>
      </c>
      <c r="B875">
        <f>IF(Assumptions!$B$33&gt;(Assumptions!$B$41)*(B865-(B867+B870+B873))/(B864-(B868+B871+B874)),"preference","convert")</f>
        <v/>
      </c>
    </row>
    <row r="876">
      <c r="A876" t="inlineStr">
        <is>
          <t>C pref taken</t>
        </is>
      </c>
      <c r="B876">
        <f>IF(B875="preference",Assumptions!$B$33,0)</f>
        <v/>
      </c>
    </row>
    <row r="877">
      <c r="A877" t="inlineStr">
        <is>
          <t>C pool loss</t>
        </is>
      </c>
      <c r="B877">
        <f>IF(B875="preference",Assumptions!$B$41,0)</f>
        <v/>
      </c>
    </row>
    <row r="878">
      <c r="A878" s="20" t="inlineStr">
        <is>
          <t>B elect</t>
        </is>
      </c>
      <c r="B878">
        <f>IF(Assumptions!$B$32&gt;(Assumptions!$B$40)*(B865-(B867+B870+B873+B876))/(B864-(B868+B871+B874+B877)),"preference","convert")</f>
        <v/>
      </c>
    </row>
    <row r="879">
      <c r="A879" t="inlineStr">
        <is>
          <t>B pref taken</t>
        </is>
      </c>
      <c r="B879">
        <f>IF(B878="preference",Assumptions!$B$32,0)</f>
        <v/>
      </c>
    </row>
    <row r="880">
      <c r="A880" t="inlineStr">
        <is>
          <t>B pool loss</t>
        </is>
      </c>
      <c r="B880">
        <f>IF(B878="preference",Assumptions!$B$40,0)</f>
        <v/>
      </c>
    </row>
    <row r="881">
      <c r="A881" s="20" t="inlineStr">
        <is>
          <t>A elect</t>
        </is>
      </c>
      <c r="B881">
        <f>IF(Assumptions!$B$31&gt;(Assumptions!$B$39)*(B865-(B867+B870+B873+B876+B879))/(B864-(B868+B871+B874+B877+B880)),"preference","convert")</f>
        <v/>
      </c>
    </row>
    <row r="882">
      <c r="A882" t="inlineStr">
        <is>
          <t>A pref taken</t>
        </is>
      </c>
      <c r="B882">
        <f>IF(B881="preference",Assumptions!$B$31,0)</f>
        <v/>
      </c>
    </row>
    <row r="883">
      <c r="A883" t="inlineStr">
        <is>
          <t>A pool loss</t>
        </is>
      </c>
      <c r="B883">
        <f>IF(B881="preference",Assumptions!$B$39,0)</f>
        <v/>
      </c>
    </row>
    <row r="884">
      <c r="A884" s="20" t="inlineStr">
        <is>
          <t>Seed elect</t>
        </is>
      </c>
      <c r="B884">
        <f>IF(Assumptions!$B$30&gt;(Assumptions!$B$38)*(B865-(B867+B870+B873+B876+B879+B882))/(B864-(B868+B871+B874+B877+B880+B883)),"preference","convert")</f>
        <v/>
      </c>
    </row>
    <row r="885">
      <c r="A885" t="inlineStr">
        <is>
          <t>Seed pref taken</t>
        </is>
      </c>
      <c r="B885">
        <f>IF(B884="preference",Assumptions!$B$30,0)</f>
        <v/>
      </c>
    </row>
    <row r="886">
      <c r="A886" t="inlineStr">
        <is>
          <t>Seed pool loss</t>
        </is>
      </c>
      <c r="B886">
        <f>IF(B884="preference",Assumptions!$B$38,0)</f>
        <v/>
      </c>
    </row>
    <row r="887">
      <c r="A887" s="2" t="inlineStr">
        <is>
          <t>Final PPS at $2B</t>
        </is>
      </c>
      <c r="B887">
        <f>(B865-(B867+B870+B873+B876+B879+B882+B885))/(B864-(B868+B871+B874+B877+B880+B883+B886))</f>
        <v/>
      </c>
    </row>
    <row r="888">
      <c r="A888" s="2" t="inlineStr">
        <is>
          <t>Fund proceeds at $2B</t>
        </is>
      </c>
      <c r="B888" s="18">
        <f>IF(B866="preference",Assumptions!$B$9,B859*B887)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Return-Solver — F class ownership % needed for 3× / 4×</t>
        </is>
      </c>
    </row>
    <row r="2">
      <c r="A2" s="15" t="inlineStr">
        <is>
          <t>Solves: x = (target_mult × fund_check) / (T_F × PPS_at_exit) × 3 (since fund holds 1/3 of F)</t>
        </is>
      </c>
    </row>
    <row r="3">
      <c r="A3" s="15" t="inlineStr">
        <is>
          <t>Base-case ESOP, full waterfall including F's own election</t>
        </is>
      </c>
    </row>
    <row r="5">
      <c r="A5" s="16" t="inlineStr">
        <is>
          <t>Exit</t>
        </is>
      </c>
      <c r="B5" s="16" t="inlineStr">
        <is>
          <t>Exit value</t>
        </is>
      </c>
      <c r="C5" s="16" t="inlineStr">
        <is>
          <t>F election (base)</t>
        </is>
      </c>
      <c r="D5" s="16" t="inlineStr">
        <is>
          <t>Waterfall PPS</t>
        </is>
      </c>
      <c r="E5" s="16" t="inlineStr">
        <is>
          <t>T_F (post-F FD)</t>
        </is>
      </c>
      <c r="F5" s="16" t="inlineStr">
        <is>
          <t>T_F × PPS</t>
        </is>
      </c>
      <c r="G5" s="16" t="inlineStr">
        <is>
          <t>F% needed for 3× ($30M)</t>
        </is>
      </c>
      <c r="H5" s="16" t="inlineStr">
        <is>
          <t>F% needed for 4× ($40M)</t>
        </is>
      </c>
      <c r="I5" s="16" t="inlineStr">
        <is>
          <t>3× feasible?</t>
        </is>
      </c>
      <c r="J5" s="16" t="inlineStr">
        <is>
          <t>4× feasible?</t>
        </is>
      </c>
    </row>
    <row r="6">
      <c r="A6" t="inlineStr">
        <is>
          <t>Exit 1</t>
        </is>
      </c>
      <c r="B6" s="17">
        <f>Assumptions!$B$14</f>
        <v/>
      </c>
      <c r="C6">
        <f>Waterfall!B20</f>
        <v/>
      </c>
      <c r="D6" s="10">
        <f>Waterfall!B43</f>
        <v/>
      </c>
      <c r="E6" s="8">
        <f>'Pro-Forma'!$J$162</f>
        <v/>
      </c>
      <c r="F6" s="18">
        <f>E6*D6</f>
        <v/>
      </c>
      <c r="G6" s="12">
        <f>IF(C6="preference","INFEASIBLE",3*Assumptions!$B$75*Assumptions!$B$9/F6)</f>
        <v/>
      </c>
      <c r="H6" s="12">
        <f>IF(C6="preference","INFEASIBLE",3*Assumptions!$B$76*Assumptions!$B$9/F6)</f>
        <v/>
      </c>
      <c r="I6">
        <f>IF(C6="preference","NO (F takes pref → 1× only)",IF(AND(G6&gt;0,G6&lt;=1),"YES","NO (&gt;100%)"))</f>
        <v/>
      </c>
      <c r="J6">
        <f>IF(C6="preference","NO (F takes pref → 1× only)",IF(AND(H6&gt;0,H6&lt;=1),"YES","NO (&gt;100%)"))</f>
        <v/>
      </c>
    </row>
    <row r="7">
      <c r="A7" t="inlineStr">
        <is>
          <t>Exit 2</t>
        </is>
      </c>
      <c r="B7" s="17">
        <f>Assumptions!$B$15</f>
        <v/>
      </c>
      <c r="C7">
        <f>Waterfall!C20</f>
        <v/>
      </c>
      <c r="D7" s="10">
        <f>Waterfall!C43</f>
        <v/>
      </c>
      <c r="E7" s="8">
        <f>'Pro-Forma'!$J$162</f>
        <v/>
      </c>
      <c r="F7" s="18">
        <f>E7*D7</f>
        <v/>
      </c>
      <c r="G7" s="12">
        <f>IF(C7="preference","INFEASIBLE",3*Assumptions!$B$75*Assumptions!$B$9/F7)</f>
        <v/>
      </c>
      <c r="H7" s="12">
        <f>IF(C7="preference","INFEASIBLE",3*Assumptions!$B$76*Assumptions!$B$9/F7)</f>
        <v/>
      </c>
      <c r="I7">
        <f>IF(C7="preference","NO (F takes pref → 1× only)",IF(AND(G7&gt;0,G7&lt;=1),"YES","NO (&gt;100%)"))</f>
        <v/>
      </c>
      <c r="J7">
        <f>IF(C7="preference","NO (F takes pref → 1× only)",IF(AND(H7&gt;0,H7&lt;=1),"YES","NO (&gt;100%)"))</f>
        <v/>
      </c>
    </row>
    <row r="8">
      <c r="A8" t="inlineStr">
        <is>
          <t>Exit 3</t>
        </is>
      </c>
      <c r="B8" s="17">
        <f>Assumptions!$B$16</f>
        <v/>
      </c>
      <c r="C8">
        <f>Waterfall!D20</f>
        <v/>
      </c>
      <c r="D8" s="10">
        <f>Waterfall!D43</f>
        <v/>
      </c>
      <c r="E8" s="8">
        <f>'Pro-Forma'!$J$162</f>
        <v/>
      </c>
      <c r="F8" s="18">
        <f>E8*D8</f>
        <v/>
      </c>
      <c r="G8" s="12">
        <f>IF(C8="preference","INFEASIBLE",3*Assumptions!$B$75*Assumptions!$B$9/F8)</f>
        <v/>
      </c>
      <c r="H8" s="12">
        <f>IF(C8="preference","INFEASIBLE",3*Assumptions!$B$76*Assumptions!$B$9/F8)</f>
        <v/>
      </c>
      <c r="I8">
        <f>IF(C8="preference","NO (F takes pref → 1× only)",IF(AND(G8&gt;0,G8&lt;=1),"YES","NO (&gt;100%)"))</f>
        <v/>
      </c>
      <c r="J8">
        <f>IF(C8="preference","NO (F takes pref → 1× only)",IF(AND(H8&gt;0,H8&lt;=1),"YES","NO (&gt;100%)"))</f>
        <v/>
      </c>
    </row>
    <row r="9">
      <c r="A9" t="inlineStr">
        <is>
          <t>Exit 4</t>
        </is>
      </c>
      <c r="B9" s="17">
        <f>Assumptions!$B$17</f>
        <v/>
      </c>
      <c r="C9">
        <f>Waterfall!E20</f>
        <v/>
      </c>
      <c r="D9" s="10">
        <f>Waterfall!E43</f>
        <v/>
      </c>
      <c r="E9" s="8">
        <f>'Pro-Forma'!$J$162</f>
        <v/>
      </c>
      <c r="F9" s="18">
        <f>E9*D9</f>
        <v/>
      </c>
      <c r="G9" s="12">
        <f>IF(C9="preference","INFEASIBLE",3*Assumptions!$B$75*Assumptions!$B$9/F9)</f>
        <v/>
      </c>
      <c r="H9" s="12">
        <f>IF(C9="preference","INFEASIBLE",3*Assumptions!$B$76*Assumptions!$B$9/F9)</f>
        <v/>
      </c>
      <c r="I9">
        <f>IF(C9="preference","NO (F takes pref → 1× only)",IF(AND(G9&gt;0,G9&lt;=1),"YES","NO (&gt;100%)"))</f>
        <v/>
      </c>
      <c r="J9">
        <f>IF(C9="preference","NO (F takes pref → 1× only)",IF(AND(H9&gt;0,H9&lt;=1),"YES","NO (&gt;100%)"))</f>
        <v/>
      </c>
    </row>
    <row r="10">
      <c r="A10" t="inlineStr">
        <is>
          <t>Exit 5</t>
        </is>
      </c>
      <c r="B10" s="17">
        <f>Assumptions!$B$18</f>
        <v/>
      </c>
      <c r="C10">
        <f>Waterfall!F20</f>
        <v/>
      </c>
      <c r="D10" s="10">
        <f>Waterfall!F43</f>
        <v/>
      </c>
      <c r="E10" s="8">
        <f>'Pro-Forma'!$J$162</f>
        <v/>
      </c>
      <c r="F10" s="18">
        <f>E10*D10</f>
        <v/>
      </c>
      <c r="G10" s="12">
        <f>IF(C10="preference","INFEASIBLE",3*Assumptions!$B$75*Assumptions!$B$9/F10)</f>
        <v/>
      </c>
      <c r="H10" s="12">
        <f>IF(C10="preference","INFEASIBLE",3*Assumptions!$B$76*Assumptions!$B$9/F10)</f>
        <v/>
      </c>
      <c r="I10">
        <f>IF(C10="preference","NO (F takes pref → 1× only)",IF(AND(G10&gt;0,G10&lt;=1),"YES","NO (&gt;100%)"))</f>
        <v/>
      </c>
      <c r="J10">
        <f>IF(C10="preference","NO (F takes pref → 1× only)",IF(AND(H10&gt;0,H10&lt;=1),"YES","NO (&gt;100%)"))</f>
        <v/>
      </c>
    </row>
    <row r="12">
      <c r="A12" t="inlineStr">
        <is>
          <t>Note: at low exits where F takes preference, fund returns only its 1/3 of $30M pref = $10M (1×). 3× and 4× infeasible without changing round terms.</t>
        </is>
      </c>
    </row>
    <row r="13">
      <c r="A13" t="inlineStr">
        <is>
          <t>Note: at high exits all classes (incl. F) converge — fund proceeds = (x/3)·T_F·PPS, scaling linearly in F class ownership 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2026-04-26T23:43:15Z</dcterms:created>
  <dcterms:modified xmlns:dcterms="http://purl.org/dc/terms/" xmlns:xsi="http://www.w3.org/2001/XMLSchema-instance" xsi:type="dcterms:W3CDTF">2026-04-26T23:43:15Z</dcterms:modified>
</cp:coreProperties>
</file>