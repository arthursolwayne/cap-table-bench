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-Forma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turn-Sol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00000"/>
    <numFmt numFmtId="166" formatCode="0.0000%"/>
    <numFmt numFmtId="167" formatCode="&quot;$&quot;#,##0.000000"/>
    <numFmt numFmtId="168" formatCode="0.00000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167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2" fillId="4" borderId="0" pivotButton="0" quotePrefix="0" xfId="0"/>
    <xf numFmtId="168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8" fontId="2" fillId="0" borderId="0" pivotButton="0" quotePrefix="0" xfId="0"/>
    <xf numFmtId="164" fontId="2" fillId="4" borderId="0" pivotButton="0" quotePrefix="0" xfId="0"/>
    <xf numFmtId="0" fontId="0" fillId="0" borderId="0" applyAlignment="1" pivotButton="0" quotePrefix="0" xfId="0">
      <alignment horizontal="center"/>
    </xf>
    <xf numFmtId="164" fontId="2" fillId="0" borderId="0" pivotButton="0" quotePrefix="0" xfId="0"/>
    <xf numFmtId="167" fontId="2" fillId="0" borderId="0" pivotButton="0" quotePrefix="0" xfId="0"/>
    <xf numFmtId="166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60" customWidth="1" min="4" max="4"/>
  </cols>
  <sheetData>
    <row r="1">
      <c r="A1" s="1" t="inlineStr">
        <is>
          <t>ROUND TERMS — KNOBS</t>
        </is>
      </c>
      <c r="B1" s="2" t="n"/>
      <c r="C1" s="2" t="n"/>
      <c r="D1" s="2" t="n"/>
    </row>
    <row r="2">
      <c r="A2" t="inlineStr">
        <is>
          <t>Series F pre-money</t>
        </is>
      </c>
      <c r="B2" s="3" t="n">
        <v>1400000000</v>
      </c>
      <c r="C2" t="inlineStr">
        <is>
          <t>USD</t>
        </is>
      </c>
      <c r="D2" t="inlineStr">
        <is>
          <t>Series F pre-money valuation</t>
        </is>
      </c>
    </row>
    <row r="3">
      <c r="A3" t="inlineStr">
        <is>
          <t>Series F primary raise</t>
        </is>
      </c>
      <c r="B3" s="3" t="n">
        <v>30000000</v>
      </c>
      <c r="C3" t="inlineStr">
        <is>
          <t>USD</t>
        </is>
      </c>
      <c r="D3" t="inlineStr">
        <is>
          <t>New Series F primary capital</t>
        </is>
      </c>
    </row>
    <row r="4">
      <c r="A4" t="inlineStr">
        <is>
          <t>Series F secondary raise</t>
        </is>
      </c>
      <c r="B4" s="3" t="n">
        <v>15000000</v>
      </c>
      <c r="C4" t="inlineStr">
        <is>
          <t>USD</t>
        </is>
      </c>
      <c r="D4" t="inlineStr">
        <is>
          <t>Secondary tender from founders</t>
        </is>
      </c>
    </row>
    <row r="5">
      <c r="A5" t="inlineStr">
        <is>
          <t>Tender PPS multiplier</t>
        </is>
      </c>
      <c r="B5" s="4" t="n">
        <v>0.85</v>
      </c>
      <c r="C5" t="inlineStr">
        <is>
          <t>fraction</t>
        </is>
      </c>
      <c r="D5" t="inlineStr">
        <is>
          <t>Tender PPS = mult x F_PPS</t>
        </is>
      </c>
    </row>
    <row r="6">
      <c r="A6" t="inlineStr">
        <is>
          <t>ESOP refresh target % (post-F FD)</t>
        </is>
      </c>
      <c r="B6" s="5" t="n">
        <v>0.13</v>
      </c>
      <c r="C6" t="inlineStr">
        <is>
          <t>fraction</t>
        </is>
      </c>
      <c r="D6" t="inlineStr">
        <is>
          <t>Post-F option pool as fraction of post-F FD</t>
        </is>
      </c>
    </row>
    <row r="7">
      <c r="A7" t="inlineStr">
        <is>
          <t>Our fund check</t>
        </is>
      </c>
      <c r="B7" s="3" t="n">
        <v>10000000</v>
      </c>
      <c r="C7" t="inlineStr">
        <is>
          <t>USD</t>
        </is>
      </c>
      <c r="D7" t="inlineStr">
        <is>
          <t>1/3 of primary</t>
        </is>
      </c>
    </row>
    <row r="8">
      <c r="A8" t="inlineStr">
        <is>
          <t>F_LEAD primary check</t>
        </is>
      </c>
      <c r="B8" s="3" t="n">
        <v>20000000</v>
      </c>
      <c r="C8" t="inlineStr">
        <is>
          <t>USD</t>
        </is>
      </c>
      <c r="D8" t="inlineStr">
        <is>
          <t>2/3 of primary</t>
        </is>
      </c>
    </row>
    <row r="9">
      <c r="A9" t="inlineStr">
        <is>
          <t>Option strike</t>
        </is>
      </c>
      <c r="B9" s="3" t="n">
        <v>1</v>
      </c>
      <c r="C9" t="inlineStr">
        <is>
          <t>USD</t>
        </is>
      </c>
      <c r="D9" t="inlineStr">
        <is>
          <t>Option exercise price</t>
        </is>
      </c>
    </row>
    <row r="10">
      <c r="A10" s="1" t="inlineStr">
        <is>
          <t>EXIT SCENARIOS</t>
        </is>
      </c>
      <c r="B10" s="2" t="n"/>
      <c r="C10" s="2" t="n"/>
      <c r="D10" s="2" t="n"/>
    </row>
    <row r="11">
      <c r="A11" t="inlineStr">
        <is>
          <t>Exit 1</t>
        </is>
      </c>
      <c r="B11" s="3" t="n">
        <v>700000000</v>
      </c>
      <c r="C11" t="inlineStr">
        <is>
          <t>USD</t>
        </is>
      </c>
      <c r="D11" t="inlineStr"/>
    </row>
    <row r="12">
      <c r="A12" t="inlineStr">
        <is>
          <t>Exit 2</t>
        </is>
      </c>
      <c r="B12" s="3" t="n">
        <v>1200000000</v>
      </c>
      <c r="C12" t="inlineStr">
        <is>
          <t>USD</t>
        </is>
      </c>
      <c r="D12" t="inlineStr"/>
    </row>
    <row r="13">
      <c r="A13" t="inlineStr">
        <is>
          <t>Exit 3 (sensitivity)</t>
        </is>
      </c>
      <c r="B13" s="3" t="n">
        <v>2000000000</v>
      </c>
      <c r="C13" t="inlineStr">
        <is>
          <t>USD</t>
        </is>
      </c>
      <c r="D13" t="inlineStr"/>
    </row>
    <row r="14">
      <c r="A14" t="inlineStr">
        <is>
          <t>Exit 4</t>
        </is>
      </c>
      <c r="B14" s="3" t="n">
        <v>4000000000</v>
      </c>
      <c r="C14" t="inlineStr">
        <is>
          <t>USD</t>
        </is>
      </c>
      <c r="D14" t="inlineStr"/>
    </row>
    <row r="15">
      <c r="A15" t="inlineStr">
        <is>
          <t>Exit 5</t>
        </is>
      </c>
      <c r="B15" s="3" t="n">
        <v>8000000000</v>
      </c>
      <c r="C15" t="inlineStr">
        <is>
          <t>USD</t>
        </is>
      </c>
      <c r="D15" t="inlineStr"/>
    </row>
    <row r="16">
      <c r="A16" s="1" t="inlineStr">
        <is>
          <t>PRIOR-ROUND OCPs (for AD)</t>
        </is>
      </c>
      <c r="B16" s="2" t="n"/>
      <c r="C16" s="2" t="n"/>
      <c r="D16" s="2" t="n"/>
    </row>
    <row r="17">
      <c r="A17" t="inlineStr">
        <is>
          <t>Seed OCP</t>
        </is>
      </c>
      <c r="B17" s="6" t="n">
        <v>1</v>
      </c>
      <c r="C17" t="inlineStr">
        <is>
          <t>USD/share</t>
        </is>
      </c>
      <c r="D17" t="inlineStr"/>
    </row>
    <row r="18">
      <c r="A18" t="inlineStr">
        <is>
          <t>A OCP</t>
        </is>
      </c>
      <c r="B18" s="6" t="n">
        <v>3</v>
      </c>
      <c r="C18" t="inlineStr">
        <is>
          <t>USD/share</t>
        </is>
      </c>
      <c r="D18" t="inlineStr"/>
    </row>
    <row r="19">
      <c r="A19" t="inlineStr">
        <is>
          <t>B OCP</t>
        </is>
      </c>
      <c r="B19" s="6" t="n">
        <v>10</v>
      </c>
      <c r="C19" t="inlineStr">
        <is>
          <t>USD/share</t>
        </is>
      </c>
      <c r="D19" t="inlineStr"/>
    </row>
    <row r="20">
      <c r="A20" t="inlineStr">
        <is>
          <t>C OCP</t>
        </is>
      </c>
      <c r="B20" s="6" t="n">
        <v>25</v>
      </c>
      <c r="C20" t="inlineStr">
        <is>
          <t>USD/share</t>
        </is>
      </c>
      <c r="D20" t="inlineStr"/>
    </row>
    <row r="21">
      <c r="A21" t="inlineStr">
        <is>
          <t>D OCP (post-E NCP)</t>
        </is>
      </c>
      <c r="B21" s="6" t="n">
        <v>58.118347</v>
      </c>
      <c r="C21" t="inlineStr">
        <is>
          <t>USD/share</t>
        </is>
      </c>
      <c r="D21" t="inlineStr">
        <is>
          <t>D's effective OCP for F's AD = post-E NCP $58.118347</t>
        </is>
      </c>
    </row>
    <row r="22">
      <c r="A22" t="inlineStr">
        <is>
          <t>D original OCP</t>
        </is>
      </c>
      <c r="B22" s="6" t="n">
        <v>60</v>
      </c>
      <c r="C22" t="inlineStr">
        <is>
          <t>USD/share</t>
        </is>
      </c>
      <c r="D22" t="inlineStr">
        <is>
          <t>D original $60 — used for compound v3·v4 ratio</t>
        </is>
      </c>
    </row>
    <row r="23">
      <c r="A23" t="inlineStr">
        <is>
          <t>E OCP</t>
        </is>
      </c>
      <c r="B23" s="6" t="n">
        <v>49.158311</v>
      </c>
      <c r="C23" t="inlineStr">
        <is>
          <t>USD/share</t>
        </is>
      </c>
      <c r="D23" t="inlineStr"/>
    </row>
    <row r="24">
      <c r="A24" s="1" t="inlineStr">
        <is>
          <t>PRIOR-ROUND ORIGINAL INVESTMENTS</t>
        </is>
      </c>
      <c r="B24" s="2" t="n"/>
      <c r="C24" s="2" t="n"/>
      <c r="D24" s="2" t="n"/>
    </row>
    <row r="25">
      <c r="A25" t="inlineStr">
        <is>
          <t>Seed invested</t>
        </is>
      </c>
      <c r="B25" s="3" t="n">
        <v>5000000</v>
      </c>
      <c r="C25" t="inlineStr">
        <is>
          <t>USD</t>
        </is>
      </c>
      <c r="D25" t="inlineStr"/>
    </row>
    <row r="26">
      <c r="A26" t="inlineStr">
        <is>
          <t>A invested</t>
        </is>
      </c>
      <c r="B26" s="3" t="n">
        <v>15000000</v>
      </c>
      <c r="C26" t="inlineStr">
        <is>
          <t>USD</t>
        </is>
      </c>
      <c r="D26" t="inlineStr"/>
    </row>
    <row r="27">
      <c r="A27" t="inlineStr">
        <is>
          <t>B invested</t>
        </is>
      </c>
      <c r="B27" s="3" t="n">
        <v>30000000</v>
      </c>
      <c r="C27" t="inlineStr">
        <is>
          <t>USD</t>
        </is>
      </c>
      <c r="D27" t="inlineStr"/>
    </row>
    <row r="28">
      <c r="A28" t="inlineStr">
        <is>
          <t>C invested</t>
        </is>
      </c>
      <c r="B28" s="3" t="n">
        <v>60000000</v>
      </c>
      <c r="C28" t="inlineStr">
        <is>
          <t>USD</t>
        </is>
      </c>
      <c r="D28" t="inlineStr"/>
    </row>
    <row r="29">
      <c r="A29" t="inlineStr">
        <is>
          <t>D invested</t>
        </is>
      </c>
      <c r="B29" s="3" t="n">
        <v>100000000</v>
      </c>
      <c r="C29" t="inlineStr">
        <is>
          <t>USD</t>
        </is>
      </c>
      <c r="D29" t="inlineStr"/>
    </row>
    <row r="30">
      <c r="A30" t="inlineStr">
        <is>
          <t>E invested</t>
        </is>
      </c>
      <c r="B30" s="3" t="n">
        <v>300000000</v>
      </c>
      <c r="C30" t="inlineStr">
        <is>
          <t>USD</t>
        </is>
      </c>
      <c r="D30" t="inlineStr"/>
    </row>
    <row r="31">
      <c r="A31" s="1" t="inlineStr">
        <is>
          <t>PRIOR-ROUND SHARE COUNTS (pre-F)</t>
        </is>
      </c>
      <c r="B31" s="2" t="n"/>
      <c r="C31" s="2" t="n"/>
      <c r="D31" s="2" t="n"/>
    </row>
    <row r="32">
      <c r="A32" t="inlineStr">
        <is>
          <t>Seed shares</t>
        </is>
      </c>
      <c r="B32" s="7" t="n">
        <v>5000000</v>
      </c>
      <c r="C32" t="inlineStr">
        <is>
          <t>shares</t>
        </is>
      </c>
      <c r="D32" t="inlineStr"/>
    </row>
    <row r="33">
      <c r="A33" t="inlineStr">
        <is>
          <t>A shares</t>
        </is>
      </c>
      <c r="B33" s="7" t="n">
        <v>5000000</v>
      </c>
      <c r="C33" t="inlineStr">
        <is>
          <t>shares</t>
        </is>
      </c>
      <c r="D33" t="inlineStr"/>
    </row>
    <row r="34">
      <c r="A34" t="inlineStr">
        <is>
          <t>B shares</t>
        </is>
      </c>
      <c r="B34" s="7" t="n">
        <v>3000000</v>
      </c>
      <c r="C34" t="inlineStr">
        <is>
          <t>shares</t>
        </is>
      </c>
      <c r="D34" t="inlineStr"/>
    </row>
    <row r="35">
      <c r="A35" t="inlineStr">
        <is>
          <t>C shares</t>
        </is>
      </c>
      <c r="B35" s="7" t="n">
        <v>2400000</v>
      </c>
      <c r="C35" t="inlineStr">
        <is>
          <t>shares</t>
        </is>
      </c>
      <c r="D35" t="inlineStr"/>
    </row>
    <row r="36">
      <c r="A36" t="inlineStr">
        <is>
          <t>D original shares</t>
        </is>
      </c>
      <c r="B36" s="7" t="n">
        <v>1666667</v>
      </c>
      <c r="C36" t="inlineStr">
        <is>
          <t>shares</t>
        </is>
      </c>
      <c r="D36" t="inlineStr">
        <is>
          <t>Issued at $60</t>
        </is>
      </c>
    </row>
    <row r="37">
      <c r="A37" t="inlineStr">
        <is>
          <t>D post-E shares</t>
        </is>
      </c>
      <c r="B37" s="7" t="n">
        <v>1720627</v>
      </c>
      <c r="C37" t="inlineStr">
        <is>
          <t>shares</t>
        </is>
      </c>
      <c r="D37" t="inlineStr">
        <is>
          <t>Reflects E-round AD (v3)</t>
        </is>
      </c>
    </row>
    <row r="38">
      <c r="A38" t="inlineStr">
        <is>
          <t>E shares</t>
        </is>
      </c>
      <c r="B38" s="7" t="n">
        <v>6102667</v>
      </c>
      <c r="C38" t="inlineStr">
        <is>
          <t>shares</t>
        </is>
      </c>
      <c r="D38" t="inlineStr">
        <is>
          <t>10x 610,267 + 1x 610,264</t>
        </is>
      </c>
    </row>
    <row r="39">
      <c r="A39" s="1" t="inlineStr">
        <is>
          <t>FOUNDERS / RSAs / OPTIONS</t>
        </is>
      </c>
      <c r="B39" s="2" t="n"/>
      <c r="C39" s="2" t="n"/>
      <c r="D39" s="2" t="n"/>
    </row>
    <row r="40">
      <c r="A40" t="inlineStr">
        <is>
          <t>Founder F1 (CEO) common</t>
        </is>
      </c>
      <c r="B40" s="7" t="n">
        <v>4000000</v>
      </c>
      <c r="C40" t="inlineStr">
        <is>
          <t>shares</t>
        </is>
      </c>
      <c r="D40" t="inlineStr">
        <is>
          <t>50% of founders</t>
        </is>
      </c>
    </row>
    <row r="41">
      <c r="A41" t="inlineStr">
        <is>
          <t>Founder F2 (CTO) common</t>
        </is>
      </c>
      <c r="B41" s="7" t="n">
        <v>2500000</v>
      </c>
      <c r="C41" t="inlineStr">
        <is>
          <t>shares</t>
        </is>
      </c>
      <c r="D41" t="inlineStr">
        <is>
          <t>31.25% of founders</t>
        </is>
      </c>
    </row>
    <row r="42">
      <c r="A42" t="inlineStr">
        <is>
          <t>Founder F3 (CSO) common</t>
        </is>
      </c>
      <c r="B42" s="7" t="n">
        <v>1500000</v>
      </c>
      <c r="C42" t="inlineStr">
        <is>
          <t>shares</t>
        </is>
      </c>
      <c r="D42" t="inlineStr">
        <is>
          <t>18.75% of founders</t>
        </is>
      </c>
    </row>
    <row r="43">
      <c r="A43" t="inlineStr">
        <is>
          <t>RSAs (10 employees x 100k)</t>
        </is>
      </c>
      <c r="B43" s="7" t="n">
        <v>1000000</v>
      </c>
      <c r="C43" t="inlineStr">
        <is>
          <t>shares</t>
        </is>
      </c>
      <c r="D43" t="inlineStr"/>
    </row>
    <row r="44">
      <c r="A44" t="inlineStr">
        <is>
          <t>Issued options (pre-F)</t>
        </is>
      </c>
      <c r="B44" s="7" t="n">
        <v>2500000</v>
      </c>
      <c r="C44" t="inlineStr">
        <is>
          <t>shares</t>
        </is>
      </c>
      <c r="D44" t="inlineStr"/>
    </row>
    <row r="45">
      <c r="A45" t="inlineStr">
        <is>
          <t>Unissued options (pre-F existing)</t>
        </is>
      </c>
      <c r="B45" s="7" t="n">
        <v>1894667</v>
      </c>
      <c r="C45" t="inlineStr">
        <is>
          <t>shares</t>
        </is>
      </c>
      <c r="D45" t="inlineStr"/>
    </row>
    <row r="46">
      <c r="A46" t="inlineStr">
        <is>
          <t>Pre-F option pool total</t>
        </is>
      </c>
      <c r="B46" s="7" t="n">
        <v>4394667</v>
      </c>
      <c r="C46" t="inlineStr">
        <is>
          <t>shares</t>
        </is>
      </c>
      <c r="D46" t="inlineStr">
        <is>
          <t>issued + unissued</t>
        </is>
      </c>
    </row>
    <row r="47">
      <c r="A47" t="inlineStr">
        <is>
          <t>Pre-F FD total</t>
        </is>
      </c>
      <c r="B47" s="7" t="n">
        <v>36617961</v>
      </c>
      <c r="C47" t="inlineStr">
        <is>
          <t>shares</t>
        </is>
      </c>
      <c r="D47" t="inlineStr">
        <is>
          <t>Broad-based FD; AD denominator A</t>
        </is>
      </c>
    </row>
    <row r="48">
      <c r="A48" t="inlineStr">
        <is>
          <t>Founder pro-rata F1</t>
        </is>
      </c>
      <c r="B48" s="4" t="n">
        <v>0.5</v>
      </c>
      <c r="C48" t="inlineStr">
        <is>
          <t>fraction</t>
        </is>
      </c>
      <c r="D48" t="inlineStr"/>
    </row>
    <row r="49">
      <c r="A49" t="inlineStr">
        <is>
          <t>Founder pro-rata F2</t>
        </is>
      </c>
      <c r="B49" s="4" t="n">
        <v>0.3125</v>
      </c>
      <c r="C49" t="inlineStr">
        <is>
          <t>fraction</t>
        </is>
      </c>
      <c r="D49" t="inlineStr"/>
    </row>
    <row r="50">
      <c r="A50" t="inlineStr">
        <is>
          <t>Founder pro-rata F3</t>
        </is>
      </c>
      <c r="B50" s="4" t="n">
        <v>0.1875</v>
      </c>
      <c r="C50" t="inlineStr">
        <is>
          <t>fraction</t>
        </is>
      </c>
      <c r="D50" t="inlineStr"/>
    </row>
    <row r="51">
      <c r="A51" s="1" t="inlineStr">
        <is>
          <t>CONVERTIBLE NOTES</t>
        </is>
      </c>
      <c r="B51" s="2" t="n"/>
      <c r="C51" s="2" t="n"/>
      <c r="D51" s="2" t="n"/>
    </row>
    <row r="52">
      <c r="A52" t="inlineStr">
        <is>
          <t>Note A principal</t>
        </is>
      </c>
      <c r="B52" s="3" t="n">
        <v>5000000</v>
      </c>
      <c r="C52" t="inlineStr">
        <is>
          <t>USD</t>
        </is>
      </c>
      <c r="D52" t="inlineStr"/>
    </row>
    <row r="53">
      <c r="A53" t="inlineStr">
        <is>
          <t>Note A cap</t>
        </is>
      </c>
      <c r="B53" s="3" t="n">
        <v>1000000000</v>
      </c>
      <c r="C53" t="inlineStr">
        <is>
          <t>USD</t>
        </is>
      </c>
      <c r="D53" t="inlineStr"/>
    </row>
    <row r="54">
      <c r="A54" t="inlineStr">
        <is>
          <t>Note A discount</t>
        </is>
      </c>
      <c r="B54" s="4" t="n">
        <v>0.2</v>
      </c>
      <c r="C54" t="inlineStr">
        <is>
          <t>fraction</t>
        </is>
      </c>
      <c r="D54" t="inlineStr"/>
    </row>
    <row r="55">
      <c r="A55" t="inlineStr">
        <is>
          <t>Note B principal</t>
        </is>
      </c>
      <c r="B55" s="3" t="n">
        <v>3000000</v>
      </c>
      <c r="C55" t="inlineStr">
        <is>
          <t>USD</t>
        </is>
      </c>
      <c r="D55" t="inlineStr"/>
    </row>
    <row r="56">
      <c r="A56" t="inlineStr">
        <is>
          <t>Note B cap</t>
        </is>
      </c>
      <c r="B56" s="3" t="n">
        <v>1600000000</v>
      </c>
      <c r="C56" t="inlineStr">
        <is>
          <t>USD</t>
        </is>
      </c>
      <c r="D56" t="inlineStr"/>
    </row>
    <row r="57">
      <c r="A57" t="inlineStr">
        <is>
          <t>Note B discount</t>
        </is>
      </c>
      <c r="B57" s="4" t="n">
        <v>0.15</v>
      </c>
      <c r="C57" t="inlineStr">
        <is>
          <t>fraction</t>
        </is>
      </c>
      <c r="D57" t="inlineStr"/>
    </row>
    <row r="58">
      <c r="A58" s="1" t="inlineStr">
        <is>
          <t>BROAD-BASED WA AD INPUTS</t>
        </is>
      </c>
      <c r="B58" s="2" t="n"/>
      <c r="C58" s="2" t="n"/>
      <c r="D58" s="2" t="n"/>
    </row>
    <row r="59">
      <c r="A59" t="inlineStr">
        <is>
          <t>AD denominator A (pre-F broad-based FD)</t>
        </is>
      </c>
      <c r="B59" s="7" t="n">
        <v>36617961</v>
      </c>
      <c r="C59" t="inlineStr">
        <is>
          <t>shares</t>
        </is>
      </c>
      <c r="D59" t="inlineStr">
        <is>
          <t>Per spec</t>
        </is>
      </c>
    </row>
    <row r="60">
      <c r="A60" t="inlineStr">
        <is>
          <t>AD investment in F primary (per-class B,C input)</t>
        </is>
      </c>
      <c r="B60" s="3" t="n">
        <v>30000000</v>
      </c>
      <c r="C60" t="inlineStr">
        <is>
          <t>USD</t>
        </is>
      </c>
      <c r="D60" t="inlineStr">
        <is>
          <t>B = $30M/OCP, C = $30M/F_PPS</t>
        </is>
      </c>
    </row>
    <row r="61">
      <c r="A61" s="1" t="inlineStr">
        <is>
          <t>SENSITIVITY GRID AXES</t>
        </is>
      </c>
      <c r="B61" s="2" t="n"/>
      <c r="C61" s="2" t="n"/>
      <c r="D61" s="2" t="n"/>
    </row>
    <row r="62">
      <c r="A62" t="inlineStr">
        <is>
          <t>ESOP low</t>
        </is>
      </c>
      <c r="B62" s="5" t="n">
        <v>0.11</v>
      </c>
      <c r="C62" t="inlineStr">
        <is>
          <t>fraction</t>
        </is>
      </c>
      <c r="D62" t="inlineStr"/>
    </row>
    <row r="63">
      <c r="A63" t="inlineStr">
        <is>
          <t>ESOP base</t>
        </is>
      </c>
      <c r="B63" s="5" t="n">
        <v>0.13</v>
      </c>
      <c r="C63" t="inlineStr">
        <is>
          <t>fraction</t>
        </is>
      </c>
      <c r="D63" t="inlineStr"/>
    </row>
    <row r="64">
      <c r="A64" t="inlineStr">
        <is>
          <t>ESOP high</t>
        </is>
      </c>
      <c r="B64" s="5" t="n">
        <v>0.15</v>
      </c>
      <c r="C64" t="inlineStr">
        <is>
          <t>fraction</t>
        </is>
      </c>
      <c r="D64" t="inlineStr"/>
    </row>
    <row r="65">
      <c r="A65" t="inlineStr">
        <is>
          <t>Pre-money low</t>
        </is>
      </c>
      <c r="B65" s="3" t="n">
        <v>1200000000</v>
      </c>
      <c r="C65" t="inlineStr">
        <is>
          <t>USD</t>
        </is>
      </c>
      <c r="D65" t="inlineStr"/>
    </row>
    <row r="66">
      <c r="A66" t="inlineStr">
        <is>
          <t>Pre-money base</t>
        </is>
      </c>
      <c r="B66" s="3" t="n">
        <v>1400000000</v>
      </c>
      <c r="C66" t="inlineStr">
        <is>
          <t>USD</t>
        </is>
      </c>
      <c r="D66" t="inlineStr"/>
    </row>
    <row r="67">
      <c r="A67" t="inlineStr">
        <is>
          <t>Pre-money high</t>
        </is>
      </c>
      <c r="B67" s="3" t="n">
        <v>1800000000</v>
      </c>
      <c r="C67" t="inlineStr">
        <is>
          <t>USD</t>
        </is>
      </c>
      <c r="D67" t="inlineStr"/>
    </row>
    <row r="68">
      <c r="A68" s="1" t="inlineStr">
        <is>
          <t>RETURN-SOLVER TARGETS</t>
        </is>
      </c>
      <c r="B68" s="2" t="n"/>
      <c r="C68" s="2" t="n"/>
      <c r="D68" s="2" t="n"/>
    </row>
    <row r="69">
      <c r="A69" t="inlineStr">
        <is>
          <t>3x multiple</t>
        </is>
      </c>
      <c r="B69" s="4" t="n">
        <v>3</v>
      </c>
      <c r="C69" t="inlineStr"/>
      <c r="D69" t="inlineStr"/>
    </row>
    <row r="70">
      <c r="A70" t="inlineStr">
        <is>
          <t>4x multiple</t>
        </is>
      </c>
      <c r="B70" s="4" t="n">
        <v>4</v>
      </c>
      <c r="C70" t="inlineStr"/>
      <c r="D70" t="inlineStr"/>
    </row>
    <row r="71">
      <c r="A71" s="1" t="inlineStr">
        <is>
          <t>SOLVED FIXED POINT (BASE CASE — derived in Python; output tabs read these)</t>
        </is>
      </c>
      <c r="B71" s="2" t="n"/>
      <c r="C71" s="2" t="n"/>
      <c r="D71" s="2" t="n"/>
    </row>
    <row r="72">
      <c r="A72" s="8" t="inlineStr">
        <is>
          <t>F PPS</t>
        </is>
      </c>
      <c r="B72" s="9" t="n">
        <v>37.30002129962976</v>
      </c>
      <c r="C72" s="8" t="inlineStr">
        <is>
          <t>USD/share</t>
        </is>
      </c>
      <c r="D72" s="8" t="inlineStr">
        <is>
          <t>Fixed-point: pre_money / pre_money_FD</t>
        </is>
      </c>
    </row>
    <row r="73">
      <c r="A73" s="8" t="inlineStr">
        <is>
          <t>Pre-money FD</t>
        </is>
      </c>
      <c r="B73" s="10" t="n">
        <v>37533490.63138193</v>
      </c>
      <c r="C73" s="8" t="inlineStr">
        <is>
          <t>shares</t>
        </is>
      </c>
      <c r="D73" s="8" t="inlineStr">
        <is>
          <t>preF_FD + dESOP + dD + dE + NA_sh + NB_sh</t>
        </is>
      </c>
    </row>
    <row r="74">
      <c r="A74" s="8" t="inlineStr">
        <is>
          <t>Post-F FD (T_F)</t>
        </is>
      </c>
      <c r="B74" s="10" t="n">
        <v>38337779.71634011</v>
      </c>
      <c r="C74" s="8" t="inlineStr">
        <is>
          <t>shares</t>
        </is>
      </c>
      <c r="D74" s="8" t="inlineStr">
        <is>
          <t>Pre-money FD + primary/F_PPS</t>
        </is>
      </c>
    </row>
    <row r="75">
      <c r="A75" s="8" t="inlineStr">
        <is>
          <t>ESOP top-up shares</t>
        </is>
      </c>
      <c r="B75" s="10" t="n">
        <v>589244.3631151915</v>
      </c>
      <c r="C75" s="8" t="inlineStr">
        <is>
          <t>shares</t>
        </is>
      </c>
      <c r="D75" s="8" t="inlineStr">
        <is>
          <t>max(0, esop_target*T_F - preF_pool)</t>
        </is>
      </c>
    </row>
    <row r="76">
      <c r="A76" s="8" t="inlineStr">
        <is>
          <t>NCP D (v4)</t>
        </is>
      </c>
      <c r="B76" s="9" t="n">
        <v>57.67091393304949</v>
      </c>
      <c r="C76" s="8" t="inlineStr">
        <is>
          <t>USD/share</t>
        </is>
      </c>
      <c r="D76" s="8" t="inlineStr">
        <is>
          <t>D OCP * (A+B)/(A+C)</t>
        </is>
      </c>
    </row>
    <row r="77">
      <c r="A77" s="8" t="inlineStr">
        <is>
          <t>D post-F as-converted shares</t>
        </is>
      </c>
      <c r="B77" s="10" t="n">
        <v>1733976.682181431</v>
      </c>
      <c r="C77" s="8" t="inlineStr">
        <is>
          <t>shares</t>
        </is>
      </c>
      <c r="D77" s="8" t="inlineStr">
        <is>
          <t>D_orig_sh * 60 / NCP_D</t>
        </is>
      </c>
    </row>
    <row r="78">
      <c r="A78" s="8" t="inlineStr">
        <is>
          <t>NCP E (v4)</t>
        </is>
      </c>
      <c r="B78" s="9" t="n">
        <v>48.90344944169047</v>
      </c>
      <c r="C78" s="8" t="inlineStr">
        <is>
          <t>USD/share</t>
        </is>
      </c>
      <c r="D78" s="8" t="inlineStr">
        <is>
          <t>E OCP * (A+B)/(A+C)</t>
        </is>
      </c>
    </row>
    <row r="79">
      <c r="A79" s="8" t="inlineStr">
        <is>
          <t>E post-F as-converted shares</t>
        </is>
      </c>
      <c r="B79" s="10" t="n">
        <v>6134471.202755035</v>
      </c>
      <c r="C79" s="8" t="inlineStr">
        <is>
          <t>shares</t>
        </is>
      </c>
      <c r="D79" s="8" t="inlineStr">
        <is>
          <t>E_sh * E_OCP / NCP_E</t>
        </is>
      </c>
    </row>
    <row r="80">
      <c r="A80" s="8" t="inlineStr">
        <is>
          <t>Note A cap-implied PPS</t>
        </is>
      </c>
      <c r="B80" s="9" t="n">
        <v>26.80833793187843</v>
      </c>
      <c r="C80" s="8" t="inlineStr">
        <is>
          <t>USD/share</t>
        </is>
      </c>
      <c r="D80" s="8" t="inlineStr">
        <is>
          <t>$1B / FD-at-conv (incl ESOP, Note B; excl AD, F)</t>
        </is>
      </c>
    </row>
    <row r="81">
      <c r="A81" s="8" t="inlineStr">
        <is>
          <t>Note A discount-implied PPS</t>
        </is>
      </c>
      <c r="B81" s="9" t="n">
        <v>29.84001703983932</v>
      </c>
      <c r="C81" s="8" t="inlineStr">
        <is>
          <t>USD/share</t>
        </is>
      </c>
      <c r="D81" s="8" t="inlineStr">
        <is>
          <t>F_PPS * (1-0.20)</t>
        </is>
      </c>
    </row>
    <row r="82">
      <c r="A82" s="8" t="inlineStr">
        <is>
          <t>Note A conversion PPS</t>
        </is>
      </c>
      <c r="B82" s="9" t="n">
        <v>26.80833793187843</v>
      </c>
      <c r="C82" s="8" t="inlineStr">
        <is>
          <t>USD/share</t>
        </is>
      </c>
      <c r="D82" s="8" t="inlineStr">
        <is>
          <t>min(cap, discount)</t>
        </is>
      </c>
    </row>
    <row r="83">
      <c r="A83" s="8" t="inlineStr">
        <is>
          <t>Note A shares</t>
        </is>
      </c>
      <c r="B83" s="10" t="n">
        <v>186509.138041504</v>
      </c>
      <c r="C83" s="8" t="inlineStr">
        <is>
          <t>shares</t>
        </is>
      </c>
      <c r="D83" s="8" t="inlineStr">
        <is>
          <t>$5M / conv_pps_A</t>
        </is>
      </c>
    </row>
    <row r="84">
      <c r="A84" s="8" t="inlineStr">
        <is>
          <t>Note B cap-implied PPS</t>
        </is>
      </c>
      <c r="B84" s="9" t="n">
        <v>42.78793966706193</v>
      </c>
      <c r="C84" s="8" t="inlineStr">
        <is>
          <t>USD/share</t>
        </is>
      </c>
      <c r="D84" s="8" t="inlineStr">
        <is>
          <t>$1.6B / FD-at-conv (incl ESOP, Note A; excl AD, F)</t>
        </is>
      </c>
    </row>
    <row r="85">
      <c r="A85" s="8" t="inlineStr">
        <is>
          <t>Note B discount-implied PPS</t>
        </is>
      </c>
      <c r="B85" s="9" t="n">
        <v>31.70501810482927</v>
      </c>
      <c r="C85" s="8" t="inlineStr">
        <is>
          <t>USD/share</t>
        </is>
      </c>
      <c r="D85" s="8" t="inlineStr">
        <is>
          <t>F_PPS * (1-0.15)</t>
        </is>
      </c>
    </row>
    <row r="86">
      <c r="A86" s="8" t="inlineStr">
        <is>
          <t>Note B conversion PPS</t>
        </is>
      </c>
      <c r="B86" s="9" t="n">
        <v>31.70501810482927</v>
      </c>
      <c r="C86" s="8" t="inlineStr">
        <is>
          <t>USD/share</t>
        </is>
      </c>
      <c r="D86" s="8" t="inlineStr">
        <is>
          <t>min(cap, discount)</t>
        </is>
      </c>
    </row>
    <row r="87">
      <c r="A87" s="8" t="inlineStr">
        <is>
          <t>Note B shares</t>
        </is>
      </c>
      <c r="B87" s="10" t="n">
        <v>94622.24528876845</v>
      </c>
      <c r="C87" s="8" t="inlineStr">
        <is>
          <t>shares</t>
        </is>
      </c>
      <c r="D87" s="8" t="inlineStr">
        <is>
          <t>$3M / conv_pps_B</t>
        </is>
      </c>
    </row>
    <row r="88">
      <c r="A88" s="8" t="inlineStr">
        <is>
          <t>F primary shares</t>
        </is>
      </c>
      <c r="B88" s="10" t="n">
        <v>804289.0849581842</v>
      </c>
      <c r="C88" s="8" t="inlineStr">
        <is>
          <t>shares</t>
        </is>
      </c>
      <c r="D88" s="8" t="inlineStr">
        <is>
          <t>$30M / F_PPS</t>
        </is>
      </c>
    </row>
    <row r="89">
      <c r="A89" s="8" t="inlineStr">
        <is>
          <t>Tender PPS</t>
        </is>
      </c>
      <c r="B89" s="9" t="n">
        <v>31.7050181046853</v>
      </c>
      <c r="C89" s="8" t="inlineStr">
        <is>
          <t>USD/share</t>
        </is>
      </c>
      <c r="D89" s="8" t="inlineStr">
        <is>
          <t>0.85 * F_PPS</t>
        </is>
      </c>
    </row>
    <row r="90">
      <c r="A90" s="8" t="inlineStr">
        <is>
          <t>Tender shares</t>
        </is>
      </c>
      <c r="B90" s="10" t="n">
        <v>473111.2264459907</v>
      </c>
      <c r="C90" s="8" t="inlineStr">
        <is>
          <t>shares</t>
        </is>
      </c>
      <c r="D90" s="8" t="inlineStr">
        <is>
          <t>$15M / tender_pps</t>
        </is>
      </c>
    </row>
    <row r="91">
      <c r="A91" s="1" t="inlineStr">
        <is>
          <t>SOLVED EQUILIBRIUM PER EXIT (waterfall pool &amp; total prefs paid)</t>
        </is>
      </c>
      <c r="B91" s="2" t="n"/>
      <c r="C91" s="2" t="n"/>
      <c r="D91" s="2" t="n"/>
    </row>
    <row r="92">
      <c r="A92" s="8" t="inlineStr">
        <is>
          <t>exit1: total prefs paid</t>
        </is>
      </c>
      <c r="B92" s="11" t="n">
        <v>520000000</v>
      </c>
      <c r="C92" s="8" t="inlineStr">
        <is>
          <t>USD</t>
        </is>
      </c>
      <c r="D92" s="8" t="inlineStr"/>
    </row>
    <row r="93">
      <c r="A93" s="8" t="inlineStr">
        <is>
          <t>exit1: convert pool (excl options)</t>
        </is>
      </c>
      <c r="B93" s="10" t="n">
        <v>19281131.38333027</v>
      </c>
      <c r="C93" s="8" t="inlineStr">
        <is>
          <t>shares</t>
        </is>
      </c>
      <c r="D93" s="8" t="inlineStr"/>
    </row>
    <row r="94">
      <c r="A94" s="8" t="inlineStr">
        <is>
          <t>exit1: options in pool flag</t>
        </is>
      </c>
      <c r="B94" s="10" t="n">
        <v>1</v>
      </c>
      <c r="C94" s="8" t="inlineStr">
        <is>
          <t>0/1</t>
        </is>
      </c>
      <c r="D94" s="8" t="inlineStr"/>
    </row>
    <row r="95">
      <c r="A95" s="8" t="inlineStr">
        <is>
          <t>exit1: per-share PPS at exit</t>
        </is>
      </c>
      <c r="B95" s="9" t="n">
        <v>8.378811770065926</v>
      </c>
      <c r="C95" s="8" t="inlineStr">
        <is>
          <t>USD/share</t>
        </is>
      </c>
      <c r="D95" s="8" t="inlineStr"/>
    </row>
    <row r="96">
      <c r="A96" s="8" t="inlineStr">
        <is>
          <t>exit2: total prefs paid</t>
        </is>
      </c>
      <c r="B96" s="11" t="n">
        <v>430000000</v>
      </c>
      <c r="C96" s="8" t="inlineStr">
        <is>
          <t>USD</t>
        </is>
      </c>
      <c r="D96" s="8" t="inlineStr"/>
    </row>
    <row r="97">
      <c r="A97" s="8" t="inlineStr">
        <is>
          <t>exit2: convert pool (excl options)</t>
        </is>
      </c>
      <c r="B97" s="10" t="n">
        <v>24681131.38333027</v>
      </c>
      <c r="C97" s="8" t="inlineStr">
        <is>
          <t>shares</t>
        </is>
      </c>
      <c r="D97" s="8" t="inlineStr"/>
    </row>
    <row r="98">
      <c r="A98" s="8" t="inlineStr">
        <is>
          <t>exit2: options in pool flag</t>
        </is>
      </c>
      <c r="B98" s="10" t="n">
        <v>1</v>
      </c>
      <c r="C98" s="8" t="inlineStr">
        <is>
          <t>0/1</t>
        </is>
      </c>
      <c r="D98" s="8" t="inlineStr"/>
    </row>
    <row r="99">
      <c r="A99" s="8" t="inlineStr">
        <is>
          <t>exit2: per-share PPS at exit</t>
        </is>
      </c>
      <c r="B99" s="9" t="n">
        <v>28.42045053627757</v>
      </c>
      <c r="C99" s="8" t="inlineStr">
        <is>
          <t>USD/share</t>
        </is>
      </c>
      <c r="D99" s="8" t="inlineStr"/>
    </row>
    <row r="100">
      <c r="A100" s="8" t="inlineStr">
        <is>
          <t>exit3: total prefs paid</t>
        </is>
      </c>
      <c r="B100" s="11" t="n">
        <v>100000000</v>
      </c>
      <c r="C100" s="8" t="inlineStr">
        <is>
          <t>USD</t>
        </is>
      </c>
      <c r="D100" s="8" t="inlineStr"/>
    </row>
    <row r="101">
      <c r="A101" s="8" t="inlineStr">
        <is>
          <t>exit3: convert pool (excl options)</t>
        </is>
      </c>
      <c r="B101" s="10" t="n">
        <v>31619891.67104349</v>
      </c>
      <c r="C101" s="8" t="inlineStr">
        <is>
          <t>shares</t>
        </is>
      </c>
      <c r="D101" s="8" t="inlineStr"/>
    </row>
    <row r="102">
      <c r="A102" s="8" t="inlineStr">
        <is>
          <t>exit3: options in pool flag</t>
        </is>
      </c>
      <c r="B102" s="10" t="n">
        <v>1</v>
      </c>
      <c r="C102" s="8" t="inlineStr">
        <is>
          <t>0/1</t>
        </is>
      </c>
      <c r="D102" s="8" t="inlineStr"/>
    </row>
    <row r="103">
      <c r="A103" s="8" t="inlineStr">
        <is>
          <t>exit3: per-share PPS at exit</t>
        </is>
      </c>
      <c r="B103" s="9" t="n">
        <v>55.75926261262411</v>
      </c>
      <c r="C103" s="8" t="inlineStr">
        <is>
          <t>USD/share</t>
        </is>
      </c>
      <c r="D103" s="8" t="inlineStr"/>
    </row>
    <row r="104">
      <c r="A104" s="8" t="inlineStr">
        <is>
          <t>exit4: total prefs paid</t>
        </is>
      </c>
      <c r="B104" s="11" t="n">
        <v>0</v>
      </c>
      <c r="C104" s="8" t="inlineStr">
        <is>
          <t>USD</t>
        </is>
      </c>
      <c r="D104" s="8" t="inlineStr"/>
    </row>
    <row r="105">
      <c r="A105" s="8" t="inlineStr">
        <is>
          <t>exit4: convert pool (excl options)</t>
        </is>
      </c>
      <c r="B105" s="10" t="n">
        <v>33353868.35322492</v>
      </c>
      <c r="C105" s="8" t="inlineStr">
        <is>
          <t>shares</t>
        </is>
      </c>
      <c r="D105" s="8" t="inlineStr"/>
    </row>
    <row r="106">
      <c r="A106" s="8" t="inlineStr">
        <is>
          <t>exit4: options in pool flag</t>
        </is>
      </c>
      <c r="B106" s="10" t="n">
        <v>1</v>
      </c>
      <c r="C106" s="8" t="inlineStr">
        <is>
          <t>0/1</t>
        </is>
      </c>
      <c r="D106" s="8" t="inlineStr"/>
    </row>
    <row r="107">
      <c r="A107" s="8" t="inlineStr">
        <is>
          <t>exit4: per-share PPS at exit</t>
        </is>
      </c>
      <c r="B107" s="9" t="n">
        <v>111.6337004578752</v>
      </c>
      <c r="C107" s="8" t="inlineStr">
        <is>
          <t>USD/share</t>
        </is>
      </c>
      <c r="D107" s="8" t="inlineStr"/>
    </row>
    <row r="108">
      <c r="A108" s="8" t="inlineStr">
        <is>
          <t>exit5: total prefs paid</t>
        </is>
      </c>
      <c r="B108" s="11" t="n">
        <v>0</v>
      </c>
      <c r="C108" s="8" t="inlineStr">
        <is>
          <t>USD</t>
        </is>
      </c>
      <c r="D108" s="8" t="inlineStr"/>
    </row>
    <row r="109">
      <c r="A109" s="8" t="inlineStr">
        <is>
          <t>exit5: convert pool (excl options)</t>
        </is>
      </c>
      <c r="B109" s="10" t="n">
        <v>33353868.35322492</v>
      </c>
      <c r="C109" s="8" t="inlineStr">
        <is>
          <t>shares</t>
        </is>
      </c>
      <c r="D109" s="8" t="inlineStr"/>
    </row>
    <row r="110">
      <c r="A110" s="8" t="inlineStr">
        <is>
          <t>exit5: options in pool flag</t>
        </is>
      </c>
      <c r="B110" s="10" t="n">
        <v>1</v>
      </c>
      <c r="C110" s="8" t="inlineStr">
        <is>
          <t>0/1</t>
        </is>
      </c>
      <c r="D110" s="8" t="inlineStr"/>
    </row>
    <row r="111">
      <c r="A111" s="8" t="inlineStr">
        <is>
          <t>exit5: per-share PPS at exit</t>
        </is>
      </c>
      <c r="B111" s="9" t="n">
        <v>223.1976734326411</v>
      </c>
      <c r="C111" s="8" t="inlineStr">
        <is>
          <t>USD/share</t>
        </is>
      </c>
      <c r="D111" s="8" t="inlineStr"/>
    </row>
    <row r="112">
      <c r="A112" s="1" t="inlineStr">
        <is>
          <t>SOLVED PER SENSITIVITY CELL ($2B exit)</t>
        </is>
      </c>
      <c r="B112" s="2" t="n"/>
      <c r="C112" s="2" t="n"/>
      <c r="D112" s="2" t="n"/>
    </row>
    <row r="113">
      <c r="A113" s="8" t="inlineStr">
        <is>
          <t>e11_p12: F_PPS</t>
        </is>
      </c>
      <c r="B113" s="9" t="n">
        <v>32.44129498711462</v>
      </c>
      <c r="C113" s="8" t="inlineStr">
        <is>
          <t>USD/share</t>
        </is>
      </c>
      <c r="D113" s="8" t="inlineStr">
        <is>
          <t>esop=11% pre=$1.2B</t>
        </is>
      </c>
    </row>
    <row r="114">
      <c r="A114" s="8" t="inlineStr">
        <is>
          <t>e11_p12: T_F</t>
        </is>
      </c>
      <c r="B114" s="10" t="n">
        <v>37914639.36592373</v>
      </c>
      <c r="C114" s="8" t="inlineStr">
        <is>
          <t>shares</t>
        </is>
      </c>
      <c r="D114" s="8" t="inlineStr"/>
    </row>
    <row r="115">
      <c r="A115" s="8" t="inlineStr">
        <is>
          <t>e11_p12: F class proceeds @$2B</t>
        </is>
      </c>
      <c r="B115" s="11" t="n">
        <v>51321776.07670534</v>
      </c>
      <c r="C115" s="8" t="inlineStr">
        <is>
          <t>USD</t>
        </is>
      </c>
      <c r="D115" s="8" t="inlineStr"/>
    </row>
    <row r="116">
      <c r="A116" s="8" t="inlineStr">
        <is>
          <t>e11_p12: Note A branch ('cap'|'discount')</t>
        </is>
      </c>
      <c r="B116" s="8" t="inlineStr">
        <is>
          <t>discount</t>
        </is>
      </c>
      <c r="C116" s="8" t="inlineStr"/>
      <c r="D116" s="8" t="inlineStr"/>
    </row>
    <row r="117">
      <c r="A117" s="8" t="inlineStr">
        <is>
          <t>e11_p12: Note B branch ('cap'|'discount')</t>
        </is>
      </c>
      <c r="B117" s="8" t="inlineStr">
        <is>
          <t>discount</t>
        </is>
      </c>
      <c r="C117" s="8" t="inlineStr"/>
      <c r="D117" s="8" t="inlineStr"/>
    </row>
    <row r="118">
      <c r="A118" s="8" t="inlineStr">
        <is>
          <t>e11_p14: F_PPS</t>
        </is>
      </c>
      <c r="B118" s="9" t="n">
        <v>37.90226970838842</v>
      </c>
      <c r="C118" s="8" t="inlineStr">
        <is>
          <t>USD/share</t>
        </is>
      </c>
      <c r="D118" s="8" t="inlineStr">
        <is>
          <t>esop=11% pre=$1.4B</t>
        </is>
      </c>
    </row>
    <row r="119">
      <c r="A119" s="8" t="inlineStr">
        <is>
          <t>e11_p14: T_F</t>
        </is>
      </c>
      <c r="B119" s="10" t="n">
        <v>37728611.26792933</v>
      </c>
      <c r="C119" s="8" t="inlineStr">
        <is>
          <t>shares</t>
        </is>
      </c>
      <c r="D119" s="8" t="inlineStr"/>
    </row>
    <row r="120">
      <c r="A120" s="8" t="inlineStr">
        <is>
          <t>e11_p14: F class proceeds @$2B</t>
        </is>
      </c>
      <c r="B120" s="11" t="n">
        <v>44158996.40945745</v>
      </c>
      <c r="C120" s="8" t="inlineStr">
        <is>
          <t>USD</t>
        </is>
      </c>
      <c r="D120" s="8" t="inlineStr"/>
    </row>
    <row r="121">
      <c r="A121" s="8" t="inlineStr">
        <is>
          <t>e11_p14: Note A branch ('cap'|'discount')</t>
        </is>
      </c>
      <c r="B121" s="8" t="inlineStr">
        <is>
          <t>cap</t>
        </is>
      </c>
      <c r="C121" s="8" t="inlineStr"/>
      <c r="D121" s="8" t="inlineStr"/>
    </row>
    <row r="122">
      <c r="A122" s="8" t="inlineStr">
        <is>
          <t>e11_p14: Note B branch ('cap'|'discount')</t>
        </is>
      </c>
      <c r="B122" s="8" t="inlineStr">
        <is>
          <t>discount</t>
        </is>
      </c>
      <c r="C122" s="8" t="inlineStr"/>
      <c r="D122" s="8" t="inlineStr"/>
    </row>
    <row r="123">
      <c r="A123" s="8" t="inlineStr">
        <is>
          <t>e11_p18: F_PPS</t>
        </is>
      </c>
      <c r="B123" s="9" t="n">
        <v>48.8082591858887</v>
      </c>
      <c r="C123" s="8" t="inlineStr">
        <is>
          <t>USD/share</t>
        </is>
      </c>
      <c r="D123" s="8" t="inlineStr">
        <is>
          <t>esop=11% pre=$1.8B</t>
        </is>
      </c>
    </row>
    <row r="124">
      <c r="A124" s="8" t="inlineStr">
        <is>
          <t>e11_p18: T_F</t>
        </is>
      </c>
      <c r="B124" s="10" t="n">
        <v>37493654.36350339</v>
      </c>
      <c r="C124" s="8" t="inlineStr">
        <is>
          <t>shares</t>
        </is>
      </c>
      <c r="D124" s="8" t="inlineStr"/>
    </row>
    <row r="125">
      <c r="A125" s="8" t="inlineStr">
        <is>
          <t>e11_p18: F class proceeds @$2B</t>
        </is>
      </c>
      <c r="B125" s="11" t="n">
        <v>34521424.842916</v>
      </c>
      <c r="C125" s="8" t="inlineStr">
        <is>
          <t>USD</t>
        </is>
      </c>
      <c r="D125" s="8" t="inlineStr"/>
    </row>
    <row r="126">
      <c r="A126" s="8" t="inlineStr">
        <is>
          <t>e11_p18: Note A branch ('cap'|'discount')</t>
        </is>
      </c>
      <c r="B126" s="8" t="inlineStr">
        <is>
          <t>cap</t>
        </is>
      </c>
      <c r="C126" s="8" t="inlineStr"/>
      <c r="D126" s="8" t="inlineStr"/>
    </row>
    <row r="127">
      <c r="A127" s="8" t="inlineStr">
        <is>
          <t>e11_p18: Note B branch ('cap'|'discount')</t>
        </is>
      </c>
      <c r="B127" s="8" t="inlineStr">
        <is>
          <t>discount</t>
        </is>
      </c>
      <c r="C127" s="8" t="inlineStr"/>
      <c r="D127" s="8" t="inlineStr"/>
    </row>
    <row r="128">
      <c r="A128" s="8" t="inlineStr">
        <is>
          <t>e13_p12: F_PPS</t>
        </is>
      </c>
      <c r="B128" s="9" t="n">
        <v>31.90136759115685</v>
      </c>
      <c r="C128" s="8" t="inlineStr">
        <is>
          <t>USD/share</t>
        </is>
      </c>
      <c r="D128" s="8" t="inlineStr">
        <is>
          <t>esop=13% pre=$1.2B</t>
        </is>
      </c>
    </row>
    <row r="129">
      <c r="A129" s="8" t="inlineStr">
        <is>
          <t>e13_p12: T_F</t>
        </is>
      </c>
      <c r="B129" s="10" t="n">
        <v>38556340.77395979</v>
      </c>
      <c r="C129" s="8" t="inlineStr">
        <is>
          <t>shares</t>
        </is>
      </c>
      <c r="D129" s="8" t="inlineStr"/>
    </row>
    <row r="130">
      <c r="A130" s="8" t="inlineStr">
        <is>
          <t>e13_p12: F class proceeds @$2B</t>
        </is>
      </c>
      <c r="B130" s="11" t="n">
        <v>52154914.06299599</v>
      </c>
      <c r="C130" s="8" t="inlineStr">
        <is>
          <t>USD</t>
        </is>
      </c>
      <c r="D130" s="8" t="inlineStr"/>
    </row>
    <row r="131">
      <c r="A131" s="8" t="inlineStr">
        <is>
          <t>e13_p12: Note A branch ('cap'|'discount')</t>
        </is>
      </c>
      <c r="B131" s="8" t="inlineStr">
        <is>
          <t>discount</t>
        </is>
      </c>
      <c r="C131" s="8" t="inlineStr"/>
      <c r="D131" s="8" t="inlineStr"/>
    </row>
    <row r="132">
      <c r="A132" s="8" t="inlineStr">
        <is>
          <t>e13_p12: Note B branch ('cap'|'discount')</t>
        </is>
      </c>
      <c r="B132" s="8" t="inlineStr">
        <is>
          <t>discount</t>
        </is>
      </c>
      <c r="C132" s="8" t="inlineStr"/>
      <c r="D132" s="8" t="inlineStr"/>
    </row>
    <row r="133">
      <c r="A133" s="8" t="inlineStr">
        <is>
          <t>e13_p14: F_PPS</t>
        </is>
      </c>
      <c r="B133" s="9" t="n">
        <v>37.30002129962976</v>
      </c>
      <c r="C133" s="8" t="inlineStr">
        <is>
          <t>USD/share</t>
        </is>
      </c>
      <c r="D133" s="8" t="inlineStr">
        <is>
          <t>esop=13% pre=$1.4B</t>
        </is>
      </c>
    </row>
    <row r="134">
      <c r="A134" s="8" t="inlineStr">
        <is>
          <t>e13_p14: T_F</t>
        </is>
      </c>
      <c r="B134" s="10" t="n">
        <v>38337779.71634011</v>
      </c>
      <c r="C134" s="8" t="inlineStr">
        <is>
          <t>shares</t>
        </is>
      </c>
      <c r="D134" s="8" t="inlineStr"/>
    </row>
    <row r="135">
      <c r="A135" s="8" t="inlineStr">
        <is>
          <t>e13_p14: F class proceeds @$2B</t>
        </is>
      </c>
      <c r="B135" s="11" t="n">
        <v>44846566.30465053</v>
      </c>
      <c r="C135" s="8" t="inlineStr">
        <is>
          <t>USD</t>
        </is>
      </c>
      <c r="D135" s="8" t="inlineStr"/>
    </row>
    <row r="136">
      <c r="A136" s="8" t="inlineStr">
        <is>
          <t>e13_p14: Note A branch ('cap'|'discount')</t>
        </is>
      </c>
      <c r="B136" s="8" t="inlineStr">
        <is>
          <t>cap</t>
        </is>
      </c>
      <c r="C136" s="8" t="inlineStr"/>
      <c r="D136" s="8" t="inlineStr"/>
    </row>
    <row r="137">
      <c r="A137" s="8" t="inlineStr">
        <is>
          <t>e13_p14: Note B branch ('cap'|'discount')</t>
        </is>
      </c>
      <c r="B137" s="8" t="inlineStr">
        <is>
          <t>discount</t>
        </is>
      </c>
      <c r="C137" s="8" t="inlineStr"/>
      <c r="D137" s="8" t="inlineStr"/>
    </row>
    <row r="138">
      <c r="A138" s="8" t="inlineStr">
        <is>
          <t>e13_p18: F_PPS</t>
        </is>
      </c>
      <c r="B138" s="9" t="n">
        <v>48.07916299508941</v>
      </c>
      <c r="C138" s="8" t="inlineStr">
        <is>
          <t>USD/share</t>
        </is>
      </c>
      <c r="D138" s="8" t="inlineStr">
        <is>
          <t>esop=13% pre=$1.8B</t>
        </is>
      </c>
    </row>
    <row r="139">
      <c r="A139" s="8" t="inlineStr">
        <is>
          <t>e13_p18: T_F</t>
        </is>
      </c>
      <c r="B139" s="10" t="n">
        <v>38062226.66952226</v>
      </c>
      <c r="C139" s="8" t="inlineStr">
        <is>
          <t>shares</t>
        </is>
      </c>
      <c r="D139" s="8" t="inlineStr"/>
    </row>
    <row r="140">
      <c r="A140" s="8" t="inlineStr">
        <is>
          <t>e13_p18: F class proceeds @$2B</t>
        </is>
      </c>
      <c r="B140" s="11" t="n">
        <v>35029704.60425989</v>
      </c>
      <c r="C140" s="8" t="inlineStr">
        <is>
          <t>USD</t>
        </is>
      </c>
      <c r="D140" s="8" t="inlineStr"/>
    </row>
    <row r="141">
      <c r="A141" s="8" t="inlineStr">
        <is>
          <t>e13_p18: Note A branch ('cap'|'discount')</t>
        </is>
      </c>
      <c r="B141" s="8" t="inlineStr">
        <is>
          <t>cap</t>
        </is>
      </c>
      <c r="C141" s="8" t="inlineStr"/>
      <c r="D141" s="8" t="inlineStr"/>
    </row>
    <row r="142">
      <c r="A142" s="8" t="inlineStr">
        <is>
          <t>e13_p18: Note B branch ('cap'|'discount')</t>
        </is>
      </c>
      <c r="B142" s="8" t="inlineStr">
        <is>
          <t>discount</t>
        </is>
      </c>
      <c r="C142" s="8" t="inlineStr"/>
      <c r="D142" s="8" t="inlineStr"/>
    </row>
    <row r="143">
      <c r="A143" s="8" t="inlineStr">
        <is>
          <t>e15_p12: F_PPS</t>
        </is>
      </c>
      <c r="B143" s="9" t="n">
        <v>31.13499662415474</v>
      </c>
      <c r="C143" s="8" t="inlineStr">
        <is>
          <t>USD/share</t>
        </is>
      </c>
      <c r="D143" s="8" t="inlineStr">
        <is>
          <t>esop=15% pre=$1.2B</t>
        </is>
      </c>
    </row>
    <row r="144">
      <c r="A144" s="8" t="inlineStr">
        <is>
          <t>e15_p12: T_F</t>
        </is>
      </c>
      <c r="B144" s="10" t="n">
        <v>39505384.08106836</v>
      </c>
      <c r="C144" s="8" t="inlineStr">
        <is>
          <t>shares</t>
        </is>
      </c>
      <c r="D144" s="8" t="inlineStr"/>
    </row>
    <row r="145">
      <c r="A145" s="8" t="inlineStr">
        <is>
          <t>e15_p12: F class proceeds @$2B</t>
        </is>
      </c>
      <c r="B145" s="11" t="n">
        <v>53385007.9203727</v>
      </c>
      <c r="C145" s="8" t="inlineStr">
        <is>
          <t>USD</t>
        </is>
      </c>
      <c r="D145" s="8" t="inlineStr"/>
    </row>
    <row r="146">
      <c r="A146" s="8" t="inlineStr">
        <is>
          <t>e15_p12: Note A branch ('cap'|'discount')</t>
        </is>
      </c>
      <c r="B146" s="8" t="inlineStr">
        <is>
          <t>discount</t>
        </is>
      </c>
      <c r="C146" s="8" t="inlineStr"/>
      <c r="D146" s="8" t="inlineStr"/>
    </row>
    <row r="147">
      <c r="A147" s="8" t="inlineStr">
        <is>
          <t>e15_p12: Note B branch ('cap'|'discount')</t>
        </is>
      </c>
      <c r="B147" s="8" t="inlineStr">
        <is>
          <t>discount</t>
        </is>
      </c>
      <c r="C147" s="8" t="inlineStr"/>
      <c r="D147" s="8" t="inlineStr"/>
    </row>
    <row r="148">
      <c r="A148" s="8" t="inlineStr">
        <is>
          <t>e15_p14: F_PPS</t>
        </is>
      </c>
      <c r="B148" s="9" t="n">
        <v>36.40905428475176</v>
      </c>
      <c r="C148" s="8" t="inlineStr">
        <is>
          <t>USD/share</t>
        </is>
      </c>
      <c r="D148" s="8" t="inlineStr">
        <is>
          <t>esop=15% pre=$1.4B</t>
        </is>
      </c>
    </row>
    <row r="149">
      <c r="A149" s="8" t="inlineStr">
        <is>
          <t>e15_p14: T_F</t>
        </is>
      </c>
      <c r="B149" s="10" t="n">
        <v>39275944.62674327</v>
      </c>
      <c r="C149" s="8" t="inlineStr">
        <is>
          <t>shares</t>
        </is>
      </c>
      <c r="D149" s="8" t="inlineStr"/>
    </row>
    <row r="150">
      <c r="A150" s="8" t="inlineStr">
        <is>
          <t>e15_p14: F class proceeds @$2B</t>
        </is>
      </c>
      <c r="B150" s="11" t="n">
        <v>45903952.67077714</v>
      </c>
      <c r="C150" s="8" t="inlineStr">
        <is>
          <t>USD</t>
        </is>
      </c>
      <c r="D150" s="8" t="inlineStr"/>
    </row>
    <row r="151">
      <c r="A151" s="8" t="inlineStr">
        <is>
          <t>e15_p14: Note A branch ('cap'|'discount')</t>
        </is>
      </c>
      <c r="B151" s="8" t="inlineStr">
        <is>
          <t>cap</t>
        </is>
      </c>
      <c r="C151" s="8" t="inlineStr"/>
      <c r="D151" s="8" t="inlineStr"/>
    </row>
    <row r="152">
      <c r="A152" s="8" t="inlineStr">
        <is>
          <t>e15_p14: Note B branch ('cap'|'discount')</t>
        </is>
      </c>
      <c r="B152" s="8" t="inlineStr">
        <is>
          <t>discount</t>
        </is>
      </c>
      <c r="C152" s="8" t="inlineStr"/>
      <c r="D152" s="8" t="inlineStr"/>
    </row>
    <row r="153">
      <c r="A153" s="8" t="inlineStr">
        <is>
          <t>e15_p18: F_PPS</t>
        </is>
      </c>
      <c r="B153" s="9" t="n">
        <v>46.93897443759938</v>
      </c>
      <c r="C153" s="8" t="inlineStr">
        <is>
          <t>USD/share</t>
        </is>
      </c>
      <c r="D153" s="8" t="inlineStr">
        <is>
          <t>esop=15% pre=$1.8B</t>
        </is>
      </c>
    </row>
    <row r="154">
      <c r="A154" s="8" t="inlineStr">
        <is>
          <t>e15_p18: T_F</t>
        </is>
      </c>
      <c r="B154" s="10" t="n">
        <v>38986791.29499943</v>
      </c>
      <c r="C154" s="8" t="inlineStr">
        <is>
          <t>shares</t>
        </is>
      </c>
      <c r="D154" s="8" t="inlineStr"/>
    </row>
    <row r="155">
      <c r="A155" s="8" t="inlineStr">
        <is>
          <t>e15_p18: F class proceeds @$2B</t>
        </is>
      </c>
      <c r="B155" s="11" t="n">
        <v>35855284.53508249</v>
      </c>
      <c r="C155" s="8" t="inlineStr">
        <is>
          <t>USD</t>
        </is>
      </c>
      <c r="D155" s="8" t="inlineStr"/>
    </row>
    <row r="156">
      <c r="A156" s="8" t="inlineStr">
        <is>
          <t>e15_p18: Note A branch ('cap'|'discount')</t>
        </is>
      </c>
      <c r="B156" s="8" t="inlineStr">
        <is>
          <t>cap</t>
        </is>
      </c>
      <c r="C156" s="8" t="inlineStr"/>
      <c r="D156" s="8" t="inlineStr"/>
    </row>
    <row r="157">
      <c r="A157" s="8" t="inlineStr">
        <is>
          <t>e15_p18: Note B branch ('cap'|'discount')</t>
        </is>
      </c>
      <c r="B157" s="8" t="inlineStr">
        <is>
          <t>discount</t>
        </is>
      </c>
      <c r="C157" s="8" t="inlineStr"/>
      <c r="D157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POST-F CAP TABLE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2" t="inlineStr">
        <is>
          <t>Stakeholder</t>
        </is>
      </c>
      <c r="B2" s="12" t="inlineStr">
        <is>
          <t>Common (post-tender)</t>
        </is>
      </c>
      <c r="C2" s="12" t="inlineStr">
        <is>
          <t>Preferred class</t>
        </is>
      </c>
      <c r="D2" s="12" t="inlineStr">
        <is>
          <t>Preferred shares</t>
        </is>
      </c>
      <c r="E2" s="12" t="inlineStr">
        <is>
          <t>As-converted</t>
        </is>
      </c>
      <c r="F2" s="12" t="inlineStr">
        <is>
          <t>% of post-F FD</t>
        </is>
      </c>
      <c r="G2" s="12" t="inlineStr">
        <is>
          <t>Notes</t>
        </is>
      </c>
    </row>
    <row r="3">
      <c r="A3" t="inlineStr">
        <is>
          <t>F1 (CEO)</t>
        </is>
      </c>
      <c r="B3" s="7">
        <f>Assumptions!$B$40-Assumptions!$B$48*Assumptions!$B$90</f>
        <v/>
      </c>
      <c r="C3" t="inlineStr"/>
      <c r="E3" s="7">
        <f>B3</f>
        <v/>
      </c>
      <c r="F3" s="13">
        <f>E3/Assumptions!$B$74</f>
        <v/>
      </c>
      <c r="G3" t="inlineStr">
        <is>
          <t>pro-rata of tender to F_LEAD</t>
        </is>
      </c>
    </row>
    <row r="4">
      <c r="A4" t="inlineStr">
        <is>
          <t>F2 (CTO)</t>
        </is>
      </c>
      <c r="B4" s="7">
        <f>Assumptions!$B$41-Assumptions!$B$49*Assumptions!$B$90</f>
        <v/>
      </c>
      <c r="C4" t="inlineStr"/>
      <c r="E4" s="7">
        <f>B4</f>
        <v/>
      </c>
      <c r="F4" s="13">
        <f>E4/Assumptions!$B$74</f>
        <v/>
      </c>
      <c r="G4" t="inlineStr"/>
    </row>
    <row r="5">
      <c r="A5" t="inlineStr">
        <is>
          <t>F3 (CSO)</t>
        </is>
      </c>
      <c r="B5" s="7">
        <f>Assumptions!$B$42-Assumptions!$B$50*Assumptions!$B$90</f>
        <v/>
      </c>
      <c r="C5" t="inlineStr"/>
      <c r="E5" s="7">
        <f>B5</f>
        <v/>
      </c>
      <c r="F5" s="13">
        <f>E5/Assumptions!$B$74</f>
        <v/>
      </c>
      <c r="G5" t="inlineStr"/>
    </row>
    <row r="6">
      <c r="A6" t="inlineStr">
        <is>
          <t>RSAs (employees)</t>
        </is>
      </c>
      <c r="B6" s="7">
        <f>Assumptions!$B$43</f>
        <v/>
      </c>
      <c r="C6" t="inlineStr"/>
      <c r="E6" s="7">
        <f>B6</f>
        <v/>
      </c>
      <c r="F6" s="13">
        <f>E6/Assumptions!$B$74</f>
        <v/>
      </c>
      <c r="G6" t="inlineStr"/>
    </row>
    <row r="7">
      <c r="A7" t="inlineStr">
        <is>
          <t>Seed preferred</t>
        </is>
      </c>
      <c r="C7" t="inlineStr">
        <is>
          <t>Seed</t>
        </is>
      </c>
      <c r="D7" s="7">
        <f>Assumptions!$B$32</f>
        <v/>
      </c>
      <c r="E7" s="7">
        <f>D7</f>
        <v/>
      </c>
      <c r="F7" s="13">
        <f>E7/Assumptions!$B$74</f>
        <v/>
      </c>
      <c r="G7" t="inlineStr">
        <is>
          <t>Seed AD dormant</t>
        </is>
      </c>
    </row>
    <row r="8">
      <c r="A8" t="inlineStr">
        <is>
          <t>Series A preferred</t>
        </is>
      </c>
      <c r="C8" t="inlineStr">
        <is>
          <t>A</t>
        </is>
      </c>
      <c r="D8" s="7">
        <f>Assumptions!$B$33</f>
        <v/>
      </c>
      <c r="E8" s="7">
        <f>D8</f>
        <v/>
      </c>
      <c r="F8" s="13">
        <f>E8/Assumptions!$B$74</f>
        <v/>
      </c>
      <c r="G8" t="inlineStr">
        <is>
          <t>A AD dormant</t>
        </is>
      </c>
    </row>
    <row r="9">
      <c r="A9" t="inlineStr">
        <is>
          <t>Series B preferred</t>
        </is>
      </c>
      <c r="C9" t="inlineStr">
        <is>
          <t>B</t>
        </is>
      </c>
      <c r="D9" s="7">
        <f>Assumptions!$B$34</f>
        <v/>
      </c>
      <c r="E9" s="7">
        <f>D9</f>
        <v/>
      </c>
      <c r="F9" s="13">
        <f>E9/Assumptions!$B$74</f>
        <v/>
      </c>
      <c r="G9" t="inlineStr">
        <is>
          <t>B AD dormant</t>
        </is>
      </c>
    </row>
    <row r="10">
      <c r="A10" t="inlineStr">
        <is>
          <t>Series C preferred</t>
        </is>
      </c>
      <c r="C10" t="inlineStr">
        <is>
          <t>C</t>
        </is>
      </c>
      <c r="D10" s="7">
        <f>Assumptions!$B$35</f>
        <v/>
      </c>
      <c r="E10" s="7">
        <f>D10</f>
        <v/>
      </c>
      <c r="F10" s="13">
        <f>E10/Assumptions!$B$74</f>
        <v/>
      </c>
      <c r="G10" t="inlineStr">
        <is>
          <t>C AD dormant</t>
        </is>
      </c>
    </row>
    <row r="11">
      <c r="A11" t="inlineStr">
        <is>
          <t>Series D preferred</t>
        </is>
      </c>
      <c r="C11" t="inlineStr">
        <is>
          <t>D</t>
        </is>
      </c>
      <c r="D11" s="7">
        <f>Assumptions!$B$77</f>
        <v/>
      </c>
      <c r="E11" s="7">
        <f>D11</f>
        <v/>
      </c>
      <c r="F11" s="13">
        <f>E11/Assumptions!$B$74</f>
        <v/>
      </c>
      <c r="G11" t="inlineStr">
        <is>
          <t>D AD triggered: see AD block</t>
        </is>
      </c>
    </row>
    <row r="12">
      <c r="A12" t="inlineStr">
        <is>
          <t>Series E preferred</t>
        </is>
      </c>
      <c r="C12" t="inlineStr">
        <is>
          <t>E</t>
        </is>
      </c>
      <c r="D12" s="7">
        <f>Assumptions!$B$79</f>
        <v/>
      </c>
      <c r="E12" s="7">
        <f>D12</f>
        <v/>
      </c>
      <c r="F12" s="13">
        <f>E12/Assumptions!$B$74</f>
        <v/>
      </c>
      <c r="G12" t="inlineStr">
        <is>
          <t>E AD triggered: see AD block</t>
        </is>
      </c>
    </row>
    <row r="13">
      <c r="A13" t="inlineStr">
        <is>
          <t>F_LEAD Series F primary</t>
        </is>
      </c>
      <c r="C13" t="inlineStr">
        <is>
          <t>F</t>
        </is>
      </c>
      <c r="D13" s="7">
        <f>Assumptions!$B$8/Assumptions!$B$72</f>
        <v/>
      </c>
      <c r="E13" s="7">
        <f>D13</f>
        <v/>
      </c>
      <c r="F13" s="13">
        <f>E13/Assumptions!$B$74</f>
        <v/>
      </c>
      <c r="G13" t="inlineStr">
        <is>
          <t>$20M / F_PPS</t>
        </is>
      </c>
    </row>
    <row r="14">
      <c r="A14" t="inlineStr">
        <is>
          <t>F_LEAD secondary common</t>
        </is>
      </c>
      <c r="B14" s="7">
        <f>Assumptions!$B$90</f>
        <v/>
      </c>
      <c r="C14" t="inlineStr"/>
      <c r="E14" s="7">
        <f>B14</f>
        <v/>
      </c>
      <c r="F14" s="13">
        <f>E14/Assumptions!$B$74</f>
        <v/>
      </c>
      <c r="G14" t="inlineStr">
        <is>
          <t>$15M / tender_pps</t>
        </is>
      </c>
    </row>
    <row r="15">
      <c r="A15" t="inlineStr">
        <is>
          <t>Our fund Series F primary</t>
        </is>
      </c>
      <c r="C15" t="inlineStr">
        <is>
          <t>F</t>
        </is>
      </c>
      <c r="D15" s="7">
        <f>Assumptions!$B$7/Assumptions!$B$72</f>
        <v/>
      </c>
      <c r="E15" s="7">
        <f>D15</f>
        <v/>
      </c>
      <c r="F15" s="13">
        <f>E15/Assumptions!$B$74</f>
        <v/>
      </c>
      <c r="G15" t="inlineStr">
        <is>
          <t>$10M / F_PPS</t>
        </is>
      </c>
    </row>
    <row r="16">
      <c r="A16" t="inlineStr">
        <is>
          <t>Note A converted (NA1)</t>
        </is>
      </c>
      <c r="B16" s="7">
        <f>Assumptions!$B$83</f>
        <v/>
      </c>
      <c r="C16" t="inlineStr"/>
      <c r="E16" s="7">
        <f>B16</f>
        <v/>
      </c>
      <c r="F16" s="13">
        <f>E16/Assumptions!$B$74</f>
        <v/>
      </c>
      <c r="G16" t="inlineStr">
        <is>
          <t>common-equiv</t>
        </is>
      </c>
    </row>
    <row r="17">
      <c r="A17" t="inlineStr">
        <is>
          <t>Note B converted (NB1)</t>
        </is>
      </c>
      <c r="B17" s="7">
        <f>Assumptions!$B$87</f>
        <v/>
      </c>
      <c r="C17" t="inlineStr"/>
      <c r="E17" s="7">
        <f>B17</f>
        <v/>
      </c>
      <c r="F17" s="13">
        <f>E17/Assumptions!$B$74</f>
        <v/>
      </c>
      <c r="G17" t="inlineStr">
        <is>
          <t>common-equiv</t>
        </is>
      </c>
    </row>
    <row r="18">
      <c r="A18" t="inlineStr">
        <is>
          <t>Issued options</t>
        </is>
      </c>
      <c r="B18" s="7">
        <f>Assumptions!$B$44</f>
        <v/>
      </c>
      <c r="C18" t="inlineStr"/>
      <c r="E18" s="7">
        <f>B18</f>
        <v/>
      </c>
      <c r="F18" s="13">
        <f>E18/Assumptions!$B$74</f>
        <v/>
      </c>
      <c r="G18" t="inlineStr"/>
    </row>
    <row r="19">
      <c r="A19" t="inlineStr">
        <is>
          <t>Unissued options (incl ESOP top-up)</t>
        </is>
      </c>
      <c r="B19" s="7">
        <f>Assumptions!$B$45+Assumptions!$B$75</f>
        <v/>
      </c>
      <c r="C19" t="inlineStr"/>
      <c r="E19" s="7">
        <f>B19</f>
        <v/>
      </c>
      <c r="F19" s="13">
        <f>E19/Assumptions!$B$74</f>
        <v/>
      </c>
      <c r="G19" t="inlineStr">
        <is>
          <t>pre-existing + topup</t>
        </is>
      </c>
    </row>
    <row r="20">
      <c r="A20" s="14" t="inlineStr">
        <is>
          <t>Total post-F FD</t>
        </is>
      </c>
      <c r="E20" s="15">
        <f>SUM(E3:E19)</f>
        <v/>
      </c>
      <c r="F20" s="16">
        <f>E20/Assumptions!$B$74</f>
        <v/>
      </c>
    </row>
    <row r="22">
      <c r="A22" s="1" t="inlineStr">
        <is>
          <t>ANTI-DILUTION BLOCK (Broad-Based WA)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12" t="inlineStr">
        <is>
          <t>Class</t>
        </is>
      </c>
      <c r="B23" s="12" t="inlineStr">
        <is>
          <t>OCP for AD</t>
        </is>
      </c>
      <c r="C23" s="12" t="inlineStr">
        <is>
          <t>F_PPS</t>
        </is>
      </c>
      <c r="D23" s="12" t="inlineStr">
        <is>
          <t>Trigger (F_PPS&lt;OCP)</t>
        </is>
      </c>
      <c r="E23" s="12" t="inlineStr">
        <is>
          <t>New CP</t>
        </is>
      </c>
      <c r="F23" s="12" t="inlineStr">
        <is>
          <t>New ratio</t>
        </is>
      </c>
      <c r="G23" s="12" t="inlineStr">
        <is>
          <t>As-converted shares</t>
        </is>
      </c>
      <c r="H23" s="12" t="inlineStr">
        <is>
          <t>Notes</t>
        </is>
      </c>
    </row>
    <row r="24">
      <c r="A24" t="inlineStr">
        <is>
          <t>Seed</t>
        </is>
      </c>
      <c r="B24" s="6">
        <f>Assumptions!$B$17</f>
        <v/>
      </c>
      <c r="C24" s="6">
        <f>Assumptions!$B$72</f>
        <v/>
      </c>
      <c r="D24">
        <f>IF(Assumptions!$B$72&lt;Assumptions!$B$17,"TRIGGERED","dormant")</f>
        <v/>
      </c>
      <c r="E24" t="inlineStr">
        <is>
          <t>n/a (dormant)</t>
        </is>
      </c>
      <c r="F24" s="4" t="n">
        <v>1</v>
      </c>
      <c r="G24" s="7">
        <f>Assumptions!$B$32</f>
        <v/>
      </c>
      <c r="H24" t="inlineStr">
        <is>
          <t>F_PPS &gt; OCP — dormant</t>
        </is>
      </c>
    </row>
    <row r="25">
      <c r="A25" t="inlineStr">
        <is>
          <t>A</t>
        </is>
      </c>
      <c r="B25" s="6">
        <f>Assumptions!$B$18</f>
        <v/>
      </c>
      <c r="C25" s="6">
        <f>Assumptions!$B$72</f>
        <v/>
      </c>
      <c r="D25">
        <f>IF(Assumptions!$B$72&lt;Assumptions!$B$18,"TRIGGERED","dormant")</f>
        <v/>
      </c>
      <c r="E25" t="inlineStr">
        <is>
          <t>n/a (dormant)</t>
        </is>
      </c>
      <c r="F25" s="4" t="n">
        <v>1</v>
      </c>
      <c r="G25" s="7">
        <f>Assumptions!$B$33</f>
        <v/>
      </c>
      <c r="H25" t="inlineStr">
        <is>
          <t>dormant</t>
        </is>
      </c>
    </row>
    <row r="26">
      <c r="A26" t="inlineStr">
        <is>
          <t>B</t>
        </is>
      </c>
      <c r="B26" s="6">
        <f>Assumptions!$B$19</f>
        <v/>
      </c>
      <c r="C26" s="6">
        <f>Assumptions!$B$72</f>
        <v/>
      </c>
      <c r="D26">
        <f>IF(Assumptions!$B$72&lt;Assumptions!$B$19,"TRIGGERED","dormant")</f>
        <v/>
      </c>
      <c r="E26" t="inlineStr">
        <is>
          <t>n/a (dormant)</t>
        </is>
      </c>
      <c r="F26" s="4" t="n">
        <v>1</v>
      </c>
      <c r="G26" s="7">
        <f>Assumptions!$B$34</f>
        <v/>
      </c>
      <c r="H26" t="inlineStr">
        <is>
          <t>dormant</t>
        </is>
      </c>
    </row>
    <row r="27">
      <c r="A27" t="inlineStr">
        <is>
          <t>C</t>
        </is>
      </c>
      <c r="B27" s="6">
        <f>Assumptions!$B$20</f>
        <v/>
      </c>
      <c r="C27" s="6">
        <f>Assumptions!$B$72</f>
        <v/>
      </c>
      <c r="D27">
        <f>IF(Assumptions!$B$72&lt;Assumptions!$B$20,"TRIGGERED","dormant")</f>
        <v/>
      </c>
      <c r="E27" t="inlineStr">
        <is>
          <t>n/a (dormant)</t>
        </is>
      </c>
      <c r="F27" s="4" t="n">
        <v>1</v>
      </c>
      <c r="G27" s="7">
        <f>Assumptions!$B$35</f>
        <v/>
      </c>
      <c r="H27" t="inlineStr">
        <is>
          <t>dormant</t>
        </is>
      </c>
    </row>
    <row r="28">
      <c r="A28" t="inlineStr">
        <is>
          <t>D</t>
        </is>
      </c>
      <c r="B28" s="6">
        <f>Assumptions!$B$21</f>
        <v/>
      </c>
      <c r="C28" s="6">
        <f>Assumptions!$B$72</f>
        <v/>
      </c>
      <c r="D28">
        <f>IF(Assumptions!$B$72&lt;Assumptions!$B$21,"TRIGGERED","dormant")</f>
        <v/>
      </c>
      <c r="E28" s="6">
        <f>Assumptions!$B$21*(Assumptions!$B$59+Assumptions!$B$60/Assumptions!$B$21)/(Assumptions!$B$59+Assumptions!$B$60/Assumptions!$B$72)</f>
        <v/>
      </c>
      <c r="F28" s="4">
        <f>Assumptions!$B$22/(Assumptions!$B$21*(Assumptions!$B$59+Assumptions!$B$60/Assumptions!$B$21)/(Assumptions!$B$59+Assumptions!$B$60/Assumptions!$B$72))</f>
        <v/>
      </c>
      <c r="G28" s="7">
        <f>Assumptions!$B$36*Assumptions!$B$22/(Assumptions!$B$21*(Assumptions!$B$59+Assumptions!$B$60/Assumptions!$B$21)/(Assumptions!$B$59+Assumptions!$B$60/Assumptions!$B$72))</f>
        <v/>
      </c>
      <c r="H28" t="inlineStr">
        <is>
          <t>compound v3·v4 vs $60 OCP</t>
        </is>
      </c>
    </row>
    <row r="29">
      <c r="A29" t="inlineStr">
        <is>
          <t>E</t>
        </is>
      </c>
      <c r="B29" s="6">
        <f>Assumptions!$B$23</f>
        <v/>
      </c>
      <c r="C29" s="6">
        <f>Assumptions!$B$72</f>
        <v/>
      </c>
      <c r="D29">
        <f>IF(Assumptions!$B$72&lt;Assumptions!$B$23,"TRIGGERED","dormant")</f>
        <v/>
      </c>
      <c r="E29" s="6">
        <f>Assumptions!$B$23*(Assumptions!$B$59+Assumptions!$B$60/Assumptions!$B$23)/(Assumptions!$B$59+Assumptions!$B$60/Assumptions!$B$72)</f>
        <v/>
      </c>
      <c r="F29" s="4">
        <f>Assumptions!$B$23/(Assumptions!$B$23*(Assumptions!$B$59+Assumptions!$B$60/Assumptions!$B$23)/(Assumptions!$B$59+Assumptions!$B$60/Assumptions!$B$72))</f>
        <v/>
      </c>
      <c r="G29" s="7">
        <f>Assumptions!$B$38*Assumptions!$B$23/(Assumptions!$B$23*(Assumptions!$B$59+Assumptions!$B$60/Assumptions!$B$23)/(Assumptions!$B$59+Assumptions!$B$60/Assumptions!$B$72))</f>
        <v/>
      </c>
      <c r="H29" t="inlineStr">
        <is>
          <t>broad-based WA</t>
        </is>
      </c>
    </row>
    <row r="31">
      <c r="A31" s="1" t="inlineStr">
        <is>
          <t>NOTES CONVERSION BLOCK</t>
        </is>
      </c>
      <c r="B31" s="2" t="n"/>
      <c r="C31" s="2" t="n"/>
      <c r="D31" s="2" t="n"/>
      <c r="E31" s="2" t="n"/>
      <c r="F31" s="2" t="n"/>
      <c r="G31" s="2" t="n"/>
      <c r="H31" s="2" t="n"/>
    </row>
    <row r="32">
      <c r="A32" s="12" t="inlineStr">
        <is>
          <t>Note</t>
        </is>
      </c>
      <c r="B32" s="12" t="inlineStr">
        <is>
          <t>Cap-implied PPS</t>
        </is>
      </c>
      <c r="C32" s="12" t="inlineStr">
        <is>
          <t>Discount-implied PPS</t>
        </is>
      </c>
      <c r="D32" s="12" t="inlineStr">
        <is>
          <t>Conv PPS</t>
        </is>
      </c>
      <c r="E32" s="12" t="inlineStr">
        <is>
          <t>Branch</t>
        </is>
      </c>
      <c r="F32" s="12" t="inlineStr">
        <is>
          <t>Shares issued</t>
        </is>
      </c>
      <c r="G32" s="12" t="inlineStr">
        <is>
          <t>FD-at-conv</t>
        </is>
      </c>
      <c r="H32" s="12" t="inlineStr">
        <is>
          <t>Notes</t>
        </is>
      </c>
    </row>
    <row r="33">
      <c r="A33" t="inlineStr">
        <is>
          <t>Note A</t>
        </is>
      </c>
      <c r="B33" s="6">
        <f>Assumptions!$B$53/(Assumptions!$B$47+Assumptions!$B$75+Assumptions!$B$87)</f>
        <v/>
      </c>
      <c r="C33" s="6">
        <f>Assumptions!$B$72*(1-Assumptions!$B$54)</f>
        <v/>
      </c>
      <c r="D33" s="6">
        <f>MIN(B33,C33)</f>
        <v/>
      </c>
      <c r="E33">
        <f>IF(B33&lt;C33,"cap","discount")</f>
        <v/>
      </c>
      <c r="F33" s="7">
        <f>Assumptions!$B$52/D33</f>
        <v/>
      </c>
      <c r="G33" s="7">
        <f>(Assumptions!$B$47+Assumptions!$B$75+Assumptions!$B$87)</f>
        <v/>
      </c>
      <c r="H33" t="inlineStr">
        <is>
          <t>FD = preF_FD + dESOP + Note B shares</t>
        </is>
      </c>
    </row>
    <row r="34">
      <c r="A34" t="inlineStr">
        <is>
          <t>Note B</t>
        </is>
      </c>
      <c r="B34" s="6">
        <f>Assumptions!$B$56/(Assumptions!$B$47+Assumptions!$B$75+Assumptions!$B$83)</f>
        <v/>
      </c>
      <c r="C34" s="6">
        <f>Assumptions!$B$72*(1-Assumptions!$B$57)</f>
        <v/>
      </c>
      <c r="D34" s="6">
        <f>MIN(B34,C34)</f>
        <v/>
      </c>
      <c r="E34">
        <f>IF(B34&lt;C34,"cap","discount")</f>
        <v/>
      </c>
      <c r="F34" s="7">
        <f>Assumptions!$B$55/D34</f>
        <v/>
      </c>
      <c r="G34" s="7">
        <f>(Assumptions!$B$47+Assumptions!$B$75+Assumptions!$B$83)</f>
        <v/>
      </c>
      <c r="H34" t="inlineStr">
        <is>
          <t>FD = preF_FD + dESOP + Note A shares</t>
        </is>
      </c>
    </row>
    <row r="36">
      <c r="A36" s="1" t="inlineStr">
        <is>
          <t>TENDER BLOCK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12" t="inlineStr">
        <is>
          <t>Item</t>
        </is>
      </c>
      <c r="B37" s="12" t="inlineStr">
        <is>
          <t>Formula</t>
        </is>
      </c>
      <c r="C37" s="12" t="inlineStr">
        <is>
          <t>Value</t>
        </is>
      </c>
      <c r="D37" s="12" t="inlineStr">
        <is>
          <t>Notes</t>
        </is>
      </c>
    </row>
    <row r="38">
      <c r="A38" t="inlineStr">
        <is>
          <t>Tender PPS</t>
        </is>
      </c>
      <c r="B38">
        <f> 0.85 × F_PPS</f>
        <v/>
      </c>
      <c r="C38" s="6">
        <f>Assumptions!$B$5*Assumptions!$B$72</f>
        <v/>
      </c>
      <c r="D38" t="inlineStr">
        <is>
          <t>no new shares — secondary</t>
        </is>
      </c>
    </row>
    <row r="39">
      <c r="A39" t="inlineStr">
        <is>
          <t>Tender shares</t>
        </is>
      </c>
      <c r="B39">
        <f> $15M / tender PPS</f>
        <v/>
      </c>
      <c r="C39" s="7">
        <f>Assumptions!$B$4/(Assumptions!$B$5*Assumptions!$B$72)</f>
        <v/>
      </c>
      <c r="D39" t="inlineStr">
        <is>
          <t>shifted from founders to F_LEAD</t>
        </is>
      </c>
    </row>
    <row r="40">
      <c r="A40" t="inlineStr">
        <is>
          <t>F1 share-out (50%)</t>
        </is>
      </c>
      <c r="C40" s="7">
        <f>Assumptions!$B$48*Assumptions!$B$4/(Assumptions!$B$5*Assumptions!$B$72)</f>
        <v/>
      </c>
    </row>
    <row r="41">
      <c r="A41" t="inlineStr">
        <is>
          <t>F2 share-out (31.25%)</t>
        </is>
      </c>
      <c r="C41" s="7">
        <f>Assumptions!$B$49*Assumptions!$B$4/(Assumptions!$B$5*Assumptions!$B$72)</f>
        <v/>
      </c>
    </row>
    <row r="42">
      <c r="A42" t="inlineStr">
        <is>
          <t>F3 share-out (18.75%)</t>
        </is>
      </c>
      <c r="C42" s="7">
        <f>Assumptions!$B$50*Assumptions!$B$4/(Assumptions!$B$5*Assumptions!$B$72)</f>
        <v/>
      </c>
    </row>
    <row r="43">
      <c r="A43" t="inlineStr">
        <is>
          <t>F_LEAD secondary holding</t>
        </is>
      </c>
      <c r="C43" s="7">
        <f>Assumptions!$B$4/(Assumptions!$B$5*Assumptions!$B$72)</f>
        <v/>
      </c>
      <c r="D43">
        <f> tender shares (acquired from founders)</f>
        <v/>
      </c>
    </row>
    <row r="44">
      <c r="A44" t="inlineStr">
        <is>
          <t>F_LEAD primary holding</t>
        </is>
      </c>
      <c r="C44" s="7">
        <f>Assumptions!$B$8/Assumptions!$B$72</f>
        <v/>
      </c>
    </row>
    <row r="45">
      <c r="A45" t="inlineStr">
        <is>
          <t>F_LEAD total post-F holding</t>
        </is>
      </c>
      <c r="C45" s="7">
        <f>Assumptions!$B$8/Assumptions!$B$72+Assumptions!$B$4/(Assumptions!$B$5*Assumptions!$B$72)</f>
        <v/>
      </c>
      <c r="D45" t="inlineStr">
        <is>
          <t>primary preferred + secondary common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WATERFALL — five exits, 1× non-participating with conversion election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2" t="inlineStr">
        <is>
          <t>Class / Item</t>
        </is>
      </c>
      <c r="B2" s="17">
        <f>Assumptions!$B$11</f>
        <v/>
      </c>
      <c r="C2" s="17">
        <f>Assumptions!$B$12</f>
        <v/>
      </c>
      <c r="D2" s="17">
        <f>Assumptions!$B$13</f>
        <v/>
      </c>
      <c r="E2" s="17">
        <f>Assumptions!$B$14</f>
        <v/>
      </c>
      <c r="F2" s="17">
        <f>Assumptions!$B$15</f>
        <v/>
      </c>
    </row>
    <row r="3">
      <c r="A3" s="12" t="inlineStr">
        <is>
          <t>— Pref proceeds walked top-down (if class elects "preference") —</t>
        </is>
      </c>
    </row>
    <row r="4">
      <c r="A4" s="12" t="inlineStr">
        <is>
          <t>— ELECTIONS (IF pref&gt;=convert per equilibrium pool) —</t>
        </is>
      </c>
    </row>
    <row r="5">
      <c r="A5" t="inlineStr">
        <is>
          <t xml:space="preserve">  F election</t>
        </is>
      </c>
      <c r="B5" s="18">
        <f>IF(Assumptions!$B$3&gt;=Assumptions!$B$88*Assumptions!$B$95,"preference","convert")</f>
        <v/>
      </c>
      <c r="C5" s="18">
        <f>IF(Assumptions!$B$3&gt;=Assumptions!$B$88*Assumptions!$B$99,"preference","convert")</f>
        <v/>
      </c>
      <c r="D5" s="18">
        <f>IF(Assumptions!$B$3&gt;=Assumptions!$B$88*Assumptions!$B$103,"preference","convert")</f>
        <v/>
      </c>
      <c r="E5" s="18">
        <f>IF(Assumptions!$B$3&gt;=Assumptions!$B$88*Assumptions!$B$107,"preference","convert")</f>
        <v/>
      </c>
      <c r="F5" s="18">
        <f>IF(Assumptions!$B$3&gt;=Assumptions!$B$88*Assumptions!$B$111,"preference","convert")</f>
        <v/>
      </c>
    </row>
    <row r="6">
      <c r="A6" t="inlineStr">
        <is>
          <t xml:space="preserve">  E election</t>
        </is>
      </c>
      <c r="B6" s="18">
        <f>IF(Assumptions!$B$30&gt;=Assumptions!$B$79*Assumptions!$B$95,"preference","convert")</f>
        <v/>
      </c>
      <c r="C6" s="18">
        <f>IF(Assumptions!$B$30&gt;=Assumptions!$B$79*Assumptions!$B$99,"preference","convert")</f>
        <v/>
      </c>
      <c r="D6" s="18">
        <f>IF(Assumptions!$B$30&gt;=Assumptions!$B$79*Assumptions!$B$103,"preference","convert")</f>
        <v/>
      </c>
      <c r="E6" s="18">
        <f>IF(Assumptions!$B$30&gt;=Assumptions!$B$79*Assumptions!$B$107,"preference","convert")</f>
        <v/>
      </c>
      <c r="F6" s="18">
        <f>IF(Assumptions!$B$30&gt;=Assumptions!$B$79*Assumptions!$B$111,"preference","convert")</f>
        <v/>
      </c>
    </row>
    <row r="7">
      <c r="A7" t="inlineStr">
        <is>
          <t xml:space="preserve">  D election</t>
        </is>
      </c>
      <c r="B7" s="18">
        <f>IF(Assumptions!$B$29&gt;=Assumptions!$B$77*Assumptions!$B$95,"preference","convert")</f>
        <v/>
      </c>
      <c r="C7" s="18">
        <f>IF(Assumptions!$B$29&gt;=Assumptions!$B$77*Assumptions!$B$99,"preference","convert")</f>
        <v/>
      </c>
      <c r="D7" s="18">
        <f>IF(Assumptions!$B$29&gt;=Assumptions!$B$77*Assumptions!$B$103,"preference","convert")</f>
        <v/>
      </c>
      <c r="E7" s="18">
        <f>IF(Assumptions!$B$29&gt;=Assumptions!$B$77*Assumptions!$B$107,"preference","convert")</f>
        <v/>
      </c>
      <c r="F7" s="18">
        <f>IF(Assumptions!$B$29&gt;=Assumptions!$B$77*Assumptions!$B$111,"preference","convert")</f>
        <v/>
      </c>
    </row>
    <row r="8">
      <c r="A8" t="inlineStr">
        <is>
          <t xml:space="preserve">  C election</t>
        </is>
      </c>
      <c r="B8" s="18">
        <f>IF(Assumptions!$B$28&gt;=Assumptions!$B$35*Assumptions!$B$95,"preference","convert")</f>
        <v/>
      </c>
      <c r="C8" s="18">
        <f>IF(Assumptions!$B$28&gt;=Assumptions!$B$35*Assumptions!$B$99,"preference","convert")</f>
        <v/>
      </c>
      <c r="D8" s="18">
        <f>IF(Assumptions!$B$28&gt;=Assumptions!$B$35*Assumptions!$B$103,"preference","convert")</f>
        <v/>
      </c>
      <c r="E8" s="18">
        <f>IF(Assumptions!$B$28&gt;=Assumptions!$B$35*Assumptions!$B$107,"preference","convert")</f>
        <v/>
      </c>
      <c r="F8" s="18">
        <f>IF(Assumptions!$B$28&gt;=Assumptions!$B$35*Assumptions!$B$111,"preference","convert")</f>
        <v/>
      </c>
    </row>
    <row r="9">
      <c r="A9" t="inlineStr">
        <is>
          <t xml:space="preserve">  B election</t>
        </is>
      </c>
      <c r="B9" s="18">
        <f>IF(Assumptions!$B$27&gt;=Assumptions!$B$34*Assumptions!$B$95,"preference","convert")</f>
        <v/>
      </c>
      <c r="C9" s="18">
        <f>IF(Assumptions!$B$27&gt;=Assumptions!$B$34*Assumptions!$B$99,"preference","convert")</f>
        <v/>
      </c>
      <c r="D9" s="18">
        <f>IF(Assumptions!$B$27&gt;=Assumptions!$B$34*Assumptions!$B$103,"preference","convert")</f>
        <v/>
      </c>
      <c r="E9" s="18">
        <f>IF(Assumptions!$B$27&gt;=Assumptions!$B$34*Assumptions!$B$107,"preference","convert")</f>
        <v/>
      </c>
      <c r="F9" s="18">
        <f>IF(Assumptions!$B$27&gt;=Assumptions!$B$34*Assumptions!$B$111,"preference","convert")</f>
        <v/>
      </c>
    </row>
    <row r="10">
      <c r="A10" t="inlineStr">
        <is>
          <t xml:space="preserve">  A election</t>
        </is>
      </c>
      <c r="B10" s="18">
        <f>IF(Assumptions!$B$26&gt;=Assumptions!$B$33*Assumptions!$B$95,"preference","convert")</f>
        <v/>
      </c>
      <c r="C10" s="18">
        <f>IF(Assumptions!$B$26&gt;=Assumptions!$B$33*Assumptions!$B$99,"preference","convert")</f>
        <v/>
      </c>
      <c r="D10" s="18">
        <f>IF(Assumptions!$B$26&gt;=Assumptions!$B$33*Assumptions!$B$103,"preference","convert")</f>
        <v/>
      </c>
      <c r="E10" s="18">
        <f>IF(Assumptions!$B$26&gt;=Assumptions!$B$33*Assumptions!$B$107,"preference","convert")</f>
        <v/>
      </c>
      <c r="F10" s="18">
        <f>IF(Assumptions!$B$26&gt;=Assumptions!$B$33*Assumptions!$B$111,"preference","convert")</f>
        <v/>
      </c>
    </row>
    <row r="11">
      <c r="A11" t="inlineStr">
        <is>
          <t xml:space="preserve">  Seed election</t>
        </is>
      </c>
      <c r="B11" s="18">
        <f>IF(Assumptions!$B$25&gt;=Assumptions!$B$32*Assumptions!$B$95,"preference","convert")</f>
        <v/>
      </c>
      <c r="C11" s="18">
        <f>IF(Assumptions!$B$25&gt;=Assumptions!$B$32*Assumptions!$B$99,"preference","convert")</f>
        <v/>
      </c>
      <c r="D11" s="18">
        <f>IF(Assumptions!$B$25&gt;=Assumptions!$B$32*Assumptions!$B$103,"preference","convert")</f>
        <v/>
      </c>
      <c r="E11" s="18">
        <f>IF(Assumptions!$B$25&gt;=Assumptions!$B$32*Assumptions!$B$107,"preference","convert")</f>
        <v/>
      </c>
      <c r="F11" s="18">
        <f>IF(Assumptions!$B$25&gt;=Assumptions!$B$32*Assumptions!$B$111,"preference","convert")</f>
        <v/>
      </c>
    </row>
    <row r="13">
      <c r="A13" s="12" t="inlineStr">
        <is>
          <t>— PREF PROCEEDS WALK (top-down, only if elects pref) —</t>
        </is>
      </c>
    </row>
    <row r="14">
      <c r="A14" t="inlineStr">
        <is>
          <t xml:space="preserve">  F pref paid</t>
        </is>
      </c>
      <c r="B14" s="3">
        <f>IF(B5="preference",MIN(Assumptions!$B$3,MAX(0,Assumptions!$B$11)),0)</f>
        <v/>
      </c>
      <c r="C14" s="3">
        <f>IF(C5="preference",MIN(Assumptions!$B$3,MAX(0,Assumptions!$B$12)),0)</f>
        <v/>
      </c>
      <c r="D14" s="3">
        <f>IF(D5="preference",MIN(Assumptions!$B$3,MAX(0,Assumptions!$B$13)),0)</f>
        <v/>
      </c>
      <c r="E14" s="3">
        <f>IF(E5="preference",MIN(Assumptions!$B$3,MAX(0,Assumptions!$B$14)),0)</f>
        <v/>
      </c>
      <c r="F14" s="3">
        <f>IF(F5="preference",MIN(Assumptions!$B$3,MAX(0,Assumptions!$B$15)),0)</f>
        <v/>
      </c>
    </row>
    <row r="15">
      <c r="A15" t="inlineStr">
        <is>
          <t xml:space="preserve">  E pref paid</t>
        </is>
      </c>
      <c r="B15" s="3">
        <f>IF(B6="preference",MIN(Assumptions!$B$30,MAX(0,(Assumptions!$B$11-B14))),0)</f>
        <v/>
      </c>
      <c r="C15" s="3">
        <f>IF(C6="preference",MIN(Assumptions!$B$30,MAX(0,(Assumptions!$B$12-C14))),0)</f>
        <v/>
      </c>
      <c r="D15" s="3">
        <f>IF(D6="preference",MIN(Assumptions!$B$30,MAX(0,(Assumptions!$B$13-D14))),0)</f>
        <v/>
      </c>
      <c r="E15" s="3">
        <f>IF(E6="preference",MIN(Assumptions!$B$30,MAX(0,(Assumptions!$B$14-E14))),0)</f>
        <v/>
      </c>
      <c r="F15" s="3">
        <f>IF(F6="preference",MIN(Assumptions!$B$30,MAX(0,(Assumptions!$B$15-F14))),0)</f>
        <v/>
      </c>
    </row>
    <row r="16">
      <c r="A16" t="inlineStr">
        <is>
          <t xml:space="preserve">  D pref paid</t>
        </is>
      </c>
      <c r="B16" s="3">
        <f>IF(B7="preference",MIN(Assumptions!$B$29,MAX(0,((Assumptions!$B$11-B14)-B15))),0)</f>
        <v/>
      </c>
      <c r="C16" s="3">
        <f>IF(C7="preference",MIN(Assumptions!$B$29,MAX(0,((Assumptions!$B$12-C14)-C15))),0)</f>
        <v/>
      </c>
      <c r="D16" s="3">
        <f>IF(D7="preference",MIN(Assumptions!$B$29,MAX(0,((Assumptions!$B$13-D14)-D15))),0)</f>
        <v/>
      </c>
      <c r="E16" s="3">
        <f>IF(E7="preference",MIN(Assumptions!$B$29,MAX(0,((Assumptions!$B$14-E14)-E15))),0)</f>
        <v/>
      </c>
      <c r="F16" s="3">
        <f>IF(F7="preference",MIN(Assumptions!$B$29,MAX(0,((Assumptions!$B$15-F14)-F15))),0)</f>
        <v/>
      </c>
    </row>
    <row r="17">
      <c r="A17" t="inlineStr">
        <is>
          <t xml:space="preserve">  C pref paid</t>
        </is>
      </c>
      <c r="B17" s="3">
        <f>IF(B8="preference",MIN(Assumptions!$B$28,MAX(0,(((Assumptions!$B$11-B14)-B15)-B16))),0)</f>
        <v/>
      </c>
      <c r="C17" s="3">
        <f>IF(C8="preference",MIN(Assumptions!$B$28,MAX(0,(((Assumptions!$B$12-C14)-C15)-C16))),0)</f>
        <v/>
      </c>
      <c r="D17" s="3">
        <f>IF(D8="preference",MIN(Assumptions!$B$28,MAX(0,(((Assumptions!$B$13-D14)-D15)-D16))),0)</f>
        <v/>
      </c>
      <c r="E17" s="3">
        <f>IF(E8="preference",MIN(Assumptions!$B$28,MAX(0,(((Assumptions!$B$14-E14)-E15)-E16))),0)</f>
        <v/>
      </c>
      <c r="F17" s="3">
        <f>IF(F8="preference",MIN(Assumptions!$B$28,MAX(0,(((Assumptions!$B$15-F14)-F15)-F16))),0)</f>
        <v/>
      </c>
    </row>
    <row r="18">
      <c r="A18" t="inlineStr">
        <is>
          <t xml:space="preserve">  B pref paid</t>
        </is>
      </c>
      <c r="B18" s="3">
        <f>IF(B9="preference",MIN(Assumptions!$B$27,MAX(0,((((Assumptions!$B$11-B14)-B15)-B16)-B17))),0)</f>
        <v/>
      </c>
      <c r="C18" s="3">
        <f>IF(C9="preference",MIN(Assumptions!$B$27,MAX(0,((((Assumptions!$B$12-C14)-C15)-C16)-C17))),0)</f>
        <v/>
      </c>
      <c r="D18" s="3">
        <f>IF(D9="preference",MIN(Assumptions!$B$27,MAX(0,((((Assumptions!$B$13-D14)-D15)-D16)-D17))),0)</f>
        <v/>
      </c>
      <c r="E18" s="3">
        <f>IF(E9="preference",MIN(Assumptions!$B$27,MAX(0,((((Assumptions!$B$14-E14)-E15)-E16)-E17))),0)</f>
        <v/>
      </c>
      <c r="F18" s="3">
        <f>IF(F9="preference",MIN(Assumptions!$B$27,MAX(0,((((Assumptions!$B$15-F14)-F15)-F16)-F17))),0)</f>
        <v/>
      </c>
    </row>
    <row r="19">
      <c r="A19" t="inlineStr">
        <is>
          <t xml:space="preserve">  A pref paid</t>
        </is>
      </c>
      <c r="B19" s="3">
        <f>IF(B10="preference",MIN(Assumptions!$B$26,MAX(0,(((((Assumptions!$B$11-B14)-B15)-B16)-B17)-B18))),0)</f>
        <v/>
      </c>
      <c r="C19" s="3">
        <f>IF(C10="preference",MIN(Assumptions!$B$26,MAX(0,(((((Assumptions!$B$12-C14)-C15)-C16)-C17)-C18))),0)</f>
        <v/>
      </c>
      <c r="D19" s="3">
        <f>IF(D10="preference",MIN(Assumptions!$B$26,MAX(0,(((((Assumptions!$B$13-D14)-D15)-D16)-D17)-D18))),0)</f>
        <v/>
      </c>
      <c r="E19" s="3">
        <f>IF(E10="preference",MIN(Assumptions!$B$26,MAX(0,(((((Assumptions!$B$14-E14)-E15)-E16)-E17)-E18))),0)</f>
        <v/>
      </c>
      <c r="F19" s="3">
        <f>IF(F10="preference",MIN(Assumptions!$B$26,MAX(0,(((((Assumptions!$B$15-F14)-F15)-F16)-F17)-F18))),0)</f>
        <v/>
      </c>
    </row>
    <row r="20">
      <c r="A20" t="inlineStr">
        <is>
          <t xml:space="preserve">  Seed pref paid</t>
        </is>
      </c>
      <c r="B20" s="3">
        <f>IF(B11="preference",MIN(Assumptions!$B$25,MAX(0,((((((Assumptions!$B$11-B14)-B15)-B16)-B17)-B18)-B19))),0)</f>
        <v/>
      </c>
      <c r="C20" s="3">
        <f>IF(C11="preference",MIN(Assumptions!$B$25,MAX(0,((((((Assumptions!$B$12-C14)-C15)-C16)-C17)-C18)-C19))),0)</f>
        <v/>
      </c>
      <c r="D20" s="3">
        <f>IF(D11="preference",MIN(Assumptions!$B$25,MAX(0,((((((Assumptions!$B$13-D14)-D15)-D16)-D17)-D18)-D19))),0)</f>
        <v/>
      </c>
      <c r="E20" s="3">
        <f>IF(E11="preference",MIN(Assumptions!$B$25,MAX(0,((((((Assumptions!$B$14-E14)-E15)-E16)-E17)-E18)-E19))),0)</f>
        <v/>
      </c>
      <c r="F20" s="3">
        <f>IF(F11="preference",MIN(Assumptions!$B$25,MAX(0,((((((Assumptions!$B$15-F14)-F15)-F16)-F17)-F18)-F19))),0)</f>
        <v/>
      </c>
    </row>
    <row r="21">
      <c r="A21" s="14" t="inlineStr">
        <is>
          <t>Remaining after all prefs</t>
        </is>
      </c>
      <c r="B21" s="19">
        <f>MAX(0,(((((((Assumptions!$B$11-B14)-B15)-B16)-B17)-B18)-B19)-B20))</f>
        <v/>
      </c>
      <c r="C21" s="19">
        <f>MAX(0,(((((((Assumptions!$B$12-C14)-C15)-C16)-C17)-C18)-C19)-C20))</f>
        <v/>
      </c>
      <c r="D21" s="19">
        <f>MAX(0,(((((((Assumptions!$B$13-D14)-D15)-D16)-D17)-D18)-D19)-D20))</f>
        <v/>
      </c>
      <c r="E21" s="19">
        <f>MAX(0,(((((((Assumptions!$B$14-E14)-E15)-E16)-E17)-E18)-E19)-E20))</f>
        <v/>
      </c>
      <c r="F21" s="19">
        <f>MAX(0,(((((((Assumptions!$B$15-F14)-F15)-F16)-F17)-F18)-F19)-F20))</f>
        <v/>
      </c>
    </row>
    <row r="23">
      <c r="A23" s="12" t="inlineStr">
        <is>
          <t>— CONVERT POOL —</t>
        </is>
      </c>
    </row>
    <row r="24">
      <c r="A24" t="inlineStr">
        <is>
          <t>Common + RSAs (always in pool)</t>
        </is>
      </c>
      <c r="B24" s="7">
        <f>Assumptions!$B$40+Assumptions!$B$41+Assumptions!$B$42+Assumptions!$B$43</f>
        <v/>
      </c>
      <c r="C24" s="7">
        <f>Assumptions!$B$40+Assumptions!$B$41+Assumptions!$B$42+Assumptions!$B$43</f>
        <v/>
      </c>
      <c r="D24" s="7">
        <f>Assumptions!$B$40+Assumptions!$B$41+Assumptions!$B$42+Assumptions!$B$43</f>
        <v/>
      </c>
      <c r="E24" s="7">
        <f>Assumptions!$B$40+Assumptions!$B$41+Assumptions!$B$42+Assumptions!$B$43</f>
        <v/>
      </c>
      <c r="F24" s="7">
        <f>Assumptions!$B$40+Assumptions!$B$41+Assumptions!$B$42+Assumptions!$B$43</f>
        <v/>
      </c>
    </row>
    <row r="25">
      <c r="A25" t="inlineStr">
        <is>
          <t>Notes A+B (always in pool)</t>
        </is>
      </c>
      <c r="B25" s="7">
        <f>Assumptions!$B$83+Assumptions!$B$87</f>
        <v/>
      </c>
      <c r="C25" s="7">
        <f>Assumptions!$B$83+Assumptions!$B$87</f>
        <v/>
      </c>
      <c r="D25" s="7">
        <f>Assumptions!$B$83+Assumptions!$B$87</f>
        <v/>
      </c>
      <c r="E25" s="7">
        <f>Assumptions!$B$83+Assumptions!$B$87</f>
        <v/>
      </c>
      <c r="F25" s="7">
        <f>Assumptions!$B$83+Assumptions!$B$87</f>
        <v/>
      </c>
    </row>
    <row r="26">
      <c r="A26" t="inlineStr">
        <is>
          <t xml:space="preserve">  F shares (if convert)</t>
        </is>
      </c>
      <c r="B26" s="7">
        <f>IF(B5="convert",Assumptions!$B$88,0)</f>
        <v/>
      </c>
      <c r="C26" s="7">
        <f>IF(C5="convert",Assumptions!$B$88,0)</f>
        <v/>
      </c>
      <c r="D26" s="7">
        <f>IF(D5="convert",Assumptions!$B$88,0)</f>
        <v/>
      </c>
      <c r="E26" s="7">
        <f>IF(E5="convert",Assumptions!$B$88,0)</f>
        <v/>
      </c>
      <c r="F26" s="7">
        <f>IF(F5="convert",Assumptions!$B$88,0)</f>
        <v/>
      </c>
    </row>
    <row r="27">
      <c r="A27" t="inlineStr">
        <is>
          <t xml:space="preserve">  E shares (if convert)</t>
        </is>
      </c>
      <c r="B27" s="7">
        <f>IF(B6="convert",Assumptions!$B$79,0)</f>
        <v/>
      </c>
      <c r="C27" s="7">
        <f>IF(C6="convert",Assumptions!$B$79,0)</f>
        <v/>
      </c>
      <c r="D27" s="7">
        <f>IF(D6="convert",Assumptions!$B$79,0)</f>
        <v/>
      </c>
      <c r="E27" s="7">
        <f>IF(E6="convert",Assumptions!$B$79,0)</f>
        <v/>
      </c>
      <c r="F27" s="7">
        <f>IF(F6="convert",Assumptions!$B$79,0)</f>
        <v/>
      </c>
    </row>
    <row r="28">
      <c r="A28" t="inlineStr">
        <is>
          <t xml:space="preserve">  D shares (if convert)</t>
        </is>
      </c>
      <c r="B28" s="7">
        <f>IF(B7="convert",Assumptions!$B$77,0)</f>
        <v/>
      </c>
      <c r="C28" s="7">
        <f>IF(C7="convert",Assumptions!$B$77,0)</f>
        <v/>
      </c>
      <c r="D28" s="7">
        <f>IF(D7="convert",Assumptions!$B$77,0)</f>
        <v/>
      </c>
      <c r="E28" s="7">
        <f>IF(E7="convert",Assumptions!$B$77,0)</f>
        <v/>
      </c>
      <c r="F28" s="7">
        <f>IF(F7="convert",Assumptions!$B$77,0)</f>
        <v/>
      </c>
    </row>
    <row r="29">
      <c r="A29" t="inlineStr">
        <is>
          <t xml:space="preserve">  C shares (if convert)</t>
        </is>
      </c>
      <c r="B29" s="7">
        <f>IF(B8="convert",Assumptions!$B$35,0)</f>
        <v/>
      </c>
      <c r="C29" s="7">
        <f>IF(C8="convert",Assumptions!$B$35,0)</f>
        <v/>
      </c>
      <c r="D29" s="7">
        <f>IF(D8="convert",Assumptions!$B$35,0)</f>
        <v/>
      </c>
      <c r="E29" s="7">
        <f>IF(E8="convert",Assumptions!$B$35,0)</f>
        <v/>
      </c>
      <c r="F29" s="7">
        <f>IF(F8="convert",Assumptions!$B$35,0)</f>
        <v/>
      </c>
    </row>
    <row r="30">
      <c r="A30" t="inlineStr">
        <is>
          <t xml:space="preserve">  B shares (if convert)</t>
        </is>
      </c>
      <c r="B30" s="7">
        <f>IF(B9="convert",Assumptions!$B$34,0)</f>
        <v/>
      </c>
      <c r="C30" s="7">
        <f>IF(C9="convert",Assumptions!$B$34,0)</f>
        <v/>
      </c>
      <c r="D30" s="7">
        <f>IF(D9="convert",Assumptions!$B$34,0)</f>
        <v/>
      </c>
      <c r="E30" s="7">
        <f>IF(E9="convert",Assumptions!$B$34,0)</f>
        <v/>
      </c>
      <c r="F30" s="7">
        <f>IF(F9="convert",Assumptions!$B$34,0)</f>
        <v/>
      </c>
    </row>
    <row r="31">
      <c r="A31" t="inlineStr">
        <is>
          <t xml:space="preserve">  A shares (if convert)</t>
        </is>
      </c>
      <c r="B31" s="7">
        <f>IF(B10="convert",Assumptions!$B$33,0)</f>
        <v/>
      </c>
      <c r="C31" s="7">
        <f>IF(C10="convert",Assumptions!$B$33,0)</f>
        <v/>
      </c>
      <c r="D31" s="7">
        <f>IF(D10="convert",Assumptions!$B$33,0)</f>
        <v/>
      </c>
      <c r="E31" s="7">
        <f>IF(E10="convert",Assumptions!$B$33,0)</f>
        <v/>
      </c>
      <c r="F31" s="7">
        <f>IF(F10="convert",Assumptions!$B$33,0)</f>
        <v/>
      </c>
    </row>
    <row r="32">
      <c r="A32" t="inlineStr">
        <is>
          <t xml:space="preserve">  Seed shares (if convert)</t>
        </is>
      </c>
      <c r="B32" s="7">
        <f>IF(B11="convert",Assumptions!$B$32,0)</f>
        <v/>
      </c>
      <c r="C32" s="7">
        <f>IF(C11="convert",Assumptions!$B$32,0)</f>
        <v/>
      </c>
      <c r="D32" s="7">
        <f>IF(D11="convert",Assumptions!$B$32,0)</f>
        <v/>
      </c>
      <c r="E32" s="7">
        <f>IF(E11="convert",Assumptions!$B$32,0)</f>
        <v/>
      </c>
      <c r="F32" s="7">
        <f>IF(F11="convert",Assumptions!$B$32,0)</f>
        <v/>
      </c>
    </row>
    <row r="33">
      <c r="A33" s="14" t="inlineStr">
        <is>
          <t>Convert pool (excl options)</t>
        </is>
      </c>
      <c r="B33" s="15">
        <f>SUM(B24:B32)</f>
        <v/>
      </c>
      <c r="C33" s="15">
        <f>SUM(C24:C32)</f>
        <v/>
      </c>
      <c r="D33" s="15">
        <f>SUM(D24:D32)</f>
        <v/>
      </c>
      <c r="E33" s="15">
        <f>SUM(E24:E32)</f>
        <v/>
      </c>
      <c r="F33" s="15">
        <f>SUM(F24:F32)</f>
        <v/>
      </c>
    </row>
    <row r="34">
      <c r="A34" t="inlineStr">
        <is>
          <t>Options ITM? (1=yes)</t>
        </is>
      </c>
      <c r="B34">
        <f>IF(B21/B33&gt;Assumptions!$B$9,1,0)</f>
        <v/>
      </c>
      <c r="C34">
        <f>IF(C21/C33&gt;Assumptions!$B$9,1,0)</f>
        <v/>
      </c>
      <c r="D34">
        <f>IF(D21/D33&gt;Assumptions!$B$9,1,0)</f>
        <v/>
      </c>
      <c r="E34">
        <f>IF(E21/E33&gt;Assumptions!$B$9,1,0)</f>
        <v/>
      </c>
      <c r="F34">
        <f>IF(F21/F33&gt;Assumptions!$B$9,1,0)</f>
        <v/>
      </c>
    </row>
    <row r="35">
      <c r="A35" s="14" t="inlineStr">
        <is>
          <t>PPS at exit</t>
        </is>
      </c>
      <c r="B35" s="20">
        <f>IF(B34=1,(B21+Assumptions!$B$44*Assumptions!$B$9)/(B33+Assumptions!$B$44),B21/B33)</f>
        <v/>
      </c>
      <c r="C35" s="20">
        <f>IF(C34=1,(C21+Assumptions!$B$44*Assumptions!$B$9)/(C33+Assumptions!$B$44),C21/C33)</f>
        <v/>
      </c>
      <c r="D35" s="20">
        <f>IF(D34=1,(D21+Assumptions!$B$44*Assumptions!$B$9)/(D33+Assumptions!$B$44),D21/D33)</f>
        <v/>
      </c>
      <c r="E35" s="20">
        <f>IF(E34=1,(E21+Assumptions!$B$44*Assumptions!$B$9)/(E33+Assumptions!$B$44),E21/E33)</f>
        <v/>
      </c>
      <c r="F35" s="20">
        <f>IF(F34=1,(F21+Assumptions!$B$44*Assumptions!$B$9)/(F33+Assumptions!$B$44),F21/F33)</f>
        <v/>
      </c>
    </row>
    <row r="37">
      <c r="A37" s="12" t="inlineStr">
        <is>
          <t>— ACTUAL PROCEEDS BY CLASS / GROUP —</t>
        </is>
      </c>
    </row>
    <row r="38">
      <c r="A38" t="inlineStr">
        <is>
          <t>F proceeds</t>
        </is>
      </c>
      <c r="B38" s="3">
        <f>IF(B5="preference",B14,Assumptions!$B$88*B35)</f>
        <v/>
      </c>
      <c r="C38" s="3">
        <f>IF(C5="preference",C14,Assumptions!$B$88*C35)</f>
        <v/>
      </c>
      <c r="D38" s="3">
        <f>IF(D5="preference",D14,Assumptions!$B$88*D35)</f>
        <v/>
      </c>
      <c r="E38" s="3">
        <f>IF(E5="preference",E14,Assumptions!$B$88*E35)</f>
        <v/>
      </c>
      <c r="F38" s="3">
        <f>IF(F5="preference",F14,Assumptions!$B$88*F35)</f>
        <v/>
      </c>
    </row>
    <row r="39">
      <c r="A39" t="inlineStr">
        <is>
          <t>E proceeds</t>
        </is>
      </c>
      <c r="B39" s="3">
        <f>IF(B6="preference",B15,Assumptions!$B$79*B35)</f>
        <v/>
      </c>
      <c r="C39" s="3">
        <f>IF(C6="preference",C15,Assumptions!$B$79*C35)</f>
        <v/>
      </c>
      <c r="D39" s="3">
        <f>IF(D6="preference",D15,Assumptions!$B$79*D35)</f>
        <v/>
      </c>
      <c r="E39" s="3">
        <f>IF(E6="preference",E15,Assumptions!$B$79*E35)</f>
        <v/>
      </c>
      <c r="F39" s="3">
        <f>IF(F6="preference",F15,Assumptions!$B$79*F35)</f>
        <v/>
      </c>
    </row>
    <row r="40">
      <c r="A40" t="inlineStr">
        <is>
          <t>D proceeds</t>
        </is>
      </c>
      <c r="B40" s="3">
        <f>IF(B7="preference",B16,Assumptions!$B$77*B35)</f>
        <v/>
      </c>
      <c r="C40" s="3">
        <f>IF(C7="preference",C16,Assumptions!$B$77*C35)</f>
        <v/>
      </c>
      <c r="D40" s="3">
        <f>IF(D7="preference",D16,Assumptions!$B$77*D35)</f>
        <v/>
      </c>
      <c r="E40" s="3">
        <f>IF(E7="preference",E16,Assumptions!$B$77*E35)</f>
        <v/>
      </c>
      <c r="F40" s="3">
        <f>IF(F7="preference",F16,Assumptions!$B$77*F35)</f>
        <v/>
      </c>
    </row>
    <row r="41">
      <c r="A41" t="inlineStr">
        <is>
          <t>C proceeds</t>
        </is>
      </c>
      <c r="B41" s="3">
        <f>IF(B8="preference",B17,Assumptions!$B$35*B35)</f>
        <v/>
      </c>
      <c r="C41" s="3">
        <f>IF(C8="preference",C17,Assumptions!$B$35*C35)</f>
        <v/>
      </c>
      <c r="D41" s="3">
        <f>IF(D8="preference",D17,Assumptions!$B$35*D35)</f>
        <v/>
      </c>
      <c r="E41" s="3">
        <f>IF(E8="preference",E17,Assumptions!$B$35*E35)</f>
        <v/>
      </c>
      <c r="F41" s="3">
        <f>IF(F8="preference",F17,Assumptions!$B$35*F35)</f>
        <v/>
      </c>
    </row>
    <row r="42">
      <c r="A42" t="inlineStr">
        <is>
          <t>B proceeds</t>
        </is>
      </c>
      <c r="B42" s="3">
        <f>IF(B9="preference",B18,Assumptions!$B$34*B35)</f>
        <v/>
      </c>
      <c r="C42" s="3">
        <f>IF(C9="preference",C18,Assumptions!$B$34*C35)</f>
        <v/>
      </c>
      <c r="D42" s="3">
        <f>IF(D9="preference",D18,Assumptions!$B$34*D35)</f>
        <v/>
      </c>
      <c r="E42" s="3">
        <f>IF(E9="preference",E18,Assumptions!$B$34*E35)</f>
        <v/>
      </c>
      <c r="F42" s="3">
        <f>IF(F9="preference",F18,Assumptions!$B$34*F35)</f>
        <v/>
      </c>
    </row>
    <row r="43">
      <c r="A43" t="inlineStr">
        <is>
          <t>A proceeds</t>
        </is>
      </c>
      <c r="B43" s="3">
        <f>IF(B10="preference",B19,Assumptions!$B$33*B35)</f>
        <v/>
      </c>
      <c r="C43" s="3">
        <f>IF(C10="preference",C19,Assumptions!$B$33*C35)</f>
        <v/>
      </c>
      <c r="D43" s="3">
        <f>IF(D10="preference",D19,Assumptions!$B$33*D35)</f>
        <v/>
      </c>
      <c r="E43" s="3">
        <f>IF(E10="preference",E19,Assumptions!$B$33*E35)</f>
        <v/>
      </c>
      <c r="F43" s="3">
        <f>IF(F10="preference",F19,Assumptions!$B$33*F35)</f>
        <v/>
      </c>
    </row>
    <row r="44">
      <c r="A44" t="inlineStr">
        <is>
          <t>Seed proceeds</t>
        </is>
      </c>
      <c r="B44" s="3">
        <f>IF(B11="preference",B20,Assumptions!$B$32*B35)</f>
        <v/>
      </c>
      <c r="C44" s="3">
        <f>IF(C11="preference",C20,Assumptions!$B$32*C35)</f>
        <v/>
      </c>
      <c r="D44" s="3">
        <f>IF(D11="preference",D20,Assumptions!$B$32*D35)</f>
        <v/>
      </c>
      <c r="E44" s="3">
        <f>IF(E11="preference",E20,Assumptions!$B$32*E35)</f>
        <v/>
      </c>
      <c r="F44" s="3">
        <f>IF(F11="preference",F20,Assumptions!$B$32*F35)</f>
        <v/>
      </c>
    </row>
    <row r="45">
      <c r="A45" t="inlineStr">
        <is>
          <t>Notes A+B combined</t>
        </is>
      </c>
      <c r="B45" s="3">
        <f>(Assumptions!$B$83+Assumptions!$B$87)*B35</f>
        <v/>
      </c>
      <c r="C45" s="3">
        <f>(Assumptions!$B$83+Assumptions!$B$87)*C35</f>
        <v/>
      </c>
      <c r="D45" s="3">
        <f>(Assumptions!$B$83+Assumptions!$B$87)*D35</f>
        <v/>
      </c>
      <c r="E45" s="3">
        <f>(Assumptions!$B$83+Assumptions!$B$87)*E35</f>
        <v/>
      </c>
      <c r="F45" s="3">
        <f>(Assumptions!$B$83+Assumptions!$B$87)*F35</f>
        <v/>
      </c>
    </row>
    <row r="46">
      <c r="A46" t="inlineStr">
        <is>
          <t>Common + RSAs</t>
        </is>
      </c>
      <c r="B46" s="3">
        <f>(Assumptions!$B$40+Assumptions!$B$41+Assumptions!$B$42+Assumptions!$B$43)*B35</f>
        <v/>
      </c>
      <c r="C46" s="3">
        <f>(Assumptions!$B$40+Assumptions!$B$41+Assumptions!$B$42+Assumptions!$B$43)*C35</f>
        <v/>
      </c>
      <c r="D46" s="3">
        <f>(Assumptions!$B$40+Assumptions!$B$41+Assumptions!$B$42+Assumptions!$B$43)*D35</f>
        <v/>
      </c>
      <c r="E46" s="3">
        <f>(Assumptions!$B$40+Assumptions!$B$41+Assumptions!$B$42+Assumptions!$B$43)*E35</f>
        <v/>
      </c>
      <c r="F46" s="3">
        <f>(Assumptions!$B$40+Assumptions!$B$41+Assumptions!$B$42+Assumptions!$B$43)*F35</f>
        <v/>
      </c>
    </row>
    <row r="47">
      <c r="A47" t="inlineStr">
        <is>
          <t>Issued options (net of strike if ITM)</t>
        </is>
      </c>
      <c r="B47" s="3">
        <f>IF(B34=1,Assumptions!$B$44*(B35-Assumptions!$B$9),0)</f>
        <v/>
      </c>
      <c r="C47" s="3">
        <f>IF(C34=1,Assumptions!$B$44*(C35-Assumptions!$B$9),0)</f>
        <v/>
      </c>
      <c r="D47" s="3">
        <f>IF(D34=1,Assumptions!$B$44*(D35-Assumptions!$B$9),0)</f>
        <v/>
      </c>
      <c r="E47" s="3">
        <f>IF(E34=1,Assumptions!$B$44*(E35-Assumptions!$B$9),0)</f>
        <v/>
      </c>
      <c r="F47" s="3">
        <f>IF(F34=1,Assumptions!$B$44*(F35-Assumptions!$B$9),0)</f>
        <v/>
      </c>
    </row>
    <row r="48">
      <c r="A48" s="14" t="inlineStr">
        <is>
          <t>Total reconciliation</t>
        </is>
      </c>
      <c r="B48" s="19">
        <f>B38+B39+B40+B41+B42+B43+B44+B45+B46+B47</f>
        <v/>
      </c>
      <c r="C48" s="19">
        <f>C38+C39+C40+C41+C42+C43+C44+C45+C46+C47</f>
        <v/>
      </c>
      <c r="D48" s="19">
        <f>D38+D39+D40+D41+D42+D43+D44+D45+D46+D47</f>
        <v/>
      </c>
      <c r="E48" s="19">
        <f>E38+E39+E40+E41+E42+E43+E44+E45+E46+E47</f>
        <v/>
      </c>
      <c r="F48" s="19">
        <f>F38+F39+F40+F41+F42+F43+F44+F45+F46+F47</f>
        <v/>
      </c>
    </row>
    <row r="49">
      <c r="A49" s="14" t="inlineStr">
        <is>
          <t>Reconcile diff (target - total)</t>
        </is>
      </c>
      <c r="B49" s="19">
        <f>B2-B48</f>
        <v/>
      </c>
      <c r="C49" s="19">
        <f>C2-C48</f>
        <v/>
      </c>
      <c r="D49" s="19">
        <f>D2-D48</f>
        <v/>
      </c>
      <c r="E49" s="19">
        <f>E2-E48</f>
        <v/>
      </c>
      <c r="F49" s="19">
        <f>F2-F48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SENSITIVITY 3×3 — ESOP × Pre-money @ $2B exit</t>
        </is>
      </c>
      <c r="B1" s="2" t="n"/>
      <c r="C1" s="2" t="n"/>
      <c r="D1" s="2" t="n"/>
      <c r="E1" s="2" t="n"/>
      <c r="F1" s="2" t="n"/>
      <c r="G1" s="2" t="n"/>
    </row>
    <row r="2">
      <c r="A2" t="inlineStr">
        <is>
          <t>Cell value: our $10M check post-F % of T_F  /  $ proceeds at $2B exit</t>
        </is>
      </c>
    </row>
    <row r="3">
      <c r="A3" s="12" t="inlineStr">
        <is>
          <t>ESOP \ Pre-money</t>
        </is>
      </c>
      <c r="B3" s="17">
        <f>Assumptions!$B$65</f>
        <v/>
      </c>
      <c r="C3" s="17">
        <f>Assumptions!$B$66</f>
        <v/>
      </c>
      <c r="D3" s="17">
        <f>Assumptions!$B$67</f>
        <v/>
      </c>
    </row>
    <row r="4">
      <c r="A4" s="21">
        <f>Assumptions!$B$62</f>
        <v/>
      </c>
      <c r="B4">
        <f>TEXT((Assumptions!$B$7/Assumptions!$B$113)/Assumptions!$B$114,"0.0000%")&amp;" / $"&amp;TEXT(Assumptions!$B$115/3,"#,##0")&amp;" (NA="&amp;Assumptions!$B$116&amp;", NB="&amp;Assumptions!$B$117&amp;")</f>
        <v/>
      </c>
      <c r="C4">
        <f>TEXT((Assumptions!$B$7/Assumptions!$B$118)/Assumptions!$B$119,"0.0000%")&amp;" / $"&amp;TEXT(Assumptions!$B$120/3,"#,##0")&amp;" (NA="&amp;Assumptions!$B$121&amp;", NB="&amp;Assumptions!$B$122&amp;")</f>
        <v/>
      </c>
      <c r="D4">
        <f>TEXT((Assumptions!$B$7/Assumptions!$B$123)/Assumptions!$B$124,"0.0000%")&amp;" / $"&amp;TEXT(Assumptions!$B$125/3,"#,##0")&amp;" (NA="&amp;Assumptions!$B$126&amp;", NB="&amp;Assumptions!$B$127&amp;")</f>
        <v/>
      </c>
    </row>
    <row r="5">
      <c r="A5" s="21">
        <f>Assumptions!$B$63</f>
        <v/>
      </c>
      <c r="B5">
        <f>TEXT((Assumptions!$B$7/Assumptions!$B$128)/Assumptions!$B$129,"0.0000%")&amp;" / $"&amp;TEXT(Assumptions!$B$130/3,"#,##0")&amp;" (NA="&amp;Assumptions!$B$131&amp;", NB="&amp;Assumptions!$B$132&amp;")</f>
        <v/>
      </c>
      <c r="C5">
        <f>TEXT((Assumptions!$B$7/Assumptions!$B$133)/Assumptions!$B$134,"0.0000%")&amp;" / $"&amp;TEXT(Assumptions!$B$135/3,"#,##0")&amp;" (NA="&amp;Assumptions!$B$136&amp;", NB="&amp;Assumptions!$B$137&amp;")</f>
        <v/>
      </c>
      <c r="D5">
        <f>TEXT((Assumptions!$B$7/Assumptions!$B$138)/Assumptions!$B$139,"0.0000%")&amp;" / $"&amp;TEXT(Assumptions!$B$140/3,"#,##0")&amp;" (NA="&amp;Assumptions!$B$141&amp;", NB="&amp;Assumptions!$B$142&amp;")</f>
        <v/>
      </c>
    </row>
    <row r="6">
      <c r="A6" s="21">
        <f>Assumptions!$B$64</f>
        <v/>
      </c>
      <c r="B6">
        <f>TEXT((Assumptions!$B$7/Assumptions!$B$143)/Assumptions!$B$144,"0.0000%")&amp;" / $"&amp;TEXT(Assumptions!$B$145/3,"#,##0")&amp;" (NA="&amp;Assumptions!$B$146&amp;", NB="&amp;Assumptions!$B$147&amp;")</f>
        <v/>
      </c>
      <c r="C6">
        <f>TEXT((Assumptions!$B$7/Assumptions!$B$148)/Assumptions!$B$149,"0.0000%")&amp;" / $"&amp;TEXT(Assumptions!$B$150/3,"#,##0")&amp;" (NA="&amp;Assumptions!$B$151&amp;", NB="&amp;Assumptions!$B$152&amp;")</f>
        <v/>
      </c>
      <c r="D6">
        <f>TEXT((Assumptions!$B$7/Assumptions!$B$153)/Assumptions!$B$154,"0.0000%")&amp;" / $"&amp;TEXT(Assumptions!$B$155/3,"#,##0")&amp;" (NA="&amp;Assumptions!$B$156&amp;", NB="&amp;Assumptions!$B$157&amp;")</f>
        <v/>
      </c>
    </row>
    <row r="8">
      <c r="A8" s="12" t="inlineStr">
        <is>
          <t>— DETAIL: per-cell post-F % and $ proceeds —</t>
        </is>
      </c>
    </row>
    <row r="9">
      <c r="A9" s="12" t="inlineStr">
        <is>
          <t>esop</t>
        </is>
      </c>
      <c r="B9" s="12" t="inlineStr">
        <is>
          <t>pre</t>
        </is>
      </c>
      <c r="C9" s="12" t="inlineStr">
        <is>
          <t>F_PPS</t>
        </is>
      </c>
      <c r="D9" s="12" t="inlineStr">
        <is>
          <t>T_F</t>
        </is>
      </c>
      <c r="E9" s="12" t="inlineStr">
        <is>
          <t>our %</t>
        </is>
      </c>
      <c r="F9" s="12" t="inlineStr">
        <is>
          <t>F class proc @$2B</t>
        </is>
      </c>
      <c r="G9" s="12" t="inlineStr">
        <is>
          <t>our $ (1/3 of F class)</t>
        </is>
      </c>
      <c r="H9" s="12" t="inlineStr">
        <is>
          <t>NA branch</t>
        </is>
      </c>
      <c r="I9" s="12" t="inlineStr">
        <is>
          <t>NB branch</t>
        </is>
      </c>
    </row>
    <row r="10">
      <c r="A10" s="5">
        <f>Assumptions!$B$62</f>
        <v/>
      </c>
      <c r="B10" s="3">
        <f>Assumptions!$B$65</f>
        <v/>
      </c>
      <c r="C10" s="6">
        <f>Assumptions!$B$113</f>
        <v/>
      </c>
      <c r="D10" s="7">
        <f>Assumptions!$B$114</f>
        <v/>
      </c>
      <c r="E10" s="13">
        <f>(Assumptions!$B$7/Assumptions!$B$113)/Assumptions!$B$114</f>
        <v/>
      </c>
      <c r="F10" s="3">
        <f>Assumptions!$B$115</f>
        <v/>
      </c>
      <c r="G10" s="3">
        <f>Assumptions!$B$115/3</f>
        <v/>
      </c>
      <c r="H10">
        <f>Assumptions!$B$116</f>
        <v/>
      </c>
      <c r="I10">
        <f>Assumptions!$B$117</f>
        <v/>
      </c>
    </row>
    <row r="11">
      <c r="A11" s="5">
        <f>Assumptions!$B$62</f>
        <v/>
      </c>
      <c r="B11" s="3">
        <f>Assumptions!$B$66</f>
        <v/>
      </c>
      <c r="C11" s="6">
        <f>Assumptions!$B$118</f>
        <v/>
      </c>
      <c r="D11" s="7">
        <f>Assumptions!$B$119</f>
        <v/>
      </c>
      <c r="E11" s="13">
        <f>(Assumptions!$B$7/Assumptions!$B$118)/Assumptions!$B$119</f>
        <v/>
      </c>
      <c r="F11" s="3">
        <f>Assumptions!$B$120</f>
        <v/>
      </c>
      <c r="G11" s="3">
        <f>Assumptions!$B$120/3</f>
        <v/>
      </c>
      <c r="H11">
        <f>Assumptions!$B$121</f>
        <v/>
      </c>
      <c r="I11">
        <f>Assumptions!$B$122</f>
        <v/>
      </c>
    </row>
    <row r="12">
      <c r="A12" s="5">
        <f>Assumptions!$B$62</f>
        <v/>
      </c>
      <c r="B12" s="3">
        <f>Assumptions!$B$67</f>
        <v/>
      </c>
      <c r="C12" s="6">
        <f>Assumptions!$B$123</f>
        <v/>
      </c>
      <c r="D12" s="7">
        <f>Assumptions!$B$124</f>
        <v/>
      </c>
      <c r="E12" s="13">
        <f>(Assumptions!$B$7/Assumptions!$B$123)/Assumptions!$B$124</f>
        <v/>
      </c>
      <c r="F12" s="3">
        <f>Assumptions!$B$125</f>
        <v/>
      </c>
      <c r="G12" s="3">
        <f>Assumptions!$B$125/3</f>
        <v/>
      </c>
      <c r="H12">
        <f>Assumptions!$B$126</f>
        <v/>
      </c>
      <c r="I12">
        <f>Assumptions!$B$127</f>
        <v/>
      </c>
    </row>
    <row r="13">
      <c r="A13" s="5">
        <f>Assumptions!$B$63</f>
        <v/>
      </c>
      <c r="B13" s="3">
        <f>Assumptions!$B$65</f>
        <v/>
      </c>
      <c r="C13" s="6">
        <f>Assumptions!$B$128</f>
        <v/>
      </c>
      <c r="D13" s="7">
        <f>Assumptions!$B$129</f>
        <v/>
      </c>
      <c r="E13" s="13">
        <f>(Assumptions!$B$7/Assumptions!$B$128)/Assumptions!$B$129</f>
        <v/>
      </c>
      <c r="F13" s="3">
        <f>Assumptions!$B$130</f>
        <v/>
      </c>
      <c r="G13" s="3">
        <f>Assumptions!$B$130/3</f>
        <v/>
      </c>
      <c r="H13">
        <f>Assumptions!$B$131</f>
        <v/>
      </c>
      <c r="I13">
        <f>Assumptions!$B$132</f>
        <v/>
      </c>
    </row>
    <row r="14">
      <c r="A14" s="5">
        <f>Assumptions!$B$63</f>
        <v/>
      </c>
      <c r="B14" s="3">
        <f>Assumptions!$B$66</f>
        <v/>
      </c>
      <c r="C14" s="6">
        <f>Assumptions!$B$133</f>
        <v/>
      </c>
      <c r="D14" s="7">
        <f>Assumptions!$B$134</f>
        <v/>
      </c>
      <c r="E14" s="13">
        <f>(Assumptions!$B$7/Assumptions!$B$133)/Assumptions!$B$134</f>
        <v/>
      </c>
      <c r="F14" s="3">
        <f>Assumptions!$B$135</f>
        <v/>
      </c>
      <c r="G14" s="3">
        <f>Assumptions!$B$135/3</f>
        <v/>
      </c>
      <c r="H14">
        <f>Assumptions!$B$136</f>
        <v/>
      </c>
      <c r="I14">
        <f>Assumptions!$B$137</f>
        <v/>
      </c>
    </row>
    <row r="15">
      <c r="A15" s="5">
        <f>Assumptions!$B$63</f>
        <v/>
      </c>
      <c r="B15" s="3">
        <f>Assumptions!$B$67</f>
        <v/>
      </c>
      <c r="C15" s="6">
        <f>Assumptions!$B$138</f>
        <v/>
      </c>
      <c r="D15" s="7">
        <f>Assumptions!$B$139</f>
        <v/>
      </c>
      <c r="E15" s="13">
        <f>(Assumptions!$B$7/Assumptions!$B$138)/Assumptions!$B$139</f>
        <v/>
      </c>
      <c r="F15" s="3">
        <f>Assumptions!$B$140</f>
        <v/>
      </c>
      <c r="G15" s="3">
        <f>Assumptions!$B$140/3</f>
        <v/>
      </c>
      <c r="H15">
        <f>Assumptions!$B$141</f>
        <v/>
      </c>
      <c r="I15">
        <f>Assumptions!$B$142</f>
        <v/>
      </c>
    </row>
    <row r="16">
      <c r="A16" s="5">
        <f>Assumptions!$B$64</f>
        <v/>
      </c>
      <c r="B16" s="3">
        <f>Assumptions!$B$65</f>
        <v/>
      </c>
      <c r="C16" s="6">
        <f>Assumptions!$B$143</f>
        <v/>
      </c>
      <c r="D16" s="7">
        <f>Assumptions!$B$144</f>
        <v/>
      </c>
      <c r="E16" s="13">
        <f>(Assumptions!$B$7/Assumptions!$B$143)/Assumptions!$B$144</f>
        <v/>
      </c>
      <c r="F16" s="3">
        <f>Assumptions!$B$145</f>
        <v/>
      </c>
      <c r="G16" s="3">
        <f>Assumptions!$B$145/3</f>
        <v/>
      </c>
      <c r="H16">
        <f>Assumptions!$B$146</f>
        <v/>
      </c>
      <c r="I16">
        <f>Assumptions!$B$147</f>
        <v/>
      </c>
    </row>
    <row r="17">
      <c r="A17" s="5">
        <f>Assumptions!$B$64</f>
        <v/>
      </c>
      <c r="B17" s="3">
        <f>Assumptions!$B$66</f>
        <v/>
      </c>
      <c r="C17" s="6">
        <f>Assumptions!$B$148</f>
        <v/>
      </c>
      <c r="D17" s="7">
        <f>Assumptions!$B$149</f>
        <v/>
      </c>
      <c r="E17" s="13">
        <f>(Assumptions!$B$7/Assumptions!$B$148)/Assumptions!$B$149</f>
        <v/>
      </c>
      <c r="F17" s="3">
        <f>Assumptions!$B$150</f>
        <v/>
      </c>
      <c r="G17" s="3">
        <f>Assumptions!$B$150/3</f>
        <v/>
      </c>
      <c r="H17">
        <f>Assumptions!$B$151</f>
        <v/>
      </c>
      <c r="I17">
        <f>Assumptions!$B$152</f>
        <v/>
      </c>
    </row>
    <row r="18">
      <c r="A18" s="5">
        <f>Assumptions!$B$64</f>
        <v/>
      </c>
      <c r="B18" s="3">
        <f>Assumptions!$B$67</f>
        <v/>
      </c>
      <c r="C18" s="6">
        <f>Assumptions!$B$153</f>
        <v/>
      </c>
      <c r="D18" s="7">
        <f>Assumptions!$B$154</f>
        <v/>
      </c>
      <c r="E18" s="13">
        <f>(Assumptions!$B$7/Assumptions!$B$153)/Assumptions!$B$154</f>
        <v/>
      </c>
      <c r="F18" s="3">
        <f>Assumptions!$B$155</f>
        <v/>
      </c>
      <c r="G18" s="3">
        <f>Assumptions!$B$155/3</f>
        <v/>
      </c>
      <c r="H18">
        <f>Assumptions!$B$156</f>
        <v/>
      </c>
      <c r="I18">
        <f>Assumptions!$B$157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RETURN SOLVER — % of post-F our $10M would need (under base case)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2" t="inlineStr">
        <is>
          <t>Exit</t>
        </is>
      </c>
      <c r="B2" s="12" t="inlineStr">
        <is>
          <t>F class proceeds</t>
        </is>
      </c>
      <c r="C2" s="12" t="inlineStr">
        <is>
          <t>F class shares</t>
        </is>
      </c>
      <c r="D2" s="12" t="inlineStr">
        <is>
          <t>per-share</t>
        </is>
      </c>
      <c r="E2" s="12" t="inlineStr">
        <is>
          <t>per-1%-of-T_F</t>
        </is>
      </c>
      <c r="F2" s="12" t="inlineStr">
        <is>
          <t>x for 3x ($30M)</t>
        </is>
      </c>
      <c r="G2" s="12" t="inlineStr">
        <is>
          <t>x for 4x ($40M)</t>
        </is>
      </c>
      <c r="H2" s="12" t="inlineStr">
        <is>
          <t>3x feasible?</t>
        </is>
      </c>
      <c r="I2" s="12" t="inlineStr">
        <is>
          <t>4x feasible?</t>
        </is>
      </c>
    </row>
    <row r="3">
      <c r="A3" s="3">
        <f>Assumptions!$B$11</f>
        <v/>
      </c>
      <c r="B3" s="3">
        <f>MAX(Assumptions!$B$3,Assumptions!$B$88*Assumptions!$B$95)</f>
        <v/>
      </c>
      <c r="C3" s="7">
        <f>Assumptions!$B$88</f>
        <v/>
      </c>
      <c r="D3" s="6">
        <f>B3/C3</f>
        <v/>
      </c>
      <c r="E3" s="3">
        <f>D3*Assumptions!$B$74</f>
        <v/>
      </c>
      <c r="F3" s="13">
        <f>(Assumptions!$B$69*Assumptions!$B$7)/E3</f>
        <v/>
      </c>
      <c r="G3" s="13">
        <f>(Assumptions!$B$70*Assumptions!$B$7)/E3</f>
        <v/>
      </c>
      <c r="H3">
        <f>IF(AND(F3&gt;0,F3&lt;=1),"feasible","infeasible")</f>
        <v/>
      </c>
      <c r="I3">
        <f>IF(AND(G3&gt;0,G3&lt;=1),"feasible","infeasible")</f>
        <v/>
      </c>
    </row>
    <row r="4">
      <c r="A4" s="3">
        <f>Assumptions!$B$12</f>
        <v/>
      </c>
      <c r="B4" s="3">
        <f>MAX(Assumptions!$B$3,Assumptions!$B$88*Assumptions!$B$99)</f>
        <v/>
      </c>
      <c r="C4" s="7">
        <f>Assumptions!$B$88</f>
        <v/>
      </c>
      <c r="D4" s="6">
        <f>B4/C4</f>
        <v/>
      </c>
      <c r="E4" s="3">
        <f>D4*Assumptions!$B$74</f>
        <v/>
      </c>
      <c r="F4" s="13">
        <f>(Assumptions!$B$69*Assumptions!$B$7)/E4</f>
        <v/>
      </c>
      <c r="G4" s="13">
        <f>(Assumptions!$B$70*Assumptions!$B$7)/E4</f>
        <v/>
      </c>
      <c r="H4">
        <f>IF(AND(F4&gt;0,F4&lt;=1),"feasible","infeasible")</f>
        <v/>
      </c>
      <c r="I4">
        <f>IF(AND(G4&gt;0,G4&lt;=1),"feasible","infeasible")</f>
        <v/>
      </c>
    </row>
    <row r="5">
      <c r="A5" s="3">
        <f>Assumptions!$B$13</f>
        <v/>
      </c>
      <c r="B5" s="3">
        <f>MAX(Assumptions!$B$3,Assumptions!$B$88*Assumptions!$B$103)</f>
        <v/>
      </c>
      <c r="C5" s="7">
        <f>Assumptions!$B$88</f>
        <v/>
      </c>
      <c r="D5" s="6">
        <f>B5/C5</f>
        <v/>
      </c>
      <c r="E5" s="3">
        <f>D5*Assumptions!$B$74</f>
        <v/>
      </c>
      <c r="F5" s="13">
        <f>(Assumptions!$B$69*Assumptions!$B$7)/E5</f>
        <v/>
      </c>
      <c r="G5" s="13">
        <f>(Assumptions!$B$70*Assumptions!$B$7)/E5</f>
        <v/>
      </c>
      <c r="H5">
        <f>IF(AND(F5&gt;0,F5&lt;=1),"feasible","infeasible")</f>
        <v/>
      </c>
      <c r="I5">
        <f>IF(AND(G5&gt;0,G5&lt;=1),"feasible","infeasible")</f>
        <v/>
      </c>
    </row>
    <row r="6">
      <c r="A6" s="3">
        <f>Assumptions!$B$14</f>
        <v/>
      </c>
      <c r="B6" s="3">
        <f>MAX(Assumptions!$B$3,Assumptions!$B$88*Assumptions!$B$107)</f>
        <v/>
      </c>
      <c r="C6" s="7">
        <f>Assumptions!$B$88</f>
        <v/>
      </c>
      <c r="D6" s="6">
        <f>B6/C6</f>
        <v/>
      </c>
      <c r="E6" s="3">
        <f>D6*Assumptions!$B$74</f>
        <v/>
      </c>
      <c r="F6" s="13">
        <f>(Assumptions!$B$69*Assumptions!$B$7)/E6</f>
        <v/>
      </c>
      <c r="G6" s="13">
        <f>(Assumptions!$B$70*Assumptions!$B$7)/E6</f>
        <v/>
      </c>
      <c r="H6">
        <f>IF(AND(F6&gt;0,F6&lt;=1),"feasible","infeasible")</f>
        <v/>
      </c>
      <c r="I6">
        <f>IF(AND(G6&gt;0,G6&lt;=1),"feasible","infeasible")</f>
        <v/>
      </c>
    </row>
    <row r="7">
      <c r="A7" s="3">
        <f>Assumptions!$B$15</f>
        <v/>
      </c>
      <c r="B7" s="3">
        <f>MAX(Assumptions!$B$3,Assumptions!$B$88*Assumptions!$B$111)</f>
        <v/>
      </c>
      <c r="C7" s="7">
        <f>Assumptions!$B$88</f>
        <v/>
      </c>
      <c r="D7" s="6">
        <f>B7/C7</f>
        <v/>
      </c>
      <c r="E7" s="3">
        <f>D7*Assumptions!$B$74</f>
        <v/>
      </c>
      <c r="F7" s="13">
        <f>(Assumptions!$B$69*Assumptions!$B$7)/E7</f>
        <v/>
      </c>
      <c r="G7" s="13">
        <f>(Assumptions!$B$70*Assumptions!$B$7)/E7</f>
        <v/>
      </c>
      <c r="H7">
        <f>IF(AND(F7&gt;0,F7&lt;=1),"feasible","infeasible")</f>
        <v/>
      </c>
      <c r="I7">
        <f>IF(AND(G7&gt;0,G7&lt;=1),"feasible","infeasible")</f>
        <v/>
      </c>
    </row>
    <row r="9">
      <c r="A9" t="inlineStr">
        <is>
          <t>Note: x = our_shares / T_F such that x · T_F · (F_class_proceeds / F_class_shares) = target</t>
        </is>
      </c>
    </row>
    <row r="10">
      <c r="A10" t="inlineStr">
        <is>
          <t>Equivalently: x = (target × 30M) / (post_money × F_class_proceeds)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2026-04-27T02:20:31Z</dcterms:created>
  <dcterms:modified xmlns:dcterms="http://purl.org/dc/terms/" xmlns:xsi="http://www.w3.org/2001/XMLSchema-instance" xsi:type="dcterms:W3CDTF">2026-04-27T02:20:31Z</dcterms:modified>
</cp:coreProperties>
</file>