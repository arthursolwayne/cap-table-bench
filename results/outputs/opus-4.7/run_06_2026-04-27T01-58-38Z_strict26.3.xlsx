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/>
  <calcPr calcId="124519" fullCalcOnLoad="1" iterate="0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0.000000"/>
    <numFmt numFmtId="167" formatCode="0.000000%"/>
    <numFmt numFmtId="168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67" fontId="0" fillId="4" borderId="0" pivotButton="0" quotePrefix="0" xfId="0"/>
    <xf numFmtId="0" fontId="2" fillId="0" borderId="0" pivotButton="0" quotePrefix="0" xfId="0"/>
    <xf numFmtId="168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40" customWidth="1" min="3" max="3"/>
  </cols>
  <sheetData>
    <row r="1">
      <c r="A1" s="1" t="inlineStr">
        <is>
          <t>KELVIN DYNAMICS — SERIES F ASSUMPTIONS</t>
        </is>
      </c>
      <c r="B1" s="2" t="n"/>
      <c r="C1" s="2" t="n"/>
    </row>
    <row r="3">
      <c r="A3" s="3" t="inlineStr">
        <is>
          <t>Round terms (knobs)</t>
        </is>
      </c>
      <c r="B3" s="4" t="n"/>
      <c r="C3" s="4" t="n"/>
    </row>
    <row r="4">
      <c r="A4" t="inlineStr">
        <is>
          <t>Series F pre-money (USD)</t>
        </is>
      </c>
      <c r="B4" s="5" t="n">
        <v>1400000000</v>
      </c>
      <c r="C4" t="inlineStr">
        <is>
          <t>knob</t>
        </is>
      </c>
    </row>
    <row r="5">
      <c r="A5" t="inlineStr">
        <is>
          <t>Series F primary raise (USD)</t>
        </is>
      </c>
      <c r="B5" s="5" t="n">
        <v>30000000</v>
      </c>
      <c r="C5" t="inlineStr">
        <is>
          <t>knob</t>
        </is>
      </c>
    </row>
    <row r="6">
      <c r="A6" t="inlineStr">
        <is>
          <t>Series F secondary tender (USD)</t>
        </is>
      </c>
      <c r="B6" s="5" t="n">
        <v>15000000</v>
      </c>
      <c r="C6" t="inlineStr">
        <is>
          <t>knob</t>
        </is>
      </c>
    </row>
    <row r="7">
      <c r="A7" t="inlineStr">
        <is>
          <t>Tender PPS multiplier</t>
        </is>
      </c>
      <c r="B7" s="6" t="n">
        <v>0.85</v>
      </c>
      <c r="C7" t="inlineStr">
        <is>
          <t>knob</t>
        </is>
      </c>
    </row>
    <row r="8">
      <c r="A8" t="inlineStr">
        <is>
          <t>ESOP refresh target % (post-F FD)</t>
        </is>
      </c>
      <c r="B8" s="7" t="n">
        <v>0.13</v>
      </c>
      <c r="C8" t="inlineStr">
        <is>
          <t>knob</t>
        </is>
      </c>
    </row>
    <row r="9">
      <c r="A9" t="inlineStr">
        <is>
          <t>Our fund check (USD)</t>
        </is>
      </c>
      <c r="B9" s="5" t="n">
        <v>10000000</v>
      </c>
      <c r="C9" t="inlineStr">
        <is>
          <t>knob</t>
        </is>
      </c>
    </row>
    <row r="10">
      <c r="A10" t="inlineStr">
        <is>
          <t>F_LEAD primary check (USD)</t>
        </is>
      </c>
      <c r="B10" s="5" t="n">
        <v>20000000</v>
      </c>
      <c r="C10" t="inlineStr">
        <is>
          <t>knob</t>
        </is>
      </c>
    </row>
    <row r="11">
      <c r="A11" t="inlineStr">
        <is>
          <t>Option strike (USD)</t>
        </is>
      </c>
      <c r="B11" s="8" t="n">
        <v>1</v>
      </c>
      <c r="C11" t="inlineStr">
        <is>
          <t>knob</t>
        </is>
      </c>
    </row>
    <row r="13">
      <c r="A13" s="3" t="inlineStr">
        <is>
          <t>Exit values (USD)</t>
        </is>
      </c>
      <c r="B13" s="4" t="n"/>
      <c r="C13" s="4" t="n"/>
    </row>
    <row r="14">
      <c r="A14" t="inlineStr">
        <is>
          <t>Exit 1</t>
        </is>
      </c>
      <c r="B14" s="5" t="n">
        <v>700000000</v>
      </c>
    </row>
    <row r="15">
      <c r="A15" t="inlineStr">
        <is>
          <t>Exit 2</t>
        </is>
      </c>
      <c r="B15" s="5" t="n">
        <v>1200000000</v>
      </c>
    </row>
    <row r="16">
      <c r="A16" t="inlineStr">
        <is>
          <t>Exit 3 (sensitivity ref)</t>
        </is>
      </c>
      <c r="B16" s="5" t="n">
        <v>2000000000</v>
      </c>
    </row>
    <row r="17">
      <c r="A17" t="inlineStr">
        <is>
          <t>Exit 4</t>
        </is>
      </c>
      <c r="B17" s="5" t="n">
        <v>4000000000</v>
      </c>
    </row>
    <row r="18">
      <c r="A18" t="inlineStr">
        <is>
          <t>Exit 5</t>
        </is>
      </c>
      <c r="B18" s="5" t="n">
        <v>8000000000</v>
      </c>
    </row>
    <row r="20">
      <c r="A20" s="3" t="inlineStr">
        <is>
          <t>Prior-round OCPs (USD per share)</t>
        </is>
      </c>
      <c r="B20" s="4" t="n"/>
      <c r="C20" s="4" t="n"/>
    </row>
    <row r="21">
      <c r="A21" t="inlineStr">
        <is>
          <t>OCP Seed</t>
        </is>
      </c>
      <c r="B21" s="9" t="n">
        <v>1</v>
      </c>
    </row>
    <row r="22">
      <c r="A22" t="inlineStr">
        <is>
          <t>OCP Series A</t>
        </is>
      </c>
      <c r="B22" s="9" t="n">
        <v>3</v>
      </c>
    </row>
    <row r="23">
      <c r="A23" t="inlineStr">
        <is>
          <t>OCP Series B</t>
        </is>
      </c>
      <c r="B23" s="9" t="n">
        <v>10</v>
      </c>
    </row>
    <row r="24">
      <c r="A24" t="inlineStr">
        <is>
          <t>OCP Series C</t>
        </is>
      </c>
      <c r="B24" s="9" t="n">
        <v>25</v>
      </c>
    </row>
    <row r="25">
      <c r="A25" t="inlineStr">
        <is>
          <t>OCP Series D (post-E NCP)</t>
        </is>
      </c>
      <c r="B25" s="9" t="n">
        <v>58.118347</v>
      </c>
      <c r="C25" t="inlineStr">
        <is>
          <t>D effective OCP after v3 AD</t>
        </is>
      </c>
    </row>
    <row r="26">
      <c r="A26" t="inlineStr">
        <is>
          <t>OCP Series D (original at issuance)</t>
        </is>
      </c>
      <c r="B26" s="9" t="n">
        <v>60</v>
      </c>
      <c r="C26" t="inlineStr">
        <is>
          <t>for compound v3·v4 ratio</t>
        </is>
      </c>
    </row>
    <row r="27">
      <c r="A27" t="inlineStr">
        <is>
          <t>OCP Series E</t>
        </is>
      </c>
      <c r="B27" s="9" t="n">
        <v>49.158311</v>
      </c>
    </row>
    <row r="29">
      <c r="A29" s="3" t="inlineStr">
        <is>
          <t>Convertible Notes</t>
        </is>
      </c>
      <c r="B29" s="4" t="n"/>
      <c r="C29" s="4" t="n"/>
    </row>
    <row r="30">
      <c r="A30" t="inlineStr">
        <is>
          <t>Note A principal (USD)</t>
        </is>
      </c>
      <c r="B30" s="5" t="n">
        <v>5000000</v>
      </c>
    </row>
    <row r="31">
      <c r="A31" t="inlineStr">
        <is>
          <t>Note A cap (USD)</t>
        </is>
      </c>
      <c r="B31" s="5" t="n">
        <v>1000000000</v>
      </c>
    </row>
    <row r="32">
      <c r="A32" t="inlineStr">
        <is>
          <t>Note A discount</t>
        </is>
      </c>
      <c r="B32" s="7" t="n">
        <v>0.2</v>
      </c>
    </row>
    <row r="33">
      <c r="A33" t="inlineStr">
        <is>
          <t>Note B principal (USD)</t>
        </is>
      </c>
      <c r="B33" s="5" t="n">
        <v>3000000</v>
      </c>
    </row>
    <row r="34">
      <c r="A34" t="inlineStr">
        <is>
          <t>Note B cap (USD)</t>
        </is>
      </c>
      <c r="B34" s="5" t="n">
        <v>1600000000</v>
      </c>
    </row>
    <row r="35">
      <c r="A35" t="inlineStr">
        <is>
          <t>Note B discount</t>
        </is>
      </c>
      <c r="B35" s="7" t="n">
        <v>0.15</v>
      </c>
    </row>
    <row r="37">
      <c r="A37" s="3" t="inlineStr">
        <is>
          <t>Broad-based WA AD inputs</t>
        </is>
      </c>
      <c r="B37" s="4" t="n"/>
      <c r="C37" s="4" t="n"/>
    </row>
    <row r="38">
      <c r="A38" t="inlineStr">
        <is>
          <t>Pre-F broad-based FD (A in NCP formula)</t>
        </is>
      </c>
      <c r="B38" s="5" t="n">
        <v>36617961</v>
      </c>
    </row>
    <row r="39">
      <c r="A39" t="inlineStr">
        <is>
          <t>Pre-F option pool (issued+unissued)</t>
        </is>
      </c>
      <c r="B39" s="5" t="n">
        <v>4394667</v>
      </c>
    </row>
    <row r="40">
      <c r="A40" t="inlineStr">
        <is>
          <t>Pre-F issued options</t>
        </is>
      </c>
      <c r="B40" s="5" t="n">
        <v>2500000</v>
      </c>
    </row>
    <row r="41">
      <c r="A41" t="inlineStr">
        <is>
          <t>Pre-F unissued options</t>
        </is>
      </c>
      <c r="B41" s="5" t="n">
        <v>1894667</v>
      </c>
    </row>
    <row r="43">
      <c r="A43" s="3" t="inlineStr">
        <is>
          <t>Pre-F share counts</t>
        </is>
      </c>
      <c r="B43" s="4" t="n"/>
      <c r="C43" s="4" t="n"/>
    </row>
    <row r="44">
      <c r="A44" t="inlineStr">
        <is>
          <t>F1 (CEO) common</t>
        </is>
      </c>
      <c r="B44" s="5" t="n">
        <v>4000000</v>
      </c>
    </row>
    <row r="45">
      <c r="A45" t="inlineStr">
        <is>
          <t>F2 (CTO) common</t>
        </is>
      </c>
      <c r="B45" s="5" t="n">
        <v>2500000</v>
      </c>
    </row>
    <row r="46">
      <c r="A46" t="inlineStr">
        <is>
          <t>F3 (Chief Sci) common</t>
        </is>
      </c>
      <c r="B46" s="5" t="n">
        <v>1500000</v>
      </c>
    </row>
    <row r="47">
      <c r="A47" t="inlineStr">
        <is>
          <t>RSA holders (10 × 100k)</t>
        </is>
      </c>
      <c r="B47" s="5" t="n">
        <v>1000000</v>
      </c>
    </row>
    <row r="48">
      <c r="A48" t="inlineStr">
        <is>
          <t>Seed preferred shares</t>
        </is>
      </c>
      <c r="B48" s="5" t="n">
        <v>5000000</v>
      </c>
    </row>
    <row r="49">
      <c r="A49" t="inlineStr">
        <is>
          <t>Series A preferred shares</t>
        </is>
      </c>
      <c r="B49" s="5" t="n">
        <v>5000000</v>
      </c>
    </row>
    <row r="50">
      <c r="A50" t="inlineStr">
        <is>
          <t>Series B preferred shares</t>
        </is>
      </c>
      <c r="B50" s="5" t="n">
        <v>3000000</v>
      </c>
    </row>
    <row r="51">
      <c r="A51" t="inlineStr">
        <is>
          <t>Series C preferred shares</t>
        </is>
      </c>
      <c r="B51" s="5" t="n">
        <v>2400000</v>
      </c>
    </row>
    <row r="52">
      <c r="A52" t="inlineStr">
        <is>
          <t>Series D preferred shares (current as-converted)</t>
        </is>
      </c>
      <c r="B52" s="5" t="n">
        <v>1720627</v>
      </c>
    </row>
    <row r="53">
      <c r="A53" t="inlineStr">
        <is>
          <t>Series D preferred shares (original at $60)</t>
        </is>
      </c>
      <c r="B53" s="5" t="n">
        <v>1666667</v>
      </c>
    </row>
    <row r="54">
      <c r="A54" t="inlineStr">
        <is>
          <t>Series E preferred shares (issued)</t>
        </is>
      </c>
      <c r="B54" s="5" t="n">
        <v>6102667</v>
      </c>
    </row>
    <row r="56">
      <c r="A56" s="3" t="inlineStr">
        <is>
          <t>Invested capital per class (USD)</t>
        </is>
      </c>
      <c r="B56" s="4" t="n"/>
      <c r="C56" s="4" t="n"/>
    </row>
    <row r="57">
      <c r="A57" t="inlineStr">
        <is>
          <t>Seed invested (USD)</t>
        </is>
      </c>
      <c r="B57" s="5" t="n">
        <v>5000000</v>
      </c>
    </row>
    <row r="58">
      <c r="A58" t="inlineStr">
        <is>
          <t>Series A invested (USD)</t>
        </is>
      </c>
      <c r="B58" s="5" t="n">
        <v>15000000</v>
      </c>
    </row>
    <row r="59">
      <c r="A59" t="inlineStr">
        <is>
          <t>Series B invested (USD)</t>
        </is>
      </c>
      <c r="B59" s="5" t="n">
        <v>30000000</v>
      </c>
    </row>
    <row r="60">
      <c r="A60" t="inlineStr">
        <is>
          <t>Series C invested (USD)</t>
        </is>
      </c>
      <c r="B60" s="5" t="n">
        <v>60000000</v>
      </c>
    </row>
    <row r="61">
      <c r="A61" t="inlineStr">
        <is>
          <t>Series D invested (USD)</t>
        </is>
      </c>
      <c r="B61" s="5" t="n">
        <v>100000000</v>
      </c>
    </row>
    <row r="62">
      <c r="A62" t="inlineStr">
        <is>
          <t>Series E invested (USD)</t>
        </is>
      </c>
      <c r="B62" s="5" t="n">
        <v>300000000</v>
      </c>
    </row>
    <row r="64">
      <c r="A64" s="3" t="inlineStr">
        <is>
          <t>Sensitivity axes</t>
        </is>
      </c>
      <c r="B64" s="4" t="n"/>
      <c r="C64" s="4" t="n"/>
    </row>
    <row r="65">
      <c r="A65" t="inlineStr">
        <is>
          <t>ESOP low</t>
        </is>
      </c>
      <c r="B65" s="7" t="n">
        <v>0.11</v>
      </c>
    </row>
    <row r="66">
      <c r="A66" t="inlineStr">
        <is>
          <t>ESOP base</t>
        </is>
      </c>
      <c r="B66" s="7" t="n">
        <v>0.13</v>
      </c>
    </row>
    <row r="67">
      <c r="A67" t="inlineStr">
        <is>
          <t>ESOP high</t>
        </is>
      </c>
      <c r="B67" s="7" t="n">
        <v>0.15</v>
      </c>
    </row>
    <row r="68">
      <c r="A68" t="inlineStr">
        <is>
          <t>Pre-money low</t>
        </is>
      </c>
      <c r="B68" s="5" t="n">
        <v>1200000000</v>
      </c>
    </row>
    <row r="69">
      <c r="A69" t="inlineStr">
        <is>
          <t>Pre-money base</t>
        </is>
      </c>
      <c r="B69" s="5" t="n">
        <v>1400000000</v>
      </c>
    </row>
    <row r="70">
      <c r="A70" t="inlineStr">
        <is>
          <t>Pre-money high</t>
        </is>
      </c>
      <c r="B70" s="5" t="n">
        <v>1800000000</v>
      </c>
    </row>
    <row r="71">
      <c r="A71" t="inlineStr">
        <is>
          <t>Return target 3x</t>
        </is>
      </c>
      <c r="B71" s="10" t="n">
        <v>3</v>
      </c>
    </row>
    <row r="72">
      <c r="A72" t="inlineStr">
        <is>
          <t>Return target 4x</t>
        </is>
      </c>
      <c r="B72" s="10" t="n">
        <v>4</v>
      </c>
    </row>
    <row r="74">
      <c r="A74" s="1" t="inlineStr">
        <is>
          <t>SOLVED — Base case fixed point (computed)</t>
        </is>
      </c>
      <c r="B74" s="2" t="n"/>
      <c r="C74" s="2" t="n"/>
    </row>
    <row r="75">
      <c r="A75" t="inlineStr">
        <is>
          <t>F_PPS (USD/share)</t>
        </is>
      </c>
      <c r="B75" s="9" t="n">
        <v>37.29976025659982</v>
      </c>
    </row>
    <row r="76">
      <c r="A76" t="inlineStr">
        <is>
          <t>T_F (post-F FD shares)</t>
        </is>
      </c>
      <c r="B76" s="11" t="n">
        <v>38338048.02396754</v>
      </c>
    </row>
    <row r="77">
      <c r="A77" t="inlineStr">
        <is>
          <t>ESOP top-up shares</t>
        </is>
      </c>
      <c r="B77" s="11" t="n">
        <v>589279.2431157809</v>
      </c>
    </row>
    <row r="78">
      <c r="A78" t="inlineStr">
        <is>
          <t>NCP_D (after F AD)</t>
        </is>
      </c>
      <c r="B78" s="9" t="n">
        <v>57.67090525853074</v>
      </c>
    </row>
    <row r="79">
      <c r="A79" t="inlineStr">
        <is>
          <t>AD increment Series D</t>
        </is>
      </c>
      <c r="B79" s="11" t="n">
        <v>13349.94299601601</v>
      </c>
    </row>
    <row r="80">
      <c r="A80" t="inlineStr">
        <is>
          <t>NCP_E</t>
        </is>
      </c>
      <c r="B80" s="9" t="n">
        <v>48.90344208592202</v>
      </c>
    </row>
    <row r="81">
      <c r="A81" t="inlineStr">
        <is>
          <t>AD increment Series E</t>
        </is>
      </c>
      <c r="B81" s="11" t="n">
        <v>31805.12546615209</v>
      </c>
    </row>
    <row r="82">
      <c r="A82" t="inlineStr">
        <is>
          <t>Note A cap-implied PPS</t>
        </is>
      </c>
      <c r="B82" s="9" t="n">
        <v>26.77589932705916</v>
      </c>
    </row>
    <row r="83">
      <c r="A83" t="inlineStr">
        <is>
          <t>Note A disc-implied PPS</t>
        </is>
      </c>
      <c r="B83" s="9" t="n">
        <v>29.83980820527986</v>
      </c>
    </row>
    <row r="84">
      <c r="A84" t="inlineStr">
        <is>
          <t>Note A conversion PPS</t>
        </is>
      </c>
      <c r="B84" s="9" t="n">
        <v>26.77589932705916</v>
      </c>
    </row>
    <row r="85">
      <c r="A85" t="inlineStr">
        <is>
          <t>Note A converted shares</t>
        </is>
      </c>
      <c r="B85" s="11" t="n">
        <v>186735.091095413</v>
      </c>
    </row>
    <row r="86">
      <c r="A86" t="inlineStr">
        <is>
          <t>Note B cap-implied PPS</t>
        </is>
      </c>
      <c r="B86" s="9" t="n">
        <v>42.73603534033342</v>
      </c>
    </row>
    <row r="87">
      <c r="A87" t="inlineStr">
        <is>
          <t>Note B disc-implied PPS</t>
        </is>
      </c>
      <c r="B87" s="9" t="n">
        <v>31.70479621810985</v>
      </c>
    </row>
    <row r="88">
      <c r="A88" t="inlineStr">
        <is>
          <t>Note B conversion PPS</t>
        </is>
      </c>
      <c r="B88" s="9" t="n">
        <v>31.70479621810985</v>
      </c>
    </row>
    <row r="89">
      <c r="A89" t="inlineStr">
        <is>
          <t>Note B converted shares</t>
        </is>
      </c>
      <c r="B89" s="11" t="n">
        <v>94622.90750465046</v>
      </c>
    </row>
    <row r="90">
      <c r="A90" t="inlineStr">
        <is>
          <t>Series F primary new shares</t>
        </is>
      </c>
      <c r="B90" s="11" t="n">
        <v>804294.7137895288</v>
      </c>
    </row>
    <row r="92">
      <c r="A92" s="1" t="inlineStr">
        <is>
          <t>SOLVED — Base case waterfall (per exit)</t>
        </is>
      </c>
      <c r="B92" s="2" t="n"/>
      <c r="C92" s="2" t="n"/>
    </row>
    <row r="93">
      <c r="A93" s="3" t="inlineStr">
        <is>
          <t>Base waterfall — exit $700M</t>
        </is>
      </c>
      <c r="B93" s="4" t="n"/>
      <c r="C93" s="4" t="n"/>
    </row>
    <row r="94">
      <c r="A94" t="inlineStr">
        <is>
          <t xml:space="preserve">  pps_eq @ $700M</t>
        </is>
      </c>
      <c r="B94" s="9" t="n">
        <v>8.378724596130768</v>
      </c>
    </row>
    <row r="95">
      <c r="A95" t="inlineStr">
        <is>
          <t xml:space="preserve">  prefs_total @ $700M</t>
        </is>
      </c>
      <c r="B95" s="5" t="n">
        <v>520000000</v>
      </c>
    </row>
    <row r="96">
      <c r="A96" t="inlineStr">
        <is>
          <t xml:space="preserve">  pps_if_F_converts @ $700M</t>
        </is>
      </c>
      <c r="B96" s="9" t="n">
        <v>9.408627800401399</v>
      </c>
    </row>
    <row r="97">
      <c r="A97" t="inlineStr">
        <is>
          <t xml:space="preserve">  pps_if_E_converts @ $700M</t>
        </is>
      </c>
      <c r="B97" s="9" t="n">
        <v>17.28410001979619</v>
      </c>
    </row>
    <row r="98">
      <c r="A98" t="inlineStr">
        <is>
          <t xml:space="preserve">  pps_if_D_converts @ $700M</t>
        </is>
      </c>
      <c r="B98" s="9" t="n">
        <v>12.01343721880347</v>
      </c>
    </row>
    <row r="99">
      <c r="A99" t="inlineStr">
        <is>
          <t xml:space="preserve">  pps_if_C_converts @ $700M</t>
        </is>
      </c>
      <c r="B99" s="9" t="n">
        <v>10.02838633024825</v>
      </c>
    </row>
    <row r="100">
      <c r="A100" t="inlineStr">
        <is>
          <t xml:space="preserve">  pps_if_B_converts @ $700M</t>
        </is>
      </c>
      <c r="B100" s="9" t="n">
        <v>8.574994155364868</v>
      </c>
    </row>
    <row r="101">
      <c r="A101" t="inlineStr">
        <is>
          <t xml:space="preserve">  pps_if_A_converts @ $700M</t>
        </is>
      </c>
      <c r="B101" s="9" t="n">
        <v>8.378724596130768</v>
      </c>
    </row>
    <row r="102">
      <c r="A102" t="inlineStr">
        <is>
          <t xml:space="preserve">  pps_if_Seed_converts @ $700M</t>
        </is>
      </c>
      <c r="B102" s="9" t="n">
        <v>8.378724596130768</v>
      </c>
    </row>
    <row r="103">
      <c r="A103" s="3" t="inlineStr">
        <is>
          <t>Base waterfall — exit $1.2B</t>
        </is>
      </c>
      <c r="B103" s="4" t="n"/>
      <c r="C103" s="4" t="n"/>
    </row>
    <row r="104">
      <c r="A104" t="inlineStr">
        <is>
          <t xml:space="preserve">  pps_eq @ $1.2B</t>
        </is>
      </c>
      <c r="B104" s="9" t="n">
        <v>28.42021359049781</v>
      </c>
    </row>
    <row r="105">
      <c r="A105" t="inlineStr">
        <is>
          <t xml:space="preserve">  prefs_total @ $1.2B</t>
        </is>
      </c>
      <c r="B105" s="5" t="n">
        <v>430000000</v>
      </c>
    </row>
    <row r="106">
      <c r="A106" t="inlineStr">
        <is>
          <t xml:space="preserve">  pps_if_F_converts @ $1.2B</t>
        </is>
      </c>
      <c r="B106" s="9" t="n">
        <v>28.67540765432008</v>
      </c>
    </row>
    <row r="107">
      <c r="A107" t="inlineStr">
        <is>
          <t xml:space="preserve">  pps_if_E_converts @ $1.2B</t>
        </is>
      </c>
      <c r="B107" s="9" t="n">
        <v>32.19190384889323</v>
      </c>
    </row>
    <row r="108">
      <c r="A108" t="inlineStr">
        <is>
          <t xml:space="preserve">  pps_if_D_converts @ $1.2B</t>
        </is>
      </c>
      <c r="B108" s="9" t="n">
        <v>30.17430030681981</v>
      </c>
    </row>
    <row r="109">
      <c r="A109" t="inlineStr">
        <is>
          <t xml:space="preserve">  pps_if_C_converts @ $1.2B</t>
        </is>
      </c>
      <c r="B109" s="9" t="n">
        <v>28.42021359049781</v>
      </c>
    </row>
    <row r="110">
      <c r="A110" t="inlineStr">
        <is>
          <t xml:space="preserve">  pps_if_B_converts @ $1.2B</t>
        </is>
      </c>
      <c r="B110" s="9" t="n">
        <v>28.42021359049781</v>
      </c>
    </row>
    <row r="111">
      <c r="A111" t="inlineStr">
        <is>
          <t xml:space="preserve">  pps_if_A_converts @ $1.2B</t>
        </is>
      </c>
      <c r="B111" s="9" t="n">
        <v>28.42021359049781</v>
      </c>
    </row>
    <row r="112">
      <c r="A112" t="inlineStr">
        <is>
          <t xml:space="preserve">  pps_if_Seed_converts @ $1.2B</t>
        </is>
      </c>
      <c r="B112" s="9" t="n">
        <v>28.42021359049781</v>
      </c>
    </row>
    <row r="113">
      <c r="A113" s="3" t="inlineStr">
        <is>
          <t>Base waterfall — exit $2B</t>
        </is>
      </c>
      <c r="B113" s="4" t="n"/>
      <c r="C113" s="4" t="n"/>
    </row>
    <row r="114">
      <c r="A114" t="inlineStr">
        <is>
          <t xml:space="preserve">  pps_eq @ $2B</t>
        </is>
      </c>
      <c r="B114" s="9" t="n">
        <v>55.75888157036302</v>
      </c>
    </row>
    <row r="115">
      <c r="A115" t="inlineStr">
        <is>
          <t xml:space="preserve">  prefs_total @ $2B</t>
        </is>
      </c>
      <c r="B115" s="5" t="n">
        <v>100000000</v>
      </c>
    </row>
    <row r="116">
      <c r="A116" t="inlineStr">
        <is>
          <t xml:space="preserve">  pps_if_F_converts @ $2B</t>
        </is>
      </c>
      <c r="B116" s="9" t="n">
        <v>55.75888157036302</v>
      </c>
    </row>
    <row r="117">
      <c r="A117" t="inlineStr">
        <is>
          <t xml:space="preserve">  pps_if_E_converts @ $2B</t>
        </is>
      </c>
      <c r="B117" s="9" t="n">
        <v>55.75888157036302</v>
      </c>
    </row>
    <row r="118">
      <c r="A118" t="inlineStr">
        <is>
          <t xml:space="preserve">  pps_if_D_converts @ $2B</t>
        </is>
      </c>
      <c r="B118" s="9" t="n">
        <v>55.85135034869162</v>
      </c>
    </row>
    <row r="119">
      <c r="A119" t="inlineStr">
        <is>
          <t xml:space="preserve">  pps_if_C_converts @ $2B</t>
        </is>
      </c>
      <c r="B119" s="9" t="n">
        <v>55.75888157036302</v>
      </c>
    </row>
    <row r="120">
      <c r="A120" t="inlineStr">
        <is>
          <t xml:space="preserve">  pps_if_B_converts @ $2B</t>
        </is>
      </c>
      <c r="B120" s="9" t="n">
        <v>55.75888157036302</v>
      </c>
    </row>
    <row r="121">
      <c r="A121" t="inlineStr">
        <is>
          <t xml:space="preserve">  pps_if_A_converts @ $2B</t>
        </is>
      </c>
      <c r="B121" s="9" t="n">
        <v>55.75888157036302</v>
      </c>
    </row>
    <row r="122">
      <c r="A122" t="inlineStr">
        <is>
          <t xml:space="preserve">  pps_if_Seed_converts @ $2B</t>
        </is>
      </c>
      <c r="B122" s="9" t="n">
        <v>55.75888157036302</v>
      </c>
    </row>
    <row r="123">
      <c r="A123" s="3" t="inlineStr">
        <is>
          <t>Base waterfall — exit $4B</t>
        </is>
      </c>
      <c r="B123" s="4" t="n"/>
      <c r="C123" s="4" t="n"/>
    </row>
    <row r="124">
      <c r="A124" t="inlineStr">
        <is>
          <t xml:space="preserve">  pps_eq @ $4B</t>
        </is>
      </c>
      <c r="B124" s="9" t="n">
        <v>111.6329736682338</v>
      </c>
    </row>
    <row r="125">
      <c r="A125" t="inlineStr">
        <is>
          <t xml:space="preserve">  prefs_total @ $4B</t>
        </is>
      </c>
      <c r="B125" s="5" t="n">
        <v>0</v>
      </c>
    </row>
    <row r="126">
      <c r="A126" t="inlineStr">
        <is>
          <t xml:space="preserve">  pps_if_F_converts @ $4B</t>
        </is>
      </c>
      <c r="B126" s="9" t="n">
        <v>111.6329736682338</v>
      </c>
    </row>
    <row r="127">
      <c r="A127" t="inlineStr">
        <is>
          <t xml:space="preserve">  pps_if_E_converts @ $4B</t>
        </is>
      </c>
      <c r="B127" s="9" t="n">
        <v>111.6329736682338</v>
      </c>
    </row>
    <row r="128">
      <c r="A128" t="inlineStr">
        <is>
          <t xml:space="preserve">  pps_if_D_converts @ $4B</t>
        </is>
      </c>
      <c r="B128" s="9" t="n">
        <v>111.6329736682338</v>
      </c>
    </row>
    <row r="129">
      <c r="A129" t="inlineStr">
        <is>
          <t xml:space="preserve">  pps_if_C_converts @ $4B</t>
        </is>
      </c>
      <c r="B129" s="9" t="n">
        <v>111.6329736682338</v>
      </c>
    </row>
    <row r="130">
      <c r="A130" t="inlineStr">
        <is>
          <t xml:space="preserve">  pps_if_B_converts @ $4B</t>
        </is>
      </c>
      <c r="B130" s="9" t="n">
        <v>111.6329736682338</v>
      </c>
    </row>
    <row r="131">
      <c r="A131" t="inlineStr">
        <is>
          <t xml:space="preserve">  pps_if_A_converts @ $4B</t>
        </is>
      </c>
      <c r="B131" s="9" t="n">
        <v>111.6329736682338</v>
      </c>
    </row>
    <row r="132">
      <c r="A132" t="inlineStr">
        <is>
          <t xml:space="preserve">  pps_if_Seed_converts @ $4B</t>
        </is>
      </c>
      <c r="B132" s="9" t="n">
        <v>111.6329736682338</v>
      </c>
    </row>
    <row r="133">
      <c r="A133" s="3" t="inlineStr">
        <is>
          <t>Base waterfall — exit $8B</t>
        </is>
      </c>
      <c r="B133" s="4" t="n"/>
      <c r="C133" s="4" t="n"/>
    </row>
    <row r="134">
      <c r="A134" t="inlineStr">
        <is>
          <t xml:space="preserve">  pps_eq @ $8B</t>
        </is>
      </c>
      <c r="B134" s="9" t="n">
        <v>223.1962203073182</v>
      </c>
    </row>
    <row r="135">
      <c r="A135" t="inlineStr">
        <is>
          <t xml:space="preserve">  prefs_total @ $8B</t>
        </is>
      </c>
      <c r="B135" s="5" t="n">
        <v>0</v>
      </c>
    </row>
    <row r="136">
      <c r="A136" t="inlineStr">
        <is>
          <t xml:space="preserve">  pps_if_F_converts @ $8B</t>
        </is>
      </c>
      <c r="B136" s="9" t="n">
        <v>223.1962203073182</v>
      </c>
    </row>
    <row r="137">
      <c r="A137" t="inlineStr">
        <is>
          <t xml:space="preserve">  pps_if_E_converts @ $8B</t>
        </is>
      </c>
      <c r="B137" s="9" t="n">
        <v>223.1962203073182</v>
      </c>
    </row>
    <row r="138">
      <c r="A138" t="inlineStr">
        <is>
          <t xml:space="preserve">  pps_if_D_converts @ $8B</t>
        </is>
      </c>
      <c r="B138" s="9" t="n">
        <v>223.1962203073182</v>
      </c>
    </row>
    <row r="139">
      <c r="A139" t="inlineStr">
        <is>
          <t xml:space="preserve">  pps_if_C_converts @ $8B</t>
        </is>
      </c>
      <c r="B139" s="9" t="n">
        <v>223.1962203073182</v>
      </c>
    </row>
    <row r="140">
      <c r="A140" t="inlineStr">
        <is>
          <t xml:space="preserve">  pps_if_B_converts @ $8B</t>
        </is>
      </c>
      <c r="B140" s="9" t="n">
        <v>223.1962203073182</v>
      </c>
    </row>
    <row r="141">
      <c r="A141" t="inlineStr">
        <is>
          <t xml:space="preserve">  pps_if_A_converts @ $8B</t>
        </is>
      </c>
      <c r="B141" s="9" t="n">
        <v>223.1962203073182</v>
      </c>
    </row>
    <row r="142">
      <c r="A142" t="inlineStr">
        <is>
          <t xml:space="preserve">  pps_if_Seed_converts @ $8B</t>
        </is>
      </c>
      <c r="B142" s="9" t="n">
        <v>223.1962203073182</v>
      </c>
    </row>
    <row r="144">
      <c r="A144" s="1" t="inlineStr">
        <is>
          <t>SOLVED — Sensitivity scenarios (esop × pre, exit=$2B for proceeds)</t>
        </is>
      </c>
      <c r="B144" s="2" t="n"/>
      <c r="C144" s="2" t="n"/>
    </row>
    <row r="145">
      <c r="A145" s="3" t="inlineStr">
        <is>
          <t>Sensitivity — ESOP=11% × Pre=$1.2B</t>
        </is>
      </c>
      <c r="B145" s="4" t="n"/>
      <c r="C145" s="4" t="n"/>
    </row>
    <row r="146">
      <c r="A146" t="inlineStr">
        <is>
          <t xml:space="preserve">  F_PPS</t>
        </is>
      </c>
      <c r="B146" s="9" t="n">
        <v>32.44129498711273</v>
      </c>
    </row>
    <row r="147">
      <c r="A147" t="inlineStr">
        <is>
          <t xml:space="preserve">  T_F (post-F FD)</t>
        </is>
      </c>
      <c r="B147" s="11" t="n">
        <v>37914639.36592594</v>
      </c>
    </row>
    <row r="148">
      <c r="A148" t="inlineStr">
        <is>
          <t xml:space="preserve">  Note A cap-impl PPS</t>
        </is>
      </c>
      <c r="B148" s="9" t="n">
        <v>27.17595391590595</v>
      </c>
    </row>
    <row r="149">
      <c r="A149" t="inlineStr">
        <is>
          <t xml:space="preserve">  Note A disc-impl PPS</t>
        </is>
      </c>
      <c r="B149" s="9" t="n">
        <v>25.95303598969018</v>
      </c>
    </row>
    <row r="150">
      <c r="A150" t="inlineStr">
        <is>
          <t xml:space="preserve">  Note B cap-impl PPS</t>
        </is>
      </c>
      <c r="B150" s="9" t="n">
        <v>43.38265602996392</v>
      </c>
    </row>
    <row r="151">
      <c r="A151" t="inlineStr">
        <is>
          <t xml:space="preserve">  Note B disc-impl PPS</t>
        </is>
      </c>
      <c r="B151" s="9" t="n">
        <v>27.57510073904582</v>
      </c>
    </row>
    <row r="152">
      <c r="A152" t="inlineStr">
        <is>
          <t xml:space="preserve">  Note A shares</t>
        </is>
      </c>
      <c r="B152" s="11" t="n">
        <v>192655.6878349895</v>
      </c>
    </row>
    <row r="153">
      <c r="A153" t="inlineStr">
        <is>
          <t xml:space="preserve">  Note B shares</t>
        </is>
      </c>
      <c r="B153" s="11" t="n">
        <v>108793.8001891706</v>
      </c>
    </row>
    <row r="154">
      <c r="A154" t="inlineStr">
        <is>
          <t xml:space="preserve">  AD increment D</t>
        </is>
      </c>
      <c r="B154" s="11" t="n">
        <v>18931.16748442594</v>
      </c>
    </row>
    <row r="155">
      <c r="A155" t="inlineStr">
        <is>
          <t xml:space="preserve">  AD increment E</t>
        </is>
      </c>
      <c r="B155" s="11" t="n">
        <v>51550.40880940389</v>
      </c>
    </row>
    <row r="156">
      <c r="A156" t="inlineStr">
        <is>
          <t xml:space="preserve">  ESOP topup</t>
        </is>
      </c>
      <c r="B156" s="11" t="n">
        <v>0</v>
      </c>
    </row>
    <row r="157">
      <c r="A157" t="inlineStr">
        <is>
          <t xml:space="preserve">  pps_eq @ $2B</t>
        </is>
      </c>
      <c r="B157" s="9" t="n">
        <v>55.49816256556471</v>
      </c>
    </row>
    <row r="158">
      <c r="A158" t="inlineStr">
        <is>
          <t xml:space="preserve">  pps_if_F_converts @ $2B</t>
        </is>
      </c>
      <c r="B158" s="9" t="n">
        <v>55.49816256556471</v>
      </c>
    </row>
    <row r="159">
      <c r="A159" s="3" t="inlineStr">
        <is>
          <t>Sensitivity — ESOP=11% × Pre=$1.4B</t>
        </is>
      </c>
      <c r="B159" s="4" t="n"/>
      <c r="C159" s="4" t="n"/>
    </row>
    <row r="160">
      <c r="A160" t="inlineStr">
        <is>
          <t xml:space="preserve">  F_PPS</t>
        </is>
      </c>
      <c r="B160" s="9" t="n">
        <v>37.90205027780051</v>
      </c>
    </row>
    <row r="161">
      <c r="A161" t="inlineStr">
        <is>
          <t xml:space="preserve">  T_F (post-F FD)</t>
        </is>
      </c>
      <c r="B161" s="11" t="n">
        <v>37728829.69440734</v>
      </c>
    </row>
    <row r="162">
      <c r="A162" t="inlineStr">
        <is>
          <t xml:space="preserve">  Note A cap-impl PPS</t>
        </is>
      </c>
      <c r="B162" s="9" t="n">
        <v>27.20825752084965</v>
      </c>
    </row>
    <row r="163">
      <c r="A163" t="inlineStr">
        <is>
          <t xml:space="preserve">  Note A disc-impl PPS</t>
        </is>
      </c>
      <c r="B163" s="9" t="n">
        <v>30.32164022224041</v>
      </c>
    </row>
    <row r="164">
      <c r="A164" t="inlineStr">
        <is>
          <t xml:space="preserve">  Note B cap-impl PPS</t>
        </is>
      </c>
      <c r="B164" s="9" t="n">
        <v>43.42610646824658</v>
      </c>
    </row>
    <row r="165">
      <c r="A165" t="inlineStr">
        <is>
          <t xml:space="preserve">  Note B disc-impl PPS</t>
        </is>
      </c>
      <c r="B165" s="9" t="n">
        <v>32.21674273613043</v>
      </c>
    </row>
    <row r="166">
      <c r="A166" t="inlineStr">
        <is>
          <t xml:space="preserve">  Note A shares</t>
        </is>
      </c>
      <c r="B166" s="11" t="n">
        <v>183767.7402225595</v>
      </c>
    </row>
    <row r="167">
      <c r="A167" t="inlineStr">
        <is>
          <t xml:space="preserve">  Note B shares</t>
        </is>
      </c>
      <c r="B167" s="11" t="n">
        <v>93119.28349092721</v>
      </c>
    </row>
    <row r="168">
      <c r="A168" t="inlineStr">
        <is>
          <t xml:space="preserve">  AD increment D</t>
        </is>
      </c>
      <c r="B168" s="11" t="n">
        <v>12757.73872536188</v>
      </c>
    </row>
    <row r="169">
      <c r="A169" t="inlineStr">
        <is>
          <t xml:space="preserve">  AD increment E</t>
        </is>
      </c>
      <c r="B169" s="11" t="n">
        <v>29710.0222956147</v>
      </c>
    </row>
    <row r="170">
      <c r="A170" t="inlineStr">
        <is>
          <t xml:space="preserve">  ESOP topup</t>
        </is>
      </c>
      <c r="B170" s="11" t="n">
        <v>0</v>
      </c>
    </row>
    <row r="171">
      <c r="A171" t="inlineStr">
        <is>
          <t xml:space="preserve">  pps_eq @ $2B</t>
        </is>
      </c>
      <c r="B171" s="9" t="n">
        <v>55.79051605428255</v>
      </c>
    </row>
    <row r="172">
      <c r="A172" t="inlineStr">
        <is>
          <t xml:space="preserve">  pps_if_F_converts @ $2B</t>
        </is>
      </c>
      <c r="B172" s="9" t="n">
        <v>55.79051605428255</v>
      </c>
    </row>
    <row r="173">
      <c r="A173" s="3" t="inlineStr">
        <is>
          <t>Sensitivity — ESOP=11% × Pre=$1.8B</t>
        </is>
      </c>
      <c r="B173" s="4" t="n"/>
      <c r="C173" s="4" t="n"/>
    </row>
    <row r="174">
      <c r="A174" t="inlineStr">
        <is>
          <t xml:space="preserve">  F_PPS</t>
        </is>
      </c>
      <c r="B174" s="9" t="n">
        <v>48.80822405230568</v>
      </c>
    </row>
    <row r="175">
      <c r="A175" t="inlineStr">
        <is>
          <t xml:space="preserve">  T_F (post-F FD)</t>
        </is>
      </c>
      <c r="B175" s="11" t="n">
        <v>37493681.35252919</v>
      </c>
    </row>
    <row r="176">
      <c r="A176" t="inlineStr">
        <is>
          <t xml:space="preserve">  Note A cap-impl PPS</t>
        </is>
      </c>
      <c r="B176" s="9" t="n">
        <v>27.251258429204</v>
      </c>
    </row>
    <row r="177">
      <c r="A177" t="inlineStr">
        <is>
          <t xml:space="preserve">  Note A disc-impl PPS</t>
        </is>
      </c>
      <c r="B177" s="9" t="n">
        <v>39.04657924184454</v>
      </c>
    </row>
    <row r="178">
      <c r="A178" t="inlineStr">
        <is>
          <t xml:space="preserve">  Note B cap-impl PPS</t>
        </is>
      </c>
      <c r="B178" s="9" t="n">
        <v>43.47032397585836</v>
      </c>
    </row>
    <row r="179">
      <c r="A179" t="inlineStr">
        <is>
          <t xml:space="preserve">  Note B disc-impl PPS</t>
        </is>
      </c>
      <c r="B179" s="9" t="n">
        <v>41.48699044445982</v>
      </c>
    </row>
    <row r="180">
      <c r="A180" t="inlineStr">
        <is>
          <t xml:space="preserve">  Note A shares</t>
        </is>
      </c>
      <c r="B180" s="11" t="n">
        <v>183477.7653659368</v>
      </c>
    </row>
    <row r="181">
      <c r="A181" t="inlineStr">
        <is>
          <t xml:space="preserve">  Note B shares</t>
        </is>
      </c>
      <c r="B181" s="11" t="n">
        <v>72311.82517363393</v>
      </c>
    </row>
    <row r="182">
      <c r="A182" t="inlineStr">
        <is>
          <t xml:space="preserve">  AD increment D</t>
        </is>
      </c>
      <c r="B182" s="11" t="n">
        <v>4562.694243167294</v>
      </c>
    </row>
    <row r="183">
      <c r="A183" t="inlineStr">
        <is>
          <t xml:space="preserve">  AD increment E</t>
        </is>
      </c>
      <c r="B183" s="11" t="n">
        <v>717.5537705626339</v>
      </c>
    </row>
    <row r="184">
      <c r="A184" t="inlineStr">
        <is>
          <t xml:space="preserve">  ESOP topup</t>
        </is>
      </c>
      <c r="B184" s="11" t="n">
        <v>0</v>
      </c>
    </row>
    <row r="185">
      <c r="A185" t="inlineStr">
        <is>
          <t xml:space="preserve">  pps_eq @ $2B</t>
        </is>
      </c>
      <c r="B185" s="9" t="n">
        <v>56.16431032492286</v>
      </c>
    </row>
    <row r="186">
      <c r="A186" t="inlineStr">
        <is>
          <t xml:space="preserve">  pps_if_F_converts @ $2B</t>
        </is>
      </c>
      <c r="B186" s="9" t="n">
        <v>56.16431032492286</v>
      </c>
    </row>
    <row r="187">
      <c r="A187" s="3" t="inlineStr">
        <is>
          <t>Sensitivity — ESOP=13% × Pre=$1.2B</t>
        </is>
      </c>
      <c r="B187" s="4" t="n"/>
      <c r="C187" s="4" t="n"/>
    </row>
    <row r="188">
      <c r="A188" t="inlineStr">
        <is>
          <t xml:space="preserve">  F_PPS</t>
        </is>
      </c>
      <c r="B188" s="9" t="n">
        <v>31.90136759115282</v>
      </c>
    </row>
    <row r="189">
      <c r="A189" t="inlineStr">
        <is>
          <t xml:space="preserve">  T_F (post-F FD)</t>
        </is>
      </c>
      <c r="B189" s="11" t="n">
        <v>38556340.77396466</v>
      </c>
    </row>
    <row r="190">
      <c r="A190" t="inlineStr">
        <is>
          <t xml:space="preserve">  Note A cap-impl PPS</t>
        </is>
      </c>
      <c r="B190" s="9" t="n">
        <v>26.72365871510184</v>
      </c>
    </row>
    <row r="191">
      <c r="A191" t="inlineStr">
        <is>
          <t xml:space="preserve">  Note A disc-impl PPS</t>
        </is>
      </c>
      <c r="B191" s="9" t="n">
        <v>25.52109407292225</v>
      </c>
    </row>
    <row r="192">
      <c r="A192" t="inlineStr">
        <is>
          <t xml:space="preserve">  Note B cap-impl PPS</t>
        </is>
      </c>
      <c r="B192" s="9" t="n">
        <v>42.66062922710701</v>
      </c>
    </row>
    <row r="193">
      <c r="A193" t="inlineStr">
        <is>
          <t xml:space="preserve">  Note B disc-impl PPS</t>
        </is>
      </c>
      <c r="B193" s="9" t="n">
        <v>27.11616245247989</v>
      </c>
    </row>
    <row r="194">
      <c r="A194" t="inlineStr">
        <is>
          <t xml:space="preserve">  Note A shares</t>
        </is>
      </c>
      <c r="B194" s="11" t="n">
        <v>195916.3657213651</v>
      </c>
    </row>
    <row r="195">
      <c r="A195" t="inlineStr">
        <is>
          <t xml:space="preserve">  Note B shares</t>
        </is>
      </c>
      <c r="B195" s="11" t="n">
        <v>110635.124172065</v>
      </c>
    </row>
    <row r="196">
      <c r="A196" t="inlineStr">
        <is>
          <t xml:space="preserve">  AD increment D</t>
        </is>
      </c>
      <c r="B196" s="11" t="n">
        <v>19656.37532652984</v>
      </c>
    </row>
    <row r="197">
      <c r="A197" t="inlineStr">
        <is>
          <t xml:space="preserve">  AD increment E</t>
        </is>
      </c>
      <c r="B197" s="11" t="n">
        <v>54116.0526667377</v>
      </c>
    </row>
    <row r="198">
      <c r="A198" t="inlineStr">
        <is>
          <t xml:space="preserve">  ESOP topup</t>
        </is>
      </c>
      <c r="B198" s="11" t="n">
        <v>617657.3006154057</v>
      </c>
    </row>
    <row r="199">
      <c r="A199" t="inlineStr">
        <is>
          <t xml:space="preserve">  pps_eq @ $2B</t>
        </is>
      </c>
      <c r="B199" s="9" t="n">
        <v>55.46043617362627</v>
      </c>
    </row>
    <row r="200">
      <c r="A200" t="inlineStr">
        <is>
          <t xml:space="preserve">  pps_if_F_converts @ $2B</t>
        </is>
      </c>
      <c r="B200" s="9" t="n">
        <v>55.46043617362627</v>
      </c>
    </row>
    <row r="201">
      <c r="A201" s="3" t="inlineStr">
        <is>
          <t>Sensitivity — ESOP=13% × Pre=$1.4B</t>
        </is>
      </c>
      <c r="B201" s="4" t="n"/>
      <c r="C201" s="4" t="n"/>
    </row>
    <row r="202">
      <c r="A202" t="inlineStr">
        <is>
          <t xml:space="preserve">  F_PPS</t>
        </is>
      </c>
      <c r="B202" s="9" t="n">
        <v>37.29976025659982</v>
      </c>
    </row>
    <row r="203">
      <c r="A203" t="inlineStr">
        <is>
          <t xml:space="preserve">  T_F (post-F FD)</t>
        </is>
      </c>
      <c r="B203" s="11" t="n">
        <v>38338048.02396754</v>
      </c>
    </row>
    <row r="204">
      <c r="A204" t="inlineStr">
        <is>
          <t xml:space="preserve">  Note A cap-impl PPS</t>
        </is>
      </c>
      <c r="B204" s="9" t="n">
        <v>26.77589932705916</v>
      </c>
    </row>
    <row r="205">
      <c r="A205" t="inlineStr">
        <is>
          <t xml:space="preserve">  Note A disc-impl PPS</t>
        </is>
      </c>
      <c r="B205" s="9" t="n">
        <v>29.83980820527986</v>
      </c>
    </row>
    <row r="206">
      <c r="A206" t="inlineStr">
        <is>
          <t xml:space="preserve">  Note B cap-impl PPS</t>
        </is>
      </c>
      <c r="B206" s="9" t="n">
        <v>42.73603534033342</v>
      </c>
    </row>
    <row r="207">
      <c r="A207" t="inlineStr">
        <is>
          <t xml:space="preserve">  Note B disc-impl PPS</t>
        </is>
      </c>
      <c r="B207" s="9" t="n">
        <v>31.70479621810985</v>
      </c>
    </row>
    <row r="208">
      <c r="A208" t="inlineStr">
        <is>
          <t xml:space="preserve">  Note A shares</t>
        </is>
      </c>
      <c r="B208" s="11" t="n">
        <v>186735.091095413</v>
      </c>
    </row>
    <row r="209">
      <c r="A209" t="inlineStr">
        <is>
          <t xml:space="preserve">  Note B shares</t>
        </is>
      </c>
      <c r="B209" s="11" t="n">
        <v>94622.90750465046</v>
      </c>
    </row>
    <row r="210">
      <c r="A210" t="inlineStr">
        <is>
          <t xml:space="preserve">  AD increment D</t>
        </is>
      </c>
      <c r="B210" s="11" t="n">
        <v>13349.94299601601</v>
      </c>
    </row>
    <row r="211">
      <c r="A211" t="inlineStr">
        <is>
          <t xml:space="preserve">  AD increment E</t>
        </is>
      </c>
      <c r="B211" s="11" t="n">
        <v>31805.12546615209</v>
      </c>
    </row>
    <row r="212">
      <c r="A212" t="inlineStr">
        <is>
          <t xml:space="preserve">  ESOP topup</t>
        </is>
      </c>
      <c r="B212" s="11" t="n">
        <v>589279.2431157809</v>
      </c>
    </row>
    <row r="213">
      <c r="A213" t="inlineStr">
        <is>
          <t xml:space="preserve">  pps_eq @ $2B</t>
        </is>
      </c>
      <c r="B213" s="9" t="n">
        <v>55.75888157036302</v>
      </c>
    </row>
    <row r="214">
      <c r="A214" t="inlineStr">
        <is>
          <t xml:space="preserve">  pps_if_F_converts @ $2B</t>
        </is>
      </c>
      <c r="B214" s="9" t="n">
        <v>55.75888157036302</v>
      </c>
    </row>
    <row r="215">
      <c r="A215" s="3" t="inlineStr">
        <is>
          <t>Sensitivity — ESOP=13% × Pre=$1.8B</t>
        </is>
      </c>
      <c r="B215" s="4" t="n"/>
      <c r="C215" s="4" t="n"/>
    </row>
    <row r="216">
      <c r="A216" t="inlineStr">
        <is>
          <t xml:space="preserve">  F_PPS</t>
        </is>
      </c>
      <c r="B216" s="9" t="n">
        <v>48.07910904383245</v>
      </c>
    </row>
    <row r="217">
      <c r="A217" t="inlineStr">
        <is>
          <t xml:space="preserve">  T_F (post-F FD)</t>
        </is>
      </c>
      <c r="B217" s="11" t="n">
        <v>38062269.38048369</v>
      </c>
    </row>
    <row r="218">
      <c r="A218" t="inlineStr">
        <is>
          <t xml:space="preserve">  Note A cap-impl PPS</t>
        </is>
      </c>
      <c r="B218" s="9" t="n">
        <v>26.84416921613978</v>
      </c>
    </row>
    <row r="219">
      <c r="A219" t="inlineStr">
        <is>
          <t xml:space="preserve">  Note A disc-impl PPS</t>
        </is>
      </c>
      <c r="B219" s="9" t="n">
        <v>38.46328723506596</v>
      </c>
    </row>
    <row r="220">
      <c r="A220" t="inlineStr">
        <is>
          <t xml:space="preserve">  Note B cap-impl PPS</t>
        </is>
      </c>
      <c r="B220" s="9" t="n">
        <v>42.82094846078069</v>
      </c>
    </row>
    <row r="221">
      <c r="A221" t="inlineStr">
        <is>
          <t xml:space="preserve">  Note B disc-impl PPS</t>
        </is>
      </c>
      <c r="B221" s="9" t="n">
        <v>40.86724268725758</v>
      </c>
    </row>
    <row r="222">
      <c r="A222" t="inlineStr">
        <is>
          <t xml:space="preserve">  Note A shares</t>
        </is>
      </c>
      <c r="B222" s="11" t="n">
        <v>186260.1878173902</v>
      </c>
    </row>
    <row r="223">
      <c r="A223" t="inlineStr">
        <is>
          <t xml:space="preserve">  Note B shares</t>
        </is>
      </c>
      <c r="B223" s="11" t="n">
        <v>73408.42696332437</v>
      </c>
    </row>
    <row r="224">
      <c r="A224" t="inlineStr">
        <is>
          <t xml:space="preserve">  AD increment D</t>
        </is>
      </c>
      <c r="B224" s="11" t="n">
        <v>4994.592282261001</v>
      </c>
    </row>
    <row r="225">
      <c r="A225" t="inlineStr">
        <is>
          <t xml:space="preserve">  AD increment E</t>
        </is>
      </c>
      <c r="B225" s="11" t="n">
        <v>2245.524769581854</v>
      </c>
    </row>
    <row r="226">
      <c r="A226" t="inlineStr">
        <is>
          <t xml:space="preserve">  ESOP topup</t>
        </is>
      </c>
      <c r="B226" s="11" t="n">
        <v>553428.0194628797</v>
      </c>
    </row>
    <row r="227">
      <c r="A227" t="inlineStr">
        <is>
          <t xml:space="preserve">  pps_eq @ $2B</t>
        </is>
      </c>
      <c r="B227" s="9" t="n">
        <v>56.13990107464885</v>
      </c>
    </row>
    <row r="228">
      <c r="A228" t="inlineStr">
        <is>
          <t xml:space="preserve">  pps_if_F_converts @ $2B</t>
        </is>
      </c>
      <c r="B228" s="9" t="n">
        <v>56.13990107464885</v>
      </c>
    </row>
    <row r="229">
      <c r="A229" s="3" t="inlineStr">
        <is>
          <t>Sensitivity — ESOP=15% × Pre=$1.2B</t>
        </is>
      </c>
      <c r="B229" s="4" t="n"/>
      <c r="C229" s="4" t="n"/>
    </row>
    <row r="230">
      <c r="A230" t="inlineStr">
        <is>
          <t xml:space="preserve">  F_PPS</t>
        </is>
      </c>
      <c r="B230" s="9" t="n">
        <v>31.13499662414658</v>
      </c>
    </row>
    <row r="231">
      <c r="A231" t="inlineStr">
        <is>
          <t xml:space="preserve">  T_F (post-F FD)</t>
        </is>
      </c>
      <c r="B231" s="11" t="n">
        <v>39505384.08107872</v>
      </c>
    </row>
    <row r="232">
      <c r="A232" t="inlineStr">
        <is>
          <t xml:space="preserve">  Note A cap-impl PPS</t>
        </is>
      </c>
      <c r="B232" s="9" t="n">
        <v>26.08167256473011</v>
      </c>
    </row>
    <row r="233">
      <c r="A233" t="inlineStr">
        <is>
          <t xml:space="preserve">  Note A disc-impl PPS</t>
        </is>
      </c>
      <c r="B233" s="9" t="n">
        <v>24.90799729931726</v>
      </c>
    </row>
    <row r="234">
      <c r="A234" t="inlineStr">
        <is>
          <t xml:space="preserve">  Note B cap-impl PPS</t>
        </is>
      </c>
      <c r="B234" s="9" t="n">
        <v>41.63578702934056</v>
      </c>
    </row>
    <row r="235">
      <c r="A235" t="inlineStr">
        <is>
          <t xml:space="preserve">  Note B disc-impl PPS</t>
        </is>
      </c>
      <c r="B235" s="9" t="n">
        <v>26.46474713052459</v>
      </c>
    </row>
    <row r="236">
      <c r="A236" t="inlineStr">
        <is>
          <t xml:space="preserve">  Note A shares</t>
        </is>
      </c>
      <c r="B236" s="11" t="n">
        <v>200738.7402493838</v>
      </c>
    </row>
    <row r="237">
      <c r="A237" t="inlineStr">
        <is>
          <t xml:space="preserve">  Note B shares</t>
        </is>
      </c>
      <c r="B237" s="11" t="n">
        <v>113358.3474349461</v>
      </c>
    </row>
    <row r="238">
      <c r="A238" t="inlineStr">
        <is>
          <t xml:space="preserve">  AD increment D</t>
        </is>
      </c>
      <c r="B238" s="11" t="n">
        <v>20728.92034543352</v>
      </c>
    </row>
    <row r="239">
      <c r="A239" t="inlineStr">
        <is>
          <t xml:space="preserve">  AD increment E</t>
        </is>
      </c>
      <c r="B239" s="11" t="n">
        <v>57910.50769011397</v>
      </c>
    </row>
    <row r="240">
      <c r="A240" t="inlineStr">
        <is>
          <t xml:space="preserve">  ESOP topup</t>
        </is>
      </c>
      <c r="B240" s="11" t="n">
        <v>1531140.612161809</v>
      </c>
    </row>
    <row r="241">
      <c r="A241" t="inlineStr">
        <is>
          <t xml:space="preserve">  pps_eq @ $2B</t>
        </is>
      </c>
      <c r="B241" s="9" t="n">
        <v>55.40473471270621</v>
      </c>
    </row>
    <row r="242">
      <c r="A242" t="inlineStr">
        <is>
          <t xml:space="preserve">  pps_if_F_converts @ $2B</t>
        </is>
      </c>
      <c r="B242" s="9" t="n">
        <v>55.40473471270621</v>
      </c>
    </row>
    <row r="243">
      <c r="A243" s="3" t="inlineStr">
        <is>
          <t>Sensitivity — ESOP=15% × Pre=$1.4B</t>
        </is>
      </c>
      <c r="B243" s="4" t="n"/>
      <c r="C243" s="4" t="n"/>
    </row>
    <row r="244">
      <c r="A244" t="inlineStr">
        <is>
          <t xml:space="preserve">  F_PPS</t>
        </is>
      </c>
      <c r="B244" s="9" t="n">
        <v>36.40877612422671</v>
      </c>
    </row>
    <row r="245">
      <c r="A245" t="inlineStr">
        <is>
          <t xml:space="preserve">  T_F (post-F FD)</t>
        </is>
      </c>
      <c r="B245" s="11" t="n">
        <v>39276244.69223687</v>
      </c>
    </row>
    <row r="246">
      <c r="A246" t="inlineStr">
        <is>
          <t xml:space="preserve">  Note A cap-impl PPS</t>
        </is>
      </c>
      <c r="B246" s="9" t="n">
        <v>26.13630000346275</v>
      </c>
    </row>
    <row r="247">
      <c r="A247" t="inlineStr">
        <is>
          <t xml:space="preserve">  Note A disc-impl PPS</t>
        </is>
      </c>
      <c r="B247" s="9" t="n">
        <v>29.12702089938137</v>
      </c>
    </row>
    <row r="248">
      <c r="A248" t="inlineStr">
        <is>
          <t xml:space="preserve">  Note B cap-impl PPS</t>
        </is>
      </c>
      <c r="B248" s="9" t="n">
        <v>41.71519421141392</v>
      </c>
    </row>
    <row r="249">
      <c r="A249" t="inlineStr">
        <is>
          <t xml:space="preserve">  Note B disc-impl PPS</t>
        </is>
      </c>
      <c r="B249" s="9" t="n">
        <v>30.9474597055927</v>
      </c>
    </row>
    <row r="250">
      <c r="A250" t="inlineStr">
        <is>
          <t xml:space="preserve">  Note A shares</t>
        </is>
      </c>
      <c r="B250" s="11" t="n">
        <v>191304.8135863745</v>
      </c>
    </row>
    <row r="251">
      <c r="A251" t="inlineStr">
        <is>
          <t xml:space="preserve">  Note B shares</t>
        </is>
      </c>
      <c r="B251" s="11" t="n">
        <v>96938.48957359986</v>
      </c>
    </row>
    <row r="252">
      <c r="A252" t="inlineStr">
        <is>
          <t xml:space="preserve">  AD increment D</t>
        </is>
      </c>
      <c r="B252" s="11" t="n">
        <v>14261.93800126086</v>
      </c>
    </row>
    <row r="253">
      <c r="A253" t="inlineStr">
        <is>
          <t xml:space="preserve">  AD increment E</t>
        </is>
      </c>
      <c r="B253" s="11" t="n">
        <v>35031.58586450852</v>
      </c>
    </row>
    <row r="254">
      <c r="A254" t="inlineStr">
        <is>
          <t xml:space="preserve">  ESOP topup</t>
        </is>
      </c>
      <c r="B254" s="11" t="n">
        <v>1496769.70383553</v>
      </c>
    </row>
    <row r="255">
      <c r="A255" t="inlineStr">
        <is>
          <t xml:space="preserve">  pps_eq @ $2B</t>
        </is>
      </c>
      <c r="B255" s="9" t="n">
        <v>55.71023454527666</v>
      </c>
    </row>
    <row r="256">
      <c r="A256" t="inlineStr">
        <is>
          <t xml:space="preserve">  pps_if_F_converts @ $2B</t>
        </is>
      </c>
      <c r="B256" s="9" t="n">
        <v>55.71023454527666</v>
      </c>
    </row>
    <row r="257">
      <c r="A257" s="3" t="inlineStr">
        <is>
          <t>Sensitivity — ESOP=15% × Pre=$1.8B</t>
        </is>
      </c>
      <c r="B257" s="4" t="n"/>
      <c r="C257" s="4" t="n"/>
    </row>
    <row r="258">
      <c r="A258" t="inlineStr">
        <is>
          <t xml:space="preserve">  F_PPS</t>
        </is>
      </c>
      <c r="B258" s="9" t="n">
        <v>46.9388985807256</v>
      </c>
    </row>
    <row r="259">
      <c r="A259" t="inlineStr">
        <is>
          <t xml:space="preserve">  T_F (post-F FD)</t>
        </is>
      </c>
      <c r="B259" s="11" t="n">
        <v>38986854.30065563</v>
      </c>
    </row>
    <row r="260">
      <c r="A260" t="inlineStr">
        <is>
          <t xml:space="preserve">  Note A cap-impl PPS</t>
        </is>
      </c>
      <c r="B260" s="9" t="n">
        <v>26.20755170757179</v>
      </c>
    </row>
    <row r="261">
      <c r="A261" t="inlineStr">
        <is>
          <t xml:space="preserve">  Note A disc-impl PPS</t>
        </is>
      </c>
      <c r="B261" s="9" t="n">
        <v>37.55111886458048</v>
      </c>
    </row>
    <row r="262">
      <c r="A262" t="inlineStr">
        <is>
          <t xml:space="preserve">  Note B cap-impl PPS</t>
        </is>
      </c>
      <c r="B262" s="9" t="n">
        <v>41.80543684989313</v>
      </c>
    </row>
    <row r="263">
      <c r="A263" t="inlineStr">
        <is>
          <t xml:space="preserve">  Note B disc-impl PPS</t>
        </is>
      </c>
      <c r="B263" s="9" t="n">
        <v>39.89806379361676</v>
      </c>
    </row>
    <row r="264">
      <c r="A264" t="inlineStr">
        <is>
          <t xml:space="preserve">  Note A shares</t>
        </is>
      </c>
      <c r="B264" s="11" t="n">
        <v>190784.7041872064</v>
      </c>
    </row>
    <row r="265">
      <c r="A265" t="inlineStr">
        <is>
          <t xml:space="preserve">  Note B shares</t>
        </is>
      </c>
      <c r="B265" s="11" t="n">
        <v>75191.61870907547</v>
      </c>
    </row>
    <row r="266">
      <c r="A266" t="inlineStr">
        <is>
          <t xml:space="preserve">  AD increment D</t>
        </is>
      </c>
      <c r="B266" s="11" t="n">
        <v>5696.904667266179</v>
      </c>
    </row>
    <row r="267">
      <c r="A267" t="inlineStr">
        <is>
          <t xml:space="preserve">  AD increment E</t>
        </is>
      </c>
      <c r="B267" s="11" t="n">
        <v>4730.168966602534</v>
      </c>
    </row>
    <row r="268">
      <c r="A268" t="inlineStr">
        <is>
          <t xml:space="preserve">  ESOP topup</t>
        </is>
      </c>
      <c r="B268" s="11" t="n">
        <v>1453361.145098343</v>
      </c>
    </row>
    <row r="269">
      <c r="A269" t="inlineStr">
        <is>
          <t xml:space="preserve">  pps_eq @ $2B</t>
        </is>
      </c>
      <c r="B269" s="9" t="n">
        <v>56.1002542933873</v>
      </c>
    </row>
    <row r="270">
      <c r="A270" t="inlineStr">
        <is>
          <t xml:space="preserve">  pps_if_F_converts @ $2B</t>
        </is>
      </c>
      <c r="B270" s="9" t="n">
        <v>56.1002542933873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PRO-FORMA POST-F CAP TABLE</t>
        </is>
      </c>
    </row>
    <row r="3">
      <c r="A3" s="3" t="inlineStr">
        <is>
          <t>AD BLOCK — Broad-based WA (test F_PPS &lt; OCP per class)</t>
        </is>
      </c>
    </row>
    <row r="4">
      <c r="A4" s="1" t="inlineStr">
        <is>
          <t>Class</t>
        </is>
      </c>
      <c r="B4" s="1" t="inlineStr">
        <is>
          <t>OCP</t>
        </is>
      </c>
      <c r="C4" s="1" t="inlineStr">
        <is>
          <t>F_PPS</t>
        </is>
      </c>
      <c r="D4" s="1" t="inlineStr">
        <is>
          <t>Trigger?</t>
        </is>
      </c>
      <c r="E4" s="1" t="inlineStr">
        <is>
          <t>NCP</t>
        </is>
      </c>
      <c r="F4" s="1" t="inlineStr">
        <is>
          <t>new_ratio</t>
        </is>
      </c>
      <c r="G4" s="1" t="inlineStr">
        <is>
          <t>Original shares</t>
        </is>
      </c>
      <c r="H4" s="1" t="inlineStr">
        <is>
          <t>As-converted shares</t>
        </is>
      </c>
      <c r="I4" s="1" t="inlineStr">
        <is>
          <t>AD increment</t>
        </is>
      </c>
    </row>
    <row r="5">
      <c r="A5" t="inlineStr">
        <is>
          <t>Seed</t>
        </is>
      </c>
      <c r="B5" s="9">
        <f>Assumptions!$B$21</f>
        <v/>
      </c>
      <c r="C5" s="9">
        <f>Assumptions!$B$75</f>
        <v/>
      </c>
      <c r="D5">
        <f>IF(Assumptions!$B$75&lt;Assumptions!$B$21,"YES","no")</f>
        <v/>
      </c>
      <c r="E5" s="9">
        <f>IF(Assumptions!$B$75&lt;Assumptions!$B$21,Assumptions!$B$21*(Assumptions!$B$38+Assumptions!$B$5/Assumptions!$B$21)/(Assumptions!$B$38+Assumptions!$B$5/Assumptions!$B$75),Assumptions!$B$21)</f>
        <v/>
      </c>
      <c r="F5" s="9">
        <f>Assumptions!$B$21/'Pro-Forma'!$E$5</f>
        <v/>
      </c>
      <c r="G5" s="5">
        <f>Assumptions!$B$48</f>
        <v/>
      </c>
      <c r="H5" s="11">
        <f>'Pro-Forma'!$G$5*'Pro-Forma'!$F$5</f>
        <v/>
      </c>
      <c r="I5" s="11">
        <f>H5-Assumptions!$B$48</f>
        <v/>
      </c>
    </row>
    <row r="6">
      <c r="A6" t="inlineStr">
        <is>
          <t>Series A</t>
        </is>
      </c>
      <c r="B6" s="9">
        <f>Assumptions!$B$22</f>
        <v/>
      </c>
      <c r="C6" s="9">
        <f>Assumptions!$B$75</f>
        <v/>
      </c>
      <c r="D6">
        <f>IF(Assumptions!$B$75&lt;Assumptions!$B$22,"YES","no")</f>
        <v/>
      </c>
      <c r="E6" s="9">
        <f>IF(Assumptions!$B$75&lt;Assumptions!$B$22,Assumptions!$B$22*(Assumptions!$B$38+Assumptions!$B$5/Assumptions!$B$22)/(Assumptions!$B$38+Assumptions!$B$5/Assumptions!$B$75),Assumptions!$B$22)</f>
        <v/>
      </c>
      <c r="F6" s="9">
        <f>Assumptions!$B$22/'Pro-Forma'!$E$6</f>
        <v/>
      </c>
      <c r="G6" s="5">
        <f>Assumptions!$B$49</f>
        <v/>
      </c>
      <c r="H6" s="11">
        <f>'Pro-Forma'!$G$6*'Pro-Forma'!$F$6</f>
        <v/>
      </c>
      <c r="I6" s="11">
        <f>H6-Assumptions!$B$49</f>
        <v/>
      </c>
    </row>
    <row r="7">
      <c r="A7" t="inlineStr">
        <is>
          <t>Series B</t>
        </is>
      </c>
      <c r="B7" s="9">
        <f>Assumptions!$B$23</f>
        <v/>
      </c>
      <c r="C7" s="9">
        <f>Assumptions!$B$75</f>
        <v/>
      </c>
      <c r="D7">
        <f>IF(Assumptions!$B$75&lt;Assumptions!$B$23,"YES","no")</f>
        <v/>
      </c>
      <c r="E7" s="9">
        <f>IF(Assumptions!$B$75&lt;Assumptions!$B$23,Assumptions!$B$23*(Assumptions!$B$38+Assumptions!$B$5/Assumptions!$B$23)/(Assumptions!$B$38+Assumptions!$B$5/Assumptions!$B$75),Assumptions!$B$23)</f>
        <v/>
      </c>
      <c r="F7" s="9">
        <f>Assumptions!$B$23/'Pro-Forma'!$E$7</f>
        <v/>
      </c>
      <c r="G7" s="5">
        <f>Assumptions!$B$50</f>
        <v/>
      </c>
      <c r="H7" s="11">
        <f>'Pro-Forma'!$G$7*'Pro-Forma'!$F$7</f>
        <v/>
      </c>
      <c r="I7" s="11">
        <f>H7-Assumptions!$B$50</f>
        <v/>
      </c>
    </row>
    <row r="8">
      <c r="A8" t="inlineStr">
        <is>
          <t>Series C</t>
        </is>
      </c>
      <c r="B8" s="9">
        <f>Assumptions!$B$24</f>
        <v/>
      </c>
      <c r="C8" s="9">
        <f>Assumptions!$B$75</f>
        <v/>
      </c>
      <c r="D8">
        <f>IF(Assumptions!$B$75&lt;Assumptions!$B$24,"YES","no")</f>
        <v/>
      </c>
      <c r="E8" s="9">
        <f>IF(Assumptions!$B$75&lt;Assumptions!$B$24,Assumptions!$B$24*(Assumptions!$B$38+Assumptions!$B$5/Assumptions!$B$24)/(Assumptions!$B$38+Assumptions!$B$5/Assumptions!$B$75),Assumptions!$B$24)</f>
        <v/>
      </c>
      <c r="F8" s="9">
        <f>Assumptions!$B$24/'Pro-Forma'!$E$8</f>
        <v/>
      </c>
      <c r="G8" s="5">
        <f>Assumptions!$B$51</f>
        <v/>
      </c>
      <c r="H8" s="11">
        <f>'Pro-Forma'!$G$8*'Pro-Forma'!$F$8</f>
        <v/>
      </c>
      <c r="I8" s="11">
        <f>H8-Assumptions!$B$51</f>
        <v/>
      </c>
    </row>
    <row r="9">
      <c r="A9" t="inlineStr">
        <is>
          <t>Series D</t>
        </is>
      </c>
      <c r="B9" s="9">
        <f>Assumptions!$B$25</f>
        <v/>
      </c>
      <c r="C9" s="9">
        <f>Assumptions!$B$75</f>
        <v/>
      </c>
      <c r="D9">
        <f>IF(Assumptions!$B$75&lt;Assumptions!$B$25,"YES","no")</f>
        <v/>
      </c>
      <c r="E9" s="9">
        <f>IF(Assumptions!$B$75&lt;Assumptions!$B$25,Assumptions!$B$25*(Assumptions!$B$38+Assumptions!$B$5/Assumptions!$B$25)/(Assumptions!$B$38+Assumptions!$B$5/Assumptions!$B$75),Assumptions!$B$25)</f>
        <v/>
      </c>
      <c r="F9" s="9">
        <f>Assumptions!$B$26/'Pro-Forma'!$E$9</f>
        <v/>
      </c>
      <c r="G9" s="5">
        <f>Assumptions!$B$53</f>
        <v/>
      </c>
      <c r="H9" s="11">
        <f>'Pro-Forma'!$G$9*'Pro-Forma'!$F$9</f>
        <v/>
      </c>
      <c r="I9" s="11">
        <f>H9-Assumptions!$B$52</f>
        <v/>
      </c>
    </row>
    <row r="10">
      <c r="A10" t="inlineStr">
        <is>
          <t>Series E</t>
        </is>
      </c>
      <c r="B10" s="9">
        <f>Assumptions!$B$27</f>
        <v/>
      </c>
      <c r="C10" s="9">
        <f>Assumptions!$B$75</f>
        <v/>
      </c>
      <c r="D10">
        <f>IF(Assumptions!$B$75&lt;Assumptions!$B$27,"YES","no")</f>
        <v/>
      </c>
      <c r="E10" s="9">
        <f>IF(Assumptions!$B$75&lt;Assumptions!$B$27,Assumptions!$B$27*(Assumptions!$B$38+Assumptions!$B$5/Assumptions!$B$27)/(Assumptions!$B$38+Assumptions!$B$5/Assumptions!$B$75),Assumptions!$B$27)</f>
        <v/>
      </c>
      <c r="F10" s="9">
        <f>Assumptions!$B$27/'Pro-Forma'!$E$10</f>
        <v/>
      </c>
      <c r="G10" s="5">
        <f>Assumptions!$B$54</f>
        <v/>
      </c>
      <c r="H10" s="11">
        <f>'Pro-Forma'!$G$10*'Pro-Forma'!$F$10</f>
        <v/>
      </c>
      <c r="I10" s="11">
        <f>H10-Assumptions!$B$54</f>
        <v/>
      </c>
    </row>
    <row r="12">
      <c r="A12" s="3" t="inlineStr">
        <is>
          <t>NOTES BLOCK</t>
        </is>
      </c>
    </row>
    <row r="13">
      <c r="A13" s="1" t="inlineStr">
        <is>
          <t>Note</t>
        </is>
      </c>
      <c r="B13" s="1" t="inlineStr">
        <is>
          <t>Principal</t>
        </is>
      </c>
      <c r="C13" s="1" t="inlineStr">
        <is>
          <t>Cap</t>
        </is>
      </c>
      <c r="D13" s="1" t="inlineStr">
        <is>
          <t>Discount</t>
        </is>
      </c>
      <c r="E13" s="1" t="inlineStr">
        <is>
          <t>Cap-impl PPS</t>
        </is>
      </c>
      <c r="F13" s="1" t="inlineStr">
        <is>
          <t>Disc-impl PPS</t>
        </is>
      </c>
      <c r="G13" s="1" t="inlineStr">
        <is>
          <t>Conv PPS</t>
        </is>
      </c>
      <c r="H13" s="1" t="inlineStr">
        <is>
          <t>Branch</t>
        </is>
      </c>
      <c r="I13" s="1" t="inlineStr">
        <is>
          <t>Shares</t>
        </is>
      </c>
    </row>
    <row r="14">
      <c r="A14" t="inlineStr">
        <is>
          <t>Note A</t>
        </is>
      </c>
      <c r="B14" s="5">
        <f>Assumptions!$B$30</f>
        <v/>
      </c>
      <c r="C14" s="5">
        <f>Assumptions!$B$31</f>
        <v/>
      </c>
      <c r="D14" s="7">
        <f>Assumptions!$B$32</f>
        <v/>
      </c>
      <c r="E14" s="9">
        <f>Assumptions!$B$82</f>
        <v/>
      </c>
      <c r="F14" s="9">
        <f>Assumptions!$B$83</f>
        <v/>
      </c>
      <c r="G14" s="9">
        <f>Assumptions!$B$84</f>
        <v/>
      </c>
      <c r="H14">
        <f>IF(Assumptions!$B$82&lt;Assumptions!$B$83,"cap","discount")</f>
        <v/>
      </c>
      <c r="I14" s="11">
        <f>Assumptions!$B$85</f>
        <v/>
      </c>
    </row>
    <row r="15">
      <c r="A15" t="inlineStr">
        <is>
          <t>Note B</t>
        </is>
      </c>
      <c r="B15" s="5">
        <f>Assumptions!$B$33</f>
        <v/>
      </c>
      <c r="C15" s="5">
        <f>Assumptions!$B$34</f>
        <v/>
      </c>
      <c r="D15" s="7">
        <f>Assumptions!$B$35</f>
        <v/>
      </c>
      <c r="E15" s="9">
        <f>Assumptions!$B$86</f>
        <v/>
      </c>
      <c r="F15" s="9">
        <f>Assumptions!$B$87</f>
        <v/>
      </c>
      <c r="G15" s="9">
        <f>Assumptions!$B$88</f>
        <v/>
      </c>
      <c r="H15">
        <f>IF(Assumptions!$B$86&lt;Assumptions!$B$87,"cap","discount")</f>
        <v/>
      </c>
      <c r="I15" s="11">
        <f>Assumptions!$B$89</f>
        <v/>
      </c>
    </row>
    <row r="17">
      <c r="A17" s="3" t="inlineStr">
        <is>
          <t>TENDER BLOCK — Secondary $15M @ 0.85×F_PPS</t>
        </is>
      </c>
    </row>
    <row r="18">
      <c r="A18" s="1" t="inlineStr">
        <is>
          <t>Item</t>
        </is>
      </c>
      <c r="B18" s="1" t="inlineStr">
        <is>
          <t>Value</t>
        </is>
      </c>
    </row>
    <row r="19">
      <c r="A19" t="inlineStr">
        <is>
          <t>Tender PPS</t>
        </is>
      </c>
      <c r="B19" s="9">
        <f>Assumptions!$B$7*Assumptions!$B$75</f>
        <v/>
      </c>
    </row>
    <row r="20">
      <c r="A20" t="inlineStr">
        <is>
          <t>Tender shares total</t>
        </is>
      </c>
      <c r="B20" s="11">
        <f>Assumptions!$B$6/'Pro-Forma'!$B$19</f>
        <v/>
      </c>
    </row>
    <row r="21">
      <c r="A21" t="inlineStr">
        <is>
          <t xml:space="preserve">  F1 tender out</t>
        </is>
      </c>
      <c r="B21" s="11">
        <f>0.5*'Pro-Forma'!$B$20</f>
        <v/>
      </c>
    </row>
    <row r="22">
      <c r="A22" t="inlineStr">
        <is>
          <t xml:space="preserve">  F2 tender out</t>
        </is>
      </c>
      <c r="B22" s="11">
        <f>0.3125*'Pro-Forma'!$B$20</f>
        <v/>
      </c>
    </row>
    <row r="23">
      <c r="A23" t="inlineStr">
        <is>
          <t xml:space="preserve">  F3 tender out</t>
        </is>
      </c>
      <c r="B23" s="11">
        <f>0.1875*'Pro-Forma'!$B$20</f>
        <v/>
      </c>
    </row>
    <row r="24">
      <c r="A24" t="inlineStr">
        <is>
          <t>F_LEAD secondary common</t>
        </is>
      </c>
      <c r="B24" s="11">
        <f>'Pro-Forma'!$B$20</f>
        <v/>
      </c>
    </row>
    <row r="25">
      <c r="A25" t="inlineStr">
        <is>
          <t>F_LEAD primary preferred</t>
        </is>
      </c>
      <c r="B25" s="11">
        <f>Assumptions!$B$10/Assumptions!$B$75</f>
        <v/>
      </c>
    </row>
    <row r="26">
      <c r="A26" t="inlineStr">
        <is>
          <t>Our fund primary preferred</t>
        </is>
      </c>
      <c r="B26" s="11">
        <f>Assumptions!$B$9/Assumptions!$B$75</f>
        <v/>
      </c>
    </row>
    <row r="28">
      <c r="A28" s="3" t="inlineStr">
        <is>
          <t>POST-F CAP TABLE BY STAKEHOLDER</t>
        </is>
      </c>
    </row>
    <row r="29">
      <c r="A29" s="1" t="inlineStr">
        <is>
          <t>Stakeholder</t>
        </is>
      </c>
      <c r="B29" s="1" t="inlineStr">
        <is>
          <t>Class</t>
        </is>
      </c>
      <c r="C29" s="1" t="inlineStr">
        <is>
          <t>Pre-F shares</t>
        </is>
      </c>
      <c r="D29" s="1" t="inlineStr">
        <is>
          <t>Post-F shares</t>
        </is>
      </c>
      <c r="E29" s="1" t="inlineStr">
        <is>
          <t>Ownership %</t>
        </is>
      </c>
    </row>
    <row r="30">
      <c r="A30" t="inlineStr">
        <is>
          <t>F1 (CEO)</t>
        </is>
      </c>
      <c r="B30" t="inlineStr">
        <is>
          <t>Common</t>
        </is>
      </c>
      <c r="C30" s="11">
        <f>Assumptions!$B$44</f>
        <v/>
      </c>
      <c r="D30" s="11">
        <f>Assumptions!$B$44-'Pro-Forma'!$B$21</f>
        <v/>
      </c>
      <c r="E30" s="12">
        <f>$D$30/Assumptions!$B$76</f>
        <v/>
      </c>
    </row>
    <row r="31">
      <c r="A31" t="inlineStr">
        <is>
          <t>F2 (CTO)</t>
        </is>
      </c>
      <c r="B31" t="inlineStr">
        <is>
          <t>Common</t>
        </is>
      </c>
      <c r="C31" s="11">
        <f>Assumptions!$B$45</f>
        <v/>
      </c>
      <c r="D31" s="11">
        <f>Assumptions!$B$45-'Pro-Forma'!$B$22</f>
        <v/>
      </c>
      <c r="E31" s="12">
        <f>$D$31/Assumptions!$B$76</f>
        <v/>
      </c>
    </row>
    <row r="32">
      <c r="A32" t="inlineStr">
        <is>
          <t>F3 (Chief Sci)</t>
        </is>
      </c>
      <c r="B32" t="inlineStr">
        <is>
          <t>Common</t>
        </is>
      </c>
      <c r="C32" s="11">
        <f>Assumptions!$B$46</f>
        <v/>
      </c>
      <c r="D32" s="11">
        <f>Assumptions!$B$46-'Pro-Forma'!$B$23</f>
        <v/>
      </c>
      <c r="E32" s="12">
        <f>$D$32/Assumptions!$B$76</f>
        <v/>
      </c>
    </row>
    <row r="33">
      <c r="A33" t="inlineStr">
        <is>
          <t>RSA holders (E1-E10)</t>
        </is>
      </c>
      <c r="B33" t="inlineStr">
        <is>
          <t>Common (RSA)</t>
        </is>
      </c>
      <c r="C33" s="11">
        <f>Assumptions!$B$47</f>
        <v/>
      </c>
      <c r="D33" s="11">
        <f>Assumptions!$B$47</f>
        <v/>
      </c>
      <c r="E33" s="12">
        <f>$D$33/Assumptions!$B$76</f>
        <v/>
      </c>
    </row>
    <row r="34">
      <c r="A34" t="inlineStr">
        <is>
          <t>Issued options (pre-F)</t>
        </is>
      </c>
      <c r="B34" t="inlineStr">
        <is>
          <t>Options-issued</t>
        </is>
      </c>
      <c r="C34" s="11">
        <f>Assumptions!$B$40</f>
        <v/>
      </c>
      <c r="D34" s="11">
        <f>Assumptions!$B$40</f>
        <v/>
      </c>
      <c r="E34" s="12">
        <f>$D$34/Assumptions!$B$76</f>
        <v/>
      </c>
    </row>
    <row r="35">
      <c r="A35" t="inlineStr">
        <is>
          <t>Unissued ESOP pool (incl topup)</t>
        </is>
      </c>
      <c r="B35" t="inlineStr">
        <is>
          <t>Options-unissued</t>
        </is>
      </c>
      <c r="C35" s="11">
        <f>Assumptions!$B$41</f>
        <v/>
      </c>
      <c r="D35" s="11">
        <f>Assumptions!$B$41+Assumptions!$B$77</f>
        <v/>
      </c>
      <c r="E35" s="12">
        <f>$D$35/Assumptions!$B$76</f>
        <v/>
      </c>
    </row>
    <row r="36">
      <c r="A36" t="inlineStr">
        <is>
          <t>SEED1</t>
        </is>
      </c>
      <c r="B36" t="inlineStr">
        <is>
          <t>Seed Preferred</t>
        </is>
      </c>
      <c r="C36" s="11">
        <f>Assumptions!$B$48</f>
        <v/>
      </c>
      <c r="D36" s="11">
        <f>Assumptions!$B$48</f>
        <v/>
      </c>
      <c r="E36" s="12">
        <f>$D$36/Assumptions!$B$76</f>
        <v/>
      </c>
    </row>
    <row r="37">
      <c r="A37" t="inlineStr">
        <is>
          <t>A1</t>
        </is>
      </c>
      <c r="B37" t="inlineStr">
        <is>
          <t>Series A</t>
        </is>
      </c>
      <c r="C37" s="11">
        <f>Assumptions!$B$49</f>
        <v/>
      </c>
      <c r="D37" s="11">
        <f>Assumptions!$B$49</f>
        <v/>
      </c>
      <c r="E37" s="12">
        <f>$D$37/Assumptions!$B$76</f>
        <v/>
      </c>
    </row>
    <row r="38">
      <c r="A38" t="inlineStr">
        <is>
          <t>B1</t>
        </is>
      </c>
      <c r="B38" t="inlineStr">
        <is>
          <t>Series B</t>
        </is>
      </c>
      <c r="C38" s="11">
        <f>Assumptions!$B$50</f>
        <v/>
      </c>
      <c r="D38" s="11">
        <f>Assumptions!$B$50</f>
        <v/>
      </c>
      <c r="E38" s="12">
        <f>$D$38/Assumptions!$B$76</f>
        <v/>
      </c>
    </row>
    <row r="39">
      <c r="A39" t="inlineStr">
        <is>
          <t>C1</t>
        </is>
      </c>
      <c r="B39" t="inlineStr">
        <is>
          <t>Series C</t>
        </is>
      </c>
      <c r="C39" s="11">
        <f>Assumptions!$B$51</f>
        <v/>
      </c>
      <c r="D39" s="11">
        <f>Assumptions!$B$51</f>
        <v/>
      </c>
      <c r="E39" s="12">
        <f>$D$39/Assumptions!$B$76</f>
        <v/>
      </c>
    </row>
    <row r="40">
      <c r="A40" t="inlineStr">
        <is>
          <t>D1</t>
        </is>
      </c>
      <c r="B40" t="inlineStr">
        <is>
          <t>Series D</t>
        </is>
      </c>
      <c r="C40" s="11">
        <f>Assumptions!$B$52</f>
        <v/>
      </c>
      <c r="D40" s="11">
        <f>Assumptions!$B$52+Assumptions!$B$79</f>
        <v/>
      </c>
      <c r="E40" s="12">
        <f>$D$40/Assumptions!$B$76</f>
        <v/>
      </c>
    </row>
    <row r="41">
      <c r="A41" t="inlineStr">
        <is>
          <t>E1_INV</t>
        </is>
      </c>
      <c r="B41" t="inlineStr">
        <is>
          <t>Series E</t>
        </is>
      </c>
      <c r="C41" s="11">
        <f>610267</f>
        <v/>
      </c>
      <c r="D41" s="11">
        <f>610267+(Assumptions!$B$81)*(610267/Assumptions!$B$54)</f>
        <v/>
      </c>
      <c r="E41" s="12">
        <f>$D$41/Assumptions!$B$76</f>
        <v/>
      </c>
    </row>
    <row r="42">
      <c r="A42" t="inlineStr">
        <is>
          <t>E2_INV</t>
        </is>
      </c>
      <c r="B42" t="inlineStr">
        <is>
          <t>Series E</t>
        </is>
      </c>
      <c r="C42" s="11">
        <f>610267</f>
        <v/>
      </c>
      <c r="D42" s="11">
        <f>610267+(Assumptions!$B$81)*(610267/Assumptions!$B$54)</f>
        <v/>
      </c>
      <c r="E42" s="12">
        <f>$D$42/Assumptions!$B$76</f>
        <v/>
      </c>
    </row>
    <row r="43">
      <c r="A43" t="inlineStr">
        <is>
          <t>E3_INV</t>
        </is>
      </c>
      <c r="B43" t="inlineStr">
        <is>
          <t>Series E</t>
        </is>
      </c>
      <c r="C43" s="11">
        <f>610267</f>
        <v/>
      </c>
      <c r="D43" s="11">
        <f>610267+(Assumptions!$B$81)*(610267/Assumptions!$B$54)</f>
        <v/>
      </c>
      <c r="E43" s="12">
        <f>$D$43/Assumptions!$B$76</f>
        <v/>
      </c>
    </row>
    <row r="44">
      <c r="A44" t="inlineStr">
        <is>
          <t>E4_INV</t>
        </is>
      </c>
      <c r="B44" t="inlineStr">
        <is>
          <t>Series E</t>
        </is>
      </c>
      <c r="C44" s="11">
        <f>610267</f>
        <v/>
      </c>
      <c r="D44" s="11">
        <f>610267+(Assumptions!$B$81)*(610267/Assumptions!$B$54)</f>
        <v/>
      </c>
      <c r="E44" s="12">
        <f>$D$44/Assumptions!$B$76</f>
        <v/>
      </c>
    </row>
    <row r="45">
      <c r="A45" t="inlineStr">
        <is>
          <t>E5_INV</t>
        </is>
      </c>
      <c r="B45" t="inlineStr">
        <is>
          <t>Series E</t>
        </is>
      </c>
      <c r="C45" s="11">
        <f>610267</f>
        <v/>
      </c>
      <c r="D45" s="11">
        <f>610267+(Assumptions!$B$81)*(610267/Assumptions!$B$54)</f>
        <v/>
      </c>
      <c r="E45" s="12">
        <f>$D$45/Assumptions!$B$76</f>
        <v/>
      </c>
    </row>
    <row r="46">
      <c r="A46" t="inlineStr">
        <is>
          <t>E6_INV</t>
        </is>
      </c>
      <c r="B46" t="inlineStr">
        <is>
          <t>Series E</t>
        </is>
      </c>
      <c r="C46" s="11">
        <f>610267</f>
        <v/>
      </c>
      <c r="D46" s="11">
        <f>610267+(Assumptions!$B$81)*(610267/Assumptions!$B$54)</f>
        <v/>
      </c>
      <c r="E46" s="12">
        <f>$D$46/Assumptions!$B$76</f>
        <v/>
      </c>
    </row>
    <row r="47">
      <c r="A47" t="inlineStr">
        <is>
          <t>E7_INV</t>
        </is>
      </c>
      <c r="B47" t="inlineStr">
        <is>
          <t>Series E</t>
        </is>
      </c>
      <c r="C47" s="11">
        <f>610267</f>
        <v/>
      </c>
      <c r="D47" s="11">
        <f>610267+(Assumptions!$B$81)*(610267/Assumptions!$B$54)</f>
        <v/>
      </c>
      <c r="E47" s="12">
        <f>$D$47/Assumptions!$B$76</f>
        <v/>
      </c>
    </row>
    <row r="48">
      <c r="A48" t="inlineStr">
        <is>
          <t>E8_INV</t>
        </is>
      </c>
      <c r="B48" t="inlineStr">
        <is>
          <t>Series E</t>
        </is>
      </c>
      <c r="C48" s="11">
        <f>610267</f>
        <v/>
      </c>
      <c r="D48" s="11">
        <f>610267+(Assumptions!$B$81)*(610267/Assumptions!$B$54)</f>
        <v/>
      </c>
      <c r="E48" s="12">
        <f>$D$48/Assumptions!$B$76</f>
        <v/>
      </c>
    </row>
    <row r="49">
      <c r="A49" t="inlineStr">
        <is>
          <t>E9_INV</t>
        </is>
      </c>
      <c r="B49" t="inlineStr">
        <is>
          <t>Series E</t>
        </is>
      </c>
      <c r="C49" s="11">
        <f>610267</f>
        <v/>
      </c>
      <c r="D49" s="11">
        <f>610267+(Assumptions!$B$81)*(610267/Assumptions!$B$54)</f>
        <v/>
      </c>
      <c r="E49" s="12">
        <f>$D$49/Assumptions!$B$76</f>
        <v/>
      </c>
    </row>
    <row r="50">
      <c r="A50" t="inlineStr">
        <is>
          <t>E10_INV</t>
        </is>
      </c>
      <c r="B50" t="inlineStr">
        <is>
          <t>Series E</t>
        </is>
      </c>
      <c r="C50" s="11">
        <f>610264</f>
        <v/>
      </c>
      <c r="D50" s="11">
        <f>610264+(Assumptions!$B$81)*(610264/Assumptions!$B$54)</f>
        <v/>
      </c>
      <c r="E50" s="12">
        <f>$D$50/Assumptions!$B$76</f>
        <v/>
      </c>
    </row>
    <row r="51">
      <c r="A51" t="inlineStr">
        <is>
          <t>NA1 (Note A converted)</t>
        </is>
      </c>
      <c r="B51" t="inlineStr">
        <is>
          <t>Notes-converted</t>
        </is>
      </c>
      <c r="C51" s="11">
        <f>0</f>
        <v/>
      </c>
      <c r="D51" s="11">
        <f>Assumptions!$B$85</f>
        <v/>
      </c>
      <c r="E51" s="12">
        <f>$D$51/Assumptions!$B$76</f>
        <v/>
      </c>
    </row>
    <row r="52">
      <c r="A52" t="inlineStr">
        <is>
          <t>NB1 (Note B converted)</t>
        </is>
      </c>
      <c r="B52" t="inlineStr">
        <is>
          <t>Notes-converted</t>
        </is>
      </c>
      <c r="C52" s="11">
        <f>0</f>
        <v/>
      </c>
      <c r="D52" s="11">
        <f>Assumptions!$B$89</f>
        <v/>
      </c>
      <c r="E52" s="12">
        <f>$D$52/Assumptions!$B$76</f>
        <v/>
      </c>
    </row>
    <row r="53">
      <c r="A53" t="inlineStr">
        <is>
          <t>F_LEAD (primary)</t>
        </is>
      </c>
      <c r="B53" t="inlineStr">
        <is>
          <t>Series F</t>
        </is>
      </c>
      <c r="C53" s="11">
        <f>0</f>
        <v/>
      </c>
      <c r="D53" s="11">
        <f>'Pro-Forma'!$B$25</f>
        <v/>
      </c>
      <c r="E53" s="12">
        <f>$D$53/Assumptions!$B$76</f>
        <v/>
      </c>
    </row>
    <row r="54">
      <c r="A54" t="inlineStr">
        <is>
          <t>F_LEAD (secondary common)</t>
        </is>
      </c>
      <c r="B54" t="inlineStr">
        <is>
          <t>Common (tendered)</t>
        </is>
      </c>
      <c r="C54" s="11">
        <f>0</f>
        <v/>
      </c>
      <c r="D54" s="11">
        <f>'Pro-Forma'!$B$24</f>
        <v/>
      </c>
      <c r="E54" s="12">
        <f>$D$54/Assumptions!$B$76</f>
        <v/>
      </c>
    </row>
    <row r="55">
      <c r="A55" t="inlineStr">
        <is>
          <t>F_FUND — Our fund</t>
        </is>
      </c>
      <c r="B55" t="inlineStr">
        <is>
          <t>Series F</t>
        </is>
      </c>
      <c r="C55" s="11">
        <f>0</f>
        <v/>
      </c>
      <c r="D55" s="11">
        <f>'Pro-Forma'!$B$26</f>
        <v/>
      </c>
      <c r="E55" s="12">
        <f>$D$55/Assumptions!$B$76</f>
        <v/>
      </c>
    </row>
    <row r="56">
      <c r="A56" s="13" t="inlineStr">
        <is>
          <t>TOTAL</t>
        </is>
      </c>
      <c r="B56" s="14" t="n"/>
      <c r="C56" s="15">
        <f>SUM(C30:C55)</f>
        <v/>
      </c>
      <c r="D56" s="15">
        <f>SUM(D30:D55)</f>
        <v/>
      </c>
      <c r="E56" s="16">
        <f>SUM(E30:E55)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WATERFALL — 5 EXITS × 7 PRICED CLASSES (35 elections)</t>
        </is>
      </c>
    </row>
    <row r="3">
      <c r="A3" s="1" t="inlineStr">
        <is>
          <t>Class</t>
        </is>
      </c>
      <c r="B3" s="1" t="inlineStr">
        <is>
          <t>Invested (USD)</t>
        </is>
      </c>
      <c r="C3" s="1" t="inlineStr">
        <is>
          <t>As-converted shares</t>
        </is>
      </c>
      <c r="D3" s="1" t="inlineStr">
        <is>
          <t>Election @ $700M</t>
        </is>
      </c>
      <c r="E3" s="1" t="inlineStr">
        <is>
          <t>Election @ $1.2B</t>
        </is>
      </c>
      <c r="F3" s="1" t="inlineStr">
        <is>
          <t>Election @ $2B</t>
        </is>
      </c>
      <c r="G3" s="1" t="inlineStr">
        <is>
          <t>Election @ $4B</t>
        </is>
      </c>
      <c r="H3" s="1" t="inlineStr">
        <is>
          <t>Election @ $8B</t>
        </is>
      </c>
      <c r="I3" s="1" t="inlineStr">
        <is>
          <t>Proceeds @ $700M</t>
        </is>
      </c>
      <c r="J3" s="1" t="inlineStr">
        <is>
          <t>Proceeds @ $1.2B</t>
        </is>
      </c>
      <c r="K3" s="1" t="inlineStr">
        <is>
          <t>Proceeds @ $2B</t>
        </is>
      </c>
      <c r="L3" s="1" t="inlineStr">
        <is>
          <t>Proceeds @ $4B</t>
        </is>
      </c>
      <c r="M3" s="1" t="inlineStr">
        <is>
          <t>Proceeds @ $8B</t>
        </is>
      </c>
    </row>
    <row r="4">
      <c r="A4" t="inlineStr">
        <is>
          <t>F (Series F)</t>
        </is>
      </c>
      <c r="B4" s="5">
        <f>Assumptions!$B$5</f>
        <v/>
      </c>
      <c r="C4" s="11">
        <f>'Pro-Forma'!$B$25+'Pro-Forma'!$B$26</f>
        <v/>
      </c>
      <c r="D4">
        <f>IF(B4&gt;C4*Assumptions!$B$96,"preference","convert")</f>
        <v/>
      </c>
      <c r="E4">
        <f>IF(B4&gt;C4*Assumptions!$B$106,"preference","convert")</f>
        <v/>
      </c>
      <c r="F4">
        <f>IF(B4&gt;C4*Assumptions!$B$116,"preference","convert")</f>
        <v/>
      </c>
      <c r="G4">
        <f>IF(B4&gt;C4*Assumptions!$B$126,"preference","convert")</f>
        <v/>
      </c>
      <c r="H4">
        <f>IF(B4&gt;C4*Assumptions!$B$136,"preference","convert")</f>
        <v/>
      </c>
      <c r="I4" s="11">
        <f>IF(D4="preference",B4,C4*Assumptions!$B$94)</f>
        <v/>
      </c>
      <c r="J4" s="11">
        <f>IF(E4="preference",B4,C4*Assumptions!$B$104)</f>
        <v/>
      </c>
      <c r="K4" s="11">
        <f>IF(F4="preference",B4,C4*Assumptions!$B$114)</f>
        <v/>
      </c>
      <c r="L4" s="11">
        <f>IF(G4="preference",B4,C4*Assumptions!$B$124)</f>
        <v/>
      </c>
      <c r="M4" s="11">
        <f>IF(H4="preference",B4,C4*Assumptions!$B$134)</f>
        <v/>
      </c>
    </row>
    <row r="5">
      <c r="A5" t="inlineStr">
        <is>
          <t>E (Series E)</t>
        </is>
      </c>
      <c r="B5" s="5">
        <f>Assumptions!$B$62</f>
        <v/>
      </c>
      <c r="C5" s="11">
        <f>Assumptions!$B$54+Assumptions!$B$81</f>
        <v/>
      </c>
      <c r="D5">
        <f>IF(B5&gt;C5*Assumptions!$B$97,"preference","convert")</f>
        <v/>
      </c>
      <c r="E5">
        <f>IF(B5&gt;C5*Assumptions!$B$107,"preference","convert")</f>
        <v/>
      </c>
      <c r="F5">
        <f>IF(B5&gt;C5*Assumptions!$B$117,"preference","convert")</f>
        <v/>
      </c>
      <c r="G5">
        <f>IF(B5&gt;C5*Assumptions!$B$127,"preference","convert")</f>
        <v/>
      </c>
      <c r="H5">
        <f>IF(B5&gt;C5*Assumptions!$B$137,"preference","convert")</f>
        <v/>
      </c>
      <c r="I5" s="11">
        <f>IF(D5="preference",B5,C5*Assumptions!$B$94)</f>
        <v/>
      </c>
      <c r="J5" s="11">
        <f>IF(E5="preference",B5,C5*Assumptions!$B$104)</f>
        <v/>
      </c>
      <c r="K5" s="11">
        <f>IF(F5="preference",B5,C5*Assumptions!$B$114)</f>
        <v/>
      </c>
      <c r="L5" s="11">
        <f>IF(G5="preference",B5,C5*Assumptions!$B$124)</f>
        <v/>
      </c>
      <c r="M5" s="11">
        <f>IF(H5="preference",B5,C5*Assumptions!$B$134)</f>
        <v/>
      </c>
    </row>
    <row r="6">
      <c r="A6" t="inlineStr">
        <is>
          <t>D (Series D)</t>
        </is>
      </c>
      <c r="B6" s="5">
        <f>Assumptions!$B$61</f>
        <v/>
      </c>
      <c r="C6" s="11">
        <f>Assumptions!$B$52+Assumptions!$B$79</f>
        <v/>
      </c>
      <c r="D6">
        <f>IF(B6&gt;C6*Assumptions!$B$98,"preference","convert")</f>
        <v/>
      </c>
      <c r="E6">
        <f>IF(B6&gt;C6*Assumptions!$B$108,"preference","convert")</f>
        <v/>
      </c>
      <c r="F6">
        <f>IF(B6&gt;C6*Assumptions!$B$118,"preference","convert")</f>
        <v/>
      </c>
      <c r="G6">
        <f>IF(B6&gt;C6*Assumptions!$B$128,"preference","convert")</f>
        <v/>
      </c>
      <c r="H6">
        <f>IF(B6&gt;C6*Assumptions!$B$138,"preference","convert")</f>
        <v/>
      </c>
      <c r="I6" s="11">
        <f>IF(D6="preference",B6,C6*Assumptions!$B$94)</f>
        <v/>
      </c>
      <c r="J6" s="11">
        <f>IF(E6="preference",B6,C6*Assumptions!$B$104)</f>
        <v/>
      </c>
      <c r="K6" s="11">
        <f>IF(F6="preference",B6,C6*Assumptions!$B$114)</f>
        <v/>
      </c>
      <c r="L6" s="11">
        <f>IF(G6="preference",B6,C6*Assumptions!$B$124)</f>
        <v/>
      </c>
      <c r="M6" s="11">
        <f>IF(H6="preference",B6,C6*Assumptions!$B$134)</f>
        <v/>
      </c>
    </row>
    <row r="7">
      <c r="A7" t="inlineStr">
        <is>
          <t>C (Series C)</t>
        </is>
      </c>
      <c r="B7" s="5">
        <f>Assumptions!$B$60</f>
        <v/>
      </c>
      <c r="C7" s="11">
        <f>Assumptions!$B$51</f>
        <v/>
      </c>
      <c r="D7">
        <f>IF(B7&gt;C7*Assumptions!$B$99,"preference","convert")</f>
        <v/>
      </c>
      <c r="E7">
        <f>IF(B7&gt;C7*Assumptions!$B$109,"preference","convert")</f>
        <v/>
      </c>
      <c r="F7">
        <f>IF(B7&gt;C7*Assumptions!$B$119,"preference","convert")</f>
        <v/>
      </c>
      <c r="G7">
        <f>IF(B7&gt;C7*Assumptions!$B$129,"preference","convert")</f>
        <v/>
      </c>
      <c r="H7">
        <f>IF(B7&gt;C7*Assumptions!$B$139,"preference","convert")</f>
        <v/>
      </c>
      <c r="I7" s="11">
        <f>IF(D7="preference",B7,C7*Assumptions!$B$94)</f>
        <v/>
      </c>
      <c r="J7" s="11">
        <f>IF(E7="preference",B7,C7*Assumptions!$B$104)</f>
        <v/>
      </c>
      <c r="K7" s="11">
        <f>IF(F7="preference",B7,C7*Assumptions!$B$114)</f>
        <v/>
      </c>
      <c r="L7" s="11">
        <f>IF(G7="preference",B7,C7*Assumptions!$B$124)</f>
        <v/>
      </c>
      <c r="M7" s="11">
        <f>IF(H7="preference",B7,C7*Assumptions!$B$134)</f>
        <v/>
      </c>
    </row>
    <row r="8">
      <c r="A8" t="inlineStr">
        <is>
          <t>B (Series B)</t>
        </is>
      </c>
      <c r="B8" s="5">
        <f>Assumptions!$B$59</f>
        <v/>
      </c>
      <c r="C8" s="11">
        <f>Assumptions!$B$50</f>
        <v/>
      </c>
      <c r="D8">
        <f>IF(B8&gt;C8*Assumptions!$B$100,"preference","convert")</f>
        <v/>
      </c>
      <c r="E8">
        <f>IF(B8&gt;C8*Assumptions!$B$110,"preference","convert")</f>
        <v/>
      </c>
      <c r="F8">
        <f>IF(B8&gt;C8*Assumptions!$B$120,"preference","convert")</f>
        <v/>
      </c>
      <c r="G8">
        <f>IF(B8&gt;C8*Assumptions!$B$130,"preference","convert")</f>
        <v/>
      </c>
      <c r="H8">
        <f>IF(B8&gt;C8*Assumptions!$B$140,"preference","convert")</f>
        <v/>
      </c>
      <c r="I8" s="11">
        <f>IF(D8="preference",B8,C8*Assumptions!$B$94)</f>
        <v/>
      </c>
      <c r="J8" s="11">
        <f>IF(E8="preference",B8,C8*Assumptions!$B$104)</f>
        <v/>
      </c>
      <c r="K8" s="11">
        <f>IF(F8="preference",B8,C8*Assumptions!$B$114)</f>
        <v/>
      </c>
      <c r="L8" s="11">
        <f>IF(G8="preference",B8,C8*Assumptions!$B$124)</f>
        <v/>
      </c>
      <c r="M8" s="11">
        <f>IF(H8="preference",B8,C8*Assumptions!$B$134)</f>
        <v/>
      </c>
    </row>
    <row r="9">
      <c r="A9" t="inlineStr">
        <is>
          <t>A (Series A)</t>
        </is>
      </c>
      <c r="B9" s="5">
        <f>Assumptions!$B$58</f>
        <v/>
      </c>
      <c r="C9" s="11">
        <f>Assumptions!$B$49</f>
        <v/>
      </c>
      <c r="D9">
        <f>IF(B9&gt;C9*Assumptions!$B$101,"preference","convert")</f>
        <v/>
      </c>
      <c r="E9">
        <f>IF(B9&gt;C9*Assumptions!$B$111,"preference","convert")</f>
        <v/>
      </c>
      <c r="F9">
        <f>IF(B9&gt;C9*Assumptions!$B$121,"preference","convert")</f>
        <v/>
      </c>
      <c r="G9">
        <f>IF(B9&gt;C9*Assumptions!$B$131,"preference","convert")</f>
        <v/>
      </c>
      <c r="H9">
        <f>IF(B9&gt;C9*Assumptions!$B$141,"preference","convert")</f>
        <v/>
      </c>
      <c r="I9" s="11">
        <f>IF(D9="preference",B9,C9*Assumptions!$B$94)</f>
        <v/>
      </c>
      <c r="J9" s="11">
        <f>IF(E9="preference",B9,C9*Assumptions!$B$104)</f>
        <v/>
      </c>
      <c r="K9" s="11">
        <f>IF(F9="preference",B9,C9*Assumptions!$B$114)</f>
        <v/>
      </c>
      <c r="L9" s="11">
        <f>IF(G9="preference",B9,C9*Assumptions!$B$124)</f>
        <v/>
      </c>
      <c r="M9" s="11">
        <f>IF(H9="preference",B9,C9*Assumptions!$B$134)</f>
        <v/>
      </c>
    </row>
    <row r="10">
      <c r="A10" t="inlineStr">
        <is>
          <t>Seed</t>
        </is>
      </c>
      <c r="B10" s="5">
        <f>Assumptions!$B$57</f>
        <v/>
      </c>
      <c r="C10" s="11">
        <f>Assumptions!$B$48</f>
        <v/>
      </c>
      <c r="D10">
        <f>IF(B10&gt;C10*Assumptions!$B$102,"preference","convert")</f>
        <v/>
      </c>
      <c r="E10">
        <f>IF(B10&gt;C10*Assumptions!$B$112,"preference","convert")</f>
        <v/>
      </c>
      <c r="F10">
        <f>IF(B10&gt;C10*Assumptions!$B$122,"preference","convert")</f>
        <v/>
      </c>
      <c r="G10">
        <f>IF(B10&gt;C10*Assumptions!$B$132,"preference","convert")</f>
        <v/>
      </c>
      <c r="H10">
        <f>IF(B10&gt;C10*Assumptions!$B$142,"preference","convert")</f>
        <v/>
      </c>
      <c r="I10" s="11">
        <f>IF(D10="preference",B10,C10*Assumptions!$B$94)</f>
        <v/>
      </c>
      <c r="J10" s="11">
        <f>IF(E10="preference",B10,C10*Assumptions!$B$104)</f>
        <v/>
      </c>
      <c r="K10" s="11">
        <f>IF(F10="preference",B10,C10*Assumptions!$B$114)</f>
        <v/>
      </c>
      <c r="L10" s="11">
        <f>IF(G10="preference",B10,C10*Assumptions!$B$124)</f>
        <v/>
      </c>
      <c r="M10" s="11">
        <f>IF(H10="preference",B10,C10*Assumptions!$B$134)</f>
        <v/>
      </c>
    </row>
    <row r="11">
      <c r="A11" t="inlineStr">
        <is>
          <t>Notes A+B (combined, common-equiv)</t>
        </is>
      </c>
      <c r="B11" s="5">
        <f>Assumptions!$B$30+Assumptions!$B$33</f>
        <v/>
      </c>
      <c r="C11" s="11">
        <f>Assumptions!$B$85+Assumptions!$B$89</f>
        <v/>
      </c>
      <c r="D11">
        <f>"(no election)"</f>
        <v/>
      </c>
      <c r="E11">
        <f>"(no election)"</f>
        <v/>
      </c>
      <c r="F11">
        <f>"(no election)"</f>
        <v/>
      </c>
      <c r="G11">
        <f>"(no election)"</f>
        <v/>
      </c>
      <c r="H11">
        <f>"(no election)"</f>
        <v/>
      </c>
      <c r="I11" s="11">
        <f>(Assumptions!$B$85+Assumptions!$B$89)*Assumptions!$B$94</f>
        <v/>
      </c>
      <c r="J11" s="11">
        <f>(Assumptions!$B$85+Assumptions!$B$89)*Assumptions!$B$104</f>
        <v/>
      </c>
      <c r="K11" s="11">
        <f>(Assumptions!$B$85+Assumptions!$B$89)*Assumptions!$B$114</f>
        <v/>
      </c>
      <c r="L11" s="11">
        <f>(Assumptions!$B$85+Assumptions!$B$89)*Assumptions!$B$124</f>
        <v/>
      </c>
      <c r="M11" s="11">
        <f>(Assumptions!$B$85+Assumptions!$B$89)*Assumptions!$B$134</f>
        <v/>
      </c>
    </row>
    <row r="12">
      <c r="A12" t="inlineStr">
        <is>
          <t>Common + RSAs + Secondary common (F_LEAD)</t>
        </is>
      </c>
      <c r="B12">
        <f>0</f>
        <v/>
      </c>
      <c r="C12" s="11">
        <f>(Assumptions!$B$44-'Pro-Forma'!$B$21)+(Assumptions!$B$45-'Pro-Forma'!$B$22)+(Assumptions!$B$46-'Pro-Forma'!$B$23)+Assumptions!$B$47+'Pro-Forma'!$B$24</f>
        <v/>
      </c>
      <c r="D12">
        <f>"(no election)"</f>
        <v/>
      </c>
      <c r="E12">
        <f>"(no election)"</f>
        <v/>
      </c>
      <c r="F12">
        <f>"(no election)"</f>
        <v/>
      </c>
      <c r="G12">
        <f>"(no election)"</f>
        <v/>
      </c>
      <c r="H12">
        <f>"(no election)"</f>
        <v/>
      </c>
      <c r="I12" s="11">
        <f>((Assumptions!$B$44-'Pro-Forma'!$B$21)+(Assumptions!$B$45-'Pro-Forma'!$B$22)+(Assumptions!$B$46-'Pro-Forma'!$B$23)+Assumptions!$B$47+'Pro-Forma'!$B$24)*Assumptions!$B$94</f>
        <v/>
      </c>
      <c r="J12" s="11">
        <f>((Assumptions!$B$44-'Pro-Forma'!$B$21)+(Assumptions!$B$45-'Pro-Forma'!$B$22)+(Assumptions!$B$46-'Pro-Forma'!$B$23)+Assumptions!$B$47+'Pro-Forma'!$B$24)*Assumptions!$B$104</f>
        <v/>
      </c>
      <c r="K12" s="11">
        <f>((Assumptions!$B$44-'Pro-Forma'!$B$21)+(Assumptions!$B$45-'Pro-Forma'!$B$22)+(Assumptions!$B$46-'Pro-Forma'!$B$23)+Assumptions!$B$47+'Pro-Forma'!$B$24)*Assumptions!$B$114</f>
        <v/>
      </c>
      <c r="L12" s="11">
        <f>((Assumptions!$B$44-'Pro-Forma'!$B$21)+(Assumptions!$B$45-'Pro-Forma'!$B$22)+(Assumptions!$B$46-'Pro-Forma'!$B$23)+Assumptions!$B$47+'Pro-Forma'!$B$24)*Assumptions!$B$124</f>
        <v/>
      </c>
      <c r="M12" s="11">
        <f>((Assumptions!$B$44-'Pro-Forma'!$B$21)+(Assumptions!$B$45-'Pro-Forma'!$B$22)+(Assumptions!$B$46-'Pro-Forma'!$B$23)+Assumptions!$B$47+'Pro-Forma'!$B$24)*Assumptions!$B$134</f>
        <v/>
      </c>
    </row>
    <row r="13">
      <c r="A13" t="inlineStr">
        <is>
          <t>Issued options (net of strike if ITM)</t>
        </is>
      </c>
      <c r="B13" s="5">
        <f>Assumptions!$B$40*Assumptions!$B$11</f>
        <v/>
      </c>
      <c r="C13" s="5">
        <f>Assumptions!$B$40</f>
        <v/>
      </c>
      <c r="D13">
        <f>"(no election)"</f>
        <v/>
      </c>
      <c r="E13">
        <f>"(no election)"</f>
        <v/>
      </c>
      <c r="F13">
        <f>"(no election)"</f>
        <v/>
      </c>
      <c r="G13">
        <f>"(no election)"</f>
        <v/>
      </c>
      <c r="H13">
        <f>"(no election)"</f>
        <v/>
      </c>
      <c r="I13" s="11">
        <f>IF(Assumptions!$B$94&gt;Assumptions!$B$11,Assumptions!$B$40*(Assumptions!$B$94-Assumptions!$B$11),0)</f>
        <v/>
      </c>
      <c r="J13" s="11">
        <f>IF(Assumptions!$B$104&gt;Assumptions!$B$11,Assumptions!$B$40*(Assumptions!$B$104-Assumptions!$B$11),0)</f>
        <v/>
      </c>
      <c r="K13" s="11">
        <f>IF(Assumptions!$B$114&gt;Assumptions!$B$11,Assumptions!$B$40*(Assumptions!$B$114-Assumptions!$B$11),0)</f>
        <v/>
      </c>
      <c r="L13" s="11">
        <f>IF(Assumptions!$B$124&gt;Assumptions!$B$11,Assumptions!$B$40*(Assumptions!$B$124-Assumptions!$B$11),0)</f>
        <v/>
      </c>
      <c r="M13" s="11">
        <f>IF(Assumptions!$B$134&gt;Assumptions!$B$11,Assumptions!$B$40*(Assumptions!$B$134-Assumptions!$B$11),0)</f>
        <v/>
      </c>
    </row>
    <row r="14">
      <c r="A14" t="inlineStr">
        <is>
          <t>Unissued options (forfeit)</t>
        </is>
      </c>
      <c r="B14">
        <f>0</f>
        <v/>
      </c>
      <c r="C14" s="11">
        <f>Assumptions!$B$41+Assumptions!$B$77</f>
        <v/>
      </c>
      <c r="D14">
        <f>"(forfeit)"</f>
        <v/>
      </c>
      <c r="E14">
        <f>"(forfeit)"</f>
        <v/>
      </c>
      <c r="F14">
        <f>"(forfeit)"</f>
        <v/>
      </c>
      <c r="G14">
        <f>"(forfeit)"</f>
        <v/>
      </c>
      <c r="H14">
        <f>"(forfeit)"</f>
        <v/>
      </c>
      <c r="I14" s="11">
        <f>0</f>
        <v/>
      </c>
      <c r="J14" s="11">
        <f>0</f>
        <v/>
      </c>
      <c r="K14" s="11">
        <f>0</f>
        <v/>
      </c>
      <c r="L14" s="11">
        <f>0</f>
        <v/>
      </c>
      <c r="M14" s="11">
        <f>0</f>
        <v/>
      </c>
    </row>
    <row r="15">
      <c r="A15" s="13" t="inlineStr">
        <is>
          <t>TOTAL distributed</t>
        </is>
      </c>
      <c r="I15" s="15">
        <f>SUM(I4:I14)</f>
        <v/>
      </c>
      <c r="J15" s="15">
        <f>SUM(J4:J14)</f>
        <v/>
      </c>
      <c r="K15" s="15">
        <f>SUM(K4:K14)</f>
        <v/>
      </c>
      <c r="L15" s="15">
        <f>SUM(L4:L14)</f>
        <v/>
      </c>
      <c r="M15" s="15">
        <f>SUM(M4:M14)</f>
        <v/>
      </c>
    </row>
    <row r="16">
      <c r="A16" s="17" t="inlineStr">
        <is>
          <t>Exit value (target)</t>
        </is>
      </c>
      <c r="I16" s="5">
        <f>Assumptions!$B$14</f>
        <v/>
      </c>
      <c r="J16" s="5">
        <f>Assumptions!$B$15</f>
        <v/>
      </c>
      <c r="K16" s="5">
        <f>Assumptions!$B$16</f>
        <v/>
      </c>
      <c r="L16" s="5">
        <f>Assumptions!$B$17</f>
        <v/>
      </c>
      <c r="M16" s="5">
        <f>Assumptions!$B$18</f>
        <v/>
      </c>
    </row>
    <row r="17">
      <c r="A17" s="17" t="inlineStr">
        <is>
          <t>Reconciliation Δ (TOTAL − exit)</t>
        </is>
      </c>
      <c r="I17" s="18">
        <f>I15-I16</f>
        <v/>
      </c>
      <c r="J17" s="18">
        <f>J15-J16</f>
        <v/>
      </c>
      <c r="K17" s="18">
        <f>K15-K16</f>
        <v/>
      </c>
      <c r="L17" s="18">
        <f>L15-L16</f>
        <v/>
      </c>
      <c r="M17" s="18">
        <f>M15-M16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SENSITIVITY — 3×3 grid: ESOP refresh × Series F pre-money</t>
        </is>
      </c>
    </row>
    <row r="2">
      <c r="A2" s="19" t="inlineStr">
        <is>
          <t>Each cell re-solves round fixed point (F_PPS, ESOP topup, AD on D/E, both notes); proceeds at $2B exit.</t>
        </is>
      </c>
    </row>
    <row r="4">
      <c r="A4" s="3" t="inlineStr">
        <is>
          <t>Ownership % (our $10M / F_PPS / T_F)</t>
        </is>
      </c>
    </row>
    <row r="5">
      <c r="A5" s="1" t="inlineStr">
        <is>
          <t>Pre-money \ ESOP</t>
        </is>
      </c>
      <c r="B5" s="1" t="inlineStr">
        <is>
          <t>ESOP 11%</t>
        </is>
      </c>
      <c r="C5" s="1" t="inlineStr">
        <is>
          <t>ESOP 13%</t>
        </is>
      </c>
      <c r="D5" s="1" t="inlineStr">
        <is>
          <t>ESOP 15%</t>
        </is>
      </c>
    </row>
    <row r="6">
      <c r="A6" s="17" t="inlineStr">
        <is>
          <t>Pre-money $1.2B</t>
        </is>
      </c>
      <c r="B6" s="12">
        <f>(Assumptions!$B$9/Assumptions!$B$146)/Assumptions!$B$147</f>
        <v/>
      </c>
      <c r="C6" s="12">
        <f>(Assumptions!$B$9/Assumptions!$B$188)/Assumptions!$B$189</f>
        <v/>
      </c>
      <c r="D6" s="12">
        <f>(Assumptions!$B$9/Assumptions!$B$230)/Assumptions!$B$231</f>
        <v/>
      </c>
    </row>
    <row r="7">
      <c r="A7" s="17" t="inlineStr">
        <is>
          <t>Pre-money $1.4B</t>
        </is>
      </c>
      <c r="B7" s="12">
        <f>(Assumptions!$B$9/Assumptions!$B$160)/Assumptions!$B$161</f>
        <v/>
      </c>
      <c r="C7" s="12">
        <f>(Assumptions!$B$9/Assumptions!$B$202)/Assumptions!$B$203</f>
        <v/>
      </c>
      <c r="D7" s="12">
        <f>(Assumptions!$B$9/Assumptions!$B$244)/Assumptions!$B$245</f>
        <v/>
      </c>
    </row>
    <row r="8">
      <c r="A8" s="17" t="inlineStr">
        <is>
          <t>Pre-money $1.8B</t>
        </is>
      </c>
      <c r="B8" s="12">
        <f>(Assumptions!$B$9/Assumptions!$B$174)/Assumptions!$B$175</f>
        <v/>
      </c>
      <c r="C8" s="12">
        <f>(Assumptions!$B$9/Assumptions!$B$216)/Assumptions!$B$217</f>
        <v/>
      </c>
      <c r="D8" s="12">
        <f>(Assumptions!$B$9/Assumptions!$B$258)/Assumptions!$B$259</f>
        <v/>
      </c>
    </row>
    <row r="10">
      <c r="A10" s="3" t="inlineStr">
        <is>
          <t>$ proceeds at $2B exit</t>
        </is>
      </c>
    </row>
    <row r="11">
      <c r="A11" s="1" t="inlineStr">
        <is>
          <t>Pre-money \ ESOP</t>
        </is>
      </c>
      <c r="B11" s="1" t="inlineStr">
        <is>
          <t>ESOP 11%</t>
        </is>
      </c>
      <c r="C11" s="1" t="inlineStr">
        <is>
          <t>ESOP 13%</t>
        </is>
      </c>
      <c r="D11" s="1" t="inlineStr">
        <is>
          <t>ESOP 15%</t>
        </is>
      </c>
    </row>
    <row r="12">
      <c r="A12" s="17" t="inlineStr">
        <is>
          <t>Pre-money $1.2B</t>
        </is>
      </c>
      <c r="B12" s="11">
        <f>IF(Assumptions!$B$5&gt;(Assumptions!$B$5/Assumptions!$B$146)*Assumptions!$B$158,Assumptions!$B$9,(Assumptions!$B$9/Assumptions!$B$146)*Assumptions!$B$157)</f>
        <v/>
      </c>
      <c r="C12" s="11">
        <f>IF(Assumptions!$B$5&gt;(Assumptions!$B$5/Assumptions!$B$188)*Assumptions!$B$200,Assumptions!$B$9,(Assumptions!$B$9/Assumptions!$B$188)*Assumptions!$B$199)</f>
        <v/>
      </c>
      <c r="D12" s="11">
        <f>IF(Assumptions!$B$5&gt;(Assumptions!$B$5/Assumptions!$B$230)*Assumptions!$B$242,Assumptions!$B$9,(Assumptions!$B$9/Assumptions!$B$230)*Assumptions!$B$241)</f>
        <v/>
      </c>
    </row>
    <row r="13">
      <c r="A13" s="17" t="inlineStr">
        <is>
          <t>Pre-money $1.4B</t>
        </is>
      </c>
      <c r="B13" s="11">
        <f>IF(Assumptions!$B$5&gt;(Assumptions!$B$5/Assumptions!$B$160)*Assumptions!$B$172,Assumptions!$B$9,(Assumptions!$B$9/Assumptions!$B$160)*Assumptions!$B$171)</f>
        <v/>
      </c>
      <c r="C13" s="11">
        <f>IF(Assumptions!$B$5&gt;(Assumptions!$B$5/Assumptions!$B$202)*Assumptions!$B$214,Assumptions!$B$9,(Assumptions!$B$9/Assumptions!$B$202)*Assumptions!$B$213)</f>
        <v/>
      </c>
      <c r="D13" s="11">
        <f>IF(Assumptions!$B$5&gt;(Assumptions!$B$5/Assumptions!$B$244)*Assumptions!$B$256,Assumptions!$B$9,(Assumptions!$B$9/Assumptions!$B$244)*Assumptions!$B$255)</f>
        <v/>
      </c>
    </row>
    <row r="14">
      <c r="A14" s="17" t="inlineStr">
        <is>
          <t>Pre-money $1.8B</t>
        </is>
      </c>
      <c r="B14" s="11">
        <f>IF(Assumptions!$B$5&gt;(Assumptions!$B$5/Assumptions!$B$174)*Assumptions!$B$186,Assumptions!$B$9,(Assumptions!$B$9/Assumptions!$B$174)*Assumptions!$B$185)</f>
        <v/>
      </c>
      <c r="C14" s="11">
        <f>IF(Assumptions!$B$5&gt;(Assumptions!$B$5/Assumptions!$B$216)*Assumptions!$B$228,Assumptions!$B$9,(Assumptions!$B$9/Assumptions!$B$216)*Assumptions!$B$227)</f>
        <v/>
      </c>
      <c r="D14" s="11">
        <f>IF(Assumptions!$B$5&gt;(Assumptions!$B$5/Assumptions!$B$258)*Assumptions!$B$270,Assumptions!$B$9,(Assumptions!$B$9/Assumptions!$B$258)*Assumptions!$B$269)</f>
        <v/>
      </c>
    </row>
    <row r="16">
      <c r="A16" s="3" t="inlineStr">
        <is>
          <t>F_PPS (USD/share)</t>
        </is>
      </c>
    </row>
    <row r="17">
      <c r="A17" s="1" t="inlineStr">
        <is>
          <t>Pre-money \ ESOP</t>
        </is>
      </c>
      <c r="B17" s="1" t="inlineStr">
        <is>
          <t>ESOP 11%</t>
        </is>
      </c>
      <c r="C17" s="1" t="inlineStr">
        <is>
          <t>ESOP 13%</t>
        </is>
      </c>
      <c r="D17" s="1" t="inlineStr">
        <is>
          <t>ESOP 15%</t>
        </is>
      </c>
    </row>
    <row r="18">
      <c r="A18" s="17" t="inlineStr">
        <is>
          <t>Pre-money $1.2B</t>
        </is>
      </c>
      <c r="B18" s="9">
        <f>Assumptions!$B$146</f>
        <v/>
      </c>
      <c r="C18" s="9">
        <f>Assumptions!$B$188</f>
        <v/>
      </c>
      <c r="D18" s="9">
        <f>Assumptions!$B$230</f>
        <v/>
      </c>
    </row>
    <row r="19">
      <c r="A19" s="17" t="inlineStr">
        <is>
          <t>Pre-money $1.4B</t>
        </is>
      </c>
      <c r="B19" s="9">
        <f>Assumptions!$B$160</f>
        <v/>
      </c>
      <c r="C19" s="9">
        <f>Assumptions!$B$202</f>
        <v/>
      </c>
      <c r="D19" s="9">
        <f>Assumptions!$B$244</f>
        <v/>
      </c>
    </row>
    <row r="20">
      <c r="A20" s="17" t="inlineStr">
        <is>
          <t>Pre-money $1.8B</t>
        </is>
      </c>
      <c r="B20" s="9">
        <f>Assumptions!$B$174</f>
        <v/>
      </c>
      <c r="C20" s="9">
        <f>Assumptions!$B$216</f>
        <v/>
      </c>
      <c r="D20" s="9">
        <f>Assumptions!$B$258</f>
        <v/>
      </c>
    </row>
    <row r="22">
      <c r="A22" s="3" t="inlineStr">
        <is>
          <t>Note A conversion branch (cap vs discount)</t>
        </is>
      </c>
    </row>
    <row r="23">
      <c r="A23" s="1" t="inlineStr">
        <is>
          <t>Pre-money \ ESOP</t>
        </is>
      </c>
      <c r="B23" s="1" t="inlineStr">
        <is>
          <t>ESOP 11%</t>
        </is>
      </c>
      <c r="C23" s="1" t="inlineStr">
        <is>
          <t>ESOP 13%</t>
        </is>
      </c>
      <c r="D23" s="1" t="inlineStr">
        <is>
          <t>ESOP 15%</t>
        </is>
      </c>
    </row>
    <row r="24">
      <c r="A24" s="17" t="inlineStr">
        <is>
          <t>Pre-money $1.2B</t>
        </is>
      </c>
      <c r="B24">
        <f>IF(Assumptions!$B$148&lt;Assumptions!$B$149,"cap","discount")</f>
        <v/>
      </c>
      <c r="C24">
        <f>IF(Assumptions!$B$190&lt;Assumptions!$B$191,"cap","discount")</f>
        <v/>
      </c>
      <c r="D24">
        <f>IF(Assumptions!$B$232&lt;Assumptions!$B$233,"cap","discount")</f>
        <v/>
      </c>
    </row>
    <row r="25">
      <c r="A25" s="17" t="inlineStr">
        <is>
          <t>Pre-money $1.4B</t>
        </is>
      </c>
      <c r="B25">
        <f>IF(Assumptions!$B$162&lt;Assumptions!$B$163,"cap","discount")</f>
        <v/>
      </c>
      <c r="C25">
        <f>IF(Assumptions!$B$204&lt;Assumptions!$B$205,"cap","discount")</f>
        <v/>
      </c>
      <c r="D25">
        <f>IF(Assumptions!$B$246&lt;Assumptions!$B$247,"cap","discount")</f>
        <v/>
      </c>
    </row>
    <row r="26">
      <c r="A26" s="17" t="inlineStr">
        <is>
          <t>Pre-money $1.8B</t>
        </is>
      </c>
      <c r="B26">
        <f>IF(Assumptions!$B$176&lt;Assumptions!$B$177,"cap","discount")</f>
        <v/>
      </c>
      <c r="C26">
        <f>IF(Assumptions!$B$218&lt;Assumptions!$B$219,"cap","discount")</f>
        <v/>
      </c>
      <c r="D26">
        <f>IF(Assumptions!$B$260&lt;Assumptions!$B$261,"cap","discount")</f>
        <v/>
      </c>
    </row>
    <row r="28">
      <c r="A28" s="3" t="inlineStr">
        <is>
          <t>Note B conversion branch (cap vs discount)</t>
        </is>
      </c>
    </row>
    <row r="29">
      <c r="A29" s="1" t="inlineStr">
        <is>
          <t>Pre-money \ ESOP</t>
        </is>
      </c>
      <c r="B29" s="1" t="inlineStr">
        <is>
          <t>ESOP 11%</t>
        </is>
      </c>
      <c r="C29" s="1" t="inlineStr">
        <is>
          <t>ESOP 13%</t>
        </is>
      </c>
      <c r="D29" s="1" t="inlineStr">
        <is>
          <t>ESOP 15%</t>
        </is>
      </c>
    </row>
    <row r="30">
      <c r="A30" s="17" t="inlineStr">
        <is>
          <t>Pre-money $1.2B</t>
        </is>
      </c>
      <c r="B30">
        <f>IF(Assumptions!$B$150&lt;Assumptions!$B$151,"cap","discount")</f>
        <v/>
      </c>
      <c r="C30">
        <f>IF(Assumptions!$B$192&lt;Assumptions!$B$193,"cap","discount")</f>
        <v/>
      </c>
      <c r="D30">
        <f>IF(Assumptions!$B$234&lt;Assumptions!$B$235,"cap","discount")</f>
        <v/>
      </c>
    </row>
    <row r="31">
      <c r="A31" s="17" t="inlineStr">
        <is>
          <t>Pre-money $1.4B</t>
        </is>
      </c>
      <c r="B31">
        <f>IF(Assumptions!$B$164&lt;Assumptions!$B$165,"cap","discount")</f>
        <v/>
      </c>
      <c r="C31">
        <f>IF(Assumptions!$B$206&lt;Assumptions!$B$207,"cap","discount")</f>
        <v/>
      </c>
      <c r="D31">
        <f>IF(Assumptions!$B$248&lt;Assumptions!$B$249,"cap","discount")</f>
        <v/>
      </c>
    </row>
    <row r="32">
      <c r="A32" s="17" t="inlineStr">
        <is>
          <t>Pre-money $1.8B</t>
        </is>
      </c>
      <c r="B32">
        <f>IF(Assumptions!$B$178&lt;Assumptions!$B$179,"cap","discount")</f>
        <v/>
      </c>
      <c r="C32">
        <f>IF(Assumptions!$B$220&lt;Assumptions!$B$221,"cap","discount")</f>
        <v/>
      </c>
      <c r="D32">
        <f>IF(Assumptions!$B$262&lt;Assumptions!$B$263,"cap","discount")</f>
        <v/>
      </c>
    </row>
    <row r="34">
      <c r="A34" s="3" t="inlineStr">
        <is>
          <t>F-class election @ $2B (preference vs convert)</t>
        </is>
      </c>
    </row>
    <row r="35">
      <c r="A35" s="1" t="inlineStr">
        <is>
          <t>Pre-money \ ESOP</t>
        </is>
      </c>
      <c r="B35" s="1" t="inlineStr">
        <is>
          <t>ESOP 11%</t>
        </is>
      </c>
      <c r="C35" s="1" t="inlineStr">
        <is>
          <t>ESOP 13%</t>
        </is>
      </c>
      <c r="D35" s="1" t="inlineStr">
        <is>
          <t>ESOP 15%</t>
        </is>
      </c>
    </row>
    <row r="36">
      <c r="A36" s="17" t="inlineStr">
        <is>
          <t>Pre-money $1.2B</t>
        </is>
      </c>
      <c r="B36">
        <f>IF(Assumptions!$B$5&gt;(Assumptions!$B$5/Assumptions!$B$146)*Assumptions!$B$158,"preference","convert")</f>
        <v/>
      </c>
      <c r="C36">
        <f>IF(Assumptions!$B$5&gt;(Assumptions!$B$5/Assumptions!$B$188)*Assumptions!$B$200,"preference","convert")</f>
        <v/>
      </c>
      <c r="D36">
        <f>IF(Assumptions!$B$5&gt;(Assumptions!$B$5/Assumptions!$B$230)*Assumptions!$B$242,"preference","convert")</f>
        <v/>
      </c>
    </row>
    <row r="37">
      <c r="A37" s="17" t="inlineStr">
        <is>
          <t>Pre-money $1.4B</t>
        </is>
      </c>
      <c r="B37">
        <f>IF(Assumptions!$B$5&gt;(Assumptions!$B$5/Assumptions!$B$160)*Assumptions!$B$172,"preference","convert")</f>
        <v/>
      </c>
      <c r="C37">
        <f>IF(Assumptions!$B$5&gt;(Assumptions!$B$5/Assumptions!$B$202)*Assumptions!$B$214,"preference","convert")</f>
        <v/>
      </c>
      <c r="D37">
        <f>IF(Assumptions!$B$5&gt;(Assumptions!$B$5/Assumptions!$B$244)*Assumptions!$B$256,"preference","convert")</f>
        <v/>
      </c>
    </row>
    <row r="38">
      <c r="A38" s="17" t="inlineStr">
        <is>
          <t>Pre-money $1.8B</t>
        </is>
      </c>
      <c r="B38">
        <f>IF(Assumptions!$B$5&gt;(Assumptions!$B$5/Assumptions!$B$174)*Assumptions!$B$186,"preference","convert")</f>
        <v/>
      </c>
      <c r="C38">
        <f>IF(Assumptions!$B$5&gt;(Assumptions!$B$5/Assumptions!$B$216)*Assumptions!$B$228,"preference","convert")</f>
        <v/>
      </c>
      <c r="D38">
        <f>IF(Assumptions!$B$5&gt;(Assumptions!$B$5/Assumptions!$B$258)*Assumptions!$B$270,"preference","convert")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RETURN-SOLVER — F-class ownership % needed for 3× / 4× on $10M</t>
        </is>
      </c>
    </row>
    <row r="2">
      <c r="A2" s="19" t="inlineStr">
        <is>
          <t>Base-case ESOP &amp; full waterfall (incl. F's own election). Targets: 3×=$30M, 4×=$40M.</t>
        </is>
      </c>
    </row>
    <row r="4">
      <c r="A4" s="1" t="inlineStr">
        <is>
          <t>Exit value</t>
        </is>
      </c>
      <c r="B4" s="1" t="inlineStr">
        <is>
          <t>F election</t>
        </is>
      </c>
      <c r="C4" s="1" t="inlineStr">
        <is>
          <t>F-class total proceeds</t>
        </is>
      </c>
      <c r="D4" s="1" t="inlineStr">
        <is>
          <t>Target 3× ($30M)</t>
        </is>
      </c>
      <c r="E4" s="1" t="inlineStr">
        <is>
          <t>Target 4× ($40M)</t>
        </is>
      </c>
      <c r="F4" s="1" t="inlineStr">
        <is>
          <t>Ownership % for 3× (of F class)</t>
        </is>
      </c>
      <c r="G4" s="1" t="inlineStr">
        <is>
          <t>Ownership % for 4× (of F class)</t>
        </is>
      </c>
      <c r="H4" s="1" t="inlineStr">
        <is>
          <t>3× feasible?</t>
        </is>
      </c>
      <c r="I4" s="1" t="inlineStr">
        <is>
          <t>4× feasible?</t>
        </is>
      </c>
    </row>
    <row r="5">
      <c r="A5" s="5">
        <f>Assumptions!$B$14</f>
        <v/>
      </c>
      <c r="B5">
        <f>IF(Assumptions!$B$5&gt;(Assumptions!$B$5/Assumptions!$B$75)*Assumptions!$B$96,"preference","convert")</f>
        <v/>
      </c>
      <c r="C5" s="11">
        <f>IF(B5="preference",Assumptions!$B$5,(Assumptions!$B$5/Assumptions!$B$75)*Assumptions!$B$94)</f>
        <v/>
      </c>
      <c r="D5" s="5">
        <f>Assumptions!$B$71*Assumptions!$B$9</f>
        <v/>
      </c>
      <c r="E5" s="5">
        <f>Assumptions!$B$72*Assumptions!$B$9</f>
        <v/>
      </c>
      <c r="F5" s="20">
        <f>D5/C5</f>
        <v/>
      </c>
      <c r="G5" s="20">
        <f>E5/C5</f>
        <v/>
      </c>
      <c r="H5">
        <f>IF(AND(F5&gt;0,F5&lt;=1),"feasible","infeasible")</f>
        <v/>
      </c>
      <c r="I5">
        <f>IF(AND(G5&gt;0,G5&lt;=1),"feasible","infeasible")</f>
        <v/>
      </c>
    </row>
    <row r="6">
      <c r="A6" s="5">
        <f>Assumptions!$B$15</f>
        <v/>
      </c>
      <c r="B6">
        <f>IF(Assumptions!$B$5&gt;(Assumptions!$B$5/Assumptions!$B$75)*Assumptions!$B$106,"preference","convert")</f>
        <v/>
      </c>
      <c r="C6" s="11">
        <f>IF(B6="preference",Assumptions!$B$5,(Assumptions!$B$5/Assumptions!$B$75)*Assumptions!$B$104)</f>
        <v/>
      </c>
      <c r="D6" s="5">
        <f>Assumptions!$B$71*Assumptions!$B$9</f>
        <v/>
      </c>
      <c r="E6" s="5">
        <f>Assumptions!$B$72*Assumptions!$B$9</f>
        <v/>
      </c>
      <c r="F6" s="20">
        <f>D6/C6</f>
        <v/>
      </c>
      <c r="G6" s="20">
        <f>E6/C6</f>
        <v/>
      </c>
      <c r="H6">
        <f>IF(AND(F6&gt;0,F6&lt;=1),"feasible","infeasible")</f>
        <v/>
      </c>
      <c r="I6">
        <f>IF(AND(G6&gt;0,G6&lt;=1),"feasible","infeasible")</f>
        <v/>
      </c>
    </row>
    <row r="7">
      <c r="A7" s="5">
        <f>Assumptions!$B$16</f>
        <v/>
      </c>
      <c r="B7">
        <f>IF(Assumptions!$B$5&gt;(Assumptions!$B$5/Assumptions!$B$75)*Assumptions!$B$116,"preference","convert")</f>
        <v/>
      </c>
      <c r="C7" s="11">
        <f>IF(B7="preference",Assumptions!$B$5,(Assumptions!$B$5/Assumptions!$B$75)*Assumptions!$B$114)</f>
        <v/>
      </c>
      <c r="D7" s="5">
        <f>Assumptions!$B$71*Assumptions!$B$9</f>
        <v/>
      </c>
      <c r="E7" s="5">
        <f>Assumptions!$B$72*Assumptions!$B$9</f>
        <v/>
      </c>
      <c r="F7" s="20">
        <f>D7/C7</f>
        <v/>
      </c>
      <c r="G7" s="20">
        <f>E7/C7</f>
        <v/>
      </c>
      <c r="H7">
        <f>IF(AND(F7&gt;0,F7&lt;=1),"feasible","infeasible")</f>
        <v/>
      </c>
      <c r="I7">
        <f>IF(AND(G7&gt;0,G7&lt;=1),"feasible","infeasible")</f>
        <v/>
      </c>
    </row>
    <row r="8">
      <c r="A8" s="5">
        <f>Assumptions!$B$17</f>
        <v/>
      </c>
      <c r="B8">
        <f>IF(Assumptions!$B$5&gt;(Assumptions!$B$5/Assumptions!$B$75)*Assumptions!$B$126,"preference","convert")</f>
        <v/>
      </c>
      <c r="C8" s="11">
        <f>IF(B8="preference",Assumptions!$B$5,(Assumptions!$B$5/Assumptions!$B$75)*Assumptions!$B$124)</f>
        <v/>
      </c>
      <c r="D8" s="5">
        <f>Assumptions!$B$71*Assumptions!$B$9</f>
        <v/>
      </c>
      <c r="E8" s="5">
        <f>Assumptions!$B$72*Assumptions!$B$9</f>
        <v/>
      </c>
      <c r="F8" s="20">
        <f>D8/C8</f>
        <v/>
      </c>
      <c r="G8" s="20">
        <f>E8/C8</f>
        <v/>
      </c>
      <c r="H8">
        <f>IF(AND(F8&gt;0,F8&lt;=1),"feasible","infeasible")</f>
        <v/>
      </c>
      <c r="I8">
        <f>IF(AND(G8&gt;0,G8&lt;=1),"feasible","infeasible")</f>
        <v/>
      </c>
    </row>
    <row r="9">
      <c r="A9" s="5">
        <f>Assumptions!$B$18</f>
        <v/>
      </c>
      <c r="B9">
        <f>IF(Assumptions!$B$5&gt;(Assumptions!$B$5/Assumptions!$B$75)*Assumptions!$B$136,"preference","convert")</f>
        <v/>
      </c>
      <c r="C9" s="11">
        <f>IF(B9="preference",Assumptions!$B$5,(Assumptions!$B$5/Assumptions!$B$75)*Assumptions!$B$134)</f>
        <v/>
      </c>
      <c r="D9" s="5">
        <f>Assumptions!$B$71*Assumptions!$B$9</f>
        <v/>
      </c>
      <c r="E9" s="5">
        <f>Assumptions!$B$72*Assumptions!$B$9</f>
        <v/>
      </c>
      <c r="F9" s="20">
        <f>D9/C9</f>
        <v/>
      </c>
      <c r="G9" s="20">
        <f>E9/C9</f>
        <v/>
      </c>
      <c r="H9">
        <f>IF(AND(F9&gt;0,F9&lt;=1),"feasible","infeasible")</f>
        <v/>
      </c>
      <c r="I9">
        <f>IF(AND(G9&gt;0,G9&lt;=1),"feasible","infeasible")</f>
        <v/>
      </c>
    </row>
    <row r="12">
      <c r="A12" s="3" t="inlineStr">
        <is>
          <t>Notes</t>
        </is>
      </c>
    </row>
    <row r="13">
      <c r="A13" t="inlineStr">
        <is>
          <t>• 'F-class total proceeds' = primary if F elects preference, else F_class_shares × pps_eq.</t>
        </is>
      </c>
    </row>
    <row r="14">
      <c r="A14" t="inlineStr">
        <is>
          <t>• 'Ownership % of F class' = target / F-class proceeds (the share of F class our $10M would need).</t>
        </is>
      </c>
    </row>
    <row r="15">
      <c r="A15" t="inlineStr">
        <is>
          <t>• At base case our $10M = 1/3 of F primary (= 33.33% of F class).</t>
        </is>
      </c>
    </row>
    <row r="16">
      <c r="A16" t="inlineStr">
        <is>
          <t>• Ownership &gt; 100% or ≤ 0% flagged as infeasible.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2026-04-27T02:34:18Z</dcterms:created>
  <dcterms:modified xmlns:dcterms="http://purl.org/dc/terms/" xmlns:xsi="http://www.w3.org/2001/XMLSchema-instance" xsi:type="dcterms:W3CDTF">2026-04-27T02:34:18Z</dcterms:modified>
</cp:coreProperties>
</file>