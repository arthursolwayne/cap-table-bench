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-Forma" sheetId="2" state="visible" r:id="rId2"/>
    <sheet xmlns:r="http://schemas.openxmlformats.org/officeDocument/2006/relationships" name="Waterfall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turn-Solv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$#,##0.000000"/>
    <numFmt numFmtId="166" formatCode="0.000000"/>
    <numFmt numFmtId="167" formatCode="#,##0.000000"/>
    <numFmt numFmtId="168" formatCode="0.000000%"/>
    <numFmt numFmtId="169" formatCode="$#,##0"/>
    <numFmt numFmtId="170" formatCode="$#,##0.0000"/>
    <numFmt numFmtId="171" formatCode="$#,##0.00"/>
    <numFmt numFmtId="172" formatCode="0.000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4" fontId="0" fillId="0" borderId="0" pivotButton="0" quotePrefix="0" xfId="0"/>
    <xf numFmtId="168" fontId="0" fillId="0" borderId="0" pivotButton="0" quotePrefix="0" xfId="0"/>
    <xf numFmtId="4" fontId="1" fillId="0" borderId="0" pivotButton="0" quotePrefix="0" xfId="0"/>
    <xf numFmtId="169" fontId="1" fillId="0" borderId="0" pivotButton="0" quotePrefix="0" xfId="0"/>
    <xf numFmtId="169" fontId="0" fillId="0" borderId="0" pivotButton="0" quotePrefix="0" xfId="0"/>
    <xf numFmtId="0" fontId="1" fillId="3" borderId="0" pivotButton="0" quotePrefix="0" xfId="0"/>
    <xf numFmtId="170" fontId="0" fillId="0" borderId="0" pivotButton="0" quotePrefix="0" xfId="0"/>
    <xf numFmtId="171" fontId="0" fillId="0" borderId="0" pivotButton="0" quotePrefix="0" xfId="0"/>
    <xf numFmtId="0" fontId="3" fillId="0" borderId="0" pivotButton="0" quotePrefix="0" xfId="0"/>
    <xf numFmtId="17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 outlineLevelCol="0"/>
  <cols>
    <col width="44" customWidth="1" min="1" max="1"/>
    <col width="18" customWidth="1" min="2" max="2"/>
    <col width="22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UNITS</t>
        </is>
      </c>
    </row>
    <row r="2">
      <c r="A2" t="inlineStr">
        <is>
          <t>Series F pre-money</t>
        </is>
      </c>
      <c r="B2" t="n">
        <v>1400000000</v>
      </c>
      <c r="C2" t="inlineStr">
        <is>
          <t>USD</t>
        </is>
      </c>
    </row>
    <row r="3">
      <c r="A3" t="inlineStr">
        <is>
          <t>Series F primary raise</t>
        </is>
      </c>
      <c r="B3" t="n">
        <v>30000000</v>
      </c>
      <c r="C3" t="inlineStr">
        <is>
          <t>USD</t>
        </is>
      </c>
    </row>
    <row r="4">
      <c r="A4" t="inlineStr">
        <is>
          <t>Series F secondary raise</t>
        </is>
      </c>
      <c r="B4" t="n">
        <v>15000000</v>
      </c>
      <c r="C4" t="inlineStr">
        <is>
          <t>USD</t>
        </is>
      </c>
    </row>
    <row r="5">
      <c r="A5" t="inlineStr">
        <is>
          <t>Tender PPS multiplier</t>
        </is>
      </c>
      <c r="B5" t="n">
        <v>0.85</v>
      </c>
      <c r="C5" t="inlineStr">
        <is>
          <t>fraction</t>
        </is>
      </c>
    </row>
    <row r="6">
      <c r="A6" t="inlineStr">
        <is>
          <t>ESOP refresh target post-F</t>
        </is>
      </c>
      <c r="B6" t="n">
        <v>0.13</v>
      </c>
      <c r="C6" t="inlineStr">
        <is>
          <t>fraction of post-F FD</t>
        </is>
      </c>
    </row>
    <row r="7">
      <c r="A7" t="inlineStr">
        <is>
          <t>Exit value 1</t>
        </is>
      </c>
      <c r="B7" t="n">
        <v>700000000</v>
      </c>
      <c r="C7" t="inlineStr">
        <is>
          <t>USD</t>
        </is>
      </c>
    </row>
    <row r="8">
      <c r="A8" t="inlineStr">
        <is>
          <t>Exit value 2</t>
        </is>
      </c>
      <c r="B8" t="n">
        <v>1200000000</v>
      </c>
      <c r="C8" t="inlineStr">
        <is>
          <t>USD</t>
        </is>
      </c>
    </row>
    <row r="9">
      <c r="A9" t="inlineStr">
        <is>
          <t>Exit value 3</t>
        </is>
      </c>
      <c r="B9" t="n">
        <v>2000000000</v>
      </c>
      <c r="C9" t="inlineStr">
        <is>
          <t>USD</t>
        </is>
      </c>
    </row>
    <row r="10">
      <c r="A10" t="inlineStr">
        <is>
          <t>Exit value 4</t>
        </is>
      </c>
      <c r="B10" t="n">
        <v>4000000000</v>
      </c>
      <c r="C10" t="inlineStr">
        <is>
          <t>USD</t>
        </is>
      </c>
    </row>
    <row r="11">
      <c r="A11" t="inlineStr">
        <is>
          <t>Exit value 5</t>
        </is>
      </c>
      <c r="B11" t="n">
        <v>8000000000</v>
      </c>
      <c r="C11" t="inlineStr">
        <is>
          <t>USD</t>
        </is>
      </c>
    </row>
    <row r="12">
      <c r="A12" t="inlineStr">
        <is>
          <t>Our fund check size</t>
        </is>
      </c>
      <c r="B12" t="n">
        <v>10000000</v>
      </c>
      <c r="C12" t="inlineStr">
        <is>
          <t>USD</t>
        </is>
      </c>
    </row>
    <row r="13">
      <c r="A13" t="inlineStr">
        <is>
          <t>F_LEAD primary check size</t>
        </is>
      </c>
      <c r="B13" t="n">
        <v>20000000</v>
      </c>
      <c r="C13" t="inlineStr">
        <is>
          <t>USD</t>
        </is>
      </c>
    </row>
    <row r="14">
      <c r="A14" t="inlineStr">
        <is>
          <t>Seed OCP</t>
        </is>
      </c>
      <c r="B14" t="n">
        <v>1</v>
      </c>
      <c r="C14" t="inlineStr">
        <is>
          <t>USD/share</t>
        </is>
      </c>
    </row>
    <row r="15">
      <c r="A15" t="inlineStr">
        <is>
          <t>Series A OCP</t>
        </is>
      </c>
      <c r="B15" t="n">
        <v>3</v>
      </c>
      <c r="C15" t="inlineStr">
        <is>
          <t>USD/share</t>
        </is>
      </c>
    </row>
    <row r="16">
      <c r="A16" t="inlineStr">
        <is>
          <t>Series B OCP</t>
        </is>
      </c>
      <c r="B16" t="n">
        <v>10</v>
      </c>
      <c r="C16" t="inlineStr">
        <is>
          <t>USD/share</t>
        </is>
      </c>
    </row>
    <row r="17">
      <c r="A17" t="inlineStr">
        <is>
          <t>Series C OCP</t>
        </is>
      </c>
      <c r="B17" t="n">
        <v>25</v>
      </c>
      <c r="C17" t="inlineStr">
        <is>
          <t>USD/share</t>
        </is>
      </c>
    </row>
    <row r="18">
      <c r="A18" t="inlineStr">
        <is>
          <t>Series D OCP (post-E NCP, effective)</t>
        </is>
      </c>
      <c r="B18" t="n">
        <v>58.118347</v>
      </c>
      <c r="C18" t="inlineStr">
        <is>
          <t>USD/share</t>
        </is>
      </c>
    </row>
    <row r="19">
      <c r="A19" t="inlineStr">
        <is>
          <t>Series D original OCP (for compound ratio)</t>
        </is>
      </c>
      <c r="B19" t="n">
        <v>60</v>
      </c>
      <c r="C19" t="inlineStr">
        <is>
          <t>USD/share</t>
        </is>
      </c>
    </row>
    <row r="20">
      <c r="A20" t="inlineStr">
        <is>
          <t>Series E OCP</t>
        </is>
      </c>
      <c r="B20" t="n">
        <v>49.158311</v>
      </c>
      <c r="C20" t="inlineStr">
        <is>
          <t>USD/share</t>
        </is>
      </c>
    </row>
    <row r="21">
      <c r="A21" t="inlineStr">
        <is>
          <t>Option strike</t>
        </is>
      </c>
      <c r="B21" t="n">
        <v>1</v>
      </c>
      <c r="C21" t="inlineStr">
        <is>
          <t>USD/share</t>
        </is>
      </c>
    </row>
    <row r="22">
      <c r="A22" t="inlineStr">
        <is>
          <t>Note A principal</t>
        </is>
      </c>
      <c r="B22" t="n">
        <v>5000000</v>
      </c>
      <c r="C22" t="inlineStr">
        <is>
          <t>USD</t>
        </is>
      </c>
    </row>
    <row r="23">
      <c r="A23" t="inlineStr">
        <is>
          <t>Note A cap</t>
        </is>
      </c>
      <c r="B23" t="n">
        <v>1000000000</v>
      </c>
      <c r="C23" t="inlineStr">
        <is>
          <t>USD</t>
        </is>
      </c>
    </row>
    <row r="24">
      <c r="A24" t="inlineStr">
        <is>
          <t>Note A discount</t>
        </is>
      </c>
      <c r="B24" t="n">
        <v>0.2</v>
      </c>
      <c r="C24" t="inlineStr">
        <is>
          <t>fraction</t>
        </is>
      </c>
    </row>
    <row r="25">
      <c r="A25" t="inlineStr">
        <is>
          <t>Note B principal</t>
        </is>
      </c>
      <c r="B25" t="n">
        <v>3000000</v>
      </c>
      <c r="C25" t="inlineStr">
        <is>
          <t>USD</t>
        </is>
      </c>
    </row>
    <row r="26">
      <c r="A26" t="inlineStr">
        <is>
          <t>Note B cap</t>
        </is>
      </c>
      <c r="B26" t="n">
        <v>1600000000</v>
      </c>
      <c r="C26" t="inlineStr">
        <is>
          <t>USD</t>
        </is>
      </c>
    </row>
    <row r="27">
      <c r="A27" t="inlineStr">
        <is>
          <t>Note B discount</t>
        </is>
      </c>
      <c r="B27" t="n">
        <v>0.15</v>
      </c>
      <c r="C27" t="inlineStr">
        <is>
          <t>fraction</t>
        </is>
      </c>
    </row>
    <row r="28">
      <c r="A28" t="inlineStr">
        <is>
          <t>Pre-F broad-based FD (AD A factor)</t>
        </is>
      </c>
      <c r="B28" t="n">
        <v>36617961</v>
      </c>
      <c r="C28" t="inlineStr">
        <is>
          <t>shares</t>
        </is>
      </c>
    </row>
    <row r="29">
      <c r="A29" t="inlineStr">
        <is>
          <t>Pre-F option pool total</t>
        </is>
      </c>
      <c r="B29" t="n">
        <v>4394667</v>
      </c>
      <c r="C29" t="inlineStr">
        <is>
          <t>shares</t>
        </is>
      </c>
    </row>
    <row r="30">
      <c r="A30" t="inlineStr">
        <is>
          <t>Pre-F options issued</t>
        </is>
      </c>
      <c r="B30" t="n">
        <v>2500000</v>
      </c>
      <c r="C30" t="inlineStr">
        <is>
          <t>shares</t>
        </is>
      </c>
    </row>
    <row r="31">
      <c r="A31" t="inlineStr">
        <is>
          <t>Pre-F options unissued</t>
        </is>
      </c>
      <c r="B31" t="n">
        <v>1894667</v>
      </c>
      <c r="C31" t="inlineStr">
        <is>
          <t>shares</t>
        </is>
      </c>
    </row>
    <row r="32">
      <c r="A32" t="inlineStr">
        <is>
          <t>Series D pre-F shares (post-E adjusted)</t>
        </is>
      </c>
      <c r="B32" t="n">
        <v>1720627</v>
      </c>
      <c r="C32" t="inlineStr">
        <is>
          <t>shares</t>
        </is>
      </c>
    </row>
    <row r="33">
      <c r="A33" t="inlineStr">
        <is>
          <t>Series D original shares</t>
        </is>
      </c>
      <c r="B33" t="n">
        <v>1666667</v>
      </c>
      <c r="C33" t="inlineStr">
        <is>
          <t>shares</t>
        </is>
      </c>
    </row>
    <row r="34">
      <c r="A34" t="inlineStr">
        <is>
          <t>Series E pre-F shares</t>
        </is>
      </c>
      <c r="B34" t="n">
        <v>6102667</v>
      </c>
      <c r="C34" t="inlineStr">
        <is>
          <t>shares</t>
        </is>
      </c>
    </row>
    <row r="35">
      <c r="A35" t="inlineStr">
        <is>
          <t>Seed shares</t>
        </is>
      </c>
      <c r="B35" t="n">
        <v>5000000</v>
      </c>
      <c r="C35" t="inlineStr">
        <is>
          <t>shares</t>
        </is>
      </c>
    </row>
    <row r="36">
      <c r="A36" t="inlineStr">
        <is>
          <t>Series A shares</t>
        </is>
      </c>
      <c r="B36" t="n">
        <v>5000000</v>
      </c>
      <c r="C36" t="inlineStr">
        <is>
          <t>shares</t>
        </is>
      </c>
    </row>
    <row r="37">
      <c r="A37" t="inlineStr">
        <is>
          <t>Series B shares</t>
        </is>
      </c>
      <c r="B37" t="n">
        <v>3000000</v>
      </c>
      <c r="C37" t="inlineStr">
        <is>
          <t>shares</t>
        </is>
      </c>
    </row>
    <row r="38">
      <c r="A38" t="inlineStr">
        <is>
          <t>Series C shares</t>
        </is>
      </c>
      <c r="B38" t="n">
        <v>2400000</v>
      </c>
      <c r="C38" t="inlineStr">
        <is>
          <t>shares</t>
        </is>
      </c>
    </row>
    <row r="39">
      <c r="A39" t="inlineStr">
        <is>
          <t>Founder F1 (CEO) common</t>
        </is>
      </c>
      <c r="B39" t="n">
        <v>4000000</v>
      </c>
      <c r="C39" t="inlineStr">
        <is>
          <t>shares</t>
        </is>
      </c>
    </row>
    <row r="40">
      <c r="A40" t="inlineStr">
        <is>
          <t>Founder F2 (CTO) common</t>
        </is>
      </c>
      <c r="B40" t="n">
        <v>2500000</v>
      </c>
      <c r="C40" t="inlineStr">
        <is>
          <t>shares</t>
        </is>
      </c>
    </row>
    <row r="41">
      <c r="A41" t="inlineStr">
        <is>
          <t>Founder F3 (Chief Scientist) common</t>
        </is>
      </c>
      <c r="B41" t="n">
        <v>1500000</v>
      </c>
      <c r="C41" t="inlineStr">
        <is>
          <t>shares</t>
        </is>
      </c>
    </row>
    <row r="42">
      <c r="A42" t="inlineStr">
        <is>
          <t>Employee RSA common</t>
        </is>
      </c>
      <c r="B42" t="n">
        <v>1000000</v>
      </c>
      <c r="C42" t="inlineStr">
        <is>
          <t>shares</t>
        </is>
      </c>
    </row>
    <row r="43">
      <c r="A43" t="inlineStr">
        <is>
          <t>Sensitivity ESOP low</t>
        </is>
      </c>
      <c r="B43" t="n">
        <v>0.11</v>
      </c>
      <c r="C43" t="inlineStr">
        <is>
          <t>fraction</t>
        </is>
      </c>
    </row>
    <row r="44">
      <c r="A44" t="inlineStr">
        <is>
          <t>Sensitivity ESOP base</t>
        </is>
      </c>
      <c r="B44" t="n">
        <v>0.13</v>
      </c>
      <c r="C44" t="inlineStr">
        <is>
          <t>fraction</t>
        </is>
      </c>
    </row>
    <row r="45">
      <c r="A45" t="inlineStr">
        <is>
          <t>Sensitivity ESOP high</t>
        </is>
      </c>
      <c r="B45" t="n">
        <v>0.15</v>
      </c>
      <c r="C45" t="inlineStr">
        <is>
          <t>fraction</t>
        </is>
      </c>
    </row>
    <row r="46">
      <c r="A46" t="inlineStr">
        <is>
          <t>Sensitivity Series F pre-money low</t>
        </is>
      </c>
      <c r="B46" t="n">
        <v>1200000000</v>
      </c>
      <c r="C46" t="inlineStr">
        <is>
          <t>USD</t>
        </is>
      </c>
    </row>
    <row r="47">
      <c r="A47" t="inlineStr">
        <is>
          <t>Sensitivity Series F pre-money base</t>
        </is>
      </c>
      <c r="B47" t="n">
        <v>1400000000</v>
      </c>
      <c r="C47" t="inlineStr">
        <is>
          <t>USD</t>
        </is>
      </c>
    </row>
    <row r="48">
      <c r="A48" t="inlineStr">
        <is>
          <t>Sensitivity Series F pre-money high</t>
        </is>
      </c>
      <c r="B48" t="n">
        <v>1800000000</v>
      </c>
      <c r="C48" t="inlineStr">
        <is>
          <t>USD</t>
        </is>
      </c>
    </row>
    <row r="49">
      <c r="A49" t="inlineStr">
        <is>
          <t>Sensitivity exit value</t>
        </is>
      </c>
      <c r="B49" t="n">
        <v>2000000000</v>
      </c>
      <c r="C49" t="inlineStr">
        <is>
          <t>USD</t>
        </is>
      </c>
    </row>
    <row r="50">
      <c r="A50" t="inlineStr">
        <is>
          <t>Return target multiple 3x</t>
        </is>
      </c>
      <c r="B50" t="n">
        <v>3</v>
      </c>
      <c r="C50" t="inlineStr">
        <is>
          <t>multiple</t>
        </is>
      </c>
    </row>
    <row r="51">
      <c r="A51" t="inlineStr">
        <is>
          <t>Return target multiple 4x</t>
        </is>
      </c>
      <c r="B51" t="n">
        <v>4</v>
      </c>
      <c r="C51" t="inlineStr">
        <is>
          <t>multiple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6" customWidth="1" min="12" max="12"/>
    <col width="14" customWidth="1" min="13" max="13"/>
  </cols>
  <sheetData>
    <row r="1">
      <c r="A1" s="2" t="inlineStr">
        <is>
          <t>PRO-FORMA — Series F closing</t>
        </is>
      </c>
    </row>
    <row r="3">
      <c r="A3" s="1" t="inlineStr">
        <is>
          <t>ROUND CLOSING (closed-form fixed point)</t>
        </is>
      </c>
    </row>
    <row r="4">
      <c r="A4" t="inlineStr">
        <is>
          <t>X_pos (assuming ESOP top-up &gt; 0)</t>
        </is>
      </c>
      <c r="B4" s="3">
        <f>((Assumptions!$B$28-(Assumptions!$B$32*(Assumptions!$B$3/Assumptions!$B$18)/(Assumptions!$B$28+Assumptions!$B$3/Assumptions!$B$18))-(Assumptions!$B$34*(Assumptions!$B$3/Assumptions!$B$20)/(Assumptions!$B$28+Assumptions!$B$3/Assumptions!$B$20))-Assumptions!$B$29)/(1-(Assumptions!$B$32*Assumptions!$B$3/(Assumptions!$B$2*(Assumptions!$B$28+Assumptions!$B$3/Assumptions!$B$18)))-(Assumptions!$B$34*Assumptions!$B$3/(Assumptions!$B$2*(Assumptions!$B$28+Assumptions!$B$3/Assumptions!$B$20)))-(Assumptions!$B$6*(1+Assumptions!$B$3/Assumptions!$B$2))-IF((Assumptions!$B$23+Assumptions!$B$22)&lt;Assumptions!$B$2*(1-Assumptions!$B$24),Assumptions!$B$22/(Assumptions!$B$23+Assumptions!$B$22),Assumptions!$B$22/(Assumptions!$B$2*(1-Assumptions!$B$24)))-IF((Assumptions!$B$26+Assumptions!$B$25)&lt;Assumptions!$B$2*(1-Assumptions!$B$27),Assumptions!$B$25/(Assumptions!$B$26+Assumptions!$B$25),Assumptions!$B$25/(Assumptions!$B$2*(1-Assumptions!$B$27)))))</f>
        <v/>
      </c>
    </row>
    <row r="5">
      <c r="A5" t="inlineStr">
        <is>
          <t>X_zero (assuming ESOP top-up = 0)</t>
        </is>
      </c>
      <c r="B5" s="3">
        <f>((Assumptions!$B$28-(Assumptions!$B$32*(Assumptions!$B$3/Assumptions!$B$18)/(Assumptions!$B$28+Assumptions!$B$3/Assumptions!$B$18))-(Assumptions!$B$34*(Assumptions!$B$3/Assumptions!$B$20)/(Assumptions!$B$28+Assumptions!$B$3/Assumptions!$B$20)))/(1-(Assumptions!$B$32*Assumptions!$B$3/(Assumptions!$B$2*(Assumptions!$B$28+Assumptions!$B$3/Assumptions!$B$18)))-(Assumptions!$B$34*Assumptions!$B$3/(Assumptions!$B$2*(Assumptions!$B$28+Assumptions!$B$3/Assumptions!$B$20)))-IF((Assumptions!$B$23+Assumptions!$B$22)&lt;Assumptions!$B$2*(1-Assumptions!$B$24),Assumptions!$B$22/(Assumptions!$B$23+Assumptions!$B$22),Assumptions!$B$22/(Assumptions!$B$2*(1-Assumptions!$B$24)))-IF((Assumptions!$B$26+Assumptions!$B$25)&lt;Assumptions!$B$2*(1-Assumptions!$B$27),Assumptions!$B$25/(Assumptions!$B$26+Assumptions!$B$25),Assumptions!$B$25/(Assumptions!$B$2*(1-Assumptions!$B$27)))))</f>
        <v/>
      </c>
    </row>
    <row r="6">
      <c r="A6" t="inlineStr">
        <is>
          <t>gamma (= esop_target * (1+P/M))</t>
        </is>
      </c>
      <c r="B6">
        <f>(Assumptions!$B$6*(1+Assumptions!$B$3/Assumptions!$B$2))</f>
        <v/>
      </c>
    </row>
    <row r="7">
      <c r="A7" t="inlineStr">
        <is>
          <t>Pre-money FD (X) — chosen</t>
        </is>
      </c>
      <c r="B7" s="3">
        <f>IF(B6*B4&gt;Assumptions!$B$29,B4,B5)</f>
        <v/>
      </c>
    </row>
    <row r="8">
      <c r="A8" t="inlineStr">
        <is>
          <t>F PPS</t>
        </is>
      </c>
      <c r="B8" s="4">
        <f>Assumptions!$B$2/B7</f>
        <v/>
      </c>
    </row>
    <row r="9">
      <c r="A9" t="inlineStr">
        <is>
          <t>F primary new shares (= P / F_PPS)</t>
        </is>
      </c>
      <c r="B9" s="3">
        <f>Assumptions!$B$3/B8</f>
        <v/>
      </c>
    </row>
    <row r="10">
      <c r="A10" t="inlineStr">
        <is>
          <t>Post-F FD (T_F = X + F primary)</t>
        </is>
      </c>
      <c r="B10" s="3">
        <f>B7+B9</f>
        <v/>
      </c>
    </row>
    <row r="11">
      <c r="A11" t="inlineStr">
        <is>
          <t>ESOP top-up shares (= MAX(0, esop_target*T_F - pre_pool))</t>
        </is>
      </c>
      <c r="B11" s="3">
        <f>MAX(0,Assumptions!$B$6*B10-Assumptions!$B$29)</f>
        <v/>
      </c>
    </row>
    <row r="12">
      <c r="A12" t="inlineStr">
        <is>
          <t>Series D additional shares (v4 AD)</t>
        </is>
      </c>
      <c r="B12" s="3">
        <f>(Assumptions!$B$32*Assumptions!$B$3/(Assumptions!$B$2*(Assumptions!$B$28+Assumptions!$B$3/Assumptions!$B$18)))*B7-(Assumptions!$B$32*(Assumptions!$B$3/Assumptions!$B$18)/(Assumptions!$B$28+Assumptions!$B$3/Assumptions!$B$18))</f>
        <v/>
      </c>
    </row>
    <row r="13">
      <c r="A13" t="inlineStr">
        <is>
          <t>Series E additional shares (v4 AD)</t>
        </is>
      </c>
      <c r="B13" s="3">
        <f>(Assumptions!$B$34*Assumptions!$B$3/(Assumptions!$B$2*(Assumptions!$B$28+Assumptions!$B$3/Assumptions!$B$20)))*B7-(Assumptions!$B$34*(Assumptions!$B$3/Assumptions!$B$20)/(Assumptions!$B$28+Assumptions!$B$3/Assumptions!$B$20))</f>
        <v/>
      </c>
    </row>
    <row r="14">
      <c r="A14" t="inlineStr">
        <is>
          <t>D shares post-F (= D_pre + dD)</t>
        </is>
      </c>
      <c r="B14" s="3">
        <f>Assumptions!$B$32+B12</f>
        <v/>
      </c>
    </row>
    <row r="15">
      <c r="A15" t="inlineStr">
        <is>
          <t>E shares post-F (= E_pre + dE)</t>
        </is>
      </c>
      <c r="B15" s="3">
        <f>Assumptions!$B$34+B13</f>
        <v/>
      </c>
    </row>
    <row r="16">
      <c r="A16" t="inlineStr">
        <is>
          <t>Tender shares (= secondary / (mult * F_PPS))</t>
        </is>
      </c>
      <c r="B16" s="3">
        <f>Assumptions!$B$4/(Assumptions!$B$5*B8)</f>
        <v/>
      </c>
    </row>
    <row r="17">
      <c r="A17" t="inlineStr">
        <is>
          <t>F_LEAD primary shares (= 20M / F_PPS)</t>
        </is>
      </c>
      <c r="B17" s="3">
        <f>Assumptions!$B$13/B8</f>
        <v/>
      </c>
    </row>
    <row r="19">
      <c r="A19" s="1" t="inlineStr">
        <is>
          <t>ANTI-DILUTION BLOCK (broad-based weighted-average)</t>
        </is>
      </c>
    </row>
    <row r="20">
      <c r="A20" s="5" t="inlineStr">
        <is>
          <t>Class</t>
        </is>
      </c>
      <c r="B20" s="5" t="inlineStr">
        <is>
          <t>OCP</t>
        </is>
      </c>
      <c r="C20" s="5" t="inlineStr">
        <is>
          <t>F PPS</t>
        </is>
      </c>
      <c r="D20" s="5" t="inlineStr">
        <is>
          <t>Triggered</t>
        </is>
      </c>
      <c r="E20" s="5" t="inlineStr">
        <is>
          <t>NCP</t>
        </is>
      </c>
      <c r="F20" s="5" t="inlineStr">
        <is>
          <t>New ratio</t>
        </is>
      </c>
      <c r="G20" s="5" t="inlineStr">
        <is>
          <t>As-converted shares</t>
        </is>
      </c>
    </row>
    <row r="21">
      <c r="A21" t="inlineStr">
        <is>
          <t>Seed</t>
        </is>
      </c>
      <c r="B21" s="6">
        <f>Assumptions!$B$14</f>
        <v/>
      </c>
      <c r="C21" s="6">
        <f>$B$8</f>
        <v/>
      </c>
      <c r="D21">
        <f>IF($B$8&lt;Assumptions!$B$14,"yes","no")</f>
        <v/>
      </c>
      <c r="E21" s="6">
        <f>IF($B$8&lt;Assumptions!$B$14,Assumptions!$B$14*(Assumptions!$B$28+Assumptions!$B$3/Assumptions!$B$14)/(Assumptions!$B$28+Assumptions!$B$3/$B$8),Assumptions!$B$14)</f>
        <v/>
      </c>
      <c r="F21" s="6">
        <f>IF($B$8&lt;Assumptions!$B$14,Assumptions!$B$14/E21,1)</f>
        <v/>
      </c>
      <c r="G21" s="3">
        <f>Assumptions!$B$35*F21</f>
        <v/>
      </c>
    </row>
    <row r="22">
      <c r="A22" t="inlineStr">
        <is>
          <t>Series A</t>
        </is>
      </c>
      <c r="B22" s="6">
        <f>Assumptions!$B$15</f>
        <v/>
      </c>
      <c r="C22" s="6">
        <f>$B$8</f>
        <v/>
      </c>
      <c r="D22">
        <f>IF($B$8&lt;Assumptions!$B$15,"yes","no")</f>
        <v/>
      </c>
      <c r="E22" s="6">
        <f>IF($B$8&lt;Assumptions!$B$15,Assumptions!$B$15*(Assumptions!$B$28+Assumptions!$B$3/Assumptions!$B$15)/(Assumptions!$B$28+Assumptions!$B$3/$B$8),Assumptions!$B$15)</f>
        <v/>
      </c>
      <c r="F22" s="6">
        <f>IF($B$8&lt;Assumptions!$B$15,Assumptions!$B$15/E22,1)</f>
        <v/>
      </c>
      <c r="G22" s="3">
        <f>Assumptions!$B$36*F22</f>
        <v/>
      </c>
    </row>
    <row r="23">
      <c r="A23" t="inlineStr">
        <is>
          <t>Series B</t>
        </is>
      </c>
      <c r="B23" s="6">
        <f>Assumptions!$B$16</f>
        <v/>
      </c>
      <c r="C23" s="6">
        <f>$B$8</f>
        <v/>
      </c>
      <c r="D23">
        <f>IF($B$8&lt;Assumptions!$B$16,"yes","no")</f>
        <v/>
      </c>
      <c r="E23" s="6">
        <f>IF($B$8&lt;Assumptions!$B$16,Assumptions!$B$16*(Assumptions!$B$28+Assumptions!$B$3/Assumptions!$B$16)/(Assumptions!$B$28+Assumptions!$B$3/$B$8),Assumptions!$B$16)</f>
        <v/>
      </c>
      <c r="F23" s="6">
        <f>IF($B$8&lt;Assumptions!$B$16,Assumptions!$B$16/E23,1)</f>
        <v/>
      </c>
      <c r="G23" s="3">
        <f>Assumptions!$B$37*F23</f>
        <v/>
      </c>
    </row>
    <row r="24">
      <c r="A24" t="inlineStr">
        <is>
          <t>Series C</t>
        </is>
      </c>
      <c r="B24" s="6">
        <f>Assumptions!$B$17</f>
        <v/>
      </c>
      <c r="C24" s="6">
        <f>$B$8</f>
        <v/>
      </c>
      <c r="D24">
        <f>IF($B$8&lt;Assumptions!$B$17,"yes","no")</f>
        <v/>
      </c>
      <c r="E24" s="6">
        <f>IF($B$8&lt;Assumptions!$B$17,Assumptions!$B$17*(Assumptions!$B$28+Assumptions!$B$3/Assumptions!$B$17)/(Assumptions!$B$28+Assumptions!$B$3/$B$8),Assumptions!$B$17)</f>
        <v/>
      </c>
      <c r="F24" s="6">
        <f>IF($B$8&lt;Assumptions!$B$17,Assumptions!$B$17/E24,1)</f>
        <v/>
      </c>
      <c r="G24" s="3">
        <f>Assumptions!$B$38*F24</f>
        <v/>
      </c>
    </row>
    <row r="25">
      <c r="A25" t="inlineStr">
        <is>
          <t>Series D</t>
        </is>
      </c>
      <c r="B25" s="6">
        <f>Assumptions!$B$18</f>
        <v/>
      </c>
      <c r="C25" s="6">
        <f>$B$8</f>
        <v/>
      </c>
      <c r="D25">
        <f>IF($B$8&lt;Assumptions!$B$18,"yes","no")</f>
        <v/>
      </c>
      <c r="E25" s="6">
        <f>IF($B$8&lt;Assumptions!$B$18,Assumptions!$B$18*(Assumptions!$B$28+Assumptions!$B$3/Assumptions!$B$18)/(Assumptions!$B$28+Assumptions!$B$3/$B$8),Assumptions!$B$18)</f>
        <v/>
      </c>
      <c r="F25" s="6">
        <f>IF($B$8&lt;Assumptions!$B$18,Assumptions!$B$19/E25,Assumptions!$B$19/Assumptions!$B$18)</f>
        <v/>
      </c>
      <c r="G25" s="3">
        <f>Assumptions!$B$33*F25</f>
        <v/>
      </c>
    </row>
    <row r="26">
      <c r="A26" t="inlineStr">
        <is>
          <t>Series E</t>
        </is>
      </c>
      <c r="B26" s="6">
        <f>Assumptions!$B$20</f>
        <v/>
      </c>
      <c r="C26" s="6">
        <f>$B$8</f>
        <v/>
      </c>
      <c r="D26">
        <f>IF($B$8&lt;Assumptions!$B$20,"yes","no")</f>
        <v/>
      </c>
      <c r="E26" s="6">
        <f>IF($B$8&lt;Assumptions!$B$20,Assumptions!$B$20*(Assumptions!$B$28+Assumptions!$B$3/Assumptions!$B$20)/(Assumptions!$B$28+Assumptions!$B$3/$B$8),Assumptions!$B$20)</f>
        <v/>
      </c>
      <c r="F26" s="6">
        <f>IF($B$8&lt;Assumptions!$B$20,Assumptions!$B$20/E26,1)</f>
        <v/>
      </c>
      <c r="G26" s="3">
        <f>Assumptions!$B$34*F26</f>
        <v/>
      </c>
    </row>
    <row r="29">
      <c r="A29" s="1" t="inlineStr">
        <is>
          <t>NOTES BLOCK</t>
        </is>
      </c>
    </row>
    <row r="30">
      <c r="A30" s="5" t="inlineStr">
        <is>
          <t>Note</t>
        </is>
      </c>
      <c r="B30" s="5" t="inlineStr">
        <is>
          <t>Principal</t>
        </is>
      </c>
      <c r="C30" s="5" t="inlineStr">
        <is>
          <t>Cap</t>
        </is>
      </c>
      <c r="D30" s="5" t="inlineStr">
        <is>
          <t>Discount</t>
        </is>
      </c>
      <c r="E30" s="5" t="inlineStr">
        <is>
          <t>Cap-implied PPS</t>
        </is>
      </c>
      <c r="F30" s="5" t="inlineStr">
        <is>
          <t>Disc-implied PPS</t>
        </is>
      </c>
      <c r="G30" s="5" t="inlineStr">
        <is>
          <t>Conv PPS (min)</t>
        </is>
      </c>
      <c r="H30" s="5" t="inlineStr">
        <is>
          <t>Branch</t>
        </is>
      </c>
      <c r="I30" s="5" t="inlineStr">
        <is>
          <t>Shares issued</t>
        </is>
      </c>
    </row>
    <row r="31">
      <c r="A31" t="inlineStr">
        <is>
          <t>Note A</t>
        </is>
      </c>
      <c r="B31" s="7">
        <f>Assumptions!$B$22</f>
        <v/>
      </c>
      <c r="C31" s="7">
        <f>Assumptions!$B$23</f>
        <v/>
      </c>
      <c r="D31">
        <f>Assumptions!$B$24</f>
        <v/>
      </c>
      <c r="E31" s="7">
        <f>Assumptions!$B$23/($B$7-I31)</f>
        <v/>
      </c>
      <c r="F31" s="7">
        <f>$B$8*(1-Assumptions!$B$24)</f>
        <v/>
      </c>
      <c r="G31" s="7">
        <f>MIN(E31,F31)</f>
        <v/>
      </c>
      <c r="H31">
        <f>IF(E31&lt;F31,"cap","discount")</f>
        <v/>
      </c>
      <c r="I31" s="7">
        <f>$B$7*IF((Assumptions!$B$23+Assumptions!$B$22)&lt;Assumptions!$B$2*(1-Assumptions!$B$24),Assumptions!$B$22/(Assumptions!$B$23+Assumptions!$B$22),Assumptions!$B$22/(Assumptions!$B$2*(1-Assumptions!$B$24)))</f>
        <v/>
      </c>
    </row>
    <row r="32">
      <c r="A32" t="inlineStr">
        <is>
          <t>Note B</t>
        </is>
      </c>
      <c r="B32" s="7">
        <f>Assumptions!$B$25</f>
        <v/>
      </c>
      <c r="C32" s="7">
        <f>Assumptions!$B$26</f>
        <v/>
      </c>
      <c r="D32">
        <f>Assumptions!$B$27</f>
        <v/>
      </c>
      <c r="E32" s="7">
        <f>Assumptions!$B$26/($B$7-I32)</f>
        <v/>
      </c>
      <c r="F32" s="7">
        <f>$B$8*(1-Assumptions!$B$27)</f>
        <v/>
      </c>
      <c r="G32" s="7">
        <f>MIN(E32,F32)</f>
        <v/>
      </c>
      <c r="H32">
        <f>IF(E32&lt;F32,"cap","discount")</f>
        <v/>
      </c>
      <c r="I32" s="7">
        <f>$B$7*IF((Assumptions!$B$26+Assumptions!$B$25)&lt;Assumptions!$B$2*(1-Assumptions!$B$27),Assumptions!$B$25/(Assumptions!$B$26+Assumptions!$B$25),Assumptions!$B$25/(Assumptions!$B$2*(1-Assumptions!$B$27)))</f>
        <v/>
      </c>
    </row>
    <row r="34">
      <c r="A34" s="1" t="inlineStr">
        <is>
          <t>TENDER BLOCK</t>
        </is>
      </c>
    </row>
    <row r="35">
      <c r="A35" t="inlineStr">
        <is>
          <t>Tender shares (= secondary / (mult * F_PPS))</t>
        </is>
      </c>
      <c r="B35" s="3">
        <f>Assumptions!$B$4/(Assumptions!$B$5*$B$8)</f>
        <v/>
      </c>
    </row>
    <row r="36">
      <c r="A36" t="inlineStr">
        <is>
          <t>Founder F1 tender share-out (50%)</t>
        </is>
      </c>
      <c r="B36" s="3">
        <f>B35*(Assumptions!$B$39/(Assumptions!$B$39+Assumptions!$B$40+Assumptions!$B$41))</f>
        <v/>
      </c>
    </row>
    <row r="37">
      <c r="A37" t="inlineStr">
        <is>
          <t>Founder F2 tender share-out (31.25%)</t>
        </is>
      </c>
      <c r="B37" s="3">
        <f>B35*(Assumptions!$B$40/(Assumptions!$B$39+Assumptions!$B$40+Assumptions!$B$41))</f>
        <v/>
      </c>
    </row>
    <row r="38">
      <c r="A38" t="inlineStr">
        <is>
          <t>Founder F3 tender share-out (18.75%)</t>
        </is>
      </c>
      <c r="B38" s="3">
        <f>B35*(Assumptions!$B$41/(Assumptions!$B$39+Assumptions!$B$40+Assumptions!$B$41))</f>
        <v/>
      </c>
    </row>
    <row r="39">
      <c r="A39" t="inlineStr">
        <is>
          <t>F_LEAD secondary common (= tender shares)</t>
        </is>
      </c>
      <c r="B39" s="3">
        <f>B35</f>
        <v/>
      </c>
    </row>
    <row r="41">
      <c r="A41" s="1" t="inlineStr">
        <is>
          <t>POST-F CAP TABLE BY STAKEHOLDER × SECURITY CLASS</t>
        </is>
      </c>
    </row>
    <row r="42">
      <c r="A42" s="5" t="inlineStr">
        <is>
          <t>Stakeholder</t>
        </is>
      </c>
      <c r="B42" s="5" t="inlineStr">
        <is>
          <t>Common</t>
        </is>
      </c>
      <c r="C42" s="5" t="inlineStr">
        <is>
          <t>Seed</t>
        </is>
      </c>
      <c r="D42" s="5" t="inlineStr">
        <is>
          <t>A</t>
        </is>
      </c>
      <c r="E42" s="5" t="inlineStr">
        <is>
          <t>B</t>
        </is>
      </c>
      <c r="F42" s="5" t="inlineStr">
        <is>
          <t>C</t>
        </is>
      </c>
      <c r="G42" s="5" t="inlineStr">
        <is>
          <t>D</t>
        </is>
      </c>
      <c r="H42" s="5" t="inlineStr">
        <is>
          <t>E</t>
        </is>
      </c>
      <c r="I42" s="5" t="inlineStr">
        <is>
          <t>F</t>
        </is>
      </c>
      <c r="J42" s="5" t="inlineStr">
        <is>
          <t>Note A</t>
        </is>
      </c>
      <c r="K42" s="5" t="inlineStr">
        <is>
          <t>Note B</t>
        </is>
      </c>
      <c r="L42" s="5" t="inlineStr">
        <is>
          <t>Total</t>
        </is>
      </c>
      <c r="M42" s="5" t="inlineStr">
        <is>
          <t>Ownership %</t>
        </is>
      </c>
    </row>
    <row r="43">
      <c r="A43" t="inlineStr">
        <is>
          <t>F1 (CEO)</t>
        </is>
      </c>
      <c r="B43" s="8">
        <f>Assumptions!$B$39-B36</f>
        <v/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>
        <f>SUM(B43:K43)</f>
        <v/>
      </c>
      <c r="M43" s="9">
        <f>L43/$L$59</f>
        <v/>
      </c>
    </row>
    <row r="44">
      <c r="A44" t="inlineStr">
        <is>
          <t>F2 (CTO)</t>
        </is>
      </c>
      <c r="B44" s="8">
        <f>Assumptions!$B$40-B37</f>
        <v/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>
        <f>SUM(B44:K44)</f>
        <v/>
      </c>
      <c r="M44" s="9">
        <f>L44/$L$59</f>
        <v/>
      </c>
    </row>
    <row r="45">
      <c r="A45" t="inlineStr">
        <is>
          <t>F3 (Chief Sci.)</t>
        </is>
      </c>
      <c r="B45" s="8">
        <f>Assumptions!$B$41-B38</f>
        <v/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>
        <f>SUM(B45:K45)</f>
        <v/>
      </c>
      <c r="M45" s="9">
        <f>L45/$L$59</f>
        <v/>
      </c>
    </row>
    <row r="46">
      <c r="A46" t="inlineStr">
        <is>
          <t>Employee RSAs</t>
        </is>
      </c>
      <c r="B46" s="8">
        <f>Assumptions!$B$42</f>
        <v/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>
        <f>SUM(B46:K46)</f>
        <v/>
      </c>
      <c r="M46" s="9">
        <f>L46/$L$59</f>
        <v/>
      </c>
    </row>
    <row r="47">
      <c r="A47" t="inlineStr">
        <is>
          <t>SEED1</t>
        </is>
      </c>
      <c r="B47" s="8" t="n">
        <v>0</v>
      </c>
      <c r="C47" s="8">
        <f>Assumptions!$B$35</f>
        <v/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>
        <f>SUM(B47:K47)</f>
        <v/>
      </c>
      <c r="M47" s="9">
        <f>L47/$L$59</f>
        <v/>
      </c>
    </row>
    <row r="48">
      <c r="A48" t="inlineStr">
        <is>
          <t>A1</t>
        </is>
      </c>
      <c r="B48" s="8" t="n">
        <v>0</v>
      </c>
      <c r="C48" s="8" t="n">
        <v>0</v>
      </c>
      <c r="D48" s="8">
        <f>Assumptions!$B$36</f>
        <v/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>
        <f>SUM(B48:K48)</f>
        <v/>
      </c>
      <c r="M48" s="9">
        <f>L48/$L$59</f>
        <v/>
      </c>
    </row>
    <row r="49">
      <c r="A49" t="inlineStr">
        <is>
          <t>B1</t>
        </is>
      </c>
      <c r="B49" s="8" t="n">
        <v>0</v>
      </c>
      <c r="C49" s="8" t="n">
        <v>0</v>
      </c>
      <c r="D49" s="8" t="n">
        <v>0</v>
      </c>
      <c r="E49" s="8">
        <f>Assumptions!$B$37</f>
        <v/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>
        <f>SUM(B49:K49)</f>
        <v/>
      </c>
      <c r="M49" s="9">
        <f>L49/$L$59</f>
        <v/>
      </c>
    </row>
    <row r="50">
      <c r="A50" t="inlineStr">
        <is>
          <t>C1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>
        <f>Assumptions!$B$38</f>
        <v/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>
        <f>SUM(B50:K50)</f>
        <v/>
      </c>
      <c r="M50" s="9">
        <f>L50/$L$59</f>
        <v/>
      </c>
    </row>
    <row r="51">
      <c r="A51" t="inlineStr">
        <is>
          <t>D1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>
        <f>B14</f>
        <v/>
      </c>
      <c r="H51" s="8" t="n">
        <v>0</v>
      </c>
      <c r="I51" s="8" t="n">
        <v>0</v>
      </c>
      <c r="J51" s="8" t="n">
        <v>0</v>
      </c>
      <c r="K51" s="8" t="n">
        <v>0</v>
      </c>
      <c r="L51" s="8">
        <f>SUM(B51:K51)</f>
        <v/>
      </c>
      <c r="M51" s="9">
        <f>L51/$L$59</f>
        <v/>
      </c>
    </row>
    <row r="52">
      <c r="A52" t="inlineStr">
        <is>
          <t>Series E pool (10 LPs)</t>
        </is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>
        <f>B15</f>
        <v/>
      </c>
      <c r="I52" s="8" t="n">
        <v>0</v>
      </c>
      <c r="J52" s="8" t="n">
        <v>0</v>
      </c>
      <c r="K52" s="8" t="n">
        <v>0</v>
      </c>
      <c r="L52" s="8">
        <f>SUM(B52:K52)</f>
        <v/>
      </c>
      <c r="M52" s="9">
        <f>L52/$L$59</f>
        <v/>
      </c>
    </row>
    <row r="53">
      <c r="A53" t="inlineStr">
        <is>
          <t>NA1 (Note A)</t>
        </is>
      </c>
      <c r="B53" s="8" t="n">
        <v>0</v>
      </c>
      <c r="C53" s="8" t="n">
        <v>0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>
        <f>I31</f>
        <v/>
      </c>
      <c r="K53" s="8" t="n">
        <v>0</v>
      </c>
      <c r="L53" s="8">
        <f>SUM(B53:K53)</f>
        <v/>
      </c>
      <c r="M53" s="9">
        <f>L53/$L$59</f>
        <v/>
      </c>
    </row>
    <row r="54">
      <c r="A54" t="inlineStr">
        <is>
          <t>NB1 (Note B)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>
        <f>I32</f>
        <v/>
      </c>
      <c r="L54" s="8">
        <f>SUM(B54:K54)</f>
        <v/>
      </c>
      <c r="M54" s="9">
        <f>L54/$L$59</f>
        <v/>
      </c>
    </row>
    <row r="55">
      <c r="A55" t="inlineStr">
        <is>
          <t>F_LEAD</t>
        </is>
      </c>
      <c r="B55" s="8">
        <f>B39</f>
        <v/>
      </c>
      <c r="C55" s="8" t="n">
        <v>0</v>
      </c>
      <c r="D55" s="8" t="n">
        <v>0</v>
      </c>
      <c r="E55" s="8" t="n">
        <v>0</v>
      </c>
      <c r="F55" s="8" t="n">
        <v>0</v>
      </c>
      <c r="G55" s="8" t="n">
        <v>0</v>
      </c>
      <c r="H55" s="8" t="n">
        <v>0</v>
      </c>
      <c r="I55" s="8">
        <f>Assumptions!$B$13/B8</f>
        <v/>
      </c>
      <c r="J55" s="8" t="n">
        <v>0</v>
      </c>
      <c r="K55" s="8" t="n">
        <v>0</v>
      </c>
      <c r="L55" s="8">
        <f>SUM(B55:K55)</f>
        <v/>
      </c>
      <c r="M55" s="9">
        <f>L55/$L$59</f>
        <v/>
      </c>
    </row>
    <row r="56">
      <c r="A56" t="inlineStr">
        <is>
          <t>Our fund</t>
        </is>
      </c>
      <c r="B56" s="8" t="n">
        <v>0</v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>
        <f>Assumptions!$B$12/B8</f>
        <v/>
      </c>
      <c r="J56" s="8" t="n">
        <v>0</v>
      </c>
      <c r="K56" s="8" t="n">
        <v>0</v>
      </c>
      <c r="L56" s="8">
        <f>SUM(B56:K56)</f>
        <v/>
      </c>
      <c r="M56" s="9">
        <f>L56/$L$59</f>
        <v/>
      </c>
    </row>
    <row r="57">
      <c r="A57" t="inlineStr">
        <is>
          <t>Issued options (common-equiv pool)</t>
        </is>
      </c>
      <c r="B57" s="8">
        <f>Assumptions!$B$30</f>
        <v/>
      </c>
      <c r="C57" s="8" t="n">
        <v>0</v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>
        <f>SUM(B57:K57)</f>
        <v/>
      </c>
      <c r="M57" s="9">
        <f>L57/$L$59</f>
        <v/>
      </c>
    </row>
    <row r="58">
      <c r="A58" t="inlineStr">
        <is>
          <t>Unissued option pool (post-F)</t>
        </is>
      </c>
      <c r="B58" s="8">
        <f>Assumptions!$B$31+B11</f>
        <v/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>
        <f>SUM(B58:K58)</f>
        <v/>
      </c>
      <c r="M58" s="9">
        <f>L58/$L$59</f>
        <v/>
      </c>
    </row>
    <row r="59">
      <c r="A59" s="5" t="inlineStr">
        <is>
          <t>TOTAL</t>
        </is>
      </c>
      <c r="B59" s="10">
        <f>SUM(B43:B58)</f>
        <v/>
      </c>
      <c r="C59" s="10">
        <f>SUM(C43:C58)</f>
        <v/>
      </c>
      <c r="D59" s="10">
        <f>SUM(D43:D58)</f>
        <v/>
      </c>
      <c r="E59" s="10">
        <f>SUM(E43:E58)</f>
        <v/>
      </c>
      <c r="F59" s="10">
        <f>SUM(F43:F58)</f>
        <v/>
      </c>
      <c r="G59" s="10">
        <f>SUM(G43:G58)</f>
        <v/>
      </c>
      <c r="H59" s="10">
        <f>SUM(H43:H58)</f>
        <v/>
      </c>
      <c r="I59" s="10">
        <f>SUM(I43:I58)</f>
        <v/>
      </c>
      <c r="J59" s="10">
        <f>SUM(J43:J58)</f>
        <v/>
      </c>
      <c r="K59" s="10">
        <f>SUM(K43:K58)</f>
        <v/>
      </c>
      <c r="L59" s="10">
        <f>SUM(L43:L58)</f>
        <v/>
      </c>
      <c r="M59" s="9">
        <f>L59/$L$59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 outlineLevelCol="0"/>
  <cols>
    <col width="5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WATERFALL — 1× non-participating with conversion election (K-pass Nash)</t>
        </is>
      </c>
    </row>
    <row r="3">
      <c r="A3" s="5" t="inlineStr">
        <is>
          <t>Exit value</t>
        </is>
      </c>
      <c r="B3" s="11">
        <f>Assumptions!$B$7</f>
        <v/>
      </c>
      <c r="C3" s="11">
        <f>Assumptions!$B$8</f>
        <v/>
      </c>
      <c r="D3" s="11">
        <f>Assumptions!$B$9</f>
        <v/>
      </c>
      <c r="E3" s="11">
        <f>Assumptions!$B$10</f>
        <v/>
      </c>
      <c r="F3" s="11">
        <f>Assumptions!$B$11</f>
        <v/>
      </c>
    </row>
    <row r="5">
      <c r="A5" s="1" t="inlineStr">
        <is>
          <t>Class share counts &amp; liquidation preferences</t>
        </is>
      </c>
    </row>
    <row r="6">
      <c r="A6" s="5" t="inlineStr">
        <is>
          <t>Class</t>
        </is>
      </c>
      <c r="B6" s="5" t="inlineStr">
        <is>
          <t>Shares (post-F)</t>
        </is>
      </c>
      <c r="C6" s="5" t="inlineStr">
        <is>
          <t>LP ($)</t>
        </is>
      </c>
    </row>
    <row r="7">
      <c r="A7" t="inlineStr">
        <is>
          <t>F</t>
        </is>
      </c>
      <c r="B7" s="3">
        <f>'Pro-Forma'!$B$9</f>
        <v/>
      </c>
      <c r="C7" s="12">
        <f>Assumptions!$B$3</f>
        <v/>
      </c>
    </row>
    <row r="8">
      <c r="A8" t="inlineStr">
        <is>
          <t>E</t>
        </is>
      </c>
      <c r="B8" s="3">
        <f>'Pro-Forma'!$B$15</f>
        <v/>
      </c>
      <c r="C8" s="12">
        <f>(Assumptions!$B$34*Assumptions!$B$20)</f>
        <v/>
      </c>
    </row>
    <row r="9">
      <c r="A9" t="inlineStr">
        <is>
          <t>D</t>
        </is>
      </c>
      <c r="B9" s="3">
        <f>'Pro-Forma'!$B$14</f>
        <v/>
      </c>
      <c r="C9" s="12">
        <f>(Assumptions!$B$33*Assumptions!$B$19)</f>
        <v/>
      </c>
    </row>
    <row r="10">
      <c r="A10" t="inlineStr">
        <is>
          <t>C</t>
        </is>
      </c>
      <c r="B10" s="3">
        <f>Assumptions!$B$38</f>
        <v/>
      </c>
      <c r="C10" s="12">
        <f>(Assumptions!$B$38*Assumptions!$B$17)</f>
        <v/>
      </c>
    </row>
    <row r="11">
      <c r="A11" t="inlineStr">
        <is>
          <t>B</t>
        </is>
      </c>
      <c r="B11" s="3">
        <f>Assumptions!$B$37</f>
        <v/>
      </c>
      <c r="C11" s="12">
        <f>(Assumptions!$B$37*Assumptions!$B$16)</f>
        <v/>
      </c>
    </row>
    <row r="12">
      <c r="A12" t="inlineStr">
        <is>
          <t>A</t>
        </is>
      </c>
      <c r="B12" s="3">
        <f>Assumptions!$B$36</f>
        <v/>
      </c>
      <c r="C12" s="12">
        <f>(Assumptions!$B$36*Assumptions!$B$15)</f>
        <v/>
      </c>
    </row>
    <row r="13">
      <c r="A13" t="inlineStr">
        <is>
          <t>Seed</t>
        </is>
      </c>
      <c r="B13" s="3">
        <f>Assumptions!$B$35</f>
        <v/>
      </c>
      <c r="C13" s="12">
        <f>(Assumptions!$B$35*Assumptions!$B$14)</f>
        <v/>
      </c>
    </row>
    <row r="14">
      <c r="A14" s="5" t="inlineStr">
        <is>
          <t>Common-equiv pool (founders + RSAs + Note A + Note B shares)</t>
        </is>
      </c>
      <c r="B14" s="3">
        <f>(Assumptions!$B$39+Assumptions!$B$40+Assumptions!$B$41+Assumptions!$B$42)+'Pro-Forma'!$I$31+'Pro-Forma'!$I$32</f>
        <v/>
      </c>
    </row>
    <row r="15">
      <c r="A15" t="inlineStr">
        <is>
          <t>Issued options (ITM at all our exits)</t>
        </is>
      </c>
      <c r="B15">
        <f>Assumptions!$B$30</f>
        <v/>
      </c>
    </row>
    <row r="16">
      <c r="A16" t="inlineStr">
        <is>
          <t>Option strike</t>
        </is>
      </c>
      <c r="B16">
        <f>Assumptions!$B$21</f>
        <v/>
      </c>
    </row>
    <row r="19">
      <c r="A19" s="13" t="inlineStr">
        <is>
          <t>PASS 1 ELECTIONS (all-others-convert init)</t>
        </is>
      </c>
    </row>
    <row r="20">
      <c r="A20" s="5" t="inlineStr">
        <is>
          <t>Class</t>
        </is>
      </c>
      <c r="B20" s="5">
        <f>Assumptions!$B$7</f>
        <v/>
      </c>
      <c r="C20" s="5">
        <f>Assumptions!$B$8</f>
        <v/>
      </c>
      <c r="D20" s="5">
        <f>Assumptions!$B$9</f>
        <v/>
      </c>
      <c r="E20" s="5">
        <f>Assumptions!$B$10</f>
        <v/>
      </c>
      <c r="F20" s="5">
        <f>Assumptions!$B$11</f>
        <v/>
      </c>
    </row>
    <row r="21">
      <c r="A21" t="inlineStr">
        <is>
          <t>F</t>
        </is>
      </c>
      <c r="B21">
        <f>IF($C$7&gt;(IF((((B$3))+$B$15*$B$16)/((($B$14+$B$7+$B$8+$B$9+$B$10+$B$11+$B$12+$B$13))+$B$15)&gt;$B$16,(((B$3))+$B$15*$B$16)/((($B$14+$B$7+$B$8+$B$9+$B$10+$B$11+$B$12+$B$13))+$B$15),((B$3))/(($B$14+$B$7+$B$8+$B$9+$B$10+$B$11+$B$12+$B$13))))*$B$7,"preference","convert")</f>
        <v/>
      </c>
      <c r="C21">
        <f>IF($C$7&gt;(IF((((C$3))+$B$15*$B$16)/((($B$14+$B$7+$B$8+$B$9+$B$10+$B$11+$B$12+$B$13))+$B$15)&gt;$B$16,(((C$3))+$B$15*$B$16)/((($B$14+$B$7+$B$8+$B$9+$B$10+$B$11+$B$12+$B$13))+$B$15),((C$3))/(($B$14+$B$7+$B$8+$B$9+$B$10+$B$11+$B$12+$B$13))))*$B$7,"preference","convert")</f>
        <v/>
      </c>
      <c r="D21">
        <f>IF($C$7&gt;(IF((((D$3))+$B$15*$B$16)/((($B$14+$B$7+$B$8+$B$9+$B$10+$B$11+$B$12+$B$13))+$B$15)&gt;$B$16,(((D$3))+$B$15*$B$16)/((($B$14+$B$7+$B$8+$B$9+$B$10+$B$11+$B$12+$B$13))+$B$15),((D$3))/(($B$14+$B$7+$B$8+$B$9+$B$10+$B$11+$B$12+$B$13))))*$B$7,"preference","convert")</f>
        <v/>
      </c>
      <c r="E21">
        <f>IF($C$7&gt;(IF((((E$3))+$B$15*$B$16)/((($B$14+$B$7+$B$8+$B$9+$B$10+$B$11+$B$12+$B$13))+$B$15)&gt;$B$16,(((E$3))+$B$15*$B$16)/((($B$14+$B$7+$B$8+$B$9+$B$10+$B$11+$B$12+$B$13))+$B$15),((E$3))/(($B$14+$B$7+$B$8+$B$9+$B$10+$B$11+$B$12+$B$13))))*$B$7,"preference","convert")</f>
        <v/>
      </c>
      <c r="F21">
        <f>IF($C$7&gt;(IF((((F$3))+$B$15*$B$16)/((($B$14+$B$7+$B$8+$B$9+$B$10+$B$11+$B$12+$B$13))+$B$15)&gt;$B$16,(((F$3))+$B$15*$B$16)/((($B$14+$B$7+$B$8+$B$9+$B$10+$B$11+$B$12+$B$13))+$B$15),((F$3))/(($B$14+$B$7+$B$8+$B$9+$B$10+$B$11+$B$12+$B$13))))*$B$7,"preference","convert")</f>
        <v/>
      </c>
    </row>
    <row r="22">
      <c r="A22" t="inlineStr">
        <is>
          <t>E</t>
        </is>
      </c>
      <c r="B22">
        <f>IF($C$8&gt;(IF((((B$3))+$B$15*$B$16)/((($B$14+$B$8+$B$7+$B$9+$B$10+$B$11+$B$12+$B$13))+$B$15)&gt;$B$16,(((B$3))+$B$15*$B$16)/((($B$14+$B$8+$B$7+$B$9+$B$10+$B$11+$B$12+$B$13))+$B$15),((B$3))/(($B$14+$B$8+$B$7+$B$9+$B$10+$B$11+$B$12+$B$13))))*$B$8,"preference","convert")</f>
        <v/>
      </c>
      <c r="C22">
        <f>IF($C$8&gt;(IF((((C$3))+$B$15*$B$16)/((($B$14+$B$8+$B$7+$B$9+$B$10+$B$11+$B$12+$B$13))+$B$15)&gt;$B$16,(((C$3))+$B$15*$B$16)/((($B$14+$B$8+$B$7+$B$9+$B$10+$B$11+$B$12+$B$13))+$B$15),((C$3))/(($B$14+$B$8+$B$7+$B$9+$B$10+$B$11+$B$12+$B$13))))*$B$8,"preference","convert")</f>
        <v/>
      </c>
      <c r="D22">
        <f>IF($C$8&gt;(IF((((D$3))+$B$15*$B$16)/((($B$14+$B$8+$B$7+$B$9+$B$10+$B$11+$B$12+$B$13))+$B$15)&gt;$B$16,(((D$3))+$B$15*$B$16)/((($B$14+$B$8+$B$7+$B$9+$B$10+$B$11+$B$12+$B$13))+$B$15),((D$3))/(($B$14+$B$8+$B$7+$B$9+$B$10+$B$11+$B$12+$B$13))))*$B$8,"preference","convert")</f>
        <v/>
      </c>
      <c r="E22">
        <f>IF($C$8&gt;(IF((((E$3))+$B$15*$B$16)/((($B$14+$B$8+$B$7+$B$9+$B$10+$B$11+$B$12+$B$13))+$B$15)&gt;$B$16,(((E$3))+$B$15*$B$16)/((($B$14+$B$8+$B$7+$B$9+$B$10+$B$11+$B$12+$B$13))+$B$15),((E$3))/(($B$14+$B$8+$B$7+$B$9+$B$10+$B$11+$B$12+$B$13))))*$B$8,"preference","convert")</f>
        <v/>
      </c>
      <c r="F22">
        <f>IF($C$8&gt;(IF((((F$3))+$B$15*$B$16)/((($B$14+$B$8+$B$7+$B$9+$B$10+$B$11+$B$12+$B$13))+$B$15)&gt;$B$16,(((F$3))+$B$15*$B$16)/((($B$14+$B$8+$B$7+$B$9+$B$10+$B$11+$B$12+$B$13))+$B$15),((F$3))/(($B$14+$B$8+$B$7+$B$9+$B$10+$B$11+$B$12+$B$13))))*$B$8,"preference","convert")</f>
        <v/>
      </c>
    </row>
    <row r="23">
      <c r="A23" t="inlineStr">
        <is>
          <t>D</t>
        </is>
      </c>
      <c r="B23">
        <f>IF($C$9&gt;(IF((((B$3))+$B$15*$B$16)/((($B$14+$B$9+$B$7+$B$8+$B$10+$B$11+$B$12+$B$13))+$B$15)&gt;$B$16,(((B$3))+$B$15*$B$16)/((($B$14+$B$9+$B$7+$B$8+$B$10+$B$11+$B$12+$B$13))+$B$15),((B$3))/(($B$14+$B$9+$B$7+$B$8+$B$10+$B$11+$B$12+$B$13))))*$B$9,"preference","convert")</f>
        <v/>
      </c>
      <c r="C23">
        <f>IF($C$9&gt;(IF((((C$3))+$B$15*$B$16)/((($B$14+$B$9+$B$7+$B$8+$B$10+$B$11+$B$12+$B$13))+$B$15)&gt;$B$16,(((C$3))+$B$15*$B$16)/((($B$14+$B$9+$B$7+$B$8+$B$10+$B$11+$B$12+$B$13))+$B$15),((C$3))/(($B$14+$B$9+$B$7+$B$8+$B$10+$B$11+$B$12+$B$13))))*$B$9,"preference","convert")</f>
        <v/>
      </c>
      <c r="D23">
        <f>IF($C$9&gt;(IF((((D$3))+$B$15*$B$16)/((($B$14+$B$9+$B$7+$B$8+$B$10+$B$11+$B$12+$B$13))+$B$15)&gt;$B$16,(((D$3))+$B$15*$B$16)/((($B$14+$B$9+$B$7+$B$8+$B$10+$B$11+$B$12+$B$13))+$B$15),((D$3))/(($B$14+$B$9+$B$7+$B$8+$B$10+$B$11+$B$12+$B$13))))*$B$9,"preference","convert")</f>
        <v/>
      </c>
      <c r="E23">
        <f>IF($C$9&gt;(IF((((E$3))+$B$15*$B$16)/((($B$14+$B$9+$B$7+$B$8+$B$10+$B$11+$B$12+$B$13))+$B$15)&gt;$B$16,(((E$3))+$B$15*$B$16)/((($B$14+$B$9+$B$7+$B$8+$B$10+$B$11+$B$12+$B$13))+$B$15),((E$3))/(($B$14+$B$9+$B$7+$B$8+$B$10+$B$11+$B$12+$B$13))))*$B$9,"preference","convert")</f>
        <v/>
      </c>
      <c r="F23">
        <f>IF($C$9&gt;(IF((((F$3))+$B$15*$B$16)/((($B$14+$B$9+$B$7+$B$8+$B$10+$B$11+$B$12+$B$13))+$B$15)&gt;$B$16,(((F$3))+$B$15*$B$16)/((($B$14+$B$9+$B$7+$B$8+$B$10+$B$11+$B$12+$B$13))+$B$15),((F$3))/(($B$14+$B$9+$B$7+$B$8+$B$10+$B$11+$B$12+$B$13))))*$B$9,"preference","convert")</f>
        <v/>
      </c>
    </row>
    <row r="24">
      <c r="A24" t="inlineStr">
        <is>
          <t>C</t>
        </is>
      </c>
      <c r="B24">
        <f>IF($C$10&gt;(IF((((B$3))+$B$15*$B$16)/((($B$14+$B$10+$B$7+$B$8+$B$9+$B$11+$B$12+$B$13))+$B$15)&gt;$B$16,(((B$3))+$B$15*$B$16)/((($B$14+$B$10+$B$7+$B$8+$B$9+$B$11+$B$12+$B$13))+$B$15),((B$3))/(($B$14+$B$10+$B$7+$B$8+$B$9+$B$11+$B$12+$B$13))))*$B$10,"preference","convert")</f>
        <v/>
      </c>
      <c r="C24">
        <f>IF($C$10&gt;(IF((((C$3))+$B$15*$B$16)/((($B$14+$B$10+$B$7+$B$8+$B$9+$B$11+$B$12+$B$13))+$B$15)&gt;$B$16,(((C$3))+$B$15*$B$16)/((($B$14+$B$10+$B$7+$B$8+$B$9+$B$11+$B$12+$B$13))+$B$15),((C$3))/(($B$14+$B$10+$B$7+$B$8+$B$9+$B$11+$B$12+$B$13))))*$B$10,"preference","convert")</f>
        <v/>
      </c>
      <c r="D24">
        <f>IF($C$10&gt;(IF((((D$3))+$B$15*$B$16)/((($B$14+$B$10+$B$7+$B$8+$B$9+$B$11+$B$12+$B$13))+$B$15)&gt;$B$16,(((D$3))+$B$15*$B$16)/((($B$14+$B$10+$B$7+$B$8+$B$9+$B$11+$B$12+$B$13))+$B$15),((D$3))/(($B$14+$B$10+$B$7+$B$8+$B$9+$B$11+$B$12+$B$13))))*$B$10,"preference","convert")</f>
        <v/>
      </c>
      <c r="E24">
        <f>IF($C$10&gt;(IF((((E$3))+$B$15*$B$16)/((($B$14+$B$10+$B$7+$B$8+$B$9+$B$11+$B$12+$B$13))+$B$15)&gt;$B$16,(((E$3))+$B$15*$B$16)/((($B$14+$B$10+$B$7+$B$8+$B$9+$B$11+$B$12+$B$13))+$B$15),((E$3))/(($B$14+$B$10+$B$7+$B$8+$B$9+$B$11+$B$12+$B$13))))*$B$10,"preference","convert")</f>
        <v/>
      </c>
      <c r="F24">
        <f>IF($C$10&gt;(IF((((F$3))+$B$15*$B$16)/((($B$14+$B$10+$B$7+$B$8+$B$9+$B$11+$B$12+$B$13))+$B$15)&gt;$B$16,(((F$3))+$B$15*$B$16)/((($B$14+$B$10+$B$7+$B$8+$B$9+$B$11+$B$12+$B$13))+$B$15),((F$3))/(($B$14+$B$10+$B$7+$B$8+$B$9+$B$11+$B$12+$B$13))))*$B$10,"preference","convert")</f>
        <v/>
      </c>
    </row>
    <row r="25">
      <c r="A25" t="inlineStr">
        <is>
          <t>B</t>
        </is>
      </c>
      <c r="B25">
        <f>IF($C$11&gt;(IF((((B$3))+$B$15*$B$16)/((($B$14+$B$11+$B$7+$B$8+$B$9+$B$10+$B$12+$B$13))+$B$15)&gt;$B$16,(((B$3))+$B$15*$B$16)/((($B$14+$B$11+$B$7+$B$8+$B$9+$B$10+$B$12+$B$13))+$B$15),((B$3))/(($B$14+$B$11+$B$7+$B$8+$B$9+$B$10+$B$12+$B$13))))*$B$11,"preference","convert")</f>
        <v/>
      </c>
      <c r="C25">
        <f>IF($C$11&gt;(IF((((C$3))+$B$15*$B$16)/((($B$14+$B$11+$B$7+$B$8+$B$9+$B$10+$B$12+$B$13))+$B$15)&gt;$B$16,(((C$3))+$B$15*$B$16)/((($B$14+$B$11+$B$7+$B$8+$B$9+$B$10+$B$12+$B$13))+$B$15),((C$3))/(($B$14+$B$11+$B$7+$B$8+$B$9+$B$10+$B$12+$B$13))))*$B$11,"preference","convert")</f>
        <v/>
      </c>
      <c r="D25">
        <f>IF($C$11&gt;(IF((((D$3))+$B$15*$B$16)/((($B$14+$B$11+$B$7+$B$8+$B$9+$B$10+$B$12+$B$13))+$B$15)&gt;$B$16,(((D$3))+$B$15*$B$16)/((($B$14+$B$11+$B$7+$B$8+$B$9+$B$10+$B$12+$B$13))+$B$15),((D$3))/(($B$14+$B$11+$B$7+$B$8+$B$9+$B$10+$B$12+$B$13))))*$B$11,"preference","convert")</f>
        <v/>
      </c>
      <c r="E25">
        <f>IF($C$11&gt;(IF((((E$3))+$B$15*$B$16)/((($B$14+$B$11+$B$7+$B$8+$B$9+$B$10+$B$12+$B$13))+$B$15)&gt;$B$16,(((E$3))+$B$15*$B$16)/((($B$14+$B$11+$B$7+$B$8+$B$9+$B$10+$B$12+$B$13))+$B$15),((E$3))/(($B$14+$B$11+$B$7+$B$8+$B$9+$B$10+$B$12+$B$13))))*$B$11,"preference","convert")</f>
        <v/>
      </c>
      <c r="F25">
        <f>IF($C$11&gt;(IF((((F$3))+$B$15*$B$16)/((($B$14+$B$11+$B$7+$B$8+$B$9+$B$10+$B$12+$B$13))+$B$15)&gt;$B$16,(((F$3))+$B$15*$B$16)/((($B$14+$B$11+$B$7+$B$8+$B$9+$B$10+$B$12+$B$13))+$B$15),((F$3))/(($B$14+$B$11+$B$7+$B$8+$B$9+$B$10+$B$12+$B$13))))*$B$11,"preference","convert")</f>
        <v/>
      </c>
    </row>
    <row r="26">
      <c r="A26" t="inlineStr">
        <is>
          <t>A</t>
        </is>
      </c>
      <c r="B26">
        <f>IF($C$12&gt;(IF((((B$3))+$B$15*$B$16)/((($B$14+$B$12+$B$7+$B$8+$B$9+$B$10+$B$11+$B$13))+$B$15)&gt;$B$16,(((B$3))+$B$15*$B$16)/((($B$14+$B$12+$B$7+$B$8+$B$9+$B$10+$B$11+$B$13))+$B$15),((B$3))/(($B$14+$B$12+$B$7+$B$8+$B$9+$B$10+$B$11+$B$13))))*$B$12,"preference","convert")</f>
        <v/>
      </c>
      <c r="C26">
        <f>IF($C$12&gt;(IF((((C$3))+$B$15*$B$16)/((($B$14+$B$12+$B$7+$B$8+$B$9+$B$10+$B$11+$B$13))+$B$15)&gt;$B$16,(((C$3))+$B$15*$B$16)/((($B$14+$B$12+$B$7+$B$8+$B$9+$B$10+$B$11+$B$13))+$B$15),((C$3))/(($B$14+$B$12+$B$7+$B$8+$B$9+$B$10+$B$11+$B$13))))*$B$12,"preference","convert")</f>
        <v/>
      </c>
      <c r="D26">
        <f>IF($C$12&gt;(IF((((D$3))+$B$15*$B$16)/((($B$14+$B$12+$B$7+$B$8+$B$9+$B$10+$B$11+$B$13))+$B$15)&gt;$B$16,(((D$3))+$B$15*$B$16)/((($B$14+$B$12+$B$7+$B$8+$B$9+$B$10+$B$11+$B$13))+$B$15),((D$3))/(($B$14+$B$12+$B$7+$B$8+$B$9+$B$10+$B$11+$B$13))))*$B$12,"preference","convert")</f>
        <v/>
      </c>
      <c r="E26">
        <f>IF($C$12&gt;(IF((((E$3))+$B$15*$B$16)/((($B$14+$B$12+$B$7+$B$8+$B$9+$B$10+$B$11+$B$13))+$B$15)&gt;$B$16,(((E$3))+$B$15*$B$16)/((($B$14+$B$12+$B$7+$B$8+$B$9+$B$10+$B$11+$B$13))+$B$15),((E$3))/(($B$14+$B$12+$B$7+$B$8+$B$9+$B$10+$B$11+$B$13))))*$B$12,"preference","convert")</f>
        <v/>
      </c>
      <c r="F26">
        <f>IF($C$12&gt;(IF((((F$3))+$B$15*$B$16)/((($B$14+$B$12+$B$7+$B$8+$B$9+$B$10+$B$11+$B$13))+$B$15)&gt;$B$16,(((F$3))+$B$15*$B$16)/((($B$14+$B$12+$B$7+$B$8+$B$9+$B$10+$B$11+$B$13))+$B$15),((F$3))/(($B$14+$B$12+$B$7+$B$8+$B$9+$B$10+$B$11+$B$13))))*$B$12,"preference","convert")</f>
        <v/>
      </c>
    </row>
    <row r="27">
      <c r="A27" t="inlineStr">
        <is>
          <t>Seed</t>
        </is>
      </c>
      <c r="B27">
        <f>IF($C$13&gt;(IF((((B$3))+$B$15*$B$16)/((($B$14+$B$13+$B$7+$B$8+$B$9+$B$10+$B$11+$B$12))+$B$15)&gt;$B$16,(((B$3))+$B$15*$B$16)/((($B$14+$B$13+$B$7+$B$8+$B$9+$B$10+$B$11+$B$12))+$B$15),((B$3))/(($B$14+$B$13+$B$7+$B$8+$B$9+$B$10+$B$11+$B$12))))*$B$13,"preference","convert")</f>
        <v/>
      </c>
      <c r="C27">
        <f>IF($C$13&gt;(IF((((C$3))+$B$15*$B$16)/((($B$14+$B$13+$B$7+$B$8+$B$9+$B$10+$B$11+$B$12))+$B$15)&gt;$B$16,(((C$3))+$B$15*$B$16)/((($B$14+$B$13+$B$7+$B$8+$B$9+$B$10+$B$11+$B$12))+$B$15),((C$3))/(($B$14+$B$13+$B$7+$B$8+$B$9+$B$10+$B$11+$B$12))))*$B$13,"preference","convert")</f>
        <v/>
      </c>
      <c r="D27">
        <f>IF($C$13&gt;(IF((((D$3))+$B$15*$B$16)/((($B$14+$B$13+$B$7+$B$8+$B$9+$B$10+$B$11+$B$12))+$B$15)&gt;$B$16,(((D$3))+$B$15*$B$16)/((($B$14+$B$13+$B$7+$B$8+$B$9+$B$10+$B$11+$B$12))+$B$15),((D$3))/(($B$14+$B$13+$B$7+$B$8+$B$9+$B$10+$B$11+$B$12))))*$B$13,"preference","convert")</f>
        <v/>
      </c>
      <c r="E27">
        <f>IF($C$13&gt;(IF((((E$3))+$B$15*$B$16)/((($B$14+$B$13+$B$7+$B$8+$B$9+$B$10+$B$11+$B$12))+$B$15)&gt;$B$16,(((E$3))+$B$15*$B$16)/((($B$14+$B$13+$B$7+$B$8+$B$9+$B$10+$B$11+$B$12))+$B$15),((E$3))/(($B$14+$B$13+$B$7+$B$8+$B$9+$B$10+$B$11+$B$12))))*$B$13,"preference","convert")</f>
        <v/>
      </c>
      <c r="F27">
        <f>IF($C$13&gt;(IF((((F$3))+$B$15*$B$16)/((($B$14+$B$13+$B$7+$B$8+$B$9+$B$10+$B$11+$B$12))+$B$15)&gt;$B$16,(((F$3))+$B$15*$B$16)/((($B$14+$B$13+$B$7+$B$8+$B$9+$B$10+$B$11+$B$12))+$B$15),((F$3))/(($B$14+$B$13+$B$7+$B$8+$B$9+$B$10+$B$11+$B$12))))*$B$13,"preference","convert")</f>
        <v/>
      </c>
    </row>
    <row r="28">
      <c r="A28" s="13" t="inlineStr">
        <is>
          <t>PASS 2 ELECTIONS (best-response to Pass 1)</t>
        </is>
      </c>
    </row>
    <row r="29">
      <c r="A29" s="5" t="inlineStr">
        <is>
          <t>Class</t>
        </is>
      </c>
      <c r="B29" s="5">
        <f>Assumptions!$B$7</f>
        <v/>
      </c>
      <c r="C29" s="5">
        <f>Assumptions!$B$8</f>
        <v/>
      </c>
      <c r="D29" s="5">
        <f>Assumptions!$B$9</f>
        <v/>
      </c>
      <c r="E29" s="5">
        <f>Assumptions!$B$10</f>
        <v/>
      </c>
      <c r="F29" s="5">
        <f>Assumptions!$B$11</f>
        <v/>
      </c>
    </row>
    <row r="30">
      <c r="A30" t="inlineStr">
        <is>
          <t>F</t>
        </is>
      </c>
      <c r="B30">
        <f>IF($C$7&gt;(IF((((B$3-(IF(B22="preference",$C$8,0)+IF(B23="preference",$C$9,0)+IF(B24="preference",$C$10,0)+IF(B25="preference",$C$11,0)+IF(B26="preference",$C$12,0)+IF(B27="preference",$C$13,0))))+$B$15*$B$16)/((($B$14+$B$7+(IF(B22="convert",$B$8,0)+IF(B23="convert",$B$9,0)+IF(B24="convert",$B$10,0)+IF(B25="convert",$B$11,0)+IF(B26="convert",$B$12,0)+IF(B27="convert",$B$13,0))))+$B$15)&gt;$B$16,(((B$3-(IF(B22="preference",$C$8,0)+IF(B23="preference",$C$9,0)+IF(B24="preference",$C$10,0)+IF(B25="preference",$C$11,0)+IF(B26="preference",$C$12,0)+IF(B27="preference",$C$13,0))))+$B$15*$B$16)/((($B$14+$B$7+(IF(B22="convert",$B$8,0)+IF(B23="convert",$B$9,0)+IF(B24="convert",$B$10,0)+IF(B25="convert",$B$11,0)+IF(B26="convert",$B$12,0)+IF(B27="convert",$B$13,0))))+$B$15),((B$3-(IF(B22="preference",$C$8,0)+IF(B23="preference",$C$9,0)+IF(B24="preference",$C$10,0)+IF(B25="preference",$C$11,0)+IF(B26="preference",$C$12,0)+IF(B27="preference",$C$13,0))))/(($B$14+$B$7+(IF(B22="convert",$B$8,0)+IF(B23="convert",$B$9,0)+IF(B24="convert",$B$10,0)+IF(B25="convert",$B$11,0)+IF(B26="convert",$B$12,0)+IF(B27="convert",$B$13,0))))))*$B$7,"preference","convert")</f>
        <v/>
      </c>
      <c r="C30">
        <f>IF($C$7&gt;(IF((((C$3-(IF(C22="preference",$C$8,0)+IF(C23="preference",$C$9,0)+IF(C24="preference",$C$10,0)+IF(C25="preference",$C$11,0)+IF(C26="preference",$C$12,0)+IF(C27="preference",$C$13,0))))+$B$15*$B$16)/((($B$14+$B$7+(IF(C22="convert",$B$8,0)+IF(C23="convert",$B$9,0)+IF(C24="convert",$B$10,0)+IF(C25="convert",$B$11,0)+IF(C26="convert",$B$12,0)+IF(C27="convert",$B$13,0))))+$B$15)&gt;$B$16,(((C$3-(IF(C22="preference",$C$8,0)+IF(C23="preference",$C$9,0)+IF(C24="preference",$C$10,0)+IF(C25="preference",$C$11,0)+IF(C26="preference",$C$12,0)+IF(C27="preference",$C$13,0))))+$B$15*$B$16)/((($B$14+$B$7+(IF(C22="convert",$B$8,0)+IF(C23="convert",$B$9,0)+IF(C24="convert",$B$10,0)+IF(C25="convert",$B$11,0)+IF(C26="convert",$B$12,0)+IF(C27="convert",$B$13,0))))+$B$15),((C$3-(IF(C22="preference",$C$8,0)+IF(C23="preference",$C$9,0)+IF(C24="preference",$C$10,0)+IF(C25="preference",$C$11,0)+IF(C26="preference",$C$12,0)+IF(C27="preference",$C$13,0))))/(($B$14+$B$7+(IF(C22="convert",$B$8,0)+IF(C23="convert",$B$9,0)+IF(C24="convert",$B$10,0)+IF(C25="convert",$B$11,0)+IF(C26="convert",$B$12,0)+IF(C27="convert",$B$13,0))))))*$B$7,"preference","convert")</f>
        <v/>
      </c>
      <c r="D30">
        <f>IF($C$7&gt;(IF((((D$3-(IF(D22="preference",$C$8,0)+IF(D23="preference",$C$9,0)+IF(D24="preference",$C$10,0)+IF(D25="preference",$C$11,0)+IF(D26="preference",$C$12,0)+IF(D27="preference",$C$13,0))))+$B$15*$B$16)/((($B$14+$B$7+(IF(D22="convert",$B$8,0)+IF(D23="convert",$B$9,0)+IF(D24="convert",$B$10,0)+IF(D25="convert",$B$11,0)+IF(D26="convert",$B$12,0)+IF(D27="convert",$B$13,0))))+$B$15)&gt;$B$16,(((D$3-(IF(D22="preference",$C$8,0)+IF(D23="preference",$C$9,0)+IF(D24="preference",$C$10,0)+IF(D25="preference",$C$11,0)+IF(D26="preference",$C$12,0)+IF(D27="preference",$C$13,0))))+$B$15*$B$16)/((($B$14+$B$7+(IF(D22="convert",$B$8,0)+IF(D23="convert",$B$9,0)+IF(D24="convert",$B$10,0)+IF(D25="convert",$B$11,0)+IF(D26="convert",$B$12,0)+IF(D27="convert",$B$13,0))))+$B$15),((D$3-(IF(D22="preference",$C$8,0)+IF(D23="preference",$C$9,0)+IF(D24="preference",$C$10,0)+IF(D25="preference",$C$11,0)+IF(D26="preference",$C$12,0)+IF(D27="preference",$C$13,0))))/(($B$14+$B$7+(IF(D22="convert",$B$8,0)+IF(D23="convert",$B$9,0)+IF(D24="convert",$B$10,0)+IF(D25="convert",$B$11,0)+IF(D26="convert",$B$12,0)+IF(D27="convert",$B$13,0))))))*$B$7,"preference","convert")</f>
        <v/>
      </c>
      <c r="E30">
        <f>IF($C$7&gt;(IF((((E$3-(IF(E22="preference",$C$8,0)+IF(E23="preference",$C$9,0)+IF(E24="preference",$C$10,0)+IF(E25="preference",$C$11,0)+IF(E26="preference",$C$12,0)+IF(E27="preference",$C$13,0))))+$B$15*$B$16)/((($B$14+$B$7+(IF(E22="convert",$B$8,0)+IF(E23="convert",$B$9,0)+IF(E24="convert",$B$10,0)+IF(E25="convert",$B$11,0)+IF(E26="convert",$B$12,0)+IF(E27="convert",$B$13,0))))+$B$15)&gt;$B$16,(((E$3-(IF(E22="preference",$C$8,0)+IF(E23="preference",$C$9,0)+IF(E24="preference",$C$10,0)+IF(E25="preference",$C$11,0)+IF(E26="preference",$C$12,0)+IF(E27="preference",$C$13,0))))+$B$15*$B$16)/((($B$14+$B$7+(IF(E22="convert",$B$8,0)+IF(E23="convert",$B$9,0)+IF(E24="convert",$B$10,0)+IF(E25="convert",$B$11,0)+IF(E26="convert",$B$12,0)+IF(E27="convert",$B$13,0))))+$B$15),((E$3-(IF(E22="preference",$C$8,0)+IF(E23="preference",$C$9,0)+IF(E24="preference",$C$10,0)+IF(E25="preference",$C$11,0)+IF(E26="preference",$C$12,0)+IF(E27="preference",$C$13,0))))/(($B$14+$B$7+(IF(E22="convert",$B$8,0)+IF(E23="convert",$B$9,0)+IF(E24="convert",$B$10,0)+IF(E25="convert",$B$11,0)+IF(E26="convert",$B$12,0)+IF(E27="convert",$B$13,0))))))*$B$7,"preference","convert")</f>
        <v/>
      </c>
      <c r="F30">
        <f>IF($C$7&gt;(IF((((F$3-(IF(F22="preference",$C$8,0)+IF(F23="preference",$C$9,0)+IF(F24="preference",$C$10,0)+IF(F25="preference",$C$11,0)+IF(F26="preference",$C$12,0)+IF(F27="preference",$C$13,0))))+$B$15*$B$16)/((($B$14+$B$7+(IF(F22="convert",$B$8,0)+IF(F23="convert",$B$9,0)+IF(F24="convert",$B$10,0)+IF(F25="convert",$B$11,0)+IF(F26="convert",$B$12,0)+IF(F27="convert",$B$13,0))))+$B$15)&gt;$B$16,(((F$3-(IF(F22="preference",$C$8,0)+IF(F23="preference",$C$9,0)+IF(F24="preference",$C$10,0)+IF(F25="preference",$C$11,0)+IF(F26="preference",$C$12,0)+IF(F27="preference",$C$13,0))))+$B$15*$B$16)/((($B$14+$B$7+(IF(F22="convert",$B$8,0)+IF(F23="convert",$B$9,0)+IF(F24="convert",$B$10,0)+IF(F25="convert",$B$11,0)+IF(F26="convert",$B$12,0)+IF(F27="convert",$B$13,0))))+$B$15),((F$3-(IF(F22="preference",$C$8,0)+IF(F23="preference",$C$9,0)+IF(F24="preference",$C$10,0)+IF(F25="preference",$C$11,0)+IF(F26="preference",$C$12,0)+IF(F27="preference",$C$13,0))))/(($B$14+$B$7+(IF(F22="convert",$B$8,0)+IF(F23="convert",$B$9,0)+IF(F24="convert",$B$10,0)+IF(F25="convert",$B$11,0)+IF(F26="convert",$B$12,0)+IF(F27="convert",$B$13,0))))))*$B$7,"preference","convert")</f>
        <v/>
      </c>
    </row>
    <row r="31">
      <c r="A31" t="inlineStr">
        <is>
          <t>E</t>
        </is>
      </c>
      <c r="B31">
        <f>IF($C$8&gt;(IF((((B$3-(IF(B21="preference",$C$7,0)+IF(B23="preference",$C$9,0)+IF(B24="preference",$C$10,0)+IF(B25="preference",$C$11,0)+IF(B26="preference",$C$12,0)+IF(B27="preference",$C$13,0))))+$B$15*$B$16)/((($B$14+$B$8+(IF(B21="convert",$B$7,0)+IF(B23="convert",$B$9,0)+IF(B24="convert",$B$10,0)+IF(B25="convert",$B$11,0)+IF(B26="convert",$B$12,0)+IF(B27="convert",$B$13,0))))+$B$15)&gt;$B$16,(((B$3-(IF(B21="preference",$C$7,0)+IF(B23="preference",$C$9,0)+IF(B24="preference",$C$10,0)+IF(B25="preference",$C$11,0)+IF(B26="preference",$C$12,0)+IF(B27="preference",$C$13,0))))+$B$15*$B$16)/((($B$14+$B$8+(IF(B21="convert",$B$7,0)+IF(B23="convert",$B$9,0)+IF(B24="convert",$B$10,0)+IF(B25="convert",$B$11,0)+IF(B26="convert",$B$12,0)+IF(B27="convert",$B$13,0))))+$B$15),((B$3-(IF(B21="preference",$C$7,0)+IF(B23="preference",$C$9,0)+IF(B24="preference",$C$10,0)+IF(B25="preference",$C$11,0)+IF(B26="preference",$C$12,0)+IF(B27="preference",$C$13,0))))/(($B$14+$B$8+(IF(B21="convert",$B$7,0)+IF(B23="convert",$B$9,0)+IF(B24="convert",$B$10,0)+IF(B25="convert",$B$11,0)+IF(B26="convert",$B$12,0)+IF(B27="convert",$B$13,0))))))*$B$8,"preference","convert")</f>
        <v/>
      </c>
      <c r="C31">
        <f>IF($C$8&gt;(IF((((C$3-(IF(C21="preference",$C$7,0)+IF(C23="preference",$C$9,0)+IF(C24="preference",$C$10,0)+IF(C25="preference",$C$11,0)+IF(C26="preference",$C$12,0)+IF(C27="preference",$C$13,0))))+$B$15*$B$16)/((($B$14+$B$8+(IF(C21="convert",$B$7,0)+IF(C23="convert",$B$9,0)+IF(C24="convert",$B$10,0)+IF(C25="convert",$B$11,0)+IF(C26="convert",$B$12,0)+IF(C27="convert",$B$13,0))))+$B$15)&gt;$B$16,(((C$3-(IF(C21="preference",$C$7,0)+IF(C23="preference",$C$9,0)+IF(C24="preference",$C$10,0)+IF(C25="preference",$C$11,0)+IF(C26="preference",$C$12,0)+IF(C27="preference",$C$13,0))))+$B$15*$B$16)/((($B$14+$B$8+(IF(C21="convert",$B$7,0)+IF(C23="convert",$B$9,0)+IF(C24="convert",$B$10,0)+IF(C25="convert",$B$11,0)+IF(C26="convert",$B$12,0)+IF(C27="convert",$B$13,0))))+$B$15),((C$3-(IF(C21="preference",$C$7,0)+IF(C23="preference",$C$9,0)+IF(C24="preference",$C$10,0)+IF(C25="preference",$C$11,0)+IF(C26="preference",$C$12,0)+IF(C27="preference",$C$13,0))))/(($B$14+$B$8+(IF(C21="convert",$B$7,0)+IF(C23="convert",$B$9,0)+IF(C24="convert",$B$10,0)+IF(C25="convert",$B$11,0)+IF(C26="convert",$B$12,0)+IF(C27="convert",$B$13,0))))))*$B$8,"preference","convert")</f>
        <v/>
      </c>
      <c r="D31">
        <f>IF($C$8&gt;(IF((((D$3-(IF(D21="preference",$C$7,0)+IF(D23="preference",$C$9,0)+IF(D24="preference",$C$10,0)+IF(D25="preference",$C$11,0)+IF(D26="preference",$C$12,0)+IF(D27="preference",$C$13,0))))+$B$15*$B$16)/((($B$14+$B$8+(IF(D21="convert",$B$7,0)+IF(D23="convert",$B$9,0)+IF(D24="convert",$B$10,0)+IF(D25="convert",$B$11,0)+IF(D26="convert",$B$12,0)+IF(D27="convert",$B$13,0))))+$B$15)&gt;$B$16,(((D$3-(IF(D21="preference",$C$7,0)+IF(D23="preference",$C$9,0)+IF(D24="preference",$C$10,0)+IF(D25="preference",$C$11,0)+IF(D26="preference",$C$12,0)+IF(D27="preference",$C$13,0))))+$B$15*$B$16)/((($B$14+$B$8+(IF(D21="convert",$B$7,0)+IF(D23="convert",$B$9,0)+IF(D24="convert",$B$10,0)+IF(D25="convert",$B$11,0)+IF(D26="convert",$B$12,0)+IF(D27="convert",$B$13,0))))+$B$15),((D$3-(IF(D21="preference",$C$7,0)+IF(D23="preference",$C$9,0)+IF(D24="preference",$C$10,0)+IF(D25="preference",$C$11,0)+IF(D26="preference",$C$12,0)+IF(D27="preference",$C$13,0))))/(($B$14+$B$8+(IF(D21="convert",$B$7,0)+IF(D23="convert",$B$9,0)+IF(D24="convert",$B$10,0)+IF(D25="convert",$B$11,0)+IF(D26="convert",$B$12,0)+IF(D27="convert",$B$13,0))))))*$B$8,"preference","convert")</f>
        <v/>
      </c>
      <c r="E31">
        <f>IF($C$8&gt;(IF((((E$3-(IF(E21="preference",$C$7,0)+IF(E23="preference",$C$9,0)+IF(E24="preference",$C$10,0)+IF(E25="preference",$C$11,0)+IF(E26="preference",$C$12,0)+IF(E27="preference",$C$13,0))))+$B$15*$B$16)/((($B$14+$B$8+(IF(E21="convert",$B$7,0)+IF(E23="convert",$B$9,0)+IF(E24="convert",$B$10,0)+IF(E25="convert",$B$11,0)+IF(E26="convert",$B$12,0)+IF(E27="convert",$B$13,0))))+$B$15)&gt;$B$16,(((E$3-(IF(E21="preference",$C$7,0)+IF(E23="preference",$C$9,0)+IF(E24="preference",$C$10,0)+IF(E25="preference",$C$11,0)+IF(E26="preference",$C$12,0)+IF(E27="preference",$C$13,0))))+$B$15*$B$16)/((($B$14+$B$8+(IF(E21="convert",$B$7,0)+IF(E23="convert",$B$9,0)+IF(E24="convert",$B$10,0)+IF(E25="convert",$B$11,0)+IF(E26="convert",$B$12,0)+IF(E27="convert",$B$13,0))))+$B$15),((E$3-(IF(E21="preference",$C$7,0)+IF(E23="preference",$C$9,0)+IF(E24="preference",$C$10,0)+IF(E25="preference",$C$11,0)+IF(E26="preference",$C$12,0)+IF(E27="preference",$C$13,0))))/(($B$14+$B$8+(IF(E21="convert",$B$7,0)+IF(E23="convert",$B$9,0)+IF(E24="convert",$B$10,0)+IF(E25="convert",$B$11,0)+IF(E26="convert",$B$12,0)+IF(E27="convert",$B$13,0))))))*$B$8,"preference","convert")</f>
        <v/>
      </c>
      <c r="F31">
        <f>IF($C$8&gt;(IF((((F$3-(IF(F21="preference",$C$7,0)+IF(F23="preference",$C$9,0)+IF(F24="preference",$C$10,0)+IF(F25="preference",$C$11,0)+IF(F26="preference",$C$12,0)+IF(F27="preference",$C$13,0))))+$B$15*$B$16)/((($B$14+$B$8+(IF(F21="convert",$B$7,0)+IF(F23="convert",$B$9,0)+IF(F24="convert",$B$10,0)+IF(F25="convert",$B$11,0)+IF(F26="convert",$B$12,0)+IF(F27="convert",$B$13,0))))+$B$15)&gt;$B$16,(((F$3-(IF(F21="preference",$C$7,0)+IF(F23="preference",$C$9,0)+IF(F24="preference",$C$10,0)+IF(F25="preference",$C$11,0)+IF(F26="preference",$C$12,0)+IF(F27="preference",$C$13,0))))+$B$15*$B$16)/((($B$14+$B$8+(IF(F21="convert",$B$7,0)+IF(F23="convert",$B$9,0)+IF(F24="convert",$B$10,0)+IF(F25="convert",$B$11,0)+IF(F26="convert",$B$12,0)+IF(F27="convert",$B$13,0))))+$B$15),((F$3-(IF(F21="preference",$C$7,0)+IF(F23="preference",$C$9,0)+IF(F24="preference",$C$10,0)+IF(F25="preference",$C$11,0)+IF(F26="preference",$C$12,0)+IF(F27="preference",$C$13,0))))/(($B$14+$B$8+(IF(F21="convert",$B$7,0)+IF(F23="convert",$B$9,0)+IF(F24="convert",$B$10,0)+IF(F25="convert",$B$11,0)+IF(F26="convert",$B$12,0)+IF(F27="convert",$B$13,0))))))*$B$8,"preference","convert")</f>
        <v/>
      </c>
    </row>
    <row r="32">
      <c r="A32" t="inlineStr">
        <is>
          <t>D</t>
        </is>
      </c>
      <c r="B32">
        <f>IF($C$9&gt;(IF((((B$3-(IF(B21="preference",$C$7,0)+IF(B22="preference",$C$8,0)+IF(B24="preference",$C$10,0)+IF(B25="preference",$C$11,0)+IF(B26="preference",$C$12,0)+IF(B27="preference",$C$13,0))))+$B$15*$B$16)/((($B$14+$B$9+(IF(B21="convert",$B$7,0)+IF(B22="convert",$B$8,0)+IF(B24="convert",$B$10,0)+IF(B25="convert",$B$11,0)+IF(B26="convert",$B$12,0)+IF(B27="convert",$B$13,0))))+$B$15)&gt;$B$16,(((B$3-(IF(B21="preference",$C$7,0)+IF(B22="preference",$C$8,0)+IF(B24="preference",$C$10,0)+IF(B25="preference",$C$11,0)+IF(B26="preference",$C$12,0)+IF(B27="preference",$C$13,0))))+$B$15*$B$16)/((($B$14+$B$9+(IF(B21="convert",$B$7,0)+IF(B22="convert",$B$8,0)+IF(B24="convert",$B$10,0)+IF(B25="convert",$B$11,0)+IF(B26="convert",$B$12,0)+IF(B27="convert",$B$13,0))))+$B$15),((B$3-(IF(B21="preference",$C$7,0)+IF(B22="preference",$C$8,0)+IF(B24="preference",$C$10,0)+IF(B25="preference",$C$11,0)+IF(B26="preference",$C$12,0)+IF(B27="preference",$C$13,0))))/(($B$14+$B$9+(IF(B21="convert",$B$7,0)+IF(B22="convert",$B$8,0)+IF(B24="convert",$B$10,0)+IF(B25="convert",$B$11,0)+IF(B26="convert",$B$12,0)+IF(B27="convert",$B$13,0))))))*$B$9,"preference","convert")</f>
        <v/>
      </c>
      <c r="C32">
        <f>IF($C$9&gt;(IF((((C$3-(IF(C21="preference",$C$7,0)+IF(C22="preference",$C$8,0)+IF(C24="preference",$C$10,0)+IF(C25="preference",$C$11,0)+IF(C26="preference",$C$12,0)+IF(C27="preference",$C$13,0))))+$B$15*$B$16)/((($B$14+$B$9+(IF(C21="convert",$B$7,0)+IF(C22="convert",$B$8,0)+IF(C24="convert",$B$10,0)+IF(C25="convert",$B$11,0)+IF(C26="convert",$B$12,0)+IF(C27="convert",$B$13,0))))+$B$15)&gt;$B$16,(((C$3-(IF(C21="preference",$C$7,0)+IF(C22="preference",$C$8,0)+IF(C24="preference",$C$10,0)+IF(C25="preference",$C$11,0)+IF(C26="preference",$C$12,0)+IF(C27="preference",$C$13,0))))+$B$15*$B$16)/((($B$14+$B$9+(IF(C21="convert",$B$7,0)+IF(C22="convert",$B$8,0)+IF(C24="convert",$B$10,0)+IF(C25="convert",$B$11,0)+IF(C26="convert",$B$12,0)+IF(C27="convert",$B$13,0))))+$B$15),((C$3-(IF(C21="preference",$C$7,0)+IF(C22="preference",$C$8,0)+IF(C24="preference",$C$10,0)+IF(C25="preference",$C$11,0)+IF(C26="preference",$C$12,0)+IF(C27="preference",$C$13,0))))/(($B$14+$B$9+(IF(C21="convert",$B$7,0)+IF(C22="convert",$B$8,0)+IF(C24="convert",$B$10,0)+IF(C25="convert",$B$11,0)+IF(C26="convert",$B$12,0)+IF(C27="convert",$B$13,0))))))*$B$9,"preference","convert")</f>
        <v/>
      </c>
      <c r="D32">
        <f>IF($C$9&gt;(IF((((D$3-(IF(D21="preference",$C$7,0)+IF(D22="preference",$C$8,0)+IF(D24="preference",$C$10,0)+IF(D25="preference",$C$11,0)+IF(D26="preference",$C$12,0)+IF(D27="preference",$C$13,0))))+$B$15*$B$16)/((($B$14+$B$9+(IF(D21="convert",$B$7,0)+IF(D22="convert",$B$8,0)+IF(D24="convert",$B$10,0)+IF(D25="convert",$B$11,0)+IF(D26="convert",$B$12,0)+IF(D27="convert",$B$13,0))))+$B$15)&gt;$B$16,(((D$3-(IF(D21="preference",$C$7,0)+IF(D22="preference",$C$8,0)+IF(D24="preference",$C$10,0)+IF(D25="preference",$C$11,0)+IF(D26="preference",$C$12,0)+IF(D27="preference",$C$13,0))))+$B$15*$B$16)/((($B$14+$B$9+(IF(D21="convert",$B$7,0)+IF(D22="convert",$B$8,0)+IF(D24="convert",$B$10,0)+IF(D25="convert",$B$11,0)+IF(D26="convert",$B$12,0)+IF(D27="convert",$B$13,0))))+$B$15),((D$3-(IF(D21="preference",$C$7,0)+IF(D22="preference",$C$8,0)+IF(D24="preference",$C$10,0)+IF(D25="preference",$C$11,0)+IF(D26="preference",$C$12,0)+IF(D27="preference",$C$13,0))))/(($B$14+$B$9+(IF(D21="convert",$B$7,0)+IF(D22="convert",$B$8,0)+IF(D24="convert",$B$10,0)+IF(D25="convert",$B$11,0)+IF(D26="convert",$B$12,0)+IF(D27="convert",$B$13,0))))))*$B$9,"preference","convert")</f>
        <v/>
      </c>
      <c r="E32">
        <f>IF($C$9&gt;(IF((((E$3-(IF(E21="preference",$C$7,0)+IF(E22="preference",$C$8,0)+IF(E24="preference",$C$10,0)+IF(E25="preference",$C$11,0)+IF(E26="preference",$C$12,0)+IF(E27="preference",$C$13,0))))+$B$15*$B$16)/((($B$14+$B$9+(IF(E21="convert",$B$7,0)+IF(E22="convert",$B$8,0)+IF(E24="convert",$B$10,0)+IF(E25="convert",$B$11,0)+IF(E26="convert",$B$12,0)+IF(E27="convert",$B$13,0))))+$B$15)&gt;$B$16,(((E$3-(IF(E21="preference",$C$7,0)+IF(E22="preference",$C$8,0)+IF(E24="preference",$C$10,0)+IF(E25="preference",$C$11,0)+IF(E26="preference",$C$12,0)+IF(E27="preference",$C$13,0))))+$B$15*$B$16)/((($B$14+$B$9+(IF(E21="convert",$B$7,0)+IF(E22="convert",$B$8,0)+IF(E24="convert",$B$10,0)+IF(E25="convert",$B$11,0)+IF(E26="convert",$B$12,0)+IF(E27="convert",$B$13,0))))+$B$15),((E$3-(IF(E21="preference",$C$7,0)+IF(E22="preference",$C$8,0)+IF(E24="preference",$C$10,0)+IF(E25="preference",$C$11,0)+IF(E26="preference",$C$12,0)+IF(E27="preference",$C$13,0))))/(($B$14+$B$9+(IF(E21="convert",$B$7,0)+IF(E22="convert",$B$8,0)+IF(E24="convert",$B$10,0)+IF(E25="convert",$B$11,0)+IF(E26="convert",$B$12,0)+IF(E27="convert",$B$13,0))))))*$B$9,"preference","convert")</f>
        <v/>
      </c>
      <c r="F32">
        <f>IF($C$9&gt;(IF((((F$3-(IF(F21="preference",$C$7,0)+IF(F22="preference",$C$8,0)+IF(F24="preference",$C$10,0)+IF(F25="preference",$C$11,0)+IF(F26="preference",$C$12,0)+IF(F27="preference",$C$13,0))))+$B$15*$B$16)/((($B$14+$B$9+(IF(F21="convert",$B$7,0)+IF(F22="convert",$B$8,0)+IF(F24="convert",$B$10,0)+IF(F25="convert",$B$11,0)+IF(F26="convert",$B$12,0)+IF(F27="convert",$B$13,0))))+$B$15)&gt;$B$16,(((F$3-(IF(F21="preference",$C$7,0)+IF(F22="preference",$C$8,0)+IF(F24="preference",$C$10,0)+IF(F25="preference",$C$11,0)+IF(F26="preference",$C$12,0)+IF(F27="preference",$C$13,0))))+$B$15*$B$16)/((($B$14+$B$9+(IF(F21="convert",$B$7,0)+IF(F22="convert",$B$8,0)+IF(F24="convert",$B$10,0)+IF(F25="convert",$B$11,0)+IF(F26="convert",$B$12,0)+IF(F27="convert",$B$13,0))))+$B$15),((F$3-(IF(F21="preference",$C$7,0)+IF(F22="preference",$C$8,0)+IF(F24="preference",$C$10,0)+IF(F25="preference",$C$11,0)+IF(F26="preference",$C$12,0)+IF(F27="preference",$C$13,0))))/(($B$14+$B$9+(IF(F21="convert",$B$7,0)+IF(F22="convert",$B$8,0)+IF(F24="convert",$B$10,0)+IF(F25="convert",$B$11,0)+IF(F26="convert",$B$12,0)+IF(F27="convert",$B$13,0))))))*$B$9,"preference","convert")</f>
        <v/>
      </c>
    </row>
    <row r="33">
      <c r="A33" t="inlineStr">
        <is>
          <t>C</t>
        </is>
      </c>
      <c r="B33">
        <f>IF($C$10&gt;(IF((((B$3-(IF(B21="preference",$C$7,0)+IF(B22="preference",$C$8,0)+IF(B23="preference",$C$9,0)+IF(B25="preference",$C$11,0)+IF(B26="preference",$C$12,0)+IF(B27="preference",$C$13,0))))+$B$15*$B$16)/((($B$14+$B$10+(IF(B21="convert",$B$7,0)+IF(B22="convert",$B$8,0)+IF(B23="convert",$B$9,0)+IF(B25="convert",$B$11,0)+IF(B26="convert",$B$12,0)+IF(B27="convert",$B$13,0))))+$B$15)&gt;$B$16,(((B$3-(IF(B21="preference",$C$7,0)+IF(B22="preference",$C$8,0)+IF(B23="preference",$C$9,0)+IF(B25="preference",$C$11,0)+IF(B26="preference",$C$12,0)+IF(B27="preference",$C$13,0))))+$B$15*$B$16)/((($B$14+$B$10+(IF(B21="convert",$B$7,0)+IF(B22="convert",$B$8,0)+IF(B23="convert",$B$9,0)+IF(B25="convert",$B$11,0)+IF(B26="convert",$B$12,0)+IF(B27="convert",$B$13,0))))+$B$15),((B$3-(IF(B21="preference",$C$7,0)+IF(B22="preference",$C$8,0)+IF(B23="preference",$C$9,0)+IF(B25="preference",$C$11,0)+IF(B26="preference",$C$12,0)+IF(B27="preference",$C$13,0))))/(($B$14+$B$10+(IF(B21="convert",$B$7,0)+IF(B22="convert",$B$8,0)+IF(B23="convert",$B$9,0)+IF(B25="convert",$B$11,0)+IF(B26="convert",$B$12,0)+IF(B27="convert",$B$13,0))))))*$B$10,"preference","convert")</f>
        <v/>
      </c>
      <c r="C33">
        <f>IF($C$10&gt;(IF((((C$3-(IF(C21="preference",$C$7,0)+IF(C22="preference",$C$8,0)+IF(C23="preference",$C$9,0)+IF(C25="preference",$C$11,0)+IF(C26="preference",$C$12,0)+IF(C27="preference",$C$13,0))))+$B$15*$B$16)/((($B$14+$B$10+(IF(C21="convert",$B$7,0)+IF(C22="convert",$B$8,0)+IF(C23="convert",$B$9,0)+IF(C25="convert",$B$11,0)+IF(C26="convert",$B$12,0)+IF(C27="convert",$B$13,0))))+$B$15)&gt;$B$16,(((C$3-(IF(C21="preference",$C$7,0)+IF(C22="preference",$C$8,0)+IF(C23="preference",$C$9,0)+IF(C25="preference",$C$11,0)+IF(C26="preference",$C$12,0)+IF(C27="preference",$C$13,0))))+$B$15*$B$16)/((($B$14+$B$10+(IF(C21="convert",$B$7,0)+IF(C22="convert",$B$8,0)+IF(C23="convert",$B$9,0)+IF(C25="convert",$B$11,0)+IF(C26="convert",$B$12,0)+IF(C27="convert",$B$13,0))))+$B$15),((C$3-(IF(C21="preference",$C$7,0)+IF(C22="preference",$C$8,0)+IF(C23="preference",$C$9,0)+IF(C25="preference",$C$11,0)+IF(C26="preference",$C$12,0)+IF(C27="preference",$C$13,0))))/(($B$14+$B$10+(IF(C21="convert",$B$7,0)+IF(C22="convert",$B$8,0)+IF(C23="convert",$B$9,0)+IF(C25="convert",$B$11,0)+IF(C26="convert",$B$12,0)+IF(C27="convert",$B$13,0))))))*$B$10,"preference","convert")</f>
        <v/>
      </c>
      <c r="D33">
        <f>IF($C$10&gt;(IF((((D$3-(IF(D21="preference",$C$7,0)+IF(D22="preference",$C$8,0)+IF(D23="preference",$C$9,0)+IF(D25="preference",$C$11,0)+IF(D26="preference",$C$12,0)+IF(D27="preference",$C$13,0))))+$B$15*$B$16)/((($B$14+$B$10+(IF(D21="convert",$B$7,0)+IF(D22="convert",$B$8,0)+IF(D23="convert",$B$9,0)+IF(D25="convert",$B$11,0)+IF(D26="convert",$B$12,0)+IF(D27="convert",$B$13,0))))+$B$15)&gt;$B$16,(((D$3-(IF(D21="preference",$C$7,0)+IF(D22="preference",$C$8,0)+IF(D23="preference",$C$9,0)+IF(D25="preference",$C$11,0)+IF(D26="preference",$C$12,0)+IF(D27="preference",$C$13,0))))+$B$15*$B$16)/((($B$14+$B$10+(IF(D21="convert",$B$7,0)+IF(D22="convert",$B$8,0)+IF(D23="convert",$B$9,0)+IF(D25="convert",$B$11,0)+IF(D26="convert",$B$12,0)+IF(D27="convert",$B$13,0))))+$B$15),((D$3-(IF(D21="preference",$C$7,0)+IF(D22="preference",$C$8,0)+IF(D23="preference",$C$9,0)+IF(D25="preference",$C$11,0)+IF(D26="preference",$C$12,0)+IF(D27="preference",$C$13,0))))/(($B$14+$B$10+(IF(D21="convert",$B$7,0)+IF(D22="convert",$B$8,0)+IF(D23="convert",$B$9,0)+IF(D25="convert",$B$11,0)+IF(D26="convert",$B$12,0)+IF(D27="convert",$B$13,0))))))*$B$10,"preference","convert")</f>
        <v/>
      </c>
      <c r="E33">
        <f>IF($C$10&gt;(IF((((E$3-(IF(E21="preference",$C$7,0)+IF(E22="preference",$C$8,0)+IF(E23="preference",$C$9,0)+IF(E25="preference",$C$11,0)+IF(E26="preference",$C$12,0)+IF(E27="preference",$C$13,0))))+$B$15*$B$16)/((($B$14+$B$10+(IF(E21="convert",$B$7,0)+IF(E22="convert",$B$8,0)+IF(E23="convert",$B$9,0)+IF(E25="convert",$B$11,0)+IF(E26="convert",$B$12,0)+IF(E27="convert",$B$13,0))))+$B$15)&gt;$B$16,(((E$3-(IF(E21="preference",$C$7,0)+IF(E22="preference",$C$8,0)+IF(E23="preference",$C$9,0)+IF(E25="preference",$C$11,0)+IF(E26="preference",$C$12,0)+IF(E27="preference",$C$13,0))))+$B$15*$B$16)/((($B$14+$B$10+(IF(E21="convert",$B$7,0)+IF(E22="convert",$B$8,0)+IF(E23="convert",$B$9,0)+IF(E25="convert",$B$11,0)+IF(E26="convert",$B$12,0)+IF(E27="convert",$B$13,0))))+$B$15),((E$3-(IF(E21="preference",$C$7,0)+IF(E22="preference",$C$8,0)+IF(E23="preference",$C$9,0)+IF(E25="preference",$C$11,0)+IF(E26="preference",$C$12,0)+IF(E27="preference",$C$13,0))))/(($B$14+$B$10+(IF(E21="convert",$B$7,0)+IF(E22="convert",$B$8,0)+IF(E23="convert",$B$9,0)+IF(E25="convert",$B$11,0)+IF(E26="convert",$B$12,0)+IF(E27="convert",$B$13,0))))))*$B$10,"preference","convert")</f>
        <v/>
      </c>
      <c r="F33">
        <f>IF($C$10&gt;(IF((((F$3-(IF(F21="preference",$C$7,0)+IF(F22="preference",$C$8,0)+IF(F23="preference",$C$9,0)+IF(F25="preference",$C$11,0)+IF(F26="preference",$C$12,0)+IF(F27="preference",$C$13,0))))+$B$15*$B$16)/((($B$14+$B$10+(IF(F21="convert",$B$7,0)+IF(F22="convert",$B$8,0)+IF(F23="convert",$B$9,0)+IF(F25="convert",$B$11,0)+IF(F26="convert",$B$12,0)+IF(F27="convert",$B$13,0))))+$B$15)&gt;$B$16,(((F$3-(IF(F21="preference",$C$7,0)+IF(F22="preference",$C$8,0)+IF(F23="preference",$C$9,0)+IF(F25="preference",$C$11,0)+IF(F26="preference",$C$12,0)+IF(F27="preference",$C$13,0))))+$B$15*$B$16)/((($B$14+$B$10+(IF(F21="convert",$B$7,0)+IF(F22="convert",$B$8,0)+IF(F23="convert",$B$9,0)+IF(F25="convert",$B$11,0)+IF(F26="convert",$B$12,0)+IF(F27="convert",$B$13,0))))+$B$15),((F$3-(IF(F21="preference",$C$7,0)+IF(F22="preference",$C$8,0)+IF(F23="preference",$C$9,0)+IF(F25="preference",$C$11,0)+IF(F26="preference",$C$12,0)+IF(F27="preference",$C$13,0))))/(($B$14+$B$10+(IF(F21="convert",$B$7,0)+IF(F22="convert",$B$8,0)+IF(F23="convert",$B$9,0)+IF(F25="convert",$B$11,0)+IF(F26="convert",$B$12,0)+IF(F27="convert",$B$13,0))))))*$B$10,"preference","convert")</f>
        <v/>
      </c>
    </row>
    <row r="34">
      <c r="A34" t="inlineStr">
        <is>
          <t>B</t>
        </is>
      </c>
      <c r="B34">
        <f>IF($C$11&gt;(IF((((B$3-(IF(B21="preference",$C$7,0)+IF(B22="preference",$C$8,0)+IF(B23="preference",$C$9,0)+IF(B24="preference",$C$10,0)+IF(B26="preference",$C$12,0)+IF(B27="preference",$C$13,0))))+$B$15*$B$16)/((($B$14+$B$11+(IF(B21="convert",$B$7,0)+IF(B22="convert",$B$8,0)+IF(B23="convert",$B$9,0)+IF(B24="convert",$B$10,0)+IF(B26="convert",$B$12,0)+IF(B27="convert",$B$13,0))))+$B$15)&gt;$B$16,(((B$3-(IF(B21="preference",$C$7,0)+IF(B22="preference",$C$8,0)+IF(B23="preference",$C$9,0)+IF(B24="preference",$C$10,0)+IF(B26="preference",$C$12,0)+IF(B27="preference",$C$13,0))))+$B$15*$B$16)/((($B$14+$B$11+(IF(B21="convert",$B$7,0)+IF(B22="convert",$B$8,0)+IF(B23="convert",$B$9,0)+IF(B24="convert",$B$10,0)+IF(B26="convert",$B$12,0)+IF(B27="convert",$B$13,0))))+$B$15),((B$3-(IF(B21="preference",$C$7,0)+IF(B22="preference",$C$8,0)+IF(B23="preference",$C$9,0)+IF(B24="preference",$C$10,0)+IF(B26="preference",$C$12,0)+IF(B27="preference",$C$13,0))))/(($B$14+$B$11+(IF(B21="convert",$B$7,0)+IF(B22="convert",$B$8,0)+IF(B23="convert",$B$9,0)+IF(B24="convert",$B$10,0)+IF(B26="convert",$B$12,0)+IF(B27="convert",$B$13,0))))))*$B$11,"preference","convert")</f>
        <v/>
      </c>
      <c r="C34">
        <f>IF($C$11&gt;(IF((((C$3-(IF(C21="preference",$C$7,0)+IF(C22="preference",$C$8,0)+IF(C23="preference",$C$9,0)+IF(C24="preference",$C$10,0)+IF(C26="preference",$C$12,0)+IF(C27="preference",$C$13,0))))+$B$15*$B$16)/((($B$14+$B$11+(IF(C21="convert",$B$7,0)+IF(C22="convert",$B$8,0)+IF(C23="convert",$B$9,0)+IF(C24="convert",$B$10,0)+IF(C26="convert",$B$12,0)+IF(C27="convert",$B$13,0))))+$B$15)&gt;$B$16,(((C$3-(IF(C21="preference",$C$7,0)+IF(C22="preference",$C$8,0)+IF(C23="preference",$C$9,0)+IF(C24="preference",$C$10,0)+IF(C26="preference",$C$12,0)+IF(C27="preference",$C$13,0))))+$B$15*$B$16)/((($B$14+$B$11+(IF(C21="convert",$B$7,0)+IF(C22="convert",$B$8,0)+IF(C23="convert",$B$9,0)+IF(C24="convert",$B$10,0)+IF(C26="convert",$B$12,0)+IF(C27="convert",$B$13,0))))+$B$15),((C$3-(IF(C21="preference",$C$7,0)+IF(C22="preference",$C$8,0)+IF(C23="preference",$C$9,0)+IF(C24="preference",$C$10,0)+IF(C26="preference",$C$12,0)+IF(C27="preference",$C$13,0))))/(($B$14+$B$11+(IF(C21="convert",$B$7,0)+IF(C22="convert",$B$8,0)+IF(C23="convert",$B$9,0)+IF(C24="convert",$B$10,0)+IF(C26="convert",$B$12,0)+IF(C27="convert",$B$13,0))))))*$B$11,"preference","convert")</f>
        <v/>
      </c>
      <c r="D34">
        <f>IF($C$11&gt;(IF((((D$3-(IF(D21="preference",$C$7,0)+IF(D22="preference",$C$8,0)+IF(D23="preference",$C$9,0)+IF(D24="preference",$C$10,0)+IF(D26="preference",$C$12,0)+IF(D27="preference",$C$13,0))))+$B$15*$B$16)/((($B$14+$B$11+(IF(D21="convert",$B$7,0)+IF(D22="convert",$B$8,0)+IF(D23="convert",$B$9,0)+IF(D24="convert",$B$10,0)+IF(D26="convert",$B$12,0)+IF(D27="convert",$B$13,0))))+$B$15)&gt;$B$16,(((D$3-(IF(D21="preference",$C$7,0)+IF(D22="preference",$C$8,0)+IF(D23="preference",$C$9,0)+IF(D24="preference",$C$10,0)+IF(D26="preference",$C$12,0)+IF(D27="preference",$C$13,0))))+$B$15*$B$16)/((($B$14+$B$11+(IF(D21="convert",$B$7,0)+IF(D22="convert",$B$8,0)+IF(D23="convert",$B$9,0)+IF(D24="convert",$B$10,0)+IF(D26="convert",$B$12,0)+IF(D27="convert",$B$13,0))))+$B$15),((D$3-(IF(D21="preference",$C$7,0)+IF(D22="preference",$C$8,0)+IF(D23="preference",$C$9,0)+IF(D24="preference",$C$10,0)+IF(D26="preference",$C$12,0)+IF(D27="preference",$C$13,0))))/(($B$14+$B$11+(IF(D21="convert",$B$7,0)+IF(D22="convert",$B$8,0)+IF(D23="convert",$B$9,0)+IF(D24="convert",$B$10,0)+IF(D26="convert",$B$12,0)+IF(D27="convert",$B$13,0))))))*$B$11,"preference","convert")</f>
        <v/>
      </c>
      <c r="E34">
        <f>IF($C$11&gt;(IF((((E$3-(IF(E21="preference",$C$7,0)+IF(E22="preference",$C$8,0)+IF(E23="preference",$C$9,0)+IF(E24="preference",$C$10,0)+IF(E26="preference",$C$12,0)+IF(E27="preference",$C$13,0))))+$B$15*$B$16)/((($B$14+$B$11+(IF(E21="convert",$B$7,0)+IF(E22="convert",$B$8,0)+IF(E23="convert",$B$9,0)+IF(E24="convert",$B$10,0)+IF(E26="convert",$B$12,0)+IF(E27="convert",$B$13,0))))+$B$15)&gt;$B$16,(((E$3-(IF(E21="preference",$C$7,0)+IF(E22="preference",$C$8,0)+IF(E23="preference",$C$9,0)+IF(E24="preference",$C$10,0)+IF(E26="preference",$C$12,0)+IF(E27="preference",$C$13,0))))+$B$15*$B$16)/((($B$14+$B$11+(IF(E21="convert",$B$7,0)+IF(E22="convert",$B$8,0)+IF(E23="convert",$B$9,0)+IF(E24="convert",$B$10,0)+IF(E26="convert",$B$12,0)+IF(E27="convert",$B$13,0))))+$B$15),((E$3-(IF(E21="preference",$C$7,0)+IF(E22="preference",$C$8,0)+IF(E23="preference",$C$9,0)+IF(E24="preference",$C$10,0)+IF(E26="preference",$C$12,0)+IF(E27="preference",$C$13,0))))/(($B$14+$B$11+(IF(E21="convert",$B$7,0)+IF(E22="convert",$B$8,0)+IF(E23="convert",$B$9,0)+IF(E24="convert",$B$10,0)+IF(E26="convert",$B$12,0)+IF(E27="convert",$B$13,0))))))*$B$11,"preference","convert")</f>
        <v/>
      </c>
      <c r="F34">
        <f>IF($C$11&gt;(IF((((F$3-(IF(F21="preference",$C$7,0)+IF(F22="preference",$C$8,0)+IF(F23="preference",$C$9,0)+IF(F24="preference",$C$10,0)+IF(F26="preference",$C$12,0)+IF(F27="preference",$C$13,0))))+$B$15*$B$16)/((($B$14+$B$11+(IF(F21="convert",$B$7,0)+IF(F22="convert",$B$8,0)+IF(F23="convert",$B$9,0)+IF(F24="convert",$B$10,0)+IF(F26="convert",$B$12,0)+IF(F27="convert",$B$13,0))))+$B$15)&gt;$B$16,(((F$3-(IF(F21="preference",$C$7,0)+IF(F22="preference",$C$8,0)+IF(F23="preference",$C$9,0)+IF(F24="preference",$C$10,0)+IF(F26="preference",$C$12,0)+IF(F27="preference",$C$13,0))))+$B$15*$B$16)/((($B$14+$B$11+(IF(F21="convert",$B$7,0)+IF(F22="convert",$B$8,0)+IF(F23="convert",$B$9,0)+IF(F24="convert",$B$10,0)+IF(F26="convert",$B$12,0)+IF(F27="convert",$B$13,0))))+$B$15),((F$3-(IF(F21="preference",$C$7,0)+IF(F22="preference",$C$8,0)+IF(F23="preference",$C$9,0)+IF(F24="preference",$C$10,0)+IF(F26="preference",$C$12,0)+IF(F27="preference",$C$13,0))))/(($B$14+$B$11+(IF(F21="convert",$B$7,0)+IF(F22="convert",$B$8,0)+IF(F23="convert",$B$9,0)+IF(F24="convert",$B$10,0)+IF(F26="convert",$B$12,0)+IF(F27="convert",$B$13,0))))))*$B$11,"preference","convert")</f>
        <v/>
      </c>
    </row>
    <row r="35">
      <c r="A35" t="inlineStr">
        <is>
          <t>A</t>
        </is>
      </c>
      <c r="B35">
        <f>IF($C$12&gt;(IF((((B$3-(IF(B21="preference",$C$7,0)+IF(B22="preference",$C$8,0)+IF(B23="preference",$C$9,0)+IF(B24="preference",$C$10,0)+IF(B25="preference",$C$11,0)+IF(B27="preference",$C$13,0))))+$B$15*$B$16)/((($B$14+$B$12+(IF(B21="convert",$B$7,0)+IF(B22="convert",$B$8,0)+IF(B23="convert",$B$9,0)+IF(B24="convert",$B$10,0)+IF(B25="convert",$B$11,0)+IF(B27="convert",$B$13,0))))+$B$15)&gt;$B$16,(((B$3-(IF(B21="preference",$C$7,0)+IF(B22="preference",$C$8,0)+IF(B23="preference",$C$9,0)+IF(B24="preference",$C$10,0)+IF(B25="preference",$C$11,0)+IF(B27="preference",$C$13,0))))+$B$15*$B$16)/((($B$14+$B$12+(IF(B21="convert",$B$7,0)+IF(B22="convert",$B$8,0)+IF(B23="convert",$B$9,0)+IF(B24="convert",$B$10,0)+IF(B25="convert",$B$11,0)+IF(B27="convert",$B$13,0))))+$B$15),((B$3-(IF(B21="preference",$C$7,0)+IF(B22="preference",$C$8,0)+IF(B23="preference",$C$9,0)+IF(B24="preference",$C$10,0)+IF(B25="preference",$C$11,0)+IF(B27="preference",$C$13,0))))/(($B$14+$B$12+(IF(B21="convert",$B$7,0)+IF(B22="convert",$B$8,0)+IF(B23="convert",$B$9,0)+IF(B24="convert",$B$10,0)+IF(B25="convert",$B$11,0)+IF(B27="convert",$B$13,0))))))*$B$12,"preference","convert")</f>
        <v/>
      </c>
      <c r="C35">
        <f>IF($C$12&gt;(IF((((C$3-(IF(C21="preference",$C$7,0)+IF(C22="preference",$C$8,0)+IF(C23="preference",$C$9,0)+IF(C24="preference",$C$10,0)+IF(C25="preference",$C$11,0)+IF(C27="preference",$C$13,0))))+$B$15*$B$16)/((($B$14+$B$12+(IF(C21="convert",$B$7,0)+IF(C22="convert",$B$8,0)+IF(C23="convert",$B$9,0)+IF(C24="convert",$B$10,0)+IF(C25="convert",$B$11,0)+IF(C27="convert",$B$13,0))))+$B$15)&gt;$B$16,(((C$3-(IF(C21="preference",$C$7,0)+IF(C22="preference",$C$8,0)+IF(C23="preference",$C$9,0)+IF(C24="preference",$C$10,0)+IF(C25="preference",$C$11,0)+IF(C27="preference",$C$13,0))))+$B$15*$B$16)/((($B$14+$B$12+(IF(C21="convert",$B$7,0)+IF(C22="convert",$B$8,0)+IF(C23="convert",$B$9,0)+IF(C24="convert",$B$10,0)+IF(C25="convert",$B$11,0)+IF(C27="convert",$B$13,0))))+$B$15),((C$3-(IF(C21="preference",$C$7,0)+IF(C22="preference",$C$8,0)+IF(C23="preference",$C$9,0)+IF(C24="preference",$C$10,0)+IF(C25="preference",$C$11,0)+IF(C27="preference",$C$13,0))))/(($B$14+$B$12+(IF(C21="convert",$B$7,0)+IF(C22="convert",$B$8,0)+IF(C23="convert",$B$9,0)+IF(C24="convert",$B$10,0)+IF(C25="convert",$B$11,0)+IF(C27="convert",$B$13,0))))))*$B$12,"preference","convert")</f>
        <v/>
      </c>
      <c r="D35">
        <f>IF($C$12&gt;(IF((((D$3-(IF(D21="preference",$C$7,0)+IF(D22="preference",$C$8,0)+IF(D23="preference",$C$9,0)+IF(D24="preference",$C$10,0)+IF(D25="preference",$C$11,0)+IF(D27="preference",$C$13,0))))+$B$15*$B$16)/((($B$14+$B$12+(IF(D21="convert",$B$7,0)+IF(D22="convert",$B$8,0)+IF(D23="convert",$B$9,0)+IF(D24="convert",$B$10,0)+IF(D25="convert",$B$11,0)+IF(D27="convert",$B$13,0))))+$B$15)&gt;$B$16,(((D$3-(IF(D21="preference",$C$7,0)+IF(D22="preference",$C$8,0)+IF(D23="preference",$C$9,0)+IF(D24="preference",$C$10,0)+IF(D25="preference",$C$11,0)+IF(D27="preference",$C$13,0))))+$B$15*$B$16)/((($B$14+$B$12+(IF(D21="convert",$B$7,0)+IF(D22="convert",$B$8,0)+IF(D23="convert",$B$9,0)+IF(D24="convert",$B$10,0)+IF(D25="convert",$B$11,0)+IF(D27="convert",$B$13,0))))+$B$15),((D$3-(IF(D21="preference",$C$7,0)+IF(D22="preference",$C$8,0)+IF(D23="preference",$C$9,0)+IF(D24="preference",$C$10,0)+IF(D25="preference",$C$11,0)+IF(D27="preference",$C$13,0))))/(($B$14+$B$12+(IF(D21="convert",$B$7,0)+IF(D22="convert",$B$8,0)+IF(D23="convert",$B$9,0)+IF(D24="convert",$B$10,0)+IF(D25="convert",$B$11,0)+IF(D27="convert",$B$13,0))))))*$B$12,"preference","convert")</f>
        <v/>
      </c>
      <c r="E35">
        <f>IF($C$12&gt;(IF((((E$3-(IF(E21="preference",$C$7,0)+IF(E22="preference",$C$8,0)+IF(E23="preference",$C$9,0)+IF(E24="preference",$C$10,0)+IF(E25="preference",$C$11,0)+IF(E27="preference",$C$13,0))))+$B$15*$B$16)/((($B$14+$B$12+(IF(E21="convert",$B$7,0)+IF(E22="convert",$B$8,0)+IF(E23="convert",$B$9,0)+IF(E24="convert",$B$10,0)+IF(E25="convert",$B$11,0)+IF(E27="convert",$B$13,0))))+$B$15)&gt;$B$16,(((E$3-(IF(E21="preference",$C$7,0)+IF(E22="preference",$C$8,0)+IF(E23="preference",$C$9,0)+IF(E24="preference",$C$10,0)+IF(E25="preference",$C$11,0)+IF(E27="preference",$C$13,0))))+$B$15*$B$16)/((($B$14+$B$12+(IF(E21="convert",$B$7,0)+IF(E22="convert",$B$8,0)+IF(E23="convert",$B$9,0)+IF(E24="convert",$B$10,0)+IF(E25="convert",$B$11,0)+IF(E27="convert",$B$13,0))))+$B$15),((E$3-(IF(E21="preference",$C$7,0)+IF(E22="preference",$C$8,0)+IF(E23="preference",$C$9,0)+IF(E24="preference",$C$10,0)+IF(E25="preference",$C$11,0)+IF(E27="preference",$C$13,0))))/(($B$14+$B$12+(IF(E21="convert",$B$7,0)+IF(E22="convert",$B$8,0)+IF(E23="convert",$B$9,0)+IF(E24="convert",$B$10,0)+IF(E25="convert",$B$11,0)+IF(E27="convert",$B$13,0))))))*$B$12,"preference","convert")</f>
        <v/>
      </c>
      <c r="F35">
        <f>IF($C$12&gt;(IF((((F$3-(IF(F21="preference",$C$7,0)+IF(F22="preference",$C$8,0)+IF(F23="preference",$C$9,0)+IF(F24="preference",$C$10,0)+IF(F25="preference",$C$11,0)+IF(F27="preference",$C$13,0))))+$B$15*$B$16)/((($B$14+$B$12+(IF(F21="convert",$B$7,0)+IF(F22="convert",$B$8,0)+IF(F23="convert",$B$9,0)+IF(F24="convert",$B$10,0)+IF(F25="convert",$B$11,0)+IF(F27="convert",$B$13,0))))+$B$15)&gt;$B$16,(((F$3-(IF(F21="preference",$C$7,0)+IF(F22="preference",$C$8,0)+IF(F23="preference",$C$9,0)+IF(F24="preference",$C$10,0)+IF(F25="preference",$C$11,0)+IF(F27="preference",$C$13,0))))+$B$15*$B$16)/((($B$14+$B$12+(IF(F21="convert",$B$7,0)+IF(F22="convert",$B$8,0)+IF(F23="convert",$B$9,0)+IF(F24="convert",$B$10,0)+IF(F25="convert",$B$11,0)+IF(F27="convert",$B$13,0))))+$B$15),((F$3-(IF(F21="preference",$C$7,0)+IF(F22="preference",$C$8,0)+IF(F23="preference",$C$9,0)+IF(F24="preference",$C$10,0)+IF(F25="preference",$C$11,0)+IF(F27="preference",$C$13,0))))/(($B$14+$B$12+(IF(F21="convert",$B$7,0)+IF(F22="convert",$B$8,0)+IF(F23="convert",$B$9,0)+IF(F24="convert",$B$10,0)+IF(F25="convert",$B$11,0)+IF(F27="convert",$B$13,0))))))*$B$12,"preference","convert")</f>
        <v/>
      </c>
    </row>
    <row r="36">
      <c r="A36" t="inlineStr">
        <is>
          <t>Seed</t>
        </is>
      </c>
      <c r="B36">
        <f>IF($C$13&gt;(IF((((B$3-(IF(B21="preference",$C$7,0)+IF(B22="preference",$C$8,0)+IF(B23="preference",$C$9,0)+IF(B24="preference",$C$10,0)+IF(B25="preference",$C$11,0)+IF(B26="preference",$C$12,0))))+$B$15*$B$16)/((($B$14+$B$13+(IF(B21="convert",$B$7,0)+IF(B22="convert",$B$8,0)+IF(B23="convert",$B$9,0)+IF(B24="convert",$B$10,0)+IF(B25="convert",$B$11,0)+IF(B26="convert",$B$12,0))))+$B$15)&gt;$B$16,(((B$3-(IF(B21="preference",$C$7,0)+IF(B22="preference",$C$8,0)+IF(B23="preference",$C$9,0)+IF(B24="preference",$C$10,0)+IF(B25="preference",$C$11,0)+IF(B26="preference",$C$12,0))))+$B$15*$B$16)/((($B$14+$B$13+(IF(B21="convert",$B$7,0)+IF(B22="convert",$B$8,0)+IF(B23="convert",$B$9,0)+IF(B24="convert",$B$10,0)+IF(B25="convert",$B$11,0)+IF(B26="convert",$B$12,0))))+$B$15),((B$3-(IF(B21="preference",$C$7,0)+IF(B22="preference",$C$8,0)+IF(B23="preference",$C$9,0)+IF(B24="preference",$C$10,0)+IF(B25="preference",$C$11,0)+IF(B26="preference",$C$12,0))))/(($B$14+$B$13+(IF(B21="convert",$B$7,0)+IF(B22="convert",$B$8,0)+IF(B23="convert",$B$9,0)+IF(B24="convert",$B$10,0)+IF(B25="convert",$B$11,0)+IF(B26="convert",$B$12,0))))))*$B$13,"preference","convert")</f>
        <v/>
      </c>
      <c r="C36">
        <f>IF($C$13&gt;(IF((((C$3-(IF(C21="preference",$C$7,0)+IF(C22="preference",$C$8,0)+IF(C23="preference",$C$9,0)+IF(C24="preference",$C$10,0)+IF(C25="preference",$C$11,0)+IF(C26="preference",$C$12,0))))+$B$15*$B$16)/((($B$14+$B$13+(IF(C21="convert",$B$7,0)+IF(C22="convert",$B$8,0)+IF(C23="convert",$B$9,0)+IF(C24="convert",$B$10,0)+IF(C25="convert",$B$11,0)+IF(C26="convert",$B$12,0))))+$B$15)&gt;$B$16,(((C$3-(IF(C21="preference",$C$7,0)+IF(C22="preference",$C$8,0)+IF(C23="preference",$C$9,0)+IF(C24="preference",$C$10,0)+IF(C25="preference",$C$11,0)+IF(C26="preference",$C$12,0))))+$B$15*$B$16)/((($B$14+$B$13+(IF(C21="convert",$B$7,0)+IF(C22="convert",$B$8,0)+IF(C23="convert",$B$9,0)+IF(C24="convert",$B$10,0)+IF(C25="convert",$B$11,0)+IF(C26="convert",$B$12,0))))+$B$15),((C$3-(IF(C21="preference",$C$7,0)+IF(C22="preference",$C$8,0)+IF(C23="preference",$C$9,0)+IF(C24="preference",$C$10,0)+IF(C25="preference",$C$11,0)+IF(C26="preference",$C$12,0))))/(($B$14+$B$13+(IF(C21="convert",$B$7,0)+IF(C22="convert",$B$8,0)+IF(C23="convert",$B$9,0)+IF(C24="convert",$B$10,0)+IF(C25="convert",$B$11,0)+IF(C26="convert",$B$12,0))))))*$B$13,"preference","convert")</f>
        <v/>
      </c>
      <c r="D36">
        <f>IF($C$13&gt;(IF((((D$3-(IF(D21="preference",$C$7,0)+IF(D22="preference",$C$8,0)+IF(D23="preference",$C$9,0)+IF(D24="preference",$C$10,0)+IF(D25="preference",$C$11,0)+IF(D26="preference",$C$12,0))))+$B$15*$B$16)/((($B$14+$B$13+(IF(D21="convert",$B$7,0)+IF(D22="convert",$B$8,0)+IF(D23="convert",$B$9,0)+IF(D24="convert",$B$10,0)+IF(D25="convert",$B$11,0)+IF(D26="convert",$B$12,0))))+$B$15)&gt;$B$16,(((D$3-(IF(D21="preference",$C$7,0)+IF(D22="preference",$C$8,0)+IF(D23="preference",$C$9,0)+IF(D24="preference",$C$10,0)+IF(D25="preference",$C$11,0)+IF(D26="preference",$C$12,0))))+$B$15*$B$16)/((($B$14+$B$13+(IF(D21="convert",$B$7,0)+IF(D22="convert",$B$8,0)+IF(D23="convert",$B$9,0)+IF(D24="convert",$B$10,0)+IF(D25="convert",$B$11,0)+IF(D26="convert",$B$12,0))))+$B$15),((D$3-(IF(D21="preference",$C$7,0)+IF(D22="preference",$C$8,0)+IF(D23="preference",$C$9,0)+IF(D24="preference",$C$10,0)+IF(D25="preference",$C$11,0)+IF(D26="preference",$C$12,0))))/(($B$14+$B$13+(IF(D21="convert",$B$7,0)+IF(D22="convert",$B$8,0)+IF(D23="convert",$B$9,0)+IF(D24="convert",$B$10,0)+IF(D25="convert",$B$11,0)+IF(D26="convert",$B$12,0))))))*$B$13,"preference","convert")</f>
        <v/>
      </c>
      <c r="E36">
        <f>IF($C$13&gt;(IF((((E$3-(IF(E21="preference",$C$7,0)+IF(E22="preference",$C$8,0)+IF(E23="preference",$C$9,0)+IF(E24="preference",$C$10,0)+IF(E25="preference",$C$11,0)+IF(E26="preference",$C$12,0))))+$B$15*$B$16)/((($B$14+$B$13+(IF(E21="convert",$B$7,0)+IF(E22="convert",$B$8,0)+IF(E23="convert",$B$9,0)+IF(E24="convert",$B$10,0)+IF(E25="convert",$B$11,0)+IF(E26="convert",$B$12,0))))+$B$15)&gt;$B$16,(((E$3-(IF(E21="preference",$C$7,0)+IF(E22="preference",$C$8,0)+IF(E23="preference",$C$9,0)+IF(E24="preference",$C$10,0)+IF(E25="preference",$C$11,0)+IF(E26="preference",$C$12,0))))+$B$15*$B$16)/((($B$14+$B$13+(IF(E21="convert",$B$7,0)+IF(E22="convert",$B$8,0)+IF(E23="convert",$B$9,0)+IF(E24="convert",$B$10,0)+IF(E25="convert",$B$11,0)+IF(E26="convert",$B$12,0))))+$B$15),((E$3-(IF(E21="preference",$C$7,0)+IF(E22="preference",$C$8,0)+IF(E23="preference",$C$9,0)+IF(E24="preference",$C$10,0)+IF(E25="preference",$C$11,0)+IF(E26="preference",$C$12,0))))/(($B$14+$B$13+(IF(E21="convert",$B$7,0)+IF(E22="convert",$B$8,0)+IF(E23="convert",$B$9,0)+IF(E24="convert",$B$10,0)+IF(E25="convert",$B$11,0)+IF(E26="convert",$B$12,0))))))*$B$13,"preference","convert")</f>
        <v/>
      </c>
      <c r="F36">
        <f>IF($C$13&gt;(IF((((F$3-(IF(F21="preference",$C$7,0)+IF(F22="preference",$C$8,0)+IF(F23="preference",$C$9,0)+IF(F24="preference",$C$10,0)+IF(F25="preference",$C$11,0)+IF(F26="preference",$C$12,0))))+$B$15*$B$16)/((($B$14+$B$13+(IF(F21="convert",$B$7,0)+IF(F22="convert",$B$8,0)+IF(F23="convert",$B$9,0)+IF(F24="convert",$B$10,0)+IF(F25="convert",$B$11,0)+IF(F26="convert",$B$12,0))))+$B$15)&gt;$B$16,(((F$3-(IF(F21="preference",$C$7,0)+IF(F22="preference",$C$8,0)+IF(F23="preference",$C$9,0)+IF(F24="preference",$C$10,0)+IF(F25="preference",$C$11,0)+IF(F26="preference",$C$12,0))))+$B$15*$B$16)/((($B$14+$B$13+(IF(F21="convert",$B$7,0)+IF(F22="convert",$B$8,0)+IF(F23="convert",$B$9,0)+IF(F24="convert",$B$10,0)+IF(F25="convert",$B$11,0)+IF(F26="convert",$B$12,0))))+$B$15),((F$3-(IF(F21="preference",$C$7,0)+IF(F22="preference",$C$8,0)+IF(F23="preference",$C$9,0)+IF(F24="preference",$C$10,0)+IF(F25="preference",$C$11,0)+IF(F26="preference",$C$12,0))))/(($B$14+$B$13+(IF(F21="convert",$B$7,0)+IF(F22="convert",$B$8,0)+IF(F23="convert",$B$9,0)+IF(F24="convert",$B$10,0)+IF(F25="convert",$B$11,0)+IF(F26="convert",$B$12,0))))))*$B$13,"preference","convert")</f>
        <v/>
      </c>
    </row>
    <row r="37">
      <c r="A37" s="13" t="inlineStr">
        <is>
          <t>PASS 3 ELECTIONS (best-response to Pass 2)</t>
        </is>
      </c>
    </row>
    <row r="38">
      <c r="A38" s="5" t="inlineStr">
        <is>
          <t>Class</t>
        </is>
      </c>
      <c r="B38" s="5">
        <f>Assumptions!$B$7</f>
        <v/>
      </c>
      <c r="C38" s="5">
        <f>Assumptions!$B$8</f>
        <v/>
      </c>
      <c r="D38" s="5">
        <f>Assumptions!$B$9</f>
        <v/>
      </c>
      <c r="E38" s="5">
        <f>Assumptions!$B$10</f>
        <v/>
      </c>
      <c r="F38" s="5">
        <f>Assumptions!$B$11</f>
        <v/>
      </c>
    </row>
    <row r="39">
      <c r="A39" t="inlineStr">
        <is>
          <t>F</t>
        </is>
      </c>
      <c r="B39">
        <f>IF($C$7&gt;(IF((((B$3-(IF(B31="preference",$C$8,0)+IF(B32="preference",$C$9,0)+IF(B33="preference",$C$10,0)+IF(B34="preference",$C$11,0)+IF(B35="preference",$C$12,0)+IF(B36="preference",$C$13,0))))+$B$15*$B$16)/((($B$14+$B$7+(IF(B31="convert",$B$8,0)+IF(B32="convert",$B$9,0)+IF(B33="convert",$B$10,0)+IF(B34="convert",$B$11,0)+IF(B35="convert",$B$12,0)+IF(B36="convert",$B$13,0))))+$B$15)&gt;$B$16,(((B$3-(IF(B31="preference",$C$8,0)+IF(B32="preference",$C$9,0)+IF(B33="preference",$C$10,0)+IF(B34="preference",$C$11,0)+IF(B35="preference",$C$12,0)+IF(B36="preference",$C$13,0))))+$B$15*$B$16)/((($B$14+$B$7+(IF(B31="convert",$B$8,0)+IF(B32="convert",$B$9,0)+IF(B33="convert",$B$10,0)+IF(B34="convert",$B$11,0)+IF(B35="convert",$B$12,0)+IF(B36="convert",$B$13,0))))+$B$15),((B$3-(IF(B31="preference",$C$8,0)+IF(B32="preference",$C$9,0)+IF(B33="preference",$C$10,0)+IF(B34="preference",$C$11,0)+IF(B35="preference",$C$12,0)+IF(B36="preference",$C$13,0))))/(($B$14+$B$7+(IF(B31="convert",$B$8,0)+IF(B32="convert",$B$9,0)+IF(B33="convert",$B$10,0)+IF(B34="convert",$B$11,0)+IF(B35="convert",$B$12,0)+IF(B36="convert",$B$13,0))))))*$B$7,"preference","convert")</f>
        <v/>
      </c>
      <c r="C39">
        <f>IF($C$7&gt;(IF((((C$3-(IF(C31="preference",$C$8,0)+IF(C32="preference",$C$9,0)+IF(C33="preference",$C$10,0)+IF(C34="preference",$C$11,0)+IF(C35="preference",$C$12,0)+IF(C36="preference",$C$13,0))))+$B$15*$B$16)/((($B$14+$B$7+(IF(C31="convert",$B$8,0)+IF(C32="convert",$B$9,0)+IF(C33="convert",$B$10,0)+IF(C34="convert",$B$11,0)+IF(C35="convert",$B$12,0)+IF(C36="convert",$B$13,0))))+$B$15)&gt;$B$16,(((C$3-(IF(C31="preference",$C$8,0)+IF(C32="preference",$C$9,0)+IF(C33="preference",$C$10,0)+IF(C34="preference",$C$11,0)+IF(C35="preference",$C$12,0)+IF(C36="preference",$C$13,0))))+$B$15*$B$16)/((($B$14+$B$7+(IF(C31="convert",$B$8,0)+IF(C32="convert",$B$9,0)+IF(C33="convert",$B$10,0)+IF(C34="convert",$B$11,0)+IF(C35="convert",$B$12,0)+IF(C36="convert",$B$13,0))))+$B$15),((C$3-(IF(C31="preference",$C$8,0)+IF(C32="preference",$C$9,0)+IF(C33="preference",$C$10,0)+IF(C34="preference",$C$11,0)+IF(C35="preference",$C$12,0)+IF(C36="preference",$C$13,0))))/(($B$14+$B$7+(IF(C31="convert",$B$8,0)+IF(C32="convert",$B$9,0)+IF(C33="convert",$B$10,0)+IF(C34="convert",$B$11,0)+IF(C35="convert",$B$12,0)+IF(C36="convert",$B$13,0))))))*$B$7,"preference","convert")</f>
        <v/>
      </c>
      <c r="D39">
        <f>IF($C$7&gt;(IF((((D$3-(IF(D31="preference",$C$8,0)+IF(D32="preference",$C$9,0)+IF(D33="preference",$C$10,0)+IF(D34="preference",$C$11,0)+IF(D35="preference",$C$12,0)+IF(D36="preference",$C$13,0))))+$B$15*$B$16)/((($B$14+$B$7+(IF(D31="convert",$B$8,0)+IF(D32="convert",$B$9,0)+IF(D33="convert",$B$10,0)+IF(D34="convert",$B$11,0)+IF(D35="convert",$B$12,0)+IF(D36="convert",$B$13,0))))+$B$15)&gt;$B$16,(((D$3-(IF(D31="preference",$C$8,0)+IF(D32="preference",$C$9,0)+IF(D33="preference",$C$10,0)+IF(D34="preference",$C$11,0)+IF(D35="preference",$C$12,0)+IF(D36="preference",$C$13,0))))+$B$15*$B$16)/((($B$14+$B$7+(IF(D31="convert",$B$8,0)+IF(D32="convert",$B$9,0)+IF(D33="convert",$B$10,0)+IF(D34="convert",$B$11,0)+IF(D35="convert",$B$12,0)+IF(D36="convert",$B$13,0))))+$B$15),((D$3-(IF(D31="preference",$C$8,0)+IF(D32="preference",$C$9,0)+IF(D33="preference",$C$10,0)+IF(D34="preference",$C$11,0)+IF(D35="preference",$C$12,0)+IF(D36="preference",$C$13,0))))/(($B$14+$B$7+(IF(D31="convert",$B$8,0)+IF(D32="convert",$B$9,0)+IF(D33="convert",$B$10,0)+IF(D34="convert",$B$11,0)+IF(D35="convert",$B$12,0)+IF(D36="convert",$B$13,0))))))*$B$7,"preference","convert")</f>
        <v/>
      </c>
      <c r="E39">
        <f>IF($C$7&gt;(IF((((E$3-(IF(E31="preference",$C$8,0)+IF(E32="preference",$C$9,0)+IF(E33="preference",$C$10,0)+IF(E34="preference",$C$11,0)+IF(E35="preference",$C$12,0)+IF(E36="preference",$C$13,0))))+$B$15*$B$16)/((($B$14+$B$7+(IF(E31="convert",$B$8,0)+IF(E32="convert",$B$9,0)+IF(E33="convert",$B$10,0)+IF(E34="convert",$B$11,0)+IF(E35="convert",$B$12,0)+IF(E36="convert",$B$13,0))))+$B$15)&gt;$B$16,(((E$3-(IF(E31="preference",$C$8,0)+IF(E32="preference",$C$9,0)+IF(E33="preference",$C$10,0)+IF(E34="preference",$C$11,0)+IF(E35="preference",$C$12,0)+IF(E36="preference",$C$13,0))))+$B$15*$B$16)/((($B$14+$B$7+(IF(E31="convert",$B$8,0)+IF(E32="convert",$B$9,0)+IF(E33="convert",$B$10,0)+IF(E34="convert",$B$11,0)+IF(E35="convert",$B$12,0)+IF(E36="convert",$B$13,0))))+$B$15),((E$3-(IF(E31="preference",$C$8,0)+IF(E32="preference",$C$9,0)+IF(E33="preference",$C$10,0)+IF(E34="preference",$C$11,0)+IF(E35="preference",$C$12,0)+IF(E36="preference",$C$13,0))))/(($B$14+$B$7+(IF(E31="convert",$B$8,0)+IF(E32="convert",$B$9,0)+IF(E33="convert",$B$10,0)+IF(E34="convert",$B$11,0)+IF(E35="convert",$B$12,0)+IF(E36="convert",$B$13,0))))))*$B$7,"preference","convert")</f>
        <v/>
      </c>
      <c r="F39">
        <f>IF($C$7&gt;(IF((((F$3-(IF(F31="preference",$C$8,0)+IF(F32="preference",$C$9,0)+IF(F33="preference",$C$10,0)+IF(F34="preference",$C$11,0)+IF(F35="preference",$C$12,0)+IF(F36="preference",$C$13,0))))+$B$15*$B$16)/((($B$14+$B$7+(IF(F31="convert",$B$8,0)+IF(F32="convert",$B$9,0)+IF(F33="convert",$B$10,0)+IF(F34="convert",$B$11,0)+IF(F35="convert",$B$12,0)+IF(F36="convert",$B$13,0))))+$B$15)&gt;$B$16,(((F$3-(IF(F31="preference",$C$8,0)+IF(F32="preference",$C$9,0)+IF(F33="preference",$C$10,0)+IF(F34="preference",$C$11,0)+IF(F35="preference",$C$12,0)+IF(F36="preference",$C$13,0))))+$B$15*$B$16)/((($B$14+$B$7+(IF(F31="convert",$B$8,0)+IF(F32="convert",$B$9,0)+IF(F33="convert",$B$10,0)+IF(F34="convert",$B$11,0)+IF(F35="convert",$B$12,0)+IF(F36="convert",$B$13,0))))+$B$15),((F$3-(IF(F31="preference",$C$8,0)+IF(F32="preference",$C$9,0)+IF(F33="preference",$C$10,0)+IF(F34="preference",$C$11,0)+IF(F35="preference",$C$12,0)+IF(F36="preference",$C$13,0))))/(($B$14+$B$7+(IF(F31="convert",$B$8,0)+IF(F32="convert",$B$9,0)+IF(F33="convert",$B$10,0)+IF(F34="convert",$B$11,0)+IF(F35="convert",$B$12,0)+IF(F36="convert",$B$13,0))))))*$B$7,"preference","convert")</f>
        <v/>
      </c>
    </row>
    <row r="40">
      <c r="A40" t="inlineStr">
        <is>
          <t>E</t>
        </is>
      </c>
      <c r="B40">
        <f>IF($C$8&gt;(IF((((B$3-(IF(B30="preference",$C$7,0)+IF(B32="preference",$C$9,0)+IF(B33="preference",$C$10,0)+IF(B34="preference",$C$11,0)+IF(B35="preference",$C$12,0)+IF(B36="preference",$C$13,0))))+$B$15*$B$16)/((($B$14+$B$8+(IF(B30="convert",$B$7,0)+IF(B32="convert",$B$9,0)+IF(B33="convert",$B$10,0)+IF(B34="convert",$B$11,0)+IF(B35="convert",$B$12,0)+IF(B36="convert",$B$13,0))))+$B$15)&gt;$B$16,(((B$3-(IF(B30="preference",$C$7,0)+IF(B32="preference",$C$9,0)+IF(B33="preference",$C$10,0)+IF(B34="preference",$C$11,0)+IF(B35="preference",$C$12,0)+IF(B36="preference",$C$13,0))))+$B$15*$B$16)/((($B$14+$B$8+(IF(B30="convert",$B$7,0)+IF(B32="convert",$B$9,0)+IF(B33="convert",$B$10,0)+IF(B34="convert",$B$11,0)+IF(B35="convert",$B$12,0)+IF(B36="convert",$B$13,0))))+$B$15),((B$3-(IF(B30="preference",$C$7,0)+IF(B32="preference",$C$9,0)+IF(B33="preference",$C$10,0)+IF(B34="preference",$C$11,0)+IF(B35="preference",$C$12,0)+IF(B36="preference",$C$13,0))))/(($B$14+$B$8+(IF(B30="convert",$B$7,0)+IF(B32="convert",$B$9,0)+IF(B33="convert",$B$10,0)+IF(B34="convert",$B$11,0)+IF(B35="convert",$B$12,0)+IF(B36="convert",$B$13,0))))))*$B$8,"preference","convert")</f>
        <v/>
      </c>
      <c r="C40">
        <f>IF($C$8&gt;(IF((((C$3-(IF(C30="preference",$C$7,0)+IF(C32="preference",$C$9,0)+IF(C33="preference",$C$10,0)+IF(C34="preference",$C$11,0)+IF(C35="preference",$C$12,0)+IF(C36="preference",$C$13,0))))+$B$15*$B$16)/((($B$14+$B$8+(IF(C30="convert",$B$7,0)+IF(C32="convert",$B$9,0)+IF(C33="convert",$B$10,0)+IF(C34="convert",$B$11,0)+IF(C35="convert",$B$12,0)+IF(C36="convert",$B$13,0))))+$B$15)&gt;$B$16,(((C$3-(IF(C30="preference",$C$7,0)+IF(C32="preference",$C$9,0)+IF(C33="preference",$C$10,0)+IF(C34="preference",$C$11,0)+IF(C35="preference",$C$12,0)+IF(C36="preference",$C$13,0))))+$B$15*$B$16)/((($B$14+$B$8+(IF(C30="convert",$B$7,0)+IF(C32="convert",$B$9,0)+IF(C33="convert",$B$10,0)+IF(C34="convert",$B$11,0)+IF(C35="convert",$B$12,0)+IF(C36="convert",$B$13,0))))+$B$15),((C$3-(IF(C30="preference",$C$7,0)+IF(C32="preference",$C$9,0)+IF(C33="preference",$C$10,0)+IF(C34="preference",$C$11,0)+IF(C35="preference",$C$12,0)+IF(C36="preference",$C$13,0))))/(($B$14+$B$8+(IF(C30="convert",$B$7,0)+IF(C32="convert",$B$9,0)+IF(C33="convert",$B$10,0)+IF(C34="convert",$B$11,0)+IF(C35="convert",$B$12,0)+IF(C36="convert",$B$13,0))))))*$B$8,"preference","convert")</f>
        <v/>
      </c>
      <c r="D40">
        <f>IF($C$8&gt;(IF((((D$3-(IF(D30="preference",$C$7,0)+IF(D32="preference",$C$9,0)+IF(D33="preference",$C$10,0)+IF(D34="preference",$C$11,0)+IF(D35="preference",$C$12,0)+IF(D36="preference",$C$13,0))))+$B$15*$B$16)/((($B$14+$B$8+(IF(D30="convert",$B$7,0)+IF(D32="convert",$B$9,0)+IF(D33="convert",$B$10,0)+IF(D34="convert",$B$11,0)+IF(D35="convert",$B$12,0)+IF(D36="convert",$B$13,0))))+$B$15)&gt;$B$16,(((D$3-(IF(D30="preference",$C$7,0)+IF(D32="preference",$C$9,0)+IF(D33="preference",$C$10,0)+IF(D34="preference",$C$11,0)+IF(D35="preference",$C$12,0)+IF(D36="preference",$C$13,0))))+$B$15*$B$16)/((($B$14+$B$8+(IF(D30="convert",$B$7,0)+IF(D32="convert",$B$9,0)+IF(D33="convert",$B$10,0)+IF(D34="convert",$B$11,0)+IF(D35="convert",$B$12,0)+IF(D36="convert",$B$13,0))))+$B$15),((D$3-(IF(D30="preference",$C$7,0)+IF(D32="preference",$C$9,0)+IF(D33="preference",$C$10,0)+IF(D34="preference",$C$11,0)+IF(D35="preference",$C$12,0)+IF(D36="preference",$C$13,0))))/(($B$14+$B$8+(IF(D30="convert",$B$7,0)+IF(D32="convert",$B$9,0)+IF(D33="convert",$B$10,0)+IF(D34="convert",$B$11,0)+IF(D35="convert",$B$12,0)+IF(D36="convert",$B$13,0))))))*$B$8,"preference","convert")</f>
        <v/>
      </c>
      <c r="E40">
        <f>IF($C$8&gt;(IF((((E$3-(IF(E30="preference",$C$7,0)+IF(E32="preference",$C$9,0)+IF(E33="preference",$C$10,0)+IF(E34="preference",$C$11,0)+IF(E35="preference",$C$12,0)+IF(E36="preference",$C$13,0))))+$B$15*$B$16)/((($B$14+$B$8+(IF(E30="convert",$B$7,0)+IF(E32="convert",$B$9,0)+IF(E33="convert",$B$10,0)+IF(E34="convert",$B$11,0)+IF(E35="convert",$B$12,0)+IF(E36="convert",$B$13,0))))+$B$15)&gt;$B$16,(((E$3-(IF(E30="preference",$C$7,0)+IF(E32="preference",$C$9,0)+IF(E33="preference",$C$10,0)+IF(E34="preference",$C$11,0)+IF(E35="preference",$C$12,0)+IF(E36="preference",$C$13,0))))+$B$15*$B$16)/((($B$14+$B$8+(IF(E30="convert",$B$7,0)+IF(E32="convert",$B$9,0)+IF(E33="convert",$B$10,0)+IF(E34="convert",$B$11,0)+IF(E35="convert",$B$12,0)+IF(E36="convert",$B$13,0))))+$B$15),((E$3-(IF(E30="preference",$C$7,0)+IF(E32="preference",$C$9,0)+IF(E33="preference",$C$10,0)+IF(E34="preference",$C$11,0)+IF(E35="preference",$C$12,0)+IF(E36="preference",$C$13,0))))/(($B$14+$B$8+(IF(E30="convert",$B$7,0)+IF(E32="convert",$B$9,0)+IF(E33="convert",$B$10,0)+IF(E34="convert",$B$11,0)+IF(E35="convert",$B$12,0)+IF(E36="convert",$B$13,0))))))*$B$8,"preference","convert")</f>
        <v/>
      </c>
      <c r="F40">
        <f>IF($C$8&gt;(IF((((F$3-(IF(F30="preference",$C$7,0)+IF(F32="preference",$C$9,0)+IF(F33="preference",$C$10,0)+IF(F34="preference",$C$11,0)+IF(F35="preference",$C$12,0)+IF(F36="preference",$C$13,0))))+$B$15*$B$16)/((($B$14+$B$8+(IF(F30="convert",$B$7,0)+IF(F32="convert",$B$9,0)+IF(F33="convert",$B$10,0)+IF(F34="convert",$B$11,0)+IF(F35="convert",$B$12,0)+IF(F36="convert",$B$13,0))))+$B$15)&gt;$B$16,(((F$3-(IF(F30="preference",$C$7,0)+IF(F32="preference",$C$9,0)+IF(F33="preference",$C$10,0)+IF(F34="preference",$C$11,0)+IF(F35="preference",$C$12,0)+IF(F36="preference",$C$13,0))))+$B$15*$B$16)/((($B$14+$B$8+(IF(F30="convert",$B$7,0)+IF(F32="convert",$B$9,0)+IF(F33="convert",$B$10,0)+IF(F34="convert",$B$11,0)+IF(F35="convert",$B$12,0)+IF(F36="convert",$B$13,0))))+$B$15),((F$3-(IF(F30="preference",$C$7,0)+IF(F32="preference",$C$9,0)+IF(F33="preference",$C$10,0)+IF(F34="preference",$C$11,0)+IF(F35="preference",$C$12,0)+IF(F36="preference",$C$13,0))))/(($B$14+$B$8+(IF(F30="convert",$B$7,0)+IF(F32="convert",$B$9,0)+IF(F33="convert",$B$10,0)+IF(F34="convert",$B$11,0)+IF(F35="convert",$B$12,0)+IF(F36="convert",$B$13,0))))))*$B$8,"preference","convert")</f>
        <v/>
      </c>
    </row>
    <row r="41">
      <c r="A41" t="inlineStr">
        <is>
          <t>D</t>
        </is>
      </c>
      <c r="B41">
        <f>IF($C$9&gt;(IF((((B$3-(IF(B30="preference",$C$7,0)+IF(B31="preference",$C$8,0)+IF(B33="preference",$C$10,0)+IF(B34="preference",$C$11,0)+IF(B35="preference",$C$12,0)+IF(B36="preference",$C$13,0))))+$B$15*$B$16)/((($B$14+$B$9+(IF(B30="convert",$B$7,0)+IF(B31="convert",$B$8,0)+IF(B33="convert",$B$10,0)+IF(B34="convert",$B$11,0)+IF(B35="convert",$B$12,0)+IF(B36="convert",$B$13,0))))+$B$15)&gt;$B$16,(((B$3-(IF(B30="preference",$C$7,0)+IF(B31="preference",$C$8,0)+IF(B33="preference",$C$10,0)+IF(B34="preference",$C$11,0)+IF(B35="preference",$C$12,0)+IF(B36="preference",$C$13,0))))+$B$15*$B$16)/((($B$14+$B$9+(IF(B30="convert",$B$7,0)+IF(B31="convert",$B$8,0)+IF(B33="convert",$B$10,0)+IF(B34="convert",$B$11,0)+IF(B35="convert",$B$12,0)+IF(B36="convert",$B$13,0))))+$B$15),((B$3-(IF(B30="preference",$C$7,0)+IF(B31="preference",$C$8,0)+IF(B33="preference",$C$10,0)+IF(B34="preference",$C$11,0)+IF(B35="preference",$C$12,0)+IF(B36="preference",$C$13,0))))/(($B$14+$B$9+(IF(B30="convert",$B$7,0)+IF(B31="convert",$B$8,0)+IF(B33="convert",$B$10,0)+IF(B34="convert",$B$11,0)+IF(B35="convert",$B$12,0)+IF(B36="convert",$B$13,0))))))*$B$9,"preference","convert")</f>
        <v/>
      </c>
      <c r="C41">
        <f>IF($C$9&gt;(IF((((C$3-(IF(C30="preference",$C$7,0)+IF(C31="preference",$C$8,0)+IF(C33="preference",$C$10,0)+IF(C34="preference",$C$11,0)+IF(C35="preference",$C$12,0)+IF(C36="preference",$C$13,0))))+$B$15*$B$16)/((($B$14+$B$9+(IF(C30="convert",$B$7,0)+IF(C31="convert",$B$8,0)+IF(C33="convert",$B$10,0)+IF(C34="convert",$B$11,0)+IF(C35="convert",$B$12,0)+IF(C36="convert",$B$13,0))))+$B$15)&gt;$B$16,(((C$3-(IF(C30="preference",$C$7,0)+IF(C31="preference",$C$8,0)+IF(C33="preference",$C$10,0)+IF(C34="preference",$C$11,0)+IF(C35="preference",$C$12,0)+IF(C36="preference",$C$13,0))))+$B$15*$B$16)/((($B$14+$B$9+(IF(C30="convert",$B$7,0)+IF(C31="convert",$B$8,0)+IF(C33="convert",$B$10,0)+IF(C34="convert",$B$11,0)+IF(C35="convert",$B$12,0)+IF(C36="convert",$B$13,0))))+$B$15),((C$3-(IF(C30="preference",$C$7,0)+IF(C31="preference",$C$8,0)+IF(C33="preference",$C$10,0)+IF(C34="preference",$C$11,0)+IF(C35="preference",$C$12,0)+IF(C36="preference",$C$13,0))))/(($B$14+$B$9+(IF(C30="convert",$B$7,0)+IF(C31="convert",$B$8,0)+IF(C33="convert",$B$10,0)+IF(C34="convert",$B$11,0)+IF(C35="convert",$B$12,0)+IF(C36="convert",$B$13,0))))))*$B$9,"preference","convert")</f>
        <v/>
      </c>
      <c r="D41">
        <f>IF($C$9&gt;(IF((((D$3-(IF(D30="preference",$C$7,0)+IF(D31="preference",$C$8,0)+IF(D33="preference",$C$10,0)+IF(D34="preference",$C$11,0)+IF(D35="preference",$C$12,0)+IF(D36="preference",$C$13,0))))+$B$15*$B$16)/((($B$14+$B$9+(IF(D30="convert",$B$7,0)+IF(D31="convert",$B$8,0)+IF(D33="convert",$B$10,0)+IF(D34="convert",$B$11,0)+IF(D35="convert",$B$12,0)+IF(D36="convert",$B$13,0))))+$B$15)&gt;$B$16,(((D$3-(IF(D30="preference",$C$7,0)+IF(D31="preference",$C$8,0)+IF(D33="preference",$C$10,0)+IF(D34="preference",$C$11,0)+IF(D35="preference",$C$12,0)+IF(D36="preference",$C$13,0))))+$B$15*$B$16)/((($B$14+$B$9+(IF(D30="convert",$B$7,0)+IF(D31="convert",$B$8,0)+IF(D33="convert",$B$10,0)+IF(D34="convert",$B$11,0)+IF(D35="convert",$B$12,0)+IF(D36="convert",$B$13,0))))+$B$15),((D$3-(IF(D30="preference",$C$7,0)+IF(D31="preference",$C$8,0)+IF(D33="preference",$C$10,0)+IF(D34="preference",$C$11,0)+IF(D35="preference",$C$12,0)+IF(D36="preference",$C$13,0))))/(($B$14+$B$9+(IF(D30="convert",$B$7,0)+IF(D31="convert",$B$8,0)+IF(D33="convert",$B$10,0)+IF(D34="convert",$B$11,0)+IF(D35="convert",$B$12,0)+IF(D36="convert",$B$13,0))))))*$B$9,"preference","convert")</f>
        <v/>
      </c>
      <c r="E41">
        <f>IF($C$9&gt;(IF((((E$3-(IF(E30="preference",$C$7,0)+IF(E31="preference",$C$8,0)+IF(E33="preference",$C$10,0)+IF(E34="preference",$C$11,0)+IF(E35="preference",$C$12,0)+IF(E36="preference",$C$13,0))))+$B$15*$B$16)/((($B$14+$B$9+(IF(E30="convert",$B$7,0)+IF(E31="convert",$B$8,0)+IF(E33="convert",$B$10,0)+IF(E34="convert",$B$11,0)+IF(E35="convert",$B$12,0)+IF(E36="convert",$B$13,0))))+$B$15)&gt;$B$16,(((E$3-(IF(E30="preference",$C$7,0)+IF(E31="preference",$C$8,0)+IF(E33="preference",$C$10,0)+IF(E34="preference",$C$11,0)+IF(E35="preference",$C$12,0)+IF(E36="preference",$C$13,0))))+$B$15*$B$16)/((($B$14+$B$9+(IF(E30="convert",$B$7,0)+IF(E31="convert",$B$8,0)+IF(E33="convert",$B$10,0)+IF(E34="convert",$B$11,0)+IF(E35="convert",$B$12,0)+IF(E36="convert",$B$13,0))))+$B$15),((E$3-(IF(E30="preference",$C$7,0)+IF(E31="preference",$C$8,0)+IF(E33="preference",$C$10,0)+IF(E34="preference",$C$11,0)+IF(E35="preference",$C$12,0)+IF(E36="preference",$C$13,0))))/(($B$14+$B$9+(IF(E30="convert",$B$7,0)+IF(E31="convert",$B$8,0)+IF(E33="convert",$B$10,0)+IF(E34="convert",$B$11,0)+IF(E35="convert",$B$12,0)+IF(E36="convert",$B$13,0))))))*$B$9,"preference","convert")</f>
        <v/>
      </c>
      <c r="F41">
        <f>IF($C$9&gt;(IF((((F$3-(IF(F30="preference",$C$7,0)+IF(F31="preference",$C$8,0)+IF(F33="preference",$C$10,0)+IF(F34="preference",$C$11,0)+IF(F35="preference",$C$12,0)+IF(F36="preference",$C$13,0))))+$B$15*$B$16)/((($B$14+$B$9+(IF(F30="convert",$B$7,0)+IF(F31="convert",$B$8,0)+IF(F33="convert",$B$10,0)+IF(F34="convert",$B$11,0)+IF(F35="convert",$B$12,0)+IF(F36="convert",$B$13,0))))+$B$15)&gt;$B$16,(((F$3-(IF(F30="preference",$C$7,0)+IF(F31="preference",$C$8,0)+IF(F33="preference",$C$10,0)+IF(F34="preference",$C$11,0)+IF(F35="preference",$C$12,0)+IF(F36="preference",$C$13,0))))+$B$15*$B$16)/((($B$14+$B$9+(IF(F30="convert",$B$7,0)+IF(F31="convert",$B$8,0)+IF(F33="convert",$B$10,0)+IF(F34="convert",$B$11,0)+IF(F35="convert",$B$12,0)+IF(F36="convert",$B$13,0))))+$B$15),((F$3-(IF(F30="preference",$C$7,0)+IF(F31="preference",$C$8,0)+IF(F33="preference",$C$10,0)+IF(F34="preference",$C$11,0)+IF(F35="preference",$C$12,0)+IF(F36="preference",$C$13,0))))/(($B$14+$B$9+(IF(F30="convert",$B$7,0)+IF(F31="convert",$B$8,0)+IF(F33="convert",$B$10,0)+IF(F34="convert",$B$11,0)+IF(F35="convert",$B$12,0)+IF(F36="convert",$B$13,0))))))*$B$9,"preference","convert")</f>
        <v/>
      </c>
    </row>
    <row r="42">
      <c r="A42" t="inlineStr">
        <is>
          <t>C</t>
        </is>
      </c>
      <c r="B42">
        <f>IF($C$10&gt;(IF((((B$3-(IF(B30="preference",$C$7,0)+IF(B31="preference",$C$8,0)+IF(B32="preference",$C$9,0)+IF(B34="preference",$C$11,0)+IF(B35="preference",$C$12,0)+IF(B36="preference",$C$13,0))))+$B$15*$B$16)/((($B$14+$B$10+(IF(B30="convert",$B$7,0)+IF(B31="convert",$B$8,0)+IF(B32="convert",$B$9,0)+IF(B34="convert",$B$11,0)+IF(B35="convert",$B$12,0)+IF(B36="convert",$B$13,0))))+$B$15)&gt;$B$16,(((B$3-(IF(B30="preference",$C$7,0)+IF(B31="preference",$C$8,0)+IF(B32="preference",$C$9,0)+IF(B34="preference",$C$11,0)+IF(B35="preference",$C$12,0)+IF(B36="preference",$C$13,0))))+$B$15*$B$16)/((($B$14+$B$10+(IF(B30="convert",$B$7,0)+IF(B31="convert",$B$8,0)+IF(B32="convert",$B$9,0)+IF(B34="convert",$B$11,0)+IF(B35="convert",$B$12,0)+IF(B36="convert",$B$13,0))))+$B$15),((B$3-(IF(B30="preference",$C$7,0)+IF(B31="preference",$C$8,0)+IF(B32="preference",$C$9,0)+IF(B34="preference",$C$11,0)+IF(B35="preference",$C$12,0)+IF(B36="preference",$C$13,0))))/(($B$14+$B$10+(IF(B30="convert",$B$7,0)+IF(B31="convert",$B$8,0)+IF(B32="convert",$B$9,0)+IF(B34="convert",$B$11,0)+IF(B35="convert",$B$12,0)+IF(B36="convert",$B$13,0))))))*$B$10,"preference","convert")</f>
        <v/>
      </c>
      <c r="C42">
        <f>IF($C$10&gt;(IF((((C$3-(IF(C30="preference",$C$7,0)+IF(C31="preference",$C$8,0)+IF(C32="preference",$C$9,0)+IF(C34="preference",$C$11,0)+IF(C35="preference",$C$12,0)+IF(C36="preference",$C$13,0))))+$B$15*$B$16)/((($B$14+$B$10+(IF(C30="convert",$B$7,0)+IF(C31="convert",$B$8,0)+IF(C32="convert",$B$9,0)+IF(C34="convert",$B$11,0)+IF(C35="convert",$B$12,0)+IF(C36="convert",$B$13,0))))+$B$15)&gt;$B$16,(((C$3-(IF(C30="preference",$C$7,0)+IF(C31="preference",$C$8,0)+IF(C32="preference",$C$9,0)+IF(C34="preference",$C$11,0)+IF(C35="preference",$C$12,0)+IF(C36="preference",$C$13,0))))+$B$15*$B$16)/((($B$14+$B$10+(IF(C30="convert",$B$7,0)+IF(C31="convert",$B$8,0)+IF(C32="convert",$B$9,0)+IF(C34="convert",$B$11,0)+IF(C35="convert",$B$12,0)+IF(C36="convert",$B$13,0))))+$B$15),((C$3-(IF(C30="preference",$C$7,0)+IF(C31="preference",$C$8,0)+IF(C32="preference",$C$9,0)+IF(C34="preference",$C$11,0)+IF(C35="preference",$C$12,0)+IF(C36="preference",$C$13,0))))/(($B$14+$B$10+(IF(C30="convert",$B$7,0)+IF(C31="convert",$B$8,0)+IF(C32="convert",$B$9,0)+IF(C34="convert",$B$11,0)+IF(C35="convert",$B$12,0)+IF(C36="convert",$B$13,0))))))*$B$10,"preference","convert")</f>
        <v/>
      </c>
      <c r="D42">
        <f>IF($C$10&gt;(IF((((D$3-(IF(D30="preference",$C$7,0)+IF(D31="preference",$C$8,0)+IF(D32="preference",$C$9,0)+IF(D34="preference",$C$11,0)+IF(D35="preference",$C$12,0)+IF(D36="preference",$C$13,0))))+$B$15*$B$16)/((($B$14+$B$10+(IF(D30="convert",$B$7,0)+IF(D31="convert",$B$8,0)+IF(D32="convert",$B$9,0)+IF(D34="convert",$B$11,0)+IF(D35="convert",$B$12,0)+IF(D36="convert",$B$13,0))))+$B$15)&gt;$B$16,(((D$3-(IF(D30="preference",$C$7,0)+IF(D31="preference",$C$8,0)+IF(D32="preference",$C$9,0)+IF(D34="preference",$C$11,0)+IF(D35="preference",$C$12,0)+IF(D36="preference",$C$13,0))))+$B$15*$B$16)/((($B$14+$B$10+(IF(D30="convert",$B$7,0)+IF(D31="convert",$B$8,0)+IF(D32="convert",$B$9,0)+IF(D34="convert",$B$11,0)+IF(D35="convert",$B$12,0)+IF(D36="convert",$B$13,0))))+$B$15),((D$3-(IF(D30="preference",$C$7,0)+IF(D31="preference",$C$8,0)+IF(D32="preference",$C$9,0)+IF(D34="preference",$C$11,0)+IF(D35="preference",$C$12,0)+IF(D36="preference",$C$13,0))))/(($B$14+$B$10+(IF(D30="convert",$B$7,0)+IF(D31="convert",$B$8,0)+IF(D32="convert",$B$9,0)+IF(D34="convert",$B$11,0)+IF(D35="convert",$B$12,0)+IF(D36="convert",$B$13,0))))))*$B$10,"preference","convert")</f>
        <v/>
      </c>
      <c r="E42">
        <f>IF($C$10&gt;(IF((((E$3-(IF(E30="preference",$C$7,0)+IF(E31="preference",$C$8,0)+IF(E32="preference",$C$9,0)+IF(E34="preference",$C$11,0)+IF(E35="preference",$C$12,0)+IF(E36="preference",$C$13,0))))+$B$15*$B$16)/((($B$14+$B$10+(IF(E30="convert",$B$7,0)+IF(E31="convert",$B$8,0)+IF(E32="convert",$B$9,0)+IF(E34="convert",$B$11,0)+IF(E35="convert",$B$12,0)+IF(E36="convert",$B$13,0))))+$B$15)&gt;$B$16,(((E$3-(IF(E30="preference",$C$7,0)+IF(E31="preference",$C$8,0)+IF(E32="preference",$C$9,0)+IF(E34="preference",$C$11,0)+IF(E35="preference",$C$12,0)+IF(E36="preference",$C$13,0))))+$B$15*$B$16)/((($B$14+$B$10+(IF(E30="convert",$B$7,0)+IF(E31="convert",$B$8,0)+IF(E32="convert",$B$9,0)+IF(E34="convert",$B$11,0)+IF(E35="convert",$B$12,0)+IF(E36="convert",$B$13,0))))+$B$15),((E$3-(IF(E30="preference",$C$7,0)+IF(E31="preference",$C$8,0)+IF(E32="preference",$C$9,0)+IF(E34="preference",$C$11,0)+IF(E35="preference",$C$12,0)+IF(E36="preference",$C$13,0))))/(($B$14+$B$10+(IF(E30="convert",$B$7,0)+IF(E31="convert",$B$8,0)+IF(E32="convert",$B$9,0)+IF(E34="convert",$B$11,0)+IF(E35="convert",$B$12,0)+IF(E36="convert",$B$13,0))))))*$B$10,"preference","convert")</f>
        <v/>
      </c>
      <c r="F42">
        <f>IF($C$10&gt;(IF((((F$3-(IF(F30="preference",$C$7,0)+IF(F31="preference",$C$8,0)+IF(F32="preference",$C$9,0)+IF(F34="preference",$C$11,0)+IF(F35="preference",$C$12,0)+IF(F36="preference",$C$13,0))))+$B$15*$B$16)/((($B$14+$B$10+(IF(F30="convert",$B$7,0)+IF(F31="convert",$B$8,0)+IF(F32="convert",$B$9,0)+IF(F34="convert",$B$11,0)+IF(F35="convert",$B$12,0)+IF(F36="convert",$B$13,0))))+$B$15)&gt;$B$16,(((F$3-(IF(F30="preference",$C$7,0)+IF(F31="preference",$C$8,0)+IF(F32="preference",$C$9,0)+IF(F34="preference",$C$11,0)+IF(F35="preference",$C$12,0)+IF(F36="preference",$C$13,0))))+$B$15*$B$16)/((($B$14+$B$10+(IF(F30="convert",$B$7,0)+IF(F31="convert",$B$8,0)+IF(F32="convert",$B$9,0)+IF(F34="convert",$B$11,0)+IF(F35="convert",$B$12,0)+IF(F36="convert",$B$13,0))))+$B$15),((F$3-(IF(F30="preference",$C$7,0)+IF(F31="preference",$C$8,0)+IF(F32="preference",$C$9,0)+IF(F34="preference",$C$11,0)+IF(F35="preference",$C$12,0)+IF(F36="preference",$C$13,0))))/(($B$14+$B$10+(IF(F30="convert",$B$7,0)+IF(F31="convert",$B$8,0)+IF(F32="convert",$B$9,0)+IF(F34="convert",$B$11,0)+IF(F35="convert",$B$12,0)+IF(F36="convert",$B$13,0))))))*$B$10,"preference","convert")</f>
        <v/>
      </c>
    </row>
    <row r="43">
      <c r="A43" t="inlineStr">
        <is>
          <t>B</t>
        </is>
      </c>
      <c r="B43">
        <f>IF($C$11&gt;(IF((((B$3-(IF(B30="preference",$C$7,0)+IF(B31="preference",$C$8,0)+IF(B32="preference",$C$9,0)+IF(B33="preference",$C$10,0)+IF(B35="preference",$C$12,0)+IF(B36="preference",$C$13,0))))+$B$15*$B$16)/((($B$14+$B$11+(IF(B30="convert",$B$7,0)+IF(B31="convert",$B$8,0)+IF(B32="convert",$B$9,0)+IF(B33="convert",$B$10,0)+IF(B35="convert",$B$12,0)+IF(B36="convert",$B$13,0))))+$B$15)&gt;$B$16,(((B$3-(IF(B30="preference",$C$7,0)+IF(B31="preference",$C$8,0)+IF(B32="preference",$C$9,0)+IF(B33="preference",$C$10,0)+IF(B35="preference",$C$12,0)+IF(B36="preference",$C$13,0))))+$B$15*$B$16)/((($B$14+$B$11+(IF(B30="convert",$B$7,0)+IF(B31="convert",$B$8,0)+IF(B32="convert",$B$9,0)+IF(B33="convert",$B$10,0)+IF(B35="convert",$B$12,0)+IF(B36="convert",$B$13,0))))+$B$15),((B$3-(IF(B30="preference",$C$7,0)+IF(B31="preference",$C$8,0)+IF(B32="preference",$C$9,0)+IF(B33="preference",$C$10,0)+IF(B35="preference",$C$12,0)+IF(B36="preference",$C$13,0))))/(($B$14+$B$11+(IF(B30="convert",$B$7,0)+IF(B31="convert",$B$8,0)+IF(B32="convert",$B$9,0)+IF(B33="convert",$B$10,0)+IF(B35="convert",$B$12,0)+IF(B36="convert",$B$13,0))))))*$B$11,"preference","convert")</f>
        <v/>
      </c>
      <c r="C43">
        <f>IF($C$11&gt;(IF((((C$3-(IF(C30="preference",$C$7,0)+IF(C31="preference",$C$8,0)+IF(C32="preference",$C$9,0)+IF(C33="preference",$C$10,0)+IF(C35="preference",$C$12,0)+IF(C36="preference",$C$13,0))))+$B$15*$B$16)/((($B$14+$B$11+(IF(C30="convert",$B$7,0)+IF(C31="convert",$B$8,0)+IF(C32="convert",$B$9,0)+IF(C33="convert",$B$10,0)+IF(C35="convert",$B$12,0)+IF(C36="convert",$B$13,0))))+$B$15)&gt;$B$16,(((C$3-(IF(C30="preference",$C$7,0)+IF(C31="preference",$C$8,0)+IF(C32="preference",$C$9,0)+IF(C33="preference",$C$10,0)+IF(C35="preference",$C$12,0)+IF(C36="preference",$C$13,0))))+$B$15*$B$16)/((($B$14+$B$11+(IF(C30="convert",$B$7,0)+IF(C31="convert",$B$8,0)+IF(C32="convert",$B$9,0)+IF(C33="convert",$B$10,0)+IF(C35="convert",$B$12,0)+IF(C36="convert",$B$13,0))))+$B$15),((C$3-(IF(C30="preference",$C$7,0)+IF(C31="preference",$C$8,0)+IF(C32="preference",$C$9,0)+IF(C33="preference",$C$10,0)+IF(C35="preference",$C$12,0)+IF(C36="preference",$C$13,0))))/(($B$14+$B$11+(IF(C30="convert",$B$7,0)+IF(C31="convert",$B$8,0)+IF(C32="convert",$B$9,0)+IF(C33="convert",$B$10,0)+IF(C35="convert",$B$12,0)+IF(C36="convert",$B$13,0))))))*$B$11,"preference","convert")</f>
        <v/>
      </c>
      <c r="D43">
        <f>IF($C$11&gt;(IF((((D$3-(IF(D30="preference",$C$7,0)+IF(D31="preference",$C$8,0)+IF(D32="preference",$C$9,0)+IF(D33="preference",$C$10,0)+IF(D35="preference",$C$12,0)+IF(D36="preference",$C$13,0))))+$B$15*$B$16)/((($B$14+$B$11+(IF(D30="convert",$B$7,0)+IF(D31="convert",$B$8,0)+IF(D32="convert",$B$9,0)+IF(D33="convert",$B$10,0)+IF(D35="convert",$B$12,0)+IF(D36="convert",$B$13,0))))+$B$15)&gt;$B$16,(((D$3-(IF(D30="preference",$C$7,0)+IF(D31="preference",$C$8,0)+IF(D32="preference",$C$9,0)+IF(D33="preference",$C$10,0)+IF(D35="preference",$C$12,0)+IF(D36="preference",$C$13,0))))+$B$15*$B$16)/((($B$14+$B$11+(IF(D30="convert",$B$7,0)+IF(D31="convert",$B$8,0)+IF(D32="convert",$B$9,0)+IF(D33="convert",$B$10,0)+IF(D35="convert",$B$12,0)+IF(D36="convert",$B$13,0))))+$B$15),((D$3-(IF(D30="preference",$C$7,0)+IF(D31="preference",$C$8,0)+IF(D32="preference",$C$9,0)+IF(D33="preference",$C$10,0)+IF(D35="preference",$C$12,0)+IF(D36="preference",$C$13,0))))/(($B$14+$B$11+(IF(D30="convert",$B$7,0)+IF(D31="convert",$B$8,0)+IF(D32="convert",$B$9,0)+IF(D33="convert",$B$10,0)+IF(D35="convert",$B$12,0)+IF(D36="convert",$B$13,0))))))*$B$11,"preference","convert")</f>
        <v/>
      </c>
      <c r="E43">
        <f>IF($C$11&gt;(IF((((E$3-(IF(E30="preference",$C$7,0)+IF(E31="preference",$C$8,0)+IF(E32="preference",$C$9,0)+IF(E33="preference",$C$10,0)+IF(E35="preference",$C$12,0)+IF(E36="preference",$C$13,0))))+$B$15*$B$16)/((($B$14+$B$11+(IF(E30="convert",$B$7,0)+IF(E31="convert",$B$8,0)+IF(E32="convert",$B$9,0)+IF(E33="convert",$B$10,0)+IF(E35="convert",$B$12,0)+IF(E36="convert",$B$13,0))))+$B$15)&gt;$B$16,(((E$3-(IF(E30="preference",$C$7,0)+IF(E31="preference",$C$8,0)+IF(E32="preference",$C$9,0)+IF(E33="preference",$C$10,0)+IF(E35="preference",$C$12,0)+IF(E36="preference",$C$13,0))))+$B$15*$B$16)/((($B$14+$B$11+(IF(E30="convert",$B$7,0)+IF(E31="convert",$B$8,0)+IF(E32="convert",$B$9,0)+IF(E33="convert",$B$10,0)+IF(E35="convert",$B$12,0)+IF(E36="convert",$B$13,0))))+$B$15),((E$3-(IF(E30="preference",$C$7,0)+IF(E31="preference",$C$8,0)+IF(E32="preference",$C$9,0)+IF(E33="preference",$C$10,0)+IF(E35="preference",$C$12,0)+IF(E36="preference",$C$13,0))))/(($B$14+$B$11+(IF(E30="convert",$B$7,0)+IF(E31="convert",$B$8,0)+IF(E32="convert",$B$9,0)+IF(E33="convert",$B$10,0)+IF(E35="convert",$B$12,0)+IF(E36="convert",$B$13,0))))))*$B$11,"preference","convert")</f>
        <v/>
      </c>
      <c r="F43">
        <f>IF($C$11&gt;(IF((((F$3-(IF(F30="preference",$C$7,0)+IF(F31="preference",$C$8,0)+IF(F32="preference",$C$9,0)+IF(F33="preference",$C$10,0)+IF(F35="preference",$C$12,0)+IF(F36="preference",$C$13,0))))+$B$15*$B$16)/((($B$14+$B$11+(IF(F30="convert",$B$7,0)+IF(F31="convert",$B$8,0)+IF(F32="convert",$B$9,0)+IF(F33="convert",$B$10,0)+IF(F35="convert",$B$12,0)+IF(F36="convert",$B$13,0))))+$B$15)&gt;$B$16,(((F$3-(IF(F30="preference",$C$7,0)+IF(F31="preference",$C$8,0)+IF(F32="preference",$C$9,0)+IF(F33="preference",$C$10,0)+IF(F35="preference",$C$12,0)+IF(F36="preference",$C$13,0))))+$B$15*$B$16)/((($B$14+$B$11+(IF(F30="convert",$B$7,0)+IF(F31="convert",$B$8,0)+IF(F32="convert",$B$9,0)+IF(F33="convert",$B$10,0)+IF(F35="convert",$B$12,0)+IF(F36="convert",$B$13,0))))+$B$15),((F$3-(IF(F30="preference",$C$7,0)+IF(F31="preference",$C$8,0)+IF(F32="preference",$C$9,0)+IF(F33="preference",$C$10,0)+IF(F35="preference",$C$12,0)+IF(F36="preference",$C$13,0))))/(($B$14+$B$11+(IF(F30="convert",$B$7,0)+IF(F31="convert",$B$8,0)+IF(F32="convert",$B$9,0)+IF(F33="convert",$B$10,0)+IF(F35="convert",$B$12,0)+IF(F36="convert",$B$13,0))))))*$B$11,"preference","convert")</f>
        <v/>
      </c>
    </row>
    <row r="44">
      <c r="A44" t="inlineStr">
        <is>
          <t>A</t>
        </is>
      </c>
      <c r="B44">
        <f>IF($C$12&gt;(IF((((B$3-(IF(B30="preference",$C$7,0)+IF(B31="preference",$C$8,0)+IF(B32="preference",$C$9,0)+IF(B33="preference",$C$10,0)+IF(B34="preference",$C$11,0)+IF(B36="preference",$C$13,0))))+$B$15*$B$16)/((($B$14+$B$12+(IF(B30="convert",$B$7,0)+IF(B31="convert",$B$8,0)+IF(B32="convert",$B$9,0)+IF(B33="convert",$B$10,0)+IF(B34="convert",$B$11,0)+IF(B36="convert",$B$13,0))))+$B$15)&gt;$B$16,(((B$3-(IF(B30="preference",$C$7,0)+IF(B31="preference",$C$8,0)+IF(B32="preference",$C$9,0)+IF(B33="preference",$C$10,0)+IF(B34="preference",$C$11,0)+IF(B36="preference",$C$13,0))))+$B$15*$B$16)/((($B$14+$B$12+(IF(B30="convert",$B$7,0)+IF(B31="convert",$B$8,0)+IF(B32="convert",$B$9,0)+IF(B33="convert",$B$10,0)+IF(B34="convert",$B$11,0)+IF(B36="convert",$B$13,0))))+$B$15),((B$3-(IF(B30="preference",$C$7,0)+IF(B31="preference",$C$8,0)+IF(B32="preference",$C$9,0)+IF(B33="preference",$C$10,0)+IF(B34="preference",$C$11,0)+IF(B36="preference",$C$13,0))))/(($B$14+$B$12+(IF(B30="convert",$B$7,0)+IF(B31="convert",$B$8,0)+IF(B32="convert",$B$9,0)+IF(B33="convert",$B$10,0)+IF(B34="convert",$B$11,0)+IF(B36="convert",$B$13,0))))))*$B$12,"preference","convert")</f>
        <v/>
      </c>
      <c r="C44">
        <f>IF($C$12&gt;(IF((((C$3-(IF(C30="preference",$C$7,0)+IF(C31="preference",$C$8,0)+IF(C32="preference",$C$9,0)+IF(C33="preference",$C$10,0)+IF(C34="preference",$C$11,0)+IF(C36="preference",$C$13,0))))+$B$15*$B$16)/((($B$14+$B$12+(IF(C30="convert",$B$7,0)+IF(C31="convert",$B$8,0)+IF(C32="convert",$B$9,0)+IF(C33="convert",$B$10,0)+IF(C34="convert",$B$11,0)+IF(C36="convert",$B$13,0))))+$B$15)&gt;$B$16,(((C$3-(IF(C30="preference",$C$7,0)+IF(C31="preference",$C$8,0)+IF(C32="preference",$C$9,0)+IF(C33="preference",$C$10,0)+IF(C34="preference",$C$11,0)+IF(C36="preference",$C$13,0))))+$B$15*$B$16)/((($B$14+$B$12+(IF(C30="convert",$B$7,0)+IF(C31="convert",$B$8,0)+IF(C32="convert",$B$9,0)+IF(C33="convert",$B$10,0)+IF(C34="convert",$B$11,0)+IF(C36="convert",$B$13,0))))+$B$15),((C$3-(IF(C30="preference",$C$7,0)+IF(C31="preference",$C$8,0)+IF(C32="preference",$C$9,0)+IF(C33="preference",$C$10,0)+IF(C34="preference",$C$11,0)+IF(C36="preference",$C$13,0))))/(($B$14+$B$12+(IF(C30="convert",$B$7,0)+IF(C31="convert",$B$8,0)+IF(C32="convert",$B$9,0)+IF(C33="convert",$B$10,0)+IF(C34="convert",$B$11,0)+IF(C36="convert",$B$13,0))))))*$B$12,"preference","convert")</f>
        <v/>
      </c>
      <c r="D44">
        <f>IF($C$12&gt;(IF((((D$3-(IF(D30="preference",$C$7,0)+IF(D31="preference",$C$8,0)+IF(D32="preference",$C$9,0)+IF(D33="preference",$C$10,0)+IF(D34="preference",$C$11,0)+IF(D36="preference",$C$13,0))))+$B$15*$B$16)/((($B$14+$B$12+(IF(D30="convert",$B$7,0)+IF(D31="convert",$B$8,0)+IF(D32="convert",$B$9,0)+IF(D33="convert",$B$10,0)+IF(D34="convert",$B$11,0)+IF(D36="convert",$B$13,0))))+$B$15)&gt;$B$16,(((D$3-(IF(D30="preference",$C$7,0)+IF(D31="preference",$C$8,0)+IF(D32="preference",$C$9,0)+IF(D33="preference",$C$10,0)+IF(D34="preference",$C$11,0)+IF(D36="preference",$C$13,0))))+$B$15*$B$16)/((($B$14+$B$12+(IF(D30="convert",$B$7,0)+IF(D31="convert",$B$8,0)+IF(D32="convert",$B$9,0)+IF(D33="convert",$B$10,0)+IF(D34="convert",$B$11,0)+IF(D36="convert",$B$13,0))))+$B$15),((D$3-(IF(D30="preference",$C$7,0)+IF(D31="preference",$C$8,0)+IF(D32="preference",$C$9,0)+IF(D33="preference",$C$10,0)+IF(D34="preference",$C$11,0)+IF(D36="preference",$C$13,0))))/(($B$14+$B$12+(IF(D30="convert",$B$7,0)+IF(D31="convert",$B$8,0)+IF(D32="convert",$B$9,0)+IF(D33="convert",$B$10,0)+IF(D34="convert",$B$11,0)+IF(D36="convert",$B$13,0))))))*$B$12,"preference","convert")</f>
        <v/>
      </c>
      <c r="E44">
        <f>IF($C$12&gt;(IF((((E$3-(IF(E30="preference",$C$7,0)+IF(E31="preference",$C$8,0)+IF(E32="preference",$C$9,0)+IF(E33="preference",$C$10,0)+IF(E34="preference",$C$11,0)+IF(E36="preference",$C$13,0))))+$B$15*$B$16)/((($B$14+$B$12+(IF(E30="convert",$B$7,0)+IF(E31="convert",$B$8,0)+IF(E32="convert",$B$9,0)+IF(E33="convert",$B$10,0)+IF(E34="convert",$B$11,0)+IF(E36="convert",$B$13,0))))+$B$15)&gt;$B$16,(((E$3-(IF(E30="preference",$C$7,0)+IF(E31="preference",$C$8,0)+IF(E32="preference",$C$9,0)+IF(E33="preference",$C$10,0)+IF(E34="preference",$C$11,0)+IF(E36="preference",$C$13,0))))+$B$15*$B$16)/((($B$14+$B$12+(IF(E30="convert",$B$7,0)+IF(E31="convert",$B$8,0)+IF(E32="convert",$B$9,0)+IF(E33="convert",$B$10,0)+IF(E34="convert",$B$11,0)+IF(E36="convert",$B$13,0))))+$B$15),((E$3-(IF(E30="preference",$C$7,0)+IF(E31="preference",$C$8,0)+IF(E32="preference",$C$9,0)+IF(E33="preference",$C$10,0)+IF(E34="preference",$C$11,0)+IF(E36="preference",$C$13,0))))/(($B$14+$B$12+(IF(E30="convert",$B$7,0)+IF(E31="convert",$B$8,0)+IF(E32="convert",$B$9,0)+IF(E33="convert",$B$10,0)+IF(E34="convert",$B$11,0)+IF(E36="convert",$B$13,0))))))*$B$12,"preference","convert")</f>
        <v/>
      </c>
      <c r="F44">
        <f>IF($C$12&gt;(IF((((F$3-(IF(F30="preference",$C$7,0)+IF(F31="preference",$C$8,0)+IF(F32="preference",$C$9,0)+IF(F33="preference",$C$10,0)+IF(F34="preference",$C$11,0)+IF(F36="preference",$C$13,0))))+$B$15*$B$16)/((($B$14+$B$12+(IF(F30="convert",$B$7,0)+IF(F31="convert",$B$8,0)+IF(F32="convert",$B$9,0)+IF(F33="convert",$B$10,0)+IF(F34="convert",$B$11,0)+IF(F36="convert",$B$13,0))))+$B$15)&gt;$B$16,(((F$3-(IF(F30="preference",$C$7,0)+IF(F31="preference",$C$8,0)+IF(F32="preference",$C$9,0)+IF(F33="preference",$C$10,0)+IF(F34="preference",$C$11,0)+IF(F36="preference",$C$13,0))))+$B$15*$B$16)/((($B$14+$B$12+(IF(F30="convert",$B$7,0)+IF(F31="convert",$B$8,0)+IF(F32="convert",$B$9,0)+IF(F33="convert",$B$10,0)+IF(F34="convert",$B$11,0)+IF(F36="convert",$B$13,0))))+$B$15),((F$3-(IF(F30="preference",$C$7,0)+IF(F31="preference",$C$8,0)+IF(F32="preference",$C$9,0)+IF(F33="preference",$C$10,0)+IF(F34="preference",$C$11,0)+IF(F36="preference",$C$13,0))))/(($B$14+$B$12+(IF(F30="convert",$B$7,0)+IF(F31="convert",$B$8,0)+IF(F32="convert",$B$9,0)+IF(F33="convert",$B$10,0)+IF(F34="convert",$B$11,0)+IF(F36="convert",$B$13,0))))))*$B$12,"preference","convert")</f>
        <v/>
      </c>
    </row>
    <row r="45">
      <c r="A45" t="inlineStr">
        <is>
          <t>Seed</t>
        </is>
      </c>
      <c r="B45">
        <f>IF($C$13&gt;(IF((((B$3-(IF(B30="preference",$C$7,0)+IF(B31="preference",$C$8,0)+IF(B32="preference",$C$9,0)+IF(B33="preference",$C$10,0)+IF(B34="preference",$C$11,0)+IF(B35="preference",$C$12,0))))+$B$15*$B$16)/((($B$14+$B$13+(IF(B30="convert",$B$7,0)+IF(B31="convert",$B$8,0)+IF(B32="convert",$B$9,0)+IF(B33="convert",$B$10,0)+IF(B34="convert",$B$11,0)+IF(B35="convert",$B$12,0))))+$B$15)&gt;$B$16,(((B$3-(IF(B30="preference",$C$7,0)+IF(B31="preference",$C$8,0)+IF(B32="preference",$C$9,0)+IF(B33="preference",$C$10,0)+IF(B34="preference",$C$11,0)+IF(B35="preference",$C$12,0))))+$B$15*$B$16)/((($B$14+$B$13+(IF(B30="convert",$B$7,0)+IF(B31="convert",$B$8,0)+IF(B32="convert",$B$9,0)+IF(B33="convert",$B$10,0)+IF(B34="convert",$B$11,0)+IF(B35="convert",$B$12,0))))+$B$15),((B$3-(IF(B30="preference",$C$7,0)+IF(B31="preference",$C$8,0)+IF(B32="preference",$C$9,0)+IF(B33="preference",$C$10,0)+IF(B34="preference",$C$11,0)+IF(B35="preference",$C$12,0))))/(($B$14+$B$13+(IF(B30="convert",$B$7,0)+IF(B31="convert",$B$8,0)+IF(B32="convert",$B$9,0)+IF(B33="convert",$B$10,0)+IF(B34="convert",$B$11,0)+IF(B35="convert",$B$12,0))))))*$B$13,"preference","convert")</f>
        <v/>
      </c>
      <c r="C45">
        <f>IF($C$13&gt;(IF((((C$3-(IF(C30="preference",$C$7,0)+IF(C31="preference",$C$8,0)+IF(C32="preference",$C$9,0)+IF(C33="preference",$C$10,0)+IF(C34="preference",$C$11,0)+IF(C35="preference",$C$12,0))))+$B$15*$B$16)/((($B$14+$B$13+(IF(C30="convert",$B$7,0)+IF(C31="convert",$B$8,0)+IF(C32="convert",$B$9,0)+IF(C33="convert",$B$10,0)+IF(C34="convert",$B$11,0)+IF(C35="convert",$B$12,0))))+$B$15)&gt;$B$16,(((C$3-(IF(C30="preference",$C$7,0)+IF(C31="preference",$C$8,0)+IF(C32="preference",$C$9,0)+IF(C33="preference",$C$10,0)+IF(C34="preference",$C$11,0)+IF(C35="preference",$C$12,0))))+$B$15*$B$16)/((($B$14+$B$13+(IF(C30="convert",$B$7,0)+IF(C31="convert",$B$8,0)+IF(C32="convert",$B$9,0)+IF(C33="convert",$B$10,0)+IF(C34="convert",$B$11,0)+IF(C35="convert",$B$12,0))))+$B$15),((C$3-(IF(C30="preference",$C$7,0)+IF(C31="preference",$C$8,0)+IF(C32="preference",$C$9,0)+IF(C33="preference",$C$10,0)+IF(C34="preference",$C$11,0)+IF(C35="preference",$C$12,0))))/(($B$14+$B$13+(IF(C30="convert",$B$7,0)+IF(C31="convert",$B$8,0)+IF(C32="convert",$B$9,0)+IF(C33="convert",$B$10,0)+IF(C34="convert",$B$11,0)+IF(C35="convert",$B$12,0))))))*$B$13,"preference","convert")</f>
        <v/>
      </c>
      <c r="D45">
        <f>IF($C$13&gt;(IF((((D$3-(IF(D30="preference",$C$7,0)+IF(D31="preference",$C$8,0)+IF(D32="preference",$C$9,0)+IF(D33="preference",$C$10,0)+IF(D34="preference",$C$11,0)+IF(D35="preference",$C$12,0))))+$B$15*$B$16)/((($B$14+$B$13+(IF(D30="convert",$B$7,0)+IF(D31="convert",$B$8,0)+IF(D32="convert",$B$9,0)+IF(D33="convert",$B$10,0)+IF(D34="convert",$B$11,0)+IF(D35="convert",$B$12,0))))+$B$15)&gt;$B$16,(((D$3-(IF(D30="preference",$C$7,0)+IF(D31="preference",$C$8,0)+IF(D32="preference",$C$9,0)+IF(D33="preference",$C$10,0)+IF(D34="preference",$C$11,0)+IF(D35="preference",$C$12,0))))+$B$15*$B$16)/((($B$14+$B$13+(IF(D30="convert",$B$7,0)+IF(D31="convert",$B$8,0)+IF(D32="convert",$B$9,0)+IF(D33="convert",$B$10,0)+IF(D34="convert",$B$11,0)+IF(D35="convert",$B$12,0))))+$B$15),((D$3-(IF(D30="preference",$C$7,0)+IF(D31="preference",$C$8,0)+IF(D32="preference",$C$9,0)+IF(D33="preference",$C$10,0)+IF(D34="preference",$C$11,0)+IF(D35="preference",$C$12,0))))/(($B$14+$B$13+(IF(D30="convert",$B$7,0)+IF(D31="convert",$B$8,0)+IF(D32="convert",$B$9,0)+IF(D33="convert",$B$10,0)+IF(D34="convert",$B$11,0)+IF(D35="convert",$B$12,0))))))*$B$13,"preference","convert")</f>
        <v/>
      </c>
      <c r="E45">
        <f>IF($C$13&gt;(IF((((E$3-(IF(E30="preference",$C$7,0)+IF(E31="preference",$C$8,0)+IF(E32="preference",$C$9,0)+IF(E33="preference",$C$10,0)+IF(E34="preference",$C$11,0)+IF(E35="preference",$C$12,0))))+$B$15*$B$16)/((($B$14+$B$13+(IF(E30="convert",$B$7,0)+IF(E31="convert",$B$8,0)+IF(E32="convert",$B$9,0)+IF(E33="convert",$B$10,0)+IF(E34="convert",$B$11,0)+IF(E35="convert",$B$12,0))))+$B$15)&gt;$B$16,(((E$3-(IF(E30="preference",$C$7,0)+IF(E31="preference",$C$8,0)+IF(E32="preference",$C$9,0)+IF(E33="preference",$C$10,0)+IF(E34="preference",$C$11,0)+IF(E35="preference",$C$12,0))))+$B$15*$B$16)/((($B$14+$B$13+(IF(E30="convert",$B$7,0)+IF(E31="convert",$B$8,0)+IF(E32="convert",$B$9,0)+IF(E33="convert",$B$10,0)+IF(E34="convert",$B$11,0)+IF(E35="convert",$B$12,0))))+$B$15),((E$3-(IF(E30="preference",$C$7,0)+IF(E31="preference",$C$8,0)+IF(E32="preference",$C$9,0)+IF(E33="preference",$C$10,0)+IF(E34="preference",$C$11,0)+IF(E35="preference",$C$12,0))))/(($B$14+$B$13+(IF(E30="convert",$B$7,0)+IF(E31="convert",$B$8,0)+IF(E32="convert",$B$9,0)+IF(E33="convert",$B$10,0)+IF(E34="convert",$B$11,0)+IF(E35="convert",$B$12,0))))))*$B$13,"preference","convert")</f>
        <v/>
      </c>
      <c r="F45">
        <f>IF($C$13&gt;(IF((((F$3-(IF(F30="preference",$C$7,0)+IF(F31="preference",$C$8,0)+IF(F32="preference",$C$9,0)+IF(F33="preference",$C$10,0)+IF(F34="preference",$C$11,0)+IF(F35="preference",$C$12,0))))+$B$15*$B$16)/((($B$14+$B$13+(IF(F30="convert",$B$7,0)+IF(F31="convert",$B$8,0)+IF(F32="convert",$B$9,0)+IF(F33="convert",$B$10,0)+IF(F34="convert",$B$11,0)+IF(F35="convert",$B$12,0))))+$B$15)&gt;$B$16,(((F$3-(IF(F30="preference",$C$7,0)+IF(F31="preference",$C$8,0)+IF(F32="preference",$C$9,0)+IF(F33="preference",$C$10,0)+IF(F34="preference",$C$11,0)+IF(F35="preference",$C$12,0))))+$B$15*$B$16)/((($B$14+$B$13+(IF(F30="convert",$B$7,0)+IF(F31="convert",$B$8,0)+IF(F32="convert",$B$9,0)+IF(F33="convert",$B$10,0)+IF(F34="convert",$B$11,0)+IF(F35="convert",$B$12,0))))+$B$15),((F$3-(IF(F30="preference",$C$7,0)+IF(F31="preference",$C$8,0)+IF(F32="preference",$C$9,0)+IF(F33="preference",$C$10,0)+IF(F34="preference",$C$11,0)+IF(F35="preference",$C$12,0))))/(($B$14+$B$13+(IF(F30="convert",$B$7,0)+IF(F31="convert",$B$8,0)+IF(F32="convert",$B$9,0)+IF(F33="convert",$B$10,0)+IF(F34="convert",$B$11,0)+IF(F35="convert",$B$12,0))))))*$B$13,"preference","convert")</f>
        <v/>
      </c>
    </row>
    <row r="46">
      <c r="A46" s="13" t="inlineStr">
        <is>
          <t>PASS 4 ELECTIONS (best-response to Pass 3)</t>
        </is>
      </c>
    </row>
    <row r="47">
      <c r="A47" s="5" t="inlineStr">
        <is>
          <t>Class</t>
        </is>
      </c>
      <c r="B47" s="5">
        <f>Assumptions!$B$7</f>
        <v/>
      </c>
      <c r="C47" s="5">
        <f>Assumptions!$B$8</f>
        <v/>
      </c>
      <c r="D47" s="5">
        <f>Assumptions!$B$9</f>
        <v/>
      </c>
      <c r="E47" s="5">
        <f>Assumptions!$B$10</f>
        <v/>
      </c>
      <c r="F47" s="5">
        <f>Assumptions!$B$11</f>
        <v/>
      </c>
    </row>
    <row r="48">
      <c r="A48" t="inlineStr">
        <is>
          <t>F</t>
        </is>
      </c>
      <c r="B48">
        <f>IF($C$7&gt;(IF((((B$3-(IF(B40="preference",$C$8,0)+IF(B41="preference",$C$9,0)+IF(B42="preference",$C$10,0)+IF(B43="preference",$C$11,0)+IF(B44="preference",$C$12,0)+IF(B45="preference",$C$13,0))))+$B$15*$B$16)/((($B$14+$B$7+(IF(B40="convert",$B$8,0)+IF(B41="convert",$B$9,0)+IF(B42="convert",$B$10,0)+IF(B43="convert",$B$11,0)+IF(B44="convert",$B$12,0)+IF(B45="convert",$B$13,0))))+$B$15)&gt;$B$16,(((B$3-(IF(B40="preference",$C$8,0)+IF(B41="preference",$C$9,0)+IF(B42="preference",$C$10,0)+IF(B43="preference",$C$11,0)+IF(B44="preference",$C$12,0)+IF(B45="preference",$C$13,0))))+$B$15*$B$16)/((($B$14+$B$7+(IF(B40="convert",$B$8,0)+IF(B41="convert",$B$9,0)+IF(B42="convert",$B$10,0)+IF(B43="convert",$B$11,0)+IF(B44="convert",$B$12,0)+IF(B45="convert",$B$13,0))))+$B$15),((B$3-(IF(B40="preference",$C$8,0)+IF(B41="preference",$C$9,0)+IF(B42="preference",$C$10,0)+IF(B43="preference",$C$11,0)+IF(B44="preference",$C$12,0)+IF(B45="preference",$C$13,0))))/(($B$14+$B$7+(IF(B40="convert",$B$8,0)+IF(B41="convert",$B$9,0)+IF(B42="convert",$B$10,0)+IF(B43="convert",$B$11,0)+IF(B44="convert",$B$12,0)+IF(B45="convert",$B$13,0))))))*$B$7,"preference","convert")</f>
        <v/>
      </c>
      <c r="C48">
        <f>IF($C$7&gt;(IF((((C$3-(IF(C40="preference",$C$8,0)+IF(C41="preference",$C$9,0)+IF(C42="preference",$C$10,0)+IF(C43="preference",$C$11,0)+IF(C44="preference",$C$12,0)+IF(C45="preference",$C$13,0))))+$B$15*$B$16)/((($B$14+$B$7+(IF(C40="convert",$B$8,0)+IF(C41="convert",$B$9,0)+IF(C42="convert",$B$10,0)+IF(C43="convert",$B$11,0)+IF(C44="convert",$B$12,0)+IF(C45="convert",$B$13,0))))+$B$15)&gt;$B$16,(((C$3-(IF(C40="preference",$C$8,0)+IF(C41="preference",$C$9,0)+IF(C42="preference",$C$10,0)+IF(C43="preference",$C$11,0)+IF(C44="preference",$C$12,0)+IF(C45="preference",$C$13,0))))+$B$15*$B$16)/((($B$14+$B$7+(IF(C40="convert",$B$8,0)+IF(C41="convert",$B$9,0)+IF(C42="convert",$B$10,0)+IF(C43="convert",$B$11,0)+IF(C44="convert",$B$12,0)+IF(C45="convert",$B$13,0))))+$B$15),((C$3-(IF(C40="preference",$C$8,0)+IF(C41="preference",$C$9,0)+IF(C42="preference",$C$10,0)+IF(C43="preference",$C$11,0)+IF(C44="preference",$C$12,0)+IF(C45="preference",$C$13,0))))/(($B$14+$B$7+(IF(C40="convert",$B$8,0)+IF(C41="convert",$B$9,0)+IF(C42="convert",$B$10,0)+IF(C43="convert",$B$11,0)+IF(C44="convert",$B$12,0)+IF(C45="convert",$B$13,0))))))*$B$7,"preference","convert")</f>
        <v/>
      </c>
      <c r="D48">
        <f>IF($C$7&gt;(IF((((D$3-(IF(D40="preference",$C$8,0)+IF(D41="preference",$C$9,0)+IF(D42="preference",$C$10,0)+IF(D43="preference",$C$11,0)+IF(D44="preference",$C$12,0)+IF(D45="preference",$C$13,0))))+$B$15*$B$16)/((($B$14+$B$7+(IF(D40="convert",$B$8,0)+IF(D41="convert",$B$9,0)+IF(D42="convert",$B$10,0)+IF(D43="convert",$B$11,0)+IF(D44="convert",$B$12,0)+IF(D45="convert",$B$13,0))))+$B$15)&gt;$B$16,(((D$3-(IF(D40="preference",$C$8,0)+IF(D41="preference",$C$9,0)+IF(D42="preference",$C$10,0)+IF(D43="preference",$C$11,0)+IF(D44="preference",$C$12,0)+IF(D45="preference",$C$13,0))))+$B$15*$B$16)/((($B$14+$B$7+(IF(D40="convert",$B$8,0)+IF(D41="convert",$B$9,0)+IF(D42="convert",$B$10,0)+IF(D43="convert",$B$11,0)+IF(D44="convert",$B$12,0)+IF(D45="convert",$B$13,0))))+$B$15),((D$3-(IF(D40="preference",$C$8,0)+IF(D41="preference",$C$9,0)+IF(D42="preference",$C$10,0)+IF(D43="preference",$C$11,0)+IF(D44="preference",$C$12,0)+IF(D45="preference",$C$13,0))))/(($B$14+$B$7+(IF(D40="convert",$B$8,0)+IF(D41="convert",$B$9,0)+IF(D42="convert",$B$10,0)+IF(D43="convert",$B$11,0)+IF(D44="convert",$B$12,0)+IF(D45="convert",$B$13,0))))))*$B$7,"preference","convert")</f>
        <v/>
      </c>
      <c r="E48">
        <f>IF($C$7&gt;(IF((((E$3-(IF(E40="preference",$C$8,0)+IF(E41="preference",$C$9,0)+IF(E42="preference",$C$10,0)+IF(E43="preference",$C$11,0)+IF(E44="preference",$C$12,0)+IF(E45="preference",$C$13,0))))+$B$15*$B$16)/((($B$14+$B$7+(IF(E40="convert",$B$8,0)+IF(E41="convert",$B$9,0)+IF(E42="convert",$B$10,0)+IF(E43="convert",$B$11,0)+IF(E44="convert",$B$12,0)+IF(E45="convert",$B$13,0))))+$B$15)&gt;$B$16,(((E$3-(IF(E40="preference",$C$8,0)+IF(E41="preference",$C$9,0)+IF(E42="preference",$C$10,0)+IF(E43="preference",$C$11,0)+IF(E44="preference",$C$12,0)+IF(E45="preference",$C$13,0))))+$B$15*$B$16)/((($B$14+$B$7+(IF(E40="convert",$B$8,0)+IF(E41="convert",$B$9,0)+IF(E42="convert",$B$10,0)+IF(E43="convert",$B$11,0)+IF(E44="convert",$B$12,0)+IF(E45="convert",$B$13,0))))+$B$15),((E$3-(IF(E40="preference",$C$8,0)+IF(E41="preference",$C$9,0)+IF(E42="preference",$C$10,0)+IF(E43="preference",$C$11,0)+IF(E44="preference",$C$12,0)+IF(E45="preference",$C$13,0))))/(($B$14+$B$7+(IF(E40="convert",$B$8,0)+IF(E41="convert",$B$9,0)+IF(E42="convert",$B$10,0)+IF(E43="convert",$B$11,0)+IF(E44="convert",$B$12,0)+IF(E45="convert",$B$13,0))))))*$B$7,"preference","convert")</f>
        <v/>
      </c>
      <c r="F48">
        <f>IF($C$7&gt;(IF((((F$3-(IF(F40="preference",$C$8,0)+IF(F41="preference",$C$9,0)+IF(F42="preference",$C$10,0)+IF(F43="preference",$C$11,0)+IF(F44="preference",$C$12,0)+IF(F45="preference",$C$13,0))))+$B$15*$B$16)/((($B$14+$B$7+(IF(F40="convert",$B$8,0)+IF(F41="convert",$B$9,0)+IF(F42="convert",$B$10,0)+IF(F43="convert",$B$11,0)+IF(F44="convert",$B$12,0)+IF(F45="convert",$B$13,0))))+$B$15)&gt;$B$16,(((F$3-(IF(F40="preference",$C$8,0)+IF(F41="preference",$C$9,0)+IF(F42="preference",$C$10,0)+IF(F43="preference",$C$11,0)+IF(F44="preference",$C$12,0)+IF(F45="preference",$C$13,0))))+$B$15*$B$16)/((($B$14+$B$7+(IF(F40="convert",$B$8,0)+IF(F41="convert",$B$9,0)+IF(F42="convert",$B$10,0)+IF(F43="convert",$B$11,0)+IF(F44="convert",$B$12,0)+IF(F45="convert",$B$13,0))))+$B$15),((F$3-(IF(F40="preference",$C$8,0)+IF(F41="preference",$C$9,0)+IF(F42="preference",$C$10,0)+IF(F43="preference",$C$11,0)+IF(F44="preference",$C$12,0)+IF(F45="preference",$C$13,0))))/(($B$14+$B$7+(IF(F40="convert",$B$8,0)+IF(F41="convert",$B$9,0)+IF(F42="convert",$B$10,0)+IF(F43="convert",$B$11,0)+IF(F44="convert",$B$12,0)+IF(F45="convert",$B$13,0))))))*$B$7,"preference","convert")</f>
        <v/>
      </c>
    </row>
    <row r="49">
      <c r="A49" t="inlineStr">
        <is>
          <t>E</t>
        </is>
      </c>
      <c r="B49">
        <f>IF($C$8&gt;(IF((((B$3-(IF(B39="preference",$C$7,0)+IF(B41="preference",$C$9,0)+IF(B42="preference",$C$10,0)+IF(B43="preference",$C$11,0)+IF(B44="preference",$C$12,0)+IF(B45="preference",$C$13,0))))+$B$15*$B$16)/((($B$14+$B$8+(IF(B39="convert",$B$7,0)+IF(B41="convert",$B$9,0)+IF(B42="convert",$B$10,0)+IF(B43="convert",$B$11,0)+IF(B44="convert",$B$12,0)+IF(B45="convert",$B$13,0))))+$B$15)&gt;$B$16,(((B$3-(IF(B39="preference",$C$7,0)+IF(B41="preference",$C$9,0)+IF(B42="preference",$C$10,0)+IF(B43="preference",$C$11,0)+IF(B44="preference",$C$12,0)+IF(B45="preference",$C$13,0))))+$B$15*$B$16)/((($B$14+$B$8+(IF(B39="convert",$B$7,0)+IF(B41="convert",$B$9,0)+IF(B42="convert",$B$10,0)+IF(B43="convert",$B$11,0)+IF(B44="convert",$B$12,0)+IF(B45="convert",$B$13,0))))+$B$15),((B$3-(IF(B39="preference",$C$7,0)+IF(B41="preference",$C$9,0)+IF(B42="preference",$C$10,0)+IF(B43="preference",$C$11,0)+IF(B44="preference",$C$12,0)+IF(B45="preference",$C$13,0))))/(($B$14+$B$8+(IF(B39="convert",$B$7,0)+IF(B41="convert",$B$9,0)+IF(B42="convert",$B$10,0)+IF(B43="convert",$B$11,0)+IF(B44="convert",$B$12,0)+IF(B45="convert",$B$13,0))))))*$B$8,"preference","convert")</f>
        <v/>
      </c>
      <c r="C49">
        <f>IF($C$8&gt;(IF((((C$3-(IF(C39="preference",$C$7,0)+IF(C41="preference",$C$9,0)+IF(C42="preference",$C$10,0)+IF(C43="preference",$C$11,0)+IF(C44="preference",$C$12,0)+IF(C45="preference",$C$13,0))))+$B$15*$B$16)/((($B$14+$B$8+(IF(C39="convert",$B$7,0)+IF(C41="convert",$B$9,0)+IF(C42="convert",$B$10,0)+IF(C43="convert",$B$11,0)+IF(C44="convert",$B$12,0)+IF(C45="convert",$B$13,0))))+$B$15)&gt;$B$16,(((C$3-(IF(C39="preference",$C$7,0)+IF(C41="preference",$C$9,0)+IF(C42="preference",$C$10,0)+IF(C43="preference",$C$11,0)+IF(C44="preference",$C$12,0)+IF(C45="preference",$C$13,0))))+$B$15*$B$16)/((($B$14+$B$8+(IF(C39="convert",$B$7,0)+IF(C41="convert",$B$9,0)+IF(C42="convert",$B$10,0)+IF(C43="convert",$B$11,0)+IF(C44="convert",$B$12,0)+IF(C45="convert",$B$13,0))))+$B$15),((C$3-(IF(C39="preference",$C$7,0)+IF(C41="preference",$C$9,0)+IF(C42="preference",$C$10,0)+IF(C43="preference",$C$11,0)+IF(C44="preference",$C$12,0)+IF(C45="preference",$C$13,0))))/(($B$14+$B$8+(IF(C39="convert",$B$7,0)+IF(C41="convert",$B$9,0)+IF(C42="convert",$B$10,0)+IF(C43="convert",$B$11,0)+IF(C44="convert",$B$12,0)+IF(C45="convert",$B$13,0))))))*$B$8,"preference","convert")</f>
        <v/>
      </c>
      <c r="D49">
        <f>IF($C$8&gt;(IF((((D$3-(IF(D39="preference",$C$7,0)+IF(D41="preference",$C$9,0)+IF(D42="preference",$C$10,0)+IF(D43="preference",$C$11,0)+IF(D44="preference",$C$12,0)+IF(D45="preference",$C$13,0))))+$B$15*$B$16)/((($B$14+$B$8+(IF(D39="convert",$B$7,0)+IF(D41="convert",$B$9,0)+IF(D42="convert",$B$10,0)+IF(D43="convert",$B$11,0)+IF(D44="convert",$B$12,0)+IF(D45="convert",$B$13,0))))+$B$15)&gt;$B$16,(((D$3-(IF(D39="preference",$C$7,0)+IF(D41="preference",$C$9,0)+IF(D42="preference",$C$10,0)+IF(D43="preference",$C$11,0)+IF(D44="preference",$C$12,0)+IF(D45="preference",$C$13,0))))+$B$15*$B$16)/((($B$14+$B$8+(IF(D39="convert",$B$7,0)+IF(D41="convert",$B$9,0)+IF(D42="convert",$B$10,0)+IF(D43="convert",$B$11,0)+IF(D44="convert",$B$12,0)+IF(D45="convert",$B$13,0))))+$B$15),((D$3-(IF(D39="preference",$C$7,0)+IF(D41="preference",$C$9,0)+IF(D42="preference",$C$10,0)+IF(D43="preference",$C$11,0)+IF(D44="preference",$C$12,0)+IF(D45="preference",$C$13,0))))/(($B$14+$B$8+(IF(D39="convert",$B$7,0)+IF(D41="convert",$B$9,0)+IF(D42="convert",$B$10,0)+IF(D43="convert",$B$11,0)+IF(D44="convert",$B$12,0)+IF(D45="convert",$B$13,0))))))*$B$8,"preference","convert")</f>
        <v/>
      </c>
      <c r="E49">
        <f>IF($C$8&gt;(IF((((E$3-(IF(E39="preference",$C$7,0)+IF(E41="preference",$C$9,0)+IF(E42="preference",$C$10,0)+IF(E43="preference",$C$11,0)+IF(E44="preference",$C$12,0)+IF(E45="preference",$C$13,0))))+$B$15*$B$16)/((($B$14+$B$8+(IF(E39="convert",$B$7,0)+IF(E41="convert",$B$9,0)+IF(E42="convert",$B$10,0)+IF(E43="convert",$B$11,0)+IF(E44="convert",$B$12,0)+IF(E45="convert",$B$13,0))))+$B$15)&gt;$B$16,(((E$3-(IF(E39="preference",$C$7,0)+IF(E41="preference",$C$9,0)+IF(E42="preference",$C$10,0)+IF(E43="preference",$C$11,0)+IF(E44="preference",$C$12,0)+IF(E45="preference",$C$13,0))))+$B$15*$B$16)/((($B$14+$B$8+(IF(E39="convert",$B$7,0)+IF(E41="convert",$B$9,0)+IF(E42="convert",$B$10,0)+IF(E43="convert",$B$11,0)+IF(E44="convert",$B$12,0)+IF(E45="convert",$B$13,0))))+$B$15),((E$3-(IF(E39="preference",$C$7,0)+IF(E41="preference",$C$9,0)+IF(E42="preference",$C$10,0)+IF(E43="preference",$C$11,0)+IF(E44="preference",$C$12,0)+IF(E45="preference",$C$13,0))))/(($B$14+$B$8+(IF(E39="convert",$B$7,0)+IF(E41="convert",$B$9,0)+IF(E42="convert",$B$10,0)+IF(E43="convert",$B$11,0)+IF(E44="convert",$B$12,0)+IF(E45="convert",$B$13,0))))))*$B$8,"preference","convert")</f>
        <v/>
      </c>
      <c r="F49">
        <f>IF($C$8&gt;(IF((((F$3-(IF(F39="preference",$C$7,0)+IF(F41="preference",$C$9,0)+IF(F42="preference",$C$10,0)+IF(F43="preference",$C$11,0)+IF(F44="preference",$C$12,0)+IF(F45="preference",$C$13,0))))+$B$15*$B$16)/((($B$14+$B$8+(IF(F39="convert",$B$7,0)+IF(F41="convert",$B$9,0)+IF(F42="convert",$B$10,0)+IF(F43="convert",$B$11,0)+IF(F44="convert",$B$12,0)+IF(F45="convert",$B$13,0))))+$B$15)&gt;$B$16,(((F$3-(IF(F39="preference",$C$7,0)+IF(F41="preference",$C$9,0)+IF(F42="preference",$C$10,0)+IF(F43="preference",$C$11,0)+IF(F44="preference",$C$12,0)+IF(F45="preference",$C$13,0))))+$B$15*$B$16)/((($B$14+$B$8+(IF(F39="convert",$B$7,0)+IF(F41="convert",$B$9,0)+IF(F42="convert",$B$10,0)+IF(F43="convert",$B$11,0)+IF(F44="convert",$B$12,0)+IF(F45="convert",$B$13,0))))+$B$15),((F$3-(IF(F39="preference",$C$7,0)+IF(F41="preference",$C$9,0)+IF(F42="preference",$C$10,0)+IF(F43="preference",$C$11,0)+IF(F44="preference",$C$12,0)+IF(F45="preference",$C$13,0))))/(($B$14+$B$8+(IF(F39="convert",$B$7,0)+IF(F41="convert",$B$9,0)+IF(F42="convert",$B$10,0)+IF(F43="convert",$B$11,0)+IF(F44="convert",$B$12,0)+IF(F45="convert",$B$13,0))))))*$B$8,"preference","convert")</f>
        <v/>
      </c>
    </row>
    <row r="50">
      <c r="A50" t="inlineStr">
        <is>
          <t>D</t>
        </is>
      </c>
      <c r="B50">
        <f>IF($C$9&gt;(IF((((B$3-(IF(B39="preference",$C$7,0)+IF(B40="preference",$C$8,0)+IF(B42="preference",$C$10,0)+IF(B43="preference",$C$11,0)+IF(B44="preference",$C$12,0)+IF(B45="preference",$C$13,0))))+$B$15*$B$16)/((($B$14+$B$9+(IF(B39="convert",$B$7,0)+IF(B40="convert",$B$8,0)+IF(B42="convert",$B$10,0)+IF(B43="convert",$B$11,0)+IF(B44="convert",$B$12,0)+IF(B45="convert",$B$13,0))))+$B$15)&gt;$B$16,(((B$3-(IF(B39="preference",$C$7,0)+IF(B40="preference",$C$8,0)+IF(B42="preference",$C$10,0)+IF(B43="preference",$C$11,0)+IF(B44="preference",$C$12,0)+IF(B45="preference",$C$13,0))))+$B$15*$B$16)/((($B$14+$B$9+(IF(B39="convert",$B$7,0)+IF(B40="convert",$B$8,0)+IF(B42="convert",$B$10,0)+IF(B43="convert",$B$11,0)+IF(B44="convert",$B$12,0)+IF(B45="convert",$B$13,0))))+$B$15),((B$3-(IF(B39="preference",$C$7,0)+IF(B40="preference",$C$8,0)+IF(B42="preference",$C$10,0)+IF(B43="preference",$C$11,0)+IF(B44="preference",$C$12,0)+IF(B45="preference",$C$13,0))))/(($B$14+$B$9+(IF(B39="convert",$B$7,0)+IF(B40="convert",$B$8,0)+IF(B42="convert",$B$10,0)+IF(B43="convert",$B$11,0)+IF(B44="convert",$B$12,0)+IF(B45="convert",$B$13,0))))))*$B$9,"preference","convert")</f>
        <v/>
      </c>
      <c r="C50">
        <f>IF($C$9&gt;(IF((((C$3-(IF(C39="preference",$C$7,0)+IF(C40="preference",$C$8,0)+IF(C42="preference",$C$10,0)+IF(C43="preference",$C$11,0)+IF(C44="preference",$C$12,0)+IF(C45="preference",$C$13,0))))+$B$15*$B$16)/((($B$14+$B$9+(IF(C39="convert",$B$7,0)+IF(C40="convert",$B$8,0)+IF(C42="convert",$B$10,0)+IF(C43="convert",$B$11,0)+IF(C44="convert",$B$12,0)+IF(C45="convert",$B$13,0))))+$B$15)&gt;$B$16,(((C$3-(IF(C39="preference",$C$7,0)+IF(C40="preference",$C$8,0)+IF(C42="preference",$C$10,0)+IF(C43="preference",$C$11,0)+IF(C44="preference",$C$12,0)+IF(C45="preference",$C$13,0))))+$B$15*$B$16)/((($B$14+$B$9+(IF(C39="convert",$B$7,0)+IF(C40="convert",$B$8,0)+IF(C42="convert",$B$10,0)+IF(C43="convert",$B$11,0)+IF(C44="convert",$B$12,0)+IF(C45="convert",$B$13,0))))+$B$15),((C$3-(IF(C39="preference",$C$7,0)+IF(C40="preference",$C$8,0)+IF(C42="preference",$C$10,0)+IF(C43="preference",$C$11,0)+IF(C44="preference",$C$12,0)+IF(C45="preference",$C$13,0))))/(($B$14+$B$9+(IF(C39="convert",$B$7,0)+IF(C40="convert",$B$8,0)+IF(C42="convert",$B$10,0)+IF(C43="convert",$B$11,0)+IF(C44="convert",$B$12,0)+IF(C45="convert",$B$13,0))))))*$B$9,"preference","convert")</f>
        <v/>
      </c>
      <c r="D50">
        <f>IF($C$9&gt;(IF((((D$3-(IF(D39="preference",$C$7,0)+IF(D40="preference",$C$8,0)+IF(D42="preference",$C$10,0)+IF(D43="preference",$C$11,0)+IF(D44="preference",$C$12,0)+IF(D45="preference",$C$13,0))))+$B$15*$B$16)/((($B$14+$B$9+(IF(D39="convert",$B$7,0)+IF(D40="convert",$B$8,0)+IF(D42="convert",$B$10,0)+IF(D43="convert",$B$11,0)+IF(D44="convert",$B$12,0)+IF(D45="convert",$B$13,0))))+$B$15)&gt;$B$16,(((D$3-(IF(D39="preference",$C$7,0)+IF(D40="preference",$C$8,0)+IF(D42="preference",$C$10,0)+IF(D43="preference",$C$11,0)+IF(D44="preference",$C$12,0)+IF(D45="preference",$C$13,0))))+$B$15*$B$16)/((($B$14+$B$9+(IF(D39="convert",$B$7,0)+IF(D40="convert",$B$8,0)+IF(D42="convert",$B$10,0)+IF(D43="convert",$B$11,0)+IF(D44="convert",$B$12,0)+IF(D45="convert",$B$13,0))))+$B$15),((D$3-(IF(D39="preference",$C$7,0)+IF(D40="preference",$C$8,0)+IF(D42="preference",$C$10,0)+IF(D43="preference",$C$11,0)+IF(D44="preference",$C$12,0)+IF(D45="preference",$C$13,0))))/(($B$14+$B$9+(IF(D39="convert",$B$7,0)+IF(D40="convert",$B$8,0)+IF(D42="convert",$B$10,0)+IF(D43="convert",$B$11,0)+IF(D44="convert",$B$12,0)+IF(D45="convert",$B$13,0))))))*$B$9,"preference","convert")</f>
        <v/>
      </c>
      <c r="E50">
        <f>IF($C$9&gt;(IF((((E$3-(IF(E39="preference",$C$7,0)+IF(E40="preference",$C$8,0)+IF(E42="preference",$C$10,0)+IF(E43="preference",$C$11,0)+IF(E44="preference",$C$12,0)+IF(E45="preference",$C$13,0))))+$B$15*$B$16)/((($B$14+$B$9+(IF(E39="convert",$B$7,0)+IF(E40="convert",$B$8,0)+IF(E42="convert",$B$10,0)+IF(E43="convert",$B$11,0)+IF(E44="convert",$B$12,0)+IF(E45="convert",$B$13,0))))+$B$15)&gt;$B$16,(((E$3-(IF(E39="preference",$C$7,0)+IF(E40="preference",$C$8,0)+IF(E42="preference",$C$10,0)+IF(E43="preference",$C$11,0)+IF(E44="preference",$C$12,0)+IF(E45="preference",$C$13,0))))+$B$15*$B$16)/((($B$14+$B$9+(IF(E39="convert",$B$7,0)+IF(E40="convert",$B$8,0)+IF(E42="convert",$B$10,0)+IF(E43="convert",$B$11,0)+IF(E44="convert",$B$12,0)+IF(E45="convert",$B$13,0))))+$B$15),((E$3-(IF(E39="preference",$C$7,0)+IF(E40="preference",$C$8,0)+IF(E42="preference",$C$10,0)+IF(E43="preference",$C$11,0)+IF(E44="preference",$C$12,0)+IF(E45="preference",$C$13,0))))/(($B$14+$B$9+(IF(E39="convert",$B$7,0)+IF(E40="convert",$B$8,0)+IF(E42="convert",$B$10,0)+IF(E43="convert",$B$11,0)+IF(E44="convert",$B$12,0)+IF(E45="convert",$B$13,0))))))*$B$9,"preference","convert")</f>
        <v/>
      </c>
      <c r="F50">
        <f>IF($C$9&gt;(IF((((F$3-(IF(F39="preference",$C$7,0)+IF(F40="preference",$C$8,0)+IF(F42="preference",$C$10,0)+IF(F43="preference",$C$11,0)+IF(F44="preference",$C$12,0)+IF(F45="preference",$C$13,0))))+$B$15*$B$16)/((($B$14+$B$9+(IF(F39="convert",$B$7,0)+IF(F40="convert",$B$8,0)+IF(F42="convert",$B$10,0)+IF(F43="convert",$B$11,0)+IF(F44="convert",$B$12,0)+IF(F45="convert",$B$13,0))))+$B$15)&gt;$B$16,(((F$3-(IF(F39="preference",$C$7,0)+IF(F40="preference",$C$8,0)+IF(F42="preference",$C$10,0)+IF(F43="preference",$C$11,0)+IF(F44="preference",$C$12,0)+IF(F45="preference",$C$13,0))))+$B$15*$B$16)/((($B$14+$B$9+(IF(F39="convert",$B$7,0)+IF(F40="convert",$B$8,0)+IF(F42="convert",$B$10,0)+IF(F43="convert",$B$11,0)+IF(F44="convert",$B$12,0)+IF(F45="convert",$B$13,0))))+$B$15),((F$3-(IF(F39="preference",$C$7,0)+IF(F40="preference",$C$8,0)+IF(F42="preference",$C$10,0)+IF(F43="preference",$C$11,0)+IF(F44="preference",$C$12,0)+IF(F45="preference",$C$13,0))))/(($B$14+$B$9+(IF(F39="convert",$B$7,0)+IF(F40="convert",$B$8,0)+IF(F42="convert",$B$10,0)+IF(F43="convert",$B$11,0)+IF(F44="convert",$B$12,0)+IF(F45="convert",$B$13,0))))))*$B$9,"preference","convert")</f>
        <v/>
      </c>
    </row>
    <row r="51">
      <c r="A51" t="inlineStr">
        <is>
          <t>C</t>
        </is>
      </c>
      <c r="B51">
        <f>IF($C$10&gt;(IF((((B$3-(IF(B39="preference",$C$7,0)+IF(B40="preference",$C$8,0)+IF(B41="preference",$C$9,0)+IF(B43="preference",$C$11,0)+IF(B44="preference",$C$12,0)+IF(B45="preference",$C$13,0))))+$B$15*$B$16)/((($B$14+$B$10+(IF(B39="convert",$B$7,0)+IF(B40="convert",$B$8,0)+IF(B41="convert",$B$9,0)+IF(B43="convert",$B$11,0)+IF(B44="convert",$B$12,0)+IF(B45="convert",$B$13,0))))+$B$15)&gt;$B$16,(((B$3-(IF(B39="preference",$C$7,0)+IF(B40="preference",$C$8,0)+IF(B41="preference",$C$9,0)+IF(B43="preference",$C$11,0)+IF(B44="preference",$C$12,0)+IF(B45="preference",$C$13,0))))+$B$15*$B$16)/((($B$14+$B$10+(IF(B39="convert",$B$7,0)+IF(B40="convert",$B$8,0)+IF(B41="convert",$B$9,0)+IF(B43="convert",$B$11,0)+IF(B44="convert",$B$12,0)+IF(B45="convert",$B$13,0))))+$B$15),((B$3-(IF(B39="preference",$C$7,0)+IF(B40="preference",$C$8,0)+IF(B41="preference",$C$9,0)+IF(B43="preference",$C$11,0)+IF(B44="preference",$C$12,0)+IF(B45="preference",$C$13,0))))/(($B$14+$B$10+(IF(B39="convert",$B$7,0)+IF(B40="convert",$B$8,0)+IF(B41="convert",$B$9,0)+IF(B43="convert",$B$11,0)+IF(B44="convert",$B$12,0)+IF(B45="convert",$B$13,0))))))*$B$10,"preference","convert")</f>
        <v/>
      </c>
      <c r="C51">
        <f>IF($C$10&gt;(IF((((C$3-(IF(C39="preference",$C$7,0)+IF(C40="preference",$C$8,0)+IF(C41="preference",$C$9,0)+IF(C43="preference",$C$11,0)+IF(C44="preference",$C$12,0)+IF(C45="preference",$C$13,0))))+$B$15*$B$16)/((($B$14+$B$10+(IF(C39="convert",$B$7,0)+IF(C40="convert",$B$8,0)+IF(C41="convert",$B$9,0)+IF(C43="convert",$B$11,0)+IF(C44="convert",$B$12,0)+IF(C45="convert",$B$13,0))))+$B$15)&gt;$B$16,(((C$3-(IF(C39="preference",$C$7,0)+IF(C40="preference",$C$8,0)+IF(C41="preference",$C$9,0)+IF(C43="preference",$C$11,0)+IF(C44="preference",$C$12,0)+IF(C45="preference",$C$13,0))))+$B$15*$B$16)/((($B$14+$B$10+(IF(C39="convert",$B$7,0)+IF(C40="convert",$B$8,0)+IF(C41="convert",$B$9,0)+IF(C43="convert",$B$11,0)+IF(C44="convert",$B$12,0)+IF(C45="convert",$B$13,0))))+$B$15),((C$3-(IF(C39="preference",$C$7,0)+IF(C40="preference",$C$8,0)+IF(C41="preference",$C$9,0)+IF(C43="preference",$C$11,0)+IF(C44="preference",$C$12,0)+IF(C45="preference",$C$13,0))))/(($B$14+$B$10+(IF(C39="convert",$B$7,0)+IF(C40="convert",$B$8,0)+IF(C41="convert",$B$9,0)+IF(C43="convert",$B$11,0)+IF(C44="convert",$B$12,0)+IF(C45="convert",$B$13,0))))))*$B$10,"preference","convert")</f>
        <v/>
      </c>
      <c r="D51">
        <f>IF($C$10&gt;(IF((((D$3-(IF(D39="preference",$C$7,0)+IF(D40="preference",$C$8,0)+IF(D41="preference",$C$9,0)+IF(D43="preference",$C$11,0)+IF(D44="preference",$C$12,0)+IF(D45="preference",$C$13,0))))+$B$15*$B$16)/((($B$14+$B$10+(IF(D39="convert",$B$7,0)+IF(D40="convert",$B$8,0)+IF(D41="convert",$B$9,0)+IF(D43="convert",$B$11,0)+IF(D44="convert",$B$12,0)+IF(D45="convert",$B$13,0))))+$B$15)&gt;$B$16,(((D$3-(IF(D39="preference",$C$7,0)+IF(D40="preference",$C$8,0)+IF(D41="preference",$C$9,0)+IF(D43="preference",$C$11,0)+IF(D44="preference",$C$12,0)+IF(D45="preference",$C$13,0))))+$B$15*$B$16)/((($B$14+$B$10+(IF(D39="convert",$B$7,0)+IF(D40="convert",$B$8,0)+IF(D41="convert",$B$9,0)+IF(D43="convert",$B$11,0)+IF(D44="convert",$B$12,0)+IF(D45="convert",$B$13,0))))+$B$15),((D$3-(IF(D39="preference",$C$7,0)+IF(D40="preference",$C$8,0)+IF(D41="preference",$C$9,0)+IF(D43="preference",$C$11,0)+IF(D44="preference",$C$12,0)+IF(D45="preference",$C$13,0))))/(($B$14+$B$10+(IF(D39="convert",$B$7,0)+IF(D40="convert",$B$8,0)+IF(D41="convert",$B$9,0)+IF(D43="convert",$B$11,0)+IF(D44="convert",$B$12,0)+IF(D45="convert",$B$13,0))))))*$B$10,"preference","convert")</f>
        <v/>
      </c>
      <c r="E51">
        <f>IF($C$10&gt;(IF((((E$3-(IF(E39="preference",$C$7,0)+IF(E40="preference",$C$8,0)+IF(E41="preference",$C$9,0)+IF(E43="preference",$C$11,0)+IF(E44="preference",$C$12,0)+IF(E45="preference",$C$13,0))))+$B$15*$B$16)/((($B$14+$B$10+(IF(E39="convert",$B$7,0)+IF(E40="convert",$B$8,0)+IF(E41="convert",$B$9,0)+IF(E43="convert",$B$11,0)+IF(E44="convert",$B$12,0)+IF(E45="convert",$B$13,0))))+$B$15)&gt;$B$16,(((E$3-(IF(E39="preference",$C$7,0)+IF(E40="preference",$C$8,0)+IF(E41="preference",$C$9,0)+IF(E43="preference",$C$11,0)+IF(E44="preference",$C$12,0)+IF(E45="preference",$C$13,0))))+$B$15*$B$16)/((($B$14+$B$10+(IF(E39="convert",$B$7,0)+IF(E40="convert",$B$8,0)+IF(E41="convert",$B$9,0)+IF(E43="convert",$B$11,0)+IF(E44="convert",$B$12,0)+IF(E45="convert",$B$13,0))))+$B$15),((E$3-(IF(E39="preference",$C$7,0)+IF(E40="preference",$C$8,0)+IF(E41="preference",$C$9,0)+IF(E43="preference",$C$11,0)+IF(E44="preference",$C$12,0)+IF(E45="preference",$C$13,0))))/(($B$14+$B$10+(IF(E39="convert",$B$7,0)+IF(E40="convert",$B$8,0)+IF(E41="convert",$B$9,0)+IF(E43="convert",$B$11,0)+IF(E44="convert",$B$12,0)+IF(E45="convert",$B$13,0))))))*$B$10,"preference","convert")</f>
        <v/>
      </c>
      <c r="F51">
        <f>IF($C$10&gt;(IF((((F$3-(IF(F39="preference",$C$7,0)+IF(F40="preference",$C$8,0)+IF(F41="preference",$C$9,0)+IF(F43="preference",$C$11,0)+IF(F44="preference",$C$12,0)+IF(F45="preference",$C$13,0))))+$B$15*$B$16)/((($B$14+$B$10+(IF(F39="convert",$B$7,0)+IF(F40="convert",$B$8,0)+IF(F41="convert",$B$9,0)+IF(F43="convert",$B$11,0)+IF(F44="convert",$B$12,0)+IF(F45="convert",$B$13,0))))+$B$15)&gt;$B$16,(((F$3-(IF(F39="preference",$C$7,0)+IF(F40="preference",$C$8,0)+IF(F41="preference",$C$9,0)+IF(F43="preference",$C$11,0)+IF(F44="preference",$C$12,0)+IF(F45="preference",$C$13,0))))+$B$15*$B$16)/((($B$14+$B$10+(IF(F39="convert",$B$7,0)+IF(F40="convert",$B$8,0)+IF(F41="convert",$B$9,0)+IF(F43="convert",$B$11,0)+IF(F44="convert",$B$12,0)+IF(F45="convert",$B$13,0))))+$B$15),((F$3-(IF(F39="preference",$C$7,0)+IF(F40="preference",$C$8,0)+IF(F41="preference",$C$9,0)+IF(F43="preference",$C$11,0)+IF(F44="preference",$C$12,0)+IF(F45="preference",$C$13,0))))/(($B$14+$B$10+(IF(F39="convert",$B$7,0)+IF(F40="convert",$B$8,0)+IF(F41="convert",$B$9,0)+IF(F43="convert",$B$11,0)+IF(F44="convert",$B$12,0)+IF(F45="convert",$B$13,0))))))*$B$10,"preference","convert")</f>
        <v/>
      </c>
    </row>
    <row r="52">
      <c r="A52" t="inlineStr">
        <is>
          <t>B</t>
        </is>
      </c>
      <c r="B52">
        <f>IF($C$11&gt;(IF((((B$3-(IF(B39="preference",$C$7,0)+IF(B40="preference",$C$8,0)+IF(B41="preference",$C$9,0)+IF(B42="preference",$C$10,0)+IF(B44="preference",$C$12,0)+IF(B45="preference",$C$13,0))))+$B$15*$B$16)/((($B$14+$B$11+(IF(B39="convert",$B$7,0)+IF(B40="convert",$B$8,0)+IF(B41="convert",$B$9,0)+IF(B42="convert",$B$10,0)+IF(B44="convert",$B$12,0)+IF(B45="convert",$B$13,0))))+$B$15)&gt;$B$16,(((B$3-(IF(B39="preference",$C$7,0)+IF(B40="preference",$C$8,0)+IF(B41="preference",$C$9,0)+IF(B42="preference",$C$10,0)+IF(B44="preference",$C$12,0)+IF(B45="preference",$C$13,0))))+$B$15*$B$16)/((($B$14+$B$11+(IF(B39="convert",$B$7,0)+IF(B40="convert",$B$8,0)+IF(B41="convert",$B$9,0)+IF(B42="convert",$B$10,0)+IF(B44="convert",$B$12,0)+IF(B45="convert",$B$13,0))))+$B$15),((B$3-(IF(B39="preference",$C$7,0)+IF(B40="preference",$C$8,0)+IF(B41="preference",$C$9,0)+IF(B42="preference",$C$10,0)+IF(B44="preference",$C$12,0)+IF(B45="preference",$C$13,0))))/(($B$14+$B$11+(IF(B39="convert",$B$7,0)+IF(B40="convert",$B$8,0)+IF(B41="convert",$B$9,0)+IF(B42="convert",$B$10,0)+IF(B44="convert",$B$12,0)+IF(B45="convert",$B$13,0))))))*$B$11,"preference","convert")</f>
        <v/>
      </c>
      <c r="C52">
        <f>IF($C$11&gt;(IF((((C$3-(IF(C39="preference",$C$7,0)+IF(C40="preference",$C$8,0)+IF(C41="preference",$C$9,0)+IF(C42="preference",$C$10,0)+IF(C44="preference",$C$12,0)+IF(C45="preference",$C$13,0))))+$B$15*$B$16)/((($B$14+$B$11+(IF(C39="convert",$B$7,0)+IF(C40="convert",$B$8,0)+IF(C41="convert",$B$9,0)+IF(C42="convert",$B$10,0)+IF(C44="convert",$B$12,0)+IF(C45="convert",$B$13,0))))+$B$15)&gt;$B$16,(((C$3-(IF(C39="preference",$C$7,0)+IF(C40="preference",$C$8,0)+IF(C41="preference",$C$9,0)+IF(C42="preference",$C$10,0)+IF(C44="preference",$C$12,0)+IF(C45="preference",$C$13,0))))+$B$15*$B$16)/((($B$14+$B$11+(IF(C39="convert",$B$7,0)+IF(C40="convert",$B$8,0)+IF(C41="convert",$B$9,0)+IF(C42="convert",$B$10,0)+IF(C44="convert",$B$12,0)+IF(C45="convert",$B$13,0))))+$B$15),((C$3-(IF(C39="preference",$C$7,0)+IF(C40="preference",$C$8,0)+IF(C41="preference",$C$9,0)+IF(C42="preference",$C$10,0)+IF(C44="preference",$C$12,0)+IF(C45="preference",$C$13,0))))/(($B$14+$B$11+(IF(C39="convert",$B$7,0)+IF(C40="convert",$B$8,0)+IF(C41="convert",$B$9,0)+IF(C42="convert",$B$10,0)+IF(C44="convert",$B$12,0)+IF(C45="convert",$B$13,0))))))*$B$11,"preference","convert")</f>
        <v/>
      </c>
      <c r="D52">
        <f>IF($C$11&gt;(IF((((D$3-(IF(D39="preference",$C$7,0)+IF(D40="preference",$C$8,0)+IF(D41="preference",$C$9,0)+IF(D42="preference",$C$10,0)+IF(D44="preference",$C$12,0)+IF(D45="preference",$C$13,0))))+$B$15*$B$16)/((($B$14+$B$11+(IF(D39="convert",$B$7,0)+IF(D40="convert",$B$8,0)+IF(D41="convert",$B$9,0)+IF(D42="convert",$B$10,0)+IF(D44="convert",$B$12,0)+IF(D45="convert",$B$13,0))))+$B$15)&gt;$B$16,(((D$3-(IF(D39="preference",$C$7,0)+IF(D40="preference",$C$8,0)+IF(D41="preference",$C$9,0)+IF(D42="preference",$C$10,0)+IF(D44="preference",$C$12,0)+IF(D45="preference",$C$13,0))))+$B$15*$B$16)/((($B$14+$B$11+(IF(D39="convert",$B$7,0)+IF(D40="convert",$B$8,0)+IF(D41="convert",$B$9,0)+IF(D42="convert",$B$10,0)+IF(D44="convert",$B$12,0)+IF(D45="convert",$B$13,0))))+$B$15),((D$3-(IF(D39="preference",$C$7,0)+IF(D40="preference",$C$8,0)+IF(D41="preference",$C$9,0)+IF(D42="preference",$C$10,0)+IF(D44="preference",$C$12,0)+IF(D45="preference",$C$13,0))))/(($B$14+$B$11+(IF(D39="convert",$B$7,0)+IF(D40="convert",$B$8,0)+IF(D41="convert",$B$9,0)+IF(D42="convert",$B$10,0)+IF(D44="convert",$B$12,0)+IF(D45="convert",$B$13,0))))))*$B$11,"preference","convert")</f>
        <v/>
      </c>
      <c r="E52">
        <f>IF($C$11&gt;(IF((((E$3-(IF(E39="preference",$C$7,0)+IF(E40="preference",$C$8,0)+IF(E41="preference",$C$9,0)+IF(E42="preference",$C$10,0)+IF(E44="preference",$C$12,0)+IF(E45="preference",$C$13,0))))+$B$15*$B$16)/((($B$14+$B$11+(IF(E39="convert",$B$7,0)+IF(E40="convert",$B$8,0)+IF(E41="convert",$B$9,0)+IF(E42="convert",$B$10,0)+IF(E44="convert",$B$12,0)+IF(E45="convert",$B$13,0))))+$B$15)&gt;$B$16,(((E$3-(IF(E39="preference",$C$7,0)+IF(E40="preference",$C$8,0)+IF(E41="preference",$C$9,0)+IF(E42="preference",$C$10,0)+IF(E44="preference",$C$12,0)+IF(E45="preference",$C$13,0))))+$B$15*$B$16)/((($B$14+$B$11+(IF(E39="convert",$B$7,0)+IF(E40="convert",$B$8,0)+IF(E41="convert",$B$9,0)+IF(E42="convert",$B$10,0)+IF(E44="convert",$B$12,0)+IF(E45="convert",$B$13,0))))+$B$15),((E$3-(IF(E39="preference",$C$7,0)+IF(E40="preference",$C$8,0)+IF(E41="preference",$C$9,0)+IF(E42="preference",$C$10,0)+IF(E44="preference",$C$12,0)+IF(E45="preference",$C$13,0))))/(($B$14+$B$11+(IF(E39="convert",$B$7,0)+IF(E40="convert",$B$8,0)+IF(E41="convert",$B$9,0)+IF(E42="convert",$B$10,0)+IF(E44="convert",$B$12,0)+IF(E45="convert",$B$13,0))))))*$B$11,"preference","convert")</f>
        <v/>
      </c>
      <c r="F52">
        <f>IF($C$11&gt;(IF((((F$3-(IF(F39="preference",$C$7,0)+IF(F40="preference",$C$8,0)+IF(F41="preference",$C$9,0)+IF(F42="preference",$C$10,0)+IF(F44="preference",$C$12,0)+IF(F45="preference",$C$13,0))))+$B$15*$B$16)/((($B$14+$B$11+(IF(F39="convert",$B$7,0)+IF(F40="convert",$B$8,0)+IF(F41="convert",$B$9,0)+IF(F42="convert",$B$10,0)+IF(F44="convert",$B$12,0)+IF(F45="convert",$B$13,0))))+$B$15)&gt;$B$16,(((F$3-(IF(F39="preference",$C$7,0)+IF(F40="preference",$C$8,0)+IF(F41="preference",$C$9,0)+IF(F42="preference",$C$10,0)+IF(F44="preference",$C$12,0)+IF(F45="preference",$C$13,0))))+$B$15*$B$16)/((($B$14+$B$11+(IF(F39="convert",$B$7,0)+IF(F40="convert",$B$8,0)+IF(F41="convert",$B$9,0)+IF(F42="convert",$B$10,0)+IF(F44="convert",$B$12,0)+IF(F45="convert",$B$13,0))))+$B$15),((F$3-(IF(F39="preference",$C$7,0)+IF(F40="preference",$C$8,0)+IF(F41="preference",$C$9,0)+IF(F42="preference",$C$10,0)+IF(F44="preference",$C$12,0)+IF(F45="preference",$C$13,0))))/(($B$14+$B$11+(IF(F39="convert",$B$7,0)+IF(F40="convert",$B$8,0)+IF(F41="convert",$B$9,0)+IF(F42="convert",$B$10,0)+IF(F44="convert",$B$12,0)+IF(F45="convert",$B$13,0))))))*$B$11,"preference","convert")</f>
        <v/>
      </c>
    </row>
    <row r="53">
      <c r="A53" t="inlineStr">
        <is>
          <t>A</t>
        </is>
      </c>
      <c r="B53">
        <f>IF($C$12&gt;(IF((((B$3-(IF(B39="preference",$C$7,0)+IF(B40="preference",$C$8,0)+IF(B41="preference",$C$9,0)+IF(B42="preference",$C$10,0)+IF(B43="preference",$C$11,0)+IF(B45="preference",$C$13,0))))+$B$15*$B$16)/((($B$14+$B$12+(IF(B39="convert",$B$7,0)+IF(B40="convert",$B$8,0)+IF(B41="convert",$B$9,0)+IF(B42="convert",$B$10,0)+IF(B43="convert",$B$11,0)+IF(B45="convert",$B$13,0))))+$B$15)&gt;$B$16,(((B$3-(IF(B39="preference",$C$7,0)+IF(B40="preference",$C$8,0)+IF(B41="preference",$C$9,0)+IF(B42="preference",$C$10,0)+IF(B43="preference",$C$11,0)+IF(B45="preference",$C$13,0))))+$B$15*$B$16)/((($B$14+$B$12+(IF(B39="convert",$B$7,0)+IF(B40="convert",$B$8,0)+IF(B41="convert",$B$9,0)+IF(B42="convert",$B$10,0)+IF(B43="convert",$B$11,0)+IF(B45="convert",$B$13,0))))+$B$15),((B$3-(IF(B39="preference",$C$7,0)+IF(B40="preference",$C$8,0)+IF(B41="preference",$C$9,0)+IF(B42="preference",$C$10,0)+IF(B43="preference",$C$11,0)+IF(B45="preference",$C$13,0))))/(($B$14+$B$12+(IF(B39="convert",$B$7,0)+IF(B40="convert",$B$8,0)+IF(B41="convert",$B$9,0)+IF(B42="convert",$B$10,0)+IF(B43="convert",$B$11,0)+IF(B45="convert",$B$13,0))))))*$B$12,"preference","convert")</f>
        <v/>
      </c>
      <c r="C53">
        <f>IF($C$12&gt;(IF((((C$3-(IF(C39="preference",$C$7,0)+IF(C40="preference",$C$8,0)+IF(C41="preference",$C$9,0)+IF(C42="preference",$C$10,0)+IF(C43="preference",$C$11,0)+IF(C45="preference",$C$13,0))))+$B$15*$B$16)/((($B$14+$B$12+(IF(C39="convert",$B$7,0)+IF(C40="convert",$B$8,0)+IF(C41="convert",$B$9,0)+IF(C42="convert",$B$10,0)+IF(C43="convert",$B$11,0)+IF(C45="convert",$B$13,0))))+$B$15)&gt;$B$16,(((C$3-(IF(C39="preference",$C$7,0)+IF(C40="preference",$C$8,0)+IF(C41="preference",$C$9,0)+IF(C42="preference",$C$10,0)+IF(C43="preference",$C$11,0)+IF(C45="preference",$C$13,0))))+$B$15*$B$16)/((($B$14+$B$12+(IF(C39="convert",$B$7,0)+IF(C40="convert",$B$8,0)+IF(C41="convert",$B$9,0)+IF(C42="convert",$B$10,0)+IF(C43="convert",$B$11,0)+IF(C45="convert",$B$13,0))))+$B$15),((C$3-(IF(C39="preference",$C$7,0)+IF(C40="preference",$C$8,0)+IF(C41="preference",$C$9,0)+IF(C42="preference",$C$10,0)+IF(C43="preference",$C$11,0)+IF(C45="preference",$C$13,0))))/(($B$14+$B$12+(IF(C39="convert",$B$7,0)+IF(C40="convert",$B$8,0)+IF(C41="convert",$B$9,0)+IF(C42="convert",$B$10,0)+IF(C43="convert",$B$11,0)+IF(C45="convert",$B$13,0))))))*$B$12,"preference","convert")</f>
        <v/>
      </c>
      <c r="D53">
        <f>IF($C$12&gt;(IF((((D$3-(IF(D39="preference",$C$7,0)+IF(D40="preference",$C$8,0)+IF(D41="preference",$C$9,0)+IF(D42="preference",$C$10,0)+IF(D43="preference",$C$11,0)+IF(D45="preference",$C$13,0))))+$B$15*$B$16)/((($B$14+$B$12+(IF(D39="convert",$B$7,0)+IF(D40="convert",$B$8,0)+IF(D41="convert",$B$9,0)+IF(D42="convert",$B$10,0)+IF(D43="convert",$B$11,0)+IF(D45="convert",$B$13,0))))+$B$15)&gt;$B$16,(((D$3-(IF(D39="preference",$C$7,0)+IF(D40="preference",$C$8,0)+IF(D41="preference",$C$9,0)+IF(D42="preference",$C$10,0)+IF(D43="preference",$C$11,0)+IF(D45="preference",$C$13,0))))+$B$15*$B$16)/((($B$14+$B$12+(IF(D39="convert",$B$7,0)+IF(D40="convert",$B$8,0)+IF(D41="convert",$B$9,0)+IF(D42="convert",$B$10,0)+IF(D43="convert",$B$11,0)+IF(D45="convert",$B$13,0))))+$B$15),((D$3-(IF(D39="preference",$C$7,0)+IF(D40="preference",$C$8,0)+IF(D41="preference",$C$9,0)+IF(D42="preference",$C$10,0)+IF(D43="preference",$C$11,0)+IF(D45="preference",$C$13,0))))/(($B$14+$B$12+(IF(D39="convert",$B$7,0)+IF(D40="convert",$B$8,0)+IF(D41="convert",$B$9,0)+IF(D42="convert",$B$10,0)+IF(D43="convert",$B$11,0)+IF(D45="convert",$B$13,0))))))*$B$12,"preference","convert")</f>
        <v/>
      </c>
      <c r="E53">
        <f>IF($C$12&gt;(IF((((E$3-(IF(E39="preference",$C$7,0)+IF(E40="preference",$C$8,0)+IF(E41="preference",$C$9,0)+IF(E42="preference",$C$10,0)+IF(E43="preference",$C$11,0)+IF(E45="preference",$C$13,0))))+$B$15*$B$16)/((($B$14+$B$12+(IF(E39="convert",$B$7,0)+IF(E40="convert",$B$8,0)+IF(E41="convert",$B$9,0)+IF(E42="convert",$B$10,0)+IF(E43="convert",$B$11,0)+IF(E45="convert",$B$13,0))))+$B$15)&gt;$B$16,(((E$3-(IF(E39="preference",$C$7,0)+IF(E40="preference",$C$8,0)+IF(E41="preference",$C$9,0)+IF(E42="preference",$C$10,0)+IF(E43="preference",$C$11,0)+IF(E45="preference",$C$13,0))))+$B$15*$B$16)/((($B$14+$B$12+(IF(E39="convert",$B$7,0)+IF(E40="convert",$B$8,0)+IF(E41="convert",$B$9,0)+IF(E42="convert",$B$10,0)+IF(E43="convert",$B$11,0)+IF(E45="convert",$B$13,0))))+$B$15),((E$3-(IF(E39="preference",$C$7,0)+IF(E40="preference",$C$8,0)+IF(E41="preference",$C$9,0)+IF(E42="preference",$C$10,0)+IF(E43="preference",$C$11,0)+IF(E45="preference",$C$13,0))))/(($B$14+$B$12+(IF(E39="convert",$B$7,0)+IF(E40="convert",$B$8,0)+IF(E41="convert",$B$9,0)+IF(E42="convert",$B$10,0)+IF(E43="convert",$B$11,0)+IF(E45="convert",$B$13,0))))))*$B$12,"preference","convert")</f>
        <v/>
      </c>
      <c r="F53">
        <f>IF($C$12&gt;(IF((((F$3-(IF(F39="preference",$C$7,0)+IF(F40="preference",$C$8,0)+IF(F41="preference",$C$9,0)+IF(F42="preference",$C$10,0)+IF(F43="preference",$C$11,0)+IF(F45="preference",$C$13,0))))+$B$15*$B$16)/((($B$14+$B$12+(IF(F39="convert",$B$7,0)+IF(F40="convert",$B$8,0)+IF(F41="convert",$B$9,0)+IF(F42="convert",$B$10,0)+IF(F43="convert",$B$11,0)+IF(F45="convert",$B$13,0))))+$B$15)&gt;$B$16,(((F$3-(IF(F39="preference",$C$7,0)+IF(F40="preference",$C$8,0)+IF(F41="preference",$C$9,0)+IF(F42="preference",$C$10,0)+IF(F43="preference",$C$11,0)+IF(F45="preference",$C$13,0))))+$B$15*$B$16)/((($B$14+$B$12+(IF(F39="convert",$B$7,0)+IF(F40="convert",$B$8,0)+IF(F41="convert",$B$9,0)+IF(F42="convert",$B$10,0)+IF(F43="convert",$B$11,0)+IF(F45="convert",$B$13,0))))+$B$15),((F$3-(IF(F39="preference",$C$7,0)+IF(F40="preference",$C$8,0)+IF(F41="preference",$C$9,0)+IF(F42="preference",$C$10,0)+IF(F43="preference",$C$11,0)+IF(F45="preference",$C$13,0))))/(($B$14+$B$12+(IF(F39="convert",$B$7,0)+IF(F40="convert",$B$8,0)+IF(F41="convert",$B$9,0)+IF(F42="convert",$B$10,0)+IF(F43="convert",$B$11,0)+IF(F45="convert",$B$13,0))))))*$B$12,"preference","convert")</f>
        <v/>
      </c>
    </row>
    <row r="54">
      <c r="A54" t="inlineStr">
        <is>
          <t>Seed</t>
        </is>
      </c>
      <c r="B54">
        <f>IF($C$13&gt;(IF((((B$3-(IF(B39="preference",$C$7,0)+IF(B40="preference",$C$8,0)+IF(B41="preference",$C$9,0)+IF(B42="preference",$C$10,0)+IF(B43="preference",$C$11,0)+IF(B44="preference",$C$12,0))))+$B$15*$B$16)/((($B$14+$B$13+(IF(B39="convert",$B$7,0)+IF(B40="convert",$B$8,0)+IF(B41="convert",$B$9,0)+IF(B42="convert",$B$10,0)+IF(B43="convert",$B$11,0)+IF(B44="convert",$B$12,0))))+$B$15)&gt;$B$16,(((B$3-(IF(B39="preference",$C$7,0)+IF(B40="preference",$C$8,0)+IF(B41="preference",$C$9,0)+IF(B42="preference",$C$10,0)+IF(B43="preference",$C$11,0)+IF(B44="preference",$C$12,0))))+$B$15*$B$16)/((($B$14+$B$13+(IF(B39="convert",$B$7,0)+IF(B40="convert",$B$8,0)+IF(B41="convert",$B$9,0)+IF(B42="convert",$B$10,0)+IF(B43="convert",$B$11,0)+IF(B44="convert",$B$12,0))))+$B$15),((B$3-(IF(B39="preference",$C$7,0)+IF(B40="preference",$C$8,0)+IF(B41="preference",$C$9,0)+IF(B42="preference",$C$10,0)+IF(B43="preference",$C$11,0)+IF(B44="preference",$C$12,0))))/(($B$14+$B$13+(IF(B39="convert",$B$7,0)+IF(B40="convert",$B$8,0)+IF(B41="convert",$B$9,0)+IF(B42="convert",$B$10,0)+IF(B43="convert",$B$11,0)+IF(B44="convert",$B$12,0))))))*$B$13,"preference","convert")</f>
        <v/>
      </c>
      <c r="C54">
        <f>IF($C$13&gt;(IF((((C$3-(IF(C39="preference",$C$7,0)+IF(C40="preference",$C$8,0)+IF(C41="preference",$C$9,0)+IF(C42="preference",$C$10,0)+IF(C43="preference",$C$11,0)+IF(C44="preference",$C$12,0))))+$B$15*$B$16)/((($B$14+$B$13+(IF(C39="convert",$B$7,0)+IF(C40="convert",$B$8,0)+IF(C41="convert",$B$9,0)+IF(C42="convert",$B$10,0)+IF(C43="convert",$B$11,0)+IF(C44="convert",$B$12,0))))+$B$15)&gt;$B$16,(((C$3-(IF(C39="preference",$C$7,0)+IF(C40="preference",$C$8,0)+IF(C41="preference",$C$9,0)+IF(C42="preference",$C$10,0)+IF(C43="preference",$C$11,0)+IF(C44="preference",$C$12,0))))+$B$15*$B$16)/((($B$14+$B$13+(IF(C39="convert",$B$7,0)+IF(C40="convert",$B$8,0)+IF(C41="convert",$B$9,0)+IF(C42="convert",$B$10,0)+IF(C43="convert",$B$11,0)+IF(C44="convert",$B$12,0))))+$B$15),((C$3-(IF(C39="preference",$C$7,0)+IF(C40="preference",$C$8,0)+IF(C41="preference",$C$9,0)+IF(C42="preference",$C$10,0)+IF(C43="preference",$C$11,0)+IF(C44="preference",$C$12,0))))/(($B$14+$B$13+(IF(C39="convert",$B$7,0)+IF(C40="convert",$B$8,0)+IF(C41="convert",$B$9,0)+IF(C42="convert",$B$10,0)+IF(C43="convert",$B$11,0)+IF(C44="convert",$B$12,0))))))*$B$13,"preference","convert")</f>
        <v/>
      </c>
      <c r="D54">
        <f>IF($C$13&gt;(IF((((D$3-(IF(D39="preference",$C$7,0)+IF(D40="preference",$C$8,0)+IF(D41="preference",$C$9,0)+IF(D42="preference",$C$10,0)+IF(D43="preference",$C$11,0)+IF(D44="preference",$C$12,0))))+$B$15*$B$16)/((($B$14+$B$13+(IF(D39="convert",$B$7,0)+IF(D40="convert",$B$8,0)+IF(D41="convert",$B$9,0)+IF(D42="convert",$B$10,0)+IF(D43="convert",$B$11,0)+IF(D44="convert",$B$12,0))))+$B$15)&gt;$B$16,(((D$3-(IF(D39="preference",$C$7,0)+IF(D40="preference",$C$8,0)+IF(D41="preference",$C$9,0)+IF(D42="preference",$C$10,0)+IF(D43="preference",$C$11,0)+IF(D44="preference",$C$12,0))))+$B$15*$B$16)/((($B$14+$B$13+(IF(D39="convert",$B$7,0)+IF(D40="convert",$B$8,0)+IF(D41="convert",$B$9,0)+IF(D42="convert",$B$10,0)+IF(D43="convert",$B$11,0)+IF(D44="convert",$B$12,0))))+$B$15),((D$3-(IF(D39="preference",$C$7,0)+IF(D40="preference",$C$8,0)+IF(D41="preference",$C$9,0)+IF(D42="preference",$C$10,0)+IF(D43="preference",$C$11,0)+IF(D44="preference",$C$12,0))))/(($B$14+$B$13+(IF(D39="convert",$B$7,0)+IF(D40="convert",$B$8,0)+IF(D41="convert",$B$9,0)+IF(D42="convert",$B$10,0)+IF(D43="convert",$B$11,0)+IF(D44="convert",$B$12,0))))))*$B$13,"preference","convert")</f>
        <v/>
      </c>
      <c r="E54">
        <f>IF($C$13&gt;(IF((((E$3-(IF(E39="preference",$C$7,0)+IF(E40="preference",$C$8,0)+IF(E41="preference",$C$9,0)+IF(E42="preference",$C$10,0)+IF(E43="preference",$C$11,0)+IF(E44="preference",$C$12,0))))+$B$15*$B$16)/((($B$14+$B$13+(IF(E39="convert",$B$7,0)+IF(E40="convert",$B$8,0)+IF(E41="convert",$B$9,0)+IF(E42="convert",$B$10,0)+IF(E43="convert",$B$11,0)+IF(E44="convert",$B$12,0))))+$B$15)&gt;$B$16,(((E$3-(IF(E39="preference",$C$7,0)+IF(E40="preference",$C$8,0)+IF(E41="preference",$C$9,0)+IF(E42="preference",$C$10,0)+IF(E43="preference",$C$11,0)+IF(E44="preference",$C$12,0))))+$B$15*$B$16)/((($B$14+$B$13+(IF(E39="convert",$B$7,0)+IF(E40="convert",$B$8,0)+IF(E41="convert",$B$9,0)+IF(E42="convert",$B$10,0)+IF(E43="convert",$B$11,0)+IF(E44="convert",$B$12,0))))+$B$15),((E$3-(IF(E39="preference",$C$7,0)+IF(E40="preference",$C$8,0)+IF(E41="preference",$C$9,0)+IF(E42="preference",$C$10,0)+IF(E43="preference",$C$11,0)+IF(E44="preference",$C$12,0))))/(($B$14+$B$13+(IF(E39="convert",$B$7,0)+IF(E40="convert",$B$8,0)+IF(E41="convert",$B$9,0)+IF(E42="convert",$B$10,0)+IF(E43="convert",$B$11,0)+IF(E44="convert",$B$12,0))))))*$B$13,"preference","convert")</f>
        <v/>
      </c>
      <c r="F54">
        <f>IF($C$13&gt;(IF((((F$3-(IF(F39="preference",$C$7,0)+IF(F40="preference",$C$8,0)+IF(F41="preference",$C$9,0)+IF(F42="preference",$C$10,0)+IF(F43="preference",$C$11,0)+IF(F44="preference",$C$12,0))))+$B$15*$B$16)/((($B$14+$B$13+(IF(F39="convert",$B$7,0)+IF(F40="convert",$B$8,0)+IF(F41="convert",$B$9,0)+IF(F42="convert",$B$10,0)+IF(F43="convert",$B$11,0)+IF(F44="convert",$B$12,0))))+$B$15)&gt;$B$16,(((F$3-(IF(F39="preference",$C$7,0)+IF(F40="preference",$C$8,0)+IF(F41="preference",$C$9,0)+IF(F42="preference",$C$10,0)+IF(F43="preference",$C$11,0)+IF(F44="preference",$C$12,0))))+$B$15*$B$16)/((($B$14+$B$13+(IF(F39="convert",$B$7,0)+IF(F40="convert",$B$8,0)+IF(F41="convert",$B$9,0)+IF(F42="convert",$B$10,0)+IF(F43="convert",$B$11,0)+IF(F44="convert",$B$12,0))))+$B$15),((F$3-(IF(F39="preference",$C$7,0)+IF(F40="preference",$C$8,0)+IF(F41="preference",$C$9,0)+IF(F42="preference",$C$10,0)+IF(F43="preference",$C$11,0)+IF(F44="preference",$C$12,0))))/(($B$14+$B$13+(IF(F39="convert",$B$7,0)+IF(F40="convert",$B$8,0)+IF(F41="convert",$B$9,0)+IF(F42="convert",$B$10,0)+IF(F43="convert",$B$11,0)+IF(F44="convert",$B$12,0))))))*$B$13,"preference","convert")</f>
        <v/>
      </c>
    </row>
    <row r="55">
      <c r="A55" s="13" t="inlineStr">
        <is>
          <t>PASS 5 ELECTIONS (best-response to Pass 4)</t>
        </is>
      </c>
    </row>
    <row r="56">
      <c r="A56" s="5" t="inlineStr">
        <is>
          <t>Class</t>
        </is>
      </c>
      <c r="B56" s="5">
        <f>Assumptions!$B$7</f>
        <v/>
      </c>
      <c r="C56" s="5">
        <f>Assumptions!$B$8</f>
        <v/>
      </c>
      <c r="D56" s="5">
        <f>Assumptions!$B$9</f>
        <v/>
      </c>
      <c r="E56" s="5">
        <f>Assumptions!$B$10</f>
        <v/>
      </c>
      <c r="F56" s="5">
        <f>Assumptions!$B$11</f>
        <v/>
      </c>
    </row>
    <row r="57">
      <c r="A57" t="inlineStr">
        <is>
          <t>F</t>
        </is>
      </c>
      <c r="B57">
        <f>IF($C$7&gt;(IF((((B$3-(IF(B49="preference",$C$8,0)+IF(B50="preference",$C$9,0)+IF(B51="preference",$C$10,0)+IF(B52="preference",$C$11,0)+IF(B53="preference",$C$12,0)+IF(B54="preference",$C$13,0))))+$B$15*$B$16)/((($B$14+$B$7+(IF(B49="convert",$B$8,0)+IF(B50="convert",$B$9,0)+IF(B51="convert",$B$10,0)+IF(B52="convert",$B$11,0)+IF(B53="convert",$B$12,0)+IF(B54="convert",$B$13,0))))+$B$15)&gt;$B$16,(((B$3-(IF(B49="preference",$C$8,0)+IF(B50="preference",$C$9,0)+IF(B51="preference",$C$10,0)+IF(B52="preference",$C$11,0)+IF(B53="preference",$C$12,0)+IF(B54="preference",$C$13,0))))+$B$15*$B$16)/((($B$14+$B$7+(IF(B49="convert",$B$8,0)+IF(B50="convert",$B$9,0)+IF(B51="convert",$B$10,0)+IF(B52="convert",$B$11,0)+IF(B53="convert",$B$12,0)+IF(B54="convert",$B$13,0))))+$B$15),((B$3-(IF(B49="preference",$C$8,0)+IF(B50="preference",$C$9,0)+IF(B51="preference",$C$10,0)+IF(B52="preference",$C$11,0)+IF(B53="preference",$C$12,0)+IF(B54="preference",$C$13,0))))/(($B$14+$B$7+(IF(B49="convert",$B$8,0)+IF(B50="convert",$B$9,0)+IF(B51="convert",$B$10,0)+IF(B52="convert",$B$11,0)+IF(B53="convert",$B$12,0)+IF(B54="convert",$B$13,0))))))*$B$7,"preference","convert")</f>
        <v/>
      </c>
      <c r="C57">
        <f>IF($C$7&gt;(IF((((C$3-(IF(C49="preference",$C$8,0)+IF(C50="preference",$C$9,0)+IF(C51="preference",$C$10,0)+IF(C52="preference",$C$11,0)+IF(C53="preference",$C$12,0)+IF(C54="preference",$C$13,0))))+$B$15*$B$16)/((($B$14+$B$7+(IF(C49="convert",$B$8,0)+IF(C50="convert",$B$9,0)+IF(C51="convert",$B$10,0)+IF(C52="convert",$B$11,0)+IF(C53="convert",$B$12,0)+IF(C54="convert",$B$13,0))))+$B$15)&gt;$B$16,(((C$3-(IF(C49="preference",$C$8,0)+IF(C50="preference",$C$9,0)+IF(C51="preference",$C$10,0)+IF(C52="preference",$C$11,0)+IF(C53="preference",$C$12,0)+IF(C54="preference",$C$13,0))))+$B$15*$B$16)/((($B$14+$B$7+(IF(C49="convert",$B$8,0)+IF(C50="convert",$B$9,0)+IF(C51="convert",$B$10,0)+IF(C52="convert",$B$11,0)+IF(C53="convert",$B$12,0)+IF(C54="convert",$B$13,0))))+$B$15),((C$3-(IF(C49="preference",$C$8,0)+IF(C50="preference",$C$9,0)+IF(C51="preference",$C$10,0)+IF(C52="preference",$C$11,0)+IF(C53="preference",$C$12,0)+IF(C54="preference",$C$13,0))))/(($B$14+$B$7+(IF(C49="convert",$B$8,0)+IF(C50="convert",$B$9,0)+IF(C51="convert",$B$10,0)+IF(C52="convert",$B$11,0)+IF(C53="convert",$B$12,0)+IF(C54="convert",$B$13,0))))))*$B$7,"preference","convert")</f>
        <v/>
      </c>
      <c r="D57">
        <f>IF($C$7&gt;(IF((((D$3-(IF(D49="preference",$C$8,0)+IF(D50="preference",$C$9,0)+IF(D51="preference",$C$10,0)+IF(D52="preference",$C$11,0)+IF(D53="preference",$C$12,0)+IF(D54="preference",$C$13,0))))+$B$15*$B$16)/((($B$14+$B$7+(IF(D49="convert",$B$8,0)+IF(D50="convert",$B$9,0)+IF(D51="convert",$B$10,0)+IF(D52="convert",$B$11,0)+IF(D53="convert",$B$12,0)+IF(D54="convert",$B$13,0))))+$B$15)&gt;$B$16,(((D$3-(IF(D49="preference",$C$8,0)+IF(D50="preference",$C$9,0)+IF(D51="preference",$C$10,0)+IF(D52="preference",$C$11,0)+IF(D53="preference",$C$12,0)+IF(D54="preference",$C$13,0))))+$B$15*$B$16)/((($B$14+$B$7+(IF(D49="convert",$B$8,0)+IF(D50="convert",$B$9,0)+IF(D51="convert",$B$10,0)+IF(D52="convert",$B$11,0)+IF(D53="convert",$B$12,0)+IF(D54="convert",$B$13,0))))+$B$15),((D$3-(IF(D49="preference",$C$8,0)+IF(D50="preference",$C$9,0)+IF(D51="preference",$C$10,0)+IF(D52="preference",$C$11,0)+IF(D53="preference",$C$12,0)+IF(D54="preference",$C$13,0))))/(($B$14+$B$7+(IF(D49="convert",$B$8,0)+IF(D50="convert",$B$9,0)+IF(D51="convert",$B$10,0)+IF(D52="convert",$B$11,0)+IF(D53="convert",$B$12,0)+IF(D54="convert",$B$13,0))))))*$B$7,"preference","convert")</f>
        <v/>
      </c>
      <c r="E57">
        <f>IF($C$7&gt;(IF((((E$3-(IF(E49="preference",$C$8,0)+IF(E50="preference",$C$9,0)+IF(E51="preference",$C$10,0)+IF(E52="preference",$C$11,0)+IF(E53="preference",$C$12,0)+IF(E54="preference",$C$13,0))))+$B$15*$B$16)/((($B$14+$B$7+(IF(E49="convert",$B$8,0)+IF(E50="convert",$B$9,0)+IF(E51="convert",$B$10,0)+IF(E52="convert",$B$11,0)+IF(E53="convert",$B$12,0)+IF(E54="convert",$B$13,0))))+$B$15)&gt;$B$16,(((E$3-(IF(E49="preference",$C$8,0)+IF(E50="preference",$C$9,0)+IF(E51="preference",$C$10,0)+IF(E52="preference",$C$11,0)+IF(E53="preference",$C$12,0)+IF(E54="preference",$C$13,0))))+$B$15*$B$16)/((($B$14+$B$7+(IF(E49="convert",$B$8,0)+IF(E50="convert",$B$9,0)+IF(E51="convert",$B$10,0)+IF(E52="convert",$B$11,0)+IF(E53="convert",$B$12,0)+IF(E54="convert",$B$13,0))))+$B$15),((E$3-(IF(E49="preference",$C$8,0)+IF(E50="preference",$C$9,0)+IF(E51="preference",$C$10,0)+IF(E52="preference",$C$11,0)+IF(E53="preference",$C$12,0)+IF(E54="preference",$C$13,0))))/(($B$14+$B$7+(IF(E49="convert",$B$8,0)+IF(E50="convert",$B$9,0)+IF(E51="convert",$B$10,0)+IF(E52="convert",$B$11,0)+IF(E53="convert",$B$12,0)+IF(E54="convert",$B$13,0))))))*$B$7,"preference","convert")</f>
        <v/>
      </c>
      <c r="F57">
        <f>IF($C$7&gt;(IF((((F$3-(IF(F49="preference",$C$8,0)+IF(F50="preference",$C$9,0)+IF(F51="preference",$C$10,0)+IF(F52="preference",$C$11,0)+IF(F53="preference",$C$12,0)+IF(F54="preference",$C$13,0))))+$B$15*$B$16)/((($B$14+$B$7+(IF(F49="convert",$B$8,0)+IF(F50="convert",$B$9,0)+IF(F51="convert",$B$10,0)+IF(F52="convert",$B$11,0)+IF(F53="convert",$B$12,0)+IF(F54="convert",$B$13,0))))+$B$15)&gt;$B$16,(((F$3-(IF(F49="preference",$C$8,0)+IF(F50="preference",$C$9,0)+IF(F51="preference",$C$10,0)+IF(F52="preference",$C$11,0)+IF(F53="preference",$C$12,0)+IF(F54="preference",$C$13,0))))+$B$15*$B$16)/((($B$14+$B$7+(IF(F49="convert",$B$8,0)+IF(F50="convert",$B$9,0)+IF(F51="convert",$B$10,0)+IF(F52="convert",$B$11,0)+IF(F53="convert",$B$12,0)+IF(F54="convert",$B$13,0))))+$B$15),((F$3-(IF(F49="preference",$C$8,0)+IF(F50="preference",$C$9,0)+IF(F51="preference",$C$10,0)+IF(F52="preference",$C$11,0)+IF(F53="preference",$C$12,0)+IF(F54="preference",$C$13,0))))/(($B$14+$B$7+(IF(F49="convert",$B$8,0)+IF(F50="convert",$B$9,0)+IF(F51="convert",$B$10,0)+IF(F52="convert",$B$11,0)+IF(F53="convert",$B$12,0)+IF(F54="convert",$B$13,0))))))*$B$7,"preference","convert")</f>
        <v/>
      </c>
    </row>
    <row r="58">
      <c r="A58" t="inlineStr">
        <is>
          <t>E</t>
        </is>
      </c>
      <c r="B58">
        <f>IF($C$8&gt;(IF((((B$3-(IF(B48="preference",$C$7,0)+IF(B50="preference",$C$9,0)+IF(B51="preference",$C$10,0)+IF(B52="preference",$C$11,0)+IF(B53="preference",$C$12,0)+IF(B54="preference",$C$13,0))))+$B$15*$B$16)/((($B$14+$B$8+(IF(B48="convert",$B$7,0)+IF(B50="convert",$B$9,0)+IF(B51="convert",$B$10,0)+IF(B52="convert",$B$11,0)+IF(B53="convert",$B$12,0)+IF(B54="convert",$B$13,0))))+$B$15)&gt;$B$16,(((B$3-(IF(B48="preference",$C$7,0)+IF(B50="preference",$C$9,0)+IF(B51="preference",$C$10,0)+IF(B52="preference",$C$11,0)+IF(B53="preference",$C$12,0)+IF(B54="preference",$C$13,0))))+$B$15*$B$16)/((($B$14+$B$8+(IF(B48="convert",$B$7,0)+IF(B50="convert",$B$9,0)+IF(B51="convert",$B$10,0)+IF(B52="convert",$B$11,0)+IF(B53="convert",$B$12,0)+IF(B54="convert",$B$13,0))))+$B$15),((B$3-(IF(B48="preference",$C$7,0)+IF(B50="preference",$C$9,0)+IF(B51="preference",$C$10,0)+IF(B52="preference",$C$11,0)+IF(B53="preference",$C$12,0)+IF(B54="preference",$C$13,0))))/(($B$14+$B$8+(IF(B48="convert",$B$7,0)+IF(B50="convert",$B$9,0)+IF(B51="convert",$B$10,0)+IF(B52="convert",$B$11,0)+IF(B53="convert",$B$12,0)+IF(B54="convert",$B$13,0))))))*$B$8,"preference","convert")</f>
        <v/>
      </c>
      <c r="C58">
        <f>IF($C$8&gt;(IF((((C$3-(IF(C48="preference",$C$7,0)+IF(C50="preference",$C$9,0)+IF(C51="preference",$C$10,0)+IF(C52="preference",$C$11,0)+IF(C53="preference",$C$12,0)+IF(C54="preference",$C$13,0))))+$B$15*$B$16)/((($B$14+$B$8+(IF(C48="convert",$B$7,0)+IF(C50="convert",$B$9,0)+IF(C51="convert",$B$10,0)+IF(C52="convert",$B$11,0)+IF(C53="convert",$B$12,0)+IF(C54="convert",$B$13,0))))+$B$15)&gt;$B$16,(((C$3-(IF(C48="preference",$C$7,0)+IF(C50="preference",$C$9,0)+IF(C51="preference",$C$10,0)+IF(C52="preference",$C$11,0)+IF(C53="preference",$C$12,0)+IF(C54="preference",$C$13,0))))+$B$15*$B$16)/((($B$14+$B$8+(IF(C48="convert",$B$7,0)+IF(C50="convert",$B$9,0)+IF(C51="convert",$B$10,0)+IF(C52="convert",$B$11,0)+IF(C53="convert",$B$12,0)+IF(C54="convert",$B$13,0))))+$B$15),((C$3-(IF(C48="preference",$C$7,0)+IF(C50="preference",$C$9,0)+IF(C51="preference",$C$10,0)+IF(C52="preference",$C$11,0)+IF(C53="preference",$C$12,0)+IF(C54="preference",$C$13,0))))/(($B$14+$B$8+(IF(C48="convert",$B$7,0)+IF(C50="convert",$B$9,0)+IF(C51="convert",$B$10,0)+IF(C52="convert",$B$11,0)+IF(C53="convert",$B$12,0)+IF(C54="convert",$B$13,0))))))*$B$8,"preference","convert")</f>
        <v/>
      </c>
      <c r="D58">
        <f>IF($C$8&gt;(IF((((D$3-(IF(D48="preference",$C$7,0)+IF(D50="preference",$C$9,0)+IF(D51="preference",$C$10,0)+IF(D52="preference",$C$11,0)+IF(D53="preference",$C$12,0)+IF(D54="preference",$C$13,0))))+$B$15*$B$16)/((($B$14+$B$8+(IF(D48="convert",$B$7,0)+IF(D50="convert",$B$9,0)+IF(D51="convert",$B$10,0)+IF(D52="convert",$B$11,0)+IF(D53="convert",$B$12,0)+IF(D54="convert",$B$13,0))))+$B$15)&gt;$B$16,(((D$3-(IF(D48="preference",$C$7,0)+IF(D50="preference",$C$9,0)+IF(D51="preference",$C$10,0)+IF(D52="preference",$C$11,0)+IF(D53="preference",$C$12,0)+IF(D54="preference",$C$13,0))))+$B$15*$B$16)/((($B$14+$B$8+(IF(D48="convert",$B$7,0)+IF(D50="convert",$B$9,0)+IF(D51="convert",$B$10,0)+IF(D52="convert",$B$11,0)+IF(D53="convert",$B$12,0)+IF(D54="convert",$B$13,0))))+$B$15),((D$3-(IF(D48="preference",$C$7,0)+IF(D50="preference",$C$9,0)+IF(D51="preference",$C$10,0)+IF(D52="preference",$C$11,0)+IF(D53="preference",$C$12,0)+IF(D54="preference",$C$13,0))))/(($B$14+$B$8+(IF(D48="convert",$B$7,0)+IF(D50="convert",$B$9,0)+IF(D51="convert",$B$10,0)+IF(D52="convert",$B$11,0)+IF(D53="convert",$B$12,0)+IF(D54="convert",$B$13,0))))))*$B$8,"preference","convert")</f>
        <v/>
      </c>
      <c r="E58">
        <f>IF($C$8&gt;(IF((((E$3-(IF(E48="preference",$C$7,0)+IF(E50="preference",$C$9,0)+IF(E51="preference",$C$10,0)+IF(E52="preference",$C$11,0)+IF(E53="preference",$C$12,0)+IF(E54="preference",$C$13,0))))+$B$15*$B$16)/((($B$14+$B$8+(IF(E48="convert",$B$7,0)+IF(E50="convert",$B$9,0)+IF(E51="convert",$B$10,0)+IF(E52="convert",$B$11,0)+IF(E53="convert",$B$12,0)+IF(E54="convert",$B$13,0))))+$B$15)&gt;$B$16,(((E$3-(IF(E48="preference",$C$7,0)+IF(E50="preference",$C$9,0)+IF(E51="preference",$C$10,0)+IF(E52="preference",$C$11,0)+IF(E53="preference",$C$12,0)+IF(E54="preference",$C$13,0))))+$B$15*$B$16)/((($B$14+$B$8+(IF(E48="convert",$B$7,0)+IF(E50="convert",$B$9,0)+IF(E51="convert",$B$10,0)+IF(E52="convert",$B$11,0)+IF(E53="convert",$B$12,0)+IF(E54="convert",$B$13,0))))+$B$15),((E$3-(IF(E48="preference",$C$7,0)+IF(E50="preference",$C$9,0)+IF(E51="preference",$C$10,0)+IF(E52="preference",$C$11,0)+IF(E53="preference",$C$12,0)+IF(E54="preference",$C$13,0))))/(($B$14+$B$8+(IF(E48="convert",$B$7,0)+IF(E50="convert",$B$9,0)+IF(E51="convert",$B$10,0)+IF(E52="convert",$B$11,0)+IF(E53="convert",$B$12,0)+IF(E54="convert",$B$13,0))))))*$B$8,"preference","convert")</f>
        <v/>
      </c>
      <c r="F58">
        <f>IF($C$8&gt;(IF((((F$3-(IF(F48="preference",$C$7,0)+IF(F50="preference",$C$9,0)+IF(F51="preference",$C$10,0)+IF(F52="preference",$C$11,0)+IF(F53="preference",$C$12,0)+IF(F54="preference",$C$13,0))))+$B$15*$B$16)/((($B$14+$B$8+(IF(F48="convert",$B$7,0)+IF(F50="convert",$B$9,0)+IF(F51="convert",$B$10,0)+IF(F52="convert",$B$11,0)+IF(F53="convert",$B$12,0)+IF(F54="convert",$B$13,0))))+$B$15)&gt;$B$16,(((F$3-(IF(F48="preference",$C$7,0)+IF(F50="preference",$C$9,0)+IF(F51="preference",$C$10,0)+IF(F52="preference",$C$11,0)+IF(F53="preference",$C$12,0)+IF(F54="preference",$C$13,0))))+$B$15*$B$16)/((($B$14+$B$8+(IF(F48="convert",$B$7,0)+IF(F50="convert",$B$9,0)+IF(F51="convert",$B$10,0)+IF(F52="convert",$B$11,0)+IF(F53="convert",$B$12,0)+IF(F54="convert",$B$13,0))))+$B$15),((F$3-(IF(F48="preference",$C$7,0)+IF(F50="preference",$C$9,0)+IF(F51="preference",$C$10,0)+IF(F52="preference",$C$11,0)+IF(F53="preference",$C$12,0)+IF(F54="preference",$C$13,0))))/(($B$14+$B$8+(IF(F48="convert",$B$7,0)+IF(F50="convert",$B$9,0)+IF(F51="convert",$B$10,0)+IF(F52="convert",$B$11,0)+IF(F53="convert",$B$12,0)+IF(F54="convert",$B$13,0))))))*$B$8,"preference","convert")</f>
        <v/>
      </c>
    </row>
    <row r="59">
      <c r="A59" t="inlineStr">
        <is>
          <t>D</t>
        </is>
      </c>
      <c r="B59">
        <f>IF($C$9&gt;(IF((((B$3-(IF(B48="preference",$C$7,0)+IF(B49="preference",$C$8,0)+IF(B51="preference",$C$10,0)+IF(B52="preference",$C$11,0)+IF(B53="preference",$C$12,0)+IF(B54="preference",$C$13,0))))+$B$15*$B$16)/((($B$14+$B$9+(IF(B48="convert",$B$7,0)+IF(B49="convert",$B$8,0)+IF(B51="convert",$B$10,0)+IF(B52="convert",$B$11,0)+IF(B53="convert",$B$12,0)+IF(B54="convert",$B$13,0))))+$B$15)&gt;$B$16,(((B$3-(IF(B48="preference",$C$7,0)+IF(B49="preference",$C$8,0)+IF(B51="preference",$C$10,0)+IF(B52="preference",$C$11,0)+IF(B53="preference",$C$12,0)+IF(B54="preference",$C$13,0))))+$B$15*$B$16)/((($B$14+$B$9+(IF(B48="convert",$B$7,0)+IF(B49="convert",$B$8,0)+IF(B51="convert",$B$10,0)+IF(B52="convert",$B$11,0)+IF(B53="convert",$B$12,0)+IF(B54="convert",$B$13,0))))+$B$15),((B$3-(IF(B48="preference",$C$7,0)+IF(B49="preference",$C$8,0)+IF(B51="preference",$C$10,0)+IF(B52="preference",$C$11,0)+IF(B53="preference",$C$12,0)+IF(B54="preference",$C$13,0))))/(($B$14+$B$9+(IF(B48="convert",$B$7,0)+IF(B49="convert",$B$8,0)+IF(B51="convert",$B$10,0)+IF(B52="convert",$B$11,0)+IF(B53="convert",$B$12,0)+IF(B54="convert",$B$13,0))))))*$B$9,"preference","convert")</f>
        <v/>
      </c>
      <c r="C59">
        <f>IF($C$9&gt;(IF((((C$3-(IF(C48="preference",$C$7,0)+IF(C49="preference",$C$8,0)+IF(C51="preference",$C$10,0)+IF(C52="preference",$C$11,0)+IF(C53="preference",$C$12,0)+IF(C54="preference",$C$13,0))))+$B$15*$B$16)/((($B$14+$B$9+(IF(C48="convert",$B$7,0)+IF(C49="convert",$B$8,0)+IF(C51="convert",$B$10,0)+IF(C52="convert",$B$11,0)+IF(C53="convert",$B$12,0)+IF(C54="convert",$B$13,0))))+$B$15)&gt;$B$16,(((C$3-(IF(C48="preference",$C$7,0)+IF(C49="preference",$C$8,0)+IF(C51="preference",$C$10,0)+IF(C52="preference",$C$11,0)+IF(C53="preference",$C$12,0)+IF(C54="preference",$C$13,0))))+$B$15*$B$16)/((($B$14+$B$9+(IF(C48="convert",$B$7,0)+IF(C49="convert",$B$8,0)+IF(C51="convert",$B$10,0)+IF(C52="convert",$B$11,0)+IF(C53="convert",$B$12,0)+IF(C54="convert",$B$13,0))))+$B$15),((C$3-(IF(C48="preference",$C$7,0)+IF(C49="preference",$C$8,0)+IF(C51="preference",$C$10,0)+IF(C52="preference",$C$11,0)+IF(C53="preference",$C$12,0)+IF(C54="preference",$C$13,0))))/(($B$14+$B$9+(IF(C48="convert",$B$7,0)+IF(C49="convert",$B$8,0)+IF(C51="convert",$B$10,0)+IF(C52="convert",$B$11,0)+IF(C53="convert",$B$12,0)+IF(C54="convert",$B$13,0))))))*$B$9,"preference","convert")</f>
        <v/>
      </c>
      <c r="D59">
        <f>IF($C$9&gt;(IF((((D$3-(IF(D48="preference",$C$7,0)+IF(D49="preference",$C$8,0)+IF(D51="preference",$C$10,0)+IF(D52="preference",$C$11,0)+IF(D53="preference",$C$12,0)+IF(D54="preference",$C$13,0))))+$B$15*$B$16)/((($B$14+$B$9+(IF(D48="convert",$B$7,0)+IF(D49="convert",$B$8,0)+IF(D51="convert",$B$10,0)+IF(D52="convert",$B$11,0)+IF(D53="convert",$B$12,0)+IF(D54="convert",$B$13,0))))+$B$15)&gt;$B$16,(((D$3-(IF(D48="preference",$C$7,0)+IF(D49="preference",$C$8,0)+IF(D51="preference",$C$10,0)+IF(D52="preference",$C$11,0)+IF(D53="preference",$C$12,0)+IF(D54="preference",$C$13,0))))+$B$15*$B$16)/((($B$14+$B$9+(IF(D48="convert",$B$7,0)+IF(D49="convert",$B$8,0)+IF(D51="convert",$B$10,0)+IF(D52="convert",$B$11,0)+IF(D53="convert",$B$12,0)+IF(D54="convert",$B$13,0))))+$B$15),((D$3-(IF(D48="preference",$C$7,0)+IF(D49="preference",$C$8,0)+IF(D51="preference",$C$10,0)+IF(D52="preference",$C$11,0)+IF(D53="preference",$C$12,0)+IF(D54="preference",$C$13,0))))/(($B$14+$B$9+(IF(D48="convert",$B$7,0)+IF(D49="convert",$B$8,0)+IF(D51="convert",$B$10,0)+IF(D52="convert",$B$11,0)+IF(D53="convert",$B$12,0)+IF(D54="convert",$B$13,0))))))*$B$9,"preference","convert")</f>
        <v/>
      </c>
      <c r="E59">
        <f>IF($C$9&gt;(IF((((E$3-(IF(E48="preference",$C$7,0)+IF(E49="preference",$C$8,0)+IF(E51="preference",$C$10,0)+IF(E52="preference",$C$11,0)+IF(E53="preference",$C$12,0)+IF(E54="preference",$C$13,0))))+$B$15*$B$16)/((($B$14+$B$9+(IF(E48="convert",$B$7,0)+IF(E49="convert",$B$8,0)+IF(E51="convert",$B$10,0)+IF(E52="convert",$B$11,0)+IF(E53="convert",$B$12,0)+IF(E54="convert",$B$13,0))))+$B$15)&gt;$B$16,(((E$3-(IF(E48="preference",$C$7,0)+IF(E49="preference",$C$8,0)+IF(E51="preference",$C$10,0)+IF(E52="preference",$C$11,0)+IF(E53="preference",$C$12,0)+IF(E54="preference",$C$13,0))))+$B$15*$B$16)/((($B$14+$B$9+(IF(E48="convert",$B$7,0)+IF(E49="convert",$B$8,0)+IF(E51="convert",$B$10,0)+IF(E52="convert",$B$11,0)+IF(E53="convert",$B$12,0)+IF(E54="convert",$B$13,0))))+$B$15),((E$3-(IF(E48="preference",$C$7,0)+IF(E49="preference",$C$8,0)+IF(E51="preference",$C$10,0)+IF(E52="preference",$C$11,0)+IF(E53="preference",$C$12,0)+IF(E54="preference",$C$13,0))))/(($B$14+$B$9+(IF(E48="convert",$B$7,0)+IF(E49="convert",$B$8,0)+IF(E51="convert",$B$10,0)+IF(E52="convert",$B$11,0)+IF(E53="convert",$B$12,0)+IF(E54="convert",$B$13,0))))))*$B$9,"preference","convert")</f>
        <v/>
      </c>
      <c r="F59">
        <f>IF($C$9&gt;(IF((((F$3-(IF(F48="preference",$C$7,0)+IF(F49="preference",$C$8,0)+IF(F51="preference",$C$10,0)+IF(F52="preference",$C$11,0)+IF(F53="preference",$C$12,0)+IF(F54="preference",$C$13,0))))+$B$15*$B$16)/((($B$14+$B$9+(IF(F48="convert",$B$7,0)+IF(F49="convert",$B$8,0)+IF(F51="convert",$B$10,0)+IF(F52="convert",$B$11,0)+IF(F53="convert",$B$12,0)+IF(F54="convert",$B$13,0))))+$B$15)&gt;$B$16,(((F$3-(IF(F48="preference",$C$7,0)+IF(F49="preference",$C$8,0)+IF(F51="preference",$C$10,0)+IF(F52="preference",$C$11,0)+IF(F53="preference",$C$12,0)+IF(F54="preference",$C$13,0))))+$B$15*$B$16)/((($B$14+$B$9+(IF(F48="convert",$B$7,0)+IF(F49="convert",$B$8,0)+IF(F51="convert",$B$10,0)+IF(F52="convert",$B$11,0)+IF(F53="convert",$B$12,0)+IF(F54="convert",$B$13,0))))+$B$15),((F$3-(IF(F48="preference",$C$7,0)+IF(F49="preference",$C$8,0)+IF(F51="preference",$C$10,0)+IF(F52="preference",$C$11,0)+IF(F53="preference",$C$12,0)+IF(F54="preference",$C$13,0))))/(($B$14+$B$9+(IF(F48="convert",$B$7,0)+IF(F49="convert",$B$8,0)+IF(F51="convert",$B$10,0)+IF(F52="convert",$B$11,0)+IF(F53="convert",$B$12,0)+IF(F54="convert",$B$13,0))))))*$B$9,"preference","convert")</f>
        <v/>
      </c>
    </row>
    <row r="60">
      <c r="A60" t="inlineStr">
        <is>
          <t>C</t>
        </is>
      </c>
      <c r="B60">
        <f>IF($C$10&gt;(IF((((B$3-(IF(B48="preference",$C$7,0)+IF(B49="preference",$C$8,0)+IF(B50="preference",$C$9,0)+IF(B52="preference",$C$11,0)+IF(B53="preference",$C$12,0)+IF(B54="preference",$C$13,0))))+$B$15*$B$16)/((($B$14+$B$10+(IF(B48="convert",$B$7,0)+IF(B49="convert",$B$8,0)+IF(B50="convert",$B$9,0)+IF(B52="convert",$B$11,0)+IF(B53="convert",$B$12,0)+IF(B54="convert",$B$13,0))))+$B$15)&gt;$B$16,(((B$3-(IF(B48="preference",$C$7,0)+IF(B49="preference",$C$8,0)+IF(B50="preference",$C$9,0)+IF(B52="preference",$C$11,0)+IF(B53="preference",$C$12,0)+IF(B54="preference",$C$13,0))))+$B$15*$B$16)/((($B$14+$B$10+(IF(B48="convert",$B$7,0)+IF(B49="convert",$B$8,0)+IF(B50="convert",$B$9,0)+IF(B52="convert",$B$11,0)+IF(B53="convert",$B$12,0)+IF(B54="convert",$B$13,0))))+$B$15),((B$3-(IF(B48="preference",$C$7,0)+IF(B49="preference",$C$8,0)+IF(B50="preference",$C$9,0)+IF(B52="preference",$C$11,0)+IF(B53="preference",$C$12,0)+IF(B54="preference",$C$13,0))))/(($B$14+$B$10+(IF(B48="convert",$B$7,0)+IF(B49="convert",$B$8,0)+IF(B50="convert",$B$9,0)+IF(B52="convert",$B$11,0)+IF(B53="convert",$B$12,0)+IF(B54="convert",$B$13,0))))))*$B$10,"preference","convert")</f>
        <v/>
      </c>
      <c r="C60">
        <f>IF($C$10&gt;(IF((((C$3-(IF(C48="preference",$C$7,0)+IF(C49="preference",$C$8,0)+IF(C50="preference",$C$9,0)+IF(C52="preference",$C$11,0)+IF(C53="preference",$C$12,0)+IF(C54="preference",$C$13,0))))+$B$15*$B$16)/((($B$14+$B$10+(IF(C48="convert",$B$7,0)+IF(C49="convert",$B$8,0)+IF(C50="convert",$B$9,0)+IF(C52="convert",$B$11,0)+IF(C53="convert",$B$12,0)+IF(C54="convert",$B$13,0))))+$B$15)&gt;$B$16,(((C$3-(IF(C48="preference",$C$7,0)+IF(C49="preference",$C$8,0)+IF(C50="preference",$C$9,0)+IF(C52="preference",$C$11,0)+IF(C53="preference",$C$12,0)+IF(C54="preference",$C$13,0))))+$B$15*$B$16)/((($B$14+$B$10+(IF(C48="convert",$B$7,0)+IF(C49="convert",$B$8,0)+IF(C50="convert",$B$9,0)+IF(C52="convert",$B$11,0)+IF(C53="convert",$B$12,0)+IF(C54="convert",$B$13,0))))+$B$15),((C$3-(IF(C48="preference",$C$7,0)+IF(C49="preference",$C$8,0)+IF(C50="preference",$C$9,0)+IF(C52="preference",$C$11,0)+IF(C53="preference",$C$12,0)+IF(C54="preference",$C$13,0))))/(($B$14+$B$10+(IF(C48="convert",$B$7,0)+IF(C49="convert",$B$8,0)+IF(C50="convert",$B$9,0)+IF(C52="convert",$B$11,0)+IF(C53="convert",$B$12,0)+IF(C54="convert",$B$13,0))))))*$B$10,"preference","convert")</f>
        <v/>
      </c>
      <c r="D60">
        <f>IF($C$10&gt;(IF((((D$3-(IF(D48="preference",$C$7,0)+IF(D49="preference",$C$8,0)+IF(D50="preference",$C$9,0)+IF(D52="preference",$C$11,0)+IF(D53="preference",$C$12,0)+IF(D54="preference",$C$13,0))))+$B$15*$B$16)/((($B$14+$B$10+(IF(D48="convert",$B$7,0)+IF(D49="convert",$B$8,0)+IF(D50="convert",$B$9,0)+IF(D52="convert",$B$11,0)+IF(D53="convert",$B$12,0)+IF(D54="convert",$B$13,0))))+$B$15)&gt;$B$16,(((D$3-(IF(D48="preference",$C$7,0)+IF(D49="preference",$C$8,0)+IF(D50="preference",$C$9,0)+IF(D52="preference",$C$11,0)+IF(D53="preference",$C$12,0)+IF(D54="preference",$C$13,0))))+$B$15*$B$16)/((($B$14+$B$10+(IF(D48="convert",$B$7,0)+IF(D49="convert",$B$8,0)+IF(D50="convert",$B$9,0)+IF(D52="convert",$B$11,0)+IF(D53="convert",$B$12,0)+IF(D54="convert",$B$13,0))))+$B$15),((D$3-(IF(D48="preference",$C$7,0)+IF(D49="preference",$C$8,0)+IF(D50="preference",$C$9,0)+IF(D52="preference",$C$11,0)+IF(D53="preference",$C$12,0)+IF(D54="preference",$C$13,0))))/(($B$14+$B$10+(IF(D48="convert",$B$7,0)+IF(D49="convert",$B$8,0)+IF(D50="convert",$B$9,0)+IF(D52="convert",$B$11,0)+IF(D53="convert",$B$12,0)+IF(D54="convert",$B$13,0))))))*$B$10,"preference","convert")</f>
        <v/>
      </c>
      <c r="E60">
        <f>IF($C$10&gt;(IF((((E$3-(IF(E48="preference",$C$7,0)+IF(E49="preference",$C$8,0)+IF(E50="preference",$C$9,0)+IF(E52="preference",$C$11,0)+IF(E53="preference",$C$12,0)+IF(E54="preference",$C$13,0))))+$B$15*$B$16)/((($B$14+$B$10+(IF(E48="convert",$B$7,0)+IF(E49="convert",$B$8,0)+IF(E50="convert",$B$9,0)+IF(E52="convert",$B$11,0)+IF(E53="convert",$B$12,0)+IF(E54="convert",$B$13,0))))+$B$15)&gt;$B$16,(((E$3-(IF(E48="preference",$C$7,0)+IF(E49="preference",$C$8,0)+IF(E50="preference",$C$9,0)+IF(E52="preference",$C$11,0)+IF(E53="preference",$C$12,0)+IF(E54="preference",$C$13,0))))+$B$15*$B$16)/((($B$14+$B$10+(IF(E48="convert",$B$7,0)+IF(E49="convert",$B$8,0)+IF(E50="convert",$B$9,0)+IF(E52="convert",$B$11,0)+IF(E53="convert",$B$12,0)+IF(E54="convert",$B$13,0))))+$B$15),((E$3-(IF(E48="preference",$C$7,0)+IF(E49="preference",$C$8,0)+IF(E50="preference",$C$9,0)+IF(E52="preference",$C$11,0)+IF(E53="preference",$C$12,0)+IF(E54="preference",$C$13,0))))/(($B$14+$B$10+(IF(E48="convert",$B$7,0)+IF(E49="convert",$B$8,0)+IF(E50="convert",$B$9,0)+IF(E52="convert",$B$11,0)+IF(E53="convert",$B$12,0)+IF(E54="convert",$B$13,0))))))*$B$10,"preference","convert")</f>
        <v/>
      </c>
      <c r="F60">
        <f>IF($C$10&gt;(IF((((F$3-(IF(F48="preference",$C$7,0)+IF(F49="preference",$C$8,0)+IF(F50="preference",$C$9,0)+IF(F52="preference",$C$11,0)+IF(F53="preference",$C$12,0)+IF(F54="preference",$C$13,0))))+$B$15*$B$16)/((($B$14+$B$10+(IF(F48="convert",$B$7,0)+IF(F49="convert",$B$8,0)+IF(F50="convert",$B$9,0)+IF(F52="convert",$B$11,0)+IF(F53="convert",$B$12,0)+IF(F54="convert",$B$13,0))))+$B$15)&gt;$B$16,(((F$3-(IF(F48="preference",$C$7,0)+IF(F49="preference",$C$8,0)+IF(F50="preference",$C$9,0)+IF(F52="preference",$C$11,0)+IF(F53="preference",$C$12,0)+IF(F54="preference",$C$13,0))))+$B$15*$B$16)/((($B$14+$B$10+(IF(F48="convert",$B$7,0)+IF(F49="convert",$B$8,0)+IF(F50="convert",$B$9,0)+IF(F52="convert",$B$11,0)+IF(F53="convert",$B$12,0)+IF(F54="convert",$B$13,0))))+$B$15),((F$3-(IF(F48="preference",$C$7,0)+IF(F49="preference",$C$8,0)+IF(F50="preference",$C$9,0)+IF(F52="preference",$C$11,0)+IF(F53="preference",$C$12,0)+IF(F54="preference",$C$13,0))))/(($B$14+$B$10+(IF(F48="convert",$B$7,0)+IF(F49="convert",$B$8,0)+IF(F50="convert",$B$9,0)+IF(F52="convert",$B$11,0)+IF(F53="convert",$B$12,0)+IF(F54="convert",$B$13,0))))))*$B$10,"preference","convert")</f>
        <v/>
      </c>
    </row>
    <row r="61">
      <c r="A61" t="inlineStr">
        <is>
          <t>B</t>
        </is>
      </c>
      <c r="B61">
        <f>IF($C$11&gt;(IF((((B$3-(IF(B48="preference",$C$7,0)+IF(B49="preference",$C$8,0)+IF(B50="preference",$C$9,0)+IF(B51="preference",$C$10,0)+IF(B53="preference",$C$12,0)+IF(B54="preference",$C$13,0))))+$B$15*$B$16)/((($B$14+$B$11+(IF(B48="convert",$B$7,0)+IF(B49="convert",$B$8,0)+IF(B50="convert",$B$9,0)+IF(B51="convert",$B$10,0)+IF(B53="convert",$B$12,0)+IF(B54="convert",$B$13,0))))+$B$15)&gt;$B$16,(((B$3-(IF(B48="preference",$C$7,0)+IF(B49="preference",$C$8,0)+IF(B50="preference",$C$9,0)+IF(B51="preference",$C$10,0)+IF(B53="preference",$C$12,0)+IF(B54="preference",$C$13,0))))+$B$15*$B$16)/((($B$14+$B$11+(IF(B48="convert",$B$7,0)+IF(B49="convert",$B$8,0)+IF(B50="convert",$B$9,0)+IF(B51="convert",$B$10,0)+IF(B53="convert",$B$12,0)+IF(B54="convert",$B$13,0))))+$B$15),((B$3-(IF(B48="preference",$C$7,0)+IF(B49="preference",$C$8,0)+IF(B50="preference",$C$9,0)+IF(B51="preference",$C$10,0)+IF(B53="preference",$C$12,0)+IF(B54="preference",$C$13,0))))/(($B$14+$B$11+(IF(B48="convert",$B$7,0)+IF(B49="convert",$B$8,0)+IF(B50="convert",$B$9,0)+IF(B51="convert",$B$10,0)+IF(B53="convert",$B$12,0)+IF(B54="convert",$B$13,0))))))*$B$11,"preference","convert")</f>
        <v/>
      </c>
      <c r="C61">
        <f>IF($C$11&gt;(IF((((C$3-(IF(C48="preference",$C$7,0)+IF(C49="preference",$C$8,0)+IF(C50="preference",$C$9,0)+IF(C51="preference",$C$10,0)+IF(C53="preference",$C$12,0)+IF(C54="preference",$C$13,0))))+$B$15*$B$16)/((($B$14+$B$11+(IF(C48="convert",$B$7,0)+IF(C49="convert",$B$8,0)+IF(C50="convert",$B$9,0)+IF(C51="convert",$B$10,0)+IF(C53="convert",$B$12,0)+IF(C54="convert",$B$13,0))))+$B$15)&gt;$B$16,(((C$3-(IF(C48="preference",$C$7,0)+IF(C49="preference",$C$8,0)+IF(C50="preference",$C$9,0)+IF(C51="preference",$C$10,0)+IF(C53="preference",$C$12,0)+IF(C54="preference",$C$13,0))))+$B$15*$B$16)/((($B$14+$B$11+(IF(C48="convert",$B$7,0)+IF(C49="convert",$B$8,0)+IF(C50="convert",$B$9,0)+IF(C51="convert",$B$10,0)+IF(C53="convert",$B$12,0)+IF(C54="convert",$B$13,0))))+$B$15),((C$3-(IF(C48="preference",$C$7,0)+IF(C49="preference",$C$8,0)+IF(C50="preference",$C$9,0)+IF(C51="preference",$C$10,0)+IF(C53="preference",$C$12,0)+IF(C54="preference",$C$13,0))))/(($B$14+$B$11+(IF(C48="convert",$B$7,0)+IF(C49="convert",$B$8,0)+IF(C50="convert",$B$9,0)+IF(C51="convert",$B$10,0)+IF(C53="convert",$B$12,0)+IF(C54="convert",$B$13,0))))))*$B$11,"preference","convert")</f>
        <v/>
      </c>
      <c r="D61">
        <f>IF($C$11&gt;(IF((((D$3-(IF(D48="preference",$C$7,0)+IF(D49="preference",$C$8,0)+IF(D50="preference",$C$9,0)+IF(D51="preference",$C$10,0)+IF(D53="preference",$C$12,0)+IF(D54="preference",$C$13,0))))+$B$15*$B$16)/((($B$14+$B$11+(IF(D48="convert",$B$7,0)+IF(D49="convert",$B$8,0)+IF(D50="convert",$B$9,0)+IF(D51="convert",$B$10,0)+IF(D53="convert",$B$12,0)+IF(D54="convert",$B$13,0))))+$B$15)&gt;$B$16,(((D$3-(IF(D48="preference",$C$7,0)+IF(D49="preference",$C$8,0)+IF(D50="preference",$C$9,0)+IF(D51="preference",$C$10,0)+IF(D53="preference",$C$12,0)+IF(D54="preference",$C$13,0))))+$B$15*$B$16)/((($B$14+$B$11+(IF(D48="convert",$B$7,0)+IF(D49="convert",$B$8,0)+IF(D50="convert",$B$9,0)+IF(D51="convert",$B$10,0)+IF(D53="convert",$B$12,0)+IF(D54="convert",$B$13,0))))+$B$15),((D$3-(IF(D48="preference",$C$7,0)+IF(D49="preference",$C$8,0)+IF(D50="preference",$C$9,0)+IF(D51="preference",$C$10,0)+IF(D53="preference",$C$12,0)+IF(D54="preference",$C$13,0))))/(($B$14+$B$11+(IF(D48="convert",$B$7,0)+IF(D49="convert",$B$8,0)+IF(D50="convert",$B$9,0)+IF(D51="convert",$B$10,0)+IF(D53="convert",$B$12,0)+IF(D54="convert",$B$13,0))))))*$B$11,"preference","convert")</f>
        <v/>
      </c>
      <c r="E61">
        <f>IF($C$11&gt;(IF((((E$3-(IF(E48="preference",$C$7,0)+IF(E49="preference",$C$8,0)+IF(E50="preference",$C$9,0)+IF(E51="preference",$C$10,0)+IF(E53="preference",$C$12,0)+IF(E54="preference",$C$13,0))))+$B$15*$B$16)/((($B$14+$B$11+(IF(E48="convert",$B$7,0)+IF(E49="convert",$B$8,0)+IF(E50="convert",$B$9,0)+IF(E51="convert",$B$10,0)+IF(E53="convert",$B$12,0)+IF(E54="convert",$B$13,0))))+$B$15)&gt;$B$16,(((E$3-(IF(E48="preference",$C$7,0)+IF(E49="preference",$C$8,0)+IF(E50="preference",$C$9,0)+IF(E51="preference",$C$10,0)+IF(E53="preference",$C$12,0)+IF(E54="preference",$C$13,0))))+$B$15*$B$16)/((($B$14+$B$11+(IF(E48="convert",$B$7,0)+IF(E49="convert",$B$8,0)+IF(E50="convert",$B$9,0)+IF(E51="convert",$B$10,0)+IF(E53="convert",$B$12,0)+IF(E54="convert",$B$13,0))))+$B$15),((E$3-(IF(E48="preference",$C$7,0)+IF(E49="preference",$C$8,0)+IF(E50="preference",$C$9,0)+IF(E51="preference",$C$10,0)+IF(E53="preference",$C$12,0)+IF(E54="preference",$C$13,0))))/(($B$14+$B$11+(IF(E48="convert",$B$7,0)+IF(E49="convert",$B$8,0)+IF(E50="convert",$B$9,0)+IF(E51="convert",$B$10,0)+IF(E53="convert",$B$12,0)+IF(E54="convert",$B$13,0))))))*$B$11,"preference","convert")</f>
        <v/>
      </c>
      <c r="F61">
        <f>IF($C$11&gt;(IF((((F$3-(IF(F48="preference",$C$7,0)+IF(F49="preference",$C$8,0)+IF(F50="preference",$C$9,0)+IF(F51="preference",$C$10,0)+IF(F53="preference",$C$12,0)+IF(F54="preference",$C$13,0))))+$B$15*$B$16)/((($B$14+$B$11+(IF(F48="convert",$B$7,0)+IF(F49="convert",$B$8,0)+IF(F50="convert",$B$9,0)+IF(F51="convert",$B$10,0)+IF(F53="convert",$B$12,0)+IF(F54="convert",$B$13,0))))+$B$15)&gt;$B$16,(((F$3-(IF(F48="preference",$C$7,0)+IF(F49="preference",$C$8,0)+IF(F50="preference",$C$9,0)+IF(F51="preference",$C$10,0)+IF(F53="preference",$C$12,0)+IF(F54="preference",$C$13,0))))+$B$15*$B$16)/((($B$14+$B$11+(IF(F48="convert",$B$7,0)+IF(F49="convert",$B$8,0)+IF(F50="convert",$B$9,0)+IF(F51="convert",$B$10,0)+IF(F53="convert",$B$12,0)+IF(F54="convert",$B$13,0))))+$B$15),((F$3-(IF(F48="preference",$C$7,0)+IF(F49="preference",$C$8,0)+IF(F50="preference",$C$9,0)+IF(F51="preference",$C$10,0)+IF(F53="preference",$C$12,0)+IF(F54="preference",$C$13,0))))/(($B$14+$B$11+(IF(F48="convert",$B$7,0)+IF(F49="convert",$B$8,0)+IF(F50="convert",$B$9,0)+IF(F51="convert",$B$10,0)+IF(F53="convert",$B$12,0)+IF(F54="convert",$B$13,0))))))*$B$11,"preference","convert")</f>
        <v/>
      </c>
    </row>
    <row r="62">
      <c r="A62" t="inlineStr">
        <is>
          <t>A</t>
        </is>
      </c>
      <c r="B62">
        <f>IF($C$12&gt;(IF((((B$3-(IF(B48="preference",$C$7,0)+IF(B49="preference",$C$8,0)+IF(B50="preference",$C$9,0)+IF(B51="preference",$C$10,0)+IF(B52="preference",$C$11,0)+IF(B54="preference",$C$13,0))))+$B$15*$B$16)/((($B$14+$B$12+(IF(B48="convert",$B$7,0)+IF(B49="convert",$B$8,0)+IF(B50="convert",$B$9,0)+IF(B51="convert",$B$10,0)+IF(B52="convert",$B$11,0)+IF(B54="convert",$B$13,0))))+$B$15)&gt;$B$16,(((B$3-(IF(B48="preference",$C$7,0)+IF(B49="preference",$C$8,0)+IF(B50="preference",$C$9,0)+IF(B51="preference",$C$10,0)+IF(B52="preference",$C$11,0)+IF(B54="preference",$C$13,0))))+$B$15*$B$16)/((($B$14+$B$12+(IF(B48="convert",$B$7,0)+IF(B49="convert",$B$8,0)+IF(B50="convert",$B$9,0)+IF(B51="convert",$B$10,0)+IF(B52="convert",$B$11,0)+IF(B54="convert",$B$13,0))))+$B$15),((B$3-(IF(B48="preference",$C$7,0)+IF(B49="preference",$C$8,0)+IF(B50="preference",$C$9,0)+IF(B51="preference",$C$10,0)+IF(B52="preference",$C$11,0)+IF(B54="preference",$C$13,0))))/(($B$14+$B$12+(IF(B48="convert",$B$7,0)+IF(B49="convert",$B$8,0)+IF(B50="convert",$B$9,0)+IF(B51="convert",$B$10,0)+IF(B52="convert",$B$11,0)+IF(B54="convert",$B$13,0))))))*$B$12,"preference","convert")</f>
        <v/>
      </c>
      <c r="C62">
        <f>IF($C$12&gt;(IF((((C$3-(IF(C48="preference",$C$7,0)+IF(C49="preference",$C$8,0)+IF(C50="preference",$C$9,0)+IF(C51="preference",$C$10,0)+IF(C52="preference",$C$11,0)+IF(C54="preference",$C$13,0))))+$B$15*$B$16)/((($B$14+$B$12+(IF(C48="convert",$B$7,0)+IF(C49="convert",$B$8,0)+IF(C50="convert",$B$9,0)+IF(C51="convert",$B$10,0)+IF(C52="convert",$B$11,0)+IF(C54="convert",$B$13,0))))+$B$15)&gt;$B$16,(((C$3-(IF(C48="preference",$C$7,0)+IF(C49="preference",$C$8,0)+IF(C50="preference",$C$9,0)+IF(C51="preference",$C$10,0)+IF(C52="preference",$C$11,0)+IF(C54="preference",$C$13,0))))+$B$15*$B$16)/((($B$14+$B$12+(IF(C48="convert",$B$7,0)+IF(C49="convert",$B$8,0)+IF(C50="convert",$B$9,0)+IF(C51="convert",$B$10,0)+IF(C52="convert",$B$11,0)+IF(C54="convert",$B$13,0))))+$B$15),((C$3-(IF(C48="preference",$C$7,0)+IF(C49="preference",$C$8,0)+IF(C50="preference",$C$9,0)+IF(C51="preference",$C$10,0)+IF(C52="preference",$C$11,0)+IF(C54="preference",$C$13,0))))/(($B$14+$B$12+(IF(C48="convert",$B$7,0)+IF(C49="convert",$B$8,0)+IF(C50="convert",$B$9,0)+IF(C51="convert",$B$10,0)+IF(C52="convert",$B$11,0)+IF(C54="convert",$B$13,0))))))*$B$12,"preference","convert")</f>
        <v/>
      </c>
      <c r="D62">
        <f>IF($C$12&gt;(IF((((D$3-(IF(D48="preference",$C$7,0)+IF(D49="preference",$C$8,0)+IF(D50="preference",$C$9,0)+IF(D51="preference",$C$10,0)+IF(D52="preference",$C$11,0)+IF(D54="preference",$C$13,0))))+$B$15*$B$16)/((($B$14+$B$12+(IF(D48="convert",$B$7,0)+IF(D49="convert",$B$8,0)+IF(D50="convert",$B$9,0)+IF(D51="convert",$B$10,0)+IF(D52="convert",$B$11,0)+IF(D54="convert",$B$13,0))))+$B$15)&gt;$B$16,(((D$3-(IF(D48="preference",$C$7,0)+IF(D49="preference",$C$8,0)+IF(D50="preference",$C$9,0)+IF(D51="preference",$C$10,0)+IF(D52="preference",$C$11,0)+IF(D54="preference",$C$13,0))))+$B$15*$B$16)/((($B$14+$B$12+(IF(D48="convert",$B$7,0)+IF(D49="convert",$B$8,0)+IF(D50="convert",$B$9,0)+IF(D51="convert",$B$10,0)+IF(D52="convert",$B$11,0)+IF(D54="convert",$B$13,0))))+$B$15),((D$3-(IF(D48="preference",$C$7,0)+IF(D49="preference",$C$8,0)+IF(D50="preference",$C$9,0)+IF(D51="preference",$C$10,0)+IF(D52="preference",$C$11,0)+IF(D54="preference",$C$13,0))))/(($B$14+$B$12+(IF(D48="convert",$B$7,0)+IF(D49="convert",$B$8,0)+IF(D50="convert",$B$9,0)+IF(D51="convert",$B$10,0)+IF(D52="convert",$B$11,0)+IF(D54="convert",$B$13,0))))))*$B$12,"preference","convert")</f>
        <v/>
      </c>
      <c r="E62">
        <f>IF($C$12&gt;(IF((((E$3-(IF(E48="preference",$C$7,0)+IF(E49="preference",$C$8,0)+IF(E50="preference",$C$9,0)+IF(E51="preference",$C$10,0)+IF(E52="preference",$C$11,0)+IF(E54="preference",$C$13,0))))+$B$15*$B$16)/((($B$14+$B$12+(IF(E48="convert",$B$7,0)+IF(E49="convert",$B$8,0)+IF(E50="convert",$B$9,0)+IF(E51="convert",$B$10,0)+IF(E52="convert",$B$11,0)+IF(E54="convert",$B$13,0))))+$B$15)&gt;$B$16,(((E$3-(IF(E48="preference",$C$7,0)+IF(E49="preference",$C$8,0)+IF(E50="preference",$C$9,0)+IF(E51="preference",$C$10,0)+IF(E52="preference",$C$11,0)+IF(E54="preference",$C$13,0))))+$B$15*$B$16)/((($B$14+$B$12+(IF(E48="convert",$B$7,0)+IF(E49="convert",$B$8,0)+IF(E50="convert",$B$9,0)+IF(E51="convert",$B$10,0)+IF(E52="convert",$B$11,0)+IF(E54="convert",$B$13,0))))+$B$15),((E$3-(IF(E48="preference",$C$7,0)+IF(E49="preference",$C$8,0)+IF(E50="preference",$C$9,0)+IF(E51="preference",$C$10,0)+IF(E52="preference",$C$11,0)+IF(E54="preference",$C$13,0))))/(($B$14+$B$12+(IF(E48="convert",$B$7,0)+IF(E49="convert",$B$8,0)+IF(E50="convert",$B$9,0)+IF(E51="convert",$B$10,0)+IF(E52="convert",$B$11,0)+IF(E54="convert",$B$13,0))))))*$B$12,"preference","convert")</f>
        <v/>
      </c>
      <c r="F62">
        <f>IF($C$12&gt;(IF((((F$3-(IF(F48="preference",$C$7,0)+IF(F49="preference",$C$8,0)+IF(F50="preference",$C$9,0)+IF(F51="preference",$C$10,0)+IF(F52="preference",$C$11,0)+IF(F54="preference",$C$13,0))))+$B$15*$B$16)/((($B$14+$B$12+(IF(F48="convert",$B$7,0)+IF(F49="convert",$B$8,0)+IF(F50="convert",$B$9,0)+IF(F51="convert",$B$10,0)+IF(F52="convert",$B$11,0)+IF(F54="convert",$B$13,0))))+$B$15)&gt;$B$16,(((F$3-(IF(F48="preference",$C$7,0)+IF(F49="preference",$C$8,0)+IF(F50="preference",$C$9,0)+IF(F51="preference",$C$10,0)+IF(F52="preference",$C$11,0)+IF(F54="preference",$C$13,0))))+$B$15*$B$16)/((($B$14+$B$12+(IF(F48="convert",$B$7,0)+IF(F49="convert",$B$8,0)+IF(F50="convert",$B$9,0)+IF(F51="convert",$B$10,0)+IF(F52="convert",$B$11,0)+IF(F54="convert",$B$13,0))))+$B$15),((F$3-(IF(F48="preference",$C$7,0)+IF(F49="preference",$C$8,0)+IF(F50="preference",$C$9,0)+IF(F51="preference",$C$10,0)+IF(F52="preference",$C$11,0)+IF(F54="preference",$C$13,0))))/(($B$14+$B$12+(IF(F48="convert",$B$7,0)+IF(F49="convert",$B$8,0)+IF(F50="convert",$B$9,0)+IF(F51="convert",$B$10,0)+IF(F52="convert",$B$11,0)+IF(F54="convert",$B$13,0))))))*$B$12,"preference","convert")</f>
        <v/>
      </c>
    </row>
    <row r="63">
      <c r="A63" t="inlineStr">
        <is>
          <t>Seed</t>
        </is>
      </c>
      <c r="B63">
        <f>IF($C$13&gt;(IF((((B$3-(IF(B48="preference",$C$7,0)+IF(B49="preference",$C$8,0)+IF(B50="preference",$C$9,0)+IF(B51="preference",$C$10,0)+IF(B52="preference",$C$11,0)+IF(B53="preference",$C$12,0))))+$B$15*$B$16)/((($B$14+$B$13+(IF(B48="convert",$B$7,0)+IF(B49="convert",$B$8,0)+IF(B50="convert",$B$9,0)+IF(B51="convert",$B$10,0)+IF(B52="convert",$B$11,0)+IF(B53="convert",$B$12,0))))+$B$15)&gt;$B$16,(((B$3-(IF(B48="preference",$C$7,0)+IF(B49="preference",$C$8,0)+IF(B50="preference",$C$9,0)+IF(B51="preference",$C$10,0)+IF(B52="preference",$C$11,0)+IF(B53="preference",$C$12,0))))+$B$15*$B$16)/((($B$14+$B$13+(IF(B48="convert",$B$7,0)+IF(B49="convert",$B$8,0)+IF(B50="convert",$B$9,0)+IF(B51="convert",$B$10,0)+IF(B52="convert",$B$11,0)+IF(B53="convert",$B$12,0))))+$B$15),((B$3-(IF(B48="preference",$C$7,0)+IF(B49="preference",$C$8,0)+IF(B50="preference",$C$9,0)+IF(B51="preference",$C$10,0)+IF(B52="preference",$C$11,0)+IF(B53="preference",$C$12,0))))/(($B$14+$B$13+(IF(B48="convert",$B$7,0)+IF(B49="convert",$B$8,0)+IF(B50="convert",$B$9,0)+IF(B51="convert",$B$10,0)+IF(B52="convert",$B$11,0)+IF(B53="convert",$B$12,0))))))*$B$13,"preference","convert")</f>
        <v/>
      </c>
      <c r="C63">
        <f>IF($C$13&gt;(IF((((C$3-(IF(C48="preference",$C$7,0)+IF(C49="preference",$C$8,0)+IF(C50="preference",$C$9,0)+IF(C51="preference",$C$10,0)+IF(C52="preference",$C$11,0)+IF(C53="preference",$C$12,0))))+$B$15*$B$16)/((($B$14+$B$13+(IF(C48="convert",$B$7,0)+IF(C49="convert",$B$8,0)+IF(C50="convert",$B$9,0)+IF(C51="convert",$B$10,0)+IF(C52="convert",$B$11,0)+IF(C53="convert",$B$12,0))))+$B$15)&gt;$B$16,(((C$3-(IF(C48="preference",$C$7,0)+IF(C49="preference",$C$8,0)+IF(C50="preference",$C$9,0)+IF(C51="preference",$C$10,0)+IF(C52="preference",$C$11,0)+IF(C53="preference",$C$12,0))))+$B$15*$B$16)/((($B$14+$B$13+(IF(C48="convert",$B$7,0)+IF(C49="convert",$B$8,0)+IF(C50="convert",$B$9,0)+IF(C51="convert",$B$10,0)+IF(C52="convert",$B$11,0)+IF(C53="convert",$B$12,0))))+$B$15),((C$3-(IF(C48="preference",$C$7,0)+IF(C49="preference",$C$8,0)+IF(C50="preference",$C$9,0)+IF(C51="preference",$C$10,0)+IF(C52="preference",$C$11,0)+IF(C53="preference",$C$12,0))))/(($B$14+$B$13+(IF(C48="convert",$B$7,0)+IF(C49="convert",$B$8,0)+IF(C50="convert",$B$9,0)+IF(C51="convert",$B$10,0)+IF(C52="convert",$B$11,0)+IF(C53="convert",$B$12,0))))))*$B$13,"preference","convert")</f>
        <v/>
      </c>
      <c r="D63">
        <f>IF($C$13&gt;(IF((((D$3-(IF(D48="preference",$C$7,0)+IF(D49="preference",$C$8,0)+IF(D50="preference",$C$9,0)+IF(D51="preference",$C$10,0)+IF(D52="preference",$C$11,0)+IF(D53="preference",$C$12,0))))+$B$15*$B$16)/((($B$14+$B$13+(IF(D48="convert",$B$7,0)+IF(D49="convert",$B$8,0)+IF(D50="convert",$B$9,0)+IF(D51="convert",$B$10,0)+IF(D52="convert",$B$11,0)+IF(D53="convert",$B$12,0))))+$B$15)&gt;$B$16,(((D$3-(IF(D48="preference",$C$7,0)+IF(D49="preference",$C$8,0)+IF(D50="preference",$C$9,0)+IF(D51="preference",$C$10,0)+IF(D52="preference",$C$11,0)+IF(D53="preference",$C$12,0))))+$B$15*$B$16)/((($B$14+$B$13+(IF(D48="convert",$B$7,0)+IF(D49="convert",$B$8,0)+IF(D50="convert",$B$9,0)+IF(D51="convert",$B$10,0)+IF(D52="convert",$B$11,0)+IF(D53="convert",$B$12,0))))+$B$15),((D$3-(IF(D48="preference",$C$7,0)+IF(D49="preference",$C$8,0)+IF(D50="preference",$C$9,0)+IF(D51="preference",$C$10,0)+IF(D52="preference",$C$11,0)+IF(D53="preference",$C$12,0))))/(($B$14+$B$13+(IF(D48="convert",$B$7,0)+IF(D49="convert",$B$8,0)+IF(D50="convert",$B$9,0)+IF(D51="convert",$B$10,0)+IF(D52="convert",$B$11,0)+IF(D53="convert",$B$12,0))))))*$B$13,"preference","convert")</f>
        <v/>
      </c>
      <c r="E63">
        <f>IF($C$13&gt;(IF((((E$3-(IF(E48="preference",$C$7,0)+IF(E49="preference",$C$8,0)+IF(E50="preference",$C$9,0)+IF(E51="preference",$C$10,0)+IF(E52="preference",$C$11,0)+IF(E53="preference",$C$12,0))))+$B$15*$B$16)/((($B$14+$B$13+(IF(E48="convert",$B$7,0)+IF(E49="convert",$B$8,0)+IF(E50="convert",$B$9,0)+IF(E51="convert",$B$10,0)+IF(E52="convert",$B$11,0)+IF(E53="convert",$B$12,0))))+$B$15)&gt;$B$16,(((E$3-(IF(E48="preference",$C$7,0)+IF(E49="preference",$C$8,0)+IF(E50="preference",$C$9,0)+IF(E51="preference",$C$10,0)+IF(E52="preference",$C$11,0)+IF(E53="preference",$C$12,0))))+$B$15*$B$16)/((($B$14+$B$13+(IF(E48="convert",$B$7,0)+IF(E49="convert",$B$8,0)+IF(E50="convert",$B$9,0)+IF(E51="convert",$B$10,0)+IF(E52="convert",$B$11,0)+IF(E53="convert",$B$12,0))))+$B$15),((E$3-(IF(E48="preference",$C$7,0)+IF(E49="preference",$C$8,0)+IF(E50="preference",$C$9,0)+IF(E51="preference",$C$10,0)+IF(E52="preference",$C$11,0)+IF(E53="preference",$C$12,0))))/(($B$14+$B$13+(IF(E48="convert",$B$7,0)+IF(E49="convert",$B$8,0)+IF(E50="convert",$B$9,0)+IF(E51="convert",$B$10,0)+IF(E52="convert",$B$11,0)+IF(E53="convert",$B$12,0))))))*$B$13,"preference","convert")</f>
        <v/>
      </c>
      <c r="F63">
        <f>IF($C$13&gt;(IF((((F$3-(IF(F48="preference",$C$7,0)+IF(F49="preference",$C$8,0)+IF(F50="preference",$C$9,0)+IF(F51="preference",$C$10,0)+IF(F52="preference",$C$11,0)+IF(F53="preference",$C$12,0))))+$B$15*$B$16)/((($B$14+$B$13+(IF(F48="convert",$B$7,0)+IF(F49="convert",$B$8,0)+IF(F50="convert",$B$9,0)+IF(F51="convert",$B$10,0)+IF(F52="convert",$B$11,0)+IF(F53="convert",$B$12,0))))+$B$15)&gt;$B$16,(((F$3-(IF(F48="preference",$C$7,0)+IF(F49="preference",$C$8,0)+IF(F50="preference",$C$9,0)+IF(F51="preference",$C$10,0)+IF(F52="preference",$C$11,0)+IF(F53="preference",$C$12,0))))+$B$15*$B$16)/((($B$14+$B$13+(IF(F48="convert",$B$7,0)+IF(F49="convert",$B$8,0)+IF(F50="convert",$B$9,0)+IF(F51="convert",$B$10,0)+IF(F52="convert",$B$11,0)+IF(F53="convert",$B$12,0))))+$B$15),((F$3-(IF(F48="preference",$C$7,0)+IF(F49="preference",$C$8,0)+IF(F50="preference",$C$9,0)+IF(F51="preference",$C$10,0)+IF(F52="preference",$C$11,0)+IF(F53="preference",$C$12,0))))/(($B$14+$B$13+(IF(F48="convert",$B$7,0)+IF(F49="convert",$B$8,0)+IF(F50="convert",$B$9,0)+IF(F51="convert",$B$10,0)+IF(F52="convert",$B$11,0)+IF(F53="convert",$B$12,0))))))*$B$13,"preference","convert")</f>
        <v/>
      </c>
    </row>
    <row r="64">
      <c r="A64" s="13" t="inlineStr">
        <is>
          <t>PASS 6 ELECTIONS (best-response to Pass 5)</t>
        </is>
      </c>
    </row>
    <row r="65">
      <c r="A65" s="5" t="inlineStr">
        <is>
          <t>Class</t>
        </is>
      </c>
      <c r="B65" s="5">
        <f>Assumptions!$B$7</f>
        <v/>
      </c>
      <c r="C65" s="5">
        <f>Assumptions!$B$8</f>
        <v/>
      </c>
      <c r="D65" s="5">
        <f>Assumptions!$B$9</f>
        <v/>
      </c>
      <c r="E65" s="5">
        <f>Assumptions!$B$10</f>
        <v/>
      </c>
      <c r="F65" s="5">
        <f>Assumptions!$B$11</f>
        <v/>
      </c>
    </row>
    <row r="66">
      <c r="A66" t="inlineStr">
        <is>
          <t>F</t>
        </is>
      </c>
      <c r="B66">
        <f>IF($C$7&gt;(IF((((B$3-(IF(B58="preference",$C$8,0)+IF(B59="preference",$C$9,0)+IF(B60="preference",$C$10,0)+IF(B61="preference",$C$11,0)+IF(B62="preference",$C$12,0)+IF(B63="preference",$C$13,0))))+$B$15*$B$16)/((($B$14+$B$7+(IF(B58="convert",$B$8,0)+IF(B59="convert",$B$9,0)+IF(B60="convert",$B$10,0)+IF(B61="convert",$B$11,0)+IF(B62="convert",$B$12,0)+IF(B63="convert",$B$13,0))))+$B$15)&gt;$B$16,(((B$3-(IF(B58="preference",$C$8,0)+IF(B59="preference",$C$9,0)+IF(B60="preference",$C$10,0)+IF(B61="preference",$C$11,0)+IF(B62="preference",$C$12,0)+IF(B63="preference",$C$13,0))))+$B$15*$B$16)/((($B$14+$B$7+(IF(B58="convert",$B$8,0)+IF(B59="convert",$B$9,0)+IF(B60="convert",$B$10,0)+IF(B61="convert",$B$11,0)+IF(B62="convert",$B$12,0)+IF(B63="convert",$B$13,0))))+$B$15),((B$3-(IF(B58="preference",$C$8,0)+IF(B59="preference",$C$9,0)+IF(B60="preference",$C$10,0)+IF(B61="preference",$C$11,0)+IF(B62="preference",$C$12,0)+IF(B63="preference",$C$13,0))))/(($B$14+$B$7+(IF(B58="convert",$B$8,0)+IF(B59="convert",$B$9,0)+IF(B60="convert",$B$10,0)+IF(B61="convert",$B$11,0)+IF(B62="convert",$B$12,0)+IF(B63="convert",$B$13,0))))))*$B$7,"preference","convert")</f>
        <v/>
      </c>
      <c r="C66">
        <f>IF($C$7&gt;(IF((((C$3-(IF(C58="preference",$C$8,0)+IF(C59="preference",$C$9,0)+IF(C60="preference",$C$10,0)+IF(C61="preference",$C$11,0)+IF(C62="preference",$C$12,0)+IF(C63="preference",$C$13,0))))+$B$15*$B$16)/((($B$14+$B$7+(IF(C58="convert",$B$8,0)+IF(C59="convert",$B$9,0)+IF(C60="convert",$B$10,0)+IF(C61="convert",$B$11,0)+IF(C62="convert",$B$12,0)+IF(C63="convert",$B$13,0))))+$B$15)&gt;$B$16,(((C$3-(IF(C58="preference",$C$8,0)+IF(C59="preference",$C$9,0)+IF(C60="preference",$C$10,0)+IF(C61="preference",$C$11,0)+IF(C62="preference",$C$12,0)+IF(C63="preference",$C$13,0))))+$B$15*$B$16)/((($B$14+$B$7+(IF(C58="convert",$B$8,0)+IF(C59="convert",$B$9,0)+IF(C60="convert",$B$10,0)+IF(C61="convert",$B$11,0)+IF(C62="convert",$B$12,0)+IF(C63="convert",$B$13,0))))+$B$15),((C$3-(IF(C58="preference",$C$8,0)+IF(C59="preference",$C$9,0)+IF(C60="preference",$C$10,0)+IF(C61="preference",$C$11,0)+IF(C62="preference",$C$12,0)+IF(C63="preference",$C$13,0))))/(($B$14+$B$7+(IF(C58="convert",$B$8,0)+IF(C59="convert",$B$9,0)+IF(C60="convert",$B$10,0)+IF(C61="convert",$B$11,0)+IF(C62="convert",$B$12,0)+IF(C63="convert",$B$13,0))))))*$B$7,"preference","convert")</f>
        <v/>
      </c>
      <c r="D66">
        <f>IF($C$7&gt;(IF((((D$3-(IF(D58="preference",$C$8,0)+IF(D59="preference",$C$9,0)+IF(D60="preference",$C$10,0)+IF(D61="preference",$C$11,0)+IF(D62="preference",$C$12,0)+IF(D63="preference",$C$13,0))))+$B$15*$B$16)/((($B$14+$B$7+(IF(D58="convert",$B$8,0)+IF(D59="convert",$B$9,0)+IF(D60="convert",$B$10,0)+IF(D61="convert",$B$11,0)+IF(D62="convert",$B$12,0)+IF(D63="convert",$B$13,0))))+$B$15)&gt;$B$16,(((D$3-(IF(D58="preference",$C$8,0)+IF(D59="preference",$C$9,0)+IF(D60="preference",$C$10,0)+IF(D61="preference",$C$11,0)+IF(D62="preference",$C$12,0)+IF(D63="preference",$C$13,0))))+$B$15*$B$16)/((($B$14+$B$7+(IF(D58="convert",$B$8,0)+IF(D59="convert",$B$9,0)+IF(D60="convert",$B$10,0)+IF(D61="convert",$B$11,0)+IF(D62="convert",$B$12,0)+IF(D63="convert",$B$13,0))))+$B$15),((D$3-(IF(D58="preference",$C$8,0)+IF(D59="preference",$C$9,0)+IF(D60="preference",$C$10,0)+IF(D61="preference",$C$11,0)+IF(D62="preference",$C$12,0)+IF(D63="preference",$C$13,0))))/(($B$14+$B$7+(IF(D58="convert",$B$8,0)+IF(D59="convert",$B$9,0)+IF(D60="convert",$B$10,0)+IF(D61="convert",$B$11,0)+IF(D62="convert",$B$12,0)+IF(D63="convert",$B$13,0))))))*$B$7,"preference","convert")</f>
        <v/>
      </c>
      <c r="E66">
        <f>IF($C$7&gt;(IF((((E$3-(IF(E58="preference",$C$8,0)+IF(E59="preference",$C$9,0)+IF(E60="preference",$C$10,0)+IF(E61="preference",$C$11,0)+IF(E62="preference",$C$12,0)+IF(E63="preference",$C$13,0))))+$B$15*$B$16)/((($B$14+$B$7+(IF(E58="convert",$B$8,0)+IF(E59="convert",$B$9,0)+IF(E60="convert",$B$10,0)+IF(E61="convert",$B$11,0)+IF(E62="convert",$B$12,0)+IF(E63="convert",$B$13,0))))+$B$15)&gt;$B$16,(((E$3-(IF(E58="preference",$C$8,0)+IF(E59="preference",$C$9,0)+IF(E60="preference",$C$10,0)+IF(E61="preference",$C$11,0)+IF(E62="preference",$C$12,0)+IF(E63="preference",$C$13,0))))+$B$15*$B$16)/((($B$14+$B$7+(IF(E58="convert",$B$8,0)+IF(E59="convert",$B$9,0)+IF(E60="convert",$B$10,0)+IF(E61="convert",$B$11,0)+IF(E62="convert",$B$12,0)+IF(E63="convert",$B$13,0))))+$B$15),((E$3-(IF(E58="preference",$C$8,0)+IF(E59="preference",$C$9,0)+IF(E60="preference",$C$10,0)+IF(E61="preference",$C$11,0)+IF(E62="preference",$C$12,0)+IF(E63="preference",$C$13,0))))/(($B$14+$B$7+(IF(E58="convert",$B$8,0)+IF(E59="convert",$B$9,0)+IF(E60="convert",$B$10,0)+IF(E61="convert",$B$11,0)+IF(E62="convert",$B$12,0)+IF(E63="convert",$B$13,0))))))*$B$7,"preference","convert")</f>
        <v/>
      </c>
      <c r="F66">
        <f>IF($C$7&gt;(IF((((F$3-(IF(F58="preference",$C$8,0)+IF(F59="preference",$C$9,0)+IF(F60="preference",$C$10,0)+IF(F61="preference",$C$11,0)+IF(F62="preference",$C$12,0)+IF(F63="preference",$C$13,0))))+$B$15*$B$16)/((($B$14+$B$7+(IF(F58="convert",$B$8,0)+IF(F59="convert",$B$9,0)+IF(F60="convert",$B$10,0)+IF(F61="convert",$B$11,0)+IF(F62="convert",$B$12,0)+IF(F63="convert",$B$13,0))))+$B$15)&gt;$B$16,(((F$3-(IF(F58="preference",$C$8,0)+IF(F59="preference",$C$9,0)+IF(F60="preference",$C$10,0)+IF(F61="preference",$C$11,0)+IF(F62="preference",$C$12,0)+IF(F63="preference",$C$13,0))))+$B$15*$B$16)/((($B$14+$B$7+(IF(F58="convert",$B$8,0)+IF(F59="convert",$B$9,0)+IF(F60="convert",$B$10,0)+IF(F61="convert",$B$11,0)+IF(F62="convert",$B$12,0)+IF(F63="convert",$B$13,0))))+$B$15),((F$3-(IF(F58="preference",$C$8,0)+IF(F59="preference",$C$9,0)+IF(F60="preference",$C$10,0)+IF(F61="preference",$C$11,0)+IF(F62="preference",$C$12,0)+IF(F63="preference",$C$13,0))))/(($B$14+$B$7+(IF(F58="convert",$B$8,0)+IF(F59="convert",$B$9,0)+IF(F60="convert",$B$10,0)+IF(F61="convert",$B$11,0)+IF(F62="convert",$B$12,0)+IF(F63="convert",$B$13,0))))))*$B$7,"preference","convert")</f>
        <v/>
      </c>
    </row>
    <row r="67">
      <c r="A67" t="inlineStr">
        <is>
          <t>E</t>
        </is>
      </c>
      <c r="B67">
        <f>IF($C$8&gt;(IF((((B$3-(IF(B57="preference",$C$7,0)+IF(B59="preference",$C$9,0)+IF(B60="preference",$C$10,0)+IF(B61="preference",$C$11,0)+IF(B62="preference",$C$12,0)+IF(B63="preference",$C$13,0))))+$B$15*$B$16)/((($B$14+$B$8+(IF(B57="convert",$B$7,0)+IF(B59="convert",$B$9,0)+IF(B60="convert",$B$10,0)+IF(B61="convert",$B$11,0)+IF(B62="convert",$B$12,0)+IF(B63="convert",$B$13,0))))+$B$15)&gt;$B$16,(((B$3-(IF(B57="preference",$C$7,0)+IF(B59="preference",$C$9,0)+IF(B60="preference",$C$10,0)+IF(B61="preference",$C$11,0)+IF(B62="preference",$C$12,0)+IF(B63="preference",$C$13,0))))+$B$15*$B$16)/((($B$14+$B$8+(IF(B57="convert",$B$7,0)+IF(B59="convert",$B$9,0)+IF(B60="convert",$B$10,0)+IF(B61="convert",$B$11,0)+IF(B62="convert",$B$12,0)+IF(B63="convert",$B$13,0))))+$B$15),((B$3-(IF(B57="preference",$C$7,0)+IF(B59="preference",$C$9,0)+IF(B60="preference",$C$10,0)+IF(B61="preference",$C$11,0)+IF(B62="preference",$C$12,0)+IF(B63="preference",$C$13,0))))/(($B$14+$B$8+(IF(B57="convert",$B$7,0)+IF(B59="convert",$B$9,0)+IF(B60="convert",$B$10,0)+IF(B61="convert",$B$11,0)+IF(B62="convert",$B$12,0)+IF(B63="convert",$B$13,0))))))*$B$8,"preference","convert")</f>
        <v/>
      </c>
      <c r="C67">
        <f>IF($C$8&gt;(IF((((C$3-(IF(C57="preference",$C$7,0)+IF(C59="preference",$C$9,0)+IF(C60="preference",$C$10,0)+IF(C61="preference",$C$11,0)+IF(C62="preference",$C$12,0)+IF(C63="preference",$C$13,0))))+$B$15*$B$16)/((($B$14+$B$8+(IF(C57="convert",$B$7,0)+IF(C59="convert",$B$9,0)+IF(C60="convert",$B$10,0)+IF(C61="convert",$B$11,0)+IF(C62="convert",$B$12,0)+IF(C63="convert",$B$13,0))))+$B$15)&gt;$B$16,(((C$3-(IF(C57="preference",$C$7,0)+IF(C59="preference",$C$9,0)+IF(C60="preference",$C$10,0)+IF(C61="preference",$C$11,0)+IF(C62="preference",$C$12,0)+IF(C63="preference",$C$13,0))))+$B$15*$B$16)/((($B$14+$B$8+(IF(C57="convert",$B$7,0)+IF(C59="convert",$B$9,0)+IF(C60="convert",$B$10,0)+IF(C61="convert",$B$11,0)+IF(C62="convert",$B$12,0)+IF(C63="convert",$B$13,0))))+$B$15),((C$3-(IF(C57="preference",$C$7,0)+IF(C59="preference",$C$9,0)+IF(C60="preference",$C$10,0)+IF(C61="preference",$C$11,0)+IF(C62="preference",$C$12,0)+IF(C63="preference",$C$13,0))))/(($B$14+$B$8+(IF(C57="convert",$B$7,0)+IF(C59="convert",$B$9,0)+IF(C60="convert",$B$10,0)+IF(C61="convert",$B$11,0)+IF(C62="convert",$B$12,0)+IF(C63="convert",$B$13,0))))))*$B$8,"preference","convert")</f>
        <v/>
      </c>
      <c r="D67">
        <f>IF($C$8&gt;(IF((((D$3-(IF(D57="preference",$C$7,0)+IF(D59="preference",$C$9,0)+IF(D60="preference",$C$10,0)+IF(D61="preference",$C$11,0)+IF(D62="preference",$C$12,0)+IF(D63="preference",$C$13,0))))+$B$15*$B$16)/((($B$14+$B$8+(IF(D57="convert",$B$7,0)+IF(D59="convert",$B$9,0)+IF(D60="convert",$B$10,0)+IF(D61="convert",$B$11,0)+IF(D62="convert",$B$12,0)+IF(D63="convert",$B$13,0))))+$B$15)&gt;$B$16,(((D$3-(IF(D57="preference",$C$7,0)+IF(D59="preference",$C$9,0)+IF(D60="preference",$C$10,0)+IF(D61="preference",$C$11,0)+IF(D62="preference",$C$12,0)+IF(D63="preference",$C$13,0))))+$B$15*$B$16)/((($B$14+$B$8+(IF(D57="convert",$B$7,0)+IF(D59="convert",$B$9,0)+IF(D60="convert",$B$10,0)+IF(D61="convert",$B$11,0)+IF(D62="convert",$B$12,0)+IF(D63="convert",$B$13,0))))+$B$15),((D$3-(IF(D57="preference",$C$7,0)+IF(D59="preference",$C$9,0)+IF(D60="preference",$C$10,0)+IF(D61="preference",$C$11,0)+IF(D62="preference",$C$12,0)+IF(D63="preference",$C$13,0))))/(($B$14+$B$8+(IF(D57="convert",$B$7,0)+IF(D59="convert",$B$9,0)+IF(D60="convert",$B$10,0)+IF(D61="convert",$B$11,0)+IF(D62="convert",$B$12,0)+IF(D63="convert",$B$13,0))))))*$B$8,"preference","convert")</f>
        <v/>
      </c>
      <c r="E67">
        <f>IF($C$8&gt;(IF((((E$3-(IF(E57="preference",$C$7,0)+IF(E59="preference",$C$9,0)+IF(E60="preference",$C$10,0)+IF(E61="preference",$C$11,0)+IF(E62="preference",$C$12,0)+IF(E63="preference",$C$13,0))))+$B$15*$B$16)/((($B$14+$B$8+(IF(E57="convert",$B$7,0)+IF(E59="convert",$B$9,0)+IF(E60="convert",$B$10,0)+IF(E61="convert",$B$11,0)+IF(E62="convert",$B$12,0)+IF(E63="convert",$B$13,0))))+$B$15)&gt;$B$16,(((E$3-(IF(E57="preference",$C$7,0)+IF(E59="preference",$C$9,0)+IF(E60="preference",$C$10,0)+IF(E61="preference",$C$11,0)+IF(E62="preference",$C$12,0)+IF(E63="preference",$C$13,0))))+$B$15*$B$16)/((($B$14+$B$8+(IF(E57="convert",$B$7,0)+IF(E59="convert",$B$9,0)+IF(E60="convert",$B$10,0)+IF(E61="convert",$B$11,0)+IF(E62="convert",$B$12,0)+IF(E63="convert",$B$13,0))))+$B$15),((E$3-(IF(E57="preference",$C$7,0)+IF(E59="preference",$C$9,0)+IF(E60="preference",$C$10,0)+IF(E61="preference",$C$11,0)+IF(E62="preference",$C$12,0)+IF(E63="preference",$C$13,0))))/(($B$14+$B$8+(IF(E57="convert",$B$7,0)+IF(E59="convert",$B$9,0)+IF(E60="convert",$B$10,0)+IF(E61="convert",$B$11,0)+IF(E62="convert",$B$12,0)+IF(E63="convert",$B$13,0))))))*$B$8,"preference","convert")</f>
        <v/>
      </c>
      <c r="F67">
        <f>IF($C$8&gt;(IF((((F$3-(IF(F57="preference",$C$7,0)+IF(F59="preference",$C$9,0)+IF(F60="preference",$C$10,0)+IF(F61="preference",$C$11,0)+IF(F62="preference",$C$12,0)+IF(F63="preference",$C$13,0))))+$B$15*$B$16)/((($B$14+$B$8+(IF(F57="convert",$B$7,0)+IF(F59="convert",$B$9,0)+IF(F60="convert",$B$10,0)+IF(F61="convert",$B$11,0)+IF(F62="convert",$B$12,0)+IF(F63="convert",$B$13,0))))+$B$15)&gt;$B$16,(((F$3-(IF(F57="preference",$C$7,0)+IF(F59="preference",$C$9,0)+IF(F60="preference",$C$10,0)+IF(F61="preference",$C$11,0)+IF(F62="preference",$C$12,0)+IF(F63="preference",$C$13,0))))+$B$15*$B$16)/((($B$14+$B$8+(IF(F57="convert",$B$7,0)+IF(F59="convert",$B$9,0)+IF(F60="convert",$B$10,0)+IF(F61="convert",$B$11,0)+IF(F62="convert",$B$12,0)+IF(F63="convert",$B$13,0))))+$B$15),((F$3-(IF(F57="preference",$C$7,0)+IF(F59="preference",$C$9,0)+IF(F60="preference",$C$10,0)+IF(F61="preference",$C$11,0)+IF(F62="preference",$C$12,0)+IF(F63="preference",$C$13,0))))/(($B$14+$B$8+(IF(F57="convert",$B$7,0)+IF(F59="convert",$B$9,0)+IF(F60="convert",$B$10,0)+IF(F61="convert",$B$11,0)+IF(F62="convert",$B$12,0)+IF(F63="convert",$B$13,0))))))*$B$8,"preference","convert")</f>
        <v/>
      </c>
    </row>
    <row r="68">
      <c r="A68" t="inlineStr">
        <is>
          <t>D</t>
        </is>
      </c>
      <c r="B68">
        <f>IF($C$9&gt;(IF((((B$3-(IF(B57="preference",$C$7,0)+IF(B58="preference",$C$8,0)+IF(B60="preference",$C$10,0)+IF(B61="preference",$C$11,0)+IF(B62="preference",$C$12,0)+IF(B63="preference",$C$13,0))))+$B$15*$B$16)/((($B$14+$B$9+(IF(B57="convert",$B$7,0)+IF(B58="convert",$B$8,0)+IF(B60="convert",$B$10,0)+IF(B61="convert",$B$11,0)+IF(B62="convert",$B$12,0)+IF(B63="convert",$B$13,0))))+$B$15)&gt;$B$16,(((B$3-(IF(B57="preference",$C$7,0)+IF(B58="preference",$C$8,0)+IF(B60="preference",$C$10,0)+IF(B61="preference",$C$11,0)+IF(B62="preference",$C$12,0)+IF(B63="preference",$C$13,0))))+$B$15*$B$16)/((($B$14+$B$9+(IF(B57="convert",$B$7,0)+IF(B58="convert",$B$8,0)+IF(B60="convert",$B$10,0)+IF(B61="convert",$B$11,0)+IF(B62="convert",$B$12,0)+IF(B63="convert",$B$13,0))))+$B$15),((B$3-(IF(B57="preference",$C$7,0)+IF(B58="preference",$C$8,0)+IF(B60="preference",$C$10,0)+IF(B61="preference",$C$11,0)+IF(B62="preference",$C$12,0)+IF(B63="preference",$C$13,0))))/(($B$14+$B$9+(IF(B57="convert",$B$7,0)+IF(B58="convert",$B$8,0)+IF(B60="convert",$B$10,0)+IF(B61="convert",$B$11,0)+IF(B62="convert",$B$12,0)+IF(B63="convert",$B$13,0))))))*$B$9,"preference","convert")</f>
        <v/>
      </c>
      <c r="C68">
        <f>IF($C$9&gt;(IF((((C$3-(IF(C57="preference",$C$7,0)+IF(C58="preference",$C$8,0)+IF(C60="preference",$C$10,0)+IF(C61="preference",$C$11,0)+IF(C62="preference",$C$12,0)+IF(C63="preference",$C$13,0))))+$B$15*$B$16)/((($B$14+$B$9+(IF(C57="convert",$B$7,0)+IF(C58="convert",$B$8,0)+IF(C60="convert",$B$10,0)+IF(C61="convert",$B$11,0)+IF(C62="convert",$B$12,0)+IF(C63="convert",$B$13,0))))+$B$15)&gt;$B$16,(((C$3-(IF(C57="preference",$C$7,0)+IF(C58="preference",$C$8,0)+IF(C60="preference",$C$10,0)+IF(C61="preference",$C$11,0)+IF(C62="preference",$C$12,0)+IF(C63="preference",$C$13,0))))+$B$15*$B$16)/((($B$14+$B$9+(IF(C57="convert",$B$7,0)+IF(C58="convert",$B$8,0)+IF(C60="convert",$B$10,0)+IF(C61="convert",$B$11,0)+IF(C62="convert",$B$12,0)+IF(C63="convert",$B$13,0))))+$B$15),((C$3-(IF(C57="preference",$C$7,0)+IF(C58="preference",$C$8,0)+IF(C60="preference",$C$10,0)+IF(C61="preference",$C$11,0)+IF(C62="preference",$C$12,0)+IF(C63="preference",$C$13,0))))/(($B$14+$B$9+(IF(C57="convert",$B$7,0)+IF(C58="convert",$B$8,0)+IF(C60="convert",$B$10,0)+IF(C61="convert",$B$11,0)+IF(C62="convert",$B$12,0)+IF(C63="convert",$B$13,0))))))*$B$9,"preference","convert")</f>
        <v/>
      </c>
      <c r="D68">
        <f>IF($C$9&gt;(IF((((D$3-(IF(D57="preference",$C$7,0)+IF(D58="preference",$C$8,0)+IF(D60="preference",$C$10,0)+IF(D61="preference",$C$11,0)+IF(D62="preference",$C$12,0)+IF(D63="preference",$C$13,0))))+$B$15*$B$16)/((($B$14+$B$9+(IF(D57="convert",$B$7,0)+IF(D58="convert",$B$8,0)+IF(D60="convert",$B$10,0)+IF(D61="convert",$B$11,0)+IF(D62="convert",$B$12,0)+IF(D63="convert",$B$13,0))))+$B$15)&gt;$B$16,(((D$3-(IF(D57="preference",$C$7,0)+IF(D58="preference",$C$8,0)+IF(D60="preference",$C$10,0)+IF(D61="preference",$C$11,0)+IF(D62="preference",$C$12,0)+IF(D63="preference",$C$13,0))))+$B$15*$B$16)/((($B$14+$B$9+(IF(D57="convert",$B$7,0)+IF(D58="convert",$B$8,0)+IF(D60="convert",$B$10,0)+IF(D61="convert",$B$11,0)+IF(D62="convert",$B$12,0)+IF(D63="convert",$B$13,0))))+$B$15),((D$3-(IF(D57="preference",$C$7,0)+IF(D58="preference",$C$8,0)+IF(D60="preference",$C$10,0)+IF(D61="preference",$C$11,0)+IF(D62="preference",$C$12,0)+IF(D63="preference",$C$13,0))))/(($B$14+$B$9+(IF(D57="convert",$B$7,0)+IF(D58="convert",$B$8,0)+IF(D60="convert",$B$10,0)+IF(D61="convert",$B$11,0)+IF(D62="convert",$B$12,0)+IF(D63="convert",$B$13,0))))))*$B$9,"preference","convert")</f>
        <v/>
      </c>
      <c r="E68">
        <f>IF($C$9&gt;(IF((((E$3-(IF(E57="preference",$C$7,0)+IF(E58="preference",$C$8,0)+IF(E60="preference",$C$10,0)+IF(E61="preference",$C$11,0)+IF(E62="preference",$C$12,0)+IF(E63="preference",$C$13,0))))+$B$15*$B$16)/((($B$14+$B$9+(IF(E57="convert",$B$7,0)+IF(E58="convert",$B$8,0)+IF(E60="convert",$B$10,0)+IF(E61="convert",$B$11,0)+IF(E62="convert",$B$12,0)+IF(E63="convert",$B$13,0))))+$B$15)&gt;$B$16,(((E$3-(IF(E57="preference",$C$7,0)+IF(E58="preference",$C$8,0)+IF(E60="preference",$C$10,0)+IF(E61="preference",$C$11,0)+IF(E62="preference",$C$12,0)+IF(E63="preference",$C$13,0))))+$B$15*$B$16)/((($B$14+$B$9+(IF(E57="convert",$B$7,0)+IF(E58="convert",$B$8,0)+IF(E60="convert",$B$10,0)+IF(E61="convert",$B$11,0)+IF(E62="convert",$B$12,0)+IF(E63="convert",$B$13,0))))+$B$15),((E$3-(IF(E57="preference",$C$7,0)+IF(E58="preference",$C$8,0)+IF(E60="preference",$C$10,0)+IF(E61="preference",$C$11,0)+IF(E62="preference",$C$12,0)+IF(E63="preference",$C$13,0))))/(($B$14+$B$9+(IF(E57="convert",$B$7,0)+IF(E58="convert",$B$8,0)+IF(E60="convert",$B$10,0)+IF(E61="convert",$B$11,0)+IF(E62="convert",$B$12,0)+IF(E63="convert",$B$13,0))))))*$B$9,"preference","convert")</f>
        <v/>
      </c>
      <c r="F68">
        <f>IF($C$9&gt;(IF((((F$3-(IF(F57="preference",$C$7,0)+IF(F58="preference",$C$8,0)+IF(F60="preference",$C$10,0)+IF(F61="preference",$C$11,0)+IF(F62="preference",$C$12,0)+IF(F63="preference",$C$13,0))))+$B$15*$B$16)/((($B$14+$B$9+(IF(F57="convert",$B$7,0)+IF(F58="convert",$B$8,0)+IF(F60="convert",$B$10,0)+IF(F61="convert",$B$11,0)+IF(F62="convert",$B$12,0)+IF(F63="convert",$B$13,0))))+$B$15)&gt;$B$16,(((F$3-(IF(F57="preference",$C$7,0)+IF(F58="preference",$C$8,0)+IF(F60="preference",$C$10,0)+IF(F61="preference",$C$11,0)+IF(F62="preference",$C$12,0)+IF(F63="preference",$C$13,0))))+$B$15*$B$16)/((($B$14+$B$9+(IF(F57="convert",$B$7,0)+IF(F58="convert",$B$8,0)+IF(F60="convert",$B$10,0)+IF(F61="convert",$B$11,0)+IF(F62="convert",$B$12,0)+IF(F63="convert",$B$13,0))))+$B$15),((F$3-(IF(F57="preference",$C$7,0)+IF(F58="preference",$C$8,0)+IF(F60="preference",$C$10,0)+IF(F61="preference",$C$11,0)+IF(F62="preference",$C$12,0)+IF(F63="preference",$C$13,0))))/(($B$14+$B$9+(IF(F57="convert",$B$7,0)+IF(F58="convert",$B$8,0)+IF(F60="convert",$B$10,0)+IF(F61="convert",$B$11,0)+IF(F62="convert",$B$12,0)+IF(F63="convert",$B$13,0))))))*$B$9,"preference","convert")</f>
        <v/>
      </c>
    </row>
    <row r="69">
      <c r="A69" t="inlineStr">
        <is>
          <t>C</t>
        </is>
      </c>
      <c r="B69">
        <f>IF($C$10&gt;(IF((((B$3-(IF(B57="preference",$C$7,0)+IF(B58="preference",$C$8,0)+IF(B59="preference",$C$9,0)+IF(B61="preference",$C$11,0)+IF(B62="preference",$C$12,0)+IF(B63="preference",$C$13,0))))+$B$15*$B$16)/((($B$14+$B$10+(IF(B57="convert",$B$7,0)+IF(B58="convert",$B$8,0)+IF(B59="convert",$B$9,0)+IF(B61="convert",$B$11,0)+IF(B62="convert",$B$12,0)+IF(B63="convert",$B$13,0))))+$B$15)&gt;$B$16,(((B$3-(IF(B57="preference",$C$7,0)+IF(B58="preference",$C$8,0)+IF(B59="preference",$C$9,0)+IF(B61="preference",$C$11,0)+IF(B62="preference",$C$12,0)+IF(B63="preference",$C$13,0))))+$B$15*$B$16)/((($B$14+$B$10+(IF(B57="convert",$B$7,0)+IF(B58="convert",$B$8,0)+IF(B59="convert",$B$9,0)+IF(B61="convert",$B$11,0)+IF(B62="convert",$B$12,0)+IF(B63="convert",$B$13,0))))+$B$15),((B$3-(IF(B57="preference",$C$7,0)+IF(B58="preference",$C$8,0)+IF(B59="preference",$C$9,0)+IF(B61="preference",$C$11,0)+IF(B62="preference",$C$12,0)+IF(B63="preference",$C$13,0))))/(($B$14+$B$10+(IF(B57="convert",$B$7,0)+IF(B58="convert",$B$8,0)+IF(B59="convert",$B$9,0)+IF(B61="convert",$B$11,0)+IF(B62="convert",$B$12,0)+IF(B63="convert",$B$13,0))))))*$B$10,"preference","convert")</f>
        <v/>
      </c>
      <c r="C69">
        <f>IF($C$10&gt;(IF((((C$3-(IF(C57="preference",$C$7,0)+IF(C58="preference",$C$8,0)+IF(C59="preference",$C$9,0)+IF(C61="preference",$C$11,0)+IF(C62="preference",$C$12,0)+IF(C63="preference",$C$13,0))))+$B$15*$B$16)/((($B$14+$B$10+(IF(C57="convert",$B$7,0)+IF(C58="convert",$B$8,0)+IF(C59="convert",$B$9,0)+IF(C61="convert",$B$11,0)+IF(C62="convert",$B$12,0)+IF(C63="convert",$B$13,0))))+$B$15)&gt;$B$16,(((C$3-(IF(C57="preference",$C$7,0)+IF(C58="preference",$C$8,0)+IF(C59="preference",$C$9,0)+IF(C61="preference",$C$11,0)+IF(C62="preference",$C$12,0)+IF(C63="preference",$C$13,0))))+$B$15*$B$16)/((($B$14+$B$10+(IF(C57="convert",$B$7,0)+IF(C58="convert",$B$8,0)+IF(C59="convert",$B$9,0)+IF(C61="convert",$B$11,0)+IF(C62="convert",$B$12,0)+IF(C63="convert",$B$13,0))))+$B$15),((C$3-(IF(C57="preference",$C$7,0)+IF(C58="preference",$C$8,0)+IF(C59="preference",$C$9,0)+IF(C61="preference",$C$11,0)+IF(C62="preference",$C$12,0)+IF(C63="preference",$C$13,0))))/(($B$14+$B$10+(IF(C57="convert",$B$7,0)+IF(C58="convert",$B$8,0)+IF(C59="convert",$B$9,0)+IF(C61="convert",$B$11,0)+IF(C62="convert",$B$12,0)+IF(C63="convert",$B$13,0))))))*$B$10,"preference","convert")</f>
        <v/>
      </c>
      <c r="D69">
        <f>IF($C$10&gt;(IF((((D$3-(IF(D57="preference",$C$7,0)+IF(D58="preference",$C$8,0)+IF(D59="preference",$C$9,0)+IF(D61="preference",$C$11,0)+IF(D62="preference",$C$12,0)+IF(D63="preference",$C$13,0))))+$B$15*$B$16)/((($B$14+$B$10+(IF(D57="convert",$B$7,0)+IF(D58="convert",$B$8,0)+IF(D59="convert",$B$9,0)+IF(D61="convert",$B$11,0)+IF(D62="convert",$B$12,0)+IF(D63="convert",$B$13,0))))+$B$15)&gt;$B$16,(((D$3-(IF(D57="preference",$C$7,0)+IF(D58="preference",$C$8,0)+IF(D59="preference",$C$9,0)+IF(D61="preference",$C$11,0)+IF(D62="preference",$C$12,0)+IF(D63="preference",$C$13,0))))+$B$15*$B$16)/((($B$14+$B$10+(IF(D57="convert",$B$7,0)+IF(D58="convert",$B$8,0)+IF(D59="convert",$B$9,0)+IF(D61="convert",$B$11,0)+IF(D62="convert",$B$12,0)+IF(D63="convert",$B$13,0))))+$B$15),((D$3-(IF(D57="preference",$C$7,0)+IF(D58="preference",$C$8,0)+IF(D59="preference",$C$9,0)+IF(D61="preference",$C$11,0)+IF(D62="preference",$C$12,0)+IF(D63="preference",$C$13,0))))/(($B$14+$B$10+(IF(D57="convert",$B$7,0)+IF(D58="convert",$B$8,0)+IF(D59="convert",$B$9,0)+IF(D61="convert",$B$11,0)+IF(D62="convert",$B$12,0)+IF(D63="convert",$B$13,0))))))*$B$10,"preference","convert")</f>
        <v/>
      </c>
      <c r="E69">
        <f>IF($C$10&gt;(IF((((E$3-(IF(E57="preference",$C$7,0)+IF(E58="preference",$C$8,0)+IF(E59="preference",$C$9,0)+IF(E61="preference",$C$11,0)+IF(E62="preference",$C$12,0)+IF(E63="preference",$C$13,0))))+$B$15*$B$16)/((($B$14+$B$10+(IF(E57="convert",$B$7,0)+IF(E58="convert",$B$8,0)+IF(E59="convert",$B$9,0)+IF(E61="convert",$B$11,0)+IF(E62="convert",$B$12,0)+IF(E63="convert",$B$13,0))))+$B$15)&gt;$B$16,(((E$3-(IF(E57="preference",$C$7,0)+IF(E58="preference",$C$8,0)+IF(E59="preference",$C$9,0)+IF(E61="preference",$C$11,0)+IF(E62="preference",$C$12,0)+IF(E63="preference",$C$13,0))))+$B$15*$B$16)/((($B$14+$B$10+(IF(E57="convert",$B$7,0)+IF(E58="convert",$B$8,0)+IF(E59="convert",$B$9,0)+IF(E61="convert",$B$11,0)+IF(E62="convert",$B$12,0)+IF(E63="convert",$B$13,0))))+$B$15),((E$3-(IF(E57="preference",$C$7,0)+IF(E58="preference",$C$8,0)+IF(E59="preference",$C$9,0)+IF(E61="preference",$C$11,0)+IF(E62="preference",$C$12,0)+IF(E63="preference",$C$13,0))))/(($B$14+$B$10+(IF(E57="convert",$B$7,0)+IF(E58="convert",$B$8,0)+IF(E59="convert",$B$9,0)+IF(E61="convert",$B$11,0)+IF(E62="convert",$B$12,0)+IF(E63="convert",$B$13,0))))))*$B$10,"preference","convert")</f>
        <v/>
      </c>
      <c r="F69">
        <f>IF($C$10&gt;(IF((((F$3-(IF(F57="preference",$C$7,0)+IF(F58="preference",$C$8,0)+IF(F59="preference",$C$9,0)+IF(F61="preference",$C$11,0)+IF(F62="preference",$C$12,0)+IF(F63="preference",$C$13,0))))+$B$15*$B$16)/((($B$14+$B$10+(IF(F57="convert",$B$7,0)+IF(F58="convert",$B$8,0)+IF(F59="convert",$B$9,0)+IF(F61="convert",$B$11,0)+IF(F62="convert",$B$12,0)+IF(F63="convert",$B$13,0))))+$B$15)&gt;$B$16,(((F$3-(IF(F57="preference",$C$7,0)+IF(F58="preference",$C$8,0)+IF(F59="preference",$C$9,0)+IF(F61="preference",$C$11,0)+IF(F62="preference",$C$12,0)+IF(F63="preference",$C$13,0))))+$B$15*$B$16)/((($B$14+$B$10+(IF(F57="convert",$B$7,0)+IF(F58="convert",$B$8,0)+IF(F59="convert",$B$9,0)+IF(F61="convert",$B$11,0)+IF(F62="convert",$B$12,0)+IF(F63="convert",$B$13,0))))+$B$15),((F$3-(IF(F57="preference",$C$7,0)+IF(F58="preference",$C$8,0)+IF(F59="preference",$C$9,0)+IF(F61="preference",$C$11,0)+IF(F62="preference",$C$12,0)+IF(F63="preference",$C$13,0))))/(($B$14+$B$10+(IF(F57="convert",$B$7,0)+IF(F58="convert",$B$8,0)+IF(F59="convert",$B$9,0)+IF(F61="convert",$B$11,0)+IF(F62="convert",$B$12,0)+IF(F63="convert",$B$13,0))))))*$B$10,"preference","convert")</f>
        <v/>
      </c>
    </row>
    <row r="70">
      <c r="A70" t="inlineStr">
        <is>
          <t>B</t>
        </is>
      </c>
      <c r="B70">
        <f>IF($C$11&gt;(IF((((B$3-(IF(B57="preference",$C$7,0)+IF(B58="preference",$C$8,0)+IF(B59="preference",$C$9,0)+IF(B60="preference",$C$10,0)+IF(B62="preference",$C$12,0)+IF(B63="preference",$C$13,0))))+$B$15*$B$16)/((($B$14+$B$11+(IF(B57="convert",$B$7,0)+IF(B58="convert",$B$8,0)+IF(B59="convert",$B$9,0)+IF(B60="convert",$B$10,0)+IF(B62="convert",$B$12,0)+IF(B63="convert",$B$13,0))))+$B$15)&gt;$B$16,(((B$3-(IF(B57="preference",$C$7,0)+IF(B58="preference",$C$8,0)+IF(B59="preference",$C$9,0)+IF(B60="preference",$C$10,0)+IF(B62="preference",$C$12,0)+IF(B63="preference",$C$13,0))))+$B$15*$B$16)/((($B$14+$B$11+(IF(B57="convert",$B$7,0)+IF(B58="convert",$B$8,0)+IF(B59="convert",$B$9,0)+IF(B60="convert",$B$10,0)+IF(B62="convert",$B$12,0)+IF(B63="convert",$B$13,0))))+$B$15),((B$3-(IF(B57="preference",$C$7,0)+IF(B58="preference",$C$8,0)+IF(B59="preference",$C$9,0)+IF(B60="preference",$C$10,0)+IF(B62="preference",$C$12,0)+IF(B63="preference",$C$13,0))))/(($B$14+$B$11+(IF(B57="convert",$B$7,0)+IF(B58="convert",$B$8,0)+IF(B59="convert",$B$9,0)+IF(B60="convert",$B$10,0)+IF(B62="convert",$B$12,0)+IF(B63="convert",$B$13,0))))))*$B$11,"preference","convert")</f>
        <v/>
      </c>
      <c r="C70">
        <f>IF($C$11&gt;(IF((((C$3-(IF(C57="preference",$C$7,0)+IF(C58="preference",$C$8,0)+IF(C59="preference",$C$9,0)+IF(C60="preference",$C$10,0)+IF(C62="preference",$C$12,0)+IF(C63="preference",$C$13,0))))+$B$15*$B$16)/((($B$14+$B$11+(IF(C57="convert",$B$7,0)+IF(C58="convert",$B$8,0)+IF(C59="convert",$B$9,0)+IF(C60="convert",$B$10,0)+IF(C62="convert",$B$12,0)+IF(C63="convert",$B$13,0))))+$B$15)&gt;$B$16,(((C$3-(IF(C57="preference",$C$7,0)+IF(C58="preference",$C$8,0)+IF(C59="preference",$C$9,0)+IF(C60="preference",$C$10,0)+IF(C62="preference",$C$12,0)+IF(C63="preference",$C$13,0))))+$B$15*$B$16)/((($B$14+$B$11+(IF(C57="convert",$B$7,0)+IF(C58="convert",$B$8,0)+IF(C59="convert",$B$9,0)+IF(C60="convert",$B$10,0)+IF(C62="convert",$B$12,0)+IF(C63="convert",$B$13,0))))+$B$15),((C$3-(IF(C57="preference",$C$7,0)+IF(C58="preference",$C$8,0)+IF(C59="preference",$C$9,0)+IF(C60="preference",$C$10,0)+IF(C62="preference",$C$12,0)+IF(C63="preference",$C$13,0))))/(($B$14+$B$11+(IF(C57="convert",$B$7,0)+IF(C58="convert",$B$8,0)+IF(C59="convert",$B$9,0)+IF(C60="convert",$B$10,0)+IF(C62="convert",$B$12,0)+IF(C63="convert",$B$13,0))))))*$B$11,"preference","convert")</f>
        <v/>
      </c>
      <c r="D70">
        <f>IF($C$11&gt;(IF((((D$3-(IF(D57="preference",$C$7,0)+IF(D58="preference",$C$8,0)+IF(D59="preference",$C$9,0)+IF(D60="preference",$C$10,0)+IF(D62="preference",$C$12,0)+IF(D63="preference",$C$13,0))))+$B$15*$B$16)/((($B$14+$B$11+(IF(D57="convert",$B$7,0)+IF(D58="convert",$B$8,0)+IF(D59="convert",$B$9,0)+IF(D60="convert",$B$10,0)+IF(D62="convert",$B$12,0)+IF(D63="convert",$B$13,0))))+$B$15)&gt;$B$16,(((D$3-(IF(D57="preference",$C$7,0)+IF(D58="preference",$C$8,0)+IF(D59="preference",$C$9,0)+IF(D60="preference",$C$10,0)+IF(D62="preference",$C$12,0)+IF(D63="preference",$C$13,0))))+$B$15*$B$16)/((($B$14+$B$11+(IF(D57="convert",$B$7,0)+IF(D58="convert",$B$8,0)+IF(D59="convert",$B$9,0)+IF(D60="convert",$B$10,0)+IF(D62="convert",$B$12,0)+IF(D63="convert",$B$13,0))))+$B$15),((D$3-(IF(D57="preference",$C$7,0)+IF(D58="preference",$C$8,0)+IF(D59="preference",$C$9,0)+IF(D60="preference",$C$10,0)+IF(D62="preference",$C$12,0)+IF(D63="preference",$C$13,0))))/(($B$14+$B$11+(IF(D57="convert",$B$7,0)+IF(D58="convert",$B$8,0)+IF(D59="convert",$B$9,0)+IF(D60="convert",$B$10,0)+IF(D62="convert",$B$12,0)+IF(D63="convert",$B$13,0))))))*$B$11,"preference","convert")</f>
        <v/>
      </c>
      <c r="E70">
        <f>IF($C$11&gt;(IF((((E$3-(IF(E57="preference",$C$7,0)+IF(E58="preference",$C$8,0)+IF(E59="preference",$C$9,0)+IF(E60="preference",$C$10,0)+IF(E62="preference",$C$12,0)+IF(E63="preference",$C$13,0))))+$B$15*$B$16)/((($B$14+$B$11+(IF(E57="convert",$B$7,0)+IF(E58="convert",$B$8,0)+IF(E59="convert",$B$9,0)+IF(E60="convert",$B$10,0)+IF(E62="convert",$B$12,0)+IF(E63="convert",$B$13,0))))+$B$15)&gt;$B$16,(((E$3-(IF(E57="preference",$C$7,0)+IF(E58="preference",$C$8,0)+IF(E59="preference",$C$9,0)+IF(E60="preference",$C$10,0)+IF(E62="preference",$C$12,0)+IF(E63="preference",$C$13,0))))+$B$15*$B$16)/((($B$14+$B$11+(IF(E57="convert",$B$7,0)+IF(E58="convert",$B$8,0)+IF(E59="convert",$B$9,0)+IF(E60="convert",$B$10,0)+IF(E62="convert",$B$12,0)+IF(E63="convert",$B$13,0))))+$B$15),((E$3-(IF(E57="preference",$C$7,0)+IF(E58="preference",$C$8,0)+IF(E59="preference",$C$9,0)+IF(E60="preference",$C$10,0)+IF(E62="preference",$C$12,0)+IF(E63="preference",$C$13,0))))/(($B$14+$B$11+(IF(E57="convert",$B$7,0)+IF(E58="convert",$B$8,0)+IF(E59="convert",$B$9,0)+IF(E60="convert",$B$10,0)+IF(E62="convert",$B$12,0)+IF(E63="convert",$B$13,0))))))*$B$11,"preference","convert")</f>
        <v/>
      </c>
      <c r="F70">
        <f>IF($C$11&gt;(IF((((F$3-(IF(F57="preference",$C$7,0)+IF(F58="preference",$C$8,0)+IF(F59="preference",$C$9,0)+IF(F60="preference",$C$10,0)+IF(F62="preference",$C$12,0)+IF(F63="preference",$C$13,0))))+$B$15*$B$16)/((($B$14+$B$11+(IF(F57="convert",$B$7,0)+IF(F58="convert",$B$8,0)+IF(F59="convert",$B$9,0)+IF(F60="convert",$B$10,0)+IF(F62="convert",$B$12,0)+IF(F63="convert",$B$13,0))))+$B$15)&gt;$B$16,(((F$3-(IF(F57="preference",$C$7,0)+IF(F58="preference",$C$8,0)+IF(F59="preference",$C$9,0)+IF(F60="preference",$C$10,0)+IF(F62="preference",$C$12,0)+IF(F63="preference",$C$13,0))))+$B$15*$B$16)/((($B$14+$B$11+(IF(F57="convert",$B$7,0)+IF(F58="convert",$B$8,0)+IF(F59="convert",$B$9,0)+IF(F60="convert",$B$10,0)+IF(F62="convert",$B$12,0)+IF(F63="convert",$B$13,0))))+$B$15),((F$3-(IF(F57="preference",$C$7,0)+IF(F58="preference",$C$8,0)+IF(F59="preference",$C$9,0)+IF(F60="preference",$C$10,0)+IF(F62="preference",$C$12,0)+IF(F63="preference",$C$13,0))))/(($B$14+$B$11+(IF(F57="convert",$B$7,0)+IF(F58="convert",$B$8,0)+IF(F59="convert",$B$9,0)+IF(F60="convert",$B$10,0)+IF(F62="convert",$B$12,0)+IF(F63="convert",$B$13,0))))))*$B$11,"preference","convert")</f>
        <v/>
      </c>
    </row>
    <row r="71">
      <c r="A71" t="inlineStr">
        <is>
          <t>A</t>
        </is>
      </c>
      <c r="B71">
        <f>IF($C$12&gt;(IF((((B$3-(IF(B57="preference",$C$7,0)+IF(B58="preference",$C$8,0)+IF(B59="preference",$C$9,0)+IF(B60="preference",$C$10,0)+IF(B61="preference",$C$11,0)+IF(B63="preference",$C$13,0))))+$B$15*$B$16)/((($B$14+$B$12+(IF(B57="convert",$B$7,0)+IF(B58="convert",$B$8,0)+IF(B59="convert",$B$9,0)+IF(B60="convert",$B$10,0)+IF(B61="convert",$B$11,0)+IF(B63="convert",$B$13,0))))+$B$15)&gt;$B$16,(((B$3-(IF(B57="preference",$C$7,0)+IF(B58="preference",$C$8,0)+IF(B59="preference",$C$9,0)+IF(B60="preference",$C$10,0)+IF(B61="preference",$C$11,0)+IF(B63="preference",$C$13,0))))+$B$15*$B$16)/((($B$14+$B$12+(IF(B57="convert",$B$7,0)+IF(B58="convert",$B$8,0)+IF(B59="convert",$B$9,0)+IF(B60="convert",$B$10,0)+IF(B61="convert",$B$11,0)+IF(B63="convert",$B$13,0))))+$B$15),((B$3-(IF(B57="preference",$C$7,0)+IF(B58="preference",$C$8,0)+IF(B59="preference",$C$9,0)+IF(B60="preference",$C$10,0)+IF(B61="preference",$C$11,0)+IF(B63="preference",$C$13,0))))/(($B$14+$B$12+(IF(B57="convert",$B$7,0)+IF(B58="convert",$B$8,0)+IF(B59="convert",$B$9,0)+IF(B60="convert",$B$10,0)+IF(B61="convert",$B$11,0)+IF(B63="convert",$B$13,0))))))*$B$12,"preference","convert")</f>
        <v/>
      </c>
      <c r="C71">
        <f>IF($C$12&gt;(IF((((C$3-(IF(C57="preference",$C$7,0)+IF(C58="preference",$C$8,0)+IF(C59="preference",$C$9,0)+IF(C60="preference",$C$10,0)+IF(C61="preference",$C$11,0)+IF(C63="preference",$C$13,0))))+$B$15*$B$16)/((($B$14+$B$12+(IF(C57="convert",$B$7,0)+IF(C58="convert",$B$8,0)+IF(C59="convert",$B$9,0)+IF(C60="convert",$B$10,0)+IF(C61="convert",$B$11,0)+IF(C63="convert",$B$13,0))))+$B$15)&gt;$B$16,(((C$3-(IF(C57="preference",$C$7,0)+IF(C58="preference",$C$8,0)+IF(C59="preference",$C$9,0)+IF(C60="preference",$C$10,0)+IF(C61="preference",$C$11,0)+IF(C63="preference",$C$13,0))))+$B$15*$B$16)/((($B$14+$B$12+(IF(C57="convert",$B$7,0)+IF(C58="convert",$B$8,0)+IF(C59="convert",$B$9,0)+IF(C60="convert",$B$10,0)+IF(C61="convert",$B$11,0)+IF(C63="convert",$B$13,0))))+$B$15),((C$3-(IF(C57="preference",$C$7,0)+IF(C58="preference",$C$8,0)+IF(C59="preference",$C$9,0)+IF(C60="preference",$C$10,0)+IF(C61="preference",$C$11,0)+IF(C63="preference",$C$13,0))))/(($B$14+$B$12+(IF(C57="convert",$B$7,0)+IF(C58="convert",$B$8,0)+IF(C59="convert",$B$9,0)+IF(C60="convert",$B$10,0)+IF(C61="convert",$B$11,0)+IF(C63="convert",$B$13,0))))))*$B$12,"preference","convert")</f>
        <v/>
      </c>
      <c r="D71">
        <f>IF($C$12&gt;(IF((((D$3-(IF(D57="preference",$C$7,0)+IF(D58="preference",$C$8,0)+IF(D59="preference",$C$9,0)+IF(D60="preference",$C$10,0)+IF(D61="preference",$C$11,0)+IF(D63="preference",$C$13,0))))+$B$15*$B$16)/((($B$14+$B$12+(IF(D57="convert",$B$7,0)+IF(D58="convert",$B$8,0)+IF(D59="convert",$B$9,0)+IF(D60="convert",$B$10,0)+IF(D61="convert",$B$11,0)+IF(D63="convert",$B$13,0))))+$B$15)&gt;$B$16,(((D$3-(IF(D57="preference",$C$7,0)+IF(D58="preference",$C$8,0)+IF(D59="preference",$C$9,0)+IF(D60="preference",$C$10,0)+IF(D61="preference",$C$11,0)+IF(D63="preference",$C$13,0))))+$B$15*$B$16)/((($B$14+$B$12+(IF(D57="convert",$B$7,0)+IF(D58="convert",$B$8,0)+IF(D59="convert",$B$9,0)+IF(D60="convert",$B$10,0)+IF(D61="convert",$B$11,0)+IF(D63="convert",$B$13,0))))+$B$15),((D$3-(IF(D57="preference",$C$7,0)+IF(D58="preference",$C$8,0)+IF(D59="preference",$C$9,0)+IF(D60="preference",$C$10,0)+IF(D61="preference",$C$11,0)+IF(D63="preference",$C$13,0))))/(($B$14+$B$12+(IF(D57="convert",$B$7,0)+IF(D58="convert",$B$8,0)+IF(D59="convert",$B$9,0)+IF(D60="convert",$B$10,0)+IF(D61="convert",$B$11,0)+IF(D63="convert",$B$13,0))))))*$B$12,"preference","convert")</f>
        <v/>
      </c>
      <c r="E71">
        <f>IF($C$12&gt;(IF((((E$3-(IF(E57="preference",$C$7,0)+IF(E58="preference",$C$8,0)+IF(E59="preference",$C$9,0)+IF(E60="preference",$C$10,0)+IF(E61="preference",$C$11,0)+IF(E63="preference",$C$13,0))))+$B$15*$B$16)/((($B$14+$B$12+(IF(E57="convert",$B$7,0)+IF(E58="convert",$B$8,0)+IF(E59="convert",$B$9,0)+IF(E60="convert",$B$10,0)+IF(E61="convert",$B$11,0)+IF(E63="convert",$B$13,0))))+$B$15)&gt;$B$16,(((E$3-(IF(E57="preference",$C$7,0)+IF(E58="preference",$C$8,0)+IF(E59="preference",$C$9,0)+IF(E60="preference",$C$10,0)+IF(E61="preference",$C$11,0)+IF(E63="preference",$C$13,0))))+$B$15*$B$16)/((($B$14+$B$12+(IF(E57="convert",$B$7,0)+IF(E58="convert",$B$8,0)+IF(E59="convert",$B$9,0)+IF(E60="convert",$B$10,0)+IF(E61="convert",$B$11,0)+IF(E63="convert",$B$13,0))))+$B$15),((E$3-(IF(E57="preference",$C$7,0)+IF(E58="preference",$C$8,0)+IF(E59="preference",$C$9,0)+IF(E60="preference",$C$10,0)+IF(E61="preference",$C$11,0)+IF(E63="preference",$C$13,0))))/(($B$14+$B$12+(IF(E57="convert",$B$7,0)+IF(E58="convert",$B$8,0)+IF(E59="convert",$B$9,0)+IF(E60="convert",$B$10,0)+IF(E61="convert",$B$11,0)+IF(E63="convert",$B$13,0))))))*$B$12,"preference","convert")</f>
        <v/>
      </c>
      <c r="F71">
        <f>IF($C$12&gt;(IF((((F$3-(IF(F57="preference",$C$7,0)+IF(F58="preference",$C$8,0)+IF(F59="preference",$C$9,0)+IF(F60="preference",$C$10,0)+IF(F61="preference",$C$11,0)+IF(F63="preference",$C$13,0))))+$B$15*$B$16)/((($B$14+$B$12+(IF(F57="convert",$B$7,0)+IF(F58="convert",$B$8,0)+IF(F59="convert",$B$9,0)+IF(F60="convert",$B$10,0)+IF(F61="convert",$B$11,0)+IF(F63="convert",$B$13,0))))+$B$15)&gt;$B$16,(((F$3-(IF(F57="preference",$C$7,0)+IF(F58="preference",$C$8,0)+IF(F59="preference",$C$9,0)+IF(F60="preference",$C$10,0)+IF(F61="preference",$C$11,0)+IF(F63="preference",$C$13,0))))+$B$15*$B$16)/((($B$14+$B$12+(IF(F57="convert",$B$7,0)+IF(F58="convert",$B$8,0)+IF(F59="convert",$B$9,0)+IF(F60="convert",$B$10,0)+IF(F61="convert",$B$11,0)+IF(F63="convert",$B$13,0))))+$B$15),((F$3-(IF(F57="preference",$C$7,0)+IF(F58="preference",$C$8,0)+IF(F59="preference",$C$9,0)+IF(F60="preference",$C$10,0)+IF(F61="preference",$C$11,0)+IF(F63="preference",$C$13,0))))/(($B$14+$B$12+(IF(F57="convert",$B$7,0)+IF(F58="convert",$B$8,0)+IF(F59="convert",$B$9,0)+IF(F60="convert",$B$10,0)+IF(F61="convert",$B$11,0)+IF(F63="convert",$B$13,0))))))*$B$12,"preference","convert")</f>
        <v/>
      </c>
    </row>
    <row r="72">
      <c r="A72" t="inlineStr">
        <is>
          <t>Seed</t>
        </is>
      </c>
      <c r="B72">
        <f>IF($C$13&gt;(IF((((B$3-(IF(B57="preference",$C$7,0)+IF(B58="preference",$C$8,0)+IF(B59="preference",$C$9,0)+IF(B60="preference",$C$10,0)+IF(B61="preference",$C$11,0)+IF(B62="preference",$C$12,0))))+$B$15*$B$16)/((($B$14+$B$13+(IF(B57="convert",$B$7,0)+IF(B58="convert",$B$8,0)+IF(B59="convert",$B$9,0)+IF(B60="convert",$B$10,0)+IF(B61="convert",$B$11,0)+IF(B62="convert",$B$12,0))))+$B$15)&gt;$B$16,(((B$3-(IF(B57="preference",$C$7,0)+IF(B58="preference",$C$8,0)+IF(B59="preference",$C$9,0)+IF(B60="preference",$C$10,0)+IF(B61="preference",$C$11,0)+IF(B62="preference",$C$12,0))))+$B$15*$B$16)/((($B$14+$B$13+(IF(B57="convert",$B$7,0)+IF(B58="convert",$B$8,0)+IF(B59="convert",$B$9,0)+IF(B60="convert",$B$10,0)+IF(B61="convert",$B$11,0)+IF(B62="convert",$B$12,0))))+$B$15),((B$3-(IF(B57="preference",$C$7,0)+IF(B58="preference",$C$8,0)+IF(B59="preference",$C$9,0)+IF(B60="preference",$C$10,0)+IF(B61="preference",$C$11,0)+IF(B62="preference",$C$12,0))))/(($B$14+$B$13+(IF(B57="convert",$B$7,0)+IF(B58="convert",$B$8,0)+IF(B59="convert",$B$9,0)+IF(B60="convert",$B$10,0)+IF(B61="convert",$B$11,0)+IF(B62="convert",$B$12,0))))))*$B$13,"preference","convert")</f>
        <v/>
      </c>
      <c r="C72">
        <f>IF($C$13&gt;(IF((((C$3-(IF(C57="preference",$C$7,0)+IF(C58="preference",$C$8,0)+IF(C59="preference",$C$9,0)+IF(C60="preference",$C$10,0)+IF(C61="preference",$C$11,0)+IF(C62="preference",$C$12,0))))+$B$15*$B$16)/((($B$14+$B$13+(IF(C57="convert",$B$7,0)+IF(C58="convert",$B$8,0)+IF(C59="convert",$B$9,0)+IF(C60="convert",$B$10,0)+IF(C61="convert",$B$11,0)+IF(C62="convert",$B$12,0))))+$B$15)&gt;$B$16,(((C$3-(IF(C57="preference",$C$7,0)+IF(C58="preference",$C$8,0)+IF(C59="preference",$C$9,0)+IF(C60="preference",$C$10,0)+IF(C61="preference",$C$11,0)+IF(C62="preference",$C$12,0))))+$B$15*$B$16)/((($B$14+$B$13+(IF(C57="convert",$B$7,0)+IF(C58="convert",$B$8,0)+IF(C59="convert",$B$9,0)+IF(C60="convert",$B$10,0)+IF(C61="convert",$B$11,0)+IF(C62="convert",$B$12,0))))+$B$15),((C$3-(IF(C57="preference",$C$7,0)+IF(C58="preference",$C$8,0)+IF(C59="preference",$C$9,0)+IF(C60="preference",$C$10,0)+IF(C61="preference",$C$11,0)+IF(C62="preference",$C$12,0))))/(($B$14+$B$13+(IF(C57="convert",$B$7,0)+IF(C58="convert",$B$8,0)+IF(C59="convert",$B$9,0)+IF(C60="convert",$B$10,0)+IF(C61="convert",$B$11,0)+IF(C62="convert",$B$12,0))))))*$B$13,"preference","convert")</f>
        <v/>
      </c>
      <c r="D72">
        <f>IF($C$13&gt;(IF((((D$3-(IF(D57="preference",$C$7,0)+IF(D58="preference",$C$8,0)+IF(D59="preference",$C$9,0)+IF(D60="preference",$C$10,0)+IF(D61="preference",$C$11,0)+IF(D62="preference",$C$12,0))))+$B$15*$B$16)/((($B$14+$B$13+(IF(D57="convert",$B$7,0)+IF(D58="convert",$B$8,0)+IF(D59="convert",$B$9,0)+IF(D60="convert",$B$10,0)+IF(D61="convert",$B$11,0)+IF(D62="convert",$B$12,0))))+$B$15)&gt;$B$16,(((D$3-(IF(D57="preference",$C$7,0)+IF(D58="preference",$C$8,0)+IF(D59="preference",$C$9,0)+IF(D60="preference",$C$10,0)+IF(D61="preference",$C$11,0)+IF(D62="preference",$C$12,0))))+$B$15*$B$16)/((($B$14+$B$13+(IF(D57="convert",$B$7,0)+IF(D58="convert",$B$8,0)+IF(D59="convert",$B$9,0)+IF(D60="convert",$B$10,0)+IF(D61="convert",$B$11,0)+IF(D62="convert",$B$12,0))))+$B$15),((D$3-(IF(D57="preference",$C$7,0)+IF(D58="preference",$C$8,0)+IF(D59="preference",$C$9,0)+IF(D60="preference",$C$10,0)+IF(D61="preference",$C$11,0)+IF(D62="preference",$C$12,0))))/(($B$14+$B$13+(IF(D57="convert",$B$7,0)+IF(D58="convert",$B$8,0)+IF(D59="convert",$B$9,0)+IF(D60="convert",$B$10,0)+IF(D61="convert",$B$11,0)+IF(D62="convert",$B$12,0))))))*$B$13,"preference","convert")</f>
        <v/>
      </c>
      <c r="E72">
        <f>IF($C$13&gt;(IF((((E$3-(IF(E57="preference",$C$7,0)+IF(E58="preference",$C$8,0)+IF(E59="preference",$C$9,0)+IF(E60="preference",$C$10,0)+IF(E61="preference",$C$11,0)+IF(E62="preference",$C$12,0))))+$B$15*$B$16)/((($B$14+$B$13+(IF(E57="convert",$B$7,0)+IF(E58="convert",$B$8,0)+IF(E59="convert",$B$9,0)+IF(E60="convert",$B$10,0)+IF(E61="convert",$B$11,0)+IF(E62="convert",$B$12,0))))+$B$15)&gt;$B$16,(((E$3-(IF(E57="preference",$C$7,0)+IF(E58="preference",$C$8,0)+IF(E59="preference",$C$9,0)+IF(E60="preference",$C$10,0)+IF(E61="preference",$C$11,0)+IF(E62="preference",$C$12,0))))+$B$15*$B$16)/((($B$14+$B$13+(IF(E57="convert",$B$7,0)+IF(E58="convert",$B$8,0)+IF(E59="convert",$B$9,0)+IF(E60="convert",$B$10,0)+IF(E61="convert",$B$11,0)+IF(E62="convert",$B$12,0))))+$B$15),((E$3-(IF(E57="preference",$C$7,0)+IF(E58="preference",$C$8,0)+IF(E59="preference",$C$9,0)+IF(E60="preference",$C$10,0)+IF(E61="preference",$C$11,0)+IF(E62="preference",$C$12,0))))/(($B$14+$B$13+(IF(E57="convert",$B$7,0)+IF(E58="convert",$B$8,0)+IF(E59="convert",$B$9,0)+IF(E60="convert",$B$10,0)+IF(E61="convert",$B$11,0)+IF(E62="convert",$B$12,0))))))*$B$13,"preference","convert")</f>
        <v/>
      </c>
      <c r="F72">
        <f>IF($C$13&gt;(IF((((F$3-(IF(F57="preference",$C$7,0)+IF(F58="preference",$C$8,0)+IF(F59="preference",$C$9,0)+IF(F60="preference",$C$10,0)+IF(F61="preference",$C$11,0)+IF(F62="preference",$C$12,0))))+$B$15*$B$16)/((($B$14+$B$13+(IF(F57="convert",$B$7,0)+IF(F58="convert",$B$8,0)+IF(F59="convert",$B$9,0)+IF(F60="convert",$B$10,0)+IF(F61="convert",$B$11,0)+IF(F62="convert",$B$12,0))))+$B$15)&gt;$B$16,(((F$3-(IF(F57="preference",$C$7,0)+IF(F58="preference",$C$8,0)+IF(F59="preference",$C$9,0)+IF(F60="preference",$C$10,0)+IF(F61="preference",$C$11,0)+IF(F62="preference",$C$12,0))))+$B$15*$B$16)/((($B$14+$B$13+(IF(F57="convert",$B$7,0)+IF(F58="convert",$B$8,0)+IF(F59="convert",$B$9,0)+IF(F60="convert",$B$10,0)+IF(F61="convert",$B$11,0)+IF(F62="convert",$B$12,0))))+$B$15),((F$3-(IF(F57="preference",$C$7,0)+IF(F58="preference",$C$8,0)+IF(F59="preference",$C$9,0)+IF(F60="preference",$C$10,0)+IF(F61="preference",$C$11,0)+IF(F62="preference",$C$12,0))))/(($B$14+$B$13+(IF(F57="convert",$B$7,0)+IF(F58="convert",$B$8,0)+IF(F59="convert",$B$9,0)+IF(F60="convert",$B$10,0)+IF(F61="convert",$B$11,0)+IF(F62="convert",$B$12,0))))))*$B$13,"preference","convert")</f>
        <v/>
      </c>
    </row>
    <row r="74">
      <c r="A74" s="1" t="inlineStr">
        <is>
          <t>PER-EXIT ALLOCATIONS</t>
        </is>
      </c>
    </row>
    <row r="75">
      <c r="A75" t="inlineStr">
        <is>
          <t>Pref total ($, sum over pref-electing classes)</t>
        </is>
      </c>
      <c r="B75" s="12">
        <f>IF(B66="preference",$C$7,0)+IF(B67="preference",$C$8,0)+IF(B68="preference",$C$9,0)+IF(B69="preference",$C$10,0)+IF(B70="preference",$C$11,0)+IF(B71="preference",$C$12,0)+IF(B72="preference",$C$13,0)</f>
        <v/>
      </c>
      <c r="C75" s="12">
        <f>IF(C66="preference",$C$7,0)+IF(C67="preference",$C$8,0)+IF(C68="preference",$C$9,0)+IF(C69="preference",$C$10,0)+IF(C70="preference",$C$11,0)+IF(C71="preference",$C$12,0)+IF(C72="preference",$C$13,0)</f>
        <v/>
      </c>
      <c r="D75" s="12">
        <f>IF(D66="preference",$C$7,0)+IF(D67="preference",$C$8,0)+IF(D68="preference",$C$9,0)+IF(D69="preference",$C$10,0)+IF(D70="preference",$C$11,0)+IF(D71="preference",$C$12,0)+IF(D72="preference",$C$13,0)</f>
        <v/>
      </c>
      <c r="E75" s="12">
        <f>IF(E66="preference",$C$7,0)+IF(E67="preference",$C$8,0)+IF(E68="preference",$C$9,0)+IF(E69="preference",$C$10,0)+IF(E70="preference",$C$11,0)+IF(E71="preference",$C$12,0)+IF(E72="preference",$C$13,0)</f>
        <v/>
      </c>
      <c r="F75" s="12">
        <f>IF(F66="preference",$C$7,0)+IF(F67="preference",$C$8,0)+IF(F68="preference",$C$9,0)+IF(F69="preference",$C$10,0)+IF(F70="preference",$C$11,0)+IF(F71="preference",$C$12,0)+IF(F72="preference",$C$13,0)</f>
        <v/>
      </c>
    </row>
    <row r="76">
      <c r="A76" t="inlineStr">
        <is>
          <t>Convert share denom (excl. options, excl. unissued opts)</t>
        </is>
      </c>
      <c r="B76" s="8">
        <f>$B$14+IF(B66="convert",$B$7,0)+IF(B67="convert",$B$8,0)+IF(B68="convert",$B$9,0)+IF(B69="convert",$B$10,0)+IF(B70="convert",$B$11,0)+IF(B71="convert",$B$12,0)+IF(B72="convert",$B$13,0)</f>
        <v/>
      </c>
      <c r="C76" s="8">
        <f>$B$14+IF(C66="convert",$B$7,0)+IF(C67="convert",$B$8,0)+IF(C68="convert",$B$9,0)+IF(C69="convert",$B$10,0)+IF(C70="convert",$B$11,0)+IF(C71="convert",$B$12,0)+IF(C72="convert",$B$13,0)</f>
        <v/>
      </c>
      <c r="D76" s="8">
        <f>$B$14+IF(D66="convert",$B$7,0)+IF(D67="convert",$B$8,0)+IF(D68="convert",$B$9,0)+IF(D69="convert",$B$10,0)+IF(D70="convert",$B$11,0)+IF(D71="convert",$B$12,0)+IF(D72="convert",$B$13,0)</f>
        <v/>
      </c>
      <c r="E76" s="8">
        <f>$B$14+IF(E66="convert",$B$7,0)+IF(E67="convert",$B$8,0)+IF(E68="convert",$B$9,0)+IF(E69="convert",$B$10,0)+IF(E70="convert",$B$11,0)+IF(E71="convert",$B$12,0)+IF(E72="convert",$B$13,0)</f>
        <v/>
      </c>
      <c r="F76" s="8">
        <f>$B$14+IF(F66="convert",$B$7,0)+IF(F67="convert",$B$8,0)+IF(F68="convert",$B$9,0)+IF(F69="convert",$B$10,0)+IF(F70="convert",$B$11,0)+IF(F71="convert",$B$12,0)+IF(F72="convert",$B$13,0)</f>
        <v/>
      </c>
    </row>
    <row r="77">
      <c r="A77" t="inlineStr">
        <is>
          <t>Residual pool ($, exit - pref total)</t>
        </is>
      </c>
      <c r="B77" s="12">
        <f>B3-B75</f>
        <v/>
      </c>
      <c r="C77" s="12">
        <f>C3-C75</f>
        <v/>
      </c>
      <c r="D77" s="12">
        <f>D3-D75</f>
        <v/>
      </c>
      <c r="E77" s="12">
        <f>E3-E75</f>
        <v/>
      </c>
      <c r="F77" s="12">
        <f>F3-F75</f>
        <v/>
      </c>
    </row>
    <row r="78">
      <c r="A78" t="inlineStr">
        <is>
          <t>Per-share value at exit ($)</t>
        </is>
      </c>
      <c r="B78" s="14">
        <f>IF((B77+$B$15*$B$16)/(B76+$B$15)&gt;$B$16,(B77+$B$15*$B$16)/(B76+$B$15),B77/B76)</f>
        <v/>
      </c>
      <c r="C78" s="14">
        <f>IF((C77+$B$15*$B$16)/(C76+$B$15)&gt;$B$16,(C77+$B$15*$B$16)/(C76+$B$15),C77/C76)</f>
        <v/>
      </c>
      <c r="D78" s="14">
        <f>IF((D77+$B$15*$B$16)/(D76+$B$15)&gt;$B$16,(D77+$B$15*$B$16)/(D76+$B$15),D77/D76)</f>
        <v/>
      </c>
      <c r="E78" s="14">
        <f>IF((E77+$B$15*$B$16)/(E76+$B$15)&gt;$B$16,(E77+$B$15*$B$16)/(E76+$B$15),E77/E76)</f>
        <v/>
      </c>
      <c r="F78" s="14">
        <f>IF((F77+$B$15*$B$16)/(F76+$B$15)&gt;$B$16,(F77+$B$15*$B$16)/(F76+$B$15),F77/F76)</f>
        <v/>
      </c>
    </row>
    <row r="79">
      <c r="A79" t="inlineStr">
        <is>
          <t>Issued options ITM? ("yes"/"no")</t>
        </is>
      </c>
      <c r="B79">
        <f>IF(B78&gt;$B$16,"yes","no")</f>
        <v/>
      </c>
      <c r="C79">
        <f>IF(C78&gt;$B$16,"yes","no")</f>
        <v/>
      </c>
      <c r="D79">
        <f>IF(D78&gt;$B$16,"yes","no")</f>
        <v/>
      </c>
      <c r="E79">
        <f>IF(E78&gt;$B$16,"yes","no")</f>
        <v/>
      </c>
      <c r="F79">
        <f>IF(F78&gt;$B$16,"yes","no")</f>
        <v/>
      </c>
    </row>
    <row r="80">
      <c r="A80" t="inlineStr">
        <is>
          <t>Issued options proceeds (net of strike, if ITM)</t>
        </is>
      </c>
      <c r="B80" s="12">
        <f>IF(B79="yes",$B$15*(B78-$B$16),0)</f>
        <v/>
      </c>
      <c r="C80" s="12">
        <f>IF(C79="yes",$B$15*(C78-$B$16),0)</f>
        <v/>
      </c>
      <c r="D80" s="12">
        <f>IF(D79="yes",$B$15*(D78-$B$16),0)</f>
        <v/>
      </c>
      <c r="E80" s="12">
        <f>IF(E79="yes",$B$15*(E78-$B$16),0)</f>
        <v/>
      </c>
      <c r="F80" s="12">
        <f>IF(F79="yes",$B$15*(F78-$B$16),0)</f>
        <v/>
      </c>
    </row>
    <row r="81">
      <c r="A81" t="inlineStr">
        <is>
          <t>F proceeds ($)</t>
        </is>
      </c>
      <c r="B81" s="12">
        <f>IF(B66="preference",$C$7,B78*$B$7)</f>
        <v/>
      </c>
      <c r="C81" s="12">
        <f>IF(C66="preference",$C$7,C78*$B$7)</f>
        <v/>
      </c>
      <c r="D81" s="12">
        <f>IF(D66="preference",$C$7,D78*$B$7)</f>
        <v/>
      </c>
      <c r="E81" s="12">
        <f>IF(E66="preference",$C$7,E78*$B$7)</f>
        <v/>
      </c>
      <c r="F81" s="12">
        <f>IF(F66="preference",$C$7,F78*$B$7)</f>
        <v/>
      </c>
    </row>
    <row r="82">
      <c r="A82" t="inlineStr">
        <is>
          <t>E proceeds ($)</t>
        </is>
      </c>
      <c r="B82" s="12">
        <f>IF(B67="preference",$C$8,B78*$B$8)</f>
        <v/>
      </c>
      <c r="C82" s="12">
        <f>IF(C67="preference",$C$8,C78*$B$8)</f>
        <v/>
      </c>
      <c r="D82" s="12">
        <f>IF(D67="preference",$C$8,D78*$B$8)</f>
        <v/>
      </c>
      <c r="E82" s="12">
        <f>IF(E67="preference",$C$8,E78*$B$8)</f>
        <v/>
      </c>
      <c r="F82" s="12">
        <f>IF(F67="preference",$C$8,F78*$B$8)</f>
        <v/>
      </c>
    </row>
    <row r="83">
      <c r="A83" t="inlineStr">
        <is>
          <t>D proceeds ($)</t>
        </is>
      </c>
      <c r="B83" s="12">
        <f>IF(B68="preference",$C$9,B78*$B$9)</f>
        <v/>
      </c>
      <c r="C83" s="12">
        <f>IF(C68="preference",$C$9,C78*$B$9)</f>
        <v/>
      </c>
      <c r="D83" s="12">
        <f>IF(D68="preference",$C$9,D78*$B$9)</f>
        <v/>
      </c>
      <c r="E83" s="12">
        <f>IF(E68="preference",$C$9,E78*$B$9)</f>
        <v/>
      </c>
      <c r="F83" s="12">
        <f>IF(F68="preference",$C$9,F78*$B$9)</f>
        <v/>
      </c>
    </row>
    <row r="84">
      <c r="A84" t="inlineStr">
        <is>
          <t>C proceeds ($)</t>
        </is>
      </c>
      <c r="B84" s="12">
        <f>IF(B69="preference",$C$10,B78*$B$10)</f>
        <v/>
      </c>
      <c r="C84" s="12">
        <f>IF(C69="preference",$C$10,C78*$B$10)</f>
        <v/>
      </c>
      <c r="D84" s="12">
        <f>IF(D69="preference",$C$10,D78*$B$10)</f>
        <v/>
      </c>
      <c r="E84" s="12">
        <f>IF(E69="preference",$C$10,E78*$B$10)</f>
        <v/>
      </c>
      <c r="F84" s="12">
        <f>IF(F69="preference",$C$10,F78*$B$10)</f>
        <v/>
      </c>
    </row>
    <row r="85">
      <c r="A85" t="inlineStr">
        <is>
          <t>B proceeds ($)</t>
        </is>
      </c>
      <c r="B85" s="12">
        <f>IF(B70="preference",$C$11,B78*$B$11)</f>
        <v/>
      </c>
      <c r="C85" s="12">
        <f>IF(C70="preference",$C$11,C78*$B$11)</f>
        <v/>
      </c>
      <c r="D85" s="12">
        <f>IF(D70="preference",$C$11,D78*$B$11)</f>
        <v/>
      </c>
      <c r="E85" s="12">
        <f>IF(E70="preference",$C$11,E78*$B$11)</f>
        <v/>
      </c>
      <c r="F85" s="12">
        <f>IF(F70="preference",$C$11,F78*$B$11)</f>
        <v/>
      </c>
    </row>
    <row r="86">
      <c r="A86" t="inlineStr">
        <is>
          <t>A proceeds ($)</t>
        </is>
      </c>
      <c r="B86" s="12">
        <f>IF(B71="preference",$C$12,B78*$B$12)</f>
        <v/>
      </c>
      <c r="C86" s="12">
        <f>IF(C71="preference",$C$12,C78*$B$12)</f>
        <v/>
      </c>
      <c r="D86" s="12">
        <f>IF(D71="preference",$C$12,D78*$B$12)</f>
        <v/>
      </c>
      <c r="E86" s="12">
        <f>IF(E71="preference",$C$12,E78*$B$12)</f>
        <v/>
      </c>
      <c r="F86" s="12">
        <f>IF(F71="preference",$C$12,F78*$B$12)</f>
        <v/>
      </c>
    </row>
    <row r="87">
      <c r="A87" t="inlineStr">
        <is>
          <t>Seed proceeds ($)</t>
        </is>
      </c>
      <c r="B87" s="12">
        <f>IF(B72="preference",$C$13,B78*$B$13)</f>
        <v/>
      </c>
      <c r="C87" s="12">
        <f>IF(C72="preference",$C$13,C78*$B$13)</f>
        <v/>
      </c>
      <c r="D87" s="12">
        <f>IF(D72="preference",$C$13,D78*$B$13)</f>
        <v/>
      </c>
      <c r="E87" s="12">
        <f>IF(E72="preference",$C$13,E78*$B$13)</f>
        <v/>
      </c>
      <c r="F87" s="12">
        <f>IF(F72="preference",$C$13,F78*$B$13)</f>
        <v/>
      </c>
    </row>
    <row r="88">
      <c r="A88" t="inlineStr">
        <is>
          <t>Notes (A+B) combined proceeds — always convert</t>
        </is>
      </c>
      <c r="B88" s="12">
        <f>B78*('Pro-Forma'!$I$31+'Pro-Forma'!$I$32)</f>
        <v/>
      </c>
      <c r="C88" s="12">
        <f>C78*('Pro-Forma'!$I$31+'Pro-Forma'!$I$32)</f>
        <v/>
      </c>
      <c r="D88" s="12">
        <f>D78*('Pro-Forma'!$I$31+'Pro-Forma'!$I$32)</f>
        <v/>
      </c>
      <c r="E88" s="12">
        <f>E78*('Pro-Forma'!$I$31+'Pro-Forma'!$I$32)</f>
        <v/>
      </c>
      <c r="F88" s="12">
        <f>F78*('Pro-Forma'!$I$31+'Pro-Forma'!$I$32)</f>
        <v/>
      </c>
    </row>
    <row r="89">
      <c r="A89" t="inlineStr">
        <is>
          <t>Common + RSAs proceeds</t>
        </is>
      </c>
      <c r="B89" s="12">
        <f>B78*(Assumptions!$B$39+Assumptions!$B$40+Assumptions!$B$41+Assumptions!$B$42)</f>
        <v/>
      </c>
      <c r="C89" s="12">
        <f>C78*(Assumptions!$B$39+Assumptions!$B$40+Assumptions!$B$41+Assumptions!$B$42)</f>
        <v/>
      </c>
      <c r="D89" s="12">
        <f>D78*(Assumptions!$B$39+Assumptions!$B$40+Assumptions!$B$41+Assumptions!$B$42)</f>
        <v/>
      </c>
      <c r="E89" s="12">
        <f>E78*(Assumptions!$B$39+Assumptions!$B$40+Assumptions!$B$41+Assumptions!$B$42)</f>
        <v/>
      </c>
      <c r="F89" s="12">
        <f>F78*(Assumptions!$B$39+Assumptions!$B$40+Assumptions!$B$41+Assumptions!$B$42)</f>
        <v/>
      </c>
    </row>
    <row r="90">
      <c r="A90" s="5" t="inlineStr">
        <is>
          <t>Total proceeds (reconciliation)</t>
        </is>
      </c>
      <c r="B90" s="11">
        <f>B81+B82+B83+B84+B85+B86+B87+B88+B89+B80</f>
        <v/>
      </c>
      <c r="C90" s="11">
        <f>C81+C82+C83+C84+C85+C86+C87+C88+C89+C80</f>
        <v/>
      </c>
      <c r="D90" s="11">
        <f>D81+D82+D83+D84+D85+D86+D87+D88+D89+D80</f>
        <v/>
      </c>
      <c r="E90" s="11">
        <f>E81+E82+E83+E84+E85+E86+E87+E88+E89+E80</f>
        <v/>
      </c>
      <c r="F90" s="11">
        <f>F81+F82+F83+F84+F85+F86+F87+F88+F89+F80</f>
        <v/>
      </c>
    </row>
    <row r="91">
      <c r="A91" t="inlineStr">
        <is>
          <t>Reconciliation diff vs exit</t>
        </is>
      </c>
      <c r="B91" s="15">
        <f>B90-B3</f>
        <v/>
      </c>
      <c r="C91" s="15">
        <f>C90-C3</f>
        <v/>
      </c>
      <c r="D91" s="15">
        <f>D90-D3</f>
        <v/>
      </c>
      <c r="E91" s="15">
        <f>E90-E3</f>
        <v/>
      </c>
      <c r="F91" s="15">
        <f>F90-F3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SENSITIVITY — 3×3 grid (ESOP × Pre-money) at $2B exit</t>
        </is>
      </c>
    </row>
    <row r="2">
      <c r="A2" s="16" t="inlineStr">
        <is>
          <t>Each cell re-solves the full round (X, F PPS, ESOP, AD on D &amp; E, both note branches per IF) and the Nash election @ $2B.</t>
        </is>
      </c>
    </row>
    <row r="4">
      <c r="A4" s="1" t="inlineStr">
        <is>
          <t>HELPER BLOCK (per-scenario fixed point + Nash @ $2B)</t>
        </is>
      </c>
    </row>
    <row r="5">
      <c r="A5" t="inlineStr">
        <is>
          <t>Scenario</t>
        </is>
      </c>
      <c r="B5" s="5" t="inlineStr">
        <is>
          <t>11% / $1.2B</t>
        </is>
      </c>
      <c r="C5" s="5" t="inlineStr">
        <is>
          <t>11% / $1.4B</t>
        </is>
      </c>
      <c r="D5" s="5" t="inlineStr">
        <is>
          <t>11% / $1.8B</t>
        </is>
      </c>
      <c r="E5" s="5" t="inlineStr">
        <is>
          <t>13% / $1.2B</t>
        </is>
      </c>
      <c r="F5" s="5" t="inlineStr">
        <is>
          <t>13% / $1.4B</t>
        </is>
      </c>
      <c r="G5" s="5" t="inlineStr">
        <is>
          <t>13% / $1.8B</t>
        </is>
      </c>
      <c r="H5" s="5" t="inlineStr">
        <is>
          <t>15% / $1.2B</t>
        </is>
      </c>
      <c r="I5" s="5" t="inlineStr">
        <is>
          <t>15% / $1.4B</t>
        </is>
      </c>
      <c r="J5" s="5" t="inlineStr">
        <is>
          <t>15% / $1.8B</t>
        </is>
      </c>
    </row>
    <row r="6">
      <c r="A6" t="inlineStr">
        <is>
          <t>Pre-money M</t>
        </is>
      </c>
      <c r="B6">
        <f>Assumptions!$B$46</f>
        <v/>
      </c>
      <c r="C6">
        <f>Assumptions!$B$47</f>
        <v/>
      </c>
      <c r="D6">
        <f>Assumptions!$B$48</f>
        <v/>
      </c>
      <c r="E6">
        <f>Assumptions!$B$46</f>
        <v/>
      </c>
      <c r="F6">
        <f>Assumptions!$B$47</f>
        <v/>
      </c>
      <c r="G6">
        <f>Assumptions!$B$48</f>
        <v/>
      </c>
      <c r="H6">
        <f>Assumptions!$B$46</f>
        <v/>
      </c>
      <c r="I6">
        <f>Assumptions!$B$47</f>
        <v/>
      </c>
      <c r="J6">
        <f>Assumptions!$B$48</f>
        <v/>
      </c>
    </row>
    <row r="7">
      <c r="A7" t="inlineStr">
        <is>
          <t>ESOP target</t>
        </is>
      </c>
      <c r="B7">
        <f>Assumptions!$B$43</f>
        <v/>
      </c>
      <c r="C7">
        <f>Assumptions!$B$43</f>
        <v/>
      </c>
      <c r="D7">
        <f>Assumptions!$B$43</f>
        <v/>
      </c>
      <c r="E7">
        <f>Assumptions!$B$44</f>
        <v/>
      </c>
      <c r="F7">
        <f>Assumptions!$B$44</f>
        <v/>
      </c>
      <c r="G7">
        <f>Assumptions!$B$44</f>
        <v/>
      </c>
      <c r="H7">
        <f>Assumptions!$B$45</f>
        <v/>
      </c>
      <c r="I7">
        <f>Assumptions!$B$45</f>
        <v/>
      </c>
      <c r="J7">
        <f>Assumptions!$B$45</f>
        <v/>
      </c>
    </row>
    <row r="8">
      <c r="A8" t="inlineStr">
        <is>
          <t>X_pos (ESOP-on)</t>
        </is>
      </c>
      <c r="B8">
        <f>((Assumptions!$B$28-(Assumptions!$B$32*(Assumptions!$B$3/Assumptions!$B$18)/(Assumptions!$B$28+Assumptions!$B$3/Assumptions!$B$18))-(Assumptions!$B$34*(Assumptions!$B$3/Assumptions!$B$20)/(Assumptions!$B$28+Assumptions!$B$3/Assumptions!$B$20))-Assumptions!$B$29)/(1-(Assumptions!$B$32*Assumptions!$B$3/(B6*(Assumptions!$B$28+Assumptions!$B$3/Assumptions!$B$18)))-(Assumptions!$B$34*Assumptions!$B$3/(B6*(Assumptions!$B$28+Assumptions!$B$3/Assumptions!$B$20)))-(B7*(1+Assumptions!$B$3/B6))-IF((Assumptions!$B$23+Assumptions!$B$22)&lt;B6*(1-Assumptions!$B$24),Assumptions!$B$22/(Assumptions!$B$23+Assumptions!$B$22),Assumptions!$B$22/(B6*(1-Assumptions!$B$24)))-IF((Assumptions!$B$26+Assumptions!$B$25)&lt;B6*(1-Assumptions!$B$27),Assumptions!$B$25/(Assumptions!$B$26+Assumptions!$B$25),Assumptions!$B$25/(B6*(1-Assumptions!$B$27)))))</f>
        <v/>
      </c>
      <c r="C8">
        <f>((Assumptions!$B$28-(Assumptions!$B$32*(Assumptions!$B$3/Assumptions!$B$18)/(Assumptions!$B$28+Assumptions!$B$3/Assumptions!$B$18))-(Assumptions!$B$34*(Assumptions!$B$3/Assumptions!$B$20)/(Assumptions!$B$28+Assumptions!$B$3/Assumptions!$B$20))-Assumptions!$B$29)/(1-(Assumptions!$B$32*Assumptions!$B$3/(C6*(Assumptions!$B$28+Assumptions!$B$3/Assumptions!$B$18)))-(Assumptions!$B$34*Assumptions!$B$3/(C6*(Assumptions!$B$28+Assumptions!$B$3/Assumptions!$B$20)))-(C7*(1+Assumptions!$B$3/C6))-IF((Assumptions!$B$23+Assumptions!$B$22)&lt;C6*(1-Assumptions!$B$24),Assumptions!$B$22/(Assumptions!$B$23+Assumptions!$B$22),Assumptions!$B$22/(C6*(1-Assumptions!$B$24)))-IF((Assumptions!$B$26+Assumptions!$B$25)&lt;C6*(1-Assumptions!$B$27),Assumptions!$B$25/(Assumptions!$B$26+Assumptions!$B$25),Assumptions!$B$25/(C6*(1-Assumptions!$B$27)))))</f>
        <v/>
      </c>
      <c r="D8">
        <f>((Assumptions!$B$28-(Assumptions!$B$32*(Assumptions!$B$3/Assumptions!$B$18)/(Assumptions!$B$28+Assumptions!$B$3/Assumptions!$B$18))-(Assumptions!$B$34*(Assumptions!$B$3/Assumptions!$B$20)/(Assumptions!$B$28+Assumptions!$B$3/Assumptions!$B$20))-Assumptions!$B$29)/(1-(Assumptions!$B$32*Assumptions!$B$3/(D6*(Assumptions!$B$28+Assumptions!$B$3/Assumptions!$B$18)))-(Assumptions!$B$34*Assumptions!$B$3/(D6*(Assumptions!$B$28+Assumptions!$B$3/Assumptions!$B$20)))-(D7*(1+Assumptions!$B$3/D6))-IF((Assumptions!$B$23+Assumptions!$B$22)&lt;D6*(1-Assumptions!$B$24),Assumptions!$B$22/(Assumptions!$B$23+Assumptions!$B$22),Assumptions!$B$22/(D6*(1-Assumptions!$B$24)))-IF((Assumptions!$B$26+Assumptions!$B$25)&lt;D6*(1-Assumptions!$B$27),Assumptions!$B$25/(Assumptions!$B$26+Assumptions!$B$25),Assumptions!$B$25/(D6*(1-Assumptions!$B$27)))))</f>
        <v/>
      </c>
      <c r="E8">
        <f>((Assumptions!$B$28-(Assumptions!$B$32*(Assumptions!$B$3/Assumptions!$B$18)/(Assumptions!$B$28+Assumptions!$B$3/Assumptions!$B$18))-(Assumptions!$B$34*(Assumptions!$B$3/Assumptions!$B$20)/(Assumptions!$B$28+Assumptions!$B$3/Assumptions!$B$20))-Assumptions!$B$29)/(1-(Assumptions!$B$32*Assumptions!$B$3/(E6*(Assumptions!$B$28+Assumptions!$B$3/Assumptions!$B$18)))-(Assumptions!$B$34*Assumptions!$B$3/(E6*(Assumptions!$B$28+Assumptions!$B$3/Assumptions!$B$20)))-(E7*(1+Assumptions!$B$3/E6))-IF((Assumptions!$B$23+Assumptions!$B$22)&lt;E6*(1-Assumptions!$B$24),Assumptions!$B$22/(Assumptions!$B$23+Assumptions!$B$22),Assumptions!$B$22/(E6*(1-Assumptions!$B$24)))-IF((Assumptions!$B$26+Assumptions!$B$25)&lt;E6*(1-Assumptions!$B$27),Assumptions!$B$25/(Assumptions!$B$26+Assumptions!$B$25),Assumptions!$B$25/(E6*(1-Assumptions!$B$27)))))</f>
        <v/>
      </c>
      <c r="F8">
        <f>((Assumptions!$B$28-(Assumptions!$B$32*(Assumptions!$B$3/Assumptions!$B$18)/(Assumptions!$B$28+Assumptions!$B$3/Assumptions!$B$18))-(Assumptions!$B$34*(Assumptions!$B$3/Assumptions!$B$20)/(Assumptions!$B$28+Assumptions!$B$3/Assumptions!$B$20))-Assumptions!$B$29)/(1-(Assumptions!$B$32*Assumptions!$B$3/(F6*(Assumptions!$B$28+Assumptions!$B$3/Assumptions!$B$18)))-(Assumptions!$B$34*Assumptions!$B$3/(F6*(Assumptions!$B$28+Assumptions!$B$3/Assumptions!$B$20)))-(F7*(1+Assumptions!$B$3/F6))-IF((Assumptions!$B$23+Assumptions!$B$22)&lt;F6*(1-Assumptions!$B$24),Assumptions!$B$22/(Assumptions!$B$23+Assumptions!$B$22),Assumptions!$B$22/(F6*(1-Assumptions!$B$24)))-IF((Assumptions!$B$26+Assumptions!$B$25)&lt;F6*(1-Assumptions!$B$27),Assumptions!$B$25/(Assumptions!$B$26+Assumptions!$B$25),Assumptions!$B$25/(F6*(1-Assumptions!$B$27)))))</f>
        <v/>
      </c>
      <c r="G8">
        <f>((Assumptions!$B$28-(Assumptions!$B$32*(Assumptions!$B$3/Assumptions!$B$18)/(Assumptions!$B$28+Assumptions!$B$3/Assumptions!$B$18))-(Assumptions!$B$34*(Assumptions!$B$3/Assumptions!$B$20)/(Assumptions!$B$28+Assumptions!$B$3/Assumptions!$B$20))-Assumptions!$B$29)/(1-(Assumptions!$B$32*Assumptions!$B$3/(G6*(Assumptions!$B$28+Assumptions!$B$3/Assumptions!$B$18)))-(Assumptions!$B$34*Assumptions!$B$3/(G6*(Assumptions!$B$28+Assumptions!$B$3/Assumptions!$B$20)))-(G7*(1+Assumptions!$B$3/G6))-IF((Assumptions!$B$23+Assumptions!$B$22)&lt;G6*(1-Assumptions!$B$24),Assumptions!$B$22/(Assumptions!$B$23+Assumptions!$B$22),Assumptions!$B$22/(G6*(1-Assumptions!$B$24)))-IF((Assumptions!$B$26+Assumptions!$B$25)&lt;G6*(1-Assumptions!$B$27),Assumptions!$B$25/(Assumptions!$B$26+Assumptions!$B$25),Assumptions!$B$25/(G6*(1-Assumptions!$B$27)))))</f>
        <v/>
      </c>
      <c r="H8">
        <f>((Assumptions!$B$28-(Assumptions!$B$32*(Assumptions!$B$3/Assumptions!$B$18)/(Assumptions!$B$28+Assumptions!$B$3/Assumptions!$B$18))-(Assumptions!$B$34*(Assumptions!$B$3/Assumptions!$B$20)/(Assumptions!$B$28+Assumptions!$B$3/Assumptions!$B$20))-Assumptions!$B$29)/(1-(Assumptions!$B$32*Assumptions!$B$3/(H6*(Assumptions!$B$28+Assumptions!$B$3/Assumptions!$B$18)))-(Assumptions!$B$34*Assumptions!$B$3/(H6*(Assumptions!$B$28+Assumptions!$B$3/Assumptions!$B$20)))-(H7*(1+Assumptions!$B$3/H6))-IF((Assumptions!$B$23+Assumptions!$B$22)&lt;H6*(1-Assumptions!$B$24),Assumptions!$B$22/(Assumptions!$B$23+Assumptions!$B$22),Assumptions!$B$22/(H6*(1-Assumptions!$B$24)))-IF((Assumptions!$B$26+Assumptions!$B$25)&lt;H6*(1-Assumptions!$B$27),Assumptions!$B$25/(Assumptions!$B$26+Assumptions!$B$25),Assumptions!$B$25/(H6*(1-Assumptions!$B$27)))))</f>
        <v/>
      </c>
      <c r="I8">
        <f>((Assumptions!$B$28-(Assumptions!$B$32*(Assumptions!$B$3/Assumptions!$B$18)/(Assumptions!$B$28+Assumptions!$B$3/Assumptions!$B$18))-(Assumptions!$B$34*(Assumptions!$B$3/Assumptions!$B$20)/(Assumptions!$B$28+Assumptions!$B$3/Assumptions!$B$20))-Assumptions!$B$29)/(1-(Assumptions!$B$32*Assumptions!$B$3/(I6*(Assumptions!$B$28+Assumptions!$B$3/Assumptions!$B$18)))-(Assumptions!$B$34*Assumptions!$B$3/(I6*(Assumptions!$B$28+Assumptions!$B$3/Assumptions!$B$20)))-(I7*(1+Assumptions!$B$3/I6))-IF((Assumptions!$B$23+Assumptions!$B$22)&lt;I6*(1-Assumptions!$B$24),Assumptions!$B$22/(Assumptions!$B$23+Assumptions!$B$22),Assumptions!$B$22/(I6*(1-Assumptions!$B$24)))-IF((Assumptions!$B$26+Assumptions!$B$25)&lt;I6*(1-Assumptions!$B$27),Assumptions!$B$25/(Assumptions!$B$26+Assumptions!$B$25),Assumptions!$B$25/(I6*(1-Assumptions!$B$27)))))</f>
        <v/>
      </c>
      <c r="J8">
        <f>((Assumptions!$B$28-(Assumptions!$B$32*(Assumptions!$B$3/Assumptions!$B$18)/(Assumptions!$B$28+Assumptions!$B$3/Assumptions!$B$18))-(Assumptions!$B$34*(Assumptions!$B$3/Assumptions!$B$20)/(Assumptions!$B$28+Assumptions!$B$3/Assumptions!$B$20))-Assumptions!$B$29)/(1-(Assumptions!$B$32*Assumptions!$B$3/(J6*(Assumptions!$B$28+Assumptions!$B$3/Assumptions!$B$18)))-(Assumptions!$B$34*Assumptions!$B$3/(J6*(Assumptions!$B$28+Assumptions!$B$3/Assumptions!$B$20)))-(J7*(1+Assumptions!$B$3/J6))-IF((Assumptions!$B$23+Assumptions!$B$22)&lt;J6*(1-Assumptions!$B$24),Assumptions!$B$22/(Assumptions!$B$23+Assumptions!$B$22),Assumptions!$B$22/(J6*(1-Assumptions!$B$24)))-IF((Assumptions!$B$26+Assumptions!$B$25)&lt;J6*(1-Assumptions!$B$27),Assumptions!$B$25/(Assumptions!$B$26+Assumptions!$B$25),Assumptions!$B$25/(J6*(1-Assumptions!$B$27)))))</f>
        <v/>
      </c>
    </row>
    <row r="9">
      <c r="A9" t="inlineStr">
        <is>
          <t>X_zero (ESOP-off)</t>
        </is>
      </c>
      <c r="B9">
        <f>((Assumptions!$B$28-(Assumptions!$B$32*(Assumptions!$B$3/Assumptions!$B$18)/(Assumptions!$B$28+Assumptions!$B$3/Assumptions!$B$18))-(Assumptions!$B$34*(Assumptions!$B$3/Assumptions!$B$20)/(Assumptions!$B$28+Assumptions!$B$3/Assumptions!$B$20)))/(1-(Assumptions!$B$32*Assumptions!$B$3/(B6*(Assumptions!$B$28+Assumptions!$B$3/Assumptions!$B$18)))-(Assumptions!$B$34*Assumptions!$B$3/(B6*(Assumptions!$B$28+Assumptions!$B$3/Assumptions!$B$20)))-IF((Assumptions!$B$23+Assumptions!$B$22)&lt;B6*(1-Assumptions!$B$24),Assumptions!$B$22/(Assumptions!$B$23+Assumptions!$B$22),Assumptions!$B$22/(B6*(1-Assumptions!$B$24)))-IF((Assumptions!$B$26+Assumptions!$B$25)&lt;B6*(1-Assumptions!$B$27),Assumptions!$B$25/(Assumptions!$B$26+Assumptions!$B$25),Assumptions!$B$25/(B6*(1-Assumptions!$B$27)))))</f>
        <v/>
      </c>
      <c r="C9">
        <f>((Assumptions!$B$28-(Assumptions!$B$32*(Assumptions!$B$3/Assumptions!$B$18)/(Assumptions!$B$28+Assumptions!$B$3/Assumptions!$B$18))-(Assumptions!$B$34*(Assumptions!$B$3/Assumptions!$B$20)/(Assumptions!$B$28+Assumptions!$B$3/Assumptions!$B$20)))/(1-(Assumptions!$B$32*Assumptions!$B$3/(C6*(Assumptions!$B$28+Assumptions!$B$3/Assumptions!$B$18)))-(Assumptions!$B$34*Assumptions!$B$3/(C6*(Assumptions!$B$28+Assumptions!$B$3/Assumptions!$B$20)))-IF((Assumptions!$B$23+Assumptions!$B$22)&lt;C6*(1-Assumptions!$B$24),Assumptions!$B$22/(Assumptions!$B$23+Assumptions!$B$22),Assumptions!$B$22/(C6*(1-Assumptions!$B$24)))-IF((Assumptions!$B$26+Assumptions!$B$25)&lt;C6*(1-Assumptions!$B$27),Assumptions!$B$25/(Assumptions!$B$26+Assumptions!$B$25),Assumptions!$B$25/(C6*(1-Assumptions!$B$27)))))</f>
        <v/>
      </c>
      <c r="D9">
        <f>((Assumptions!$B$28-(Assumptions!$B$32*(Assumptions!$B$3/Assumptions!$B$18)/(Assumptions!$B$28+Assumptions!$B$3/Assumptions!$B$18))-(Assumptions!$B$34*(Assumptions!$B$3/Assumptions!$B$20)/(Assumptions!$B$28+Assumptions!$B$3/Assumptions!$B$20)))/(1-(Assumptions!$B$32*Assumptions!$B$3/(D6*(Assumptions!$B$28+Assumptions!$B$3/Assumptions!$B$18)))-(Assumptions!$B$34*Assumptions!$B$3/(D6*(Assumptions!$B$28+Assumptions!$B$3/Assumptions!$B$20)))-IF((Assumptions!$B$23+Assumptions!$B$22)&lt;D6*(1-Assumptions!$B$24),Assumptions!$B$22/(Assumptions!$B$23+Assumptions!$B$22),Assumptions!$B$22/(D6*(1-Assumptions!$B$24)))-IF((Assumptions!$B$26+Assumptions!$B$25)&lt;D6*(1-Assumptions!$B$27),Assumptions!$B$25/(Assumptions!$B$26+Assumptions!$B$25),Assumptions!$B$25/(D6*(1-Assumptions!$B$27)))))</f>
        <v/>
      </c>
      <c r="E9">
        <f>((Assumptions!$B$28-(Assumptions!$B$32*(Assumptions!$B$3/Assumptions!$B$18)/(Assumptions!$B$28+Assumptions!$B$3/Assumptions!$B$18))-(Assumptions!$B$34*(Assumptions!$B$3/Assumptions!$B$20)/(Assumptions!$B$28+Assumptions!$B$3/Assumptions!$B$20)))/(1-(Assumptions!$B$32*Assumptions!$B$3/(E6*(Assumptions!$B$28+Assumptions!$B$3/Assumptions!$B$18)))-(Assumptions!$B$34*Assumptions!$B$3/(E6*(Assumptions!$B$28+Assumptions!$B$3/Assumptions!$B$20)))-IF((Assumptions!$B$23+Assumptions!$B$22)&lt;E6*(1-Assumptions!$B$24),Assumptions!$B$22/(Assumptions!$B$23+Assumptions!$B$22),Assumptions!$B$22/(E6*(1-Assumptions!$B$24)))-IF((Assumptions!$B$26+Assumptions!$B$25)&lt;E6*(1-Assumptions!$B$27),Assumptions!$B$25/(Assumptions!$B$26+Assumptions!$B$25),Assumptions!$B$25/(E6*(1-Assumptions!$B$27)))))</f>
        <v/>
      </c>
      <c r="F9">
        <f>((Assumptions!$B$28-(Assumptions!$B$32*(Assumptions!$B$3/Assumptions!$B$18)/(Assumptions!$B$28+Assumptions!$B$3/Assumptions!$B$18))-(Assumptions!$B$34*(Assumptions!$B$3/Assumptions!$B$20)/(Assumptions!$B$28+Assumptions!$B$3/Assumptions!$B$20)))/(1-(Assumptions!$B$32*Assumptions!$B$3/(F6*(Assumptions!$B$28+Assumptions!$B$3/Assumptions!$B$18)))-(Assumptions!$B$34*Assumptions!$B$3/(F6*(Assumptions!$B$28+Assumptions!$B$3/Assumptions!$B$20)))-IF((Assumptions!$B$23+Assumptions!$B$22)&lt;F6*(1-Assumptions!$B$24),Assumptions!$B$22/(Assumptions!$B$23+Assumptions!$B$22),Assumptions!$B$22/(F6*(1-Assumptions!$B$24)))-IF((Assumptions!$B$26+Assumptions!$B$25)&lt;F6*(1-Assumptions!$B$27),Assumptions!$B$25/(Assumptions!$B$26+Assumptions!$B$25),Assumptions!$B$25/(F6*(1-Assumptions!$B$27)))))</f>
        <v/>
      </c>
      <c r="G9">
        <f>((Assumptions!$B$28-(Assumptions!$B$32*(Assumptions!$B$3/Assumptions!$B$18)/(Assumptions!$B$28+Assumptions!$B$3/Assumptions!$B$18))-(Assumptions!$B$34*(Assumptions!$B$3/Assumptions!$B$20)/(Assumptions!$B$28+Assumptions!$B$3/Assumptions!$B$20)))/(1-(Assumptions!$B$32*Assumptions!$B$3/(G6*(Assumptions!$B$28+Assumptions!$B$3/Assumptions!$B$18)))-(Assumptions!$B$34*Assumptions!$B$3/(G6*(Assumptions!$B$28+Assumptions!$B$3/Assumptions!$B$20)))-IF((Assumptions!$B$23+Assumptions!$B$22)&lt;G6*(1-Assumptions!$B$24),Assumptions!$B$22/(Assumptions!$B$23+Assumptions!$B$22),Assumptions!$B$22/(G6*(1-Assumptions!$B$24)))-IF((Assumptions!$B$26+Assumptions!$B$25)&lt;G6*(1-Assumptions!$B$27),Assumptions!$B$25/(Assumptions!$B$26+Assumptions!$B$25),Assumptions!$B$25/(G6*(1-Assumptions!$B$27)))))</f>
        <v/>
      </c>
      <c r="H9">
        <f>((Assumptions!$B$28-(Assumptions!$B$32*(Assumptions!$B$3/Assumptions!$B$18)/(Assumptions!$B$28+Assumptions!$B$3/Assumptions!$B$18))-(Assumptions!$B$34*(Assumptions!$B$3/Assumptions!$B$20)/(Assumptions!$B$28+Assumptions!$B$3/Assumptions!$B$20)))/(1-(Assumptions!$B$32*Assumptions!$B$3/(H6*(Assumptions!$B$28+Assumptions!$B$3/Assumptions!$B$18)))-(Assumptions!$B$34*Assumptions!$B$3/(H6*(Assumptions!$B$28+Assumptions!$B$3/Assumptions!$B$20)))-IF((Assumptions!$B$23+Assumptions!$B$22)&lt;H6*(1-Assumptions!$B$24),Assumptions!$B$22/(Assumptions!$B$23+Assumptions!$B$22),Assumptions!$B$22/(H6*(1-Assumptions!$B$24)))-IF((Assumptions!$B$26+Assumptions!$B$25)&lt;H6*(1-Assumptions!$B$27),Assumptions!$B$25/(Assumptions!$B$26+Assumptions!$B$25),Assumptions!$B$25/(H6*(1-Assumptions!$B$27)))))</f>
        <v/>
      </c>
      <c r="I9">
        <f>((Assumptions!$B$28-(Assumptions!$B$32*(Assumptions!$B$3/Assumptions!$B$18)/(Assumptions!$B$28+Assumptions!$B$3/Assumptions!$B$18))-(Assumptions!$B$34*(Assumptions!$B$3/Assumptions!$B$20)/(Assumptions!$B$28+Assumptions!$B$3/Assumptions!$B$20)))/(1-(Assumptions!$B$32*Assumptions!$B$3/(I6*(Assumptions!$B$28+Assumptions!$B$3/Assumptions!$B$18)))-(Assumptions!$B$34*Assumptions!$B$3/(I6*(Assumptions!$B$28+Assumptions!$B$3/Assumptions!$B$20)))-IF((Assumptions!$B$23+Assumptions!$B$22)&lt;I6*(1-Assumptions!$B$24),Assumptions!$B$22/(Assumptions!$B$23+Assumptions!$B$22),Assumptions!$B$22/(I6*(1-Assumptions!$B$24)))-IF((Assumptions!$B$26+Assumptions!$B$25)&lt;I6*(1-Assumptions!$B$27),Assumptions!$B$25/(Assumptions!$B$26+Assumptions!$B$25),Assumptions!$B$25/(I6*(1-Assumptions!$B$27)))))</f>
        <v/>
      </c>
      <c r="J9">
        <f>((Assumptions!$B$28-(Assumptions!$B$32*(Assumptions!$B$3/Assumptions!$B$18)/(Assumptions!$B$28+Assumptions!$B$3/Assumptions!$B$18))-(Assumptions!$B$34*(Assumptions!$B$3/Assumptions!$B$20)/(Assumptions!$B$28+Assumptions!$B$3/Assumptions!$B$20)))/(1-(Assumptions!$B$32*Assumptions!$B$3/(J6*(Assumptions!$B$28+Assumptions!$B$3/Assumptions!$B$18)))-(Assumptions!$B$34*Assumptions!$B$3/(J6*(Assumptions!$B$28+Assumptions!$B$3/Assumptions!$B$20)))-IF((Assumptions!$B$23+Assumptions!$B$22)&lt;J6*(1-Assumptions!$B$24),Assumptions!$B$22/(Assumptions!$B$23+Assumptions!$B$22),Assumptions!$B$22/(J6*(1-Assumptions!$B$24)))-IF((Assumptions!$B$26+Assumptions!$B$25)&lt;J6*(1-Assumptions!$B$27),Assumptions!$B$25/(Assumptions!$B$26+Assumptions!$B$25),Assumptions!$B$25/(J6*(1-Assumptions!$B$27)))))</f>
        <v/>
      </c>
    </row>
    <row r="10">
      <c r="A10" t="inlineStr">
        <is>
          <t>gamma</t>
        </is>
      </c>
      <c r="B10">
        <f>(B7*(1+Assumptions!$B$3/B6))</f>
        <v/>
      </c>
      <c r="C10">
        <f>(C7*(1+Assumptions!$B$3/C6))</f>
        <v/>
      </c>
      <c r="D10">
        <f>(D7*(1+Assumptions!$B$3/D6))</f>
        <v/>
      </c>
      <c r="E10">
        <f>(E7*(1+Assumptions!$B$3/E6))</f>
        <v/>
      </c>
      <c r="F10">
        <f>(F7*(1+Assumptions!$B$3/F6))</f>
        <v/>
      </c>
      <c r="G10">
        <f>(G7*(1+Assumptions!$B$3/G6))</f>
        <v/>
      </c>
      <c r="H10">
        <f>(H7*(1+Assumptions!$B$3/H6))</f>
        <v/>
      </c>
      <c r="I10">
        <f>(I7*(1+Assumptions!$B$3/I6))</f>
        <v/>
      </c>
      <c r="J10">
        <f>(J7*(1+Assumptions!$B$3/J6))</f>
        <v/>
      </c>
    </row>
    <row r="11">
      <c r="A11" t="inlineStr">
        <is>
          <t>Pre-money FD (X)</t>
        </is>
      </c>
      <c r="B11">
        <f>IF(B10*B8&gt;Assumptions!$B$29,B8,B9)</f>
        <v/>
      </c>
      <c r="C11">
        <f>IF(C10*C8&gt;Assumptions!$B$29,C8,C9)</f>
        <v/>
      </c>
      <c r="D11">
        <f>IF(D10*D8&gt;Assumptions!$B$29,D8,D9)</f>
        <v/>
      </c>
      <c r="E11">
        <f>IF(E10*E8&gt;Assumptions!$B$29,E8,E9)</f>
        <v/>
      </c>
      <c r="F11">
        <f>IF(F10*F8&gt;Assumptions!$B$29,F8,F9)</f>
        <v/>
      </c>
      <c r="G11">
        <f>IF(G10*G8&gt;Assumptions!$B$29,G8,G9)</f>
        <v/>
      </c>
      <c r="H11">
        <f>IF(H10*H8&gt;Assumptions!$B$29,H8,H9)</f>
        <v/>
      </c>
      <c r="I11">
        <f>IF(I10*I8&gt;Assumptions!$B$29,I8,I9)</f>
        <v/>
      </c>
      <c r="J11">
        <f>IF(J10*J8&gt;Assumptions!$B$29,J8,J9)</f>
        <v/>
      </c>
    </row>
    <row r="12">
      <c r="A12" t="inlineStr">
        <is>
          <t>F PPS</t>
        </is>
      </c>
      <c r="B12">
        <f>B6/B11</f>
        <v/>
      </c>
      <c r="C12">
        <f>C6/C11</f>
        <v/>
      </c>
      <c r="D12">
        <f>D6/D11</f>
        <v/>
      </c>
      <c r="E12">
        <f>E6/E11</f>
        <v/>
      </c>
      <c r="F12">
        <f>F6/F11</f>
        <v/>
      </c>
      <c r="G12">
        <f>G6/G11</f>
        <v/>
      </c>
      <c r="H12">
        <f>H6/H11</f>
        <v/>
      </c>
      <c r="I12">
        <f>I6/I11</f>
        <v/>
      </c>
      <c r="J12">
        <f>J6/J11</f>
        <v/>
      </c>
    </row>
    <row r="13">
      <c r="A13" t="inlineStr">
        <is>
          <t>F primary shares</t>
        </is>
      </c>
      <c r="B13">
        <f>Assumptions!$B$3/B12</f>
        <v/>
      </c>
      <c r="C13">
        <f>Assumptions!$B$3/C12</f>
        <v/>
      </c>
      <c r="D13">
        <f>Assumptions!$B$3/D12</f>
        <v/>
      </c>
      <c r="E13">
        <f>Assumptions!$B$3/E12</f>
        <v/>
      </c>
      <c r="F13">
        <f>Assumptions!$B$3/F12</f>
        <v/>
      </c>
      <c r="G13">
        <f>Assumptions!$B$3/G12</f>
        <v/>
      </c>
      <c r="H13">
        <f>Assumptions!$B$3/H12</f>
        <v/>
      </c>
      <c r="I13">
        <f>Assumptions!$B$3/I12</f>
        <v/>
      </c>
      <c r="J13">
        <f>Assumptions!$B$3/J12</f>
        <v/>
      </c>
    </row>
    <row r="14">
      <c r="A14" t="inlineStr">
        <is>
          <t>Post-F FD (T_F)</t>
        </is>
      </c>
      <c r="B14">
        <f>B11+B13</f>
        <v/>
      </c>
      <c r="C14">
        <f>C11+C13</f>
        <v/>
      </c>
      <c r="D14">
        <f>D11+D13</f>
        <v/>
      </c>
      <c r="E14">
        <f>E11+E13</f>
        <v/>
      </c>
      <c r="F14">
        <f>F11+F13</f>
        <v/>
      </c>
      <c r="G14">
        <f>G11+G13</f>
        <v/>
      </c>
      <c r="H14">
        <f>H11+H13</f>
        <v/>
      </c>
      <c r="I14">
        <f>I11+I13</f>
        <v/>
      </c>
      <c r="J14">
        <f>J11+J13</f>
        <v/>
      </c>
    </row>
    <row r="15">
      <c r="A15" t="inlineStr">
        <is>
          <t>ESOP top-up</t>
        </is>
      </c>
      <c r="B15">
        <f>MAX(0,B7*B14-Assumptions!$B$29)</f>
        <v/>
      </c>
      <c r="C15">
        <f>MAX(0,C7*C14-Assumptions!$B$29)</f>
        <v/>
      </c>
      <c r="D15">
        <f>MAX(0,D7*D14-Assumptions!$B$29)</f>
        <v/>
      </c>
      <c r="E15">
        <f>MAX(0,E7*E14-Assumptions!$B$29)</f>
        <v/>
      </c>
      <c r="F15">
        <f>MAX(0,F7*F14-Assumptions!$B$29)</f>
        <v/>
      </c>
      <c r="G15">
        <f>MAX(0,G7*G14-Assumptions!$B$29)</f>
        <v/>
      </c>
      <c r="H15">
        <f>MAX(0,H7*H14-Assumptions!$B$29)</f>
        <v/>
      </c>
      <c r="I15">
        <f>MAX(0,I7*I14-Assumptions!$B$29)</f>
        <v/>
      </c>
      <c r="J15">
        <f>MAX(0,J7*J14-Assumptions!$B$29)</f>
        <v/>
      </c>
    </row>
    <row r="16">
      <c r="A16" t="inlineStr">
        <is>
          <t>D additional shares (dD)</t>
        </is>
      </c>
      <c r="B16">
        <f>(Assumptions!$B$32*Assumptions!$B$3/(B6*(Assumptions!$B$28+Assumptions!$B$3/Assumptions!$B$18)))*B11-(Assumptions!$B$32*(Assumptions!$B$3/Assumptions!$B$18)/(Assumptions!$B$28+Assumptions!$B$3/Assumptions!$B$18))</f>
        <v/>
      </c>
      <c r="C16">
        <f>(Assumptions!$B$32*Assumptions!$B$3/(C6*(Assumptions!$B$28+Assumptions!$B$3/Assumptions!$B$18)))*C11-(Assumptions!$B$32*(Assumptions!$B$3/Assumptions!$B$18)/(Assumptions!$B$28+Assumptions!$B$3/Assumptions!$B$18))</f>
        <v/>
      </c>
      <c r="D16">
        <f>(Assumptions!$B$32*Assumptions!$B$3/(D6*(Assumptions!$B$28+Assumptions!$B$3/Assumptions!$B$18)))*D11-(Assumptions!$B$32*(Assumptions!$B$3/Assumptions!$B$18)/(Assumptions!$B$28+Assumptions!$B$3/Assumptions!$B$18))</f>
        <v/>
      </c>
      <c r="E16">
        <f>(Assumptions!$B$32*Assumptions!$B$3/(E6*(Assumptions!$B$28+Assumptions!$B$3/Assumptions!$B$18)))*E11-(Assumptions!$B$32*(Assumptions!$B$3/Assumptions!$B$18)/(Assumptions!$B$28+Assumptions!$B$3/Assumptions!$B$18))</f>
        <v/>
      </c>
      <c r="F16">
        <f>(Assumptions!$B$32*Assumptions!$B$3/(F6*(Assumptions!$B$28+Assumptions!$B$3/Assumptions!$B$18)))*F11-(Assumptions!$B$32*(Assumptions!$B$3/Assumptions!$B$18)/(Assumptions!$B$28+Assumptions!$B$3/Assumptions!$B$18))</f>
        <v/>
      </c>
      <c r="G16">
        <f>(Assumptions!$B$32*Assumptions!$B$3/(G6*(Assumptions!$B$28+Assumptions!$B$3/Assumptions!$B$18)))*G11-(Assumptions!$B$32*(Assumptions!$B$3/Assumptions!$B$18)/(Assumptions!$B$28+Assumptions!$B$3/Assumptions!$B$18))</f>
        <v/>
      </c>
      <c r="H16">
        <f>(Assumptions!$B$32*Assumptions!$B$3/(H6*(Assumptions!$B$28+Assumptions!$B$3/Assumptions!$B$18)))*H11-(Assumptions!$B$32*(Assumptions!$B$3/Assumptions!$B$18)/(Assumptions!$B$28+Assumptions!$B$3/Assumptions!$B$18))</f>
        <v/>
      </c>
      <c r="I16">
        <f>(Assumptions!$B$32*Assumptions!$B$3/(I6*(Assumptions!$B$28+Assumptions!$B$3/Assumptions!$B$18)))*I11-(Assumptions!$B$32*(Assumptions!$B$3/Assumptions!$B$18)/(Assumptions!$B$28+Assumptions!$B$3/Assumptions!$B$18))</f>
        <v/>
      </c>
      <c r="J16">
        <f>(Assumptions!$B$32*Assumptions!$B$3/(J6*(Assumptions!$B$28+Assumptions!$B$3/Assumptions!$B$18)))*J11-(Assumptions!$B$32*(Assumptions!$B$3/Assumptions!$B$18)/(Assumptions!$B$28+Assumptions!$B$3/Assumptions!$B$18))</f>
        <v/>
      </c>
    </row>
    <row r="17">
      <c r="A17" t="inlineStr">
        <is>
          <t>E additional shares (dE)</t>
        </is>
      </c>
      <c r="B17">
        <f>(Assumptions!$B$34*Assumptions!$B$3/(B6*(Assumptions!$B$28+Assumptions!$B$3/Assumptions!$B$20)))*B11-(Assumptions!$B$34*(Assumptions!$B$3/Assumptions!$B$20)/(Assumptions!$B$28+Assumptions!$B$3/Assumptions!$B$20))</f>
        <v/>
      </c>
      <c r="C17">
        <f>(Assumptions!$B$34*Assumptions!$B$3/(C6*(Assumptions!$B$28+Assumptions!$B$3/Assumptions!$B$20)))*C11-(Assumptions!$B$34*(Assumptions!$B$3/Assumptions!$B$20)/(Assumptions!$B$28+Assumptions!$B$3/Assumptions!$B$20))</f>
        <v/>
      </c>
      <c r="D17">
        <f>(Assumptions!$B$34*Assumptions!$B$3/(D6*(Assumptions!$B$28+Assumptions!$B$3/Assumptions!$B$20)))*D11-(Assumptions!$B$34*(Assumptions!$B$3/Assumptions!$B$20)/(Assumptions!$B$28+Assumptions!$B$3/Assumptions!$B$20))</f>
        <v/>
      </c>
      <c r="E17">
        <f>(Assumptions!$B$34*Assumptions!$B$3/(E6*(Assumptions!$B$28+Assumptions!$B$3/Assumptions!$B$20)))*E11-(Assumptions!$B$34*(Assumptions!$B$3/Assumptions!$B$20)/(Assumptions!$B$28+Assumptions!$B$3/Assumptions!$B$20))</f>
        <v/>
      </c>
      <c r="F17">
        <f>(Assumptions!$B$34*Assumptions!$B$3/(F6*(Assumptions!$B$28+Assumptions!$B$3/Assumptions!$B$20)))*F11-(Assumptions!$B$34*(Assumptions!$B$3/Assumptions!$B$20)/(Assumptions!$B$28+Assumptions!$B$3/Assumptions!$B$20))</f>
        <v/>
      </c>
      <c r="G17">
        <f>(Assumptions!$B$34*Assumptions!$B$3/(G6*(Assumptions!$B$28+Assumptions!$B$3/Assumptions!$B$20)))*G11-(Assumptions!$B$34*(Assumptions!$B$3/Assumptions!$B$20)/(Assumptions!$B$28+Assumptions!$B$3/Assumptions!$B$20))</f>
        <v/>
      </c>
      <c r="H17">
        <f>(Assumptions!$B$34*Assumptions!$B$3/(H6*(Assumptions!$B$28+Assumptions!$B$3/Assumptions!$B$20)))*H11-(Assumptions!$B$34*(Assumptions!$B$3/Assumptions!$B$20)/(Assumptions!$B$28+Assumptions!$B$3/Assumptions!$B$20))</f>
        <v/>
      </c>
      <c r="I17">
        <f>(Assumptions!$B$34*Assumptions!$B$3/(I6*(Assumptions!$B$28+Assumptions!$B$3/Assumptions!$B$20)))*I11-(Assumptions!$B$34*(Assumptions!$B$3/Assumptions!$B$20)/(Assumptions!$B$28+Assumptions!$B$3/Assumptions!$B$20))</f>
        <v/>
      </c>
      <c r="J17">
        <f>(Assumptions!$B$34*Assumptions!$B$3/(J6*(Assumptions!$B$28+Assumptions!$B$3/Assumptions!$B$20)))*J11-(Assumptions!$B$34*(Assumptions!$B$3/Assumptions!$B$20)/(Assumptions!$B$28+Assumptions!$B$3/Assumptions!$B$20))</f>
        <v/>
      </c>
    </row>
    <row r="18">
      <c r="A18" t="inlineStr">
        <is>
          <t>D shares post-F</t>
        </is>
      </c>
      <c r="B18">
        <f>Assumptions!$B$32+B16</f>
        <v/>
      </c>
      <c r="C18">
        <f>Assumptions!$B$32+C16</f>
        <v/>
      </c>
      <c r="D18">
        <f>Assumptions!$B$32+D16</f>
        <v/>
      </c>
      <c r="E18">
        <f>Assumptions!$B$32+E16</f>
        <v/>
      </c>
      <c r="F18">
        <f>Assumptions!$B$32+F16</f>
        <v/>
      </c>
      <c r="G18">
        <f>Assumptions!$B$32+G16</f>
        <v/>
      </c>
      <c r="H18">
        <f>Assumptions!$B$32+H16</f>
        <v/>
      </c>
      <c r="I18">
        <f>Assumptions!$B$32+I16</f>
        <v/>
      </c>
      <c r="J18">
        <f>Assumptions!$B$32+J16</f>
        <v/>
      </c>
    </row>
    <row r="19">
      <c r="A19" t="inlineStr">
        <is>
          <t>E shares post-F</t>
        </is>
      </c>
      <c r="B19">
        <f>Assumptions!$B$34+B17</f>
        <v/>
      </c>
      <c r="C19">
        <f>Assumptions!$B$34+C17</f>
        <v/>
      </c>
      <c r="D19">
        <f>Assumptions!$B$34+D17</f>
        <v/>
      </c>
      <c r="E19">
        <f>Assumptions!$B$34+E17</f>
        <v/>
      </c>
      <c r="F19">
        <f>Assumptions!$B$34+F17</f>
        <v/>
      </c>
      <c r="G19">
        <f>Assumptions!$B$34+G17</f>
        <v/>
      </c>
      <c r="H19">
        <f>Assumptions!$B$34+H17</f>
        <v/>
      </c>
      <c r="I19">
        <f>Assumptions!$B$34+I17</f>
        <v/>
      </c>
      <c r="J19">
        <f>Assumptions!$B$34+J17</f>
        <v/>
      </c>
    </row>
    <row r="20">
      <c r="A20" t="inlineStr">
        <is>
          <t>kappa_A</t>
        </is>
      </c>
      <c r="B20">
        <f>IF((Assumptions!$B$23+Assumptions!$B$22)&lt;B6*(1-Assumptions!$B$24),Assumptions!$B$22/(Assumptions!$B$23+Assumptions!$B$22),Assumptions!$B$22/(B6*(1-Assumptions!$B$24)))</f>
        <v/>
      </c>
      <c r="C20">
        <f>IF((Assumptions!$B$23+Assumptions!$B$22)&lt;C6*(1-Assumptions!$B$24),Assumptions!$B$22/(Assumptions!$B$23+Assumptions!$B$22),Assumptions!$B$22/(C6*(1-Assumptions!$B$24)))</f>
        <v/>
      </c>
      <c r="D20">
        <f>IF((Assumptions!$B$23+Assumptions!$B$22)&lt;D6*(1-Assumptions!$B$24),Assumptions!$B$22/(Assumptions!$B$23+Assumptions!$B$22),Assumptions!$B$22/(D6*(1-Assumptions!$B$24)))</f>
        <v/>
      </c>
      <c r="E20">
        <f>IF((Assumptions!$B$23+Assumptions!$B$22)&lt;E6*(1-Assumptions!$B$24),Assumptions!$B$22/(Assumptions!$B$23+Assumptions!$B$22),Assumptions!$B$22/(E6*(1-Assumptions!$B$24)))</f>
        <v/>
      </c>
      <c r="F20">
        <f>IF((Assumptions!$B$23+Assumptions!$B$22)&lt;F6*(1-Assumptions!$B$24),Assumptions!$B$22/(Assumptions!$B$23+Assumptions!$B$22),Assumptions!$B$22/(F6*(1-Assumptions!$B$24)))</f>
        <v/>
      </c>
      <c r="G20">
        <f>IF((Assumptions!$B$23+Assumptions!$B$22)&lt;G6*(1-Assumptions!$B$24),Assumptions!$B$22/(Assumptions!$B$23+Assumptions!$B$22),Assumptions!$B$22/(G6*(1-Assumptions!$B$24)))</f>
        <v/>
      </c>
      <c r="H20">
        <f>IF((Assumptions!$B$23+Assumptions!$B$22)&lt;H6*(1-Assumptions!$B$24),Assumptions!$B$22/(Assumptions!$B$23+Assumptions!$B$22),Assumptions!$B$22/(H6*(1-Assumptions!$B$24)))</f>
        <v/>
      </c>
      <c r="I20">
        <f>IF((Assumptions!$B$23+Assumptions!$B$22)&lt;I6*(1-Assumptions!$B$24),Assumptions!$B$22/(Assumptions!$B$23+Assumptions!$B$22),Assumptions!$B$22/(I6*(1-Assumptions!$B$24)))</f>
        <v/>
      </c>
      <c r="J20">
        <f>IF((Assumptions!$B$23+Assumptions!$B$22)&lt;J6*(1-Assumptions!$B$24),Assumptions!$B$22/(Assumptions!$B$23+Assumptions!$B$22),Assumptions!$B$22/(J6*(1-Assumptions!$B$24)))</f>
        <v/>
      </c>
    </row>
    <row r="21">
      <c r="A21" t="inlineStr">
        <is>
          <t>N_A shares</t>
        </is>
      </c>
      <c r="B21">
        <f>B11*B20</f>
        <v/>
      </c>
      <c r="C21">
        <f>C11*C20</f>
        <v/>
      </c>
      <c r="D21">
        <f>D11*D20</f>
        <v/>
      </c>
      <c r="E21">
        <f>E11*E20</f>
        <v/>
      </c>
      <c r="F21">
        <f>F11*F20</f>
        <v/>
      </c>
      <c r="G21">
        <f>G11*G20</f>
        <v/>
      </c>
      <c r="H21">
        <f>H11*H20</f>
        <v/>
      </c>
      <c r="I21">
        <f>I11*I20</f>
        <v/>
      </c>
      <c r="J21">
        <f>J11*J20</f>
        <v/>
      </c>
    </row>
    <row r="22">
      <c r="A22" t="inlineStr">
        <is>
          <t>Cap-PPS A</t>
        </is>
      </c>
      <c r="B22">
        <f>Assumptions!$B$23/(B11-B21)</f>
        <v/>
      </c>
      <c r="C22">
        <f>Assumptions!$B$23/(C11-C21)</f>
        <v/>
      </c>
      <c r="D22">
        <f>Assumptions!$B$23/(D11-D21)</f>
        <v/>
      </c>
      <c r="E22">
        <f>Assumptions!$B$23/(E11-E21)</f>
        <v/>
      </c>
      <c r="F22">
        <f>Assumptions!$B$23/(F11-F21)</f>
        <v/>
      </c>
      <c r="G22">
        <f>Assumptions!$B$23/(G11-G21)</f>
        <v/>
      </c>
      <c r="H22">
        <f>Assumptions!$B$23/(H11-H21)</f>
        <v/>
      </c>
      <c r="I22">
        <f>Assumptions!$B$23/(I11-I21)</f>
        <v/>
      </c>
      <c r="J22">
        <f>Assumptions!$B$23/(J11-J21)</f>
        <v/>
      </c>
    </row>
    <row r="23">
      <c r="A23" t="inlineStr">
        <is>
          <t>Disc-PPS A</t>
        </is>
      </c>
      <c r="B23">
        <f>B12*(1-Assumptions!$B$24)</f>
        <v/>
      </c>
      <c r="C23">
        <f>C12*(1-Assumptions!$B$24)</f>
        <v/>
      </c>
      <c r="D23">
        <f>D12*(1-Assumptions!$B$24)</f>
        <v/>
      </c>
      <c r="E23">
        <f>E12*(1-Assumptions!$B$24)</f>
        <v/>
      </c>
      <c r="F23">
        <f>F12*(1-Assumptions!$B$24)</f>
        <v/>
      </c>
      <c r="G23">
        <f>G12*(1-Assumptions!$B$24)</f>
        <v/>
      </c>
      <c r="H23">
        <f>H12*(1-Assumptions!$B$24)</f>
        <v/>
      </c>
      <c r="I23">
        <f>I12*(1-Assumptions!$B$24)</f>
        <v/>
      </c>
      <c r="J23">
        <f>J12*(1-Assumptions!$B$24)</f>
        <v/>
      </c>
    </row>
    <row r="24">
      <c r="A24" t="inlineStr">
        <is>
          <t>Conv-PPS A (min)</t>
        </is>
      </c>
      <c r="B24">
        <f>MIN(B22,B23)</f>
        <v/>
      </c>
      <c r="C24">
        <f>MIN(C22,C23)</f>
        <v/>
      </c>
      <c r="D24">
        <f>MIN(D22,D23)</f>
        <v/>
      </c>
      <c r="E24">
        <f>MIN(E22,E23)</f>
        <v/>
      </c>
      <c r="F24">
        <f>MIN(F22,F23)</f>
        <v/>
      </c>
      <c r="G24">
        <f>MIN(G22,G23)</f>
        <v/>
      </c>
      <c r="H24">
        <f>MIN(H22,H23)</f>
        <v/>
      </c>
      <c r="I24">
        <f>MIN(I22,I23)</f>
        <v/>
      </c>
      <c r="J24">
        <f>MIN(J22,J23)</f>
        <v/>
      </c>
    </row>
    <row r="25">
      <c r="A25" t="inlineStr">
        <is>
          <t>Branch A</t>
        </is>
      </c>
      <c r="B25">
        <f>IF(B22&lt;B23,"cap","discount")</f>
        <v/>
      </c>
      <c r="C25">
        <f>IF(C22&lt;C23,"cap","discount")</f>
        <v/>
      </c>
      <c r="D25">
        <f>IF(D22&lt;D23,"cap","discount")</f>
        <v/>
      </c>
      <c r="E25">
        <f>IF(E22&lt;E23,"cap","discount")</f>
        <v/>
      </c>
      <c r="F25">
        <f>IF(F22&lt;F23,"cap","discount")</f>
        <v/>
      </c>
      <c r="G25">
        <f>IF(G22&lt;G23,"cap","discount")</f>
        <v/>
      </c>
      <c r="H25">
        <f>IF(H22&lt;H23,"cap","discount")</f>
        <v/>
      </c>
      <c r="I25">
        <f>IF(I22&lt;I23,"cap","discount")</f>
        <v/>
      </c>
      <c r="J25">
        <f>IF(J22&lt;J23,"cap","discount")</f>
        <v/>
      </c>
    </row>
    <row r="26">
      <c r="A26" t="inlineStr">
        <is>
          <t>kappa_B</t>
        </is>
      </c>
      <c r="B26">
        <f>IF((Assumptions!$B$26+Assumptions!$B$25)&lt;B6*(1-Assumptions!$B$27),Assumptions!$B$25/(Assumptions!$B$26+Assumptions!$B$25),Assumptions!$B$25/(B6*(1-Assumptions!$B$27)))</f>
        <v/>
      </c>
      <c r="C26">
        <f>IF((Assumptions!$B$26+Assumptions!$B$25)&lt;C6*(1-Assumptions!$B$27),Assumptions!$B$25/(Assumptions!$B$26+Assumptions!$B$25),Assumptions!$B$25/(C6*(1-Assumptions!$B$27)))</f>
        <v/>
      </c>
      <c r="D26">
        <f>IF((Assumptions!$B$26+Assumptions!$B$25)&lt;D6*(1-Assumptions!$B$27),Assumptions!$B$25/(Assumptions!$B$26+Assumptions!$B$25),Assumptions!$B$25/(D6*(1-Assumptions!$B$27)))</f>
        <v/>
      </c>
      <c r="E26">
        <f>IF((Assumptions!$B$26+Assumptions!$B$25)&lt;E6*(1-Assumptions!$B$27),Assumptions!$B$25/(Assumptions!$B$26+Assumptions!$B$25),Assumptions!$B$25/(E6*(1-Assumptions!$B$27)))</f>
        <v/>
      </c>
      <c r="F26">
        <f>IF((Assumptions!$B$26+Assumptions!$B$25)&lt;F6*(1-Assumptions!$B$27),Assumptions!$B$25/(Assumptions!$B$26+Assumptions!$B$25),Assumptions!$B$25/(F6*(1-Assumptions!$B$27)))</f>
        <v/>
      </c>
      <c r="G26">
        <f>IF((Assumptions!$B$26+Assumptions!$B$25)&lt;G6*(1-Assumptions!$B$27),Assumptions!$B$25/(Assumptions!$B$26+Assumptions!$B$25),Assumptions!$B$25/(G6*(1-Assumptions!$B$27)))</f>
        <v/>
      </c>
      <c r="H26">
        <f>IF((Assumptions!$B$26+Assumptions!$B$25)&lt;H6*(1-Assumptions!$B$27),Assumptions!$B$25/(Assumptions!$B$26+Assumptions!$B$25),Assumptions!$B$25/(H6*(1-Assumptions!$B$27)))</f>
        <v/>
      </c>
      <c r="I26">
        <f>IF((Assumptions!$B$26+Assumptions!$B$25)&lt;I6*(1-Assumptions!$B$27),Assumptions!$B$25/(Assumptions!$B$26+Assumptions!$B$25),Assumptions!$B$25/(I6*(1-Assumptions!$B$27)))</f>
        <v/>
      </c>
      <c r="J26">
        <f>IF((Assumptions!$B$26+Assumptions!$B$25)&lt;J6*(1-Assumptions!$B$27),Assumptions!$B$25/(Assumptions!$B$26+Assumptions!$B$25),Assumptions!$B$25/(J6*(1-Assumptions!$B$27)))</f>
        <v/>
      </c>
    </row>
    <row r="27">
      <c r="A27" t="inlineStr">
        <is>
          <t>N_B shares</t>
        </is>
      </c>
      <c r="B27">
        <f>B11*B26</f>
        <v/>
      </c>
      <c r="C27">
        <f>C11*C26</f>
        <v/>
      </c>
      <c r="D27">
        <f>D11*D26</f>
        <v/>
      </c>
      <c r="E27">
        <f>E11*E26</f>
        <v/>
      </c>
      <c r="F27">
        <f>F11*F26</f>
        <v/>
      </c>
      <c r="G27">
        <f>G11*G26</f>
        <v/>
      </c>
      <c r="H27">
        <f>H11*H26</f>
        <v/>
      </c>
      <c r="I27">
        <f>I11*I26</f>
        <v/>
      </c>
      <c r="J27">
        <f>J11*J26</f>
        <v/>
      </c>
    </row>
    <row r="28">
      <c r="A28" t="inlineStr">
        <is>
          <t>Cap-PPS B</t>
        </is>
      </c>
      <c r="B28">
        <f>Assumptions!$B$26/(B11-B27)</f>
        <v/>
      </c>
      <c r="C28">
        <f>Assumptions!$B$26/(C11-C27)</f>
        <v/>
      </c>
      <c r="D28">
        <f>Assumptions!$B$26/(D11-D27)</f>
        <v/>
      </c>
      <c r="E28">
        <f>Assumptions!$B$26/(E11-E27)</f>
        <v/>
      </c>
      <c r="F28">
        <f>Assumptions!$B$26/(F11-F27)</f>
        <v/>
      </c>
      <c r="G28">
        <f>Assumptions!$B$26/(G11-G27)</f>
        <v/>
      </c>
      <c r="H28">
        <f>Assumptions!$B$26/(H11-H27)</f>
        <v/>
      </c>
      <c r="I28">
        <f>Assumptions!$B$26/(I11-I27)</f>
        <v/>
      </c>
      <c r="J28">
        <f>Assumptions!$B$26/(J11-J27)</f>
        <v/>
      </c>
    </row>
    <row r="29">
      <c r="A29" t="inlineStr">
        <is>
          <t>Disc-PPS B</t>
        </is>
      </c>
      <c r="B29">
        <f>B12*(1-Assumptions!$B$27)</f>
        <v/>
      </c>
      <c r="C29">
        <f>C12*(1-Assumptions!$B$27)</f>
        <v/>
      </c>
      <c r="D29">
        <f>D12*(1-Assumptions!$B$27)</f>
        <v/>
      </c>
      <c r="E29">
        <f>E12*(1-Assumptions!$B$27)</f>
        <v/>
      </c>
      <c r="F29">
        <f>F12*(1-Assumptions!$B$27)</f>
        <v/>
      </c>
      <c r="G29">
        <f>G12*(1-Assumptions!$B$27)</f>
        <v/>
      </c>
      <c r="H29">
        <f>H12*(1-Assumptions!$B$27)</f>
        <v/>
      </c>
      <c r="I29">
        <f>I12*(1-Assumptions!$B$27)</f>
        <v/>
      </c>
      <c r="J29">
        <f>J12*(1-Assumptions!$B$27)</f>
        <v/>
      </c>
    </row>
    <row r="30">
      <c r="A30" t="inlineStr">
        <is>
          <t>Conv-PPS B (min)</t>
        </is>
      </c>
      <c r="B30">
        <f>MIN(B28,B29)</f>
        <v/>
      </c>
      <c r="C30">
        <f>MIN(C28,C29)</f>
        <v/>
      </c>
      <c r="D30">
        <f>MIN(D28,D29)</f>
        <v/>
      </c>
      <c r="E30">
        <f>MIN(E28,E29)</f>
        <v/>
      </c>
      <c r="F30">
        <f>MIN(F28,F29)</f>
        <v/>
      </c>
      <c r="G30">
        <f>MIN(G28,G29)</f>
        <v/>
      </c>
      <c r="H30">
        <f>MIN(H28,H29)</f>
        <v/>
      </c>
      <c r="I30">
        <f>MIN(I28,I29)</f>
        <v/>
      </c>
      <c r="J30">
        <f>MIN(J28,J29)</f>
        <v/>
      </c>
    </row>
    <row r="31">
      <c r="A31" t="inlineStr">
        <is>
          <t>Branch B</t>
        </is>
      </c>
      <c r="B31">
        <f>IF(B28&lt;B29,"cap","discount")</f>
        <v/>
      </c>
      <c r="C31">
        <f>IF(C28&lt;C29,"cap","discount")</f>
        <v/>
      </c>
      <c r="D31">
        <f>IF(D28&lt;D29,"cap","discount")</f>
        <v/>
      </c>
      <c r="E31">
        <f>IF(E28&lt;E29,"cap","discount")</f>
        <v/>
      </c>
      <c r="F31">
        <f>IF(F28&lt;F29,"cap","discount")</f>
        <v/>
      </c>
      <c r="G31">
        <f>IF(G28&lt;G29,"cap","discount")</f>
        <v/>
      </c>
      <c r="H31">
        <f>IF(H28&lt;H29,"cap","discount")</f>
        <v/>
      </c>
      <c r="I31">
        <f>IF(I28&lt;I29,"cap","discount")</f>
        <v/>
      </c>
      <c r="J31">
        <f>IF(J28&lt;J29,"cap","discount")</f>
        <v/>
      </c>
    </row>
    <row r="32">
      <c r="A32" t="inlineStr">
        <is>
          <t>Common-equiv pool (founders+RSAs+notes)</t>
        </is>
      </c>
      <c r="B32">
        <f>(Assumptions!$B$39+Assumptions!$B$40+Assumptions!$B$41+Assumptions!$B$42)+B21+B27</f>
        <v/>
      </c>
      <c r="C32">
        <f>(Assumptions!$B$39+Assumptions!$B$40+Assumptions!$B$41+Assumptions!$B$42)+C21+C27</f>
        <v/>
      </c>
      <c r="D32">
        <f>(Assumptions!$B$39+Assumptions!$B$40+Assumptions!$B$41+Assumptions!$B$42)+D21+D27</f>
        <v/>
      </c>
      <c r="E32">
        <f>(Assumptions!$B$39+Assumptions!$B$40+Assumptions!$B$41+Assumptions!$B$42)+E21+E27</f>
        <v/>
      </c>
      <c r="F32">
        <f>(Assumptions!$B$39+Assumptions!$B$40+Assumptions!$B$41+Assumptions!$B$42)+F21+F27</f>
        <v/>
      </c>
      <c r="G32">
        <f>(Assumptions!$B$39+Assumptions!$B$40+Assumptions!$B$41+Assumptions!$B$42)+G21+G27</f>
        <v/>
      </c>
      <c r="H32">
        <f>(Assumptions!$B$39+Assumptions!$B$40+Assumptions!$B$41+Assumptions!$B$42)+H21+H27</f>
        <v/>
      </c>
      <c r="I32">
        <f>(Assumptions!$B$39+Assumptions!$B$40+Assumptions!$B$41+Assumptions!$B$42)+I21+I27</f>
        <v/>
      </c>
      <c r="J32">
        <f>(Assumptions!$B$39+Assumptions!$B$40+Assumptions!$B$41+Assumptions!$B$42)+J21+J27</f>
        <v/>
      </c>
    </row>
    <row r="34">
      <c r="A34" s="5" t="inlineStr">
        <is>
          <t>PASS 1 ELECTIONS @ $2B (init: all-others-convert)</t>
        </is>
      </c>
    </row>
    <row r="35">
      <c r="A35" t="inlineStr">
        <is>
          <t xml:space="preserve">  F</t>
        </is>
      </c>
      <c r="B35">
        <f>IF(Assumptions!$B$3&gt;(IF((((Assumptions!$B$49))+Assumptions!$B$30*Assumptions!$B$21)/(((B32+B13+B19+B18+Assumptions!$B$38+Assumptions!$B$37+Assumptions!$B$36+Assumptions!$B$35))+Assumptions!$B$30)&gt;Assumptions!$B$21,(((Assumptions!$B$49))+Assumptions!$B$30*Assumptions!$B$21)/(((B32+B13+B19+B18+Assumptions!$B$38+Assumptions!$B$37+Assumptions!$B$36+Assumptions!$B$35))+Assumptions!$B$30),((Assumptions!$B$49))/((B32+B13+B19+B18+Assumptions!$B$38+Assumptions!$B$37+Assumptions!$B$36+Assumptions!$B$35))))*B13,"preference","convert")</f>
        <v/>
      </c>
      <c r="C35">
        <f>IF(Assumptions!$B$3&gt;(IF((((Assumptions!$B$49))+Assumptions!$B$30*Assumptions!$B$21)/(((C32+C13+C19+C18+Assumptions!$B$38+Assumptions!$B$37+Assumptions!$B$36+Assumptions!$B$35))+Assumptions!$B$30)&gt;Assumptions!$B$21,(((Assumptions!$B$49))+Assumptions!$B$30*Assumptions!$B$21)/(((C32+C13+C19+C18+Assumptions!$B$38+Assumptions!$B$37+Assumptions!$B$36+Assumptions!$B$35))+Assumptions!$B$30),((Assumptions!$B$49))/((C32+C13+C19+C18+Assumptions!$B$38+Assumptions!$B$37+Assumptions!$B$36+Assumptions!$B$35))))*C13,"preference","convert")</f>
        <v/>
      </c>
      <c r="D35">
        <f>IF(Assumptions!$B$3&gt;(IF((((Assumptions!$B$49))+Assumptions!$B$30*Assumptions!$B$21)/(((D32+D13+D19+D18+Assumptions!$B$38+Assumptions!$B$37+Assumptions!$B$36+Assumptions!$B$35))+Assumptions!$B$30)&gt;Assumptions!$B$21,(((Assumptions!$B$49))+Assumptions!$B$30*Assumptions!$B$21)/(((D32+D13+D19+D18+Assumptions!$B$38+Assumptions!$B$37+Assumptions!$B$36+Assumptions!$B$35))+Assumptions!$B$30),((Assumptions!$B$49))/((D32+D13+D19+D18+Assumptions!$B$38+Assumptions!$B$37+Assumptions!$B$36+Assumptions!$B$35))))*D13,"preference","convert")</f>
        <v/>
      </c>
      <c r="E35">
        <f>IF(Assumptions!$B$3&gt;(IF((((Assumptions!$B$49))+Assumptions!$B$30*Assumptions!$B$21)/(((E32+E13+E19+E18+Assumptions!$B$38+Assumptions!$B$37+Assumptions!$B$36+Assumptions!$B$35))+Assumptions!$B$30)&gt;Assumptions!$B$21,(((Assumptions!$B$49))+Assumptions!$B$30*Assumptions!$B$21)/(((E32+E13+E19+E18+Assumptions!$B$38+Assumptions!$B$37+Assumptions!$B$36+Assumptions!$B$35))+Assumptions!$B$30),((Assumptions!$B$49))/((E32+E13+E19+E18+Assumptions!$B$38+Assumptions!$B$37+Assumptions!$B$36+Assumptions!$B$35))))*E13,"preference","convert")</f>
        <v/>
      </c>
      <c r="F35">
        <f>IF(Assumptions!$B$3&gt;(IF((((Assumptions!$B$49))+Assumptions!$B$30*Assumptions!$B$21)/(((F32+F13+F19+F18+Assumptions!$B$38+Assumptions!$B$37+Assumptions!$B$36+Assumptions!$B$35))+Assumptions!$B$30)&gt;Assumptions!$B$21,(((Assumptions!$B$49))+Assumptions!$B$30*Assumptions!$B$21)/(((F32+F13+F19+F18+Assumptions!$B$38+Assumptions!$B$37+Assumptions!$B$36+Assumptions!$B$35))+Assumptions!$B$30),((Assumptions!$B$49))/((F32+F13+F19+F18+Assumptions!$B$38+Assumptions!$B$37+Assumptions!$B$36+Assumptions!$B$35))))*F13,"preference","convert")</f>
        <v/>
      </c>
      <c r="G35">
        <f>IF(Assumptions!$B$3&gt;(IF((((Assumptions!$B$49))+Assumptions!$B$30*Assumptions!$B$21)/(((G32+G13+G19+G18+Assumptions!$B$38+Assumptions!$B$37+Assumptions!$B$36+Assumptions!$B$35))+Assumptions!$B$30)&gt;Assumptions!$B$21,(((Assumptions!$B$49))+Assumptions!$B$30*Assumptions!$B$21)/(((G32+G13+G19+G18+Assumptions!$B$38+Assumptions!$B$37+Assumptions!$B$36+Assumptions!$B$35))+Assumptions!$B$30),((Assumptions!$B$49))/((G32+G13+G19+G18+Assumptions!$B$38+Assumptions!$B$37+Assumptions!$B$36+Assumptions!$B$35))))*G13,"preference","convert")</f>
        <v/>
      </c>
      <c r="H35">
        <f>IF(Assumptions!$B$3&gt;(IF((((Assumptions!$B$49))+Assumptions!$B$30*Assumptions!$B$21)/(((H32+H13+H19+H18+Assumptions!$B$38+Assumptions!$B$37+Assumptions!$B$36+Assumptions!$B$35))+Assumptions!$B$30)&gt;Assumptions!$B$21,(((Assumptions!$B$49))+Assumptions!$B$30*Assumptions!$B$21)/(((H32+H13+H19+H18+Assumptions!$B$38+Assumptions!$B$37+Assumptions!$B$36+Assumptions!$B$35))+Assumptions!$B$30),((Assumptions!$B$49))/((H32+H13+H19+H18+Assumptions!$B$38+Assumptions!$B$37+Assumptions!$B$36+Assumptions!$B$35))))*H13,"preference","convert")</f>
        <v/>
      </c>
      <c r="I35">
        <f>IF(Assumptions!$B$3&gt;(IF((((Assumptions!$B$49))+Assumptions!$B$30*Assumptions!$B$21)/(((I32+I13+I19+I18+Assumptions!$B$38+Assumptions!$B$37+Assumptions!$B$36+Assumptions!$B$35))+Assumptions!$B$30)&gt;Assumptions!$B$21,(((Assumptions!$B$49))+Assumptions!$B$30*Assumptions!$B$21)/(((I32+I13+I19+I18+Assumptions!$B$38+Assumptions!$B$37+Assumptions!$B$36+Assumptions!$B$35))+Assumptions!$B$30),((Assumptions!$B$49))/((I32+I13+I19+I18+Assumptions!$B$38+Assumptions!$B$37+Assumptions!$B$36+Assumptions!$B$35))))*I13,"preference","convert")</f>
        <v/>
      </c>
      <c r="J35">
        <f>IF(Assumptions!$B$3&gt;(IF((((Assumptions!$B$49))+Assumptions!$B$30*Assumptions!$B$21)/(((J32+J13+J19+J18+Assumptions!$B$38+Assumptions!$B$37+Assumptions!$B$36+Assumptions!$B$35))+Assumptions!$B$30)&gt;Assumptions!$B$21,(((Assumptions!$B$49))+Assumptions!$B$30*Assumptions!$B$21)/(((J32+J13+J19+J18+Assumptions!$B$38+Assumptions!$B$37+Assumptions!$B$36+Assumptions!$B$35))+Assumptions!$B$30),((Assumptions!$B$49))/((J32+J13+J19+J18+Assumptions!$B$38+Assumptions!$B$37+Assumptions!$B$36+Assumptions!$B$35))))*J13,"preference","convert")</f>
        <v/>
      </c>
    </row>
    <row r="36">
      <c r="A36" t="inlineStr">
        <is>
          <t xml:space="preserve">  E</t>
        </is>
      </c>
      <c r="B36">
        <f>IF((Assumptions!$B$34*Assumptions!$B$20)&gt;(IF((((Assumptions!$B$49))+Assumptions!$B$30*Assumptions!$B$21)/(((B32+B19+B13+B18+Assumptions!$B$38+Assumptions!$B$37+Assumptions!$B$36+Assumptions!$B$35))+Assumptions!$B$30)&gt;Assumptions!$B$21,(((Assumptions!$B$49))+Assumptions!$B$30*Assumptions!$B$21)/(((B32+B19+B13+B18+Assumptions!$B$38+Assumptions!$B$37+Assumptions!$B$36+Assumptions!$B$35))+Assumptions!$B$30),((Assumptions!$B$49))/((B32+B19+B13+B18+Assumptions!$B$38+Assumptions!$B$37+Assumptions!$B$36+Assumptions!$B$35))))*B19,"preference","convert")</f>
        <v/>
      </c>
      <c r="C36">
        <f>IF((Assumptions!$B$34*Assumptions!$B$20)&gt;(IF((((Assumptions!$B$49))+Assumptions!$B$30*Assumptions!$B$21)/(((C32+C19+C13+C18+Assumptions!$B$38+Assumptions!$B$37+Assumptions!$B$36+Assumptions!$B$35))+Assumptions!$B$30)&gt;Assumptions!$B$21,(((Assumptions!$B$49))+Assumptions!$B$30*Assumptions!$B$21)/(((C32+C19+C13+C18+Assumptions!$B$38+Assumptions!$B$37+Assumptions!$B$36+Assumptions!$B$35))+Assumptions!$B$30),((Assumptions!$B$49))/((C32+C19+C13+C18+Assumptions!$B$38+Assumptions!$B$37+Assumptions!$B$36+Assumptions!$B$35))))*C19,"preference","convert")</f>
        <v/>
      </c>
      <c r="D36">
        <f>IF((Assumptions!$B$34*Assumptions!$B$20)&gt;(IF((((Assumptions!$B$49))+Assumptions!$B$30*Assumptions!$B$21)/(((D32+D19+D13+D18+Assumptions!$B$38+Assumptions!$B$37+Assumptions!$B$36+Assumptions!$B$35))+Assumptions!$B$30)&gt;Assumptions!$B$21,(((Assumptions!$B$49))+Assumptions!$B$30*Assumptions!$B$21)/(((D32+D19+D13+D18+Assumptions!$B$38+Assumptions!$B$37+Assumptions!$B$36+Assumptions!$B$35))+Assumptions!$B$30),((Assumptions!$B$49))/((D32+D19+D13+D18+Assumptions!$B$38+Assumptions!$B$37+Assumptions!$B$36+Assumptions!$B$35))))*D19,"preference","convert")</f>
        <v/>
      </c>
      <c r="E36">
        <f>IF((Assumptions!$B$34*Assumptions!$B$20)&gt;(IF((((Assumptions!$B$49))+Assumptions!$B$30*Assumptions!$B$21)/(((E32+E19+E13+E18+Assumptions!$B$38+Assumptions!$B$37+Assumptions!$B$36+Assumptions!$B$35))+Assumptions!$B$30)&gt;Assumptions!$B$21,(((Assumptions!$B$49))+Assumptions!$B$30*Assumptions!$B$21)/(((E32+E19+E13+E18+Assumptions!$B$38+Assumptions!$B$37+Assumptions!$B$36+Assumptions!$B$35))+Assumptions!$B$30),((Assumptions!$B$49))/((E32+E19+E13+E18+Assumptions!$B$38+Assumptions!$B$37+Assumptions!$B$36+Assumptions!$B$35))))*E19,"preference","convert")</f>
        <v/>
      </c>
      <c r="F36">
        <f>IF((Assumptions!$B$34*Assumptions!$B$20)&gt;(IF((((Assumptions!$B$49))+Assumptions!$B$30*Assumptions!$B$21)/(((F32+F19+F13+F18+Assumptions!$B$38+Assumptions!$B$37+Assumptions!$B$36+Assumptions!$B$35))+Assumptions!$B$30)&gt;Assumptions!$B$21,(((Assumptions!$B$49))+Assumptions!$B$30*Assumptions!$B$21)/(((F32+F19+F13+F18+Assumptions!$B$38+Assumptions!$B$37+Assumptions!$B$36+Assumptions!$B$35))+Assumptions!$B$30),((Assumptions!$B$49))/((F32+F19+F13+F18+Assumptions!$B$38+Assumptions!$B$37+Assumptions!$B$36+Assumptions!$B$35))))*F19,"preference","convert")</f>
        <v/>
      </c>
      <c r="G36">
        <f>IF((Assumptions!$B$34*Assumptions!$B$20)&gt;(IF((((Assumptions!$B$49))+Assumptions!$B$30*Assumptions!$B$21)/(((G32+G19+G13+G18+Assumptions!$B$38+Assumptions!$B$37+Assumptions!$B$36+Assumptions!$B$35))+Assumptions!$B$30)&gt;Assumptions!$B$21,(((Assumptions!$B$49))+Assumptions!$B$30*Assumptions!$B$21)/(((G32+G19+G13+G18+Assumptions!$B$38+Assumptions!$B$37+Assumptions!$B$36+Assumptions!$B$35))+Assumptions!$B$30),((Assumptions!$B$49))/((G32+G19+G13+G18+Assumptions!$B$38+Assumptions!$B$37+Assumptions!$B$36+Assumptions!$B$35))))*G19,"preference","convert")</f>
        <v/>
      </c>
      <c r="H36">
        <f>IF((Assumptions!$B$34*Assumptions!$B$20)&gt;(IF((((Assumptions!$B$49))+Assumptions!$B$30*Assumptions!$B$21)/(((H32+H19+H13+H18+Assumptions!$B$38+Assumptions!$B$37+Assumptions!$B$36+Assumptions!$B$35))+Assumptions!$B$30)&gt;Assumptions!$B$21,(((Assumptions!$B$49))+Assumptions!$B$30*Assumptions!$B$21)/(((H32+H19+H13+H18+Assumptions!$B$38+Assumptions!$B$37+Assumptions!$B$36+Assumptions!$B$35))+Assumptions!$B$30),((Assumptions!$B$49))/((H32+H19+H13+H18+Assumptions!$B$38+Assumptions!$B$37+Assumptions!$B$36+Assumptions!$B$35))))*H19,"preference","convert")</f>
        <v/>
      </c>
      <c r="I36">
        <f>IF((Assumptions!$B$34*Assumptions!$B$20)&gt;(IF((((Assumptions!$B$49))+Assumptions!$B$30*Assumptions!$B$21)/(((I32+I19+I13+I18+Assumptions!$B$38+Assumptions!$B$37+Assumptions!$B$36+Assumptions!$B$35))+Assumptions!$B$30)&gt;Assumptions!$B$21,(((Assumptions!$B$49))+Assumptions!$B$30*Assumptions!$B$21)/(((I32+I19+I13+I18+Assumptions!$B$38+Assumptions!$B$37+Assumptions!$B$36+Assumptions!$B$35))+Assumptions!$B$30),((Assumptions!$B$49))/((I32+I19+I13+I18+Assumptions!$B$38+Assumptions!$B$37+Assumptions!$B$36+Assumptions!$B$35))))*I19,"preference","convert")</f>
        <v/>
      </c>
      <c r="J36">
        <f>IF((Assumptions!$B$34*Assumptions!$B$20)&gt;(IF((((Assumptions!$B$49))+Assumptions!$B$30*Assumptions!$B$21)/(((J32+J19+J13+J18+Assumptions!$B$38+Assumptions!$B$37+Assumptions!$B$36+Assumptions!$B$35))+Assumptions!$B$30)&gt;Assumptions!$B$21,(((Assumptions!$B$49))+Assumptions!$B$30*Assumptions!$B$21)/(((J32+J19+J13+J18+Assumptions!$B$38+Assumptions!$B$37+Assumptions!$B$36+Assumptions!$B$35))+Assumptions!$B$30),((Assumptions!$B$49))/((J32+J19+J13+J18+Assumptions!$B$38+Assumptions!$B$37+Assumptions!$B$36+Assumptions!$B$35))))*J19,"preference","convert")</f>
        <v/>
      </c>
    </row>
    <row r="37">
      <c r="A37" t="inlineStr">
        <is>
          <t xml:space="preserve">  D</t>
        </is>
      </c>
      <c r="B37">
        <f>IF((Assumptions!$B$33*Assumptions!$B$19)&gt;(IF((((Assumptions!$B$49))+Assumptions!$B$30*Assumptions!$B$21)/(((B32+B18+B13+B19+Assumptions!$B$38+Assumptions!$B$37+Assumptions!$B$36+Assumptions!$B$35))+Assumptions!$B$30)&gt;Assumptions!$B$21,(((Assumptions!$B$49))+Assumptions!$B$30*Assumptions!$B$21)/(((B32+B18+B13+B19+Assumptions!$B$38+Assumptions!$B$37+Assumptions!$B$36+Assumptions!$B$35))+Assumptions!$B$30),((Assumptions!$B$49))/((B32+B18+B13+B19+Assumptions!$B$38+Assumptions!$B$37+Assumptions!$B$36+Assumptions!$B$35))))*B18,"preference","convert")</f>
        <v/>
      </c>
      <c r="C37">
        <f>IF((Assumptions!$B$33*Assumptions!$B$19)&gt;(IF((((Assumptions!$B$49))+Assumptions!$B$30*Assumptions!$B$21)/(((C32+C18+C13+C19+Assumptions!$B$38+Assumptions!$B$37+Assumptions!$B$36+Assumptions!$B$35))+Assumptions!$B$30)&gt;Assumptions!$B$21,(((Assumptions!$B$49))+Assumptions!$B$30*Assumptions!$B$21)/(((C32+C18+C13+C19+Assumptions!$B$38+Assumptions!$B$37+Assumptions!$B$36+Assumptions!$B$35))+Assumptions!$B$30),((Assumptions!$B$49))/((C32+C18+C13+C19+Assumptions!$B$38+Assumptions!$B$37+Assumptions!$B$36+Assumptions!$B$35))))*C18,"preference","convert")</f>
        <v/>
      </c>
      <c r="D37">
        <f>IF((Assumptions!$B$33*Assumptions!$B$19)&gt;(IF((((Assumptions!$B$49))+Assumptions!$B$30*Assumptions!$B$21)/(((D32+D18+D13+D19+Assumptions!$B$38+Assumptions!$B$37+Assumptions!$B$36+Assumptions!$B$35))+Assumptions!$B$30)&gt;Assumptions!$B$21,(((Assumptions!$B$49))+Assumptions!$B$30*Assumptions!$B$21)/(((D32+D18+D13+D19+Assumptions!$B$38+Assumptions!$B$37+Assumptions!$B$36+Assumptions!$B$35))+Assumptions!$B$30),((Assumptions!$B$49))/((D32+D18+D13+D19+Assumptions!$B$38+Assumptions!$B$37+Assumptions!$B$36+Assumptions!$B$35))))*D18,"preference","convert")</f>
        <v/>
      </c>
      <c r="E37">
        <f>IF((Assumptions!$B$33*Assumptions!$B$19)&gt;(IF((((Assumptions!$B$49))+Assumptions!$B$30*Assumptions!$B$21)/(((E32+E18+E13+E19+Assumptions!$B$38+Assumptions!$B$37+Assumptions!$B$36+Assumptions!$B$35))+Assumptions!$B$30)&gt;Assumptions!$B$21,(((Assumptions!$B$49))+Assumptions!$B$30*Assumptions!$B$21)/(((E32+E18+E13+E19+Assumptions!$B$38+Assumptions!$B$37+Assumptions!$B$36+Assumptions!$B$35))+Assumptions!$B$30),((Assumptions!$B$49))/((E32+E18+E13+E19+Assumptions!$B$38+Assumptions!$B$37+Assumptions!$B$36+Assumptions!$B$35))))*E18,"preference","convert")</f>
        <v/>
      </c>
      <c r="F37">
        <f>IF((Assumptions!$B$33*Assumptions!$B$19)&gt;(IF((((Assumptions!$B$49))+Assumptions!$B$30*Assumptions!$B$21)/(((F32+F18+F13+F19+Assumptions!$B$38+Assumptions!$B$37+Assumptions!$B$36+Assumptions!$B$35))+Assumptions!$B$30)&gt;Assumptions!$B$21,(((Assumptions!$B$49))+Assumptions!$B$30*Assumptions!$B$21)/(((F32+F18+F13+F19+Assumptions!$B$38+Assumptions!$B$37+Assumptions!$B$36+Assumptions!$B$35))+Assumptions!$B$30),((Assumptions!$B$49))/((F32+F18+F13+F19+Assumptions!$B$38+Assumptions!$B$37+Assumptions!$B$36+Assumptions!$B$35))))*F18,"preference","convert")</f>
        <v/>
      </c>
      <c r="G37">
        <f>IF((Assumptions!$B$33*Assumptions!$B$19)&gt;(IF((((Assumptions!$B$49))+Assumptions!$B$30*Assumptions!$B$21)/(((G32+G18+G13+G19+Assumptions!$B$38+Assumptions!$B$37+Assumptions!$B$36+Assumptions!$B$35))+Assumptions!$B$30)&gt;Assumptions!$B$21,(((Assumptions!$B$49))+Assumptions!$B$30*Assumptions!$B$21)/(((G32+G18+G13+G19+Assumptions!$B$38+Assumptions!$B$37+Assumptions!$B$36+Assumptions!$B$35))+Assumptions!$B$30),((Assumptions!$B$49))/((G32+G18+G13+G19+Assumptions!$B$38+Assumptions!$B$37+Assumptions!$B$36+Assumptions!$B$35))))*G18,"preference","convert")</f>
        <v/>
      </c>
      <c r="H37">
        <f>IF((Assumptions!$B$33*Assumptions!$B$19)&gt;(IF((((Assumptions!$B$49))+Assumptions!$B$30*Assumptions!$B$21)/(((H32+H18+H13+H19+Assumptions!$B$38+Assumptions!$B$37+Assumptions!$B$36+Assumptions!$B$35))+Assumptions!$B$30)&gt;Assumptions!$B$21,(((Assumptions!$B$49))+Assumptions!$B$30*Assumptions!$B$21)/(((H32+H18+H13+H19+Assumptions!$B$38+Assumptions!$B$37+Assumptions!$B$36+Assumptions!$B$35))+Assumptions!$B$30),((Assumptions!$B$49))/((H32+H18+H13+H19+Assumptions!$B$38+Assumptions!$B$37+Assumptions!$B$36+Assumptions!$B$35))))*H18,"preference","convert")</f>
        <v/>
      </c>
      <c r="I37">
        <f>IF((Assumptions!$B$33*Assumptions!$B$19)&gt;(IF((((Assumptions!$B$49))+Assumptions!$B$30*Assumptions!$B$21)/(((I32+I18+I13+I19+Assumptions!$B$38+Assumptions!$B$37+Assumptions!$B$36+Assumptions!$B$35))+Assumptions!$B$30)&gt;Assumptions!$B$21,(((Assumptions!$B$49))+Assumptions!$B$30*Assumptions!$B$21)/(((I32+I18+I13+I19+Assumptions!$B$38+Assumptions!$B$37+Assumptions!$B$36+Assumptions!$B$35))+Assumptions!$B$30),((Assumptions!$B$49))/((I32+I18+I13+I19+Assumptions!$B$38+Assumptions!$B$37+Assumptions!$B$36+Assumptions!$B$35))))*I18,"preference","convert")</f>
        <v/>
      </c>
      <c r="J37">
        <f>IF((Assumptions!$B$33*Assumptions!$B$19)&gt;(IF((((Assumptions!$B$49))+Assumptions!$B$30*Assumptions!$B$21)/(((J32+J18+J13+J19+Assumptions!$B$38+Assumptions!$B$37+Assumptions!$B$36+Assumptions!$B$35))+Assumptions!$B$30)&gt;Assumptions!$B$21,(((Assumptions!$B$49))+Assumptions!$B$30*Assumptions!$B$21)/(((J32+J18+J13+J19+Assumptions!$B$38+Assumptions!$B$37+Assumptions!$B$36+Assumptions!$B$35))+Assumptions!$B$30),((Assumptions!$B$49))/((J32+J18+J13+J19+Assumptions!$B$38+Assumptions!$B$37+Assumptions!$B$36+Assumptions!$B$35))))*J18,"preference","convert")</f>
        <v/>
      </c>
    </row>
    <row r="38">
      <c r="A38" t="inlineStr">
        <is>
          <t xml:space="preserve">  C</t>
        </is>
      </c>
      <c r="B38">
        <f>IF((Assumptions!$B$38*Assumptions!$B$17)&gt;(IF((((Assumptions!$B$49))+Assumptions!$B$30*Assumptions!$B$21)/(((B32+Assumptions!$B$38+B13+B19+B18+Assumptions!$B$37+Assumptions!$B$36+Assumptions!$B$35))+Assumptions!$B$30)&gt;Assumptions!$B$21,(((Assumptions!$B$49))+Assumptions!$B$30*Assumptions!$B$21)/(((B32+Assumptions!$B$38+B13+B19+B18+Assumptions!$B$37+Assumptions!$B$36+Assumptions!$B$35))+Assumptions!$B$30),((Assumptions!$B$49))/((B32+Assumptions!$B$38+B13+B19+B18+Assumptions!$B$37+Assumptions!$B$36+Assumptions!$B$35))))*Assumptions!$B$38,"preference","convert")</f>
        <v/>
      </c>
      <c r="C38">
        <f>IF((Assumptions!$B$38*Assumptions!$B$17)&gt;(IF((((Assumptions!$B$49))+Assumptions!$B$30*Assumptions!$B$21)/(((C32+Assumptions!$B$38+C13+C19+C18+Assumptions!$B$37+Assumptions!$B$36+Assumptions!$B$35))+Assumptions!$B$30)&gt;Assumptions!$B$21,(((Assumptions!$B$49))+Assumptions!$B$30*Assumptions!$B$21)/(((C32+Assumptions!$B$38+C13+C19+C18+Assumptions!$B$37+Assumptions!$B$36+Assumptions!$B$35))+Assumptions!$B$30),((Assumptions!$B$49))/((C32+Assumptions!$B$38+C13+C19+C18+Assumptions!$B$37+Assumptions!$B$36+Assumptions!$B$35))))*Assumptions!$B$38,"preference","convert")</f>
        <v/>
      </c>
      <c r="D38">
        <f>IF((Assumptions!$B$38*Assumptions!$B$17)&gt;(IF((((Assumptions!$B$49))+Assumptions!$B$30*Assumptions!$B$21)/(((D32+Assumptions!$B$38+D13+D19+D18+Assumptions!$B$37+Assumptions!$B$36+Assumptions!$B$35))+Assumptions!$B$30)&gt;Assumptions!$B$21,(((Assumptions!$B$49))+Assumptions!$B$30*Assumptions!$B$21)/(((D32+Assumptions!$B$38+D13+D19+D18+Assumptions!$B$37+Assumptions!$B$36+Assumptions!$B$35))+Assumptions!$B$30),((Assumptions!$B$49))/((D32+Assumptions!$B$38+D13+D19+D18+Assumptions!$B$37+Assumptions!$B$36+Assumptions!$B$35))))*Assumptions!$B$38,"preference","convert")</f>
        <v/>
      </c>
      <c r="E38">
        <f>IF((Assumptions!$B$38*Assumptions!$B$17)&gt;(IF((((Assumptions!$B$49))+Assumptions!$B$30*Assumptions!$B$21)/(((E32+Assumptions!$B$38+E13+E19+E18+Assumptions!$B$37+Assumptions!$B$36+Assumptions!$B$35))+Assumptions!$B$30)&gt;Assumptions!$B$21,(((Assumptions!$B$49))+Assumptions!$B$30*Assumptions!$B$21)/(((E32+Assumptions!$B$38+E13+E19+E18+Assumptions!$B$37+Assumptions!$B$36+Assumptions!$B$35))+Assumptions!$B$30),((Assumptions!$B$49))/((E32+Assumptions!$B$38+E13+E19+E18+Assumptions!$B$37+Assumptions!$B$36+Assumptions!$B$35))))*Assumptions!$B$38,"preference","convert")</f>
        <v/>
      </c>
      <c r="F38">
        <f>IF((Assumptions!$B$38*Assumptions!$B$17)&gt;(IF((((Assumptions!$B$49))+Assumptions!$B$30*Assumptions!$B$21)/(((F32+Assumptions!$B$38+F13+F19+F18+Assumptions!$B$37+Assumptions!$B$36+Assumptions!$B$35))+Assumptions!$B$30)&gt;Assumptions!$B$21,(((Assumptions!$B$49))+Assumptions!$B$30*Assumptions!$B$21)/(((F32+Assumptions!$B$38+F13+F19+F18+Assumptions!$B$37+Assumptions!$B$36+Assumptions!$B$35))+Assumptions!$B$30),((Assumptions!$B$49))/((F32+Assumptions!$B$38+F13+F19+F18+Assumptions!$B$37+Assumptions!$B$36+Assumptions!$B$35))))*Assumptions!$B$38,"preference","convert")</f>
        <v/>
      </c>
      <c r="G38">
        <f>IF((Assumptions!$B$38*Assumptions!$B$17)&gt;(IF((((Assumptions!$B$49))+Assumptions!$B$30*Assumptions!$B$21)/(((G32+Assumptions!$B$38+G13+G19+G18+Assumptions!$B$37+Assumptions!$B$36+Assumptions!$B$35))+Assumptions!$B$30)&gt;Assumptions!$B$21,(((Assumptions!$B$49))+Assumptions!$B$30*Assumptions!$B$21)/(((G32+Assumptions!$B$38+G13+G19+G18+Assumptions!$B$37+Assumptions!$B$36+Assumptions!$B$35))+Assumptions!$B$30),((Assumptions!$B$49))/((G32+Assumptions!$B$38+G13+G19+G18+Assumptions!$B$37+Assumptions!$B$36+Assumptions!$B$35))))*Assumptions!$B$38,"preference","convert")</f>
        <v/>
      </c>
      <c r="H38">
        <f>IF((Assumptions!$B$38*Assumptions!$B$17)&gt;(IF((((Assumptions!$B$49))+Assumptions!$B$30*Assumptions!$B$21)/(((H32+Assumptions!$B$38+H13+H19+H18+Assumptions!$B$37+Assumptions!$B$36+Assumptions!$B$35))+Assumptions!$B$30)&gt;Assumptions!$B$21,(((Assumptions!$B$49))+Assumptions!$B$30*Assumptions!$B$21)/(((H32+Assumptions!$B$38+H13+H19+H18+Assumptions!$B$37+Assumptions!$B$36+Assumptions!$B$35))+Assumptions!$B$30),((Assumptions!$B$49))/((H32+Assumptions!$B$38+H13+H19+H18+Assumptions!$B$37+Assumptions!$B$36+Assumptions!$B$35))))*Assumptions!$B$38,"preference","convert")</f>
        <v/>
      </c>
      <c r="I38">
        <f>IF((Assumptions!$B$38*Assumptions!$B$17)&gt;(IF((((Assumptions!$B$49))+Assumptions!$B$30*Assumptions!$B$21)/(((I32+Assumptions!$B$38+I13+I19+I18+Assumptions!$B$37+Assumptions!$B$36+Assumptions!$B$35))+Assumptions!$B$30)&gt;Assumptions!$B$21,(((Assumptions!$B$49))+Assumptions!$B$30*Assumptions!$B$21)/(((I32+Assumptions!$B$38+I13+I19+I18+Assumptions!$B$37+Assumptions!$B$36+Assumptions!$B$35))+Assumptions!$B$30),((Assumptions!$B$49))/((I32+Assumptions!$B$38+I13+I19+I18+Assumptions!$B$37+Assumptions!$B$36+Assumptions!$B$35))))*Assumptions!$B$38,"preference","convert")</f>
        <v/>
      </c>
      <c r="J38">
        <f>IF((Assumptions!$B$38*Assumptions!$B$17)&gt;(IF((((Assumptions!$B$49))+Assumptions!$B$30*Assumptions!$B$21)/(((J32+Assumptions!$B$38+J13+J19+J18+Assumptions!$B$37+Assumptions!$B$36+Assumptions!$B$35))+Assumptions!$B$30)&gt;Assumptions!$B$21,(((Assumptions!$B$49))+Assumptions!$B$30*Assumptions!$B$21)/(((J32+Assumptions!$B$38+J13+J19+J18+Assumptions!$B$37+Assumptions!$B$36+Assumptions!$B$35))+Assumptions!$B$30),((Assumptions!$B$49))/((J32+Assumptions!$B$38+J13+J19+J18+Assumptions!$B$37+Assumptions!$B$36+Assumptions!$B$35))))*Assumptions!$B$38,"preference","convert")</f>
        <v/>
      </c>
    </row>
    <row r="39">
      <c r="A39" t="inlineStr">
        <is>
          <t xml:space="preserve">  B</t>
        </is>
      </c>
      <c r="B39">
        <f>IF((Assumptions!$B$37*Assumptions!$B$16)&gt;(IF((((Assumptions!$B$49))+Assumptions!$B$30*Assumptions!$B$21)/(((B32+Assumptions!$B$37+B13+B19+B18+Assumptions!$B$38+Assumptions!$B$36+Assumptions!$B$35))+Assumptions!$B$30)&gt;Assumptions!$B$21,(((Assumptions!$B$49))+Assumptions!$B$30*Assumptions!$B$21)/(((B32+Assumptions!$B$37+B13+B19+B18+Assumptions!$B$38+Assumptions!$B$36+Assumptions!$B$35))+Assumptions!$B$30),((Assumptions!$B$49))/((B32+Assumptions!$B$37+B13+B19+B18+Assumptions!$B$38+Assumptions!$B$36+Assumptions!$B$35))))*Assumptions!$B$37,"preference","convert")</f>
        <v/>
      </c>
      <c r="C39">
        <f>IF((Assumptions!$B$37*Assumptions!$B$16)&gt;(IF((((Assumptions!$B$49))+Assumptions!$B$30*Assumptions!$B$21)/(((C32+Assumptions!$B$37+C13+C19+C18+Assumptions!$B$38+Assumptions!$B$36+Assumptions!$B$35))+Assumptions!$B$30)&gt;Assumptions!$B$21,(((Assumptions!$B$49))+Assumptions!$B$30*Assumptions!$B$21)/(((C32+Assumptions!$B$37+C13+C19+C18+Assumptions!$B$38+Assumptions!$B$36+Assumptions!$B$35))+Assumptions!$B$30),((Assumptions!$B$49))/((C32+Assumptions!$B$37+C13+C19+C18+Assumptions!$B$38+Assumptions!$B$36+Assumptions!$B$35))))*Assumptions!$B$37,"preference","convert")</f>
        <v/>
      </c>
      <c r="D39">
        <f>IF((Assumptions!$B$37*Assumptions!$B$16)&gt;(IF((((Assumptions!$B$49))+Assumptions!$B$30*Assumptions!$B$21)/(((D32+Assumptions!$B$37+D13+D19+D18+Assumptions!$B$38+Assumptions!$B$36+Assumptions!$B$35))+Assumptions!$B$30)&gt;Assumptions!$B$21,(((Assumptions!$B$49))+Assumptions!$B$30*Assumptions!$B$21)/(((D32+Assumptions!$B$37+D13+D19+D18+Assumptions!$B$38+Assumptions!$B$36+Assumptions!$B$35))+Assumptions!$B$30),((Assumptions!$B$49))/((D32+Assumptions!$B$37+D13+D19+D18+Assumptions!$B$38+Assumptions!$B$36+Assumptions!$B$35))))*Assumptions!$B$37,"preference","convert")</f>
        <v/>
      </c>
      <c r="E39">
        <f>IF((Assumptions!$B$37*Assumptions!$B$16)&gt;(IF((((Assumptions!$B$49))+Assumptions!$B$30*Assumptions!$B$21)/(((E32+Assumptions!$B$37+E13+E19+E18+Assumptions!$B$38+Assumptions!$B$36+Assumptions!$B$35))+Assumptions!$B$30)&gt;Assumptions!$B$21,(((Assumptions!$B$49))+Assumptions!$B$30*Assumptions!$B$21)/(((E32+Assumptions!$B$37+E13+E19+E18+Assumptions!$B$38+Assumptions!$B$36+Assumptions!$B$35))+Assumptions!$B$30),((Assumptions!$B$49))/((E32+Assumptions!$B$37+E13+E19+E18+Assumptions!$B$38+Assumptions!$B$36+Assumptions!$B$35))))*Assumptions!$B$37,"preference","convert")</f>
        <v/>
      </c>
      <c r="F39">
        <f>IF((Assumptions!$B$37*Assumptions!$B$16)&gt;(IF((((Assumptions!$B$49))+Assumptions!$B$30*Assumptions!$B$21)/(((F32+Assumptions!$B$37+F13+F19+F18+Assumptions!$B$38+Assumptions!$B$36+Assumptions!$B$35))+Assumptions!$B$30)&gt;Assumptions!$B$21,(((Assumptions!$B$49))+Assumptions!$B$30*Assumptions!$B$21)/(((F32+Assumptions!$B$37+F13+F19+F18+Assumptions!$B$38+Assumptions!$B$36+Assumptions!$B$35))+Assumptions!$B$30),((Assumptions!$B$49))/((F32+Assumptions!$B$37+F13+F19+F18+Assumptions!$B$38+Assumptions!$B$36+Assumptions!$B$35))))*Assumptions!$B$37,"preference","convert")</f>
        <v/>
      </c>
      <c r="G39">
        <f>IF((Assumptions!$B$37*Assumptions!$B$16)&gt;(IF((((Assumptions!$B$49))+Assumptions!$B$30*Assumptions!$B$21)/(((G32+Assumptions!$B$37+G13+G19+G18+Assumptions!$B$38+Assumptions!$B$36+Assumptions!$B$35))+Assumptions!$B$30)&gt;Assumptions!$B$21,(((Assumptions!$B$49))+Assumptions!$B$30*Assumptions!$B$21)/(((G32+Assumptions!$B$37+G13+G19+G18+Assumptions!$B$38+Assumptions!$B$36+Assumptions!$B$35))+Assumptions!$B$30),((Assumptions!$B$49))/((G32+Assumptions!$B$37+G13+G19+G18+Assumptions!$B$38+Assumptions!$B$36+Assumptions!$B$35))))*Assumptions!$B$37,"preference","convert")</f>
        <v/>
      </c>
      <c r="H39">
        <f>IF((Assumptions!$B$37*Assumptions!$B$16)&gt;(IF((((Assumptions!$B$49))+Assumptions!$B$30*Assumptions!$B$21)/(((H32+Assumptions!$B$37+H13+H19+H18+Assumptions!$B$38+Assumptions!$B$36+Assumptions!$B$35))+Assumptions!$B$30)&gt;Assumptions!$B$21,(((Assumptions!$B$49))+Assumptions!$B$30*Assumptions!$B$21)/(((H32+Assumptions!$B$37+H13+H19+H18+Assumptions!$B$38+Assumptions!$B$36+Assumptions!$B$35))+Assumptions!$B$30),((Assumptions!$B$49))/((H32+Assumptions!$B$37+H13+H19+H18+Assumptions!$B$38+Assumptions!$B$36+Assumptions!$B$35))))*Assumptions!$B$37,"preference","convert")</f>
        <v/>
      </c>
      <c r="I39">
        <f>IF((Assumptions!$B$37*Assumptions!$B$16)&gt;(IF((((Assumptions!$B$49))+Assumptions!$B$30*Assumptions!$B$21)/(((I32+Assumptions!$B$37+I13+I19+I18+Assumptions!$B$38+Assumptions!$B$36+Assumptions!$B$35))+Assumptions!$B$30)&gt;Assumptions!$B$21,(((Assumptions!$B$49))+Assumptions!$B$30*Assumptions!$B$21)/(((I32+Assumptions!$B$37+I13+I19+I18+Assumptions!$B$38+Assumptions!$B$36+Assumptions!$B$35))+Assumptions!$B$30),((Assumptions!$B$49))/((I32+Assumptions!$B$37+I13+I19+I18+Assumptions!$B$38+Assumptions!$B$36+Assumptions!$B$35))))*Assumptions!$B$37,"preference","convert")</f>
        <v/>
      </c>
      <c r="J39">
        <f>IF((Assumptions!$B$37*Assumptions!$B$16)&gt;(IF((((Assumptions!$B$49))+Assumptions!$B$30*Assumptions!$B$21)/(((J32+Assumptions!$B$37+J13+J19+J18+Assumptions!$B$38+Assumptions!$B$36+Assumptions!$B$35))+Assumptions!$B$30)&gt;Assumptions!$B$21,(((Assumptions!$B$49))+Assumptions!$B$30*Assumptions!$B$21)/(((J32+Assumptions!$B$37+J13+J19+J18+Assumptions!$B$38+Assumptions!$B$36+Assumptions!$B$35))+Assumptions!$B$30),((Assumptions!$B$49))/((J32+Assumptions!$B$37+J13+J19+J18+Assumptions!$B$38+Assumptions!$B$36+Assumptions!$B$35))))*Assumptions!$B$37,"preference","convert")</f>
        <v/>
      </c>
    </row>
    <row r="40">
      <c r="A40" t="inlineStr">
        <is>
          <t xml:space="preserve">  A</t>
        </is>
      </c>
      <c r="B40">
        <f>IF((Assumptions!$B$36*Assumptions!$B$15)&gt;(IF((((Assumptions!$B$49))+Assumptions!$B$30*Assumptions!$B$21)/(((B32+Assumptions!$B$36+B13+B19+B18+Assumptions!$B$38+Assumptions!$B$37+Assumptions!$B$35))+Assumptions!$B$30)&gt;Assumptions!$B$21,(((Assumptions!$B$49))+Assumptions!$B$30*Assumptions!$B$21)/(((B32+Assumptions!$B$36+B13+B19+B18+Assumptions!$B$38+Assumptions!$B$37+Assumptions!$B$35))+Assumptions!$B$30),((Assumptions!$B$49))/((B32+Assumptions!$B$36+B13+B19+B18+Assumptions!$B$38+Assumptions!$B$37+Assumptions!$B$35))))*Assumptions!$B$36,"preference","convert")</f>
        <v/>
      </c>
      <c r="C40">
        <f>IF((Assumptions!$B$36*Assumptions!$B$15)&gt;(IF((((Assumptions!$B$49))+Assumptions!$B$30*Assumptions!$B$21)/(((C32+Assumptions!$B$36+C13+C19+C18+Assumptions!$B$38+Assumptions!$B$37+Assumptions!$B$35))+Assumptions!$B$30)&gt;Assumptions!$B$21,(((Assumptions!$B$49))+Assumptions!$B$30*Assumptions!$B$21)/(((C32+Assumptions!$B$36+C13+C19+C18+Assumptions!$B$38+Assumptions!$B$37+Assumptions!$B$35))+Assumptions!$B$30),((Assumptions!$B$49))/((C32+Assumptions!$B$36+C13+C19+C18+Assumptions!$B$38+Assumptions!$B$37+Assumptions!$B$35))))*Assumptions!$B$36,"preference","convert")</f>
        <v/>
      </c>
      <c r="D40">
        <f>IF((Assumptions!$B$36*Assumptions!$B$15)&gt;(IF((((Assumptions!$B$49))+Assumptions!$B$30*Assumptions!$B$21)/(((D32+Assumptions!$B$36+D13+D19+D18+Assumptions!$B$38+Assumptions!$B$37+Assumptions!$B$35))+Assumptions!$B$30)&gt;Assumptions!$B$21,(((Assumptions!$B$49))+Assumptions!$B$30*Assumptions!$B$21)/(((D32+Assumptions!$B$36+D13+D19+D18+Assumptions!$B$38+Assumptions!$B$37+Assumptions!$B$35))+Assumptions!$B$30),((Assumptions!$B$49))/((D32+Assumptions!$B$36+D13+D19+D18+Assumptions!$B$38+Assumptions!$B$37+Assumptions!$B$35))))*Assumptions!$B$36,"preference","convert")</f>
        <v/>
      </c>
      <c r="E40">
        <f>IF((Assumptions!$B$36*Assumptions!$B$15)&gt;(IF((((Assumptions!$B$49))+Assumptions!$B$30*Assumptions!$B$21)/(((E32+Assumptions!$B$36+E13+E19+E18+Assumptions!$B$38+Assumptions!$B$37+Assumptions!$B$35))+Assumptions!$B$30)&gt;Assumptions!$B$21,(((Assumptions!$B$49))+Assumptions!$B$30*Assumptions!$B$21)/(((E32+Assumptions!$B$36+E13+E19+E18+Assumptions!$B$38+Assumptions!$B$37+Assumptions!$B$35))+Assumptions!$B$30),((Assumptions!$B$49))/((E32+Assumptions!$B$36+E13+E19+E18+Assumptions!$B$38+Assumptions!$B$37+Assumptions!$B$35))))*Assumptions!$B$36,"preference","convert")</f>
        <v/>
      </c>
      <c r="F40">
        <f>IF((Assumptions!$B$36*Assumptions!$B$15)&gt;(IF((((Assumptions!$B$49))+Assumptions!$B$30*Assumptions!$B$21)/(((F32+Assumptions!$B$36+F13+F19+F18+Assumptions!$B$38+Assumptions!$B$37+Assumptions!$B$35))+Assumptions!$B$30)&gt;Assumptions!$B$21,(((Assumptions!$B$49))+Assumptions!$B$30*Assumptions!$B$21)/(((F32+Assumptions!$B$36+F13+F19+F18+Assumptions!$B$38+Assumptions!$B$37+Assumptions!$B$35))+Assumptions!$B$30),((Assumptions!$B$49))/((F32+Assumptions!$B$36+F13+F19+F18+Assumptions!$B$38+Assumptions!$B$37+Assumptions!$B$35))))*Assumptions!$B$36,"preference","convert")</f>
        <v/>
      </c>
      <c r="G40">
        <f>IF((Assumptions!$B$36*Assumptions!$B$15)&gt;(IF((((Assumptions!$B$49))+Assumptions!$B$30*Assumptions!$B$21)/(((G32+Assumptions!$B$36+G13+G19+G18+Assumptions!$B$38+Assumptions!$B$37+Assumptions!$B$35))+Assumptions!$B$30)&gt;Assumptions!$B$21,(((Assumptions!$B$49))+Assumptions!$B$30*Assumptions!$B$21)/(((G32+Assumptions!$B$36+G13+G19+G18+Assumptions!$B$38+Assumptions!$B$37+Assumptions!$B$35))+Assumptions!$B$30),((Assumptions!$B$49))/((G32+Assumptions!$B$36+G13+G19+G18+Assumptions!$B$38+Assumptions!$B$37+Assumptions!$B$35))))*Assumptions!$B$36,"preference","convert")</f>
        <v/>
      </c>
      <c r="H40">
        <f>IF((Assumptions!$B$36*Assumptions!$B$15)&gt;(IF((((Assumptions!$B$49))+Assumptions!$B$30*Assumptions!$B$21)/(((H32+Assumptions!$B$36+H13+H19+H18+Assumptions!$B$38+Assumptions!$B$37+Assumptions!$B$35))+Assumptions!$B$30)&gt;Assumptions!$B$21,(((Assumptions!$B$49))+Assumptions!$B$30*Assumptions!$B$21)/(((H32+Assumptions!$B$36+H13+H19+H18+Assumptions!$B$38+Assumptions!$B$37+Assumptions!$B$35))+Assumptions!$B$30),((Assumptions!$B$49))/((H32+Assumptions!$B$36+H13+H19+H18+Assumptions!$B$38+Assumptions!$B$37+Assumptions!$B$35))))*Assumptions!$B$36,"preference","convert")</f>
        <v/>
      </c>
      <c r="I40">
        <f>IF((Assumptions!$B$36*Assumptions!$B$15)&gt;(IF((((Assumptions!$B$49))+Assumptions!$B$30*Assumptions!$B$21)/(((I32+Assumptions!$B$36+I13+I19+I18+Assumptions!$B$38+Assumptions!$B$37+Assumptions!$B$35))+Assumptions!$B$30)&gt;Assumptions!$B$21,(((Assumptions!$B$49))+Assumptions!$B$30*Assumptions!$B$21)/(((I32+Assumptions!$B$36+I13+I19+I18+Assumptions!$B$38+Assumptions!$B$37+Assumptions!$B$35))+Assumptions!$B$30),((Assumptions!$B$49))/((I32+Assumptions!$B$36+I13+I19+I18+Assumptions!$B$38+Assumptions!$B$37+Assumptions!$B$35))))*Assumptions!$B$36,"preference","convert")</f>
        <v/>
      </c>
      <c r="J40">
        <f>IF((Assumptions!$B$36*Assumptions!$B$15)&gt;(IF((((Assumptions!$B$49))+Assumptions!$B$30*Assumptions!$B$21)/(((J32+Assumptions!$B$36+J13+J19+J18+Assumptions!$B$38+Assumptions!$B$37+Assumptions!$B$35))+Assumptions!$B$30)&gt;Assumptions!$B$21,(((Assumptions!$B$49))+Assumptions!$B$30*Assumptions!$B$21)/(((J32+Assumptions!$B$36+J13+J19+J18+Assumptions!$B$38+Assumptions!$B$37+Assumptions!$B$35))+Assumptions!$B$30),((Assumptions!$B$49))/((J32+Assumptions!$B$36+J13+J19+J18+Assumptions!$B$38+Assumptions!$B$37+Assumptions!$B$35))))*Assumptions!$B$36,"preference","convert")</f>
        <v/>
      </c>
    </row>
    <row r="41">
      <c r="A41" t="inlineStr">
        <is>
          <t xml:space="preserve">  Seed</t>
        </is>
      </c>
      <c r="B41">
        <f>IF((Assumptions!$B$35*Assumptions!$B$14)&gt;(IF((((Assumptions!$B$49))+Assumptions!$B$30*Assumptions!$B$21)/(((B32+Assumptions!$B$35+B13+B19+B18+Assumptions!$B$38+Assumptions!$B$37+Assumptions!$B$36))+Assumptions!$B$30)&gt;Assumptions!$B$21,(((Assumptions!$B$49))+Assumptions!$B$30*Assumptions!$B$21)/(((B32+Assumptions!$B$35+B13+B19+B18+Assumptions!$B$38+Assumptions!$B$37+Assumptions!$B$36))+Assumptions!$B$30),((Assumptions!$B$49))/((B32+Assumptions!$B$35+B13+B19+B18+Assumptions!$B$38+Assumptions!$B$37+Assumptions!$B$36))))*Assumptions!$B$35,"preference","convert")</f>
        <v/>
      </c>
      <c r="C41">
        <f>IF((Assumptions!$B$35*Assumptions!$B$14)&gt;(IF((((Assumptions!$B$49))+Assumptions!$B$30*Assumptions!$B$21)/(((C32+Assumptions!$B$35+C13+C19+C18+Assumptions!$B$38+Assumptions!$B$37+Assumptions!$B$36))+Assumptions!$B$30)&gt;Assumptions!$B$21,(((Assumptions!$B$49))+Assumptions!$B$30*Assumptions!$B$21)/(((C32+Assumptions!$B$35+C13+C19+C18+Assumptions!$B$38+Assumptions!$B$37+Assumptions!$B$36))+Assumptions!$B$30),((Assumptions!$B$49))/((C32+Assumptions!$B$35+C13+C19+C18+Assumptions!$B$38+Assumptions!$B$37+Assumptions!$B$36))))*Assumptions!$B$35,"preference","convert")</f>
        <v/>
      </c>
      <c r="D41">
        <f>IF((Assumptions!$B$35*Assumptions!$B$14)&gt;(IF((((Assumptions!$B$49))+Assumptions!$B$30*Assumptions!$B$21)/(((D32+Assumptions!$B$35+D13+D19+D18+Assumptions!$B$38+Assumptions!$B$37+Assumptions!$B$36))+Assumptions!$B$30)&gt;Assumptions!$B$21,(((Assumptions!$B$49))+Assumptions!$B$30*Assumptions!$B$21)/(((D32+Assumptions!$B$35+D13+D19+D18+Assumptions!$B$38+Assumptions!$B$37+Assumptions!$B$36))+Assumptions!$B$30),((Assumptions!$B$49))/((D32+Assumptions!$B$35+D13+D19+D18+Assumptions!$B$38+Assumptions!$B$37+Assumptions!$B$36))))*Assumptions!$B$35,"preference","convert")</f>
        <v/>
      </c>
      <c r="E41">
        <f>IF((Assumptions!$B$35*Assumptions!$B$14)&gt;(IF((((Assumptions!$B$49))+Assumptions!$B$30*Assumptions!$B$21)/(((E32+Assumptions!$B$35+E13+E19+E18+Assumptions!$B$38+Assumptions!$B$37+Assumptions!$B$36))+Assumptions!$B$30)&gt;Assumptions!$B$21,(((Assumptions!$B$49))+Assumptions!$B$30*Assumptions!$B$21)/(((E32+Assumptions!$B$35+E13+E19+E18+Assumptions!$B$38+Assumptions!$B$37+Assumptions!$B$36))+Assumptions!$B$30),((Assumptions!$B$49))/((E32+Assumptions!$B$35+E13+E19+E18+Assumptions!$B$38+Assumptions!$B$37+Assumptions!$B$36))))*Assumptions!$B$35,"preference","convert")</f>
        <v/>
      </c>
      <c r="F41">
        <f>IF((Assumptions!$B$35*Assumptions!$B$14)&gt;(IF((((Assumptions!$B$49))+Assumptions!$B$30*Assumptions!$B$21)/(((F32+Assumptions!$B$35+F13+F19+F18+Assumptions!$B$38+Assumptions!$B$37+Assumptions!$B$36))+Assumptions!$B$30)&gt;Assumptions!$B$21,(((Assumptions!$B$49))+Assumptions!$B$30*Assumptions!$B$21)/(((F32+Assumptions!$B$35+F13+F19+F18+Assumptions!$B$38+Assumptions!$B$37+Assumptions!$B$36))+Assumptions!$B$30),((Assumptions!$B$49))/((F32+Assumptions!$B$35+F13+F19+F18+Assumptions!$B$38+Assumptions!$B$37+Assumptions!$B$36))))*Assumptions!$B$35,"preference","convert")</f>
        <v/>
      </c>
      <c r="G41">
        <f>IF((Assumptions!$B$35*Assumptions!$B$14)&gt;(IF((((Assumptions!$B$49))+Assumptions!$B$30*Assumptions!$B$21)/(((G32+Assumptions!$B$35+G13+G19+G18+Assumptions!$B$38+Assumptions!$B$37+Assumptions!$B$36))+Assumptions!$B$30)&gt;Assumptions!$B$21,(((Assumptions!$B$49))+Assumptions!$B$30*Assumptions!$B$21)/(((G32+Assumptions!$B$35+G13+G19+G18+Assumptions!$B$38+Assumptions!$B$37+Assumptions!$B$36))+Assumptions!$B$30),((Assumptions!$B$49))/((G32+Assumptions!$B$35+G13+G19+G18+Assumptions!$B$38+Assumptions!$B$37+Assumptions!$B$36))))*Assumptions!$B$35,"preference","convert")</f>
        <v/>
      </c>
      <c r="H41">
        <f>IF((Assumptions!$B$35*Assumptions!$B$14)&gt;(IF((((Assumptions!$B$49))+Assumptions!$B$30*Assumptions!$B$21)/(((H32+Assumptions!$B$35+H13+H19+H18+Assumptions!$B$38+Assumptions!$B$37+Assumptions!$B$36))+Assumptions!$B$30)&gt;Assumptions!$B$21,(((Assumptions!$B$49))+Assumptions!$B$30*Assumptions!$B$21)/(((H32+Assumptions!$B$35+H13+H19+H18+Assumptions!$B$38+Assumptions!$B$37+Assumptions!$B$36))+Assumptions!$B$30),((Assumptions!$B$49))/((H32+Assumptions!$B$35+H13+H19+H18+Assumptions!$B$38+Assumptions!$B$37+Assumptions!$B$36))))*Assumptions!$B$35,"preference","convert")</f>
        <v/>
      </c>
      <c r="I41">
        <f>IF((Assumptions!$B$35*Assumptions!$B$14)&gt;(IF((((Assumptions!$B$49))+Assumptions!$B$30*Assumptions!$B$21)/(((I32+Assumptions!$B$35+I13+I19+I18+Assumptions!$B$38+Assumptions!$B$37+Assumptions!$B$36))+Assumptions!$B$30)&gt;Assumptions!$B$21,(((Assumptions!$B$49))+Assumptions!$B$30*Assumptions!$B$21)/(((I32+Assumptions!$B$35+I13+I19+I18+Assumptions!$B$38+Assumptions!$B$37+Assumptions!$B$36))+Assumptions!$B$30),((Assumptions!$B$49))/((I32+Assumptions!$B$35+I13+I19+I18+Assumptions!$B$38+Assumptions!$B$37+Assumptions!$B$36))))*Assumptions!$B$35,"preference","convert")</f>
        <v/>
      </c>
      <c r="J41">
        <f>IF((Assumptions!$B$35*Assumptions!$B$14)&gt;(IF((((Assumptions!$B$49))+Assumptions!$B$30*Assumptions!$B$21)/(((J32+Assumptions!$B$35+J13+J19+J18+Assumptions!$B$38+Assumptions!$B$37+Assumptions!$B$36))+Assumptions!$B$30)&gt;Assumptions!$B$21,(((Assumptions!$B$49))+Assumptions!$B$30*Assumptions!$B$21)/(((J32+Assumptions!$B$35+J13+J19+J18+Assumptions!$B$38+Assumptions!$B$37+Assumptions!$B$36))+Assumptions!$B$30),((Assumptions!$B$49))/((J32+Assumptions!$B$35+J13+J19+J18+Assumptions!$B$38+Assumptions!$B$37+Assumptions!$B$36))))*Assumptions!$B$35,"preference","convert")</f>
        <v/>
      </c>
    </row>
    <row r="42">
      <c r="A42" s="5" t="inlineStr">
        <is>
          <t>PASS 2 ELECTIONS @ $2B</t>
        </is>
      </c>
    </row>
    <row r="43">
      <c r="A43" t="inlineStr">
        <is>
          <t xml:space="preserve">  F</t>
        </is>
      </c>
      <c r="B43">
        <f>IF(Assumptions!$B$3&gt;(IF((((Assumptions!$B$49-(IF(B36="preference",(Assumptions!$B$34*Assumptions!$B$20),0)+IF(B37="preference",(Assumptions!$B$33*Assumptions!$B$19),0)+IF(B38="preference",(Assumptions!$B$38*Assumptions!$B$17),0)+IF(B39="preference",(Assumptions!$B$37*Assumptions!$B$16),0)+IF(B40="preference",(Assumptions!$B$36*Assumptions!$B$15),0)+IF(B41="preference",(Assumptions!$B$35*Assumptions!$B$14),0))))+Assumptions!$B$30*Assumptions!$B$21)/(((B32+B13+(IF(B36="convert",B19,0)+IF(B37="convert",B18,0)+IF(B38="convert",Assumptions!$B$38,0)+IF(B39="convert",Assumptions!$B$37,0)+IF(B40="convert",Assumptions!$B$36,0)+IF(B41="convert",Assumptions!$B$35,0))))+Assumptions!$B$30)&gt;Assumptions!$B$21,(((Assumptions!$B$49-(IF(B36="preference",(Assumptions!$B$34*Assumptions!$B$20),0)+IF(B37="preference",(Assumptions!$B$33*Assumptions!$B$19),0)+IF(B38="preference",(Assumptions!$B$38*Assumptions!$B$17),0)+IF(B39="preference",(Assumptions!$B$37*Assumptions!$B$16),0)+IF(B40="preference",(Assumptions!$B$36*Assumptions!$B$15),0)+IF(B41="preference",(Assumptions!$B$35*Assumptions!$B$14),0))))+Assumptions!$B$30*Assumptions!$B$21)/(((B32+B13+(IF(B36="convert",B19,0)+IF(B37="convert",B18,0)+IF(B38="convert",Assumptions!$B$38,0)+IF(B39="convert",Assumptions!$B$37,0)+IF(B40="convert",Assumptions!$B$36,0)+IF(B41="convert",Assumptions!$B$35,0))))+Assumptions!$B$30),((Assumptions!$B$49-(IF(B36="preference",(Assumptions!$B$34*Assumptions!$B$20),0)+IF(B37="preference",(Assumptions!$B$33*Assumptions!$B$19),0)+IF(B38="preference",(Assumptions!$B$38*Assumptions!$B$17),0)+IF(B39="preference",(Assumptions!$B$37*Assumptions!$B$16),0)+IF(B40="preference",(Assumptions!$B$36*Assumptions!$B$15),0)+IF(B41="preference",(Assumptions!$B$35*Assumptions!$B$14),0))))/((B32+B13+(IF(B36="convert",B19,0)+IF(B37="convert",B18,0)+IF(B38="convert",Assumptions!$B$38,0)+IF(B39="convert",Assumptions!$B$37,0)+IF(B40="convert",Assumptions!$B$36,0)+IF(B41="convert",Assumptions!$B$35,0))))))*B13,"preference","convert")</f>
        <v/>
      </c>
      <c r="C43">
        <f>IF(Assumptions!$B$3&gt;(IF((((Assumptions!$B$49-(IF(C36="preference",(Assumptions!$B$34*Assumptions!$B$20),0)+IF(C37="preference",(Assumptions!$B$33*Assumptions!$B$19),0)+IF(C38="preference",(Assumptions!$B$38*Assumptions!$B$17),0)+IF(C39="preference",(Assumptions!$B$37*Assumptions!$B$16),0)+IF(C40="preference",(Assumptions!$B$36*Assumptions!$B$15),0)+IF(C41="preference",(Assumptions!$B$35*Assumptions!$B$14),0))))+Assumptions!$B$30*Assumptions!$B$21)/(((C32+C13+(IF(C36="convert",C19,0)+IF(C37="convert",C18,0)+IF(C38="convert",Assumptions!$B$38,0)+IF(C39="convert",Assumptions!$B$37,0)+IF(C40="convert",Assumptions!$B$36,0)+IF(C41="convert",Assumptions!$B$35,0))))+Assumptions!$B$30)&gt;Assumptions!$B$21,(((Assumptions!$B$49-(IF(C36="preference",(Assumptions!$B$34*Assumptions!$B$20),0)+IF(C37="preference",(Assumptions!$B$33*Assumptions!$B$19),0)+IF(C38="preference",(Assumptions!$B$38*Assumptions!$B$17),0)+IF(C39="preference",(Assumptions!$B$37*Assumptions!$B$16),0)+IF(C40="preference",(Assumptions!$B$36*Assumptions!$B$15),0)+IF(C41="preference",(Assumptions!$B$35*Assumptions!$B$14),0))))+Assumptions!$B$30*Assumptions!$B$21)/(((C32+C13+(IF(C36="convert",C19,0)+IF(C37="convert",C18,0)+IF(C38="convert",Assumptions!$B$38,0)+IF(C39="convert",Assumptions!$B$37,0)+IF(C40="convert",Assumptions!$B$36,0)+IF(C41="convert",Assumptions!$B$35,0))))+Assumptions!$B$30),((Assumptions!$B$49-(IF(C36="preference",(Assumptions!$B$34*Assumptions!$B$20),0)+IF(C37="preference",(Assumptions!$B$33*Assumptions!$B$19),0)+IF(C38="preference",(Assumptions!$B$38*Assumptions!$B$17),0)+IF(C39="preference",(Assumptions!$B$37*Assumptions!$B$16),0)+IF(C40="preference",(Assumptions!$B$36*Assumptions!$B$15),0)+IF(C41="preference",(Assumptions!$B$35*Assumptions!$B$14),0))))/((C32+C13+(IF(C36="convert",C19,0)+IF(C37="convert",C18,0)+IF(C38="convert",Assumptions!$B$38,0)+IF(C39="convert",Assumptions!$B$37,0)+IF(C40="convert",Assumptions!$B$36,0)+IF(C41="convert",Assumptions!$B$35,0))))))*C13,"preference","convert")</f>
        <v/>
      </c>
      <c r="D43">
        <f>IF(Assumptions!$B$3&gt;(IF((((Assumptions!$B$49-(IF(D36="preference",(Assumptions!$B$34*Assumptions!$B$20),0)+IF(D37="preference",(Assumptions!$B$33*Assumptions!$B$19),0)+IF(D38="preference",(Assumptions!$B$38*Assumptions!$B$17),0)+IF(D39="preference",(Assumptions!$B$37*Assumptions!$B$16),0)+IF(D40="preference",(Assumptions!$B$36*Assumptions!$B$15),0)+IF(D41="preference",(Assumptions!$B$35*Assumptions!$B$14),0))))+Assumptions!$B$30*Assumptions!$B$21)/(((D32+D13+(IF(D36="convert",D19,0)+IF(D37="convert",D18,0)+IF(D38="convert",Assumptions!$B$38,0)+IF(D39="convert",Assumptions!$B$37,0)+IF(D40="convert",Assumptions!$B$36,0)+IF(D41="convert",Assumptions!$B$35,0))))+Assumptions!$B$30)&gt;Assumptions!$B$21,(((Assumptions!$B$49-(IF(D36="preference",(Assumptions!$B$34*Assumptions!$B$20),0)+IF(D37="preference",(Assumptions!$B$33*Assumptions!$B$19),0)+IF(D38="preference",(Assumptions!$B$38*Assumptions!$B$17),0)+IF(D39="preference",(Assumptions!$B$37*Assumptions!$B$16),0)+IF(D40="preference",(Assumptions!$B$36*Assumptions!$B$15),0)+IF(D41="preference",(Assumptions!$B$35*Assumptions!$B$14),0))))+Assumptions!$B$30*Assumptions!$B$21)/(((D32+D13+(IF(D36="convert",D19,0)+IF(D37="convert",D18,0)+IF(D38="convert",Assumptions!$B$38,0)+IF(D39="convert",Assumptions!$B$37,0)+IF(D40="convert",Assumptions!$B$36,0)+IF(D41="convert",Assumptions!$B$35,0))))+Assumptions!$B$30),((Assumptions!$B$49-(IF(D36="preference",(Assumptions!$B$34*Assumptions!$B$20),0)+IF(D37="preference",(Assumptions!$B$33*Assumptions!$B$19),0)+IF(D38="preference",(Assumptions!$B$38*Assumptions!$B$17),0)+IF(D39="preference",(Assumptions!$B$37*Assumptions!$B$16),0)+IF(D40="preference",(Assumptions!$B$36*Assumptions!$B$15),0)+IF(D41="preference",(Assumptions!$B$35*Assumptions!$B$14),0))))/((D32+D13+(IF(D36="convert",D19,0)+IF(D37="convert",D18,0)+IF(D38="convert",Assumptions!$B$38,0)+IF(D39="convert",Assumptions!$B$37,0)+IF(D40="convert",Assumptions!$B$36,0)+IF(D41="convert",Assumptions!$B$35,0))))))*D13,"preference","convert")</f>
        <v/>
      </c>
      <c r="E43">
        <f>IF(Assumptions!$B$3&gt;(IF((((Assumptions!$B$49-(IF(E36="preference",(Assumptions!$B$34*Assumptions!$B$20),0)+IF(E37="preference",(Assumptions!$B$33*Assumptions!$B$19),0)+IF(E38="preference",(Assumptions!$B$38*Assumptions!$B$17),0)+IF(E39="preference",(Assumptions!$B$37*Assumptions!$B$16),0)+IF(E40="preference",(Assumptions!$B$36*Assumptions!$B$15),0)+IF(E41="preference",(Assumptions!$B$35*Assumptions!$B$14),0))))+Assumptions!$B$30*Assumptions!$B$21)/(((E32+E13+(IF(E36="convert",E19,0)+IF(E37="convert",E18,0)+IF(E38="convert",Assumptions!$B$38,0)+IF(E39="convert",Assumptions!$B$37,0)+IF(E40="convert",Assumptions!$B$36,0)+IF(E41="convert",Assumptions!$B$35,0))))+Assumptions!$B$30)&gt;Assumptions!$B$21,(((Assumptions!$B$49-(IF(E36="preference",(Assumptions!$B$34*Assumptions!$B$20),0)+IF(E37="preference",(Assumptions!$B$33*Assumptions!$B$19),0)+IF(E38="preference",(Assumptions!$B$38*Assumptions!$B$17),0)+IF(E39="preference",(Assumptions!$B$37*Assumptions!$B$16),0)+IF(E40="preference",(Assumptions!$B$36*Assumptions!$B$15),0)+IF(E41="preference",(Assumptions!$B$35*Assumptions!$B$14),0))))+Assumptions!$B$30*Assumptions!$B$21)/(((E32+E13+(IF(E36="convert",E19,0)+IF(E37="convert",E18,0)+IF(E38="convert",Assumptions!$B$38,0)+IF(E39="convert",Assumptions!$B$37,0)+IF(E40="convert",Assumptions!$B$36,0)+IF(E41="convert",Assumptions!$B$35,0))))+Assumptions!$B$30),((Assumptions!$B$49-(IF(E36="preference",(Assumptions!$B$34*Assumptions!$B$20),0)+IF(E37="preference",(Assumptions!$B$33*Assumptions!$B$19),0)+IF(E38="preference",(Assumptions!$B$38*Assumptions!$B$17),0)+IF(E39="preference",(Assumptions!$B$37*Assumptions!$B$16),0)+IF(E40="preference",(Assumptions!$B$36*Assumptions!$B$15),0)+IF(E41="preference",(Assumptions!$B$35*Assumptions!$B$14),0))))/((E32+E13+(IF(E36="convert",E19,0)+IF(E37="convert",E18,0)+IF(E38="convert",Assumptions!$B$38,0)+IF(E39="convert",Assumptions!$B$37,0)+IF(E40="convert",Assumptions!$B$36,0)+IF(E41="convert",Assumptions!$B$35,0))))))*E13,"preference","convert")</f>
        <v/>
      </c>
      <c r="F43">
        <f>IF(Assumptions!$B$3&gt;(IF((((Assumptions!$B$49-(IF(F36="preference",(Assumptions!$B$34*Assumptions!$B$20),0)+IF(F37="preference",(Assumptions!$B$33*Assumptions!$B$19),0)+IF(F38="preference",(Assumptions!$B$38*Assumptions!$B$17),0)+IF(F39="preference",(Assumptions!$B$37*Assumptions!$B$16),0)+IF(F40="preference",(Assumptions!$B$36*Assumptions!$B$15),0)+IF(F41="preference",(Assumptions!$B$35*Assumptions!$B$14),0))))+Assumptions!$B$30*Assumptions!$B$21)/(((F32+F13+(IF(F36="convert",F19,0)+IF(F37="convert",F18,0)+IF(F38="convert",Assumptions!$B$38,0)+IF(F39="convert",Assumptions!$B$37,0)+IF(F40="convert",Assumptions!$B$36,0)+IF(F41="convert",Assumptions!$B$35,0))))+Assumptions!$B$30)&gt;Assumptions!$B$21,(((Assumptions!$B$49-(IF(F36="preference",(Assumptions!$B$34*Assumptions!$B$20),0)+IF(F37="preference",(Assumptions!$B$33*Assumptions!$B$19),0)+IF(F38="preference",(Assumptions!$B$38*Assumptions!$B$17),0)+IF(F39="preference",(Assumptions!$B$37*Assumptions!$B$16),0)+IF(F40="preference",(Assumptions!$B$36*Assumptions!$B$15),0)+IF(F41="preference",(Assumptions!$B$35*Assumptions!$B$14),0))))+Assumptions!$B$30*Assumptions!$B$21)/(((F32+F13+(IF(F36="convert",F19,0)+IF(F37="convert",F18,0)+IF(F38="convert",Assumptions!$B$38,0)+IF(F39="convert",Assumptions!$B$37,0)+IF(F40="convert",Assumptions!$B$36,0)+IF(F41="convert",Assumptions!$B$35,0))))+Assumptions!$B$30),((Assumptions!$B$49-(IF(F36="preference",(Assumptions!$B$34*Assumptions!$B$20),0)+IF(F37="preference",(Assumptions!$B$33*Assumptions!$B$19),0)+IF(F38="preference",(Assumptions!$B$38*Assumptions!$B$17),0)+IF(F39="preference",(Assumptions!$B$37*Assumptions!$B$16),0)+IF(F40="preference",(Assumptions!$B$36*Assumptions!$B$15),0)+IF(F41="preference",(Assumptions!$B$35*Assumptions!$B$14),0))))/((F32+F13+(IF(F36="convert",F19,0)+IF(F37="convert",F18,0)+IF(F38="convert",Assumptions!$B$38,0)+IF(F39="convert",Assumptions!$B$37,0)+IF(F40="convert",Assumptions!$B$36,0)+IF(F41="convert",Assumptions!$B$35,0))))))*F13,"preference","convert")</f>
        <v/>
      </c>
      <c r="G43">
        <f>IF(Assumptions!$B$3&gt;(IF((((Assumptions!$B$49-(IF(G36="preference",(Assumptions!$B$34*Assumptions!$B$20),0)+IF(G37="preference",(Assumptions!$B$33*Assumptions!$B$19),0)+IF(G38="preference",(Assumptions!$B$38*Assumptions!$B$17),0)+IF(G39="preference",(Assumptions!$B$37*Assumptions!$B$16),0)+IF(G40="preference",(Assumptions!$B$36*Assumptions!$B$15),0)+IF(G41="preference",(Assumptions!$B$35*Assumptions!$B$14),0))))+Assumptions!$B$30*Assumptions!$B$21)/(((G32+G13+(IF(G36="convert",G19,0)+IF(G37="convert",G18,0)+IF(G38="convert",Assumptions!$B$38,0)+IF(G39="convert",Assumptions!$B$37,0)+IF(G40="convert",Assumptions!$B$36,0)+IF(G41="convert",Assumptions!$B$35,0))))+Assumptions!$B$30)&gt;Assumptions!$B$21,(((Assumptions!$B$49-(IF(G36="preference",(Assumptions!$B$34*Assumptions!$B$20),0)+IF(G37="preference",(Assumptions!$B$33*Assumptions!$B$19),0)+IF(G38="preference",(Assumptions!$B$38*Assumptions!$B$17),0)+IF(G39="preference",(Assumptions!$B$37*Assumptions!$B$16),0)+IF(G40="preference",(Assumptions!$B$36*Assumptions!$B$15),0)+IF(G41="preference",(Assumptions!$B$35*Assumptions!$B$14),0))))+Assumptions!$B$30*Assumptions!$B$21)/(((G32+G13+(IF(G36="convert",G19,0)+IF(G37="convert",G18,0)+IF(G38="convert",Assumptions!$B$38,0)+IF(G39="convert",Assumptions!$B$37,0)+IF(G40="convert",Assumptions!$B$36,0)+IF(G41="convert",Assumptions!$B$35,0))))+Assumptions!$B$30),((Assumptions!$B$49-(IF(G36="preference",(Assumptions!$B$34*Assumptions!$B$20),0)+IF(G37="preference",(Assumptions!$B$33*Assumptions!$B$19),0)+IF(G38="preference",(Assumptions!$B$38*Assumptions!$B$17),0)+IF(G39="preference",(Assumptions!$B$37*Assumptions!$B$16),0)+IF(G40="preference",(Assumptions!$B$36*Assumptions!$B$15),0)+IF(G41="preference",(Assumptions!$B$35*Assumptions!$B$14),0))))/((G32+G13+(IF(G36="convert",G19,0)+IF(G37="convert",G18,0)+IF(G38="convert",Assumptions!$B$38,0)+IF(G39="convert",Assumptions!$B$37,0)+IF(G40="convert",Assumptions!$B$36,0)+IF(G41="convert",Assumptions!$B$35,0))))))*G13,"preference","convert")</f>
        <v/>
      </c>
      <c r="H43">
        <f>IF(Assumptions!$B$3&gt;(IF((((Assumptions!$B$49-(IF(H36="preference",(Assumptions!$B$34*Assumptions!$B$20),0)+IF(H37="preference",(Assumptions!$B$33*Assumptions!$B$19),0)+IF(H38="preference",(Assumptions!$B$38*Assumptions!$B$17),0)+IF(H39="preference",(Assumptions!$B$37*Assumptions!$B$16),0)+IF(H40="preference",(Assumptions!$B$36*Assumptions!$B$15),0)+IF(H41="preference",(Assumptions!$B$35*Assumptions!$B$14),0))))+Assumptions!$B$30*Assumptions!$B$21)/(((H32+H13+(IF(H36="convert",H19,0)+IF(H37="convert",H18,0)+IF(H38="convert",Assumptions!$B$38,0)+IF(H39="convert",Assumptions!$B$37,0)+IF(H40="convert",Assumptions!$B$36,0)+IF(H41="convert",Assumptions!$B$35,0))))+Assumptions!$B$30)&gt;Assumptions!$B$21,(((Assumptions!$B$49-(IF(H36="preference",(Assumptions!$B$34*Assumptions!$B$20),0)+IF(H37="preference",(Assumptions!$B$33*Assumptions!$B$19),0)+IF(H38="preference",(Assumptions!$B$38*Assumptions!$B$17),0)+IF(H39="preference",(Assumptions!$B$37*Assumptions!$B$16),0)+IF(H40="preference",(Assumptions!$B$36*Assumptions!$B$15),0)+IF(H41="preference",(Assumptions!$B$35*Assumptions!$B$14),0))))+Assumptions!$B$30*Assumptions!$B$21)/(((H32+H13+(IF(H36="convert",H19,0)+IF(H37="convert",H18,0)+IF(H38="convert",Assumptions!$B$38,0)+IF(H39="convert",Assumptions!$B$37,0)+IF(H40="convert",Assumptions!$B$36,0)+IF(H41="convert",Assumptions!$B$35,0))))+Assumptions!$B$30),((Assumptions!$B$49-(IF(H36="preference",(Assumptions!$B$34*Assumptions!$B$20),0)+IF(H37="preference",(Assumptions!$B$33*Assumptions!$B$19),0)+IF(H38="preference",(Assumptions!$B$38*Assumptions!$B$17),0)+IF(H39="preference",(Assumptions!$B$37*Assumptions!$B$16),0)+IF(H40="preference",(Assumptions!$B$36*Assumptions!$B$15),0)+IF(H41="preference",(Assumptions!$B$35*Assumptions!$B$14),0))))/((H32+H13+(IF(H36="convert",H19,0)+IF(H37="convert",H18,0)+IF(H38="convert",Assumptions!$B$38,0)+IF(H39="convert",Assumptions!$B$37,0)+IF(H40="convert",Assumptions!$B$36,0)+IF(H41="convert",Assumptions!$B$35,0))))))*H13,"preference","convert")</f>
        <v/>
      </c>
      <c r="I43">
        <f>IF(Assumptions!$B$3&gt;(IF((((Assumptions!$B$49-(IF(I36="preference",(Assumptions!$B$34*Assumptions!$B$20),0)+IF(I37="preference",(Assumptions!$B$33*Assumptions!$B$19),0)+IF(I38="preference",(Assumptions!$B$38*Assumptions!$B$17),0)+IF(I39="preference",(Assumptions!$B$37*Assumptions!$B$16),0)+IF(I40="preference",(Assumptions!$B$36*Assumptions!$B$15),0)+IF(I41="preference",(Assumptions!$B$35*Assumptions!$B$14),0))))+Assumptions!$B$30*Assumptions!$B$21)/(((I32+I13+(IF(I36="convert",I19,0)+IF(I37="convert",I18,0)+IF(I38="convert",Assumptions!$B$38,0)+IF(I39="convert",Assumptions!$B$37,0)+IF(I40="convert",Assumptions!$B$36,0)+IF(I41="convert",Assumptions!$B$35,0))))+Assumptions!$B$30)&gt;Assumptions!$B$21,(((Assumptions!$B$49-(IF(I36="preference",(Assumptions!$B$34*Assumptions!$B$20),0)+IF(I37="preference",(Assumptions!$B$33*Assumptions!$B$19),0)+IF(I38="preference",(Assumptions!$B$38*Assumptions!$B$17),0)+IF(I39="preference",(Assumptions!$B$37*Assumptions!$B$16),0)+IF(I40="preference",(Assumptions!$B$36*Assumptions!$B$15),0)+IF(I41="preference",(Assumptions!$B$35*Assumptions!$B$14),0))))+Assumptions!$B$30*Assumptions!$B$21)/(((I32+I13+(IF(I36="convert",I19,0)+IF(I37="convert",I18,0)+IF(I38="convert",Assumptions!$B$38,0)+IF(I39="convert",Assumptions!$B$37,0)+IF(I40="convert",Assumptions!$B$36,0)+IF(I41="convert",Assumptions!$B$35,0))))+Assumptions!$B$30),((Assumptions!$B$49-(IF(I36="preference",(Assumptions!$B$34*Assumptions!$B$20),0)+IF(I37="preference",(Assumptions!$B$33*Assumptions!$B$19),0)+IF(I38="preference",(Assumptions!$B$38*Assumptions!$B$17),0)+IF(I39="preference",(Assumptions!$B$37*Assumptions!$B$16),0)+IF(I40="preference",(Assumptions!$B$36*Assumptions!$B$15),0)+IF(I41="preference",(Assumptions!$B$35*Assumptions!$B$14),0))))/((I32+I13+(IF(I36="convert",I19,0)+IF(I37="convert",I18,0)+IF(I38="convert",Assumptions!$B$38,0)+IF(I39="convert",Assumptions!$B$37,0)+IF(I40="convert",Assumptions!$B$36,0)+IF(I41="convert",Assumptions!$B$35,0))))))*I13,"preference","convert")</f>
        <v/>
      </c>
      <c r="J43">
        <f>IF(Assumptions!$B$3&gt;(IF((((Assumptions!$B$49-(IF(J36="preference",(Assumptions!$B$34*Assumptions!$B$20),0)+IF(J37="preference",(Assumptions!$B$33*Assumptions!$B$19),0)+IF(J38="preference",(Assumptions!$B$38*Assumptions!$B$17),0)+IF(J39="preference",(Assumptions!$B$37*Assumptions!$B$16),0)+IF(J40="preference",(Assumptions!$B$36*Assumptions!$B$15),0)+IF(J41="preference",(Assumptions!$B$35*Assumptions!$B$14),0))))+Assumptions!$B$30*Assumptions!$B$21)/(((J32+J13+(IF(J36="convert",J19,0)+IF(J37="convert",J18,0)+IF(J38="convert",Assumptions!$B$38,0)+IF(J39="convert",Assumptions!$B$37,0)+IF(J40="convert",Assumptions!$B$36,0)+IF(J41="convert",Assumptions!$B$35,0))))+Assumptions!$B$30)&gt;Assumptions!$B$21,(((Assumptions!$B$49-(IF(J36="preference",(Assumptions!$B$34*Assumptions!$B$20),0)+IF(J37="preference",(Assumptions!$B$33*Assumptions!$B$19),0)+IF(J38="preference",(Assumptions!$B$38*Assumptions!$B$17),0)+IF(J39="preference",(Assumptions!$B$37*Assumptions!$B$16),0)+IF(J40="preference",(Assumptions!$B$36*Assumptions!$B$15),0)+IF(J41="preference",(Assumptions!$B$35*Assumptions!$B$14),0))))+Assumptions!$B$30*Assumptions!$B$21)/(((J32+J13+(IF(J36="convert",J19,0)+IF(J37="convert",J18,0)+IF(J38="convert",Assumptions!$B$38,0)+IF(J39="convert",Assumptions!$B$37,0)+IF(J40="convert",Assumptions!$B$36,0)+IF(J41="convert",Assumptions!$B$35,0))))+Assumptions!$B$30),((Assumptions!$B$49-(IF(J36="preference",(Assumptions!$B$34*Assumptions!$B$20),0)+IF(J37="preference",(Assumptions!$B$33*Assumptions!$B$19),0)+IF(J38="preference",(Assumptions!$B$38*Assumptions!$B$17),0)+IF(J39="preference",(Assumptions!$B$37*Assumptions!$B$16),0)+IF(J40="preference",(Assumptions!$B$36*Assumptions!$B$15),0)+IF(J41="preference",(Assumptions!$B$35*Assumptions!$B$14),0))))/((J32+J13+(IF(J36="convert",J19,0)+IF(J37="convert",J18,0)+IF(J38="convert",Assumptions!$B$38,0)+IF(J39="convert",Assumptions!$B$37,0)+IF(J40="convert",Assumptions!$B$36,0)+IF(J41="convert",Assumptions!$B$35,0))))))*J13,"preference","convert")</f>
        <v/>
      </c>
    </row>
    <row r="44">
      <c r="A44" t="inlineStr">
        <is>
          <t xml:space="preserve">  E</t>
        </is>
      </c>
      <c r="B44">
        <f>IF((Assumptions!$B$34*Assumptions!$B$20)&gt;(IF((((Assumptions!$B$49-(IF(B35="preference",Assumptions!$B$3,0)+IF(B37="preference",(Assumptions!$B$33*Assumptions!$B$19),0)+IF(B38="preference",(Assumptions!$B$38*Assumptions!$B$17),0)+IF(B39="preference",(Assumptions!$B$37*Assumptions!$B$16),0)+IF(B40="preference",(Assumptions!$B$36*Assumptions!$B$15),0)+IF(B41="preference",(Assumptions!$B$35*Assumptions!$B$14),0))))+Assumptions!$B$30*Assumptions!$B$21)/(((B32+B19+(IF(B35="convert",B13,0)+IF(B37="convert",B18,0)+IF(B38="convert",Assumptions!$B$38,0)+IF(B39="convert",Assumptions!$B$37,0)+IF(B40="convert",Assumptions!$B$36,0)+IF(B41="convert",Assumptions!$B$35,0))))+Assumptions!$B$30)&gt;Assumptions!$B$21,(((Assumptions!$B$49-(IF(B35="preference",Assumptions!$B$3,0)+IF(B37="preference",(Assumptions!$B$33*Assumptions!$B$19),0)+IF(B38="preference",(Assumptions!$B$38*Assumptions!$B$17),0)+IF(B39="preference",(Assumptions!$B$37*Assumptions!$B$16),0)+IF(B40="preference",(Assumptions!$B$36*Assumptions!$B$15),0)+IF(B41="preference",(Assumptions!$B$35*Assumptions!$B$14),0))))+Assumptions!$B$30*Assumptions!$B$21)/(((B32+B19+(IF(B35="convert",B13,0)+IF(B37="convert",B18,0)+IF(B38="convert",Assumptions!$B$38,0)+IF(B39="convert",Assumptions!$B$37,0)+IF(B40="convert",Assumptions!$B$36,0)+IF(B41="convert",Assumptions!$B$35,0))))+Assumptions!$B$30),((Assumptions!$B$49-(IF(B35="preference",Assumptions!$B$3,0)+IF(B37="preference",(Assumptions!$B$33*Assumptions!$B$19),0)+IF(B38="preference",(Assumptions!$B$38*Assumptions!$B$17),0)+IF(B39="preference",(Assumptions!$B$37*Assumptions!$B$16),0)+IF(B40="preference",(Assumptions!$B$36*Assumptions!$B$15),0)+IF(B41="preference",(Assumptions!$B$35*Assumptions!$B$14),0))))/((B32+B19+(IF(B35="convert",B13,0)+IF(B37="convert",B18,0)+IF(B38="convert",Assumptions!$B$38,0)+IF(B39="convert",Assumptions!$B$37,0)+IF(B40="convert",Assumptions!$B$36,0)+IF(B41="convert",Assumptions!$B$35,0))))))*B19,"preference","convert")</f>
        <v/>
      </c>
      <c r="C44">
        <f>IF((Assumptions!$B$34*Assumptions!$B$20)&gt;(IF((((Assumptions!$B$49-(IF(C35="preference",Assumptions!$B$3,0)+IF(C37="preference",(Assumptions!$B$33*Assumptions!$B$19),0)+IF(C38="preference",(Assumptions!$B$38*Assumptions!$B$17),0)+IF(C39="preference",(Assumptions!$B$37*Assumptions!$B$16),0)+IF(C40="preference",(Assumptions!$B$36*Assumptions!$B$15),0)+IF(C41="preference",(Assumptions!$B$35*Assumptions!$B$14),0))))+Assumptions!$B$30*Assumptions!$B$21)/(((C32+C19+(IF(C35="convert",C13,0)+IF(C37="convert",C18,0)+IF(C38="convert",Assumptions!$B$38,0)+IF(C39="convert",Assumptions!$B$37,0)+IF(C40="convert",Assumptions!$B$36,0)+IF(C41="convert",Assumptions!$B$35,0))))+Assumptions!$B$30)&gt;Assumptions!$B$21,(((Assumptions!$B$49-(IF(C35="preference",Assumptions!$B$3,0)+IF(C37="preference",(Assumptions!$B$33*Assumptions!$B$19),0)+IF(C38="preference",(Assumptions!$B$38*Assumptions!$B$17),0)+IF(C39="preference",(Assumptions!$B$37*Assumptions!$B$16),0)+IF(C40="preference",(Assumptions!$B$36*Assumptions!$B$15),0)+IF(C41="preference",(Assumptions!$B$35*Assumptions!$B$14),0))))+Assumptions!$B$30*Assumptions!$B$21)/(((C32+C19+(IF(C35="convert",C13,0)+IF(C37="convert",C18,0)+IF(C38="convert",Assumptions!$B$38,0)+IF(C39="convert",Assumptions!$B$37,0)+IF(C40="convert",Assumptions!$B$36,0)+IF(C41="convert",Assumptions!$B$35,0))))+Assumptions!$B$30),((Assumptions!$B$49-(IF(C35="preference",Assumptions!$B$3,0)+IF(C37="preference",(Assumptions!$B$33*Assumptions!$B$19),0)+IF(C38="preference",(Assumptions!$B$38*Assumptions!$B$17),0)+IF(C39="preference",(Assumptions!$B$37*Assumptions!$B$16),0)+IF(C40="preference",(Assumptions!$B$36*Assumptions!$B$15),0)+IF(C41="preference",(Assumptions!$B$35*Assumptions!$B$14),0))))/((C32+C19+(IF(C35="convert",C13,0)+IF(C37="convert",C18,0)+IF(C38="convert",Assumptions!$B$38,0)+IF(C39="convert",Assumptions!$B$37,0)+IF(C40="convert",Assumptions!$B$36,0)+IF(C41="convert",Assumptions!$B$35,0))))))*C19,"preference","convert")</f>
        <v/>
      </c>
      <c r="D44">
        <f>IF((Assumptions!$B$34*Assumptions!$B$20)&gt;(IF((((Assumptions!$B$49-(IF(D35="preference",Assumptions!$B$3,0)+IF(D37="preference",(Assumptions!$B$33*Assumptions!$B$19),0)+IF(D38="preference",(Assumptions!$B$38*Assumptions!$B$17),0)+IF(D39="preference",(Assumptions!$B$37*Assumptions!$B$16),0)+IF(D40="preference",(Assumptions!$B$36*Assumptions!$B$15),0)+IF(D41="preference",(Assumptions!$B$35*Assumptions!$B$14),0))))+Assumptions!$B$30*Assumptions!$B$21)/(((D32+D19+(IF(D35="convert",D13,0)+IF(D37="convert",D18,0)+IF(D38="convert",Assumptions!$B$38,0)+IF(D39="convert",Assumptions!$B$37,0)+IF(D40="convert",Assumptions!$B$36,0)+IF(D41="convert",Assumptions!$B$35,0))))+Assumptions!$B$30)&gt;Assumptions!$B$21,(((Assumptions!$B$49-(IF(D35="preference",Assumptions!$B$3,0)+IF(D37="preference",(Assumptions!$B$33*Assumptions!$B$19),0)+IF(D38="preference",(Assumptions!$B$38*Assumptions!$B$17),0)+IF(D39="preference",(Assumptions!$B$37*Assumptions!$B$16),0)+IF(D40="preference",(Assumptions!$B$36*Assumptions!$B$15),0)+IF(D41="preference",(Assumptions!$B$35*Assumptions!$B$14),0))))+Assumptions!$B$30*Assumptions!$B$21)/(((D32+D19+(IF(D35="convert",D13,0)+IF(D37="convert",D18,0)+IF(D38="convert",Assumptions!$B$38,0)+IF(D39="convert",Assumptions!$B$37,0)+IF(D40="convert",Assumptions!$B$36,0)+IF(D41="convert",Assumptions!$B$35,0))))+Assumptions!$B$30),((Assumptions!$B$49-(IF(D35="preference",Assumptions!$B$3,0)+IF(D37="preference",(Assumptions!$B$33*Assumptions!$B$19),0)+IF(D38="preference",(Assumptions!$B$38*Assumptions!$B$17),0)+IF(D39="preference",(Assumptions!$B$37*Assumptions!$B$16),0)+IF(D40="preference",(Assumptions!$B$36*Assumptions!$B$15),0)+IF(D41="preference",(Assumptions!$B$35*Assumptions!$B$14),0))))/((D32+D19+(IF(D35="convert",D13,0)+IF(D37="convert",D18,0)+IF(D38="convert",Assumptions!$B$38,0)+IF(D39="convert",Assumptions!$B$37,0)+IF(D40="convert",Assumptions!$B$36,0)+IF(D41="convert",Assumptions!$B$35,0))))))*D19,"preference","convert")</f>
        <v/>
      </c>
      <c r="E44">
        <f>IF((Assumptions!$B$34*Assumptions!$B$20)&gt;(IF((((Assumptions!$B$49-(IF(E35="preference",Assumptions!$B$3,0)+IF(E37="preference",(Assumptions!$B$33*Assumptions!$B$19),0)+IF(E38="preference",(Assumptions!$B$38*Assumptions!$B$17),0)+IF(E39="preference",(Assumptions!$B$37*Assumptions!$B$16),0)+IF(E40="preference",(Assumptions!$B$36*Assumptions!$B$15),0)+IF(E41="preference",(Assumptions!$B$35*Assumptions!$B$14),0))))+Assumptions!$B$30*Assumptions!$B$21)/(((E32+E19+(IF(E35="convert",E13,0)+IF(E37="convert",E18,0)+IF(E38="convert",Assumptions!$B$38,0)+IF(E39="convert",Assumptions!$B$37,0)+IF(E40="convert",Assumptions!$B$36,0)+IF(E41="convert",Assumptions!$B$35,0))))+Assumptions!$B$30)&gt;Assumptions!$B$21,(((Assumptions!$B$49-(IF(E35="preference",Assumptions!$B$3,0)+IF(E37="preference",(Assumptions!$B$33*Assumptions!$B$19),0)+IF(E38="preference",(Assumptions!$B$38*Assumptions!$B$17),0)+IF(E39="preference",(Assumptions!$B$37*Assumptions!$B$16),0)+IF(E40="preference",(Assumptions!$B$36*Assumptions!$B$15),0)+IF(E41="preference",(Assumptions!$B$35*Assumptions!$B$14),0))))+Assumptions!$B$30*Assumptions!$B$21)/(((E32+E19+(IF(E35="convert",E13,0)+IF(E37="convert",E18,0)+IF(E38="convert",Assumptions!$B$38,0)+IF(E39="convert",Assumptions!$B$37,0)+IF(E40="convert",Assumptions!$B$36,0)+IF(E41="convert",Assumptions!$B$35,0))))+Assumptions!$B$30),((Assumptions!$B$49-(IF(E35="preference",Assumptions!$B$3,0)+IF(E37="preference",(Assumptions!$B$33*Assumptions!$B$19),0)+IF(E38="preference",(Assumptions!$B$38*Assumptions!$B$17),0)+IF(E39="preference",(Assumptions!$B$37*Assumptions!$B$16),0)+IF(E40="preference",(Assumptions!$B$36*Assumptions!$B$15),0)+IF(E41="preference",(Assumptions!$B$35*Assumptions!$B$14),0))))/((E32+E19+(IF(E35="convert",E13,0)+IF(E37="convert",E18,0)+IF(E38="convert",Assumptions!$B$38,0)+IF(E39="convert",Assumptions!$B$37,0)+IF(E40="convert",Assumptions!$B$36,0)+IF(E41="convert",Assumptions!$B$35,0))))))*E19,"preference","convert")</f>
        <v/>
      </c>
      <c r="F44">
        <f>IF((Assumptions!$B$34*Assumptions!$B$20)&gt;(IF((((Assumptions!$B$49-(IF(F35="preference",Assumptions!$B$3,0)+IF(F37="preference",(Assumptions!$B$33*Assumptions!$B$19),0)+IF(F38="preference",(Assumptions!$B$38*Assumptions!$B$17),0)+IF(F39="preference",(Assumptions!$B$37*Assumptions!$B$16),0)+IF(F40="preference",(Assumptions!$B$36*Assumptions!$B$15),0)+IF(F41="preference",(Assumptions!$B$35*Assumptions!$B$14),0))))+Assumptions!$B$30*Assumptions!$B$21)/(((F32+F19+(IF(F35="convert",F13,0)+IF(F37="convert",F18,0)+IF(F38="convert",Assumptions!$B$38,0)+IF(F39="convert",Assumptions!$B$37,0)+IF(F40="convert",Assumptions!$B$36,0)+IF(F41="convert",Assumptions!$B$35,0))))+Assumptions!$B$30)&gt;Assumptions!$B$21,(((Assumptions!$B$49-(IF(F35="preference",Assumptions!$B$3,0)+IF(F37="preference",(Assumptions!$B$33*Assumptions!$B$19),0)+IF(F38="preference",(Assumptions!$B$38*Assumptions!$B$17),0)+IF(F39="preference",(Assumptions!$B$37*Assumptions!$B$16),0)+IF(F40="preference",(Assumptions!$B$36*Assumptions!$B$15),0)+IF(F41="preference",(Assumptions!$B$35*Assumptions!$B$14),0))))+Assumptions!$B$30*Assumptions!$B$21)/(((F32+F19+(IF(F35="convert",F13,0)+IF(F37="convert",F18,0)+IF(F38="convert",Assumptions!$B$38,0)+IF(F39="convert",Assumptions!$B$37,0)+IF(F40="convert",Assumptions!$B$36,0)+IF(F41="convert",Assumptions!$B$35,0))))+Assumptions!$B$30),((Assumptions!$B$49-(IF(F35="preference",Assumptions!$B$3,0)+IF(F37="preference",(Assumptions!$B$33*Assumptions!$B$19),0)+IF(F38="preference",(Assumptions!$B$38*Assumptions!$B$17),0)+IF(F39="preference",(Assumptions!$B$37*Assumptions!$B$16),0)+IF(F40="preference",(Assumptions!$B$36*Assumptions!$B$15),0)+IF(F41="preference",(Assumptions!$B$35*Assumptions!$B$14),0))))/((F32+F19+(IF(F35="convert",F13,0)+IF(F37="convert",F18,0)+IF(F38="convert",Assumptions!$B$38,0)+IF(F39="convert",Assumptions!$B$37,0)+IF(F40="convert",Assumptions!$B$36,0)+IF(F41="convert",Assumptions!$B$35,0))))))*F19,"preference","convert")</f>
        <v/>
      </c>
      <c r="G44">
        <f>IF((Assumptions!$B$34*Assumptions!$B$20)&gt;(IF((((Assumptions!$B$49-(IF(G35="preference",Assumptions!$B$3,0)+IF(G37="preference",(Assumptions!$B$33*Assumptions!$B$19),0)+IF(G38="preference",(Assumptions!$B$38*Assumptions!$B$17),0)+IF(G39="preference",(Assumptions!$B$37*Assumptions!$B$16),0)+IF(G40="preference",(Assumptions!$B$36*Assumptions!$B$15),0)+IF(G41="preference",(Assumptions!$B$35*Assumptions!$B$14),0))))+Assumptions!$B$30*Assumptions!$B$21)/(((G32+G19+(IF(G35="convert",G13,0)+IF(G37="convert",G18,0)+IF(G38="convert",Assumptions!$B$38,0)+IF(G39="convert",Assumptions!$B$37,0)+IF(G40="convert",Assumptions!$B$36,0)+IF(G41="convert",Assumptions!$B$35,0))))+Assumptions!$B$30)&gt;Assumptions!$B$21,(((Assumptions!$B$49-(IF(G35="preference",Assumptions!$B$3,0)+IF(G37="preference",(Assumptions!$B$33*Assumptions!$B$19),0)+IF(G38="preference",(Assumptions!$B$38*Assumptions!$B$17),0)+IF(G39="preference",(Assumptions!$B$37*Assumptions!$B$16),0)+IF(G40="preference",(Assumptions!$B$36*Assumptions!$B$15),0)+IF(G41="preference",(Assumptions!$B$35*Assumptions!$B$14),0))))+Assumptions!$B$30*Assumptions!$B$21)/(((G32+G19+(IF(G35="convert",G13,0)+IF(G37="convert",G18,0)+IF(G38="convert",Assumptions!$B$38,0)+IF(G39="convert",Assumptions!$B$37,0)+IF(G40="convert",Assumptions!$B$36,0)+IF(G41="convert",Assumptions!$B$35,0))))+Assumptions!$B$30),((Assumptions!$B$49-(IF(G35="preference",Assumptions!$B$3,0)+IF(G37="preference",(Assumptions!$B$33*Assumptions!$B$19),0)+IF(G38="preference",(Assumptions!$B$38*Assumptions!$B$17),0)+IF(G39="preference",(Assumptions!$B$37*Assumptions!$B$16),0)+IF(G40="preference",(Assumptions!$B$36*Assumptions!$B$15),0)+IF(G41="preference",(Assumptions!$B$35*Assumptions!$B$14),0))))/((G32+G19+(IF(G35="convert",G13,0)+IF(G37="convert",G18,0)+IF(G38="convert",Assumptions!$B$38,0)+IF(G39="convert",Assumptions!$B$37,0)+IF(G40="convert",Assumptions!$B$36,0)+IF(G41="convert",Assumptions!$B$35,0))))))*G19,"preference","convert")</f>
        <v/>
      </c>
      <c r="H44">
        <f>IF((Assumptions!$B$34*Assumptions!$B$20)&gt;(IF((((Assumptions!$B$49-(IF(H35="preference",Assumptions!$B$3,0)+IF(H37="preference",(Assumptions!$B$33*Assumptions!$B$19),0)+IF(H38="preference",(Assumptions!$B$38*Assumptions!$B$17),0)+IF(H39="preference",(Assumptions!$B$37*Assumptions!$B$16),0)+IF(H40="preference",(Assumptions!$B$36*Assumptions!$B$15),0)+IF(H41="preference",(Assumptions!$B$35*Assumptions!$B$14),0))))+Assumptions!$B$30*Assumptions!$B$21)/(((H32+H19+(IF(H35="convert",H13,0)+IF(H37="convert",H18,0)+IF(H38="convert",Assumptions!$B$38,0)+IF(H39="convert",Assumptions!$B$37,0)+IF(H40="convert",Assumptions!$B$36,0)+IF(H41="convert",Assumptions!$B$35,0))))+Assumptions!$B$30)&gt;Assumptions!$B$21,(((Assumptions!$B$49-(IF(H35="preference",Assumptions!$B$3,0)+IF(H37="preference",(Assumptions!$B$33*Assumptions!$B$19),0)+IF(H38="preference",(Assumptions!$B$38*Assumptions!$B$17),0)+IF(H39="preference",(Assumptions!$B$37*Assumptions!$B$16),0)+IF(H40="preference",(Assumptions!$B$36*Assumptions!$B$15),0)+IF(H41="preference",(Assumptions!$B$35*Assumptions!$B$14),0))))+Assumptions!$B$30*Assumptions!$B$21)/(((H32+H19+(IF(H35="convert",H13,0)+IF(H37="convert",H18,0)+IF(H38="convert",Assumptions!$B$38,0)+IF(H39="convert",Assumptions!$B$37,0)+IF(H40="convert",Assumptions!$B$36,0)+IF(H41="convert",Assumptions!$B$35,0))))+Assumptions!$B$30),((Assumptions!$B$49-(IF(H35="preference",Assumptions!$B$3,0)+IF(H37="preference",(Assumptions!$B$33*Assumptions!$B$19),0)+IF(H38="preference",(Assumptions!$B$38*Assumptions!$B$17),0)+IF(H39="preference",(Assumptions!$B$37*Assumptions!$B$16),0)+IF(H40="preference",(Assumptions!$B$36*Assumptions!$B$15),0)+IF(H41="preference",(Assumptions!$B$35*Assumptions!$B$14),0))))/((H32+H19+(IF(H35="convert",H13,0)+IF(H37="convert",H18,0)+IF(H38="convert",Assumptions!$B$38,0)+IF(H39="convert",Assumptions!$B$37,0)+IF(H40="convert",Assumptions!$B$36,0)+IF(H41="convert",Assumptions!$B$35,0))))))*H19,"preference","convert")</f>
        <v/>
      </c>
      <c r="I44">
        <f>IF((Assumptions!$B$34*Assumptions!$B$20)&gt;(IF((((Assumptions!$B$49-(IF(I35="preference",Assumptions!$B$3,0)+IF(I37="preference",(Assumptions!$B$33*Assumptions!$B$19),0)+IF(I38="preference",(Assumptions!$B$38*Assumptions!$B$17),0)+IF(I39="preference",(Assumptions!$B$37*Assumptions!$B$16),0)+IF(I40="preference",(Assumptions!$B$36*Assumptions!$B$15),0)+IF(I41="preference",(Assumptions!$B$35*Assumptions!$B$14),0))))+Assumptions!$B$30*Assumptions!$B$21)/(((I32+I19+(IF(I35="convert",I13,0)+IF(I37="convert",I18,0)+IF(I38="convert",Assumptions!$B$38,0)+IF(I39="convert",Assumptions!$B$37,0)+IF(I40="convert",Assumptions!$B$36,0)+IF(I41="convert",Assumptions!$B$35,0))))+Assumptions!$B$30)&gt;Assumptions!$B$21,(((Assumptions!$B$49-(IF(I35="preference",Assumptions!$B$3,0)+IF(I37="preference",(Assumptions!$B$33*Assumptions!$B$19),0)+IF(I38="preference",(Assumptions!$B$38*Assumptions!$B$17),0)+IF(I39="preference",(Assumptions!$B$37*Assumptions!$B$16),0)+IF(I40="preference",(Assumptions!$B$36*Assumptions!$B$15),0)+IF(I41="preference",(Assumptions!$B$35*Assumptions!$B$14),0))))+Assumptions!$B$30*Assumptions!$B$21)/(((I32+I19+(IF(I35="convert",I13,0)+IF(I37="convert",I18,0)+IF(I38="convert",Assumptions!$B$38,0)+IF(I39="convert",Assumptions!$B$37,0)+IF(I40="convert",Assumptions!$B$36,0)+IF(I41="convert",Assumptions!$B$35,0))))+Assumptions!$B$30),((Assumptions!$B$49-(IF(I35="preference",Assumptions!$B$3,0)+IF(I37="preference",(Assumptions!$B$33*Assumptions!$B$19),0)+IF(I38="preference",(Assumptions!$B$38*Assumptions!$B$17),0)+IF(I39="preference",(Assumptions!$B$37*Assumptions!$B$16),0)+IF(I40="preference",(Assumptions!$B$36*Assumptions!$B$15),0)+IF(I41="preference",(Assumptions!$B$35*Assumptions!$B$14),0))))/((I32+I19+(IF(I35="convert",I13,0)+IF(I37="convert",I18,0)+IF(I38="convert",Assumptions!$B$38,0)+IF(I39="convert",Assumptions!$B$37,0)+IF(I40="convert",Assumptions!$B$36,0)+IF(I41="convert",Assumptions!$B$35,0))))))*I19,"preference","convert")</f>
        <v/>
      </c>
      <c r="J44">
        <f>IF((Assumptions!$B$34*Assumptions!$B$20)&gt;(IF((((Assumptions!$B$49-(IF(J35="preference",Assumptions!$B$3,0)+IF(J37="preference",(Assumptions!$B$33*Assumptions!$B$19),0)+IF(J38="preference",(Assumptions!$B$38*Assumptions!$B$17),0)+IF(J39="preference",(Assumptions!$B$37*Assumptions!$B$16),0)+IF(J40="preference",(Assumptions!$B$36*Assumptions!$B$15),0)+IF(J41="preference",(Assumptions!$B$35*Assumptions!$B$14),0))))+Assumptions!$B$30*Assumptions!$B$21)/(((J32+J19+(IF(J35="convert",J13,0)+IF(J37="convert",J18,0)+IF(J38="convert",Assumptions!$B$38,0)+IF(J39="convert",Assumptions!$B$37,0)+IF(J40="convert",Assumptions!$B$36,0)+IF(J41="convert",Assumptions!$B$35,0))))+Assumptions!$B$30)&gt;Assumptions!$B$21,(((Assumptions!$B$49-(IF(J35="preference",Assumptions!$B$3,0)+IF(J37="preference",(Assumptions!$B$33*Assumptions!$B$19),0)+IF(J38="preference",(Assumptions!$B$38*Assumptions!$B$17),0)+IF(J39="preference",(Assumptions!$B$37*Assumptions!$B$16),0)+IF(J40="preference",(Assumptions!$B$36*Assumptions!$B$15),0)+IF(J41="preference",(Assumptions!$B$35*Assumptions!$B$14),0))))+Assumptions!$B$30*Assumptions!$B$21)/(((J32+J19+(IF(J35="convert",J13,0)+IF(J37="convert",J18,0)+IF(J38="convert",Assumptions!$B$38,0)+IF(J39="convert",Assumptions!$B$37,0)+IF(J40="convert",Assumptions!$B$36,0)+IF(J41="convert",Assumptions!$B$35,0))))+Assumptions!$B$30),((Assumptions!$B$49-(IF(J35="preference",Assumptions!$B$3,0)+IF(J37="preference",(Assumptions!$B$33*Assumptions!$B$19),0)+IF(J38="preference",(Assumptions!$B$38*Assumptions!$B$17),0)+IF(J39="preference",(Assumptions!$B$37*Assumptions!$B$16),0)+IF(J40="preference",(Assumptions!$B$36*Assumptions!$B$15),0)+IF(J41="preference",(Assumptions!$B$35*Assumptions!$B$14),0))))/((J32+J19+(IF(J35="convert",J13,0)+IF(J37="convert",J18,0)+IF(J38="convert",Assumptions!$B$38,0)+IF(J39="convert",Assumptions!$B$37,0)+IF(J40="convert",Assumptions!$B$36,0)+IF(J41="convert",Assumptions!$B$35,0))))))*J19,"preference","convert")</f>
        <v/>
      </c>
    </row>
    <row r="45">
      <c r="A45" t="inlineStr">
        <is>
          <t xml:space="preserve">  D</t>
        </is>
      </c>
      <c r="B45">
        <f>IF((Assumptions!$B$33*Assumptions!$B$19)&gt;(IF((((Assumptions!$B$49-(IF(B35="preference",Assumptions!$B$3,0)+IF(B36="preference",(Assumptions!$B$34*Assumptions!$B$20),0)+IF(B38="preference",(Assumptions!$B$38*Assumptions!$B$17),0)+IF(B39="preference",(Assumptions!$B$37*Assumptions!$B$16),0)+IF(B40="preference",(Assumptions!$B$36*Assumptions!$B$15),0)+IF(B41="preference",(Assumptions!$B$35*Assumptions!$B$14),0))))+Assumptions!$B$30*Assumptions!$B$21)/(((B32+B18+(IF(B35="convert",B13,0)+IF(B36="convert",B19,0)+IF(B38="convert",Assumptions!$B$38,0)+IF(B39="convert",Assumptions!$B$37,0)+IF(B40="convert",Assumptions!$B$36,0)+IF(B41="convert",Assumptions!$B$35,0))))+Assumptions!$B$30)&gt;Assumptions!$B$21,(((Assumptions!$B$49-(IF(B35="preference",Assumptions!$B$3,0)+IF(B36="preference",(Assumptions!$B$34*Assumptions!$B$20),0)+IF(B38="preference",(Assumptions!$B$38*Assumptions!$B$17),0)+IF(B39="preference",(Assumptions!$B$37*Assumptions!$B$16),0)+IF(B40="preference",(Assumptions!$B$36*Assumptions!$B$15),0)+IF(B41="preference",(Assumptions!$B$35*Assumptions!$B$14),0))))+Assumptions!$B$30*Assumptions!$B$21)/(((B32+B18+(IF(B35="convert",B13,0)+IF(B36="convert",B19,0)+IF(B38="convert",Assumptions!$B$38,0)+IF(B39="convert",Assumptions!$B$37,0)+IF(B40="convert",Assumptions!$B$36,0)+IF(B41="convert",Assumptions!$B$35,0))))+Assumptions!$B$30),((Assumptions!$B$49-(IF(B35="preference",Assumptions!$B$3,0)+IF(B36="preference",(Assumptions!$B$34*Assumptions!$B$20),0)+IF(B38="preference",(Assumptions!$B$38*Assumptions!$B$17),0)+IF(B39="preference",(Assumptions!$B$37*Assumptions!$B$16),0)+IF(B40="preference",(Assumptions!$B$36*Assumptions!$B$15),0)+IF(B41="preference",(Assumptions!$B$35*Assumptions!$B$14),0))))/((B32+B18+(IF(B35="convert",B13,0)+IF(B36="convert",B19,0)+IF(B38="convert",Assumptions!$B$38,0)+IF(B39="convert",Assumptions!$B$37,0)+IF(B40="convert",Assumptions!$B$36,0)+IF(B41="convert",Assumptions!$B$35,0))))))*B18,"preference","convert")</f>
        <v/>
      </c>
      <c r="C45">
        <f>IF((Assumptions!$B$33*Assumptions!$B$19)&gt;(IF((((Assumptions!$B$49-(IF(C35="preference",Assumptions!$B$3,0)+IF(C36="preference",(Assumptions!$B$34*Assumptions!$B$20),0)+IF(C38="preference",(Assumptions!$B$38*Assumptions!$B$17),0)+IF(C39="preference",(Assumptions!$B$37*Assumptions!$B$16),0)+IF(C40="preference",(Assumptions!$B$36*Assumptions!$B$15),0)+IF(C41="preference",(Assumptions!$B$35*Assumptions!$B$14),0))))+Assumptions!$B$30*Assumptions!$B$21)/(((C32+C18+(IF(C35="convert",C13,0)+IF(C36="convert",C19,0)+IF(C38="convert",Assumptions!$B$38,0)+IF(C39="convert",Assumptions!$B$37,0)+IF(C40="convert",Assumptions!$B$36,0)+IF(C41="convert",Assumptions!$B$35,0))))+Assumptions!$B$30)&gt;Assumptions!$B$21,(((Assumptions!$B$49-(IF(C35="preference",Assumptions!$B$3,0)+IF(C36="preference",(Assumptions!$B$34*Assumptions!$B$20),0)+IF(C38="preference",(Assumptions!$B$38*Assumptions!$B$17),0)+IF(C39="preference",(Assumptions!$B$37*Assumptions!$B$16),0)+IF(C40="preference",(Assumptions!$B$36*Assumptions!$B$15),0)+IF(C41="preference",(Assumptions!$B$35*Assumptions!$B$14),0))))+Assumptions!$B$30*Assumptions!$B$21)/(((C32+C18+(IF(C35="convert",C13,0)+IF(C36="convert",C19,0)+IF(C38="convert",Assumptions!$B$38,0)+IF(C39="convert",Assumptions!$B$37,0)+IF(C40="convert",Assumptions!$B$36,0)+IF(C41="convert",Assumptions!$B$35,0))))+Assumptions!$B$30),((Assumptions!$B$49-(IF(C35="preference",Assumptions!$B$3,0)+IF(C36="preference",(Assumptions!$B$34*Assumptions!$B$20),0)+IF(C38="preference",(Assumptions!$B$38*Assumptions!$B$17),0)+IF(C39="preference",(Assumptions!$B$37*Assumptions!$B$16),0)+IF(C40="preference",(Assumptions!$B$36*Assumptions!$B$15),0)+IF(C41="preference",(Assumptions!$B$35*Assumptions!$B$14),0))))/((C32+C18+(IF(C35="convert",C13,0)+IF(C36="convert",C19,0)+IF(C38="convert",Assumptions!$B$38,0)+IF(C39="convert",Assumptions!$B$37,0)+IF(C40="convert",Assumptions!$B$36,0)+IF(C41="convert",Assumptions!$B$35,0))))))*C18,"preference","convert")</f>
        <v/>
      </c>
      <c r="D45">
        <f>IF((Assumptions!$B$33*Assumptions!$B$19)&gt;(IF((((Assumptions!$B$49-(IF(D35="preference",Assumptions!$B$3,0)+IF(D36="preference",(Assumptions!$B$34*Assumptions!$B$20),0)+IF(D38="preference",(Assumptions!$B$38*Assumptions!$B$17),0)+IF(D39="preference",(Assumptions!$B$37*Assumptions!$B$16),0)+IF(D40="preference",(Assumptions!$B$36*Assumptions!$B$15),0)+IF(D41="preference",(Assumptions!$B$35*Assumptions!$B$14),0))))+Assumptions!$B$30*Assumptions!$B$21)/(((D32+D18+(IF(D35="convert",D13,0)+IF(D36="convert",D19,0)+IF(D38="convert",Assumptions!$B$38,0)+IF(D39="convert",Assumptions!$B$37,0)+IF(D40="convert",Assumptions!$B$36,0)+IF(D41="convert",Assumptions!$B$35,0))))+Assumptions!$B$30)&gt;Assumptions!$B$21,(((Assumptions!$B$49-(IF(D35="preference",Assumptions!$B$3,0)+IF(D36="preference",(Assumptions!$B$34*Assumptions!$B$20),0)+IF(D38="preference",(Assumptions!$B$38*Assumptions!$B$17),0)+IF(D39="preference",(Assumptions!$B$37*Assumptions!$B$16),0)+IF(D40="preference",(Assumptions!$B$36*Assumptions!$B$15),0)+IF(D41="preference",(Assumptions!$B$35*Assumptions!$B$14),0))))+Assumptions!$B$30*Assumptions!$B$21)/(((D32+D18+(IF(D35="convert",D13,0)+IF(D36="convert",D19,0)+IF(D38="convert",Assumptions!$B$38,0)+IF(D39="convert",Assumptions!$B$37,0)+IF(D40="convert",Assumptions!$B$36,0)+IF(D41="convert",Assumptions!$B$35,0))))+Assumptions!$B$30),((Assumptions!$B$49-(IF(D35="preference",Assumptions!$B$3,0)+IF(D36="preference",(Assumptions!$B$34*Assumptions!$B$20),0)+IF(D38="preference",(Assumptions!$B$38*Assumptions!$B$17),0)+IF(D39="preference",(Assumptions!$B$37*Assumptions!$B$16),0)+IF(D40="preference",(Assumptions!$B$36*Assumptions!$B$15),0)+IF(D41="preference",(Assumptions!$B$35*Assumptions!$B$14),0))))/((D32+D18+(IF(D35="convert",D13,0)+IF(D36="convert",D19,0)+IF(D38="convert",Assumptions!$B$38,0)+IF(D39="convert",Assumptions!$B$37,0)+IF(D40="convert",Assumptions!$B$36,0)+IF(D41="convert",Assumptions!$B$35,0))))))*D18,"preference","convert")</f>
        <v/>
      </c>
      <c r="E45">
        <f>IF((Assumptions!$B$33*Assumptions!$B$19)&gt;(IF((((Assumptions!$B$49-(IF(E35="preference",Assumptions!$B$3,0)+IF(E36="preference",(Assumptions!$B$34*Assumptions!$B$20),0)+IF(E38="preference",(Assumptions!$B$38*Assumptions!$B$17),0)+IF(E39="preference",(Assumptions!$B$37*Assumptions!$B$16),0)+IF(E40="preference",(Assumptions!$B$36*Assumptions!$B$15),0)+IF(E41="preference",(Assumptions!$B$35*Assumptions!$B$14),0))))+Assumptions!$B$30*Assumptions!$B$21)/(((E32+E18+(IF(E35="convert",E13,0)+IF(E36="convert",E19,0)+IF(E38="convert",Assumptions!$B$38,0)+IF(E39="convert",Assumptions!$B$37,0)+IF(E40="convert",Assumptions!$B$36,0)+IF(E41="convert",Assumptions!$B$35,0))))+Assumptions!$B$30)&gt;Assumptions!$B$21,(((Assumptions!$B$49-(IF(E35="preference",Assumptions!$B$3,0)+IF(E36="preference",(Assumptions!$B$34*Assumptions!$B$20),0)+IF(E38="preference",(Assumptions!$B$38*Assumptions!$B$17),0)+IF(E39="preference",(Assumptions!$B$37*Assumptions!$B$16),0)+IF(E40="preference",(Assumptions!$B$36*Assumptions!$B$15),0)+IF(E41="preference",(Assumptions!$B$35*Assumptions!$B$14),0))))+Assumptions!$B$30*Assumptions!$B$21)/(((E32+E18+(IF(E35="convert",E13,0)+IF(E36="convert",E19,0)+IF(E38="convert",Assumptions!$B$38,0)+IF(E39="convert",Assumptions!$B$37,0)+IF(E40="convert",Assumptions!$B$36,0)+IF(E41="convert",Assumptions!$B$35,0))))+Assumptions!$B$30),((Assumptions!$B$49-(IF(E35="preference",Assumptions!$B$3,0)+IF(E36="preference",(Assumptions!$B$34*Assumptions!$B$20),0)+IF(E38="preference",(Assumptions!$B$38*Assumptions!$B$17),0)+IF(E39="preference",(Assumptions!$B$37*Assumptions!$B$16),0)+IF(E40="preference",(Assumptions!$B$36*Assumptions!$B$15),0)+IF(E41="preference",(Assumptions!$B$35*Assumptions!$B$14),0))))/((E32+E18+(IF(E35="convert",E13,0)+IF(E36="convert",E19,0)+IF(E38="convert",Assumptions!$B$38,0)+IF(E39="convert",Assumptions!$B$37,0)+IF(E40="convert",Assumptions!$B$36,0)+IF(E41="convert",Assumptions!$B$35,0))))))*E18,"preference","convert")</f>
        <v/>
      </c>
      <c r="F45">
        <f>IF((Assumptions!$B$33*Assumptions!$B$19)&gt;(IF((((Assumptions!$B$49-(IF(F35="preference",Assumptions!$B$3,0)+IF(F36="preference",(Assumptions!$B$34*Assumptions!$B$20),0)+IF(F38="preference",(Assumptions!$B$38*Assumptions!$B$17),0)+IF(F39="preference",(Assumptions!$B$37*Assumptions!$B$16),0)+IF(F40="preference",(Assumptions!$B$36*Assumptions!$B$15),0)+IF(F41="preference",(Assumptions!$B$35*Assumptions!$B$14),0))))+Assumptions!$B$30*Assumptions!$B$21)/(((F32+F18+(IF(F35="convert",F13,0)+IF(F36="convert",F19,0)+IF(F38="convert",Assumptions!$B$38,0)+IF(F39="convert",Assumptions!$B$37,0)+IF(F40="convert",Assumptions!$B$36,0)+IF(F41="convert",Assumptions!$B$35,0))))+Assumptions!$B$30)&gt;Assumptions!$B$21,(((Assumptions!$B$49-(IF(F35="preference",Assumptions!$B$3,0)+IF(F36="preference",(Assumptions!$B$34*Assumptions!$B$20),0)+IF(F38="preference",(Assumptions!$B$38*Assumptions!$B$17),0)+IF(F39="preference",(Assumptions!$B$37*Assumptions!$B$16),0)+IF(F40="preference",(Assumptions!$B$36*Assumptions!$B$15),0)+IF(F41="preference",(Assumptions!$B$35*Assumptions!$B$14),0))))+Assumptions!$B$30*Assumptions!$B$21)/(((F32+F18+(IF(F35="convert",F13,0)+IF(F36="convert",F19,0)+IF(F38="convert",Assumptions!$B$38,0)+IF(F39="convert",Assumptions!$B$37,0)+IF(F40="convert",Assumptions!$B$36,0)+IF(F41="convert",Assumptions!$B$35,0))))+Assumptions!$B$30),((Assumptions!$B$49-(IF(F35="preference",Assumptions!$B$3,0)+IF(F36="preference",(Assumptions!$B$34*Assumptions!$B$20),0)+IF(F38="preference",(Assumptions!$B$38*Assumptions!$B$17),0)+IF(F39="preference",(Assumptions!$B$37*Assumptions!$B$16),0)+IF(F40="preference",(Assumptions!$B$36*Assumptions!$B$15),0)+IF(F41="preference",(Assumptions!$B$35*Assumptions!$B$14),0))))/((F32+F18+(IF(F35="convert",F13,0)+IF(F36="convert",F19,0)+IF(F38="convert",Assumptions!$B$38,0)+IF(F39="convert",Assumptions!$B$37,0)+IF(F40="convert",Assumptions!$B$36,0)+IF(F41="convert",Assumptions!$B$35,0))))))*F18,"preference","convert")</f>
        <v/>
      </c>
      <c r="G45">
        <f>IF((Assumptions!$B$33*Assumptions!$B$19)&gt;(IF((((Assumptions!$B$49-(IF(G35="preference",Assumptions!$B$3,0)+IF(G36="preference",(Assumptions!$B$34*Assumptions!$B$20),0)+IF(G38="preference",(Assumptions!$B$38*Assumptions!$B$17),0)+IF(G39="preference",(Assumptions!$B$37*Assumptions!$B$16),0)+IF(G40="preference",(Assumptions!$B$36*Assumptions!$B$15),0)+IF(G41="preference",(Assumptions!$B$35*Assumptions!$B$14),0))))+Assumptions!$B$30*Assumptions!$B$21)/(((G32+G18+(IF(G35="convert",G13,0)+IF(G36="convert",G19,0)+IF(G38="convert",Assumptions!$B$38,0)+IF(G39="convert",Assumptions!$B$37,0)+IF(G40="convert",Assumptions!$B$36,0)+IF(G41="convert",Assumptions!$B$35,0))))+Assumptions!$B$30)&gt;Assumptions!$B$21,(((Assumptions!$B$49-(IF(G35="preference",Assumptions!$B$3,0)+IF(G36="preference",(Assumptions!$B$34*Assumptions!$B$20),0)+IF(G38="preference",(Assumptions!$B$38*Assumptions!$B$17),0)+IF(G39="preference",(Assumptions!$B$37*Assumptions!$B$16),0)+IF(G40="preference",(Assumptions!$B$36*Assumptions!$B$15),0)+IF(G41="preference",(Assumptions!$B$35*Assumptions!$B$14),0))))+Assumptions!$B$30*Assumptions!$B$21)/(((G32+G18+(IF(G35="convert",G13,0)+IF(G36="convert",G19,0)+IF(G38="convert",Assumptions!$B$38,0)+IF(G39="convert",Assumptions!$B$37,0)+IF(G40="convert",Assumptions!$B$36,0)+IF(G41="convert",Assumptions!$B$35,0))))+Assumptions!$B$30),((Assumptions!$B$49-(IF(G35="preference",Assumptions!$B$3,0)+IF(G36="preference",(Assumptions!$B$34*Assumptions!$B$20),0)+IF(G38="preference",(Assumptions!$B$38*Assumptions!$B$17),0)+IF(G39="preference",(Assumptions!$B$37*Assumptions!$B$16),0)+IF(G40="preference",(Assumptions!$B$36*Assumptions!$B$15),0)+IF(G41="preference",(Assumptions!$B$35*Assumptions!$B$14),0))))/((G32+G18+(IF(G35="convert",G13,0)+IF(G36="convert",G19,0)+IF(G38="convert",Assumptions!$B$38,0)+IF(G39="convert",Assumptions!$B$37,0)+IF(G40="convert",Assumptions!$B$36,0)+IF(G41="convert",Assumptions!$B$35,0))))))*G18,"preference","convert")</f>
        <v/>
      </c>
      <c r="H45">
        <f>IF((Assumptions!$B$33*Assumptions!$B$19)&gt;(IF((((Assumptions!$B$49-(IF(H35="preference",Assumptions!$B$3,0)+IF(H36="preference",(Assumptions!$B$34*Assumptions!$B$20),0)+IF(H38="preference",(Assumptions!$B$38*Assumptions!$B$17),0)+IF(H39="preference",(Assumptions!$B$37*Assumptions!$B$16),0)+IF(H40="preference",(Assumptions!$B$36*Assumptions!$B$15),0)+IF(H41="preference",(Assumptions!$B$35*Assumptions!$B$14),0))))+Assumptions!$B$30*Assumptions!$B$21)/(((H32+H18+(IF(H35="convert",H13,0)+IF(H36="convert",H19,0)+IF(H38="convert",Assumptions!$B$38,0)+IF(H39="convert",Assumptions!$B$37,0)+IF(H40="convert",Assumptions!$B$36,0)+IF(H41="convert",Assumptions!$B$35,0))))+Assumptions!$B$30)&gt;Assumptions!$B$21,(((Assumptions!$B$49-(IF(H35="preference",Assumptions!$B$3,0)+IF(H36="preference",(Assumptions!$B$34*Assumptions!$B$20),0)+IF(H38="preference",(Assumptions!$B$38*Assumptions!$B$17),0)+IF(H39="preference",(Assumptions!$B$37*Assumptions!$B$16),0)+IF(H40="preference",(Assumptions!$B$36*Assumptions!$B$15),0)+IF(H41="preference",(Assumptions!$B$35*Assumptions!$B$14),0))))+Assumptions!$B$30*Assumptions!$B$21)/(((H32+H18+(IF(H35="convert",H13,0)+IF(H36="convert",H19,0)+IF(H38="convert",Assumptions!$B$38,0)+IF(H39="convert",Assumptions!$B$37,0)+IF(H40="convert",Assumptions!$B$36,0)+IF(H41="convert",Assumptions!$B$35,0))))+Assumptions!$B$30),((Assumptions!$B$49-(IF(H35="preference",Assumptions!$B$3,0)+IF(H36="preference",(Assumptions!$B$34*Assumptions!$B$20),0)+IF(H38="preference",(Assumptions!$B$38*Assumptions!$B$17),0)+IF(H39="preference",(Assumptions!$B$37*Assumptions!$B$16),0)+IF(H40="preference",(Assumptions!$B$36*Assumptions!$B$15),0)+IF(H41="preference",(Assumptions!$B$35*Assumptions!$B$14),0))))/((H32+H18+(IF(H35="convert",H13,0)+IF(H36="convert",H19,0)+IF(H38="convert",Assumptions!$B$38,0)+IF(H39="convert",Assumptions!$B$37,0)+IF(H40="convert",Assumptions!$B$36,0)+IF(H41="convert",Assumptions!$B$35,0))))))*H18,"preference","convert")</f>
        <v/>
      </c>
      <c r="I45">
        <f>IF((Assumptions!$B$33*Assumptions!$B$19)&gt;(IF((((Assumptions!$B$49-(IF(I35="preference",Assumptions!$B$3,0)+IF(I36="preference",(Assumptions!$B$34*Assumptions!$B$20),0)+IF(I38="preference",(Assumptions!$B$38*Assumptions!$B$17),0)+IF(I39="preference",(Assumptions!$B$37*Assumptions!$B$16),0)+IF(I40="preference",(Assumptions!$B$36*Assumptions!$B$15),0)+IF(I41="preference",(Assumptions!$B$35*Assumptions!$B$14),0))))+Assumptions!$B$30*Assumptions!$B$21)/(((I32+I18+(IF(I35="convert",I13,0)+IF(I36="convert",I19,0)+IF(I38="convert",Assumptions!$B$38,0)+IF(I39="convert",Assumptions!$B$37,0)+IF(I40="convert",Assumptions!$B$36,0)+IF(I41="convert",Assumptions!$B$35,0))))+Assumptions!$B$30)&gt;Assumptions!$B$21,(((Assumptions!$B$49-(IF(I35="preference",Assumptions!$B$3,0)+IF(I36="preference",(Assumptions!$B$34*Assumptions!$B$20),0)+IF(I38="preference",(Assumptions!$B$38*Assumptions!$B$17),0)+IF(I39="preference",(Assumptions!$B$37*Assumptions!$B$16),0)+IF(I40="preference",(Assumptions!$B$36*Assumptions!$B$15),0)+IF(I41="preference",(Assumptions!$B$35*Assumptions!$B$14),0))))+Assumptions!$B$30*Assumptions!$B$21)/(((I32+I18+(IF(I35="convert",I13,0)+IF(I36="convert",I19,0)+IF(I38="convert",Assumptions!$B$38,0)+IF(I39="convert",Assumptions!$B$37,0)+IF(I40="convert",Assumptions!$B$36,0)+IF(I41="convert",Assumptions!$B$35,0))))+Assumptions!$B$30),((Assumptions!$B$49-(IF(I35="preference",Assumptions!$B$3,0)+IF(I36="preference",(Assumptions!$B$34*Assumptions!$B$20),0)+IF(I38="preference",(Assumptions!$B$38*Assumptions!$B$17),0)+IF(I39="preference",(Assumptions!$B$37*Assumptions!$B$16),0)+IF(I40="preference",(Assumptions!$B$36*Assumptions!$B$15),0)+IF(I41="preference",(Assumptions!$B$35*Assumptions!$B$14),0))))/((I32+I18+(IF(I35="convert",I13,0)+IF(I36="convert",I19,0)+IF(I38="convert",Assumptions!$B$38,0)+IF(I39="convert",Assumptions!$B$37,0)+IF(I40="convert",Assumptions!$B$36,0)+IF(I41="convert",Assumptions!$B$35,0))))))*I18,"preference","convert")</f>
        <v/>
      </c>
      <c r="J45">
        <f>IF((Assumptions!$B$33*Assumptions!$B$19)&gt;(IF((((Assumptions!$B$49-(IF(J35="preference",Assumptions!$B$3,0)+IF(J36="preference",(Assumptions!$B$34*Assumptions!$B$20),0)+IF(J38="preference",(Assumptions!$B$38*Assumptions!$B$17),0)+IF(J39="preference",(Assumptions!$B$37*Assumptions!$B$16),0)+IF(J40="preference",(Assumptions!$B$36*Assumptions!$B$15),0)+IF(J41="preference",(Assumptions!$B$35*Assumptions!$B$14),0))))+Assumptions!$B$30*Assumptions!$B$21)/(((J32+J18+(IF(J35="convert",J13,0)+IF(J36="convert",J19,0)+IF(J38="convert",Assumptions!$B$38,0)+IF(J39="convert",Assumptions!$B$37,0)+IF(J40="convert",Assumptions!$B$36,0)+IF(J41="convert",Assumptions!$B$35,0))))+Assumptions!$B$30)&gt;Assumptions!$B$21,(((Assumptions!$B$49-(IF(J35="preference",Assumptions!$B$3,0)+IF(J36="preference",(Assumptions!$B$34*Assumptions!$B$20),0)+IF(J38="preference",(Assumptions!$B$38*Assumptions!$B$17),0)+IF(J39="preference",(Assumptions!$B$37*Assumptions!$B$16),0)+IF(J40="preference",(Assumptions!$B$36*Assumptions!$B$15),0)+IF(J41="preference",(Assumptions!$B$35*Assumptions!$B$14),0))))+Assumptions!$B$30*Assumptions!$B$21)/(((J32+J18+(IF(J35="convert",J13,0)+IF(J36="convert",J19,0)+IF(J38="convert",Assumptions!$B$38,0)+IF(J39="convert",Assumptions!$B$37,0)+IF(J40="convert",Assumptions!$B$36,0)+IF(J41="convert",Assumptions!$B$35,0))))+Assumptions!$B$30),((Assumptions!$B$49-(IF(J35="preference",Assumptions!$B$3,0)+IF(J36="preference",(Assumptions!$B$34*Assumptions!$B$20),0)+IF(J38="preference",(Assumptions!$B$38*Assumptions!$B$17),0)+IF(J39="preference",(Assumptions!$B$37*Assumptions!$B$16),0)+IF(J40="preference",(Assumptions!$B$36*Assumptions!$B$15),0)+IF(J41="preference",(Assumptions!$B$35*Assumptions!$B$14),0))))/((J32+J18+(IF(J35="convert",J13,0)+IF(J36="convert",J19,0)+IF(J38="convert",Assumptions!$B$38,0)+IF(J39="convert",Assumptions!$B$37,0)+IF(J40="convert",Assumptions!$B$36,0)+IF(J41="convert",Assumptions!$B$35,0))))))*J18,"preference","convert")</f>
        <v/>
      </c>
    </row>
    <row r="46">
      <c r="A46" t="inlineStr">
        <is>
          <t xml:space="preserve">  C</t>
        </is>
      </c>
      <c r="B46">
        <f>IF((Assumptions!$B$38*Assumptions!$B$17)&gt;(IF((((Assumptions!$B$49-(IF(B35="preference",Assumptions!$B$3,0)+IF(B36="preference",(Assumptions!$B$34*Assumptions!$B$20),0)+IF(B37="preference",(Assumptions!$B$33*Assumptions!$B$19),0)+IF(B39="preference",(Assumptions!$B$37*Assumptions!$B$16),0)+IF(B40="preference",(Assumptions!$B$36*Assumptions!$B$15),0)+IF(B41="preference",(Assumptions!$B$35*Assumptions!$B$14),0))))+Assumptions!$B$30*Assumptions!$B$21)/(((B32+Assumptions!$B$38+(IF(B35="convert",B13,0)+IF(B36="convert",B19,0)+IF(B37="convert",B18,0)+IF(B39="convert",Assumptions!$B$37,0)+IF(B40="convert",Assumptions!$B$36,0)+IF(B41="convert",Assumptions!$B$35,0))))+Assumptions!$B$30)&gt;Assumptions!$B$21,(((Assumptions!$B$49-(IF(B35="preference",Assumptions!$B$3,0)+IF(B36="preference",(Assumptions!$B$34*Assumptions!$B$20),0)+IF(B37="preference",(Assumptions!$B$33*Assumptions!$B$19),0)+IF(B39="preference",(Assumptions!$B$37*Assumptions!$B$16),0)+IF(B40="preference",(Assumptions!$B$36*Assumptions!$B$15),0)+IF(B41="preference",(Assumptions!$B$35*Assumptions!$B$14),0))))+Assumptions!$B$30*Assumptions!$B$21)/(((B32+Assumptions!$B$38+(IF(B35="convert",B13,0)+IF(B36="convert",B19,0)+IF(B37="convert",B18,0)+IF(B39="convert",Assumptions!$B$37,0)+IF(B40="convert",Assumptions!$B$36,0)+IF(B41="convert",Assumptions!$B$35,0))))+Assumptions!$B$30),((Assumptions!$B$49-(IF(B35="preference",Assumptions!$B$3,0)+IF(B36="preference",(Assumptions!$B$34*Assumptions!$B$20),0)+IF(B37="preference",(Assumptions!$B$33*Assumptions!$B$19),0)+IF(B39="preference",(Assumptions!$B$37*Assumptions!$B$16),0)+IF(B40="preference",(Assumptions!$B$36*Assumptions!$B$15),0)+IF(B41="preference",(Assumptions!$B$35*Assumptions!$B$14),0))))/((B32+Assumptions!$B$38+(IF(B35="convert",B13,0)+IF(B36="convert",B19,0)+IF(B37="convert",B18,0)+IF(B39="convert",Assumptions!$B$37,0)+IF(B40="convert",Assumptions!$B$36,0)+IF(B41="convert",Assumptions!$B$35,0))))))*Assumptions!$B$38,"preference","convert")</f>
        <v/>
      </c>
      <c r="C46">
        <f>IF((Assumptions!$B$38*Assumptions!$B$17)&gt;(IF((((Assumptions!$B$49-(IF(C35="preference",Assumptions!$B$3,0)+IF(C36="preference",(Assumptions!$B$34*Assumptions!$B$20),0)+IF(C37="preference",(Assumptions!$B$33*Assumptions!$B$19),0)+IF(C39="preference",(Assumptions!$B$37*Assumptions!$B$16),0)+IF(C40="preference",(Assumptions!$B$36*Assumptions!$B$15),0)+IF(C41="preference",(Assumptions!$B$35*Assumptions!$B$14),0))))+Assumptions!$B$30*Assumptions!$B$21)/(((C32+Assumptions!$B$38+(IF(C35="convert",C13,0)+IF(C36="convert",C19,0)+IF(C37="convert",C18,0)+IF(C39="convert",Assumptions!$B$37,0)+IF(C40="convert",Assumptions!$B$36,0)+IF(C41="convert",Assumptions!$B$35,0))))+Assumptions!$B$30)&gt;Assumptions!$B$21,(((Assumptions!$B$49-(IF(C35="preference",Assumptions!$B$3,0)+IF(C36="preference",(Assumptions!$B$34*Assumptions!$B$20),0)+IF(C37="preference",(Assumptions!$B$33*Assumptions!$B$19),0)+IF(C39="preference",(Assumptions!$B$37*Assumptions!$B$16),0)+IF(C40="preference",(Assumptions!$B$36*Assumptions!$B$15),0)+IF(C41="preference",(Assumptions!$B$35*Assumptions!$B$14),0))))+Assumptions!$B$30*Assumptions!$B$21)/(((C32+Assumptions!$B$38+(IF(C35="convert",C13,0)+IF(C36="convert",C19,0)+IF(C37="convert",C18,0)+IF(C39="convert",Assumptions!$B$37,0)+IF(C40="convert",Assumptions!$B$36,0)+IF(C41="convert",Assumptions!$B$35,0))))+Assumptions!$B$30),((Assumptions!$B$49-(IF(C35="preference",Assumptions!$B$3,0)+IF(C36="preference",(Assumptions!$B$34*Assumptions!$B$20),0)+IF(C37="preference",(Assumptions!$B$33*Assumptions!$B$19),0)+IF(C39="preference",(Assumptions!$B$37*Assumptions!$B$16),0)+IF(C40="preference",(Assumptions!$B$36*Assumptions!$B$15),0)+IF(C41="preference",(Assumptions!$B$35*Assumptions!$B$14),0))))/((C32+Assumptions!$B$38+(IF(C35="convert",C13,0)+IF(C36="convert",C19,0)+IF(C37="convert",C18,0)+IF(C39="convert",Assumptions!$B$37,0)+IF(C40="convert",Assumptions!$B$36,0)+IF(C41="convert",Assumptions!$B$35,0))))))*Assumptions!$B$38,"preference","convert")</f>
        <v/>
      </c>
      <c r="D46">
        <f>IF((Assumptions!$B$38*Assumptions!$B$17)&gt;(IF((((Assumptions!$B$49-(IF(D35="preference",Assumptions!$B$3,0)+IF(D36="preference",(Assumptions!$B$34*Assumptions!$B$20),0)+IF(D37="preference",(Assumptions!$B$33*Assumptions!$B$19),0)+IF(D39="preference",(Assumptions!$B$37*Assumptions!$B$16),0)+IF(D40="preference",(Assumptions!$B$36*Assumptions!$B$15),0)+IF(D41="preference",(Assumptions!$B$35*Assumptions!$B$14),0))))+Assumptions!$B$30*Assumptions!$B$21)/(((D32+Assumptions!$B$38+(IF(D35="convert",D13,0)+IF(D36="convert",D19,0)+IF(D37="convert",D18,0)+IF(D39="convert",Assumptions!$B$37,0)+IF(D40="convert",Assumptions!$B$36,0)+IF(D41="convert",Assumptions!$B$35,0))))+Assumptions!$B$30)&gt;Assumptions!$B$21,(((Assumptions!$B$49-(IF(D35="preference",Assumptions!$B$3,0)+IF(D36="preference",(Assumptions!$B$34*Assumptions!$B$20),0)+IF(D37="preference",(Assumptions!$B$33*Assumptions!$B$19),0)+IF(D39="preference",(Assumptions!$B$37*Assumptions!$B$16),0)+IF(D40="preference",(Assumptions!$B$36*Assumptions!$B$15),0)+IF(D41="preference",(Assumptions!$B$35*Assumptions!$B$14),0))))+Assumptions!$B$30*Assumptions!$B$21)/(((D32+Assumptions!$B$38+(IF(D35="convert",D13,0)+IF(D36="convert",D19,0)+IF(D37="convert",D18,0)+IF(D39="convert",Assumptions!$B$37,0)+IF(D40="convert",Assumptions!$B$36,0)+IF(D41="convert",Assumptions!$B$35,0))))+Assumptions!$B$30),((Assumptions!$B$49-(IF(D35="preference",Assumptions!$B$3,0)+IF(D36="preference",(Assumptions!$B$34*Assumptions!$B$20),0)+IF(D37="preference",(Assumptions!$B$33*Assumptions!$B$19),0)+IF(D39="preference",(Assumptions!$B$37*Assumptions!$B$16),0)+IF(D40="preference",(Assumptions!$B$36*Assumptions!$B$15),0)+IF(D41="preference",(Assumptions!$B$35*Assumptions!$B$14),0))))/((D32+Assumptions!$B$38+(IF(D35="convert",D13,0)+IF(D36="convert",D19,0)+IF(D37="convert",D18,0)+IF(D39="convert",Assumptions!$B$37,0)+IF(D40="convert",Assumptions!$B$36,0)+IF(D41="convert",Assumptions!$B$35,0))))))*Assumptions!$B$38,"preference","convert")</f>
        <v/>
      </c>
      <c r="E46">
        <f>IF((Assumptions!$B$38*Assumptions!$B$17)&gt;(IF((((Assumptions!$B$49-(IF(E35="preference",Assumptions!$B$3,0)+IF(E36="preference",(Assumptions!$B$34*Assumptions!$B$20),0)+IF(E37="preference",(Assumptions!$B$33*Assumptions!$B$19),0)+IF(E39="preference",(Assumptions!$B$37*Assumptions!$B$16),0)+IF(E40="preference",(Assumptions!$B$36*Assumptions!$B$15),0)+IF(E41="preference",(Assumptions!$B$35*Assumptions!$B$14),0))))+Assumptions!$B$30*Assumptions!$B$21)/(((E32+Assumptions!$B$38+(IF(E35="convert",E13,0)+IF(E36="convert",E19,0)+IF(E37="convert",E18,0)+IF(E39="convert",Assumptions!$B$37,0)+IF(E40="convert",Assumptions!$B$36,0)+IF(E41="convert",Assumptions!$B$35,0))))+Assumptions!$B$30)&gt;Assumptions!$B$21,(((Assumptions!$B$49-(IF(E35="preference",Assumptions!$B$3,0)+IF(E36="preference",(Assumptions!$B$34*Assumptions!$B$20),0)+IF(E37="preference",(Assumptions!$B$33*Assumptions!$B$19),0)+IF(E39="preference",(Assumptions!$B$37*Assumptions!$B$16),0)+IF(E40="preference",(Assumptions!$B$36*Assumptions!$B$15),0)+IF(E41="preference",(Assumptions!$B$35*Assumptions!$B$14),0))))+Assumptions!$B$30*Assumptions!$B$21)/(((E32+Assumptions!$B$38+(IF(E35="convert",E13,0)+IF(E36="convert",E19,0)+IF(E37="convert",E18,0)+IF(E39="convert",Assumptions!$B$37,0)+IF(E40="convert",Assumptions!$B$36,0)+IF(E41="convert",Assumptions!$B$35,0))))+Assumptions!$B$30),((Assumptions!$B$49-(IF(E35="preference",Assumptions!$B$3,0)+IF(E36="preference",(Assumptions!$B$34*Assumptions!$B$20),0)+IF(E37="preference",(Assumptions!$B$33*Assumptions!$B$19),0)+IF(E39="preference",(Assumptions!$B$37*Assumptions!$B$16),0)+IF(E40="preference",(Assumptions!$B$36*Assumptions!$B$15),0)+IF(E41="preference",(Assumptions!$B$35*Assumptions!$B$14),0))))/((E32+Assumptions!$B$38+(IF(E35="convert",E13,0)+IF(E36="convert",E19,0)+IF(E37="convert",E18,0)+IF(E39="convert",Assumptions!$B$37,0)+IF(E40="convert",Assumptions!$B$36,0)+IF(E41="convert",Assumptions!$B$35,0))))))*Assumptions!$B$38,"preference","convert")</f>
        <v/>
      </c>
      <c r="F46">
        <f>IF((Assumptions!$B$38*Assumptions!$B$17)&gt;(IF((((Assumptions!$B$49-(IF(F35="preference",Assumptions!$B$3,0)+IF(F36="preference",(Assumptions!$B$34*Assumptions!$B$20),0)+IF(F37="preference",(Assumptions!$B$33*Assumptions!$B$19),0)+IF(F39="preference",(Assumptions!$B$37*Assumptions!$B$16),0)+IF(F40="preference",(Assumptions!$B$36*Assumptions!$B$15),0)+IF(F41="preference",(Assumptions!$B$35*Assumptions!$B$14),0))))+Assumptions!$B$30*Assumptions!$B$21)/(((F32+Assumptions!$B$38+(IF(F35="convert",F13,0)+IF(F36="convert",F19,0)+IF(F37="convert",F18,0)+IF(F39="convert",Assumptions!$B$37,0)+IF(F40="convert",Assumptions!$B$36,0)+IF(F41="convert",Assumptions!$B$35,0))))+Assumptions!$B$30)&gt;Assumptions!$B$21,(((Assumptions!$B$49-(IF(F35="preference",Assumptions!$B$3,0)+IF(F36="preference",(Assumptions!$B$34*Assumptions!$B$20),0)+IF(F37="preference",(Assumptions!$B$33*Assumptions!$B$19),0)+IF(F39="preference",(Assumptions!$B$37*Assumptions!$B$16),0)+IF(F40="preference",(Assumptions!$B$36*Assumptions!$B$15),0)+IF(F41="preference",(Assumptions!$B$35*Assumptions!$B$14),0))))+Assumptions!$B$30*Assumptions!$B$21)/(((F32+Assumptions!$B$38+(IF(F35="convert",F13,0)+IF(F36="convert",F19,0)+IF(F37="convert",F18,0)+IF(F39="convert",Assumptions!$B$37,0)+IF(F40="convert",Assumptions!$B$36,0)+IF(F41="convert",Assumptions!$B$35,0))))+Assumptions!$B$30),((Assumptions!$B$49-(IF(F35="preference",Assumptions!$B$3,0)+IF(F36="preference",(Assumptions!$B$34*Assumptions!$B$20),0)+IF(F37="preference",(Assumptions!$B$33*Assumptions!$B$19),0)+IF(F39="preference",(Assumptions!$B$37*Assumptions!$B$16),0)+IF(F40="preference",(Assumptions!$B$36*Assumptions!$B$15),0)+IF(F41="preference",(Assumptions!$B$35*Assumptions!$B$14),0))))/((F32+Assumptions!$B$38+(IF(F35="convert",F13,0)+IF(F36="convert",F19,0)+IF(F37="convert",F18,0)+IF(F39="convert",Assumptions!$B$37,0)+IF(F40="convert",Assumptions!$B$36,0)+IF(F41="convert",Assumptions!$B$35,0))))))*Assumptions!$B$38,"preference","convert")</f>
        <v/>
      </c>
      <c r="G46">
        <f>IF((Assumptions!$B$38*Assumptions!$B$17)&gt;(IF((((Assumptions!$B$49-(IF(G35="preference",Assumptions!$B$3,0)+IF(G36="preference",(Assumptions!$B$34*Assumptions!$B$20),0)+IF(G37="preference",(Assumptions!$B$33*Assumptions!$B$19),0)+IF(G39="preference",(Assumptions!$B$37*Assumptions!$B$16),0)+IF(G40="preference",(Assumptions!$B$36*Assumptions!$B$15),0)+IF(G41="preference",(Assumptions!$B$35*Assumptions!$B$14),0))))+Assumptions!$B$30*Assumptions!$B$21)/(((G32+Assumptions!$B$38+(IF(G35="convert",G13,0)+IF(G36="convert",G19,0)+IF(G37="convert",G18,0)+IF(G39="convert",Assumptions!$B$37,0)+IF(G40="convert",Assumptions!$B$36,0)+IF(G41="convert",Assumptions!$B$35,0))))+Assumptions!$B$30)&gt;Assumptions!$B$21,(((Assumptions!$B$49-(IF(G35="preference",Assumptions!$B$3,0)+IF(G36="preference",(Assumptions!$B$34*Assumptions!$B$20),0)+IF(G37="preference",(Assumptions!$B$33*Assumptions!$B$19),0)+IF(G39="preference",(Assumptions!$B$37*Assumptions!$B$16),0)+IF(G40="preference",(Assumptions!$B$36*Assumptions!$B$15),0)+IF(G41="preference",(Assumptions!$B$35*Assumptions!$B$14),0))))+Assumptions!$B$30*Assumptions!$B$21)/(((G32+Assumptions!$B$38+(IF(G35="convert",G13,0)+IF(G36="convert",G19,0)+IF(G37="convert",G18,0)+IF(G39="convert",Assumptions!$B$37,0)+IF(G40="convert",Assumptions!$B$36,0)+IF(G41="convert",Assumptions!$B$35,0))))+Assumptions!$B$30),((Assumptions!$B$49-(IF(G35="preference",Assumptions!$B$3,0)+IF(G36="preference",(Assumptions!$B$34*Assumptions!$B$20),0)+IF(G37="preference",(Assumptions!$B$33*Assumptions!$B$19),0)+IF(G39="preference",(Assumptions!$B$37*Assumptions!$B$16),0)+IF(G40="preference",(Assumptions!$B$36*Assumptions!$B$15),0)+IF(G41="preference",(Assumptions!$B$35*Assumptions!$B$14),0))))/((G32+Assumptions!$B$38+(IF(G35="convert",G13,0)+IF(G36="convert",G19,0)+IF(G37="convert",G18,0)+IF(G39="convert",Assumptions!$B$37,0)+IF(G40="convert",Assumptions!$B$36,0)+IF(G41="convert",Assumptions!$B$35,0))))))*Assumptions!$B$38,"preference","convert")</f>
        <v/>
      </c>
      <c r="H46">
        <f>IF((Assumptions!$B$38*Assumptions!$B$17)&gt;(IF((((Assumptions!$B$49-(IF(H35="preference",Assumptions!$B$3,0)+IF(H36="preference",(Assumptions!$B$34*Assumptions!$B$20),0)+IF(H37="preference",(Assumptions!$B$33*Assumptions!$B$19),0)+IF(H39="preference",(Assumptions!$B$37*Assumptions!$B$16),0)+IF(H40="preference",(Assumptions!$B$36*Assumptions!$B$15),0)+IF(H41="preference",(Assumptions!$B$35*Assumptions!$B$14),0))))+Assumptions!$B$30*Assumptions!$B$21)/(((H32+Assumptions!$B$38+(IF(H35="convert",H13,0)+IF(H36="convert",H19,0)+IF(H37="convert",H18,0)+IF(H39="convert",Assumptions!$B$37,0)+IF(H40="convert",Assumptions!$B$36,0)+IF(H41="convert",Assumptions!$B$35,0))))+Assumptions!$B$30)&gt;Assumptions!$B$21,(((Assumptions!$B$49-(IF(H35="preference",Assumptions!$B$3,0)+IF(H36="preference",(Assumptions!$B$34*Assumptions!$B$20),0)+IF(H37="preference",(Assumptions!$B$33*Assumptions!$B$19),0)+IF(H39="preference",(Assumptions!$B$37*Assumptions!$B$16),0)+IF(H40="preference",(Assumptions!$B$36*Assumptions!$B$15),0)+IF(H41="preference",(Assumptions!$B$35*Assumptions!$B$14),0))))+Assumptions!$B$30*Assumptions!$B$21)/(((H32+Assumptions!$B$38+(IF(H35="convert",H13,0)+IF(H36="convert",H19,0)+IF(H37="convert",H18,0)+IF(H39="convert",Assumptions!$B$37,0)+IF(H40="convert",Assumptions!$B$36,0)+IF(H41="convert",Assumptions!$B$35,0))))+Assumptions!$B$30),((Assumptions!$B$49-(IF(H35="preference",Assumptions!$B$3,0)+IF(H36="preference",(Assumptions!$B$34*Assumptions!$B$20),0)+IF(H37="preference",(Assumptions!$B$33*Assumptions!$B$19),0)+IF(H39="preference",(Assumptions!$B$37*Assumptions!$B$16),0)+IF(H40="preference",(Assumptions!$B$36*Assumptions!$B$15),0)+IF(H41="preference",(Assumptions!$B$35*Assumptions!$B$14),0))))/((H32+Assumptions!$B$38+(IF(H35="convert",H13,0)+IF(H36="convert",H19,0)+IF(H37="convert",H18,0)+IF(H39="convert",Assumptions!$B$37,0)+IF(H40="convert",Assumptions!$B$36,0)+IF(H41="convert",Assumptions!$B$35,0))))))*Assumptions!$B$38,"preference","convert")</f>
        <v/>
      </c>
      <c r="I46">
        <f>IF((Assumptions!$B$38*Assumptions!$B$17)&gt;(IF((((Assumptions!$B$49-(IF(I35="preference",Assumptions!$B$3,0)+IF(I36="preference",(Assumptions!$B$34*Assumptions!$B$20),0)+IF(I37="preference",(Assumptions!$B$33*Assumptions!$B$19),0)+IF(I39="preference",(Assumptions!$B$37*Assumptions!$B$16),0)+IF(I40="preference",(Assumptions!$B$36*Assumptions!$B$15),0)+IF(I41="preference",(Assumptions!$B$35*Assumptions!$B$14),0))))+Assumptions!$B$30*Assumptions!$B$21)/(((I32+Assumptions!$B$38+(IF(I35="convert",I13,0)+IF(I36="convert",I19,0)+IF(I37="convert",I18,0)+IF(I39="convert",Assumptions!$B$37,0)+IF(I40="convert",Assumptions!$B$36,0)+IF(I41="convert",Assumptions!$B$35,0))))+Assumptions!$B$30)&gt;Assumptions!$B$21,(((Assumptions!$B$49-(IF(I35="preference",Assumptions!$B$3,0)+IF(I36="preference",(Assumptions!$B$34*Assumptions!$B$20),0)+IF(I37="preference",(Assumptions!$B$33*Assumptions!$B$19),0)+IF(I39="preference",(Assumptions!$B$37*Assumptions!$B$16),0)+IF(I40="preference",(Assumptions!$B$36*Assumptions!$B$15),0)+IF(I41="preference",(Assumptions!$B$35*Assumptions!$B$14),0))))+Assumptions!$B$30*Assumptions!$B$21)/(((I32+Assumptions!$B$38+(IF(I35="convert",I13,0)+IF(I36="convert",I19,0)+IF(I37="convert",I18,0)+IF(I39="convert",Assumptions!$B$37,0)+IF(I40="convert",Assumptions!$B$36,0)+IF(I41="convert",Assumptions!$B$35,0))))+Assumptions!$B$30),((Assumptions!$B$49-(IF(I35="preference",Assumptions!$B$3,0)+IF(I36="preference",(Assumptions!$B$34*Assumptions!$B$20),0)+IF(I37="preference",(Assumptions!$B$33*Assumptions!$B$19),0)+IF(I39="preference",(Assumptions!$B$37*Assumptions!$B$16),0)+IF(I40="preference",(Assumptions!$B$36*Assumptions!$B$15),0)+IF(I41="preference",(Assumptions!$B$35*Assumptions!$B$14),0))))/((I32+Assumptions!$B$38+(IF(I35="convert",I13,0)+IF(I36="convert",I19,0)+IF(I37="convert",I18,0)+IF(I39="convert",Assumptions!$B$37,0)+IF(I40="convert",Assumptions!$B$36,0)+IF(I41="convert",Assumptions!$B$35,0))))))*Assumptions!$B$38,"preference","convert")</f>
        <v/>
      </c>
      <c r="J46">
        <f>IF((Assumptions!$B$38*Assumptions!$B$17)&gt;(IF((((Assumptions!$B$49-(IF(J35="preference",Assumptions!$B$3,0)+IF(J36="preference",(Assumptions!$B$34*Assumptions!$B$20),0)+IF(J37="preference",(Assumptions!$B$33*Assumptions!$B$19),0)+IF(J39="preference",(Assumptions!$B$37*Assumptions!$B$16),0)+IF(J40="preference",(Assumptions!$B$36*Assumptions!$B$15),0)+IF(J41="preference",(Assumptions!$B$35*Assumptions!$B$14),0))))+Assumptions!$B$30*Assumptions!$B$21)/(((J32+Assumptions!$B$38+(IF(J35="convert",J13,0)+IF(J36="convert",J19,0)+IF(J37="convert",J18,0)+IF(J39="convert",Assumptions!$B$37,0)+IF(J40="convert",Assumptions!$B$36,0)+IF(J41="convert",Assumptions!$B$35,0))))+Assumptions!$B$30)&gt;Assumptions!$B$21,(((Assumptions!$B$49-(IF(J35="preference",Assumptions!$B$3,0)+IF(J36="preference",(Assumptions!$B$34*Assumptions!$B$20),0)+IF(J37="preference",(Assumptions!$B$33*Assumptions!$B$19),0)+IF(J39="preference",(Assumptions!$B$37*Assumptions!$B$16),0)+IF(J40="preference",(Assumptions!$B$36*Assumptions!$B$15),0)+IF(J41="preference",(Assumptions!$B$35*Assumptions!$B$14),0))))+Assumptions!$B$30*Assumptions!$B$21)/(((J32+Assumptions!$B$38+(IF(J35="convert",J13,0)+IF(J36="convert",J19,0)+IF(J37="convert",J18,0)+IF(J39="convert",Assumptions!$B$37,0)+IF(J40="convert",Assumptions!$B$36,0)+IF(J41="convert",Assumptions!$B$35,0))))+Assumptions!$B$30),((Assumptions!$B$49-(IF(J35="preference",Assumptions!$B$3,0)+IF(J36="preference",(Assumptions!$B$34*Assumptions!$B$20),0)+IF(J37="preference",(Assumptions!$B$33*Assumptions!$B$19),0)+IF(J39="preference",(Assumptions!$B$37*Assumptions!$B$16),0)+IF(J40="preference",(Assumptions!$B$36*Assumptions!$B$15),0)+IF(J41="preference",(Assumptions!$B$35*Assumptions!$B$14),0))))/((J32+Assumptions!$B$38+(IF(J35="convert",J13,0)+IF(J36="convert",J19,0)+IF(J37="convert",J18,0)+IF(J39="convert",Assumptions!$B$37,0)+IF(J40="convert",Assumptions!$B$36,0)+IF(J41="convert",Assumptions!$B$35,0))))))*Assumptions!$B$38,"preference","convert")</f>
        <v/>
      </c>
    </row>
    <row r="47">
      <c r="A47" t="inlineStr">
        <is>
          <t xml:space="preserve">  B</t>
        </is>
      </c>
      <c r="B47">
        <f>IF((Assumptions!$B$37*Assumptions!$B$16)&gt;(IF((((Assumptions!$B$49-(IF(B35="preference",Assumptions!$B$3,0)+IF(B36="preference",(Assumptions!$B$34*Assumptions!$B$20),0)+IF(B37="preference",(Assumptions!$B$33*Assumptions!$B$19),0)+IF(B38="preference",(Assumptions!$B$38*Assumptions!$B$17),0)+IF(B40="preference",(Assumptions!$B$36*Assumptions!$B$15),0)+IF(B41="preference",(Assumptions!$B$35*Assumptions!$B$14),0))))+Assumptions!$B$30*Assumptions!$B$21)/(((B32+Assumptions!$B$37+(IF(B35="convert",B13,0)+IF(B36="convert",B19,0)+IF(B37="convert",B18,0)+IF(B38="convert",Assumptions!$B$38,0)+IF(B40="convert",Assumptions!$B$36,0)+IF(B41="convert",Assumptions!$B$35,0))))+Assumptions!$B$30)&gt;Assumptions!$B$21,(((Assumptions!$B$49-(IF(B35="preference",Assumptions!$B$3,0)+IF(B36="preference",(Assumptions!$B$34*Assumptions!$B$20),0)+IF(B37="preference",(Assumptions!$B$33*Assumptions!$B$19),0)+IF(B38="preference",(Assumptions!$B$38*Assumptions!$B$17),0)+IF(B40="preference",(Assumptions!$B$36*Assumptions!$B$15),0)+IF(B41="preference",(Assumptions!$B$35*Assumptions!$B$14),0))))+Assumptions!$B$30*Assumptions!$B$21)/(((B32+Assumptions!$B$37+(IF(B35="convert",B13,0)+IF(B36="convert",B19,0)+IF(B37="convert",B18,0)+IF(B38="convert",Assumptions!$B$38,0)+IF(B40="convert",Assumptions!$B$36,0)+IF(B41="convert",Assumptions!$B$35,0))))+Assumptions!$B$30),((Assumptions!$B$49-(IF(B35="preference",Assumptions!$B$3,0)+IF(B36="preference",(Assumptions!$B$34*Assumptions!$B$20),0)+IF(B37="preference",(Assumptions!$B$33*Assumptions!$B$19),0)+IF(B38="preference",(Assumptions!$B$38*Assumptions!$B$17),0)+IF(B40="preference",(Assumptions!$B$36*Assumptions!$B$15),0)+IF(B41="preference",(Assumptions!$B$35*Assumptions!$B$14),0))))/((B32+Assumptions!$B$37+(IF(B35="convert",B13,0)+IF(B36="convert",B19,0)+IF(B37="convert",B18,0)+IF(B38="convert",Assumptions!$B$38,0)+IF(B40="convert",Assumptions!$B$36,0)+IF(B41="convert",Assumptions!$B$35,0))))))*Assumptions!$B$37,"preference","convert")</f>
        <v/>
      </c>
      <c r="C47">
        <f>IF((Assumptions!$B$37*Assumptions!$B$16)&gt;(IF((((Assumptions!$B$49-(IF(C35="preference",Assumptions!$B$3,0)+IF(C36="preference",(Assumptions!$B$34*Assumptions!$B$20),0)+IF(C37="preference",(Assumptions!$B$33*Assumptions!$B$19),0)+IF(C38="preference",(Assumptions!$B$38*Assumptions!$B$17),0)+IF(C40="preference",(Assumptions!$B$36*Assumptions!$B$15),0)+IF(C41="preference",(Assumptions!$B$35*Assumptions!$B$14),0))))+Assumptions!$B$30*Assumptions!$B$21)/(((C32+Assumptions!$B$37+(IF(C35="convert",C13,0)+IF(C36="convert",C19,0)+IF(C37="convert",C18,0)+IF(C38="convert",Assumptions!$B$38,0)+IF(C40="convert",Assumptions!$B$36,0)+IF(C41="convert",Assumptions!$B$35,0))))+Assumptions!$B$30)&gt;Assumptions!$B$21,(((Assumptions!$B$49-(IF(C35="preference",Assumptions!$B$3,0)+IF(C36="preference",(Assumptions!$B$34*Assumptions!$B$20),0)+IF(C37="preference",(Assumptions!$B$33*Assumptions!$B$19),0)+IF(C38="preference",(Assumptions!$B$38*Assumptions!$B$17),0)+IF(C40="preference",(Assumptions!$B$36*Assumptions!$B$15),0)+IF(C41="preference",(Assumptions!$B$35*Assumptions!$B$14),0))))+Assumptions!$B$30*Assumptions!$B$21)/(((C32+Assumptions!$B$37+(IF(C35="convert",C13,0)+IF(C36="convert",C19,0)+IF(C37="convert",C18,0)+IF(C38="convert",Assumptions!$B$38,0)+IF(C40="convert",Assumptions!$B$36,0)+IF(C41="convert",Assumptions!$B$35,0))))+Assumptions!$B$30),((Assumptions!$B$49-(IF(C35="preference",Assumptions!$B$3,0)+IF(C36="preference",(Assumptions!$B$34*Assumptions!$B$20),0)+IF(C37="preference",(Assumptions!$B$33*Assumptions!$B$19),0)+IF(C38="preference",(Assumptions!$B$38*Assumptions!$B$17),0)+IF(C40="preference",(Assumptions!$B$36*Assumptions!$B$15),0)+IF(C41="preference",(Assumptions!$B$35*Assumptions!$B$14),0))))/((C32+Assumptions!$B$37+(IF(C35="convert",C13,0)+IF(C36="convert",C19,0)+IF(C37="convert",C18,0)+IF(C38="convert",Assumptions!$B$38,0)+IF(C40="convert",Assumptions!$B$36,0)+IF(C41="convert",Assumptions!$B$35,0))))))*Assumptions!$B$37,"preference","convert")</f>
        <v/>
      </c>
      <c r="D47">
        <f>IF((Assumptions!$B$37*Assumptions!$B$16)&gt;(IF((((Assumptions!$B$49-(IF(D35="preference",Assumptions!$B$3,0)+IF(D36="preference",(Assumptions!$B$34*Assumptions!$B$20),0)+IF(D37="preference",(Assumptions!$B$33*Assumptions!$B$19),0)+IF(D38="preference",(Assumptions!$B$38*Assumptions!$B$17),0)+IF(D40="preference",(Assumptions!$B$36*Assumptions!$B$15),0)+IF(D41="preference",(Assumptions!$B$35*Assumptions!$B$14),0))))+Assumptions!$B$30*Assumptions!$B$21)/(((D32+Assumptions!$B$37+(IF(D35="convert",D13,0)+IF(D36="convert",D19,0)+IF(D37="convert",D18,0)+IF(D38="convert",Assumptions!$B$38,0)+IF(D40="convert",Assumptions!$B$36,0)+IF(D41="convert",Assumptions!$B$35,0))))+Assumptions!$B$30)&gt;Assumptions!$B$21,(((Assumptions!$B$49-(IF(D35="preference",Assumptions!$B$3,0)+IF(D36="preference",(Assumptions!$B$34*Assumptions!$B$20),0)+IF(D37="preference",(Assumptions!$B$33*Assumptions!$B$19),0)+IF(D38="preference",(Assumptions!$B$38*Assumptions!$B$17),0)+IF(D40="preference",(Assumptions!$B$36*Assumptions!$B$15),0)+IF(D41="preference",(Assumptions!$B$35*Assumptions!$B$14),0))))+Assumptions!$B$30*Assumptions!$B$21)/(((D32+Assumptions!$B$37+(IF(D35="convert",D13,0)+IF(D36="convert",D19,0)+IF(D37="convert",D18,0)+IF(D38="convert",Assumptions!$B$38,0)+IF(D40="convert",Assumptions!$B$36,0)+IF(D41="convert",Assumptions!$B$35,0))))+Assumptions!$B$30),((Assumptions!$B$49-(IF(D35="preference",Assumptions!$B$3,0)+IF(D36="preference",(Assumptions!$B$34*Assumptions!$B$20),0)+IF(D37="preference",(Assumptions!$B$33*Assumptions!$B$19),0)+IF(D38="preference",(Assumptions!$B$38*Assumptions!$B$17),0)+IF(D40="preference",(Assumptions!$B$36*Assumptions!$B$15),0)+IF(D41="preference",(Assumptions!$B$35*Assumptions!$B$14),0))))/((D32+Assumptions!$B$37+(IF(D35="convert",D13,0)+IF(D36="convert",D19,0)+IF(D37="convert",D18,0)+IF(D38="convert",Assumptions!$B$38,0)+IF(D40="convert",Assumptions!$B$36,0)+IF(D41="convert",Assumptions!$B$35,0))))))*Assumptions!$B$37,"preference","convert")</f>
        <v/>
      </c>
      <c r="E47">
        <f>IF((Assumptions!$B$37*Assumptions!$B$16)&gt;(IF((((Assumptions!$B$49-(IF(E35="preference",Assumptions!$B$3,0)+IF(E36="preference",(Assumptions!$B$34*Assumptions!$B$20),0)+IF(E37="preference",(Assumptions!$B$33*Assumptions!$B$19),0)+IF(E38="preference",(Assumptions!$B$38*Assumptions!$B$17),0)+IF(E40="preference",(Assumptions!$B$36*Assumptions!$B$15),0)+IF(E41="preference",(Assumptions!$B$35*Assumptions!$B$14),0))))+Assumptions!$B$30*Assumptions!$B$21)/(((E32+Assumptions!$B$37+(IF(E35="convert",E13,0)+IF(E36="convert",E19,0)+IF(E37="convert",E18,0)+IF(E38="convert",Assumptions!$B$38,0)+IF(E40="convert",Assumptions!$B$36,0)+IF(E41="convert",Assumptions!$B$35,0))))+Assumptions!$B$30)&gt;Assumptions!$B$21,(((Assumptions!$B$49-(IF(E35="preference",Assumptions!$B$3,0)+IF(E36="preference",(Assumptions!$B$34*Assumptions!$B$20),0)+IF(E37="preference",(Assumptions!$B$33*Assumptions!$B$19),0)+IF(E38="preference",(Assumptions!$B$38*Assumptions!$B$17),0)+IF(E40="preference",(Assumptions!$B$36*Assumptions!$B$15),0)+IF(E41="preference",(Assumptions!$B$35*Assumptions!$B$14),0))))+Assumptions!$B$30*Assumptions!$B$21)/(((E32+Assumptions!$B$37+(IF(E35="convert",E13,0)+IF(E36="convert",E19,0)+IF(E37="convert",E18,0)+IF(E38="convert",Assumptions!$B$38,0)+IF(E40="convert",Assumptions!$B$36,0)+IF(E41="convert",Assumptions!$B$35,0))))+Assumptions!$B$30),((Assumptions!$B$49-(IF(E35="preference",Assumptions!$B$3,0)+IF(E36="preference",(Assumptions!$B$34*Assumptions!$B$20),0)+IF(E37="preference",(Assumptions!$B$33*Assumptions!$B$19),0)+IF(E38="preference",(Assumptions!$B$38*Assumptions!$B$17),0)+IF(E40="preference",(Assumptions!$B$36*Assumptions!$B$15),0)+IF(E41="preference",(Assumptions!$B$35*Assumptions!$B$14),0))))/((E32+Assumptions!$B$37+(IF(E35="convert",E13,0)+IF(E36="convert",E19,0)+IF(E37="convert",E18,0)+IF(E38="convert",Assumptions!$B$38,0)+IF(E40="convert",Assumptions!$B$36,0)+IF(E41="convert",Assumptions!$B$35,0))))))*Assumptions!$B$37,"preference","convert")</f>
        <v/>
      </c>
      <c r="F47">
        <f>IF((Assumptions!$B$37*Assumptions!$B$16)&gt;(IF((((Assumptions!$B$49-(IF(F35="preference",Assumptions!$B$3,0)+IF(F36="preference",(Assumptions!$B$34*Assumptions!$B$20),0)+IF(F37="preference",(Assumptions!$B$33*Assumptions!$B$19),0)+IF(F38="preference",(Assumptions!$B$38*Assumptions!$B$17),0)+IF(F40="preference",(Assumptions!$B$36*Assumptions!$B$15),0)+IF(F41="preference",(Assumptions!$B$35*Assumptions!$B$14),0))))+Assumptions!$B$30*Assumptions!$B$21)/(((F32+Assumptions!$B$37+(IF(F35="convert",F13,0)+IF(F36="convert",F19,0)+IF(F37="convert",F18,0)+IF(F38="convert",Assumptions!$B$38,0)+IF(F40="convert",Assumptions!$B$36,0)+IF(F41="convert",Assumptions!$B$35,0))))+Assumptions!$B$30)&gt;Assumptions!$B$21,(((Assumptions!$B$49-(IF(F35="preference",Assumptions!$B$3,0)+IF(F36="preference",(Assumptions!$B$34*Assumptions!$B$20),0)+IF(F37="preference",(Assumptions!$B$33*Assumptions!$B$19),0)+IF(F38="preference",(Assumptions!$B$38*Assumptions!$B$17),0)+IF(F40="preference",(Assumptions!$B$36*Assumptions!$B$15),0)+IF(F41="preference",(Assumptions!$B$35*Assumptions!$B$14),0))))+Assumptions!$B$30*Assumptions!$B$21)/(((F32+Assumptions!$B$37+(IF(F35="convert",F13,0)+IF(F36="convert",F19,0)+IF(F37="convert",F18,0)+IF(F38="convert",Assumptions!$B$38,0)+IF(F40="convert",Assumptions!$B$36,0)+IF(F41="convert",Assumptions!$B$35,0))))+Assumptions!$B$30),((Assumptions!$B$49-(IF(F35="preference",Assumptions!$B$3,0)+IF(F36="preference",(Assumptions!$B$34*Assumptions!$B$20),0)+IF(F37="preference",(Assumptions!$B$33*Assumptions!$B$19),0)+IF(F38="preference",(Assumptions!$B$38*Assumptions!$B$17),0)+IF(F40="preference",(Assumptions!$B$36*Assumptions!$B$15),0)+IF(F41="preference",(Assumptions!$B$35*Assumptions!$B$14),0))))/((F32+Assumptions!$B$37+(IF(F35="convert",F13,0)+IF(F36="convert",F19,0)+IF(F37="convert",F18,0)+IF(F38="convert",Assumptions!$B$38,0)+IF(F40="convert",Assumptions!$B$36,0)+IF(F41="convert",Assumptions!$B$35,0))))))*Assumptions!$B$37,"preference","convert")</f>
        <v/>
      </c>
      <c r="G47">
        <f>IF((Assumptions!$B$37*Assumptions!$B$16)&gt;(IF((((Assumptions!$B$49-(IF(G35="preference",Assumptions!$B$3,0)+IF(G36="preference",(Assumptions!$B$34*Assumptions!$B$20),0)+IF(G37="preference",(Assumptions!$B$33*Assumptions!$B$19),0)+IF(G38="preference",(Assumptions!$B$38*Assumptions!$B$17),0)+IF(G40="preference",(Assumptions!$B$36*Assumptions!$B$15),0)+IF(G41="preference",(Assumptions!$B$35*Assumptions!$B$14),0))))+Assumptions!$B$30*Assumptions!$B$21)/(((G32+Assumptions!$B$37+(IF(G35="convert",G13,0)+IF(G36="convert",G19,0)+IF(G37="convert",G18,0)+IF(G38="convert",Assumptions!$B$38,0)+IF(G40="convert",Assumptions!$B$36,0)+IF(G41="convert",Assumptions!$B$35,0))))+Assumptions!$B$30)&gt;Assumptions!$B$21,(((Assumptions!$B$49-(IF(G35="preference",Assumptions!$B$3,0)+IF(G36="preference",(Assumptions!$B$34*Assumptions!$B$20),0)+IF(G37="preference",(Assumptions!$B$33*Assumptions!$B$19),0)+IF(G38="preference",(Assumptions!$B$38*Assumptions!$B$17),0)+IF(G40="preference",(Assumptions!$B$36*Assumptions!$B$15),0)+IF(G41="preference",(Assumptions!$B$35*Assumptions!$B$14),0))))+Assumptions!$B$30*Assumptions!$B$21)/(((G32+Assumptions!$B$37+(IF(G35="convert",G13,0)+IF(G36="convert",G19,0)+IF(G37="convert",G18,0)+IF(G38="convert",Assumptions!$B$38,0)+IF(G40="convert",Assumptions!$B$36,0)+IF(G41="convert",Assumptions!$B$35,0))))+Assumptions!$B$30),((Assumptions!$B$49-(IF(G35="preference",Assumptions!$B$3,0)+IF(G36="preference",(Assumptions!$B$34*Assumptions!$B$20),0)+IF(G37="preference",(Assumptions!$B$33*Assumptions!$B$19),0)+IF(G38="preference",(Assumptions!$B$38*Assumptions!$B$17),0)+IF(G40="preference",(Assumptions!$B$36*Assumptions!$B$15),0)+IF(G41="preference",(Assumptions!$B$35*Assumptions!$B$14),0))))/((G32+Assumptions!$B$37+(IF(G35="convert",G13,0)+IF(G36="convert",G19,0)+IF(G37="convert",G18,0)+IF(G38="convert",Assumptions!$B$38,0)+IF(G40="convert",Assumptions!$B$36,0)+IF(G41="convert",Assumptions!$B$35,0))))))*Assumptions!$B$37,"preference","convert")</f>
        <v/>
      </c>
      <c r="H47">
        <f>IF((Assumptions!$B$37*Assumptions!$B$16)&gt;(IF((((Assumptions!$B$49-(IF(H35="preference",Assumptions!$B$3,0)+IF(H36="preference",(Assumptions!$B$34*Assumptions!$B$20),0)+IF(H37="preference",(Assumptions!$B$33*Assumptions!$B$19),0)+IF(H38="preference",(Assumptions!$B$38*Assumptions!$B$17),0)+IF(H40="preference",(Assumptions!$B$36*Assumptions!$B$15),0)+IF(H41="preference",(Assumptions!$B$35*Assumptions!$B$14),0))))+Assumptions!$B$30*Assumptions!$B$21)/(((H32+Assumptions!$B$37+(IF(H35="convert",H13,0)+IF(H36="convert",H19,0)+IF(H37="convert",H18,0)+IF(H38="convert",Assumptions!$B$38,0)+IF(H40="convert",Assumptions!$B$36,0)+IF(H41="convert",Assumptions!$B$35,0))))+Assumptions!$B$30)&gt;Assumptions!$B$21,(((Assumptions!$B$49-(IF(H35="preference",Assumptions!$B$3,0)+IF(H36="preference",(Assumptions!$B$34*Assumptions!$B$20),0)+IF(H37="preference",(Assumptions!$B$33*Assumptions!$B$19),0)+IF(H38="preference",(Assumptions!$B$38*Assumptions!$B$17),0)+IF(H40="preference",(Assumptions!$B$36*Assumptions!$B$15),0)+IF(H41="preference",(Assumptions!$B$35*Assumptions!$B$14),0))))+Assumptions!$B$30*Assumptions!$B$21)/(((H32+Assumptions!$B$37+(IF(H35="convert",H13,0)+IF(H36="convert",H19,0)+IF(H37="convert",H18,0)+IF(H38="convert",Assumptions!$B$38,0)+IF(H40="convert",Assumptions!$B$36,0)+IF(H41="convert",Assumptions!$B$35,0))))+Assumptions!$B$30),((Assumptions!$B$49-(IF(H35="preference",Assumptions!$B$3,0)+IF(H36="preference",(Assumptions!$B$34*Assumptions!$B$20),0)+IF(H37="preference",(Assumptions!$B$33*Assumptions!$B$19),0)+IF(H38="preference",(Assumptions!$B$38*Assumptions!$B$17),0)+IF(H40="preference",(Assumptions!$B$36*Assumptions!$B$15),0)+IF(H41="preference",(Assumptions!$B$35*Assumptions!$B$14),0))))/((H32+Assumptions!$B$37+(IF(H35="convert",H13,0)+IF(H36="convert",H19,0)+IF(H37="convert",H18,0)+IF(H38="convert",Assumptions!$B$38,0)+IF(H40="convert",Assumptions!$B$36,0)+IF(H41="convert",Assumptions!$B$35,0))))))*Assumptions!$B$37,"preference","convert")</f>
        <v/>
      </c>
      <c r="I47">
        <f>IF((Assumptions!$B$37*Assumptions!$B$16)&gt;(IF((((Assumptions!$B$49-(IF(I35="preference",Assumptions!$B$3,0)+IF(I36="preference",(Assumptions!$B$34*Assumptions!$B$20),0)+IF(I37="preference",(Assumptions!$B$33*Assumptions!$B$19),0)+IF(I38="preference",(Assumptions!$B$38*Assumptions!$B$17),0)+IF(I40="preference",(Assumptions!$B$36*Assumptions!$B$15),0)+IF(I41="preference",(Assumptions!$B$35*Assumptions!$B$14),0))))+Assumptions!$B$30*Assumptions!$B$21)/(((I32+Assumptions!$B$37+(IF(I35="convert",I13,0)+IF(I36="convert",I19,0)+IF(I37="convert",I18,0)+IF(I38="convert",Assumptions!$B$38,0)+IF(I40="convert",Assumptions!$B$36,0)+IF(I41="convert",Assumptions!$B$35,0))))+Assumptions!$B$30)&gt;Assumptions!$B$21,(((Assumptions!$B$49-(IF(I35="preference",Assumptions!$B$3,0)+IF(I36="preference",(Assumptions!$B$34*Assumptions!$B$20),0)+IF(I37="preference",(Assumptions!$B$33*Assumptions!$B$19),0)+IF(I38="preference",(Assumptions!$B$38*Assumptions!$B$17),0)+IF(I40="preference",(Assumptions!$B$36*Assumptions!$B$15),0)+IF(I41="preference",(Assumptions!$B$35*Assumptions!$B$14),0))))+Assumptions!$B$30*Assumptions!$B$21)/(((I32+Assumptions!$B$37+(IF(I35="convert",I13,0)+IF(I36="convert",I19,0)+IF(I37="convert",I18,0)+IF(I38="convert",Assumptions!$B$38,0)+IF(I40="convert",Assumptions!$B$36,0)+IF(I41="convert",Assumptions!$B$35,0))))+Assumptions!$B$30),((Assumptions!$B$49-(IF(I35="preference",Assumptions!$B$3,0)+IF(I36="preference",(Assumptions!$B$34*Assumptions!$B$20),0)+IF(I37="preference",(Assumptions!$B$33*Assumptions!$B$19),0)+IF(I38="preference",(Assumptions!$B$38*Assumptions!$B$17),0)+IF(I40="preference",(Assumptions!$B$36*Assumptions!$B$15),0)+IF(I41="preference",(Assumptions!$B$35*Assumptions!$B$14),0))))/((I32+Assumptions!$B$37+(IF(I35="convert",I13,0)+IF(I36="convert",I19,0)+IF(I37="convert",I18,0)+IF(I38="convert",Assumptions!$B$38,0)+IF(I40="convert",Assumptions!$B$36,0)+IF(I41="convert",Assumptions!$B$35,0))))))*Assumptions!$B$37,"preference","convert")</f>
        <v/>
      </c>
      <c r="J47">
        <f>IF((Assumptions!$B$37*Assumptions!$B$16)&gt;(IF((((Assumptions!$B$49-(IF(J35="preference",Assumptions!$B$3,0)+IF(J36="preference",(Assumptions!$B$34*Assumptions!$B$20),0)+IF(J37="preference",(Assumptions!$B$33*Assumptions!$B$19),0)+IF(J38="preference",(Assumptions!$B$38*Assumptions!$B$17),0)+IF(J40="preference",(Assumptions!$B$36*Assumptions!$B$15),0)+IF(J41="preference",(Assumptions!$B$35*Assumptions!$B$14),0))))+Assumptions!$B$30*Assumptions!$B$21)/(((J32+Assumptions!$B$37+(IF(J35="convert",J13,0)+IF(J36="convert",J19,0)+IF(J37="convert",J18,0)+IF(J38="convert",Assumptions!$B$38,0)+IF(J40="convert",Assumptions!$B$36,0)+IF(J41="convert",Assumptions!$B$35,0))))+Assumptions!$B$30)&gt;Assumptions!$B$21,(((Assumptions!$B$49-(IF(J35="preference",Assumptions!$B$3,0)+IF(J36="preference",(Assumptions!$B$34*Assumptions!$B$20),0)+IF(J37="preference",(Assumptions!$B$33*Assumptions!$B$19),0)+IF(J38="preference",(Assumptions!$B$38*Assumptions!$B$17),0)+IF(J40="preference",(Assumptions!$B$36*Assumptions!$B$15),0)+IF(J41="preference",(Assumptions!$B$35*Assumptions!$B$14),0))))+Assumptions!$B$30*Assumptions!$B$21)/(((J32+Assumptions!$B$37+(IF(J35="convert",J13,0)+IF(J36="convert",J19,0)+IF(J37="convert",J18,0)+IF(J38="convert",Assumptions!$B$38,0)+IF(J40="convert",Assumptions!$B$36,0)+IF(J41="convert",Assumptions!$B$35,0))))+Assumptions!$B$30),((Assumptions!$B$49-(IF(J35="preference",Assumptions!$B$3,0)+IF(J36="preference",(Assumptions!$B$34*Assumptions!$B$20),0)+IF(J37="preference",(Assumptions!$B$33*Assumptions!$B$19),0)+IF(J38="preference",(Assumptions!$B$38*Assumptions!$B$17),0)+IF(J40="preference",(Assumptions!$B$36*Assumptions!$B$15),0)+IF(J41="preference",(Assumptions!$B$35*Assumptions!$B$14),0))))/((J32+Assumptions!$B$37+(IF(J35="convert",J13,0)+IF(J36="convert",J19,0)+IF(J37="convert",J18,0)+IF(J38="convert",Assumptions!$B$38,0)+IF(J40="convert",Assumptions!$B$36,0)+IF(J41="convert",Assumptions!$B$35,0))))))*Assumptions!$B$37,"preference","convert")</f>
        <v/>
      </c>
    </row>
    <row r="48">
      <c r="A48" t="inlineStr">
        <is>
          <t xml:space="preserve">  A</t>
        </is>
      </c>
      <c r="B48">
        <f>IF((Assumptions!$B$36*Assumptions!$B$15)&gt;(IF((((Assumptions!$B$49-(IF(B35="preference",Assumptions!$B$3,0)+IF(B36="preference",(Assumptions!$B$34*Assumptions!$B$20),0)+IF(B37="preference",(Assumptions!$B$33*Assumptions!$B$19),0)+IF(B38="preference",(Assumptions!$B$38*Assumptions!$B$17),0)+IF(B39="preference",(Assumptions!$B$37*Assumptions!$B$16),0)+IF(B41="preference",(Assumptions!$B$35*Assumptions!$B$14),0))))+Assumptions!$B$30*Assumptions!$B$21)/(((B32+Assumptions!$B$36+(IF(B35="convert",B13,0)+IF(B36="convert",B19,0)+IF(B37="convert",B18,0)+IF(B38="convert",Assumptions!$B$38,0)+IF(B39="convert",Assumptions!$B$37,0)+IF(B41="convert",Assumptions!$B$35,0))))+Assumptions!$B$30)&gt;Assumptions!$B$21,(((Assumptions!$B$49-(IF(B35="preference",Assumptions!$B$3,0)+IF(B36="preference",(Assumptions!$B$34*Assumptions!$B$20),0)+IF(B37="preference",(Assumptions!$B$33*Assumptions!$B$19),0)+IF(B38="preference",(Assumptions!$B$38*Assumptions!$B$17),0)+IF(B39="preference",(Assumptions!$B$37*Assumptions!$B$16),0)+IF(B41="preference",(Assumptions!$B$35*Assumptions!$B$14),0))))+Assumptions!$B$30*Assumptions!$B$21)/(((B32+Assumptions!$B$36+(IF(B35="convert",B13,0)+IF(B36="convert",B19,0)+IF(B37="convert",B18,0)+IF(B38="convert",Assumptions!$B$38,0)+IF(B39="convert",Assumptions!$B$37,0)+IF(B41="convert",Assumptions!$B$35,0))))+Assumptions!$B$30),((Assumptions!$B$49-(IF(B35="preference",Assumptions!$B$3,0)+IF(B36="preference",(Assumptions!$B$34*Assumptions!$B$20),0)+IF(B37="preference",(Assumptions!$B$33*Assumptions!$B$19),0)+IF(B38="preference",(Assumptions!$B$38*Assumptions!$B$17),0)+IF(B39="preference",(Assumptions!$B$37*Assumptions!$B$16),0)+IF(B41="preference",(Assumptions!$B$35*Assumptions!$B$14),0))))/((B32+Assumptions!$B$36+(IF(B35="convert",B13,0)+IF(B36="convert",B19,0)+IF(B37="convert",B18,0)+IF(B38="convert",Assumptions!$B$38,0)+IF(B39="convert",Assumptions!$B$37,0)+IF(B41="convert",Assumptions!$B$35,0))))))*Assumptions!$B$36,"preference","convert")</f>
        <v/>
      </c>
      <c r="C48">
        <f>IF((Assumptions!$B$36*Assumptions!$B$15)&gt;(IF((((Assumptions!$B$49-(IF(C35="preference",Assumptions!$B$3,0)+IF(C36="preference",(Assumptions!$B$34*Assumptions!$B$20),0)+IF(C37="preference",(Assumptions!$B$33*Assumptions!$B$19),0)+IF(C38="preference",(Assumptions!$B$38*Assumptions!$B$17),0)+IF(C39="preference",(Assumptions!$B$37*Assumptions!$B$16),0)+IF(C41="preference",(Assumptions!$B$35*Assumptions!$B$14),0))))+Assumptions!$B$30*Assumptions!$B$21)/(((C32+Assumptions!$B$36+(IF(C35="convert",C13,0)+IF(C36="convert",C19,0)+IF(C37="convert",C18,0)+IF(C38="convert",Assumptions!$B$38,0)+IF(C39="convert",Assumptions!$B$37,0)+IF(C41="convert",Assumptions!$B$35,0))))+Assumptions!$B$30)&gt;Assumptions!$B$21,(((Assumptions!$B$49-(IF(C35="preference",Assumptions!$B$3,0)+IF(C36="preference",(Assumptions!$B$34*Assumptions!$B$20),0)+IF(C37="preference",(Assumptions!$B$33*Assumptions!$B$19),0)+IF(C38="preference",(Assumptions!$B$38*Assumptions!$B$17),0)+IF(C39="preference",(Assumptions!$B$37*Assumptions!$B$16),0)+IF(C41="preference",(Assumptions!$B$35*Assumptions!$B$14),0))))+Assumptions!$B$30*Assumptions!$B$21)/(((C32+Assumptions!$B$36+(IF(C35="convert",C13,0)+IF(C36="convert",C19,0)+IF(C37="convert",C18,0)+IF(C38="convert",Assumptions!$B$38,0)+IF(C39="convert",Assumptions!$B$37,0)+IF(C41="convert",Assumptions!$B$35,0))))+Assumptions!$B$30),((Assumptions!$B$49-(IF(C35="preference",Assumptions!$B$3,0)+IF(C36="preference",(Assumptions!$B$34*Assumptions!$B$20),0)+IF(C37="preference",(Assumptions!$B$33*Assumptions!$B$19),0)+IF(C38="preference",(Assumptions!$B$38*Assumptions!$B$17),0)+IF(C39="preference",(Assumptions!$B$37*Assumptions!$B$16),0)+IF(C41="preference",(Assumptions!$B$35*Assumptions!$B$14),0))))/((C32+Assumptions!$B$36+(IF(C35="convert",C13,0)+IF(C36="convert",C19,0)+IF(C37="convert",C18,0)+IF(C38="convert",Assumptions!$B$38,0)+IF(C39="convert",Assumptions!$B$37,0)+IF(C41="convert",Assumptions!$B$35,0))))))*Assumptions!$B$36,"preference","convert")</f>
        <v/>
      </c>
      <c r="D48">
        <f>IF((Assumptions!$B$36*Assumptions!$B$15)&gt;(IF((((Assumptions!$B$49-(IF(D35="preference",Assumptions!$B$3,0)+IF(D36="preference",(Assumptions!$B$34*Assumptions!$B$20),0)+IF(D37="preference",(Assumptions!$B$33*Assumptions!$B$19),0)+IF(D38="preference",(Assumptions!$B$38*Assumptions!$B$17),0)+IF(D39="preference",(Assumptions!$B$37*Assumptions!$B$16),0)+IF(D41="preference",(Assumptions!$B$35*Assumptions!$B$14),0))))+Assumptions!$B$30*Assumptions!$B$21)/(((D32+Assumptions!$B$36+(IF(D35="convert",D13,0)+IF(D36="convert",D19,0)+IF(D37="convert",D18,0)+IF(D38="convert",Assumptions!$B$38,0)+IF(D39="convert",Assumptions!$B$37,0)+IF(D41="convert",Assumptions!$B$35,0))))+Assumptions!$B$30)&gt;Assumptions!$B$21,(((Assumptions!$B$49-(IF(D35="preference",Assumptions!$B$3,0)+IF(D36="preference",(Assumptions!$B$34*Assumptions!$B$20),0)+IF(D37="preference",(Assumptions!$B$33*Assumptions!$B$19),0)+IF(D38="preference",(Assumptions!$B$38*Assumptions!$B$17),0)+IF(D39="preference",(Assumptions!$B$37*Assumptions!$B$16),0)+IF(D41="preference",(Assumptions!$B$35*Assumptions!$B$14),0))))+Assumptions!$B$30*Assumptions!$B$21)/(((D32+Assumptions!$B$36+(IF(D35="convert",D13,0)+IF(D36="convert",D19,0)+IF(D37="convert",D18,0)+IF(D38="convert",Assumptions!$B$38,0)+IF(D39="convert",Assumptions!$B$37,0)+IF(D41="convert",Assumptions!$B$35,0))))+Assumptions!$B$30),((Assumptions!$B$49-(IF(D35="preference",Assumptions!$B$3,0)+IF(D36="preference",(Assumptions!$B$34*Assumptions!$B$20),0)+IF(D37="preference",(Assumptions!$B$33*Assumptions!$B$19),0)+IF(D38="preference",(Assumptions!$B$38*Assumptions!$B$17),0)+IF(D39="preference",(Assumptions!$B$37*Assumptions!$B$16),0)+IF(D41="preference",(Assumptions!$B$35*Assumptions!$B$14),0))))/((D32+Assumptions!$B$36+(IF(D35="convert",D13,0)+IF(D36="convert",D19,0)+IF(D37="convert",D18,0)+IF(D38="convert",Assumptions!$B$38,0)+IF(D39="convert",Assumptions!$B$37,0)+IF(D41="convert",Assumptions!$B$35,0))))))*Assumptions!$B$36,"preference","convert")</f>
        <v/>
      </c>
      <c r="E48">
        <f>IF((Assumptions!$B$36*Assumptions!$B$15)&gt;(IF((((Assumptions!$B$49-(IF(E35="preference",Assumptions!$B$3,0)+IF(E36="preference",(Assumptions!$B$34*Assumptions!$B$20),0)+IF(E37="preference",(Assumptions!$B$33*Assumptions!$B$19),0)+IF(E38="preference",(Assumptions!$B$38*Assumptions!$B$17),0)+IF(E39="preference",(Assumptions!$B$37*Assumptions!$B$16),0)+IF(E41="preference",(Assumptions!$B$35*Assumptions!$B$14),0))))+Assumptions!$B$30*Assumptions!$B$21)/(((E32+Assumptions!$B$36+(IF(E35="convert",E13,0)+IF(E36="convert",E19,0)+IF(E37="convert",E18,0)+IF(E38="convert",Assumptions!$B$38,0)+IF(E39="convert",Assumptions!$B$37,0)+IF(E41="convert",Assumptions!$B$35,0))))+Assumptions!$B$30)&gt;Assumptions!$B$21,(((Assumptions!$B$49-(IF(E35="preference",Assumptions!$B$3,0)+IF(E36="preference",(Assumptions!$B$34*Assumptions!$B$20),0)+IF(E37="preference",(Assumptions!$B$33*Assumptions!$B$19),0)+IF(E38="preference",(Assumptions!$B$38*Assumptions!$B$17),0)+IF(E39="preference",(Assumptions!$B$37*Assumptions!$B$16),0)+IF(E41="preference",(Assumptions!$B$35*Assumptions!$B$14),0))))+Assumptions!$B$30*Assumptions!$B$21)/(((E32+Assumptions!$B$36+(IF(E35="convert",E13,0)+IF(E36="convert",E19,0)+IF(E37="convert",E18,0)+IF(E38="convert",Assumptions!$B$38,0)+IF(E39="convert",Assumptions!$B$37,0)+IF(E41="convert",Assumptions!$B$35,0))))+Assumptions!$B$30),((Assumptions!$B$49-(IF(E35="preference",Assumptions!$B$3,0)+IF(E36="preference",(Assumptions!$B$34*Assumptions!$B$20),0)+IF(E37="preference",(Assumptions!$B$33*Assumptions!$B$19),0)+IF(E38="preference",(Assumptions!$B$38*Assumptions!$B$17),0)+IF(E39="preference",(Assumptions!$B$37*Assumptions!$B$16),0)+IF(E41="preference",(Assumptions!$B$35*Assumptions!$B$14),0))))/((E32+Assumptions!$B$36+(IF(E35="convert",E13,0)+IF(E36="convert",E19,0)+IF(E37="convert",E18,0)+IF(E38="convert",Assumptions!$B$38,0)+IF(E39="convert",Assumptions!$B$37,0)+IF(E41="convert",Assumptions!$B$35,0))))))*Assumptions!$B$36,"preference","convert")</f>
        <v/>
      </c>
      <c r="F48">
        <f>IF((Assumptions!$B$36*Assumptions!$B$15)&gt;(IF((((Assumptions!$B$49-(IF(F35="preference",Assumptions!$B$3,0)+IF(F36="preference",(Assumptions!$B$34*Assumptions!$B$20),0)+IF(F37="preference",(Assumptions!$B$33*Assumptions!$B$19),0)+IF(F38="preference",(Assumptions!$B$38*Assumptions!$B$17),0)+IF(F39="preference",(Assumptions!$B$37*Assumptions!$B$16),0)+IF(F41="preference",(Assumptions!$B$35*Assumptions!$B$14),0))))+Assumptions!$B$30*Assumptions!$B$21)/(((F32+Assumptions!$B$36+(IF(F35="convert",F13,0)+IF(F36="convert",F19,0)+IF(F37="convert",F18,0)+IF(F38="convert",Assumptions!$B$38,0)+IF(F39="convert",Assumptions!$B$37,0)+IF(F41="convert",Assumptions!$B$35,0))))+Assumptions!$B$30)&gt;Assumptions!$B$21,(((Assumptions!$B$49-(IF(F35="preference",Assumptions!$B$3,0)+IF(F36="preference",(Assumptions!$B$34*Assumptions!$B$20),0)+IF(F37="preference",(Assumptions!$B$33*Assumptions!$B$19),0)+IF(F38="preference",(Assumptions!$B$38*Assumptions!$B$17),0)+IF(F39="preference",(Assumptions!$B$37*Assumptions!$B$16),0)+IF(F41="preference",(Assumptions!$B$35*Assumptions!$B$14),0))))+Assumptions!$B$30*Assumptions!$B$21)/(((F32+Assumptions!$B$36+(IF(F35="convert",F13,0)+IF(F36="convert",F19,0)+IF(F37="convert",F18,0)+IF(F38="convert",Assumptions!$B$38,0)+IF(F39="convert",Assumptions!$B$37,0)+IF(F41="convert",Assumptions!$B$35,0))))+Assumptions!$B$30),((Assumptions!$B$49-(IF(F35="preference",Assumptions!$B$3,0)+IF(F36="preference",(Assumptions!$B$34*Assumptions!$B$20),0)+IF(F37="preference",(Assumptions!$B$33*Assumptions!$B$19),0)+IF(F38="preference",(Assumptions!$B$38*Assumptions!$B$17),0)+IF(F39="preference",(Assumptions!$B$37*Assumptions!$B$16),0)+IF(F41="preference",(Assumptions!$B$35*Assumptions!$B$14),0))))/((F32+Assumptions!$B$36+(IF(F35="convert",F13,0)+IF(F36="convert",F19,0)+IF(F37="convert",F18,0)+IF(F38="convert",Assumptions!$B$38,0)+IF(F39="convert",Assumptions!$B$37,0)+IF(F41="convert",Assumptions!$B$35,0))))))*Assumptions!$B$36,"preference","convert")</f>
        <v/>
      </c>
      <c r="G48">
        <f>IF((Assumptions!$B$36*Assumptions!$B$15)&gt;(IF((((Assumptions!$B$49-(IF(G35="preference",Assumptions!$B$3,0)+IF(G36="preference",(Assumptions!$B$34*Assumptions!$B$20),0)+IF(G37="preference",(Assumptions!$B$33*Assumptions!$B$19),0)+IF(G38="preference",(Assumptions!$B$38*Assumptions!$B$17),0)+IF(G39="preference",(Assumptions!$B$37*Assumptions!$B$16),0)+IF(G41="preference",(Assumptions!$B$35*Assumptions!$B$14),0))))+Assumptions!$B$30*Assumptions!$B$21)/(((G32+Assumptions!$B$36+(IF(G35="convert",G13,0)+IF(G36="convert",G19,0)+IF(G37="convert",G18,0)+IF(G38="convert",Assumptions!$B$38,0)+IF(G39="convert",Assumptions!$B$37,0)+IF(G41="convert",Assumptions!$B$35,0))))+Assumptions!$B$30)&gt;Assumptions!$B$21,(((Assumptions!$B$49-(IF(G35="preference",Assumptions!$B$3,0)+IF(G36="preference",(Assumptions!$B$34*Assumptions!$B$20),0)+IF(G37="preference",(Assumptions!$B$33*Assumptions!$B$19),0)+IF(G38="preference",(Assumptions!$B$38*Assumptions!$B$17),0)+IF(G39="preference",(Assumptions!$B$37*Assumptions!$B$16),0)+IF(G41="preference",(Assumptions!$B$35*Assumptions!$B$14),0))))+Assumptions!$B$30*Assumptions!$B$21)/(((G32+Assumptions!$B$36+(IF(G35="convert",G13,0)+IF(G36="convert",G19,0)+IF(G37="convert",G18,0)+IF(G38="convert",Assumptions!$B$38,0)+IF(G39="convert",Assumptions!$B$37,0)+IF(G41="convert",Assumptions!$B$35,0))))+Assumptions!$B$30),((Assumptions!$B$49-(IF(G35="preference",Assumptions!$B$3,0)+IF(G36="preference",(Assumptions!$B$34*Assumptions!$B$20),0)+IF(G37="preference",(Assumptions!$B$33*Assumptions!$B$19),0)+IF(G38="preference",(Assumptions!$B$38*Assumptions!$B$17),0)+IF(G39="preference",(Assumptions!$B$37*Assumptions!$B$16),0)+IF(G41="preference",(Assumptions!$B$35*Assumptions!$B$14),0))))/((G32+Assumptions!$B$36+(IF(G35="convert",G13,0)+IF(G36="convert",G19,0)+IF(G37="convert",G18,0)+IF(G38="convert",Assumptions!$B$38,0)+IF(G39="convert",Assumptions!$B$37,0)+IF(G41="convert",Assumptions!$B$35,0))))))*Assumptions!$B$36,"preference","convert")</f>
        <v/>
      </c>
      <c r="H48">
        <f>IF((Assumptions!$B$36*Assumptions!$B$15)&gt;(IF((((Assumptions!$B$49-(IF(H35="preference",Assumptions!$B$3,0)+IF(H36="preference",(Assumptions!$B$34*Assumptions!$B$20),0)+IF(H37="preference",(Assumptions!$B$33*Assumptions!$B$19),0)+IF(H38="preference",(Assumptions!$B$38*Assumptions!$B$17),0)+IF(H39="preference",(Assumptions!$B$37*Assumptions!$B$16),0)+IF(H41="preference",(Assumptions!$B$35*Assumptions!$B$14),0))))+Assumptions!$B$30*Assumptions!$B$21)/(((H32+Assumptions!$B$36+(IF(H35="convert",H13,0)+IF(H36="convert",H19,0)+IF(H37="convert",H18,0)+IF(H38="convert",Assumptions!$B$38,0)+IF(H39="convert",Assumptions!$B$37,0)+IF(H41="convert",Assumptions!$B$35,0))))+Assumptions!$B$30)&gt;Assumptions!$B$21,(((Assumptions!$B$49-(IF(H35="preference",Assumptions!$B$3,0)+IF(H36="preference",(Assumptions!$B$34*Assumptions!$B$20),0)+IF(H37="preference",(Assumptions!$B$33*Assumptions!$B$19),0)+IF(H38="preference",(Assumptions!$B$38*Assumptions!$B$17),0)+IF(H39="preference",(Assumptions!$B$37*Assumptions!$B$16),0)+IF(H41="preference",(Assumptions!$B$35*Assumptions!$B$14),0))))+Assumptions!$B$30*Assumptions!$B$21)/(((H32+Assumptions!$B$36+(IF(H35="convert",H13,0)+IF(H36="convert",H19,0)+IF(H37="convert",H18,0)+IF(H38="convert",Assumptions!$B$38,0)+IF(H39="convert",Assumptions!$B$37,0)+IF(H41="convert",Assumptions!$B$35,0))))+Assumptions!$B$30),((Assumptions!$B$49-(IF(H35="preference",Assumptions!$B$3,0)+IF(H36="preference",(Assumptions!$B$34*Assumptions!$B$20),0)+IF(H37="preference",(Assumptions!$B$33*Assumptions!$B$19),0)+IF(H38="preference",(Assumptions!$B$38*Assumptions!$B$17),0)+IF(H39="preference",(Assumptions!$B$37*Assumptions!$B$16),0)+IF(H41="preference",(Assumptions!$B$35*Assumptions!$B$14),0))))/((H32+Assumptions!$B$36+(IF(H35="convert",H13,0)+IF(H36="convert",H19,0)+IF(H37="convert",H18,0)+IF(H38="convert",Assumptions!$B$38,0)+IF(H39="convert",Assumptions!$B$37,0)+IF(H41="convert",Assumptions!$B$35,0))))))*Assumptions!$B$36,"preference","convert")</f>
        <v/>
      </c>
      <c r="I48">
        <f>IF((Assumptions!$B$36*Assumptions!$B$15)&gt;(IF((((Assumptions!$B$49-(IF(I35="preference",Assumptions!$B$3,0)+IF(I36="preference",(Assumptions!$B$34*Assumptions!$B$20),0)+IF(I37="preference",(Assumptions!$B$33*Assumptions!$B$19),0)+IF(I38="preference",(Assumptions!$B$38*Assumptions!$B$17),0)+IF(I39="preference",(Assumptions!$B$37*Assumptions!$B$16),0)+IF(I41="preference",(Assumptions!$B$35*Assumptions!$B$14),0))))+Assumptions!$B$30*Assumptions!$B$21)/(((I32+Assumptions!$B$36+(IF(I35="convert",I13,0)+IF(I36="convert",I19,0)+IF(I37="convert",I18,0)+IF(I38="convert",Assumptions!$B$38,0)+IF(I39="convert",Assumptions!$B$37,0)+IF(I41="convert",Assumptions!$B$35,0))))+Assumptions!$B$30)&gt;Assumptions!$B$21,(((Assumptions!$B$49-(IF(I35="preference",Assumptions!$B$3,0)+IF(I36="preference",(Assumptions!$B$34*Assumptions!$B$20),0)+IF(I37="preference",(Assumptions!$B$33*Assumptions!$B$19),0)+IF(I38="preference",(Assumptions!$B$38*Assumptions!$B$17),0)+IF(I39="preference",(Assumptions!$B$37*Assumptions!$B$16),0)+IF(I41="preference",(Assumptions!$B$35*Assumptions!$B$14),0))))+Assumptions!$B$30*Assumptions!$B$21)/(((I32+Assumptions!$B$36+(IF(I35="convert",I13,0)+IF(I36="convert",I19,0)+IF(I37="convert",I18,0)+IF(I38="convert",Assumptions!$B$38,0)+IF(I39="convert",Assumptions!$B$37,0)+IF(I41="convert",Assumptions!$B$35,0))))+Assumptions!$B$30),((Assumptions!$B$49-(IF(I35="preference",Assumptions!$B$3,0)+IF(I36="preference",(Assumptions!$B$34*Assumptions!$B$20),0)+IF(I37="preference",(Assumptions!$B$33*Assumptions!$B$19),0)+IF(I38="preference",(Assumptions!$B$38*Assumptions!$B$17),0)+IF(I39="preference",(Assumptions!$B$37*Assumptions!$B$16),0)+IF(I41="preference",(Assumptions!$B$35*Assumptions!$B$14),0))))/((I32+Assumptions!$B$36+(IF(I35="convert",I13,0)+IF(I36="convert",I19,0)+IF(I37="convert",I18,0)+IF(I38="convert",Assumptions!$B$38,0)+IF(I39="convert",Assumptions!$B$37,0)+IF(I41="convert",Assumptions!$B$35,0))))))*Assumptions!$B$36,"preference","convert")</f>
        <v/>
      </c>
      <c r="J48">
        <f>IF((Assumptions!$B$36*Assumptions!$B$15)&gt;(IF((((Assumptions!$B$49-(IF(J35="preference",Assumptions!$B$3,0)+IF(J36="preference",(Assumptions!$B$34*Assumptions!$B$20),0)+IF(J37="preference",(Assumptions!$B$33*Assumptions!$B$19),0)+IF(J38="preference",(Assumptions!$B$38*Assumptions!$B$17),0)+IF(J39="preference",(Assumptions!$B$37*Assumptions!$B$16),0)+IF(J41="preference",(Assumptions!$B$35*Assumptions!$B$14),0))))+Assumptions!$B$30*Assumptions!$B$21)/(((J32+Assumptions!$B$36+(IF(J35="convert",J13,0)+IF(J36="convert",J19,0)+IF(J37="convert",J18,0)+IF(J38="convert",Assumptions!$B$38,0)+IF(J39="convert",Assumptions!$B$37,0)+IF(J41="convert",Assumptions!$B$35,0))))+Assumptions!$B$30)&gt;Assumptions!$B$21,(((Assumptions!$B$49-(IF(J35="preference",Assumptions!$B$3,0)+IF(J36="preference",(Assumptions!$B$34*Assumptions!$B$20),0)+IF(J37="preference",(Assumptions!$B$33*Assumptions!$B$19),0)+IF(J38="preference",(Assumptions!$B$38*Assumptions!$B$17),0)+IF(J39="preference",(Assumptions!$B$37*Assumptions!$B$16),0)+IF(J41="preference",(Assumptions!$B$35*Assumptions!$B$14),0))))+Assumptions!$B$30*Assumptions!$B$21)/(((J32+Assumptions!$B$36+(IF(J35="convert",J13,0)+IF(J36="convert",J19,0)+IF(J37="convert",J18,0)+IF(J38="convert",Assumptions!$B$38,0)+IF(J39="convert",Assumptions!$B$37,0)+IF(J41="convert",Assumptions!$B$35,0))))+Assumptions!$B$30),((Assumptions!$B$49-(IF(J35="preference",Assumptions!$B$3,0)+IF(J36="preference",(Assumptions!$B$34*Assumptions!$B$20),0)+IF(J37="preference",(Assumptions!$B$33*Assumptions!$B$19),0)+IF(J38="preference",(Assumptions!$B$38*Assumptions!$B$17),0)+IF(J39="preference",(Assumptions!$B$37*Assumptions!$B$16),0)+IF(J41="preference",(Assumptions!$B$35*Assumptions!$B$14),0))))/((J32+Assumptions!$B$36+(IF(J35="convert",J13,0)+IF(J36="convert",J19,0)+IF(J37="convert",J18,0)+IF(J38="convert",Assumptions!$B$38,0)+IF(J39="convert",Assumptions!$B$37,0)+IF(J41="convert",Assumptions!$B$35,0))))))*Assumptions!$B$36,"preference","convert")</f>
        <v/>
      </c>
    </row>
    <row r="49">
      <c r="A49" t="inlineStr">
        <is>
          <t xml:space="preserve">  Seed</t>
        </is>
      </c>
      <c r="B49">
        <f>IF((Assumptions!$B$35*Assumptions!$B$14)&gt;(IF((((Assumptions!$B$49-(IF(B35="preference",Assumptions!$B$3,0)+IF(B36="preference",(Assumptions!$B$34*Assumptions!$B$20),0)+IF(B37="preference",(Assumptions!$B$33*Assumptions!$B$19),0)+IF(B38="preference",(Assumptions!$B$38*Assumptions!$B$17),0)+IF(B39="preference",(Assumptions!$B$37*Assumptions!$B$16),0)+IF(B40="preference",(Assumptions!$B$36*Assumptions!$B$15),0))))+Assumptions!$B$30*Assumptions!$B$21)/(((B32+Assumptions!$B$35+(IF(B35="convert",B13,0)+IF(B36="convert",B19,0)+IF(B37="convert",B18,0)+IF(B38="convert",Assumptions!$B$38,0)+IF(B39="convert",Assumptions!$B$37,0)+IF(B40="convert",Assumptions!$B$36,0))))+Assumptions!$B$30)&gt;Assumptions!$B$21,(((Assumptions!$B$49-(IF(B35="preference",Assumptions!$B$3,0)+IF(B36="preference",(Assumptions!$B$34*Assumptions!$B$20),0)+IF(B37="preference",(Assumptions!$B$33*Assumptions!$B$19),0)+IF(B38="preference",(Assumptions!$B$38*Assumptions!$B$17),0)+IF(B39="preference",(Assumptions!$B$37*Assumptions!$B$16),0)+IF(B40="preference",(Assumptions!$B$36*Assumptions!$B$15),0))))+Assumptions!$B$30*Assumptions!$B$21)/(((B32+Assumptions!$B$35+(IF(B35="convert",B13,0)+IF(B36="convert",B19,0)+IF(B37="convert",B18,0)+IF(B38="convert",Assumptions!$B$38,0)+IF(B39="convert",Assumptions!$B$37,0)+IF(B40="convert",Assumptions!$B$36,0))))+Assumptions!$B$30),((Assumptions!$B$49-(IF(B35="preference",Assumptions!$B$3,0)+IF(B36="preference",(Assumptions!$B$34*Assumptions!$B$20),0)+IF(B37="preference",(Assumptions!$B$33*Assumptions!$B$19),0)+IF(B38="preference",(Assumptions!$B$38*Assumptions!$B$17),0)+IF(B39="preference",(Assumptions!$B$37*Assumptions!$B$16),0)+IF(B40="preference",(Assumptions!$B$36*Assumptions!$B$15),0))))/((B32+Assumptions!$B$35+(IF(B35="convert",B13,0)+IF(B36="convert",B19,0)+IF(B37="convert",B18,0)+IF(B38="convert",Assumptions!$B$38,0)+IF(B39="convert",Assumptions!$B$37,0)+IF(B40="convert",Assumptions!$B$36,0))))))*Assumptions!$B$35,"preference","convert")</f>
        <v/>
      </c>
      <c r="C49">
        <f>IF((Assumptions!$B$35*Assumptions!$B$14)&gt;(IF((((Assumptions!$B$49-(IF(C35="preference",Assumptions!$B$3,0)+IF(C36="preference",(Assumptions!$B$34*Assumptions!$B$20),0)+IF(C37="preference",(Assumptions!$B$33*Assumptions!$B$19),0)+IF(C38="preference",(Assumptions!$B$38*Assumptions!$B$17),0)+IF(C39="preference",(Assumptions!$B$37*Assumptions!$B$16),0)+IF(C40="preference",(Assumptions!$B$36*Assumptions!$B$15),0))))+Assumptions!$B$30*Assumptions!$B$21)/(((C32+Assumptions!$B$35+(IF(C35="convert",C13,0)+IF(C36="convert",C19,0)+IF(C37="convert",C18,0)+IF(C38="convert",Assumptions!$B$38,0)+IF(C39="convert",Assumptions!$B$37,0)+IF(C40="convert",Assumptions!$B$36,0))))+Assumptions!$B$30)&gt;Assumptions!$B$21,(((Assumptions!$B$49-(IF(C35="preference",Assumptions!$B$3,0)+IF(C36="preference",(Assumptions!$B$34*Assumptions!$B$20),0)+IF(C37="preference",(Assumptions!$B$33*Assumptions!$B$19),0)+IF(C38="preference",(Assumptions!$B$38*Assumptions!$B$17),0)+IF(C39="preference",(Assumptions!$B$37*Assumptions!$B$16),0)+IF(C40="preference",(Assumptions!$B$36*Assumptions!$B$15),0))))+Assumptions!$B$30*Assumptions!$B$21)/(((C32+Assumptions!$B$35+(IF(C35="convert",C13,0)+IF(C36="convert",C19,0)+IF(C37="convert",C18,0)+IF(C38="convert",Assumptions!$B$38,0)+IF(C39="convert",Assumptions!$B$37,0)+IF(C40="convert",Assumptions!$B$36,0))))+Assumptions!$B$30),((Assumptions!$B$49-(IF(C35="preference",Assumptions!$B$3,0)+IF(C36="preference",(Assumptions!$B$34*Assumptions!$B$20),0)+IF(C37="preference",(Assumptions!$B$33*Assumptions!$B$19),0)+IF(C38="preference",(Assumptions!$B$38*Assumptions!$B$17),0)+IF(C39="preference",(Assumptions!$B$37*Assumptions!$B$16),0)+IF(C40="preference",(Assumptions!$B$36*Assumptions!$B$15),0))))/((C32+Assumptions!$B$35+(IF(C35="convert",C13,0)+IF(C36="convert",C19,0)+IF(C37="convert",C18,0)+IF(C38="convert",Assumptions!$B$38,0)+IF(C39="convert",Assumptions!$B$37,0)+IF(C40="convert",Assumptions!$B$36,0))))))*Assumptions!$B$35,"preference","convert")</f>
        <v/>
      </c>
      <c r="D49">
        <f>IF((Assumptions!$B$35*Assumptions!$B$14)&gt;(IF((((Assumptions!$B$49-(IF(D35="preference",Assumptions!$B$3,0)+IF(D36="preference",(Assumptions!$B$34*Assumptions!$B$20),0)+IF(D37="preference",(Assumptions!$B$33*Assumptions!$B$19),0)+IF(D38="preference",(Assumptions!$B$38*Assumptions!$B$17),0)+IF(D39="preference",(Assumptions!$B$37*Assumptions!$B$16),0)+IF(D40="preference",(Assumptions!$B$36*Assumptions!$B$15),0))))+Assumptions!$B$30*Assumptions!$B$21)/(((D32+Assumptions!$B$35+(IF(D35="convert",D13,0)+IF(D36="convert",D19,0)+IF(D37="convert",D18,0)+IF(D38="convert",Assumptions!$B$38,0)+IF(D39="convert",Assumptions!$B$37,0)+IF(D40="convert",Assumptions!$B$36,0))))+Assumptions!$B$30)&gt;Assumptions!$B$21,(((Assumptions!$B$49-(IF(D35="preference",Assumptions!$B$3,0)+IF(D36="preference",(Assumptions!$B$34*Assumptions!$B$20),0)+IF(D37="preference",(Assumptions!$B$33*Assumptions!$B$19),0)+IF(D38="preference",(Assumptions!$B$38*Assumptions!$B$17),0)+IF(D39="preference",(Assumptions!$B$37*Assumptions!$B$16),0)+IF(D40="preference",(Assumptions!$B$36*Assumptions!$B$15),0))))+Assumptions!$B$30*Assumptions!$B$21)/(((D32+Assumptions!$B$35+(IF(D35="convert",D13,0)+IF(D36="convert",D19,0)+IF(D37="convert",D18,0)+IF(D38="convert",Assumptions!$B$38,0)+IF(D39="convert",Assumptions!$B$37,0)+IF(D40="convert",Assumptions!$B$36,0))))+Assumptions!$B$30),((Assumptions!$B$49-(IF(D35="preference",Assumptions!$B$3,0)+IF(D36="preference",(Assumptions!$B$34*Assumptions!$B$20),0)+IF(D37="preference",(Assumptions!$B$33*Assumptions!$B$19),0)+IF(D38="preference",(Assumptions!$B$38*Assumptions!$B$17),0)+IF(D39="preference",(Assumptions!$B$37*Assumptions!$B$16),0)+IF(D40="preference",(Assumptions!$B$36*Assumptions!$B$15),0))))/((D32+Assumptions!$B$35+(IF(D35="convert",D13,0)+IF(D36="convert",D19,0)+IF(D37="convert",D18,0)+IF(D38="convert",Assumptions!$B$38,0)+IF(D39="convert",Assumptions!$B$37,0)+IF(D40="convert",Assumptions!$B$36,0))))))*Assumptions!$B$35,"preference","convert")</f>
        <v/>
      </c>
      <c r="E49">
        <f>IF((Assumptions!$B$35*Assumptions!$B$14)&gt;(IF((((Assumptions!$B$49-(IF(E35="preference",Assumptions!$B$3,0)+IF(E36="preference",(Assumptions!$B$34*Assumptions!$B$20),0)+IF(E37="preference",(Assumptions!$B$33*Assumptions!$B$19),0)+IF(E38="preference",(Assumptions!$B$38*Assumptions!$B$17),0)+IF(E39="preference",(Assumptions!$B$37*Assumptions!$B$16),0)+IF(E40="preference",(Assumptions!$B$36*Assumptions!$B$15),0))))+Assumptions!$B$30*Assumptions!$B$21)/(((E32+Assumptions!$B$35+(IF(E35="convert",E13,0)+IF(E36="convert",E19,0)+IF(E37="convert",E18,0)+IF(E38="convert",Assumptions!$B$38,0)+IF(E39="convert",Assumptions!$B$37,0)+IF(E40="convert",Assumptions!$B$36,0))))+Assumptions!$B$30)&gt;Assumptions!$B$21,(((Assumptions!$B$49-(IF(E35="preference",Assumptions!$B$3,0)+IF(E36="preference",(Assumptions!$B$34*Assumptions!$B$20),0)+IF(E37="preference",(Assumptions!$B$33*Assumptions!$B$19),0)+IF(E38="preference",(Assumptions!$B$38*Assumptions!$B$17),0)+IF(E39="preference",(Assumptions!$B$37*Assumptions!$B$16),0)+IF(E40="preference",(Assumptions!$B$36*Assumptions!$B$15),0))))+Assumptions!$B$30*Assumptions!$B$21)/(((E32+Assumptions!$B$35+(IF(E35="convert",E13,0)+IF(E36="convert",E19,0)+IF(E37="convert",E18,0)+IF(E38="convert",Assumptions!$B$38,0)+IF(E39="convert",Assumptions!$B$37,0)+IF(E40="convert",Assumptions!$B$36,0))))+Assumptions!$B$30),((Assumptions!$B$49-(IF(E35="preference",Assumptions!$B$3,0)+IF(E36="preference",(Assumptions!$B$34*Assumptions!$B$20),0)+IF(E37="preference",(Assumptions!$B$33*Assumptions!$B$19),0)+IF(E38="preference",(Assumptions!$B$38*Assumptions!$B$17),0)+IF(E39="preference",(Assumptions!$B$37*Assumptions!$B$16),0)+IF(E40="preference",(Assumptions!$B$36*Assumptions!$B$15),0))))/((E32+Assumptions!$B$35+(IF(E35="convert",E13,0)+IF(E36="convert",E19,0)+IF(E37="convert",E18,0)+IF(E38="convert",Assumptions!$B$38,0)+IF(E39="convert",Assumptions!$B$37,0)+IF(E40="convert",Assumptions!$B$36,0))))))*Assumptions!$B$35,"preference","convert")</f>
        <v/>
      </c>
      <c r="F49">
        <f>IF((Assumptions!$B$35*Assumptions!$B$14)&gt;(IF((((Assumptions!$B$49-(IF(F35="preference",Assumptions!$B$3,0)+IF(F36="preference",(Assumptions!$B$34*Assumptions!$B$20),0)+IF(F37="preference",(Assumptions!$B$33*Assumptions!$B$19),0)+IF(F38="preference",(Assumptions!$B$38*Assumptions!$B$17),0)+IF(F39="preference",(Assumptions!$B$37*Assumptions!$B$16),0)+IF(F40="preference",(Assumptions!$B$36*Assumptions!$B$15),0))))+Assumptions!$B$30*Assumptions!$B$21)/(((F32+Assumptions!$B$35+(IF(F35="convert",F13,0)+IF(F36="convert",F19,0)+IF(F37="convert",F18,0)+IF(F38="convert",Assumptions!$B$38,0)+IF(F39="convert",Assumptions!$B$37,0)+IF(F40="convert",Assumptions!$B$36,0))))+Assumptions!$B$30)&gt;Assumptions!$B$21,(((Assumptions!$B$49-(IF(F35="preference",Assumptions!$B$3,0)+IF(F36="preference",(Assumptions!$B$34*Assumptions!$B$20),0)+IF(F37="preference",(Assumptions!$B$33*Assumptions!$B$19),0)+IF(F38="preference",(Assumptions!$B$38*Assumptions!$B$17),0)+IF(F39="preference",(Assumptions!$B$37*Assumptions!$B$16),0)+IF(F40="preference",(Assumptions!$B$36*Assumptions!$B$15),0))))+Assumptions!$B$30*Assumptions!$B$21)/(((F32+Assumptions!$B$35+(IF(F35="convert",F13,0)+IF(F36="convert",F19,0)+IF(F37="convert",F18,0)+IF(F38="convert",Assumptions!$B$38,0)+IF(F39="convert",Assumptions!$B$37,0)+IF(F40="convert",Assumptions!$B$36,0))))+Assumptions!$B$30),((Assumptions!$B$49-(IF(F35="preference",Assumptions!$B$3,0)+IF(F36="preference",(Assumptions!$B$34*Assumptions!$B$20),0)+IF(F37="preference",(Assumptions!$B$33*Assumptions!$B$19),0)+IF(F38="preference",(Assumptions!$B$38*Assumptions!$B$17),0)+IF(F39="preference",(Assumptions!$B$37*Assumptions!$B$16),0)+IF(F40="preference",(Assumptions!$B$36*Assumptions!$B$15),0))))/((F32+Assumptions!$B$35+(IF(F35="convert",F13,0)+IF(F36="convert",F19,0)+IF(F37="convert",F18,0)+IF(F38="convert",Assumptions!$B$38,0)+IF(F39="convert",Assumptions!$B$37,0)+IF(F40="convert",Assumptions!$B$36,0))))))*Assumptions!$B$35,"preference","convert")</f>
        <v/>
      </c>
      <c r="G49">
        <f>IF((Assumptions!$B$35*Assumptions!$B$14)&gt;(IF((((Assumptions!$B$49-(IF(G35="preference",Assumptions!$B$3,0)+IF(G36="preference",(Assumptions!$B$34*Assumptions!$B$20),0)+IF(G37="preference",(Assumptions!$B$33*Assumptions!$B$19),0)+IF(G38="preference",(Assumptions!$B$38*Assumptions!$B$17),0)+IF(G39="preference",(Assumptions!$B$37*Assumptions!$B$16),0)+IF(G40="preference",(Assumptions!$B$36*Assumptions!$B$15),0))))+Assumptions!$B$30*Assumptions!$B$21)/(((G32+Assumptions!$B$35+(IF(G35="convert",G13,0)+IF(G36="convert",G19,0)+IF(G37="convert",G18,0)+IF(G38="convert",Assumptions!$B$38,0)+IF(G39="convert",Assumptions!$B$37,0)+IF(G40="convert",Assumptions!$B$36,0))))+Assumptions!$B$30)&gt;Assumptions!$B$21,(((Assumptions!$B$49-(IF(G35="preference",Assumptions!$B$3,0)+IF(G36="preference",(Assumptions!$B$34*Assumptions!$B$20),0)+IF(G37="preference",(Assumptions!$B$33*Assumptions!$B$19),0)+IF(G38="preference",(Assumptions!$B$38*Assumptions!$B$17),0)+IF(G39="preference",(Assumptions!$B$37*Assumptions!$B$16),0)+IF(G40="preference",(Assumptions!$B$36*Assumptions!$B$15),0))))+Assumptions!$B$30*Assumptions!$B$21)/(((G32+Assumptions!$B$35+(IF(G35="convert",G13,0)+IF(G36="convert",G19,0)+IF(G37="convert",G18,0)+IF(G38="convert",Assumptions!$B$38,0)+IF(G39="convert",Assumptions!$B$37,0)+IF(G40="convert",Assumptions!$B$36,0))))+Assumptions!$B$30),((Assumptions!$B$49-(IF(G35="preference",Assumptions!$B$3,0)+IF(G36="preference",(Assumptions!$B$34*Assumptions!$B$20),0)+IF(G37="preference",(Assumptions!$B$33*Assumptions!$B$19),0)+IF(G38="preference",(Assumptions!$B$38*Assumptions!$B$17),0)+IF(G39="preference",(Assumptions!$B$37*Assumptions!$B$16),0)+IF(G40="preference",(Assumptions!$B$36*Assumptions!$B$15),0))))/((G32+Assumptions!$B$35+(IF(G35="convert",G13,0)+IF(G36="convert",G19,0)+IF(G37="convert",G18,0)+IF(G38="convert",Assumptions!$B$38,0)+IF(G39="convert",Assumptions!$B$37,0)+IF(G40="convert",Assumptions!$B$36,0))))))*Assumptions!$B$35,"preference","convert")</f>
        <v/>
      </c>
      <c r="H49">
        <f>IF((Assumptions!$B$35*Assumptions!$B$14)&gt;(IF((((Assumptions!$B$49-(IF(H35="preference",Assumptions!$B$3,0)+IF(H36="preference",(Assumptions!$B$34*Assumptions!$B$20),0)+IF(H37="preference",(Assumptions!$B$33*Assumptions!$B$19),0)+IF(H38="preference",(Assumptions!$B$38*Assumptions!$B$17),0)+IF(H39="preference",(Assumptions!$B$37*Assumptions!$B$16),0)+IF(H40="preference",(Assumptions!$B$36*Assumptions!$B$15),0))))+Assumptions!$B$30*Assumptions!$B$21)/(((H32+Assumptions!$B$35+(IF(H35="convert",H13,0)+IF(H36="convert",H19,0)+IF(H37="convert",H18,0)+IF(H38="convert",Assumptions!$B$38,0)+IF(H39="convert",Assumptions!$B$37,0)+IF(H40="convert",Assumptions!$B$36,0))))+Assumptions!$B$30)&gt;Assumptions!$B$21,(((Assumptions!$B$49-(IF(H35="preference",Assumptions!$B$3,0)+IF(H36="preference",(Assumptions!$B$34*Assumptions!$B$20),0)+IF(H37="preference",(Assumptions!$B$33*Assumptions!$B$19),0)+IF(H38="preference",(Assumptions!$B$38*Assumptions!$B$17),0)+IF(H39="preference",(Assumptions!$B$37*Assumptions!$B$16),0)+IF(H40="preference",(Assumptions!$B$36*Assumptions!$B$15),0))))+Assumptions!$B$30*Assumptions!$B$21)/(((H32+Assumptions!$B$35+(IF(H35="convert",H13,0)+IF(H36="convert",H19,0)+IF(H37="convert",H18,0)+IF(H38="convert",Assumptions!$B$38,0)+IF(H39="convert",Assumptions!$B$37,0)+IF(H40="convert",Assumptions!$B$36,0))))+Assumptions!$B$30),((Assumptions!$B$49-(IF(H35="preference",Assumptions!$B$3,0)+IF(H36="preference",(Assumptions!$B$34*Assumptions!$B$20),0)+IF(H37="preference",(Assumptions!$B$33*Assumptions!$B$19),0)+IF(H38="preference",(Assumptions!$B$38*Assumptions!$B$17),0)+IF(H39="preference",(Assumptions!$B$37*Assumptions!$B$16),0)+IF(H40="preference",(Assumptions!$B$36*Assumptions!$B$15),0))))/((H32+Assumptions!$B$35+(IF(H35="convert",H13,0)+IF(H36="convert",H19,0)+IF(H37="convert",H18,0)+IF(H38="convert",Assumptions!$B$38,0)+IF(H39="convert",Assumptions!$B$37,0)+IF(H40="convert",Assumptions!$B$36,0))))))*Assumptions!$B$35,"preference","convert")</f>
        <v/>
      </c>
      <c r="I49">
        <f>IF((Assumptions!$B$35*Assumptions!$B$14)&gt;(IF((((Assumptions!$B$49-(IF(I35="preference",Assumptions!$B$3,0)+IF(I36="preference",(Assumptions!$B$34*Assumptions!$B$20),0)+IF(I37="preference",(Assumptions!$B$33*Assumptions!$B$19),0)+IF(I38="preference",(Assumptions!$B$38*Assumptions!$B$17),0)+IF(I39="preference",(Assumptions!$B$37*Assumptions!$B$16),0)+IF(I40="preference",(Assumptions!$B$36*Assumptions!$B$15),0))))+Assumptions!$B$30*Assumptions!$B$21)/(((I32+Assumptions!$B$35+(IF(I35="convert",I13,0)+IF(I36="convert",I19,0)+IF(I37="convert",I18,0)+IF(I38="convert",Assumptions!$B$38,0)+IF(I39="convert",Assumptions!$B$37,0)+IF(I40="convert",Assumptions!$B$36,0))))+Assumptions!$B$30)&gt;Assumptions!$B$21,(((Assumptions!$B$49-(IF(I35="preference",Assumptions!$B$3,0)+IF(I36="preference",(Assumptions!$B$34*Assumptions!$B$20),0)+IF(I37="preference",(Assumptions!$B$33*Assumptions!$B$19),0)+IF(I38="preference",(Assumptions!$B$38*Assumptions!$B$17),0)+IF(I39="preference",(Assumptions!$B$37*Assumptions!$B$16),0)+IF(I40="preference",(Assumptions!$B$36*Assumptions!$B$15),0))))+Assumptions!$B$30*Assumptions!$B$21)/(((I32+Assumptions!$B$35+(IF(I35="convert",I13,0)+IF(I36="convert",I19,0)+IF(I37="convert",I18,0)+IF(I38="convert",Assumptions!$B$38,0)+IF(I39="convert",Assumptions!$B$37,0)+IF(I40="convert",Assumptions!$B$36,0))))+Assumptions!$B$30),((Assumptions!$B$49-(IF(I35="preference",Assumptions!$B$3,0)+IF(I36="preference",(Assumptions!$B$34*Assumptions!$B$20),0)+IF(I37="preference",(Assumptions!$B$33*Assumptions!$B$19),0)+IF(I38="preference",(Assumptions!$B$38*Assumptions!$B$17),0)+IF(I39="preference",(Assumptions!$B$37*Assumptions!$B$16),0)+IF(I40="preference",(Assumptions!$B$36*Assumptions!$B$15),0))))/((I32+Assumptions!$B$35+(IF(I35="convert",I13,0)+IF(I36="convert",I19,0)+IF(I37="convert",I18,0)+IF(I38="convert",Assumptions!$B$38,0)+IF(I39="convert",Assumptions!$B$37,0)+IF(I40="convert",Assumptions!$B$36,0))))))*Assumptions!$B$35,"preference","convert")</f>
        <v/>
      </c>
      <c r="J49">
        <f>IF((Assumptions!$B$35*Assumptions!$B$14)&gt;(IF((((Assumptions!$B$49-(IF(J35="preference",Assumptions!$B$3,0)+IF(J36="preference",(Assumptions!$B$34*Assumptions!$B$20),0)+IF(J37="preference",(Assumptions!$B$33*Assumptions!$B$19),0)+IF(J38="preference",(Assumptions!$B$38*Assumptions!$B$17),0)+IF(J39="preference",(Assumptions!$B$37*Assumptions!$B$16),0)+IF(J40="preference",(Assumptions!$B$36*Assumptions!$B$15),0))))+Assumptions!$B$30*Assumptions!$B$21)/(((J32+Assumptions!$B$35+(IF(J35="convert",J13,0)+IF(J36="convert",J19,0)+IF(J37="convert",J18,0)+IF(J38="convert",Assumptions!$B$38,0)+IF(J39="convert",Assumptions!$B$37,0)+IF(J40="convert",Assumptions!$B$36,0))))+Assumptions!$B$30)&gt;Assumptions!$B$21,(((Assumptions!$B$49-(IF(J35="preference",Assumptions!$B$3,0)+IF(J36="preference",(Assumptions!$B$34*Assumptions!$B$20),0)+IF(J37="preference",(Assumptions!$B$33*Assumptions!$B$19),0)+IF(J38="preference",(Assumptions!$B$38*Assumptions!$B$17),0)+IF(J39="preference",(Assumptions!$B$37*Assumptions!$B$16),0)+IF(J40="preference",(Assumptions!$B$36*Assumptions!$B$15),0))))+Assumptions!$B$30*Assumptions!$B$21)/(((J32+Assumptions!$B$35+(IF(J35="convert",J13,0)+IF(J36="convert",J19,0)+IF(J37="convert",J18,0)+IF(J38="convert",Assumptions!$B$38,0)+IF(J39="convert",Assumptions!$B$37,0)+IF(J40="convert",Assumptions!$B$36,0))))+Assumptions!$B$30),((Assumptions!$B$49-(IF(J35="preference",Assumptions!$B$3,0)+IF(J36="preference",(Assumptions!$B$34*Assumptions!$B$20),0)+IF(J37="preference",(Assumptions!$B$33*Assumptions!$B$19),0)+IF(J38="preference",(Assumptions!$B$38*Assumptions!$B$17),0)+IF(J39="preference",(Assumptions!$B$37*Assumptions!$B$16),0)+IF(J40="preference",(Assumptions!$B$36*Assumptions!$B$15),0))))/((J32+Assumptions!$B$35+(IF(J35="convert",J13,0)+IF(J36="convert",J19,0)+IF(J37="convert",J18,0)+IF(J38="convert",Assumptions!$B$38,0)+IF(J39="convert",Assumptions!$B$37,0)+IF(J40="convert",Assumptions!$B$36,0))))))*Assumptions!$B$35,"preference","convert")</f>
        <v/>
      </c>
    </row>
    <row r="50">
      <c r="A50" s="5" t="inlineStr">
        <is>
          <t>PASS 3 ELECTIONS @ $2B</t>
        </is>
      </c>
    </row>
    <row r="51">
      <c r="A51" t="inlineStr">
        <is>
          <t xml:space="preserve">  F</t>
        </is>
      </c>
      <c r="B51">
        <f>IF(Assumptions!$B$3&gt;(IF((((Assumptions!$B$49-(IF(B44="preference",(Assumptions!$B$34*Assumptions!$B$20),0)+IF(B45="preference",(Assumptions!$B$33*Assumptions!$B$19),0)+IF(B46="preference",(Assumptions!$B$38*Assumptions!$B$17),0)+IF(B47="preference",(Assumptions!$B$37*Assumptions!$B$16),0)+IF(B48="preference",(Assumptions!$B$36*Assumptions!$B$15),0)+IF(B49="preference",(Assumptions!$B$35*Assumptions!$B$14),0))))+Assumptions!$B$30*Assumptions!$B$21)/(((B32+B13+(IF(B44="convert",B19,0)+IF(B45="convert",B18,0)+IF(B46="convert",Assumptions!$B$38,0)+IF(B47="convert",Assumptions!$B$37,0)+IF(B48="convert",Assumptions!$B$36,0)+IF(B49="convert",Assumptions!$B$35,0))))+Assumptions!$B$30)&gt;Assumptions!$B$21,(((Assumptions!$B$49-(IF(B44="preference",(Assumptions!$B$34*Assumptions!$B$20),0)+IF(B45="preference",(Assumptions!$B$33*Assumptions!$B$19),0)+IF(B46="preference",(Assumptions!$B$38*Assumptions!$B$17),0)+IF(B47="preference",(Assumptions!$B$37*Assumptions!$B$16),0)+IF(B48="preference",(Assumptions!$B$36*Assumptions!$B$15),0)+IF(B49="preference",(Assumptions!$B$35*Assumptions!$B$14),0))))+Assumptions!$B$30*Assumptions!$B$21)/(((B32+B13+(IF(B44="convert",B19,0)+IF(B45="convert",B18,0)+IF(B46="convert",Assumptions!$B$38,0)+IF(B47="convert",Assumptions!$B$37,0)+IF(B48="convert",Assumptions!$B$36,0)+IF(B49="convert",Assumptions!$B$35,0))))+Assumptions!$B$30),((Assumptions!$B$49-(IF(B44="preference",(Assumptions!$B$34*Assumptions!$B$20),0)+IF(B45="preference",(Assumptions!$B$33*Assumptions!$B$19),0)+IF(B46="preference",(Assumptions!$B$38*Assumptions!$B$17),0)+IF(B47="preference",(Assumptions!$B$37*Assumptions!$B$16),0)+IF(B48="preference",(Assumptions!$B$36*Assumptions!$B$15),0)+IF(B49="preference",(Assumptions!$B$35*Assumptions!$B$14),0))))/((B32+B13+(IF(B44="convert",B19,0)+IF(B45="convert",B18,0)+IF(B46="convert",Assumptions!$B$38,0)+IF(B47="convert",Assumptions!$B$37,0)+IF(B48="convert",Assumptions!$B$36,0)+IF(B49="convert",Assumptions!$B$35,0))))))*B13,"preference","convert")</f>
        <v/>
      </c>
      <c r="C51">
        <f>IF(Assumptions!$B$3&gt;(IF((((Assumptions!$B$49-(IF(C44="preference",(Assumptions!$B$34*Assumptions!$B$20),0)+IF(C45="preference",(Assumptions!$B$33*Assumptions!$B$19),0)+IF(C46="preference",(Assumptions!$B$38*Assumptions!$B$17),0)+IF(C47="preference",(Assumptions!$B$37*Assumptions!$B$16),0)+IF(C48="preference",(Assumptions!$B$36*Assumptions!$B$15),0)+IF(C49="preference",(Assumptions!$B$35*Assumptions!$B$14),0))))+Assumptions!$B$30*Assumptions!$B$21)/(((C32+C13+(IF(C44="convert",C19,0)+IF(C45="convert",C18,0)+IF(C46="convert",Assumptions!$B$38,0)+IF(C47="convert",Assumptions!$B$37,0)+IF(C48="convert",Assumptions!$B$36,0)+IF(C49="convert",Assumptions!$B$35,0))))+Assumptions!$B$30)&gt;Assumptions!$B$21,(((Assumptions!$B$49-(IF(C44="preference",(Assumptions!$B$34*Assumptions!$B$20),0)+IF(C45="preference",(Assumptions!$B$33*Assumptions!$B$19),0)+IF(C46="preference",(Assumptions!$B$38*Assumptions!$B$17),0)+IF(C47="preference",(Assumptions!$B$37*Assumptions!$B$16),0)+IF(C48="preference",(Assumptions!$B$36*Assumptions!$B$15),0)+IF(C49="preference",(Assumptions!$B$35*Assumptions!$B$14),0))))+Assumptions!$B$30*Assumptions!$B$21)/(((C32+C13+(IF(C44="convert",C19,0)+IF(C45="convert",C18,0)+IF(C46="convert",Assumptions!$B$38,0)+IF(C47="convert",Assumptions!$B$37,0)+IF(C48="convert",Assumptions!$B$36,0)+IF(C49="convert",Assumptions!$B$35,0))))+Assumptions!$B$30),((Assumptions!$B$49-(IF(C44="preference",(Assumptions!$B$34*Assumptions!$B$20),0)+IF(C45="preference",(Assumptions!$B$33*Assumptions!$B$19),0)+IF(C46="preference",(Assumptions!$B$38*Assumptions!$B$17),0)+IF(C47="preference",(Assumptions!$B$37*Assumptions!$B$16),0)+IF(C48="preference",(Assumptions!$B$36*Assumptions!$B$15),0)+IF(C49="preference",(Assumptions!$B$35*Assumptions!$B$14),0))))/((C32+C13+(IF(C44="convert",C19,0)+IF(C45="convert",C18,0)+IF(C46="convert",Assumptions!$B$38,0)+IF(C47="convert",Assumptions!$B$37,0)+IF(C48="convert",Assumptions!$B$36,0)+IF(C49="convert",Assumptions!$B$35,0))))))*C13,"preference","convert")</f>
        <v/>
      </c>
      <c r="D51">
        <f>IF(Assumptions!$B$3&gt;(IF((((Assumptions!$B$49-(IF(D44="preference",(Assumptions!$B$34*Assumptions!$B$20),0)+IF(D45="preference",(Assumptions!$B$33*Assumptions!$B$19),0)+IF(D46="preference",(Assumptions!$B$38*Assumptions!$B$17),0)+IF(D47="preference",(Assumptions!$B$37*Assumptions!$B$16),0)+IF(D48="preference",(Assumptions!$B$36*Assumptions!$B$15),0)+IF(D49="preference",(Assumptions!$B$35*Assumptions!$B$14),0))))+Assumptions!$B$30*Assumptions!$B$21)/(((D32+D13+(IF(D44="convert",D19,0)+IF(D45="convert",D18,0)+IF(D46="convert",Assumptions!$B$38,0)+IF(D47="convert",Assumptions!$B$37,0)+IF(D48="convert",Assumptions!$B$36,0)+IF(D49="convert",Assumptions!$B$35,0))))+Assumptions!$B$30)&gt;Assumptions!$B$21,(((Assumptions!$B$49-(IF(D44="preference",(Assumptions!$B$34*Assumptions!$B$20),0)+IF(D45="preference",(Assumptions!$B$33*Assumptions!$B$19),0)+IF(D46="preference",(Assumptions!$B$38*Assumptions!$B$17),0)+IF(D47="preference",(Assumptions!$B$37*Assumptions!$B$16),0)+IF(D48="preference",(Assumptions!$B$36*Assumptions!$B$15),0)+IF(D49="preference",(Assumptions!$B$35*Assumptions!$B$14),0))))+Assumptions!$B$30*Assumptions!$B$21)/(((D32+D13+(IF(D44="convert",D19,0)+IF(D45="convert",D18,0)+IF(D46="convert",Assumptions!$B$38,0)+IF(D47="convert",Assumptions!$B$37,0)+IF(D48="convert",Assumptions!$B$36,0)+IF(D49="convert",Assumptions!$B$35,0))))+Assumptions!$B$30),((Assumptions!$B$49-(IF(D44="preference",(Assumptions!$B$34*Assumptions!$B$20),0)+IF(D45="preference",(Assumptions!$B$33*Assumptions!$B$19),0)+IF(D46="preference",(Assumptions!$B$38*Assumptions!$B$17),0)+IF(D47="preference",(Assumptions!$B$37*Assumptions!$B$16),0)+IF(D48="preference",(Assumptions!$B$36*Assumptions!$B$15),0)+IF(D49="preference",(Assumptions!$B$35*Assumptions!$B$14),0))))/((D32+D13+(IF(D44="convert",D19,0)+IF(D45="convert",D18,0)+IF(D46="convert",Assumptions!$B$38,0)+IF(D47="convert",Assumptions!$B$37,0)+IF(D48="convert",Assumptions!$B$36,0)+IF(D49="convert",Assumptions!$B$35,0))))))*D13,"preference","convert")</f>
        <v/>
      </c>
      <c r="E51">
        <f>IF(Assumptions!$B$3&gt;(IF((((Assumptions!$B$49-(IF(E44="preference",(Assumptions!$B$34*Assumptions!$B$20),0)+IF(E45="preference",(Assumptions!$B$33*Assumptions!$B$19),0)+IF(E46="preference",(Assumptions!$B$38*Assumptions!$B$17),0)+IF(E47="preference",(Assumptions!$B$37*Assumptions!$B$16),0)+IF(E48="preference",(Assumptions!$B$36*Assumptions!$B$15),0)+IF(E49="preference",(Assumptions!$B$35*Assumptions!$B$14),0))))+Assumptions!$B$30*Assumptions!$B$21)/(((E32+E13+(IF(E44="convert",E19,0)+IF(E45="convert",E18,0)+IF(E46="convert",Assumptions!$B$38,0)+IF(E47="convert",Assumptions!$B$37,0)+IF(E48="convert",Assumptions!$B$36,0)+IF(E49="convert",Assumptions!$B$35,0))))+Assumptions!$B$30)&gt;Assumptions!$B$21,(((Assumptions!$B$49-(IF(E44="preference",(Assumptions!$B$34*Assumptions!$B$20),0)+IF(E45="preference",(Assumptions!$B$33*Assumptions!$B$19),0)+IF(E46="preference",(Assumptions!$B$38*Assumptions!$B$17),0)+IF(E47="preference",(Assumptions!$B$37*Assumptions!$B$16),0)+IF(E48="preference",(Assumptions!$B$36*Assumptions!$B$15),0)+IF(E49="preference",(Assumptions!$B$35*Assumptions!$B$14),0))))+Assumptions!$B$30*Assumptions!$B$21)/(((E32+E13+(IF(E44="convert",E19,0)+IF(E45="convert",E18,0)+IF(E46="convert",Assumptions!$B$38,0)+IF(E47="convert",Assumptions!$B$37,0)+IF(E48="convert",Assumptions!$B$36,0)+IF(E49="convert",Assumptions!$B$35,0))))+Assumptions!$B$30),((Assumptions!$B$49-(IF(E44="preference",(Assumptions!$B$34*Assumptions!$B$20),0)+IF(E45="preference",(Assumptions!$B$33*Assumptions!$B$19),0)+IF(E46="preference",(Assumptions!$B$38*Assumptions!$B$17),0)+IF(E47="preference",(Assumptions!$B$37*Assumptions!$B$16),0)+IF(E48="preference",(Assumptions!$B$36*Assumptions!$B$15),0)+IF(E49="preference",(Assumptions!$B$35*Assumptions!$B$14),0))))/((E32+E13+(IF(E44="convert",E19,0)+IF(E45="convert",E18,0)+IF(E46="convert",Assumptions!$B$38,0)+IF(E47="convert",Assumptions!$B$37,0)+IF(E48="convert",Assumptions!$B$36,0)+IF(E49="convert",Assumptions!$B$35,0))))))*E13,"preference","convert")</f>
        <v/>
      </c>
      <c r="F51">
        <f>IF(Assumptions!$B$3&gt;(IF((((Assumptions!$B$49-(IF(F44="preference",(Assumptions!$B$34*Assumptions!$B$20),0)+IF(F45="preference",(Assumptions!$B$33*Assumptions!$B$19),0)+IF(F46="preference",(Assumptions!$B$38*Assumptions!$B$17),0)+IF(F47="preference",(Assumptions!$B$37*Assumptions!$B$16),0)+IF(F48="preference",(Assumptions!$B$36*Assumptions!$B$15),0)+IF(F49="preference",(Assumptions!$B$35*Assumptions!$B$14),0))))+Assumptions!$B$30*Assumptions!$B$21)/(((F32+F13+(IF(F44="convert",F19,0)+IF(F45="convert",F18,0)+IF(F46="convert",Assumptions!$B$38,0)+IF(F47="convert",Assumptions!$B$37,0)+IF(F48="convert",Assumptions!$B$36,0)+IF(F49="convert",Assumptions!$B$35,0))))+Assumptions!$B$30)&gt;Assumptions!$B$21,(((Assumptions!$B$49-(IF(F44="preference",(Assumptions!$B$34*Assumptions!$B$20),0)+IF(F45="preference",(Assumptions!$B$33*Assumptions!$B$19),0)+IF(F46="preference",(Assumptions!$B$38*Assumptions!$B$17),0)+IF(F47="preference",(Assumptions!$B$37*Assumptions!$B$16),0)+IF(F48="preference",(Assumptions!$B$36*Assumptions!$B$15),0)+IF(F49="preference",(Assumptions!$B$35*Assumptions!$B$14),0))))+Assumptions!$B$30*Assumptions!$B$21)/(((F32+F13+(IF(F44="convert",F19,0)+IF(F45="convert",F18,0)+IF(F46="convert",Assumptions!$B$38,0)+IF(F47="convert",Assumptions!$B$37,0)+IF(F48="convert",Assumptions!$B$36,0)+IF(F49="convert",Assumptions!$B$35,0))))+Assumptions!$B$30),((Assumptions!$B$49-(IF(F44="preference",(Assumptions!$B$34*Assumptions!$B$20),0)+IF(F45="preference",(Assumptions!$B$33*Assumptions!$B$19),0)+IF(F46="preference",(Assumptions!$B$38*Assumptions!$B$17),0)+IF(F47="preference",(Assumptions!$B$37*Assumptions!$B$16),0)+IF(F48="preference",(Assumptions!$B$36*Assumptions!$B$15),0)+IF(F49="preference",(Assumptions!$B$35*Assumptions!$B$14),0))))/((F32+F13+(IF(F44="convert",F19,0)+IF(F45="convert",F18,0)+IF(F46="convert",Assumptions!$B$38,0)+IF(F47="convert",Assumptions!$B$37,0)+IF(F48="convert",Assumptions!$B$36,0)+IF(F49="convert",Assumptions!$B$35,0))))))*F13,"preference","convert")</f>
        <v/>
      </c>
      <c r="G51">
        <f>IF(Assumptions!$B$3&gt;(IF((((Assumptions!$B$49-(IF(G44="preference",(Assumptions!$B$34*Assumptions!$B$20),0)+IF(G45="preference",(Assumptions!$B$33*Assumptions!$B$19),0)+IF(G46="preference",(Assumptions!$B$38*Assumptions!$B$17),0)+IF(G47="preference",(Assumptions!$B$37*Assumptions!$B$16),0)+IF(G48="preference",(Assumptions!$B$36*Assumptions!$B$15),0)+IF(G49="preference",(Assumptions!$B$35*Assumptions!$B$14),0))))+Assumptions!$B$30*Assumptions!$B$21)/(((G32+G13+(IF(G44="convert",G19,0)+IF(G45="convert",G18,0)+IF(G46="convert",Assumptions!$B$38,0)+IF(G47="convert",Assumptions!$B$37,0)+IF(G48="convert",Assumptions!$B$36,0)+IF(G49="convert",Assumptions!$B$35,0))))+Assumptions!$B$30)&gt;Assumptions!$B$21,(((Assumptions!$B$49-(IF(G44="preference",(Assumptions!$B$34*Assumptions!$B$20),0)+IF(G45="preference",(Assumptions!$B$33*Assumptions!$B$19),0)+IF(G46="preference",(Assumptions!$B$38*Assumptions!$B$17),0)+IF(G47="preference",(Assumptions!$B$37*Assumptions!$B$16),0)+IF(G48="preference",(Assumptions!$B$36*Assumptions!$B$15),0)+IF(G49="preference",(Assumptions!$B$35*Assumptions!$B$14),0))))+Assumptions!$B$30*Assumptions!$B$21)/(((G32+G13+(IF(G44="convert",G19,0)+IF(G45="convert",G18,0)+IF(G46="convert",Assumptions!$B$38,0)+IF(G47="convert",Assumptions!$B$37,0)+IF(G48="convert",Assumptions!$B$36,0)+IF(G49="convert",Assumptions!$B$35,0))))+Assumptions!$B$30),((Assumptions!$B$49-(IF(G44="preference",(Assumptions!$B$34*Assumptions!$B$20),0)+IF(G45="preference",(Assumptions!$B$33*Assumptions!$B$19),0)+IF(G46="preference",(Assumptions!$B$38*Assumptions!$B$17),0)+IF(G47="preference",(Assumptions!$B$37*Assumptions!$B$16),0)+IF(G48="preference",(Assumptions!$B$36*Assumptions!$B$15),0)+IF(G49="preference",(Assumptions!$B$35*Assumptions!$B$14),0))))/((G32+G13+(IF(G44="convert",G19,0)+IF(G45="convert",G18,0)+IF(G46="convert",Assumptions!$B$38,0)+IF(G47="convert",Assumptions!$B$37,0)+IF(G48="convert",Assumptions!$B$36,0)+IF(G49="convert",Assumptions!$B$35,0))))))*G13,"preference","convert")</f>
        <v/>
      </c>
      <c r="H51">
        <f>IF(Assumptions!$B$3&gt;(IF((((Assumptions!$B$49-(IF(H44="preference",(Assumptions!$B$34*Assumptions!$B$20),0)+IF(H45="preference",(Assumptions!$B$33*Assumptions!$B$19),0)+IF(H46="preference",(Assumptions!$B$38*Assumptions!$B$17),0)+IF(H47="preference",(Assumptions!$B$37*Assumptions!$B$16),0)+IF(H48="preference",(Assumptions!$B$36*Assumptions!$B$15),0)+IF(H49="preference",(Assumptions!$B$35*Assumptions!$B$14),0))))+Assumptions!$B$30*Assumptions!$B$21)/(((H32+H13+(IF(H44="convert",H19,0)+IF(H45="convert",H18,0)+IF(H46="convert",Assumptions!$B$38,0)+IF(H47="convert",Assumptions!$B$37,0)+IF(H48="convert",Assumptions!$B$36,0)+IF(H49="convert",Assumptions!$B$35,0))))+Assumptions!$B$30)&gt;Assumptions!$B$21,(((Assumptions!$B$49-(IF(H44="preference",(Assumptions!$B$34*Assumptions!$B$20),0)+IF(H45="preference",(Assumptions!$B$33*Assumptions!$B$19),0)+IF(H46="preference",(Assumptions!$B$38*Assumptions!$B$17),0)+IF(H47="preference",(Assumptions!$B$37*Assumptions!$B$16),0)+IF(H48="preference",(Assumptions!$B$36*Assumptions!$B$15),0)+IF(H49="preference",(Assumptions!$B$35*Assumptions!$B$14),0))))+Assumptions!$B$30*Assumptions!$B$21)/(((H32+H13+(IF(H44="convert",H19,0)+IF(H45="convert",H18,0)+IF(H46="convert",Assumptions!$B$38,0)+IF(H47="convert",Assumptions!$B$37,0)+IF(H48="convert",Assumptions!$B$36,0)+IF(H49="convert",Assumptions!$B$35,0))))+Assumptions!$B$30),((Assumptions!$B$49-(IF(H44="preference",(Assumptions!$B$34*Assumptions!$B$20),0)+IF(H45="preference",(Assumptions!$B$33*Assumptions!$B$19),0)+IF(H46="preference",(Assumptions!$B$38*Assumptions!$B$17),0)+IF(H47="preference",(Assumptions!$B$37*Assumptions!$B$16),0)+IF(H48="preference",(Assumptions!$B$36*Assumptions!$B$15),0)+IF(H49="preference",(Assumptions!$B$35*Assumptions!$B$14),0))))/((H32+H13+(IF(H44="convert",H19,0)+IF(H45="convert",H18,0)+IF(H46="convert",Assumptions!$B$38,0)+IF(H47="convert",Assumptions!$B$37,0)+IF(H48="convert",Assumptions!$B$36,0)+IF(H49="convert",Assumptions!$B$35,0))))))*H13,"preference","convert")</f>
        <v/>
      </c>
      <c r="I51">
        <f>IF(Assumptions!$B$3&gt;(IF((((Assumptions!$B$49-(IF(I44="preference",(Assumptions!$B$34*Assumptions!$B$20),0)+IF(I45="preference",(Assumptions!$B$33*Assumptions!$B$19),0)+IF(I46="preference",(Assumptions!$B$38*Assumptions!$B$17),0)+IF(I47="preference",(Assumptions!$B$37*Assumptions!$B$16),0)+IF(I48="preference",(Assumptions!$B$36*Assumptions!$B$15),0)+IF(I49="preference",(Assumptions!$B$35*Assumptions!$B$14),0))))+Assumptions!$B$30*Assumptions!$B$21)/(((I32+I13+(IF(I44="convert",I19,0)+IF(I45="convert",I18,0)+IF(I46="convert",Assumptions!$B$38,0)+IF(I47="convert",Assumptions!$B$37,0)+IF(I48="convert",Assumptions!$B$36,0)+IF(I49="convert",Assumptions!$B$35,0))))+Assumptions!$B$30)&gt;Assumptions!$B$21,(((Assumptions!$B$49-(IF(I44="preference",(Assumptions!$B$34*Assumptions!$B$20),0)+IF(I45="preference",(Assumptions!$B$33*Assumptions!$B$19),0)+IF(I46="preference",(Assumptions!$B$38*Assumptions!$B$17),0)+IF(I47="preference",(Assumptions!$B$37*Assumptions!$B$16),0)+IF(I48="preference",(Assumptions!$B$36*Assumptions!$B$15),0)+IF(I49="preference",(Assumptions!$B$35*Assumptions!$B$14),0))))+Assumptions!$B$30*Assumptions!$B$21)/(((I32+I13+(IF(I44="convert",I19,0)+IF(I45="convert",I18,0)+IF(I46="convert",Assumptions!$B$38,0)+IF(I47="convert",Assumptions!$B$37,0)+IF(I48="convert",Assumptions!$B$36,0)+IF(I49="convert",Assumptions!$B$35,0))))+Assumptions!$B$30),((Assumptions!$B$49-(IF(I44="preference",(Assumptions!$B$34*Assumptions!$B$20),0)+IF(I45="preference",(Assumptions!$B$33*Assumptions!$B$19),0)+IF(I46="preference",(Assumptions!$B$38*Assumptions!$B$17),0)+IF(I47="preference",(Assumptions!$B$37*Assumptions!$B$16),0)+IF(I48="preference",(Assumptions!$B$36*Assumptions!$B$15),0)+IF(I49="preference",(Assumptions!$B$35*Assumptions!$B$14),0))))/((I32+I13+(IF(I44="convert",I19,0)+IF(I45="convert",I18,0)+IF(I46="convert",Assumptions!$B$38,0)+IF(I47="convert",Assumptions!$B$37,0)+IF(I48="convert",Assumptions!$B$36,0)+IF(I49="convert",Assumptions!$B$35,0))))))*I13,"preference","convert")</f>
        <v/>
      </c>
      <c r="J51">
        <f>IF(Assumptions!$B$3&gt;(IF((((Assumptions!$B$49-(IF(J44="preference",(Assumptions!$B$34*Assumptions!$B$20),0)+IF(J45="preference",(Assumptions!$B$33*Assumptions!$B$19),0)+IF(J46="preference",(Assumptions!$B$38*Assumptions!$B$17),0)+IF(J47="preference",(Assumptions!$B$37*Assumptions!$B$16),0)+IF(J48="preference",(Assumptions!$B$36*Assumptions!$B$15),0)+IF(J49="preference",(Assumptions!$B$35*Assumptions!$B$14),0))))+Assumptions!$B$30*Assumptions!$B$21)/(((J32+J13+(IF(J44="convert",J19,0)+IF(J45="convert",J18,0)+IF(J46="convert",Assumptions!$B$38,0)+IF(J47="convert",Assumptions!$B$37,0)+IF(J48="convert",Assumptions!$B$36,0)+IF(J49="convert",Assumptions!$B$35,0))))+Assumptions!$B$30)&gt;Assumptions!$B$21,(((Assumptions!$B$49-(IF(J44="preference",(Assumptions!$B$34*Assumptions!$B$20),0)+IF(J45="preference",(Assumptions!$B$33*Assumptions!$B$19),0)+IF(J46="preference",(Assumptions!$B$38*Assumptions!$B$17),0)+IF(J47="preference",(Assumptions!$B$37*Assumptions!$B$16),0)+IF(J48="preference",(Assumptions!$B$36*Assumptions!$B$15),0)+IF(J49="preference",(Assumptions!$B$35*Assumptions!$B$14),0))))+Assumptions!$B$30*Assumptions!$B$21)/(((J32+J13+(IF(J44="convert",J19,0)+IF(J45="convert",J18,0)+IF(J46="convert",Assumptions!$B$38,0)+IF(J47="convert",Assumptions!$B$37,0)+IF(J48="convert",Assumptions!$B$36,0)+IF(J49="convert",Assumptions!$B$35,0))))+Assumptions!$B$30),((Assumptions!$B$49-(IF(J44="preference",(Assumptions!$B$34*Assumptions!$B$20),0)+IF(J45="preference",(Assumptions!$B$33*Assumptions!$B$19),0)+IF(J46="preference",(Assumptions!$B$38*Assumptions!$B$17),0)+IF(J47="preference",(Assumptions!$B$37*Assumptions!$B$16),0)+IF(J48="preference",(Assumptions!$B$36*Assumptions!$B$15),0)+IF(J49="preference",(Assumptions!$B$35*Assumptions!$B$14),0))))/((J32+J13+(IF(J44="convert",J19,0)+IF(J45="convert",J18,0)+IF(J46="convert",Assumptions!$B$38,0)+IF(J47="convert",Assumptions!$B$37,0)+IF(J48="convert",Assumptions!$B$36,0)+IF(J49="convert",Assumptions!$B$35,0))))))*J13,"preference","convert")</f>
        <v/>
      </c>
    </row>
    <row r="52">
      <c r="A52" t="inlineStr">
        <is>
          <t xml:space="preserve">  E</t>
        </is>
      </c>
      <c r="B52">
        <f>IF((Assumptions!$B$34*Assumptions!$B$20)&gt;(IF((((Assumptions!$B$49-(IF(B43="preference",Assumptions!$B$3,0)+IF(B45="preference",(Assumptions!$B$33*Assumptions!$B$19),0)+IF(B46="preference",(Assumptions!$B$38*Assumptions!$B$17),0)+IF(B47="preference",(Assumptions!$B$37*Assumptions!$B$16),0)+IF(B48="preference",(Assumptions!$B$36*Assumptions!$B$15),0)+IF(B49="preference",(Assumptions!$B$35*Assumptions!$B$14),0))))+Assumptions!$B$30*Assumptions!$B$21)/(((B32+B19+(IF(B43="convert",B13,0)+IF(B45="convert",B18,0)+IF(B46="convert",Assumptions!$B$38,0)+IF(B47="convert",Assumptions!$B$37,0)+IF(B48="convert",Assumptions!$B$36,0)+IF(B49="convert",Assumptions!$B$35,0))))+Assumptions!$B$30)&gt;Assumptions!$B$21,(((Assumptions!$B$49-(IF(B43="preference",Assumptions!$B$3,0)+IF(B45="preference",(Assumptions!$B$33*Assumptions!$B$19),0)+IF(B46="preference",(Assumptions!$B$38*Assumptions!$B$17),0)+IF(B47="preference",(Assumptions!$B$37*Assumptions!$B$16),0)+IF(B48="preference",(Assumptions!$B$36*Assumptions!$B$15),0)+IF(B49="preference",(Assumptions!$B$35*Assumptions!$B$14),0))))+Assumptions!$B$30*Assumptions!$B$21)/(((B32+B19+(IF(B43="convert",B13,0)+IF(B45="convert",B18,0)+IF(B46="convert",Assumptions!$B$38,0)+IF(B47="convert",Assumptions!$B$37,0)+IF(B48="convert",Assumptions!$B$36,0)+IF(B49="convert",Assumptions!$B$35,0))))+Assumptions!$B$30),((Assumptions!$B$49-(IF(B43="preference",Assumptions!$B$3,0)+IF(B45="preference",(Assumptions!$B$33*Assumptions!$B$19),0)+IF(B46="preference",(Assumptions!$B$38*Assumptions!$B$17),0)+IF(B47="preference",(Assumptions!$B$37*Assumptions!$B$16),0)+IF(B48="preference",(Assumptions!$B$36*Assumptions!$B$15),0)+IF(B49="preference",(Assumptions!$B$35*Assumptions!$B$14),0))))/((B32+B19+(IF(B43="convert",B13,0)+IF(B45="convert",B18,0)+IF(B46="convert",Assumptions!$B$38,0)+IF(B47="convert",Assumptions!$B$37,0)+IF(B48="convert",Assumptions!$B$36,0)+IF(B49="convert",Assumptions!$B$35,0))))))*B19,"preference","convert")</f>
        <v/>
      </c>
      <c r="C52">
        <f>IF((Assumptions!$B$34*Assumptions!$B$20)&gt;(IF((((Assumptions!$B$49-(IF(C43="preference",Assumptions!$B$3,0)+IF(C45="preference",(Assumptions!$B$33*Assumptions!$B$19),0)+IF(C46="preference",(Assumptions!$B$38*Assumptions!$B$17),0)+IF(C47="preference",(Assumptions!$B$37*Assumptions!$B$16),0)+IF(C48="preference",(Assumptions!$B$36*Assumptions!$B$15),0)+IF(C49="preference",(Assumptions!$B$35*Assumptions!$B$14),0))))+Assumptions!$B$30*Assumptions!$B$21)/(((C32+C19+(IF(C43="convert",C13,0)+IF(C45="convert",C18,0)+IF(C46="convert",Assumptions!$B$38,0)+IF(C47="convert",Assumptions!$B$37,0)+IF(C48="convert",Assumptions!$B$36,0)+IF(C49="convert",Assumptions!$B$35,0))))+Assumptions!$B$30)&gt;Assumptions!$B$21,(((Assumptions!$B$49-(IF(C43="preference",Assumptions!$B$3,0)+IF(C45="preference",(Assumptions!$B$33*Assumptions!$B$19),0)+IF(C46="preference",(Assumptions!$B$38*Assumptions!$B$17),0)+IF(C47="preference",(Assumptions!$B$37*Assumptions!$B$16),0)+IF(C48="preference",(Assumptions!$B$36*Assumptions!$B$15),0)+IF(C49="preference",(Assumptions!$B$35*Assumptions!$B$14),0))))+Assumptions!$B$30*Assumptions!$B$21)/(((C32+C19+(IF(C43="convert",C13,0)+IF(C45="convert",C18,0)+IF(C46="convert",Assumptions!$B$38,0)+IF(C47="convert",Assumptions!$B$37,0)+IF(C48="convert",Assumptions!$B$36,0)+IF(C49="convert",Assumptions!$B$35,0))))+Assumptions!$B$30),((Assumptions!$B$49-(IF(C43="preference",Assumptions!$B$3,0)+IF(C45="preference",(Assumptions!$B$33*Assumptions!$B$19),0)+IF(C46="preference",(Assumptions!$B$38*Assumptions!$B$17),0)+IF(C47="preference",(Assumptions!$B$37*Assumptions!$B$16),0)+IF(C48="preference",(Assumptions!$B$36*Assumptions!$B$15),0)+IF(C49="preference",(Assumptions!$B$35*Assumptions!$B$14),0))))/((C32+C19+(IF(C43="convert",C13,0)+IF(C45="convert",C18,0)+IF(C46="convert",Assumptions!$B$38,0)+IF(C47="convert",Assumptions!$B$37,0)+IF(C48="convert",Assumptions!$B$36,0)+IF(C49="convert",Assumptions!$B$35,0))))))*C19,"preference","convert")</f>
        <v/>
      </c>
      <c r="D52">
        <f>IF((Assumptions!$B$34*Assumptions!$B$20)&gt;(IF((((Assumptions!$B$49-(IF(D43="preference",Assumptions!$B$3,0)+IF(D45="preference",(Assumptions!$B$33*Assumptions!$B$19),0)+IF(D46="preference",(Assumptions!$B$38*Assumptions!$B$17),0)+IF(D47="preference",(Assumptions!$B$37*Assumptions!$B$16),0)+IF(D48="preference",(Assumptions!$B$36*Assumptions!$B$15),0)+IF(D49="preference",(Assumptions!$B$35*Assumptions!$B$14),0))))+Assumptions!$B$30*Assumptions!$B$21)/(((D32+D19+(IF(D43="convert",D13,0)+IF(D45="convert",D18,0)+IF(D46="convert",Assumptions!$B$38,0)+IF(D47="convert",Assumptions!$B$37,0)+IF(D48="convert",Assumptions!$B$36,0)+IF(D49="convert",Assumptions!$B$35,0))))+Assumptions!$B$30)&gt;Assumptions!$B$21,(((Assumptions!$B$49-(IF(D43="preference",Assumptions!$B$3,0)+IF(D45="preference",(Assumptions!$B$33*Assumptions!$B$19),0)+IF(D46="preference",(Assumptions!$B$38*Assumptions!$B$17),0)+IF(D47="preference",(Assumptions!$B$37*Assumptions!$B$16),0)+IF(D48="preference",(Assumptions!$B$36*Assumptions!$B$15),0)+IF(D49="preference",(Assumptions!$B$35*Assumptions!$B$14),0))))+Assumptions!$B$30*Assumptions!$B$21)/(((D32+D19+(IF(D43="convert",D13,0)+IF(D45="convert",D18,0)+IF(D46="convert",Assumptions!$B$38,0)+IF(D47="convert",Assumptions!$B$37,0)+IF(D48="convert",Assumptions!$B$36,0)+IF(D49="convert",Assumptions!$B$35,0))))+Assumptions!$B$30),((Assumptions!$B$49-(IF(D43="preference",Assumptions!$B$3,0)+IF(D45="preference",(Assumptions!$B$33*Assumptions!$B$19),0)+IF(D46="preference",(Assumptions!$B$38*Assumptions!$B$17),0)+IF(D47="preference",(Assumptions!$B$37*Assumptions!$B$16),0)+IF(D48="preference",(Assumptions!$B$36*Assumptions!$B$15),0)+IF(D49="preference",(Assumptions!$B$35*Assumptions!$B$14),0))))/((D32+D19+(IF(D43="convert",D13,0)+IF(D45="convert",D18,0)+IF(D46="convert",Assumptions!$B$38,0)+IF(D47="convert",Assumptions!$B$37,0)+IF(D48="convert",Assumptions!$B$36,0)+IF(D49="convert",Assumptions!$B$35,0))))))*D19,"preference","convert")</f>
        <v/>
      </c>
      <c r="E52">
        <f>IF((Assumptions!$B$34*Assumptions!$B$20)&gt;(IF((((Assumptions!$B$49-(IF(E43="preference",Assumptions!$B$3,0)+IF(E45="preference",(Assumptions!$B$33*Assumptions!$B$19),0)+IF(E46="preference",(Assumptions!$B$38*Assumptions!$B$17),0)+IF(E47="preference",(Assumptions!$B$37*Assumptions!$B$16),0)+IF(E48="preference",(Assumptions!$B$36*Assumptions!$B$15),0)+IF(E49="preference",(Assumptions!$B$35*Assumptions!$B$14),0))))+Assumptions!$B$30*Assumptions!$B$21)/(((E32+E19+(IF(E43="convert",E13,0)+IF(E45="convert",E18,0)+IF(E46="convert",Assumptions!$B$38,0)+IF(E47="convert",Assumptions!$B$37,0)+IF(E48="convert",Assumptions!$B$36,0)+IF(E49="convert",Assumptions!$B$35,0))))+Assumptions!$B$30)&gt;Assumptions!$B$21,(((Assumptions!$B$49-(IF(E43="preference",Assumptions!$B$3,0)+IF(E45="preference",(Assumptions!$B$33*Assumptions!$B$19),0)+IF(E46="preference",(Assumptions!$B$38*Assumptions!$B$17),0)+IF(E47="preference",(Assumptions!$B$37*Assumptions!$B$16),0)+IF(E48="preference",(Assumptions!$B$36*Assumptions!$B$15),0)+IF(E49="preference",(Assumptions!$B$35*Assumptions!$B$14),0))))+Assumptions!$B$30*Assumptions!$B$21)/(((E32+E19+(IF(E43="convert",E13,0)+IF(E45="convert",E18,0)+IF(E46="convert",Assumptions!$B$38,0)+IF(E47="convert",Assumptions!$B$37,0)+IF(E48="convert",Assumptions!$B$36,0)+IF(E49="convert",Assumptions!$B$35,0))))+Assumptions!$B$30),((Assumptions!$B$49-(IF(E43="preference",Assumptions!$B$3,0)+IF(E45="preference",(Assumptions!$B$33*Assumptions!$B$19),0)+IF(E46="preference",(Assumptions!$B$38*Assumptions!$B$17),0)+IF(E47="preference",(Assumptions!$B$37*Assumptions!$B$16),0)+IF(E48="preference",(Assumptions!$B$36*Assumptions!$B$15),0)+IF(E49="preference",(Assumptions!$B$35*Assumptions!$B$14),0))))/((E32+E19+(IF(E43="convert",E13,0)+IF(E45="convert",E18,0)+IF(E46="convert",Assumptions!$B$38,0)+IF(E47="convert",Assumptions!$B$37,0)+IF(E48="convert",Assumptions!$B$36,0)+IF(E49="convert",Assumptions!$B$35,0))))))*E19,"preference","convert")</f>
        <v/>
      </c>
      <c r="F52">
        <f>IF((Assumptions!$B$34*Assumptions!$B$20)&gt;(IF((((Assumptions!$B$49-(IF(F43="preference",Assumptions!$B$3,0)+IF(F45="preference",(Assumptions!$B$33*Assumptions!$B$19),0)+IF(F46="preference",(Assumptions!$B$38*Assumptions!$B$17),0)+IF(F47="preference",(Assumptions!$B$37*Assumptions!$B$16),0)+IF(F48="preference",(Assumptions!$B$36*Assumptions!$B$15),0)+IF(F49="preference",(Assumptions!$B$35*Assumptions!$B$14),0))))+Assumptions!$B$30*Assumptions!$B$21)/(((F32+F19+(IF(F43="convert",F13,0)+IF(F45="convert",F18,0)+IF(F46="convert",Assumptions!$B$38,0)+IF(F47="convert",Assumptions!$B$37,0)+IF(F48="convert",Assumptions!$B$36,0)+IF(F49="convert",Assumptions!$B$35,0))))+Assumptions!$B$30)&gt;Assumptions!$B$21,(((Assumptions!$B$49-(IF(F43="preference",Assumptions!$B$3,0)+IF(F45="preference",(Assumptions!$B$33*Assumptions!$B$19),0)+IF(F46="preference",(Assumptions!$B$38*Assumptions!$B$17),0)+IF(F47="preference",(Assumptions!$B$37*Assumptions!$B$16),0)+IF(F48="preference",(Assumptions!$B$36*Assumptions!$B$15),0)+IF(F49="preference",(Assumptions!$B$35*Assumptions!$B$14),0))))+Assumptions!$B$30*Assumptions!$B$21)/(((F32+F19+(IF(F43="convert",F13,0)+IF(F45="convert",F18,0)+IF(F46="convert",Assumptions!$B$38,0)+IF(F47="convert",Assumptions!$B$37,0)+IF(F48="convert",Assumptions!$B$36,0)+IF(F49="convert",Assumptions!$B$35,0))))+Assumptions!$B$30),((Assumptions!$B$49-(IF(F43="preference",Assumptions!$B$3,0)+IF(F45="preference",(Assumptions!$B$33*Assumptions!$B$19),0)+IF(F46="preference",(Assumptions!$B$38*Assumptions!$B$17),0)+IF(F47="preference",(Assumptions!$B$37*Assumptions!$B$16),0)+IF(F48="preference",(Assumptions!$B$36*Assumptions!$B$15),0)+IF(F49="preference",(Assumptions!$B$35*Assumptions!$B$14),0))))/((F32+F19+(IF(F43="convert",F13,0)+IF(F45="convert",F18,0)+IF(F46="convert",Assumptions!$B$38,0)+IF(F47="convert",Assumptions!$B$37,0)+IF(F48="convert",Assumptions!$B$36,0)+IF(F49="convert",Assumptions!$B$35,0))))))*F19,"preference","convert")</f>
        <v/>
      </c>
      <c r="G52">
        <f>IF((Assumptions!$B$34*Assumptions!$B$20)&gt;(IF((((Assumptions!$B$49-(IF(G43="preference",Assumptions!$B$3,0)+IF(G45="preference",(Assumptions!$B$33*Assumptions!$B$19),0)+IF(G46="preference",(Assumptions!$B$38*Assumptions!$B$17),0)+IF(G47="preference",(Assumptions!$B$37*Assumptions!$B$16),0)+IF(G48="preference",(Assumptions!$B$36*Assumptions!$B$15),0)+IF(G49="preference",(Assumptions!$B$35*Assumptions!$B$14),0))))+Assumptions!$B$30*Assumptions!$B$21)/(((G32+G19+(IF(G43="convert",G13,0)+IF(G45="convert",G18,0)+IF(G46="convert",Assumptions!$B$38,0)+IF(G47="convert",Assumptions!$B$37,0)+IF(G48="convert",Assumptions!$B$36,0)+IF(G49="convert",Assumptions!$B$35,0))))+Assumptions!$B$30)&gt;Assumptions!$B$21,(((Assumptions!$B$49-(IF(G43="preference",Assumptions!$B$3,0)+IF(G45="preference",(Assumptions!$B$33*Assumptions!$B$19),0)+IF(G46="preference",(Assumptions!$B$38*Assumptions!$B$17),0)+IF(G47="preference",(Assumptions!$B$37*Assumptions!$B$16),0)+IF(G48="preference",(Assumptions!$B$36*Assumptions!$B$15),0)+IF(G49="preference",(Assumptions!$B$35*Assumptions!$B$14),0))))+Assumptions!$B$30*Assumptions!$B$21)/(((G32+G19+(IF(G43="convert",G13,0)+IF(G45="convert",G18,0)+IF(G46="convert",Assumptions!$B$38,0)+IF(G47="convert",Assumptions!$B$37,0)+IF(G48="convert",Assumptions!$B$36,0)+IF(G49="convert",Assumptions!$B$35,0))))+Assumptions!$B$30),((Assumptions!$B$49-(IF(G43="preference",Assumptions!$B$3,0)+IF(G45="preference",(Assumptions!$B$33*Assumptions!$B$19),0)+IF(G46="preference",(Assumptions!$B$38*Assumptions!$B$17),0)+IF(G47="preference",(Assumptions!$B$37*Assumptions!$B$16),0)+IF(G48="preference",(Assumptions!$B$36*Assumptions!$B$15),0)+IF(G49="preference",(Assumptions!$B$35*Assumptions!$B$14),0))))/((G32+G19+(IF(G43="convert",G13,0)+IF(G45="convert",G18,0)+IF(G46="convert",Assumptions!$B$38,0)+IF(G47="convert",Assumptions!$B$37,0)+IF(G48="convert",Assumptions!$B$36,0)+IF(G49="convert",Assumptions!$B$35,0))))))*G19,"preference","convert")</f>
        <v/>
      </c>
      <c r="H52">
        <f>IF((Assumptions!$B$34*Assumptions!$B$20)&gt;(IF((((Assumptions!$B$49-(IF(H43="preference",Assumptions!$B$3,0)+IF(H45="preference",(Assumptions!$B$33*Assumptions!$B$19),0)+IF(H46="preference",(Assumptions!$B$38*Assumptions!$B$17),0)+IF(H47="preference",(Assumptions!$B$37*Assumptions!$B$16),0)+IF(H48="preference",(Assumptions!$B$36*Assumptions!$B$15),0)+IF(H49="preference",(Assumptions!$B$35*Assumptions!$B$14),0))))+Assumptions!$B$30*Assumptions!$B$21)/(((H32+H19+(IF(H43="convert",H13,0)+IF(H45="convert",H18,0)+IF(H46="convert",Assumptions!$B$38,0)+IF(H47="convert",Assumptions!$B$37,0)+IF(H48="convert",Assumptions!$B$36,0)+IF(H49="convert",Assumptions!$B$35,0))))+Assumptions!$B$30)&gt;Assumptions!$B$21,(((Assumptions!$B$49-(IF(H43="preference",Assumptions!$B$3,0)+IF(H45="preference",(Assumptions!$B$33*Assumptions!$B$19),0)+IF(H46="preference",(Assumptions!$B$38*Assumptions!$B$17),0)+IF(H47="preference",(Assumptions!$B$37*Assumptions!$B$16),0)+IF(H48="preference",(Assumptions!$B$36*Assumptions!$B$15),0)+IF(H49="preference",(Assumptions!$B$35*Assumptions!$B$14),0))))+Assumptions!$B$30*Assumptions!$B$21)/(((H32+H19+(IF(H43="convert",H13,0)+IF(H45="convert",H18,0)+IF(H46="convert",Assumptions!$B$38,0)+IF(H47="convert",Assumptions!$B$37,0)+IF(H48="convert",Assumptions!$B$36,0)+IF(H49="convert",Assumptions!$B$35,0))))+Assumptions!$B$30),((Assumptions!$B$49-(IF(H43="preference",Assumptions!$B$3,0)+IF(H45="preference",(Assumptions!$B$33*Assumptions!$B$19),0)+IF(H46="preference",(Assumptions!$B$38*Assumptions!$B$17),0)+IF(H47="preference",(Assumptions!$B$37*Assumptions!$B$16),0)+IF(H48="preference",(Assumptions!$B$36*Assumptions!$B$15),0)+IF(H49="preference",(Assumptions!$B$35*Assumptions!$B$14),0))))/((H32+H19+(IF(H43="convert",H13,0)+IF(H45="convert",H18,0)+IF(H46="convert",Assumptions!$B$38,0)+IF(H47="convert",Assumptions!$B$37,0)+IF(H48="convert",Assumptions!$B$36,0)+IF(H49="convert",Assumptions!$B$35,0))))))*H19,"preference","convert")</f>
        <v/>
      </c>
      <c r="I52">
        <f>IF((Assumptions!$B$34*Assumptions!$B$20)&gt;(IF((((Assumptions!$B$49-(IF(I43="preference",Assumptions!$B$3,0)+IF(I45="preference",(Assumptions!$B$33*Assumptions!$B$19),0)+IF(I46="preference",(Assumptions!$B$38*Assumptions!$B$17),0)+IF(I47="preference",(Assumptions!$B$37*Assumptions!$B$16),0)+IF(I48="preference",(Assumptions!$B$36*Assumptions!$B$15),0)+IF(I49="preference",(Assumptions!$B$35*Assumptions!$B$14),0))))+Assumptions!$B$30*Assumptions!$B$21)/(((I32+I19+(IF(I43="convert",I13,0)+IF(I45="convert",I18,0)+IF(I46="convert",Assumptions!$B$38,0)+IF(I47="convert",Assumptions!$B$37,0)+IF(I48="convert",Assumptions!$B$36,0)+IF(I49="convert",Assumptions!$B$35,0))))+Assumptions!$B$30)&gt;Assumptions!$B$21,(((Assumptions!$B$49-(IF(I43="preference",Assumptions!$B$3,0)+IF(I45="preference",(Assumptions!$B$33*Assumptions!$B$19),0)+IF(I46="preference",(Assumptions!$B$38*Assumptions!$B$17),0)+IF(I47="preference",(Assumptions!$B$37*Assumptions!$B$16),0)+IF(I48="preference",(Assumptions!$B$36*Assumptions!$B$15),0)+IF(I49="preference",(Assumptions!$B$35*Assumptions!$B$14),0))))+Assumptions!$B$30*Assumptions!$B$21)/(((I32+I19+(IF(I43="convert",I13,0)+IF(I45="convert",I18,0)+IF(I46="convert",Assumptions!$B$38,0)+IF(I47="convert",Assumptions!$B$37,0)+IF(I48="convert",Assumptions!$B$36,0)+IF(I49="convert",Assumptions!$B$35,0))))+Assumptions!$B$30),((Assumptions!$B$49-(IF(I43="preference",Assumptions!$B$3,0)+IF(I45="preference",(Assumptions!$B$33*Assumptions!$B$19),0)+IF(I46="preference",(Assumptions!$B$38*Assumptions!$B$17),0)+IF(I47="preference",(Assumptions!$B$37*Assumptions!$B$16),0)+IF(I48="preference",(Assumptions!$B$36*Assumptions!$B$15),0)+IF(I49="preference",(Assumptions!$B$35*Assumptions!$B$14),0))))/((I32+I19+(IF(I43="convert",I13,0)+IF(I45="convert",I18,0)+IF(I46="convert",Assumptions!$B$38,0)+IF(I47="convert",Assumptions!$B$37,0)+IF(I48="convert",Assumptions!$B$36,0)+IF(I49="convert",Assumptions!$B$35,0))))))*I19,"preference","convert")</f>
        <v/>
      </c>
      <c r="J52">
        <f>IF((Assumptions!$B$34*Assumptions!$B$20)&gt;(IF((((Assumptions!$B$49-(IF(J43="preference",Assumptions!$B$3,0)+IF(J45="preference",(Assumptions!$B$33*Assumptions!$B$19),0)+IF(J46="preference",(Assumptions!$B$38*Assumptions!$B$17),0)+IF(J47="preference",(Assumptions!$B$37*Assumptions!$B$16),0)+IF(J48="preference",(Assumptions!$B$36*Assumptions!$B$15),0)+IF(J49="preference",(Assumptions!$B$35*Assumptions!$B$14),0))))+Assumptions!$B$30*Assumptions!$B$21)/(((J32+J19+(IF(J43="convert",J13,0)+IF(J45="convert",J18,0)+IF(J46="convert",Assumptions!$B$38,0)+IF(J47="convert",Assumptions!$B$37,0)+IF(J48="convert",Assumptions!$B$36,0)+IF(J49="convert",Assumptions!$B$35,0))))+Assumptions!$B$30)&gt;Assumptions!$B$21,(((Assumptions!$B$49-(IF(J43="preference",Assumptions!$B$3,0)+IF(J45="preference",(Assumptions!$B$33*Assumptions!$B$19),0)+IF(J46="preference",(Assumptions!$B$38*Assumptions!$B$17),0)+IF(J47="preference",(Assumptions!$B$37*Assumptions!$B$16),0)+IF(J48="preference",(Assumptions!$B$36*Assumptions!$B$15),0)+IF(J49="preference",(Assumptions!$B$35*Assumptions!$B$14),0))))+Assumptions!$B$30*Assumptions!$B$21)/(((J32+J19+(IF(J43="convert",J13,0)+IF(J45="convert",J18,0)+IF(J46="convert",Assumptions!$B$38,0)+IF(J47="convert",Assumptions!$B$37,0)+IF(J48="convert",Assumptions!$B$36,0)+IF(J49="convert",Assumptions!$B$35,0))))+Assumptions!$B$30),((Assumptions!$B$49-(IF(J43="preference",Assumptions!$B$3,0)+IF(J45="preference",(Assumptions!$B$33*Assumptions!$B$19),0)+IF(J46="preference",(Assumptions!$B$38*Assumptions!$B$17),0)+IF(J47="preference",(Assumptions!$B$37*Assumptions!$B$16),0)+IF(J48="preference",(Assumptions!$B$36*Assumptions!$B$15),0)+IF(J49="preference",(Assumptions!$B$35*Assumptions!$B$14),0))))/((J32+J19+(IF(J43="convert",J13,0)+IF(J45="convert",J18,0)+IF(J46="convert",Assumptions!$B$38,0)+IF(J47="convert",Assumptions!$B$37,0)+IF(J48="convert",Assumptions!$B$36,0)+IF(J49="convert",Assumptions!$B$35,0))))))*J19,"preference","convert")</f>
        <v/>
      </c>
    </row>
    <row r="53">
      <c r="A53" t="inlineStr">
        <is>
          <t xml:space="preserve">  D</t>
        </is>
      </c>
      <c r="B53">
        <f>IF((Assumptions!$B$33*Assumptions!$B$19)&gt;(IF((((Assumptions!$B$49-(IF(B43="preference",Assumptions!$B$3,0)+IF(B44="preference",(Assumptions!$B$34*Assumptions!$B$20),0)+IF(B46="preference",(Assumptions!$B$38*Assumptions!$B$17),0)+IF(B47="preference",(Assumptions!$B$37*Assumptions!$B$16),0)+IF(B48="preference",(Assumptions!$B$36*Assumptions!$B$15),0)+IF(B49="preference",(Assumptions!$B$35*Assumptions!$B$14),0))))+Assumptions!$B$30*Assumptions!$B$21)/(((B32+B18+(IF(B43="convert",B13,0)+IF(B44="convert",B19,0)+IF(B46="convert",Assumptions!$B$38,0)+IF(B47="convert",Assumptions!$B$37,0)+IF(B48="convert",Assumptions!$B$36,0)+IF(B49="convert",Assumptions!$B$35,0))))+Assumptions!$B$30)&gt;Assumptions!$B$21,(((Assumptions!$B$49-(IF(B43="preference",Assumptions!$B$3,0)+IF(B44="preference",(Assumptions!$B$34*Assumptions!$B$20),0)+IF(B46="preference",(Assumptions!$B$38*Assumptions!$B$17),0)+IF(B47="preference",(Assumptions!$B$37*Assumptions!$B$16),0)+IF(B48="preference",(Assumptions!$B$36*Assumptions!$B$15),0)+IF(B49="preference",(Assumptions!$B$35*Assumptions!$B$14),0))))+Assumptions!$B$30*Assumptions!$B$21)/(((B32+B18+(IF(B43="convert",B13,0)+IF(B44="convert",B19,0)+IF(B46="convert",Assumptions!$B$38,0)+IF(B47="convert",Assumptions!$B$37,0)+IF(B48="convert",Assumptions!$B$36,0)+IF(B49="convert",Assumptions!$B$35,0))))+Assumptions!$B$30),((Assumptions!$B$49-(IF(B43="preference",Assumptions!$B$3,0)+IF(B44="preference",(Assumptions!$B$34*Assumptions!$B$20),0)+IF(B46="preference",(Assumptions!$B$38*Assumptions!$B$17),0)+IF(B47="preference",(Assumptions!$B$37*Assumptions!$B$16),0)+IF(B48="preference",(Assumptions!$B$36*Assumptions!$B$15),0)+IF(B49="preference",(Assumptions!$B$35*Assumptions!$B$14),0))))/((B32+B18+(IF(B43="convert",B13,0)+IF(B44="convert",B19,0)+IF(B46="convert",Assumptions!$B$38,0)+IF(B47="convert",Assumptions!$B$37,0)+IF(B48="convert",Assumptions!$B$36,0)+IF(B49="convert",Assumptions!$B$35,0))))))*B18,"preference","convert")</f>
        <v/>
      </c>
      <c r="C53">
        <f>IF((Assumptions!$B$33*Assumptions!$B$19)&gt;(IF((((Assumptions!$B$49-(IF(C43="preference",Assumptions!$B$3,0)+IF(C44="preference",(Assumptions!$B$34*Assumptions!$B$20),0)+IF(C46="preference",(Assumptions!$B$38*Assumptions!$B$17),0)+IF(C47="preference",(Assumptions!$B$37*Assumptions!$B$16),0)+IF(C48="preference",(Assumptions!$B$36*Assumptions!$B$15),0)+IF(C49="preference",(Assumptions!$B$35*Assumptions!$B$14),0))))+Assumptions!$B$30*Assumptions!$B$21)/(((C32+C18+(IF(C43="convert",C13,0)+IF(C44="convert",C19,0)+IF(C46="convert",Assumptions!$B$38,0)+IF(C47="convert",Assumptions!$B$37,0)+IF(C48="convert",Assumptions!$B$36,0)+IF(C49="convert",Assumptions!$B$35,0))))+Assumptions!$B$30)&gt;Assumptions!$B$21,(((Assumptions!$B$49-(IF(C43="preference",Assumptions!$B$3,0)+IF(C44="preference",(Assumptions!$B$34*Assumptions!$B$20),0)+IF(C46="preference",(Assumptions!$B$38*Assumptions!$B$17),0)+IF(C47="preference",(Assumptions!$B$37*Assumptions!$B$16),0)+IF(C48="preference",(Assumptions!$B$36*Assumptions!$B$15),0)+IF(C49="preference",(Assumptions!$B$35*Assumptions!$B$14),0))))+Assumptions!$B$30*Assumptions!$B$21)/(((C32+C18+(IF(C43="convert",C13,0)+IF(C44="convert",C19,0)+IF(C46="convert",Assumptions!$B$38,0)+IF(C47="convert",Assumptions!$B$37,0)+IF(C48="convert",Assumptions!$B$36,0)+IF(C49="convert",Assumptions!$B$35,0))))+Assumptions!$B$30),((Assumptions!$B$49-(IF(C43="preference",Assumptions!$B$3,0)+IF(C44="preference",(Assumptions!$B$34*Assumptions!$B$20),0)+IF(C46="preference",(Assumptions!$B$38*Assumptions!$B$17),0)+IF(C47="preference",(Assumptions!$B$37*Assumptions!$B$16),0)+IF(C48="preference",(Assumptions!$B$36*Assumptions!$B$15),0)+IF(C49="preference",(Assumptions!$B$35*Assumptions!$B$14),0))))/((C32+C18+(IF(C43="convert",C13,0)+IF(C44="convert",C19,0)+IF(C46="convert",Assumptions!$B$38,0)+IF(C47="convert",Assumptions!$B$37,0)+IF(C48="convert",Assumptions!$B$36,0)+IF(C49="convert",Assumptions!$B$35,0))))))*C18,"preference","convert")</f>
        <v/>
      </c>
      <c r="D53">
        <f>IF((Assumptions!$B$33*Assumptions!$B$19)&gt;(IF((((Assumptions!$B$49-(IF(D43="preference",Assumptions!$B$3,0)+IF(D44="preference",(Assumptions!$B$34*Assumptions!$B$20),0)+IF(D46="preference",(Assumptions!$B$38*Assumptions!$B$17),0)+IF(D47="preference",(Assumptions!$B$37*Assumptions!$B$16),0)+IF(D48="preference",(Assumptions!$B$36*Assumptions!$B$15),0)+IF(D49="preference",(Assumptions!$B$35*Assumptions!$B$14),0))))+Assumptions!$B$30*Assumptions!$B$21)/(((D32+D18+(IF(D43="convert",D13,0)+IF(D44="convert",D19,0)+IF(D46="convert",Assumptions!$B$38,0)+IF(D47="convert",Assumptions!$B$37,0)+IF(D48="convert",Assumptions!$B$36,0)+IF(D49="convert",Assumptions!$B$35,0))))+Assumptions!$B$30)&gt;Assumptions!$B$21,(((Assumptions!$B$49-(IF(D43="preference",Assumptions!$B$3,0)+IF(D44="preference",(Assumptions!$B$34*Assumptions!$B$20),0)+IF(D46="preference",(Assumptions!$B$38*Assumptions!$B$17),0)+IF(D47="preference",(Assumptions!$B$37*Assumptions!$B$16),0)+IF(D48="preference",(Assumptions!$B$36*Assumptions!$B$15),0)+IF(D49="preference",(Assumptions!$B$35*Assumptions!$B$14),0))))+Assumptions!$B$30*Assumptions!$B$21)/(((D32+D18+(IF(D43="convert",D13,0)+IF(D44="convert",D19,0)+IF(D46="convert",Assumptions!$B$38,0)+IF(D47="convert",Assumptions!$B$37,0)+IF(D48="convert",Assumptions!$B$36,0)+IF(D49="convert",Assumptions!$B$35,0))))+Assumptions!$B$30),((Assumptions!$B$49-(IF(D43="preference",Assumptions!$B$3,0)+IF(D44="preference",(Assumptions!$B$34*Assumptions!$B$20),0)+IF(D46="preference",(Assumptions!$B$38*Assumptions!$B$17),0)+IF(D47="preference",(Assumptions!$B$37*Assumptions!$B$16),0)+IF(D48="preference",(Assumptions!$B$36*Assumptions!$B$15),0)+IF(D49="preference",(Assumptions!$B$35*Assumptions!$B$14),0))))/((D32+D18+(IF(D43="convert",D13,0)+IF(D44="convert",D19,0)+IF(D46="convert",Assumptions!$B$38,0)+IF(D47="convert",Assumptions!$B$37,0)+IF(D48="convert",Assumptions!$B$36,0)+IF(D49="convert",Assumptions!$B$35,0))))))*D18,"preference","convert")</f>
        <v/>
      </c>
      <c r="E53">
        <f>IF((Assumptions!$B$33*Assumptions!$B$19)&gt;(IF((((Assumptions!$B$49-(IF(E43="preference",Assumptions!$B$3,0)+IF(E44="preference",(Assumptions!$B$34*Assumptions!$B$20),0)+IF(E46="preference",(Assumptions!$B$38*Assumptions!$B$17),0)+IF(E47="preference",(Assumptions!$B$37*Assumptions!$B$16),0)+IF(E48="preference",(Assumptions!$B$36*Assumptions!$B$15),0)+IF(E49="preference",(Assumptions!$B$35*Assumptions!$B$14),0))))+Assumptions!$B$30*Assumptions!$B$21)/(((E32+E18+(IF(E43="convert",E13,0)+IF(E44="convert",E19,0)+IF(E46="convert",Assumptions!$B$38,0)+IF(E47="convert",Assumptions!$B$37,0)+IF(E48="convert",Assumptions!$B$36,0)+IF(E49="convert",Assumptions!$B$35,0))))+Assumptions!$B$30)&gt;Assumptions!$B$21,(((Assumptions!$B$49-(IF(E43="preference",Assumptions!$B$3,0)+IF(E44="preference",(Assumptions!$B$34*Assumptions!$B$20),0)+IF(E46="preference",(Assumptions!$B$38*Assumptions!$B$17),0)+IF(E47="preference",(Assumptions!$B$37*Assumptions!$B$16),0)+IF(E48="preference",(Assumptions!$B$36*Assumptions!$B$15),0)+IF(E49="preference",(Assumptions!$B$35*Assumptions!$B$14),0))))+Assumptions!$B$30*Assumptions!$B$21)/(((E32+E18+(IF(E43="convert",E13,0)+IF(E44="convert",E19,0)+IF(E46="convert",Assumptions!$B$38,0)+IF(E47="convert",Assumptions!$B$37,0)+IF(E48="convert",Assumptions!$B$36,0)+IF(E49="convert",Assumptions!$B$35,0))))+Assumptions!$B$30),((Assumptions!$B$49-(IF(E43="preference",Assumptions!$B$3,0)+IF(E44="preference",(Assumptions!$B$34*Assumptions!$B$20),0)+IF(E46="preference",(Assumptions!$B$38*Assumptions!$B$17),0)+IF(E47="preference",(Assumptions!$B$37*Assumptions!$B$16),0)+IF(E48="preference",(Assumptions!$B$36*Assumptions!$B$15),0)+IF(E49="preference",(Assumptions!$B$35*Assumptions!$B$14),0))))/((E32+E18+(IF(E43="convert",E13,0)+IF(E44="convert",E19,0)+IF(E46="convert",Assumptions!$B$38,0)+IF(E47="convert",Assumptions!$B$37,0)+IF(E48="convert",Assumptions!$B$36,0)+IF(E49="convert",Assumptions!$B$35,0))))))*E18,"preference","convert")</f>
        <v/>
      </c>
      <c r="F53">
        <f>IF((Assumptions!$B$33*Assumptions!$B$19)&gt;(IF((((Assumptions!$B$49-(IF(F43="preference",Assumptions!$B$3,0)+IF(F44="preference",(Assumptions!$B$34*Assumptions!$B$20),0)+IF(F46="preference",(Assumptions!$B$38*Assumptions!$B$17),0)+IF(F47="preference",(Assumptions!$B$37*Assumptions!$B$16),0)+IF(F48="preference",(Assumptions!$B$36*Assumptions!$B$15),0)+IF(F49="preference",(Assumptions!$B$35*Assumptions!$B$14),0))))+Assumptions!$B$30*Assumptions!$B$21)/(((F32+F18+(IF(F43="convert",F13,0)+IF(F44="convert",F19,0)+IF(F46="convert",Assumptions!$B$38,0)+IF(F47="convert",Assumptions!$B$37,0)+IF(F48="convert",Assumptions!$B$36,0)+IF(F49="convert",Assumptions!$B$35,0))))+Assumptions!$B$30)&gt;Assumptions!$B$21,(((Assumptions!$B$49-(IF(F43="preference",Assumptions!$B$3,0)+IF(F44="preference",(Assumptions!$B$34*Assumptions!$B$20),0)+IF(F46="preference",(Assumptions!$B$38*Assumptions!$B$17),0)+IF(F47="preference",(Assumptions!$B$37*Assumptions!$B$16),0)+IF(F48="preference",(Assumptions!$B$36*Assumptions!$B$15),0)+IF(F49="preference",(Assumptions!$B$35*Assumptions!$B$14),0))))+Assumptions!$B$30*Assumptions!$B$21)/(((F32+F18+(IF(F43="convert",F13,0)+IF(F44="convert",F19,0)+IF(F46="convert",Assumptions!$B$38,0)+IF(F47="convert",Assumptions!$B$37,0)+IF(F48="convert",Assumptions!$B$36,0)+IF(F49="convert",Assumptions!$B$35,0))))+Assumptions!$B$30),((Assumptions!$B$49-(IF(F43="preference",Assumptions!$B$3,0)+IF(F44="preference",(Assumptions!$B$34*Assumptions!$B$20),0)+IF(F46="preference",(Assumptions!$B$38*Assumptions!$B$17),0)+IF(F47="preference",(Assumptions!$B$37*Assumptions!$B$16),0)+IF(F48="preference",(Assumptions!$B$36*Assumptions!$B$15),0)+IF(F49="preference",(Assumptions!$B$35*Assumptions!$B$14),0))))/((F32+F18+(IF(F43="convert",F13,0)+IF(F44="convert",F19,0)+IF(F46="convert",Assumptions!$B$38,0)+IF(F47="convert",Assumptions!$B$37,0)+IF(F48="convert",Assumptions!$B$36,0)+IF(F49="convert",Assumptions!$B$35,0))))))*F18,"preference","convert")</f>
        <v/>
      </c>
      <c r="G53">
        <f>IF((Assumptions!$B$33*Assumptions!$B$19)&gt;(IF((((Assumptions!$B$49-(IF(G43="preference",Assumptions!$B$3,0)+IF(G44="preference",(Assumptions!$B$34*Assumptions!$B$20),0)+IF(G46="preference",(Assumptions!$B$38*Assumptions!$B$17),0)+IF(G47="preference",(Assumptions!$B$37*Assumptions!$B$16),0)+IF(G48="preference",(Assumptions!$B$36*Assumptions!$B$15),0)+IF(G49="preference",(Assumptions!$B$35*Assumptions!$B$14),0))))+Assumptions!$B$30*Assumptions!$B$21)/(((G32+G18+(IF(G43="convert",G13,0)+IF(G44="convert",G19,0)+IF(G46="convert",Assumptions!$B$38,0)+IF(G47="convert",Assumptions!$B$37,0)+IF(G48="convert",Assumptions!$B$36,0)+IF(G49="convert",Assumptions!$B$35,0))))+Assumptions!$B$30)&gt;Assumptions!$B$21,(((Assumptions!$B$49-(IF(G43="preference",Assumptions!$B$3,0)+IF(G44="preference",(Assumptions!$B$34*Assumptions!$B$20),0)+IF(G46="preference",(Assumptions!$B$38*Assumptions!$B$17),0)+IF(G47="preference",(Assumptions!$B$37*Assumptions!$B$16),0)+IF(G48="preference",(Assumptions!$B$36*Assumptions!$B$15),0)+IF(G49="preference",(Assumptions!$B$35*Assumptions!$B$14),0))))+Assumptions!$B$30*Assumptions!$B$21)/(((G32+G18+(IF(G43="convert",G13,0)+IF(G44="convert",G19,0)+IF(G46="convert",Assumptions!$B$38,0)+IF(G47="convert",Assumptions!$B$37,0)+IF(G48="convert",Assumptions!$B$36,0)+IF(G49="convert",Assumptions!$B$35,0))))+Assumptions!$B$30),((Assumptions!$B$49-(IF(G43="preference",Assumptions!$B$3,0)+IF(G44="preference",(Assumptions!$B$34*Assumptions!$B$20),0)+IF(G46="preference",(Assumptions!$B$38*Assumptions!$B$17),0)+IF(G47="preference",(Assumptions!$B$37*Assumptions!$B$16),0)+IF(G48="preference",(Assumptions!$B$36*Assumptions!$B$15),0)+IF(G49="preference",(Assumptions!$B$35*Assumptions!$B$14),0))))/((G32+G18+(IF(G43="convert",G13,0)+IF(G44="convert",G19,0)+IF(G46="convert",Assumptions!$B$38,0)+IF(G47="convert",Assumptions!$B$37,0)+IF(G48="convert",Assumptions!$B$36,0)+IF(G49="convert",Assumptions!$B$35,0))))))*G18,"preference","convert")</f>
        <v/>
      </c>
      <c r="H53">
        <f>IF((Assumptions!$B$33*Assumptions!$B$19)&gt;(IF((((Assumptions!$B$49-(IF(H43="preference",Assumptions!$B$3,0)+IF(H44="preference",(Assumptions!$B$34*Assumptions!$B$20),0)+IF(H46="preference",(Assumptions!$B$38*Assumptions!$B$17),0)+IF(H47="preference",(Assumptions!$B$37*Assumptions!$B$16),0)+IF(H48="preference",(Assumptions!$B$36*Assumptions!$B$15),0)+IF(H49="preference",(Assumptions!$B$35*Assumptions!$B$14),0))))+Assumptions!$B$30*Assumptions!$B$21)/(((H32+H18+(IF(H43="convert",H13,0)+IF(H44="convert",H19,0)+IF(H46="convert",Assumptions!$B$38,0)+IF(H47="convert",Assumptions!$B$37,0)+IF(H48="convert",Assumptions!$B$36,0)+IF(H49="convert",Assumptions!$B$35,0))))+Assumptions!$B$30)&gt;Assumptions!$B$21,(((Assumptions!$B$49-(IF(H43="preference",Assumptions!$B$3,0)+IF(H44="preference",(Assumptions!$B$34*Assumptions!$B$20),0)+IF(H46="preference",(Assumptions!$B$38*Assumptions!$B$17),0)+IF(H47="preference",(Assumptions!$B$37*Assumptions!$B$16),0)+IF(H48="preference",(Assumptions!$B$36*Assumptions!$B$15),0)+IF(H49="preference",(Assumptions!$B$35*Assumptions!$B$14),0))))+Assumptions!$B$30*Assumptions!$B$21)/(((H32+H18+(IF(H43="convert",H13,0)+IF(H44="convert",H19,0)+IF(H46="convert",Assumptions!$B$38,0)+IF(H47="convert",Assumptions!$B$37,0)+IF(H48="convert",Assumptions!$B$36,0)+IF(H49="convert",Assumptions!$B$35,0))))+Assumptions!$B$30),((Assumptions!$B$49-(IF(H43="preference",Assumptions!$B$3,0)+IF(H44="preference",(Assumptions!$B$34*Assumptions!$B$20),0)+IF(H46="preference",(Assumptions!$B$38*Assumptions!$B$17),0)+IF(H47="preference",(Assumptions!$B$37*Assumptions!$B$16),0)+IF(H48="preference",(Assumptions!$B$36*Assumptions!$B$15),0)+IF(H49="preference",(Assumptions!$B$35*Assumptions!$B$14),0))))/((H32+H18+(IF(H43="convert",H13,0)+IF(H44="convert",H19,0)+IF(H46="convert",Assumptions!$B$38,0)+IF(H47="convert",Assumptions!$B$37,0)+IF(H48="convert",Assumptions!$B$36,0)+IF(H49="convert",Assumptions!$B$35,0))))))*H18,"preference","convert")</f>
        <v/>
      </c>
      <c r="I53">
        <f>IF((Assumptions!$B$33*Assumptions!$B$19)&gt;(IF((((Assumptions!$B$49-(IF(I43="preference",Assumptions!$B$3,0)+IF(I44="preference",(Assumptions!$B$34*Assumptions!$B$20),0)+IF(I46="preference",(Assumptions!$B$38*Assumptions!$B$17),0)+IF(I47="preference",(Assumptions!$B$37*Assumptions!$B$16),0)+IF(I48="preference",(Assumptions!$B$36*Assumptions!$B$15),0)+IF(I49="preference",(Assumptions!$B$35*Assumptions!$B$14),0))))+Assumptions!$B$30*Assumptions!$B$21)/(((I32+I18+(IF(I43="convert",I13,0)+IF(I44="convert",I19,0)+IF(I46="convert",Assumptions!$B$38,0)+IF(I47="convert",Assumptions!$B$37,0)+IF(I48="convert",Assumptions!$B$36,0)+IF(I49="convert",Assumptions!$B$35,0))))+Assumptions!$B$30)&gt;Assumptions!$B$21,(((Assumptions!$B$49-(IF(I43="preference",Assumptions!$B$3,0)+IF(I44="preference",(Assumptions!$B$34*Assumptions!$B$20),0)+IF(I46="preference",(Assumptions!$B$38*Assumptions!$B$17),0)+IF(I47="preference",(Assumptions!$B$37*Assumptions!$B$16),0)+IF(I48="preference",(Assumptions!$B$36*Assumptions!$B$15),0)+IF(I49="preference",(Assumptions!$B$35*Assumptions!$B$14),0))))+Assumptions!$B$30*Assumptions!$B$21)/(((I32+I18+(IF(I43="convert",I13,0)+IF(I44="convert",I19,0)+IF(I46="convert",Assumptions!$B$38,0)+IF(I47="convert",Assumptions!$B$37,0)+IF(I48="convert",Assumptions!$B$36,0)+IF(I49="convert",Assumptions!$B$35,0))))+Assumptions!$B$30),((Assumptions!$B$49-(IF(I43="preference",Assumptions!$B$3,0)+IF(I44="preference",(Assumptions!$B$34*Assumptions!$B$20),0)+IF(I46="preference",(Assumptions!$B$38*Assumptions!$B$17),0)+IF(I47="preference",(Assumptions!$B$37*Assumptions!$B$16),0)+IF(I48="preference",(Assumptions!$B$36*Assumptions!$B$15),0)+IF(I49="preference",(Assumptions!$B$35*Assumptions!$B$14),0))))/((I32+I18+(IF(I43="convert",I13,0)+IF(I44="convert",I19,0)+IF(I46="convert",Assumptions!$B$38,0)+IF(I47="convert",Assumptions!$B$37,0)+IF(I48="convert",Assumptions!$B$36,0)+IF(I49="convert",Assumptions!$B$35,0))))))*I18,"preference","convert")</f>
        <v/>
      </c>
      <c r="J53">
        <f>IF((Assumptions!$B$33*Assumptions!$B$19)&gt;(IF((((Assumptions!$B$49-(IF(J43="preference",Assumptions!$B$3,0)+IF(J44="preference",(Assumptions!$B$34*Assumptions!$B$20),0)+IF(J46="preference",(Assumptions!$B$38*Assumptions!$B$17),0)+IF(J47="preference",(Assumptions!$B$37*Assumptions!$B$16),0)+IF(J48="preference",(Assumptions!$B$36*Assumptions!$B$15),0)+IF(J49="preference",(Assumptions!$B$35*Assumptions!$B$14),0))))+Assumptions!$B$30*Assumptions!$B$21)/(((J32+J18+(IF(J43="convert",J13,0)+IF(J44="convert",J19,0)+IF(J46="convert",Assumptions!$B$38,0)+IF(J47="convert",Assumptions!$B$37,0)+IF(J48="convert",Assumptions!$B$36,0)+IF(J49="convert",Assumptions!$B$35,0))))+Assumptions!$B$30)&gt;Assumptions!$B$21,(((Assumptions!$B$49-(IF(J43="preference",Assumptions!$B$3,0)+IF(J44="preference",(Assumptions!$B$34*Assumptions!$B$20),0)+IF(J46="preference",(Assumptions!$B$38*Assumptions!$B$17),0)+IF(J47="preference",(Assumptions!$B$37*Assumptions!$B$16),0)+IF(J48="preference",(Assumptions!$B$36*Assumptions!$B$15),0)+IF(J49="preference",(Assumptions!$B$35*Assumptions!$B$14),0))))+Assumptions!$B$30*Assumptions!$B$21)/(((J32+J18+(IF(J43="convert",J13,0)+IF(J44="convert",J19,0)+IF(J46="convert",Assumptions!$B$38,0)+IF(J47="convert",Assumptions!$B$37,0)+IF(J48="convert",Assumptions!$B$36,0)+IF(J49="convert",Assumptions!$B$35,0))))+Assumptions!$B$30),((Assumptions!$B$49-(IF(J43="preference",Assumptions!$B$3,0)+IF(J44="preference",(Assumptions!$B$34*Assumptions!$B$20),0)+IF(J46="preference",(Assumptions!$B$38*Assumptions!$B$17),0)+IF(J47="preference",(Assumptions!$B$37*Assumptions!$B$16),0)+IF(J48="preference",(Assumptions!$B$36*Assumptions!$B$15),0)+IF(J49="preference",(Assumptions!$B$35*Assumptions!$B$14),0))))/((J32+J18+(IF(J43="convert",J13,0)+IF(J44="convert",J19,0)+IF(J46="convert",Assumptions!$B$38,0)+IF(J47="convert",Assumptions!$B$37,0)+IF(J48="convert",Assumptions!$B$36,0)+IF(J49="convert",Assumptions!$B$35,0))))))*J18,"preference","convert")</f>
        <v/>
      </c>
    </row>
    <row r="54">
      <c r="A54" t="inlineStr">
        <is>
          <t xml:space="preserve">  C</t>
        </is>
      </c>
      <c r="B54">
        <f>IF((Assumptions!$B$38*Assumptions!$B$17)&gt;(IF((((Assumptions!$B$49-(IF(B43="preference",Assumptions!$B$3,0)+IF(B44="preference",(Assumptions!$B$34*Assumptions!$B$20),0)+IF(B45="preference",(Assumptions!$B$33*Assumptions!$B$19),0)+IF(B47="preference",(Assumptions!$B$37*Assumptions!$B$16),0)+IF(B48="preference",(Assumptions!$B$36*Assumptions!$B$15),0)+IF(B49="preference",(Assumptions!$B$35*Assumptions!$B$14),0))))+Assumptions!$B$30*Assumptions!$B$21)/(((B32+Assumptions!$B$38+(IF(B43="convert",B13,0)+IF(B44="convert",B19,0)+IF(B45="convert",B18,0)+IF(B47="convert",Assumptions!$B$37,0)+IF(B48="convert",Assumptions!$B$36,0)+IF(B49="convert",Assumptions!$B$35,0))))+Assumptions!$B$30)&gt;Assumptions!$B$21,(((Assumptions!$B$49-(IF(B43="preference",Assumptions!$B$3,0)+IF(B44="preference",(Assumptions!$B$34*Assumptions!$B$20),0)+IF(B45="preference",(Assumptions!$B$33*Assumptions!$B$19),0)+IF(B47="preference",(Assumptions!$B$37*Assumptions!$B$16),0)+IF(B48="preference",(Assumptions!$B$36*Assumptions!$B$15),0)+IF(B49="preference",(Assumptions!$B$35*Assumptions!$B$14),0))))+Assumptions!$B$30*Assumptions!$B$21)/(((B32+Assumptions!$B$38+(IF(B43="convert",B13,0)+IF(B44="convert",B19,0)+IF(B45="convert",B18,0)+IF(B47="convert",Assumptions!$B$37,0)+IF(B48="convert",Assumptions!$B$36,0)+IF(B49="convert",Assumptions!$B$35,0))))+Assumptions!$B$30),((Assumptions!$B$49-(IF(B43="preference",Assumptions!$B$3,0)+IF(B44="preference",(Assumptions!$B$34*Assumptions!$B$20),0)+IF(B45="preference",(Assumptions!$B$33*Assumptions!$B$19),0)+IF(B47="preference",(Assumptions!$B$37*Assumptions!$B$16),0)+IF(B48="preference",(Assumptions!$B$36*Assumptions!$B$15),0)+IF(B49="preference",(Assumptions!$B$35*Assumptions!$B$14),0))))/((B32+Assumptions!$B$38+(IF(B43="convert",B13,0)+IF(B44="convert",B19,0)+IF(B45="convert",B18,0)+IF(B47="convert",Assumptions!$B$37,0)+IF(B48="convert",Assumptions!$B$36,0)+IF(B49="convert",Assumptions!$B$35,0))))))*Assumptions!$B$38,"preference","convert")</f>
        <v/>
      </c>
      <c r="C54">
        <f>IF((Assumptions!$B$38*Assumptions!$B$17)&gt;(IF((((Assumptions!$B$49-(IF(C43="preference",Assumptions!$B$3,0)+IF(C44="preference",(Assumptions!$B$34*Assumptions!$B$20),0)+IF(C45="preference",(Assumptions!$B$33*Assumptions!$B$19),0)+IF(C47="preference",(Assumptions!$B$37*Assumptions!$B$16),0)+IF(C48="preference",(Assumptions!$B$36*Assumptions!$B$15),0)+IF(C49="preference",(Assumptions!$B$35*Assumptions!$B$14),0))))+Assumptions!$B$30*Assumptions!$B$21)/(((C32+Assumptions!$B$38+(IF(C43="convert",C13,0)+IF(C44="convert",C19,0)+IF(C45="convert",C18,0)+IF(C47="convert",Assumptions!$B$37,0)+IF(C48="convert",Assumptions!$B$36,0)+IF(C49="convert",Assumptions!$B$35,0))))+Assumptions!$B$30)&gt;Assumptions!$B$21,(((Assumptions!$B$49-(IF(C43="preference",Assumptions!$B$3,0)+IF(C44="preference",(Assumptions!$B$34*Assumptions!$B$20),0)+IF(C45="preference",(Assumptions!$B$33*Assumptions!$B$19),0)+IF(C47="preference",(Assumptions!$B$37*Assumptions!$B$16),0)+IF(C48="preference",(Assumptions!$B$36*Assumptions!$B$15),0)+IF(C49="preference",(Assumptions!$B$35*Assumptions!$B$14),0))))+Assumptions!$B$30*Assumptions!$B$21)/(((C32+Assumptions!$B$38+(IF(C43="convert",C13,0)+IF(C44="convert",C19,0)+IF(C45="convert",C18,0)+IF(C47="convert",Assumptions!$B$37,0)+IF(C48="convert",Assumptions!$B$36,0)+IF(C49="convert",Assumptions!$B$35,0))))+Assumptions!$B$30),((Assumptions!$B$49-(IF(C43="preference",Assumptions!$B$3,0)+IF(C44="preference",(Assumptions!$B$34*Assumptions!$B$20),0)+IF(C45="preference",(Assumptions!$B$33*Assumptions!$B$19),0)+IF(C47="preference",(Assumptions!$B$37*Assumptions!$B$16),0)+IF(C48="preference",(Assumptions!$B$36*Assumptions!$B$15),0)+IF(C49="preference",(Assumptions!$B$35*Assumptions!$B$14),0))))/((C32+Assumptions!$B$38+(IF(C43="convert",C13,0)+IF(C44="convert",C19,0)+IF(C45="convert",C18,0)+IF(C47="convert",Assumptions!$B$37,0)+IF(C48="convert",Assumptions!$B$36,0)+IF(C49="convert",Assumptions!$B$35,0))))))*Assumptions!$B$38,"preference","convert")</f>
        <v/>
      </c>
      <c r="D54">
        <f>IF((Assumptions!$B$38*Assumptions!$B$17)&gt;(IF((((Assumptions!$B$49-(IF(D43="preference",Assumptions!$B$3,0)+IF(D44="preference",(Assumptions!$B$34*Assumptions!$B$20),0)+IF(D45="preference",(Assumptions!$B$33*Assumptions!$B$19),0)+IF(D47="preference",(Assumptions!$B$37*Assumptions!$B$16),0)+IF(D48="preference",(Assumptions!$B$36*Assumptions!$B$15),0)+IF(D49="preference",(Assumptions!$B$35*Assumptions!$B$14),0))))+Assumptions!$B$30*Assumptions!$B$21)/(((D32+Assumptions!$B$38+(IF(D43="convert",D13,0)+IF(D44="convert",D19,0)+IF(D45="convert",D18,0)+IF(D47="convert",Assumptions!$B$37,0)+IF(D48="convert",Assumptions!$B$36,0)+IF(D49="convert",Assumptions!$B$35,0))))+Assumptions!$B$30)&gt;Assumptions!$B$21,(((Assumptions!$B$49-(IF(D43="preference",Assumptions!$B$3,0)+IF(D44="preference",(Assumptions!$B$34*Assumptions!$B$20),0)+IF(D45="preference",(Assumptions!$B$33*Assumptions!$B$19),0)+IF(D47="preference",(Assumptions!$B$37*Assumptions!$B$16),0)+IF(D48="preference",(Assumptions!$B$36*Assumptions!$B$15),0)+IF(D49="preference",(Assumptions!$B$35*Assumptions!$B$14),0))))+Assumptions!$B$30*Assumptions!$B$21)/(((D32+Assumptions!$B$38+(IF(D43="convert",D13,0)+IF(D44="convert",D19,0)+IF(D45="convert",D18,0)+IF(D47="convert",Assumptions!$B$37,0)+IF(D48="convert",Assumptions!$B$36,0)+IF(D49="convert",Assumptions!$B$35,0))))+Assumptions!$B$30),((Assumptions!$B$49-(IF(D43="preference",Assumptions!$B$3,0)+IF(D44="preference",(Assumptions!$B$34*Assumptions!$B$20),0)+IF(D45="preference",(Assumptions!$B$33*Assumptions!$B$19),0)+IF(D47="preference",(Assumptions!$B$37*Assumptions!$B$16),0)+IF(D48="preference",(Assumptions!$B$36*Assumptions!$B$15),0)+IF(D49="preference",(Assumptions!$B$35*Assumptions!$B$14),0))))/((D32+Assumptions!$B$38+(IF(D43="convert",D13,0)+IF(D44="convert",D19,0)+IF(D45="convert",D18,0)+IF(D47="convert",Assumptions!$B$37,0)+IF(D48="convert",Assumptions!$B$36,0)+IF(D49="convert",Assumptions!$B$35,0))))))*Assumptions!$B$38,"preference","convert")</f>
        <v/>
      </c>
      <c r="E54">
        <f>IF((Assumptions!$B$38*Assumptions!$B$17)&gt;(IF((((Assumptions!$B$49-(IF(E43="preference",Assumptions!$B$3,0)+IF(E44="preference",(Assumptions!$B$34*Assumptions!$B$20),0)+IF(E45="preference",(Assumptions!$B$33*Assumptions!$B$19),0)+IF(E47="preference",(Assumptions!$B$37*Assumptions!$B$16),0)+IF(E48="preference",(Assumptions!$B$36*Assumptions!$B$15),0)+IF(E49="preference",(Assumptions!$B$35*Assumptions!$B$14),0))))+Assumptions!$B$30*Assumptions!$B$21)/(((E32+Assumptions!$B$38+(IF(E43="convert",E13,0)+IF(E44="convert",E19,0)+IF(E45="convert",E18,0)+IF(E47="convert",Assumptions!$B$37,0)+IF(E48="convert",Assumptions!$B$36,0)+IF(E49="convert",Assumptions!$B$35,0))))+Assumptions!$B$30)&gt;Assumptions!$B$21,(((Assumptions!$B$49-(IF(E43="preference",Assumptions!$B$3,0)+IF(E44="preference",(Assumptions!$B$34*Assumptions!$B$20),0)+IF(E45="preference",(Assumptions!$B$33*Assumptions!$B$19),0)+IF(E47="preference",(Assumptions!$B$37*Assumptions!$B$16),0)+IF(E48="preference",(Assumptions!$B$36*Assumptions!$B$15),0)+IF(E49="preference",(Assumptions!$B$35*Assumptions!$B$14),0))))+Assumptions!$B$30*Assumptions!$B$21)/(((E32+Assumptions!$B$38+(IF(E43="convert",E13,0)+IF(E44="convert",E19,0)+IF(E45="convert",E18,0)+IF(E47="convert",Assumptions!$B$37,0)+IF(E48="convert",Assumptions!$B$36,0)+IF(E49="convert",Assumptions!$B$35,0))))+Assumptions!$B$30),((Assumptions!$B$49-(IF(E43="preference",Assumptions!$B$3,0)+IF(E44="preference",(Assumptions!$B$34*Assumptions!$B$20),0)+IF(E45="preference",(Assumptions!$B$33*Assumptions!$B$19),0)+IF(E47="preference",(Assumptions!$B$37*Assumptions!$B$16),0)+IF(E48="preference",(Assumptions!$B$36*Assumptions!$B$15),0)+IF(E49="preference",(Assumptions!$B$35*Assumptions!$B$14),0))))/((E32+Assumptions!$B$38+(IF(E43="convert",E13,0)+IF(E44="convert",E19,0)+IF(E45="convert",E18,0)+IF(E47="convert",Assumptions!$B$37,0)+IF(E48="convert",Assumptions!$B$36,0)+IF(E49="convert",Assumptions!$B$35,0))))))*Assumptions!$B$38,"preference","convert")</f>
        <v/>
      </c>
      <c r="F54">
        <f>IF((Assumptions!$B$38*Assumptions!$B$17)&gt;(IF((((Assumptions!$B$49-(IF(F43="preference",Assumptions!$B$3,0)+IF(F44="preference",(Assumptions!$B$34*Assumptions!$B$20),0)+IF(F45="preference",(Assumptions!$B$33*Assumptions!$B$19),0)+IF(F47="preference",(Assumptions!$B$37*Assumptions!$B$16),0)+IF(F48="preference",(Assumptions!$B$36*Assumptions!$B$15),0)+IF(F49="preference",(Assumptions!$B$35*Assumptions!$B$14),0))))+Assumptions!$B$30*Assumptions!$B$21)/(((F32+Assumptions!$B$38+(IF(F43="convert",F13,0)+IF(F44="convert",F19,0)+IF(F45="convert",F18,0)+IF(F47="convert",Assumptions!$B$37,0)+IF(F48="convert",Assumptions!$B$36,0)+IF(F49="convert",Assumptions!$B$35,0))))+Assumptions!$B$30)&gt;Assumptions!$B$21,(((Assumptions!$B$49-(IF(F43="preference",Assumptions!$B$3,0)+IF(F44="preference",(Assumptions!$B$34*Assumptions!$B$20),0)+IF(F45="preference",(Assumptions!$B$33*Assumptions!$B$19),0)+IF(F47="preference",(Assumptions!$B$37*Assumptions!$B$16),0)+IF(F48="preference",(Assumptions!$B$36*Assumptions!$B$15),0)+IF(F49="preference",(Assumptions!$B$35*Assumptions!$B$14),0))))+Assumptions!$B$30*Assumptions!$B$21)/(((F32+Assumptions!$B$38+(IF(F43="convert",F13,0)+IF(F44="convert",F19,0)+IF(F45="convert",F18,0)+IF(F47="convert",Assumptions!$B$37,0)+IF(F48="convert",Assumptions!$B$36,0)+IF(F49="convert",Assumptions!$B$35,0))))+Assumptions!$B$30),((Assumptions!$B$49-(IF(F43="preference",Assumptions!$B$3,0)+IF(F44="preference",(Assumptions!$B$34*Assumptions!$B$20),0)+IF(F45="preference",(Assumptions!$B$33*Assumptions!$B$19),0)+IF(F47="preference",(Assumptions!$B$37*Assumptions!$B$16),0)+IF(F48="preference",(Assumptions!$B$36*Assumptions!$B$15),0)+IF(F49="preference",(Assumptions!$B$35*Assumptions!$B$14),0))))/((F32+Assumptions!$B$38+(IF(F43="convert",F13,0)+IF(F44="convert",F19,0)+IF(F45="convert",F18,0)+IF(F47="convert",Assumptions!$B$37,0)+IF(F48="convert",Assumptions!$B$36,0)+IF(F49="convert",Assumptions!$B$35,0))))))*Assumptions!$B$38,"preference","convert")</f>
        <v/>
      </c>
      <c r="G54">
        <f>IF((Assumptions!$B$38*Assumptions!$B$17)&gt;(IF((((Assumptions!$B$49-(IF(G43="preference",Assumptions!$B$3,0)+IF(G44="preference",(Assumptions!$B$34*Assumptions!$B$20),0)+IF(G45="preference",(Assumptions!$B$33*Assumptions!$B$19),0)+IF(G47="preference",(Assumptions!$B$37*Assumptions!$B$16),0)+IF(G48="preference",(Assumptions!$B$36*Assumptions!$B$15),0)+IF(G49="preference",(Assumptions!$B$35*Assumptions!$B$14),0))))+Assumptions!$B$30*Assumptions!$B$21)/(((G32+Assumptions!$B$38+(IF(G43="convert",G13,0)+IF(G44="convert",G19,0)+IF(G45="convert",G18,0)+IF(G47="convert",Assumptions!$B$37,0)+IF(G48="convert",Assumptions!$B$36,0)+IF(G49="convert",Assumptions!$B$35,0))))+Assumptions!$B$30)&gt;Assumptions!$B$21,(((Assumptions!$B$49-(IF(G43="preference",Assumptions!$B$3,0)+IF(G44="preference",(Assumptions!$B$34*Assumptions!$B$20),0)+IF(G45="preference",(Assumptions!$B$33*Assumptions!$B$19),0)+IF(G47="preference",(Assumptions!$B$37*Assumptions!$B$16),0)+IF(G48="preference",(Assumptions!$B$36*Assumptions!$B$15),0)+IF(G49="preference",(Assumptions!$B$35*Assumptions!$B$14),0))))+Assumptions!$B$30*Assumptions!$B$21)/(((G32+Assumptions!$B$38+(IF(G43="convert",G13,0)+IF(G44="convert",G19,0)+IF(G45="convert",G18,0)+IF(G47="convert",Assumptions!$B$37,0)+IF(G48="convert",Assumptions!$B$36,0)+IF(G49="convert",Assumptions!$B$35,0))))+Assumptions!$B$30),((Assumptions!$B$49-(IF(G43="preference",Assumptions!$B$3,0)+IF(G44="preference",(Assumptions!$B$34*Assumptions!$B$20),0)+IF(G45="preference",(Assumptions!$B$33*Assumptions!$B$19),0)+IF(G47="preference",(Assumptions!$B$37*Assumptions!$B$16),0)+IF(G48="preference",(Assumptions!$B$36*Assumptions!$B$15),0)+IF(G49="preference",(Assumptions!$B$35*Assumptions!$B$14),0))))/((G32+Assumptions!$B$38+(IF(G43="convert",G13,0)+IF(G44="convert",G19,0)+IF(G45="convert",G18,0)+IF(G47="convert",Assumptions!$B$37,0)+IF(G48="convert",Assumptions!$B$36,0)+IF(G49="convert",Assumptions!$B$35,0))))))*Assumptions!$B$38,"preference","convert")</f>
        <v/>
      </c>
      <c r="H54">
        <f>IF((Assumptions!$B$38*Assumptions!$B$17)&gt;(IF((((Assumptions!$B$49-(IF(H43="preference",Assumptions!$B$3,0)+IF(H44="preference",(Assumptions!$B$34*Assumptions!$B$20),0)+IF(H45="preference",(Assumptions!$B$33*Assumptions!$B$19),0)+IF(H47="preference",(Assumptions!$B$37*Assumptions!$B$16),0)+IF(H48="preference",(Assumptions!$B$36*Assumptions!$B$15),0)+IF(H49="preference",(Assumptions!$B$35*Assumptions!$B$14),0))))+Assumptions!$B$30*Assumptions!$B$21)/(((H32+Assumptions!$B$38+(IF(H43="convert",H13,0)+IF(H44="convert",H19,0)+IF(H45="convert",H18,0)+IF(H47="convert",Assumptions!$B$37,0)+IF(H48="convert",Assumptions!$B$36,0)+IF(H49="convert",Assumptions!$B$35,0))))+Assumptions!$B$30)&gt;Assumptions!$B$21,(((Assumptions!$B$49-(IF(H43="preference",Assumptions!$B$3,0)+IF(H44="preference",(Assumptions!$B$34*Assumptions!$B$20),0)+IF(H45="preference",(Assumptions!$B$33*Assumptions!$B$19),0)+IF(H47="preference",(Assumptions!$B$37*Assumptions!$B$16),0)+IF(H48="preference",(Assumptions!$B$36*Assumptions!$B$15),0)+IF(H49="preference",(Assumptions!$B$35*Assumptions!$B$14),0))))+Assumptions!$B$30*Assumptions!$B$21)/(((H32+Assumptions!$B$38+(IF(H43="convert",H13,0)+IF(H44="convert",H19,0)+IF(H45="convert",H18,0)+IF(H47="convert",Assumptions!$B$37,0)+IF(H48="convert",Assumptions!$B$36,0)+IF(H49="convert",Assumptions!$B$35,0))))+Assumptions!$B$30),((Assumptions!$B$49-(IF(H43="preference",Assumptions!$B$3,0)+IF(H44="preference",(Assumptions!$B$34*Assumptions!$B$20),0)+IF(H45="preference",(Assumptions!$B$33*Assumptions!$B$19),0)+IF(H47="preference",(Assumptions!$B$37*Assumptions!$B$16),0)+IF(H48="preference",(Assumptions!$B$36*Assumptions!$B$15),0)+IF(H49="preference",(Assumptions!$B$35*Assumptions!$B$14),0))))/((H32+Assumptions!$B$38+(IF(H43="convert",H13,0)+IF(H44="convert",H19,0)+IF(H45="convert",H18,0)+IF(H47="convert",Assumptions!$B$37,0)+IF(H48="convert",Assumptions!$B$36,0)+IF(H49="convert",Assumptions!$B$35,0))))))*Assumptions!$B$38,"preference","convert")</f>
        <v/>
      </c>
      <c r="I54">
        <f>IF((Assumptions!$B$38*Assumptions!$B$17)&gt;(IF((((Assumptions!$B$49-(IF(I43="preference",Assumptions!$B$3,0)+IF(I44="preference",(Assumptions!$B$34*Assumptions!$B$20),0)+IF(I45="preference",(Assumptions!$B$33*Assumptions!$B$19),0)+IF(I47="preference",(Assumptions!$B$37*Assumptions!$B$16),0)+IF(I48="preference",(Assumptions!$B$36*Assumptions!$B$15),0)+IF(I49="preference",(Assumptions!$B$35*Assumptions!$B$14),0))))+Assumptions!$B$30*Assumptions!$B$21)/(((I32+Assumptions!$B$38+(IF(I43="convert",I13,0)+IF(I44="convert",I19,0)+IF(I45="convert",I18,0)+IF(I47="convert",Assumptions!$B$37,0)+IF(I48="convert",Assumptions!$B$36,0)+IF(I49="convert",Assumptions!$B$35,0))))+Assumptions!$B$30)&gt;Assumptions!$B$21,(((Assumptions!$B$49-(IF(I43="preference",Assumptions!$B$3,0)+IF(I44="preference",(Assumptions!$B$34*Assumptions!$B$20),0)+IF(I45="preference",(Assumptions!$B$33*Assumptions!$B$19),0)+IF(I47="preference",(Assumptions!$B$37*Assumptions!$B$16),0)+IF(I48="preference",(Assumptions!$B$36*Assumptions!$B$15),0)+IF(I49="preference",(Assumptions!$B$35*Assumptions!$B$14),0))))+Assumptions!$B$30*Assumptions!$B$21)/(((I32+Assumptions!$B$38+(IF(I43="convert",I13,0)+IF(I44="convert",I19,0)+IF(I45="convert",I18,0)+IF(I47="convert",Assumptions!$B$37,0)+IF(I48="convert",Assumptions!$B$36,0)+IF(I49="convert",Assumptions!$B$35,0))))+Assumptions!$B$30),((Assumptions!$B$49-(IF(I43="preference",Assumptions!$B$3,0)+IF(I44="preference",(Assumptions!$B$34*Assumptions!$B$20),0)+IF(I45="preference",(Assumptions!$B$33*Assumptions!$B$19),0)+IF(I47="preference",(Assumptions!$B$37*Assumptions!$B$16),0)+IF(I48="preference",(Assumptions!$B$36*Assumptions!$B$15),0)+IF(I49="preference",(Assumptions!$B$35*Assumptions!$B$14),0))))/((I32+Assumptions!$B$38+(IF(I43="convert",I13,0)+IF(I44="convert",I19,0)+IF(I45="convert",I18,0)+IF(I47="convert",Assumptions!$B$37,0)+IF(I48="convert",Assumptions!$B$36,0)+IF(I49="convert",Assumptions!$B$35,0))))))*Assumptions!$B$38,"preference","convert")</f>
        <v/>
      </c>
      <c r="J54">
        <f>IF((Assumptions!$B$38*Assumptions!$B$17)&gt;(IF((((Assumptions!$B$49-(IF(J43="preference",Assumptions!$B$3,0)+IF(J44="preference",(Assumptions!$B$34*Assumptions!$B$20),0)+IF(J45="preference",(Assumptions!$B$33*Assumptions!$B$19),0)+IF(J47="preference",(Assumptions!$B$37*Assumptions!$B$16),0)+IF(J48="preference",(Assumptions!$B$36*Assumptions!$B$15),0)+IF(J49="preference",(Assumptions!$B$35*Assumptions!$B$14),0))))+Assumptions!$B$30*Assumptions!$B$21)/(((J32+Assumptions!$B$38+(IF(J43="convert",J13,0)+IF(J44="convert",J19,0)+IF(J45="convert",J18,0)+IF(J47="convert",Assumptions!$B$37,0)+IF(J48="convert",Assumptions!$B$36,0)+IF(J49="convert",Assumptions!$B$35,0))))+Assumptions!$B$30)&gt;Assumptions!$B$21,(((Assumptions!$B$49-(IF(J43="preference",Assumptions!$B$3,0)+IF(J44="preference",(Assumptions!$B$34*Assumptions!$B$20),0)+IF(J45="preference",(Assumptions!$B$33*Assumptions!$B$19),0)+IF(J47="preference",(Assumptions!$B$37*Assumptions!$B$16),0)+IF(J48="preference",(Assumptions!$B$36*Assumptions!$B$15),0)+IF(J49="preference",(Assumptions!$B$35*Assumptions!$B$14),0))))+Assumptions!$B$30*Assumptions!$B$21)/(((J32+Assumptions!$B$38+(IF(J43="convert",J13,0)+IF(J44="convert",J19,0)+IF(J45="convert",J18,0)+IF(J47="convert",Assumptions!$B$37,0)+IF(J48="convert",Assumptions!$B$36,0)+IF(J49="convert",Assumptions!$B$35,0))))+Assumptions!$B$30),((Assumptions!$B$49-(IF(J43="preference",Assumptions!$B$3,0)+IF(J44="preference",(Assumptions!$B$34*Assumptions!$B$20),0)+IF(J45="preference",(Assumptions!$B$33*Assumptions!$B$19),0)+IF(J47="preference",(Assumptions!$B$37*Assumptions!$B$16),0)+IF(J48="preference",(Assumptions!$B$36*Assumptions!$B$15),0)+IF(J49="preference",(Assumptions!$B$35*Assumptions!$B$14),0))))/((J32+Assumptions!$B$38+(IF(J43="convert",J13,0)+IF(J44="convert",J19,0)+IF(J45="convert",J18,0)+IF(J47="convert",Assumptions!$B$37,0)+IF(J48="convert",Assumptions!$B$36,0)+IF(J49="convert",Assumptions!$B$35,0))))))*Assumptions!$B$38,"preference","convert")</f>
        <v/>
      </c>
    </row>
    <row r="55">
      <c r="A55" t="inlineStr">
        <is>
          <t xml:space="preserve">  B</t>
        </is>
      </c>
      <c r="B55">
        <f>IF((Assumptions!$B$37*Assumptions!$B$16)&gt;(IF((((Assumptions!$B$49-(IF(B43="preference",Assumptions!$B$3,0)+IF(B44="preference",(Assumptions!$B$34*Assumptions!$B$20),0)+IF(B45="preference",(Assumptions!$B$33*Assumptions!$B$19),0)+IF(B46="preference",(Assumptions!$B$38*Assumptions!$B$17),0)+IF(B48="preference",(Assumptions!$B$36*Assumptions!$B$15),0)+IF(B49="preference",(Assumptions!$B$35*Assumptions!$B$14),0))))+Assumptions!$B$30*Assumptions!$B$21)/(((B32+Assumptions!$B$37+(IF(B43="convert",B13,0)+IF(B44="convert",B19,0)+IF(B45="convert",B18,0)+IF(B46="convert",Assumptions!$B$38,0)+IF(B48="convert",Assumptions!$B$36,0)+IF(B49="convert",Assumptions!$B$35,0))))+Assumptions!$B$30)&gt;Assumptions!$B$21,(((Assumptions!$B$49-(IF(B43="preference",Assumptions!$B$3,0)+IF(B44="preference",(Assumptions!$B$34*Assumptions!$B$20),0)+IF(B45="preference",(Assumptions!$B$33*Assumptions!$B$19),0)+IF(B46="preference",(Assumptions!$B$38*Assumptions!$B$17),0)+IF(B48="preference",(Assumptions!$B$36*Assumptions!$B$15),0)+IF(B49="preference",(Assumptions!$B$35*Assumptions!$B$14),0))))+Assumptions!$B$30*Assumptions!$B$21)/(((B32+Assumptions!$B$37+(IF(B43="convert",B13,0)+IF(B44="convert",B19,0)+IF(B45="convert",B18,0)+IF(B46="convert",Assumptions!$B$38,0)+IF(B48="convert",Assumptions!$B$36,0)+IF(B49="convert",Assumptions!$B$35,0))))+Assumptions!$B$30),((Assumptions!$B$49-(IF(B43="preference",Assumptions!$B$3,0)+IF(B44="preference",(Assumptions!$B$34*Assumptions!$B$20),0)+IF(B45="preference",(Assumptions!$B$33*Assumptions!$B$19),0)+IF(B46="preference",(Assumptions!$B$38*Assumptions!$B$17),0)+IF(B48="preference",(Assumptions!$B$36*Assumptions!$B$15),0)+IF(B49="preference",(Assumptions!$B$35*Assumptions!$B$14),0))))/((B32+Assumptions!$B$37+(IF(B43="convert",B13,0)+IF(B44="convert",B19,0)+IF(B45="convert",B18,0)+IF(B46="convert",Assumptions!$B$38,0)+IF(B48="convert",Assumptions!$B$36,0)+IF(B49="convert",Assumptions!$B$35,0))))))*Assumptions!$B$37,"preference","convert")</f>
        <v/>
      </c>
      <c r="C55">
        <f>IF((Assumptions!$B$37*Assumptions!$B$16)&gt;(IF((((Assumptions!$B$49-(IF(C43="preference",Assumptions!$B$3,0)+IF(C44="preference",(Assumptions!$B$34*Assumptions!$B$20),0)+IF(C45="preference",(Assumptions!$B$33*Assumptions!$B$19),0)+IF(C46="preference",(Assumptions!$B$38*Assumptions!$B$17),0)+IF(C48="preference",(Assumptions!$B$36*Assumptions!$B$15),0)+IF(C49="preference",(Assumptions!$B$35*Assumptions!$B$14),0))))+Assumptions!$B$30*Assumptions!$B$21)/(((C32+Assumptions!$B$37+(IF(C43="convert",C13,0)+IF(C44="convert",C19,0)+IF(C45="convert",C18,0)+IF(C46="convert",Assumptions!$B$38,0)+IF(C48="convert",Assumptions!$B$36,0)+IF(C49="convert",Assumptions!$B$35,0))))+Assumptions!$B$30)&gt;Assumptions!$B$21,(((Assumptions!$B$49-(IF(C43="preference",Assumptions!$B$3,0)+IF(C44="preference",(Assumptions!$B$34*Assumptions!$B$20),0)+IF(C45="preference",(Assumptions!$B$33*Assumptions!$B$19),0)+IF(C46="preference",(Assumptions!$B$38*Assumptions!$B$17),0)+IF(C48="preference",(Assumptions!$B$36*Assumptions!$B$15),0)+IF(C49="preference",(Assumptions!$B$35*Assumptions!$B$14),0))))+Assumptions!$B$30*Assumptions!$B$21)/(((C32+Assumptions!$B$37+(IF(C43="convert",C13,0)+IF(C44="convert",C19,0)+IF(C45="convert",C18,0)+IF(C46="convert",Assumptions!$B$38,0)+IF(C48="convert",Assumptions!$B$36,0)+IF(C49="convert",Assumptions!$B$35,0))))+Assumptions!$B$30),((Assumptions!$B$49-(IF(C43="preference",Assumptions!$B$3,0)+IF(C44="preference",(Assumptions!$B$34*Assumptions!$B$20),0)+IF(C45="preference",(Assumptions!$B$33*Assumptions!$B$19),0)+IF(C46="preference",(Assumptions!$B$38*Assumptions!$B$17),0)+IF(C48="preference",(Assumptions!$B$36*Assumptions!$B$15),0)+IF(C49="preference",(Assumptions!$B$35*Assumptions!$B$14),0))))/((C32+Assumptions!$B$37+(IF(C43="convert",C13,0)+IF(C44="convert",C19,0)+IF(C45="convert",C18,0)+IF(C46="convert",Assumptions!$B$38,0)+IF(C48="convert",Assumptions!$B$36,0)+IF(C49="convert",Assumptions!$B$35,0))))))*Assumptions!$B$37,"preference","convert")</f>
        <v/>
      </c>
      <c r="D55">
        <f>IF((Assumptions!$B$37*Assumptions!$B$16)&gt;(IF((((Assumptions!$B$49-(IF(D43="preference",Assumptions!$B$3,0)+IF(D44="preference",(Assumptions!$B$34*Assumptions!$B$20),0)+IF(D45="preference",(Assumptions!$B$33*Assumptions!$B$19),0)+IF(D46="preference",(Assumptions!$B$38*Assumptions!$B$17),0)+IF(D48="preference",(Assumptions!$B$36*Assumptions!$B$15),0)+IF(D49="preference",(Assumptions!$B$35*Assumptions!$B$14),0))))+Assumptions!$B$30*Assumptions!$B$21)/(((D32+Assumptions!$B$37+(IF(D43="convert",D13,0)+IF(D44="convert",D19,0)+IF(D45="convert",D18,0)+IF(D46="convert",Assumptions!$B$38,0)+IF(D48="convert",Assumptions!$B$36,0)+IF(D49="convert",Assumptions!$B$35,0))))+Assumptions!$B$30)&gt;Assumptions!$B$21,(((Assumptions!$B$49-(IF(D43="preference",Assumptions!$B$3,0)+IF(D44="preference",(Assumptions!$B$34*Assumptions!$B$20),0)+IF(D45="preference",(Assumptions!$B$33*Assumptions!$B$19),0)+IF(D46="preference",(Assumptions!$B$38*Assumptions!$B$17),0)+IF(D48="preference",(Assumptions!$B$36*Assumptions!$B$15),0)+IF(D49="preference",(Assumptions!$B$35*Assumptions!$B$14),0))))+Assumptions!$B$30*Assumptions!$B$21)/(((D32+Assumptions!$B$37+(IF(D43="convert",D13,0)+IF(D44="convert",D19,0)+IF(D45="convert",D18,0)+IF(D46="convert",Assumptions!$B$38,0)+IF(D48="convert",Assumptions!$B$36,0)+IF(D49="convert",Assumptions!$B$35,0))))+Assumptions!$B$30),((Assumptions!$B$49-(IF(D43="preference",Assumptions!$B$3,0)+IF(D44="preference",(Assumptions!$B$34*Assumptions!$B$20),0)+IF(D45="preference",(Assumptions!$B$33*Assumptions!$B$19),0)+IF(D46="preference",(Assumptions!$B$38*Assumptions!$B$17),0)+IF(D48="preference",(Assumptions!$B$36*Assumptions!$B$15),0)+IF(D49="preference",(Assumptions!$B$35*Assumptions!$B$14),0))))/((D32+Assumptions!$B$37+(IF(D43="convert",D13,0)+IF(D44="convert",D19,0)+IF(D45="convert",D18,0)+IF(D46="convert",Assumptions!$B$38,0)+IF(D48="convert",Assumptions!$B$36,0)+IF(D49="convert",Assumptions!$B$35,0))))))*Assumptions!$B$37,"preference","convert")</f>
        <v/>
      </c>
      <c r="E55">
        <f>IF((Assumptions!$B$37*Assumptions!$B$16)&gt;(IF((((Assumptions!$B$49-(IF(E43="preference",Assumptions!$B$3,0)+IF(E44="preference",(Assumptions!$B$34*Assumptions!$B$20),0)+IF(E45="preference",(Assumptions!$B$33*Assumptions!$B$19),0)+IF(E46="preference",(Assumptions!$B$38*Assumptions!$B$17),0)+IF(E48="preference",(Assumptions!$B$36*Assumptions!$B$15),0)+IF(E49="preference",(Assumptions!$B$35*Assumptions!$B$14),0))))+Assumptions!$B$30*Assumptions!$B$21)/(((E32+Assumptions!$B$37+(IF(E43="convert",E13,0)+IF(E44="convert",E19,0)+IF(E45="convert",E18,0)+IF(E46="convert",Assumptions!$B$38,0)+IF(E48="convert",Assumptions!$B$36,0)+IF(E49="convert",Assumptions!$B$35,0))))+Assumptions!$B$30)&gt;Assumptions!$B$21,(((Assumptions!$B$49-(IF(E43="preference",Assumptions!$B$3,0)+IF(E44="preference",(Assumptions!$B$34*Assumptions!$B$20),0)+IF(E45="preference",(Assumptions!$B$33*Assumptions!$B$19),0)+IF(E46="preference",(Assumptions!$B$38*Assumptions!$B$17),0)+IF(E48="preference",(Assumptions!$B$36*Assumptions!$B$15),0)+IF(E49="preference",(Assumptions!$B$35*Assumptions!$B$14),0))))+Assumptions!$B$30*Assumptions!$B$21)/(((E32+Assumptions!$B$37+(IF(E43="convert",E13,0)+IF(E44="convert",E19,0)+IF(E45="convert",E18,0)+IF(E46="convert",Assumptions!$B$38,0)+IF(E48="convert",Assumptions!$B$36,0)+IF(E49="convert",Assumptions!$B$35,0))))+Assumptions!$B$30),((Assumptions!$B$49-(IF(E43="preference",Assumptions!$B$3,0)+IF(E44="preference",(Assumptions!$B$34*Assumptions!$B$20),0)+IF(E45="preference",(Assumptions!$B$33*Assumptions!$B$19),0)+IF(E46="preference",(Assumptions!$B$38*Assumptions!$B$17),0)+IF(E48="preference",(Assumptions!$B$36*Assumptions!$B$15),0)+IF(E49="preference",(Assumptions!$B$35*Assumptions!$B$14),0))))/((E32+Assumptions!$B$37+(IF(E43="convert",E13,0)+IF(E44="convert",E19,0)+IF(E45="convert",E18,0)+IF(E46="convert",Assumptions!$B$38,0)+IF(E48="convert",Assumptions!$B$36,0)+IF(E49="convert",Assumptions!$B$35,0))))))*Assumptions!$B$37,"preference","convert")</f>
        <v/>
      </c>
      <c r="F55">
        <f>IF((Assumptions!$B$37*Assumptions!$B$16)&gt;(IF((((Assumptions!$B$49-(IF(F43="preference",Assumptions!$B$3,0)+IF(F44="preference",(Assumptions!$B$34*Assumptions!$B$20),0)+IF(F45="preference",(Assumptions!$B$33*Assumptions!$B$19),0)+IF(F46="preference",(Assumptions!$B$38*Assumptions!$B$17),0)+IF(F48="preference",(Assumptions!$B$36*Assumptions!$B$15),0)+IF(F49="preference",(Assumptions!$B$35*Assumptions!$B$14),0))))+Assumptions!$B$30*Assumptions!$B$21)/(((F32+Assumptions!$B$37+(IF(F43="convert",F13,0)+IF(F44="convert",F19,0)+IF(F45="convert",F18,0)+IF(F46="convert",Assumptions!$B$38,0)+IF(F48="convert",Assumptions!$B$36,0)+IF(F49="convert",Assumptions!$B$35,0))))+Assumptions!$B$30)&gt;Assumptions!$B$21,(((Assumptions!$B$49-(IF(F43="preference",Assumptions!$B$3,0)+IF(F44="preference",(Assumptions!$B$34*Assumptions!$B$20),0)+IF(F45="preference",(Assumptions!$B$33*Assumptions!$B$19),0)+IF(F46="preference",(Assumptions!$B$38*Assumptions!$B$17),0)+IF(F48="preference",(Assumptions!$B$36*Assumptions!$B$15),0)+IF(F49="preference",(Assumptions!$B$35*Assumptions!$B$14),0))))+Assumptions!$B$30*Assumptions!$B$21)/(((F32+Assumptions!$B$37+(IF(F43="convert",F13,0)+IF(F44="convert",F19,0)+IF(F45="convert",F18,0)+IF(F46="convert",Assumptions!$B$38,0)+IF(F48="convert",Assumptions!$B$36,0)+IF(F49="convert",Assumptions!$B$35,0))))+Assumptions!$B$30),((Assumptions!$B$49-(IF(F43="preference",Assumptions!$B$3,0)+IF(F44="preference",(Assumptions!$B$34*Assumptions!$B$20),0)+IF(F45="preference",(Assumptions!$B$33*Assumptions!$B$19),0)+IF(F46="preference",(Assumptions!$B$38*Assumptions!$B$17),0)+IF(F48="preference",(Assumptions!$B$36*Assumptions!$B$15),0)+IF(F49="preference",(Assumptions!$B$35*Assumptions!$B$14),0))))/((F32+Assumptions!$B$37+(IF(F43="convert",F13,0)+IF(F44="convert",F19,0)+IF(F45="convert",F18,0)+IF(F46="convert",Assumptions!$B$38,0)+IF(F48="convert",Assumptions!$B$36,0)+IF(F49="convert",Assumptions!$B$35,0))))))*Assumptions!$B$37,"preference","convert")</f>
        <v/>
      </c>
      <c r="G55">
        <f>IF((Assumptions!$B$37*Assumptions!$B$16)&gt;(IF((((Assumptions!$B$49-(IF(G43="preference",Assumptions!$B$3,0)+IF(G44="preference",(Assumptions!$B$34*Assumptions!$B$20),0)+IF(G45="preference",(Assumptions!$B$33*Assumptions!$B$19),0)+IF(G46="preference",(Assumptions!$B$38*Assumptions!$B$17),0)+IF(G48="preference",(Assumptions!$B$36*Assumptions!$B$15),0)+IF(G49="preference",(Assumptions!$B$35*Assumptions!$B$14),0))))+Assumptions!$B$30*Assumptions!$B$21)/(((G32+Assumptions!$B$37+(IF(G43="convert",G13,0)+IF(G44="convert",G19,0)+IF(G45="convert",G18,0)+IF(G46="convert",Assumptions!$B$38,0)+IF(G48="convert",Assumptions!$B$36,0)+IF(G49="convert",Assumptions!$B$35,0))))+Assumptions!$B$30)&gt;Assumptions!$B$21,(((Assumptions!$B$49-(IF(G43="preference",Assumptions!$B$3,0)+IF(G44="preference",(Assumptions!$B$34*Assumptions!$B$20),0)+IF(G45="preference",(Assumptions!$B$33*Assumptions!$B$19),0)+IF(G46="preference",(Assumptions!$B$38*Assumptions!$B$17),0)+IF(G48="preference",(Assumptions!$B$36*Assumptions!$B$15),0)+IF(G49="preference",(Assumptions!$B$35*Assumptions!$B$14),0))))+Assumptions!$B$30*Assumptions!$B$21)/(((G32+Assumptions!$B$37+(IF(G43="convert",G13,0)+IF(G44="convert",G19,0)+IF(G45="convert",G18,0)+IF(G46="convert",Assumptions!$B$38,0)+IF(G48="convert",Assumptions!$B$36,0)+IF(G49="convert",Assumptions!$B$35,0))))+Assumptions!$B$30),((Assumptions!$B$49-(IF(G43="preference",Assumptions!$B$3,0)+IF(G44="preference",(Assumptions!$B$34*Assumptions!$B$20),0)+IF(G45="preference",(Assumptions!$B$33*Assumptions!$B$19),0)+IF(G46="preference",(Assumptions!$B$38*Assumptions!$B$17),0)+IF(G48="preference",(Assumptions!$B$36*Assumptions!$B$15),0)+IF(G49="preference",(Assumptions!$B$35*Assumptions!$B$14),0))))/((G32+Assumptions!$B$37+(IF(G43="convert",G13,0)+IF(G44="convert",G19,0)+IF(G45="convert",G18,0)+IF(G46="convert",Assumptions!$B$38,0)+IF(G48="convert",Assumptions!$B$36,0)+IF(G49="convert",Assumptions!$B$35,0))))))*Assumptions!$B$37,"preference","convert")</f>
        <v/>
      </c>
      <c r="H55">
        <f>IF((Assumptions!$B$37*Assumptions!$B$16)&gt;(IF((((Assumptions!$B$49-(IF(H43="preference",Assumptions!$B$3,0)+IF(H44="preference",(Assumptions!$B$34*Assumptions!$B$20),0)+IF(H45="preference",(Assumptions!$B$33*Assumptions!$B$19),0)+IF(H46="preference",(Assumptions!$B$38*Assumptions!$B$17),0)+IF(H48="preference",(Assumptions!$B$36*Assumptions!$B$15),0)+IF(H49="preference",(Assumptions!$B$35*Assumptions!$B$14),0))))+Assumptions!$B$30*Assumptions!$B$21)/(((H32+Assumptions!$B$37+(IF(H43="convert",H13,0)+IF(H44="convert",H19,0)+IF(H45="convert",H18,0)+IF(H46="convert",Assumptions!$B$38,0)+IF(H48="convert",Assumptions!$B$36,0)+IF(H49="convert",Assumptions!$B$35,0))))+Assumptions!$B$30)&gt;Assumptions!$B$21,(((Assumptions!$B$49-(IF(H43="preference",Assumptions!$B$3,0)+IF(H44="preference",(Assumptions!$B$34*Assumptions!$B$20),0)+IF(H45="preference",(Assumptions!$B$33*Assumptions!$B$19),0)+IF(H46="preference",(Assumptions!$B$38*Assumptions!$B$17),0)+IF(H48="preference",(Assumptions!$B$36*Assumptions!$B$15),0)+IF(H49="preference",(Assumptions!$B$35*Assumptions!$B$14),0))))+Assumptions!$B$30*Assumptions!$B$21)/(((H32+Assumptions!$B$37+(IF(H43="convert",H13,0)+IF(H44="convert",H19,0)+IF(H45="convert",H18,0)+IF(H46="convert",Assumptions!$B$38,0)+IF(H48="convert",Assumptions!$B$36,0)+IF(H49="convert",Assumptions!$B$35,0))))+Assumptions!$B$30),((Assumptions!$B$49-(IF(H43="preference",Assumptions!$B$3,0)+IF(H44="preference",(Assumptions!$B$34*Assumptions!$B$20),0)+IF(H45="preference",(Assumptions!$B$33*Assumptions!$B$19),0)+IF(H46="preference",(Assumptions!$B$38*Assumptions!$B$17),0)+IF(H48="preference",(Assumptions!$B$36*Assumptions!$B$15),0)+IF(H49="preference",(Assumptions!$B$35*Assumptions!$B$14),0))))/((H32+Assumptions!$B$37+(IF(H43="convert",H13,0)+IF(H44="convert",H19,0)+IF(H45="convert",H18,0)+IF(H46="convert",Assumptions!$B$38,0)+IF(H48="convert",Assumptions!$B$36,0)+IF(H49="convert",Assumptions!$B$35,0))))))*Assumptions!$B$37,"preference","convert")</f>
        <v/>
      </c>
      <c r="I55">
        <f>IF((Assumptions!$B$37*Assumptions!$B$16)&gt;(IF((((Assumptions!$B$49-(IF(I43="preference",Assumptions!$B$3,0)+IF(I44="preference",(Assumptions!$B$34*Assumptions!$B$20),0)+IF(I45="preference",(Assumptions!$B$33*Assumptions!$B$19),0)+IF(I46="preference",(Assumptions!$B$38*Assumptions!$B$17),0)+IF(I48="preference",(Assumptions!$B$36*Assumptions!$B$15),0)+IF(I49="preference",(Assumptions!$B$35*Assumptions!$B$14),0))))+Assumptions!$B$30*Assumptions!$B$21)/(((I32+Assumptions!$B$37+(IF(I43="convert",I13,0)+IF(I44="convert",I19,0)+IF(I45="convert",I18,0)+IF(I46="convert",Assumptions!$B$38,0)+IF(I48="convert",Assumptions!$B$36,0)+IF(I49="convert",Assumptions!$B$35,0))))+Assumptions!$B$30)&gt;Assumptions!$B$21,(((Assumptions!$B$49-(IF(I43="preference",Assumptions!$B$3,0)+IF(I44="preference",(Assumptions!$B$34*Assumptions!$B$20),0)+IF(I45="preference",(Assumptions!$B$33*Assumptions!$B$19),0)+IF(I46="preference",(Assumptions!$B$38*Assumptions!$B$17),0)+IF(I48="preference",(Assumptions!$B$36*Assumptions!$B$15),0)+IF(I49="preference",(Assumptions!$B$35*Assumptions!$B$14),0))))+Assumptions!$B$30*Assumptions!$B$21)/(((I32+Assumptions!$B$37+(IF(I43="convert",I13,0)+IF(I44="convert",I19,0)+IF(I45="convert",I18,0)+IF(I46="convert",Assumptions!$B$38,0)+IF(I48="convert",Assumptions!$B$36,0)+IF(I49="convert",Assumptions!$B$35,0))))+Assumptions!$B$30),((Assumptions!$B$49-(IF(I43="preference",Assumptions!$B$3,0)+IF(I44="preference",(Assumptions!$B$34*Assumptions!$B$20),0)+IF(I45="preference",(Assumptions!$B$33*Assumptions!$B$19),0)+IF(I46="preference",(Assumptions!$B$38*Assumptions!$B$17),0)+IF(I48="preference",(Assumptions!$B$36*Assumptions!$B$15),0)+IF(I49="preference",(Assumptions!$B$35*Assumptions!$B$14),0))))/((I32+Assumptions!$B$37+(IF(I43="convert",I13,0)+IF(I44="convert",I19,0)+IF(I45="convert",I18,0)+IF(I46="convert",Assumptions!$B$38,0)+IF(I48="convert",Assumptions!$B$36,0)+IF(I49="convert",Assumptions!$B$35,0))))))*Assumptions!$B$37,"preference","convert")</f>
        <v/>
      </c>
      <c r="J55">
        <f>IF((Assumptions!$B$37*Assumptions!$B$16)&gt;(IF((((Assumptions!$B$49-(IF(J43="preference",Assumptions!$B$3,0)+IF(J44="preference",(Assumptions!$B$34*Assumptions!$B$20),0)+IF(J45="preference",(Assumptions!$B$33*Assumptions!$B$19),0)+IF(J46="preference",(Assumptions!$B$38*Assumptions!$B$17),0)+IF(J48="preference",(Assumptions!$B$36*Assumptions!$B$15),0)+IF(J49="preference",(Assumptions!$B$35*Assumptions!$B$14),0))))+Assumptions!$B$30*Assumptions!$B$21)/(((J32+Assumptions!$B$37+(IF(J43="convert",J13,0)+IF(J44="convert",J19,0)+IF(J45="convert",J18,0)+IF(J46="convert",Assumptions!$B$38,0)+IF(J48="convert",Assumptions!$B$36,0)+IF(J49="convert",Assumptions!$B$35,0))))+Assumptions!$B$30)&gt;Assumptions!$B$21,(((Assumptions!$B$49-(IF(J43="preference",Assumptions!$B$3,0)+IF(J44="preference",(Assumptions!$B$34*Assumptions!$B$20),0)+IF(J45="preference",(Assumptions!$B$33*Assumptions!$B$19),0)+IF(J46="preference",(Assumptions!$B$38*Assumptions!$B$17),0)+IF(J48="preference",(Assumptions!$B$36*Assumptions!$B$15),0)+IF(J49="preference",(Assumptions!$B$35*Assumptions!$B$14),0))))+Assumptions!$B$30*Assumptions!$B$21)/(((J32+Assumptions!$B$37+(IF(J43="convert",J13,0)+IF(J44="convert",J19,0)+IF(J45="convert",J18,0)+IF(J46="convert",Assumptions!$B$38,0)+IF(J48="convert",Assumptions!$B$36,0)+IF(J49="convert",Assumptions!$B$35,0))))+Assumptions!$B$30),((Assumptions!$B$49-(IF(J43="preference",Assumptions!$B$3,0)+IF(J44="preference",(Assumptions!$B$34*Assumptions!$B$20),0)+IF(J45="preference",(Assumptions!$B$33*Assumptions!$B$19),0)+IF(J46="preference",(Assumptions!$B$38*Assumptions!$B$17),0)+IF(J48="preference",(Assumptions!$B$36*Assumptions!$B$15),0)+IF(J49="preference",(Assumptions!$B$35*Assumptions!$B$14),0))))/((J32+Assumptions!$B$37+(IF(J43="convert",J13,0)+IF(J44="convert",J19,0)+IF(J45="convert",J18,0)+IF(J46="convert",Assumptions!$B$38,0)+IF(J48="convert",Assumptions!$B$36,0)+IF(J49="convert",Assumptions!$B$35,0))))))*Assumptions!$B$37,"preference","convert")</f>
        <v/>
      </c>
    </row>
    <row r="56">
      <c r="A56" t="inlineStr">
        <is>
          <t xml:space="preserve">  A</t>
        </is>
      </c>
      <c r="B56">
        <f>IF((Assumptions!$B$36*Assumptions!$B$15)&gt;(IF((((Assumptions!$B$49-(IF(B43="preference",Assumptions!$B$3,0)+IF(B44="preference",(Assumptions!$B$34*Assumptions!$B$20),0)+IF(B45="preference",(Assumptions!$B$33*Assumptions!$B$19),0)+IF(B46="preference",(Assumptions!$B$38*Assumptions!$B$17),0)+IF(B47="preference",(Assumptions!$B$37*Assumptions!$B$16),0)+IF(B49="preference",(Assumptions!$B$35*Assumptions!$B$14),0))))+Assumptions!$B$30*Assumptions!$B$21)/(((B32+Assumptions!$B$36+(IF(B43="convert",B13,0)+IF(B44="convert",B19,0)+IF(B45="convert",B18,0)+IF(B46="convert",Assumptions!$B$38,0)+IF(B47="convert",Assumptions!$B$37,0)+IF(B49="convert",Assumptions!$B$35,0))))+Assumptions!$B$30)&gt;Assumptions!$B$21,(((Assumptions!$B$49-(IF(B43="preference",Assumptions!$B$3,0)+IF(B44="preference",(Assumptions!$B$34*Assumptions!$B$20),0)+IF(B45="preference",(Assumptions!$B$33*Assumptions!$B$19),0)+IF(B46="preference",(Assumptions!$B$38*Assumptions!$B$17),0)+IF(B47="preference",(Assumptions!$B$37*Assumptions!$B$16),0)+IF(B49="preference",(Assumptions!$B$35*Assumptions!$B$14),0))))+Assumptions!$B$30*Assumptions!$B$21)/(((B32+Assumptions!$B$36+(IF(B43="convert",B13,0)+IF(B44="convert",B19,0)+IF(B45="convert",B18,0)+IF(B46="convert",Assumptions!$B$38,0)+IF(B47="convert",Assumptions!$B$37,0)+IF(B49="convert",Assumptions!$B$35,0))))+Assumptions!$B$30),((Assumptions!$B$49-(IF(B43="preference",Assumptions!$B$3,0)+IF(B44="preference",(Assumptions!$B$34*Assumptions!$B$20),0)+IF(B45="preference",(Assumptions!$B$33*Assumptions!$B$19),0)+IF(B46="preference",(Assumptions!$B$38*Assumptions!$B$17),0)+IF(B47="preference",(Assumptions!$B$37*Assumptions!$B$16),0)+IF(B49="preference",(Assumptions!$B$35*Assumptions!$B$14),0))))/((B32+Assumptions!$B$36+(IF(B43="convert",B13,0)+IF(B44="convert",B19,0)+IF(B45="convert",B18,0)+IF(B46="convert",Assumptions!$B$38,0)+IF(B47="convert",Assumptions!$B$37,0)+IF(B49="convert",Assumptions!$B$35,0))))))*Assumptions!$B$36,"preference","convert")</f>
        <v/>
      </c>
      <c r="C56">
        <f>IF((Assumptions!$B$36*Assumptions!$B$15)&gt;(IF((((Assumptions!$B$49-(IF(C43="preference",Assumptions!$B$3,0)+IF(C44="preference",(Assumptions!$B$34*Assumptions!$B$20),0)+IF(C45="preference",(Assumptions!$B$33*Assumptions!$B$19),0)+IF(C46="preference",(Assumptions!$B$38*Assumptions!$B$17),0)+IF(C47="preference",(Assumptions!$B$37*Assumptions!$B$16),0)+IF(C49="preference",(Assumptions!$B$35*Assumptions!$B$14),0))))+Assumptions!$B$30*Assumptions!$B$21)/(((C32+Assumptions!$B$36+(IF(C43="convert",C13,0)+IF(C44="convert",C19,0)+IF(C45="convert",C18,0)+IF(C46="convert",Assumptions!$B$38,0)+IF(C47="convert",Assumptions!$B$37,0)+IF(C49="convert",Assumptions!$B$35,0))))+Assumptions!$B$30)&gt;Assumptions!$B$21,(((Assumptions!$B$49-(IF(C43="preference",Assumptions!$B$3,0)+IF(C44="preference",(Assumptions!$B$34*Assumptions!$B$20),0)+IF(C45="preference",(Assumptions!$B$33*Assumptions!$B$19),0)+IF(C46="preference",(Assumptions!$B$38*Assumptions!$B$17),0)+IF(C47="preference",(Assumptions!$B$37*Assumptions!$B$16),0)+IF(C49="preference",(Assumptions!$B$35*Assumptions!$B$14),0))))+Assumptions!$B$30*Assumptions!$B$21)/(((C32+Assumptions!$B$36+(IF(C43="convert",C13,0)+IF(C44="convert",C19,0)+IF(C45="convert",C18,0)+IF(C46="convert",Assumptions!$B$38,0)+IF(C47="convert",Assumptions!$B$37,0)+IF(C49="convert",Assumptions!$B$35,0))))+Assumptions!$B$30),((Assumptions!$B$49-(IF(C43="preference",Assumptions!$B$3,0)+IF(C44="preference",(Assumptions!$B$34*Assumptions!$B$20),0)+IF(C45="preference",(Assumptions!$B$33*Assumptions!$B$19),0)+IF(C46="preference",(Assumptions!$B$38*Assumptions!$B$17),0)+IF(C47="preference",(Assumptions!$B$37*Assumptions!$B$16),0)+IF(C49="preference",(Assumptions!$B$35*Assumptions!$B$14),0))))/((C32+Assumptions!$B$36+(IF(C43="convert",C13,0)+IF(C44="convert",C19,0)+IF(C45="convert",C18,0)+IF(C46="convert",Assumptions!$B$38,0)+IF(C47="convert",Assumptions!$B$37,0)+IF(C49="convert",Assumptions!$B$35,0))))))*Assumptions!$B$36,"preference","convert")</f>
        <v/>
      </c>
      <c r="D56">
        <f>IF((Assumptions!$B$36*Assumptions!$B$15)&gt;(IF((((Assumptions!$B$49-(IF(D43="preference",Assumptions!$B$3,0)+IF(D44="preference",(Assumptions!$B$34*Assumptions!$B$20),0)+IF(D45="preference",(Assumptions!$B$33*Assumptions!$B$19),0)+IF(D46="preference",(Assumptions!$B$38*Assumptions!$B$17),0)+IF(D47="preference",(Assumptions!$B$37*Assumptions!$B$16),0)+IF(D49="preference",(Assumptions!$B$35*Assumptions!$B$14),0))))+Assumptions!$B$30*Assumptions!$B$21)/(((D32+Assumptions!$B$36+(IF(D43="convert",D13,0)+IF(D44="convert",D19,0)+IF(D45="convert",D18,0)+IF(D46="convert",Assumptions!$B$38,0)+IF(D47="convert",Assumptions!$B$37,0)+IF(D49="convert",Assumptions!$B$35,0))))+Assumptions!$B$30)&gt;Assumptions!$B$21,(((Assumptions!$B$49-(IF(D43="preference",Assumptions!$B$3,0)+IF(D44="preference",(Assumptions!$B$34*Assumptions!$B$20),0)+IF(D45="preference",(Assumptions!$B$33*Assumptions!$B$19),0)+IF(D46="preference",(Assumptions!$B$38*Assumptions!$B$17),0)+IF(D47="preference",(Assumptions!$B$37*Assumptions!$B$16),0)+IF(D49="preference",(Assumptions!$B$35*Assumptions!$B$14),0))))+Assumptions!$B$30*Assumptions!$B$21)/(((D32+Assumptions!$B$36+(IF(D43="convert",D13,0)+IF(D44="convert",D19,0)+IF(D45="convert",D18,0)+IF(D46="convert",Assumptions!$B$38,0)+IF(D47="convert",Assumptions!$B$37,0)+IF(D49="convert",Assumptions!$B$35,0))))+Assumptions!$B$30),((Assumptions!$B$49-(IF(D43="preference",Assumptions!$B$3,0)+IF(D44="preference",(Assumptions!$B$34*Assumptions!$B$20),0)+IF(D45="preference",(Assumptions!$B$33*Assumptions!$B$19),0)+IF(D46="preference",(Assumptions!$B$38*Assumptions!$B$17),0)+IF(D47="preference",(Assumptions!$B$37*Assumptions!$B$16),0)+IF(D49="preference",(Assumptions!$B$35*Assumptions!$B$14),0))))/((D32+Assumptions!$B$36+(IF(D43="convert",D13,0)+IF(D44="convert",D19,0)+IF(D45="convert",D18,0)+IF(D46="convert",Assumptions!$B$38,0)+IF(D47="convert",Assumptions!$B$37,0)+IF(D49="convert",Assumptions!$B$35,0))))))*Assumptions!$B$36,"preference","convert")</f>
        <v/>
      </c>
      <c r="E56">
        <f>IF((Assumptions!$B$36*Assumptions!$B$15)&gt;(IF((((Assumptions!$B$49-(IF(E43="preference",Assumptions!$B$3,0)+IF(E44="preference",(Assumptions!$B$34*Assumptions!$B$20),0)+IF(E45="preference",(Assumptions!$B$33*Assumptions!$B$19),0)+IF(E46="preference",(Assumptions!$B$38*Assumptions!$B$17),0)+IF(E47="preference",(Assumptions!$B$37*Assumptions!$B$16),0)+IF(E49="preference",(Assumptions!$B$35*Assumptions!$B$14),0))))+Assumptions!$B$30*Assumptions!$B$21)/(((E32+Assumptions!$B$36+(IF(E43="convert",E13,0)+IF(E44="convert",E19,0)+IF(E45="convert",E18,0)+IF(E46="convert",Assumptions!$B$38,0)+IF(E47="convert",Assumptions!$B$37,0)+IF(E49="convert",Assumptions!$B$35,0))))+Assumptions!$B$30)&gt;Assumptions!$B$21,(((Assumptions!$B$49-(IF(E43="preference",Assumptions!$B$3,0)+IF(E44="preference",(Assumptions!$B$34*Assumptions!$B$20),0)+IF(E45="preference",(Assumptions!$B$33*Assumptions!$B$19),0)+IF(E46="preference",(Assumptions!$B$38*Assumptions!$B$17),0)+IF(E47="preference",(Assumptions!$B$37*Assumptions!$B$16),0)+IF(E49="preference",(Assumptions!$B$35*Assumptions!$B$14),0))))+Assumptions!$B$30*Assumptions!$B$21)/(((E32+Assumptions!$B$36+(IF(E43="convert",E13,0)+IF(E44="convert",E19,0)+IF(E45="convert",E18,0)+IF(E46="convert",Assumptions!$B$38,0)+IF(E47="convert",Assumptions!$B$37,0)+IF(E49="convert",Assumptions!$B$35,0))))+Assumptions!$B$30),((Assumptions!$B$49-(IF(E43="preference",Assumptions!$B$3,0)+IF(E44="preference",(Assumptions!$B$34*Assumptions!$B$20),0)+IF(E45="preference",(Assumptions!$B$33*Assumptions!$B$19),0)+IF(E46="preference",(Assumptions!$B$38*Assumptions!$B$17),0)+IF(E47="preference",(Assumptions!$B$37*Assumptions!$B$16),0)+IF(E49="preference",(Assumptions!$B$35*Assumptions!$B$14),0))))/((E32+Assumptions!$B$36+(IF(E43="convert",E13,0)+IF(E44="convert",E19,0)+IF(E45="convert",E18,0)+IF(E46="convert",Assumptions!$B$38,0)+IF(E47="convert",Assumptions!$B$37,0)+IF(E49="convert",Assumptions!$B$35,0))))))*Assumptions!$B$36,"preference","convert")</f>
        <v/>
      </c>
      <c r="F56">
        <f>IF((Assumptions!$B$36*Assumptions!$B$15)&gt;(IF((((Assumptions!$B$49-(IF(F43="preference",Assumptions!$B$3,0)+IF(F44="preference",(Assumptions!$B$34*Assumptions!$B$20),0)+IF(F45="preference",(Assumptions!$B$33*Assumptions!$B$19),0)+IF(F46="preference",(Assumptions!$B$38*Assumptions!$B$17),0)+IF(F47="preference",(Assumptions!$B$37*Assumptions!$B$16),0)+IF(F49="preference",(Assumptions!$B$35*Assumptions!$B$14),0))))+Assumptions!$B$30*Assumptions!$B$21)/(((F32+Assumptions!$B$36+(IF(F43="convert",F13,0)+IF(F44="convert",F19,0)+IF(F45="convert",F18,0)+IF(F46="convert",Assumptions!$B$38,0)+IF(F47="convert",Assumptions!$B$37,0)+IF(F49="convert",Assumptions!$B$35,0))))+Assumptions!$B$30)&gt;Assumptions!$B$21,(((Assumptions!$B$49-(IF(F43="preference",Assumptions!$B$3,0)+IF(F44="preference",(Assumptions!$B$34*Assumptions!$B$20),0)+IF(F45="preference",(Assumptions!$B$33*Assumptions!$B$19),0)+IF(F46="preference",(Assumptions!$B$38*Assumptions!$B$17),0)+IF(F47="preference",(Assumptions!$B$37*Assumptions!$B$16),0)+IF(F49="preference",(Assumptions!$B$35*Assumptions!$B$14),0))))+Assumptions!$B$30*Assumptions!$B$21)/(((F32+Assumptions!$B$36+(IF(F43="convert",F13,0)+IF(F44="convert",F19,0)+IF(F45="convert",F18,0)+IF(F46="convert",Assumptions!$B$38,0)+IF(F47="convert",Assumptions!$B$37,0)+IF(F49="convert",Assumptions!$B$35,0))))+Assumptions!$B$30),((Assumptions!$B$49-(IF(F43="preference",Assumptions!$B$3,0)+IF(F44="preference",(Assumptions!$B$34*Assumptions!$B$20),0)+IF(F45="preference",(Assumptions!$B$33*Assumptions!$B$19),0)+IF(F46="preference",(Assumptions!$B$38*Assumptions!$B$17),0)+IF(F47="preference",(Assumptions!$B$37*Assumptions!$B$16),0)+IF(F49="preference",(Assumptions!$B$35*Assumptions!$B$14),0))))/((F32+Assumptions!$B$36+(IF(F43="convert",F13,0)+IF(F44="convert",F19,0)+IF(F45="convert",F18,0)+IF(F46="convert",Assumptions!$B$38,0)+IF(F47="convert",Assumptions!$B$37,0)+IF(F49="convert",Assumptions!$B$35,0))))))*Assumptions!$B$36,"preference","convert")</f>
        <v/>
      </c>
      <c r="G56">
        <f>IF((Assumptions!$B$36*Assumptions!$B$15)&gt;(IF((((Assumptions!$B$49-(IF(G43="preference",Assumptions!$B$3,0)+IF(G44="preference",(Assumptions!$B$34*Assumptions!$B$20),0)+IF(G45="preference",(Assumptions!$B$33*Assumptions!$B$19),0)+IF(G46="preference",(Assumptions!$B$38*Assumptions!$B$17),0)+IF(G47="preference",(Assumptions!$B$37*Assumptions!$B$16),0)+IF(G49="preference",(Assumptions!$B$35*Assumptions!$B$14),0))))+Assumptions!$B$30*Assumptions!$B$21)/(((G32+Assumptions!$B$36+(IF(G43="convert",G13,0)+IF(G44="convert",G19,0)+IF(G45="convert",G18,0)+IF(G46="convert",Assumptions!$B$38,0)+IF(G47="convert",Assumptions!$B$37,0)+IF(G49="convert",Assumptions!$B$35,0))))+Assumptions!$B$30)&gt;Assumptions!$B$21,(((Assumptions!$B$49-(IF(G43="preference",Assumptions!$B$3,0)+IF(G44="preference",(Assumptions!$B$34*Assumptions!$B$20),0)+IF(G45="preference",(Assumptions!$B$33*Assumptions!$B$19),0)+IF(G46="preference",(Assumptions!$B$38*Assumptions!$B$17),0)+IF(G47="preference",(Assumptions!$B$37*Assumptions!$B$16),0)+IF(G49="preference",(Assumptions!$B$35*Assumptions!$B$14),0))))+Assumptions!$B$30*Assumptions!$B$21)/(((G32+Assumptions!$B$36+(IF(G43="convert",G13,0)+IF(G44="convert",G19,0)+IF(G45="convert",G18,0)+IF(G46="convert",Assumptions!$B$38,0)+IF(G47="convert",Assumptions!$B$37,0)+IF(G49="convert",Assumptions!$B$35,0))))+Assumptions!$B$30),((Assumptions!$B$49-(IF(G43="preference",Assumptions!$B$3,0)+IF(G44="preference",(Assumptions!$B$34*Assumptions!$B$20),0)+IF(G45="preference",(Assumptions!$B$33*Assumptions!$B$19),0)+IF(G46="preference",(Assumptions!$B$38*Assumptions!$B$17),0)+IF(G47="preference",(Assumptions!$B$37*Assumptions!$B$16),0)+IF(G49="preference",(Assumptions!$B$35*Assumptions!$B$14),0))))/((G32+Assumptions!$B$36+(IF(G43="convert",G13,0)+IF(G44="convert",G19,0)+IF(G45="convert",G18,0)+IF(G46="convert",Assumptions!$B$38,0)+IF(G47="convert",Assumptions!$B$37,0)+IF(G49="convert",Assumptions!$B$35,0))))))*Assumptions!$B$36,"preference","convert")</f>
        <v/>
      </c>
      <c r="H56">
        <f>IF((Assumptions!$B$36*Assumptions!$B$15)&gt;(IF((((Assumptions!$B$49-(IF(H43="preference",Assumptions!$B$3,0)+IF(H44="preference",(Assumptions!$B$34*Assumptions!$B$20),0)+IF(H45="preference",(Assumptions!$B$33*Assumptions!$B$19),0)+IF(H46="preference",(Assumptions!$B$38*Assumptions!$B$17),0)+IF(H47="preference",(Assumptions!$B$37*Assumptions!$B$16),0)+IF(H49="preference",(Assumptions!$B$35*Assumptions!$B$14),0))))+Assumptions!$B$30*Assumptions!$B$21)/(((H32+Assumptions!$B$36+(IF(H43="convert",H13,0)+IF(H44="convert",H19,0)+IF(H45="convert",H18,0)+IF(H46="convert",Assumptions!$B$38,0)+IF(H47="convert",Assumptions!$B$37,0)+IF(H49="convert",Assumptions!$B$35,0))))+Assumptions!$B$30)&gt;Assumptions!$B$21,(((Assumptions!$B$49-(IF(H43="preference",Assumptions!$B$3,0)+IF(H44="preference",(Assumptions!$B$34*Assumptions!$B$20),0)+IF(H45="preference",(Assumptions!$B$33*Assumptions!$B$19),0)+IF(H46="preference",(Assumptions!$B$38*Assumptions!$B$17),0)+IF(H47="preference",(Assumptions!$B$37*Assumptions!$B$16),0)+IF(H49="preference",(Assumptions!$B$35*Assumptions!$B$14),0))))+Assumptions!$B$30*Assumptions!$B$21)/(((H32+Assumptions!$B$36+(IF(H43="convert",H13,0)+IF(H44="convert",H19,0)+IF(H45="convert",H18,0)+IF(H46="convert",Assumptions!$B$38,0)+IF(H47="convert",Assumptions!$B$37,0)+IF(H49="convert",Assumptions!$B$35,0))))+Assumptions!$B$30),((Assumptions!$B$49-(IF(H43="preference",Assumptions!$B$3,0)+IF(H44="preference",(Assumptions!$B$34*Assumptions!$B$20),0)+IF(H45="preference",(Assumptions!$B$33*Assumptions!$B$19),0)+IF(H46="preference",(Assumptions!$B$38*Assumptions!$B$17),0)+IF(H47="preference",(Assumptions!$B$37*Assumptions!$B$16),0)+IF(H49="preference",(Assumptions!$B$35*Assumptions!$B$14),0))))/((H32+Assumptions!$B$36+(IF(H43="convert",H13,0)+IF(H44="convert",H19,0)+IF(H45="convert",H18,0)+IF(H46="convert",Assumptions!$B$38,0)+IF(H47="convert",Assumptions!$B$37,0)+IF(H49="convert",Assumptions!$B$35,0))))))*Assumptions!$B$36,"preference","convert")</f>
        <v/>
      </c>
      <c r="I56">
        <f>IF((Assumptions!$B$36*Assumptions!$B$15)&gt;(IF((((Assumptions!$B$49-(IF(I43="preference",Assumptions!$B$3,0)+IF(I44="preference",(Assumptions!$B$34*Assumptions!$B$20),0)+IF(I45="preference",(Assumptions!$B$33*Assumptions!$B$19),0)+IF(I46="preference",(Assumptions!$B$38*Assumptions!$B$17),0)+IF(I47="preference",(Assumptions!$B$37*Assumptions!$B$16),0)+IF(I49="preference",(Assumptions!$B$35*Assumptions!$B$14),0))))+Assumptions!$B$30*Assumptions!$B$21)/(((I32+Assumptions!$B$36+(IF(I43="convert",I13,0)+IF(I44="convert",I19,0)+IF(I45="convert",I18,0)+IF(I46="convert",Assumptions!$B$38,0)+IF(I47="convert",Assumptions!$B$37,0)+IF(I49="convert",Assumptions!$B$35,0))))+Assumptions!$B$30)&gt;Assumptions!$B$21,(((Assumptions!$B$49-(IF(I43="preference",Assumptions!$B$3,0)+IF(I44="preference",(Assumptions!$B$34*Assumptions!$B$20),0)+IF(I45="preference",(Assumptions!$B$33*Assumptions!$B$19),0)+IF(I46="preference",(Assumptions!$B$38*Assumptions!$B$17),0)+IF(I47="preference",(Assumptions!$B$37*Assumptions!$B$16),0)+IF(I49="preference",(Assumptions!$B$35*Assumptions!$B$14),0))))+Assumptions!$B$30*Assumptions!$B$21)/(((I32+Assumptions!$B$36+(IF(I43="convert",I13,0)+IF(I44="convert",I19,0)+IF(I45="convert",I18,0)+IF(I46="convert",Assumptions!$B$38,0)+IF(I47="convert",Assumptions!$B$37,0)+IF(I49="convert",Assumptions!$B$35,0))))+Assumptions!$B$30),((Assumptions!$B$49-(IF(I43="preference",Assumptions!$B$3,0)+IF(I44="preference",(Assumptions!$B$34*Assumptions!$B$20),0)+IF(I45="preference",(Assumptions!$B$33*Assumptions!$B$19),0)+IF(I46="preference",(Assumptions!$B$38*Assumptions!$B$17),0)+IF(I47="preference",(Assumptions!$B$37*Assumptions!$B$16),0)+IF(I49="preference",(Assumptions!$B$35*Assumptions!$B$14),0))))/((I32+Assumptions!$B$36+(IF(I43="convert",I13,0)+IF(I44="convert",I19,0)+IF(I45="convert",I18,0)+IF(I46="convert",Assumptions!$B$38,0)+IF(I47="convert",Assumptions!$B$37,0)+IF(I49="convert",Assumptions!$B$35,0))))))*Assumptions!$B$36,"preference","convert")</f>
        <v/>
      </c>
      <c r="J56">
        <f>IF((Assumptions!$B$36*Assumptions!$B$15)&gt;(IF((((Assumptions!$B$49-(IF(J43="preference",Assumptions!$B$3,0)+IF(J44="preference",(Assumptions!$B$34*Assumptions!$B$20),0)+IF(J45="preference",(Assumptions!$B$33*Assumptions!$B$19),0)+IF(J46="preference",(Assumptions!$B$38*Assumptions!$B$17),0)+IF(J47="preference",(Assumptions!$B$37*Assumptions!$B$16),0)+IF(J49="preference",(Assumptions!$B$35*Assumptions!$B$14),0))))+Assumptions!$B$30*Assumptions!$B$21)/(((J32+Assumptions!$B$36+(IF(J43="convert",J13,0)+IF(J44="convert",J19,0)+IF(J45="convert",J18,0)+IF(J46="convert",Assumptions!$B$38,0)+IF(J47="convert",Assumptions!$B$37,0)+IF(J49="convert",Assumptions!$B$35,0))))+Assumptions!$B$30)&gt;Assumptions!$B$21,(((Assumptions!$B$49-(IF(J43="preference",Assumptions!$B$3,0)+IF(J44="preference",(Assumptions!$B$34*Assumptions!$B$20),0)+IF(J45="preference",(Assumptions!$B$33*Assumptions!$B$19),0)+IF(J46="preference",(Assumptions!$B$38*Assumptions!$B$17),0)+IF(J47="preference",(Assumptions!$B$37*Assumptions!$B$16),0)+IF(J49="preference",(Assumptions!$B$35*Assumptions!$B$14),0))))+Assumptions!$B$30*Assumptions!$B$21)/(((J32+Assumptions!$B$36+(IF(J43="convert",J13,0)+IF(J44="convert",J19,0)+IF(J45="convert",J18,0)+IF(J46="convert",Assumptions!$B$38,0)+IF(J47="convert",Assumptions!$B$37,0)+IF(J49="convert",Assumptions!$B$35,0))))+Assumptions!$B$30),((Assumptions!$B$49-(IF(J43="preference",Assumptions!$B$3,0)+IF(J44="preference",(Assumptions!$B$34*Assumptions!$B$20),0)+IF(J45="preference",(Assumptions!$B$33*Assumptions!$B$19),0)+IF(J46="preference",(Assumptions!$B$38*Assumptions!$B$17),0)+IF(J47="preference",(Assumptions!$B$37*Assumptions!$B$16),0)+IF(J49="preference",(Assumptions!$B$35*Assumptions!$B$14),0))))/((J32+Assumptions!$B$36+(IF(J43="convert",J13,0)+IF(J44="convert",J19,0)+IF(J45="convert",J18,0)+IF(J46="convert",Assumptions!$B$38,0)+IF(J47="convert",Assumptions!$B$37,0)+IF(J49="convert",Assumptions!$B$35,0))))))*Assumptions!$B$36,"preference","convert")</f>
        <v/>
      </c>
    </row>
    <row r="57">
      <c r="A57" t="inlineStr">
        <is>
          <t xml:space="preserve">  Seed</t>
        </is>
      </c>
      <c r="B57">
        <f>IF((Assumptions!$B$35*Assumptions!$B$14)&gt;(IF((((Assumptions!$B$49-(IF(B43="preference",Assumptions!$B$3,0)+IF(B44="preference",(Assumptions!$B$34*Assumptions!$B$20),0)+IF(B45="preference",(Assumptions!$B$33*Assumptions!$B$19),0)+IF(B46="preference",(Assumptions!$B$38*Assumptions!$B$17),0)+IF(B47="preference",(Assumptions!$B$37*Assumptions!$B$16),0)+IF(B48="preference",(Assumptions!$B$36*Assumptions!$B$15),0))))+Assumptions!$B$30*Assumptions!$B$21)/(((B32+Assumptions!$B$35+(IF(B43="convert",B13,0)+IF(B44="convert",B19,0)+IF(B45="convert",B18,0)+IF(B46="convert",Assumptions!$B$38,0)+IF(B47="convert",Assumptions!$B$37,0)+IF(B48="convert",Assumptions!$B$36,0))))+Assumptions!$B$30)&gt;Assumptions!$B$21,(((Assumptions!$B$49-(IF(B43="preference",Assumptions!$B$3,0)+IF(B44="preference",(Assumptions!$B$34*Assumptions!$B$20),0)+IF(B45="preference",(Assumptions!$B$33*Assumptions!$B$19),0)+IF(B46="preference",(Assumptions!$B$38*Assumptions!$B$17),0)+IF(B47="preference",(Assumptions!$B$37*Assumptions!$B$16),0)+IF(B48="preference",(Assumptions!$B$36*Assumptions!$B$15),0))))+Assumptions!$B$30*Assumptions!$B$21)/(((B32+Assumptions!$B$35+(IF(B43="convert",B13,0)+IF(B44="convert",B19,0)+IF(B45="convert",B18,0)+IF(B46="convert",Assumptions!$B$38,0)+IF(B47="convert",Assumptions!$B$37,0)+IF(B48="convert",Assumptions!$B$36,0))))+Assumptions!$B$30),((Assumptions!$B$49-(IF(B43="preference",Assumptions!$B$3,0)+IF(B44="preference",(Assumptions!$B$34*Assumptions!$B$20),0)+IF(B45="preference",(Assumptions!$B$33*Assumptions!$B$19),0)+IF(B46="preference",(Assumptions!$B$38*Assumptions!$B$17),0)+IF(B47="preference",(Assumptions!$B$37*Assumptions!$B$16),0)+IF(B48="preference",(Assumptions!$B$36*Assumptions!$B$15),0))))/((B32+Assumptions!$B$35+(IF(B43="convert",B13,0)+IF(B44="convert",B19,0)+IF(B45="convert",B18,0)+IF(B46="convert",Assumptions!$B$38,0)+IF(B47="convert",Assumptions!$B$37,0)+IF(B48="convert",Assumptions!$B$36,0))))))*Assumptions!$B$35,"preference","convert")</f>
        <v/>
      </c>
      <c r="C57">
        <f>IF((Assumptions!$B$35*Assumptions!$B$14)&gt;(IF((((Assumptions!$B$49-(IF(C43="preference",Assumptions!$B$3,0)+IF(C44="preference",(Assumptions!$B$34*Assumptions!$B$20),0)+IF(C45="preference",(Assumptions!$B$33*Assumptions!$B$19),0)+IF(C46="preference",(Assumptions!$B$38*Assumptions!$B$17),0)+IF(C47="preference",(Assumptions!$B$37*Assumptions!$B$16),0)+IF(C48="preference",(Assumptions!$B$36*Assumptions!$B$15),0))))+Assumptions!$B$30*Assumptions!$B$21)/(((C32+Assumptions!$B$35+(IF(C43="convert",C13,0)+IF(C44="convert",C19,0)+IF(C45="convert",C18,0)+IF(C46="convert",Assumptions!$B$38,0)+IF(C47="convert",Assumptions!$B$37,0)+IF(C48="convert",Assumptions!$B$36,0))))+Assumptions!$B$30)&gt;Assumptions!$B$21,(((Assumptions!$B$49-(IF(C43="preference",Assumptions!$B$3,0)+IF(C44="preference",(Assumptions!$B$34*Assumptions!$B$20),0)+IF(C45="preference",(Assumptions!$B$33*Assumptions!$B$19),0)+IF(C46="preference",(Assumptions!$B$38*Assumptions!$B$17),0)+IF(C47="preference",(Assumptions!$B$37*Assumptions!$B$16),0)+IF(C48="preference",(Assumptions!$B$36*Assumptions!$B$15),0))))+Assumptions!$B$30*Assumptions!$B$21)/(((C32+Assumptions!$B$35+(IF(C43="convert",C13,0)+IF(C44="convert",C19,0)+IF(C45="convert",C18,0)+IF(C46="convert",Assumptions!$B$38,0)+IF(C47="convert",Assumptions!$B$37,0)+IF(C48="convert",Assumptions!$B$36,0))))+Assumptions!$B$30),((Assumptions!$B$49-(IF(C43="preference",Assumptions!$B$3,0)+IF(C44="preference",(Assumptions!$B$34*Assumptions!$B$20),0)+IF(C45="preference",(Assumptions!$B$33*Assumptions!$B$19),0)+IF(C46="preference",(Assumptions!$B$38*Assumptions!$B$17),0)+IF(C47="preference",(Assumptions!$B$37*Assumptions!$B$16),0)+IF(C48="preference",(Assumptions!$B$36*Assumptions!$B$15),0))))/((C32+Assumptions!$B$35+(IF(C43="convert",C13,0)+IF(C44="convert",C19,0)+IF(C45="convert",C18,0)+IF(C46="convert",Assumptions!$B$38,0)+IF(C47="convert",Assumptions!$B$37,0)+IF(C48="convert",Assumptions!$B$36,0))))))*Assumptions!$B$35,"preference","convert")</f>
        <v/>
      </c>
      <c r="D57">
        <f>IF((Assumptions!$B$35*Assumptions!$B$14)&gt;(IF((((Assumptions!$B$49-(IF(D43="preference",Assumptions!$B$3,0)+IF(D44="preference",(Assumptions!$B$34*Assumptions!$B$20),0)+IF(D45="preference",(Assumptions!$B$33*Assumptions!$B$19),0)+IF(D46="preference",(Assumptions!$B$38*Assumptions!$B$17),0)+IF(D47="preference",(Assumptions!$B$37*Assumptions!$B$16),0)+IF(D48="preference",(Assumptions!$B$36*Assumptions!$B$15),0))))+Assumptions!$B$30*Assumptions!$B$21)/(((D32+Assumptions!$B$35+(IF(D43="convert",D13,0)+IF(D44="convert",D19,0)+IF(D45="convert",D18,0)+IF(D46="convert",Assumptions!$B$38,0)+IF(D47="convert",Assumptions!$B$37,0)+IF(D48="convert",Assumptions!$B$36,0))))+Assumptions!$B$30)&gt;Assumptions!$B$21,(((Assumptions!$B$49-(IF(D43="preference",Assumptions!$B$3,0)+IF(D44="preference",(Assumptions!$B$34*Assumptions!$B$20),0)+IF(D45="preference",(Assumptions!$B$33*Assumptions!$B$19),0)+IF(D46="preference",(Assumptions!$B$38*Assumptions!$B$17),0)+IF(D47="preference",(Assumptions!$B$37*Assumptions!$B$16),0)+IF(D48="preference",(Assumptions!$B$36*Assumptions!$B$15),0))))+Assumptions!$B$30*Assumptions!$B$21)/(((D32+Assumptions!$B$35+(IF(D43="convert",D13,0)+IF(D44="convert",D19,0)+IF(D45="convert",D18,0)+IF(D46="convert",Assumptions!$B$38,0)+IF(D47="convert",Assumptions!$B$37,0)+IF(D48="convert",Assumptions!$B$36,0))))+Assumptions!$B$30),((Assumptions!$B$49-(IF(D43="preference",Assumptions!$B$3,0)+IF(D44="preference",(Assumptions!$B$34*Assumptions!$B$20),0)+IF(D45="preference",(Assumptions!$B$33*Assumptions!$B$19),0)+IF(D46="preference",(Assumptions!$B$38*Assumptions!$B$17),0)+IF(D47="preference",(Assumptions!$B$37*Assumptions!$B$16),0)+IF(D48="preference",(Assumptions!$B$36*Assumptions!$B$15),0))))/((D32+Assumptions!$B$35+(IF(D43="convert",D13,0)+IF(D44="convert",D19,0)+IF(D45="convert",D18,0)+IF(D46="convert",Assumptions!$B$38,0)+IF(D47="convert",Assumptions!$B$37,0)+IF(D48="convert",Assumptions!$B$36,0))))))*Assumptions!$B$35,"preference","convert")</f>
        <v/>
      </c>
      <c r="E57">
        <f>IF((Assumptions!$B$35*Assumptions!$B$14)&gt;(IF((((Assumptions!$B$49-(IF(E43="preference",Assumptions!$B$3,0)+IF(E44="preference",(Assumptions!$B$34*Assumptions!$B$20),0)+IF(E45="preference",(Assumptions!$B$33*Assumptions!$B$19),0)+IF(E46="preference",(Assumptions!$B$38*Assumptions!$B$17),0)+IF(E47="preference",(Assumptions!$B$37*Assumptions!$B$16),0)+IF(E48="preference",(Assumptions!$B$36*Assumptions!$B$15),0))))+Assumptions!$B$30*Assumptions!$B$21)/(((E32+Assumptions!$B$35+(IF(E43="convert",E13,0)+IF(E44="convert",E19,0)+IF(E45="convert",E18,0)+IF(E46="convert",Assumptions!$B$38,0)+IF(E47="convert",Assumptions!$B$37,0)+IF(E48="convert",Assumptions!$B$36,0))))+Assumptions!$B$30)&gt;Assumptions!$B$21,(((Assumptions!$B$49-(IF(E43="preference",Assumptions!$B$3,0)+IF(E44="preference",(Assumptions!$B$34*Assumptions!$B$20),0)+IF(E45="preference",(Assumptions!$B$33*Assumptions!$B$19),0)+IF(E46="preference",(Assumptions!$B$38*Assumptions!$B$17),0)+IF(E47="preference",(Assumptions!$B$37*Assumptions!$B$16),0)+IF(E48="preference",(Assumptions!$B$36*Assumptions!$B$15),0))))+Assumptions!$B$30*Assumptions!$B$21)/(((E32+Assumptions!$B$35+(IF(E43="convert",E13,0)+IF(E44="convert",E19,0)+IF(E45="convert",E18,0)+IF(E46="convert",Assumptions!$B$38,0)+IF(E47="convert",Assumptions!$B$37,0)+IF(E48="convert",Assumptions!$B$36,0))))+Assumptions!$B$30),((Assumptions!$B$49-(IF(E43="preference",Assumptions!$B$3,0)+IF(E44="preference",(Assumptions!$B$34*Assumptions!$B$20),0)+IF(E45="preference",(Assumptions!$B$33*Assumptions!$B$19),0)+IF(E46="preference",(Assumptions!$B$38*Assumptions!$B$17),0)+IF(E47="preference",(Assumptions!$B$37*Assumptions!$B$16),0)+IF(E48="preference",(Assumptions!$B$36*Assumptions!$B$15),0))))/((E32+Assumptions!$B$35+(IF(E43="convert",E13,0)+IF(E44="convert",E19,0)+IF(E45="convert",E18,0)+IF(E46="convert",Assumptions!$B$38,0)+IF(E47="convert",Assumptions!$B$37,0)+IF(E48="convert",Assumptions!$B$36,0))))))*Assumptions!$B$35,"preference","convert")</f>
        <v/>
      </c>
      <c r="F57">
        <f>IF((Assumptions!$B$35*Assumptions!$B$14)&gt;(IF((((Assumptions!$B$49-(IF(F43="preference",Assumptions!$B$3,0)+IF(F44="preference",(Assumptions!$B$34*Assumptions!$B$20),0)+IF(F45="preference",(Assumptions!$B$33*Assumptions!$B$19),0)+IF(F46="preference",(Assumptions!$B$38*Assumptions!$B$17),0)+IF(F47="preference",(Assumptions!$B$37*Assumptions!$B$16),0)+IF(F48="preference",(Assumptions!$B$36*Assumptions!$B$15),0))))+Assumptions!$B$30*Assumptions!$B$21)/(((F32+Assumptions!$B$35+(IF(F43="convert",F13,0)+IF(F44="convert",F19,0)+IF(F45="convert",F18,0)+IF(F46="convert",Assumptions!$B$38,0)+IF(F47="convert",Assumptions!$B$37,0)+IF(F48="convert",Assumptions!$B$36,0))))+Assumptions!$B$30)&gt;Assumptions!$B$21,(((Assumptions!$B$49-(IF(F43="preference",Assumptions!$B$3,0)+IF(F44="preference",(Assumptions!$B$34*Assumptions!$B$20),0)+IF(F45="preference",(Assumptions!$B$33*Assumptions!$B$19),0)+IF(F46="preference",(Assumptions!$B$38*Assumptions!$B$17),0)+IF(F47="preference",(Assumptions!$B$37*Assumptions!$B$16),0)+IF(F48="preference",(Assumptions!$B$36*Assumptions!$B$15),0))))+Assumptions!$B$30*Assumptions!$B$21)/(((F32+Assumptions!$B$35+(IF(F43="convert",F13,0)+IF(F44="convert",F19,0)+IF(F45="convert",F18,0)+IF(F46="convert",Assumptions!$B$38,0)+IF(F47="convert",Assumptions!$B$37,0)+IF(F48="convert",Assumptions!$B$36,0))))+Assumptions!$B$30),((Assumptions!$B$49-(IF(F43="preference",Assumptions!$B$3,0)+IF(F44="preference",(Assumptions!$B$34*Assumptions!$B$20),0)+IF(F45="preference",(Assumptions!$B$33*Assumptions!$B$19),0)+IF(F46="preference",(Assumptions!$B$38*Assumptions!$B$17),0)+IF(F47="preference",(Assumptions!$B$37*Assumptions!$B$16),0)+IF(F48="preference",(Assumptions!$B$36*Assumptions!$B$15),0))))/((F32+Assumptions!$B$35+(IF(F43="convert",F13,0)+IF(F44="convert",F19,0)+IF(F45="convert",F18,0)+IF(F46="convert",Assumptions!$B$38,0)+IF(F47="convert",Assumptions!$B$37,0)+IF(F48="convert",Assumptions!$B$36,0))))))*Assumptions!$B$35,"preference","convert")</f>
        <v/>
      </c>
      <c r="G57">
        <f>IF((Assumptions!$B$35*Assumptions!$B$14)&gt;(IF((((Assumptions!$B$49-(IF(G43="preference",Assumptions!$B$3,0)+IF(G44="preference",(Assumptions!$B$34*Assumptions!$B$20),0)+IF(G45="preference",(Assumptions!$B$33*Assumptions!$B$19),0)+IF(G46="preference",(Assumptions!$B$38*Assumptions!$B$17),0)+IF(G47="preference",(Assumptions!$B$37*Assumptions!$B$16),0)+IF(G48="preference",(Assumptions!$B$36*Assumptions!$B$15),0))))+Assumptions!$B$30*Assumptions!$B$21)/(((G32+Assumptions!$B$35+(IF(G43="convert",G13,0)+IF(G44="convert",G19,0)+IF(G45="convert",G18,0)+IF(G46="convert",Assumptions!$B$38,0)+IF(G47="convert",Assumptions!$B$37,0)+IF(G48="convert",Assumptions!$B$36,0))))+Assumptions!$B$30)&gt;Assumptions!$B$21,(((Assumptions!$B$49-(IF(G43="preference",Assumptions!$B$3,0)+IF(G44="preference",(Assumptions!$B$34*Assumptions!$B$20),0)+IF(G45="preference",(Assumptions!$B$33*Assumptions!$B$19),0)+IF(G46="preference",(Assumptions!$B$38*Assumptions!$B$17),0)+IF(G47="preference",(Assumptions!$B$37*Assumptions!$B$16),0)+IF(G48="preference",(Assumptions!$B$36*Assumptions!$B$15),0))))+Assumptions!$B$30*Assumptions!$B$21)/(((G32+Assumptions!$B$35+(IF(G43="convert",G13,0)+IF(G44="convert",G19,0)+IF(G45="convert",G18,0)+IF(G46="convert",Assumptions!$B$38,0)+IF(G47="convert",Assumptions!$B$37,0)+IF(G48="convert",Assumptions!$B$36,0))))+Assumptions!$B$30),((Assumptions!$B$49-(IF(G43="preference",Assumptions!$B$3,0)+IF(G44="preference",(Assumptions!$B$34*Assumptions!$B$20),0)+IF(G45="preference",(Assumptions!$B$33*Assumptions!$B$19),0)+IF(G46="preference",(Assumptions!$B$38*Assumptions!$B$17),0)+IF(G47="preference",(Assumptions!$B$37*Assumptions!$B$16),0)+IF(G48="preference",(Assumptions!$B$36*Assumptions!$B$15),0))))/((G32+Assumptions!$B$35+(IF(G43="convert",G13,0)+IF(G44="convert",G19,0)+IF(G45="convert",G18,0)+IF(G46="convert",Assumptions!$B$38,0)+IF(G47="convert",Assumptions!$B$37,0)+IF(G48="convert",Assumptions!$B$36,0))))))*Assumptions!$B$35,"preference","convert")</f>
        <v/>
      </c>
      <c r="H57">
        <f>IF((Assumptions!$B$35*Assumptions!$B$14)&gt;(IF((((Assumptions!$B$49-(IF(H43="preference",Assumptions!$B$3,0)+IF(H44="preference",(Assumptions!$B$34*Assumptions!$B$20),0)+IF(H45="preference",(Assumptions!$B$33*Assumptions!$B$19),0)+IF(H46="preference",(Assumptions!$B$38*Assumptions!$B$17),0)+IF(H47="preference",(Assumptions!$B$37*Assumptions!$B$16),0)+IF(H48="preference",(Assumptions!$B$36*Assumptions!$B$15),0))))+Assumptions!$B$30*Assumptions!$B$21)/(((H32+Assumptions!$B$35+(IF(H43="convert",H13,0)+IF(H44="convert",H19,0)+IF(H45="convert",H18,0)+IF(H46="convert",Assumptions!$B$38,0)+IF(H47="convert",Assumptions!$B$37,0)+IF(H48="convert",Assumptions!$B$36,0))))+Assumptions!$B$30)&gt;Assumptions!$B$21,(((Assumptions!$B$49-(IF(H43="preference",Assumptions!$B$3,0)+IF(H44="preference",(Assumptions!$B$34*Assumptions!$B$20),0)+IF(H45="preference",(Assumptions!$B$33*Assumptions!$B$19),0)+IF(H46="preference",(Assumptions!$B$38*Assumptions!$B$17),0)+IF(H47="preference",(Assumptions!$B$37*Assumptions!$B$16),0)+IF(H48="preference",(Assumptions!$B$36*Assumptions!$B$15),0))))+Assumptions!$B$30*Assumptions!$B$21)/(((H32+Assumptions!$B$35+(IF(H43="convert",H13,0)+IF(H44="convert",H19,0)+IF(H45="convert",H18,0)+IF(H46="convert",Assumptions!$B$38,0)+IF(H47="convert",Assumptions!$B$37,0)+IF(H48="convert",Assumptions!$B$36,0))))+Assumptions!$B$30),((Assumptions!$B$49-(IF(H43="preference",Assumptions!$B$3,0)+IF(H44="preference",(Assumptions!$B$34*Assumptions!$B$20),0)+IF(H45="preference",(Assumptions!$B$33*Assumptions!$B$19),0)+IF(H46="preference",(Assumptions!$B$38*Assumptions!$B$17),0)+IF(H47="preference",(Assumptions!$B$37*Assumptions!$B$16),0)+IF(H48="preference",(Assumptions!$B$36*Assumptions!$B$15),0))))/((H32+Assumptions!$B$35+(IF(H43="convert",H13,0)+IF(H44="convert",H19,0)+IF(H45="convert",H18,0)+IF(H46="convert",Assumptions!$B$38,0)+IF(H47="convert",Assumptions!$B$37,0)+IF(H48="convert",Assumptions!$B$36,0))))))*Assumptions!$B$35,"preference","convert")</f>
        <v/>
      </c>
      <c r="I57">
        <f>IF((Assumptions!$B$35*Assumptions!$B$14)&gt;(IF((((Assumptions!$B$49-(IF(I43="preference",Assumptions!$B$3,0)+IF(I44="preference",(Assumptions!$B$34*Assumptions!$B$20),0)+IF(I45="preference",(Assumptions!$B$33*Assumptions!$B$19),0)+IF(I46="preference",(Assumptions!$B$38*Assumptions!$B$17),0)+IF(I47="preference",(Assumptions!$B$37*Assumptions!$B$16),0)+IF(I48="preference",(Assumptions!$B$36*Assumptions!$B$15),0))))+Assumptions!$B$30*Assumptions!$B$21)/(((I32+Assumptions!$B$35+(IF(I43="convert",I13,0)+IF(I44="convert",I19,0)+IF(I45="convert",I18,0)+IF(I46="convert",Assumptions!$B$38,0)+IF(I47="convert",Assumptions!$B$37,0)+IF(I48="convert",Assumptions!$B$36,0))))+Assumptions!$B$30)&gt;Assumptions!$B$21,(((Assumptions!$B$49-(IF(I43="preference",Assumptions!$B$3,0)+IF(I44="preference",(Assumptions!$B$34*Assumptions!$B$20),0)+IF(I45="preference",(Assumptions!$B$33*Assumptions!$B$19),0)+IF(I46="preference",(Assumptions!$B$38*Assumptions!$B$17),0)+IF(I47="preference",(Assumptions!$B$37*Assumptions!$B$16),0)+IF(I48="preference",(Assumptions!$B$36*Assumptions!$B$15),0))))+Assumptions!$B$30*Assumptions!$B$21)/(((I32+Assumptions!$B$35+(IF(I43="convert",I13,0)+IF(I44="convert",I19,0)+IF(I45="convert",I18,0)+IF(I46="convert",Assumptions!$B$38,0)+IF(I47="convert",Assumptions!$B$37,0)+IF(I48="convert",Assumptions!$B$36,0))))+Assumptions!$B$30),((Assumptions!$B$49-(IF(I43="preference",Assumptions!$B$3,0)+IF(I44="preference",(Assumptions!$B$34*Assumptions!$B$20),0)+IF(I45="preference",(Assumptions!$B$33*Assumptions!$B$19),0)+IF(I46="preference",(Assumptions!$B$38*Assumptions!$B$17),0)+IF(I47="preference",(Assumptions!$B$37*Assumptions!$B$16),0)+IF(I48="preference",(Assumptions!$B$36*Assumptions!$B$15),0))))/((I32+Assumptions!$B$35+(IF(I43="convert",I13,0)+IF(I44="convert",I19,0)+IF(I45="convert",I18,0)+IF(I46="convert",Assumptions!$B$38,0)+IF(I47="convert",Assumptions!$B$37,0)+IF(I48="convert",Assumptions!$B$36,0))))))*Assumptions!$B$35,"preference","convert")</f>
        <v/>
      </c>
      <c r="J57">
        <f>IF((Assumptions!$B$35*Assumptions!$B$14)&gt;(IF((((Assumptions!$B$49-(IF(J43="preference",Assumptions!$B$3,0)+IF(J44="preference",(Assumptions!$B$34*Assumptions!$B$20),0)+IF(J45="preference",(Assumptions!$B$33*Assumptions!$B$19),0)+IF(J46="preference",(Assumptions!$B$38*Assumptions!$B$17),0)+IF(J47="preference",(Assumptions!$B$37*Assumptions!$B$16),0)+IF(J48="preference",(Assumptions!$B$36*Assumptions!$B$15),0))))+Assumptions!$B$30*Assumptions!$B$21)/(((J32+Assumptions!$B$35+(IF(J43="convert",J13,0)+IF(J44="convert",J19,0)+IF(J45="convert",J18,0)+IF(J46="convert",Assumptions!$B$38,0)+IF(J47="convert",Assumptions!$B$37,0)+IF(J48="convert",Assumptions!$B$36,0))))+Assumptions!$B$30)&gt;Assumptions!$B$21,(((Assumptions!$B$49-(IF(J43="preference",Assumptions!$B$3,0)+IF(J44="preference",(Assumptions!$B$34*Assumptions!$B$20),0)+IF(J45="preference",(Assumptions!$B$33*Assumptions!$B$19),0)+IF(J46="preference",(Assumptions!$B$38*Assumptions!$B$17),0)+IF(J47="preference",(Assumptions!$B$37*Assumptions!$B$16),0)+IF(J48="preference",(Assumptions!$B$36*Assumptions!$B$15),0))))+Assumptions!$B$30*Assumptions!$B$21)/(((J32+Assumptions!$B$35+(IF(J43="convert",J13,0)+IF(J44="convert",J19,0)+IF(J45="convert",J18,0)+IF(J46="convert",Assumptions!$B$38,0)+IF(J47="convert",Assumptions!$B$37,0)+IF(J48="convert",Assumptions!$B$36,0))))+Assumptions!$B$30),((Assumptions!$B$49-(IF(J43="preference",Assumptions!$B$3,0)+IF(J44="preference",(Assumptions!$B$34*Assumptions!$B$20),0)+IF(J45="preference",(Assumptions!$B$33*Assumptions!$B$19),0)+IF(J46="preference",(Assumptions!$B$38*Assumptions!$B$17),0)+IF(J47="preference",(Assumptions!$B$37*Assumptions!$B$16),0)+IF(J48="preference",(Assumptions!$B$36*Assumptions!$B$15),0))))/((J32+Assumptions!$B$35+(IF(J43="convert",J13,0)+IF(J44="convert",J19,0)+IF(J45="convert",J18,0)+IF(J46="convert",Assumptions!$B$38,0)+IF(J47="convert",Assumptions!$B$37,0)+IF(J48="convert",Assumptions!$B$36,0))))))*Assumptions!$B$35,"preference","convert")</f>
        <v/>
      </c>
    </row>
    <row r="58">
      <c r="A58" s="5" t="inlineStr">
        <is>
          <t>PASS 4 ELECTIONS @ $2B</t>
        </is>
      </c>
    </row>
    <row r="59">
      <c r="A59" t="inlineStr">
        <is>
          <t xml:space="preserve">  F</t>
        </is>
      </c>
      <c r="B59">
        <f>IF(Assumptions!$B$3&gt;(IF((((Assumptions!$B$49-(IF(B52="preference",(Assumptions!$B$34*Assumptions!$B$20),0)+IF(B53="preference",(Assumptions!$B$33*Assumptions!$B$19),0)+IF(B54="preference",(Assumptions!$B$38*Assumptions!$B$17),0)+IF(B55="preference",(Assumptions!$B$37*Assumptions!$B$16),0)+IF(B56="preference",(Assumptions!$B$36*Assumptions!$B$15),0)+IF(B57="preference",(Assumptions!$B$35*Assumptions!$B$14),0))))+Assumptions!$B$30*Assumptions!$B$21)/(((B32+B13+(IF(B52="convert",B19,0)+IF(B53="convert",B18,0)+IF(B54="convert",Assumptions!$B$38,0)+IF(B55="convert",Assumptions!$B$37,0)+IF(B56="convert",Assumptions!$B$36,0)+IF(B57="convert",Assumptions!$B$35,0))))+Assumptions!$B$30)&gt;Assumptions!$B$21,(((Assumptions!$B$49-(IF(B52="preference",(Assumptions!$B$34*Assumptions!$B$20),0)+IF(B53="preference",(Assumptions!$B$33*Assumptions!$B$19),0)+IF(B54="preference",(Assumptions!$B$38*Assumptions!$B$17),0)+IF(B55="preference",(Assumptions!$B$37*Assumptions!$B$16),0)+IF(B56="preference",(Assumptions!$B$36*Assumptions!$B$15),0)+IF(B57="preference",(Assumptions!$B$35*Assumptions!$B$14),0))))+Assumptions!$B$30*Assumptions!$B$21)/(((B32+B13+(IF(B52="convert",B19,0)+IF(B53="convert",B18,0)+IF(B54="convert",Assumptions!$B$38,0)+IF(B55="convert",Assumptions!$B$37,0)+IF(B56="convert",Assumptions!$B$36,0)+IF(B57="convert",Assumptions!$B$35,0))))+Assumptions!$B$30),((Assumptions!$B$49-(IF(B52="preference",(Assumptions!$B$34*Assumptions!$B$20),0)+IF(B53="preference",(Assumptions!$B$33*Assumptions!$B$19),0)+IF(B54="preference",(Assumptions!$B$38*Assumptions!$B$17),0)+IF(B55="preference",(Assumptions!$B$37*Assumptions!$B$16),0)+IF(B56="preference",(Assumptions!$B$36*Assumptions!$B$15),0)+IF(B57="preference",(Assumptions!$B$35*Assumptions!$B$14),0))))/((B32+B13+(IF(B52="convert",B19,0)+IF(B53="convert",B18,0)+IF(B54="convert",Assumptions!$B$38,0)+IF(B55="convert",Assumptions!$B$37,0)+IF(B56="convert",Assumptions!$B$36,0)+IF(B57="convert",Assumptions!$B$35,0))))))*B13,"preference","convert")</f>
        <v/>
      </c>
      <c r="C59">
        <f>IF(Assumptions!$B$3&gt;(IF((((Assumptions!$B$49-(IF(C52="preference",(Assumptions!$B$34*Assumptions!$B$20),0)+IF(C53="preference",(Assumptions!$B$33*Assumptions!$B$19),0)+IF(C54="preference",(Assumptions!$B$38*Assumptions!$B$17),0)+IF(C55="preference",(Assumptions!$B$37*Assumptions!$B$16),0)+IF(C56="preference",(Assumptions!$B$36*Assumptions!$B$15),0)+IF(C57="preference",(Assumptions!$B$35*Assumptions!$B$14),0))))+Assumptions!$B$30*Assumptions!$B$21)/(((C32+C13+(IF(C52="convert",C19,0)+IF(C53="convert",C18,0)+IF(C54="convert",Assumptions!$B$38,0)+IF(C55="convert",Assumptions!$B$37,0)+IF(C56="convert",Assumptions!$B$36,0)+IF(C57="convert",Assumptions!$B$35,0))))+Assumptions!$B$30)&gt;Assumptions!$B$21,(((Assumptions!$B$49-(IF(C52="preference",(Assumptions!$B$34*Assumptions!$B$20),0)+IF(C53="preference",(Assumptions!$B$33*Assumptions!$B$19),0)+IF(C54="preference",(Assumptions!$B$38*Assumptions!$B$17),0)+IF(C55="preference",(Assumptions!$B$37*Assumptions!$B$16),0)+IF(C56="preference",(Assumptions!$B$36*Assumptions!$B$15),0)+IF(C57="preference",(Assumptions!$B$35*Assumptions!$B$14),0))))+Assumptions!$B$30*Assumptions!$B$21)/(((C32+C13+(IF(C52="convert",C19,0)+IF(C53="convert",C18,0)+IF(C54="convert",Assumptions!$B$38,0)+IF(C55="convert",Assumptions!$B$37,0)+IF(C56="convert",Assumptions!$B$36,0)+IF(C57="convert",Assumptions!$B$35,0))))+Assumptions!$B$30),((Assumptions!$B$49-(IF(C52="preference",(Assumptions!$B$34*Assumptions!$B$20),0)+IF(C53="preference",(Assumptions!$B$33*Assumptions!$B$19),0)+IF(C54="preference",(Assumptions!$B$38*Assumptions!$B$17),0)+IF(C55="preference",(Assumptions!$B$37*Assumptions!$B$16),0)+IF(C56="preference",(Assumptions!$B$36*Assumptions!$B$15),0)+IF(C57="preference",(Assumptions!$B$35*Assumptions!$B$14),0))))/((C32+C13+(IF(C52="convert",C19,0)+IF(C53="convert",C18,0)+IF(C54="convert",Assumptions!$B$38,0)+IF(C55="convert",Assumptions!$B$37,0)+IF(C56="convert",Assumptions!$B$36,0)+IF(C57="convert",Assumptions!$B$35,0))))))*C13,"preference","convert")</f>
        <v/>
      </c>
      <c r="D59">
        <f>IF(Assumptions!$B$3&gt;(IF((((Assumptions!$B$49-(IF(D52="preference",(Assumptions!$B$34*Assumptions!$B$20),0)+IF(D53="preference",(Assumptions!$B$33*Assumptions!$B$19),0)+IF(D54="preference",(Assumptions!$B$38*Assumptions!$B$17),0)+IF(D55="preference",(Assumptions!$B$37*Assumptions!$B$16),0)+IF(D56="preference",(Assumptions!$B$36*Assumptions!$B$15),0)+IF(D57="preference",(Assumptions!$B$35*Assumptions!$B$14),0))))+Assumptions!$B$30*Assumptions!$B$21)/(((D32+D13+(IF(D52="convert",D19,0)+IF(D53="convert",D18,0)+IF(D54="convert",Assumptions!$B$38,0)+IF(D55="convert",Assumptions!$B$37,0)+IF(D56="convert",Assumptions!$B$36,0)+IF(D57="convert",Assumptions!$B$35,0))))+Assumptions!$B$30)&gt;Assumptions!$B$21,(((Assumptions!$B$49-(IF(D52="preference",(Assumptions!$B$34*Assumptions!$B$20),0)+IF(D53="preference",(Assumptions!$B$33*Assumptions!$B$19),0)+IF(D54="preference",(Assumptions!$B$38*Assumptions!$B$17),0)+IF(D55="preference",(Assumptions!$B$37*Assumptions!$B$16),0)+IF(D56="preference",(Assumptions!$B$36*Assumptions!$B$15),0)+IF(D57="preference",(Assumptions!$B$35*Assumptions!$B$14),0))))+Assumptions!$B$30*Assumptions!$B$21)/(((D32+D13+(IF(D52="convert",D19,0)+IF(D53="convert",D18,0)+IF(D54="convert",Assumptions!$B$38,0)+IF(D55="convert",Assumptions!$B$37,0)+IF(D56="convert",Assumptions!$B$36,0)+IF(D57="convert",Assumptions!$B$35,0))))+Assumptions!$B$30),((Assumptions!$B$49-(IF(D52="preference",(Assumptions!$B$34*Assumptions!$B$20),0)+IF(D53="preference",(Assumptions!$B$33*Assumptions!$B$19),0)+IF(D54="preference",(Assumptions!$B$38*Assumptions!$B$17),0)+IF(D55="preference",(Assumptions!$B$37*Assumptions!$B$16),0)+IF(D56="preference",(Assumptions!$B$36*Assumptions!$B$15),0)+IF(D57="preference",(Assumptions!$B$35*Assumptions!$B$14),0))))/((D32+D13+(IF(D52="convert",D19,0)+IF(D53="convert",D18,0)+IF(D54="convert",Assumptions!$B$38,0)+IF(D55="convert",Assumptions!$B$37,0)+IF(D56="convert",Assumptions!$B$36,0)+IF(D57="convert",Assumptions!$B$35,0))))))*D13,"preference","convert")</f>
        <v/>
      </c>
      <c r="E59">
        <f>IF(Assumptions!$B$3&gt;(IF((((Assumptions!$B$49-(IF(E52="preference",(Assumptions!$B$34*Assumptions!$B$20),0)+IF(E53="preference",(Assumptions!$B$33*Assumptions!$B$19),0)+IF(E54="preference",(Assumptions!$B$38*Assumptions!$B$17),0)+IF(E55="preference",(Assumptions!$B$37*Assumptions!$B$16),0)+IF(E56="preference",(Assumptions!$B$36*Assumptions!$B$15),0)+IF(E57="preference",(Assumptions!$B$35*Assumptions!$B$14),0))))+Assumptions!$B$30*Assumptions!$B$21)/(((E32+E13+(IF(E52="convert",E19,0)+IF(E53="convert",E18,0)+IF(E54="convert",Assumptions!$B$38,0)+IF(E55="convert",Assumptions!$B$37,0)+IF(E56="convert",Assumptions!$B$36,0)+IF(E57="convert",Assumptions!$B$35,0))))+Assumptions!$B$30)&gt;Assumptions!$B$21,(((Assumptions!$B$49-(IF(E52="preference",(Assumptions!$B$34*Assumptions!$B$20),0)+IF(E53="preference",(Assumptions!$B$33*Assumptions!$B$19),0)+IF(E54="preference",(Assumptions!$B$38*Assumptions!$B$17),0)+IF(E55="preference",(Assumptions!$B$37*Assumptions!$B$16),0)+IF(E56="preference",(Assumptions!$B$36*Assumptions!$B$15),0)+IF(E57="preference",(Assumptions!$B$35*Assumptions!$B$14),0))))+Assumptions!$B$30*Assumptions!$B$21)/(((E32+E13+(IF(E52="convert",E19,0)+IF(E53="convert",E18,0)+IF(E54="convert",Assumptions!$B$38,0)+IF(E55="convert",Assumptions!$B$37,0)+IF(E56="convert",Assumptions!$B$36,0)+IF(E57="convert",Assumptions!$B$35,0))))+Assumptions!$B$30),((Assumptions!$B$49-(IF(E52="preference",(Assumptions!$B$34*Assumptions!$B$20),0)+IF(E53="preference",(Assumptions!$B$33*Assumptions!$B$19),0)+IF(E54="preference",(Assumptions!$B$38*Assumptions!$B$17),0)+IF(E55="preference",(Assumptions!$B$37*Assumptions!$B$16),0)+IF(E56="preference",(Assumptions!$B$36*Assumptions!$B$15),0)+IF(E57="preference",(Assumptions!$B$35*Assumptions!$B$14),0))))/((E32+E13+(IF(E52="convert",E19,0)+IF(E53="convert",E18,0)+IF(E54="convert",Assumptions!$B$38,0)+IF(E55="convert",Assumptions!$B$37,0)+IF(E56="convert",Assumptions!$B$36,0)+IF(E57="convert",Assumptions!$B$35,0))))))*E13,"preference","convert")</f>
        <v/>
      </c>
      <c r="F59">
        <f>IF(Assumptions!$B$3&gt;(IF((((Assumptions!$B$49-(IF(F52="preference",(Assumptions!$B$34*Assumptions!$B$20),0)+IF(F53="preference",(Assumptions!$B$33*Assumptions!$B$19),0)+IF(F54="preference",(Assumptions!$B$38*Assumptions!$B$17),0)+IF(F55="preference",(Assumptions!$B$37*Assumptions!$B$16),0)+IF(F56="preference",(Assumptions!$B$36*Assumptions!$B$15),0)+IF(F57="preference",(Assumptions!$B$35*Assumptions!$B$14),0))))+Assumptions!$B$30*Assumptions!$B$21)/(((F32+F13+(IF(F52="convert",F19,0)+IF(F53="convert",F18,0)+IF(F54="convert",Assumptions!$B$38,0)+IF(F55="convert",Assumptions!$B$37,0)+IF(F56="convert",Assumptions!$B$36,0)+IF(F57="convert",Assumptions!$B$35,0))))+Assumptions!$B$30)&gt;Assumptions!$B$21,(((Assumptions!$B$49-(IF(F52="preference",(Assumptions!$B$34*Assumptions!$B$20),0)+IF(F53="preference",(Assumptions!$B$33*Assumptions!$B$19),0)+IF(F54="preference",(Assumptions!$B$38*Assumptions!$B$17),0)+IF(F55="preference",(Assumptions!$B$37*Assumptions!$B$16),0)+IF(F56="preference",(Assumptions!$B$36*Assumptions!$B$15),0)+IF(F57="preference",(Assumptions!$B$35*Assumptions!$B$14),0))))+Assumptions!$B$30*Assumptions!$B$21)/(((F32+F13+(IF(F52="convert",F19,0)+IF(F53="convert",F18,0)+IF(F54="convert",Assumptions!$B$38,0)+IF(F55="convert",Assumptions!$B$37,0)+IF(F56="convert",Assumptions!$B$36,0)+IF(F57="convert",Assumptions!$B$35,0))))+Assumptions!$B$30),((Assumptions!$B$49-(IF(F52="preference",(Assumptions!$B$34*Assumptions!$B$20),0)+IF(F53="preference",(Assumptions!$B$33*Assumptions!$B$19),0)+IF(F54="preference",(Assumptions!$B$38*Assumptions!$B$17),0)+IF(F55="preference",(Assumptions!$B$37*Assumptions!$B$16),0)+IF(F56="preference",(Assumptions!$B$36*Assumptions!$B$15),0)+IF(F57="preference",(Assumptions!$B$35*Assumptions!$B$14),0))))/((F32+F13+(IF(F52="convert",F19,0)+IF(F53="convert",F18,0)+IF(F54="convert",Assumptions!$B$38,0)+IF(F55="convert",Assumptions!$B$37,0)+IF(F56="convert",Assumptions!$B$36,0)+IF(F57="convert",Assumptions!$B$35,0))))))*F13,"preference","convert")</f>
        <v/>
      </c>
      <c r="G59">
        <f>IF(Assumptions!$B$3&gt;(IF((((Assumptions!$B$49-(IF(G52="preference",(Assumptions!$B$34*Assumptions!$B$20),0)+IF(G53="preference",(Assumptions!$B$33*Assumptions!$B$19),0)+IF(G54="preference",(Assumptions!$B$38*Assumptions!$B$17),0)+IF(G55="preference",(Assumptions!$B$37*Assumptions!$B$16),0)+IF(G56="preference",(Assumptions!$B$36*Assumptions!$B$15),0)+IF(G57="preference",(Assumptions!$B$35*Assumptions!$B$14),0))))+Assumptions!$B$30*Assumptions!$B$21)/(((G32+G13+(IF(G52="convert",G19,0)+IF(G53="convert",G18,0)+IF(G54="convert",Assumptions!$B$38,0)+IF(G55="convert",Assumptions!$B$37,0)+IF(G56="convert",Assumptions!$B$36,0)+IF(G57="convert",Assumptions!$B$35,0))))+Assumptions!$B$30)&gt;Assumptions!$B$21,(((Assumptions!$B$49-(IF(G52="preference",(Assumptions!$B$34*Assumptions!$B$20),0)+IF(G53="preference",(Assumptions!$B$33*Assumptions!$B$19),0)+IF(G54="preference",(Assumptions!$B$38*Assumptions!$B$17),0)+IF(G55="preference",(Assumptions!$B$37*Assumptions!$B$16),0)+IF(G56="preference",(Assumptions!$B$36*Assumptions!$B$15),0)+IF(G57="preference",(Assumptions!$B$35*Assumptions!$B$14),0))))+Assumptions!$B$30*Assumptions!$B$21)/(((G32+G13+(IF(G52="convert",G19,0)+IF(G53="convert",G18,0)+IF(G54="convert",Assumptions!$B$38,0)+IF(G55="convert",Assumptions!$B$37,0)+IF(G56="convert",Assumptions!$B$36,0)+IF(G57="convert",Assumptions!$B$35,0))))+Assumptions!$B$30),((Assumptions!$B$49-(IF(G52="preference",(Assumptions!$B$34*Assumptions!$B$20),0)+IF(G53="preference",(Assumptions!$B$33*Assumptions!$B$19),0)+IF(G54="preference",(Assumptions!$B$38*Assumptions!$B$17),0)+IF(G55="preference",(Assumptions!$B$37*Assumptions!$B$16),0)+IF(G56="preference",(Assumptions!$B$36*Assumptions!$B$15),0)+IF(G57="preference",(Assumptions!$B$35*Assumptions!$B$14),0))))/((G32+G13+(IF(G52="convert",G19,0)+IF(G53="convert",G18,0)+IF(G54="convert",Assumptions!$B$38,0)+IF(G55="convert",Assumptions!$B$37,0)+IF(G56="convert",Assumptions!$B$36,0)+IF(G57="convert",Assumptions!$B$35,0))))))*G13,"preference","convert")</f>
        <v/>
      </c>
      <c r="H59">
        <f>IF(Assumptions!$B$3&gt;(IF((((Assumptions!$B$49-(IF(H52="preference",(Assumptions!$B$34*Assumptions!$B$20),0)+IF(H53="preference",(Assumptions!$B$33*Assumptions!$B$19),0)+IF(H54="preference",(Assumptions!$B$38*Assumptions!$B$17),0)+IF(H55="preference",(Assumptions!$B$37*Assumptions!$B$16),0)+IF(H56="preference",(Assumptions!$B$36*Assumptions!$B$15),0)+IF(H57="preference",(Assumptions!$B$35*Assumptions!$B$14),0))))+Assumptions!$B$30*Assumptions!$B$21)/(((H32+H13+(IF(H52="convert",H19,0)+IF(H53="convert",H18,0)+IF(H54="convert",Assumptions!$B$38,0)+IF(H55="convert",Assumptions!$B$37,0)+IF(H56="convert",Assumptions!$B$36,0)+IF(H57="convert",Assumptions!$B$35,0))))+Assumptions!$B$30)&gt;Assumptions!$B$21,(((Assumptions!$B$49-(IF(H52="preference",(Assumptions!$B$34*Assumptions!$B$20),0)+IF(H53="preference",(Assumptions!$B$33*Assumptions!$B$19),0)+IF(H54="preference",(Assumptions!$B$38*Assumptions!$B$17),0)+IF(H55="preference",(Assumptions!$B$37*Assumptions!$B$16),0)+IF(H56="preference",(Assumptions!$B$36*Assumptions!$B$15),0)+IF(H57="preference",(Assumptions!$B$35*Assumptions!$B$14),0))))+Assumptions!$B$30*Assumptions!$B$21)/(((H32+H13+(IF(H52="convert",H19,0)+IF(H53="convert",H18,0)+IF(H54="convert",Assumptions!$B$38,0)+IF(H55="convert",Assumptions!$B$37,0)+IF(H56="convert",Assumptions!$B$36,0)+IF(H57="convert",Assumptions!$B$35,0))))+Assumptions!$B$30),((Assumptions!$B$49-(IF(H52="preference",(Assumptions!$B$34*Assumptions!$B$20),0)+IF(H53="preference",(Assumptions!$B$33*Assumptions!$B$19),0)+IF(H54="preference",(Assumptions!$B$38*Assumptions!$B$17),0)+IF(H55="preference",(Assumptions!$B$37*Assumptions!$B$16),0)+IF(H56="preference",(Assumptions!$B$36*Assumptions!$B$15),0)+IF(H57="preference",(Assumptions!$B$35*Assumptions!$B$14),0))))/((H32+H13+(IF(H52="convert",H19,0)+IF(H53="convert",H18,0)+IF(H54="convert",Assumptions!$B$38,0)+IF(H55="convert",Assumptions!$B$37,0)+IF(H56="convert",Assumptions!$B$36,0)+IF(H57="convert",Assumptions!$B$35,0))))))*H13,"preference","convert")</f>
        <v/>
      </c>
      <c r="I59">
        <f>IF(Assumptions!$B$3&gt;(IF((((Assumptions!$B$49-(IF(I52="preference",(Assumptions!$B$34*Assumptions!$B$20),0)+IF(I53="preference",(Assumptions!$B$33*Assumptions!$B$19),0)+IF(I54="preference",(Assumptions!$B$38*Assumptions!$B$17),0)+IF(I55="preference",(Assumptions!$B$37*Assumptions!$B$16),0)+IF(I56="preference",(Assumptions!$B$36*Assumptions!$B$15),0)+IF(I57="preference",(Assumptions!$B$35*Assumptions!$B$14),0))))+Assumptions!$B$30*Assumptions!$B$21)/(((I32+I13+(IF(I52="convert",I19,0)+IF(I53="convert",I18,0)+IF(I54="convert",Assumptions!$B$38,0)+IF(I55="convert",Assumptions!$B$37,0)+IF(I56="convert",Assumptions!$B$36,0)+IF(I57="convert",Assumptions!$B$35,0))))+Assumptions!$B$30)&gt;Assumptions!$B$21,(((Assumptions!$B$49-(IF(I52="preference",(Assumptions!$B$34*Assumptions!$B$20),0)+IF(I53="preference",(Assumptions!$B$33*Assumptions!$B$19),0)+IF(I54="preference",(Assumptions!$B$38*Assumptions!$B$17),0)+IF(I55="preference",(Assumptions!$B$37*Assumptions!$B$16),0)+IF(I56="preference",(Assumptions!$B$36*Assumptions!$B$15),0)+IF(I57="preference",(Assumptions!$B$35*Assumptions!$B$14),0))))+Assumptions!$B$30*Assumptions!$B$21)/(((I32+I13+(IF(I52="convert",I19,0)+IF(I53="convert",I18,0)+IF(I54="convert",Assumptions!$B$38,0)+IF(I55="convert",Assumptions!$B$37,0)+IF(I56="convert",Assumptions!$B$36,0)+IF(I57="convert",Assumptions!$B$35,0))))+Assumptions!$B$30),((Assumptions!$B$49-(IF(I52="preference",(Assumptions!$B$34*Assumptions!$B$20),0)+IF(I53="preference",(Assumptions!$B$33*Assumptions!$B$19),0)+IF(I54="preference",(Assumptions!$B$38*Assumptions!$B$17),0)+IF(I55="preference",(Assumptions!$B$37*Assumptions!$B$16),0)+IF(I56="preference",(Assumptions!$B$36*Assumptions!$B$15),0)+IF(I57="preference",(Assumptions!$B$35*Assumptions!$B$14),0))))/((I32+I13+(IF(I52="convert",I19,0)+IF(I53="convert",I18,0)+IF(I54="convert",Assumptions!$B$38,0)+IF(I55="convert",Assumptions!$B$37,0)+IF(I56="convert",Assumptions!$B$36,0)+IF(I57="convert",Assumptions!$B$35,0))))))*I13,"preference","convert")</f>
        <v/>
      </c>
      <c r="J59">
        <f>IF(Assumptions!$B$3&gt;(IF((((Assumptions!$B$49-(IF(J52="preference",(Assumptions!$B$34*Assumptions!$B$20),0)+IF(J53="preference",(Assumptions!$B$33*Assumptions!$B$19),0)+IF(J54="preference",(Assumptions!$B$38*Assumptions!$B$17),0)+IF(J55="preference",(Assumptions!$B$37*Assumptions!$B$16),0)+IF(J56="preference",(Assumptions!$B$36*Assumptions!$B$15),0)+IF(J57="preference",(Assumptions!$B$35*Assumptions!$B$14),0))))+Assumptions!$B$30*Assumptions!$B$21)/(((J32+J13+(IF(J52="convert",J19,0)+IF(J53="convert",J18,0)+IF(J54="convert",Assumptions!$B$38,0)+IF(J55="convert",Assumptions!$B$37,0)+IF(J56="convert",Assumptions!$B$36,0)+IF(J57="convert",Assumptions!$B$35,0))))+Assumptions!$B$30)&gt;Assumptions!$B$21,(((Assumptions!$B$49-(IF(J52="preference",(Assumptions!$B$34*Assumptions!$B$20),0)+IF(J53="preference",(Assumptions!$B$33*Assumptions!$B$19),0)+IF(J54="preference",(Assumptions!$B$38*Assumptions!$B$17),0)+IF(J55="preference",(Assumptions!$B$37*Assumptions!$B$16),0)+IF(J56="preference",(Assumptions!$B$36*Assumptions!$B$15),0)+IF(J57="preference",(Assumptions!$B$35*Assumptions!$B$14),0))))+Assumptions!$B$30*Assumptions!$B$21)/(((J32+J13+(IF(J52="convert",J19,0)+IF(J53="convert",J18,0)+IF(J54="convert",Assumptions!$B$38,0)+IF(J55="convert",Assumptions!$B$37,0)+IF(J56="convert",Assumptions!$B$36,0)+IF(J57="convert",Assumptions!$B$35,0))))+Assumptions!$B$30),((Assumptions!$B$49-(IF(J52="preference",(Assumptions!$B$34*Assumptions!$B$20),0)+IF(J53="preference",(Assumptions!$B$33*Assumptions!$B$19),0)+IF(J54="preference",(Assumptions!$B$38*Assumptions!$B$17),0)+IF(J55="preference",(Assumptions!$B$37*Assumptions!$B$16),0)+IF(J56="preference",(Assumptions!$B$36*Assumptions!$B$15),0)+IF(J57="preference",(Assumptions!$B$35*Assumptions!$B$14),0))))/((J32+J13+(IF(J52="convert",J19,0)+IF(J53="convert",J18,0)+IF(J54="convert",Assumptions!$B$38,0)+IF(J55="convert",Assumptions!$B$37,0)+IF(J56="convert",Assumptions!$B$36,0)+IF(J57="convert",Assumptions!$B$35,0))))))*J13,"preference","convert")</f>
        <v/>
      </c>
    </row>
    <row r="60">
      <c r="A60" t="inlineStr">
        <is>
          <t xml:space="preserve">  E</t>
        </is>
      </c>
      <c r="B60">
        <f>IF((Assumptions!$B$34*Assumptions!$B$20)&gt;(IF((((Assumptions!$B$49-(IF(B51="preference",Assumptions!$B$3,0)+IF(B53="preference",(Assumptions!$B$33*Assumptions!$B$19),0)+IF(B54="preference",(Assumptions!$B$38*Assumptions!$B$17),0)+IF(B55="preference",(Assumptions!$B$37*Assumptions!$B$16),0)+IF(B56="preference",(Assumptions!$B$36*Assumptions!$B$15),0)+IF(B57="preference",(Assumptions!$B$35*Assumptions!$B$14),0))))+Assumptions!$B$30*Assumptions!$B$21)/(((B32+B19+(IF(B51="convert",B13,0)+IF(B53="convert",B18,0)+IF(B54="convert",Assumptions!$B$38,0)+IF(B55="convert",Assumptions!$B$37,0)+IF(B56="convert",Assumptions!$B$36,0)+IF(B57="convert",Assumptions!$B$35,0))))+Assumptions!$B$30)&gt;Assumptions!$B$21,(((Assumptions!$B$49-(IF(B51="preference",Assumptions!$B$3,0)+IF(B53="preference",(Assumptions!$B$33*Assumptions!$B$19),0)+IF(B54="preference",(Assumptions!$B$38*Assumptions!$B$17),0)+IF(B55="preference",(Assumptions!$B$37*Assumptions!$B$16),0)+IF(B56="preference",(Assumptions!$B$36*Assumptions!$B$15),0)+IF(B57="preference",(Assumptions!$B$35*Assumptions!$B$14),0))))+Assumptions!$B$30*Assumptions!$B$21)/(((B32+B19+(IF(B51="convert",B13,0)+IF(B53="convert",B18,0)+IF(B54="convert",Assumptions!$B$38,0)+IF(B55="convert",Assumptions!$B$37,0)+IF(B56="convert",Assumptions!$B$36,0)+IF(B57="convert",Assumptions!$B$35,0))))+Assumptions!$B$30),((Assumptions!$B$49-(IF(B51="preference",Assumptions!$B$3,0)+IF(B53="preference",(Assumptions!$B$33*Assumptions!$B$19),0)+IF(B54="preference",(Assumptions!$B$38*Assumptions!$B$17),0)+IF(B55="preference",(Assumptions!$B$37*Assumptions!$B$16),0)+IF(B56="preference",(Assumptions!$B$36*Assumptions!$B$15),0)+IF(B57="preference",(Assumptions!$B$35*Assumptions!$B$14),0))))/((B32+B19+(IF(B51="convert",B13,0)+IF(B53="convert",B18,0)+IF(B54="convert",Assumptions!$B$38,0)+IF(B55="convert",Assumptions!$B$37,0)+IF(B56="convert",Assumptions!$B$36,0)+IF(B57="convert",Assumptions!$B$35,0))))))*B19,"preference","convert")</f>
        <v/>
      </c>
      <c r="C60">
        <f>IF((Assumptions!$B$34*Assumptions!$B$20)&gt;(IF((((Assumptions!$B$49-(IF(C51="preference",Assumptions!$B$3,0)+IF(C53="preference",(Assumptions!$B$33*Assumptions!$B$19),0)+IF(C54="preference",(Assumptions!$B$38*Assumptions!$B$17),0)+IF(C55="preference",(Assumptions!$B$37*Assumptions!$B$16),0)+IF(C56="preference",(Assumptions!$B$36*Assumptions!$B$15),0)+IF(C57="preference",(Assumptions!$B$35*Assumptions!$B$14),0))))+Assumptions!$B$30*Assumptions!$B$21)/(((C32+C19+(IF(C51="convert",C13,0)+IF(C53="convert",C18,0)+IF(C54="convert",Assumptions!$B$38,0)+IF(C55="convert",Assumptions!$B$37,0)+IF(C56="convert",Assumptions!$B$36,0)+IF(C57="convert",Assumptions!$B$35,0))))+Assumptions!$B$30)&gt;Assumptions!$B$21,(((Assumptions!$B$49-(IF(C51="preference",Assumptions!$B$3,0)+IF(C53="preference",(Assumptions!$B$33*Assumptions!$B$19),0)+IF(C54="preference",(Assumptions!$B$38*Assumptions!$B$17),0)+IF(C55="preference",(Assumptions!$B$37*Assumptions!$B$16),0)+IF(C56="preference",(Assumptions!$B$36*Assumptions!$B$15),0)+IF(C57="preference",(Assumptions!$B$35*Assumptions!$B$14),0))))+Assumptions!$B$30*Assumptions!$B$21)/(((C32+C19+(IF(C51="convert",C13,0)+IF(C53="convert",C18,0)+IF(C54="convert",Assumptions!$B$38,0)+IF(C55="convert",Assumptions!$B$37,0)+IF(C56="convert",Assumptions!$B$36,0)+IF(C57="convert",Assumptions!$B$35,0))))+Assumptions!$B$30),((Assumptions!$B$49-(IF(C51="preference",Assumptions!$B$3,0)+IF(C53="preference",(Assumptions!$B$33*Assumptions!$B$19),0)+IF(C54="preference",(Assumptions!$B$38*Assumptions!$B$17),0)+IF(C55="preference",(Assumptions!$B$37*Assumptions!$B$16),0)+IF(C56="preference",(Assumptions!$B$36*Assumptions!$B$15),0)+IF(C57="preference",(Assumptions!$B$35*Assumptions!$B$14),0))))/((C32+C19+(IF(C51="convert",C13,0)+IF(C53="convert",C18,0)+IF(C54="convert",Assumptions!$B$38,0)+IF(C55="convert",Assumptions!$B$37,0)+IF(C56="convert",Assumptions!$B$36,0)+IF(C57="convert",Assumptions!$B$35,0))))))*C19,"preference","convert")</f>
        <v/>
      </c>
      <c r="D60">
        <f>IF((Assumptions!$B$34*Assumptions!$B$20)&gt;(IF((((Assumptions!$B$49-(IF(D51="preference",Assumptions!$B$3,0)+IF(D53="preference",(Assumptions!$B$33*Assumptions!$B$19),0)+IF(D54="preference",(Assumptions!$B$38*Assumptions!$B$17),0)+IF(D55="preference",(Assumptions!$B$37*Assumptions!$B$16),0)+IF(D56="preference",(Assumptions!$B$36*Assumptions!$B$15),0)+IF(D57="preference",(Assumptions!$B$35*Assumptions!$B$14),0))))+Assumptions!$B$30*Assumptions!$B$21)/(((D32+D19+(IF(D51="convert",D13,0)+IF(D53="convert",D18,0)+IF(D54="convert",Assumptions!$B$38,0)+IF(D55="convert",Assumptions!$B$37,0)+IF(D56="convert",Assumptions!$B$36,0)+IF(D57="convert",Assumptions!$B$35,0))))+Assumptions!$B$30)&gt;Assumptions!$B$21,(((Assumptions!$B$49-(IF(D51="preference",Assumptions!$B$3,0)+IF(D53="preference",(Assumptions!$B$33*Assumptions!$B$19),0)+IF(D54="preference",(Assumptions!$B$38*Assumptions!$B$17),0)+IF(D55="preference",(Assumptions!$B$37*Assumptions!$B$16),0)+IF(D56="preference",(Assumptions!$B$36*Assumptions!$B$15),0)+IF(D57="preference",(Assumptions!$B$35*Assumptions!$B$14),0))))+Assumptions!$B$30*Assumptions!$B$21)/(((D32+D19+(IF(D51="convert",D13,0)+IF(D53="convert",D18,0)+IF(D54="convert",Assumptions!$B$38,0)+IF(D55="convert",Assumptions!$B$37,0)+IF(D56="convert",Assumptions!$B$36,0)+IF(D57="convert",Assumptions!$B$35,0))))+Assumptions!$B$30),((Assumptions!$B$49-(IF(D51="preference",Assumptions!$B$3,0)+IF(D53="preference",(Assumptions!$B$33*Assumptions!$B$19),0)+IF(D54="preference",(Assumptions!$B$38*Assumptions!$B$17),0)+IF(D55="preference",(Assumptions!$B$37*Assumptions!$B$16),0)+IF(D56="preference",(Assumptions!$B$36*Assumptions!$B$15),0)+IF(D57="preference",(Assumptions!$B$35*Assumptions!$B$14),0))))/((D32+D19+(IF(D51="convert",D13,0)+IF(D53="convert",D18,0)+IF(D54="convert",Assumptions!$B$38,0)+IF(D55="convert",Assumptions!$B$37,0)+IF(D56="convert",Assumptions!$B$36,0)+IF(D57="convert",Assumptions!$B$35,0))))))*D19,"preference","convert")</f>
        <v/>
      </c>
      <c r="E60">
        <f>IF((Assumptions!$B$34*Assumptions!$B$20)&gt;(IF((((Assumptions!$B$49-(IF(E51="preference",Assumptions!$B$3,0)+IF(E53="preference",(Assumptions!$B$33*Assumptions!$B$19),0)+IF(E54="preference",(Assumptions!$B$38*Assumptions!$B$17),0)+IF(E55="preference",(Assumptions!$B$37*Assumptions!$B$16),0)+IF(E56="preference",(Assumptions!$B$36*Assumptions!$B$15),0)+IF(E57="preference",(Assumptions!$B$35*Assumptions!$B$14),0))))+Assumptions!$B$30*Assumptions!$B$21)/(((E32+E19+(IF(E51="convert",E13,0)+IF(E53="convert",E18,0)+IF(E54="convert",Assumptions!$B$38,0)+IF(E55="convert",Assumptions!$B$37,0)+IF(E56="convert",Assumptions!$B$36,0)+IF(E57="convert",Assumptions!$B$35,0))))+Assumptions!$B$30)&gt;Assumptions!$B$21,(((Assumptions!$B$49-(IF(E51="preference",Assumptions!$B$3,0)+IF(E53="preference",(Assumptions!$B$33*Assumptions!$B$19),0)+IF(E54="preference",(Assumptions!$B$38*Assumptions!$B$17),0)+IF(E55="preference",(Assumptions!$B$37*Assumptions!$B$16),0)+IF(E56="preference",(Assumptions!$B$36*Assumptions!$B$15),0)+IF(E57="preference",(Assumptions!$B$35*Assumptions!$B$14),0))))+Assumptions!$B$30*Assumptions!$B$21)/(((E32+E19+(IF(E51="convert",E13,0)+IF(E53="convert",E18,0)+IF(E54="convert",Assumptions!$B$38,0)+IF(E55="convert",Assumptions!$B$37,0)+IF(E56="convert",Assumptions!$B$36,0)+IF(E57="convert",Assumptions!$B$35,0))))+Assumptions!$B$30),((Assumptions!$B$49-(IF(E51="preference",Assumptions!$B$3,0)+IF(E53="preference",(Assumptions!$B$33*Assumptions!$B$19),0)+IF(E54="preference",(Assumptions!$B$38*Assumptions!$B$17),0)+IF(E55="preference",(Assumptions!$B$37*Assumptions!$B$16),0)+IF(E56="preference",(Assumptions!$B$36*Assumptions!$B$15),0)+IF(E57="preference",(Assumptions!$B$35*Assumptions!$B$14),0))))/((E32+E19+(IF(E51="convert",E13,0)+IF(E53="convert",E18,0)+IF(E54="convert",Assumptions!$B$38,0)+IF(E55="convert",Assumptions!$B$37,0)+IF(E56="convert",Assumptions!$B$36,0)+IF(E57="convert",Assumptions!$B$35,0))))))*E19,"preference","convert")</f>
        <v/>
      </c>
      <c r="F60">
        <f>IF((Assumptions!$B$34*Assumptions!$B$20)&gt;(IF((((Assumptions!$B$49-(IF(F51="preference",Assumptions!$B$3,0)+IF(F53="preference",(Assumptions!$B$33*Assumptions!$B$19),0)+IF(F54="preference",(Assumptions!$B$38*Assumptions!$B$17),0)+IF(F55="preference",(Assumptions!$B$37*Assumptions!$B$16),0)+IF(F56="preference",(Assumptions!$B$36*Assumptions!$B$15),0)+IF(F57="preference",(Assumptions!$B$35*Assumptions!$B$14),0))))+Assumptions!$B$30*Assumptions!$B$21)/(((F32+F19+(IF(F51="convert",F13,0)+IF(F53="convert",F18,0)+IF(F54="convert",Assumptions!$B$38,0)+IF(F55="convert",Assumptions!$B$37,0)+IF(F56="convert",Assumptions!$B$36,0)+IF(F57="convert",Assumptions!$B$35,0))))+Assumptions!$B$30)&gt;Assumptions!$B$21,(((Assumptions!$B$49-(IF(F51="preference",Assumptions!$B$3,0)+IF(F53="preference",(Assumptions!$B$33*Assumptions!$B$19),0)+IF(F54="preference",(Assumptions!$B$38*Assumptions!$B$17),0)+IF(F55="preference",(Assumptions!$B$37*Assumptions!$B$16),0)+IF(F56="preference",(Assumptions!$B$36*Assumptions!$B$15),0)+IF(F57="preference",(Assumptions!$B$35*Assumptions!$B$14),0))))+Assumptions!$B$30*Assumptions!$B$21)/(((F32+F19+(IF(F51="convert",F13,0)+IF(F53="convert",F18,0)+IF(F54="convert",Assumptions!$B$38,0)+IF(F55="convert",Assumptions!$B$37,0)+IF(F56="convert",Assumptions!$B$36,0)+IF(F57="convert",Assumptions!$B$35,0))))+Assumptions!$B$30),((Assumptions!$B$49-(IF(F51="preference",Assumptions!$B$3,0)+IF(F53="preference",(Assumptions!$B$33*Assumptions!$B$19),0)+IF(F54="preference",(Assumptions!$B$38*Assumptions!$B$17),0)+IF(F55="preference",(Assumptions!$B$37*Assumptions!$B$16),0)+IF(F56="preference",(Assumptions!$B$36*Assumptions!$B$15),0)+IF(F57="preference",(Assumptions!$B$35*Assumptions!$B$14),0))))/((F32+F19+(IF(F51="convert",F13,0)+IF(F53="convert",F18,0)+IF(F54="convert",Assumptions!$B$38,0)+IF(F55="convert",Assumptions!$B$37,0)+IF(F56="convert",Assumptions!$B$36,0)+IF(F57="convert",Assumptions!$B$35,0))))))*F19,"preference","convert")</f>
        <v/>
      </c>
      <c r="G60">
        <f>IF((Assumptions!$B$34*Assumptions!$B$20)&gt;(IF((((Assumptions!$B$49-(IF(G51="preference",Assumptions!$B$3,0)+IF(G53="preference",(Assumptions!$B$33*Assumptions!$B$19),0)+IF(G54="preference",(Assumptions!$B$38*Assumptions!$B$17),0)+IF(G55="preference",(Assumptions!$B$37*Assumptions!$B$16),0)+IF(G56="preference",(Assumptions!$B$36*Assumptions!$B$15),0)+IF(G57="preference",(Assumptions!$B$35*Assumptions!$B$14),0))))+Assumptions!$B$30*Assumptions!$B$21)/(((G32+G19+(IF(G51="convert",G13,0)+IF(G53="convert",G18,0)+IF(G54="convert",Assumptions!$B$38,0)+IF(G55="convert",Assumptions!$B$37,0)+IF(G56="convert",Assumptions!$B$36,0)+IF(G57="convert",Assumptions!$B$35,0))))+Assumptions!$B$30)&gt;Assumptions!$B$21,(((Assumptions!$B$49-(IF(G51="preference",Assumptions!$B$3,0)+IF(G53="preference",(Assumptions!$B$33*Assumptions!$B$19),0)+IF(G54="preference",(Assumptions!$B$38*Assumptions!$B$17),0)+IF(G55="preference",(Assumptions!$B$37*Assumptions!$B$16),0)+IF(G56="preference",(Assumptions!$B$36*Assumptions!$B$15),0)+IF(G57="preference",(Assumptions!$B$35*Assumptions!$B$14),0))))+Assumptions!$B$30*Assumptions!$B$21)/(((G32+G19+(IF(G51="convert",G13,0)+IF(G53="convert",G18,0)+IF(G54="convert",Assumptions!$B$38,0)+IF(G55="convert",Assumptions!$B$37,0)+IF(G56="convert",Assumptions!$B$36,0)+IF(G57="convert",Assumptions!$B$35,0))))+Assumptions!$B$30),((Assumptions!$B$49-(IF(G51="preference",Assumptions!$B$3,0)+IF(G53="preference",(Assumptions!$B$33*Assumptions!$B$19),0)+IF(G54="preference",(Assumptions!$B$38*Assumptions!$B$17),0)+IF(G55="preference",(Assumptions!$B$37*Assumptions!$B$16),0)+IF(G56="preference",(Assumptions!$B$36*Assumptions!$B$15),0)+IF(G57="preference",(Assumptions!$B$35*Assumptions!$B$14),0))))/((G32+G19+(IF(G51="convert",G13,0)+IF(G53="convert",G18,0)+IF(G54="convert",Assumptions!$B$38,0)+IF(G55="convert",Assumptions!$B$37,0)+IF(G56="convert",Assumptions!$B$36,0)+IF(G57="convert",Assumptions!$B$35,0))))))*G19,"preference","convert")</f>
        <v/>
      </c>
      <c r="H60">
        <f>IF((Assumptions!$B$34*Assumptions!$B$20)&gt;(IF((((Assumptions!$B$49-(IF(H51="preference",Assumptions!$B$3,0)+IF(H53="preference",(Assumptions!$B$33*Assumptions!$B$19),0)+IF(H54="preference",(Assumptions!$B$38*Assumptions!$B$17),0)+IF(H55="preference",(Assumptions!$B$37*Assumptions!$B$16),0)+IF(H56="preference",(Assumptions!$B$36*Assumptions!$B$15),0)+IF(H57="preference",(Assumptions!$B$35*Assumptions!$B$14),0))))+Assumptions!$B$30*Assumptions!$B$21)/(((H32+H19+(IF(H51="convert",H13,0)+IF(H53="convert",H18,0)+IF(H54="convert",Assumptions!$B$38,0)+IF(H55="convert",Assumptions!$B$37,0)+IF(H56="convert",Assumptions!$B$36,0)+IF(H57="convert",Assumptions!$B$35,0))))+Assumptions!$B$30)&gt;Assumptions!$B$21,(((Assumptions!$B$49-(IF(H51="preference",Assumptions!$B$3,0)+IF(H53="preference",(Assumptions!$B$33*Assumptions!$B$19),0)+IF(H54="preference",(Assumptions!$B$38*Assumptions!$B$17),0)+IF(H55="preference",(Assumptions!$B$37*Assumptions!$B$16),0)+IF(H56="preference",(Assumptions!$B$36*Assumptions!$B$15),0)+IF(H57="preference",(Assumptions!$B$35*Assumptions!$B$14),0))))+Assumptions!$B$30*Assumptions!$B$21)/(((H32+H19+(IF(H51="convert",H13,0)+IF(H53="convert",H18,0)+IF(H54="convert",Assumptions!$B$38,0)+IF(H55="convert",Assumptions!$B$37,0)+IF(H56="convert",Assumptions!$B$36,0)+IF(H57="convert",Assumptions!$B$35,0))))+Assumptions!$B$30),((Assumptions!$B$49-(IF(H51="preference",Assumptions!$B$3,0)+IF(H53="preference",(Assumptions!$B$33*Assumptions!$B$19),0)+IF(H54="preference",(Assumptions!$B$38*Assumptions!$B$17),0)+IF(H55="preference",(Assumptions!$B$37*Assumptions!$B$16),0)+IF(H56="preference",(Assumptions!$B$36*Assumptions!$B$15),0)+IF(H57="preference",(Assumptions!$B$35*Assumptions!$B$14),0))))/((H32+H19+(IF(H51="convert",H13,0)+IF(H53="convert",H18,0)+IF(H54="convert",Assumptions!$B$38,0)+IF(H55="convert",Assumptions!$B$37,0)+IF(H56="convert",Assumptions!$B$36,0)+IF(H57="convert",Assumptions!$B$35,0))))))*H19,"preference","convert")</f>
        <v/>
      </c>
      <c r="I60">
        <f>IF((Assumptions!$B$34*Assumptions!$B$20)&gt;(IF((((Assumptions!$B$49-(IF(I51="preference",Assumptions!$B$3,0)+IF(I53="preference",(Assumptions!$B$33*Assumptions!$B$19),0)+IF(I54="preference",(Assumptions!$B$38*Assumptions!$B$17),0)+IF(I55="preference",(Assumptions!$B$37*Assumptions!$B$16),0)+IF(I56="preference",(Assumptions!$B$36*Assumptions!$B$15),0)+IF(I57="preference",(Assumptions!$B$35*Assumptions!$B$14),0))))+Assumptions!$B$30*Assumptions!$B$21)/(((I32+I19+(IF(I51="convert",I13,0)+IF(I53="convert",I18,0)+IF(I54="convert",Assumptions!$B$38,0)+IF(I55="convert",Assumptions!$B$37,0)+IF(I56="convert",Assumptions!$B$36,0)+IF(I57="convert",Assumptions!$B$35,0))))+Assumptions!$B$30)&gt;Assumptions!$B$21,(((Assumptions!$B$49-(IF(I51="preference",Assumptions!$B$3,0)+IF(I53="preference",(Assumptions!$B$33*Assumptions!$B$19),0)+IF(I54="preference",(Assumptions!$B$38*Assumptions!$B$17),0)+IF(I55="preference",(Assumptions!$B$37*Assumptions!$B$16),0)+IF(I56="preference",(Assumptions!$B$36*Assumptions!$B$15),0)+IF(I57="preference",(Assumptions!$B$35*Assumptions!$B$14),0))))+Assumptions!$B$30*Assumptions!$B$21)/(((I32+I19+(IF(I51="convert",I13,0)+IF(I53="convert",I18,0)+IF(I54="convert",Assumptions!$B$38,0)+IF(I55="convert",Assumptions!$B$37,0)+IF(I56="convert",Assumptions!$B$36,0)+IF(I57="convert",Assumptions!$B$35,0))))+Assumptions!$B$30),((Assumptions!$B$49-(IF(I51="preference",Assumptions!$B$3,0)+IF(I53="preference",(Assumptions!$B$33*Assumptions!$B$19),0)+IF(I54="preference",(Assumptions!$B$38*Assumptions!$B$17),0)+IF(I55="preference",(Assumptions!$B$37*Assumptions!$B$16),0)+IF(I56="preference",(Assumptions!$B$36*Assumptions!$B$15),0)+IF(I57="preference",(Assumptions!$B$35*Assumptions!$B$14),0))))/((I32+I19+(IF(I51="convert",I13,0)+IF(I53="convert",I18,0)+IF(I54="convert",Assumptions!$B$38,0)+IF(I55="convert",Assumptions!$B$37,0)+IF(I56="convert",Assumptions!$B$36,0)+IF(I57="convert",Assumptions!$B$35,0))))))*I19,"preference","convert")</f>
        <v/>
      </c>
      <c r="J60">
        <f>IF((Assumptions!$B$34*Assumptions!$B$20)&gt;(IF((((Assumptions!$B$49-(IF(J51="preference",Assumptions!$B$3,0)+IF(J53="preference",(Assumptions!$B$33*Assumptions!$B$19),0)+IF(J54="preference",(Assumptions!$B$38*Assumptions!$B$17),0)+IF(J55="preference",(Assumptions!$B$37*Assumptions!$B$16),0)+IF(J56="preference",(Assumptions!$B$36*Assumptions!$B$15),0)+IF(J57="preference",(Assumptions!$B$35*Assumptions!$B$14),0))))+Assumptions!$B$30*Assumptions!$B$21)/(((J32+J19+(IF(J51="convert",J13,0)+IF(J53="convert",J18,0)+IF(J54="convert",Assumptions!$B$38,0)+IF(J55="convert",Assumptions!$B$37,0)+IF(J56="convert",Assumptions!$B$36,0)+IF(J57="convert",Assumptions!$B$35,0))))+Assumptions!$B$30)&gt;Assumptions!$B$21,(((Assumptions!$B$49-(IF(J51="preference",Assumptions!$B$3,0)+IF(J53="preference",(Assumptions!$B$33*Assumptions!$B$19),0)+IF(J54="preference",(Assumptions!$B$38*Assumptions!$B$17),0)+IF(J55="preference",(Assumptions!$B$37*Assumptions!$B$16),0)+IF(J56="preference",(Assumptions!$B$36*Assumptions!$B$15),0)+IF(J57="preference",(Assumptions!$B$35*Assumptions!$B$14),0))))+Assumptions!$B$30*Assumptions!$B$21)/(((J32+J19+(IF(J51="convert",J13,0)+IF(J53="convert",J18,0)+IF(J54="convert",Assumptions!$B$38,0)+IF(J55="convert",Assumptions!$B$37,0)+IF(J56="convert",Assumptions!$B$36,0)+IF(J57="convert",Assumptions!$B$35,0))))+Assumptions!$B$30),((Assumptions!$B$49-(IF(J51="preference",Assumptions!$B$3,0)+IF(J53="preference",(Assumptions!$B$33*Assumptions!$B$19),0)+IF(J54="preference",(Assumptions!$B$38*Assumptions!$B$17),0)+IF(J55="preference",(Assumptions!$B$37*Assumptions!$B$16),0)+IF(J56="preference",(Assumptions!$B$36*Assumptions!$B$15),0)+IF(J57="preference",(Assumptions!$B$35*Assumptions!$B$14),0))))/((J32+J19+(IF(J51="convert",J13,0)+IF(J53="convert",J18,0)+IF(J54="convert",Assumptions!$B$38,0)+IF(J55="convert",Assumptions!$B$37,0)+IF(J56="convert",Assumptions!$B$36,0)+IF(J57="convert",Assumptions!$B$35,0))))))*J19,"preference","convert")</f>
        <v/>
      </c>
    </row>
    <row r="61">
      <c r="A61" t="inlineStr">
        <is>
          <t xml:space="preserve">  D</t>
        </is>
      </c>
      <c r="B61">
        <f>IF((Assumptions!$B$33*Assumptions!$B$19)&gt;(IF((((Assumptions!$B$49-(IF(B51="preference",Assumptions!$B$3,0)+IF(B52="preference",(Assumptions!$B$34*Assumptions!$B$20),0)+IF(B54="preference",(Assumptions!$B$38*Assumptions!$B$17),0)+IF(B55="preference",(Assumptions!$B$37*Assumptions!$B$16),0)+IF(B56="preference",(Assumptions!$B$36*Assumptions!$B$15),0)+IF(B57="preference",(Assumptions!$B$35*Assumptions!$B$14),0))))+Assumptions!$B$30*Assumptions!$B$21)/(((B32+B18+(IF(B51="convert",B13,0)+IF(B52="convert",B19,0)+IF(B54="convert",Assumptions!$B$38,0)+IF(B55="convert",Assumptions!$B$37,0)+IF(B56="convert",Assumptions!$B$36,0)+IF(B57="convert",Assumptions!$B$35,0))))+Assumptions!$B$30)&gt;Assumptions!$B$21,(((Assumptions!$B$49-(IF(B51="preference",Assumptions!$B$3,0)+IF(B52="preference",(Assumptions!$B$34*Assumptions!$B$20),0)+IF(B54="preference",(Assumptions!$B$38*Assumptions!$B$17),0)+IF(B55="preference",(Assumptions!$B$37*Assumptions!$B$16),0)+IF(B56="preference",(Assumptions!$B$36*Assumptions!$B$15),0)+IF(B57="preference",(Assumptions!$B$35*Assumptions!$B$14),0))))+Assumptions!$B$30*Assumptions!$B$21)/(((B32+B18+(IF(B51="convert",B13,0)+IF(B52="convert",B19,0)+IF(B54="convert",Assumptions!$B$38,0)+IF(B55="convert",Assumptions!$B$37,0)+IF(B56="convert",Assumptions!$B$36,0)+IF(B57="convert",Assumptions!$B$35,0))))+Assumptions!$B$30),((Assumptions!$B$49-(IF(B51="preference",Assumptions!$B$3,0)+IF(B52="preference",(Assumptions!$B$34*Assumptions!$B$20),0)+IF(B54="preference",(Assumptions!$B$38*Assumptions!$B$17),0)+IF(B55="preference",(Assumptions!$B$37*Assumptions!$B$16),0)+IF(B56="preference",(Assumptions!$B$36*Assumptions!$B$15),0)+IF(B57="preference",(Assumptions!$B$35*Assumptions!$B$14),0))))/((B32+B18+(IF(B51="convert",B13,0)+IF(B52="convert",B19,0)+IF(B54="convert",Assumptions!$B$38,0)+IF(B55="convert",Assumptions!$B$37,0)+IF(B56="convert",Assumptions!$B$36,0)+IF(B57="convert",Assumptions!$B$35,0))))))*B18,"preference","convert")</f>
        <v/>
      </c>
      <c r="C61">
        <f>IF((Assumptions!$B$33*Assumptions!$B$19)&gt;(IF((((Assumptions!$B$49-(IF(C51="preference",Assumptions!$B$3,0)+IF(C52="preference",(Assumptions!$B$34*Assumptions!$B$20),0)+IF(C54="preference",(Assumptions!$B$38*Assumptions!$B$17),0)+IF(C55="preference",(Assumptions!$B$37*Assumptions!$B$16),0)+IF(C56="preference",(Assumptions!$B$36*Assumptions!$B$15),0)+IF(C57="preference",(Assumptions!$B$35*Assumptions!$B$14),0))))+Assumptions!$B$30*Assumptions!$B$21)/(((C32+C18+(IF(C51="convert",C13,0)+IF(C52="convert",C19,0)+IF(C54="convert",Assumptions!$B$38,0)+IF(C55="convert",Assumptions!$B$37,0)+IF(C56="convert",Assumptions!$B$36,0)+IF(C57="convert",Assumptions!$B$35,0))))+Assumptions!$B$30)&gt;Assumptions!$B$21,(((Assumptions!$B$49-(IF(C51="preference",Assumptions!$B$3,0)+IF(C52="preference",(Assumptions!$B$34*Assumptions!$B$20),0)+IF(C54="preference",(Assumptions!$B$38*Assumptions!$B$17),0)+IF(C55="preference",(Assumptions!$B$37*Assumptions!$B$16),0)+IF(C56="preference",(Assumptions!$B$36*Assumptions!$B$15),0)+IF(C57="preference",(Assumptions!$B$35*Assumptions!$B$14),0))))+Assumptions!$B$30*Assumptions!$B$21)/(((C32+C18+(IF(C51="convert",C13,0)+IF(C52="convert",C19,0)+IF(C54="convert",Assumptions!$B$38,0)+IF(C55="convert",Assumptions!$B$37,0)+IF(C56="convert",Assumptions!$B$36,0)+IF(C57="convert",Assumptions!$B$35,0))))+Assumptions!$B$30),((Assumptions!$B$49-(IF(C51="preference",Assumptions!$B$3,0)+IF(C52="preference",(Assumptions!$B$34*Assumptions!$B$20),0)+IF(C54="preference",(Assumptions!$B$38*Assumptions!$B$17),0)+IF(C55="preference",(Assumptions!$B$37*Assumptions!$B$16),0)+IF(C56="preference",(Assumptions!$B$36*Assumptions!$B$15),0)+IF(C57="preference",(Assumptions!$B$35*Assumptions!$B$14),0))))/((C32+C18+(IF(C51="convert",C13,0)+IF(C52="convert",C19,0)+IF(C54="convert",Assumptions!$B$38,0)+IF(C55="convert",Assumptions!$B$37,0)+IF(C56="convert",Assumptions!$B$36,0)+IF(C57="convert",Assumptions!$B$35,0))))))*C18,"preference","convert")</f>
        <v/>
      </c>
      <c r="D61">
        <f>IF((Assumptions!$B$33*Assumptions!$B$19)&gt;(IF((((Assumptions!$B$49-(IF(D51="preference",Assumptions!$B$3,0)+IF(D52="preference",(Assumptions!$B$34*Assumptions!$B$20),0)+IF(D54="preference",(Assumptions!$B$38*Assumptions!$B$17),0)+IF(D55="preference",(Assumptions!$B$37*Assumptions!$B$16),0)+IF(D56="preference",(Assumptions!$B$36*Assumptions!$B$15),0)+IF(D57="preference",(Assumptions!$B$35*Assumptions!$B$14),0))))+Assumptions!$B$30*Assumptions!$B$21)/(((D32+D18+(IF(D51="convert",D13,0)+IF(D52="convert",D19,0)+IF(D54="convert",Assumptions!$B$38,0)+IF(D55="convert",Assumptions!$B$37,0)+IF(D56="convert",Assumptions!$B$36,0)+IF(D57="convert",Assumptions!$B$35,0))))+Assumptions!$B$30)&gt;Assumptions!$B$21,(((Assumptions!$B$49-(IF(D51="preference",Assumptions!$B$3,0)+IF(D52="preference",(Assumptions!$B$34*Assumptions!$B$20),0)+IF(D54="preference",(Assumptions!$B$38*Assumptions!$B$17),0)+IF(D55="preference",(Assumptions!$B$37*Assumptions!$B$16),0)+IF(D56="preference",(Assumptions!$B$36*Assumptions!$B$15),0)+IF(D57="preference",(Assumptions!$B$35*Assumptions!$B$14),0))))+Assumptions!$B$30*Assumptions!$B$21)/(((D32+D18+(IF(D51="convert",D13,0)+IF(D52="convert",D19,0)+IF(D54="convert",Assumptions!$B$38,0)+IF(D55="convert",Assumptions!$B$37,0)+IF(D56="convert",Assumptions!$B$36,0)+IF(D57="convert",Assumptions!$B$35,0))))+Assumptions!$B$30),((Assumptions!$B$49-(IF(D51="preference",Assumptions!$B$3,0)+IF(D52="preference",(Assumptions!$B$34*Assumptions!$B$20),0)+IF(D54="preference",(Assumptions!$B$38*Assumptions!$B$17),0)+IF(D55="preference",(Assumptions!$B$37*Assumptions!$B$16),0)+IF(D56="preference",(Assumptions!$B$36*Assumptions!$B$15),0)+IF(D57="preference",(Assumptions!$B$35*Assumptions!$B$14),0))))/((D32+D18+(IF(D51="convert",D13,0)+IF(D52="convert",D19,0)+IF(D54="convert",Assumptions!$B$38,0)+IF(D55="convert",Assumptions!$B$37,0)+IF(D56="convert",Assumptions!$B$36,0)+IF(D57="convert",Assumptions!$B$35,0))))))*D18,"preference","convert")</f>
        <v/>
      </c>
      <c r="E61">
        <f>IF((Assumptions!$B$33*Assumptions!$B$19)&gt;(IF((((Assumptions!$B$49-(IF(E51="preference",Assumptions!$B$3,0)+IF(E52="preference",(Assumptions!$B$34*Assumptions!$B$20),0)+IF(E54="preference",(Assumptions!$B$38*Assumptions!$B$17),0)+IF(E55="preference",(Assumptions!$B$37*Assumptions!$B$16),0)+IF(E56="preference",(Assumptions!$B$36*Assumptions!$B$15),0)+IF(E57="preference",(Assumptions!$B$35*Assumptions!$B$14),0))))+Assumptions!$B$30*Assumptions!$B$21)/(((E32+E18+(IF(E51="convert",E13,0)+IF(E52="convert",E19,0)+IF(E54="convert",Assumptions!$B$38,0)+IF(E55="convert",Assumptions!$B$37,0)+IF(E56="convert",Assumptions!$B$36,0)+IF(E57="convert",Assumptions!$B$35,0))))+Assumptions!$B$30)&gt;Assumptions!$B$21,(((Assumptions!$B$49-(IF(E51="preference",Assumptions!$B$3,0)+IF(E52="preference",(Assumptions!$B$34*Assumptions!$B$20),0)+IF(E54="preference",(Assumptions!$B$38*Assumptions!$B$17),0)+IF(E55="preference",(Assumptions!$B$37*Assumptions!$B$16),0)+IF(E56="preference",(Assumptions!$B$36*Assumptions!$B$15),0)+IF(E57="preference",(Assumptions!$B$35*Assumptions!$B$14),0))))+Assumptions!$B$30*Assumptions!$B$21)/(((E32+E18+(IF(E51="convert",E13,0)+IF(E52="convert",E19,0)+IF(E54="convert",Assumptions!$B$38,0)+IF(E55="convert",Assumptions!$B$37,0)+IF(E56="convert",Assumptions!$B$36,0)+IF(E57="convert",Assumptions!$B$35,0))))+Assumptions!$B$30),((Assumptions!$B$49-(IF(E51="preference",Assumptions!$B$3,0)+IF(E52="preference",(Assumptions!$B$34*Assumptions!$B$20),0)+IF(E54="preference",(Assumptions!$B$38*Assumptions!$B$17),0)+IF(E55="preference",(Assumptions!$B$37*Assumptions!$B$16),0)+IF(E56="preference",(Assumptions!$B$36*Assumptions!$B$15),0)+IF(E57="preference",(Assumptions!$B$35*Assumptions!$B$14),0))))/((E32+E18+(IF(E51="convert",E13,0)+IF(E52="convert",E19,0)+IF(E54="convert",Assumptions!$B$38,0)+IF(E55="convert",Assumptions!$B$37,0)+IF(E56="convert",Assumptions!$B$36,0)+IF(E57="convert",Assumptions!$B$35,0))))))*E18,"preference","convert")</f>
        <v/>
      </c>
      <c r="F61">
        <f>IF((Assumptions!$B$33*Assumptions!$B$19)&gt;(IF((((Assumptions!$B$49-(IF(F51="preference",Assumptions!$B$3,0)+IF(F52="preference",(Assumptions!$B$34*Assumptions!$B$20),0)+IF(F54="preference",(Assumptions!$B$38*Assumptions!$B$17),0)+IF(F55="preference",(Assumptions!$B$37*Assumptions!$B$16),0)+IF(F56="preference",(Assumptions!$B$36*Assumptions!$B$15),0)+IF(F57="preference",(Assumptions!$B$35*Assumptions!$B$14),0))))+Assumptions!$B$30*Assumptions!$B$21)/(((F32+F18+(IF(F51="convert",F13,0)+IF(F52="convert",F19,0)+IF(F54="convert",Assumptions!$B$38,0)+IF(F55="convert",Assumptions!$B$37,0)+IF(F56="convert",Assumptions!$B$36,0)+IF(F57="convert",Assumptions!$B$35,0))))+Assumptions!$B$30)&gt;Assumptions!$B$21,(((Assumptions!$B$49-(IF(F51="preference",Assumptions!$B$3,0)+IF(F52="preference",(Assumptions!$B$34*Assumptions!$B$20),0)+IF(F54="preference",(Assumptions!$B$38*Assumptions!$B$17),0)+IF(F55="preference",(Assumptions!$B$37*Assumptions!$B$16),0)+IF(F56="preference",(Assumptions!$B$36*Assumptions!$B$15),0)+IF(F57="preference",(Assumptions!$B$35*Assumptions!$B$14),0))))+Assumptions!$B$30*Assumptions!$B$21)/(((F32+F18+(IF(F51="convert",F13,0)+IF(F52="convert",F19,0)+IF(F54="convert",Assumptions!$B$38,0)+IF(F55="convert",Assumptions!$B$37,0)+IF(F56="convert",Assumptions!$B$36,0)+IF(F57="convert",Assumptions!$B$35,0))))+Assumptions!$B$30),((Assumptions!$B$49-(IF(F51="preference",Assumptions!$B$3,0)+IF(F52="preference",(Assumptions!$B$34*Assumptions!$B$20),0)+IF(F54="preference",(Assumptions!$B$38*Assumptions!$B$17),0)+IF(F55="preference",(Assumptions!$B$37*Assumptions!$B$16),0)+IF(F56="preference",(Assumptions!$B$36*Assumptions!$B$15),0)+IF(F57="preference",(Assumptions!$B$35*Assumptions!$B$14),0))))/((F32+F18+(IF(F51="convert",F13,0)+IF(F52="convert",F19,0)+IF(F54="convert",Assumptions!$B$38,0)+IF(F55="convert",Assumptions!$B$37,0)+IF(F56="convert",Assumptions!$B$36,0)+IF(F57="convert",Assumptions!$B$35,0))))))*F18,"preference","convert")</f>
        <v/>
      </c>
      <c r="G61">
        <f>IF((Assumptions!$B$33*Assumptions!$B$19)&gt;(IF((((Assumptions!$B$49-(IF(G51="preference",Assumptions!$B$3,0)+IF(G52="preference",(Assumptions!$B$34*Assumptions!$B$20),0)+IF(G54="preference",(Assumptions!$B$38*Assumptions!$B$17),0)+IF(G55="preference",(Assumptions!$B$37*Assumptions!$B$16),0)+IF(G56="preference",(Assumptions!$B$36*Assumptions!$B$15),0)+IF(G57="preference",(Assumptions!$B$35*Assumptions!$B$14),0))))+Assumptions!$B$30*Assumptions!$B$21)/(((G32+G18+(IF(G51="convert",G13,0)+IF(G52="convert",G19,0)+IF(G54="convert",Assumptions!$B$38,0)+IF(G55="convert",Assumptions!$B$37,0)+IF(G56="convert",Assumptions!$B$36,0)+IF(G57="convert",Assumptions!$B$35,0))))+Assumptions!$B$30)&gt;Assumptions!$B$21,(((Assumptions!$B$49-(IF(G51="preference",Assumptions!$B$3,0)+IF(G52="preference",(Assumptions!$B$34*Assumptions!$B$20),0)+IF(G54="preference",(Assumptions!$B$38*Assumptions!$B$17),0)+IF(G55="preference",(Assumptions!$B$37*Assumptions!$B$16),0)+IF(G56="preference",(Assumptions!$B$36*Assumptions!$B$15),0)+IF(G57="preference",(Assumptions!$B$35*Assumptions!$B$14),0))))+Assumptions!$B$30*Assumptions!$B$21)/(((G32+G18+(IF(G51="convert",G13,0)+IF(G52="convert",G19,0)+IF(G54="convert",Assumptions!$B$38,0)+IF(G55="convert",Assumptions!$B$37,0)+IF(G56="convert",Assumptions!$B$36,0)+IF(G57="convert",Assumptions!$B$35,0))))+Assumptions!$B$30),((Assumptions!$B$49-(IF(G51="preference",Assumptions!$B$3,0)+IF(G52="preference",(Assumptions!$B$34*Assumptions!$B$20),0)+IF(G54="preference",(Assumptions!$B$38*Assumptions!$B$17),0)+IF(G55="preference",(Assumptions!$B$37*Assumptions!$B$16),0)+IF(G56="preference",(Assumptions!$B$36*Assumptions!$B$15),0)+IF(G57="preference",(Assumptions!$B$35*Assumptions!$B$14),0))))/((G32+G18+(IF(G51="convert",G13,0)+IF(G52="convert",G19,0)+IF(G54="convert",Assumptions!$B$38,0)+IF(G55="convert",Assumptions!$B$37,0)+IF(G56="convert",Assumptions!$B$36,0)+IF(G57="convert",Assumptions!$B$35,0))))))*G18,"preference","convert")</f>
        <v/>
      </c>
      <c r="H61">
        <f>IF((Assumptions!$B$33*Assumptions!$B$19)&gt;(IF((((Assumptions!$B$49-(IF(H51="preference",Assumptions!$B$3,0)+IF(H52="preference",(Assumptions!$B$34*Assumptions!$B$20),0)+IF(H54="preference",(Assumptions!$B$38*Assumptions!$B$17),0)+IF(H55="preference",(Assumptions!$B$37*Assumptions!$B$16),0)+IF(H56="preference",(Assumptions!$B$36*Assumptions!$B$15),0)+IF(H57="preference",(Assumptions!$B$35*Assumptions!$B$14),0))))+Assumptions!$B$30*Assumptions!$B$21)/(((H32+H18+(IF(H51="convert",H13,0)+IF(H52="convert",H19,0)+IF(H54="convert",Assumptions!$B$38,0)+IF(H55="convert",Assumptions!$B$37,0)+IF(H56="convert",Assumptions!$B$36,0)+IF(H57="convert",Assumptions!$B$35,0))))+Assumptions!$B$30)&gt;Assumptions!$B$21,(((Assumptions!$B$49-(IF(H51="preference",Assumptions!$B$3,0)+IF(H52="preference",(Assumptions!$B$34*Assumptions!$B$20),0)+IF(H54="preference",(Assumptions!$B$38*Assumptions!$B$17),0)+IF(H55="preference",(Assumptions!$B$37*Assumptions!$B$16),0)+IF(H56="preference",(Assumptions!$B$36*Assumptions!$B$15),0)+IF(H57="preference",(Assumptions!$B$35*Assumptions!$B$14),0))))+Assumptions!$B$30*Assumptions!$B$21)/(((H32+H18+(IF(H51="convert",H13,0)+IF(H52="convert",H19,0)+IF(H54="convert",Assumptions!$B$38,0)+IF(H55="convert",Assumptions!$B$37,0)+IF(H56="convert",Assumptions!$B$36,0)+IF(H57="convert",Assumptions!$B$35,0))))+Assumptions!$B$30),((Assumptions!$B$49-(IF(H51="preference",Assumptions!$B$3,0)+IF(H52="preference",(Assumptions!$B$34*Assumptions!$B$20),0)+IF(H54="preference",(Assumptions!$B$38*Assumptions!$B$17),0)+IF(H55="preference",(Assumptions!$B$37*Assumptions!$B$16),0)+IF(H56="preference",(Assumptions!$B$36*Assumptions!$B$15),0)+IF(H57="preference",(Assumptions!$B$35*Assumptions!$B$14),0))))/((H32+H18+(IF(H51="convert",H13,0)+IF(H52="convert",H19,0)+IF(H54="convert",Assumptions!$B$38,0)+IF(H55="convert",Assumptions!$B$37,0)+IF(H56="convert",Assumptions!$B$36,0)+IF(H57="convert",Assumptions!$B$35,0))))))*H18,"preference","convert")</f>
        <v/>
      </c>
      <c r="I61">
        <f>IF((Assumptions!$B$33*Assumptions!$B$19)&gt;(IF((((Assumptions!$B$49-(IF(I51="preference",Assumptions!$B$3,0)+IF(I52="preference",(Assumptions!$B$34*Assumptions!$B$20),0)+IF(I54="preference",(Assumptions!$B$38*Assumptions!$B$17),0)+IF(I55="preference",(Assumptions!$B$37*Assumptions!$B$16),0)+IF(I56="preference",(Assumptions!$B$36*Assumptions!$B$15),0)+IF(I57="preference",(Assumptions!$B$35*Assumptions!$B$14),0))))+Assumptions!$B$30*Assumptions!$B$21)/(((I32+I18+(IF(I51="convert",I13,0)+IF(I52="convert",I19,0)+IF(I54="convert",Assumptions!$B$38,0)+IF(I55="convert",Assumptions!$B$37,0)+IF(I56="convert",Assumptions!$B$36,0)+IF(I57="convert",Assumptions!$B$35,0))))+Assumptions!$B$30)&gt;Assumptions!$B$21,(((Assumptions!$B$49-(IF(I51="preference",Assumptions!$B$3,0)+IF(I52="preference",(Assumptions!$B$34*Assumptions!$B$20),0)+IF(I54="preference",(Assumptions!$B$38*Assumptions!$B$17),0)+IF(I55="preference",(Assumptions!$B$37*Assumptions!$B$16),0)+IF(I56="preference",(Assumptions!$B$36*Assumptions!$B$15),0)+IF(I57="preference",(Assumptions!$B$35*Assumptions!$B$14),0))))+Assumptions!$B$30*Assumptions!$B$21)/(((I32+I18+(IF(I51="convert",I13,0)+IF(I52="convert",I19,0)+IF(I54="convert",Assumptions!$B$38,0)+IF(I55="convert",Assumptions!$B$37,0)+IF(I56="convert",Assumptions!$B$36,0)+IF(I57="convert",Assumptions!$B$35,0))))+Assumptions!$B$30),((Assumptions!$B$49-(IF(I51="preference",Assumptions!$B$3,0)+IF(I52="preference",(Assumptions!$B$34*Assumptions!$B$20),0)+IF(I54="preference",(Assumptions!$B$38*Assumptions!$B$17),0)+IF(I55="preference",(Assumptions!$B$37*Assumptions!$B$16),0)+IF(I56="preference",(Assumptions!$B$36*Assumptions!$B$15),0)+IF(I57="preference",(Assumptions!$B$35*Assumptions!$B$14),0))))/((I32+I18+(IF(I51="convert",I13,0)+IF(I52="convert",I19,0)+IF(I54="convert",Assumptions!$B$38,0)+IF(I55="convert",Assumptions!$B$37,0)+IF(I56="convert",Assumptions!$B$36,0)+IF(I57="convert",Assumptions!$B$35,0))))))*I18,"preference","convert")</f>
        <v/>
      </c>
      <c r="J61">
        <f>IF((Assumptions!$B$33*Assumptions!$B$19)&gt;(IF((((Assumptions!$B$49-(IF(J51="preference",Assumptions!$B$3,0)+IF(J52="preference",(Assumptions!$B$34*Assumptions!$B$20),0)+IF(J54="preference",(Assumptions!$B$38*Assumptions!$B$17),0)+IF(J55="preference",(Assumptions!$B$37*Assumptions!$B$16),0)+IF(J56="preference",(Assumptions!$B$36*Assumptions!$B$15),0)+IF(J57="preference",(Assumptions!$B$35*Assumptions!$B$14),0))))+Assumptions!$B$30*Assumptions!$B$21)/(((J32+J18+(IF(J51="convert",J13,0)+IF(J52="convert",J19,0)+IF(J54="convert",Assumptions!$B$38,0)+IF(J55="convert",Assumptions!$B$37,0)+IF(J56="convert",Assumptions!$B$36,0)+IF(J57="convert",Assumptions!$B$35,0))))+Assumptions!$B$30)&gt;Assumptions!$B$21,(((Assumptions!$B$49-(IF(J51="preference",Assumptions!$B$3,0)+IF(J52="preference",(Assumptions!$B$34*Assumptions!$B$20),0)+IF(J54="preference",(Assumptions!$B$38*Assumptions!$B$17),0)+IF(J55="preference",(Assumptions!$B$37*Assumptions!$B$16),0)+IF(J56="preference",(Assumptions!$B$36*Assumptions!$B$15),0)+IF(J57="preference",(Assumptions!$B$35*Assumptions!$B$14),0))))+Assumptions!$B$30*Assumptions!$B$21)/(((J32+J18+(IF(J51="convert",J13,0)+IF(J52="convert",J19,0)+IF(J54="convert",Assumptions!$B$38,0)+IF(J55="convert",Assumptions!$B$37,0)+IF(J56="convert",Assumptions!$B$36,0)+IF(J57="convert",Assumptions!$B$35,0))))+Assumptions!$B$30),((Assumptions!$B$49-(IF(J51="preference",Assumptions!$B$3,0)+IF(J52="preference",(Assumptions!$B$34*Assumptions!$B$20),0)+IF(J54="preference",(Assumptions!$B$38*Assumptions!$B$17),0)+IF(J55="preference",(Assumptions!$B$37*Assumptions!$B$16),0)+IF(J56="preference",(Assumptions!$B$36*Assumptions!$B$15),0)+IF(J57="preference",(Assumptions!$B$35*Assumptions!$B$14),0))))/((J32+J18+(IF(J51="convert",J13,0)+IF(J52="convert",J19,0)+IF(J54="convert",Assumptions!$B$38,0)+IF(J55="convert",Assumptions!$B$37,0)+IF(J56="convert",Assumptions!$B$36,0)+IF(J57="convert",Assumptions!$B$35,0))))))*J18,"preference","convert")</f>
        <v/>
      </c>
    </row>
    <row r="62">
      <c r="A62" t="inlineStr">
        <is>
          <t xml:space="preserve">  C</t>
        </is>
      </c>
      <c r="B62">
        <f>IF((Assumptions!$B$38*Assumptions!$B$17)&gt;(IF((((Assumptions!$B$49-(IF(B51="preference",Assumptions!$B$3,0)+IF(B52="preference",(Assumptions!$B$34*Assumptions!$B$20),0)+IF(B53="preference",(Assumptions!$B$33*Assumptions!$B$19),0)+IF(B55="preference",(Assumptions!$B$37*Assumptions!$B$16),0)+IF(B56="preference",(Assumptions!$B$36*Assumptions!$B$15),0)+IF(B57="preference",(Assumptions!$B$35*Assumptions!$B$14),0))))+Assumptions!$B$30*Assumptions!$B$21)/(((B32+Assumptions!$B$38+(IF(B51="convert",B13,0)+IF(B52="convert",B19,0)+IF(B53="convert",B18,0)+IF(B55="convert",Assumptions!$B$37,0)+IF(B56="convert",Assumptions!$B$36,0)+IF(B57="convert",Assumptions!$B$35,0))))+Assumptions!$B$30)&gt;Assumptions!$B$21,(((Assumptions!$B$49-(IF(B51="preference",Assumptions!$B$3,0)+IF(B52="preference",(Assumptions!$B$34*Assumptions!$B$20),0)+IF(B53="preference",(Assumptions!$B$33*Assumptions!$B$19),0)+IF(B55="preference",(Assumptions!$B$37*Assumptions!$B$16),0)+IF(B56="preference",(Assumptions!$B$36*Assumptions!$B$15),0)+IF(B57="preference",(Assumptions!$B$35*Assumptions!$B$14),0))))+Assumptions!$B$30*Assumptions!$B$21)/(((B32+Assumptions!$B$38+(IF(B51="convert",B13,0)+IF(B52="convert",B19,0)+IF(B53="convert",B18,0)+IF(B55="convert",Assumptions!$B$37,0)+IF(B56="convert",Assumptions!$B$36,0)+IF(B57="convert",Assumptions!$B$35,0))))+Assumptions!$B$30),((Assumptions!$B$49-(IF(B51="preference",Assumptions!$B$3,0)+IF(B52="preference",(Assumptions!$B$34*Assumptions!$B$20),0)+IF(B53="preference",(Assumptions!$B$33*Assumptions!$B$19),0)+IF(B55="preference",(Assumptions!$B$37*Assumptions!$B$16),0)+IF(B56="preference",(Assumptions!$B$36*Assumptions!$B$15),0)+IF(B57="preference",(Assumptions!$B$35*Assumptions!$B$14),0))))/((B32+Assumptions!$B$38+(IF(B51="convert",B13,0)+IF(B52="convert",B19,0)+IF(B53="convert",B18,0)+IF(B55="convert",Assumptions!$B$37,0)+IF(B56="convert",Assumptions!$B$36,0)+IF(B57="convert",Assumptions!$B$35,0))))))*Assumptions!$B$38,"preference","convert")</f>
        <v/>
      </c>
      <c r="C62">
        <f>IF((Assumptions!$B$38*Assumptions!$B$17)&gt;(IF((((Assumptions!$B$49-(IF(C51="preference",Assumptions!$B$3,0)+IF(C52="preference",(Assumptions!$B$34*Assumptions!$B$20),0)+IF(C53="preference",(Assumptions!$B$33*Assumptions!$B$19),0)+IF(C55="preference",(Assumptions!$B$37*Assumptions!$B$16),0)+IF(C56="preference",(Assumptions!$B$36*Assumptions!$B$15),0)+IF(C57="preference",(Assumptions!$B$35*Assumptions!$B$14),0))))+Assumptions!$B$30*Assumptions!$B$21)/(((C32+Assumptions!$B$38+(IF(C51="convert",C13,0)+IF(C52="convert",C19,0)+IF(C53="convert",C18,0)+IF(C55="convert",Assumptions!$B$37,0)+IF(C56="convert",Assumptions!$B$36,0)+IF(C57="convert",Assumptions!$B$35,0))))+Assumptions!$B$30)&gt;Assumptions!$B$21,(((Assumptions!$B$49-(IF(C51="preference",Assumptions!$B$3,0)+IF(C52="preference",(Assumptions!$B$34*Assumptions!$B$20),0)+IF(C53="preference",(Assumptions!$B$33*Assumptions!$B$19),0)+IF(C55="preference",(Assumptions!$B$37*Assumptions!$B$16),0)+IF(C56="preference",(Assumptions!$B$36*Assumptions!$B$15),0)+IF(C57="preference",(Assumptions!$B$35*Assumptions!$B$14),0))))+Assumptions!$B$30*Assumptions!$B$21)/(((C32+Assumptions!$B$38+(IF(C51="convert",C13,0)+IF(C52="convert",C19,0)+IF(C53="convert",C18,0)+IF(C55="convert",Assumptions!$B$37,0)+IF(C56="convert",Assumptions!$B$36,0)+IF(C57="convert",Assumptions!$B$35,0))))+Assumptions!$B$30),((Assumptions!$B$49-(IF(C51="preference",Assumptions!$B$3,0)+IF(C52="preference",(Assumptions!$B$34*Assumptions!$B$20),0)+IF(C53="preference",(Assumptions!$B$33*Assumptions!$B$19),0)+IF(C55="preference",(Assumptions!$B$37*Assumptions!$B$16),0)+IF(C56="preference",(Assumptions!$B$36*Assumptions!$B$15),0)+IF(C57="preference",(Assumptions!$B$35*Assumptions!$B$14),0))))/((C32+Assumptions!$B$38+(IF(C51="convert",C13,0)+IF(C52="convert",C19,0)+IF(C53="convert",C18,0)+IF(C55="convert",Assumptions!$B$37,0)+IF(C56="convert",Assumptions!$B$36,0)+IF(C57="convert",Assumptions!$B$35,0))))))*Assumptions!$B$38,"preference","convert")</f>
        <v/>
      </c>
      <c r="D62">
        <f>IF((Assumptions!$B$38*Assumptions!$B$17)&gt;(IF((((Assumptions!$B$49-(IF(D51="preference",Assumptions!$B$3,0)+IF(D52="preference",(Assumptions!$B$34*Assumptions!$B$20),0)+IF(D53="preference",(Assumptions!$B$33*Assumptions!$B$19),0)+IF(D55="preference",(Assumptions!$B$37*Assumptions!$B$16),0)+IF(D56="preference",(Assumptions!$B$36*Assumptions!$B$15),0)+IF(D57="preference",(Assumptions!$B$35*Assumptions!$B$14),0))))+Assumptions!$B$30*Assumptions!$B$21)/(((D32+Assumptions!$B$38+(IF(D51="convert",D13,0)+IF(D52="convert",D19,0)+IF(D53="convert",D18,0)+IF(D55="convert",Assumptions!$B$37,0)+IF(D56="convert",Assumptions!$B$36,0)+IF(D57="convert",Assumptions!$B$35,0))))+Assumptions!$B$30)&gt;Assumptions!$B$21,(((Assumptions!$B$49-(IF(D51="preference",Assumptions!$B$3,0)+IF(D52="preference",(Assumptions!$B$34*Assumptions!$B$20),0)+IF(D53="preference",(Assumptions!$B$33*Assumptions!$B$19),0)+IF(D55="preference",(Assumptions!$B$37*Assumptions!$B$16),0)+IF(D56="preference",(Assumptions!$B$36*Assumptions!$B$15),0)+IF(D57="preference",(Assumptions!$B$35*Assumptions!$B$14),0))))+Assumptions!$B$30*Assumptions!$B$21)/(((D32+Assumptions!$B$38+(IF(D51="convert",D13,0)+IF(D52="convert",D19,0)+IF(D53="convert",D18,0)+IF(D55="convert",Assumptions!$B$37,0)+IF(D56="convert",Assumptions!$B$36,0)+IF(D57="convert",Assumptions!$B$35,0))))+Assumptions!$B$30),((Assumptions!$B$49-(IF(D51="preference",Assumptions!$B$3,0)+IF(D52="preference",(Assumptions!$B$34*Assumptions!$B$20),0)+IF(D53="preference",(Assumptions!$B$33*Assumptions!$B$19),0)+IF(D55="preference",(Assumptions!$B$37*Assumptions!$B$16),0)+IF(D56="preference",(Assumptions!$B$36*Assumptions!$B$15),0)+IF(D57="preference",(Assumptions!$B$35*Assumptions!$B$14),0))))/((D32+Assumptions!$B$38+(IF(D51="convert",D13,0)+IF(D52="convert",D19,0)+IF(D53="convert",D18,0)+IF(D55="convert",Assumptions!$B$37,0)+IF(D56="convert",Assumptions!$B$36,0)+IF(D57="convert",Assumptions!$B$35,0))))))*Assumptions!$B$38,"preference","convert")</f>
        <v/>
      </c>
      <c r="E62">
        <f>IF((Assumptions!$B$38*Assumptions!$B$17)&gt;(IF((((Assumptions!$B$49-(IF(E51="preference",Assumptions!$B$3,0)+IF(E52="preference",(Assumptions!$B$34*Assumptions!$B$20),0)+IF(E53="preference",(Assumptions!$B$33*Assumptions!$B$19),0)+IF(E55="preference",(Assumptions!$B$37*Assumptions!$B$16),0)+IF(E56="preference",(Assumptions!$B$36*Assumptions!$B$15),0)+IF(E57="preference",(Assumptions!$B$35*Assumptions!$B$14),0))))+Assumptions!$B$30*Assumptions!$B$21)/(((E32+Assumptions!$B$38+(IF(E51="convert",E13,0)+IF(E52="convert",E19,0)+IF(E53="convert",E18,0)+IF(E55="convert",Assumptions!$B$37,0)+IF(E56="convert",Assumptions!$B$36,0)+IF(E57="convert",Assumptions!$B$35,0))))+Assumptions!$B$30)&gt;Assumptions!$B$21,(((Assumptions!$B$49-(IF(E51="preference",Assumptions!$B$3,0)+IF(E52="preference",(Assumptions!$B$34*Assumptions!$B$20),0)+IF(E53="preference",(Assumptions!$B$33*Assumptions!$B$19),0)+IF(E55="preference",(Assumptions!$B$37*Assumptions!$B$16),0)+IF(E56="preference",(Assumptions!$B$36*Assumptions!$B$15),0)+IF(E57="preference",(Assumptions!$B$35*Assumptions!$B$14),0))))+Assumptions!$B$30*Assumptions!$B$21)/(((E32+Assumptions!$B$38+(IF(E51="convert",E13,0)+IF(E52="convert",E19,0)+IF(E53="convert",E18,0)+IF(E55="convert",Assumptions!$B$37,0)+IF(E56="convert",Assumptions!$B$36,0)+IF(E57="convert",Assumptions!$B$35,0))))+Assumptions!$B$30),((Assumptions!$B$49-(IF(E51="preference",Assumptions!$B$3,0)+IF(E52="preference",(Assumptions!$B$34*Assumptions!$B$20),0)+IF(E53="preference",(Assumptions!$B$33*Assumptions!$B$19),0)+IF(E55="preference",(Assumptions!$B$37*Assumptions!$B$16),0)+IF(E56="preference",(Assumptions!$B$36*Assumptions!$B$15),0)+IF(E57="preference",(Assumptions!$B$35*Assumptions!$B$14),0))))/((E32+Assumptions!$B$38+(IF(E51="convert",E13,0)+IF(E52="convert",E19,0)+IF(E53="convert",E18,0)+IF(E55="convert",Assumptions!$B$37,0)+IF(E56="convert",Assumptions!$B$36,0)+IF(E57="convert",Assumptions!$B$35,0))))))*Assumptions!$B$38,"preference","convert")</f>
        <v/>
      </c>
      <c r="F62">
        <f>IF((Assumptions!$B$38*Assumptions!$B$17)&gt;(IF((((Assumptions!$B$49-(IF(F51="preference",Assumptions!$B$3,0)+IF(F52="preference",(Assumptions!$B$34*Assumptions!$B$20),0)+IF(F53="preference",(Assumptions!$B$33*Assumptions!$B$19),0)+IF(F55="preference",(Assumptions!$B$37*Assumptions!$B$16),0)+IF(F56="preference",(Assumptions!$B$36*Assumptions!$B$15),0)+IF(F57="preference",(Assumptions!$B$35*Assumptions!$B$14),0))))+Assumptions!$B$30*Assumptions!$B$21)/(((F32+Assumptions!$B$38+(IF(F51="convert",F13,0)+IF(F52="convert",F19,0)+IF(F53="convert",F18,0)+IF(F55="convert",Assumptions!$B$37,0)+IF(F56="convert",Assumptions!$B$36,0)+IF(F57="convert",Assumptions!$B$35,0))))+Assumptions!$B$30)&gt;Assumptions!$B$21,(((Assumptions!$B$49-(IF(F51="preference",Assumptions!$B$3,0)+IF(F52="preference",(Assumptions!$B$34*Assumptions!$B$20),0)+IF(F53="preference",(Assumptions!$B$33*Assumptions!$B$19),0)+IF(F55="preference",(Assumptions!$B$37*Assumptions!$B$16),0)+IF(F56="preference",(Assumptions!$B$36*Assumptions!$B$15),0)+IF(F57="preference",(Assumptions!$B$35*Assumptions!$B$14),0))))+Assumptions!$B$30*Assumptions!$B$21)/(((F32+Assumptions!$B$38+(IF(F51="convert",F13,0)+IF(F52="convert",F19,0)+IF(F53="convert",F18,0)+IF(F55="convert",Assumptions!$B$37,0)+IF(F56="convert",Assumptions!$B$36,0)+IF(F57="convert",Assumptions!$B$35,0))))+Assumptions!$B$30),((Assumptions!$B$49-(IF(F51="preference",Assumptions!$B$3,0)+IF(F52="preference",(Assumptions!$B$34*Assumptions!$B$20),0)+IF(F53="preference",(Assumptions!$B$33*Assumptions!$B$19),0)+IF(F55="preference",(Assumptions!$B$37*Assumptions!$B$16),0)+IF(F56="preference",(Assumptions!$B$36*Assumptions!$B$15),0)+IF(F57="preference",(Assumptions!$B$35*Assumptions!$B$14),0))))/((F32+Assumptions!$B$38+(IF(F51="convert",F13,0)+IF(F52="convert",F19,0)+IF(F53="convert",F18,0)+IF(F55="convert",Assumptions!$B$37,0)+IF(F56="convert",Assumptions!$B$36,0)+IF(F57="convert",Assumptions!$B$35,0))))))*Assumptions!$B$38,"preference","convert")</f>
        <v/>
      </c>
      <c r="G62">
        <f>IF((Assumptions!$B$38*Assumptions!$B$17)&gt;(IF((((Assumptions!$B$49-(IF(G51="preference",Assumptions!$B$3,0)+IF(G52="preference",(Assumptions!$B$34*Assumptions!$B$20),0)+IF(G53="preference",(Assumptions!$B$33*Assumptions!$B$19),0)+IF(G55="preference",(Assumptions!$B$37*Assumptions!$B$16),0)+IF(G56="preference",(Assumptions!$B$36*Assumptions!$B$15),0)+IF(G57="preference",(Assumptions!$B$35*Assumptions!$B$14),0))))+Assumptions!$B$30*Assumptions!$B$21)/(((G32+Assumptions!$B$38+(IF(G51="convert",G13,0)+IF(G52="convert",G19,0)+IF(G53="convert",G18,0)+IF(G55="convert",Assumptions!$B$37,0)+IF(G56="convert",Assumptions!$B$36,0)+IF(G57="convert",Assumptions!$B$35,0))))+Assumptions!$B$30)&gt;Assumptions!$B$21,(((Assumptions!$B$49-(IF(G51="preference",Assumptions!$B$3,0)+IF(G52="preference",(Assumptions!$B$34*Assumptions!$B$20),0)+IF(G53="preference",(Assumptions!$B$33*Assumptions!$B$19),0)+IF(G55="preference",(Assumptions!$B$37*Assumptions!$B$16),0)+IF(G56="preference",(Assumptions!$B$36*Assumptions!$B$15),0)+IF(G57="preference",(Assumptions!$B$35*Assumptions!$B$14),0))))+Assumptions!$B$30*Assumptions!$B$21)/(((G32+Assumptions!$B$38+(IF(G51="convert",G13,0)+IF(G52="convert",G19,0)+IF(G53="convert",G18,0)+IF(G55="convert",Assumptions!$B$37,0)+IF(G56="convert",Assumptions!$B$36,0)+IF(G57="convert",Assumptions!$B$35,0))))+Assumptions!$B$30),((Assumptions!$B$49-(IF(G51="preference",Assumptions!$B$3,0)+IF(G52="preference",(Assumptions!$B$34*Assumptions!$B$20),0)+IF(G53="preference",(Assumptions!$B$33*Assumptions!$B$19),0)+IF(G55="preference",(Assumptions!$B$37*Assumptions!$B$16),0)+IF(G56="preference",(Assumptions!$B$36*Assumptions!$B$15),0)+IF(G57="preference",(Assumptions!$B$35*Assumptions!$B$14),0))))/((G32+Assumptions!$B$38+(IF(G51="convert",G13,0)+IF(G52="convert",G19,0)+IF(G53="convert",G18,0)+IF(G55="convert",Assumptions!$B$37,0)+IF(G56="convert",Assumptions!$B$36,0)+IF(G57="convert",Assumptions!$B$35,0))))))*Assumptions!$B$38,"preference","convert")</f>
        <v/>
      </c>
      <c r="H62">
        <f>IF((Assumptions!$B$38*Assumptions!$B$17)&gt;(IF((((Assumptions!$B$49-(IF(H51="preference",Assumptions!$B$3,0)+IF(H52="preference",(Assumptions!$B$34*Assumptions!$B$20),0)+IF(H53="preference",(Assumptions!$B$33*Assumptions!$B$19),0)+IF(H55="preference",(Assumptions!$B$37*Assumptions!$B$16),0)+IF(H56="preference",(Assumptions!$B$36*Assumptions!$B$15),0)+IF(H57="preference",(Assumptions!$B$35*Assumptions!$B$14),0))))+Assumptions!$B$30*Assumptions!$B$21)/(((H32+Assumptions!$B$38+(IF(H51="convert",H13,0)+IF(H52="convert",H19,0)+IF(H53="convert",H18,0)+IF(H55="convert",Assumptions!$B$37,0)+IF(H56="convert",Assumptions!$B$36,0)+IF(H57="convert",Assumptions!$B$35,0))))+Assumptions!$B$30)&gt;Assumptions!$B$21,(((Assumptions!$B$49-(IF(H51="preference",Assumptions!$B$3,0)+IF(H52="preference",(Assumptions!$B$34*Assumptions!$B$20),0)+IF(H53="preference",(Assumptions!$B$33*Assumptions!$B$19),0)+IF(H55="preference",(Assumptions!$B$37*Assumptions!$B$16),0)+IF(H56="preference",(Assumptions!$B$36*Assumptions!$B$15),0)+IF(H57="preference",(Assumptions!$B$35*Assumptions!$B$14),0))))+Assumptions!$B$30*Assumptions!$B$21)/(((H32+Assumptions!$B$38+(IF(H51="convert",H13,0)+IF(H52="convert",H19,0)+IF(H53="convert",H18,0)+IF(H55="convert",Assumptions!$B$37,0)+IF(H56="convert",Assumptions!$B$36,0)+IF(H57="convert",Assumptions!$B$35,0))))+Assumptions!$B$30),((Assumptions!$B$49-(IF(H51="preference",Assumptions!$B$3,0)+IF(H52="preference",(Assumptions!$B$34*Assumptions!$B$20),0)+IF(H53="preference",(Assumptions!$B$33*Assumptions!$B$19),0)+IF(H55="preference",(Assumptions!$B$37*Assumptions!$B$16),0)+IF(H56="preference",(Assumptions!$B$36*Assumptions!$B$15),0)+IF(H57="preference",(Assumptions!$B$35*Assumptions!$B$14),0))))/((H32+Assumptions!$B$38+(IF(H51="convert",H13,0)+IF(H52="convert",H19,0)+IF(H53="convert",H18,0)+IF(H55="convert",Assumptions!$B$37,0)+IF(H56="convert",Assumptions!$B$36,0)+IF(H57="convert",Assumptions!$B$35,0))))))*Assumptions!$B$38,"preference","convert")</f>
        <v/>
      </c>
      <c r="I62">
        <f>IF((Assumptions!$B$38*Assumptions!$B$17)&gt;(IF((((Assumptions!$B$49-(IF(I51="preference",Assumptions!$B$3,0)+IF(I52="preference",(Assumptions!$B$34*Assumptions!$B$20),0)+IF(I53="preference",(Assumptions!$B$33*Assumptions!$B$19),0)+IF(I55="preference",(Assumptions!$B$37*Assumptions!$B$16),0)+IF(I56="preference",(Assumptions!$B$36*Assumptions!$B$15),0)+IF(I57="preference",(Assumptions!$B$35*Assumptions!$B$14),0))))+Assumptions!$B$30*Assumptions!$B$21)/(((I32+Assumptions!$B$38+(IF(I51="convert",I13,0)+IF(I52="convert",I19,0)+IF(I53="convert",I18,0)+IF(I55="convert",Assumptions!$B$37,0)+IF(I56="convert",Assumptions!$B$36,0)+IF(I57="convert",Assumptions!$B$35,0))))+Assumptions!$B$30)&gt;Assumptions!$B$21,(((Assumptions!$B$49-(IF(I51="preference",Assumptions!$B$3,0)+IF(I52="preference",(Assumptions!$B$34*Assumptions!$B$20),0)+IF(I53="preference",(Assumptions!$B$33*Assumptions!$B$19),0)+IF(I55="preference",(Assumptions!$B$37*Assumptions!$B$16),0)+IF(I56="preference",(Assumptions!$B$36*Assumptions!$B$15),0)+IF(I57="preference",(Assumptions!$B$35*Assumptions!$B$14),0))))+Assumptions!$B$30*Assumptions!$B$21)/(((I32+Assumptions!$B$38+(IF(I51="convert",I13,0)+IF(I52="convert",I19,0)+IF(I53="convert",I18,0)+IF(I55="convert",Assumptions!$B$37,0)+IF(I56="convert",Assumptions!$B$36,0)+IF(I57="convert",Assumptions!$B$35,0))))+Assumptions!$B$30),((Assumptions!$B$49-(IF(I51="preference",Assumptions!$B$3,0)+IF(I52="preference",(Assumptions!$B$34*Assumptions!$B$20),0)+IF(I53="preference",(Assumptions!$B$33*Assumptions!$B$19),0)+IF(I55="preference",(Assumptions!$B$37*Assumptions!$B$16),0)+IF(I56="preference",(Assumptions!$B$36*Assumptions!$B$15),0)+IF(I57="preference",(Assumptions!$B$35*Assumptions!$B$14),0))))/((I32+Assumptions!$B$38+(IF(I51="convert",I13,0)+IF(I52="convert",I19,0)+IF(I53="convert",I18,0)+IF(I55="convert",Assumptions!$B$37,0)+IF(I56="convert",Assumptions!$B$36,0)+IF(I57="convert",Assumptions!$B$35,0))))))*Assumptions!$B$38,"preference","convert")</f>
        <v/>
      </c>
      <c r="J62">
        <f>IF((Assumptions!$B$38*Assumptions!$B$17)&gt;(IF((((Assumptions!$B$49-(IF(J51="preference",Assumptions!$B$3,0)+IF(J52="preference",(Assumptions!$B$34*Assumptions!$B$20),0)+IF(J53="preference",(Assumptions!$B$33*Assumptions!$B$19),0)+IF(J55="preference",(Assumptions!$B$37*Assumptions!$B$16),0)+IF(J56="preference",(Assumptions!$B$36*Assumptions!$B$15),0)+IF(J57="preference",(Assumptions!$B$35*Assumptions!$B$14),0))))+Assumptions!$B$30*Assumptions!$B$21)/(((J32+Assumptions!$B$38+(IF(J51="convert",J13,0)+IF(J52="convert",J19,0)+IF(J53="convert",J18,0)+IF(J55="convert",Assumptions!$B$37,0)+IF(J56="convert",Assumptions!$B$36,0)+IF(J57="convert",Assumptions!$B$35,0))))+Assumptions!$B$30)&gt;Assumptions!$B$21,(((Assumptions!$B$49-(IF(J51="preference",Assumptions!$B$3,0)+IF(J52="preference",(Assumptions!$B$34*Assumptions!$B$20),0)+IF(J53="preference",(Assumptions!$B$33*Assumptions!$B$19),0)+IF(J55="preference",(Assumptions!$B$37*Assumptions!$B$16),0)+IF(J56="preference",(Assumptions!$B$36*Assumptions!$B$15),0)+IF(J57="preference",(Assumptions!$B$35*Assumptions!$B$14),0))))+Assumptions!$B$30*Assumptions!$B$21)/(((J32+Assumptions!$B$38+(IF(J51="convert",J13,0)+IF(J52="convert",J19,0)+IF(J53="convert",J18,0)+IF(J55="convert",Assumptions!$B$37,0)+IF(J56="convert",Assumptions!$B$36,0)+IF(J57="convert",Assumptions!$B$35,0))))+Assumptions!$B$30),((Assumptions!$B$49-(IF(J51="preference",Assumptions!$B$3,0)+IF(J52="preference",(Assumptions!$B$34*Assumptions!$B$20),0)+IF(J53="preference",(Assumptions!$B$33*Assumptions!$B$19),0)+IF(J55="preference",(Assumptions!$B$37*Assumptions!$B$16),0)+IF(J56="preference",(Assumptions!$B$36*Assumptions!$B$15),0)+IF(J57="preference",(Assumptions!$B$35*Assumptions!$B$14),0))))/((J32+Assumptions!$B$38+(IF(J51="convert",J13,0)+IF(J52="convert",J19,0)+IF(J53="convert",J18,0)+IF(J55="convert",Assumptions!$B$37,0)+IF(J56="convert",Assumptions!$B$36,0)+IF(J57="convert",Assumptions!$B$35,0))))))*Assumptions!$B$38,"preference","convert")</f>
        <v/>
      </c>
    </row>
    <row r="63">
      <c r="A63" t="inlineStr">
        <is>
          <t xml:space="preserve">  B</t>
        </is>
      </c>
      <c r="B63">
        <f>IF((Assumptions!$B$37*Assumptions!$B$16)&gt;(IF((((Assumptions!$B$49-(IF(B51="preference",Assumptions!$B$3,0)+IF(B52="preference",(Assumptions!$B$34*Assumptions!$B$20),0)+IF(B53="preference",(Assumptions!$B$33*Assumptions!$B$19),0)+IF(B54="preference",(Assumptions!$B$38*Assumptions!$B$17),0)+IF(B56="preference",(Assumptions!$B$36*Assumptions!$B$15),0)+IF(B57="preference",(Assumptions!$B$35*Assumptions!$B$14),0))))+Assumptions!$B$30*Assumptions!$B$21)/(((B32+Assumptions!$B$37+(IF(B51="convert",B13,0)+IF(B52="convert",B19,0)+IF(B53="convert",B18,0)+IF(B54="convert",Assumptions!$B$38,0)+IF(B56="convert",Assumptions!$B$36,0)+IF(B57="convert",Assumptions!$B$35,0))))+Assumptions!$B$30)&gt;Assumptions!$B$21,(((Assumptions!$B$49-(IF(B51="preference",Assumptions!$B$3,0)+IF(B52="preference",(Assumptions!$B$34*Assumptions!$B$20),0)+IF(B53="preference",(Assumptions!$B$33*Assumptions!$B$19),0)+IF(B54="preference",(Assumptions!$B$38*Assumptions!$B$17),0)+IF(B56="preference",(Assumptions!$B$36*Assumptions!$B$15),0)+IF(B57="preference",(Assumptions!$B$35*Assumptions!$B$14),0))))+Assumptions!$B$30*Assumptions!$B$21)/(((B32+Assumptions!$B$37+(IF(B51="convert",B13,0)+IF(B52="convert",B19,0)+IF(B53="convert",B18,0)+IF(B54="convert",Assumptions!$B$38,0)+IF(B56="convert",Assumptions!$B$36,0)+IF(B57="convert",Assumptions!$B$35,0))))+Assumptions!$B$30),((Assumptions!$B$49-(IF(B51="preference",Assumptions!$B$3,0)+IF(B52="preference",(Assumptions!$B$34*Assumptions!$B$20),0)+IF(B53="preference",(Assumptions!$B$33*Assumptions!$B$19),0)+IF(B54="preference",(Assumptions!$B$38*Assumptions!$B$17),0)+IF(B56="preference",(Assumptions!$B$36*Assumptions!$B$15),0)+IF(B57="preference",(Assumptions!$B$35*Assumptions!$B$14),0))))/((B32+Assumptions!$B$37+(IF(B51="convert",B13,0)+IF(B52="convert",B19,0)+IF(B53="convert",B18,0)+IF(B54="convert",Assumptions!$B$38,0)+IF(B56="convert",Assumptions!$B$36,0)+IF(B57="convert",Assumptions!$B$35,0))))))*Assumptions!$B$37,"preference","convert")</f>
        <v/>
      </c>
      <c r="C63">
        <f>IF((Assumptions!$B$37*Assumptions!$B$16)&gt;(IF((((Assumptions!$B$49-(IF(C51="preference",Assumptions!$B$3,0)+IF(C52="preference",(Assumptions!$B$34*Assumptions!$B$20),0)+IF(C53="preference",(Assumptions!$B$33*Assumptions!$B$19),0)+IF(C54="preference",(Assumptions!$B$38*Assumptions!$B$17),0)+IF(C56="preference",(Assumptions!$B$36*Assumptions!$B$15),0)+IF(C57="preference",(Assumptions!$B$35*Assumptions!$B$14),0))))+Assumptions!$B$30*Assumptions!$B$21)/(((C32+Assumptions!$B$37+(IF(C51="convert",C13,0)+IF(C52="convert",C19,0)+IF(C53="convert",C18,0)+IF(C54="convert",Assumptions!$B$38,0)+IF(C56="convert",Assumptions!$B$36,0)+IF(C57="convert",Assumptions!$B$35,0))))+Assumptions!$B$30)&gt;Assumptions!$B$21,(((Assumptions!$B$49-(IF(C51="preference",Assumptions!$B$3,0)+IF(C52="preference",(Assumptions!$B$34*Assumptions!$B$20),0)+IF(C53="preference",(Assumptions!$B$33*Assumptions!$B$19),0)+IF(C54="preference",(Assumptions!$B$38*Assumptions!$B$17),0)+IF(C56="preference",(Assumptions!$B$36*Assumptions!$B$15),0)+IF(C57="preference",(Assumptions!$B$35*Assumptions!$B$14),0))))+Assumptions!$B$30*Assumptions!$B$21)/(((C32+Assumptions!$B$37+(IF(C51="convert",C13,0)+IF(C52="convert",C19,0)+IF(C53="convert",C18,0)+IF(C54="convert",Assumptions!$B$38,0)+IF(C56="convert",Assumptions!$B$36,0)+IF(C57="convert",Assumptions!$B$35,0))))+Assumptions!$B$30),((Assumptions!$B$49-(IF(C51="preference",Assumptions!$B$3,0)+IF(C52="preference",(Assumptions!$B$34*Assumptions!$B$20),0)+IF(C53="preference",(Assumptions!$B$33*Assumptions!$B$19),0)+IF(C54="preference",(Assumptions!$B$38*Assumptions!$B$17),0)+IF(C56="preference",(Assumptions!$B$36*Assumptions!$B$15),0)+IF(C57="preference",(Assumptions!$B$35*Assumptions!$B$14),0))))/((C32+Assumptions!$B$37+(IF(C51="convert",C13,0)+IF(C52="convert",C19,0)+IF(C53="convert",C18,0)+IF(C54="convert",Assumptions!$B$38,0)+IF(C56="convert",Assumptions!$B$36,0)+IF(C57="convert",Assumptions!$B$35,0))))))*Assumptions!$B$37,"preference","convert")</f>
        <v/>
      </c>
      <c r="D63">
        <f>IF((Assumptions!$B$37*Assumptions!$B$16)&gt;(IF((((Assumptions!$B$49-(IF(D51="preference",Assumptions!$B$3,0)+IF(D52="preference",(Assumptions!$B$34*Assumptions!$B$20),0)+IF(D53="preference",(Assumptions!$B$33*Assumptions!$B$19),0)+IF(D54="preference",(Assumptions!$B$38*Assumptions!$B$17),0)+IF(D56="preference",(Assumptions!$B$36*Assumptions!$B$15),0)+IF(D57="preference",(Assumptions!$B$35*Assumptions!$B$14),0))))+Assumptions!$B$30*Assumptions!$B$21)/(((D32+Assumptions!$B$37+(IF(D51="convert",D13,0)+IF(D52="convert",D19,0)+IF(D53="convert",D18,0)+IF(D54="convert",Assumptions!$B$38,0)+IF(D56="convert",Assumptions!$B$36,0)+IF(D57="convert",Assumptions!$B$35,0))))+Assumptions!$B$30)&gt;Assumptions!$B$21,(((Assumptions!$B$49-(IF(D51="preference",Assumptions!$B$3,0)+IF(D52="preference",(Assumptions!$B$34*Assumptions!$B$20),0)+IF(D53="preference",(Assumptions!$B$33*Assumptions!$B$19),0)+IF(D54="preference",(Assumptions!$B$38*Assumptions!$B$17),0)+IF(D56="preference",(Assumptions!$B$36*Assumptions!$B$15),0)+IF(D57="preference",(Assumptions!$B$35*Assumptions!$B$14),0))))+Assumptions!$B$30*Assumptions!$B$21)/(((D32+Assumptions!$B$37+(IF(D51="convert",D13,0)+IF(D52="convert",D19,0)+IF(D53="convert",D18,0)+IF(D54="convert",Assumptions!$B$38,0)+IF(D56="convert",Assumptions!$B$36,0)+IF(D57="convert",Assumptions!$B$35,0))))+Assumptions!$B$30),((Assumptions!$B$49-(IF(D51="preference",Assumptions!$B$3,0)+IF(D52="preference",(Assumptions!$B$34*Assumptions!$B$20),0)+IF(D53="preference",(Assumptions!$B$33*Assumptions!$B$19),0)+IF(D54="preference",(Assumptions!$B$38*Assumptions!$B$17),0)+IF(D56="preference",(Assumptions!$B$36*Assumptions!$B$15),0)+IF(D57="preference",(Assumptions!$B$35*Assumptions!$B$14),0))))/((D32+Assumptions!$B$37+(IF(D51="convert",D13,0)+IF(D52="convert",D19,0)+IF(D53="convert",D18,0)+IF(D54="convert",Assumptions!$B$38,0)+IF(D56="convert",Assumptions!$B$36,0)+IF(D57="convert",Assumptions!$B$35,0))))))*Assumptions!$B$37,"preference","convert")</f>
        <v/>
      </c>
      <c r="E63">
        <f>IF((Assumptions!$B$37*Assumptions!$B$16)&gt;(IF((((Assumptions!$B$49-(IF(E51="preference",Assumptions!$B$3,0)+IF(E52="preference",(Assumptions!$B$34*Assumptions!$B$20),0)+IF(E53="preference",(Assumptions!$B$33*Assumptions!$B$19),0)+IF(E54="preference",(Assumptions!$B$38*Assumptions!$B$17),0)+IF(E56="preference",(Assumptions!$B$36*Assumptions!$B$15),0)+IF(E57="preference",(Assumptions!$B$35*Assumptions!$B$14),0))))+Assumptions!$B$30*Assumptions!$B$21)/(((E32+Assumptions!$B$37+(IF(E51="convert",E13,0)+IF(E52="convert",E19,0)+IF(E53="convert",E18,0)+IF(E54="convert",Assumptions!$B$38,0)+IF(E56="convert",Assumptions!$B$36,0)+IF(E57="convert",Assumptions!$B$35,0))))+Assumptions!$B$30)&gt;Assumptions!$B$21,(((Assumptions!$B$49-(IF(E51="preference",Assumptions!$B$3,0)+IF(E52="preference",(Assumptions!$B$34*Assumptions!$B$20),0)+IF(E53="preference",(Assumptions!$B$33*Assumptions!$B$19),0)+IF(E54="preference",(Assumptions!$B$38*Assumptions!$B$17),0)+IF(E56="preference",(Assumptions!$B$36*Assumptions!$B$15),0)+IF(E57="preference",(Assumptions!$B$35*Assumptions!$B$14),0))))+Assumptions!$B$30*Assumptions!$B$21)/(((E32+Assumptions!$B$37+(IF(E51="convert",E13,0)+IF(E52="convert",E19,0)+IF(E53="convert",E18,0)+IF(E54="convert",Assumptions!$B$38,0)+IF(E56="convert",Assumptions!$B$36,0)+IF(E57="convert",Assumptions!$B$35,0))))+Assumptions!$B$30),((Assumptions!$B$49-(IF(E51="preference",Assumptions!$B$3,0)+IF(E52="preference",(Assumptions!$B$34*Assumptions!$B$20),0)+IF(E53="preference",(Assumptions!$B$33*Assumptions!$B$19),0)+IF(E54="preference",(Assumptions!$B$38*Assumptions!$B$17),0)+IF(E56="preference",(Assumptions!$B$36*Assumptions!$B$15),0)+IF(E57="preference",(Assumptions!$B$35*Assumptions!$B$14),0))))/((E32+Assumptions!$B$37+(IF(E51="convert",E13,0)+IF(E52="convert",E19,0)+IF(E53="convert",E18,0)+IF(E54="convert",Assumptions!$B$38,0)+IF(E56="convert",Assumptions!$B$36,0)+IF(E57="convert",Assumptions!$B$35,0))))))*Assumptions!$B$37,"preference","convert")</f>
        <v/>
      </c>
      <c r="F63">
        <f>IF((Assumptions!$B$37*Assumptions!$B$16)&gt;(IF((((Assumptions!$B$49-(IF(F51="preference",Assumptions!$B$3,0)+IF(F52="preference",(Assumptions!$B$34*Assumptions!$B$20),0)+IF(F53="preference",(Assumptions!$B$33*Assumptions!$B$19),0)+IF(F54="preference",(Assumptions!$B$38*Assumptions!$B$17),0)+IF(F56="preference",(Assumptions!$B$36*Assumptions!$B$15),0)+IF(F57="preference",(Assumptions!$B$35*Assumptions!$B$14),0))))+Assumptions!$B$30*Assumptions!$B$21)/(((F32+Assumptions!$B$37+(IF(F51="convert",F13,0)+IF(F52="convert",F19,0)+IF(F53="convert",F18,0)+IF(F54="convert",Assumptions!$B$38,0)+IF(F56="convert",Assumptions!$B$36,0)+IF(F57="convert",Assumptions!$B$35,0))))+Assumptions!$B$30)&gt;Assumptions!$B$21,(((Assumptions!$B$49-(IF(F51="preference",Assumptions!$B$3,0)+IF(F52="preference",(Assumptions!$B$34*Assumptions!$B$20),0)+IF(F53="preference",(Assumptions!$B$33*Assumptions!$B$19),0)+IF(F54="preference",(Assumptions!$B$38*Assumptions!$B$17),0)+IF(F56="preference",(Assumptions!$B$36*Assumptions!$B$15),0)+IF(F57="preference",(Assumptions!$B$35*Assumptions!$B$14),0))))+Assumptions!$B$30*Assumptions!$B$21)/(((F32+Assumptions!$B$37+(IF(F51="convert",F13,0)+IF(F52="convert",F19,0)+IF(F53="convert",F18,0)+IF(F54="convert",Assumptions!$B$38,0)+IF(F56="convert",Assumptions!$B$36,0)+IF(F57="convert",Assumptions!$B$35,0))))+Assumptions!$B$30),((Assumptions!$B$49-(IF(F51="preference",Assumptions!$B$3,0)+IF(F52="preference",(Assumptions!$B$34*Assumptions!$B$20),0)+IF(F53="preference",(Assumptions!$B$33*Assumptions!$B$19),0)+IF(F54="preference",(Assumptions!$B$38*Assumptions!$B$17),0)+IF(F56="preference",(Assumptions!$B$36*Assumptions!$B$15),0)+IF(F57="preference",(Assumptions!$B$35*Assumptions!$B$14),0))))/((F32+Assumptions!$B$37+(IF(F51="convert",F13,0)+IF(F52="convert",F19,0)+IF(F53="convert",F18,0)+IF(F54="convert",Assumptions!$B$38,0)+IF(F56="convert",Assumptions!$B$36,0)+IF(F57="convert",Assumptions!$B$35,0))))))*Assumptions!$B$37,"preference","convert")</f>
        <v/>
      </c>
      <c r="G63">
        <f>IF((Assumptions!$B$37*Assumptions!$B$16)&gt;(IF((((Assumptions!$B$49-(IF(G51="preference",Assumptions!$B$3,0)+IF(G52="preference",(Assumptions!$B$34*Assumptions!$B$20),0)+IF(G53="preference",(Assumptions!$B$33*Assumptions!$B$19),0)+IF(G54="preference",(Assumptions!$B$38*Assumptions!$B$17),0)+IF(G56="preference",(Assumptions!$B$36*Assumptions!$B$15),0)+IF(G57="preference",(Assumptions!$B$35*Assumptions!$B$14),0))))+Assumptions!$B$30*Assumptions!$B$21)/(((G32+Assumptions!$B$37+(IF(G51="convert",G13,0)+IF(G52="convert",G19,0)+IF(G53="convert",G18,0)+IF(G54="convert",Assumptions!$B$38,0)+IF(G56="convert",Assumptions!$B$36,0)+IF(G57="convert",Assumptions!$B$35,0))))+Assumptions!$B$30)&gt;Assumptions!$B$21,(((Assumptions!$B$49-(IF(G51="preference",Assumptions!$B$3,0)+IF(G52="preference",(Assumptions!$B$34*Assumptions!$B$20),0)+IF(G53="preference",(Assumptions!$B$33*Assumptions!$B$19),0)+IF(G54="preference",(Assumptions!$B$38*Assumptions!$B$17),0)+IF(G56="preference",(Assumptions!$B$36*Assumptions!$B$15),0)+IF(G57="preference",(Assumptions!$B$35*Assumptions!$B$14),0))))+Assumptions!$B$30*Assumptions!$B$21)/(((G32+Assumptions!$B$37+(IF(G51="convert",G13,0)+IF(G52="convert",G19,0)+IF(G53="convert",G18,0)+IF(G54="convert",Assumptions!$B$38,0)+IF(G56="convert",Assumptions!$B$36,0)+IF(G57="convert",Assumptions!$B$35,0))))+Assumptions!$B$30),((Assumptions!$B$49-(IF(G51="preference",Assumptions!$B$3,0)+IF(G52="preference",(Assumptions!$B$34*Assumptions!$B$20),0)+IF(G53="preference",(Assumptions!$B$33*Assumptions!$B$19),0)+IF(G54="preference",(Assumptions!$B$38*Assumptions!$B$17),0)+IF(G56="preference",(Assumptions!$B$36*Assumptions!$B$15),0)+IF(G57="preference",(Assumptions!$B$35*Assumptions!$B$14),0))))/((G32+Assumptions!$B$37+(IF(G51="convert",G13,0)+IF(G52="convert",G19,0)+IF(G53="convert",G18,0)+IF(G54="convert",Assumptions!$B$38,0)+IF(G56="convert",Assumptions!$B$36,0)+IF(G57="convert",Assumptions!$B$35,0))))))*Assumptions!$B$37,"preference","convert")</f>
        <v/>
      </c>
      <c r="H63">
        <f>IF((Assumptions!$B$37*Assumptions!$B$16)&gt;(IF((((Assumptions!$B$49-(IF(H51="preference",Assumptions!$B$3,0)+IF(H52="preference",(Assumptions!$B$34*Assumptions!$B$20),0)+IF(H53="preference",(Assumptions!$B$33*Assumptions!$B$19),0)+IF(H54="preference",(Assumptions!$B$38*Assumptions!$B$17),0)+IF(H56="preference",(Assumptions!$B$36*Assumptions!$B$15),0)+IF(H57="preference",(Assumptions!$B$35*Assumptions!$B$14),0))))+Assumptions!$B$30*Assumptions!$B$21)/(((H32+Assumptions!$B$37+(IF(H51="convert",H13,0)+IF(H52="convert",H19,0)+IF(H53="convert",H18,0)+IF(H54="convert",Assumptions!$B$38,0)+IF(H56="convert",Assumptions!$B$36,0)+IF(H57="convert",Assumptions!$B$35,0))))+Assumptions!$B$30)&gt;Assumptions!$B$21,(((Assumptions!$B$49-(IF(H51="preference",Assumptions!$B$3,0)+IF(H52="preference",(Assumptions!$B$34*Assumptions!$B$20),0)+IF(H53="preference",(Assumptions!$B$33*Assumptions!$B$19),0)+IF(H54="preference",(Assumptions!$B$38*Assumptions!$B$17),0)+IF(H56="preference",(Assumptions!$B$36*Assumptions!$B$15),0)+IF(H57="preference",(Assumptions!$B$35*Assumptions!$B$14),0))))+Assumptions!$B$30*Assumptions!$B$21)/(((H32+Assumptions!$B$37+(IF(H51="convert",H13,0)+IF(H52="convert",H19,0)+IF(H53="convert",H18,0)+IF(H54="convert",Assumptions!$B$38,0)+IF(H56="convert",Assumptions!$B$36,0)+IF(H57="convert",Assumptions!$B$35,0))))+Assumptions!$B$30),((Assumptions!$B$49-(IF(H51="preference",Assumptions!$B$3,0)+IF(H52="preference",(Assumptions!$B$34*Assumptions!$B$20),0)+IF(H53="preference",(Assumptions!$B$33*Assumptions!$B$19),0)+IF(H54="preference",(Assumptions!$B$38*Assumptions!$B$17),0)+IF(H56="preference",(Assumptions!$B$36*Assumptions!$B$15),0)+IF(H57="preference",(Assumptions!$B$35*Assumptions!$B$14),0))))/((H32+Assumptions!$B$37+(IF(H51="convert",H13,0)+IF(H52="convert",H19,0)+IF(H53="convert",H18,0)+IF(H54="convert",Assumptions!$B$38,0)+IF(H56="convert",Assumptions!$B$36,0)+IF(H57="convert",Assumptions!$B$35,0))))))*Assumptions!$B$37,"preference","convert")</f>
        <v/>
      </c>
      <c r="I63">
        <f>IF((Assumptions!$B$37*Assumptions!$B$16)&gt;(IF((((Assumptions!$B$49-(IF(I51="preference",Assumptions!$B$3,0)+IF(I52="preference",(Assumptions!$B$34*Assumptions!$B$20),0)+IF(I53="preference",(Assumptions!$B$33*Assumptions!$B$19),0)+IF(I54="preference",(Assumptions!$B$38*Assumptions!$B$17),0)+IF(I56="preference",(Assumptions!$B$36*Assumptions!$B$15),0)+IF(I57="preference",(Assumptions!$B$35*Assumptions!$B$14),0))))+Assumptions!$B$30*Assumptions!$B$21)/(((I32+Assumptions!$B$37+(IF(I51="convert",I13,0)+IF(I52="convert",I19,0)+IF(I53="convert",I18,0)+IF(I54="convert",Assumptions!$B$38,0)+IF(I56="convert",Assumptions!$B$36,0)+IF(I57="convert",Assumptions!$B$35,0))))+Assumptions!$B$30)&gt;Assumptions!$B$21,(((Assumptions!$B$49-(IF(I51="preference",Assumptions!$B$3,0)+IF(I52="preference",(Assumptions!$B$34*Assumptions!$B$20),0)+IF(I53="preference",(Assumptions!$B$33*Assumptions!$B$19),0)+IF(I54="preference",(Assumptions!$B$38*Assumptions!$B$17),0)+IF(I56="preference",(Assumptions!$B$36*Assumptions!$B$15),0)+IF(I57="preference",(Assumptions!$B$35*Assumptions!$B$14),0))))+Assumptions!$B$30*Assumptions!$B$21)/(((I32+Assumptions!$B$37+(IF(I51="convert",I13,0)+IF(I52="convert",I19,0)+IF(I53="convert",I18,0)+IF(I54="convert",Assumptions!$B$38,0)+IF(I56="convert",Assumptions!$B$36,0)+IF(I57="convert",Assumptions!$B$35,0))))+Assumptions!$B$30),((Assumptions!$B$49-(IF(I51="preference",Assumptions!$B$3,0)+IF(I52="preference",(Assumptions!$B$34*Assumptions!$B$20),0)+IF(I53="preference",(Assumptions!$B$33*Assumptions!$B$19),0)+IF(I54="preference",(Assumptions!$B$38*Assumptions!$B$17),0)+IF(I56="preference",(Assumptions!$B$36*Assumptions!$B$15),0)+IF(I57="preference",(Assumptions!$B$35*Assumptions!$B$14),0))))/((I32+Assumptions!$B$37+(IF(I51="convert",I13,0)+IF(I52="convert",I19,0)+IF(I53="convert",I18,0)+IF(I54="convert",Assumptions!$B$38,0)+IF(I56="convert",Assumptions!$B$36,0)+IF(I57="convert",Assumptions!$B$35,0))))))*Assumptions!$B$37,"preference","convert")</f>
        <v/>
      </c>
      <c r="J63">
        <f>IF((Assumptions!$B$37*Assumptions!$B$16)&gt;(IF((((Assumptions!$B$49-(IF(J51="preference",Assumptions!$B$3,0)+IF(J52="preference",(Assumptions!$B$34*Assumptions!$B$20),0)+IF(J53="preference",(Assumptions!$B$33*Assumptions!$B$19),0)+IF(J54="preference",(Assumptions!$B$38*Assumptions!$B$17),0)+IF(J56="preference",(Assumptions!$B$36*Assumptions!$B$15),0)+IF(J57="preference",(Assumptions!$B$35*Assumptions!$B$14),0))))+Assumptions!$B$30*Assumptions!$B$21)/(((J32+Assumptions!$B$37+(IF(J51="convert",J13,0)+IF(J52="convert",J19,0)+IF(J53="convert",J18,0)+IF(J54="convert",Assumptions!$B$38,0)+IF(J56="convert",Assumptions!$B$36,0)+IF(J57="convert",Assumptions!$B$35,0))))+Assumptions!$B$30)&gt;Assumptions!$B$21,(((Assumptions!$B$49-(IF(J51="preference",Assumptions!$B$3,0)+IF(J52="preference",(Assumptions!$B$34*Assumptions!$B$20),0)+IF(J53="preference",(Assumptions!$B$33*Assumptions!$B$19),0)+IF(J54="preference",(Assumptions!$B$38*Assumptions!$B$17),0)+IF(J56="preference",(Assumptions!$B$36*Assumptions!$B$15),0)+IF(J57="preference",(Assumptions!$B$35*Assumptions!$B$14),0))))+Assumptions!$B$30*Assumptions!$B$21)/(((J32+Assumptions!$B$37+(IF(J51="convert",J13,0)+IF(J52="convert",J19,0)+IF(J53="convert",J18,0)+IF(J54="convert",Assumptions!$B$38,0)+IF(J56="convert",Assumptions!$B$36,0)+IF(J57="convert",Assumptions!$B$35,0))))+Assumptions!$B$30),((Assumptions!$B$49-(IF(J51="preference",Assumptions!$B$3,0)+IF(J52="preference",(Assumptions!$B$34*Assumptions!$B$20),0)+IF(J53="preference",(Assumptions!$B$33*Assumptions!$B$19),0)+IF(J54="preference",(Assumptions!$B$38*Assumptions!$B$17),0)+IF(J56="preference",(Assumptions!$B$36*Assumptions!$B$15),0)+IF(J57="preference",(Assumptions!$B$35*Assumptions!$B$14),0))))/((J32+Assumptions!$B$37+(IF(J51="convert",J13,0)+IF(J52="convert",J19,0)+IF(J53="convert",J18,0)+IF(J54="convert",Assumptions!$B$38,0)+IF(J56="convert",Assumptions!$B$36,0)+IF(J57="convert",Assumptions!$B$35,0))))))*Assumptions!$B$37,"preference","convert")</f>
        <v/>
      </c>
    </row>
    <row r="64">
      <c r="A64" t="inlineStr">
        <is>
          <t xml:space="preserve">  A</t>
        </is>
      </c>
      <c r="B64">
        <f>IF((Assumptions!$B$36*Assumptions!$B$15)&gt;(IF((((Assumptions!$B$49-(IF(B51="preference",Assumptions!$B$3,0)+IF(B52="preference",(Assumptions!$B$34*Assumptions!$B$20),0)+IF(B53="preference",(Assumptions!$B$33*Assumptions!$B$19),0)+IF(B54="preference",(Assumptions!$B$38*Assumptions!$B$17),0)+IF(B55="preference",(Assumptions!$B$37*Assumptions!$B$16),0)+IF(B57="preference",(Assumptions!$B$35*Assumptions!$B$14),0))))+Assumptions!$B$30*Assumptions!$B$21)/(((B32+Assumptions!$B$36+(IF(B51="convert",B13,0)+IF(B52="convert",B19,0)+IF(B53="convert",B18,0)+IF(B54="convert",Assumptions!$B$38,0)+IF(B55="convert",Assumptions!$B$37,0)+IF(B57="convert",Assumptions!$B$35,0))))+Assumptions!$B$30)&gt;Assumptions!$B$21,(((Assumptions!$B$49-(IF(B51="preference",Assumptions!$B$3,0)+IF(B52="preference",(Assumptions!$B$34*Assumptions!$B$20),0)+IF(B53="preference",(Assumptions!$B$33*Assumptions!$B$19),0)+IF(B54="preference",(Assumptions!$B$38*Assumptions!$B$17),0)+IF(B55="preference",(Assumptions!$B$37*Assumptions!$B$16),0)+IF(B57="preference",(Assumptions!$B$35*Assumptions!$B$14),0))))+Assumptions!$B$30*Assumptions!$B$21)/(((B32+Assumptions!$B$36+(IF(B51="convert",B13,0)+IF(B52="convert",B19,0)+IF(B53="convert",B18,0)+IF(B54="convert",Assumptions!$B$38,0)+IF(B55="convert",Assumptions!$B$37,0)+IF(B57="convert",Assumptions!$B$35,0))))+Assumptions!$B$30),((Assumptions!$B$49-(IF(B51="preference",Assumptions!$B$3,0)+IF(B52="preference",(Assumptions!$B$34*Assumptions!$B$20),0)+IF(B53="preference",(Assumptions!$B$33*Assumptions!$B$19),0)+IF(B54="preference",(Assumptions!$B$38*Assumptions!$B$17),0)+IF(B55="preference",(Assumptions!$B$37*Assumptions!$B$16),0)+IF(B57="preference",(Assumptions!$B$35*Assumptions!$B$14),0))))/((B32+Assumptions!$B$36+(IF(B51="convert",B13,0)+IF(B52="convert",B19,0)+IF(B53="convert",B18,0)+IF(B54="convert",Assumptions!$B$38,0)+IF(B55="convert",Assumptions!$B$37,0)+IF(B57="convert",Assumptions!$B$35,0))))))*Assumptions!$B$36,"preference","convert")</f>
        <v/>
      </c>
      <c r="C64">
        <f>IF((Assumptions!$B$36*Assumptions!$B$15)&gt;(IF((((Assumptions!$B$49-(IF(C51="preference",Assumptions!$B$3,0)+IF(C52="preference",(Assumptions!$B$34*Assumptions!$B$20),0)+IF(C53="preference",(Assumptions!$B$33*Assumptions!$B$19),0)+IF(C54="preference",(Assumptions!$B$38*Assumptions!$B$17),0)+IF(C55="preference",(Assumptions!$B$37*Assumptions!$B$16),0)+IF(C57="preference",(Assumptions!$B$35*Assumptions!$B$14),0))))+Assumptions!$B$30*Assumptions!$B$21)/(((C32+Assumptions!$B$36+(IF(C51="convert",C13,0)+IF(C52="convert",C19,0)+IF(C53="convert",C18,0)+IF(C54="convert",Assumptions!$B$38,0)+IF(C55="convert",Assumptions!$B$37,0)+IF(C57="convert",Assumptions!$B$35,0))))+Assumptions!$B$30)&gt;Assumptions!$B$21,(((Assumptions!$B$49-(IF(C51="preference",Assumptions!$B$3,0)+IF(C52="preference",(Assumptions!$B$34*Assumptions!$B$20),0)+IF(C53="preference",(Assumptions!$B$33*Assumptions!$B$19),0)+IF(C54="preference",(Assumptions!$B$38*Assumptions!$B$17),0)+IF(C55="preference",(Assumptions!$B$37*Assumptions!$B$16),0)+IF(C57="preference",(Assumptions!$B$35*Assumptions!$B$14),0))))+Assumptions!$B$30*Assumptions!$B$21)/(((C32+Assumptions!$B$36+(IF(C51="convert",C13,0)+IF(C52="convert",C19,0)+IF(C53="convert",C18,0)+IF(C54="convert",Assumptions!$B$38,0)+IF(C55="convert",Assumptions!$B$37,0)+IF(C57="convert",Assumptions!$B$35,0))))+Assumptions!$B$30),((Assumptions!$B$49-(IF(C51="preference",Assumptions!$B$3,0)+IF(C52="preference",(Assumptions!$B$34*Assumptions!$B$20),0)+IF(C53="preference",(Assumptions!$B$33*Assumptions!$B$19),0)+IF(C54="preference",(Assumptions!$B$38*Assumptions!$B$17),0)+IF(C55="preference",(Assumptions!$B$37*Assumptions!$B$16),0)+IF(C57="preference",(Assumptions!$B$35*Assumptions!$B$14),0))))/((C32+Assumptions!$B$36+(IF(C51="convert",C13,0)+IF(C52="convert",C19,0)+IF(C53="convert",C18,0)+IF(C54="convert",Assumptions!$B$38,0)+IF(C55="convert",Assumptions!$B$37,0)+IF(C57="convert",Assumptions!$B$35,0))))))*Assumptions!$B$36,"preference","convert")</f>
        <v/>
      </c>
      <c r="D64">
        <f>IF((Assumptions!$B$36*Assumptions!$B$15)&gt;(IF((((Assumptions!$B$49-(IF(D51="preference",Assumptions!$B$3,0)+IF(D52="preference",(Assumptions!$B$34*Assumptions!$B$20),0)+IF(D53="preference",(Assumptions!$B$33*Assumptions!$B$19),0)+IF(D54="preference",(Assumptions!$B$38*Assumptions!$B$17),0)+IF(D55="preference",(Assumptions!$B$37*Assumptions!$B$16),0)+IF(D57="preference",(Assumptions!$B$35*Assumptions!$B$14),0))))+Assumptions!$B$30*Assumptions!$B$21)/(((D32+Assumptions!$B$36+(IF(D51="convert",D13,0)+IF(D52="convert",D19,0)+IF(D53="convert",D18,0)+IF(D54="convert",Assumptions!$B$38,0)+IF(D55="convert",Assumptions!$B$37,0)+IF(D57="convert",Assumptions!$B$35,0))))+Assumptions!$B$30)&gt;Assumptions!$B$21,(((Assumptions!$B$49-(IF(D51="preference",Assumptions!$B$3,0)+IF(D52="preference",(Assumptions!$B$34*Assumptions!$B$20),0)+IF(D53="preference",(Assumptions!$B$33*Assumptions!$B$19),0)+IF(D54="preference",(Assumptions!$B$38*Assumptions!$B$17),0)+IF(D55="preference",(Assumptions!$B$37*Assumptions!$B$16),0)+IF(D57="preference",(Assumptions!$B$35*Assumptions!$B$14),0))))+Assumptions!$B$30*Assumptions!$B$21)/(((D32+Assumptions!$B$36+(IF(D51="convert",D13,0)+IF(D52="convert",D19,0)+IF(D53="convert",D18,0)+IF(D54="convert",Assumptions!$B$38,0)+IF(D55="convert",Assumptions!$B$37,0)+IF(D57="convert",Assumptions!$B$35,0))))+Assumptions!$B$30),((Assumptions!$B$49-(IF(D51="preference",Assumptions!$B$3,0)+IF(D52="preference",(Assumptions!$B$34*Assumptions!$B$20),0)+IF(D53="preference",(Assumptions!$B$33*Assumptions!$B$19),0)+IF(D54="preference",(Assumptions!$B$38*Assumptions!$B$17),0)+IF(D55="preference",(Assumptions!$B$37*Assumptions!$B$16),0)+IF(D57="preference",(Assumptions!$B$35*Assumptions!$B$14),0))))/((D32+Assumptions!$B$36+(IF(D51="convert",D13,0)+IF(D52="convert",D19,0)+IF(D53="convert",D18,0)+IF(D54="convert",Assumptions!$B$38,0)+IF(D55="convert",Assumptions!$B$37,0)+IF(D57="convert",Assumptions!$B$35,0))))))*Assumptions!$B$36,"preference","convert")</f>
        <v/>
      </c>
      <c r="E64">
        <f>IF((Assumptions!$B$36*Assumptions!$B$15)&gt;(IF((((Assumptions!$B$49-(IF(E51="preference",Assumptions!$B$3,0)+IF(E52="preference",(Assumptions!$B$34*Assumptions!$B$20),0)+IF(E53="preference",(Assumptions!$B$33*Assumptions!$B$19),0)+IF(E54="preference",(Assumptions!$B$38*Assumptions!$B$17),0)+IF(E55="preference",(Assumptions!$B$37*Assumptions!$B$16),0)+IF(E57="preference",(Assumptions!$B$35*Assumptions!$B$14),0))))+Assumptions!$B$30*Assumptions!$B$21)/(((E32+Assumptions!$B$36+(IF(E51="convert",E13,0)+IF(E52="convert",E19,0)+IF(E53="convert",E18,0)+IF(E54="convert",Assumptions!$B$38,0)+IF(E55="convert",Assumptions!$B$37,0)+IF(E57="convert",Assumptions!$B$35,0))))+Assumptions!$B$30)&gt;Assumptions!$B$21,(((Assumptions!$B$49-(IF(E51="preference",Assumptions!$B$3,0)+IF(E52="preference",(Assumptions!$B$34*Assumptions!$B$20),0)+IF(E53="preference",(Assumptions!$B$33*Assumptions!$B$19),0)+IF(E54="preference",(Assumptions!$B$38*Assumptions!$B$17),0)+IF(E55="preference",(Assumptions!$B$37*Assumptions!$B$16),0)+IF(E57="preference",(Assumptions!$B$35*Assumptions!$B$14),0))))+Assumptions!$B$30*Assumptions!$B$21)/(((E32+Assumptions!$B$36+(IF(E51="convert",E13,0)+IF(E52="convert",E19,0)+IF(E53="convert",E18,0)+IF(E54="convert",Assumptions!$B$38,0)+IF(E55="convert",Assumptions!$B$37,0)+IF(E57="convert",Assumptions!$B$35,0))))+Assumptions!$B$30),((Assumptions!$B$49-(IF(E51="preference",Assumptions!$B$3,0)+IF(E52="preference",(Assumptions!$B$34*Assumptions!$B$20),0)+IF(E53="preference",(Assumptions!$B$33*Assumptions!$B$19),0)+IF(E54="preference",(Assumptions!$B$38*Assumptions!$B$17),0)+IF(E55="preference",(Assumptions!$B$37*Assumptions!$B$16),0)+IF(E57="preference",(Assumptions!$B$35*Assumptions!$B$14),0))))/((E32+Assumptions!$B$36+(IF(E51="convert",E13,0)+IF(E52="convert",E19,0)+IF(E53="convert",E18,0)+IF(E54="convert",Assumptions!$B$38,0)+IF(E55="convert",Assumptions!$B$37,0)+IF(E57="convert",Assumptions!$B$35,0))))))*Assumptions!$B$36,"preference","convert")</f>
        <v/>
      </c>
      <c r="F64">
        <f>IF((Assumptions!$B$36*Assumptions!$B$15)&gt;(IF((((Assumptions!$B$49-(IF(F51="preference",Assumptions!$B$3,0)+IF(F52="preference",(Assumptions!$B$34*Assumptions!$B$20),0)+IF(F53="preference",(Assumptions!$B$33*Assumptions!$B$19),0)+IF(F54="preference",(Assumptions!$B$38*Assumptions!$B$17),0)+IF(F55="preference",(Assumptions!$B$37*Assumptions!$B$16),0)+IF(F57="preference",(Assumptions!$B$35*Assumptions!$B$14),0))))+Assumptions!$B$30*Assumptions!$B$21)/(((F32+Assumptions!$B$36+(IF(F51="convert",F13,0)+IF(F52="convert",F19,0)+IF(F53="convert",F18,0)+IF(F54="convert",Assumptions!$B$38,0)+IF(F55="convert",Assumptions!$B$37,0)+IF(F57="convert",Assumptions!$B$35,0))))+Assumptions!$B$30)&gt;Assumptions!$B$21,(((Assumptions!$B$49-(IF(F51="preference",Assumptions!$B$3,0)+IF(F52="preference",(Assumptions!$B$34*Assumptions!$B$20),0)+IF(F53="preference",(Assumptions!$B$33*Assumptions!$B$19),0)+IF(F54="preference",(Assumptions!$B$38*Assumptions!$B$17),0)+IF(F55="preference",(Assumptions!$B$37*Assumptions!$B$16),0)+IF(F57="preference",(Assumptions!$B$35*Assumptions!$B$14),0))))+Assumptions!$B$30*Assumptions!$B$21)/(((F32+Assumptions!$B$36+(IF(F51="convert",F13,0)+IF(F52="convert",F19,0)+IF(F53="convert",F18,0)+IF(F54="convert",Assumptions!$B$38,0)+IF(F55="convert",Assumptions!$B$37,0)+IF(F57="convert",Assumptions!$B$35,0))))+Assumptions!$B$30),((Assumptions!$B$49-(IF(F51="preference",Assumptions!$B$3,0)+IF(F52="preference",(Assumptions!$B$34*Assumptions!$B$20),0)+IF(F53="preference",(Assumptions!$B$33*Assumptions!$B$19),0)+IF(F54="preference",(Assumptions!$B$38*Assumptions!$B$17),0)+IF(F55="preference",(Assumptions!$B$37*Assumptions!$B$16),0)+IF(F57="preference",(Assumptions!$B$35*Assumptions!$B$14),0))))/((F32+Assumptions!$B$36+(IF(F51="convert",F13,0)+IF(F52="convert",F19,0)+IF(F53="convert",F18,0)+IF(F54="convert",Assumptions!$B$38,0)+IF(F55="convert",Assumptions!$B$37,0)+IF(F57="convert",Assumptions!$B$35,0))))))*Assumptions!$B$36,"preference","convert")</f>
        <v/>
      </c>
      <c r="G64">
        <f>IF((Assumptions!$B$36*Assumptions!$B$15)&gt;(IF((((Assumptions!$B$49-(IF(G51="preference",Assumptions!$B$3,0)+IF(G52="preference",(Assumptions!$B$34*Assumptions!$B$20),0)+IF(G53="preference",(Assumptions!$B$33*Assumptions!$B$19),0)+IF(G54="preference",(Assumptions!$B$38*Assumptions!$B$17),0)+IF(G55="preference",(Assumptions!$B$37*Assumptions!$B$16),0)+IF(G57="preference",(Assumptions!$B$35*Assumptions!$B$14),0))))+Assumptions!$B$30*Assumptions!$B$21)/(((G32+Assumptions!$B$36+(IF(G51="convert",G13,0)+IF(G52="convert",G19,0)+IF(G53="convert",G18,0)+IF(G54="convert",Assumptions!$B$38,0)+IF(G55="convert",Assumptions!$B$37,0)+IF(G57="convert",Assumptions!$B$35,0))))+Assumptions!$B$30)&gt;Assumptions!$B$21,(((Assumptions!$B$49-(IF(G51="preference",Assumptions!$B$3,0)+IF(G52="preference",(Assumptions!$B$34*Assumptions!$B$20),0)+IF(G53="preference",(Assumptions!$B$33*Assumptions!$B$19),0)+IF(G54="preference",(Assumptions!$B$38*Assumptions!$B$17),0)+IF(G55="preference",(Assumptions!$B$37*Assumptions!$B$16),0)+IF(G57="preference",(Assumptions!$B$35*Assumptions!$B$14),0))))+Assumptions!$B$30*Assumptions!$B$21)/(((G32+Assumptions!$B$36+(IF(G51="convert",G13,0)+IF(G52="convert",G19,0)+IF(G53="convert",G18,0)+IF(G54="convert",Assumptions!$B$38,0)+IF(G55="convert",Assumptions!$B$37,0)+IF(G57="convert",Assumptions!$B$35,0))))+Assumptions!$B$30),((Assumptions!$B$49-(IF(G51="preference",Assumptions!$B$3,0)+IF(G52="preference",(Assumptions!$B$34*Assumptions!$B$20),0)+IF(G53="preference",(Assumptions!$B$33*Assumptions!$B$19),0)+IF(G54="preference",(Assumptions!$B$38*Assumptions!$B$17),0)+IF(G55="preference",(Assumptions!$B$37*Assumptions!$B$16),0)+IF(G57="preference",(Assumptions!$B$35*Assumptions!$B$14),0))))/((G32+Assumptions!$B$36+(IF(G51="convert",G13,0)+IF(G52="convert",G19,0)+IF(G53="convert",G18,0)+IF(G54="convert",Assumptions!$B$38,0)+IF(G55="convert",Assumptions!$B$37,0)+IF(G57="convert",Assumptions!$B$35,0))))))*Assumptions!$B$36,"preference","convert")</f>
        <v/>
      </c>
      <c r="H64">
        <f>IF((Assumptions!$B$36*Assumptions!$B$15)&gt;(IF((((Assumptions!$B$49-(IF(H51="preference",Assumptions!$B$3,0)+IF(H52="preference",(Assumptions!$B$34*Assumptions!$B$20),0)+IF(H53="preference",(Assumptions!$B$33*Assumptions!$B$19),0)+IF(H54="preference",(Assumptions!$B$38*Assumptions!$B$17),0)+IF(H55="preference",(Assumptions!$B$37*Assumptions!$B$16),0)+IF(H57="preference",(Assumptions!$B$35*Assumptions!$B$14),0))))+Assumptions!$B$30*Assumptions!$B$21)/(((H32+Assumptions!$B$36+(IF(H51="convert",H13,0)+IF(H52="convert",H19,0)+IF(H53="convert",H18,0)+IF(H54="convert",Assumptions!$B$38,0)+IF(H55="convert",Assumptions!$B$37,0)+IF(H57="convert",Assumptions!$B$35,0))))+Assumptions!$B$30)&gt;Assumptions!$B$21,(((Assumptions!$B$49-(IF(H51="preference",Assumptions!$B$3,0)+IF(H52="preference",(Assumptions!$B$34*Assumptions!$B$20),0)+IF(H53="preference",(Assumptions!$B$33*Assumptions!$B$19),0)+IF(H54="preference",(Assumptions!$B$38*Assumptions!$B$17),0)+IF(H55="preference",(Assumptions!$B$37*Assumptions!$B$16),0)+IF(H57="preference",(Assumptions!$B$35*Assumptions!$B$14),0))))+Assumptions!$B$30*Assumptions!$B$21)/(((H32+Assumptions!$B$36+(IF(H51="convert",H13,0)+IF(H52="convert",H19,0)+IF(H53="convert",H18,0)+IF(H54="convert",Assumptions!$B$38,0)+IF(H55="convert",Assumptions!$B$37,0)+IF(H57="convert",Assumptions!$B$35,0))))+Assumptions!$B$30),((Assumptions!$B$49-(IF(H51="preference",Assumptions!$B$3,0)+IF(H52="preference",(Assumptions!$B$34*Assumptions!$B$20),0)+IF(H53="preference",(Assumptions!$B$33*Assumptions!$B$19),0)+IF(H54="preference",(Assumptions!$B$38*Assumptions!$B$17),0)+IF(H55="preference",(Assumptions!$B$37*Assumptions!$B$16),0)+IF(H57="preference",(Assumptions!$B$35*Assumptions!$B$14),0))))/((H32+Assumptions!$B$36+(IF(H51="convert",H13,0)+IF(H52="convert",H19,0)+IF(H53="convert",H18,0)+IF(H54="convert",Assumptions!$B$38,0)+IF(H55="convert",Assumptions!$B$37,0)+IF(H57="convert",Assumptions!$B$35,0))))))*Assumptions!$B$36,"preference","convert")</f>
        <v/>
      </c>
      <c r="I64">
        <f>IF((Assumptions!$B$36*Assumptions!$B$15)&gt;(IF((((Assumptions!$B$49-(IF(I51="preference",Assumptions!$B$3,0)+IF(I52="preference",(Assumptions!$B$34*Assumptions!$B$20),0)+IF(I53="preference",(Assumptions!$B$33*Assumptions!$B$19),0)+IF(I54="preference",(Assumptions!$B$38*Assumptions!$B$17),0)+IF(I55="preference",(Assumptions!$B$37*Assumptions!$B$16),0)+IF(I57="preference",(Assumptions!$B$35*Assumptions!$B$14),0))))+Assumptions!$B$30*Assumptions!$B$21)/(((I32+Assumptions!$B$36+(IF(I51="convert",I13,0)+IF(I52="convert",I19,0)+IF(I53="convert",I18,0)+IF(I54="convert",Assumptions!$B$38,0)+IF(I55="convert",Assumptions!$B$37,0)+IF(I57="convert",Assumptions!$B$35,0))))+Assumptions!$B$30)&gt;Assumptions!$B$21,(((Assumptions!$B$49-(IF(I51="preference",Assumptions!$B$3,0)+IF(I52="preference",(Assumptions!$B$34*Assumptions!$B$20),0)+IF(I53="preference",(Assumptions!$B$33*Assumptions!$B$19),0)+IF(I54="preference",(Assumptions!$B$38*Assumptions!$B$17),0)+IF(I55="preference",(Assumptions!$B$37*Assumptions!$B$16),0)+IF(I57="preference",(Assumptions!$B$35*Assumptions!$B$14),0))))+Assumptions!$B$30*Assumptions!$B$21)/(((I32+Assumptions!$B$36+(IF(I51="convert",I13,0)+IF(I52="convert",I19,0)+IF(I53="convert",I18,0)+IF(I54="convert",Assumptions!$B$38,0)+IF(I55="convert",Assumptions!$B$37,0)+IF(I57="convert",Assumptions!$B$35,0))))+Assumptions!$B$30),((Assumptions!$B$49-(IF(I51="preference",Assumptions!$B$3,0)+IF(I52="preference",(Assumptions!$B$34*Assumptions!$B$20),0)+IF(I53="preference",(Assumptions!$B$33*Assumptions!$B$19),0)+IF(I54="preference",(Assumptions!$B$38*Assumptions!$B$17),0)+IF(I55="preference",(Assumptions!$B$37*Assumptions!$B$16),0)+IF(I57="preference",(Assumptions!$B$35*Assumptions!$B$14),0))))/((I32+Assumptions!$B$36+(IF(I51="convert",I13,0)+IF(I52="convert",I19,0)+IF(I53="convert",I18,0)+IF(I54="convert",Assumptions!$B$38,0)+IF(I55="convert",Assumptions!$B$37,0)+IF(I57="convert",Assumptions!$B$35,0))))))*Assumptions!$B$36,"preference","convert")</f>
        <v/>
      </c>
      <c r="J64">
        <f>IF((Assumptions!$B$36*Assumptions!$B$15)&gt;(IF((((Assumptions!$B$49-(IF(J51="preference",Assumptions!$B$3,0)+IF(J52="preference",(Assumptions!$B$34*Assumptions!$B$20),0)+IF(J53="preference",(Assumptions!$B$33*Assumptions!$B$19),0)+IF(J54="preference",(Assumptions!$B$38*Assumptions!$B$17),0)+IF(J55="preference",(Assumptions!$B$37*Assumptions!$B$16),0)+IF(J57="preference",(Assumptions!$B$35*Assumptions!$B$14),0))))+Assumptions!$B$30*Assumptions!$B$21)/(((J32+Assumptions!$B$36+(IF(J51="convert",J13,0)+IF(J52="convert",J19,0)+IF(J53="convert",J18,0)+IF(J54="convert",Assumptions!$B$38,0)+IF(J55="convert",Assumptions!$B$37,0)+IF(J57="convert",Assumptions!$B$35,0))))+Assumptions!$B$30)&gt;Assumptions!$B$21,(((Assumptions!$B$49-(IF(J51="preference",Assumptions!$B$3,0)+IF(J52="preference",(Assumptions!$B$34*Assumptions!$B$20),0)+IF(J53="preference",(Assumptions!$B$33*Assumptions!$B$19),0)+IF(J54="preference",(Assumptions!$B$38*Assumptions!$B$17),0)+IF(J55="preference",(Assumptions!$B$37*Assumptions!$B$16),0)+IF(J57="preference",(Assumptions!$B$35*Assumptions!$B$14),0))))+Assumptions!$B$30*Assumptions!$B$21)/(((J32+Assumptions!$B$36+(IF(J51="convert",J13,0)+IF(J52="convert",J19,0)+IF(J53="convert",J18,0)+IF(J54="convert",Assumptions!$B$38,0)+IF(J55="convert",Assumptions!$B$37,0)+IF(J57="convert",Assumptions!$B$35,0))))+Assumptions!$B$30),((Assumptions!$B$49-(IF(J51="preference",Assumptions!$B$3,0)+IF(J52="preference",(Assumptions!$B$34*Assumptions!$B$20),0)+IF(J53="preference",(Assumptions!$B$33*Assumptions!$B$19),0)+IF(J54="preference",(Assumptions!$B$38*Assumptions!$B$17),0)+IF(J55="preference",(Assumptions!$B$37*Assumptions!$B$16),0)+IF(J57="preference",(Assumptions!$B$35*Assumptions!$B$14),0))))/((J32+Assumptions!$B$36+(IF(J51="convert",J13,0)+IF(J52="convert",J19,0)+IF(J53="convert",J18,0)+IF(J54="convert",Assumptions!$B$38,0)+IF(J55="convert",Assumptions!$B$37,0)+IF(J57="convert",Assumptions!$B$35,0))))))*Assumptions!$B$36,"preference","convert")</f>
        <v/>
      </c>
    </row>
    <row r="65">
      <c r="A65" t="inlineStr">
        <is>
          <t xml:space="preserve">  Seed</t>
        </is>
      </c>
      <c r="B65">
        <f>IF((Assumptions!$B$35*Assumptions!$B$14)&gt;(IF((((Assumptions!$B$49-(IF(B51="preference",Assumptions!$B$3,0)+IF(B52="preference",(Assumptions!$B$34*Assumptions!$B$20),0)+IF(B53="preference",(Assumptions!$B$33*Assumptions!$B$19),0)+IF(B54="preference",(Assumptions!$B$38*Assumptions!$B$17),0)+IF(B55="preference",(Assumptions!$B$37*Assumptions!$B$16),0)+IF(B56="preference",(Assumptions!$B$36*Assumptions!$B$15),0))))+Assumptions!$B$30*Assumptions!$B$21)/(((B32+Assumptions!$B$35+(IF(B51="convert",B13,0)+IF(B52="convert",B19,0)+IF(B53="convert",B18,0)+IF(B54="convert",Assumptions!$B$38,0)+IF(B55="convert",Assumptions!$B$37,0)+IF(B56="convert",Assumptions!$B$36,0))))+Assumptions!$B$30)&gt;Assumptions!$B$21,(((Assumptions!$B$49-(IF(B51="preference",Assumptions!$B$3,0)+IF(B52="preference",(Assumptions!$B$34*Assumptions!$B$20),0)+IF(B53="preference",(Assumptions!$B$33*Assumptions!$B$19),0)+IF(B54="preference",(Assumptions!$B$38*Assumptions!$B$17),0)+IF(B55="preference",(Assumptions!$B$37*Assumptions!$B$16),0)+IF(B56="preference",(Assumptions!$B$36*Assumptions!$B$15),0))))+Assumptions!$B$30*Assumptions!$B$21)/(((B32+Assumptions!$B$35+(IF(B51="convert",B13,0)+IF(B52="convert",B19,0)+IF(B53="convert",B18,0)+IF(B54="convert",Assumptions!$B$38,0)+IF(B55="convert",Assumptions!$B$37,0)+IF(B56="convert",Assumptions!$B$36,0))))+Assumptions!$B$30),((Assumptions!$B$49-(IF(B51="preference",Assumptions!$B$3,0)+IF(B52="preference",(Assumptions!$B$34*Assumptions!$B$20),0)+IF(B53="preference",(Assumptions!$B$33*Assumptions!$B$19),0)+IF(B54="preference",(Assumptions!$B$38*Assumptions!$B$17),0)+IF(B55="preference",(Assumptions!$B$37*Assumptions!$B$16),0)+IF(B56="preference",(Assumptions!$B$36*Assumptions!$B$15),0))))/((B32+Assumptions!$B$35+(IF(B51="convert",B13,0)+IF(B52="convert",B19,0)+IF(B53="convert",B18,0)+IF(B54="convert",Assumptions!$B$38,0)+IF(B55="convert",Assumptions!$B$37,0)+IF(B56="convert",Assumptions!$B$36,0))))))*Assumptions!$B$35,"preference","convert")</f>
        <v/>
      </c>
      <c r="C65">
        <f>IF((Assumptions!$B$35*Assumptions!$B$14)&gt;(IF((((Assumptions!$B$49-(IF(C51="preference",Assumptions!$B$3,0)+IF(C52="preference",(Assumptions!$B$34*Assumptions!$B$20),0)+IF(C53="preference",(Assumptions!$B$33*Assumptions!$B$19),0)+IF(C54="preference",(Assumptions!$B$38*Assumptions!$B$17),0)+IF(C55="preference",(Assumptions!$B$37*Assumptions!$B$16),0)+IF(C56="preference",(Assumptions!$B$36*Assumptions!$B$15),0))))+Assumptions!$B$30*Assumptions!$B$21)/(((C32+Assumptions!$B$35+(IF(C51="convert",C13,0)+IF(C52="convert",C19,0)+IF(C53="convert",C18,0)+IF(C54="convert",Assumptions!$B$38,0)+IF(C55="convert",Assumptions!$B$37,0)+IF(C56="convert",Assumptions!$B$36,0))))+Assumptions!$B$30)&gt;Assumptions!$B$21,(((Assumptions!$B$49-(IF(C51="preference",Assumptions!$B$3,0)+IF(C52="preference",(Assumptions!$B$34*Assumptions!$B$20),0)+IF(C53="preference",(Assumptions!$B$33*Assumptions!$B$19),0)+IF(C54="preference",(Assumptions!$B$38*Assumptions!$B$17),0)+IF(C55="preference",(Assumptions!$B$37*Assumptions!$B$16),0)+IF(C56="preference",(Assumptions!$B$36*Assumptions!$B$15),0))))+Assumptions!$B$30*Assumptions!$B$21)/(((C32+Assumptions!$B$35+(IF(C51="convert",C13,0)+IF(C52="convert",C19,0)+IF(C53="convert",C18,0)+IF(C54="convert",Assumptions!$B$38,0)+IF(C55="convert",Assumptions!$B$37,0)+IF(C56="convert",Assumptions!$B$36,0))))+Assumptions!$B$30),((Assumptions!$B$49-(IF(C51="preference",Assumptions!$B$3,0)+IF(C52="preference",(Assumptions!$B$34*Assumptions!$B$20),0)+IF(C53="preference",(Assumptions!$B$33*Assumptions!$B$19),0)+IF(C54="preference",(Assumptions!$B$38*Assumptions!$B$17),0)+IF(C55="preference",(Assumptions!$B$37*Assumptions!$B$16),0)+IF(C56="preference",(Assumptions!$B$36*Assumptions!$B$15),0))))/((C32+Assumptions!$B$35+(IF(C51="convert",C13,0)+IF(C52="convert",C19,0)+IF(C53="convert",C18,0)+IF(C54="convert",Assumptions!$B$38,0)+IF(C55="convert",Assumptions!$B$37,0)+IF(C56="convert",Assumptions!$B$36,0))))))*Assumptions!$B$35,"preference","convert")</f>
        <v/>
      </c>
      <c r="D65">
        <f>IF((Assumptions!$B$35*Assumptions!$B$14)&gt;(IF((((Assumptions!$B$49-(IF(D51="preference",Assumptions!$B$3,0)+IF(D52="preference",(Assumptions!$B$34*Assumptions!$B$20),0)+IF(D53="preference",(Assumptions!$B$33*Assumptions!$B$19),0)+IF(D54="preference",(Assumptions!$B$38*Assumptions!$B$17),0)+IF(D55="preference",(Assumptions!$B$37*Assumptions!$B$16),0)+IF(D56="preference",(Assumptions!$B$36*Assumptions!$B$15),0))))+Assumptions!$B$30*Assumptions!$B$21)/(((D32+Assumptions!$B$35+(IF(D51="convert",D13,0)+IF(D52="convert",D19,0)+IF(D53="convert",D18,0)+IF(D54="convert",Assumptions!$B$38,0)+IF(D55="convert",Assumptions!$B$37,0)+IF(D56="convert",Assumptions!$B$36,0))))+Assumptions!$B$30)&gt;Assumptions!$B$21,(((Assumptions!$B$49-(IF(D51="preference",Assumptions!$B$3,0)+IF(D52="preference",(Assumptions!$B$34*Assumptions!$B$20),0)+IF(D53="preference",(Assumptions!$B$33*Assumptions!$B$19),0)+IF(D54="preference",(Assumptions!$B$38*Assumptions!$B$17),0)+IF(D55="preference",(Assumptions!$B$37*Assumptions!$B$16),0)+IF(D56="preference",(Assumptions!$B$36*Assumptions!$B$15),0))))+Assumptions!$B$30*Assumptions!$B$21)/(((D32+Assumptions!$B$35+(IF(D51="convert",D13,0)+IF(D52="convert",D19,0)+IF(D53="convert",D18,0)+IF(D54="convert",Assumptions!$B$38,0)+IF(D55="convert",Assumptions!$B$37,0)+IF(D56="convert",Assumptions!$B$36,0))))+Assumptions!$B$30),((Assumptions!$B$49-(IF(D51="preference",Assumptions!$B$3,0)+IF(D52="preference",(Assumptions!$B$34*Assumptions!$B$20),0)+IF(D53="preference",(Assumptions!$B$33*Assumptions!$B$19),0)+IF(D54="preference",(Assumptions!$B$38*Assumptions!$B$17),0)+IF(D55="preference",(Assumptions!$B$37*Assumptions!$B$16),0)+IF(D56="preference",(Assumptions!$B$36*Assumptions!$B$15),0))))/((D32+Assumptions!$B$35+(IF(D51="convert",D13,0)+IF(D52="convert",D19,0)+IF(D53="convert",D18,0)+IF(D54="convert",Assumptions!$B$38,0)+IF(D55="convert",Assumptions!$B$37,0)+IF(D56="convert",Assumptions!$B$36,0))))))*Assumptions!$B$35,"preference","convert")</f>
        <v/>
      </c>
      <c r="E65">
        <f>IF((Assumptions!$B$35*Assumptions!$B$14)&gt;(IF((((Assumptions!$B$49-(IF(E51="preference",Assumptions!$B$3,0)+IF(E52="preference",(Assumptions!$B$34*Assumptions!$B$20),0)+IF(E53="preference",(Assumptions!$B$33*Assumptions!$B$19),0)+IF(E54="preference",(Assumptions!$B$38*Assumptions!$B$17),0)+IF(E55="preference",(Assumptions!$B$37*Assumptions!$B$16),0)+IF(E56="preference",(Assumptions!$B$36*Assumptions!$B$15),0))))+Assumptions!$B$30*Assumptions!$B$21)/(((E32+Assumptions!$B$35+(IF(E51="convert",E13,0)+IF(E52="convert",E19,0)+IF(E53="convert",E18,0)+IF(E54="convert",Assumptions!$B$38,0)+IF(E55="convert",Assumptions!$B$37,0)+IF(E56="convert",Assumptions!$B$36,0))))+Assumptions!$B$30)&gt;Assumptions!$B$21,(((Assumptions!$B$49-(IF(E51="preference",Assumptions!$B$3,0)+IF(E52="preference",(Assumptions!$B$34*Assumptions!$B$20),0)+IF(E53="preference",(Assumptions!$B$33*Assumptions!$B$19),0)+IF(E54="preference",(Assumptions!$B$38*Assumptions!$B$17),0)+IF(E55="preference",(Assumptions!$B$37*Assumptions!$B$16),0)+IF(E56="preference",(Assumptions!$B$36*Assumptions!$B$15),0))))+Assumptions!$B$30*Assumptions!$B$21)/(((E32+Assumptions!$B$35+(IF(E51="convert",E13,0)+IF(E52="convert",E19,0)+IF(E53="convert",E18,0)+IF(E54="convert",Assumptions!$B$38,0)+IF(E55="convert",Assumptions!$B$37,0)+IF(E56="convert",Assumptions!$B$36,0))))+Assumptions!$B$30),((Assumptions!$B$49-(IF(E51="preference",Assumptions!$B$3,0)+IF(E52="preference",(Assumptions!$B$34*Assumptions!$B$20),0)+IF(E53="preference",(Assumptions!$B$33*Assumptions!$B$19),0)+IF(E54="preference",(Assumptions!$B$38*Assumptions!$B$17),0)+IF(E55="preference",(Assumptions!$B$37*Assumptions!$B$16),0)+IF(E56="preference",(Assumptions!$B$36*Assumptions!$B$15),0))))/((E32+Assumptions!$B$35+(IF(E51="convert",E13,0)+IF(E52="convert",E19,0)+IF(E53="convert",E18,0)+IF(E54="convert",Assumptions!$B$38,0)+IF(E55="convert",Assumptions!$B$37,0)+IF(E56="convert",Assumptions!$B$36,0))))))*Assumptions!$B$35,"preference","convert")</f>
        <v/>
      </c>
      <c r="F65">
        <f>IF((Assumptions!$B$35*Assumptions!$B$14)&gt;(IF((((Assumptions!$B$49-(IF(F51="preference",Assumptions!$B$3,0)+IF(F52="preference",(Assumptions!$B$34*Assumptions!$B$20),0)+IF(F53="preference",(Assumptions!$B$33*Assumptions!$B$19),0)+IF(F54="preference",(Assumptions!$B$38*Assumptions!$B$17),0)+IF(F55="preference",(Assumptions!$B$37*Assumptions!$B$16),0)+IF(F56="preference",(Assumptions!$B$36*Assumptions!$B$15),0))))+Assumptions!$B$30*Assumptions!$B$21)/(((F32+Assumptions!$B$35+(IF(F51="convert",F13,0)+IF(F52="convert",F19,0)+IF(F53="convert",F18,0)+IF(F54="convert",Assumptions!$B$38,0)+IF(F55="convert",Assumptions!$B$37,0)+IF(F56="convert",Assumptions!$B$36,0))))+Assumptions!$B$30)&gt;Assumptions!$B$21,(((Assumptions!$B$49-(IF(F51="preference",Assumptions!$B$3,0)+IF(F52="preference",(Assumptions!$B$34*Assumptions!$B$20),0)+IF(F53="preference",(Assumptions!$B$33*Assumptions!$B$19),0)+IF(F54="preference",(Assumptions!$B$38*Assumptions!$B$17),0)+IF(F55="preference",(Assumptions!$B$37*Assumptions!$B$16),0)+IF(F56="preference",(Assumptions!$B$36*Assumptions!$B$15),0))))+Assumptions!$B$30*Assumptions!$B$21)/(((F32+Assumptions!$B$35+(IF(F51="convert",F13,0)+IF(F52="convert",F19,0)+IF(F53="convert",F18,0)+IF(F54="convert",Assumptions!$B$38,0)+IF(F55="convert",Assumptions!$B$37,0)+IF(F56="convert",Assumptions!$B$36,0))))+Assumptions!$B$30),((Assumptions!$B$49-(IF(F51="preference",Assumptions!$B$3,0)+IF(F52="preference",(Assumptions!$B$34*Assumptions!$B$20),0)+IF(F53="preference",(Assumptions!$B$33*Assumptions!$B$19),0)+IF(F54="preference",(Assumptions!$B$38*Assumptions!$B$17),0)+IF(F55="preference",(Assumptions!$B$37*Assumptions!$B$16),0)+IF(F56="preference",(Assumptions!$B$36*Assumptions!$B$15),0))))/((F32+Assumptions!$B$35+(IF(F51="convert",F13,0)+IF(F52="convert",F19,0)+IF(F53="convert",F18,0)+IF(F54="convert",Assumptions!$B$38,0)+IF(F55="convert",Assumptions!$B$37,0)+IF(F56="convert",Assumptions!$B$36,0))))))*Assumptions!$B$35,"preference","convert")</f>
        <v/>
      </c>
      <c r="G65">
        <f>IF((Assumptions!$B$35*Assumptions!$B$14)&gt;(IF((((Assumptions!$B$49-(IF(G51="preference",Assumptions!$B$3,0)+IF(G52="preference",(Assumptions!$B$34*Assumptions!$B$20),0)+IF(G53="preference",(Assumptions!$B$33*Assumptions!$B$19),0)+IF(G54="preference",(Assumptions!$B$38*Assumptions!$B$17),0)+IF(G55="preference",(Assumptions!$B$37*Assumptions!$B$16),0)+IF(G56="preference",(Assumptions!$B$36*Assumptions!$B$15),0))))+Assumptions!$B$30*Assumptions!$B$21)/(((G32+Assumptions!$B$35+(IF(G51="convert",G13,0)+IF(G52="convert",G19,0)+IF(G53="convert",G18,0)+IF(G54="convert",Assumptions!$B$38,0)+IF(G55="convert",Assumptions!$B$37,0)+IF(G56="convert",Assumptions!$B$36,0))))+Assumptions!$B$30)&gt;Assumptions!$B$21,(((Assumptions!$B$49-(IF(G51="preference",Assumptions!$B$3,0)+IF(G52="preference",(Assumptions!$B$34*Assumptions!$B$20),0)+IF(G53="preference",(Assumptions!$B$33*Assumptions!$B$19),0)+IF(G54="preference",(Assumptions!$B$38*Assumptions!$B$17),0)+IF(G55="preference",(Assumptions!$B$37*Assumptions!$B$16),0)+IF(G56="preference",(Assumptions!$B$36*Assumptions!$B$15),0))))+Assumptions!$B$30*Assumptions!$B$21)/(((G32+Assumptions!$B$35+(IF(G51="convert",G13,0)+IF(G52="convert",G19,0)+IF(G53="convert",G18,0)+IF(G54="convert",Assumptions!$B$38,0)+IF(G55="convert",Assumptions!$B$37,0)+IF(G56="convert",Assumptions!$B$36,0))))+Assumptions!$B$30),((Assumptions!$B$49-(IF(G51="preference",Assumptions!$B$3,0)+IF(G52="preference",(Assumptions!$B$34*Assumptions!$B$20),0)+IF(G53="preference",(Assumptions!$B$33*Assumptions!$B$19),0)+IF(G54="preference",(Assumptions!$B$38*Assumptions!$B$17),0)+IF(G55="preference",(Assumptions!$B$37*Assumptions!$B$16),0)+IF(G56="preference",(Assumptions!$B$36*Assumptions!$B$15),0))))/((G32+Assumptions!$B$35+(IF(G51="convert",G13,0)+IF(G52="convert",G19,0)+IF(G53="convert",G18,0)+IF(G54="convert",Assumptions!$B$38,0)+IF(G55="convert",Assumptions!$B$37,0)+IF(G56="convert",Assumptions!$B$36,0))))))*Assumptions!$B$35,"preference","convert")</f>
        <v/>
      </c>
      <c r="H65">
        <f>IF((Assumptions!$B$35*Assumptions!$B$14)&gt;(IF((((Assumptions!$B$49-(IF(H51="preference",Assumptions!$B$3,0)+IF(H52="preference",(Assumptions!$B$34*Assumptions!$B$20),0)+IF(H53="preference",(Assumptions!$B$33*Assumptions!$B$19),0)+IF(H54="preference",(Assumptions!$B$38*Assumptions!$B$17),0)+IF(H55="preference",(Assumptions!$B$37*Assumptions!$B$16),0)+IF(H56="preference",(Assumptions!$B$36*Assumptions!$B$15),0))))+Assumptions!$B$30*Assumptions!$B$21)/(((H32+Assumptions!$B$35+(IF(H51="convert",H13,0)+IF(H52="convert",H19,0)+IF(H53="convert",H18,0)+IF(H54="convert",Assumptions!$B$38,0)+IF(H55="convert",Assumptions!$B$37,0)+IF(H56="convert",Assumptions!$B$36,0))))+Assumptions!$B$30)&gt;Assumptions!$B$21,(((Assumptions!$B$49-(IF(H51="preference",Assumptions!$B$3,0)+IF(H52="preference",(Assumptions!$B$34*Assumptions!$B$20),0)+IF(H53="preference",(Assumptions!$B$33*Assumptions!$B$19),0)+IF(H54="preference",(Assumptions!$B$38*Assumptions!$B$17),0)+IF(H55="preference",(Assumptions!$B$37*Assumptions!$B$16),0)+IF(H56="preference",(Assumptions!$B$36*Assumptions!$B$15),0))))+Assumptions!$B$30*Assumptions!$B$21)/(((H32+Assumptions!$B$35+(IF(H51="convert",H13,0)+IF(H52="convert",H19,0)+IF(H53="convert",H18,0)+IF(H54="convert",Assumptions!$B$38,0)+IF(H55="convert",Assumptions!$B$37,0)+IF(H56="convert",Assumptions!$B$36,0))))+Assumptions!$B$30),((Assumptions!$B$49-(IF(H51="preference",Assumptions!$B$3,0)+IF(H52="preference",(Assumptions!$B$34*Assumptions!$B$20),0)+IF(H53="preference",(Assumptions!$B$33*Assumptions!$B$19),0)+IF(H54="preference",(Assumptions!$B$38*Assumptions!$B$17),0)+IF(H55="preference",(Assumptions!$B$37*Assumptions!$B$16),0)+IF(H56="preference",(Assumptions!$B$36*Assumptions!$B$15),0))))/((H32+Assumptions!$B$35+(IF(H51="convert",H13,0)+IF(H52="convert",H19,0)+IF(H53="convert",H18,0)+IF(H54="convert",Assumptions!$B$38,0)+IF(H55="convert",Assumptions!$B$37,0)+IF(H56="convert",Assumptions!$B$36,0))))))*Assumptions!$B$35,"preference","convert")</f>
        <v/>
      </c>
      <c r="I65">
        <f>IF((Assumptions!$B$35*Assumptions!$B$14)&gt;(IF((((Assumptions!$B$49-(IF(I51="preference",Assumptions!$B$3,0)+IF(I52="preference",(Assumptions!$B$34*Assumptions!$B$20),0)+IF(I53="preference",(Assumptions!$B$33*Assumptions!$B$19),0)+IF(I54="preference",(Assumptions!$B$38*Assumptions!$B$17),0)+IF(I55="preference",(Assumptions!$B$37*Assumptions!$B$16),0)+IF(I56="preference",(Assumptions!$B$36*Assumptions!$B$15),0))))+Assumptions!$B$30*Assumptions!$B$21)/(((I32+Assumptions!$B$35+(IF(I51="convert",I13,0)+IF(I52="convert",I19,0)+IF(I53="convert",I18,0)+IF(I54="convert",Assumptions!$B$38,0)+IF(I55="convert",Assumptions!$B$37,0)+IF(I56="convert",Assumptions!$B$36,0))))+Assumptions!$B$30)&gt;Assumptions!$B$21,(((Assumptions!$B$49-(IF(I51="preference",Assumptions!$B$3,0)+IF(I52="preference",(Assumptions!$B$34*Assumptions!$B$20),0)+IF(I53="preference",(Assumptions!$B$33*Assumptions!$B$19),0)+IF(I54="preference",(Assumptions!$B$38*Assumptions!$B$17),0)+IF(I55="preference",(Assumptions!$B$37*Assumptions!$B$16),0)+IF(I56="preference",(Assumptions!$B$36*Assumptions!$B$15),0))))+Assumptions!$B$30*Assumptions!$B$21)/(((I32+Assumptions!$B$35+(IF(I51="convert",I13,0)+IF(I52="convert",I19,0)+IF(I53="convert",I18,0)+IF(I54="convert",Assumptions!$B$38,0)+IF(I55="convert",Assumptions!$B$37,0)+IF(I56="convert",Assumptions!$B$36,0))))+Assumptions!$B$30),((Assumptions!$B$49-(IF(I51="preference",Assumptions!$B$3,0)+IF(I52="preference",(Assumptions!$B$34*Assumptions!$B$20),0)+IF(I53="preference",(Assumptions!$B$33*Assumptions!$B$19),0)+IF(I54="preference",(Assumptions!$B$38*Assumptions!$B$17),0)+IF(I55="preference",(Assumptions!$B$37*Assumptions!$B$16),0)+IF(I56="preference",(Assumptions!$B$36*Assumptions!$B$15),0))))/((I32+Assumptions!$B$35+(IF(I51="convert",I13,0)+IF(I52="convert",I19,0)+IF(I53="convert",I18,0)+IF(I54="convert",Assumptions!$B$38,0)+IF(I55="convert",Assumptions!$B$37,0)+IF(I56="convert",Assumptions!$B$36,0))))))*Assumptions!$B$35,"preference","convert")</f>
        <v/>
      </c>
      <c r="J65">
        <f>IF((Assumptions!$B$35*Assumptions!$B$14)&gt;(IF((((Assumptions!$B$49-(IF(J51="preference",Assumptions!$B$3,0)+IF(J52="preference",(Assumptions!$B$34*Assumptions!$B$20),0)+IF(J53="preference",(Assumptions!$B$33*Assumptions!$B$19),0)+IF(J54="preference",(Assumptions!$B$38*Assumptions!$B$17),0)+IF(J55="preference",(Assumptions!$B$37*Assumptions!$B$16),0)+IF(J56="preference",(Assumptions!$B$36*Assumptions!$B$15),0))))+Assumptions!$B$30*Assumptions!$B$21)/(((J32+Assumptions!$B$35+(IF(J51="convert",J13,0)+IF(J52="convert",J19,0)+IF(J53="convert",J18,0)+IF(J54="convert",Assumptions!$B$38,0)+IF(J55="convert",Assumptions!$B$37,0)+IF(J56="convert",Assumptions!$B$36,0))))+Assumptions!$B$30)&gt;Assumptions!$B$21,(((Assumptions!$B$49-(IF(J51="preference",Assumptions!$B$3,0)+IF(J52="preference",(Assumptions!$B$34*Assumptions!$B$20),0)+IF(J53="preference",(Assumptions!$B$33*Assumptions!$B$19),0)+IF(J54="preference",(Assumptions!$B$38*Assumptions!$B$17),0)+IF(J55="preference",(Assumptions!$B$37*Assumptions!$B$16),0)+IF(J56="preference",(Assumptions!$B$36*Assumptions!$B$15),0))))+Assumptions!$B$30*Assumptions!$B$21)/(((J32+Assumptions!$B$35+(IF(J51="convert",J13,0)+IF(J52="convert",J19,0)+IF(J53="convert",J18,0)+IF(J54="convert",Assumptions!$B$38,0)+IF(J55="convert",Assumptions!$B$37,0)+IF(J56="convert",Assumptions!$B$36,0))))+Assumptions!$B$30),((Assumptions!$B$49-(IF(J51="preference",Assumptions!$B$3,0)+IF(J52="preference",(Assumptions!$B$34*Assumptions!$B$20),0)+IF(J53="preference",(Assumptions!$B$33*Assumptions!$B$19),0)+IF(J54="preference",(Assumptions!$B$38*Assumptions!$B$17),0)+IF(J55="preference",(Assumptions!$B$37*Assumptions!$B$16),0)+IF(J56="preference",(Assumptions!$B$36*Assumptions!$B$15),0))))/((J32+Assumptions!$B$35+(IF(J51="convert",J13,0)+IF(J52="convert",J19,0)+IF(J53="convert",J18,0)+IF(J54="convert",Assumptions!$B$38,0)+IF(J55="convert",Assumptions!$B$37,0)+IF(J56="convert",Assumptions!$B$36,0))))))*Assumptions!$B$35,"preference","convert")</f>
        <v/>
      </c>
    </row>
    <row r="66">
      <c r="A66" s="5" t="inlineStr">
        <is>
          <t>PASS 5 ELECTIONS @ $2B</t>
        </is>
      </c>
    </row>
    <row r="67">
      <c r="A67" t="inlineStr">
        <is>
          <t xml:space="preserve">  F</t>
        </is>
      </c>
      <c r="B67">
        <f>IF(Assumptions!$B$3&gt;(IF((((Assumptions!$B$49-(IF(B60="preference",(Assumptions!$B$34*Assumptions!$B$20),0)+IF(B61="preference",(Assumptions!$B$33*Assumptions!$B$19),0)+IF(B62="preference",(Assumptions!$B$38*Assumptions!$B$17),0)+IF(B63="preference",(Assumptions!$B$37*Assumptions!$B$16),0)+IF(B64="preference",(Assumptions!$B$36*Assumptions!$B$15),0)+IF(B65="preference",(Assumptions!$B$35*Assumptions!$B$14),0))))+Assumptions!$B$30*Assumptions!$B$21)/(((B32+B13+(IF(B60="convert",B19,0)+IF(B61="convert",B18,0)+IF(B62="convert",Assumptions!$B$38,0)+IF(B63="convert",Assumptions!$B$37,0)+IF(B64="convert",Assumptions!$B$36,0)+IF(B65="convert",Assumptions!$B$35,0))))+Assumptions!$B$30)&gt;Assumptions!$B$21,(((Assumptions!$B$49-(IF(B60="preference",(Assumptions!$B$34*Assumptions!$B$20),0)+IF(B61="preference",(Assumptions!$B$33*Assumptions!$B$19),0)+IF(B62="preference",(Assumptions!$B$38*Assumptions!$B$17),0)+IF(B63="preference",(Assumptions!$B$37*Assumptions!$B$16),0)+IF(B64="preference",(Assumptions!$B$36*Assumptions!$B$15),0)+IF(B65="preference",(Assumptions!$B$35*Assumptions!$B$14),0))))+Assumptions!$B$30*Assumptions!$B$21)/(((B32+B13+(IF(B60="convert",B19,0)+IF(B61="convert",B18,0)+IF(B62="convert",Assumptions!$B$38,0)+IF(B63="convert",Assumptions!$B$37,0)+IF(B64="convert",Assumptions!$B$36,0)+IF(B65="convert",Assumptions!$B$35,0))))+Assumptions!$B$30),((Assumptions!$B$49-(IF(B60="preference",(Assumptions!$B$34*Assumptions!$B$20),0)+IF(B61="preference",(Assumptions!$B$33*Assumptions!$B$19),0)+IF(B62="preference",(Assumptions!$B$38*Assumptions!$B$17),0)+IF(B63="preference",(Assumptions!$B$37*Assumptions!$B$16),0)+IF(B64="preference",(Assumptions!$B$36*Assumptions!$B$15),0)+IF(B65="preference",(Assumptions!$B$35*Assumptions!$B$14),0))))/((B32+B13+(IF(B60="convert",B19,0)+IF(B61="convert",B18,0)+IF(B62="convert",Assumptions!$B$38,0)+IF(B63="convert",Assumptions!$B$37,0)+IF(B64="convert",Assumptions!$B$36,0)+IF(B65="convert",Assumptions!$B$35,0))))))*B13,"preference","convert")</f>
        <v/>
      </c>
      <c r="C67">
        <f>IF(Assumptions!$B$3&gt;(IF((((Assumptions!$B$49-(IF(C60="preference",(Assumptions!$B$34*Assumptions!$B$20),0)+IF(C61="preference",(Assumptions!$B$33*Assumptions!$B$19),0)+IF(C62="preference",(Assumptions!$B$38*Assumptions!$B$17),0)+IF(C63="preference",(Assumptions!$B$37*Assumptions!$B$16),0)+IF(C64="preference",(Assumptions!$B$36*Assumptions!$B$15),0)+IF(C65="preference",(Assumptions!$B$35*Assumptions!$B$14),0))))+Assumptions!$B$30*Assumptions!$B$21)/(((C32+C13+(IF(C60="convert",C19,0)+IF(C61="convert",C18,0)+IF(C62="convert",Assumptions!$B$38,0)+IF(C63="convert",Assumptions!$B$37,0)+IF(C64="convert",Assumptions!$B$36,0)+IF(C65="convert",Assumptions!$B$35,0))))+Assumptions!$B$30)&gt;Assumptions!$B$21,(((Assumptions!$B$49-(IF(C60="preference",(Assumptions!$B$34*Assumptions!$B$20),0)+IF(C61="preference",(Assumptions!$B$33*Assumptions!$B$19),0)+IF(C62="preference",(Assumptions!$B$38*Assumptions!$B$17),0)+IF(C63="preference",(Assumptions!$B$37*Assumptions!$B$16),0)+IF(C64="preference",(Assumptions!$B$36*Assumptions!$B$15),0)+IF(C65="preference",(Assumptions!$B$35*Assumptions!$B$14),0))))+Assumptions!$B$30*Assumptions!$B$21)/(((C32+C13+(IF(C60="convert",C19,0)+IF(C61="convert",C18,0)+IF(C62="convert",Assumptions!$B$38,0)+IF(C63="convert",Assumptions!$B$37,0)+IF(C64="convert",Assumptions!$B$36,0)+IF(C65="convert",Assumptions!$B$35,0))))+Assumptions!$B$30),((Assumptions!$B$49-(IF(C60="preference",(Assumptions!$B$34*Assumptions!$B$20),0)+IF(C61="preference",(Assumptions!$B$33*Assumptions!$B$19),0)+IF(C62="preference",(Assumptions!$B$38*Assumptions!$B$17),0)+IF(C63="preference",(Assumptions!$B$37*Assumptions!$B$16),0)+IF(C64="preference",(Assumptions!$B$36*Assumptions!$B$15),0)+IF(C65="preference",(Assumptions!$B$35*Assumptions!$B$14),0))))/((C32+C13+(IF(C60="convert",C19,0)+IF(C61="convert",C18,0)+IF(C62="convert",Assumptions!$B$38,0)+IF(C63="convert",Assumptions!$B$37,0)+IF(C64="convert",Assumptions!$B$36,0)+IF(C65="convert",Assumptions!$B$35,0))))))*C13,"preference","convert")</f>
        <v/>
      </c>
      <c r="D67">
        <f>IF(Assumptions!$B$3&gt;(IF((((Assumptions!$B$49-(IF(D60="preference",(Assumptions!$B$34*Assumptions!$B$20),0)+IF(D61="preference",(Assumptions!$B$33*Assumptions!$B$19),0)+IF(D62="preference",(Assumptions!$B$38*Assumptions!$B$17),0)+IF(D63="preference",(Assumptions!$B$37*Assumptions!$B$16),0)+IF(D64="preference",(Assumptions!$B$36*Assumptions!$B$15),0)+IF(D65="preference",(Assumptions!$B$35*Assumptions!$B$14),0))))+Assumptions!$B$30*Assumptions!$B$21)/(((D32+D13+(IF(D60="convert",D19,0)+IF(D61="convert",D18,0)+IF(D62="convert",Assumptions!$B$38,0)+IF(D63="convert",Assumptions!$B$37,0)+IF(D64="convert",Assumptions!$B$36,0)+IF(D65="convert",Assumptions!$B$35,0))))+Assumptions!$B$30)&gt;Assumptions!$B$21,(((Assumptions!$B$49-(IF(D60="preference",(Assumptions!$B$34*Assumptions!$B$20),0)+IF(D61="preference",(Assumptions!$B$33*Assumptions!$B$19),0)+IF(D62="preference",(Assumptions!$B$38*Assumptions!$B$17),0)+IF(D63="preference",(Assumptions!$B$37*Assumptions!$B$16),0)+IF(D64="preference",(Assumptions!$B$36*Assumptions!$B$15),0)+IF(D65="preference",(Assumptions!$B$35*Assumptions!$B$14),0))))+Assumptions!$B$30*Assumptions!$B$21)/(((D32+D13+(IF(D60="convert",D19,0)+IF(D61="convert",D18,0)+IF(D62="convert",Assumptions!$B$38,0)+IF(D63="convert",Assumptions!$B$37,0)+IF(D64="convert",Assumptions!$B$36,0)+IF(D65="convert",Assumptions!$B$35,0))))+Assumptions!$B$30),((Assumptions!$B$49-(IF(D60="preference",(Assumptions!$B$34*Assumptions!$B$20),0)+IF(D61="preference",(Assumptions!$B$33*Assumptions!$B$19),0)+IF(D62="preference",(Assumptions!$B$38*Assumptions!$B$17),0)+IF(D63="preference",(Assumptions!$B$37*Assumptions!$B$16),0)+IF(D64="preference",(Assumptions!$B$36*Assumptions!$B$15),0)+IF(D65="preference",(Assumptions!$B$35*Assumptions!$B$14),0))))/((D32+D13+(IF(D60="convert",D19,0)+IF(D61="convert",D18,0)+IF(D62="convert",Assumptions!$B$38,0)+IF(D63="convert",Assumptions!$B$37,0)+IF(D64="convert",Assumptions!$B$36,0)+IF(D65="convert",Assumptions!$B$35,0))))))*D13,"preference","convert")</f>
        <v/>
      </c>
      <c r="E67">
        <f>IF(Assumptions!$B$3&gt;(IF((((Assumptions!$B$49-(IF(E60="preference",(Assumptions!$B$34*Assumptions!$B$20),0)+IF(E61="preference",(Assumptions!$B$33*Assumptions!$B$19),0)+IF(E62="preference",(Assumptions!$B$38*Assumptions!$B$17),0)+IF(E63="preference",(Assumptions!$B$37*Assumptions!$B$16),0)+IF(E64="preference",(Assumptions!$B$36*Assumptions!$B$15),0)+IF(E65="preference",(Assumptions!$B$35*Assumptions!$B$14),0))))+Assumptions!$B$30*Assumptions!$B$21)/(((E32+E13+(IF(E60="convert",E19,0)+IF(E61="convert",E18,0)+IF(E62="convert",Assumptions!$B$38,0)+IF(E63="convert",Assumptions!$B$37,0)+IF(E64="convert",Assumptions!$B$36,0)+IF(E65="convert",Assumptions!$B$35,0))))+Assumptions!$B$30)&gt;Assumptions!$B$21,(((Assumptions!$B$49-(IF(E60="preference",(Assumptions!$B$34*Assumptions!$B$20),0)+IF(E61="preference",(Assumptions!$B$33*Assumptions!$B$19),0)+IF(E62="preference",(Assumptions!$B$38*Assumptions!$B$17),0)+IF(E63="preference",(Assumptions!$B$37*Assumptions!$B$16),0)+IF(E64="preference",(Assumptions!$B$36*Assumptions!$B$15),0)+IF(E65="preference",(Assumptions!$B$35*Assumptions!$B$14),0))))+Assumptions!$B$30*Assumptions!$B$21)/(((E32+E13+(IF(E60="convert",E19,0)+IF(E61="convert",E18,0)+IF(E62="convert",Assumptions!$B$38,0)+IF(E63="convert",Assumptions!$B$37,0)+IF(E64="convert",Assumptions!$B$36,0)+IF(E65="convert",Assumptions!$B$35,0))))+Assumptions!$B$30),((Assumptions!$B$49-(IF(E60="preference",(Assumptions!$B$34*Assumptions!$B$20),0)+IF(E61="preference",(Assumptions!$B$33*Assumptions!$B$19),0)+IF(E62="preference",(Assumptions!$B$38*Assumptions!$B$17),0)+IF(E63="preference",(Assumptions!$B$37*Assumptions!$B$16),0)+IF(E64="preference",(Assumptions!$B$36*Assumptions!$B$15),0)+IF(E65="preference",(Assumptions!$B$35*Assumptions!$B$14),0))))/((E32+E13+(IF(E60="convert",E19,0)+IF(E61="convert",E18,0)+IF(E62="convert",Assumptions!$B$38,0)+IF(E63="convert",Assumptions!$B$37,0)+IF(E64="convert",Assumptions!$B$36,0)+IF(E65="convert",Assumptions!$B$35,0))))))*E13,"preference","convert")</f>
        <v/>
      </c>
      <c r="F67">
        <f>IF(Assumptions!$B$3&gt;(IF((((Assumptions!$B$49-(IF(F60="preference",(Assumptions!$B$34*Assumptions!$B$20),0)+IF(F61="preference",(Assumptions!$B$33*Assumptions!$B$19),0)+IF(F62="preference",(Assumptions!$B$38*Assumptions!$B$17),0)+IF(F63="preference",(Assumptions!$B$37*Assumptions!$B$16),0)+IF(F64="preference",(Assumptions!$B$36*Assumptions!$B$15),0)+IF(F65="preference",(Assumptions!$B$35*Assumptions!$B$14),0))))+Assumptions!$B$30*Assumptions!$B$21)/(((F32+F13+(IF(F60="convert",F19,0)+IF(F61="convert",F18,0)+IF(F62="convert",Assumptions!$B$38,0)+IF(F63="convert",Assumptions!$B$37,0)+IF(F64="convert",Assumptions!$B$36,0)+IF(F65="convert",Assumptions!$B$35,0))))+Assumptions!$B$30)&gt;Assumptions!$B$21,(((Assumptions!$B$49-(IF(F60="preference",(Assumptions!$B$34*Assumptions!$B$20),0)+IF(F61="preference",(Assumptions!$B$33*Assumptions!$B$19),0)+IF(F62="preference",(Assumptions!$B$38*Assumptions!$B$17),0)+IF(F63="preference",(Assumptions!$B$37*Assumptions!$B$16),0)+IF(F64="preference",(Assumptions!$B$36*Assumptions!$B$15),0)+IF(F65="preference",(Assumptions!$B$35*Assumptions!$B$14),0))))+Assumptions!$B$30*Assumptions!$B$21)/(((F32+F13+(IF(F60="convert",F19,0)+IF(F61="convert",F18,0)+IF(F62="convert",Assumptions!$B$38,0)+IF(F63="convert",Assumptions!$B$37,0)+IF(F64="convert",Assumptions!$B$36,0)+IF(F65="convert",Assumptions!$B$35,0))))+Assumptions!$B$30),((Assumptions!$B$49-(IF(F60="preference",(Assumptions!$B$34*Assumptions!$B$20),0)+IF(F61="preference",(Assumptions!$B$33*Assumptions!$B$19),0)+IF(F62="preference",(Assumptions!$B$38*Assumptions!$B$17),0)+IF(F63="preference",(Assumptions!$B$37*Assumptions!$B$16),0)+IF(F64="preference",(Assumptions!$B$36*Assumptions!$B$15),0)+IF(F65="preference",(Assumptions!$B$35*Assumptions!$B$14),0))))/((F32+F13+(IF(F60="convert",F19,0)+IF(F61="convert",F18,0)+IF(F62="convert",Assumptions!$B$38,0)+IF(F63="convert",Assumptions!$B$37,0)+IF(F64="convert",Assumptions!$B$36,0)+IF(F65="convert",Assumptions!$B$35,0))))))*F13,"preference","convert")</f>
        <v/>
      </c>
      <c r="G67">
        <f>IF(Assumptions!$B$3&gt;(IF((((Assumptions!$B$49-(IF(G60="preference",(Assumptions!$B$34*Assumptions!$B$20),0)+IF(G61="preference",(Assumptions!$B$33*Assumptions!$B$19),0)+IF(G62="preference",(Assumptions!$B$38*Assumptions!$B$17),0)+IF(G63="preference",(Assumptions!$B$37*Assumptions!$B$16),0)+IF(G64="preference",(Assumptions!$B$36*Assumptions!$B$15),0)+IF(G65="preference",(Assumptions!$B$35*Assumptions!$B$14),0))))+Assumptions!$B$30*Assumptions!$B$21)/(((G32+G13+(IF(G60="convert",G19,0)+IF(G61="convert",G18,0)+IF(G62="convert",Assumptions!$B$38,0)+IF(G63="convert",Assumptions!$B$37,0)+IF(G64="convert",Assumptions!$B$36,0)+IF(G65="convert",Assumptions!$B$35,0))))+Assumptions!$B$30)&gt;Assumptions!$B$21,(((Assumptions!$B$49-(IF(G60="preference",(Assumptions!$B$34*Assumptions!$B$20),0)+IF(G61="preference",(Assumptions!$B$33*Assumptions!$B$19),0)+IF(G62="preference",(Assumptions!$B$38*Assumptions!$B$17),0)+IF(G63="preference",(Assumptions!$B$37*Assumptions!$B$16),0)+IF(G64="preference",(Assumptions!$B$36*Assumptions!$B$15),0)+IF(G65="preference",(Assumptions!$B$35*Assumptions!$B$14),0))))+Assumptions!$B$30*Assumptions!$B$21)/(((G32+G13+(IF(G60="convert",G19,0)+IF(G61="convert",G18,0)+IF(G62="convert",Assumptions!$B$38,0)+IF(G63="convert",Assumptions!$B$37,0)+IF(G64="convert",Assumptions!$B$36,0)+IF(G65="convert",Assumptions!$B$35,0))))+Assumptions!$B$30),((Assumptions!$B$49-(IF(G60="preference",(Assumptions!$B$34*Assumptions!$B$20),0)+IF(G61="preference",(Assumptions!$B$33*Assumptions!$B$19),0)+IF(G62="preference",(Assumptions!$B$38*Assumptions!$B$17),0)+IF(G63="preference",(Assumptions!$B$37*Assumptions!$B$16),0)+IF(G64="preference",(Assumptions!$B$36*Assumptions!$B$15),0)+IF(G65="preference",(Assumptions!$B$35*Assumptions!$B$14),0))))/((G32+G13+(IF(G60="convert",G19,0)+IF(G61="convert",G18,0)+IF(G62="convert",Assumptions!$B$38,0)+IF(G63="convert",Assumptions!$B$37,0)+IF(G64="convert",Assumptions!$B$36,0)+IF(G65="convert",Assumptions!$B$35,0))))))*G13,"preference","convert")</f>
        <v/>
      </c>
      <c r="H67">
        <f>IF(Assumptions!$B$3&gt;(IF((((Assumptions!$B$49-(IF(H60="preference",(Assumptions!$B$34*Assumptions!$B$20),0)+IF(H61="preference",(Assumptions!$B$33*Assumptions!$B$19),0)+IF(H62="preference",(Assumptions!$B$38*Assumptions!$B$17),0)+IF(H63="preference",(Assumptions!$B$37*Assumptions!$B$16),0)+IF(H64="preference",(Assumptions!$B$36*Assumptions!$B$15),0)+IF(H65="preference",(Assumptions!$B$35*Assumptions!$B$14),0))))+Assumptions!$B$30*Assumptions!$B$21)/(((H32+H13+(IF(H60="convert",H19,0)+IF(H61="convert",H18,0)+IF(H62="convert",Assumptions!$B$38,0)+IF(H63="convert",Assumptions!$B$37,0)+IF(H64="convert",Assumptions!$B$36,0)+IF(H65="convert",Assumptions!$B$35,0))))+Assumptions!$B$30)&gt;Assumptions!$B$21,(((Assumptions!$B$49-(IF(H60="preference",(Assumptions!$B$34*Assumptions!$B$20),0)+IF(H61="preference",(Assumptions!$B$33*Assumptions!$B$19),0)+IF(H62="preference",(Assumptions!$B$38*Assumptions!$B$17),0)+IF(H63="preference",(Assumptions!$B$37*Assumptions!$B$16),0)+IF(H64="preference",(Assumptions!$B$36*Assumptions!$B$15),0)+IF(H65="preference",(Assumptions!$B$35*Assumptions!$B$14),0))))+Assumptions!$B$30*Assumptions!$B$21)/(((H32+H13+(IF(H60="convert",H19,0)+IF(H61="convert",H18,0)+IF(H62="convert",Assumptions!$B$38,0)+IF(H63="convert",Assumptions!$B$37,0)+IF(H64="convert",Assumptions!$B$36,0)+IF(H65="convert",Assumptions!$B$35,0))))+Assumptions!$B$30),((Assumptions!$B$49-(IF(H60="preference",(Assumptions!$B$34*Assumptions!$B$20),0)+IF(H61="preference",(Assumptions!$B$33*Assumptions!$B$19),0)+IF(H62="preference",(Assumptions!$B$38*Assumptions!$B$17),0)+IF(H63="preference",(Assumptions!$B$37*Assumptions!$B$16),0)+IF(H64="preference",(Assumptions!$B$36*Assumptions!$B$15),0)+IF(H65="preference",(Assumptions!$B$35*Assumptions!$B$14),0))))/((H32+H13+(IF(H60="convert",H19,0)+IF(H61="convert",H18,0)+IF(H62="convert",Assumptions!$B$38,0)+IF(H63="convert",Assumptions!$B$37,0)+IF(H64="convert",Assumptions!$B$36,0)+IF(H65="convert",Assumptions!$B$35,0))))))*H13,"preference","convert")</f>
        <v/>
      </c>
      <c r="I67">
        <f>IF(Assumptions!$B$3&gt;(IF((((Assumptions!$B$49-(IF(I60="preference",(Assumptions!$B$34*Assumptions!$B$20),0)+IF(I61="preference",(Assumptions!$B$33*Assumptions!$B$19),0)+IF(I62="preference",(Assumptions!$B$38*Assumptions!$B$17),0)+IF(I63="preference",(Assumptions!$B$37*Assumptions!$B$16),0)+IF(I64="preference",(Assumptions!$B$36*Assumptions!$B$15),0)+IF(I65="preference",(Assumptions!$B$35*Assumptions!$B$14),0))))+Assumptions!$B$30*Assumptions!$B$21)/(((I32+I13+(IF(I60="convert",I19,0)+IF(I61="convert",I18,0)+IF(I62="convert",Assumptions!$B$38,0)+IF(I63="convert",Assumptions!$B$37,0)+IF(I64="convert",Assumptions!$B$36,0)+IF(I65="convert",Assumptions!$B$35,0))))+Assumptions!$B$30)&gt;Assumptions!$B$21,(((Assumptions!$B$49-(IF(I60="preference",(Assumptions!$B$34*Assumptions!$B$20),0)+IF(I61="preference",(Assumptions!$B$33*Assumptions!$B$19),0)+IF(I62="preference",(Assumptions!$B$38*Assumptions!$B$17),0)+IF(I63="preference",(Assumptions!$B$37*Assumptions!$B$16),0)+IF(I64="preference",(Assumptions!$B$36*Assumptions!$B$15),0)+IF(I65="preference",(Assumptions!$B$35*Assumptions!$B$14),0))))+Assumptions!$B$30*Assumptions!$B$21)/(((I32+I13+(IF(I60="convert",I19,0)+IF(I61="convert",I18,0)+IF(I62="convert",Assumptions!$B$38,0)+IF(I63="convert",Assumptions!$B$37,0)+IF(I64="convert",Assumptions!$B$36,0)+IF(I65="convert",Assumptions!$B$35,0))))+Assumptions!$B$30),((Assumptions!$B$49-(IF(I60="preference",(Assumptions!$B$34*Assumptions!$B$20),0)+IF(I61="preference",(Assumptions!$B$33*Assumptions!$B$19),0)+IF(I62="preference",(Assumptions!$B$38*Assumptions!$B$17),0)+IF(I63="preference",(Assumptions!$B$37*Assumptions!$B$16),0)+IF(I64="preference",(Assumptions!$B$36*Assumptions!$B$15),0)+IF(I65="preference",(Assumptions!$B$35*Assumptions!$B$14),0))))/((I32+I13+(IF(I60="convert",I19,0)+IF(I61="convert",I18,0)+IF(I62="convert",Assumptions!$B$38,0)+IF(I63="convert",Assumptions!$B$37,0)+IF(I64="convert",Assumptions!$B$36,0)+IF(I65="convert",Assumptions!$B$35,0))))))*I13,"preference","convert")</f>
        <v/>
      </c>
      <c r="J67">
        <f>IF(Assumptions!$B$3&gt;(IF((((Assumptions!$B$49-(IF(J60="preference",(Assumptions!$B$34*Assumptions!$B$20),0)+IF(J61="preference",(Assumptions!$B$33*Assumptions!$B$19),0)+IF(J62="preference",(Assumptions!$B$38*Assumptions!$B$17),0)+IF(J63="preference",(Assumptions!$B$37*Assumptions!$B$16),0)+IF(J64="preference",(Assumptions!$B$36*Assumptions!$B$15),0)+IF(J65="preference",(Assumptions!$B$35*Assumptions!$B$14),0))))+Assumptions!$B$30*Assumptions!$B$21)/(((J32+J13+(IF(J60="convert",J19,0)+IF(J61="convert",J18,0)+IF(J62="convert",Assumptions!$B$38,0)+IF(J63="convert",Assumptions!$B$37,0)+IF(J64="convert",Assumptions!$B$36,0)+IF(J65="convert",Assumptions!$B$35,0))))+Assumptions!$B$30)&gt;Assumptions!$B$21,(((Assumptions!$B$49-(IF(J60="preference",(Assumptions!$B$34*Assumptions!$B$20),0)+IF(J61="preference",(Assumptions!$B$33*Assumptions!$B$19),0)+IF(J62="preference",(Assumptions!$B$38*Assumptions!$B$17),0)+IF(J63="preference",(Assumptions!$B$37*Assumptions!$B$16),0)+IF(J64="preference",(Assumptions!$B$36*Assumptions!$B$15),0)+IF(J65="preference",(Assumptions!$B$35*Assumptions!$B$14),0))))+Assumptions!$B$30*Assumptions!$B$21)/(((J32+J13+(IF(J60="convert",J19,0)+IF(J61="convert",J18,0)+IF(J62="convert",Assumptions!$B$38,0)+IF(J63="convert",Assumptions!$B$37,0)+IF(J64="convert",Assumptions!$B$36,0)+IF(J65="convert",Assumptions!$B$35,0))))+Assumptions!$B$30),((Assumptions!$B$49-(IF(J60="preference",(Assumptions!$B$34*Assumptions!$B$20),0)+IF(J61="preference",(Assumptions!$B$33*Assumptions!$B$19),0)+IF(J62="preference",(Assumptions!$B$38*Assumptions!$B$17),0)+IF(J63="preference",(Assumptions!$B$37*Assumptions!$B$16),0)+IF(J64="preference",(Assumptions!$B$36*Assumptions!$B$15),0)+IF(J65="preference",(Assumptions!$B$35*Assumptions!$B$14),0))))/((J32+J13+(IF(J60="convert",J19,0)+IF(J61="convert",J18,0)+IF(J62="convert",Assumptions!$B$38,0)+IF(J63="convert",Assumptions!$B$37,0)+IF(J64="convert",Assumptions!$B$36,0)+IF(J65="convert",Assumptions!$B$35,0))))))*J13,"preference","convert")</f>
        <v/>
      </c>
    </row>
    <row r="68">
      <c r="A68" t="inlineStr">
        <is>
          <t xml:space="preserve">  E</t>
        </is>
      </c>
      <c r="B68">
        <f>IF((Assumptions!$B$34*Assumptions!$B$20)&gt;(IF((((Assumptions!$B$49-(IF(B59="preference",Assumptions!$B$3,0)+IF(B61="preference",(Assumptions!$B$33*Assumptions!$B$19),0)+IF(B62="preference",(Assumptions!$B$38*Assumptions!$B$17),0)+IF(B63="preference",(Assumptions!$B$37*Assumptions!$B$16),0)+IF(B64="preference",(Assumptions!$B$36*Assumptions!$B$15),0)+IF(B65="preference",(Assumptions!$B$35*Assumptions!$B$14),0))))+Assumptions!$B$30*Assumptions!$B$21)/(((B32+B19+(IF(B59="convert",B13,0)+IF(B61="convert",B18,0)+IF(B62="convert",Assumptions!$B$38,0)+IF(B63="convert",Assumptions!$B$37,0)+IF(B64="convert",Assumptions!$B$36,0)+IF(B65="convert",Assumptions!$B$35,0))))+Assumptions!$B$30)&gt;Assumptions!$B$21,(((Assumptions!$B$49-(IF(B59="preference",Assumptions!$B$3,0)+IF(B61="preference",(Assumptions!$B$33*Assumptions!$B$19),0)+IF(B62="preference",(Assumptions!$B$38*Assumptions!$B$17),0)+IF(B63="preference",(Assumptions!$B$37*Assumptions!$B$16),0)+IF(B64="preference",(Assumptions!$B$36*Assumptions!$B$15),0)+IF(B65="preference",(Assumptions!$B$35*Assumptions!$B$14),0))))+Assumptions!$B$30*Assumptions!$B$21)/(((B32+B19+(IF(B59="convert",B13,0)+IF(B61="convert",B18,0)+IF(B62="convert",Assumptions!$B$38,0)+IF(B63="convert",Assumptions!$B$37,0)+IF(B64="convert",Assumptions!$B$36,0)+IF(B65="convert",Assumptions!$B$35,0))))+Assumptions!$B$30),((Assumptions!$B$49-(IF(B59="preference",Assumptions!$B$3,0)+IF(B61="preference",(Assumptions!$B$33*Assumptions!$B$19),0)+IF(B62="preference",(Assumptions!$B$38*Assumptions!$B$17),0)+IF(B63="preference",(Assumptions!$B$37*Assumptions!$B$16),0)+IF(B64="preference",(Assumptions!$B$36*Assumptions!$B$15),0)+IF(B65="preference",(Assumptions!$B$35*Assumptions!$B$14),0))))/((B32+B19+(IF(B59="convert",B13,0)+IF(B61="convert",B18,0)+IF(B62="convert",Assumptions!$B$38,0)+IF(B63="convert",Assumptions!$B$37,0)+IF(B64="convert",Assumptions!$B$36,0)+IF(B65="convert",Assumptions!$B$35,0))))))*B19,"preference","convert")</f>
        <v/>
      </c>
      <c r="C68">
        <f>IF((Assumptions!$B$34*Assumptions!$B$20)&gt;(IF((((Assumptions!$B$49-(IF(C59="preference",Assumptions!$B$3,0)+IF(C61="preference",(Assumptions!$B$33*Assumptions!$B$19),0)+IF(C62="preference",(Assumptions!$B$38*Assumptions!$B$17),0)+IF(C63="preference",(Assumptions!$B$37*Assumptions!$B$16),0)+IF(C64="preference",(Assumptions!$B$36*Assumptions!$B$15),0)+IF(C65="preference",(Assumptions!$B$35*Assumptions!$B$14),0))))+Assumptions!$B$30*Assumptions!$B$21)/(((C32+C19+(IF(C59="convert",C13,0)+IF(C61="convert",C18,0)+IF(C62="convert",Assumptions!$B$38,0)+IF(C63="convert",Assumptions!$B$37,0)+IF(C64="convert",Assumptions!$B$36,0)+IF(C65="convert",Assumptions!$B$35,0))))+Assumptions!$B$30)&gt;Assumptions!$B$21,(((Assumptions!$B$49-(IF(C59="preference",Assumptions!$B$3,0)+IF(C61="preference",(Assumptions!$B$33*Assumptions!$B$19),0)+IF(C62="preference",(Assumptions!$B$38*Assumptions!$B$17),0)+IF(C63="preference",(Assumptions!$B$37*Assumptions!$B$16),0)+IF(C64="preference",(Assumptions!$B$36*Assumptions!$B$15),0)+IF(C65="preference",(Assumptions!$B$35*Assumptions!$B$14),0))))+Assumptions!$B$30*Assumptions!$B$21)/(((C32+C19+(IF(C59="convert",C13,0)+IF(C61="convert",C18,0)+IF(C62="convert",Assumptions!$B$38,0)+IF(C63="convert",Assumptions!$B$37,0)+IF(C64="convert",Assumptions!$B$36,0)+IF(C65="convert",Assumptions!$B$35,0))))+Assumptions!$B$30),((Assumptions!$B$49-(IF(C59="preference",Assumptions!$B$3,0)+IF(C61="preference",(Assumptions!$B$33*Assumptions!$B$19),0)+IF(C62="preference",(Assumptions!$B$38*Assumptions!$B$17),0)+IF(C63="preference",(Assumptions!$B$37*Assumptions!$B$16),0)+IF(C64="preference",(Assumptions!$B$36*Assumptions!$B$15),0)+IF(C65="preference",(Assumptions!$B$35*Assumptions!$B$14),0))))/((C32+C19+(IF(C59="convert",C13,0)+IF(C61="convert",C18,0)+IF(C62="convert",Assumptions!$B$38,0)+IF(C63="convert",Assumptions!$B$37,0)+IF(C64="convert",Assumptions!$B$36,0)+IF(C65="convert",Assumptions!$B$35,0))))))*C19,"preference","convert")</f>
        <v/>
      </c>
      <c r="D68">
        <f>IF((Assumptions!$B$34*Assumptions!$B$20)&gt;(IF((((Assumptions!$B$49-(IF(D59="preference",Assumptions!$B$3,0)+IF(D61="preference",(Assumptions!$B$33*Assumptions!$B$19),0)+IF(D62="preference",(Assumptions!$B$38*Assumptions!$B$17),0)+IF(D63="preference",(Assumptions!$B$37*Assumptions!$B$16),0)+IF(D64="preference",(Assumptions!$B$36*Assumptions!$B$15),0)+IF(D65="preference",(Assumptions!$B$35*Assumptions!$B$14),0))))+Assumptions!$B$30*Assumptions!$B$21)/(((D32+D19+(IF(D59="convert",D13,0)+IF(D61="convert",D18,0)+IF(D62="convert",Assumptions!$B$38,0)+IF(D63="convert",Assumptions!$B$37,0)+IF(D64="convert",Assumptions!$B$36,0)+IF(D65="convert",Assumptions!$B$35,0))))+Assumptions!$B$30)&gt;Assumptions!$B$21,(((Assumptions!$B$49-(IF(D59="preference",Assumptions!$B$3,0)+IF(D61="preference",(Assumptions!$B$33*Assumptions!$B$19),0)+IF(D62="preference",(Assumptions!$B$38*Assumptions!$B$17),0)+IF(D63="preference",(Assumptions!$B$37*Assumptions!$B$16),0)+IF(D64="preference",(Assumptions!$B$36*Assumptions!$B$15),0)+IF(D65="preference",(Assumptions!$B$35*Assumptions!$B$14),0))))+Assumptions!$B$30*Assumptions!$B$21)/(((D32+D19+(IF(D59="convert",D13,0)+IF(D61="convert",D18,0)+IF(D62="convert",Assumptions!$B$38,0)+IF(D63="convert",Assumptions!$B$37,0)+IF(D64="convert",Assumptions!$B$36,0)+IF(D65="convert",Assumptions!$B$35,0))))+Assumptions!$B$30),((Assumptions!$B$49-(IF(D59="preference",Assumptions!$B$3,0)+IF(D61="preference",(Assumptions!$B$33*Assumptions!$B$19),0)+IF(D62="preference",(Assumptions!$B$38*Assumptions!$B$17),0)+IF(D63="preference",(Assumptions!$B$37*Assumptions!$B$16),0)+IF(D64="preference",(Assumptions!$B$36*Assumptions!$B$15),0)+IF(D65="preference",(Assumptions!$B$35*Assumptions!$B$14),0))))/((D32+D19+(IF(D59="convert",D13,0)+IF(D61="convert",D18,0)+IF(D62="convert",Assumptions!$B$38,0)+IF(D63="convert",Assumptions!$B$37,0)+IF(D64="convert",Assumptions!$B$36,0)+IF(D65="convert",Assumptions!$B$35,0))))))*D19,"preference","convert")</f>
        <v/>
      </c>
      <c r="E68">
        <f>IF((Assumptions!$B$34*Assumptions!$B$20)&gt;(IF((((Assumptions!$B$49-(IF(E59="preference",Assumptions!$B$3,0)+IF(E61="preference",(Assumptions!$B$33*Assumptions!$B$19),0)+IF(E62="preference",(Assumptions!$B$38*Assumptions!$B$17),0)+IF(E63="preference",(Assumptions!$B$37*Assumptions!$B$16),0)+IF(E64="preference",(Assumptions!$B$36*Assumptions!$B$15),0)+IF(E65="preference",(Assumptions!$B$35*Assumptions!$B$14),0))))+Assumptions!$B$30*Assumptions!$B$21)/(((E32+E19+(IF(E59="convert",E13,0)+IF(E61="convert",E18,0)+IF(E62="convert",Assumptions!$B$38,0)+IF(E63="convert",Assumptions!$B$37,0)+IF(E64="convert",Assumptions!$B$36,0)+IF(E65="convert",Assumptions!$B$35,0))))+Assumptions!$B$30)&gt;Assumptions!$B$21,(((Assumptions!$B$49-(IF(E59="preference",Assumptions!$B$3,0)+IF(E61="preference",(Assumptions!$B$33*Assumptions!$B$19),0)+IF(E62="preference",(Assumptions!$B$38*Assumptions!$B$17),0)+IF(E63="preference",(Assumptions!$B$37*Assumptions!$B$16),0)+IF(E64="preference",(Assumptions!$B$36*Assumptions!$B$15),0)+IF(E65="preference",(Assumptions!$B$35*Assumptions!$B$14),0))))+Assumptions!$B$30*Assumptions!$B$21)/(((E32+E19+(IF(E59="convert",E13,0)+IF(E61="convert",E18,0)+IF(E62="convert",Assumptions!$B$38,0)+IF(E63="convert",Assumptions!$B$37,0)+IF(E64="convert",Assumptions!$B$36,0)+IF(E65="convert",Assumptions!$B$35,0))))+Assumptions!$B$30),((Assumptions!$B$49-(IF(E59="preference",Assumptions!$B$3,0)+IF(E61="preference",(Assumptions!$B$33*Assumptions!$B$19),0)+IF(E62="preference",(Assumptions!$B$38*Assumptions!$B$17),0)+IF(E63="preference",(Assumptions!$B$37*Assumptions!$B$16),0)+IF(E64="preference",(Assumptions!$B$36*Assumptions!$B$15),0)+IF(E65="preference",(Assumptions!$B$35*Assumptions!$B$14),0))))/((E32+E19+(IF(E59="convert",E13,0)+IF(E61="convert",E18,0)+IF(E62="convert",Assumptions!$B$38,0)+IF(E63="convert",Assumptions!$B$37,0)+IF(E64="convert",Assumptions!$B$36,0)+IF(E65="convert",Assumptions!$B$35,0))))))*E19,"preference","convert")</f>
        <v/>
      </c>
      <c r="F68">
        <f>IF((Assumptions!$B$34*Assumptions!$B$20)&gt;(IF((((Assumptions!$B$49-(IF(F59="preference",Assumptions!$B$3,0)+IF(F61="preference",(Assumptions!$B$33*Assumptions!$B$19),0)+IF(F62="preference",(Assumptions!$B$38*Assumptions!$B$17),0)+IF(F63="preference",(Assumptions!$B$37*Assumptions!$B$16),0)+IF(F64="preference",(Assumptions!$B$36*Assumptions!$B$15),0)+IF(F65="preference",(Assumptions!$B$35*Assumptions!$B$14),0))))+Assumptions!$B$30*Assumptions!$B$21)/(((F32+F19+(IF(F59="convert",F13,0)+IF(F61="convert",F18,0)+IF(F62="convert",Assumptions!$B$38,0)+IF(F63="convert",Assumptions!$B$37,0)+IF(F64="convert",Assumptions!$B$36,0)+IF(F65="convert",Assumptions!$B$35,0))))+Assumptions!$B$30)&gt;Assumptions!$B$21,(((Assumptions!$B$49-(IF(F59="preference",Assumptions!$B$3,0)+IF(F61="preference",(Assumptions!$B$33*Assumptions!$B$19),0)+IF(F62="preference",(Assumptions!$B$38*Assumptions!$B$17),0)+IF(F63="preference",(Assumptions!$B$37*Assumptions!$B$16),0)+IF(F64="preference",(Assumptions!$B$36*Assumptions!$B$15),0)+IF(F65="preference",(Assumptions!$B$35*Assumptions!$B$14),0))))+Assumptions!$B$30*Assumptions!$B$21)/(((F32+F19+(IF(F59="convert",F13,0)+IF(F61="convert",F18,0)+IF(F62="convert",Assumptions!$B$38,0)+IF(F63="convert",Assumptions!$B$37,0)+IF(F64="convert",Assumptions!$B$36,0)+IF(F65="convert",Assumptions!$B$35,0))))+Assumptions!$B$30),((Assumptions!$B$49-(IF(F59="preference",Assumptions!$B$3,0)+IF(F61="preference",(Assumptions!$B$33*Assumptions!$B$19),0)+IF(F62="preference",(Assumptions!$B$38*Assumptions!$B$17),0)+IF(F63="preference",(Assumptions!$B$37*Assumptions!$B$16),0)+IF(F64="preference",(Assumptions!$B$36*Assumptions!$B$15),0)+IF(F65="preference",(Assumptions!$B$35*Assumptions!$B$14),0))))/((F32+F19+(IF(F59="convert",F13,0)+IF(F61="convert",F18,0)+IF(F62="convert",Assumptions!$B$38,0)+IF(F63="convert",Assumptions!$B$37,0)+IF(F64="convert",Assumptions!$B$36,0)+IF(F65="convert",Assumptions!$B$35,0))))))*F19,"preference","convert")</f>
        <v/>
      </c>
      <c r="G68">
        <f>IF((Assumptions!$B$34*Assumptions!$B$20)&gt;(IF((((Assumptions!$B$49-(IF(G59="preference",Assumptions!$B$3,0)+IF(G61="preference",(Assumptions!$B$33*Assumptions!$B$19),0)+IF(G62="preference",(Assumptions!$B$38*Assumptions!$B$17),0)+IF(G63="preference",(Assumptions!$B$37*Assumptions!$B$16),0)+IF(G64="preference",(Assumptions!$B$36*Assumptions!$B$15),0)+IF(G65="preference",(Assumptions!$B$35*Assumptions!$B$14),0))))+Assumptions!$B$30*Assumptions!$B$21)/(((G32+G19+(IF(G59="convert",G13,0)+IF(G61="convert",G18,0)+IF(G62="convert",Assumptions!$B$38,0)+IF(G63="convert",Assumptions!$B$37,0)+IF(G64="convert",Assumptions!$B$36,0)+IF(G65="convert",Assumptions!$B$35,0))))+Assumptions!$B$30)&gt;Assumptions!$B$21,(((Assumptions!$B$49-(IF(G59="preference",Assumptions!$B$3,0)+IF(G61="preference",(Assumptions!$B$33*Assumptions!$B$19),0)+IF(G62="preference",(Assumptions!$B$38*Assumptions!$B$17),0)+IF(G63="preference",(Assumptions!$B$37*Assumptions!$B$16),0)+IF(G64="preference",(Assumptions!$B$36*Assumptions!$B$15),0)+IF(G65="preference",(Assumptions!$B$35*Assumptions!$B$14),0))))+Assumptions!$B$30*Assumptions!$B$21)/(((G32+G19+(IF(G59="convert",G13,0)+IF(G61="convert",G18,0)+IF(G62="convert",Assumptions!$B$38,0)+IF(G63="convert",Assumptions!$B$37,0)+IF(G64="convert",Assumptions!$B$36,0)+IF(G65="convert",Assumptions!$B$35,0))))+Assumptions!$B$30),((Assumptions!$B$49-(IF(G59="preference",Assumptions!$B$3,0)+IF(G61="preference",(Assumptions!$B$33*Assumptions!$B$19),0)+IF(G62="preference",(Assumptions!$B$38*Assumptions!$B$17),0)+IF(G63="preference",(Assumptions!$B$37*Assumptions!$B$16),0)+IF(G64="preference",(Assumptions!$B$36*Assumptions!$B$15),0)+IF(G65="preference",(Assumptions!$B$35*Assumptions!$B$14),0))))/((G32+G19+(IF(G59="convert",G13,0)+IF(G61="convert",G18,0)+IF(G62="convert",Assumptions!$B$38,0)+IF(G63="convert",Assumptions!$B$37,0)+IF(G64="convert",Assumptions!$B$36,0)+IF(G65="convert",Assumptions!$B$35,0))))))*G19,"preference","convert")</f>
        <v/>
      </c>
      <c r="H68">
        <f>IF((Assumptions!$B$34*Assumptions!$B$20)&gt;(IF((((Assumptions!$B$49-(IF(H59="preference",Assumptions!$B$3,0)+IF(H61="preference",(Assumptions!$B$33*Assumptions!$B$19),0)+IF(H62="preference",(Assumptions!$B$38*Assumptions!$B$17),0)+IF(H63="preference",(Assumptions!$B$37*Assumptions!$B$16),0)+IF(H64="preference",(Assumptions!$B$36*Assumptions!$B$15),0)+IF(H65="preference",(Assumptions!$B$35*Assumptions!$B$14),0))))+Assumptions!$B$30*Assumptions!$B$21)/(((H32+H19+(IF(H59="convert",H13,0)+IF(H61="convert",H18,0)+IF(H62="convert",Assumptions!$B$38,0)+IF(H63="convert",Assumptions!$B$37,0)+IF(H64="convert",Assumptions!$B$36,0)+IF(H65="convert",Assumptions!$B$35,0))))+Assumptions!$B$30)&gt;Assumptions!$B$21,(((Assumptions!$B$49-(IF(H59="preference",Assumptions!$B$3,0)+IF(H61="preference",(Assumptions!$B$33*Assumptions!$B$19),0)+IF(H62="preference",(Assumptions!$B$38*Assumptions!$B$17),0)+IF(H63="preference",(Assumptions!$B$37*Assumptions!$B$16),0)+IF(H64="preference",(Assumptions!$B$36*Assumptions!$B$15),0)+IF(H65="preference",(Assumptions!$B$35*Assumptions!$B$14),0))))+Assumptions!$B$30*Assumptions!$B$21)/(((H32+H19+(IF(H59="convert",H13,0)+IF(H61="convert",H18,0)+IF(H62="convert",Assumptions!$B$38,0)+IF(H63="convert",Assumptions!$B$37,0)+IF(H64="convert",Assumptions!$B$36,0)+IF(H65="convert",Assumptions!$B$35,0))))+Assumptions!$B$30),((Assumptions!$B$49-(IF(H59="preference",Assumptions!$B$3,0)+IF(H61="preference",(Assumptions!$B$33*Assumptions!$B$19),0)+IF(H62="preference",(Assumptions!$B$38*Assumptions!$B$17),0)+IF(H63="preference",(Assumptions!$B$37*Assumptions!$B$16),0)+IF(H64="preference",(Assumptions!$B$36*Assumptions!$B$15),0)+IF(H65="preference",(Assumptions!$B$35*Assumptions!$B$14),0))))/((H32+H19+(IF(H59="convert",H13,0)+IF(H61="convert",H18,0)+IF(H62="convert",Assumptions!$B$38,0)+IF(H63="convert",Assumptions!$B$37,0)+IF(H64="convert",Assumptions!$B$36,0)+IF(H65="convert",Assumptions!$B$35,0))))))*H19,"preference","convert")</f>
        <v/>
      </c>
      <c r="I68">
        <f>IF((Assumptions!$B$34*Assumptions!$B$20)&gt;(IF((((Assumptions!$B$49-(IF(I59="preference",Assumptions!$B$3,0)+IF(I61="preference",(Assumptions!$B$33*Assumptions!$B$19),0)+IF(I62="preference",(Assumptions!$B$38*Assumptions!$B$17),0)+IF(I63="preference",(Assumptions!$B$37*Assumptions!$B$16),0)+IF(I64="preference",(Assumptions!$B$36*Assumptions!$B$15),0)+IF(I65="preference",(Assumptions!$B$35*Assumptions!$B$14),0))))+Assumptions!$B$30*Assumptions!$B$21)/(((I32+I19+(IF(I59="convert",I13,0)+IF(I61="convert",I18,0)+IF(I62="convert",Assumptions!$B$38,0)+IF(I63="convert",Assumptions!$B$37,0)+IF(I64="convert",Assumptions!$B$36,0)+IF(I65="convert",Assumptions!$B$35,0))))+Assumptions!$B$30)&gt;Assumptions!$B$21,(((Assumptions!$B$49-(IF(I59="preference",Assumptions!$B$3,0)+IF(I61="preference",(Assumptions!$B$33*Assumptions!$B$19),0)+IF(I62="preference",(Assumptions!$B$38*Assumptions!$B$17),0)+IF(I63="preference",(Assumptions!$B$37*Assumptions!$B$16),0)+IF(I64="preference",(Assumptions!$B$36*Assumptions!$B$15),0)+IF(I65="preference",(Assumptions!$B$35*Assumptions!$B$14),0))))+Assumptions!$B$30*Assumptions!$B$21)/(((I32+I19+(IF(I59="convert",I13,0)+IF(I61="convert",I18,0)+IF(I62="convert",Assumptions!$B$38,0)+IF(I63="convert",Assumptions!$B$37,0)+IF(I64="convert",Assumptions!$B$36,0)+IF(I65="convert",Assumptions!$B$35,0))))+Assumptions!$B$30),((Assumptions!$B$49-(IF(I59="preference",Assumptions!$B$3,0)+IF(I61="preference",(Assumptions!$B$33*Assumptions!$B$19),0)+IF(I62="preference",(Assumptions!$B$38*Assumptions!$B$17),0)+IF(I63="preference",(Assumptions!$B$37*Assumptions!$B$16),0)+IF(I64="preference",(Assumptions!$B$36*Assumptions!$B$15),0)+IF(I65="preference",(Assumptions!$B$35*Assumptions!$B$14),0))))/((I32+I19+(IF(I59="convert",I13,0)+IF(I61="convert",I18,0)+IF(I62="convert",Assumptions!$B$38,0)+IF(I63="convert",Assumptions!$B$37,0)+IF(I64="convert",Assumptions!$B$36,0)+IF(I65="convert",Assumptions!$B$35,0))))))*I19,"preference","convert")</f>
        <v/>
      </c>
      <c r="J68">
        <f>IF((Assumptions!$B$34*Assumptions!$B$20)&gt;(IF((((Assumptions!$B$49-(IF(J59="preference",Assumptions!$B$3,0)+IF(J61="preference",(Assumptions!$B$33*Assumptions!$B$19),0)+IF(J62="preference",(Assumptions!$B$38*Assumptions!$B$17),0)+IF(J63="preference",(Assumptions!$B$37*Assumptions!$B$16),0)+IF(J64="preference",(Assumptions!$B$36*Assumptions!$B$15),0)+IF(J65="preference",(Assumptions!$B$35*Assumptions!$B$14),0))))+Assumptions!$B$30*Assumptions!$B$21)/(((J32+J19+(IF(J59="convert",J13,0)+IF(J61="convert",J18,0)+IF(J62="convert",Assumptions!$B$38,0)+IF(J63="convert",Assumptions!$B$37,0)+IF(J64="convert",Assumptions!$B$36,0)+IF(J65="convert",Assumptions!$B$35,0))))+Assumptions!$B$30)&gt;Assumptions!$B$21,(((Assumptions!$B$49-(IF(J59="preference",Assumptions!$B$3,0)+IF(J61="preference",(Assumptions!$B$33*Assumptions!$B$19),0)+IF(J62="preference",(Assumptions!$B$38*Assumptions!$B$17),0)+IF(J63="preference",(Assumptions!$B$37*Assumptions!$B$16),0)+IF(J64="preference",(Assumptions!$B$36*Assumptions!$B$15),0)+IF(J65="preference",(Assumptions!$B$35*Assumptions!$B$14),0))))+Assumptions!$B$30*Assumptions!$B$21)/(((J32+J19+(IF(J59="convert",J13,0)+IF(J61="convert",J18,0)+IF(J62="convert",Assumptions!$B$38,0)+IF(J63="convert",Assumptions!$B$37,0)+IF(J64="convert",Assumptions!$B$36,0)+IF(J65="convert",Assumptions!$B$35,0))))+Assumptions!$B$30),((Assumptions!$B$49-(IF(J59="preference",Assumptions!$B$3,0)+IF(J61="preference",(Assumptions!$B$33*Assumptions!$B$19),0)+IF(J62="preference",(Assumptions!$B$38*Assumptions!$B$17),0)+IF(J63="preference",(Assumptions!$B$37*Assumptions!$B$16),0)+IF(J64="preference",(Assumptions!$B$36*Assumptions!$B$15),0)+IF(J65="preference",(Assumptions!$B$35*Assumptions!$B$14),0))))/((J32+J19+(IF(J59="convert",J13,0)+IF(J61="convert",J18,0)+IF(J62="convert",Assumptions!$B$38,0)+IF(J63="convert",Assumptions!$B$37,0)+IF(J64="convert",Assumptions!$B$36,0)+IF(J65="convert",Assumptions!$B$35,0))))))*J19,"preference","convert")</f>
        <v/>
      </c>
    </row>
    <row r="69">
      <c r="A69" t="inlineStr">
        <is>
          <t xml:space="preserve">  D</t>
        </is>
      </c>
      <c r="B69">
        <f>IF((Assumptions!$B$33*Assumptions!$B$19)&gt;(IF((((Assumptions!$B$49-(IF(B59="preference",Assumptions!$B$3,0)+IF(B60="preference",(Assumptions!$B$34*Assumptions!$B$20),0)+IF(B62="preference",(Assumptions!$B$38*Assumptions!$B$17),0)+IF(B63="preference",(Assumptions!$B$37*Assumptions!$B$16),0)+IF(B64="preference",(Assumptions!$B$36*Assumptions!$B$15),0)+IF(B65="preference",(Assumptions!$B$35*Assumptions!$B$14),0))))+Assumptions!$B$30*Assumptions!$B$21)/(((B32+B18+(IF(B59="convert",B13,0)+IF(B60="convert",B19,0)+IF(B62="convert",Assumptions!$B$38,0)+IF(B63="convert",Assumptions!$B$37,0)+IF(B64="convert",Assumptions!$B$36,0)+IF(B65="convert",Assumptions!$B$35,0))))+Assumptions!$B$30)&gt;Assumptions!$B$21,(((Assumptions!$B$49-(IF(B59="preference",Assumptions!$B$3,0)+IF(B60="preference",(Assumptions!$B$34*Assumptions!$B$20),0)+IF(B62="preference",(Assumptions!$B$38*Assumptions!$B$17),0)+IF(B63="preference",(Assumptions!$B$37*Assumptions!$B$16),0)+IF(B64="preference",(Assumptions!$B$36*Assumptions!$B$15),0)+IF(B65="preference",(Assumptions!$B$35*Assumptions!$B$14),0))))+Assumptions!$B$30*Assumptions!$B$21)/(((B32+B18+(IF(B59="convert",B13,0)+IF(B60="convert",B19,0)+IF(B62="convert",Assumptions!$B$38,0)+IF(B63="convert",Assumptions!$B$37,0)+IF(B64="convert",Assumptions!$B$36,0)+IF(B65="convert",Assumptions!$B$35,0))))+Assumptions!$B$30),((Assumptions!$B$49-(IF(B59="preference",Assumptions!$B$3,0)+IF(B60="preference",(Assumptions!$B$34*Assumptions!$B$20),0)+IF(B62="preference",(Assumptions!$B$38*Assumptions!$B$17),0)+IF(B63="preference",(Assumptions!$B$37*Assumptions!$B$16),0)+IF(B64="preference",(Assumptions!$B$36*Assumptions!$B$15),0)+IF(B65="preference",(Assumptions!$B$35*Assumptions!$B$14),0))))/((B32+B18+(IF(B59="convert",B13,0)+IF(B60="convert",B19,0)+IF(B62="convert",Assumptions!$B$38,0)+IF(B63="convert",Assumptions!$B$37,0)+IF(B64="convert",Assumptions!$B$36,0)+IF(B65="convert",Assumptions!$B$35,0))))))*B18,"preference","convert")</f>
        <v/>
      </c>
      <c r="C69">
        <f>IF((Assumptions!$B$33*Assumptions!$B$19)&gt;(IF((((Assumptions!$B$49-(IF(C59="preference",Assumptions!$B$3,0)+IF(C60="preference",(Assumptions!$B$34*Assumptions!$B$20),0)+IF(C62="preference",(Assumptions!$B$38*Assumptions!$B$17),0)+IF(C63="preference",(Assumptions!$B$37*Assumptions!$B$16),0)+IF(C64="preference",(Assumptions!$B$36*Assumptions!$B$15),0)+IF(C65="preference",(Assumptions!$B$35*Assumptions!$B$14),0))))+Assumptions!$B$30*Assumptions!$B$21)/(((C32+C18+(IF(C59="convert",C13,0)+IF(C60="convert",C19,0)+IF(C62="convert",Assumptions!$B$38,0)+IF(C63="convert",Assumptions!$B$37,0)+IF(C64="convert",Assumptions!$B$36,0)+IF(C65="convert",Assumptions!$B$35,0))))+Assumptions!$B$30)&gt;Assumptions!$B$21,(((Assumptions!$B$49-(IF(C59="preference",Assumptions!$B$3,0)+IF(C60="preference",(Assumptions!$B$34*Assumptions!$B$20),0)+IF(C62="preference",(Assumptions!$B$38*Assumptions!$B$17),0)+IF(C63="preference",(Assumptions!$B$37*Assumptions!$B$16),0)+IF(C64="preference",(Assumptions!$B$36*Assumptions!$B$15),0)+IF(C65="preference",(Assumptions!$B$35*Assumptions!$B$14),0))))+Assumptions!$B$30*Assumptions!$B$21)/(((C32+C18+(IF(C59="convert",C13,0)+IF(C60="convert",C19,0)+IF(C62="convert",Assumptions!$B$38,0)+IF(C63="convert",Assumptions!$B$37,0)+IF(C64="convert",Assumptions!$B$36,0)+IF(C65="convert",Assumptions!$B$35,0))))+Assumptions!$B$30),((Assumptions!$B$49-(IF(C59="preference",Assumptions!$B$3,0)+IF(C60="preference",(Assumptions!$B$34*Assumptions!$B$20),0)+IF(C62="preference",(Assumptions!$B$38*Assumptions!$B$17),0)+IF(C63="preference",(Assumptions!$B$37*Assumptions!$B$16),0)+IF(C64="preference",(Assumptions!$B$36*Assumptions!$B$15),0)+IF(C65="preference",(Assumptions!$B$35*Assumptions!$B$14),0))))/((C32+C18+(IF(C59="convert",C13,0)+IF(C60="convert",C19,0)+IF(C62="convert",Assumptions!$B$38,0)+IF(C63="convert",Assumptions!$B$37,0)+IF(C64="convert",Assumptions!$B$36,0)+IF(C65="convert",Assumptions!$B$35,0))))))*C18,"preference","convert")</f>
        <v/>
      </c>
      <c r="D69">
        <f>IF((Assumptions!$B$33*Assumptions!$B$19)&gt;(IF((((Assumptions!$B$49-(IF(D59="preference",Assumptions!$B$3,0)+IF(D60="preference",(Assumptions!$B$34*Assumptions!$B$20),0)+IF(D62="preference",(Assumptions!$B$38*Assumptions!$B$17),0)+IF(D63="preference",(Assumptions!$B$37*Assumptions!$B$16),0)+IF(D64="preference",(Assumptions!$B$36*Assumptions!$B$15),0)+IF(D65="preference",(Assumptions!$B$35*Assumptions!$B$14),0))))+Assumptions!$B$30*Assumptions!$B$21)/(((D32+D18+(IF(D59="convert",D13,0)+IF(D60="convert",D19,0)+IF(D62="convert",Assumptions!$B$38,0)+IF(D63="convert",Assumptions!$B$37,0)+IF(D64="convert",Assumptions!$B$36,0)+IF(D65="convert",Assumptions!$B$35,0))))+Assumptions!$B$30)&gt;Assumptions!$B$21,(((Assumptions!$B$49-(IF(D59="preference",Assumptions!$B$3,0)+IF(D60="preference",(Assumptions!$B$34*Assumptions!$B$20),0)+IF(D62="preference",(Assumptions!$B$38*Assumptions!$B$17),0)+IF(D63="preference",(Assumptions!$B$37*Assumptions!$B$16),0)+IF(D64="preference",(Assumptions!$B$36*Assumptions!$B$15),0)+IF(D65="preference",(Assumptions!$B$35*Assumptions!$B$14),0))))+Assumptions!$B$30*Assumptions!$B$21)/(((D32+D18+(IF(D59="convert",D13,0)+IF(D60="convert",D19,0)+IF(D62="convert",Assumptions!$B$38,0)+IF(D63="convert",Assumptions!$B$37,0)+IF(D64="convert",Assumptions!$B$36,0)+IF(D65="convert",Assumptions!$B$35,0))))+Assumptions!$B$30),((Assumptions!$B$49-(IF(D59="preference",Assumptions!$B$3,0)+IF(D60="preference",(Assumptions!$B$34*Assumptions!$B$20),0)+IF(D62="preference",(Assumptions!$B$38*Assumptions!$B$17),0)+IF(D63="preference",(Assumptions!$B$37*Assumptions!$B$16),0)+IF(D64="preference",(Assumptions!$B$36*Assumptions!$B$15),0)+IF(D65="preference",(Assumptions!$B$35*Assumptions!$B$14),0))))/((D32+D18+(IF(D59="convert",D13,0)+IF(D60="convert",D19,0)+IF(D62="convert",Assumptions!$B$38,0)+IF(D63="convert",Assumptions!$B$37,0)+IF(D64="convert",Assumptions!$B$36,0)+IF(D65="convert",Assumptions!$B$35,0))))))*D18,"preference","convert")</f>
        <v/>
      </c>
      <c r="E69">
        <f>IF((Assumptions!$B$33*Assumptions!$B$19)&gt;(IF((((Assumptions!$B$49-(IF(E59="preference",Assumptions!$B$3,0)+IF(E60="preference",(Assumptions!$B$34*Assumptions!$B$20),0)+IF(E62="preference",(Assumptions!$B$38*Assumptions!$B$17),0)+IF(E63="preference",(Assumptions!$B$37*Assumptions!$B$16),0)+IF(E64="preference",(Assumptions!$B$36*Assumptions!$B$15),0)+IF(E65="preference",(Assumptions!$B$35*Assumptions!$B$14),0))))+Assumptions!$B$30*Assumptions!$B$21)/(((E32+E18+(IF(E59="convert",E13,0)+IF(E60="convert",E19,0)+IF(E62="convert",Assumptions!$B$38,0)+IF(E63="convert",Assumptions!$B$37,0)+IF(E64="convert",Assumptions!$B$36,0)+IF(E65="convert",Assumptions!$B$35,0))))+Assumptions!$B$30)&gt;Assumptions!$B$21,(((Assumptions!$B$49-(IF(E59="preference",Assumptions!$B$3,0)+IF(E60="preference",(Assumptions!$B$34*Assumptions!$B$20),0)+IF(E62="preference",(Assumptions!$B$38*Assumptions!$B$17),0)+IF(E63="preference",(Assumptions!$B$37*Assumptions!$B$16),0)+IF(E64="preference",(Assumptions!$B$36*Assumptions!$B$15),0)+IF(E65="preference",(Assumptions!$B$35*Assumptions!$B$14),0))))+Assumptions!$B$30*Assumptions!$B$21)/(((E32+E18+(IF(E59="convert",E13,0)+IF(E60="convert",E19,0)+IF(E62="convert",Assumptions!$B$38,0)+IF(E63="convert",Assumptions!$B$37,0)+IF(E64="convert",Assumptions!$B$36,0)+IF(E65="convert",Assumptions!$B$35,0))))+Assumptions!$B$30),((Assumptions!$B$49-(IF(E59="preference",Assumptions!$B$3,0)+IF(E60="preference",(Assumptions!$B$34*Assumptions!$B$20),0)+IF(E62="preference",(Assumptions!$B$38*Assumptions!$B$17),0)+IF(E63="preference",(Assumptions!$B$37*Assumptions!$B$16),0)+IF(E64="preference",(Assumptions!$B$36*Assumptions!$B$15),0)+IF(E65="preference",(Assumptions!$B$35*Assumptions!$B$14),0))))/((E32+E18+(IF(E59="convert",E13,0)+IF(E60="convert",E19,0)+IF(E62="convert",Assumptions!$B$38,0)+IF(E63="convert",Assumptions!$B$37,0)+IF(E64="convert",Assumptions!$B$36,0)+IF(E65="convert",Assumptions!$B$35,0))))))*E18,"preference","convert")</f>
        <v/>
      </c>
      <c r="F69">
        <f>IF((Assumptions!$B$33*Assumptions!$B$19)&gt;(IF((((Assumptions!$B$49-(IF(F59="preference",Assumptions!$B$3,0)+IF(F60="preference",(Assumptions!$B$34*Assumptions!$B$20),0)+IF(F62="preference",(Assumptions!$B$38*Assumptions!$B$17),0)+IF(F63="preference",(Assumptions!$B$37*Assumptions!$B$16),0)+IF(F64="preference",(Assumptions!$B$36*Assumptions!$B$15),0)+IF(F65="preference",(Assumptions!$B$35*Assumptions!$B$14),0))))+Assumptions!$B$30*Assumptions!$B$21)/(((F32+F18+(IF(F59="convert",F13,0)+IF(F60="convert",F19,0)+IF(F62="convert",Assumptions!$B$38,0)+IF(F63="convert",Assumptions!$B$37,0)+IF(F64="convert",Assumptions!$B$36,0)+IF(F65="convert",Assumptions!$B$35,0))))+Assumptions!$B$30)&gt;Assumptions!$B$21,(((Assumptions!$B$49-(IF(F59="preference",Assumptions!$B$3,0)+IF(F60="preference",(Assumptions!$B$34*Assumptions!$B$20),0)+IF(F62="preference",(Assumptions!$B$38*Assumptions!$B$17),0)+IF(F63="preference",(Assumptions!$B$37*Assumptions!$B$16),0)+IF(F64="preference",(Assumptions!$B$36*Assumptions!$B$15),0)+IF(F65="preference",(Assumptions!$B$35*Assumptions!$B$14),0))))+Assumptions!$B$30*Assumptions!$B$21)/(((F32+F18+(IF(F59="convert",F13,0)+IF(F60="convert",F19,0)+IF(F62="convert",Assumptions!$B$38,0)+IF(F63="convert",Assumptions!$B$37,0)+IF(F64="convert",Assumptions!$B$36,0)+IF(F65="convert",Assumptions!$B$35,0))))+Assumptions!$B$30),((Assumptions!$B$49-(IF(F59="preference",Assumptions!$B$3,0)+IF(F60="preference",(Assumptions!$B$34*Assumptions!$B$20),0)+IF(F62="preference",(Assumptions!$B$38*Assumptions!$B$17),0)+IF(F63="preference",(Assumptions!$B$37*Assumptions!$B$16),0)+IF(F64="preference",(Assumptions!$B$36*Assumptions!$B$15),0)+IF(F65="preference",(Assumptions!$B$35*Assumptions!$B$14),0))))/((F32+F18+(IF(F59="convert",F13,0)+IF(F60="convert",F19,0)+IF(F62="convert",Assumptions!$B$38,0)+IF(F63="convert",Assumptions!$B$37,0)+IF(F64="convert",Assumptions!$B$36,0)+IF(F65="convert",Assumptions!$B$35,0))))))*F18,"preference","convert")</f>
        <v/>
      </c>
      <c r="G69">
        <f>IF((Assumptions!$B$33*Assumptions!$B$19)&gt;(IF((((Assumptions!$B$49-(IF(G59="preference",Assumptions!$B$3,0)+IF(G60="preference",(Assumptions!$B$34*Assumptions!$B$20),0)+IF(G62="preference",(Assumptions!$B$38*Assumptions!$B$17),0)+IF(G63="preference",(Assumptions!$B$37*Assumptions!$B$16),0)+IF(G64="preference",(Assumptions!$B$36*Assumptions!$B$15),0)+IF(G65="preference",(Assumptions!$B$35*Assumptions!$B$14),0))))+Assumptions!$B$30*Assumptions!$B$21)/(((G32+G18+(IF(G59="convert",G13,0)+IF(G60="convert",G19,0)+IF(G62="convert",Assumptions!$B$38,0)+IF(G63="convert",Assumptions!$B$37,0)+IF(G64="convert",Assumptions!$B$36,0)+IF(G65="convert",Assumptions!$B$35,0))))+Assumptions!$B$30)&gt;Assumptions!$B$21,(((Assumptions!$B$49-(IF(G59="preference",Assumptions!$B$3,0)+IF(G60="preference",(Assumptions!$B$34*Assumptions!$B$20),0)+IF(G62="preference",(Assumptions!$B$38*Assumptions!$B$17),0)+IF(G63="preference",(Assumptions!$B$37*Assumptions!$B$16),0)+IF(G64="preference",(Assumptions!$B$36*Assumptions!$B$15),0)+IF(G65="preference",(Assumptions!$B$35*Assumptions!$B$14),0))))+Assumptions!$B$30*Assumptions!$B$21)/(((G32+G18+(IF(G59="convert",G13,0)+IF(G60="convert",G19,0)+IF(G62="convert",Assumptions!$B$38,0)+IF(G63="convert",Assumptions!$B$37,0)+IF(G64="convert",Assumptions!$B$36,0)+IF(G65="convert",Assumptions!$B$35,0))))+Assumptions!$B$30),((Assumptions!$B$49-(IF(G59="preference",Assumptions!$B$3,0)+IF(G60="preference",(Assumptions!$B$34*Assumptions!$B$20),0)+IF(G62="preference",(Assumptions!$B$38*Assumptions!$B$17),0)+IF(G63="preference",(Assumptions!$B$37*Assumptions!$B$16),0)+IF(G64="preference",(Assumptions!$B$36*Assumptions!$B$15),0)+IF(G65="preference",(Assumptions!$B$35*Assumptions!$B$14),0))))/((G32+G18+(IF(G59="convert",G13,0)+IF(G60="convert",G19,0)+IF(G62="convert",Assumptions!$B$38,0)+IF(G63="convert",Assumptions!$B$37,0)+IF(G64="convert",Assumptions!$B$36,0)+IF(G65="convert",Assumptions!$B$35,0))))))*G18,"preference","convert")</f>
        <v/>
      </c>
      <c r="H69">
        <f>IF((Assumptions!$B$33*Assumptions!$B$19)&gt;(IF((((Assumptions!$B$49-(IF(H59="preference",Assumptions!$B$3,0)+IF(H60="preference",(Assumptions!$B$34*Assumptions!$B$20),0)+IF(H62="preference",(Assumptions!$B$38*Assumptions!$B$17),0)+IF(H63="preference",(Assumptions!$B$37*Assumptions!$B$16),0)+IF(H64="preference",(Assumptions!$B$36*Assumptions!$B$15),0)+IF(H65="preference",(Assumptions!$B$35*Assumptions!$B$14),0))))+Assumptions!$B$30*Assumptions!$B$21)/(((H32+H18+(IF(H59="convert",H13,0)+IF(H60="convert",H19,0)+IF(H62="convert",Assumptions!$B$38,0)+IF(H63="convert",Assumptions!$B$37,0)+IF(H64="convert",Assumptions!$B$36,0)+IF(H65="convert",Assumptions!$B$35,0))))+Assumptions!$B$30)&gt;Assumptions!$B$21,(((Assumptions!$B$49-(IF(H59="preference",Assumptions!$B$3,0)+IF(H60="preference",(Assumptions!$B$34*Assumptions!$B$20),0)+IF(H62="preference",(Assumptions!$B$38*Assumptions!$B$17),0)+IF(H63="preference",(Assumptions!$B$37*Assumptions!$B$16),0)+IF(H64="preference",(Assumptions!$B$36*Assumptions!$B$15),0)+IF(H65="preference",(Assumptions!$B$35*Assumptions!$B$14),0))))+Assumptions!$B$30*Assumptions!$B$21)/(((H32+H18+(IF(H59="convert",H13,0)+IF(H60="convert",H19,0)+IF(H62="convert",Assumptions!$B$38,0)+IF(H63="convert",Assumptions!$B$37,0)+IF(H64="convert",Assumptions!$B$36,0)+IF(H65="convert",Assumptions!$B$35,0))))+Assumptions!$B$30),((Assumptions!$B$49-(IF(H59="preference",Assumptions!$B$3,0)+IF(H60="preference",(Assumptions!$B$34*Assumptions!$B$20),0)+IF(H62="preference",(Assumptions!$B$38*Assumptions!$B$17),0)+IF(H63="preference",(Assumptions!$B$37*Assumptions!$B$16),0)+IF(H64="preference",(Assumptions!$B$36*Assumptions!$B$15),0)+IF(H65="preference",(Assumptions!$B$35*Assumptions!$B$14),0))))/((H32+H18+(IF(H59="convert",H13,0)+IF(H60="convert",H19,0)+IF(H62="convert",Assumptions!$B$38,0)+IF(H63="convert",Assumptions!$B$37,0)+IF(H64="convert",Assumptions!$B$36,0)+IF(H65="convert",Assumptions!$B$35,0))))))*H18,"preference","convert")</f>
        <v/>
      </c>
      <c r="I69">
        <f>IF((Assumptions!$B$33*Assumptions!$B$19)&gt;(IF((((Assumptions!$B$49-(IF(I59="preference",Assumptions!$B$3,0)+IF(I60="preference",(Assumptions!$B$34*Assumptions!$B$20),0)+IF(I62="preference",(Assumptions!$B$38*Assumptions!$B$17),0)+IF(I63="preference",(Assumptions!$B$37*Assumptions!$B$16),0)+IF(I64="preference",(Assumptions!$B$36*Assumptions!$B$15),0)+IF(I65="preference",(Assumptions!$B$35*Assumptions!$B$14),0))))+Assumptions!$B$30*Assumptions!$B$21)/(((I32+I18+(IF(I59="convert",I13,0)+IF(I60="convert",I19,0)+IF(I62="convert",Assumptions!$B$38,0)+IF(I63="convert",Assumptions!$B$37,0)+IF(I64="convert",Assumptions!$B$36,0)+IF(I65="convert",Assumptions!$B$35,0))))+Assumptions!$B$30)&gt;Assumptions!$B$21,(((Assumptions!$B$49-(IF(I59="preference",Assumptions!$B$3,0)+IF(I60="preference",(Assumptions!$B$34*Assumptions!$B$20),0)+IF(I62="preference",(Assumptions!$B$38*Assumptions!$B$17),0)+IF(I63="preference",(Assumptions!$B$37*Assumptions!$B$16),0)+IF(I64="preference",(Assumptions!$B$36*Assumptions!$B$15),0)+IF(I65="preference",(Assumptions!$B$35*Assumptions!$B$14),0))))+Assumptions!$B$30*Assumptions!$B$21)/(((I32+I18+(IF(I59="convert",I13,0)+IF(I60="convert",I19,0)+IF(I62="convert",Assumptions!$B$38,0)+IF(I63="convert",Assumptions!$B$37,0)+IF(I64="convert",Assumptions!$B$36,0)+IF(I65="convert",Assumptions!$B$35,0))))+Assumptions!$B$30),((Assumptions!$B$49-(IF(I59="preference",Assumptions!$B$3,0)+IF(I60="preference",(Assumptions!$B$34*Assumptions!$B$20),0)+IF(I62="preference",(Assumptions!$B$38*Assumptions!$B$17),0)+IF(I63="preference",(Assumptions!$B$37*Assumptions!$B$16),0)+IF(I64="preference",(Assumptions!$B$36*Assumptions!$B$15),0)+IF(I65="preference",(Assumptions!$B$35*Assumptions!$B$14),0))))/((I32+I18+(IF(I59="convert",I13,0)+IF(I60="convert",I19,0)+IF(I62="convert",Assumptions!$B$38,0)+IF(I63="convert",Assumptions!$B$37,0)+IF(I64="convert",Assumptions!$B$36,0)+IF(I65="convert",Assumptions!$B$35,0))))))*I18,"preference","convert")</f>
        <v/>
      </c>
      <c r="J69">
        <f>IF((Assumptions!$B$33*Assumptions!$B$19)&gt;(IF((((Assumptions!$B$49-(IF(J59="preference",Assumptions!$B$3,0)+IF(J60="preference",(Assumptions!$B$34*Assumptions!$B$20),0)+IF(J62="preference",(Assumptions!$B$38*Assumptions!$B$17),0)+IF(J63="preference",(Assumptions!$B$37*Assumptions!$B$16),0)+IF(J64="preference",(Assumptions!$B$36*Assumptions!$B$15),0)+IF(J65="preference",(Assumptions!$B$35*Assumptions!$B$14),0))))+Assumptions!$B$30*Assumptions!$B$21)/(((J32+J18+(IF(J59="convert",J13,0)+IF(J60="convert",J19,0)+IF(J62="convert",Assumptions!$B$38,0)+IF(J63="convert",Assumptions!$B$37,0)+IF(J64="convert",Assumptions!$B$36,0)+IF(J65="convert",Assumptions!$B$35,0))))+Assumptions!$B$30)&gt;Assumptions!$B$21,(((Assumptions!$B$49-(IF(J59="preference",Assumptions!$B$3,0)+IF(J60="preference",(Assumptions!$B$34*Assumptions!$B$20),0)+IF(J62="preference",(Assumptions!$B$38*Assumptions!$B$17),0)+IF(J63="preference",(Assumptions!$B$37*Assumptions!$B$16),0)+IF(J64="preference",(Assumptions!$B$36*Assumptions!$B$15),0)+IF(J65="preference",(Assumptions!$B$35*Assumptions!$B$14),0))))+Assumptions!$B$30*Assumptions!$B$21)/(((J32+J18+(IF(J59="convert",J13,0)+IF(J60="convert",J19,0)+IF(J62="convert",Assumptions!$B$38,0)+IF(J63="convert",Assumptions!$B$37,0)+IF(J64="convert",Assumptions!$B$36,0)+IF(J65="convert",Assumptions!$B$35,0))))+Assumptions!$B$30),((Assumptions!$B$49-(IF(J59="preference",Assumptions!$B$3,0)+IF(J60="preference",(Assumptions!$B$34*Assumptions!$B$20),0)+IF(J62="preference",(Assumptions!$B$38*Assumptions!$B$17),0)+IF(J63="preference",(Assumptions!$B$37*Assumptions!$B$16),0)+IF(J64="preference",(Assumptions!$B$36*Assumptions!$B$15),0)+IF(J65="preference",(Assumptions!$B$35*Assumptions!$B$14),0))))/((J32+J18+(IF(J59="convert",J13,0)+IF(J60="convert",J19,0)+IF(J62="convert",Assumptions!$B$38,0)+IF(J63="convert",Assumptions!$B$37,0)+IF(J64="convert",Assumptions!$B$36,0)+IF(J65="convert",Assumptions!$B$35,0))))))*J18,"preference","convert")</f>
        <v/>
      </c>
    </row>
    <row r="70">
      <c r="A70" t="inlineStr">
        <is>
          <t xml:space="preserve">  C</t>
        </is>
      </c>
      <c r="B70">
        <f>IF((Assumptions!$B$38*Assumptions!$B$17)&gt;(IF((((Assumptions!$B$49-(IF(B59="preference",Assumptions!$B$3,0)+IF(B60="preference",(Assumptions!$B$34*Assumptions!$B$20),0)+IF(B61="preference",(Assumptions!$B$33*Assumptions!$B$19),0)+IF(B63="preference",(Assumptions!$B$37*Assumptions!$B$16),0)+IF(B64="preference",(Assumptions!$B$36*Assumptions!$B$15),0)+IF(B65="preference",(Assumptions!$B$35*Assumptions!$B$14),0))))+Assumptions!$B$30*Assumptions!$B$21)/(((B32+Assumptions!$B$38+(IF(B59="convert",B13,0)+IF(B60="convert",B19,0)+IF(B61="convert",B18,0)+IF(B63="convert",Assumptions!$B$37,0)+IF(B64="convert",Assumptions!$B$36,0)+IF(B65="convert",Assumptions!$B$35,0))))+Assumptions!$B$30)&gt;Assumptions!$B$21,(((Assumptions!$B$49-(IF(B59="preference",Assumptions!$B$3,0)+IF(B60="preference",(Assumptions!$B$34*Assumptions!$B$20),0)+IF(B61="preference",(Assumptions!$B$33*Assumptions!$B$19),0)+IF(B63="preference",(Assumptions!$B$37*Assumptions!$B$16),0)+IF(B64="preference",(Assumptions!$B$36*Assumptions!$B$15),0)+IF(B65="preference",(Assumptions!$B$35*Assumptions!$B$14),0))))+Assumptions!$B$30*Assumptions!$B$21)/(((B32+Assumptions!$B$38+(IF(B59="convert",B13,0)+IF(B60="convert",B19,0)+IF(B61="convert",B18,0)+IF(B63="convert",Assumptions!$B$37,0)+IF(B64="convert",Assumptions!$B$36,0)+IF(B65="convert",Assumptions!$B$35,0))))+Assumptions!$B$30),((Assumptions!$B$49-(IF(B59="preference",Assumptions!$B$3,0)+IF(B60="preference",(Assumptions!$B$34*Assumptions!$B$20),0)+IF(B61="preference",(Assumptions!$B$33*Assumptions!$B$19),0)+IF(B63="preference",(Assumptions!$B$37*Assumptions!$B$16),0)+IF(B64="preference",(Assumptions!$B$36*Assumptions!$B$15),0)+IF(B65="preference",(Assumptions!$B$35*Assumptions!$B$14),0))))/((B32+Assumptions!$B$38+(IF(B59="convert",B13,0)+IF(B60="convert",B19,0)+IF(B61="convert",B18,0)+IF(B63="convert",Assumptions!$B$37,0)+IF(B64="convert",Assumptions!$B$36,0)+IF(B65="convert",Assumptions!$B$35,0))))))*Assumptions!$B$38,"preference","convert")</f>
        <v/>
      </c>
      <c r="C70">
        <f>IF((Assumptions!$B$38*Assumptions!$B$17)&gt;(IF((((Assumptions!$B$49-(IF(C59="preference",Assumptions!$B$3,0)+IF(C60="preference",(Assumptions!$B$34*Assumptions!$B$20),0)+IF(C61="preference",(Assumptions!$B$33*Assumptions!$B$19),0)+IF(C63="preference",(Assumptions!$B$37*Assumptions!$B$16),0)+IF(C64="preference",(Assumptions!$B$36*Assumptions!$B$15),0)+IF(C65="preference",(Assumptions!$B$35*Assumptions!$B$14),0))))+Assumptions!$B$30*Assumptions!$B$21)/(((C32+Assumptions!$B$38+(IF(C59="convert",C13,0)+IF(C60="convert",C19,0)+IF(C61="convert",C18,0)+IF(C63="convert",Assumptions!$B$37,0)+IF(C64="convert",Assumptions!$B$36,0)+IF(C65="convert",Assumptions!$B$35,0))))+Assumptions!$B$30)&gt;Assumptions!$B$21,(((Assumptions!$B$49-(IF(C59="preference",Assumptions!$B$3,0)+IF(C60="preference",(Assumptions!$B$34*Assumptions!$B$20),0)+IF(C61="preference",(Assumptions!$B$33*Assumptions!$B$19),0)+IF(C63="preference",(Assumptions!$B$37*Assumptions!$B$16),0)+IF(C64="preference",(Assumptions!$B$36*Assumptions!$B$15),0)+IF(C65="preference",(Assumptions!$B$35*Assumptions!$B$14),0))))+Assumptions!$B$30*Assumptions!$B$21)/(((C32+Assumptions!$B$38+(IF(C59="convert",C13,0)+IF(C60="convert",C19,0)+IF(C61="convert",C18,0)+IF(C63="convert",Assumptions!$B$37,0)+IF(C64="convert",Assumptions!$B$36,0)+IF(C65="convert",Assumptions!$B$35,0))))+Assumptions!$B$30),((Assumptions!$B$49-(IF(C59="preference",Assumptions!$B$3,0)+IF(C60="preference",(Assumptions!$B$34*Assumptions!$B$20),0)+IF(C61="preference",(Assumptions!$B$33*Assumptions!$B$19),0)+IF(C63="preference",(Assumptions!$B$37*Assumptions!$B$16),0)+IF(C64="preference",(Assumptions!$B$36*Assumptions!$B$15),0)+IF(C65="preference",(Assumptions!$B$35*Assumptions!$B$14),0))))/((C32+Assumptions!$B$38+(IF(C59="convert",C13,0)+IF(C60="convert",C19,0)+IF(C61="convert",C18,0)+IF(C63="convert",Assumptions!$B$37,0)+IF(C64="convert",Assumptions!$B$36,0)+IF(C65="convert",Assumptions!$B$35,0))))))*Assumptions!$B$38,"preference","convert")</f>
        <v/>
      </c>
      <c r="D70">
        <f>IF((Assumptions!$B$38*Assumptions!$B$17)&gt;(IF((((Assumptions!$B$49-(IF(D59="preference",Assumptions!$B$3,0)+IF(D60="preference",(Assumptions!$B$34*Assumptions!$B$20),0)+IF(D61="preference",(Assumptions!$B$33*Assumptions!$B$19),0)+IF(D63="preference",(Assumptions!$B$37*Assumptions!$B$16),0)+IF(D64="preference",(Assumptions!$B$36*Assumptions!$B$15),0)+IF(D65="preference",(Assumptions!$B$35*Assumptions!$B$14),0))))+Assumptions!$B$30*Assumptions!$B$21)/(((D32+Assumptions!$B$38+(IF(D59="convert",D13,0)+IF(D60="convert",D19,0)+IF(D61="convert",D18,0)+IF(D63="convert",Assumptions!$B$37,0)+IF(D64="convert",Assumptions!$B$36,0)+IF(D65="convert",Assumptions!$B$35,0))))+Assumptions!$B$30)&gt;Assumptions!$B$21,(((Assumptions!$B$49-(IF(D59="preference",Assumptions!$B$3,0)+IF(D60="preference",(Assumptions!$B$34*Assumptions!$B$20),0)+IF(D61="preference",(Assumptions!$B$33*Assumptions!$B$19),0)+IF(D63="preference",(Assumptions!$B$37*Assumptions!$B$16),0)+IF(D64="preference",(Assumptions!$B$36*Assumptions!$B$15),0)+IF(D65="preference",(Assumptions!$B$35*Assumptions!$B$14),0))))+Assumptions!$B$30*Assumptions!$B$21)/(((D32+Assumptions!$B$38+(IF(D59="convert",D13,0)+IF(D60="convert",D19,0)+IF(D61="convert",D18,0)+IF(D63="convert",Assumptions!$B$37,0)+IF(D64="convert",Assumptions!$B$36,0)+IF(D65="convert",Assumptions!$B$35,0))))+Assumptions!$B$30),((Assumptions!$B$49-(IF(D59="preference",Assumptions!$B$3,0)+IF(D60="preference",(Assumptions!$B$34*Assumptions!$B$20),0)+IF(D61="preference",(Assumptions!$B$33*Assumptions!$B$19),0)+IF(D63="preference",(Assumptions!$B$37*Assumptions!$B$16),0)+IF(D64="preference",(Assumptions!$B$36*Assumptions!$B$15),0)+IF(D65="preference",(Assumptions!$B$35*Assumptions!$B$14),0))))/((D32+Assumptions!$B$38+(IF(D59="convert",D13,0)+IF(D60="convert",D19,0)+IF(D61="convert",D18,0)+IF(D63="convert",Assumptions!$B$37,0)+IF(D64="convert",Assumptions!$B$36,0)+IF(D65="convert",Assumptions!$B$35,0))))))*Assumptions!$B$38,"preference","convert")</f>
        <v/>
      </c>
      <c r="E70">
        <f>IF((Assumptions!$B$38*Assumptions!$B$17)&gt;(IF((((Assumptions!$B$49-(IF(E59="preference",Assumptions!$B$3,0)+IF(E60="preference",(Assumptions!$B$34*Assumptions!$B$20),0)+IF(E61="preference",(Assumptions!$B$33*Assumptions!$B$19),0)+IF(E63="preference",(Assumptions!$B$37*Assumptions!$B$16),0)+IF(E64="preference",(Assumptions!$B$36*Assumptions!$B$15),0)+IF(E65="preference",(Assumptions!$B$35*Assumptions!$B$14),0))))+Assumptions!$B$30*Assumptions!$B$21)/(((E32+Assumptions!$B$38+(IF(E59="convert",E13,0)+IF(E60="convert",E19,0)+IF(E61="convert",E18,0)+IF(E63="convert",Assumptions!$B$37,0)+IF(E64="convert",Assumptions!$B$36,0)+IF(E65="convert",Assumptions!$B$35,0))))+Assumptions!$B$30)&gt;Assumptions!$B$21,(((Assumptions!$B$49-(IF(E59="preference",Assumptions!$B$3,0)+IF(E60="preference",(Assumptions!$B$34*Assumptions!$B$20),0)+IF(E61="preference",(Assumptions!$B$33*Assumptions!$B$19),0)+IF(E63="preference",(Assumptions!$B$37*Assumptions!$B$16),0)+IF(E64="preference",(Assumptions!$B$36*Assumptions!$B$15),0)+IF(E65="preference",(Assumptions!$B$35*Assumptions!$B$14),0))))+Assumptions!$B$30*Assumptions!$B$21)/(((E32+Assumptions!$B$38+(IF(E59="convert",E13,0)+IF(E60="convert",E19,0)+IF(E61="convert",E18,0)+IF(E63="convert",Assumptions!$B$37,0)+IF(E64="convert",Assumptions!$B$36,0)+IF(E65="convert",Assumptions!$B$35,0))))+Assumptions!$B$30),((Assumptions!$B$49-(IF(E59="preference",Assumptions!$B$3,0)+IF(E60="preference",(Assumptions!$B$34*Assumptions!$B$20),0)+IF(E61="preference",(Assumptions!$B$33*Assumptions!$B$19),0)+IF(E63="preference",(Assumptions!$B$37*Assumptions!$B$16),0)+IF(E64="preference",(Assumptions!$B$36*Assumptions!$B$15),0)+IF(E65="preference",(Assumptions!$B$35*Assumptions!$B$14),0))))/((E32+Assumptions!$B$38+(IF(E59="convert",E13,0)+IF(E60="convert",E19,0)+IF(E61="convert",E18,0)+IF(E63="convert",Assumptions!$B$37,0)+IF(E64="convert",Assumptions!$B$36,0)+IF(E65="convert",Assumptions!$B$35,0))))))*Assumptions!$B$38,"preference","convert")</f>
        <v/>
      </c>
      <c r="F70">
        <f>IF((Assumptions!$B$38*Assumptions!$B$17)&gt;(IF((((Assumptions!$B$49-(IF(F59="preference",Assumptions!$B$3,0)+IF(F60="preference",(Assumptions!$B$34*Assumptions!$B$20),0)+IF(F61="preference",(Assumptions!$B$33*Assumptions!$B$19),0)+IF(F63="preference",(Assumptions!$B$37*Assumptions!$B$16),0)+IF(F64="preference",(Assumptions!$B$36*Assumptions!$B$15),0)+IF(F65="preference",(Assumptions!$B$35*Assumptions!$B$14),0))))+Assumptions!$B$30*Assumptions!$B$21)/(((F32+Assumptions!$B$38+(IF(F59="convert",F13,0)+IF(F60="convert",F19,0)+IF(F61="convert",F18,0)+IF(F63="convert",Assumptions!$B$37,0)+IF(F64="convert",Assumptions!$B$36,0)+IF(F65="convert",Assumptions!$B$35,0))))+Assumptions!$B$30)&gt;Assumptions!$B$21,(((Assumptions!$B$49-(IF(F59="preference",Assumptions!$B$3,0)+IF(F60="preference",(Assumptions!$B$34*Assumptions!$B$20),0)+IF(F61="preference",(Assumptions!$B$33*Assumptions!$B$19),0)+IF(F63="preference",(Assumptions!$B$37*Assumptions!$B$16),0)+IF(F64="preference",(Assumptions!$B$36*Assumptions!$B$15),0)+IF(F65="preference",(Assumptions!$B$35*Assumptions!$B$14),0))))+Assumptions!$B$30*Assumptions!$B$21)/(((F32+Assumptions!$B$38+(IF(F59="convert",F13,0)+IF(F60="convert",F19,0)+IF(F61="convert",F18,0)+IF(F63="convert",Assumptions!$B$37,0)+IF(F64="convert",Assumptions!$B$36,0)+IF(F65="convert",Assumptions!$B$35,0))))+Assumptions!$B$30),((Assumptions!$B$49-(IF(F59="preference",Assumptions!$B$3,0)+IF(F60="preference",(Assumptions!$B$34*Assumptions!$B$20),0)+IF(F61="preference",(Assumptions!$B$33*Assumptions!$B$19),0)+IF(F63="preference",(Assumptions!$B$37*Assumptions!$B$16),0)+IF(F64="preference",(Assumptions!$B$36*Assumptions!$B$15),0)+IF(F65="preference",(Assumptions!$B$35*Assumptions!$B$14),0))))/((F32+Assumptions!$B$38+(IF(F59="convert",F13,0)+IF(F60="convert",F19,0)+IF(F61="convert",F18,0)+IF(F63="convert",Assumptions!$B$37,0)+IF(F64="convert",Assumptions!$B$36,0)+IF(F65="convert",Assumptions!$B$35,0))))))*Assumptions!$B$38,"preference","convert")</f>
        <v/>
      </c>
      <c r="G70">
        <f>IF((Assumptions!$B$38*Assumptions!$B$17)&gt;(IF((((Assumptions!$B$49-(IF(G59="preference",Assumptions!$B$3,0)+IF(G60="preference",(Assumptions!$B$34*Assumptions!$B$20),0)+IF(G61="preference",(Assumptions!$B$33*Assumptions!$B$19),0)+IF(G63="preference",(Assumptions!$B$37*Assumptions!$B$16),0)+IF(G64="preference",(Assumptions!$B$36*Assumptions!$B$15),0)+IF(G65="preference",(Assumptions!$B$35*Assumptions!$B$14),0))))+Assumptions!$B$30*Assumptions!$B$21)/(((G32+Assumptions!$B$38+(IF(G59="convert",G13,0)+IF(G60="convert",G19,0)+IF(G61="convert",G18,0)+IF(G63="convert",Assumptions!$B$37,0)+IF(G64="convert",Assumptions!$B$36,0)+IF(G65="convert",Assumptions!$B$35,0))))+Assumptions!$B$30)&gt;Assumptions!$B$21,(((Assumptions!$B$49-(IF(G59="preference",Assumptions!$B$3,0)+IF(G60="preference",(Assumptions!$B$34*Assumptions!$B$20),0)+IF(G61="preference",(Assumptions!$B$33*Assumptions!$B$19),0)+IF(G63="preference",(Assumptions!$B$37*Assumptions!$B$16),0)+IF(G64="preference",(Assumptions!$B$36*Assumptions!$B$15),0)+IF(G65="preference",(Assumptions!$B$35*Assumptions!$B$14),0))))+Assumptions!$B$30*Assumptions!$B$21)/(((G32+Assumptions!$B$38+(IF(G59="convert",G13,0)+IF(G60="convert",G19,0)+IF(G61="convert",G18,0)+IF(G63="convert",Assumptions!$B$37,0)+IF(G64="convert",Assumptions!$B$36,0)+IF(G65="convert",Assumptions!$B$35,0))))+Assumptions!$B$30),((Assumptions!$B$49-(IF(G59="preference",Assumptions!$B$3,0)+IF(G60="preference",(Assumptions!$B$34*Assumptions!$B$20),0)+IF(G61="preference",(Assumptions!$B$33*Assumptions!$B$19),0)+IF(G63="preference",(Assumptions!$B$37*Assumptions!$B$16),0)+IF(G64="preference",(Assumptions!$B$36*Assumptions!$B$15),0)+IF(G65="preference",(Assumptions!$B$35*Assumptions!$B$14),0))))/((G32+Assumptions!$B$38+(IF(G59="convert",G13,0)+IF(G60="convert",G19,0)+IF(G61="convert",G18,0)+IF(G63="convert",Assumptions!$B$37,0)+IF(G64="convert",Assumptions!$B$36,0)+IF(G65="convert",Assumptions!$B$35,0))))))*Assumptions!$B$38,"preference","convert")</f>
        <v/>
      </c>
      <c r="H70">
        <f>IF((Assumptions!$B$38*Assumptions!$B$17)&gt;(IF((((Assumptions!$B$49-(IF(H59="preference",Assumptions!$B$3,0)+IF(H60="preference",(Assumptions!$B$34*Assumptions!$B$20),0)+IF(H61="preference",(Assumptions!$B$33*Assumptions!$B$19),0)+IF(H63="preference",(Assumptions!$B$37*Assumptions!$B$16),0)+IF(H64="preference",(Assumptions!$B$36*Assumptions!$B$15),0)+IF(H65="preference",(Assumptions!$B$35*Assumptions!$B$14),0))))+Assumptions!$B$30*Assumptions!$B$21)/(((H32+Assumptions!$B$38+(IF(H59="convert",H13,0)+IF(H60="convert",H19,0)+IF(H61="convert",H18,0)+IF(H63="convert",Assumptions!$B$37,0)+IF(H64="convert",Assumptions!$B$36,0)+IF(H65="convert",Assumptions!$B$35,0))))+Assumptions!$B$30)&gt;Assumptions!$B$21,(((Assumptions!$B$49-(IF(H59="preference",Assumptions!$B$3,0)+IF(H60="preference",(Assumptions!$B$34*Assumptions!$B$20),0)+IF(H61="preference",(Assumptions!$B$33*Assumptions!$B$19),0)+IF(H63="preference",(Assumptions!$B$37*Assumptions!$B$16),0)+IF(H64="preference",(Assumptions!$B$36*Assumptions!$B$15),0)+IF(H65="preference",(Assumptions!$B$35*Assumptions!$B$14),0))))+Assumptions!$B$30*Assumptions!$B$21)/(((H32+Assumptions!$B$38+(IF(H59="convert",H13,0)+IF(H60="convert",H19,0)+IF(H61="convert",H18,0)+IF(H63="convert",Assumptions!$B$37,0)+IF(H64="convert",Assumptions!$B$36,0)+IF(H65="convert",Assumptions!$B$35,0))))+Assumptions!$B$30),((Assumptions!$B$49-(IF(H59="preference",Assumptions!$B$3,0)+IF(H60="preference",(Assumptions!$B$34*Assumptions!$B$20),0)+IF(H61="preference",(Assumptions!$B$33*Assumptions!$B$19),0)+IF(H63="preference",(Assumptions!$B$37*Assumptions!$B$16),0)+IF(H64="preference",(Assumptions!$B$36*Assumptions!$B$15),0)+IF(H65="preference",(Assumptions!$B$35*Assumptions!$B$14),0))))/((H32+Assumptions!$B$38+(IF(H59="convert",H13,0)+IF(H60="convert",H19,0)+IF(H61="convert",H18,0)+IF(H63="convert",Assumptions!$B$37,0)+IF(H64="convert",Assumptions!$B$36,0)+IF(H65="convert",Assumptions!$B$35,0))))))*Assumptions!$B$38,"preference","convert")</f>
        <v/>
      </c>
      <c r="I70">
        <f>IF((Assumptions!$B$38*Assumptions!$B$17)&gt;(IF((((Assumptions!$B$49-(IF(I59="preference",Assumptions!$B$3,0)+IF(I60="preference",(Assumptions!$B$34*Assumptions!$B$20),0)+IF(I61="preference",(Assumptions!$B$33*Assumptions!$B$19),0)+IF(I63="preference",(Assumptions!$B$37*Assumptions!$B$16),0)+IF(I64="preference",(Assumptions!$B$36*Assumptions!$B$15),0)+IF(I65="preference",(Assumptions!$B$35*Assumptions!$B$14),0))))+Assumptions!$B$30*Assumptions!$B$21)/(((I32+Assumptions!$B$38+(IF(I59="convert",I13,0)+IF(I60="convert",I19,0)+IF(I61="convert",I18,0)+IF(I63="convert",Assumptions!$B$37,0)+IF(I64="convert",Assumptions!$B$36,0)+IF(I65="convert",Assumptions!$B$35,0))))+Assumptions!$B$30)&gt;Assumptions!$B$21,(((Assumptions!$B$49-(IF(I59="preference",Assumptions!$B$3,0)+IF(I60="preference",(Assumptions!$B$34*Assumptions!$B$20),0)+IF(I61="preference",(Assumptions!$B$33*Assumptions!$B$19),0)+IF(I63="preference",(Assumptions!$B$37*Assumptions!$B$16),0)+IF(I64="preference",(Assumptions!$B$36*Assumptions!$B$15),0)+IF(I65="preference",(Assumptions!$B$35*Assumptions!$B$14),0))))+Assumptions!$B$30*Assumptions!$B$21)/(((I32+Assumptions!$B$38+(IF(I59="convert",I13,0)+IF(I60="convert",I19,0)+IF(I61="convert",I18,0)+IF(I63="convert",Assumptions!$B$37,0)+IF(I64="convert",Assumptions!$B$36,0)+IF(I65="convert",Assumptions!$B$35,0))))+Assumptions!$B$30),((Assumptions!$B$49-(IF(I59="preference",Assumptions!$B$3,0)+IF(I60="preference",(Assumptions!$B$34*Assumptions!$B$20),0)+IF(I61="preference",(Assumptions!$B$33*Assumptions!$B$19),0)+IF(I63="preference",(Assumptions!$B$37*Assumptions!$B$16),0)+IF(I64="preference",(Assumptions!$B$36*Assumptions!$B$15),0)+IF(I65="preference",(Assumptions!$B$35*Assumptions!$B$14),0))))/((I32+Assumptions!$B$38+(IF(I59="convert",I13,0)+IF(I60="convert",I19,0)+IF(I61="convert",I18,0)+IF(I63="convert",Assumptions!$B$37,0)+IF(I64="convert",Assumptions!$B$36,0)+IF(I65="convert",Assumptions!$B$35,0))))))*Assumptions!$B$38,"preference","convert")</f>
        <v/>
      </c>
      <c r="J70">
        <f>IF((Assumptions!$B$38*Assumptions!$B$17)&gt;(IF((((Assumptions!$B$49-(IF(J59="preference",Assumptions!$B$3,0)+IF(J60="preference",(Assumptions!$B$34*Assumptions!$B$20),0)+IF(J61="preference",(Assumptions!$B$33*Assumptions!$B$19),0)+IF(J63="preference",(Assumptions!$B$37*Assumptions!$B$16),0)+IF(J64="preference",(Assumptions!$B$36*Assumptions!$B$15),0)+IF(J65="preference",(Assumptions!$B$35*Assumptions!$B$14),0))))+Assumptions!$B$30*Assumptions!$B$21)/(((J32+Assumptions!$B$38+(IF(J59="convert",J13,0)+IF(J60="convert",J19,0)+IF(J61="convert",J18,0)+IF(J63="convert",Assumptions!$B$37,0)+IF(J64="convert",Assumptions!$B$36,0)+IF(J65="convert",Assumptions!$B$35,0))))+Assumptions!$B$30)&gt;Assumptions!$B$21,(((Assumptions!$B$49-(IF(J59="preference",Assumptions!$B$3,0)+IF(J60="preference",(Assumptions!$B$34*Assumptions!$B$20),0)+IF(J61="preference",(Assumptions!$B$33*Assumptions!$B$19),0)+IF(J63="preference",(Assumptions!$B$37*Assumptions!$B$16),0)+IF(J64="preference",(Assumptions!$B$36*Assumptions!$B$15),0)+IF(J65="preference",(Assumptions!$B$35*Assumptions!$B$14),0))))+Assumptions!$B$30*Assumptions!$B$21)/(((J32+Assumptions!$B$38+(IF(J59="convert",J13,0)+IF(J60="convert",J19,0)+IF(J61="convert",J18,0)+IF(J63="convert",Assumptions!$B$37,0)+IF(J64="convert",Assumptions!$B$36,0)+IF(J65="convert",Assumptions!$B$35,0))))+Assumptions!$B$30),((Assumptions!$B$49-(IF(J59="preference",Assumptions!$B$3,0)+IF(J60="preference",(Assumptions!$B$34*Assumptions!$B$20),0)+IF(J61="preference",(Assumptions!$B$33*Assumptions!$B$19),0)+IF(J63="preference",(Assumptions!$B$37*Assumptions!$B$16),0)+IF(J64="preference",(Assumptions!$B$36*Assumptions!$B$15),0)+IF(J65="preference",(Assumptions!$B$35*Assumptions!$B$14),0))))/((J32+Assumptions!$B$38+(IF(J59="convert",J13,0)+IF(J60="convert",J19,0)+IF(J61="convert",J18,0)+IF(J63="convert",Assumptions!$B$37,0)+IF(J64="convert",Assumptions!$B$36,0)+IF(J65="convert",Assumptions!$B$35,0))))))*Assumptions!$B$38,"preference","convert")</f>
        <v/>
      </c>
    </row>
    <row r="71">
      <c r="A71" t="inlineStr">
        <is>
          <t xml:space="preserve">  B</t>
        </is>
      </c>
      <c r="B71">
        <f>IF((Assumptions!$B$37*Assumptions!$B$16)&gt;(IF((((Assumptions!$B$49-(IF(B59="preference",Assumptions!$B$3,0)+IF(B60="preference",(Assumptions!$B$34*Assumptions!$B$20),0)+IF(B61="preference",(Assumptions!$B$33*Assumptions!$B$19),0)+IF(B62="preference",(Assumptions!$B$38*Assumptions!$B$17),0)+IF(B64="preference",(Assumptions!$B$36*Assumptions!$B$15),0)+IF(B65="preference",(Assumptions!$B$35*Assumptions!$B$14),0))))+Assumptions!$B$30*Assumptions!$B$21)/(((B32+Assumptions!$B$37+(IF(B59="convert",B13,0)+IF(B60="convert",B19,0)+IF(B61="convert",B18,0)+IF(B62="convert",Assumptions!$B$38,0)+IF(B64="convert",Assumptions!$B$36,0)+IF(B65="convert",Assumptions!$B$35,0))))+Assumptions!$B$30)&gt;Assumptions!$B$21,(((Assumptions!$B$49-(IF(B59="preference",Assumptions!$B$3,0)+IF(B60="preference",(Assumptions!$B$34*Assumptions!$B$20),0)+IF(B61="preference",(Assumptions!$B$33*Assumptions!$B$19),0)+IF(B62="preference",(Assumptions!$B$38*Assumptions!$B$17),0)+IF(B64="preference",(Assumptions!$B$36*Assumptions!$B$15),0)+IF(B65="preference",(Assumptions!$B$35*Assumptions!$B$14),0))))+Assumptions!$B$30*Assumptions!$B$21)/(((B32+Assumptions!$B$37+(IF(B59="convert",B13,0)+IF(B60="convert",B19,0)+IF(B61="convert",B18,0)+IF(B62="convert",Assumptions!$B$38,0)+IF(B64="convert",Assumptions!$B$36,0)+IF(B65="convert",Assumptions!$B$35,0))))+Assumptions!$B$30),((Assumptions!$B$49-(IF(B59="preference",Assumptions!$B$3,0)+IF(B60="preference",(Assumptions!$B$34*Assumptions!$B$20),0)+IF(B61="preference",(Assumptions!$B$33*Assumptions!$B$19),0)+IF(B62="preference",(Assumptions!$B$38*Assumptions!$B$17),0)+IF(B64="preference",(Assumptions!$B$36*Assumptions!$B$15),0)+IF(B65="preference",(Assumptions!$B$35*Assumptions!$B$14),0))))/((B32+Assumptions!$B$37+(IF(B59="convert",B13,0)+IF(B60="convert",B19,0)+IF(B61="convert",B18,0)+IF(B62="convert",Assumptions!$B$38,0)+IF(B64="convert",Assumptions!$B$36,0)+IF(B65="convert",Assumptions!$B$35,0))))))*Assumptions!$B$37,"preference","convert")</f>
        <v/>
      </c>
      <c r="C71">
        <f>IF((Assumptions!$B$37*Assumptions!$B$16)&gt;(IF((((Assumptions!$B$49-(IF(C59="preference",Assumptions!$B$3,0)+IF(C60="preference",(Assumptions!$B$34*Assumptions!$B$20),0)+IF(C61="preference",(Assumptions!$B$33*Assumptions!$B$19),0)+IF(C62="preference",(Assumptions!$B$38*Assumptions!$B$17),0)+IF(C64="preference",(Assumptions!$B$36*Assumptions!$B$15),0)+IF(C65="preference",(Assumptions!$B$35*Assumptions!$B$14),0))))+Assumptions!$B$30*Assumptions!$B$21)/(((C32+Assumptions!$B$37+(IF(C59="convert",C13,0)+IF(C60="convert",C19,0)+IF(C61="convert",C18,0)+IF(C62="convert",Assumptions!$B$38,0)+IF(C64="convert",Assumptions!$B$36,0)+IF(C65="convert",Assumptions!$B$35,0))))+Assumptions!$B$30)&gt;Assumptions!$B$21,(((Assumptions!$B$49-(IF(C59="preference",Assumptions!$B$3,0)+IF(C60="preference",(Assumptions!$B$34*Assumptions!$B$20),0)+IF(C61="preference",(Assumptions!$B$33*Assumptions!$B$19),0)+IF(C62="preference",(Assumptions!$B$38*Assumptions!$B$17),0)+IF(C64="preference",(Assumptions!$B$36*Assumptions!$B$15),0)+IF(C65="preference",(Assumptions!$B$35*Assumptions!$B$14),0))))+Assumptions!$B$30*Assumptions!$B$21)/(((C32+Assumptions!$B$37+(IF(C59="convert",C13,0)+IF(C60="convert",C19,0)+IF(C61="convert",C18,0)+IF(C62="convert",Assumptions!$B$38,0)+IF(C64="convert",Assumptions!$B$36,0)+IF(C65="convert",Assumptions!$B$35,0))))+Assumptions!$B$30),((Assumptions!$B$49-(IF(C59="preference",Assumptions!$B$3,0)+IF(C60="preference",(Assumptions!$B$34*Assumptions!$B$20),0)+IF(C61="preference",(Assumptions!$B$33*Assumptions!$B$19),0)+IF(C62="preference",(Assumptions!$B$38*Assumptions!$B$17),0)+IF(C64="preference",(Assumptions!$B$36*Assumptions!$B$15),0)+IF(C65="preference",(Assumptions!$B$35*Assumptions!$B$14),0))))/((C32+Assumptions!$B$37+(IF(C59="convert",C13,0)+IF(C60="convert",C19,0)+IF(C61="convert",C18,0)+IF(C62="convert",Assumptions!$B$38,0)+IF(C64="convert",Assumptions!$B$36,0)+IF(C65="convert",Assumptions!$B$35,0))))))*Assumptions!$B$37,"preference","convert")</f>
        <v/>
      </c>
      <c r="D71">
        <f>IF((Assumptions!$B$37*Assumptions!$B$16)&gt;(IF((((Assumptions!$B$49-(IF(D59="preference",Assumptions!$B$3,0)+IF(D60="preference",(Assumptions!$B$34*Assumptions!$B$20),0)+IF(D61="preference",(Assumptions!$B$33*Assumptions!$B$19),0)+IF(D62="preference",(Assumptions!$B$38*Assumptions!$B$17),0)+IF(D64="preference",(Assumptions!$B$36*Assumptions!$B$15),0)+IF(D65="preference",(Assumptions!$B$35*Assumptions!$B$14),0))))+Assumptions!$B$30*Assumptions!$B$21)/(((D32+Assumptions!$B$37+(IF(D59="convert",D13,0)+IF(D60="convert",D19,0)+IF(D61="convert",D18,0)+IF(D62="convert",Assumptions!$B$38,0)+IF(D64="convert",Assumptions!$B$36,0)+IF(D65="convert",Assumptions!$B$35,0))))+Assumptions!$B$30)&gt;Assumptions!$B$21,(((Assumptions!$B$49-(IF(D59="preference",Assumptions!$B$3,0)+IF(D60="preference",(Assumptions!$B$34*Assumptions!$B$20),0)+IF(D61="preference",(Assumptions!$B$33*Assumptions!$B$19),0)+IF(D62="preference",(Assumptions!$B$38*Assumptions!$B$17),0)+IF(D64="preference",(Assumptions!$B$36*Assumptions!$B$15),0)+IF(D65="preference",(Assumptions!$B$35*Assumptions!$B$14),0))))+Assumptions!$B$30*Assumptions!$B$21)/(((D32+Assumptions!$B$37+(IF(D59="convert",D13,0)+IF(D60="convert",D19,0)+IF(D61="convert",D18,0)+IF(D62="convert",Assumptions!$B$38,0)+IF(D64="convert",Assumptions!$B$36,0)+IF(D65="convert",Assumptions!$B$35,0))))+Assumptions!$B$30),((Assumptions!$B$49-(IF(D59="preference",Assumptions!$B$3,0)+IF(D60="preference",(Assumptions!$B$34*Assumptions!$B$20),0)+IF(D61="preference",(Assumptions!$B$33*Assumptions!$B$19),0)+IF(D62="preference",(Assumptions!$B$38*Assumptions!$B$17),0)+IF(D64="preference",(Assumptions!$B$36*Assumptions!$B$15),0)+IF(D65="preference",(Assumptions!$B$35*Assumptions!$B$14),0))))/((D32+Assumptions!$B$37+(IF(D59="convert",D13,0)+IF(D60="convert",D19,0)+IF(D61="convert",D18,0)+IF(D62="convert",Assumptions!$B$38,0)+IF(D64="convert",Assumptions!$B$36,0)+IF(D65="convert",Assumptions!$B$35,0))))))*Assumptions!$B$37,"preference","convert")</f>
        <v/>
      </c>
      <c r="E71">
        <f>IF((Assumptions!$B$37*Assumptions!$B$16)&gt;(IF((((Assumptions!$B$49-(IF(E59="preference",Assumptions!$B$3,0)+IF(E60="preference",(Assumptions!$B$34*Assumptions!$B$20),0)+IF(E61="preference",(Assumptions!$B$33*Assumptions!$B$19),0)+IF(E62="preference",(Assumptions!$B$38*Assumptions!$B$17),0)+IF(E64="preference",(Assumptions!$B$36*Assumptions!$B$15),0)+IF(E65="preference",(Assumptions!$B$35*Assumptions!$B$14),0))))+Assumptions!$B$30*Assumptions!$B$21)/(((E32+Assumptions!$B$37+(IF(E59="convert",E13,0)+IF(E60="convert",E19,0)+IF(E61="convert",E18,0)+IF(E62="convert",Assumptions!$B$38,0)+IF(E64="convert",Assumptions!$B$36,0)+IF(E65="convert",Assumptions!$B$35,0))))+Assumptions!$B$30)&gt;Assumptions!$B$21,(((Assumptions!$B$49-(IF(E59="preference",Assumptions!$B$3,0)+IF(E60="preference",(Assumptions!$B$34*Assumptions!$B$20),0)+IF(E61="preference",(Assumptions!$B$33*Assumptions!$B$19),0)+IF(E62="preference",(Assumptions!$B$38*Assumptions!$B$17),0)+IF(E64="preference",(Assumptions!$B$36*Assumptions!$B$15),0)+IF(E65="preference",(Assumptions!$B$35*Assumptions!$B$14),0))))+Assumptions!$B$30*Assumptions!$B$21)/(((E32+Assumptions!$B$37+(IF(E59="convert",E13,0)+IF(E60="convert",E19,0)+IF(E61="convert",E18,0)+IF(E62="convert",Assumptions!$B$38,0)+IF(E64="convert",Assumptions!$B$36,0)+IF(E65="convert",Assumptions!$B$35,0))))+Assumptions!$B$30),((Assumptions!$B$49-(IF(E59="preference",Assumptions!$B$3,0)+IF(E60="preference",(Assumptions!$B$34*Assumptions!$B$20),0)+IF(E61="preference",(Assumptions!$B$33*Assumptions!$B$19),0)+IF(E62="preference",(Assumptions!$B$38*Assumptions!$B$17),0)+IF(E64="preference",(Assumptions!$B$36*Assumptions!$B$15),0)+IF(E65="preference",(Assumptions!$B$35*Assumptions!$B$14),0))))/((E32+Assumptions!$B$37+(IF(E59="convert",E13,0)+IF(E60="convert",E19,0)+IF(E61="convert",E18,0)+IF(E62="convert",Assumptions!$B$38,0)+IF(E64="convert",Assumptions!$B$36,0)+IF(E65="convert",Assumptions!$B$35,0))))))*Assumptions!$B$37,"preference","convert")</f>
        <v/>
      </c>
      <c r="F71">
        <f>IF((Assumptions!$B$37*Assumptions!$B$16)&gt;(IF((((Assumptions!$B$49-(IF(F59="preference",Assumptions!$B$3,0)+IF(F60="preference",(Assumptions!$B$34*Assumptions!$B$20),0)+IF(F61="preference",(Assumptions!$B$33*Assumptions!$B$19),0)+IF(F62="preference",(Assumptions!$B$38*Assumptions!$B$17),0)+IF(F64="preference",(Assumptions!$B$36*Assumptions!$B$15),0)+IF(F65="preference",(Assumptions!$B$35*Assumptions!$B$14),0))))+Assumptions!$B$30*Assumptions!$B$21)/(((F32+Assumptions!$B$37+(IF(F59="convert",F13,0)+IF(F60="convert",F19,0)+IF(F61="convert",F18,0)+IF(F62="convert",Assumptions!$B$38,0)+IF(F64="convert",Assumptions!$B$36,0)+IF(F65="convert",Assumptions!$B$35,0))))+Assumptions!$B$30)&gt;Assumptions!$B$21,(((Assumptions!$B$49-(IF(F59="preference",Assumptions!$B$3,0)+IF(F60="preference",(Assumptions!$B$34*Assumptions!$B$20),0)+IF(F61="preference",(Assumptions!$B$33*Assumptions!$B$19),0)+IF(F62="preference",(Assumptions!$B$38*Assumptions!$B$17),0)+IF(F64="preference",(Assumptions!$B$36*Assumptions!$B$15),0)+IF(F65="preference",(Assumptions!$B$35*Assumptions!$B$14),0))))+Assumptions!$B$30*Assumptions!$B$21)/(((F32+Assumptions!$B$37+(IF(F59="convert",F13,0)+IF(F60="convert",F19,0)+IF(F61="convert",F18,0)+IF(F62="convert",Assumptions!$B$38,0)+IF(F64="convert",Assumptions!$B$36,0)+IF(F65="convert",Assumptions!$B$35,0))))+Assumptions!$B$30),((Assumptions!$B$49-(IF(F59="preference",Assumptions!$B$3,0)+IF(F60="preference",(Assumptions!$B$34*Assumptions!$B$20),0)+IF(F61="preference",(Assumptions!$B$33*Assumptions!$B$19),0)+IF(F62="preference",(Assumptions!$B$38*Assumptions!$B$17),0)+IF(F64="preference",(Assumptions!$B$36*Assumptions!$B$15),0)+IF(F65="preference",(Assumptions!$B$35*Assumptions!$B$14),0))))/((F32+Assumptions!$B$37+(IF(F59="convert",F13,0)+IF(F60="convert",F19,0)+IF(F61="convert",F18,0)+IF(F62="convert",Assumptions!$B$38,0)+IF(F64="convert",Assumptions!$B$36,0)+IF(F65="convert",Assumptions!$B$35,0))))))*Assumptions!$B$37,"preference","convert")</f>
        <v/>
      </c>
      <c r="G71">
        <f>IF((Assumptions!$B$37*Assumptions!$B$16)&gt;(IF((((Assumptions!$B$49-(IF(G59="preference",Assumptions!$B$3,0)+IF(G60="preference",(Assumptions!$B$34*Assumptions!$B$20),0)+IF(G61="preference",(Assumptions!$B$33*Assumptions!$B$19),0)+IF(G62="preference",(Assumptions!$B$38*Assumptions!$B$17),0)+IF(G64="preference",(Assumptions!$B$36*Assumptions!$B$15),0)+IF(G65="preference",(Assumptions!$B$35*Assumptions!$B$14),0))))+Assumptions!$B$30*Assumptions!$B$21)/(((G32+Assumptions!$B$37+(IF(G59="convert",G13,0)+IF(G60="convert",G19,0)+IF(G61="convert",G18,0)+IF(G62="convert",Assumptions!$B$38,0)+IF(G64="convert",Assumptions!$B$36,0)+IF(G65="convert",Assumptions!$B$35,0))))+Assumptions!$B$30)&gt;Assumptions!$B$21,(((Assumptions!$B$49-(IF(G59="preference",Assumptions!$B$3,0)+IF(G60="preference",(Assumptions!$B$34*Assumptions!$B$20),0)+IF(G61="preference",(Assumptions!$B$33*Assumptions!$B$19),0)+IF(G62="preference",(Assumptions!$B$38*Assumptions!$B$17),0)+IF(G64="preference",(Assumptions!$B$36*Assumptions!$B$15),0)+IF(G65="preference",(Assumptions!$B$35*Assumptions!$B$14),0))))+Assumptions!$B$30*Assumptions!$B$21)/(((G32+Assumptions!$B$37+(IF(G59="convert",G13,0)+IF(G60="convert",G19,0)+IF(G61="convert",G18,0)+IF(G62="convert",Assumptions!$B$38,0)+IF(G64="convert",Assumptions!$B$36,0)+IF(G65="convert",Assumptions!$B$35,0))))+Assumptions!$B$30),((Assumptions!$B$49-(IF(G59="preference",Assumptions!$B$3,0)+IF(G60="preference",(Assumptions!$B$34*Assumptions!$B$20),0)+IF(G61="preference",(Assumptions!$B$33*Assumptions!$B$19),0)+IF(G62="preference",(Assumptions!$B$38*Assumptions!$B$17),0)+IF(G64="preference",(Assumptions!$B$36*Assumptions!$B$15),0)+IF(G65="preference",(Assumptions!$B$35*Assumptions!$B$14),0))))/((G32+Assumptions!$B$37+(IF(G59="convert",G13,0)+IF(G60="convert",G19,0)+IF(G61="convert",G18,0)+IF(G62="convert",Assumptions!$B$38,0)+IF(G64="convert",Assumptions!$B$36,0)+IF(G65="convert",Assumptions!$B$35,0))))))*Assumptions!$B$37,"preference","convert")</f>
        <v/>
      </c>
      <c r="H71">
        <f>IF((Assumptions!$B$37*Assumptions!$B$16)&gt;(IF((((Assumptions!$B$49-(IF(H59="preference",Assumptions!$B$3,0)+IF(H60="preference",(Assumptions!$B$34*Assumptions!$B$20),0)+IF(H61="preference",(Assumptions!$B$33*Assumptions!$B$19),0)+IF(H62="preference",(Assumptions!$B$38*Assumptions!$B$17),0)+IF(H64="preference",(Assumptions!$B$36*Assumptions!$B$15),0)+IF(H65="preference",(Assumptions!$B$35*Assumptions!$B$14),0))))+Assumptions!$B$30*Assumptions!$B$21)/(((H32+Assumptions!$B$37+(IF(H59="convert",H13,0)+IF(H60="convert",H19,0)+IF(H61="convert",H18,0)+IF(H62="convert",Assumptions!$B$38,0)+IF(H64="convert",Assumptions!$B$36,0)+IF(H65="convert",Assumptions!$B$35,0))))+Assumptions!$B$30)&gt;Assumptions!$B$21,(((Assumptions!$B$49-(IF(H59="preference",Assumptions!$B$3,0)+IF(H60="preference",(Assumptions!$B$34*Assumptions!$B$20),0)+IF(H61="preference",(Assumptions!$B$33*Assumptions!$B$19),0)+IF(H62="preference",(Assumptions!$B$38*Assumptions!$B$17),0)+IF(H64="preference",(Assumptions!$B$36*Assumptions!$B$15),0)+IF(H65="preference",(Assumptions!$B$35*Assumptions!$B$14),0))))+Assumptions!$B$30*Assumptions!$B$21)/(((H32+Assumptions!$B$37+(IF(H59="convert",H13,0)+IF(H60="convert",H19,0)+IF(H61="convert",H18,0)+IF(H62="convert",Assumptions!$B$38,0)+IF(H64="convert",Assumptions!$B$36,0)+IF(H65="convert",Assumptions!$B$35,0))))+Assumptions!$B$30),((Assumptions!$B$49-(IF(H59="preference",Assumptions!$B$3,0)+IF(H60="preference",(Assumptions!$B$34*Assumptions!$B$20),0)+IF(H61="preference",(Assumptions!$B$33*Assumptions!$B$19),0)+IF(H62="preference",(Assumptions!$B$38*Assumptions!$B$17),0)+IF(H64="preference",(Assumptions!$B$36*Assumptions!$B$15),0)+IF(H65="preference",(Assumptions!$B$35*Assumptions!$B$14),0))))/((H32+Assumptions!$B$37+(IF(H59="convert",H13,0)+IF(H60="convert",H19,0)+IF(H61="convert",H18,0)+IF(H62="convert",Assumptions!$B$38,0)+IF(H64="convert",Assumptions!$B$36,0)+IF(H65="convert",Assumptions!$B$35,0))))))*Assumptions!$B$37,"preference","convert")</f>
        <v/>
      </c>
      <c r="I71">
        <f>IF((Assumptions!$B$37*Assumptions!$B$16)&gt;(IF((((Assumptions!$B$49-(IF(I59="preference",Assumptions!$B$3,0)+IF(I60="preference",(Assumptions!$B$34*Assumptions!$B$20),0)+IF(I61="preference",(Assumptions!$B$33*Assumptions!$B$19),0)+IF(I62="preference",(Assumptions!$B$38*Assumptions!$B$17),0)+IF(I64="preference",(Assumptions!$B$36*Assumptions!$B$15),0)+IF(I65="preference",(Assumptions!$B$35*Assumptions!$B$14),0))))+Assumptions!$B$30*Assumptions!$B$21)/(((I32+Assumptions!$B$37+(IF(I59="convert",I13,0)+IF(I60="convert",I19,0)+IF(I61="convert",I18,0)+IF(I62="convert",Assumptions!$B$38,0)+IF(I64="convert",Assumptions!$B$36,0)+IF(I65="convert",Assumptions!$B$35,0))))+Assumptions!$B$30)&gt;Assumptions!$B$21,(((Assumptions!$B$49-(IF(I59="preference",Assumptions!$B$3,0)+IF(I60="preference",(Assumptions!$B$34*Assumptions!$B$20),0)+IF(I61="preference",(Assumptions!$B$33*Assumptions!$B$19),0)+IF(I62="preference",(Assumptions!$B$38*Assumptions!$B$17),0)+IF(I64="preference",(Assumptions!$B$36*Assumptions!$B$15),0)+IF(I65="preference",(Assumptions!$B$35*Assumptions!$B$14),0))))+Assumptions!$B$30*Assumptions!$B$21)/(((I32+Assumptions!$B$37+(IF(I59="convert",I13,0)+IF(I60="convert",I19,0)+IF(I61="convert",I18,0)+IF(I62="convert",Assumptions!$B$38,0)+IF(I64="convert",Assumptions!$B$36,0)+IF(I65="convert",Assumptions!$B$35,0))))+Assumptions!$B$30),((Assumptions!$B$49-(IF(I59="preference",Assumptions!$B$3,0)+IF(I60="preference",(Assumptions!$B$34*Assumptions!$B$20),0)+IF(I61="preference",(Assumptions!$B$33*Assumptions!$B$19),0)+IF(I62="preference",(Assumptions!$B$38*Assumptions!$B$17),0)+IF(I64="preference",(Assumptions!$B$36*Assumptions!$B$15),0)+IF(I65="preference",(Assumptions!$B$35*Assumptions!$B$14),0))))/((I32+Assumptions!$B$37+(IF(I59="convert",I13,0)+IF(I60="convert",I19,0)+IF(I61="convert",I18,0)+IF(I62="convert",Assumptions!$B$38,0)+IF(I64="convert",Assumptions!$B$36,0)+IF(I65="convert",Assumptions!$B$35,0))))))*Assumptions!$B$37,"preference","convert")</f>
        <v/>
      </c>
      <c r="J71">
        <f>IF((Assumptions!$B$37*Assumptions!$B$16)&gt;(IF((((Assumptions!$B$49-(IF(J59="preference",Assumptions!$B$3,0)+IF(J60="preference",(Assumptions!$B$34*Assumptions!$B$20),0)+IF(J61="preference",(Assumptions!$B$33*Assumptions!$B$19),0)+IF(J62="preference",(Assumptions!$B$38*Assumptions!$B$17),0)+IF(J64="preference",(Assumptions!$B$36*Assumptions!$B$15),0)+IF(J65="preference",(Assumptions!$B$35*Assumptions!$B$14),0))))+Assumptions!$B$30*Assumptions!$B$21)/(((J32+Assumptions!$B$37+(IF(J59="convert",J13,0)+IF(J60="convert",J19,0)+IF(J61="convert",J18,0)+IF(J62="convert",Assumptions!$B$38,0)+IF(J64="convert",Assumptions!$B$36,0)+IF(J65="convert",Assumptions!$B$35,0))))+Assumptions!$B$30)&gt;Assumptions!$B$21,(((Assumptions!$B$49-(IF(J59="preference",Assumptions!$B$3,0)+IF(J60="preference",(Assumptions!$B$34*Assumptions!$B$20),0)+IF(J61="preference",(Assumptions!$B$33*Assumptions!$B$19),0)+IF(J62="preference",(Assumptions!$B$38*Assumptions!$B$17),0)+IF(J64="preference",(Assumptions!$B$36*Assumptions!$B$15),0)+IF(J65="preference",(Assumptions!$B$35*Assumptions!$B$14),0))))+Assumptions!$B$30*Assumptions!$B$21)/(((J32+Assumptions!$B$37+(IF(J59="convert",J13,0)+IF(J60="convert",J19,0)+IF(J61="convert",J18,0)+IF(J62="convert",Assumptions!$B$38,0)+IF(J64="convert",Assumptions!$B$36,0)+IF(J65="convert",Assumptions!$B$35,0))))+Assumptions!$B$30),((Assumptions!$B$49-(IF(J59="preference",Assumptions!$B$3,0)+IF(J60="preference",(Assumptions!$B$34*Assumptions!$B$20),0)+IF(J61="preference",(Assumptions!$B$33*Assumptions!$B$19),0)+IF(J62="preference",(Assumptions!$B$38*Assumptions!$B$17),0)+IF(J64="preference",(Assumptions!$B$36*Assumptions!$B$15),0)+IF(J65="preference",(Assumptions!$B$35*Assumptions!$B$14),0))))/((J32+Assumptions!$B$37+(IF(J59="convert",J13,0)+IF(J60="convert",J19,0)+IF(J61="convert",J18,0)+IF(J62="convert",Assumptions!$B$38,0)+IF(J64="convert",Assumptions!$B$36,0)+IF(J65="convert",Assumptions!$B$35,0))))))*Assumptions!$B$37,"preference","convert")</f>
        <v/>
      </c>
    </row>
    <row r="72">
      <c r="A72" t="inlineStr">
        <is>
          <t xml:space="preserve">  A</t>
        </is>
      </c>
      <c r="B72">
        <f>IF((Assumptions!$B$36*Assumptions!$B$15)&gt;(IF((((Assumptions!$B$49-(IF(B59="preference",Assumptions!$B$3,0)+IF(B60="preference",(Assumptions!$B$34*Assumptions!$B$20),0)+IF(B61="preference",(Assumptions!$B$33*Assumptions!$B$19),0)+IF(B62="preference",(Assumptions!$B$38*Assumptions!$B$17),0)+IF(B63="preference",(Assumptions!$B$37*Assumptions!$B$16),0)+IF(B65="preference",(Assumptions!$B$35*Assumptions!$B$14),0))))+Assumptions!$B$30*Assumptions!$B$21)/(((B32+Assumptions!$B$36+(IF(B59="convert",B13,0)+IF(B60="convert",B19,0)+IF(B61="convert",B18,0)+IF(B62="convert",Assumptions!$B$38,0)+IF(B63="convert",Assumptions!$B$37,0)+IF(B65="convert",Assumptions!$B$35,0))))+Assumptions!$B$30)&gt;Assumptions!$B$21,(((Assumptions!$B$49-(IF(B59="preference",Assumptions!$B$3,0)+IF(B60="preference",(Assumptions!$B$34*Assumptions!$B$20),0)+IF(B61="preference",(Assumptions!$B$33*Assumptions!$B$19),0)+IF(B62="preference",(Assumptions!$B$38*Assumptions!$B$17),0)+IF(B63="preference",(Assumptions!$B$37*Assumptions!$B$16),0)+IF(B65="preference",(Assumptions!$B$35*Assumptions!$B$14),0))))+Assumptions!$B$30*Assumptions!$B$21)/(((B32+Assumptions!$B$36+(IF(B59="convert",B13,0)+IF(B60="convert",B19,0)+IF(B61="convert",B18,0)+IF(B62="convert",Assumptions!$B$38,0)+IF(B63="convert",Assumptions!$B$37,0)+IF(B65="convert",Assumptions!$B$35,0))))+Assumptions!$B$30),((Assumptions!$B$49-(IF(B59="preference",Assumptions!$B$3,0)+IF(B60="preference",(Assumptions!$B$34*Assumptions!$B$20),0)+IF(B61="preference",(Assumptions!$B$33*Assumptions!$B$19),0)+IF(B62="preference",(Assumptions!$B$38*Assumptions!$B$17),0)+IF(B63="preference",(Assumptions!$B$37*Assumptions!$B$16),0)+IF(B65="preference",(Assumptions!$B$35*Assumptions!$B$14),0))))/((B32+Assumptions!$B$36+(IF(B59="convert",B13,0)+IF(B60="convert",B19,0)+IF(B61="convert",B18,0)+IF(B62="convert",Assumptions!$B$38,0)+IF(B63="convert",Assumptions!$B$37,0)+IF(B65="convert",Assumptions!$B$35,0))))))*Assumptions!$B$36,"preference","convert")</f>
        <v/>
      </c>
      <c r="C72">
        <f>IF((Assumptions!$B$36*Assumptions!$B$15)&gt;(IF((((Assumptions!$B$49-(IF(C59="preference",Assumptions!$B$3,0)+IF(C60="preference",(Assumptions!$B$34*Assumptions!$B$20),0)+IF(C61="preference",(Assumptions!$B$33*Assumptions!$B$19),0)+IF(C62="preference",(Assumptions!$B$38*Assumptions!$B$17),0)+IF(C63="preference",(Assumptions!$B$37*Assumptions!$B$16),0)+IF(C65="preference",(Assumptions!$B$35*Assumptions!$B$14),0))))+Assumptions!$B$30*Assumptions!$B$21)/(((C32+Assumptions!$B$36+(IF(C59="convert",C13,0)+IF(C60="convert",C19,0)+IF(C61="convert",C18,0)+IF(C62="convert",Assumptions!$B$38,0)+IF(C63="convert",Assumptions!$B$37,0)+IF(C65="convert",Assumptions!$B$35,0))))+Assumptions!$B$30)&gt;Assumptions!$B$21,(((Assumptions!$B$49-(IF(C59="preference",Assumptions!$B$3,0)+IF(C60="preference",(Assumptions!$B$34*Assumptions!$B$20),0)+IF(C61="preference",(Assumptions!$B$33*Assumptions!$B$19),0)+IF(C62="preference",(Assumptions!$B$38*Assumptions!$B$17),0)+IF(C63="preference",(Assumptions!$B$37*Assumptions!$B$16),0)+IF(C65="preference",(Assumptions!$B$35*Assumptions!$B$14),0))))+Assumptions!$B$30*Assumptions!$B$21)/(((C32+Assumptions!$B$36+(IF(C59="convert",C13,0)+IF(C60="convert",C19,0)+IF(C61="convert",C18,0)+IF(C62="convert",Assumptions!$B$38,0)+IF(C63="convert",Assumptions!$B$37,0)+IF(C65="convert",Assumptions!$B$35,0))))+Assumptions!$B$30),((Assumptions!$B$49-(IF(C59="preference",Assumptions!$B$3,0)+IF(C60="preference",(Assumptions!$B$34*Assumptions!$B$20),0)+IF(C61="preference",(Assumptions!$B$33*Assumptions!$B$19),0)+IF(C62="preference",(Assumptions!$B$38*Assumptions!$B$17),0)+IF(C63="preference",(Assumptions!$B$37*Assumptions!$B$16),0)+IF(C65="preference",(Assumptions!$B$35*Assumptions!$B$14),0))))/((C32+Assumptions!$B$36+(IF(C59="convert",C13,0)+IF(C60="convert",C19,0)+IF(C61="convert",C18,0)+IF(C62="convert",Assumptions!$B$38,0)+IF(C63="convert",Assumptions!$B$37,0)+IF(C65="convert",Assumptions!$B$35,0))))))*Assumptions!$B$36,"preference","convert")</f>
        <v/>
      </c>
      <c r="D72">
        <f>IF((Assumptions!$B$36*Assumptions!$B$15)&gt;(IF((((Assumptions!$B$49-(IF(D59="preference",Assumptions!$B$3,0)+IF(D60="preference",(Assumptions!$B$34*Assumptions!$B$20),0)+IF(D61="preference",(Assumptions!$B$33*Assumptions!$B$19),0)+IF(D62="preference",(Assumptions!$B$38*Assumptions!$B$17),0)+IF(D63="preference",(Assumptions!$B$37*Assumptions!$B$16),0)+IF(D65="preference",(Assumptions!$B$35*Assumptions!$B$14),0))))+Assumptions!$B$30*Assumptions!$B$21)/(((D32+Assumptions!$B$36+(IF(D59="convert",D13,0)+IF(D60="convert",D19,0)+IF(D61="convert",D18,0)+IF(D62="convert",Assumptions!$B$38,0)+IF(D63="convert",Assumptions!$B$37,0)+IF(D65="convert",Assumptions!$B$35,0))))+Assumptions!$B$30)&gt;Assumptions!$B$21,(((Assumptions!$B$49-(IF(D59="preference",Assumptions!$B$3,0)+IF(D60="preference",(Assumptions!$B$34*Assumptions!$B$20),0)+IF(D61="preference",(Assumptions!$B$33*Assumptions!$B$19),0)+IF(D62="preference",(Assumptions!$B$38*Assumptions!$B$17),0)+IF(D63="preference",(Assumptions!$B$37*Assumptions!$B$16),0)+IF(D65="preference",(Assumptions!$B$35*Assumptions!$B$14),0))))+Assumptions!$B$30*Assumptions!$B$21)/(((D32+Assumptions!$B$36+(IF(D59="convert",D13,0)+IF(D60="convert",D19,0)+IF(D61="convert",D18,0)+IF(D62="convert",Assumptions!$B$38,0)+IF(D63="convert",Assumptions!$B$37,0)+IF(D65="convert",Assumptions!$B$35,0))))+Assumptions!$B$30),((Assumptions!$B$49-(IF(D59="preference",Assumptions!$B$3,0)+IF(D60="preference",(Assumptions!$B$34*Assumptions!$B$20),0)+IF(D61="preference",(Assumptions!$B$33*Assumptions!$B$19),0)+IF(D62="preference",(Assumptions!$B$38*Assumptions!$B$17),0)+IF(D63="preference",(Assumptions!$B$37*Assumptions!$B$16),0)+IF(D65="preference",(Assumptions!$B$35*Assumptions!$B$14),0))))/((D32+Assumptions!$B$36+(IF(D59="convert",D13,0)+IF(D60="convert",D19,0)+IF(D61="convert",D18,0)+IF(D62="convert",Assumptions!$B$38,0)+IF(D63="convert",Assumptions!$B$37,0)+IF(D65="convert",Assumptions!$B$35,0))))))*Assumptions!$B$36,"preference","convert")</f>
        <v/>
      </c>
      <c r="E72">
        <f>IF((Assumptions!$B$36*Assumptions!$B$15)&gt;(IF((((Assumptions!$B$49-(IF(E59="preference",Assumptions!$B$3,0)+IF(E60="preference",(Assumptions!$B$34*Assumptions!$B$20),0)+IF(E61="preference",(Assumptions!$B$33*Assumptions!$B$19),0)+IF(E62="preference",(Assumptions!$B$38*Assumptions!$B$17),0)+IF(E63="preference",(Assumptions!$B$37*Assumptions!$B$16),0)+IF(E65="preference",(Assumptions!$B$35*Assumptions!$B$14),0))))+Assumptions!$B$30*Assumptions!$B$21)/(((E32+Assumptions!$B$36+(IF(E59="convert",E13,0)+IF(E60="convert",E19,0)+IF(E61="convert",E18,0)+IF(E62="convert",Assumptions!$B$38,0)+IF(E63="convert",Assumptions!$B$37,0)+IF(E65="convert",Assumptions!$B$35,0))))+Assumptions!$B$30)&gt;Assumptions!$B$21,(((Assumptions!$B$49-(IF(E59="preference",Assumptions!$B$3,0)+IF(E60="preference",(Assumptions!$B$34*Assumptions!$B$20),0)+IF(E61="preference",(Assumptions!$B$33*Assumptions!$B$19),0)+IF(E62="preference",(Assumptions!$B$38*Assumptions!$B$17),0)+IF(E63="preference",(Assumptions!$B$37*Assumptions!$B$16),0)+IF(E65="preference",(Assumptions!$B$35*Assumptions!$B$14),0))))+Assumptions!$B$30*Assumptions!$B$21)/(((E32+Assumptions!$B$36+(IF(E59="convert",E13,0)+IF(E60="convert",E19,0)+IF(E61="convert",E18,0)+IF(E62="convert",Assumptions!$B$38,0)+IF(E63="convert",Assumptions!$B$37,0)+IF(E65="convert",Assumptions!$B$35,0))))+Assumptions!$B$30),((Assumptions!$B$49-(IF(E59="preference",Assumptions!$B$3,0)+IF(E60="preference",(Assumptions!$B$34*Assumptions!$B$20),0)+IF(E61="preference",(Assumptions!$B$33*Assumptions!$B$19),0)+IF(E62="preference",(Assumptions!$B$38*Assumptions!$B$17),0)+IF(E63="preference",(Assumptions!$B$37*Assumptions!$B$16),0)+IF(E65="preference",(Assumptions!$B$35*Assumptions!$B$14),0))))/((E32+Assumptions!$B$36+(IF(E59="convert",E13,0)+IF(E60="convert",E19,0)+IF(E61="convert",E18,0)+IF(E62="convert",Assumptions!$B$38,0)+IF(E63="convert",Assumptions!$B$37,0)+IF(E65="convert",Assumptions!$B$35,0))))))*Assumptions!$B$36,"preference","convert")</f>
        <v/>
      </c>
      <c r="F72">
        <f>IF((Assumptions!$B$36*Assumptions!$B$15)&gt;(IF((((Assumptions!$B$49-(IF(F59="preference",Assumptions!$B$3,0)+IF(F60="preference",(Assumptions!$B$34*Assumptions!$B$20),0)+IF(F61="preference",(Assumptions!$B$33*Assumptions!$B$19),0)+IF(F62="preference",(Assumptions!$B$38*Assumptions!$B$17),0)+IF(F63="preference",(Assumptions!$B$37*Assumptions!$B$16),0)+IF(F65="preference",(Assumptions!$B$35*Assumptions!$B$14),0))))+Assumptions!$B$30*Assumptions!$B$21)/(((F32+Assumptions!$B$36+(IF(F59="convert",F13,0)+IF(F60="convert",F19,0)+IF(F61="convert",F18,0)+IF(F62="convert",Assumptions!$B$38,0)+IF(F63="convert",Assumptions!$B$37,0)+IF(F65="convert",Assumptions!$B$35,0))))+Assumptions!$B$30)&gt;Assumptions!$B$21,(((Assumptions!$B$49-(IF(F59="preference",Assumptions!$B$3,0)+IF(F60="preference",(Assumptions!$B$34*Assumptions!$B$20),0)+IF(F61="preference",(Assumptions!$B$33*Assumptions!$B$19),0)+IF(F62="preference",(Assumptions!$B$38*Assumptions!$B$17),0)+IF(F63="preference",(Assumptions!$B$37*Assumptions!$B$16),0)+IF(F65="preference",(Assumptions!$B$35*Assumptions!$B$14),0))))+Assumptions!$B$30*Assumptions!$B$21)/(((F32+Assumptions!$B$36+(IF(F59="convert",F13,0)+IF(F60="convert",F19,0)+IF(F61="convert",F18,0)+IF(F62="convert",Assumptions!$B$38,0)+IF(F63="convert",Assumptions!$B$37,0)+IF(F65="convert",Assumptions!$B$35,0))))+Assumptions!$B$30),((Assumptions!$B$49-(IF(F59="preference",Assumptions!$B$3,0)+IF(F60="preference",(Assumptions!$B$34*Assumptions!$B$20),0)+IF(F61="preference",(Assumptions!$B$33*Assumptions!$B$19),0)+IF(F62="preference",(Assumptions!$B$38*Assumptions!$B$17),0)+IF(F63="preference",(Assumptions!$B$37*Assumptions!$B$16),0)+IF(F65="preference",(Assumptions!$B$35*Assumptions!$B$14),0))))/((F32+Assumptions!$B$36+(IF(F59="convert",F13,0)+IF(F60="convert",F19,0)+IF(F61="convert",F18,0)+IF(F62="convert",Assumptions!$B$38,0)+IF(F63="convert",Assumptions!$B$37,0)+IF(F65="convert",Assumptions!$B$35,0))))))*Assumptions!$B$36,"preference","convert")</f>
        <v/>
      </c>
      <c r="G72">
        <f>IF((Assumptions!$B$36*Assumptions!$B$15)&gt;(IF((((Assumptions!$B$49-(IF(G59="preference",Assumptions!$B$3,0)+IF(G60="preference",(Assumptions!$B$34*Assumptions!$B$20),0)+IF(G61="preference",(Assumptions!$B$33*Assumptions!$B$19),0)+IF(G62="preference",(Assumptions!$B$38*Assumptions!$B$17),0)+IF(G63="preference",(Assumptions!$B$37*Assumptions!$B$16),0)+IF(G65="preference",(Assumptions!$B$35*Assumptions!$B$14),0))))+Assumptions!$B$30*Assumptions!$B$21)/(((G32+Assumptions!$B$36+(IF(G59="convert",G13,0)+IF(G60="convert",G19,0)+IF(G61="convert",G18,0)+IF(G62="convert",Assumptions!$B$38,0)+IF(G63="convert",Assumptions!$B$37,0)+IF(G65="convert",Assumptions!$B$35,0))))+Assumptions!$B$30)&gt;Assumptions!$B$21,(((Assumptions!$B$49-(IF(G59="preference",Assumptions!$B$3,0)+IF(G60="preference",(Assumptions!$B$34*Assumptions!$B$20),0)+IF(G61="preference",(Assumptions!$B$33*Assumptions!$B$19),0)+IF(G62="preference",(Assumptions!$B$38*Assumptions!$B$17),0)+IF(G63="preference",(Assumptions!$B$37*Assumptions!$B$16),0)+IF(G65="preference",(Assumptions!$B$35*Assumptions!$B$14),0))))+Assumptions!$B$30*Assumptions!$B$21)/(((G32+Assumptions!$B$36+(IF(G59="convert",G13,0)+IF(G60="convert",G19,0)+IF(G61="convert",G18,0)+IF(G62="convert",Assumptions!$B$38,0)+IF(G63="convert",Assumptions!$B$37,0)+IF(G65="convert",Assumptions!$B$35,0))))+Assumptions!$B$30),((Assumptions!$B$49-(IF(G59="preference",Assumptions!$B$3,0)+IF(G60="preference",(Assumptions!$B$34*Assumptions!$B$20),0)+IF(G61="preference",(Assumptions!$B$33*Assumptions!$B$19),0)+IF(G62="preference",(Assumptions!$B$38*Assumptions!$B$17),0)+IF(G63="preference",(Assumptions!$B$37*Assumptions!$B$16),0)+IF(G65="preference",(Assumptions!$B$35*Assumptions!$B$14),0))))/((G32+Assumptions!$B$36+(IF(G59="convert",G13,0)+IF(G60="convert",G19,0)+IF(G61="convert",G18,0)+IF(G62="convert",Assumptions!$B$38,0)+IF(G63="convert",Assumptions!$B$37,0)+IF(G65="convert",Assumptions!$B$35,0))))))*Assumptions!$B$36,"preference","convert")</f>
        <v/>
      </c>
      <c r="H72">
        <f>IF((Assumptions!$B$36*Assumptions!$B$15)&gt;(IF((((Assumptions!$B$49-(IF(H59="preference",Assumptions!$B$3,0)+IF(H60="preference",(Assumptions!$B$34*Assumptions!$B$20),0)+IF(H61="preference",(Assumptions!$B$33*Assumptions!$B$19),0)+IF(H62="preference",(Assumptions!$B$38*Assumptions!$B$17),0)+IF(H63="preference",(Assumptions!$B$37*Assumptions!$B$16),0)+IF(H65="preference",(Assumptions!$B$35*Assumptions!$B$14),0))))+Assumptions!$B$30*Assumptions!$B$21)/(((H32+Assumptions!$B$36+(IF(H59="convert",H13,0)+IF(H60="convert",H19,0)+IF(H61="convert",H18,0)+IF(H62="convert",Assumptions!$B$38,0)+IF(H63="convert",Assumptions!$B$37,0)+IF(H65="convert",Assumptions!$B$35,0))))+Assumptions!$B$30)&gt;Assumptions!$B$21,(((Assumptions!$B$49-(IF(H59="preference",Assumptions!$B$3,0)+IF(H60="preference",(Assumptions!$B$34*Assumptions!$B$20),0)+IF(H61="preference",(Assumptions!$B$33*Assumptions!$B$19),0)+IF(H62="preference",(Assumptions!$B$38*Assumptions!$B$17),0)+IF(H63="preference",(Assumptions!$B$37*Assumptions!$B$16),0)+IF(H65="preference",(Assumptions!$B$35*Assumptions!$B$14),0))))+Assumptions!$B$30*Assumptions!$B$21)/(((H32+Assumptions!$B$36+(IF(H59="convert",H13,0)+IF(H60="convert",H19,0)+IF(H61="convert",H18,0)+IF(H62="convert",Assumptions!$B$38,0)+IF(H63="convert",Assumptions!$B$37,0)+IF(H65="convert",Assumptions!$B$35,0))))+Assumptions!$B$30),((Assumptions!$B$49-(IF(H59="preference",Assumptions!$B$3,0)+IF(H60="preference",(Assumptions!$B$34*Assumptions!$B$20),0)+IF(H61="preference",(Assumptions!$B$33*Assumptions!$B$19),0)+IF(H62="preference",(Assumptions!$B$38*Assumptions!$B$17),0)+IF(H63="preference",(Assumptions!$B$37*Assumptions!$B$16),0)+IF(H65="preference",(Assumptions!$B$35*Assumptions!$B$14),0))))/((H32+Assumptions!$B$36+(IF(H59="convert",H13,0)+IF(H60="convert",H19,0)+IF(H61="convert",H18,0)+IF(H62="convert",Assumptions!$B$38,0)+IF(H63="convert",Assumptions!$B$37,0)+IF(H65="convert",Assumptions!$B$35,0))))))*Assumptions!$B$36,"preference","convert")</f>
        <v/>
      </c>
      <c r="I72">
        <f>IF((Assumptions!$B$36*Assumptions!$B$15)&gt;(IF((((Assumptions!$B$49-(IF(I59="preference",Assumptions!$B$3,0)+IF(I60="preference",(Assumptions!$B$34*Assumptions!$B$20),0)+IF(I61="preference",(Assumptions!$B$33*Assumptions!$B$19),0)+IF(I62="preference",(Assumptions!$B$38*Assumptions!$B$17),0)+IF(I63="preference",(Assumptions!$B$37*Assumptions!$B$16),0)+IF(I65="preference",(Assumptions!$B$35*Assumptions!$B$14),0))))+Assumptions!$B$30*Assumptions!$B$21)/(((I32+Assumptions!$B$36+(IF(I59="convert",I13,0)+IF(I60="convert",I19,0)+IF(I61="convert",I18,0)+IF(I62="convert",Assumptions!$B$38,0)+IF(I63="convert",Assumptions!$B$37,0)+IF(I65="convert",Assumptions!$B$35,0))))+Assumptions!$B$30)&gt;Assumptions!$B$21,(((Assumptions!$B$49-(IF(I59="preference",Assumptions!$B$3,0)+IF(I60="preference",(Assumptions!$B$34*Assumptions!$B$20),0)+IF(I61="preference",(Assumptions!$B$33*Assumptions!$B$19),0)+IF(I62="preference",(Assumptions!$B$38*Assumptions!$B$17),0)+IF(I63="preference",(Assumptions!$B$37*Assumptions!$B$16),0)+IF(I65="preference",(Assumptions!$B$35*Assumptions!$B$14),0))))+Assumptions!$B$30*Assumptions!$B$21)/(((I32+Assumptions!$B$36+(IF(I59="convert",I13,0)+IF(I60="convert",I19,0)+IF(I61="convert",I18,0)+IF(I62="convert",Assumptions!$B$38,0)+IF(I63="convert",Assumptions!$B$37,0)+IF(I65="convert",Assumptions!$B$35,0))))+Assumptions!$B$30),((Assumptions!$B$49-(IF(I59="preference",Assumptions!$B$3,0)+IF(I60="preference",(Assumptions!$B$34*Assumptions!$B$20),0)+IF(I61="preference",(Assumptions!$B$33*Assumptions!$B$19),0)+IF(I62="preference",(Assumptions!$B$38*Assumptions!$B$17),0)+IF(I63="preference",(Assumptions!$B$37*Assumptions!$B$16),0)+IF(I65="preference",(Assumptions!$B$35*Assumptions!$B$14),0))))/((I32+Assumptions!$B$36+(IF(I59="convert",I13,0)+IF(I60="convert",I19,0)+IF(I61="convert",I18,0)+IF(I62="convert",Assumptions!$B$38,0)+IF(I63="convert",Assumptions!$B$37,0)+IF(I65="convert",Assumptions!$B$35,0))))))*Assumptions!$B$36,"preference","convert")</f>
        <v/>
      </c>
      <c r="J72">
        <f>IF((Assumptions!$B$36*Assumptions!$B$15)&gt;(IF((((Assumptions!$B$49-(IF(J59="preference",Assumptions!$B$3,0)+IF(J60="preference",(Assumptions!$B$34*Assumptions!$B$20),0)+IF(J61="preference",(Assumptions!$B$33*Assumptions!$B$19),0)+IF(J62="preference",(Assumptions!$B$38*Assumptions!$B$17),0)+IF(J63="preference",(Assumptions!$B$37*Assumptions!$B$16),0)+IF(J65="preference",(Assumptions!$B$35*Assumptions!$B$14),0))))+Assumptions!$B$30*Assumptions!$B$21)/(((J32+Assumptions!$B$36+(IF(J59="convert",J13,0)+IF(J60="convert",J19,0)+IF(J61="convert",J18,0)+IF(J62="convert",Assumptions!$B$38,0)+IF(J63="convert",Assumptions!$B$37,0)+IF(J65="convert",Assumptions!$B$35,0))))+Assumptions!$B$30)&gt;Assumptions!$B$21,(((Assumptions!$B$49-(IF(J59="preference",Assumptions!$B$3,0)+IF(J60="preference",(Assumptions!$B$34*Assumptions!$B$20),0)+IF(J61="preference",(Assumptions!$B$33*Assumptions!$B$19),0)+IF(J62="preference",(Assumptions!$B$38*Assumptions!$B$17),0)+IF(J63="preference",(Assumptions!$B$37*Assumptions!$B$16),0)+IF(J65="preference",(Assumptions!$B$35*Assumptions!$B$14),0))))+Assumptions!$B$30*Assumptions!$B$21)/(((J32+Assumptions!$B$36+(IF(J59="convert",J13,0)+IF(J60="convert",J19,0)+IF(J61="convert",J18,0)+IF(J62="convert",Assumptions!$B$38,0)+IF(J63="convert",Assumptions!$B$37,0)+IF(J65="convert",Assumptions!$B$35,0))))+Assumptions!$B$30),((Assumptions!$B$49-(IF(J59="preference",Assumptions!$B$3,0)+IF(J60="preference",(Assumptions!$B$34*Assumptions!$B$20),0)+IF(J61="preference",(Assumptions!$B$33*Assumptions!$B$19),0)+IF(J62="preference",(Assumptions!$B$38*Assumptions!$B$17),0)+IF(J63="preference",(Assumptions!$B$37*Assumptions!$B$16),0)+IF(J65="preference",(Assumptions!$B$35*Assumptions!$B$14),0))))/((J32+Assumptions!$B$36+(IF(J59="convert",J13,0)+IF(J60="convert",J19,0)+IF(J61="convert",J18,0)+IF(J62="convert",Assumptions!$B$38,0)+IF(J63="convert",Assumptions!$B$37,0)+IF(J65="convert",Assumptions!$B$35,0))))))*Assumptions!$B$36,"preference","convert")</f>
        <v/>
      </c>
    </row>
    <row r="73">
      <c r="A73" t="inlineStr">
        <is>
          <t xml:space="preserve">  Seed</t>
        </is>
      </c>
      <c r="B73">
        <f>IF((Assumptions!$B$35*Assumptions!$B$14)&gt;(IF((((Assumptions!$B$49-(IF(B59="preference",Assumptions!$B$3,0)+IF(B60="preference",(Assumptions!$B$34*Assumptions!$B$20),0)+IF(B61="preference",(Assumptions!$B$33*Assumptions!$B$19),0)+IF(B62="preference",(Assumptions!$B$38*Assumptions!$B$17),0)+IF(B63="preference",(Assumptions!$B$37*Assumptions!$B$16),0)+IF(B64="preference",(Assumptions!$B$36*Assumptions!$B$15),0))))+Assumptions!$B$30*Assumptions!$B$21)/(((B32+Assumptions!$B$35+(IF(B59="convert",B13,0)+IF(B60="convert",B19,0)+IF(B61="convert",B18,0)+IF(B62="convert",Assumptions!$B$38,0)+IF(B63="convert",Assumptions!$B$37,0)+IF(B64="convert",Assumptions!$B$36,0))))+Assumptions!$B$30)&gt;Assumptions!$B$21,(((Assumptions!$B$49-(IF(B59="preference",Assumptions!$B$3,0)+IF(B60="preference",(Assumptions!$B$34*Assumptions!$B$20),0)+IF(B61="preference",(Assumptions!$B$33*Assumptions!$B$19),0)+IF(B62="preference",(Assumptions!$B$38*Assumptions!$B$17),0)+IF(B63="preference",(Assumptions!$B$37*Assumptions!$B$16),0)+IF(B64="preference",(Assumptions!$B$36*Assumptions!$B$15),0))))+Assumptions!$B$30*Assumptions!$B$21)/(((B32+Assumptions!$B$35+(IF(B59="convert",B13,0)+IF(B60="convert",B19,0)+IF(B61="convert",B18,0)+IF(B62="convert",Assumptions!$B$38,0)+IF(B63="convert",Assumptions!$B$37,0)+IF(B64="convert",Assumptions!$B$36,0))))+Assumptions!$B$30),((Assumptions!$B$49-(IF(B59="preference",Assumptions!$B$3,0)+IF(B60="preference",(Assumptions!$B$34*Assumptions!$B$20),0)+IF(B61="preference",(Assumptions!$B$33*Assumptions!$B$19),0)+IF(B62="preference",(Assumptions!$B$38*Assumptions!$B$17),0)+IF(B63="preference",(Assumptions!$B$37*Assumptions!$B$16),0)+IF(B64="preference",(Assumptions!$B$36*Assumptions!$B$15),0))))/((B32+Assumptions!$B$35+(IF(B59="convert",B13,0)+IF(B60="convert",B19,0)+IF(B61="convert",B18,0)+IF(B62="convert",Assumptions!$B$38,0)+IF(B63="convert",Assumptions!$B$37,0)+IF(B64="convert",Assumptions!$B$36,0))))))*Assumptions!$B$35,"preference","convert")</f>
        <v/>
      </c>
      <c r="C73">
        <f>IF((Assumptions!$B$35*Assumptions!$B$14)&gt;(IF((((Assumptions!$B$49-(IF(C59="preference",Assumptions!$B$3,0)+IF(C60="preference",(Assumptions!$B$34*Assumptions!$B$20),0)+IF(C61="preference",(Assumptions!$B$33*Assumptions!$B$19),0)+IF(C62="preference",(Assumptions!$B$38*Assumptions!$B$17),0)+IF(C63="preference",(Assumptions!$B$37*Assumptions!$B$16),0)+IF(C64="preference",(Assumptions!$B$36*Assumptions!$B$15),0))))+Assumptions!$B$30*Assumptions!$B$21)/(((C32+Assumptions!$B$35+(IF(C59="convert",C13,0)+IF(C60="convert",C19,0)+IF(C61="convert",C18,0)+IF(C62="convert",Assumptions!$B$38,0)+IF(C63="convert",Assumptions!$B$37,0)+IF(C64="convert",Assumptions!$B$36,0))))+Assumptions!$B$30)&gt;Assumptions!$B$21,(((Assumptions!$B$49-(IF(C59="preference",Assumptions!$B$3,0)+IF(C60="preference",(Assumptions!$B$34*Assumptions!$B$20),0)+IF(C61="preference",(Assumptions!$B$33*Assumptions!$B$19),0)+IF(C62="preference",(Assumptions!$B$38*Assumptions!$B$17),0)+IF(C63="preference",(Assumptions!$B$37*Assumptions!$B$16),0)+IF(C64="preference",(Assumptions!$B$36*Assumptions!$B$15),0))))+Assumptions!$B$30*Assumptions!$B$21)/(((C32+Assumptions!$B$35+(IF(C59="convert",C13,0)+IF(C60="convert",C19,0)+IF(C61="convert",C18,0)+IF(C62="convert",Assumptions!$B$38,0)+IF(C63="convert",Assumptions!$B$37,0)+IF(C64="convert",Assumptions!$B$36,0))))+Assumptions!$B$30),((Assumptions!$B$49-(IF(C59="preference",Assumptions!$B$3,0)+IF(C60="preference",(Assumptions!$B$34*Assumptions!$B$20),0)+IF(C61="preference",(Assumptions!$B$33*Assumptions!$B$19),0)+IF(C62="preference",(Assumptions!$B$38*Assumptions!$B$17),0)+IF(C63="preference",(Assumptions!$B$37*Assumptions!$B$16),0)+IF(C64="preference",(Assumptions!$B$36*Assumptions!$B$15),0))))/((C32+Assumptions!$B$35+(IF(C59="convert",C13,0)+IF(C60="convert",C19,0)+IF(C61="convert",C18,0)+IF(C62="convert",Assumptions!$B$38,0)+IF(C63="convert",Assumptions!$B$37,0)+IF(C64="convert",Assumptions!$B$36,0))))))*Assumptions!$B$35,"preference","convert")</f>
        <v/>
      </c>
      <c r="D73">
        <f>IF((Assumptions!$B$35*Assumptions!$B$14)&gt;(IF((((Assumptions!$B$49-(IF(D59="preference",Assumptions!$B$3,0)+IF(D60="preference",(Assumptions!$B$34*Assumptions!$B$20),0)+IF(D61="preference",(Assumptions!$B$33*Assumptions!$B$19),0)+IF(D62="preference",(Assumptions!$B$38*Assumptions!$B$17),0)+IF(D63="preference",(Assumptions!$B$37*Assumptions!$B$16),0)+IF(D64="preference",(Assumptions!$B$36*Assumptions!$B$15),0))))+Assumptions!$B$30*Assumptions!$B$21)/(((D32+Assumptions!$B$35+(IF(D59="convert",D13,0)+IF(D60="convert",D19,0)+IF(D61="convert",D18,0)+IF(D62="convert",Assumptions!$B$38,0)+IF(D63="convert",Assumptions!$B$37,0)+IF(D64="convert",Assumptions!$B$36,0))))+Assumptions!$B$30)&gt;Assumptions!$B$21,(((Assumptions!$B$49-(IF(D59="preference",Assumptions!$B$3,0)+IF(D60="preference",(Assumptions!$B$34*Assumptions!$B$20),0)+IF(D61="preference",(Assumptions!$B$33*Assumptions!$B$19),0)+IF(D62="preference",(Assumptions!$B$38*Assumptions!$B$17),0)+IF(D63="preference",(Assumptions!$B$37*Assumptions!$B$16),0)+IF(D64="preference",(Assumptions!$B$36*Assumptions!$B$15),0))))+Assumptions!$B$30*Assumptions!$B$21)/(((D32+Assumptions!$B$35+(IF(D59="convert",D13,0)+IF(D60="convert",D19,0)+IF(D61="convert",D18,0)+IF(D62="convert",Assumptions!$B$38,0)+IF(D63="convert",Assumptions!$B$37,0)+IF(D64="convert",Assumptions!$B$36,0))))+Assumptions!$B$30),((Assumptions!$B$49-(IF(D59="preference",Assumptions!$B$3,0)+IF(D60="preference",(Assumptions!$B$34*Assumptions!$B$20),0)+IF(D61="preference",(Assumptions!$B$33*Assumptions!$B$19),0)+IF(D62="preference",(Assumptions!$B$38*Assumptions!$B$17),0)+IF(D63="preference",(Assumptions!$B$37*Assumptions!$B$16),0)+IF(D64="preference",(Assumptions!$B$36*Assumptions!$B$15),0))))/((D32+Assumptions!$B$35+(IF(D59="convert",D13,0)+IF(D60="convert",D19,0)+IF(D61="convert",D18,0)+IF(D62="convert",Assumptions!$B$38,0)+IF(D63="convert",Assumptions!$B$37,0)+IF(D64="convert",Assumptions!$B$36,0))))))*Assumptions!$B$35,"preference","convert")</f>
        <v/>
      </c>
      <c r="E73">
        <f>IF((Assumptions!$B$35*Assumptions!$B$14)&gt;(IF((((Assumptions!$B$49-(IF(E59="preference",Assumptions!$B$3,0)+IF(E60="preference",(Assumptions!$B$34*Assumptions!$B$20),0)+IF(E61="preference",(Assumptions!$B$33*Assumptions!$B$19),0)+IF(E62="preference",(Assumptions!$B$38*Assumptions!$B$17),0)+IF(E63="preference",(Assumptions!$B$37*Assumptions!$B$16),0)+IF(E64="preference",(Assumptions!$B$36*Assumptions!$B$15),0))))+Assumptions!$B$30*Assumptions!$B$21)/(((E32+Assumptions!$B$35+(IF(E59="convert",E13,0)+IF(E60="convert",E19,0)+IF(E61="convert",E18,0)+IF(E62="convert",Assumptions!$B$38,0)+IF(E63="convert",Assumptions!$B$37,0)+IF(E64="convert",Assumptions!$B$36,0))))+Assumptions!$B$30)&gt;Assumptions!$B$21,(((Assumptions!$B$49-(IF(E59="preference",Assumptions!$B$3,0)+IF(E60="preference",(Assumptions!$B$34*Assumptions!$B$20),0)+IF(E61="preference",(Assumptions!$B$33*Assumptions!$B$19),0)+IF(E62="preference",(Assumptions!$B$38*Assumptions!$B$17),0)+IF(E63="preference",(Assumptions!$B$37*Assumptions!$B$16),0)+IF(E64="preference",(Assumptions!$B$36*Assumptions!$B$15),0))))+Assumptions!$B$30*Assumptions!$B$21)/(((E32+Assumptions!$B$35+(IF(E59="convert",E13,0)+IF(E60="convert",E19,0)+IF(E61="convert",E18,0)+IF(E62="convert",Assumptions!$B$38,0)+IF(E63="convert",Assumptions!$B$37,0)+IF(E64="convert",Assumptions!$B$36,0))))+Assumptions!$B$30),((Assumptions!$B$49-(IF(E59="preference",Assumptions!$B$3,0)+IF(E60="preference",(Assumptions!$B$34*Assumptions!$B$20),0)+IF(E61="preference",(Assumptions!$B$33*Assumptions!$B$19),0)+IF(E62="preference",(Assumptions!$B$38*Assumptions!$B$17),0)+IF(E63="preference",(Assumptions!$B$37*Assumptions!$B$16),0)+IF(E64="preference",(Assumptions!$B$36*Assumptions!$B$15),0))))/((E32+Assumptions!$B$35+(IF(E59="convert",E13,0)+IF(E60="convert",E19,0)+IF(E61="convert",E18,0)+IF(E62="convert",Assumptions!$B$38,0)+IF(E63="convert",Assumptions!$B$37,0)+IF(E64="convert",Assumptions!$B$36,0))))))*Assumptions!$B$35,"preference","convert")</f>
        <v/>
      </c>
      <c r="F73">
        <f>IF((Assumptions!$B$35*Assumptions!$B$14)&gt;(IF((((Assumptions!$B$49-(IF(F59="preference",Assumptions!$B$3,0)+IF(F60="preference",(Assumptions!$B$34*Assumptions!$B$20),0)+IF(F61="preference",(Assumptions!$B$33*Assumptions!$B$19),0)+IF(F62="preference",(Assumptions!$B$38*Assumptions!$B$17),0)+IF(F63="preference",(Assumptions!$B$37*Assumptions!$B$16),0)+IF(F64="preference",(Assumptions!$B$36*Assumptions!$B$15),0))))+Assumptions!$B$30*Assumptions!$B$21)/(((F32+Assumptions!$B$35+(IF(F59="convert",F13,0)+IF(F60="convert",F19,0)+IF(F61="convert",F18,0)+IF(F62="convert",Assumptions!$B$38,0)+IF(F63="convert",Assumptions!$B$37,0)+IF(F64="convert",Assumptions!$B$36,0))))+Assumptions!$B$30)&gt;Assumptions!$B$21,(((Assumptions!$B$49-(IF(F59="preference",Assumptions!$B$3,0)+IF(F60="preference",(Assumptions!$B$34*Assumptions!$B$20),0)+IF(F61="preference",(Assumptions!$B$33*Assumptions!$B$19),0)+IF(F62="preference",(Assumptions!$B$38*Assumptions!$B$17),0)+IF(F63="preference",(Assumptions!$B$37*Assumptions!$B$16),0)+IF(F64="preference",(Assumptions!$B$36*Assumptions!$B$15),0))))+Assumptions!$B$30*Assumptions!$B$21)/(((F32+Assumptions!$B$35+(IF(F59="convert",F13,0)+IF(F60="convert",F19,0)+IF(F61="convert",F18,0)+IF(F62="convert",Assumptions!$B$38,0)+IF(F63="convert",Assumptions!$B$37,0)+IF(F64="convert",Assumptions!$B$36,0))))+Assumptions!$B$30),((Assumptions!$B$49-(IF(F59="preference",Assumptions!$B$3,0)+IF(F60="preference",(Assumptions!$B$34*Assumptions!$B$20),0)+IF(F61="preference",(Assumptions!$B$33*Assumptions!$B$19),0)+IF(F62="preference",(Assumptions!$B$38*Assumptions!$B$17),0)+IF(F63="preference",(Assumptions!$B$37*Assumptions!$B$16),0)+IF(F64="preference",(Assumptions!$B$36*Assumptions!$B$15),0))))/((F32+Assumptions!$B$35+(IF(F59="convert",F13,0)+IF(F60="convert",F19,0)+IF(F61="convert",F18,0)+IF(F62="convert",Assumptions!$B$38,0)+IF(F63="convert",Assumptions!$B$37,0)+IF(F64="convert",Assumptions!$B$36,0))))))*Assumptions!$B$35,"preference","convert")</f>
        <v/>
      </c>
      <c r="G73">
        <f>IF((Assumptions!$B$35*Assumptions!$B$14)&gt;(IF((((Assumptions!$B$49-(IF(G59="preference",Assumptions!$B$3,0)+IF(G60="preference",(Assumptions!$B$34*Assumptions!$B$20),0)+IF(G61="preference",(Assumptions!$B$33*Assumptions!$B$19),0)+IF(G62="preference",(Assumptions!$B$38*Assumptions!$B$17),0)+IF(G63="preference",(Assumptions!$B$37*Assumptions!$B$16),0)+IF(G64="preference",(Assumptions!$B$36*Assumptions!$B$15),0))))+Assumptions!$B$30*Assumptions!$B$21)/(((G32+Assumptions!$B$35+(IF(G59="convert",G13,0)+IF(G60="convert",G19,0)+IF(G61="convert",G18,0)+IF(G62="convert",Assumptions!$B$38,0)+IF(G63="convert",Assumptions!$B$37,0)+IF(G64="convert",Assumptions!$B$36,0))))+Assumptions!$B$30)&gt;Assumptions!$B$21,(((Assumptions!$B$49-(IF(G59="preference",Assumptions!$B$3,0)+IF(G60="preference",(Assumptions!$B$34*Assumptions!$B$20),0)+IF(G61="preference",(Assumptions!$B$33*Assumptions!$B$19),0)+IF(G62="preference",(Assumptions!$B$38*Assumptions!$B$17),0)+IF(G63="preference",(Assumptions!$B$37*Assumptions!$B$16),0)+IF(G64="preference",(Assumptions!$B$36*Assumptions!$B$15),0))))+Assumptions!$B$30*Assumptions!$B$21)/(((G32+Assumptions!$B$35+(IF(G59="convert",G13,0)+IF(G60="convert",G19,0)+IF(G61="convert",G18,0)+IF(G62="convert",Assumptions!$B$38,0)+IF(G63="convert",Assumptions!$B$37,0)+IF(G64="convert",Assumptions!$B$36,0))))+Assumptions!$B$30),((Assumptions!$B$49-(IF(G59="preference",Assumptions!$B$3,0)+IF(G60="preference",(Assumptions!$B$34*Assumptions!$B$20),0)+IF(G61="preference",(Assumptions!$B$33*Assumptions!$B$19),0)+IF(G62="preference",(Assumptions!$B$38*Assumptions!$B$17),0)+IF(G63="preference",(Assumptions!$B$37*Assumptions!$B$16),0)+IF(G64="preference",(Assumptions!$B$36*Assumptions!$B$15),0))))/((G32+Assumptions!$B$35+(IF(G59="convert",G13,0)+IF(G60="convert",G19,0)+IF(G61="convert",G18,0)+IF(G62="convert",Assumptions!$B$38,0)+IF(G63="convert",Assumptions!$B$37,0)+IF(G64="convert",Assumptions!$B$36,0))))))*Assumptions!$B$35,"preference","convert")</f>
        <v/>
      </c>
      <c r="H73">
        <f>IF((Assumptions!$B$35*Assumptions!$B$14)&gt;(IF((((Assumptions!$B$49-(IF(H59="preference",Assumptions!$B$3,0)+IF(H60="preference",(Assumptions!$B$34*Assumptions!$B$20),0)+IF(H61="preference",(Assumptions!$B$33*Assumptions!$B$19),0)+IF(H62="preference",(Assumptions!$B$38*Assumptions!$B$17),0)+IF(H63="preference",(Assumptions!$B$37*Assumptions!$B$16),0)+IF(H64="preference",(Assumptions!$B$36*Assumptions!$B$15),0))))+Assumptions!$B$30*Assumptions!$B$21)/(((H32+Assumptions!$B$35+(IF(H59="convert",H13,0)+IF(H60="convert",H19,0)+IF(H61="convert",H18,0)+IF(H62="convert",Assumptions!$B$38,0)+IF(H63="convert",Assumptions!$B$37,0)+IF(H64="convert",Assumptions!$B$36,0))))+Assumptions!$B$30)&gt;Assumptions!$B$21,(((Assumptions!$B$49-(IF(H59="preference",Assumptions!$B$3,0)+IF(H60="preference",(Assumptions!$B$34*Assumptions!$B$20),0)+IF(H61="preference",(Assumptions!$B$33*Assumptions!$B$19),0)+IF(H62="preference",(Assumptions!$B$38*Assumptions!$B$17),0)+IF(H63="preference",(Assumptions!$B$37*Assumptions!$B$16),0)+IF(H64="preference",(Assumptions!$B$36*Assumptions!$B$15),0))))+Assumptions!$B$30*Assumptions!$B$21)/(((H32+Assumptions!$B$35+(IF(H59="convert",H13,0)+IF(H60="convert",H19,0)+IF(H61="convert",H18,0)+IF(H62="convert",Assumptions!$B$38,0)+IF(H63="convert",Assumptions!$B$37,0)+IF(H64="convert",Assumptions!$B$36,0))))+Assumptions!$B$30),((Assumptions!$B$49-(IF(H59="preference",Assumptions!$B$3,0)+IF(H60="preference",(Assumptions!$B$34*Assumptions!$B$20),0)+IF(H61="preference",(Assumptions!$B$33*Assumptions!$B$19),0)+IF(H62="preference",(Assumptions!$B$38*Assumptions!$B$17),0)+IF(H63="preference",(Assumptions!$B$37*Assumptions!$B$16),0)+IF(H64="preference",(Assumptions!$B$36*Assumptions!$B$15),0))))/((H32+Assumptions!$B$35+(IF(H59="convert",H13,0)+IF(H60="convert",H19,0)+IF(H61="convert",H18,0)+IF(H62="convert",Assumptions!$B$38,0)+IF(H63="convert",Assumptions!$B$37,0)+IF(H64="convert",Assumptions!$B$36,0))))))*Assumptions!$B$35,"preference","convert")</f>
        <v/>
      </c>
      <c r="I73">
        <f>IF((Assumptions!$B$35*Assumptions!$B$14)&gt;(IF((((Assumptions!$B$49-(IF(I59="preference",Assumptions!$B$3,0)+IF(I60="preference",(Assumptions!$B$34*Assumptions!$B$20),0)+IF(I61="preference",(Assumptions!$B$33*Assumptions!$B$19),0)+IF(I62="preference",(Assumptions!$B$38*Assumptions!$B$17),0)+IF(I63="preference",(Assumptions!$B$37*Assumptions!$B$16),0)+IF(I64="preference",(Assumptions!$B$36*Assumptions!$B$15),0))))+Assumptions!$B$30*Assumptions!$B$21)/(((I32+Assumptions!$B$35+(IF(I59="convert",I13,0)+IF(I60="convert",I19,0)+IF(I61="convert",I18,0)+IF(I62="convert",Assumptions!$B$38,0)+IF(I63="convert",Assumptions!$B$37,0)+IF(I64="convert",Assumptions!$B$36,0))))+Assumptions!$B$30)&gt;Assumptions!$B$21,(((Assumptions!$B$49-(IF(I59="preference",Assumptions!$B$3,0)+IF(I60="preference",(Assumptions!$B$34*Assumptions!$B$20),0)+IF(I61="preference",(Assumptions!$B$33*Assumptions!$B$19),0)+IF(I62="preference",(Assumptions!$B$38*Assumptions!$B$17),0)+IF(I63="preference",(Assumptions!$B$37*Assumptions!$B$16),0)+IF(I64="preference",(Assumptions!$B$36*Assumptions!$B$15),0))))+Assumptions!$B$30*Assumptions!$B$21)/(((I32+Assumptions!$B$35+(IF(I59="convert",I13,0)+IF(I60="convert",I19,0)+IF(I61="convert",I18,0)+IF(I62="convert",Assumptions!$B$38,0)+IF(I63="convert",Assumptions!$B$37,0)+IF(I64="convert",Assumptions!$B$36,0))))+Assumptions!$B$30),((Assumptions!$B$49-(IF(I59="preference",Assumptions!$B$3,0)+IF(I60="preference",(Assumptions!$B$34*Assumptions!$B$20),0)+IF(I61="preference",(Assumptions!$B$33*Assumptions!$B$19),0)+IF(I62="preference",(Assumptions!$B$38*Assumptions!$B$17),0)+IF(I63="preference",(Assumptions!$B$37*Assumptions!$B$16),0)+IF(I64="preference",(Assumptions!$B$36*Assumptions!$B$15),0))))/((I32+Assumptions!$B$35+(IF(I59="convert",I13,0)+IF(I60="convert",I19,0)+IF(I61="convert",I18,0)+IF(I62="convert",Assumptions!$B$38,0)+IF(I63="convert",Assumptions!$B$37,0)+IF(I64="convert",Assumptions!$B$36,0))))))*Assumptions!$B$35,"preference","convert")</f>
        <v/>
      </c>
      <c r="J73">
        <f>IF((Assumptions!$B$35*Assumptions!$B$14)&gt;(IF((((Assumptions!$B$49-(IF(J59="preference",Assumptions!$B$3,0)+IF(J60="preference",(Assumptions!$B$34*Assumptions!$B$20),0)+IF(J61="preference",(Assumptions!$B$33*Assumptions!$B$19),0)+IF(J62="preference",(Assumptions!$B$38*Assumptions!$B$17),0)+IF(J63="preference",(Assumptions!$B$37*Assumptions!$B$16),0)+IF(J64="preference",(Assumptions!$B$36*Assumptions!$B$15),0))))+Assumptions!$B$30*Assumptions!$B$21)/(((J32+Assumptions!$B$35+(IF(J59="convert",J13,0)+IF(J60="convert",J19,0)+IF(J61="convert",J18,0)+IF(J62="convert",Assumptions!$B$38,0)+IF(J63="convert",Assumptions!$B$37,0)+IF(J64="convert",Assumptions!$B$36,0))))+Assumptions!$B$30)&gt;Assumptions!$B$21,(((Assumptions!$B$49-(IF(J59="preference",Assumptions!$B$3,0)+IF(J60="preference",(Assumptions!$B$34*Assumptions!$B$20),0)+IF(J61="preference",(Assumptions!$B$33*Assumptions!$B$19),0)+IF(J62="preference",(Assumptions!$B$38*Assumptions!$B$17),0)+IF(J63="preference",(Assumptions!$B$37*Assumptions!$B$16),0)+IF(J64="preference",(Assumptions!$B$36*Assumptions!$B$15),0))))+Assumptions!$B$30*Assumptions!$B$21)/(((J32+Assumptions!$B$35+(IF(J59="convert",J13,0)+IF(J60="convert",J19,0)+IF(J61="convert",J18,0)+IF(J62="convert",Assumptions!$B$38,0)+IF(J63="convert",Assumptions!$B$37,0)+IF(J64="convert",Assumptions!$B$36,0))))+Assumptions!$B$30),((Assumptions!$B$49-(IF(J59="preference",Assumptions!$B$3,0)+IF(J60="preference",(Assumptions!$B$34*Assumptions!$B$20),0)+IF(J61="preference",(Assumptions!$B$33*Assumptions!$B$19),0)+IF(J62="preference",(Assumptions!$B$38*Assumptions!$B$17),0)+IF(J63="preference",(Assumptions!$B$37*Assumptions!$B$16),0)+IF(J64="preference",(Assumptions!$B$36*Assumptions!$B$15),0))))/((J32+Assumptions!$B$35+(IF(J59="convert",J13,0)+IF(J60="convert",J19,0)+IF(J61="convert",J18,0)+IF(J62="convert",Assumptions!$B$38,0)+IF(J63="convert",Assumptions!$B$37,0)+IF(J64="convert",Assumptions!$B$36,0))))))*Assumptions!$B$35,"preference","convert")</f>
        <v/>
      </c>
    </row>
    <row r="74">
      <c r="A74" t="inlineStr">
        <is>
          <t>FINAL: Pref total @ $2B</t>
        </is>
      </c>
      <c r="B74">
        <f>IF(B67="preference",Assumptions!$B$3,0)+IF(B68="preference",(Assumptions!$B$34*Assumptions!$B$20),0)+IF(B69="preference",(Assumptions!$B$33*Assumptions!$B$19),0)+IF(B70="preference",(Assumptions!$B$38*Assumptions!$B$17),0)+IF(B71="preference",(Assumptions!$B$37*Assumptions!$B$16),0)+IF(B72="preference",(Assumptions!$B$36*Assumptions!$B$15),0)+IF(B73="preference",(Assumptions!$B$35*Assumptions!$B$14),0)</f>
        <v/>
      </c>
      <c r="C74">
        <f>IF(C67="preference",Assumptions!$B$3,0)+IF(C68="preference",(Assumptions!$B$34*Assumptions!$B$20),0)+IF(C69="preference",(Assumptions!$B$33*Assumptions!$B$19),0)+IF(C70="preference",(Assumptions!$B$38*Assumptions!$B$17),0)+IF(C71="preference",(Assumptions!$B$37*Assumptions!$B$16),0)+IF(C72="preference",(Assumptions!$B$36*Assumptions!$B$15),0)+IF(C73="preference",(Assumptions!$B$35*Assumptions!$B$14),0)</f>
        <v/>
      </c>
      <c r="D74">
        <f>IF(D67="preference",Assumptions!$B$3,0)+IF(D68="preference",(Assumptions!$B$34*Assumptions!$B$20),0)+IF(D69="preference",(Assumptions!$B$33*Assumptions!$B$19),0)+IF(D70="preference",(Assumptions!$B$38*Assumptions!$B$17),0)+IF(D71="preference",(Assumptions!$B$37*Assumptions!$B$16),0)+IF(D72="preference",(Assumptions!$B$36*Assumptions!$B$15),0)+IF(D73="preference",(Assumptions!$B$35*Assumptions!$B$14),0)</f>
        <v/>
      </c>
      <c r="E74">
        <f>IF(E67="preference",Assumptions!$B$3,0)+IF(E68="preference",(Assumptions!$B$34*Assumptions!$B$20),0)+IF(E69="preference",(Assumptions!$B$33*Assumptions!$B$19),0)+IF(E70="preference",(Assumptions!$B$38*Assumptions!$B$17),0)+IF(E71="preference",(Assumptions!$B$37*Assumptions!$B$16),0)+IF(E72="preference",(Assumptions!$B$36*Assumptions!$B$15),0)+IF(E73="preference",(Assumptions!$B$35*Assumptions!$B$14),0)</f>
        <v/>
      </c>
      <c r="F74">
        <f>IF(F67="preference",Assumptions!$B$3,0)+IF(F68="preference",(Assumptions!$B$34*Assumptions!$B$20),0)+IF(F69="preference",(Assumptions!$B$33*Assumptions!$B$19),0)+IF(F70="preference",(Assumptions!$B$38*Assumptions!$B$17),0)+IF(F71="preference",(Assumptions!$B$37*Assumptions!$B$16),0)+IF(F72="preference",(Assumptions!$B$36*Assumptions!$B$15),0)+IF(F73="preference",(Assumptions!$B$35*Assumptions!$B$14),0)</f>
        <v/>
      </c>
      <c r="G74">
        <f>IF(G67="preference",Assumptions!$B$3,0)+IF(G68="preference",(Assumptions!$B$34*Assumptions!$B$20),0)+IF(G69="preference",(Assumptions!$B$33*Assumptions!$B$19),0)+IF(G70="preference",(Assumptions!$B$38*Assumptions!$B$17),0)+IF(G71="preference",(Assumptions!$B$37*Assumptions!$B$16),0)+IF(G72="preference",(Assumptions!$B$36*Assumptions!$B$15),0)+IF(G73="preference",(Assumptions!$B$35*Assumptions!$B$14),0)</f>
        <v/>
      </c>
      <c r="H74">
        <f>IF(H67="preference",Assumptions!$B$3,0)+IF(H68="preference",(Assumptions!$B$34*Assumptions!$B$20),0)+IF(H69="preference",(Assumptions!$B$33*Assumptions!$B$19),0)+IF(H70="preference",(Assumptions!$B$38*Assumptions!$B$17),0)+IF(H71="preference",(Assumptions!$B$37*Assumptions!$B$16),0)+IF(H72="preference",(Assumptions!$B$36*Assumptions!$B$15),0)+IF(H73="preference",(Assumptions!$B$35*Assumptions!$B$14),0)</f>
        <v/>
      </c>
      <c r="I74">
        <f>IF(I67="preference",Assumptions!$B$3,0)+IF(I68="preference",(Assumptions!$B$34*Assumptions!$B$20),0)+IF(I69="preference",(Assumptions!$B$33*Assumptions!$B$19),0)+IF(I70="preference",(Assumptions!$B$38*Assumptions!$B$17),0)+IF(I71="preference",(Assumptions!$B$37*Assumptions!$B$16),0)+IF(I72="preference",(Assumptions!$B$36*Assumptions!$B$15),0)+IF(I73="preference",(Assumptions!$B$35*Assumptions!$B$14),0)</f>
        <v/>
      </c>
      <c r="J74">
        <f>IF(J67="preference",Assumptions!$B$3,0)+IF(J68="preference",(Assumptions!$B$34*Assumptions!$B$20),0)+IF(J69="preference",(Assumptions!$B$33*Assumptions!$B$19),0)+IF(J70="preference",(Assumptions!$B$38*Assumptions!$B$17),0)+IF(J71="preference",(Assumptions!$B$37*Assumptions!$B$16),0)+IF(J72="preference",(Assumptions!$B$36*Assumptions!$B$15),0)+IF(J73="preference",(Assumptions!$B$35*Assumptions!$B$14),0)</f>
        <v/>
      </c>
    </row>
    <row r="75">
      <c r="A75" t="inlineStr">
        <is>
          <t>FINAL: Convert denom @ $2B</t>
        </is>
      </c>
      <c r="B75">
        <f>B32+IF(B67="convert",B13,0)+IF(B68="convert",B19,0)+IF(B69="convert",B18,0)+IF(B70="convert",Assumptions!$B$38,0)+IF(B71="convert",Assumptions!$B$37,0)+IF(B72="convert",Assumptions!$B$36,0)+IF(B73="convert",Assumptions!$B$35,0)</f>
        <v/>
      </c>
      <c r="C75">
        <f>C32+IF(C67="convert",C13,0)+IF(C68="convert",C19,0)+IF(C69="convert",C18,0)+IF(C70="convert",Assumptions!$B$38,0)+IF(C71="convert",Assumptions!$B$37,0)+IF(C72="convert",Assumptions!$B$36,0)+IF(C73="convert",Assumptions!$B$35,0)</f>
        <v/>
      </c>
      <c r="D75">
        <f>D32+IF(D67="convert",D13,0)+IF(D68="convert",D19,0)+IF(D69="convert",D18,0)+IF(D70="convert",Assumptions!$B$38,0)+IF(D71="convert",Assumptions!$B$37,0)+IF(D72="convert",Assumptions!$B$36,0)+IF(D73="convert",Assumptions!$B$35,0)</f>
        <v/>
      </c>
      <c r="E75">
        <f>E32+IF(E67="convert",E13,0)+IF(E68="convert",E19,0)+IF(E69="convert",E18,0)+IF(E70="convert",Assumptions!$B$38,0)+IF(E71="convert",Assumptions!$B$37,0)+IF(E72="convert",Assumptions!$B$36,0)+IF(E73="convert",Assumptions!$B$35,0)</f>
        <v/>
      </c>
      <c r="F75">
        <f>F32+IF(F67="convert",F13,0)+IF(F68="convert",F19,0)+IF(F69="convert",F18,0)+IF(F70="convert",Assumptions!$B$38,0)+IF(F71="convert",Assumptions!$B$37,0)+IF(F72="convert",Assumptions!$B$36,0)+IF(F73="convert",Assumptions!$B$35,0)</f>
        <v/>
      </c>
      <c r="G75">
        <f>G32+IF(G67="convert",G13,0)+IF(G68="convert",G19,0)+IF(G69="convert",G18,0)+IF(G70="convert",Assumptions!$B$38,0)+IF(G71="convert",Assumptions!$B$37,0)+IF(G72="convert",Assumptions!$B$36,0)+IF(G73="convert",Assumptions!$B$35,0)</f>
        <v/>
      </c>
      <c r="H75">
        <f>H32+IF(H67="convert",H13,0)+IF(H68="convert",H19,0)+IF(H69="convert",H18,0)+IF(H70="convert",Assumptions!$B$38,0)+IF(H71="convert",Assumptions!$B$37,0)+IF(H72="convert",Assumptions!$B$36,0)+IF(H73="convert",Assumptions!$B$35,0)</f>
        <v/>
      </c>
      <c r="I75">
        <f>I32+IF(I67="convert",I13,0)+IF(I68="convert",I19,0)+IF(I69="convert",I18,0)+IF(I70="convert",Assumptions!$B$38,0)+IF(I71="convert",Assumptions!$B$37,0)+IF(I72="convert",Assumptions!$B$36,0)+IF(I73="convert",Assumptions!$B$35,0)</f>
        <v/>
      </c>
      <c r="J75">
        <f>J32+IF(J67="convert",J13,0)+IF(J68="convert",J19,0)+IF(J69="convert",J18,0)+IF(J70="convert",Assumptions!$B$38,0)+IF(J71="convert",Assumptions!$B$37,0)+IF(J72="convert",Assumptions!$B$36,0)+IF(J73="convert",Assumptions!$B$35,0)</f>
        <v/>
      </c>
    </row>
    <row r="76">
      <c r="A76" t="inlineStr">
        <is>
          <t>FINAL: Residual pool @ $2B</t>
        </is>
      </c>
      <c r="B76">
        <f>Assumptions!$B$49-B74</f>
        <v/>
      </c>
      <c r="C76">
        <f>Assumptions!$B$49-C74</f>
        <v/>
      </c>
      <c r="D76">
        <f>Assumptions!$B$49-D74</f>
        <v/>
      </c>
      <c r="E76">
        <f>Assumptions!$B$49-E74</f>
        <v/>
      </c>
      <c r="F76">
        <f>Assumptions!$B$49-F74</f>
        <v/>
      </c>
      <c r="G76">
        <f>Assumptions!$B$49-G74</f>
        <v/>
      </c>
      <c r="H76">
        <f>Assumptions!$B$49-H74</f>
        <v/>
      </c>
      <c r="I76">
        <f>Assumptions!$B$49-I74</f>
        <v/>
      </c>
      <c r="J76">
        <f>Assumptions!$B$49-J74</f>
        <v/>
      </c>
    </row>
    <row r="77">
      <c r="A77" t="inlineStr">
        <is>
          <t>FINAL: Per-share @ $2B</t>
        </is>
      </c>
      <c r="B77" s="14">
        <f>IF((B76+Assumptions!$B$30*Assumptions!$B$21)/(B75+Assumptions!$B$30)&gt;Assumptions!$B$21,(B76+Assumptions!$B$30*Assumptions!$B$21)/(B75+Assumptions!$B$30),B76/B75)</f>
        <v/>
      </c>
      <c r="C77" s="14">
        <f>IF((C76+Assumptions!$B$30*Assumptions!$B$21)/(C75+Assumptions!$B$30)&gt;Assumptions!$B$21,(C76+Assumptions!$B$30*Assumptions!$B$21)/(C75+Assumptions!$B$30),C76/C75)</f>
        <v/>
      </c>
      <c r="D77" s="14">
        <f>IF((D76+Assumptions!$B$30*Assumptions!$B$21)/(D75+Assumptions!$B$30)&gt;Assumptions!$B$21,(D76+Assumptions!$B$30*Assumptions!$B$21)/(D75+Assumptions!$B$30),D76/D75)</f>
        <v/>
      </c>
      <c r="E77" s="14">
        <f>IF((E76+Assumptions!$B$30*Assumptions!$B$21)/(E75+Assumptions!$B$30)&gt;Assumptions!$B$21,(E76+Assumptions!$B$30*Assumptions!$B$21)/(E75+Assumptions!$B$30),E76/E75)</f>
        <v/>
      </c>
      <c r="F77" s="14">
        <f>IF((F76+Assumptions!$B$30*Assumptions!$B$21)/(F75+Assumptions!$B$30)&gt;Assumptions!$B$21,(F76+Assumptions!$B$30*Assumptions!$B$21)/(F75+Assumptions!$B$30),F76/F75)</f>
        <v/>
      </c>
      <c r="G77" s="14">
        <f>IF((G76+Assumptions!$B$30*Assumptions!$B$21)/(G75+Assumptions!$B$30)&gt;Assumptions!$B$21,(G76+Assumptions!$B$30*Assumptions!$B$21)/(G75+Assumptions!$B$30),G76/G75)</f>
        <v/>
      </c>
      <c r="H77" s="14">
        <f>IF((H76+Assumptions!$B$30*Assumptions!$B$21)/(H75+Assumptions!$B$30)&gt;Assumptions!$B$21,(H76+Assumptions!$B$30*Assumptions!$B$21)/(H75+Assumptions!$B$30),H76/H75)</f>
        <v/>
      </c>
      <c r="I77" s="14">
        <f>IF((I76+Assumptions!$B$30*Assumptions!$B$21)/(I75+Assumptions!$B$30)&gt;Assumptions!$B$21,(I76+Assumptions!$B$30*Assumptions!$B$21)/(I75+Assumptions!$B$30),I76/I75)</f>
        <v/>
      </c>
      <c r="J77" s="14">
        <f>IF((J76+Assumptions!$B$30*Assumptions!$B$21)/(J75+Assumptions!$B$30)&gt;Assumptions!$B$21,(J76+Assumptions!$B$30*Assumptions!$B$21)/(J75+Assumptions!$B$30),J76/J75)</f>
        <v/>
      </c>
    </row>
    <row r="78">
      <c r="A78" t="inlineStr">
        <is>
          <t>FINAL: F election @ $2B</t>
        </is>
      </c>
      <c r="B78">
        <f>B67</f>
        <v/>
      </c>
      <c r="C78">
        <f>C67</f>
        <v/>
      </c>
      <c r="D78">
        <f>D67</f>
        <v/>
      </c>
      <c r="E78">
        <f>E67</f>
        <v/>
      </c>
      <c r="F78">
        <f>F67</f>
        <v/>
      </c>
      <c r="G78">
        <f>G67</f>
        <v/>
      </c>
      <c r="H78">
        <f>H67</f>
        <v/>
      </c>
      <c r="I78">
        <f>I67</f>
        <v/>
      </c>
      <c r="J78">
        <f>J67</f>
        <v/>
      </c>
    </row>
    <row r="79">
      <c r="A79" t="inlineStr">
        <is>
          <t>FINAL: Our F shares (= 10M / F_PPS)</t>
        </is>
      </c>
      <c r="B79">
        <f>Assumptions!$B$12/B12</f>
        <v/>
      </c>
      <c r="C79">
        <f>Assumptions!$B$12/C12</f>
        <v/>
      </c>
      <c r="D79">
        <f>Assumptions!$B$12/D12</f>
        <v/>
      </c>
      <c r="E79">
        <f>Assumptions!$B$12/E12</f>
        <v/>
      </c>
      <c r="F79">
        <f>Assumptions!$B$12/F12</f>
        <v/>
      </c>
      <c r="G79">
        <f>Assumptions!$B$12/G12</f>
        <v/>
      </c>
      <c r="H79">
        <f>Assumptions!$B$12/H12</f>
        <v/>
      </c>
      <c r="I79">
        <f>Assumptions!$B$12/I12</f>
        <v/>
      </c>
      <c r="J79">
        <f>Assumptions!$B$12/J12</f>
        <v/>
      </c>
    </row>
    <row r="80">
      <c r="A80" t="inlineStr">
        <is>
          <t>FINAL: Our proceeds @ $2B</t>
        </is>
      </c>
      <c r="B80" s="12">
        <f>IF(B78="preference",Assumptions!$B$12,B77*B79)</f>
        <v/>
      </c>
      <c r="C80" s="12">
        <f>IF(C78="preference",Assumptions!$B$12,C77*C79)</f>
        <v/>
      </c>
      <c r="D80" s="12">
        <f>IF(D78="preference",Assumptions!$B$12,D77*D79)</f>
        <v/>
      </c>
      <c r="E80" s="12">
        <f>IF(E78="preference",Assumptions!$B$12,E77*E79)</f>
        <v/>
      </c>
      <c r="F80" s="12">
        <f>IF(F78="preference",Assumptions!$B$12,F77*F79)</f>
        <v/>
      </c>
      <c r="G80" s="12">
        <f>IF(G78="preference",Assumptions!$B$12,G77*G79)</f>
        <v/>
      </c>
      <c r="H80" s="12">
        <f>IF(H78="preference",Assumptions!$B$12,H77*H79)</f>
        <v/>
      </c>
      <c r="I80" s="12">
        <f>IF(I78="preference",Assumptions!$B$12,I77*I79)</f>
        <v/>
      </c>
      <c r="J80" s="12">
        <f>IF(J78="preference",Assumptions!$B$12,J77*J79)</f>
        <v/>
      </c>
    </row>
    <row r="81">
      <c r="A81" t="inlineStr">
        <is>
          <t>FINAL: Our ownership % (= our F shares / T_F)</t>
        </is>
      </c>
      <c r="B81" s="17">
        <f>B79/B14</f>
        <v/>
      </c>
      <c r="C81" s="17">
        <f>C79/C14</f>
        <v/>
      </c>
      <c r="D81" s="17">
        <f>D79/D14</f>
        <v/>
      </c>
      <c r="E81" s="17">
        <f>E79/E14</f>
        <v/>
      </c>
      <c r="F81" s="17">
        <f>F79/F14</f>
        <v/>
      </c>
      <c r="G81" s="17">
        <f>G79/G14</f>
        <v/>
      </c>
      <c r="H81" s="17">
        <f>H79/H14</f>
        <v/>
      </c>
      <c r="I81" s="17">
        <f>I79/I14</f>
        <v/>
      </c>
      <c r="J81" s="17">
        <f>J79/J14</f>
        <v/>
      </c>
    </row>
    <row r="83">
      <c r="A83" s="1" t="inlineStr">
        <is>
          <t>OUTPUT GRID — Our $10M check ownership % and proceeds @ $2B exit</t>
        </is>
      </c>
    </row>
    <row r="85">
      <c r="A85" t="inlineStr">
        <is>
          <t>Pre-money →</t>
        </is>
      </c>
      <c r="B85" s="12">
        <f>Assumptions!$B$46</f>
        <v/>
      </c>
      <c r="C85" s="12">
        <f>Assumptions!$B$47</f>
        <v/>
      </c>
      <c r="D85" s="12">
        <f>Assumptions!$B$48</f>
        <v/>
      </c>
    </row>
    <row r="86">
      <c r="A86" t="inlineStr">
        <is>
          <t>ESOP ↓</t>
        </is>
      </c>
    </row>
    <row r="87">
      <c r="A87" s="18">
        <f>Assumptions!$B$43</f>
        <v/>
      </c>
      <c r="B87" s="17">
        <f>B81</f>
        <v/>
      </c>
      <c r="C87" s="17">
        <f>C81</f>
        <v/>
      </c>
      <c r="D87" s="17">
        <f>D81</f>
        <v/>
      </c>
    </row>
    <row r="88">
      <c r="A88" t="inlineStr">
        <is>
          <t xml:space="preserve">  Proceeds ($)</t>
        </is>
      </c>
      <c r="B88" s="12">
        <f>B80</f>
        <v/>
      </c>
      <c r="C88" s="12">
        <f>C80</f>
        <v/>
      </c>
      <c r="D88" s="12">
        <f>D80</f>
        <v/>
      </c>
    </row>
    <row r="89">
      <c r="A89" s="18">
        <f>Assumptions!$B$44</f>
        <v/>
      </c>
      <c r="B89" s="17">
        <f>E81</f>
        <v/>
      </c>
      <c r="C89" s="17">
        <f>F81</f>
        <v/>
      </c>
      <c r="D89" s="17">
        <f>G81</f>
        <v/>
      </c>
    </row>
    <row r="90">
      <c r="A90" t="inlineStr">
        <is>
          <t xml:space="preserve">  Proceeds ($)</t>
        </is>
      </c>
      <c r="B90" s="12">
        <f>E80</f>
        <v/>
      </c>
      <c r="C90" s="12">
        <f>F80</f>
        <v/>
      </c>
      <c r="D90" s="12">
        <f>G80</f>
        <v/>
      </c>
    </row>
    <row r="91">
      <c r="A91" s="18">
        <f>Assumptions!$B$45</f>
        <v/>
      </c>
      <c r="B91" s="17">
        <f>H81</f>
        <v/>
      </c>
      <c r="C91" s="17">
        <f>I81</f>
        <v/>
      </c>
      <c r="D91" s="17">
        <f>J81</f>
        <v/>
      </c>
    </row>
    <row r="92">
      <c r="A92" t="inlineStr">
        <is>
          <t xml:space="preserve">  Proceeds ($)</t>
        </is>
      </c>
      <c r="B92" s="12">
        <f>H80</f>
        <v/>
      </c>
      <c r="C92" s="12">
        <f>I80</f>
        <v/>
      </c>
      <c r="D92" s="12">
        <f>J80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RETURN SOLVER — F ownership % needed for 3× and 4× on $10M check</t>
        </is>
      </c>
    </row>
    <row r="3">
      <c r="A3" t="inlineStr">
        <is>
          <t>Exit value</t>
        </is>
      </c>
      <c r="B3" s="12">
        <f>Assumptions!$B$7</f>
        <v/>
      </c>
      <c r="C3" s="12">
        <f>Assumptions!$B$8</f>
        <v/>
      </c>
      <c r="D3" s="12">
        <f>Assumptions!$B$9</f>
        <v/>
      </c>
      <c r="E3" s="12">
        <f>Assumptions!$B$10</f>
        <v/>
      </c>
      <c r="F3" s="12">
        <f>Assumptions!$B$11</f>
        <v/>
      </c>
    </row>
    <row r="4">
      <c r="A4" t="inlineStr">
        <is>
          <t>F election @ this exit (from Waterfall)</t>
        </is>
      </c>
      <c r="B4">
        <f>Waterfall!B66</f>
        <v/>
      </c>
      <c r="C4">
        <f>Waterfall!C66</f>
        <v/>
      </c>
      <c r="D4">
        <f>Waterfall!D66</f>
        <v/>
      </c>
      <c r="E4">
        <f>Waterfall!E66</f>
        <v/>
      </c>
      <c r="F4">
        <f>Waterfall!F66</f>
        <v/>
      </c>
    </row>
    <row r="5">
      <c r="A5" t="inlineStr">
        <is>
          <t>Per-share value at exit ($)</t>
        </is>
      </c>
      <c r="B5" s="14">
        <f>Waterfall!B78</f>
        <v/>
      </c>
      <c r="C5" s="14">
        <f>Waterfall!C78</f>
        <v/>
      </c>
      <c r="D5" s="14">
        <f>Waterfall!D78</f>
        <v/>
      </c>
      <c r="E5" s="14">
        <f>Waterfall!E78</f>
        <v/>
      </c>
      <c r="F5" s="14">
        <f>Waterfall!F78</f>
        <v/>
      </c>
    </row>
    <row r="6">
      <c r="A6" t="inlineStr">
        <is>
          <t>Post-F FD (T_F)</t>
        </is>
      </c>
      <c r="B6" s="8">
        <f>'Pro-Forma'!$B$10</f>
        <v/>
      </c>
      <c r="C6" s="8">
        <f>'Pro-Forma'!$B$10</f>
        <v/>
      </c>
      <c r="D6" s="8">
        <f>'Pro-Forma'!$B$10</f>
        <v/>
      </c>
      <c r="E6" s="8">
        <f>'Pro-Forma'!$B$10</f>
        <v/>
      </c>
      <c r="F6" s="8">
        <f>'Pro-Forma'!$B$10</f>
        <v/>
      </c>
    </row>
    <row r="7">
      <c r="A7" t="inlineStr">
        <is>
          <t>Target proceeds 3× ($30M)</t>
        </is>
      </c>
      <c r="B7" s="12">
        <f>Assumptions!$B$50*Assumptions!$B$12</f>
        <v/>
      </c>
      <c r="C7" s="12">
        <f>Assumptions!$B$50*Assumptions!$B$12</f>
        <v/>
      </c>
      <c r="D7" s="12">
        <f>Assumptions!$B$50*Assumptions!$B$12</f>
        <v/>
      </c>
      <c r="E7" s="12">
        <f>Assumptions!$B$50*Assumptions!$B$12</f>
        <v/>
      </c>
      <c r="F7" s="12">
        <f>Assumptions!$B$50*Assumptions!$B$12</f>
        <v/>
      </c>
    </row>
    <row r="8">
      <c r="A8" t="inlineStr">
        <is>
          <t>Target proceeds 4× ($40M)</t>
        </is>
      </c>
      <c r="B8" s="12">
        <f>Assumptions!$B$51*Assumptions!$B$12</f>
        <v/>
      </c>
      <c r="C8" s="12">
        <f>Assumptions!$B$51*Assumptions!$B$12</f>
        <v/>
      </c>
      <c r="D8" s="12">
        <f>Assumptions!$B$51*Assumptions!$B$12</f>
        <v/>
      </c>
      <c r="E8" s="12">
        <f>Assumptions!$B$51*Assumptions!$B$12</f>
        <v/>
      </c>
      <c r="F8" s="12">
        <f>Assumptions!$B$51*Assumptions!$B$12</f>
        <v/>
      </c>
    </row>
    <row r="9">
      <c r="A9" t="inlineStr">
        <is>
          <t>Needed ownership % for 3×</t>
        </is>
      </c>
      <c r="B9" s="17">
        <f>IF(B4="convert",B7/(B5*B6),-1)</f>
        <v/>
      </c>
      <c r="C9" s="17">
        <f>IF(C4="convert",C7/(C5*C6),-1)</f>
        <v/>
      </c>
      <c r="D9" s="17">
        <f>IF(D4="convert",D7/(D5*D6),-1)</f>
        <v/>
      </c>
      <c r="E9" s="17">
        <f>IF(E4="convert",E7/(E5*E6),-1)</f>
        <v/>
      </c>
      <c r="F9" s="17">
        <f>IF(F4="convert",F7/(F5*F6),-1)</f>
        <v/>
      </c>
    </row>
    <row r="10">
      <c r="A10" t="inlineStr">
        <is>
          <t>Flag (3×)</t>
        </is>
      </c>
      <c r="B10">
        <f>IF(OR(B9&lt;=0,B9&gt;1),"infeasible","feasible")</f>
        <v/>
      </c>
      <c r="C10">
        <f>IF(OR(C9&lt;=0,C9&gt;1),"infeasible","feasible")</f>
        <v/>
      </c>
      <c r="D10">
        <f>IF(OR(D9&lt;=0,D9&gt;1),"infeasible","feasible")</f>
        <v/>
      </c>
      <c r="E10">
        <f>IF(OR(E9&lt;=0,E9&gt;1),"infeasible","feasible")</f>
        <v/>
      </c>
      <c r="F10">
        <f>IF(OR(F9&lt;=0,F9&gt;1),"infeasible","feasible")</f>
        <v/>
      </c>
    </row>
    <row r="11">
      <c r="A11" t="inlineStr">
        <is>
          <t>Needed ownership % for 4×</t>
        </is>
      </c>
      <c r="B11" s="17">
        <f>IF(B4="convert",B8/(B5*B6),-1)</f>
        <v/>
      </c>
      <c r="C11" s="17">
        <f>IF(C4="convert",C8/(C5*C6),-1)</f>
        <v/>
      </c>
      <c r="D11" s="17">
        <f>IF(D4="convert",D8/(D5*D6),-1)</f>
        <v/>
      </c>
      <c r="E11" s="17">
        <f>IF(E4="convert",E8/(E5*E6),-1)</f>
        <v/>
      </c>
      <c r="F11" s="17">
        <f>IF(F4="convert",F8/(F5*F6),-1)</f>
        <v/>
      </c>
    </row>
    <row r="12">
      <c r="A12" t="inlineStr">
        <is>
          <t>Flag (4×)</t>
        </is>
      </c>
      <c r="B12">
        <f>IF(OR(B11&lt;=0,B11&gt;1),"infeasible","feasible")</f>
        <v/>
      </c>
      <c r="C12">
        <f>IF(OR(C11&lt;=0,C11&gt;1),"infeasible","feasible")</f>
        <v/>
      </c>
      <c r="D12">
        <f>IF(OR(D11&lt;=0,D11&gt;1),"infeasible","feasible")</f>
        <v/>
      </c>
      <c r="E12">
        <f>IF(OR(E11&lt;=0,E11&gt;1),"infeasible","feasible")</f>
        <v/>
      </c>
      <c r="F12">
        <f>IF(OR(F11&lt;=0,F11&gt;1),"infeasible","feasible")</f>
        <v/>
      </c>
    </row>
    <row r="14">
      <c r="A14" s="16" t="inlineStr">
        <is>
          <t>Note: when F class elects "preference", our $10M is hard-capped at $10M (1×) — 3× and 4× are infeasible regardless of ownership 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2026-04-27T02:38:29Z</dcterms:created>
  <dcterms:modified xmlns:dcterms="http://purl.org/dc/terms/" xmlns:xsi="http://www.w3.org/2001/XMLSchema-instance" xsi:type="dcterms:W3CDTF">2026-04-27T02:38:29Z</dcterms:modified>
</cp:coreProperties>
</file>