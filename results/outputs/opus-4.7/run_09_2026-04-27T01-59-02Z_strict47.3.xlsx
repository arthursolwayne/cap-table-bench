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Solver" sheetId="2" state="visible" r:id="rId2"/>
    <sheet xmlns:r="http://schemas.openxmlformats.org/officeDocument/2006/relationships" name="Pro-Forma" sheetId="3" state="visible" r:id="rId3"/>
    <sheet xmlns:r="http://schemas.openxmlformats.org/officeDocument/2006/relationships" name="Waterfall" sheetId="4" state="visible" r:id="rId4"/>
    <sheet xmlns:r="http://schemas.openxmlformats.org/officeDocument/2006/relationships" name="Sensitivity" sheetId="5" state="visible" r:id="rId5"/>
    <sheet xmlns:r="http://schemas.openxmlformats.org/officeDocument/2006/relationships" name="Return-Solver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selection activeCell="A1" sqref="A1"/>
    </sheetView>
  </sheetViews>
  <sheetFormatPr baseColWidth="8" defaultRowHeight="15"/>
  <cols>
    <col width="36" customWidth="1" min="1" max="1"/>
    <col width="18" customWidth="1" min="2" max="2"/>
    <col width="50" customWidth="1" min="3" max="3"/>
  </cols>
  <sheetData>
    <row r="1">
      <c r="A1" s="1" t="inlineStr">
        <is>
          <t>Series F Analysis — Assumptions</t>
        </is>
      </c>
    </row>
    <row r="2">
      <c r="A2" s="2" t="inlineStr">
        <is>
          <t>Knob</t>
        </is>
      </c>
      <c r="B2" s="2" t="inlineStr">
        <is>
          <t>Value</t>
        </is>
      </c>
      <c r="C2" s="2" t="inlineStr">
        <is>
          <t>Notes</t>
        </is>
      </c>
    </row>
    <row r="3">
      <c r="A3" t="inlineStr">
        <is>
          <t>series_f_pre_money_usd</t>
        </is>
      </c>
      <c r="B3" t="n">
        <v>1400000000</v>
      </c>
      <c r="C3" t="inlineStr">
        <is>
          <t>Series F pre-money valuation</t>
        </is>
      </c>
    </row>
    <row r="4">
      <c r="A4" t="inlineStr">
        <is>
          <t>series_f_primary_raise_usd</t>
        </is>
      </c>
      <c r="B4" t="n">
        <v>30000000</v>
      </c>
      <c r="C4" t="inlineStr">
        <is>
          <t>New Series F primary capital</t>
        </is>
      </c>
    </row>
    <row r="5">
      <c r="A5" t="inlineStr">
        <is>
          <t>series_f_secondary_raise_usd</t>
        </is>
      </c>
      <c r="B5" t="n">
        <v>15000000</v>
      </c>
      <c r="C5" t="inlineStr">
        <is>
          <t>Secondary tender from founders</t>
        </is>
      </c>
    </row>
    <row r="6">
      <c r="A6" t="inlineStr">
        <is>
          <t>series_f_tender_pps_multiplier</t>
        </is>
      </c>
      <c r="B6" t="n">
        <v>0.85</v>
      </c>
      <c r="C6" t="inlineStr">
        <is>
          <t>Tender PPS = mult x F_PPS</t>
        </is>
      </c>
    </row>
    <row r="7">
      <c r="A7" t="inlineStr">
        <is>
          <t>esop_refresh_target_post_f</t>
        </is>
      </c>
      <c r="B7" t="n">
        <v>0.13</v>
      </c>
      <c r="C7" t="inlineStr">
        <is>
          <t>Post-F ESOP as fraction of post-F FD</t>
        </is>
      </c>
    </row>
    <row r="8">
      <c r="A8" t="inlineStr">
        <is>
          <t>our_fund_check_usd</t>
        </is>
      </c>
      <c r="B8" t="n">
        <v>10000000</v>
      </c>
      <c r="C8" t="inlineStr">
        <is>
          <t>Our fund check (1/3 of primary)</t>
        </is>
      </c>
    </row>
    <row r="9">
      <c r="A9" t="inlineStr">
        <is>
          <t>f_lead_primary_check_usd</t>
        </is>
      </c>
      <c r="B9" t="n">
        <v>20000000</v>
      </c>
      <c r="C9" t="inlineStr">
        <is>
          <t>F_LEAD primary check (2/3 of primary)</t>
        </is>
      </c>
    </row>
    <row r="10">
      <c r="A10" t="inlineStr">
        <is>
          <t>option_strike_usd</t>
        </is>
      </c>
      <c r="B10" t="n">
        <v>1</v>
      </c>
      <c r="C10" t="inlineStr">
        <is>
          <t>Strike for issued options</t>
        </is>
      </c>
    </row>
    <row r="11">
      <c r="A11" t="inlineStr">
        <is>
          <t>exit_value_1_usd</t>
        </is>
      </c>
      <c r="B11" t="n">
        <v>700000000</v>
      </c>
      <c r="C11" t="inlineStr">
        <is>
          <t>Exit 1</t>
        </is>
      </c>
    </row>
    <row r="12">
      <c r="A12" t="inlineStr">
        <is>
          <t>exit_value_2_usd</t>
        </is>
      </c>
      <c r="B12" t="n">
        <v>1200000000</v>
      </c>
      <c r="C12" t="inlineStr">
        <is>
          <t>Exit 2</t>
        </is>
      </c>
    </row>
    <row r="13">
      <c r="A13" t="inlineStr">
        <is>
          <t>exit_value_3_usd</t>
        </is>
      </c>
      <c r="B13" t="n">
        <v>2000000000</v>
      </c>
      <c r="C13" t="inlineStr">
        <is>
          <t>Exit 3 (sensitivity)</t>
        </is>
      </c>
    </row>
    <row r="14">
      <c r="A14" t="inlineStr">
        <is>
          <t>exit_value_4_usd</t>
        </is>
      </c>
      <c r="B14" t="n">
        <v>4000000000</v>
      </c>
      <c r="C14" t="inlineStr">
        <is>
          <t>Exit 4</t>
        </is>
      </c>
    </row>
    <row r="15">
      <c r="A15" t="inlineStr">
        <is>
          <t>exit_value_5_usd</t>
        </is>
      </c>
      <c r="B15" t="n">
        <v>8000000000</v>
      </c>
      <c r="C15" t="inlineStr">
        <is>
          <t>Exit 5</t>
        </is>
      </c>
    </row>
    <row r="16">
      <c r="A16" t="inlineStr">
        <is>
          <t>ocp_seed</t>
        </is>
      </c>
      <c r="B16" t="n">
        <v>1</v>
      </c>
      <c r="C16" t="inlineStr">
        <is>
          <t>Seed OCP</t>
        </is>
      </c>
    </row>
    <row r="17">
      <c r="A17" t="inlineStr">
        <is>
          <t>ocp_a</t>
        </is>
      </c>
      <c r="B17" t="n">
        <v>3</v>
      </c>
      <c r="C17" t="inlineStr">
        <is>
          <t>Series A OCP</t>
        </is>
      </c>
    </row>
    <row r="18">
      <c r="A18" t="inlineStr">
        <is>
          <t>ocp_b</t>
        </is>
      </c>
      <c r="B18" t="n">
        <v>10</v>
      </c>
      <c r="C18" t="inlineStr">
        <is>
          <t>Series B OCP</t>
        </is>
      </c>
    </row>
    <row r="19">
      <c r="A19" t="inlineStr">
        <is>
          <t>ocp_c</t>
        </is>
      </c>
      <c r="B19" t="n">
        <v>25</v>
      </c>
      <c r="C19" t="inlineStr">
        <is>
          <t>Series C OCP</t>
        </is>
      </c>
    </row>
    <row r="20">
      <c r="A20" t="inlineStr">
        <is>
          <t>ocp_d_post_e</t>
        </is>
      </c>
      <c r="B20" t="n">
        <v>58.118347</v>
      </c>
      <c r="C20" t="inlineStr">
        <is>
          <t>Series D OCP-for-AD (post-E NCP)</t>
        </is>
      </c>
    </row>
    <row r="21">
      <c r="A21" t="inlineStr">
        <is>
          <t>ocp_e</t>
        </is>
      </c>
      <c r="B21" t="n">
        <v>49.158311</v>
      </c>
      <c r="C21" t="inlineStr">
        <is>
          <t>Series E OCP-for-AD</t>
        </is>
      </c>
    </row>
    <row r="22">
      <c r="A22" t="inlineStr">
        <is>
          <t>ocp_d_orig</t>
        </is>
      </c>
      <c r="B22" t="n">
        <v>60</v>
      </c>
      <c r="C22" t="inlineStr">
        <is>
          <t>Series D original OCP</t>
        </is>
      </c>
    </row>
    <row r="23">
      <c r="A23" t="inlineStr">
        <is>
          <t>note_a_principal_usd</t>
        </is>
      </c>
      <c r="B23" t="n">
        <v>5000000</v>
      </c>
      <c r="C23" t="inlineStr">
        <is>
          <t>Note A principal</t>
        </is>
      </c>
    </row>
    <row r="24">
      <c r="A24" t="inlineStr">
        <is>
          <t>note_a_cap_usd</t>
        </is>
      </c>
      <c r="B24" t="n">
        <v>1000000000</v>
      </c>
      <c r="C24" t="inlineStr">
        <is>
          <t>Note A cap</t>
        </is>
      </c>
    </row>
    <row r="25">
      <c r="A25" t="inlineStr">
        <is>
          <t>note_a_discount</t>
        </is>
      </c>
      <c r="B25" t="n">
        <v>0.2</v>
      </c>
      <c r="C25" t="inlineStr">
        <is>
          <t>Note A discount</t>
        </is>
      </c>
    </row>
    <row r="26">
      <c r="A26" t="inlineStr">
        <is>
          <t>note_b_principal_usd</t>
        </is>
      </c>
      <c r="B26" t="n">
        <v>3000000</v>
      </c>
      <c r="C26" t="inlineStr">
        <is>
          <t>Note B principal</t>
        </is>
      </c>
    </row>
    <row r="27">
      <c r="A27" t="inlineStr">
        <is>
          <t>note_b_cap_usd</t>
        </is>
      </c>
      <c r="B27" t="n">
        <v>1600000000</v>
      </c>
      <c r="C27" t="inlineStr">
        <is>
          <t>Note B cap</t>
        </is>
      </c>
    </row>
    <row r="28">
      <c r="A28" t="inlineStr">
        <is>
          <t>note_b_discount</t>
        </is>
      </c>
      <c r="B28" t="n">
        <v>0.15</v>
      </c>
      <c r="C28" t="inlineStr">
        <is>
          <t>Note B discount</t>
        </is>
      </c>
    </row>
    <row r="29">
      <c r="A29" t="inlineStr">
        <is>
          <t>wa_A_pre_F_FD_shares</t>
        </is>
      </c>
      <c r="B29" t="n">
        <v>36617961</v>
      </c>
      <c r="C29" t="inlineStr">
        <is>
          <t>Broad-based WA A — pre-F FD</t>
        </is>
      </c>
    </row>
    <row r="30">
      <c r="A30" t="inlineStr">
        <is>
          <t>pre_f_pool_existing_shares</t>
        </is>
      </c>
      <c r="B30" t="n">
        <v>4394667</v>
      </c>
      <c r="C30" t="inlineStr">
        <is>
          <t>Pre-F option pool existing</t>
        </is>
      </c>
    </row>
    <row r="31">
      <c r="A31" t="inlineStr">
        <is>
          <t>pre_f_options_issued</t>
        </is>
      </c>
      <c r="B31" t="n">
        <v>2500000</v>
      </c>
      <c r="C31" t="inlineStr">
        <is>
          <t>Issued options pre-F</t>
        </is>
      </c>
    </row>
    <row r="32">
      <c r="A32" t="inlineStr">
        <is>
          <t>pre_f_options_unissued</t>
        </is>
      </c>
      <c r="B32" t="n">
        <v>1894667</v>
      </c>
      <c r="C32" t="inlineStr">
        <is>
          <t>Unissued option pool pre-F</t>
        </is>
      </c>
    </row>
    <row r="33">
      <c r="A33" t="inlineStr">
        <is>
          <t>seed_shares</t>
        </is>
      </c>
      <c r="B33" t="n">
        <v>5000000</v>
      </c>
      <c r="C33" t="inlineStr">
        <is>
          <t>Seed shares</t>
        </is>
      </c>
    </row>
    <row r="34">
      <c r="A34" t="inlineStr">
        <is>
          <t>a_shares</t>
        </is>
      </c>
      <c r="B34" t="n">
        <v>5000000</v>
      </c>
      <c r="C34" t="inlineStr">
        <is>
          <t>A shares</t>
        </is>
      </c>
    </row>
    <row r="35">
      <c r="A35" t="inlineStr">
        <is>
          <t>b_shares</t>
        </is>
      </c>
      <c r="B35" t="n">
        <v>3000000</v>
      </c>
      <c r="C35" t="inlineStr">
        <is>
          <t>B shares</t>
        </is>
      </c>
    </row>
    <row r="36">
      <c r="A36" t="inlineStr">
        <is>
          <t>c_shares</t>
        </is>
      </c>
      <c r="B36" t="n">
        <v>2400000</v>
      </c>
      <c r="C36" t="inlineStr">
        <is>
          <t>C shares</t>
        </is>
      </c>
    </row>
    <row r="37">
      <c r="A37" t="inlineStr">
        <is>
          <t>d_orig_shares</t>
        </is>
      </c>
      <c r="B37" t="n">
        <v>1666667</v>
      </c>
      <c r="C37" t="inlineStr">
        <is>
          <t>D original shares</t>
        </is>
      </c>
    </row>
    <row r="38">
      <c r="A38" t="inlineStr">
        <is>
          <t>d_curr_shares</t>
        </is>
      </c>
      <c r="B38" t="n">
        <v>1720627</v>
      </c>
      <c r="C38" t="inlineStr">
        <is>
          <t>D current shares (post-E AD)</t>
        </is>
      </c>
    </row>
    <row r="39">
      <c r="A39" t="inlineStr">
        <is>
          <t>e_curr_shares</t>
        </is>
      </c>
      <c r="B39" t="n">
        <v>6102667</v>
      </c>
      <c r="C39" t="inlineStr">
        <is>
          <t>E current shares</t>
        </is>
      </c>
    </row>
    <row r="40">
      <c r="A40" t="inlineStr">
        <is>
          <t>seed_invested_usd</t>
        </is>
      </c>
      <c r="B40" t="n">
        <v>5000000</v>
      </c>
      <c r="C40" t="inlineStr">
        <is>
          <t>Seed invested</t>
        </is>
      </c>
    </row>
    <row r="41">
      <c r="A41" t="inlineStr">
        <is>
          <t>a_invested_usd</t>
        </is>
      </c>
      <c r="B41" t="n">
        <v>15000000</v>
      </c>
      <c r="C41" t="inlineStr">
        <is>
          <t>A invested</t>
        </is>
      </c>
    </row>
    <row r="42">
      <c r="A42" t="inlineStr">
        <is>
          <t>b_invested_usd</t>
        </is>
      </c>
      <c r="B42" t="n">
        <v>30000000</v>
      </c>
      <c r="C42" t="inlineStr">
        <is>
          <t>B invested</t>
        </is>
      </c>
    </row>
    <row r="43">
      <c r="A43" t="inlineStr">
        <is>
          <t>c_invested_usd</t>
        </is>
      </c>
      <c r="B43" t="n">
        <v>60000000</v>
      </c>
      <c r="C43" t="inlineStr">
        <is>
          <t>C invested</t>
        </is>
      </c>
    </row>
    <row r="44">
      <c r="A44" t="inlineStr">
        <is>
          <t>d_invested_usd</t>
        </is>
      </c>
      <c r="B44" t="n">
        <v>100000000</v>
      </c>
      <c r="C44" t="inlineStr">
        <is>
          <t>D invested</t>
        </is>
      </c>
    </row>
    <row r="45">
      <c r="A45" t="inlineStr">
        <is>
          <t>e_invested_usd</t>
        </is>
      </c>
      <c r="B45" t="n">
        <v>300000000</v>
      </c>
      <c r="C45" t="inlineStr">
        <is>
          <t>E invested</t>
        </is>
      </c>
    </row>
    <row r="46">
      <c r="A46" t="inlineStr">
        <is>
          <t>founder_F1_common</t>
        </is>
      </c>
      <c r="B46" t="n">
        <v>4000000</v>
      </c>
      <c r="C46" t="inlineStr">
        <is>
          <t>F1 common</t>
        </is>
      </c>
    </row>
    <row r="47">
      <c r="A47" t="inlineStr">
        <is>
          <t>founder_F2_common</t>
        </is>
      </c>
      <c r="B47" t="n">
        <v>2500000</v>
      </c>
      <c r="C47" t="inlineStr">
        <is>
          <t>F2 common</t>
        </is>
      </c>
    </row>
    <row r="48">
      <c r="A48" t="inlineStr">
        <is>
          <t>founder_F3_common</t>
        </is>
      </c>
      <c r="B48" t="n">
        <v>1500000</v>
      </c>
      <c r="C48" t="inlineStr">
        <is>
          <t>F3 common</t>
        </is>
      </c>
    </row>
    <row r="49">
      <c r="A49" t="inlineStr">
        <is>
          <t>rsa_total_common</t>
        </is>
      </c>
      <c r="B49" t="n">
        <v>1000000</v>
      </c>
      <c r="C49" t="inlineStr">
        <is>
          <t>RSA common total</t>
        </is>
      </c>
    </row>
    <row r="50">
      <c r="A50" t="inlineStr">
        <is>
          <t>sens_esop_low</t>
        </is>
      </c>
      <c r="B50" t="n">
        <v>0.11</v>
      </c>
      <c r="C50" t="inlineStr">
        <is>
          <t>Sens ESOP low</t>
        </is>
      </c>
    </row>
    <row r="51">
      <c r="A51" t="inlineStr">
        <is>
          <t>sens_esop_base</t>
        </is>
      </c>
      <c r="B51" t="n">
        <v>0.13</v>
      </c>
      <c r="C51" t="inlineStr">
        <is>
          <t>Sens ESOP base</t>
        </is>
      </c>
    </row>
    <row r="52">
      <c r="A52" t="inlineStr">
        <is>
          <t>sens_esop_high</t>
        </is>
      </c>
      <c r="B52" t="n">
        <v>0.15</v>
      </c>
      <c r="C52" t="inlineStr">
        <is>
          <t>Sens ESOP high</t>
        </is>
      </c>
    </row>
    <row r="53">
      <c r="A53" t="inlineStr">
        <is>
          <t>sens_pre_low_usd</t>
        </is>
      </c>
      <c r="B53" t="n">
        <v>1200000000</v>
      </c>
      <c r="C53" t="inlineStr">
        <is>
          <t>Sens pre low</t>
        </is>
      </c>
    </row>
    <row r="54">
      <c r="A54" t="inlineStr">
        <is>
          <t>sens_pre_base_usd</t>
        </is>
      </c>
      <c r="B54" t="n">
        <v>1400000000</v>
      </c>
      <c r="C54" t="inlineStr">
        <is>
          <t>Sens pre base</t>
        </is>
      </c>
    </row>
    <row r="55">
      <c r="A55" t="inlineStr">
        <is>
          <t>sens_pre_high_usd</t>
        </is>
      </c>
      <c r="B55" t="n">
        <v>1800000000</v>
      </c>
      <c r="C55" t="inlineStr">
        <is>
          <t>Sens pre high</t>
        </is>
      </c>
    </row>
    <row r="56">
      <c r="A56" t="inlineStr">
        <is>
          <t>return_multiple_3x</t>
        </is>
      </c>
      <c r="B56" t="n">
        <v>3</v>
      </c>
      <c r="C56" t="inlineStr">
        <is>
          <t>Return target 3x</t>
        </is>
      </c>
    </row>
    <row r="57">
      <c r="A57" t="inlineStr">
        <is>
          <t>return_multiple_4x</t>
        </is>
      </c>
      <c r="B57" t="n">
        <v>4</v>
      </c>
      <c r="C57" t="inlineStr">
        <is>
          <t>Return target 4x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4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Solver — Round Fixed-Point Iteration Ladder</t>
        </is>
      </c>
    </row>
    <row r="3">
      <c r="A3" s="2" t="inlineStr">
        <is>
          <t>Step</t>
        </is>
      </c>
      <c r="B3" s="2" t="inlineStr">
        <is>
          <t>F_PPS</t>
        </is>
      </c>
      <c r="C3" s="2" t="inlineStr">
        <is>
          <t>D_NCP</t>
        </is>
      </c>
      <c r="D3" s="2" t="inlineStr">
        <is>
          <t>E_NCP</t>
        </is>
      </c>
      <c r="E3" s="2" t="inlineStr">
        <is>
          <t>ΔD</t>
        </is>
      </c>
      <c r="F3" s="2" t="inlineStr">
        <is>
          <t>ΔE</t>
        </is>
      </c>
      <c r="G3" s="2" t="inlineStr">
        <is>
          <t>ESOP</t>
        </is>
      </c>
      <c r="H3" s="2" t="inlineStr">
        <is>
          <t>N_A</t>
        </is>
      </c>
      <c r="I3" s="2" t="inlineStr">
        <is>
          <t>N_B</t>
        </is>
      </c>
      <c r="J3" s="2" t="inlineStr">
        <is>
          <t>pre_money_FD</t>
        </is>
      </c>
      <c r="K3" s="2" t="inlineStr">
        <is>
          <t>T_F_post</t>
        </is>
      </c>
      <c r="L3" s="2" t="inlineStr">
        <is>
          <t>F_PPS check</t>
        </is>
      </c>
    </row>
    <row r="4">
      <c r="A4" t="inlineStr">
        <is>
          <t>Base seed</t>
        </is>
      </c>
      <c r="B4">
        <f>Assumptions!$B$3/Assumptions!$B$29</f>
        <v/>
      </c>
      <c r="C4">
        <f>Assumptions!$B$20</f>
        <v/>
      </c>
      <c r="D4">
        <f>Assumptions!$B$21</f>
        <v/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>
        <f>Assumptions!$B$29</f>
        <v/>
      </c>
      <c r="K4">
        <f>J4+Assumptions!$B$4/B4</f>
        <v/>
      </c>
      <c r="L4">
        <f>B4</f>
        <v/>
      </c>
    </row>
    <row r="5">
      <c r="A5" t="inlineStr">
        <is>
          <t>Base iter 1</t>
        </is>
      </c>
      <c r="B5">
        <f>Assumptions!$B$3/J4</f>
        <v/>
      </c>
      <c r="C5">
        <f>IF(B5&lt;Assumptions!$B$20,Assumptions!$B$20*(Assumptions!$B$29+Assumptions!$B$4/Assumptions!$B$20)/(Assumptions!$B$29+Assumptions!$B$4/B5),Assumptions!$B$20)</f>
        <v/>
      </c>
      <c r="D5">
        <f>IF(B5&lt;Assumptions!$B$21,Assumptions!$B$21*(Assumptions!$B$29+Assumptions!$B$4/Assumptions!$B$21)/(Assumptions!$B$29+Assumptions!$B$4/B5),Assumptions!$B$21)</f>
        <v/>
      </c>
      <c r="E5">
        <f>Assumptions!$B$37*Assumptions!$B$22/C5-Assumptions!$B$38</f>
        <v/>
      </c>
      <c r="F5">
        <f>Assumptions!$B$39*Assumptions!$B$21/D5-Assumptions!$B$39</f>
        <v/>
      </c>
      <c r="G5">
        <f>MAX(0,Assumptions!$B$7*(Assumptions!$B$29+E5+F5+G4+H4+I4+Assumptions!$B$4/B5)-Assumptions!$B$30)</f>
        <v/>
      </c>
      <c r="H5">
        <f>Assumptions!$B$23/MIN(Assumptions!$B$24/(Assumptions!$B$29+E5+F5+G5+I4),B5*(1-Assumptions!$B$25))</f>
        <v/>
      </c>
      <c r="I5">
        <f>Assumptions!$B$26/MIN(Assumptions!$B$27/(Assumptions!$B$29+E5+F5+G5+H5),B5*(1-Assumptions!$B$28))</f>
        <v/>
      </c>
      <c r="J5">
        <f>Assumptions!$B$29+E5+F5+G5+H5+I5</f>
        <v/>
      </c>
      <c r="K5">
        <f>J5+Assumptions!$B$4/B5</f>
        <v/>
      </c>
      <c r="L5">
        <f>B5</f>
        <v/>
      </c>
    </row>
    <row r="6">
      <c r="A6" t="inlineStr">
        <is>
          <t>Base iter 2</t>
        </is>
      </c>
      <c r="B6">
        <f>Assumptions!$B$3/J5</f>
        <v/>
      </c>
      <c r="C6">
        <f>IF(B6&lt;Assumptions!$B$20,Assumptions!$B$20*(Assumptions!$B$29+Assumptions!$B$4/Assumptions!$B$20)/(Assumptions!$B$29+Assumptions!$B$4/B6),Assumptions!$B$20)</f>
        <v/>
      </c>
      <c r="D6">
        <f>IF(B6&lt;Assumptions!$B$21,Assumptions!$B$21*(Assumptions!$B$29+Assumptions!$B$4/Assumptions!$B$21)/(Assumptions!$B$29+Assumptions!$B$4/B6),Assumptions!$B$21)</f>
        <v/>
      </c>
      <c r="E6">
        <f>Assumptions!$B$37*Assumptions!$B$22/C6-Assumptions!$B$38</f>
        <v/>
      </c>
      <c r="F6">
        <f>Assumptions!$B$39*Assumptions!$B$21/D6-Assumptions!$B$39</f>
        <v/>
      </c>
      <c r="G6">
        <f>MAX(0,Assumptions!$B$7*(Assumptions!$B$29+E6+F6+G5+H5+I5+Assumptions!$B$4/B6)-Assumptions!$B$30)</f>
        <v/>
      </c>
      <c r="H6">
        <f>Assumptions!$B$23/MIN(Assumptions!$B$24/(Assumptions!$B$29+E6+F6+G6+I5),B6*(1-Assumptions!$B$25))</f>
        <v/>
      </c>
      <c r="I6">
        <f>Assumptions!$B$26/MIN(Assumptions!$B$27/(Assumptions!$B$29+E6+F6+G6+H6),B6*(1-Assumptions!$B$28))</f>
        <v/>
      </c>
      <c r="J6">
        <f>Assumptions!$B$29+E6+F6+G6+H6+I6</f>
        <v/>
      </c>
      <c r="K6">
        <f>J6+Assumptions!$B$4/B6</f>
        <v/>
      </c>
      <c r="L6">
        <f>B6</f>
        <v/>
      </c>
    </row>
    <row r="7">
      <c r="A7" t="inlineStr">
        <is>
          <t>Base iter 3</t>
        </is>
      </c>
      <c r="B7">
        <f>Assumptions!$B$3/J6</f>
        <v/>
      </c>
      <c r="C7">
        <f>IF(B7&lt;Assumptions!$B$20,Assumptions!$B$20*(Assumptions!$B$29+Assumptions!$B$4/Assumptions!$B$20)/(Assumptions!$B$29+Assumptions!$B$4/B7),Assumptions!$B$20)</f>
        <v/>
      </c>
      <c r="D7">
        <f>IF(B7&lt;Assumptions!$B$21,Assumptions!$B$21*(Assumptions!$B$29+Assumptions!$B$4/Assumptions!$B$21)/(Assumptions!$B$29+Assumptions!$B$4/B7),Assumptions!$B$21)</f>
        <v/>
      </c>
      <c r="E7">
        <f>Assumptions!$B$37*Assumptions!$B$22/C7-Assumptions!$B$38</f>
        <v/>
      </c>
      <c r="F7">
        <f>Assumptions!$B$39*Assumptions!$B$21/D7-Assumptions!$B$39</f>
        <v/>
      </c>
      <c r="G7">
        <f>MAX(0,Assumptions!$B$7*(Assumptions!$B$29+E7+F7+G6+H6+I6+Assumptions!$B$4/B7)-Assumptions!$B$30)</f>
        <v/>
      </c>
      <c r="H7">
        <f>Assumptions!$B$23/MIN(Assumptions!$B$24/(Assumptions!$B$29+E7+F7+G7+I6),B7*(1-Assumptions!$B$25))</f>
        <v/>
      </c>
      <c r="I7">
        <f>Assumptions!$B$26/MIN(Assumptions!$B$27/(Assumptions!$B$29+E7+F7+G7+H7),B7*(1-Assumptions!$B$28))</f>
        <v/>
      </c>
      <c r="J7">
        <f>Assumptions!$B$29+E7+F7+G7+H7+I7</f>
        <v/>
      </c>
      <c r="K7">
        <f>J7+Assumptions!$B$4/B7</f>
        <v/>
      </c>
      <c r="L7">
        <f>B7</f>
        <v/>
      </c>
    </row>
    <row r="8">
      <c r="A8" t="inlineStr">
        <is>
          <t>Base iter 4</t>
        </is>
      </c>
      <c r="B8">
        <f>Assumptions!$B$3/J7</f>
        <v/>
      </c>
      <c r="C8">
        <f>IF(B8&lt;Assumptions!$B$20,Assumptions!$B$20*(Assumptions!$B$29+Assumptions!$B$4/Assumptions!$B$20)/(Assumptions!$B$29+Assumptions!$B$4/B8),Assumptions!$B$20)</f>
        <v/>
      </c>
      <c r="D8">
        <f>IF(B8&lt;Assumptions!$B$21,Assumptions!$B$21*(Assumptions!$B$29+Assumptions!$B$4/Assumptions!$B$21)/(Assumptions!$B$29+Assumptions!$B$4/B8),Assumptions!$B$21)</f>
        <v/>
      </c>
      <c r="E8">
        <f>Assumptions!$B$37*Assumptions!$B$22/C8-Assumptions!$B$38</f>
        <v/>
      </c>
      <c r="F8">
        <f>Assumptions!$B$39*Assumptions!$B$21/D8-Assumptions!$B$39</f>
        <v/>
      </c>
      <c r="G8">
        <f>MAX(0,Assumptions!$B$7*(Assumptions!$B$29+E8+F8+G7+H7+I7+Assumptions!$B$4/B8)-Assumptions!$B$30)</f>
        <v/>
      </c>
      <c r="H8">
        <f>Assumptions!$B$23/MIN(Assumptions!$B$24/(Assumptions!$B$29+E8+F8+G8+I7),B8*(1-Assumptions!$B$25))</f>
        <v/>
      </c>
      <c r="I8">
        <f>Assumptions!$B$26/MIN(Assumptions!$B$27/(Assumptions!$B$29+E8+F8+G8+H8),B8*(1-Assumptions!$B$28))</f>
        <v/>
      </c>
      <c r="J8">
        <f>Assumptions!$B$29+E8+F8+G8+H8+I8</f>
        <v/>
      </c>
      <c r="K8">
        <f>J8+Assumptions!$B$4/B8</f>
        <v/>
      </c>
      <c r="L8">
        <f>B8</f>
        <v/>
      </c>
    </row>
    <row r="9">
      <c r="A9" t="inlineStr">
        <is>
          <t>Base iter 5</t>
        </is>
      </c>
      <c r="B9">
        <f>Assumptions!$B$3/J8</f>
        <v/>
      </c>
      <c r="C9">
        <f>IF(B9&lt;Assumptions!$B$20,Assumptions!$B$20*(Assumptions!$B$29+Assumptions!$B$4/Assumptions!$B$20)/(Assumptions!$B$29+Assumptions!$B$4/B9),Assumptions!$B$20)</f>
        <v/>
      </c>
      <c r="D9">
        <f>IF(B9&lt;Assumptions!$B$21,Assumptions!$B$21*(Assumptions!$B$29+Assumptions!$B$4/Assumptions!$B$21)/(Assumptions!$B$29+Assumptions!$B$4/B9),Assumptions!$B$21)</f>
        <v/>
      </c>
      <c r="E9">
        <f>Assumptions!$B$37*Assumptions!$B$22/C9-Assumptions!$B$38</f>
        <v/>
      </c>
      <c r="F9">
        <f>Assumptions!$B$39*Assumptions!$B$21/D9-Assumptions!$B$39</f>
        <v/>
      </c>
      <c r="G9">
        <f>MAX(0,Assumptions!$B$7*(Assumptions!$B$29+E9+F9+G8+H8+I8+Assumptions!$B$4/B9)-Assumptions!$B$30)</f>
        <v/>
      </c>
      <c r="H9">
        <f>Assumptions!$B$23/MIN(Assumptions!$B$24/(Assumptions!$B$29+E9+F9+G9+I8),B9*(1-Assumptions!$B$25))</f>
        <v/>
      </c>
      <c r="I9">
        <f>Assumptions!$B$26/MIN(Assumptions!$B$27/(Assumptions!$B$29+E9+F9+G9+H9),B9*(1-Assumptions!$B$28))</f>
        <v/>
      </c>
      <c r="J9">
        <f>Assumptions!$B$29+E9+F9+G9+H9+I9</f>
        <v/>
      </c>
      <c r="K9">
        <f>J9+Assumptions!$B$4/B9</f>
        <v/>
      </c>
      <c r="L9">
        <f>B9</f>
        <v/>
      </c>
    </row>
    <row r="10">
      <c r="A10" t="inlineStr">
        <is>
          <t>Base iter 6</t>
        </is>
      </c>
      <c r="B10">
        <f>Assumptions!$B$3/J9</f>
        <v/>
      </c>
      <c r="C10">
        <f>IF(B10&lt;Assumptions!$B$20,Assumptions!$B$20*(Assumptions!$B$29+Assumptions!$B$4/Assumptions!$B$20)/(Assumptions!$B$29+Assumptions!$B$4/B10),Assumptions!$B$20)</f>
        <v/>
      </c>
      <c r="D10">
        <f>IF(B10&lt;Assumptions!$B$21,Assumptions!$B$21*(Assumptions!$B$29+Assumptions!$B$4/Assumptions!$B$21)/(Assumptions!$B$29+Assumptions!$B$4/B10),Assumptions!$B$21)</f>
        <v/>
      </c>
      <c r="E10">
        <f>Assumptions!$B$37*Assumptions!$B$22/C10-Assumptions!$B$38</f>
        <v/>
      </c>
      <c r="F10">
        <f>Assumptions!$B$39*Assumptions!$B$21/D10-Assumptions!$B$39</f>
        <v/>
      </c>
      <c r="G10">
        <f>MAX(0,Assumptions!$B$7*(Assumptions!$B$29+E10+F10+G9+H9+I9+Assumptions!$B$4/B10)-Assumptions!$B$30)</f>
        <v/>
      </c>
      <c r="H10">
        <f>Assumptions!$B$23/MIN(Assumptions!$B$24/(Assumptions!$B$29+E10+F10+G10+I9),B10*(1-Assumptions!$B$25))</f>
        <v/>
      </c>
      <c r="I10">
        <f>Assumptions!$B$26/MIN(Assumptions!$B$27/(Assumptions!$B$29+E10+F10+G10+H10),B10*(1-Assumptions!$B$28))</f>
        <v/>
      </c>
      <c r="J10">
        <f>Assumptions!$B$29+E10+F10+G10+H10+I10</f>
        <v/>
      </c>
      <c r="K10">
        <f>J10+Assumptions!$B$4/B10</f>
        <v/>
      </c>
      <c r="L10">
        <f>B10</f>
        <v/>
      </c>
    </row>
    <row r="11">
      <c r="A11" t="inlineStr">
        <is>
          <t>Base iter 7</t>
        </is>
      </c>
      <c r="B11">
        <f>Assumptions!$B$3/J10</f>
        <v/>
      </c>
      <c r="C11">
        <f>IF(B11&lt;Assumptions!$B$20,Assumptions!$B$20*(Assumptions!$B$29+Assumptions!$B$4/Assumptions!$B$20)/(Assumptions!$B$29+Assumptions!$B$4/B11),Assumptions!$B$20)</f>
        <v/>
      </c>
      <c r="D11">
        <f>IF(B11&lt;Assumptions!$B$21,Assumptions!$B$21*(Assumptions!$B$29+Assumptions!$B$4/Assumptions!$B$21)/(Assumptions!$B$29+Assumptions!$B$4/B11),Assumptions!$B$21)</f>
        <v/>
      </c>
      <c r="E11">
        <f>Assumptions!$B$37*Assumptions!$B$22/C11-Assumptions!$B$38</f>
        <v/>
      </c>
      <c r="F11">
        <f>Assumptions!$B$39*Assumptions!$B$21/D11-Assumptions!$B$39</f>
        <v/>
      </c>
      <c r="G11">
        <f>MAX(0,Assumptions!$B$7*(Assumptions!$B$29+E11+F11+G10+H10+I10+Assumptions!$B$4/B11)-Assumptions!$B$30)</f>
        <v/>
      </c>
      <c r="H11">
        <f>Assumptions!$B$23/MIN(Assumptions!$B$24/(Assumptions!$B$29+E11+F11+G11+I10),B11*(1-Assumptions!$B$25))</f>
        <v/>
      </c>
      <c r="I11">
        <f>Assumptions!$B$26/MIN(Assumptions!$B$27/(Assumptions!$B$29+E11+F11+G11+H11),B11*(1-Assumptions!$B$28))</f>
        <v/>
      </c>
      <c r="J11">
        <f>Assumptions!$B$29+E11+F11+G11+H11+I11</f>
        <v/>
      </c>
      <c r="K11">
        <f>J11+Assumptions!$B$4/B11</f>
        <v/>
      </c>
      <c r="L11">
        <f>B11</f>
        <v/>
      </c>
    </row>
    <row r="12">
      <c r="A12" t="inlineStr">
        <is>
          <t>Base iter 8</t>
        </is>
      </c>
      <c r="B12">
        <f>Assumptions!$B$3/J11</f>
        <v/>
      </c>
      <c r="C12">
        <f>IF(B12&lt;Assumptions!$B$20,Assumptions!$B$20*(Assumptions!$B$29+Assumptions!$B$4/Assumptions!$B$20)/(Assumptions!$B$29+Assumptions!$B$4/B12),Assumptions!$B$20)</f>
        <v/>
      </c>
      <c r="D12">
        <f>IF(B12&lt;Assumptions!$B$21,Assumptions!$B$21*(Assumptions!$B$29+Assumptions!$B$4/Assumptions!$B$21)/(Assumptions!$B$29+Assumptions!$B$4/B12),Assumptions!$B$21)</f>
        <v/>
      </c>
      <c r="E12">
        <f>Assumptions!$B$37*Assumptions!$B$22/C12-Assumptions!$B$38</f>
        <v/>
      </c>
      <c r="F12">
        <f>Assumptions!$B$39*Assumptions!$B$21/D12-Assumptions!$B$39</f>
        <v/>
      </c>
      <c r="G12">
        <f>MAX(0,Assumptions!$B$7*(Assumptions!$B$29+E12+F12+G11+H11+I11+Assumptions!$B$4/B12)-Assumptions!$B$30)</f>
        <v/>
      </c>
      <c r="H12">
        <f>Assumptions!$B$23/MIN(Assumptions!$B$24/(Assumptions!$B$29+E12+F12+G12+I11),B12*(1-Assumptions!$B$25))</f>
        <v/>
      </c>
      <c r="I12">
        <f>Assumptions!$B$26/MIN(Assumptions!$B$27/(Assumptions!$B$29+E12+F12+G12+H12),B12*(1-Assumptions!$B$28))</f>
        <v/>
      </c>
      <c r="J12">
        <f>Assumptions!$B$29+E12+F12+G12+H12+I12</f>
        <v/>
      </c>
      <c r="K12">
        <f>J12+Assumptions!$B$4/B12</f>
        <v/>
      </c>
      <c r="L12">
        <f>B12</f>
        <v/>
      </c>
    </row>
    <row r="13">
      <c r="A13" t="inlineStr">
        <is>
          <t>Base iter 9</t>
        </is>
      </c>
      <c r="B13">
        <f>Assumptions!$B$3/J12</f>
        <v/>
      </c>
      <c r="C13">
        <f>IF(B13&lt;Assumptions!$B$20,Assumptions!$B$20*(Assumptions!$B$29+Assumptions!$B$4/Assumptions!$B$20)/(Assumptions!$B$29+Assumptions!$B$4/B13),Assumptions!$B$20)</f>
        <v/>
      </c>
      <c r="D13">
        <f>IF(B13&lt;Assumptions!$B$21,Assumptions!$B$21*(Assumptions!$B$29+Assumptions!$B$4/Assumptions!$B$21)/(Assumptions!$B$29+Assumptions!$B$4/B13),Assumptions!$B$21)</f>
        <v/>
      </c>
      <c r="E13">
        <f>Assumptions!$B$37*Assumptions!$B$22/C13-Assumptions!$B$38</f>
        <v/>
      </c>
      <c r="F13">
        <f>Assumptions!$B$39*Assumptions!$B$21/D13-Assumptions!$B$39</f>
        <v/>
      </c>
      <c r="G13">
        <f>MAX(0,Assumptions!$B$7*(Assumptions!$B$29+E13+F13+G12+H12+I12+Assumptions!$B$4/B13)-Assumptions!$B$30)</f>
        <v/>
      </c>
      <c r="H13">
        <f>Assumptions!$B$23/MIN(Assumptions!$B$24/(Assumptions!$B$29+E13+F13+G13+I12),B13*(1-Assumptions!$B$25))</f>
        <v/>
      </c>
      <c r="I13">
        <f>Assumptions!$B$26/MIN(Assumptions!$B$27/(Assumptions!$B$29+E13+F13+G13+H13),B13*(1-Assumptions!$B$28))</f>
        <v/>
      </c>
      <c r="J13">
        <f>Assumptions!$B$29+E13+F13+G13+H13+I13</f>
        <v/>
      </c>
      <c r="K13">
        <f>J13+Assumptions!$B$4/B13</f>
        <v/>
      </c>
      <c r="L13">
        <f>B13</f>
        <v/>
      </c>
    </row>
    <row r="14">
      <c r="A14" t="inlineStr">
        <is>
          <t>Base iter 10</t>
        </is>
      </c>
      <c r="B14">
        <f>Assumptions!$B$3/J13</f>
        <v/>
      </c>
      <c r="C14">
        <f>IF(B14&lt;Assumptions!$B$20,Assumptions!$B$20*(Assumptions!$B$29+Assumptions!$B$4/Assumptions!$B$20)/(Assumptions!$B$29+Assumptions!$B$4/B14),Assumptions!$B$20)</f>
        <v/>
      </c>
      <c r="D14">
        <f>IF(B14&lt;Assumptions!$B$21,Assumptions!$B$21*(Assumptions!$B$29+Assumptions!$B$4/Assumptions!$B$21)/(Assumptions!$B$29+Assumptions!$B$4/B14),Assumptions!$B$21)</f>
        <v/>
      </c>
      <c r="E14">
        <f>Assumptions!$B$37*Assumptions!$B$22/C14-Assumptions!$B$38</f>
        <v/>
      </c>
      <c r="F14">
        <f>Assumptions!$B$39*Assumptions!$B$21/D14-Assumptions!$B$39</f>
        <v/>
      </c>
      <c r="G14">
        <f>MAX(0,Assumptions!$B$7*(Assumptions!$B$29+E14+F14+G13+H13+I13+Assumptions!$B$4/B14)-Assumptions!$B$30)</f>
        <v/>
      </c>
      <c r="H14">
        <f>Assumptions!$B$23/MIN(Assumptions!$B$24/(Assumptions!$B$29+E14+F14+G14+I13),B14*(1-Assumptions!$B$25))</f>
        <v/>
      </c>
      <c r="I14">
        <f>Assumptions!$B$26/MIN(Assumptions!$B$27/(Assumptions!$B$29+E14+F14+G14+H14),B14*(1-Assumptions!$B$28))</f>
        <v/>
      </c>
      <c r="J14">
        <f>Assumptions!$B$29+E14+F14+G14+H14+I14</f>
        <v/>
      </c>
      <c r="K14">
        <f>J14+Assumptions!$B$4/B14</f>
        <v/>
      </c>
      <c r="L14">
        <f>B14</f>
        <v/>
      </c>
    </row>
    <row r="15">
      <c r="A15" t="inlineStr">
        <is>
          <t>Base iter 11</t>
        </is>
      </c>
      <c r="B15">
        <f>Assumptions!$B$3/J14</f>
        <v/>
      </c>
      <c r="C15">
        <f>IF(B15&lt;Assumptions!$B$20,Assumptions!$B$20*(Assumptions!$B$29+Assumptions!$B$4/Assumptions!$B$20)/(Assumptions!$B$29+Assumptions!$B$4/B15),Assumptions!$B$20)</f>
        <v/>
      </c>
      <c r="D15">
        <f>IF(B15&lt;Assumptions!$B$21,Assumptions!$B$21*(Assumptions!$B$29+Assumptions!$B$4/Assumptions!$B$21)/(Assumptions!$B$29+Assumptions!$B$4/B15),Assumptions!$B$21)</f>
        <v/>
      </c>
      <c r="E15">
        <f>Assumptions!$B$37*Assumptions!$B$22/C15-Assumptions!$B$38</f>
        <v/>
      </c>
      <c r="F15">
        <f>Assumptions!$B$39*Assumptions!$B$21/D15-Assumptions!$B$39</f>
        <v/>
      </c>
      <c r="G15">
        <f>MAX(0,Assumptions!$B$7*(Assumptions!$B$29+E15+F15+G14+H14+I14+Assumptions!$B$4/B15)-Assumptions!$B$30)</f>
        <v/>
      </c>
      <c r="H15">
        <f>Assumptions!$B$23/MIN(Assumptions!$B$24/(Assumptions!$B$29+E15+F15+G15+I14),B15*(1-Assumptions!$B$25))</f>
        <v/>
      </c>
      <c r="I15">
        <f>Assumptions!$B$26/MIN(Assumptions!$B$27/(Assumptions!$B$29+E15+F15+G15+H15),B15*(1-Assumptions!$B$28))</f>
        <v/>
      </c>
      <c r="J15">
        <f>Assumptions!$B$29+E15+F15+G15+H15+I15</f>
        <v/>
      </c>
      <c r="K15">
        <f>J15+Assumptions!$B$4/B15</f>
        <v/>
      </c>
      <c r="L15">
        <f>B15</f>
        <v/>
      </c>
    </row>
    <row r="16">
      <c r="A16" t="inlineStr">
        <is>
          <t>Base iter 12</t>
        </is>
      </c>
      <c r="B16">
        <f>Assumptions!$B$3/J15</f>
        <v/>
      </c>
      <c r="C16">
        <f>IF(B16&lt;Assumptions!$B$20,Assumptions!$B$20*(Assumptions!$B$29+Assumptions!$B$4/Assumptions!$B$20)/(Assumptions!$B$29+Assumptions!$B$4/B16),Assumptions!$B$20)</f>
        <v/>
      </c>
      <c r="D16">
        <f>IF(B16&lt;Assumptions!$B$21,Assumptions!$B$21*(Assumptions!$B$29+Assumptions!$B$4/Assumptions!$B$21)/(Assumptions!$B$29+Assumptions!$B$4/B16),Assumptions!$B$21)</f>
        <v/>
      </c>
      <c r="E16">
        <f>Assumptions!$B$37*Assumptions!$B$22/C16-Assumptions!$B$38</f>
        <v/>
      </c>
      <c r="F16">
        <f>Assumptions!$B$39*Assumptions!$B$21/D16-Assumptions!$B$39</f>
        <v/>
      </c>
      <c r="G16">
        <f>MAX(0,Assumptions!$B$7*(Assumptions!$B$29+E16+F16+G15+H15+I15+Assumptions!$B$4/B16)-Assumptions!$B$30)</f>
        <v/>
      </c>
      <c r="H16">
        <f>Assumptions!$B$23/MIN(Assumptions!$B$24/(Assumptions!$B$29+E16+F16+G16+I15),B16*(1-Assumptions!$B$25))</f>
        <v/>
      </c>
      <c r="I16">
        <f>Assumptions!$B$26/MIN(Assumptions!$B$27/(Assumptions!$B$29+E16+F16+G16+H16),B16*(1-Assumptions!$B$28))</f>
        <v/>
      </c>
      <c r="J16">
        <f>Assumptions!$B$29+E16+F16+G16+H16+I16</f>
        <v/>
      </c>
      <c r="K16">
        <f>J16+Assumptions!$B$4/B16</f>
        <v/>
      </c>
      <c r="L16">
        <f>B16</f>
        <v/>
      </c>
    </row>
    <row r="17">
      <c r="A17" t="inlineStr">
        <is>
          <t>Base iter 13</t>
        </is>
      </c>
      <c r="B17">
        <f>Assumptions!$B$3/J16</f>
        <v/>
      </c>
      <c r="C17">
        <f>IF(B17&lt;Assumptions!$B$20,Assumptions!$B$20*(Assumptions!$B$29+Assumptions!$B$4/Assumptions!$B$20)/(Assumptions!$B$29+Assumptions!$B$4/B17),Assumptions!$B$20)</f>
        <v/>
      </c>
      <c r="D17">
        <f>IF(B17&lt;Assumptions!$B$21,Assumptions!$B$21*(Assumptions!$B$29+Assumptions!$B$4/Assumptions!$B$21)/(Assumptions!$B$29+Assumptions!$B$4/B17),Assumptions!$B$21)</f>
        <v/>
      </c>
      <c r="E17">
        <f>Assumptions!$B$37*Assumptions!$B$22/C17-Assumptions!$B$38</f>
        <v/>
      </c>
      <c r="F17">
        <f>Assumptions!$B$39*Assumptions!$B$21/D17-Assumptions!$B$39</f>
        <v/>
      </c>
      <c r="G17">
        <f>MAX(0,Assumptions!$B$7*(Assumptions!$B$29+E17+F17+G16+H16+I16+Assumptions!$B$4/B17)-Assumptions!$B$30)</f>
        <v/>
      </c>
      <c r="H17">
        <f>Assumptions!$B$23/MIN(Assumptions!$B$24/(Assumptions!$B$29+E17+F17+G17+I16),B17*(1-Assumptions!$B$25))</f>
        <v/>
      </c>
      <c r="I17">
        <f>Assumptions!$B$26/MIN(Assumptions!$B$27/(Assumptions!$B$29+E17+F17+G17+H17),B17*(1-Assumptions!$B$28))</f>
        <v/>
      </c>
      <c r="J17">
        <f>Assumptions!$B$29+E17+F17+G17+H17+I17</f>
        <v/>
      </c>
      <c r="K17">
        <f>J17+Assumptions!$B$4/B17</f>
        <v/>
      </c>
      <c r="L17">
        <f>B17</f>
        <v/>
      </c>
    </row>
    <row r="18">
      <c r="A18" t="inlineStr">
        <is>
          <t>Base iter 14</t>
        </is>
      </c>
      <c r="B18">
        <f>Assumptions!$B$3/J17</f>
        <v/>
      </c>
      <c r="C18">
        <f>IF(B18&lt;Assumptions!$B$20,Assumptions!$B$20*(Assumptions!$B$29+Assumptions!$B$4/Assumptions!$B$20)/(Assumptions!$B$29+Assumptions!$B$4/B18),Assumptions!$B$20)</f>
        <v/>
      </c>
      <c r="D18">
        <f>IF(B18&lt;Assumptions!$B$21,Assumptions!$B$21*(Assumptions!$B$29+Assumptions!$B$4/Assumptions!$B$21)/(Assumptions!$B$29+Assumptions!$B$4/B18),Assumptions!$B$21)</f>
        <v/>
      </c>
      <c r="E18">
        <f>Assumptions!$B$37*Assumptions!$B$22/C18-Assumptions!$B$38</f>
        <v/>
      </c>
      <c r="F18">
        <f>Assumptions!$B$39*Assumptions!$B$21/D18-Assumptions!$B$39</f>
        <v/>
      </c>
      <c r="G18">
        <f>MAX(0,Assumptions!$B$7*(Assumptions!$B$29+E18+F18+G17+H17+I17+Assumptions!$B$4/B18)-Assumptions!$B$30)</f>
        <v/>
      </c>
      <c r="H18">
        <f>Assumptions!$B$23/MIN(Assumptions!$B$24/(Assumptions!$B$29+E18+F18+G18+I17),B18*(1-Assumptions!$B$25))</f>
        <v/>
      </c>
      <c r="I18">
        <f>Assumptions!$B$26/MIN(Assumptions!$B$27/(Assumptions!$B$29+E18+F18+G18+H18),B18*(1-Assumptions!$B$28))</f>
        <v/>
      </c>
      <c r="J18">
        <f>Assumptions!$B$29+E18+F18+G18+H18+I18</f>
        <v/>
      </c>
      <c r="K18">
        <f>J18+Assumptions!$B$4/B18</f>
        <v/>
      </c>
      <c r="L18">
        <f>B18</f>
        <v/>
      </c>
    </row>
    <row r="19">
      <c r="A19" t="inlineStr">
        <is>
          <t>Base iter 15</t>
        </is>
      </c>
      <c r="B19">
        <f>Assumptions!$B$3/J18</f>
        <v/>
      </c>
      <c r="C19">
        <f>IF(B19&lt;Assumptions!$B$20,Assumptions!$B$20*(Assumptions!$B$29+Assumptions!$B$4/Assumptions!$B$20)/(Assumptions!$B$29+Assumptions!$B$4/B19),Assumptions!$B$20)</f>
        <v/>
      </c>
      <c r="D19">
        <f>IF(B19&lt;Assumptions!$B$21,Assumptions!$B$21*(Assumptions!$B$29+Assumptions!$B$4/Assumptions!$B$21)/(Assumptions!$B$29+Assumptions!$B$4/B19),Assumptions!$B$21)</f>
        <v/>
      </c>
      <c r="E19">
        <f>Assumptions!$B$37*Assumptions!$B$22/C19-Assumptions!$B$38</f>
        <v/>
      </c>
      <c r="F19">
        <f>Assumptions!$B$39*Assumptions!$B$21/D19-Assumptions!$B$39</f>
        <v/>
      </c>
      <c r="G19">
        <f>MAX(0,Assumptions!$B$7*(Assumptions!$B$29+E19+F19+G18+H18+I18+Assumptions!$B$4/B19)-Assumptions!$B$30)</f>
        <v/>
      </c>
      <c r="H19">
        <f>Assumptions!$B$23/MIN(Assumptions!$B$24/(Assumptions!$B$29+E19+F19+G19+I18),B19*(1-Assumptions!$B$25))</f>
        <v/>
      </c>
      <c r="I19">
        <f>Assumptions!$B$26/MIN(Assumptions!$B$27/(Assumptions!$B$29+E19+F19+G19+H19),B19*(1-Assumptions!$B$28))</f>
        <v/>
      </c>
      <c r="J19">
        <f>Assumptions!$B$29+E19+F19+G19+H19+I19</f>
        <v/>
      </c>
      <c r="K19">
        <f>J19+Assumptions!$B$4/B19</f>
        <v/>
      </c>
      <c r="L19">
        <f>B19</f>
        <v/>
      </c>
    </row>
    <row r="20">
      <c r="A20" t="inlineStr">
        <is>
          <t>Base iter 16</t>
        </is>
      </c>
      <c r="B20">
        <f>Assumptions!$B$3/J19</f>
        <v/>
      </c>
      <c r="C20">
        <f>IF(B20&lt;Assumptions!$B$20,Assumptions!$B$20*(Assumptions!$B$29+Assumptions!$B$4/Assumptions!$B$20)/(Assumptions!$B$29+Assumptions!$B$4/B20),Assumptions!$B$20)</f>
        <v/>
      </c>
      <c r="D20">
        <f>IF(B20&lt;Assumptions!$B$21,Assumptions!$B$21*(Assumptions!$B$29+Assumptions!$B$4/Assumptions!$B$21)/(Assumptions!$B$29+Assumptions!$B$4/B20),Assumptions!$B$21)</f>
        <v/>
      </c>
      <c r="E20">
        <f>Assumptions!$B$37*Assumptions!$B$22/C20-Assumptions!$B$38</f>
        <v/>
      </c>
      <c r="F20">
        <f>Assumptions!$B$39*Assumptions!$B$21/D20-Assumptions!$B$39</f>
        <v/>
      </c>
      <c r="G20">
        <f>MAX(0,Assumptions!$B$7*(Assumptions!$B$29+E20+F20+G19+H19+I19+Assumptions!$B$4/B20)-Assumptions!$B$30)</f>
        <v/>
      </c>
      <c r="H20">
        <f>Assumptions!$B$23/MIN(Assumptions!$B$24/(Assumptions!$B$29+E20+F20+G20+I19),B20*(1-Assumptions!$B$25))</f>
        <v/>
      </c>
      <c r="I20">
        <f>Assumptions!$B$26/MIN(Assumptions!$B$27/(Assumptions!$B$29+E20+F20+G20+H20),B20*(1-Assumptions!$B$28))</f>
        <v/>
      </c>
      <c r="J20">
        <f>Assumptions!$B$29+E20+F20+G20+H20+I20</f>
        <v/>
      </c>
      <c r="K20">
        <f>J20+Assumptions!$B$4/B20</f>
        <v/>
      </c>
      <c r="L20">
        <f>B20</f>
        <v/>
      </c>
    </row>
    <row r="21">
      <c r="A21" t="inlineStr">
        <is>
          <t>Base iter 17</t>
        </is>
      </c>
      <c r="B21">
        <f>Assumptions!$B$3/J20</f>
        <v/>
      </c>
      <c r="C21">
        <f>IF(B21&lt;Assumptions!$B$20,Assumptions!$B$20*(Assumptions!$B$29+Assumptions!$B$4/Assumptions!$B$20)/(Assumptions!$B$29+Assumptions!$B$4/B21),Assumptions!$B$20)</f>
        <v/>
      </c>
      <c r="D21">
        <f>IF(B21&lt;Assumptions!$B$21,Assumptions!$B$21*(Assumptions!$B$29+Assumptions!$B$4/Assumptions!$B$21)/(Assumptions!$B$29+Assumptions!$B$4/B21),Assumptions!$B$21)</f>
        <v/>
      </c>
      <c r="E21">
        <f>Assumptions!$B$37*Assumptions!$B$22/C21-Assumptions!$B$38</f>
        <v/>
      </c>
      <c r="F21">
        <f>Assumptions!$B$39*Assumptions!$B$21/D21-Assumptions!$B$39</f>
        <v/>
      </c>
      <c r="G21">
        <f>MAX(0,Assumptions!$B$7*(Assumptions!$B$29+E21+F21+G20+H20+I20+Assumptions!$B$4/B21)-Assumptions!$B$30)</f>
        <v/>
      </c>
      <c r="H21">
        <f>Assumptions!$B$23/MIN(Assumptions!$B$24/(Assumptions!$B$29+E21+F21+G21+I20),B21*(1-Assumptions!$B$25))</f>
        <v/>
      </c>
      <c r="I21">
        <f>Assumptions!$B$26/MIN(Assumptions!$B$27/(Assumptions!$B$29+E21+F21+G21+H21),B21*(1-Assumptions!$B$28))</f>
        <v/>
      </c>
      <c r="J21">
        <f>Assumptions!$B$29+E21+F21+G21+H21+I21</f>
        <v/>
      </c>
      <c r="K21">
        <f>J21+Assumptions!$B$4/B21</f>
        <v/>
      </c>
      <c r="L21">
        <f>B21</f>
        <v/>
      </c>
    </row>
    <row r="22">
      <c r="A22" t="inlineStr">
        <is>
          <t>Base iter 18</t>
        </is>
      </c>
      <c r="B22">
        <f>Assumptions!$B$3/J21</f>
        <v/>
      </c>
      <c r="C22">
        <f>IF(B22&lt;Assumptions!$B$20,Assumptions!$B$20*(Assumptions!$B$29+Assumptions!$B$4/Assumptions!$B$20)/(Assumptions!$B$29+Assumptions!$B$4/B22),Assumptions!$B$20)</f>
        <v/>
      </c>
      <c r="D22">
        <f>IF(B22&lt;Assumptions!$B$21,Assumptions!$B$21*(Assumptions!$B$29+Assumptions!$B$4/Assumptions!$B$21)/(Assumptions!$B$29+Assumptions!$B$4/B22),Assumptions!$B$21)</f>
        <v/>
      </c>
      <c r="E22">
        <f>Assumptions!$B$37*Assumptions!$B$22/C22-Assumptions!$B$38</f>
        <v/>
      </c>
      <c r="F22">
        <f>Assumptions!$B$39*Assumptions!$B$21/D22-Assumptions!$B$39</f>
        <v/>
      </c>
      <c r="G22">
        <f>MAX(0,Assumptions!$B$7*(Assumptions!$B$29+E22+F22+G21+H21+I21+Assumptions!$B$4/B22)-Assumptions!$B$30)</f>
        <v/>
      </c>
      <c r="H22">
        <f>Assumptions!$B$23/MIN(Assumptions!$B$24/(Assumptions!$B$29+E22+F22+G22+I21),B22*(1-Assumptions!$B$25))</f>
        <v/>
      </c>
      <c r="I22">
        <f>Assumptions!$B$26/MIN(Assumptions!$B$27/(Assumptions!$B$29+E22+F22+G22+H22),B22*(1-Assumptions!$B$28))</f>
        <v/>
      </c>
      <c r="J22">
        <f>Assumptions!$B$29+E22+F22+G22+H22+I22</f>
        <v/>
      </c>
      <c r="K22">
        <f>J22+Assumptions!$B$4/B22</f>
        <v/>
      </c>
      <c r="L22">
        <f>B22</f>
        <v/>
      </c>
    </row>
    <row r="23">
      <c r="A23" t="inlineStr">
        <is>
          <t>Base iter 19</t>
        </is>
      </c>
      <c r="B23">
        <f>Assumptions!$B$3/J22</f>
        <v/>
      </c>
      <c r="C23">
        <f>IF(B23&lt;Assumptions!$B$20,Assumptions!$B$20*(Assumptions!$B$29+Assumptions!$B$4/Assumptions!$B$20)/(Assumptions!$B$29+Assumptions!$B$4/B23),Assumptions!$B$20)</f>
        <v/>
      </c>
      <c r="D23">
        <f>IF(B23&lt;Assumptions!$B$21,Assumptions!$B$21*(Assumptions!$B$29+Assumptions!$B$4/Assumptions!$B$21)/(Assumptions!$B$29+Assumptions!$B$4/B23),Assumptions!$B$21)</f>
        <v/>
      </c>
      <c r="E23">
        <f>Assumptions!$B$37*Assumptions!$B$22/C23-Assumptions!$B$38</f>
        <v/>
      </c>
      <c r="F23">
        <f>Assumptions!$B$39*Assumptions!$B$21/D23-Assumptions!$B$39</f>
        <v/>
      </c>
      <c r="G23">
        <f>MAX(0,Assumptions!$B$7*(Assumptions!$B$29+E23+F23+G22+H22+I22+Assumptions!$B$4/B23)-Assumptions!$B$30)</f>
        <v/>
      </c>
      <c r="H23">
        <f>Assumptions!$B$23/MIN(Assumptions!$B$24/(Assumptions!$B$29+E23+F23+G23+I22),B23*(1-Assumptions!$B$25))</f>
        <v/>
      </c>
      <c r="I23">
        <f>Assumptions!$B$26/MIN(Assumptions!$B$27/(Assumptions!$B$29+E23+F23+G23+H23),B23*(1-Assumptions!$B$28))</f>
        <v/>
      </c>
      <c r="J23">
        <f>Assumptions!$B$29+E23+F23+G23+H23+I23</f>
        <v/>
      </c>
      <c r="K23">
        <f>J23+Assumptions!$B$4/B23</f>
        <v/>
      </c>
      <c r="L23">
        <f>B23</f>
        <v/>
      </c>
    </row>
    <row r="24">
      <c r="A24" t="inlineStr">
        <is>
          <t>Base iter 20</t>
        </is>
      </c>
      <c r="B24">
        <f>Assumptions!$B$3/J23</f>
        <v/>
      </c>
      <c r="C24">
        <f>IF(B24&lt;Assumptions!$B$20,Assumptions!$B$20*(Assumptions!$B$29+Assumptions!$B$4/Assumptions!$B$20)/(Assumptions!$B$29+Assumptions!$B$4/B24),Assumptions!$B$20)</f>
        <v/>
      </c>
      <c r="D24">
        <f>IF(B24&lt;Assumptions!$B$21,Assumptions!$B$21*(Assumptions!$B$29+Assumptions!$B$4/Assumptions!$B$21)/(Assumptions!$B$29+Assumptions!$B$4/B24),Assumptions!$B$21)</f>
        <v/>
      </c>
      <c r="E24">
        <f>Assumptions!$B$37*Assumptions!$B$22/C24-Assumptions!$B$38</f>
        <v/>
      </c>
      <c r="F24">
        <f>Assumptions!$B$39*Assumptions!$B$21/D24-Assumptions!$B$39</f>
        <v/>
      </c>
      <c r="G24">
        <f>MAX(0,Assumptions!$B$7*(Assumptions!$B$29+E24+F24+G23+H23+I23+Assumptions!$B$4/B24)-Assumptions!$B$30)</f>
        <v/>
      </c>
      <c r="H24">
        <f>Assumptions!$B$23/MIN(Assumptions!$B$24/(Assumptions!$B$29+E24+F24+G24+I23),B24*(1-Assumptions!$B$25))</f>
        <v/>
      </c>
      <c r="I24">
        <f>Assumptions!$B$26/MIN(Assumptions!$B$27/(Assumptions!$B$29+E24+F24+G24+H24),B24*(1-Assumptions!$B$28))</f>
        <v/>
      </c>
      <c r="J24">
        <f>Assumptions!$B$29+E24+F24+G24+H24+I24</f>
        <v/>
      </c>
      <c r="K24">
        <f>J24+Assumptions!$B$4/B24</f>
        <v/>
      </c>
      <c r="L24">
        <f>B24</f>
        <v/>
      </c>
    </row>
    <row r="25">
      <c r="A25" t="inlineStr">
        <is>
          <t>Base iter 21</t>
        </is>
      </c>
      <c r="B25">
        <f>Assumptions!$B$3/J24</f>
        <v/>
      </c>
      <c r="C25">
        <f>IF(B25&lt;Assumptions!$B$20,Assumptions!$B$20*(Assumptions!$B$29+Assumptions!$B$4/Assumptions!$B$20)/(Assumptions!$B$29+Assumptions!$B$4/B25),Assumptions!$B$20)</f>
        <v/>
      </c>
      <c r="D25">
        <f>IF(B25&lt;Assumptions!$B$21,Assumptions!$B$21*(Assumptions!$B$29+Assumptions!$B$4/Assumptions!$B$21)/(Assumptions!$B$29+Assumptions!$B$4/B25),Assumptions!$B$21)</f>
        <v/>
      </c>
      <c r="E25">
        <f>Assumptions!$B$37*Assumptions!$B$22/C25-Assumptions!$B$38</f>
        <v/>
      </c>
      <c r="F25">
        <f>Assumptions!$B$39*Assumptions!$B$21/D25-Assumptions!$B$39</f>
        <v/>
      </c>
      <c r="G25">
        <f>MAX(0,Assumptions!$B$7*(Assumptions!$B$29+E25+F25+G24+H24+I24+Assumptions!$B$4/B25)-Assumptions!$B$30)</f>
        <v/>
      </c>
      <c r="H25">
        <f>Assumptions!$B$23/MIN(Assumptions!$B$24/(Assumptions!$B$29+E25+F25+G25+I24),B25*(1-Assumptions!$B$25))</f>
        <v/>
      </c>
      <c r="I25">
        <f>Assumptions!$B$26/MIN(Assumptions!$B$27/(Assumptions!$B$29+E25+F25+G25+H25),B25*(1-Assumptions!$B$28))</f>
        <v/>
      </c>
      <c r="J25">
        <f>Assumptions!$B$29+E25+F25+G25+H25+I25</f>
        <v/>
      </c>
      <c r="K25">
        <f>J25+Assumptions!$B$4/B25</f>
        <v/>
      </c>
      <c r="L25">
        <f>B25</f>
        <v/>
      </c>
    </row>
    <row r="26">
      <c r="A26" t="inlineStr">
        <is>
          <t>Base iter 22</t>
        </is>
      </c>
      <c r="B26">
        <f>Assumptions!$B$3/J25</f>
        <v/>
      </c>
      <c r="C26">
        <f>IF(B26&lt;Assumptions!$B$20,Assumptions!$B$20*(Assumptions!$B$29+Assumptions!$B$4/Assumptions!$B$20)/(Assumptions!$B$29+Assumptions!$B$4/B26),Assumptions!$B$20)</f>
        <v/>
      </c>
      <c r="D26">
        <f>IF(B26&lt;Assumptions!$B$21,Assumptions!$B$21*(Assumptions!$B$29+Assumptions!$B$4/Assumptions!$B$21)/(Assumptions!$B$29+Assumptions!$B$4/B26),Assumptions!$B$21)</f>
        <v/>
      </c>
      <c r="E26">
        <f>Assumptions!$B$37*Assumptions!$B$22/C26-Assumptions!$B$38</f>
        <v/>
      </c>
      <c r="F26">
        <f>Assumptions!$B$39*Assumptions!$B$21/D26-Assumptions!$B$39</f>
        <v/>
      </c>
      <c r="G26">
        <f>MAX(0,Assumptions!$B$7*(Assumptions!$B$29+E26+F26+G25+H25+I25+Assumptions!$B$4/B26)-Assumptions!$B$30)</f>
        <v/>
      </c>
      <c r="H26">
        <f>Assumptions!$B$23/MIN(Assumptions!$B$24/(Assumptions!$B$29+E26+F26+G26+I25),B26*(1-Assumptions!$B$25))</f>
        <v/>
      </c>
      <c r="I26">
        <f>Assumptions!$B$26/MIN(Assumptions!$B$27/(Assumptions!$B$29+E26+F26+G26+H26),B26*(1-Assumptions!$B$28))</f>
        <v/>
      </c>
      <c r="J26">
        <f>Assumptions!$B$29+E26+F26+G26+H26+I26</f>
        <v/>
      </c>
      <c r="K26">
        <f>J26+Assumptions!$B$4/B26</f>
        <v/>
      </c>
      <c r="L26">
        <f>B26</f>
        <v/>
      </c>
    </row>
    <row r="27">
      <c r="A27" t="inlineStr">
        <is>
          <t>Base iter 23</t>
        </is>
      </c>
      <c r="B27">
        <f>Assumptions!$B$3/J26</f>
        <v/>
      </c>
      <c r="C27">
        <f>IF(B27&lt;Assumptions!$B$20,Assumptions!$B$20*(Assumptions!$B$29+Assumptions!$B$4/Assumptions!$B$20)/(Assumptions!$B$29+Assumptions!$B$4/B27),Assumptions!$B$20)</f>
        <v/>
      </c>
      <c r="D27">
        <f>IF(B27&lt;Assumptions!$B$21,Assumptions!$B$21*(Assumptions!$B$29+Assumptions!$B$4/Assumptions!$B$21)/(Assumptions!$B$29+Assumptions!$B$4/B27),Assumptions!$B$21)</f>
        <v/>
      </c>
      <c r="E27">
        <f>Assumptions!$B$37*Assumptions!$B$22/C27-Assumptions!$B$38</f>
        <v/>
      </c>
      <c r="F27">
        <f>Assumptions!$B$39*Assumptions!$B$21/D27-Assumptions!$B$39</f>
        <v/>
      </c>
      <c r="G27">
        <f>MAX(0,Assumptions!$B$7*(Assumptions!$B$29+E27+F27+G26+H26+I26+Assumptions!$B$4/B27)-Assumptions!$B$30)</f>
        <v/>
      </c>
      <c r="H27">
        <f>Assumptions!$B$23/MIN(Assumptions!$B$24/(Assumptions!$B$29+E27+F27+G27+I26),B27*(1-Assumptions!$B$25))</f>
        <v/>
      </c>
      <c r="I27">
        <f>Assumptions!$B$26/MIN(Assumptions!$B$27/(Assumptions!$B$29+E27+F27+G27+H27),B27*(1-Assumptions!$B$28))</f>
        <v/>
      </c>
      <c r="J27">
        <f>Assumptions!$B$29+E27+F27+G27+H27+I27</f>
        <v/>
      </c>
      <c r="K27">
        <f>J27+Assumptions!$B$4/B27</f>
        <v/>
      </c>
      <c r="L27">
        <f>B27</f>
        <v/>
      </c>
    </row>
    <row r="28">
      <c r="A28" t="inlineStr">
        <is>
          <t>Base iter 24</t>
        </is>
      </c>
      <c r="B28">
        <f>Assumptions!$B$3/J27</f>
        <v/>
      </c>
      <c r="C28">
        <f>IF(B28&lt;Assumptions!$B$20,Assumptions!$B$20*(Assumptions!$B$29+Assumptions!$B$4/Assumptions!$B$20)/(Assumptions!$B$29+Assumptions!$B$4/B28),Assumptions!$B$20)</f>
        <v/>
      </c>
      <c r="D28">
        <f>IF(B28&lt;Assumptions!$B$21,Assumptions!$B$21*(Assumptions!$B$29+Assumptions!$B$4/Assumptions!$B$21)/(Assumptions!$B$29+Assumptions!$B$4/B28),Assumptions!$B$21)</f>
        <v/>
      </c>
      <c r="E28">
        <f>Assumptions!$B$37*Assumptions!$B$22/C28-Assumptions!$B$38</f>
        <v/>
      </c>
      <c r="F28">
        <f>Assumptions!$B$39*Assumptions!$B$21/D28-Assumptions!$B$39</f>
        <v/>
      </c>
      <c r="G28">
        <f>MAX(0,Assumptions!$B$7*(Assumptions!$B$29+E28+F28+G27+H27+I27+Assumptions!$B$4/B28)-Assumptions!$B$30)</f>
        <v/>
      </c>
      <c r="H28">
        <f>Assumptions!$B$23/MIN(Assumptions!$B$24/(Assumptions!$B$29+E28+F28+G28+I27),B28*(1-Assumptions!$B$25))</f>
        <v/>
      </c>
      <c r="I28">
        <f>Assumptions!$B$26/MIN(Assumptions!$B$27/(Assumptions!$B$29+E28+F28+G28+H28),B28*(1-Assumptions!$B$28))</f>
        <v/>
      </c>
      <c r="J28">
        <f>Assumptions!$B$29+E28+F28+G28+H28+I28</f>
        <v/>
      </c>
      <c r="K28">
        <f>J28+Assumptions!$B$4/B28</f>
        <v/>
      </c>
      <c r="L28">
        <f>B28</f>
        <v/>
      </c>
    </row>
    <row r="29">
      <c r="A29" t="inlineStr">
        <is>
          <t>Base iter 25</t>
        </is>
      </c>
      <c r="B29">
        <f>Assumptions!$B$3/J28</f>
        <v/>
      </c>
      <c r="C29">
        <f>IF(B29&lt;Assumptions!$B$20,Assumptions!$B$20*(Assumptions!$B$29+Assumptions!$B$4/Assumptions!$B$20)/(Assumptions!$B$29+Assumptions!$B$4/B29),Assumptions!$B$20)</f>
        <v/>
      </c>
      <c r="D29">
        <f>IF(B29&lt;Assumptions!$B$21,Assumptions!$B$21*(Assumptions!$B$29+Assumptions!$B$4/Assumptions!$B$21)/(Assumptions!$B$29+Assumptions!$B$4/B29),Assumptions!$B$21)</f>
        <v/>
      </c>
      <c r="E29">
        <f>Assumptions!$B$37*Assumptions!$B$22/C29-Assumptions!$B$38</f>
        <v/>
      </c>
      <c r="F29">
        <f>Assumptions!$B$39*Assumptions!$B$21/D29-Assumptions!$B$39</f>
        <v/>
      </c>
      <c r="G29">
        <f>MAX(0,Assumptions!$B$7*(Assumptions!$B$29+E29+F29+G28+H28+I28+Assumptions!$B$4/B29)-Assumptions!$B$30)</f>
        <v/>
      </c>
      <c r="H29">
        <f>Assumptions!$B$23/MIN(Assumptions!$B$24/(Assumptions!$B$29+E29+F29+G29+I28),B29*(1-Assumptions!$B$25))</f>
        <v/>
      </c>
      <c r="I29">
        <f>Assumptions!$B$26/MIN(Assumptions!$B$27/(Assumptions!$B$29+E29+F29+G29+H29),B29*(1-Assumptions!$B$28))</f>
        <v/>
      </c>
      <c r="J29">
        <f>Assumptions!$B$29+E29+F29+G29+H29+I29</f>
        <v/>
      </c>
      <c r="K29">
        <f>J29+Assumptions!$B$4/B29</f>
        <v/>
      </c>
      <c r="L29">
        <f>B29</f>
        <v/>
      </c>
    </row>
    <row r="30">
      <c r="A30" t="inlineStr">
        <is>
          <t>Base iter 26</t>
        </is>
      </c>
      <c r="B30">
        <f>Assumptions!$B$3/J29</f>
        <v/>
      </c>
      <c r="C30">
        <f>IF(B30&lt;Assumptions!$B$20,Assumptions!$B$20*(Assumptions!$B$29+Assumptions!$B$4/Assumptions!$B$20)/(Assumptions!$B$29+Assumptions!$B$4/B30),Assumptions!$B$20)</f>
        <v/>
      </c>
      <c r="D30">
        <f>IF(B30&lt;Assumptions!$B$21,Assumptions!$B$21*(Assumptions!$B$29+Assumptions!$B$4/Assumptions!$B$21)/(Assumptions!$B$29+Assumptions!$B$4/B30),Assumptions!$B$21)</f>
        <v/>
      </c>
      <c r="E30">
        <f>Assumptions!$B$37*Assumptions!$B$22/C30-Assumptions!$B$38</f>
        <v/>
      </c>
      <c r="F30">
        <f>Assumptions!$B$39*Assumptions!$B$21/D30-Assumptions!$B$39</f>
        <v/>
      </c>
      <c r="G30">
        <f>MAX(0,Assumptions!$B$7*(Assumptions!$B$29+E30+F30+G29+H29+I29+Assumptions!$B$4/B30)-Assumptions!$B$30)</f>
        <v/>
      </c>
      <c r="H30">
        <f>Assumptions!$B$23/MIN(Assumptions!$B$24/(Assumptions!$B$29+E30+F30+G30+I29),B30*(1-Assumptions!$B$25))</f>
        <v/>
      </c>
      <c r="I30">
        <f>Assumptions!$B$26/MIN(Assumptions!$B$27/(Assumptions!$B$29+E30+F30+G30+H30),B30*(1-Assumptions!$B$28))</f>
        <v/>
      </c>
      <c r="J30">
        <f>Assumptions!$B$29+E30+F30+G30+H30+I30</f>
        <v/>
      </c>
      <c r="K30">
        <f>J30+Assumptions!$B$4/B30</f>
        <v/>
      </c>
      <c r="L30">
        <f>B30</f>
        <v/>
      </c>
    </row>
    <row r="31">
      <c r="A31" t="inlineStr">
        <is>
          <t>Base iter 27</t>
        </is>
      </c>
      <c r="B31">
        <f>Assumptions!$B$3/J30</f>
        <v/>
      </c>
      <c r="C31">
        <f>IF(B31&lt;Assumptions!$B$20,Assumptions!$B$20*(Assumptions!$B$29+Assumptions!$B$4/Assumptions!$B$20)/(Assumptions!$B$29+Assumptions!$B$4/B31),Assumptions!$B$20)</f>
        <v/>
      </c>
      <c r="D31">
        <f>IF(B31&lt;Assumptions!$B$21,Assumptions!$B$21*(Assumptions!$B$29+Assumptions!$B$4/Assumptions!$B$21)/(Assumptions!$B$29+Assumptions!$B$4/B31),Assumptions!$B$21)</f>
        <v/>
      </c>
      <c r="E31">
        <f>Assumptions!$B$37*Assumptions!$B$22/C31-Assumptions!$B$38</f>
        <v/>
      </c>
      <c r="F31">
        <f>Assumptions!$B$39*Assumptions!$B$21/D31-Assumptions!$B$39</f>
        <v/>
      </c>
      <c r="G31">
        <f>MAX(0,Assumptions!$B$7*(Assumptions!$B$29+E31+F31+G30+H30+I30+Assumptions!$B$4/B31)-Assumptions!$B$30)</f>
        <v/>
      </c>
      <c r="H31">
        <f>Assumptions!$B$23/MIN(Assumptions!$B$24/(Assumptions!$B$29+E31+F31+G31+I30),B31*(1-Assumptions!$B$25))</f>
        <v/>
      </c>
      <c r="I31">
        <f>Assumptions!$B$26/MIN(Assumptions!$B$27/(Assumptions!$B$29+E31+F31+G31+H31),B31*(1-Assumptions!$B$28))</f>
        <v/>
      </c>
      <c r="J31">
        <f>Assumptions!$B$29+E31+F31+G31+H31+I31</f>
        <v/>
      </c>
      <c r="K31">
        <f>J31+Assumptions!$B$4/B31</f>
        <v/>
      </c>
      <c r="L31">
        <f>B31</f>
        <v/>
      </c>
    </row>
    <row r="32">
      <c r="A32" t="inlineStr">
        <is>
          <t>Base iter 28</t>
        </is>
      </c>
      <c r="B32">
        <f>Assumptions!$B$3/J31</f>
        <v/>
      </c>
      <c r="C32">
        <f>IF(B32&lt;Assumptions!$B$20,Assumptions!$B$20*(Assumptions!$B$29+Assumptions!$B$4/Assumptions!$B$20)/(Assumptions!$B$29+Assumptions!$B$4/B32),Assumptions!$B$20)</f>
        <v/>
      </c>
      <c r="D32">
        <f>IF(B32&lt;Assumptions!$B$21,Assumptions!$B$21*(Assumptions!$B$29+Assumptions!$B$4/Assumptions!$B$21)/(Assumptions!$B$29+Assumptions!$B$4/B32),Assumptions!$B$21)</f>
        <v/>
      </c>
      <c r="E32">
        <f>Assumptions!$B$37*Assumptions!$B$22/C32-Assumptions!$B$38</f>
        <v/>
      </c>
      <c r="F32">
        <f>Assumptions!$B$39*Assumptions!$B$21/D32-Assumptions!$B$39</f>
        <v/>
      </c>
      <c r="G32">
        <f>MAX(0,Assumptions!$B$7*(Assumptions!$B$29+E32+F32+G31+H31+I31+Assumptions!$B$4/B32)-Assumptions!$B$30)</f>
        <v/>
      </c>
      <c r="H32">
        <f>Assumptions!$B$23/MIN(Assumptions!$B$24/(Assumptions!$B$29+E32+F32+G32+I31),B32*(1-Assumptions!$B$25))</f>
        <v/>
      </c>
      <c r="I32">
        <f>Assumptions!$B$26/MIN(Assumptions!$B$27/(Assumptions!$B$29+E32+F32+G32+H32),B32*(1-Assumptions!$B$28))</f>
        <v/>
      </c>
      <c r="J32">
        <f>Assumptions!$B$29+E32+F32+G32+H32+I32</f>
        <v/>
      </c>
      <c r="K32">
        <f>J32+Assumptions!$B$4/B32</f>
        <v/>
      </c>
      <c r="L32">
        <f>B32</f>
        <v/>
      </c>
    </row>
    <row r="33">
      <c r="A33" t="inlineStr">
        <is>
          <t>Base iter 29</t>
        </is>
      </c>
      <c r="B33">
        <f>Assumptions!$B$3/J32</f>
        <v/>
      </c>
      <c r="C33">
        <f>IF(B33&lt;Assumptions!$B$20,Assumptions!$B$20*(Assumptions!$B$29+Assumptions!$B$4/Assumptions!$B$20)/(Assumptions!$B$29+Assumptions!$B$4/B33),Assumptions!$B$20)</f>
        <v/>
      </c>
      <c r="D33">
        <f>IF(B33&lt;Assumptions!$B$21,Assumptions!$B$21*(Assumptions!$B$29+Assumptions!$B$4/Assumptions!$B$21)/(Assumptions!$B$29+Assumptions!$B$4/B33),Assumptions!$B$21)</f>
        <v/>
      </c>
      <c r="E33">
        <f>Assumptions!$B$37*Assumptions!$B$22/C33-Assumptions!$B$38</f>
        <v/>
      </c>
      <c r="F33">
        <f>Assumptions!$B$39*Assumptions!$B$21/D33-Assumptions!$B$39</f>
        <v/>
      </c>
      <c r="G33">
        <f>MAX(0,Assumptions!$B$7*(Assumptions!$B$29+E33+F33+G32+H32+I32+Assumptions!$B$4/B33)-Assumptions!$B$30)</f>
        <v/>
      </c>
      <c r="H33">
        <f>Assumptions!$B$23/MIN(Assumptions!$B$24/(Assumptions!$B$29+E33+F33+G33+I32),B33*(1-Assumptions!$B$25))</f>
        <v/>
      </c>
      <c r="I33">
        <f>Assumptions!$B$26/MIN(Assumptions!$B$27/(Assumptions!$B$29+E33+F33+G33+H33),B33*(1-Assumptions!$B$28))</f>
        <v/>
      </c>
      <c r="J33">
        <f>Assumptions!$B$29+E33+F33+G33+H33+I33</f>
        <v/>
      </c>
      <c r="K33">
        <f>J33+Assumptions!$B$4/B33</f>
        <v/>
      </c>
      <c r="L33">
        <f>B33</f>
        <v/>
      </c>
    </row>
    <row r="34">
      <c r="A34" t="inlineStr">
        <is>
          <t>Base iter 30</t>
        </is>
      </c>
      <c r="B34">
        <f>Assumptions!$B$3/J33</f>
        <v/>
      </c>
      <c r="C34">
        <f>IF(B34&lt;Assumptions!$B$20,Assumptions!$B$20*(Assumptions!$B$29+Assumptions!$B$4/Assumptions!$B$20)/(Assumptions!$B$29+Assumptions!$B$4/B34),Assumptions!$B$20)</f>
        <v/>
      </c>
      <c r="D34">
        <f>IF(B34&lt;Assumptions!$B$21,Assumptions!$B$21*(Assumptions!$B$29+Assumptions!$B$4/Assumptions!$B$21)/(Assumptions!$B$29+Assumptions!$B$4/B34),Assumptions!$B$21)</f>
        <v/>
      </c>
      <c r="E34">
        <f>Assumptions!$B$37*Assumptions!$B$22/C34-Assumptions!$B$38</f>
        <v/>
      </c>
      <c r="F34">
        <f>Assumptions!$B$39*Assumptions!$B$21/D34-Assumptions!$B$39</f>
        <v/>
      </c>
      <c r="G34">
        <f>MAX(0,Assumptions!$B$7*(Assumptions!$B$29+E34+F34+G33+H33+I33+Assumptions!$B$4/B34)-Assumptions!$B$30)</f>
        <v/>
      </c>
      <c r="H34">
        <f>Assumptions!$B$23/MIN(Assumptions!$B$24/(Assumptions!$B$29+E34+F34+G34+I33),B34*(1-Assumptions!$B$25))</f>
        <v/>
      </c>
      <c r="I34">
        <f>Assumptions!$B$26/MIN(Assumptions!$B$27/(Assumptions!$B$29+E34+F34+G34+H34),B34*(1-Assumptions!$B$28))</f>
        <v/>
      </c>
      <c r="J34">
        <f>Assumptions!$B$29+E34+F34+G34+H34+I34</f>
        <v/>
      </c>
      <c r="K34">
        <f>J34+Assumptions!$B$4/B34</f>
        <v/>
      </c>
      <c r="L34">
        <f>B34</f>
        <v/>
      </c>
    </row>
    <row r="35">
      <c r="A35" t="inlineStr">
        <is>
          <t>Base iter 31</t>
        </is>
      </c>
      <c r="B35">
        <f>Assumptions!$B$3/J34</f>
        <v/>
      </c>
      <c r="C35">
        <f>IF(B35&lt;Assumptions!$B$20,Assumptions!$B$20*(Assumptions!$B$29+Assumptions!$B$4/Assumptions!$B$20)/(Assumptions!$B$29+Assumptions!$B$4/B35),Assumptions!$B$20)</f>
        <v/>
      </c>
      <c r="D35">
        <f>IF(B35&lt;Assumptions!$B$21,Assumptions!$B$21*(Assumptions!$B$29+Assumptions!$B$4/Assumptions!$B$21)/(Assumptions!$B$29+Assumptions!$B$4/B35),Assumptions!$B$21)</f>
        <v/>
      </c>
      <c r="E35">
        <f>Assumptions!$B$37*Assumptions!$B$22/C35-Assumptions!$B$38</f>
        <v/>
      </c>
      <c r="F35">
        <f>Assumptions!$B$39*Assumptions!$B$21/D35-Assumptions!$B$39</f>
        <v/>
      </c>
      <c r="G35">
        <f>MAX(0,Assumptions!$B$7*(Assumptions!$B$29+E35+F35+G34+H34+I34+Assumptions!$B$4/B35)-Assumptions!$B$30)</f>
        <v/>
      </c>
      <c r="H35">
        <f>Assumptions!$B$23/MIN(Assumptions!$B$24/(Assumptions!$B$29+E35+F35+G35+I34),B35*(1-Assumptions!$B$25))</f>
        <v/>
      </c>
      <c r="I35">
        <f>Assumptions!$B$26/MIN(Assumptions!$B$27/(Assumptions!$B$29+E35+F35+G35+H35),B35*(1-Assumptions!$B$28))</f>
        <v/>
      </c>
      <c r="J35">
        <f>Assumptions!$B$29+E35+F35+G35+H35+I35</f>
        <v/>
      </c>
      <c r="K35">
        <f>J35+Assumptions!$B$4/B35</f>
        <v/>
      </c>
      <c r="L35">
        <f>B35</f>
        <v/>
      </c>
    </row>
    <row r="36">
      <c r="A36" t="inlineStr">
        <is>
          <t>Base iter 32</t>
        </is>
      </c>
      <c r="B36">
        <f>Assumptions!$B$3/J35</f>
        <v/>
      </c>
      <c r="C36">
        <f>IF(B36&lt;Assumptions!$B$20,Assumptions!$B$20*(Assumptions!$B$29+Assumptions!$B$4/Assumptions!$B$20)/(Assumptions!$B$29+Assumptions!$B$4/B36),Assumptions!$B$20)</f>
        <v/>
      </c>
      <c r="D36">
        <f>IF(B36&lt;Assumptions!$B$21,Assumptions!$B$21*(Assumptions!$B$29+Assumptions!$B$4/Assumptions!$B$21)/(Assumptions!$B$29+Assumptions!$B$4/B36),Assumptions!$B$21)</f>
        <v/>
      </c>
      <c r="E36">
        <f>Assumptions!$B$37*Assumptions!$B$22/C36-Assumptions!$B$38</f>
        <v/>
      </c>
      <c r="F36">
        <f>Assumptions!$B$39*Assumptions!$B$21/D36-Assumptions!$B$39</f>
        <v/>
      </c>
      <c r="G36">
        <f>MAX(0,Assumptions!$B$7*(Assumptions!$B$29+E36+F36+G35+H35+I35+Assumptions!$B$4/B36)-Assumptions!$B$30)</f>
        <v/>
      </c>
      <c r="H36">
        <f>Assumptions!$B$23/MIN(Assumptions!$B$24/(Assumptions!$B$29+E36+F36+G36+I35),B36*(1-Assumptions!$B$25))</f>
        <v/>
      </c>
      <c r="I36">
        <f>Assumptions!$B$26/MIN(Assumptions!$B$27/(Assumptions!$B$29+E36+F36+G36+H36),B36*(1-Assumptions!$B$28))</f>
        <v/>
      </c>
      <c r="J36">
        <f>Assumptions!$B$29+E36+F36+G36+H36+I36</f>
        <v/>
      </c>
      <c r="K36">
        <f>J36+Assumptions!$B$4/B36</f>
        <v/>
      </c>
      <c r="L36">
        <f>B36</f>
        <v/>
      </c>
    </row>
    <row r="37">
      <c r="A37" t="inlineStr">
        <is>
          <t>Base iter 33</t>
        </is>
      </c>
      <c r="B37">
        <f>Assumptions!$B$3/J36</f>
        <v/>
      </c>
      <c r="C37">
        <f>IF(B37&lt;Assumptions!$B$20,Assumptions!$B$20*(Assumptions!$B$29+Assumptions!$B$4/Assumptions!$B$20)/(Assumptions!$B$29+Assumptions!$B$4/B37),Assumptions!$B$20)</f>
        <v/>
      </c>
      <c r="D37">
        <f>IF(B37&lt;Assumptions!$B$21,Assumptions!$B$21*(Assumptions!$B$29+Assumptions!$B$4/Assumptions!$B$21)/(Assumptions!$B$29+Assumptions!$B$4/B37),Assumptions!$B$21)</f>
        <v/>
      </c>
      <c r="E37">
        <f>Assumptions!$B$37*Assumptions!$B$22/C37-Assumptions!$B$38</f>
        <v/>
      </c>
      <c r="F37">
        <f>Assumptions!$B$39*Assumptions!$B$21/D37-Assumptions!$B$39</f>
        <v/>
      </c>
      <c r="G37">
        <f>MAX(0,Assumptions!$B$7*(Assumptions!$B$29+E37+F37+G36+H36+I36+Assumptions!$B$4/B37)-Assumptions!$B$30)</f>
        <v/>
      </c>
      <c r="H37">
        <f>Assumptions!$B$23/MIN(Assumptions!$B$24/(Assumptions!$B$29+E37+F37+G37+I36),B37*(1-Assumptions!$B$25))</f>
        <v/>
      </c>
      <c r="I37">
        <f>Assumptions!$B$26/MIN(Assumptions!$B$27/(Assumptions!$B$29+E37+F37+G37+H37),B37*(1-Assumptions!$B$28))</f>
        <v/>
      </c>
      <c r="J37">
        <f>Assumptions!$B$29+E37+F37+G37+H37+I37</f>
        <v/>
      </c>
      <c r="K37">
        <f>J37+Assumptions!$B$4/B37</f>
        <v/>
      </c>
      <c r="L37">
        <f>B37</f>
        <v/>
      </c>
    </row>
    <row r="38">
      <c r="A38" t="inlineStr">
        <is>
          <t>Base iter 34</t>
        </is>
      </c>
      <c r="B38">
        <f>Assumptions!$B$3/J37</f>
        <v/>
      </c>
      <c r="C38">
        <f>IF(B38&lt;Assumptions!$B$20,Assumptions!$B$20*(Assumptions!$B$29+Assumptions!$B$4/Assumptions!$B$20)/(Assumptions!$B$29+Assumptions!$B$4/B38),Assumptions!$B$20)</f>
        <v/>
      </c>
      <c r="D38">
        <f>IF(B38&lt;Assumptions!$B$21,Assumptions!$B$21*(Assumptions!$B$29+Assumptions!$B$4/Assumptions!$B$21)/(Assumptions!$B$29+Assumptions!$B$4/B38),Assumptions!$B$21)</f>
        <v/>
      </c>
      <c r="E38">
        <f>Assumptions!$B$37*Assumptions!$B$22/C38-Assumptions!$B$38</f>
        <v/>
      </c>
      <c r="F38">
        <f>Assumptions!$B$39*Assumptions!$B$21/D38-Assumptions!$B$39</f>
        <v/>
      </c>
      <c r="G38">
        <f>MAX(0,Assumptions!$B$7*(Assumptions!$B$29+E38+F38+G37+H37+I37+Assumptions!$B$4/B38)-Assumptions!$B$30)</f>
        <v/>
      </c>
      <c r="H38">
        <f>Assumptions!$B$23/MIN(Assumptions!$B$24/(Assumptions!$B$29+E38+F38+G38+I37),B38*(1-Assumptions!$B$25))</f>
        <v/>
      </c>
      <c r="I38">
        <f>Assumptions!$B$26/MIN(Assumptions!$B$27/(Assumptions!$B$29+E38+F38+G38+H38),B38*(1-Assumptions!$B$28))</f>
        <v/>
      </c>
      <c r="J38">
        <f>Assumptions!$B$29+E38+F38+G38+H38+I38</f>
        <v/>
      </c>
      <c r="K38">
        <f>J38+Assumptions!$B$4/B38</f>
        <v/>
      </c>
      <c r="L38">
        <f>B38</f>
        <v/>
      </c>
    </row>
    <row r="39">
      <c r="A39" t="inlineStr">
        <is>
          <t>Base iter 35</t>
        </is>
      </c>
      <c r="B39">
        <f>Assumptions!$B$3/J38</f>
        <v/>
      </c>
      <c r="C39">
        <f>IF(B39&lt;Assumptions!$B$20,Assumptions!$B$20*(Assumptions!$B$29+Assumptions!$B$4/Assumptions!$B$20)/(Assumptions!$B$29+Assumptions!$B$4/B39),Assumptions!$B$20)</f>
        <v/>
      </c>
      <c r="D39">
        <f>IF(B39&lt;Assumptions!$B$21,Assumptions!$B$21*(Assumptions!$B$29+Assumptions!$B$4/Assumptions!$B$21)/(Assumptions!$B$29+Assumptions!$B$4/B39),Assumptions!$B$21)</f>
        <v/>
      </c>
      <c r="E39">
        <f>Assumptions!$B$37*Assumptions!$B$22/C39-Assumptions!$B$38</f>
        <v/>
      </c>
      <c r="F39">
        <f>Assumptions!$B$39*Assumptions!$B$21/D39-Assumptions!$B$39</f>
        <v/>
      </c>
      <c r="G39">
        <f>MAX(0,Assumptions!$B$7*(Assumptions!$B$29+E39+F39+G38+H38+I38+Assumptions!$B$4/B39)-Assumptions!$B$30)</f>
        <v/>
      </c>
      <c r="H39">
        <f>Assumptions!$B$23/MIN(Assumptions!$B$24/(Assumptions!$B$29+E39+F39+G39+I38),B39*(1-Assumptions!$B$25))</f>
        <v/>
      </c>
      <c r="I39">
        <f>Assumptions!$B$26/MIN(Assumptions!$B$27/(Assumptions!$B$29+E39+F39+G39+H39),B39*(1-Assumptions!$B$28))</f>
        <v/>
      </c>
      <c r="J39">
        <f>Assumptions!$B$29+E39+F39+G39+H39+I39</f>
        <v/>
      </c>
      <c r="K39">
        <f>J39+Assumptions!$B$4/B39</f>
        <v/>
      </c>
      <c r="L39">
        <f>B39</f>
        <v/>
      </c>
    </row>
    <row r="40">
      <c r="A40" t="inlineStr">
        <is>
          <t>Base iter 36</t>
        </is>
      </c>
      <c r="B40">
        <f>Assumptions!$B$3/J39</f>
        <v/>
      </c>
      <c r="C40">
        <f>IF(B40&lt;Assumptions!$B$20,Assumptions!$B$20*(Assumptions!$B$29+Assumptions!$B$4/Assumptions!$B$20)/(Assumptions!$B$29+Assumptions!$B$4/B40),Assumptions!$B$20)</f>
        <v/>
      </c>
      <c r="D40">
        <f>IF(B40&lt;Assumptions!$B$21,Assumptions!$B$21*(Assumptions!$B$29+Assumptions!$B$4/Assumptions!$B$21)/(Assumptions!$B$29+Assumptions!$B$4/B40),Assumptions!$B$21)</f>
        <v/>
      </c>
      <c r="E40">
        <f>Assumptions!$B$37*Assumptions!$B$22/C40-Assumptions!$B$38</f>
        <v/>
      </c>
      <c r="F40">
        <f>Assumptions!$B$39*Assumptions!$B$21/D40-Assumptions!$B$39</f>
        <v/>
      </c>
      <c r="G40">
        <f>MAX(0,Assumptions!$B$7*(Assumptions!$B$29+E40+F40+G39+H39+I39+Assumptions!$B$4/B40)-Assumptions!$B$30)</f>
        <v/>
      </c>
      <c r="H40">
        <f>Assumptions!$B$23/MIN(Assumptions!$B$24/(Assumptions!$B$29+E40+F40+G40+I39),B40*(1-Assumptions!$B$25))</f>
        <v/>
      </c>
      <c r="I40">
        <f>Assumptions!$B$26/MIN(Assumptions!$B$27/(Assumptions!$B$29+E40+F40+G40+H40),B40*(1-Assumptions!$B$28))</f>
        <v/>
      </c>
      <c r="J40">
        <f>Assumptions!$B$29+E40+F40+G40+H40+I40</f>
        <v/>
      </c>
      <c r="K40">
        <f>J40+Assumptions!$B$4/B40</f>
        <v/>
      </c>
      <c r="L40">
        <f>B40</f>
        <v/>
      </c>
    </row>
    <row r="41">
      <c r="A41" t="inlineStr">
        <is>
          <t>Base iter 37</t>
        </is>
      </c>
      <c r="B41">
        <f>Assumptions!$B$3/J40</f>
        <v/>
      </c>
      <c r="C41">
        <f>IF(B41&lt;Assumptions!$B$20,Assumptions!$B$20*(Assumptions!$B$29+Assumptions!$B$4/Assumptions!$B$20)/(Assumptions!$B$29+Assumptions!$B$4/B41),Assumptions!$B$20)</f>
        <v/>
      </c>
      <c r="D41">
        <f>IF(B41&lt;Assumptions!$B$21,Assumptions!$B$21*(Assumptions!$B$29+Assumptions!$B$4/Assumptions!$B$21)/(Assumptions!$B$29+Assumptions!$B$4/B41),Assumptions!$B$21)</f>
        <v/>
      </c>
      <c r="E41">
        <f>Assumptions!$B$37*Assumptions!$B$22/C41-Assumptions!$B$38</f>
        <v/>
      </c>
      <c r="F41">
        <f>Assumptions!$B$39*Assumptions!$B$21/D41-Assumptions!$B$39</f>
        <v/>
      </c>
      <c r="G41">
        <f>MAX(0,Assumptions!$B$7*(Assumptions!$B$29+E41+F41+G40+H40+I40+Assumptions!$B$4/B41)-Assumptions!$B$30)</f>
        <v/>
      </c>
      <c r="H41">
        <f>Assumptions!$B$23/MIN(Assumptions!$B$24/(Assumptions!$B$29+E41+F41+G41+I40),B41*(1-Assumptions!$B$25))</f>
        <v/>
      </c>
      <c r="I41">
        <f>Assumptions!$B$26/MIN(Assumptions!$B$27/(Assumptions!$B$29+E41+F41+G41+H41),B41*(1-Assumptions!$B$28))</f>
        <v/>
      </c>
      <c r="J41">
        <f>Assumptions!$B$29+E41+F41+G41+H41+I41</f>
        <v/>
      </c>
      <c r="K41">
        <f>J41+Assumptions!$B$4/B41</f>
        <v/>
      </c>
      <c r="L41">
        <f>B41</f>
        <v/>
      </c>
    </row>
    <row r="42">
      <c r="A42" t="inlineStr">
        <is>
          <t>Base iter 38</t>
        </is>
      </c>
      <c r="B42">
        <f>Assumptions!$B$3/J41</f>
        <v/>
      </c>
      <c r="C42">
        <f>IF(B42&lt;Assumptions!$B$20,Assumptions!$B$20*(Assumptions!$B$29+Assumptions!$B$4/Assumptions!$B$20)/(Assumptions!$B$29+Assumptions!$B$4/B42),Assumptions!$B$20)</f>
        <v/>
      </c>
      <c r="D42">
        <f>IF(B42&lt;Assumptions!$B$21,Assumptions!$B$21*(Assumptions!$B$29+Assumptions!$B$4/Assumptions!$B$21)/(Assumptions!$B$29+Assumptions!$B$4/B42),Assumptions!$B$21)</f>
        <v/>
      </c>
      <c r="E42">
        <f>Assumptions!$B$37*Assumptions!$B$22/C42-Assumptions!$B$38</f>
        <v/>
      </c>
      <c r="F42">
        <f>Assumptions!$B$39*Assumptions!$B$21/D42-Assumptions!$B$39</f>
        <v/>
      </c>
      <c r="G42">
        <f>MAX(0,Assumptions!$B$7*(Assumptions!$B$29+E42+F42+G41+H41+I41+Assumptions!$B$4/B42)-Assumptions!$B$30)</f>
        <v/>
      </c>
      <c r="H42">
        <f>Assumptions!$B$23/MIN(Assumptions!$B$24/(Assumptions!$B$29+E42+F42+G42+I41),B42*(1-Assumptions!$B$25))</f>
        <v/>
      </c>
      <c r="I42">
        <f>Assumptions!$B$26/MIN(Assumptions!$B$27/(Assumptions!$B$29+E42+F42+G42+H42),B42*(1-Assumptions!$B$28))</f>
        <v/>
      </c>
      <c r="J42">
        <f>Assumptions!$B$29+E42+F42+G42+H42+I42</f>
        <v/>
      </c>
      <c r="K42">
        <f>J42+Assumptions!$B$4/B42</f>
        <v/>
      </c>
      <c r="L42">
        <f>B42</f>
        <v/>
      </c>
    </row>
    <row r="43">
      <c r="A43" t="inlineStr">
        <is>
          <t>Base iter 39</t>
        </is>
      </c>
      <c r="B43">
        <f>Assumptions!$B$3/J42</f>
        <v/>
      </c>
      <c r="C43">
        <f>IF(B43&lt;Assumptions!$B$20,Assumptions!$B$20*(Assumptions!$B$29+Assumptions!$B$4/Assumptions!$B$20)/(Assumptions!$B$29+Assumptions!$B$4/B43),Assumptions!$B$20)</f>
        <v/>
      </c>
      <c r="D43">
        <f>IF(B43&lt;Assumptions!$B$21,Assumptions!$B$21*(Assumptions!$B$29+Assumptions!$B$4/Assumptions!$B$21)/(Assumptions!$B$29+Assumptions!$B$4/B43),Assumptions!$B$21)</f>
        <v/>
      </c>
      <c r="E43">
        <f>Assumptions!$B$37*Assumptions!$B$22/C43-Assumptions!$B$38</f>
        <v/>
      </c>
      <c r="F43">
        <f>Assumptions!$B$39*Assumptions!$B$21/D43-Assumptions!$B$39</f>
        <v/>
      </c>
      <c r="G43">
        <f>MAX(0,Assumptions!$B$7*(Assumptions!$B$29+E43+F43+G42+H42+I42+Assumptions!$B$4/B43)-Assumptions!$B$30)</f>
        <v/>
      </c>
      <c r="H43">
        <f>Assumptions!$B$23/MIN(Assumptions!$B$24/(Assumptions!$B$29+E43+F43+G43+I42),B43*(1-Assumptions!$B$25))</f>
        <v/>
      </c>
      <c r="I43">
        <f>Assumptions!$B$26/MIN(Assumptions!$B$27/(Assumptions!$B$29+E43+F43+G43+H43),B43*(1-Assumptions!$B$28))</f>
        <v/>
      </c>
      <c r="J43">
        <f>Assumptions!$B$29+E43+F43+G43+H43+I43</f>
        <v/>
      </c>
      <c r="K43">
        <f>J43+Assumptions!$B$4/B43</f>
        <v/>
      </c>
      <c r="L43">
        <f>B43</f>
        <v/>
      </c>
    </row>
    <row r="44">
      <c r="A44" t="inlineStr">
        <is>
          <t>Base iter 40</t>
        </is>
      </c>
      <c r="B44">
        <f>Assumptions!$B$3/J43</f>
        <v/>
      </c>
      <c r="C44">
        <f>IF(B44&lt;Assumptions!$B$20,Assumptions!$B$20*(Assumptions!$B$29+Assumptions!$B$4/Assumptions!$B$20)/(Assumptions!$B$29+Assumptions!$B$4/B44),Assumptions!$B$20)</f>
        <v/>
      </c>
      <c r="D44">
        <f>IF(B44&lt;Assumptions!$B$21,Assumptions!$B$21*(Assumptions!$B$29+Assumptions!$B$4/Assumptions!$B$21)/(Assumptions!$B$29+Assumptions!$B$4/B44),Assumptions!$B$21)</f>
        <v/>
      </c>
      <c r="E44">
        <f>Assumptions!$B$37*Assumptions!$B$22/C44-Assumptions!$B$38</f>
        <v/>
      </c>
      <c r="F44">
        <f>Assumptions!$B$39*Assumptions!$B$21/D44-Assumptions!$B$39</f>
        <v/>
      </c>
      <c r="G44">
        <f>MAX(0,Assumptions!$B$7*(Assumptions!$B$29+E44+F44+G43+H43+I43+Assumptions!$B$4/B44)-Assumptions!$B$30)</f>
        <v/>
      </c>
      <c r="H44">
        <f>Assumptions!$B$23/MIN(Assumptions!$B$24/(Assumptions!$B$29+E44+F44+G44+I43),B44*(1-Assumptions!$B$25))</f>
        <v/>
      </c>
      <c r="I44">
        <f>Assumptions!$B$26/MIN(Assumptions!$B$27/(Assumptions!$B$29+E44+F44+G44+H44),B44*(1-Assumptions!$B$28))</f>
        <v/>
      </c>
      <c r="J44">
        <f>Assumptions!$B$29+E44+F44+G44+H44+I44</f>
        <v/>
      </c>
      <c r="K44">
        <f>J44+Assumptions!$B$4/B44</f>
        <v/>
      </c>
      <c r="L44">
        <f>B44</f>
        <v/>
      </c>
    </row>
    <row r="45">
      <c r="A45" t="inlineStr">
        <is>
          <t>Base iter 41</t>
        </is>
      </c>
      <c r="B45">
        <f>Assumptions!$B$3/J44</f>
        <v/>
      </c>
      <c r="C45">
        <f>IF(B45&lt;Assumptions!$B$20,Assumptions!$B$20*(Assumptions!$B$29+Assumptions!$B$4/Assumptions!$B$20)/(Assumptions!$B$29+Assumptions!$B$4/B45),Assumptions!$B$20)</f>
        <v/>
      </c>
      <c r="D45">
        <f>IF(B45&lt;Assumptions!$B$21,Assumptions!$B$21*(Assumptions!$B$29+Assumptions!$B$4/Assumptions!$B$21)/(Assumptions!$B$29+Assumptions!$B$4/B45),Assumptions!$B$21)</f>
        <v/>
      </c>
      <c r="E45">
        <f>Assumptions!$B$37*Assumptions!$B$22/C45-Assumptions!$B$38</f>
        <v/>
      </c>
      <c r="F45">
        <f>Assumptions!$B$39*Assumptions!$B$21/D45-Assumptions!$B$39</f>
        <v/>
      </c>
      <c r="G45">
        <f>MAX(0,Assumptions!$B$7*(Assumptions!$B$29+E45+F45+G44+H44+I44+Assumptions!$B$4/B45)-Assumptions!$B$30)</f>
        <v/>
      </c>
      <c r="H45">
        <f>Assumptions!$B$23/MIN(Assumptions!$B$24/(Assumptions!$B$29+E45+F45+G45+I44),B45*(1-Assumptions!$B$25))</f>
        <v/>
      </c>
      <c r="I45">
        <f>Assumptions!$B$26/MIN(Assumptions!$B$27/(Assumptions!$B$29+E45+F45+G45+H45),B45*(1-Assumptions!$B$28))</f>
        <v/>
      </c>
      <c r="J45">
        <f>Assumptions!$B$29+E45+F45+G45+H45+I45</f>
        <v/>
      </c>
      <c r="K45">
        <f>J45+Assumptions!$B$4/B45</f>
        <v/>
      </c>
      <c r="L45">
        <f>B45</f>
        <v/>
      </c>
    </row>
    <row r="46">
      <c r="A46" t="inlineStr">
        <is>
          <t>Base iter 42</t>
        </is>
      </c>
      <c r="B46">
        <f>Assumptions!$B$3/J45</f>
        <v/>
      </c>
      <c r="C46">
        <f>IF(B46&lt;Assumptions!$B$20,Assumptions!$B$20*(Assumptions!$B$29+Assumptions!$B$4/Assumptions!$B$20)/(Assumptions!$B$29+Assumptions!$B$4/B46),Assumptions!$B$20)</f>
        <v/>
      </c>
      <c r="D46">
        <f>IF(B46&lt;Assumptions!$B$21,Assumptions!$B$21*(Assumptions!$B$29+Assumptions!$B$4/Assumptions!$B$21)/(Assumptions!$B$29+Assumptions!$B$4/B46),Assumptions!$B$21)</f>
        <v/>
      </c>
      <c r="E46">
        <f>Assumptions!$B$37*Assumptions!$B$22/C46-Assumptions!$B$38</f>
        <v/>
      </c>
      <c r="F46">
        <f>Assumptions!$B$39*Assumptions!$B$21/D46-Assumptions!$B$39</f>
        <v/>
      </c>
      <c r="G46">
        <f>MAX(0,Assumptions!$B$7*(Assumptions!$B$29+E46+F46+G45+H45+I45+Assumptions!$B$4/B46)-Assumptions!$B$30)</f>
        <v/>
      </c>
      <c r="H46">
        <f>Assumptions!$B$23/MIN(Assumptions!$B$24/(Assumptions!$B$29+E46+F46+G46+I45),B46*(1-Assumptions!$B$25))</f>
        <v/>
      </c>
      <c r="I46">
        <f>Assumptions!$B$26/MIN(Assumptions!$B$27/(Assumptions!$B$29+E46+F46+G46+H46),B46*(1-Assumptions!$B$28))</f>
        <v/>
      </c>
      <c r="J46">
        <f>Assumptions!$B$29+E46+F46+G46+H46+I46</f>
        <v/>
      </c>
      <c r="K46">
        <f>J46+Assumptions!$B$4/B46</f>
        <v/>
      </c>
      <c r="L46">
        <f>B46</f>
        <v/>
      </c>
    </row>
    <row r="47">
      <c r="A47" t="inlineStr">
        <is>
          <t>Base iter 43</t>
        </is>
      </c>
      <c r="B47">
        <f>Assumptions!$B$3/J46</f>
        <v/>
      </c>
      <c r="C47">
        <f>IF(B47&lt;Assumptions!$B$20,Assumptions!$B$20*(Assumptions!$B$29+Assumptions!$B$4/Assumptions!$B$20)/(Assumptions!$B$29+Assumptions!$B$4/B47),Assumptions!$B$20)</f>
        <v/>
      </c>
      <c r="D47">
        <f>IF(B47&lt;Assumptions!$B$21,Assumptions!$B$21*(Assumptions!$B$29+Assumptions!$B$4/Assumptions!$B$21)/(Assumptions!$B$29+Assumptions!$B$4/B47),Assumptions!$B$21)</f>
        <v/>
      </c>
      <c r="E47">
        <f>Assumptions!$B$37*Assumptions!$B$22/C47-Assumptions!$B$38</f>
        <v/>
      </c>
      <c r="F47">
        <f>Assumptions!$B$39*Assumptions!$B$21/D47-Assumptions!$B$39</f>
        <v/>
      </c>
      <c r="G47">
        <f>MAX(0,Assumptions!$B$7*(Assumptions!$B$29+E47+F47+G46+H46+I46+Assumptions!$B$4/B47)-Assumptions!$B$30)</f>
        <v/>
      </c>
      <c r="H47">
        <f>Assumptions!$B$23/MIN(Assumptions!$B$24/(Assumptions!$B$29+E47+F47+G47+I46),B47*(1-Assumptions!$B$25))</f>
        <v/>
      </c>
      <c r="I47">
        <f>Assumptions!$B$26/MIN(Assumptions!$B$27/(Assumptions!$B$29+E47+F47+G47+H47),B47*(1-Assumptions!$B$28))</f>
        <v/>
      </c>
      <c r="J47">
        <f>Assumptions!$B$29+E47+F47+G47+H47+I47</f>
        <v/>
      </c>
      <c r="K47">
        <f>J47+Assumptions!$B$4/B47</f>
        <v/>
      </c>
      <c r="L47">
        <f>B47</f>
        <v/>
      </c>
    </row>
    <row r="48">
      <c r="A48" t="inlineStr">
        <is>
          <t>Base iter 44</t>
        </is>
      </c>
      <c r="B48">
        <f>Assumptions!$B$3/J47</f>
        <v/>
      </c>
      <c r="C48">
        <f>IF(B48&lt;Assumptions!$B$20,Assumptions!$B$20*(Assumptions!$B$29+Assumptions!$B$4/Assumptions!$B$20)/(Assumptions!$B$29+Assumptions!$B$4/B48),Assumptions!$B$20)</f>
        <v/>
      </c>
      <c r="D48">
        <f>IF(B48&lt;Assumptions!$B$21,Assumptions!$B$21*(Assumptions!$B$29+Assumptions!$B$4/Assumptions!$B$21)/(Assumptions!$B$29+Assumptions!$B$4/B48),Assumptions!$B$21)</f>
        <v/>
      </c>
      <c r="E48">
        <f>Assumptions!$B$37*Assumptions!$B$22/C48-Assumptions!$B$38</f>
        <v/>
      </c>
      <c r="F48">
        <f>Assumptions!$B$39*Assumptions!$B$21/D48-Assumptions!$B$39</f>
        <v/>
      </c>
      <c r="G48">
        <f>MAX(0,Assumptions!$B$7*(Assumptions!$B$29+E48+F48+G47+H47+I47+Assumptions!$B$4/B48)-Assumptions!$B$30)</f>
        <v/>
      </c>
      <c r="H48">
        <f>Assumptions!$B$23/MIN(Assumptions!$B$24/(Assumptions!$B$29+E48+F48+G48+I47),B48*(1-Assumptions!$B$25))</f>
        <v/>
      </c>
      <c r="I48">
        <f>Assumptions!$B$26/MIN(Assumptions!$B$27/(Assumptions!$B$29+E48+F48+G48+H48),B48*(1-Assumptions!$B$28))</f>
        <v/>
      </c>
      <c r="J48">
        <f>Assumptions!$B$29+E48+F48+G48+H48+I48</f>
        <v/>
      </c>
      <c r="K48">
        <f>J48+Assumptions!$B$4/B48</f>
        <v/>
      </c>
      <c r="L48">
        <f>B48</f>
        <v/>
      </c>
    </row>
    <row r="49">
      <c r="A49" t="inlineStr">
        <is>
          <t>Base iter 45</t>
        </is>
      </c>
      <c r="B49">
        <f>Assumptions!$B$3/J48</f>
        <v/>
      </c>
      <c r="C49">
        <f>IF(B49&lt;Assumptions!$B$20,Assumptions!$B$20*(Assumptions!$B$29+Assumptions!$B$4/Assumptions!$B$20)/(Assumptions!$B$29+Assumptions!$B$4/B49),Assumptions!$B$20)</f>
        <v/>
      </c>
      <c r="D49">
        <f>IF(B49&lt;Assumptions!$B$21,Assumptions!$B$21*(Assumptions!$B$29+Assumptions!$B$4/Assumptions!$B$21)/(Assumptions!$B$29+Assumptions!$B$4/B49),Assumptions!$B$21)</f>
        <v/>
      </c>
      <c r="E49">
        <f>Assumptions!$B$37*Assumptions!$B$22/C49-Assumptions!$B$38</f>
        <v/>
      </c>
      <c r="F49">
        <f>Assumptions!$B$39*Assumptions!$B$21/D49-Assumptions!$B$39</f>
        <v/>
      </c>
      <c r="G49">
        <f>MAX(0,Assumptions!$B$7*(Assumptions!$B$29+E49+F49+G48+H48+I48+Assumptions!$B$4/B49)-Assumptions!$B$30)</f>
        <v/>
      </c>
      <c r="H49">
        <f>Assumptions!$B$23/MIN(Assumptions!$B$24/(Assumptions!$B$29+E49+F49+G49+I48),B49*(1-Assumptions!$B$25))</f>
        <v/>
      </c>
      <c r="I49">
        <f>Assumptions!$B$26/MIN(Assumptions!$B$27/(Assumptions!$B$29+E49+F49+G49+H49),B49*(1-Assumptions!$B$28))</f>
        <v/>
      </c>
      <c r="J49">
        <f>Assumptions!$B$29+E49+F49+G49+H49+I49</f>
        <v/>
      </c>
      <c r="K49">
        <f>J49+Assumptions!$B$4/B49</f>
        <v/>
      </c>
      <c r="L49">
        <f>B49</f>
        <v/>
      </c>
    </row>
    <row r="50">
      <c r="A50" t="inlineStr">
        <is>
          <t>Base iter 46</t>
        </is>
      </c>
      <c r="B50">
        <f>Assumptions!$B$3/J49</f>
        <v/>
      </c>
      <c r="C50">
        <f>IF(B50&lt;Assumptions!$B$20,Assumptions!$B$20*(Assumptions!$B$29+Assumptions!$B$4/Assumptions!$B$20)/(Assumptions!$B$29+Assumptions!$B$4/B50),Assumptions!$B$20)</f>
        <v/>
      </c>
      <c r="D50">
        <f>IF(B50&lt;Assumptions!$B$21,Assumptions!$B$21*(Assumptions!$B$29+Assumptions!$B$4/Assumptions!$B$21)/(Assumptions!$B$29+Assumptions!$B$4/B50),Assumptions!$B$21)</f>
        <v/>
      </c>
      <c r="E50">
        <f>Assumptions!$B$37*Assumptions!$B$22/C50-Assumptions!$B$38</f>
        <v/>
      </c>
      <c r="F50">
        <f>Assumptions!$B$39*Assumptions!$B$21/D50-Assumptions!$B$39</f>
        <v/>
      </c>
      <c r="G50">
        <f>MAX(0,Assumptions!$B$7*(Assumptions!$B$29+E50+F50+G49+H49+I49+Assumptions!$B$4/B50)-Assumptions!$B$30)</f>
        <v/>
      </c>
      <c r="H50">
        <f>Assumptions!$B$23/MIN(Assumptions!$B$24/(Assumptions!$B$29+E50+F50+G50+I49),B50*(1-Assumptions!$B$25))</f>
        <v/>
      </c>
      <c r="I50">
        <f>Assumptions!$B$26/MIN(Assumptions!$B$27/(Assumptions!$B$29+E50+F50+G50+H50),B50*(1-Assumptions!$B$28))</f>
        <v/>
      </c>
      <c r="J50">
        <f>Assumptions!$B$29+E50+F50+G50+H50+I50</f>
        <v/>
      </c>
      <c r="K50">
        <f>J50+Assumptions!$B$4/B50</f>
        <v/>
      </c>
      <c r="L50">
        <f>B50</f>
        <v/>
      </c>
    </row>
    <row r="51">
      <c r="A51" t="inlineStr">
        <is>
          <t>Base iter 47</t>
        </is>
      </c>
      <c r="B51">
        <f>Assumptions!$B$3/J50</f>
        <v/>
      </c>
      <c r="C51">
        <f>IF(B51&lt;Assumptions!$B$20,Assumptions!$B$20*(Assumptions!$B$29+Assumptions!$B$4/Assumptions!$B$20)/(Assumptions!$B$29+Assumptions!$B$4/B51),Assumptions!$B$20)</f>
        <v/>
      </c>
      <c r="D51">
        <f>IF(B51&lt;Assumptions!$B$21,Assumptions!$B$21*(Assumptions!$B$29+Assumptions!$B$4/Assumptions!$B$21)/(Assumptions!$B$29+Assumptions!$B$4/B51),Assumptions!$B$21)</f>
        <v/>
      </c>
      <c r="E51">
        <f>Assumptions!$B$37*Assumptions!$B$22/C51-Assumptions!$B$38</f>
        <v/>
      </c>
      <c r="F51">
        <f>Assumptions!$B$39*Assumptions!$B$21/D51-Assumptions!$B$39</f>
        <v/>
      </c>
      <c r="G51">
        <f>MAX(0,Assumptions!$B$7*(Assumptions!$B$29+E51+F51+G50+H50+I50+Assumptions!$B$4/B51)-Assumptions!$B$30)</f>
        <v/>
      </c>
      <c r="H51">
        <f>Assumptions!$B$23/MIN(Assumptions!$B$24/(Assumptions!$B$29+E51+F51+G51+I50),B51*(1-Assumptions!$B$25))</f>
        <v/>
      </c>
      <c r="I51">
        <f>Assumptions!$B$26/MIN(Assumptions!$B$27/(Assumptions!$B$29+E51+F51+G51+H51),B51*(1-Assumptions!$B$28))</f>
        <v/>
      </c>
      <c r="J51">
        <f>Assumptions!$B$29+E51+F51+G51+H51+I51</f>
        <v/>
      </c>
      <c r="K51">
        <f>J51+Assumptions!$B$4/B51</f>
        <v/>
      </c>
      <c r="L51">
        <f>B51</f>
        <v/>
      </c>
    </row>
    <row r="52">
      <c r="A52" t="inlineStr">
        <is>
          <t>Base iter 48</t>
        </is>
      </c>
      <c r="B52">
        <f>Assumptions!$B$3/J51</f>
        <v/>
      </c>
      <c r="C52">
        <f>IF(B52&lt;Assumptions!$B$20,Assumptions!$B$20*(Assumptions!$B$29+Assumptions!$B$4/Assumptions!$B$20)/(Assumptions!$B$29+Assumptions!$B$4/B52),Assumptions!$B$20)</f>
        <v/>
      </c>
      <c r="D52">
        <f>IF(B52&lt;Assumptions!$B$21,Assumptions!$B$21*(Assumptions!$B$29+Assumptions!$B$4/Assumptions!$B$21)/(Assumptions!$B$29+Assumptions!$B$4/B52),Assumptions!$B$21)</f>
        <v/>
      </c>
      <c r="E52">
        <f>Assumptions!$B$37*Assumptions!$B$22/C52-Assumptions!$B$38</f>
        <v/>
      </c>
      <c r="F52">
        <f>Assumptions!$B$39*Assumptions!$B$21/D52-Assumptions!$B$39</f>
        <v/>
      </c>
      <c r="G52">
        <f>MAX(0,Assumptions!$B$7*(Assumptions!$B$29+E52+F52+G51+H51+I51+Assumptions!$B$4/B52)-Assumptions!$B$30)</f>
        <v/>
      </c>
      <c r="H52">
        <f>Assumptions!$B$23/MIN(Assumptions!$B$24/(Assumptions!$B$29+E52+F52+G52+I51),B52*(1-Assumptions!$B$25))</f>
        <v/>
      </c>
      <c r="I52">
        <f>Assumptions!$B$26/MIN(Assumptions!$B$27/(Assumptions!$B$29+E52+F52+G52+H52),B52*(1-Assumptions!$B$28))</f>
        <v/>
      </c>
      <c r="J52">
        <f>Assumptions!$B$29+E52+F52+G52+H52+I52</f>
        <v/>
      </c>
      <c r="K52">
        <f>J52+Assumptions!$B$4/B52</f>
        <v/>
      </c>
      <c r="L52">
        <f>B52</f>
        <v/>
      </c>
    </row>
    <row r="53">
      <c r="A53" t="inlineStr">
        <is>
          <t>Base iter 49</t>
        </is>
      </c>
      <c r="B53">
        <f>Assumptions!$B$3/J52</f>
        <v/>
      </c>
      <c r="C53">
        <f>IF(B53&lt;Assumptions!$B$20,Assumptions!$B$20*(Assumptions!$B$29+Assumptions!$B$4/Assumptions!$B$20)/(Assumptions!$B$29+Assumptions!$B$4/B53),Assumptions!$B$20)</f>
        <v/>
      </c>
      <c r="D53">
        <f>IF(B53&lt;Assumptions!$B$21,Assumptions!$B$21*(Assumptions!$B$29+Assumptions!$B$4/Assumptions!$B$21)/(Assumptions!$B$29+Assumptions!$B$4/B53),Assumptions!$B$21)</f>
        <v/>
      </c>
      <c r="E53">
        <f>Assumptions!$B$37*Assumptions!$B$22/C53-Assumptions!$B$38</f>
        <v/>
      </c>
      <c r="F53">
        <f>Assumptions!$B$39*Assumptions!$B$21/D53-Assumptions!$B$39</f>
        <v/>
      </c>
      <c r="G53">
        <f>MAX(0,Assumptions!$B$7*(Assumptions!$B$29+E53+F53+G52+H52+I52+Assumptions!$B$4/B53)-Assumptions!$B$30)</f>
        <v/>
      </c>
      <c r="H53">
        <f>Assumptions!$B$23/MIN(Assumptions!$B$24/(Assumptions!$B$29+E53+F53+G53+I52),B53*(1-Assumptions!$B$25))</f>
        <v/>
      </c>
      <c r="I53">
        <f>Assumptions!$B$26/MIN(Assumptions!$B$27/(Assumptions!$B$29+E53+F53+G53+H53),B53*(1-Assumptions!$B$28))</f>
        <v/>
      </c>
      <c r="J53">
        <f>Assumptions!$B$29+E53+F53+G53+H53+I53</f>
        <v/>
      </c>
      <c r="K53">
        <f>J53+Assumptions!$B$4/B53</f>
        <v/>
      </c>
      <c r="L53">
        <f>B53</f>
        <v/>
      </c>
    </row>
    <row r="54">
      <c r="A54" t="inlineStr">
        <is>
          <t>Base iter 50</t>
        </is>
      </c>
      <c r="B54">
        <f>Assumptions!$B$3/J53</f>
        <v/>
      </c>
      <c r="C54">
        <f>IF(B54&lt;Assumptions!$B$20,Assumptions!$B$20*(Assumptions!$B$29+Assumptions!$B$4/Assumptions!$B$20)/(Assumptions!$B$29+Assumptions!$B$4/B54),Assumptions!$B$20)</f>
        <v/>
      </c>
      <c r="D54">
        <f>IF(B54&lt;Assumptions!$B$21,Assumptions!$B$21*(Assumptions!$B$29+Assumptions!$B$4/Assumptions!$B$21)/(Assumptions!$B$29+Assumptions!$B$4/B54),Assumptions!$B$21)</f>
        <v/>
      </c>
      <c r="E54">
        <f>Assumptions!$B$37*Assumptions!$B$22/C54-Assumptions!$B$38</f>
        <v/>
      </c>
      <c r="F54">
        <f>Assumptions!$B$39*Assumptions!$B$21/D54-Assumptions!$B$39</f>
        <v/>
      </c>
      <c r="G54">
        <f>MAX(0,Assumptions!$B$7*(Assumptions!$B$29+E54+F54+G53+H53+I53+Assumptions!$B$4/B54)-Assumptions!$B$30)</f>
        <v/>
      </c>
      <c r="H54">
        <f>Assumptions!$B$23/MIN(Assumptions!$B$24/(Assumptions!$B$29+E54+F54+G54+I53),B54*(1-Assumptions!$B$25))</f>
        <v/>
      </c>
      <c r="I54">
        <f>Assumptions!$B$26/MIN(Assumptions!$B$27/(Assumptions!$B$29+E54+F54+G54+H54),B54*(1-Assumptions!$B$28))</f>
        <v/>
      </c>
      <c r="J54">
        <f>Assumptions!$B$29+E54+F54+G54+H54+I54</f>
        <v/>
      </c>
      <c r="K54">
        <f>J54+Assumptions!$B$4/B54</f>
        <v/>
      </c>
      <c r="L54">
        <f>B54</f>
        <v/>
      </c>
    </row>
    <row r="55">
      <c r="A55" t="inlineStr">
        <is>
          <t>Base iter 51</t>
        </is>
      </c>
      <c r="B55">
        <f>Assumptions!$B$3/J54</f>
        <v/>
      </c>
      <c r="C55">
        <f>IF(B55&lt;Assumptions!$B$20,Assumptions!$B$20*(Assumptions!$B$29+Assumptions!$B$4/Assumptions!$B$20)/(Assumptions!$B$29+Assumptions!$B$4/B55),Assumptions!$B$20)</f>
        <v/>
      </c>
      <c r="D55">
        <f>IF(B55&lt;Assumptions!$B$21,Assumptions!$B$21*(Assumptions!$B$29+Assumptions!$B$4/Assumptions!$B$21)/(Assumptions!$B$29+Assumptions!$B$4/B55),Assumptions!$B$21)</f>
        <v/>
      </c>
      <c r="E55">
        <f>Assumptions!$B$37*Assumptions!$B$22/C55-Assumptions!$B$38</f>
        <v/>
      </c>
      <c r="F55">
        <f>Assumptions!$B$39*Assumptions!$B$21/D55-Assumptions!$B$39</f>
        <v/>
      </c>
      <c r="G55">
        <f>MAX(0,Assumptions!$B$7*(Assumptions!$B$29+E55+F55+G54+H54+I54+Assumptions!$B$4/B55)-Assumptions!$B$30)</f>
        <v/>
      </c>
      <c r="H55">
        <f>Assumptions!$B$23/MIN(Assumptions!$B$24/(Assumptions!$B$29+E55+F55+G55+I54),B55*(1-Assumptions!$B$25))</f>
        <v/>
      </c>
      <c r="I55">
        <f>Assumptions!$B$26/MIN(Assumptions!$B$27/(Assumptions!$B$29+E55+F55+G55+H55),B55*(1-Assumptions!$B$28))</f>
        <v/>
      </c>
      <c r="J55">
        <f>Assumptions!$B$29+E55+F55+G55+H55+I55</f>
        <v/>
      </c>
      <c r="K55">
        <f>J55+Assumptions!$B$4/B55</f>
        <v/>
      </c>
      <c r="L55">
        <f>B55</f>
        <v/>
      </c>
    </row>
    <row r="56">
      <c r="A56" t="inlineStr">
        <is>
          <t>Base iter 52</t>
        </is>
      </c>
      <c r="B56">
        <f>Assumptions!$B$3/J55</f>
        <v/>
      </c>
      <c r="C56">
        <f>IF(B56&lt;Assumptions!$B$20,Assumptions!$B$20*(Assumptions!$B$29+Assumptions!$B$4/Assumptions!$B$20)/(Assumptions!$B$29+Assumptions!$B$4/B56),Assumptions!$B$20)</f>
        <v/>
      </c>
      <c r="D56">
        <f>IF(B56&lt;Assumptions!$B$21,Assumptions!$B$21*(Assumptions!$B$29+Assumptions!$B$4/Assumptions!$B$21)/(Assumptions!$B$29+Assumptions!$B$4/B56),Assumptions!$B$21)</f>
        <v/>
      </c>
      <c r="E56">
        <f>Assumptions!$B$37*Assumptions!$B$22/C56-Assumptions!$B$38</f>
        <v/>
      </c>
      <c r="F56">
        <f>Assumptions!$B$39*Assumptions!$B$21/D56-Assumptions!$B$39</f>
        <v/>
      </c>
      <c r="G56">
        <f>MAX(0,Assumptions!$B$7*(Assumptions!$B$29+E56+F56+G55+H55+I55+Assumptions!$B$4/B56)-Assumptions!$B$30)</f>
        <v/>
      </c>
      <c r="H56">
        <f>Assumptions!$B$23/MIN(Assumptions!$B$24/(Assumptions!$B$29+E56+F56+G56+I55),B56*(1-Assumptions!$B$25))</f>
        <v/>
      </c>
      <c r="I56">
        <f>Assumptions!$B$26/MIN(Assumptions!$B$27/(Assumptions!$B$29+E56+F56+G56+H56),B56*(1-Assumptions!$B$28))</f>
        <v/>
      </c>
      <c r="J56">
        <f>Assumptions!$B$29+E56+F56+G56+H56+I56</f>
        <v/>
      </c>
      <c r="K56">
        <f>J56+Assumptions!$B$4/B56</f>
        <v/>
      </c>
      <c r="L56">
        <f>B56</f>
        <v/>
      </c>
    </row>
    <row r="57">
      <c r="A57" t="inlineStr">
        <is>
          <t>Base iter 53</t>
        </is>
      </c>
      <c r="B57">
        <f>Assumptions!$B$3/J56</f>
        <v/>
      </c>
      <c r="C57">
        <f>IF(B57&lt;Assumptions!$B$20,Assumptions!$B$20*(Assumptions!$B$29+Assumptions!$B$4/Assumptions!$B$20)/(Assumptions!$B$29+Assumptions!$B$4/B57),Assumptions!$B$20)</f>
        <v/>
      </c>
      <c r="D57">
        <f>IF(B57&lt;Assumptions!$B$21,Assumptions!$B$21*(Assumptions!$B$29+Assumptions!$B$4/Assumptions!$B$21)/(Assumptions!$B$29+Assumptions!$B$4/B57),Assumptions!$B$21)</f>
        <v/>
      </c>
      <c r="E57">
        <f>Assumptions!$B$37*Assumptions!$B$22/C57-Assumptions!$B$38</f>
        <v/>
      </c>
      <c r="F57">
        <f>Assumptions!$B$39*Assumptions!$B$21/D57-Assumptions!$B$39</f>
        <v/>
      </c>
      <c r="G57">
        <f>MAX(0,Assumptions!$B$7*(Assumptions!$B$29+E57+F57+G56+H56+I56+Assumptions!$B$4/B57)-Assumptions!$B$30)</f>
        <v/>
      </c>
      <c r="H57">
        <f>Assumptions!$B$23/MIN(Assumptions!$B$24/(Assumptions!$B$29+E57+F57+G57+I56),B57*(1-Assumptions!$B$25))</f>
        <v/>
      </c>
      <c r="I57">
        <f>Assumptions!$B$26/MIN(Assumptions!$B$27/(Assumptions!$B$29+E57+F57+G57+H57),B57*(1-Assumptions!$B$28))</f>
        <v/>
      </c>
      <c r="J57">
        <f>Assumptions!$B$29+E57+F57+G57+H57+I57</f>
        <v/>
      </c>
      <c r="K57">
        <f>J57+Assumptions!$B$4/B57</f>
        <v/>
      </c>
      <c r="L57">
        <f>B57</f>
        <v/>
      </c>
    </row>
    <row r="58">
      <c r="A58" t="inlineStr">
        <is>
          <t>Base iter 54</t>
        </is>
      </c>
      <c r="B58">
        <f>Assumptions!$B$3/J57</f>
        <v/>
      </c>
      <c r="C58">
        <f>IF(B58&lt;Assumptions!$B$20,Assumptions!$B$20*(Assumptions!$B$29+Assumptions!$B$4/Assumptions!$B$20)/(Assumptions!$B$29+Assumptions!$B$4/B58),Assumptions!$B$20)</f>
        <v/>
      </c>
      <c r="D58">
        <f>IF(B58&lt;Assumptions!$B$21,Assumptions!$B$21*(Assumptions!$B$29+Assumptions!$B$4/Assumptions!$B$21)/(Assumptions!$B$29+Assumptions!$B$4/B58),Assumptions!$B$21)</f>
        <v/>
      </c>
      <c r="E58">
        <f>Assumptions!$B$37*Assumptions!$B$22/C58-Assumptions!$B$38</f>
        <v/>
      </c>
      <c r="F58">
        <f>Assumptions!$B$39*Assumptions!$B$21/D58-Assumptions!$B$39</f>
        <v/>
      </c>
      <c r="G58">
        <f>MAX(0,Assumptions!$B$7*(Assumptions!$B$29+E58+F58+G57+H57+I57+Assumptions!$B$4/B58)-Assumptions!$B$30)</f>
        <v/>
      </c>
      <c r="H58">
        <f>Assumptions!$B$23/MIN(Assumptions!$B$24/(Assumptions!$B$29+E58+F58+G58+I57),B58*(1-Assumptions!$B$25))</f>
        <v/>
      </c>
      <c r="I58">
        <f>Assumptions!$B$26/MIN(Assumptions!$B$27/(Assumptions!$B$29+E58+F58+G58+H58),B58*(1-Assumptions!$B$28))</f>
        <v/>
      </c>
      <c r="J58">
        <f>Assumptions!$B$29+E58+F58+G58+H58+I58</f>
        <v/>
      </c>
      <c r="K58">
        <f>J58+Assumptions!$B$4/B58</f>
        <v/>
      </c>
      <c r="L58">
        <f>B58</f>
        <v/>
      </c>
    </row>
    <row r="59">
      <c r="A59" t="inlineStr">
        <is>
          <t>Base iter 55</t>
        </is>
      </c>
      <c r="B59">
        <f>Assumptions!$B$3/J58</f>
        <v/>
      </c>
      <c r="C59">
        <f>IF(B59&lt;Assumptions!$B$20,Assumptions!$B$20*(Assumptions!$B$29+Assumptions!$B$4/Assumptions!$B$20)/(Assumptions!$B$29+Assumptions!$B$4/B59),Assumptions!$B$20)</f>
        <v/>
      </c>
      <c r="D59">
        <f>IF(B59&lt;Assumptions!$B$21,Assumptions!$B$21*(Assumptions!$B$29+Assumptions!$B$4/Assumptions!$B$21)/(Assumptions!$B$29+Assumptions!$B$4/B59),Assumptions!$B$21)</f>
        <v/>
      </c>
      <c r="E59">
        <f>Assumptions!$B$37*Assumptions!$B$22/C59-Assumptions!$B$38</f>
        <v/>
      </c>
      <c r="F59">
        <f>Assumptions!$B$39*Assumptions!$B$21/D59-Assumptions!$B$39</f>
        <v/>
      </c>
      <c r="G59">
        <f>MAX(0,Assumptions!$B$7*(Assumptions!$B$29+E59+F59+G58+H58+I58+Assumptions!$B$4/B59)-Assumptions!$B$30)</f>
        <v/>
      </c>
      <c r="H59">
        <f>Assumptions!$B$23/MIN(Assumptions!$B$24/(Assumptions!$B$29+E59+F59+G59+I58),B59*(1-Assumptions!$B$25))</f>
        <v/>
      </c>
      <c r="I59">
        <f>Assumptions!$B$26/MIN(Assumptions!$B$27/(Assumptions!$B$29+E59+F59+G59+H59),B59*(1-Assumptions!$B$28))</f>
        <v/>
      </c>
      <c r="J59">
        <f>Assumptions!$B$29+E59+F59+G59+H59+I59</f>
        <v/>
      </c>
      <c r="K59">
        <f>J59+Assumptions!$B$4/B59</f>
        <v/>
      </c>
      <c r="L59">
        <f>B59</f>
        <v/>
      </c>
    </row>
    <row r="60">
      <c r="A60" t="inlineStr">
        <is>
          <t>Base iter 56</t>
        </is>
      </c>
      <c r="B60">
        <f>Assumptions!$B$3/J59</f>
        <v/>
      </c>
      <c r="C60">
        <f>IF(B60&lt;Assumptions!$B$20,Assumptions!$B$20*(Assumptions!$B$29+Assumptions!$B$4/Assumptions!$B$20)/(Assumptions!$B$29+Assumptions!$B$4/B60),Assumptions!$B$20)</f>
        <v/>
      </c>
      <c r="D60">
        <f>IF(B60&lt;Assumptions!$B$21,Assumptions!$B$21*(Assumptions!$B$29+Assumptions!$B$4/Assumptions!$B$21)/(Assumptions!$B$29+Assumptions!$B$4/B60),Assumptions!$B$21)</f>
        <v/>
      </c>
      <c r="E60">
        <f>Assumptions!$B$37*Assumptions!$B$22/C60-Assumptions!$B$38</f>
        <v/>
      </c>
      <c r="F60">
        <f>Assumptions!$B$39*Assumptions!$B$21/D60-Assumptions!$B$39</f>
        <v/>
      </c>
      <c r="G60">
        <f>MAX(0,Assumptions!$B$7*(Assumptions!$B$29+E60+F60+G59+H59+I59+Assumptions!$B$4/B60)-Assumptions!$B$30)</f>
        <v/>
      </c>
      <c r="H60">
        <f>Assumptions!$B$23/MIN(Assumptions!$B$24/(Assumptions!$B$29+E60+F60+G60+I59),B60*(1-Assumptions!$B$25))</f>
        <v/>
      </c>
      <c r="I60">
        <f>Assumptions!$B$26/MIN(Assumptions!$B$27/(Assumptions!$B$29+E60+F60+G60+H60),B60*(1-Assumptions!$B$28))</f>
        <v/>
      </c>
      <c r="J60">
        <f>Assumptions!$B$29+E60+F60+G60+H60+I60</f>
        <v/>
      </c>
      <c r="K60">
        <f>J60+Assumptions!$B$4/B60</f>
        <v/>
      </c>
      <c r="L60">
        <f>B60</f>
        <v/>
      </c>
    </row>
    <row r="61">
      <c r="A61" t="inlineStr">
        <is>
          <t>Base iter 57</t>
        </is>
      </c>
      <c r="B61">
        <f>Assumptions!$B$3/J60</f>
        <v/>
      </c>
      <c r="C61">
        <f>IF(B61&lt;Assumptions!$B$20,Assumptions!$B$20*(Assumptions!$B$29+Assumptions!$B$4/Assumptions!$B$20)/(Assumptions!$B$29+Assumptions!$B$4/B61),Assumptions!$B$20)</f>
        <v/>
      </c>
      <c r="D61">
        <f>IF(B61&lt;Assumptions!$B$21,Assumptions!$B$21*(Assumptions!$B$29+Assumptions!$B$4/Assumptions!$B$21)/(Assumptions!$B$29+Assumptions!$B$4/B61),Assumptions!$B$21)</f>
        <v/>
      </c>
      <c r="E61">
        <f>Assumptions!$B$37*Assumptions!$B$22/C61-Assumptions!$B$38</f>
        <v/>
      </c>
      <c r="F61">
        <f>Assumptions!$B$39*Assumptions!$B$21/D61-Assumptions!$B$39</f>
        <v/>
      </c>
      <c r="G61">
        <f>MAX(0,Assumptions!$B$7*(Assumptions!$B$29+E61+F61+G60+H60+I60+Assumptions!$B$4/B61)-Assumptions!$B$30)</f>
        <v/>
      </c>
      <c r="H61">
        <f>Assumptions!$B$23/MIN(Assumptions!$B$24/(Assumptions!$B$29+E61+F61+G61+I60),B61*(1-Assumptions!$B$25))</f>
        <v/>
      </c>
      <c r="I61">
        <f>Assumptions!$B$26/MIN(Assumptions!$B$27/(Assumptions!$B$29+E61+F61+G61+H61),B61*(1-Assumptions!$B$28))</f>
        <v/>
      </c>
      <c r="J61">
        <f>Assumptions!$B$29+E61+F61+G61+H61+I61</f>
        <v/>
      </c>
      <c r="K61">
        <f>J61+Assumptions!$B$4/B61</f>
        <v/>
      </c>
      <c r="L61">
        <f>B61</f>
        <v/>
      </c>
    </row>
    <row r="62">
      <c r="A62" t="inlineStr">
        <is>
          <t>Base iter 58</t>
        </is>
      </c>
      <c r="B62">
        <f>Assumptions!$B$3/J61</f>
        <v/>
      </c>
      <c r="C62">
        <f>IF(B62&lt;Assumptions!$B$20,Assumptions!$B$20*(Assumptions!$B$29+Assumptions!$B$4/Assumptions!$B$20)/(Assumptions!$B$29+Assumptions!$B$4/B62),Assumptions!$B$20)</f>
        <v/>
      </c>
      <c r="D62">
        <f>IF(B62&lt;Assumptions!$B$21,Assumptions!$B$21*(Assumptions!$B$29+Assumptions!$B$4/Assumptions!$B$21)/(Assumptions!$B$29+Assumptions!$B$4/B62),Assumptions!$B$21)</f>
        <v/>
      </c>
      <c r="E62">
        <f>Assumptions!$B$37*Assumptions!$B$22/C62-Assumptions!$B$38</f>
        <v/>
      </c>
      <c r="F62">
        <f>Assumptions!$B$39*Assumptions!$B$21/D62-Assumptions!$B$39</f>
        <v/>
      </c>
      <c r="G62">
        <f>MAX(0,Assumptions!$B$7*(Assumptions!$B$29+E62+F62+G61+H61+I61+Assumptions!$B$4/B62)-Assumptions!$B$30)</f>
        <v/>
      </c>
      <c r="H62">
        <f>Assumptions!$B$23/MIN(Assumptions!$B$24/(Assumptions!$B$29+E62+F62+G62+I61),B62*(1-Assumptions!$B$25))</f>
        <v/>
      </c>
      <c r="I62">
        <f>Assumptions!$B$26/MIN(Assumptions!$B$27/(Assumptions!$B$29+E62+F62+G62+H62),B62*(1-Assumptions!$B$28))</f>
        <v/>
      </c>
      <c r="J62">
        <f>Assumptions!$B$29+E62+F62+G62+H62+I62</f>
        <v/>
      </c>
      <c r="K62">
        <f>J62+Assumptions!$B$4/B62</f>
        <v/>
      </c>
      <c r="L62">
        <f>B62</f>
        <v/>
      </c>
    </row>
    <row r="63">
      <c r="A63" t="inlineStr">
        <is>
          <t>Base iter 59</t>
        </is>
      </c>
      <c r="B63">
        <f>Assumptions!$B$3/J62</f>
        <v/>
      </c>
      <c r="C63">
        <f>IF(B63&lt;Assumptions!$B$20,Assumptions!$B$20*(Assumptions!$B$29+Assumptions!$B$4/Assumptions!$B$20)/(Assumptions!$B$29+Assumptions!$B$4/B63),Assumptions!$B$20)</f>
        <v/>
      </c>
      <c r="D63">
        <f>IF(B63&lt;Assumptions!$B$21,Assumptions!$B$21*(Assumptions!$B$29+Assumptions!$B$4/Assumptions!$B$21)/(Assumptions!$B$29+Assumptions!$B$4/B63),Assumptions!$B$21)</f>
        <v/>
      </c>
      <c r="E63">
        <f>Assumptions!$B$37*Assumptions!$B$22/C63-Assumptions!$B$38</f>
        <v/>
      </c>
      <c r="F63">
        <f>Assumptions!$B$39*Assumptions!$B$21/D63-Assumptions!$B$39</f>
        <v/>
      </c>
      <c r="G63">
        <f>MAX(0,Assumptions!$B$7*(Assumptions!$B$29+E63+F63+G62+H62+I62+Assumptions!$B$4/B63)-Assumptions!$B$30)</f>
        <v/>
      </c>
      <c r="H63">
        <f>Assumptions!$B$23/MIN(Assumptions!$B$24/(Assumptions!$B$29+E63+F63+G63+I62),B63*(1-Assumptions!$B$25))</f>
        <v/>
      </c>
      <c r="I63">
        <f>Assumptions!$B$26/MIN(Assumptions!$B$27/(Assumptions!$B$29+E63+F63+G63+H63),B63*(1-Assumptions!$B$28))</f>
        <v/>
      </c>
      <c r="J63">
        <f>Assumptions!$B$29+E63+F63+G63+H63+I63</f>
        <v/>
      </c>
      <c r="K63">
        <f>J63+Assumptions!$B$4/B63</f>
        <v/>
      </c>
      <c r="L63">
        <f>B63</f>
        <v/>
      </c>
    </row>
    <row r="64">
      <c r="A64" t="inlineStr">
        <is>
          <t>Base iter 60</t>
        </is>
      </c>
      <c r="B64">
        <f>Assumptions!$B$3/J63</f>
        <v/>
      </c>
      <c r="C64">
        <f>IF(B64&lt;Assumptions!$B$20,Assumptions!$B$20*(Assumptions!$B$29+Assumptions!$B$4/Assumptions!$B$20)/(Assumptions!$B$29+Assumptions!$B$4/B64),Assumptions!$B$20)</f>
        <v/>
      </c>
      <c r="D64">
        <f>IF(B64&lt;Assumptions!$B$21,Assumptions!$B$21*(Assumptions!$B$29+Assumptions!$B$4/Assumptions!$B$21)/(Assumptions!$B$29+Assumptions!$B$4/B64),Assumptions!$B$21)</f>
        <v/>
      </c>
      <c r="E64">
        <f>Assumptions!$B$37*Assumptions!$B$22/C64-Assumptions!$B$38</f>
        <v/>
      </c>
      <c r="F64">
        <f>Assumptions!$B$39*Assumptions!$B$21/D64-Assumptions!$B$39</f>
        <v/>
      </c>
      <c r="G64">
        <f>MAX(0,Assumptions!$B$7*(Assumptions!$B$29+E64+F64+G63+H63+I63+Assumptions!$B$4/B64)-Assumptions!$B$30)</f>
        <v/>
      </c>
      <c r="H64">
        <f>Assumptions!$B$23/MIN(Assumptions!$B$24/(Assumptions!$B$29+E64+F64+G64+I63),B64*(1-Assumptions!$B$25))</f>
        <v/>
      </c>
      <c r="I64">
        <f>Assumptions!$B$26/MIN(Assumptions!$B$27/(Assumptions!$B$29+E64+F64+G64+H64),B64*(1-Assumptions!$B$28))</f>
        <v/>
      </c>
      <c r="J64">
        <f>Assumptions!$B$29+E64+F64+G64+H64+I64</f>
        <v/>
      </c>
      <c r="K64">
        <f>J64+Assumptions!$B$4/B64</f>
        <v/>
      </c>
      <c r="L64">
        <f>B64</f>
        <v/>
      </c>
    </row>
    <row r="65">
      <c r="A65" t="inlineStr">
        <is>
          <t>Base iter 61</t>
        </is>
      </c>
      <c r="B65">
        <f>Assumptions!$B$3/J64</f>
        <v/>
      </c>
      <c r="C65">
        <f>IF(B65&lt;Assumptions!$B$20,Assumptions!$B$20*(Assumptions!$B$29+Assumptions!$B$4/Assumptions!$B$20)/(Assumptions!$B$29+Assumptions!$B$4/B65),Assumptions!$B$20)</f>
        <v/>
      </c>
      <c r="D65">
        <f>IF(B65&lt;Assumptions!$B$21,Assumptions!$B$21*(Assumptions!$B$29+Assumptions!$B$4/Assumptions!$B$21)/(Assumptions!$B$29+Assumptions!$B$4/B65),Assumptions!$B$21)</f>
        <v/>
      </c>
      <c r="E65">
        <f>Assumptions!$B$37*Assumptions!$B$22/C65-Assumptions!$B$38</f>
        <v/>
      </c>
      <c r="F65">
        <f>Assumptions!$B$39*Assumptions!$B$21/D65-Assumptions!$B$39</f>
        <v/>
      </c>
      <c r="G65">
        <f>MAX(0,Assumptions!$B$7*(Assumptions!$B$29+E65+F65+G64+H64+I64+Assumptions!$B$4/B65)-Assumptions!$B$30)</f>
        <v/>
      </c>
      <c r="H65">
        <f>Assumptions!$B$23/MIN(Assumptions!$B$24/(Assumptions!$B$29+E65+F65+G65+I64),B65*(1-Assumptions!$B$25))</f>
        <v/>
      </c>
      <c r="I65">
        <f>Assumptions!$B$26/MIN(Assumptions!$B$27/(Assumptions!$B$29+E65+F65+G65+H65),B65*(1-Assumptions!$B$28))</f>
        <v/>
      </c>
      <c r="J65">
        <f>Assumptions!$B$29+E65+F65+G65+H65+I65</f>
        <v/>
      </c>
      <c r="K65">
        <f>J65+Assumptions!$B$4/B65</f>
        <v/>
      </c>
      <c r="L65">
        <f>B65</f>
        <v/>
      </c>
    </row>
    <row r="66">
      <c r="A66" t="inlineStr">
        <is>
          <t>Base iter 62</t>
        </is>
      </c>
      <c r="B66">
        <f>Assumptions!$B$3/J65</f>
        <v/>
      </c>
      <c r="C66">
        <f>IF(B66&lt;Assumptions!$B$20,Assumptions!$B$20*(Assumptions!$B$29+Assumptions!$B$4/Assumptions!$B$20)/(Assumptions!$B$29+Assumptions!$B$4/B66),Assumptions!$B$20)</f>
        <v/>
      </c>
      <c r="D66">
        <f>IF(B66&lt;Assumptions!$B$21,Assumptions!$B$21*(Assumptions!$B$29+Assumptions!$B$4/Assumptions!$B$21)/(Assumptions!$B$29+Assumptions!$B$4/B66),Assumptions!$B$21)</f>
        <v/>
      </c>
      <c r="E66">
        <f>Assumptions!$B$37*Assumptions!$B$22/C66-Assumptions!$B$38</f>
        <v/>
      </c>
      <c r="F66">
        <f>Assumptions!$B$39*Assumptions!$B$21/D66-Assumptions!$B$39</f>
        <v/>
      </c>
      <c r="G66">
        <f>MAX(0,Assumptions!$B$7*(Assumptions!$B$29+E66+F66+G65+H65+I65+Assumptions!$B$4/B66)-Assumptions!$B$30)</f>
        <v/>
      </c>
      <c r="H66">
        <f>Assumptions!$B$23/MIN(Assumptions!$B$24/(Assumptions!$B$29+E66+F66+G66+I65),B66*(1-Assumptions!$B$25))</f>
        <v/>
      </c>
      <c r="I66">
        <f>Assumptions!$B$26/MIN(Assumptions!$B$27/(Assumptions!$B$29+E66+F66+G66+H66),B66*(1-Assumptions!$B$28))</f>
        <v/>
      </c>
      <c r="J66">
        <f>Assumptions!$B$29+E66+F66+G66+H66+I66</f>
        <v/>
      </c>
      <c r="K66">
        <f>J66+Assumptions!$B$4/B66</f>
        <v/>
      </c>
      <c r="L66">
        <f>B66</f>
        <v/>
      </c>
    </row>
    <row r="67">
      <c r="A67" t="inlineStr">
        <is>
          <t>Base iter 63</t>
        </is>
      </c>
      <c r="B67">
        <f>Assumptions!$B$3/J66</f>
        <v/>
      </c>
      <c r="C67">
        <f>IF(B67&lt;Assumptions!$B$20,Assumptions!$B$20*(Assumptions!$B$29+Assumptions!$B$4/Assumptions!$B$20)/(Assumptions!$B$29+Assumptions!$B$4/B67),Assumptions!$B$20)</f>
        <v/>
      </c>
      <c r="D67">
        <f>IF(B67&lt;Assumptions!$B$21,Assumptions!$B$21*(Assumptions!$B$29+Assumptions!$B$4/Assumptions!$B$21)/(Assumptions!$B$29+Assumptions!$B$4/B67),Assumptions!$B$21)</f>
        <v/>
      </c>
      <c r="E67">
        <f>Assumptions!$B$37*Assumptions!$B$22/C67-Assumptions!$B$38</f>
        <v/>
      </c>
      <c r="F67">
        <f>Assumptions!$B$39*Assumptions!$B$21/D67-Assumptions!$B$39</f>
        <v/>
      </c>
      <c r="G67">
        <f>MAX(0,Assumptions!$B$7*(Assumptions!$B$29+E67+F67+G66+H66+I66+Assumptions!$B$4/B67)-Assumptions!$B$30)</f>
        <v/>
      </c>
      <c r="H67">
        <f>Assumptions!$B$23/MIN(Assumptions!$B$24/(Assumptions!$B$29+E67+F67+G67+I66),B67*(1-Assumptions!$B$25))</f>
        <v/>
      </c>
      <c r="I67">
        <f>Assumptions!$B$26/MIN(Assumptions!$B$27/(Assumptions!$B$29+E67+F67+G67+H67),B67*(1-Assumptions!$B$28))</f>
        <v/>
      </c>
      <c r="J67">
        <f>Assumptions!$B$29+E67+F67+G67+H67+I67</f>
        <v/>
      </c>
      <c r="K67">
        <f>J67+Assumptions!$B$4/B67</f>
        <v/>
      </c>
      <c r="L67">
        <f>B67</f>
        <v/>
      </c>
    </row>
    <row r="68">
      <c r="A68" t="inlineStr">
        <is>
          <t>Base iter 64</t>
        </is>
      </c>
      <c r="B68">
        <f>Assumptions!$B$3/J67</f>
        <v/>
      </c>
      <c r="C68">
        <f>IF(B68&lt;Assumptions!$B$20,Assumptions!$B$20*(Assumptions!$B$29+Assumptions!$B$4/Assumptions!$B$20)/(Assumptions!$B$29+Assumptions!$B$4/B68),Assumptions!$B$20)</f>
        <v/>
      </c>
      <c r="D68">
        <f>IF(B68&lt;Assumptions!$B$21,Assumptions!$B$21*(Assumptions!$B$29+Assumptions!$B$4/Assumptions!$B$21)/(Assumptions!$B$29+Assumptions!$B$4/B68),Assumptions!$B$21)</f>
        <v/>
      </c>
      <c r="E68">
        <f>Assumptions!$B$37*Assumptions!$B$22/C68-Assumptions!$B$38</f>
        <v/>
      </c>
      <c r="F68">
        <f>Assumptions!$B$39*Assumptions!$B$21/D68-Assumptions!$B$39</f>
        <v/>
      </c>
      <c r="G68">
        <f>MAX(0,Assumptions!$B$7*(Assumptions!$B$29+E68+F68+G67+H67+I67+Assumptions!$B$4/B68)-Assumptions!$B$30)</f>
        <v/>
      </c>
      <c r="H68">
        <f>Assumptions!$B$23/MIN(Assumptions!$B$24/(Assumptions!$B$29+E68+F68+G68+I67),B68*(1-Assumptions!$B$25))</f>
        <v/>
      </c>
      <c r="I68">
        <f>Assumptions!$B$26/MIN(Assumptions!$B$27/(Assumptions!$B$29+E68+F68+G68+H68),B68*(1-Assumptions!$B$28))</f>
        <v/>
      </c>
      <c r="J68">
        <f>Assumptions!$B$29+E68+F68+G68+H68+I68</f>
        <v/>
      </c>
      <c r="K68">
        <f>J68+Assumptions!$B$4/B68</f>
        <v/>
      </c>
      <c r="L68">
        <f>B68</f>
        <v/>
      </c>
    </row>
    <row r="69">
      <c r="A69" t="inlineStr">
        <is>
          <t>Base iter 65</t>
        </is>
      </c>
      <c r="B69">
        <f>Assumptions!$B$3/J68</f>
        <v/>
      </c>
      <c r="C69">
        <f>IF(B69&lt;Assumptions!$B$20,Assumptions!$B$20*(Assumptions!$B$29+Assumptions!$B$4/Assumptions!$B$20)/(Assumptions!$B$29+Assumptions!$B$4/B69),Assumptions!$B$20)</f>
        <v/>
      </c>
      <c r="D69">
        <f>IF(B69&lt;Assumptions!$B$21,Assumptions!$B$21*(Assumptions!$B$29+Assumptions!$B$4/Assumptions!$B$21)/(Assumptions!$B$29+Assumptions!$B$4/B69),Assumptions!$B$21)</f>
        <v/>
      </c>
      <c r="E69">
        <f>Assumptions!$B$37*Assumptions!$B$22/C69-Assumptions!$B$38</f>
        <v/>
      </c>
      <c r="F69">
        <f>Assumptions!$B$39*Assumptions!$B$21/D69-Assumptions!$B$39</f>
        <v/>
      </c>
      <c r="G69">
        <f>MAX(0,Assumptions!$B$7*(Assumptions!$B$29+E69+F69+G68+H68+I68+Assumptions!$B$4/B69)-Assumptions!$B$30)</f>
        <v/>
      </c>
      <c r="H69">
        <f>Assumptions!$B$23/MIN(Assumptions!$B$24/(Assumptions!$B$29+E69+F69+G69+I68),B69*(1-Assumptions!$B$25))</f>
        <v/>
      </c>
      <c r="I69">
        <f>Assumptions!$B$26/MIN(Assumptions!$B$27/(Assumptions!$B$29+E69+F69+G69+H69),B69*(1-Assumptions!$B$28))</f>
        <v/>
      </c>
      <c r="J69">
        <f>Assumptions!$B$29+E69+F69+G69+H69+I69</f>
        <v/>
      </c>
      <c r="K69">
        <f>J69+Assumptions!$B$4/B69</f>
        <v/>
      </c>
      <c r="L69">
        <f>B69</f>
        <v/>
      </c>
    </row>
    <row r="70">
      <c r="A70" t="inlineStr">
        <is>
          <t>Base iter 66</t>
        </is>
      </c>
      <c r="B70">
        <f>Assumptions!$B$3/J69</f>
        <v/>
      </c>
      <c r="C70">
        <f>IF(B70&lt;Assumptions!$B$20,Assumptions!$B$20*(Assumptions!$B$29+Assumptions!$B$4/Assumptions!$B$20)/(Assumptions!$B$29+Assumptions!$B$4/B70),Assumptions!$B$20)</f>
        <v/>
      </c>
      <c r="D70">
        <f>IF(B70&lt;Assumptions!$B$21,Assumptions!$B$21*(Assumptions!$B$29+Assumptions!$B$4/Assumptions!$B$21)/(Assumptions!$B$29+Assumptions!$B$4/B70),Assumptions!$B$21)</f>
        <v/>
      </c>
      <c r="E70">
        <f>Assumptions!$B$37*Assumptions!$B$22/C70-Assumptions!$B$38</f>
        <v/>
      </c>
      <c r="F70">
        <f>Assumptions!$B$39*Assumptions!$B$21/D70-Assumptions!$B$39</f>
        <v/>
      </c>
      <c r="G70">
        <f>MAX(0,Assumptions!$B$7*(Assumptions!$B$29+E70+F70+G69+H69+I69+Assumptions!$B$4/B70)-Assumptions!$B$30)</f>
        <v/>
      </c>
      <c r="H70">
        <f>Assumptions!$B$23/MIN(Assumptions!$B$24/(Assumptions!$B$29+E70+F70+G70+I69),B70*(1-Assumptions!$B$25))</f>
        <v/>
      </c>
      <c r="I70">
        <f>Assumptions!$B$26/MIN(Assumptions!$B$27/(Assumptions!$B$29+E70+F70+G70+H70),B70*(1-Assumptions!$B$28))</f>
        <v/>
      </c>
      <c r="J70">
        <f>Assumptions!$B$29+E70+F70+G70+H70+I70</f>
        <v/>
      </c>
      <c r="K70">
        <f>J70+Assumptions!$B$4/B70</f>
        <v/>
      </c>
      <c r="L70">
        <f>B70</f>
        <v/>
      </c>
    </row>
    <row r="71">
      <c r="A71" t="inlineStr">
        <is>
          <t>Base iter 67</t>
        </is>
      </c>
      <c r="B71">
        <f>Assumptions!$B$3/J70</f>
        <v/>
      </c>
      <c r="C71">
        <f>IF(B71&lt;Assumptions!$B$20,Assumptions!$B$20*(Assumptions!$B$29+Assumptions!$B$4/Assumptions!$B$20)/(Assumptions!$B$29+Assumptions!$B$4/B71),Assumptions!$B$20)</f>
        <v/>
      </c>
      <c r="D71">
        <f>IF(B71&lt;Assumptions!$B$21,Assumptions!$B$21*(Assumptions!$B$29+Assumptions!$B$4/Assumptions!$B$21)/(Assumptions!$B$29+Assumptions!$B$4/B71),Assumptions!$B$21)</f>
        <v/>
      </c>
      <c r="E71">
        <f>Assumptions!$B$37*Assumptions!$B$22/C71-Assumptions!$B$38</f>
        <v/>
      </c>
      <c r="F71">
        <f>Assumptions!$B$39*Assumptions!$B$21/D71-Assumptions!$B$39</f>
        <v/>
      </c>
      <c r="G71">
        <f>MAX(0,Assumptions!$B$7*(Assumptions!$B$29+E71+F71+G70+H70+I70+Assumptions!$B$4/B71)-Assumptions!$B$30)</f>
        <v/>
      </c>
      <c r="H71">
        <f>Assumptions!$B$23/MIN(Assumptions!$B$24/(Assumptions!$B$29+E71+F71+G71+I70),B71*(1-Assumptions!$B$25))</f>
        <v/>
      </c>
      <c r="I71">
        <f>Assumptions!$B$26/MIN(Assumptions!$B$27/(Assumptions!$B$29+E71+F71+G71+H71),B71*(1-Assumptions!$B$28))</f>
        <v/>
      </c>
      <c r="J71">
        <f>Assumptions!$B$29+E71+F71+G71+H71+I71</f>
        <v/>
      </c>
      <c r="K71">
        <f>J71+Assumptions!$B$4/B71</f>
        <v/>
      </c>
      <c r="L71">
        <f>B71</f>
        <v/>
      </c>
    </row>
    <row r="72">
      <c r="A72" t="inlineStr">
        <is>
          <t>Base iter 68</t>
        </is>
      </c>
      <c r="B72">
        <f>Assumptions!$B$3/J71</f>
        <v/>
      </c>
      <c r="C72">
        <f>IF(B72&lt;Assumptions!$B$20,Assumptions!$B$20*(Assumptions!$B$29+Assumptions!$B$4/Assumptions!$B$20)/(Assumptions!$B$29+Assumptions!$B$4/B72),Assumptions!$B$20)</f>
        <v/>
      </c>
      <c r="D72">
        <f>IF(B72&lt;Assumptions!$B$21,Assumptions!$B$21*(Assumptions!$B$29+Assumptions!$B$4/Assumptions!$B$21)/(Assumptions!$B$29+Assumptions!$B$4/B72),Assumptions!$B$21)</f>
        <v/>
      </c>
      <c r="E72">
        <f>Assumptions!$B$37*Assumptions!$B$22/C72-Assumptions!$B$38</f>
        <v/>
      </c>
      <c r="F72">
        <f>Assumptions!$B$39*Assumptions!$B$21/D72-Assumptions!$B$39</f>
        <v/>
      </c>
      <c r="G72">
        <f>MAX(0,Assumptions!$B$7*(Assumptions!$B$29+E72+F72+G71+H71+I71+Assumptions!$B$4/B72)-Assumptions!$B$30)</f>
        <v/>
      </c>
      <c r="H72">
        <f>Assumptions!$B$23/MIN(Assumptions!$B$24/(Assumptions!$B$29+E72+F72+G72+I71),B72*(1-Assumptions!$B$25))</f>
        <v/>
      </c>
      <c r="I72">
        <f>Assumptions!$B$26/MIN(Assumptions!$B$27/(Assumptions!$B$29+E72+F72+G72+H72),B72*(1-Assumptions!$B$28))</f>
        <v/>
      </c>
      <c r="J72">
        <f>Assumptions!$B$29+E72+F72+G72+H72+I72</f>
        <v/>
      </c>
      <c r="K72">
        <f>J72+Assumptions!$B$4/B72</f>
        <v/>
      </c>
      <c r="L72">
        <f>B72</f>
        <v/>
      </c>
    </row>
    <row r="73">
      <c r="A73" t="inlineStr">
        <is>
          <t>Base iter 69</t>
        </is>
      </c>
      <c r="B73">
        <f>Assumptions!$B$3/J72</f>
        <v/>
      </c>
      <c r="C73">
        <f>IF(B73&lt;Assumptions!$B$20,Assumptions!$B$20*(Assumptions!$B$29+Assumptions!$B$4/Assumptions!$B$20)/(Assumptions!$B$29+Assumptions!$B$4/B73),Assumptions!$B$20)</f>
        <v/>
      </c>
      <c r="D73">
        <f>IF(B73&lt;Assumptions!$B$21,Assumptions!$B$21*(Assumptions!$B$29+Assumptions!$B$4/Assumptions!$B$21)/(Assumptions!$B$29+Assumptions!$B$4/B73),Assumptions!$B$21)</f>
        <v/>
      </c>
      <c r="E73">
        <f>Assumptions!$B$37*Assumptions!$B$22/C73-Assumptions!$B$38</f>
        <v/>
      </c>
      <c r="F73">
        <f>Assumptions!$B$39*Assumptions!$B$21/D73-Assumptions!$B$39</f>
        <v/>
      </c>
      <c r="G73">
        <f>MAX(0,Assumptions!$B$7*(Assumptions!$B$29+E73+F73+G72+H72+I72+Assumptions!$B$4/B73)-Assumptions!$B$30)</f>
        <v/>
      </c>
      <c r="H73">
        <f>Assumptions!$B$23/MIN(Assumptions!$B$24/(Assumptions!$B$29+E73+F73+G73+I72),B73*(1-Assumptions!$B$25))</f>
        <v/>
      </c>
      <c r="I73">
        <f>Assumptions!$B$26/MIN(Assumptions!$B$27/(Assumptions!$B$29+E73+F73+G73+H73),B73*(1-Assumptions!$B$28))</f>
        <v/>
      </c>
      <c r="J73">
        <f>Assumptions!$B$29+E73+F73+G73+H73+I73</f>
        <v/>
      </c>
      <c r="K73">
        <f>J73+Assumptions!$B$4/B73</f>
        <v/>
      </c>
      <c r="L73">
        <f>B73</f>
        <v/>
      </c>
    </row>
    <row r="74">
      <c r="A74" t="inlineStr">
        <is>
          <t>Base iter 70</t>
        </is>
      </c>
      <c r="B74">
        <f>Assumptions!$B$3/J73</f>
        <v/>
      </c>
      <c r="C74">
        <f>IF(B74&lt;Assumptions!$B$20,Assumptions!$B$20*(Assumptions!$B$29+Assumptions!$B$4/Assumptions!$B$20)/(Assumptions!$B$29+Assumptions!$B$4/B74),Assumptions!$B$20)</f>
        <v/>
      </c>
      <c r="D74">
        <f>IF(B74&lt;Assumptions!$B$21,Assumptions!$B$21*(Assumptions!$B$29+Assumptions!$B$4/Assumptions!$B$21)/(Assumptions!$B$29+Assumptions!$B$4/B74),Assumptions!$B$21)</f>
        <v/>
      </c>
      <c r="E74">
        <f>Assumptions!$B$37*Assumptions!$B$22/C74-Assumptions!$B$38</f>
        <v/>
      </c>
      <c r="F74">
        <f>Assumptions!$B$39*Assumptions!$B$21/D74-Assumptions!$B$39</f>
        <v/>
      </c>
      <c r="G74">
        <f>MAX(0,Assumptions!$B$7*(Assumptions!$B$29+E74+F74+G73+H73+I73+Assumptions!$B$4/B74)-Assumptions!$B$30)</f>
        <v/>
      </c>
      <c r="H74">
        <f>Assumptions!$B$23/MIN(Assumptions!$B$24/(Assumptions!$B$29+E74+F74+G74+I73),B74*(1-Assumptions!$B$25))</f>
        <v/>
      </c>
      <c r="I74">
        <f>Assumptions!$B$26/MIN(Assumptions!$B$27/(Assumptions!$B$29+E74+F74+G74+H74),B74*(1-Assumptions!$B$28))</f>
        <v/>
      </c>
      <c r="J74">
        <f>Assumptions!$B$29+E74+F74+G74+H74+I74</f>
        <v/>
      </c>
      <c r="K74">
        <f>J74+Assumptions!$B$4/B74</f>
        <v/>
      </c>
      <c r="L74">
        <f>B74</f>
        <v/>
      </c>
    </row>
    <row r="75">
      <c r="A75" t="inlineStr">
        <is>
          <t>Base iter 71</t>
        </is>
      </c>
      <c r="B75">
        <f>Assumptions!$B$3/J74</f>
        <v/>
      </c>
      <c r="C75">
        <f>IF(B75&lt;Assumptions!$B$20,Assumptions!$B$20*(Assumptions!$B$29+Assumptions!$B$4/Assumptions!$B$20)/(Assumptions!$B$29+Assumptions!$B$4/B75),Assumptions!$B$20)</f>
        <v/>
      </c>
      <c r="D75">
        <f>IF(B75&lt;Assumptions!$B$21,Assumptions!$B$21*(Assumptions!$B$29+Assumptions!$B$4/Assumptions!$B$21)/(Assumptions!$B$29+Assumptions!$B$4/B75),Assumptions!$B$21)</f>
        <v/>
      </c>
      <c r="E75">
        <f>Assumptions!$B$37*Assumptions!$B$22/C75-Assumptions!$B$38</f>
        <v/>
      </c>
      <c r="F75">
        <f>Assumptions!$B$39*Assumptions!$B$21/D75-Assumptions!$B$39</f>
        <v/>
      </c>
      <c r="G75">
        <f>MAX(0,Assumptions!$B$7*(Assumptions!$B$29+E75+F75+G74+H74+I74+Assumptions!$B$4/B75)-Assumptions!$B$30)</f>
        <v/>
      </c>
      <c r="H75">
        <f>Assumptions!$B$23/MIN(Assumptions!$B$24/(Assumptions!$B$29+E75+F75+G75+I74),B75*(1-Assumptions!$B$25))</f>
        <v/>
      </c>
      <c r="I75">
        <f>Assumptions!$B$26/MIN(Assumptions!$B$27/(Assumptions!$B$29+E75+F75+G75+H75),B75*(1-Assumptions!$B$28))</f>
        <v/>
      </c>
      <c r="J75">
        <f>Assumptions!$B$29+E75+F75+G75+H75+I75</f>
        <v/>
      </c>
      <c r="K75">
        <f>J75+Assumptions!$B$4/B75</f>
        <v/>
      </c>
      <c r="L75">
        <f>B75</f>
        <v/>
      </c>
    </row>
    <row r="76">
      <c r="A76" t="inlineStr">
        <is>
          <t>Base iter 72</t>
        </is>
      </c>
      <c r="B76">
        <f>Assumptions!$B$3/J75</f>
        <v/>
      </c>
      <c r="C76">
        <f>IF(B76&lt;Assumptions!$B$20,Assumptions!$B$20*(Assumptions!$B$29+Assumptions!$B$4/Assumptions!$B$20)/(Assumptions!$B$29+Assumptions!$B$4/B76),Assumptions!$B$20)</f>
        <v/>
      </c>
      <c r="D76">
        <f>IF(B76&lt;Assumptions!$B$21,Assumptions!$B$21*(Assumptions!$B$29+Assumptions!$B$4/Assumptions!$B$21)/(Assumptions!$B$29+Assumptions!$B$4/B76),Assumptions!$B$21)</f>
        <v/>
      </c>
      <c r="E76">
        <f>Assumptions!$B$37*Assumptions!$B$22/C76-Assumptions!$B$38</f>
        <v/>
      </c>
      <c r="F76">
        <f>Assumptions!$B$39*Assumptions!$B$21/D76-Assumptions!$B$39</f>
        <v/>
      </c>
      <c r="G76">
        <f>MAX(0,Assumptions!$B$7*(Assumptions!$B$29+E76+F76+G75+H75+I75+Assumptions!$B$4/B76)-Assumptions!$B$30)</f>
        <v/>
      </c>
      <c r="H76">
        <f>Assumptions!$B$23/MIN(Assumptions!$B$24/(Assumptions!$B$29+E76+F76+G76+I75),B76*(1-Assumptions!$B$25))</f>
        <v/>
      </c>
      <c r="I76">
        <f>Assumptions!$B$26/MIN(Assumptions!$B$27/(Assumptions!$B$29+E76+F76+G76+H76),B76*(1-Assumptions!$B$28))</f>
        <v/>
      </c>
      <c r="J76">
        <f>Assumptions!$B$29+E76+F76+G76+H76+I76</f>
        <v/>
      </c>
      <c r="K76">
        <f>J76+Assumptions!$B$4/B76</f>
        <v/>
      </c>
      <c r="L76">
        <f>B76</f>
        <v/>
      </c>
    </row>
    <row r="77">
      <c r="A77" t="inlineStr">
        <is>
          <t>Base iter 73</t>
        </is>
      </c>
      <c r="B77">
        <f>Assumptions!$B$3/J76</f>
        <v/>
      </c>
      <c r="C77">
        <f>IF(B77&lt;Assumptions!$B$20,Assumptions!$B$20*(Assumptions!$B$29+Assumptions!$B$4/Assumptions!$B$20)/(Assumptions!$B$29+Assumptions!$B$4/B77),Assumptions!$B$20)</f>
        <v/>
      </c>
      <c r="D77">
        <f>IF(B77&lt;Assumptions!$B$21,Assumptions!$B$21*(Assumptions!$B$29+Assumptions!$B$4/Assumptions!$B$21)/(Assumptions!$B$29+Assumptions!$B$4/B77),Assumptions!$B$21)</f>
        <v/>
      </c>
      <c r="E77">
        <f>Assumptions!$B$37*Assumptions!$B$22/C77-Assumptions!$B$38</f>
        <v/>
      </c>
      <c r="F77">
        <f>Assumptions!$B$39*Assumptions!$B$21/D77-Assumptions!$B$39</f>
        <v/>
      </c>
      <c r="G77">
        <f>MAX(0,Assumptions!$B$7*(Assumptions!$B$29+E77+F77+G76+H76+I76+Assumptions!$B$4/B77)-Assumptions!$B$30)</f>
        <v/>
      </c>
      <c r="H77">
        <f>Assumptions!$B$23/MIN(Assumptions!$B$24/(Assumptions!$B$29+E77+F77+G77+I76),B77*(1-Assumptions!$B$25))</f>
        <v/>
      </c>
      <c r="I77">
        <f>Assumptions!$B$26/MIN(Assumptions!$B$27/(Assumptions!$B$29+E77+F77+G77+H77),B77*(1-Assumptions!$B$28))</f>
        <v/>
      </c>
      <c r="J77">
        <f>Assumptions!$B$29+E77+F77+G77+H77+I77</f>
        <v/>
      </c>
      <c r="K77">
        <f>J77+Assumptions!$B$4/B77</f>
        <v/>
      </c>
      <c r="L77">
        <f>B77</f>
        <v/>
      </c>
    </row>
    <row r="78">
      <c r="A78" t="inlineStr">
        <is>
          <t>Base iter 74</t>
        </is>
      </c>
      <c r="B78">
        <f>Assumptions!$B$3/J77</f>
        <v/>
      </c>
      <c r="C78">
        <f>IF(B78&lt;Assumptions!$B$20,Assumptions!$B$20*(Assumptions!$B$29+Assumptions!$B$4/Assumptions!$B$20)/(Assumptions!$B$29+Assumptions!$B$4/B78),Assumptions!$B$20)</f>
        <v/>
      </c>
      <c r="D78">
        <f>IF(B78&lt;Assumptions!$B$21,Assumptions!$B$21*(Assumptions!$B$29+Assumptions!$B$4/Assumptions!$B$21)/(Assumptions!$B$29+Assumptions!$B$4/B78),Assumptions!$B$21)</f>
        <v/>
      </c>
      <c r="E78">
        <f>Assumptions!$B$37*Assumptions!$B$22/C78-Assumptions!$B$38</f>
        <v/>
      </c>
      <c r="F78">
        <f>Assumptions!$B$39*Assumptions!$B$21/D78-Assumptions!$B$39</f>
        <v/>
      </c>
      <c r="G78">
        <f>MAX(0,Assumptions!$B$7*(Assumptions!$B$29+E78+F78+G77+H77+I77+Assumptions!$B$4/B78)-Assumptions!$B$30)</f>
        <v/>
      </c>
      <c r="H78">
        <f>Assumptions!$B$23/MIN(Assumptions!$B$24/(Assumptions!$B$29+E78+F78+G78+I77),B78*(1-Assumptions!$B$25))</f>
        <v/>
      </c>
      <c r="I78">
        <f>Assumptions!$B$26/MIN(Assumptions!$B$27/(Assumptions!$B$29+E78+F78+G78+H78),B78*(1-Assumptions!$B$28))</f>
        <v/>
      </c>
      <c r="J78">
        <f>Assumptions!$B$29+E78+F78+G78+H78+I78</f>
        <v/>
      </c>
      <c r="K78">
        <f>J78+Assumptions!$B$4/B78</f>
        <v/>
      </c>
      <c r="L78">
        <f>B78</f>
        <v/>
      </c>
    </row>
    <row r="79">
      <c r="A79" t="inlineStr">
        <is>
          <t>Base iter 75</t>
        </is>
      </c>
      <c r="B79">
        <f>Assumptions!$B$3/J78</f>
        <v/>
      </c>
      <c r="C79">
        <f>IF(B79&lt;Assumptions!$B$20,Assumptions!$B$20*(Assumptions!$B$29+Assumptions!$B$4/Assumptions!$B$20)/(Assumptions!$B$29+Assumptions!$B$4/B79),Assumptions!$B$20)</f>
        <v/>
      </c>
      <c r="D79">
        <f>IF(B79&lt;Assumptions!$B$21,Assumptions!$B$21*(Assumptions!$B$29+Assumptions!$B$4/Assumptions!$B$21)/(Assumptions!$B$29+Assumptions!$B$4/B79),Assumptions!$B$21)</f>
        <v/>
      </c>
      <c r="E79">
        <f>Assumptions!$B$37*Assumptions!$B$22/C79-Assumptions!$B$38</f>
        <v/>
      </c>
      <c r="F79">
        <f>Assumptions!$B$39*Assumptions!$B$21/D79-Assumptions!$B$39</f>
        <v/>
      </c>
      <c r="G79">
        <f>MAX(0,Assumptions!$B$7*(Assumptions!$B$29+E79+F79+G78+H78+I78+Assumptions!$B$4/B79)-Assumptions!$B$30)</f>
        <v/>
      </c>
      <c r="H79">
        <f>Assumptions!$B$23/MIN(Assumptions!$B$24/(Assumptions!$B$29+E79+F79+G79+I78),B79*(1-Assumptions!$B$25))</f>
        <v/>
      </c>
      <c r="I79">
        <f>Assumptions!$B$26/MIN(Assumptions!$B$27/(Assumptions!$B$29+E79+F79+G79+H79),B79*(1-Assumptions!$B$28))</f>
        <v/>
      </c>
      <c r="J79">
        <f>Assumptions!$B$29+E79+F79+G79+H79+I79</f>
        <v/>
      </c>
      <c r="K79">
        <f>J79+Assumptions!$B$4/B79</f>
        <v/>
      </c>
      <c r="L79">
        <f>B79</f>
        <v/>
      </c>
    </row>
    <row r="80">
      <c r="A80" t="inlineStr">
        <is>
          <t>Base iter 76</t>
        </is>
      </c>
      <c r="B80">
        <f>Assumptions!$B$3/J79</f>
        <v/>
      </c>
      <c r="C80">
        <f>IF(B80&lt;Assumptions!$B$20,Assumptions!$B$20*(Assumptions!$B$29+Assumptions!$B$4/Assumptions!$B$20)/(Assumptions!$B$29+Assumptions!$B$4/B80),Assumptions!$B$20)</f>
        <v/>
      </c>
      <c r="D80">
        <f>IF(B80&lt;Assumptions!$B$21,Assumptions!$B$21*(Assumptions!$B$29+Assumptions!$B$4/Assumptions!$B$21)/(Assumptions!$B$29+Assumptions!$B$4/B80),Assumptions!$B$21)</f>
        <v/>
      </c>
      <c r="E80">
        <f>Assumptions!$B$37*Assumptions!$B$22/C80-Assumptions!$B$38</f>
        <v/>
      </c>
      <c r="F80">
        <f>Assumptions!$B$39*Assumptions!$B$21/D80-Assumptions!$B$39</f>
        <v/>
      </c>
      <c r="G80">
        <f>MAX(0,Assumptions!$B$7*(Assumptions!$B$29+E80+F80+G79+H79+I79+Assumptions!$B$4/B80)-Assumptions!$B$30)</f>
        <v/>
      </c>
      <c r="H80">
        <f>Assumptions!$B$23/MIN(Assumptions!$B$24/(Assumptions!$B$29+E80+F80+G80+I79),B80*(1-Assumptions!$B$25))</f>
        <v/>
      </c>
      <c r="I80">
        <f>Assumptions!$B$26/MIN(Assumptions!$B$27/(Assumptions!$B$29+E80+F80+G80+H80),B80*(1-Assumptions!$B$28))</f>
        <v/>
      </c>
      <c r="J80">
        <f>Assumptions!$B$29+E80+F80+G80+H80+I80</f>
        <v/>
      </c>
      <c r="K80">
        <f>J80+Assumptions!$B$4/B80</f>
        <v/>
      </c>
      <c r="L80">
        <f>B80</f>
        <v/>
      </c>
    </row>
    <row r="81">
      <c r="A81" t="inlineStr">
        <is>
          <t>Base iter 77</t>
        </is>
      </c>
      <c r="B81">
        <f>Assumptions!$B$3/J80</f>
        <v/>
      </c>
      <c r="C81">
        <f>IF(B81&lt;Assumptions!$B$20,Assumptions!$B$20*(Assumptions!$B$29+Assumptions!$B$4/Assumptions!$B$20)/(Assumptions!$B$29+Assumptions!$B$4/B81),Assumptions!$B$20)</f>
        <v/>
      </c>
      <c r="D81">
        <f>IF(B81&lt;Assumptions!$B$21,Assumptions!$B$21*(Assumptions!$B$29+Assumptions!$B$4/Assumptions!$B$21)/(Assumptions!$B$29+Assumptions!$B$4/B81),Assumptions!$B$21)</f>
        <v/>
      </c>
      <c r="E81">
        <f>Assumptions!$B$37*Assumptions!$B$22/C81-Assumptions!$B$38</f>
        <v/>
      </c>
      <c r="F81">
        <f>Assumptions!$B$39*Assumptions!$B$21/D81-Assumptions!$B$39</f>
        <v/>
      </c>
      <c r="G81">
        <f>MAX(0,Assumptions!$B$7*(Assumptions!$B$29+E81+F81+G80+H80+I80+Assumptions!$B$4/B81)-Assumptions!$B$30)</f>
        <v/>
      </c>
      <c r="H81">
        <f>Assumptions!$B$23/MIN(Assumptions!$B$24/(Assumptions!$B$29+E81+F81+G81+I80),B81*(1-Assumptions!$B$25))</f>
        <v/>
      </c>
      <c r="I81">
        <f>Assumptions!$B$26/MIN(Assumptions!$B$27/(Assumptions!$B$29+E81+F81+G81+H81),B81*(1-Assumptions!$B$28))</f>
        <v/>
      </c>
      <c r="J81">
        <f>Assumptions!$B$29+E81+F81+G81+H81+I81</f>
        <v/>
      </c>
      <c r="K81">
        <f>J81+Assumptions!$B$4/B81</f>
        <v/>
      </c>
      <c r="L81">
        <f>B81</f>
        <v/>
      </c>
    </row>
    <row r="82">
      <c r="A82" t="inlineStr">
        <is>
          <t>Base iter 78</t>
        </is>
      </c>
      <c r="B82">
        <f>Assumptions!$B$3/J81</f>
        <v/>
      </c>
      <c r="C82">
        <f>IF(B82&lt;Assumptions!$B$20,Assumptions!$B$20*(Assumptions!$B$29+Assumptions!$B$4/Assumptions!$B$20)/(Assumptions!$B$29+Assumptions!$B$4/B82),Assumptions!$B$20)</f>
        <v/>
      </c>
      <c r="D82">
        <f>IF(B82&lt;Assumptions!$B$21,Assumptions!$B$21*(Assumptions!$B$29+Assumptions!$B$4/Assumptions!$B$21)/(Assumptions!$B$29+Assumptions!$B$4/B82),Assumptions!$B$21)</f>
        <v/>
      </c>
      <c r="E82">
        <f>Assumptions!$B$37*Assumptions!$B$22/C82-Assumptions!$B$38</f>
        <v/>
      </c>
      <c r="F82">
        <f>Assumptions!$B$39*Assumptions!$B$21/D82-Assumptions!$B$39</f>
        <v/>
      </c>
      <c r="G82">
        <f>MAX(0,Assumptions!$B$7*(Assumptions!$B$29+E82+F82+G81+H81+I81+Assumptions!$B$4/B82)-Assumptions!$B$30)</f>
        <v/>
      </c>
      <c r="H82">
        <f>Assumptions!$B$23/MIN(Assumptions!$B$24/(Assumptions!$B$29+E82+F82+G82+I81),B82*(1-Assumptions!$B$25))</f>
        <v/>
      </c>
      <c r="I82">
        <f>Assumptions!$B$26/MIN(Assumptions!$B$27/(Assumptions!$B$29+E82+F82+G82+H82),B82*(1-Assumptions!$B$28))</f>
        <v/>
      </c>
      <c r="J82">
        <f>Assumptions!$B$29+E82+F82+G82+H82+I82</f>
        <v/>
      </c>
      <c r="K82">
        <f>J82+Assumptions!$B$4/B82</f>
        <v/>
      </c>
      <c r="L82">
        <f>B82</f>
        <v/>
      </c>
    </row>
    <row r="83">
      <c r="A83" t="inlineStr">
        <is>
          <t>Base iter 79</t>
        </is>
      </c>
      <c r="B83">
        <f>Assumptions!$B$3/J82</f>
        <v/>
      </c>
      <c r="C83">
        <f>IF(B83&lt;Assumptions!$B$20,Assumptions!$B$20*(Assumptions!$B$29+Assumptions!$B$4/Assumptions!$B$20)/(Assumptions!$B$29+Assumptions!$B$4/B83),Assumptions!$B$20)</f>
        <v/>
      </c>
      <c r="D83">
        <f>IF(B83&lt;Assumptions!$B$21,Assumptions!$B$21*(Assumptions!$B$29+Assumptions!$B$4/Assumptions!$B$21)/(Assumptions!$B$29+Assumptions!$B$4/B83),Assumptions!$B$21)</f>
        <v/>
      </c>
      <c r="E83">
        <f>Assumptions!$B$37*Assumptions!$B$22/C83-Assumptions!$B$38</f>
        <v/>
      </c>
      <c r="F83">
        <f>Assumptions!$B$39*Assumptions!$B$21/D83-Assumptions!$B$39</f>
        <v/>
      </c>
      <c r="G83">
        <f>MAX(0,Assumptions!$B$7*(Assumptions!$B$29+E83+F83+G82+H82+I82+Assumptions!$B$4/B83)-Assumptions!$B$30)</f>
        <v/>
      </c>
      <c r="H83">
        <f>Assumptions!$B$23/MIN(Assumptions!$B$24/(Assumptions!$B$29+E83+F83+G83+I82),B83*(1-Assumptions!$B$25))</f>
        <v/>
      </c>
      <c r="I83">
        <f>Assumptions!$B$26/MIN(Assumptions!$B$27/(Assumptions!$B$29+E83+F83+G83+H83),B83*(1-Assumptions!$B$28))</f>
        <v/>
      </c>
      <c r="J83">
        <f>Assumptions!$B$29+E83+F83+G83+H83+I83</f>
        <v/>
      </c>
      <c r="K83">
        <f>J83+Assumptions!$B$4/B83</f>
        <v/>
      </c>
      <c r="L83">
        <f>B83</f>
        <v/>
      </c>
    </row>
    <row r="84">
      <c r="A84" t="inlineStr">
        <is>
          <t>Base iter 80</t>
        </is>
      </c>
      <c r="B84">
        <f>Assumptions!$B$3/J83</f>
        <v/>
      </c>
      <c r="C84">
        <f>IF(B84&lt;Assumptions!$B$20,Assumptions!$B$20*(Assumptions!$B$29+Assumptions!$B$4/Assumptions!$B$20)/(Assumptions!$B$29+Assumptions!$B$4/B84),Assumptions!$B$20)</f>
        <v/>
      </c>
      <c r="D84">
        <f>IF(B84&lt;Assumptions!$B$21,Assumptions!$B$21*(Assumptions!$B$29+Assumptions!$B$4/Assumptions!$B$21)/(Assumptions!$B$29+Assumptions!$B$4/B84),Assumptions!$B$21)</f>
        <v/>
      </c>
      <c r="E84">
        <f>Assumptions!$B$37*Assumptions!$B$22/C84-Assumptions!$B$38</f>
        <v/>
      </c>
      <c r="F84">
        <f>Assumptions!$B$39*Assumptions!$B$21/D84-Assumptions!$B$39</f>
        <v/>
      </c>
      <c r="G84">
        <f>MAX(0,Assumptions!$B$7*(Assumptions!$B$29+E84+F84+G83+H83+I83+Assumptions!$B$4/B84)-Assumptions!$B$30)</f>
        <v/>
      </c>
      <c r="H84">
        <f>Assumptions!$B$23/MIN(Assumptions!$B$24/(Assumptions!$B$29+E84+F84+G84+I83),B84*(1-Assumptions!$B$25))</f>
        <v/>
      </c>
      <c r="I84">
        <f>Assumptions!$B$26/MIN(Assumptions!$B$27/(Assumptions!$B$29+E84+F84+G84+H84),B84*(1-Assumptions!$B$28))</f>
        <v/>
      </c>
      <c r="J84">
        <f>Assumptions!$B$29+E84+F84+G84+H84+I84</f>
        <v/>
      </c>
      <c r="K84">
        <f>J84+Assumptions!$B$4/B84</f>
        <v/>
      </c>
      <c r="L84">
        <f>B84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5"/>
  <sheetViews>
    <sheetView workbookViewId="0">
      <selection activeCell="A1" sqref="A1"/>
    </sheetView>
  </sheetViews>
  <sheetFormatPr baseColWidth="8" defaultRowHeight="15"/>
  <cols>
    <col width="3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1" t="inlineStr">
        <is>
          <t>Pro-Forma Post-F Cap Table</t>
        </is>
      </c>
    </row>
    <row r="3">
      <c r="A3" s="1" t="inlineStr">
        <is>
          <t>Round Mechanics (from Solver)</t>
        </is>
      </c>
    </row>
    <row r="4">
      <c r="A4" t="inlineStr">
        <is>
          <t>F PPS (USD)</t>
        </is>
      </c>
      <c r="B4">
        <f>Solver!B84</f>
        <v/>
      </c>
    </row>
    <row r="5">
      <c r="A5" t="inlineStr">
        <is>
          <t>D new conversion price (NCP)</t>
        </is>
      </c>
      <c r="B5">
        <f>Solver!C84</f>
        <v/>
      </c>
    </row>
    <row r="6">
      <c r="A6" t="inlineStr">
        <is>
          <t>E new conversion price (NCP)</t>
        </is>
      </c>
      <c r="B6">
        <f>Solver!D84</f>
        <v/>
      </c>
    </row>
    <row r="7">
      <c r="A7" t="inlineStr">
        <is>
          <t>ΔD shares (AD bump)</t>
        </is>
      </c>
      <c r="B7">
        <f>Solver!E84</f>
        <v/>
      </c>
    </row>
    <row r="8">
      <c r="A8" t="inlineStr">
        <is>
          <t>ΔE shares (AD bump)</t>
        </is>
      </c>
      <c r="B8">
        <f>Solver!F84</f>
        <v/>
      </c>
    </row>
    <row r="9">
      <c r="A9" t="inlineStr">
        <is>
          <t>ESOP top-up shares</t>
        </is>
      </c>
      <c r="B9">
        <f>Solver!G84</f>
        <v/>
      </c>
    </row>
    <row r="10">
      <c r="A10" t="inlineStr">
        <is>
          <t>Note A converted shares</t>
        </is>
      </c>
      <c r="B10">
        <f>M21</f>
        <v/>
      </c>
    </row>
    <row r="11">
      <c r="A11" t="inlineStr">
        <is>
          <t>Note B converted shares</t>
        </is>
      </c>
      <c r="B11">
        <f>M22</f>
        <v/>
      </c>
    </row>
    <row r="12">
      <c r="A12" t="inlineStr">
        <is>
          <t>New F primary shares ($30M / F_PPS)</t>
        </is>
      </c>
      <c r="B12">
        <f>Assumptions!$B$4/B4</f>
        <v/>
      </c>
    </row>
    <row r="13">
      <c r="A13" t="inlineStr">
        <is>
          <t>Pre-money FD</t>
        </is>
      </c>
      <c r="B13">
        <f>Solver!J84</f>
        <v/>
      </c>
    </row>
    <row r="14">
      <c r="A14" t="inlineStr">
        <is>
          <t>Post-F FD (T_F)</t>
        </is>
      </c>
      <c r="B14">
        <f>Solver!K84</f>
        <v/>
      </c>
    </row>
    <row r="15">
      <c r="A15" t="inlineStr">
        <is>
          <t>Tender shares</t>
        </is>
      </c>
      <c r="B15">
        <f>Assumptions!$B$5/(Assumptions!$B$6*B4)</f>
        <v/>
      </c>
    </row>
    <row r="17">
      <c r="A17" s="1" t="inlineStr">
        <is>
          <t>Anti-Dilution Block (Broad-Based WA)</t>
        </is>
      </c>
      <c r="H17" s="1" t="inlineStr">
        <is>
          <t>Convertible Notes Block</t>
        </is>
      </c>
    </row>
    <row r="18">
      <c r="A18" s="2" t="inlineStr">
        <is>
          <t>Class</t>
        </is>
      </c>
      <c r="B18" s="2" t="inlineStr">
        <is>
          <t>OCP</t>
        </is>
      </c>
      <c r="C18" s="2" t="inlineStr">
        <is>
          <t>F_PPS&lt;OCP?</t>
        </is>
      </c>
      <c r="D18" s="2" t="inlineStr">
        <is>
          <t>New CP</t>
        </is>
      </c>
      <c r="E18" s="2" t="inlineStr">
        <is>
          <t>New ratio (compound)</t>
        </is>
      </c>
      <c r="F18" s="2" t="inlineStr">
        <is>
          <t>As-converted shares</t>
        </is>
      </c>
      <c r="H18" s="2" t="inlineStr">
        <is>
          <t>Note</t>
        </is>
      </c>
      <c r="I18" s="2" t="inlineStr">
        <is>
          <t>Cap-implied PPS</t>
        </is>
      </c>
      <c r="J18" s="2" t="inlineStr">
        <is>
          <t>Discount-implied PPS</t>
        </is>
      </c>
      <c r="K18" s="2" t="inlineStr">
        <is>
          <t>Conversion PPS (min)</t>
        </is>
      </c>
      <c r="L18" s="2" t="inlineStr">
        <is>
          <t>Branch</t>
        </is>
      </c>
      <c r="M18" s="2" t="inlineStr">
        <is>
          <t>Shares</t>
        </is>
      </c>
    </row>
    <row r="19">
      <c r="A19" t="inlineStr">
        <is>
          <t>Seed</t>
        </is>
      </c>
      <c r="B19">
        <f>Assumptions!$B$16</f>
        <v/>
      </c>
      <c r="C19">
        <f>IF(B4&lt;B19,"trigger","dormant")</f>
        <v/>
      </c>
      <c r="D19">
        <f>B19</f>
        <v/>
      </c>
      <c r="E19">
        <f>B19/D19</f>
        <v/>
      </c>
      <c r="F19">
        <f>Assumptions!$B$33*E19</f>
        <v/>
      </c>
    </row>
    <row r="20">
      <c r="A20" t="inlineStr">
        <is>
          <t>Series A</t>
        </is>
      </c>
      <c r="B20">
        <f>Assumptions!$B$17</f>
        <v/>
      </c>
      <c r="C20">
        <f>IF(B4&lt;B20,"trigger","dormant")</f>
        <v/>
      </c>
      <c r="D20">
        <f>B20</f>
        <v/>
      </c>
      <c r="E20">
        <f>B20/D20</f>
        <v/>
      </c>
      <c r="F20">
        <f>Assumptions!$B$34*E20</f>
        <v/>
      </c>
    </row>
    <row r="21">
      <c r="A21" t="inlineStr">
        <is>
          <t>Series B</t>
        </is>
      </c>
      <c r="B21">
        <f>Assumptions!$B$18</f>
        <v/>
      </c>
      <c r="C21">
        <f>IF(B4&lt;B21,"trigger","dormant")</f>
        <v/>
      </c>
      <c r="D21">
        <f>B21</f>
        <v/>
      </c>
      <c r="E21">
        <f>B21/D21</f>
        <v/>
      </c>
      <c r="F21">
        <f>Assumptions!$B$35*E21</f>
        <v/>
      </c>
      <c r="H21" t="inlineStr">
        <is>
          <t>Note A</t>
        </is>
      </c>
      <c r="I21">
        <f>Assumptions!$B$24/(Assumptions!$B$29+B7+B8+B9+Solver!I84)</f>
        <v/>
      </c>
      <c r="J21">
        <f>B4*(1-Assumptions!$B$25)</f>
        <v/>
      </c>
      <c r="K21">
        <f>MIN(I21,J21)</f>
        <v/>
      </c>
      <c r="L21">
        <f>IF(I21&lt;J21,"cap","discount")</f>
        <v/>
      </c>
      <c r="M21">
        <f>Assumptions!$B$23/K21</f>
        <v/>
      </c>
    </row>
    <row r="22">
      <c r="A22" t="inlineStr">
        <is>
          <t>Series C</t>
        </is>
      </c>
      <c r="B22">
        <f>Assumptions!$B$19</f>
        <v/>
      </c>
      <c r="C22">
        <f>IF(B4&lt;B22,"trigger","dormant")</f>
        <v/>
      </c>
      <c r="D22">
        <f>B22</f>
        <v/>
      </c>
      <c r="E22">
        <f>B22/D22</f>
        <v/>
      </c>
      <c r="F22">
        <f>Assumptions!$B$36*E22</f>
        <v/>
      </c>
      <c r="H22" t="inlineStr">
        <is>
          <t>Note B</t>
        </is>
      </c>
      <c r="I22">
        <f>Assumptions!$B$27/(Assumptions!$B$29+B7+B8+B9+Solver!H84)</f>
        <v/>
      </c>
      <c r="J22">
        <f>B4*(1-Assumptions!$B$28)</f>
        <v/>
      </c>
      <c r="K22">
        <f>MIN(I22,J22)</f>
        <v/>
      </c>
      <c r="L22">
        <f>IF(I22&lt;J22,"cap","discount")</f>
        <v/>
      </c>
      <c r="M22">
        <f>Assumptions!$B$26/K22</f>
        <v/>
      </c>
    </row>
    <row r="23">
      <c r="A23" t="inlineStr">
        <is>
          <t>Series D</t>
        </is>
      </c>
      <c r="B23">
        <f>Assumptions!$B$20</f>
        <v/>
      </c>
      <c r="C23">
        <f>IF(B4&lt;B23,"trigger","dormant")</f>
        <v/>
      </c>
      <c r="D23">
        <f>B5</f>
        <v/>
      </c>
      <c r="E23">
        <f>Assumptions!$B$22/D23</f>
        <v/>
      </c>
      <c r="F23">
        <f>Assumptions!$B$37*E23</f>
        <v/>
      </c>
    </row>
    <row r="24">
      <c r="A24" t="inlineStr">
        <is>
          <t>Series E</t>
        </is>
      </c>
      <c r="B24">
        <f>Assumptions!$B$21</f>
        <v/>
      </c>
      <c r="C24">
        <f>IF(B4&lt;B24,"trigger","dormant")</f>
        <v/>
      </c>
      <c r="D24">
        <f>B6</f>
        <v/>
      </c>
      <c r="E24">
        <f>Assumptions!$B$21/D24</f>
        <v/>
      </c>
      <c r="F24">
        <f>Assumptions!$B$39*E24</f>
        <v/>
      </c>
    </row>
    <row r="27">
      <c r="A27" s="1" t="inlineStr">
        <is>
          <t>Tender Block (Secondary)</t>
        </is>
      </c>
    </row>
    <row r="28">
      <c r="A28" t="inlineStr">
        <is>
          <t>Tender shares</t>
        </is>
      </c>
      <c r="B28">
        <f>B15</f>
        <v/>
      </c>
    </row>
    <row r="29">
      <c r="A29" t="inlineStr">
        <is>
          <t>F1 share-out (50%)</t>
        </is>
      </c>
      <c r="B29">
        <f>B28*0.5</f>
        <v/>
      </c>
    </row>
    <row r="30">
      <c r="A30" t="inlineStr">
        <is>
          <t>F2 share-out (31.25%)</t>
        </is>
      </c>
      <c r="B30">
        <f>B28*0.3125</f>
        <v/>
      </c>
    </row>
    <row r="31">
      <c r="A31" t="inlineStr">
        <is>
          <t>F3 share-out (18.75%)</t>
        </is>
      </c>
      <c r="B31">
        <f>B28*0.1875</f>
        <v/>
      </c>
    </row>
    <row r="32">
      <c r="A32" t="inlineStr">
        <is>
          <t>F_LEAD secondary common</t>
        </is>
      </c>
      <c r="B32">
        <f>B28</f>
        <v/>
      </c>
    </row>
    <row r="35">
      <c r="A35" s="1" t="inlineStr">
        <is>
          <t>Stakeholder Breakdown (Post-F)</t>
        </is>
      </c>
    </row>
    <row r="36">
      <c r="A36" s="2" t="inlineStr">
        <is>
          <t>Stakeholder</t>
        </is>
      </c>
      <c r="B36" s="2" t="inlineStr">
        <is>
          <t>Common</t>
        </is>
      </c>
      <c r="C36" s="2" t="inlineStr">
        <is>
          <t>Pref Class</t>
        </is>
      </c>
      <c r="D36" s="2" t="inlineStr">
        <is>
          <t>Pref Shares</t>
        </is>
      </c>
      <c r="E36" s="2" t="inlineStr">
        <is>
          <t>Total FD Shares</t>
        </is>
      </c>
      <c r="F36" s="2" t="inlineStr">
        <is>
          <t>Ownership %</t>
        </is>
      </c>
    </row>
    <row r="37">
      <c r="A37" t="inlineStr">
        <is>
          <t>F1</t>
        </is>
      </c>
      <c r="B37">
        <f>Assumptions!$B$46-B29</f>
        <v/>
      </c>
      <c r="C37" t="inlineStr"/>
      <c r="D37">
        <f>0</f>
        <v/>
      </c>
      <c r="E37">
        <f>B37+D37</f>
        <v/>
      </c>
      <c r="F37">
        <f>E37/$B$14</f>
        <v/>
      </c>
    </row>
    <row r="38">
      <c r="A38" t="inlineStr">
        <is>
          <t>F2</t>
        </is>
      </c>
      <c r="B38">
        <f>Assumptions!$B$47-B30</f>
        <v/>
      </c>
      <c r="C38" t="inlineStr"/>
      <c r="D38">
        <f>0</f>
        <v/>
      </c>
      <c r="E38">
        <f>B38+D38</f>
        <v/>
      </c>
      <c r="F38">
        <f>E38/$B$14</f>
        <v/>
      </c>
    </row>
    <row r="39">
      <c r="A39" t="inlineStr">
        <is>
          <t>F3</t>
        </is>
      </c>
      <c r="B39">
        <f>Assumptions!$B$48-B31</f>
        <v/>
      </c>
      <c r="C39" t="inlineStr"/>
      <c r="D39">
        <f>0</f>
        <v/>
      </c>
      <c r="E39">
        <f>B39+D39</f>
        <v/>
      </c>
      <c r="F39">
        <f>E39/$B$14</f>
        <v/>
      </c>
    </row>
    <row r="40">
      <c r="A40" t="inlineStr">
        <is>
          <t>RSA holders (E1-E10)</t>
        </is>
      </c>
      <c r="B40">
        <f>Assumptions!$B$49</f>
        <v/>
      </c>
      <c r="C40" t="inlineStr"/>
      <c r="D40">
        <f>0</f>
        <v/>
      </c>
      <c r="E40">
        <f>B40+D40</f>
        <v/>
      </c>
      <c r="F40">
        <f>E40/$B$14</f>
        <v/>
      </c>
    </row>
    <row r="41">
      <c r="A41" t="inlineStr">
        <is>
          <t>SEED1</t>
        </is>
      </c>
      <c r="B41">
        <f>0</f>
        <v/>
      </c>
      <c r="C41" t="inlineStr">
        <is>
          <t>Seed</t>
        </is>
      </c>
      <c r="D41">
        <f>Assumptions!$B$33</f>
        <v/>
      </c>
      <c r="E41">
        <f>B41+D41</f>
        <v/>
      </c>
      <c r="F41">
        <f>E41/$B$14</f>
        <v/>
      </c>
    </row>
    <row r="42">
      <c r="A42" t="inlineStr">
        <is>
          <t>A1</t>
        </is>
      </c>
      <c r="B42">
        <f>0</f>
        <v/>
      </c>
      <c r="C42" t="inlineStr">
        <is>
          <t>Series A</t>
        </is>
      </c>
      <c r="D42">
        <f>Assumptions!$B$34</f>
        <v/>
      </c>
      <c r="E42">
        <f>B42+D42</f>
        <v/>
      </c>
      <c r="F42">
        <f>E42/$B$14</f>
        <v/>
      </c>
    </row>
    <row r="43">
      <c r="A43" t="inlineStr">
        <is>
          <t>B1</t>
        </is>
      </c>
      <c r="B43">
        <f>0</f>
        <v/>
      </c>
      <c r="C43" t="inlineStr">
        <is>
          <t>Series B</t>
        </is>
      </c>
      <c r="D43">
        <f>Assumptions!$B$35</f>
        <v/>
      </c>
      <c r="E43">
        <f>B43+D43</f>
        <v/>
      </c>
      <c r="F43">
        <f>E43/$B$14</f>
        <v/>
      </c>
    </row>
    <row r="44">
      <c r="A44" t="inlineStr">
        <is>
          <t>C1</t>
        </is>
      </c>
      <c r="B44">
        <f>0</f>
        <v/>
      </c>
      <c r="C44" t="inlineStr">
        <is>
          <t>Series C</t>
        </is>
      </c>
      <c r="D44">
        <f>Assumptions!$B$36</f>
        <v/>
      </c>
      <c r="E44">
        <f>B44+D44</f>
        <v/>
      </c>
      <c r="F44">
        <f>E44/$B$14</f>
        <v/>
      </c>
    </row>
    <row r="45">
      <c r="A45" t="inlineStr">
        <is>
          <t>D1</t>
        </is>
      </c>
      <c r="B45">
        <f>0</f>
        <v/>
      </c>
      <c r="C45" t="inlineStr">
        <is>
          <t>Series D</t>
        </is>
      </c>
      <c r="D45">
        <f>F23</f>
        <v/>
      </c>
      <c r="E45">
        <f>B45+D45</f>
        <v/>
      </c>
      <c r="F45">
        <f>E45/$B$14</f>
        <v/>
      </c>
    </row>
    <row r="46">
      <c r="A46" t="inlineStr">
        <is>
          <t>Series E LPs (10)</t>
        </is>
      </c>
      <c r="B46">
        <f>0</f>
        <v/>
      </c>
      <c r="C46" t="inlineStr">
        <is>
          <t>Series E</t>
        </is>
      </c>
      <c r="D46">
        <f>F24</f>
        <v/>
      </c>
      <c r="E46">
        <f>B46+D46</f>
        <v/>
      </c>
      <c r="F46">
        <f>E46/$B$14</f>
        <v/>
      </c>
    </row>
    <row r="47">
      <c r="A47" t="inlineStr">
        <is>
          <t>NA1 (Note A)</t>
        </is>
      </c>
      <c r="B47">
        <f>M21</f>
        <v/>
      </c>
      <c r="C47" t="inlineStr">
        <is>
          <t>Common (note conv)</t>
        </is>
      </c>
      <c r="D47">
        <f>0</f>
        <v/>
      </c>
      <c r="E47">
        <f>B47+D47</f>
        <v/>
      </c>
      <c r="F47">
        <f>E47/$B$14</f>
        <v/>
      </c>
    </row>
    <row r="48">
      <c r="A48" t="inlineStr">
        <is>
          <t>NB1 (Note B)</t>
        </is>
      </c>
      <c r="B48">
        <f>M22</f>
        <v/>
      </c>
      <c r="C48" t="inlineStr">
        <is>
          <t>Common (note conv)</t>
        </is>
      </c>
      <c r="D48">
        <f>0</f>
        <v/>
      </c>
      <c r="E48">
        <f>B48+D48</f>
        <v/>
      </c>
      <c r="F48">
        <f>E48/$B$14</f>
        <v/>
      </c>
    </row>
    <row r="49">
      <c r="A49" t="inlineStr">
        <is>
          <t>F_LEAD (primary)</t>
        </is>
      </c>
      <c r="B49">
        <f>0</f>
        <v/>
      </c>
      <c r="C49" t="inlineStr">
        <is>
          <t>Series F</t>
        </is>
      </c>
      <c r="D49">
        <f>Assumptions!$B$9/B4</f>
        <v/>
      </c>
      <c r="E49">
        <f>B49+D49</f>
        <v/>
      </c>
      <c r="F49">
        <f>E49/$B$14</f>
        <v/>
      </c>
    </row>
    <row r="50">
      <c r="A50" t="inlineStr">
        <is>
          <t>F_LEAD (secondary common)</t>
        </is>
      </c>
      <c r="B50">
        <f>B32</f>
        <v/>
      </c>
      <c r="C50" t="inlineStr"/>
      <c r="D50">
        <f>0</f>
        <v/>
      </c>
      <c r="E50">
        <f>B50+D50</f>
        <v/>
      </c>
      <c r="F50">
        <f>E50/$B$14</f>
        <v/>
      </c>
    </row>
    <row r="51">
      <c r="A51" t="inlineStr">
        <is>
          <t>F_FUND (our fund)</t>
        </is>
      </c>
      <c r="B51">
        <f>0</f>
        <v/>
      </c>
      <c r="C51" t="inlineStr">
        <is>
          <t>Series F</t>
        </is>
      </c>
      <c r="D51">
        <f>Assumptions!$B$8/B4</f>
        <v/>
      </c>
      <c r="E51">
        <f>B51+D51</f>
        <v/>
      </c>
      <c r="F51">
        <f>E51/$B$14</f>
        <v/>
      </c>
    </row>
    <row r="52">
      <c r="A52" t="inlineStr">
        <is>
          <t>Issued options</t>
        </is>
      </c>
      <c r="B52">
        <f>0</f>
        <v/>
      </c>
      <c r="C52" t="inlineStr">
        <is>
          <t>Options (issued)</t>
        </is>
      </c>
      <c r="D52">
        <f>Assumptions!$B$31</f>
        <v/>
      </c>
      <c r="E52">
        <f>B52+D52</f>
        <v/>
      </c>
      <c r="F52">
        <f>E52/$B$14</f>
        <v/>
      </c>
    </row>
    <row r="53">
      <c r="A53" t="inlineStr">
        <is>
          <t>Unissued options (ESOP)</t>
        </is>
      </c>
      <c r="B53">
        <f>0</f>
        <v/>
      </c>
      <c r="C53" t="inlineStr">
        <is>
          <t>Options (unissued)</t>
        </is>
      </c>
      <c r="D53">
        <f>Assumptions!$B$32+B9</f>
        <v/>
      </c>
      <c r="E53">
        <f>B53+D53</f>
        <v/>
      </c>
      <c r="F53">
        <f>E53/$B$14</f>
        <v/>
      </c>
    </row>
    <row r="55">
      <c r="A55" s="1" t="inlineStr">
        <is>
          <t>TOTAL</t>
        </is>
      </c>
      <c r="B55">
        <f>SUM(B37:B54)</f>
        <v/>
      </c>
      <c r="D55">
        <f>SUM(D37:D54)</f>
        <v/>
      </c>
      <c r="E55">
        <f>SUM(E37:E54)</f>
        <v/>
      </c>
      <c r="F55">
        <f>SUM(F37:F54)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18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1" t="inlineStr">
        <is>
          <t>Waterfall by Exit Value</t>
        </is>
      </c>
    </row>
    <row r="3">
      <c r="A3" s="2" t="inlineStr">
        <is>
          <t>Class</t>
        </is>
      </c>
      <c r="B3" s="2" t="inlineStr">
        <is>
          <t>LP ($)</t>
        </is>
      </c>
      <c r="C3" s="2" t="inlineStr">
        <is>
          <t>Post-F shares</t>
        </is>
      </c>
    </row>
    <row r="4">
      <c r="A4" t="inlineStr">
        <is>
          <t>F</t>
        </is>
      </c>
      <c r="B4">
        <f>Assumptions!$B$4</f>
        <v/>
      </c>
      <c r="C4">
        <f>Assumptions!$B$4/'Pro-Forma'!$B$4</f>
        <v/>
      </c>
    </row>
    <row r="5">
      <c r="A5" t="inlineStr">
        <is>
          <t>E</t>
        </is>
      </c>
      <c r="B5">
        <f>Assumptions!$B$45</f>
        <v/>
      </c>
      <c r="C5">
        <f>'Pro-Forma'!$F$24</f>
        <v/>
      </c>
    </row>
    <row r="6">
      <c r="A6" t="inlineStr">
        <is>
          <t>D</t>
        </is>
      </c>
      <c r="B6">
        <f>Assumptions!$B$44</f>
        <v/>
      </c>
      <c r="C6">
        <f>'Pro-Forma'!$F$23</f>
        <v/>
      </c>
    </row>
    <row r="7">
      <c r="A7" t="inlineStr">
        <is>
          <t>C</t>
        </is>
      </c>
      <c r="B7">
        <f>Assumptions!$B$43</f>
        <v/>
      </c>
      <c r="C7">
        <f>Assumptions!$B$36</f>
        <v/>
      </c>
    </row>
    <row r="8">
      <c r="A8" t="inlineStr">
        <is>
          <t>B</t>
        </is>
      </c>
      <c r="B8">
        <f>Assumptions!$B$42</f>
        <v/>
      </c>
      <c r="C8">
        <f>Assumptions!$B$35</f>
        <v/>
      </c>
    </row>
    <row r="9">
      <c r="A9" t="inlineStr">
        <is>
          <t>A</t>
        </is>
      </c>
      <c r="B9">
        <f>Assumptions!$B$41</f>
        <v/>
      </c>
      <c r="C9">
        <f>Assumptions!$B$34</f>
        <v/>
      </c>
    </row>
    <row r="10">
      <c r="A10" t="inlineStr">
        <is>
          <t>Seed</t>
        </is>
      </c>
      <c r="B10">
        <f>Assumptions!$B$40</f>
        <v/>
      </c>
      <c r="C10">
        <f>Assumptions!$B$33</f>
        <v/>
      </c>
    </row>
    <row r="12">
      <c r="A12" t="inlineStr">
        <is>
          <t>Exit Value (USD)</t>
        </is>
      </c>
      <c r="B12">
        <f>Assumptions!$B$11</f>
        <v/>
      </c>
      <c r="C12">
        <f>Assumptions!$B$12</f>
        <v/>
      </c>
      <c r="D12">
        <f>Assumptions!$B$13</f>
        <v/>
      </c>
      <c r="E12">
        <f>Assumptions!$B$14</f>
        <v/>
      </c>
      <c r="F12">
        <f>Assumptions!$B$15</f>
        <v/>
      </c>
    </row>
    <row r="14">
      <c r="A14" s="1" t="inlineStr">
        <is>
          <t>35 Election Cells (formula-driven IF)</t>
        </is>
      </c>
    </row>
    <row r="16">
      <c r="A16" s="1" t="inlineStr">
        <is>
          <t>Exit 1 iteration ladder</t>
        </is>
      </c>
    </row>
    <row r="17">
      <c r="A17" s="2" t="inlineStr">
        <is>
          <t>Step</t>
        </is>
      </c>
      <c r="B17" s="2" t="inlineStr">
        <is>
          <t>F_el</t>
        </is>
      </c>
      <c r="C17" s="2" t="inlineStr">
        <is>
          <t>E_el</t>
        </is>
      </c>
      <c r="D17" s="2" t="inlineStr">
        <is>
          <t>D_el</t>
        </is>
      </c>
      <c r="E17" s="2" t="inlineStr">
        <is>
          <t>C_el</t>
        </is>
      </c>
      <c r="F17" s="2" t="inlineStr">
        <is>
          <t>B_el</t>
        </is>
      </c>
      <c r="G17" s="2" t="inlineStr">
        <is>
          <t>A_el</t>
        </is>
      </c>
      <c r="H17" s="2" t="inlineStr">
        <is>
          <t>Seed_el</t>
        </is>
      </c>
      <c r="I17" s="2" t="inlineStr">
        <is>
          <t>prefs</t>
        </is>
      </c>
      <c r="J17" s="2" t="inlineStr">
        <is>
          <t>conv_sh</t>
        </is>
      </c>
      <c r="K17" s="2" t="inlineStr">
        <is>
          <t>cpool</t>
        </is>
      </c>
      <c r="L17" s="2" t="inlineStr">
        <is>
          <t>ITM_PPS</t>
        </is>
      </c>
      <c r="M17" s="2" t="inlineStr">
        <is>
          <t>ITM?</t>
        </is>
      </c>
      <c r="N17" s="2" t="inlineStr">
        <is>
          <t>common_PPS</t>
        </is>
      </c>
      <c r="O17" s="2" t="inlineStr">
        <is>
          <t>opt_proc</t>
        </is>
      </c>
    </row>
    <row r="18">
      <c r="A18" t="inlineStr">
        <is>
          <t>seed (all convert)</t>
        </is>
      </c>
      <c r="B18">
        <f>"convert"</f>
        <v/>
      </c>
      <c r="C18">
        <f>"convert"</f>
        <v/>
      </c>
      <c r="D18">
        <f>"convert"</f>
        <v/>
      </c>
      <c r="E18">
        <f>"convert"</f>
        <v/>
      </c>
      <c r="F18">
        <f>"convert"</f>
        <v/>
      </c>
      <c r="G18">
        <f>"convert"</f>
        <v/>
      </c>
      <c r="H18">
        <f>"convert"</f>
        <v/>
      </c>
      <c r="I18">
        <f>IF(B18="preference",$B$4,0)+IF(C18="preference",$B$5,0)+IF(D18="preference",$B$6,0)+IF(E18="preference",$B$7,0)+IF(F18="preference",$B$8,0)+IF(G18="preference",$B$9,0)+IF(H18="preference",$B$10,0)</f>
        <v/>
      </c>
      <c r="J18">
        <f>IF(B18="convert",$C$4,0)+IF(C18="convert",$C$5,0)+IF(D18="convert",$C$6,0)+IF(E18="convert",$C$7,0)+IF(F18="convert",$C$8,0)+IF(G18="convert",$C$9,0)+IF(H18="convert",$C$10,0)</f>
        <v/>
      </c>
      <c r="K18">
        <f>(Assumptions!$B$46+Assumptions!$B$47+Assumptions!$B$48)+Assumptions!$B$49+('Pro-Forma'!$M$21+'Pro-Forma'!$M$22)+J18</f>
        <v/>
      </c>
      <c r="L18">
        <f>(B12-I18+Assumptions!$B$31*Assumptions!$B$10)/(K18+Assumptions!$B$31)</f>
        <v/>
      </c>
      <c r="M18">
        <f>IF(L18&gt;Assumptions!$B$10,"yes","no")</f>
        <v/>
      </c>
      <c r="N18">
        <f>IF(M18="yes",L18,MAX(0,(B12-I18)/K18))</f>
        <v/>
      </c>
      <c r="O18">
        <f>IF(M18="yes",Assumptions!$B$31*(N18-Assumptions!$B$10),0)</f>
        <v/>
      </c>
    </row>
    <row r="19">
      <c r="A19" t="inlineStr">
        <is>
          <t>iter 1</t>
        </is>
      </c>
      <c r="B19">
        <f>IF($B$4&gt;$C$4*N18,"preference","convert")</f>
        <v/>
      </c>
      <c r="C19">
        <f>IF($B$5&gt;$C$5*N18,"preference","convert")</f>
        <v/>
      </c>
      <c r="D19">
        <f>IF($B$6&gt;$C$6*N18,"preference","convert")</f>
        <v/>
      </c>
      <c r="E19">
        <f>IF($B$7&gt;$C$7*N18,"preference","convert")</f>
        <v/>
      </c>
      <c r="F19">
        <f>IF($B$8&gt;$C$8*N18,"preference","convert")</f>
        <v/>
      </c>
      <c r="G19">
        <f>IF($B$9&gt;$C$9*N18,"preference","convert")</f>
        <v/>
      </c>
      <c r="H19">
        <f>IF($B$10&gt;$C$10*N18,"preference","convert")</f>
        <v/>
      </c>
      <c r="I19">
        <f>IF(B19="preference",$B$4,0)+IF(C19="preference",$B$5,0)+IF(D19="preference",$B$6,0)+IF(E19="preference",$B$7,0)+IF(F19="preference",$B$8,0)+IF(G19="preference",$B$9,0)+IF(H19="preference",$B$10,0)</f>
        <v/>
      </c>
      <c r="J19">
        <f>IF(B19="convert",$C$4,0)+IF(C19="convert",$C$5,0)+IF(D19="convert",$C$6,0)+IF(E19="convert",$C$7,0)+IF(F19="convert",$C$8,0)+IF(G19="convert",$C$9,0)+IF(H19="convert",$C$10,0)</f>
        <v/>
      </c>
      <c r="K19">
        <f>(Assumptions!$B$46+Assumptions!$B$47+Assumptions!$B$48)+Assumptions!$B$49+('Pro-Forma'!$M$21+'Pro-Forma'!$M$22)+J19</f>
        <v/>
      </c>
      <c r="L19">
        <f>(B12-I19+Assumptions!$B$31*Assumptions!$B$10)/(K19+Assumptions!$B$31)</f>
        <v/>
      </c>
      <c r="M19">
        <f>IF(L19&gt;Assumptions!$B$10,"yes","no")</f>
        <v/>
      </c>
      <c r="N19">
        <f>IF(M19="yes",L19,MAX(0,(B12-I19)/K19))</f>
        <v/>
      </c>
      <c r="O19">
        <f>IF(M19="yes",Assumptions!$B$31*(N19-Assumptions!$B$10),0)</f>
        <v/>
      </c>
    </row>
    <row r="20">
      <c r="A20" t="inlineStr">
        <is>
          <t>iter 2</t>
        </is>
      </c>
      <c r="B20">
        <f>IF($B$4&gt;$C$4*N19,"preference","convert")</f>
        <v/>
      </c>
      <c r="C20">
        <f>IF($B$5&gt;$C$5*N19,"preference","convert")</f>
        <v/>
      </c>
      <c r="D20">
        <f>IF($B$6&gt;$C$6*N19,"preference","convert")</f>
        <v/>
      </c>
      <c r="E20">
        <f>IF($B$7&gt;$C$7*N19,"preference","convert")</f>
        <v/>
      </c>
      <c r="F20">
        <f>IF($B$8&gt;$C$8*N19,"preference","convert")</f>
        <v/>
      </c>
      <c r="G20">
        <f>IF($B$9&gt;$C$9*N19,"preference","convert")</f>
        <v/>
      </c>
      <c r="H20">
        <f>IF($B$10&gt;$C$10*N19,"preference","convert")</f>
        <v/>
      </c>
      <c r="I20">
        <f>IF(B20="preference",$B$4,0)+IF(C20="preference",$B$5,0)+IF(D20="preference",$B$6,0)+IF(E20="preference",$B$7,0)+IF(F20="preference",$B$8,0)+IF(G20="preference",$B$9,0)+IF(H20="preference",$B$10,0)</f>
        <v/>
      </c>
      <c r="J20">
        <f>IF(B20="convert",$C$4,0)+IF(C20="convert",$C$5,0)+IF(D20="convert",$C$6,0)+IF(E20="convert",$C$7,0)+IF(F20="convert",$C$8,0)+IF(G20="convert",$C$9,0)+IF(H20="convert",$C$10,0)</f>
        <v/>
      </c>
      <c r="K20">
        <f>(Assumptions!$B$46+Assumptions!$B$47+Assumptions!$B$48)+Assumptions!$B$49+('Pro-Forma'!$M$21+'Pro-Forma'!$M$22)+J20</f>
        <v/>
      </c>
      <c r="L20">
        <f>(B12-I20+Assumptions!$B$31*Assumptions!$B$10)/(K20+Assumptions!$B$31)</f>
        <v/>
      </c>
      <c r="M20">
        <f>IF(L20&gt;Assumptions!$B$10,"yes","no")</f>
        <v/>
      </c>
      <c r="N20">
        <f>IF(M20="yes",L20,MAX(0,(B12-I20)/K20))</f>
        <v/>
      </c>
      <c r="O20">
        <f>IF(M20="yes",Assumptions!$B$31*(N20-Assumptions!$B$10),0)</f>
        <v/>
      </c>
    </row>
    <row r="21">
      <c r="A21" t="inlineStr">
        <is>
          <t>iter 3</t>
        </is>
      </c>
      <c r="B21">
        <f>IF($B$4&gt;$C$4*N20,"preference","convert")</f>
        <v/>
      </c>
      <c r="C21">
        <f>IF($B$5&gt;$C$5*N20,"preference","convert")</f>
        <v/>
      </c>
      <c r="D21">
        <f>IF($B$6&gt;$C$6*N20,"preference","convert")</f>
        <v/>
      </c>
      <c r="E21">
        <f>IF($B$7&gt;$C$7*N20,"preference","convert")</f>
        <v/>
      </c>
      <c r="F21">
        <f>IF($B$8&gt;$C$8*N20,"preference","convert")</f>
        <v/>
      </c>
      <c r="G21">
        <f>IF($B$9&gt;$C$9*N20,"preference","convert")</f>
        <v/>
      </c>
      <c r="H21">
        <f>IF($B$10&gt;$C$10*N20,"preference","convert")</f>
        <v/>
      </c>
      <c r="I21">
        <f>IF(B21="preference",$B$4,0)+IF(C21="preference",$B$5,0)+IF(D21="preference",$B$6,0)+IF(E21="preference",$B$7,0)+IF(F21="preference",$B$8,0)+IF(G21="preference",$B$9,0)+IF(H21="preference",$B$10,0)</f>
        <v/>
      </c>
      <c r="J21">
        <f>IF(B21="convert",$C$4,0)+IF(C21="convert",$C$5,0)+IF(D21="convert",$C$6,0)+IF(E21="convert",$C$7,0)+IF(F21="convert",$C$8,0)+IF(G21="convert",$C$9,0)+IF(H21="convert",$C$10,0)</f>
        <v/>
      </c>
      <c r="K21">
        <f>(Assumptions!$B$46+Assumptions!$B$47+Assumptions!$B$48)+Assumptions!$B$49+('Pro-Forma'!$M$21+'Pro-Forma'!$M$22)+J21</f>
        <v/>
      </c>
      <c r="L21">
        <f>(B12-I21+Assumptions!$B$31*Assumptions!$B$10)/(K21+Assumptions!$B$31)</f>
        <v/>
      </c>
      <c r="M21">
        <f>IF(L21&gt;Assumptions!$B$10,"yes","no")</f>
        <v/>
      </c>
      <c r="N21">
        <f>IF(M21="yes",L21,MAX(0,(B12-I21)/K21))</f>
        <v/>
      </c>
      <c r="O21">
        <f>IF(M21="yes",Assumptions!$B$31*(N21-Assumptions!$B$10),0)</f>
        <v/>
      </c>
    </row>
    <row r="22">
      <c r="A22" t="inlineStr">
        <is>
          <t>iter 4</t>
        </is>
      </c>
      <c r="B22">
        <f>IF($B$4&gt;$C$4*N21,"preference","convert")</f>
        <v/>
      </c>
      <c r="C22">
        <f>IF($B$5&gt;$C$5*N21,"preference","convert")</f>
        <v/>
      </c>
      <c r="D22">
        <f>IF($B$6&gt;$C$6*N21,"preference","convert")</f>
        <v/>
      </c>
      <c r="E22">
        <f>IF($B$7&gt;$C$7*N21,"preference","convert")</f>
        <v/>
      </c>
      <c r="F22">
        <f>IF($B$8&gt;$C$8*N21,"preference","convert")</f>
        <v/>
      </c>
      <c r="G22">
        <f>IF($B$9&gt;$C$9*N21,"preference","convert")</f>
        <v/>
      </c>
      <c r="H22">
        <f>IF($B$10&gt;$C$10*N21,"preference","convert")</f>
        <v/>
      </c>
      <c r="I22">
        <f>IF(B22="preference",$B$4,0)+IF(C22="preference",$B$5,0)+IF(D22="preference",$B$6,0)+IF(E22="preference",$B$7,0)+IF(F22="preference",$B$8,0)+IF(G22="preference",$B$9,0)+IF(H22="preference",$B$10,0)</f>
        <v/>
      </c>
      <c r="J22">
        <f>IF(B22="convert",$C$4,0)+IF(C22="convert",$C$5,0)+IF(D22="convert",$C$6,0)+IF(E22="convert",$C$7,0)+IF(F22="convert",$C$8,0)+IF(G22="convert",$C$9,0)+IF(H22="convert",$C$10,0)</f>
        <v/>
      </c>
      <c r="K22">
        <f>(Assumptions!$B$46+Assumptions!$B$47+Assumptions!$B$48)+Assumptions!$B$49+('Pro-Forma'!$M$21+'Pro-Forma'!$M$22)+J22</f>
        <v/>
      </c>
      <c r="L22">
        <f>(B12-I22+Assumptions!$B$31*Assumptions!$B$10)/(K22+Assumptions!$B$31)</f>
        <v/>
      </c>
      <c r="M22">
        <f>IF(L22&gt;Assumptions!$B$10,"yes","no")</f>
        <v/>
      </c>
      <c r="N22">
        <f>IF(M22="yes",L22,MAX(0,(B12-I22)/K22))</f>
        <v/>
      </c>
      <c r="O22">
        <f>IF(M22="yes",Assumptions!$B$31*(N22-Assumptions!$B$10),0)</f>
        <v/>
      </c>
    </row>
    <row r="23">
      <c r="A23" t="inlineStr">
        <is>
          <t>iter 5</t>
        </is>
      </c>
      <c r="B23">
        <f>IF($B$4&gt;$C$4*N22,"preference","convert")</f>
        <v/>
      </c>
      <c r="C23">
        <f>IF($B$5&gt;$C$5*N22,"preference","convert")</f>
        <v/>
      </c>
      <c r="D23">
        <f>IF($B$6&gt;$C$6*N22,"preference","convert")</f>
        <v/>
      </c>
      <c r="E23">
        <f>IF($B$7&gt;$C$7*N22,"preference","convert")</f>
        <v/>
      </c>
      <c r="F23">
        <f>IF($B$8&gt;$C$8*N22,"preference","convert")</f>
        <v/>
      </c>
      <c r="G23">
        <f>IF($B$9&gt;$C$9*N22,"preference","convert")</f>
        <v/>
      </c>
      <c r="H23">
        <f>IF($B$10&gt;$C$10*N22,"preference","convert")</f>
        <v/>
      </c>
      <c r="I23">
        <f>IF(B23="preference",$B$4,0)+IF(C23="preference",$B$5,0)+IF(D23="preference",$B$6,0)+IF(E23="preference",$B$7,0)+IF(F23="preference",$B$8,0)+IF(G23="preference",$B$9,0)+IF(H23="preference",$B$10,0)</f>
        <v/>
      </c>
      <c r="J23">
        <f>IF(B23="convert",$C$4,0)+IF(C23="convert",$C$5,0)+IF(D23="convert",$C$6,0)+IF(E23="convert",$C$7,0)+IF(F23="convert",$C$8,0)+IF(G23="convert",$C$9,0)+IF(H23="convert",$C$10,0)</f>
        <v/>
      </c>
      <c r="K23">
        <f>(Assumptions!$B$46+Assumptions!$B$47+Assumptions!$B$48)+Assumptions!$B$49+('Pro-Forma'!$M$21+'Pro-Forma'!$M$22)+J23</f>
        <v/>
      </c>
      <c r="L23">
        <f>(B12-I23+Assumptions!$B$31*Assumptions!$B$10)/(K23+Assumptions!$B$31)</f>
        <v/>
      </c>
      <c r="M23">
        <f>IF(L23&gt;Assumptions!$B$10,"yes","no")</f>
        <v/>
      </c>
      <c r="N23">
        <f>IF(M23="yes",L23,MAX(0,(B12-I23)/K23))</f>
        <v/>
      </c>
      <c r="O23">
        <f>IF(M23="yes",Assumptions!$B$31*(N23-Assumptions!$B$10),0)</f>
        <v/>
      </c>
    </row>
    <row r="24">
      <c r="A24" t="inlineStr">
        <is>
          <t>iter 6</t>
        </is>
      </c>
      <c r="B24">
        <f>IF($B$4&gt;$C$4*N23,"preference","convert")</f>
        <v/>
      </c>
      <c r="C24">
        <f>IF($B$5&gt;$C$5*N23,"preference","convert")</f>
        <v/>
      </c>
      <c r="D24">
        <f>IF($B$6&gt;$C$6*N23,"preference","convert")</f>
        <v/>
      </c>
      <c r="E24">
        <f>IF($B$7&gt;$C$7*N23,"preference","convert")</f>
        <v/>
      </c>
      <c r="F24">
        <f>IF($B$8&gt;$C$8*N23,"preference","convert")</f>
        <v/>
      </c>
      <c r="G24">
        <f>IF($B$9&gt;$C$9*N23,"preference","convert")</f>
        <v/>
      </c>
      <c r="H24">
        <f>IF($B$10&gt;$C$10*N23,"preference","convert")</f>
        <v/>
      </c>
      <c r="I24">
        <f>IF(B24="preference",$B$4,0)+IF(C24="preference",$B$5,0)+IF(D24="preference",$B$6,0)+IF(E24="preference",$B$7,0)+IF(F24="preference",$B$8,0)+IF(G24="preference",$B$9,0)+IF(H24="preference",$B$10,0)</f>
        <v/>
      </c>
      <c r="J24">
        <f>IF(B24="convert",$C$4,0)+IF(C24="convert",$C$5,0)+IF(D24="convert",$C$6,0)+IF(E24="convert",$C$7,0)+IF(F24="convert",$C$8,0)+IF(G24="convert",$C$9,0)+IF(H24="convert",$C$10,0)</f>
        <v/>
      </c>
      <c r="K24">
        <f>(Assumptions!$B$46+Assumptions!$B$47+Assumptions!$B$48)+Assumptions!$B$49+('Pro-Forma'!$M$21+'Pro-Forma'!$M$22)+J24</f>
        <v/>
      </c>
      <c r="L24">
        <f>(B12-I24+Assumptions!$B$31*Assumptions!$B$10)/(K24+Assumptions!$B$31)</f>
        <v/>
      </c>
      <c r="M24">
        <f>IF(L24&gt;Assumptions!$B$10,"yes","no")</f>
        <v/>
      </c>
      <c r="N24">
        <f>IF(M24="yes",L24,MAX(0,(B12-I24)/K24))</f>
        <v/>
      </c>
      <c r="O24">
        <f>IF(M24="yes",Assumptions!$B$31*(N24-Assumptions!$B$10),0)</f>
        <v/>
      </c>
    </row>
    <row r="25">
      <c r="A25" t="inlineStr">
        <is>
          <t>iter 7</t>
        </is>
      </c>
      <c r="B25">
        <f>IF($B$4&gt;$C$4*N24,"preference","convert")</f>
        <v/>
      </c>
      <c r="C25">
        <f>IF($B$5&gt;$C$5*N24,"preference","convert")</f>
        <v/>
      </c>
      <c r="D25">
        <f>IF($B$6&gt;$C$6*N24,"preference","convert")</f>
        <v/>
      </c>
      <c r="E25">
        <f>IF($B$7&gt;$C$7*N24,"preference","convert")</f>
        <v/>
      </c>
      <c r="F25">
        <f>IF($B$8&gt;$C$8*N24,"preference","convert")</f>
        <v/>
      </c>
      <c r="G25">
        <f>IF($B$9&gt;$C$9*N24,"preference","convert")</f>
        <v/>
      </c>
      <c r="H25">
        <f>IF($B$10&gt;$C$10*N24,"preference","convert")</f>
        <v/>
      </c>
      <c r="I25">
        <f>IF(B25="preference",$B$4,0)+IF(C25="preference",$B$5,0)+IF(D25="preference",$B$6,0)+IF(E25="preference",$B$7,0)+IF(F25="preference",$B$8,0)+IF(G25="preference",$B$9,0)+IF(H25="preference",$B$10,0)</f>
        <v/>
      </c>
      <c r="J25">
        <f>IF(B25="convert",$C$4,0)+IF(C25="convert",$C$5,0)+IF(D25="convert",$C$6,0)+IF(E25="convert",$C$7,0)+IF(F25="convert",$C$8,0)+IF(G25="convert",$C$9,0)+IF(H25="convert",$C$10,0)</f>
        <v/>
      </c>
      <c r="K25">
        <f>(Assumptions!$B$46+Assumptions!$B$47+Assumptions!$B$48)+Assumptions!$B$49+('Pro-Forma'!$M$21+'Pro-Forma'!$M$22)+J25</f>
        <v/>
      </c>
      <c r="L25">
        <f>(B12-I25+Assumptions!$B$31*Assumptions!$B$10)/(K25+Assumptions!$B$31)</f>
        <v/>
      </c>
      <c r="M25">
        <f>IF(L25&gt;Assumptions!$B$10,"yes","no")</f>
        <v/>
      </c>
      <c r="N25">
        <f>IF(M25="yes",L25,MAX(0,(B12-I25)/K25))</f>
        <v/>
      </c>
      <c r="O25">
        <f>IF(M25="yes",Assumptions!$B$31*(N25-Assumptions!$B$10),0)</f>
        <v/>
      </c>
    </row>
    <row r="26">
      <c r="A26" t="inlineStr">
        <is>
          <t>iter 8</t>
        </is>
      </c>
      <c r="B26">
        <f>IF($B$4&gt;$C$4*N25,"preference","convert")</f>
        <v/>
      </c>
      <c r="C26">
        <f>IF($B$5&gt;$C$5*N25,"preference","convert")</f>
        <v/>
      </c>
      <c r="D26">
        <f>IF($B$6&gt;$C$6*N25,"preference","convert")</f>
        <v/>
      </c>
      <c r="E26">
        <f>IF($B$7&gt;$C$7*N25,"preference","convert")</f>
        <v/>
      </c>
      <c r="F26">
        <f>IF($B$8&gt;$C$8*N25,"preference","convert")</f>
        <v/>
      </c>
      <c r="G26">
        <f>IF($B$9&gt;$C$9*N25,"preference","convert")</f>
        <v/>
      </c>
      <c r="H26">
        <f>IF($B$10&gt;$C$10*N25,"preference","convert")</f>
        <v/>
      </c>
      <c r="I26">
        <f>IF(B26="preference",$B$4,0)+IF(C26="preference",$B$5,0)+IF(D26="preference",$B$6,0)+IF(E26="preference",$B$7,0)+IF(F26="preference",$B$8,0)+IF(G26="preference",$B$9,0)+IF(H26="preference",$B$10,0)</f>
        <v/>
      </c>
      <c r="J26">
        <f>IF(B26="convert",$C$4,0)+IF(C26="convert",$C$5,0)+IF(D26="convert",$C$6,0)+IF(E26="convert",$C$7,0)+IF(F26="convert",$C$8,0)+IF(G26="convert",$C$9,0)+IF(H26="convert",$C$10,0)</f>
        <v/>
      </c>
      <c r="K26">
        <f>(Assumptions!$B$46+Assumptions!$B$47+Assumptions!$B$48)+Assumptions!$B$49+('Pro-Forma'!$M$21+'Pro-Forma'!$M$22)+J26</f>
        <v/>
      </c>
      <c r="L26">
        <f>(B12-I26+Assumptions!$B$31*Assumptions!$B$10)/(K26+Assumptions!$B$31)</f>
        <v/>
      </c>
      <c r="M26">
        <f>IF(L26&gt;Assumptions!$B$10,"yes","no")</f>
        <v/>
      </c>
      <c r="N26">
        <f>IF(M26="yes",L26,MAX(0,(B12-I26)/K26))</f>
        <v/>
      </c>
      <c r="O26">
        <f>IF(M26="yes",Assumptions!$B$31*(N26-Assumptions!$B$10),0)</f>
        <v/>
      </c>
    </row>
    <row r="27">
      <c r="A27" t="inlineStr">
        <is>
          <t>iter 9</t>
        </is>
      </c>
      <c r="B27">
        <f>IF($B$4&gt;$C$4*N26,"preference","convert")</f>
        <v/>
      </c>
      <c r="C27">
        <f>IF($B$5&gt;$C$5*N26,"preference","convert")</f>
        <v/>
      </c>
      <c r="D27">
        <f>IF($B$6&gt;$C$6*N26,"preference","convert")</f>
        <v/>
      </c>
      <c r="E27">
        <f>IF($B$7&gt;$C$7*N26,"preference","convert")</f>
        <v/>
      </c>
      <c r="F27">
        <f>IF($B$8&gt;$C$8*N26,"preference","convert")</f>
        <v/>
      </c>
      <c r="G27">
        <f>IF($B$9&gt;$C$9*N26,"preference","convert")</f>
        <v/>
      </c>
      <c r="H27">
        <f>IF($B$10&gt;$C$10*N26,"preference","convert")</f>
        <v/>
      </c>
      <c r="I27">
        <f>IF(B27="preference",$B$4,0)+IF(C27="preference",$B$5,0)+IF(D27="preference",$B$6,0)+IF(E27="preference",$B$7,0)+IF(F27="preference",$B$8,0)+IF(G27="preference",$B$9,0)+IF(H27="preference",$B$10,0)</f>
        <v/>
      </c>
      <c r="J27">
        <f>IF(B27="convert",$C$4,0)+IF(C27="convert",$C$5,0)+IF(D27="convert",$C$6,0)+IF(E27="convert",$C$7,0)+IF(F27="convert",$C$8,0)+IF(G27="convert",$C$9,0)+IF(H27="convert",$C$10,0)</f>
        <v/>
      </c>
      <c r="K27">
        <f>(Assumptions!$B$46+Assumptions!$B$47+Assumptions!$B$48)+Assumptions!$B$49+('Pro-Forma'!$M$21+'Pro-Forma'!$M$22)+J27</f>
        <v/>
      </c>
      <c r="L27">
        <f>(B12-I27+Assumptions!$B$31*Assumptions!$B$10)/(K27+Assumptions!$B$31)</f>
        <v/>
      </c>
      <c r="M27">
        <f>IF(L27&gt;Assumptions!$B$10,"yes","no")</f>
        <v/>
      </c>
      <c r="N27">
        <f>IF(M27="yes",L27,MAX(0,(B12-I27)/K27))</f>
        <v/>
      </c>
      <c r="O27">
        <f>IF(M27="yes",Assumptions!$B$31*(N27-Assumptions!$B$10),0)</f>
        <v/>
      </c>
    </row>
    <row r="28">
      <c r="A28" t="inlineStr">
        <is>
          <t>iter 10</t>
        </is>
      </c>
      <c r="B28">
        <f>IF($B$4&gt;$C$4*N27,"preference","convert")</f>
        <v/>
      </c>
      <c r="C28">
        <f>IF($B$5&gt;$C$5*N27,"preference","convert")</f>
        <v/>
      </c>
      <c r="D28">
        <f>IF($B$6&gt;$C$6*N27,"preference","convert")</f>
        <v/>
      </c>
      <c r="E28">
        <f>IF($B$7&gt;$C$7*N27,"preference","convert")</f>
        <v/>
      </c>
      <c r="F28">
        <f>IF($B$8&gt;$C$8*N27,"preference","convert")</f>
        <v/>
      </c>
      <c r="G28">
        <f>IF($B$9&gt;$C$9*N27,"preference","convert")</f>
        <v/>
      </c>
      <c r="H28">
        <f>IF($B$10&gt;$C$10*N27,"preference","convert")</f>
        <v/>
      </c>
      <c r="I28">
        <f>IF(B28="preference",$B$4,0)+IF(C28="preference",$B$5,0)+IF(D28="preference",$B$6,0)+IF(E28="preference",$B$7,0)+IF(F28="preference",$B$8,0)+IF(G28="preference",$B$9,0)+IF(H28="preference",$B$10,0)</f>
        <v/>
      </c>
      <c r="J28">
        <f>IF(B28="convert",$C$4,0)+IF(C28="convert",$C$5,0)+IF(D28="convert",$C$6,0)+IF(E28="convert",$C$7,0)+IF(F28="convert",$C$8,0)+IF(G28="convert",$C$9,0)+IF(H28="convert",$C$10,0)</f>
        <v/>
      </c>
      <c r="K28">
        <f>(Assumptions!$B$46+Assumptions!$B$47+Assumptions!$B$48)+Assumptions!$B$49+('Pro-Forma'!$M$21+'Pro-Forma'!$M$22)+J28</f>
        <v/>
      </c>
      <c r="L28">
        <f>(B12-I28+Assumptions!$B$31*Assumptions!$B$10)/(K28+Assumptions!$B$31)</f>
        <v/>
      </c>
      <c r="M28">
        <f>IF(L28&gt;Assumptions!$B$10,"yes","no")</f>
        <v/>
      </c>
      <c r="N28">
        <f>IF(M28="yes",L28,MAX(0,(B12-I28)/K28))</f>
        <v/>
      </c>
      <c r="O28">
        <f>IF(M28="yes",Assumptions!$B$31*(N28-Assumptions!$B$10),0)</f>
        <v/>
      </c>
    </row>
    <row r="29">
      <c r="A29" t="inlineStr">
        <is>
          <t>iter 11</t>
        </is>
      </c>
      <c r="B29">
        <f>IF($B$4&gt;$C$4*N28,"preference","convert")</f>
        <v/>
      </c>
      <c r="C29">
        <f>IF($B$5&gt;$C$5*N28,"preference","convert")</f>
        <v/>
      </c>
      <c r="D29">
        <f>IF($B$6&gt;$C$6*N28,"preference","convert")</f>
        <v/>
      </c>
      <c r="E29">
        <f>IF($B$7&gt;$C$7*N28,"preference","convert")</f>
        <v/>
      </c>
      <c r="F29">
        <f>IF($B$8&gt;$C$8*N28,"preference","convert")</f>
        <v/>
      </c>
      <c r="G29">
        <f>IF($B$9&gt;$C$9*N28,"preference","convert")</f>
        <v/>
      </c>
      <c r="H29">
        <f>IF($B$10&gt;$C$10*N28,"preference","convert")</f>
        <v/>
      </c>
      <c r="I29">
        <f>IF(B29="preference",$B$4,0)+IF(C29="preference",$B$5,0)+IF(D29="preference",$B$6,0)+IF(E29="preference",$B$7,0)+IF(F29="preference",$B$8,0)+IF(G29="preference",$B$9,0)+IF(H29="preference",$B$10,0)</f>
        <v/>
      </c>
      <c r="J29">
        <f>IF(B29="convert",$C$4,0)+IF(C29="convert",$C$5,0)+IF(D29="convert",$C$6,0)+IF(E29="convert",$C$7,0)+IF(F29="convert",$C$8,0)+IF(G29="convert",$C$9,0)+IF(H29="convert",$C$10,0)</f>
        <v/>
      </c>
      <c r="K29">
        <f>(Assumptions!$B$46+Assumptions!$B$47+Assumptions!$B$48)+Assumptions!$B$49+('Pro-Forma'!$M$21+'Pro-Forma'!$M$22)+J29</f>
        <v/>
      </c>
      <c r="L29">
        <f>(B12-I29+Assumptions!$B$31*Assumptions!$B$10)/(K29+Assumptions!$B$31)</f>
        <v/>
      </c>
      <c r="M29">
        <f>IF(L29&gt;Assumptions!$B$10,"yes","no")</f>
        <v/>
      </c>
      <c r="N29">
        <f>IF(M29="yes",L29,MAX(0,(B12-I29)/K29))</f>
        <v/>
      </c>
      <c r="O29">
        <f>IF(M29="yes",Assumptions!$B$31*(N29-Assumptions!$B$10),0)</f>
        <v/>
      </c>
    </row>
    <row r="30">
      <c r="A30" t="inlineStr">
        <is>
          <t>iter 12</t>
        </is>
      </c>
      <c r="B30">
        <f>IF($B$4&gt;$C$4*N29,"preference","convert")</f>
        <v/>
      </c>
      <c r="C30">
        <f>IF($B$5&gt;$C$5*N29,"preference","convert")</f>
        <v/>
      </c>
      <c r="D30">
        <f>IF($B$6&gt;$C$6*N29,"preference","convert")</f>
        <v/>
      </c>
      <c r="E30">
        <f>IF($B$7&gt;$C$7*N29,"preference","convert")</f>
        <v/>
      </c>
      <c r="F30">
        <f>IF($B$8&gt;$C$8*N29,"preference","convert")</f>
        <v/>
      </c>
      <c r="G30">
        <f>IF($B$9&gt;$C$9*N29,"preference","convert")</f>
        <v/>
      </c>
      <c r="H30">
        <f>IF($B$10&gt;$C$10*N29,"preference","convert")</f>
        <v/>
      </c>
      <c r="I30">
        <f>IF(B30="preference",$B$4,0)+IF(C30="preference",$B$5,0)+IF(D30="preference",$B$6,0)+IF(E30="preference",$B$7,0)+IF(F30="preference",$B$8,0)+IF(G30="preference",$B$9,0)+IF(H30="preference",$B$10,0)</f>
        <v/>
      </c>
      <c r="J30">
        <f>IF(B30="convert",$C$4,0)+IF(C30="convert",$C$5,0)+IF(D30="convert",$C$6,0)+IF(E30="convert",$C$7,0)+IF(F30="convert",$C$8,0)+IF(G30="convert",$C$9,0)+IF(H30="convert",$C$10,0)</f>
        <v/>
      </c>
      <c r="K30">
        <f>(Assumptions!$B$46+Assumptions!$B$47+Assumptions!$B$48)+Assumptions!$B$49+('Pro-Forma'!$M$21+'Pro-Forma'!$M$22)+J30</f>
        <v/>
      </c>
      <c r="L30">
        <f>(B12-I30+Assumptions!$B$31*Assumptions!$B$10)/(K30+Assumptions!$B$31)</f>
        <v/>
      </c>
      <c r="M30">
        <f>IF(L30&gt;Assumptions!$B$10,"yes","no")</f>
        <v/>
      </c>
      <c r="N30">
        <f>IF(M30="yes",L30,MAX(0,(B12-I30)/K30))</f>
        <v/>
      </c>
      <c r="O30">
        <f>IF(M30="yes",Assumptions!$B$31*(N30-Assumptions!$B$10),0)</f>
        <v/>
      </c>
    </row>
    <row r="31">
      <c r="A31" t="inlineStr">
        <is>
          <t>iter 13</t>
        </is>
      </c>
      <c r="B31">
        <f>IF($B$4&gt;$C$4*N30,"preference","convert")</f>
        <v/>
      </c>
      <c r="C31">
        <f>IF($B$5&gt;$C$5*N30,"preference","convert")</f>
        <v/>
      </c>
      <c r="D31">
        <f>IF($B$6&gt;$C$6*N30,"preference","convert")</f>
        <v/>
      </c>
      <c r="E31">
        <f>IF($B$7&gt;$C$7*N30,"preference","convert")</f>
        <v/>
      </c>
      <c r="F31">
        <f>IF($B$8&gt;$C$8*N30,"preference","convert")</f>
        <v/>
      </c>
      <c r="G31">
        <f>IF($B$9&gt;$C$9*N30,"preference","convert")</f>
        <v/>
      </c>
      <c r="H31">
        <f>IF($B$10&gt;$C$10*N30,"preference","convert")</f>
        <v/>
      </c>
      <c r="I31">
        <f>IF(B31="preference",$B$4,0)+IF(C31="preference",$B$5,0)+IF(D31="preference",$B$6,0)+IF(E31="preference",$B$7,0)+IF(F31="preference",$B$8,0)+IF(G31="preference",$B$9,0)+IF(H31="preference",$B$10,0)</f>
        <v/>
      </c>
      <c r="J31">
        <f>IF(B31="convert",$C$4,0)+IF(C31="convert",$C$5,0)+IF(D31="convert",$C$6,0)+IF(E31="convert",$C$7,0)+IF(F31="convert",$C$8,0)+IF(G31="convert",$C$9,0)+IF(H31="convert",$C$10,0)</f>
        <v/>
      </c>
      <c r="K31">
        <f>(Assumptions!$B$46+Assumptions!$B$47+Assumptions!$B$48)+Assumptions!$B$49+('Pro-Forma'!$M$21+'Pro-Forma'!$M$22)+J31</f>
        <v/>
      </c>
      <c r="L31">
        <f>(B12-I31+Assumptions!$B$31*Assumptions!$B$10)/(K31+Assumptions!$B$31)</f>
        <v/>
      </c>
      <c r="M31">
        <f>IF(L31&gt;Assumptions!$B$10,"yes","no")</f>
        <v/>
      </c>
      <c r="N31">
        <f>IF(M31="yes",L31,MAX(0,(B12-I31)/K31))</f>
        <v/>
      </c>
      <c r="O31">
        <f>IF(M31="yes",Assumptions!$B$31*(N31-Assumptions!$B$10),0)</f>
        <v/>
      </c>
    </row>
    <row r="32">
      <c r="A32" t="inlineStr">
        <is>
          <t>iter 14</t>
        </is>
      </c>
      <c r="B32">
        <f>IF($B$4&gt;$C$4*N31,"preference","convert")</f>
        <v/>
      </c>
      <c r="C32">
        <f>IF($B$5&gt;$C$5*N31,"preference","convert")</f>
        <v/>
      </c>
      <c r="D32">
        <f>IF($B$6&gt;$C$6*N31,"preference","convert")</f>
        <v/>
      </c>
      <c r="E32">
        <f>IF($B$7&gt;$C$7*N31,"preference","convert")</f>
        <v/>
      </c>
      <c r="F32">
        <f>IF($B$8&gt;$C$8*N31,"preference","convert")</f>
        <v/>
      </c>
      <c r="G32">
        <f>IF($B$9&gt;$C$9*N31,"preference","convert")</f>
        <v/>
      </c>
      <c r="H32">
        <f>IF($B$10&gt;$C$10*N31,"preference","convert")</f>
        <v/>
      </c>
      <c r="I32">
        <f>IF(B32="preference",$B$4,0)+IF(C32="preference",$B$5,0)+IF(D32="preference",$B$6,0)+IF(E32="preference",$B$7,0)+IF(F32="preference",$B$8,0)+IF(G32="preference",$B$9,0)+IF(H32="preference",$B$10,0)</f>
        <v/>
      </c>
      <c r="J32">
        <f>IF(B32="convert",$C$4,0)+IF(C32="convert",$C$5,0)+IF(D32="convert",$C$6,0)+IF(E32="convert",$C$7,0)+IF(F32="convert",$C$8,0)+IF(G32="convert",$C$9,0)+IF(H32="convert",$C$10,0)</f>
        <v/>
      </c>
      <c r="K32">
        <f>(Assumptions!$B$46+Assumptions!$B$47+Assumptions!$B$48)+Assumptions!$B$49+('Pro-Forma'!$M$21+'Pro-Forma'!$M$22)+J32</f>
        <v/>
      </c>
      <c r="L32">
        <f>(B12-I32+Assumptions!$B$31*Assumptions!$B$10)/(K32+Assumptions!$B$31)</f>
        <v/>
      </c>
      <c r="M32">
        <f>IF(L32&gt;Assumptions!$B$10,"yes","no")</f>
        <v/>
      </c>
      <c r="N32">
        <f>IF(M32="yes",L32,MAX(0,(B12-I32)/K32))</f>
        <v/>
      </c>
      <c r="O32">
        <f>IF(M32="yes",Assumptions!$B$31*(N32-Assumptions!$B$10),0)</f>
        <v/>
      </c>
    </row>
    <row r="33">
      <c r="A33" t="inlineStr">
        <is>
          <t>iter 15</t>
        </is>
      </c>
      <c r="B33">
        <f>IF($B$4&gt;$C$4*N32,"preference","convert")</f>
        <v/>
      </c>
      <c r="C33">
        <f>IF($B$5&gt;$C$5*N32,"preference","convert")</f>
        <v/>
      </c>
      <c r="D33">
        <f>IF($B$6&gt;$C$6*N32,"preference","convert")</f>
        <v/>
      </c>
      <c r="E33">
        <f>IF($B$7&gt;$C$7*N32,"preference","convert")</f>
        <v/>
      </c>
      <c r="F33">
        <f>IF($B$8&gt;$C$8*N32,"preference","convert")</f>
        <v/>
      </c>
      <c r="G33">
        <f>IF($B$9&gt;$C$9*N32,"preference","convert")</f>
        <v/>
      </c>
      <c r="H33">
        <f>IF($B$10&gt;$C$10*N32,"preference","convert")</f>
        <v/>
      </c>
      <c r="I33">
        <f>IF(B33="preference",$B$4,0)+IF(C33="preference",$B$5,0)+IF(D33="preference",$B$6,0)+IF(E33="preference",$B$7,0)+IF(F33="preference",$B$8,0)+IF(G33="preference",$B$9,0)+IF(H33="preference",$B$10,0)</f>
        <v/>
      </c>
      <c r="J33">
        <f>IF(B33="convert",$C$4,0)+IF(C33="convert",$C$5,0)+IF(D33="convert",$C$6,0)+IF(E33="convert",$C$7,0)+IF(F33="convert",$C$8,0)+IF(G33="convert",$C$9,0)+IF(H33="convert",$C$10,0)</f>
        <v/>
      </c>
      <c r="K33">
        <f>(Assumptions!$B$46+Assumptions!$B$47+Assumptions!$B$48)+Assumptions!$B$49+('Pro-Forma'!$M$21+'Pro-Forma'!$M$22)+J33</f>
        <v/>
      </c>
      <c r="L33">
        <f>(B12-I33+Assumptions!$B$31*Assumptions!$B$10)/(K33+Assumptions!$B$31)</f>
        <v/>
      </c>
      <c r="M33">
        <f>IF(L33&gt;Assumptions!$B$10,"yes","no")</f>
        <v/>
      </c>
      <c r="N33">
        <f>IF(M33="yes",L33,MAX(0,(B12-I33)/K33))</f>
        <v/>
      </c>
      <c r="O33">
        <f>IF(M33="yes",Assumptions!$B$31*(N33-Assumptions!$B$10),0)</f>
        <v/>
      </c>
    </row>
    <row r="34">
      <c r="A34" t="inlineStr">
        <is>
          <t>iter 16</t>
        </is>
      </c>
      <c r="B34">
        <f>IF($B$4&gt;$C$4*N33,"preference","convert")</f>
        <v/>
      </c>
      <c r="C34">
        <f>IF($B$5&gt;$C$5*N33,"preference","convert")</f>
        <v/>
      </c>
      <c r="D34">
        <f>IF($B$6&gt;$C$6*N33,"preference","convert")</f>
        <v/>
      </c>
      <c r="E34">
        <f>IF($B$7&gt;$C$7*N33,"preference","convert")</f>
        <v/>
      </c>
      <c r="F34">
        <f>IF($B$8&gt;$C$8*N33,"preference","convert")</f>
        <v/>
      </c>
      <c r="G34">
        <f>IF($B$9&gt;$C$9*N33,"preference","convert")</f>
        <v/>
      </c>
      <c r="H34">
        <f>IF($B$10&gt;$C$10*N33,"preference","convert")</f>
        <v/>
      </c>
      <c r="I34">
        <f>IF(B34="preference",$B$4,0)+IF(C34="preference",$B$5,0)+IF(D34="preference",$B$6,0)+IF(E34="preference",$B$7,0)+IF(F34="preference",$B$8,0)+IF(G34="preference",$B$9,0)+IF(H34="preference",$B$10,0)</f>
        <v/>
      </c>
      <c r="J34">
        <f>IF(B34="convert",$C$4,0)+IF(C34="convert",$C$5,0)+IF(D34="convert",$C$6,0)+IF(E34="convert",$C$7,0)+IF(F34="convert",$C$8,0)+IF(G34="convert",$C$9,0)+IF(H34="convert",$C$10,0)</f>
        <v/>
      </c>
      <c r="K34">
        <f>(Assumptions!$B$46+Assumptions!$B$47+Assumptions!$B$48)+Assumptions!$B$49+('Pro-Forma'!$M$21+'Pro-Forma'!$M$22)+J34</f>
        <v/>
      </c>
      <c r="L34">
        <f>(B12-I34+Assumptions!$B$31*Assumptions!$B$10)/(K34+Assumptions!$B$31)</f>
        <v/>
      </c>
      <c r="M34">
        <f>IF(L34&gt;Assumptions!$B$10,"yes","no")</f>
        <v/>
      </c>
      <c r="N34">
        <f>IF(M34="yes",L34,MAX(0,(B12-I34)/K34))</f>
        <v/>
      </c>
      <c r="O34">
        <f>IF(M34="yes",Assumptions!$B$31*(N34-Assumptions!$B$10),0)</f>
        <v/>
      </c>
    </row>
    <row r="35">
      <c r="A35" t="inlineStr">
        <is>
          <t>iter 17</t>
        </is>
      </c>
      <c r="B35">
        <f>IF($B$4&gt;$C$4*N34,"preference","convert")</f>
        <v/>
      </c>
      <c r="C35">
        <f>IF($B$5&gt;$C$5*N34,"preference","convert")</f>
        <v/>
      </c>
      <c r="D35">
        <f>IF($B$6&gt;$C$6*N34,"preference","convert")</f>
        <v/>
      </c>
      <c r="E35">
        <f>IF($B$7&gt;$C$7*N34,"preference","convert")</f>
        <v/>
      </c>
      <c r="F35">
        <f>IF($B$8&gt;$C$8*N34,"preference","convert")</f>
        <v/>
      </c>
      <c r="G35">
        <f>IF($B$9&gt;$C$9*N34,"preference","convert")</f>
        <v/>
      </c>
      <c r="H35">
        <f>IF($B$10&gt;$C$10*N34,"preference","convert")</f>
        <v/>
      </c>
      <c r="I35">
        <f>IF(B35="preference",$B$4,0)+IF(C35="preference",$B$5,0)+IF(D35="preference",$B$6,0)+IF(E35="preference",$B$7,0)+IF(F35="preference",$B$8,0)+IF(G35="preference",$B$9,0)+IF(H35="preference",$B$10,0)</f>
        <v/>
      </c>
      <c r="J35">
        <f>IF(B35="convert",$C$4,0)+IF(C35="convert",$C$5,0)+IF(D35="convert",$C$6,0)+IF(E35="convert",$C$7,0)+IF(F35="convert",$C$8,0)+IF(G35="convert",$C$9,0)+IF(H35="convert",$C$10,0)</f>
        <v/>
      </c>
      <c r="K35">
        <f>(Assumptions!$B$46+Assumptions!$B$47+Assumptions!$B$48)+Assumptions!$B$49+('Pro-Forma'!$M$21+'Pro-Forma'!$M$22)+J35</f>
        <v/>
      </c>
      <c r="L35">
        <f>(B12-I35+Assumptions!$B$31*Assumptions!$B$10)/(K35+Assumptions!$B$31)</f>
        <v/>
      </c>
      <c r="M35">
        <f>IF(L35&gt;Assumptions!$B$10,"yes","no")</f>
        <v/>
      </c>
      <c r="N35">
        <f>IF(M35="yes",L35,MAX(0,(B12-I35)/K35))</f>
        <v/>
      </c>
      <c r="O35">
        <f>IF(M35="yes",Assumptions!$B$31*(N35-Assumptions!$B$10),0)</f>
        <v/>
      </c>
    </row>
    <row r="36">
      <c r="A36" t="inlineStr">
        <is>
          <t>iter 18</t>
        </is>
      </c>
      <c r="B36">
        <f>IF($B$4&gt;$C$4*N35,"preference","convert")</f>
        <v/>
      </c>
      <c r="C36">
        <f>IF($B$5&gt;$C$5*N35,"preference","convert")</f>
        <v/>
      </c>
      <c r="D36">
        <f>IF($B$6&gt;$C$6*N35,"preference","convert")</f>
        <v/>
      </c>
      <c r="E36">
        <f>IF($B$7&gt;$C$7*N35,"preference","convert")</f>
        <v/>
      </c>
      <c r="F36">
        <f>IF($B$8&gt;$C$8*N35,"preference","convert")</f>
        <v/>
      </c>
      <c r="G36">
        <f>IF($B$9&gt;$C$9*N35,"preference","convert")</f>
        <v/>
      </c>
      <c r="H36">
        <f>IF($B$10&gt;$C$10*N35,"preference","convert")</f>
        <v/>
      </c>
      <c r="I36">
        <f>IF(B36="preference",$B$4,0)+IF(C36="preference",$B$5,0)+IF(D36="preference",$B$6,0)+IF(E36="preference",$B$7,0)+IF(F36="preference",$B$8,0)+IF(G36="preference",$B$9,0)+IF(H36="preference",$B$10,0)</f>
        <v/>
      </c>
      <c r="J36">
        <f>IF(B36="convert",$C$4,0)+IF(C36="convert",$C$5,0)+IF(D36="convert",$C$6,0)+IF(E36="convert",$C$7,0)+IF(F36="convert",$C$8,0)+IF(G36="convert",$C$9,0)+IF(H36="convert",$C$10,0)</f>
        <v/>
      </c>
      <c r="K36">
        <f>(Assumptions!$B$46+Assumptions!$B$47+Assumptions!$B$48)+Assumptions!$B$49+('Pro-Forma'!$M$21+'Pro-Forma'!$M$22)+J36</f>
        <v/>
      </c>
      <c r="L36">
        <f>(B12-I36+Assumptions!$B$31*Assumptions!$B$10)/(K36+Assumptions!$B$31)</f>
        <v/>
      </c>
      <c r="M36">
        <f>IF(L36&gt;Assumptions!$B$10,"yes","no")</f>
        <v/>
      </c>
      <c r="N36">
        <f>IF(M36="yes",L36,MAX(0,(B12-I36)/K36))</f>
        <v/>
      </c>
      <c r="O36">
        <f>IF(M36="yes",Assumptions!$B$31*(N36-Assumptions!$B$10),0)</f>
        <v/>
      </c>
    </row>
    <row r="37">
      <c r="A37" t="inlineStr">
        <is>
          <t>iter 19</t>
        </is>
      </c>
      <c r="B37">
        <f>IF($B$4&gt;$C$4*N36,"preference","convert")</f>
        <v/>
      </c>
      <c r="C37">
        <f>IF($B$5&gt;$C$5*N36,"preference","convert")</f>
        <v/>
      </c>
      <c r="D37">
        <f>IF($B$6&gt;$C$6*N36,"preference","convert")</f>
        <v/>
      </c>
      <c r="E37">
        <f>IF($B$7&gt;$C$7*N36,"preference","convert")</f>
        <v/>
      </c>
      <c r="F37">
        <f>IF($B$8&gt;$C$8*N36,"preference","convert")</f>
        <v/>
      </c>
      <c r="G37">
        <f>IF($B$9&gt;$C$9*N36,"preference","convert")</f>
        <v/>
      </c>
      <c r="H37">
        <f>IF($B$10&gt;$C$10*N36,"preference","convert")</f>
        <v/>
      </c>
      <c r="I37">
        <f>IF(B37="preference",$B$4,0)+IF(C37="preference",$B$5,0)+IF(D37="preference",$B$6,0)+IF(E37="preference",$B$7,0)+IF(F37="preference",$B$8,0)+IF(G37="preference",$B$9,0)+IF(H37="preference",$B$10,0)</f>
        <v/>
      </c>
      <c r="J37">
        <f>IF(B37="convert",$C$4,0)+IF(C37="convert",$C$5,0)+IF(D37="convert",$C$6,0)+IF(E37="convert",$C$7,0)+IF(F37="convert",$C$8,0)+IF(G37="convert",$C$9,0)+IF(H37="convert",$C$10,0)</f>
        <v/>
      </c>
      <c r="K37">
        <f>(Assumptions!$B$46+Assumptions!$B$47+Assumptions!$B$48)+Assumptions!$B$49+('Pro-Forma'!$M$21+'Pro-Forma'!$M$22)+J37</f>
        <v/>
      </c>
      <c r="L37">
        <f>(B12-I37+Assumptions!$B$31*Assumptions!$B$10)/(K37+Assumptions!$B$31)</f>
        <v/>
      </c>
      <c r="M37">
        <f>IF(L37&gt;Assumptions!$B$10,"yes","no")</f>
        <v/>
      </c>
      <c r="N37">
        <f>IF(M37="yes",L37,MAX(0,(B12-I37)/K37))</f>
        <v/>
      </c>
      <c r="O37">
        <f>IF(M37="yes",Assumptions!$B$31*(N37-Assumptions!$B$10),0)</f>
        <v/>
      </c>
    </row>
    <row r="38">
      <c r="A38" t="inlineStr">
        <is>
          <t>iter 20</t>
        </is>
      </c>
      <c r="B38">
        <f>IF($B$4&gt;$C$4*N37,"preference","convert")</f>
        <v/>
      </c>
      <c r="C38">
        <f>IF($B$5&gt;$C$5*N37,"preference","convert")</f>
        <v/>
      </c>
      <c r="D38">
        <f>IF($B$6&gt;$C$6*N37,"preference","convert")</f>
        <v/>
      </c>
      <c r="E38">
        <f>IF($B$7&gt;$C$7*N37,"preference","convert")</f>
        <v/>
      </c>
      <c r="F38">
        <f>IF($B$8&gt;$C$8*N37,"preference","convert")</f>
        <v/>
      </c>
      <c r="G38">
        <f>IF($B$9&gt;$C$9*N37,"preference","convert")</f>
        <v/>
      </c>
      <c r="H38">
        <f>IF($B$10&gt;$C$10*N37,"preference","convert")</f>
        <v/>
      </c>
      <c r="I38">
        <f>IF(B38="preference",$B$4,0)+IF(C38="preference",$B$5,0)+IF(D38="preference",$B$6,0)+IF(E38="preference",$B$7,0)+IF(F38="preference",$B$8,0)+IF(G38="preference",$B$9,0)+IF(H38="preference",$B$10,0)</f>
        <v/>
      </c>
      <c r="J38">
        <f>IF(B38="convert",$C$4,0)+IF(C38="convert",$C$5,0)+IF(D38="convert",$C$6,0)+IF(E38="convert",$C$7,0)+IF(F38="convert",$C$8,0)+IF(G38="convert",$C$9,0)+IF(H38="convert",$C$10,0)</f>
        <v/>
      </c>
      <c r="K38">
        <f>(Assumptions!$B$46+Assumptions!$B$47+Assumptions!$B$48)+Assumptions!$B$49+('Pro-Forma'!$M$21+'Pro-Forma'!$M$22)+J38</f>
        <v/>
      </c>
      <c r="L38">
        <f>(B12-I38+Assumptions!$B$31*Assumptions!$B$10)/(K38+Assumptions!$B$31)</f>
        <v/>
      </c>
      <c r="M38">
        <f>IF(L38&gt;Assumptions!$B$10,"yes","no")</f>
        <v/>
      </c>
      <c r="N38">
        <f>IF(M38="yes",L38,MAX(0,(B12-I38)/K38))</f>
        <v/>
      </c>
      <c r="O38">
        <f>IF(M38="yes",Assumptions!$B$31*(N38-Assumptions!$B$10),0)</f>
        <v/>
      </c>
    </row>
    <row r="39">
      <c r="A39" t="inlineStr">
        <is>
          <t>iter 21</t>
        </is>
      </c>
      <c r="B39">
        <f>IF($B$4&gt;$C$4*N38,"preference","convert")</f>
        <v/>
      </c>
      <c r="C39">
        <f>IF($B$5&gt;$C$5*N38,"preference","convert")</f>
        <v/>
      </c>
      <c r="D39">
        <f>IF($B$6&gt;$C$6*N38,"preference","convert")</f>
        <v/>
      </c>
      <c r="E39">
        <f>IF($B$7&gt;$C$7*N38,"preference","convert")</f>
        <v/>
      </c>
      <c r="F39">
        <f>IF($B$8&gt;$C$8*N38,"preference","convert")</f>
        <v/>
      </c>
      <c r="G39">
        <f>IF($B$9&gt;$C$9*N38,"preference","convert")</f>
        <v/>
      </c>
      <c r="H39">
        <f>IF($B$10&gt;$C$10*N38,"preference","convert")</f>
        <v/>
      </c>
      <c r="I39">
        <f>IF(B39="preference",$B$4,0)+IF(C39="preference",$B$5,0)+IF(D39="preference",$B$6,0)+IF(E39="preference",$B$7,0)+IF(F39="preference",$B$8,0)+IF(G39="preference",$B$9,0)+IF(H39="preference",$B$10,0)</f>
        <v/>
      </c>
      <c r="J39">
        <f>IF(B39="convert",$C$4,0)+IF(C39="convert",$C$5,0)+IF(D39="convert",$C$6,0)+IF(E39="convert",$C$7,0)+IF(F39="convert",$C$8,0)+IF(G39="convert",$C$9,0)+IF(H39="convert",$C$10,0)</f>
        <v/>
      </c>
      <c r="K39">
        <f>(Assumptions!$B$46+Assumptions!$B$47+Assumptions!$B$48)+Assumptions!$B$49+('Pro-Forma'!$M$21+'Pro-Forma'!$M$22)+J39</f>
        <v/>
      </c>
      <c r="L39">
        <f>(B12-I39+Assumptions!$B$31*Assumptions!$B$10)/(K39+Assumptions!$B$31)</f>
        <v/>
      </c>
      <c r="M39">
        <f>IF(L39&gt;Assumptions!$B$10,"yes","no")</f>
        <v/>
      </c>
      <c r="N39">
        <f>IF(M39="yes",L39,MAX(0,(B12-I39)/K39))</f>
        <v/>
      </c>
      <c r="O39">
        <f>IF(M39="yes",Assumptions!$B$31*(N39-Assumptions!$B$10),0)</f>
        <v/>
      </c>
    </row>
    <row r="40">
      <c r="A40" t="inlineStr">
        <is>
          <t>iter 22</t>
        </is>
      </c>
      <c r="B40">
        <f>IF($B$4&gt;$C$4*N39,"preference","convert")</f>
        <v/>
      </c>
      <c r="C40">
        <f>IF($B$5&gt;$C$5*N39,"preference","convert")</f>
        <v/>
      </c>
      <c r="D40">
        <f>IF($B$6&gt;$C$6*N39,"preference","convert")</f>
        <v/>
      </c>
      <c r="E40">
        <f>IF($B$7&gt;$C$7*N39,"preference","convert")</f>
        <v/>
      </c>
      <c r="F40">
        <f>IF($B$8&gt;$C$8*N39,"preference","convert")</f>
        <v/>
      </c>
      <c r="G40">
        <f>IF($B$9&gt;$C$9*N39,"preference","convert")</f>
        <v/>
      </c>
      <c r="H40">
        <f>IF($B$10&gt;$C$10*N39,"preference","convert")</f>
        <v/>
      </c>
      <c r="I40">
        <f>IF(B40="preference",$B$4,0)+IF(C40="preference",$B$5,0)+IF(D40="preference",$B$6,0)+IF(E40="preference",$B$7,0)+IF(F40="preference",$B$8,0)+IF(G40="preference",$B$9,0)+IF(H40="preference",$B$10,0)</f>
        <v/>
      </c>
      <c r="J40">
        <f>IF(B40="convert",$C$4,0)+IF(C40="convert",$C$5,0)+IF(D40="convert",$C$6,0)+IF(E40="convert",$C$7,0)+IF(F40="convert",$C$8,0)+IF(G40="convert",$C$9,0)+IF(H40="convert",$C$10,0)</f>
        <v/>
      </c>
      <c r="K40">
        <f>(Assumptions!$B$46+Assumptions!$B$47+Assumptions!$B$48)+Assumptions!$B$49+('Pro-Forma'!$M$21+'Pro-Forma'!$M$22)+J40</f>
        <v/>
      </c>
      <c r="L40">
        <f>(B12-I40+Assumptions!$B$31*Assumptions!$B$10)/(K40+Assumptions!$B$31)</f>
        <v/>
      </c>
      <c r="M40">
        <f>IF(L40&gt;Assumptions!$B$10,"yes","no")</f>
        <v/>
      </c>
      <c r="N40">
        <f>IF(M40="yes",L40,MAX(0,(B12-I40)/K40))</f>
        <v/>
      </c>
      <c r="O40">
        <f>IF(M40="yes",Assumptions!$B$31*(N40-Assumptions!$B$10),0)</f>
        <v/>
      </c>
    </row>
    <row r="41">
      <c r="A41" t="inlineStr">
        <is>
          <t>iter 23</t>
        </is>
      </c>
      <c r="B41">
        <f>IF($B$4&gt;$C$4*N40,"preference","convert")</f>
        <v/>
      </c>
      <c r="C41">
        <f>IF($B$5&gt;$C$5*N40,"preference","convert")</f>
        <v/>
      </c>
      <c r="D41">
        <f>IF($B$6&gt;$C$6*N40,"preference","convert")</f>
        <v/>
      </c>
      <c r="E41">
        <f>IF($B$7&gt;$C$7*N40,"preference","convert")</f>
        <v/>
      </c>
      <c r="F41">
        <f>IF($B$8&gt;$C$8*N40,"preference","convert")</f>
        <v/>
      </c>
      <c r="G41">
        <f>IF($B$9&gt;$C$9*N40,"preference","convert")</f>
        <v/>
      </c>
      <c r="H41">
        <f>IF($B$10&gt;$C$10*N40,"preference","convert")</f>
        <v/>
      </c>
      <c r="I41">
        <f>IF(B41="preference",$B$4,0)+IF(C41="preference",$B$5,0)+IF(D41="preference",$B$6,0)+IF(E41="preference",$B$7,0)+IF(F41="preference",$B$8,0)+IF(G41="preference",$B$9,0)+IF(H41="preference",$B$10,0)</f>
        <v/>
      </c>
      <c r="J41">
        <f>IF(B41="convert",$C$4,0)+IF(C41="convert",$C$5,0)+IF(D41="convert",$C$6,0)+IF(E41="convert",$C$7,0)+IF(F41="convert",$C$8,0)+IF(G41="convert",$C$9,0)+IF(H41="convert",$C$10,0)</f>
        <v/>
      </c>
      <c r="K41">
        <f>(Assumptions!$B$46+Assumptions!$B$47+Assumptions!$B$48)+Assumptions!$B$49+('Pro-Forma'!$M$21+'Pro-Forma'!$M$22)+J41</f>
        <v/>
      </c>
      <c r="L41">
        <f>(B12-I41+Assumptions!$B$31*Assumptions!$B$10)/(K41+Assumptions!$B$31)</f>
        <v/>
      </c>
      <c r="M41">
        <f>IF(L41&gt;Assumptions!$B$10,"yes","no")</f>
        <v/>
      </c>
      <c r="N41">
        <f>IF(M41="yes",L41,MAX(0,(B12-I41)/K41))</f>
        <v/>
      </c>
      <c r="O41">
        <f>IF(M41="yes",Assumptions!$B$31*(N41-Assumptions!$B$10),0)</f>
        <v/>
      </c>
    </row>
    <row r="42">
      <c r="A42" t="inlineStr">
        <is>
          <t>iter 24</t>
        </is>
      </c>
      <c r="B42">
        <f>IF($B$4&gt;$C$4*N41,"preference","convert")</f>
        <v/>
      </c>
      <c r="C42">
        <f>IF($B$5&gt;$C$5*N41,"preference","convert")</f>
        <v/>
      </c>
      <c r="D42">
        <f>IF($B$6&gt;$C$6*N41,"preference","convert")</f>
        <v/>
      </c>
      <c r="E42">
        <f>IF($B$7&gt;$C$7*N41,"preference","convert")</f>
        <v/>
      </c>
      <c r="F42">
        <f>IF($B$8&gt;$C$8*N41,"preference","convert")</f>
        <v/>
      </c>
      <c r="G42">
        <f>IF($B$9&gt;$C$9*N41,"preference","convert")</f>
        <v/>
      </c>
      <c r="H42">
        <f>IF($B$10&gt;$C$10*N41,"preference","convert")</f>
        <v/>
      </c>
      <c r="I42">
        <f>IF(B42="preference",$B$4,0)+IF(C42="preference",$B$5,0)+IF(D42="preference",$B$6,0)+IF(E42="preference",$B$7,0)+IF(F42="preference",$B$8,0)+IF(G42="preference",$B$9,0)+IF(H42="preference",$B$10,0)</f>
        <v/>
      </c>
      <c r="J42">
        <f>IF(B42="convert",$C$4,0)+IF(C42="convert",$C$5,0)+IF(D42="convert",$C$6,0)+IF(E42="convert",$C$7,0)+IF(F42="convert",$C$8,0)+IF(G42="convert",$C$9,0)+IF(H42="convert",$C$10,0)</f>
        <v/>
      </c>
      <c r="K42">
        <f>(Assumptions!$B$46+Assumptions!$B$47+Assumptions!$B$48)+Assumptions!$B$49+('Pro-Forma'!$M$21+'Pro-Forma'!$M$22)+J42</f>
        <v/>
      </c>
      <c r="L42">
        <f>(B12-I42+Assumptions!$B$31*Assumptions!$B$10)/(K42+Assumptions!$B$31)</f>
        <v/>
      </c>
      <c r="M42">
        <f>IF(L42&gt;Assumptions!$B$10,"yes","no")</f>
        <v/>
      </c>
      <c r="N42">
        <f>IF(M42="yes",L42,MAX(0,(B12-I42)/K42))</f>
        <v/>
      </c>
      <c r="O42">
        <f>IF(M42="yes",Assumptions!$B$31*(N42-Assumptions!$B$10),0)</f>
        <v/>
      </c>
    </row>
    <row r="43">
      <c r="A43" t="inlineStr">
        <is>
          <t>iter 25</t>
        </is>
      </c>
      <c r="B43">
        <f>IF($B$4&gt;$C$4*N42,"preference","convert")</f>
        <v/>
      </c>
      <c r="C43">
        <f>IF($B$5&gt;$C$5*N42,"preference","convert")</f>
        <v/>
      </c>
      <c r="D43">
        <f>IF($B$6&gt;$C$6*N42,"preference","convert")</f>
        <v/>
      </c>
      <c r="E43">
        <f>IF($B$7&gt;$C$7*N42,"preference","convert")</f>
        <v/>
      </c>
      <c r="F43">
        <f>IF($B$8&gt;$C$8*N42,"preference","convert")</f>
        <v/>
      </c>
      <c r="G43">
        <f>IF($B$9&gt;$C$9*N42,"preference","convert")</f>
        <v/>
      </c>
      <c r="H43">
        <f>IF($B$10&gt;$C$10*N42,"preference","convert")</f>
        <v/>
      </c>
      <c r="I43">
        <f>IF(B43="preference",$B$4,0)+IF(C43="preference",$B$5,0)+IF(D43="preference",$B$6,0)+IF(E43="preference",$B$7,0)+IF(F43="preference",$B$8,0)+IF(G43="preference",$B$9,0)+IF(H43="preference",$B$10,0)</f>
        <v/>
      </c>
      <c r="J43">
        <f>IF(B43="convert",$C$4,0)+IF(C43="convert",$C$5,0)+IF(D43="convert",$C$6,0)+IF(E43="convert",$C$7,0)+IF(F43="convert",$C$8,0)+IF(G43="convert",$C$9,0)+IF(H43="convert",$C$10,0)</f>
        <v/>
      </c>
      <c r="K43">
        <f>(Assumptions!$B$46+Assumptions!$B$47+Assumptions!$B$48)+Assumptions!$B$49+('Pro-Forma'!$M$21+'Pro-Forma'!$M$22)+J43</f>
        <v/>
      </c>
      <c r="L43">
        <f>(B12-I43+Assumptions!$B$31*Assumptions!$B$10)/(K43+Assumptions!$B$31)</f>
        <v/>
      </c>
      <c r="M43">
        <f>IF(L43&gt;Assumptions!$B$10,"yes","no")</f>
        <v/>
      </c>
      <c r="N43">
        <f>IF(M43="yes",L43,MAX(0,(B12-I43)/K43))</f>
        <v/>
      </c>
      <c r="O43">
        <f>IF(M43="yes",Assumptions!$B$31*(N43-Assumptions!$B$10),0)</f>
        <v/>
      </c>
    </row>
    <row r="44">
      <c r="A44" t="inlineStr">
        <is>
          <t>iter 26</t>
        </is>
      </c>
      <c r="B44">
        <f>IF($B$4&gt;$C$4*N43,"preference","convert")</f>
        <v/>
      </c>
      <c r="C44">
        <f>IF($B$5&gt;$C$5*N43,"preference","convert")</f>
        <v/>
      </c>
      <c r="D44">
        <f>IF($B$6&gt;$C$6*N43,"preference","convert")</f>
        <v/>
      </c>
      <c r="E44">
        <f>IF($B$7&gt;$C$7*N43,"preference","convert")</f>
        <v/>
      </c>
      <c r="F44">
        <f>IF($B$8&gt;$C$8*N43,"preference","convert")</f>
        <v/>
      </c>
      <c r="G44">
        <f>IF($B$9&gt;$C$9*N43,"preference","convert")</f>
        <v/>
      </c>
      <c r="H44">
        <f>IF($B$10&gt;$C$10*N43,"preference","convert")</f>
        <v/>
      </c>
      <c r="I44">
        <f>IF(B44="preference",$B$4,0)+IF(C44="preference",$B$5,0)+IF(D44="preference",$B$6,0)+IF(E44="preference",$B$7,0)+IF(F44="preference",$B$8,0)+IF(G44="preference",$B$9,0)+IF(H44="preference",$B$10,0)</f>
        <v/>
      </c>
      <c r="J44">
        <f>IF(B44="convert",$C$4,0)+IF(C44="convert",$C$5,0)+IF(D44="convert",$C$6,0)+IF(E44="convert",$C$7,0)+IF(F44="convert",$C$8,0)+IF(G44="convert",$C$9,0)+IF(H44="convert",$C$10,0)</f>
        <v/>
      </c>
      <c r="K44">
        <f>(Assumptions!$B$46+Assumptions!$B$47+Assumptions!$B$48)+Assumptions!$B$49+('Pro-Forma'!$M$21+'Pro-Forma'!$M$22)+J44</f>
        <v/>
      </c>
      <c r="L44">
        <f>(B12-I44+Assumptions!$B$31*Assumptions!$B$10)/(K44+Assumptions!$B$31)</f>
        <v/>
      </c>
      <c r="M44">
        <f>IF(L44&gt;Assumptions!$B$10,"yes","no")</f>
        <v/>
      </c>
      <c r="N44">
        <f>IF(M44="yes",L44,MAX(0,(B12-I44)/K44))</f>
        <v/>
      </c>
      <c r="O44">
        <f>IF(M44="yes",Assumptions!$B$31*(N44-Assumptions!$B$10),0)</f>
        <v/>
      </c>
    </row>
    <row r="45">
      <c r="A45" t="inlineStr">
        <is>
          <t>iter 27</t>
        </is>
      </c>
      <c r="B45">
        <f>IF($B$4&gt;$C$4*N44,"preference","convert")</f>
        <v/>
      </c>
      <c r="C45">
        <f>IF($B$5&gt;$C$5*N44,"preference","convert")</f>
        <v/>
      </c>
      <c r="D45">
        <f>IF($B$6&gt;$C$6*N44,"preference","convert")</f>
        <v/>
      </c>
      <c r="E45">
        <f>IF($B$7&gt;$C$7*N44,"preference","convert")</f>
        <v/>
      </c>
      <c r="F45">
        <f>IF($B$8&gt;$C$8*N44,"preference","convert")</f>
        <v/>
      </c>
      <c r="G45">
        <f>IF($B$9&gt;$C$9*N44,"preference","convert")</f>
        <v/>
      </c>
      <c r="H45">
        <f>IF($B$10&gt;$C$10*N44,"preference","convert")</f>
        <v/>
      </c>
      <c r="I45">
        <f>IF(B45="preference",$B$4,0)+IF(C45="preference",$B$5,0)+IF(D45="preference",$B$6,0)+IF(E45="preference",$B$7,0)+IF(F45="preference",$B$8,0)+IF(G45="preference",$B$9,0)+IF(H45="preference",$B$10,0)</f>
        <v/>
      </c>
      <c r="J45">
        <f>IF(B45="convert",$C$4,0)+IF(C45="convert",$C$5,0)+IF(D45="convert",$C$6,0)+IF(E45="convert",$C$7,0)+IF(F45="convert",$C$8,0)+IF(G45="convert",$C$9,0)+IF(H45="convert",$C$10,0)</f>
        <v/>
      </c>
      <c r="K45">
        <f>(Assumptions!$B$46+Assumptions!$B$47+Assumptions!$B$48)+Assumptions!$B$49+('Pro-Forma'!$M$21+'Pro-Forma'!$M$22)+J45</f>
        <v/>
      </c>
      <c r="L45">
        <f>(B12-I45+Assumptions!$B$31*Assumptions!$B$10)/(K45+Assumptions!$B$31)</f>
        <v/>
      </c>
      <c r="M45">
        <f>IF(L45&gt;Assumptions!$B$10,"yes","no")</f>
        <v/>
      </c>
      <c r="N45">
        <f>IF(M45="yes",L45,MAX(0,(B12-I45)/K45))</f>
        <v/>
      </c>
      <c r="O45">
        <f>IF(M45="yes",Assumptions!$B$31*(N45-Assumptions!$B$10),0)</f>
        <v/>
      </c>
    </row>
    <row r="46">
      <c r="A46" t="inlineStr">
        <is>
          <t>iter 28</t>
        </is>
      </c>
      <c r="B46">
        <f>IF($B$4&gt;$C$4*N45,"preference","convert")</f>
        <v/>
      </c>
      <c r="C46">
        <f>IF($B$5&gt;$C$5*N45,"preference","convert")</f>
        <v/>
      </c>
      <c r="D46">
        <f>IF($B$6&gt;$C$6*N45,"preference","convert")</f>
        <v/>
      </c>
      <c r="E46">
        <f>IF($B$7&gt;$C$7*N45,"preference","convert")</f>
        <v/>
      </c>
      <c r="F46">
        <f>IF($B$8&gt;$C$8*N45,"preference","convert")</f>
        <v/>
      </c>
      <c r="G46">
        <f>IF($B$9&gt;$C$9*N45,"preference","convert")</f>
        <v/>
      </c>
      <c r="H46">
        <f>IF($B$10&gt;$C$10*N45,"preference","convert")</f>
        <v/>
      </c>
      <c r="I46">
        <f>IF(B46="preference",$B$4,0)+IF(C46="preference",$B$5,0)+IF(D46="preference",$B$6,0)+IF(E46="preference",$B$7,0)+IF(F46="preference",$B$8,0)+IF(G46="preference",$B$9,0)+IF(H46="preference",$B$10,0)</f>
        <v/>
      </c>
      <c r="J46">
        <f>IF(B46="convert",$C$4,0)+IF(C46="convert",$C$5,0)+IF(D46="convert",$C$6,0)+IF(E46="convert",$C$7,0)+IF(F46="convert",$C$8,0)+IF(G46="convert",$C$9,0)+IF(H46="convert",$C$10,0)</f>
        <v/>
      </c>
      <c r="K46">
        <f>(Assumptions!$B$46+Assumptions!$B$47+Assumptions!$B$48)+Assumptions!$B$49+('Pro-Forma'!$M$21+'Pro-Forma'!$M$22)+J46</f>
        <v/>
      </c>
      <c r="L46">
        <f>(B12-I46+Assumptions!$B$31*Assumptions!$B$10)/(K46+Assumptions!$B$31)</f>
        <v/>
      </c>
      <c r="M46">
        <f>IF(L46&gt;Assumptions!$B$10,"yes","no")</f>
        <v/>
      </c>
      <c r="N46">
        <f>IF(M46="yes",L46,MAX(0,(B12-I46)/K46))</f>
        <v/>
      </c>
      <c r="O46">
        <f>IF(M46="yes",Assumptions!$B$31*(N46-Assumptions!$B$10),0)</f>
        <v/>
      </c>
    </row>
    <row r="47">
      <c r="A47" t="inlineStr">
        <is>
          <t>iter 29</t>
        </is>
      </c>
      <c r="B47">
        <f>IF($B$4&gt;$C$4*N46,"preference","convert")</f>
        <v/>
      </c>
      <c r="C47">
        <f>IF($B$5&gt;$C$5*N46,"preference","convert")</f>
        <v/>
      </c>
      <c r="D47">
        <f>IF($B$6&gt;$C$6*N46,"preference","convert")</f>
        <v/>
      </c>
      <c r="E47">
        <f>IF($B$7&gt;$C$7*N46,"preference","convert")</f>
        <v/>
      </c>
      <c r="F47">
        <f>IF($B$8&gt;$C$8*N46,"preference","convert")</f>
        <v/>
      </c>
      <c r="G47">
        <f>IF($B$9&gt;$C$9*N46,"preference","convert")</f>
        <v/>
      </c>
      <c r="H47">
        <f>IF($B$10&gt;$C$10*N46,"preference","convert")</f>
        <v/>
      </c>
      <c r="I47">
        <f>IF(B47="preference",$B$4,0)+IF(C47="preference",$B$5,0)+IF(D47="preference",$B$6,0)+IF(E47="preference",$B$7,0)+IF(F47="preference",$B$8,0)+IF(G47="preference",$B$9,0)+IF(H47="preference",$B$10,0)</f>
        <v/>
      </c>
      <c r="J47">
        <f>IF(B47="convert",$C$4,0)+IF(C47="convert",$C$5,0)+IF(D47="convert",$C$6,0)+IF(E47="convert",$C$7,0)+IF(F47="convert",$C$8,0)+IF(G47="convert",$C$9,0)+IF(H47="convert",$C$10,0)</f>
        <v/>
      </c>
      <c r="K47">
        <f>(Assumptions!$B$46+Assumptions!$B$47+Assumptions!$B$48)+Assumptions!$B$49+('Pro-Forma'!$M$21+'Pro-Forma'!$M$22)+J47</f>
        <v/>
      </c>
      <c r="L47">
        <f>(B12-I47+Assumptions!$B$31*Assumptions!$B$10)/(K47+Assumptions!$B$31)</f>
        <v/>
      </c>
      <c r="M47">
        <f>IF(L47&gt;Assumptions!$B$10,"yes","no")</f>
        <v/>
      </c>
      <c r="N47">
        <f>IF(M47="yes",L47,MAX(0,(B12-I47)/K47))</f>
        <v/>
      </c>
      <c r="O47">
        <f>IF(M47="yes",Assumptions!$B$31*(N47-Assumptions!$B$10),0)</f>
        <v/>
      </c>
    </row>
    <row r="48">
      <c r="A48" t="inlineStr">
        <is>
          <t>iter 30</t>
        </is>
      </c>
      <c r="B48">
        <f>IF($B$4&gt;$C$4*N47,"preference","convert")</f>
        <v/>
      </c>
      <c r="C48">
        <f>IF($B$5&gt;$C$5*N47,"preference","convert")</f>
        <v/>
      </c>
      <c r="D48">
        <f>IF($B$6&gt;$C$6*N47,"preference","convert")</f>
        <v/>
      </c>
      <c r="E48">
        <f>IF($B$7&gt;$C$7*N47,"preference","convert")</f>
        <v/>
      </c>
      <c r="F48">
        <f>IF($B$8&gt;$C$8*N47,"preference","convert")</f>
        <v/>
      </c>
      <c r="G48">
        <f>IF($B$9&gt;$C$9*N47,"preference","convert")</f>
        <v/>
      </c>
      <c r="H48">
        <f>IF($B$10&gt;$C$10*N47,"preference","convert")</f>
        <v/>
      </c>
      <c r="I48">
        <f>IF(B48="preference",$B$4,0)+IF(C48="preference",$B$5,0)+IF(D48="preference",$B$6,0)+IF(E48="preference",$B$7,0)+IF(F48="preference",$B$8,0)+IF(G48="preference",$B$9,0)+IF(H48="preference",$B$10,0)</f>
        <v/>
      </c>
      <c r="J48">
        <f>IF(B48="convert",$C$4,0)+IF(C48="convert",$C$5,0)+IF(D48="convert",$C$6,0)+IF(E48="convert",$C$7,0)+IF(F48="convert",$C$8,0)+IF(G48="convert",$C$9,0)+IF(H48="convert",$C$10,0)</f>
        <v/>
      </c>
      <c r="K48">
        <f>(Assumptions!$B$46+Assumptions!$B$47+Assumptions!$B$48)+Assumptions!$B$49+('Pro-Forma'!$M$21+'Pro-Forma'!$M$22)+J48</f>
        <v/>
      </c>
      <c r="L48">
        <f>(B12-I48+Assumptions!$B$31*Assumptions!$B$10)/(K48+Assumptions!$B$31)</f>
        <v/>
      </c>
      <c r="M48">
        <f>IF(L48&gt;Assumptions!$B$10,"yes","no")</f>
        <v/>
      </c>
      <c r="N48">
        <f>IF(M48="yes",L48,MAX(0,(B12-I48)/K48))</f>
        <v/>
      </c>
      <c r="O48">
        <f>IF(M48="yes",Assumptions!$B$31*(N48-Assumptions!$B$10),0)</f>
        <v/>
      </c>
    </row>
    <row r="51">
      <c r="A51" s="1" t="inlineStr">
        <is>
          <t>Exit 2 iteration ladder</t>
        </is>
      </c>
    </row>
    <row r="52">
      <c r="A52" s="2" t="inlineStr">
        <is>
          <t>Step</t>
        </is>
      </c>
      <c r="B52" s="2" t="inlineStr">
        <is>
          <t>F_el</t>
        </is>
      </c>
      <c r="C52" s="2" t="inlineStr">
        <is>
          <t>E_el</t>
        </is>
      </c>
      <c r="D52" s="2" t="inlineStr">
        <is>
          <t>D_el</t>
        </is>
      </c>
      <c r="E52" s="2" t="inlineStr">
        <is>
          <t>C_el</t>
        </is>
      </c>
      <c r="F52" s="2" t="inlineStr">
        <is>
          <t>B_el</t>
        </is>
      </c>
      <c r="G52" s="2" t="inlineStr">
        <is>
          <t>A_el</t>
        </is>
      </c>
      <c r="H52" s="2" t="inlineStr">
        <is>
          <t>Seed_el</t>
        </is>
      </c>
      <c r="I52" s="2" t="inlineStr">
        <is>
          <t>prefs</t>
        </is>
      </c>
      <c r="J52" s="2" t="inlineStr">
        <is>
          <t>conv_sh</t>
        </is>
      </c>
      <c r="K52" s="2" t="inlineStr">
        <is>
          <t>cpool</t>
        </is>
      </c>
      <c r="L52" s="2" t="inlineStr">
        <is>
          <t>ITM_PPS</t>
        </is>
      </c>
      <c r="M52" s="2" t="inlineStr">
        <is>
          <t>ITM?</t>
        </is>
      </c>
      <c r="N52" s="2" t="inlineStr">
        <is>
          <t>common_PPS</t>
        </is>
      </c>
      <c r="O52" s="2" t="inlineStr">
        <is>
          <t>opt_proc</t>
        </is>
      </c>
    </row>
    <row r="53">
      <c r="A53" t="inlineStr">
        <is>
          <t>seed (all convert)</t>
        </is>
      </c>
      <c r="B53">
        <f>"convert"</f>
        <v/>
      </c>
      <c r="C53">
        <f>"convert"</f>
        <v/>
      </c>
      <c r="D53">
        <f>"convert"</f>
        <v/>
      </c>
      <c r="E53">
        <f>"convert"</f>
        <v/>
      </c>
      <c r="F53">
        <f>"convert"</f>
        <v/>
      </c>
      <c r="G53">
        <f>"convert"</f>
        <v/>
      </c>
      <c r="H53">
        <f>"convert"</f>
        <v/>
      </c>
      <c r="I53">
        <f>IF(B53="preference",$B$4,0)+IF(C53="preference",$B$5,0)+IF(D53="preference",$B$6,0)+IF(E53="preference",$B$7,0)+IF(F53="preference",$B$8,0)+IF(G53="preference",$B$9,0)+IF(H53="preference",$B$10,0)</f>
        <v/>
      </c>
      <c r="J53">
        <f>IF(B53="convert",$C$4,0)+IF(C53="convert",$C$5,0)+IF(D53="convert",$C$6,0)+IF(E53="convert",$C$7,0)+IF(F53="convert",$C$8,0)+IF(G53="convert",$C$9,0)+IF(H53="convert",$C$10,0)</f>
        <v/>
      </c>
      <c r="K53">
        <f>(Assumptions!$B$46+Assumptions!$B$47+Assumptions!$B$48)+Assumptions!$B$49+('Pro-Forma'!$M$21+'Pro-Forma'!$M$22)+J53</f>
        <v/>
      </c>
      <c r="L53">
        <f>(C12-I53+Assumptions!$B$31*Assumptions!$B$10)/(K53+Assumptions!$B$31)</f>
        <v/>
      </c>
      <c r="M53">
        <f>IF(L53&gt;Assumptions!$B$10,"yes","no")</f>
        <v/>
      </c>
      <c r="N53">
        <f>IF(M53="yes",L53,MAX(0,(C12-I53)/K53))</f>
        <v/>
      </c>
      <c r="O53">
        <f>IF(M53="yes",Assumptions!$B$31*(N53-Assumptions!$B$10),0)</f>
        <v/>
      </c>
    </row>
    <row r="54">
      <c r="A54" t="inlineStr">
        <is>
          <t>iter 1</t>
        </is>
      </c>
      <c r="B54">
        <f>IF($B$4&gt;$C$4*N53,"preference","convert")</f>
        <v/>
      </c>
      <c r="C54">
        <f>IF($B$5&gt;$C$5*N53,"preference","convert")</f>
        <v/>
      </c>
      <c r="D54">
        <f>IF($B$6&gt;$C$6*N53,"preference","convert")</f>
        <v/>
      </c>
      <c r="E54">
        <f>IF($B$7&gt;$C$7*N53,"preference","convert")</f>
        <v/>
      </c>
      <c r="F54">
        <f>IF($B$8&gt;$C$8*N53,"preference","convert")</f>
        <v/>
      </c>
      <c r="G54">
        <f>IF($B$9&gt;$C$9*N53,"preference","convert")</f>
        <v/>
      </c>
      <c r="H54">
        <f>IF($B$10&gt;$C$10*N53,"preference","convert")</f>
        <v/>
      </c>
      <c r="I54">
        <f>IF(B54="preference",$B$4,0)+IF(C54="preference",$B$5,0)+IF(D54="preference",$B$6,0)+IF(E54="preference",$B$7,0)+IF(F54="preference",$B$8,0)+IF(G54="preference",$B$9,0)+IF(H54="preference",$B$10,0)</f>
        <v/>
      </c>
      <c r="J54">
        <f>IF(B54="convert",$C$4,0)+IF(C54="convert",$C$5,0)+IF(D54="convert",$C$6,0)+IF(E54="convert",$C$7,0)+IF(F54="convert",$C$8,0)+IF(G54="convert",$C$9,0)+IF(H54="convert",$C$10,0)</f>
        <v/>
      </c>
      <c r="K54">
        <f>(Assumptions!$B$46+Assumptions!$B$47+Assumptions!$B$48)+Assumptions!$B$49+('Pro-Forma'!$M$21+'Pro-Forma'!$M$22)+J54</f>
        <v/>
      </c>
      <c r="L54">
        <f>(C12-I54+Assumptions!$B$31*Assumptions!$B$10)/(K54+Assumptions!$B$31)</f>
        <v/>
      </c>
      <c r="M54">
        <f>IF(L54&gt;Assumptions!$B$10,"yes","no")</f>
        <v/>
      </c>
      <c r="N54">
        <f>IF(M54="yes",L54,MAX(0,(C12-I54)/K54))</f>
        <v/>
      </c>
      <c r="O54">
        <f>IF(M54="yes",Assumptions!$B$31*(N54-Assumptions!$B$10),0)</f>
        <v/>
      </c>
    </row>
    <row r="55">
      <c r="A55" t="inlineStr">
        <is>
          <t>iter 2</t>
        </is>
      </c>
      <c r="B55">
        <f>IF($B$4&gt;$C$4*N54,"preference","convert")</f>
        <v/>
      </c>
      <c r="C55">
        <f>IF($B$5&gt;$C$5*N54,"preference","convert")</f>
        <v/>
      </c>
      <c r="D55">
        <f>IF($B$6&gt;$C$6*N54,"preference","convert")</f>
        <v/>
      </c>
      <c r="E55">
        <f>IF($B$7&gt;$C$7*N54,"preference","convert")</f>
        <v/>
      </c>
      <c r="F55">
        <f>IF($B$8&gt;$C$8*N54,"preference","convert")</f>
        <v/>
      </c>
      <c r="G55">
        <f>IF($B$9&gt;$C$9*N54,"preference","convert")</f>
        <v/>
      </c>
      <c r="H55">
        <f>IF($B$10&gt;$C$10*N54,"preference","convert")</f>
        <v/>
      </c>
      <c r="I55">
        <f>IF(B55="preference",$B$4,0)+IF(C55="preference",$B$5,0)+IF(D55="preference",$B$6,0)+IF(E55="preference",$B$7,0)+IF(F55="preference",$B$8,0)+IF(G55="preference",$B$9,0)+IF(H55="preference",$B$10,0)</f>
        <v/>
      </c>
      <c r="J55">
        <f>IF(B55="convert",$C$4,0)+IF(C55="convert",$C$5,0)+IF(D55="convert",$C$6,0)+IF(E55="convert",$C$7,0)+IF(F55="convert",$C$8,0)+IF(G55="convert",$C$9,0)+IF(H55="convert",$C$10,0)</f>
        <v/>
      </c>
      <c r="K55">
        <f>(Assumptions!$B$46+Assumptions!$B$47+Assumptions!$B$48)+Assumptions!$B$49+('Pro-Forma'!$M$21+'Pro-Forma'!$M$22)+J55</f>
        <v/>
      </c>
      <c r="L55">
        <f>(C12-I55+Assumptions!$B$31*Assumptions!$B$10)/(K55+Assumptions!$B$31)</f>
        <v/>
      </c>
      <c r="M55">
        <f>IF(L55&gt;Assumptions!$B$10,"yes","no")</f>
        <v/>
      </c>
      <c r="N55">
        <f>IF(M55="yes",L55,MAX(0,(C12-I55)/K55))</f>
        <v/>
      </c>
      <c r="O55">
        <f>IF(M55="yes",Assumptions!$B$31*(N55-Assumptions!$B$10),0)</f>
        <v/>
      </c>
    </row>
    <row r="56">
      <c r="A56" t="inlineStr">
        <is>
          <t>iter 3</t>
        </is>
      </c>
      <c r="B56">
        <f>IF($B$4&gt;$C$4*N55,"preference","convert")</f>
        <v/>
      </c>
      <c r="C56">
        <f>IF($B$5&gt;$C$5*N55,"preference","convert")</f>
        <v/>
      </c>
      <c r="D56">
        <f>IF($B$6&gt;$C$6*N55,"preference","convert")</f>
        <v/>
      </c>
      <c r="E56">
        <f>IF($B$7&gt;$C$7*N55,"preference","convert")</f>
        <v/>
      </c>
      <c r="F56">
        <f>IF($B$8&gt;$C$8*N55,"preference","convert")</f>
        <v/>
      </c>
      <c r="G56">
        <f>IF($B$9&gt;$C$9*N55,"preference","convert")</f>
        <v/>
      </c>
      <c r="H56">
        <f>IF($B$10&gt;$C$10*N55,"preference","convert")</f>
        <v/>
      </c>
      <c r="I56">
        <f>IF(B56="preference",$B$4,0)+IF(C56="preference",$B$5,0)+IF(D56="preference",$B$6,0)+IF(E56="preference",$B$7,0)+IF(F56="preference",$B$8,0)+IF(G56="preference",$B$9,0)+IF(H56="preference",$B$10,0)</f>
        <v/>
      </c>
      <c r="J56">
        <f>IF(B56="convert",$C$4,0)+IF(C56="convert",$C$5,0)+IF(D56="convert",$C$6,0)+IF(E56="convert",$C$7,0)+IF(F56="convert",$C$8,0)+IF(G56="convert",$C$9,0)+IF(H56="convert",$C$10,0)</f>
        <v/>
      </c>
      <c r="K56">
        <f>(Assumptions!$B$46+Assumptions!$B$47+Assumptions!$B$48)+Assumptions!$B$49+('Pro-Forma'!$M$21+'Pro-Forma'!$M$22)+J56</f>
        <v/>
      </c>
      <c r="L56">
        <f>(C12-I56+Assumptions!$B$31*Assumptions!$B$10)/(K56+Assumptions!$B$31)</f>
        <v/>
      </c>
      <c r="M56">
        <f>IF(L56&gt;Assumptions!$B$10,"yes","no")</f>
        <v/>
      </c>
      <c r="N56">
        <f>IF(M56="yes",L56,MAX(0,(C12-I56)/K56))</f>
        <v/>
      </c>
      <c r="O56">
        <f>IF(M56="yes",Assumptions!$B$31*(N56-Assumptions!$B$10),0)</f>
        <v/>
      </c>
    </row>
    <row r="57">
      <c r="A57" t="inlineStr">
        <is>
          <t>iter 4</t>
        </is>
      </c>
      <c r="B57">
        <f>IF($B$4&gt;$C$4*N56,"preference","convert")</f>
        <v/>
      </c>
      <c r="C57">
        <f>IF($B$5&gt;$C$5*N56,"preference","convert")</f>
        <v/>
      </c>
      <c r="D57">
        <f>IF($B$6&gt;$C$6*N56,"preference","convert")</f>
        <v/>
      </c>
      <c r="E57">
        <f>IF($B$7&gt;$C$7*N56,"preference","convert")</f>
        <v/>
      </c>
      <c r="F57">
        <f>IF($B$8&gt;$C$8*N56,"preference","convert")</f>
        <v/>
      </c>
      <c r="G57">
        <f>IF($B$9&gt;$C$9*N56,"preference","convert")</f>
        <v/>
      </c>
      <c r="H57">
        <f>IF($B$10&gt;$C$10*N56,"preference","convert")</f>
        <v/>
      </c>
      <c r="I57">
        <f>IF(B57="preference",$B$4,0)+IF(C57="preference",$B$5,0)+IF(D57="preference",$B$6,0)+IF(E57="preference",$B$7,0)+IF(F57="preference",$B$8,0)+IF(G57="preference",$B$9,0)+IF(H57="preference",$B$10,0)</f>
        <v/>
      </c>
      <c r="J57">
        <f>IF(B57="convert",$C$4,0)+IF(C57="convert",$C$5,0)+IF(D57="convert",$C$6,0)+IF(E57="convert",$C$7,0)+IF(F57="convert",$C$8,0)+IF(G57="convert",$C$9,0)+IF(H57="convert",$C$10,0)</f>
        <v/>
      </c>
      <c r="K57">
        <f>(Assumptions!$B$46+Assumptions!$B$47+Assumptions!$B$48)+Assumptions!$B$49+('Pro-Forma'!$M$21+'Pro-Forma'!$M$22)+J57</f>
        <v/>
      </c>
      <c r="L57">
        <f>(C12-I57+Assumptions!$B$31*Assumptions!$B$10)/(K57+Assumptions!$B$31)</f>
        <v/>
      </c>
      <c r="M57">
        <f>IF(L57&gt;Assumptions!$B$10,"yes","no")</f>
        <v/>
      </c>
      <c r="N57">
        <f>IF(M57="yes",L57,MAX(0,(C12-I57)/K57))</f>
        <v/>
      </c>
      <c r="O57">
        <f>IF(M57="yes",Assumptions!$B$31*(N57-Assumptions!$B$10),0)</f>
        <v/>
      </c>
    </row>
    <row r="58">
      <c r="A58" t="inlineStr">
        <is>
          <t>iter 5</t>
        </is>
      </c>
      <c r="B58">
        <f>IF($B$4&gt;$C$4*N57,"preference","convert")</f>
        <v/>
      </c>
      <c r="C58">
        <f>IF($B$5&gt;$C$5*N57,"preference","convert")</f>
        <v/>
      </c>
      <c r="D58">
        <f>IF($B$6&gt;$C$6*N57,"preference","convert")</f>
        <v/>
      </c>
      <c r="E58">
        <f>IF($B$7&gt;$C$7*N57,"preference","convert")</f>
        <v/>
      </c>
      <c r="F58">
        <f>IF($B$8&gt;$C$8*N57,"preference","convert")</f>
        <v/>
      </c>
      <c r="G58">
        <f>IF($B$9&gt;$C$9*N57,"preference","convert")</f>
        <v/>
      </c>
      <c r="H58">
        <f>IF($B$10&gt;$C$10*N57,"preference","convert")</f>
        <v/>
      </c>
      <c r="I58">
        <f>IF(B58="preference",$B$4,0)+IF(C58="preference",$B$5,0)+IF(D58="preference",$B$6,0)+IF(E58="preference",$B$7,0)+IF(F58="preference",$B$8,0)+IF(G58="preference",$B$9,0)+IF(H58="preference",$B$10,0)</f>
        <v/>
      </c>
      <c r="J58">
        <f>IF(B58="convert",$C$4,0)+IF(C58="convert",$C$5,0)+IF(D58="convert",$C$6,0)+IF(E58="convert",$C$7,0)+IF(F58="convert",$C$8,0)+IF(G58="convert",$C$9,0)+IF(H58="convert",$C$10,0)</f>
        <v/>
      </c>
      <c r="K58">
        <f>(Assumptions!$B$46+Assumptions!$B$47+Assumptions!$B$48)+Assumptions!$B$49+('Pro-Forma'!$M$21+'Pro-Forma'!$M$22)+J58</f>
        <v/>
      </c>
      <c r="L58">
        <f>(C12-I58+Assumptions!$B$31*Assumptions!$B$10)/(K58+Assumptions!$B$31)</f>
        <v/>
      </c>
      <c r="M58">
        <f>IF(L58&gt;Assumptions!$B$10,"yes","no")</f>
        <v/>
      </c>
      <c r="N58">
        <f>IF(M58="yes",L58,MAX(0,(C12-I58)/K58))</f>
        <v/>
      </c>
      <c r="O58">
        <f>IF(M58="yes",Assumptions!$B$31*(N58-Assumptions!$B$10),0)</f>
        <v/>
      </c>
    </row>
    <row r="59">
      <c r="A59" t="inlineStr">
        <is>
          <t>iter 6</t>
        </is>
      </c>
      <c r="B59">
        <f>IF($B$4&gt;$C$4*N58,"preference","convert")</f>
        <v/>
      </c>
      <c r="C59">
        <f>IF($B$5&gt;$C$5*N58,"preference","convert")</f>
        <v/>
      </c>
      <c r="D59">
        <f>IF($B$6&gt;$C$6*N58,"preference","convert")</f>
        <v/>
      </c>
      <c r="E59">
        <f>IF($B$7&gt;$C$7*N58,"preference","convert")</f>
        <v/>
      </c>
      <c r="F59">
        <f>IF($B$8&gt;$C$8*N58,"preference","convert")</f>
        <v/>
      </c>
      <c r="G59">
        <f>IF($B$9&gt;$C$9*N58,"preference","convert")</f>
        <v/>
      </c>
      <c r="H59">
        <f>IF($B$10&gt;$C$10*N58,"preference","convert")</f>
        <v/>
      </c>
      <c r="I59">
        <f>IF(B59="preference",$B$4,0)+IF(C59="preference",$B$5,0)+IF(D59="preference",$B$6,0)+IF(E59="preference",$B$7,0)+IF(F59="preference",$B$8,0)+IF(G59="preference",$B$9,0)+IF(H59="preference",$B$10,0)</f>
        <v/>
      </c>
      <c r="J59">
        <f>IF(B59="convert",$C$4,0)+IF(C59="convert",$C$5,0)+IF(D59="convert",$C$6,0)+IF(E59="convert",$C$7,0)+IF(F59="convert",$C$8,0)+IF(G59="convert",$C$9,0)+IF(H59="convert",$C$10,0)</f>
        <v/>
      </c>
      <c r="K59">
        <f>(Assumptions!$B$46+Assumptions!$B$47+Assumptions!$B$48)+Assumptions!$B$49+('Pro-Forma'!$M$21+'Pro-Forma'!$M$22)+J59</f>
        <v/>
      </c>
      <c r="L59">
        <f>(C12-I59+Assumptions!$B$31*Assumptions!$B$10)/(K59+Assumptions!$B$31)</f>
        <v/>
      </c>
      <c r="M59">
        <f>IF(L59&gt;Assumptions!$B$10,"yes","no")</f>
        <v/>
      </c>
      <c r="N59">
        <f>IF(M59="yes",L59,MAX(0,(C12-I59)/K59))</f>
        <v/>
      </c>
      <c r="O59">
        <f>IF(M59="yes",Assumptions!$B$31*(N59-Assumptions!$B$10),0)</f>
        <v/>
      </c>
    </row>
    <row r="60">
      <c r="A60" t="inlineStr">
        <is>
          <t>iter 7</t>
        </is>
      </c>
      <c r="B60">
        <f>IF($B$4&gt;$C$4*N59,"preference","convert")</f>
        <v/>
      </c>
      <c r="C60">
        <f>IF($B$5&gt;$C$5*N59,"preference","convert")</f>
        <v/>
      </c>
      <c r="D60">
        <f>IF($B$6&gt;$C$6*N59,"preference","convert")</f>
        <v/>
      </c>
      <c r="E60">
        <f>IF($B$7&gt;$C$7*N59,"preference","convert")</f>
        <v/>
      </c>
      <c r="F60">
        <f>IF($B$8&gt;$C$8*N59,"preference","convert")</f>
        <v/>
      </c>
      <c r="G60">
        <f>IF($B$9&gt;$C$9*N59,"preference","convert")</f>
        <v/>
      </c>
      <c r="H60">
        <f>IF($B$10&gt;$C$10*N59,"preference","convert")</f>
        <v/>
      </c>
      <c r="I60">
        <f>IF(B60="preference",$B$4,0)+IF(C60="preference",$B$5,0)+IF(D60="preference",$B$6,0)+IF(E60="preference",$B$7,0)+IF(F60="preference",$B$8,0)+IF(G60="preference",$B$9,0)+IF(H60="preference",$B$10,0)</f>
        <v/>
      </c>
      <c r="J60">
        <f>IF(B60="convert",$C$4,0)+IF(C60="convert",$C$5,0)+IF(D60="convert",$C$6,0)+IF(E60="convert",$C$7,0)+IF(F60="convert",$C$8,0)+IF(G60="convert",$C$9,0)+IF(H60="convert",$C$10,0)</f>
        <v/>
      </c>
      <c r="K60">
        <f>(Assumptions!$B$46+Assumptions!$B$47+Assumptions!$B$48)+Assumptions!$B$49+('Pro-Forma'!$M$21+'Pro-Forma'!$M$22)+J60</f>
        <v/>
      </c>
      <c r="L60">
        <f>(C12-I60+Assumptions!$B$31*Assumptions!$B$10)/(K60+Assumptions!$B$31)</f>
        <v/>
      </c>
      <c r="M60">
        <f>IF(L60&gt;Assumptions!$B$10,"yes","no")</f>
        <v/>
      </c>
      <c r="N60">
        <f>IF(M60="yes",L60,MAX(0,(C12-I60)/K60))</f>
        <v/>
      </c>
      <c r="O60">
        <f>IF(M60="yes",Assumptions!$B$31*(N60-Assumptions!$B$10),0)</f>
        <v/>
      </c>
    </row>
    <row r="61">
      <c r="A61" t="inlineStr">
        <is>
          <t>iter 8</t>
        </is>
      </c>
      <c r="B61">
        <f>IF($B$4&gt;$C$4*N60,"preference","convert")</f>
        <v/>
      </c>
      <c r="C61">
        <f>IF($B$5&gt;$C$5*N60,"preference","convert")</f>
        <v/>
      </c>
      <c r="D61">
        <f>IF($B$6&gt;$C$6*N60,"preference","convert")</f>
        <v/>
      </c>
      <c r="E61">
        <f>IF($B$7&gt;$C$7*N60,"preference","convert")</f>
        <v/>
      </c>
      <c r="F61">
        <f>IF($B$8&gt;$C$8*N60,"preference","convert")</f>
        <v/>
      </c>
      <c r="G61">
        <f>IF($B$9&gt;$C$9*N60,"preference","convert")</f>
        <v/>
      </c>
      <c r="H61">
        <f>IF($B$10&gt;$C$10*N60,"preference","convert")</f>
        <v/>
      </c>
      <c r="I61">
        <f>IF(B61="preference",$B$4,0)+IF(C61="preference",$B$5,0)+IF(D61="preference",$B$6,0)+IF(E61="preference",$B$7,0)+IF(F61="preference",$B$8,0)+IF(G61="preference",$B$9,0)+IF(H61="preference",$B$10,0)</f>
        <v/>
      </c>
      <c r="J61">
        <f>IF(B61="convert",$C$4,0)+IF(C61="convert",$C$5,0)+IF(D61="convert",$C$6,0)+IF(E61="convert",$C$7,0)+IF(F61="convert",$C$8,0)+IF(G61="convert",$C$9,0)+IF(H61="convert",$C$10,0)</f>
        <v/>
      </c>
      <c r="K61">
        <f>(Assumptions!$B$46+Assumptions!$B$47+Assumptions!$B$48)+Assumptions!$B$49+('Pro-Forma'!$M$21+'Pro-Forma'!$M$22)+J61</f>
        <v/>
      </c>
      <c r="L61">
        <f>(C12-I61+Assumptions!$B$31*Assumptions!$B$10)/(K61+Assumptions!$B$31)</f>
        <v/>
      </c>
      <c r="M61">
        <f>IF(L61&gt;Assumptions!$B$10,"yes","no")</f>
        <v/>
      </c>
      <c r="N61">
        <f>IF(M61="yes",L61,MAX(0,(C12-I61)/K61))</f>
        <v/>
      </c>
      <c r="O61">
        <f>IF(M61="yes",Assumptions!$B$31*(N61-Assumptions!$B$10),0)</f>
        <v/>
      </c>
    </row>
    <row r="62">
      <c r="A62" t="inlineStr">
        <is>
          <t>iter 9</t>
        </is>
      </c>
      <c r="B62">
        <f>IF($B$4&gt;$C$4*N61,"preference","convert")</f>
        <v/>
      </c>
      <c r="C62">
        <f>IF($B$5&gt;$C$5*N61,"preference","convert")</f>
        <v/>
      </c>
      <c r="D62">
        <f>IF($B$6&gt;$C$6*N61,"preference","convert")</f>
        <v/>
      </c>
      <c r="E62">
        <f>IF($B$7&gt;$C$7*N61,"preference","convert")</f>
        <v/>
      </c>
      <c r="F62">
        <f>IF($B$8&gt;$C$8*N61,"preference","convert")</f>
        <v/>
      </c>
      <c r="G62">
        <f>IF($B$9&gt;$C$9*N61,"preference","convert")</f>
        <v/>
      </c>
      <c r="H62">
        <f>IF($B$10&gt;$C$10*N61,"preference","convert")</f>
        <v/>
      </c>
      <c r="I62">
        <f>IF(B62="preference",$B$4,0)+IF(C62="preference",$B$5,0)+IF(D62="preference",$B$6,0)+IF(E62="preference",$B$7,0)+IF(F62="preference",$B$8,0)+IF(G62="preference",$B$9,0)+IF(H62="preference",$B$10,0)</f>
        <v/>
      </c>
      <c r="J62">
        <f>IF(B62="convert",$C$4,0)+IF(C62="convert",$C$5,0)+IF(D62="convert",$C$6,0)+IF(E62="convert",$C$7,0)+IF(F62="convert",$C$8,0)+IF(G62="convert",$C$9,0)+IF(H62="convert",$C$10,0)</f>
        <v/>
      </c>
      <c r="K62">
        <f>(Assumptions!$B$46+Assumptions!$B$47+Assumptions!$B$48)+Assumptions!$B$49+('Pro-Forma'!$M$21+'Pro-Forma'!$M$22)+J62</f>
        <v/>
      </c>
      <c r="L62">
        <f>(C12-I62+Assumptions!$B$31*Assumptions!$B$10)/(K62+Assumptions!$B$31)</f>
        <v/>
      </c>
      <c r="M62">
        <f>IF(L62&gt;Assumptions!$B$10,"yes","no")</f>
        <v/>
      </c>
      <c r="N62">
        <f>IF(M62="yes",L62,MAX(0,(C12-I62)/K62))</f>
        <v/>
      </c>
      <c r="O62">
        <f>IF(M62="yes",Assumptions!$B$31*(N62-Assumptions!$B$10),0)</f>
        <v/>
      </c>
    </row>
    <row r="63">
      <c r="A63" t="inlineStr">
        <is>
          <t>iter 10</t>
        </is>
      </c>
      <c r="B63">
        <f>IF($B$4&gt;$C$4*N62,"preference","convert")</f>
        <v/>
      </c>
      <c r="C63">
        <f>IF($B$5&gt;$C$5*N62,"preference","convert")</f>
        <v/>
      </c>
      <c r="D63">
        <f>IF($B$6&gt;$C$6*N62,"preference","convert")</f>
        <v/>
      </c>
      <c r="E63">
        <f>IF($B$7&gt;$C$7*N62,"preference","convert")</f>
        <v/>
      </c>
      <c r="F63">
        <f>IF($B$8&gt;$C$8*N62,"preference","convert")</f>
        <v/>
      </c>
      <c r="G63">
        <f>IF($B$9&gt;$C$9*N62,"preference","convert")</f>
        <v/>
      </c>
      <c r="H63">
        <f>IF($B$10&gt;$C$10*N62,"preference","convert")</f>
        <v/>
      </c>
      <c r="I63">
        <f>IF(B63="preference",$B$4,0)+IF(C63="preference",$B$5,0)+IF(D63="preference",$B$6,0)+IF(E63="preference",$B$7,0)+IF(F63="preference",$B$8,0)+IF(G63="preference",$B$9,0)+IF(H63="preference",$B$10,0)</f>
        <v/>
      </c>
      <c r="J63">
        <f>IF(B63="convert",$C$4,0)+IF(C63="convert",$C$5,0)+IF(D63="convert",$C$6,0)+IF(E63="convert",$C$7,0)+IF(F63="convert",$C$8,0)+IF(G63="convert",$C$9,0)+IF(H63="convert",$C$10,0)</f>
        <v/>
      </c>
      <c r="K63">
        <f>(Assumptions!$B$46+Assumptions!$B$47+Assumptions!$B$48)+Assumptions!$B$49+('Pro-Forma'!$M$21+'Pro-Forma'!$M$22)+J63</f>
        <v/>
      </c>
      <c r="L63">
        <f>(C12-I63+Assumptions!$B$31*Assumptions!$B$10)/(K63+Assumptions!$B$31)</f>
        <v/>
      </c>
      <c r="M63">
        <f>IF(L63&gt;Assumptions!$B$10,"yes","no")</f>
        <v/>
      </c>
      <c r="N63">
        <f>IF(M63="yes",L63,MAX(0,(C12-I63)/K63))</f>
        <v/>
      </c>
      <c r="O63">
        <f>IF(M63="yes",Assumptions!$B$31*(N63-Assumptions!$B$10),0)</f>
        <v/>
      </c>
    </row>
    <row r="64">
      <c r="A64" t="inlineStr">
        <is>
          <t>iter 11</t>
        </is>
      </c>
      <c r="B64">
        <f>IF($B$4&gt;$C$4*N63,"preference","convert")</f>
        <v/>
      </c>
      <c r="C64">
        <f>IF($B$5&gt;$C$5*N63,"preference","convert")</f>
        <v/>
      </c>
      <c r="D64">
        <f>IF($B$6&gt;$C$6*N63,"preference","convert")</f>
        <v/>
      </c>
      <c r="E64">
        <f>IF($B$7&gt;$C$7*N63,"preference","convert")</f>
        <v/>
      </c>
      <c r="F64">
        <f>IF($B$8&gt;$C$8*N63,"preference","convert")</f>
        <v/>
      </c>
      <c r="G64">
        <f>IF($B$9&gt;$C$9*N63,"preference","convert")</f>
        <v/>
      </c>
      <c r="H64">
        <f>IF($B$10&gt;$C$10*N63,"preference","convert")</f>
        <v/>
      </c>
      <c r="I64">
        <f>IF(B64="preference",$B$4,0)+IF(C64="preference",$B$5,0)+IF(D64="preference",$B$6,0)+IF(E64="preference",$B$7,0)+IF(F64="preference",$B$8,0)+IF(G64="preference",$B$9,0)+IF(H64="preference",$B$10,0)</f>
        <v/>
      </c>
      <c r="J64">
        <f>IF(B64="convert",$C$4,0)+IF(C64="convert",$C$5,0)+IF(D64="convert",$C$6,0)+IF(E64="convert",$C$7,0)+IF(F64="convert",$C$8,0)+IF(G64="convert",$C$9,0)+IF(H64="convert",$C$10,0)</f>
        <v/>
      </c>
      <c r="K64">
        <f>(Assumptions!$B$46+Assumptions!$B$47+Assumptions!$B$48)+Assumptions!$B$49+('Pro-Forma'!$M$21+'Pro-Forma'!$M$22)+J64</f>
        <v/>
      </c>
      <c r="L64">
        <f>(C12-I64+Assumptions!$B$31*Assumptions!$B$10)/(K64+Assumptions!$B$31)</f>
        <v/>
      </c>
      <c r="M64">
        <f>IF(L64&gt;Assumptions!$B$10,"yes","no")</f>
        <v/>
      </c>
      <c r="N64">
        <f>IF(M64="yes",L64,MAX(0,(C12-I64)/K64))</f>
        <v/>
      </c>
      <c r="O64">
        <f>IF(M64="yes",Assumptions!$B$31*(N64-Assumptions!$B$10),0)</f>
        <v/>
      </c>
    </row>
    <row r="65">
      <c r="A65" t="inlineStr">
        <is>
          <t>iter 12</t>
        </is>
      </c>
      <c r="B65">
        <f>IF($B$4&gt;$C$4*N64,"preference","convert")</f>
        <v/>
      </c>
      <c r="C65">
        <f>IF($B$5&gt;$C$5*N64,"preference","convert")</f>
        <v/>
      </c>
      <c r="D65">
        <f>IF($B$6&gt;$C$6*N64,"preference","convert")</f>
        <v/>
      </c>
      <c r="E65">
        <f>IF($B$7&gt;$C$7*N64,"preference","convert")</f>
        <v/>
      </c>
      <c r="F65">
        <f>IF($B$8&gt;$C$8*N64,"preference","convert")</f>
        <v/>
      </c>
      <c r="G65">
        <f>IF($B$9&gt;$C$9*N64,"preference","convert")</f>
        <v/>
      </c>
      <c r="H65">
        <f>IF($B$10&gt;$C$10*N64,"preference","convert")</f>
        <v/>
      </c>
      <c r="I65">
        <f>IF(B65="preference",$B$4,0)+IF(C65="preference",$B$5,0)+IF(D65="preference",$B$6,0)+IF(E65="preference",$B$7,0)+IF(F65="preference",$B$8,0)+IF(G65="preference",$B$9,0)+IF(H65="preference",$B$10,0)</f>
        <v/>
      </c>
      <c r="J65">
        <f>IF(B65="convert",$C$4,0)+IF(C65="convert",$C$5,0)+IF(D65="convert",$C$6,0)+IF(E65="convert",$C$7,0)+IF(F65="convert",$C$8,0)+IF(G65="convert",$C$9,0)+IF(H65="convert",$C$10,0)</f>
        <v/>
      </c>
      <c r="K65">
        <f>(Assumptions!$B$46+Assumptions!$B$47+Assumptions!$B$48)+Assumptions!$B$49+('Pro-Forma'!$M$21+'Pro-Forma'!$M$22)+J65</f>
        <v/>
      </c>
      <c r="L65">
        <f>(C12-I65+Assumptions!$B$31*Assumptions!$B$10)/(K65+Assumptions!$B$31)</f>
        <v/>
      </c>
      <c r="M65">
        <f>IF(L65&gt;Assumptions!$B$10,"yes","no")</f>
        <v/>
      </c>
      <c r="N65">
        <f>IF(M65="yes",L65,MAX(0,(C12-I65)/K65))</f>
        <v/>
      </c>
      <c r="O65">
        <f>IF(M65="yes",Assumptions!$B$31*(N65-Assumptions!$B$10),0)</f>
        <v/>
      </c>
    </row>
    <row r="66">
      <c r="A66" t="inlineStr">
        <is>
          <t>iter 13</t>
        </is>
      </c>
      <c r="B66">
        <f>IF($B$4&gt;$C$4*N65,"preference","convert")</f>
        <v/>
      </c>
      <c r="C66">
        <f>IF($B$5&gt;$C$5*N65,"preference","convert")</f>
        <v/>
      </c>
      <c r="D66">
        <f>IF($B$6&gt;$C$6*N65,"preference","convert")</f>
        <v/>
      </c>
      <c r="E66">
        <f>IF($B$7&gt;$C$7*N65,"preference","convert")</f>
        <v/>
      </c>
      <c r="F66">
        <f>IF($B$8&gt;$C$8*N65,"preference","convert")</f>
        <v/>
      </c>
      <c r="G66">
        <f>IF($B$9&gt;$C$9*N65,"preference","convert")</f>
        <v/>
      </c>
      <c r="H66">
        <f>IF($B$10&gt;$C$10*N65,"preference","convert")</f>
        <v/>
      </c>
      <c r="I66">
        <f>IF(B66="preference",$B$4,0)+IF(C66="preference",$B$5,0)+IF(D66="preference",$B$6,0)+IF(E66="preference",$B$7,0)+IF(F66="preference",$B$8,0)+IF(G66="preference",$B$9,0)+IF(H66="preference",$B$10,0)</f>
        <v/>
      </c>
      <c r="J66">
        <f>IF(B66="convert",$C$4,0)+IF(C66="convert",$C$5,0)+IF(D66="convert",$C$6,0)+IF(E66="convert",$C$7,0)+IF(F66="convert",$C$8,0)+IF(G66="convert",$C$9,0)+IF(H66="convert",$C$10,0)</f>
        <v/>
      </c>
      <c r="K66">
        <f>(Assumptions!$B$46+Assumptions!$B$47+Assumptions!$B$48)+Assumptions!$B$49+('Pro-Forma'!$M$21+'Pro-Forma'!$M$22)+J66</f>
        <v/>
      </c>
      <c r="L66">
        <f>(C12-I66+Assumptions!$B$31*Assumptions!$B$10)/(K66+Assumptions!$B$31)</f>
        <v/>
      </c>
      <c r="M66">
        <f>IF(L66&gt;Assumptions!$B$10,"yes","no")</f>
        <v/>
      </c>
      <c r="N66">
        <f>IF(M66="yes",L66,MAX(0,(C12-I66)/K66))</f>
        <v/>
      </c>
      <c r="O66">
        <f>IF(M66="yes",Assumptions!$B$31*(N66-Assumptions!$B$10),0)</f>
        <v/>
      </c>
    </row>
    <row r="67">
      <c r="A67" t="inlineStr">
        <is>
          <t>iter 14</t>
        </is>
      </c>
      <c r="B67">
        <f>IF($B$4&gt;$C$4*N66,"preference","convert")</f>
        <v/>
      </c>
      <c r="C67">
        <f>IF($B$5&gt;$C$5*N66,"preference","convert")</f>
        <v/>
      </c>
      <c r="D67">
        <f>IF($B$6&gt;$C$6*N66,"preference","convert")</f>
        <v/>
      </c>
      <c r="E67">
        <f>IF($B$7&gt;$C$7*N66,"preference","convert")</f>
        <v/>
      </c>
      <c r="F67">
        <f>IF($B$8&gt;$C$8*N66,"preference","convert")</f>
        <v/>
      </c>
      <c r="G67">
        <f>IF($B$9&gt;$C$9*N66,"preference","convert")</f>
        <v/>
      </c>
      <c r="H67">
        <f>IF($B$10&gt;$C$10*N66,"preference","convert")</f>
        <v/>
      </c>
      <c r="I67">
        <f>IF(B67="preference",$B$4,0)+IF(C67="preference",$B$5,0)+IF(D67="preference",$B$6,0)+IF(E67="preference",$B$7,0)+IF(F67="preference",$B$8,0)+IF(G67="preference",$B$9,0)+IF(H67="preference",$B$10,0)</f>
        <v/>
      </c>
      <c r="J67">
        <f>IF(B67="convert",$C$4,0)+IF(C67="convert",$C$5,0)+IF(D67="convert",$C$6,0)+IF(E67="convert",$C$7,0)+IF(F67="convert",$C$8,0)+IF(G67="convert",$C$9,0)+IF(H67="convert",$C$10,0)</f>
        <v/>
      </c>
      <c r="K67">
        <f>(Assumptions!$B$46+Assumptions!$B$47+Assumptions!$B$48)+Assumptions!$B$49+('Pro-Forma'!$M$21+'Pro-Forma'!$M$22)+J67</f>
        <v/>
      </c>
      <c r="L67">
        <f>(C12-I67+Assumptions!$B$31*Assumptions!$B$10)/(K67+Assumptions!$B$31)</f>
        <v/>
      </c>
      <c r="M67">
        <f>IF(L67&gt;Assumptions!$B$10,"yes","no")</f>
        <v/>
      </c>
      <c r="N67">
        <f>IF(M67="yes",L67,MAX(0,(C12-I67)/K67))</f>
        <v/>
      </c>
      <c r="O67">
        <f>IF(M67="yes",Assumptions!$B$31*(N67-Assumptions!$B$10),0)</f>
        <v/>
      </c>
    </row>
    <row r="68">
      <c r="A68" t="inlineStr">
        <is>
          <t>iter 15</t>
        </is>
      </c>
      <c r="B68">
        <f>IF($B$4&gt;$C$4*N67,"preference","convert")</f>
        <v/>
      </c>
      <c r="C68">
        <f>IF($B$5&gt;$C$5*N67,"preference","convert")</f>
        <v/>
      </c>
      <c r="D68">
        <f>IF($B$6&gt;$C$6*N67,"preference","convert")</f>
        <v/>
      </c>
      <c r="E68">
        <f>IF($B$7&gt;$C$7*N67,"preference","convert")</f>
        <v/>
      </c>
      <c r="F68">
        <f>IF($B$8&gt;$C$8*N67,"preference","convert")</f>
        <v/>
      </c>
      <c r="G68">
        <f>IF($B$9&gt;$C$9*N67,"preference","convert")</f>
        <v/>
      </c>
      <c r="H68">
        <f>IF($B$10&gt;$C$10*N67,"preference","convert")</f>
        <v/>
      </c>
      <c r="I68">
        <f>IF(B68="preference",$B$4,0)+IF(C68="preference",$B$5,0)+IF(D68="preference",$B$6,0)+IF(E68="preference",$B$7,0)+IF(F68="preference",$B$8,0)+IF(G68="preference",$B$9,0)+IF(H68="preference",$B$10,0)</f>
        <v/>
      </c>
      <c r="J68">
        <f>IF(B68="convert",$C$4,0)+IF(C68="convert",$C$5,0)+IF(D68="convert",$C$6,0)+IF(E68="convert",$C$7,0)+IF(F68="convert",$C$8,0)+IF(G68="convert",$C$9,0)+IF(H68="convert",$C$10,0)</f>
        <v/>
      </c>
      <c r="K68">
        <f>(Assumptions!$B$46+Assumptions!$B$47+Assumptions!$B$48)+Assumptions!$B$49+('Pro-Forma'!$M$21+'Pro-Forma'!$M$22)+J68</f>
        <v/>
      </c>
      <c r="L68">
        <f>(C12-I68+Assumptions!$B$31*Assumptions!$B$10)/(K68+Assumptions!$B$31)</f>
        <v/>
      </c>
      <c r="M68">
        <f>IF(L68&gt;Assumptions!$B$10,"yes","no")</f>
        <v/>
      </c>
      <c r="N68">
        <f>IF(M68="yes",L68,MAX(0,(C12-I68)/K68))</f>
        <v/>
      </c>
      <c r="O68">
        <f>IF(M68="yes",Assumptions!$B$31*(N68-Assumptions!$B$10),0)</f>
        <v/>
      </c>
    </row>
    <row r="69">
      <c r="A69" t="inlineStr">
        <is>
          <t>iter 16</t>
        </is>
      </c>
      <c r="B69">
        <f>IF($B$4&gt;$C$4*N68,"preference","convert")</f>
        <v/>
      </c>
      <c r="C69">
        <f>IF($B$5&gt;$C$5*N68,"preference","convert")</f>
        <v/>
      </c>
      <c r="D69">
        <f>IF($B$6&gt;$C$6*N68,"preference","convert")</f>
        <v/>
      </c>
      <c r="E69">
        <f>IF($B$7&gt;$C$7*N68,"preference","convert")</f>
        <v/>
      </c>
      <c r="F69">
        <f>IF($B$8&gt;$C$8*N68,"preference","convert")</f>
        <v/>
      </c>
      <c r="G69">
        <f>IF($B$9&gt;$C$9*N68,"preference","convert")</f>
        <v/>
      </c>
      <c r="H69">
        <f>IF($B$10&gt;$C$10*N68,"preference","convert")</f>
        <v/>
      </c>
      <c r="I69">
        <f>IF(B69="preference",$B$4,0)+IF(C69="preference",$B$5,0)+IF(D69="preference",$B$6,0)+IF(E69="preference",$B$7,0)+IF(F69="preference",$B$8,0)+IF(G69="preference",$B$9,0)+IF(H69="preference",$B$10,0)</f>
        <v/>
      </c>
      <c r="J69">
        <f>IF(B69="convert",$C$4,0)+IF(C69="convert",$C$5,0)+IF(D69="convert",$C$6,0)+IF(E69="convert",$C$7,0)+IF(F69="convert",$C$8,0)+IF(G69="convert",$C$9,0)+IF(H69="convert",$C$10,0)</f>
        <v/>
      </c>
      <c r="K69">
        <f>(Assumptions!$B$46+Assumptions!$B$47+Assumptions!$B$48)+Assumptions!$B$49+('Pro-Forma'!$M$21+'Pro-Forma'!$M$22)+J69</f>
        <v/>
      </c>
      <c r="L69">
        <f>(C12-I69+Assumptions!$B$31*Assumptions!$B$10)/(K69+Assumptions!$B$31)</f>
        <v/>
      </c>
      <c r="M69">
        <f>IF(L69&gt;Assumptions!$B$10,"yes","no")</f>
        <v/>
      </c>
      <c r="N69">
        <f>IF(M69="yes",L69,MAX(0,(C12-I69)/K69))</f>
        <v/>
      </c>
      <c r="O69">
        <f>IF(M69="yes",Assumptions!$B$31*(N69-Assumptions!$B$10),0)</f>
        <v/>
      </c>
    </row>
    <row r="70">
      <c r="A70" t="inlineStr">
        <is>
          <t>iter 17</t>
        </is>
      </c>
      <c r="B70">
        <f>IF($B$4&gt;$C$4*N69,"preference","convert")</f>
        <v/>
      </c>
      <c r="C70">
        <f>IF($B$5&gt;$C$5*N69,"preference","convert")</f>
        <v/>
      </c>
      <c r="D70">
        <f>IF($B$6&gt;$C$6*N69,"preference","convert")</f>
        <v/>
      </c>
      <c r="E70">
        <f>IF($B$7&gt;$C$7*N69,"preference","convert")</f>
        <v/>
      </c>
      <c r="F70">
        <f>IF($B$8&gt;$C$8*N69,"preference","convert")</f>
        <v/>
      </c>
      <c r="G70">
        <f>IF($B$9&gt;$C$9*N69,"preference","convert")</f>
        <v/>
      </c>
      <c r="H70">
        <f>IF($B$10&gt;$C$10*N69,"preference","convert")</f>
        <v/>
      </c>
      <c r="I70">
        <f>IF(B70="preference",$B$4,0)+IF(C70="preference",$B$5,0)+IF(D70="preference",$B$6,0)+IF(E70="preference",$B$7,0)+IF(F70="preference",$B$8,0)+IF(G70="preference",$B$9,0)+IF(H70="preference",$B$10,0)</f>
        <v/>
      </c>
      <c r="J70">
        <f>IF(B70="convert",$C$4,0)+IF(C70="convert",$C$5,0)+IF(D70="convert",$C$6,0)+IF(E70="convert",$C$7,0)+IF(F70="convert",$C$8,0)+IF(G70="convert",$C$9,0)+IF(H70="convert",$C$10,0)</f>
        <v/>
      </c>
      <c r="K70">
        <f>(Assumptions!$B$46+Assumptions!$B$47+Assumptions!$B$48)+Assumptions!$B$49+('Pro-Forma'!$M$21+'Pro-Forma'!$M$22)+J70</f>
        <v/>
      </c>
      <c r="L70">
        <f>(C12-I70+Assumptions!$B$31*Assumptions!$B$10)/(K70+Assumptions!$B$31)</f>
        <v/>
      </c>
      <c r="M70">
        <f>IF(L70&gt;Assumptions!$B$10,"yes","no")</f>
        <v/>
      </c>
      <c r="N70">
        <f>IF(M70="yes",L70,MAX(0,(C12-I70)/K70))</f>
        <v/>
      </c>
      <c r="O70">
        <f>IF(M70="yes",Assumptions!$B$31*(N70-Assumptions!$B$10),0)</f>
        <v/>
      </c>
    </row>
    <row r="71">
      <c r="A71" t="inlineStr">
        <is>
          <t>iter 18</t>
        </is>
      </c>
      <c r="B71">
        <f>IF($B$4&gt;$C$4*N70,"preference","convert")</f>
        <v/>
      </c>
      <c r="C71">
        <f>IF($B$5&gt;$C$5*N70,"preference","convert")</f>
        <v/>
      </c>
      <c r="D71">
        <f>IF($B$6&gt;$C$6*N70,"preference","convert")</f>
        <v/>
      </c>
      <c r="E71">
        <f>IF($B$7&gt;$C$7*N70,"preference","convert")</f>
        <v/>
      </c>
      <c r="F71">
        <f>IF($B$8&gt;$C$8*N70,"preference","convert")</f>
        <v/>
      </c>
      <c r="G71">
        <f>IF($B$9&gt;$C$9*N70,"preference","convert")</f>
        <v/>
      </c>
      <c r="H71">
        <f>IF($B$10&gt;$C$10*N70,"preference","convert")</f>
        <v/>
      </c>
      <c r="I71">
        <f>IF(B71="preference",$B$4,0)+IF(C71="preference",$B$5,0)+IF(D71="preference",$B$6,0)+IF(E71="preference",$B$7,0)+IF(F71="preference",$B$8,0)+IF(G71="preference",$B$9,0)+IF(H71="preference",$B$10,0)</f>
        <v/>
      </c>
      <c r="J71">
        <f>IF(B71="convert",$C$4,0)+IF(C71="convert",$C$5,0)+IF(D71="convert",$C$6,0)+IF(E71="convert",$C$7,0)+IF(F71="convert",$C$8,0)+IF(G71="convert",$C$9,0)+IF(H71="convert",$C$10,0)</f>
        <v/>
      </c>
      <c r="K71">
        <f>(Assumptions!$B$46+Assumptions!$B$47+Assumptions!$B$48)+Assumptions!$B$49+('Pro-Forma'!$M$21+'Pro-Forma'!$M$22)+J71</f>
        <v/>
      </c>
      <c r="L71">
        <f>(C12-I71+Assumptions!$B$31*Assumptions!$B$10)/(K71+Assumptions!$B$31)</f>
        <v/>
      </c>
      <c r="M71">
        <f>IF(L71&gt;Assumptions!$B$10,"yes","no")</f>
        <v/>
      </c>
      <c r="N71">
        <f>IF(M71="yes",L71,MAX(0,(C12-I71)/K71))</f>
        <v/>
      </c>
      <c r="O71">
        <f>IF(M71="yes",Assumptions!$B$31*(N71-Assumptions!$B$10),0)</f>
        <v/>
      </c>
    </row>
    <row r="72">
      <c r="A72" t="inlineStr">
        <is>
          <t>iter 19</t>
        </is>
      </c>
      <c r="B72">
        <f>IF($B$4&gt;$C$4*N71,"preference","convert")</f>
        <v/>
      </c>
      <c r="C72">
        <f>IF($B$5&gt;$C$5*N71,"preference","convert")</f>
        <v/>
      </c>
      <c r="D72">
        <f>IF($B$6&gt;$C$6*N71,"preference","convert")</f>
        <v/>
      </c>
      <c r="E72">
        <f>IF($B$7&gt;$C$7*N71,"preference","convert")</f>
        <v/>
      </c>
      <c r="F72">
        <f>IF($B$8&gt;$C$8*N71,"preference","convert")</f>
        <v/>
      </c>
      <c r="G72">
        <f>IF($B$9&gt;$C$9*N71,"preference","convert")</f>
        <v/>
      </c>
      <c r="H72">
        <f>IF($B$10&gt;$C$10*N71,"preference","convert")</f>
        <v/>
      </c>
      <c r="I72">
        <f>IF(B72="preference",$B$4,0)+IF(C72="preference",$B$5,0)+IF(D72="preference",$B$6,0)+IF(E72="preference",$B$7,0)+IF(F72="preference",$B$8,0)+IF(G72="preference",$B$9,0)+IF(H72="preference",$B$10,0)</f>
        <v/>
      </c>
      <c r="J72">
        <f>IF(B72="convert",$C$4,0)+IF(C72="convert",$C$5,0)+IF(D72="convert",$C$6,0)+IF(E72="convert",$C$7,0)+IF(F72="convert",$C$8,0)+IF(G72="convert",$C$9,0)+IF(H72="convert",$C$10,0)</f>
        <v/>
      </c>
      <c r="K72">
        <f>(Assumptions!$B$46+Assumptions!$B$47+Assumptions!$B$48)+Assumptions!$B$49+('Pro-Forma'!$M$21+'Pro-Forma'!$M$22)+J72</f>
        <v/>
      </c>
      <c r="L72">
        <f>(C12-I72+Assumptions!$B$31*Assumptions!$B$10)/(K72+Assumptions!$B$31)</f>
        <v/>
      </c>
      <c r="M72">
        <f>IF(L72&gt;Assumptions!$B$10,"yes","no")</f>
        <v/>
      </c>
      <c r="N72">
        <f>IF(M72="yes",L72,MAX(0,(C12-I72)/K72))</f>
        <v/>
      </c>
      <c r="O72">
        <f>IF(M72="yes",Assumptions!$B$31*(N72-Assumptions!$B$10),0)</f>
        <v/>
      </c>
    </row>
    <row r="73">
      <c r="A73" t="inlineStr">
        <is>
          <t>iter 20</t>
        </is>
      </c>
      <c r="B73">
        <f>IF($B$4&gt;$C$4*N72,"preference","convert")</f>
        <v/>
      </c>
      <c r="C73">
        <f>IF($B$5&gt;$C$5*N72,"preference","convert")</f>
        <v/>
      </c>
      <c r="D73">
        <f>IF($B$6&gt;$C$6*N72,"preference","convert")</f>
        <v/>
      </c>
      <c r="E73">
        <f>IF($B$7&gt;$C$7*N72,"preference","convert")</f>
        <v/>
      </c>
      <c r="F73">
        <f>IF($B$8&gt;$C$8*N72,"preference","convert")</f>
        <v/>
      </c>
      <c r="G73">
        <f>IF($B$9&gt;$C$9*N72,"preference","convert")</f>
        <v/>
      </c>
      <c r="H73">
        <f>IF($B$10&gt;$C$10*N72,"preference","convert")</f>
        <v/>
      </c>
      <c r="I73">
        <f>IF(B73="preference",$B$4,0)+IF(C73="preference",$B$5,0)+IF(D73="preference",$B$6,0)+IF(E73="preference",$B$7,0)+IF(F73="preference",$B$8,0)+IF(G73="preference",$B$9,0)+IF(H73="preference",$B$10,0)</f>
        <v/>
      </c>
      <c r="J73">
        <f>IF(B73="convert",$C$4,0)+IF(C73="convert",$C$5,0)+IF(D73="convert",$C$6,0)+IF(E73="convert",$C$7,0)+IF(F73="convert",$C$8,0)+IF(G73="convert",$C$9,0)+IF(H73="convert",$C$10,0)</f>
        <v/>
      </c>
      <c r="K73">
        <f>(Assumptions!$B$46+Assumptions!$B$47+Assumptions!$B$48)+Assumptions!$B$49+('Pro-Forma'!$M$21+'Pro-Forma'!$M$22)+J73</f>
        <v/>
      </c>
      <c r="L73">
        <f>(C12-I73+Assumptions!$B$31*Assumptions!$B$10)/(K73+Assumptions!$B$31)</f>
        <v/>
      </c>
      <c r="M73">
        <f>IF(L73&gt;Assumptions!$B$10,"yes","no")</f>
        <v/>
      </c>
      <c r="N73">
        <f>IF(M73="yes",L73,MAX(0,(C12-I73)/K73))</f>
        <v/>
      </c>
      <c r="O73">
        <f>IF(M73="yes",Assumptions!$B$31*(N73-Assumptions!$B$10),0)</f>
        <v/>
      </c>
    </row>
    <row r="74">
      <c r="A74" t="inlineStr">
        <is>
          <t>iter 21</t>
        </is>
      </c>
      <c r="B74">
        <f>IF($B$4&gt;$C$4*N73,"preference","convert")</f>
        <v/>
      </c>
      <c r="C74">
        <f>IF($B$5&gt;$C$5*N73,"preference","convert")</f>
        <v/>
      </c>
      <c r="D74">
        <f>IF($B$6&gt;$C$6*N73,"preference","convert")</f>
        <v/>
      </c>
      <c r="E74">
        <f>IF($B$7&gt;$C$7*N73,"preference","convert")</f>
        <v/>
      </c>
      <c r="F74">
        <f>IF($B$8&gt;$C$8*N73,"preference","convert")</f>
        <v/>
      </c>
      <c r="G74">
        <f>IF($B$9&gt;$C$9*N73,"preference","convert")</f>
        <v/>
      </c>
      <c r="H74">
        <f>IF($B$10&gt;$C$10*N73,"preference","convert")</f>
        <v/>
      </c>
      <c r="I74">
        <f>IF(B74="preference",$B$4,0)+IF(C74="preference",$B$5,0)+IF(D74="preference",$B$6,0)+IF(E74="preference",$B$7,0)+IF(F74="preference",$B$8,0)+IF(G74="preference",$B$9,0)+IF(H74="preference",$B$10,0)</f>
        <v/>
      </c>
      <c r="J74">
        <f>IF(B74="convert",$C$4,0)+IF(C74="convert",$C$5,0)+IF(D74="convert",$C$6,0)+IF(E74="convert",$C$7,0)+IF(F74="convert",$C$8,0)+IF(G74="convert",$C$9,0)+IF(H74="convert",$C$10,0)</f>
        <v/>
      </c>
      <c r="K74">
        <f>(Assumptions!$B$46+Assumptions!$B$47+Assumptions!$B$48)+Assumptions!$B$49+('Pro-Forma'!$M$21+'Pro-Forma'!$M$22)+J74</f>
        <v/>
      </c>
      <c r="L74">
        <f>(C12-I74+Assumptions!$B$31*Assumptions!$B$10)/(K74+Assumptions!$B$31)</f>
        <v/>
      </c>
      <c r="M74">
        <f>IF(L74&gt;Assumptions!$B$10,"yes","no")</f>
        <v/>
      </c>
      <c r="N74">
        <f>IF(M74="yes",L74,MAX(0,(C12-I74)/K74))</f>
        <v/>
      </c>
      <c r="O74">
        <f>IF(M74="yes",Assumptions!$B$31*(N74-Assumptions!$B$10),0)</f>
        <v/>
      </c>
    </row>
    <row r="75">
      <c r="A75" t="inlineStr">
        <is>
          <t>iter 22</t>
        </is>
      </c>
      <c r="B75">
        <f>IF($B$4&gt;$C$4*N74,"preference","convert")</f>
        <v/>
      </c>
      <c r="C75">
        <f>IF($B$5&gt;$C$5*N74,"preference","convert")</f>
        <v/>
      </c>
      <c r="D75">
        <f>IF($B$6&gt;$C$6*N74,"preference","convert")</f>
        <v/>
      </c>
      <c r="E75">
        <f>IF($B$7&gt;$C$7*N74,"preference","convert")</f>
        <v/>
      </c>
      <c r="F75">
        <f>IF($B$8&gt;$C$8*N74,"preference","convert")</f>
        <v/>
      </c>
      <c r="G75">
        <f>IF($B$9&gt;$C$9*N74,"preference","convert")</f>
        <v/>
      </c>
      <c r="H75">
        <f>IF($B$10&gt;$C$10*N74,"preference","convert")</f>
        <v/>
      </c>
      <c r="I75">
        <f>IF(B75="preference",$B$4,0)+IF(C75="preference",$B$5,0)+IF(D75="preference",$B$6,0)+IF(E75="preference",$B$7,0)+IF(F75="preference",$B$8,0)+IF(G75="preference",$B$9,0)+IF(H75="preference",$B$10,0)</f>
        <v/>
      </c>
      <c r="J75">
        <f>IF(B75="convert",$C$4,0)+IF(C75="convert",$C$5,0)+IF(D75="convert",$C$6,0)+IF(E75="convert",$C$7,0)+IF(F75="convert",$C$8,0)+IF(G75="convert",$C$9,0)+IF(H75="convert",$C$10,0)</f>
        <v/>
      </c>
      <c r="K75">
        <f>(Assumptions!$B$46+Assumptions!$B$47+Assumptions!$B$48)+Assumptions!$B$49+('Pro-Forma'!$M$21+'Pro-Forma'!$M$22)+J75</f>
        <v/>
      </c>
      <c r="L75">
        <f>(C12-I75+Assumptions!$B$31*Assumptions!$B$10)/(K75+Assumptions!$B$31)</f>
        <v/>
      </c>
      <c r="M75">
        <f>IF(L75&gt;Assumptions!$B$10,"yes","no")</f>
        <v/>
      </c>
      <c r="N75">
        <f>IF(M75="yes",L75,MAX(0,(C12-I75)/K75))</f>
        <v/>
      </c>
      <c r="O75">
        <f>IF(M75="yes",Assumptions!$B$31*(N75-Assumptions!$B$10),0)</f>
        <v/>
      </c>
    </row>
    <row r="76">
      <c r="A76" t="inlineStr">
        <is>
          <t>iter 23</t>
        </is>
      </c>
      <c r="B76">
        <f>IF($B$4&gt;$C$4*N75,"preference","convert")</f>
        <v/>
      </c>
      <c r="C76">
        <f>IF($B$5&gt;$C$5*N75,"preference","convert")</f>
        <v/>
      </c>
      <c r="D76">
        <f>IF($B$6&gt;$C$6*N75,"preference","convert")</f>
        <v/>
      </c>
      <c r="E76">
        <f>IF($B$7&gt;$C$7*N75,"preference","convert")</f>
        <v/>
      </c>
      <c r="F76">
        <f>IF($B$8&gt;$C$8*N75,"preference","convert")</f>
        <v/>
      </c>
      <c r="G76">
        <f>IF($B$9&gt;$C$9*N75,"preference","convert")</f>
        <v/>
      </c>
      <c r="H76">
        <f>IF($B$10&gt;$C$10*N75,"preference","convert")</f>
        <v/>
      </c>
      <c r="I76">
        <f>IF(B76="preference",$B$4,0)+IF(C76="preference",$B$5,0)+IF(D76="preference",$B$6,0)+IF(E76="preference",$B$7,0)+IF(F76="preference",$B$8,0)+IF(G76="preference",$B$9,0)+IF(H76="preference",$B$10,0)</f>
        <v/>
      </c>
      <c r="J76">
        <f>IF(B76="convert",$C$4,0)+IF(C76="convert",$C$5,0)+IF(D76="convert",$C$6,0)+IF(E76="convert",$C$7,0)+IF(F76="convert",$C$8,0)+IF(G76="convert",$C$9,0)+IF(H76="convert",$C$10,0)</f>
        <v/>
      </c>
      <c r="K76">
        <f>(Assumptions!$B$46+Assumptions!$B$47+Assumptions!$B$48)+Assumptions!$B$49+('Pro-Forma'!$M$21+'Pro-Forma'!$M$22)+J76</f>
        <v/>
      </c>
      <c r="L76">
        <f>(C12-I76+Assumptions!$B$31*Assumptions!$B$10)/(K76+Assumptions!$B$31)</f>
        <v/>
      </c>
      <c r="M76">
        <f>IF(L76&gt;Assumptions!$B$10,"yes","no")</f>
        <v/>
      </c>
      <c r="N76">
        <f>IF(M76="yes",L76,MAX(0,(C12-I76)/K76))</f>
        <v/>
      </c>
      <c r="O76">
        <f>IF(M76="yes",Assumptions!$B$31*(N76-Assumptions!$B$10),0)</f>
        <v/>
      </c>
    </row>
    <row r="77">
      <c r="A77" t="inlineStr">
        <is>
          <t>iter 24</t>
        </is>
      </c>
      <c r="B77">
        <f>IF($B$4&gt;$C$4*N76,"preference","convert")</f>
        <v/>
      </c>
      <c r="C77">
        <f>IF($B$5&gt;$C$5*N76,"preference","convert")</f>
        <v/>
      </c>
      <c r="D77">
        <f>IF($B$6&gt;$C$6*N76,"preference","convert")</f>
        <v/>
      </c>
      <c r="E77">
        <f>IF($B$7&gt;$C$7*N76,"preference","convert")</f>
        <v/>
      </c>
      <c r="F77">
        <f>IF($B$8&gt;$C$8*N76,"preference","convert")</f>
        <v/>
      </c>
      <c r="G77">
        <f>IF($B$9&gt;$C$9*N76,"preference","convert")</f>
        <v/>
      </c>
      <c r="H77">
        <f>IF($B$10&gt;$C$10*N76,"preference","convert")</f>
        <v/>
      </c>
      <c r="I77">
        <f>IF(B77="preference",$B$4,0)+IF(C77="preference",$B$5,0)+IF(D77="preference",$B$6,0)+IF(E77="preference",$B$7,0)+IF(F77="preference",$B$8,0)+IF(G77="preference",$B$9,0)+IF(H77="preference",$B$10,0)</f>
        <v/>
      </c>
      <c r="J77">
        <f>IF(B77="convert",$C$4,0)+IF(C77="convert",$C$5,0)+IF(D77="convert",$C$6,0)+IF(E77="convert",$C$7,0)+IF(F77="convert",$C$8,0)+IF(G77="convert",$C$9,0)+IF(H77="convert",$C$10,0)</f>
        <v/>
      </c>
      <c r="K77">
        <f>(Assumptions!$B$46+Assumptions!$B$47+Assumptions!$B$48)+Assumptions!$B$49+('Pro-Forma'!$M$21+'Pro-Forma'!$M$22)+J77</f>
        <v/>
      </c>
      <c r="L77">
        <f>(C12-I77+Assumptions!$B$31*Assumptions!$B$10)/(K77+Assumptions!$B$31)</f>
        <v/>
      </c>
      <c r="M77">
        <f>IF(L77&gt;Assumptions!$B$10,"yes","no")</f>
        <v/>
      </c>
      <c r="N77">
        <f>IF(M77="yes",L77,MAX(0,(C12-I77)/K77))</f>
        <v/>
      </c>
      <c r="O77">
        <f>IF(M77="yes",Assumptions!$B$31*(N77-Assumptions!$B$10),0)</f>
        <v/>
      </c>
    </row>
    <row r="78">
      <c r="A78" t="inlineStr">
        <is>
          <t>iter 25</t>
        </is>
      </c>
      <c r="B78">
        <f>IF($B$4&gt;$C$4*N77,"preference","convert")</f>
        <v/>
      </c>
      <c r="C78">
        <f>IF($B$5&gt;$C$5*N77,"preference","convert")</f>
        <v/>
      </c>
      <c r="D78">
        <f>IF($B$6&gt;$C$6*N77,"preference","convert")</f>
        <v/>
      </c>
      <c r="E78">
        <f>IF($B$7&gt;$C$7*N77,"preference","convert")</f>
        <v/>
      </c>
      <c r="F78">
        <f>IF($B$8&gt;$C$8*N77,"preference","convert")</f>
        <v/>
      </c>
      <c r="G78">
        <f>IF($B$9&gt;$C$9*N77,"preference","convert")</f>
        <v/>
      </c>
      <c r="H78">
        <f>IF($B$10&gt;$C$10*N77,"preference","convert")</f>
        <v/>
      </c>
      <c r="I78">
        <f>IF(B78="preference",$B$4,0)+IF(C78="preference",$B$5,0)+IF(D78="preference",$B$6,0)+IF(E78="preference",$B$7,0)+IF(F78="preference",$B$8,0)+IF(G78="preference",$B$9,0)+IF(H78="preference",$B$10,0)</f>
        <v/>
      </c>
      <c r="J78">
        <f>IF(B78="convert",$C$4,0)+IF(C78="convert",$C$5,0)+IF(D78="convert",$C$6,0)+IF(E78="convert",$C$7,0)+IF(F78="convert",$C$8,0)+IF(G78="convert",$C$9,0)+IF(H78="convert",$C$10,0)</f>
        <v/>
      </c>
      <c r="K78">
        <f>(Assumptions!$B$46+Assumptions!$B$47+Assumptions!$B$48)+Assumptions!$B$49+('Pro-Forma'!$M$21+'Pro-Forma'!$M$22)+J78</f>
        <v/>
      </c>
      <c r="L78">
        <f>(C12-I78+Assumptions!$B$31*Assumptions!$B$10)/(K78+Assumptions!$B$31)</f>
        <v/>
      </c>
      <c r="M78">
        <f>IF(L78&gt;Assumptions!$B$10,"yes","no")</f>
        <v/>
      </c>
      <c r="N78">
        <f>IF(M78="yes",L78,MAX(0,(C12-I78)/K78))</f>
        <v/>
      </c>
      <c r="O78">
        <f>IF(M78="yes",Assumptions!$B$31*(N78-Assumptions!$B$10),0)</f>
        <v/>
      </c>
    </row>
    <row r="79">
      <c r="A79" t="inlineStr">
        <is>
          <t>iter 26</t>
        </is>
      </c>
      <c r="B79">
        <f>IF($B$4&gt;$C$4*N78,"preference","convert")</f>
        <v/>
      </c>
      <c r="C79">
        <f>IF($B$5&gt;$C$5*N78,"preference","convert")</f>
        <v/>
      </c>
      <c r="D79">
        <f>IF($B$6&gt;$C$6*N78,"preference","convert")</f>
        <v/>
      </c>
      <c r="E79">
        <f>IF($B$7&gt;$C$7*N78,"preference","convert")</f>
        <v/>
      </c>
      <c r="F79">
        <f>IF($B$8&gt;$C$8*N78,"preference","convert")</f>
        <v/>
      </c>
      <c r="G79">
        <f>IF($B$9&gt;$C$9*N78,"preference","convert")</f>
        <v/>
      </c>
      <c r="H79">
        <f>IF($B$10&gt;$C$10*N78,"preference","convert")</f>
        <v/>
      </c>
      <c r="I79">
        <f>IF(B79="preference",$B$4,0)+IF(C79="preference",$B$5,0)+IF(D79="preference",$B$6,0)+IF(E79="preference",$B$7,0)+IF(F79="preference",$B$8,0)+IF(G79="preference",$B$9,0)+IF(H79="preference",$B$10,0)</f>
        <v/>
      </c>
      <c r="J79">
        <f>IF(B79="convert",$C$4,0)+IF(C79="convert",$C$5,0)+IF(D79="convert",$C$6,0)+IF(E79="convert",$C$7,0)+IF(F79="convert",$C$8,0)+IF(G79="convert",$C$9,0)+IF(H79="convert",$C$10,0)</f>
        <v/>
      </c>
      <c r="K79">
        <f>(Assumptions!$B$46+Assumptions!$B$47+Assumptions!$B$48)+Assumptions!$B$49+('Pro-Forma'!$M$21+'Pro-Forma'!$M$22)+J79</f>
        <v/>
      </c>
      <c r="L79">
        <f>(C12-I79+Assumptions!$B$31*Assumptions!$B$10)/(K79+Assumptions!$B$31)</f>
        <v/>
      </c>
      <c r="M79">
        <f>IF(L79&gt;Assumptions!$B$10,"yes","no")</f>
        <v/>
      </c>
      <c r="N79">
        <f>IF(M79="yes",L79,MAX(0,(C12-I79)/K79))</f>
        <v/>
      </c>
      <c r="O79">
        <f>IF(M79="yes",Assumptions!$B$31*(N79-Assumptions!$B$10),0)</f>
        <v/>
      </c>
    </row>
    <row r="80">
      <c r="A80" t="inlineStr">
        <is>
          <t>iter 27</t>
        </is>
      </c>
      <c r="B80">
        <f>IF($B$4&gt;$C$4*N79,"preference","convert")</f>
        <v/>
      </c>
      <c r="C80">
        <f>IF($B$5&gt;$C$5*N79,"preference","convert")</f>
        <v/>
      </c>
      <c r="D80">
        <f>IF($B$6&gt;$C$6*N79,"preference","convert")</f>
        <v/>
      </c>
      <c r="E80">
        <f>IF($B$7&gt;$C$7*N79,"preference","convert")</f>
        <v/>
      </c>
      <c r="F80">
        <f>IF($B$8&gt;$C$8*N79,"preference","convert")</f>
        <v/>
      </c>
      <c r="G80">
        <f>IF($B$9&gt;$C$9*N79,"preference","convert")</f>
        <v/>
      </c>
      <c r="H80">
        <f>IF($B$10&gt;$C$10*N79,"preference","convert")</f>
        <v/>
      </c>
      <c r="I80">
        <f>IF(B80="preference",$B$4,0)+IF(C80="preference",$B$5,0)+IF(D80="preference",$B$6,0)+IF(E80="preference",$B$7,0)+IF(F80="preference",$B$8,0)+IF(G80="preference",$B$9,0)+IF(H80="preference",$B$10,0)</f>
        <v/>
      </c>
      <c r="J80">
        <f>IF(B80="convert",$C$4,0)+IF(C80="convert",$C$5,0)+IF(D80="convert",$C$6,0)+IF(E80="convert",$C$7,0)+IF(F80="convert",$C$8,0)+IF(G80="convert",$C$9,0)+IF(H80="convert",$C$10,0)</f>
        <v/>
      </c>
      <c r="K80">
        <f>(Assumptions!$B$46+Assumptions!$B$47+Assumptions!$B$48)+Assumptions!$B$49+('Pro-Forma'!$M$21+'Pro-Forma'!$M$22)+J80</f>
        <v/>
      </c>
      <c r="L80">
        <f>(C12-I80+Assumptions!$B$31*Assumptions!$B$10)/(K80+Assumptions!$B$31)</f>
        <v/>
      </c>
      <c r="M80">
        <f>IF(L80&gt;Assumptions!$B$10,"yes","no")</f>
        <v/>
      </c>
      <c r="N80">
        <f>IF(M80="yes",L80,MAX(0,(C12-I80)/K80))</f>
        <v/>
      </c>
      <c r="O80">
        <f>IF(M80="yes",Assumptions!$B$31*(N80-Assumptions!$B$10),0)</f>
        <v/>
      </c>
    </row>
    <row r="81">
      <c r="A81" t="inlineStr">
        <is>
          <t>iter 28</t>
        </is>
      </c>
      <c r="B81">
        <f>IF($B$4&gt;$C$4*N80,"preference","convert")</f>
        <v/>
      </c>
      <c r="C81">
        <f>IF($B$5&gt;$C$5*N80,"preference","convert")</f>
        <v/>
      </c>
      <c r="D81">
        <f>IF($B$6&gt;$C$6*N80,"preference","convert")</f>
        <v/>
      </c>
      <c r="E81">
        <f>IF($B$7&gt;$C$7*N80,"preference","convert")</f>
        <v/>
      </c>
      <c r="F81">
        <f>IF($B$8&gt;$C$8*N80,"preference","convert")</f>
        <v/>
      </c>
      <c r="G81">
        <f>IF($B$9&gt;$C$9*N80,"preference","convert")</f>
        <v/>
      </c>
      <c r="H81">
        <f>IF($B$10&gt;$C$10*N80,"preference","convert")</f>
        <v/>
      </c>
      <c r="I81">
        <f>IF(B81="preference",$B$4,0)+IF(C81="preference",$B$5,0)+IF(D81="preference",$B$6,0)+IF(E81="preference",$B$7,0)+IF(F81="preference",$B$8,0)+IF(G81="preference",$B$9,0)+IF(H81="preference",$B$10,0)</f>
        <v/>
      </c>
      <c r="J81">
        <f>IF(B81="convert",$C$4,0)+IF(C81="convert",$C$5,0)+IF(D81="convert",$C$6,0)+IF(E81="convert",$C$7,0)+IF(F81="convert",$C$8,0)+IF(G81="convert",$C$9,0)+IF(H81="convert",$C$10,0)</f>
        <v/>
      </c>
      <c r="K81">
        <f>(Assumptions!$B$46+Assumptions!$B$47+Assumptions!$B$48)+Assumptions!$B$49+('Pro-Forma'!$M$21+'Pro-Forma'!$M$22)+J81</f>
        <v/>
      </c>
      <c r="L81">
        <f>(C12-I81+Assumptions!$B$31*Assumptions!$B$10)/(K81+Assumptions!$B$31)</f>
        <v/>
      </c>
      <c r="M81">
        <f>IF(L81&gt;Assumptions!$B$10,"yes","no")</f>
        <v/>
      </c>
      <c r="N81">
        <f>IF(M81="yes",L81,MAX(0,(C12-I81)/K81))</f>
        <v/>
      </c>
      <c r="O81">
        <f>IF(M81="yes",Assumptions!$B$31*(N81-Assumptions!$B$10),0)</f>
        <v/>
      </c>
    </row>
    <row r="82">
      <c r="A82" t="inlineStr">
        <is>
          <t>iter 29</t>
        </is>
      </c>
      <c r="B82">
        <f>IF($B$4&gt;$C$4*N81,"preference","convert")</f>
        <v/>
      </c>
      <c r="C82">
        <f>IF($B$5&gt;$C$5*N81,"preference","convert")</f>
        <v/>
      </c>
      <c r="D82">
        <f>IF($B$6&gt;$C$6*N81,"preference","convert")</f>
        <v/>
      </c>
      <c r="E82">
        <f>IF($B$7&gt;$C$7*N81,"preference","convert")</f>
        <v/>
      </c>
      <c r="F82">
        <f>IF($B$8&gt;$C$8*N81,"preference","convert")</f>
        <v/>
      </c>
      <c r="G82">
        <f>IF($B$9&gt;$C$9*N81,"preference","convert")</f>
        <v/>
      </c>
      <c r="H82">
        <f>IF($B$10&gt;$C$10*N81,"preference","convert")</f>
        <v/>
      </c>
      <c r="I82">
        <f>IF(B82="preference",$B$4,0)+IF(C82="preference",$B$5,0)+IF(D82="preference",$B$6,0)+IF(E82="preference",$B$7,0)+IF(F82="preference",$B$8,0)+IF(G82="preference",$B$9,0)+IF(H82="preference",$B$10,0)</f>
        <v/>
      </c>
      <c r="J82">
        <f>IF(B82="convert",$C$4,0)+IF(C82="convert",$C$5,0)+IF(D82="convert",$C$6,0)+IF(E82="convert",$C$7,0)+IF(F82="convert",$C$8,0)+IF(G82="convert",$C$9,0)+IF(H82="convert",$C$10,0)</f>
        <v/>
      </c>
      <c r="K82">
        <f>(Assumptions!$B$46+Assumptions!$B$47+Assumptions!$B$48)+Assumptions!$B$49+('Pro-Forma'!$M$21+'Pro-Forma'!$M$22)+J82</f>
        <v/>
      </c>
      <c r="L82">
        <f>(C12-I82+Assumptions!$B$31*Assumptions!$B$10)/(K82+Assumptions!$B$31)</f>
        <v/>
      </c>
      <c r="M82">
        <f>IF(L82&gt;Assumptions!$B$10,"yes","no")</f>
        <v/>
      </c>
      <c r="N82">
        <f>IF(M82="yes",L82,MAX(0,(C12-I82)/K82))</f>
        <v/>
      </c>
      <c r="O82">
        <f>IF(M82="yes",Assumptions!$B$31*(N82-Assumptions!$B$10),0)</f>
        <v/>
      </c>
    </row>
    <row r="83">
      <c r="A83" t="inlineStr">
        <is>
          <t>iter 30</t>
        </is>
      </c>
      <c r="B83">
        <f>IF($B$4&gt;$C$4*N82,"preference","convert")</f>
        <v/>
      </c>
      <c r="C83">
        <f>IF($B$5&gt;$C$5*N82,"preference","convert")</f>
        <v/>
      </c>
      <c r="D83">
        <f>IF($B$6&gt;$C$6*N82,"preference","convert")</f>
        <v/>
      </c>
      <c r="E83">
        <f>IF($B$7&gt;$C$7*N82,"preference","convert")</f>
        <v/>
      </c>
      <c r="F83">
        <f>IF($B$8&gt;$C$8*N82,"preference","convert")</f>
        <v/>
      </c>
      <c r="G83">
        <f>IF($B$9&gt;$C$9*N82,"preference","convert")</f>
        <v/>
      </c>
      <c r="H83">
        <f>IF($B$10&gt;$C$10*N82,"preference","convert")</f>
        <v/>
      </c>
      <c r="I83">
        <f>IF(B83="preference",$B$4,0)+IF(C83="preference",$B$5,0)+IF(D83="preference",$B$6,0)+IF(E83="preference",$B$7,0)+IF(F83="preference",$B$8,0)+IF(G83="preference",$B$9,0)+IF(H83="preference",$B$10,0)</f>
        <v/>
      </c>
      <c r="J83">
        <f>IF(B83="convert",$C$4,0)+IF(C83="convert",$C$5,0)+IF(D83="convert",$C$6,0)+IF(E83="convert",$C$7,0)+IF(F83="convert",$C$8,0)+IF(G83="convert",$C$9,0)+IF(H83="convert",$C$10,0)</f>
        <v/>
      </c>
      <c r="K83">
        <f>(Assumptions!$B$46+Assumptions!$B$47+Assumptions!$B$48)+Assumptions!$B$49+('Pro-Forma'!$M$21+'Pro-Forma'!$M$22)+J83</f>
        <v/>
      </c>
      <c r="L83">
        <f>(C12-I83+Assumptions!$B$31*Assumptions!$B$10)/(K83+Assumptions!$B$31)</f>
        <v/>
      </c>
      <c r="M83">
        <f>IF(L83&gt;Assumptions!$B$10,"yes","no")</f>
        <v/>
      </c>
      <c r="N83">
        <f>IF(M83="yes",L83,MAX(0,(C12-I83)/K83))</f>
        <v/>
      </c>
      <c r="O83">
        <f>IF(M83="yes",Assumptions!$B$31*(N83-Assumptions!$B$10),0)</f>
        <v/>
      </c>
    </row>
    <row r="86">
      <c r="A86" s="1" t="inlineStr">
        <is>
          <t>Exit 3 iteration ladder</t>
        </is>
      </c>
    </row>
    <row r="87">
      <c r="A87" s="2" t="inlineStr">
        <is>
          <t>Step</t>
        </is>
      </c>
      <c r="B87" s="2" t="inlineStr">
        <is>
          <t>F_el</t>
        </is>
      </c>
      <c r="C87" s="2" t="inlineStr">
        <is>
          <t>E_el</t>
        </is>
      </c>
      <c r="D87" s="2" t="inlineStr">
        <is>
          <t>D_el</t>
        </is>
      </c>
      <c r="E87" s="2" t="inlineStr">
        <is>
          <t>C_el</t>
        </is>
      </c>
      <c r="F87" s="2" t="inlineStr">
        <is>
          <t>B_el</t>
        </is>
      </c>
      <c r="G87" s="2" t="inlineStr">
        <is>
          <t>A_el</t>
        </is>
      </c>
      <c r="H87" s="2" t="inlineStr">
        <is>
          <t>Seed_el</t>
        </is>
      </c>
      <c r="I87" s="2" t="inlineStr">
        <is>
          <t>prefs</t>
        </is>
      </c>
      <c r="J87" s="2" t="inlineStr">
        <is>
          <t>conv_sh</t>
        </is>
      </c>
      <c r="K87" s="2" t="inlineStr">
        <is>
          <t>cpool</t>
        </is>
      </c>
      <c r="L87" s="2" t="inlineStr">
        <is>
          <t>ITM_PPS</t>
        </is>
      </c>
      <c r="M87" s="2" t="inlineStr">
        <is>
          <t>ITM?</t>
        </is>
      </c>
      <c r="N87" s="2" t="inlineStr">
        <is>
          <t>common_PPS</t>
        </is>
      </c>
      <c r="O87" s="2" t="inlineStr">
        <is>
          <t>opt_proc</t>
        </is>
      </c>
    </row>
    <row r="88">
      <c r="A88" t="inlineStr">
        <is>
          <t>seed (all convert)</t>
        </is>
      </c>
      <c r="B88">
        <f>"convert"</f>
        <v/>
      </c>
      <c r="C88">
        <f>"convert"</f>
        <v/>
      </c>
      <c r="D88">
        <f>"convert"</f>
        <v/>
      </c>
      <c r="E88">
        <f>"convert"</f>
        <v/>
      </c>
      <c r="F88">
        <f>"convert"</f>
        <v/>
      </c>
      <c r="G88">
        <f>"convert"</f>
        <v/>
      </c>
      <c r="H88">
        <f>"convert"</f>
        <v/>
      </c>
      <c r="I88">
        <f>IF(B88="preference",$B$4,0)+IF(C88="preference",$B$5,0)+IF(D88="preference",$B$6,0)+IF(E88="preference",$B$7,0)+IF(F88="preference",$B$8,0)+IF(G88="preference",$B$9,0)+IF(H88="preference",$B$10,0)</f>
        <v/>
      </c>
      <c r="J88">
        <f>IF(B88="convert",$C$4,0)+IF(C88="convert",$C$5,0)+IF(D88="convert",$C$6,0)+IF(E88="convert",$C$7,0)+IF(F88="convert",$C$8,0)+IF(G88="convert",$C$9,0)+IF(H88="convert",$C$10,0)</f>
        <v/>
      </c>
      <c r="K88">
        <f>(Assumptions!$B$46+Assumptions!$B$47+Assumptions!$B$48)+Assumptions!$B$49+('Pro-Forma'!$M$21+'Pro-Forma'!$M$22)+J88</f>
        <v/>
      </c>
      <c r="L88">
        <f>(D12-I88+Assumptions!$B$31*Assumptions!$B$10)/(K88+Assumptions!$B$31)</f>
        <v/>
      </c>
      <c r="M88">
        <f>IF(L88&gt;Assumptions!$B$10,"yes","no")</f>
        <v/>
      </c>
      <c r="N88">
        <f>IF(M88="yes",L88,MAX(0,(D12-I88)/K88))</f>
        <v/>
      </c>
      <c r="O88">
        <f>IF(M88="yes",Assumptions!$B$31*(N88-Assumptions!$B$10),0)</f>
        <v/>
      </c>
    </row>
    <row r="89">
      <c r="A89" t="inlineStr">
        <is>
          <t>iter 1</t>
        </is>
      </c>
      <c r="B89">
        <f>IF($B$4&gt;$C$4*N88,"preference","convert")</f>
        <v/>
      </c>
      <c r="C89">
        <f>IF($B$5&gt;$C$5*N88,"preference","convert")</f>
        <v/>
      </c>
      <c r="D89">
        <f>IF($B$6&gt;$C$6*N88,"preference","convert")</f>
        <v/>
      </c>
      <c r="E89">
        <f>IF($B$7&gt;$C$7*N88,"preference","convert")</f>
        <v/>
      </c>
      <c r="F89">
        <f>IF($B$8&gt;$C$8*N88,"preference","convert")</f>
        <v/>
      </c>
      <c r="G89">
        <f>IF($B$9&gt;$C$9*N88,"preference","convert")</f>
        <v/>
      </c>
      <c r="H89">
        <f>IF($B$10&gt;$C$10*N88,"preference","convert")</f>
        <v/>
      </c>
      <c r="I89">
        <f>IF(B89="preference",$B$4,0)+IF(C89="preference",$B$5,0)+IF(D89="preference",$B$6,0)+IF(E89="preference",$B$7,0)+IF(F89="preference",$B$8,0)+IF(G89="preference",$B$9,0)+IF(H89="preference",$B$10,0)</f>
        <v/>
      </c>
      <c r="J89">
        <f>IF(B89="convert",$C$4,0)+IF(C89="convert",$C$5,0)+IF(D89="convert",$C$6,0)+IF(E89="convert",$C$7,0)+IF(F89="convert",$C$8,0)+IF(G89="convert",$C$9,0)+IF(H89="convert",$C$10,0)</f>
        <v/>
      </c>
      <c r="K89">
        <f>(Assumptions!$B$46+Assumptions!$B$47+Assumptions!$B$48)+Assumptions!$B$49+('Pro-Forma'!$M$21+'Pro-Forma'!$M$22)+J89</f>
        <v/>
      </c>
      <c r="L89">
        <f>(D12-I89+Assumptions!$B$31*Assumptions!$B$10)/(K89+Assumptions!$B$31)</f>
        <v/>
      </c>
      <c r="M89">
        <f>IF(L89&gt;Assumptions!$B$10,"yes","no")</f>
        <v/>
      </c>
      <c r="N89">
        <f>IF(M89="yes",L89,MAX(0,(D12-I89)/K89))</f>
        <v/>
      </c>
      <c r="O89">
        <f>IF(M89="yes",Assumptions!$B$31*(N89-Assumptions!$B$10),0)</f>
        <v/>
      </c>
    </row>
    <row r="90">
      <c r="A90" t="inlineStr">
        <is>
          <t>iter 2</t>
        </is>
      </c>
      <c r="B90">
        <f>IF($B$4&gt;$C$4*N89,"preference","convert")</f>
        <v/>
      </c>
      <c r="C90">
        <f>IF($B$5&gt;$C$5*N89,"preference","convert")</f>
        <v/>
      </c>
      <c r="D90">
        <f>IF($B$6&gt;$C$6*N89,"preference","convert")</f>
        <v/>
      </c>
      <c r="E90">
        <f>IF($B$7&gt;$C$7*N89,"preference","convert")</f>
        <v/>
      </c>
      <c r="F90">
        <f>IF($B$8&gt;$C$8*N89,"preference","convert")</f>
        <v/>
      </c>
      <c r="G90">
        <f>IF($B$9&gt;$C$9*N89,"preference","convert")</f>
        <v/>
      </c>
      <c r="H90">
        <f>IF($B$10&gt;$C$10*N89,"preference","convert")</f>
        <v/>
      </c>
      <c r="I90">
        <f>IF(B90="preference",$B$4,0)+IF(C90="preference",$B$5,0)+IF(D90="preference",$B$6,0)+IF(E90="preference",$B$7,0)+IF(F90="preference",$B$8,0)+IF(G90="preference",$B$9,0)+IF(H90="preference",$B$10,0)</f>
        <v/>
      </c>
      <c r="J90">
        <f>IF(B90="convert",$C$4,0)+IF(C90="convert",$C$5,0)+IF(D90="convert",$C$6,0)+IF(E90="convert",$C$7,0)+IF(F90="convert",$C$8,0)+IF(G90="convert",$C$9,0)+IF(H90="convert",$C$10,0)</f>
        <v/>
      </c>
      <c r="K90">
        <f>(Assumptions!$B$46+Assumptions!$B$47+Assumptions!$B$48)+Assumptions!$B$49+('Pro-Forma'!$M$21+'Pro-Forma'!$M$22)+J90</f>
        <v/>
      </c>
      <c r="L90">
        <f>(D12-I90+Assumptions!$B$31*Assumptions!$B$10)/(K90+Assumptions!$B$31)</f>
        <v/>
      </c>
      <c r="M90">
        <f>IF(L90&gt;Assumptions!$B$10,"yes","no")</f>
        <v/>
      </c>
      <c r="N90">
        <f>IF(M90="yes",L90,MAX(0,(D12-I90)/K90))</f>
        <v/>
      </c>
      <c r="O90">
        <f>IF(M90="yes",Assumptions!$B$31*(N90-Assumptions!$B$10),0)</f>
        <v/>
      </c>
    </row>
    <row r="91">
      <c r="A91" t="inlineStr">
        <is>
          <t>iter 3</t>
        </is>
      </c>
      <c r="B91">
        <f>IF($B$4&gt;$C$4*N90,"preference","convert")</f>
        <v/>
      </c>
      <c r="C91">
        <f>IF($B$5&gt;$C$5*N90,"preference","convert")</f>
        <v/>
      </c>
      <c r="D91">
        <f>IF($B$6&gt;$C$6*N90,"preference","convert")</f>
        <v/>
      </c>
      <c r="E91">
        <f>IF($B$7&gt;$C$7*N90,"preference","convert")</f>
        <v/>
      </c>
      <c r="F91">
        <f>IF($B$8&gt;$C$8*N90,"preference","convert")</f>
        <v/>
      </c>
      <c r="G91">
        <f>IF($B$9&gt;$C$9*N90,"preference","convert")</f>
        <v/>
      </c>
      <c r="H91">
        <f>IF($B$10&gt;$C$10*N90,"preference","convert")</f>
        <v/>
      </c>
      <c r="I91">
        <f>IF(B91="preference",$B$4,0)+IF(C91="preference",$B$5,0)+IF(D91="preference",$B$6,0)+IF(E91="preference",$B$7,0)+IF(F91="preference",$B$8,0)+IF(G91="preference",$B$9,0)+IF(H91="preference",$B$10,0)</f>
        <v/>
      </c>
      <c r="J91">
        <f>IF(B91="convert",$C$4,0)+IF(C91="convert",$C$5,0)+IF(D91="convert",$C$6,0)+IF(E91="convert",$C$7,0)+IF(F91="convert",$C$8,0)+IF(G91="convert",$C$9,0)+IF(H91="convert",$C$10,0)</f>
        <v/>
      </c>
      <c r="K91">
        <f>(Assumptions!$B$46+Assumptions!$B$47+Assumptions!$B$48)+Assumptions!$B$49+('Pro-Forma'!$M$21+'Pro-Forma'!$M$22)+J91</f>
        <v/>
      </c>
      <c r="L91">
        <f>(D12-I91+Assumptions!$B$31*Assumptions!$B$10)/(K91+Assumptions!$B$31)</f>
        <v/>
      </c>
      <c r="M91">
        <f>IF(L91&gt;Assumptions!$B$10,"yes","no")</f>
        <v/>
      </c>
      <c r="N91">
        <f>IF(M91="yes",L91,MAX(0,(D12-I91)/K91))</f>
        <v/>
      </c>
      <c r="O91">
        <f>IF(M91="yes",Assumptions!$B$31*(N91-Assumptions!$B$10),0)</f>
        <v/>
      </c>
    </row>
    <row r="92">
      <c r="A92" t="inlineStr">
        <is>
          <t>iter 4</t>
        </is>
      </c>
      <c r="B92">
        <f>IF($B$4&gt;$C$4*N91,"preference","convert")</f>
        <v/>
      </c>
      <c r="C92">
        <f>IF($B$5&gt;$C$5*N91,"preference","convert")</f>
        <v/>
      </c>
      <c r="D92">
        <f>IF($B$6&gt;$C$6*N91,"preference","convert")</f>
        <v/>
      </c>
      <c r="E92">
        <f>IF($B$7&gt;$C$7*N91,"preference","convert")</f>
        <v/>
      </c>
      <c r="F92">
        <f>IF($B$8&gt;$C$8*N91,"preference","convert")</f>
        <v/>
      </c>
      <c r="G92">
        <f>IF($B$9&gt;$C$9*N91,"preference","convert")</f>
        <v/>
      </c>
      <c r="H92">
        <f>IF($B$10&gt;$C$10*N91,"preference","convert")</f>
        <v/>
      </c>
      <c r="I92">
        <f>IF(B92="preference",$B$4,0)+IF(C92="preference",$B$5,0)+IF(D92="preference",$B$6,0)+IF(E92="preference",$B$7,0)+IF(F92="preference",$B$8,0)+IF(G92="preference",$B$9,0)+IF(H92="preference",$B$10,0)</f>
        <v/>
      </c>
      <c r="J92">
        <f>IF(B92="convert",$C$4,0)+IF(C92="convert",$C$5,0)+IF(D92="convert",$C$6,0)+IF(E92="convert",$C$7,0)+IF(F92="convert",$C$8,0)+IF(G92="convert",$C$9,0)+IF(H92="convert",$C$10,0)</f>
        <v/>
      </c>
      <c r="K92">
        <f>(Assumptions!$B$46+Assumptions!$B$47+Assumptions!$B$48)+Assumptions!$B$49+('Pro-Forma'!$M$21+'Pro-Forma'!$M$22)+J92</f>
        <v/>
      </c>
      <c r="L92">
        <f>(D12-I92+Assumptions!$B$31*Assumptions!$B$10)/(K92+Assumptions!$B$31)</f>
        <v/>
      </c>
      <c r="M92">
        <f>IF(L92&gt;Assumptions!$B$10,"yes","no")</f>
        <v/>
      </c>
      <c r="N92">
        <f>IF(M92="yes",L92,MAX(0,(D12-I92)/K92))</f>
        <v/>
      </c>
      <c r="O92">
        <f>IF(M92="yes",Assumptions!$B$31*(N92-Assumptions!$B$10),0)</f>
        <v/>
      </c>
    </row>
    <row r="93">
      <c r="A93" t="inlineStr">
        <is>
          <t>iter 5</t>
        </is>
      </c>
      <c r="B93">
        <f>IF($B$4&gt;$C$4*N92,"preference","convert")</f>
        <v/>
      </c>
      <c r="C93">
        <f>IF($B$5&gt;$C$5*N92,"preference","convert")</f>
        <v/>
      </c>
      <c r="D93">
        <f>IF($B$6&gt;$C$6*N92,"preference","convert")</f>
        <v/>
      </c>
      <c r="E93">
        <f>IF($B$7&gt;$C$7*N92,"preference","convert")</f>
        <v/>
      </c>
      <c r="F93">
        <f>IF($B$8&gt;$C$8*N92,"preference","convert")</f>
        <v/>
      </c>
      <c r="G93">
        <f>IF($B$9&gt;$C$9*N92,"preference","convert")</f>
        <v/>
      </c>
      <c r="H93">
        <f>IF($B$10&gt;$C$10*N92,"preference","convert")</f>
        <v/>
      </c>
      <c r="I93">
        <f>IF(B93="preference",$B$4,0)+IF(C93="preference",$B$5,0)+IF(D93="preference",$B$6,0)+IF(E93="preference",$B$7,0)+IF(F93="preference",$B$8,0)+IF(G93="preference",$B$9,0)+IF(H93="preference",$B$10,0)</f>
        <v/>
      </c>
      <c r="J93">
        <f>IF(B93="convert",$C$4,0)+IF(C93="convert",$C$5,0)+IF(D93="convert",$C$6,0)+IF(E93="convert",$C$7,0)+IF(F93="convert",$C$8,0)+IF(G93="convert",$C$9,0)+IF(H93="convert",$C$10,0)</f>
        <v/>
      </c>
      <c r="K93">
        <f>(Assumptions!$B$46+Assumptions!$B$47+Assumptions!$B$48)+Assumptions!$B$49+('Pro-Forma'!$M$21+'Pro-Forma'!$M$22)+J93</f>
        <v/>
      </c>
      <c r="L93">
        <f>(D12-I93+Assumptions!$B$31*Assumptions!$B$10)/(K93+Assumptions!$B$31)</f>
        <v/>
      </c>
      <c r="M93">
        <f>IF(L93&gt;Assumptions!$B$10,"yes","no")</f>
        <v/>
      </c>
      <c r="N93">
        <f>IF(M93="yes",L93,MAX(0,(D12-I93)/K93))</f>
        <v/>
      </c>
      <c r="O93">
        <f>IF(M93="yes",Assumptions!$B$31*(N93-Assumptions!$B$10),0)</f>
        <v/>
      </c>
    </row>
    <row r="94">
      <c r="A94" t="inlineStr">
        <is>
          <t>iter 6</t>
        </is>
      </c>
      <c r="B94">
        <f>IF($B$4&gt;$C$4*N93,"preference","convert")</f>
        <v/>
      </c>
      <c r="C94">
        <f>IF($B$5&gt;$C$5*N93,"preference","convert")</f>
        <v/>
      </c>
      <c r="D94">
        <f>IF($B$6&gt;$C$6*N93,"preference","convert")</f>
        <v/>
      </c>
      <c r="E94">
        <f>IF($B$7&gt;$C$7*N93,"preference","convert")</f>
        <v/>
      </c>
      <c r="F94">
        <f>IF($B$8&gt;$C$8*N93,"preference","convert")</f>
        <v/>
      </c>
      <c r="G94">
        <f>IF($B$9&gt;$C$9*N93,"preference","convert")</f>
        <v/>
      </c>
      <c r="H94">
        <f>IF($B$10&gt;$C$10*N93,"preference","convert")</f>
        <v/>
      </c>
      <c r="I94">
        <f>IF(B94="preference",$B$4,0)+IF(C94="preference",$B$5,0)+IF(D94="preference",$B$6,0)+IF(E94="preference",$B$7,0)+IF(F94="preference",$B$8,0)+IF(G94="preference",$B$9,0)+IF(H94="preference",$B$10,0)</f>
        <v/>
      </c>
      <c r="J94">
        <f>IF(B94="convert",$C$4,0)+IF(C94="convert",$C$5,0)+IF(D94="convert",$C$6,0)+IF(E94="convert",$C$7,0)+IF(F94="convert",$C$8,0)+IF(G94="convert",$C$9,0)+IF(H94="convert",$C$10,0)</f>
        <v/>
      </c>
      <c r="K94">
        <f>(Assumptions!$B$46+Assumptions!$B$47+Assumptions!$B$48)+Assumptions!$B$49+('Pro-Forma'!$M$21+'Pro-Forma'!$M$22)+J94</f>
        <v/>
      </c>
      <c r="L94">
        <f>(D12-I94+Assumptions!$B$31*Assumptions!$B$10)/(K94+Assumptions!$B$31)</f>
        <v/>
      </c>
      <c r="M94">
        <f>IF(L94&gt;Assumptions!$B$10,"yes","no")</f>
        <v/>
      </c>
      <c r="N94">
        <f>IF(M94="yes",L94,MAX(0,(D12-I94)/K94))</f>
        <v/>
      </c>
      <c r="O94">
        <f>IF(M94="yes",Assumptions!$B$31*(N94-Assumptions!$B$10),0)</f>
        <v/>
      </c>
    </row>
    <row r="95">
      <c r="A95" t="inlineStr">
        <is>
          <t>iter 7</t>
        </is>
      </c>
      <c r="B95">
        <f>IF($B$4&gt;$C$4*N94,"preference","convert")</f>
        <v/>
      </c>
      <c r="C95">
        <f>IF($B$5&gt;$C$5*N94,"preference","convert")</f>
        <v/>
      </c>
      <c r="D95">
        <f>IF($B$6&gt;$C$6*N94,"preference","convert")</f>
        <v/>
      </c>
      <c r="E95">
        <f>IF($B$7&gt;$C$7*N94,"preference","convert")</f>
        <v/>
      </c>
      <c r="F95">
        <f>IF($B$8&gt;$C$8*N94,"preference","convert")</f>
        <v/>
      </c>
      <c r="G95">
        <f>IF($B$9&gt;$C$9*N94,"preference","convert")</f>
        <v/>
      </c>
      <c r="H95">
        <f>IF($B$10&gt;$C$10*N94,"preference","convert")</f>
        <v/>
      </c>
      <c r="I95">
        <f>IF(B95="preference",$B$4,0)+IF(C95="preference",$B$5,0)+IF(D95="preference",$B$6,0)+IF(E95="preference",$B$7,0)+IF(F95="preference",$B$8,0)+IF(G95="preference",$B$9,0)+IF(H95="preference",$B$10,0)</f>
        <v/>
      </c>
      <c r="J95">
        <f>IF(B95="convert",$C$4,0)+IF(C95="convert",$C$5,0)+IF(D95="convert",$C$6,0)+IF(E95="convert",$C$7,0)+IF(F95="convert",$C$8,0)+IF(G95="convert",$C$9,0)+IF(H95="convert",$C$10,0)</f>
        <v/>
      </c>
      <c r="K95">
        <f>(Assumptions!$B$46+Assumptions!$B$47+Assumptions!$B$48)+Assumptions!$B$49+('Pro-Forma'!$M$21+'Pro-Forma'!$M$22)+J95</f>
        <v/>
      </c>
      <c r="L95">
        <f>(D12-I95+Assumptions!$B$31*Assumptions!$B$10)/(K95+Assumptions!$B$31)</f>
        <v/>
      </c>
      <c r="M95">
        <f>IF(L95&gt;Assumptions!$B$10,"yes","no")</f>
        <v/>
      </c>
      <c r="N95">
        <f>IF(M95="yes",L95,MAX(0,(D12-I95)/K95))</f>
        <v/>
      </c>
      <c r="O95">
        <f>IF(M95="yes",Assumptions!$B$31*(N95-Assumptions!$B$10),0)</f>
        <v/>
      </c>
    </row>
    <row r="96">
      <c r="A96" t="inlineStr">
        <is>
          <t>iter 8</t>
        </is>
      </c>
      <c r="B96">
        <f>IF($B$4&gt;$C$4*N95,"preference","convert")</f>
        <v/>
      </c>
      <c r="C96">
        <f>IF($B$5&gt;$C$5*N95,"preference","convert")</f>
        <v/>
      </c>
      <c r="D96">
        <f>IF($B$6&gt;$C$6*N95,"preference","convert")</f>
        <v/>
      </c>
      <c r="E96">
        <f>IF($B$7&gt;$C$7*N95,"preference","convert")</f>
        <v/>
      </c>
      <c r="F96">
        <f>IF($B$8&gt;$C$8*N95,"preference","convert")</f>
        <v/>
      </c>
      <c r="G96">
        <f>IF($B$9&gt;$C$9*N95,"preference","convert")</f>
        <v/>
      </c>
      <c r="H96">
        <f>IF($B$10&gt;$C$10*N95,"preference","convert")</f>
        <v/>
      </c>
      <c r="I96">
        <f>IF(B96="preference",$B$4,0)+IF(C96="preference",$B$5,0)+IF(D96="preference",$B$6,0)+IF(E96="preference",$B$7,0)+IF(F96="preference",$B$8,0)+IF(G96="preference",$B$9,0)+IF(H96="preference",$B$10,0)</f>
        <v/>
      </c>
      <c r="J96">
        <f>IF(B96="convert",$C$4,0)+IF(C96="convert",$C$5,0)+IF(D96="convert",$C$6,0)+IF(E96="convert",$C$7,0)+IF(F96="convert",$C$8,0)+IF(G96="convert",$C$9,0)+IF(H96="convert",$C$10,0)</f>
        <v/>
      </c>
      <c r="K96">
        <f>(Assumptions!$B$46+Assumptions!$B$47+Assumptions!$B$48)+Assumptions!$B$49+('Pro-Forma'!$M$21+'Pro-Forma'!$M$22)+J96</f>
        <v/>
      </c>
      <c r="L96">
        <f>(D12-I96+Assumptions!$B$31*Assumptions!$B$10)/(K96+Assumptions!$B$31)</f>
        <v/>
      </c>
      <c r="M96">
        <f>IF(L96&gt;Assumptions!$B$10,"yes","no")</f>
        <v/>
      </c>
      <c r="N96">
        <f>IF(M96="yes",L96,MAX(0,(D12-I96)/K96))</f>
        <v/>
      </c>
      <c r="O96">
        <f>IF(M96="yes",Assumptions!$B$31*(N96-Assumptions!$B$10),0)</f>
        <v/>
      </c>
    </row>
    <row r="97">
      <c r="A97" t="inlineStr">
        <is>
          <t>iter 9</t>
        </is>
      </c>
      <c r="B97">
        <f>IF($B$4&gt;$C$4*N96,"preference","convert")</f>
        <v/>
      </c>
      <c r="C97">
        <f>IF($B$5&gt;$C$5*N96,"preference","convert")</f>
        <v/>
      </c>
      <c r="D97">
        <f>IF($B$6&gt;$C$6*N96,"preference","convert")</f>
        <v/>
      </c>
      <c r="E97">
        <f>IF($B$7&gt;$C$7*N96,"preference","convert")</f>
        <v/>
      </c>
      <c r="F97">
        <f>IF($B$8&gt;$C$8*N96,"preference","convert")</f>
        <v/>
      </c>
      <c r="G97">
        <f>IF($B$9&gt;$C$9*N96,"preference","convert")</f>
        <v/>
      </c>
      <c r="H97">
        <f>IF($B$10&gt;$C$10*N96,"preference","convert")</f>
        <v/>
      </c>
      <c r="I97">
        <f>IF(B97="preference",$B$4,0)+IF(C97="preference",$B$5,0)+IF(D97="preference",$B$6,0)+IF(E97="preference",$B$7,0)+IF(F97="preference",$B$8,0)+IF(G97="preference",$B$9,0)+IF(H97="preference",$B$10,0)</f>
        <v/>
      </c>
      <c r="J97">
        <f>IF(B97="convert",$C$4,0)+IF(C97="convert",$C$5,0)+IF(D97="convert",$C$6,0)+IF(E97="convert",$C$7,0)+IF(F97="convert",$C$8,0)+IF(G97="convert",$C$9,0)+IF(H97="convert",$C$10,0)</f>
        <v/>
      </c>
      <c r="K97">
        <f>(Assumptions!$B$46+Assumptions!$B$47+Assumptions!$B$48)+Assumptions!$B$49+('Pro-Forma'!$M$21+'Pro-Forma'!$M$22)+J97</f>
        <v/>
      </c>
      <c r="L97">
        <f>(D12-I97+Assumptions!$B$31*Assumptions!$B$10)/(K97+Assumptions!$B$31)</f>
        <v/>
      </c>
      <c r="M97">
        <f>IF(L97&gt;Assumptions!$B$10,"yes","no")</f>
        <v/>
      </c>
      <c r="N97">
        <f>IF(M97="yes",L97,MAX(0,(D12-I97)/K97))</f>
        <v/>
      </c>
      <c r="O97">
        <f>IF(M97="yes",Assumptions!$B$31*(N97-Assumptions!$B$10),0)</f>
        <v/>
      </c>
    </row>
    <row r="98">
      <c r="A98" t="inlineStr">
        <is>
          <t>iter 10</t>
        </is>
      </c>
      <c r="B98">
        <f>IF($B$4&gt;$C$4*N97,"preference","convert")</f>
        <v/>
      </c>
      <c r="C98">
        <f>IF($B$5&gt;$C$5*N97,"preference","convert")</f>
        <v/>
      </c>
      <c r="D98">
        <f>IF($B$6&gt;$C$6*N97,"preference","convert")</f>
        <v/>
      </c>
      <c r="E98">
        <f>IF($B$7&gt;$C$7*N97,"preference","convert")</f>
        <v/>
      </c>
      <c r="F98">
        <f>IF($B$8&gt;$C$8*N97,"preference","convert")</f>
        <v/>
      </c>
      <c r="G98">
        <f>IF($B$9&gt;$C$9*N97,"preference","convert")</f>
        <v/>
      </c>
      <c r="H98">
        <f>IF($B$10&gt;$C$10*N97,"preference","convert")</f>
        <v/>
      </c>
      <c r="I98">
        <f>IF(B98="preference",$B$4,0)+IF(C98="preference",$B$5,0)+IF(D98="preference",$B$6,0)+IF(E98="preference",$B$7,0)+IF(F98="preference",$B$8,0)+IF(G98="preference",$B$9,0)+IF(H98="preference",$B$10,0)</f>
        <v/>
      </c>
      <c r="J98">
        <f>IF(B98="convert",$C$4,0)+IF(C98="convert",$C$5,0)+IF(D98="convert",$C$6,0)+IF(E98="convert",$C$7,0)+IF(F98="convert",$C$8,0)+IF(G98="convert",$C$9,0)+IF(H98="convert",$C$10,0)</f>
        <v/>
      </c>
      <c r="K98">
        <f>(Assumptions!$B$46+Assumptions!$B$47+Assumptions!$B$48)+Assumptions!$B$49+('Pro-Forma'!$M$21+'Pro-Forma'!$M$22)+J98</f>
        <v/>
      </c>
      <c r="L98">
        <f>(D12-I98+Assumptions!$B$31*Assumptions!$B$10)/(K98+Assumptions!$B$31)</f>
        <v/>
      </c>
      <c r="M98">
        <f>IF(L98&gt;Assumptions!$B$10,"yes","no")</f>
        <v/>
      </c>
      <c r="N98">
        <f>IF(M98="yes",L98,MAX(0,(D12-I98)/K98))</f>
        <v/>
      </c>
      <c r="O98">
        <f>IF(M98="yes",Assumptions!$B$31*(N98-Assumptions!$B$10),0)</f>
        <v/>
      </c>
    </row>
    <row r="99">
      <c r="A99" t="inlineStr">
        <is>
          <t>iter 11</t>
        </is>
      </c>
      <c r="B99">
        <f>IF($B$4&gt;$C$4*N98,"preference","convert")</f>
        <v/>
      </c>
      <c r="C99">
        <f>IF($B$5&gt;$C$5*N98,"preference","convert")</f>
        <v/>
      </c>
      <c r="D99">
        <f>IF($B$6&gt;$C$6*N98,"preference","convert")</f>
        <v/>
      </c>
      <c r="E99">
        <f>IF($B$7&gt;$C$7*N98,"preference","convert")</f>
        <v/>
      </c>
      <c r="F99">
        <f>IF($B$8&gt;$C$8*N98,"preference","convert")</f>
        <v/>
      </c>
      <c r="G99">
        <f>IF($B$9&gt;$C$9*N98,"preference","convert")</f>
        <v/>
      </c>
      <c r="H99">
        <f>IF($B$10&gt;$C$10*N98,"preference","convert")</f>
        <v/>
      </c>
      <c r="I99">
        <f>IF(B99="preference",$B$4,0)+IF(C99="preference",$B$5,0)+IF(D99="preference",$B$6,0)+IF(E99="preference",$B$7,0)+IF(F99="preference",$B$8,0)+IF(G99="preference",$B$9,0)+IF(H99="preference",$B$10,0)</f>
        <v/>
      </c>
      <c r="J99">
        <f>IF(B99="convert",$C$4,0)+IF(C99="convert",$C$5,0)+IF(D99="convert",$C$6,0)+IF(E99="convert",$C$7,0)+IF(F99="convert",$C$8,0)+IF(G99="convert",$C$9,0)+IF(H99="convert",$C$10,0)</f>
        <v/>
      </c>
      <c r="K99">
        <f>(Assumptions!$B$46+Assumptions!$B$47+Assumptions!$B$48)+Assumptions!$B$49+('Pro-Forma'!$M$21+'Pro-Forma'!$M$22)+J99</f>
        <v/>
      </c>
      <c r="L99">
        <f>(D12-I99+Assumptions!$B$31*Assumptions!$B$10)/(K99+Assumptions!$B$31)</f>
        <v/>
      </c>
      <c r="M99">
        <f>IF(L99&gt;Assumptions!$B$10,"yes","no")</f>
        <v/>
      </c>
      <c r="N99">
        <f>IF(M99="yes",L99,MAX(0,(D12-I99)/K99))</f>
        <v/>
      </c>
      <c r="O99">
        <f>IF(M99="yes",Assumptions!$B$31*(N99-Assumptions!$B$10),0)</f>
        <v/>
      </c>
    </row>
    <row r="100">
      <c r="A100" t="inlineStr">
        <is>
          <t>iter 12</t>
        </is>
      </c>
      <c r="B100">
        <f>IF($B$4&gt;$C$4*N99,"preference","convert")</f>
        <v/>
      </c>
      <c r="C100">
        <f>IF($B$5&gt;$C$5*N99,"preference","convert")</f>
        <v/>
      </c>
      <c r="D100">
        <f>IF($B$6&gt;$C$6*N99,"preference","convert")</f>
        <v/>
      </c>
      <c r="E100">
        <f>IF($B$7&gt;$C$7*N99,"preference","convert")</f>
        <v/>
      </c>
      <c r="F100">
        <f>IF($B$8&gt;$C$8*N99,"preference","convert")</f>
        <v/>
      </c>
      <c r="G100">
        <f>IF($B$9&gt;$C$9*N99,"preference","convert")</f>
        <v/>
      </c>
      <c r="H100">
        <f>IF($B$10&gt;$C$10*N99,"preference","convert")</f>
        <v/>
      </c>
      <c r="I100">
        <f>IF(B100="preference",$B$4,0)+IF(C100="preference",$B$5,0)+IF(D100="preference",$B$6,0)+IF(E100="preference",$B$7,0)+IF(F100="preference",$B$8,0)+IF(G100="preference",$B$9,0)+IF(H100="preference",$B$10,0)</f>
        <v/>
      </c>
      <c r="J100">
        <f>IF(B100="convert",$C$4,0)+IF(C100="convert",$C$5,0)+IF(D100="convert",$C$6,0)+IF(E100="convert",$C$7,0)+IF(F100="convert",$C$8,0)+IF(G100="convert",$C$9,0)+IF(H100="convert",$C$10,0)</f>
        <v/>
      </c>
      <c r="K100">
        <f>(Assumptions!$B$46+Assumptions!$B$47+Assumptions!$B$48)+Assumptions!$B$49+('Pro-Forma'!$M$21+'Pro-Forma'!$M$22)+J100</f>
        <v/>
      </c>
      <c r="L100">
        <f>(D12-I100+Assumptions!$B$31*Assumptions!$B$10)/(K100+Assumptions!$B$31)</f>
        <v/>
      </c>
      <c r="M100">
        <f>IF(L100&gt;Assumptions!$B$10,"yes","no")</f>
        <v/>
      </c>
      <c r="N100">
        <f>IF(M100="yes",L100,MAX(0,(D12-I100)/K100))</f>
        <v/>
      </c>
      <c r="O100">
        <f>IF(M100="yes",Assumptions!$B$31*(N100-Assumptions!$B$10),0)</f>
        <v/>
      </c>
    </row>
    <row r="101">
      <c r="A101" t="inlineStr">
        <is>
          <t>iter 13</t>
        </is>
      </c>
      <c r="B101">
        <f>IF($B$4&gt;$C$4*N100,"preference","convert")</f>
        <v/>
      </c>
      <c r="C101">
        <f>IF($B$5&gt;$C$5*N100,"preference","convert")</f>
        <v/>
      </c>
      <c r="D101">
        <f>IF($B$6&gt;$C$6*N100,"preference","convert")</f>
        <v/>
      </c>
      <c r="E101">
        <f>IF($B$7&gt;$C$7*N100,"preference","convert")</f>
        <v/>
      </c>
      <c r="F101">
        <f>IF($B$8&gt;$C$8*N100,"preference","convert")</f>
        <v/>
      </c>
      <c r="G101">
        <f>IF($B$9&gt;$C$9*N100,"preference","convert")</f>
        <v/>
      </c>
      <c r="H101">
        <f>IF($B$10&gt;$C$10*N100,"preference","convert")</f>
        <v/>
      </c>
      <c r="I101">
        <f>IF(B101="preference",$B$4,0)+IF(C101="preference",$B$5,0)+IF(D101="preference",$B$6,0)+IF(E101="preference",$B$7,0)+IF(F101="preference",$B$8,0)+IF(G101="preference",$B$9,0)+IF(H101="preference",$B$10,0)</f>
        <v/>
      </c>
      <c r="J101">
        <f>IF(B101="convert",$C$4,0)+IF(C101="convert",$C$5,0)+IF(D101="convert",$C$6,0)+IF(E101="convert",$C$7,0)+IF(F101="convert",$C$8,0)+IF(G101="convert",$C$9,0)+IF(H101="convert",$C$10,0)</f>
        <v/>
      </c>
      <c r="K101">
        <f>(Assumptions!$B$46+Assumptions!$B$47+Assumptions!$B$48)+Assumptions!$B$49+('Pro-Forma'!$M$21+'Pro-Forma'!$M$22)+J101</f>
        <v/>
      </c>
      <c r="L101">
        <f>(D12-I101+Assumptions!$B$31*Assumptions!$B$10)/(K101+Assumptions!$B$31)</f>
        <v/>
      </c>
      <c r="M101">
        <f>IF(L101&gt;Assumptions!$B$10,"yes","no")</f>
        <v/>
      </c>
      <c r="N101">
        <f>IF(M101="yes",L101,MAX(0,(D12-I101)/K101))</f>
        <v/>
      </c>
      <c r="O101">
        <f>IF(M101="yes",Assumptions!$B$31*(N101-Assumptions!$B$10),0)</f>
        <v/>
      </c>
    </row>
    <row r="102">
      <c r="A102" t="inlineStr">
        <is>
          <t>iter 14</t>
        </is>
      </c>
      <c r="B102">
        <f>IF($B$4&gt;$C$4*N101,"preference","convert")</f>
        <v/>
      </c>
      <c r="C102">
        <f>IF($B$5&gt;$C$5*N101,"preference","convert")</f>
        <v/>
      </c>
      <c r="D102">
        <f>IF($B$6&gt;$C$6*N101,"preference","convert")</f>
        <v/>
      </c>
      <c r="E102">
        <f>IF($B$7&gt;$C$7*N101,"preference","convert")</f>
        <v/>
      </c>
      <c r="F102">
        <f>IF($B$8&gt;$C$8*N101,"preference","convert")</f>
        <v/>
      </c>
      <c r="G102">
        <f>IF($B$9&gt;$C$9*N101,"preference","convert")</f>
        <v/>
      </c>
      <c r="H102">
        <f>IF($B$10&gt;$C$10*N101,"preference","convert")</f>
        <v/>
      </c>
      <c r="I102">
        <f>IF(B102="preference",$B$4,0)+IF(C102="preference",$B$5,0)+IF(D102="preference",$B$6,0)+IF(E102="preference",$B$7,0)+IF(F102="preference",$B$8,0)+IF(G102="preference",$B$9,0)+IF(H102="preference",$B$10,0)</f>
        <v/>
      </c>
      <c r="J102">
        <f>IF(B102="convert",$C$4,0)+IF(C102="convert",$C$5,0)+IF(D102="convert",$C$6,0)+IF(E102="convert",$C$7,0)+IF(F102="convert",$C$8,0)+IF(G102="convert",$C$9,0)+IF(H102="convert",$C$10,0)</f>
        <v/>
      </c>
      <c r="K102">
        <f>(Assumptions!$B$46+Assumptions!$B$47+Assumptions!$B$48)+Assumptions!$B$49+('Pro-Forma'!$M$21+'Pro-Forma'!$M$22)+J102</f>
        <v/>
      </c>
      <c r="L102">
        <f>(D12-I102+Assumptions!$B$31*Assumptions!$B$10)/(K102+Assumptions!$B$31)</f>
        <v/>
      </c>
      <c r="M102">
        <f>IF(L102&gt;Assumptions!$B$10,"yes","no")</f>
        <v/>
      </c>
      <c r="N102">
        <f>IF(M102="yes",L102,MAX(0,(D12-I102)/K102))</f>
        <v/>
      </c>
      <c r="O102">
        <f>IF(M102="yes",Assumptions!$B$31*(N102-Assumptions!$B$10),0)</f>
        <v/>
      </c>
    </row>
    <row r="103">
      <c r="A103" t="inlineStr">
        <is>
          <t>iter 15</t>
        </is>
      </c>
      <c r="B103">
        <f>IF($B$4&gt;$C$4*N102,"preference","convert")</f>
        <v/>
      </c>
      <c r="C103">
        <f>IF($B$5&gt;$C$5*N102,"preference","convert")</f>
        <v/>
      </c>
      <c r="D103">
        <f>IF($B$6&gt;$C$6*N102,"preference","convert")</f>
        <v/>
      </c>
      <c r="E103">
        <f>IF($B$7&gt;$C$7*N102,"preference","convert")</f>
        <v/>
      </c>
      <c r="F103">
        <f>IF($B$8&gt;$C$8*N102,"preference","convert")</f>
        <v/>
      </c>
      <c r="G103">
        <f>IF($B$9&gt;$C$9*N102,"preference","convert")</f>
        <v/>
      </c>
      <c r="H103">
        <f>IF($B$10&gt;$C$10*N102,"preference","convert")</f>
        <v/>
      </c>
      <c r="I103">
        <f>IF(B103="preference",$B$4,0)+IF(C103="preference",$B$5,0)+IF(D103="preference",$B$6,0)+IF(E103="preference",$B$7,0)+IF(F103="preference",$B$8,0)+IF(G103="preference",$B$9,0)+IF(H103="preference",$B$10,0)</f>
        <v/>
      </c>
      <c r="J103">
        <f>IF(B103="convert",$C$4,0)+IF(C103="convert",$C$5,0)+IF(D103="convert",$C$6,0)+IF(E103="convert",$C$7,0)+IF(F103="convert",$C$8,0)+IF(G103="convert",$C$9,0)+IF(H103="convert",$C$10,0)</f>
        <v/>
      </c>
      <c r="K103">
        <f>(Assumptions!$B$46+Assumptions!$B$47+Assumptions!$B$48)+Assumptions!$B$49+('Pro-Forma'!$M$21+'Pro-Forma'!$M$22)+J103</f>
        <v/>
      </c>
      <c r="L103">
        <f>(D12-I103+Assumptions!$B$31*Assumptions!$B$10)/(K103+Assumptions!$B$31)</f>
        <v/>
      </c>
      <c r="M103">
        <f>IF(L103&gt;Assumptions!$B$10,"yes","no")</f>
        <v/>
      </c>
      <c r="N103">
        <f>IF(M103="yes",L103,MAX(0,(D12-I103)/K103))</f>
        <v/>
      </c>
      <c r="O103">
        <f>IF(M103="yes",Assumptions!$B$31*(N103-Assumptions!$B$10),0)</f>
        <v/>
      </c>
    </row>
    <row r="104">
      <c r="A104" t="inlineStr">
        <is>
          <t>iter 16</t>
        </is>
      </c>
      <c r="B104">
        <f>IF($B$4&gt;$C$4*N103,"preference","convert")</f>
        <v/>
      </c>
      <c r="C104">
        <f>IF($B$5&gt;$C$5*N103,"preference","convert")</f>
        <v/>
      </c>
      <c r="D104">
        <f>IF($B$6&gt;$C$6*N103,"preference","convert")</f>
        <v/>
      </c>
      <c r="E104">
        <f>IF($B$7&gt;$C$7*N103,"preference","convert")</f>
        <v/>
      </c>
      <c r="F104">
        <f>IF($B$8&gt;$C$8*N103,"preference","convert")</f>
        <v/>
      </c>
      <c r="G104">
        <f>IF($B$9&gt;$C$9*N103,"preference","convert")</f>
        <v/>
      </c>
      <c r="H104">
        <f>IF($B$10&gt;$C$10*N103,"preference","convert")</f>
        <v/>
      </c>
      <c r="I104">
        <f>IF(B104="preference",$B$4,0)+IF(C104="preference",$B$5,0)+IF(D104="preference",$B$6,0)+IF(E104="preference",$B$7,0)+IF(F104="preference",$B$8,0)+IF(G104="preference",$B$9,0)+IF(H104="preference",$B$10,0)</f>
        <v/>
      </c>
      <c r="J104">
        <f>IF(B104="convert",$C$4,0)+IF(C104="convert",$C$5,0)+IF(D104="convert",$C$6,0)+IF(E104="convert",$C$7,0)+IF(F104="convert",$C$8,0)+IF(G104="convert",$C$9,0)+IF(H104="convert",$C$10,0)</f>
        <v/>
      </c>
      <c r="K104">
        <f>(Assumptions!$B$46+Assumptions!$B$47+Assumptions!$B$48)+Assumptions!$B$49+('Pro-Forma'!$M$21+'Pro-Forma'!$M$22)+J104</f>
        <v/>
      </c>
      <c r="L104">
        <f>(D12-I104+Assumptions!$B$31*Assumptions!$B$10)/(K104+Assumptions!$B$31)</f>
        <v/>
      </c>
      <c r="M104">
        <f>IF(L104&gt;Assumptions!$B$10,"yes","no")</f>
        <v/>
      </c>
      <c r="N104">
        <f>IF(M104="yes",L104,MAX(0,(D12-I104)/K104))</f>
        <v/>
      </c>
      <c r="O104">
        <f>IF(M104="yes",Assumptions!$B$31*(N104-Assumptions!$B$10),0)</f>
        <v/>
      </c>
    </row>
    <row r="105">
      <c r="A105" t="inlineStr">
        <is>
          <t>iter 17</t>
        </is>
      </c>
      <c r="B105">
        <f>IF($B$4&gt;$C$4*N104,"preference","convert")</f>
        <v/>
      </c>
      <c r="C105">
        <f>IF($B$5&gt;$C$5*N104,"preference","convert")</f>
        <v/>
      </c>
      <c r="D105">
        <f>IF($B$6&gt;$C$6*N104,"preference","convert")</f>
        <v/>
      </c>
      <c r="E105">
        <f>IF($B$7&gt;$C$7*N104,"preference","convert")</f>
        <v/>
      </c>
      <c r="F105">
        <f>IF($B$8&gt;$C$8*N104,"preference","convert")</f>
        <v/>
      </c>
      <c r="G105">
        <f>IF($B$9&gt;$C$9*N104,"preference","convert")</f>
        <v/>
      </c>
      <c r="H105">
        <f>IF($B$10&gt;$C$10*N104,"preference","convert")</f>
        <v/>
      </c>
      <c r="I105">
        <f>IF(B105="preference",$B$4,0)+IF(C105="preference",$B$5,0)+IF(D105="preference",$B$6,0)+IF(E105="preference",$B$7,0)+IF(F105="preference",$B$8,0)+IF(G105="preference",$B$9,0)+IF(H105="preference",$B$10,0)</f>
        <v/>
      </c>
      <c r="J105">
        <f>IF(B105="convert",$C$4,0)+IF(C105="convert",$C$5,0)+IF(D105="convert",$C$6,0)+IF(E105="convert",$C$7,0)+IF(F105="convert",$C$8,0)+IF(G105="convert",$C$9,0)+IF(H105="convert",$C$10,0)</f>
        <v/>
      </c>
      <c r="K105">
        <f>(Assumptions!$B$46+Assumptions!$B$47+Assumptions!$B$48)+Assumptions!$B$49+('Pro-Forma'!$M$21+'Pro-Forma'!$M$22)+J105</f>
        <v/>
      </c>
      <c r="L105">
        <f>(D12-I105+Assumptions!$B$31*Assumptions!$B$10)/(K105+Assumptions!$B$31)</f>
        <v/>
      </c>
      <c r="M105">
        <f>IF(L105&gt;Assumptions!$B$10,"yes","no")</f>
        <v/>
      </c>
      <c r="N105">
        <f>IF(M105="yes",L105,MAX(0,(D12-I105)/K105))</f>
        <v/>
      </c>
      <c r="O105">
        <f>IF(M105="yes",Assumptions!$B$31*(N105-Assumptions!$B$10),0)</f>
        <v/>
      </c>
    </row>
    <row r="106">
      <c r="A106" t="inlineStr">
        <is>
          <t>iter 18</t>
        </is>
      </c>
      <c r="B106">
        <f>IF($B$4&gt;$C$4*N105,"preference","convert")</f>
        <v/>
      </c>
      <c r="C106">
        <f>IF($B$5&gt;$C$5*N105,"preference","convert")</f>
        <v/>
      </c>
      <c r="D106">
        <f>IF($B$6&gt;$C$6*N105,"preference","convert")</f>
        <v/>
      </c>
      <c r="E106">
        <f>IF($B$7&gt;$C$7*N105,"preference","convert")</f>
        <v/>
      </c>
      <c r="F106">
        <f>IF($B$8&gt;$C$8*N105,"preference","convert")</f>
        <v/>
      </c>
      <c r="G106">
        <f>IF($B$9&gt;$C$9*N105,"preference","convert")</f>
        <v/>
      </c>
      <c r="H106">
        <f>IF($B$10&gt;$C$10*N105,"preference","convert")</f>
        <v/>
      </c>
      <c r="I106">
        <f>IF(B106="preference",$B$4,0)+IF(C106="preference",$B$5,0)+IF(D106="preference",$B$6,0)+IF(E106="preference",$B$7,0)+IF(F106="preference",$B$8,0)+IF(G106="preference",$B$9,0)+IF(H106="preference",$B$10,0)</f>
        <v/>
      </c>
      <c r="J106">
        <f>IF(B106="convert",$C$4,0)+IF(C106="convert",$C$5,0)+IF(D106="convert",$C$6,0)+IF(E106="convert",$C$7,0)+IF(F106="convert",$C$8,0)+IF(G106="convert",$C$9,0)+IF(H106="convert",$C$10,0)</f>
        <v/>
      </c>
      <c r="K106">
        <f>(Assumptions!$B$46+Assumptions!$B$47+Assumptions!$B$48)+Assumptions!$B$49+('Pro-Forma'!$M$21+'Pro-Forma'!$M$22)+J106</f>
        <v/>
      </c>
      <c r="L106">
        <f>(D12-I106+Assumptions!$B$31*Assumptions!$B$10)/(K106+Assumptions!$B$31)</f>
        <v/>
      </c>
      <c r="M106">
        <f>IF(L106&gt;Assumptions!$B$10,"yes","no")</f>
        <v/>
      </c>
      <c r="N106">
        <f>IF(M106="yes",L106,MAX(0,(D12-I106)/K106))</f>
        <v/>
      </c>
      <c r="O106">
        <f>IF(M106="yes",Assumptions!$B$31*(N106-Assumptions!$B$10),0)</f>
        <v/>
      </c>
    </row>
    <row r="107">
      <c r="A107" t="inlineStr">
        <is>
          <t>iter 19</t>
        </is>
      </c>
      <c r="B107">
        <f>IF($B$4&gt;$C$4*N106,"preference","convert")</f>
        <v/>
      </c>
      <c r="C107">
        <f>IF($B$5&gt;$C$5*N106,"preference","convert")</f>
        <v/>
      </c>
      <c r="D107">
        <f>IF($B$6&gt;$C$6*N106,"preference","convert")</f>
        <v/>
      </c>
      <c r="E107">
        <f>IF($B$7&gt;$C$7*N106,"preference","convert")</f>
        <v/>
      </c>
      <c r="F107">
        <f>IF($B$8&gt;$C$8*N106,"preference","convert")</f>
        <v/>
      </c>
      <c r="G107">
        <f>IF($B$9&gt;$C$9*N106,"preference","convert")</f>
        <v/>
      </c>
      <c r="H107">
        <f>IF($B$10&gt;$C$10*N106,"preference","convert")</f>
        <v/>
      </c>
      <c r="I107">
        <f>IF(B107="preference",$B$4,0)+IF(C107="preference",$B$5,0)+IF(D107="preference",$B$6,0)+IF(E107="preference",$B$7,0)+IF(F107="preference",$B$8,0)+IF(G107="preference",$B$9,0)+IF(H107="preference",$B$10,0)</f>
        <v/>
      </c>
      <c r="J107">
        <f>IF(B107="convert",$C$4,0)+IF(C107="convert",$C$5,0)+IF(D107="convert",$C$6,0)+IF(E107="convert",$C$7,0)+IF(F107="convert",$C$8,0)+IF(G107="convert",$C$9,0)+IF(H107="convert",$C$10,0)</f>
        <v/>
      </c>
      <c r="K107">
        <f>(Assumptions!$B$46+Assumptions!$B$47+Assumptions!$B$48)+Assumptions!$B$49+('Pro-Forma'!$M$21+'Pro-Forma'!$M$22)+J107</f>
        <v/>
      </c>
      <c r="L107">
        <f>(D12-I107+Assumptions!$B$31*Assumptions!$B$10)/(K107+Assumptions!$B$31)</f>
        <v/>
      </c>
      <c r="M107">
        <f>IF(L107&gt;Assumptions!$B$10,"yes","no")</f>
        <v/>
      </c>
      <c r="N107">
        <f>IF(M107="yes",L107,MAX(0,(D12-I107)/K107))</f>
        <v/>
      </c>
      <c r="O107">
        <f>IF(M107="yes",Assumptions!$B$31*(N107-Assumptions!$B$10),0)</f>
        <v/>
      </c>
    </row>
    <row r="108">
      <c r="A108" t="inlineStr">
        <is>
          <t>iter 20</t>
        </is>
      </c>
      <c r="B108">
        <f>IF($B$4&gt;$C$4*N107,"preference","convert")</f>
        <v/>
      </c>
      <c r="C108">
        <f>IF($B$5&gt;$C$5*N107,"preference","convert")</f>
        <v/>
      </c>
      <c r="D108">
        <f>IF($B$6&gt;$C$6*N107,"preference","convert")</f>
        <v/>
      </c>
      <c r="E108">
        <f>IF($B$7&gt;$C$7*N107,"preference","convert")</f>
        <v/>
      </c>
      <c r="F108">
        <f>IF($B$8&gt;$C$8*N107,"preference","convert")</f>
        <v/>
      </c>
      <c r="G108">
        <f>IF($B$9&gt;$C$9*N107,"preference","convert")</f>
        <v/>
      </c>
      <c r="H108">
        <f>IF($B$10&gt;$C$10*N107,"preference","convert")</f>
        <v/>
      </c>
      <c r="I108">
        <f>IF(B108="preference",$B$4,0)+IF(C108="preference",$B$5,0)+IF(D108="preference",$B$6,0)+IF(E108="preference",$B$7,0)+IF(F108="preference",$B$8,0)+IF(G108="preference",$B$9,0)+IF(H108="preference",$B$10,0)</f>
        <v/>
      </c>
      <c r="J108">
        <f>IF(B108="convert",$C$4,0)+IF(C108="convert",$C$5,0)+IF(D108="convert",$C$6,0)+IF(E108="convert",$C$7,0)+IF(F108="convert",$C$8,0)+IF(G108="convert",$C$9,0)+IF(H108="convert",$C$10,0)</f>
        <v/>
      </c>
      <c r="K108">
        <f>(Assumptions!$B$46+Assumptions!$B$47+Assumptions!$B$48)+Assumptions!$B$49+('Pro-Forma'!$M$21+'Pro-Forma'!$M$22)+J108</f>
        <v/>
      </c>
      <c r="L108">
        <f>(D12-I108+Assumptions!$B$31*Assumptions!$B$10)/(K108+Assumptions!$B$31)</f>
        <v/>
      </c>
      <c r="M108">
        <f>IF(L108&gt;Assumptions!$B$10,"yes","no")</f>
        <v/>
      </c>
      <c r="N108">
        <f>IF(M108="yes",L108,MAX(0,(D12-I108)/K108))</f>
        <v/>
      </c>
      <c r="O108">
        <f>IF(M108="yes",Assumptions!$B$31*(N108-Assumptions!$B$10),0)</f>
        <v/>
      </c>
    </row>
    <row r="109">
      <c r="A109" t="inlineStr">
        <is>
          <t>iter 21</t>
        </is>
      </c>
      <c r="B109">
        <f>IF($B$4&gt;$C$4*N108,"preference","convert")</f>
        <v/>
      </c>
      <c r="C109">
        <f>IF($B$5&gt;$C$5*N108,"preference","convert")</f>
        <v/>
      </c>
      <c r="D109">
        <f>IF($B$6&gt;$C$6*N108,"preference","convert")</f>
        <v/>
      </c>
      <c r="E109">
        <f>IF($B$7&gt;$C$7*N108,"preference","convert")</f>
        <v/>
      </c>
      <c r="F109">
        <f>IF($B$8&gt;$C$8*N108,"preference","convert")</f>
        <v/>
      </c>
      <c r="G109">
        <f>IF($B$9&gt;$C$9*N108,"preference","convert")</f>
        <v/>
      </c>
      <c r="H109">
        <f>IF($B$10&gt;$C$10*N108,"preference","convert")</f>
        <v/>
      </c>
      <c r="I109">
        <f>IF(B109="preference",$B$4,0)+IF(C109="preference",$B$5,0)+IF(D109="preference",$B$6,0)+IF(E109="preference",$B$7,0)+IF(F109="preference",$B$8,0)+IF(G109="preference",$B$9,0)+IF(H109="preference",$B$10,0)</f>
        <v/>
      </c>
      <c r="J109">
        <f>IF(B109="convert",$C$4,0)+IF(C109="convert",$C$5,0)+IF(D109="convert",$C$6,0)+IF(E109="convert",$C$7,0)+IF(F109="convert",$C$8,0)+IF(G109="convert",$C$9,0)+IF(H109="convert",$C$10,0)</f>
        <v/>
      </c>
      <c r="K109">
        <f>(Assumptions!$B$46+Assumptions!$B$47+Assumptions!$B$48)+Assumptions!$B$49+('Pro-Forma'!$M$21+'Pro-Forma'!$M$22)+J109</f>
        <v/>
      </c>
      <c r="L109">
        <f>(D12-I109+Assumptions!$B$31*Assumptions!$B$10)/(K109+Assumptions!$B$31)</f>
        <v/>
      </c>
      <c r="M109">
        <f>IF(L109&gt;Assumptions!$B$10,"yes","no")</f>
        <v/>
      </c>
      <c r="N109">
        <f>IF(M109="yes",L109,MAX(0,(D12-I109)/K109))</f>
        <v/>
      </c>
      <c r="O109">
        <f>IF(M109="yes",Assumptions!$B$31*(N109-Assumptions!$B$10),0)</f>
        <v/>
      </c>
    </row>
    <row r="110">
      <c r="A110" t="inlineStr">
        <is>
          <t>iter 22</t>
        </is>
      </c>
      <c r="B110">
        <f>IF($B$4&gt;$C$4*N109,"preference","convert")</f>
        <v/>
      </c>
      <c r="C110">
        <f>IF($B$5&gt;$C$5*N109,"preference","convert")</f>
        <v/>
      </c>
      <c r="D110">
        <f>IF($B$6&gt;$C$6*N109,"preference","convert")</f>
        <v/>
      </c>
      <c r="E110">
        <f>IF($B$7&gt;$C$7*N109,"preference","convert")</f>
        <v/>
      </c>
      <c r="F110">
        <f>IF($B$8&gt;$C$8*N109,"preference","convert")</f>
        <v/>
      </c>
      <c r="G110">
        <f>IF($B$9&gt;$C$9*N109,"preference","convert")</f>
        <v/>
      </c>
      <c r="H110">
        <f>IF($B$10&gt;$C$10*N109,"preference","convert")</f>
        <v/>
      </c>
      <c r="I110">
        <f>IF(B110="preference",$B$4,0)+IF(C110="preference",$B$5,0)+IF(D110="preference",$B$6,0)+IF(E110="preference",$B$7,0)+IF(F110="preference",$B$8,0)+IF(G110="preference",$B$9,0)+IF(H110="preference",$B$10,0)</f>
        <v/>
      </c>
      <c r="J110">
        <f>IF(B110="convert",$C$4,0)+IF(C110="convert",$C$5,0)+IF(D110="convert",$C$6,0)+IF(E110="convert",$C$7,0)+IF(F110="convert",$C$8,0)+IF(G110="convert",$C$9,0)+IF(H110="convert",$C$10,0)</f>
        <v/>
      </c>
      <c r="K110">
        <f>(Assumptions!$B$46+Assumptions!$B$47+Assumptions!$B$48)+Assumptions!$B$49+('Pro-Forma'!$M$21+'Pro-Forma'!$M$22)+J110</f>
        <v/>
      </c>
      <c r="L110">
        <f>(D12-I110+Assumptions!$B$31*Assumptions!$B$10)/(K110+Assumptions!$B$31)</f>
        <v/>
      </c>
      <c r="M110">
        <f>IF(L110&gt;Assumptions!$B$10,"yes","no")</f>
        <v/>
      </c>
      <c r="N110">
        <f>IF(M110="yes",L110,MAX(0,(D12-I110)/K110))</f>
        <v/>
      </c>
      <c r="O110">
        <f>IF(M110="yes",Assumptions!$B$31*(N110-Assumptions!$B$10),0)</f>
        <v/>
      </c>
    </row>
    <row r="111">
      <c r="A111" t="inlineStr">
        <is>
          <t>iter 23</t>
        </is>
      </c>
      <c r="B111">
        <f>IF($B$4&gt;$C$4*N110,"preference","convert")</f>
        <v/>
      </c>
      <c r="C111">
        <f>IF($B$5&gt;$C$5*N110,"preference","convert")</f>
        <v/>
      </c>
      <c r="D111">
        <f>IF($B$6&gt;$C$6*N110,"preference","convert")</f>
        <v/>
      </c>
      <c r="E111">
        <f>IF($B$7&gt;$C$7*N110,"preference","convert")</f>
        <v/>
      </c>
      <c r="F111">
        <f>IF($B$8&gt;$C$8*N110,"preference","convert")</f>
        <v/>
      </c>
      <c r="G111">
        <f>IF($B$9&gt;$C$9*N110,"preference","convert")</f>
        <v/>
      </c>
      <c r="H111">
        <f>IF($B$10&gt;$C$10*N110,"preference","convert")</f>
        <v/>
      </c>
      <c r="I111">
        <f>IF(B111="preference",$B$4,0)+IF(C111="preference",$B$5,0)+IF(D111="preference",$B$6,0)+IF(E111="preference",$B$7,0)+IF(F111="preference",$B$8,0)+IF(G111="preference",$B$9,0)+IF(H111="preference",$B$10,0)</f>
        <v/>
      </c>
      <c r="J111">
        <f>IF(B111="convert",$C$4,0)+IF(C111="convert",$C$5,0)+IF(D111="convert",$C$6,0)+IF(E111="convert",$C$7,0)+IF(F111="convert",$C$8,0)+IF(G111="convert",$C$9,0)+IF(H111="convert",$C$10,0)</f>
        <v/>
      </c>
      <c r="K111">
        <f>(Assumptions!$B$46+Assumptions!$B$47+Assumptions!$B$48)+Assumptions!$B$49+('Pro-Forma'!$M$21+'Pro-Forma'!$M$22)+J111</f>
        <v/>
      </c>
      <c r="L111">
        <f>(D12-I111+Assumptions!$B$31*Assumptions!$B$10)/(K111+Assumptions!$B$31)</f>
        <v/>
      </c>
      <c r="M111">
        <f>IF(L111&gt;Assumptions!$B$10,"yes","no")</f>
        <v/>
      </c>
      <c r="N111">
        <f>IF(M111="yes",L111,MAX(0,(D12-I111)/K111))</f>
        <v/>
      </c>
      <c r="O111">
        <f>IF(M111="yes",Assumptions!$B$31*(N111-Assumptions!$B$10),0)</f>
        <v/>
      </c>
    </row>
    <row r="112">
      <c r="A112" t="inlineStr">
        <is>
          <t>iter 24</t>
        </is>
      </c>
      <c r="B112">
        <f>IF($B$4&gt;$C$4*N111,"preference","convert")</f>
        <v/>
      </c>
      <c r="C112">
        <f>IF($B$5&gt;$C$5*N111,"preference","convert")</f>
        <v/>
      </c>
      <c r="D112">
        <f>IF($B$6&gt;$C$6*N111,"preference","convert")</f>
        <v/>
      </c>
      <c r="E112">
        <f>IF($B$7&gt;$C$7*N111,"preference","convert")</f>
        <v/>
      </c>
      <c r="F112">
        <f>IF($B$8&gt;$C$8*N111,"preference","convert")</f>
        <v/>
      </c>
      <c r="G112">
        <f>IF($B$9&gt;$C$9*N111,"preference","convert")</f>
        <v/>
      </c>
      <c r="H112">
        <f>IF($B$10&gt;$C$10*N111,"preference","convert")</f>
        <v/>
      </c>
      <c r="I112">
        <f>IF(B112="preference",$B$4,0)+IF(C112="preference",$B$5,0)+IF(D112="preference",$B$6,0)+IF(E112="preference",$B$7,0)+IF(F112="preference",$B$8,0)+IF(G112="preference",$B$9,0)+IF(H112="preference",$B$10,0)</f>
        <v/>
      </c>
      <c r="J112">
        <f>IF(B112="convert",$C$4,0)+IF(C112="convert",$C$5,0)+IF(D112="convert",$C$6,0)+IF(E112="convert",$C$7,0)+IF(F112="convert",$C$8,0)+IF(G112="convert",$C$9,0)+IF(H112="convert",$C$10,0)</f>
        <v/>
      </c>
      <c r="K112">
        <f>(Assumptions!$B$46+Assumptions!$B$47+Assumptions!$B$48)+Assumptions!$B$49+('Pro-Forma'!$M$21+'Pro-Forma'!$M$22)+J112</f>
        <v/>
      </c>
      <c r="L112">
        <f>(D12-I112+Assumptions!$B$31*Assumptions!$B$10)/(K112+Assumptions!$B$31)</f>
        <v/>
      </c>
      <c r="M112">
        <f>IF(L112&gt;Assumptions!$B$10,"yes","no")</f>
        <v/>
      </c>
      <c r="N112">
        <f>IF(M112="yes",L112,MAX(0,(D12-I112)/K112))</f>
        <v/>
      </c>
      <c r="O112">
        <f>IF(M112="yes",Assumptions!$B$31*(N112-Assumptions!$B$10),0)</f>
        <v/>
      </c>
    </row>
    <row r="113">
      <c r="A113" t="inlineStr">
        <is>
          <t>iter 25</t>
        </is>
      </c>
      <c r="B113">
        <f>IF($B$4&gt;$C$4*N112,"preference","convert")</f>
        <v/>
      </c>
      <c r="C113">
        <f>IF($B$5&gt;$C$5*N112,"preference","convert")</f>
        <v/>
      </c>
      <c r="D113">
        <f>IF($B$6&gt;$C$6*N112,"preference","convert")</f>
        <v/>
      </c>
      <c r="E113">
        <f>IF($B$7&gt;$C$7*N112,"preference","convert")</f>
        <v/>
      </c>
      <c r="F113">
        <f>IF($B$8&gt;$C$8*N112,"preference","convert")</f>
        <v/>
      </c>
      <c r="G113">
        <f>IF($B$9&gt;$C$9*N112,"preference","convert")</f>
        <v/>
      </c>
      <c r="H113">
        <f>IF($B$10&gt;$C$10*N112,"preference","convert")</f>
        <v/>
      </c>
      <c r="I113">
        <f>IF(B113="preference",$B$4,0)+IF(C113="preference",$B$5,0)+IF(D113="preference",$B$6,0)+IF(E113="preference",$B$7,0)+IF(F113="preference",$B$8,0)+IF(G113="preference",$B$9,0)+IF(H113="preference",$B$10,0)</f>
        <v/>
      </c>
      <c r="J113">
        <f>IF(B113="convert",$C$4,0)+IF(C113="convert",$C$5,0)+IF(D113="convert",$C$6,0)+IF(E113="convert",$C$7,0)+IF(F113="convert",$C$8,0)+IF(G113="convert",$C$9,0)+IF(H113="convert",$C$10,0)</f>
        <v/>
      </c>
      <c r="K113">
        <f>(Assumptions!$B$46+Assumptions!$B$47+Assumptions!$B$48)+Assumptions!$B$49+('Pro-Forma'!$M$21+'Pro-Forma'!$M$22)+J113</f>
        <v/>
      </c>
      <c r="L113">
        <f>(D12-I113+Assumptions!$B$31*Assumptions!$B$10)/(K113+Assumptions!$B$31)</f>
        <v/>
      </c>
      <c r="M113">
        <f>IF(L113&gt;Assumptions!$B$10,"yes","no")</f>
        <v/>
      </c>
      <c r="N113">
        <f>IF(M113="yes",L113,MAX(0,(D12-I113)/K113))</f>
        <v/>
      </c>
      <c r="O113">
        <f>IF(M113="yes",Assumptions!$B$31*(N113-Assumptions!$B$10),0)</f>
        <v/>
      </c>
    </row>
    <row r="114">
      <c r="A114" t="inlineStr">
        <is>
          <t>iter 26</t>
        </is>
      </c>
      <c r="B114">
        <f>IF($B$4&gt;$C$4*N113,"preference","convert")</f>
        <v/>
      </c>
      <c r="C114">
        <f>IF($B$5&gt;$C$5*N113,"preference","convert")</f>
        <v/>
      </c>
      <c r="D114">
        <f>IF($B$6&gt;$C$6*N113,"preference","convert")</f>
        <v/>
      </c>
      <c r="E114">
        <f>IF($B$7&gt;$C$7*N113,"preference","convert")</f>
        <v/>
      </c>
      <c r="F114">
        <f>IF($B$8&gt;$C$8*N113,"preference","convert")</f>
        <v/>
      </c>
      <c r="G114">
        <f>IF($B$9&gt;$C$9*N113,"preference","convert")</f>
        <v/>
      </c>
      <c r="H114">
        <f>IF($B$10&gt;$C$10*N113,"preference","convert")</f>
        <v/>
      </c>
      <c r="I114">
        <f>IF(B114="preference",$B$4,0)+IF(C114="preference",$B$5,0)+IF(D114="preference",$B$6,0)+IF(E114="preference",$B$7,0)+IF(F114="preference",$B$8,0)+IF(G114="preference",$B$9,0)+IF(H114="preference",$B$10,0)</f>
        <v/>
      </c>
      <c r="J114">
        <f>IF(B114="convert",$C$4,0)+IF(C114="convert",$C$5,0)+IF(D114="convert",$C$6,0)+IF(E114="convert",$C$7,0)+IF(F114="convert",$C$8,0)+IF(G114="convert",$C$9,0)+IF(H114="convert",$C$10,0)</f>
        <v/>
      </c>
      <c r="K114">
        <f>(Assumptions!$B$46+Assumptions!$B$47+Assumptions!$B$48)+Assumptions!$B$49+('Pro-Forma'!$M$21+'Pro-Forma'!$M$22)+J114</f>
        <v/>
      </c>
      <c r="L114">
        <f>(D12-I114+Assumptions!$B$31*Assumptions!$B$10)/(K114+Assumptions!$B$31)</f>
        <v/>
      </c>
      <c r="M114">
        <f>IF(L114&gt;Assumptions!$B$10,"yes","no")</f>
        <v/>
      </c>
      <c r="N114">
        <f>IF(M114="yes",L114,MAX(0,(D12-I114)/K114))</f>
        <v/>
      </c>
      <c r="O114">
        <f>IF(M114="yes",Assumptions!$B$31*(N114-Assumptions!$B$10),0)</f>
        <v/>
      </c>
    </row>
    <row r="115">
      <c r="A115" t="inlineStr">
        <is>
          <t>iter 27</t>
        </is>
      </c>
      <c r="B115">
        <f>IF($B$4&gt;$C$4*N114,"preference","convert")</f>
        <v/>
      </c>
      <c r="C115">
        <f>IF($B$5&gt;$C$5*N114,"preference","convert")</f>
        <v/>
      </c>
      <c r="D115">
        <f>IF($B$6&gt;$C$6*N114,"preference","convert")</f>
        <v/>
      </c>
      <c r="E115">
        <f>IF($B$7&gt;$C$7*N114,"preference","convert")</f>
        <v/>
      </c>
      <c r="F115">
        <f>IF($B$8&gt;$C$8*N114,"preference","convert")</f>
        <v/>
      </c>
      <c r="G115">
        <f>IF($B$9&gt;$C$9*N114,"preference","convert")</f>
        <v/>
      </c>
      <c r="H115">
        <f>IF($B$10&gt;$C$10*N114,"preference","convert")</f>
        <v/>
      </c>
      <c r="I115">
        <f>IF(B115="preference",$B$4,0)+IF(C115="preference",$B$5,0)+IF(D115="preference",$B$6,0)+IF(E115="preference",$B$7,0)+IF(F115="preference",$B$8,0)+IF(G115="preference",$B$9,0)+IF(H115="preference",$B$10,0)</f>
        <v/>
      </c>
      <c r="J115">
        <f>IF(B115="convert",$C$4,0)+IF(C115="convert",$C$5,0)+IF(D115="convert",$C$6,0)+IF(E115="convert",$C$7,0)+IF(F115="convert",$C$8,0)+IF(G115="convert",$C$9,0)+IF(H115="convert",$C$10,0)</f>
        <v/>
      </c>
      <c r="K115">
        <f>(Assumptions!$B$46+Assumptions!$B$47+Assumptions!$B$48)+Assumptions!$B$49+('Pro-Forma'!$M$21+'Pro-Forma'!$M$22)+J115</f>
        <v/>
      </c>
      <c r="L115">
        <f>(D12-I115+Assumptions!$B$31*Assumptions!$B$10)/(K115+Assumptions!$B$31)</f>
        <v/>
      </c>
      <c r="M115">
        <f>IF(L115&gt;Assumptions!$B$10,"yes","no")</f>
        <v/>
      </c>
      <c r="N115">
        <f>IF(M115="yes",L115,MAX(0,(D12-I115)/K115))</f>
        <v/>
      </c>
      <c r="O115">
        <f>IF(M115="yes",Assumptions!$B$31*(N115-Assumptions!$B$10),0)</f>
        <v/>
      </c>
    </row>
    <row r="116">
      <c r="A116" t="inlineStr">
        <is>
          <t>iter 28</t>
        </is>
      </c>
      <c r="B116">
        <f>IF($B$4&gt;$C$4*N115,"preference","convert")</f>
        <v/>
      </c>
      <c r="C116">
        <f>IF($B$5&gt;$C$5*N115,"preference","convert")</f>
        <v/>
      </c>
      <c r="D116">
        <f>IF($B$6&gt;$C$6*N115,"preference","convert")</f>
        <v/>
      </c>
      <c r="E116">
        <f>IF($B$7&gt;$C$7*N115,"preference","convert")</f>
        <v/>
      </c>
      <c r="F116">
        <f>IF($B$8&gt;$C$8*N115,"preference","convert")</f>
        <v/>
      </c>
      <c r="G116">
        <f>IF($B$9&gt;$C$9*N115,"preference","convert")</f>
        <v/>
      </c>
      <c r="H116">
        <f>IF($B$10&gt;$C$10*N115,"preference","convert")</f>
        <v/>
      </c>
      <c r="I116">
        <f>IF(B116="preference",$B$4,0)+IF(C116="preference",$B$5,0)+IF(D116="preference",$B$6,0)+IF(E116="preference",$B$7,0)+IF(F116="preference",$B$8,0)+IF(G116="preference",$B$9,0)+IF(H116="preference",$B$10,0)</f>
        <v/>
      </c>
      <c r="J116">
        <f>IF(B116="convert",$C$4,0)+IF(C116="convert",$C$5,0)+IF(D116="convert",$C$6,0)+IF(E116="convert",$C$7,0)+IF(F116="convert",$C$8,0)+IF(G116="convert",$C$9,0)+IF(H116="convert",$C$10,0)</f>
        <v/>
      </c>
      <c r="K116">
        <f>(Assumptions!$B$46+Assumptions!$B$47+Assumptions!$B$48)+Assumptions!$B$49+('Pro-Forma'!$M$21+'Pro-Forma'!$M$22)+J116</f>
        <v/>
      </c>
      <c r="L116">
        <f>(D12-I116+Assumptions!$B$31*Assumptions!$B$10)/(K116+Assumptions!$B$31)</f>
        <v/>
      </c>
      <c r="M116">
        <f>IF(L116&gt;Assumptions!$B$10,"yes","no")</f>
        <v/>
      </c>
      <c r="N116">
        <f>IF(M116="yes",L116,MAX(0,(D12-I116)/K116))</f>
        <v/>
      </c>
      <c r="O116">
        <f>IF(M116="yes",Assumptions!$B$31*(N116-Assumptions!$B$10),0)</f>
        <v/>
      </c>
    </row>
    <row r="117">
      <c r="A117" t="inlineStr">
        <is>
          <t>iter 29</t>
        </is>
      </c>
      <c r="B117">
        <f>IF($B$4&gt;$C$4*N116,"preference","convert")</f>
        <v/>
      </c>
      <c r="C117">
        <f>IF($B$5&gt;$C$5*N116,"preference","convert")</f>
        <v/>
      </c>
      <c r="D117">
        <f>IF($B$6&gt;$C$6*N116,"preference","convert")</f>
        <v/>
      </c>
      <c r="E117">
        <f>IF($B$7&gt;$C$7*N116,"preference","convert")</f>
        <v/>
      </c>
      <c r="F117">
        <f>IF($B$8&gt;$C$8*N116,"preference","convert")</f>
        <v/>
      </c>
      <c r="G117">
        <f>IF($B$9&gt;$C$9*N116,"preference","convert")</f>
        <v/>
      </c>
      <c r="H117">
        <f>IF($B$10&gt;$C$10*N116,"preference","convert")</f>
        <v/>
      </c>
      <c r="I117">
        <f>IF(B117="preference",$B$4,0)+IF(C117="preference",$B$5,0)+IF(D117="preference",$B$6,0)+IF(E117="preference",$B$7,0)+IF(F117="preference",$B$8,0)+IF(G117="preference",$B$9,0)+IF(H117="preference",$B$10,0)</f>
        <v/>
      </c>
      <c r="J117">
        <f>IF(B117="convert",$C$4,0)+IF(C117="convert",$C$5,0)+IF(D117="convert",$C$6,0)+IF(E117="convert",$C$7,0)+IF(F117="convert",$C$8,0)+IF(G117="convert",$C$9,0)+IF(H117="convert",$C$10,0)</f>
        <v/>
      </c>
      <c r="K117">
        <f>(Assumptions!$B$46+Assumptions!$B$47+Assumptions!$B$48)+Assumptions!$B$49+('Pro-Forma'!$M$21+'Pro-Forma'!$M$22)+J117</f>
        <v/>
      </c>
      <c r="L117">
        <f>(D12-I117+Assumptions!$B$31*Assumptions!$B$10)/(K117+Assumptions!$B$31)</f>
        <v/>
      </c>
      <c r="M117">
        <f>IF(L117&gt;Assumptions!$B$10,"yes","no")</f>
        <v/>
      </c>
      <c r="N117">
        <f>IF(M117="yes",L117,MAX(0,(D12-I117)/K117))</f>
        <v/>
      </c>
      <c r="O117">
        <f>IF(M117="yes",Assumptions!$B$31*(N117-Assumptions!$B$10),0)</f>
        <v/>
      </c>
    </row>
    <row r="118">
      <c r="A118" t="inlineStr">
        <is>
          <t>iter 30</t>
        </is>
      </c>
      <c r="B118">
        <f>IF($B$4&gt;$C$4*N117,"preference","convert")</f>
        <v/>
      </c>
      <c r="C118">
        <f>IF($B$5&gt;$C$5*N117,"preference","convert")</f>
        <v/>
      </c>
      <c r="D118">
        <f>IF($B$6&gt;$C$6*N117,"preference","convert")</f>
        <v/>
      </c>
      <c r="E118">
        <f>IF($B$7&gt;$C$7*N117,"preference","convert")</f>
        <v/>
      </c>
      <c r="F118">
        <f>IF($B$8&gt;$C$8*N117,"preference","convert")</f>
        <v/>
      </c>
      <c r="G118">
        <f>IF($B$9&gt;$C$9*N117,"preference","convert")</f>
        <v/>
      </c>
      <c r="H118">
        <f>IF($B$10&gt;$C$10*N117,"preference","convert")</f>
        <v/>
      </c>
      <c r="I118">
        <f>IF(B118="preference",$B$4,0)+IF(C118="preference",$B$5,0)+IF(D118="preference",$B$6,0)+IF(E118="preference",$B$7,0)+IF(F118="preference",$B$8,0)+IF(G118="preference",$B$9,0)+IF(H118="preference",$B$10,0)</f>
        <v/>
      </c>
      <c r="J118">
        <f>IF(B118="convert",$C$4,0)+IF(C118="convert",$C$5,0)+IF(D118="convert",$C$6,0)+IF(E118="convert",$C$7,0)+IF(F118="convert",$C$8,0)+IF(G118="convert",$C$9,0)+IF(H118="convert",$C$10,0)</f>
        <v/>
      </c>
      <c r="K118">
        <f>(Assumptions!$B$46+Assumptions!$B$47+Assumptions!$B$48)+Assumptions!$B$49+('Pro-Forma'!$M$21+'Pro-Forma'!$M$22)+J118</f>
        <v/>
      </c>
      <c r="L118">
        <f>(D12-I118+Assumptions!$B$31*Assumptions!$B$10)/(K118+Assumptions!$B$31)</f>
        <v/>
      </c>
      <c r="M118">
        <f>IF(L118&gt;Assumptions!$B$10,"yes","no")</f>
        <v/>
      </c>
      <c r="N118">
        <f>IF(M118="yes",L118,MAX(0,(D12-I118)/K118))</f>
        <v/>
      </c>
      <c r="O118">
        <f>IF(M118="yes",Assumptions!$B$31*(N118-Assumptions!$B$10),0)</f>
        <v/>
      </c>
    </row>
    <row r="121">
      <c r="A121" s="1" t="inlineStr">
        <is>
          <t>Exit 4 iteration ladder</t>
        </is>
      </c>
    </row>
    <row r="122">
      <c r="A122" s="2" t="inlineStr">
        <is>
          <t>Step</t>
        </is>
      </c>
      <c r="B122" s="2" t="inlineStr">
        <is>
          <t>F_el</t>
        </is>
      </c>
      <c r="C122" s="2" t="inlineStr">
        <is>
          <t>E_el</t>
        </is>
      </c>
      <c r="D122" s="2" t="inlineStr">
        <is>
          <t>D_el</t>
        </is>
      </c>
      <c r="E122" s="2" t="inlineStr">
        <is>
          <t>C_el</t>
        </is>
      </c>
      <c r="F122" s="2" t="inlineStr">
        <is>
          <t>B_el</t>
        </is>
      </c>
      <c r="G122" s="2" t="inlineStr">
        <is>
          <t>A_el</t>
        </is>
      </c>
      <c r="H122" s="2" t="inlineStr">
        <is>
          <t>Seed_el</t>
        </is>
      </c>
      <c r="I122" s="2" t="inlineStr">
        <is>
          <t>prefs</t>
        </is>
      </c>
      <c r="J122" s="2" t="inlineStr">
        <is>
          <t>conv_sh</t>
        </is>
      </c>
      <c r="K122" s="2" t="inlineStr">
        <is>
          <t>cpool</t>
        </is>
      </c>
      <c r="L122" s="2" t="inlineStr">
        <is>
          <t>ITM_PPS</t>
        </is>
      </c>
      <c r="M122" s="2" t="inlineStr">
        <is>
          <t>ITM?</t>
        </is>
      </c>
      <c r="N122" s="2" t="inlineStr">
        <is>
          <t>common_PPS</t>
        </is>
      </c>
      <c r="O122" s="2" t="inlineStr">
        <is>
          <t>opt_proc</t>
        </is>
      </c>
    </row>
    <row r="123">
      <c r="A123" t="inlineStr">
        <is>
          <t>seed (all convert)</t>
        </is>
      </c>
      <c r="B123">
        <f>"convert"</f>
        <v/>
      </c>
      <c r="C123">
        <f>"convert"</f>
        <v/>
      </c>
      <c r="D123">
        <f>"convert"</f>
        <v/>
      </c>
      <c r="E123">
        <f>"convert"</f>
        <v/>
      </c>
      <c r="F123">
        <f>"convert"</f>
        <v/>
      </c>
      <c r="G123">
        <f>"convert"</f>
        <v/>
      </c>
      <c r="H123">
        <f>"convert"</f>
        <v/>
      </c>
      <c r="I123">
        <f>IF(B123="preference",$B$4,0)+IF(C123="preference",$B$5,0)+IF(D123="preference",$B$6,0)+IF(E123="preference",$B$7,0)+IF(F123="preference",$B$8,0)+IF(G123="preference",$B$9,0)+IF(H123="preference",$B$10,0)</f>
        <v/>
      </c>
      <c r="J123">
        <f>IF(B123="convert",$C$4,0)+IF(C123="convert",$C$5,0)+IF(D123="convert",$C$6,0)+IF(E123="convert",$C$7,0)+IF(F123="convert",$C$8,0)+IF(G123="convert",$C$9,0)+IF(H123="convert",$C$10,0)</f>
        <v/>
      </c>
      <c r="K123">
        <f>(Assumptions!$B$46+Assumptions!$B$47+Assumptions!$B$48)+Assumptions!$B$49+('Pro-Forma'!$M$21+'Pro-Forma'!$M$22)+J123</f>
        <v/>
      </c>
      <c r="L123">
        <f>(E12-I123+Assumptions!$B$31*Assumptions!$B$10)/(K123+Assumptions!$B$31)</f>
        <v/>
      </c>
      <c r="M123">
        <f>IF(L123&gt;Assumptions!$B$10,"yes","no")</f>
        <v/>
      </c>
      <c r="N123">
        <f>IF(M123="yes",L123,MAX(0,(E12-I123)/K123))</f>
        <v/>
      </c>
      <c r="O123">
        <f>IF(M123="yes",Assumptions!$B$31*(N123-Assumptions!$B$10),0)</f>
        <v/>
      </c>
    </row>
    <row r="124">
      <c r="A124" t="inlineStr">
        <is>
          <t>iter 1</t>
        </is>
      </c>
      <c r="B124">
        <f>IF($B$4&gt;$C$4*N123,"preference","convert")</f>
        <v/>
      </c>
      <c r="C124">
        <f>IF($B$5&gt;$C$5*N123,"preference","convert")</f>
        <v/>
      </c>
      <c r="D124">
        <f>IF($B$6&gt;$C$6*N123,"preference","convert")</f>
        <v/>
      </c>
      <c r="E124">
        <f>IF($B$7&gt;$C$7*N123,"preference","convert")</f>
        <v/>
      </c>
      <c r="F124">
        <f>IF($B$8&gt;$C$8*N123,"preference","convert")</f>
        <v/>
      </c>
      <c r="G124">
        <f>IF($B$9&gt;$C$9*N123,"preference","convert")</f>
        <v/>
      </c>
      <c r="H124">
        <f>IF($B$10&gt;$C$10*N123,"preference","convert")</f>
        <v/>
      </c>
      <c r="I124">
        <f>IF(B124="preference",$B$4,0)+IF(C124="preference",$B$5,0)+IF(D124="preference",$B$6,0)+IF(E124="preference",$B$7,0)+IF(F124="preference",$B$8,0)+IF(G124="preference",$B$9,0)+IF(H124="preference",$B$10,0)</f>
        <v/>
      </c>
      <c r="J124">
        <f>IF(B124="convert",$C$4,0)+IF(C124="convert",$C$5,0)+IF(D124="convert",$C$6,0)+IF(E124="convert",$C$7,0)+IF(F124="convert",$C$8,0)+IF(G124="convert",$C$9,0)+IF(H124="convert",$C$10,0)</f>
        <v/>
      </c>
      <c r="K124">
        <f>(Assumptions!$B$46+Assumptions!$B$47+Assumptions!$B$48)+Assumptions!$B$49+('Pro-Forma'!$M$21+'Pro-Forma'!$M$22)+J124</f>
        <v/>
      </c>
      <c r="L124">
        <f>(E12-I124+Assumptions!$B$31*Assumptions!$B$10)/(K124+Assumptions!$B$31)</f>
        <v/>
      </c>
      <c r="M124">
        <f>IF(L124&gt;Assumptions!$B$10,"yes","no")</f>
        <v/>
      </c>
      <c r="N124">
        <f>IF(M124="yes",L124,MAX(0,(E12-I124)/K124))</f>
        <v/>
      </c>
      <c r="O124">
        <f>IF(M124="yes",Assumptions!$B$31*(N124-Assumptions!$B$10),0)</f>
        <v/>
      </c>
    </row>
    <row r="125">
      <c r="A125" t="inlineStr">
        <is>
          <t>iter 2</t>
        </is>
      </c>
      <c r="B125">
        <f>IF($B$4&gt;$C$4*N124,"preference","convert")</f>
        <v/>
      </c>
      <c r="C125">
        <f>IF($B$5&gt;$C$5*N124,"preference","convert")</f>
        <v/>
      </c>
      <c r="D125">
        <f>IF($B$6&gt;$C$6*N124,"preference","convert")</f>
        <v/>
      </c>
      <c r="E125">
        <f>IF($B$7&gt;$C$7*N124,"preference","convert")</f>
        <v/>
      </c>
      <c r="F125">
        <f>IF($B$8&gt;$C$8*N124,"preference","convert")</f>
        <v/>
      </c>
      <c r="G125">
        <f>IF($B$9&gt;$C$9*N124,"preference","convert")</f>
        <v/>
      </c>
      <c r="H125">
        <f>IF($B$10&gt;$C$10*N124,"preference","convert")</f>
        <v/>
      </c>
      <c r="I125">
        <f>IF(B125="preference",$B$4,0)+IF(C125="preference",$B$5,0)+IF(D125="preference",$B$6,0)+IF(E125="preference",$B$7,0)+IF(F125="preference",$B$8,0)+IF(G125="preference",$B$9,0)+IF(H125="preference",$B$10,0)</f>
        <v/>
      </c>
      <c r="J125">
        <f>IF(B125="convert",$C$4,0)+IF(C125="convert",$C$5,0)+IF(D125="convert",$C$6,0)+IF(E125="convert",$C$7,0)+IF(F125="convert",$C$8,0)+IF(G125="convert",$C$9,0)+IF(H125="convert",$C$10,0)</f>
        <v/>
      </c>
      <c r="K125">
        <f>(Assumptions!$B$46+Assumptions!$B$47+Assumptions!$B$48)+Assumptions!$B$49+('Pro-Forma'!$M$21+'Pro-Forma'!$M$22)+J125</f>
        <v/>
      </c>
      <c r="L125">
        <f>(E12-I125+Assumptions!$B$31*Assumptions!$B$10)/(K125+Assumptions!$B$31)</f>
        <v/>
      </c>
      <c r="M125">
        <f>IF(L125&gt;Assumptions!$B$10,"yes","no")</f>
        <v/>
      </c>
      <c r="N125">
        <f>IF(M125="yes",L125,MAX(0,(E12-I125)/K125))</f>
        <v/>
      </c>
      <c r="O125">
        <f>IF(M125="yes",Assumptions!$B$31*(N125-Assumptions!$B$10),0)</f>
        <v/>
      </c>
    </row>
    <row r="126">
      <c r="A126" t="inlineStr">
        <is>
          <t>iter 3</t>
        </is>
      </c>
      <c r="B126">
        <f>IF($B$4&gt;$C$4*N125,"preference","convert")</f>
        <v/>
      </c>
      <c r="C126">
        <f>IF($B$5&gt;$C$5*N125,"preference","convert")</f>
        <v/>
      </c>
      <c r="D126">
        <f>IF($B$6&gt;$C$6*N125,"preference","convert")</f>
        <v/>
      </c>
      <c r="E126">
        <f>IF($B$7&gt;$C$7*N125,"preference","convert")</f>
        <v/>
      </c>
      <c r="F126">
        <f>IF($B$8&gt;$C$8*N125,"preference","convert")</f>
        <v/>
      </c>
      <c r="G126">
        <f>IF($B$9&gt;$C$9*N125,"preference","convert")</f>
        <v/>
      </c>
      <c r="H126">
        <f>IF($B$10&gt;$C$10*N125,"preference","convert")</f>
        <v/>
      </c>
      <c r="I126">
        <f>IF(B126="preference",$B$4,0)+IF(C126="preference",$B$5,0)+IF(D126="preference",$B$6,0)+IF(E126="preference",$B$7,0)+IF(F126="preference",$B$8,0)+IF(G126="preference",$B$9,0)+IF(H126="preference",$B$10,0)</f>
        <v/>
      </c>
      <c r="J126">
        <f>IF(B126="convert",$C$4,0)+IF(C126="convert",$C$5,0)+IF(D126="convert",$C$6,0)+IF(E126="convert",$C$7,0)+IF(F126="convert",$C$8,0)+IF(G126="convert",$C$9,0)+IF(H126="convert",$C$10,0)</f>
        <v/>
      </c>
      <c r="K126">
        <f>(Assumptions!$B$46+Assumptions!$B$47+Assumptions!$B$48)+Assumptions!$B$49+('Pro-Forma'!$M$21+'Pro-Forma'!$M$22)+J126</f>
        <v/>
      </c>
      <c r="L126">
        <f>(E12-I126+Assumptions!$B$31*Assumptions!$B$10)/(K126+Assumptions!$B$31)</f>
        <v/>
      </c>
      <c r="M126">
        <f>IF(L126&gt;Assumptions!$B$10,"yes","no")</f>
        <v/>
      </c>
      <c r="N126">
        <f>IF(M126="yes",L126,MAX(0,(E12-I126)/K126))</f>
        <v/>
      </c>
      <c r="O126">
        <f>IF(M126="yes",Assumptions!$B$31*(N126-Assumptions!$B$10),0)</f>
        <v/>
      </c>
    </row>
    <row r="127">
      <c r="A127" t="inlineStr">
        <is>
          <t>iter 4</t>
        </is>
      </c>
      <c r="B127">
        <f>IF($B$4&gt;$C$4*N126,"preference","convert")</f>
        <v/>
      </c>
      <c r="C127">
        <f>IF($B$5&gt;$C$5*N126,"preference","convert")</f>
        <v/>
      </c>
      <c r="D127">
        <f>IF($B$6&gt;$C$6*N126,"preference","convert")</f>
        <v/>
      </c>
      <c r="E127">
        <f>IF($B$7&gt;$C$7*N126,"preference","convert")</f>
        <v/>
      </c>
      <c r="F127">
        <f>IF($B$8&gt;$C$8*N126,"preference","convert")</f>
        <v/>
      </c>
      <c r="G127">
        <f>IF($B$9&gt;$C$9*N126,"preference","convert")</f>
        <v/>
      </c>
      <c r="H127">
        <f>IF($B$10&gt;$C$10*N126,"preference","convert")</f>
        <v/>
      </c>
      <c r="I127">
        <f>IF(B127="preference",$B$4,0)+IF(C127="preference",$B$5,0)+IF(D127="preference",$B$6,0)+IF(E127="preference",$B$7,0)+IF(F127="preference",$B$8,0)+IF(G127="preference",$B$9,0)+IF(H127="preference",$B$10,0)</f>
        <v/>
      </c>
      <c r="J127">
        <f>IF(B127="convert",$C$4,0)+IF(C127="convert",$C$5,0)+IF(D127="convert",$C$6,0)+IF(E127="convert",$C$7,0)+IF(F127="convert",$C$8,0)+IF(G127="convert",$C$9,0)+IF(H127="convert",$C$10,0)</f>
        <v/>
      </c>
      <c r="K127">
        <f>(Assumptions!$B$46+Assumptions!$B$47+Assumptions!$B$48)+Assumptions!$B$49+('Pro-Forma'!$M$21+'Pro-Forma'!$M$22)+J127</f>
        <v/>
      </c>
      <c r="L127">
        <f>(E12-I127+Assumptions!$B$31*Assumptions!$B$10)/(K127+Assumptions!$B$31)</f>
        <v/>
      </c>
      <c r="M127">
        <f>IF(L127&gt;Assumptions!$B$10,"yes","no")</f>
        <v/>
      </c>
      <c r="N127">
        <f>IF(M127="yes",L127,MAX(0,(E12-I127)/K127))</f>
        <v/>
      </c>
      <c r="O127">
        <f>IF(M127="yes",Assumptions!$B$31*(N127-Assumptions!$B$10),0)</f>
        <v/>
      </c>
    </row>
    <row r="128">
      <c r="A128" t="inlineStr">
        <is>
          <t>iter 5</t>
        </is>
      </c>
      <c r="B128">
        <f>IF($B$4&gt;$C$4*N127,"preference","convert")</f>
        <v/>
      </c>
      <c r="C128">
        <f>IF($B$5&gt;$C$5*N127,"preference","convert")</f>
        <v/>
      </c>
      <c r="D128">
        <f>IF($B$6&gt;$C$6*N127,"preference","convert")</f>
        <v/>
      </c>
      <c r="E128">
        <f>IF($B$7&gt;$C$7*N127,"preference","convert")</f>
        <v/>
      </c>
      <c r="F128">
        <f>IF($B$8&gt;$C$8*N127,"preference","convert")</f>
        <v/>
      </c>
      <c r="G128">
        <f>IF($B$9&gt;$C$9*N127,"preference","convert")</f>
        <v/>
      </c>
      <c r="H128">
        <f>IF($B$10&gt;$C$10*N127,"preference","convert")</f>
        <v/>
      </c>
      <c r="I128">
        <f>IF(B128="preference",$B$4,0)+IF(C128="preference",$B$5,0)+IF(D128="preference",$B$6,0)+IF(E128="preference",$B$7,0)+IF(F128="preference",$B$8,0)+IF(G128="preference",$B$9,0)+IF(H128="preference",$B$10,0)</f>
        <v/>
      </c>
      <c r="J128">
        <f>IF(B128="convert",$C$4,0)+IF(C128="convert",$C$5,0)+IF(D128="convert",$C$6,0)+IF(E128="convert",$C$7,0)+IF(F128="convert",$C$8,0)+IF(G128="convert",$C$9,0)+IF(H128="convert",$C$10,0)</f>
        <v/>
      </c>
      <c r="K128">
        <f>(Assumptions!$B$46+Assumptions!$B$47+Assumptions!$B$48)+Assumptions!$B$49+('Pro-Forma'!$M$21+'Pro-Forma'!$M$22)+J128</f>
        <v/>
      </c>
      <c r="L128">
        <f>(E12-I128+Assumptions!$B$31*Assumptions!$B$10)/(K128+Assumptions!$B$31)</f>
        <v/>
      </c>
      <c r="M128">
        <f>IF(L128&gt;Assumptions!$B$10,"yes","no")</f>
        <v/>
      </c>
      <c r="N128">
        <f>IF(M128="yes",L128,MAX(0,(E12-I128)/K128))</f>
        <v/>
      </c>
      <c r="O128">
        <f>IF(M128="yes",Assumptions!$B$31*(N128-Assumptions!$B$10),0)</f>
        <v/>
      </c>
    </row>
    <row r="129">
      <c r="A129" t="inlineStr">
        <is>
          <t>iter 6</t>
        </is>
      </c>
      <c r="B129">
        <f>IF($B$4&gt;$C$4*N128,"preference","convert")</f>
        <v/>
      </c>
      <c r="C129">
        <f>IF($B$5&gt;$C$5*N128,"preference","convert")</f>
        <v/>
      </c>
      <c r="D129">
        <f>IF($B$6&gt;$C$6*N128,"preference","convert")</f>
        <v/>
      </c>
      <c r="E129">
        <f>IF($B$7&gt;$C$7*N128,"preference","convert")</f>
        <v/>
      </c>
      <c r="F129">
        <f>IF($B$8&gt;$C$8*N128,"preference","convert")</f>
        <v/>
      </c>
      <c r="G129">
        <f>IF($B$9&gt;$C$9*N128,"preference","convert")</f>
        <v/>
      </c>
      <c r="H129">
        <f>IF($B$10&gt;$C$10*N128,"preference","convert")</f>
        <v/>
      </c>
      <c r="I129">
        <f>IF(B129="preference",$B$4,0)+IF(C129="preference",$B$5,0)+IF(D129="preference",$B$6,0)+IF(E129="preference",$B$7,0)+IF(F129="preference",$B$8,0)+IF(G129="preference",$B$9,0)+IF(H129="preference",$B$10,0)</f>
        <v/>
      </c>
      <c r="J129">
        <f>IF(B129="convert",$C$4,0)+IF(C129="convert",$C$5,0)+IF(D129="convert",$C$6,0)+IF(E129="convert",$C$7,0)+IF(F129="convert",$C$8,0)+IF(G129="convert",$C$9,0)+IF(H129="convert",$C$10,0)</f>
        <v/>
      </c>
      <c r="K129">
        <f>(Assumptions!$B$46+Assumptions!$B$47+Assumptions!$B$48)+Assumptions!$B$49+('Pro-Forma'!$M$21+'Pro-Forma'!$M$22)+J129</f>
        <v/>
      </c>
      <c r="L129">
        <f>(E12-I129+Assumptions!$B$31*Assumptions!$B$10)/(K129+Assumptions!$B$31)</f>
        <v/>
      </c>
      <c r="M129">
        <f>IF(L129&gt;Assumptions!$B$10,"yes","no")</f>
        <v/>
      </c>
      <c r="N129">
        <f>IF(M129="yes",L129,MAX(0,(E12-I129)/K129))</f>
        <v/>
      </c>
      <c r="O129">
        <f>IF(M129="yes",Assumptions!$B$31*(N129-Assumptions!$B$10),0)</f>
        <v/>
      </c>
    </row>
    <row r="130">
      <c r="A130" t="inlineStr">
        <is>
          <t>iter 7</t>
        </is>
      </c>
      <c r="B130">
        <f>IF($B$4&gt;$C$4*N129,"preference","convert")</f>
        <v/>
      </c>
      <c r="C130">
        <f>IF($B$5&gt;$C$5*N129,"preference","convert")</f>
        <v/>
      </c>
      <c r="D130">
        <f>IF($B$6&gt;$C$6*N129,"preference","convert")</f>
        <v/>
      </c>
      <c r="E130">
        <f>IF($B$7&gt;$C$7*N129,"preference","convert")</f>
        <v/>
      </c>
      <c r="F130">
        <f>IF($B$8&gt;$C$8*N129,"preference","convert")</f>
        <v/>
      </c>
      <c r="G130">
        <f>IF($B$9&gt;$C$9*N129,"preference","convert")</f>
        <v/>
      </c>
      <c r="H130">
        <f>IF($B$10&gt;$C$10*N129,"preference","convert")</f>
        <v/>
      </c>
      <c r="I130">
        <f>IF(B130="preference",$B$4,0)+IF(C130="preference",$B$5,0)+IF(D130="preference",$B$6,0)+IF(E130="preference",$B$7,0)+IF(F130="preference",$B$8,0)+IF(G130="preference",$B$9,0)+IF(H130="preference",$B$10,0)</f>
        <v/>
      </c>
      <c r="J130">
        <f>IF(B130="convert",$C$4,0)+IF(C130="convert",$C$5,0)+IF(D130="convert",$C$6,0)+IF(E130="convert",$C$7,0)+IF(F130="convert",$C$8,0)+IF(G130="convert",$C$9,0)+IF(H130="convert",$C$10,0)</f>
        <v/>
      </c>
      <c r="K130">
        <f>(Assumptions!$B$46+Assumptions!$B$47+Assumptions!$B$48)+Assumptions!$B$49+('Pro-Forma'!$M$21+'Pro-Forma'!$M$22)+J130</f>
        <v/>
      </c>
      <c r="L130">
        <f>(E12-I130+Assumptions!$B$31*Assumptions!$B$10)/(K130+Assumptions!$B$31)</f>
        <v/>
      </c>
      <c r="M130">
        <f>IF(L130&gt;Assumptions!$B$10,"yes","no")</f>
        <v/>
      </c>
      <c r="N130">
        <f>IF(M130="yes",L130,MAX(0,(E12-I130)/K130))</f>
        <v/>
      </c>
      <c r="O130">
        <f>IF(M130="yes",Assumptions!$B$31*(N130-Assumptions!$B$10),0)</f>
        <v/>
      </c>
    </row>
    <row r="131">
      <c r="A131" t="inlineStr">
        <is>
          <t>iter 8</t>
        </is>
      </c>
      <c r="B131">
        <f>IF($B$4&gt;$C$4*N130,"preference","convert")</f>
        <v/>
      </c>
      <c r="C131">
        <f>IF($B$5&gt;$C$5*N130,"preference","convert")</f>
        <v/>
      </c>
      <c r="D131">
        <f>IF($B$6&gt;$C$6*N130,"preference","convert")</f>
        <v/>
      </c>
      <c r="E131">
        <f>IF($B$7&gt;$C$7*N130,"preference","convert")</f>
        <v/>
      </c>
      <c r="F131">
        <f>IF($B$8&gt;$C$8*N130,"preference","convert")</f>
        <v/>
      </c>
      <c r="G131">
        <f>IF($B$9&gt;$C$9*N130,"preference","convert")</f>
        <v/>
      </c>
      <c r="H131">
        <f>IF($B$10&gt;$C$10*N130,"preference","convert")</f>
        <v/>
      </c>
      <c r="I131">
        <f>IF(B131="preference",$B$4,0)+IF(C131="preference",$B$5,0)+IF(D131="preference",$B$6,0)+IF(E131="preference",$B$7,0)+IF(F131="preference",$B$8,0)+IF(G131="preference",$B$9,0)+IF(H131="preference",$B$10,0)</f>
        <v/>
      </c>
      <c r="J131">
        <f>IF(B131="convert",$C$4,0)+IF(C131="convert",$C$5,0)+IF(D131="convert",$C$6,0)+IF(E131="convert",$C$7,0)+IF(F131="convert",$C$8,0)+IF(G131="convert",$C$9,0)+IF(H131="convert",$C$10,0)</f>
        <v/>
      </c>
      <c r="K131">
        <f>(Assumptions!$B$46+Assumptions!$B$47+Assumptions!$B$48)+Assumptions!$B$49+('Pro-Forma'!$M$21+'Pro-Forma'!$M$22)+J131</f>
        <v/>
      </c>
      <c r="L131">
        <f>(E12-I131+Assumptions!$B$31*Assumptions!$B$10)/(K131+Assumptions!$B$31)</f>
        <v/>
      </c>
      <c r="M131">
        <f>IF(L131&gt;Assumptions!$B$10,"yes","no")</f>
        <v/>
      </c>
      <c r="N131">
        <f>IF(M131="yes",L131,MAX(0,(E12-I131)/K131))</f>
        <v/>
      </c>
      <c r="O131">
        <f>IF(M131="yes",Assumptions!$B$31*(N131-Assumptions!$B$10),0)</f>
        <v/>
      </c>
    </row>
    <row r="132">
      <c r="A132" t="inlineStr">
        <is>
          <t>iter 9</t>
        </is>
      </c>
      <c r="B132">
        <f>IF($B$4&gt;$C$4*N131,"preference","convert")</f>
        <v/>
      </c>
      <c r="C132">
        <f>IF($B$5&gt;$C$5*N131,"preference","convert")</f>
        <v/>
      </c>
      <c r="D132">
        <f>IF($B$6&gt;$C$6*N131,"preference","convert")</f>
        <v/>
      </c>
      <c r="E132">
        <f>IF($B$7&gt;$C$7*N131,"preference","convert")</f>
        <v/>
      </c>
      <c r="F132">
        <f>IF($B$8&gt;$C$8*N131,"preference","convert")</f>
        <v/>
      </c>
      <c r="G132">
        <f>IF($B$9&gt;$C$9*N131,"preference","convert")</f>
        <v/>
      </c>
      <c r="H132">
        <f>IF($B$10&gt;$C$10*N131,"preference","convert")</f>
        <v/>
      </c>
      <c r="I132">
        <f>IF(B132="preference",$B$4,0)+IF(C132="preference",$B$5,0)+IF(D132="preference",$B$6,0)+IF(E132="preference",$B$7,0)+IF(F132="preference",$B$8,0)+IF(G132="preference",$B$9,0)+IF(H132="preference",$B$10,0)</f>
        <v/>
      </c>
      <c r="J132">
        <f>IF(B132="convert",$C$4,0)+IF(C132="convert",$C$5,0)+IF(D132="convert",$C$6,0)+IF(E132="convert",$C$7,0)+IF(F132="convert",$C$8,0)+IF(G132="convert",$C$9,0)+IF(H132="convert",$C$10,0)</f>
        <v/>
      </c>
      <c r="K132">
        <f>(Assumptions!$B$46+Assumptions!$B$47+Assumptions!$B$48)+Assumptions!$B$49+('Pro-Forma'!$M$21+'Pro-Forma'!$M$22)+J132</f>
        <v/>
      </c>
      <c r="L132">
        <f>(E12-I132+Assumptions!$B$31*Assumptions!$B$10)/(K132+Assumptions!$B$31)</f>
        <v/>
      </c>
      <c r="M132">
        <f>IF(L132&gt;Assumptions!$B$10,"yes","no")</f>
        <v/>
      </c>
      <c r="N132">
        <f>IF(M132="yes",L132,MAX(0,(E12-I132)/K132))</f>
        <v/>
      </c>
      <c r="O132">
        <f>IF(M132="yes",Assumptions!$B$31*(N132-Assumptions!$B$10),0)</f>
        <v/>
      </c>
    </row>
    <row r="133">
      <c r="A133" t="inlineStr">
        <is>
          <t>iter 10</t>
        </is>
      </c>
      <c r="B133">
        <f>IF($B$4&gt;$C$4*N132,"preference","convert")</f>
        <v/>
      </c>
      <c r="C133">
        <f>IF($B$5&gt;$C$5*N132,"preference","convert")</f>
        <v/>
      </c>
      <c r="D133">
        <f>IF($B$6&gt;$C$6*N132,"preference","convert")</f>
        <v/>
      </c>
      <c r="E133">
        <f>IF($B$7&gt;$C$7*N132,"preference","convert")</f>
        <v/>
      </c>
      <c r="F133">
        <f>IF($B$8&gt;$C$8*N132,"preference","convert")</f>
        <v/>
      </c>
      <c r="G133">
        <f>IF($B$9&gt;$C$9*N132,"preference","convert")</f>
        <v/>
      </c>
      <c r="H133">
        <f>IF($B$10&gt;$C$10*N132,"preference","convert")</f>
        <v/>
      </c>
      <c r="I133">
        <f>IF(B133="preference",$B$4,0)+IF(C133="preference",$B$5,0)+IF(D133="preference",$B$6,0)+IF(E133="preference",$B$7,0)+IF(F133="preference",$B$8,0)+IF(G133="preference",$B$9,0)+IF(H133="preference",$B$10,0)</f>
        <v/>
      </c>
      <c r="J133">
        <f>IF(B133="convert",$C$4,0)+IF(C133="convert",$C$5,0)+IF(D133="convert",$C$6,0)+IF(E133="convert",$C$7,0)+IF(F133="convert",$C$8,0)+IF(G133="convert",$C$9,0)+IF(H133="convert",$C$10,0)</f>
        <v/>
      </c>
      <c r="K133">
        <f>(Assumptions!$B$46+Assumptions!$B$47+Assumptions!$B$48)+Assumptions!$B$49+('Pro-Forma'!$M$21+'Pro-Forma'!$M$22)+J133</f>
        <v/>
      </c>
      <c r="L133">
        <f>(E12-I133+Assumptions!$B$31*Assumptions!$B$10)/(K133+Assumptions!$B$31)</f>
        <v/>
      </c>
      <c r="M133">
        <f>IF(L133&gt;Assumptions!$B$10,"yes","no")</f>
        <v/>
      </c>
      <c r="N133">
        <f>IF(M133="yes",L133,MAX(0,(E12-I133)/K133))</f>
        <v/>
      </c>
      <c r="O133">
        <f>IF(M133="yes",Assumptions!$B$31*(N133-Assumptions!$B$10),0)</f>
        <v/>
      </c>
    </row>
    <row r="134">
      <c r="A134" t="inlineStr">
        <is>
          <t>iter 11</t>
        </is>
      </c>
      <c r="B134">
        <f>IF($B$4&gt;$C$4*N133,"preference","convert")</f>
        <v/>
      </c>
      <c r="C134">
        <f>IF($B$5&gt;$C$5*N133,"preference","convert")</f>
        <v/>
      </c>
      <c r="D134">
        <f>IF($B$6&gt;$C$6*N133,"preference","convert")</f>
        <v/>
      </c>
      <c r="E134">
        <f>IF($B$7&gt;$C$7*N133,"preference","convert")</f>
        <v/>
      </c>
      <c r="F134">
        <f>IF($B$8&gt;$C$8*N133,"preference","convert")</f>
        <v/>
      </c>
      <c r="G134">
        <f>IF($B$9&gt;$C$9*N133,"preference","convert")</f>
        <v/>
      </c>
      <c r="H134">
        <f>IF($B$10&gt;$C$10*N133,"preference","convert")</f>
        <v/>
      </c>
      <c r="I134">
        <f>IF(B134="preference",$B$4,0)+IF(C134="preference",$B$5,0)+IF(D134="preference",$B$6,0)+IF(E134="preference",$B$7,0)+IF(F134="preference",$B$8,0)+IF(G134="preference",$B$9,0)+IF(H134="preference",$B$10,0)</f>
        <v/>
      </c>
      <c r="J134">
        <f>IF(B134="convert",$C$4,0)+IF(C134="convert",$C$5,0)+IF(D134="convert",$C$6,0)+IF(E134="convert",$C$7,0)+IF(F134="convert",$C$8,0)+IF(G134="convert",$C$9,0)+IF(H134="convert",$C$10,0)</f>
        <v/>
      </c>
      <c r="K134">
        <f>(Assumptions!$B$46+Assumptions!$B$47+Assumptions!$B$48)+Assumptions!$B$49+('Pro-Forma'!$M$21+'Pro-Forma'!$M$22)+J134</f>
        <v/>
      </c>
      <c r="L134">
        <f>(E12-I134+Assumptions!$B$31*Assumptions!$B$10)/(K134+Assumptions!$B$31)</f>
        <v/>
      </c>
      <c r="M134">
        <f>IF(L134&gt;Assumptions!$B$10,"yes","no")</f>
        <v/>
      </c>
      <c r="N134">
        <f>IF(M134="yes",L134,MAX(0,(E12-I134)/K134))</f>
        <v/>
      </c>
      <c r="O134">
        <f>IF(M134="yes",Assumptions!$B$31*(N134-Assumptions!$B$10),0)</f>
        <v/>
      </c>
    </row>
    <row r="135">
      <c r="A135" t="inlineStr">
        <is>
          <t>iter 12</t>
        </is>
      </c>
      <c r="B135">
        <f>IF($B$4&gt;$C$4*N134,"preference","convert")</f>
        <v/>
      </c>
      <c r="C135">
        <f>IF($B$5&gt;$C$5*N134,"preference","convert")</f>
        <v/>
      </c>
      <c r="D135">
        <f>IF($B$6&gt;$C$6*N134,"preference","convert")</f>
        <v/>
      </c>
      <c r="E135">
        <f>IF($B$7&gt;$C$7*N134,"preference","convert")</f>
        <v/>
      </c>
      <c r="F135">
        <f>IF($B$8&gt;$C$8*N134,"preference","convert")</f>
        <v/>
      </c>
      <c r="G135">
        <f>IF($B$9&gt;$C$9*N134,"preference","convert")</f>
        <v/>
      </c>
      <c r="H135">
        <f>IF($B$10&gt;$C$10*N134,"preference","convert")</f>
        <v/>
      </c>
      <c r="I135">
        <f>IF(B135="preference",$B$4,0)+IF(C135="preference",$B$5,0)+IF(D135="preference",$B$6,0)+IF(E135="preference",$B$7,0)+IF(F135="preference",$B$8,0)+IF(G135="preference",$B$9,0)+IF(H135="preference",$B$10,0)</f>
        <v/>
      </c>
      <c r="J135">
        <f>IF(B135="convert",$C$4,0)+IF(C135="convert",$C$5,0)+IF(D135="convert",$C$6,0)+IF(E135="convert",$C$7,0)+IF(F135="convert",$C$8,0)+IF(G135="convert",$C$9,0)+IF(H135="convert",$C$10,0)</f>
        <v/>
      </c>
      <c r="K135">
        <f>(Assumptions!$B$46+Assumptions!$B$47+Assumptions!$B$48)+Assumptions!$B$49+('Pro-Forma'!$M$21+'Pro-Forma'!$M$22)+J135</f>
        <v/>
      </c>
      <c r="L135">
        <f>(E12-I135+Assumptions!$B$31*Assumptions!$B$10)/(K135+Assumptions!$B$31)</f>
        <v/>
      </c>
      <c r="M135">
        <f>IF(L135&gt;Assumptions!$B$10,"yes","no")</f>
        <v/>
      </c>
      <c r="N135">
        <f>IF(M135="yes",L135,MAX(0,(E12-I135)/K135))</f>
        <v/>
      </c>
      <c r="O135">
        <f>IF(M135="yes",Assumptions!$B$31*(N135-Assumptions!$B$10),0)</f>
        <v/>
      </c>
    </row>
    <row r="136">
      <c r="A136" t="inlineStr">
        <is>
          <t>iter 13</t>
        </is>
      </c>
      <c r="B136">
        <f>IF($B$4&gt;$C$4*N135,"preference","convert")</f>
        <v/>
      </c>
      <c r="C136">
        <f>IF($B$5&gt;$C$5*N135,"preference","convert")</f>
        <v/>
      </c>
      <c r="D136">
        <f>IF($B$6&gt;$C$6*N135,"preference","convert")</f>
        <v/>
      </c>
      <c r="E136">
        <f>IF($B$7&gt;$C$7*N135,"preference","convert")</f>
        <v/>
      </c>
      <c r="F136">
        <f>IF($B$8&gt;$C$8*N135,"preference","convert")</f>
        <v/>
      </c>
      <c r="G136">
        <f>IF($B$9&gt;$C$9*N135,"preference","convert")</f>
        <v/>
      </c>
      <c r="H136">
        <f>IF($B$10&gt;$C$10*N135,"preference","convert")</f>
        <v/>
      </c>
      <c r="I136">
        <f>IF(B136="preference",$B$4,0)+IF(C136="preference",$B$5,0)+IF(D136="preference",$B$6,0)+IF(E136="preference",$B$7,0)+IF(F136="preference",$B$8,0)+IF(G136="preference",$B$9,0)+IF(H136="preference",$B$10,0)</f>
        <v/>
      </c>
      <c r="J136">
        <f>IF(B136="convert",$C$4,0)+IF(C136="convert",$C$5,0)+IF(D136="convert",$C$6,0)+IF(E136="convert",$C$7,0)+IF(F136="convert",$C$8,0)+IF(G136="convert",$C$9,0)+IF(H136="convert",$C$10,0)</f>
        <v/>
      </c>
      <c r="K136">
        <f>(Assumptions!$B$46+Assumptions!$B$47+Assumptions!$B$48)+Assumptions!$B$49+('Pro-Forma'!$M$21+'Pro-Forma'!$M$22)+J136</f>
        <v/>
      </c>
      <c r="L136">
        <f>(E12-I136+Assumptions!$B$31*Assumptions!$B$10)/(K136+Assumptions!$B$31)</f>
        <v/>
      </c>
      <c r="M136">
        <f>IF(L136&gt;Assumptions!$B$10,"yes","no")</f>
        <v/>
      </c>
      <c r="N136">
        <f>IF(M136="yes",L136,MAX(0,(E12-I136)/K136))</f>
        <v/>
      </c>
      <c r="O136">
        <f>IF(M136="yes",Assumptions!$B$31*(N136-Assumptions!$B$10),0)</f>
        <v/>
      </c>
    </row>
    <row r="137">
      <c r="A137" t="inlineStr">
        <is>
          <t>iter 14</t>
        </is>
      </c>
      <c r="B137">
        <f>IF($B$4&gt;$C$4*N136,"preference","convert")</f>
        <v/>
      </c>
      <c r="C137">
        <f>IF($B$5&gt;$C$5*N136,"preference","convert")</f>
        <v/>
      </c>
      <c r="D137">
        <f>IF($B$6&gt;$C$6*N136,"preference","convert")</f>
        <v/>
      </c>
      <c r="E137">
        <f>IF($B$7&gt;$C$7*N136,"preference","convert")</f>
        <v/>
      </c>
      <c r="F137">
        <f>IF($B$8&gt;$C$8*N136,"preference","convert")</f>
        <v/>
      </c>
      <c r="G137">
        <f>IF($B$9&gt;$C$9*N136,"preference","convert")</f>
        <v/>
      </c>
      <c r="H137">
        <f>IF($B$10&gt;$C$10*N136,"preference","convert")</f>
        <v/>
      </c>
      <c r="I137">
        <f>IF(B137="preference",$B$4,0)+IF(C137="preference",$B$5,0)+IF(D137="preference",$B$6,0)+IF(E137="preference",$B$7,0)+IF(F137="preference",$B$8,0)+IF(G137="preference",$B$9,0)+IF(H137="preference",$B$10,0)</f>
        <v/>
      </c>
      <c r="J137">
        <f>IF(B137="convert",$C$4,0)+IF(C137="convert",$C$5,0)+IF(D137="convert",$C$6,0)+IF(E137="convert",$C$7,0)+IF(F137="convert",$C$8,0)+IF(G137="convert",$C$9,0)+IF(H137="convert",$C$10,0)</f>
        <v/>
      </c>
      <c r="K137">
        <f>(Assumptions!$B$46+Assumptions!$B$47+Assumptions!$B$48)+Assumptions!$B$49+('Pro-Forma'!$M$21+'Pro-Forma'!$M$22)+J137</f>
        <v/>
      </c>
      <c r="L137">
        <f>(E12-I137+Assumptions!$B$31*Assumptions!$B$10)/(K137+Assumptions!$B$31)</f>
        <v/>
      </c>
      <c r="M137">
        <f>IF(L137&gt;Assumptions!$B$10,"yes","no")</f>
        <v/>
      </c>
      <c r="N137">
        <f>IF(M137="yes",L137,MAX(0,(E12-I137)/K137))</f>
        <v/>
      </c>
      <c r="O137">
        <f>IF(M137="yes",Assumptions!$B$31*(N137-Assumptions!$B$10),0)</f>
        <v/>
      </c>
    </row>
    <row r="138">
      <c r="A138" t="inlineStr">
        <is>
          <t>iter 15</t>
        </is>
      </c>
      <c r="B138">
        <f>IF($B$4&gt;$C$4*N137,"preference","convert")</f>
        <v/>
      </c>
      <c r="C138">
        <f>IF($B$5&gt;$C$5*N137,"preference","convert")</f>
        <v/>
      </c>
      <c r="D138">
        <f>IF($B$6&gt;$C$6*N137,"preference","convert")</f>
        <v/>
      </c>
      <c r="E138">
        <f>IF($B$7&gt;$C$7*N137,"preference","convert")</f>
        <v/>
      </c>
      <c r="F138">
        <f>IF($B$8&gt;$C$8*N137,"preference","convert")</f>
        <v/>
      </c>
      <c r="G138">
        <f>IF($B$9&gt;$C$9*N137,"preference","convert")</f>
        <v/>
      </c>
      <c r="H138">
        <f>IF($B$10&gt;$C$10*N137,"preference","convert")</f>
        <v/>
      </c>
      <c r="I138">
        <f>IF(B138="preference",$B$4,0)+IF(C138="preference",$B$5,0)+IF(D138="preference",$B$6,0)+IF(E138="preference",$B$7,0)+IF(F138="preference",$B$8,0)+IF(G138="preference",$B$9,0)+IF(H138="preference",$B$10,0)</f>
        <v/>
      </c>
      <c r="J138">
        <f>IF(B138="convert",$C$4,0)+IF(C138="convert",$C$5,0)+IF(D138="convert",$C$6,0)+IF(E138="convert",$C$7,0)+IF(F138="convert",$C$8,0)+IF(G138="convert",$C$9,0)+IF(H138="convert",$C$10,0)</f>
        <v/>
      </c>
      <c r="K138">
        <f>(Assumptions!$B$46+Assumptions!$B$47+Assumptions!$B$48)+Assumptions!$B$49+('Pro-Forma'!$M$21+'Pro-Forma'!$M$22)+J138</f>
        <v/>
      </c>
      <c r="L138">
        <f>(E12-I138+Assumptions!$B$31*Assumptions!$B$10)/(K138+Assumptions!$B$31)</f>
        <v/>
      </c>
      <c r="M138">
        <f>IF(L138&gt;Assumptions!$B$10,"yes","no")</f>
        <v/>
      </c>
      <c r="N138">
        <f>IF(M138="yes",L138,MAX(0,(E12-I138)/K138))</f>
        <v/>
      </c>
      <c r="O138">
        <f>IF(M138="yes",Assumptions!$B$31*(N138-Assumptions!$B$10),0)</f>
        <v/>
      </c>
    </row>
    <row r="139">
      <c r="A139" t="inlineStr">
        <is>
          <t>iter 16</t>
        </is>
      </c>
      <c r="B139">
        <f>IF($B$4&gt;$C$4*N138,"preference","convert")</f>
        <v/>
      </c>
      <c r="C139">
        <f>IF($B$5&gt;$C$5*N138,"preference","convert")</f>
        <v/>
      </c>
      <c r="D139">
        <f>IF($B$6&gt;$C$6*N138,"preference","convert")</f>
        <v/>
      </c>
      <c r="E139">
        <f>IF($B$7&gt;$C$7*N138,"preference","convert")</f>
        <v/>
      </c>
      <c r="F139">
        <f>IF($B$8&gt;$C$8*N138,"preference","convert")</f>
        <v/>
      </c>
      <c r="G139">
        <f>IF($B$9&gt;$C$9*N138,"preference","convert")</f>
        <v/>
      </c>
      <c r="H139">
        <f>IF($B$10&gt;$C$10*N138,"preference","convert")</f>
        <v/>
      </c>
      <c r="I139">
        <f>IF(B139="preference",$B$4,0)+IF(C139="preference",$B$5,0)+IF(D139="preference",$B$6,0)+IF(E139="preference",$B$7,0)+IF(F139="preference",$B$8,0)+IF(G139="preference",$B$9,0)+IF(H139="preference",$B$10,0)</f>
        <v/>
      </c>
      <c r="J139">
        <f>IF(B139="convert",$C$4,0)+IF(C139="convert",$C$5,0)+IF(D139="convert",$C$6,0)+IF(E139="convert",$C$7,0)+IF(F139="convert",$C$8,0)+IF(G139="convert",$C$9,0)+IF(H139="convert",$C$10,0)</f>
        <v/>
      </c>
      <c r="K139">
        <f>(Assumptions!$B$46+Assumptions!$B$47+Assumptions!$B$48)+Assumptions!$B$49+('Pro-Forma'!$M$21+'Pro-Forma'!$M$22)+J139</f>
        <v/>
      </c>
      <c r="L139">
        <f>(E12-I139+Assumptions!$B$31*Assumptions!$B$10)/(K139+Assumptions!$B$31)</f>
        <v/>
      </c>
      <c r="M139">
        <f>IF(L139&gt;Assumptions!$B$10,"yes","no")</f>
        <v/>
      </c>
      <c r="N139">
        <f>IF(M139="yes",L139,MAX(0,(E12-I139)/K139))</f>
        <v/>
      </c>
      <c r="O139">
        <f>IF(M139="yes",Assumptions!$B$31*(N139-Assumptions!$B$10),0)</f>
        <v/>
      </c>
    </row>
    <row r="140">
      <c r="A140" t="inlineStr">
        <is>
          <t>iter 17</t>
        </is>
      </c>
      <c r="B140">
        <f>IF($B$4&gt;$C$4*N139,"preference","convert")</f>
        <v/>
      </c>
      <c r="C140">
        <f>IF($B$5&gt;$C$5*N139,"preference","convert")</f>
        <v/>
      </c>
      <c r="D140">
        <f>IF($B$6&gt;$C$6*N139,"preference","convert")</f>
        <v/>
      </c>
      <c r="E140">
        <f>IF($B$7&gt;$C$7*N139,"preference","convert")</f>
        <v/>
      </c>
      <c r="F140">
        <f>IF($B$8&gt;$C$8*N139,"preference","convert")</f>
        <v/>
      </c>
      <c r="G140">
        <f>IF($B$9&gt;$C$9*N139,"preference","convert")</f>
        <v/>
      </c>
      <c r="H140">
        <f>IF($B$10&gt;$C$10*N139,"preference","convert")</f>
        <v/>
      </c>
      <c r="I140">
        <f>IF(B140="preference",$B$4,0)+IF(C140="preference",$B$5,0)+IF(D140="preference",$B$6,0)+IF(E140="preference",$B$7,0)+IF(F140="preference",$B$8,0)+IF(G140="preference",$B$9,0)+IF(H140="preference",$B$10,0)</f>
        <v/>
      </c>
      <c r="J140">
        <f>IF(B140="convert",$C$4,0)+IF(C140="convert",$C$5,0)+IF(D140="convert",$C$6,0)+IF(E140="convert",$C$7,0)+IF(F140="convert",$C$8,0)+IF(G140="convert",$C$9,0)+IF(H140="convert",$C$10,0)</f>
        <v/>
      </c>
      <c r="K140">
        <f>(Assumptions!$B$46+Assumptions!$B$47+Assumptions!$B$48)+Assumptions!$B$49+('Pro-Forma'!$M$21+'Pro-Forma'!$M$22)+J140</f>
        <v/>
      </c>
      <c r="L140">
        <f>(E12-I140+Assumptions!$B$31*Assumptions!$B$10)/(K140+Assumptions!$B$31)</f>
        <v/>
      </c>
      <c r="M140">
        <f>IF(L140&gt;Assumptions!$B$10,"yes","no")</f>
        <v/>
      </c>
      <c r="N140">
        <f>IF(M140="yes",L140,MAX(0,(E12-I140)/K140))</f>
        <v/>
      </c>
      <c r="O140">
        <f>IF(M140="yes",Assumptions!$B$31*(N140-Assumptions!$B$10),0)</f>
        <v/>
      </c>
    </row>
    <row r="141">
      <c r="A141" t="inlineStr">
        <is>
          <t>iter 18</t>
        </is>
      </c>
      <c r="B141">
        <f>IF($B$4&gt;$C$4*N140,"preference","convert")</f>
        <v/>
      </c>
      <c r="C141">
        <f>IF($B$5&gt;$C$5*N140,"preference","convert")</f>
        <v/>
      </c>
      <c r="D141">
        <f>IF($B$6&gt;$C$6*N140,"preference","convert")</f>
        <v/>
      </c>
      <c r="E141">
        <f>IF($B$7&gt;$C$7*N140,"preference","convert")</f>
        <v/>
      </c>
      <c r="F141">
        <f>IF($B$8&gt;$C$8*N140,"preference","convert")</f>
        <v/>
      </c>
      <c r="G141">
        <f>IF($B$9&gt;$C$9*N140,"preference","convert")</f>
        <v/>
      </c>
      <c r="H141">
        <f>IF($B$10&gt;$C$10*N140,"preference","convert")</f>
        <v/>
      </c>
      <c r="I141">
        <f>IF(B141="preference",$B$4,0)+IF(C141="preference",$B$5,0)+IF(D141="preference",$B$6,0)+IF(E141="preference",$B$7,0)+IF(F141="preference",$B$8,0)+IF(G141="preference",$B$9,0)+IF(H141="preference",$B$10,0)</f>
        <v/>
      </c>
      <c r="J141">
        <f>IF(B141="convert",$C$4,0)+IF(C141="convert",$C$5,0)+IF(D141="convert",$C$6,0)+IF(E141="convert",$C$7,0)+IF(F141="convert",$C$8,0)+IF(G141="convert",$C$9,0)+IF(H141="convert",$C$10,0)</f>
        <v/>
      </c>
      <c r="K141">
        <f>(Assumptions!$B$46+Assumptions!$B$47+Assumptions!$B$48)+Assumptions!$B$49+('Pro-Forma'!$M$21+'Pro-Forma'!$M$22)+J141</f>
        <v/>
      </c>
      <c r="L141">
        <f>(E12-I141+Assumptions!$B$31*Assumptions!$B$10)/(K141+Assumptions!$B$31)</f>
        <v/>
      </c>
      <c r="M141">
        <f>IF(L141&gt;Assumptions!$B$10,"yes","no")</f>
        <v/>
      </c>
      <c r="N141">
        <f>IF(M141="yes",L141,MAX(0,(E12-I141)/K141))</f>
        <v/>
      </c>
      <c r="O141">
        <f>IF(M141="yes",Assumptions!$B$31*(N141-Assumptions!$B$10),0)</f>
        <v/>
      </c>
    </row>
    <row r="142">
      <c r="A142" t="inlineStr">
        <is>
          <t>iter 19</t>
        </is>
      </c>
      <c r="B142">
        <f>IF($B$4&gt;$C$4*N141,"preference","convert")</f>
        <v/>
      </c>
      <c r="C142">
        <f>IF($B$5&gt;$C$5*N141,"preference","convert")</f>
        <v/>
      </c>
      <c r="D142">
        <f>IF($B$6&gt;$C$6*N141,"preference","convert")</f>
        <v/>
      </c>
      <c r="E142">
        <f>IF($B$7&gt;$C$7*N141,"preference","convert")</f>
        <v/>
      </c>
      <c r="F142">
        <f>IF($B$8&gt;$C$8*N141,"preference","convert")</f>
        <v/>
      </c>
      <c r="G142">
        <f>IF($B$9&gt;$C$9*N141,"preference","convert")</f>
        <v/>
      </c>
      <c r="H142">
        <f>IF($B$10&gt;$C$10*N141,"preference","convert")</f>
        <v/>
      </c>
      <c r="I142">
        <f>IF(B142="preference",$B$4,0)+IF(C142="preference",$B$5,0)+IF(D142="preference",$B$6,0)+IF(E142="preference",$B$7,0)+IF(F142="preference",$B$8,0)+IF(G142="preference",$B$9,0)+IF(H142="preference",$B$10,0)</f>
        <v/>
      </c>
      <c r="J142">
        <f>IF(B142="convert",$C$4,0)+IF(C142="convert",$C$5,0)+IF(D142="convert",$C$6,0)+IF(E142="convert",$C$7,0)+IF(F142="convert",$C$8,0)+IF(G142="convert",$C$9,0)+IF(H142="convert",$C$10,0)</f>
        <v/>
      </c>
      <c r="K142">
        <f>(Assumptions!$B$46+Assumptions!$B$47+Assumptions!$B$48)+Assumptions!$B$49+('Pro-Forma'!$M$21+'Pro-Forma'!$M$22)+J142</f>
        <v/>
      </c>
      <c r="L142">
        <f>(E12-I142+Assumptions!$B$31*Assumptions!$B$10)/(K142+Assumptions!$B$31)</f>
        <v/>
      </c>
      <c r="M142">
        <f>IF(L142&gt;Assumptions!$B$10,"yes","no")</f>
        <v/>
      </c>
      <c r="N142">
        <f>IF(M142="yes",L142,MAX(0,(E12-I142)/K142))</f>
        <v/>
      </c>
      <c r="O142">
        <f>IF(M142="yes",Assumptions!$B$31*(N142-Assumptions!$B$10),0)</f>
        <v/>
      </c>
    </row>
    <row r="143">
      <c r="A143" t="inlineStr">
        <is>
          <t>iter 20</t>
        </is>
      </c>
      <c r="B143">
        <f>IF($B$4&gt;$C$4*N142,"preference","convert")</f>
        <v/>
      </c>
      <c r="C143">
        <f>IF($B$5&gt;$C$5*N142,"preference","convert")</f>
        <v/>
      </c>
      <c r="D143">
        <f>IF($B$6&gt;$C$6*N142,"preference","convert")</f>
        <v/>
      </c>
      <c r="E143">
        <f>IF($B$7&gt;$C$7*N142,"preference","convert")</f>
        <v/>
      </c>
      <c r="F143">
        <f>IF($B$8&gt;$C$8*N142,"preference","convert")</f>
        <v/>
      </c>
      <c r="G143">
        <f>IF($B$9&gt;$C$9*N142,"preference","convert")</f>
        <v/>
      </c>
      <c r="H143">
        <f>IF($B$10&gt;$C$10*N142,"preference","convert")</f>
        <v/>
      </c>
      <c r="I143">
        <f>IF(B143="preference",$B$4,0)+IF(C143="preference",$B$5,0)+IF(D143="preference",$B$6,0)+IF(E143="preference",$B$7,0)+IF(F143="preference",$B$8,0)+IF(G143="preference",$B$9,0)+IF(H143="preference",$B$10,0)</f>
        <v/>
      </c>
      <c r="J143">
        <f>IF(B143="convert",$C$4,0)+IF(C143="convert",$C$5,0)+IF(D143="convert",$C$6,0)+IF(E143="convert",$C$7,0)+IF(F143="convert",$C$8,0)+IF(G143="convert",$C$9,0)+IF(H143="convert",$C$10,0)</f>
        <v/>
      </c>
      <c r="K143">
        <f>(Assumptions!$B$46+Assumptions!$B$47+Assumptions!$B$48)+Assumptions!$B$49+('Pro-Forma'!$M$21+'Pro-Forma'!$M$22)+J143</f>
        <v/>
      </c>
      <c r="L143">
        <f>(E12-I143+Assumptions!$B$31*Assumptions!$B$10)/(K143+Assumptions!$B$31)</f>
        <v/>
      </c>
      <c r="M143">
        <f>IF(L143&gt;Assumptions!$B$10,"yes","no")</f>
        <v/>
      </c>
      <c r="N143">
        <f>IF(M143="yes",L143,MAX(0,(E12-I143)/K143))</f>
        <v/>
      </c>
      <c r="O143">
        <f>IF(M143="yes",Assumptions!$B$31*(N143-Assumptions!$B$10),0)</f>
        <v/>
      </c>
    </row>
    <row r="144">
      <c r="A144" t="inlineStr">
        <is>
          <t>iter 21</t>
        </is>
      </c>
      <c r="B144">
        <f>IF($B$4&gt;$C$4*N143,"preference","convert")</f>
        <v/>
      </c>
      <c r="C144">
        <f>IF($B$5&gt;$C$5*N143,"preference","convert")</f>
        <v/>
      </c>
      <c r="D144">
        <f>IF($B$6&gt;$C$6*N143,"preference","convert")</f>
        <v/>
      </c>
      <c r="E144">
        <f>IF($B$7&gt;$C$7*N143,"preference","convert")</f>
        <v/>
      </c>
      <c r="F144">
        <f>IF($B$8&gt;$C$8*N143,"preference","convert")</f>
        <v/>
      </c>
      <c r="G144">
        <f>IF($B$9&gt;$C$9*N143,"preference","convert")</f>
        <v/>
      </c>
      <c r="H144">
        <f>IF($B$10&gt;$C$10*N143,"preference","convert")</f>
        <v/>
      </c>
      <c r="I144">
        <f>IF(B144="preference",$B$4,0)+IF(C144="preference",$B$5,0)+IF(D144="preference",$B$6,0)+IF(E144="preference",$B$7,0)+IF(F144="preference",$B$8,0)+IF(G144="preference",$B$9,0)+IF(H144="preference",$B$10,0)</f>
        <v/>
      </c>
      <c r="J144">
        <f>IF(B144="convert",$C$4,0)+IF(C144="convert",$C$5,0)+IF(D144="convert",$C$6,0)+IF(E144="convert",$C$7,0)+IF(F144="convert",$C$8,0)+IF(G144="convert",$C$9,0)+IF(H144="convert",$C$10,0)</f>
        <v/>
      </c>
      <c r="K144">
        <f>(Assumptions!$B$46+Assumptions!$B$47+Assumptions!$B$48)+Assumptions!$B$49+('Pro-Forma'!$M$21+'Pro-Forma'!$M$22)+J144</f>
        <v/>
      </c>
      <c r="L144">
        <f>(E12-I144+Assumptions!$B$31*Assumptions!$B$10)/(K144+Assumptions!$B$31)</f>
        <v/>
      </c>
      <c r="M144">
        <f>IF(L144&gt;Assumptions!$B$10,"yes","no")</f>
        <v/>
      </c>
      <c r="N144">
        <f>IF(M144="yes",L144,MAX(0,(E12-I144)/K144))</f>
        <v/>
      </c>
      <c r="O144">
        <f>IF(M144="yes",Assumptions!$B$31*(N144-Assumptions!$B$10),0)</f>
        <v/>
      </c>
    </row>
    <row r="145">
      <c r="A145" t="inlineStr">
        <is>
          <t>iter 22</t>
        </is>
      </c>
      <c r="B145">
        <f>IF($B$4&gt;$C$4*N144,"preference","convert")</f>
        <v/>
      </c>
      <c r="C145">
        <f>IF($B$5&gt;$C$5*N144,"preference","convert")</f>
        <v/>
      </c>
      <c r="D145">
        <f>IF($B$6&gt;$C$6*N144,"preference","convert")</f>
        <v/>
      </c>
      <c r="E145">
        <f>IF($B$7&gt;$C$7*N144,"preference","convert")</f>
        <v/>
      </c>
      <c r="F145">
        <f>IF($B$8&gt;$C$8*N144,"preference","convert")</f>
        <v/>
      </c>
      <c r="G145">
        <f>IF($B$9&gt;$C$9*N144,"preference","convert")</f>
        <v/>
      </c>
      <c r="H145">
        <f>IF($B$10&gt;$C$10*N144,"preference","convert")</f>
        <v/>
      </c>
      <c r="I145">
        <f>IF(B145="preference",$B$4,0)+IF(C145="preference",$B$5,0)+IF(D145="preference",$B$6,0)+IF(E145="preference",$B$7,0)+IF(F145="preference",$B$8,0)+IF(G145="preference",$B$9,0)+IF(H145="preference",$B$10,0)</f>
        <v/>
      </c>
      <c r="J145">
        <f>IF(B145="convert",$C$4,0)+IF(C145="convert",$C$5,0)+IF(D145="convert",$C$6,0)+IF(E145="convert",$C$7,0)+IF(F145="convert",$C$8,0)+IF(G145="convert",$C$9,0)+IF(H145="convert",$C$10,0)</f>
        <v/>
      </c>
      <c r="K145">
        <f>(Assumptions!$B$46+Assumptions!$B$47+Assumptions!$B$48)+Assumptions!$B$49+('Pro-Forma'!$M$21+'Pro-Forma'!$M$22)+J145</f>
        <v/>
      </c>
      <c r="L145">
        <f>(E12-I145+Assumptions!$B$31*Assumptions!$B$10)/(K145+Assumptions!$B$31)</f>
        <v/>
      </c>
      <c r="M145">
        <f>IF(L145&gt;Assumptions!$B$10,"yes","no")</f>
        <v/>
      </c>
      <c r="N145">
        <f>IF(M145="yes",L145,MAX(0,(E12-I145)/K145))</f>
        <v/>
      </c>
      <c r="O145">
        <f>IF(M145="yes",Assumptions!$B$31*(N145-Assumptions!$B$10),0)</f>
        <v/>
      </c>
    </row>
    <row r="146">
      <c r="A146" t="inlineStr">
        <is>
          <t>iter 23</t>
        </is>
      </c>
      <c r="B146">
        <f>IF($B$4&gt;$C$4*N145,"preference","convert")</f>
        <v/>
      </c>
      <c r="C146">
        <f>IF($B$5&gt;$C$5*N145,"preference","convert")</f>
        <v/>
      </c>
      <c r="D146">
        <f>IF($B$6&gt;$C$6*N145,"preference","convert")</f>
        <v/>
      </c>
      <c r="E146">
        <f>IF($B$7&gt;$C$7*N145,"preference","convert")</f>
        <v/>
      </c>
      <c r="F146">
        <f>IF($B$8&gt;$C$8*N145,"preference","convert")</f>
        <v/>
      </c>
      <c r="G146">
        <f>IF($B$9&gt;$C$9*N145,"preference","convert")</f>
        <v/>
      </c>
      <c r="H146">
        <f>IF($B$10&gt;$C$10*N145,"preference","convert")</f>
        <v/>
      </c>
      <c r="I146">
        <f>IF(B146="preference",$B$4,0)+IF(C146="preference",$B$5,0)+IF(D146="preference",$B$6,0)+IF(E146="preference",$B$7,0)+IF(F146="preference",$B$8,0)+IF(G146="preference",$B$9,0)+IF(H146="preference",$B$10,0)</f>
        <v/>
      </c>
      <c r="J146">
        <f>IF(B146="convert",$C$4,0)+IF(C146="convert",$C$5,0)+IF(D146="convert",$C$6,0)+IF(E146="convert",$C$7,0)+IF(F146="convert",$C$8,0)+IF(G146="convert",$C$9,0)+IF(H146="convert",$C$10,0)</f>
        <v/>
      </c>
      <c r="K146">
        <f>(Assumptions!$B$46+Assumptions!$B$47+Assumptions!$B$48)+Assumptions!$B$49+('Pro-Forma'!$M$21+'Pro-Forma'!$M$22)+J146</f>
        <v/>
      </c>
      <c r="L146">
        <f>(E12-I146+Assumptions!$B$31*Assumptions!$B$10)/(K146+Assumptions!$B$31)</f>
        <v/>
      </c>
      <c r="M146">
        <f>IF(L146&gt;Assumptions!$B$10,"yes","no")</f>
        <v/>
      </c>
      <c r="N146">
        <f>IF(M146="yes",L146,MAX(0,(E12-I146)/K146))</f>
        <v/>
      </c>
      <c r="O146">
        <f>IF(M146="yes",Assumptions!$B$31*(N146-Assumptions!$B$10),0)</f>
        <v/>
      </c>
    </row>
    <row r="147">
      <c r="A147" t="inlineStr">
        <is>
          <t>iter 24</t>
        </is>
      </c>
      <c r="B147">
        <f>IF($B$4&gt;$C$4*N146,"preference","convert")</f>
        <v/>
      </c>
      <c r="C147">
        <f>IF($B$5&gt;$C$5*N146,"preference","convert")</f>
        <v/>
      </c>
      <c r="D147">
        <f>IF($B$6&gt;$C$6*N146,"preference","convert")</f>
        <v/>
      </c>
      <c r="E147">
        <f>IF($B$7&gt;$C$7*N146,"preference","convert")</f>
        <v/>
      </c>
      <c r="F147">
        <f>IF($B$8&gt;$C$8*N146,"preference","convert")</f>
        <v/>
      </c>
      <c r="G147">
        <f>IF($B$9&gt;$C$9*N146,"preference","convert")</f>
        <v/>
      </c>
      <c r="H147">
        <f>IF($B$10&gt;$C$10*N146,"preference","convert")</f>
        <v/>
      </c>
      <c r="I147">
        <f>IF(B147="preference",$B$4,0)+IF(C147="preference",$B$5,0)+IF(D147="preference",$B$6,0)+IF(E147="preference",$B$7,0)+IF(F147="preference",$B$8,0)+IF(G147="preference",$B$9,0)+IF(H147="preference",$B$10,0)</f>
        <v/>
      </c>
      <c r="J147">
        <f>IF(B147="convert",$C$4,0)+IF(C147="convert",$C$5,0)+IF(D147="convert",$C$6,0)+IF(E147="convert",$C$7,0)+IF(F147="convert",$C$8,0)+IF(G147="convert",$C$9,0)+IF(H147="convert",$C$10,0)</f>
        <v/>
      </c>
      <c r="K147">
        <f>(Assumptions!$B$46+Assumptions!$B$47+Assumptions!$B$48)+Assumptions!$B$49+('Pro-Forma'!$M$21+'Pro-Forma'!$M$22)+J147</f>
        <v/>
      </c>
      <c r="L147">
        <f>(E12-I147+Assumptions!$B$31*Assumptions!$B$10)/(K147+Assumptions!$B$31)</f>
        <v/>
      </c>
      <c r="M147">
        <f>IF(L147&gt;Assumptions!$B$10,"yes","no")</f>
        <v/>
      </c>
      <c r="N147">
        <f>IF(M147="yes",L147,MAX(0,(E12-I147)/K147))</f>
        <v/>
      </c>
      <c r="O147">
        <f>IF(M147="yes",Assumptions!$B$31*(N147-Assumptions!$B$10),0)</f>
        <v/>
      </c>
    </row>
    <row r="148">
      <c r="A148" t="inlineStr">
        <is>
          <t>iter 25</t>
        </is>
      </c>
      <c r="B148">
        <f>IF($B$4&gt;$C$4*N147,"preference","convert")</f>
        <v/>
      </c>
      <c r="C148">
        <f>IF($B$5&gt;$C$5*N147,"preference","convert")</f>
        <v/>
      </c>
      <c r="D148">
        <f>IF($B$6&gt;$C$6*N147,"preference","convert")</f>
        <v/>
      </c>
      <c r="E148">
        <f>IF($B$7&gt;$C$7*N147,"preference","convert")</f>
        <v/>
      </c>
      <c r="F148">
        <f>IF($B$8&gt;$C$8*N147,"preference","convert")</f>
        <v/>
      </c>
      <c r="G148">
        <f>IF($B$9&gt;$C$9*N147,"preference","convert")</f>
        <v/>
      </c>
      <c r="H148">
        <f>IF($B$10&gt;$C$10*N147,"preference","convert")</f>
        <v/>
      </c>
      <c r="I148">
        <f>IF(B148="preference",$B$4,0)+IF(C148="preference",$B$5,0)+IF(D148="preference",$B$6,0)+IF(E148="preference",$B$7,0)+IF(F148="preference",$B$8,0)+IF(G148="preference",$B$9,0)+IF(H148="preference",$B$10,0)</f>
        <v/>
      </c>
      <c r="J148">
        <f>IF(B148="convert",$C$4,0)+IF(C148="convert",$C$5,0)+IF(D148="convert",$C$6,0)+IF(E148="convert",$C$7,0)+IF(F148="convert",$C$8,0)+IF(G148="convert",$C$9,0)+IF(H148="convert",$C$10,0)</f>
        <v/>
      </c>
      <c r="K148">
        <f>(Assumptions!$B$46+Assumptions!$B$47+Assumptions!$B$48)+Assumptions!$B$49+('Pro-Forma'!$M$21+'Pro-Forma'!$M$22)+J148</f>
        <v/>
      </c>
      <c r="L148">
        <f>(E12-I148+Assumptions!$B$31*Assumptions!$B$10)/(K148+Assumptions!$B$31)</f>
        <v/>
      </c>
      <c r="M148">
        <f>IF(L148&gt;Assumptions!$B$10,"yes","no")</f>
        <v/>
      </c>
      <c r="N148">
        <f>IF(M148="yes",L148,MAX(0,(E12-I148)/K148))</f>
        <v/>
      </c>
      <c r="O148">
        <f>IF(M148="yes",Assumptions!$B$31*(N148-Assumptions!$B$10),0)</f>
        <v/>
      </c>
    </row>
    <row r="149">
      <c r="A149" t="inlineStr">
        <is>
          <t>iter 26</t>
        </is>
      </c>
      <c r="B149">
        <f>IF($B$4&gt;$C$4*N148,"preference","convert")</f>
        <v/>
      </c>
      <c r="C149">
        <f>IF($B$5&gt;$C$5*N148,"preference","convert")</f>
        <v/>
      </c>
      <c r="D149">
        <f>IF($B$6&gt;$C$6*N148,"preference","convert")</f>
        <v/>
      </c>
      <c r="E149">
        <f>IF($B$7&gt;$C$7*N148,"preference","convert")</f>
        <v/>
      </c>
      <c r="F149">
        <f>IF($B$8&gt;$C$8*N148,"preference","convert")</f>
        <v/>
      </c>
      <c r="G149">
        <f>IF($B$9&gt;$C$9*N148,"preference","convert")</f>
        <v/>
      </c>
      <c r="H149">
        <f>IF($B$10&gt;$C$10*N148,"preference","convert")</f>
        <v/>
      </c>
      <c r="I149">
        <f>IF(B149="preference",$B$4,0)+IF(C149="preference",$B$5,0)+IF(D149="preference",$B$6,0)+IF(E149="preference",$B$7,0)+IF(F149="preference",$B$8,0)+IF(G149="preference",$B$9,0)+IF(H149="preference",$B$10,0)</f>
        <v/>
      </c>
      <c r="J149">
        <f>IF(B149="convert",$C$4,0)+IF(C149="convert",$C$5,0)+IF(D149="convert",$C$6,0)+IF(E149="convert",$C$7,0)+IF(F149="convert",$C$8,0)+IF(G149="convert",$C$9,0)+IF(H149="convert",$C$10,0)</f>
        <v/>
      </c>
      <c r="K149">
        <f>(Assumptions!$B$46+Assumptions!$B$47+Assumptions!$B$48)+Assumptions!$B$49+('Pro-Forma'!$M$21+'Pro-Forma'!$M$22)+J149</f>
        <v/>
      </c>
      <c r="L149">
        <f>(E12-I149+Assumptions!$B$31*Assumptions!$B$10)/(K149+Assumptions!$B$31)</f>
        <v/>
      </c>
      <c r="M149">
        <f>IF(L149&gt;Assumptions!$B$10,"yes","no")</f>
        <v/>
      </c>
      <c r="N149">
        <f>IF(M149="yes",L149,MAX(0,(E12-I149)/K149))</f>
        <v/>
      </c>
      <c r="O149">
        <f>IF(M149="yes",Assumptions!$B$31*(N149-Assumptions!$B$10),0)</f>
        <v/>
      </c>
    </row>
    <row r="150">
      <c r="A150" t="inlineStr">
        <is>
          <t>iter 27</t>
        </is>
      </c>
      <c r="B150">
        <f>IF($B$4&gt;$C$4*N149,"preference","convert")</f>
        <v/>
      </c>
      <c r="C150">
        <f>IF($B$5&gt;$C$5*N149,"preference","convert")</f>
        <v/>
      </c>
      <c r="D150">
        <f>IF($B$6&gt;$C$6*N149,"preference","convert")</f>
        <v/>
      </c>
      <c r="E150">
        <f>IF($B$7&gt;$C$7*N149,"preference","convert")</f>
        <v/>
      </c>
      <c r="F150">
        <f>IF($B$8&gt;$C$8*N149,"preference","convert")</f>
        <v/>
      </c>
      <c r="G150">
        <f>IF($B$9&gt;$C$9*N149,"preference","convert")</f>
        <v/>
      </c>
      <c r="H150">
        <f>IF($B$10&gt;$C$10*N149,"preference","convert")</f>
        <v/>
      </c>
      <c r="I150">
        <f>IF(B150="preference",$B$4,0)+IF(C150="preference",$B$5,0)+IF(D150="preference",$B$6,0)+IF(E150="preference",$B$7,0)+IF(F150="preference",$B$8,0)+IF(G150="preference",$B$9,0)+IF(H150="preference",$B$10,0)</f>
        <v/>
      </c>
      <c r="J150">
        <f>IF(B150="convert",$C$4,0)+IF(C150="convert",$C$5,0)+IF(D150="convert",$C$6,0)+IF(E150="convert",$C$7,0)+IF(F150="convert",$C$8,0)+IF(G150="convert",$C$9,0)+IF(H150="convert",$C$10,0)</f>
        <v/>
      </c>
      <c r="K150">
        <f>(Assumptions!$B$46+Assumptions!$B$47+Assumptions!$B$48)+Assumptions!$B$49+('Pro-Forma'!$M$21+'Pro-Forma'!$M$22)+J150</f>
        <v/>
      </c>
      <c r="L150">
        <f>(E12-I150+Assumptions!$B$31*Assumptions!$B$10)/(K150+Assumptions!$B$31)</f>
        <v/>
      </c>
      <c r="M150">
        <f>IF(L150&gt;Assumptions!$B$10,"yes","no")</f>
        <v/>
      </c>
      <c r="N150">
        <f>IF(M150="yes",L150,MAX(0,(E12-I150)/K150))</f>
        <v/>
      </c>
      <c r="O150">
        <f>IF(M150="yes",Assumptions!$B$31*(N150-Assumptions!$B$10),0)</f>
        <v/>
      </c>
    </row>
    <row r="151">
      <c r="A151" t="inlineStr">
        <is>
          <t>iter 28</t>
        </is>
      </c>
      <c r="B151">
        <f>IF($B$4&gt;$C$4*N150,"preference","convert")</f>
        <v/>
      </c>
      <c r="C151">
        <f>IF($B$5&gt;$C$5*N150,"preference","convert")</f>
        <v/>
      </c>
      <c r="D151">
        <f>IF($B$6&gt;$C$6*N150,"preference","convert")</f>
        <v/>
      </c>
      <c r="E151">
        <f>IF($B$7&gt;$C$7*N150,"preference","convert")</f>
        <v/>
      </c>
      <c r="F151">
        <f>IF($B$8&gt;$C$8*N150,"preference","convert")</f>
        <v/>
      </c>
      <c r="G151">
        <f>IF($B$9&gt;$C$9*N150,"preference","convert")</f>
        <v/>
      </c>
      <c r="H151">
        <f>IF($B$10&gt;$C$10*N150,"preference","convert")</f>
        <v/>
      </c>
      <c r="I151">
        <f>IF(B151="preference",$B$4,0)+IF(C151="preference",$B$5,0)+IF(D151="preference",$B$6,0)+IF(E151="preference",$B$7,0)+IF(F151="preference",$B$8,0)+IF(G151="preference",$B$9,0)+IF(H151="preference",$B$10,0)</f>
        <v/>
      </c>
      <c r="J151">
        <f>IF(B151="convert",$C$4,0)+IF(C151="convert",$C$5,0)+IF(D151="convert",$C$6,0)+IF(E151="convert",$C$7,0)+IF(F151="convert",$C$8,0)+IF(G151="convert",$C$9,0)+IF(H151="convert",$C$10,0)</f>
        <v/>
      </c>
      <c r="K151">
        <f>(Assumptions!$B$46+Assumptions!$B$47+Assumptions!$B$48)+Assumptions!$B$49+('Pro-Forma'!$M$21+'Pro-Forma'!$M$22)+J151</f>
        <v/>
      </c>
      <c r="L151">
        <f>(E12-I151+Assumptions!$B$31*Assumptions!$B$10)/(K151+Assumptions!$B$31)</f>
        <v/>
      </c>
      <c r="M151">
        <f>IF(L151&gt;Assumptions!$B$10,"yes","no")</f>
        <v/>
      </c>
      <c r="N151">
        <f>IF(M151="yes",L151,MAX(0,(E12-I151)/K151))</f>
        <v/>
      </c>
      <c r="O151">
        <f>IF(M151="yes",Assumptions!$B$31*(N151-Assumptions!$B$10),0)</f>
        <v/>
      </c>
    </row>
    <row r="152">
      <c r="A152" t="inlineStr">
        <is>
          <t>iter 29</t>
        </is>
      </c>
      <c r="B152">
        <f>IF($B$4&gt;$C$4*N151,"preference","convert")</f>
        <v/>
      </c>
      <c r="C152">
        <f>IF($B$5&gt;$C$5*N151,"preference","convert")</f>
        <v/>
      </c>
      <c r="D152">
        <f>IF($B$6&gt;$C$6*N151,"preference","convert")</f>
        <v/>
      </c>
      <c r="E152">
        <f>IF($B$7&gt;$C$7*N151,"preference","convert")</f>
        <v/>
      </c>
      <c r="F152">
        <f>IF($B$8&gt;$C$8*N151,"preference","convert")</f>
        <v/>
      </c>
      <c r="G152">
        <f>IF($B$9&gt;$C$9*N151,"preference","convert")</f>
        <v/>
      </c>
      <c r="H152">
        <f>IF($B$10&gt;$C$10*N151,"preference","convert")</f>
        <v/>
      </c>
      <c r="I152">
        <f>IF(B152="preference",$B$4,0)+IF(C152="preference",$B$5,0)+IF(D152="preference",$B$6,0)+IF(E152="preference",$B$7,0)+IF(F152="preference",$B$8,0)+IF(G152="preference",$B$9,0)+IF(H152="preference",$B$10,0)</f>
        <v/>
      </c>
      <c r="J152">
        <f>IF(B152="convert",$C$4,0)+IF(C152="convert",$C$5,0)+IF(D152="convert",$C$6,0)+IF(E152="convert",$C$7,0)+IF(F152="convert",$C$8,0)+IF(G152="convert",$C$9,0)+IF(H152="convert",$C$10,0)</f>
        <v/>
      </c>
      <c r="K152">
        <f>(Assumptions!$B$46+Assumptions!$B$47+Assumptions!$B$48)+Assumptions!$B$49+('Pro-Forma'!$M$21+'Pro-Forma'!$M$22)+J152</f>
        <v/>
      </c>
      <c r="L152">
        <f>(E12-I152+Assumptions!$B$31*Assumptions!$B$10)/(K152+Assumptions!$B$31)</f>
        <v/>
      </c>
      <c r="M152">
        <f>IF(L152&gt;Assumptions!$B$10,"yes","no")</f>
        <v/>
      </c>
      <c r="N152">
        <f>IF(M152="yes",L152,MAX(0,(E12-I152)/K152))</f>
        <v/>
      </c>
      <c r="O152">
        <f>IF(M152="yes",Assumptions!$B$31*(N152-Assumptions!$B$10),0)</f>
        <v/>
      </c>
    </row>
    <row r="153">
      <c r="A153" t="inlineStr">
        <is>
          <t>iter 30</t>
        </is>
      </c>
      <c r="B153">
        <f>IF($B$4&gt;$C$4*N152,"preference","convert")</f>
        <v/>
      </c>
      <c r="C153">
        <f>IF($B$5&gt;$C$5*N152,"preference","convert")</f>
        <v/>
      </c>
      <c r="D153">
        <f>IF($B$6&gt;$C$6*N152,"preference","convert")</f>
        <v/>
      </c>
      <c r="E153">
        <f>IF($B$7&gt;$C$7*N152,"preference","convert")</f>
        <v/>
      </c>
      <c r="F153">
        <f>IF($B$8&gt;$C$8*N152,"preference","convert")</f>
        <v/>
      </c>
      <c r="G153">
        <f>IF($B$9&gt;$C$9*N152,"preference","convert")</f>
        <v/>
      </c>
      <c r="H153">
        <f>IF($B$10&gt;$C$10*N152,"preference","convert")</f>
        <v/>
      </c>
      <c r="I153">
        <f>IF(B153="preference",$B$4,0)+IF(C153="preference",$B$5,0)+IF(D153="preference",$B$6,0)+IF(E153="preference",$B$7,0)+IF(F153="preference",$B$8,0)+IF(G153="preference",$B$9,0)+IF(H153="preference",$B$10,0)</f>
        <v/>
      </c>
      <c r="J153">
        <f>IF(B153="convert",$C$4,0)+IF(C153="convert",$C$5,0)+IF(D153="convert",$C$6,0)+IF(E153="convert",$C$7,0)+IF(F153="convert",$C$8,0)+IF(G153="convert",$C$9,0)+IF(H153="convert",$C$10,0)</f>
        <v/>
      </c>
      <c r="K153">
        <f>(Assumptions!$B$46+Assumptions!$B$47+Assumptions!$B$48)+Assumptions!$B$49+('Pro-Forma'!$M$21+'Pro-Forma'!$M$22)+J153</f>
        <v/>
      </c>
      <c r="L153">
        <f>(E12-I153+Assumptions!$B$31*Assumptions!$B$10)/(K153+Assumptions!$B$31)</f>
        <v/>
      </c>
      <c r="M153">
        <f>IF(L153&gt;Assumptions!$B$10,"yes","no")</f>
        <v/>
      </c>
      <c r="N153">
        <f>IF(M153="yes",L153,MAX(0,(E12-I153)/K153))</f>
        <v/>
      </c>
      <c r="O153">
        <f>IF(M153="yes",Assumptions!$B$31*(N153-Assumptions!$B$10),0)</f>
        <v/>
      </c>
    </row>
    <row r="156">
      <c r="A156" s="1" t="inlineStr">
        <is>
          <t>Exit 5 iteration ladder</t>
        </is>
      </c>
    </row>
    <row r="157">
      <c r="A157" s="2" t="inlineStr">
        <is>
          <t>Step</t>
        </is>
      </c>
      <c r="B157" s="2" t="inlineStr">
        <is>
          <t>F_el</t>
        </is>
      </c>
      <c r="C157" s="2" t="inlineStr">
        <is>
          <t>E_el</t>
        </is>
      </c>
      <c r="D157" s="2" t="inlineStr">
        <is>
          <t>D_el</t>
        </is>
      </c>
      <c r="E157" s="2" t="inlineStr">
        <is>
          <t>C_el</t>
        </is>
      </c>
      <c r="F157" s="2" t="inlineStr">
        <is>
          <t>B_el</t>
        </is>
      </c>
      <c r="G157" s="2" t="inlineStr">
        <is>
          <t>A_el</t>
        </is>
      </c>
      <c r="H157" s="2" t="inlineStr">
        <is>
          <t>Seed_el</t>
        </is>
      </c>
      <c r="I157" s="2" t="inlineStr">
        <is>
          <t>prefs</t>
        </is>
      </c>
      <c r="J157" s="2" t="inlineStr">
        <is>
          <t>conv_sh</t>
        </is>
      </c>
      <c r="K157" s="2" t="inlineStr">
        <is>
          <t>cpool</t>
        </is>
      </c>
      <c r="L157" s="2" t="inlineStr">
        <is>
          <t>ITM_PPS</t>
        </is>
      </c>
      <c r="M157" s="2" t="inlineStr">
        <is>
          <t>ITM?</t>
        </is>
      </c>
      <c r="N157" s="2" t="inlineStr">
        <is>
          <t>common_PPS</t>
        </is>
      </c>
      <c r="O157" s="2" t="inlineStr">
        <is>
          <t>opt_proc</t>
        </is>
      </c>
    </row>
    <row r="158">
      <c r="A158" t="inlineStr">
        <is>
          <t>seed (all convert)</t>
        </is>
      </c>
      <c r="B158">
        <f>"convert"</f>
        <v/>
      </c>
      <c r="C158">
        <f>"convert"</f>
        <v/>
      </c>
      <c r="D158">
        <f>"convert"</f>
        <v/>
      </c>
      <c r="E158">
        <f>"convert"</f>
        <v/>
      </c>
      <c r="F158">
        <f>"convert"</f>
        <v/>
      </c>
      <c r="G158">
        <f>"convert"</f>
        <v/>
      </c>
      <c r="H158">
        <f>"convert"</f>
        <v/>
      </c>
      <c r="I158">
        <f>IF(B158="preference",$B$4,0)+IF(C158="preference",$B$5,0)+IF(D158="preference",$B$6,0)+IF(E158="preference",$B$7,0)+IF(F158="preference",$B$8,0)+IF(G158="preference",$B$9,0)+IF(H158="preference",$B$10,0)</f>
        <v/>
      </c>
      <c r="J158">
        <f>IF(B158="convert",$C$4,0)+IF(C158="convert",$C$5,0)+IF(D158="convert",$C$6,0)+IF(E158="convert",$C$7,0)+IF(F158="convert",$C$8,0)+IF(G158="convert",$C$9,0)+IF(H158="convert",$C$10,0)</f>
        <v/>
      </c>
      <c r="K158">
        <f>(Assumptions!$B$46+Assumptions!$B$47+Assumptions!$B$48)+Assumptions!$B$49+('Pro-Forma'!$M$21+'Pro-Forma'!$M$22)+J158</f>
        <v/>
      </c>
      <c r="L158">
        <f>(F12-I158+Assumptions!$B$31*Assumptions!$B$10)/(K158+Assumptions!$B$31)</f>
        <v/>
      </c>
      <c r="M158">
        <f>IF(L158&gt;Assumptions!$B$10,"yes","no")</f>
        <v/>
      </c>
      <c r="N158">
        <f>IF(M158="yes",L158,MAX(0,(F12-I158)/K158))</f>
        <v/>
      </c>
      <c r="O158">
        <f>IF(M158="yes",Assumptions!$B$31*(N158-Assumptions!$B$10),0)</f>
        <v/>
      </c>
    </row>
    <row r="159">
      <c r="A159" t="inlineStr">
        <is>
          <t>iter 1</t>
        </is>
      </c>
      <c r="B159">
        <f>IF($B$4&gt;$C$4*N158,"preference","convert")</f>
        <v/>
      </c>
      <c r="C159">
        <f>IF($B$5&gt;$C$5*N158,"preference","convert")</f>
        <v/>
      </c>
      <c r="D159">
        <f>IF($B$6&gt;$C$6*N158,"preference","convert")</f>
        <v/>
      </c>
      <c r="E159">
        <f>IF($B$7&gt;$C$7*N158,"preference","convert")</f>
        <v/>
      </c>
      <c r="F159">
        <f>IF($B$8&gt;$C$8*N158,"preference","convert")</f>
        <v/>
      </c>
      <c r="G159">
        <f>IF($B$9&gt;$C$9*N158,"preference","convert")</f>
        <v/>
      </c>
      <c r="H159">
        <f>IF($B$10&gt;$C$10*N158,"preference","convert")</f>
        <v/>
      </c>
      <c r="I159">
        <f>IF(B159="preference",$B$4,0)+IF(C159="preference",$B$5,0)+IF(D159="preference",$B$6,0)+IF(E159="preference",$B$7,0)+IF(F159="preference",$B$8,0)+IF(G159="preference",$B$9,0)+IF(H159="preference",$B$10,0)</f>
        <v/>
      </c>
      <c r="J159">
        <f>IF(B159="convert",$C$4,0)+IF(C159="convert",$C$5,0)+IF(D159="convert",$C$6,0)+IF(E159="convert",$C$7,0)+IF(F159="convert",$C$8,0)+IF(G159="convert",$C$9,0)+IF(H159="convert",$C$10,0)</f>
        <v/>
      </c>
      <c r="K159">
        <f>(Assumptions!$B$46+Assumptions!$B$47+Assumptions!$B$48)+Assumptions!$B$49+('Pro-Forma'!$M$21+'Pro-Forma'!$M$22)+J159</f>
        <v/>
      </c>
      <c r="L159">
        <f>(F12-I159+Assumptions!$B$31*Assumptions!$B$10)/(K159+Assumptions!$B$31)</f>
        <v/>
      </c>
      <c r="M159">
        <f>IF(L159&gt;Assumptions!$B$10,"yes","no")</f>
        <v/>
      </c>
      <c r="N159">
        <f>IF(M159="yes",L159,MAX(0,(F12-I159)/K159))</f>
        <v/>
      </c>
      <c r="O159">
        <f>IF(M159="yes",Assumptions!$B$31*(N159-Assumptions!$B$10),0)</f>
        <v/>
      </c>
    </row>
    <row r="160">
      <c r="A160" t="inlineStr">
        <is>
          <t>iter 2</t>
        </is>
      </c>
      <c r="B160">
        <f>IF($B$4&gt;$C$4*N159,"preference","convert")</f>
        <v/>
      </c>
      <c r="C160">
        <f>IF($B$5&gt;$C$5*N159,"preference","convert")</f>
        <v/>
      </c>
      <c r="D160">
        <f>IF($B$6&gt;$C$6*N159,"preference","convert")</f>
        <v/>
      </c>
      <c r="E160">
        <f>IF($B$7&gt;$C$7*N159,"preference","convert")</f>
        <v/>
      </c>
      <c r="F160">
        <f>IF($B$8&gt;$C$8*N159,"preference","convert")</f>
        <v/>
      </c>
      <c r="G160">
        <f>IF($B$9&gt;$C$9*N159,"preference","convert")</f>
        <v/>
      </c>
      <c r="H160">
        <f>IF($B$10&gt;$C$10*N159,"preference","convert")</f>
        <v/>
      </c>
      <c r="I160">
        <f>IF(B160="preference",$B$4,0)+IF(C160="preference",$B$5,0)+IF(D160="preference",$B$6,0)+IF(E160="preference",$B$7,0)+IF(F160="preference",$B$8,0)+IF(G160="preference",$B$9,0)+IF(H160="preference",$B$10,0)</f>
        <v/>
      </c>
      <c r="J160">
        <f>IF(B160="convert",$C$4,0)+IF(C160="convert",$C$5,0)+IF(D160="convert",$C$6,0)+IF(E160="convert",$C$7,0)+IF(F160="convert",$C$8,0)+IF(G160="convert",$C$9,0)+IF(H160="convert",$C$10,0)</f>
        <v/>
      </c>
      <c r="K160">
        <f>(Assumptions!$B$46+Assumptions!$B$47+Assumptions!$B$48)+Assumptions!$B$49+('Pro-Forma'!$M$21+'Pro-Forma'!$M$22)+J160</f>
        <v/>
      </c>
      <c r="L160">
        <f>(F12-I160+Assumptions!$B$31*Assumptions!$B$10)/(K160+Assumptions!$B$31)</f>
        <v/>
      </c>
      <c r="M160">
        <f>IF(L160&gt;Assumptions!$B$10,"yes","no")</f>
        <v/>
      </c>
      <c r="N160">
        <f>IF(M160="yes",L160,MAX(0,(F12-I160)/K160))</f>
        <v/>
      </c>
      <c r="O160">
        <f>IF(M160="yes",Assumptions!$B$31*(N160-Assumptions!$B$10),0)</f>
        <v/>
      </c>
    </row>
    <row r="161">
      <c r="A161" t="inlineStr">
        <is>
          <t>iter 3</t>
        </is>
      </c>
      <c r="B161">
        <f>IF($B$4&gt;$C$4*N160,"preference","convert")</f>
        <v/>
      </c>
      <c r="C161">
        <f>IF($B$5&gt;$C$5*N160,"preference","convert")</f>
        <v/>
      </c>
      <c r="D161">
        <f>IF($B$6&gt;$C$6*N160,"preference","convert")</f>
        <v/>
      </c>
      <c r="E161">
        <f>IF($B$7&gt;$C$7*N160,"preference","convert")</f>
        <v/>
      </c>
      <c r="F161">
        <f>IF($B$8&gt;$C$8*N160,"preference","convert")</f>
        <v/>
      </c>
      <c r="G161">
        <f>IF($B$9&gt;$C$9*N160,"preference","convert")</f>
        <v/>
      </c>
      <c r="H161">
        <f>IF($B$10&gt;$C$10*N160,"preference","convert")</f>
        <v/>
      </c>
      <c r="I161">
        <f>IF(B161="preference",$B$4,0)+IF(C161="preference",$B$5,0)+IF(D161="preference",$B$6,0)+IF(E161="preference",$B$7,0)+IF(F161="preference",$B$8,0)+IF(G161="preference",$B$9,0)+IF(H161="preference",$B$10,0)</f>
        <v/>
      </c>
      <c r="J161">
        <f>IF(B161="convert",$C$4,0)+IF(C161="convert",$C$5,0)+IF(D161="convert",$C$6,0)+IF(E161="convert",$C$7,0)+IF(F161="convert",$C$8,0)+IF(G161="convert",$C$9,0)+IF(H161="convert",$C$10,0)</f>
        <v/>
      </c>
      <c r="K161">
        <f>(Assumptions!$B$46+Assumptions!$B$47+Assumptions!$B$48)+Assumptions!$B$49+('Pro-Forma'!$M$21+'Pro-Forma'!$M$22)+J161</f>
        <v/>
      </c>
      <c r="L161">
        <f>(F12-I161+Assumptions!$B$31*Assumptions!$B$10)/(K161+Assumptions!$B$31)</f>
        <v/>
      </c>
      <c r="M161">
        <f>IF(L161&gt;Assumptions!$B$10,"yes","no")</f>
        <v/>
      </c>
      <c r="N161">
        <f>IF(M161="yes",L161,MAX(0,(F12-I161)/K161))</f>
        <v/>
      </c>
      <c r="O161">
        <f>IF(M161="yes",Assumptions!$B$31*(N161-Assumptions!$B$10),0)</f>
        <v/>
      </c>
    </row>
    <row r="162">
      <c r="A162" t="inlineStr">
        <is>
          <t>iter 4</t>
        </is>
      </c>
      <c r="B162">
        <f>IF($B$4&gt;$C$4*N161,"preference","convert")</f>
        <v/>
      </c>
      <c r="C162">
        <f>IF($B$5&gt;$C$5*N161,"preference","convert")</f>
        <v/>
      </c>
      <c r="D162">
        <f>IF($B$6&gt;$C$6*N161,"preference","convert")</f>
        <v/>
      </c>
      <c r="E162">
        <f>IF($B$7&gt;$C$7*N161,"preference","convert")</f>
        <v/>
      </c>
      <c r="F162">
        <f>IF($B$8&gt;$C$8*N161,"preference","convert")</f>
        <v/>
      </c>
      <c r="G162">
        <f>IF($B$9&gt;$C$9*N161,"preference","convert")</f>
        <v/>
      </c>
      <c r="H162">
        <f>IF($B$10&gt;$C$10*N161,"preference","convert")</f>
        <v/>
      </c>
      <c r="I162">
        <f>IF(B162="preference",$B$4,0)+IF(C162="preference",$B$5,0)+IF(D162="preference",$B$6,0)+IF(E162="preference",$B$7,0)+IF(F162="preference",$B$8,0)+IF(G162="preference",$B$9,0)+IF(H162="preference",$B$10,0)</f>
        <v/>
      </c>
      <c r="J162">
        <f>IF(B162="convert",$C$4,0)+IF(C162="convert",$C$5,0)+IF(D162="convert",$C$6,0)+IF(E162="convert",$C$7,0)+IF(F162="convert",$C$8,0)+IF(G162="convert",$C$9,0)+IF(H162="convert",$C$10,0)</f>
        <v/>
      </c>
      <c r="K162">
        <f>(Assumptions!$B$46+Assumptions!$B$47+Assumptions!$B$48)+Assumptions!$B$49+('Pro-Forma'!$M$21+'Pro-Forma'!$M$22)+J162</f>
        <v/>
      </c>
      <c r="L162">
        <f>(F12-I162+Assumptions!$B$31*Assumptions!$B$10)/(K162+Assumptions!$B$31)</f>
        <v/>
      </c>
      <c r="M162">
        <f>IF(L162&gt;Assumptions!$B$10,"yes","no")</f>
        <v/>
      </c>
      <c r="N162">
        <f>IF(M162="yes",L162,MAX(0,(F12-I162)/K162))</f>
        <v/>
      </c>
      <c r="O162">
        <f>IF(M162="yes",Assumptions!$B$31*(N162-Assumptions!$B$10),0)</f>
        <v/>
      </c>
    </row>
    <row r="163">
      <c r="A163" t="inlineStr">
        <is>
          <t>iter 5</t>
        </is>
      </c>
      <c r="B163">
        <f>IF($B$4&gt;$C$4*N162,"preference","convert")</f>
        <v/>
      </c>
      <c r="C163">
        <f>IF($B$5&gt;$C$5*N162,"preference","convert")</f>
        <v/>
      </c>
      <c r="D163">
        <f>IF($B$6&gt;$C$6*N162,"preference","convert")</f>
        <v/>
      </c>
      <c r="E163">
        <f>IF($B$7&gt;$C$7*N162,"preference","convert")</f>
        <v/>
      </c>
      <c r="F163">
        <f>IF($B$8&gt;$C$8*N162,"preference","convert")</f>
        <v/>
      </c>
      <c r="G163">
        <f>IF($B$9&gt;$C$9*N162,"preference","convert")</f>
        <v/>
      </c>
      <c r="H163">
        <f>IF($B$10&gt;$C$10*N162,"preference","convert")</f>
        <v/>
      </c>
      <c r="I163">
        <f>IF(B163="preference",$B$4,0)+IF(C163="preference",$B$5,0)+IF(D163="preference",$B$6,0)+IF(E163="preference",$B$7,0)+IF(F163="preference",$B$8,0)+IF(G163="preference",$B$9,0)+IF(H163="preference",$B$10,0)</f>
        <v/>
      </c>
      <c r="J163">
        <f>IF(B163="convert",$C$4,0)+IF(C163="convert",$C$5,0)+IF(D163="convert",$C$6,0)+IF(E163="convert",$C$7,0)+IF(F163="convert",$C$8,0)+IF(G163="convert",$C$9,0)+IF(H163="convert",$C$10,0)</f>
        <v/>
      </c>
      <c r="K163">
        <f>(Assumptions!$B$46+Assumptions!$B$47+Assumptions!$B$48)+Assumptions!$B$49+('Pro-Forma'!$M$21+'Pro-Forma'!$M$22)+J163</f>
        <v/>
      </c>
      <c r="L163">
        <f>(F12-I163+Assumptions!$B$31*Assumptions!$B$10)/(K163+Assumptions!$B$31)</f>
        <v/>
      </c>
      <c r="M163">
        <f>IF(L163&gt;Assumptions!$B$10,"yes","no")</f>
        <v/>
      </c>
      <c r="N163">
        <f>IF(M163="yes",L163,MAX(0,(F12-I163)/K163))</f>
        <v/>
      </c>
      <c r="O163">
        <f>IF(M163="yes",Assumptions!$B$31*(N163-Assumptions!$B$10),0)</f>
        <v/>
      </c>
    </row>
    <row r="164">
      <c r="A164" t="inlineStr">
        <is>
          <t>iter 6</t>
        </is>
      </c>
      <c r="B164">
        <f>IF($B$4&gt;$C$4*N163,"preference","convert")</f>
        <v/>
      </c>
      <c r="C164">
        <f>IF($B$5&gt;$C$5*N163,"preference","convert")</f>
        <v/>
      </c>
      <c r="D164">
        <f>IF($B$6&gt;$C$6*N163,"preference","convert")</f>
        <v/>
      </c>
      <c r="E164">
        <f>IF($B$7&gt;$C$7*N163,"preference","convert")</f>
        <v/>
      </c>
      <c r="F164">
        <f>IF($B$8&gt;$C$8*N163,"preference","convert")</f>
        <v/>
      </c>
      <c r="G164">
        <f>IF($B$9&gt;$C$9*N163,"preference","convert")</f>
        <v/>
      </c>
      <c r="H164">
        <f>IF($B$10&gt;$C$10*N163,"preference","convert")</f>
        <v/>
      </c>
      <c r="I164">
        <f>IF(B164="preference",$B$4,0)+IF(C164="preference",$B$5,0)+IF(D164="preference",$B$6,0)+IF(E164="preference",$B$7,0)+IF(F164="preference",$B$8,0)+IF(G164="preference",$B$9,0)+IF(H164="preference",$B$10,0)</f>
        <v/>
      </c>
      <c r="J164">
        <f>IF(B164="convert",$C$4,0)+IF(C164="convert",$C$5,0)+IF(D164="convert",$C$6,0)+IF(E164="convert",$C$7,0)+IF(F164="convert",$C$8,0)+IF(G164="convert",$C$9,0)+IF(H164="convert",$C$10,0)</f>
        <v/>
      </c>
      <c r="K164">
        <f>(Assumptions!$B$46+Assumptions!$B$47+Assumptions!$B$48)+Assumptions!$B$49+('Pro-Forma'!$M$21+'Pro-Forma'!$M$22)+J164</f>
        <v/>
      </c>
      <c r="L164">
        <f>(F12-I164+Assumptions!$B$31*Assumptions!$B$10)/(K164+Assumptions!$B$31)</f>
        <v/>
      </c>
      <c r="M164">
        <f>IF(L164&gt;Assumptions!$B$10,"yes","no")</f>
        <v/>
      </c>
      <c r="N164">
        <f>IF(M164="yes",L164,MAX(0,(F12-I164)/K164))</f>
        <v/>
      </c>
      <c r="O164">
        <f>IF(M164="yes",Assumptions!$B$31*(N164-Assumptions!$B$10),0)</f>
        <v/>
      </c>
    </row>
    <row r="165">
      <c r="A165" t="inlineStr">
        <is>
          <t>iter 7</t>
        </is>
      </c>
      <c r="B165">
        <f>IF($B$4&gt;$C$4*N164,"preference","convert")</f>
        <v/>
      </c>
      <c r="C165">
        <f>IF($B$5&gt;$C$5*N164,"preference","convert")</f>
        <v/>
      </c>
      <c r="D165">
        <f>IF($B$6&gt;$C$6*N164,"preference","convert")</f>
        <v/>
      </c>
      <c r="E165">
        <f>IF($B$7&gt;$C$7*N164,"preference","convert")</f>
        <v/>
      </c>
      <c r="F165">
        <f>IF($B$8&gt;$C$8*N164,"preference","convert")</f>
        <v/>
      </c>
      <c r="G165">
        <f>IF($B$9&gt;$C$9*N164,"preference","convert")</f>
        <v/>
      </c>
      <c r="H165">
        <f>IF($B$10&gt;$C$10*N164,"preference","convert")</f>
        <v/>
      </c>
      <c r="I165">
        <f>IF(B165="preference",$B$4,0)+IF(C165="preference",$B$5,0)+IF(D165="preference",$B$6,0)+IF(E165="preference",$B$7,0)+IF(F165="preference",$B$8,0)+IF(G165="preference",$B$9,0)+IF(H165="preference",$B$10,0)</f>
        <v/>
      </c>
      <c r="J165">
        <f>IF(B165="convert",$C$4,0)+IF(C165="convert",$C$5,0)+IF(D165="convert",$C$6,0)+IF(E165="convert",$C$7,0)+IF(F165="convert",$C$8,0)+IF(G165="convert",$C$9,0)+IF(H165="convert",$C$10,0)</f>
        <v/>
      </c>
      <c r="K165">
        <f>(Assumptions!$B$46+Assumptions!$B$47+Assumptions!$B$48)+Assumptions!$B$49+('Pro-Forma'!$M$21+'Pro-Forma'!$M$22)+J165</f>
        <v/>
      </c>
      <c r="L165">
        <f>(F12-I165+Assumptions!$B$31*Assumptions!$B$10)/(K165+Assumptions!$B$31)</f>
        <v/>
      </c>
      <c r="M165">
        <f>IF(L165&gt;Assumptions!$B$10,"yes","no")</f>
        <v/>
      </c>
      <c r="N165">
        <f>IF(M165="yes",L165,MAX(0,(F12-I165)/K165))</f>
        <v/>
      </c>
      <c r="O165">
        <f>IF(M165="yes",Assumptions!$B$31*(N165-Assumptions!$B$10),0)</f>
        <v/>
      </c>
    </row>
    <row r="166">
      <c r="A166" t="inlineStr">
        <is>
          <t>iter 8</t>
        </is>
      </c>
      <c r="B166">
        <f>IF($B$4&gt;$C$4*N165,"preference","convert")</f>
        <v/>
      </c>
      <c r="C166">
        <f>IF($B$5&gt;$C$5*N165,"preference","convert")</f>
        <v/>
      </c>
      <c r="D166">
        <f>IF($B$6&gt;$C$6*N165,"preference","convert")</f>
        <v/>
      </c>
      <c r="E166">
        <f>IF($B$7&gt;$C$7*N165,"preference","convert")</f>
        <v/>
      </c>
      <c r="F166">
        <f>IF($B$8&gt;$C$8*N165,"preference","convert")</f>
        <v/>
      </c>
      <c r="G166">
        <f>IF($B$9&gt;$C$9*N165,"preference","convert")</f>
        <v/>
      </c>
      <c r="H166">
        <f>IF($B$10&gt;$C$10*N165,"preference","convert")</f>
        <v/>
      </c>
      <c r="I166">
        <f>IF(B166="preference",$B$4,0)+IF(C166="preference",$B$5,0)+IF(D166="preference",$B$6,0)+IF(E166="preference",$B$7,0)+IF(F166="preference",$B$8,0)+IF(G166="preference",$B$9,0)+IF(H166="preference",$B$10,0)</f>
        <v/>
      </c>
      <c r="J166">
        <f>IF(B166="convert",$C$4,0)+IF(C166="convert",$C$5,0)+IF(D166="convert",$C$6,0)+IF(E166="convert",$C$7,0)+IF(F166="convert",$C$8,0)+IF(G166="convert",$C$9,0)+IF(H166="convert",$C$10,0)</f>
        <v/>
      </c>
      <c r="K166">
        <f>(Assumptions!$B$46+Assumptions!$B$47+Assumptions!$B$48)+Assumptions!$B$49+('Pro-Forma'!$M$21+'Pro-Forma'!$M$22)+J166</f>
        <v/>
      </c>
      <c r="L166">
        <f>(F12-I166+Assumptions!$B$31*Assumptions!$B$10)/(K166+Assumptions!$B$31)</f>
        <v/>
      </c>
      <c r="M166">
        <f>IF(L166&gt;Assumptions!$B$10,"yes","no")</f>
        <v/>
      </c>
      <c r="N166">
        <f>IF(M166="yes",L166,MAX(0,(F12-I166)/K166))</f>
        <v/>
      </c>
      <c r="O166">
        <f>IF(M166="yes",Assumptions!$B$31*(N166-Assumptions!$B$10),0)</f>
        <v/>
      </c>
    </row>
    <row r="167">
      <c r="A167" t="inlineStr">
        <is>
          <t>iter 9</t>
        </is>
      </c>
      <c r="B167">
        <f>IF($B$4&gt;$C$4*N166,"preference","convert")</f>
        <v/>
      </c>
      <c r="C167">
        <f>IF($B$5&gt;$C$5*N166,"preference","convert")</f>
        <v/>
      </c>
      <c r="D167">
        <f>IF($B$6&gt;$C$6*N166,"preference","convert")</f>
        <v/>
      </c>
      <c r="E167">
        <f>IF($B$7&gt;$C$7*N166,"preference","convert")</f>
        <v/>
      </c>
      <c r="F167">
        <f>IF($B$8&gt;$C$8*N166,"preference","convert")</f>
        <v/>
      </c>
      <c r="G167">
        <f>IF($B$9&gt;$C$9*N166,"preference","convert")</f>
        <v/>
      </c>
      <c r="H167">
        <f>IF($B$10&gt;$C$10*N166,"preference","convert")</f>
        <v/>
      </c>
      <c r="I167">
        <f>IF(B167="preference",$B$4,0)+IF(C167="preference",$B$5,0)+IF(D167="preference",$B$6,0)+IF(E167="preference",$B$7,0)+IF(F167="preference",$B$8,0)+IF(G167="preference",$B$9,0)+IF(H167="preference",$B$10,0)</f>
        <v/>
      </c>
      <c r="J167">
        <f>IF(B167="convert",$C$4,0)+IF(C167="convert",$C$5,0)+IF(D167="convert",$C$6,0)+IF(E167="convert",$C$7,0)+IF(F167="convert",$C$8,0)+IF(G167="convert",$C$9,0)+IF(H167="convert",$C$10,0)</f>
        <v/>
      </c>
      <c r="K167">
        <f>(Assumptions!$B$46+Assumptions!$B$47+Assumptions!$B$48)+Assumptions!$B$49+('Pro-Forma'!$M$21+'Pro-Forma'!$M$22)+J167</f>
        <v/>
      </c>
      <c r="L167">
        <f>(F12-I167+Assumptions!$B$31*Assumptions!$B$10)/(K167+Assumptions!$B$31)</f>
        <v/>
      </c>
      <c r="M167">
        <f>IF(L167&gt;Assumptions!$B$10,"yes","no")</f>
        <v/>
      </c>
      <c r="N167">
        <f>IF(M167="yes",L167,MAX(0,(F12-I167)/K167))</f>
        <v/>
      </c>
      <c r="O167">
        <f>IF(M167="yes",Assumptions!$B$31*(N167-Assumptions!$B$10),0)</f>
        <v/>
      </c>
    </row>
    <row r="168">
      <c r="A168" t="inlineStr">
        <is>
          <t>iter 10</t>
        </is>
      </c>
      <c r="B168">
        <f>IF($B$4&gt;$C$4*N167,"preference","convert")</f>
        <v/>
      </c>
      <c r="C168">
        <f>IF($B$5&gt;$C$5*N167,"preference","convert")</f>
        <v/>
      </c>
      <c r="D168">
        <f>IF($B$6&gt;$C$6*N167,"preference","convert")</f>
        <v/>
      </c>
      <c r="E168">
        <f>IF($B$7&gt;$C$7*N167,"preference","convert")</f>
        <v/>
      </c>
      <c r="F168">
        <f>IF($B$8&gt;$C$8*N167,"preference","convert")</f>
        <v/>
      </c>
      <c r="G168">
        <f>IF($B$9&gt;$C$9*N167,"preference","convert")</f>
        <v/>
      </c>
      <c r="H168">
        <f>IF($B$10&gt;$C$10*N167,"preference","convert")</f>
        <v/>
      </c>
      <c r="I168">
        <f>IF(B168="preference",$B$4,0)+IF(C168="preference",$B$5,0)+IF(D168="preference",$B$6,0)+IF(E168="preference",$B$7,0)+IF(F168="preference",$B$8,0)+IF(G168="preference",$B$9,0)+IF(H168="preference",$B$10,0)</f>
        <v/>
      </c>
      <c r="J168">
        <f>IF(B168="convert",$C$4,0)+IF(C168="convert",$C$5,0)+IF(D168="convert",$C$6,0)+IF(E168="convert",$C$7,0)+IF(F168="convert",$C$8,0)+IF(G168="convert",$C$9,0)+IF(H168="convert",$C$10,0)</f>
        <v/>
      </c>
      <c r="K168">
        <f>(Assumptions!$B$46+Assumptions!$B$47+Assumptions!$B$48)+Assumptions!$B$49+('Pro-Forma'!$M$21+'Pro-Forma'!$M$22)+J168</f>
        <v/>
      </c>
      <c r="L168">
        <f>(F12-I168+Assumptions!$B$31*Assumptions!$B$10)/(K168+Assumptions!$B$31)</f>
        <v/>
      </c>
      <c r="M168">
        <f>IF(L168&gt;Assumptions!$B$10,"yes","no")</f>
        <v/>
      </c>
      <c r="N168">
        <f>IF(M168="yes",L168,MAX(0,(F12-I168)/K168))</f>
        <v/>
      </c>
      <c r="O168">
        <f>IF(M168="yes",Assumptions!$B$31*(N168-Assumptions!$B$10),0)</f>
        <v/>
      </c>
    </row>
    <row r="169">
      <c r="A169" t="inlineStr">
        <is>
          <t>iter 11</t>
        </is>
      </c>
      <c r="B169">
        <f>IF($B$4&gt;$C$4*N168,"preference","convert")</f>
        <v/>
      </c>
      <c r="C169">
        <f>IF($B$5&gt;$C$5*N168,"preference","convert")</f>
        <v/>
      </c>
      <c r="D169">
        <f>IF($B$6&gt;$C$6*N168,"preference","convert")</f>
        <v/>
      </c>
      <c r="E169">
        <f>IF($B$7&gt;$C$7*N168,"preference","convert")</f>
        <v/>
      </c>
      <c r="F169">
        <f>IF($B$8&gt;$C$8*N168,"preference","convert")</f>
        <v/>
      </c>
      <c r="G169">
        <f>IF($B$9&gt;$C$9*N168,"preference","convert")</f>
        <v/>
      </c>
      <c r="H169">
        <f>IF($B$10&gt;$C$10*N168,"preference","convert")</f>
        <v/>
      </c>
      <c r="I169">
        <f>IF(B169="preference",$B$4,0)+IF(C169="preference",$B$5,0)+IF(D169="preference",$B$6,0)+IF(E169="preference",$B$7,0)+IF(F169="preference",$B$8,0)+IF(G169="preference",$B$9,0)+IF(H169="preference",$B$10,0)</f>
        <v/>
      </c>
      <c r="J169">
        <f>IF(B169="convert",$C$4,0)+IF(C169="convert",$C$5,0)+IF(D169="convert",$C$6,0)+IF(E169="convert",$C$7,0)+IF(F169="convert",$C$8,0)+IF(G169="convert",$C$9,0)+IF(H169="convert",$C$10,0)</f>
        <v/>
      </c>
      <c r="K169">
        <f>(Assumptions!$B$46+Assumptions!$B$47+Assumptions!$B$48)+Assumptions!$B$49+('Pro-Forma'!$M$21+'Pro-Forma'!$M$22)+J169</f>
        <v/>
      </c>
      <c r="L169">
        <f>(F12-I169+Assumptions!$B$31*Assumptions!$B$10)/(K169+Assumptions!$B$31)</f>
        <v/>
      </c>
      <c r="M169">
        <f>IF(L169&gt;Assumptions!$B$10,"yes","no")</f>
        <v/>
      </c>
      <c r="N169">
        <f>IF(M169="yes",L169,MAX(0,(F12-I169)/K169))</f>
        <v/>
      </c>
      <c r="O169">
        <f>IF(M169="yes",Assumptions!$B$31*(N169-Assumptions!$B$10),0)</f>
        <v/>
      </c>
    </row>
    <row r="170">
      <c r="A170" t="inlineStr">
        <is>
          <t>iter 12</t>
        </is>
      </c>
      <c r="B170">
        <f>IF($B$4&gt;$C$4*N169,"preference","convert")</f>
        <v/>
      </c>
      <c r="C170">
        <f>IF($B$5&gt;$C$5*N169,"preference","convert")</f>
        <v/>
      </c>
      <c r="D170">
        <f>IF($B$6&gt;$C$6*N169,"preference","convert")</f>
        <v/>
      </c>
      <c r="E170">
        <f>IF($B$7&gt;$C$7*N169,"preference","convert")</f>
        <v/>
      </c>
      <c r="F170">
        <f>IF($B$8&gt;$C$8*N169,"preference","convert")</f>
        <v/>
      </c>
      <c r="G170">
        <f>IF($B$9&gt;$C$9*N169,"preference","convert")</f>
        <v/>
      </c>
      <c r="H170">
        <f>IF($B$10&gt;$C$10*N169,"preference","convert")</f>
        <v/>
      </c>
      <c r="I170">
        <f>IF(B170="preference",$B$4,0)+IF(C170="preference",$B$5,0)+IF(D170="preference",$B$6,0)+IF(E170="preference",$B$7,0)+IF(F170="preference",$B$8,0)+IF(G170="preference",$B$9,0)+IF(H170="preference",$B$10,0)</f>
        <v/>
      </c>
      <c r="J170">
        <f>IF(B170="convert",$C$4,0)+IF(C170="convert",$C$5,0)+IF(D170="convert",$C$6,0)+IF(E170="convert",$C$7,0)+IF(F170="convert",$C$8,0)+IF(G170="convert",$C$9,0)+IF(H170="convert",$C$10,0)</f>
        <v/>
      </c>
      <c r="K170">
        <f>(Assumptions!$B$46+Assumptions!$B$47+Assumptions!$B$48)+Assumptions!$B$49+('Pro-Forma'!$M$21+'Pro-Forma'!$M$22)+J170</f>
        <v/>
      </c>
      <c r="L170">
        <f>(F12-I170+Assumptions!$B$31*Assumptions!$B$10)/(K170+Assumptions!$B$31)</f>
        <v/>
      </c>
      <c r="M170">
        <f>IF(L170&gt;Assumptions!$B$10,"yes","no")</f>
        <v/>
      </c>
      <c r="N170">
        <f>IF(M170="yes",L170,MAX(0,(F12-I170)/K170))</f>
        <v/>
      </c>
      <c r="O170">
        <f>IF(M170="yes",Assumptions!$B$31*(N170-Assumptions!$B$10),0)</f>
        <v/>
      </c>
    </row>
    <row r="171">
      <c r="A171" t="inlineStr">
        <is>
          <t>iter 13</t>
        </is>
      </c>
      <c r="B171">
        <f>IF($B$4&gt;$C$4*N170,"preference","convert")</f>
        <v/>
      </c>
      <c r="C171">
        <f>IF($B$5&gt;$C$5*N170,"preference","convert")</f>
        <v/>
      </c>
      <c r="D171">
        <f>IF($B$6&gt;$C$6*N170,"preference","convert")</f>
        <v/>
      </c>
      <c r="E171">
        <f>IF($B$7&gt;$C$7*N170,"preference","convert")</f>
        <v/>
      </c>
      <c r="F171">
        <f>IF($B$8&gt;$C$8*N170,"preference","convert")</f>
        <v/>
      </c>
      <c r="G171">
        <f>IF($B$9&gt;$C$9*N170,"preference","convert")</f>
        <v/>
      </c>
      <c r="H171">
        <f>IF($B$10&gt;$C$10*N170,"preference","convert")</f>
        <v/>
      </c>
      <c r="I171">
        <f>IF(B171="preference",$B$4,0)+IF(C171="preference",$B$5,0)+IF(D171="preference",$B$6,0)+IF(E171="preference",$B$7,0)+IF(F171="preference",$B$8,0)+IF(G171="preference",$B$9,0)+IF(H171="preference",$B$10,0)</f>
        <v/>
      </c>
      <c r="J171">
        <f>IF(B171="convert",$C$4,0)+IF(C171="convert",$C$5,0)+IF(D171="convert",$C$6,0)+IF(E171="convert",$C$7,0)+IF(F171="convert",$C$8,0)+IF(G171="convert",$C$9,0)+IF(H171="convert",$C$10,0)</f>
        <v/>
      </c>
      <c r="K171">
        <f>(Assumptions!$B$46+Assumptions!$B$47+Assumptions!$B$48)+Assumptions!$B$49+('Pro-Forma'!$M$21+'Pro-Forma'!$M$22)+J171</f>
        <v/>
      </c>
      <c r="L171">
        <f>(F12-I171+Assumptions!$B$31*Assumptions!$B$10)/(K171+Assumptions!$B$31)</f>
        <v/>
      </c>
      <c r="M171">
        <f>IF(L171&gt;Assumptions!$B$10,"yes","no")</f>
        <v/>
      </c>
      <c r="N171">
        <f>IF(M171="yes",L171,MAX(0,(F12-I171)/K171))</f>
        <v/>
      </c>
      <c r="O171">
        <f>IF(M171="yes",Assumptions!$B$31*(N171-Assumptions!$B$10),0)</f>
        <v/>
      </c>
    </row>
    <row r="172">
      <c r="A172" t="inlineStr">
        <is>
          <t>iter 14</t>
        </is>
      </c>
      <c r="B172">
        <f>IF($B$4&gt;$C$4*N171,"preference","convert")</f>
        <v/>
      </c>
      <c r="C172">
        <f>IF($B$5&gt;$C$5*N171,"preference","convert")</f>
        <v/>
      </c>
      <c r="D172">
        <f>IF($B$6&gt;$C$6*N171,"preference","convert")</f>
        <v/>
      </c>
      <c r="E172">
        <f>IF($B$7&gt;$C$7*N171,"preference","convert")</f>
        <v/>
      </c>
      <c r="F172">
        <f>IF($B$8&gt;$C$8*N171,"preference","convert")</f>
        <v/>
      </c>
      <c r="G172">
        <f>IF($B$9&gt;$C$9*N171,"preference","convert")</f>
        <v/>
      </c>
      <c r="H172">
        <f>IF($B$10&gt;$C$10*N171,"preference","convert")</f>
        <v/>
      </c>
      <c r="I172">
        <f>IF(B172="preference",$B$4,0)+IF(C172="preference",$B$5,0)+IF(D172="preference",$B$6,0)+IF(E172="preference",$B$7,0)+IF(F172="preference",$B$8,0)+IF(G172="preference",$B$9,0)+IF(H172="preference",$B$10,0)</f>
        <v/>
      </c>
      <c r="J172">
        <f>IF(B172="convert",$C$4,0)+IF(C172="convert",$C$5,0)+IF(D172="convert",$C$6,0)+IF(E172="convert",$C$7,0)+IF(F172="convert",$C$8,0)+IF(G172="convert",$C$9,0)+IF(H172="convert",$C$10,0)</f>
        <v/>
      </c>
      <c r="K172">
        <f>(Assumptions!$B$46+Assumptions!$B$47+Assumptions!$B$48)+Assumptions!$B$49+('Pro-Forma'!$M$21+'Pro-Forma'!$M$22)+J172</f>
        <v/>
      </c>
      <c r="L172">
        <f>(F12-I172+Assumptions!$B$31*Assumptions!$B$10)/(K172+Assumptions!$B$31)</f>
        <v/>
      </c>
      <c r="M172">
        <f>IF(L172&gt;Assumptions!$B$10,"yes","no")</f>
        <v/>
      </c>
      <c r="N172">
        <f>IF(M172="yes",L172,MAX(0,(F12-I172)/K172))</f>
        <v/>
      </c>
      <c r="O172">
        <f>IF(M172="yes",Assumptions!$B$31*(N172-Assumptions!$B$10),0)</f>
        <v/>
      </c>
    </row>
    <row r="173">
      <c r="A173" t="inlineStr">
        <is>
          <t>iter 15</t>
        </is>
      </c>
      <c r="B173">
        <f>IF($B$4&gt;$C$4*N172,"preference","convert")</f>
        <v/>
      </c>
      <c r="C173">
        <f>IF($B$5&gt;$C$5*N172,"preference","convert")</f>
        <v/>
      </c>
      <c r="D173">
        <f>IF($B$6&gt;$C$6*N172,"preference","convert")</f>
        <v/>
      </c>
      <c r="E173">
        <f>IF($B$7&gt;$C$7*N172,"preference","convert")</f>
        <v/>
      </c>
      <c r="F173">
        <f>IF($B$8&gt;$C$8*N172,"preference","convert")</f>
        <v/>
      </c>
      <c r="G173">
        <f>IF($B$9&gt;$C$9*N172,"preference","convert")</f>
        <v/>
      </c>
      <c r="H173">
        <f>IF($B$10&gt;$C$10*N172,"preference","convert")</f>
        <v/>
      </c>
      <c r="I173">
        <f>IF(B173="preference",$B$4,0)+IF(C173="preference",$B$5,0)+IF(D173="preference",$B$6,0)+IF(E173="preference",$B$7,0)+IF(F173="preference",$B$8,0)+IF(G173="preference",$B$9,0)+IF(H173="preference",$B$10,0)</f>
        <v/>
      </c>
      <c r="J173">
        <f>IF(B173="convert",$C$4,0)+IF(C173="convert",$C$5,0)+IF(D173="convert",$C$6,0)+IF(E173="convert",$C$7,0)+IF(F173="convert",$C$8,0)+IF(G173="convert",$C$9,0)+IF(H173="convert",$C$10,0)</f>
        <v/>
      </c>
      <c r="K173">
        <f>(Assumptions!$B$46+Assumptions!$B$47+Assumptions!$B$48)+Assumptions!$B$49+('Pro-Forma'!$M$21+'Pro-Forma'!$M$22)+J173</f>
        <v/>
      </c>
      <c r="L173">
        <f>(F12-I173+Assumptions!$B$31*Assumptions!$B$10)/(K173+Assumptions!$B$31)</f>
        <v/>
      </c>
      <c r="M173">
        <f>IF(L173&gt;Assumptions!$B$10,"yes","no")</f>
        <v/>
      </c>
      <c r="N173">
        <f>IF(M173="yes",L173,MAX(0,(F12-I173)/K173))</f>
        <v/>
      </c>
      <c r="O173">
        <f>IF(M173="yes",Assumptions!$B$31*(N173-Assumptions!$B$10),0)</f>
        <v/>
      </c>
    </row>
    <row r="174">
      <c r="A174" t="inlineStr">
        <is>
          <t>iter 16</t>
        </is>
      </c>
      <c r="B174">
        <f>IF($B$4&gt;$C$4*N173,"preference","convert")</f>
        <v/>
      </c>
      <c r="C174">
        <f>IF($B$5&gt;$C$5*N173,"preference","convert")</f>
        <v/>
      </c>
      <c r="D174">
        <f>IF($B$6&gt;$C$6*N173,"preference","convert")</f>
        <v/>
      </c>
      <c r="E174">
        <f>IF($B$7&gt;$C$7*N173,"preference","convert")</f>
        <v/>
      </c>
      <c r="F174">
        <f>IF($B$8&gt;$C$8*N173,"preference","convert")</f>
        <v/>
      </c>
      <c r="G174">
        <f>IF($B$9&gt;$C$9*N173,"preference","convert")</f>
        <v/>
      </c>
      <c r="H174">
        <f>IF($B$10&gt;$C$10*N173,"preference","convert")</f>
        <v/>
      </c>
      <c r="I174">
        <f>IF(B174="preference",$B$4,0)+IF(C174="preference",$B$5,0)+IF(D174="preference",$B$6,0)+IF(E174="preference",$B$7,0)+IF(F174="preference",$B$8,0)+IF(G174="preference",$B$9,0)+IF(H174="preference",$B$10,0)</f>
        <v/>
      </c>
      <c r="J174">
        <f>IF(B174="convert",$C$4,0)+IF(C174="convert",$C$5,0)+IF(D174="convert",$C$6,0)+IF(E174="convert",$C$7,0)+IF(F174="convert",$C$8,0)+IF(G174="convert",$C$9,0)+IF(H174="convert",$C$10,0)</f>
        <v/>
      </c>
      <c r="K174">
        <f>(Assumptions!$B$46+Assumptions!$B$47+Assumptions!$B$48)+Assumptions!$B$49+('Pro-Forma'!$M$21+'Pro-Forma'!$M$22)+J174</f>
        <v/>
      </c>
      <c r="L174">
        <f>(F12-I174+Assumptions!$B$31*Assumptions!$B$10)/(K174+Assumptions!$B$31)</f>
        <v/>
      </c>
      <c r="M174">
        <f>IF(L174&gt;Assumptions!$B$10,"yes","no")</f>
        <v/>
      </c>
      <c r="N174">
        <f>IF(M174="yes",L174,MAX(0,(F12-I174)/K174))</f>
        <v/>
      </c>
      <c r="O174">
        <f>IF(M174="yes",Assumptions!$B$31*(N174-Assumptions!$B$10),0)</f>
        <v/>
      </c>
    </row>
    <row r="175">
      <c r="A175" t="inlineStr">
        <is>
          <t>iter 17</t>
        </is>
      </c>
      <c r="B175">
        <f>IF($B$4&gt;$C$4*N174,"preference","convert")</f>
        <v/>
      </c>
      <c r="C175">
        <f>IF($B$5&gt;$C$5*N174,"preference","convert")</f>
        <v/>
      </c>
      <c r="D175">
        <f>IF($B$6&gt;$C$6*N174,"preference","convert")</f>
        <v/>
      </c>
      <c r="E175">
        <f>IF($B$7&gt;$C$7*N174,"preference","convert")</f>
        <v/>
      </c>
      <c r="F175">
        <f>IF($B$8&gt;$C$8*N174,"preference","convert")</f>
        <v/>
      </c>
      <c r="G175">
        <f>IF($B$9&gt;$C$9*N174,"preference","convert")</f>
        <v/>
      </c>
      <c r="H175">
        <f>IF($B$10&gt;$C$10*N174,"preference","convert")</f>
        <v/>
      </c>
      <c r="I175">
        <f>IF(B175="preference",$B$4,0)+IF(C175="preference",$B$5,0)+IF(D175="preference",$B$6,0)+IF(E175="preference",$B$7,0)+IF(F175="preference",$B$8,0)+IF(G175="preference",$B$9,0)+IF(H175="preference",$B$10,0)</f>
        <v/>
      </c>
      <c r="J175">
        <f>IF(B175="convert",$C$4,0)+IF(C175="convert",$C$5,0)+IF(D175="convert",$C$6,0)+IF(E175="convert",$C$7,0)+IF(F175="convert",$C$8,0)+IF(G175="convert",$C$9,0)+IF(H175="convert",$C$10,0)</f>
        <v/>
      </c>
      <c r="K175">
        <f>(Assumptions!$B$46+Assumptions!$B$47+Assumptions!$B$48)+Assumptions!$B$49+('Pro-Forma'!$M$21+'Pro-Forma'!$M$22)+J175</f>
        <v/>
      </c>
      <c r="L175">
        <f>(F12-I175+Assumptions!$B$31*Assumptions!$B$10)/(K175+Assumptions!$B$31)</f>
        <v/>
      </c>
      <c r="M175">
        <f>IF(L175&gt;Assumptions!$B$10,"yes","no")</f>
        <v/>
      </c>
      <c r="N175">
        <f>IF(M175="yes",L175,MAX(0,(F12-I175)/K175))</f>
        <v/>
      </c>
      <c r="O175">
        <f>IF(M175="yes",Assumptions!$B$31*(N175-Assumptions!$B$10),0)</f>
        <v/>
      </c>
    </row>
    <row r="176">
      <c r="A176" t="inlineStr">
        <is>
          <t>iter 18</t>
        </is>
      </c>
      <c r="B176">
        <f>IF($B$4&gt;$C$4*N175,"preference","convert")</f>
        <v/>
      </c>
      <c r="C176">
        <f>IF($B$5&gt;$C$5*N175,"preference","convert")</f>
        <v/>
      </c>
      <c r="D176">
        <f>IF($B$6&gt;$C$6*N175,"preference","convert")</f>
        <v/>
      </c>
      <c r="E176">
        <f>IF($B$7&gt;$C$7*N175,"preference","convert")</f>
        <v/>
      </c>
      <c r="F176">
        <f>IF($B$8&gt;$C$8*N175,"preference","convert")</f>
        <v/>
      </c>
      <c r="G176">
        <f>IF($B$9&gt;$C$9*N175,"preference","convert")</f>
        <v/>
      </c>
      <c r="H176">
        <f>IF($B$10&gt;$C$10*N175,"preference","convert")</f>
        <v/>
      </c>
      <c r="I176">
        <f>IF(B176="preference",$B$4,0)+IF(C176="preference",$B$5,0)+IF(D176="preference",$B$6,0)+IF(E176="preference",$B$7,0)+IF(F176="preference",$B$8,0)+IF(G176="preference",$B$9,0)+IF(H176="preference",$B$10,0)</f>
        <v/>
      </c>
      <c r="J176">
        <f>IF(B176="convert",$C$4,0)+IF(C176="convert",$C$5,0)+IF(D176="convert",$C$6,0)+IF(E176="convert",$C$7,0)+IF(F176="convert",$C$8,0)+IF(G176="convert",$C$9,0)+IF(H176="convert",$C$10,0)</f>
        <v/>
      </c>
      <c r="K176">
        <f>(Assumptions!$B$46+Assumptions!$B$47+Assumptions!$B$48)+Assumptions!$B$49+('Pro-Forma'!$M$21+'Pro-Forma'!$M$22)+J176</f>
        <v/>
      </c>
      <c r="L176">
        <f>(F12-I176+Assumptions!$B$31*Assumptions!$B$10)/(K176+Assumptions!$B$31)</f>
        <v/>
      </c>
      <c r="M176">
        <f>IF(L176&gt;Assumptions!$B$10,"yes","no")</f>
        <v/>
      </c>
      <c r="N176">
        <f>IF(M176="yes",L176,MAX(0,(F12-I176)/K176))</f>
        <v/>
      </c>
      <c r="O176">
        <f>IF(M176="yes",Assumptions!$B$31*(N176-Assumptions!$B$10),0)</f>
        <v/>
      </c>
    </row>
    <row r="177">
      <c r="A177" t="inlineStr">
        <is>
          <t>iter 19</t>
        </is>
      </c>
      <c r="B177">
        <f>IF($B$4&gt;$C$4*N176,"preference","convert")</f>
        <v/>
      </c>
      <c r="C177">
        <f>IF($B$5&gt;$C$5*N176,"preference","convert")</f>
        <v/>
      </c>
      <c r="D177">
        <f>IF($B$6&gt;$C$6*N176,"preference","convert")</f>
        <v/>
      </c>
      <c r="E177">
        <f>IF($B$7&gt;$C$7*N176,"preference","convert")</f>
        <v/>
      </c>
      <c r="F177">
        <f>IF($B$8&gt;$C$8*N176,"preference","convert")</f>
        <v/>
      </c>
      <c r="G177">
        <f>IF($B$9&gt;$C$9*N176,"preference","convert")</f>
        <v/>
      </c>
      <c r="H177">
        <f>IF($B$10&gt;$C$10*N176,"preference","convert")</f>
        <v/>
      </c>
      <c r="I177">
        <f>IF(B177="preference",$B$4,0)+IF(C177="preference",$B$5,0)+IF(D177="preference",$B$6,0)+IF(E177="preference",$B$7,0)+IF(F177="preference",$B$8,0)+IF(G177="preference",$B$9,0)+IF(H177="preference",$B$10,0)</f>
        <v/>
      </c>
      <c r="J177">
        <f>IF(B177="convert",$C$4,0)+IF(C177="convert",$C$5,0)+IF(D177="convert",$C$6,0)+IF(E177="convert",$C$7,0)+IF(F177="convert",$C$8,0)+IF(G177="convert",$C$9,0)+IF(H177="convert",$C$10,0)</f>
        <v/>
      </c>
      <c r="K177">
        <f>(Assumptions!$B$46+Assumptions!$B$47+Assumptions!$B$48)+Assumptions!$B$49+('Pro-Forma'!$M$21+'Pro-Forma'!$M$22)+J177</f>
        <v/>
      </c>
      <c r="L177">
        <f>(F12-I177+Assumptions!$B$31*Assumptions!$B$10)/(K177+Assumptions!$B$31)</f>
        <v/>
      </c>
      <c r="M177">
        <f>IF(L177&gt;Assumptions!$B$10,"yes","no")</f>
        <v/>
      </c>
      <c r="N177">
        <f>IF(M177="yes",L177,MAX(0,(F12-I177)/K177))</f>
        <v/>
      </c>
      <c r="O177">
        <f>IF(M177="yes",Assumptions!$B$31*(N177-Assumptions!$B$10),0)</f>
        <v/>
      </c>
    </row>
    <row r="178">
      <c r="A178" t="inlineStr">
        <is>
          <t>iter 20</t>
        </is>
      </c>
      <c r="B178">
        <f>IF($B$4&gt;$C$4*N177,"preference","convert")</f>
        <v/>
      </c>
      <c r="C178">
        <f>IF($B$5&gt;$C$5*N177,"preference","convert")</f>
        <v/>
      </c>
      <c r="D178">
        <f>IF($B$6&gt;$C$6*N177,"preference","convert")</f>
        <v/>
      </c>
      <c r="E178">
        <f>IF($B$7&gt;$C$7*N177,"preference","convert")</f>
        <v/>
      </c>
      <c r="F178">
        <f>IF($B$8&gt;$C$8*N177,"preference","convert")</f>
        <v/>
      </c>
      <c r="G178">
        <f>IF($B$9&gt;$C$9*N177,"preference","convert")</f>
        <v/>
      </c>
      <c r="H178">
        <f>IF($B$10&gt;$C$10*N177,"preference","convert")</f>
        <v/>
      </c>
      <c r="I178">
        <f>IF(B178="preference",$B$4,0)+IF(C178="preference",$B$5,0)+IF(D178="preference",$B$6,0)+IF(E178="preference",$B$7,0)+IF(F178="preference",$B$8,0)+IF(G178="preference",$B$9,0)+IF(H178="preference",$B$10,0)</f>
        <v/>
      </c>
      <c r="J178">
        <f>IF(B178="convert",$C$4,0)+IF(C178="convert",$C$5,0)+IF(D178="convert",$C$6,0)+IF(E178="convert",$C$7,0)+IF(F178="convert",$C$8,0)+IF(G178="convert",$C$9,0)+IF(H178="convert",$C$10,0)</f>
        <v/>
      </c>
      <c r="K178">
        <f>(Assumptions!$B$46+Assumptions!$B$47+Assumptions!$B$48)+Assumptions!$B$49+('Pro-Forma'!$M$21+'Pro-Forma'!$M$22)+J178</f>
        <v/>
      </c>
      <c r="L178">
        <f>(F12-I178+Assumptions!$B$31*Assumptions!$B$10)/(K178+Assumptions!$B$31)</f>
        <v/>
      </c>
      <c r="M178">
        <f>IF(L178&gt;Assumptions!$B$10,"yes","no")</f>
        <v/>
      </c>
      <c r="N178">
        <f>IF(M178="yes",L178,MAX(0,(F12-I178)/K178))</f>
        <v/>
      </c>
      <c r="O178">
        <f>IF(M178="yes",Assumptions!$B$31*(N178-Assumptions!$B$10),0)</f>
        <v/>
      </c>
    </row>
    <row r="179">
      <c r="A179" t="inlineStr">
        <is>
          <t>iter 21</t>
        </is>
      </c>
      <c r="B179">
        <f>IF($B$4&gt;$C$4*N178,"preference","convert")</f>
        <v/>
      </c>
      <c r="C179">
        <f>IF($B$5&gt;$C$5*N178,"preference","convert")</f>
        <v/>
      </c>
      <c r="D179">
        <f>IF($B$6&gt;$C$6*N178,"preference","convert")</f>
        <v/>
      </c>
      <c r="E179">
        <f>IF($B$7&gt;$C$7*N178,"preference","convert")</f>
        <v/>
      </c>
      <c r="F179">
        <f>IF($B$8&gt;$C$8*N178,"preference","convert")</f>
        <v/>
      </c>
      <c r="G179">
        <f>IF($B$9&gt;$C$9*N178,"preference","convert")</f>
        <v/>
      </c>
      <c r="H179">
        <f>IF($B$10&gt;$C$10*N178,"preference","convert")</f>
        <v/>
      </c>
      <c r="I179">
        <f>IF(B179="preference",$B$4,0)+IF(C179="preference",$B$5,0)+IF(D179="preference",$B$6,0)+IF(E179="preference",$B$7,0)+IF(F179="preference",$B$8,0)+IF(G179="preference",$B$9,0)+IF(H179="preference",$B$10,0)</f>
        <v/>
      </c>
      <c r="J179">
        <f>IF(B179="convert",$C$4,0)+IF(C179="convert",$C$5,0)+IF(D179="convert",$C$6,0)+IF(E179="convert",$C$7,0)+IF(F179="convert",$C$8,0)+IF(G179="convert",$C$9,0)+IF(H179="convert",$C$10,0)</f>
        <v/>
      </c>
      <c r="K179">
        <f>(Assumptions!$B$46+Assumptions!$B$47+Assumptions!$B$48)+Assumptions!$B$49+('Pro-Forma'!$M$21+'Pro-Forma'!$M$22)+J179</f>
        <v/>
      </c>
      <c r="L179">
        <f>(F12-I179+Assumptions!$B$31*Assumptions!$B$10)/(K179+Assumptions!$B$31)</f>
        <v/>
      </c>
      <c r="M179">
        <f>IF(L179&gt;Assumptions!$B$10,"yes","no")</f>
        <v/>
      </c>
      <c r="N179">
        <f>IF(M179="yes",L179,MAX(0,(F12-I179)/K179))</f>
        <v/>
      </c>
      <c r="O179">
        <f>IF(M179="yes",Assumptions!$B$31*(N179-Assumptions!$B$10),0)</f>
        <v/>
      </c>
    </row>
    <row r="180">
      <c r="A180" t="inlineStr">
        <is>
          <t>iter 22</t>
        </is>
      </c>
      <c r="B180">
        <f>IF($B$4&gt;$C$4*N179,"preference","convert")</f>
        <v/>
      </c>
      <c r="C180">
        <f>IF($B$5&gt;$C$5*N179,"preference","convert")</f>
        <v/>
      </c>
      <c r="D180">
        <f>IF($B$6&gt;$C$6*N179,"preference","convert")</f>
        <v/>
      </c>
      <c r="E180">
        <f>IF($B$7&gt;$C$7*N179,"preference","convert")</f>
        <v/>
      </c>
      <c r="F180">
        <f>IF($B$8&gt;$C$8*N179,"preference","convert")</f>
        <v/>
      </c>
      <c r="G180">
        <f>IF($B$9&gt;$C$9*N179,"preference","convert")</f>
        <v/>
      </c>
      <c r="H180">
        <f>IF($B$10&gt;$C$10*N179,"preference","convert")</f>
        <v/>
      </c>
      <c r="I180">
        <f>IF(B180="preference",$B$4,0)+IF(C180="preference",$B$5,0)+IF(D180="preference",$B$6,0)+IF(E180="preference",$B$7,0)+IF(F180="preference",$B$8,0)+IF(G180="preference",$B$9,0)+IF(H180="preference",$B$10,0)</f>
        <v/>
      </c>
      <c r="J180">
        <f>IF(B180="convert",$C$4,0)+IF(C180="convert",$C$5,0)+IF(D180="convert",$C$6,0)+IF(E180="convert",$C$7,0)+IF(F180="convert",$C$8,0)+IF(G180="convert",$C$9,0)+IF(H180="convert",$C$10,0)</f>
        <v/>
      </c>
      <c r="K180">
        <f>(Assumptions!$B$46+Assumptions!$B$47+Assumptions!$B$48)+Assumptions!$B$49+('Pro-Forma'!$M$21+'Pro-Forma'!$M$22)+J180</f>
        <v/>
      </c>
      <c r="L180">
        <f>(F12-I180+Assumptions!$B$31*Assumptions!$B$10)/(K180+Assumptions!$B$31)</f>
        <v/>
      </c>
      <c r="M180">
        <f>IF(L180&gt;Assumptions!$B$10,"yes","no")</f>
        <v/>
      </c>
      <c r="N180">
        <f>IF(M180="yes",L180,MAX(0,(F12-I180)/K180))</f>
        <v/>
      </c>
      <c r="O180">
        <f>IF(M180="yes",Assumptions!$B$31*(N180-Assumptions!$B$10),0)</f>
        <v/>
      </c>
    </row>
    <row r="181">
      <c r="A181" t="inlineStr">
        <is>
          <t>iter 23</t>
        </is>
      </c>
      <c r="B181">
        <f>IF($B$4&gt;$C$4*N180,"preference","convert")</f>
        <v/>
      </c>
      <c r="C181">
        <f>IF($B$5&gt;$C$5*N180,"preference","convert")</f>
        <v/>
      </c>
      <c r="D181">
        <f>IF($B$6&gt;$C$6*N180,"preference","convert")</f>
        <v/>
      </c>
      <c r="E181">
        <f>IF($B$7&gt;$C$7*N180,"preference","convert")</f>
        <v/>
      </c>
      <c r="F181">
        <f>IF($B$8&gt;$C$8*N180,"preference","convert")</f>
        <v/>
      </c>
      <c r="G181">
        <f>IF($B$9&gt;$C$9*N180,"preference","convert")</f>
        <v/>
      </c>
      <c r="H181">
        <f>IF($B$10&gt;$C$10*N180,"preference","convert")</f>
        <v/>
      </c>
      <c r="I181">
        <f>IF(B181="preference",$B$4,0)+IF(C181="preference",$B$5,0)+IF(D181="preference",$B$6,0)+IF(E181="preference",$B$7,0)+IF(F181="preference",$B$8,0)+IF(G181="preference",$B$9,0)+IF(H181="preference",$B$10,0)</f>
        <v/>
      </c>
      <c r="J181">
        <f>IF(B181="convert",$C$4,0)+IF(C181="convert",$C$5,0)+IF(D181="convert",$C$6,0)+IF(E181="convert",$C$7,0)+IF(F181="convert",$C$8,0)+IF(G181="convert",$C$9,0)+IF(H181="convert",$C$10,0)</f>
        <v/>
      </c>
      <c r="K181">
        <f>(Assumptions!$B$46+Assumptions!$B$47+Assumptions!$B$48)+Assumptions!$B$49+('Pro-Forma'!$M$21+'Pro-Forma'!$M$22)+J181</f>
        <v/>
      </c>
      <c r="L181">
        <f>(F12-I181+Assumptions!$B$31*Assumptions!$B$10)/(K181+Assumptions!$B$31)</f>
        <v/>
      </c>
      <c r="M181">
        <f>IF(L181&gt;Assumptions!$B$10,"yes","no")</f>
        <v/>
      </c>
      <c r="N181">
        <f>IF(M181="yes",L181,MAX(0,(F12-I181)/K181))</f>
        <v/>
      </c>
      <c r="O181">
        <f>IF(M181="yes",Assumptions!$B$31*(N181-Assumptions!$B$10),0)</f>
        <v/>
      </c>
    </row>
    <row r="182">
      <c r="A182" t="inlineStr">
        <is>
          <t>iter 24</t>
        </is>
      </c>
      <c r="B182">
        <f>IF($B$4&gt;$C$4*N181,"preference","convert")</f>
        <v/>
      </c>
      <c r="C182">
        <f>IF($B$5&gt;$C$5*N181,"preference","convert")</f>
        <v/>
      </c>
      <c r="D182">
        <f>IF($B$6&gt;$C$6*N181,"preference","convert")</f>
        <v/>
      </c>
      <c r="E182">
        <f>IF($B$7&gt;$C$7*N181,"preference","convert")</f>
        <v/>
      </c>
      <c r="F182">
        <f>IF($B$8&gt;$C$8*N181,"preference","convert")</f>
        <v/>
      </c>
      <c r="G182">
        <f>IF($B$9&gt;$C$9*N181,"preference","convert")</f>
        <v/>
      </c>
      <c r="H182">
        <f>IF($B$10&gt;$C$10*N181,"preference","convert")</f>
        <v/>
      </c>
      <c r="I182">
        <f>IF(B182="preference",$B$4,0)+IF(C182="preference",$B$5,0)+IF(D182="preference",$B$6,0)+IF(E182="preference",$B$7,0)+IF(F182="preference",$B$8,0)+IF(G182="preference",$B$9,0)+IF(H182="preference",$B$10,0)</f>
        <v/>
      </c>
      <c r="J182">
        <f>IF(B182="convert",$C$4,0)+IF(C182="convert",$C$5,0)+IF(D182="convert",$C$6,0)+IF(E182="convert",$C$7,0)+IF(F182="convert",$C$8,0)+IF(G182="convert",$C$9,0)+IF(H182="convert",$C$10,0)</f>
        <v/>
      </c>
      <c r="K182">
        <f>(Assumptions!$B$46+Assumptions!$B$47+Assumptions!$B$48)+Assumptions!$B$49+('Pro-Forma'!$M$21+'Pro-Forma'!$M$22)+J182</f>
        <v/>
      </c>
      <c r="L182">
        <f>(F12-I182+Assumptions!$B$31*Assumptions!$B$10)/(K182+Assumptions!$B$31)</f>
        <v/>
      </c>
      <c r="M182">
        <f>IF(L182&gt;Assumptions!$B$10,"yes","no")</f>
        <v/>
      </c>
      <c r="N182">
        <f>IF(M182="yes",L182,MAX(0,(F12-I182)/K182))</f>
        <v/>
      </c>
      <c r="O182">
        <f>IF(M182="yes",Assumptions!$B$31*(N182-Assumptions!$B$10),0)</f>
        <v/>
      </c>
    </row>
    <row r="183">
      <c r="A183" t="inlineStr">
        <is>
          <t>iter 25</t>
        </is>
      </c>
      <c r="B183">
        <f>IF($B$4&gt;$C$4*N182,"preference","convert")</f>
        <v/>
      </c>
      <c r="C183">
        <f>IF($B$5&gt;$C$5*N182,"preference","convert")</f>
        <v/>
      </c>
      <c r="D183">
        <f>IF($B$6&gt;$C$6*N182,"preference","convert")</f>
        <v/>
      </c>
      <c r="E183">
        <f>IF($B$7&gt;$C$7*N182,"preference","convert")</f>
        <v/>
      </c>
      <c r="F183">
        <f>IF($B$8&gt;$C$8*N182,"preference","convert")</f>
        <v/>
      </c>
      <c r="G183">
        <f>IF($B$9&gt;$C$9*N182,"preference","convert")</f>
        <v/>
      </c>
      <c r="H183">
        <f>IF($B$10&gt;$C$10*N182,"preference","convert")</f>
        <v/>
      </c>
      <c r="I183">
        <f>IF(B183="preference",$B$4,0)+IF(C183="preference",$B$5,0)+IF(D183="preference",$B$6,0)+IF(E183="preference",$B$7,0)+IF(F183="preference",$B$8,0)+IF(G183="preference",$B$9,0)+IF(H183="preference",$B$10,0)</f>
        <v/>
      </c>
      <c r="J183">
        <f>IF(B183="convert",$C$4,0)+IF(C183="convert",$C$5,0)+IF(D183="convert",$C$6,0)+IF(E183="convert",$C$7,0)+IF(F183="convert",$C$8,0)+IF(G183="convert",$C$9,0)+IF(H183="convert",$C$10,0)</f>
        <v/>
      </c>
      <c r="K183">
        <f>(Assumptions!$B$46+Assumptions!$B$47+Assumptions!$B$48)+Assumptions!$B$49+('Pro-Forma'!$M$21+'Pro-Forma'!$M$22)+J183</f>
        <v/>
      </c>
      <c r="L183">
        <f>(F12-I183+Assumptions!$B$31*Assumptions!$B$10)/(K183+Assumptions!$B$31)</f>
        <v/>
      </c>
      <c r="M183">
        <f>IF(L183&gt;Assumptions!$B$10,"yes","no")</f>
        <v/>
      </c>
      <c r="N183">
        <f>IF(M183="yes",L183,MAX(0,(F12-I183)/K183))</f>
        <v/>
      </c>
      <c r="O183">
        <f>IF(M183="yes",Assumptions!$B$31*(N183-Assumptions!$B$10),0)</f>
        <v/>
      </c>
    </row>
    <row r="184">
      <c r="A184" t="inlineStr">
        <is>
          <t>iter 26</t>
        </is>
      </c>
      <c r="B184">
        <f>IF($B$4&gt;$C$4*N183,"preference","convert")</f>
        <v/>
      </c>
      <c r="C184">
        <f>IF($B$5&gt;$C$5*N183,"preference","convert")</f>
        <v/>
      </c>
      <c r="D184">
        <f>IF($B$6&gt;$C$6*N183,"preference","convert")</f>
        <v/>
      </c>
      <c r="E184">
        <f>IF($B$7&gt;$C$7*N183,"preference","convert")</f>
        <v/>
      </c>
      <c r="F184">
        <f>IF($B$8&gt;$C$8*N183,"preference","convert")</f>
        <v/>
      </c>
      <c r="G184">
        <f>IF($B$9&gt;$C$9*N183,"preference","convert")</f>
        <v/>
      </c>
      <c r="H184">
        <f>IF($B$10&gt;$C$10*N183,"preference","convert")</f>
        <v/>
      </c>
      <c r="I184">
        <f>IF(B184="preference",$B$4,0)+IF(C184="preference",$B$5,0)+IF(D184="preference",$B$6,0)+IF(E184="preference",$B$7,0)+IF(F184="preference",$B$8,0)+IF(G184="preference",$B$9,0)+IF(H184="preference",$B$10,0)</f>
        <v/>
      </c>
      <c r="J184">
        <f>IF(B184="convert",$C$4,0)+IF(C184="convert",$C$5,0)+IF(D184="convert",$C$6,0)+IF(E184="convert",$C$7,0)+IF(F184="convert",$C$8,0)+IF(G184="convert",$C$9,0)+IF(H184="convert",$C$10,0)</f>
        <v/>
      </c>
      <c r="K184">
        <f>(Assumptions!$B$46+Assumptions!$B$47+Assumptions!$B$48)+Assumptions!$B$49+('Pro-Forma'!$M$21+'Pro-Forma'!$M$22)+J184</f>
        <v/>
      </c>
      <c r="L184">
        <f>(F12-I184+Assumptions!$B$31*Assumptions!$B$10)/(K184+Assumptions!$B$31)</f>
        <v/>
      </c>
      <c r="M184">
        <f>IF(L184&gt;Assumptions!$B$10,"yes","no")</f>
        <v/>
      </c>
      <c r="N184">
        <f>IF(M184="yes",L184,MAX(0,(F12-I184)/K184))</f>
        <v/>
      </c>
      <c r="O184">
        <f>IF(M184="yes",Assumptions!$B$31*(N184-Assumptions!$B$10),0)</f>
        <v/>
      </c>
    </row>
    <row r="185">
      <c r="A185" t="inlineStr">
        <is>
          <t>iter 27</t>
        </is>
      </c>
      <c r="B185">
        <f>IF($B$4&gt;$C$4*N184,"preference","convert")</f>
        <v/>
      </c>
      <c r="C185">
        <f>IF($B$5&gt;$C$5*N184,"preference","convert")</f>
        <v/>
      </c>
      <c r="D185">
        <f>IF($B$6&gt;$C$6*N184,"preference","convert")</f>
        <v/>
      </c>
      <c r="E185">
        <f>IF($B$7&gt;$C$7*N184,"preference","convert")</f>
        <v/>
      </c>
      <c r="F185">
        <f>IF($B$8&gt;$C$8*N184,"preference","convert")</f>
        <v/>
      </c>
      <c r="G185">
        <f>IF($B$9&gt;$C$9*N184,"preference","convert")</f>
        <v/>
      </c>
      <c r="H185">
        <f>IF($B$10&gt;$C$10*N184,"preference","convert")</f>
        <v/>
      </c>
      <c r="I185">
        <f>IF(B185="preference",$B$4,0)+IF(C185="preference",$B$5,0)+IF(D185="preference",$B$6,0)+IF(E185="preference",$B$7,0)+IF(F185="preference",$B$8,0)+IF(G185="preference",$B$9,0)+IF(H185="preference",$B$10,0)</f>
        <v/>
      </c>
      <c r="J185">
        <f>IF(B185="convert",$C$4,0)+IF(C185="convert",$C$5,0)+IF(D185="convert",$C$6,0)+IF(E185="convert",$C$7,0)+IF(F185="convert",$C$8,0)+IF(G185="convert",$C$9,0)+IF(H185="convert",$C$10,0)</f>
        <v/>
      </c>
      <c r="K185">
        <f>(Assumptions!$B$46+Assumptions!$B$47+Assumptions!$B$48)+Assumptions!$B$49+('Pro-Forma'!$M$21+'Pro-Forma'!$M$22)+J185</f>
        <v/>
      </c>
      <c r="L185">
        <f>(F12-I185+Assumptions!$B$31*Assumptions!$B$10)/(K185+Assumptions!$B$31)</f>
        <v/>
      </c>
      <c r="M185">
        <f>IF(L185&gt;Assumptions!$B$10,"yes","no")</f>
        <v/>
      </c>
      <c r="N185">
        <f>IF(M185="yes",L185,MAX(0,(F12-I185)/K185))</f>
        <v/>
      </c>
      <c r="O185">
        <f>IF(M185="yes",Assumptions!$B$31*(N185-Assumptions!$B$10),0)</f>
        <v/>
      </c>
    </row>
    <row r="186">
      <c r="A186" t="inlineStr">
        <is>
          <t>iter 28</t>
        </is>
      </c>
      <c r="B186">
        <f>IF($B$4&gt;$C$4*N185,"preference","convert")</f>
        <v/>
      </c>
      <c r="C186">
        <f>IF($B$5&gt;$C$5*N185,"preference","convert")</f>
        <v/>
      </c>
      <c r="D186">
        <f>IF($B$6&gt;$C$6*N185,"preference","convert")</f>
        <v/>
      </c>
      <c r="E186">
        <f>IF($B$7&gt;$C$7*N185,"preference","convert")</f>
        <v/>
      </c>
      <c r="F186">
        <f>IF($B$8&gt;$C$8*N185,"preference","convert")</f>
        <v/>
      </c>
      <c r="G186">
        <f>IF($B$9&gt;$C$9*N185,"preference","convert")</f>
        <v/>
      </c>
      <c r="H186">
        <f>IF($B$10&gt;$C$10*N185,"preference","convert")</f>
        <v/>
      </c>
      <c r="I186">
        <f>IF(B186="preference",$B$4,0)+IF(C186="preference",$B$5,0)+IF(D186="preference",$B$6,0)+IF(E186="preference",$B$7,0)+IF(F186="preference",$B$8,0)+IF(G186="preference",$B$9,0)+IF(H186="preference",$B$10,0)</f>
        <v/>
      </c>
      <c r="J186">
        <f>IF(B186="convert",$C$4,0)+IF(C186="convert",$C$5,0)+IF(D186="convert",$C$6,0)+IF(E186="convert",$C$7,0)+IF(F186="convert",$C$8,0)+IF(G186="convert",$C$9,0)+IF(H186="convert",$C$10,0)</f>
        <v/>
      </c>
      <c r="K186">
        <f>(Assumptions!$B$46+Assumptions!$B$47+Assumptions!$B$48)+Assumptions!$B$49+('Pro-Forma'!$M$21+'Pro-Forma'!$M$22)+J186</f>
        <v/>
      </c>
      <c r="L186">
        <f>(F12-I186+Assumptions!$B$31*Assumptions!$B$10)/(K186+Assumptions!$B$31)</f>
        <v/>
      </c>
      <c r="M186">
        <f>IF(L186&gt;Assumptions!$B$10,"yes","no")</f>
        <v/>
      </c>
      <c r="N186">
        <f>IF(M186="yes",L186,MAX(0,(F12-I186)/K186))</f>
        <v/>
      </c>
      <c r="O186">
        <f>IF(M186="yes",Assumptions!$B$31*(N186-Assumptions!$B$10),0)</f>
        <v/>
      </c>
    </row>
    <row r="187">
      <c r="A187" t="inlineStr">
        <is>
          <t>iter 29</t>
        </is>
      </c>
      <c r="B187">
        <f>IF($B$4&gt;$C$4*N186,"preference","convert")</f>
        <v/>
      </c>
      <c r="C187">
        <f>IF($B$5&gt;$C$5*N186,"preference","convert")</f>
        <v/>
      </c>
      <c r="D187">
        <f>IF($B$6&gt;$C$6*N186,"preference","convert")</f>
        <v/>
      </c>
      <c r="E187">
        <f>IF($B$7&gt;$C$7*N186,"preference","convert")</f>
        <v/>
      </c>
      <c r="F187">
        <f>IF($B$8&gt;$C$8*N186,"preference","convert")</f>
        <v/>
      </c>
      <c r="G187">
        <f>IF($B$9&gt;$C$9*N186,"preference","convert")</f>
        <v/>
      </c>
      <c r="H187">
        <f>IF($B$10&gt;$C$10*N186,"preference","convert")</f>
        <v/>
      </c>
      <c r="I187">
        <f>IF(B187="preference",$B$4,0)+IF(C187="preference",$B$5,0)+IF(D187="preference",$B$6,0)+IF(E187="preference",$B$7,0)+IF(F187="preference",$B$8,0)+IF(G187="preference",$B$9,0)+IF(H187="preference",$B$10,0)</f>
        <v/>
      </c>
      <c r="J187">
        <f>IF(B187="convert",$C$4,0)+IF(C187="convert",$C$5,0)+IF(D187="convert",$C$6,0)+IF(E187="convert",$C$7,0)+IF(F187="convert",$C$8,0)+IF(G187="convert",$C$9,0)+IF(H187="convert",$C$10,0)</f>
        <v/>
      </c>
      <c r="K187">
        <f>(Assumptions!$B$46+Assumptions!$B$47+Assumptions!$B$48)+Assumptions!$B$49+('Pro-Forma'!$M$21+'Pro-Forma'!$M$22)+J187</f>
        <v/>
      </c>
      <c r="L187">
        <f>(F12-I187+Assumptions!$B$31*Assumptions!$B$10)/(K187+Assumptions!$B$31)</f>
        <v/>
      </c>
      <c r="M187">
        <f>IF(L187&gt;Assumptions!$B$10,"yes","no")</f>
        <v/>
      </c>
      <c r="N187">
        <f>IF(M187="yes",L187,MAX(0,(F12-I187)/K187))</f>
        <v/>
      </c>
      <c r="O187">
        <f>IF(M187="yes",Assumptions!$B$31*(N187-Assumptions!$B$10),0)</f>
        <v/>
      </c>
    </row>
    <row r="188">
      <c r="A188" t="inlineStr">
        <is>
          <t>iter 30</t>
        </is>
      </c>
      <c r="B188">
        <f>IF($B$4&gt;$C$4*N187,"preference","convert")</f>
        <v/>
      </c>
      <c r="C188">
        <f>IF($B$5&gt;$C$5*N187,"preference","convert")</f>
        <v/>
      </c>
      <c r="D188">
        <f>IF($B$6&gt;$C$6*N187,"preference","convert")</f>
        <v/>
      </c>
      <c r="E188">
        <f>IF($B$7&gt;$C$7*N187,"preference","convert")</f>
        <v/>
      </c>
      <c r="F188">
        <f>IF($B$8&gt;$C$8*N187,"preference","convert")</f>
        <v/>
      </c>
      <c r="G188">
        <f>IF($B$9&gt;$C$9*N187,"preference","convert")</f>
        <v/>
      </c>
      <c r="H188">
        <f>IF($B$10&gt;$C$10*N187,"preference","convert")</f>
        <v/>
      </c>
      <c r="I188">
        <f>IF(B188="preference",$B$4,0)+IF(C188="preference",$B$5,0)+IF(D188="preference",$B$6,0)+IF(E188="preference",$B$7,0)+IF(F188="preference",$B$8,0)+IF(G188="preference",$B$9,0)+IF(H188="preference",$B$10,0)</f>
        <v/>
      </c>
      <c r="J188">
        <f>IF(B188="convert",$C$4,0)+IF(C188="convert",$C$5,0)+IF(D188="convert",$C$6,0)+IF(E188="convert",$C$7,0)+IF(F188="convert",$C$8,0)+IF(G188="convert",$C$9,0)+IF(H188="convert",$C$10,0)</f>
        <v/>
      </c>
      <c r="K188">
        <f>(Assumptions!$B$46+Assumptions!$B$47+Assumptions!$B$48)+Assumptions!$B$49+('Pro-Forma'!$M$21+'Pro-Forma'!$M$22)+J188</f>
        <v/>
      </c>
      <c r="L188">
        <f>(F12-I188+Assumptions!$B$31*Assumptions!$B$10)/(K188+Assumptions!$B$31)</f>
        <v/>
      </c>
      <c r="M188">
        <f>IF(L188&gt;Assumptions!$B$10,"yes","no")</f>
        <v/>
      </c>
      <c r="N188">
        <f>IF(M188="yes",L188,MAX(0,(F12-I188)/K188))</f>
        <v/>
      </c>
      <c r="O188">
        <f>IF(M188="yes",Assumptions!$B$31*(N188-Assumptions!$B$10),0)</f>
        <v/>
      </c>
    </row>
    <row r="193">
      <c r="A193" s="1" t="inlineStr">
        <is>
          <t>Summary: Waterfall results per exit</t>
        </is>
      </c>
    </row>
    <row r="194">
      <c r="A194" t="inlineStr">
        <is>
          <t>Field</t>
        </is>
      </c>
      <c r="B194">
        <f>Assumptions!$B$11</f>
        <v/>
      </c>
      <c r="C194">
        <f>Assumptions!$B$12</f>
        <v/>
      </c>
      <c r="D194">
        <f>Assumptions!$B$13</f>
        <v/>
      </c>
      <c r="E194">
        <f>Assumptions!$B$14</f>
        <v/>
      </c>
      <c r="F194">
        <f>Assumptions!$B$15</f>
        <v/>
      </c>
    </row>
    <row r="195">
      <c r="A195" t="inlineStr">
        <is>
          <t>F election</t>
        </is>
      </c>
      <c r="B195">
        <f>B48</f>
        <v/>
      </c>
      <c r="C195">
        <f>B83</f>
        <v/>
      </c>
      <c r="D195">
        <f>B118</f>
        <v/>
      </c>
      <c r="E195">
        <f>B153</f>
        <v/>
      </c>
      <c r="F195">
        <f>B188</f>
        <v/>
      </c>
    </row>
    <row r="196">
      <c r="A196" t="inlineStr">
        <is>
          <t>E election</t>
        </is>
      </c>
      <c r="B196">
        <f>C48</f>
        <v/>
      </c>
      <c r="C196">
        <f>C83</f>
        <v/>
      </c>
      <c r="D196">
        <f>C118</f>
        <v/>
      </c>
      <c r="E196">
        <f>C153</f>
        <v/>
      </c>
      <c r="F196">
        <f>C188</f>
        <v/>
      </c>
    </row>
    <row r="197">
      <c r="A197" t="inlineStr">
        <is>
          <t>D election</t>
        </is>
      </c>
      <c r="B197">
        <f>D48</f>
        <v/>
      </c>
      <c r="C197">
        <f>D83</f>
        <v/>
      </c>
      <c r="D197">
        <f>D118</f>
        <v/>
      </c>
      <c r="E197">
        <f>D153</f>
        <v/>
      </c>
      <c r="F197">
        <f>D188</f>
        <v/>
      </c>
    </row>
    <row r="198">
      <c r="A198" t="inlineStr">
        <is>
          <t>C election</t>
        </is>
      </c>
      <c r="B198">
        <f>E48</f>
        <v/>
      </c>
      <c r="C198">
        <f>E83</f>
        <v/>
      </c>
      <c r="D198">
        <f>E118</f>
        <v/>
      </c>
      <c r="E198">
        <f>E153</f>
        <v/>
      </c>
      <c r="F198">
        <f>E188</f>
        <v/>
      </c>
    </row>
    <row r="199">
      <c r="A199" t="inlineStr">
        <is>
          <t>B election</t>
        </is>
      </c>
      <c r="B199">
        <f>F48</f>
        <v/>
      </c>
      <c r="C199">
        <f>F83</f>
        <v/>
      </c>
      <c r="D199">
        <f>F118</f>
        <v/>
      </c>
      <c r="E199">
        <f>F153</f>
        <v/>
      </c>
      <c r="F199">
        <f>F188</f>
        <v/>
      </c>
    </row>
    <row r="200">
      <c r="A200" t="inlineStr">
        <is>
          <t>A election</t>
        </is>
      </c>
      <c r="B200">
        <f>G48</f>
        <v/>
      </c>
      <c r="C200">
        <f>G83</f>
        <v/>
      </c>
      <c r="D200">
        <f>G118</f>
        <v/>
      </c>
      <c r="E200">
        <f>G153</f>
        <v/>
      </c>
      <c r="F200">
        <f>G188</f>
        <v/>
      </c>
    </row>
    <row r="201">
      <c r="A201" t="inlineStr">
        <is>
          <t>Seed election</t>
        </is>
      </c>
      <c r="B201">
        <f>H48</f>
        <v/>
      </c>
      <c r="C201">
        <f>H83</f>
        <v/>
      </c>
      <c r="D201">
        <f>H118</f>
        <v/>
      </c>
      <c r="E201">
        <f>H153</f>
        <v/>
      </c>
      <c r="F201">
        <f>H188</f>
        <v/>
      </c>
    </row>
    <row r="202">
      <c r="A202" t="inlineStr">
        <is>
          <t>Common PPS</t>
        </is>
      </c>
      <c r="B202">
        <f>N48</f>
        <v/>
      </c>
      <c r="C202">
        <f>N83</f>
        <v/>
      </c>
      <c r="D202">
        <f>N118</f>
        <v/>
      </c>
      <c r="E202">
        <f>N153</f>
        <v/>
      </c>
      <c r="F202">
        <f>N188</f>
        <v/>
      </c>
    </row>
    <row r="203">
      <c r="A203" t="inlineStr">
        <is>
          <t>Prefs total ($)</t>
        </is>
      </c>
      <c r="B203">
        <f>I48</f>
        <v/>
      </c>
      <c r="C203">
        <f>I83</f>
        <v/>
      </c>
      <c r="D203">
        <f>I118</f>
        <v/>
      </c>
      <c r="E203">
        <f>I153</f>
        <v/>
      </c>
      <c r="F203">
        <f>I188</f>
        <v/>
      </c>
    </row>
    <row r="204">
      <c r="A204" t="inlineStr">
        <is>
          <t>Options proceeds ($)</t>
        </is>
      </c>
      <c r="B204">
        <f>O48</f>
        <v/>
      </c>
      <c r="C204">
        <f>O83</f>
        <v/>
      </c>
      <c r="D204">
        <f>O118</f>
        <v/>
      </c>
      <c r="E204">
        <f>O153</f>
        <v/>
      </c>
      <c r="F204">
        <f>O188</f>
        <v/>
      </c>
    </row>
    <row r="206">
      <c r="A206" s="1" t="inlineStr">
        <is>
          <t>Per-class proceeds ($) — final</t>
        </is>
      </c>
    </row>
    <row r="207">
      <c r="A207" t="inlineStr">
        <is>
          <t>F proceeds</t>
        </is>
      </c>
      <c r="B207">
        <f>IF(B48="preference",$B$4,$C$4*N48)</f>
        <v/>
      </c>
      <c r="C207">
        <f>IF(B83="preference",$B$4,$C$4*N83)</f>
        <v/>
      </c>
      <c r="D207">
        <f>IF(B118="preference",$B$4,$C$4*N118)</f>
        <v/>
      </c>
      <c r="E207">
        <f>IF(B153="preference",$B$4,$C$4*N153)</f>
        <v/>
      </c>
      <c r="F207">
        <f>IF(B188="preference",$B$4,$C$4*N188)</f>
        <v/>
      </c>
    </row>
    <row r="208">
      <c r="A208" t="inlineStr">
        <is>
          <t>E proceeds</t>
        </is>
      </c>
      <c r="B208">
        <f>IF(C48="preference",$B$5,$C$5*N48)</f>
        <v/>
      </c>
      <c r="C208">
        <f>IF(C83="preference",$B$5,$C$5*N83)</f>
        <v/>
      </c>
      <c r="D208">
        <f>IF(C118="preference",$B$5,$C$5*N118)</f>
        <v/>
      </c>
      <c r="E208">
        <f>IF(C153="preference",$B$5,$C$5*N153)</f>
        <v/>
      </c>
      <c r="F208">
        <f>IF(C188="preference",$B$5,$C$5*N188)</f>
        <v/>
      </c>
    </row>
    <row r="209">
      <c r="A209" t="inlineStr">
        <is>
          <t>D proceeds</t>
        </is>
      </c>
      <c r="B209">
        <f>IF(D48="preference",$B$6,$C$6*N48)</f>
        <v/>
      </c>
      <c r="C209">
        <f>IF(D83="preference",$B$6,$C$6*N83)</f>
        <v/>
      </c>
      <c r="D209">
        <f>IF(D118="preference",$B$6,$C$6*N118)</f>
        <v/>
      </c>
      <c r="E209">
        <f>IF(D153="preference",$B$6,$C$6*N153)</f>
        <v/>
      </c>
      <c r="F209">
        <f>IF(D188="preference",$B$6,$C$6*N188)</f>
        <v/>
      </c>
    </row>
    <row r="210">
      <c r="A210" t="inlineStr">
        <is>
          <t>C proceeds</t>
        </is>
      </c>
      <c r="B210">
        <f>IF(E48="preference",$B$7,$C$7*N48)</f>
        <v/>
      </c>
      <c r="C210">
        <f>IF(E83="preference",$B$7,$C$7*N83)</f>
        <v/>
      </c>
      <c r="D210">
        <f>IF(E118="preference",$B$7,$C$7*N118)</f>
        <v/>
      </c>
      <c r="E210">
        <f>IF(E153="preference",$B$7,$C$7*N153)</f>
        <v/>
      </c>
      <c r="F210">
        <f>IF(E188="preference",$B$7,$C$7*N188)</f>
        <v/>
      </c>
    </row>
    <row r="211">
      <c r="A211" t="inlineStr">
        <is>
          <t>B proceeds</t>
        </is>
      </c>
      <c r="B211">
        <f>IF(F48="preference",$B$8,$C$8*N48)</f>
        <v/>
      </c>
      <c r="C211">
        <f>IF(F83="preference",$B$8,$C$8*N83)</f>
        <v/>
      </c>
      <c r="D211">
        <f>IF(F118="preference",$B$8,$C$8*N118)</f>
        <v/>
      </c>
      <c r="E211">
        <f>IF(F153="preference",$B$8,$C$8*N153)</f>
        <v/>
      </c>
      <c r="F211">
        <f>IF(F188="preference",$B$8,$C$8*N188)</f>
        <v/>
      </c>
    </row>
    <row r="212">
      <c r="A212" t="inlineStr">
        <is>
          <t>A proceeds</t>
        </is>
      </c>
      <c r="B212">
        <f>IF(G48="preference",$B$9,$C$9*N48)</f>
        <v/>
      </c>
      <c r="C212">
        <f>IF(G83="preference",$B$9,$C$9*N83)</f>
        <v/>
      </c>
      <c r="D212">
        <f>IF(G118="preference",$B$9,$C$9*N118)</f>
        <v/>
      </c>
      <c r="E212">
        <f>IF(G153="preference",$B$9,$C$9*N153)</f>
        <v/>
      </c>
      <c r="F212">
        <f>IF(G188="preference",$B$9,$C$9*N188)</f>
        <v/>
      </c>
    </row>
    <row r="213">
      <c r="A213" t="inlineStr">
        <is>
          <t>Seed proceeds</t>
        </is>
      </c>
      <c r="B213">
        <f>IF(H48="preference",$B$10,$C$10*N48)</f>
        <v/>
      </c>
      <c r="C213">
        <f>IF(H83="preference",$B$10,$C$10*N83)</f>
        <v/>
      </c>
      <c r="D213">
        <f>IF(H118="preference",$B$10,$C$10*N118)</f>
        <v/>
      </c>
      <c r="E213">
        <f>IF(H153="preference",$B$10,$C$10*N153)</f>
        <v/>
      </c>
      <c r="F213">
        <f>IF(H188="preference",$B$10,$C$10*N188)</f>
        <v/>
      </c>
    </row>
    <row r="214">
      <c r="A214" t="inlineStr">
        <is>
          <t>Notes proceeds (always convert)</t>
        </is>
      </c>
      <c r="B214">
        <f>('Pro-Forma'!$M$21+'Pro-Forma'!$M$22)*N48</f>
        <v/>
      </c>
      <c r="C214">
        <f>('Pro-Forma'!$M$21+'Pro-Forma'!$M$22)*N83</f>
        <v/>
      </c>
      <c r="D214">
        <f>('Pro-Forma'!$M$21+'Pro-Forma'!$M$22)*N118</f>
        <v/>
      </c>
      <c r="E214">
        <f>('Pro-Forma'!$M$21+'Pro-Forma'!$M$22)*N153</f>
        <v/>
      </c>
      <c r="F214">
        <f>('Pro-Forma'!$M$21+'Pro-Forma'!$M$22)*N188</f>
        <v/>
      </c>
    </row>
    <row r="215">
      <c r="A215" t="inlineStr">
        <is>
          <t>Common+RSA proceeds</t>
        </is>
      </c>
      <c r="B215">
        <f>((Assumptions!$B$46+Assumptions!$B$47+Assumptions!$B$48)+Assumptions!$B$49)*N48</f>
        <v/>
      </c>
      <c r="C215">
        <f>((Assumptions!$B$46+Assumptions!$B$47+Assumptions!$B$48)+Assumptions!$B$49)*N83</f>
        <v/>
      </c>
      <c r="D215">
        <f>((Assumptions!$B$46+Assumptions!$B$47+Assumptions!$B$48)+Assumptions!$B$49)*N118</f>
        <v/>
      </c>
      <c r="E215">
        <f>((Assumptions!$B$46+Assumptions!$B$47+Assumptions!$B$48)+Assumptions!$B$49)*N153</f>
        <v/>
      </c>
      <c r="F215">
        <f>((Assumptions!$B$46+Assumptions!$B$47+Assumptions!$B$48)+Assumptions!$B$49)*N188</f>
        <v/>
      </c>
    </row>
    <row r="216">
      <c r="A216" t="inlineStr">
        <is>
          <t>Issued options proceeds</t>
        </is>
      </c>
      <c r="B216">
        <f>O48</f>
        <v/>
      </c>
      <c r="C216">
        <f>O83</f>
        <v/>
      </c>
      <c r="D216">
        <f>O118</f>
        <v/>
      </c>
      <c r="E216">
        <f>O153</f>
        <v/>
      </c>
      <c r="F216">
        <f>O188</f>
        <v/>
      </c>
    </row>
    <row r="217">
      <c r="A217" s="1" t="inlineStr">
        <is>
          <t>Total proceeds</t>
        </is>
      </c>
      <c r="B217">
        <f>SUM(B207:B216)</f>
        <v/>
      </c>
      <c r="C217">
        <f>SUM(C207:C216)</f>
        <v/>
      </c>
      <c r="D217">
        <f>SUM(D207:D216)</f>
        <v/>
      </c>
      <c r="E217">
        <f>SUM(E207:E216)</f>
        <v/>
      </c>
      <c r="F217">
        <f>SUM(F207:F216)</f>
        <v/>
      </c>
    </row>
    <row r="218">
      <c r="A218" t="inlineStr">
        <is>
          <t>Reconciliation diff (V - total)</t>
        </is>
      </c>
      <c r="B218">
        <f>B194-B217</f>
        <v/>
      </c>
      <c r="C218">
        <f>C194-C217</f>
        <v/>
      </c>
      <c r="D218">
        <f>D194-D217</f>
        <v/>
      </c>
      <c r="E218">
        <f>E194-E217</f>
        <v/>
      </c>
      <c r="F218">
        <f>F194-F217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126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1" t="inlineStr">
        <is>
          <t>Sensitivity Grid — Our $10M check, post-F ownership % and $ proceeds at $2B exit</t>
        </is>
      </c>
    </row>
    <row r="3">
      <c r="A3" t="inlineStr">
        <is>
          <t>Each cell re-solves full round + waterfall fixed point at the cell's (ESOP, pre-money).</t>
        </is>
      </c>
    </row>
    <row r="6">
      <c r="A6" t="inlineStr">
        <is>
          <t>ESOP \ Pre-money</t>
        </is>
      </c>
      <c r="B6">
        <f>Assumptions!$B$53</f>
        <v/>
      </c>
      <c r="C6">
        <f>Assumptions!$B$54</f>
        <v/>
      </c>
      <c r="D6">
        <f>Assumptions!$B$55</f>
        <v/>
      </c>
    </row>
    <row r="7">
      <c r="A7">
        <f>Assumptions!$B$50</f>
        <v/>
      </c>
      <c r="B7">
        <f>TEXT(B133*100,"0.0000")&amp;"% / $"&amp;TEXT(B134,"#,##0")</f>
        <v/>
      </c>
      <c r="C7">
        <f>TEXT(B257*100,"0.0000")&amp;"% / $"&amp;TEXT(B258,"#,##0")</f>
        <v/>
      </c>
      <c r="D7">
        <f>TEXT(B381*100,"0.0000")&amp;"% / $"&amp;TEXT(B382,"#,##0")</f>
        <v/>
      </c>
    </row>
    <row r="8">
      <c r="A8">
        <f>Assumptions!$B$51</f>
        <v/>
      </c>
      <c r="B8">
        <f>TEXT(B505*100,"0.0000")&amp;"% / $"&amp;TEXT(B506,"#,##0")</f>
        <v/>
      </c>
      <c r="C8">
        <f>TEXT(B629*100,"0.0000")&amp;"% / $"&amp;TEXT(B630,"#,##0")</f>
        <v/>
      </c>
      <c r="D8">
        <f>TEXT(B753*100,"0.0000")&amp;"% / $"&amp;TEXT(B754,"#,##0")</f>
        <v/>
      </c>
    </row>
    <row r="9">
      <c r="A9">
        <f>Assumptions!$B$52</f>
        <v/>
      </c>
      <c r="B9">
        <f>TEXT(B877*100,"0.0000")&amp;"% / $"&amp;TEXT(B878,"#,##0")</f>
        <v/>
      </c>
      <c r="C9">
        <f>TEXT(B1001*100,"0.0000")&amp;"% / $"&amp;TEXT(B1002,"#,##0")</f>
        <v/>
      </c>
      <c r="D9">
        <f>TEXT(B1125*100,"0.0000")&amp;"% / $"&amp;TEXT(B1126,"#,##0")</f>
        <v/>
      </c>
    </row>
    <row r="13">
      <c r="A13" s="1" t="inlineStr">
        <is>
          <t>Cell (0,0) — ESOP=low, Pre=low</t>
        </is>
      </c>
    </row>
    <row r="14">
      <c r="A14" s="1" t="inlineStr">
        <is>
          <t>Step</t>
        </is>
      </c>
      <c r="B14" s="1" t="inlineStr">
        <is>
          <t>F_PPS</t>
        </is>
      </c>
      <c r="C14" s="1" t="inlineStr">
        <is>
          <t>D_NCP</t>
        </is>
      </c>
      <c r="D14" s="1" t="inlineStr">
        <is>
          <t>E_NCP</t>
        </is>
      </c>
      <c r="E14" s="1" t="inlineStr">
        <is>
          <t>ΔD</t>
        </is>
      </c>
      <c r="F14" s="1" t="inlineStr">
        <is>
          <t>ΔE</t>
        </is>
      </c>
      <c r="G14" s="1" t="inlineStr">
        <is>
          <t>ESOP</t>
        </is>
      </c>
      <c r="H14" s="1" t="inlineStr">
        <is>
          <t>N_A</t>
        </is>
      </c>
      <c r="I14" s="1" t="inlineStr">
        <is>
          <t>N_B</t>
        </is>
      </c>
      <c r="J14" s="1" t="inlineStr">
        <is>
          <t>preFD</t>
        </is>
      </c>
      <c r="K14" s="1" t="inlineStr">
        <is>
          <t>T_F</t>
        </is>
      </c>
      <c r="L14" s="1" t="inlineStr">
        <is>
          <t>F_PPS chk</t>
        </is>
      </c>
    </row>
    <row r="15">
      <c r="A15" t="inlineStr">
        <is>
          <t>cell(0,0) seed</t>
        </is>
      </c>
      <c r="B15">
        <f>Assumptions!$B$53/Assumptions!$B$29</f>
        <v/>
      </c>
      <c r="C15">
        <f>Assumptions!$B$20</f>
        <v/>
      </c>
      <c r="D15">
        <f>Assumptions!$B$21</f>
        <v/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>
        <f>Assumptions!$B$29</f>
        <v/>
      </c>
      <c r="K15">
        <f>J15+Assumptions!$B$4/B15</f>
        <v/>
      </c>
      <c r="L15">
        <f>B15</f>
        <v/>
      </c>
    </row>
    <row r="16">
      <c r="A16" t="inlineStr">
        <is>
          <t>cell(0,0) iter 1</t>
        </is>
      </c>
      <c r="B16">
        <f>Assumptions!$B$53/J15</f>
        <v/>
      </c>
      <c r="C16">
        <f>IF(B16&lt;Assumptions!$B$20,Assumptions!$B$20*(Assumptions!$B$29+Assumptions!$B$4/Assumptions!$B$20)/(Assumptions!$B$29+Assumptions!$B$4/B16),Assumptions!$B$20)</f>
        <v/>
      </c>
      <c r="D16">
        <f>IF(B16&lt;Assumptions!$B$21,Assumptions!$B$21*(Assumptions!$B$29+Assumptions!$B$4/Assumptions!$B$21)/(Assumptions!$B$29+Assumptions!$B$4/B16),Assumptions!$B$21)</f>
        <v/>
      </c>
      <c r="E16">
        <f>Assumptions!$B$37*Assumptions!$B$22/C16-Assumptions!$B$38</f>
        <v/>
      </c>
      <c r="F16">
        <f>Assumptions!$B$39*Assumptions!$B$21/D16-Assumptions!$B$39</f>
        <v/>
      </c>
      <c r="G16">
        <f>MAX(0,Assumptions!$B$50*(Assumptions!$B$29+E16+F16+G15+H15+I15+Assumptions!$B$4/B16)-Assumptions!$B$30)</f>
        <v/>
      </c>
      <c r="H16">
        <f>Assumptions!$B$23/MIN(Assumptions!$B$24/(Assumptions!$B$29+E16+F16+G16+I15),B16*(1-Assumptions!$B$25))</f>
        <v/>
      </c>
      <c r="I16">
        <f>Assumptions!$B$26/MIN(Assumptions!$B$27/(Assumptions!$B$29+E16+F16+G16+H16),B16*(1-Assumptions!$B$28))</f>
        <v/>
      </c>
      <c r="J16">
        <f>Assumptions!$B$29+E16+F16+G16+H16+I16</f>
        <v/>
      </c>
      <c r="K16">
        <f>J16+Assumptions!$B$4/B16</f>
        <v/>
      </c>
      <c r="L16">
        <f>B16</f>
        <v/>
      </c>
    </row>
    <row r="17">
      <c r="A17" t="inlineStr">
        <is>
          <t>cell(0,0) iter 2</t>
        </is>
      </c>
      <c r="B17">
        <f>Assumptions!$B$53/J16</f>
        <v/>
      </c>
      <c r="C17">
        <f>IF(B17&lt;Assumptions!$B$20,Assumptions!$B$20*(Assumptions!$B$29+Assumptions!$B$4/Assumptions!$B$20)/(Assumptions!$B$29+Assumptions!$B$4/B17),Assumptions!$B$20)</f>
        <v/>
      </c>
      <c r="D17">
        <f>IF(B17&lt;Assumptions!$B$21,Assumptions!$B$21*(Assumptions!$B$29+Assumptions!$B$4/Assumptions!$B$21)/(Assumptions!$B$29+Assumptions!$B$4/B17),Assumptions!$B$21)</f>
        <v/>
      </c>
      <c r="E17">
        <f>Assumptions!$B$37*Assumptions!$B$22/C17-Assumptions!$B$38</f>
        <v/>
      </c>
      <c r="F17">
        <f>Assumptions!$B$39*Assumptions!$B$21/D17-Assumptions!$B$39</f>
        <v/>
      </c>
      <c r="G17">
        <f>MAX(0,Assumptions!$B$50*(Assumptions!$B$29+E17+F17+G16+H16+I16+Assumptions!$B$4/B17)-Assumptions!$B$30)</f>
        <v/>
      </c>
      <c r="H17">
        <f>Assumptions!$B$23/MIN(Assumptions!$B$24/(Assumptions!$B$29+E17+F17+G17+I16),B17*(1-Assumptions!$B$25))</f>
        <v/>
      </c>
      <c r="I17">
        <f>Assumptions!$B$26/MIN(Assumptions!$B$27/(Assumptions!$B$29+E17+F17+G17+H17),B17*(1-Assumptions!$B$28))</f>
        <v/>
      </c>
      <c r="J17">
        <f>Assumptions!$B$29+E17+F17+G17+H17+I17</f>
        <v/>
      </c>
      <c r="K17">
        <f>J17+Assumptions!$B$4/B17</f>
        <v/>
      </c>
      <c r="L17">
        <f>B17</f>
        <v/>
      </c>
    </row>
    <row r="18">
      <c r="A18" t="inlineStr">
        <is>
          <t>cell(0,0) iter 3</t>
        </is>
      </c>
      <c r="B18">
        <f>Assumptions!$B$53/J17</f>
        <v/>
      </c>
      <c r="C18">
        <f>IF(B18&lt;Assumptions!$B$20,Assumptions!$B$20*(Assumptions!$B$29+Assumptions!$B$4/Assumptions!$B$20)/(Assumptions!$B$29+Assumptions!$B$4/B18),Assumptions!$B$20)</f>
        <v/>
      </c>
      <c r="D18">
        <f>IF(B18&lt;Assumptions!$B$21,Assumptions!$B$21*(Assumptions!$B$29+Assumptions!$B$4/Assumptions!$B$21)/(Assumptions!$B$29+Assumptions!$B$4/B18),Assumptions!$B$21)</f>
        <v/>
      </c>
      <c r="E18">
        <f>Assumptions!$B$37*Assumptions!$B$22/C18-Assumptions!$B$38</f>
        <v/>
      </c>
      <c r="F18">
        <f>Assumptions!$B$39*Assumptions!$B$21/D18-Assumptions!$B$39</f>
        <v/>
      </c>
      <c r="G18">
        <f>MAX(0,Assumptions!$B$50*(Assumptions!$B$29+E18+F18+G17+H17+I17+Assumptions!$B$4/B18)-Assumptions!$B$30)</f>
        <v/>
      </c>
      <c r="H18">
        <f>Assumptions!$B$23/MIN(Assumptions!$B$24/(Assumptions!$B$29+E18+F18+G18+I17),B18*(1-Assumptions!$B$25))</f>
        <v/>
      </c>
      <c r="I18">
        <f>Assumptions!$B$26/MIN(Assumptions!$B$27/(Assumptions!$B$29+E18+F18+G18+H18),B18*(1-Assumptions!$B$28))</f>
        <v/>
      </c>
      <c r="J18">
        <f>Assumptions!$B$29+E18+F18+G18+H18+I18</f>
        <v/>
      </c>
      <c r="K18">
        <f>J18+Assumptions!$B$4/B18</f>
        <v/>
      </c>
      <c r="L18">
        <f>B18</f>
        <v/>
      </c>
    </row>
    <row r="19">
      <c r="A19" t="inlineStr">
        <is>
          <t>cell(0,0) iter 4</t>
        </is>
      </c>
      <c r="B19">
        <f>Assumptions!$B$53/J18</f>
        <v/>
      </c>
      <c r="C19">
        <f>IF(B19&lt;Assumptions!$B$20,Assumptions!$B$20*(Assumptions!$B$29+Assumptions!$B$4/Assumptions!$B$20)/(Assumptions!$B$29+Assumptions!$B$4/B19),Assumptions!$B$20)</f>
        <v/>
      </c>
      <c r="D19">
        <f>IF(B19&lt;Assumptions!$B$21,Assumptions!$B$21*(Assumptions!$B$29+Assumptions!$B$4/Assumptions!$B$21)/(Assumptions!$B$29+Assumptions!$B$4/B19),Assumptions!$B$21)</f>
        <v/>
      </c>
      <c r="E19">
        <f>Assumptions!$B$37*Assumptions!$B$22/C19-Assumptions!$B$38</f>
        <v/>
      </c>
      <c r="F19">
        <f>Assumptions!$B$39*Assumptions!$B$21/D19-Assumptions!$B$39</f>
        <v/>
      </c>
      <c r="G19">
        <f>MAX(0,Assumptions!$B$50*(Assumptions!$B$29+E19+F19+G18+H18+I18+Assumptions!$B$4/B19)-Assumptions!$B$30)</f>
        <v/>
      </c>
      <c r="H19">
        <f>Assumptions!$B$23/MIN(Assumptions!$B$24/(Assumptions!$B$29+E19+F19+G19+I18),B19*(1-Assumptions!$B$25))</f>
        <v/>
      </c>
      <c r="I19">
        <f>Assumptions!$B$26/MIN(Assumptions!$B$27/(Assumptions!$B$29+E19+F19+G19+H19),B19*(1-Assumptions!$B$28))</f>
        <v/>
      </c>
      <c r="J19">
        <f>Assumptions!$B$29+E19+F19+G19+H19+I19</f>
        <v/>
      </c>
      <c r="K19">
        <f>J19+Assumptions!$B$4/B19</f>
        <v/>
      </c>
      <c r="L19">
        <f>B19</f>
        <v/>
      </c>
    </row>
    <row r="20">
      <c r="A20" t="inlineStr">
        <is>
          <t>cell(0,0) iter 5</t>
        </is>
      </c>
      <c r="B20">
        <f>Assumptions!$B$53/J19</f>
        <v/>
      </c>
      <c r="C20">
        <f>IF(B20&lt;Assumptions!$B$20,Assumptions!$B$20*(Assumptions!$B$29+Assumptions!$B$4/Assumptions!$B$20)/(Assumptions!$B$29+Assumptions!$B$4/B20),Assumptions!$B$20)</f>
        <v/>
      </c>
      <c r="D20">
        <f>IF(B20&lt;Assumptions!$B$21,Assumptions!$B$21*(Assumptions!$B$29+Assumptions!$B$4/Assumptions!$B$21)/(Assumptions!$B$29+Assumptions!$B$4/B20),Assumptions!$B$21)</f>
        <v/>
      </c>
      <c r="E20">
        <f>Assumptions!$B$37*Assumptions!$B$22/C20-Assumptions!$B$38</f>
        <v/>
      </c>
      <c r="F20">
        <f>Assumptions!$B$39*Assumptions!$B$21/D20-Assumptions!$B$39</f>
        <v/>
      </c>
      <c r="G20">
        <f>MAX(0,Assumptions!$B$50*(Assumptions!$B$29+E20+F20+G19+H19+I19+Assumptions!$B$4/B20)-Assumptions!$B$30)</f>
        <v/>
      </c>
      <c r="H20">
        <f>Assumptions!$B$23/MIN(Assumptions!$B$24/(Assumptions!$B$29+E20+F20+G20+I19),B20*(1-Assumptions!$B$25))</f>
        <v/>
      </c>
      <c r="I20">
        <f>Assumptions!$B$26/MIN(Assumptions!$B$27/(Assumptions!$B$29+E20+F20+G20+H20),B20*(1-Assumptions!$B$28))</f>
        <v/>
      </c>
      <c r="J20">
        <f>Assumptions!$B$29+E20+F20+G20+H20+I20</f>
        <v/>
      </c>
      <c r="K20">
        <f>J20+Assumptions!$B$4/B20</f>
        <v/>
      </c>
      <c r="L20">
        <f>B20</f>
        <v/>
      </c>
    </row>
    <row r="21">
      <c r="A21" t="inlineStr">
        <is>
          <t>cell(0,0) iter 6</t>
        </is>
      </c>
      <c r="B21">
        <f>Assumptions!$B$53/J20</f>
        <v/>
      </c>
      <c r="C21">
        <f>IF(B21&lt;Assumptions!$B$20,Assumptions!$B$20*(Assumptions!$B$29+Assumptions!$B$4/Assumptions!$B$20)/(Assumptions!$B$29+Assumptions!$B$4/B21),Assumptions!$B$20)</f>
        <v/>
      </c>
      <c r="D21">
        <f>IF(B21&lt;Assumptions!$B$21,Assumptions!$B$21*(Assumptions!$B$29+Assumptions!$B$4/Assumptions!$B$21)/(Assumptions!$B$29+Assumptions!$B$4/B21),Assumptions!$B$21)</f>
        <v/>
      </c>
      <c r="E21">
        <f>Assumptions!$B$37*Assumptions!$B$22/C21-Assumptions!$B$38</f>
        <v/>
      </c>
      <c r="F21">
        <f>Assumptions!$B$39*Assumptions!$B$21/D21-Assumptions!$B$39</f>
        <v/>
      </c>
      <c r="G21">
        <f>MAX(0,Assumptions!$B$50*(Assumptions!$B$29+E21+F21+G20+H20+I20+Assumptions!$B$4/B21)-Assumptions!$B$30)</f>
        <v/>
      </c>
      <c r="H21">
        <f>Assumptions!$B$23/MIN(Assumptions!$B$24/(Assumptions!$B$29+E21+F21+G21+I20),B21*(1-Assumptions!$B$25))</f>
        <v/>
      </c>
      <c r="I21">
        <f>Assumptions!$B$26/MIN(Assumptions!$B$27/(Assumptions!$B$29+E21+F21+G21+H21),B21*(1-Assumptions!$B$28))</f>
        <v/>
      </c>
      <c r="J21">
        <f>Assumptions!$B$29+E21+F21+G21+H21+I21</f>
        <v/>
      </c>
      <c r="K21">
        <f>J21+Assumptions!$B$4/B21</f>
        <v/>
      </c>
      <c r="L21">
        <f>B21</f>
        <v/>
      </c>
    </row>
    <row r="22">
      <c r="A22" t="inlineStr">
        <is>
          <t>cell(0,0) iter 7</t>
        </is>
      </c>
      <c r="B22">
        <f>Assumptions!$B$53/J21</f>
        <v/>
      </c>
      <c r="C22">
        <f>IF(B22&lt;Assumptions!$B$20,Assumptions!$B$20*(Assumptions!$B$29+Assumptions!$B$4/Assumptions!$B$20)/(Assumptions!$B$29+Assumptions!$B$4/B22),Assumptions!$B$20)</f>
        <v/>
      </c>
      <c r="D22">
        <f>IF(B22&lt;Assumptions!$B$21,Assumptions!$B$21*(Assumptions!$B$29+Assumptions!$B$4/Assumptions!$B$21)/(Assumptions!$B$29+Assumptions!$B$4/B22),Assumptions!$B$21)</f>
        <v/>
      </c>
      <c r="E22">
        <f>Assumptions!$B$37*Assumptions!$B$22/C22-Assumptions!$B$38</f>
        <v/>
      </c>
      <c r="F22">
        <f>Assumptions!$B$39*Assumptions!$B$21/D22-Assumptions!$B$39</f>
        <v/>
      </c>
      <c r="G22">
        <f>MAX(0,Assumptions!$B$50*(Assumptions!$B$29+E22+F22+G21+H21+I21+Assumptions!$B$4/B22)-Assumptions!$B$30)</f>
        <v/>
      </c>
      <c r="H22">
        <f>Assumptions!$B$23/MIN(Assumptions!$B$24/(Assumptions!$B$29+E22+F22+G22+I21),B22*(1-Assumptions!$B$25))</f>
        <v/>
      </c>
      <c r="I22">
        <f>Assumptions!$B$26/MIN(Assumptions!$B$27/(Assumptions!$B$29+E22+F22+G22+H22),B22*(1-Assumptions!$B$28))</f>
        <v/>
      </c>
      <c r="J22">
        <f>Assumptions!$B$29+E22+F22+G22+H22+I22</f>
        <v/>
      </c>
      <c r="K22">
        <f>J22+Assumptions!$B$4/B22</f>
        <v/>
      </c>
      <c r="L22">
        <f>B22</f>
        <v/>
      </c>
    </row>
    <row r="23">
      <c r="A23" t="inlineStr">
        <is>
          <t>cell(0,0) iter 8</t>
        </is>
      </c>
      <c r="B23">
        <f>Assumptions!$B$53/J22</f>
        <v/>
      </c>
      <c r="C23">
        <f>IF(B23&lt;Assumptions!$B$20,Assumptions!$B$20*(Assumptions!$B$29+Assumptions!$B$4/Assumptions!$B$20)/(Assumptions!$B$29+Assumptions!$B$4/B23),Assumptions!$B$20)</f>
        <v/>
      </c>
      <c r="D23">
        <f>IF(B23&lt;Assumptions!$B$21,Assumptions!$B$21*(Assumptions!$B$29+Assumptions!$B$4/Assumptions!$B$21)/(Assumptions!$B$29+Assumptions!$B$4/B23),Assumptions!$B$21)</f>
        <v/>
      </c>
      <c r="E23">
        <f>Assumptions!$B$37*Assumptions!$B$22/C23-Assumptions!$B$38</f>
        <v/>
      </c>
      <c r="F23">
        <f>Assumptions!$B$39*Assumptions!$B$21/D23-Assumptions!$B$39</f>
        <v/>
      </c>
      <c r="G23">
        <f>MAX(0,Assumptions!$B$50*(Assumptions!$B$29+E23+F23+G22+H22+I22+Assumptions!$B$4/B23)-Assumptions!$B$30)</f>
        <v/>
      </c>
      <c r="H23">
        <f>Assumptions!$B$23/MIN(Assumptions!$B$24/(Assumptions!$B$29+E23+F23+G23+I22),B23*(1-Assumptions!$B$25))</f>
        <v/>
      </c>
      <c r="I23">
        <f>Assumptions!$B$26/MIN(Assumptions!$B$27/(Assumptions!$B$29+E23+F23+G23+H23),B23*(1-Assumptions!$B$28))</f>
        <v/>
      </c>
      <c r="J23">
        <f>Assumptions!$B$29+E23+F23+G23+H23+I23</f>
        <v/>
      </c>
      <c r="K23">
        <f>J23+Assumptions!$B$4/B23</f>
        <v/>
      </c>
      <c r="L23">
        <f>B23</f>
        <v/>
      </c>
    </row>
    <row r="24">
      <c r="A24" t="inlineStr">
        <is>
          <t>cell(0,0) iter 9</t>
        </is>
      </c>
      <c r="B24">
        <f>Assumptions!$B$53/J23</f>
        <v/>
      </c>
      <c r="C24">
        <f>IF(B24&lt;Assumptions!$B$20,Assumptions!$B$20*(Assumptions!$B$29+Assumptions!$B$4/Assumptions!$B$20)/(Assumptions!$B$29+Assumptions!$B$4/B24),Assumptions!$B$20)</f>
        <v/>
      </c>
      <c r="D24">
        <f>IF(B24&lt;Assumptions!$B$21,Assumptions!$B$21*(Assumptions!$B$29+Assumptions!$B$4/Assumptions!$B$21)/(Assumptions!$B$29+Assumptions!$B$4/B24),Assumptions!$B$21)</f>
        <v/>
      </c>
      <c r="E24">
        <f>Assumptions!$B$37*Assumptions!$B$22/C24-Assumptions!$B$38</f>
        <v/>
      </c>
      <c r="F24">
        <f>Assumptions!$B$39*Assumptions!$B$21/D24-Assumptions!$B$39</f>
        <v/>
      </c>
      <c r="G24">
        <f>MAX(0,Assumptions!$B$50*(Assumptions!$B$29+E24+F24+G23+H23+I23+Assumptions!$B$4/B24)-Assumptions!$B$30)</f>
        <v/>
      </c>
      <c r="H24">
        <f>Assumptions!$B$23/MIN(Assumptions!$B$24/(Assumptions!$B$29+E24+F24+G24+I23),B24*(1-Assumptions!$B$25))</f>
        <v/>
      </c>
      <c r="I24">
        <f>Assumptions!$B$26/MIN(Assumptions!$B$27/(Assumptions!$B$29+E24+F24+G24+H24),B24*(1-Assumptions!$B$28))</f>
        <v/>
      </c>
      <c r="J24">
        <f>Assumptions!$B$29+E24+F24+G24+H24+I24</f>
        <v/>
      </c>
      <c r="K24">
        <f>J24+Assumptions!$B$4/B24</f>
        <v/>
      </c>
      <c r="L24">
        <f>B24</f>
        <v/>
      </c>
    </row>
    <row r="25">
      <c r="A25" t="inlineStr">
        <is>
          <t>cell(0,0) iter 10</t>
        </is>
      </c>
      <c r="B25">
        <f>Assumptions!$B$53/J24</f>
        <v/>
      </c>
      <c r="C25">
        <f>IF(B25&lt;Assumptions!$B$20,Assumptions!$B$20*(Assumptions!$B$29+Assumptions!$B$4/Assumptions!$B$20)/(Assumptions!$B$29+Assumptions!$B$4/B25),Assumptions!$B$20)</f>
        <v/>
      </c>
      <c r="D25">
        <f>IF(B25&lt;Assumptions!$B$21,Assumptions!$B$21*(Assumptions!$B$29+Assumptions!$B$4/Assumptions!$B$21)/(Assumptions!$B$29+Assumptions!$B$4/B25),Assumptions!$B$21)</f>
        <v/>
      </c>
      <c r="E25">
        <f>Assumptions!$B$37*Assumptions!$B$22/C25-Assumptions!$B$38</f>
        <v/>
      </c>
      <c r="F25">
        <f>Assumptions!$B$39*Assumptions!$B$21/D25-Assumptions!$B$39</f>
        <v/>
      </c>
      <c r="G25">
        <f>MAX(0,Assumptions!$B$50*(Assumptions!$B$29+E25+F25+G24+H24+I24+Assumptions!$B$4/B25)-Assumptions!$B$30)</f>
        <v/>
      </c>
      <c r="H25">
        <f>Assumptions!$B$23/MIN(Assumptions!$B$24/(Assumptions!$B$29+E25+F25+G25+I24),B25*(1-Assumptions!$B$25))</f>
        <v/>
      </c>
      <c r="I25">
        <f>Assumptions!$B$26/MIN(Assumptions!$B$27/(Assumptions!$B$29+E25+F25+G25+H25),B25*(1-Assumptions!$B$28))</f>
        <v/>
      </c>
      <c r="J25">
        <f>Assumptions!$B$29+E25+F25+G25+H25+I25</f>
        <v/>
      </c>
      <c r="K25">
        <f>J25+Assumptions!$B$4/B25</f>
        <v/>
      </c>
      <c r="L25">
        <f>B25</f>
        <v/>
      </c>
    </row>
    <row r="26">
      <c r="A26" t="inlineStr">
        <is>
          <t>cell(0,0) iter 11</t>
        </is>
      </c>
      <c r="B26">
        <f>Assumptions!$B$53/J25</f>
        <v/>
      </c>
      <c r="C26">
        <f>IF(B26&lt;Assumptions!$B$20,Assumptions!$B$20*(Assumptions!$B$29+Assumptions!$B$4/Assumptions!$B$20)/(Assumptions!$B$29+Assumptions!$B$4/B26),Assumptions!$B$20)</f>
        <v/>
      </c>
      <c r="D26">
        <f>IF(B26&lt;Assumptions!$B$21,Assumptions!$B$21*(Assumptions!$B$29+Assumptions!$B$4/Assumptions!$B$21)/(Assumptions!$B$29+Assumptions!$B$4/B26),Assumptions!$B$21)</f>
        <v/>
      </c>
      <c r="E26">
        <f>Assumptions!$B$37*Assumptions!$B$22/C26-Assumptions!$B$38</f>
        <v/>
      </c>
      <c r="F26">
        <f>Assumptions!$B$39*Assumptions!$B$21/D26-Assumptions!$B$39</f>
        <v/>
      </c>
      <c r="G26">
        <f>MAX(0,Assumptions!$B$50*(Assumptions!$B$29+E26+F26+G25+H25+I25+Assumptions!$B$4/B26)-Assumptions!$B$30)</f>
        <v/>
      </c>
      <c r="H26">
        <f>Assumptions!$B$23/MIN(Assumptions!$B$24/(Assumptions!$B$29+E26+F26+G26+I25),B26*(1-Assumptions!$B$25))</f>
        <v/>
      </c>
      <c r="I26">
        <f>Assumptions!$B$26/MIN(Assumptions!$B$27/(Assumptions!$B$29+E26+F26+G26+H26),B26*(1-Assumptions!$B$28))</f>
        <v/>
      </c>
      <c r="J26">
        <f>Assumptions!$B$29+E26+F26+G26+H26+I26</f>
        <v/>
      </c>
      <c r="K26">
        <f>J26+Assumptions!$B$4/B26</f>
        <v/>
      </c>
      <c r="L26">
        <f>B26</f>
        <v/>
      </c>
    </row>
    <row r="27">
      <c r="A27" t="inlineStr">
        <is>
          <t>cell(0,0) iter 12</t>
        </is>
      </c>
      <c r="B27">
        <f>Assumptions!$B$53/J26</f>
        <v/>
      </c>
      <c r="C27">
        <f>IF(B27&lt;Assumptions!$B$20,Assumptions!$B$20*(Assumptions!$B$29+Assumptions!$B$4/Assumptions!$B$20)/(Assumptions!$B$29+Assumptions!$B$4/B27),Assumptions!$B$20)</f>
        <v/>
      </c>
      <c r="D27">
        <f>IF(B27&lt;Assumptions!$B$21,Assumptions!$B$21*(Assumptions!$B$29+Assumptions!$B$4/Assumptions!$B$21)/(Assumptions!$B$29+Assumptions!$B$4/B27),Assumptions!$B$21)</f>
        <v/>
      </c>
      <c r="E27">
        <f>Assumptions!$B$37*Assumptions!$B$22/C27-Assumptions!$B$38</f>
        <v/>
      </c>
      <c r="F27">
        <f>Assumptions!$B$39*Assumptions!$B$21/D27-Assumptions!$B$39</f>
        <v/>
      </c>
      <c r="G27">
        <f>MAX(0,Assumptions!$B$50*(Assumptions!$B$29+E27+F27+G26+H26+I26+Assumptions!$B$4/B27)-Assumptions!$B$30)</f>
        <v/>
      </c>
      <c r="H27">
        <f>Assumptions!$B$23/MIN(Assumptions!$B$24/(Assumptions!$B$29+E27+F27+G27+I26),B27*(1-Assumptions!$B$25))</f>
        <v/>
      </c>
      <c r="I27">
        <f>Assumptions!$B$26/MIN(Assumptions!$B$27/(Assumptions!$B$29+E27+F27+G27+H27),B27*(1-Assumptions!$B$28))</f>
        <v/>
      </c>
      <c r="J27">
        <f>Assumptions!$B$29+E27+F27+G27+H27+I27</f>
        <v/>
      </c>
      <c r="K27">
        <f>J27+Assumptions!$B$4/B27</f>
        <v/>
      </c>
      <c r="L27">
        <f>B27</f>
        <v/>
      </c>
    </row>
    <row r="28">
      <c r="A28" t="inlineStr">
        <is>
          <t>cell(0,0) iter 13</t>
        </is>
      </c>
      <c r="B28">
        <f>Assumptions!$B$53/J27</f>
        <v/>
      </c>
      <c r="C28">
        <f>IF(B28&lt;Assumptions!$B$20,Assumptions!$B$20*(Assumptions!$B$29+Assumptions!$B$4/Assumptions!$B$20)/(Assumptions!$B$29+Assumptions!$B$4/B28),Assumptions!$B$20)</f>
        <v/>
      </c>
      <c r="D28">
        <f>IF(B28&lt;Assumptions!$B$21,Assumptions!$B$21*(Assumptions!$B$29+Assumptions!$B$4/Assumptions!$B$21)/(Assumptions!$B$29+Assumptions!$B$4/B28),Assumptions!$B$21)</f>
        <v/>
      </c>
      <c r="E28">
        <f>Assumptions!$B$37*Assumptions!$B$22/C28-Assumptions!$B$38</f>
        <v/>
      </c>
      <c r="F28">
        <f>Assumptions!$B$39*Assumptions!$B$21/D28-Assumptions!$B$39</f>
        <v/>
      </c>
      <c r="G28">
        <f>MAX(0,Assumptions!$B$50*(Assumptions!$B$29+E28+F28+G27+H27+I27+Assumptions!$B$4/B28)-Assumptions!$B$30)</f>
        <v/>
      </c>
      <c r="H28">
        <f>Assumptions!$B$23/MIN(Assumptions!$B$24/(Assumptions!$B$29+E28+F28+G28+I27),B28*(1-Assumptions!$B$25))</f>
        <v/>
      </c>
      <c r="I28">
        <f>Assumptions!$B$26/MIN(Assumptions!$B$27/(Assumptions!$B$29+E28+F28+G28+H28),B28*(1-Assumptions!$B$28))</f>
        <v/>
      </c>
      <c r="J28">
        <f>Assumptions!$B$29+E28+F28+G28+H28+I28</f>
        <v/>
      </c>
      <c r="K28">
        <f>J28+Assumptions!$B$4/B28</f>
        <v/>
      </c>
      <c r="L28">
        <f>B28</f>
        <v/>
      </c>
    </row>
    <row r="29">
      <c r="A29" t="inlineStr">
        <is>
          <t>cell(0,0) iter 14</t>
        </is>
      </c>
      <c r="B29">
        <f>Assumptions!$B$53/J28</f>
        <v/>
      </c>
      <c r="C29">
        <f>IF(B29&lt;Assumptions!$B$20,Assumptions!$B$20*(Assumptions!$B$29+Assumptions!$B$4/Assumptions!$B$20)/(Assumptions!$B$29+Assumptions!$B$4/B29),Assumptions!$B$20)</f>
        <v/>
      </c>
      <c r="D29">
        <f>IF(B29&lt;Assumptions!$B$21,Assumptions!$B$21*(Assumptions!$B$29+Assumptions!$B$4/Assumptions!$B$21)/(Assumptions!$B$29+Assumptions!$B$4/B29),Assumptions!$B$21)</f>
        <v/>
      </c>
      <c r="E29">
        <f>Assumptions!$B$37*Assumptions!$B$22/C29-Assumptions!$B$38</f>
        <v/>
      </c>
      <c r="F29">
        <f>Assumptions!$B$39*Assumptions!$B$21/D29-Assumptions!$B$39</f>
        <v/>
      </c>
      <c r="G29">
        <f>MAX(0,Assumptions!$B$50*(Assumptions!$B$29+E29+F29+G28+H28+I28+Assumptions!$B$4/B29)-Assumptions!$B$30)</f>
        <v/>
      </c>
      <c r="H29">
        <f>Assumptions!$B$23/MIN(Assumptions!$B$24/(Assumptions!$B$29+E29+F29+G29+I28),B29*(1-Assumptions!$B$25))</f>
        <v/>
      </c>
      <c r="I29">
        <f>Assumptions!$B$26/MIN(Assumptions!$B$27/(Assumptions!$B$29+E29+F29+G29+H29),B29*(1-Assumptions!$B$28))</f>
        <v/>
      </c>
      <c r="J29">
        <f>Assumptions!$B$29+E29+F29+G29+H29+I29</f>
        <v/>
      </c>
      <c r="K29">
        <f>J29+Assumptions!$B$4/B29</f>
        <v/>
      </c>
      <c r="L29">
        <f>B29</f>
        <v/>
      </c>
    </row>
    <row r="30">
      <c r="A30" t="inlineStr">
        <is>
          <t>cell(0,0) iter 15</t>
        </is>
      </c>
      <c r="B30">
        <f>Assumptions!$B$53/J29</f>
        <v/>
      </c>
      <c r="C30">
        <f>IF(B30&lt;Assumptions!$B$20,Assumptions!$B$20*(Assumptions!$B$29+Assumptions!$B$4/Assumptions!$B$20)/(Assumptions!$B$29+Assumptions!$B$4/B30),Assumptions!$B$20)</f>
        <v/>
      </c>
      <c r="D30">
        <f>IF(B30&lt;Assumptions!$B$21,Assumptions!$B$21*(Assumptions!$B$29+Assumptions!$B$4/Assumptions!$B$21)/(Assumptions!$B$29+Assumptions!$B$4/B30),Assumptions!$B$21)</f>
        <v/>
      </c>
      <c r="E30">
        <f>Assumptions!$B$37*Assumptions!$B$22/C30-Assumptions!$B$38</f>
        <v/>
      </c>
      <c r="F30">
        <f>Assumptions!$B$39*Assumptions!$B$21/D30-Assumptions!$B$39</f>
        <v/>
      </c>
      <c r="G30">
        <f>MAX(0,Assumptions!$B$50*(Assumptions!$B$29+E30+F30+G29+H29+I29+Assumptions!$B$4/B30)-Assumptions!$B$30)</f>
        <v/>
      </c>
      <c r="H30">
        <f>Assumptions!$B$23/MIN(Assumptions!$B$24/(Assumptions!$B$29+E30+F30+G30+I29),B30*(1-Assumptions!$B$25))</f>
        <v/>
      </c>
      <c r="I30">
        <f>Assumptions!$B$26/MIN(Assumptions!$B$27/(Assumptions!$B$29+E30+F30+G30+H30),B30*(1-Assumptions!$B$28))</f>
        <v/>
      </c>
      <c r="J30">
        <f>Assumptions!$B$29+E30+F30+G30+H30+I30</f>
        <v/>
      </c>
      <c r="K30">
        <f>J30+Assumptions!$B$4/B30</f>
        <v/>
      </c>
      <c r="L30">
        <f>B30</f>
        <v/>
      </c>
    </row>
    <row r="31">
      <c r="A31" t="inlineStr">
        <is>
          <t>cell(0,0) iter 16</t>
        </is>
      </c>
      <c r="B31">
        <f>Assumptions!$B$53/J30</f>
        <v/>
      </c>
      <c r="C31">
        <f>IF(B31&lt;Assumptions!$B$20,Assumptions!$B$20*(Assumptions!$B$29+Assumptions!$B$4/Assumptions!$B$20)/(Assumptions!$B$29+Assumptions!$B$4/B31),Assumptions!$B$20)</f>
        <v/>
      </c>
      <c r="D31">
        <f>IF(B31&lt;Assumptions!$B$21,Assumptions!$B$21*(Assumptions!$B$29+Assumptions!$B$4/Assumptions!$B$21)/(Assumptions!$B$29+Assumptions!$B$4/B31),Assumptions!$B$21)</f>
        <v/>
      </c>
      <c r="E31">
        <f>Assumptions!$B$37*Assumptions!$B$22/C31-Assumptions!$B$38</f>
        <v/>
      </c>
      <c r="F31">
        <f>Assumptions!$B$39*Assumptions!$B$21/D31-Assumptions!$B$39</f>
        <v/>
      </c>
      <c r="G31">
        <f>MAX(0,Assumptions!$B$50*(Assumptions!$B$29+E31+F31+G30+H30+I30+Assumptions!$B$4/B31)-Assumptions!$B$30)</f>
        <v/>
      </c>
      <c r="H31">
        <f>Assumptions!$B$23/MIN(Assumptions!$B$24/(Assumptions!$B$29+E31+F31+G31+I30),B31*(1-Assumptions!$B$25))</f>
        <v/>
      </c>
      <c r="I31">
        <f>Assumptions!$B$26/MIN(Assumptions!$B$27/(Assumptions!$B$29+E31+F31+G31+H31),B31*(1-Assumptions!$B$28))</f>
        <v/>
      </c>
      <c r="J31">
        <f>Assumptions!$B$29+E31+F31+G31+H31+I31</f>
        <v/>
      </c>
      <c r="K31">
        <f>J31+Assumptions!$B$4/B31</f>
        <v/>
      </c>
      <c r="L31">
        <f>B31</f>
        <v/>
      </c>
    </row>
    <row r="32">
      <c r="A32" t="inlineStr">
        <is>
          <t>cell(0,0) iter 17</t>
        </is>
      </c>
      <c r="B32">
        <f>Assumptions!$B$53/J31</f>
        <v/>
      </c>
      <c r="C32">
        <f>IF(B32&lt;Assumptions!$B$20,Assumptions!$B$20*(Assumptions!$B$29+Assumptions!$B$4/Assumptions!$B$20)/(Assumptions!$B$29+Assumptions!$B$4/B32),Assumptions!$B$20)</f>
        <v/>
      </c>
      <c r="D32">
        <f>IF(B32&lt;Assumptions!$B$21,Assumptions!$B$21*(Assumptions!$B$29+Assumptions!$B$4/Assumptions!$B$21)/(Assumptions!$B$29+Assumptions!$B$4/B32),Assumptions!$B$21)</f>
        <v/>
      </c>
      <c r="E32">
        <f>Assumptions!$B$37*Assumptions!$B$22/C32-Assumptions!$B$38</f>
        <v/>
      </c>
      <c r="F32">
        <f>Assumptions!$B$39*Assumptions!$B$21/D32-Assumptions!$B$39</f>
        <v/>
      </c>
      <c r="G32">
        <f>MAX(0,Assumptions!$B$50*(Assumptions!$B$29+E32+F32+G31+H31+I31+Assumptions!$B$4/B32)-Assumptions!$B$30)</f>
        <v/>
      </c>
      <c r="H32">
        <f>Assumptions!$B$23/MIN(Assumptions!$B$24/(Assumptions!$B$29+E32+F32+G32+I31),B32*(1-Assumptions!$B$25))</f>
        <v/>
      </c>
      <c r="I32">
        <f>Assumptions!$B$26/MIN(Assumptions!$B$27/(Assumptions!$B$29+E32+F32+G32+H32),B32*(1-Assumptions!$B$28))</f>
        <v/>
      </c>
      <c r="J32">
        <f>Assumptions!$B$29+E32+F32+G32+H32+I32</f>
        <v/>
      </c>
      <c r="K32">
        <f>J32+Assumptions!$B$4/B32</f>
        <v/>
      </c>
      <c r="L32">
        <f>B32</f>
        <v/>
      </c>
    </row>
    <row r="33">
      <c r="A33" t="inlineStr">
        <is>
          <t>cell(0,0) iter 18</t>
        </is>
      </c>
      <c r="B33">
        <f>Assumptions!$B$53/J32</f>
        <v/>
      </c>
      <c r="C33">
        <f>IF(B33&lt;Assumptions!$B$20,Assumptions!$B$20*(Assumptions!$B$29+Assumptions!$B$4/Assumptions!$B$20)/(Assumptions!$B$29+Assumptions!$B$4/B33),Assumptions!$B$20)</f>
        <v/>
      </c>
      <c r="D33">
        <f>IF(B33&lt;Assumptions!$B$21,Assumptions!$B$21*(Assumptions!$B$29+Assumptions!$B$4/Assumptions!$B$21)/(Assumptions!$B$29+Assumptions!$B$4/B33),Assumptions!$B$21)</f>
        <v/>
      </c>
      <c r="E33">
        <f>Assumptions!$B$37*Assumptions!$B$22/C33-Assumptions!$B$38</f>
        <v/>
      </c>
      <c r="F33">
        <f>Assumptions!$B$39*Assumptions!$B$21/D33-Assumptions!$B$39</f>
        <v/>
      </c>
      <c r="G33">
        <f>MAX(0,Assumptions!$B$50*(Assumptions!$B$29+E33+F33+G32+H32+I32+Assumptions!$B$4/B33)-Assumptions!$B$30)</f>
        <v/>
      </c>
      <c r="H33">
        <f>Assumptions!$B$23/MIN(Assumptions!$B$24/(Assumptions!$B$29+E33+F33+G33+I32),B33*(1-Assumptions!$B$25))</f>
        <v/>
      </c>
      <c r="I33">
        <f>Assumptions!$B$26/MIN(Assumptions!$B$27/(Assumptions!$B$29+E33+F33+G33+H33),B33*(1-Assumptions!$B$28))</f>
        <v/>
      </c>
      <c r="J33">
        <f>Assumptions!$B$29+E33+F33+G33+H33+I33</f>
        <v/>
      </c>
      <c r="K33">
        <f>J33+Assumptions!$B$4/B33</f>
        <v/>
      </c>
      <c r="L33">
        <f>B33</f>
        <v/>
      </c>
    </row>
    <row r="34">
      <c r="A34" t="inlineStr">
        <is>
          <t>cell(0,0) iter 19</t>
        </is>
      </c>
      <c r="B34">
        <f>Assumptions!$B$53/J33</f>
        <v/>
      </c>
      <c r="C34">
        <f>IF(B34&lt;Assumptions!$B$20,Assumptions!$B$20*(Assumptions!$B$29+Assumptions!$B$4/Assumptions!$B$20)/(Assumptions!$B$29+Assumptions!$B$4/B34),Assumptions!$B$20)</f>
        <v/>
      </c>
      <c r="D34">
        <f>IF(B34&lt;Assumptions!$B$21,Assumptions!$B$21*(Assumptions!$B$29+Assumptions!$B$4/Assumptions!$B$21)/(Assumptions!$B$29+Assumptions!$B$4/B34),Assumptions!$B$21)</f>
        <v/>
      </c>
      <c r="E34">
        <f>Assumptions!$B$37*Assumptions!$B$22/C34-Assumptions!$B$38</f>
        <v/>
      </c>
      <c r="F34">
        <f>Assumptions!$B$39*Assumptions!$B$21/D34-Assumptions!$B$39</f>
        <v/>
      </c>
      <c r="G34">
        <f>MAX(0,Assumptions!$B$50*(Assumptions!$B$29+E34+F34+G33+H33+I33+Assumptions!$B$4/B34)-Assumptions!$B$30)</f>
        <v/>
      </c>
      <c r="H34">
        <f>Assumptions!$B$23/MIN(Assumptions!$B$24/(Assumptions!$B$29+E34+F34+G34+I33),B34*(1-Assumptions!$B$25))</f>
        <v/>
      </c>
      <c r="I34">
        <f>Assumptions!$B$26/MIN(Assumptions!$B$27/(Assumptions!$B$29+E34+F34+G34+H34),B34*(1-Assumptions!$B$28))</f>
        <v/>
      </c>
      <c r="J34">
        <f>Assumptions!$B$29+E34+F34+G34+H34+I34</f>
        <v/>
      </c>
      <c r="K34">
        <f>J34+Assumptions!$B$4/B34</f>
        <v/>
      </c>
      <c r="L34">
        <f>B34</f>
        <v/>
      </c>
    </row>
    <row r="35">
      <c r="A35" t="inlineStr">
        <is>
          <t>cell(0,0) iter 20</t>
        </is>
      </c>
      <c r="B35">
        <f>Assumptions!$B$53/J34</f>
        <v/>
      </c>
      <c r="C35">
        <f>IF(B35&lt;Assumptions!$B$20,Assumptions!$B$20*(Assumptions!$B$29+Assumptions!$B$4/Assumptions!$B$20)/(Assumptions!$B$29+Assumptions!$B$4/B35),Assumptions!$B$20)</f>
        <v/>
      </c>
      <c r="D35">
        <f>IF(B35&lt;Assumptions!$B$21,Assumptions!$B$21*(Assumptions!$B$29+Assumptions!$B$4/Assumptions!$B$21)/(Assumptions!$B$29+Assumptions!$B$4/B35),Assumptions!$B$21)</f>
        <v/>
      </c>
      <c r="E35">
        <f>Assumptions!$B$37*Assumptions!$B$22/C35-Assumptions!$B$38</f>
        <v/>
      </c>
      <c r="F35">
        <f>Assumptions!$B$39*Assumptions!$B$21/D35-Assumptions!$B$39</f>
        <v/>
      </c>
      <c r="G35">
        <f>MAX(0,Assumptions!$B$50*(Assumptions!$B$29+E35+F35+G34+H34+I34+Assumptions!$B$4/B35)-Assumptions!$B$30)</f>
        <v/>
      </c>
      <c r="H35">
        <f>Assumptions!$B$23/MIN(Assumptions!$B$24/(Assumptions!$B$29+E35+F35+G35+I34),B35*(1-Assumptions!$B$25))</f>
        <v/>
      </c>
      <c r="I35">
        <f>Assumptions!$B$26/MIN(Assumptions!$B$27/(Assumptions!$B$29+E35+F35+G35+H35),B35*(1-Assumptions!$B$28))</f>
        <v/>
      </c>
      <c r="J35">
        <f>Assumptions!$B$29+E35+F35+G35+H35+I35</f>
        <v/>
      </c>
      <c r="K35">
        <f>J35+Assumptions!$B$4/B35</f>
        <v/>
      </c>
      <c r="L35">
        <f>B35</f>
        <v/>
      </c>
    </row>
    <row r="36">
      <c r="A36" t="inlineStr">
        <is>
          <t>cell(0,0) iter 21</t>
        </is>
      </c>
      <c r="B36">
        <f>Assumptions!$B$53/J35</f>
        <v/>
      </c>
      <c r="C36">
        <f>IF(B36&lt;Assumptions!$B$20,Assumptions!$B$20*(Assumptions!$B$29+Assumptions!$B$4/Assumptions!$B$20)/(Assumptions!$B$29+Assumptions!$B$4/B36),Assumptions!$B$20)</f>
        <v/>
      </c>
      <c r="D36">
        <f>IF(B36&lt;Assumptions!$B$21,Assumptions!$B$21*(Assumptions!$B$29+Assumptions!$B$4/Assumptions!$B$21)/(Assumptions!$B$29+Assumptions!$B$4/B36),Assumptions!$B$21)</f>
        <v/>
      </c>
      <c r="E36">
        <f>Assumptions!$B$37*Assumptions!$B$22/C36-Assumptions!$B$38</f>
        <v/>
      </c>
      <c r="F36">
        <f>Assumptions!$B$39*Assumptions!$B$21/D36-Assumptions!$B$39</f>
        <v/>
      </c>
      <c r="G36">
        <f>MAX(0,Assumptions!$B$50*(Assumptions!$B$29+E36+F36+G35+H35+I35+Assumptions!$B$4/B36)-Assumptions!$B$30)</f>
        <v/>
      </c>
      <c r="H36">
        <f>Assumptions!$B$23/MIN(Assumptions!$B$24/(Assumptions!$B$29+E36+F36+G36+I35),B36*(1-Assumptions!$B$25))</f>
        <v/>
      </c>
      <c r="I36">
        <f>Assumptions!$B$26/MIN(Assumptions!$B$27/(Assumptions!$B$29+E36+F36+G36+H36),B36*(1-Assumptions!$B$28))</f>
        <v/>
      </c>
      <c r="J36">
        <f>Assumptions!$B$29+E36+F36+G36+H36+I36</f>
        <v/>
      </c>
      <c r="K36">
        <f>J36+Assumptions!$B$4/B36</f>
        <v/>
      </c>
      <c r="L36">
        <f>B36</f>
        <v/>
      </c>
    </row>
    <row r="37">
      <c r="A37" t="inlineStr">
        <is>
          <t>cell(0,0) iter 22</t>
        </is>
      </c>
      <c r="B37">
        <f>Assumptions!$B$53/J36</f>
        <v/>
      </c>
      <c r="C37">
        <f>IF(B37&lt;Assumptions!$B$20,Assumptions!$B$20*(Assumptions!$B$29+Assumptions!$B$4/Assumptions!$B$20)/(Assumptions!$B$29+Assumptions!$B$4/B37),Assumptions!$B$20)</f>
        <v/>
      </c>
      <c r="D37">
        <f>IF(B37&lt;Assumptions!$B$21,Assumptions!$B$21*(Assumptions!$B$29+Assumptions!$B$4/Assumptions!$B$21)/(Assumptions!$B$29+Assumptions!$B$4/B37),Assumptions!$B$21)</f>
        <v/>
      </c>
      <c r="E37">
        <f>Assumptions!$B$37*Assumptions!$B$22/C37-Assumptions!$B$38</f>
        <v/>
      </c>
      <c r="F37">
        <f>Assumptions!$B$39*Assumptions!$B$21/D37-Assumptions!$B$39</f>
        <v/>
      </c>
      <c r="G37">
        <f>MAX(0,Assumptions!$B$50*(Assumptions!$B$29+E37+F37+G36+H36+I36+Assumptions!$B$4/B37)-Assumptions!$B$30)</f>
        <v/>
      </c>
      <c r="H37">
        <f>Assumptions!$B$23/MIN(Assumptions!$B$24/(Assumptions!$B$29+E37+F37+G37+I36),B37*(1-Assumptions!$B$25))</f>
        <v/>
      </c>
      <c r="I37">
        <f>Assumptions!$B$26/MIN(Assumptions!$B$27/(Assumptions!$B$29+E37+F37+G37+H37),B37*(1-Assumptions!$B$28))</f>
        <v/>
      </c>
      <c r="J37">
        <f>Assumptions!$B$29+E37+F37+G37+H37+I37</f>
        <v/>
      </c>
      <c r="K37">
        <f>J37+Assumptions!$B$4/B37</f>
        <v/>
      </c>
      <c r="L37">
        <f>B37</f>
        <v/>
      </c>
    </row>
    <row r="38">
      <c r="A38" t="inlineStr">
        <is>
          <t>cell(0,0) iter 23</t>
        </is>
      </c>
      <c r="B38">
        <f>Assumptions!$B$53/J37</f>
        <v/>
      </c>
      <c r="C38">
        <f>IF(B38&lt;Assumptions!$B$20,Assumptions!$B$20*(Assumptions!$B$29+Assumptions!$B$4/Assumptions!$B$20)/(Assumptions!$B$29+Assumptions!$B$4/B38),Assumptions!$B$20)</f>
        <v/>
      </c>
      <c r="D38">
        <f>IF(B38&lt;Assumptions!$B$21,Assumptions!$B$21*(Assumptions!$B$29+Assumptions!$B$4/Assumptions!$B$21)/(Assumptions!$B$29+Assumptions!$B$4/B38),Assumptions!$B$21)</f>
        <v/>
      </c>
      <c r="E38">
        <f>Assumptions!$B$37*Assumptions!$B$22/C38-Assumptions!$B$38</f>
        <v/>
      </c>
      <c r="F38">
        <f>Assumptions!$B$39*Assumptions!$B$21/D38-Assumptions!$B$39</f>
        <v/>
      </c>
      <c r="G38">
        <f>MAX(0,Assumptions!$B$50*(Assumptions!$B$29+E38+F38+G37+H37+I37+Assumptions!$B$4/B38)-Assumptions!$B$30)</f>
        <v/>
      </c>
      <c r="H38">
        <f>Assumptions!$B$23/MIN(Assumptions!$B$24/(Assumptions!$B$29+E38+F38+G38+I37),B38*(1-Assumptions!$B$25))</f>
        <v/>
      </c>
      <c r="I38">
        <f>Assumptions!$B$26/MIN(Assumptions!$B$27/(Assumptions!$B$29+E38+F38+G38+H38),B38*(1-Assumptions!$B$28))</f>
        <v/>
      </c>
      <c r="J38">
        <f>Assumptions!$B$29+E38+F38+G38+H38+I38</f>
        <v/>
      </c>
      <c r="K38">
        <f>J38+Assumptions!$B$4/B38</f>
        <v/>
      </c>
      <c r="L38">
        <f>B38</f>
        <v/>
      </c>
    </row>
    <row r="39">
      <c r="A39" t="inlineStr">
        <is>
          <t>cell(0,0) iter 24</t>
        </is>
      </c>
      <c r="B39">
        <f>Assumptions!$B$53/J38</f>
        <v/>
      </c>
      <c r="C39">
        <f>IF(B39&lt;Assumptions!$B$20,Assumptions!$B$20*(Assumptions!$B$29+Assumptions!$B$4/Assumptions!$B$20)/(Assumptions!$B$29+Assumptions!$B$4/B39),Assumptions!$B$20)</f>
        <v/>
      </c>
      <c r="D39">
        <f>IF(B39&lt;Assumptions!$B$21,Assumptions!$B$21*(Assumptions!$B$29+Assumptions!$B$4/Assumptions!$B$21)/(Assumptions!$B$29+Assumptions!$B$4/B39),Assumptions!$B$21)</f>
        <v/>
      </c>
      <c r="E39">
        <f>Assumptions!$B$37*Assumptions!$B$22/C39-Assumptions!$B$38</f>
        <v/>
      </c>
      <c r="F39">
        <f>Assumptions!$B$39*Assumptions!$B$21/D39-Assumptions!$B$39</f>
        <v/>
      </c>
      <c r="G39">
        <f>MAX(0,Assumptions!$B$50*(Assumptions!$B$29+E39+F39+G38+H38+I38+Assumptions!$B$4/B39)-Assumptions!$B$30)</f>
        <v/>
      </c>
      <c r="H39">
        <f>Assumptions!$B$23/MIN(Assumptions!$B$24/(Assumptions!$B$29+E39+F39+G39+I38),B39*(1-Assumptions!$B$25))</f>
        <v/>
      </c>
      <c r="I39">
        <f>Assumptions!$B$26/MIN(Assumptions!$B$27/(Assumptions!$B$29+E39+F39+G39+H39),B39*(1-Assumptions!$B$28))</f>
        <v/>
      </c>
      <c r="J39">
        <f>Assumptions!$B$29+E39+F39+G39+H39+I39</f>
        <v/>
      </c>
      <c r="K39">
        <f>J39+Assumptions!$B$4/B39</f>
        <v/>
      </c>
      <c r="L39">
        <f>B39</f>
        <v/>
      </c>
    </row>
    <row r="40">
      <c r="A40" t="inlineStr">
        <is>
          <t>cell(0,0) iter 25</t>
        </is>
      </c>
      <c r="B40">
        <f>Assumptions!$B$53/J39</f>
        <v/>
      </c>
      <c r="C40">
        <f>IF(B40&lt;Assumptions!$B$20,Assumptions!$B$20*(Assumptions!$B$29+Assumptions!$B$4/Assumptions!$B$20)/(Assumptions!$B$29+Assumptions!$B$4/B40),Assumptions!$B$20)</f>
        <v/>
      </c>
      <c r="D40">
        <f>IF(B40&lt;Assumptions!$B$21,Assumptions!$B$21*(Assumptions!$B$29+Assumptions!$B$4/Assumptions!$B$21)/(Assumptions!$B$29+Assumptions!$B$4/B40),Assumptions!$B$21)</f>
        <v/>
      </c>
      <c r="E40">
        <f>Assumptions!$B$37*Assumptions!$B$22/C40-Assumptions!$B$38</f>
        <v/>
      </c>
      <c r="F40">
        <f>Assumptions!$B$39*Assumptions!$B$21/D40-Assumptions!$B$39</f>
        <v/>
      </c>
      <c r="G40">
        <f>MAX(0,Assumptions!$B$50*(Assumptions!$B$29+E40+F40+G39+H39+I39+Assumptions!$B$4/B40)-Assumptions!$B$30)</f>
        <v/>
      </c>
      <c r="H40">
        <f>Assumptions!$B$23/MIN(Assumptions!$B$24/(Assumptions!$B$29+E40+F40+G40+I39),B40*(1-Assumptions!$B$25))</f>
        <v/>
      </c>
      <c r="I40">
        <f>Assumptions!$B$26/MIN(Assumptions!$B$27/(Assumptions!$B$29+E40+F40+G40+H40),B40*(1-Assumptions!$B$28))</f>
        <v/>
      </c>
      <c r="J40">
        <f>Assumptions!$B$29+E40+F40+G40+H40+I40</f>
        <v/>
      </c>
      <c r="K40">
        <f>J40+Assumptions!$B$4/B40</f>
        <v/>
      </c>
      <c r="L40">
        <f>B40</f>
        <v/>
      </c>
    </row>
    <row r="41">
      <c r="A41" t="inlineStr">
        <is>
          <t>cell(0,0) iter 26</t>
        </is>
      </c>
      <c r="B41">
        <f>Assumptions!$B$53/J40</f>
        <v/>
      </c>
      <c r="C41">
        <f>IF(B41&lt;Assumptions!$B$20,Assumptions!$B$20*(Assumptions!$B$29+Assumptions!$B$4/Assumptions!$B$20)/(Assumptions!$B$29+Assumptions!$B$4/B41),Assumptions!$B$20)</f>
        <v/>
      </c>
      <c r="D41">
        <f>IF(B41&lt;Assumptions!$B$21,Assumptions!$B$21*(Assumptions!$B$29+Assumptions!$B$4/Assumptions!$B$21)/(Assumptions!$B$29+Assumptions!$B$4/B41),Assumptions!$B$21)</f>
        <v/>
      </c>
      <c r="E41">
        <f>Assumptions!$B$37*Assumptions!$B$22/C41-Assumptions!$B$38</f>
        <v/>
      </c>
      <c r="F41">
        <f>Assumptions!$B$39*Assumptions!$B$21/D41-Assumptions!$B$39</f>
        <v/>
      </c>
      <c r="G41">
        <f>MAX(0,Assumptions!$B$50*(Assumptions!$B$29+E41+F41+G40+H40+I40+Assumptions!$B$4/B41)-Assumptions!$B$30)</f>
        <v/>
      </c>
      <c r="H41">
        <f>Assumptions!$B$23/MIN(Assumptions!$B$24/(Assumptions!$B$29+E41+F41+G41+I40),B41*(1-Assumptions!$B$25))</f>
        <v/>
      </c>
      <c r="I41">
        <f>Assumptions!$B$26/MIN(Assumptions!$B$27/(Assumptions!$B$29+E41+F41+G41+H41),B41*(1-Assumptions!$B$28))</f>
        <v/>
      </c>
      <c r="J41">
        <f>Assumptions!$B$29+E41+F41+G41+H41+I41</f>
        <v/>
      </c>
      <c r="K41">
        <f>J41+Assumptions!$B$4/B41</f>
        <v/>
      </c>
      <c r="L41">
        <f>B41</f>
        <v/>
      </c>
    </row>
    <row r="42">
      <c r="A42" t="inlineStr">
        <is>
          <t>cell(0,0) iter 27</t>
        </is>
      </c>
      <c r="B42">
        <f>Assumptions!$B$53/J41</f>
        <v/>
      </c>
      <c r="C42">
        <f>IF(B42&lt;Assumptions!$B$20,Assumptions!$B$20*(Assumptions!$B$29+Assumptions!$B$4/Assumptions!$B$20)/(Assumptions!$B$29+Assumptions!$B$4/B42),Assumptions!$B$20)</f>
        <v/>
      </c>
      <c r="D42">
        <f>IF(B42&lt;Assumptions!$B$21,Assumptions!$B$21*(Assumptions!$B$29+Assumptions!$B$4/Assumptions!$B$21)/(Assumptions!$B$29+Assumptions!$B$4/B42),Assumptions!$B$21)</f>
        <v/>
      </c>
      <c r="E42">
        <f>Assumptions!$B$37*Assumptions!$B$22/C42-Assumptions!$B$38</f>
        <v/>
      </c>
      <c r="F42">
        <f>Assumptions!$B$39*Assumptions!$B$21/D42-Assumptions!$B$39</f>
        <v/>
      </c>
      <c r="G42">
        <f>MAX(0,Assumptions!$B$50*(Assumptions!$B$29+E42+F42+G41+H41+I41+Assumptions!$B$4/B42)-Assumptions!$B$30)</f>
        <v/>
      </c>
      <c r="H42">
        <f>Assumptions!$B$23/MIN(Assumptions!$B$24/(Assumptions!$B$29+E42+F42+G42+I41),B42*(1-Assumptions!$B$25))</f>
        <v/>
      </c>
      <c r="I42">
        <f>Assumptions!$B$26/MIN(Assumptions!$B$27/(Assumptions!$B$29+E42+F42+G42+H42),B42*(1-Assumptions!$B$28))</f>
        <v/>
      </c>
      <c r="J42">
        <f>Assumptions!$B$29+E42+F42+G42+H42+I42</f>
        <v/>
      </c>
      <c r="K42">
        <f>J42+Assumptions!$B$4/B42</f>
        <v/>
      </c>
      <c r="L42">
        <f>B42</f>
        <v/>
      </c>
    </row>
    <row r="43">
      <c r="A43" t="inlineStr">
        <is>
          <t>cell(0,0) iter 28</t>
        </is>
      </c>
      <c r="B43">
        <f>Assumptions!$B$53/J42</f>
        <v/>
      </c>
      <c r="C43">
        <f>IF(B43&lt;Assumptions!$B$20,Assumptions!$B$20*(Assumptions!$B$29+Assumptions!$B$4/Assumptions!$B$20)/(Assumptions!$B$29+Assumptions!$B$4/B43),Assumptions!$B$20)</f>
        <v/>
      </c>
      <c r="D43">
        <f>IF(B43&lt;Assumptions!$B$21,Assumptions!$B$21*(Assumptions!$B$29+Assumptions!$B$4/Assumptions!$B$21)/(Assumptions!$B$29+Assumptions!$B$4/B43),Assumptions!$B$21)</f>
        <v/>
      </c>
      <c r="E43">
        <f>Assumptions!$B$37*Assumptions!$B$22/C43-Assumptions!$B$38</f>
        <v/>
      </c>
      <c r="F43">
        <f>Assumptions!$B$39*Assumptions!$B$21/D43-Assumptions!$B$39</f>
        <v/>
      </c>
      <c r="G43">
        <f>MAX(0,Assumptions!$B$50*(Assumptions!$B$29+E43+F43+G42+H42+I42+Assumptions!$B$4/B43)-Assumptions!$B$30)</f>
        <v/>
      </c>
      <c r="H43">
        <f>Assumptions!$B$23/MIN(Assumptions!$B$24/(Assumptions!$B$29+E43+F43+G43+I42),B43*(1-Assumptions!$B$25))</f>
        <v/>
      </c>
      <c r="I43">
        <f>Assumptions!$B$26/MIN(Assumptions!$B$27/(Assumptions!$B$29+E43+F43+G43+H43),B43*(1-Assumptions!$B$28))</f>
        <v/>
      </c>
      <c r="J43">
        <f>Assumptions!$B$29+E43+F43+G43+H43+I43</f>
        <v/>
      </c>
      <c r="K43">
        <f>J43+Assumptions!$B$4/B43</f>
        <v/>
      </c>
      <c r="L43">
        <f>B43</f>
        <v/>
      </c>
    </row>
    <row r="44">
      <c r="A44" t="inlineStr">
        <is>
          <t>cell(0,0) iter 29</t>
        </is>
      </c>
      <c r="B44">
        <f>Assumptions!$B$53/J43</f>
        <v/>
      </c>
      <c r="C44">
        <f>IF(B44&lt;Assumptions!$B$20,Assumptions!$B$20*(Assumptions!$B$29+Assumptions!$B$4/Assumptions!$B$20)/(Assumptions!$B$29+Assumptions!$B$4/B44),Assumptions!$B$20)</f>
        <v/>
      </c>
      <c r="D44">
        <f>IF(B44&lt;Assumptions!$B$21,Assumptions!$B$21*(Assumptions!$B$29+Assumptions!$B$4/Assumptions!$B$21)/(Assumptions!$B$29+Assumptions!$B$4/B44),Assumptions!$B$21)</f>
        <v/>
      </c>
      <c r="E44">
        <f>Assumptions!$B$37*Assumptions!$B$22/C44-Assumptions!$B$38</f>
        <v/>
      </c>
      <c r="F44">
        <f>Assumptions!$B$39*Assumptions!$B$21/D44-Assumptions!$B$39</f>
        <v/>
      </c>
      <c r="G44">
        <f>MAX(0,Assumptions!$B$50*(Assumptions!$B$29+E44+F44+G43+H43+I43+Assumptions!$B$4/B44)-Assumptions!$B$30)</f>
        <v/>
      </c>
      <c r="H44">
        <f>Assumptions!$B$23/MIN(Assumptions!$B$24/(Assumptions!$B$29+E44+F44+G44+I43),B44*(1-Assumptions!$B$25))</f>
        <v/>
      </c>
      <c r="I44">
        <f>Assumptions!$B$26/MIN(Assumptions!$B$27/(Assumptions!$B$29+E44+F44+G44+H44),B44*(1-Assumptions!$B$28))</f>
        <v/>
      </c>
      <c r="J44">
        <f>Assumptions!$B$29+E44+F44+G44+H44+I44</f>
        <v/>
      </c>
      <c r="K44">
        <f>J44+Assumptions!$B$4/B44</f>
        <v/>
      </c>
      <c r="L44">
        <f>B44</f>
        <v/>
      </c>
    </row>
    <row r="45">
      <c r="A45" t="inlineStr">
        <is>
          <t>cell(0,0) iter 30</t>
        </is>
      </c>
      <c r="B45">
        <f>Assumptions!$B$53/J44</f>
        <v/>
      </c>
      <c r="C45">
        <f>IF(B45&lt;Assumptions!$B$20,Assumptions!$B$20*(Assumptions!$B$29+Assumptions!$B$4/Assumptions!$B$20)/(Assumptions!$B$29+Assumptions!$B$4/B45),Assumptions!$B$20)</f>
        <v/>
      </c>
      <c r="D45">
        <f>IF(B45&lt;Assumptions!$B$21,Assumptions!$B$21*(Assumptions!$B$29+Assumptions!$B$4/Assumptions!$B$21)/(Assumptions!$B$29+Assumptions!$B$4/B45),Assumptions!$B$21)</f>
        <v/>
      </c>
      <c r="E45">
        <f>Assumptions!$B$37*Assumptions!$B$22/C45-Assumptions!$B$38</f>
        <v/>
      </c>
      <c r="F45">
        <f>Assumptions!$B$39*Assumptions!$B$21/D45-Assumptions!$B$39</f>
        <v/>
      </c>
      <c r="G45">
        <f>MAX(0,Assumptions!$B$50*(Assumptions!$B$29+E45+F45+G44+H44+I44+Assumptions!$B$4/B45)-Assumptions!$B$30)</f>
        <v/>
      </c>
      <c r="H45">
        <f>Assumptions!$B$23/MIN(Assumptions!$B$24/(Assumptions!$B$29+E45+F45+G45+I44),B45*(1-Assumptions!$B$25))</f>
        <v/>
      </c>
      <c r="I45">
        <f>Assumptions!$B$26/MIN(Assumptions!$B$27/(Assumptions!$B$29+E45+F45+G45+H45),B45*(1-Assumptions!$B$28))</f>
        <v/>
      </c>
      <c r="J45">
        <f>Assumptions!$B$29+E45+F45+G45+H45+I45</f>
        <v/>
      </c>
      <c r="K45">
        <f>J45+Assumptions!$B$4/B45</f>
        <v/>
      </c>
      <c r="L45">
        <f>B45</f>
        <v/>
      </c>
    </row>
    <row r="46">
      <c r="A46" t="inlineStr">
        <is>
          <t>cell(0,0) iter 31</t>
        </is>
      </c>
      <c r="B46">
        <f>Assumptions!$B$53/J45</f>
        <v/>
      </c>
      <c r="C46">
        <f>IF(B46&lt;Assumptions!$B$20,Assumptions!$B$20*(Assumptions!$B$29+Assumptions!$B$4/Assumptions!$B$20)/(Assumptions!$B$29+Assumptions!$B$4/B46),Assumptions!$B$20)</f>
        <v/>
      </c>
      <c r="D46">
        <f>IF(B46&lt;Assumptions!$B$21,Assumptions!$B$21*(Assumptions!$B$29+Assumptions!$B$4/Assumptions!$B$21)/(Assumptions!$B$29+Assumptions!$B$4/B46),Assumptions!$B$21)</f>
        <v/>
      </c>
      <c r="E46">
        <f>Assumptions!$B$37*Assumptions!$B$22/C46-Assumptions!$B$38</f>
        <v/>
      </c>
      <c r="F46">
        <f>Assumptions!$B$39*Assumptions!$B$21/D46-Assumptions!$B$39</f>
        <v/>
      </c>
      <c r="G46">
        <f>MAX(0,Assumptions!$B$50*(Assumptions!$B$29+E46+F46+G45+H45+I45+Assumptions!$B$4/B46)-Assumptions!$B$30)</f>
        <v/>
      </c>
      <c r="H46">
        <f>Assumptions!$B$23/MIN(Assumptions!$B$24/(Assumptions!$B$29+E46+F46+G46+I45),B46*(1-Assumptions!$B$25))</f>
        <v/>
      </c>
      <c r="I46">
        <f>Assumptions!$B$26/MIN(Assumptions!$B$27/(Assumptions!$B$29+E46+F46+G46+H46),B46*(1-Assumptions!$B$28))</f>
        <v/>
      </c>
      <c r="J46">
        <f>Assumptions!$B$29+E46+F46+G46+H46+I46</f>
        <v/>
      </c>
      <c r="K46">
        <f>J46+Assumptions!$B$4/B46</f>
        <v/>
      </c>
      <c r="L46">
        <f>B46</f>
        <v/>
      </c>
    </row>
    <row r="47">
      <c r="A47" t="inlineStr">
        <is>
          <t>cell(0,0) iter 32</t>
        </is>
      </c>
      <c r="B47">
        <f>Assumptions!$B$53/J46</f>
        <v/>
      </c>
      <c r="C47">
        <f>IF(B47&lt;Assumptions!$B$20,Assumptions!$B$20*(Assumptions!$B$29+Assumptions!$B$4/Assumptions!$B$20)/(Assumptions!$B$29+Assumptions!$B$4/B47),Assumptions!$B$20)</f>
        <v/>
      </c>
      <c r="D47">
        <f>IF(B47&lt;Assumptions!$B$21,Assumptions!$B$21*(Assumptions!$B$29+Assumptions!$B$4/Assumptions!$B$21)/(Assumptions!$B$29+Assumptions!$B$4/B47),Assumptions!$B$21)</f>
        <v/>
      </c>
      <c r="E47">
        <f>Assumptions!$B$37*Assumptions!$B$22/C47-Assumptions!$B$38</f>
        <v/>
      </c>
      <c r="F47">
        <f>Assumptions!$B$39*Assumptions!$B$21/D47-Assumptions!$B$39</f>
        <v/>
      </c>
      <c r="G47">
        <f>MAX(0,Assumptions!$B$50*(Assumptions!$B$29+E47+F47+G46+H46+I46+Assumptions!$B$4/B47)-Assumptions!$B$30)</f>
        <v/>
      </c>
      <c r="H47">
        <f>Assumptions!$B$23/MIN(Assumptions!$B$24/(Assumptions!$B$29+E47+F47+G47+I46),B47*(1-Assumptions!$B$25))</f>
        <v/>
      </c>
      <c r="I47">
        <f>Assumptions!$B$26/MIN(Assumptions!$B$27/(Assumptions!$B$29+E47+F47+G47+H47),B47*(1-Assumptions!$B$28))</f>
        <v/>
      </c>
      <c r="J47">
        <f>Assumptions!$B$29+E47+F47+G47+H47+I47</f>
        <v/>
      </c>
      <c r="K47">
        <f>J47+Assumptions!$B$4/B47</f>
        <v/>
      </c>
      <c r="L47">
        <f>B47</f>
        <v/>
      </c>
    </row>
    <row r="48">
      <c r="A48" t="inlineStr">
        <is>
          <t>cell(0,0) iter 33</t>
        </is>
      </c>
      <c r="B48">
        <f>Assumptions!$B$53/J47</f>
        <v/>
      </c>
      <c r="C48">
        <f>IF(B48&lt;Assumptions!$B$20,Assumptions!$B$20*(Assumptions!$B$29+Assumptions!$B$4/Assumptions!$B$20)/(Assumptions!$B$29+Assumptions!$B$4/B48),Assumptions!$B$20)</f>
        <v/>
      </c>
      <c r="D48">
        <f>IF(B48&lt;Assumptions!$B$21,Assumptions!$B$21*(Assumptions!$B$29+Assumptions!$B$4/Assumptions!$B$21)/(Assumptions!$B$29+Assumptions!$B$4/B48),Assumptions!$B$21)</f>
        <v/>
      </c>
      <c r="E48">
        <f>Assumptions!$B$37*Assumptions!$B$22/C48-Assumptions!$B$38</f>
        <v/>
      </c>
      <c r="F48">
        <f>Assumptions!$B$39*Assumptions!$B$21/D48-Assumptions!$B$39</f>
        <v/>
      </c>
      <c r="G48">
        <f>MAX(0,Assumptions!$B$50*(Assumptions!$B$29+E48+F48+G47+H47+I47+Assumptions!$B$4/B48)-Assumptions!$B$30)</f>
        <v/>
      </c>
      <c r="H48">
        <f>Assumptions!$B$23/MIN(Assumptions!$B$24/(Assumptions!$B$29+E48+F48+G48+I47),B48*(1-Assumptions!$B$25))</f>
        <v/>
      </c>
      <c r="I48">
        <f>Assumptions!$B$26/MIN(Assumptions!$B$27/(Assumptions!$B$29+E48+F48+G48+H48),B48*(1-Assumptions!$B$28))</f>
        <v/>
      </c>
      <c r="J48">
        <f>Assumptions!$B$29+E48+F48+G48+H48+I48</f>
        <v/>
      </c>
      <c r="K48">
        <f>J48+Assumptions!$B$4/B48</f>
        <v/>
      </c>
      <c r="L48">
        <f>B48</f>
        <v/>
      </c>
    </row>
    <row r="49">
      <c r="A49" t="inlineStr">
        <is>
          <t>cell(0,0) iter 34</t>
        </is>
      </c>
      <c r="B49">
        <f>Assumptions!$B$53/J48</f>
        <v/>
      </c>
      <c r="C49">
        <f>IF(B49&lt;Assumptions!$B$20,Assumptions!$B$20*(Assumptions!$B$29+Assumptions!$B$4/Assumptions!$B$20)/(Assumptions!$B$29+Assumptions!$B$4/B49),Assumptions!$B$20)</f>
        <v/>
      </c>
      <c r="D49">
        <f>IF(B49&lt;Assumptions!$B$21,Assumptions!$B$21*(Assumptions!$B$29+Assumptions!$B$4/Assumptions!$B$21)/(Assumptions!$B$29+Assumptions!$B$4/B49),Assumptions!$B$21)</f>
        <v/>
      </c>
      <c r="E49">
        <f>Assumptions!$B$37*Assumptions!$B$22/C49-Assumptions!$B$38</f>
        <v/>
      </c>
      <c r="F49">
        <f>Assumptions!$B$39*Assumptions!$B$21/D49-Assumptions!$B$39</f>
        <v/>
      </c>
      <c r="G49">
        <f>MAX(0,Assumptions!$B$50*(Assumptions!$B$29+E49+F49+G48+H48+I48+Assumptions!$B$4/B49)-Assumptions!$B$30)</f>
        <v/>
      </c>
      <c r="H49">
        <f>Assumptions!$B$23/MIN(Assumptions!$B$24/(Assumptions!$B$29+E49+F49+G49+I48),B49*(1-Assumptions!$B$25))</f>
        <v/>
      </c>
      <c r="I49">
        <f>Assumptions!$B$26/MIN(Assumptions!$B$27/(Assumptions!$B$29+E49+F49+G49+H49),B49*(1-Assumptions!$B$28))</f>
        <v/>
      </c>
      <c r="J49">
        <f>Assumptions!$B$29+E49+F49+G49+H49+I49</f>
        <v/>
      </c>
      <c r="K49">
        <f>J49+Assumptions!$B$4/B49</f>
        <v/>
      </c>
      <c r="L49">
        <f>B49</f>
        <v/>
      </c>
    </row>
    <row r="50">
      <c r="A50" t="inlineStr">
        <is>
          <t>cell(0,0) iter 35</t>
        </is>
      </c>
      <c r="B50">
        <f>Assumptions!$B$53/J49</f>
        <v/>
      </c>
      <c r="C50">
        <f>IF(B50&lt;Assumptions!$B$20,Assumptions!$B$20*(Assumptions!$B$29+Assumptions!$B$4/Assumptions!$B$20)/(Assumptions!$B$29+Assumptions!$B$4/B50),Assumptions!$B$20)</f>
        <v/>
      </c>
      <c r="D50">
        <f>IF(B50&lt;Assumptions!$B$21,Assumptions!$B$21*(Assumptions!$B$29+Assumptions!$B$4/Assumptions!$B$21)/(Assumptions!$B$29+Assumptions!$B$4/B50),Assumptions!$B$21)</f>
        <v/>
      </c>
      <c r="E50">
        <f>Assumptions!$B$37*Assumptions!$B$22/C50-Assumptions!$B$38</f>
        <v/>
      </c>
      <c r="F50">
        <f>Assumptions!$B$39*Assumptions!$B$21/D50-Assumptions!$B$39</f>
        <v/>
      </c>
      <c r="G50">
        <f>MAX(0,Assumptions!$B$50*(Assumptions!$B$29+E50+F50+G49+H49+I49+Assumptions!$B$4/B50)-Assumptions!$B$30)</f>
        <v/>
      </c>
      <c r="H50">
        <f>Assumptions!$B$23/MIN(Assumptions!$B$24/(Assumptions!$B$29+E50+F50+G50+I49),B50*(1-Assumptions!$B$25))</f>
        <v/>
      </c>
      <c r="I50">
        <f>Assumptions!$B$26/MIN(Assumptions!$B$27/(Assumptions!$B$29+E50+F50+G50+H50),B50*(1-Assumptions!$B$28))</f>
        <v/>
      </c>
      <c r="J50">
        <f>Assumptions!$B$29+E50+F50+G50+H50+I50</f>
        <v/>
      </c>
      <c r="K50">
        <f>J50+Assumptions!$B$4/B50</f>
        <v/>
      </c>
      <c r="L50">
        <f>B50</f>
        <v/>
      </c>
    </row>
    <row r="51">
      <c r="A51" t="inlineStr">
        <is>
          <t>cell(0,0) iter 36</t>
        </is>
      </c>
      <c r="B51">
        <f>Assumptions!$B$53/J50</f>
        <v/>
      </c>
      <c r="C51">
        <f>IF(B51&lt;Assumptions!$B$20,Assumptions!$B$20*(Assumptions!$B$29+Assumptions!$B$4/Assumptions!$B$20)/(Assumptions!$B$29+Assumptions!$B$4/B51),Assumptions!$B$20)</f>
        <v/>
      </c>
      <c r="D51">
        <f>IF(B51&lt;Assumptions!$B$21,Assumptions!$B$21*(Assumptions!$B$29+Assumptions!$B$4/Assumptions!$B$21)/(Assumptions!$B$29+Assumptions!$B$4/B51),Assumptions!$B$21)</f>
        <v/>
      </c>
      <c r="E51">
        <f>Assumptions!$B$37*Assumptions!$B$22/C51-Assumptions!$B$38</f>
        <v/>
      </c>
      <c r="F51">
        <f>Assumptions!$B$39*Assumptions!$B$21/D51-Assumptions!$B$39</f>
        <v/>
      </c>
      <c r="G51">
        <f>MAX(0,Assumptions!$B$50*(Assumptions!$B$29+E51+F51+G50+H50+I50+Assumptions!$B$4/B51)-Assumptions!$B$30)</f>
        <v/>
      </c>
      <c r="H51">
        <f>Assumptions!$B$23/MIN(Assumptions!$B$24/(Assumptions!$B$29+E51+F51+G51+I50),B51*(1-Assumptions!$B$25))</f>
        <v/>
      </c>
      <c r="I51">
        <f>Assumptions!$B$26/MIN(Assumptions!$B$27/(Assumptions!$B$29+E51+F51+G51+H51),B51*(1-Assumptions!$B$28))</f>
        <v/>
      </c>
      <c r="J51">
        <f>Assumptions!$B$29+E51+F51+G51+H51+I51</f>
        <v/>
      </c>
      <c r="K51">
        <f>J51+Assumptions!$B$4/B51</f>
        <v/>
      </c>
      <c r="L51">
        <f>B51</f>
        <v/>
      </c>
    </row>
    <row r="52">
      <c r="A52" t="inlineStr">
        <is>
          <t>cell(0,0) iter 37</t>
        </is>
      </c>
      <c r="B52">
        <f>Assumptions!$B$53/J51</f>
        <v/>
      </c>
      <c r="C52">
        <f>IF(B52&lt;Assumptions!$B$20,Assumptions!$B$20*(Assumptions!$B$29+Assumptions!$B$4/Assumptions!$B$20)/(Assumptions!$B$29+Assumptions!$B$4/B52),Assumptions!$B$20)</f>
        <v/>
      </c>
      <c r="D52">
        <f>IF(B52&lt;Assumptions!$B$21,Assumptions!$B$21*(Assumptions!$B$29+Assumptions!$B$4/Assumptions!$B$21)/(Assumptions!$B$29+Assumptions!$B$4/B52),Assumptions!$B$21)</f>
        <v/>
      </c>
      <c r="E52">
        <f>Assumptions!$B$37*Assumptions!$B$22/C52-Assumptions!$B$38</f>
        <v/>
      </c>
      <c r="F52">
        <f>Assumptions!$B$39*Assumptions!$B$21/D52-Assumptions!$B$39</f>
        <v/>
      </c>
      <c r="G52">
        <f>MAX(0,Assumptions!$B$50*(Assumptions!$B$29+E52+F52+G51+H51+I51+Assumptions!$B$4/B52)-Assumptions!$B$30)</f>
        <v/>
      </c>
      <c r="H52">
        <f>Assumptions!$B$23/MIN(Assumptions!$B$24/(Assumptions!$B$29+E52+F52+G52+I51),B52*(1-Assumptions!$B$25))</f>
        <v/>
      </c>
      <c r="I52">
        <f>Assumptions!$B$26/MIN(Assumptions!$B$27/(Assumptions!$B$29+E52+F52+G52+H52),B52*(1-Assumptions!$B$28))</f>
        <v/>
      </c>
      <c r="J52">
        <f>Assumptions!$B$29+E52+F52+G52+H52+I52</f>
        <v/>
      </c>
      <c r="K52">
        <f>J52+Assumptions!$B$4/B52</f>
        <v/>
      </c>
      <c r="L52">
        <f>B52</f>
        <v/>
      </c>
    </row>
    <row r="53">
      <c r="A53" t="inlineStr">
        <is>
          <t>cell(0,0) iter 38</t>
        </is>
      </c>
      <c r="B53">
        <f>Assumptions!$B$53/J52</f>
        <v/>
      </c>
      <c r="C53">
        <f>IF(B53&lt;Assumptions!$B$20,Assumptions!$B$20*(Assumptions!$B$29+Assumptions!$B$4/Assumptions!$B$20)/(Assumptions!$B$29+Assumptions!$B$4/B53),Assumptions!$B$20)</f>
        <v/>
      </c>
      <c r="D53">
        <f>IF(B53&lt;Assumptions!$B$21,Assumptions!$B$21*(Assumptions!$B$29+Assumptions!$B$4/Assumptions!$B$21)/(Assumptions!$B$29+Assumptions!$B$4/B53),Assumptions!$B$21)</f>
        <v/>
      </c>
      <c r="E53">
        <f>Assumptions!$B$37*Assumptions!$B$22/C53-Assumptions!$B$38</f>
        <v/>
      </c>
      <c r="F53">
        <f>Assumptions!$B$39*Assumptions!$B$21/D53-Assumptions!$B$39</f>
        <v/>
      </c>
      <c r="G53">
        <f>MAX(0,Assumptions!$B$50*(Assumptions!$B$29+E53+F53+G52+H52+I52+Assumptions!$B$4/B53)-Assumptions!$B$30)</f>
        <v/>
      </c>
      <c r="H53">
        <f>Assumptions!$B$23/MIN(Assumptions!$B$24/(Assumptions!$B$29+E53+F53+G53+I52),B53*(1-Assumptions!$B$25))</f>
        <v/>
      </c>
      <c r="I53">
        <f>Assumptions!$B$26/MIN(Assumptions!$B$27/(Assumptions!$B$29+E53+F53+G53+H53),B53*(1-Assumptions!$B$28))</f>
        <v/>
      </c>
      <c r="J53">
        <f>Assumptions!$B$29+E53+F53+G53+H53+I53</f>
        <v/>
      </c>
      <c r="K53">
        <f>J53+Assumptions!$B$4/B53</f>
        <v/>
      </c>
      <c r="L53">
        <f>B53</f>
        <v/>
      </c>
    </row>
    <row r="54">
      <c r="A54" t="inlineStr">
        <is>
          <t>cell(0,0) iter 39</t>
        </is>
      </c>
      <c r="B54">
        <f>Assumptions!$B$53/J53</f>
        <v/>
      </c>
      <c r="C54">
        <f>IF(B54&lt;Assumptions!$B$20,Assumptions!$B$20*(Assumptions!$B$29+Assumptions!$B$4/Assumptions!$B$20)/(Assumptions!$B$29+Assumptions!$B$4/B54),Assumptions!$B$20)</f>
        <v/>
      </c>
      <c r="D54">
        <f>IF(B54&lt;Assumptions!$B$21,Assumptions!$B$21*(Assumptions!$B$29+Assumptions!$B$4/Assumptions!$B$21)/(Assumptions!$B$29+Assumptions!$B$4/B54),Assumptions!$B$21)</f>
        <v/>
      </c>
      <c r="E54">
        <f>Assumptions!$B$37*Assumptions!$B$22/C54-Assumptions!$B$38</f>
        <v/>
      </c>
      <c r="F54">
        <f>Assumptions!$B$39*Assumptions!$B$21/D54-Assumptions!$B$39</f>
        <v/>
      </c>
      <c r="G54">
        <f>MAX(0,Assumptions!$B$50*(Assumptions!$B$29+E54+F54+G53+H53+I53+Assumptions!$B$4/B54)-Assumptions!$B$30)</f>
        <v/>
      </c>
      <c r="H54">
        <f>Assumptions!$B$23/MIN(Assumptions!$B$24/(Assumptions!$B$29+E54+F54+G54+I53),B54*(1-Assumptions!$B$25))</f>
        <v/>
      </c>
      <c r="I54">
        <f>Assumptions!$B$26/MIN(Assumptions!$B$27/(Assumptions!$B$29+E54+F54+G54+H54),B54*(1-Assumptions!$B$28))</f>
        <v/>
      </c>
      <c r="J54">
        <f>Assumptions!$B$29+E54+F54+G54+H54+I54</f>
        <v/>
      </c>
      <c r="K54">
        <f>J54+Assumptions!$B$4/B54</f>
        <v/>
      </c>
      <c r="L54">
        <f>B54</f>
        <v/>
      </c>
    </row>
    <row r="55">
      <c r="A55" t="inlineStr">
        <is>
          <t>cell(0,0) iter 40</t>
        </is>
      </c>
      <c r="B55">
        <f>Assumptions!$B$53/J54</f>
        <v/>
      </c>
      <c r="C55">
        <f>IF(B55&lt;Assumptions!$B$20,Assumptions!$B$20*(Assumptions!$B$29+Assumptions!$B$4/Assumptions!$B$20)/(Assumptions!$B$29+Assumptions!$B$4/B55),Assumptions!$B$20)</f>
        <v/>
      </c>
      <c r="D55">
        <f>IF(B55&lt;Assumptions!$B$21,Assumptions!$B$21*(Assumptions!$B$29+Assumptions!$B$4/Assumptions!$B$21)/(Assumptions!$B$29+Assumptions!$B$4/B55),Assumptions!$B$21)</f>
        <v/>
      </c>
      <c r="E55">
        <f>Assumptions!$B$37*Assumptions!$B$22/C55-Assumptions!$B$38</f>
        <v/>
      </c>
      <c r="F55">
        <f>Assumptions!$B$39*Assumptions!$B$21/D55-Assumptions!$B$39</f>
        <v/>
      </c>
      <c r="G55">
        <f>MAX(0,Assumptions!$B$50*(Assumptions!$B$29+E55+F55+G54+H54+I54+Assumptions!$B$4/B55)-Assumptions!$B$30)</f>
        <v/>
      </c>
      <c r="H55">
        <f>Assumptions!$B$23/MIN(Assumptions!$B$24/(Assumptions!$B$29+E55+F55+G55+I54),B55*(1-Assumptions!$B$25))</f>
        <v/>
      </c>
      <c r="I55">
        <f>Assumptions!$B$26/MIN(Assumptions!$B$27/(Assumptions!$B$29+E55+F55+G55+H55),B55*(1-Assumptions!$B$28))</f>
        <v/>
      </c>
      <c r="J55">
        <f>Assumptions!$B$29+E55+F55+G55+H55+I55</f>
        <v/>
      </c>
      <c r="K55">
        <f>J55+Assumptions!$B$4/B55</f>
        <v/>
      </c>
      <c r="L55">
        <f>B55</f>
        <v/>
      </c>
    </row>
    <row r="56">
      <c r="A56" t="inlineStr">
        <is>
          <t>cell(0,0) iter 41</t>
        </is>
      </c>
      <c r="B56">
        <f>Assumptions!$B$53/J55</f>
        <v/>
      </c>
      <c r="C56">
        <f>IF(B56&lt;Assumptions!$B$20,Assumptions!$B$20*(Assumptions!$B$29+Assumptions!$B$4/Assumptions!$B$20)/(Assumptions!$B$29+Assumptions!$B$4/B56),Assumptions!$B$20)</f>
        <v/>
      </c>
      <c r="D56">
        <f>IF(B56&lt;Assumptions!$B$21,Assumptions!$B$21*(Assumptions!$B$29+Assumptions!$B$4/Assumptions!$B$21)/(Assumptions!$B$29+Assumptions!$B$4/B56),Assumptions!$B$21)</f>
        <v/>
      </c>
      <c r="E56">
        <f>Assumptions!$B$37*Assumptions!$B$22/C56-Assumptions!$B$38</f>
        <v/>
      </c>
      <c r="F56">
        <f>Assumptions!$B$39*Assumptions!$B$21/D56-Assumptions!$B$39</f>
        <v/>
      </c>
      <c r="G56">
        <f>MAX(0,Assumptions!$B$50*(Assumptions!$B$29+E56+F56+G55+H55+I55+Assumptions!$B$4/B56)-Assumptions!$B$30)</f>
        <v/>
      </c>
      <c r="H56">
        <f>Assumptions!$B$23/MIN(Assumptions!$B$24/(Assumptions!$B$29+E56+F56+G56+I55),B56*(1-Assumptions!$B$25))</f>
        <v/>
      </c>
      <c r="I56">
        <f>Assumptions!$B$26/MIN(Assumptions!$B$27/(Assumptions!$B$29+E56+F56+G56+H56),B56*(1-Assumptions!$B$28))</f>
        <v/>
      </c>
      <c r="J56">
        <f>Assumptions!$B$29+E56+F56+G56+H56+I56</f>
        <v/>
      </c>
      <c r="K56">
        <f>J56+Assumptions!$B$4/B56</f>
        <v/>
      </c>
      <c r="L56">
        <f>B56</f>
        <v/>
      </c>
    </row>
    <row r="57">
      <c r="A57" t="inlineStr">
        <is>
          <t>cell(0,0) iter 42</t>
        </is>
      </c>
      <c r="B57">
        <f>Assumptions!$B$53/J56</f>
        <v/>
      </c>
      <c r="C57">
        <f>IF(B57&lt;Assumptions!$B$20,Assumptions!$B$20*(Assumptions!$B$29+Assumptions!$B$4/Assumptions!$B$20)/(Assumptions!$B$29+Assumptions!$B$4/B57),Assumptions!$B$20)</f>
        <v/>
      </c>
      <c r="D57">
        <f>IF(B57&lt;Assumptions!$B$21,Assumptions!$B$21*(Assumptions!$B$29+Assumptions!$B$4/Assumptions!$B$21)/(Assumptions!$B$29+Assumptions!$B$4/B57),Assumptions!$B$21)</f>
        <v/>
      </c>
      <c r="E57">
        <f>Assumptions!$B$37*Assumptions!$B$22/C57-Assumptions!$B$38</f>
        <v/>
      </c>
      <c r="F57">
        <f>Assumptions!$B$39*Assumptions!$B$21/D57-Assumptions!$B$39</f>
        <v/>
      </c>
      <c r="G57">
        <f>MAX(0,Assumptions!$B$50*(Assumptions!$B$29+E57+F57+G56+H56+I56+Assumptions!$B$4/B57)-Assumptions!$B$30)</f>
        <v/>
      </c>
      <c r="H57">
        <f>Assumptions!$B$23/MIN(Assumptions!$B$24/(Assumptions!$B$29+E57+F57+G57+I56),B57*(1-Assumptions!$B$25))</f>
        <v/>
      </c>
      <c r="I57">
        <f>Assumptions!$B$26/MIN(Assumptions!$B$27/(Assumptions!$B$29+E57+F57+G57+H57),B57*(1-Assumptions!$B$28))</f>
        <v/>
      </c>
      <c r="J57">
        <f>Assumptions!$B$29+E57+F57+G57+H57+I57</f>
        <v/>
      </c>
      <c r="K57">
        <f>J57+Assumptions!$B$4/B57</f>
        <v/>
      </c>
      <c r="L57">
        <f>B57</f>
        <v/>
      </c>
    </row>
    <row r="58">
      <c r="A58" t="inlineStr">
        <is>
          <t>cell(0,0) iter 43</t>
        </is>
      </c>
      <c r="B58">
        <f>Assumptions!$B$53/J57</f>
        <v/>
      </c>
      <c r="C58">
        <f>IF(B58&lt;Assumptions!$B$20,Assumptions!$B$20*(Assumptions!$B$29+Assumptions!$B$4/Assumptions!$B$20)/(Assumptions!$B$29+Assumptions!$B$4/B58),Assumptions!$B$20)</f>
        <v/>
      </c>
      <c r="D58">
        <f>IF(B58&lt;Assumptions!$B$21,Assumptions!$B$21*(Assumptions!$B$29+Assumptions!$B$4/Assumptions!$B$21)/(Assumptions!$B$29+Assumptions!$B$4/B58),Assumptions!$B$21)</f>
        <v/>
      </c>
      <c r="E58">
        <f>Assumptions!$B$37*Assumptions!$B$22/C58-Assumptions!$B$38</f>
        <v/>
      </c>
      <c r="F58">
        <f>Assumptions!$B$39*Assumptions!$B$21/D58-Assumptions!$B$39</f>
        <v/>
      </c>
      <c r="G58">
        <f>MAX(0,Assumptions!$B$50*(Assumptions!$B$29+E58+F58+G57+H57+I57+Assumptions!$B$4/B58)-Assumptions!$B$30)</f>
        <v/>
      </c>
      <c r="H58">
        <f>Assumptions!$B$23/MIN(Assumptions!$B$24/(Assumptions!$B$29+E58+F58+G58+I57),B58*(1-Assumptions!$B$25))</f>
        <v/>
      </c>
      <c r="I58">
        <f>Assumptions!$B$26/MIN(Assumptions!$B$27/(Assumptions!$B$29+E58+F58+G58+H58),B58*(1-Assumptions!$B$28))</f>
        <v/>
      </c>
      <c r="J58">
        <f>Assumptions!$B$29+E58+F58+G58+H58+I58</f>
        <v/>
      </c>
      <c r="K58">
        <f>J58+Assumptions!$B$4/B58</f>
        <v/>
      </c>
      <c r="L58">
        <f>B58</f>
        <v/>
      </c>
    </row>
    <row r="59">
      <c r="A59" t="inlineStr">
        <is>
          <t>cell(0,0) iter 44</t>
        </is>
      </c>
      <c r="B59">
        <f>Assumptions!$B$53/J58</f>
        <v/>
      </c>
      <c r="C59">
        <f>IF(B59&lt;Assumptions!$B$20,Assumptions!$B$20*(Assumptions!$B$29+Assumptions!$B$4/Assumptions!$B$20)/(Assumptions!$B$29+Assumptions!$B$4/B59),Assumptions!$B$20)</f>
        <v/>
      </c>
      <c r="D59">
        <f>IF(B59&lt;Assumptions!$B$21,Assumptions!$B$21*(Assumptions!$B$29+Assumptions!$B$4/Assumptions!$B$21)/(Assumptions!$B$29+Assumptions!$B$4/B59),Assumptions!$B$21)</f>
        <v/>
      </c>
      <c r="E59">
        <f>Assumptions!$B$37*Assumptions!$B$22/C59-Assumptions!$B$38</f>
        <v/>
      </c>
      <c r="F59">
        <f>Assumptions!$B$39*Assumptions!$B$21/D59-Assumptions!$B$39</f>
        <v/>
      </c>
      <c r="G59">
        <f>MAX(0,Assumptions!$B$50*(Assumptions!$B$29+E59+F59+G58+H58+I58+Assumptions!$B$4/B59)-Assumptions!$B$30)</f>
        <v/>
      </c>
      <c r="H59">
        <f>Assumptions!$B$23/MIN(Assumptions!$B$24/(Assumptions!$B$29+E59+F59+G59+I58),B59*(1-Assumptions!$B$25))</f>
        <v/>
      </c>
      <c r="I59">
        <f>Assumptions!$B$26/MIN(Assumptions!$B$27/(Assumptions!$B$29+E59+F59+G59+H59),B59*(1-Assumptions!$B$28))</f>
        <v/>
      </c>
      <c r="J59">
        <f>Assumptions!$B$29+E59+F59+G59+H59+I59</f>
        <v/>
      </c>
      <c r="K59">
        <f>J59+Assumptions!$B$4/B59</f>
        <v/>
      </c>
      <c r="L59">
        <f>B59</f>
        <v/>
      </c>
    </row>
    <row r="60">
      <c r="A60" t="inlineStr">
        <is>
          <t>cell(0,0) iter 45</t>
        </is>
      </c>
      <c r="B60">
        <f>Assumptions!$B$53/J59</f>
        <v/>
      </c>
      <c r="C60">
        <f>IF(B60&lt;Assumptions!$B$20,Assumptions!$B$20*(Assumptions!$B$29+Assumptions!$B$4/Assumptions!$B$20)/(Assumptions!$B$29+Assumptions!$B$4/B60),Assumptions!$B$20)</f>
        <v/>
      </c>
      <c r="D60">
        <f>IF(B60&lt;Assumptions!$B$21,Assumptions!$B$21*(Assumptions!$B$29+Assumptions!$B$4/Assumptions!$B$21)/(Assumptions!$B$29+Assumptions!$B$4/B60),Assumptions!$B$21)</f>
        <v/>
      </c>
      <c r="E60">
        <f>Assumptions!$B$37*Assumptions!$B$22/C60-Assumptions!$B$38</f>
        <v/>
      </c>
      <c r="F60">
        <f>Assumptions!$B$39*Assumptions!$B$21/D60-Assumptions!$B$39</f>
        <v/>
      </c>
      <c r="G60">
        <f>MAX(0,Assumptions!$B$50*(Assumptions!$B$29+E60+F60+G59+H59+I59+Assumptions!$B$4/B60)-Assumptions!$B$30)</f>
        <v/>
      </c>
      <c r="H60">
        <f>Assumptions!$B$23/MIN(Assumptions!$B$24/(Assumptions!$B$29+E60+F60+G60+I59),B60*(1-Assumptions!$B$25))</f>
        <v/>
      </c>
      <c r="I60">
        <f>Assumptions!$B$26/MIN(Assumptions!$B$27/(Assumptions!$B$29+E60+F60+G60+H60),B60*(1-Assumptions!$B$28))</f>
        <v/>
      </c>
      <c r="J60">
        <f>Assumptions!$B$29+E60+F60+G60+H60+I60</f>
        <v/>
      </c>
      <c r="K60">
        <f>J60+Assumptions!$B$4/B60</f>
        <v/>
      </c>
      <c r="L60">
        <f>B60</f>
        <v/>
      </c>
    </row>
    <row r="61">
      <c r="A61" t="inlineStr">
        <is>
          <t>cell(0,0) iter 46</t>
        </is>
      </c>
      <c r="B61">
        <f>Assumptions!$B$53/J60</f>
        <v/>
      </c>
      <c r="C61">
        <f>IF(B61&lt;Assumptions!$B$20,Assumptions!$B$20*(Assumptions!$B$29+Assumptions!$B$4/Assumptions!$B$20)/(Assumptions!$B$29+Assumptions!$B$4/B61),Assumptions!$B$20)</f>
        <v/>
      </c>
      <c r="D61">
        <f>IF(B61&lt;Assumptions!$B$21,Assumptions!$B$21*(Assumptions!$B$29+Assumptions!$B$4/Assumptions!$B$21)/(Assumptions!$B$29+Assumptions!$B$4/B61),Assumptions!$B$21)</f>
        <v/>
      </c>
      <c r="E61">
        <f>Assumptions!$B$37*Assumptions!$B$22/C61-Assumptions!$B$38</f>
        <v/>
      </c>
      <c r="F61">
        <f>Assumptions!$B$39*Assumptions!$B$21/D61-Assumptions!$B$39</f>
        <v/>
      </c>
      <c r="G61">
        <f>MAX(0,Assumptions!$B$50*(Assumptions!$B$29+E61+F61+G60+H60+I60+Assumptions!$B$4/B61)-Assumptions!$B$30)</f>
        <v/>
      </c>
      <c r="H61">
        <f>Assumptions!$B$23/MIN(Assumptions!$B$24/(Assumptions!$B$29+E61+F61+G61+I60),B61*(1-Assumptions!$B$25))</f>
        <v/>
      </c>
      <c r="I61">
        <f>Assumptions!$B$26/MIN(Assumptions!$B$27/(Assumptions!$B$29+E61+F61+G61+H61),B61*(1-Assumptions!$B$28))</f>
        <v/>
      </c>
      <c r="J61">
        <f>Assumptions!$B$29+E61+F61+G61+H61+I61</f>
        <v/>
      </c>
      <c r="K61">
        <f>J61+Assumptions!$B$4/B61</f>
        <v/>
      </c>
      <c r="L61">
        <f>B61</f>
        <v/>
      </c>
    </row>
    <row r="62">
      <c r="A62" t="inlineStr">
        <is>
          <t>cell(0,0) iter 47</t>
        </is>
      </c>
      <c r="B62">
        <f>Assumptions!$B$53/J61</f>
        <v/>
      </c>
      <c r="C62">
        <f>IF(B62&lt;Assumptions!$B$20,Assumptions!$B$20*(Assumptions!$B$29+Assumptions!$B$4/Assumptions!$B$20)/(Assumptions!$B$29+Assumptions!$B$4/B62),Assumptions!$B$20)</f>
        <v/>
      </c>
      <c r="D62">
        <f>IF(B62&lt;Assumptions!$B$21,Assumptions!$B$21*(Assumptions!$B$29+Assumptions!$B$4/Assumptions!$B$21)/(Assumptions!$B$29+Assumptions!$B$4/B62),Assumptions!$B$21)</f>
        <v/>
      </c>
      <c r="E62">
        <f>Assumptions!$B$37*Assumptions!$B$22/C62-Assumptions!$B$38</f>
        <v/>
      </c>
      <c r="F62">
        <f>Assumptions!$B$39*Assumptions!$B$21/D62-Assumptions!$B$39</f>
        <v/>
      </c>
      <c r="G62">
        <f>MAX(0,Assumptions!$B$50*(Assumptions!$B$29+E62+F62+G61+H61+I61+Assumptions!$B$4/B62)-Assumptions!$B$30)</f>
        <v/>
      </c>
      <c r="H62">
        <f>Assumptions!$B$23/MIN(Assumptions!$B$24/(Assumptions!$B$29+E62+F62+G62+I61),B62*(1-Assumptions!$B$25))</f>
        <v/>
      </c>
      <c r="I62">
        <f>Assumptions!$B$26/MIN(Assumptions!$B$27/(Assumptions!$B$29+E62+F62+G62+H62),B62*(1-Assumptions!$B$28))</f>
        <v/>
      </c>
      <c r="J62">
        <f>Assumptions!$B$29+E62+F62+G62+H62+I62</f>
        <v/>
      </c>
      <c r="K62">
        <f>J62+Assumptions!$B$4/B62</f>
        <v/>
      </c>
      <c r="L62">
        <f>B62</f>
        <v/>
      </c>
    </row>
    <row r="63">
      <c r="A63" t="inlineStr">
        <is>
          <t>cell(0,0) iter 48</t>
        </is>
      </c>
      <c r="B63">
        <f>Assumptions!$B$53/J62</f>
        <v/>
      </c>
      <c r="C63">
        <f>IF(B63&lt;Assumptions!$B$20,Assumptions!$B$20*(Assumptions!$B$29+Assumptions!$B$4/Assumptions!$B$20)/(Assumptions!$B$29+Assumptions!$B$4/B63),Assumptions!$B$20)</f>
        <v/>
      </c>
      <c r="D63">
        <f>IF(B63&lt;Assumptions!$B$21,Assumptions!$B$21*(Assumptions!$B$29+Assumptions!$B$4/Assumptions!$B$21)/(Assumptions!$B$29+Assumptions!$B$4/B63),Assumptions!$B$21)</f>
        <v/>
      </c>
      <c r="E63">
        <f>Assumptions!$B$37*Assumptions!$B$22/C63-Assumptions!$B$38</f>
        <v/>
      </c>
      <c r="F63">
        <f>Assumptions!$B$39*Assumptions!$B$21/D63-Assumptions!$B$39</f>
        <v/>
      </c>
      <c r="G63">
        <f>MAX(0,Assumptions!$B$50*(Assumptions!$B$29+E63+F63+G62+H62+I62+Assumptions!$B$4/B63)-Assumptions!$B$30)</f>
        <v/>
      </c>
      <c r="H63">
        <f>Assumptions!$B$23/MIN(Assumptions!$B$24/(Assumptions!$B$29+E63+F63+G63+I62),B63*(1-Assumptions!$B$25))</f>
        <v/>
      </c>
      <c r="I63">
        <f>Assumptions!$B$26/MIN(Assumptions!$B$27/(Assumptions!$B$29+E63+F63+G63+H63),B63*(1-Assumptions!$B$28))</f>
        <v/>
      </c>
      <c r="J63">
        <f>Assumptions!$B$29+E63+F63+G63+H63+I63</f>
        <v/>
      </c>
      <c r="K63">
        <f>J63+Assumptions!$B$4/B63</f>
        <v/>
      </c>
      <c r="L63">
        <f>B63</f>
        <v/>
      </c>
    </row>
    <row r="64">
      <c r="A64" t="inlineStr">
        <is>
          <t>cell(0,0) iter 49</t>
        </is>
      </c>
      <c r="B64">
        <f>Assumptions!$B$53/J63</f>
        <v/>
      </c>
      <c r="C64">
        <f>IF(B64&lt;Assumptions!$B$20,Assumptions!$B$20*(Assumptions!$B$29+Assumptions!$B$4/Assumptions!$B$20)/(Assumptions!$B$29+Assumptions!$B$4/B64),Assumptions!$B$20)</f>
        <v/>
      </c>
      <c r="D64">
        <f>IF(B64&lt;Assumptions!$B$21,Assumptions!$B$21*(Assumptions!$B$29+Assumptions!$B$4/Assumptions!$B$21)/(Assumptions!$B$29+Assumptions!$B$4/B64),Assumptions!$B$21)</f>
        <v/>
      </c>
      <c r="E64">
        <f>Assumptions!$B$37*Assumptions!$B$22/C64-Assumptions!$B$38</f>
        <v/>
      </c>
      <c r="F64">
        <f>Assumptions!$B$39*Assumptions!$B$21/D64-Assumptions!$B$39</f>
        <v/>
      </c>
      <c r="G64">
        <f>MAX(0,Assumptions!$B$50*(Assumptions!$B$29+E64+F64+G63+H63+I63+Assumptions!$B$4/B64)-Assumptions!$B$30)</f>
        <v/>
      </c>
      <c r="H64">
        <f>Assumptions!$B$23/MIN(Assumptions!$B$24/(Assumptions!$B$29+E64+F64+G64+I63),B64*(1-Assumptions!$B$25))</f>
        <v/>
      </c>
      <c r="I64">
        <f>Assumptions!$B$26/MIN(Assumptions!$B$27/(Assumptions!$B$29+E64+F64+G64+H64),B64*(1-Assumptions!$B$28))</f>
        <v/>
      </c>
      <c r="J64">
        <f>Assumptions!$B$29+E64+F64+G64+H64+I64</f>
        <v/>
      </c>
      <c r="K64">
        <f>J64+Assumptions!$B$4/B64</f>
        <v/>
      </c>
      <c r="L64">
        <f>B64</f>
        <v/>
      </c>
    </row>
    <row r="65">
      <c r="A65" t="inlineStr">
        <is>
          <t>cell(0,0) iter 50</t>
        </is>
      </c>
      <c r="B65">
        <f>Assumptions!$B$53/J64</f>
        <v/>
      </c>
      <c r="C65">
        <f>IF(B65&lt;Assumptions!$B$20,Assumptions!$B$20*(Assumptions!$B$29+Assumptions!$B$4/Assumptions!$B$20)/(Assumptions!$B$29+Assumptions!$B$4/B65),Assumptions!$B$20)</f>
        <v/>
      </c>
      <c r="D65">
        <f>IF(B65&lt;Assumptions!$B$21,Assumptions!$B$21*(Assumptions!$B$29+Assumptions!$B$4/Assumptions!$B$21)/(Assumptions!$B$29+Assumptions!$B$4/B65),Assumptions!$B$21)</f>
        <v/>
      </c>
      <c r="E65">
        <f>Assumptions!$B$37*Assumptions!$B$22/C65-Assumptions!$B$38</f>
        <v/>
      </c>
      <c r="F65">
        <f>Assumptions!$B$39*Assumptions!$B$21/D65-Assumptions!$B$39</f>
        <v/>
      </c>
      <c r="G65">
        <f>MAX(0,Assumptions!$B$50*(Assumptions!$B$29+E65+F65+G64+H64+I64+Assumptions!$B$4/B65)-Assumptions!$B$30)</f>
        <v/>
      </c>
      <c r="H65">
        <f>Assumptions!$B$23/MIN(Assumptions!$B$24/(Assumptions!$B$29+E65+F65+G65+I64),B65*(1-Assumptions!$B$25))</f>
        <v/>
      </c>
      <c r="I65">
        <f>Assumptions!$B$26/MIN(Assumptions!$B$27/(Assumptions!$B$29+E65+F65+G65+H65),B65*(1-Assumptions!$B$28))</f>
        <v/>
      </c>
      <c r="J65">
        <f>Assumptions!$B$29+E65+F65+G65+H65+I65</f>
        <v/>
      </c>
      <c r="K65">
        <f>J65+Assumptions!$B$4/B65</f>
        <v/>
      </c>
      <c r="L65">
        <f>B65</f>
        <v/>
      </c>
    </row>
    <row r="66">
      <c r="A66" t="inlineStr">
        <is>
          <t>cell(0,0) iter 51</t>
        </is>
      </c>
      <c r="B66">
        <f>Assumptions!$B$53/J65</f>
        <v/>
      </c>
      <c r="C66">
        <f>IF(B66&lt;Assumptions!$B$20,Assumptions!$B$20*(Assumptions!$B$29+Assumptions!$B$4/Assumptions!$B$20)/(Assumptions!$B$29+Assumptions!$B$4/B66),Assumptions!$B$20)</f>
        <v/>
      </c>
      <c r="D66">
        <f>IF(B66&lt;Assumptions!$B$21,Assumptions!$B$21*(Assumptions!$B$29+Assumptions!$B$4/Assumptions!$B$21)/(Assumptions!$B$29+Assumptions!$B$4/B66),Assumptions!$B$21)</f>
        <v/>
      </c>
      <c r="E66">
        <f>Assumptions!$B$37*Assumptions!$B$22/C66-Assumptions!$B$38</f>
        <v/>
      </c>
      <c r="F66">
        <f>Assumptions!$B$39*Assumptions!$B$21/D66-Assumptions!$B$39</f>
        <v/>
      </c>
      <c r="G66">
        <f>MAX(0,Assumptions!$B$50*(Assumptions!$B$29+E66+F66+G65+H65+I65+Assumptions!$B$4/B66)-Assumptions!$B$30)</f>
        <v/>
      </c>
      <c r="H66">
        <f>Assumptions!$B$23/MIN(Assumptions!$B$24/(Assumptions!$B$29+E66+F66+G66+I65),B66*(1-Assumptions!$B$25))</f>
        <v/>
      </c>
      <c r="I66">
        <f>Assumptions!$B$26/MIN(Assumptions!$B$27/(Assumptions!$B$29+E66+F66+G66+H66),B66*(1-Assumptions!$B$28))</f>
        <v/>
      </c>
      <c r="J66">
        <f>Assumptions!$B$29+E66+F66+G66+H66+I66</f>
        <v/>
      </c>
      <c r="K66">
        <f>J66+Assumptions!$B$4/B66</f>
        <v/>
      </c>
      <c r="L66">
        <f>B66</f>
        <v/>
      </c>
    </row>
    <row r="67">
      <c r="A67" t="inlineStr">
        <is>
          <t>cell(0,0) iter 52</t>
        </is>
      </c>
      <c r="B67">
        <f>Assumptions!$B$53/J66</f>
        <v/>
      </c>
      <c r="C67">
        <f>IF(B67&lt;Assumptions!$B$20,Assumptions!$B$20*(Assumptions!$B$29+Assumptions!$B$4/Assumptions!$B$20)/(Assumptions!$B$29+Assumptions!$B$4/B67),Assumptions!$B$20)</f>
        <v/>
      </c>
      <c r="D67">
        <f>IF(B67&lt;Assumptions!$B$21,Assumptions!$B$21*(Assumptions!$B$29+Assumptions!$B$4/Assumptions!$B$21)/(Assumptions!$B$29+Assumptions!$B$4/B67),Assumptions!$B$21)</f>
        <v/>
      </c>
      <c r="E67">
        <f>Assumptions!$B$37*Assumptions!$B$22/C67-Assumptions!$B$38</f>
        <v/>
      </c>
      <c r="F67">
        <f>Assumptions!$B$39*Assumptions!$B$21/D67-Assumptions!$B$39</f>
        <v/>
      </c>
      <c r="G67">
        <f>MAX(0,Assumptions!$B$50*(Assumptions!$B$29+E67+F67+G66+H66+I66+Assumptions!$B$4/B67)-Assumptions!$B$30)</f>
        <v/>
      </c>
      <c r="H67">
        <f>Assumptions!$B$23/MIN(Assumptions!$B$24/(Assumptions!$B$29+E67+F67+G67+I66),B67*(1-Assumptions!$B$25))</f>
        <v/>
      </c>
      <c r="I67">
        <f>Assumptions!$B$26/MIN(Assumptions!$B$27/(Assumptions!$B$29+E67+F67+G67+H67),B67*(1-Assumptions!$B$28))</f>
        <v/>
      </c>
      <c r="J67">
        <f>Assumptions!$B$29+E67+F67+G67+H67+I67</f>
        <v/>
      </c>
      <c r="K67">
        <f>J67+Assumptions!$B$4/B67</f>
        <v/>
      </c>
      <c r="L67">
        <f>B67</f>
        <v/>
      </c>
    </row>
    <row r="68">
      <c r="A68" t="inlineStr">
        <is>
          <t>cell(0,0) iter 53</t>
        </is>
      </c>
      <c r="B68">
        <f>Assumptions!$B$53/J67</f>
        <v/>
      </c>
      <c r="C68">
        <f>IF(B68&lt;Assumptions!$B$20,Assumptions!$B$20*(Assumptions!$B$29+Assumptions!$B$4/Assumptions!$B$20)/(Assumptions!$B$29+Assumptions!$B$4/B68),Assumptions!$B$20)</f>
        <v/>
      </c>
      <c r="D68">
        <f>IF(B68&lt;Assumptions!$B$21,Assumptions!$B$21*(Assumptions!$B$29+Assumptions!$B$4/Assumptions!$B$21)/(Assumptions!$B$29+Assumptions!$B$4/B68),Assumptions!$B$21)</f>
        <v/>
      </c>
      <c r="E68">
        <f>Assumptions!$B$37*Assumptions!$B$22/C68-Assumptions!$B$38</f>
        <v/>
      </c>
      <c r="F68">
        <f>Assumptions!$B$39*Assumptions!$B$21/D68-Assumptions!$B$39</f>
        <v/>
      </c>
      <c r="G68">
        <f>MAX(0,Assumptions!$B$50*(Assumptions!$B$29+E68+F68+G67+H67+I67+Assumptions!$B$4/B68)-Assumptions!$B$30)</f>
        <v/>
      </c>
      <c r="H68">
        <f>Assumptions!$B$23/MIN(Assumptions!$B$24/(Assumptions!$B$29+E68+F68+G68+I67),B68*(1-Assumptions!$B$25))</f>
        <v/>
      </c>
      <c r="I68">
        <f>Assumptions!$B$26/MIN(Assumptions!$B$27/(Assumptions!$B$29+E68+F68+G68+H68),B68*(1-Assumptions!$B$28))</f>
        <v/>
      </c>
      <c r="J68">
        <f>Assumptions!$B$29+E68+F68+G68+H68+I68</f>
        <v/>
      </c>
      <c r="K68">
        <f>J68+Assumptions!$B$4/B68</f>
        <v/>
      </c>
      <c r="L68">
        <f>B68</f>
        <v/>
      </c>
    </row>
    <row r="69">
      <c r="A69" t="inlineStr">
        <is>
          <t>cell(0,0) iter 54</t>
        </is>
      </c>
      <c r="B69">
        <f>Assumptions!$B$53/J68</f>
        <v/>
      </c>
      <c r="C69">
        <f>IF(B69&lt;Assumptions!$B$20,Assumptions!$B$20*(Assumptions!$B$29+Assumptions!$B$4/Assumptions!$B$20)/(Assumptions!$B$29+Assumptions!$B$4/B69),Assumptions!$B$20)</f>
        <v/>
      </c>
      <c r="D69">
        <f>IF(B69&lt;Assumptions!$B$21,Assumptions!$B$21*(Assumptions!$B$29+Assumptions!$B$4/Assumptions!$B$21)/(Assumptions!$B$29+Assumptions!$B$4/B69),Assumptions!$B$21)</f>
        <v/>
      </c>
      <c r="E69">
        <f>Assumptions!$B$37*Assumptions!$B$22/C69-Assumptions!$B$38</f>
        <v/>
      </c>
      <c r="F69">
        <f>Assumptions!$B$39*Assumptions!$B$21/D69-Assumptions!$B$39</f>
        <v/>
      </c>
      <c r="G69">
        <f>MAX(0,Assumptions!$B$50*(Assumptions!$B$29+E69+F69+G68+H68+I68+Assumptions!$B$4/B69)-Assumptions!$B$30)</f>
        <v/>
      </c>
      <c r="H69">
        <f>Assumptions!$B$23/MIN(Assumptions!$B$24/(Assumptions!$B$29+E69+F69+G69+I68),B69*(1-Assumptions!$B$25))</f>
        <v/>
      </c>
      <c r="I69">
        <f>Assumptions!$B$26/MIN(Assumptions!$B$27/(Assumptions!$B$29+E69+F69+G69+H69),B69*(1-Assumptions!$B$28))</f>
        <v/>
      </c>
      <c r="J69">
        <f>Assumptions!$B$29+E69+F69+G69+H69+I69</f>
        <v/>
      </c>
      <c r="K69">
        <f>J69+Assumptions!$B$4/B69</f>
        <v/>
      </c>
      <c r="L69">
        <f>B69</f>
        <v/>
      </c>
    </row>
    <row r="70">
      <c r="A70" t="inlineStr">
        <is>
          <t>cell(0,0) iter 55</t>
        </is>
      </c>
      <c r="B70">
        <f>Assumptions!$B$53/J69</f>
        <v/>
      </c>
      <c r="C70">
        <f>IF(B70&lt;Assumptions!$B$20,Assumptions!$B$20*(Assumptions!$B$29+Assumptions!$B$4/Assumptions!$B$20)/(Assumptions!$B$29+Assumptions!$B$4/B70),Assumptions!$B$20)</f>
        <v/>
      </c>
      <c r="D70">
        <f>IF(B70&lt;Assumptions!$B$21,Assumptions!$B$21*(Assumptions!$B$29+Assumptions!$B$4/Assumptions!$B$21)/(Assumptions!$B$29+Assumptions!$B$4/B70),Assumptions!$B$21)</f>
        <v/>
      </c>
      <c r="E70">
        <f>Assumptions!$B$37*Assumptions!$B$22/C70-Assumptions!$B$38</f>
        <v/>
      </c>
      <c r="F70">
        <f>Assumptions!$B$39*Assumptions!$B$21/D70-Assumptions!$B$39</f>
        <v/>
      </c>
      <c r="G70">
        <f>MAX(0,Assumptions!$B$50*(Assumptions!$B$29+E70+F70+G69+H69+I69+Assumptions!$B$4/B70)-Assumptions!$B$30)</f>
        <v/>
      </c>
      <c r="H70">
        <f>Assumptions!$B$23/MIN(Assumptions!$B$24/(Assumptions!$B$29+E70+F70+G70+I69),B70*(1-Assumptions!$B$25))</f>
        <v/>
      </c>
      <c r="I70">
        <f>Assumptions!$B$26/MIN(Assumptions!$B$27/(Assumptions!$B$29+E70+F70+G70+H70),B70*(1-Assumptions!$B$28))</f>
        <v/>
      </c>
      <c r="J70">
        <f>Assumptions!$B$29+E70+F70+G70+H70+I70</f>
        <v/>
      </c>
      <c r="K70">
        <f>J70+Assumptions!$B$4/B70</f>
        <v/>
      </c>
      <c r="L70">
        <f>B70</f>
        <v/>
      </c>
    </row>
    <row r="71">
      <c r="A71" t="inlineStr">
        <is>
          <t>cell(0,0) iter 56</t>
        </is>
      </c>
      <c r="B71">
        <f>Assumptions!$B$53/J70</f>
        <v/>
      </c>
      <c r="C71">
        <f>IF(B71&lt;Assumptions!$B$20,Assumptions!$B$20*(Assumptions!$B$29+Assumptions!$B$4/Assumptions!$B$20)/(Assumptions!$B$29+Assumptions!$B$4/B71),Assumptions!$B$20)</f>
        <v/>
      </c>
      <c r="D71">
        <f>IF(B71&lt;Assumptions!$B$21,Assumptions!$B$21*(Assumptions!$B$29+Assumptions!$B$4/Assumptions!$B$21)/(Assumptions!$B$29+Assumptions!$B$4/B71),Assumptions!$B$21)</f>
        <v/>
      </c>
      <c r="E71">
        <f>Assumptions!$B$37*Assumptions!$B$22/C71-Assumptions!$B$38</f>
        <v/>
      </c>
      <c r="F71">
        <f>Assumptions!$B$39*Assumptions!$B$21/D71-Assumptions!$B$39</f>
        <v/>
      </c>
      <c r="G71">
        <f>MAX(0,Assumptions!$B$50*(Assumptions!$B$29+E71+F71+G70+H70+I70+Assumptions!$B$4/B71)-Assumptions!$B$30)</f>
        <v/>
      </c>
      <c r="H71">
        <f>Assumptions!$B$23/MIN(Assumptions!$B$24/(Assumptions!$B$29+E71+F71+G71+I70),B71*(1-Assumptions!$B$25))</f>
        <v/>
      </c>
      <c r="I71">
        <f>Assumptions!$B$26/MIN(Assumptions!$B$27/(Assumptions!$B$29+E71+F71+G71+H71),B71*(1-Assumptions!$B$28))</f>
        <v/>
      </c>
      <c r="J71">
        <f>Assumptions!$B$29+E71+F71+G71+H71+I71</f>
        <v/>
      </c>
      <c r="K71">
        <f>J71+Assumptions!$B$4/B71</f>
        <v/>
      </c>
      <c r="L71">
        <f>B71</f>
        <v/>
      </c>
    </row>
    <row r="72">
      <c r="A72" t="inlineStr">
        <is>
          <t>cell(0,0) iter 57</t>
        </is>
      </c>
      <c r="B72">
        <f>Assumptions!$B$53/J71</f>
        <v/>
      </c>
      <c r="C72">
        <f>IF(B72&lt;Assumptions!$B$20,Assumptions!$B$20*(Assumptions!$B$29+Assumptions!$B$4/Assumptions!$B$20)/(Assumptions!$B$29+Assumptions!$B$4/B72),Assumptions!$B$20)</f>
        <v/>
      </c>
      <c r="D72">
        <f>IF(B72&lt;Assumptions!$B$21,Assumptions!$B$21*(Assumptions!$B$29+Assumptions!$B$4/Assumptions!$B$21)/(Assumptions!$B$29+Assumptions!$B$4/B72),Assumptions!$B$21)</f>
        <v/>
      </c>
      <c r="E72">
        <f>Assumptions!$B$37*Assumptions!$B$22/C72-Assumptions!$B$38</f>
        <v/>
      </c>
      <c r="F72">
        <f>Assumptions!$B$39*Assumptions!$B$21/D72-Assumptions!$B$39</f>
        <v/>
      </c>
      <c r="G72">
        <f>MAX(0,Assumptions!$B$50*(Assumptions!$B$29+E72+F72+G71+H71+I71+Assumptions!$B$4/B72)-Assumptions!$B$30)</f>
        <v/>
      </c>
      <c r="H72">
        <f>Assumptions!$B$23/MIN(Assumptions!$B$24/(Assumptions!$B$29+E72+F72+G72+I71),B72*(1-Assumptions!$B$25))</f>
        <v/>
      </c>
      <c r="I72">
        <f>Assumptions!$B$26/MIN(Assumptions!$B$27/(Assumptions!$B$29+E72+F72+G72+H72),B72*(1-Assumptions!$B$28))</f>
        <v/>
      </c>
      <c r="J72">
        <f>Assumptions!$B$29+E72+F72+G72+H72+I72</f>
        <v/>
      </c>
      <c r="K72">
        <f>J72+Assumptions!$B$4/B72</f>
        <v/>
      </c>
      <c r="L72">
        <f>B72</f>
        <v/>
      </c>
    </row>
    <row r="73">
      <c r="A73" t="inlineStr">
        <is>
          <t>cell(0,0) iter 58</t>
        </is>
      </c>
      <c r="B73">
        <f>Assumptions!$B$53/J72</f>
        <v/>
      </c>
      <c r="C73">
        <f>IF(B73&lt;Assumptions!$B$20,Assumptions!$B$20*(Assumptions!$B$29+Assumptions!$B$4/Assumptions!$B$20)/(Assumptions!$B$29+Assumptions!$B$4/B73),Assumptions!$B$20)</f>
        <v/>
      </c>
      <c r="D73">
        <f>IF(B73&lt;Assumptions!$B$21,Assumptions!$B$21*(Assumptions!$B$29+Assumptions!$B$4/Assumptions!$B$21)/(Assumptions!$B$29+Assumptions!$B$4/B73),Assumptions!$B$21)</f>
        <v/>
      </c>
      <c r="E73">
        <f>Assumptions!$B$37*Assumptions!$B$22/C73-Assumptions!$B$38</f>
        <v/>
      </c>
      <c r="F73">
        <f>Assumptions!$B$39*Assumptions!$B$21/D73-Assumptions!$B$39</f>
        <v/>
      </c>
      <c r="G73">
        <f>MAX(0,Assumptions!$B$50*(Assumptions!$B$29+E73+F73+G72+H72+I72+Assumptions!$B$4/B73)-Assumptions!$B$30)</f>
        <v/>
      </c>
      <c r="H73">
        <f>Assumptions!$B$23/MIN(Assumptions!$B$24/(Assumptions!$B$29+E73+F73+G73+I72),B73*(1-Assumptions!$B$25))</f>
        <v/>
      </c>
      <c r="I73">
        <f>Assumptions!$B$26/MIN(Assumptions!$B$27/(Assumptions!$B$29+E73+F73+G73+H73),B73*(1-Assumptions!$B$28))</f>
        <v/>
      </c>
      <c r="J73">
        <f>Assumptions!$B$29+E73+F73+G73+H73+I73</f>
        <v/>
      </c>
      <c r="K73">
        <f>J73+Assumptions!$B$4/B73</f>
        <v/>
      </c>
      <c r="L73">
        <f>B73</f>
        <v/>
      </c>
    </row>
    <row r="74">
      <c r="A74" t="inlineStr">
        <is>
          <t>cell(0,0) iter 59</t>
        </is>
      </c>
      <c r="B74">
        <f>Assumptions!$B$53/J73</f>
        <v/>
      </c>
      <c r="C74">
        <f>IF(B74&lt;Assumptions!$B$20,Assumptions!$B$20*(Assumptions!$B$29+Assumptions!$B$4/Assumptions!$B$20)/(Assumptions!$B$29+Assumptions!$B$4/B74),Assumptions!$B$20)</f>
        <v/>
      </c>
      <c r="D74">
        <f>IF(B74&lt;Assumptions!$B$21,Assumptions!$B$21*(Assumptions!$B$29+Assumptions!$B$4/Assumptions!$B$21)/(Assumptions!$B$29+Assumptions!$B$4/B74),Assumptions!$B$21)</f>
        <v/>
      </c>
      <c r="E74">
        <f>Assumptions!$B$37*Assumptions!$B$22/C74-Assumptions!$B$38</f>
        <v/>
      </c>
      <c r="F74">
        <f>Assumptions!$B$39*Assumptions!$B$21/D74-Assumptions!$B$39</f>
        <v/>
      </c>
      <c r="G74">
        <f>MAX(0,Assumptions!$B$50*(Assumptions!$B$29+E74+F74+G73+H73+I73+Assumptions!$B$4/B74)-Assumptions!$B$30)</f>
        <v/>
      </c>
      <c r="H74">
        <f>Assumptions!$B$23/MIN(Assumptions!$B$24/(Assumptions!$B$29+E74+F74+G74+I73),B74*(1-Assumptions!$B$25))</f>
        <v/>
      </c>
      <c r="I74">
        <f>Assumptions!$B$26/MIN(Assumptions!$B$27/(Assumptions!$B$29+E74+F74+G74+H74),B74*(1-Assumptions!$B$28))</f>
        <v/>
      </c>
      <c r="J74">
        <f>Assumptions!$B$29+E74+F74+G74+H74+I74</f>
        <v/>
      </c>
      <c r="K74">
        <f>J74+Assumptions!$B$4/B74</f>
        <v/>
      </c>
      <c r="L74">
        <f>B74</f>
        <v/>
      </c>
    </row>
    <row r="75">
      <c r="A75" t="inlineStr">
        <is>
          <t>cell(0,0) iter 60</t>
        </is>
      </c>
      <c r="B75">
        <f>Assumptions!$B$53/J74</f>
        <v/>
      </c>
      <c r="C75">
        <f>IF(B75&lt;Assumptions!$B$20,Assumptions!$B$20*(Assumptions!$B$29+Assumptions!$B$4/Assumptions!$B$20)/(Assumptions!$B$29+Assumptions!$B$4/B75),Assumptions!$B$20)</f>
        <v/>
      </c>
      <c r="D75">
        <f>IF(B75&lt;Assumptions!$B$21,Assumptions!$B$21*(Assumptions!$B$29+Assumptions!$B$4/Assumptions!$B$21)/(Assumptions!$B$29+Assumptions!$B$4/B75),Assumptions!$B$21)</f>
        <v/>
      </c>
      <c r="E75">
        <f>Assumptions!$B$37*Assumptions!$B$22/C75-Assumptions!$B$38</f>
        <v/>
      </c>
      <c r="F75">
        <f>Assumptions!$B$39*Assumptions!$B$21/D75-Assumptions!$B$39</f>
        <v/>
      </c>
      <c r="G75">
        <f>MAX(0,Assumptions!$B$50*(Assumptions!$B$29+E75+F75+G74+H74+I74+Assumptions!$B$4/B75)-Assumptions!$B$30)</f>
        <v/>
      </c>
      <c r="H75">
        <f>Assumptions!$B$23/MIN(Assumptions!$B$24/(Assumptions!$B$29+E75+F75+G75+I74),B75*(1-Assumptions!$B$25))</f>
        <v/>
      </c>
      <c r="I75">
        <f>Assumptions!$B$26/MIN(Assumptions!$B$27/(Assumptions!$B$29+E75+F75+G75+H75),B75*(1-Assumptions!$B$28))</f>
        <v/>
      </c>
      <c r="J75">
        <f>Assumptions!$B$29+E75+F75+G75+H75+I75</f>
        <v/>
      </c>
      <c r="K75">
        <f>J75+Assumptions!$B$4/B75</f>
        <v/>
      </c>
      <c r="L75">
        <f>B75</f>
        <v/>
      </c>
    </row>
    <row r="76">
      <c r="A76" t="inlineStr">
        <is>
          <t>cell(0,0) iter 61</t>
        </is>
      </c>
      <c r="B76">
        <f>Assumptions!$B$53/J75</f>
        <v/>
      </c>
      <c r="C76">
        <f>IF(B76&lt;Assumptions!$B$20,Assumptions!$B$20*(Assumptions!$B$29+Assumptions!$B$4/Assumptions!$B$20)/(Assumptions!$B$29+Assumptions!$B$4/B76),Assumptions!$B$20)</f>
        <v/>
      </c>
      <c r="D76">
        <f>IF(B76&lt;Assumptions!$B$21,Assumptions!$B$21*(Assumptions!$B$29+Assumptions!$B$4/Assumptions!$B$21)/(Assumptions!$B$29+Assumptions!$B$4/B76),Assumptions!$B$21)</f>
        <v/>
      </c>
      <c r="E76">
        <f>Assumptions!$B$37*Assumptions!$B$22/C76-Assumptions!$B$38</f>
        <v/>
      </c>
      <c r="F76">
        <f>Assumptions!$B$39*Assumptions!$B$21/D76-Assumptions!$B$39</f>
        <v/>
      </c>
      <c r="G76">
        <f>MAX(0,Assumptions!$B$50*(Assumptions!$B$29+E76+F76+G75+H75+I75+Assumptions!$B$4/B76)-Assumptions!$B$30)</f>
        <v/>
      </c>
      <c r="H76">
        <f>Assumptions!$B$23/MIN(Assumptions!$B$24/(Assumptions!$B$29+E76+F76+G76+I75),B76*(1-Assumptions!$B$25))</f>
        <v/>
      </c>
      <c r="I76">
        <f>Assumptions!$B$26/MIN(Assumptions!$B$27/(Assumptions!$B$29+E76+F76+G76+H76),B76*(1-Assumptions!$B$28))</f>
        <v/>
      </c>
      <c r="J76">
        <f>Assumptions!$B$29+E76+F76+G76+H76+I76</f>
        <v/>
      </c>
      <c r="K76">
        <f>J76+Assumptions!$B$4/B76</f>
        <v/>
      </c>
      <c r="L76">
        <f>B76</f>
        <v/>
      </c>
    </row>
    <row r="77">
      <c r="A77" t="inlineStr">
        <is>
          <t>cell(0,0) iter 62</t>
        </is>
      </c>
      <c r="B77">
        <f>Assumptions!$B$53/J76</f>
        <v/>
      </c>
      <c r="C77">
        <f>IF(B77&lt;Assumptions!$B$20,Assumptions!$B$20*(Assumptions!$B$29+Assumptions!$B$4/Assumptions!$B$20)/(Assumptions!$B$29+Assumptions!$B$4/B77),Assumptions!$B$20)</f>
        <v/>
      </c>
      <c r="D77">
        <f>IF(B77&lt;Assumptions!$B$21,Assumptions!$B$21*(Assumptions!$B$29+Assumptions!$B$4/Assumptions!$B$21)/(Assumptions!$B$29+Assumptions!$B$4/B77),Assumptions!$B$21)</f>
        <v/>
      </c>
      <c r="E77">
        <f>Assumptions!$B$37*Assumptions!$B$22/C77-Assumptions!$B$38</f>
        <v/>
      </c>
      <c r="F77">
        <f>Assumptions!$B$39*Assumptions!$B$21/D77-Assumptions!$B$39</f>
        <v/>
      </c>
      <c r="G77">
        <f>MAX(0,Assumptions!$B$50*(Assumptions!$B$29+E77+F77+G76+H76+I76+Assumptions!$B$4/B77)-Assumptions!$B$30)</f>
        <v/>
      </c>
      <c r="H77">
        <f>Assumptions!$B$23/MIN(Assumptions!$B$24/(Assumptions!$B$29+E77+F77+G77+I76),B77*(1-Assumptions!$B$25))</f>
        <v/>
      </c>
      <c r="I77">
        <f>Assumptions!$B$26/MIN(Assumptions!$B$27/(Assumptions!$B$29+E77+F77+G77+H77),B77*(1-Assumptions!$B$28))</f>
        <v/>
      </c>
      <c r="J77">
        <f>Assumptions!$B$29+E77+F77+G77+H77+I77</f>
        <v/>
      </c>
      <c r="K77">
        <f>J77+Assumptions!$B$4/B77</f>
        <v/>
      </c>
      <c r="L77">
        <f>B77</f>
        <v/>
      </c>
    </row>
    <row r="78">
      <c r="A78" t="inlineStr">
        <is>
          <t>cell(0,0) iter 63</t>
        </is>
      </c>
      <c r="B78">
        <f>Assumptions!$B$53/J77</f>
        <v/>
      </c>
      <c r="C78">
        <f>IF(B78&lt;Assumptions!$B$20,Assumptions!$B$20*(Assumptions!$B$29+Assumptions!$B$4/Assumptions!$B$20)/(Assumptions!$B$29+Assumptions!$B$4/B78),Assumptions!$B$20)</f>
        <v/>
      </c>
      <c r="D78">
        <f>IF(B78&lt;Assumptions!$B$21,Assumptions!$B$21*(Assumptions!$B$29+Assumptions!$B$4/Assumptions!$B$21)/(Assumptions!$B$29+Assumptions!$B$4/B78),Assumptions!$B$21)</f>
        <v/>
      </c>
      <c r="E78">
        <f>Assumptions!$B$37*Assumptions!$B$22/C78-Assumptions!$B$38</f>
        <v/>
      </c>
      <c r="F78">
        <f>Assumptions!$B$39*Assumptions!$B$21/D78-Assumptions!$B$39</f>
        <v/>
      </c>
      <c r="G78">
        <f>MAX(0,Assumptions!$B$50*(Assumptions!$B$29+E78+F78+G77+H77+I77+Assumptions!$B$4/B78)-Assumptions!$B$30)</f>
        <v/>
      </c>
      <c r="H78">
        <f>Assumptions!$B$23/MIN(Assumptions!$B$24/(Assumptions!$B$29+E78+F78+G78+I77),B78*(1-Assumptions!$B$25))</f>
        <v/>
      </c>
      <c r="I78">
        <f>Assumptions!$B$26/MIN(Assumptions!$B$27/(Assumptions!$B$29+E78+F78+G78+H78),B78*(1-Assumptions!$B$28))</f>
        <v/>
      </c>
      <c r="J78">
        <f>Assumptions!$B$29+E78+F78+G78+H78+I78</f>
        <v/>
      </c>
      <c r="K78">
        <f>J78+Assumptions!$B$4/B78</f>
        <v/>
      </c>
      <c r="L78">
        <f>B78</f>
        <v/>
      </c>
    </row>
    <row r="79">
      <c r="A79" t="inlineStr">
        <is>
          <t>cell(0,0) iter 64</t>
        </is>
      </c>
      <c r="B79">
        <f>Assumptions!$B$53/J78</f>
        <v/>
      </c>
      <c r="C79">
        <f>IF(B79&lt;Assumptions!$B$20,Assumptions!$B$20*(Assumptions!$B$29+Assumptions!$B$4/Assumptions!$B$20)/(Assumptions!$B$29+Assumptions!$B$4/B79),Assumptions!$B$20)</f>
        <v/>
      </c>
      <c r="D79">
        <f>IF(B79&lt;Assumptions!$B$21,Assumptions!$B$21*(Assumptions!$B$29+Assumptions!$B$4/Assumptions!$B$21)/(Assumptions!$B$29+Assumptions!$B$4/B79),Assumptions!$B$21)</f>
        <v/>
      </c>
      <c r="E79">
        <f>Assumptions!$B$37*Assumptions!$B$22/C79-Assumptions!$B$38</f>
        <v/>
      </c>
      <c r="F79">
        <f>Assumptions!$B$39*Assumptions!$B$21/D79-Assumptions!$B$39</f>
        <v/>
      </c>
      <c r="G79">
        <f>MAX(0,Assumptions!$B$50*(Assumptions!$B$29+E79+F79+G78+H78+I78+Assumptions!$B$4/B79)-Assumptions!$B$30)</f>
        <v/>
      </c>
      <c r="H79">
        <f>Assumptions!$B$23/MIN(Assumptions!$B$24/(Assumptions!$B$29+E79+F79+G79+I78),B79*(1-Assumptions!$B$25))</f>
        <v/>
      </c>
      <c r="I79">
        <f>Assumptions!$B$26/MIN(Assumptions!$B$27/(Assumptions!$B$29+E79+F79+G79+H79),B79*(1-Assumptions!$B$28))</f>
        <v/>
      </c>
      <c r="J79">
        <f>Assumptions!$B$29+E79+F79+G79+H79+I79</f>
        <v/>
      </c>
      <c r="K79">
        <f>J79+Assumptions!$B$4/B79</f>
        <v/>
      </c>
      <c r="L79">
        <f>B79</f>
        <v/>
      </c>
    </row>
    <row r="80">
      <c r="A80" t="inlineStr">
        <is>
          <t>cell(0,0) iter 65</t>
        </is>
      </c>
      <c r="B80">
        <f>Assumptions!$B$53/J79</f>
        <v/>
      </c>
      <c r="C80">
        <f>IF(B80&lt;Assumptions!$B$20,Assumptions!$B$20*(Assumptions!$B$29+Assumptions!$B$4/Assumptions!$B$20)/(Assumptions!$B$29+Assumptions!$B$4/B80),Assumptions!$B$20)</f>
        <v/>
      </c>
      <c r="D80">
        <f>IF(B80&lt;Assumptions!$B$21,Assumptions!$B$21*(Assumptions!$B$29+Assumptions!$B$4/Assumptions!$B$21)/(Assumptions!$B$29+Assumptions!$B$4/B80),Assumptions!$B$21)</f>
        <v/>
      </c>
      <c r="E80">
        <f>Assumptions!$B$37*Assumptions!$B$22/C80-Assumptions!$B$38</f>
        <v/>
      </c>
      <c r="F80">
        <f>Assumptions!$B$39*Assumptions!$B$21/D80-Assumptions!$B$39</f>
        <v/>
      </c>
      <c r="G80">
        <f>MAX(0,Assumptions!$B$50*(Assumptions!$B$29+E80+F80+G79+H79+I79+Assumptions!$B$4/B80)-Assumptions!$B$30)</f>
        <v/>
      </c>
      <c r="H80">
        <f>Assumptions!$B$23/MIN(Assumptions!$B$24/(Assumptions!$B$29+E80+F80+G80+I79),B80*(1-Assumptions!$B$25))</f>
        <v/>
      </c>
      <c r="I80">
        <f>Assumptions!$B$26/MIN(Assumptions!$B$27/(Assumptions!$B$29+E80+F80+G80+H80),B80*(1-Assumptions!$B$28))</f>
        <v/>
      </c>
      <c r="J80">
        <f>Assumptions!$B$29+E80+F80+G80+H80+I80</f>
        <v/>
      </c>
      <c r="K80">
        <f>J80+Assumptions!$B$4/B80</f>
        <v/>
      </c>
      <c r="L80">
        <f>B80</f>
        <v/>
      </c>
    </row>
    <row r="81">
      <c r="A81" t="inlineStr">
        <is>
          <t>cell(0,0) iter 66</t>
        </is>
      </c>
      <c r="B81">
        <f>Assumptions!$B$53/J80</f>
        <v/>
      </c>
      <c r="C81">
        <f>IF(B81&lt;Assumptions!$B$20,Assumptions!$B$20*(Assumptions!$B$29+Assumptions!$B$4/Assumptions!$B$20)/(Assumptions!$B$29+Assumptions!$B$4/B81),Assumptions!$B$20)</f>
        <v/>
      </c>
      <c r="D81">
        <f>IF(B81&lt;Assumptions!$B$21,Assumptions!$B$21*(Assumptions!$B$29+Assumptions!$B$4/Assumptions!$B$21)/(Assumptions!$B$29+Assumptions!$B$4/B81),Assumptions!$B$21)</f>
        <v/>
      </c>
      <c r="E81">
        <f>Assumptions!$B$37*Assumptions!$B$22/C81-Assumptions!$B$38</f>
        <v/>
      </c>
      <c r="F81">
        <f>Assumptions!$B$39*Assumptions!$B$21/D81-Assumptions!$B$39</f>
        <v/>
      </c>
      <c r="G81">
        <f>MAX(0,Assumptions!$B$50*(Assumptions!$B$29+E81+F81+G80+H80+I80+Assumptions!$B$4/B81)-Assumptions!$B$30)</f>
        <v/>
      </c>
      <c r="H81">
        <f>Assumptions!$B$23/MIN(Assumptions!$B$24/(Assumptions!$B$29+E81+F81+G81+I80),B81*(1-Assumptions!$B$25))</f>
        <v/>
      </c>
      <c r="I81">
        <f>Assumptions!$B$26/MIN(Assumptions!$B$27/(Assumptions!$B$29+E81+F81+G81+H81),B81*(1-Assumptions!$B$28))</f>
        <v/>
      </c>
      <c r="J81">
        <f>Assumptions!$B$29+E81+F81+G81+H81+I81</f>
        <v/>
      </c>
      <c r="K81">
        <f>J81+Assumptions!$B$4/B81</f>
        <v/>
      </c>
      <c r="L81">
        <f>B81</f>
        <v/>
      </c>
    </row>
    <row r="82">
      <c r="A82" t="inlineStr">
        <is>
          <t>cell(0,0) iter 67</t>
        </is>
      </c>
      <c r="B82">
        <f>Assumptions!$B$53/J81</f>
        <v/>
      </c>
      <c r="C82">
        <f>IF(B82&lt;Assumptions!$B$20,Assumptions!$B$20*(Assumptions!$B$29+Assumptions!$B$4/Assumptions!$B$20)/(Assumptions!$B$29+Assumptions!$B$4/B82),Assumptions!$B$20)</f>
        <v/>
      </c>
      <c r="D82">
        <f>IF(B82&lt;Assumptions!$B$21,Assumptions!$B$21*(Assumptions!$B$29+Assumptions!$B$4/Assumptions!$B$21)/(Assumptions!$B$29+Assumptions!$B$4/B82),Assumptions!$B$21)</f>
        <v/>
      </c>
      <c r="E82">
        <f>Assumptions!$B$37*Assumptions!$B$22/C82-Assumptions!$B$38</f>
        <v/>
      </c>
      <c r="F82">
        <f>Assumptions!$B$39*Assumptions!$B$21/D82-Assumptions!$B$39</f>
        <v/>
      </c>
      <c r="G82">
        <f>MAX(0,Assumptions!$B$50*(Assumptions!$B$29+E82+F82+G81+H81+I81+Assumptions!$B$4/B82)-Assumptions!$B$30)</f>
        <v/>
      </c>
      <c r="H82">
        <f>Assumptions!$B$23/MIN(Assumptions!$B$24/(Assumptions!$B$29+E82+F82+G82+I81),B82*(1-Assumptions!$B$25))</f>
        <v/>
      </c>
      <c r="I82">
        <f>Assumptions!$B$26/MIN(Assumptions!$B$27/(Assumptions!$B$29+E82+F82+G82+H82),B82*(1-Assumptions!$B$28))</f>
        <v/>
      </c>
      <c r="J82">
        <f>Assumptions!$B$29+E82+F82+G82+H82+I82</f>
        <v/>
      </c>
      <c r="K82">
        <f>J82+Assumptions!$B$4/B82</f>
        <v/>
      </c>
      <c r="L82">
        <f>B82</f>
        <v/>
      </c>
    </row>
    <row r="83">
      <c r="A83" t="inlineStr">
        <is>
          <t>cell(0,0) iter 68</t>
        </is>
      </c>
      <c r="B83">
        <f>Assumptions!$B$53/J82</f>
        <v/>
      </c>
      <c r="C83">
        <f>IF(B83&lt;Assumptions!$B$20,Assumptions!$B$20*(Assumptions!$B$29+Assumptions!$B$4/Assumptions!$B$20)/(Assumptions!$B$29+Assumptions!$B$4/B83),Assumptions!$B$20)</f>
        <v/>
      </c>
      <c r="D83">
        <f>IF(B83&lt;Assumptions!$B$21,Assumptions!$B$21*(Assumptions!$B$29+Assumptions!$B$4/Assumptions!$B$21)/(Assumptions!$B$29+Assumptions!$B$4/B83),Assumptions!$B$21)</f>
        <v/>
      </c>
      <c r="E83">
        <f>Assumptions!$B$37*Assumptions!$B$22/C83-Assumptions!$B$38</f>
        <v/>
      </c>
      <c r="F83">
        <f>Assumptions!$B$39*Assumptions!$B$21/D83-Assumptions!$B$39</f>
        <v/>
      </c>
      <c r="G83">
        <f>MAX(0,Assumptions!$B$50*(Assumptions!$B$29+E83+F83+G82+H82+I82+Assumptions!$B$4/B83)-Assumptions!$B$30)</f>
        <v/>
      </c>
      <c r="H83">
        <f>Assumptions!$B$23/MIN(Assumptions!$B$24/(Assumptions!$B$29+E83+F83+G83+I82),B83*(1-Assumptions!$B$25))</f>
        <v/>
      </c>
      <c r="I83">
        <f>Assumptions!$B$26/MIN(Assumptions!$B$27/(Assumptions!$B$29+E83+F83+G83+H83),B83*(1-Assumptions!$B$28))</f>
        <v/>
      </c>
      <c r="J83">
        <f>Assumptions!$B$29+E83+F83+G83+H83+I83</f>
        <v/>
      </c>
      <c r="K83">
        <f>J83+Assumptions!$B$4/B83</f>
        <v/>
      </c>
      <c r="L83">
        <f>B83</f>
        <v/>
      </c>
    </row>
    <row r="84">
      <c r="A84" t="inlineStr">
        <is>
          <t>cell(0,0) iter 69</t>
        </is>
      </c>
      <c r="B84">
        <f>Assumptions!$B$53/J83</f>
        <v/>
      </c>
      <c r="C84">
        <f>IF(B84&lt;Assumptions!$B$20,Assumptions!$B$20*(Assumptions!$B$29+Assumptions!$B$4/Assumptions!$B$20)/(Assumptions!$B$29+Assumptions!$B$4/B84),Assumptions!$B$20)</f>
        <v/>
      </c>
      <c r="D84">
        <f>IF(B84&lt;Assumptions!$B$21,Assumptions!$B$21*(Assumptions!$B$29+Assumptions!$B$4/Assumptions!$B$21)/(Assumptions!$B$29+Assumptions!$B$4/B84),Assumptions!$B$21)</f>
        <v/>
      </c>
      <c r="E84">
        <f>Assumptions!$B$37*Assumptions!$B$22/C84-Assumptions!$B$38</f>
        <v/>
      </c>
      <c r="F84">
        <f>Assumptions!$B$39*Assumptions!$B$21/D84-Assumptions!$B$39</f>
        <v/>
      </c>
      <c r="G84">
        <f>MAX(0,Assumptions!$B$50*(Assumptions!$B$29+E84+F84+G83+H83+I83+Assumptions!$B$4/B84)-Assumptions!$B$30)</f>
        <v/>
      </c>
      <c r="H84">
        <f>Assumptions!$B$23/MIN(Assumptions!$B$24/(Assumptions!$B$29+E84+F84+G84+I83),B84*(1-Assumptions!$B$25))</f>
        <v/>
      </c>
      <c r="I84">
        <f>Assumptions!$B$26/MIN(Assumptions!$B$27/(Assumptions!$B$29+E84+F84+G84+H84),B84*(1-Assumptions!$B$28))</f>
        <v/>
      </c>
      <c r="J84">
        <f>Assumptions!$B$29+E84+F84+G84+H84+I84</f>
        <v/>
      </c>
      <c r="K84">
        <f>J84+Assumptions!$B$4/B84</f>
        <v/>
      </c>
      <c r="L84">
        <f>B84</f>
        <v/>
      </c>
    </row>
    <row r="85">
      <c r="A85" t="inlineStr">
        <is>
          <t>cell(0,0) iter 70</t>
        </is>
      </c>
      <c r="B85">
        <f>Assumptions!$B$53/J84</f>
        <v/>
      </c>
      <c r="C85">
        <f>IF(B85&lt;Assumptions!$B$20,Assumptions!$B$20*(Assumptions!$B$29+Assumptions!$B$4/Assumptions!$B$20)/(Assumptions!$B$29+Assumptions!$B$4/B85),Assumptions!$B$20)</f>
        <v/>
      </c>
      <c r="D85">
        <f>IF(B85&lt;Assumptions!$B$21,Assumptions!$B$21*(Assumptions!$B$29+Assumptions!$B$4/Assumptions!$B$21)/(Assumptions!$B$29+Assumptions!$B$4/B85),Assumptions!$B$21)</f>
        <v/>
      </c>
      <c r="E85">
        <f>Assumptions!$B$37*Assumptions!$B$22/C85-Assumptions!$B$38</f>
        <v/>
      </c>
      <c r="F85">
        <f>Assumptions!$B$39*Assumptions!$B$21/D85-Assumptions!$B$39</f>
        <v/>
      </c>
      <c r="G85">
        <f>MAX(0,Assumptions!$B$50*(Assumptions!$B$29+E85+F85+G84+H84+I84+Assumptions!$B$4/B85)-Assumptions!$B$30)</f>
        <v/>
      </c>
      <c r="H85">
        <f>Assumptions!$B$23/MIN(Assumptions!$B$24/(Assumptions!$B$29+E85+F85+G85+I84),B85*(1-Assumptions!$B$25))</f>
        <v/>
      </c>
      <c r="I85">
        <f>Assumptions!$B$26/MIN(Assumptions!$B$27/(Assumptions!$B$29+E85+F85+G85+H85),B85*(1-Assumptions!$B$28))</f>
        <v/>
      </c>
      <c r="J85">
        <f>Assumptions!$B$29+E85+F85+G85+H85+I85</f>
        <v/>
      </c>
      <c r="K85">
        <f>J85+Assumptions!$B$4/B85</f>
        <v/>
      </c>
      <c r="L85">
        <f>B85</f>
        <v/>
      </c>
    </row>
    <row r="86">
      <c r="A86" t="inlineStr">
        <is>
          <t>cell(0,0) iter 71</t>
        </is>
      </c>
      <c r="B86">
        <f>Assumptions!$B$53/J85</f>
        <v/>
      </c>
      <c r="C86">
        <f>IF(B86&lt;Assumptions!$B$20,Assumptions!$B$20*(Assumptions!$B$29+Assumptions!$B$4/Assumptions!$B$20)/(Assumptions!$B$29+Assumptions!$B$4/B86),Assumptions!$B$20)</f>
        <v/>
      </c>
      <c r="D86">
        <f>IF(B86&lt;Assumptions!$B$21,Assumptions!$B$21*(Assumptions!$B$29+Assumptions!$B$4/Assumptions!$B$21)/(Assumptions!$B$29+Assumptions!$B$4/B86),Assumptions!$B$21)</f>
        <v/>
      </c>
      <c r="E86">
        <f>Assumptions!$B$37*Assumptions!$B$22/C86-Assumptions!$B$38</f>
        <v/>
      </c>
      <c r="F86">
        <f>Assumptions!$B$39*Assumptions!$B$21/D86-Assumptions!$B$39</f>
        <v/>
      </c>
      <c r="G86">
        <f>MAX(0,Assumptions!$B$50*(Assumptions!$B$29+E86+F86+G85+H85+I85+Assumptions!$B$4/B86)-Assumptions!$B$30)</f>
        <v/>
      </c>
      <c r="H86">
        <f>Assumptions!$B$23/MIN(Assumptions!$B$24/(Assumptions!$B$29+E86+F86+G86+I85),B86*(1-Assumptions!$B$25))</f>
        <v/>
      </c>
      <c r="I86">
        <f>Assumptions!$B$26/MIN(Assumptions!$B$27/(Assumptions!$B$29+E86+F86+G86+H86),B86*(1-Assumptions!$B$28))</f>
        <v/>
      </c>
      <c r="J86">
        <f>Assumptions!$B$29+E86+F86+G86+H86+I86</f>
        <v/>
      </c>
      <c r="K86">
        <f>J86+Assumptions!$B$4/B86</f>
        <v/>
      </c>
      <c r="L86">
        <f>B86</f>
        <v/>
      </c>
    </row>
    <row r="87">
      <c r="A87" t="inlineStr">
        <is>
          <t>cell(0,0) iter 72</t>
        </is>
      </c>
      <c r="B87">
        <f>Assumptions!$B$53/J86</f>
        <v/>
      </c>
      <c r="C87">
        <f>IF(B87&lt;Assumptions!$B$20,Assumptions!$B$20*(Assumptions!$B$29+Assumptions!$B$4/Assumptions!$B$20)/(Assumptions!$B$29+Assumptions!$B$4/B87),Assumptions!$B$20)</f>
        <v/>
      </c>
      <c r="D87">
        <f>IF(B87&lt;Assumptions!$B$21,Assumptions!$B$21*(Assumptions!$B$29+Assumptions!$B$4/Assumptions!$B$21)/(Assumptions!$B$29+Assumptions!$B$4/B87),Assumptions!$B$21)</f>
        <v/>
      </c>
      <c r="E87">
        <f>Assumptions!$B$37*Assumptions!$B$22/C87-Assumptions!$B$38</f>
        <v/>
      </c>
      <c r="F87">
        <f>Assumptions!$B$39*Assumptions!$B$21/D87-Assumptions!$B$39</f>
        <v/>
      </c>
      <c r="G87">
        <f>MAX(0,Assumptions!$B$50*(Assumptions!$B$29+E87+F87+G86+H86+I86+Assumptions!$B$4/B87)-Assumptions!$B$30)</f>
        <v/>
      </c>
      <c r="H87">
        <f>Assumptions!$B$23/MIN(Assumptions!$B$24/(Assumptions!$B$29+E87+F87+G87+I86),B87*(1-Assumptions!$B$25))</f>
        <v/>
      </c>
      <c r="I87">
        <f>Assumptions!$B$26/MIN(Assumptions!$B$27/(Assumptions!$B$29+E87+F87+G87+H87),B87*(1-Assumptions!$B$28))</f>
        <v/>
      </c>
      <c r="J87">
        <f>Assumptions!$B$29+E87+F87+G87+H87+I87</f>
        <v/>
      </c>
      <c r="K87">
        <f>J87+Assumptions!$B$4/B87</f>
        <v/>
      </c>
      <c r="L87">
        <f>B87</f>
        <v/>
      </c>
    </row>
    <row r="88">
      <c r="A88" t="inlineStr">
        <is>
          <t>cell(0,0) iter 73</t>
        </is>
      </c>
      <c r="B88">
        <f>Assumptions!$B$53/J87</f>
        <v/>
      </c>
      <c r="C88">
        <f>IF(B88&lt;Assumptions!$B$20,Assumptions!$B$20*(Assumptions!$B$29+Assumptions!$B$4/Assumptions!$B$20)/(Assumptions!$B$29+Assumptions!$B$4/B88),Assumptions!$B$20)</f>
        <v/>
      </c>
      <c r="D88">
        <f>IF(B88&lt;Assumptions!$B$21,Assumptions!$B$21*(Assumptions!$B$29+Assumptions!$B$4/Assumptions!$B$21)/(Assumptions!$B$29+Assumptions!$B$4/B88),Assumptions!$B$21)</f>
        <v/>
      </c>
      <c r="E88">
        <f>Assumptions!$B$37*Assumptions!$B$22/C88-Assumptions!$B$38</f>
        <v/>
      </c>
      <c r="F88">
        <f>Assumptions!$B$39*Assumptions!$B$21/D88-Assumptions!$B$39</f>
        <v/>
      </c>
      <c r="G88">
        <f>MAX(0,Assumptions!$B$50*(Assumptions!$B$29+E88+F88+G87+H87+I87+Assumptions!$B$4/B88)-Assumptions!$B$30)</f>
        <v/>
      </c>
      <c r="H88">
        <f>Assumptions!$B$23/MIN(Assumptions!$B$24/(Assumptions!$B$29+E88+F88+G88+I87),B88*(1-Assumptions!$B$25))</f>
        <v/>
      </c>
      <c r="I88">
        <f>Assumptions!$B$26/MIN(Assumptions!$B$27/(Assumptions!$B$29+E88+F88+G88+H88),B88*(1-Assumptions!$B$28))</f>
        <v/>
      </c>
      <c r="J88">
        <f>Assumptions!$B$29+E88+F88+G88+H88+I88</f>
        <v/>
      </c>
      <c r="K88">
        <f>J88+Assumptions!$B$4/B88</f>
        <v/>
      </c>
      <c r="L88">
        <f>B88</f>
        <v/>
      </c>
    </row>
    <row r="89">
      <c r="A89" t="inlineStr">
        <is>
          <t>cell(0,0) iter 74</t>
        </is>
      </c>
      <c r="B89">
        <f>Assumptions!$B$53/J88</f>
        <v/>
      </c>
      <c r="C89">
        <f>IF(B89&lt;Assumptions!$B$20,Assumptions!$B$20*(Assumptions!$B$29+Assumptions!$B$4/Assumptions!$B$20)/(Assumptions!$B$29+Assumptions!$B$4/B89),Assumptions!$B$20)</f>
        <v/>
      </c>
      <c r="D89">
        <f>IF(B89&lt;Assumptions!$B$21,Assumptions!$B$21*(Assumptions!$B$29+Assumptions!$B$4/Assumptions!$B$21)/(Assumptions!$B$29+Assumptions!$B$4/B89),Assumptions!$B$21)</f>
        <v/>
      </c>
      <c r="E89">
        <f>Assumptions!$B$37*Assumptions!$B$22/C89-Assumptions!$B$38</f>
        <v/>
      </c>
      <c r="F89">
        <f>Assumptions!$B$39*Assumptions!$B$21/D89-Assumptions!$B$39</f>
        <v/>
      </c>
      <c r="G89">
        <f>MAX(0,Assumptions!$B$50*(Assumptions!$B$29+E89+F89+G88+H88+I88+Assumptions!$B$4/B89)-Assumptions!$B$30)</f>
        <v/>
      </c>
      <c r="H89">
        <f>Assumptions!$B$23/MIN(Assumptions!$B$24/(Assumptions!$B$29+E89+F89+G89+I88),B89*(1-Assumptions!$B$25))</f>
        <v/>
      </c>
      <c r="I89">
        <f>Assumptions!$B$26/MIN(Assumptions!$B$27/(Assumptions!$B$29+E89+F89+G89+H89),B89*(1-Assumptions!$B$28))</f>
        <v/>
      </c>
      <c r="J89">
        <f>Assumptions!$B$29+E89+F89+G89+H89+I89</f>
        <v/>
      </c>
      <c r="K89">
        <f>J89+Assumptions!$B$4/B89</f>
        <v/>
      </c>
      <c r="L89">
        <f>B89</f>
        <v/>
      </c>
    </row>
    <row r="90">
      <c r="A90" t="inlineStr">
        <is>
          <t>cell(0,0) iter 75</t>
        </is>
      </c>
      <c r="B90">
        <f>Assumptions!$B$53/J89</f>
        <v/>
      </c>
      <c r="C90">
        <f>IF(B90&lt;Assumptions!$B$20,Assumptions!$B$20*(Assumptions!$B$29+Assumptions!$B$4/Assumptions!$B$20)/(Assumptions!$B$29+Assumptions!$B$4/B90),Assumptions!$B$20)</f>
        <v/>
      </c>
      <c r="D90">
        <f>IF(B90&lt;Assumptions!$B$21,Assumptions!$B$21*(Assumptions!$B$29+Assumptions!$B$4/Assumptions!$B$21)/(Assumptions!$B$29+Assumptions!$B$4/B90),Assumptions!$B$21)</f>
        <v/>
      </c>
      <c r="E90">
        <f>Assumptions!$B$37*Assumptions!$B$22/C90-Assumptions!$B$38</f>
        <v/>
      </c>
      <c r="F90">
        <f>Assumptions!$B$39*Assumptions!$B$21/D90-Assumptions!$B$39</f>
        <v/>
      </c>
      <c r="G90">
        <f>MAX(0,Assumptions!$B$50*(Assumptions!$B$29+E90+F90+G89+H89+I89+Assumptions!$B$4/B90)-Assumptions!$B$30)</f>
        <v/>
      </c>
      <c r="H90">
        <f>Assumptions!$B$23/MIN(Assumptions!$B$24/(Assumptions!$B$29+E90+F90+G90+I89),B90*(1-Assumptions!$B$25))</f>
        <v/>
      </c>
      <c r="I90">
        <f>Assumptions!$B$26/MIN(Assumptions!$B$27/(Assumptions!$B$29+E90+F90+G90+H90),B90*(1-Assumptions!$B$28))</f>
        <v/>
      </c>
      <c r="J90">
        <f>Assumptions!$B$29+E90+F90+G90+H90+I90</f>
        <v/>
      </c>
      <c r="K90">
        <f>J90+Assumptions!$B$4/B90</f>
        <v/>
      </c>
      <c r="L90">
        <f>B90</f>
        <v/>
      </c>
    </row>
    <row r="91">
      <c r="A91" t="inlineStr">
        <is>
          <t>cell(0,0) iter 76</t>
        </is>
      </c>
      <c r="B91">
        <f>Assumptions!$B$53/J90</f>
        <v/>
      </c>
      <c r="C91">
        <f>IF(B91&lt;Assumptions!$B$20,Assumptions!$B$20*(Assumptions!$B$29+Assumptions!$B$4/Assumptions!$B$20)/(Assumptions!$B$29+Assumptions!$B$4/B91),Assumptions!$B$20)</f>
        <v/>
      </c>
      <c r="D91">
        <f>IF(B91&lt;Assumptions!$B$21,Assumptions!$B$21*(Assumptions!$B$29+Assumptions!$B$4/Assumptions!$B$21)/(Assumptions!$B$29+Assumptions!$B$4/B91),Assumptions!$B$21)</f>
        <v/>
      </c>
      <c r="E91">
        <f>Assumptions!$B$37*Assumptions!$B$22/C91-Assumptions!$B$38</f>
        <v/>
      </c>
      <c r="F91">
        <f>Assumptions!$B$39*Assumptions!$B$21/D91-Assumptions!$B$39</f>
        <v/>
      </c>
      <c r="G91">
        <f>MAX(0,Assumptions!$B$50*(Assumptions!$B$29+E91+F91+G90+H90+I90+Assumptions!$B$4/B91)-Assumptions!$B$30)</f>
        <v/>
      </c>
      <c r="H91">
        <f>Assumptions!$B$23/MIN(Assumptions!$B$24/(Assumptions!$B$29+E91+F91+G91+I90),B91*(1-Assumptions!$B$25))</f>
        <v/>
      </c>
      <c r="I91">
        <f>Assumptions!$B$26/MIN(Assumptions!$B$27/(Assumptions!$B$29+E91+F91+G91+H91),B91*(1-Assumptions!$B$28))</f>
        <v/>
      </c>
      <c r="J91">
        <f>Assumptions!$B$29+E91+F91+G91+H91+I91</f>
        <v/>
      </c>
      <c r="K91">
        <f>J91+Assumptions!$B$4/B91</f>
        <v/>
      </c>
      <c r="L91">
        <f>B91</f>
        <v/>
      </c>
    </row>
    <row r="92">
      <c r="A92" t="inlineStr">
        <is>
          <t>cell(0,0) iter 77</t>
        </is>
      </c>
      <c r="B92">
        <f>Assumptions!$B$53/J91</f>
        <v/>
      </c>
      <c r="C92">
        <f>IF(B92&lt;Assumptions!$B$20,Assumptions!$B$20*(Assumptions!$B$29+Assumptions!$B$4/Assumptions!$B$20)/(Assumptions!$B$29+Assumptions!$B$4/B92),Assumptions!$B$20)</f>
        <v/>
      </c>
      <c r="D92">
        <f>IF(B92&lt;Assumptions!$B$21,Assumptions!$B$21*(Assumptions!$B$29+Assumptions!$B$4/Assumptions!$B$21)/(Assumptions!$B$29+Assumptions!$B$4/B92),Assumptions!$B$21)</f>
        <v/>
      </c>
      <c r="E92">
        <f>Assumptions!$B$37*Assumptions!$B$22/C92-Assumptions!$B$38</f>
        <v/>
      </c>
      <c r="F92">
        <f>Assumptions!$B$39*Assumptions!$B$21/D92-Assumptions!$B$39</f>
        <v/>
      </c>
      <c r="G92">
        <f>MAX(0,Assumptions!$B$50*(Assumptions!$B$29+E92+F92+G91+H91+I91+Assumptions!$B$4/B92)-Assumptions!$B$30)</f>
        <v/>
      </c>
      <c r="H92">
        <f>Assumptions!$B$23/MIN(Assumptions!$B$24/(Assumptions!$B$29+E92+F92+G92+I91),B92*(1-Assumptions!$B$25))</f>
        <v/>
      </c>
      <c r="I92">
        <f>Assumptions!$B$26/MIN(Assumptions!$B$27/(Assumptions!$B$29+E92+F92+G92+H92),B92*(1-Assumptions!$B$28))</f>
        <v/>
      </c>
      <c r="J92">
        <f>Assumptions!$B$29+E92+F92+G92+H92+I92</f>
        <v/>
      </c>
      <c r="K92">
        <f>J92+Assumptions!$B$4/B92</f>
        <v/>
      </c>
      <c r="L92">
        <f>B92</f>
        <v/>
      </c>
    </row>
    <row r="93">
      <c r="A93" t="inlineStr">
        <is>
          <t>cell(0,0) iter 78</t>
        </is>
      </c>
      <c r="B93">
        <f>Assumptions!$B$53/J92</f>
        <v/>
      </c>
      <c r="C93">
        <f>IF(B93&lt;Assumptions!$B$20,Assumptions!$B$20*(Assumptions!$B$29+Assumptions!$B$4/Assumptions!$B$20)/(Assumptions!$B$29+Assumptions!$B$4/B93),Assumptions!$B$20)</f>
        <v/>
      </c>
      <c r="D93">
        <f>IF(B93&lt;Assumptions!$B$21,Assumptions!$B$21*(Assumptions!$B$29+Assumptions!$B$4/Assumptions!$B$21)/(Assumptions!$B$29+Assumptions!$B$4/B93),Assumptions!$B$21)</f>
        <v/>
      </c>
      <c r="E93">
        <f>Assumptions!$B$37*Assumptions!$B$22/C93-Assumptions!$B$38</f>
        <v/>
      </c>
      <c r="F93">
        <f>Assumptions!$B$39*Assumptions!$B$21/D93-Assumptions!$B$39</f>
        <v/>
      </c>
      <c r="G93">
        <f>MAX(0,Assumptions!$B$50*(Assumptions!$B$29+E93+F93+G92+H92+I92+Assumptions!$B$4/B93)-Assumptions!$B$30)</f>
        <v/>
      </c>
      <c r="H93">
        <f>Assumptions!$B$23/MIN(Assumptions!$B$24/(Assumptions!$B$29+E93+F93+G93+I92),B93*(1-Assumptions!$B$25))</f>
        <v/>
      </c>
      <c r="I93">
        <f>Assumptions!$B$26/MIN(Assumptions!$B$27/(Assumptions!$B$29+E93+F93+G93+H93),B93*(1-Assumptions!$B$28))</f>
        <v/>
      </c>
      <c r="J93">
        <f>Assumptions!$B$29+E93+F93+G93+H93+I93</f>
        <v/>
      </c>
      <c r="K93">
        <f>J93+Assumptions!$B$4/B93</f>
        <v/>
      </c>
      <c r="L93">
        <f>B93</f>
        <v/>
      </c>
    </row>
    <row r="94">
      <c r="A94" t="inlineStr">
        <is>
          <t>cell(0,0) iter 79</t>
        </is>
      </c>
      <c r="B94">
        <f>Assumptions!$B$53/J93</f>
        <v/>
      </c>
      <c r="C94">
        <f>IF(B94&lt;Assumptions!$B$20,Assumptions!$B$20*(Assumptions!$B$29+Assumptions!$B$4/Assumptions!$B$20)/(Assumptions!$B$29+Assumptions!$B$4/B94),Assumptions!$B$20)</f>
        <v/>
      </c>
      <c r="D94">
        <f>IF(B94&lt;Assumptions!$B$21,Assumptions!$B$21*(Assumptions!$B$29+Assumptions!$B$4/Assumptions!$B$21)/(Assumptions!$B$29+Assumptions!$B$4/B94),Assumptions!$B$21)</f>
        <v/>
      </c>
      <c r="E94">
        <f>Assumptions!$B$37*Assumptions!$B$22/C94-Assumptions!$B$38</f>
        <v/>
      </c>
      <c r="F94">
        <f>Assumptions!$B$39*Assumptions!$B$21/D94-Assumptions!$B$39</f>
        <v/>
      </c>
      <c r="G94">
        <f>MAX(0,Assumptions!$B$50*(Assumptions!$B$29+E94+F94+G93+H93+I93+Assumptions!$B$4/B94)-Assumptions!$B$30)</f>
        <v/>
      </c>
      <c r="H94">
        <f>Assumptions!$B$23/MIN(Assumptions!$B$24/(Assumptions!$B$29+E94+F94+G94+I93),B94*(1-Assumptions!$B$25))</f>
        <v/>
      </c>
      <c r="I94">
        <f>Assumptions!$B$26/MIN(Assumptions!$B$27/(Assumptions!$B$29+E94+F94+G94+H94),B94*(1-Assumptions!$B$28))</f>
        <v/>
      </c>
      <c r="J94">
        <f>Assumptions!$B$29+E94+F94+G94+H94+I94</f>
        <v/>
      </c>
      <c r="K94">
        <f>J94+Assumptions!$B$4/B94</f>
        <v/>
      </c>
      <c r="L94">
        <f>B94</f>
        <v/>
      </c>
    </row>
    <row r="95">
      <c r="A95" t="inlineStr">
        <is>
          <t>cell(0,0) iter 80</t>
        </is>
      </c>
      <c r="B95">
        <f>Assumptions!$B$53/J94</f>
        <v/>
      </c>
      <c r="C95">
        <f>IF(B95&lt;Assumptions!$B$20,Assumptions!$B$20*(Assumptions!$B$29+Assumptions!$B$4/Assumptions!$B$20)/(Assumptions!$B$29+Assumptions!$B$4/B95),Assumptions!$B$20)</f>
        <v/>
      </c>
      <c r="D95">
        <f>IF(B95&lt;Assumptions!$B$21,Assumptions!$B$21*(Assumptions!$B$29+Assumptions!$B$4/Assumptions!$B$21)/(Assumptions!$B$29+Assumptions!$B$4/B95),Assumptions!$B$21)</f>
        <v/>
      </c>
      <c r="E95">
        <f>Assumptions!$B$37*Assumptions!$B$22/C95-Assumptions!$B$38</f>
        <v/>
      </c>
      <c r="F95">
        <f>Assumptions!$B$39*Assumptions!$B$21/D95-Assumptions!$B$39</f>
        <v/>
      </c>
      <c r="G95">
        <f>MAX(0,Assumptions!$B$50*(Assumptions!$B$29+E95+F95+G94+H94+I94+Assumptions!$B$4/B95)-Assumptions!$B$30)</f>
        <v/>
      </c>
      <c r="H95">
        <f>Assumptions!$B$23/MIN(Assumptions!$B$24/(Assumptions!$B$29+E95+F95+G95+I94),B95*(1-Assumptions!$B$25))</f>
        <v/>
      </c>
      <c r="I95">
        <f>Assumptions!$B$26/MIN(Assumptions!$B$27/(Assumptions!$B$29+E95+F95+G95+H95),B95*(1-Assumptions!$B$28))</f>
        <v/>
      </c>
      <c r="J95">
        <f>Assumptions!$B$29+E95+F95+G95+H95+I95</f>
        <v/>
      </c>
      <c r="K95">
        <f>J95+Assumptions!$B$4/B95</f>
        <v/>
      </c>
      <c r="L95">
        <f>B95</f>
        <v/>
      </c>
    </row>
    <row r="98">
      <c r="A98" s="1" t="inlineStr">
        <is>
          <t>Waterfall ladder ($2B exit)</t>
        </is>
      </c>
    </row>
    <row r="99">
      <c r="A99" s="1" t="inlineStr">
        <is>
          <t>Step</t>
        </is>
      </c>
      <c r="B99" s="1" t="inlineStr">
        <is>
          <t>F_el</t>
        </is>
      </c>
      <c r="C99" s="1" t="inlineStr">
        <is>
          <t>E_el</t>
        </is>
      </c>
      <c r="D99" s="1" t="inlineStr">
        <is>
          <t>D_el</t>
        </is>
      </c>
      <c r="E99" s="1" t="inlineStr">
        <is>
          <t>C_el</t>
        </is>
      </c>
      <c r="F99" s="1" t="inlineStr">
        <is>
          <t>B_el</t>
        </is>
      </c>
      <c r="G99" s="1" t="inlineStr">
        <is>
          <t>A_el</t>
        </is>
      </c>
      <c r="H99" s="1" t="inlineStr">
        <is>
          <t>Seed_el</t>
        </is>
      </c>
      <c r="I99" s="1" t="inlineStr">
        <is>
          <t>prefs</t>
        </is>
      </c>
      <c r="J99" s="1" t="inlineStr">
        <is>
          <t>conv_sh</t>
        </is>
      </c>
      <c r="K99" s="1" t="inlineStr">
        <is>
          <t>cpool</t>
        </is>
      </c>
      <c r="L99" s="1" t="inlineStr">
        <is>
          <t>ITM_PPS</t>
        </is>
      </c>
      <c r="M99" s="1" t="inlineStr">
        <is>
          <t>ITM?</t>
        </is>
      </c>
      <c r="N99" s="1" t="inlineStr">
        <is>
          <t>common_PPS</t>
        </is>
      </c>
      <c r="O99" s="1" t="inlineStr">
        <is>
          <t>opt_proc</t>
        </is>
      </c>
    </row>
    <row r="100">
      <c r="A100" t="inlineStr">
        <is>
          <t>seed (all convert)</t>
        </is>
      </c>
      <c r="B100">
        <f>"convert"</f>
        <v/>
      </c>
      <c r="C100">
        <f>"convert"</f>
        <v/>
      </c>
      <c r="D100">
        <f>"convert"</f>
        <v/>
      </c>
      <c r="E100">
        <f>"convert"</f>
        <v/>
      </c>
      <c r="F100">
        <f>"convert"</f>
        <v/>
      </c>
      <c r="G100">
        <f>"convert"</f>
        <v/>
      </c>
      <c r="H100">
        <f>"convert"</f>
        <v/>
      </c>
      <c r="I100">
        <f>IF(B100="preference",Assumptions!$B$4,0)+IF(C100="preference",Assumptions!$B$45,0)+IF(D100="preference",Assumptions!$B$44,0)+IF(E100="preference",Assumptions!$B$43,0)+IF(F100="preference",Assumptions!$B$42,0)+IF(G100="preference",Assumptions!$B$41,0)+IF(H100="preference",Assumptions!$B$40,0)</f>
        <v/>
      </c>
      <c r="J100">
        <f>IF(B100="convert",(Assumptions!$B$4/B95),0)+IF(C100="convert",(Assumptions!$B$39+F95),0)+IF(D100="convert",(Assumptions!$B$38+E95),0)+IF(E100="convert",Assumptions!$B$36,0)+IF(F100="convert",Assumptions!$B$35,0)+IF(G100="convert",Assumptions!$B$34,0)+IF(H100="convert",Assumptions!$B$33,0)</f>
        <v/>
      </c>
      <c r="K100">
        <f>(Assumptions!$B$46+Assumptions!$B$47+Assumptions!$B$48)+Assumptions!$B$49+(H95+I95)+J100</f>
        <v/>
      </c>
      <c r="L100">
        <f>(Assumptions!$B$13-I100+Assumptions!$B$31*Assumptions!$B$10)/(K100+Assumptions!$B$31)</f>
        <v/>
      </c>
      <c r="M100">
        <f>IF(L100&gt;Assumptions!$B$10,"yes","no")</f>
        <v/>
      </c>
      <c r="N100">
        <f>IF(M100="yes",L100,MAX(0,(Assumptions!$B$13-I100)/K100))</f>
        <v/>
      </c>
      <c r="O100">
        <f>IF(M100="yes",Assumptions!$B$31*(N100-Assumptions!$B$10),0)</f>
        <v/>
      </c>
    </row>
    <row r="101">
      <c r="A101" t="inlineStr">
        <is>
          <t>iter 1</t>
        </is>
      </c>
      <c r="B101">
        <f>IF(Assumptions!$B$4&gt;(Assumptions!$B$4/B95)*N100,"preference","convert")</f>
        <v/>
      </c>
      <c r="C101">
        <f>IF(Assumptions!$B$45&gt;(Assumptions!$B$39+F95)*N100,"preference","convert")</f>
        <v/>
      </c>
      <c r="D101">
        <f>IF(Assumptions!$B$44&gt;(Assumptions!$B$38+E95)*N100,"preference","convert")</f>
        <v/>
      </c>
      <c r="E101">
        <f>IF(Assumptions!$B$43&gt;Assumptions!$B$36*N100,"preference","convert")</f>
        <v/>
      </c>
      <c r="F101">
        <f>IF(Assumptions!$B$42&gt;Assumptions!$B$35*N100,"preference","convert")</f>
        <v/>
      </c>
      <c r="G101">
        <f>IF(Assumptions!$B$41&gt;Assumptions!$B$34*N100,"preference","convert")</f>
        <v/>
      </c>
      <c r="H101">
        <f>IF(Assumptions!$B$40&gt;Assumptions!$B$33*N100,"preference","convert")</f>
        <v/>
      </c>
      <c r="I101">
        <f>IF(B101="preference",Assumptions!$B$4,0)+IF(C101="preference",Assumptions!$B$45,0)+IF(D101="preference",Assumptions!$B$44,0)+IF(E101="preference",Assumptions!$B$43,0)+IF(F101="preference",Assumptions!$B$42,0)+IF(G101="preference",Assumptions!$B$41,0)+IF(H101="preference",Assumptions!$B$40,0)</f>
        <v/>
      </c>
      <c r="J101">
        <f>IF(B101="convert",(Assumptions!$B$4/B95),0)+IF(C101="convert",(Assumptions!$B$39+F95),0)+IF(D101="convert",(Assumptions!$B$38+E95),0)+IF(E101="convert",Assumptions!$B$36,0)+IF(F101="convert",Assumptions!$B$35,0)+IF(G101="convert",Assumptions!$B$34,0)+IF(H101="convert",Assumptions!$B$33,0)</f>
        <v/>
      </c>
      <c r="K101">
        <f>(Assumptions!$B$46+Assumptions!$B$47+Assumptions!$B$48)+Assumptions!$B$49+(H95+I95)+J101</f>
        <v/>
      </c>
      <c r="L101">
        <f>(Assumptions!$B$13-I101+Assumptions!$B$31*Assumptions!$B$10)/(K101+Assumptions!$B$31)</f>
        <v/>
      </c>
      <c r="M101">
        <f>IF(L101&gt;Assumptions!$B$10,"yes","no")</f>
        <v/>
      </c>
      <c r="N101">
        <f>IF(M101="yes",L101,MAX(0,(Assumptions!$B$13-I101)/K101))</f>
        <v/>
      </c>
      <c r="O101">
        <f>IF(M101="yes",Assumptions!$B$31*(N101-Assumptions!$B$10),0)</f>
        <v/>
      </c>
    </row>
    <row r="102">
      <c r="A102" t="inlineStr">
        <is>
          <t>iter 2</t>
        </is>
      </c>
      <c r="B102">
        <f>IF(Assumptions!$B$4&gt;(Assumptions!$B$4/B95)*N101,"preference","convert")</f>
        <v/>
      </c>
      <c r="C102">
        <f>IF(Assumptions!$B$45&gt;(Assumptions!$B$39+F95)*N101,"preference","convert")</f>
        <v/>
      </c>
      <c r="D102">
        <f>IF(Assumptions!$B$44&gt;(Assumptions!$B$38+E95)*N101,"preference","convert")</f>
        <v/>
      </c>
      <c r="E102">
        <f>IF(Assumptions!$B$43&gt;Assumptions!$B$36*N101,"preference","convert")</f>
        <v/>
      </c>
      <c r="F102">
        <f>IF(Assumptions!$B$42&gt;Assumptions!$B$35*N101,"preference","convert")</f>
        <v/>
      </c>
      <c r="G102">
        <f>IF(Assumptions!$B$41&gt;Assumptions!$B$34*N101,"preference","convert")</f>
        <v/>
      </c>
      <c r="H102">
        <f>IF(Assumptions!$B$40&gt;Assumptions!$B$33*N101,"preference","convert")</f>
        <v/>
      </c>
      <c r="I102">
        <f>IF(B102="preference",Assumptions!$B$4,0)+IF(C102="preference",Assumptions!$B$45,0)+IF(D102="preference",Assumptions!$B$44,0)+IF(E102="preference",Assumptions!$B$43,0)+IF(F102="preference",Assumptions!$B$42,0)+IF(G102="preference",Assumptions!$B$41,0)+IF(H102="preference",Assumptions!$B$40,0)</f>
        <v/>
      </c>
      <c r="J102">
        <f>IF(B102="convert",(Assumptions!$B$4/B95),0)+IF(C102="convert",(Assumptions!$B$39+F95),0)+IF(D102="convert",(Assumptions!$B$38+E95),0)+IF(E102="convert",Assumptions!$B$36,0)+IF(F102="convert",Assumptions!$B$35,0)+IF(G102="convert",Assumptions!$B$34,0)+IF(H102="convert",Assumptions!$B$33,0)</f>
        <v/>
      </c>
      <c r="K102">
        <f>(Assumptions!$B$46+Assumptions!$B$47+Assumptions!$B$48)+Assumptions!$B$49+(H95+I95)+J102</f>
        <v/>
      </c>
      <c r="L102">
        <f>(Assumptions!$B$13-I102+Assumptions!$B$31*Assumptions!$B$10)/(K102+Assumptions!$B$31)</f>
        <v/>
      </c>
      <c r="M102">
        <f>IF(L102&gt;Assumptions!$B$10,"yes","no")</f>
        <v/>
      </c>
      <c r="N102">
        <f>IF(M102="yes",L102,MAX(0,(Assumptions!$B$13-I102)/K102))</f>
        <v/>
      </c>
      <c r="O102">
        <f>IF(M102="yes",Assumptions!$B$31*(N102-Assumptions!$B$10),0)</f>
        <v/>
      </c>
    </row>
    <row r="103">
      <c r="A103" t="inlineStr">
        <is>
          <t>iter 3</t>
        </is>
      </c>
      <c r="B103">
        <f>IF(Assumptions!$B$4&gt;(Assumptions!$B$4/B95)*N102,"preference","convert")</f>
        <v/>
      </c>
      <c r="C103">
        <f>IF(Assumptions!$B$45&gt;(Assumptions!$B$39+F95)*N102,"preference","convert")</f>
        <v/>
      </c>
      <c r="D103">
        <f>IF(Assumptions!$B$44&gt;(Assumptions!$B$38+E95)*N102,"preference","convert")</f>
        <v/>
      </c>
      <c r="E103">
        <f>IF(Assumptions!$B$43&gt;Assumptions!$B$36*N102,"preference","convert")</f>
        <v/>
      </c>
      <c r="F103">
        <f>IF(Assumptions!$B$42&gt;Assumptions!$B$35*N102,"preference","convert")</f>
        <v/>
      </c>
      <c r="G103">
        <f>IF(Assumptions!$B$41&gt;Assumptions!$B$34*N102,"preference","convert")</f>
        <v/>
      </c>
      <c r="H103">
        <f>IF(Assumptions!$B$40&gt;Assumptions!$B$33*N102,"preference","convert")</f>
        <v/>
      </c>
      <c r="I103">
        <f>IF(B103="preference",Assumptions!$B$4,0)+IF(C103="preference",Assumptions!$B$45,0)+IF(D103="preference",Assumptions!$B$44,0)+IF(E103="preference",Assumptions!$B$43,0)+IF(F103="preference",Assumptions!$B$42,0)+IF(G103="preference",Assumptions!$B$41,0)+IF(H103="preference",Assumptions!$B$40,0)</f>
        <v/>
      </c>
      <c r="J103">
        <f>IF(B103="convert",(Assumptions!$B$4/B95),0)+IF(C103="convert",(Assumptions!$B$39+F95),0)+IF(D103="convert",(Assumptions!$B$38+E95),0)+IF(E103="convert",Assumptions!$B$36,0)+IF(F103="convert",Assumptions!$B$35,0)+IF(G103="convert",Assumptions!$B$34,0)+IF(H103="convert",Assumptions!$B$33,0)</f>
        <v/>
      </c>
      <c r="K103">
        <f>(Assumptions!$B$46+Assumptions!$B$47+Assumptions!$B$48)+Assumptions!$B$49+(H95+I95)+J103</f>
        <v/>
      </c>
      <c r="L103">
        <f>(Assumptions!$B$13-I103+Assumptions!$B$31*Assumptions!$B$10)/(K103+Assumptions!$B$31)</f>
        <v/>
      </c>
      <c r="M103">
        <f>IF(L103&gt;Assumptions!$B$10,"yes","no")</f>
        <v/>
      </c>
      <c r="N103">
        <f>IF(M103="yes",L103,MAX(0,(Assumptions!$B$13-I103)/K103))</f>
        <v/>
      </c>
      <c r="O103">
        <f>IF(M103="yes",Assumptions!$B$31*(N103-Assumptions!$B$10),0)</f>
        <v/>
      </c>
    </row>
    <row r="104">
      <c r="A104" t="inlineStr">
        <is>
          <t>iter 4</t>
        </is>
      </c>
      <c r="B104">
        <f>IF(Assumptions!$B$4&gt;(Assumptions!$B$4/B95)*N103,"preference","convert")</f>
        <v/>
      </c>
      <c r="C104">
        <f>IF(Assumptions!$B$45&gt;(Assumptions!$B$39+F95)*N103,"preference","convert")</f>
        <v/>
      </c>
      <c r="D104">
        <f>IF(Assumptions!$B$44&gt;(Assumptions!$B$38+E95)*N103,"preference","convert")</f>
        <v/>
      </c>
      <c r="E104">
        <f>IF(Assumptions!$B$43&gt;Assumptions!$B$36*N103,"preference","convert")</f>
        <v/>
      </c>
      <c r="F104">
        <f>IF(Assumptions!$B$42&gt;Assumptions!$B$35*N103,"preference","convert")</f>
        <v/>
      </c>
      <c r="G104">
        <f>IF(Assumptions!$B$41&gt;Assumptions!$B$34*N103,"preference","convert")</f>
        <v/>
      </c>
      <c r="H104">
        <f>IF(Assumptions!$B$40&gt;Assumptions!$B$33*N103,"preference","convert")</f>
        <v/>
      </c>
      <c r="I104">
        <f>IF(B104="preference",Assumptions!$B$4,0)+IF(C104="preference",Assumptions!$B$45,0)+IF(D104="preference",Assumptions!$B$44,0)+IF(E104="preference",Assumptions!$B$43,0)+IF(F104="preference",Assumptions!$B$42,0)+IF(G104="preference",Assumptions!$B$41,0)+IF(H104="preference",Assumptions!$B$40,0)</f>
        <v/>
      </c>
      <c r="J104">
        <f>IF(B104="convert",(Assumptions!$B$4/B95),0)+IF(C104="convert",(Assumptions!$B$39+F95),0)+IF(D104="convert",(Assumptions!$B$38+E95),0)+IF(E104="convert",Assumptions!$B$36,0)+IF(F104="convert",Assumptions!$B$35,0)+IF(G104="convert",Assumptions!$B$34,0)+IF(H104="convert",Assumptions!$B$33,0)</f>
        <v/>
      </c>
      <c r="K104">
        <f>(Assumptions!$B$46+Assumptions!$B$47+Assumptions!$B$48)+Assumptions!$B$49+(H95+I95)+J104</f>
        <v/>
      </c>
      <c r="L104">
        <f>(Assumptions!$B$13-I104+Assumptions!$B$31*Assumptions!$B$10)/(K104+Assumptions!$B$31)</f>
        <v/>
      </c>
      <c r="M104">
        <f>IF(L104&gt;Assumptions!$B$10,"yes","no")</f>
        <v/>
      </c>
      <c r="N104">
        <f>IF(M104="yes",L104,MAX(0,(Assumptions!$B$13-I104)/K104))</f>
        <v/>
      </c>
      <c r="O104">
        <f>IF(M104="yes",Assumptions!$B$31*(N104-Assumptions!$B$10),0)</f>
        <v/>
      </c>
    </row>
    <row r="105">
      <c r="A105" t="inlineStr">
        <is>
          <t>iter 5</t>
        </is>
      </c>
      <c r="B105">
        <f>IF(Assumptions!$B$4&gt;(Assumptions!$B$4/B95)*N104,"preference","convert")</f>
        <v/>
      </c>
      <c r="C105">
        <f>IF(Assumptions!$B$45&gt;(Assumptions!$B$39+F95)*N104,"preference","convert")</f>
        <v/>
      </c>
      <c r="D105">
        <f>IF(Assumptions!$B$44&gt;(Assumptions!$B$38+E95)*N104,"preference","convert")</f>
        <v/>
      </c>
      <c r="E105">
        <f>IF(Assumptions!$B$43&gt;Assumptions!$B$36*N104,"preference","convert")</f>
        <v/>
      </c>
      <c r="F105">
        <f>IF(Assumptions!$B$42&gt;Assumptions!$B$35*N104,"preference","convert")</f>
        <v/>
      </c>
      <c r="G105">
        <f>IF(Assumptions!$B$41&gt;Assumptions!$B$34*N104,"preference","convert")</f>
        <v/>
      </c>
      <c r="H105">
        <f>IF(Assumptions!$B$40&gt;Assumptions!$B$33*N104,"preference","convert")</f>
        <v/>
      </c>
      <c r="I105">
        <f>IF(B105="preference",Assumptions!$B$4,0)+IF(C105="preference",Assumptions!$B$45,0)+IF(D105="preference",Assumptions!$B$44,0)+IF(E105="preference",Assumptions!$B$43,0)+IF(F105="preference",Assumptions!$B$42,0)+IF(G105="preference",Assumptions!$B$41,0)+IF(H105="preference",Assumptions!$B$40,0)</f>
        <v/>
      </c>
      <c r="J105">
        <f>IF(B105="convert",(Assumptions!$B$4/B95),0)+IF(C105="convert",(Assumptions!$B$39+F95),0)+IF(D105="convert",(Assumptions!$B$38+E95),0)+IF(E105="convert",Assumptions!$B$36,0)+IF(F105="convert",Assumptions!$B$35,0)+IF(G105="convert",Assumptions!$B$34,0)+IF(H105="convert",Assumptions!$B$33,0)</f>
        <v/>
      </c>
      <c r="K105">
        <f>(Assumptions!$B$46+Assumptions!$B$47+Assumptions!$B$48)+Assumptions!$B$49+(H95+I95)+J105</f>
        <v/>
      </c>
      <c r="L105">
        <f>(Assumptions!$B$13-I105+Assumptions!$B$31*Assumptions!$B$10)/(K105+Assumptions!$B$31)</f>
        <v/>
      </c>
      <c r="M105">
        <f>IF(L105&gt;Assumptions!$B$10,"yes","no")</f>
        <v/>
      </c>
      <c r="N105">
        <f>IF(M105="yes",L105,MAX(0,(Assumptions!$B$13-I105)/K105))</f>
        <v/>
      </c>
      <c r="O105">
        <f>IF(M105="yes",Assumptions!$B$31*(N105-Assumptions!$B$10),0)</f>
        <v/>
      </c>
    </row>
    <row r="106">
      <c r="A106" t="inlineStr">
        <is>
          <t>iter 6</t>
        </is>
      </c>
      <c r="B106">
        <f>IF(Assumptions!$B$4&gt;(Assumptions!$B$4/B95)*N105,"preference","convert")</f>
        <v/>
      </c>
      <c r="C106">
        <f>IF(Assumptions!$B$45&gt;(Assumptions!$B$39+F95)*N105,"preference","convert")</f>
        <v/>
      </c>
      <c r="D106">
        <f>IF(Assumptions!$B$44&gt;(Assumptions!$B$38+E95)*N105,"preference","convert")</f>
        <v/>
      </c>
      <c r="E106">
        <f>IF(Assumptions!$B$43&gt;Assumptions!$B$36*N105,"preference","convert")</f>
        <v/>
      </c>
      <c r="F106">
        <f>IF(Assumptions!$B$42&gt;Assumptions!$B$35*N105,"preference","convert")</f>
        <v/>
      </c>
      <c r="G106">
        <f>IF(Assumptions!$B$41&gt;Assumptions!$B$34*N105,"preference","convert")</f>
        <v/>
      </c>
      <c r="H106">
        <f>IF(Assumptions!$B$40&gt;Assumptions!$B$33*N105,"preference","convert")</f>
        <v/>
      </c>
      <c r="I106">
        <f>IF(B106="preference",Assumptions!$B$4,0)+IF(C106="preference",Assumptions!$B$45,0)+IF(D106="preference",Assumptions!$B$44,0)+IF(E106="preference",Assumptions!$B$43,0)+IF(F106="preference",Assumptions!$B$42,0)+IF(G106="preference",Assumptions!$B$41,0)+IF(H106="preference",Assumptions!$B$40,0)</f>
        <v/>
      </c>
      <c r="J106">
        <f>IF(B106="convert",(Assumptions!$B$4/B95),0)+IF(C106="convert",(Assumptions!$B$39+F95),0)+IF(D106="convert",(Assumptions!$B$38+E95),0)+IF(E106="convert",Assumptions!$B$36,0)+IF(F106="convert",Assumptions!$B$35,0)+IF(G106="convert",Assumptions!$B$34,0)+IF(H106="convert",Assumptions!$B$33,0)</f>
        <v/>
      </c>
      <c r="K106">
        <f>(Assumptions!$B$46+Assumptions!$B$47+Assumptions!$B$48)+Assumptions!$B$49+(H95+I95)+J106</f>
        <v/>
      </c>
      <c r="L106">
        <f>(Assumptions!$B$13-I106+Assumptions!$B$31*Assumptions!$B$10)/(K106+Assumptions!$B$31)</f>
        <v/>
      </c>
      <c r="M106">
        <f>IF(L106&gt;Assumptions!$B$10,"yes","no")</f>
        <v/>
      </c>
      <c r="N106">
        <f>IF(M106="yes",L106,MAX(0,(Assumptions!$B$13-I106)/K106))</f>
        <v/>
      </c>
      <c r="O106">
        <f>IF(M106="yes",Assumptions!$B$31*(N106-Assumptions!$B$10),0)</f>
        <v/>
      </c>
    </row>
    <row r="107">
      <c r="A107" t="inlineStr">
        <is>
          <t>iter 7</t>
        </is>
      </c>
      <c r="B107">
        <f>IF(Assumptions!$B$4&gt;(Assumptions!$B$4/B95)*N106,"preference","convert")</f>
        <v/>
      </c>
      <c r="C107">
        <f>IF(Assumptions!$B$45&gt;(Assumptions!$B$39+F95)*N106,"preference","convert")</f>
        <v/>
      </c>
      <c r="D107">
        <f>IF(Assumptions!$B$44&gt;(Assumptions!$B$38+E95)*N106,"preference","convert")</f>
        <v/>
      </c>
      <c r="E107">
        <f>IF(Assumptions!$B$43&gt;Assumptions!$B$36*N106,"preference","convert")</f>
        <v/>
      </c>
      <c r="F107">
        <f>IF(Assumptions!$B$42&gt;Assumptions!$B$35*N106,"preference","convert")</f>
        <v/>
      </c>
      <c r="G107">
        <f>IF(Assumptions!$B$41&gt;Assumptions!$B$34*N106,"preference","convert")</f>
        <v/>
      </c>
      <c r="H107">
        <f>IF(Assumptions!$B$40&gt;Assumptions!$B$33*N106,"preference","convert")</f>
        <v/>
      </c>
      <c r="I107">
        <f>IF(B107="preference",Assumptions!$B$4,0)+IF(C107="preference",Assumptions!$B$45,0)+IF(D107="preference",Assumptions!$B$44,0)+IF(E107="preference",Assumptions!$B$43,0)+IF(F107="preference",Assumptions!$B$42,0)+IF(G107="preference",Assumptions!$B$41,0)+IF(H107="preference",Assumptions!$B$40,0)</f>
        <v/>
      </c>
      <c r="J107">
        <f>IF(B107="convert",(Assumptions!$B$4/B95),0)+IF(C107="convert",(Assumptions!$B$39+F95),0)+IF(D107="convert",(Assumptions!$B$38+E95),0)+IF(E107="convert",Assumptions!$B$36,0)+IF(F107="convert",Assumptions!$B$35,0)+IF(G107="convert",Assumptions!$B$34,0)+IF(H107="convert",Assumptions!$B$33,0)</f>
        <v/>
      </c>
      <c r="K107">
        <f>(Assumptions!$B$46+Assumptions!$B$47+Assumptions!$B$48)+Assumptions!$B$49+(H95+I95)+J107</f>
        <v/>
      </c>
      <c r="L107">
        <f>(Assumptions!$B$13-I107+Assumptions!$B$31*Assumptions!$B$10)/(K107+Assumptions!$B$31)</f>
        <v/>
      </c>
      <c r="M107">
        <f>IF(L107&gt;Assumptions!$B$10,"yes","no")</f>
        <v/>
      </c>
      <c r="N107">
        <f>IF(M107="yes",L107,MAX(0,(Assumptions!$B$13-I107)/K107))</f>
        <v/>
      </c>
      <c r="O107">
        <f>IF(M107="yes",Assumptions!$B$31*(N107-Assumptions!$B$10),0)</f>
        <v/>
      </c>
    </row>
    <row r="108">
      <c r="A108" t="inlineStr">
        <is>
          <t>iter 8</t>
        </is>
      </c>
      <c r="B108">
        <f>IF(Assumptions!$B$4&gt;(Assumptions!$B$4/B95)*N107,"preference","convert")</f>
        <v/>
      </c>
      <c r="C108">
        <f>IF(Assumptions!$B$45&gt;(Assumptions!$B$39+F95)*N107,"preference","convert")</f>
        <v/>
      </c>
      <c r="D108">
        <f>IF(Assumptions!$B$44&gt;(Assumptions!$B$38+E95)*N107,"preference","convert")</f>
        <v/>
      </c>
      <c r="E108">
        <f>IF(Assumptions!$B$43&gt;Assumptions!$B$36*N107,"preference","convert")</f>
        <v/>
      </c>
      <c r="F108">
        <f>IF(Assumptions!$B$42&gt;Assumptions!$B$35*N107,"preference","convert")</f>
        <v/>
      </c>
      <c r="G108">
        <f>IF(Assumptions!$B$41&gt;Assumptions!$B$34*N107,"preference","convert")</f>
        <v/>
      </c>
      <c r="H108">
        <f>IF(Assumptions!$B$40&gt;Assumptions!$B$33*N107,"preference","convert")</f>
        <v/>
      </c>
      <c r="I108">
        <f>IF(B108="preference",Assumptions!$B$4,0)+IF(C108="preference",Assumptions!$B$45,0)+IF(D108="preference",Assumptions!$B$44,0)+IF(E108="preference",Assumptions!$B$43,0)+IF(F108="preference",Assumptions!$B$42,0)+IF(G108="preference",Assumptions!$B$41,0)+IF(H108="preference",Assumptions!$B$40,0)</f>
        <v/>
      </c>
      <c r="J108">
        <f>IF(B108="convert",(Assumptions!$B$4/B95),0)+IF(C108="convert",(Assumptions!$B$39+F95),0)+IF(D108="convert",(Assumptions!$B$38+E95),0)+IF(E108="convert",Assumptions!$B$36,0)+IF(F108="convert",Assumptions!$B$35,0)+IF(G108="convert",Assumptions!$B$34,0)+IF(H108="convert",Assumptions!$B$33,0)</f>
        <v/>
      </c>
      <c r="K108">
        <f>(Assumptions!$B$46+Assumptions!$B$47+Assumptions!$B$48)+Assumptions!$B$49+(H95+I95)+J108</f>
        <v/>
      </c>
      <c r="L108">
        <f>(Assumptions!$B$13-I108+Assumptions!$B$31*Assumptions!$B$10)/(K108+Assumptions!$B$31)</f>
        <v/>
      </c>
      <c r="M108">
        <f>IF(L108&gt;Assumptions!$B$10,"yes","no")</f>
        <v/>
      </c>
      <c r="N108">
        <f>IF(M108="yes",L108,MAX(0,(Assumptions!$B$13-I108)/K108))</f>
        <v/>
      </c>
      <c r="O108">
        <f>IF(M108="yes",Assumptions!$B$31*(N108-Assumptions!$B$10),0)</f>
        <v/>
      </c>
    </row>
    <row r="109">
      <c r="A109" t="inlineStr">
        <is>
          <t>iter 9</t>
        </is>
      </c>
      <c r="B109">
        <f>IF(Assumptions!$B$4&gt;(Assumptions!$B$4/B95)*N108,"preference","convert")</f>
        <v/>
      </c>
      <c r="C109">
        <f>IF(Assumptions!$B$45&gt;(Assumptions!$B$39+F95)*N108,"preference","convert")</f>
        <v/>
      </c>
      <c r="D109">
        <f>IF(Assumptions!$B$44&gt;(Assumptions!$B$38+E95)*N108,"preference","convert")</f>
        <v/>
      </c>
      <c r="E109">
        <f>IF(Assumptions!$B$43&gt;Assumptions!$B$36*N108,"preference","convert")</f>
        <v/>
      </c>
      <c r="F109">
        <f>IF(Assumptions!$B$42&gt;Assumptions!$B$35*N108,"preference","convert")</f>
        <v/>
      </c>
      <c r="G109">
        <f>IF(Assumptions!$B$41&gt;Assumptions!$B$34*N108,"preference","convert")</f>
        <v/>
      </c>
      <c r="H109">
        <f>IF(Assumptions!$B$40&gt;Assumptions!$B$33*N108,"preference","convert")</f>
        <v/>
      </c>
      <c r="I109">
        <f>IF(B109="preference",Assumptions!$B$4,0)+IF(C109="preference",Assumptions!$B$45,0)+IF(D109="preference",Assumptions!$B$44,0)+IF(E109="preference",Assumptions!$B$43,0)+IF(F109="preference",Assumptions!$B$42,0)+IF(G109="preference",Assumptions!$B$41,0)+IF(H109="preference",Assumptions!$B$40,0)</f>
        <v/>
      </c>
      <c r="J109">
        <f>IF(B109="convert",(Assumptions!$B$4/B95),0)+IF(C109="convert",(Assumptions!$B$39+F95),0)+IF(D109="convert",(Assumptions!$B$38+E95),0)+IF(E109="convert",Assumptions!$B$36,0)+IF(F109="convert",Assumptions!$B$35,0)+IF(G109="convert",Assumptions!$B$34,0)+IF(H109="convert",Assumptions!$B$33,0)</f>
        <v/>
      </c>
      <c r="K109">
        <f>(Assumptions!$B$46+Assumptions!$B$47+Assumptions!$B$48)+Assumptions!$B$49+(H95+I95)+J109</f>
        <v/>
      </c>
      <c r="L109">
        <f>(Assumptions!$B$13-I109+Assumptions!$B$31*Assumptions!$B$10)/(K109+Assumptions!$B$31)</f>
        <v/>
      </c>
      <c r="M109">
        <f>IF(L109&gt;Assumptions!$B$10,"yes","no")</f>
        <v/>
      </c>
      <c r="N109">
        <f>IF(M109="yes",L109,MAX(0,(Assumptions!$B$13-I109)/K109))</f>
        <v/>
      </c>
      <c r="O109">
        <f>IF(M109="yes",Assumptions!$B$31*(N109-Assumptions!$B$10),0)</f>
        <v/>
      </c>
    </row>
    <row r="110">
      <c r="A110" t="inlineStr">
        <is>
          <t>iter 10</t>
        </is>
      </c>
      <c r="B110">
        <f>IF(Assumptions!$B$4&gt;(Assumptions!$B$4/B95)*N109,"preference","convert")</f>
        <v/>
      </c>
      <c r="C110">
        <f>IF(Assumptions!$B$45&gt;(Assumptions!$B$39+F95)*N109,"preference","convert")</f>
        <v/>
      </c>
      <c r="D110">
        <f>IF(Assumptions!$B$44&gt;(Assumptions!$B$38+E95)*N109,"preference","convert")</f>
        <v/>
      </c>
      <c r="E110">
        <f>IF(Assumptions!$B$43&gt;Assumptions!$B$36*N109,"preference","convert")</f>
        <v/>
      </c>
      <c r="F110">
        <f>IF(Assumptions!$B$42&gt;Assumptions!$B$35*N109,"preference","convert")</f>
        <v/>
      </c>
      <c r="G110">
        <f>IF(Assumptions!$B$41&gt;Assumptions!$B$34*N109,"preference","convert")</f>
        <v/>
      </c>
      <c r="H110">
        <f>IF(Assumptions!$B$40&gt;Assumptions!$B$33*N109,"preference","convert")</f>
        <v/>
      </c>
      <c r="I110">
        <f>IF(B110="preference",Assumptions!$B$4,0)+IF(C110="preference",Assumptions!$B$45,0)+IF(D110="preference",Assumptions!$B$44,0)+IF(E110="preference",Assumptions!$B$43,0)+IF(F110="preference",Assumptions!$B$42,0)+IF(G110="preference",Assumptions!$B$41,0)+IF(H110="preference",Assumptions!$B$40,0)</f>
        <v/>
      </c>
      <c r="J110">
        <f>IF(B110="convert",(Assumptions!$B$4/B95),0)+IF(C110="convert",(Assumptions!$B$39+F95),0)+IF(D110="convert",(Assumptions!$B$38+E95),0)+IF(E110="convert",Assumptions!$B$36,0)+IF(F110="convert",Assumptions!$B$35,0)+IF(G110="convert",Assumptions!$B$34,0)+IF(H110="convert",Assumptions!$B$33,0)</f>
        <v/>
      </c>
      <c r="K110">
        <f>(Assumptions!$B$46+Assumptions!$B$47+Assumptions!$B$48)+Assumptions!$B$49+(H95+I95)+J110</f>
        <v/>
      </c>
      <c r="L110">
        <f>(Assumptions!$B$13-I110+Assumptions!$B$31*Assumptions!$B$10)/(K110+Assumptions!$B$31)</f>
        <v/>
      </c>
      <c r="M110">
        <f>IF(L110&gt;Assumptions!$B$10,"yes","no")</f>
        <v/>
      </c>
      <c r="N110">
        <f>IF(M110="yes",L110,MAX(0,(Assumptions!$B$13-I110)/K110))</f>
        <v/>
      </c>
      <c r="O110">
        <f>IF(M110="yes",Assumptions!$B$31*(N110-Assumptions!$B$10),0)</f>
        <v/>
      </c>
    </row>
    <row r="111">
      <c r="A111" t="inlineStr">
        <is>
          <t>iter 11</t>
        </is>
      </c>
      <c r="B111">
        <f>IF(Assumptions!$B$4&gt;(Assumptions!$B$4/B95)*N110,"preference","convert")</f>
        <v/>
      </c>
      <c r="C111">
        <f>IF(Assumptions!$B$45&gt;(Assumptions!$B$39+F95)*N110,"preference","convert")</f>
        <v/>
      </c>
      <c r="D111">
        <f>IF(Assumptions!$B$44&gt;(Assumptions!$B$38+E95)*N110,"preference","convert")</f>
        <v/>
      </c>
      <c r="E111">
        <f>IF(Assumptions!$B$43&gt;Assumptions!$B$36*N110,"preference","convert")</f>
        <v/>
      </c>
      <c r="F111">
        <f>IF(Assumptions!$B$42&gt;Assumptions!$B$35*N110,"preference","convert")</f>
        <v/>
      </c>
      <c r="G111">
        <f>IF(Assumptions!$B$41&gt;Assumptions!$B$34*N110,"preference","convert")</f>
        <v/>
      </c>
      <c r="H111">
        <f>IF(Assumptions!$B$40&gt;Assumptions!$B$33*N110,"preference","convert")</f>
        <v/>
      </c>
      <c r="I111">
        <f>IF(B111="preference",Assumptions!$B$4,0)+IF(C111="preference",Assumptions!$B$45,0)+IF(D111="preference",Assumptions!$B$44,0)+IF(E111="preference",Assumptions!$B$43,0)+IF(F111="preference",Assumptions!$B$42,0)+IF(G111="preference",Assumptions!$B$41,0)+IF(H111="preference",Assumptions!$B$40,0)</f>
        <v/>
      </c>
      <c r="J111">
        <f>IF(B111="convert",(Assumptions!$B$4/B95),0)+IF(C111="convert",(Assumptions!$B$39+F95),0)+IF(D111="convert",(Assumptions!$B$38+E95),0)+IF(E111="convert",Assumptions!$B$36,0)+IF(F111="convert",Assumptions!$B$35,0)+IF(G111="convert",Assumptions!$B$34,0)+IF(H111="convert",Assumptions!$B$33,0)</f>
        <v/>
      </c>
      <c r="K111">
        <f>(Assumptions!$B$46+Assumptions!$B$47+Assumptions!$B$48)+Assumptions!$B$49+(H95+I95)+J111</f>
        <v/>
      </c>
      <c r="L111">
        <f>(Assumptions!$B$13-I111+Assumptions!$B$31*Assumptions!$B$10)/(K111+Assumptions!$B$31)</f>
        <v/>
      </c>
      <c r="M111">
        <f>IF(L111&gt;Assumptions!$B$10,"yes","no")</f>
        <v/>
      </c>
      <c r="N111">
        <f>IF(M111="yes",L111,MAX(0,(Assumptions!$B$13-I111)/K111))</f>
        <v/>
      </c>
      <c r="O111">
        <f>IF(M111="yes",Assumptions!$B$31*(N111-Assumptions!$B$10),0)</f>
        <v/>
      </c>
    </row>
    <row r="112">
      <c r="A112" t="inlineStr">
        <is>
          <t>iter 12</t>
        </is>
      </c>
      <c r="B112">
        <f>IF(Assumptions!$B$4&gt;(Assumptions!$B$4/B95)*N111,"preference","convert")</f>
        <v/>
      </c>
      <c r="C112">
        <f>IF(Assumptions!$B$45&gt;(Assumptions!$B$39+F95)*N111,"preference","convert")</f>
        <v/>
      </c>
      <c r="D112">
        <f>IF(Assumptions!$B$44&gt;(Assumptions!$B$38+E95)*N111,"preference","convert")</f>
        <v/>
      </c>
      <c r="E112">
        <f>IF(Assumptions!$B$43&gt;Assumptions!$B$36*N111,"preference","convert")</f>
        <v/>
      </c>
      <c r="F112">
        <f>IF(Assumptions!$B$42&gt;Assumptions!$B$35*N111,"preference","convert")</f>
        <v/>
      </c>
      <c r="G112">
        <f>IF(Assumptions!$B$41&gt;Assumptions!$B$34*N111,"preference","convert")</f>
        <v/>
      </c>
      <c r="H112">
        <f>IF(Assumptions!$B$40&gt;Assumptions!$B$33*N111,"preference","convert")</f>
        <v/>
      </c>
      <c r="I112">
        <f>IF(B112="preference",Assumptions!$B$4,0)+IF(C112="preference",Assumptions!$B$45,0)+IF(D112="preference",Assumptions!$B$44,0)+IF(E112="preference",Assumptions!$B$43,0)+IF(F112="preference",Assumptions!$B$42,0)+IF(G112="preference",Assumptions!$B$41,0)+IF(H112="preference",Assumptions!$B$40,0)</f>
        <v/>
      </c>
      <c r="J112">
        <f>IF(B112="convert",(Assumptions!$B$4/B95),0)+IF(C112="convert",(Assumptions!$B$39+F95),0)+IF(D112="convert",(Assumptions!$B$38+E95),0)+IF(E112="convert",Assumptions!$B$36,0)+IF(F112="convert",Assumptions!$B$35,0)+IF(G112="convert",Assumptions!$B$34,0)+IF(H112="convert",Assumptions!$B$33,0)</f>
        <v/>
      </c>
      <c r="K112">
        <f>(Assumptions!$B$46+Assumptions!$B$47+Assumptions!$B$48)+Assumptions!$B$49+(H95+I95)+J112</f>
        <v/>
      </c>
      <c r="L112">
        <f>(Assumptions!$B$13-I112+Assumptions!$B$31*Assumptions!$B$10)/(K112+Assumptions!$B$31)</f>
        <v/>
      </c>
      <c r="M112">
        <f>IF(L112&gt;Assumptions!$B$10,"yes","no")</f>
        <v/>
      </c>
      <c r="N112">
        <f>IF(M112="yes",L112,MAX(0,(Assumptions!$B$13-I112)/K112))</f>
        <v/>
      </c>
      <c r="O112">
        <f>IF(M112="yes",Assumptions!$B$31*(N112-Assumptions!$B$10),0)</f>
        <v/>
      </c>
    </row>
    <row r="113">
      <c r="A113" t="inlineStr">
        <is>
          <t>iter 13</t>
        </is>
      </c>
      <c r="B113">
        <f>IF(Assumptions!$B$4&gt;(Assumptions!$B$4/B95)*N112,"preference","convert")</f>
        <v/>
      </c>
      <c r="C113">
        <f>IF(Assumptions!$B$45&gt;(Assumptions!$B$39+F95)*N112,"preference","convert")</f>
        <v/>
      </c>
      <c r="D113">
        <f>IF(Assumptions!$B$44&gt;(Assumptions!$B$38+E95)*N112,"preference","convert")</f>
        <v/>
      </c>
      <c r="E113">
        <f>IF(Assumptions!$B$43&gt;Assumptions!$B$36*N112,"preference","convert")</f>
        <v/>
      </c>
      <c r="F113">
        <f>IF(Assumptions!$B$42&gt;Assumptions!$B$35*N112,"preference","convert")</f>
        <v/>
      </c>
      <c r="G113">
        <f>IF(Assumptions!$B$41&gt;Assumptions!$B$34*N112,"preference","convert")</f>
        <v/>
      </c>
      <c r="H113">
        <f>IF(Assumptions!$B$40&gt;Assumptions!$B$33*N112,"preference","convert")</f>
        <v/>
      </c>
      <c r="I113">
        <f>IF(B113="preference",Assumptions!$B$4,0)+IF(C113="preference",Assumptions!$B$45,0)+IF(D113="preference",Assumptions!$B$44,0)+IF(E113="preference",Assumptions!$B$43,0)+IF(F113="preference",Assumptions!$B$42,0)+IF(G113="preference",Assumptions!$B$41,0)+IF(H113="preference",Assumptions!$B$40,0)</f>
        <v/>
      </c>
      <c r="J113">
        <f>IF(B113="convert",(Assumptions!$B$4/B95),0)+IF(C113="convert",(Assumptions!$B$39+F95),0)+IF(D113="convert",(Assumptions!$B$38+E95),0)+IF(E113="convert",Assumptions!$B$36,0)+IF(F113="convert",Assumptions!$B$35,0)+IF(G113="convert",Assumptions!$B$34,0)+IF(H113="convert",Assumptions!$B$33,0)</f>
        <v/>
      </c>
      <c r="K113">
        <f>(Assumptions!$B$46+Assumptions!$B$47+Assumptions!$B$48)+Assumptions!$B$49+(H95+I95)+J113</f>
        <v/>
      </c>
      <c r="L113">
        <f>(Assumptions!$B$13-I113+Assumptions!$B$31*Assumptions!$B$10)/(K113+Assumptions!$B$31)</f>
        <v/>
      </c>
      <c r="M113">
        <f>IF(L113&gt;Assumptions!$B$10,"yes","no")</f>
        <v/>
      </c>
      <c r="N113">
        <f>IF(M113="yes",L113,MAX(0,(Assumptions!$B$13-I113)/K113))</f>
        <v/>
      </c>
      <c r="O113">
        <f>IF(M113="yes",Assumptions!$B$31*(N113-Assumptions!$B$10),0)</f>
        <v/>
      </c>
    </row>
    <row r="114">
      <c r="A114" t="inlineStr">
        <is>
          <t>iter 14</t>
        </is>
      </c>
      <c r="B114">
        <f>IF(Assumptions!$B$4&gt;(Assumptions!$B$4/B95)*N113,"preference","convert")</f>
        <v/>
      </c>
      <c r="C114">
        <f>IF(Assumptions!$B$45&gt;(Assumptions!$B$39+F95)*N113,"preference","convert")</f>
        <v/>
      </c>
      <c r="D114">
        <f>IF(Assumptions!$B$44&gt;(Assumptions!$B$38+E95)*N113,"preference","convert")</f>
        <v/>
      </c>
      <c r="E114">
        <f>IF(Assumptions!$B$43&gt;Assumptions!$B$36*N113,"preference","convert")</f>
        <v/>
      </c>
      <c r="F114">
        <f>IF(Assumptions!$B$42&gt;Assumptions!$B$35*N113,"preference","convert")</f>
        <v/>
      </c>
      <c r="G114">
        <f>IF(Assumptions!$B$41&gt;Assumptions!$B$34*N113,"preference","convert")</f>
        <v/>
      </c>
      <c r="H114">
        <f>IF(Assumptions!$B$40&gt;Assumptions!$B$33*N113,"preference","convert")</f>
        <v/>
      </c>
      <c r="I114">
        <f>IF(B114="preference",Assumptions!$B$4,0)+IF(C114="preference",Assumptions!$B$45,0)+IF(D114="preference",Assumptions!$B$44,0)+IF(E114="preference",Assumptions!$B$43,0)+IF(F114="preference",Assumptions!$B$42,0)+IF(G114="preference",Assumptions!$B$41,0)+IF(H114="preference",Assumptions!$B$40,0)</f>
        <v/>
      </c>
      <c r="J114">
        <f>IF(B114="convert",(Assumptions!$B$4/B95),0)+IF(C114="convert",(Assumptions!$B$39+F95),0)+IF(D114="convert",(Assumptions!$B$38+E95),0)+IF(E114="convert",Assumptions!$B$36,0)+IF(F114="convert",Assumptions!$B$35,0)+IF(G114="convert",Assumptions!$B$34,0)+IF(H114="convert",Assumptions!$B$33,0)</f>
        <v/>
      </c>
      <c r="K114">
        <f>(Assumptions!$B$46+Assumptions!$B$47+Assumptions!$B$48)+Assumptions!$B$49+(H95+I95)+J114</f>
        <v/>
      </c>
      <c r="L114">
        <f>(Assumptions!$B$13-I114+Assumptions!$B$31*Assumptions!$B$10)/(K114+Assumptions!$B$31)</f>
        <v/>
      </c>
      <c r="M114">
        <f>IF(L114&gt;Assumptions!$B$10,"yes","no")</f>
        <v/>
      </c>
      <c r="N114">
        <f>IF(M114="yes",L114,MAX(0,(Assumptions!$B$13-I114)/K114))</f>
        <v/>
      </c>
      <c r="O114">
        <f>IF(M114="yes",Assumptions!$B$31*(N114-Assumptions!$B$10),0)</f>
        <v/>
      </c>
    </row>
    <row r="115">
      <c r="A115" t="inlineStr">
        <is>
          <t>iter 15</t>
        </is>
      </c>
      <c r="B115">
        <f>IF(Assumptions!$B$4&gt;(Assumptions!$B$4/B95)*N114,"preference","convert")</f>
        <v/>
      </c>
      <c r="C115">
        <f>IF(Assumptions!$B$45&gt;(Assumptions!$B$39+F95)*N114,"preference","convert")</f>
        <v/>
      </c>
      <c r="D115">
        <f>IF(Assumptions!$B$44&gt;(Assumptions!$B$38+E95)*N114,"preference","convert")</f>
        <v/>
      </c>
      <c r="E115">
        <f>IF(Assumptions!$B$43&gt;Assumptions!$B$36*N114,"preference","convert")</f>
        <v/>
      </c>
      <c r="F115">
        <f>IF(Assumptions!$B$42&gt;Assumptions!$B$35*N114,"preference","convert")</f>
        <v/>
      </c>
      <c r="G115">
        <f>IF(Assumptions!$B$41&gt;Assumptions!$B$34*N114,"preference","convert")</f>
        <v/>
      </c>
      <c r="H115">
        <f>IF(Assumptions!$B$40&gt;Assumptions!$B$33*N114,"preference","convert")</f>
        <v/>
      </c>
      <c r="I115">
        <f>IF(B115="preference",Assumptions!$B$4,0)+IF(C115="preference",Assumptions!$B$45,0)+IF(D115="preference",Assumptions!$B$44,0)+IF(E115="preference",Assumptions!$B$43,0)+IF(F115="preference",Assumptions!$B$42,0)+IF(G115="preference",Assumptions!$B$41,0)+IF(H115="preference",Assumptions!$B$40,0)</f>
        <v/>
      </c>
      <c r="J115">
        <f>IF(B115="convert",(Assumptions!$B$4/B95),0)+IF(C115="convert",(Assumptions!$B$39+F95),0)+IF(D115="convert",(Assumptions!$B$38+E95),0)+IF(E115="convert",Assumptions!$B$36,0)+IF(F115="convert",Assumptions!$B$35,0)+IF(G115="convert",Assumptions!$B$34,0)+IF(H115="convert",Assumptions!$B$33,0)</f>
        <v/>
      </c>
      <c r="K115">
        <f>(Assumptions!$B$46+Assumptions!$B$47+Assumptions!$B$48)+Assumptions!$B$49+(H95+I95)+J115</f>
        <v/>
      </c>
      <c r="L115">
        <f>(Assumptions!$B$13-I115+Assumptions!$B$31*Assumptions!$B$10)/(K115+Assumptions!$B$31)</f>
        <v/>
      </c>
      <c r="M115">
        <f>IF(L115&gt;Assumptions!$B$10,"yes","no")</f>
        <v/>
      </c>
      <c r="N115">
        <f>IF(M115="yes",L115,MAX(0,(Assumptions!$B$13-I115)/K115))</f>
        <v/>
      </c>
      <c r="O115">
        <f>IF(M115="yes",Assumptions!$B$31*(N115-Assumptions!$B$10),0)</f>
        <v/>
      </c>
    </row>
    <row r="116">
      <c r="A116" t="inlineStr">
        <is>
          <t>iter 16</t>
        </is>
      </c>
      <c r="B116">
        <f>IF(Assumptions!$B$4&gt;(Assumptions!$B$4/B95)*N115,"preference","convert")</f>
        <v/>
      </c>
      <c r="C116">
        <f>IF(Assumptions!$B$45&gt;(Assumptions!$B$39+F95)*N115,"preference","convert")</f>
        <v/>
      </c>
      <c r="D116">
        <f>IF(Assumptions!$B$44&gt;(Assumptions!$B$38+E95)*N115,"preference","convert")</f>
        <v/>
      </c>
      <c r="E116">
        <f>IF(Assumptions!$B$43&gt;Assumptions!$B$36*N115,"preference","convert")</f>
        <v/>
      </c>
      <c r="F116">
        <f>IF(Assumptions!$B$42&gt;Assumptions!$B$35*N115,"preference","convert")</f>
        <v/>
      </c>
      <c r="G116">
        <f>IF(Assumptions!$B$41&gt;Assumptions!$B$34*N115,"preference","convert")</f>
        <v/>
      </c>
      <c r="H116">
        <f>IF(Assumptions!$B$40&gt;Assumptions!$B$33*N115,"preference","convert")</f>
        <v/>
      </c>
      <c r="I116">
        <f>IF(B116="preference",Assumptions!$B$4,0)+IF(C116="preference",Assumptions!$B$45,0)+IF(D116="preference",Assumptions!$B$44,0)+IF(E116="preference",Assumptions!$B$43,0)+IF(F116="preference",Assumptions!$B$42,0)+IF(G116="preference",Assumptions!$B$41,0)+IF(H116="preference",Assumptions!$B$40,0)</f>
        <v/>
      </c>
      <c r="J116">
        <f>IF(B116="convert",(Assumptions!$B$4/B95),0)+IF(C116="convert",(Assumptions!$B$39+F95),0)+IF(D116="convert",(Assumptions!$B$38+E95),0)+IF(E116="convert",Assumptions!$B$36,0)+IF(F116="convert",Assumptions!$B$35,0)+IF(G116="convert",Assumptions!$B$34,0)+IF(H116="convert",Assumptions!$B$33,0)</f>
        <v/>
      </c>
      <c r="K116">
        <f>(Assumptions!$B$46+Assumptions!$B$47+Assumptions!$B$48)+Assumptions!$B$49+(H95+I95)+J116</f>
        <v/>
      </c>
      <c r="L116">
        <f>(Assumptions!$B$13-I116+Assumptions!$B$31*Assumptions!$B$10)/(K116+Assumptions!$B$31)</f>
        <v/>
      </c>
      <c r="M116">
        <f>IF(L116&gt;Assumptions!$B$10,"yes","no")</f>
        <v/>
      </c>
      <c r="N116">
        <f>IF(M116="yes",L116,MAX(0,(Assumptions!$B$13-I116)/K116))</f>
        <v/>
      </c>
      <c r="O116">
        <f>IF(M116="yes",Assumptions!$B$31*(N116-Assumptions!$B$10),0)</f>
        <v/>
      </c>
    </row>
    <row r="117">
      <c r="A117" t="inlineStr">
        <is>
          <t>iter 17</t>
        </is>
      </c>
      <c r="B117">
        <f>IF(Assumptions!$B$4&gt;(Assumptions!$B$4/B95)*N116,"preference","convert")</f>
        <v/>
      </c>
      <c r="C117">
        <f>IF(Assumptions!$B$45&gt;(Assumptions!$B$39+F95)*N116,"preference","convert")</f>
        <v/>
      </c>
      <c r="D117">
        <f>IF(Assumptions!$B$44&gt;(Assumptions!$B$38+E95)*N116,"preference","convert")</f>
        <v/>
      </c>
      <c r="E117">
        <f>IF(Assumptions!$B$43&gt;Assumptions!$B$36*N116,"preference","convert")</f>
        <v/>
      </c>
      <c r="F117">
        <f>IF(Assumptions!$B$42&gt;Assumptions!$B$35*N116,"preference","convert")</f>
        <v/>
      </c>
      <c r="G117">
        <f>IF(Assumptions!$B$41&gt;Assumptions!$B$34*N116,"preference","convert")</f>
        <v/>
      </c>
      <c r="H117">
        <f>IF(Assumptions!$B$40&gt;Assumptions!$B$33*N116,"preference","convert")</f>
        <v/>
      </c>
      <c r="I117">
        <f>IF(B117="preference",Assumptions!$B$4,0)+IF(C117="preference",Assumptions!$B$45,0)+IF(D117="preference",Assumptions!$B$44,0)+IF(E117="preference",Assumptions!$B$43,0)+IF(F117="preference",Assumptions!$B$42,0)+IF(G117="preference",Assumptions!$B$41,0)+IF(H117="preference",Assumptions!$B$40,0)</f>
        <v/>
      </c>
      <c r="J117">
        <f>IF(B117="convert",(Assumptions!$B$4/B95),0)+IF(C117="convert",(Assumptions!$B$39+F95),0)+IF(D117="convert",(Assumptions!$B$38+E95),0)+IF(E117="convert",Assumptions!$B$36,0)+IF(F117="convert",Assumptions!$B$35,0)+IF(G117="convert",Assumptions!$B$34,0)+IF(H117="convert",Assumptions!$B$33,0)</f>
        <v/>
      </c>
      <c r="K117">
        <f>(Assumptions!$B$46+Assumptions!$B$47+Assumptions!$B$48)+Assumptions!$B$49+(H95+I95)+J117</f>
        <v/>
      </c>
      <c r="L117">
        <f>(Assumptions!$B$13-I117+Assumptions!$B$31*Assumptions!$B$10)/(K117+Assumptions!$B$31)</f>
        <v/>
      </c>
      <c r="M117">
        <f>IF(L117&gt;Assumptions!$B$10,"yes","no")</f>
        <v/>
      </c>
      <c r="N117">
        <f>IF(M117="yes",L117,MAX(0,(Assumptions!$B$13-I117)/K117))</f>
        <v/>
      </c>
      <c r="O117">
        <f>IF(M117="yes",Assumptions!$B$31*(N117-Assumptions!$B$10),0)</f>
        <v/>
      </c>
    </row>
    <row r="118">
      <c r="A118" t="inlineStr">
        <is>
          <t>iter 18</t>
        </is>
      </c>
      <c r="B118">
        <f>IF(Assumptions!$B$4&gt;(Assumptions!$B$4/B95)*N117,"preference","convert")</f>
        <v/>
      </c>
      <c r="C118">
        <f>IF(Assumptions!$B$45&gt;(Assumptions!$B$39+F95)*N117,"preference","convert")</f>
        <v/>
      </c>
      <c r="D118">
        <f>IF(Assumptions!$B$44&gt;(Assumptions!$B$38+E95)*N117,"preference","convert")</f>
        <v/>
      </c>
      <c r="E118">
        <f>IF(Assumptions!$B$43&gt;Assumptions!$B$36*N117,"preference","convert")</f>
        <v/>
      </c>
      <c r="F118">
        <f>IF(Assumptions!$B$42&gt;Assumptions!$B$35*N117,"preference","convert")</f>
        <v/>
      </c>
      <c r="G118">
        <f>IF(Assumptions!$B$41&gt;Assumptions!$B$34*N117,"preference","convert")</f>
        <v/>
      </c>
      <c r="H118">
        <f>IF(Assumptions!$B$40&gt;Assumptions!$B$33*N117,"preference","convert")</f>
        <v/>
      </c>
      <c r="I118">
        <f>IF(B118="preference",Assumptions!$B$4,0)+IF(C118="preference",Assumptions!$B$45,0)+IF(D118="preference",Assumptions!$B$44,0)+IF(E118="preference",Assumptions!$B$43,0)+IF(F118="preference",Assumptions!$B$42,0)+IF(G118="preference",Assumptions!$B$41,0)+IF(H118="preference",Assumptions!$B$40,0)</f>
        <v/>
      </c>
      <c r="J118">
        <f>IF(B118="convert",(Assumptions!$B$4/B95),0)+IF(C118="convert",(Assumptions!$B$39+F95),0)+IF(D118="convert",(Assumptions!$B$38+E95),0)+IF(E118="convert",Assumptions!$B$36,0)+IF(F118="convert",Assumptions!$B$35,0)+IF(G118="convert",Assumptions!$B$34,0)+IF(H118="convert",Assumptions!$B$33,0)</f>
        <v/>
      </c>
      <c r="K118">
        <f>(Assumptions!$B$46+Assumptions!$B$47+Assumptions!$B$48)+Assumptions!$B$49+(H95+I95)+J118</f>
        <v/>
      </c>
      <c r="L118">
        <f>(Assumptions!$B$13-I118+Assumptions!$B$31*Assumptions!$B$10)/(K118+Assumptions!$B$31)</f>
        <v/>
      </c>
      <c r="M118">
        <f>IF(L118&gt;Assumptions!$B$10,"yes","no")</f>
        <v/>
      </c>
      <c r="N118">
        <f>IF(M118="yes",L118,MAX(0,(Assumptions!$B$13-I118)/K118))</f>
        <v/>
      </c>
      <c r="O118">
        <f>IF(M118="yes",Assumptions!$B$31*(N118-Assumptions!$B$10),0)</f>
        <v/>
      </c>
    </row>
    <row r="119">
      <c r="A119" t="inlineStr">
        <is>
          <t>iter 19</t>
        </is>
      </c>
      <c r="B119">
        <f>IF(Assumptions!$B$4&gt;(Assumptions!$B$4/B95)*N118,"preference","convert")</f>
        <v/>
      </c>
      <c r="C119">
        <f>IF(Assumptions!$B$45&gt;(Assumptions!$B$39+F95)*N118,"preference","convert")</f>
        <v/>
      </c>
      <c r="D119">
        <f>IF(Assumptions!$B$44&gt;(Assumptions!$B$38+E95)*N118,"preference","convert")</f>
        <v/>
      </c>
      <c r="E119">
        <f>IF(Assumptions!$B$43&gt;Assumptions!$B$36*N118,"preference","convert")</f>
        <v/>
      </c>
      <c r="F119">
        <f>IF(Assumptions!$B$42&gt;Assumptions!$B$35*N118,"preference","convert")</f>
        <v/>
      </c>
      <c r="G119">
        <f>IF(Assumptions!$B$41&gt;Assumptions!$B$34*N118,"preference","convert")</f>
        <v/>
      </c>
      <c r="H119">
        <f>IF(Assumptions!$B$40&gt;Assumptions!$B$33*N118,"preference","convert")</f>
        <v/>
      </c>
      <c r="I119">
        <f>IF(B119="preference",Assumptions!$B$4,0)+IF(C119="preference",Assumptions!$B$45,0)+IF(D119="preference",Assumptions!$B$44,0)+IF(E119="preference",Assumptions!$B$43,0)+IF(F119="preference",Assumptions!$B$42,0)+IF(G119="preference",Assumptions!$B$41,0)+IF(H119="preference",Assumptions!$B$40,0)</f>
        <v/>
      </c>
      <c r="J119">
        <f>IF(B119="convert",(Assumptions!$B$4/B95),0)+IF(C119="convert",(Assumptions!$B$39+F95),0)+IF(D119="convert",(Assumptions!$B$38+E95),0)+IF(E119="convert",Assumptions!$B$36,0)+IF(F119="convert",Assumptions!$B$35,0)+IF(G119="convert",Assumptions!$B$34,0)+IF(H119="convert",Assumptions!$B$33,0)</f>
        <v/>
      </c>
      <c r="K119">
        <f>(Assumptions!$B$46+Assumptions!$B$47+Assumptions!$B$48)+Assumptions!$B$49+(H95+I95)+J119</f>
        <v/>
      </c>
      <c r="L119">
        <f>(Assumptions!$B$13-I119+Assumptions!$B$31*Assumptions!$B$10)/(K119+Assumptions!$B$31)</f>
        <v/>
      </c>
      <c r="M119">
        <f>IF(L119&gt;Assumptions!$B$10,"yes","no")</f>
        <v/>
      </c>
      <c r="N119">
        <f>IF(M119="yes",L119,MAX(0,(Assumptions!$B$13-I119)/K119))</f>
        <v/>
      </c>
      <c r="O119">
        <f>IF(M119="yes",Assumptions!$B$31*(N119-Assumptions!$B$10),0)</f>
        <v/>
      </c>
    </row>
    <row r="120">
      <c r="A120" t="inlineStr">
        <is>
          <t>iter 20</t>
        </is>
      </c>
      <c r="B120">
        <f>IF(Assumptions!$B$4&gt;(Assumptions!$B$4/B95)*N119,"preference","convert")</f>
        <v/>
      </c>
      <c r="C120">
        <f>IF(Assumptions!$B$45&gt;(Assumptions!$B$39+F95)*N119,"preference","convert")</f>
        <v/>
      </c>
      <c r="D120">
        <f>IF(Assumptions!$B$44&gt;(Assumptions!$B$38+E95)*N119,"preference","convert")</f>
        <v/>
      </c>
      <c r="E120">
        <f>IF(Assumptions!$B$43&gt;Assumptions!$B$36*N119,"preference","convert")</f>
        <v/>
      </c>
      <c r="F120">
        <f>IF(Assumptions!$B$42&gt;Assumptions!$B$35*N119,"preference","convert")</f>
        <v/>
      </c>
      <c r="G120">
        <f>IF(Assumptions!$B$41&gt;Assumptions!$B$34*N119,"preference","convert")</f>
        <v/>
      </c>
      <c r="H120">
        <f>IF(Assumptions!$B$40&gt;Assumptions!$B$33*N119,"preference","convert")</f>
        <v/>
      </c>
      <c r="I120">
        <f>IF(B120="preference",Assumptions!$B$4,0)+IF(C120="preference",Assumptions!$B$45,0)+IF(D120="preference",Assumptions!$B$44,0)+IF(E120="preference",Assumptions!$B$43,0)+IF(F120="preference",Assumptions!$B$42,0)+IF(G120="preference",Assumptions!$B$41,0)+IF(H120="preference",Assumptions!$B$40,0)</f>
        <v/>
      </c>
      <c r="J120">
        <f>IF(B120="convert",(Assumptions!$B$4/B95),0)+IF(C120="convert",(Assumptions!$B$39+F95),0)+IF(D120="convert",(Assumptions!$B$38+E95),0)+IF(E120="convert",Assumptions!$B$36,0)+IF(F120="convert",Assumptions!$B$35,0)+IF(G120="convert",Assumptions!$B$34,0)+IF(H120="convert",Assumptions!$B$33,0)</f>
        <v/>
      </c>
      <c r="K120">
        <f>(Assumptions!$B$46+Assumptions!$B$47+Assumptions!$B$48)+Assumptions!$B$49+(H95+I95)+J120</f>
        <v/>
      </c>
      <c r="L120">
        <f>(Assumptions!$B$13-I120+Assumptions!$B$31*Assumptions!$B$10)/(K120+Assumptions!$B$31)</f>
        <v/>
      </c>
      <c r="M120">
        <f>IF(L120&gt;Assumptions!$B$10,"yes","no")</f>
        <v/>
      </c>
      <c r="N120">
        <f>IF(M120="yes",L120,MAX(0,(Assumptions!$B$13-I120)/K120))</f>
        <v/>
      </c>
      <c r="O120">
        <f>IF(M120="yes",Assumptions!$B$31*(N120-Assumptions!$B$10),0)</f>
        <v/>
      </c>
    </row>
    <row r="121">
      <c r="A121" t="inlineStr">
        <is>
          <t>iter 21</t>
        </is>
      </c>
      <c r="B121">
        <f>IF(Assumptions!$B$4&gt;(Assumptions!$B$4/B95)*N120,"preference","convert")</f>
        <v/>
      </c>
      <c r="C121">
        <f>IF(Assumptions!$B$45&gt;(Assumptions!$B$39+F95)*N120,"preference","convert")</f>
        <v/>
      </c>
      <c r="D121">
        <f>IF(Assumptions!$B$44&gt;(Assumptions!$B$38+E95)*N120,"preference","convert")</f>
        <v/>
      </c>
      <c r="E121">
        <f>IF(Assumptions!$B$43&gt;Assumptions!$B$36*N120,"preference","convert")</f>
        <v/>
      </c>
      <c r="F121">
        <f>IF(Assumptions!$B$42&gt;Assumptions!$B$35*N120,"preference","convert")</f>
        <v/>
      </c>
      <c r="G121">
        <f>IF(Assumptions!$B$41&gt;Assumptions!$B$34*N120,"preference","convert")</f>
        <v/>
      </c>
      <c r="H121">
        <f>IF(Assumptions!$B$40&gt;Assumptions!$B$33*N120,"preference","convert")</f>
        <v/>
      </c>
      <c r="I121">
        <f>IF(B121="preference",Assumptions!$B$4,0)+IF(C121="preference",Assumptions!$B$45,0)+IF(D121="preference",Assumptions!$B$44,0)+IF(E121="preference",Assumptions!$B$43,0)+IF(F121="preference",Assumptions!$B$42,0)+IF(G121="preference",Assumptions!$B$41,0)+IF(H121="preference",Assumptions!$B$40,0)</f>
        <v/>
      </c>
      <c r="J121">
        <f>IF(B121="convert",(Assumptions!$B$4/B95),0)+IF(C121="convert",(Assumptions!$B$39+F95),0)+IF(D121="convert",(Assumptions!$B$38+E95),0)+IF(E121="convert",Assumptions!$B$36,0)+IF(F121="convert",Assumptions!$B$35,0)+IF(G121="convert",Assumptions!$B$34,0)+IF(H121="convert",Assumptions!$B$33,0)</f>
        <v/>
      </c>
      <c r="K121">
        <f>(Assumptions!$B$46+Assumptions!$B$47+Assumptions!$B$48)+Assumptions!$B$49+(H95+I95)+J121</f>
        <v/>
      </c>
      <c r="L121">
        <f>(Assumptions!$B$13-I121+Assumptions!$B$31*Assumptions!$B$10)/(K121+Assumptions!$B$31)</f>
        <v/>
      </c>
      <c r="M121">
        <f>IF(L121&gt;Assumptions!$B$10,"yes","no")</f>
        <v/>
      </c>
      <c r="N121">
        <f>IF(M121="yes",L121,MAX(0,(Assumptions!$B$13-I121)/K121))</f>
        <v/>
      </c>
      <c r="O121">
        <f>IF(M121="yes",Assumptions!$B$31*(N121-Assumptions!$B$10),0)</f>
        <v/>
      </c>
    </row>
    <row r="122">
      <c r="A122" t="inlineStr">
        <is>
          <t>iter 22</t>
        </is>
      </c>
      <c r="B122">
        <f>IF(Assumptions!$B$4&gt;(Assumptions!$B$4/B95)*N121,"preference","convert")</f>
        <v/>
      </c>
      <c r="C122">
        <f>IF(Assumptions!$B$45&gt;(Assumptions!$B$39+F95)*N121,"preference","convert")</f>
        <v/>
      </c>
      <c r="D122">
        <f>IF(Assumptions!$B$44&gt;(Assumptions!$B$38+E95)*N121,"preference","convert")</f>
        <v/>
      </c>
      <c r="E122">
        <f>IF(Assumptions!$B$43&gt;Assumptions!$B$36*N121,"preference","convert")</f>
        <v/>
      </c>
      <c r="F122">
        <f>IF(Assumptions!$B$42&gt;Assumptions!$B$35*N121,"preference","convert")</f>
        <v/>
      </c>
      <c r="G122">
        <f>IF(Assumptions!$B$41&gt;Assumptions!$B$34*N121,"preference","convert")</f>
        <v/>
      </c>
      <c r="H122">
        <f>IF(Assumptions!$B$40&gt;Assumptions!$B$33*N121,"preference","convert")</f>
        <v/>
      </c>
      <c r="I122">
        <f>IF(B122="preference",Assumptions!$B$4,0)+IF(C122="preference",Assumptions!$B$45,0)+IF(D122="preference",Assumptions!$B$44,0)+IF(E122="preference",Assumptions!$B$43,0)+IF(F122="preference",Assumptions!$B$42,0)+IF(G122="preference",Assumptions!$B$41,0)+IF(H122="preference",Assumptions!$B$40,0)</f>
        <v/>
      </c>
      <c r="J122">
        <f>IF(B122="convert",(Assumptions!$B$4/B95),0)+IF(C122="convert",(Assumptions!$B$39+F95),0)+IF(D122="convert",(Assumptions!$B$38+E95),0)+IF(E122="convert",Assumptions!$B$36,0)+IF(F122="convert",Assumptions!$B$35,0)+IF(G122="convert",Assumptions!$B$34,0)+IF(H122="convert",Assumptions!$B$33,0)</f>
        <v/>
      </c>
      <c r="K122">
        <f>(Assumptions!$B$46+Assumptions!$B$47+Assumptions!$B$48)+Assumptions!$B$49+(H95+I95)+J122</f>
        <v/>
      </c>
      <c r="L122">
        <f>(Assumptions!$B$13-I122+Assumptions!$B$31*Assumptions!$B$10)/(K122+Assumptions!$B$31)</f>
        <v/>
      </c>
      <c r="M122">
        <f>IF(L122&gt;Assumptions!$B$10,"yes","no")</f>
        <v/>
      </c>
      <c r="N122">
        <f>IF(M122="yes",L122,MAX(0,(Assumptions!$B$13-I122)/K122))</f>
        <v/>
      </c>
      <c r="O122">
        <f>IF(M122="yes",Assumptions!$B$31*(N122-Assumptions!$B$10),0)</f>
        <v/>
      </c>
    </row>
    <row r="123">
      <c r="A123" t="inlineStr">
        <is>
          <t>iter 23</t>
        </is>
      </c>
      <c r="B123">
        <f>IF(Assumptions!$B$4&gt;(Assumptions!$B$4/B95)*N122,"preference","convert")</f>
        <v/>
      </c>
      <c r="C123">
        <f>IF(Assumptions!$B$45&gt;(Assumptions!$B$39+F95)*N122,"preference","convert")</f>
        <v/>
      </c>
      <c r="D123">
        <f>IF(Assumptions!$B$44&gt;(Assumptions!$B$38+E95)*N122,"preference","convert")</f>
        <v/>
      </c>
      <c r="E123">
        <f>IF(Assumptions!$B$43&gt;Assumptions!$B$36*N122,"preference","convert")</f>
        <v/>
      </c>
      <c r="F123">
        <f>IF(Assumptions!$B$42&gt;Assumptions!$B$35*N122,"preference","convert")</f>
        <v/>
      </c>
      <c r="G123">
        <f>IF(Assumptions!$B$41&gt;Assumptions!$B$34*N122,"preference","convert")</f>
        <v/>
      </c>
      <c r="H123">
        <f>IF(Assumptions!$B$40&gt;Assumptions!$B$33*N122,"preference","convert")</f>
        <v/>
      </c>
      <c r="I123">
        <f>IF(B123="preference",Assumptions!$B$4,0)+IF(C123="preference",Assumptions!$B$45,0)+IF(D123="preference",Assumptions!$B$44,0)+IF(E123="preference",Assumptions!$B$43,0)+IF(F123="preference",Assumptions!$B$42,0)+IF(G123="preference",Assumptions!$B$41,0)+IF(H123="preference",Assumptions!$B$40,0)</f>
        <v/>
      </c>
      <c r="J123">
        <f>IF(B123="convert",(Assumptions!$B$4/B95),0)+IF(C123="convert",(Assumptions!$B$39+F95),0)+IF(D123="convert",(Assumptions!$B$38+E95),0)+IF(E123="convert",Assumptions!$B$36,0)+IF(F123="convert",Assumptions!$B$35,0)+IF(G123="convert",Assumptions!$B$34,0)+IF(H123="convert",Assumptions!$B$33,0)</f>
        <v/>
      </c>
      <c r="K123">
        <f>(Assumptions!$B$46+Assumptions!$B$47+Assumptions!$B$48)+Assumptions!$B$49+(H95+I95)+J123</f>
        <v/>
      </c>
      <c r="L123">
        <f>(Assumptions!$B$13-I123+Assumptions!$B$31*Assumptions!$B$10)/(K123+Assumptions!$B$31)</f>
        <v/>
      </c>
      <c r="M123">
        <f>IF(L123&gt;Assumptions!$B$10,"yes","no")</f>
        <v/>
      </c>
      <c r="N123">
        <f>IF(M123="yes",L123,MAX(0,(Assumptions!$B$13-I123)/K123))</f>
        <v/>
      </c>
      <c r="O123">
        <f>IF(M123="yes",Assumptions!$B$31*(N123-Assumptions!$B$10),0)</f>
        <v/>
      </c>
    </row>
    <row r="124">
      <c r="A124" t="inlineStr">
        <is>
          <t>iter 24</t>
        </is>
      </c>
      <c r="B124">
        <f>IF(Assumptions!$B$4&gt;(Assumptions!$B$4/B95)*N123,"preference","convert")</f>
        <v/>
      </c>
      <c r="C124">
        <f>IF(Assumptions!$B$45&gt;(Assumptions!$B$39+F95)*N123,"preference","convert")</f>
        <v/>
      </c>
      <c r="D124">
        <f>IF(Assumptions!$B$44&gt;(Assumptions!$B$38+E95)*N123,"preference","convert")</f>
        <v/>
      </c>
      <c r="E124">
        <f>IF(Assumptions!$B$43&gt;Assumptions!$B$36*N123,"preference","convert")</f>
        <v/>
      </c>
      <c r="F124">
        <f>IF(Assumptions!$B$42&gt;Assumptions!$B$35*N123,"preference","convert")</f>
        <v/>
      </c>
      <c r="G124">
        <f>IF(Assumptions!$B$41&gt;Assumptions!$B$34*N123,"preference","convert")</f>
        <v/>
      </c>
      <c r="H124">
        <f>IF(Assumptions!$B$40&gt;Assumptions!$B$33*N123,"preference","convert")</f>
        <v/>
      </c>
      <c r="I124">
        <f>IF(B124="preference",Assumptions!$B$4,0)+IF(C124="preference",Assumptions!$B$45,0)+IF(D124="preference",Assumptions!$B$44,0)+IF(E124="preference",Assumptions!$B$43,0)+IF(F124="preference",Assumptions!$B$42,0)+IF(G124="preference",Assumptions!$B$41,0)+IF(H124="preference",Assumptions!$B$40,0)</f>
        <v/>
      </c>
      <c r="J124">
        <f>IF(B124="convert",(Assumptions!$B$4/B95),0)+IF(C124="convert",(Assumptions!$B$39+F95),0)+IF(D124="convert",(Assumptions!$B$38+E95),0)+IF(E124="convert",Assumptions!$B$36,0)+IF(F124="convert",Assumptions!$B$35,0)+IF(G124="convert",Assumptions!$B$34,0)+IF(H124="convert",Assumptions!$B$33,0)</f>
        <v/>
      </c>
      <c r="K124">
        <f>(Assumptions!$B$46+Assumptions!$B$47+Assumptions!$B$48)+Assumptions!$B$49+(H95+I95)+J124</f>
        <v/>
      </c>
      <c r="L124">
        <f>(Assumptions!$B$13-I124+Assumptions!$B$31*Assumptions!$B$10)/(K124+Assumptions!$B$31)</f>
        <v/>
      </c>
      <c r="M124">
        <f>IF(L124&gt;Assumptions!$B$10,"yes","no")</f>
        <v/>
      </c>
      <c r="N124">
        <f>IF(M124="yes",L124,MAX(0,(Assumptions!$B$13-I124)/K124))</f>
        <v/>
      </c>
      <c r="O124">
        <f>IF(M124="yes",Assumptions!$B$31*(N124-Assumptions!$B$10),0)</f>
        <v/>
      </c>
    </row>
    <row r="125">
      <c r="A125" t="inlineStr">
        <is>
          <t>iter 25</t>
        </is>
      </c>
      <c r="B125">
        <f>IF(Assumptions!$B$4&gt;(Assumptions!$B$4/B95)*N124,"preference","convert")</f>
        <v/>
      </c>
      <c r="C125">
        <f>IF(Assumptions!$B$45&gt;(Assumptions!$B$39+F95)*N124,"preference","convert")</f>
        <v/>
      </c>
      <c r="D125">
        <f>IF(Assumptions!$B$44&gt;(Assumptions!$B$38+E95)*N124,"preference","convert")</f>
        <v/>
      </c>
      <c r="E125">
        <f>IF(Assumptions!$B$43&gt;Assumptions!$B$36*N124,"preference","convert")</f>
        <v/>
      </c>
      <c r="F125">
        <f>IF(Assumptions!$B$42&gt;Assumptions!$B$35*N124,"preference","convert")</f>
        <v/>
      </c>
      <c r="G125">
        <f>IF(Assumptions!$B$41&gt;Assumptions!$B$34*N124,"preference","convert")</f>
        <v/>
      </c>
      <c r="H125">
        <f>IF(Assumptions!$B$40&gt;Assumptions!$B$33*N124,"preference","convert")</f>
        <v/>
      </c>
      <c r="I125">
        <f>IF(B125="preference",Assumptions!$B$4,0)+IF(C125="preference",Assumptions!$B$45,0)+IF(D125="preference",Assumptions!$B$44,0)+IF(E125="preference",Assumptions!$B$43,0)+IF(F125="preference",Assumptions!$B$42,0)+IF(G125="preference",Assumptions!$B$41,0)+IF(H125="preference",Assumptions!$B$40,0)</f>
        <v/>
      </c>
      <c r="J125">
        <f>IF(B125="convert",(Assumptions!$B$4/B95),0)+IF(C125="convert",(Assumptions!$B$39+F95),0)+IF(D125="convert",(Assumptions!$B$38+E95),0)+IF(E125="convert",Assumptions!$B$36,0)+IF(F125="convert",Assumptions!$B$35,0)+IF(G125="convert",Assumptions!$B$34,0)+IF(H125="convert",Assumptions!$B$33,0)</f>
        <v/>
      </c>
      <c r="K125">
        <f>(Assumptions!$B$46+Assumptions!$B$47+Assumptions!$B$48)+Assumptions!$B$49+(H95+I95)+J125</f>
        <v/>
      </c>
      <c r="L125">
        <f>(Assumptions!$B$13-I125+Assumptions!$B$31*Assumptions!$B$10)/(K125+Assumptions!$B$31)</f>
        <v/>
      </c>
      <c r="M125">
        <f>IF(L125&gt;Assumptions!$B$10,"yes","no")</f>
        <v/>
      </c>
      <c r="N125">
        <f>IF(M125="yes",L125,MAX(0,(Assumptions!$B$13-I125)/K125))</f>
        <v/>
      </c>
      <c r="O125">
        <f>IF(M125="yes",Assumptions!$B$31*(N125-Assumptions!$B$10),0)</f>
        <v/>
      </c>
    </row>
    <row r="126">
      <c r="A126" t="inlineStr">
        <is>
          <t>iter 26</t>
        </is>
      </c>
      <c r="B126">
        <f>IF(Assumptions!$B$4&gt;(Assumptions!$B$4/B95)*N125,"preference","convert")</f>
        <v/>
      </c>
      <c r="C126">
        <f>IF(Assumptions!$B$45&gt;(Assumptions!$B$39+F95)*N125,"preference","convert")</f>
        <v/>
      </c>
      <c r="D126">
        <f>IF(Assumptions!$B$44&gt;(Assumptions!$B$38+E95)*N125,"preference","convert")</f>
        <v/>
      </c>
      <c r="E126">
        <f>IF(Assumptions!$B$43&gt;Assumptions!$B$36*N125,"preference","convert")</f>
        <v/>
      </c>
      <c r="F126">
        <f>IF(Assumptions!$B$42&gt;Assumptions!$B$35*N125,"preference","convert")</f>
        <v/>
      </c>
      <c r="G126">
        <f>IF(Assumptions!$B$41&gt;Assumptions!$B$34*N125,"preference","convert")</f>
        <v/>
      </c>
      <c r="H126">
        <f>IF(Assumptions!$B$40&gt;Assumptions!$B$33*N125,"preference","convert")</f>
        <v/>
      </c>
      <c r="I126">
        <f>IF(B126="preference",Assumptions!$B$4,0)+IF(C126="preference",Assumptions!$B$45,0)+IF(D126="preference",Assumptions!$B$44,0)+IF(E126="preference",Assumptions!$B$43,0)+IF(F126="preference",Assumptions!$B$42,0)+IF(G126="preference",Assumptions!$B$41,0)+IF(H126="preference",Assumptions!$B$40,0)</f>
        <v/>
      </c>
      <c r="J126">
        <f>IF(B126="convert",(Assumptions!$B$4/B95),0)+IF(C126="convert",(Assumptions!$B$39+F95),0)+IF(D126="convert",(Assumptions!$B$38+E95),0)+IF(E126="convert",Assumptions!$B$36,0)+IF(F126="convert",Assumptions!$B$35,0)+IF(G126="convert",Assumptions!$B$34,0)+IF(H126="convert",Assumptions!$B$33,0)</f>
        <v/>
      </c>
      <c r="K126">
        <f>(Assumptions!$B$46+Assumptions!$B$47+Assumptions!$B$48)+Assumptions!$B$49+(H95+I95)+J126</f>
        <v/>
      </c>
      <c r="L126">
        <f>(Assumptions!$B$13-I126+Assumptions!$B$31*Assumptions!$B$10)/(K126+Assumptions!$B$31)</f>
        <v/>
      </c>
      <c r="M126">
        <f>IF(L126&gt;Assumptions!$B$10,"yes","no")</f>
        <v/>
      </c>
      <c r="N126">
        <f>IF(M126="yes",L126,MAX(0,(Assumptions!$B$13-I126)/K126))</f>
        <v/>
      </c>
      <c r="O126">
        <f>IF(M126="yes",Assumptions!$B$31*(N126-Assumptions!$B$10),0)</f>
        <v/>
      </c>
    </row>
    <row r="127">
      <c r="A127" t="inlineStr">
        <is>
          <t>iter 27</t>
        </is>
      </c>
      <c r="B127">
        <f>IF(Assumptions!$B$4&gt;(Assumptions!$B$4/B95)*N126,"preference","convert")</f>
        <v/>
      </c>
      <c r="C127">
        <f>IF(Assumptions!$B$45&gt;(Assumptions!$B$39+F95)*N126,"preference","convert")</f>
        <v/>
      </c>
      <c r="D127">
        <f>IF(Assumptions!$B$44&gt;(Assumptions!$B$38+E95)*N126,"preference","convert")</f>
        <v/>
      </c>
      <c r="E127">
        <f>IF(Assumptions!$B$43&gt;Assumptions!$B$36*N126,"preference","convert")</f>
        <v/>
      </c>
      <c r="F127">
        <f>IF(Assumptions!$B$42&gt;Assumptions!$B$35*N126,"preference","convert")</f>
        <v/>
      </c>
      <c r="G127">
        <f>IF(Assumptions!$B$41&gt;Assumptions!$B$34*N126,"preference","convert")</f>
        <v/>
      </c>
      <c r="H127">
        <f>IF(Assumptions!$B$40&gt;Assumptions!$B$33*N126,"preference","convert")</f>
        <v/>
      </c>
      <c r="I127">
        <f>IF(B127="preference",Assumptions!$B$4,0)+IF(C127="preference",Assumptions!$B$45,0)+IF(D127="preference",Assumptions!$B$44,0)+IF(E127="preference",Assumptions!$B$43,0)+IF(F127="preference",Assumptions!$B$42,0)+IF(G127="preference",Assumptions!$B$41,0)+IF(H127="preference",Assumptions!$B$40,0)</f>
        <v/>
      </c>
      <c r="J127">
        <f>IF(B127="convert",(Assumptions!$B$4/B95),0)+IF(C127="convert",(Assumptions!$B$39+F95),0)+IF(D127="convert",(Assumptions!$B$38+E95),0)+IF(E127="convert",Assumptions!$B$36,0)+IF(F127="convert",Assumptions!$B$35,0)+IF(G127="convert",Assumptions!$B$34,0)+IF(H127="convert",Assumptions!$B$33,0)</f>
        <v/>
      </c>
      <c r="K127">
        <f>(Assumptions!$B$46+Assumptions!$B$47+Assumptions!$B$48)+Assumptions!$B$49+(H95+I95)+J127</f>
        <v/>
      </c>
      <c r="L127">
        <f>(Assumptions!$B$13-I127+Assumptions!$B$31*Assumptions!$B$10)/(K127+Assumptions!$B$31)</f>
        <v/>
      </c>
      <c r="M127">
        <f>IF(L127&gt;Assumptions!$B$10,"yes","no")</f>
        <v/>
      </c>
      <c r="N127">
        <f>IF(M127="yes",L127,MAX(0,(Assumptions!$B$13-I127)/K127))</f>
        <v/>
      </c>
      <c r="O127">
        <f>IF(M127="yes",Assumptions!$B$31*(N127-Assumptions!$B$10),0)</f>
        <v/>
      </c>
    </row>
    <row r="128">
      <c r="A128" t="inlineStr">
        <is>
          <t>iter 28</t>
        </is>
      </c>
      <c r="B128">
        <f>IF(Assumptions!$B$4&gt;(Assumptions!$B$4/B95)*N127,"preference","convert")</f>
        <v/>
      </c>
      <c r="C128">
        <f>IF(Assumptions!$B$45&gt;(Assumptions!$B$39+F95)*N127,"preference","convert")</f>
        <v/>
      </c>
      <c r="D128">
        <f>IF(Assumptions!$B$44&gt;(Assumptions!$B$38+E95)*N127,"preference","convert")</f>
        <v/>
      </c>
      <c r="E128">
        <f>IF(Assumptions!$B$43&gt;Assumptions!$B$36*N127,"preference","convert")</f>
        <v/>
      </c>
      <c r="F128">
        <f>IF(Assumptions!$B$42&gt;Assumptions!$B$35*N127,"preference","convert")</f>
        <v/>
      </c>
      <c r="G128">
        <f>IF(Assumptions!$B$41&gt;Assumptions!$B$34*N127,"preference","convert")</f>
        <v/>
      </c>
      <c r="H128">
        <f>IF(Assumptions!$B$40&gt;Assumptions!$B$33*N127,"preference","convert")</f>
        <v/>
      </c>
      <c r="I128">
        <f>IF(B128="preference",Assumptions!$B$4,0)+IF(C128="preference",Assumptions!$B$45,0)+IF(D128="preference",Assumptions!$B$44,0)+IF(E128="preference",Assumptions!$B$43,0)+IF(F128="preference",Assumptions!$B$42,0)+IF(G128="preference",Assumptions!$B$41,0)+IF(H128="preference",Assumptions!$B$40,0)</f>
        <v/>
      </c>
      <c r="J128">
        <f>IF(B128="convert",(Assumptions!$B$4/B95),0)+IF(C128="convert",(Assumptions!$B$39+F95),0)+IF(D128="convert",(Assumptions!$B$38+E95),0)+IF(E128="convert",Assumptions!$B$36,0)+IF(F128="convert",Assumptions!$B$35,0)+IF(G128="convert",Assumptions!$B$34,0)+IF(H128="convert",Assumptions!$B$33,0)</f>
        <v/>
      </c>
      <c r="K128">
        <f>(Assumptions!$B$46+Assumptions!$B$47+Assumptions!$B$48)+Assumptions!$B$49+(H95+I95)+J128</f>
        <v/>
      </c>
      <c r="L128">
        <f>(Assumptions!$B$13-I128+Assumptions!$B$31*Assumptions!$B$10)/(K128+Assumptions!$B$31)</f>
        <v/>
      </c>
      <c r="M128">
        <f>IF(L128&gt;Assumptions!$B$10,"yes","no")</f>
        <v/>
      </c>
      <c r="N128">
        <f>IF(M128="yes",L128,MAX(0,(Assumptions!$B$13-I128)/K128))</f>
        <v/>
      </c>
      <c r="O128">
        <f>IF(M128="yes",Assumptions!$B$31*(N128-Assumptions!$B$10),0)</f>
        <v/>
      </c>
    </row>
    <row r="129">
      <c r="A129" t="inlineStr">
        <is>
          <t>iter 29</t>
        </is>
      </c>
      <c r="B129">
        <f>IF(Assumptions!$B$4&gt;(Assumptions!$B$4/B95)*N128,"preference","convert")</f>
        <v/>
      </c>
      <c r="C129">
        <f>IF(Assumptions!$B$45&gt;(Assumptions!$B$39+F95)*N128,"preference","convert")</f>
        <v/>
      </c>
      <c r="D129">
        <f>IF(Assumptions!$B$44&gt;(Assumptions!$B$38+E95)*N128,"preference","convert")</f>
        <v/>
      </c>
      <c r="E129">
        <f>IF(Assumptions!$B$43&gt;Assumptions!$B$36*N128,"preference","convert")</f>
        <v/>
      </c>
      <c r="F129">
        <f>IF(Assumptions!$B$42&gt;Assumptions!$B$35*N128,"preference","convert")</f>
        <v/>
      </c>
      <c r="G129">
        <f>IF(Assumptions!$B$41&gt;Assumptions!$B$34*N128,"preference","convert")</f>
        <v/>
      </c>
      <c r="H129">
        <f>IF(Assumptions!$B$40&gt;Assumptions!$B$33*N128,"preference","convert")</f>
        <v/>
      </c>
      <c r="I129">
        <f>IF(B129="preference",Assumptions!$B$4,0)+IF(C129="preference",Assumptions!$B$45,0)+IF(D129="preference",Assumptions!$B$44,0)+IF(E129="preference",Assumptions!$B$43,0)+IF(F129="preference",Assumptions!$B$42,0)+IF(G129="preference",Assumptions!$B$41,0)+IF(H129="preference",Assumptions!$B$40,0)</f>
        <v/>
      </c>
      <c r="J129">
        <f>IF(B129="convert",(Assumptions!$B$4/B95),0)+IF(C129="convert",(Assumptions!$B$39+F95),0)+IF(D129="convert",(Assumptions!$B$38+E95),0)+IF(E129="convert",Assumptions!$B$36,0)+IF(F129="convert",Assumptions!$B$35,0)+IF(G129="convert",Assumptions!$B$34,0)+IF(H129="convert",Assumptions!$B$33,0)</f>
        <v/>
      </c>
      <c r="K129">
        <f>(Assumptions!$B$46+Assumptions!$B$47+Assumptions!$B$48)+Assumptions!$B$49+(H95+I95)+J129</f>
        <v/>
      </c>
      <c r="L129">
        <f>(Assumptions!$B$13-I129+Assumptions!$B$31*Assumptions!$B$10)/(K129+Assumptions!$B$31)</f>
        <v/>
      </c>
      <c r="M129">
        <f>IF(L129&gt;Assumptions!$B$10,"yes","no")</f>
        <v/>
      </c>
      <c r="N129">
        <f>IF(M129="yes",L129,MAX(0,(Assumptions!$B$13-I129)/K129))</f>
        <v/>
      </c>
      <c r="O129">
        <f>IF(M129="yes",Assumptions!$B$31*(N129-Assumptions!$B$10),0)</f>
        <v/>
      </c>
    </row>
    <row r="130">
      <c r="A130" t="inlineStr">
        <is>
          <t>iter 30</t>
        </is>
      </c>
      <c r="B130">
        <f>IF(Assumptions!$B$4&gt;(Assumptions!$B$4/B95)*N129,"preference","convert")</f>
        <v/>
      </c>
      <c r="C130">
        <f>IF(Assumptions!$B$45&gt;(Assumptions!$B$39+F95)*N129,"preference","convert")</f>
        <v/>
      </c>
      <c r="D130">
        <f>IF(Assumptions!$B$44&gt;(Assumptions!$B$38+E95)*N129,"preference","convert")</f>
        <v/>
      </c>
      <c r="E130">
        <f>IF(Assumptions!$B$43&gt;Assumptions!$B$36*N129,"preference","convert")</f>
        <v/>
      </c>
      <c r="F130">
        <f>IF(Assumptions!$B$42&gt;Assumptions!$B$35*N129,"preference","convert")</f>
        <v/>
      </c>
      <c r="G130">
        <f>IF(Assumptions!$B$41&gt;Assumptions!$B$34*N129,"preference","convert")</f>
        <v/>
      </c>
      <c r="H130">
        <f>IF(Assumptions!$B$40&gt;Assumptions!$B$33*N129,"preference","convert")</f>
        <v/>
      </c>
      <c r="I130">
        <f>IF(B130="preference",Assumptions!$B$4,0)+IF(C130="preference",Assumptions!$B$45,0)+IF(D130="preference",Assumptions!$B$44,0)+IF(E130="preference",Assumptions!$B$43,0)+IF(F130="preference",Assumptions!$B$42,0)+IF(G130="preference",Assumptions!$B$41,0)+IF(H130="preference",Assumptions!$B$40,0)</f>
        <v/>
      </c>
      <c r="J130">
        <f>IF(B130="convert",(Assumptions!$B$4/B95),0)+IF(C130="convert",(Assumptions!$B$39+F95),0)+IF(D130="convert",(Assumptions!$B$38+E95),0)+IF(E130="convert",Assumptions!$B$36,0)+IF(F130="convert",Assumptions!$B$35,0)+IF(G130="convert",Assumptions!$B$34,0)+IF(H130="convert",Assumptions!$B$33,0)</f>
        <v/>
      </c>
      <c r="K130">
        <f>(Assumptions!$B$46+Assumptions!$B$47+Assumptions!$B$48)+Assumptions!$B$49+(H95+I95)+J130</f>
        <v/>
      </c>
      <c r="L130">
        <f>(Assumptions!$B$13-I130+Assumptions!$B$31*Assumptions!$B$10)/(K130+Assumptions!$B$31)</f>
        <v/>
      </c>
      <c r="M130">
        <f>IF(L130&gt;Assumptions!$B$10,"yes","no")</f>
        <v/>
      </c>
      <c r="N130">
        <f>IF(M130="yes",L130,MAX(0,(Assumptions!$B$13-I130)/K130))</f>
        <v/>
      </c>
      <c r="O130">
        <f>IF(M130="yes",Assumptions!$B$31*(N130-Assumptions!$B$10),0)</f>
        <v/>
      </c>
    </row>
    <row r="132">
      <c r="A132" t="inlineStr">
        <is>
          <t>Our shares (post-F)</t>
        </is>
      </c>
      <c r="B132">
        <f>(Assumptions!$B$8/B95)</f>
        <v/>
      </c>
    </row>
    <row r="133">
      <c r="A133" t="inlineStr">
        <is>
          <t>Our ownership % (of T_F)</t>
        </is>
      </c>
      <c r="B133">
        <f>(Assumptions!$B$8/B95)/K95</f>
        <v/>
      </c>
    </row>
    <row r="134">
      <c r="A134" t="inlineStr">
        <is>
          <t>Our $ proceeds at $2B</t>
        </is>
      </c>
      <c r="B134">
        <f>IF(B130="convert",(Assumptions!$B$8/B95)*N130,(Assumptions!$B$8/B95)*B95)</f>
        <v/>
      </c>
    </row>
    <row r="137">
      <c r="A137" s="1" t="inlineStr">
        <is>
          <t>Cell (0,1) — ESOP=low, Pre=base</t>
        </is>
      </c>
    </row>
    <row r="138">
      <c r="A138" s="1" t="inlineStr">
        <is>
          <t>Step</t>
        </is>
      </c>
      <c r="B138" s="1" t="inlineStr">
        <is>
          <t>F_PPS</t>
        </is>
      </c>
      <c r="C138" s="1" t="inlineStr">
        <is>
          <t>D_NCP</t>
        </is>
      </c>
      <c r="D138" s="1" t="inlineStr">
        <is>
          <t>E_NCP</t>
        </is>
      </c>
      <c r="E138" s="1" t="inlineStr">
        <is>
          <t>ΔD</t>
        </is>
      </c>
      <c r="F138" s="1" t="inlineStr">
        <is>
          <t>ΔE</t>
        </is>
      </c>
      <c r="G138" s="1" t="inlineStr">
        <is>
          <t>ESOP</t>
        </is>
      </c>
      <c r="H138" s="1" t="inlineStr">
        <is>
          <t>N_A</t>
        </is>
      </c>
      <c r="I138" s="1" t="inlineStr">
        <is>
          <t>N_B</t>
        </is>
      </c>
      <c r="J138" s="1" t="inlineStr">
        <is>
          <t>preFD</t>
        </is>
      </c>
      <c r="K138" s="1" t="inlineStr">
        <is>
          <t>T_F</t>
        </is>
      </c>
      <c r="L138" s="1" t="inlineStr">
        <is>
          <t>F_PPS chk</t>
        </is>
      </c>
    </row>
    <row r="139">
      <c r="A139" t="inlineStr">
        <is>
          <t>cell(0,1) seed</t>
        </is>
      </c>
      <c r="B139">
        <f>Assumptions!$B$54/Assumptions!$B$29</f>
        <v/>
      </c>
      <c r="C139">
        <f>Assumptions!$B$20</f>
        <v/>
      </c>
      <c r="D139">
        <f>Assumptions!$B$21</f>
        <v/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>
        <f>Assumptions!$B$29</f>
        <v/>
      </c>
      <c r="K139">
        <f>J139+Assumptions!$B$4/B139</f>
        <v/>
      </c>
      <c r="L139">
        <f>B139</f>
        <v/>
      </c>
    </row>
    <row r="140">
      <c r="A140" t="inlineStr">
        <is>
          <t>cell(0,1) iter 1</t>
        </is>
      </c>
      <c r="B140">
        <f>Assumptions!$B$54/J139</f>
        <v/>
      </c>
      <c r="C140">
        <f>IF(B140&lt;Assumptions!$B$20,Assumptions!$B$20*(Assumptions!$B$29+Assumptions!$B$4/Assumptions!$B$20)/(Assumptions!$B$29+Assumptions!$B$4/B140),Assumptions!$B$20)</f>
        <v/>
      </c>
      <c r="D140">
        <f>IF(B140&lt;Assumptions!$B$21,Assumptions!$B$21*(Assumptions!$B$29+Assumptions!$B$4/Assumptions!$B$21)/(Assumptions!$B$29+Assumptions!$B$4/B140),Assumptions!$B$21)</f>
        <v/>
      </c>
      <c r="E140">
        <f>Assumptions!$B$37*Assumptions!$B$22/C140-Assumptions!$B$38</f>
        <v/>
      </c>
      <c r="F140">
        <f>Assumptions!$B$39*Assumptions!$B$21/D140-Assumptions!$B$39</f>
        <v/>
      </c>
      <c r="G140">
        <f>MAX(0,Assumptions!$B$50*(Assumptions!$B$29+E140+F140+G139+H139+I139+Assumptions!$B$4/B140)-Assumptions!$B$30)</f>
        <v/>
      </c>
      <c r="H140">
        <f>Assumptions!$B$23/MIN(Assumptions!$B$24/(Assumptions!$B$29+E140+F140+G140+I139),B140*(1-Assumptions!$B$25))</f>
        <v/>
      </c>
      <c r="I140">
        <f>Assumptions!$B$26/MIN(Assumptions!$B$27/(Assumptions!$B$29+E140+F140+G140+H140),B140*(1-Assumptions!$B$28))</f>
        <v/>
      </c>
      <c r="J140">
        <f>Assumptions!$B$29+E140+F140+G140+H140+I140</f>
        <v/>
      </c>
      <c r="K140">
        <f>J140+Assumptions!$B$4/B140</f>
        <v/>
      </c>
      <c r="L140">
        <f>B140</f>
        <v/>
      </c>
    </row>
    <row r="141">
      <c r="A141" t="inlineStr">
        <is>
          <t>cell(0,1) iter 2</t>
        </is>
      </c>
      <c r="B141">
        <f>Assumptions!$B$54/J140</f>
        <v/>
      </c>
      <c r="C141">
        <f>IF(B141&lt;Assumptions!$B$20,Assumptions!$B$20*(Assumptions!$B$29+Assumptions!$B$4/Assumptions!$B$20)/(Assumptions!$B$29+Assumptions!$B$4/B141),Assumptions!$B$20)</f>
        <v/>
      </c>
      <c r="D141">
        <f>IF(B141&lt;Assumptions!$B$21,Assumptions!$B$21*(Assumptions!$B$29+Assumptions!$B$4/Assumptions!$B$21)/(Assumptions!$B$29+Assumptions!$B$4/B141),Assumptions!$B$21)</f>
        <v/>
      </c>
      <c r="E141">
        <f>Assumptions!$B$37*Assumptions!$B$22/C141-Assumptions!$B$38</f>
        <v/>
      </c>
      <c r="F141">
        <f>Assumptions!$B$39*Assumptions!$B$21/D141-Assumptions!$B$39</f>
        <v/>
      </c>
      <c r="G141">
        <f>MAX(0,Assumptions!$B$50*(Assumptions!$B$29+E141+F141+G140+H140+I140+Assumptions!$B$4/B141)-Assumptions!$B$30)</f>
        <v/>
      </c>
      <c r="H141">
        <f>Assumptions!$B$23/MIN(Assumptions!$B$24/(Assumptions!$B$29+E141+F141+G141+I140),B141*(1-Assumptions!$B$25))</f>
        <v/>
      </c>
      <c r="I141">
        <f>Assumptions!$B$26/MIN(Assumptions!$B$27/(Assumptions!$B$29+E141+F141+G141+H141),B141*(1-Assumptions!$B$28))</f>
        <v/>
      </c>
      <c r="J141">
        <f>Assumptions!$B$29+E141+F141+G141+H141+I141</f>
        <v/>
      </c>
      <c r="K141">
        <f>J141+Assumptions!$B$4/B141</f>
        <v/>
      </c>
      <c r="L141">
        <f>B141</f>
        <v/>
      </c>
    </row>
    <row r="142">
      <c r="A142" t="inlineStr">
        <is>
          <t>cell(0,1) iter 3</t>
        </is>
      </c>
      <c r="B142">
        <f>Assumptions!$B$54/J141</f>
        <v/>
      </c>
      <c r="C142">
        <f>IF(B142&lt;Assumptions!$B$20,Assumptions!$B$20*(Assumptions!$B$29+Assumptions!$B$4/Assumptions!$B$20)/(Assumptions!$B$29+Assumptions!$B$4/B142),Assumptions!$B$20)</f>
        <v/>
      </c>
      <c r="D142">
        <f>IF(B142&lt;Assumptions!$B$21,Assumptions!$B$21*(Assumptions!$B$29+Assumptions!$B$4/Assumptions!$B$21)/(Assumptions!$B$29+Assumptions!$B$4/B142),Assumptions!$B$21)</f>
        <v/>
      </c>
      <c r="E142">
        <f>Assumptions!$B$37*Assumptions!$B$22/C142-Assumptions!$B$38</f>
        <v/>
      </c>
      <c r="F142">
        <f>Assumptions!$B$39*Assumptions!$B$21/D142-Assumptions!$B$39</f>
        <v/>
      </c>
      <c r="G142">
        <f>MAX(0,Assumptions!$B$50*(Assumptions!$B$29+E142+F142+G141+H141+I141+Assumptions!$B$4/B142)-Assumptions!$B$30)</f>
        <v/>
      </c>
      <c r="H142">
        <f>Assumptions!$B$23/MIN(Assumptions!$B$24/(Assumptions!$B$29+E142+F142+G142+I141),B142*(1-Assumptions!$B$25))</f>
        <v/>
      </c>
      <c r="I142">
        <f>Assumptions!$B$26/MIN(Assumptions!$B$27/(Assumptions!$B$29+E142+F142+G142+H142),B142*(1-Assumptions!$B$28))</f>
        <v/>
      </c>
      <c r="J142">
        <f>Assumptions!$B$29+E142+F142+G142+H142+I142</f>
        <v/>
      </c>
      <c r="K142">
        <f>J142+Assumptions!$B$4/B142</f>
        <v/>
      </c>
      <c r="L142">
        <f>B142</f>
        <v/>
      </c>
    </row>
    <row r="143">
      <c r="A143" t="inlineStr">
        <is>
          <t>cell(0,1) iter 4</t>
        </is>
      </c>
      <c r="B143">
        <f>Assumptions!$B$54/J142</f>
        <v/>
      </c>
      <c r="C143">
        <f>IF(B143&lt;Assumptions!$B$20,Assumptions!$B$20*(Assumptions!$B$29+Assumptions!$B$4/Assumptions!$B$20)/(Assumptions!$B$29+Assumptions!$B$4/B143),Assumptions!$B$20)</f>
        <v/>
      </c>
      <c r="D143">
        <f>IF(B143&lt;Assumptions!$B$21,Assumptions!$B$21*(Assumptions!$B$29+Assumptions!$B$4/Assumptions!$B$21)/(Assumptions!$B$29+Assumptions!$B$4/B143),Assumptions!$B$21)</f>
        <v/>
      </c>
      <c r="E143">
        <f>Assumptions!$B$37*Assumptions!$B$22/C143-Assumptions!$B$38</f>
        <v/>
      </c>
      <c r="F143">
        <f>Assumptions!$B$39*Assumptions!$B$21/D143-Assumptions!$B$39</f>
        <v/>
      </c>
      <c r="G143">
        <f>MAX(0,Assumptions!$B$50*(Assumptions!$B$29+E143+F143+G142+H142+I142+Assumptions!$B$4/B143)-Assumptions!$B$30)</f>
        <v/>
      </c>
      <c r="H143">
        <f>Assumptions!$B$23/MIN(Assumptions!$B$24/(Assumptions!$B$29+E143+F143+G143+I142),B143*(1-Assumptions!$B$25))</f>
        <v/>
      </c>
      <c r="I143">
        <f>Assumptions!$B$26/MIN(Assumptions!$B$27/(Assumptions!$B$29+E143+F143+G143+H143),B143*(1-Assumptions!$B$28))</f>
        <v/>
      </c>
      <c r="J143">
        <f>Assumptions!$B$29+E143+F143+G143+H143+I143</f>
        <v/>
      </c>
      <c r="K143">
        <f>J143+Assumptions!$B$4/B143</f>
        <v/>
      </c>
      <c r="L143">
        <f>B143</f>
        <v/>
      </c>
    </row>
    <row r="144">
      <c r="A144" t="inlineStr">
        <is>
          <t>cell(0,1) iter 5</t>
        </is>
      </c>
      <c r="B144">
        <f>Assumptions!$B$54/J143</f>
        <v/>
      </c>
      <c r="C144">
        <f>IF(B144&lt;Assumptions!$B$20,Assumptions!$B$20*(Assumptions!$B$29+Assumptions!$B$4/Assumptions!$B$20)/(Assumptions!$B$29+Assumptions!$B$4/B144),Assumptions!$B$20)</f>
        <v/>
      </c>
      <c r="D144">
        <f>IF(B144&lt;Assumptions!$B$21,Assumptions!$B$21*(Assumptions!$B$29+Assumptions!$B$4/Assumptions!$B$21)/(Assumptions!$B$29+Assumptions!$B$4/B144),Assumptions!$B$21)</f>
        <v/>
      </c>
      <c r="E144">
        <f>Assumptions!$B$37*Assumptions!$B$22/C144-Assumptions!$B$38</f>
        <v/>
      </c>
      <c r="F144">
        <f>Assumptions!$B$39*Assumptions!$B$21/D144-Assumptions!$B$39</f>
        <v/>
      </c>
      <c r="G144">
        <f>MAX(0,Assumptions!$B$50*(Assumptions!$B$29+E144+F144+G143+H143+I143+Assumptions!$B$4/B144)-Assumptions!$B$30)</f>
        <v/>
      </c>
      <c r="H144">
        <f>Assumptions!$B$23/MIN(Assumptions!$B$24/(Assumptions!$B$29+E144+F144+G144+I143),B144*(1-Assumptions!$B$25))</f>
        <v/>
      </c>
      <c r="I144">
        <f>Assumptions!$B$26/MIN(Assumptions!$B$27/(Assumptions!$B$29+E144+F144+G144+H144),B144*(1-Assumptions!$B$28))</f>
        <v/>
      </c>
      <c r="J144">
        <f>Assumptions!$B$29+E144+F144+G144+H144+I144</f>
        <v/>
      </c>
      <c r="K144">
        <f>J144+Assumptions!$B$4/B144</f>
        <v/>
      </c>
      <c r="L144">
        <f>B144</f>
        <v/>
      </c>
    </row>
    <row r="145">
      <c r="A145" t="inlineStr">
        <is>
          <t>cell(0,1) iter 6</t>
        </is>
      </c>
      <c r="B145">
        <f>Assumptions!$B$54/J144</f>
        <v/>
      </c>
      <c r="C145">
        <f>IF(B145&lt;Assumptions!$B$20,Assumptions!$B$20*(Assumptions!$B$29+Assumptions!$B$4/Assumptions!$B$20)/(Assumptions!$B$29+Assumptions!$B$4/B145),Assumptions!$B$20)</f>
        <v/>
      </c>
      <c r="D145">
        <f>IF(B145&lt;Assumptions!$B$21,Assumptions!$B$21*(Assumptions!$B$29+Assumptions!$B$4/Assumptions!$B$21)/(Assumptions!$B$29+Assumptions!$B$4/B145),Assumptions!$B$21)</f>
        <v/>
      </c>
      <c r="E145">
        <f>Assumptions!$B$37*Assumptions!$B$22/C145-Assumptions!$B$38</f>
        <v/>
      </c>
      <c r="F145">
        <f>Assumptions!$B$39*Assumptions!$B$21/D145-Assumptions!$B$39</f>
        <v/>
      </c>
      <c r="G145">
        <f>MAX(0,Assumptions!$B$50*(Assumptions!$B$29+E145+F145+G144+H144+I144+Assumptions!$B$4/B145)-Assumptions!$B$30)</f>
        <v/>
      </c>
      <c r="H145">
        <f>Assumptions!$B$23/MIN(Assumptions!$B$24/(Assumptions!$B$29+E145+F145+G145+I144),B145*(1-Assumptions!$B$25))</f>
        <v/>
      </c>
      <c r="I145">
        <f>Assumptions!$B$26/MIN(Assumptions!$B$27/(Assumptions!$B$29+E145+F145+G145+H145),B145*(1-Assumptions!$B$28))</f>
        <v/>
      </c>
      <c r="J145">
        <f>Assumptions!$B$29+E145+F145+G145+H145+I145</f>
        <v/>
      </c>
      <c r="K145">
        <f>J145+Assumptions!$B$4/B145</f>
        <v/>
      </c>
      <c r="L145">
        <f>B145</f>
        <v/>
      </c>
    </row>
    <row r="146">
      <c r="A146" t="inlineStr">
        <is>
          <t>cell(0,1) iter 7</t>
        </is>
      </c>
      <c r="B146">
        <f>Assumptions!$B$54/J145</f>
        <v/>
      </c>
      <c r="C146">
        <f>IF(B146&lt;Assumptions!$B$20,Assumptions!$B$20*(Assumptions!$B$29+Assumptions!$B$4/Assumptions!$B$20)/(Assumptions!$B$29+Assumptions!$B$4/B146),Assumptions!$B$20)</f>
        <v/>
      </c>
      <c r="D146">
        <f>IF(B146&lt;Assumptions!$B$21,Assumptions!$B$21*(Assumptions!$B$29+Assumptions!$B$4/Assumptions!$B$21)/(Assumptions!$B$29+Assumptions!$B$4/B146),Assumptions!$B$21)</f>
        <v/>
      </c>
      <c r="E146">
        <f>Assumptions!$B$37*Assumptions!$B$22/C146-Assumptions!$B$38</f>
        <v/>
      </c>
      <c r="F146">
        <f>Assumptions!$B$39*Assumptions!$B$21/D146-Assumptions!$B$39</f>
        <v/>
      </c>
      <c r="G146">
        <f>MAX(0,Assumptions!$B$50*(Assumptions!$B$29+E146+F146+G145+H145+I145+Assumptions!$B$4/B146)-Assumptions!$B$30)</f>
        <v/>
      </c>
      <c r="H146">
        <f>Assumptions!$B$23/MIN(Assumptions!$B$24/(Assumptions!$B$29+E146+F146+G146+I145),B146*(1-Assumptions!$B$25))</f>
        <v/>
      </c>
      <c r="I146">
        <f>Assumptions!$B$26/MIN(Assumptions!$B$27/(Assumptions!$B$29+E146+F146+G146+H146),B146*(1-Assumptions!$B$28))</f>
        <v/>
      </c>
      <c r="J146">
        <f>Assumptions!$B$29+E146+F146+G146+H146+I146</f>
        <v/>
      </c>
      <c r="K146">
        <f>J146+Assumptions!$B$4/B146</f>
        <v/>
      </c>
      <c r="L146">
        <f>B146</f>
        <v/>
      </c>
    </row>
    <row r="147">
      <c r="A147" t="inlineStr">
        <is>
          <t>cell(0,1) iter 8</t>
        </is>
      </c>
      <c r="B147">
        <f>Assumptions!$B$54/J146</f>
        <v/>
      </c>
      <c r="C147">
        <f>IF(B147&lt;Assumptions!$B$20,Assumptions!$B$20*(Assumptions!$B$29+Assumptions!$B$4/Assumptions!$B$20)/(Assumptions!$B$29+Assumptions!$B$4/B147),Assumptions!$B$20)</f>
        <v/>
      </c>
      <c r="D147">
        <f>IF(B147&lt;Assumptions!$B$21,Assumptions!$B$21*(Assumptions!$B$29+Assumptions!$B$4/Assumptions!$B$21)/(Assumptions!$B$29+Assumptions!$B$4/B147),Assumptions!$B$21)</f>
        <v/>
      </c>
      <c r="E147">
        <f>Assumptions!$B$37*Assumptions!$B$22/C147-Assumptions!$B$38</f>
        <v/>
      </c>
      <c r="F147">
        <f>Assumptions!$B$39*Assumptions!$B$21/D147-Assumptions!$B$39</f>
        <v/>
      </c>
      <c r="G147">
        <f>MAX(0,Assumptions!$B$50*(Assumptions!$B$29+E147+F147+G146+H146+I146+Assumptions!$B$4/B147)-Assumptions!$B$30)</f>
        <v/>
      </c>
      <c r="H147">
        <f>Assumptions!$B$23/MIN(Assumptions!$B$24/(Assumptions!$B$29+E147+F147+G147+I146),B147*(1-Assumptions!$B$25))</f>
        <v/>
      </c>
      <c r="I147">
        <f>Assumptions!$B$26/MIN(Assumptions!$B$27/(Assumptions!$B$29+E147+F147+G147+H147),B147*(1-Assumptions!$B$28))</f>
        <v/>
      </c>
      <c r="J147">
        <f>Assumptions!$B$29+E147+F147+G147+H147+I147</f>
        <v/>
      </c>
      <c r="K147">
        <f>J147+Assumptions!$B$4/B147</f>
        <v/>
      </c>
      <c r="L147">
        <f>B147</f>
        <v/>
      </c>
    </row>
    <row r="148">
      <c r="A148" t="inlineStr">
        <is>
          <t>cell(0,1) iter 9</t>
        </is>
      </c>
      <c r="B148">
        <f>Assumptions!$B$54/J147</f>
        <v/>
      </c>
      <c r="C148">
        <f>IF(B148&lt;Assumptions!$B$20,Assumptions!$B$20*(Assumptions!$B$29+Assumptions!$B$4/Assumptions!$B$20)/(Assumptions!$B$29+Assumptions!$B$4/B148),Assumptions!$B$20)</f>
        <v/>
      </c>
      <c r="D148">
        <f>IF(B148&lt;Assumptions!$B$21,Assumptions!$B$21*(Assumptions!$B$29+Assumptions!$B$4/Assumptions!$B$21)/(Assumptions!$B$29+Assumptions!$B$4/B148),Assumptions!$B$21)</f>
        <v/>
      </c>
      <c r="E148">
        <f>Assumptions!$B$37*Assumptions!$B$22/C148-Assumptions!$B$38</f>
        <v/>
      </c>
      <c r="F148">
        <f>Assumptions!$B$39*Assumptions!$B$21/D148-Assumptions!$B$39</f>
        <v/>
      </c>
      <c r="G148">
        <f>MAX(0,Assumptions!$B$50*(Assumptions!$B$29+E148+F148+G147+H147+I147+Assumptions!$B$4/B148)-Assumptions!$B$30)</f>
        <v/>
      </c>
      <c r="H148">
        <f>Assumptions!$B$23/MIN(Assumptions!$B$24/(Assumptions!$B$29+E148+F148+G148+I147),B148*(1-Assumptions!$B$25))</f>
        <v/>
      </c>
      <c r="I148">
        <f>Assumptions!$B$26/MIN(Assumptions!$B$27/(Assumptions!$B$29+E148+F148+G148+H148),B148*(1-Assumptions!$B$28))</f>
        <v/>
      </c>
      <c r="J148">
        <f>Assumptions!$B$29+E148+F148+G148+H148+I148</f>
        <v/>
      </c>
      <c r="K148">
        <f>J148+Assumptions!$B$4/B148</f>
        <v/>
      </c>
      <c r="L148">
        <f>B148</f>
        <v/>
      </c>
    </row>
    <row r="149">
      <c r="A149" t="inlineStr">
        <is>
          <t>cell(0,1) iter 10</t>
        </is>
      </c>
      <c r="B149">
        <f>Assumptions!$B$54/J148</f>
        <v/>
      </c>
      <c r="C149">
        <f>IF(B149&lt;Assumptions!$B$20,Assumptions!$B$20*(Assumptions!$B$29+Assumptions!$B$4/Assumptions!$B$20)/(Assumptions!$B$29+Assumptions!$B$4/B149),Assumptions!$B$20)</f>
        <v/>
      </c>
      <c r="D149">
        <f>IF(B149&lt;Assumptions!$B$21,Assumptions!$B$21*(Assumptions!$B$29+Assumptions!$B$4/Assumptions!$B$21)/(Assumptions!$B$29+Assumptions!$B$4/B149),Assumptions!$B$21)</f>
        <v/>
      </c>
      <c r="E149">
        <f>Assumptions!$B$37*Assumptions!$B$22/C149-Assumptions!$B$38</f>
        <v/>
      </c>
      <c r="F149">
        <f>Assumptions!$B$39*Assumptions!$B$21/D149-Assumptions!$B$39</f>
        <v/>
      </c>
      <c r="G149">
        <f>MAX(0,Assumptions!$B$50*(Assumptions!$B$29+E149+F149+G148+H148+I148+Assumptions!$B$4/B149)-Assumptions!$B$30)</f>
        <v/>
      </c>
      <c r="H149">
        <f>Assumptions!$B$23/MIN(Assumptions!$B$24/(Assumptions!$B$29+E149+F149+G149+I148),B149*(1-Assumptions!$B$25))</f>
        <v/>
      </c>
      <c r="I149">
        <f>Assumptions!$B$26/MIN(Assumptions!$B$27/(Assumptions!$B$29+E149+F149+G149+H149),B149*(1-Assumptions!$B$28))</f>
        <v/>
      </c>
      <c r="J149">
        <f>Assumptions!$B$29+E149+F149+G149+H149+I149</f>
        <v/>
      </c>
      <c r="K149">
        <f>J149+Assumptions!$B$4/B149</f>
        <v/>
      </c>
      <c r="L149">
        <f>B149</f>
        <v/>
      </c>
    </row>
    <row r="150">
      <c r="A150" t="inlineStr">
        <is>
          <t>cell(0,1) iter 11</t>
        </is>
      </c>
      <c r="B150">
        <f>Assumptions!$B$54/J149</f>
        <v/>
      </c>
      <c r="C150">
        <f>IF(B150&lt;Assumptions!$B$20,Assumptions!$B$20*(Assumptions!$B$29+Assumptions!$B$4/Assumptions!$B$20)/(Assumptions!$B$29+Assumptions!$B$4/B150),Assumptions!$B$20)</f>
        <v/>
      </c>
      <c r="D150">
        <f>IF(B150&lt;Assumptions!$B$21,Assumptions!$B$21*(Assumptions!$B$29+Assumptions!$B$4/Assumptions!$B$21)/(Assumptions!$B$29+Assumptions!$B$4/B150),Assumptions!$B$21)</f>
        <v/>
      </c>
      <c r="E150">
        <f>Assumptions!$B$37*Assumptions!$B$22/C150-Assumptions!$B$38</f>
        <v/>
      </c>
      <c r="F150">
        <f>Assumptions!$B$39*Assumptions!$B$21/D150-Assumptions!$B$39</f>
        <v/>
      </c>
      <c r="G150">
        <f>MAX(0,Assumptions!$B$50*(Assumptions!$B$29+E150+F150+G149+H149+I149+Assumptions!$B$4/B150)-Assumptions!$B$30)</f>
        <v/>
      </c>
      <c r="H150">
        <f>Assumptions!$B$23/MIN(Assumptions!$B$24/(Assumptions!$B$29+E150+F150+G150+I149),B150*(1-Assumptions!$B$25))</f>
        <v/>
      </c>
      <c r="I150">
        <f>Assumptions!$B$26/MIN(Assumptions!$B$27/(Assumptions!$B$29+E150+F150+G150+H150),B150*(1-Assumptions!$B$28))</f>
        <v/>
      </c>
      <c r="J150">
        <f>Assumptions!$B$29+E150+F150+G150+H150+I150</f>
        <v/>
      </c>
      <c r="K150">
        <f>J150+Assumptions!$B$4/B150</f>
        <v/>
      </c>
      <c r="L150">
        <f>B150</f>
        <v/>
      </c>
    </row>
    <row r="151">
      <c r="A151" t="inlineStr">
        <is>
          <t>cell(0,1) iter 12</t>
        </is>
      </c>
      <c r="B151">
        <f>Assumptions!$B$54/J150</f>
        <v/>
      </c>
      <c r="C151">
        <f>IF(B151&lt;Assumptions!$B$20,Assumptions!$B$20*(Assumptions!$B$29+Assumptions!$B$4/Assumptions!$B$20)/(Assumptions!$B$29+Assumptions!$B$4/B151),Assumptions!$B$20)</f>
        <v/>
      </c>
      <c r="D151">
        <f>IF(B151&lt;Assumptions!$B$21,Assumptions!$B$21*(Assumptions!$B$29+Assumptions!$B$4/Assumptions!$B$21)/(Assumptions!$B$29+Assumptions!$B$4/B151),Assumptions!$B$21)</f>
        <v/>
      </c>
      <c r="E151">
        <f>Assumptions!$B$37*Assumptions!$B$22/C151-Assumptions!$B$38</f>
        <v/>
      </c>
      <c r="F151">
        <f>Assumptions!$B$39*Assumptions!$B$21/D151-Assumptions!$B$39</f>
        <v/>
      </c>
      <c r="G151">
        <f>MAX(0,Assumptions!$B$50*(Assumptions!$B$29+E151+F151+G150+H150+I150+Assumptions!$B$4/B151)-Assumptions!$B$30)</f>
        <v/>
      </c>
      <c r="H151">
        <f>Assumptions!$B$23/MIN(Assumptions!$B$24/(Assumptions!$B$29+E151+F151+G151+I150),B151*(1-Assumptions!$B$25))</f>
        <v/>
      </c>
      <c r="I151">
        <f>Assumptions!$B$26/MIN(Assumptions!$B$27/(Assumptions!$B$29+E151+F151+G151+H151),B151*(1-Assumptions!$B$28))</f>
        <v/>
      </c>
      <c r="J151">
        <f>Assumptions!$B$29+E151+F151+G151+H151+I151</f>
        <v/>
      </c>
      <c r="K151">
        <f>J151+Assumptions!$B$4/B151</f>
        <v/>
      </c>
      <c r="L151">
        <f>B151</f>
        <v/>
      </c>
    </row>
    <row r="152">
      <c r="A152" t="inlineStr">
        <is>
          <t>cell(0,1) iter 13</t>
        </is>
      </c>
      <c r="B152">
        <f>Assumptions!$B$54/J151</f>
        <v/>
      </c>
      <c r="C152">
        <f>IF(B152&lt;Assumptions!$B$20,Assumptions!$B$20*(Assumptions!$B$29+Assumptions!$B$4/Assumptions!$B$20)/(Assumptions!$B$29+Assumptions!$B$4/B152),Assumptions!$B$20)</f>
        <v/>
      </c>
      <c r="D152">
        <f>IF(B152&lt;Assumptions!$B$21,Assumptions!$B$21*(Assumptions!$B$29+Assumptions!$B$4/Assumptions!$B$21)/(Assumptions!$B$29+Assumptions!$B$4/B152),Assumptions!$B$21)</f>
        <v/>
      </c>
      <c r="E152">
        <f>Assumptions!$B$37*Assumptions!$B$22/C152-Assumptions!$B$38</f>
        <v/>
      </c>
      <c r="F152">
        <f>Assumptions!$B$39*Assumptions!$B$21/D152-Assumptions!$B$39</f>
        <v/>
      </c>
      <c r="G152">
        <f>MAX(0,Assumptions!$B$50*(Assumptions!$B$29+E152+F152+G151+H151+I151+Assumptions!$B$4/B152)-Assumptions!$B$30)</f>
        <v/>
      </c>
      <c r="H152">
        <f>Assumptions!$B$23/MIN(Assumptions!$B$24/(Assumptions!$B$29+E152+F152+G152+I151),B152*(1-Assumptions!$B$25))</f>
        <v/>
      </c>
      <c r="I152">
        <f>Assumptions!$B$26/MIN(Assumptions!$B$27/(Assumptions!$B$29+E152+F152+G152+H152),B152*(1-Assumptions!$B$28))</f>
        <v/>
      </c>
      <c r="J152">
        <f>Assumptions!$B$29+E152+F152+G152+H152+I152</f>
        <v/>
      </c>
      <c r="K152">
        <f>J152+Assumptions!$B$4/B152</f>
        <v/>
      </c>
      <c r="L152">
        <f>B152</f>
        <v/>
      </c>
    </row>
    <row r="153">
      <c r="A153" t="inlineStr">
        <is>
          <t>cell(0,1) iter 14</t>
        </is>
      </c>
      <c r="B153">
        <f>Assumptions!$B$54/J152</f>
        <v/>
      </c>
      <c r="C153">
        <f>IF(B153&lt;Assumptions!$B$20,Assumptions!$B$20*(Assumptions!$B$29+Assumptions!$B$4/Assumptions!$B$20)/(Assumptions!$B$29+Assumptions!$B$4/B153),Assumptions!$B$20)</f>
        <v/>
      </c>
      <c r="D153">
        <f>IF(B153&lt;Assumptions!$B$21,Assumptions!$B$21*(Assumptions!$B$29+Assumptions!$B$4/Assumptions!$B$21)/(Assumptions!$B$29+Assumptions!$B$4/B153),Assumptions!$B$21)</f>
        <v/>
      </c>
      <c r="E153">
        <f>Assumptions!$B$37*Assumptions!$B$22/C153-Assumptions!$B$38</f>
        <v/>
      </c>
      <c r="F153">
        <f>Assumptions!$B$39*Assumptions!$B$21/D153-Assumptions!$B$39</f>
        <v/>
      </c>
      <c r="G153">
        <f>MAX(0,Assumptions!$B$50*(Assumptions!$B$29+E153+F153+G152+H152+I152+Assumptions!$B$4/B153)-Assumptions!$B$30)</f>
        <v/>
      </c>
      <c r="H153">
        <f>Assumptions!$B$23/MIN(Assumptions!$B$24/(Assumptions!$B$29+E153+F153+G153+I152),B153*(1-Assumptions!$B$25))</f>
        <v/>
      </c>
      <c r="I153">
        <f>Assumptions!$B$26/MIN(Assumptions!$B$27/(Assumptions!$B$29+E153+F153+G153+H153),B153*(1-Assumptions!$B$28))</f>
        <v/>
      </c>
      <c r="J153">
        <f>Assumptions!$B$29+E153+F153+G153+H153+I153</f>
        <v/>
      </c>
      <c r="K153">
        <f>J153+Assumptions!$B$4/B153</f>
        <v/>
      </c>
      <c r="L153">
        <f>B153</f>
        <v/>
      </c>
    </row>
    <row r="154">
      <c r="A154" t="inlineStr">
        <is>
          <t>cell(0,1) iter 15</t>
        </is>
      </c>
      <c r="B154">
        <f>Assumptions!$B$54/J153</f>
        <v/>
      </c>
      <c r="C154">
        <f>IF(B154&lt;Assumptions!$B$20,Assumptions!$B$20*(Assumptions!$B$29+Assumptions!$B$4/Assumptions!$B$20)/(Assumptions!$B$29+Assumptions!$B$4/B154),Assumptions!$B$20)</f>
        <v/>
      </c>
      <c r="D154">
        <f>IF(B154&lt;Assumptions!$B$21,Assumptions!$B$21*(Assumptions!$B$29+Assumptions!$B$4/Assumptions!$B$21)/(Assumptions!$B$29+Assumptions!$B$4/B154),Assumptions!$B$21)</f>
        <v/>
      </c>
      <c r="E154">
        <f>Assumptions!$B$37*Assumptions!$B$22/C154-Assumptions!$B$38</f>
        <v/>
      </c>
      <c r="F154">
        <f>Assumptions!$B$39*Assumptions!$B$21/D154-Assumptions!$B$39</f>
        <v/>
      </c>
      <c r="G154">
        <f>MAX(0,Assumptions!$B$50*(Assumptions!$B$29+E154+F154+G153+H153+I153+Assumptions!$B$4/B154)-Assumptions!$B$30)</f>
        <v/>
      </c>
      <c r="H154">
        <f>Assumptions!$B$23/MIN(Assumptions!$B$24/(Assumptions!$B$29+E154+F154+G154+I153),B154*(1-Assumptions!$B$25))</f>
        <v/>
      </c>
      <c r="I154">
        <f>Assumptions!$B$26/MIN(Assumptions!$B$27/(Assumptions!$B$29+E154+F154+G154+H154),B154*(1-Assumptions!$B$28))</f>
        <v/>
      </c>
      <c r="J154">
        <f>Assumptions!$B$29+E154+F154+G154+H154+I154</f>
        <v/>
      </c>
      <c r="K154">
        <f>J154+Assumptions!$B$4/B154</f>
        <v/>
      </c>
      <c r="L154">
        <f>B154</f>
        <v/>
      </c>
    </row>
    <row r="155">
      <c r="A155" t="inlineStr">
        <is>
          <t>cell(0,1) iter 16</t>
        </is>
      </c>
      <c r="B155">
        <f>Assumptions!$B$54/J154</f>
        <v/>
      </c>
      <c r="C155">
        <f>IF(B155&lt;Assumptions!$B$20,Assumptions!$B$20*(Assumptions!$B$29+Assumptions!$B$4/Assumptions!$B$20)/(Assumptions!$B$29+Assumptions!$B$4/B155),Assumptions!$B$20)</f>
        <v/>
      </c>
      <c r="D155">
        <f>IF(B155&lt;Assumptions!$B$21,Assumptions!$B$21*(Assumptions!$B$29+Assumptions!$B$4/Assumptions!$B$21)/(Assumptions!$B$29+Assumptions!$B$4/B155),Assumptions!$B$21)</f>
        <v/>
      </c>
      <c r="E155">
        <f>Assumptions!$B$37*Assumptions!$B$22/C155-Assumptions!$B$38</f>
        <v/>
      </c>
      <c r="F155">
        <f>Assumptions!$B$39*Assumptions!$B$21/D155-Assumptions!$B$39</f>
        <v/>
      </c>
      <c r="G155">
        <f>MAX(0,Assumptions!$B$50*(Assumptions!$B$29+E155+F155+G154+H154+I154+Assumptions!$B$4/B155)-Assumptions!$B$30)</f>
        <v/>
      </c>
      <c r="H155">
        <f>Assumptions!$B$23/MIN(Assumptions!$B$24/(Assumptions!$B$29+E155+F155+G155+I154),B155*(1-Assumptions!$B$25))</f>
        <v/>
      </c>
      <c r="I155">
        <f>Assumptions!$B$26/MIN(Assumptions!$B$27/(Assumptions!$B$29+E155+F155+G155+H155),B155*(1-Assumptions!$B$28))</f>
        <v/>
      </c>
      <c r="J155">
        <f>Assumptions!$B$29+E155+F155+G155+H155+I155</f>
        <v/>
      </c>
      <c r="K155">
        <f>J155+Assumptions!$B$4/B155</f>
        <v/>
      </c>
      <c r="L155">
        <f>B155</f>
        <v/>
      </c>
    </row>
    <row r="156">
      <c r="A156" t="inlineStr">
        <is>
          <t>cell(0,1) iter 17</t>
        </is>
      </c>
      <c r="B156">
        <f>Assumptions!$B$54/J155</f>
        <v/>
      </c>
      <c r="C156">
        <f>IF(B156&lt;Assumptions!$B$20,Assumptions!$B$20*(Assumptions!$B$29+Assumptions!$B$4/Assumptions!$B$20)/(Assumptions!$B$29+Assumptions!$B$4/B156),Assumptions!$B$20)</f>
        <v/>
      </c>
      <c r="D156">
        <f>IF(B156&lt;Assumptions!$B$21,Assumptions!$B$21*(Assumptions!$B$29+Assumptions!$B$4/Assumptions!$B$21)/(Assumptions!$B$29+Assumptions!$B$4/B156),Assumptions!$B$21)</f>
        <v/>
      </c>
      <c r="E156">
        <f>Assumptions!$B$37*Assumptions!$B$22/C156-Assumptions!$B$38</f>
        <v/>
      </c>
      <c r="F156">
        <f>Assumptions!$B$39*Assumptions!$B$21/D156-Assumptions!$B$39</f>
        <v/>
      </c>
      <c r="G156">
        <f>MAX(0,Assumptions!$B$50*(Assumptions!$B$29+E156+F156+G155+H155+I155+Assumptions!$B$4/B156)-Assumptions!$B$30)</f>
        <v/>
      </c>
      <c r="H156">
        <f>Assumptions!$B$23/MIN(Assumptions!$B$24/(Assumptions!$B$29+E156+F156+G156+I155),B156*(1-Assumptions!$B$25))</f>
        <v/>
      </c>
      <c r="I156">
        <f>Assumptions!$B$26/MIN(Assumptions!$B$27/(Assumptions!$B$29+E156+F156+G156+H156),B156*(1-Assumptions!$B$28))</f>
        <v/>
      </c>
      <c r="J156">
        <f>Assumptions!$B$29+E156+F156+G156+H156+I156</f>
        <v/>
      </c>
      <c r="K156">
        <f>J156+Assumptions!$B$4/B156</f>
        <v/>
      </c>
      <c r="L156">
        <f>B156</f>
        <v/>
      </c>
    </row>
    <row r="157">
      <c r="A157" t="inlineStr">
        <is>
          <t>cell(0,1) iter 18</t>
        </is>
      </c>
      <c r="B157">
        <f>Assumptions!$B$54/J156</f>
        <v/>
      </c>
      <c r="C157">
        <f>IF(B157&lt;Assumptions!$B$20,Assumptions!$B$20*(Assumptions!$B$29+Assumptions!$B$4/Assumptions!$B$20)/(Assumptions!$B$29+Assumptions!$B$4/B157),Assumptions!$B$20)</f>
        <v/>
      </c>
      <c r="D157">
        <f>IF(B157&lt;Assumptions!$B$21,Assumptions!$B$21*(Assumptions!$B$29+Assumptions!$B$4/Assumptions!$B$21)/(Assumptions!$B$29+Assumptions!$B$4/B157),Assumptions!$B$21)</f>
        <v/>
      </c>
      <c r="E157">
        <f>Assumptions!$B$37*Assumptions!$B$22/C157-Assumptions!$B$38</f>
        <v/>
      </c>
      <c r="F157">
        <f>Assumptions!$B$39*Assumptions!$B$21/D157-Assumptions!$B$39</f>
        <v/>
      </c>
      <c r="G157">
        <f>MAX(0,Assumptions!$B$50*(Assumptions!$B$29+E157+F157+G156+H156+I156+Assumptions!$B$4/B157)-Assumptions!$B$30)</f>
        <v/>
      </c>
      <c r="H157">
        <f>Assumptions!$B$23/MIN(Assumptions!$B$24/(Assumptions!$B$29+E157+F157+G157+I156),B157*(1-Assumptions!$B$25))</f>
        <v/>
      </c>
      <c r="I157">
        <f>Assumptions!$B$26/MIN(Assumptions!$B$27/(Assumptions!$B$29+E157+F157+G157+H157),B157*(1-Assumptions!$B$28))</f>
        <v/>
      </c>
      <c r="J157">
        <f>Assumptions!$B$29+E157+F157+G157+H157+I157</f>
        <v/>
      </c>
      <c r="K157">
        <f>J157+Assumptions!$B$4/B157</f>
        <v/>
      </c>
      <c r="L157">
        <f>B157</f>
        <v/>
      </c>
    </row>
    <row r="158">
      <c r="A158" t="inlineStr">
        <is>
          <t>cell(0,1) iter 19</t>
        </is>
      </c>
      <c r="B158">
        <f>Assumptions!$B$54/J157</f>
        <v/>
      </c>
      <c r="C158">
        <f>IF(B158&lt;Assumptions!$B$20,Assumptions!$B$20*(Assumptions!$B$29+Assumptions!$B$4/Assumptions!$B$20)/(Assumptions!$B$29+Assumptions!$B$4/B158),Assumptions!$B$20)</f>
        <v/>
      </c>
      <c r="D158">
        <f>IF(B158&lt;Assumptions!$B$21,Assumptions!$B$21*(Assumptions!$B$29+Assumptions!$B$4/Assumptions!$B$21)/(Assumptions!$B$29+Assumptions!$B$4/B158),Assumptions!$B$21)</f>
        <v/>
      </c>
      <c r="E158">
        <f>Assumptions!$B$37*Assumptions!$B$22/C158-Assumptions!$B$38</f>
        <v/>
      </c>
      <c r="F158">
        <f>Assumptions!$B$39*Assumptions!$B$21/D158-Assumptions!$B$39</f>
        <v/>
      </c>
      <c r="G158">
        <f>MAX(0,Assumptions!$B$50*(Assumptions!$B$29+E158+F158+G157+H157+I157+Assumptions!$B$4/B158)-Assumptions!$B$30)</f>
        <v/>
      </c>
      <c r="H158">
        <f>Assumptions!$B$23/MIN(Assumptions!$B$24/(Assumptions!$B$29+E158+F158+G158+I157),B158*(1-Assumptions!$B$25))</f>
        <v/>
      </c>
      <c r="I158">
        <f>Assumptions!$B$26/MIN(Assumptions!$B$27/(Assumptions!$B$29+E158+F158+G158+H158),B158*(1-Assumptions!$B$28))</f>
        <v/>
      </c>
      <c r="J158">
        <f>Assumptions!$B$29+E158+F158+G158+H158+I158</f>
        <v/>
      </c>
      <c r="K158">
        <f>J158+Assumptions!$B$4/B158</f>
        <v/>
      </c>
      <c r="L158">
        <f>B158</f>
        <v/>
      </c>
    </row>
    <row r="159">
      <c r="A159" t="inlineStr">
        <is>
          <t>cell(0,1) iter 20</t>
        </is>
      </c>
      <c r="B159">
        <f>Assumptions!$B$54/J158</f>
        <v/>
      </c>
      <c r="C159">
        <f>IF(B159&lt;Assumptions!$B$20,Assumptions!$B$20*(Assumptions!$B$29+Assumptions!$B$4/Assumptions!$B$20)/(Assumptions!$B$29+Assumptions!$B$4/B159),Assumptions!$B$20)</f>
        <v/>
      </c>
      <c r="D159">
        <f>IF(B159&lt;Assumptions!$B$21,Assumptions!$B$21*(Assumptions!$B$29+Assumptions!$B$4/Assumptions!$B$21)/(Assumptions!$B$29+Assumptions!$B$4/B159),Assumptions!$B$21)</f>
        <v/>
      </c>
      <c r="E159">
        <f>Assumptions!$B$37*Assumptions!$B$22/C159-Assumptions!$B$38</f>
        <v/>
      </c>
      <c r="F159">
        <f>Assumptions!$B$39*Assumptions!$B$21/D159-Assumptions!$B$39</f>
        <v/>
      </c>
      <c r="G159">
        <f>MAX(0,Assumptions!$B$50*(Assumptions!$B$29+E159+F159+G158+H158+I158+Assumptions!$B$4/B159)-Assumptions!$B$30)</f>
        <v/>
      </c>
      <c r="H159">
        <f>Assumptions!$B$23/MIN(Assumptions!$B$24/(Assumptions!$B$29+E159+F159+G159+I158),B159*(1-Assumptions!$B$25))</f>
        <v/>
      </c>
      <c r="I159">
        <f>Assumptions!$B$26/MIN(Assumptions!$B$27/(Assumptions!$B$29+E159+F159+G159+H159),B159*(1-Assumptions!$B$28))</f>
        <v/>
      </c>
      <c r="J159">
        <f>Assumptions!$B$29+E159+F159+G159+H159+I159</f>
        <v/>
      </c>
      <c r="K159">
        <f>J159+Assumptions!$B$4/B159</f>
        <v/>
      </c>
      <c r="L159">
        <f>B159</f>
        <v/>
      </c>
    </row>
    <row r="160">
      <c r="A160" t="inlineStr">
        <is>
          <t>cell(0,1) iter 21</t>
        </is>
      </c>
      <c r="B160">
        <f>Assumptions!$B$54/J159</f>
        <v/>
      </c>
      <c r="C160">
        <f>IF(B160&lt;Assumptions!$B$20,Assumptions!$B$20*(Assumptions!$B$29+Assumptions!$B$4/Assumptions!$B$20)/(Assumptions!$B$29+Assumptions!$B$4/B160),Assumptions!$B$20)</f>
        <v/>
      </c>
      <c r="D160">
        <f>IF(B160&lt;Assumptions!$B$21,Assumptions!$B$21*(Assumptions!$B$29+Assumptions!$B$4/Assumptions!$B$21)/(Assumptions!$B$29+Assumptions!$B$4/B160),Assumptions!$B$21)</f>
        <v/>
      </c>
      <c r="E160">
        <f>Assumptions!$B$37*Assumptions!$B$22/C160-Assumptions!$B$38</f>
        <v/>
      </c>
      <c r="F160">
        <f>Assumptions!$B$39*Assumptions!$B$21/D160-Assumptions!$B$39</f>
        <v/>
      </c>
      <c r="G160">
        <f>MAX(0,Assumptions!$B$50*(Assumptions!$B$29+E160+F160+G159+H159+I159+Assumptions!$B$4/B160)-Assumptions!$B$30)</f>
        <v/>
      </c>
      <c r="H160">
        <f>Assumptions!$B$23/MIN(Assumptions!$B$24/(Assumptions!$B$29+E160+F160+G160+I159),B160*(1-Assumptions!$B$25))</f>
        <v/>
      </c>
      <c r="I160">
        <f>Assumptions!$B$26/MIN(Assumptions!$B$27/(Assumptions!$B$29+E160+F160+G160+H160),B160*(1-Assumptions!$B$28))</f>
        <v/>
      </c>
      <c r="J160">
        <f>Assumptions!$B$29+E160+F160+G160+H160+I160</f>
        <v/>
      </c>
      <c r="K160">
        <f>J160+Assumptions!$B$4/B160</f>
        <v/>
      </c>
      <c r="L160">
        <f>B160</f>
        <v/>
      </c>
    </row>
    <row r="161">
      <c r="A161" t="inlineStr">
        <is>
          <t>cell(0,1) iter 22</t>
        </is>
      </c>
      <c r="B161">
        <f>Assumptions!$B$54/J160</f>
        <v/>
      </c>
      <c r="C161">
        <f>IF(B161&lt;Assumptions!$B$20,Assumptions!$B$20*(Assumptions!$B$29+Assumptions!$B$4/Assumptions!$B$20)/(Assumptions!$B$29+Assumptions!$B$4/B161),Assumptions!$B$20)</f>
        <v/>
      </c>
      <c r="D161">
        <f>IF(B161&lt;Assumptions!$B$21,Assumptions!$B$21*(Assumptions!$B$29+Assumptions!$B$4/Assumptions!$B$21)/(Assumptions!$B$29+Assumptions!$B$4/B161),Assumptions!$B$21)</f>
        <v/>
      </c>
      <c r="E161">
        <f>Assumptions!$B$37*Assumptions!$B$22/C161-Assumptions!$B$38</f>
        <v/>
      </c>
      <c r="F161">
        <f>Assumptions!$B$39*Assumptions!$B$21/D161-Assumptions!$B$39</f>
        <v/>
      </c>
      <c r="G161">
        <f>MAX(0,Assumptions!$B$50*(Assumptions!$B$29+E161+F161+G160+H160+I160+Assumptions!$B$4/B161)-Assumptions!$B$30)</f>
        <v/>
      </c>
      <c r="H161">
        <f>Assumptions!$B$23/MIN(Assumptions!$B$24/(Assumptions!$B$29+E161+F161+G161+I160),B161*(1-Assumptions!$B$25))</f>
        <v/>
      </c>
      <c r="I161">
        <f>Assumptions!$B$26/MIN(Assumptions!$B$27/(Assumptions!$B$29+E161+F161+G161+H161),B161*(1-Assumptions!$B$28))</f>
        <v/>
      </c>
      <c r="J161">
        <f>Assumptions!$B$29+E161+F161+G161+H161+I161</f>
        <v/>
      </c>
      <c r="K161">
        <f>J161+Assumptions!$B$4/B161</f>
        <v/>
      </c>
      <c r="L161">
        <f>B161</f>
        <v/>
      </c>
    </row>
    <row r="162">
      <c r="A162" t="inlineStr">
        <is>
          <t>cell(0,1) iter 23</t>
        </is>
      </c>
      <c r="B162">
        <f>Assumptions!$B$54/J161</f>
        <v/>
      </c>
      <c r="C162">
        <f>IF(B162&lt;Assumptions!$B$20,Assumptions!$B$20*(Assumptions!$B$29+Assumptions!$B$4/Assumptions!$B$20)/(Assumptions!$B$29+Assumptions!$B$4/B162),Assumptions!$B$20)</f>
        <v/>
      </c>
      <c r="D162">
        <f>IF(B162&lt;Assumptions!$B$21,Assumptions!$B$21*(Assumptions!$B$29+Assumptions!$B$4/Assumptions!$B$21)/(Assumptions!$B$29+Assumptions!$B$4/B162),Assumptions!$B$21)</f>
        <v/>
      </c>
      <c r="E162">
        <f>Assumptions!$B$37*Assumptions!$B$22/C162-Assumptions!$B$38</f>
        <v/>
      </c>
      <c r="F162">
        <f>Assumptions!$B$39*Assumptions!$B$21/D162-Assumptions!$B$39</f>
        <v/>
      </c>
      <c r="G162">
        <f>MAX(0,Assumptions!$B$50*(Assumptions!$B$29+E162+F162+G161+H161+I161+Assumptions!$B$4/B162)-Assumptions!$B$30)</f>
        <v/>
      </c>
      <c r="H162">
        <f>Assumptions!$B$23/MIN(Assumptions!$B$24/(Assumptions!$B$29+E162+F162+G162+I161),B162*(1-Assumptions!$B$25))</f>
        <v/>
      </c>
      <c r="I162">
        <f>Assumptions!$B$26/MIN(Assumptions!$B$27/(Assumptions!$B$29+E162+F162+G162+H162),B162*(1-Assumptions!$B$28))</f>
        <v/>
      </c>
      <c r="J162">
        <f>Assumptions!$B$29+E162+F162+G162+H162+I162</f>
        <v/>
      </c>
      <c r="K162">
        <f>J162+Assumptions!$B$4/B162</f>
        <v/>
      </c>
      <c r="L162">
        <f>B162</f>
        <v/>
      </c>
    </row>
    <row r="163">
      <c r="A163" t="inlineStr">
        <is>
          <t>cell(0,1) iter 24</t>
        </is>
      </c>
      <c r="B163">
        <f>Assumptions!$B$54/J162</f>
        <v/>
      </c>
      <c r="C163">
        <f>IF(B163&lt;Assumptions!$B$20,Assumptions!$B$20*(Assumptions!$B$29+Assumptions!$B$4/Assumptions!$B$20)/(Assumptions!$B$29+Assumptions!$B$4/B163),Assumptions!$B$20)</f>
        <v/>
      </c>
      <c r="D163">
        <f>IF(B163&lt;Assumptions!$B$21,Assumptions!$B$21*(Assumptions!$B$29+Assumptions!$B$4/Assumptions!$B$21)/(Assumptions!$B$29+Assumptions!$B$4/B163),Assumptions!$B$21)</f>
        <v/>
      </c>
      <c r="E163">
        <f>Assumptions!$B$37*Assumptions!$B$22/C163-Assumptions!$B$38</f>
        <v/>
      </c>
      <c r="F163">
        <f>Assumptions!$B$39*Assumptions!$B$21/D163-Assumptions!$B$39</f>
        <v/>
      </c>
      <c r="G163">
        <f>MAX(0,Assumptions!$B$50*(Assumptions!$B$29+E163+F163+G162+H162+I162+Assumptions!$B$4/B163)-Assumptions!$B$30)</f>
        <v/>
      </c>
      <c r="H163">
        <f>Assumptions!$B$23/MIN(Assumptions!$B$24/(Assumptions!$B$29+E163+F163+G163+I162),B163*(1-Assumptions!$B$25))</f>
        <v/>
      </c>
      <c r="I163">
        <f>Assumptions!$B$26/MIN(Assumptions!$B$27/(Assumptions!$B$29+E163+F163+G163+H163),B163*(1-Assumptions!$B$28))</f>
        <v/>
      </c>
      <c r="J163">
        <f>Assumptions!$B$29+E163+F163+G163+H163+I163</f>
        <v/>
      </c>
      <c r="K163">
        <f>J163+Assumptions!$B$4/B163</f>
        <v/>
      </c>
      <c r="L163">
        <f>B163</f>
        <v/>
      </c>
    </row>
    <row r="164">
      <c r="A164" t="inlineStr">
        <is>
          <t>cell(0,1) iter 25</t>
        </is>
      </c>
      <c r="B164">
        <f>Assumptions!$B$54/J163</f>
        <v/>
      </c>
      <c r="C164">
        <f>IF(B164&lt;Assumptions!$B$20,Assumptions!$B$20*(Assumptions!$B$29+Assumptions!$B$4/Assumptions!$B$20)/(Assumptions!$B$29+Assumptions!$B$4/B164),Assumptions!$B$20)</f>
        <v/>
      </c>
      <c r="D164">
        <f>IF(B164&lt;Assumptions!$B$21,Assumptions!$B$21*(Assumptions!$B$29+Assumptions!$B$4/Assumptions!$B$21)/(Assumptions!$B$29+Assumptions!$B$4/B164),Assumptions!$B$21)</f>
        <v/>
      </c>
      <c r="E164">
        <f>Assumptions!$B$37*Assumptions!$B$22/C164-Assumptions!$B$38</f>
        <v/>
      </c>
      <c r="F164">
        <f>Assumptions!$B$39*Assumptions!$B$21/D164-Assumptions!$B$39</f>
        <v/>
      </c>
      <c r="G164">
        <f>MAX(0,Assumptions!$B$50*(Assumptions!$B$29+E164+F164+G163+H163+I163+Assumptions!$B$4/B164)-Assumptions!$B$30)</f>
        <v/>
      </c>
      <c r="H164">
        <f>Assumptions!$B$23/MIN(Assumptions!$B$24/(Assumptions!$B$29+E164+F164+G164+I163),B164*(1-Assumptions!$B$25))</f>
        <v/>
      </c>
      <c r="I164">
        <f>Assumptions!$B$26/MIN(Assumptions!$B$27/(Assumptions!$B$29+E164+F164+G164+H164),B164*(1-Assumptions!$B$28))</f>
        <v/>
      </c>
      <c r="J164">
        <f>Assumptions!$B$29+E164+F164+G164+H164+I164</f>
        <v/>
      </c>
      <c r="K164">
        <f>J164+Assumptions!$B$4/B164</f>
        <v/>
      </c>
      <c r="L164">
        <f>B164</f>
        <v/>
      </c>
    </row>
    <row r="165">
      <c r="A165" t="inlineStr">
        <is>
          <t>cell(0,1) iter 26</t>
        </is>
      </c>
      <c r="B165">
        <f>Assumptions!$B$54/J164</f>
        <v/>
      </c>
      <c r="C165">
        <f>IF(B165&lt;Assumptions!$B$20,Assumptions!$B$20*(Assumptions!$B$29+Assumptions!$B$4/Assumptions!$B$20)/(Assumptions!$B$29+Assumptions!$B$4/B165),Assumptions!$B$20)</f>
        <v/>
      </c>
      <c r="D165">
        <f>IF(B165&lt;Assumptions!$B$21,Assumptions!$B$21*(Assumptions!$B$29+Assumptions!$B$4/Assumptions!$B$21)/(Assumptions!$B$29+Assumptions!$B$4/B165),Assumptions!$B$21)</f>
        <v/>
      </c>
      <c r="E165">
        <f>Assumptions!$B$37*Assumptions!$B$22/C165-Assumptions!$B$38</f>
        <v/>
      </c>
      <c r="F165">
        <f>Assumptions!$B$39*Assumptions!$B$21/D165-Assumptions!$B$39</f>
        <v/>
      </c>
      <c r="G165">
        <f>MAX(0,Assumptions!$B$50*(Assumptions!$B$29+E165+F165+G164+H164+I164+Assumptions!$B$4/B165)-Assumptions!$B$30)</f>
        <v/>
      </c>
      <c r="H165">
        <f>Assumptions!$B$23/MIN(Assumptions!$B$24/(Assumptions!$B$29+E165+F165+G165+I164),B165*(1-Assumptions!$B$25))</f>
        <v/>
      </c>
      <c r="I165">
        <f>Assumptions!$B$26/MIN(Assumptions!$B$27/(Assumptions!$B$29+E165+F165+G165+H165),B165*(1-Assumptions!$B$28))</f>
        <v/>
      </c>
      <c r="J165">
        <f>Assumptions!$B$29+E165+F165+G165+H165+I165</f>
        <v/>
      </c>
      <c r="K165">
        <f>J165+Assumptions!$B$4/B165</f>
        <v/>
      </c>
      <c r="L165">
        <f>B165</f>
        <v/>
      </c>
    </row>
    <row r="166">
      <c r="A166" t="inlineStr">
        <is>
          <t>cell(0,1) iter 27</t>
        </is>
      </c>
      <c r="B166">
        <f>Assumptions!$B$54/J165</f>
        <v/>
      </c>
      <c r="C166">
        <f>IF(B166&lt;Assumptions!$B$20,Assumptions!$B$20*(Assumptions!$B$29+Assumptions!$B$4/Assumptions!$B$20)/(Assumptions!$B$29+Assumptions!$B$4/B166),Assumptions!$B$20)</f>
        <v/>
      </c>
      <c r="D166">
        <f>IF(B166&lt;Assumptions!$B$21,Assumptions!$B$21*(Assumptions!$B$29+Assumptions!$B$4/Assumptions!$B$21)/(Assumptions!$B$29+Assumptions!$B$4/B166),Assumptions!$B$21)</f>
        <v/>
      </c>
      <c r="E166">
        <f>Assumptions!$B$37*Assumptions!$B$22/C166-Assumptions!$B$38</f>
        <v/>
      </c>
      <c r="F166">
        <f>Assumptions!$B$39*Assumptions!$B$21/D166-Assumptions!$B$39</f>
        <v/>
      </c>
      <c r="G166">
        <f>MAX(0,Assumptions!$B$50*(Assumptions!$B$29+E166+F166+G165+H165+I165+Assumptions!$B$4/B166)-Assumptions!$B$30)</f>
        <v/>
      </c>
      <c r="H166">
        <f>Assumptions!$B$23/MIN(Assumptions!$B$24/(Assumptions!$B$29+E166+F166+G166+I165),B166*(1-Assumptions!$B$25))</f>
        <v/>
      </c>
      <c r="I166">
        <f>Assumptions!$B$26/MIN(Assumptions!$B$27/(Assumptions!$B$29+E166+F166+G166+H166),B166*(1-Assumptions!$B$28))</f>
        <v/>
      </c>
      <c r="J166">
        <f>Assumptions!$B$29+E166+F166+G166+H166+I166</f>
        <v/>
      </c>
      <c r="K166">
        <f>J166+Assumptions!$B$4/B166</f>
        <v/>
      </c>
      <c r="L166">
        <f>B166</f>
        <v/>
      </c>
    </row>
    <row r="167">
      <c r="A167" t="inlineStr">
        <is>
          <t>cell(0,1) iter 28</t>
        </is>
      </c>
      <c r="B167">
        <f>Assumptions!$B$54/J166</f>
        <v/>
      </c>
      <c r="C167">
        <f>IF(B167&lt;Assumptions!$B$20,Assumptions!$B$20*(Assumptions!$B$29+Assumptions!$B$4/Assumptions!$B$20)/(Assumptions!$B$29+Assumptions!$B$4/B167),Assumptions!$B$20)</f>
        <v/>
      </c>
      <c r="D167">
        <f>IF(B167&lt;Assumptions!$B$21,Assumptions!$B$21*(Assumptions!$B$29+Assumptions!$B$4/Assumptions!$B$21)/(Assumptions!$B$29+Assumptions!$B$4/B167),Assumptions!$B$21)</f>
        <v/>
      </c>
      <c r="E167">
        <f>Assumptions!$B$37*Assumptions!$B$22/C167-Assumptions!$B$38</f>
        <v/>
      </c>
      <c r="F167">
        <f>Assumptions!$B$39*Assumptions!$B$21/D167-Assumptions!$B$39</f>
        <v/>
      </c>
      <c r="G167">
        <f>MAX(0,Assumptions!$B$50*(Assumptions!$B$29+E167+F167+G166+H166+I166+Assumptions!$B$4/B167)-Assumptions!$B$30)</f>
        <v/>
      </c>
      <c r="H167">
        <f>Assumptions!$B$23/MIN(Assumptions!$B$24/(Assumptions!$B$29+E167+F167+G167+I166),B167*(1-Assumptions!$B$25))</f>
        <v/>
      </c>
      <c r="I167">
        <f>Assumptions!$B$26/MIN(Assumptions!$B$27/(Assumptions!$B$29+E167+F167+G167+H167),B167*(1-Assumptions!$B$28))</f>
        <v/>
      </c>
      <c r="J167">
        <f>Assumptions!$B$29+E167+F167+G167+H167+I167</f>
        <v/>
      </c>
      <c r="K167">
        <f>J167+Assumptions!$B$4/B167</f>
        <v/>
      </c>
      <c r="L167">
        <f>B167</f>
        <v/>
      </c>
    </row>
    <row r="168">
      <c r="A168" t="inlineStr">
        <is>
          <t>cell(0,1) iter 29</t>
        </is>
      </c>
      <c r="B168">
        <f>Assumptions!$B$54/J167</f>
        <v/>
      </c>
      <c r="C168">
        <f>IF(B168&lt;Assumptions!$B$20,Assumptions!$B$20*(Assumptions!$B$29+Assumptions!$B$4/Assumptions!$B$20)/(Assumptions!$B$29+Assumptions!$B$4/B168),Assumptions!$B$20)</f>
        <v/>
      </c>
      <c r="D168">
        <f>IF(B168&lt;Assumptions!$B$21,Assumptions!$B$21*(Assumptions!$B$29+Assumptions!$B$4/Assumptions!$B$21)/(Assumptions!$B$29+Assumptions!$B$4/B168),Assumptions!$B$21)</f>
        <v/>
      </c>
      <c r="E168">
        <f>Assumptions!$B$37*Assumptions!$B$22/C168-Assumptions!$B$38</f>
        <v/>
      </c>
      <c r="F168">
        <f>Assumptions!$B$39*Assumptions!$B$21/D168-Assumptions!$B$39</f>
        <v/>
      </c>
      <c r="G168">
        <f>MAX(0,Assumptions!$B$50*(Assumptions!$B$29+E168+F168+G167+H167+I167+Assumptions!$B$4/B168)-Assumptions!$B$30)</f>
        <v/>
      </c>
      <c r="H168">
        <f>Assumptions!$B$23/MIN(Assumptions!$B$24/(Assumptions!$B$29+E168+F168+G168+I167),B168*(1-Assumptions!$B$25))</f>
        <v/>
      </c>
      <c r="I168">
        <f>Assumptions!$B$26/MIN(Assumptions!$B$27/(Assumptions!$B$29+E168+F168+G168+H168),B168*(1-Assumptions!$B$28))</f>
        <v/>
      </c>
      <c r="J168">
        <f>Assumptions!$B$29+E168+F168+G168+H168+I168</f>
        <v/>
      </c>
      <c r="K168">
        <f>J168+Assumptions!$B$4/B168</f>
        <v/>
      </c>
      <c r="L168">
        <f>B168</f>
        <v/>
      </c>
    </row>
    <row r="169">
      <c r="A169" t="inlineStr">
        <is>
          <t>cell(0,1) iter 30</t>
        </is>
      </c>
      <c r="B169">
        <f>Assumptions!$B$54/J168</f>
        <v/>
      </c>
      <c r="C169">
        <f>IF(B169&lt;Assumptions!$B$20,Assumptions!$B$20*(Assumptions!$B$29+Assumptions!$B$4/Assumptions!$B$20)/(Assumptions!$B$29+Assumptions!$B$4/B169),Assumptions!$B$20)</f>
        <v/>
      </c>
      <c r="D169">
        <f>IF(B169&lt;Assumptions!$B$21,Assumptions!$B$21*(Assumptions!$B$29+Assumptions!$B$4/Assumptions!$B$21)/(Assumptions!$B$29+Assumptions!$B$4/B169),Assumptions!$B$21)</f>
        <v/>
      </c>
      <c r="E169">
        <f>Assumptions!$B$37*Assumptions!$B$22/C169-Assumptions!$B$38</f>
        <v/>
      </c>
      <c r="F169">
        <f>Assumptions!$B$39*Assumptions!$B$21/D169-Assumptions!$B$39</f>
        <v/>
      </c>
      <c r="G169">
        <f>MAX(0,Assumptions!$B$50*(Assumptions!$B$29+E169+F169+G168+H168+I168+Assumptions!$B$4/B169)-Assumptions!$B$30)</f>
        <v/>
      </c>
      <c r="H169">
        <f>Assumptions!$B$23/MIN(Assumptions!$B$24/(Assumptions!$B$29+E169+F169+G169+I168),B169*(1-Assumptions!$B$25))</f>
        <v/>
      </c>
      <c r="I169">
        <f>Assumptions!$B$26/MIN(Assumptions!$B$27/(Assumptions!$B$29+E169+F169+G169+H169),B169*(1-Assumptions!$B$28))</f>
        <v/>
      </c>
      <c r="J169">
        <f>Assumptions!$B$29+E169+F169+G169+H169+I169</f>
        <v/>
      </c>
      <c r="K169">
        <f>J169+Assumptions!$B$4/B169</f>
        <v/>
      </c>
      <c r="L169">
        <f>B169</f>
        <v/>
      </c>
    </row>
    <row r="170">
      <c r="A170" t="inlineStr">
        <is>
          <t>cell(0,1) iter 31</t>
        </is>
      </c>
      <c r="B170">
        <f>Assumptions!$B$54/J169</f>
        <v/>
      </c>
      <c r="C170">
        <f>IF(B170&lt;Assumptions!$B$20,Assumptions!$B$20*(Assumptions!$B$29+Assumptions!$B$4/Assumptions!$B$20)/(Assumptions!$B$29+Assumptions!$B$4/B170),Assumptions!$B$20)</f>
        <v/>
      </c>
      <c r="D170">
        <f>IF(B170&lt;Assumptions!$B$21,Assumptions!$B$21*(Assumptions!$B$29+Assumptions!$B$4/Assumptions!$B$21)/(Assumptions!$B$29+Assumptions!$B$4/B170),Assumptions!$B$21)</f>
        <v/>
      </c>
      <c r="E170">
        <f>Assumptions!$B$37*Assumptions!$B$22/C170-Assumptions!$B$38</f>
        <v/>
      </c>
      <c r="F170">
        <f>Assumptions!$B$39*Assumptions!$B$21/D170-Assumptions!$B$39</f>
        <v/>
      </c>
      <c r="G170">
        <f>MAX(0,Assumptions!$B$50*(Assumptions!$B$29+E170+F170+G169+H169+I169+Assumptions!$B$4/B170)-Assumptions!$B$30)</f>
        <v/>
      </c>
      <c r="H170">
        <f>Assumptions!$B$23/MIN(Assumptions!$B$24/(Assumptions!$B$29+E170+F170+G170+I169),B170*(1-Assumptions!$B$25))</f>
        <v/>
      </c>
      <c r="I170">
        <f>Assumptions!$B$26/MIN(Assumptions!$B$27/(Assumptions!$B$29+E170+F170+G170+H170),B170*(1-Assumptions!$B$28))</f>
        <v/>
      </c>
      <c r="J170">
        <f>Assumptions!$B$29+E170+F170+G170+H170+I170</f>
        <v/>
      </c>
      <c r="K170">
        <f>J170+Assumptions!$B$4/B170</f>
        <v/>
      </c>
      <c r="L170">
        <f>B170</f>
        <v/>
      </c>
    </row>
    <row r="171">
      <c r="A171" t="inlineStr">
        <is>
          <t>cell(0,1) iter 32</t>
        </is>
      </c>
      <c r="B171">
        <f>Assumptions!$B$54/J170</f>
        <v/>
      </c>
      <c r="C171">
        <f>IF(B171&lt;Assumptions!$B$20,Assumptions!$B$20*(Assumptions!$B$29+Assumptions!$B$4/Assumptions!$B$20)/(Assumptions!$B$29+Assumptions!$B$4/B171),Assumptions!$B$20)</f>
        <v/>
      </c>
      <c r="D171">
        <f>IF(B171&lt;Assumptions!$B$21,Assumptions!$B$21*(Assumptions!$B$29+Assumptions!$B$4/Assumptions!$B$21)/(Assumptions!$B$29+Assumptions!$B$4/B171),Assumptions!$B$21)</f>
        <v/>
      </c>
      <c r="E171">
        <f>Assumptions!$B$37*Assumptions!$B$22/C171-Assumptions!$B$38</f>
        <v/>
      </c>
      <c r="F171">
        <f>Assumptions!$B$39*Assumptions!$B$21/D171-Assumptions!$B$39</f>
        <v/>
      </c>
      <c r="G171">
        <f>MAX(0,Assumptions!$B$50*(Assumptions!$B$29+E171+F171+G170+H170+I170+Assumptions!$B$4/B171)-Assumptions!$B$30)</f>
        <v/>
      </c>
      <c r="H171">
        <f>Assumptions!$B$23/MIN(Assumptions!$B$24/(Assumptions!$B$29+E171+F171+G171+I170),B171*(1-Assumptions!$B$25))</f>
        <v/>
      </c>
      <c r="I171">
        <f>Assumptions!$B$26/MIN(Assumptions!$B$27/(Assumptions!$B$29+E171+F171+G171+H171),B171*(1-Assumptions!$B$28))</f>
        <v/>
      </c>
      <c r="J171">
        <f>Assumptions!$B$29+E171+F171+G171+H171+I171</f>
        <v/>
      </c>
      <c r="K171">
        <f>J171+Assumptions!$B$4/B171</f>
        <v/>
      </c>
      <c r="L171">
        <f>B171</f>
        <v/>
      </c>
    </row>
    <row r="172">
      <c r="A172" t="inlineStr">
        <is>
          <t>cell(0,1) iter 33</t>
        </is>
      </c>
      <c r="B172">
        <f>Assumptions!$B$54/J171</f>
        <v/>
      </c>
      <c r="C172">
        <f>IF(B172&lt;Assumptions!$B$20,Assumptions!$B$20*(Assumptions!$B$29+Assumptions!$B$4/Assumptions!$B$20)/(Assumptions!$B$29+Assumptions!$B$4/B172),Assumptions!$B$20)</f>
        <v/>
      </c>
      <c r="D172">
        <f>IF(B172&lt;Assumptions!$B$21,Assumptions!$B$21*(Assumptions!$B$29+Assumptions!$B$4/Assumptions!$B$21)/(Assumptions!$B$29+Assumptions!$B$4/B172),Assumptions!$B$21)</f>
        <v/>
      </c>
      <c r="E172">
        <f>Assumptions!$B$37*Assumptions!$B$22/C172-Assumptions!$B$38</f>
        <v/>
      </c>
      <c r="F172">
        <f>Assumptions!$B$39*Assumptions!$B$21/D172-Assumptions!$B$39</f>
        <v/>
      </c>
      <c r="G172">
        <f>MAX(0,Assumptions!$B$50*(Assumptions!$B$29+E172+F172+G171+H171+I171+Assumptions!$B$4/B172)-Assumptions!$B$30)</f>
        <v/>
      </c>
      <c r="H172">
        <f>Assumptions!$B$23/MIN(Assumptions!$B$24/(Assumptions!$B$29+E172+F172+G172+I171),B172*(1-Assumptions!$B$25))</f>
        <v/>
      </c>
      <c r="I172">
        <f>Assumptions!$B$26/MIN(Assumptions!$B$27/(Assumptions!$B$29+E172+F172+G172+H172),B172*(1-Assumptions!$B$28))</f>
        <v/>
      </c>
      <c r="J172">
        <f>Assumptions!$B$29+E172+F172+G172+H172+I172</f>
        <v/>
      </c>
      <c r="K172">
        <f>J172+Assumptions!$B$4/B172</f>
        <v/>
      </c>
      <c r="L172">
        <f>B172</f>
        <v/>
      </c>
    </row>
    <row r="173">
      <c r="A173" t="inlineStr">
        <is>
          <t>cell(0,1) iter 34</t>
        </is>
      </c>
      <c r="B173">
        <f>Assumptions!$B$54/J172</f>
        <v/>
      </c>
      <c r="C173">
        <f>IF(B173&lt;Assumptions!$B$20,Assumptions!$B$20*(Assumptions!$B$29+Assumptions!$B$4/Assumptions!$B$20)/(Assumptions!$B$29+Assumptions!$B$4/B173),Assumptions!$B$20)</f>
        <v/>
      </c>
      <c r="D173">
        <f>IF(B173&lt;Assumptions!$B$21,Assumptions!$B$21*(Assumptions!$B$29+Assumptions!$B$4/Assumptions!$B$21)/(Assumptions!$B$29+Assumptions!$B$4/B173),Assumptions!$B$21)</f>
        <v/>
      </c>
      <c r="E173">
        <f>Assumptions!$B$37*Assumptions!$B$22/C173-Assumptions!$B$38</f>
        <v/>
      </c>
      <c r="F173">
        <f>Assumptions!$B$39*Assumptions!$B$21/D173-Assumptions!$B$39</f>
        <v/>
      </c>
      <c r="G173">
        <f>MAX(0,Assumptions!$B$50*(Assumptions!$B$29+E173+F173+G172+H172+I172+Assumptions!$B$4/B173)-Assumptions!$B$30)</f>
        <v/>
      </c>
      <c r="H173">
        <f>Assumptions!$B$23/MIN(Assumptions!$B$24/(Assumptions!$B$29+E173+F173+G173+I172),B173*(1-Assumptions!$B$25))</f>
        <v/>
      </c>
      <c r="I173">
        <f>Assumptions!$B$26/MIN(Assumptions!$B$27/(Assumptions!$B$29+E173+F173+G173+H173),B173*(1-Assumptions!$B$28))</f>
        <v/>
      </c>
      <c r="J173">
        <f>Assumptions!$B$29+E173+F173+G173+H173+I173</f>
        <v/>
      </c>
      <c r="K173">
        <f>J173+Assumptions!$B$4/B173</f>
        <v/>
      </c>
      <c r="L173">
        <f>B173</f>
        <v/>
      </c>
    </row>
    <row r="174">
      <c r="A174" t="inlineStr">
        <is>
          <t>cell(0,1) iter 35</t>
        </is>
      </c>
      <c r="B174">
        <f>Assumptions!$B$54/J173</f>
        <v/>
      </c>
      <c r="C174">
        <f>IF(B174&lt;Assumptions!$B$20,Assumptions!$B$20*(Assumptions!$B$29+Assumptions!$B$4/Assumptions!$B$20)/(Assumptions!$B$29+Assumptions!$B$4/B174),Assumptions!$B$20)</f>
        <v/>
      </c>
      <c r="D174">
        <f>IF(B174&lt;Assumptions!$B$21,Assumptions!$B$21*(Assumptions!$B$29+Assumptions!$B$4/Assumptions!$B$21)/(Assumptions!$B$29+Assumptions!$B$4/B174),Assumptions!$B$21)</f>
        <v/>
      </c>
      <c r="E174">
        <f>Assumptions!$B$37*Assumptions!$B$22/C174-Assumptions!$B$38</f>
        <v/>
      </c>
      <c r="F174">
        <f>Assumptions!$B$39*Assumptions!$B$21/D174-Assumptions!$B$39</f>
        <v/>
      </c>
      <c r="G174">
        <f>MAX(0,Assumptions!$B$50*(Assumptions!$B$29+E174+F174+G173+H173+I173+Assumptions!$B$4/B174)-Assumptions!$B$30)</f>
        <v/>
      </c>
      <c r="H174">
        <f>Assumptions!$B$23/MIN(Assumptions!$B$24/(Assumptions!$B$29+E174+F174+G174+I173),B174*(1-Assumptions!$B$25))</f>
        <v/>
      </c>
      <c r="I174">
        <f>Assumptions!$B$26/MIN(Assumptions!$B$27/(Assumptions!$B$29+E174+F174+G174+H174),B174*(1-Assumptions!$B$28))</f>
        <v/>
      </c>
      <c r="J174">
        <f>Assumptions!$B$29+E174+F174+G174+H174+I174</f>
        <v/>
      </c>
      <c r="K174">
        <f>J174+Assumptions!$B$4/B174</f>
        <v/>
      </c>
      <c r="L174">
        <f>B174</f>
        <v/>
      </c>
    </row>
    <row r="175">
      <c r="A175" t="inlineStr">
        <is>
          <t>cell(0,1) iter 36</t>
        </is>
      </c>
      <c r="B175">
        <f>Assumptions!$B$54/J174</f>
        <v/>
      </c>
      <c r="C175">
        <f>IF(B175&lt;Assumptions!$B$20,Assumptions!$B$20*(Assumptions!$B$29+Assumptions!$B$4/Assumptions!$B$20)/(Assumptions!$B$29+Assumptions!$B$4/B175),Assumptions!$B$20)</f>
        <v/>
      </c>
      <c r="D175">
        <f>IF(B175&lt;Assumptions!$B$21,Assumptions!$B$21*(Assumptions!$B$29+Assumptions!$B$4/Assumptions!$B$21)/(Assumptions!$B$29+Assumptions!$B$4/B175),Assumptions!$B$21)</f>
        <v/>
      </c>
      <c r="E175">
        <f>Assumptions!$B$37*Assumptions!$B$22/C175-Assumptions!$B$38</f>
        <v/>
      </c>
      <c r="F175">
        <f>Assumptions!$B$39*Assumptions!$B$21/D175-Assumptions!$B$39</f>
        <v/>
      </c>
      <c r="G175">
        <f>MAX(0,Assumptions!$B$50*(Assumptions!$B$29+E175+F175+G174+H174+I174+Assumptions!$B$4/B175)-Assumptions!$B$30)</f>
        <v/>
      </c>
      <c r="H175">
        <f>Assumptions!$B$23/MIN(Assumptions!$B$24/(Assumptions!$B$29+E175+F175+G175+I174),B175*(1-Assumptions!$B$25))</f>
        <v/>
      </c>
      <c r="I175">
        <f>Assumptions!$B$26/MIN(Assumptions!$B$27/(Assumptions!$B$29+E175+F175+G175+H175),B175*(1-Assumptions!$B$28))</f>
        <v/>
      </c>
      <c r="J175">
        <f>Assumptions!$B$29+E175+F175+G175+H175+I175</f>
        <v/>
      </c>
      <c r="K175">
        <f>J175+Assumptions!$B$4/B175</f>
        <v/>
      </c>
      <c r="L175">
        <f>B175</f>
        <v/>
      </c>
    </row>
    <row r="176">
      <c r="A176" t="inlineStr">
        <is>
          <t>cell(0,1) iter 37</t>
        </is>
      </c>
      <c r="B176">
        <f>Assumptions!$B$54/J175</f>
        <v/>
      </c>
      <c r="C176">
        <f>IF(B176&lt;Assumptions!$B$20,Assumptions!$B$20*(Assumptions!$B$29+Assumptions!$B$4/Assumptions!$B$20)/(Assumptions!$B$29+Assumptions!$B$4/B176),Assumptions!$B$20)</f>
        <v/>
      </c>
      <c r="D176">
        <f>IF(B176&lt;Assumptions!$B$21,Assumptions!$B$21*(Assumptions!$B$29+Assumptions!$B$4/Assumptions!$B$21)/(Assumptions!$B$29+Assumptions!$B$4/B176),Assumptions!$B$21)</f>
        <v/>
      </c>
      <c r="E176">
        <f>Assumptions!$B$37*Assumptions!$B$22/C176-Assumptions!$B$38</f>
        <v/>
      </c>
      <c r="F176">
        <f>Assumptions!$B$39*Assumptions!$B$21/D176-Assumptions!$B$39</f>
        <v/>
      </c>
      <c r="G176">
        <f>MAX(0,Assumptions!$B$50*(Assumptions!$B$29+E176+F176+G175+H175+I175+Assumptions!$B$4/B176)-Assumptions!$B$30)</f>
        <v/>
      </c>
      <c r="H176">
        <f>Assumptions!$B$23/MIN(Assumptions!$B$24/(Assumptions!$B$29+E176+F176+G176+I175),B176*(1-Assumptions!$B$25))</f>
        <v/>
      </c>
      <c r="I176">
        <f>Assumptions!$B$26/MIN(Assumptions!$B$27/(Assumptions!$B$29+E176+F176+G176+H176),B176*(1-Assumptions!$B$28))</f>
        <v/>
      </c>
      <c r="J176">
        <f>Assumptions!$B$29+E176+F176+G176+H176+I176</f>
        <v/>
      </c>
      <c r="K176">
        <f>J176+Assumptions!$B$4/B176</f>
        <v/>
      </c>
      <c r="L176">
        <f>B176</f>
        <v/>
      </c>
    </row>
    <row r="177">
      <c r="A177" t="inlineStr">
        <is>
          <t>cell(0,1) iter 38</t>
        </is>
      </c>
      <c r="B177">
        <f>Assumptions!$B$54/J176</f>
        <v/>
      </c>
      <c r="C177">
        <f>IF(B177&lt;Assumptions!$B$20,Assumptions!$B$20*(Assumptions!$B$29+Assumptions!$B$4/Assumptions!$B$20)/(Assumptions!$B$29+Assumptions!$B$4/B177),Assumptions!$B$20)</f>
        <v/>
      </c>
      <c r="D177">
        <f>IF(B177&lt;Assumptions!$B$21,Assumptions!$B$21*(Assumptions!$B$29+Assumptions!$B$4/Assumptions!$B$21)/(Assumptions!$B$29+Assumptions!$B$4/B177),Assumptions!$B$21)</f>
        <v/>
      </c>
      <c r="E177">
        <f>Assumptions!$B$37*Assumptions!$B$22/C177-Assumptions!$B$38</f>
        <v/>
      </c>
      <c r="F177">
        <f>Assumptions!$B$39*Assumptions!$B$21/D177-Assumptions!$B$39</f>
        <v/>
      </c>
      <c r="G177">
        <f>MAX(0,Assumptions!$B$50*(Assumptions!$B$29+E177+F177+G176+H176+I176+Assumptions!$B$4/B177)-Assumptions!$B$30)</f>
        <v/>
      </c>
      <c r="H177">
        <f>Assumptions!$B$23/MIN(Assumptions!$B$24/(Assumptions!$B$29+E177+F177+G177+I176),B177*(1-Assumptions!$B$25))</f>
        <v/>
      </c>
      <c r="I177">
        <f>Assumptions!$B$26/MIN(Assumptions!$B$27/(Assumptions!$B$29+E177+F177+G177+H177),B177*(1-Assumptions!$B$28))</f>
        <v/>
      </c>
      <c r="J177">
        <f>Assumptions!$B$29+E177+F177+G177+H177+I177</f>
        <v/>
      </c>
      <c r="K177">
        <f>J177+Assumptions!$B$4/B177</f>
        <v/>
      </c>
      <c r="L177">
        <f>B177</f>
        <v/>
      </c>
    </row>
    <row r="178">
      <c r="A178" t="inlineStr">
        <is>
          <t>cell(0,1) iter 39</t>
        </is>
      </c>
      <c r="B178">
        <f>Assumptions!$B$54/J177</f>
        <v/>
      </c>
      <c r="C178">
        <f>IF(B178&lt;Assumptions!$B$20,Assumptions!$B$20*(Assumptions!$B$29+Assumptions!$B$4/Assumptions!$B$20)/(Assumptions!$B$29+Assumptions!$B$4/B178),Assumptions!$B$20)</f>
        <v/>
      </c>
      <c r="D178">
        <f>IF(B178&lt;Assumptions!$B$21,Assumptions!$B$21*(Assumptions!$B$29+Assumptions!$B$4/Assumptions!$B$21)/(Assumptions!$B$29+Assumptions!$B$4/B178),Assumptions!$B$21)</f>
        <v/>
      </c>
      <c r="E178">
        <f>Assumptions!$B$37*Assumptions!$B$22/C178-Assumptions!$B$38</f>
        <v/>
      </c>
      <c r="F178">
        <f>Assumptions!$B$39*Assumptions!$B$21/D178-Assumptions!$B$39</f>
        <v/>
      </c>
      <c r="G178">
        <f>MAX(0,Assumptions!$B$50*(Assumptions!$B$29+E178+F178+G177+H177+I177+Assumptions!$B$4/B178)-Assumptions!$B$30)</f>
        <v/>
      </c>
      <c r="H178">
        <f>Assumptions!$B$23/MIN(Assumptions!$B$24/(Assumptions!$B$29+E178+F178+G178+I177),B178*(1-Assumptions!$B$25))</f>
        <v/>
      </c>
      <c r="I178">
        <f>Assumptions!$B$26/MIN(Assumptions!$B$27/(Assumptions!$B$29+E178+F178+G178+H178),B178*(1-Assumptions!$B$28))</f>
        <v/>
      </c>
      <c r="J178">
        <f>Assumptions!$B$29+E178+F178+G178+H178+I178</f>
        <v/>
      </c>
      <c r="K178">
        <f>J178+Assumptions!$B$4/B178</f>
        <v/>
      </c>
      <c r="L178">
        <f>B178</f>
        <v/>
      </c>
    </row>
    <row r="179">
      <c r="A179" t="inlineStr">
        <is>
          <t>cell(0,1) iter 40</t>
        </is>
      </c>
      <c r="B179">
        <f>Assumptions!$B$54/J178</f>
        <v/>
      </c>
      <c r="C179">
        <f>IF(B179&lt;Assumptions!$B$20,Assumptions!$B$20*(Assumptions!$B$29+Assumptions!$B$4/Assumptions!$B$20)/(Assumptions!$B$29+Assumptions!$B$4/B179),Assumptions!$B$20)</f>
        <v/>
      </c>
      <c r="D179">
        <f>IF(B179&lt;Assumptions!$B$21,Assumptions!$B$21*(Assumptions!$B$29+Assumptions!$B$4/Assumptions!$B$21)/(Assumptions!$B$29+Assumptions!$B$4/B179),Assumptions!$B$21)</f>
        <v/>
      </c>
      <c r="E179">
        <f>Assumptions!$B$37*Assumptions!$B$22/C179-Assumptions!$B$38</f>
        <v/>
      </c>
      <c r="F179">
        <f>Assumptions!$B$39*Assumptions!$B$21/D179-Assumptions!$B$39</f>
        <v/>
      </c>
      <c r="G179">
        <f>MAX(0,Assumptions!$B$50*(Assumptions!$B$29+E179+F179+G178+H178+I178+Assumptions!$B$4/B179)-Assumptions!$B$30)</f>
        <v/>
      </c>
      <c r="H179">
        <f>Assumptions!$B$23/MIN(Assumptions!$B$24/(Assumptions!$B$29+E179+F179+G179+I178),B179*(1-Assumptions!$B$25))</f>
        <v/>
      </c>
      <c r="I179">
        <f>Assumptions!$B$26/MIN(Assumptions!$B$27/(Assumptions!$B$29+E179+F179+G179+H179),B179*(1-Assumptions!$B$28))</f>
        <v/>
      </c>
      <c r="J179">
        <f>Assumptions!$B$29+E179+F179+G179+H179+I179</f>
        <v/>
      </c>
      <c r="K179">
        <f>J179+Assumptions!$B$4/B179</f>
        <v/>
      </c>
      <c r="L179">
        <f>B179</f>
        <v/>
      </c>
    </row>
    <row r="180">
      <c r="A180" t="inlineStr">
        <is>
          <t>cell(0,1) iter 41</t>
        </is>
      </c>
      <c r="B180">
        <f>Assumptions!$B$54/J179</f>
        <v/>
      </c>
      <c r="C180">
        <f>IF(B180&lt;Assumptions!$B$20,Assumptions!$B$20*(Assumptions!$B$29+Assumptions!$B$4/Assumptions!$B$20)/(Assumptions!$B$29+Assumptions!$B$4/B180),Assumptions!$B$20)</f>
        <v/>
      </c>
      <c r="D180">
        <f>IF(B180&lt;Assumptions!$B$21,Assumptions!$B$21*(Assumptions!$B$29+Assumptions!$B$4/Assumptions!$B$21)/(Assumptions!$B$29+Assumptions!$B$4/B180),Assumptions!$B$21)</f>
        <v/>
      </c>
      <c r="E180">
        <f>Assumptions!$B$37*Assumptions!$B$22/C180-Assumptions!$B$38</f>
        <v/>
      </c>
      <c r="F180">
        <f>Assumptions!$B$39*Assumptions!$B$21/D180-Assumptions!$B$39</f>
        <v/>
      </c>
      <c r="G180">
        <f>MAX(0,Assumptions!$B$50*(Assumptions!$B$29+E180+F180+G179+H179+I179+Assumptions!$B$4/B180)-Assumptions!$B$30)</f>
        <v/>
      </c>
      <c r="H180">
        <f>Assumptions!$B$23/MIN(Assumptions!$B$24/(Assumptions!$B$29+E180+F180+G180+I179),B180*(1-Assumptions!$B$25))</f>
        <v/>
      </c>
      <c r="I180">
        <f>Assumptions!$B$26/MIN(Assumptions!$B$27/(Assumptions!$B$29+E180+F180+G180+H180),B180*(1-Assumptions!$B$28))</f>
        <v/>
      </c>
      <c r="J180">
        <f>Assumptions!$B$29+E180+F180+G180+H180+I180</f>
        <v/>
      </c>
      <c r="K180">
        <f>J180+Assumptions!$B$4/B180</f>
        <v/>
      </c>
      <c r="L180">
        <f>B180</f>
        <v/>
      </c>
    </row>
    <row r="181">
      <c r="A181" t="inlineStr">
        <is>
          <t>cell(0,1) iter 42</t>
        </is>
      </c>
      <c r="B181">
        <f>Assumptions!$B$54/J180</f>
        <v/>
      </c>
      <c r="C181">
        <f>IF(B181&lt;Assumptions!$B$20,Assumptions!$B$20*(Assumptions!$B$29+Assumptions!$B$4/Assumptions!$B$20)/(Assumptions!$B$29+Assumptions!$B$4/B181),Assumptions!$B$20)</f>
        <v/>
      </c>
      <c r="D181">
        <f>IF(B181&lt;Assumptions!$B$21,Assumptions!$B$21*(Assumptions!$B$29+Assumptions!$B$4/Assumptions!$B$21)/(Assumptions!$B$29+Assumptions!$B$4/B181),Assumptions!$B$21)</f>
        <v/>
      </c>
      <c r="E181">
        <f>Assumptions!$B$37*Assumptions!$B$22/C181-Assumptions!$B$38</f>
        <v/>
      </c>
      <c r="F181">
        <f>Assumptions!$B$39*Assumptions!$B$21/D181-Assumptions!$B$39</f>
        <v/>
      </c>
      <c r="G181">
        <f>MAX(0,Assumptions!$B$50*(Assumptions!$B$29+E181+F181+G180+H180+I180+Assumptions!$B$4/B181)-Assumptions!$B$30)</f>
        <v/>
      </c>
      <c r="H181">
        <f>Assumptions!$B$23/MIN(Assumptions!$B$24/(Assumptions!$B$29+E181+F181+G181+I180),B181*(1-Assumptions!$B$25))</f>
        <v/>
      </c>
      <c r="I181">
        <f>Assumptions!$B$26/MIN(Assumptions!$B$27/(Assumptions!$B$29+E181+F181+G181+H181),B181*(1-Assumptions!$B$28))</f>
        <v/>
      </c>
      <c r="J181">
        <f>Assumptions!$B$29+E181+F181+G181+H181+I181</f>
        <v/>
      </c>
      <c r="K181">
        <f>J181+Assumptions!$B$4/B181</f>
        <v/>
      </c>
      <c r="L181">
        <f>B181</f>
        <v/>
      </c>
    </row>
    <row r="182">
      <c r="A182" t="inlineStr">
        <is>
          <t>cell(0,1) iter 43</t>
        </is>
      </c>
      <c r="B182">
        <f>Assumptions!$B$54/J181</f>
        <v/>
      </c>
      <c r="C182">
        <f>IF(B182&lt;Assumptions!$B$20,Assumptions!$B$20*(Assumptions!$B$29+Assumptions!$B$4/Assumptions!$B$20)/(Assumptions!$B$29+Assumptions!$B$4/B182),Assumptions!$B$20)</f>
        <v/>
      </c>
      <c r="D182">
        <f>IF(B182&lt;Assumptions!$B$21,Assumptions!$B$21*(Assumptions!$B$29+Assumptions!$B$4/Assumptions!$B$21)/(Assumptions!$B$29+Assumptions!$B$4/B182),Assumptions!$B$21)</f>
        <v/>
      </c>
      <c r="E182">
        <f>Assumptions!$B$37*Assumptions!$B$22/C182-Assumptions!$B$38</f>
        <v/>
      </c>
      <c r="F182">
        <f>Assumptions!$B$39*Assumptions!$B$21/D182-Assumptions!$B$39</f>
        <v/>
      </c>
      <c r="G182">
        <f>MAX(0,Assumptions!$B$50*(Assumptions!$B$29+E182+F182+G181+H181+I181+Assumptions!$B$4/B182)-Assumptions!$B$30)</f>
        <v/>
      </c>
      <c r="H182">
        <f>Assumptions!$B$23/MIN(Assumptions!$B$24/(Assumptions!$B$29+E182+F182+G182+I181),B182*(1-Assumptions!$B$25))</f>
        <v/>
      </c>
      <c r="I182">
        <f>Assumptions!$B$26/MIN(Assumptions!$B$27/(Assumptions!$B$29+E182+F182+G182+H182),B182*(1-Assumptions!$B$28))</f>
        <v/>
      </c>
      <c r="J182">
        <f>Assumptions!$B$29+E182+F182+G182+H182+I182</f>
        <v/>
      </c>
      <c r="K182">
        <f>J182+Assumptions!$B$4/B182</f>
        <v/>
      </c>
      <c r="L182">
        <f>B182</f>
        <v/>
      </c>
    </row>
    <row r="183">
      <c r="A183" t="inlineStr">
        <is>
          <t>cell(0,1) iter 44</t>
        </is>
      </c>
      <c r="B183">
        <f>Assumptions!$B$54/J182</f>
        <v/>
      </c>
      <c r="C183">
        <f>IF(B183&lt;Assumptions!$B$20,Assumptions!$B$20*(Assumptions!$B$29+Assumptions!$B$4/Assumptions!$B$20)/(Assumptions!$B$29+Assumptions!$B$4/B183),Assumptions!$B$20)</f>
        <v/>
      </c>
      <c r="D183">
        <f>IF(B183&lt;Assumptions!$B$21,Assumptions!$B$21*(Assumptions!$B$29+Assumptions!$B$4/Assumptions!$B$21)/(Assumptions!$B$29+Assumptions!$B$4/B183),Assumptions!$B$21)</f>
        <v/>
      </c>
      <c r="E183">
        <f>Assumptions!$B$37*Assumptions!$B$22/C183-Assumptions!$B$38</f>
        <v/>
      </c>
      <c r="F183">
        <f>Assumptions!$B$39*Assumptions!$B$21/D183-Assumptions!$B$39</f>
        <v/>
      </c>
      <c r="G183">
        <f>MAX(0,Assumptions!$B$50*(Assumptions!$B$29+E183+F183+G182+H182+I182+Assumptions!$B$4/B183)-Assumptions!$B$30)</f>
        <v/>
      </c>
      <c r="H183">
        <f>Assumptions!$B$23/MIN(Assumptions!$B$24/(Assumptions!$B$29+E183+F183+G183+I182),B183*(1-Assumptions!$B$25))</f>
        <v/>
      </c>
      <c r="I183">
        <f>Assumptions!$B$26/MIN(Assumptions!$B$27/(Assumptions!$B$29+E183+F183+G183+H183),B183*(1-Assumptions!$B$28))</f>
        <v/>
      </c>
      <c r="J183">
        <f>Assumptions!$B$29+E183+F183+G183+H183+I183</f>
        <v/>
      </c>
      <c r="K183">
        <f>J183+Assumptions!$B$4/B183</f>
        <v/>
      </c>
      <c r="L183">
        <f>B183</f>
        <v/>
      </c>
    </row>
    <row r="184">
      <c r="A184" t="inlineStr">
        <is>
          <t>cell(0,1) iter 45</t>
        </is>
      </c>
      <c r="B184">
        <f>Assumptions!$B$54/J183</f>
        <v/>
      </c>
      <c r="C184">
        <f>IF(B184&lt;Assumptions!$B$20,Assumptions!$B$20*(Assumptions!$B$29+Assumptions!$B$4/Assumptions!$B$20)/(Assumptions!$B$29+Assumptions!$B$4/B184),Assumptions!$B$20)</f>
        <v/>
      </c>
      <c r="D184">
        <f>IF(B184&lt;Assumptions!$B$21,Assumptions!$B$21*(Assumptions!$B$29+Assumptions!$B$4/Assumptions!$B$21)/(Assumptions!$B$29+Assumptions!$B$4/B184),Assumptions!$B$21)</f>
        <v/>
      </c>
      <c r="E184">
        <f>Assumptions!$B$37*Assumptions!$B$22/C184-Assumptions!$B$38</f>
        <v/>
      </c>
      <c r="F184">
        <f>Assumptions!$B$39*Assumptions!$B$21/D184-Assumptions!$B$39</f>
        <v/>
      </c>
      <c r="G184">
        <f>MAX(0,Assumptions!$B$50*(Assumptions!$B$29+E184+F184+G183+H183+I183+Assumptions!$B$4/B184)-Assumptions!$B$30)</f>
        <v/>
      </c>
      <c r="H184">
        <f>Assumptions!$B$23/MIN(Assumptions!$B$24/(Assumptions!$B$29+E184+F184+G184+I183),B184*(1-Assumptions!$B$25))</f>
        <v/>
      </c>
      <c r="I184">
        <f>Assumptions!$B$26/MIN(Assumptions!$B$27/(Assumptions!$B$29+E184+F184+G184+H184),B184*(1-Assumptions!$B$28))</f>
        <v/>
      </c>
      <c r="J184">
        <f>Assumptions!$B$29+E184+F184+G184+H184+I184</f>
        <v/>
      </c>
      <c r="K184">
        <f>J184+Assumptions!$B$4/B184</f>
        <v/>
      </c>
      <c r="L184">
        <f>B184</f>
        <v/>
      </c>
    </row>
    <row r="185">
      <c r="A185" t="inlineStr">
        <is>
          <t>cell(0,1) iter 46</t>
        </is>
      </c>
      <c r="B185">
        <f>Assumptions!$B$54/J184</f>
        <v/>
      </c>
      <c r="C185">
        <f>IF(B185&lt;Assumptions!$B$20,Assumptions!$B$20*(Assumptions!$B$29+Assumptions!$B$4/Assumptions!$B$20)/(Assumptions!$B$29+Assumptions!$B$4/B185),Assumptions!$B$20)</f>
        <v/>
      </c>
      <c r="D185">
        <f>IF(B185&lt;Assumptions!$B$21,Assumptions!$B$21*(Assumptions!$B$29+Assumptions!$B$4/Assumptions!$B$21)/(Assumptions!$B$29+Assumptions!$B$4/B185),Assumptions!$B$21)</f>
        <v/>
      </c>
      <c r="E185">
        <f>Assumptions!$B$37*Assumptions!$B$22/C185-Assumptions!$B$38</f>
        <v/>
      </c>
      <c r="F185">
        <f>Assumptions!$B$39*Assumptions!$B$21/D185-Assumptions!$B$39</f>
        <v/>
      </c>
      <c r="G185">
        <f>MAX(0,Assumptions!$B$50*(Assumptions!$B$29+E185+F185+G184+H184+I184+Assumptions!$B$4/B185)-Assumptions!$B$30)</f>
        <v/>
      </c>
      <c r="H185">
        <f>Assumptions!$B$23/MIN(Assumptions!$B$24/(Assumptions!$B$29+E185+F185+G185+I184),B185*(1-Assumptions!$B$25))</f>
        <v/>
      </c>
      <c r="I185">
        <f>Assumptions!$B$26/MIN(Assumptions!$B$27/(Assumptions!$B$29+E185+F185+G185+H185),B185*(1-Assumptions!$B$28))</f>
        <v/>
      </c>
      <c r="J185">
        <f>Assumptions!$B$29+E185+F185+G185+H185+I185</f>
        <v/>
      </c>
      <c r="K185">
        <f>J185+Assumptions!$B$4/B185</f>
        <v/>
      </c>
      <c r="L185">
        <f>B185</f>
        <v/>
      </c>
    </row>
    <row r="186">
      <c r="A186" t="inlineStr">
        <is>
          <t>cell(0,1) iter 47</t>
        </is>
      </c>
      <c r="B186">
        <f>Assumptions!$B$54/J185</f>
        <v/>
      </c>
      <c r="C186">
        <f>IF(B186&lt;Assumptions!$B$20,Assumptions!$B$20*(Assumptions!$B$29+Assumptions!$B$4/Assumptions!$B$20)/(Assumptions!$B$29+Assumptions!$B$4/B186),Assumptions!$B$20)</f>
        <v/>
      </c>
      <c r="D186">
        <f>IF(B186&lt;Assumptions!$B$21,Assumptions!$B$21*(Assumptions!$B$29+Assumptions!$B$4/Assumptions!$B$21)/(Assumptions!$B$29+Assumptions!$B$4/B186),Assumptions!$B$21)</f>
        <v/>
      </c>
      <c r="E186">
        <f>Assumptions!$B$37*Assumptions!$B$22/C186-Assumptions!$B$38</f>
        <v/>
      </c>
      <c r="F186">
        <f>Assumptions!$B$39*Assumptions!$B$21/D186-Assumptions!$B$39</f>
        <v/>
      </c>
      <c r="G186">
        <f>MAX(0,Assumptions!$B$50*(Assumptions!$B$29+E186+F186+G185+H185+I185+Assumptions!$B$4/B186)-Assumptions!$B$30)</f>
        <v/>
      </c>
      <c r="H186">
        <f>Assumptions!$B$23/MIN(Assumptions!$B$24/(Assumptions!$B$29+E186+F186+G186+I185),B186*(1-Assumptions!$B$25))</f>
        <v/>
      </c>
      <c r="I186">
        <f>Assumptions!$B$26/MIN(Assumptions!$B$27/(Assumptions!$B$29+E186+F186+G186+H186),B186*(1-Assumptions!$B$28))</f>
        <v/>
      </c>
      <c r="J186">
        <f>Assumptions!$B$29+E186+F186+G186+H186+I186</f>
        <v/>
      </c>
      <c r="K186">
        <f>J186+Assumptions!$B$4/B186</f>
        <v/>
      </c>
      <c r="L186">
        <f>B186</f>
        <v/>
      </c>
    </row>
    <row r="187">
      <c r="A187" t="inlineStr">
        <is>
          <t>cell(0,1) iter 48</t>
        </is>
      </c>
      <c r="B187">
        <f>Assumptions!$B$54/J186</f>
        <v/>
      </c>
      <c r="C187">
        <f>IF(B187&lt;Assumptions!$B$20,Assumptions!$B$20*(Assumptions!$B$29+Assumptions!$B$4/Assumptions!$B$20)/(Assumptions!$B$29+Assumptions!$B$4/B187),Assumptions!$B$20)</f>
        <v/>
      </c>
      <c r="D187">
        <f>IF(B187&lt;Assumptions!$B$21,Assumptions!$B$21*(Assumptions!$B$29+Assumptions!$B$4/Assumptions!$B$21)/(Assumptions!$B$29+Assumptions!$B$4/B187),Assumptions!$B$21)</f>
        <v/>
      </c>
      <c r="E187">
        <f>Assumptions!$B$37*Assumptions!$B$22/C187-Assumptions!$B$38</f>
        <v/>
      </c>
      <c r="F187">
        <f>Assumptions!$B$39*Assumptions!$B$21/D187-Assumptions!$B$39</f>
        <v/>
      </c>
      <c r="G187">
        <f>MAX(0,Assumptions!$B$50*(Assumptions!$B$29+E187+F187+G186+H186+I186+Assumptions!$B$4/B187)-Assumptions!$B$30)</f>
        <v/>
      </c>
      <c r="H187">
        <f>Assumptions!$B$23/MIN(Assumptions!$B$24/(Assumptions!$B$29+E187+F187+G187+I186),B187*(1-Assumptions!$B$25))</f>
        <v/>
      </c>
      <c r="I187">
        <f>Assumptions!$B$26/MIN(Assumptions!$B$27/(Assumptions!$B$29+E187+F187+G187+H187),B187*(1-Assumptions!$B$28))</f>
        <v/>
      </c>
      <c r="J187">
        <f>Assumptions!$B$29+E187+F187+G187+H187+I187</f>
        <v/>
      </c>
      <c r="K187">
        <f>J187+Assumptions!$B$4/B187</f>
        <v/>
      </c>
      <c r="L187">
        <f>B187</f>
        <v/>
      </c>
    </row>
    <row r="188">
      <c r="A188" t="inlineStr">
        <is>
          <t>cell(0,1) iter 49</t>
        </is>
      </c>
      <c r="B188">
        <f>Assumptions!$B$54/J187</f>
        <v/>
      </c>
      <c r="C188">
        <f>IF(B188&lt;Assumptions!$B$20,Assumptions!$B$20*(Assumptions!$B$29+Assumptions!$B$4/Assumptions!$B$20)/(Assumptions!$B$29+Assumptions!$B$4/B188),Assumptions!$B$20)</f>
        <v/>
      </c>
      <c r="D188">
        <f>IF(B188&lt;Assumptions!$B$21,Assumptions!$B$21*(Assumptions!$B$29+Assumptions!$B$4/Assumptions!$B$21)/(Assumptions!$B$29+Assumptions!$B$4/B188),Assumptions!$B$21)</f>
        <v/>
      </c>
      <c r="E188">
        <f>Assumptions!$B$37*Assumptions!$B$22/C188-Assumptions!$B$38</f>
        <v/>
      </c>
      <c r="F188">
        <f>Assumptions!$B$39*Assumptions!$B$21/D188-Assumptions!$B$39</f>
        <v/>
      </c>
      <c r="G188">
        <f>MAX(0,Assumptions!$B$50*(Assumptions!$B$29+E188+F188+G187+H187+I187+Assumptions!$B$4/B188)-Assumptions!$B$30)</f>
        <v/>
      </c>
      <c r="H188">
        <f>Assumptions!$B$23/MIN(Assumptions!$B$24/(Assumptions!$B$29+E188+F188+G188+I187),B188*(1-Assumptions!$B$25))</f>
        <v/>
      </c>
      <c r="I188">
        <f>Assumptions!$B$26/MIN(Assumptions!$B$27/(Assumptions!$B$29+E188+F188+G188+H188),B188*(1-Assumptions!$B$28))</f>
        <v/>
      </c>
      <c r="J188">
        <f>Assumptions!$B$29+E188+F188+G188+H188+I188</f>
        <v/>
      </c>
      <c r="K188">
        <f>J188+Assumptions!$B$4/B188</f>
        <v/>
      </c>
      <c r="L188">
        <f>B188</f>
        <v/>
      </c>
    </row>
    <row r="189">
      <c r="A189" t="inlineStr">
        <is>
          <t>cell(0,1) iter 50</t>
        </is>
      </c>
      <c r="B189">
        <f>Assumptions!$B$54/J188</f>
        <v/>
      </c>
      <c r="C189">
        <f>IF(B189&lt;Assumptions!$B$20,Assumptions!$B$20*(Assumptions!$B$29+Assumptions!$B$4/Assumptions!$B$20)/(Assumptions!$B$29+Assumptions!$B$4/B189),Assumptions!$B$20)</f>
        <v/>
      </c>
      <c r="D189">
        <f>IF(B189&lt;Assumptions!$B$21,Assumptions!$B$21*(Assumptions!$B$29+Assumptions!$B$4/Assumptions!$B$21)/(Assumptions!$B$29+Assumptions!$B$4/B189),Assumptions!$B$21)</f>
        <v/>
      </c>
      <c r="E189">
        <f>Assumptions!$B$37*Assumptions!$B$22/C189-Assumptions!$B$38</f>
        <v/>
      </c>
      <c r="F189">
        <f>Assumptions!$B$39*Assumptions!$B$21/D189-Assumptions!$B$39</f>
        <v/>
      </c>
      <c r="G189">
        <f>MAX(0,Assumptions!$B$50*(Assumptions!$B$29+E189+F189+G188+H188+I188+Assumptions!$B$4/B189)-Assumptions!$B$30)</f>
        <v/>
      </c>
      <c r="H189">
        <f>Assumptions!$B$23/MIN(Assumptions!$B$24/(Assumptions!$B$29+E189+F189+G189+I188),B189*(1-Assumptions!$B$25))</f>
        <v/>
      </c>
      <c r="I189">
        <f>Assumptions!$B$26/MIN(Assumptions!$B$27/(Assumptions!$B$29+E189+F189+G189+H189),B189*(1-Assumptions!$B$28))</f>
        <v/>
      </c>
      <c r="J189">
        <f>Assumptions!$B$29+E189+F189+G189+H189+I189</f>
        <v/>
      </c>
      <c r="K189">
        <f>J189+Assumptions!$B$4/B189</f>
        <v/>
      </c>
      <c r="L189">
        <f>B189</f>
        <v/>
      </c>
    </row>
    <row r="190">
      <c r="A190" t="inlineStr">
        <is>
          <t>cell(0,1) iter 51</t>
        </is>
      </c>
      <c r="B190">
        <f>Assumptions!$B$54/J189</f>
        <v/>
      </c>
      <c r="C190">
        <f>IF(B190&lt;Assumptions!$B$20,Assumptions!$B$20*(Assumptions!$B$29+Assumptions!$B$4/Assumptions!$B$20)/(Assumptions!$B$29+Assumptions!$B$4/B190),Assumptions!$B$20)</f>
        <v/>
      </c>
      <c r="D190">
        <f>IF(B190&lt;Assumptions!$B$21,Assumptions!$B$21*(Assumptions!$B$29+Assumptions!$B$4/Assumptions!$B$21)/(Assumptions!$B$29+Assumptions!$B$4/B190),Assumptions!$B$21)</f>
        <v/>
      </c>
      <c r="E190">
        <f>Assumptions!$B$37*Assumptions!$B$22/C190-Assumptions!$B$38</f>
        <v/>
      </c>
      <c r="F190">
        <f>Assumptions!$B$39*Assumptions!$B$21/D190-Assumptions!$B$39</f>
        <v/>
      </c>
      <c r="G190">
        <f>MAX(0,Assumptions!$B$50*(Assumptions!$B$29+E190+F190+G189+H189+I189+Assumptions!$B$4/B190)-Assumptions!$B$30)</f>
        <v/>
      </c>
      <c r="H190">
        <f>Assumptions!$B$23/MIN(Assumptions!$B$24/(Assumptions!$B$29+E190+F190+G190+I189),B190*(1-Assumptions!$B$25))</f>
        <v/>
      </c>
      <c r="I190">
        <f>Assumptions!$B$26/MIN(Assumptions!$B$27/(Assumptions!$B$29+E190+F190+G190+H190),B190*(1-Assumptions!$B$28))</f>
        <v/>
      </c>
      <c r="J190">
        <f>Assumptions!$B$29+E190+F190+G190+H190+I190</f>
        <v/>
      </c>
      <c r="K190">
        <f>J190+Assumptions!$B$4/B190</f>
        <v/>
      </c>
      <c r="L190">
        <f>B190</f>
        <v/>
      </c>
    </row>
    <row r="191">
      <c r="A191" t="inlineStr">
        <is>
          <t>cell(0,1) iter 52</t>
        </is>
      </c>
      <c r="B191">
        <f>Assumptions!$B$54/J190</f>
        <v/>
      </c>
      <c r="C191">
        <f>IF(B191&lt;Assumptions!$B$20,Assumptions!$B$20*(Assumptions!$B$29+Assumptions!$B$4/Assumptions!$B$20)/(Assumptions!$B$29+Assumptions!$B$4/B191),Assumptions!$B$20)</f>
        <v/>
      </c>
      <c r="D191">
        <f>IF(B191&lt;Assumptions!$B$21,Assumptions!$B$21*(Assumptions!$B$29+Assumptions!$B$4/Assumptions!$B$21)/(Assumptions!$B$29+Assumptions!$B$4/B191),Assumptions!$B$21)</f>
        <v/>
      </c>
      <c r="E191">
        <f>Assumptions!$B$37*Assumptions!$B$22/C191-Assumptions!$B$38</f>
        <v/>
      </c>
      <c r="F191">
        <f>Assumptions!$B$39*Assumptions!$B$21/D191-Assumptions!$B$39</f>
        <v/>
      </c>
      <c r="G191">
        <f>MAX(0,Assumptions!$B$50*(Assumptions!$B$29+E191+F191+G190+H190+I190+Assumptions!$B$4/B191)-Assumptions!$B$30)</f>
        <v/>
      </c>
      <c r="H191">
        <f>Assumptions!$B$23/MIN(Assumptions!$B$24/(Assumptions!$B$29+E191+F191+G191+I190),B191*(1-Assumptions!$B$25))</f>
        <v/>
      </c>
      <c r="I191">
        <f>Assumptions!$B$26/MIN(Assumptions!$B$27/(Assumptions!$B$29+E191+F191+G191+H191),B191*(1-Assumptions!$B$28))</f>
        <v/>
      </c>
      <c r="J191">
        <f>Assumptions!$B$29+E191+F191+G191+H191+I191</f>
        <v/>
      </c>
      <c r="K191">
        <f>J191+Assumptions!$B$4/B191</f>
        <v/>
      </c>
      <c r="L191">
        <f>B191</f>
        <v/>
      </c>
    </row>
    <row r="192">
      <c r="A192" t="inlineStr">
        <is>
          <t>cell(0,1) iter 53</t>
        </is>
      </c>
      <c r="B192">
        <f>Assumptions!$B$54/J191</f>
        <v/>
      </c>
      <c r="C192">
        <f>IF(B192&lt;Assumptions!$B$20,Assumptions!$B$20*(Assumptions!$B$29+Assumptions!$B$4/Assumptions!$B$20)/(Assumptions!$B$29+Assumptions!$B$4/B192),Assumptions!$B$20)</f>
        <v/>
      </c>
      <c r="D192">
        <f>IF(B192&lt;Assumptions!$B$21,Assumptions!$B$21*(Assumptions!$B$29+Assumptions!$B$4/Assumptions!$B$21)/(Assumptions!$B$29+Assumptions!$B$4/B192),Assumptions!$B$21)</f>
        <v/>
      </c>
      <c r="E192">
        <f>Assumptions!$B$37*Assumptions!$B$22/C192-Assumptions!$B$38</f>
        <v/>
      </c>
      <c r="F192">
        <f>Assumptions!$B$39*Assumptions!$B$21/D192-Assumptions!$B$39</f>
        <v/>
      </c>
      <c r="G192">
        <f>MAX(0,Assumptions!$B$50*(Assumptions!$B$29+E192+F192+G191+H191+I191+Assumptions!$B$4/B192)-Assumptions!$B$30)</f>
        <v/>
      </c>
      <c r="H192">
        <f>Assumptions!$B$23/MIN(Assumptions!$B$24/(Assumptions!$B$29+E192+F192+G192+I191),B192*(1-Assumptions!$B$25))</f>
        <v/>
      </c>
      <c r="I192">
        <f>Assumptions!$B$26/MIN(Assumptions!$B$27/(Assumptions!$B$29+E192+F192+G192+H192),B192*(1-Assumptions!$B$28))</f>
        <v/>
      </c>
      <c r="J192">
        <f>Assumptions!$B$29+E192+F192+G192+H192+I192</f>
        <v/>
      </c>
      <c r="K192">
        <f>J192+Assumptions!$B$4/B192</f>
        <v/>
      </c>
      <c r="L192">
        <f>B192</f>
        <v/>
      </c>
    </row>
    <row r="193">
      <c r="A193" t="inlineStr">
        <is>
          <t>cell(0,1) iter 54</t>
        </is>
      </c>
      <c r="B193">
        <f>Assumptions!$B$54/J192</f>
        <v/>
      </c>
      <c r="C193">
        <f>IF(B193&lt;Assumptions!$B$20,Assumptions!$B$20*(Assumptions!$B$29+Assumptions!$B$4/Assumptions!$B$20)/(Assumptions!$B$29+Assumptions!$B$4/B193),Assumptions!$B$20)</f>
        <v/>
      </c>
      <c r="D193">
        <f>IF(B193&lt;Assumptions!$B$21,Assumptions!$B$21*(Assumptions!$B$29+Assumptions!$B$4/Assumptions!$B$21)/(Assumptions!$B$29+Assumptions!$B$4/B193),Assumptions!$B$21)</f>
        <v/>
      </c>
      <c r="E193">
        <f>Assumptions!$B$37*Assumptions!$B$22/C193-Assumptions!$B$38</f>
        <v/>
      </c>
      <c r="F193">
        <f>Assumptions!$B$39*Assumptions!$B$21/D193-Assumptions!$B$39</f>
        <v/>
      </c>
      <c r="G193">
        <f>MAX(0,Assumptions!$B$50*(Assumptions!$B$29+E193+F193+G192+H192+I192+Assumptions!$B$4/B193)-Assumptions!$B$30)</f>
        <v/>
      </c>
      <c r="H193">
        <f>Assumptions!$B$23/MIN(Assumptions!$B$24/(Assumptions!$B$29+E193+F193+G193+I192),B193*(1-Assumptions!$B$25))</f>
        <v/>
      </c>
      <c r="I193">
        <f>Assumptions!$B$26/MIN(Assumptions!$B$27/(Assumptions!$B$29+E193+F193+G193+H193),B193*(1-Assumptions!$B$28))</f>
        <v/>
      </c>
      <c r="J193">
        <f>Assumptions!$B$29+E193+F193+G193+H193+I193</f>
        <v/>
      </c>
      <c r="K193">
        <f>J193+Assumptions!$B$4/B193</f>
        <v/>
      </c>
      <c r="L193">
        <f>B193</f>
        <v/>
      </c>
    </row>
    <row r="194">
      <c r="A194" t="inlineStr">
        <is>
          <t>cell(0,1) iter 55</t>
        </is>
      </c>
      <c r="B194">
        <f>Assumptions!$B$54/J193</f>
        <v/>
      </c>
      <c r="C194">
        <f>IF(B194&lt;Assumptions!$B$20,Assumptions!$B$20*(Assumptions!$B$29+Assumptions!$B$4/Assumptions!$B$20)/(Assumptions!$B$29+Assumptions!$B$4/B194),Assumptions!$B$20)</f>
        <v/>
      </c>
      <c r="D194">
        <f>IF(B194&lt;Assumptions!$B$21,Assumptions!$B$21*(Assumptions!$B$29+Assumptions!$B$4/Assumptions!$B$21)/(Assumptions!$B$29+Assumptions!$B$4/B194),Assumptions!$B$21)</f>
        <v/>
      </c>
      <c r="E194">
        <f>Assumptions!$B$37*Assumptions!$B$22/C194-Assumptions!$B$38</f>
        <v/>
      </c>
      <c r="F194">
        <f>Assumptions!$B$39*Assumptions!$B$21/D194-Assumptions!$B$39</f>
        <v/>
      </c>
      <c r="G194">
        <f>MAX(0,Assumptions!$B$50*(Assumptions!$B$29+E194+F194+G193+H193+I193+Assumptions!$B$4/B194)-Assumptions!$B$30)</f>
        <v/>
      </c>
      <c r="H194">
        <f>Assumptions!$B$23/MIN(Assumptions!$B$24/(Assumptions!$B$29+E194+F194+G194+I193),B194*(1-Assumptions!$B$25))</f>
        <v/>
      </c>
      <c r="I194">
        <f>Assumptions!$B$26/MIN(Assumptions!$B$27/(Assumptions!$B$29+E194+F194+G194+H194),B194*(1-Assumptions!$B$28))</f>
        <v/>
      </c>
      <c r="J194">
        <f>Assumptions!$B$29+E194+F194+G194+H194+I194</f>
        <v/>
      </c>
      <c r="K194">
        <f>J194+Assumptions!$B$4/B194</f>
        <v/>
      </c>
      <c r="L194">
        <f>B194</f>
        <v/>
      </c>
    </row>
    <row r="195">
      <c r="A195" t="inlineStr">
        <is>
          <t>cell(0,1) iter 56</t>
        </is>
      </c>
      <c r="B195">
        <f>Assumptions!$B$54/J194</f>
        <v/>
      </c>
      <c r="C195">
        <f>IF(B195&lt;Assumptions!$B$20,Assumptions!$B$20*(Assumptions!$B$29+Assumptions!$B$4/Assumptions!$B$20)/(Assumptions!$B$29+Assumptions!$B$4/B195),Assumptions!$B$20)</f>
        <v/>
      </c>
      <c r="D195">
        <f>IF(B195&lt;Assumptions!$B$21,Assumptions!$B$21*(Assumptions!$B$29+Assumptions!$B$4/Assumptions!$B$21)/(Assumptions!$B$29+Assumptions!$B$4/B195),Assumptions!$B$21)</f>
        <v/>
      </c>
      <c r="E195">
        <f>Assumptions!$B$37*Assumptions!$B$22/C195-Assumptions!$B$38</f>
        <v/>
      </c>
      <c r="F195">
        <f>Assumptions!$B$39*Assumptions!$B$21/D195-Assumptions!$B$39</f>
        <v/>
      </c>
      <c r="G195">
        <f>MAX(0,Assumptions!$B$50*(Assumptions!$B$29+E195+F195+G194+H194+I194+Assumptions!$B$4/B195)-Assumptions!$B$30)</f>
        <v/>
      </c>
      <c r="H195">
        <f>Assumptions!$B$23/MIN(Assumptions!$B$24/(Assumptions!$B$29+E195+F195+G195+I194),B195*(1-Assumptions!$B$25))</f>
        <v/>
      </c>
      <c r="I195">
        <f>Assumptions!$B$26/MIN(Assumptions!$B$27/(Assumptions!$B$29+E195+F195+G195+H195),B195*(1-Assumptions!$B$28))</f>
        <v/>
      </c>
      <c r="J195">
        <f>Assumptions!$B$29+E195+F195+G195+H195+I195</f>
        <v/>
      </c>
      <c r="K195">
        <f>J195+Assumptions!$B$4/B195</f>
        <v/>
      </c>
      <c r="L195">
        <f>B195</f>
        <v/>
      </c>
    </row>
    <row r="196">
      <c r="A196" t="inlineStr">
        <is>
          <t>cell(0,1) iter 57</t>
        </is>
      </c>
      <c r="B196">
        <f>Assumptions!$B$54/J195</f>
        <v/>
      </c>
      <c r="C196">
        <f>IF(B196&lt;Assumptions!$B$20,Assumptions!$B$20*(Assumptions!$B$29+Assumptions!$B$4/Assumptions!$B$20)/(Assumptions!$B$29+Assumptions!$B$4/B196),Assumptions!$B$20)</f>
        <v/>
      </c>
      <c r="D196">
        <f>IF(B196&lt;Assumptions!$B$21,Assumptions!$B$21*(Assumptions!$B$29+Assumptions!$B$4/Assumptions!$B$21)/(Assumptions!$B$29+Assumptions!$B$4/B196),Assumptions!$B$21)</f>
        <v/>
      </c>
      <c r="E196">
        <f>Assumptions!$B$37*Assumptions!$B$22/C196-Assumptions!$B$38</f>
        <v/>
      </c>
      <c r="F196">
        <f>Assumptions!$B$39*Assumptions!$B$21/D196-Assumptions!$B$39</f>
        <v/>
      </c>
      <c r="G196">
        <f>MAX(0,Assumptions!$B$50*(Assumptions!$B$29+E196+F196+G195+H195+I195+Assumptions!$B$4/B196)-Assumptions!$B$30)</f>
        <v/>
      </c>
      <c r="H196">
        <f>Assumptions!$B$23/MIN(Assumptions!$B$24/(Assumptions!$B$29+E196+F196+G196+I195),B196*(1-Assumptions!$B$25))</f>
        <v/>
      </c>
      <c r="I196">
        <f>Assumptions!$B$26/MIN(Assumptions!$B$27/(Assumptions!$B$29+E196+F196+G196+H196),B196*(1-Assumptions!$B$28))</f>
        <v/>
      </c>
      <c r="J196">
        <f>Assumptions!$B$29+E196+F196+G196+H196+I196</f>
        <v/>
      </c>
      <c r="K196">
        <f>J196+Assumptions!$B$4/B196</f>
        <v/>
      </c>
      <c r="L196">
        <f>B196</f>
        <v/>
      </c>
    </row>
    <row r="197">
      <c r="A197" t="inlineStr">
        <is>
          <t>cell(0,1) iter 58</t>
        </is>
      </c>
      <c r="B197">
        <f>Assumptions!$B$54/J196</f>
        <v/>
      </c>
      <c r="C197">
        <f>IF(B197&lt;Assumptions!$B$20,Assumptions!$B$20*(Assumptions!$B$29+Assumptions!$B$4/Assumptions!$B$20)/(Assumptions!$B$29+Assumptions!$B$4/B197),Assumptions!$B$20)</f>
        <v/>
      </c>
      <c r="D197">
        <f>IF(B197&lt;Assumptions!$B$21,Assumptions!$B$21*(Assumptions!$B$29+Assumptions!$B$4/Assumptions!$B$21)/(Assumptions!$B$29+Assumptions!$B$4/B197),Assumptions!$B$21)</f>
        <v/>
      </c>
      <c r="E197">
        <f>Assumptions!$B$37*Assumptions!$B$22/C197-Assumptions!$B$38</f>
        <v/>
      </c>
      <c r="F197">
        <f>Assumptions!$B$39*Assumptions!$B$21/D197-Assumptions!$B$39</f>
        <v/>
      </c>
      <c r="G197">
        <f>MAX(0,Assumptions!$B$50*(Assumptions!$B$29+E197+F197+G196+H196+I196+Assumptions!$B$4/B197)-Assumptions!$B$30)</f>
        <v/>
      </c>
      <c r="H197">
        <f>Assumptions!$B$23/MIN(Assumptions!$B$24/(Assumptions!$B$29+E197+F197+G197+I196),B197*(1-Assumptions!$B$25))</f>
        <v/>
      </c>
      <c r="I197">
        <f>Assumptions!$B$26/MIN(Assumptions!$B$27/(Assumptions!$B$29+E197+F197+G197+H197),B197*(1-Assumptions!$B$28))</f>
        <v/>
      </c>
      <c r="J197">
        <f>Assumptions!$B$29+E197+F197+G197+H197+I197</f>
        <v/>
      </c>
      <c r="K197">
        <f>J197+Assumptions!$B$4/B197</f>
        <v/>
      </c>
      <c r="L197">
        <f>B197</f>
        <v/>
      </c>
    </row>
    <row r="198">
      <c r="A198" t="inlineStr">
        <is>
          <t>cell(0,1) iter 59</t>
        </is>
      </c>
      <c r="B198">
        <f>Assumptions!$B$54/J197</f>
        <v/>
      </c>
      <c r="C198">
        <f>IF(B198&lt;Assumptions!$B$20,Assumptions!$B$20*(Assumptions!$B$29+Assumptions!$B$4/Assumptions!$B$20)/(Assumptions!$B$29+Assumptions!$B$4/B198),Assumptions!$B$20)</f>
        <v/>
      </c>
      <c r="D198">
        <f>IF(B198&lt;Assumptions!$B$21,Assumptions!$B$21*(Assumptions!$B$29+Assumptions!$B$4/Assumptions!$B$21)/(Assumptions!$B$29+Assumptions!$B$4/B198),Assumptions!$B$21)</f>
        <v/>
      </c>
      <c r="E198">
        <f>Assumptions!$B$37*Assumptions!$B$22/C198-Assumptions!$B$38</f>
        <v/>
      </c>
      <c r="F198">
        <f>Assumptions!$B$39*Assumptions!$B$21/D198-Assumptions!$B$39</f>
        <v/>
      </c>
      <c r="G198">
        <f>MAX(0,Assumptions!$B$50*(Assumptions!$B$29+E198+F198+G197+H197+I197+Assumptions!$B$4/B198)-Assumptions!$B$30)</f>
        <v/>
      </c>
      <c r="H198">
        <f>Assumptions!$B$23/MIN(Assumptions!$B$24/(Assumptions!$B$29+E198+F198+G198+I197),B198*(1-Assumptions!$B$25))</f>
        <v/>
      </c>
      <c r="I198">
        <f>Assumptions!$B$26/MIN(Assumptions!$B$27/(Assumptions!$B$29+E198+F198+G198+H198),B198*(1-Assumptions!$B$28))</f>
        <v/>
      </c>
      <c r="J198">
        <f>Assumptions!$B$29+E198+F198+G198+H198+I198</f>
        <v/>
      </c>
      <c r="K198">
        <f>J198+Assumptions!$B$4/B198</f>
        <v/>
      </c>
      <c r="L198">
        <f>B198</f>
        <v/>
      </c>
    </row>
    <row r="199">
      <c r="A199" t="inlineStr">
        <is>
          <t>cell(0,1) iter 60</t>
        </is>
      </c>
      <c r="B199">
        <f>Assumptions!$B$54/J198</f>
        <v/>
      </c>
      <c r="C199">
        <f>IF(B199&lt;Assumptions!$B$20,Assumptions!$B$20*(Assumptions!$B$29+Assumptions!$B$4/Assumptions!$B$20)/(Assumptions!$B$29+Assumptions!$B$4/B199),Assumptions!$B$20)</f>
        <v/>
      </c>
      <c r="D199">
        <f>IF(B199&lt;Assumptions!$B$21,Assumptions!$B$21*(Assumptions!$B$29+Assumptions!$B$4/Assumptions!$B$21)/(Assumptions!$B$29+Assumptions!$B$4/B199),Assumptions!$B$21)</f>
        <v/>
      </c>
      <c r="E199">
        <f>Assumptions!$B$37*Assumptions!$B$22/C199-Assumptions!$B$38</f>
        <v/>
      </c>
      <c r="F199">
        <f>Assumptions!$B$39*Assumptions!$B$21/D199-Assumptions!$B$39</f>
        <v/>
      </c>
      <c r="G199">
        <f>MAX(0,Assumptions!$B$50*(Assumptions!$B$29+E199+F199+G198+H198+I198+Assumptions!$B$4/B199)-Assumptions!$B$30)</f>
        <v/>
      </c>
      <c r="H199">
        <f>Assumptions!$B$23/MIN(Assumptions!$B$24/(Assumptions!$B$29+E199+F199+G199+I198),B199*(1-Assumptions!$B$25))</f>
        <v/>
      </c>
      <c r="I199">
        <f>Assumptions!$B$26/MIN(Assumptions!$B$27/(Assumptions!$B$29+E199+F199+G199+H199),B199*(1-Assumptions!$B$28))</f>
        <v/>
      </c>
      <c r="J199">
        <f>Assumptions!$B$29+E199+F199+G199+H199+I199</f>
        <v/>
      </c>
      <c r="K199">
        <f>J199+Assumptions!$B$4/B199</f>
        <v/>
      </c>
      <c r="L199">
        <f>B199</f>
        <v/>
      </c>
    </row>
    <row r="200">
      <c r="A200" t="inlineStr">
        <is>
          <t>cell(0,1) iter 61</t>
        </is>
      </c>
      <c r="B200">
        <f>Assumptions!$B$54/J199</f>
        <v/>
      </c>
      <c r="C200">
        <f>IF(B200&lt;Assumptions!$B$20,Assumptions!$B$20*(Assumptions!$B$29+Assumptions!$B$4/Assumptions!$B$20)/(Assumptions!$B$29+Assumptions!$B$4/B200),Assumptions!$B$20)</f>
        <v/>
      </c>
      <c r="D200">
        <f>IF(B200&lt;Assumptions!$B$21,Assumptions!$B$21*(Assumptions!$B$29+Assumptions!$B$4/Assumptions!$B$21)/(Assumptions!$B$29+Assumptions!$B$4/B200),Assumptions!$B$21)</f>
        <v/>
      </c>
      <c r="E200">
        <f>Assumptions!$B$37*Assumptions!$B$22/C200-Assumptions!$B$38</f>
        <v/>
      </c>
      <c r="F200">
        <f>Assumptions!$B$39*Assumptions!$B$21/D200-Assumptions!$B$39</f>
        <v/>
      </c>
      <c r="G200">
        <f>MAX(0,Assumptions!$B$50*(Assumptions!$B$29+E200+F200+G199+H199+I199+Assumptions!$B$4/B200)-Assumptions!$B$30)</f>
        <v/>
      </c>
      <c r="H200">
        <f>Assumptions!$B$23/MIN(Assumptions!$B$24/(Assumptions!$B$29+E200+F200+G200+I199),B200*(1-Assumptions!$B$25))</f>
        <v/>
      </c>
      <c r="I200">
        <f>Assumptions!$B$26/MIN(Assumptions!$B$27/(Assumptions!$B$29+E200+F200+G200+H200),B200*(1-Assumptions!$B$28))</f>
        <v/>
      </c>
      <c r="J200">
        <f>Assumptions!$B$29+E200+F200+G200+H200+I200</f>
        <v/>
      </c>
      <c r="K200">
        <f>J200+Assumptions!$B$4/B200</f>
        <v/>
      </c>
      <c r="L200">
        <f>B200</f>
        <v/>
      </c>
    </row>
    <row r="201">
      <c r="A201" t="inlineStr">
        <is>
          <t>cell(0,1) iter 62</t>
        </is>
      </c>
      <c r="B201">
        <f>Assumptions!$B$54/J200</f>
        <v/>
      </c>
      <c r="C201">
        <f>IF(B201&lt;Assumptions!$B$20,Assumptions!$B$20*(Assumptions!$B$29+Assumptions!$B$4/Assumptions!$B$20)/(Assumptions!$B$29+Assumptions!$B$4/B201),Assumptions!$B$20)</f>
        <v/>
      </c>
      <c r="D201">
        <f>IF(B201&lt;Assumptions!$B$21,Assumptions!$B$21*(Assumptions!$B$29+Assumptions!$B$4/Assumptions!$B$21)/(Assumptions!$B$29+Assumptions!$B$4/B201),Assumptions!$B$21)</f>
        <v/>
      </c>
      <c r="E201">
        <f>Assumptions!$B$37*Assumptions!$B$22/C201-Assumptions!$B$38</f>
        <v/>
      </c>
      <c r="F201">
        <f>Assumptions!$B$39*Assumptions!$B$21/D201-Assumptions!$B$39</f>
        <v/>
      </c>
      <c r="G201">
        <f>MAX(0,Assumptions!$B$50*(Assumptions!$B$29+E201+F201+G200+H200+I200+Assumptions!$B$4/B201)-Assumptions!$B$30)</f>
        <v/>
      </c>
      <c r="H201">
        <f>Assumptions!$B$23/MIN(Assumptions!$B$24/(Assumptions!$B$29+E201+F201+G201+I200),B201*(1-Assumptions!$B$25))</f>
        <v/>
      </c>
      <c r="I201">
        <f>Assumptions!$B$26/MIN(Assumptions!$B$27/(Assumptions!$B$29+E201+F201+G201+H201),B201*(1-Assumptions!$B$28))</f>
        <v/>
      </c>
      <c r="J201">
        <f>Assumptions!$B$29+E201+F201+G201+H201+I201</f>
        <v/>
      </c>
      <c r="K201">
        <f>J201+Assumptions!$B$4/B201</f>
        <v/>
      </c>
      <c r="L201">
        <f>B201</f>
        <v/>
      </c>
    </row>
    <row r="202">
      <c r="A202" t="inlineStr">
        <is>
          <t>cell(0,1) iter 63</t>
        </is>
      </c>
      <c r="B202">
        <f>Assumptions!$B$54/J201</f>
        <v/>
      </c>
      <c r="C202">
        <f>IF(B202&lt;Assumptions!$B$20,Assumptions!$B$20*(Assumptions!$B$29+Assumptions!$B$4/Assumptions!$B$20)/(Assumptions!$B$29+Assumptions!$B$4/B202),Assumptions!$B$20)</f>
        <v/>
      </c>
      <c r="D202">
        <f>IF(B202&lt;Assumptions!$B$21,Assumptions!$B$21*(Assumptions!$B$29+Assumptions!$B$4/Assumptions!$B$21)/(Assumptions!$B$29+Assumptions!$B$4/B202),Assumptions!$B$21)</f>
        <v/>
      </c>
      <c r="E202">
        <f>Assumptions!$B$37*Assumptions!$B$22/C202-Assumptions!$B$38</f>
        <v/>
      </c>
      <c r="F202">
        <f>Assumptions!$B$39*Assumptions!$B$21/D202-Assumptions!$B$39</f>
        <v/>
      </c>
      <c r="G202">
        <f>MAX(0,Assumptions!$B$50*(Assumptions!$B$29+E202+F202+G201+H201+I201+Assumptions!$B$4/B202)-Assumptions!$B$30)</f>
        <v/>
      </c>
      <c r="H202">
        <f>Assumptions!$B$23/MIN(Assumptions!$B$24/(Assumptions!$B$29+E202+F202+G202+I201),B202*(1-Assumptions!$B$25))</f>
        <v/>
      </c>
      <c r="I202">
        <f>Assumptions!$B$26/MIN(Assumptions!$B$27/(Assumptions!$B$29+E202+F202+G202+H202),B202*(1-Assumptions!$B$28))</f>
        <v/>
      </c>
      <c r="J202">
        <f>Assumptions!$B$29+E202+F202+G202+H202+I202</f>
        <v/>
      </c>
      <c r="K202">
        <f>J202+Assumptions!$B$4/B202</f>
        <v/>
      </c>
      <c r="L202">
        <f>B202</f>
        <v/>
      </c>
    </row>
    <row r="203">
      <c r="A203" t="inlineStr">
        <is>
          <t>cell(0,1) iter 64</t>
        </is>
      </c>
      <c r="B203">
        <f>Assumptions!$B$54/J202</f>
        <v/>
      </c>
      <c r="C203">
        <f>IF(B203&lt;Assumptions!$B$20,Assumptions!$B$20*(Assumptions!$B$29+Assumptions!$B$4/Assumptions!$B$20)/(Assumptions!$B$29+Assumptions!$B$4/B203),Assumptions!$B$20)</f>
        <v/>
      </c>
      <c r="D203">
        <f>IF(B203&lt;Assumptions!$B$21,Assumptions!$B$21*(Assumptions!$B$29+Assumptions!$B$4/Assumptions!$B$21)/(Assumptions!$B$29+Assumptions!$B$4/B203),Assumptions!$B$21)</f>
        <v/>
      </c>
      <c r="E203">
        <f>Assumptions!$B$37*Assumptions!$B$22/C203-Assumptions!$B$38</f>
        <v/>
      </c>
      <c r="F203">
        <f>Assumptions!$B$39*Assumptions!$B$21/D203-Assumptions!$B$39</f>
        <v/>
      </c>
      <c r="G203">
        <f>MAX(0,Assumptions!$B$50*(Assumptions!$B$29+E203+F203+G202+H202+I202+Assumptions!$B$4/B203)-Assumptions!$B$30)</f>
        <v/>
      </c>
      <c r="H203">
        <f>Assumptions!$B$23/MIN(Assumptions!$B$24/(Assumptions!$B$29+E203+F203+G203+I202),B203*(1-Assumptions!$B$25))</f>
        <v/>
      </c>
      <c r="I203">
        <f>Assumptions!$B$26/MIN(Assumptions!$B$27/(Assumptions!$B$29+E203+F203+G203+H203),B203*(1-Assumptions!$B$28))</f>
        <v/>
      </c>
      <c r="J203">
        <f>Assumptions!$B$29+E203+F203+G203+H203+I203</f>
        <v/>
      </c>
      <c r="K203">
        <f>J203+Assumptions!$B$4/B203</f>
        <v/>
      </c>
      <c r="L203">
        <f>B203</f>
        <v/>
      </c>
    </row>
    <row r="204">
      <c r="A204" t="inlineStr">
        <is>
          <t>cell(0,1) iter 65</t>
        </is>
      </c>
      <c r="B204">
        <f>Assumptions!$B$54/J203</f>
        <v/>
      </c>
      <c r="C204">
        <f>IF(B204&lt;Assumptions!$B$20,Assumptions!$B$20*(Assumptions!$B$29+Assumptions!$B$4/Assumptions!$B$20)/(Assumptions!$B$29+Assumptions!$B$4/B204),Assumptions!$B$20)</f>
        <v/>
      </c>
      <c r="D204">
        <f>IF(B204&lt;Assumptions!$B$21,Assumptions!$B$21*(Assumptions!$B$29+Assumptions!$B$4/Assumptions!$B$21)/(Assumptions!$B$29+Assumptions!$B$4/B204),Assumptions!$B$21)</f>
        <v/>
      </c>
      <c r="E204">
        <f>Assumptions!$B$37*Assumptions!$B$22/C204-Assumptions!$B$38</f>
        <v/>
      </c>
      <c r="F204">
        <f>Assumptions!$B$39*Assumptions!$B$21/D204-Assumptions!$B$39</f>
        <v/>
      </c>
      <c r="G204">
        <f>MAX(0,Assumptions!$B$50*(Assumptions!$B$29+E204+F204+G203+H203+I203+Assumptions!$B$4/B204)-Assumptions!$B$30)</f>
        <v/>
      </c>
      <c r="H204">
        <f>Assumptions!$B$23/MIN(Assumptions!$B$24/(Assumptions!$B$29+E204+F204+G204+I203),B204*(1-Assumptions!$B$25))</f>
        <v/>
      </c>
      <c r="I204">
        <f>Assumptions!$B$26/MIN(Assumptions!$B$27/(Assumptions!$B$29+E204+F204+G204+H204),B204*(1-Assumptions!$B$28))</f>
        <v/>
      </c>
      <c r="J204">
        <f>Assumptions!$B$29+E204+F204+G204+H204+I204</f>
        <v/>
      </c>
      <c r="K204">
        <f>J204+Assumptions!$B$4/B204</f>
        <v/>
      </c>
      <c r="L204">
        <f>B204</f>
        <v/>
      </c>
    </row>
    <row r="205">
      <c r="A205" t="inlineStr">
        <is>
          <t>cell(0,1) iter 66</t>
        </is>
      </c>
      <c r="B205">
        <f>Assumptions!$B$54/J204</f>
        <v/>
      </c>
      <c r="C205">
        <f>IF(B205&lt;Assumptions!$B$20,Assumptions!$B$20*(Assumptions!$B$29+Assumptions!$B$4/Assumptions!$B$20)/(Assumptions!$B$29+Assumptions!$B$4/B205),Assumptions!$B$20)</f>
        <v/>
      </c>
      <c r="D205">
        <f>IF(B205&lt;Assumptions!$B$21,Assumptions!$B$21*(Assumptions!$B$29+Assumptions!$B$4/Assumptions!$B$21)/(Assumptions!$B$29+Assumptions!$B$4/B205),Assumptions!$B$21)</f>
        <v/>
      </c>
      <c r="E205">
        <f>Assumptions!$B$37*Assumptions!$B$22/C205-Assumptions!$B$38</f>
        <v/>
      </c>
      <c r="F205">
        <f>Assumptions!$B$39*Assumptions!$B$21/D205-Assumptions!$B$39</f>
        <v/>
      </c>
      <c r="G205">
        <f>MAX(0,Assumptions!$B$50*(Assumptions!$B$29+E205+F205+G204+H204+I204+Assumptions!$B$4/B205)-Assumptions!$B$30)</f>
        <v/>
      </c>
      <c r="H205">
        <f>Assumptions!$B$23/MIN(Assumptions!$B$24/(Assumptions!$B$29+E205+F205+G205+I204),B205*(1-Assumptions!$B$25))</f>
        <v/>
      </c>
      <c r="I205">
        <f>Assumptions!$B$26/MIN(Assumptions!$B$27/(Assumptions!$B$29+E205+F205+G205+H205),B205*(1-Assumptions!$B$28))</f>
        <v/>
      </c>
      <c r="J205">
        <f>Assumptions!$B$29+E205+F205+G205+H205+I205</f>
        <v/>
      </c>
      <c r="K205">
        <f>J205+Assumptions!$B$4/B205</f>
        <v/>
      </c>
      <c r="L205">
        <f>B205</f>
        <v/>
      </c>
    </row>
    <row r="206">
      <c r="A206" t="inlineStr">
        <is>
          <t>cell(0,1) iter 67</t>
        </is>
      </c>
      <c r="B206">
        <f>Assumptions!$B$54/J205</f>
        <v/>
      </c>
      <c r="C206">
        <f>IF(B206&lt;Assumptions!$B$20,Assumptions!$B$20*(Assumptions!$B$29+Assumptions!$B$4/Assumptions!$B$20)/(Assumptions!$B$29+Assumptions!$B$4/B206),Assumptions!$B$20)</f>
        <v/>
      </c>
      <c r="D206">
        <f>IF(B206&lt;Assumptions!$B$21,Assumptions!$B$21*(Assumptions!$B$29+Assumptions!$B$4/Assumptions!$B$21)/(Assumptions!$B$29+Assumptions!$B$4/B206),Assumptions!$B$21)</f>
        <v/>
      </c>
      <c r="E206">
        <f>Assumptions!$B$37*Assumptions!$B$22/C206-Assumptions!$B$38</f>
        <v/>
      </c>
      <c r="F206">
        <f>Assumptions!$B$39*Assumptions!$B$21/D206-Assumptions!$B$39</f>
        <v/>
      </c>
      <c r="G206">
        <f>MAX(0,Assumptions!$B$50*(Assumptions!$B$29+E206+F206+G205+H205+I205+Assumptions!$B$4/B206)-Assumptions!$B$30)</f>
        <v/>
      </c>
      <c r="H206">
        <f>Assumptions!$B$23/MIN(Assumptions!$B$24/(Assumptions!$B$29+E206+F206+G206+I205),B206*(1-Assumptions!$B$25))</f>
        <v/>
      </c>
      <c r="I206">
        <f>Assumptions!$B$26/MIN(Assumptions!$B$27/(Assumptions!$B$29+E206+F206+G206+H206),B206*(1-Assumptions!$B$28))</f>
        <v/>
      </c>
      <c r="J206">
        <f>Assumptions!$B$29+E206+F206+G206+H206+I206</f>
        <v/>
      </c>
      <c r="K206">
        <f>J206+Assumptions!$B$4/B206</f>
        <v/>
      </c>
      <c r="L206">
        <f>B206</f>
        <v/>
      </c>
    </row>
    <row r="207">
      <c r="A207" t="inlineStr">
        <is>
          <t>cell(0,1) iter 68</t>
        </is>
      </c>
      <c r="B207">
        <f>Assumptions!$B$54/J206</f>
        <v/>
      </c>
      <c r="C207">
        <f>IF(B207&lt;Assumptions!$B$20,Assumptions!$B$20*(Assumptions!$B$29+Assumptions!$B$4/Assumptions!$B$20)/(Assumptions!$B$29+Assumptions!$B$4/B207),Assumptions!$B$20)</f>
        <v/>
      </c>
      <c r="D207">
        <f>IF(B207&lt;Assumptions!$B$21,Assumptions!$B$21*(Assumptions!$B$29+Assumptions!$B$4/Assumptions!$B$21)/(Assumptions!$B$29+Assumptions!$B$4/B207),Assumptions!$B$21)</f>
        <v/>
      </c>
      <c r="E207">
        <f>Assumptions!$B$37*Assumptions!$B$22/C207-Assumptions!$B$38</f>
        <v/>
      </c>
      <c r="F207">
        <f>Assumptions!$B$39*Assumptions!$B$21/D207-Assumptions!$B$39</f>
        <v/>
      </c>
      <c r="G207">
        <f>MAX(0,Assumptions!$B$50*(Assumptions!$B$29+E207+F207+G206+H206+I206+Assumptions!$B$4/B207)-Assumptions!$B$30)</f>
        <v/>
      </c>
      <c r="H207">
        <f>Assumptions!$B$23/MIN(Assumptions!$B$24/(Assumptions!$B$29+E207+F207+G207+I206),B207*(1-Assumptions!$B$25))</f>
        <v/>
      </c>
      <c r="I207">
        <f>Assumptions!$B$26/MIN(Assumptions!$B$27/(Assumptions!$B$29+E207+F207+G207+H207),B207*(1-Assumptions!$B$28))</f>
        <v/>
      </c>
      <c r="J207">
        <f>Assumptions!$B$29+E207+F207+G207+H207+I207</f>
        <v/>
      </c>
      <c r="K207">
        <f>J207+Assumptions!$B$4/B207</f>
        <v/>
      </c>
      <c r="L207">
        <f>B207</f>
        <v/>
      </c>
    </row>
    <row r="208">
      <c r="A208" t="inlineStr">
        <is>
          <t>cell(0,1) iter 69</t>
        </is>
      </c>
      <c r="B208">
        <f>Assumptions!$B$54/J207</f>
        <v/>
      </c>
      <c r="C208">
        <f>IF(B208&lt;Assumptions!$B$20,Assumptions!$B$20*(Assumptions!$B$29+Assumptions!$B$4/Assumptions!$B$20)/(Assumptions!$B$29+Assumptions!$B$4/B208),Assumptions!$B$20)</f>
        <v/>
      </c>
      <c r="D208">
        <f>IF(B208&lt;Assumptions!$B$21,Assumptions!$B$21*(Assumptions!$B$29+Assumptions!$B$4/Assumptions!$B$21)/(Assumptions!$B$29+Assumptions!$B$4/B208),Assumptions!$B$21)</f>
        <v/>
      </c>
      <c r="E208">
        <f>Assumptions!$B$37*Assumptions!$B$22/C208-Assumptions!$B$38</f>
        <v/>
      </c>
      <c r="F208">
        <f>Assumptions!$B$39*Assumptions!$B$21/D208-Assumptions!$B$39</f>
        <v/>
      </c>
      <c r="G208">
        <f>MAX(0,Assumptions!$B$50*(Assumptions!$B$29+E208+F208+G207+H207+I207+Assumptions!$B$4/B208)-Assumptions!$B$30)</f>
        <v/>
      </c>
      <c r="H208">
        <f>Assumptions!$B$23/MIN(Assumptions!$B$24/(Assumptions!$B$29+E208+F208+G208+I207),B208*(1-Assumptions!$B$25))</f>
        <v/>
      </c>
      <c r="I208">
        <f>Assumptions!$B$26/MIN(Assumptions!$B$27/(Assumptions!$B$29+E208+F208+G208+H208),B208*(1-Assumptions!$B$28))</f>
        <v/>
      </c>
      <c r="J208">
        <f>Assumptions!$B$29+E208+F208+G208+H208+I208</f>
        <v/>
      </c>
      <c r="K208">
        <f>J208+Assumptions!$B$4/B208</f>
        <v/>
      </c>
      <c r="L208">
        <f>B208</f>
        <v/>
      </c>
    </row>
    <row r="209">
      <c r="A209" t="inlineStr">
        <is>
          <t>cell(0,1) iter 70</t>
        </is>
      </c>
      <c r="B209">
        <f>Assumptions!$B$54/J208</f>
        <v/>
      </c>
      <c r="C209">
        <f>IF(B209&lt;Assumptions!$B$20,Assumptions!$B$20*(Assumptions!$B$29+Assumptions!$B$4/Assumptions!$B$20)/(Assumptions!$B$29+Assumptions!$B$4/B209),Assumptions!$B$20)</f>
        <v/>
      </c>
      <c r="D209">
        <f>IF(B209&lt;Assumptions!$B$21,Assumptions!$B$21*(Assumptions!$B$29+Assumptions!$B$4/Assumptions!$B$21)/(Assumptions!$B$29+Assumptions!$B$4/B209),Assumptions!$B$21)</f>
        <v/>
      </c>
      <c r="E209">
        <f>Assumptions!$B$37*Assumptions!$B$22/C209-Assumptions!$B$38</f>
        <v/>
      </c>
      <c r="F209">
        <f>Assumptions!$B$39*Assumptions!$B$21/D209-Assumptions!$B$39</f>
        <v/>
      </c>
      <c r="G209">
        <f>MAX(0,Assumptions!$B$50*(Assumptions!$B$29+E209+F209+G208+H208+I208+Assumptions!$B$4/B209)-Assumptions!$B$30)</f>
        <v/>
      </c>
      <c r="H209">
        <f>Assumptions!$B$23/MIN(Assumptions!$B$24/(Assumptions!$B$29+E209+F209+G209+I208),B209*(1-Assumptions!$B$25))</f>
        <v/>
      </c>
      <c r="I209">
        <f>Assumptions!$B$26/MIN(Assumptions!$B$27/(Assumptions!$B$29+E209+F209+G209+H209),B209*(1-Assumptions!$B$28))</f>
        <v/>
      </c>
      <c r="J209">
        <f>Assumptions!$B$29+E209+F209+G209+H209+I209</f>
        <v/>
      </c>
      <c r="K209">
        <f>J209+Assumptions!$B$4/B209</f>
        <v/>
      </c>
      <c r="L209">
        <f>B209</f>
        <v/>
      </c>
    </row>
    <row r="210">
      <c r="A210" t="inlineStr">
        <is>
          <t>cell(0,1) iter 71</t>
        </is>
      </c>
      <c r="B210">
        <f>Assumptions!$B$54/J209</f>
        <v/>
      </c>
      <c r="C210">
        <f>IF(B210&lt;Assumptions!$B$20,Assumptions!$B$20*(Assumptions!$B$29+Assumptions!$B$4/Assumptions!$B$20)/(Assumptions!$B$29+Assumptions!$B$4/B210),Assumptions!$B$20)</f>
        <v/>
      </c>
      <c r="D210">
        <f>IF(B210&lt;Assumptions!$B$21,Assumptions!$B$21*(Assumptions!$B$29+Assumptions!$B$4/Assumptions!$B$21)/(Assumptions!$B$29+Assumptions!$B$4/B210),Assumptions!$B$21)</f>
        <v/>
      </c>
      <c r="E210">
        <f>Assumptions!$B$37*Assumptions!$B$22/C210-Assumptions!$B$38</f>
        <v/>
      </c>
      <c r="F210">
        <f>Assumptions!$B$39*Assumptions!$B$21/D210-Assumptions!$B$39</f>
        <v/>
      </c>
      <c r="G210">
        <f>MAX(0,Assumptions!$B$50*(Assumptions!$B$29+E210+F210+G209+H209+I209+Assumptions!$B$4/B210)-Assumptions!$B$30)</f>
        <v/>
      </c>
      <c r="H210">
        <f>Assumptions!$B$23/MIN(Assumptions!$B$24/(Assumptions!$B$29+E210+F210+G210+I209),B210*(1-Assumptions!$B$25))</f>
        <v/>
      </c>
      <c r="I210">
        <f>Assumptions!$B$26/MIN(Assumptions!$B$27/(Assumptions!$B$29+E210+F210+G210+H210),B210*(1-Assumptions!$B$28))</f>
        <v/>
      </c>
      <c r="J210">
        <f>Assumptions!$B$29+E210+F210+G210+H210+I210</f>
        <v/>
      </c>
      <c r="K210">
        <f>J210+Assumptions!$B$4/B210</f>
        <v/>
      </c>
      <c r="L210">
        <f>B210</f>
        <v/>
      </c>
    </row>
    <row r="211">
      <c r="A211" t="inlineStr">
        <is>
          <t>cell(0,1) iter 72</t>
        </is>
      </c>
      <c r="B211">
        <f>Assumptions!$B$54/J210</f>
        <v/>
      </c>
      <c r="C211">
        <f>IF(B211&lt;Assumptions!$B$20,Assumptions!$B$20*(Assumptions!$B$29+Assumptions!$B$4/Assumptions!$B$20)/(Assumptions!$B$29+Assumptions!$B$4/B211),Assumptions!$B$20)</f>
        <v/>
      </c>
      <c r="D211">
        <f>IF(B211&lt;Assumptions!$B$21,Assumptions!$B$21*(Assumptions!$B$29+Assumptions!$B$4/Assumptions!$B$21)/(Assumptions!$B$29+Assumptions!$B$4/B211),Assumptions!$B$21)</f>
        <v/>
      </c>
      <c r="E211">
        <f>Assumptions!$B$37*Assumptions!$B$22/C211-Assumptions!$B$38</f>
        <v/>
      </c>
      <c r="F211">
        <f>Assumptions!$B$39*Assumptions!$B$21/D211-Assumptions!$B$39</f>
        <v/>
      </c>
      <c r="G211">
        <f>MAX(0,Assumptions!$B$50*(Assumptions!$B$29+E211+F211+G210+H210+I210+Assumptions!$B$4/B211)-Assumptions!$B$30)</f>
        <v/>
      </c>
      <c r="H211">
        <f>Assumptions!$B$23/MIN(Assumptions!$B$24/(Assumptions!$B$29+E211+F211+G211+I210),B211*(1-Assumptions!$B$25))</f>
        <v/>
      </c>
      <c r="I211">
        <f>Assumptions!$B$26/MIN(Assumptions!$B$27/(Assumptions!$B$29+E211+F211+G211+H211),B211*(1-Assumptions!$B$28))</f>
        <v/>
      </c>
      <c r="J211">
        <f>Assumptions!$B$29+E211+F211+G211+H211+I211</f>
        <v/>
      </c>
      <c r="K211">
        <f>J211+Assumptions!$B$4/B211</f>
        <v/>
      </c>
      <c r="L211">
        <f>B211</f>
        <v/>
      </c>
    </row>
    <row r="212">
      <c r="A212" t="inlineStr">
        <is>
          <t>cell(0,1) iter 73</t>
        </is>
      </c>
      <c r="B212">
        <f>Assumptions!$B$54/J211</f>
        <v/>
      </c>
      <c r="C212">
        <f>IF(B212&lt;Assumptions!$B$20,Assumptions!$B$20*(Assumptions!$B$29+Assumptions!$B$4/Assumptions!$B$20)/(Assumptions!$B$29+Assumptions!$B$4/B212),Assumptions!$B$20)</f>
        <v/>
      </c>
      <c r="D212">
        <f>IF(B212&lt;Assumptions!$B$21,Assumptions!$B$21*(Assumptions!$B$29+Assumptions!$B$4/Assumptions!$B$21)/(Assumptions!$B$29+Assumptions!$B$4/B212),Assumptions!$B$21)</f>
        <v/>
      </c>
      <c r="E212">
        <f>Assumptions!$B$37*Assumptions!$B$22/C212-Assumptions!$B$38</f>
        <v/>
      </c>
      <c r="F212">
        <f>Assumptions!$B$39*Assumptions!$B$21/D212-Assumptions!$B$39</f>
        <v/>
      </c>
      <c r="G212">
        <f>MAX(0,Assumptions!$B$50*(Assumptions!$B$29+E212+F212+G211+H211+I211+Assumptions!$B$4/B212)-Assumptions!$B$30)</f>
        <v/>
      </c>
      <c r="H212">
        <f>Assumptions!$B$23/MIN(Assumptions!$B$24/(Assumptions!$B$29+E212+F212+G212+I211),B212*(1-Assumptions!$B$25))</f>
        <v/>
      </c>
      <c r="I212">
        <f>Assumptions!$B$26/MIN(Assumptions!$B$27/(Assumptions!$B$29+E212+F212+G212+H212),B212*(1-Assumptions!$B$28))</f>
        <v/>
      </c>
      <c r="J212">
        <f>Assumptions!$B$29+E212+F212+G212+H212+I212</f>
        <v/>
      </c>
      <c r="K212">
        <f>J212+Assumptions!$B$4/B212</f>
        <v/>
      </c>
      <c r="L212">
        <f>B212</f>
        <v/>
      </c>
    </row>
    <row r="213">
      <c r="A213" t="inlineStr">
        <is>
          <t>cell(0,1) iter 74</t>
        </is>
      </c>
      <c r="B213">
        <f>Assumptions!$B$54/J212</f>
        <v/>
      </c>
      <c r="C213">
        <f>IF(B213&lt;Assumptions!$B$20,Assumptions!$B$20*(Assumptions!$B$29+Assumptions!$B$4/Assumptions!$B$20)/(Assumptions!$B$29+Assumptions!$B$4/B213),Assumptions!$B$20)</f>
        <v/>
      </c>
      <c r="D213">
        <f>IF(B213&lt;Assumptions!$B$21,Assumptions!$B$21*(Assumptions!$B$29+Assumptions!$B$4/Assumptions!$B$21)/(Assumptions!$B$29+Assumptions!$B$4/B213),Assumptions!$B$21)</f>
        <v/>
      </c>
      <c r="E213">
        <f>Assumptions!$B$37*Assumptions!$B$22/C213-Assumptions!$B$38</f>
        <v/>
      </c>
      <c r="F213">
        <f>Assumptions!$B$39*Assumptions!$B$21/D213-Assumptions!$B$39</f>
        <v/>
      </c>
      <c r="G213">
        <f>MAX(0,Assumptions!$B$50*(Assumptions!$B$29+E213+F213+G212+H212+I212+Assumptions!$B$4/B213)-Assumptions!$B$30)</f>
        <v/>
      </c>
      <c r="H213">
        <f>Assumptions!$B$23/MIN(Assumptions!$B$24/(Assumptions!$B$29+E213+F213+G213+I212),B213*(1-Assumptions!$B$25))</f>
        <v/>
      </c>
      <c r="I213">
        <f>Assumptions!$B$26/MIN(Assumptions!$B$27/(Assumptions!$B$29+E213+F213+G213+H213),B213*(1-Assumptions!$B$28))</f>
        <v/>
      </c>
      <c r="J213">
        <f>Assumptions!$B$29+E213+F213+G213+H213+I213</f>
        <v/>
      </c>
      <c r="K213">
        <f>J213+Assumptions!$B$4/B213</f>
        <v/>
      </c>
      <c r="L213">
        <f>B213</f>
        <v/>
      </c>
    </row>
    <row r="214">
      <c r="A214" t="inlineStr">
        <is>
          <t>cell(0,1) iter 75</t>
        </is>
      </c>
      <c r="B214">
        <f>Assumptions!$B$54/J213</f>
        <v/>
      </c>
      <c r="C214">
        <f>IF(B214&lt;Assumptions!$B$20,Assumptions!$B$20*(Assumptions!$B$29+Assumptions!$B$4/Assumptions!$B$20)/(Assumptions!$B$29+Assumptions!$B$4/B214),Assumptions!$B$20)</f>
        <v/>
      </c>
      <c r="D214">
        <f>IF(B214&lt;Assumptions!$B$21,Assumptions!$B$21*(Assumptions!$B$29+Assumptions!$B$4/Assumptions!$B$21)/(Assumptions!$B$29+Assumptions!$B$4/B214),Assumptions!$B$21)</f>
        <v/>
      </c>
      <c r="E214">
        <f>Assumptions!$B$37*Assumptions!$B$22/C214-Assumptions!$B$38</f>
        <v/>
      </c>
      <c r="F214">
        <f>Assumptions!$B$39*Assumptions!$B$21/D214-Assumptions!$B$39</f>
        <v/>
      </c>
      <c r="G214">
        <f>MAX(0,Assumptions!$B$50*(Assumptions!$B$29+E214+F214+G213+H213+I213+Assumptions!$B$4/B214)-Assumptions!$B$30)</f>
        <v/>
      </c>
      <c r="H214">
        <f>Assumptions!$B$23/MIN(Assumptions!$B$24/(Assumptions!$B$29+E214+F214+G214+I213),B214*(1-Assumptions!$B$25))</f>
        <v/>
      </c>
      <c r="I214">
        <f>Assumptions!$B$26/MIN(Assumptions!$B$27/(Assumptions!$B$29+E214+F214+G214+H214),B214*(1-Assumptions!$B$28))</f>
        <v/>
      </c>
      <c r="J214">
        <f>Assumptions!$B$29+E214+F214+G214+H214+I214</f>
        <v/>
      </c>
      <c r="K214">
        <f>J214+Assumptions!$B$4/B214</f>
        <v/>
      </c>
      <c r="L214">
        <f>B214</f>
        <v/>
      </c>
    </row>
    <row r="215">
      <c r="A215" t="inlineStr">
        <is>
          <t>cell(0,1) iter 76</t>
        </is>
      </c>
      <c r="B215">
        <f>Assumptions!$B$54/J214</f>
        <v/>
      </c>
      <c r="C215">
        <f>IF(B215&lt;Assumptions!$B$20,Assumptions!$B$20*(Assumptions!$B$29+Assumptions!$B$4/Assumptions!$B$20)/(Assumptions!$B$29+Assumptions!$B$4/B215),Assumptions!$B$20)</f>
        <v/>
      </c>
      <c r="D215">
        <f>IF(B215&lt;Assumptions!$B$21,Assumptions!$B$21*(Assumptions!$B$29+Assumptions!$B$4/Assumptions!$B$21)/(Assumptions!$B$29+Assumptions!$B$4/B215),Assumptions!$B$21)</f>
        <v/>
      </c>
      <c r="E215">
        <f>Assumptions!$B$37*Assumptions!$B$22/C215-Assumptions!$B$38</f>
        <v/>
      </c>
      <c r="F215">
        <f>Assumptions!$B$39*Assumptions!$B$21/D215-Assumptions!$B$39</f>
        <v/>
      </c>
      <c r="G215">
        <f>MAX(0,Assumptions!$B$50*(Assumptions!$B$29+E215+F215+G214+H214+I214+Assumptions!$B$4/B215)-Assumptions!$B$30)</f>
        <v/>
      </c>
      <c r="H215">
        <f>Assumptions!$B$23/MIN(Assumptions!$B$24/(Assumptions!$B$29+E215+F215+G215+I214),B215*(1-Assumptions!$B$25))</f>
        <v/>
      </c>
      <c r="I215">
        <f>Assumptions!$B$26/MIN(Assumptions!$B$27/(Assumptions!$B$29+E215+F215+G215+H215),B215*(1-Assumptions!$B$28))</f>
        <v/>
      </c>
      <c r="J215">
        <f>Assumptions!$B$29+E215+F215+G215+H215+I215</f>
        <v/>
      </c>
      <c r="K215">
        <f>J215+Assumptions!$B$4/B215</f>
        <v/>
      </c>
      <c r="L215">
        <f>B215</f>
        <v/>
      </c>
    </row>
    <row r="216">
      <c r="A216" t="inlineStr">
        <is>
          <t>cell(0,1) iter 77</t>
        </is>
      </c>
      <c r="B216">
        <f>Assumptions!$B$54/J215</f>
        <v/>
      </c>
      <c r="C216">
        <f>IF(B216&lt;Assumptions!$B$20,Assumptions!$B$20*(Assumptions!$B$29+Assumptions!$B$4/Assumptions!$B$20)/(Assumptions!$B$29+Assumptions!$B$4/B216),Assumptions!$B$20)</f>
        <v/>
      </c>
      <c r="D216">
        <f>IF(B216&lt;Assumptions!$B$21,Assumptions!$B$21*(Assumptions!$B$29+Assumptions!$B$4/Assumptions!$B$21)/(Assumptions!$B$29+Assumptions!$B$4/B216),Assumptions!$B$21)</f>
        <v/>
      </c>
      <c r="E216">
        <f>Assumptions!$B$37*Assumptions!$B$22/C216-Assumptions!$B$38</f>
        <v/>
      </c>
      <c r="F216">
        <f>Assumptions!$B$39*Assumptions!$B$21/D216-Assumptions!$B$39</f>
        <v/>
      </c>
      <c r="G216">
        <f>MAX(0,Assumptions!$B$50*(Assumptions!$B$29+E216+F216+G215+H215+I215+Assumptions!$B$4/B216)-Assumptions!$B$30)</f>
        <v/>
      </c>
      <c r="H216">
        <f>Assumptions!$B$23/MIN(Assumptions!$B$24/(Assumptions!$B$29+E216+F216+G216+I215),B216*(1-Assumptions!$B$25))</f>
        <v/>
      </c>
      <c r="I216">
        <f>Assumptions!$B$26/MIN(Assumptions!$B$27/(Assumptions!$B$29+E216+F216+G216+H216),B216*(1-Assumptions!$B$28))</f>
        <v/>
      </c>
      <c r="J216">
        <f>Assumptions!$B$29+E216+F216+G216+H216+I216</f>
        <v/>
      </c>
      <c r="K216">
        <f>J216+Assumptions!$B$4/B216</f>
        <v/>
      </c>
      <c r="L216">
        <f>B216</f>
        <v/>
      </c>
    </row>
    <row r="217">
      <c r="A217" t="inlineStr">
        <is>
          <t>cell(0,1) iter 78</t>
        </is>
      </c>
      <c r="B217">
        <f>Assumptions!$B$54/J216</f>
        <v/>
      </c>
      <c r="C217">
        <f>IF(B217&lt;Assumptions!$B$20,Assumptions!$B$20*(Assumptions!$B$29+Assumptions!$B$4/Assumptions!$B$20)/(Assumptions!$B$29+Assumptions!$B$4/B217),Assumptions!$B$20)</f>
        <v/>
      </c>
      <c r="D217">
        <f>IF(B217&lt;Assumptions!$B$21,Assumptions!$B$21*(Assumptions!$B$29+Assumptions!$B$4/Assumptions!$B$21)/(Assumptions!$B$29+Assumptions!$B$4/B217),Assumptions!$B$21)</f>
        <v/>
      </c>
      <c r="E217">
        <f>Assumptions!$B$37*Assumptions!$B$22/C217-Assumptions!$B$38</f>
        <v/>
      </c>
      <c r="F217">
        <f>Assumptions!$B$39*Assumptions!$B$21/D217-Assumptions!$B$39</f>
        <v/>
      </c>
      <c r="G217">
        <f>MAX(0,Assumptions!$B$50*(Assumptions!$B$29+E217+F217+G216+H216+I216+Assumptions!$B$4/B217)-Assumptions!$B$30)</f>
        <v/>
      </c>
      <c r="H217">
        <f>Assumptions!$B$23/MIN(Assumptions!$B$24/(Assumptions!$B$29+E217+F217+G217+I216),B217*(1-Assumptions!$B$25))</f>
        <v/>
      </c>
      <c r="I217">
        <f>Assumptions!$B$26/MIN(Assumptions!$B$27/(Assumptions!$B$29+E217+F217+G217+H217),B217*(1-Assumptions!$B$28))</f>
        <v/>
      </c>
      <c r="J217">
        <f>Assumptions!$B$29+E217+F217+G217+H217+I217</f>
        <v/>
      </c>
      <c r="K217">
        <f>J217+Assumptions!$B$4/B217</f>
        <v/>
      </c>
      <c r="L217">
        <f>B217</f>
        <v/>
      </c>
    </row>
    <row r="218">
      <c r="A218" t="inlineStr">
        <is>
          <t>cell(0,1) iter 79</t>
        </is>
      </c>
      <c r="B218">
        <f>Assumptions!$B$54/J217</f>
        <v/>
      </c>
      <c r="C218">
        <f>IF(B218&lt;Assumptions!$B$20,Assumptions!$B$20*(Assumptions!$B$29+Assumptions!$B$4/Assumptions!$B$20)/(Assumptions!$B$29+Assumptions!$B$4/B218),Assumptions!$B$20)</f>
        <v/>
      </c>
      <c r="D218">
        <f>IF(B218&lt;Assumptions!$B$21,Assumptions!$B$21*(Assumptions!$B$29+Assumptions!$B$4/Assumptions!$B$21)/(Assumptions!$B$29+Assumptions!$B$4/B218),Assumptions!$B$21)</f>
        <v/>
      </c>
      <c r="E218">
        <f>Assumptions!$B$37*Assumptions!$B$22/C218-Assumptions!$B$38</f>
        <v/>
      </c>
      <c r="F218">
        <f>Assumptions!$B$39*Assumptions!$B$21/D218-Assumptions!$B$39</f>
        <v/>
      </c>
      <c r="G218">
        <f>MAX(0,Assumptions!$B$50*(Assumptions!$B$29+E218+F218+G217+H217+I217+Assumptions!$B$4/B218)-Assumptions!$B$30)</f>
        <v/>
      </c>
      <c r="H218">
        <f>Assumptions!$B$23/MIN(Assumptions!$B$24/(Assumptions!$B$29+E218+F218+G218+I217),B218*(1-Assumptions!$B$25))</f>
        <v/>
      </c>
      <c r="I218">
        <f>Assumptions!$B$26/MIN(Assumptions!$B$27/(Assumptions!$B$29+E218+F218+G218+H218),B218*(1-Assumptions!$B$28))</f>
        <v/>
      </c>
      <c r="J218">
        <f>Assumptions!$B$29+E218+F218+G218+H218+I218</f>
        <v/>
      </c>
      <c r="K218">
        <f>J218+Assumptions!$B$4/B218</f>
        <v/>
      </c>
      <c r="L218">
        <f>B218</f>
        <v/>
      </c>
    </row>
    <row r="219">
      <c r="A219" t="inlineStr">
        <is>
          <t>cell(0,1) iter 80</t>
        </is>
      </c>
      <c r="B219">
        <f>Assumptions!$B$54/J218</f>
        <v/>
      </c>
      <c r="C219">
        <f>IF(B219&lt;Assumptions!$B$20,Assumptions!$B$20*(Assumptions!$B$29+Assumptions!$B$4/Assumptions!$B$20)/(Assumptions!$B$29+Assumptions!$B$4/B219),Assumptions!$B$20)</f>
        <v/>
      </c>
      <c r="D219">
        <f>IF(B219&lt;Assumptions!$B$21,Assumptions!$B$21*(Assumptions!$B$29+Assumptions!$B$4/Assumptions!$B$21)/(Assumptions!$B$29+Assumptions!$B$4/B219),Assumptions!$B$21)</f>
        <v/>
      </c>
      <c r="E219">
        <f>Assumptions!$B$37*Assumptions!$B$22/C219-Assumptions!$B$38</f>
        <v/>
      </c>
      <c r="F219">
        <f>Assumptions!$B$39*Assumptions!$B$21/D219-Assumptions!$B$39</f>
        <v/>
      </c>
      <c r="G219">
        <f>MAX(0,Assumptions!$B$50*(Assumptions!$B$29+E219+F219+G218+H218+I218+Assumptions!$B$4/B219)-Assumptions!$B$30)</f>
        <v/>
      </c>
      <c r="H219">
        <f>Assumptions!$B$23/MIN(Assumptions!$B$24/(Assumptions!$B$29+E219+F219+G219+I218),B219*(1-Assumptions!$B$25))</f>
        <v/>
      </c>
      <c r="I219">
        <f>Assumptions!$B$26/MIN(Assumptions!$B$27/(Assumptions!$B$29+E219+F219+G219+H219),B219*(1-Assumptions!$B$28))</f>
        <v/>
      </c>
      <c r="J219">
        <f>Assumptions!$B$29+E219+F219+G219+H219+I219</f>
        <v/>
      </c>
      <c r="K219">
        <f>J219+Assumptions!$B$4/B219</f>
        <v/>
      </c>
      <c r="L219">
        <f>B219</f>
        <v/>
      </c>
    </row>
    <row r="222">
      <c r="A222" s="1" t="inlineStr">
        <is>
          <t>Waterfall ladder ($2B exit)</t>
        </is>
      </c>
    </row>
    <row r="223">
      <c r="A223" s="1" t="inlineStr">
        <is>
          <t>Step</t>
        </is>
      </c>
      <c r="B223" s="1" t="inlineStr">
        <is>
          <t>F_el</t>
        </is>
      </c>
      <c r="C223" s="1" t="inlineStr">
        <is>
          <t>E_el</t>
        </is>
      </c>
      <c r="D223" s="1" t="inlineStr">
        <is>
          <t>D_el</t>
        </is>
      </c>
      <c r="E223" s="1" t="inlineStr">
        <is>
          <t>C_el</t>
        </is>
      </c>
      <c r="F223" s="1" t="inlineStr">
        <is>
          <t>B_el</t>
        </is>
      </c>
      <c r="G223" s="1" t="inlineStr">
        <is>
          <t>A_el</t>
        </is>
      </c>
      <c r="H223" s="1" t="inlineStr">
        <is>
          <t>Seed_el</t>
        </is>
      </c>
      <c r="I223" s="1" t="inlineStr">
        <is>
          <t>prefs</t>
        </is>
      </c>
      <c r="J223" s="1" t="inlineStr">
        <is>
          <t>conv_sh</t>
        </is>
      </c>
      <c r="K223" s="1" t="inlineStr">
        <is>
          <t>cpool</t>
        </is>
      </c>
      <c r="L223" s="1" t="inlineStr">
        <is>
          <t>ITM_PPS</t>
        </is>
      </c>
      <c r="M223" s="1" t="inlineStr">
        <is>
          <t>ITM?</t>
        </is>
      </c>
      <c r="N223" s="1" t="inlineStr">
        <is>
          <t>common_PPS</t>
        </is>
      </c>
      <c r="O223" s="1" t="inlineStr">
        <is>
          <t>opt_proc</t>
        </is>
      </c>
    </row>
    <row r="224">
      <c r="A224" t="inlineStr">
        <is>
          <t>seed (all convert)</t>
        </is>
      </c>
      <c r="B224">
        <f>"convert"</f>
        <v/>
      </c>
      <c r="C224">
        <f>"convert"</f>
        <v/>
      </c>
      <c r="D224">
        <f>"convert"</f>
        <v/>
      </c>
      <c r="E224">
        <f>"convert"</f>
        <v/>
      </c>
      <c r="F224">
        <f>"convert"</f>
        <v/>
      </c>
      <c r="G224">
        <f>"convert"</f>
        <v/>
      </c>
      <c r="H224">
        <f>"convert"</f>
        <v/>
      </c>
      <c r="I224">
        <f>IF(B224="preference",Assumptions!$B$4,0)+IF(C224="preference",Assumptions!$B$45,0)+IF(D224="preference",Assumptions!$B$44,0)+IF(E224="preference",Assumptions!$B$43,0)+IF(F224="preference",Assumptions!$B$42,0)+IF(G224="preference",Assumptions!$B$41,0)+IF(H224="preference",Assumptions!$B$40,0)</f>
        <v/>
      </c>
      <c r="J224">
        <f>IF(B224="convert",(Assumptions!$B$4/B219),0)+IF(C224="convert",(Assumptions!$B$39+F219),0)+IF(D224="convert",(Assumptions!$B$38+E219),0)+IF(E224="convert",Assumptions!$B$36,0)+IF(F224="convert",Assumptions!$B$35,0)+IF(G224="convert",Assumptions!$B$34,0)+IF(H224="convert",Assumptions!$B$33,0)</f>
        <v/>
      </c>
      <c r="K224">
        <f>(Assumptions!$B$46+Assumptions!$B$47+Assumptions!$B$48)+Assumptions!$B$49+(H219+I219)+J224</f>
        <v/>
      </c>
      <c r="L224">
        <f>(Assumptions!$B$13-I224+Assumptions!$B$31*Assumptions!$B$10)/(K224+Assumptions!$B$31)</f>
        <v/>
      </c>
      <c r="M224">
        <f>IF(L224&gt;Assumptions!$B$10,"yes","no")</f>
        <v/>
      </c>
      <c r="N224">
        <f>IF(M224="yes",L224,MAX(0,(Assumptions!$B$13-I224)/K224))</f>
        <v/>
      </c>
      <c r="O224">
        <f>IF(M224="yes",Assumptions!$B$31*(N224-Assumptions!$B$10),0)</f>
        <v/>
      </c>
    </row>
    <row r="225">
      <c r="A225" t="inlineStr">
        <is>
          <t>iter 1</t>
        </is>
      </c>
      <c r="B225">
        <f>IF(Assumptions!$B$4&gt;(Assumptions!$B$4/B219)*N224,"preference","convert")</f>
        <v/>
      </c>
      <c r="C225">
        <f>IF(Assumptions!$B$45&gt;(Assumptions!$B$39+F219)*N224,"preference","convert")</f>
        <v/>
      </c>
      <c r="D225">
        <f>IF(Assumptions!$B$44&gt;(Assumptions!$B$38+E219)*N224,"preference","convert")</f>
        <v/>
      </c>
      <c r="E225">
        <f>IF(Assumptions!$B$43&gt;Assumptions!$B$36*N224,"preference","convert")</f>
        <v/>
      </c>
      <c r="F225">
        <f>IF(Assumptions!$B$42&gt;Assumptions!$B$35*N224,"preference","convert")</f>
        <v/>
      </c>
      <c r="G225">
        <f>IF(Assumptions!$B$41&gt;Assumptions!$B$34*N224,"preference","convert")</f>
        <v/>
      </c>
      <c r="H225">
        <f>IF(Assumptions!$B$40&gt;Assumptions!$B$33*N224,"preference","convert")</f>
        <v/>
      </c>
      <c r="I225">
        <f>IF(B225="preference",Assumptions!$B$4,0)+IF(C225="preference",Assumptions!$B$45,0)+IF(D225="preference",Assumptions!$B$44,0)+IF(E225="preference",Assumptions!$B$43,0)+IF(F225="preference",Assumptions!$B$42,0)+IF(G225="preference",Assumptions!$B$41,0)+IF(H225="preference",Assumptions!$B$40,0)</f>
        <v/>
      </c>
      <c r="J225">
        <f>IF(B225="convert",(Assumptions!$B$4/B219),0)+IF(C225="convert",(Assumptions!$B$39+F219),0)+IF(D225="convert",(Assumptions!$B$38+E219),0)+IF(E225="convert",Assumptions!$B$36,0)+IF(F225="convert",Assumptions!$B$35,0)+IF(G225="convert",Assumptions!$B$34,0)+IF(H225="convert",Assumptions!$B$33,0)</f>
        <v/>
      </c>
      <c r="K225">
        <f>(Assumptions!$B$46+Assumptions!$B$47+Assumptions!$B$48)+Assumptions!$B$49+(H219+I219)+J225</f>
        <v/>
      </c>
      <c r="L225">
        <f>(Assumptions!$B$13-I225+Assumptions!$B$31*Assumptions!$B$10)/(K225+Assumptions!$B$31)</f>
        <v/>
      </c>
      <c r="M225">
        <f>IF(L225&gt;Assumptions!$B$10,"yes","no")</f>
        <v/>
      </c>
      <c r="N225">
        <f>IF(M225="yes",L225,MAX(0,(Assumptions!$B$13-I225)/K225))</f>
        <v/>
      </c>
      <c r="O225">
        <f>IF(M225="yes",Assumptions!$B$31*(N225-Assumptions!$B$10),0)</f>
        <v/>
      </c>
    </row>
    <row r="226">
      <c r="A226" t="inlineStr">
        <is>
          <t>iter 2</t>
        </is>
      </c>
      <c r="B226">
        <f>IF(Assumptions!$B$4&gt;(Assumptions!$B$4/B219)*N225,"preference","convert")</f>
        <v/>
      </c>
      <c r="C226">
        <f>IF(Assumptions!$B$45&gt;(Assumptions!$B$39+F219)*N225,"preference","convert")</f>
        <v/>
      </c>
      <c r="D226">
        <f>IF(Assumptions!$B$44&gt;(Assumptions!$B$38+E219)*N225,"preference","convert")</f>
        <v/>
      </c>
      <c r="E226">
        <f>IF(Assumptions!$B$43&gt;Assumptions!$B$36*N225,"preference","convert")</f>
        <v/>
      </c>
      <c r="F226">
        <f>IF(Assumptions!$B$42&gt;Assumptions!$B$35*N225,"preference","convert")</f>
        <v/>
      </c>
      <c r="G226">
        <f>IF(Assumptions!$B$41&gt;Assumptions!$B$34*N225,"preference","convert")</f>
        <v/>
      </c>
      <c r="H226">
        <f>IF(Assumptions!$B$40&gt;Assumptions!$B$33*N225,"preference","convert")</f>
        <v/>
      </c>
      <c r="I226">
        <f>IF(B226="preference",Assumptions!$B$4,0)+IF(C226="preference",Assumptions!$B$45,0)+IF(D226="preference",Assumptions!$B$44,0)+IF(E226="preference",Assumptions!$B$43,0)+IF(F226="preference",Assumptions!$B$42,0)+IF(G226="preference",Assumptions!$B$41,0)+IF(H226="preference",Assumptions!$B$40,0)</f>
        <v/>
      </c>
      <c r="J226">
        <f>IF(B226="convert",(Assumptions!$B$4/B219),0)+IF(C226="convert",(Assumptions!$B$39+F219),0)+IF(D226="convert",(Assumptions!$B$38+E219),0)+IF(E226="convert",Assumptions!$B$36,0)+IF(F226="convert",Assumptions!$B$35,0)+IF(G226="convert",Assumptions!$B$34,0)+IF(H226="convert",Assumptions!$B$33,0)</f>
        <v/>
      </c>
      <c r="K226">
        <f>(Assumptions!$B$46+Assumptions!$B$47+Assumptions!$B$48)+Assumptions!$B$49+(H219+I219)+J226</f>
        <v/>
      </c>
      <c r="L226">
        <f>(Assumptions!$B$13-I226+Assumptions!$B$31*Assumptions!$B$10)/(K226+Assumptions!$B$31)</f>
        <v/>
      </c>
      <c r="M226">
        <f>IF(L226&gt;Assumptions!$B$10,"yes","no")</f>
        <v/>
      </c>
      <c r="N226">
        <f>IF(M226="yes",L226,MAX(0,(Assumptions!$B$13-I226)/K226))</f>
        <v/>
      </c>
      <c r="O226">
        <f>IF(M226="yes",Assumptions!$B$31*(N226-Assumptions!$B$10),0)</f>
        <v/>
      </c>
    </row>
    <row r="227">
      <c r="A227" t="inlineStr">
        <is>
          <t>iter 3</t>
        </is>
      </c>
      <c r="B227">
        <f>IF(Assumptions!$B$4&gt;(Assumptions!$B$4/B219)*N226,"preference","convert")</f>
        <v/>
      </c>
      <c r="C227">
        <f>IF(Assumptions!$B$45&gt;(Assumptions!$B$39+F219)*N226,"preference","convert")</f>
        <v/>
      </c>
      <c r="D227">
        <f>IF(Assumptions!$B$44&gt;(Assumptions!$B$38+E219)*N226,"preference","convert")</f>
        <v/>
      </c>
      <c r="E227">
        <f>IF(Assumptions!$B$43&gt;Assumptions!$B$36*N226,"preference","convert")</f>
        <v/>
      </c>
      <c r="F227">
        <f>IF(Assumptions!$B$42&gt;Assumptions!$B$35*N226,"preference","convert")</f>
        <v/>
      </c>
      <c r="G227">
        <f>IF(Assumptions!$B$41&gt;Assumptions!$B$34*N226,"preference","convert")</f>
        <v/>
      </c>
      <c r="H227">
        <f>IF(Assumptions!$B$40&gt;Assumptions!$B$33*N226,"preference","convert")</f>
        <v/>
      </c>
      <c r="I227">
        <f>IF(B227="preference",Assumptions!$B$4,0)+IF(C227="preference",Assumptions!$B$45,0)+IF(D227="preference",Assumptions!$B$44,0)+IF(E227="preference",Assumptions!$B$43,0)+IF(F227="preference",Assumptions!$B$42,0)+IF(G227="preference",Assumptions!$B$41,0)+IF(H227="preference",Assumptions!$B$40,0)</f>
        <v/>
      </c>
      <c r="J227">
        <f>IF(B227="convert",(Assumptions!$B$4/B219),0)+IF(C227="convert",(Assumptions!$B$39+F219),0)+IF(D227="convert",(Assumptions!$B$38+E219),0)+IF(E227="convert",Assumptions!$B$36,0)+IF(F227="convert",Assumptions!$B$35,0)+IF(G227="convert",Assumptions!$B$34,0)+IF(H227="convert",Assumptions!$B$33,0)</f>
        <v/>
      </c>
      <c r="K227">
        <f>(Assumptions!$B$46+Assumptions!$B$47+Assumptions!$B$48)+Assumptions!$B$49+(H219+I219)+J227</f>
        <v/>
      </c>
      <c r="L227">
        <f>(Assumptions!$B$13-I227+Assumptions!$B$31*Assumptions!$B$10)/(K227+Assumptions!$B$31)</f>
        <v/>
      </c>
      <c r="M227">
        <f>IF(L227&gt;Assumptions!$B$10,"yes","no")</f>
        <v/>
      </c>
      <c r="N227">
        <f>IF(M227="yes",L227,MAX(0,(Assumptions!$B$13-I227)/K227))</f>
        <v/>
      </c>
      <c r="O227">
        <f>IF(M227="yes",Assumptions!$B$31*(N227-Assumptions!$B$10),0)</f>
        <v/>
      </c>
    </row>
    <row r="228">
      <c r="A228" t="inlineStr">
        <is>
          <t>iter 4</t>
        </is>
      </c>
      <c r="B228">
        <f>IF(Assumptions!$B$4&gt;(Assumptions!$B$4/B219)*N227,"preference","convert")</f>
        <v/>
      </c>
      <c r="C228">
        <f>IF(Assumptions!$B$45&gt;(Assumptions!$B$39+F219)*N227,"preference","convert")</f>
        <v/>
      </c>
      <c r="D228">
        <f>IF(Assumptions!$B$44&gt;(Assumptions!$B$38+E219)*N227,"preference","convert")</f>
        <v/>
      </c>
      <c r="E228">
        <f>IF(Assumptions!$B$43&gt;Assumptions!$B$36*N227,"preference","convert")</f>
        <v/>
      </c>
      <c r="F228">
        <f>IF(Assumptions!$B$42&gt;Assumptions!$B$35*N227,"preference","convert")</f>
        <v/>
      </c>
      <c r="G228">
        <f>IF(Assumptions!$B$41&gt;Assumptions!$B$34*N227,"preference","convert")</f>
        <v/>
      </c>
      <c r="H228">
        <f>IF(Assumptions!$B$40&gt;Assumptions!$B$33*N227,"preference","convert")</f>
        <v/>
      </c>
      <c r="I228">
        <f>IF(B228="preference",Assumptions!$B$4,0)+IF(C228="preference",Assumptions!$B$45,0)+IF(D228="preference",Assumptions!$B$44,0)+IF(E228="preference",Assumptions!$B$43,0)+IF(F228="preference",Assumptions!$B$42,0)+IF(G228="preference",Assumptions!$B$41,0)+IF(H228="preference",Assumptions!$B$40,0)</f>
        <v/>
      </c>
      <c r="J228">
        <f>IF(B228="convert",(Assumptions!$B$4/B219),0)+IF(C228="convert",(Assumptions!$B$39+F219),0)+IF(D228="convert",(Assumptions!$B$38+E219),0)+IF(E228="convert",Assumptions!$B$36,0)+IF(F228="convert",Assumptions!$B$35,0)+IF(G228="convert",Assumptions!$B$34,0)+IF(H228="convert",Assumptions!$B$33,0)</f>
        <v/>
      </c>
      <c r="K228">
        <f>(Assumptions!$B$46+Assumptions!$B$47+Assumptions!$B$48)+Assumptions!$B$49+(H219+I219)+J228</f>
        <v/>
      </c>
      <c r="L228">
        <f>(Assumptions!$B$13-I228+Assumptions!$B$31*Assumptions!$B$10)/(K228+Assumptions!$B$31)</f>
        <v/>
      </c>
      <c r="M228">
        <f>IF(L228&gt;Assumptions!$B$10,"yes","no")</f>
        <v/>
      </c>
      <c r="N228">
        <f>IF(M228="yes",L228,MAX(0,(Assumptions!$B$13-I228)/K228))</f>
        <v/>
      </c>
      <c r="O228">
        <f>IF(M228="yes",Assumptions!$B$31*(N228-Assumptions!$B$10),0)</f>
        <v/>
      </c>
    </row>
    <row r="229">
      <c r="A229" t="inlineStr">
        <is>
          <t>iter 5</t>
        </is>
      </c>
      <c r="B229">
        <f>IF(Assumptions!$B$4&gt;(Assumptions!$B$4/B219)*N228,"preference","convert")</f>
        <v/>
      </c>
      <c r="C229">
        <f>IF(Assumptions!$B$45&gt;(Assumptions!$B$39+F219)*N228,"preference","convert")</f>
        <v/>
      </c>
      <c r="D229">
        <f>IF(Assumptions!$B$44&gt;(Assumptions!$B$38+E219)*N228,"preference","convert")</f>
        <v/>
      </c>
      <c r="E229">
        <f>IF(Assumptions!$B$43&gt;Assumptions!$B$36*N228,"preference","convert")</f>
        <v/>
      </c>
      <c r="F229">
        <f>IF(Assumptions!$B$42&gt;Assumptions!$B$35*N228,"preference","convert")</f>
        <v/>
      </c>
      <c r="G229">
        <f>IF(Assumptions!$B$41&gt;Assumptions!$B$34*N228,"preference","convert")</f>
        <v/>
      </c>
      <c r="H229">
        <f>IF(Assumptions!$B$40&gt;Assumptions!$B$33*N228,"preference","convert")</f>
        <v/>
      </c>
      <c r="I229">
        <f>IF(B229="preference",Assumptions!$B$4,0)+IF(C229="preference",Assumptions!$B$45,0)+IF(D229="preference",Assumptions!$B$44,0)+IF(E229="preference",Assumptions!$B$43,0)+IF(F229="preference",Assumptions!$B$42,0)+IF(G229="preference",Assumptions!$B$41,0)+IF(H229="preference",Assumptions!$B$40,0)</f>
        <v/>
      </c>
      <c r="J229">
        <f>IF(B229="convert",(Assumptions!$B$4/B219),0)+IF(C229="convert",(Assumptions!$B$39+F219),0)+IF(D229="convert",(Assumptions!$B$38+E219),0)+IF(E229="convert",Assumptions!$B$36,0)+IF(F229="convert",Assumptions!$B$35,0)+IF(G229="convert",Assumptions!$B$34,0)+IF(H229="convert",Assumptions!$B$33,0)</f>
        <v/>
      </c>
      <c r="K229">
        <f>(Assumptions!$B$46+Assumptions!$B$47+Assumptions!$B$48)+Assumptions!$B$49+(H219+I219)+J229</f>
        <v/>
      </c>
      <c r="L229">
        <f>(Assumptions!$B$13-I229+Assumptions!$B$31*Assumptions!$B$10)/(K229+Assumptions!$B$31)</f>
        <v/>
      </c>
      <c r="M229">
        <f>IF(L229&gt;Assumptions!$B$10,"yes","no")</f>
        <v/>
      </c>
      <c r="N229">
        <f>IF(M229="yes",L229,MAX(0,(Assumptions!$B$13-I229)/K229))</f>
        <v/>
      </c>
      <c r="O229">
        <f>IF(M229="yes",Assumptions!$B$31*(N229-Assumptions!$B$10),0)</f>
        <v/>
      </c>
    </row>
    <row r="230">
      <c r="A230" t="inlineStr">
        <is>
          <t>iter 6</t>
        </is>
      </c>
      <c r="B230">
        <f>IF(Assumptions!$B$4&gt;(Assumptions!$B$4/B219)*N229,"preference","convert")</f>
        <v/>
      </c>
      <c r="C230">
        <f>IF(Assumptions!$B$45&gt;(Assumptions!$B$39+F219)*N229,"preference","convert")</f>
        <v/>
      </c>
      <c r="D230">
        <f>IF(Assumptions!$B$44&gt;(Assumptions!$B$38+E219)*N229,"preference","convert")</f>
        <v/>
      </c>
      <c r="E230">
        <f>IF(Assumptions!$B$43&gt;Assumptions!$B$36*N229,"preference","convert")</f>
        <v/>
      </c>
      <c r="F230">
        <f>IF(Assumptions!$B$42&gt;Assumptions!$B$35*N229,"preference","convert")</f>
        <v/>
      </c>
      <c r="G230">
        <f>IF(Assumptions!$B$41&gt;Assumptions!$B$34*N229,"preference","convert")</f>
        <v/>
      </c>
      <c r="H230">
        <f>IF(Assumptions!$B$40&gt;Assumptions!$B$33*N229,"preference","convert")</f>
        <v/>
      </c>
      <c r="I230">
        <f>IF(B230="preference",Assumptions!$B$4,0)+IF(C230="preference",Assumptions!$B$45,0)+IF(D230="preference",Assumptions!$B$44,0)+IF(E230="preference",Assumptions!$B$43,0)+IF(F230="preference",Assumptions!$B$42,0)+IF(G230="preference",Assumptions!$B$41,0)+IF(H230="preference",Assumptions!$B$40,0)</f>
        <v/>
      </c>
      <c r="J230">
        <f>IF(B230="convert",(Assumptions!$B$4/B219),0)+IF(C230="convert",(Assumptions!$B$39+F219),0)+IF(D230="convert",(Assumptions!$B$38+E219),0)+IF(E230="convert",Assumptions!$B$36,0)+IF(F230="convert",Assumptions!$B$35,0)+IF(G230="convert",Assumptions!$B$34,0)+IF(H230="convert",Assumptions!$B$33,0)</f>
        <v/>
      </c>
      <c r="K230">
        <f>(Assumptions!$B$46+Assumptions!$B$47+Assumptions!$B$48)+Assumptions!$B$49+(H219+I219)+J230</f>
        <v/>
      </c>
      <c r="L230">
        <f>(Assumptions!$B$13-I230+Assumptions!$B$31*Assumptions!$B$10)/(K230+Assumptions!$B$31)</f>
        <v/>
      </c>
      <c r="M230">
        <f>IF(L230&gt;Assumptions!$B$10,"yes","no")</f>
        <v/>
      </c>
      <c r="N230">
        <f>IF(M230="yes",L230,MAX(0,(Assumptions!$B$13-I230)/K230))</f>
        <v/>
      </c>
      <c r="O230">
        <f>IF(M230="yes",Assumptions!$B$31*(N230-Assumptions!$B$10),0)</f>
        <v/>
      </c>
    </row>
    <row r="231">
      <c r="A231" t="inlineStr">
        <is>
          <t>iter 7</t>
        </is>
      </c>
      <c r="B231">
        <f>IF(Assumptions!$B$4&gt;(Assumptions!$B$4/B219)*N230,"preference","convert")</f>
        <v/>
      </c>
      <c r="C231">
        <f>IF(Assumptions!$B$45&gt;(Assumptions!$B$39+F219)*N230,"preference","convert")</f>
        <v/>
      </c>
      <c r="D231">
        <f>IF(Assumptions!$B$44&gt;(Assumptions!$B$38+E219)*N230,"preference","convert")</f>
        <v/>
      </c>
      <c r="E231">
        <f>IF(Assumptions!$B$43&gt;Assumptions!$B$36*N230,"preference","convert")</f>
        <v/>
      </c>
      <c r="F231">
        <f>IF(Assumptions!$B$42&gt;Assumptions!$B$35*N230,"preference","convert")</f>
        <v/>
      </c>
      <c r="G231">
        <f>IF(Assumptions!$B$41&gt;Assumptions!$B$34*N230,"preference","convert")</f>
        <v/>
      </c>
      <c r="H231">
        <f>IF(Assumptions!$B$40&gt;Assumptions!$B$33*N230,"preference","convert")</f>
        <v/>
      </c>
      <c r="I231">
        <f>IF(B231="preference",Assumptions!$B$4,0)+IF(C231="preference",Assumptions!$B$45,0)+IF(D231="preference",Assumptions!$B$44,0)+IF(E231="preference",Assumptions!$B$43,0)+IF(F231="preference",Assumptions!$B$42,0)+IF(G231="preference",Assumptions!$B$41,0)+IF(H231="preference",Assumptions!$B$40,0)</f>
        <v/>
      </c>
      <c r="J231">
        <f>IF(B231="convert",(Assumptions!$B$4/B219),0)+IF(C231="convert",(Assumptions!$B$39+F219),0)+IF(D231="convert",(Assumptions!$B$38+E219),0)+IF(E231="convert",Assumptions!$B$36,0)+IF(F231="convert",Assumptions!$B$35,0)+IF(G231="convert",Assumptions!$B$34,0)+IF(H231="convert",Assumptions!$B$33,0)</f>
        <v/>
      </c>
      <c r="K231">
        <f>(Assumptions!$B$46+Assumptions!$B$47+Assumptions!$B$48)+Assumptions!$B$49+(H219+I219)+J231</f>
        <v/>
      </c>
      <c r="L231">
        <f>(Assumptions!$B$13-I231+Assumptions!$B$31*Assumptions!$B$10)/(K231+Assumptions!$B$31)</f>
        <v/>
      </c>
      <c r="M231">
        <f>IF(L231&gt;Assumptions!$B$10,"yes","no")</f>
        <v/>
      </c>
      <c r="N231">
        <f>IF(M231="yes",L231,MAX(0,(Assumptions!$B$13-I231)/K231))</f>
        <v/>
      </c>
      <c r="O231">
        <f>IF(M231="yes",Assumptions!$B$31*(N231-Assumptions!$B$10),0)</f>
        <v/>
      </c>
    </row>
    <row r="232">
      <c r="A232" t="inlineStr">
        <is>
          <t>iter 8</t>
        </is>
      </c>
      <c r="B232">
        <f>IF(Assumptions!$B$4&gt;(Assumptions!$B$4/B219)*N231,"preference","convert")</f>
        <v/>
      </c>
      <c r="C232">
        <f>IF(Assumptions!$B$45&gt;(Assumptions!$B$39+F219)*N231,"preference","convert")</f>
        <v/>
      </c>
      <c r="D232">
        <f>IF(Assumptions!$B$44&gt;(Assumptions!$B$38+E219)*N231,"preference","convert")</f>
        <v/>
      </c>
      <c r="E232">
        <f>IF(Assumptions!$B$43&gt;Assumptions!$B$36*N231,"preference","convert")</f>
        <v/>
      </c>
      <c r="F232">
        <f>IF(Assumptions!$B$42&gt;Assumptions!$B$35*N231,"preference","convert")</f>
        <v/>
      </c>
      <c r="G232">
        <f>IF(Assumptions!$B$41&gt;Assumptions!$B$34*N231,"preference","convert")</f>
        <v/>
      </c>
      <c r="H232">
        <f>IF(Assumptions!$B$40&gt;Assumptions!$B$33*N231,"preference","convert")</f>
        <v/>
      </c>
      <c r="I232">
        <f>IF(B232="preference",Assumptions!$B$4,0)+IF(C232="preference",Assumptions!$B$45,0)+IF(D232="preference",Assumptions!$B$44,0)+IF(E232="preference",Assumptions!$B$43,0)+IF(F232="preference",Assumptions!$B$42,0)+IF(G232="preference",Assumptions!$B$41,0)+IF(H232="preference",Assumptions!$B$40,0)</f>
        <v/>
      </c>
      <c r="J232">
        <f>IF(B232="convert",(Assumptions!$B$4/B219),0)+IF(C232="convert",(Assumptions!$B$39+F219),0)+IF(D232="convert",(Assumptions!$B$38+E219),0)+IF(E232="convert",Assumptions!$B$36,0)+IF(F232="convert",Assumptions!$B$35,0)+IF(G232="convert",Assumptions!$B$34,0)+IF(H232="convert",Assumptions!$B$33,0)</f>
        <v/>
      </c>
      <c r="K232">
        <f>(Assumptions!$B$46+Assumptions!$B$47+Assumptions!$B$48)+Assumptions!$B$49+(H219+I219)+J232</f>
        <v/>
      </c>
      <c r="L232">
        <f>(Assumptions!$B$13-I232+Assumptions!$B$31*Assumptions!$B$10)/(K232+Assumptions!$B$31)</f>
        <v/>
      </c>
      <c r="M232">
        <f>IF(L232&gt;Assumptions!$B$10,"yes","no")</f>
        <v/>
      </c>
      <c r="N232">
        <f>IF(M232="yes",L232,MAX(0,(Assumptions!$B$13-I232)/K232))</f>
        <v/>
      </c>
      <c r="O232">
        <f>IF(M232="yes",Assumptions!$B$31*(N232-Assumptions!$B$10),0)</f>
        <v/>
      </c>
    </row>
    <row r="233">
      <c r="A233" t="inlineStr">
        <is>
          <t>iter 9</t>
        </is>
      </c>
      <c r="B233">
        <f>IF(Assumptions!$B$4&gt;(Assumptions!$B$4/B219)*N232,"preference","convert")</f>
        <v/>
      </c>
      <c r="C233">
        <f>IF(Assumptions!$B$45&gt;(Assumptions!$B$39+F219)*N232,"preference","convert")</f>
        <v/>
      </c>
      <c r="D233">
        <f>IF(Assumptions!$B$44&gt;(Assumptions!$B$38+E219)*N232,"preference","convert")</f>
        <v/>
      </c>
      <c r="E233">
        <f>IF(Assumptions!$B$43&gt;Assumptions!$B$36*N232,"preference","convert")</f>
        <v/>
      </c>
      <c r="F233">
        <f>IF(Assumptions!$B$42&gt;Assumptions!$B$35*N232,"preference","convert")</f>
        <v/>
      </c>
      <c r="G233">
        <f>IF(Assumptions!$B$41&gt;Assumptions!$B$34*N232,"preference","convert")</f>
        <v/>
      </c>
      <c r="H233">
        <f>IF(Assumptions!$B$40&gt;Assumptions!$B$33*N232,"preference","convert")</f>
        <v/>
      </c>
      <c r="I233">
        <f>IF(B233="preference",Assumptions!$B$4,0)+IF(C233="preference",Assumptions!$B$45,0)+IF(D233="preference",Assumptions!$B$44,0)+IF(E233="preference",Assumptions!$B$43,0)+IF(F233="preference",Assumptions!$B$42,0)+IF(G233="preference",Assumptions!$B$41,0)+IF(H233="preference",Assumptions!$B$40,0)</f>
        <v/>
      </c>
      <c r="J233">
        <f>IF(B233="convert",(Assumptions!$B$4/B219),0)+IF(C233="convert",(Assumptions!$B$39+F219),0)+IF(D233="convert",(Assumptions!$B$38+E219),0)+IF(E233="convert",Assumptions!$B$36,0)+IF(F233="convert",Assumptions!$B$35,0)+IF(G233="convert",Assumptions!$B$34,0)+IF(H233="convert",Assumptions!$B$33,0)</f>
        <v/>
      </c>
      <c r="K233">
        <f>(Assumptions!$B$46+Assumptions!$B$47+Assumptions!$B$48)+Assumptions!$B$49+(H219+I219)+J233</f>
        <v/>
      </c>
      <c r="L233">
        <f>(Assumptions!$B$13-I233+Assumptions!$B$31*Assumptions!$B$10)/(K233+Assumptions!$B$31)</f>
        <v/>
      </c>
      <c r="M233">
        <f>IF(L233&gt;Assumptions!$B$10,"yes","no")</f>
        <v/>
      </c>
      <c r="N233">
        <f>IF(M233="yes",L233,MAX(0,(Assumptions!$B$13-I233)/K233))</f>
        <v/>
      </c>
      <c r="O233">
        <f>IF(M233="yes",Assumptions!$B$31*(N233-Assumptions!$B$10),0)</f>
        <v/>
      </c>
    </row>
    <row r="234">
      <c r="A234" t="inlineStr">
        <is>
          <t>iter 10</t>
        </is>
      </c>
      <c r="B234">
        <f>IF(Assumptions!$B$4&gt;(Assumptions!$B$4/B219)*N233,"preference","convert")</f>
        <v/>
      </c>
      <c r="C234">
        <f>IF(Assumptions!$B$45&gt;(Assumptions!$B$39+F219)*N233,"preference","convert")</f>
        <v/>
      </c>
      <c r="D234">
        <f>IF(Assumptions!$B$44&gt;(Assumptions!$B$38+E219)*N233,"preference","convert")</f>
        <v/>
      </c>
      <c r="E234">
        <f>IF(Assumptions!$B$43&gt;Assumptions!$B$36*N233,"preference","convert")</f>
        <v/>
      </c>
      <c r="F234">
        <f>IF(Assumptions!$B$42&gt;Assumptions!$B$35*N233,"preference","convert")</f>
        <v/>
      </c>
      <c r="G234">
        <f>IF(Assumptions!$B$41&gt;Assumptions!$B$34*N233,"preference","convert")</f>
        <v/>
      </c>
      <c r="H234">
        <f>IF(Assumptions!$B$40&gt;Assumptions!$B$33*N233,"preference","convert")</f>
        <v/>
      </c>
      <c r="I234">
        <f>IF(B234="preference",Assumptions!$B$4,0)+IF(C234="preference",Assumptions!$B$45,0)+IF(D234="preference",Assumptions!$B$44,0)+IF(E234="preference",Assumptions!$B$43,0)+IF(F234="preference",Assumptions!$B$42,0)+IF(G234="preference",Assumptions!$B$41,0)+IF(H234="preference",Assumptions!$B$40,0)</f>
        <v/>
      </c>
      <c r="J234">
        <f>IF(B234="convert",(Assumptions!$B$4/B219),0)+IF(C234="convert",(Assumptions!$B$39+F219),0)+IF(D234="convert",(Assumptions!$B$38+E219),0)+IF(E234="convert",Assumptions!$B$36,0)+IF(F234="convert",Assumptions!$B$35,0)+IF(G234="convert",Assumptions!$B$34,0)+IF(H234="convert",Assumptions!$B$33,0)</f>
        <v/>
      </c>
      <c r="K234">
        <f>(Assumptions!$B$46+Assumptions!$B$47+Assumptions!$B$48)+Assumptions!$B$49+(H219+I219)+J234</f>
        <v/>
      </c>
      <c r="L234">
        <f>(Assumptions!$B$13-I234+Assumptions!$B$31*Assumptions!$B$10)/(K234+Assumptions!$B$31)</f>
        <v/>
      </c>
      <c r="M234">
        <f>IF(L234&gt;Assumptions!$B$10,"yes","no")</f>
        <v/>
      </c>
      <c r="N234">
        <f>IF(M234="yes",L234,MAX(0,(Assumptions!$B$13-I234)/K234))</f>
        <v/>
      </c>
      <c r="O234">
        <f>IF(M234="yes",Assumptions!$B$31*(N234-Assumptions!$B$10),0)</f>
        <v/>
      </c>
    </row>
    <row r="235">
      <c r="A235" t="inlineStr">
        <is>
          <t>iter 11</t>
        </is>
      </c>
      <c r="B235">
        <f>IF(Assumptions!$B$4&gt;(Assumptions!$B$4/B219)*N234,"preference","convert")</f>
        <v/>
      </c>
      <c r="C235">
        <f>IF(Assumptions!$B$45&gt;(Assumptions!$B$39+F219)*N234,"preference","convert")</f>
        <v/>
      </c>
      <c r="D235">
        <f>IF(Assumptions!$B$44&gt;(Assumptions!$B$38+E219)*N234,"preference","convert")</f>
        <v/>
      </c>
      <c r="E235">
        <f>IF(Assumptions!$B$43&gt;Assumptions!$B$36*N234,"preference","convert")</f>
        <v/>
      </c>
      <c r="F235">
        <f>IF(Assumptions!$B$42&gt;Assumptions!$B$35*N234,"preference","convert")</f>
        <v/>
      </c>
      <c r="G235">
        <f>IF(Assumptions!$B$41&gt;Assumptions!$B$34*N234,"preference","convert")</f>
        <v/>
      </c>
      <c r="H235">
        <f>IF(Assumptions!$B$40&gt;Assumptions!$B$33*N234,"preference","convert")</f>
        <v/>
      </c>
      <c r="I235">
        <f>IF(B235="preference",Assumptions!$B$4,0)+IF(C235="preference",Assumptions!$B$45,0)+IF(D235="preference",Assumptions!$B$44,0)+IF(E235="preference",Assumptions!$B$43,0)+IF(F235="preference",Assumptions!$B$42,0)+IF(G235="preference",Assumptions!$B$41,0)+IF(H235="preference",Assumptions!$B$40,0)</f>
        <v/>
      </c>
      <c r="J235">
        <f>IF(B235="convert",(Assumptions!$B$4/B219),0)+IF(C235="convert",(Assumptions!$B$39+F219),0)+IF(D235="convert",(Assumptions!$B$38+E219),0)+IF(E235="convert",Assumptions!$B$36,0)+IF(F235="convert",Assumptions!$B$35,0)+IF(G235="convert",Assumptions!$B$34,0)+IF(H235="convert",Assumptions!$B$33,0)</f>
        <v/>
      </c>
      <c r="K235">
        <f>(Assumptions!$B$46+Assumptions!$B$47+Assumptions!$B$48)+Assumptions!$B$49+(H219+I219)+J235</f>
        <v/>
      </c>
      <c r="L235">
        <f>(Assumptions!$B$13-I235+Assumptions!$B$31*Assumptions!$B$10)/(K235+Assumptions!$B$31)</f>
        <v/>
      </c>
      <c r="M235">
        <f>IF(L235&gt;Assumptions!$B$10,"yes","no")</f>
        <v/>
      </c>
      <c r="N235">
        <f>IF(M235="yes",L235,MAX(0,(Assumptions!$B$13-I235)/K235))</f>
        <v/>
      </c>
      <c r="O235">
        <f>IF(M235="yes",Assumptions!$B$31*(N235-Assumptions!$B$10),0)</f>
        <v/>
      </c>
    </row>
    <row r="236">
      <c r="A236" t="inlineStr">
        <is>
          <t>iter 12</t>
        </is>
      </c>
      <c r="B236">
        <f>IF(Assumptions!$B$4&gt;(Assumptions!$B$4/B219)*N235,"preference","convert")</f>
        <v/>
      </c>
      <c r="C236">
        <f>IF(Assumptions!$B$45&gt;(Assumptions!$B$39+F219)*N235,"preference","convert")</f>
        <v/>
      </c>
      <c r="D236">
        <f>IF(Assumptions!$B$44&gt;(Assumptions!$B$38+E219)*N235,"preference","convert")</f>
        <v/>
      </c>
      <c r="E236">
        <f>IF(Assumptions!$B$43&gt;Assumptions!$B$36*N235,"preference","convert")</f>
        <v/>
      </c>
      <c r="F236">
        <f>IF(Assumptions!$B$42&gt;Assumptions!$B$35*N235,"preference","convert")</f>
        <v/>
      </c>
      <c r="G236">
        <f>IF(Assumptions!$B$41&gt;Assumptions!$B$34*N235,"preference","convert")</f>
        <v/>
      </c>
      <c r="H236">
        <f>IF(Assumptions!$B$40&gt;Assumptions!$B$33*N235,"preference","convert")</f>
        <v/>
      </c>
      <c r="I236">
        <f>IF(B236="preference",Assumptions!$B$4,0)+IF(C236="preference",Assumptions!$B$45,0)+IF(D236="preference",Assumptions!$B$44,0)+IF(E236="preference",Assumptions!$B$43,0)+IF(F236="preference",Assumptions!$B$42,0)+IF(G236="preference",Assumptions!$B$41,0)+IF(H236="preference",Assumptions!$B$40,0)</f>
        <v/>
      </c>
      <c r="J236">
        <f>IF(B236="convert",(Assumptions!$B$4/B219),0)+IF(C236="convert",(Assumptions!$B$39+F219),0)+IF(D236="convert",(Assumptions!$B$38+E219),0)+IF(E236="convert",Assumptions!$B$36,0)+IF(F236="convert",Assumptions!$B$35,0)+IF(G236="convert",Assumptions!$B$34,0)+IF(H236="convert",Assumptions!$B$33,0)</f>
        <v/>
      </c>
      <c r="K236">
        <f>(Assumptions!$B$46+Assumptions!$B$47+Assumptions!$B$48)+Assumptions!$B$49+(H219+I219)+J236</f>
        <v/>
      </c>
      <c r="L236">
        <f>(Assumptions!$B$13-I236+Assumptions!$B$31*Assumptions!$B$10)/(K236+Assumptions!$B$31)</f>
        <v/>
      </c>
      <c r="M236">
        <f>IF(L236&gt;Assumptions!$B$10,"yes","no")</f>
        <v/>
      </c>
      <c r="N236">
        <f>IF(M236="yes",L236,MAX(0,(Assumptions!$B$13-I236)/K236))</f>
        <v/>
      </c>
      <c r="O236">
        <f>IF(M236="yes",Assumptions!$B$31*(N236-Assumptions!$B$10),0)</f>
        <v/>
      </c>
    </row>
    <row r="237">
      <c r="A237" t="inlineStr">
        <is>
          <t>iter 13</t>
        </is>
      </c>
      <c r="B237">
        <f>IF(Assumptions!$B$4&gt;(Assumptions!$B$4/B219)*N236,"preference","convert")</f>
        <v/>
      </c>
      <c r="C237">
        <f>IF(Assumptions!$B$45&gt;(Assumptions!$B$39+F219)*N236,"preference","convert")</f>
        <v/>
      </c>
      <c r="D237">
        <f>IF(Assumptions!$B$44&gt;(Assumptions!$B$38+E219)*N236,"preference","convert")</f>
        <v/>
      </c>
      <c r="E237">
        <f>IF(Assumptions!$B$43&gt;Assumptions!$B$36*N236,"preference","convert")</f>
        <v/>
      </c>
      <c r="F237">
        <f>IF(Assumptions!$B$42&gt;Assumptions!$B$35*N236,"preference","convert")</f>
        <v/>
      </c>
      <c r="G237">
        <f>IF(Assumptions!$B$41&gt;Assumptions!$B$34*N236,"preference","convert")</f>
        <v/>
      </c>
      <c r="H237">
        <f>IF(Assumptions!$B$40&gt;Assumptions!$B$33*N236,"preference","convert")</f>
        <v/>
      </c>
      <c r="I237">
        <f>IF(B237="preference",Assumptions!$B$4,0)+IF(C237="preference",Assumptions!$B$45,0)+IF(D237="preference",Assumptions!$B$44,0)+IF(E237="preference",Assumptions!$B$43,0)+IF(F237="preference",Assumptions!$B$42,0)+IF(G237="preference",Assumptions!$B$41,0)+IF(H237="preference",Assumptions!$B$40,0)</f>
        <v/>
      </c>
      <c r="J237">
        <f>IF(B237="convert",(Assumptions!$B$4/B219),0)+IF(C237="convert",(Assumptions!$B$39+F219),0)+IF(D237="convert",(Assumptions!$B$38+E219),0)+IF(E237="convert",Assumptions!$B$36,0)+IF(F237="convert",Assumptions!$B$35,0)+IF(G237="convert",Assumptions!$B$34,0)+IF(H237="convert",Assumptions!$B$33,0)</f>
        <v/>
      </c>
      <c r="K237">
        <f>(Assumptions!$B$46+Assumptions!$B$47+Assumptions!$B$48)+Assumptions!$B$49+(H219+I219)+J237</f>
        <v/>
      </c>
      <c r="L237">
        <f>(Assumptions!$B$13-I237+Assumptions!$B$31*Assumptions!$B$10)/(K237+Assumptions!$B$31)</f>
        <v/>
      </c>
      <c r="M237">
        <f>IF(L237&gt;Assumptions!$B$10,"yes","no")</f>
        <v/>
      </c>
      <c r="N237">
        <f>IF(M237="yes",L237,MAX(0,(Assumptions!$B$13-I237)/K237))</f>
        <v/>
      </c>
      <c r="O237">
        <f>IF(M237="yes",Assumptions!$B$31*(N237-Assumptions!$B$10),0)</f>
        <v/>
      </c>
    </row>
    <row r="238">
      <c r="A238" t="inlineStr">
        <is>
          <t>iter 14</t>
        </is>
      </c>
      <c r="B238">
        <f>IF(Assumptions!$B$4&gt;(Assumptions!$B$4/B219)*N237,"preference","convert")</f>
        <v/>
      </c>
      <c r="C238">
        <f>IF(Assumptions!$B$45&gt;(Assumptions!$B$39+F219)*N237,"preference","convert")</f>
        <v/>
      </c>
      <c r="D238">
        <f>IF(Assumptions!$B$44&gt;(Assumptions!$B$38+E219)*N237,"preference","convert")</f>
        <v/>
      </c>
      <c r="E238">
        <f>IF(Assumptions!$B$43&gt;Assumptions!$B$36*N237,"preference","convert")</f>
        <v/>
      </c>
      <c r="F238">
        <f>IF(Assumptions!$B$42&gt;Assumptions!$B$35*N237,"preference","convert")</f>
        <v/>
      </c>
      <c r="G238">
        <f>IF(Assumptions!$B$41&gt;Assumptions!$B$34*N237,"preference","convert")</f>
        <v/>
      </c>
      <c r="H238">
        <f>IF(Assumptions!$B$40&gt;Assumptions!$B$33*N237,"preference","convert")</f>
        <v/>
      </c>
      <c r="I238">
        <f>IF(B238="preference",Assumptions!$B$4,0)+IF(C238="preference",Assumptions!$B$45,0)+IF(D238="preference",Assumptions!$B$44,0)+IF(E238="preference",Assumptions!$B$43,0)+IF(F238="preference",Assumptions!$B$42,0)+IF(G238="preference",Assumptions!$B$41,0)+IF(H238="preference",Assumptions!$B$40,0)</f>
        <v/>
      </c>
      <c r="J238">
        <f>IF(B238="convert",(Assumptions!$B$4/B219),0)+IF(C238="convert",(Assumptions!$B$39+F219),0)+IF(D238="convert",(Assumptions!$B$38+E219),0)+IF(E238="convert",Assumptions!$B$36,0)+IF(F238="convert",Assumptions!$B$35,0)+IF(G238="convert",Assumptions!$B$34,0)+IF(H238="convert",Assumptions!$B$33,0)</f>
        <v/>
      </c>
      <c r="K238">
        <f>(Assumptions!$B$46+Assumptions!$B$47+Assumptions!$B$48)+Assumptions!$B$49+(H219+I219)+J238</f>
        <v/>
      </c>
      <c r="L238">
        <f>(Assumptions!$B$13-I238+Assumptions!$B$31*Assumptions!$B$10)/(K238+Assumptions!$B$31)</f>
        <v/>
      </c>
      <c r="M238">
        <f>IF(L238&gt;Assumptions!$B$10,"yes","no")</f>
        <v/>
      </c>
      <c r="N238">
        <f>IF(M238="yes",L238,MAX(0,(Assumptions!$B$13-I238)/K238))</f>
        <v/>
      </c>
      <c r="O238">
        <f>IF(M238="yes",Assumptions!$B$31*(N238-Assumptions!$B$10),0)</f>
        <v/>
      </c>
    </row>
    <row r="239">
      <c r="A239" t="inlineStr">
        <is>
          <t>iter 15</t>
        </is>
      </c>
      <c r="B239">
        <f>IF(Assumptions!$B$4&gt;(Assumptions!$B$4/B219)*N238,"preference","convert")</f>
        <v/>
      </c>
      <c r="C239">
        <f>IF(Assumptions!$B$45&gt;(Assumptions!$B$39+F219)*N238,"preference","convert")</f>
        <v/>
      </c>
      <c r="D239">
        <f>IF(Assumptions!$B$44&gt;(Assumptions!$B$38+E219)*N238,"preference","convert")</f>
        <v/>
      </c>
      <c r="E239">
        <f>IF(Assumptions!$B$43&gt;Assumptions!$B$36*N238,"preference","convert")</f>
        <v/>
      </c>
      <c r="F239">
        <f>IF(Assumptions!$B$42&gt;Assumptions!$B$35*N238,"preference","convert")</f>
        <v/>
      </c>
      <c r="G239">
        <f>IF(Assumptions!$B$41&gt;Assumptions!$B$34*N238,"preference","convert")</f>
        <v/>
      </c>
      <c r="H239">
        <f>IF(Assumptions!$B$40&gt;Assumptions!$B$33*N238,"preference","convert")</f>
        <v/>
      </c>
      <c r="I239">
        <f>IF(B239="preference",Assumptions!$B$4,0)+IF(C239="preference",Assumptions!$B$45,0)+IF(D239="preference",Assumptions!$B$44,0)+IF(E239="preference",Assumptions!$B$43,0)+IF(F239="preference",Assumptions!$B$42,0)+IF(G239="preference",Assumptions!$B$41,0)+IF(H239="preference",Assumptions!$B$40,0)</f>
        <v/>
      </c>
      <c r="J239">
        <f>IF(B239="convert",(Assumptions!$B$4/B219),0)+IF(C239="convert",(Assumptions!$B$39+F219),0)+IF(D239="convert",(Assumptions!$B$38+E219),0)+IF(E239="convert",Assumptions!$B$36,0)+IF(F239="convert",Assumptions!$B$35,0)+IF(G239="convert",Assumptions!$B$34,0)+IF(H239="convert",Assumptions!$B$33,0)</f>
        <v/>
      </c>
      <c r="K239">
        <f>(Assumptions!$B$46+Assumptions!$B$47+Assumptions!$B$48)+Assumptions!$B$49+(H219+I219)+J239</f>
        <v/>
      </c>
      <c r="L239">
        <f>(Assumptions!$B$13-I239+Assumptions!$B$31*Assumptions!$B$10)/(K239+Assumptions!$B$31)</f>
        <v/>
      </c>
      <c r="M239">
        <f>IF(L239&gt;Assumptions!$B$10,"yes","no")</f>
        <v/>
      </c>
      <c r="N239">
        <f>IF(M239="yes",L239,MAX(0,(Assumptions!$B$13-I239)/K239))</f>
        <v/>
      </c>
      <c r="O239">
        <f>IF(M239="yes",Assumptions!$B$31*(N239-Assumptions!$B$10),0)</f>
        <v/>
      </c>
    </row>
    <row r="240">
      <c r="A240" t="inlineStr">
        <is>
          <t>iter 16</t>
        </is>
      </c>
      <c r="B240">
        <f>IF(Assumptions!$B$4&gt;(Assumptions!$B$4/B219)*N239,"preference","convert")</f>
        <v/>
      </c>
      <c r="C240">
        <f>IF(Assumptions!$B$45&gt;(Assumptions!$B$39+F219)*N239,"preference","convert")</f>
        <v/>
      </c>
      <c r="D240">
        <f>IF(Assumptions!$B$44&gt;(Assumptions!$B$38+E219)*N239,"preference","convert")</f>
        <v/>
      </c>
      <c r="E240">
        <f>IF(Assumptions!$B$43&gt;Assumptions!$B$36*N239,"preference","convert")</f>
        <v/>
      </c>
      <c r="F240">
        <f>IF(Assumptions!$B$42&gt;Assumptions!$B$35*N239,"preference","convert")</f>
        <v/>
      </c>
      <c r="G240">
        <f>IF(Assumptions!$B$41&gt;Assumptions!$B$34*N239,"preference","convert")</f>
        <v/>
      </c>
      <c r="H240">
        <f>IF(Assumptions!$B$40&gt;Assumptions!$B$33*N239,"preference","convert")</f>
        <v/>
      </c>
      <c r="I240">
        <f>IF(B240="preference",Assumptions!$B$4,0)+IF(C240="preference",Assumptions!$B$45,0)+IF(D240="preference",Assumptions!$B$44,0)+IF(E240="preference",Assumptions!$B$43,0)+IF(F240="preference",Assumptions!$B$42,0)+IF(G240="preference",Assumptions!$B$41,0)+IF(H240="preference",Assumptions!$B$40,0)</f>
        <v/>
      </c>
      <c r="J240">
        <f>IF(B240="convert",(Assumptions!$B$4/B219),0)+IF(C240="convert",(Assumptions!$B$39+F219),0)+IF(D240="convert",(Assumptions!$B$38+E219),0)+IF(E240="convert",Assumptions!$B$36,0)+IF(F240="convert",Assumptions!$B$35,0)+IF(G240="convert",Assumptions!$B$34,0)+IF(H240="convert",Assumptions!$B$33,0)</f>
        <v/>
      </c>
      <c r="K240">
        <f>(Assumptions!$B$46+Assumptions!$B$47+Assumptions!$B$48)+Assumptions!$B$49+(H219+I219)+J240</f>
        <v/>
      </c>
      <c r="L240">
        <f>(Assumptions!$B$13-I240+Assumptions!$B$31*Assumptions!$B$10)/(K240+Assumptions!$B$31)</f>
        <v/>
      </c>
      <c r="M240">
        <f>IF(L240&gt;Assumptions!$B$10,"yes","no")</f>
        <v/>
      </c>
      <c r="N240">
        <f>IF(M240="yes",L240,MAX(0,(Assumptions!$B$13-I240)/K240))</f>
        <v/>
      </c>
      <c r="O240">
        <f>IF(M240="yes",Assumptions!$B$31*(N240-Assumptions!$B$10),0)</f>
        <v/>
      </c>
    </row>
    <row r="241">
      <c r="A241" t="inlineStr">
        <is>
          <t>iter 17</t>
        </is>
      </c>
      <c r="B241">
        <f>IF(Assumptions!$B$4&gt;(Assumptions!$B$4/B219)*N240,"preference","convert")</f>
        <v/>
      </c>
      <c r="C241">
        <f>IF(Assumptions!$B$45&gt;(Assumptions!$B$39+F219)*N240,"preference","convert")</f>
        <v/>
      </c>
      <c r="D241">
        <f>IF(Assumptions!$B$44&gt;(Assumptions!$B$38+E219)*N240,"preference","convert")</f>
        <v/>
      </c>
      <c r="E241">
        <f>IF(Assumptions!$B$43&gt;Assumptions!$B$36*N240,"preference","convert")</f>
        <v/>
      </c>
      <c r="F241">
        <f>IF(Assumptions!$B$42&gt;Assumptions!$B$35*N240,"preference","convert")</f>
        <v/>
      </c>
      <c r="G241">
        <f>IF(Assumptions!$B$41&gt;Assumptions!$B$34*N240,"preference","convert")</f>
        <v/>
      </c>
      <c r="H241">
        <f>IF(Assumptions!$B$40&gt;Assumptions!$B$33*N240,"preference","convert")</f>
        <v/>
      </c>
      <c r="I241">
        <f>IF(B241="preference",Assumptions!$B$4,0)+IF(C241="preference",Assumptions!$B$45,0)+IF(D241="preference",Assumptions!$B$44,0)+IF(E241="preference",Assumptions!$B$43,0)+IF(F241="preference",Assumptions!$B$42,0)+IF(G241="preference",Assumptions!$B$41,0)+IF(H241="preference",Assumptions!$B$40,0)</f>
        <v/>
      </c>
      <c r="J241">
        <f>IF(B241="convert",(Assumptions!$B$4/B219),0)+IF(C241="convert",(Assumptions!$B$39+F219),0)+IF(D241="convert",(Assumptions!$B$38+E219),0)+IF(E241="convert",Assumptions!$B$36,0)+IF(F241="convert",Assumptions!$B$35,0)+IF(G241="convert",Assumptions!$B$34,0)+IF(H241="convert",Assumptions!$B$33,0)</f>
        <v/>
      </c>
      <c r="K241">
        <f>(Assumptions!$B$46+Assumptions!$B$47+Assumptions!$B$48)+Assumptions!$B$49+(H219+I219)+J241</f>
        <v/>
      </c>
      <c r="L241">
        <f>(Assumptions!$B$13-I241+Assumptions!$B$31*Assumptions!$B$10)/(K241+Assumptions!$B$31)</f>
        <v/>
      </c>
      <c r="M241">
        <f>IF(L241&gt;Assumptions!$B$10,"yes","no")</f>
        <v/>
      </c>
      <c r="N241">
        <f>IF(M241="yes",L241,MAX(0,(Assumptions!$B$13-I241)/K241))</f>
        <v/>
      </c>
      <c r="O241">
        <f>IF(M241="yes",Assumptions!$B$31*(N241-Assumptions!$B$10),0)</f>
        <v/>
      </c>
    </row>
    <row r="242">
      <c r="A242" t="inlineStr">
        <is>
          <t>iter 18</t>
        </is>
      </c>
      <c r="B242">
        <f>IF(Assumptions!$B$4&gt;(Assumptions!$B$4/B219)*N241,"preference","convert")</f>
        <v/>
      </c>
      <c r="C242">
        <f>IF(Assumptions!$B$45&gt;(Assumptions!$B$39+F219)*N241,"preference","convert")</f>
        <v/>
      </c>
      <c r="D242">
        <f>IF(Assumptions!$B$44&gt;(Assumptions!$B$38+E219)*N241,"preference","convert")</f>
        <v/>
      </c>
      <c r="E242">
        <f>IF(Assumptions!$B$43&gt;Assumptions!$B$36*N241,"preference","convert")</f>
        <v/>
      </c>
      <c r="F242">
        <f>IF(Assumptions!$B$42&gt;Assumptions!$B$35*N241,"preference","convert")</f>
        <v/>
      </c>
      <c r="G242">
        <f>IF(Assumptions!$B$41&gt;Assumptions!$B$34*N241,"preference","convert")</f>
        <v/>
      </c>
      <c r="H242">
        <f>IF(Assumptions!$B$40&gt;Assumptions!$B$33*N241,"preference","convert")</f>
        <v/>
      </c>
      <c r="I242">
        <f>IF(B242="preference",Assumptions!$B$4,0)+IF(C242="preference",Assumptions!$B$45,0)+IF(D242="preference",Assumptions!$B$44,0)+IF(E242="preference",Assumptions!$B$43,0)+IF(F242="preference",Assumptions!$B$42,0)+IF(G242="preference",Assumptions!$B$41,0)+IF(H242="preference",Assumptions!$B$40,0)</f>
        <v/>
      </c>
      <c r="J242">
        <f>IF(B242="convert",(Assumptions!$B$4/B219),0)+IF(C242="convert",(Assumptions!$B$39+F219),0)+IF(D242="convert",(Assumptions!$B$38+E219),0)+IF(E242="convert",Assumptions!$B$36,0)+IF(F242="convert",Assumptions!$B$35,0)+IF(G242="convert",Assumptions!$B$34,0)+IF(H242="convert",Assumptions!$B$33,0)</f>
        <v/>
      </c>
      <c r="K242">
        <f>(Assumptions!$B$46+Assumptions!$B$47+Assumptions!$B$48)+Assumptions!$B$49+(H219+I219)+J242</f>
        <v/>
      </c>
      <c r="L242">
        <f>(Assumptions!$B$13-I242+Assumptions!$B$31*Assumptions!$B$10)/(K242+Assumptions!$B$31)</f>
        <v/>
      </c>
      <c r="M242">
        <f>IF(L242&gt;Assumptions!$B$10,"yes","no")</f>
        <v/>
      </c>
      <c r="N242">
        <f>IF(M242="yes",L242,MAX(0,(Assumptions!$B$13-I242)/K242))</f>
        <v/>
      </c>
      <c r="O242">
        <f>IF(M242="yes",Assumptions!$B$31*(N242-Assumptions!$B$10),0)</f>
        <v/>
      </c>
    </row>
    <row r="243">
      <c r="A243" t="inlineStr">
        <is>
          <t>iter 19</t>
        </is>
      </c>
      <c r="B243">
        <f>IF(Assumptions!$B$4&gt;(Assumptions!$B$4/B219)*N242,"preference","convert")</f>
        <v/>
      </c>
      <c r="C243">
        <f>IF(Assumptions!$B$45&gt;(Assumptions!$B$39+F219)*N242,"preference","convert")</f>
        <v/>
      </c>
      <c r="D243">
        <f>IF(Assumptions!$B$44&gt;(Assumptions!$B$38+E219)*N242,"preference","convert")</f>
        <v/>
      </c>
      <c r="E243">
        <f>IF(Assumptions!$B$43&gt;Assumptions!$B$36*N242,"preference","convert")</f>
        <v/>
      </c>
      <c r="F243">
        <f>IF(Assumptions!$B$42&gt;Assumptions!$B$35*N242,"preference","convert")</f>
        <v/>
      </c>
      <c r="G243">
        <f>IF(Assumptions!$B$41&gt;Assumptions!$B$34*N242,"preference","convert")</f>
        <v/>
      </c>
      <c r="H243">
        <f>IF(Assumptions!$B$40&gt;Assumptions!$B$33*N242,"preference","convert")</f>
        <v/>
      </c>
      <c r="I243">
        <f>IF(B243="preference",Assumptions!$B$4,0)+IF(C243="preference",Assumptions!$B$45,0)+IF(D243="preference",Assumptions!$B$44,0)+IF(E243="preference",Assumptions!$B$43,0)+IF(F243="preference",Assumptions!$B$42,0)+IF(G243="preference",Assumptions!$B$41,0)+IF(H243="preference",Assumptions!$B$40,0)</f>
        <v/>
      </c>
      <c r="J243">
        <f>IF(B243="convert",(Assumptions!$B$4/B219),0)+IF(C243="convert",(Assumptions!$B$39+F219),0)+IF(D243="convert",(Assumptions!$B$38+E219),0)+IF(E243="convert",Assumptions!$B$36,0)+IF(F243="convert",Assumptions!$B$35,0)+IF(G243="convert",Assumptions!$B$34,0)+IF(H243="convert",Assumptions!$B$33,0)</f>
        <v/>
      </c>
      <c r="K243">
        <f>(Assumptions!$B$46+Assumptions!$B$47+Assumptions!$B$48)+Assumptions!$B$49+(H219+I219)+J243</f>
        <v/>
      </c>
      <c r="L243">
        <f>(Assumptions!$B$13-I243+Assumptions!$B$31*Assumptions!$B$10)/(K243+Assumptions!$B$31)</f>
        <v/>
      </c>
      <c r="M243">
        <f>IF(L243&gt;Assumptions!$B$10,"yes","no")</f>
        <v/>
      </c>
      <c r="N243">
        <f>IF(M243="yes",L243,MAX(0,(Assumptions!$B$13-I243)/K243))</f>
        <v/>
      </c>
      <c r="O243">
        <f>IF(M243="yes",Assumptions!$B$31*(N243-Assumptions!$B$10),0)</f>
        <v/>
      </c>
    </row>
    <row r="244">
      <c r="A244" t="inlineStr">
        <is>
          <t>iter 20</t>
        </is>
      </c>
      <c r="B244">
        <f>IF(Assumptions!$B$4&gt;(Assumptions!$B$4/B219)*N243,"preference","convert")</f>
        <v/>
      </c>
      <c r="C244">
        <f>IF(Assumptions!$B$45&gt;(Assumptions!$B$39+F219)*N243,"preference","convert")</f>
        <v/>
      </c>
      <c r="D244">
        <f>IF(Assumptions!$B$44&gt;(Assumptions!$B$38+E219)*N243,"preference","convert")</f>
        <v/>
      </c>
      <c r="E244">
        <f>IF(Assumptions!$B$43&gt;Assumptions!$B$36*N243,"preference","convert")</f>
        <v/>
      </c>
      <c r="F244">
        <f>IF(Assumptions!$B$42&gt;Assumptions!$B$35*N243,"preference","convert")</f>
        <v/>
      </c>
      <c r="G244">
        <f>IF(Assumptions!$B$41&gt;Assumptions!$B$34*N243,"preference","convert")</f>
        <v/>
      </c>
      <c r="H244">
        <f>IF(Assumptions!$B$40&gt;Assumptions!$B$33*N243,"preference","convert")</f>
        <v/>
      </c>
      <c r="I244">
        <f>IF(B244="preference",Assumptions!$B$4,0)+IF(C244="preference",Assumptions!$B$45,0)+IF(D244="preference",Assumptions!$B$44,0)+IF(E244="preference",Assumptions!$B$43,0)+IF(F244="preference",Assumptions!$B$42,0)+IF(G244="preference",Assumptions!$B$41,0)+IF(H244="preference",Assumptions!$B$40,0)</f>
        <v/>
      </c>
      <c r="J244">
        <f>IF(B244="convert",(Assumptions!$B$4/B219),0)+IF(C244="convert",(Assumptions!$B$39+F219),0)+IF(D244="convert",(Assumptions!$B$38+E219),0)+IF(E244="convert",Assumptions!$B$36,0)+IF(F244="convert",Assumptions!$B$35,0)+IF(G244="convert",Assumptions!$B$34,0)+IF(H244="convert",Assumptions!$B$33,0)</f>
        <v/>
      </c>
      <c r="K244">
        <f>(Assumptions!$B$46+Assumptions!$B$47+Assumptions!$B$48)+Assumptions!$B$49+(H219+I219)+J244</f>
        <v/>
      </c>
      <c r="L244">
        <f>(Assumptions!$B$13-I244+Assumptions!$B$31*Assumptions!$B$10)/(K244+Assumptions!$B$31)</f>
        <v/>
      </c>
      <c r="M244">
        <f>IF(L244&gt;Assumptions!$B$10,"yes","no")</f>
        <v/>
      </c>
      <c r="N244">
        <f>IF(M244="yes",L244,MAX(0,(Assumptions!$B$13-I244)/K244))</f>
        <v/>
      </c>
      <c r="O244">
        <f>IF(M244="yes",Assumptions!$B$31*(N244-Assumptions!$B$10),0)</f>
        <v/>
      </c>
    </row>
    <row r="245">
      <c r="A245" t="inlineStr">
        <is>
          <t>iter 21</t>
        </is>
      </c>
      <c r="B245">
        <f>IF(Assumptions!$B$4&gt;(Assumptions!$B$4/B219)*N244,"preference","convert")</f>
        <v/>
      </c>
      <c r="C245">
        <f>IF(Assumptions!$B$45&gt;(Assumptions!$B$39+F219)*N244,"preference","convert")</f>
        <v/>
      </c>
      <c r="D245">
        <f>IF(Assumptions!$B$44&gt;(Assumptions!$B$38+E219)*N244,"preference","convert")</f>
        <v/>
      </c>
      <c r="E245">
        <f>IF(Assumptions!$B$43&gt;Assumptions!$B$36*N244,"preference","convert")</f>
        <v/>
      </c>
      <c r="F245">
        <f>IF(Assumptions!$B$42&gt;Assumptions!$B$35*N244,"preference","convert")</f>
        <v/>
      </c>
      <c r="G245">
        <f>IF(Assumptions!$B$41&gt;Assumptions!$B$34*N244,"preference","convert")</f>
        <v/>
      </c>
      <c r="H245">
        <f>IF(Assumptions!$B$40&gt;Assumptions!$B$33*N244,"preference","convert")</f>
        <v/>
      </c>
      <c r="I245">
        <f>IF(B245="preference",Assumptions!$B$4,0)+IF(C245="preference",Assumptions!$B$45,0)+IF(D245="preference",Assumptions!$B$44,0)+IF(E245="preference",Assumptions!$B$43,0)+IF(F245="preference",Assumptions!$B$42,0)+IF(G245="preference",Assumptions!$B$41,0)+IF(H245="preference",Assumptions!$B$40,0)</f>
        <v/>
      </c>
      <c r="J245">
        <f>IF(B245="convert",(Assumptions!$B$4/B219),0)+IF(C245="convert",(Assumptions!$B$39+F219),0)+IF(D245="convert",(Assumptions!$B$38+E219),0)+IF(E245="convert",Assumptions!$B$36,0)+IF(F245="convert",Assumptions!$B$35,0)+IF(G245="convert",Assumptions!$B$34,0)+IF(H245="convert",Assumptions!$B$33,0)</f>
        <v/>
      </c>
      <c r="K245">
        <f>(Assumptions!$B$46+Assumptions!$B$47+Assumptions!$B$48)+Assumptions!$B$49+(H219+I219)+J245</f>
        <v/>
      </c>
      <c r="L245">
        <f>(Assumptions!$B$13-I245+Assumptions!$B$31*Assumptions!$B$10)/(K245+Assumptions!$B$31)</f>
        <v/>
      </c>
      <c r="M245">
        <f>IF(L245&gt;Assumptions!$B$10,"yes","no")</f>
        <v/>
      </c>
      <c r="N245">
        <f>IF(M245="yes",L245,MAX(0,(Assumptions!$B$13-I245)/K245))</f>
        <v/>
      </c>
      <c r="O245">
        <f>IF(M245="yes",Assumptions!$B$31*(N245-Assumptions!$B$10),0)</f>
        <v/>
      </c>
    </row>
    <row r="246">
      <c r="A246" t="inlineStr">
        <is>
          <t>iter 22</t>
        </is>
      </c>
      <c r="B246">
        <f>IF(Assumptions!$B$4&gt;(Assumptions!$B$4/B219)*N245,"preference","convert")</f>
        <v/>
      </c>
      <c r="C246">
        <f>IF(Assumptions!$B$45&gt;(Assumptions!$B$39+F219)*N245,"preference","convert")</f>
        <v/>
      </c>
      <c r="D246">
        <f>IF(Assumptions!$B$44&gt;(Assumptions!$B$38+E219)*N245,"preference","convert")</f>
        <v/>
      </c>
      <c r="E246">
        <f>IF(Assumptions!$B$43&gt;Assumptions!$B$36*N245,"preference","convert")</f>
        <v/>
      </c>
      <c r="F246">
        <f>IF(Assumptions!$B$42&gt;Assumptions!$B$35*N245,"preference","convert")</f>
        <v/>
      </c>
      <c r="G246">
        <f>IF(Assumptions!$B$41&gt;Assumptions!$B$34*N245,"preference","convert")</f>
        <v/>
      </c>
      <c r="H246">
        <f>IF(Assumptions!$B$40&gt;Assumptions!$B$33*N245,"preference","convert")</f>
        <v/>
      </c>
      <c r="I246">
        <f>IF(B246="preference",Assumptions!$B$4,0)+IF(C246="preference",Assumptions!$B$45,0)+IF(D246="preference",Assumptions!$B$44,0)+IF(E246="preference",Assumptions!$B$43,0)+IF(F246="preference",Assumptions!$B$42,0)+IF(G246="preference",Assumptions!$B$41,0)+IF(H246="preference",Assumptions!$B$40,0)</f>
        <v/>
      </c>
      <c r="J246">
        <f>IF(B246="convert",(Assumptions!$B$4/B219),0)+IF(C246="convert",(Assumptions!$B$39+F219),0)+IF(D246="convert",(Assumptions!$B$38+E219),0)+IF(E246="convert",Assumptions!$B$36,0)+IF(F246="convert",Assumptions!$B$35,0)+IF(G246="convert",Assumptions!$B$34,0)+IF(H246="convert",Assumptions!$B$33,0)</f>
        <v/>
      </c>
      <c r="K246">
        <f>(Assumptions!$B$46+Assumptions!$B$47+Assumptions!$B$48)+Assumptions!$B$49+(H219+I219)+J246</f>
        <v/>
      </c>
      <c r="L246">
        <f>(Assumptions!$B$13-I246+Assumptions!$B$31*Assumptions!$B$10)/(K246+Assumptions!$B$31)</f>
        <v/>
      </c>
      <c r="M246">
        <f>IF(L246&gt;Assumptions!$B$10,"yes","no")</f>
        <v/>
      </c>
      <c r="N246">
        <f>IF(M246="yes",L246,MAX(0,(Assumptions!$B$13-I246)/K246))</f>
        <v/>
      </c>
      <c r="O246">
        <f>IF(M246="yes",Assumptions!$B$31*(N246-Assumptions!$B$10),0)</f>
        <v/>
      </c>
    </row>
    <row r="247">
      <c r="A247" t="inlineStr">
        <is>
          <t>iter 23</t>
        </is>
      </c>
      <c r="B247">
        <f>IF(Assumptions!$B$4&gt;(Assumptions!$B$4/B219)*N246,"preference","convert")</f>
        <v/>
      </c>
      <c r="C247">
        <f>IF(Assumptions!$B$45&gt;(Assumptions!$B$39+F219)*N246,"preference","convert")</f>
        <v/>
      </c>
      <c r="D247">
        <f>IF(Assumptions!$B$44&gt;(Assumptions!$B$38+E219)*N246,"preference","convert")</f>
        <v/>
      </c>
      <c r="E247">
        <f>IF(Assumptions!$B$43&gt;Assumptions!$B$36*N246,"preference","convert")</f>
        <v/>
      </c>
      <c r="F247">
        <f>IF(Assumptions!$B$42&gt;Assumptions!$B$35*N246,"preference","convert")</f>
        <v/>
      </c>
      <c r="G247">
        <f>IF(Assumptions!$B$41&gt;Assumptions!$B$34*N246,"preference","convert")</f>
        <v/>
      </c>
      <c r="H247">
        <f>IF(Assumptions!$B$40&gt;Assumptions!$B$33*N246,"preference","convert")</f>
        <v/>
      </c>
      <c r="I247">
        <f>IF(B247="preference",Assumptions!$B$4,0)+IF(C247="preference",Assumptions!$B$45,0)+IF(D247="preference",Assumptions!$B$44,0)+IF(E247="preference",Assumptions!$B$43,0)+IF(F247="preference",Assumptions!$B$42,0)+IF(G247="preference",Assumptions!$B$41,0)+IF(H247="preference",Assumptions!$B$40,0)</f>
        <v/>
      </c>
      <c r="J247">
        <f>IF(B247="convert",(Assumptions!$B$4/B219),0)+IF(C247="convert",(Assumptions!$B$39+F219),0)+IF(D247="convert",(Assumptions!$B$38+E219),0)+IF(E247="convert",Assumptions!$B$36,0)+IF(F247="convert",Assumptions!$B$35,0)+IF(G247="convert",Assumptions!$B$34,0)+IF(H247="convert",Assumptions!$B$33,0)</f>
        <v/>
      </c>
      <c r="K247">
        <f>(Assumptions!$B$46+Assumptions!$B$47+Assumptions!$B$48)+Assumptions!$B$49+(H219+I219)+J247</f>
        <v/>
      </c>
      <c r="L247">
        <f>(Assumptions!$B$13-I247+Assumptions!$B$31*Assumptions!$B$10)/(K247+Assumptions!$B$31)</f>
        <v/>
      </c>
      <c r="M247">
        <f>IF(L247&gt;Assumptions!$B$10,"yes","no")</f>
        <v/>
      </c>
      <c r="N247">
        <f>IF(M247="yes",L247,MAX(0,(Assumptions!$B$13-I247)/K247))</f>
        <v/>
      </c>
      <c r="O247">
        <f>IF(M247="yes",Assumptions!$B$31*(N247-Assumptions!$B$10),0)</f>
        <v/>
      </c>
    </row>
    <row r="248">
      <c r="A248" t="inlineStr">
        <is>
          <t>iter 24</t>
        </is>
      </c>
      <c r="B248">
        <f>IF(Assumptions!$B$4&gt;(Assumptions!$B$4/B219)*N247,"preference","convert")</f>
        <v/>
      </c>
      <c r="C248">
        <f>IF(Assumptions!$B$45&gt;(Assumptions!$B$39+F219)*N247,"preference","convert")</f>
        <v/>
      </c>
      <c r="D248">
        <f>IF(Assumptions!$B$44&gt;(Assumptions!$B$38+E219)*N247,"preference","convert")</f>
        <v/>
      </c>
      <c r="E248">
        <f>IF(Assumptions!$B$43&gt;Assumptions!$B$36*N247,"preference","convert")</f>
        <v/>
      </c>
      <c r="F248">
        <f>IF(Assumptions!$B$42&gt;Assumptions!$B$35*N247,"preference","convert")</f>
        <v/>
      </c>
      <c r="G248">
        <f>IF(Assumptions!$B$41&gt;Assumptions!$B$34*N247,"preference","convert")</f>
        <v/>
      </c>
      <c r="H248">
        <f>IF(Assumptions!$B$40&gt;Assumptions!$B$33*N247,"preference","convert")</f>
        <v/>
      </c>
      <c r="I248">
        <f>IF(B248="preference",Assumptions!$B$4,0)+IF(C248="preference",Assumptions!$B$45,0)+IF(D248="preference",Assumptions!$B$44,0)+IF(E248="preference",Assumptions!$B$43,0)+IF(F248="preference",Assumptions!$B$42,0)+IF(G248="preference",Assumptions!$B$41,0)+IF(H248="preference",Assumptions!$B$40,0)</f>
        <v/>
      </c>
      <c r="J248">
        <f>IF(B248="convert",(Assumptions!$B$4/B219),0)+IF(C248="convert",(Assumptions!$B$39+F219),0)+IF(D248="convert",(Assumptions!$B$38+E219),0)+IF(E248="convert",Assumptions!$B$36,0)+IF(F248="convert",Assumptions!$B$35,0)+IF(G248="convert",Assumptions!$B$34,0)+IF(H248="convert",Assumptions!$B$33,0)</f>
        <v/>
      </c>
      <c r="K248">
        <f>(Assumptions!$B$46+Assumptions!$B$47+Assumptions!$B$48)+Assumptions!$B$49+(H219+I219)+J248</f>
        <v/>
      </c>
      <c r="L248">
        <f>(Assumptions!$B$13-I248+Assumptions!$B$31*Assumptions!$B$10)/(K248+Assumptions!$B$31)</f>
        <v/>
      </c>
      <c r="M248">
        <f>IF(L248&gt;Assumptions!$B$10,"yes","no")</f>
        <v/>
      </c>
      <c r="N248">
        <f>IF(M248="yes",L248,MAX(0,(Assumptions!$B$13-I248)/K248))</f>
        <v/>
      </c>
      <c r="O248">
        <f>IF(M248="yes",Assumptions!$B$31*(N248-Assumptions!$B$10),0)</f>
        <v/>
      </c>
    </row>
    <row r="249">
      <c r="A249" t="inlineStr">
        <is>
          <t>iter 25</t>
        </is>
      </c>
      <c r="B249">
        <f>IF(Assumptions!$B$4&gt;(Assumptions!$B$4/B219)*N248,"preference","convert")</f>
        <v/>
      </c>
      <c r="C249">
        <f>IF(Assumptions!$B$45&gt;(Assumptions!$B$39+F219)*N248,"preference","convert")</f>
        <v/>
      </c>
      <c r="D249">
        <f>IF(Assumptions!$B$44&gt;(Assumptions!$B$38+E219)*N248,"preference","convert")</f>
        <v/>
      </c>
      <c r="E249">
        <f>IF(Assumptions!$B$43&gt;Assumptions!$B$36*N248,"preference","convert")</f>
        <v/>
      </c>
      <c r="F249">
        <f>IF(Assumptions!$B$42&gt;Assumptions!$B$35*N248,"preference","convert")</f>
        <v/>
      </c>
      <c r="G249">
        <f>IF(Assumptions!$B$41&gt;Assumptions!$B$34*N248,"preference","convert")</f>
        <v/>
      </c>
      <c r="H249">
        <f>IF(Assumptions!$B$40&gt;Assumptions!$B$33*N248,"preference","convert")</f>
        <v/>
      </c>
      <c r="I249">
        <f>IF(B249="preference",Assumptions!$B$4,0)+IF(C249="preference",Assumptions!$B$45,0)+IF(D249="preference",Assumptions!$B$44,0)+IF(E249="preference",Assumptions!$B$43,0)+IF(F249="preference",Assumptions!$B$42,0)+IF(G249="preference",Assumptions!$B$41,0)+IF(H249="preference",Assumptions!$B$40,0)</f>
        <v/>
      </c>
      <c r="J249">
        <f>IF(B249="convert",(Assumptions!$B$4/B219),0)+IF(C249="convert",(Assumptions!$B$39+F219),0)+IF(D249="convert",(Assumptions!$B$38+E219),0)+IF(E249="convert",Assumptions!$B$36,0)+IF(F249="convert",Assumptions!$B$35,0)+IF(G249="convert",Assumptions!$B$34,0)+IF(H249="convert",Assumptions!$B$33,0)</f>
        <v/>
      </c>
      <c r="K249">
        <f>(Assumptions!$B$46+Assumptions!$B$47+Assumptions!$B$48)+Assumptions!$B$49+(H219+I219)+J249</f>
        <v/>
      </c>
      <c r="L249">
        <f>(Assumptions!$B$13-I249+Assumptions!$B$31*Assumptions!$B$10)/(K249+Assumptions!$B$31)</f>
        <v/>
      </c>
      <c r="M249">
        <f>IF(L249&gt;Assumptions!$B$10,"yes","no")</f>
        <v/>
      </c>
      <c r="N249">
        <f>IF(M249="yes",L249,MAX(0,(Assumptions!$B$13-I249)/K249))</f>
        <v/>
      </c>
      <c r="O249">
        <f>IF(M249="yes",Assumptions!$B$31*(N249-Assumptions!$B$10),0)</f>
        <v/>
      </c>
    </row>
    <row r="250">
      <c r="A250" t="inlineStr">
        <is>
          <t>iter 26</t>
        </is>
      </c>
      <c r="B250">
        <f>IF(Assumptions!$B$4&gt;(Assumptions!$B$4/B219)*N249,"preference","convert")</f>
        <v/>
      </c>
      <c r="C250">
        <f>IF(Assumptions!$B$45&gt;(Assumptions!$B$39+F219)*N249,"preference","convert")</f>
        <v/>
      </c>
      <c r="D250">
        <f>IF(Assumptions!$B$44&gt;(Assumptions!$B$38+E219)*N249,"preference","convert")</f>
        <v/>
      </c>
      <c r="E250">
        <f>IF(Assumptions!$B$43&gt;Assumptions!$B$36*N249,"preference","convert")</f>
        <v/>
      </c>
      <c r="F250">
        <f>IF(Assumptions!$B$42&gt;Assumptions!$B$35*N249,"preference","convert")</f>
        <v/>
      </c>
      <c r="G250">
        <f>IF(Assumptions!$B$41&gt;Assumptions!$B$34*N249,"preference","convert")</f>
        <v/>
      </c>
      <c r="H250">
        <f>IF(Assumptions!$B$40&gt;Assumptions!$B$33*N249,"preference","convert")</f>
        <v/>
      </c>
      <c r="I250">
        <f>IF(B250="preference",Assumptions!$B$4,0)+IF(C250="preference",Assumptions!$B$45,0)+IF(D250="preference",Assumptions!$B$44,0)+IF(E250="preference",Assumptions!$B$43,0)+IF(F250="preference",Assumptions!$B$42,0)+IF(G250="preference",Assumptions!$B$41,0)+IF(H250="preference",Assumptions!$B$40,0)</f>
        <v/>
      </c>
      <c r="J250">
        <f>IF(B250="convert",(Assumptions!$B$4/B219),0)+IF(C250="convert",(Assumptions!$B$39+F219),0)+IF(D250="convert",(Assumptions!$B$38+E219),0)+IF(E250="convert",Assumptions!$B$36,0)+IF(F250="convert",Assumptions!$B$35,0)+IF(G250="convert",Assumptions!$B$34,0)+IF(H250="convert",Assumptions!$B$33,0)</f>
        <v/>
      </c>
      <c r="K250">
        <f>(Assumptions!$B$46+Assumptions!$B$47+Assumptions!$B$48)+Assumptions!$B$49+(H219+I219)+J250</f>
        <v/>
      </c>
      <c r="L250">
        <f>(Assumptions!$B$13-I250+Assumptions!$B$31*Assumptions!$B$10)/(K250+Assumptions!$B$31)</f>
        <v/>
      </c>
      <c r="M250">
        <f>IF(L250&gt;Assumptions!$B$10,"yes","no")</f>
        <v/>
      </c>
      <c r="N250">
        <f>IF(M250="yes",L250,MAX(0,(Assumptions!$B$13-I250)/K250))</f>
        <v/>
      </c>
      <c r="O250">
        <f>IF(M250="yes",Assumptions!$B$31*(N250-Assumptions!$B$10),0)</f>
        <v/>
      </c>
    </row>
    <row r="251">
      <c r="A251" t="inlineStr">
        <is>
          <t>iter 27</t>
        </is>
      </c>
      <c r="B251">
        <f>IF(Assumptions!$B$4&gt;(Assumptions!$B$4/B219)*N250,"preference","convert")</f>
        <v/>
      </c>
      <c r="C251">
        <f>IF(Assumptions!$B$45&gt;(Assumptions!$B$39+F219)*N250,"preference","convert")</f>
        <v/>
      </c>
      <c r="D251">
        <f>IF(Assumptions!$B$44&gt;(Assumptions!$B$38+E219)*N250,"preference","convert")</f>
        <v/>
      </c>
      <c r="E251">
        <f>IF(Assumptions!$B$43&gt;Assumptions!$B$36*N250,"preference","convert")</f>
        <v/>
      </c>
      <c r="F251">
        <f>IF(Assumptions!$B$42&gt;Assumptions!$B$35*N250,"preference","convert")</f>
        <v/>
      </c>
      <c r="G251">
        <f>IF(Assumptions!$B$41&gt;Assumptions!$B$34*N250,"preference","convert")</f>
        <v/>
      </c>
      <c r="H251">
        <f>IF(Assumptions!$B$40&gt;Assumptions!$B$33*N250,"preference","convert")</f>
        <v/>
      </c>
      <c r="I251">
        <f>IF(B251="preference",Assumptions!$B$4,0)+IF(C251="preference",Assumptions!$B$45,0)+IF(D251="preference",Assumptions!$B$44,0)+IF(E251="preference",Assumptions!$B$43,0)+IF(F251="preference",Assumptions!$B$42,0)+IF(G251="preference",Assumptions!$B$41,0)+IF(H251="preference",Assumptions!$B$40,0)</f>
        <v/>
      </c>
      <c r="J251">
        <f>IF(B251="convert",(Assumptions!$B$4/B219),0)+IF(C251="convert",(Assumptions!$B$39+F219),0)+IF(D251="convert",(Assumptions!$B$38+E219),0)+IF(E251="convert",Assumptions!$B$36,0)+IF(F251="convert",Assumptions!$B$35,0)+IF(G251="convert",Assumptions!$B$34,0)+IF(H251="convert",Assumptions!$B$33,0)</f>
        <v/>
      </c>
      <c r="K251">
        <f>(Assumptions!$B$46+Assumptions!$B$47+Assumptions!$B$48)+Assumptions!$B$49+(H219+I219)+J251</f>
        <v/>
      </c>
      <c r="L251">
        <f>(Assumptions!$B$13-I251+Assumptions!$B$31*Assumptions!$B$10)/(K251+Assumptions!$B$31)</f>
        <v/>
      </c>
      <c r="M251">
        <f>IF(L251&gt;Assumptions!$B$10,"yes","no")</f>
        <v/>
      </c>
      <c r="N251">
        <f>IF(M251="yes",L251,MAX(0,(Assumptions!$B$13-I251)/K251))</f>
        <v/>
      </c>
      <c r="O251">
        <f>IF(M251="yes",Assumptions!$B$31*(N251-Assumptions!$B$10),0)</f>
        <v/>
      </c>
    </row>
    <row r="252">
      <c r="A252" t="inlineStr">
        <is>
          <t>iter 28</t>
        </is>
      </c>
      <c r="B252">
        <f>IF(Assumptions!$B$4&gt;(Assumptions!$B$4/B219)*N251,"preference","convert")</f>
        <v/>
      </c>
      <c r="C252">
        <f>IF(Assumptions!$B$45&gt;(Assumptions!$B$39+F219)*N251,"preference","convert")</f>
        <v/>
      </c>
      <c r="D252">
        <f>IF(Assumptions!$B$44&gt;(Assumptions!$B$38+E219)*N251,"preference","convert")</f>
        <v/>
      </c>
      <c r="E252">
        <f>IF(Assumptions!$B$43&gt;Assumptions!$B$36*N251,"preference","convert")</f>
        <v/>
      </c>
      <c r="F252">
        <f>IF(Assumptions!$B$42&gt;Assumptions!$B$35*N251,"preference","convert")</f>
        <v/>
      </c>
      <c r="G252">
        <f>IF(Assumptions!$B$41&gt;Assumptions!$B$34*N251,"preference","convert")</f>
        <v/>
      </c>
      <c r="H252">
        <f>IF(Assumptions!$B$40&gt;Assumptions!$B$33*N251,"preference","convert")</f>
        <v/>
      </c>
      <c r="I252">
        <f>IF(B252="preference",Assumptions!$B$4,0)+IF(C252="preference",Assumptions!$B$45,0)+IF(D252="preference",Assumptions!$B$44,0)+IF(E252="preference",Assumptions!$B$43,0)+IF(F252="preference",Assumptions!$B$42,0)+IF(G252="preference",Assumptions!$B$41,0)+IF(H252="preference",Assumptions!$B$40,0)</f>
        <v/>
      </c>
      <c r="J252">
        <f>IF(B252="convert",(Assumptions!$B$4/B219),0)+IF(C252="convert",(Assumptions!$B$39+F219),0)+IF(D252="convert",(Assumptions!$B$38+E219),0)+IF(E252="convert",Assumptions!$B$36,0)+IF(F252="convert",Assumptions!$B$35,0)+IF(G252="convert",Assumptions!$B$34,0)+IF(H252="convert",Assumptions!$B$33,0)</f>
        <v/>
      </c>
      <c r="K252">
        <f>(Assumptions!$B$46+Assumptions!$B$47+Assumptions!$B$48)+Assumptions!$B$49+(H219+I219)+J252</f>
        <v/>
      </c>
      <c r="L252">
        <f>(Assumptions!$B$13-I252+Assumptions!$B$31*Assumptions!$B$10)/(K252+Assumptions!$B$31)</f>
        <v/>
      </c>
      <c r="M252">
        <f>IF(L252&gt;Assumptions!$B$10,"yes","no")</f>
        <v/>
      </c>
      <c r="N252">
        <f>IF(M252="yes",L252,MAX(0,(Assumptions!$B$13-I252)/K252))</f>
        <v/>
      </c>
      <c r="O252">
        <f>IF(M252="yes",Assumptions!$B$31*(N252-Assumptions!$B$10),0)</f>
        <v/>
      </c>
    </row>
    <row r="253">
      <c r="A253" t="inlineStr">
        <is>
          <t>iter 29</t>
        </is>
      </c>
      <c r="B253">
        <f>IF(Assumptions!$B$4&gt;(Assumptions!$B$4/B219)*N252,"preference","convert")</f>
        <v/>
      </c>
      <c r="C253">
        <f>IF(Assumptions!$B$45&gt;(Assumptions!$B$39+F219)*N252,"preference","convert")</f>
        <v/>
      </c>
      <c r="D253">
        <f>IF(Assumptions!$B$44&gt;(Assumptions!$B$38+E219)*N252,"preference","convert")</f>
        <v/>
      </c>
      <c r="E253">
        <f>IF(Assumptions!$B$43&gt;Assumptions!$B$36*N252,"preference","convert")</f>
        <v/>
      </c>
      <c r="F253">
        <f>IF(Assumptions!$B$42&gt;Assumptions!$B$35*N252,"preference","convert")</f>
        <v/>
      </c>
      <c r="G253">
        <f>IF(Assumptions!$B$41&gt;Assumptions!$B$34*N252,"preference","convert")</f>
        <v/>
      </c>
      <c r="H253">
        <f>IF(Assumptions!$B$40&gt;Assumptions!$B$33*N252,"preference","convert")</f>
        <v/>
      </c>
      <c r="I253">
        <f>IF(B253="preference",Assumptions!$B$4,0)+IF(C253="preference",Assumptions!$B$45,0)+IF(D253="preference",Assumptions!$B$44,0)+IF(E253="preference",Assumptions!$B$43,0)+IF(F253="preference",Assumptions!$B$42,0)+IF(G253="preference",Assumptions!$B$41,0)+IF(H253="preference",Assumptions!$B$40,0)</f>
        <v/>
      </c>
      <c r="J253">
        <f>IF(B253="convert",(Assumptions!$B$4/B219),0)+IF(C253="convert",(Assumptions!$B$39+F219),0)+IF(D253="convert",(Assumptions!$B$38+E219),0)+IF(E253="convert",Assumptions!$B$36,0)+IF(F253="convert",Assumptions!$B$35,0)+IF(G253="convert",Assumptions!$B$34,0)+IF(H253="convert",Assumptions!$B$33,0)</f>
        <v/>
      </c>
      <c r="K253">
        <f>(Assumptions!$B$46+Assumptions!$B$47+Assumptions!$B$48)+Assumptions!$B$49+(H219+I219)+J253</f>
        <v/>
      </c>
      <c r="L253">
        <f>(Assumptions!$B$13-I253+Assumptions!$B$31*Assumptions!$B$10)/(K253+Assumptions!$B$31)</f>
        <v/>
      </c>
      <c r="M253">
        <f>IF(L253&gt;Assumptions!$B$10,"yes","no")</f>
        <v/>
      </c>
      <c r="N253">
        <f>IF(M253="yes",L253,MAX(0,(Assumptions!$B$13-I253)/K253))</f>
        <v/>
      </c>
      <c r="O253">
        <f>IF(M253="yes",Assumptions!$B$31*(N253-Assumptions!$B$10),0)</f>
        <v/>
      </c>
    </row>
    <row r="254">
      <c r="A254" t="inlineStr">
        <is>
          <t>iter 30</t>
        </is>
      </c>
      <c r="B254">
        <f>IF(Assumptions!$B$4&gt;(Assumptions!$B$4/B219)*N253,"preference","convert")</f>
        <v/>
      </c>
      <c r="C254">
        <f>IF(Assumptions!$B$45&gt;(Assumptions!$B$39+F219)*N253,"preference","convert")</f>
        <v/>
      </c>
      <c r="D254">
        <f>IF(Assumptions!$B$44&gt;(Assumptions!$B$38+E219)*N253,"preference","convert")</f>
        <v/>
      </c>
      <c r="E254">
        <f>IF(Assumptions!$B$43&gt;Assumptions!$B$36*N253,"preference","convert")</f>
        <v/>
      </c>
      <c r="F254">
        <f>IF(Assumptions!$B$42&gt;Assumptions!$B$35*N253,"preference","convert")</f>
        <v/>
      </c>
      <c r="G254">
        <f>IF(Assumptions!$B$41&gt;Assumptions!$B$34*N253,"preference","convert")</f>
        <v/>
      </c>
      <c r="H254">
        <f>IF(Assumptions!$B$40&gt;Assumptions!$B$33*N253,"preference","convert")</f>
        <v/>
      </c>
      <c r="I254">
        <f>IF(B254="preference",Assumptions!$B$4,0)+IF(C254="preference",Assumptions!$B$45,0)+IF(D254="preference",Assumptions!$B$44,0)+IF(E254="preference",Assumptions!$B$43,0)+IF(F254="preference",Assumptions!$B$42,0)+IF(G254="preference",Assumptions!$B$41,0)+IF(H254="preference",Assumptions!$B$40,0)</f>
        <v/>
      </c>
      <c r="J254">
        <f>IF(B254="convert",(Assumptions!$B$4/B219),0)+IF(C254="convert",(Assumptions!$B$39+F219),0)+IF(D254="convert",(Assumptions!$B$38+E219),0)+IF(E254="convert",Assumptions!$B$36,0)+IF(F254="convert",Assumptions!$B$35,0)+IF(G254="convert",Assumptions!$B$34,0)+IF(H254="convert",Assumptions!$B$33,0)</f>
        <v/>
      </c>
      <c r="K254">
        <f>(Assumptions!$B$46+Assumptions!$B$47+Assumptions!$B$48)+Assumptions!$B$49+(H219+I219)+J254</f>
        <v/>
      </c>
      <c r="L254">
        <f>(Assumptions!$B$13-I254+Assumptions!$B$31*Assumptions!$B$10)/(K254+Assumptions!$B$31)</f>
        <v/>
      </c>
      <c r="M254">
        <f>IF(L254&gt;Assumptions!$B$10,"yes","no")</f>
        <v/>
      </c>
      <c r="N254">
        <f>IF(M254="yes",L254,MAX(0,(Assumptions!$B$13-I254)/K254))</f>
        <v/>
      </c>
      <c r="O254">
        <f>IF(M254="yes",Assumptions!$B$31*(N254-Assumptions!$B$10),0)</f>
        <v/>
      </c>
    </row>
    <row r="256">
      <c r="A256" t="inlineStr">
        <is>
          <t>Our shares (post-F)</t>
        </is>
      </c>
      <c r="B256">
        <f>(Assumptions!$B$8/B219)</f>
        <v/>
      </c>
    </row>
    <row r="257">
      <c r="A257" t="inlineStr">
        <is>
          <t>Our ownership % (of T_F)</t>
        </is>
      </c>
      <c r="B257">
        <f>(Assumptions!$B$8/B219)/K219</f>
        <v/>
      </c>
    </row>
    <row r="258">
      <c r="A258" t="inlineStr">
        <is>
          <t>Our $ proceeds at $2B</t>
        </is>
      </c>
      <c r="B258">
        <f>IF(B254="convert",(Assumptions!$B$8/B219)*N254,(Assumptions!$B$8/B219)*B219)</f>
        <v/>
      </c>
    </row>
    <row r="261">
      <c r="A261" s="1" t="inlineStr">
        <is>
          <t>Cell (0,2) — ESOP=low, Pre=high</t>
        </is>
      </c>
    </row>
    <row r="262">
      <c r="A262" s="1" t="inlineStr">
        <is>
          <t>Step</t>
        </is>
      </c>
      <c r="B262" s="1" t="inlineStr">
        <is>
          <t>F_PPS</t>
        </is>
      </c>
      <c r="C262" s="1" t="inlineStr">
        <is>
          <t>D_NCP</t>
        </is>
      </c>
      <c r="D262" s="1" t="inlineStr">
        <is>
          <t>E_NCP</t>
        </is>
      </c>
      <c r="E262" s="1" t="inlineStr">
        <is>
          <t>ΔD</t>
        </is>
      </c>
      <c r="F262" s="1" t="inlineStr">
        <is>
          <t>ΔE</t>
        </is>
      </c>
      <c r="G262" s="1" t="inlineStr">
        <is>
          <t>ESOP</t>
        </is>
      </c>
      <c r="H262" s="1" t="inlineStr">
        <is>
          <t>N_A</t>
        </is>
      </c>
      <c r="I262" s="1" t="inlineStr">
        <is>
          <t>N_B</t>
        </is>
      </c>
      <c r="J262" s="1" t="inlineStr">
        <is>
          <t>preFD</t>
        </is>
      </c>
      <c r="K262" s="1" t="inlineStr">
        <is>
          <t>T_F</t>
        </is>
      </c>
      <c r="L262" s="1" t="inlineStr">
        <is>
          <t>F_PPS chk</t>
        </is>
      </c>
    </row>
    <row r="263">
      <c r="A263" t="inlineStr">
        <is>
          <t>cell(0,2) seed</t>
        </is>
      </c>
      <c r="B263">
        <f>Assumptions!$B$55/Assumptions!$B$29</f>
        <v/>
      </c>
      <c r="C263">
        <f>Assumptions!$B$20</f>
        <v/>
      </c>
      <c r="D263">
        <f>Assumptions!$B$21</f>
        <v/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>
        <f>Assumptions!$B$29</f>
        <v/>
      </c>
      <c r="K263">
        <f>J263+Assumptions!$B$4/B263</f>
        <v/>
      </c>
      <c r="L263">
        <f>B263</f>
        <v/>
      </c>
    </row>
    <row r="264">
      <c r="A264" t="inlineStr">
        <is>
          <t>cell(0,2) iter 1</t>
        </is>
      </c>
      <c r="B264">
        <f>Assumptions!$B$55/J263</f>
        <v/>
      </c>
      <c r="C264">
        <f>IF(B264&lt;Assumptions!$B$20,Assumptions!$B$20*(Assumptions!$B$29+Assumptions!$B$4/Assumptions!$B$20)/(Assumptions!$B$29+Assumptions!$B$4/B264),Assumptions!$B$20)</f>
        <v/>
      </c>
      <c r="D264">
        <f>IF(B264&lt;Assumptions!$B$21,Assumptions!$B$21*(Assumptions!$B$29+Assumptions!$B$4/Assumptions!$B$21)/(Assumptions!$B$29+Assumptions!$B$4/B264),Assumptions!$B$21)</f>
        <v/>
      </c>
      <c r="E264">
        <f>Assumptions!$B$37*Assumptions!$B$22/C264-Assumptions!$B$38</f>
        <v/>
      </c>
      <c r="F264">
        <f>Assumptions!$B$39*Assumptions!$B$21/D264-Assumptions!$B$39</f>
        <v/>
      </c>
      <c r="G264">
        <f>MAX(0,Assumptions!$B$50*(Assumptions!$B$29+E264+F264+G263+H263+I263+Assumptions!$B$4/B264)-Assumptions!$B$30)</f>
        <v/>
      </c>
      <c r="H264">
        <f>Assumptions!$B$23/MIN(Assumptions!$B$24/(Assumptions!$B$29+E264+F264+G264+I263),B264*(1-Assumptions!$B$25))</f>
        <v/>
      </c>
      <c r="I264">
        <f>Assumptions!$B$26/MIN(Assumptions!$B$27/(Assumptions!$B$29+E264+F264+G264+H264),B264*(1-Assumptions!$B$28))</f>
        <v/>
      </c>
      <c r="J264">
        <f>Assumptions!$B$29+E264+F264+G264+H264+I264</f>
        <v/>
      </c>
      <c r="K264">
        <f>J264+Assumptions!$B$4/B264</f>
        <v/>
      </c>
      <c r="L264">
        <f>B264</f>
        <v/>
      </c>
    </row>
    <row r="265">
      <c r="A265" t="inlineStr">
        <is>
          <t>cell(0,2) iter 2</t>
        </is>
      </c>
      <c r="B265">
        <f>Assumptions!$B$55/J264</f>
        <v/>
      </c>
      <c r="C265">
        <f>IF(B265&lt;Assumptions!$B$20,Assumptions!$B$20*(Assumptions!$B$29+Assumptions!$B$4/Assumptions!$B$20)/(Assumptions!$B$29+Assumptions!$B$4/B265),Assumptions!$B$20)</f>
        <v/>
      </c>
      <c r="D265">
        <f>IF(B265&lt;Assumptions!$B$21,Assumptions!$B$21*(Assumptions!$B$29+Assumptions!$B$4/Assumptions!$B$21)/(Assumptions!$B$29+Assumptions!$B$4/B265),Assumptions!$B$21)</f>
        <v/>
      </c>
      <c r="E265">
        <f>Assumptions!$B$37*Assumptions!$B$22/C265-Assumptions!$B$38</f>
        <v/>
      </c>
      <c r="F265">
        <f>Assumptions!$B$39*Assumptions!$B$21/D265-Assumptions!$B$39</f>
        <v/>
      </c>
      <c r="G265">
        <f>MAX(0,Assumptions!$B$50*(Assumptions!$B$29+E265+F265+G264+H264+I264+Assumptions!$B$4/B265)-Assumptions!$B$30)</f>
        <v/>
      </c>
      <c r="H265">
        <f>Assumptions!$B$23/MIN(Assumptions!$B$24/(Assumptions!$B$29+E265+F265+G265+I264),B265*(1-Assumptions!$B$25))</f>
        <v/>
      </c>
      <c r="I265">
        <f>Assumptions!$B$26/MIN(Assumptions!$B$27/(Assumptions!$B$29+E265+F265+G265+H265),B265*(1-Assumptions!$B$28))</f>
        <v/>
      </c>
      <c r="J265">
        <f>Assumptions!$B$29+E265+F265+G265+H265+I265</f>
        <v/>
      </c>
      <c r="K265">
        <f>J265+Assumptions!$B$4/B265</f>
        <v/>
      </c>
      <c r="L265">
        <f>B265</f>
        <v/>
      </c>
    </row>
    <row r="266">
      <c r="A266" t="inlineStr">
        <is>
          <t>cell(0,2) iter 3</t>
        </is>
      </c>
      <c r="B266">
        <f>Assumptions!$B$55/J265</f>
        <v/>
      </c>
      <c r="C266">
        <f>IF(B266&lt;Assumptions!$B$20,Assumptions!$B$20*(Assumptions!$B$29+Assumptions!$B$4/Assumptions!$B$20)/(Assumptions!$B$29+Assumptions!$B$4/B266),Assumptions!$B$20)</f>
        <v/>
      </c>
      <c r="D266">
        <f>IF(B266&lt;Assumptions!$B$21,Assumptions!$B$21*(Assumptions!$B$29+Assumptions!$B$4/Assumptions!$B$21)/(Assumptions!$B$29+Assumptions!$B$4/B266),Assumptions!$B$21)</f>
        <v/>
      </c>
      <c r="E266">
        <f>Assumptions!$B$37*Assumptions!$B$22/C266-Assumptions!$B$38</f>
        <v/>
      </c>
      <c r="F266">
        <f>Assumptions!$B$39*Assumptions!$B$21/D266-Assumptions!$B$39</f>
        <v/>
      </c>
      <c r="G266">
        <f>MAX(0,Assumptions!$B$50*(Assumptions!$B$29+E266+F266+G265+H265+I265+Assumptions!$B$4/B266)-Assumptions!$B$30)</f>
        <v/>
      </c>
      <c r="H266">
        <f>Assumptions!$B$23/MIN(Assumptions!$B$24/(Assumptions!$B$29+E266+F266+G266+I265),B266*(1-Assumptions!$B$25))</f>
        <v/>
      </c>
      <c r="I266">
        <f>Assumptions!$B$26/MIN(Assumptions!$B$27/(Assumptions!$B$29+E266+F266+G266+H266),B266*(1-Assumptions!$B$28))</f>
        <v/>
      </c>
      <c r="J266">
        <f>Assumptions!$B$29+E266+F266+G266+H266+I266</f>
        <v/>
      </c>
      <c r="K266">
        <f>J266+Assumptions!$B$4/B266</f>
        <v/>
      </c>
      <c r="L266">
        <f>B266</f>
        <v/>
      </c>
    </row>
    <row r="267">
      <c r="A267" t="inlineStr">
        <is>
          <t>cell(0,2) iter 4</t>
        </is>
      </c>
      <c r="B267">
        <f>Assumptions!$B$55/J266</f>
        <v/>
      </c>
      <c r="C267">
        <f>IF(B267&lt;Assumptions!$B$20,Assumptions!$B$20*(Assumptions!$B$29+Assumptions!$B$4/Assumptions!$B$20)/(Assumptions!$B$29+Assumptions!$B$4/B267),Assumptions!$B$20)</f>
        <v/>
      </c>
      <c r="D267">
        <f>IF(B267&lt;Assumptions!$B$21,Assumptions!$B$21*(Assumptions!$B$29+Assumptions!$B$4/Assumptions!$B$21)/(Assumptions!$B$29+Assumptions!$B$4/B267),Assumptions!$B$21)</f>
        <v/>
      </c>
      <c r="E267">
        <f>Assumptions!$B$37*Assumptions!$B$22/C267-Assumptions!$B$38</f>
        <v/>
      </c>
      <c r="F267">
        <f>Assumptions!$B$39*Assumptions!$B$21/D267-Assumptions!$B$39</f>
        <v/>
      </c>
      <c r="G267">
        <f>MAX(0,Assumptions!$B$50*(Assumptions!$B$29+E267+F267+G266+H266+I266+Assumptions!$B$4/B267)-Assumptions!$B$30)</f>
        <v/>
      </c>
      <c r="H267">
        <f>Assumptions!$B$23/MIN(Assumptions!$B$24/(Assumptions!$B$29+E267+F267+G267+I266),B267*(1-Assumptions!$B$25))</f>
        <v/>
      </c>
      <c r="I267">
        <f>Assumptions!$B$26/MIN(Assumptions!$B$27/(Assumptions!$B$29+E267+F267+G267+H267),B267*(1-Assumptions!$B$28))</f>
        <v/>
      </c>
      <c r="J267">
        <f>Assumptions!$B$29+E267+F267+G267+H267+I267</f>
        <v/>
      </c>
      <c r="K267">
        <f>J267+Assumptions!$B$4/B267</f>
        <v/>
      </c>
      <c r="L267">
        <f>B267</f>
        <v/>
      </c>
    </row>
    <row r="268">
      <c r="A268" t="inlineStr">
        <is>
          <t>cell(0,2) iter 5</t>
        </is>
      </c>
      <c r="B268">
        <f>Assumptions!$B$55/J267</f>
        <v/>
      </c>
      <c r="C268">
        <f>IF(B268&lt;Assumptions!$B$20,Assumptions!$B$20*(Assumptions!$B$29+Assumptions!$B$4/Assumptions!$B$20)/(Assumptions!$B$29+Assumptions!$B$4/B268),Assumptions!$B$20)</f>
        <v/>
      </c>
      <c r="D268">
        <f>IF(B268&lt;Assumptions!$B$21,Assumptions!$B$21*(Assumptions!$B$29+Assumptions!$B$4/Assumptions!$B$21)/(Assumptions!$B$29+Assumptions!$B$4/B268),Assumptions!$B$21)</f>
        <v/>
      </c>
      <c r="E268">
        <f>Assumptions!$B$37*Assumptions!$B$22/C268-Assumptions!$B$38</f>
        <v/>
      </c>
      <c r="F268">
        <f>Assumptions!$B$39*Assumptions!$B$21/D268-Assumptions!$B$39</f>
        <v/>
      </c>
      <c r="G268">
        <f>MAX(0,Assumptions!$B$50*(Assumptions!$B$29+E268+F268+G267+H267+I267+Assumptions!$B$4/B268)-Assumptions!$B$30)</f>
        <v/>
      </c>
      <c r="H268">
        <f>Assumptions!$B$23/MIN(Assumptions!$B$24/(Assumptions!$B$29+E268+F268+G268+I267),B268*(1-Assumptions!$B$25))</f>
        <v/>
      </c>
      <c r="I268">
        <f>Assumptions!$B$26/MIN(Assumptions!$B$27/(Assumptions!$B$29+E268+F268+G268+H268),B268*(1-Assumptions!$B$28))</f>
        <v/>
      </c>
      <c r="J268">
        <f>Assumptions!$B$29+E268+F268+G268+H268+I268</f>
        <v/>
      </c>
      <c r="K268">
        <f>J268+Assumptions!$B$4/B268</f>
        <v/>
      </c>
      <c r="L268">
        <f>B268</f>
        <v/>
      </c>
    </row>
    <row r="269">
      <c r="A269" t="inlineStr">
        <is>
          <t>cell(0,2) iter 6</t>
        </is>
      </c>
      <c r="B269">
        <f>Assumptions!$B$55/J268</f>
        <v/>
      </c>
      <c r="C269">
        <f>IF(B269&lt;Assumptions!$B$20,Assumptions!$B$20*(Assumptions!$B$29+Assumptions!$B$4/Assumptions!$B$20)/(Assumptions!$B$29+Assumptions!$B$4/B269),Assumptions!$B$20)</f>
        <v/>
      </c>
      <c r="D269">
        <f>IF(B269&lt;Assumptions!$B$21,Assumptions!$B$21*(Assumptions!$B$29+Assumptions!$B$4/Assumptions!$B$21)/(Assumptions!$B$29+Assumptions!$B$4/B269),Assumptions!$B$21)</f>
        <v/>
      </c>
      <c r="E269">
        <f>Assumptions!$B$37*Assumptions!$B$22/C269-Assumptions!$B$38</f>
        <v/>
      </c>
      <c r="F269">
        <f>Assumptions!$B$39*Assumptions!$B$21/D269-Assumptions!$B$39</f>
        <v/>
      </c>
      <c r="G269">
        <f>MAX(0,Assumptions!$B$50*(Assumptions!$B$29+E269+F269+G268+H268+I268+Assumptions!$B$4/B269)-Assumptions!$B$30)</f>
        <v/>
      </c>
      <c r="H269">
        <f>Assumptions!$B$23/MIN(Assumptions!$B$24/(Assumptions!$B$29+E269+F269+G269+I268),B269*(1-Assumptions!$B$25))</f>
        <v/>
      </c>
      <c r="I269">
        <f>Assumptions!$B$26/MIN(Assumptions!$B$27/(Assumptions!$B$29+E269+F269+G269+H269),B269*(1-Assumptions!$B$28))</f>
        <v/>
      </c>
      <c r="J269">
        <f>Assumptions!$B$29+E269+F269+G269+H269+I269</f>
        <v/>
      </c>
      <c r="K269">
        <f>J269+Assumptions!$B$4/B269</f>
        <v/>
      </c>
      <c r="L269">
        <f>B269</f>
        <v/>
      </c>
    </row>
    <row r="270">
      <c r="A270" t="inlineStr">
        <is>
          <t>cell(0,2) iter 7</t>
        </is>
      </c>
      <c r="B270">
        <f>Assumptions!$B$55/J269</f>
        <v/>
      </c>
      <c r="C270">
        <f>IF(B270&lt;Assumptions!$B$20,Assumptions!$B$20*(Assumptions!$B$29+Assumptions!$B$4/Assumptions!$B$20)/(Assumptions!$B$29+Assumptions!$B$4/B270),Assumptions!$B$20)</f>
        <v/>
      </c>
      <c r="D270">
        <f>IF(B270&lt;Assumptions!$B$21,Assumptions!$B$21*(Assumptions!$B$29+Assumptions!$B$4/Assumptions!$B$21)/(Assumptions!$B$29+Assumptions!$B$4/B270),Assumptions!$B$21)</f>
        <v/>
      </c>
      <c r="E270">
        <f>Assumptions!$B$37*Assumptions!$B$22/C270-Assumptions!$B$38</f>
        <v/>
      </c>
      <c r="F270">
        <f>Assumptions!$B$39*Assumptions!$B$21/D270-Assumptions!$B$39</f>
        <v/>
      </c>
      <c r="G270">
        <f>MAX(0,Assumptions!$B$50*(Assumptions!$B$29+E270+F270+G269+H269+I269+Assumptions!$B$4/B270)-Assumptions!$B$30)</f>
        <v/>
      </c>
      <c r="H270">
        <f>Assumptions!$B$23/MIN(Assumptions!$B$24/(Assumptions!$B$29+E270+F270+G270+I269),B270*(1-Assumptions!$B$25))</f>
        <v/>
      </c>
      <c r="I270">
        <f>Assumptions!$B$26/MIN(Assumptions!$B$27/(Assumptions!$B$29+E270+F270+G270+H270),B270*(1-Assumptions!$B$28))</f>
        <v/>
      </c>
      <c r="J270">
        <f>Assumptions!$B$29+E270+F270+G270+H270+I270</f>
        <v/>
      </c>
      <c r="K270">
        <f>J270+Assumptions!$B$4/B270</f>
        <v/>
      </c>
      <c r="L270">
        <f>B270</f>
        <v/>
      </c>
    </row>
    <row r="271">
      <c r="A271" t="inlineStr">
        <is>
          <t>cell(0,2) iter 8</t>
        </is>
      </c>
      <c r="B271">
        <f>Assumptions!$B$55/J270</f>
        <v/>
      </c>
      <c r="C271">
        <f>IF(B271&lt;Assumptions!$B$20,Assumptions!$B$20*(Assumptions!$B$29+Assumptions!$B$4/Assumptions!$B$20)/(Assumptions!$B$29+Assumptions!$B$4/B271),Assumptions!$B$20)</f>
        <v/>
      </c>
      <c r="D271">
        <f>IF(B271&lt;Assumptions!$B$21,Assumptions!$B$21*(Assumptions!$B$29+Assumptions!$B$4/Assumptions!$B$21)/(Assumptions!$B$29+Assumptions!$B$4/B271),Assumptions!$B$21)</f>
        <v/>
      </c>
      <c r="E271">
        <f>Assumptions!$B$37*Assumptions!$B$22/C271-Assumptions!$B$38</f>
        <v/>
      </c>
      <c r="F271">
        <f>Assumptions!$B$39*Assumptions!$B$21/D271-Assumptions!$B$39</f>
        <v/>
      </c>
      <c r="G271">
        <f>MAX(0,Assumptions!$B$50*(Assumptions!$B$29+E271+F271+G270+H270+I270+Assumptions!$B$4/B271)-Assumptions!$B$30)</f>
        <v/>
      </c>
      <c r="H271">
        <f>Assumptions!$B$23/MIN(Assumptions!$B$24/(Assumptions!$B$29+E271+F271+G271+I270),B271*(1-Assumptions!$B$25))</f>
        <v/>
      </c>
      <c r="I271">
        <f>Assumptions!$B$26/MIN(Assumptions!$B$27/(Assumptions!$B$29+E271+F271+G271+H271),B271*(1-Assumptions!$B$28))</f>
        <v/>
      </c>
      <c r="J271">
        <f>Assumptions!$B$29+E271+F271+G271+H271+I271</f>
        <v/>
      </c>
      <c r="K271">
        <f>J271+Assumptions!$B$4/B271</f>
        <v/>
      </c>
      <c r="L271">
        <f>B271</f>
        <v/>
      </c>
    </row>
    <row r="272">
      <c r="A272" t="inlineStr">
        <is>
          <t>cell(0,2) iter 9</t>
        </is>
      </c>
      <c r="B272">
        <f>Assumptions!$B$55/J271</f>
        <v/>
      </c>
      <c r="C272">
        <f>IF(B272&lt;Assumptions!$B$20,Assumptions!$B$20*(Assumptions!$B$29+Assumptions!$B$4/Assumptions!$B$20)/(Assumptions!$B$29+Assumptions!$B$4/B272),Assumptions!$B$20)</f>
        <v/>
      </c>
      <c r="D272">
        <f>IF(B272&lt;Assumptions!$B$21,Assumptions!$B$21*(Assumptions!$B$29+Assumptions!$B$4/Assumptions!$B$21)/(Assumptions!$B$29+Assumptions!$B$4/B272),Assumptions!$B$21)</f>
        <v/>
      </c>
      <c r="E272">
        <f>Assumptions!$B$37*Assumptions!$B$22/C272-Assumptions!$B$38</f>
        <v/>
      </c>
      <c r="F272">
        <f>Assumptions!$B$39*Assumptions!$B$21/D272-Assumptions!$B$39</f>
        <v/>
      </c>
      <c r="G272">
        <f>MAX(0,Assumptions!$B$50*(Assumptions!$B$29+E272+F272+G271+H271+I271+Assumptions!$B$4/B272)-Assumptions!$B$30)</f>
        <v/>
      </c>
      <c r="H272">
        <f>Assumptions!$B$23/MIN(Assumptions!$B$24/(Assumptions!$B$29+E272+F272+G272+I271),B272*(1-Assumptions!$B$25))</f>
        <v/>
      </c>
      <c r="I272">
        <f>Assumptions!$B$26/MIN(Assumptions!$B$27/(Assumptions!$B$29+E272+F272+G272+H272),B272*(1-Assumptions!$B$28))</f>
        <v/>
      </c>
      <c r="J272">
        <f>Assumptions!$B$29+E272+F272+G272+H272+I272</f>
        <v/>
      </c>
      <c r="K272">
        <f>J272+Assumptions!$B$4/B272</f>
        <v/>
      </c>
      <c r="L272">
        <f>B272</f>
        <v/>
      </c>
    </row>
    <row r="273">
      <c r="A273" t="inlineStr">
        <is>
          <t>cell(0,2) iter 10</t>
        </is>
      </c>
      <c r="B273">
        <f>Assumptions!$B$55/J272</f>
        <v/>
      </c>
      <c r="C273">
        <f>IF(B273&lt;Assumptions!$B$20,Assumptions!$B$20*(Assumptions!$B$29+Assumptions!$B$4/Assumptions!$B$20)/(Assumptions!$B$29+Assumptions!$B$4/B273),Assumptions!$B$20)</f>
        <v/>
      </c>
      <c r="D273">
        <f>IF(B273&lt;Assumptions!$B$21,Assumptions!$B$21*(Assumptions!$B$29+Assumptions!$B$4/Assumptions!$B$21)/(Assumptions!$B$29+Assumptions!$B$4/B273),Assumptions!$B$21)</f>
        <v/>
      </c>
      <c r="E273">
        <f>Assumptions!$B$37*Assumptions!$B$22/C273-Assumptions!$B$38</f>
        <v/>
      </c>
      <c r="F273">
        <f>Assumptions!$B$39*Assumptions!$B$21/D273-Assumptions!$B$39</f>
        <v/>
      </c>
      <c r="G273">
        <f>MAX(0,Assumptions!$B$50*(Assumptions!$B$29+E273+F273+G272+H272+I272+Assumptions!$B$4/B273)-Assumptions!$B$30)</f>
        <v/>
      </c>
      <c r="H273">
        <f>Assumptions!$B$23/MIN(Assumptions!$B$24/(Assumptions!$B$29+E273+F273+G273+I272),B273*(1-Assumptions!$B$25))</f>
        <v/>
      </c>
      <c r="I273">
        <f>Assumptions!$B$26/MIN(Assumptions!$B$27/(Assumptions!$B$29+E273+F273+G273+H273),B273*(1-Assumptions!$B$28))</f>
        <v/>
      </c>
      <c r="J273">
        <f>Assumptions!$B$29+E273+F273+G273+H273+I273</f>
        <v/>
      </c>
      <c r="K273">
        <f>J273+Assumptions!$B$4/B273</f>
        <v/>
      </c>
      <c r="L273">
        <f>B273</f>
        <v/>
      </c>
    </row>
    <row r="274">
      <c r="A274" t="inlineStr">
        <is>
          <t>cell(0,2) iter 11</t>
        </is>
      </c>
      <c r="B274">
        <f>Assumptions!$B$55/J273</f>
        <v/>
      </c>
      <c r="C274">
        <f>IF(B274&lt;Assumptions!$B$20,Assumptions!$B$20*(Assumptions!$B$29+Assumptions!$B$4/Assumptions!$B$20)/(Assumptions!$B$29+Assumptions!$B$4/B274),Assumptions!$B$20)</f>
        <v/>
      </c>
      <c r="D274">
        <f>IF(B274&lt;Assumptions!$B$21,Assumptions!$B$21*(Assumptions!$B$29+Assumptions!$B$4/Assumptions!$B$21)/(Assumptions!$B$29+Assumptions!$B$4/B274),Assumptions!$B$21)</f>
        <v/>
      </c>
      <c r="E274">
        <f>Assumptions!$B$37*Assumptions!$B$22/C274-Assumptions!$B$38</f>
        <v/>
      </c>
      <c r="F274">
        <f>Assumptions!$B$39*Assumptions!$B$21/D274-Assumptions!$B$39</f>
        <v/>
      </c>
      <c r="G274">
        <f>MAX(0,Assumptions!$B$50*(Assumptions!$B$29+E274+F274+G273+H273+I273+Assumptions!$B$4/B274)-Assumptions!$B$30)</f>
        <v/>
      </c>
      <c r="H274">
        <f>Assumptions!$B$23/MIN(Assumptions!$B$24/(Assumptions!$B$29+E274+F274+G274+I273),B274*(1-Assumptions!$B$25))</f>
        <v/>
      </c>
      <c r="I274">
        <f>Assumptions!$B$26/MIN(Assumptions!$B$27/(Assumptions!$B$29+E274+F274+G274+H274),B274*(1-Assumptions!$B$28))</f>
        <v/>
      </c>
      <c r="J274">
        <f>Assumptions!$B$29+E274+F274+G274+H274+I274</f>
        <v/>
      </c>
      <c r="K274">
        <f>J274+Assumptions!$B$4/B274</f>
        <v/>
      </c>
      <c r="L274">
        <f>B274</f>
        <v/>
      </c>
    </row>
    <row r="275">
      <c r="A275" t="inlineStr">
        <is>
          <t>cell(0,2) iter 12</t>
        </is>
      </c>
      <c r="B275">
        <f>Assumptions!$B$55/J274</f>
        <v/>
      </c>
      <c r="C275">
        <f>IF(B275&lt;Assumptions!$B$20,Assumptions!$B$20*(Assumptions!$B$29+Assumptions!$B$4/Assumptions!$B$20)/(Assumptions!$B$29+Assumptions!$B$4/B275),Assumptions!$B$20)</f>
        <v/>
      </c>
      <c r="D275">
        <f>IF(B275&lt;Assumptions!$B$21,Assumptions!$B$21*(Assumptions!$B$29+Assumptions!$B$4/Assumptions!$B$21)/(Assumptions!$B$29+Assumptions!$B$4/B275),Assumptions!$B$21)</f>
        <v/>
      </c>
      <c r="E275">
        <f>Assumptions!$B$37*Assumptions!$B$22/C275-Assumptions!$B$38</f>
        <v/>
      </c>
      <c r="F275">
        <f>Assumptions!$B$39*Assumptions!$B$21/D275-Assumptions!$B$39</f>
        <v/>
      </c>
      <c r="G275">
        <f>MAX(0,Assumptions!$B$50*(Assumptions!$B$29+E275+F275+G274+H274+I274+Assumptions!$B$4/B275)-Assumptions!$B$30)</f>
        <v/>
      </c>
      <c r="H275">
        <f>Assumptions!$B$23/MIN(Assumptions!$B$24/(Assumptions!$B$29+E275+F275+G275+I274),B275*(1-Assumptions!$B$25))</f>
        <v/>
      </c>
      <c r="I275">
        <f>Assumptions!$B$26/MIN(Assumptions!$B$27/(Assumptions!$B$29+E275+F275+G275+H275),B275*(1-Assumptions!$B$28))</f>
        <v/>
      </c>
      <c r="J275">
        <f>Assumptions!$B$29+E275+F275+G275+H275+I275</f>
        <v/>
      </c>
      <c r="K275">
        <f>J275+Assumptions!$B$4/B275</f>
        <v/>
      </c>
      <c r="L275">
        <f>B275</f>
        <v/>
      </c>
    </row>
    <row r="276">
      <c r="A276" t="inlineStr">
        <is>
          <t>cell(0,2) iter 13</t>
        </is>
      </c>
      <c r="B276">
        <f>Assumptions!$B$55/J275</f>
        <v/>
      </c>
      <c r="C276">
        <f>IF(B276&lt;Assumptions!$B$20,Assumptions!$B$20*(Assumptions!$B$29+Assumptions!$B$4/Assumptions!$B$20)/(Assumptions!$B$29+Assumptions!$B$4/B276),Assumptions!$B$20)</f>
        <v/>
      </c>
      <c r="D276">
        <f>IF(B276&lt;Assumptions!$B$21,Assumptions!$B$21*(Assumptions!$B$29+Assumptions!$B$4/Assumptions!$B$21)/(Assumptions!$B$29+Assumptions!$B$4/B276),Assumptions!$B$21)</f>
        <v/>
      </c>
      <c r="E276">
        <f>Assumptions!$B$37*Assumptions!$B$22/C276-Assumptions!$B$38</f>
        <v/>
      </c>
      <c r="F276">
        <f>Assumptions!$B$39*Assumptions!$B$21/D276-Assumptions!$B$39</f>
        <v/>
      </c>
      <c r="G276">
        <f>MAX(0,Assumptions!$B$50*(Assumptions!$B$29+E276+F276+G275+H275+I275+Assumptions!$B$4/B276)-Assumptions!$B$30)</f>
        <v/>
      </c>
      <c r="H276">
        <f>Assumptions!$B$23/MIN(Assumptions!$B$24/(Assumptions!$B$29+E276+F276+G276+I275),B276*(1-Assumptions!$B$25))</f>
        <v/>
      </c>
      <c r="I276">
        <f>Assumptions!$B$26/MIN(Assumptions!$B$27/(Assumptions!$B$29+E276+F276+G276+H276),B276*(1-Assumptions!$B$28))</f>
        <v/>
      </c>
      <c r="J276">
        <f>Assumptions!$B$29+E276+F276+G276+H276+I276</f>
        <v/>
      </c>
      <c r="K276">
        <f>J276+Assumptions!$B$4/B276</f>
        <v/>
      </c>
      <c r="L276">
        <f>B276</f>
        <v/>
      </c>
    </row>
    <row r="277">
      <c r="A277" t="inlineStr">
        <is>
          <t>cell(0,2) iter 14</t>
        </is>
      </c>
      <c r="B277">
        <f>Assumptions!$B$55/J276</f>
        <v/>
      </c>
      <c r="C277">
        <f>IF(B277&lt;Assumptions!$B$20,Assumptions!$B$20*(Assumptions!$B$29+Assumptions!$B$4/Assumptions!$B$20)/(Assumptions!$B$29+Assumptions!$B$4/B277),Assumptions!$B$20)</f>
        <v/>
      </c>
      <c r="D277">
        <f>IF(B277&lt;Assumptions!$B$21,Assumptions!$B$21*(Assumptions!$B$29+Assumptions!$B$4/Assumptions!$B$21)/(Assumptions!$B$29+Assumptions!$B$4/B277),Assumptions!$B$21)</f>
        <v/>
      </c>
      <c r="E277">
        <f>Assumptions!$B$37*Assumptions!$B$22/C277-Assumptions!$B$38</f>
        <v/>
      </c>
      <c r="F277">
        <f>Assumptions!$B$39*Assumptions!$B$21/D277-Assumptions!$B$39</f>
        <v/>
      </c>
      <c r="G277">
        <f>MAX(0,Assumptions!$B$50*(Assumptions!$B$29+E277+F277+G276+H276+I276+Assumptions!$B$4/B277)-Assumptions!$B$30)</f>
        <v/>
      </c>
      <c r="H277">
        <f>Assumptions!$B$23/MIN(Assumptions!$B$24/(Assumptions!$B$29+E277+F277+G277+I276),B277*(1-Assumptions!$B$25))</f>
        <v/>
      </c>
      <c r="I277">
        <f>Assumptions!$B$26/MIN(Assumptions!$B$27/(Assumptions!$B$29+E277+F277+G277+H277),B277*(1-Assumptions!$B$28))</f>
        <v/>
      </c>
      <c r="J277">
        <f>Assumptions!$B$29+E277+F277+G277+H277+I277</f>
        <v/>
      </c>
      <c r="K277">
        <f>J277+Assumptions!$B$4/B277</f>
        <v/>
      </c>
      <c r="L277">
        <f>B277</f>
        <v/>
      </c>
    </row>
    <row r="278">
      <c r="A278" t="inlineStr">
        <is>
          <t>cell(0,2) iter 15</t>
        </is>
      </c>
      <c r="B278">
        <f>Assumptions!$B$55/J277</f>
        <v/>
      </c>
      <c r="C278">
        <f>IF(B278&lt;Assumptions!$B$20,Assumptions!$B$20*(Assumptions!$B$29+Assumptions!$B$4/Assumptions!$B$20)/(Assumptions!$B$29+Assumptions!$B$4/B278),Assumptions!$B$20)</f>
        <v/>
      </c>
      <c r="D278">
        <f>IF(B278&lt;Assumptions!$B$21,Assumptions!$B$21*(Assumptions!$B$29+Assumptions!$B$4/Assumptions!$B$21)/(Assumptions!$B$29+Assumptions!$B$4/B278),Assumptions!$B$21)</f>
        <v/>
      </c>
      <c r="E278">
        <f>Assumptions!$B$37*Assumptions!$B$22/C278-Assumptions!$B$38</f>
        <v/>
      </c>
      <c r="F278">
        <f>Assumptions!$B$39*Assumptions!$B$21/D278-Assumptions!$B$39</f>
        <v/>
      </c>
      <c r="G278">
        <f>MAX(0,Assumptions!$B$50*(Assumptions!$B$29+E278+F278+G277+H277+I277+Assumptions!$B$4/B278)-Assumptions!$B$30)</f>
        <v/>
      </c>
      <c r="H278">
        <f>Assumptions!$B$23/MIN(Assumptions!$B$24/(Assumptions!$B$29+E278+F278+G278+I277),B278*(1-Assumptions!$B$25))</f>
        <v/>
      </c>
      <c r="I278">
        <f>Assumptions!$B$26/MIN(Assumptions!$B$27/(Assumptions!$B$29+E278+F278+G278+H278),B278*(1-Assumptions!$B$28))</f>
        <v/>
      </c>
      <c r="J278">
        <f>Assumptions!$B$29+E278+F278+G278+H278+I278</f>
        <v/>
      </c>
      <c r="K278">
        <f>J278+Assumptions!$B$4/B278</f>
        <v/>
      </c>
      <c r="L278">
        <f>B278</f>
        <v/>
      </c>
    </row>
    <row r="279">
      <c r="A279" t="inlineStr">
        <is>
          <t>cell(0,2) iter 16</t>
        </is>
      </c>
      <c r="B279">
        <f>Assumptions!$B$55/J278</f>
        <v/>
      </c>
      <c r="C279">
        <f>IF(B279&lt;Assumptions!$B$20,Assumptions!$B$20*(Assumptions!$B$29+Assumptions!$B$4/Assumptions!$B$20)/(Assumptions!$B$29+Assumptions!$B$4/B279),Assumptions!$B$20)</f>
        <v/>
      </c>
      <c r="D279">
        <f>IF(B279&lt;Assumptions!$B$21,Assumptions!$B$21*(Assumptions!$B$29+Assumptions!$B$4/Assumptions!$B$21)/(Assumptions!$B$29+Assumptions!$B$4/B279),Assumptions!$B$21)</f>
        <v/>
      </c>
      <c r="E279">
        <f>Assumptions!$B$37*Assumptions!$B$22/C279-Assumptions!$B$38</f>
        <v/>
      </c>
      <c r="F279">
        <f>Assumptions!$B$39*Assumptions!$B$21/D279-Assumptions!$B$39</f>
        <v/>
      </c>
      <c r="G279">
        <f>MAX(0,Assumptions!$B$50*(Assumptions!$B$29+E279+F279+G278+H278+I278+Assumptions!$B$4/B279)-Assumptions!$B$30)</f>
        <v/>
      </c>
      <c r="H279">
        <f>Assumptions!$B$23/MIN(Assumptions!$B$24/(Assumptions!$B$29+E279+F279+G279+I278),B279*(1-Assumptions!$B$25))</f>
        <v/>
      </c>
      <c r="I279">
        <f>Assumptions!$B$26/MIN(Assumptions!$B$27/(Assumptions!$B$29+E279+F279+G279+H279),B279*(1-Assumptions!$B$28))</f>
        <v/>
      </c>
      <c r="J279">
        <f>Assumptions!$B$29+E279+F279+G279+H279+I279</f>
        <v/>
      </c>
      <c r="K279">
        <f>J279+Assumptions!$B$4/B279</f>
        <v/>
      </c>
      <c r="L279">
        <f>B279</f>
        <v/>
      </c>
    </row>
    <row r="280">
      <c r="A280" t="inlineStr">
        <is>
          <t>cell(0,2) iter 17</t>
        </is>
      </c>
      <c r="B280">
        <f>Assumptions!$B$55/J279</f>
        <v/>
      </c>
      <c r="C280">
        <f>IF(B280&lt;Assumptions!$B$20,Assumptions!$B$20*(Assumptions!$B$29+Assumptions!$B$4/Assumptions!$B$20)/(Assumptions!$B$29+Assumptions!$B$4/B280),Assumptions!$B$20)</f>
        <v/>
      </c>
      <c r="D280">
        <f>IF(B280&lt;Assumptions!$B$21,Assumptions!$B$21*(Assumptions!$B$29+Assumptions!$B$4/Assumptions!$B$21)/(Assumptions!$B$29+Assumptions!$B$4/B280),Assumptions!$B$21)</f>
        <v/>
      </c>
      <c r="E280">
        <f>Assumptions!$B$37*Assumptions!$B$22/C280-Assumptions!$B$38</f>
        <v/>
      </c>
      <c r="F280">
        <f>Assumptions!$B$39*Assumptions!$B$21/D280-Assumptions!$B$39</f>
        <v/>
      </c>
      <c r="G280">
        <f>MAX(0,Assumptions!$B$50*(Assumptions!$B$29+E280+F280+G279+H279+I279+Assumptions!$B$4/B280)-Assumptions!$B$30)</f>
        <v/>
      </c>
      <c r="H280">
        <f>Assumptions!$B$23/MIN(Assumptions!$B$24/(Assumptions!$B$29+E280+F280+G280+I279),B280*(1-Assumptions!$B$25))</f>
        <v/>
      </c>
      <c r="I280">
        <f>Assumptions!$B$26/MIN(Assumptions!$B$27/(Assumptions!$B$29+E280+F280+G280+H280),B280*(1-Assumptions!$B$28))</f>
        <v/>
      </c>
      <c r="J280">
        <f>Assumptions!$B$29+E280+F280+G280+H280+I280</f>
        <v/>
      </c>
      <c r="K280">
        <f>J280+Assumptions!$B$4/B280</f>
        <v/>
      </c>
      <c r="L280">
        <f>B280</f>
        <v/>
      </c>
    </row>
    <row r="281">
      <c r="A281" t="inlineStr">
        <is>
          <t>cell(0,2) iter 18</t>
        </is>
      </c>
      <c r="B281">
        <f>Assumptions!$B$55/J280</f>
        <v/>
      </c>
      <c r="C281">
        <f>IF(B281&lt;Assumptions!$B$20,Assumptions!$B$20*(Assumptions!$B$29+Assumptions!$B$4/Assumptions!$B$20)/(Assumptions!$B$29+Assumptions!$B$4/B281),Assumptions!$B$20)</f>
        <v/>
      </c>
      <c r="D281">
        <f>IF(B281&lt;Assumptions!$B$21,Assumptions!$B$21*(Assumptions!$B$29+Assumptions!$B$4/Assumptions!$B$21)/(Assumptions!$B$29+Assumptions!$B$4/B281),Assumptions!$B$21)</f>
        <v/>
      </c>
      <c r="E281">
        <f>Assumptions!$B$37*Assumptions!$B$22/C281-Assumptions!$B$38</f>
        <v/>
      </c>
      <c r="F281">
        <f>Assumptions!$B$39*Assumptions!$B$21/D281-Assumptions!$B$39</f>
        <v/>
      </c>
      <c r="G281">
        <f>MAX(0,Assumptions!$B$50*(Assumptions!$B$29+E281+F281+G280+H280+I280+Assumptions!$B$4/B281)-Assumptions!$B$30)</f>
        <v/>
      </c>
      <c r="H281">
        <f>Assumptions!$B$23/MIN(Assumptions!$B$24/(Assumptions!$B$29+E281+F281+G281+I280),B281*(1-Assumptions!$B$25))</f>
        <v/>
      </c>
      <c r="I281">
        <f>Assumptions!$B$26/MIN(Assumptions!$B$27/(Assumptions!$B$29+E281+F281+G281+H281),B281*(1-Assumptions!$B$28))</f>
        <v/>
      </c>
      <c r="J281">
        <f>Assumptions!$B$29+E281+F281+G281+H281+I281</f>
        <v/>
      </c>
      <c r="K281">
        <f>J281+Assumptions!$B$4/B281</f>
        <v/>
      </c>
      <c r="L281">
        <f>B281</f>
        <v/>
      </c>
    </row>
    <row r="282">
      <c r="A282" t="inlineStr">
        <is>
          <t>cell(0,2) iter 19</t>
        </is>
      </c>
      <c r="B282">
        <f>Assumptions!$B$55/J281</f>
        <v/>
      </c>
      <c r="C282">
        <f>IF(B282&lt;Assumptions!$B$20,Assumptions!$B$20*(Assumptions!$B$29+Assumptions!$B$4/Assumptions!$B$20)/(Assumptions!$B$29+Assumptions!$B$4/B282),Assumptions!$B$20)</f>
        <v/>
      </c>
      <c r="D282">
        <f>IF(B282&lt;Assumptions!$B$21,Assumptions!$B$21*(Assumptions!$B$29+Assumptions!$B$4/Assumptions!$B$21)/(Assumptions!$B$29+Assumptions!$B$4/B282),Assumptions!$B$21)</f>
        <v/>
      </c>
      <c r="E282">
        <f>Assumptions!$B$37*Assumptions!$B$22/C282-Assumptions!$B$38</f>
        <v/>
      </c>
      <c r="F282">
        <f>Assumptions!$B$39*Assumptions!$B$21/D282-Assumptions!$B$39</f>
        <v/>
      </c>
      <c r="G282">
        <f>MAX(0,Assumptions!$B$50*(Assumptions!$B$29+E282+F282+G281+H281+I281+Assumptions!$B$4/B282)-Assumptions!$B$30)</f>
        <v/>
      </c>
      <c r="H282">
        <f>Assumptions!$B$23/MIN(Assumptions!$B$24/(Assumptions!$B$29+E282+F282+G282+I281),B282*(1-Assumptions!$B$25))</f>
        <v/>
      </c>
      <c r="I282">
        <f>Assumptions!$B$26/MIN(Assumptions!$B$27/(Assumptions!$B$29+E282+F282+G282+H282),B282*(1-Assumptions!$B$28))</f>
        <v/>
      </c>
      <c r="J282">
        <f>Assumptions!$B$29+E282+F282+G282+H282+I282</f>
        <v/>
      </c>
      <c r="K282">
        <f>J282+Assumptions!$B$4/B282</f>
        <v/>
      </c>
      <c r="L282">
        <f>B282</f>
        <v/>
      </c>
    </row>
    <row r="283">
      <c r="A283" t="inlineStr">
        <is>
          <t>cell(0,2) iter 20</t>
        </is>
      </c>
      <c r="B283">
        <f>Assumptions!$B$55/J282</f>
        <v/>
      </c>
      <c r="C283">
        <f>IF(B283&lt;Assumptions!$B$20,Assumptions!$B$20*(Assumptions!$B$29+Assumptions!$B$4/Assumptions!$B$20)/(Assumptions!$B$29+Assumptions!$B$4/B283),Assumptions!$B$20)</f>
        <v/>
      </c>
      <c r="D283">
        <f>IF(B283&lt;Assumptions!$B$21,Assumptions!$B$21*(Assumptions!$B$29+Assumptions!$B$4/Assumptions!$B$21)/(Assumptions!$B$29+Assumptions!$B$4/B283),Assumptions!$B$21)</f>
        <v/>
      </c>
      <c r="E283">
        <f>Assumptions!$B$37*Assumptions!$B$22/C283-Assumptions!$B$38</f>
        <v/>
      </c>
      <c r="F283">
        <f>Assumptions!$B$39*Assumptions!$B$21/D283-Assumptions!$B$39</f>
        <v/>
      </c>
      <c r="G283">
        <f>MAX(0,Assumptions!$B$50*(Assumptions!$B$29+E283+F283+G282+H282+I282+Assumptions!$B$4/B283)-Assumptions!$B$30)</f>
        <v/>
      </c>
      <c r="H283">
        <f>Assumptions!$B$23/MIN(Assumptions!$B$24/(Assumptions!$B$29+E283+F283+G283+I282),B283*(1-Assumptions!$B$25))</f>
        <v/>
      </c>
      <c r="I283">
        <f>Assumptions!$B$26/MIN(Assumptions!$B$27/(Assumptions!$B$29+E283+F283+G283+H283),B283*(1-Assumptions!$B$28))</f>
        <v/>
      </c>
      <c r="J283">
        <f>Assumptions!$B$29+E283+F283+G283+H283+I283</f>
        <v/>
      </c>
      <c r="K283">
        <f>J283+Assumptions!$B$4/B283</f>
        <v/>
      </c>
      <c r="L283">
        <f>B283</f>
        <v/>
      </c>
    </row>
    <row r="284">
      <c r="A284" t="inlineStr">
        <is>
          <t>cell(0,2) iter 21</t>
        </is>
      </c>
      <c r="B284">
        <f>Assumptions!$B$55/J283</f>
        <v/>
      </c>
      <c r="C284">
        <f>IF(B284&lt;Assumptions!$B$20,Assumptions!$B$20*(Assumptions!$B$29+Assumptions!$B$4/Assumptions!$B$20)/(Assumptions!$B$29+Assumptions!$B$4/B284),Assumptions!$B$20)</f>
        <v/>
      </c>
      <c r="D284">
        <f>IF(B284&lt;Assumptions!$B$21,Assumptions!$B$21*(Assumptions!$B$29+Assumptions!$B$4/Assumptions!$B$21)/(Assumptions!$B$29+Assumptions!$B$4/B284),Assumptions!$B$21)</f>
        <v/>
      </c>
      <c r="E284">
        <f>Assumptions!$B$37*Assumptions!$B$22/C284-Assumptions!$B$38</f>
        <v/>
      </c>
      <c r="F284">
        <f>Assumptions!$B$39*Assumptions!$B$21/D284-Assumptions!$B$39</f>
        <v/>
      </c>
      <c r="G284">
        <f>MAX(0,Assumptions!$B$50*(Assumptions!$B$29+E284+F284+G283+H283+I283+Assumptions!$B$4/B284)-Assumptions!$B$30)</f>
        <v/>
      </c>
      <c r="H284">
        <f>Assumptions!$B$23/MIN(Assumptions!$B$24/(Assumptions!$B$29+E284+F284+G284+I283),B284*(1-Assumptions!$B$25))</f>
        <v/>
      </c>
      <c r="I284">
        <f>Assumptions!$B$26/MIN(Assumptions!$B$27/(Assumptions!$B$29+E284+F284+G284+H284),B284*(1-Assumptions!$B$28))</f>
        <v/>
      </c>
      <c r="J284">
        <f>Assumptions!$B$29+E284+F284+G284+H284+I284</f>
        <v/>
      </c>
      <c r="K284">
        <f>J284+Assumptions!$B$4/B284</f>
        <v/>
      </c>
      <c r="L284">
        <f>B284</f>
        <v/>
      </c>
    </row>
    <row r="285">
      <c r="A285" t="inlineStr">
        <is>
          <t>cell(0,2) iter 22</t>
        </is>
      </c>
      <c r="B285">
        <f>Assumptions!$B$55/J284</f>
        <v/>
      </c>
      <c r="C285">
        <f>IF(B285&lt;Assumptions!$B$20,Assumptions!$B$20*(Assumptions!$B$29+Assumptions!$B$4/Assumptions!$B$20)/(Assumptions!$B$29+Assumptions!$B$4/B285),Assumptions!$B$20)</f>
        <v/>
      </c>
      <c r="D285">
        <f>IF(B285&lt;Assumptions!$B$21,Assumptions!$B$21*(Assumptions!$B$29+Assumptions!$B$4/Assumptions!$B$21)/(Assumptions!$B$29+Assumptions!$B$4/B285),Assumptions!$B$21)</f>
        <v/>
      </c>
      <c r="E285">
        <f>Assumptions!$B$37*Assumptions!$B$22/C285-Assumptions!$B$38</f>
        <v/>
      </c>
      <c r="F285">
        <f>Assumptions!$B$39*Assumptions!$B$21/D285-Assumptions!$B$39</f>
        <v/>
      </c>
      <c r="G285">
        <f>MAX(0,Assumptions!$B$50*(Assumptions!$B$29+E285+F285+G284+H284+I284+Assumptions!$B$4/B285)-Assumptions!$B$30)</f>
        <v/>
      </c>
      <c r="H285">
        <f>Assumptions!$B$23/MIN(Assumptions!$B$24/(Assumptions!$B$29+E285+F285+G285+I284),B285*(1-Assumptions!$B$25))</f>
        <v/>
      </c>
      <c r="I285">
        <f>Assumptions!$B$26/MIN(Assumptions!$B$27/(Assumptions!$B$29+E285+F285+G285+H285),B285*(1-Assumptions!$B$28))</f>
        <v/>
      </c>
      <c r="J285">
        <f>Assumptions!$B$29+E285+F285+G285+H285+I285</f>
        <v/>
      </c>
      <c r="K285">
        <f>J285+Assumptions!$B$4/B285</f>
        <v/>
      </c>
      <c r="L285">
        <f>B285</f>
        <v/>
      </c>
    </row>
    <row r="286">
      <c r="A286" t="inlineStr">
        <is>
          <t>cell(0,2) iter 23</t>
        </is>
      </c>
      <c r="B286">
        <f>Assumptions!$B$55/J285</f>
        <v/>
      </c>
      <c r="C286">
        <f>IF(B286&lt;Assumptions!$B$20,Assumptions!$B$20*(Assumptions!$B$29+Assumptions!$B$4/Assumptions!$B$20)/(Assumptions!$B$29+Assumptions!$B$4/B286),Assumptions!$B$20)</f>
        <v/>
      </c>
      <c r="D286">
        <f>IF(B286&lt;Assumptions!$B$21,Assumptions!$B$21*(Assumptions!$B$29+Assumptions!$B$4/Assumptions!$B$21)/(Assumptions!$B$29+Assumptions!$B$4/B286),Assumptions!$B$21)</f>
        <v/>
      </c>
      <c r="E286">
        <f>Assumptions!$B$37*Assumptions!$B$22/C286-Assumptions!$B$38</f>
        <v/>
      </c>
      <c r="F286">
        <f>Assumptions!$B$39*Assumptions!$B$21/D286-Assumptions!$B$39</f>
        <v/>
      </c>
      <c r="G286">
        <f>MAX(0,Assumptions!$B$50*(Assumptions!$B$29+E286+F286+G285+H285+I285+Assumptions!$B$4/B286)-Assumptions!$B$30)</f>
        <v/>
      </c>
      <c r="H286">
        <f>Assumptions!$B$23/MIN(Assumptions!$B$24/(Assumptions!$B$29+E286+F286+G286+I285),B286*(1-Assumptions!$B$25))</f>
        <v/>
      </c>
      <c r="I286">
        <f>Assumptions!$B$26/MIN(Assumptions!$B$27/(Assumptions!$B$29+E286+F286+G286+H286),B286*(1-Assumptions!$B$28))</f>
        <v/>
      </c>
      <c r="J286">
        <f>Assumptions!$B$29+E286+F286+G286+H286+I286</f>
        <v/>
      </c>
      <c r="K286">
        <f>J286+Assumptions!$B$4/B286</f>
        <v/>
      </c>
      <c r="L286">
        <f>B286</f>
        <v/>
      </c>
    </row>
    <row r="287">
      <c r="A287" t="inlineStr">
        <is>
          <t>cell(0,2) iter 24</t>
        </is>
      </c>
      <c r="B287">
        <f>Assumptions!$B$55/J286</f>
        <v/>
      </c>
      <c r="C287">
        <f>IF(B287&lt;Assumptions!$B$20,Assumptions!$B$20*(Assumptions!$B$29+Assumptions!$B$4/Assumptions!$B$20)/(Assumptions!$B$29+Assumptions!$B$4/B287),Assumptions!$B$20)</f>
        <v/>
      </c>
      <c r="D287">
        <f>IF(B287&lt;Assumptions!$B$21,Assumptions!$B$21*(Assumptions!$B$29+Assumptions!$B$4/Assumptions!$B$21)/(Assumptions!$B$29+Assumptions!$B$4/B287),Assumptions!$B$21)</f>
        <v/>
      </c>
      <c r="E287">
        <f>Assumptions!$B$37*Assumptions!$B$22/C287-Assumptions!$B$38</f>
        <v/>
      </c>
      <c r="F287">
        <f>Assumptions!$B$39*Assumptions!$B$21/D287-Assumptions!$B$39</f>
        <v/>
      </c>
      <c r="G287">
        <f>MAX(0,Assumptions!$B$50*(Assumptions!$B$29+E287+F287+G286+H286+I286+Assumptions!$B$4/B287)-Assumptions!$B$30)</f>
        <v/>
      </c>
      <c r="H287">
        <f>Assumptions!$B$23/MIN(Assumptions!$B$24/(Assumptions!$B$29+E287+F287+G287+I286),B287*(1-Assumptions!$B$25))</f>
        <v/>
      </c>
      <c r="I287">
        <f>Assumptions!$B$26/MIN(Assumptions!$B$27/(Assumptions!$B$29+E287+F287+G287+H287),B287*(1-Assumptions!$B$28))</f>
        <v/>
      </c>
      <c r="J287">
        <f>Assumptions!$B$29+E287+F287+G287+H287+I287</f>
        <v/>
      </c>
      <c r="K287">
        <f>J287+Assumptions!$B$4/B287</f>
        <v/>
      </c>
      <c r="L287">
        <f>B287</f>
        <v/>
      </c>
    </row>
    <row r="288">
      <c r="A288" t="inlineStr">
        <is>
          <t>cell(0,2) iter 25</t>
        </is>
      </c>
      <c r="B288">
        <f>Assumptions!$B$55/J287</f>
        <v/>
      </c>
      <c r="C288">
        <f>IF(B288&lt;Assumptions!$B$20,Assumptions!$B$20*(Assumptions!$B$29+Assumptions!$B$4/Assumptions!$B$20)/(Assumptions!$B$29+Assumptions!$B$4/B288),Assumptions!$B$20)</f>
        <v/>
      </c>
      <c r="D288">
        <f>IF(B288&lt;Assumptions!$B$21,Assumptions!$B$21*(Assumptions!$B$29+Assumptions!$B$4/Assumptions!$B$21)/(Assumptions!$B$29+Assumptions!$B$4/B288),Assumptions!$B$21)</f>
        <v/>
      </c>
      <c r="E288">
        <f>Assumptions!$B$37*Assumptions!$B$22/C288-Assumptions!$B$38</f>
        <v/>
      </c>
      <c r="F288">
        <f>Assumptions!$B$39*Assumptions!$B$21/D288-Assumptions!$B$39</f>
        <v/>
      </c>
      <c r="G288">
        <f>MAX(0,Assumptions!$B$50*(Assumptions!$B$29+E288+F288+G287+H287+I287+Assumptions!$B$4/B288)-Assumptions!$B$30)</f>
        <v/>
      </c>
      <c r="H288">
        <f>Assumptions!$B$23/MIN(Assumptions!$B$24/(Assumptions!$B$29+E288+F288+G288+I287),B288*(1-Assumptions!$B$25))</f>
        <v/>
      </c>
      <c r="I288">
        <f>Assumptions!$B$26/MIN(Assumptions!$B$27/(Assumptions!$B$29+E288+F288+G288+H288),B288*(1-Assumptions!$B$28))</f>
        <v/>
      </c>
      <c r="J288">
        <f>Assumptions!$B$29+E288+F288+G288+H288+I288</f>
        <v/>
      </c>
      <c r="K288">
        <f>J288+Assumptions!$B$4/B288</f>
        <v/>
      </c>
      <c r="L288">
        <f>B288</f>
        <v/>
      </c>
    </row>
    <row r="289">
      <c r="A289" t="inlineStr">
        <is>
          <t>cell(0,2) iter 26</t>
        </is>
      </c>
      <c r="B289">
        <f>Assumptions!$B$55/J288</f>
        <v/>
      </c>
      <c r="C289">
        <f>IF(B289&lt;Assumptions!$B$20,Assumptions!$B$20*(Assumptions!$B$29+Assumptions!$B$4/Assumptions!$B$20)/(Assumptions!$B$29+Assumptions!$B$4/B289),Assumptions!$B$20)</f>
        <v/>
      </c>
      <c r="D289">
        <f>IF(B289&lt;Assumptions!$B$21,Assumptions!$B$21*(Assumptions!$B$29+Assumptions!$B$4/Assumptions!$B$21)/(Assumptions!$B$29+Assumptions!$B$4/B289),Assumptions!$B$21)</f>
        <v/>
      </c>
      <c r="E289">
        <f>Assumptions!$B$37*Assumptions!$B$22/C289-Assumptions!$B$38</f>
        <v/>
      </c>
      <c r="F289">
        <f>Assumptions!$B$39*Assumptions!$B$21/D289-Assumptions!$B$39</f>
        <v/>
      </c>
      <c r="G289">
        <f>MAX(0,Assumptions!$B$50*(Assumptions!$B$29+E289+F289+G288+H288+I288+Assumptions!$B$4/B289)-Assumptions!$B$30)</f>
        <v/>
      </c>
      <c r="H289">
        <f>Assumptions!$B$23/MIN(Assumptions!$B$24/(Assumptions!$B$29+E289+F289+G289+I288),B289*(1-Assumptions!$B$25))</f>
        <v/>
      </c>
      <c r="I289">
        <f>Assumptions!$B$26/MIN(Assumptions!$B$27/(Assumptions!$B$29+E289+F289+G289+H289),B289*(1-Assumptions!$B$28))</f>
        <v/>
      </c>
      <c r="J289">
        <f>Assumptions!$B$29+E289+F289+G289+H289+I289</f>
        <v/>
      </c>
      <c r="K289">
        <f>J289+Assumptions!$B$4/B289</f>
        <v/>
      </c>
      <c r="L289">
        <f>B289</f>
        <v/>
      </c>
    </row>
    <row r="290">
      <c r="A290" t="inlineStr">
        <is>
          <t>cell(0,2) iter 27</t>
        </is>
      </c>
      <c r="B290">
        <f>Assumptions!$B$55/J289</f>
        <v/>
      </c>
      <c r="C290">
        <f>IF(B290&lt;Assumptions!$B$20,Assumptions!$B$20*(Assumptions!$B$29+Assumptions!$B$4/Assumptions!$B$20)/(Assumptions!$B$29+Assumptions!$B$4/B290),Assumptions!$B$20)</f>
        <v/>
      </c>
      <c r="D290">
        <f>IF(B290&lt;Assumptions!$B$21,Assumptions!$B$21*(Assumptions!$B$29+Assumptions!$B$4/Assumptions!$B$21)/(Assumptions!$B$29+Assumptions!$B$4/B290),Assumptions!$B$21)</f>
        <v/>
      </c>
      <c r="E290">
        <f>Assumptions!$B$37*Assumptions!$B$22/C290-Assumptions!$B$38</f>
        <v/>
      </c>
      <c r="F290">
        <f>Assumptions!$B$39*Assumptions!$B$21/D290-Assumptions!$B$39</f>
        <v/>
      </c>
      <c r="G290">
        <f>MAX(0,Assumptions!$B$50*(Assumptions!$B$29+E290+F290+G289+H289+I289+Assumptions!$B$4/B290)-Assumptions!$B$30)</f>
        <v/>
      </c>
      <c r="H290">
        <f>Assumptions!$B$23/MIN(Assumptions!$B$24/(Assumptions!$B$29+E290+F290+G290+I289),B290*(1-Assumptions!$B$25))</f>
        <v/>
      </c>
      <c r="I290">
        <f>Assumptions!$B$26/MIN(Assumptions!$B$27/(Assumptions!$B$29+E290+F290+G290+H290),B290*(1-Assumptions!$B$28))</f>
        <v/>
      </c>
      <c r="J290">
        <f>Assumptions!$B$29+E290+F290+G290+H290+I290</f>
        <v/>
      </c>
      <c r="K290">
        <f>J290+Assumptions!$B$4/B290</f>
        <v/>
      </c>
      <c r="L290">
        <f>B290</f>
        <v/>
      </c>
    </row>
    <row r="291">
      <c r="A291" t="inlineStr">
        <is>
          <t>cell(0,2) iter 28</t>
        </is>
      </c>
      <c r="B291">
        <f>Assumptions!$B$55/J290</f>
        <v/>
      </c>
      <c r="C291">
        <f>IF(B291&lt;Assumptions!$B$20,Assumptions!$B$20*(Assumptions!$B$29+Assumptions!$B$4/Assumptions!$B$20)/(Assumptions!$B$29+Assumptions!$B$4/B291),Assumptions!$B$20)</f>
        <v/>
      </c>
      <c r="D291">
        <f>IF(B291&lt;Assumptions!$B$21,Assumptions!$B$21*(Assumptions!$B$29+Assumptions!$B$4/Assumptions!$B$21)/(Assumptions!$B$29+Assumptions!$B$4/B291),Assumptions!$B$21)</f>
        <v/>
      </c>
      <c r="E291">
        <f>Assumptions!$B$37*Assumptions!$B$22/C291-Assumptions!$B$38</f>
        <v/>
      </c>
      <c r="F291">
        <f>Assumptions!$B$39*Assumptions!$B$21/D291-Assumptions!$B$39</f>
        <v/>
      </c>
      <c r="G291">
        <f>MAX(0,Assumptions!$B$50*(Assumptions!$B$29+E291+F291+G290+H290+I290+Assumptions!$B$4/B291)-Assumptions!$B$30)</f>
        <v/>
      </c>
      <c r="H291">
        <f>Assumptions!$B$23/MIN(Assumptions!$B$24/(Assumptions!$B$29+E291+F291+G291+I290),B291*(1-Assumptions!$B$25))</f>
        <v/>
      </c>
      <c r="I291">
        <f>Assumptions!$B$26/MIN(Assumptions!$B$27/(Assumptions!$B$29+E291+F291+G291+H291),B291*(1-Assumptions!$B$28))</f>
        <v/>
      </c>
      <c r="J291">
        <f>Assumptions!$B$29+E291+F291+G291+H291+I291</f>
        <v/>
      </c>
      <c r="K291">
        <f>J291+Assumptions!$B$4/B291</f>
        <v/>
      </c>
      <c r="L291">
        <f>B291</f>
        <v/>
      </c>
    </row>
    <row r="292">
      <c r="A292" t="inlineStr">
        <is>
          <t>cell(0,2) iter 29</t>
        </is>
      </c>
      <c r="B292">
        <f>Assumptions!$B$55/J291</f>
        <v/>
      </c>
      <c r="C292">
        <f>IF(B292&lt;Assumptions!$B$20,Assumptions!$B$20*(Assumptions!$B$29+Assumptions!$B$4/Assumptions!$B$20)/(Assumptions!$B$29+Assumptions!$B$4/B292),Assumptions!$B$20)</f>
        <v/>
      </c>
      <c r="D292">
        <f>IF(B292&lt;Assumptions!$B$21,Assumptions!$B$21*(Assumptions!$B$29+Assumptions!$B$4/Assumptions!$B$21)/(Assumptions!$B$29+Assumptions!$B$4/B292),Assumptions!$B$21)</f>
        <v/>
      </c>
      <c r="E292">
        <f>Assumptions!$B$37*Assumptions!$B$22/C292-Assumptions!$B$38</f>
        <v/>
      </c>
      <c r="F292">
        <f>Assumptions!$B$39*Assumptions!$B$21/D292-Assumptions!$B$39</f>
        <v/>
      </c>
      <c r="G292">
        <f>MAX(0,Assumptions!$B$50*(Assumptions!$B$29+E292+F292+G291+H291+I291+Assumptions!$B$4/B292)-Assumptions!$B$30)</f>
        <v/>
      </c>
      <c r="H292">
        <f>Assumptions!$B$23/MIN(Assumptions!$B$24/(Assumptions!$B$29+E292+F292+G292+I291),B292*(1-Assumptions!$B$25))</f>
        <v/>
      </c>
      <c r="I292">
        <f>Assumptions!$B$26/MIN(Assumptions!$B$27/(Assumptions!$B$29+E292+F292+G292+H292),B292*(1-Assumptions!$B$28))</f>
        <v/>
      </c>
      <c r="J292">
        <f>Assumptions!$B$29+E292+F292+G292+H292+I292</f>
        <v/>
      </c>
      <c r="K292">
        <f>J292+Assumptions!$B$4/B292</f>
        <v/>
      </c>
      <c r="L292">
        <f>B292</f>
        <v/>
      </c>
    </row>
    <row r="293">
      <c r="A293" t="inlineStr">
        <is>
          <t>cell(0,2) iter 30</t>
        </is>
      </c>
      <c r="B293">
        <f>Assumptions!$B$55/J292</f>
        <v/>
      </c>
      <c r="C293">
        <f>IF(B293&lt;Assumptions!$B$20,Assumptions!$B$20*(Assumptions!$B$29+Assumptions!$B$4/Assumptions!$B$20)/(Assumptions!$B$29+Assumptions!$B$4/B293),Assumptions!$B$20)</f>
        <v/>
      </c>
      <c r="D293">
        <f>IF(B293&lt;Assumptions!$B$21,Assumptions!$B$21*(Assumptions!$B$29+Assumptions!$B$4/Assumptions!$B$21)/(Assumptions!$B$29+Assumptions!$B$4/B293),Assumptions!$B$21)</f>
        <v/>
      </c>
      <c r="E293">
        <f>Assumptions!$B$37*Assumptions!$B$22/C293-Assumptions!$B$38</f>
        <v/>
      </c>
      <c r="F293">
        <f>Assumptions!$B$39*Assumptions!$B$21/D293-Assumptions!$B$39</f>
        <v/>
      </c>
      <c r="G293">
        <f>MAX(0,Assumptions!$B$50*(Assumptions!$B$29+E293+F293+G292+H292+I292+Assumptions!$B$4/B293)-Assumptions!$B$30)</f>
        <v/>
      </c>
      <c r="H293">
        <f>Assumptions!$B$23/MIN(Assumptions!$B$24/(Assumptions!$B$29+E293+F293+G293+I292),B293*(1-Assumptions!$B$25))</f>
        <v/>
      </c>
      <c r="I293">
        <f>Assumptions!$B$26/MIN(Assumptions!$B$27/(Assumptions!$B$29+E293+F293+G293+H293),B293*(1-Assumptions!$B$28))</f>
        <v/>
      </c>
      <c r="J293">
        <f>Assumptions!$B$29+E293+F293+G293+H293+I293</f>
        <v/>
      </c>
      <c r="K293">
        <f>J293+Assumptions!$B$4/B293</f>
        <v/>
      </c>
      <c r="L293">
        <f>B293</f>
        <v/>
      </c>
    </row>
    <row r="294">
      <c r="A294" t="inlineStr">
        <is>
          <t>cell(0,2) iter 31</t>
        </is>
      </c>
      <c r="B294">
        <f>Assumptions!$B$55/J293</f>
        <v/>
      </c>
      <c r="C294">
        <f>IF(B294&lt;Assumptions!$B$20,Assumptions!$B$20*(Assumptions!$B$29+Assumptions!$B$4/Assumptions!$B$20)/(Assumptions!$B$29+Assumptions!$B$4/B294),Assumptions!$B$20)</f>
        <v/>
      </c>
      <c r="D294">
        <f>IF(B294&lt;Assumptions!$B$21,Assumptions!$B$21*(Assumptions!$B$29+Assumptions!$B$4/Assumptions!$B$21)/(Assumptions!$B$29+Assumptions!$B$4/B294),Assumptions!$B$21)</f>
        <v/>
      </c>
      <c r="E294">
        <f>Assumptions!$B$37*Assumptions!$B$22/C294-Assumptions!$B$38</f>
        <v/>
      </c>
      <c r="F294">
        <f>Assumptions!$B$39*Assumptions!$B$21/D294-Assumptions!$B$39</f>
        <v/>
      </c>
      <c r="G294">
        <f>MAX(0,Assumptions!$B$50*(Assumptions!$B$29+E294+F294+G293+H293+I293+Assumptions!$B$4/B294)-Assumptions!$B$30)</f>
        <v/>
      </c>
      <c r="H294">
        <f>Assumptions!$B$23/MIN(Assumptions!$B$24/(Assumptions!$B$29+E294+F294+G294+I293),B294*(1-Assumptions!$B$25))</f>
        <v/>
      </c>
      <c r="I294">
        <f>Assumptions!$B$26/MIN(Assumptions!$B$27/(Assumptions!$B$29+E294+F294+G294+H294),B294*(1-Assumptions!$B$28))</f>
        <v/>
      </c>
      <c r="J294">
        <f>Assumptions!$B$29+E294+F294+G294+H294+I294</f>
        <v/>
      </c>
      <c r="K294">
        <f>J294+Assumptions!$B$4/B294</f>
        <v/>
      </c>
      <c r="L294">
        <f>B294</f>
        <v/>
      </c>
    </row>
    <row r="295">
      <c r="A295" t="inlineStr">
        <is>
          <t>cell(0,2) iter 32</t>
        </is>
      </c>
      <c r="B295">
        <f>Assumptions!$B$55/J294</f>
        <v/>
      </c>
      <c r="C295">
        <f>IF(B295&lt;Assumptions!$B$20,Assumptions!$B$20*(Assumptions!$B$29+Assumptions!$B$4/Assumptions!$B$20)/(Assumptions!$B$29+Assumptions!$B$4/B295),Assumptions!$B$20)</f>
        <v/>
      </c>
      <c r="D295">
        <f>IF(B295&lt;Assumptions!$B$21,Assumptions!$B$21*(Assumptions!$B$29+Assumptions!$B$4/Assumptions!$B$21)/(Assumptions!$B$29+Assumptions!$B$4/B295),Assumptions!$B$21)</f>
        <v/>
      </c>
      <c r="E295">
        <f>Assumptions!$B$37*Assumptions!$B$22/C295-Assumptions!$B$38</f>
        <v/>
      </c>
      <c r="F295">
        <f>Assumptions!$B$39*Assumptions!$B$21/D295-Assumptions!$B$39</f>
        <v/>
      </c>
      <c r="G295">
        <f>MAX(0,Assumptions!$B$50*(Assumptions!$B$29+E295+F295+G294+H294+I294+Assumptions!$B$4/B295)-Assumptions!$B$30)</f>
        <v/>
      </c>
      <c r="H295">
        <f>Assumptions!$B$23/MIN(Assumptions!$B$24/(Assumptions!$B$29+E295+F295+G295+I294),B295*(1-Assumptions!$B$25))</f>
        <v/>
      </c>
      <c r="I295">
        <f>Assumptions!$B$26/MIN(Assumptions!$B$27/(Assumptions!$B$29+E295+F295+G295+H295),B295*(1-Assumptions!$B$28))</f>
        <v/>
      </c>
      <c r="J295">
        <f>Assumptions!$B$29+E295+F295+G295+H295+I295</f>
        <v/>
      </c>
      <c r="K295">
        <f>J295+Assumptions!$B$4/B295</f>
        <v/>
      </c>
      <c r="L295">
        <f>B295</f>
        <v/>
      </c>
    </row>
    <row r="296">
      <c r="A296" t="inlineStr">
        <is>
          <t>cell(0,2) iter 33</t>
        </is>
      </c>
      <c r="B296">
        <f>Assumptions!$B$55/J295</f>
        <v/>
      </c>
      <c r="C296">
        <f>IF(B296&lt;Assumptions!$B$20,Assumptions!$B$20*(Assumptions!$B$29+Assumptions!$B$4/Assumptions!$B$20)/(Assumptions!$B$29+Assumptions!$B$4/B296),Assumptions!$B$20)</f>
        <v/>
      </c>
      <c r="D296">
        <f>IF(B296&lt;Assumptions!$B$21,Assumptions!$B$21*(Assumptions!$B$29+Assumptions!$B$4/Assumptions!$B$21)/(Assumptions!$B$29+Assumptions!$B$4/B296),Assumptions!$B$21)</f>
        <v/>
      </c>
      <c r="E296">
        <f>Assumptions!$B$37*Assumptions!$B$22/C296-Assumptions!$B$38</f>
        <v/>
      </c>
      <c r="F296">
        <f>Assumptions!$B$39*Assumptions!$B$21/D296-Assumptions!$B$39</f>
        <v/>
      </c>
      <c r="G296">
        <f>MAX(0,Assumptions!$B$50*(Assumptions!$B$29+E296+F296+G295+H295+I295+Assumptions!$B$4/B296)-Assumptions!$B$30)</f>
        <v/>
      </c>
      <c r="H296">
        <f>Assumptions!$B$23/MIN(Assumptions!$B$24/(Assumptions!$B$29+E296+F296+G296+I295),B296*(1-Assumptions!$B$25))</f>
        <v/>
      </c>
      <c r="I296">
        <f>Assumptions!$B$26/MIN(Assumptions!$B$27/(Assumptions!$B$29+E296+F296+G296+H296),B296*(1-Assumptions!$B$28))</f>
        <v/>
      </c>
      <c r="J296">
        <f>Assumptions!$B$29+E296+F296+G296+H296+I296</f>
        <v/>
      </c>
      <c r="K296">
        <f>J296+Assumptions!$B$4/B296</f>
        <v/>
      </c>
      <c r="L296">
        <f>B296</f>
        <v/>
      </c>
    </row>
    <row r="297">
      <c r="A297" t="inlineStr">
        <is>
          <t>cell(0,2) iter 34</t>
        </is>
      </c>
      <c r="B297">
        <f>Assumptions!$B$55/J296</f>
        <v/>
      </c>
      <c r="C297">
        <f>IF(B297&lt;Assumptions!$B$20,Assumptions!$B$20*(Assumptions!$B$29+Assumptions!$B$4/Assumptions!$B$20)/(Assumptions!$B$29+Assumptions!$B$4/B297),Assumptions!$B$20)</f>
        <v/>
      </c>
      <c r="D297">
        <f>IF(B297&lt;Assumptions!$B$21,Assumptions!$B$21*(Assumptions!$B$29+Assumptions!$B$4/Assumptions!$B$21)/(Assumptions!$B$29+Assumptions!$B$4/B297),Assumptions!$B$21)</f>
        <v/>
      </c>
      <c r="E297">
        <f>Assumptions!$B$37*Assumptions!$B$22/C297-Assumptions!$B$38</f>
        <v/>
      </c>
      <c r="F297">
        <f>Assumptions!$B$39*Assumptions!$B$21/D297-Assumptions!$B$39</f>
        <v/>
      </c>
      <c r="G297">
        <f>MAX(0,Assumptions!$B$50*(Assumptions!$B$29+E297+F297+G296+H296+I296+Assumptions!$B$4/B297)-Assumptions!$B$30)</f>
        <v/>
      </c>
      <c r="H297">
        <f>Assumptions!$B$23/MIN(Assumptions!$B$24/(Assumptions!$B$29+E297+F297+G297+I296),B297*(1-Assumptions!$B$25))</f>
        <v/>
      </c>
      <c r="I297">
        <f>Assumptions!$B$26/MIN(Assumptions!$B$27/(Assumptions!$B$29+E297+F297+G297+H297),B297*(1-Assumptions!$B$28))</f>
        <v/>
      </c>
      <c r="J297">
        <f>Assumptions!$B$29+E297+F297+G297+H297+I297</f>
        <v/>
      </c>
      <c r="K297">
        <f>J297+Assumptions!$B$4/B297</f>
        <v/>
      </c>
      <c r="L297">
        <f>B297</f>
        <v/>
      </c>
    </row>
    <row r="298">
      <c r="A298" t="inlineStr">
        <is>
          <t>cell(0,2) iter 35</t>
        </is>
      </c>
      <c r="B298">
        <f>Assumptions!$B$55/J297</f>
        <v/>
      </c>
      <c r="C298">
        <f>IF(B298&lt;Assumptions!$B$20,Assumptions!$B$20*(Assumptions!$B$29+Assumptions!$B$4/Assumptions!$B$20)/(Assumptions!$B$29+Assumptions!$B$4/B298),Assumptions!$B$20)</f>
        <v/>
      </c>
      <c r="D298">
        <f>IF(B298&lt;Assumptions!$B$21,Assumptions!$B$21*(Assumptions!$B$29+Assumptions!$B$4/Assumptions!$B$21)/(Assumptions!$B$29+Assumptions!$B$4/B298),Assumptions!$B$21)</f>
        <v/>
      </c>
      <c r="E298">
        <f>Assumptions!$B$37*Assumptions!$B$22/C298-Assumptions!$B$38</f>
        <v/>
      </c>
      <c r="F298">
        <f>Assumptions!$B$39*Assumptions!$B$21/D298-Assumptions!$B$39</f>
        <v/>
      </c>
      <c r="G298">
        <f>MAX(0,Assumptions!$B$50*(Assumptions!$B$29+E298+F298+G297+H297+I297+Assumptions!$B$4/B298)-Assumptions!$B$30)</f>
        <v/>
      </c>
      <c r="H298">
        <f>Assumptions!$B$23/MIN(Assumptions!$B$24/(Assumptions!$B$29+E298+F298+G298+I297),B298*(1-Assumptions!$B$25))</f>
        <v/>
      </c>
      <c r="I298">
        <f>Assumptions!$B$26/MIN(Assumptions!$B$27/(Assumptions!$B$29+E298+F298+G298+H298),B298*(1-Assumptions!$B$28))</f>
        <v/>
      </c>
      <c r="J298">
        <f>Assumptions!$B$29+E298+F298+G298+H298+I298</f>
        <v/>
      </c>
      <c r="K298">
        <f>J298+Assumptions!$B$4/B298</f>
        <v/>
      </c>
      <c r="L298">
        <f>B298</f>
        <v/>
      </c>
    </row>
    <row r="299">
      <c r="A299" t="inlineStr">
        <is>
          <t>cell(0,2) iter 36</t>
        </is>
      </c>
      <c r="B299">
        <f>Assumptions!$B$55/J298</f>
        <v/>
      </c>
      <c r="C299">
        <f>IF(B299&lt;Assumptions!$B$20,Assumptions!$B$20*(Assumptions!$B$29+Assumptions!$B$4/Assumptions!$B$20)/(Assumptions!$B$29+Assumptions!$B$4/B299),Assumptions!$B$20)</f>
        <v/>
      </c>
      <c r="D299">
        <f>IF(B299&lt;Assumptions!$B$21,Assumptions!$B$21*(Assumptions!$B$29+Assumptions!$B$4/Assumptions!$B$21)/(Assumptions!$B$29+Assumptions!$B$4/B299),Assumptions!$B$21)</f>
        <v/>
      </c>
      <c r="E299">
        <f>Assumptions!$B$37*Assumptions!$B$22/C299-Assumptions!$B$38</f>
        <v/>
      </c>
      <c r="F299">
        <f>Assumptions!$B$39*Assumptions!$B$21/D299-Assumptions!$B$39</f>
        <v/>
      </c>
      <c r="G299">
        <f>MAX(0,Assumptions!$B$50*(Assumptions!$B$29+E299+F299+G298+H298+I298+Assumptions!$B$4/B299)-Assumptions!$B$30)</f>
        <v/>
      </c>
      <c r="H299">
        <f>Assumptions!$B$23/MIN(Assumptions!$B$24/(Assumptions!$B$29+E299+F299+G299+I298),B299*(1-Assumptions!$B$25))</f>
        <v/>
      </c>
      <c r="I299">
        <f>Assumptions!$B$26/MIN(Assumptions!$B$27/(Assumptions!$B$29+E299+F299+G299+H299),B299*(1-Assumptions!$B$28))</f>
        <v/>
      </c>
      <c r="J299">
        <f>Assumptions!$B$29+E299+F299+G299+H299+I299</f>
        <v/>
      </c>
      <c r="K299">
        <f>J299+Assumptions!$B$4/B299</f>
        <v/>
      </c>
      <c r="L299">
        <f>B299</f>
        <v/>
      </c>
    </row>
    <row r="300">
      <c r="A300" t="inlineStr">
        <is>
          <t>cell(0,2) iter 37</t>
        </is>
      </c>
      <c r="B300">
        <f>Assumptions!$B$55/J299</f>
        <v/>
      </c>
      <c r="C300">
        <f>IF(B300&lt;Assumptions!$B$20,Assumptions!$B$20*(Assumptions!$B$29+Assumptions!$B$4/Assumptions!$B$20)/(Assumptions!$B$29+Assumptions!$B$4/B300),Assumptions!$B$20)</f>
        <v/>
      </c>
      <c r="D300">
        <f>IF(B300&lt;Assumptions!$B$21,Assumptions!$B$21*(Assumptions!$B$29+Assumptions!$B$4/Assumptions!$B$21)/(Assumptions!$B$29+Assumptions!$B$4/B300),Assumptions!$B$21)</f>
        <v/>
      </c>
      <c r="E300">
        <f>Assumptions!$B$37*Assumptions!$B$22/C300-Assumptions!$B$38</f>
        <v/>
      </c>
      <c r="F300">
        <f>Assumptions!$B$39*Assumptions!$B$21/D300-Assumptions!$B$39</f>
        <v/>
      </c>
      <c r="G300">
        <f>MAX(0,Assumptions!$B$50*(Assumptions!$B$29+E300+F300+G299+H299+I299+Assumptions!$B$4/B300)-Assumptions!$B$30)</f>
        <v/>
      </c>
      <c r="H300">
        <f>Assumptions!$B$23/MIN(Assumptions!$B$24/(Assumptions!$B$29+E300+F300+G300+I299),B300*(1-Assumptions!$B$25))</f>
        <v/>
      </c>
      <c r="I300">
        <f>Assumptions!$B$26/MIN(Assumptions!$B$27/(Assumptions!$B$29+E300+F300+G300+H300),B300*(1-Assumptions!$B$28))</f>
        <v/>
      </c>
      <c r="J300">
        <f>Assumptions!$B$29+E300+F300+G300+H300+I300</f>
        <v/>
      </c>
      <c r="K300">
        <f>J300+Assumptions!$B$4/B300</f>
        <v/>
      </c>
      <c r="L300">
        <f>B300</f>
        <v/>
      </c>
    </row>
    <row r="301">
      <c r="A301" t="inlineStr">
        <is>
          <t>cell(0,2) iter 38</t>
        </is>
      </c>
      <c r="B301">
        <f>Assumptions!$B$55/J300</f>
        <v/>
      </c>
      <c r="C301">
        <f>IF(B301&lt;Assumptions!$B$20,Assumptions!$B$20*(Assumptions!$B$29+Assumptions!$B$4/Assumptions!$B$20)/(Assumptions!$B$29+Assumptions!$B$4/B301),Assumptions!$B$20)</f>
        <v/>
      </c>
      <c r="D301">
        <f>IF(B301&lt;Assumptions!$B$21,Assumptions!$B$21*(Assumptions!$B$29+Assumptions!$B$4/Assumptions!$B$21)/(Assumptions!$B$29+Assumptions!$B$4/B301),Assumptions!$B$21)</f>
        <v/>
      </c>
      <c r="E301">
        <f>Assumptions!$B$37*Assumptions!$B$22/C301-Assumptions!$B$38</f>
        <v/>
      </c>
      <c r="F301">
        <f>Assumptions!$B$39*Assumptions!$B$21/D301-Assumptions!$B$39</f>
        <v/>
      </c>
      <c r="G301">
        <f>MAX(0,Assumptions!$B$50*(Assumptions!$B$29+E301+F301+G300+H300+I300+Assumptions!$B$4/B301)-Assumptions!$B$30)</f>
        <v/>
      </c>
      <c r="H301">
        <f>Assumptions!$B$23/MIN(Assumptions!$B$24/(Assumptions!$B$29+E301+F301+G301+I300),B301*(1-Assumptions!$B$25))</f>
        <v/>
      </c>
      <c r="I301">
        <f>Assumptions!$B$26/MIN(Assumptions!$B$27/(Assumptions!$B$29+E301+F301+G301+H301),B301*(1-Assumptions!$B$28))</f>
        <v/>
      </c>
      <c r="J301">
        <f>Assumptions!$B$29+E301+F301+G301+H301+I301</f>
        <v/>
      </c>
      <c r="K301">
        <f>J301+Assumptions!$B$4/B301</f>
        <v/>
      </c>
      <c r="L301">
        <f>B301</f>
        <v/>
      </c>
    </row>
    <row r="302">
      <c r="A302" t="inlineStr">
        <is>
          <t>cell(0,2) iter 39</t>
        </is>
      </c>
      <c r="B302">
        <f>Assumptions!$B$55/J301</f>
        <v/>
      </c>
      <c r="C302">
        <f>IF(B302&lt;Assumptions!$B$20,Assumptions!$B$20*(Assumptions!$B$29+Assumptions!$B$4/Assumptions!$B$20)/(Assumptions!$B$29+Assumptions!$B$4/B302),Assumptions!$B$20)</f>
        <v/>
      </c>
      <c r="D302">
        <f>IF(B302&lt;Assumptions!$B$21,Assumptions!$B$21*(Assumptions!$B$29+Assumptions!$B$4/Assumptions!$B$21)/(Assumptions!$B$29+Assumptions!$B$4/B302),Assumptions!$B$21)</f>
        <v/>
      </c>
      <c r="E302">
        <f>Assumptions!$B$37*Assumptions!$B$22/C302-Assumptions!$B$38</f>
        <v/>
      </c>
      <c r="F302">
        <f>Assumptions!$B$39*Assumptions!$B$21/D302-Assumptions!$B$39</f>
        <v/>
      </c>
      <c r="G302">
        <f>MAX(0,Assumptions!$B$50*(Assumptions!$B$29+E302+F302+G301+H301+I301+Assumptions!$B$4/B302)-Assumptions!$B$30)</f>
        <v/>
      </c>
      <c r="H302">
        <f>Assumptions!$B$23/MIN(Assumptions!$B$24/(Assumptions!$B$29+E302+F302+G302+I301),B302*(1-Assumptions!$B$25))</f>
        <v/>
      </c>
      <c r="I302">
        <f>Assumptions!$B$26/MIN(Assumptions!$B$27/(Assumptions!$B$29+E302+F302+G302+H302),B302*(1-Assumptions!$B$28))</f>
        <v/>
      </c>
      <c r="J302">
        <f>Assumptions!$B$29+E302+F302+G302+H302+I302</f>
        <v/>
      </c>
      <c r="K302">
        <f>J302+Assumptions!$B$4/B302</f>
        <v/>
      </c>
      <c r="L302">
        <f>B302</f>
        <v/>
      </c>
    </row>
    <row r="303">
      <c r="A303" t="inlineStr">
        <is>
          <t>cell(0,2) iter 40</t>
        </is>
      </c>
      <c r="B303">
        <f>Assumptions!$B$55/J302</f>
        <v/>
      </c>
      <c r="C303">
        <f>IF(B303&lt;Assumptions!$B$20,Assumptions!$B$20*(Assumptions!$B$29+Assumptions!$B$4/Assumptions!$B$20)/(Assumptions!$B$29+Assumptions!$B$4/B303),Assumptions!$B$20)</f>
        <v/>
      </c>
      <c r="D303">
        <f>IF(B303&lt;Assumptions!$B$21,Assumptions!$B$21*(Assumptions!$B$29+Assumptions!$B$4/Assumptions!$B$21)/(Assumptions!$B$29+Assumptions!$B$4/B303),Assumptions!$B$21)</f>
        <v/>
      </c>
      <c r="E303">
        <f>Assumptions!$B$37*Assumptions!$B$22/C303-Assumptions!$B$38</f>
        <v/>
      </c>
      <c r="F303">
        <f>Assumptions!$B$39*Assumptions!$B$21/D303-Assumptions!$B$39</f>
        <v/>
      </c>
      <c r="G303">
        <f>MAX(0,Assumptions!$B$50*(Assumptions!$B$29+E303+F303+G302+H302+I302+Assumptions!$B$4/B303)-Assumptions!$B$30)</f>
        <v/>
      </c>
      <c r="H303">
        <f>Assumptions!$B$23/MIN(Assumptions!$B$24/(Assumptions!$B$29+E303+F303+G303+I302),B303*(1-Assumptions!$B$25))</f>
        <v/>
      </c>
      <c r="I303">
        <f>Assumptions!$B$26/MIN(Assumptions!$B$27/(Assumptions!$B$29+E303+F303+G303+H303),B303*(1-Assumptions!$B$28))</f>
        <v/>
      </c>
      <c r="J303">
        <f>Assumptions!$B$29+E303+F303+G303+H303+I303</f>
        <v/>
      </c>
      <c r="K303">
        <f>J303+Assumptions!$B$4/B303</f>
        <v/>
      </c>
      <c r="L303">
        <f>B303</f>
        <v/>
      </c>
    </row>
    <row r="304">
      <c r="A304" t="inlineStr">
        <is>
          <t>cell(0,2) iter 41</t>
        </is>
      </c>
      <c r="B304">
        <f>Assumptions!$B$55/J303</f>
        <v/>
      </c>
      <c r="C304">
        <f>IF(B304&lt;Assumptions!$B$20,Assumptions!$B$20*(Assumptions!$B$29+Assumptions!$B$4/Assumptions!$B$20)/(Assumptions!$B$29+Assumptions!$B$4/B304),Assumptions!$B$20)</f>
        <v/>
      </c>
      <c r="D304">
        <f>IF(B304&lt;Assumptions!$B$21,Assumptions!$B$21*(Assumptions!$B$29+Assumptions!$B$4/Assumptions!$B$21)/(Assumptions!$B$29+Assumptions!$B$4/B304),Assumptions!$B$21)</f>
        <v/>
      </c>
      <c r="E304">
        <f>Assumptions!$B$37*Assumptions!$B$22/C304-Assumptions!$B$38</f>
        <v/>
      </c>
      <c r="F304">
        <f>Assumptions!$B$39*Assumptions!$B$21/D304-Assumptions!$B$39</f>
        <v/>
      </c>
      <c r="G304">
        <f>MAX(0,Assumptions!$B$50*(Assumptions!$B$29+E304+F304+G303+H303+I303+Assumptions!$B$4/B304)-Assumptions!$B$30)</f>
        <v/>
      </c>
      <c r="H304">
        <f>Assumptions!$B$23/MIN(Assumptions!$B$24/(Assumptions!$B$29+E304+F304+G304+I303),B304*(1-Assumptions!$B$25))</f>
        <v/>
      </c>
      <c r="I304">
        <f>Assumptions!$B$26/MIN(Assumptions!$B$27/(Assumptions!$B$29+E304+F304+G304+H304),B304*(1-Assumptions!$B$28))</f>
        <v/>
      </c>
      <c r="J304">
        <f>Assumptions!$B$29+E304+F304+G304+H304+I304</f>
        <v/>
      </c>
      <c r="K304">
        <f>J304+Assumptions!$B$4/B304</f>
        <v/>
      </c>
      <c r="L304">
        <f>B304</f>
        <v/>
      </c>
    </row>
    <row r="305">
      <c r="A305" t="inlineStr">
        <is>
          <t>cell(0,2) iter 42</t>
        </is>
      </c>
      <c r="B305">
        <f>Assumptions!$B$55/J304</f>
        <v/>
      </c>
      <c r="C305">
        <f>IF(B305&lt;Assumptions!$B$20,Assumptions!$B$20*(Assumptions!$B$29+Assumptions!$B$4/Assumptions!$B$20)/(Assumptions!$B$29+Assumptions!$B$4/B305),Assumptions!$B$20)</f>
        <v/>
      </c>
      <c r="D305">
        <f>IF(B305&lt;Assumptions!$B$21,Assumptions!$B$21*(Assumptions!$B$29+Assumptions!$B$4/Assumptions!$B$21)/(Assumptions!$B$29+Assumptions!$B$4/B305),Assumptions!$B$21)</f>
        <v/>
      </c>
      <c r="E305">
        <f>Assumptions!$B$37*Assumptions!$B$22/C305-Assumptions!$B$38</f>
        <v/>
      </c>
      <c r="F305">
        <f>Assumptions!$B$39*Assumptions!$B$21/D305-Assumptions!$B$39</f>
        <v/>
      </c>
      <c r="G305">
        <f>MAX(0,Assumptions!$B$50*(Assumptions!$B$29+E305+F305+G304+H304+I304+Assumptions!$B$4/B305)-Assumptions!$B$30)</f>
        <v/>
      </c>
      <c r="H305">
        <f>Assumptions!$B$23/MIN(Assumptions!$B$24/(Assumptions!$B$29+E305+F305+G305+I304),B305*(1-Assumptions!$B$25))</f>
        <v/>
      </c>
      <c r="I305">
        <f>Assumptions!$B$26/MIN(Assumptions!$B$27/(Assumptions!$B$29+E305+F305+G305+H305),B305*(1-Assumptions!$B$28))</f>
        <v/>
      </c>
      <c r="J305">
        <f>Assumptions!$B$29+E305+F305+G305+H305+I305</f>
        <v/>
      </c>
      <c r="K305">
        <f>J305+Assumptions!$B$4/B305</f>
        <v/>
      </c>
      <c r="L305">
        <f>B305</f>
        <v/>
      </c>
    </row>
    <row r="306">
      <c r="A306" t="inlineStr">
        <is>
          <t>cell(0,2) iter 43</t>
        </is>
      </c>
      <c r="B306">
        <f>Assumptions!$B$55/J305</f>
        <v/>
      </c>
      <c r="C306">
        <f>IF(B306&lt;Assumptions!$B$20,Assumptions!$B$20*(Assumptions!$B$29+Assumptions!$B$4/Assumptions!$B$20)/(Assumptions!$B$29+Assumptions!$B$4/B306),Assumptions!$B$20)</f>
        <v/>
      </c>
      <c r="D306">
        <f>IF(B306&lt;Assumptions!$B$21,Assumptions!$B$21*(Assumptions!$B$29+Assumptions!$B$4/Assumptions!$B$21)/(Assumptions!$B$29+Assumptions!$B$4/B306),Assumptions!$B$21)</f>
        <v/>
      </c>
      <c r="E306">
        <f>Assumptions!$B$37*Assumptions!$B$22/C306-Assumptions!$B$38</f>
        <v/>
      </c>
      <c r="F306">
        <f>Assumptions!$B$39*Assumptions!$B$21/D306-Assumptions!$B$39</f>
        <v/>
      </c>
      <c r="G306">
        <f>MAX(0,Assumptions!$B$50*(Assumptions!$B$29+E306+F306+G305+H305+I305+Assumptions!$B$4/B306)-Assumptions!$B$30)</f>
        <v/>
      </c>
      <c r="H306">
        <f>Assumptions!$B$23/MIN(Assumptions!$B$24/(Assumptions!$B$29+E306+F306+G306+I305),B306*(1-Assumptions!$B$25))</f>
        <v/>
      </c>
      <c r="I306">
        <f>Assumptions!$B$26/MIN(Assumptions!$B$27/(Assumptions!$B$29+E306+F306+G306+H306),B306*(1-Assumptions!$B$28))</f>
        <v/>
      </c>
      <c r="J306">
        <f>Assumptions!$B$29+E306+F306+G306+H306+I306</f>
        <v/>
      </c>
      <c r="K306">
        <f>J306+Assumptions!$B$4/B306</f>
        <v/>
      </c>
      <c r="L306">
        <f>B306</f>
        <v/>
      </c>
    </row>
    <row r="307">
      <c r="A307" t="inlineStr">
        <is>
          <t>cell(0,2) iter 44</t>
        </is>
      </c>
      <c r="B307">
        <f>Assumptions!$B$55/J306</f>
        <v/>
      </c>
      <c r="C307">
        <f>IF(B307&lt;Assumptions!$B$20,Assumptions!$B$20*(Assumptions!$B$29+Assumptions!$B$4/Assumptions!$B$20)/(Assumptions!$B$29+Assumptions!$B$4/B307),Assumptions!$B$20)</f>
        <v/>
      </c>
      <c r="D307">
        <f>IF(B307&lt;Assumptions!$B$21,Assumptions!$B$21*(Assumptions!$B$29+Assumptions!$B$4/Assumptions!$B$21)/(Assumptions!$B$29+Assumptions!$B$4/B307),Assumptions!$B$21)</f>
        <v/>
      </c>
      <c r="E307">
        <f>Assumptions!$B$37*Assumptions!$B$22/C307-Assumptions!$B$38</f>
        <v/>
      </c>
      <c r="F307">
        <f>Assumptions!$B$39*Assumptions!$B$21/D307-Assumptions!$B$39</f>
        <v/>
      </c>
      <c r="G307">
        <f>MAX(0,Assumptions!$B$50*(Assumptions!$B$29+E307+F307+G306+H306+I306+Assumptions!$B$4/B307)-Assumptions!$B$30)</f>
        <v/>
      </c>
      <c r="H307">
        <f>Assumptions!$B$23/MIN(Assumptions!$B$24/(Assumptions!$B$29+E307+F307+G307+I306),B307*(1-Assumptions!$B$25))</f>
        <v/>
      </c>
      <c r="I307">
        <f>Assumptions!$B$26/MIN(Assumptions!$B$27/(Assumptions!$B$29+E307+F307+G307+H307),B307*(1-Assumptions!$B$28))</f>
        <v/>
      </c>
      <c r="J307">
        <f>Assumptions!$B$29+E307+F307+G307+H307+I307</f>
        <v/>
      </c>
      <c r="K307">
        <f>J307+Assumptions!$B$4/B307</f>
        <v/>
      </c>
      <c r="L307">
        <f>B307</f>
        <v/>
      </c>
    </row>
    <row r="308">
      <c r="A308" t="inlineStr">
        <is>
          <t>cell(0,2) iter 45</t>
        </is>
      </c>
      <c r="B308">
        <f>Assumptions!$B$55/J307</f>
        <v/>
      </c>
      <c r="C308">
        <f>IF(B308&lt;Assumptions!$B$20,Assumptions!$B$20*(Assumptions!$B$29+Assumptions!$B$4/Assumptions!$B$20)/(Assumptions!$B$29+Assumptions!$B$4/B308),Assumptions!$B$20)</f>
        <v/>
      </c>
      <c r="D308">
        <f>IF(B308&lt;Assumptions!$B$21,Assumptions!$B$21*(Assumptions!$B$29+Assumptions!$B$4/Assumptions!$B$21)/(Assumptions!$B$29+Assumptions!$B$4/B308),Assumptions!$B$21)</f>
        <v/>
      </c>
      <c r="E308">
        <f>Assumptions!$B$37*Assumptions!$B$22/C308-Assumptions!$B$38</f>
        <v/>
      </c>
      <c r="F308">
        <f>Assumptions!$B$39*Assumptions!$B$21/D308-Assumptions!$B$39</f>
        <v/>
      </c>
      <c r="G308">
        <f>MAX(0,Assumptions!$B$50*(Assumptions!$B$29+E308+F308+G307+H307+I307+Assumptions!$B$4/B308)-Assumptions!$B$30)</f>
        <v/>
      </c>
      <c r="H308">
        <f>Assumptions!$B$23/MIN(Assumptions!$B$24/(Assumptions!$B$29+E308+F308+G308+I307),B308*(1-Assumptions!$B$25))</f>
        <v/>
      </c>
      <c r="I308">
        <f>Assumptions!$B$26/MIN(Assumptions!$B$27/(Assumptions!$B$29+E308+F308+G308+H308),B308*(1-Assumptions!$B$28))</f>
        <v/>
      </c>
      <c r="J308">
        <f>Assumptions!$B$29+E308+F308+G308+H308+I308</f>
        <v/>
      </c>
      <c r="K308">
        <f>J308+Assumptions!$B$4/B308</f>
        <v/>
      </c>
      <c r="L308">
        <f>B308</f>
        <v/>
      </c>
    </row>
    <row r="309">
      <c r="A309" t="inlineStr">
        <is>
          <t>cell(0,2) iter 46</t>
        </is>
      </c>
      <c r="B309">
        <f>Assumptions!$B$55/J308</f>
        <v/>
      </c>
      <c r="C309">
        <f>IF(B309&lt;Assumptions!$B$20,Assumptions!$B$20*(Assumptions!$B$29+Assumptions!$B$4/Assumptions!$B$20)/(Assumptions!$B$29+Assumptions!$B$4/B309),Assumptions!$B$20)</f>
        <v/>
      </c>
      <c r="D309">
        <f>IF(B309&lt;Assumptions!$B$21,Assumptions!$B$21*(Assumptions!$B$29+Assumptions!$B$4/Assumptions!$B$21)/(Assumptions!$B$29+Assumptions!$B$4/B309),Assumptions!$B$21)</f>
        <v/>
      </c>
      <c r="E309">
        <f>Assumptions!$B$37*Assumptions!$B$22/C309-Assumptions!$B$38</f>
        <v/>
      </c>
      <c r="F309">
        <f>Assumptions!$B$39*Assumptions!$B$21/D309-Assumptions!$B$39</f>
        <v/>
      </c>
      <c r="G309">
        <f>MAX(0,Assumptions!$B$50*(Assumptions!$B$29+E309+F309+G308+H308+I308+Assumptions!$B$4/B309)-Assumptions!$B$30)</f>
        <v/>
      </c>
      <c r="H309">
        <f>Assumptions!$B$23/MIN(Assumptions!$B$24/(Assumptions!$B$29+E309+F309+G309+I308),B309*(1-Assumptions!$B$25))</f>
        <v/>
      </c>
      <c r="I309">
        <f>Assumptions!$B$26/MIN(Assumptions!$B$27/(Assumptions!$B$29+E309+F309+G309+H309),B309*(1-Assumptions!$B$28))</f>
        <v/>
      </c>
      <c r="J309">
        <f>Assumptions!$B$29+E309+F309+G309+H309+I309</f>
        <v/>
      </c>
      <c r="K309">
        <f>J309+Assumptions!$B$4/B309</f>
        <v/>
      </c>
      <c r="L309">
        <f>B309</f>
        <v/>
      </c>
    </row>
    <row r="310">
      <c r="A310" t="inlineStr">
        <is>
          <t>cell(0,2) iter 47</t>
        </is>
      </c>
      <c r="B310">
        <f>Assumptions!$B$55/J309</f>
        <v/>
      </c>
      <c r="C310">
        <f>IF(B310&lt;Assumptions!$B$20,Assumptions!$B$20*(Assumptions!$B$29+Assumptions!$B$4/Assumptions!$B$20)/(Assumptions!$B$29+Assumptions!$B$4/B310),Assumptions!$B$20)</f>
        <v/>
      </c>
      <c r="D310">
        <f>IF(B310&lt;Assumptions!$B$21,Assumptions!$B$21*(Assumptions!$B$29+Assumptions!$B$4/Assumptions!$B$21)/(Assumptions!$B$29+Assumptions!$B$4/B310),Assumptions!$B$21)</f>
        <v/>
      </c>
      <c r="E310">
        <f>Assumptions!$B$37*Assumptions!$B$22/C310-Assumptions!$B$38</f>
        <v/>
      </c>
      <c r="F310">
        <f>Assumptions!$B$39*Assumptions!$B$21/D310-Assumptions!$B$39</f>
        <v/>
      </c>
      <c r="G310">
        <f>MAX(0,Assumptions!$B$50*(Assumptions!$B$29+E310+F310+G309+H309+I309+Assumptions!$B$4/B310)-Assumptions!$B$30)</f>
        <v/>
      </c>
      <c r="H310">
        <f>Assumptions!$B$23/MIN(Assumptions!$B$24/(Assumptions!$B$29+E310+F310+G310+I309),B310*(1-Assumptions!$B$25))</f>
        <v/>
      </c>
      <c r="I310">
        <f>Assumptions!$B$26/MIN(Assumptions!$B$27/(Assumptions!$B$29+E310+F310+G310+H310),B310*(1-Assumptions!$B$28))</f>
        <v/>
      </c>
      <c r="J310">
        <f>Assumptions!$B$29+E310+F310+G310+H310+I310</f>
        <v/>
      </c>
      <c r="K310">
        <f>J310+Assumptions!$B$4/B310</f>
        <v/>
      </c>
      <c r="L310">
        <f>B310</f>
        <v/>
      </c>
    </row>
    <row r="311">
      <c r="A311" t="inlineStr">
        <is>
          <t>cell(0,2) iter 48</t>
        </is>
      </c>
      <c r="B311">
        <f>Assumptions!$B$55/J310</f>
        <v/>
      </c>
      <c r="C311">
        <f>IF(B311&lt;Assumptions!$B$20,Assumptions!$B$20*(Assumptions!$B$29+Assumptions!$B$4/Assumptions!$B$20)/(Assumptions!$B$29+Assumptions!$B$4/B311),Assumptions!$B$20)</f>
        <v/>
      </c>
      <c r="D311">
        <f>IF(B311&lt;Assumptions!$B$21,Assumptions!$B$21*(Assumptions!$B$29+Assumptions!$B$4/Assumptions!$B$21)/(Assumptions!$B$29+Assumptions!$B$4/B311),Assumptions!$B$21)</f>
        <v/>
      </c>
      <c r="E311">
        <f>Assumptions!$B$37*Assumptions!$B$22/C311-Assumptions!$B$38</f>
        <v/>
      </c>
      <c r="F311">
        <f>Assumptions!$B$39*Assumptions!$B$21/D311-Assumptions!$B$39</f>
        <v/>
      </c>
      <c r="G311">
        <f>MAX(0,Assumptions!$B$50*(Assumptions!$B$29+E311+F311+G310+H310+I310+Assumptions!$B$4/B311)-Assumptions!$B$30)</f>
        <v/>
      </c>
      <c r="H311">
        <f>Assumptions!$B$23/MIN(Assumptions!$B$24/(Assumptions!$B$29+E311+F311+G311+I310),B311*(1-Assumptions!$B$25))</f>
        <v/>
      </c>
      <c r="I311">
        <f>Assumptions!$B$26/MIN(Assumptions!$B$27/(Assumptions!$B$29+E311+F311+G311+H311),B311*(1-Assumptions!$B$28))</f>
        <v/>
      </c>
      <c r="J311">
        <f>Assumptions!$B$29+E311+F311+G311+H311+I311</f>
        <v/>
      </c>
      <c r="K311">
        <f>J311+Assumptions!$B$4/B311</f>
        <v/>
      </c>
      <c r="L311">
        <f>B311</f>
        <v/>
      </c>
    </row>
    <row r="312">
      <c r="A312" t="inlineStr">
        <is>
          <t>cell(0,2) iter 49</t>
        </is>
      </c>
      <c r="B312">
        <f>Assumptions!$B$55/J311</f>
        <v/>
      </c>
      <c r="C312">
        <f>IF(B312&lt;Assumptions!$B$20,Assumptions!$B$20*(Assumptions!$B$29+Assumptions!$B$4/Assumptions!$B$20)/(Assumptions!$B$29+Assumptions!$B$4/B312),Assumptions!$B$20)</f>
        <v/>
      </c>
      <c r="D312">
        <f>IF(B312&lt;Assumptions!$B$21,Assumptions!$B$21*(Assumptions!$B$29+Assumptions!$B$4/Assumptions!$B$21)/(Assumptions!$B$29+Assumptions!$B$4/B312),Assumptions!$B$21)</f>
        <v/>
      </c>
      <c r="E312">
        <f>Assumptions!$B$37*Assumptions!$B$22/C312-Assumptions!$B$38</f>
        <v/>
      </c>
      <c r="F312">
        <f>Assumptions!$B$39*Assumptions!$B$21/D312-Assumptions!$B$39</f>
        <v/>
      </c>
      <c r="G312">
        <f>MAX(0,Assumptions!$B$50*(Assumptions!$B$29+E312+F312+G311+H311+I311+Assumptions!$B$4/B312)-Assumptions!$B$30)</f>
        <v/>
      </c>
      <c r="H312">
        <f>Assumptions!$B$23/MIN(Assumptions!$B$24/(Assumptions!$B$29+E312+F312+G312+I311),B312*(1-Assumptions!$B$25))</f>
        <v/>
      </c>
      <c r="I312">
        <f>Assumptions!$B$26/MIN(Assumptions!$B$27/(Assumptions!$B$29+E312+F312+G312+H312),B312*(1-Assumptions!$B$28))</f>
        <v/>
      </c>
      <c r="J312">
        <f>Assumptions!$B$29+E312+F312+G312+H312+I312</f>
        <v/>
      </c>
      <c r="K312">
        <f>J312+Assumptions!$B$4/B312</f>
        <v/>
      </c>
      <c r="L312">
        <f>B312</f>
        <v/>
      </c>
    </row>
    <row r="313">
      <c r="A313" t="inlineStr">
        <is>
          <t>cell(0,2) iter 50</t>
        </is>
      </c>
      <c r="B313">
        <f>Assumptions!$B$55/J312</f>
        <v/>
      </c>
      <c r="C313">
        <f>IF(B313&lt;Assumptions!$B$20,Assumptions!$B$20*(Assumptions!$B$29+Assumptions!$B$4/Assumptions!$B$20)/(Assumptions!$B$29+Assumptions!$B$4/B313),Assumptions!$B$20)</f>
        <v/>
      </c>
      <c r="D313">
        <f>IF(B313&lt;Assumptions!$B$21,Assumptions!$B$21*(Assumptions!$B$29+Assumptions!$B$4/Assumptions!$B$21)/(Assumptions!$B$29+Assumptions!$B$4/B313),Assumptions!$B$21)</f>
        <v/>
      </c>
      <c r="E313">
        <f>Assumptions!$B$37*Assumptions!$B$22/C313-Assumptions!$B$38</f>
        <v/>
      </c>
      <c r="F313">
        <f>Assumptions!$B$39*Assumptions!$B$21/D313-Assumptions!$B$39</f>
        <v/>
      </c>
      <c r="G313">
        <f>MAX(0,Assumptions!$B$50*(Assumptions!$B$29+E313+F313+G312+H312+I312+Assumptions!$B$4/B313)-Assumptions!$B$30)</f>
        <v/>
      </c>
      <c r="H313">
        <f>Assumptions!$B$23/MIN(Assumptions!$B$24/(Assumptions!$B$29+E313+F313+G313+I312),B313*(1-Assumptions!$B$25))</f>
        <v/>
      </c>
      <c r="I313">
        <f>Assumptions!$B$26/MIN(Assumptions!$B$27/(Assumptions!$B$29+E313+F313+G313+H313),B313*(1-Assumptions!$B$28))</f>
        <v/>
      </c>
      <c r="J313">
        <f>Assumptions!$B$29+E313+F313+G313+H313+I313</f>
        <v/>
      </c>
      <c r="K313">
        <f>J313+Assumptions!$B$4/B313</f>
        <v/>
      </c>
      <c r="L313">
        <f>B313</f>
        <v/>
      </c>
    </row>
    <row r="314">
      <c r="A314" t="inlineStr">
        <is>
          <t>cell(0,2) iter 51</t>
        </is>
      </c>
      <c r="B314">
        <f>Assumptions!$B$55/J313</f>
        <v/>
      </c>
      <c r="C314">
        <f>IF(B314&lt;Assumptions!$B$20,Assumptions!$B$20*(Assumptions!$B$29+Assumptions!$B$4/Assumptions!$B$20)/(Assumptions!$B$29+Assumptions!$B$4/B314),Assumptions!$B$20)</f>
        <v/>
      </c>
      <c r="D314">
        <f>IF(B314&lt;Assumptions!$B$21,Assumptions!$B$21*(Assumptions!$B$29+Assumptions!$B$4/Assumptions!$B$21)/(Assumptions!$B$29+Assumptions!$B$4/B314),Assumptions!$B$21)</f>
        <v/>
      </c>
      <c r="E314">
        <f>Assumptions!$B$37*Assumptions!$B$22/C314-Assumptions!$B$38</f>
        <v/>
      </c>
      <c r="F314">
        <f>Assumptions!$B$39*Assumptions!$B$21/D314-Assumptions!$B$39</f>
        <v/>
      </c>
      <c r="G314">
        <f>MAX(0,Assumptions!$B$50*(Assumptions!$B$29+E314+F314+G313+H313+I313+Assumptions!$B$4/B314)-Assumptions!$B$30)</f>
        <v/>
      </c>
      <c r="H314">
        <f>Assumptions!$B$23/MIN(Assumptions!$B$24/(Assumptions!$B$29+E314+F314+G314+I313),B314*(1-Assumptions!$B$25))</f>
        <v/>
      </c>
      <c r="I314">
        <f>Assumptions!$B$26/MIN(Assumptions!$B$27/(Assumptions!$B$29+E314+F314+G314+H314),B314*(1-Assumptions!$B$28))</f>
        <v/>
      </c>
      <c r="J314">
        <f>Assumptions!$B$29+E314+F314+G314+H314+I314</f>
        <v/>
      </c>
      <c r="K314">
        <f>J314+Assumptions!$B$4/B314</f>
        <v/>
      </c>
      <c r="L314">
        <f>B314</f>
        <v/>
      </c>
    </row>
    <row r="315">
      <c r="A315" t="inlineStr">
        <is>
          <t>cell(0,2) iter 52</t>
        </is>
      </c>
      <c r="B315">
        <f>Assumptions!$B$55/J314</f>
        <v/>
      </c>
      <c r="C315">
        <f>IF(B315&lt;Assumptions!$B$20,Assumptions!$B$20*(Assumptions!$B$29+Assumptions!$B$4/Assumptions!$B$20)/(Assumptions!$B$29+Assumptions!$B$4/B315),Assumptions!$B$20)</f>
        <v/>
      </c>
      <c r="D315">
        <f>IF(B315&lt;Assumptions!$B$21,Assumptions!$B$21*(Assumptions!$B$29+Assumptions!$B$4/Assumptions!$B$21)/(Assumptions!$B$29+Assumptions!$B$4/B315),Assumptions!$B$21)</f>
        <v/>
      </c>
      <c r="E315">
        <f>Assumptions!$B$37*Assumptions!$B$22/C315-Assumptions!$B$38</f>
        <v/>
      </c>
      <c r="F315">
        <f>Assumptions!$B$39*Assumptions!$B$21/D315-Assumptions!$B$39</f>
        <v/>
      </c>
      <c r="G315">
        <f>MAX(0,Assumptions!$B$50*(Assumptions!$B$29+E315+F315+G314+H314+I314+Assumptions!$B$4/B315)-Assumptions!$B$30)</f>
        <v/>
      </c>
      <c r="H315">
        <f>Assumptions!$B$23/MIN(Assumptions!$B$24/(Assumptions!$B$29+E315+F315+G315+I314),B315*(1-Assumptions!$B$25))</f>
        <v/>
      </c>
      <c r="I315">
        <f>Assumptions!$B$26/MIN(Assumptions!$B$27/(Assumptions!$B$29+E315+F315+G315+H315),B315*(1-Assumptions!$B$28))</f>
        <v/>
      </c>
      <c r="J315">
        <f>Assumptions!$B$29+E315+F315+G315+H315+I315</f>
        <v/>
      </c>
      <c r="K315">
        <f>J315+Assumptions!$B$4/B315</f>
        <v/>
      </c>
      <c r="L315">
        <f>B315</f>
        <v/>
      </c>
    </row>
    <row r="316">
      <c r="A316" t="inlineStr">
        <is>
          <t>cell(0,2) iter 53</t>
        </is>
      </c>
      <c r="B316">
        <f>Assumptions!$B$55/J315</f>
        <v/>
      </c>
      <c r="C316">
        <f>IF(B316&lt;Assumptions!$B$20,Assumptions!$B$20*(Assumptions!$B$29+Assumptions!$B$4/Assumptions!$B$20)/(Assumptions!$B$29+Assumptions!$B$4/B316),Assumptions!$B$20)</f>
        <v/>
      </c>
      <c r="D316">
        <f>IF(B316&lt;Assumptions!$B$21,Assumptions!$B$21*(Assumptions!$B$29+Assumptions!$B$4/Assumptions!$B$21)/(Assumptions!$B$29+Assumptions!$B$4/B316),Assumptions!$B$21)</f>
        <v/>
      </c>
      <c r="E316">
        <f>Assumptions!$B$37*Assumptions!$B$22/C316-Assumptions!$B$38</f>
        <v/>
      </c>
      <c r="F316">
        <f>Assumptions!$B$39*Assumptions!$B$21/D316-Assumptions!$B$39</f>
        <v/>
      </c>
      <c r="G316">
        <f>MAX(0,Assumptions!$B$50*(Assumptions!$B$29+E316+F316+G315+H315+I315+Assumptions!$B$4/B316)-Assumptions!$B$30)</f>
        <v/>
      </c>
      <c r="H316">
        <f>Assumptions!$B$23/MIN(Assumptions!$B$24/(Assumptions!$B$29+E316+F316+G316+I315),B316*(1-Assumptions!$B$25))</f>
        <v/>
      </c>
      <c r="I316">
        <f>Assumptions!$B$26/MIN(Assumptions!$B$27/(Assumptions!$B$29+E316+F316+G316+H316),B316*(1-Assumptions!$B$28))</f>
        <v/>
      </c>
      <c r="J316">
        <f>Assumptions!$B$29+E316+F316+G316+H316+I316</f>
        <v/>
      </c>
      <c r="K316">
        <f>J316+Assumptions!$B$4/B316</f>
        <v/>
      </c>
      <c r="L316">
        <f>B316</f>
        <v/>
      </c>
    </row>
    <row r="317">
      <c r="A317" t="inlineStr">
        <is>
          <t>cell(0,2) iter 54</t>
        </is>
      </c>
      <c r="B317">
        <f>Assumptions!$B$55/J316</f>
        <v/>
      </c>
      <c r="C317">
        <f>IF(B317&lt;Assumptions!$B$20,Assumptions!$B$20*(Assumptions!$B$29+Assumptions!$B$4/Assumptions!$B$20)/(Assumptions!$B$29+Assumptions!$B$4/B317),Assumptions!$B$20)</f>
        <v/>
      </c>
      <c r="D317">
        <f>IF(B317&lt;Assumptions!$B$21,Assumptions!$B$21*(Assumptions!$B$29+Assumptions!$B$4/Assumptions!$B$21)/(Assumptions!$B$29+Assumptions!$B$4/B317),Assumptions!$B$21)</f>
        <v/>
      </c>
      <c r="E317">
        <f>Assumptions!$B$37*Assumptions!$B$22/C317-Assumptions!$B$38</f>
        <v/>
      </c>
      <c r="F317">
        <f>Assumptions!$B$39*Assumptions!$B$21/D317-Assumptions!$B$39</f>
        <v/>
      </c>
      <c r="G317">
        <f>MAX(0,Assumptions!$B$50*(Assumptions!$B$29+E317+F317+G316+H316+I316+Assumptions!$B$4/B317)-Assumptions!$B$30)</f>
        <v/>
      </c>
      <c r="H317">
        <f>Assumptions!$B$23/MIN(Assumptions!$B$24/(Assumptions!$B$29+E317+F317+G317+I316),B317*(1-Assumptions!$B$25))</f>
        <v/>
      </c>
      <c r="I317">
        <f>Assumptions!$B$26/MIN(Assumptions!$B$27/(Assumptions!$B$29+E317+F317+G317+H317),B317*(1-Assumptions!$B$28))</f>
        <v/>
      </c>
      <c r="J317">
        <f>Assumptions!$B$29+E317+F317+G317+H317+I317</f>
        <v/>
      </c>
      <c r="K317">
        <f>J317+Assumptions!$B$4/B317</f>
        <v/>
      </c>
      <c r="L317">
        <f>B317</f>
        <v/>
      </c>
    </row>
    <row r="318">
      <c r="A318" t="inlineStr">
        <is>
          <t>cell(0,2) iter 55</t>
        </is>
      </c>
      <c r="B318">
        <f>Assumptions!$B$55/J317</f>
        <v/>
      </c>
      <c r="C318">
        <f>IF(B318&lt;Assumptions!$B$20,Assumptions!$B$20*(Assumptions!$B$29+Assumptions!$B$4/Assumptions!$B$20)/(Assumptions!$B$29+Assumptions!$B$4/B318),Assumptions!$B$20)</f>
        <v/>
      </c>
      <c r="D318">
        <f>IF(B318&lt;Assumptions!$B$21,Assumptions!$B$21*(Assumptions!$B$29+Assumptions!$B$4/Assumptions!$B$21)/(Assumptions!$B$29+Assumptions!$B$4/B318),Assumptions!$B$21)</f>
        <v/>
      </c>
      <c r="E318">
        <f>Assumptions!$B$37*Assumptions!$B$22/C318-Assumptions!$B$38</f>
        <v/>
      </c>
      <c r="F318">
        <f>Assumptions!$B$39*Assumptions!$B$21/D318-Assumptions!$B$39</f>
        <v/>
      </c>
      <c r="G318">
        <f>MAX(0,Assumptions!$B$50*(Assumptions!$B$29+E318+F318+G317+H317+I317+Assumptions!$B$4/B318)-Assumptions!$B$30)</f>
        <v/>
      </c>
      <c r="H318">
        <f>Assumptions!$B$23/MIN(Assumptions!$B$24/(Assumptions!$B$29+E318+F318+G318+I317),B318*(1-Assumptions!$B$25))</f>
        <v/>
      </c>
      <c r="I318">
        <f>Assumptions!$B$26/MIN(Assumptions!$B$27/(Assumptions!$B$29+E318+F318+G318+H318),B318*(1-Assumptions!$B$28))</f>
        <v/>
      </c>
      <c r="J318">
        <f>Assumptions!$B$29+E318+F318+G318+H318+I318</f>
        <v/>
      </c>
      <c r="K318">
        <f>J318+Assumptions!$B$4/B318</f>
        <v/>
      </c>
      <c r="L318">
        <f>B318</f>
        <v/>
      </c>
    </row>
    <row r="319">
      <c r="A319" t="inlineStr">
        <is>
          <t>cell(0,2) iter 56</t>
        </is>
      </c>
      <c r="B319">
        <f>Assumptions!$B$55/J318</f>
        <v/>
      </c>
      <c r="C319">
        <f>IF(B319&lt;Assumptions!$B$20,Assumptions!$B$20*(Assumptions!$B$29+Assumptions!$B$4/Assumptions!$B$20)/(Assumptions!$B$29+Assumptions!$B$4/B319),Assumptions!$B$20)</f>
        <v/>
      </c>
      <c r="D319">
        <f>IF(B319&lt;Assumptions!$B$21,Assumptions!$B$21*(Assumptions!$B$29+Assumptions!$B$4/Assumptions!$B$21)/(Assumptions!$B$29+Assumptions!$B$4/B319),Assumptions!$B$21)</f>
        <v/>
      </c>
      <c r="E319">
        <f>Assumptions!$B$37*Assumptions!$B$22/C319-Assumptions!$B$38</f>
        <v/>
      </c>
      <c r="F319">
        <f>Assumptions!$B$39*Assumptions!$B$21/D319-Assumptions!$B$39</f>
        <v/>
      </c>
      <c r="G319">
        <f>MAX(0,Assumptions!$B$50*(Assumptions!$B$29+E319+F319+G318+H318+I318+Assumptions!$B$4/B319)-Assumptions!$B$30)</f>
        <v/>
      </c>
      <c r="H319">
        <f>Assumptions!$B$23/MIN(Assumptions!$B$24/(Assumptions!$B$29+E319+F319+G319+I318),B319*(1-Assumptions!$B$25))</f>
        <v/>
      </c>
      <c r="I319">
        <f>Assumptions!$B$26/MIN(Assumptions!$B$27/(Assumptions!$B$29+E319+F319+G319+H319),B319*(1-Assumptions!$B$28))</f>
        <v/>
      </c>
      <c r="J319">
        <f>Assumptions!$B$29+E319+F319+G319+H319+I319</f>
        <v/>
      </c>
      <c r="K319">
        <f>J319+Assumptions!$B$4/B319</f>
        <v/>
      </c>
      <c r="L319">
        <f>B319</f>
        <v/>
      </c>
    </row>
    <row r="320">
      <c r="A320" t="inlineStr">
        <is>
          <t>cell(0,2) iter 57</t>
        </is>
      </c>
      <c r="B320">
        <f>Assumptions!$B$55/J319</f>
        <v/>
      </c>
      <c r="C320">
        <f>IF(B320&lt;Assumptions!$B$20,Assumptions!$B$20*(Assumptions!$B$29+Assumptions!$B$4/Assumptions!$B$20)/(Assumptions!$B$29+Assumptions!$B$4/B320),Assumptions!$B$20)</f>
        <v/>
      </c>
      <c r="D320">
        <f>IF(B320&lt;Assumptions!$B$21,Assumptions!$B$21*(Assumptions!$B$29+Assumptions!$B$4/Assumptions!$B$21)/(Assumptions!$B$29+Assumptions!$B$4/B320),Assumptions!$B$21)</f>
        <v/>
      </c>
      <c r="E320">
        <f>Assumptions!$B$37*Assumptions!$B$22/C320-Assumptions!$B$38</f>
        <v/>
      </c>
      <c r="F320">
        <f>Assumptions!$B$39*Assumptions!$B$21/D320-Assumptions!$B$39</f>
        <v/>
      </c>
      <c r="G320">
        <f>MAX(0,Assumptions!$B$50*(Assumptions!$B$29+E320+F320+G319+H319+I319+Assumptions!$B$4/B320)-Assumptions!$B$30)</f>
        <v/>
      </c>
      <c r="H320">
        <f>Assumptions!$B$23/MIN(Assumptions!$B$24/(Assumptions!$B$29+E320+F320+G320+I319),B320*(1-Assumptions!$B$25))</f>
        <v/>
      </c>
      <c r="I320">
        <f>Assumptions!$B$26/MIN(Assumptions!$B$27/(Assumptions!$B$29+E320+F320+G320+H320),B320*(1-Assumptions!$B$28))</f>
        <v/>
      </c>
      <c r="J320">
        <f>Assumptions!$B$29+E320+F320+G320+H320+I320</f>
        <v/>
      </c>
      <c r="K320">
        <f>J320+Assumptions!$B$4/B320</f>
        <v/>
      </c>
      <c r="L320">
        <f>B320</f>
        <v/>
      </c>
    </row>
    <row r="321">
      <c r="A321" t="inlineStr">
        <is>
          <t>cell(0,2) iter 58</t>
        </is>
      </c>
      <c r="B321">
        <f>Assumptions!$B$55/J320</f>
        <v/>
      </c>
      <c r="C321">
        <f>IF(B321&lt;Assumptions!$B$20,Assumptions!$B$20*(Assumptions!$B$29+Assumptions!$B$4/Assumptions!$B$20)/(Assumptions!$B$29+Assumptions!$B$4/B321),Assumptions!$B$20)</f>
        <v/>
      </c>
      <c r="D321">
        <f>IF(B321&lt;Assumptions!$B$21,Assumptions!$B$21*(Assumptions!$B$29+Assumptions!$B$4/Assumptions!$B$21)/(Assumptions!$B$29+Assumptions!$B$4/B321),Assumptions!$B$21)</f>
        <v/>
      </c>
      <c r="E321">
        <f>Assumptions!$B$37*Assumptions!$B$22/C321-Assumptions!$B$38</f>
        <v/>
      </c>
      <c r="F321">
        <f>Assumptions!$B$39*Assumptions!$B$21/D321-Assumptions!$B$39</f>
        <v/>
      </c>
      <c r="G321">
        <f>MAX(0,Assumptions!$B$50*(Assumptions!$B$29+E321+F321+G320+H320+I320+Assumptions!$B$4/B321)-Assumptions!$B$30)</f>
        <v/>
      </c>
      <c r="H321">
        <f>Assumptions!$B$23/MIN(Assumptions!$B$24/(Assumptions!$B$29+E321+F321+G321+I320),B321*(1-Assumptions!$B$25))</f>
        <v/>
      </c>
      <c r="I321">
        <f>Assumptions!$B$26/MIN(Assumptions!$B$27/(Assumptions!$B$29+E321+F321+G321+H321),B321*(1-Assumptions!$B$28))</f>
        <v/>
      </c>
      <c r="J321">
        <f>Assumptions!$B$29+E321+F321+G321+H321+I321</f>
        <v/>
      </c>
      <c r="K321">
        <f>J321+Assumptions!$B$4/B321</f>
        <v/>
      </c>
      <c r="L321">
        <f>B321</f>
        <v/>
      </c>
    </row>
    <row r="322">
      <c r="A322" t="inlineStr">
        <is>
          <t>cell(0,2) iter 59</t>
        </is>
      </c>
      <c r="B322">
        <f>Assumptions!$B$55/J321</f>
        <v/>
      </c>
      <c r="C322">
        <f>IF(B322&lt;Assumptions!$B$20,Assumptions!$B$20*(Assumptions!$B$29+Assumptions!$B$4/Assumptions!$B$20)/(Assumptions!$B$29+Assumptions!$B$4/B322),Assumptions!$B$20)</f>
        <v/>
      </c>
      <c r="D322">
        <f>IF(B322&lt;Assumptions!$B$21,Assumptions!$B$21*(Assumptions!$B$29+Assumptions!$B$4/Assumptions!$B$21)/(Assumptions!$B$29+Assumptions!$B$4/B322),Assumptions!$B$21)</f>
        <v/>
      </c>
      <c r="E322">
        <f>Assumptions!$B$37*Assumptions!$B$22/C322-Assumptions!$B$38</f>
        <v/>
      </c>
      <c r="F322">
        <f>Assumptions!$B$39*Assumptions!$B$21/D322-Assumptions!$B$39</f>
        <v/>
      </c>
      <c r="G322">
        <f>MAX(0,Assumptions!$B$50*(Assumptions!$B$29+E322+F322+G321+H321+I321+Assumptions!$B$4/B322)-Assumptions!$B$30)</f>
        <v/>
      </c>
      <c r="H322">
        <f>Assumptions!$B$23/MIN(Assumptions!$B$24/(Assumptions!$B$29+E322+F322+G322+I321),B322*(1-Assumptions!$B$25))</f>
        <v/>
      </c>
      <c r="I322">
        <f>Assumptions!$B$26/MIN(Assumptions!$B$27/(Assumptions!$B$29+E322+F322+G322+H322),B322*(1-Assumptions!$B$28))</f>
        <v/>
      </c>
      <c r="J322">
        <f>Assumptions!$B$29+E322+F322+G322+H322+I322</f>
        <v/>
      </c>
      <c r="K322">
        <f>J322+Assumptions!$B$4/B322</f>
        <v/>
      </c>
      <c r="L322">
        <f>B322</f>
        <v/>
      </c>
    </row>
    <row r="323">
      <c r="A323" t="inlineStr">
        <is>
          <t>cell(0,2) iter 60</t>
        </is>
      </c>
      <c r="B323">
        <f>Assumptions!$B$55/J322</f>
        <v/>
      </c>
      <c r="C323">
        <f>IF(B323&lt;Assumptions!$B$20,Assumptions!$B$20*(Assumptions!$B$29+Assumptions!$B$4/Assumptions!$B$20)/(Assumptions!$B$29+Assumptions!$B$4/B323),Assumptions!$B$20)</f>
        <v/>
      </c>
      <c r="D323">
        <f>IF(B323&lt;Assumptions!$B$21,Assumptions!$B$21*(Assumptions!$B$29+Assumptions!$B$4/Assumptions!$B$21)/(Assumptions!$B$29+Assumptions!$B$4/B323),Assumptions!$B$21)</f>
        <v/>
      </c>
      <c r="E323">
        <f>Assumptions!$B$37*Assumptions!$B$22/C323-Assumptions!$B$38</f>
        <v/>
      </c>
      <c r="F323">
        <f>Assumptions!$B$39*Assumptions!$B$21/D323-Assumptions!$B$39</f>
        <v/>
      </c>
      <c r="G323">
        <f>MAX(0,Assumptions!$B$50*(Assumptions!$B$29+E323+F323+G322+H322+I322+Assumptions!$B$4/B323)-Assumptions!$B$30)</f>
        <v/>
      </c>
      <c r="H323">
        <f>Assumptions!$B$23/MIN(Assumptions!$B$24/(Assumptions!$B$29+E323+F323+G323+I322),B323*(1-Assumptions!$B$25))</f>
        <v/>
      </c>
      <c r="I323">
        <f>Assumptions!$B$26/MIN(Assumptions!$B$27/(Assumptions!$B$29+E323+F323+G323+H323),B323*(1-Assumptions!$B$28))</f>
        <v/>
      </c>
      <c r="J323">
        <f>Assumptions!$B$29+E323+F323+G323+H323+I323</f>
        <v/>
      </c>
      <c r="K323">
        <f>J323+Assumptions!$B$4/B323</f>
        <v/>
      </c>
      <c r="L323">
        <f>B323</f>
        <v/>
      </c>
    </row>
    <row r="324">
      <c r="A324" t="inlineStr">
        <is>
          <t>cell(0,2) iter 61</t>
        </is>
      </c>
      <c r="B324">
        <f>Assumptions!$B$55/J323</f>
        <v/>
      </c>
      <c r="C324">
        <f>IF(B324&lt;Assumptions!$B$20,Assumptions!$B$20*(Assumptions!$B$29+Assumptions!$B$4/Assumptions!$B$20)/(Assumptions!$B$29+Assumptions!$B$4/B324),Assumptions!$B$20)</f>
        <v/>
      </c>
      <c r="D324">
        <f>IF(B324&lt;Assumptions!$B$21,Assumptions!$B$21*(Assumptions!$B$29+Assumptions!$B$4/Assumptions!$B$21)/(Assumptions!$B$29+Assumptions!$B$4/B324),Assumptions!$B$21)</f>
        <v/>
      </c>
      <c r="E324">
        <f>Assumptions!$B$37*Assumptions!$B$22/C324-Assumptions!$B$38</f>
        <v/>
      </c>
      <c r="F324">
        <f>Assumptions!$B$39*Assumptions!$B$21/D324-Assumptions!$B$39</f>
        <v/>
      </c>
      <c r="G324">
        <f>MAX(0,Assumptions!$B$50*(Assumptions!$B$29+E324+F324+G323+H323+I323+Assumptions!$B$4/B324)-Assumptions!$B$30)</f>
        <v/>
      </c>
      <c r="H324">
        <f>Assumptions!$B$23/MIN(Assumptions!$B$24/(Assumptions!$B$29+E324+F324+G324+I323),B324*(1-Assumptions!$B$25))</f>
        <v/>
      </c>
      <c r="I324">
        <f>Assumptions!$B$26/MIN(Assumptions!$B$27/(Assumptions!$B$29+E324+F324+G324+H324),B324*(1-Assumptions!$B$28))</f>
        <v/>
      </c>
      <c r="J324">
        <f>Assumptions!$B$29+E324+F324+G324+H324+I324</f>
        <v/>
      </c>
      <c r="K324">
        <f>J324+Assumptions!$B$4/B324</f>
        <v/>
      </c>
      <c r="L324">
        <f>B324</f>
        <v/>
      </c>
    </row>
    <row r="325">
      <c r="A325" t="inlineStr">
        <is>
          <t>cell(0,2) iter 62</t>
        </is>
      </c>
      <c r="B325">
        <f>Assumptions!$B$55/J324</f>
        <v/>
      </c>
      <c r="C325">
        <f>IF(B325&lt;Assumptions!$B$20,Assumptions!$B$20*(Assumptions!$B$29+Assumptions!$B$4/Assumptions!$B$20)/(Assumptions!$B$29+Assumptions!$B$4/B325),Assumptions!$B$20)</f>
        <v/>
      </c>
      <c r="D325">
        <f>IF(B325&lt;Assumptions!$B$21,Assumptions!$B$21*(Assumptions!$B$29+Assumptions!$B$4/Assumptions!$B$21)/(Assumptions!$B$29+Assumptions!$B$4/B325),Assumptions!$B$21)</f>
        <v/>
      </c>
      <c r="E325">
        <f>Assumptions!$B$37*Assumptions!$B$22/C325-Assumptions!$B$38</f>
        <v/>
      </c>
      <c r="F325">
        <f>Assumptions!$B$39*Assumptions!$B$21/D325-Assumptions!$B$39</f>
        <v/>
      </c>
      <c r="G325">
        <f>MAX(0,Assumptions!$B$50*(Assumptions!$B$29+E325+F325+G324+H324+I324+Assumptions!$B$4/B325)-Assumptions!$B$30)</f>
        <v/>
      </c>
      <c r="H325">
        <f>Assumptions!$B$23/MIN(Assumptions!$B$24/(Assumptions!$B$29+E325+F325+G325+I324),B325*(1-Assumptions!$B$25))</f>
        <v/>
      </c>
      <c r="I325">
        <f>Assumptions!$B$26/MIN(Assumptions!$B$27/(Assumptions!$B$29+E325+F325+G325+H325),B325*(1-Assumptions!$B$28))</f>
        <v/>
      </c>
      <c r="J325">
        <f>Assumptions!$B$29+E325+F325+G325+H325+I325</f>
        <v/>
      </c>
      <c r="K325">
        <f>J325+Assumptions!$B$4/B325</f>
        <v/>
      </c>
      <c r="L325">
        <f>B325</f>
        <v/>
      </c>
    </row>
    <row r="326">
      <c r="A326" t="inlineStr">
        <is>
          <t>cell(0,2) iter 63</t>
        </is>
      </c>
      <c r="B326">
        <f>Assumptions!$B$55/J325</f>
        <v/>
      </c>
      <c r="C326">
        <f>IF(B326&lt;Assumptions!$B$20,Assumptions!$B$20*(Assumptions!$B$29+Assumptions!$B$4/Assumptions!$B$20)/(Assumptions!$B$29+Assumptions!$B$4/B326),Assumptions!$B$20)</f>
        <v/>
      </c>
      <c r="D326">
        <f>IF(B326&lt;Assumptions!$B$21,Assumptions!$B$21*(Assumptions!$B$29+Assumptions!$B$4/Assumptions!$B$21)/(Assumptions!$B$29+Assumptions!$B$4/B326),Assumptions!$B$21)</f>
        <v/>
      </c>
      <c r="E326">
        <f>Assumptions!$B$37*Assumptions!$B$22/C326-Assumptions!$B$38</f>
        <v/>
      </c>
      <c r="F326">
        <f>Assumptions!$B$39*Assumptions!$B$21/D326-Assumptions!$B$39</f>
        <v/>
      </c>
      <c r="G326">
        <f>MAX(0,Assumptions!$B$50*(Assumptions!$B$29+E326+F326+G325+H325+I325+Assumptions!$B$4/B326)-Assumptions!$B$30)</f>
        <v/>
      </c>
      <c r="H326">
        <f>Assumptions!$B$23/MIN(Assumptions!$B$24/(Assumptions!$B$29+E326+F326+G326+I325),B326*(1-Assumptions!$B$25))</f>
        <v/>
      </c>
      <c r="I326">
        <f>Assumptions!$B$26/MIN(Assumptions!$B$27/(Assumptions!$B$29+E326+F326+G326+H326),B326*(1-Assumptions!$B$28))</f>
        <v/>
      </c>
      <c r="J326">
        <f>Assumptions!$B$29+E326+F326+G326+H326+I326</f>
        <v/>
      </c>
      <c r="K326">
        <f>J326+Assumptions!$B$4/B326</f>
        <v/>
      </c>
      <c r="L326">
        <f>B326</f>
        <v/>
      </c>
    </row>
    <row r="327">
      <c r="A327" t="inlineStr">
        <is>
          <t>cell(0,2) iter 64</t>
        </is>
      </c>
      <c r="B327">
        <f>Assumptions!$B$55/J326</f>
        <v/>
      </c>
      <c r="C327">
        <f>IF(B327&lt;Assumptions!$B$20,Assumptions!$B$20*(Assumptions!$B$29+Assumptions!$B$4/Assumptions!$B$20)/(Assumptions!$B$29+Assumptions!$B$4/B327),Assumptions!$B$20)</f>
        <v/>
      </c>
      <c r="D327">
        <f>IF(B327&lt;Assumptions!$B$21,Assumptions!$B$21*(Assumptions!$B$29+Assumptions!$B$4/Assumptions!$B$21)/(Assumptions!$B$29+Assumptions!$B$4/B327),Assumptions!$B$21)</f>
        <v/>
      </c>
      <c r="E327">
        <f>Assumptions!$B$37*Assumptions!$B$22/C327-Assumptions!$B$38</f>
        <v/>
      </c>
      <c r="F327">
        <f>Assumptions!$B$39*Assumptions!$B$21/D327-Assumptions!$B$39</f>
        <v/>
      </c>
      <c r="G327">
        <f>MAX(0,Assumptions!$B$50*(Assumptions!$B$29+E327+F327+G326+H326+I326+Assumptions!$B$4/B327)-Assumptions!$B$30)</f>
        <v/>
      </c>
      <c r="H327">
        <f>Assumptions!$B$23/MIN(Assumptions!$B$24/(Assumptions!$B$29+E327+F327+G327+I326),B327*(1-Assumptions!$B$25))</f>
        <v/>
      </c>
      <c r="I327">
        <f>Assumptions!$B$26/MIN(Assumptions!$B$27/(Assumptions!$B$29+E327+F327+G327+H327),B327*(1-Assumptions!$B$28))</f>
        <v/>
      </c>
      <c r="J327">
        <f>Assumptions!$B$29+E327+F327+G327+H327+I327</f>
        <v/>
      </c>
      <c r="K327">
        <f>J327+Assumptions!$B$4/B327</f>
        <v/>
      </c>
      <c r="L327">
        <f>B327</f>
        <v/>
      </c>
    </row>
    <row r="328">
      <c r="A328" t="inlineStr">
        <is>
          <t>cell(0,2) iter 65</t>
        </is>
      </c>
      <c r="B328">
        <f>Assumptions!$B$55/J327</f>
        <v/>
      </c>
      <c r="C328">
        <f>IF(B328&lt;Assumptions!$B$20,Assumptions!$B$20*(Assumptions!$B$29+Assumptions!$B$4/Assumptions!$B$20)/(Assumptions!$B$29+Assumptions!$B$4/B328),Assumptions!$B$20)</f>
        <v/>
      </c>
      <c r="D328">
        <f>IF(B328&lt;Assumptions!$B$21,Assumptions!$B$21*(Assumptions!$B$29+Assumptions!$B$4/Assumptions!$B$21)/(Assumptions!$B$29+Assumptions!$B$4/B328),Assumptions!$B$21)</f>
        <v/>
      </c>
      <c r="E328">
        <f>Assumptions!$B$37*Assumptions!$B$22/C328-Assumptions!$B$38</f>
        <v/>
      </c>
      <c r="F328">
        <f>Assumptions!$B$39*Assumptions!$B$21/D328-Assumptions!$B$39</f>
        <v/>
      </c>
      <c r="G328">
        <f>MAX(0,Assumptions!$B$50*(Assumptions!$B$29+E328+F328+G327+H327+I327+Assumptions!$B$4/B328)-Assumptions!$B$30)</f>
        <v/>
      </c>
      <c r="H328">
        <f>Assumptions!$B$23/MIN(Assumptions!$B$24/(Assumptions!$B$29+E328+F328+G328+I327),B328*(1-Assumptions!$B$25))</f>
        <v/>
      </c>
      <c r="I328">
        <f>Assumptions!$B$26/MIN(Assumptions!$B$27/(Assumptions!$B$29+E328+F328+G328+H328),B328*(1-Assumptions!$B$28))</f>
        <v/>
      </c>
      <c r="J328">
        <f>Assumptions!$B$29+E328+F328+G328+H328+I328</f>
        <v/>
      </c>
      <c r="K328">
        <f>J328+Assumptions!$B$4/B328</f>
        <v/>
      </c>
      <c r="L328">
        <f>B328</f>
        <v/>
      </c>
    </row>
    <row r="329">
      <c r="A329" t="inlineStr">
        <is>
          <t>cell(0,2) iter 66</t>
        </is>
      </c>
      <c r="B329">
        <f>Assumptions!$B$55/J328</f>
        <v/>
      </c>
      <c r="C329">
        <f>IF(B329&lt;Assumptions!$B$20,Assumptions!$B$20*(Assumptions!$B$29+Assumptions!$B$4/Assumptions!$B$20)/(Assumptions!$B$29+Assumptions!$B$4/B329),Assumptions!$B$20)</f>
        <v/>
      </c>
      <c r="D329">
        <f>IF(B329&lt;Assumptions!$B$21,Assumptions!$B$21*(Assumptions!$B$29+Assumptions!$B$4/Assumptions!$B$21)/(Assumptions!$B$29+Assumptions!$B$4/B329),Assumptions!$B$21)</f>
        <v/>
      </c>
      <c r="E329">
        <f>Assumptions!$B$37*Assumptions!$B$22/C329-Assumptions!$B$38</f>
        <v/>
      </c>
      <c r="F329">
        <f>Assumptions!$B$39*Assumptions!$B$21/D329-Assumptions!$B$39</f>
        <v/>
      </c>
      <c r="G329">
        <f>MAX(0,Assumptions!$B$50*(Assumptions!$B$29+E329+F329+G328+H328+I328+Assumptions!$B$4/B329)-Assumptions!$B$30)</f>
        <v/>
      </c>
      <c r="H329">
        <f>Assumptions!$B$23/MIN(Assumptions!$B$24/(Assumptions!$B$29+E329+F329+G329+I328),B329*(1-Assumptions!$B$25))</f>
        <v/>
      </c>
      <c r="I329">
        <f>Assumptions!$B$26/MIN(Assumptions!$B$27/(Assumptions!$B$29+E329+F329+G329+H329),B329*(1-Assumptions!$B$28))</f>
        <v/>
      </c>
      <c r="J329">
        <f>Assumptions!$B$29+E329+F329+G329+H329+I329</f>
        <v/>
      </c>
      <c r="K329">
        <f>J329+Assumptions!$B$4/B329</f>
        <v/>
      </c>
      <c r="L329">
        <f>B329</f>
        <v/>
      </c>
    </row>
    <row r="330">
      <c r="A330" t="inlineStr">
        <is>
          <t>cell(0,2) iter 67</t>
        </is>
      </c>
      <c r="B330">
        <f>Assumptions!$B$55/J329</f>
        <v/>
      </c>
      <c r="C330">
        <f>IF(B330&lt;Assumptions!$B$20,Assumptions!$B$20*(Assumptions!$B$29+Assumptions!$B$4/Assumptions!$B$20)/(Assumptions!$B$29+Assumptions!$B$4/B330),Assumptions!$B$20)</f>
        <v/>
      </c>
      <c r="D330">
        <f>IF(B330&lt;Assumptions!$B$21,Assumptions!$B$21*(Assumptions!$B$29+Assumptions!$B$4/Assumptions!$B$21)/(Assumptions!$B$29+Assumptions!$B$4/B330),Assumptions!$B$21)</f>
        <v/>
      </c>
      <c r="E330">
        <f>Assumptions!$B$37*Assumptions!$B$22/C330-Assumptions!$B$38</f>
        <v/>
      </c>
      <c r="F330">
        <f>Assumptions!$B$39*Assumptions!$B$21/D330-Assumptions!$B$39</f>
        <v/>
      </c>
      <c r="G330">
        <f>MAX(0,Assumptions!$B$50*(Assumptions!$B$29+E330+F330+G329+H329+I329+Assumptions!$B$4/B330)-Assumptions!$B$30)</f>
        <v/>
      </c>
      <c r="H330">
        <f>Assumptions!$B$23/MIN(Assumptions!$B$24/(Assumptions!$B$29+E330+F330+G330+I329),B330*(1-Assumptions!$B$25))</f>
        <v/>
      </c>
      <c r="I330">
        <f>Assumptions!$B$26/MIN(Assumptions!$B$27/(Assumptions!$B$29+E330+F330+G330+H330),B330*(1-Assumptions!$B$28))</f>
        <v/>
      </c>
      <c r="J330">
        <f>Assumptions!$B$29+E330+F330+G330+H330+I330</f>
        <v/>
      </c>
      <c r="K330">
        <f>J330+Assumptions!$B$4/B330</f>
        <v/>
      </c>
      <c r="L330">
        <f>B330</f>
        <v/>
      </c>
    </row>
    <row r="331">
      <c r="A331" t="inlineStr">
        <is>
          <t>cell(0,2) iter 68</t>
        </is>
      </c>
      <c r="B331">
        <f>Assumptions!$B$55/J330</f>
        <v/>
      </c>
      <c r="C331">
        <f>IF(B331&lt;Assumptions!$B$20,Assumptions!$B$20*(Assumptions!$B$29+Assumptions!$B$4/Assumptions!$B$20)/(Assumptions!$B$29+Assumptions!$B$4/B331),Assumptions!$B$20)</f>
        <v/>
      </c>
      <c r="D331">
        <f>IF(B331&lt;Assumptions!$B$21,Assumptions!$B$21*(Assumptions!$B$29+Assumptions!$B$4/Assumptions!$B$21)/(Assumptions!$B$29+Assumptions!$B$4/B331),Assumptions!$B$21)</f>
        <v/>
      </c>
      <c r="E331">
        <f>Assumptions!$B$37*Assumptions!$B$22/C331-Assumptions!$B$38</f>
        <v/>
      </c>
      <c r="F331">
        <f>Assumptions!$B$39*Assumptions!$B$21/D331-Assumptions!$B$39</f>
        <v/>
      </c>
      <c r="G331">
        <f>MAX(0,Assumptions!$B$50*(Assumptions!$B$29+E331+F331+G330+H330+I330+Assumptions!$B$4/B331)-Assumptions!$B$30)</f>
        <v/>
      </c>
      <c r="H331">
        <f>Assumptions!$B$23/MIN(Assumptions!$B$24/(Assumptions!$B$29+E331+F331+G331+I330),B331*(1-Assumptions!$B$25))</f>
        <v/>
      </c>
      <c r="I331">
        <f>Assumptions!$B$26/MIN(Assumptions!$B$27/(Assumptions!$B$29+E331+F331+G331+H331),B331*(1-Assumptions!$B$28))</f>
        <v/>
      </c>
      <c r="J331">
        <f>Assumptions!$B$29+E331+F331+G331+H331+I331</f>
        <v/>
      </c>
      <c r="K331">
        <f>J331+Assumptions!$B$4/B331</f>
        <v/>
      </c>
      <c r="L331">
        <f>B331</f>
        <v/>
      </c>
    </row>
    <row r="332">
      <c r="A332" t="inlineStr">
        <is>
          <t>cell(0,2) iter 69</t>
        </is>
      </c>
      <c r="B332">
        <f>Assumptions!$B$55/J331</f>
        <v/>
      </c>
      <c r="C332">
        <f>IF(B332&lt;Assumptions!$B$20,Assumptions!$B$20*(Assumptions!$B$29+Assumptions!$B$4/Assumptions!$B$20)/(Assumptions!$B$29+Assumptions!$B$4/B332),Assumptions!$B$20)</f>
        <v/>
      </c>
      <c r="D332">
        <f>IF(B332&lt;Assumptions!$B$21,Assumptions!$B$21*(Assumptions!$B$29+Assumptions!$B$4/Assumptions!$B$21)/(Assumptions!$B$29+Assumptions!$B$4/B332),Assumptions!$B$21)</f>
        <v/>
      </c>
      <c r="E332">
        <f>Assumptions!$B$37*Assumptions!$B$22/C332-Assumptions!$B$38</f>
        <v/>
      </c>
      <c r="F332">
        <f>Assumptions!$B$39*Assumptions!$B$21/D332-Assumptions!$B$39</f>
        <v/>
      </c>
      <c r="G332">
        <f>MAX(0,Assumptions!$B$50*(Assumptions!$B$29+E332+F332+G331+H331+I331+Assumptions!$B$4/B332)-Assumptions!$B$30)</f>
        <v/>
      </c>
      <c r="H332">
        <f>Assumptions!$B$23/MIN(Assumptions!$B$24/(Assumptions!$B$29+E332+F332+G332+I331),B332*(1-Assumptions!$B$25))</f>
        <v/>
      </c>
      <c r="I332">
        <f>Assumptions!$B$26/MIN(Assumptions!$B$27/(Assumptions!$B$29+E332+F332+G332+H332),B332*(1-Assumptions!$B$28))</f>
        <v/>
      </c>
      <c r="J332">
        <f>Assumptions!$B$29+E332+F332+G332+H332+I332</f>
        <v/>
      </c>
      <c r="K332">
        <f>J332+Assumptions!$B$4/B332</f>
        <v/>
      </c>
      <c r="L332">
        <f>B332</f>
        <v/>
      </c>
    </row>
    <row r="333">
      <c r="A333" t="inlineStr">
        <is>
          <t>cell(0,2) iter 70</t>
        </is>
      </c>
      <c r="B333">
        <f>Assumptions!$B$55/J332</f>
        <v/>
      </c>
      <c r="C333">
        <f>IF(B333&lt;Assumptions!$B$20,Assumptions!$B$20*(Assumptions!$B$29+Assumptions!$B$4/Assumptions!$B$20)/(Assumptions!$B$29+Assumptions!$B$4/B333),Assumptions!$B$20)</f>
        <v/>
      </c>
      <c r="D333">
        <f>IF(B333&lt;Assumptions!$B$21,Assumptions!$B$21*(Assumptions!$B$29+Assumptions!$B$4/Assumptions!$B$21)/(Assumptions!$B$29+Assumptions!$B$4/B333),Assumptions!$B$21)</f>
        <v/>
      </c>
      <c r="E333">
        <f>Assumptions!$B$37*Assumptions!$B$22/C333-Assumptions!$B$38</f>
        <v/>
      </c>
      <c r="F333">
        <f>Assumptions!$B$39*Assumptions!$B$21/D333-Assumptions!$B$39</f>
        <v/>
      </c>
      <c r="G333">
        <f>MAX(0,Assumptions!$B$50*(Assumptions!$B$29+E333+F333+G332+H332+I332+Assumptions!$B$4/B333)-Assumptions!$B$30)</f>
        <v/>
      </c>
      <c r="H333">
        <f>Assumptions!$B$23/MIN(Assumptions!$B$24/(Assumptions!$B$29+E333+F333+G333+I332),B333*(1-Assumptions!$B$25))</f>
        <v/>
      </c>
      <c r="I333">
        <f>Assumptions!$B$26/MIN(Assumptions!$B$27/(Assumptions!$B$29+E333+F333+G333+H333),B333*(1-Assumptions!$B$28))</f>
        <v/>
      </c>
      <c r="J333">
        <f>Assumptions!$B$29+E333+F333+G333+H333+I333</f>
        <v/>
      </c>
      <c r="K333">
        <f>J333+Assumptions!$B$4/B333</f>
        <v/>
      </c>
      <c r="L333">
        <f>B333</f>
        <v/>
      </c>
    </row>
    <row r="334">
      <c r="A334" t="inlineStr">
        <is>
          <t>cell(0,2) iter 71</t>
        </is>
      </c>
      <c r="B334">
        <f>Assumptions!$B$55/J333</f>
        <v/>
      </c>
      <c r="C334">
        <f>IF(B334&lt;Assumptions!$B$20,Assumptions!$B$20*(Assumptions!$B$29+Assumptions!$B$4/Assumptions!$B$20)/(Assumptions!$B$29+Assumptions!$B$4/B334),Assumptions!$B$20)</f>
        <v/>
      </c>
      <c r="D334">
        <f>IF(B334&lt;Assumptions!$B$21,Assumptions!$B$21*(Assumptions!$B$29+Assumptions!$B$4/Assumptions!$B$21)/(Assumptions!$B$29+Assumptions!$B$4/B334),Assumptions!$B$21)</f>
        <v/>
      </c>
      <c r="E334">
        <f>Assumptions!$B$37*Assumptions!$B$22/C334-Assumptions!$B$38</f>
        <v/>
      </c>
      <c r="F334">
        <f>Assumptions!$B$39*Assumptions!$B$21/D334-Assumptions!$B$39</f>
        <v/>
      </c>
      <c r="G334">
        <f>MAX(0,Assumptions!$B$50*(Assumptions!$B$29+E334+F334+G333+H333+I333+Assumptions!$B$4/B334)-Assumptions!$B$30)</f>
        <v/>
      </c>
      <c r="H334">
        <f>Assumptions!$B$23/MIN(Assumptions!$B$24/(Assumptions!$B$29+E334+F334+G334+I333),B334*(1-Assumptions!$B$25))</f>
        <v/>
      </c>
      <c r="I334">
        <f>Assumptions!$B$26/MIN(Assumptions!$B$27/(Assumptions!$B$29+E334+F334+G334+H334),B334*(1-Assumptions!$B$28))</f>
        <v/>
      </c>
      <c r="J334">
        <f>Assumptions!$B$29+E334+F334+G334+H334+I334</f>
        <v/>
      </c>
      <c r="K334">
        <f>J334+Assumptions!$B$4/B334</f>
        <v/>
      </c>
      <c r="L334">
        <f>B334</f>
        <v/>
      </c>
    </row>
    <row r="335">
      <c r="A335" t="inlineStr">
        <is>
          <t>cell(0,2) iter 72</t>
        </is>
      </c>
      <c r="B335">
        <f>Assumptions!$B$55/J334</f>
        <v/>
      </c>
      <c r="C335">
        <f>IF(B335&lt;Assumptions!$B$20,Assumptions!$B$20*(Assumptions!$B$29+Assumptions!$B$4/Assumptions!$B$20)/(Assumptions!$B$29+Assumptions!$B$4/B335),Assumptions!$B$20)</f>
        <v/>
      </c>
      <c r="D335">
        <f>IF(B335&lt;Assumptions!$B$21,Assumptions!$B$21*(Assumptions!$B$29+Assumptions!$B$4/Assumptions!$B$21)/(Assumptions!$B$29+Assumptions!$B$4/B335),Assumptions!$B$21)</f>
        <v/>
      </c>
      <c r="E335">
        <f>Assumptions!$B$37*Assumptions!$B$22/C335-Assumptions!$B$38</f>
        <v/>
      </c>
      <c r="F335">
        <f>Assumptions!$B$39*Assumptions!$B$21/D335-Assumptions!$B$39</f>
        <v/>
      </c>
      <c r="G335">
        <f>MAX(0,Assumptions!$B$50*(Assumptions!$B$29+E335+F335+G334+H334+I334+Assumptions!$B$4/B335)-Assumptions!$B$30)</f>
        <v/>
      </c>
      <c r="H335">
        <f>Assumptions!$B$23/MIN(Assumptions!$B$24/(Assumptions!$B$29+E335+F335+G335+I334),B335*(1-Assumptions!$B$25))</f>
        <v/>
      </c>
      <c r="I335">
        <f>Assumptions!$B$26/MIN(Assumptions!$B$27/(Assumptions!$B$29+E335+F335+G335+H335),B335*(1-Assumptions!$B$28))</f>
        <v/>
      </c>
      <c r="J335">
        <f>Assumptions!$B$29+E335+F335+G335+H335+I335</f>
        <v/>
      </c>
      <c r="K335">
        <f>J335+Assumptions!$B$4/B335</f>
        <v/>
      </c>
      <c r="L335">
        <f>B335</f>
        <v/>
      </c>
    </row>
    <row r="336">
      <c r="A336" t="inlineStr">
        <is>
          <t>cell(0,2) iter 73</t>
        </is>
      </c>
      <c r="B336">
        <f>Assumptions!$B$55/J335</f>
        <v/>
      </c>
      <c r="C336">
        <f>IF(B336&lt;Assumptions!$B$20,Assumptions!$B$20*(Assumptions!$B$29+Assumptions!$B$4/Assumptions!$B$20)/(Assumptions!$B$29+Assumptions!$B$4/B336),Assumptions!$B$20)</f>
        <v/>
      </c>
      <c r="D336">
        <f>IF(B336&lt;Assumptions!$B$21,Assumptions!$B$21*(Assumptions!$B$29+Assumptions!$B$4/Assumptions!$B$21)/(Assumptions!$B$29+Assumptions!$B$4/B336),Assumptions!$B$21)</f>
        <v/>
      </c>
      <c r="E336">
        <f>Assumptions!$B$37*Assumptions!$B$22/C336-Assumptions!$B$38</f>
        <v/>
      </c>
      <c r="F336">
        <f>Assumptions!$B$39*Assumptions!$B$21/D336-Assumptions!$B$39</f>
        <v/>
      </c>
      <c r="G336">
        <f>MAX(0,Assumptions!$B$50*(Assumptions!$B$29+E336+F336+G335+H335+I335+Assumptions!$B$4/B336)-Assumptions!$B$30)</f>
        <v/>
      </c>
      <c r="H336">
        <f>Assumptions!$B$23/MIN(Assumptions!$B$24/(Assumptions!$B$29+E336+F336+G336+I335),B336*(1-Assumptions!$B$25))</f>
        <v/>
      </c>
      <c r="I336">
        <f>Assumptions!$B$26/MIN(Assumptions!$B$27/(Assumptions!$B$29+E336+F336+G336+H336),B336*(1-Assumptions!$B$28))</f>
        <v/>
      </c>
      <c r="J336">
        <f>Assumptions!$B$29+E336+F336+G336+H336+I336</f>
        <v/>
      </c>
      <c r="K336">
        <f>J336+Assumptions!$B$4/B336</f>
        <v/>
      </c>
      <c r="L336">
        <f>B336</f>
        <v/>
      </c>
    </row>
    <row r="337">
      <c r="A337" t="inlineStr">
        <is>
          <t>cell(0,2) iter 74</t>
        </is>
      </c>
      <c r="B337">
        <f>Assumptions!$B$55/J336</f>
        <v/>
      </c>
      <c r="C337">
        <f>IF(B337&lt;Assumptions!$B$20,Assumptions!$B$20*(Assumptions!$B$29+Assumptions!$B$4/Assumptions!$B$20)/(Assumptions!$B$29+Assumptions!$B$4/B337),Assumptions!$B$20)</f>
        <v/>
      </c>
      <c r="D337">
        <f>IF(B337&lt;Assumptions!$B$21,Assumptions!$B$21*(Assumptions!$B$29+Assumptions!$B$4/Assumptions!$B$21)/(Assumptions!$B$29+Assumptions!$B$4/B337),Assumptions!$B$21)</f>
        <v/>
      </c>
      <c r="E337">
        <f>Assumptions!$B$37*Assumptions!$B$22/C337-Assumptions!$B$38</f>
        <v/>
      </c>
      <c r="F337">
        <f>Assumptions!$B$39*Assumptions!$B$21/D337-Assumptions!$B$39</f>
        <v/>
      </c>
      <c r="G337">
        <f>MAX(0,Assumptions!$B$50*(Assumptions!$B$29+E337+F337+G336+H336+I336+Assumptions!$B$4/B337)-Assumptions!$B$30)</f>
        <v/>
      </c>
      <c r="H337">
        <f>Assumptions!$B$23/MIN(Assumptions!$B$24/(Assumptions!$B$29+E337+F337+G337+I336),B337*(1-Assumptions!$B$25))</f>
        <v/>
      </c>
      <c r="I337">
        <f>Assumptions!$B$26/MIN(Assumptions!$B$27/(Assumptions!$B$29+E337+F337+G337+H337),B337*(1-Assumptions!$B$28))</f>
        <v/>
      </c>
      <c r="J337">
        <f>Assumptions!$B$29+E337+F337+G337+H337+I337</f>
        <v/>
      </c>
      <c r="K337">
        <f>J337+Assumptions!$B$4/B337</f>
        <v/>
      </c>
      <c r="L337">
        <f>B337</f>
        <v/>
      </c>
    </row>
    <row r="338">
      <c r="A338" t="inlineStr">
        <is>
          <t>cell(0,2) iter 75</t>
        </is>
      </c>
      <c r="B338">
        <f>Assumptions!$B$55/J337</f>
        <v/>
      </c>
      <c r="C338">
        <f>IF(B338&lt;Assumptions!$B$20,Assumptions!$B$20*(Assumptions!$B$29+Assumptions!$B$4/Assumptions!$B$20)/(Assumptions!$B$29+Assumptions!$B$4/B338),Assumptions!$B$20)</f>
        <v/>
      </c>
      <c r="D338">
        <f>IF(B338&lt;Assumptions!$B$21,Assumptions!$B$21*(Assumptions!$B$29+Assumptions!$B$4/Assumptions!$B$21)/(Assumptions!$B$29+Assumptions!$B$4/B338),Assumptions!$B$21)</f>
        <v/>
      </c>
      <c r="E338">
        <f>Assumptions!$B$37*Assumptions!$B$22/C338-Assumptions!$B$38</f>
        <v/>
      </c>
      <c r="F338">
        <f>Assumptions!$B$39*Assumptions!$B$21/D338-Assumptions!$B$39</f>
        <v/>
      </c>
      <c r="G338">
        <f>MAX(0,Assumptions!$B$50*(Assumptions!$B$29+E338+F338+G337+H337+I337+Assumptions!$B$4/B338)-Assumptions!$B$30)</f>
        <v/>
      </c>
      <c r="H338">
        <f>Assumptions!$B$23/MIN(Assumptions!$B$24/(Assumptions!$B$29+E338+F338+G338+I337),B338*(1-Assumptions!$B$25))</f>
        <v/>
      </c>
      <c r="I338">
        <f>Assumptions!$B$26/MIN(Assumptions!$B$27/(Assumptions!$B$29+E338+F338+G338+H338),B338*(1-Assumptions!$B$28))</f>
        <v/>
      </c>
      <c r="J338">
        <f>Assumptions!$B$29+E338+F338+G338+H338+I338</f>
        <v/>
      </c>
      <c r="K338">
        <f>J338+Assumptions!$B$4/B338</f>
        <v/>
      </c>
      <c r="L338">
        <f>B338</f>
        <v/>
      </c>
    </row>
    <row r="339">
      <c r="A339" t="inlineStr">
        <is>
          <t>cell(0,2) iter 76</t>
        </is>
      </c>
      <c r="B339">
        <f>Assumptions!$B$55/J338</f>
        <v/>
      </c>
      <c r="C339">
        <f>IF(B339&lt;Assumptions!$B$20,Assumptions!$B$20*(Assumptions!$B$29+Assumptions!$B$4/Assumptions!$B$20)/(Assumptions!$B$29+Assumptions!$B$4/B339),Assumptions!$B$20)</f>
        <v/>
      </c>
      <c r="D339">
        <f>IF(B339&lt;Assumptions!$B$21,Assumptions!$B$21*(Assumptions!$B$29+Assumptions!$B$4/Assumptions!$B$21)/(Assumptions!$B$29+Assumptions!$B$4/B339),Assumptions!$B$21)</f>
        <v/>
      </c>
      <c r="E339">
        <f>Assumptions!$B$37*Assumptions!$B$22/C339-Assumptions!$B$38</f>
        <v/>
      </c>
      <c r="F339">
        <f>Assumptions!$B$39*Assumptions!$B$21/D339-Assumptions!$B$39</f>
        <v/>
      </c>
      <c r="G339">
        <f>MAX(0,Assumptions!$B$50*(Assumptions!$B$29+E339+F339+G338+H338+I338+Assumptions!$B$4/B339)-Assumptions!$B$30)</f>
        <v/>
      </c>
      <c r="H339">
        <f>Assumptions!$B$23/MIN(Assumptions!$B$24/(Assumptions!$B$29+E339+F339+G339+I338),B339*(1-Assumptions!$B$25))</f>
        <v/>
      </c>
      <c r="I339">
        <f>Assumptions!$B$26/MIN(Assumptions!$B$27/(Assumptions!$B$29+E339+F339+G339+H339),B339*(1-Assumptions!$B$28))</f>
        <v/>
      </c>
      <c r="J339">
        <f>Assumptions!$B$29+E339+F339+G339+H339+I339</f>
        <v/>
      </c>
      <c r="K339">
        <f>J339+Assumptions!$B$4/B339</f>
        <v/>
      </c>
      <c r="L339">
        <f>B339</f>
        <v/>
      </c>
    </row>
    <row r="340">
      <c r="A340" t="inlineStr">
        <is>
          <t>cell(0,2) iter 77</t>
        </is>
      </c>
      <c r="B340">
        <f>Assumptions!$B$55/J339</f>
        <v/>
      </c>
      <c r="C340">
        <f>IF(B340&lt;Assumptions!$B$20,Assumptions!$B$20*(Assumptions!$B$29+Assumptions!$B$4/Assumptions!$B$20)/(Assumptions!$B$29+Assumptions!$B$4/B340),Assumptions!$B$20)</f>
        <v/>
      </c>
      <c r="D340">
        <f>IF(B340&lt;Assumptions!$B$21,Assumptions!$B$21*(Assumptions!$B$29+Assumptions!$B$4/Assumptions!$B$21)/(Assumptions!$B$29+Assumptions!$B$4/B340),Assumptions!$B$21)</f>
        <v/>
      </c>
      <c r="E340">
        <f>Assumptions!$B$37*Assumptions!$B$22/C340-Assumptions!$B$38</f>
        <v/>
      </c>
      <c r="F340">
        <f>Assumptions!$B$39*Assumptions!$B$21/D340-Assumptions!$B$39</f>
        <v/>
      </c>
      <c r="G340">
        <f>MAX(0,Assumptions!$B$50*(Assumptions!$B$29+E340+F340+G339+H339+I339+Assumptions!$B$4/B340)-Assumptions!$B$30)</f>
        <v/>
      </c>
      <c r="H340">
        <f>Assumptions!$B$23/MIN(Assumptions!$B$24/(Assumptions!$B$29+E340+F340+G340+I339),B340*(1-Assumptions!$B$25))</f>
        <v/>
      </c>
      <c r="I340">
        <f>Assumptions!$B$26/MIN(Assumptions!$B$27/(Assumptions!$B$29+E340+F340+G340+H340),B340*(1-Assumptions!$B$28))</f>
        <v/>
      </c>
      <c r="J340">
        <f>Assumptions!$B$29+E340+F340+G340+H340+I340</f>
        <v/>
      </c>
      <c r="K340">
        <f>J340+Assumptions!$B$4/B340</f>
        <v/>
      </c>
      <c r="L340">
        <f>B340</f>
        <v/>
      </c>
    </row>
    <row r="341">
      <c r="A341" t="inlineStr">
        <is>
          <t>cell(0,2) iter 78</t>
        </is>
      </c>
      <c r="B341">
        <f>Assumptions!$B$55/J340</f>
        <v/>
      </c>
      <c r="C341">
        <f>IF(B341&lt;Assumptions!$B$20,Assumptions!$B$20*(Assumptions!$B$29+Assumptions!$B$4/Assumptions!$B$20)/(Assumptions!$B$29+Assumptions!$B$4/B341),Assumptions!$B$20)</f>
        <v/>
      </c>
      <c r="D341">
        <f>IF(B341&lt;Assumptions!$B$21,Assumptions!$B$21*(Assumptions!$B$29+Assumptions!$B$4/Assumptions!$B$21)/(Assumptions!$B$29+Assumptions!$B$4/B341),Assumptions!$B$21)</f>
        <v/>
      </c>
      <c r="E341">
        <f>Assumptions!$B$37*Assumptions!$B$22/C341-Assumptions!$B$38</f>
        <v/>
      </c>
      <c r="F341">
        <f>Assumptions!$B$39*Assumptions!$B$21/D341-Assumptions!$B$39</f>
        <v/>
      </c>
      <c r="G341">
        <f>MAX(0,Assumptions!$B$50*(Assumptions!$B$29+E341+F341+G340+H340+I340+Assumptions!$B$4/B341)-Assumptions!$B$30)</f>
        <v/>
      </c>
      <c r="H341">
        <f>Assumptions!$B$23/MIN(Assumptions!$B$24/(Assumptions!$B$29+E341+F341+G341+I340),B341*(1-Assumptions!$B$25))</f>
        <v/>
      </c>
      <c r="I341">
        <f>Assumptions!$B$26/MIN(Assumptions!$B$27/(Assumptions!$B$29+E341+F341+G341+H341),B341*(1-Assumptions!$B$28))</f>
        <v/>
      </c>
      <c r="J341">
        <f>Assumptions!$B$29+E341+F341+G341+H341+I341</f>
        <v/>
      </c>
      <c r="K341">
        <f>J341+Assumptions!$B$4/B341</f>
        <v/>
      </c>
      <c r="L341">
        <f>B341</f>
        <v/>
      </c>
    </row>
    <row r="342">
      <c r="A342" t="inlineStr">
        <is>
          <t>cell(0,2) iter 79</t>
        </is>
      </c>
      <c r="B342">
        <f>Assumptions!$B$55/J341</f>
        <v/>
      </c>
      <c r="C342">
        <f>IF(B342&lt;Assumptions!$B$20,Assumptions!$B$20*(Assumptions!$B$29+Assumptions!$B$4/Assumptions!$B$20)/(Assumptions!$B$29+Assumptions!$B$4/B342),Assumptions!$B$20)</f>
        <v/>
      </c>
      <c r="D342">
        <f>IF(B342&lt;Assumptions!$B$21,Assumptions!$B$21*(Assumptions!$B$29+Assumptions!$B$4/Assumptions!$B$21)/(Assumptions!$B$29+Assumptions!$B$4/B342),Assumptions!$B$21)</f>
        <v/>
      </c>
      <c r="E342">
        <f>Assumptions!$B$37*Assumptions!$B$22/C342-Assumptions!$B$38</f>
        <v/>
      </c>
      <c r="F342">
        <f>Assumptions!$B$39*Assumptions!$B$21/D342-Assumptions!$B$39</f>
        <v/>
      </c>
      <c r="G342">
        <f>MAX(0,Assumptions!$B$50*(Assumptions!$B$29+E342+F342+G341+H341+I341+Assumptions!$B$4/B342)-Assumptions!$B$30)</f>
        <v/>
      </c>
      <c r="H342">
        <f>Assumptions!$B$23/MIN(Assumptions!$B$24/(Assumptions!$B$29+E342+F342+G342+I341),B342*(1-Assumptions!$B$25))</f>
        <v/>
      </c>
      <c r="I342">
        <f>Assumptions!$B$26/MIN(Assumptions!$B$27/(Assumptions!$B$29+E342+F342+G342+H342),B342*(1-Assumptions!$B$28))</f>
        <v/>
      </c>
      <c r="J342">
        <f>Assumptions!$B$29+E342+F342+G342+H342+I342</f>
        <v/>
      </c>
      <c r="K342">
        <f>J342+Assumptions!$B$4/B342</f>
        <v/>
      </c>
      <c r="L342">
        <f>B342</f>
        <v/>
      </c>
    </row>
    <row r="343">
      <c r="A343" t="inlineStr">
        <is>
          <t>cell(0,2) iter 80</t>
        </is>
      </c>
      <c r="B343">
        <f>Assumptions!$B$55/J342</f>
        <v/>
      </c>
      <c r="C343">
        <f>IF(B343&lt;Assumptions!$B$20,Assumptions!$B$20*(Assumptions!$B$29+Assumptions!$B$4/Assumptions!$B$20)/(Assumptions!$B$29+Assumptions!$B$4/B343),Assumptions!$B$20)</f>
        <v/>
      </c>
      <c r="D343">
        <f>IF(B343&lt;Assumptions!$B$21,Assumptions!$B$21*(Assumptions!$B$29+Assumptions!$B$4/Assumptions!$B$21)/(Assumptions!$B$29+Assumptions!$B$4/B343),Assumptions!$B$21)</f>
        <v/>
      </c>
      <c r="E343">
        <f>Assumptions!$B$37*Assumptions!$B$22/C343-Assumptions!$B$38</f>
        <v/>
      </c>
      <c r="F343">
        <f>Assumptions!$B$39*Assumptions!$B$21/D343-Assumptions!$B$39</f>
        <v/>
      </c>
      <c r="G343">
        <f>MAX(0,Assumptions!$B$50*(Assumptions!$B$29+E343+F343+G342+H342+I342+Assumptions!$B$4/B343)-Assumptions!$B$30)</f>
        <v/>
      </c>
      <c r="H343">
        <f>Assumptions!$B$23/MIN(Assumptions!$B$24/(Assumptions!$B$29+E343+F343+G343+I342),B343*(1-Assumptions!$B$25))</f>
        <v/>
      </c>
      <c r="I343">
        <f>Assumptions!$B$26/MIN(Assumptions!$B$27/(Assumptions!$B$29+E343+F343+G343+H343),B343*(1-Assumptions!$B$28))</f>
        <v/>
      </c>
      <c r="J343">
        <f>Assumptions!$B$29+E343+F343+G343+H343+I343</f>
        <v/>
      </c>
      <c r="K343">
        <f>J343+Assumptions!$B$4/B343</f>
        <v/>
      </c>
      <c r="L343">
        <f>B343</f>
        <v/>
      </c>
    </row>
    <row r="346">
      <c r="A346" s="1" t="inlineStr">
        <is>
          <t>Waterfall ladder ($2B exit)</t>
        </is>
      </c>
    </row>
    <row r="347">
      <c r="A347" s="1" t="inlineStr">
        <is>
          <t>Step</t>
        </is>
      </c>
      <c r="B347" s="1" t="inlineStr">
        <is>
          <t>F_el</t>
        </is>
      </c>
      <c r="C347" s="1" t="inlineStr">
        <is>
          <t>E_el</t>
        </is>
      </c>
      <c r="D347" s="1" t="inlineStr">
        <is>
          <t>D_el</t>
        </is>
      </c>
      <c r="E347" s="1" t="inlineStr">
        <is>
          <t>C_el</t>
        </is>
      </c>
      <c r="F347" s="1" t="inlineStr">
        <is>
          <t>B_el</t>
        </is>
      </c>
      <c r="G347" s="1" t="inlineStr">
        <is>
          <t>A_el</t>
        </is>
      </c>
      <c r="H347" s="1" t="inlineStr">
        <is>
          <t>Seed_el</t>
        </is>
      </c>
      <c r="I347" s="1" t="inlineStr">
        <is>
          <t>prefs</t>
        </is>
      </c>
      <c r="J347" s="1" t="inlineStr">
        <is>
          <t>conv_sh</t>
        </is>
      </c>
      <c r="K347" s="1" t="inlineStr">
        <is>
          <t>cpool</t>
        </is>
      </c>
      <c r="L347" s="1" t="inlineStr">
        <is>
          <t>ITM_PPS</t>
        </is>
      </c>
      <c r="M347" s="1" t="inlineStr">
        <is>
          <t>ITM?</t>
        </is>
      </c>
      <c r="N347" s="1" t="inlineStr">
        <is>
          <t>common_PPS</t>
        </is>
      </c>
      <c r="O347" s="1" t="inlineStr">
        <is>
          <t>opt_proc</t>
        </is>
      </c>
    </row>
    <row r="348">
      <c r="A348" t="inlineStr">
        <is>
          <t>seed (all convert)</t>
        </is>
      </c>
      <c r="B348">
        <f>"convert"</f>
        <v/>
      </c>
      <c r="C348">
        <f>"convert"</f>
        <v/>
      </c>
      <c r="D348">
        <f>"convert"</f>
        <v/>
      </c>
      <c r="E348">
        <f>"convert"</f>
        <v/>
      </c>
      <c r="F348">
        <f>"convert"</f>
        <v/>
      </c>
      <c r="G348">
        <f>"convert"</f>
        <v/>
      </c>
      <c r="H348">
        <f>"convert"</f>
        <v/>
      </c>
      <c r="I348">
        <f>IF(B348="preference",Assumptions!$B$4,0)+IF(C348="preference",Assumptions!$B$45,0)+IF(D348="preference",Assumptions!$B$44,0)+IF(E348="preference",Assumptions!$B$43,0)+IF(F348="preference",Assumptions!$B$42,0)+IF(G348="preference",Assumptions!$B$41,0)+IF(H348="preference",Assumptions!$B$40,0)</f>
        <v/>
      </c>
      <c r="J348">
        <f>IF(B348="convert",(Assumptions!$B$4/B343),0)+IF(C348="convert",(Assumptions!$B$39+F343),0)+IF(D348="convert",(Assumptions!$B$38+E343),0)+IF(E348="convert",Assumptions!$B$36,0)+IF(F348="convert",Assumptions!$B$35,0)+IF(G348="convert",Assumptions!$B$34,0)+IF(H348="convert",Assumptions!$B$33,0)</f>
        <v/>
      </c>
      <c r="K348">
        <f>(Assumptions!$B$46+Assumptions!$B$47+Assumptions!$B$48)+Assumptions!$B$49+(H343+I343)+J348</f>
        <v/>
      </c>
      <c r="L348">
        <f>(Assumptions!$B$13-I348+Assumptions!$B$31*Assumptions!$B$10)/(K348+Assumptions!$B$31)</f>
        <v/>
      </c>
      <c r="M348">
        <f>IF(L348&gt;Assumptions!$B$10,"yes","no")</f>
        <v/>
      </c>
      <c r="N348">
        <f>IF(M348="yes",L348,MAX(0,(Assumptions!$B$13-I348)/K348))</f>
        <v/>
      </c>
      <c r="O348">
        <f>IF(M348="yes",Assumptions!$B$31*(N348-Assumptions!$B$10),0)</f>
        <v/>
      </c>
    </row>
    <row r="349">
      <c r="A349" t="inlineStr">
        <is>
          <t>iter 1</t>
        </is>
      </c>
      <c r="B349">
        <f>IF(Assumptions!$B$4&gt;(Assumptions!$B$4/B343)*N348,"preference","convert")</f>
        <v/>
      </c>
      <c r="C349">
        <f>IF(Assumptions!$B$45&gt;(Assumptions!$B$39+F343)*N348,"preference","convert")</f>
        <v/>
      </c>
      <c r="D349">
        <f>IF(Assumptions!$B$44&gt;(Assumptions!$B$38+E343)*N348,"preference","convert")</f>
        <v/>
      </c>
      <c r="E349">
        <f>IF(Assumptions!$B$43&gt;Assumptions!$B$36*N348,"preference","convert")</f>
        <v/>
      </c>
      <c r="F349">
        <f>IF(Assumptions!$B$42&gt;Assumptions!$B$35*N348,"preference","convert")</f>
        <v/>
      </c>
      <c r="G349">
        <f>IF(Assumptions!$B$41&gt;Assumptions!$B$34*N348,"preference","convert")</f>
        <v/>
      </c>
      <c r="H349">
        <f>IF(Assumptions!$B$40&gt;Assumptions!$B$33*N348,"preference","convert")</f>
        <v/>
      </c>
      <c r="I349">
        <f>IF(B349="preference",Assumptions!$B$4,0)+IF(C349="preference",Assumptions!$B$45,0)+IF(D349="preference",Assumptions!$B$44,0)+IF(E349="preference",Assumptions!$B$43,0)+IF(F349="preference",Assumptions!$B$42,0)+IF(G349="preference",Assumptions!$B$41,0)+IF(H349="preference",Assumptions!$B$40,0)</f>
        <v/>
      </c>
      <c r="J349">
        <f>IF(B349="convert",(Assumptions!$B$4/B343),0)+IF(C349="convert",(Assumptions!$B$39+F343),0)+IF(D349="convert",(Assumptions!$B$38+E343),0)+IF(E349="convert",Assumptions!$B$36,0)+IF(F349="convert",Assumptions!$B$35,0)+IF(G349="convert",Assumptions!$B$34,0)+IF(H349="convert",Assumptions!$B$33,0)</f>
        <v/>
      </c>
      <c r="K349">
        <f>(Assumptions!$B$46+Assumptions!$B$47+Assumptions!$B$48)+Assumptions!$B$49+(H343+I343)+J349</f>
        <v/>
      </c>
      <c r="L349">
        <f>(Assumptions!$B$13-I349+Assumptions!$B$31*Assumptions!$B$10)/(K349+Assumptions!$B$31)</f>
        <v/>
      </c>
      <c r="M349">
        <f>IF(L349&gt;Assumptions!$B$10,"yes","no")</f>
        <v/>
      </c>
      <c r="N349">
        <f>IF(M349="yes",L349,MAX(0,(Assumptions!$B$13-I349)/K349))</f>
        <v/>
      </c>
      <c r="O349">
        <f>IF(M349="yes",Assumptions!$B$31*(N349-Assumptions!$B$10),0)</f>
        <v/>
      </c>
    </row>
    <row r="350">
      <c r="A350" t="inlineStr">
        <is>
          <t>iter 2</t>
        </is>
      </c>
      <c r="B350">
        <f>IF(Assumptions!$B$4&gt;(Assumptions!$B$4/B343)*N349,"preference","convert")</f>
        <v/>
      </c>
      <c r="C350">
        <f>IF(Assumptions!$B$45&gt;(Assumptions!$B$39+F343)*N349,"preference","convert")</f>
        <v/>
      </c>
      <c r="D350">
        <f>IF(Assumptions!$B$44&gt;(Assumptions!$B$38+E343)*N349,"preference","convert")</f>
        <v/>
      </c>
      <c r="E350">
        <f>IF(Assumptions!$B$43&gt;Assumptions!$B$36*N349,"preference","convert")</f>
        <v/>
      </c>
      <c r="F350">
        <f>IF(Assumptions!$B$42&gt;Assumptions!$B$35*N349,"preference","convert")</f>
        <v/>
      </c>
      <c r="G350">
        <f>IF(Assumptions!$B$41&gt;Assumptions!$B$34*N349,"preference","convert")</f>
        <v/>
      </c>
      <c r="H350">
        <f>IF(Assumptions!$B$40&gt;Assumptions!$B$33*N349,"preference","convert")</f>
        <v/>
      </c>
      <c r="I350">
        <f>IF(B350="preference",Assumptions!$B$4,0)+IF(C350="preference",Assumptions!$B$45,0)+IF(D350="preference",Assumptions!$B$44,0)+IF(E350="preference",Assumptions!$B$43,0)+IF(F350="preference",Assumptions!$B$42,0)+IF(G350="preference",Assumptions!$B$41,0)+IF(H350="preference",Assumptions!$B$40,0)</f>
        <v/>
      </c>
      <c r="J350">
        <f>IF(B350="convert",(Assumptions!$B$4/B343),0)+IF(C350="convert",(Assumptions!$B$39+F343),0)+IF(D350="convert",(Assumptions!$B$38+E343),0)+IF(E350="convert",Assumptions!$B$36,0)+IF(F350="convert",Assumptions!$B$35,0)+IF(G350="convert",Assumptions!$B$34,0)+IF(H350="convert",Assumptions!$B$33,0)</f>
        <v/>
      </c>
      <c r="K350">
        <f>(Assumptions!$B$46+Assumptions!$B$47+Assumptions!$B$48)+Assumptions!$B$49+(H343+I343)+J350</f>
        <v/>
      </c>
      <c r="L350">
        <f>(Assumptions!$B$13-I350+Assumptions!$B$31*Assumptions!$B$10)/(K350+Assumptions!$B$31)</f>
        <v/>
      </c>
      <c r="M350">
        <f>IF(L350&gt;Assumptions!$B$10,"yes","no")</f>
        <v/>
      </c>
      <c r="N350">
        <f>IF(M350="yes",L350,MAX(0,(Assumptions!$B$13-I350)/K350))</f>
        <v/>
      </c>
      <c r="O350">
        <f>IF(M350="yes",Assumptions!$B$31*(N350-Assumptions!$B$10),0)</f>
        <v/>
      </c>
    </row>
    <row r="351">
      <c r="A351" t="inlineStr">
        <is>
          <t>iter 3</t>
        </is>
      </c>
      <c r="B351">
        <f>IF(Assumptions!$B$4&gt;(Assumptions!$B$4/B343)*N350,"preference","convert")</f>
        <v/>
      </c>
      <c r="C351">
        <f>IF(Assumptions!$B$45&gt;(Assumptions!$B$39+F343)*N350,"preference","convert")</f>
        <v/>
      </c>
      <c r="D351">
        <f>IF(Assumptions!$B$44&gt;(Assumptions!$B$38+E343)*N350,"preference","convert")</f>
        <v/>
      </c>
      <c r="E351">
        <f>IF(Assumptions!$B$43&gt;Assumptions!$B$36*N350,"preference","convert")</f>
        <v/>
      </c>
      <c r="F351">
        <f>IF(Assumptions!$B$42&gt;Assumptions!$B$35*N350,"preference","convert")</f>
        <v/>
      </c>
      <c r="G351">
        <f>IF(Assumptions!$B$41&gt;Assumptions!$B$34*N350,"preference","convert")</f>
        <v/>
      </c>
      <c r="H351">
        <f>IF(Assumptions!$B$40&gt;Assumptions!$B$33*N350,"preference","convert")</f>
        <v/>
      </c>
      <c r="I351">
        <f>IF(B351="preference",Assumptions!$B$4,0)+IF(C351="preference",Assumptions!$B$45,0)+IF(D351="preference",Assumptions!$B$44,0)+IF(E351="preference",Assumptions!$B$43,0)+IF(F351="preference",Assumptions!$B$42,0)+IF(G351="preference",Assumptions!$B$41,0)+IF(H351="preference",Assumptions!$B$40,0)</f>
        <v/>
      </c>
      <c r="J351">
        <f>IF(B351="convert",(Assumptions!$B$4/B343),0)+IF(C351="convert",(Assumptions!$B$39+F343),0)+IF(D351="convert",(Assumptions!$B$38+E343),0)+IF(E351="convert",Assumptions!$B$36,0)+IF(F351="convert",Assumptions!$B$35,0)+IF(G351="convert",Assumptions!$B$34,0)+IF(H351="convert",Assumptions!$B$33,0)</f>
        <v/>
      </c>
      <c r="K351">
        <f>(Assumptions!$B$46+Assumptions!$B$47+Assumptions!$B$48)+Assumptions!$B$49+(H343+I343)+J351</f>
        <v/>
      </c>
      <c r="L351">
        <f>(Assumptions!$B$13-I351+Assumptions!$B$31*Assumptions!$B$10)/(K351+Assumptions!$B$31)</f>
        <v/>
      </c>
      <c r="M351">
        <f>IF(L351&gt;Assumptions!$B$10,"yes","no")</f>
        <v/>
      </c>
      <c r="N351">
        <f>IF(M351="yes",L351,MAX(0,(Assumptions!$B$13-I351)/K351))</f>
        <v/>
      </c>
      <c r="O351">
        <f>IF(M351="yes",Assumptions!$B$31*(N351-Assumptions!$B$10),0)</f>
        <v/>
      </c>
    </row>
    <row r="352">
      <c r="A352" t="inlineStr">
        <is>
          <t>iter 4</t>
        </is>
      </c>
      <c r="B352">
        <f>IF(Assumptions!$B$4&gt;(Assumptions!$B$4/B343)*N351,"preference","convert")</f>
        <v/>
      </c>
      <c r="C352">
        <f>IF(Assumptions!$B$45&gt;(Assumptions!$B$39+F343)*N351,"preference","convert")</f>
        <v/>
      </c>
      <c r="D352">
        <f>IF(Assumptions!$B$44&gt;(Assumptions!$B$38+E343)*N351,"preference","convert")</f>
        <v/>
      </c>
      <c r="E352">
        <f>IF(Assumptions!$B$43&gt;Assumptions!$B$36*N351,"preference","convert")</f>
        <v/>
      </c>
      <c r="F352">
        <f>IF(Assumptions!$B$42&gt;Assumptions!$B$35*N351,"preference","convert")</f>
        <v/>
      </c>
      <c r="G352">
        <f>IF(Assumptions!$B$41&gt;Assumptions!$B$34*N351,"preference","convert")</f>
        <v/>
      </c>
      <c r="H352">
        <f>IF(Assumptions!$B$40&gt;Assumptions!$B$33*N351,"preference","convert")</f>
        <v/>
      </c>
      <c r="I352">
        <f>IF(B352="preference",Assumptions!$B$4,0)+IF(C352="preference",Assumptions!$B$45,0)+IF(D352="preference",Assumptions!$B$44,0)+IF(E352="preference",Assumptions!$B$43,0)+IF(F352="preference",Assumptions!$B$42,0)+IF(G352="preference",Assumptions!$B$41,0)+IF(H352="preference",Assumptions!$B$40,0)</f>
        <v/>
      </c>
      <c r="J352">
        <f>IF(B352="convert",(Assumptions!$B$4/B343),0)+IF(C352="convert",(Assumptions!$B$39+F343),0)+IF(D352="convert",(Assumptions!$B$38+E343),0)+IF(E352="convert",Assumptions!$B$36,0)+IF(F352="convert",Assumptions!$B$35,0)+IF(G352="convert",Assumptions!$B$34,0)+IF(H352="convert",Assumptions!$B$33,0)</f>
        <v/>
      </c>
      <c r="K352">
        <f>(Assumptions!$B$46+Assumptions!$B$47+Assumptions!$B$48)+Assumptions!$B$49+(H343+I343)+J352</f>
        <v/>
      </c>
      <c r="L352">
        <f>(Assumptions!$B$13-I352+Assumptions!$B$31*Assumptions!$B$10)/(K352+Assumptions!$B$31)</f>
        <v/>
      </c>
      <c r="M352">
        <f>IF(L352&gt;Assumptions!$B$10,"yes","no")</f>
        <v/>
      </c>
      <c r="N352">
        <f>IF(M352="yes",L352,MAX(0,(Assumptions!$B$13-I352)/K352))</f>
        <v/>
      </c>
      <c r="O352">
        <f>IF(M352="yes",Assumptions!$B$31*(N352-Assumptions!$B$10),0)</f>
        <v/>
      </c>
    </row>
    <row r="353">
      <c r="A353" t="inlineStr">
        <is>
          <t>iter 5</t>
        </is>
      </c>
      <c r="B353">
        <f>IF(Assumptions!$B$4&gt;(Assumptions!$B$4/B343)*N352,"preference","convert")</f>
        <v/>
      </c>
      <c r="C353">
        <f>IF(Assumptions!$B$45&gt;(Assumptions!$B$39+F343)*N352,"preference","convert")</f>
        <v/>
      </c>
      <c r="D353">
        <f>IF(Assumptions!$B$44&gt;(Assumptions!$B$38+E343)*N352,"preference","convert")</f>
        <v/>
      </c>
      <c r="E353">
        <f>IF(Assumptions!$B$43&gt;Assumptions!$B$36*N352,"preference","convert")</f>
        <v/>
      </c>
      <c r="F353">
        <f>IF(Assumptions!$B$42&gt;Assumptions!$B$35*N352,"preference","convert")</f>
        <v/>
      </c>
      <c r="G353">
        <f>IF(Assumptions!$B$41&gt;Assumptions!$B$34*N352,"preference","convert")</f>
        <v/>
      </c>
      <c r="H353">
        <f>IF(Assumptions!$B$40&gt;Assumptions!$B$33*N352,"preference","convert")</f>
        <v/>
      </c>
      <c r="I353">
        <f>IF(B353="preference",Assumptions!$B$4,0)+IF(C353="preference",Assumptions!$B$45,0)+IF(D353="preference",Assumptions!$B$44,0)+IF(E353="preference",Assumptions!$B$43,0)+IF(F353="preference",Assumptions!$B$42,0)+IF(G353="preference",Assumptions!$B$41,0)+IF(H353="preference",Assumptions!$B$40,0)</f>
        <v/>
      </c>
      <c r="J353">
        <f>IF(B353="convert",(Assumptions!$B$4/B343),0)+IF(C353="convert",(Assumptions!$B$39+F343),0)+IF(D353="convert",(Assumptions!$B$38+E343),0)+IF(E353="convert",Assumptions!$B$36,0)+IF(F353="convert",Assumptions!$B$35,0)+IF(G353="convert",Assumptions!$B$34,0)+IF(H353="convert",Assumptions!$B$33,0)</f>
        <v/>
      </c>
      <c r="K353">
        <f>(Assumptions!$B$46+Assumptions!$B$47+Assumptions!$B$48)+Assumptions!$B$49+(H343+I343)+J353</f>
        <v/>
      </c>
      <c r="L353">
        <f>(Assumptions!$B$13-I353+Assumptions!$B$31*Assumptions!$B$10)/(K353+Assumptions!$B$31)</f>
        <v/>
      </c>
      <c r="M353">
        <f>IF(L353&gt;Assumptions!$B$10,"yes","no")</f>
        <v/>
      </c>
      <c r="N353">
        <f>IF(M353="yes",L353,MAX(0,(Assumptions!$B$13-I353)/K353))</f>
        <v/>
      </c>
      <c r="O353">
        <f>IF(M353="yes",Assumptions!$B$31*(N353-Assumptions!$B$10),0)</f>
        <v/>
      </c>
    </row>
    <row r="354">
      <c r="A354" t="inlineStr">
        <is>
          <t>iter 6</t>
        </is>
      </c>
      <c r="B354">
        <f>IF(Assumptions!$B$4&gt;(Assumptions!$B$4/B343)*N353,"preference","convert")</f>
        <v/>
      </c>
      <c r="C354">
        <f>IF(Assumptions!$B$45&gt;(Assumptions!$B$39+F343)*N353,"preference","convert")</f>
        <v/>
      </c>
      <c r="D354">
        <f>IF(Assumptions!$B$44&gt;(Assumptions!$B$38+E343)*N353,"preference","convert")</f>
        <v/>
      </c>
      <c r="E354">
        <f>IF(Assumptions!$B$43&gt;Assumptions!$B$36*N353,"preference","convert")</f>
        <v/>
      </c>
      <c r="F354">
        <f>IF(Assumptions!$B$42&gt;Assumptions!$B$35*N353,"preference","convert")</f>
        <v/>
      </c>
      <c r="G354">
        <f>IF(Assumptions!$B$41&gt;Assumptions!$B$34*N353,"preference","convert")</f>
        <v/>
      </c>
      <c r="H354">
        <f>IF(Assumptions!$B$40&gt;Assumptions!$B$33*N353,"preference","convert")</f>
        <v/>
      </c>
      <c r="I354">
        <f>IF(B354="preference",Assumptions!$B$4,0)+IF(C354="preference",Assumptions!$B$45,0)+IF(D354="preference",Assumptions!$B$44,0)+IF(E354="preference",Assumptions!$B$43,0)+IF(F354="preference",Assumptions!$B$42,0)+IF(G354="preference",Assumptions!$B$41,0)+IF(H354="preference",Assumptions!$B$40,0)</f>
        <v/>
      </c>
      <c r="J354">
        <f>IF(B354="convert",(Assumptions!$B$4/B343),0)+IF(C354="convert",(Assumptions!$B$39+F343),0)+IF(D354="convert",(Assumptions!$B$38+E343),0)+IF(E354="convert",Assumptions!$B$36,0)+IF(F354="convert",Assumptions!$B$35,0)+IF(G354="convert",Assumptions!$B$34,0)+IF(H354="convert",Assumptions!$B$33,0)</f>
        <v/>
      </c>
      <c r="K354">
        <f>(Assumptions!$B$46+Assumptions!$B$47+Assumptions!$B$48)+Assumptions!$B$49+(H343+I343)+J354</f>
        <v/>
      </c>
      <c r="L354">
        <f>(Assumptions!$B$13-I354+Assumptions!$B$31*Assumptions!$B$10)/(K354+Assumptions!$B$31)</f>
        <v/>
      </c>
      <c r="M354">
        <f>IF(L354&gt;Assumptions!$B$10,"yes","no")</f>
        <v/>
      </c>
      <c r="N354">
        <f>IF(M354="yes",L354,MAX(0,(Assumptions!$B$13-I354)/K354))</f>
        <v/>
      </c>
      <c r="O354">
        <f>IF(M354="yes",Assumptions!$B$31*(N354-Assumptions!$B$10),0)</f>
        <v/>
      </c>
    </row>
    <row r="355">
      <c r="A355" t="inlineStr">
        <is>
          <t>iter 7</t>
        </is>
      </c>
      <c r="B355">
        <f>IF(Assumptions!$B$4&gt;(Assumptions!$B$4/B343)*N354,"preference","convert")</f>
        <v/>
      </c>
      <c r="C355">
        <f>IF(Assumptions!$B$45&gt;(Assumptions!$B$39+F343)*N354,"preference","convert")</f>
        <v/>
      </c>
      <c r="D355">
        <f>IF(Assumptions!$B$44&gt;(Assumptions!$B$38+E343)*N354,"preference","convert")</f>
        <v/>
      </c>
      <c r="E355">
        <f>IF(Assumptions!$B$43&gt;Assumptions!$B$36*N354,"preference","convert")</f>
        <v/>
      </c>
      <c r="F355">
        <f>IF(Assumptions!$B$42&gt;Assumptions!$B$35*N354,"preference","convert")</f>
        <v/>
      </c>
      <c r="G355">
        <f>IF(Assumptions!$B$41&gt;Assumptions!$B$34*N354,"preference","convert")</f>
        <v/>
      </c>
      <c r="H355">
        <f>IF(Assumptions!$B$40&gt;Assumptions!$B$33*N354,"preference","convert")</f>
        <v/>
      </c>
      <c r="I355">
        <f>IF(B355="preference",Assumptions!$B$4,0)+IF(C355="preference",Assumptions!$B$45,0)+IF(D355="preference",Assumptions!$B$44,0)+IF(E355="preference",Assumptions!$B$43,0)+IF(F355="preference",Assumptions!$B$42,0)+IF(G355="preference",Assumptions!$B$41,0)+IF(H355="preference",Assumptions!$B$40,0)</f>
        <v/>
      </c>
      <c r="J355">
        <f>IF(B355="convert",(Assumptions!$B$4/B343),0)+IF(C355="convert",(Assumptions!$B$39+F343),0)+IF(D355="convert",(Assumptions!$B$38+E343),0)+IF(E355="convert",Assumptions!$B$36,0)+IF(F355="convert",Assumptions!$B$35,0)+IF(G355="convert",Assumptions!$B$34,0)+IF(H355="convert",Assumptions!$B$33,0)</f>
        <v/>
      </c>
      <c r="K355">
        <f>(Assumptions!$B$46+Assumptions!$B$47+Assumptions!$B$48)+Assumptions!$B$49+(H343+I343)+J355</f>
        <v/>
      </c>
      <c r="L355">
        <f>(Assumptions!$B$13-I355+Assumptions!$B$31*Assumptions!$B$10)/(K355+Assumptions!$B$31)</f>
        <v/>
      </c>
      <c r="M355">
        <f>IF(L355&gt;Assumptions!$B$10,"yes","no")</f>
        <v/>
      </c>
      <c r="N355">
        <f>IF(M355="yes",L355,MAX(0,(Assumptions!$B$13-I355)/K355))</f>
        <v/>
      </c>
      <c r="O355">
        <f>IF(M355="yes",Assumptions!$B$31*(N355-Assumptions!$B$10),0)</f>
        <v/>
      </c>
    </row>
    <row r="356">
      <c r="A356" t="inlineStr">
        <is>
          <t>iter 8</t>
        </is>
      </c>
      <c r="B356">
        <f>IF(Assumptions!$B$4&gt;(Assumptions!$B$4/B343)*N355,"preference","convert")</f>
        <v/>
      </c>
      <c r="C356">
        <f>IF(Assumptions!$B$45&gt;(Assumptions!$B$39+F343)*N355,"preference","convert")</f>
        <v/>
      </c>
      <c r="D356">
        <f>IF(Assumptions!$B$44&gt;(Assumptions!$B$38+E343)*N355,"preference","convert")</f>
        <v/>
      </c>
      <c r="E356">
        <f>IF(Assumptions!$B$43&gt;Assumptions!$B$36*N355,"preference","convert")</f>
        <v/>
      </c>
      <c r="F356">
        <f>IF(Assumptions!$B$42&gt;Assumptions!$B$35*N355,"preference","convert")</f>
        <v/>
      </c>
      <c r="G356">
        <f>IF(Assumptions!$B$41&gt;Assumptions!$B$34*N355,"preference","convert")</f>
        <v/>
      </c>
      <c r="H356">
        <f>IF(Assumptions!$B$40&gt;Assumptions!$B$33*N355,"preference","convert")</f>
        <v/>
      </c>
      <c r="I356">
        <f>IF(B356="preference",Assumptions!$B$4,0)+IF(C356="preference",Assumptions!$B$45,0)+IF(D356="preference",Assumptions!$B$44,0)+IF(E356="preference",Assumptions!$B$43,0)+IF(F356="preference",Assumptions!$B$42,0)+IF(G356="preference",Assumptions!$B$41,0)+IF(H356="preference",Assumptions!$B$40,0)</f>
        <v/>
      </c>
      <c r="J356">
        <f>IF(B356="convert",(Assumptions!$B$4/B343),0)+IF(C356="convert",(Assumptions!$B$39+F343),0)+IF(D356="convert",(Assumptions!$B$38+E343),0)+IF(E356="convert",Assumptions!$B$36,0)+IF(F356="convert",Assumptions!$B$35,0)+IF(G356="convert",Assumptions!$B$34,0)+IF(H356="convert",Assumptions!$B$33,0)</f>
        <v/>
      </c>
      <c r="K356">
        <f>(Assumptions!$B$46+Assumptions!$B$47+Assumptions!$B$48)+Assumptions!$B$49+(H343+I343)+J356</f>
        <v/>
      </c>
      <c r="L356">
        <f>(Assumptions!$B$13-I356+Assumptions!$B$31*Assumptions!$B$10)/(K356+Assumptions!$B$31)</f>
        <v/>
      </c>
      <c r="M356">
        <f>IF(L356&gt;Assumptions!$B$10,"yes","no")</f>
        <v/>
      </c>
      <c r="N356">
        <f>IF(M356="yes",L356,MAX(0,(Assumptions!$B$13-I356)/K356))</f>
        <v/>
      </c>
      <c r="O356">
        <f>IF(M356="yes",Assumptions!$B$31*(N356-Assumptions!$B$10),0)</f>
        <v/>
      </c>
    </row>
    <row r="357">
      <c r="A357" t="inlineStr">
        <is>
          <t>iter 9</t>
        </is>
      </c>
      <c r="B357">
        <f>IF(Assumptions!$B$4&gt;(Assumptions!$B$4/B343)*N356,"preference","convert")</f>
        <v/>
      </c>
      <c r="C357">
        <f>IF(Assumptions!$B$45&gt;(Assumptions!$B$39+F343)*N356,"preference","convert")</f>
        <v/>
      </c>
      <c r="D357">
        <f>IF(Assumptions!$B$44&gt;(Assumptions!$B$38+E343)*N356,"preference","convert")</f>
        <v/>
      </c>
      <c r="E357">
        <f>IF(Assumptions!$B$43&gt;Assumptions!$B$36*N356,"preference","convert")</f>
        <v/>
      </c>
      <c r="F357">
        <f>IF(Assumptions!$B$42&gt;Assumptions!$B$35*N356,"preference","convert")</f>
        <v/>
      </c>
      <c r="G357">
        <f>IF(Assumptions!$B$41&gt;Assumptions!$B$34*N356,"preference","convert")</f>
        <v/>
      </c>
      <c r="H357">
        <f>IF(Assumptions!$B$40&gt;Assumptions!$B$33*N356,"preference","convert")</f>
        <v/>
      </c>
      <c r="I357">
        <f>IF(B357="preference",Assumptions!$B$4,0)+IF(C357="preference",Assumptions!$B$45,0)+IF(D357="preference",Assumptions!$B$44,0)+IF(E357="preference",Assumptions!$B$43,0)+IF(F357="preference",Assumptions!$B$42,0)+IF(G357="preference",Assumptions!$B$41,0)+IF(H357="preference",Assumptions!$B$40,0)</f>
        <v/>
      </c>
      <c r="J357">
        <f>IF(B357="convert",(Assumptions!$B$4/B343),0)+IF(C357="convert",(Assumptions!$B$39+F343),0)+IF(D357="convert",(Assumptions!$B$38+E343),0)+IF(E357="convert",Assumptions!$B$36,0)+IF(F357="convert",Assumptions!$B$35,0)+IF(G357="convert",Assumptions!$B$34,0)+IF(H357="convert",Assumptions!$B$33,0)</f>
        <v/>
      </c>
      <c r="K357">
        <f>(Assumptions!$B$46+Assumptions!$B$47+Assumptions!$B$48)+Assumptions!$B$49+(H343+I343)+J357</f>
        <v/>
      </c>
      <c r="L357">
        <f>(Assumptions!$B$13-I357+Assumptions!$B$31*Assumptions!$B$10)/(K357+Assumptions!$B$31)</f>
        <v/>
      </c>
      <c r="M357">
        <f>IF(L357&gt;Assumptions!$B$10,"yes","no")</f>
        <v/>
      </c>
      <c r="N357">
        <f>IF(M357="yes",L357,MAX(0,(Assumptions!$B$13-I357)/K357))</f>
        <v/>
      </c>
      <c r="O357">
        <f>IF(M357="yes",Assumptions!$B$31*(N357-Assumptions!$B$10),0)</f>
        <v/>
      </c>
    </row>
    <row r="358">
      <c r="A358" t="inlineStr">
        <is>
          <t>iter 10</t>
        </is>
      </c>
      <c r="B358">
        <f>IF(Assumptions!$B$4&gt;(Assumptions!$B$4/B343)*N357,"preference","convert")</f>
        <v/>
      </c>
      <c r="C358">
        <f>IF(Assumptions!$B$45&gt;(Assumptions!$B$39+F343)*N357,"preference","convert")</f>
        <v/>
      </c>
      <c r="D358">
        <f>IF(Assumptions!$B$44&gt;(Assumptions!$B$38+E343)*N357,"preference","convert")</f>
        <v/>
      </c>
      <c r="E358">
        <f>IF(Assumptions!$B$43&gt;Assumptions!$B$36*N357,"preference","convert")</f>
        <v/>
      </c>
      <c r="F358">
        <f>IF(Assumptions!$B$42&gt;Assumptions!$B$35*N357,"preference","convert")</f>
        <v/>
      </c>
      <c r="G358">
        <f>IF(Assumptions!$B$41&gt;Assumptions!$B$34*N357,"preference","convert")</f>
        <v/>
      </c>
      <c r="H358">
        <f>IF(Assumptions!$B$40&gt;Assumptions!$B$33*N357,"preference","convert")</f>
        <v/>
      </c>
      <c r="I358">
        <f>IF(B358="preference",Assumptions!$B$4,0)+IF(C358="preference",Assumptions!$B$45,0)+IF(D358="preference",Assumptions!$B$44,0)+IF(E358="preference",Assumptions!$B$43,0)+IF(F358="preference",Assumptions!$B$42,0)+IF(G358="preference",Assumptions!$B$41,0)+IF(H358="preference",Assumptions!$B$40,0)</f>
        <v/>
      </c>
      <c r="J358">
        <f>IF(B358="convert",(Assumptions!$B$4/B343),0)+IF(C358="convert",(Assumptions!$B$39+F343),0)+IF(D358="convert",(Assumptions!$B$38+E343),0)+IF(E358="convert",Assumptions!$B$36,0)+IF(F358="convert",Assumptions!$B$35,0)+IF(G358="convert",Assumptions!$B$34,0)+IF(H358="convert",Assumptions!$B$33,0)</f>
        <v/>
      </c>
      <c r="K358">
        <f>(Assumptions!$B$46+Assumptions!$B$47+Assumptions!$B$48)+Assumptions!$B$49+(H343+I343)+J358</f>
        <v/>
      </c>
      <c r="L358">
        <f>(Assumptions!$B$13-I358+Assumptions!$B$31*Assumptions!$B$10)/(K358+Assumptions!$B$31)</f>
        <v/>
      </c>
      <c r="M358">
        <f>IF(L358&gt;Assumptions!$B$10,"yes","no")</f>
        <v/>
      </c>
      <c r="N358">
        <f>IF(M358="yes",L358,MAX(0,(Assumptions!$B$13-I358)/K358))</f>
        <v/>
      </c>
      <c r="O358">
        <f>IF(M358="yes",Assumptions!$B$31*(N358-Assumptions!$B$10),0)</f>
        <v/>
      </c>
    </row>
    <row r="359">
      <c r="A359" t="inlineStr">
        <is>
          <t>iter 11</t>
        </is>
      </c>
      <c r="B359">
        <f>IF(Assumptions!$B$4&gt;(Assumptions!$B$4/B343)*N358,"preference","convert")</f>
        <v/>
      </c>
      <c r="C359">
        <f>IF(Assumptions!$B$45&gt;(Assumptions!$B$39+F343)*N358,"preference","convert")</f>
        <v/>
      </c>
      <c r="D359">
        <f>IF(Assumptions!$B$44&gt;(Assumptions!$B$38+E343)*N358,"preference","convert")</f>
        <v/>
      </c>
      <c r="E359">
        <f>IF(Assumptions!$B$43&gt;Assumptions!$B$36*N358,"preference","convert")</f>
        <v/>
      </c>
      <c r="F359">
        <f>IF(Assumptions!$B$42&gt;Assumptions!$B$35*N358,"preference","convert")</f>
        <v/>
      </c>
      <c r="G359">
        <f>IF(Assumptions!$B$41&gt;Assumptions!$B$34*N358,"preference","convert")</f>
        <v/>
      </c>
      <c r="H359">
        <f>IF(Assumptions!$B$40&gt;Assumptions!$B$33*N358,"preference","convert")</f>
        <v/>
      </c>
      <c r="I359">
        <f>IF(B359="preference",Assumptions!$B$4,0)+IF(C359="preference",Assumptions!$B$45,0)+IF(D359="preference",Assumptions!$B$44,0)+IF(E359="preference",Assumptions!$B$43,0)+IF(F359="preference",Assumptions!$B$42,0)+IF(G359="preference",Assumptions!$B$41,0)+IF(H359="preference",Assumptions!$B$40,0)</f>
        <v/>
      </c>
      <c r="J359">
        <f>IF(B359="convert",(Assumptions!$B$4/B343),0)+IF(C359="convert",(Assumptions!$B$39+F343),0)+IF(D359="convert",(Assumptions!$B$38+E343),0)+IF(E359="convert",Assumptions!$B$36,0)+IF(F359="convert",Assumptions!$B$35,0)+IF(G359="convert",Assumptions!$B$34,0)+IF(H359="convert",Assumptions!$B$33,0)</f>
        <v/>
      </c>
      <c r="K359">
        <f>(Assumptions!$B$46+Assumptions!$B$47+Assumptions!$B$48)+Assumptions!$B$49+(H343+I343)+J359</f>
        <v/>
      </c>
      <c r="L359">
        <f>(Assumptions!$B$13-I359+Assumptions!$B$31*Assumptions!$B$10)/(K359+Assumptions!$B$31)</f>
        <v/>
      </c>
      <c r="M359">
        <f>IF(L359&gt;Assumptions!$B$10,"yes","no")</f>
        <v/>
      </c>
      <c r="N359">
        <f>IF(M359="yes",L359,MAX(0,(Assumptions!$B$13-I359)/K359))</f>
        <v/>
      </c>
      <c r="O359">
        <f>IF(M359="yes",Assumptions!$B$31*(N359-Assumptions!$B$10),0)</f>
        <v/>
      </c>
    </row>
    <row r="360">
      <c r="A360" t="inlineStr">
        <is>
          <t>iter 12</t>
        </is>
      </c>
      <c r="B360">
        <f>IF(Assumptions!$B$4&gt;(Assumptions!$B$4/B343)*N359,"preference","convert")</f>
        <v/>
      </c>
      <c r="C360">
        <f>IF(Assumptions!$B$45&gt;(Assumptions!$B$39+F343)*N359,"preference","convert")</f>
        <v/>
      </c>
      <c r="D360">
        <f>IF(Assumptions!$B$44&gt;(Assumptions!$B$38+E343)*N359,"preference","convert")</f>
        <v/>
      </c>
      <c r="E360">
        <f>IF(Assumptions!$B$43&gt;Assumptions!$B$36*N359,"preference","convert")</f>
        <v/>
      </c>
      <c r="F360">
        <f>IF(Assumptions!$B$42&gt;Assumptions!$B$35*N359,"preference","convert")</f>
        <v/>
      </c>
      <c r="G360">
        <f>IF(Assumptions!$B$41&gt;Assumptions!$B$34*N359,"preference","convert")</f>
        <v/>
      </c>
      <c r="H360">
        <f>IF(Assumptions!$B$40&gt;Assumptions!$B$33*N359,"preference","convert")</f>
        <v/>
      </c>
      <c r="I360">
        <f>IF(B360="preference",Assumptions!$B$4,0)+IF(C360="preference",Assumptions!$B$45,0)+IF(D360="preference",Assumptions!$B$44,0)+IF(E360="preference",Assumptions!$B$43,0)+IF(F360="preference",Assumptions!$B$42,0)+IF(G360="preference",Assumptions!$B$41,0)+IF(H360="preference",Assumptions!$B$40,0)</f>
        <v/>
      </c>
      <c r="J360">
        <f>IF(B360="convert",(Assumptions!$B$4/B343),0)+IF(C360="convert",(Assumptions!$B$39+F343),0)+IF(D360="convert",(Assumptions!$B$38+E343),0)+IF(E360="convert",Assumptions!$B$36,0)+IF(F360="convert",Assumptions!$B$35,0)+IF(G360="convert",Assumptions!$B$34,0)+IF(H360="convert",Assumptions!$B$33,0)</f>
        <v/>
      </c>
      <c r="K360">
        <f>(Assumptions!$B$46+Assumptions!$B$47+Assumptions!$B$48)+Assumptions!$B$49+(H343+I343)+J360</f>
        <v/>
      </c>
      <c r="L360">
        <f>(Assumptions!$B$13-I360+Assumptions!$B$31*Assumptions!$B$10)/(K360+Assumptions!$B$31)</f>
        <v/>
      </c>
      <c r="M360">
        <f>IF(L360&gt;Assumptions!$B$10,"yes","no")</f>
        <v/>
      </c>
      <c r="N360">
        <f>IF(M360="yes",L360,MAX(0,(Assumptions!$B$13-I360)/K360))</f>
        <v/>
      </c>
      <c r="O360">
        <f>IF(M360="yes",Assumptions!$B$31*(N360-Assumptions!$B$10),0)</f>
        <v/>
      </c>
    </row>
    <row r="361">
      <c r="A361" t="inlineStr">
        <is>
          <t>iter 13</t>
        </is>
      </c>
      <c r="B361">
        <f>IF(Assumptions!$B$4&gt;(Assumptions!$B$4/B343)*N360,"preference","convert")</f>
        <v/>
      </c>
      <c r="C361">
        <f>IF(Assumptions!$B$45&gt;(Assumptions!$B$39+F343)*N360,"preference","convert")</f>
        <v/>
      </c>
      <c r="D361">
        <f>IF(Assumptions!$B$44&gt;(Assumptions!$B$38+E343)*N360,"preference","convert")</f>
        <v/>
      </c>
      <c r="E361">
        <f>IF(Assumptions!$B$43&gt;Assumptions!$B$36*N360,"preference","convert")</f>
        <v/>
      </c>
      <c r="F361">
        <f>IF(Assumptions!$B$42&gt;Assumptions!$B$35*N360,"preference","convert")</f>
        <v/>
      </c>
      <c r="G361">
        <f>IF(Assumptions!$B$41&gt;Assumptions!$B$34*N360,"preference","convert")</f>
        <v/>
      </c>
      <c r="H361">
        <f>IF(Assumptions!$B$40&gt;Assumptions!$B$33*N360,"preference","convert")</f>
        <v/>
      </c>
      <c r="I361">
        <f>IF(B361="preference",Assumptions!$B$4,0)+IF(C361="preference",Assumptions!$B$45,0)+IF(D361="preference",Assumptions!$B$44,0)+IF(E361="preference",Assumptions!$B$43,0)+IF(F361="preference",Assumptions!$B$42,0)+IF(G361="preference",Assumptions!$B$41,0)+IF(H361="preference",Assumptions!$B$40,0)</f>
        <v/>
      </c>
      <c r="J361">
        <f>IF(B361="convert",(Assumptions!$B$4/B343),0)+IF(C361="convert",(Assumptions!$B$39+F343),0)+IF(D361="convert",(Assumptions!$B$38+E343),0)+IF(E361="convert",Assumptions!$B$36,0)+IF(F361="convert",Assumptions!$B$35,0)+IF(G361="convert",Assumptions!$B$34,0)+IF(H361="convert",Assumptions!$B$33,0)</f>
        <v/>
      </c>
      <c r="K361">
        <f>(Assumptions!$B$46+Assumptions!$B$47+Assumptions!$B$48)+Assumptions!$B$49+(H343+I343)+J361</f>
        <v/>
      </c>
      <c r="L361">
        <f>(Assumptions!$B$13-I361+Assumptions!$B$31*Assumptions!$B$10)/(K361+Assumptions!$B$31)</f>
        <v/>
      </c>
      <c r="M361">
        <f>IF(L361&gt;Assumptions!$B$10,"yes","no")</f>
        <v/>
      </c>
      <c r="N361">
        <f>IF(M361="yes",L361,MAX(0,(Assumptions!$B$13-I361)/K361))</f>
        <v/>
      </c>
      <c r="O361">
        <f>IF(M361="yes",Assumptions!$B$31*(N361-Assumptions!$B$10),0)</f>
        <v/>
      </c>
    </row>
    <row r="362">
      <c r="A362" t="inlineStr">
        <is>
          <t>iter 14</t>
        </is>
      </c>
      <c r="B362">
        <f>IF(Assumptions!$B$4&gt;(Assumptions!$B$4/B343)*N361,"preference","convert")</f>
        <v/>
      </c>
      <c r="C362">
        <f>IF(Assumptions!$B$45&gt;(Assumptions!$B$39+F343)*N361,"preference","convert")</f>
        <v/>
      </c>
      <c r="D362">
        <f>IF(Assumptions!$B$44&gt;(Assumptions!$B$38+E343)*N361,"preference","convert")</f>
        <v/>
      </c>
      <c r="E362">
        <f>IF(Assumptions!$B$43&gt;Assumptions!$B$36*N361,"preference","convert")</f>
        <v/>
      </c>
      <c r="F362">
        <f>IF(Assumptions!$B$42&gt;Assumptions!$B$35*N361,"preference","convert")</f>
        <v/>
      </c>
      <c r="G362">
        <f>IF(Assumptions!$B$41&gt;Assumptions!$B$34*N361,"preference","convert")</f>
        <v/>
      </c>
      <c r="H362">
        <f>IF(Assumptions!$B$40&gt;Assumptions!$B$33*N361,"preference","convert")</f>
        <v/>
      </c>
      <c r="I362">
        <f>IF(B362="preference",Assumptions!$B$4,0)+IF(C362="preference",Assumptions!$B$45,0)+IF(D362="preference",Assumptions!$B$44,0)+IF(E362="preference",Assumptions!$B$43,0)+IF(F362="preference",Assumptions!$B$42,0)+IF(G362="preference",Assumptions!$B$41,0)+IF(H362="preference",Assumptions!$B$40,0)</f>
        <v/>
      </c>
      <c r="J362">
        <f>IF(B362="convert",(Assumptions!$B$4/B343),0)+IF(C362="convert",(Assumptions!$B$39+F343),0)+IF(D362="convert",(Assumptions!$B$38+E343),0)+IF(E362="convert",Assumptions!$B$36,0)+IF(F362="convert",Assumptions!$B$35,0)+IF(G362="convert",Assumptions!$B$34,0)+IF(H362="convert",Assumptions!$B$33,0)</f>
        <v/>
      </c>
      <c r="K362">
        <f>(Assumptions!$B$46+Assumptions!$B$47+Assumptions!$B$48)+Assumptions!$B$49+(H343+I343)+J362</f>
        <v/>
      </c>
      <c r="L362">
        <f>(Assumptions!$B$13-I362+Assumptions!$B$31*Assumptions!$B$10)/(K362+Assumptions!$B$31)</f>
        <v/>
      </c>
      <c r="M362">
        <f>IF(L362&gt;Assumptions!$B$10,"yes","no")</f>
        <v/>
      </c>
      <c r="N362">
        <f>IF(M362="yes",L362,MAX(0,(Assumptions!$B$13-I362)/K362))</f>
        <v/>
      </c>
      <c r="O362">
        <f>IF(M362="yes",Assumptions!$B$31*(N362-Assumptions!$B$10),0)</f>
        <v/>
      </c>
    </row>
    <row r="363">
      <c r="A363" t="inlineStr">
        <is>
          <t>iter 15</t>
        </is>
      </c>
      <c r="B363">
        <f>IF(Assumptions!$B$4&gt;(Assumptions!$B$4/B343)*N362,"preference","convert")</f>
        <v/>
      </c>
      <c r="C363">
        <f>IF(Assumptions!$B$45&gt;(Assumptions!$B$39+F343)*N362,"preference","convert")</f>
        <v/>
      </c>
      <c r="D363">
        <f>IF(Assumptions!$B$44&gt;(Assumptions!$B$38+E343)*N362,"preference","convert")</f>
        <v/>
      </c>
      <c r="E363">
        <f>IF(Assumptions!$B$43&gt;Assumptions!$B$36*N362,"preference","convert")</f>
        <v/>
      </c>
      <c r="F363">
        <f>IF(Assumptions!$B$42&gt;Assumptions!$B$35*N362,"preference","convert")</f>
        <v/>
      </c>
      <c r="G363">
        <f>IF(Assumptions!$B$41&gt;Assumptions!$B$34*N362,"preference","convert")</f>
        <v/>
      </c>
      <c r="H363">
        <f>IF(Assumptions!$B$40&gt;Assumptions!$B$33*N362,"preference","convert")</f>
        <v/>
      </c>
      <c r="I363">
        <f>IF(B363="preference",Assumptions!$B$4,0)+IF(C363="preference",Assumptions!$B$45,0)+IF(D363="preference",Assumptions!$B$44,0)+IF(E363="preference",Assumptions!$B$43,0)+IF(F363="preference",Assumptions!$B$42,0)+IF(G363="preference",Assumptions!$B$41,0)+IF(H363="preference",Assumptions!$B$40,0)</f>
        <v/>
      </c>
      <c r="J363">
        <f>IF(B363="convert",(Assumptions!$B$4/B343),0)+IF(C363="convert",(Assumptions!$B$39+F343),0)+IF(D363="convert",(Assumptions!$B$38+E343),0)+IF(E363="convert",Assumptions!$B$36,0)+IF(F363="convert",Assumptions!$B$35,0)+IF(G363="convert",Assumptions!$B$34,0)+IF(H363="convert",Assumptions!$B$33,0)</f>
        <v/>
      </c>
      <c r="K363">
        <f>(Assumptions!$B$46+Assumptions!$B$47+Assumptions!$B$48)+Assumptions!$B$49+(H343+I343)+J363</f>
        <v/>
      </c>
      <c r="L363">
        <f>(Assumptions!$B$13-I363+Assumptions!$B$31*Assumptions!$B$10)/(K363+Assumptions!$B$31)</f>
        <v/>
      </c>
      <c r="M363">
        <f>IF(L363&gt;Assumptions!$B$10,"yes","no")</f>
        <v/>
      </c>
      <c r="N363">
        <f>IF(M363="yes",L363,MAX(0,(Assumptions!$B$13-I363)/K363))</f>
        <v/>
      </c>
      <c r="O363">
        <f>IF(M363="yes",Assumptions!$B$31*(N363-Assumptions!$B$10),0)</f>
        <v/>
      </c>
    </row>
    <row r="364">
      <c r="A364" t="inlineStr">
        <is>
          <t>iter 16</t>
        </is>
      </c>
      <c r="B364">
        <f>IF(Assumptions!$B$4&gt;(Assumptions!$B$4/B343)*N363,"preference","convert")</f>
        <v/>
      </c>
      <c r="C364">
        <f>IF(Assumptions!$B$45&gt;(Assumptions!$B$39+F343)*N363,"preference","convert")</f>
        <v/>
      </c>
      <c r="D364">
        <f>IF(Assumptions!$B$44&gt;(Assumptions!$B$38+E343)*N363,"preference","convert")</f>
        <v/>
      </c>
      <c r="E364">
        <f>IF(Assumptions!$B$43&gt;Assumptions!$B$36*N363,"preference","convert")</f>
        <v/>
      </c>
      <c r="F364">
        <f>IF(Assumptions!$B$42&gt;Assumptions!$B$35*N363,"preference","convert")</f>
        <v/>
      </c>
      <c r="G364">
        <f>IF(Assumptions!$B$41&gt;Assumptions!$B$34*N363,"preference","convert")</f>
        <v/>
      </c>
      <c r="H364">
        <f>IF(Assumptions!$B$40&gt;Assumptions!$B$33*N363,"preference","convert")</f>
        <v/>
      </c>
      <c r="I364">
        <f>IF(B364="preference",Assumptions!$B$4,0)+IF(C364="preference",Assumptions!$B$45,0)+IF(D364="preference",Assumptions!$B$44,0)+IF(E364="preference",Assumptions!$B$43,0)+IF(F364="preference",Assumptions!$B$42,0)+IF(G364="preference",Assumptions!$B$41,0)+IF(H364="preference",Assumptions!$B$40,0)</f>
        <v/>
      </c>
      <c r="J364">
        <f>IF(B364="convert",(Assumptions!$B$4/B343),0)+IF(C364="convert",(Assumptions!$B$39+F343),0)+IF(D364="convert",(Assumptions!$B$38+E343),0)+IF(E364="convert",Assumptions!$B$36,0)+IF(F364="convert",Assumptions!$B$35,0)+IF(G364="convert",Assumptions!$B$34,0)+IF(H364="convert",Assumptions!$B$33,0)</f>
        <v/>
      </c>
      <c r="K364">
        <f>(Assumptions!$B$46+Assumptions!$B$47+Assumptions!$B$48)+Assumptions!$B$49+(H343+I343)+J364</f>
        <v/>
      </c>
      <c r="L364">
        <f>(Assumptions!$B$13-I364+Assumptions!$B$31*Assumptions!$B$10)/(K364+Assumptions!$B$31)</f>
        <v/>
      </c>
      <c r="M364">
        <f>IF(L364&gt;Assumptions!$B$10,"yes","no")</f>
        <v/>
      </c>
      <c r="N364">
        <f>IF(M364="yes",L364,MAX(0,(Assumptions!$B$13-I364)/K364))</f>
        <v/>
      </c>
      <c r="O364">
        <f>IF(M364="yes",Assumptions!$B$31*(N364-Assumptions!$B$10),0)</f>
        <v/>
      </c>
    </row>
    <row r="365">
      <c r="A365" t="inlineStr">
        <is>
          <t>iter 17</t>
        </is>
      </c>
      <c r="B365">
        <f>IF(Assumptions!$B$4&gt;(Assumptions!$B$4/B343)*N364,"preference","convert")</f>
        <v/>
      </c>
      <c r="C365">
        <f>IF(Assumptions!$B$45&gt;(Assumptions!$B$39+F343)*N364,"preference","convert")</f>
        <v/>
      </c>
      <c r="D365">
        <f>IF(Assumptions!$B$44&gt;(Assumptions!$B$38+E343)*N364,"preference","convert")</f>
        <v/>
      </c>
      <c r="E365">
        <f>IF(Assumptions!$B$43&gt;Assumptions!$B$36*N364,"preference","convert")</f>
        <v/>
      </c>
      <c r="F365">
        <f>IF(Assumptions!$B$42&gt;Assumptions!$B$35*N364,"preference","convert")</f>
        <v/>
      </c>
      <c r="G365">
        <f>IF(Assumptions!$B$41&gt;Assumptions!$B$34*N364,"preference","convert")</f>
        <v/>
      </c>
      <c r="H365">
        <f>IF(Assumptions!$B$40&gt;Assumptions!$B$33*N364,"preference","convert")</f>
        <v/>
      </c>
      <c r="I365">
        <f>IF(B365="preference",Assumptions!$B$4,0)+IF(C365="preference",Assumptions!$B$45,0)+IF(D365="preference",Assumptions!$B$44,0)+IF(E365="preference",Assumptions!$B$43,0)+IF(F365="preference",Assumptions!$B$42,0)+IF(G365="preference",Assumptions!$B$41,0)+IF(H365="preference",Assumptions!$B$40,0)</f>
        <v/>
      </c>
      <c r="J365">
        <f>IF(B365="convert",(Assumptions!$B$4/B343),0)+IF(C365="convert",(Assumptions!$B$39+F343),0)+IF(D365="convert",(Assumptions!$B$38+E343),0)+IF(E365="convert",Assumptions!$B$36,0)+IF(F365="convert",Assumptions!$B$35,0)+IF(G365="convert",Assumptions!$B$34,0)+IF(H365="convert",Assumptions!$B$33,0)</f>
        <v/>
      </c>
      <c r="K365">
        <f>(Assumptions!$B$46+Assumptions!$B$47+Assumptions!$B$48)+Assumptions!$B$49+(H343+I343)+J365</f>
        <v/>
      </c>
      <c r="L365">
        <f>(Assumptions!$B$13-I365+Assumptions!$B$31*Assumptions!$B$10)/(K365+Assumptions!$B$31)</f>
        <v/>
      </c>
      <c r="M365">
        <f>IF(L365&gt;Assumptions!$B$10,"yes","no")</f>
        <v/>
      </c>
      <c r="N365">
        <f>IF(M365="yes",L365,MAX(0,(Assumptions!$B$13-I365)/K365))</f>
        <v/>
      </c>
      <c r="O365">
        <f>IF(M365="yes",Assumptions!$B$31*(N365-Assumptions!$B$10),0)</f>
        <v/>
      </c>
    </row>
    <row r="366">
      <c r="A366" t="inlineStr">
        <is>
          <t>iter 18</t>
        </is>
      </c>
      <c r="B366">
        <f>IF(Assumptions!$B$4&gt;(Assumptions!$B$4/B343)*N365,"preference","convert")</f>
        <v/>
      </c>
      <c r="C366">
        <f>IF(Assumptions!$B$45&gt;(Assumptions!$B$39+F343)*N365,"preference","convert")</f>
        <v/>
      </c>
      <c r="D366">
        <f>IF(Assumptions!$B$44&gt;(Assumptions!$B$38+E343)*N365,"preference","convert")</f>
        <v/>
      </c>
      <c r="E366">
        <f>IF(Assumptions!$B$43&gt;Assumptions!$B$36*N365,"preference","convert")</f>
        <v/>
      </c>
      <c r="F366">
        <f>IF(Assumptions!$B$42&gt;Assumptions!$B$35*N365,"preference","convert")</f>
        <v/>
      </c>
      <c r="G366">
        <f>IF(Assumptions!$B$41&gt;Assumptions!$B$34*N365,"preference","convert")</f>
        <v/>
      </c>
      <c r="H366">
        <f>IF(Assumptions!$B$40&gt;Assumptions!$B$33*N365,"preference","convert")</f>
        <v/>
      </c>
      <c r="I366">
        <f>IF(B366="preference",Assumptions!$B$4,0)+IF(C366="preference",Assumptions!$B$45,0)+IF(D366="preference",Assumptions!$B$44,0)+IF(E366="preference",Assumptions!$B$43,0)+IF(F366="preference",Assumptions!$B$42,0)+IF(G366="preference",Assumptions!$B$41,0)+IF(H366="preference",Assumptions!$B$40,0)</f>
        <v/>
      </c>
      <c r="J366">
        <f>IF(B366="convert",(Assumptions!$B$4/B343),0)+IF(C366="convert",(Assumptions!$B$39+F343),0)+IF(D366="convert",(Assumptions!$B$38+E343),0)+IF(E366="convert",Assumptions!$B$36,0)+IF(F366="convert",Assumptions!$B$35,0)+IF(G366="convert",Assumptions!$B$34,0)+IF(H366="convert",Assumptions!$B$33,0)</f>
        <v/>
      </c>
      <c r="K366">
        <f>(Assumptions!$B$46+Assumptions!$B$47+Assumptions!$B$48)+Assumptions!$B$49+(H343+I343)+J366</f>
        <v/>
      </c>
      <c r="L366">
        <f>(Assumptions!$B$13-I366+Assumptions!$B$31*Assumptions!$B$10)/(K366+Assumptions!$B$31)</f>
        <v/>
      </c>
      <c r="M366">
        <f>IF(L366&gt;Assumptions!$B$10,"yes","no")</f>
        <v/>
      </c>
      <c r="N366">
        <f>IF(M366="yes",L366,MAX(0,(Assumptions!$B$13-I366)/K366))</f>
        <v/>
      </c>
      <c r="O366">
        <f>IF(M366="yes",Assumptions!$B$31*(N366-Assumptions!$B$10),0)</f>
        <v/>
      </c>
    </row>
    <row r="367">
      <c r="A367" t="inlineStr">
        <is>
          <t>iter 19</t>
        </is>
      </c>
      <c r="B367">
        <f>IF(Assumptions!$B$4&gt;(Assumptions!$B$4/B343)*N366,"preference","convert")</f>
        <v/>
      </c>
      <c r="C367">
        <f>IF(Assumptions!$B$45&gt;(Assumptions!$B$39+F343)*N366,"preference","convert")</f>
        <v/>
      </c>
      <c r="D367">
        <f>IF(Assumptions!$B$44&gt;(Assumptions!$B$38+E343)*N366,"preference","convert")</f>
        <v/>
      </c>
      <c r="E367">
        <f>IF(Assumptions!$B$43&gt;Assumptions!$B$36*N366,"preference","convert")</f>
        <v/>
      </c>
      <c r="F367">
        <f>IF(Assumptions!$B$42&gt;Assumptions!$B$35*N366,"preference","convert")</f>
        <v/>
      </c>
      <c r="G367">
        <f>IF(Assumptions!$B$41&gt;Assumptions!$B$34*N366,"preference","convert")</f>
        <v/>
      </c>
      <c r="H367">
        <f>IF(Assumptions!$B$40&gt;Assumptions!$B$33*N366,"preference","convert")</f>
        <v/>
      </c>
      <c r="I367">
        <f>IF(B367="preference",Assumptions!$B$4,0)+IF(C367="preference",Assumptions!$B$45,0)+IF(D367="preference",Assumptions!$B$44,0)+IF(E367="preference",Assumptions!$B$43,0)+IF(F367="preference",Assumptions!$B$42,0)+IF(G367="preference",Assumptions!$B$41,0)+IF(H367="preference",Assumptions!$B$40,0)</f>
        <v/>
      </c>
      <c r="J367">
        <f>IF(B367="convert",(Assumptions!$B$4/B343),0)+IF(C367="convert",(Assumptions!$B$39+F343),0)+IF(D367="convert",(Assumptions!$B$38+E343),0)+IF(E367="convert",Assumptions!$B$36,0)+IF(F367="convert",Assumptions!$B$35,0)+IF(G367="convert",Assumptions!$B$34,0)+IF(H367="convert",Assumptions!$B$33,0)</f>
        <v/>
      </c>
      <c r="K367">
        <f>(Assumptions!$B$46+Assumptions!$B$47+Assumptions!$B$48)+Assumptions!$B$49+(H343+I343)+J367</f>
        <v/>
      </c>
      <c r="L367">
        <f>(Assumptions!$B$13-I367+Assumptions!$B$31*Assumptions!$B$10)/(K367+Assumptions!$B$31)</f>
        <v/>
      </c>
      <c r="M367">
        <f>IF(L367&gt;Assumptions!$B$10,"yes","no")</f>
        <v/>
      </c>
      <c r="N367">
        <f>IF(M367="yes",L367,MAX(0,(Assumptions!$B$13-I367)/K367))</f>
        <v/>
      </c>
      <c r="O367">
        <f>IF(M367="yes",Assumptions!$B$31*(N367-Assumptions!$B$10),0)</f>
        <v/>
      </c>
    </row>
    <row r="368">
      <c r="A368" t="inlineStr">
        <is>
          <t>iter 20</t>
        </is>
      </c>
      <c r="B368">
        <f>IF(Assumptions!$B$4&gt;(Assumptions!$B$4/B343)*N367,"preference","convert")</f>
        <v/>
      </c>
      <c r="C368">
        <f>IF(Assumptions!$B$45&gt;(Assumptions!$B$39+F343)*N367,"preference","convert")</f>
        <v/>
      </c>
      <c r="D368">
        <f>IF(Assumptions!$B$44&gt;(Assumptions!$B$38+E343)*N367,"preference","convert")</f>
        <v/>
      </c>
      <c r="E368">
        <f>IF(Assumptions!$B$43&gt;Assumptions!$B$36*N367,"preference","convert")</f>
        <v/>
      </c>
      <c r="F368">
        <f>IF(Assumptions!$B$42&gt;Assumptions!$B$35*N367,"preference","convert")</f>
        <v/>
      </c>
      <c r="G368">
        <f>IF(Assumptions!$B$41&gt;Assumptions!$B$34*N367,"preference","convert")</f>
        <v/>
      </c>
      <c r="H368">
        <f>IF(Assumptions!$B$40&gt;Assumptions!$B$33*N367,"preference","convert")</f>
        <v/>
      </c>
      <c r="I368">
        <f>IF(B368="preference",Assumptions!$B$4,0)+IF(C368="preference",Assumptions!$B$45,0)+IF(D368="preference",Assumptions!$B$44,0)+IF(E368="preference",Assumptions!$B$43,0)+IF(F368="preference",Assumptions!$B$42,0)+IF(G368="preference",Assumptions!$B$41,0)+IF(H368="preference",Assumptions!$B$40,0)</f>
        <v/>
      </c>
      <c r="J368">
        <f>IF(B368="convert",(Assumptions!$B$4/B343),0)+IF(C368="convert",(Assumptions!$B$39+F343),0)+IF(D368="convert",(Assumptions!$B$38+E343),0)+IF(E368="convert",Assumptions!$B$36,0)+IF(F368="convert",Assumptions!$B$35,0)+IF(G368="convert",Assumptions!$B$34,0)+IF(H368="convert",Assumptions!$B$33,0)</f>
        <v/>
      </c>
      <c r="K368">
        <f>(Assumptions!$B$46+Assumptions!$B$47+Assumptions!$B$48)+Assumptions!$B$49+(H343+I343)+J368</f>
        <v/>
      </c>
      <c r="L368">
        <f>(Assumptions!$B$13-I368+Assumptions!$B$31*Assumptions!$B$10)/(K368+Assumptions!$B$31)</f>
        <v/>
      </c>
      <c r="M368">
        <f>IF(L368&gt;Assumptions!$B$10,"yes","no")</f>
        <v/>
      </c>
      <c r="N368">
        <f>IF(M368="yes",L368,MAX(0,(Assumptions!$B$13-I368)/K368))</f>
        <v/>
      </c>
      <c r="O368">
        <f>IF(M368="yes",Assumptions!$B$31*(N368-Assumptions!$B$10),0)</f>
        <v/>
      </c>
    </row>
    <row r="369">
      <c r="A369" t="inlineStr">
        <is>
          <t>iter 21</t>
        </is>
      </c>
      <c r="B369">
        <f>IF(Assumptions!$B$4&gt;(Assumptions!$B$4/B343)*N368,"preference","convert")</f>
        <v/>
      </c>
      <c r="C369">
        <f>IF(Assumptions!$B$45&gt;(Assumptions!$B$39+F343)*N368,"preference","convert")</f>
        <v/>
      </c>
      <c r="D369">
        <f>IF(Assumptions!$B$44&gt;(Assumptions!$B$38+E343)*N368,"preference","convert")</f>
        <v/>
      </c>
      <c r="E369">
        <f>IF(Assumptions!$B$43&gt;Assumptions!$B$36*N368,"preference","convert")</f>
        <v/>
      </c>
      <c r="F369">
        <f>IF(Assumptions!$B$42&gt;Assumptions!$B$35*N368,"preference","convert")</f>
        <v/>
      </c>
      <c r="G369">
        <f>IF(Assumptions!$B$41&gt;Assumptions!$B$34*N368,"preference","convert")</f>
        <v/>
      </c>
      <c r="H369">
        <f>IF(Assumptions!$B$40&gt;Assumptions!$B$33*N368,"preference","convert")</f>
        <v/>
      </c>
      <c r="I369">
        <f>IF(B369="preference",Assumptions!$B$4,0)+IF(C369="preference",Assumptions!$B$45,0)+IF(D369="preference",Assumptions!$B$44,0)+IF(E369="preference",Assumptions!$B$43,0)+IF(F369="preference",Assumptions!$B$42,0)+IF(G369="preference",Assumptions!$B$41,0)+IF(H369="preference",Assumptions!$B$40,0)</f>
        <v/>
      </c>
      <c r="J369">
        <f>IF(B369="convert",(Assumptions!$B$4/B343),0)+IF(C369="convert",(Assumptions!$B$39+F343),0)+IF(D369="convert",(Assumptions!$B$38+E343),0)+IF(E369="convert",Assumptions!$B$36,0)+IF(F369="convert",Assumptions!$B$35,0)+IF(G369="convert",Assumptions!$B$34,0)+IF(H369="convert",Assumptions!$B$33,0)</f>
        <v/>
      </c>
      <c r="K369">
        <f>(Assumptions!$B$46+Assumptions!$B$47+Assumptions!$B$48)+Assumptions!$B$49+(H343+I343)+J369</f>
        <v/>
      </c>
      <c r="L369">
        <f>(Assumptions!$B$13-I369+Assumptions!$B$31*Assumptions!$B$10)/(K369+Assumptions!$B$31)</f>
        <v/>
      </c>
      <c r="M369">
        <f>IF(L369&gt;Assumptions!$B$10,"yes","no")</f>
        <v/>
      </c>
      <c r="N369">
        <f>IF(M369="yes",L369,MAX(0,(Assumptions!$B$13-I369)/K369))</f>
        <v/>
      </c>
      <c r="O369">
        <f>IF(M369="yes",Assumptions!$B$31*(N369-Assumptions!$B$10),0)</f>
        <v/>
      </c>
    </row>
    <row r="370">
      <c r="A370" t="inlineStr">
        <is>
          <t>iter 22</t>
        </is>
      </c>
      <c r="B370">
        <f>IF(Assumptions!$B$4&gt;(Assumptions!$B$4/B343)*N369,"preference","convert")</f>
        <v/>
      </c>
      <c r="C370">
        <f>IF(Assumptions!$B$45&gt;(Assumptions!$B$39+F343)*N369,"preference","convert")</f>
        <v/>
      </c>
      <c r="D370">
        <f>IF(Assumptions!$B$44&gt;(Assumptions!$B$38+E343)*N369,"preference","convert")</f>
        <v/>
      </c>
      <c r="E370">
        <f>IF(Assumptions!$B$43&gt;Assumptions!$B$36*N369,"preference","convert")</f>
        <v/>
      </c>
      <c r="F370">
        <f>IF(Assumptions!$B$42&gt;Assumptions!$B$35*N369,"preference","convert")</f>
        <v/>
      </c>
      <c r="G370">
        <f>IF(Assumptions!$B$41&gt;Assumptions!$B$34*N369,"preference","convert")</f>
        <v/>
      </c>
      <c r="H370">
        <f>IF(Assumptions!$B$40&gt;Assumptions!$B$33*N369,"preference","convert")</f>
        <v/>
      </c>
      <c r="I370">
        <f>IF(B370="preference",Assumptions!$B$4,0)+IF(C370="preference",Assumptions!$B$45,0)+IF(D370="preference",Assumptions!$B$44,0)+IF(E370="preference",Assumptions!$B$43,0)+IF(F370="preference",Assumptions!$B$42,0)+IF(G370="preference",Assumptions!$B$41,0)+IF(H370="preference",Assumptions!$B$40,0)</f>
        <v/>
      </c>
      <c r="J370">
        <f>IF(B370="convert",(Assumptions!$B$4/B343),0)+IF(C370="convert",(Assumptions!$B$39+F343),0)+IF(D370="convert",(Assumptions!$B$38+E343),0)+IF(E370="convert",Assumptions!$B$36,0)+IF(F370="convert",Assumptions!$B$35,0)+IF(G370="convert",Assumptions!$B$34,0)+IF(H370="convert",Assumptions!$B$33,0)</f>
        <v/>
      </c>
      <c r="K370">
        <f>(Assumptions!$B$46+Assumptions!$B$47+Assumptions!$B$48)+Assumptions!$B$49+(H343+I343)+J370</f>
        <v/>
      </c>
      <c r="L370">
        <f>(Assumptions!$B$13-I370+Assumptions!$B$31*Assumptions!$B$10)/(K370+Assumptions!$B$31)</f>
        <v/>
      </c>
      <c r="M370">
        <f>IF(L370&gt;Assumptions!$B$10,"yes","no")</f>
        <v/>
      </c>
      <c r="N370">
        <f>IF(M370="yes",L370,MAX(0,(Assumptions!$B$13-I370)/K370))</f>
        <v/>
      </c>
      <c r="O370">
        <f>IF(M370="yes",Assumptions!$B$31*(N370-Assumptions!$B$10),0)</f>
        <v/>
      </c>
    </row>
    <row r="371">
      <c r="A371" t="inlineStr">
        <is>
          <t>iter 23</t>
        </is>
      </c>
      <c r="B371">
        <f>IF(Assumptions!$B$4&gt;(Assumptions!$B$4/B343)*N370,"preference","convert")</f>
        <v/>
      </c>
      <c r="C371">
        <f>IF(Assumptions!$B$45&gt;(Assumptions!$B$39+F343)*N370,"preference","convert")</f>
        <v/>
      </c>
      <c r="D371">
        <f>IF(Assumptions!$B$44&gt;(Assumptions!$B$38+E343)*N370,"preference","convert")</f>
        <v/>
      </c>
      <c r="E371">
        <f>IF(Assumptions!$B$43&gt;Assumptions!$B$36*N370,"preference","convert")</f>
        <v/>
      </c>
      <c r="F371">
        <f>IF(Assumptions!$B$42&gt;Assumptions!$B$35*N370,"preference","convert")</f>
        <v/>
      </c>
      <c r="G371">
        <f>IF(Assumptions!$B$41&gt;Assumptions!$B$34*N370,"preference","convert")</f>
        <v/>
      </c>
      <c r="H371">
        <f>IF(Assumptions!$B$40&gt;Assumptions!$B$33*N370,"preference","convert")</f>
        <v/>
      </c>
      <c r="I371">
        <f>IF(B371="preference",Assumptions!$B$4,0)+IF(C371="preference",Assumptions!$B$45,0)+IF(D371="preference",Assumptions!$B$44,0)+IF(E371="preference",Assumptions!$B$43,0)+IF(F371="preference",Assumptions!$B$42,0)+IF(G371="preference",Assumptions!$B$41,0)+IF(H371="preference",Assumptions!$B$40,0)</f>
        <v/>
      </c>
      <c r="J371">
        <f>IF(B371="convert",(Assumptions!$B$4/B343),0)+IF(C371="convert",(Assumptions!$B$39+F343),0)+IF(D371="convert",(Assumptions!$B$38+E343),0)+IF(E371="convert",Assumptions!$B$36,0)+IF(F371="convert",Assumptions!$B$35,0)+IF(G371="convert",Assumptions!$B$34,0)+IF(H371="convert",Assumptions!$B$33,0)</f>
        <v/>
      </c>
      <c r="K371">
        <f>(Assumptions!$B$46+Assumptions!$B$47+Assumptions!$B$48)+Assumptions!$B$49+(H343+I343)+J371</f>
        <v/>
      </c>
      <c r="L371">
        <f>(Assumptions!$B$13-I371+Assumptions!$B$31*Assumptions!$B$10)/(K371+Assumptions!$B$31)</f>
        <v/>
      </c>
      <c r="M371">
        <f>IF(L371&gt;Assumptions!$B$10,"yes","no")</f>
        <v/>
      </c>
      <c r="N371">
        <f>IF(M371="yes",L371,MAX(0,(Assumptions!$B$13-I371)/K371))</f>
        <v/>
      </c>
      <c r="O371">
        <f>IF(M371="yes",Assumptions!$B$31*(N371-Assumptions!$B$10),0)</f>
        <v/>
      </c>
    </row>
    <row r="372">
      <c r="A372" t="inlineStr">
        <is>
          <t>iter 24</t>
        </is>
      </c>
      <c r="B372">
        <f>IF(Assumptions!$B$4&gt;(Assumptions!$B$4/B343)*N371,"preference","convert")</f>
        <v/>
      </c>
      <c r="C372">
        <f>IF(Assumptions!$B$45&gt;(Assumptions!$B$39+F343)*N371,"preference","convert")</f>
        <v/>
      </c>
      <c r="D372">
        <f>IF(Assumptions!$B$44&gt;(Assumptions!$B$38+E343)*N371,"preference","convert")</f>
        <v/>
      </c>
      <c r="E372">
        <f>IF(Assumptions!$B$43&gt;Assumptions!$B$36*N371,"preference","convert")</f>
        <v/>
      </c>
      <c r="F372">
        <f>IF(Assumptions!$B$42&gt;Assumptions!$B$35*N371,"preference","convert")</f>
        <v/>
      </c>
      <c r="G372">
        <f>IF(Assumptions!$B$41&gt;Assumptions!$B$34*N371,"preference","convert")</f>
        <v/>
      </c>
      <c r="H372">
        <f>IF(Assumptions!$B$40&gt;Assumptions!$B$33*N371,"preference","convert")</f>
        <v/>
      </c>
      <c r="I372">
        <f>IF(B372="preference",Assumptions!$B$4,0)+IF(C372="preference",Assumptions!$B$45,0)+IF(D372="preference",Assumptions!$B$44,0)+IF(E372="preference",Assumptions!$B$43,0)+IF(F372="preference",Assumptions!$B$42,0)+IF(G372="preference",Assumptions!$B$41,0)+IF(H372="preference",Assumptions!$B$40,0)</f>
        <v/>
      </c>
      <c r="J372">
        <f>IF(B372="convert",(Assumptions!$B$4/B343),0)+IF(C372="convert",(Assumptions!$B$39+F343),0)+IF(D372="convert",(Assumptions!$B$38+E343),0)+IF(E372="convert",Assumptions!$B$36,0)+IF(F372="convert",Assumptions!$B$35,0)+IF(G372="convert",Assumptions!$B$34,0)+IF(H372="convert",Assumptions!$B$33,0)</f>
        <v/>
      </c>
      <c r="K372">
        <f>(Assumptions!$B$46+Assumptions!$B$47+Assumptions!$B$48)+Assumptions!$B$49+(H343+I343)+J372</f>
        <v/>
      </c>
      <c r="L372">
        <f>(Assumptions!$B$13-I372+Assumptions!$B$31*Assumptions!$B$10)/(K372+Assumptions!$B$31)</f>
        <v/>
      </c>
      <c r="M372">
        <f>IF(L372&gt;Assumptions!$B$10,"yes","no")</f>
        <v/>
      </c>
      <c r="N372">
        <f>IF(M372="yes",L372,MAX(0,(Assumptions!$B$13-I372)/K372))</f>
        <v/>
      </c>
      <c r="O372">
        <f>IF(M372="yes",Assumptions!$B$31*(N372-Assumptions!$B$10),0)</f>
        <v/>
      </c>
    </row>
    <row r="373">
      <c r="A373" t="inlineStr">
        <is>
          <t>iter 25</t>
        </is>
      </c>
      <c r="B373">
        <f>IF(Assumptions!$B$4&gt;(Assumptions!$B$4/B343)*N372,"preference","convert")</f>
        <v/>
      </c>
      <c r="C373">
        <f>IF(Assumptions!$B$45&gt;(Assumptions!$B$39+F343)*N372,"preference","convert")</f>
        <v/>
      </c>
      <c r="D373">
        <f>IF(Assumptions!$B$44&gt;(Assumptions!$B$38+E343)*N372,"preference","convert")</f>
        <v/>
      </c>
      <c r="E373">
        <f>IF(Assumptions!$B$43&gt;Assumptions!$B$36*N372,"preference","convert")</f>
        <v/>
      </c>
      <c r="F373">
        <f>IF(Assumptions!$B$42&gt;Assumptions!$B$35*N372,"preference","convert")</f>
        <v/>
      </c>
      <c r="G373">
        <f>IF(Assumptions!$B$41&gt;Assumptions!$B$34*N372,"preference","convert")</f>
        <v/>
      </c>
      <c r="H373">
        <f>IF(Assumptions!$B$40&gt;Assumptions!$B$33*N372,"preference","convert")</f>
        <v/>
      </c>
      <c r="I373">
        <f>IF(B373="preference",Assumptions!$B$4,0)+IF(C373="preference",Assumptions!$B$45,0)+IF(D373="preference",Assumptions!$B$44,0)+IF(E373="preference",Assumptions!$B$43,0)+IF(F373="preference",Assumptions!$B$42,0)+IF(G373="preference",Assumptions!$B$41,0)+IF(H373="preference",Assumptions!$B$40,0)</f>
        <v/>
      </c>
      <c r="J373">
        <f>IF(B373="convert",(Assumptions!$B$4/B343),0)+IF(C373="convert",(Assumptions!$B$39+F343),0)+IF(D373="convert",(Assumptions!$B$38+E343),0)+IF(E373="convert",Assumptions!$B$36,0)+IF(F373="convert",Assumptions!$B$35,0)+IF(G373="convert",Assumptions!$B$34,0)+IF(H373="convert",Assumptions!$B$33,0)</f>
        <v/>
      </c>
      <c r="K373">
        <f>(Assumptions!$B$46+Assumptions!$B$47+Assumptions!$B$48)+Assumptions!$B$49+(H343+I343)+J373</f>
        <v/>
      </c>
      <c r="L373">
        <f>(Assumptions!$B$13-I373+Assumptions!$B$31*Assumptions!$B$10)/(K373+Assumptions!$B$31)</f>
        <v/>
      </c>
      <c r="M373">
        <f>IF(L373&gt;Assumptions!$B$10,"yes","no")</f>
        <v/>
      </c>
      <c r="N373">
        <f>IF(M373="yes",L373,MAX(0,(Assumptions!$B$13-I373)/K373))</f>
        <v/>
      </c>
      <c r="O373">
        <f>IF(M373="yes",Assumptions!$B$31*(N373-Assumptions!$B$10),0)</f>
        <v/>
      </c>
    </row>
    <row r="374">
      <c r="A374" t="inlineStr">
        <is>
          <t>iter 26</t>
        </is>
      </c>
      <c r="B374">
        <f>IF(Assumptions!$B$4&gt;(Assumptions!$B$4/B343)*N373,"preference","convert")</f>
        <v/>
      </c>
      <c r="C374">
        <f>IF(Assumptions!$B$45&gt;(Assumptions!$B$39+F343)*N373,"preference","convert")</f>
        <v/>
      </c>
      <c r="D374">
        <f>IF(Assumptions!$B$44&gt;(Assumptions!$B$38+E343)*N373,"preference","convert")</f>
        <v/>
      </c>
      <c r="E374">
        <f>IF(Assumptions!$B$43&gt;Assumptions!$B$36*N373,"preference","convert")</f>
        <v/>
      </c>
      <c r="F374">
        <f>IF(Assumptions!$B$42&gt;Assumptions!$B$35*N373,"preference","convert")</f>
        <v/>
      </c>
      <c r="G374">
        <f>IF(Assumptions!$B$41&gt;Assumptions!$B$34*N373,"preference","convert")</f>
        <v/>
      </c>
      <c r="H374">
        <f>IF(Assumptions!$B$40&gt;Assumptions!$B$33*N373,"preference","convert")</f>
        <v/>
      </c>
      <c r="I374">
        <f>IF(B374="preference",Assumptions!$B$4,0)+IF(C374="preference",Assumptions!$B$45,0)+IF(D374="preference",Assumptions!$B$44,0)+IF(E374="preference",Assumptions!$B$43,0)+IF(F374="preference",Assumptions!$B$42,0)+IF(G374="preference",Assumptions!$B$41,0)+IF(H374="preference",Assumptions!$B$40,0)</f>
        <v/>
      </c>
      <c r="J374">
        <f>IF(B374="convert",(Assumptions!$B$4/B343),0)+IF(C374="convert",(Assumptions!$B$39+F343),0)+IF(D374="convert",(Assumptions!$B$38+E343),0)+IF(E374="convert",Assumptions!$B$36,0)+IF(F374="convert",Assumptions!$B$35,0)+IF(G374="convert",Assumptions!$B$34,0)+IF(H374="convert",Assumptions!$B$33,0)</f>
        <v/>
      </c>
      <c r="K374">
        <f>(Assumptions!$B$46+Assumptions!$B$47+Assumptions!$B$48)+Assumptions!$B$49+(H343+I343)+J374</f>
        <v/>
      </c>
      <c r="L374">
        <f>(Assumptions!$B$13-I374+Assumptions!$B$31*Assumptions!$B$10)/(K374+Assumptions!$B$31)</f>
        <v/>
      </c>
      <c r="M374">
        <f>IF(L374&gt;Assumptions!$B$10,"yes","no")</f>
        <v/>
      </c>
      <c r="N374">
        <f>IF(M374="yes",L374,MAX(0,(Assumptions!$B$13-I374)/K374))</f>
        <v/>
      </c>
      <c r="O374">
        <f>IF(M374="yes",Assumptions!$B$31*(N374-Assumptions!$B$10),0)</f>
        <v/>
      </c>
    </row>
    <row r="375">
      <c r="A375" t="inlineStr">
        <is>
          <t>iter 27</t>
        </is>
      </c>
      <c r="B375">
        <f>IF(Assumptions!$B$4&gt;(Assumptions!$B$4/B343)*N374,"preference","convert")</f>
        <v/>
      </c>
      <c r="C375">
        <f>IF(Assumptions!$B$45&gt;(Assumptions!$B$39+F343)*N374,"preference","convert")</f>
        <v/>
      </c>
      <c r="D375">
        <f>IF(Assumptions!$B$44&gt;(Assumptions!$B$38+E343)*N374,"preference","convert")</f>
        <v/>
      </c>
      <c r="E375">
        <f>IF(Assumptions!$B$43&gt;Assumptions!$B$36*N374,"preference","convert")</f>
        <v/>
      </c>
      <c r="F375">
        <f>IF(Assumptions!$B$42&gt;Assumptions!$B$35*N374,"preference","convert")</f>
        <v/>
      </c>
      <c r="G375">
        <f>IF(Assumptions!$B$41&gt;Assumptions!$B$34*N374,"preference","convert")</f>
        <v/>
      </c>
      <c r="H375">
        <f>IF(Assumptions!$B$40&gt;Assumptions!$B$33*N374,"preference","convert")</f>
        <v/>
      </c>
      <c r="I375">
        <f>IF(B375="preference",Assumptions!$B$4,0)+IF(C375="preference",Assumptions!$B$45,0)+IF(D375="preference",Assumptions!$B$44,0)+IF(E375="preference",Assumptions!$B$43,0)+IF(F375="preference",Assumptions!$B$42,0)+IF(G375="preference",Assumptions!$B$41,0)+IF(H375="preference",Assumptions!$B$40,0)</f>
        <v/>
      </c>
      <c r="J375">
        <f>IF(B375="convert",(Assumptions!$B$4/B343),0)+IF(C375="convert",(Assumptions!$B$39+F343),0)+IF(D375="convert",(Assumptions!$B$38+E343),0)+IF(E375="convert",Assumptions!$B$36,0)+IF(F375="convert",Assumptions!$B$35,0)+IF(G375="convert",Assumptions!$B$34,0)+IF(H375="convert",Assumptions!$B$33,0)</f>
        <v/>
      </c>
      <c r="K375">
        <f>(Assumptions!$B$46+Assumptions!$B$47+Assumptions!$B$48)+Assumptions!$B$49+(H343+I343)+J375</f>
        <v/>
      </c>
      <c r="L375">
        <f>(Assumptions!$B$13-I375+Assumptions!$B$31*Assumptions!$B$10)/(K375+Assumptions!$B$31)</f>
        <v/>
      </c>
      <c r="M375">
        <f>IF(L375&gt;Assumptions!$B$10,"yes","no")</f>
        <v/>
      </c>
      <c r="N375">
        <f>IF(M375="yes",L375,MAX(0,(Assumptions!$B$13-I375)/K375))</f>
        <v/>
      </c>
      <c r="O375">
        <f>IF(M375="yes",Assumptions!$B$31*(N375-Assumptions!$B$10),0)</f>
        <v/>
      </c>
    </row>
    <row r="376">
      <c r="A376" t="inlineStr">
        <is>
          <t>iter 28</t>
        </is>
      </c>
      <c r="B376">
        <f>IF(Assumptions!$B$4&gt;(Assumptions!$B$4/B343)*N375,"preference","convert")</f>
        <v/>
      </c>
      <c r="C376">
        <f>IF(Assumptions!$B$45&gt;(Assumptions!$B$39+F343)*N375,"preference","convert")</f>
        <v/>
      </c>
      <c r="D376">
        <f>IF(Assumptions!$B$44&gt;(Assumptions!$B$38+E343)*N375,"preference","convert")</f>
        <v/>
      </c>
      <c r="E376">
        <f>IF(Assumptions!$B$43&gt;Assumptions!$B$36*N375,"preference","convert")</f>
        <v/>
      </c>
      <c r="F376">
        <f>IF(Assumptions!$B$42&gt;Assumptions!$B$35*N375,"preference","convert")</f>
        <v/>
      </c>
      <c r="G376">
        <f>IF(Assumptions!$B$41&gt;Assumptions!$B$34*N375,"preference","convert")</f>
        <v/>
      </c>
      <c r="H376">
        <f>IF(Assumptions!$B$40&gt;Assumptions!$B$33*N375,"preference","convert")</f>
        <v/>
      </c>
      <c r="I376">
        <f>IF(B376="preference",Assumptions!$B$4,0)+IF(C376="preference",Assumptions!$B$45,0)+IF(D376="preference",Assumptions!$B$44,0)+IF(E376="preference",Assumptions!$B$43,0)+IF(F376="preference",Assumptions!$B$42,0)+IF(G376="preference",Assumptions!$B$41,0)+IF(H376="preference",Assumptions!$B$40,0)</f>
        <v/>
      </c>
      <c r="J376">
        <f>IF(B376="convert",(Assumptions!$B$4/B343),0)+IF(C376="convert",(Assumptions!$B$39+F343),0)+IF(D376="convert",(Assumptions!$B$38+E343),0)+IF(E376="convert",Assumptions!$B$36,0)+IF(F376="convert",Assumptions!$B$35,0)+IF(G376="convert",Assumptions!$B$34,0)+IF(H376="convert",Assumptions!$B$33,0)</f>
        <v/>
      </c>
      <c r="K376">
        <f>(Assumptions!$B$46+Assumptions!$B$47+Assumptions!$B$48)+Assumptions!$B$49+(H343+I343)+J376</f>
        <v/>
      </c>
      <c r="L376">
        <f>(Assumptions!$B$13-I376+Assumptions!$B$31*Assumptions!$B$10)/(K376+Assumptions!$B$31)</f>
        <v/>
      </c>
      <c r="M376">
        <f>IF(L376&gt;Assumptions!$B$10,"yes","no")</f>
        <v/>
      </c>
      <c r="N376">
        <f>IF(M376="yes",L376,MAX(0,(Assumptions!$B$13-I376)/K376))</f>
        <v/>
      </c>
      <c r="O376">
        <f>IF(M376="yes",Assumptions!$B$31*(N376-Assumptions!$B$10),0)</f>
        <v/>
      </c>
    </row>
    <row r="377">
      <c r="A377" t="inlineStr">
        <is>
          <t>iter 29</t>
        </is>
      </c>
      <c r="B377">
        <f>IF(Assumptions!$B$4&gt;(Assumptions!$B$4/B343)*N376,"preference","convert")</f>
        <v/>
      </c>
      <c r="C377">
        <f>IF(Assumptions!$B$45&gt;(Assumptions!$B$39+F343)*N376,"preference","convert")</f>
        <v/>
      </c>
      <c r="D377">
        <f>IF(Assumptions!$B$44&gt;(Assumptions!$B$38+E343)*N376,"preference","convert")</f>
        <v/>
      </c>
      <c r="E377">
        <f>IF(Assumptions!$B$43&gt;Assumptions!$B$36*N376,"preference","convert")</f>
        <v/>
      </c>
      <c r="F377">
        <f>IF(Assumptions!$B$42&gt;Assumptions!$B$35*N376,"preference","convert")</f>
        <v/>
      </c>
      <c r="G377">
        <f>IF(Assumptions!$B$41&gt;Assumptions!$B$34*N376,"preference","convert")</f>
        <v/>
      </c>
      <c r="H377">
        <f>IF(Assumptions!$B$40&gt;Assumptions!$B$33*N376,"preference","convert")</f>
        <v/>
      </c>
      <c r="I377">
        <f>IF(B377="preference",Assumptions!$B$4,0)+IF(C377="preference",Assumptions!$B$45,0)+IF(D377="preference",Assumptions!$B$44,0)+IF(E377="preference",Assumptions!$B$43,0)+IF(F377="preference",Assumptions!$B$42,0)+IF(G377="preference",Assumptions!$B$41,0)+IF(H377="preference",Assumptions!$B$40,0)</f>
        <v/>
      </c>
      <c r="J377">
        <f>IF(B377="convert",(Assumptions!$B$4/B343),0)+IF(C377="convert",(Assumptions!$B$39+F343),0)+IF(D377="convert",(Assumptions!$B$38+E343),0)+IF(E377="convert",Assumptions!$B$36,0)+IF(F377="convert",Assumptions!$B$35,0)+IF(G377="convert",Assumptions!$B$34,0)+IF(H377="convert",Assumptions!$B$33,0)</f>
        <v/>
      </c>
      <c r="K377">
        <f>(Assumptions!$B$46+Assumptions!$B$47+Assumptions!$B$48)+Assumptions!$B$49+(H343+I343)+J377</f>
        <v/>
      </c>
      <c r="L377">
        <f>(Assumptions!$B$13-I377+Assumptions!$B$31*Assumptions!$B$10)/(K377+Assumptions!$B$31)</f>
        <v/>
      </c>
      <c r="M377">
        <f>IF(L377&gt;Assumptions!$B$10,"yes","no")</f>
        <v/>
      </c>
      <c r="N377">
        <f>IF(M377="yes",L377,MAX(0,(Assumptions!$B$13-I377)/K377))</f>
        <v/>
      </c>
      <c r="O377">
        <f>IF(M377="yes",Assumptions!$B$31*(N377-Assumptions!$B$10),0)</f>
        <v/>
      </c>
    </row>
    <row r="378">
      <c r="A378" t="inlineStr">
        <is>
          <t>iter 30</t>
        </is>
      </c>
      <c r="B378">
        <f>IF(Assumptions!$B$4&gt;(Assumptions!$B$4/B343)*N377,"preference","convert")</f>
        <v/>
      </c>
      <c r="C378">
        <f>IF(Assumptions!$B$45&gt;(Assumptions!$B$39+F343)*N377,"preference","convert")</f>
        <v/>
      </c>
      <c r="D378">
        <f>IF(Assumptions!$B$44&gt;(Assumptions!$B$38+E343)*N377,"preference","convert")</f>
        <v/>
      </c>
      <c r="E378">
        <f>IF(Assumptions!$B$43&gt;Assumptions!$B$36*N377,"preference","convert")</f>
        <v/>
      </c>
      <c r="F378">
        <f>IF(Assumptions!$B$42&gt;Assumptions!$B$35*N377,"preference","convert")</f>
        <v/>
      </c>
      <c r="G378">
        <f>IF(Assumptions!$B$41&gt;Assumptions!$B$34*N377,"preference","convert")</f>
        <v/>
      </c>
      <c r="H378">
        <f>IF(Assumptions!$B$40&gt;Assumptions!$B$33*N377,"preference","convert")</f>
        <v/>
      </c>
      <c r="I378">
        <f>IF(B378="preference",Assumptions!$B$4,0)+IF(C378="preference",Assumptions!$B$45,0)+IF(D378="preference",Assumptions!$B$44,0)+IF(E378="preference",Assumptions!$B$43,0)+IF(F378="preference",Assumptions!$B$42,0)+IF(G378="preference",Assumptions!$B$41,0)+IF(H378="preference",Assumptions!$B$40,0)</f>
        <v/>
      </c>
      <c r="J378">
        <f>IF(B378="convert",(Assumptions!$B$4/B343),0)+IF(C378="convert",(Assumptions!$B$39+F343),0)+IF(D378="convert",(Assumptions!$B$38+E343),0)+IF(E378="convert",Assumptions!$B$36,0)+IF(F378="convert",Assumptions!$B$35,0)+IF(G378="convert",Assumptions!$B$34,0)+IF(H378="convert",Assumptions!$B$33,0)</f>
        <v/>
      </c>
      <c r="K378">
        <f>(Assumptions!$B$46+Assumptions!$B$47+Assumptions!$B$48)+Assumptions!$B$49+(H343+I343)+J378</f>
        <v/>
      </c>
      <c r="L378">
        <f>(Assumptions!$B$13-I378+Assumptions!$B$31*Assumptions!$B$10)/(K378+Assumptions!$B$31)</f>
        <v/>
      </c>
      <c r="M378">
        <f>IF(L378&gt;Assumptions!$B$10,"yes","no")</f>
        <v/>
      </c>
      <c r="N378">
        <f>IF(M378="yes",L378,MAX(0,(Assumptions!$B$13-I378)/K378))</f>
        <v/>
      </c>
      <c r="O378">
        <f>IF(M378="yes",Assumptions!$B$31*(N378-Assumptions!$B$10),0)</f>
        <v/>
      </c>
    </row>
    <row r="380">
      <c r="A380" t="inlineStr">
        <is>
          <t>Our shares (post-F)</t>
        </is>
      </c>
      <c r="B380">
        <f>(Assumptions!$B$8/B343)</f>
        <v/>
      </c>
    </row>
    <row r="381">
      <c r="A381" t="inlineStr">
        <is>
          <t>Our ownership % (of T_F)</t>
        </is>
      </c>
      <c r="B381">
        <f>(Assumptions!$B$8/B343)/K343</f>
        <v/>
      </c>
    </row>
    <row r="382">
      <c r="A382" t="inlineStr">
        <is>
          <t>Our $ proceeds at $2B</t>
        </is>
      </c>
      <c r="B382">
        <f>IF(B378="convert",(Assumptions!$B$8/B343)*N378,(Assumptions!$B$8/B343)*B343)</f>
        <v/>
      </c>
    </row>
    <row r="385">
      <c r="A385" s="1" t="inlineStr">
        <is>
          <t>Cell (1,0) — ESOP=base, Pre=low</t>
        </is>
      </c>
    </row>
    <row r="386">
      <c r="A386" s="1" t="inlineStr">
        <is>
          <t>Step</t>
        </is>
      </c>
      <c r="B386" s="1" t="inlineStr">
        <is>
          <t>F_PPS</t>
        </is>
      </c>
      <c r="C386" s="1" t="inlineStr">
        <is>
          <t>D_NCP</t>
        </is>
      </c>
      <c r="D386" s="1" t="inlineStr">
        <is>
          <t>E_NCP</t>
        </is>
      </c>
      <c r="E386" s="1" t="inlineStr">
        <is>
          <t>ΔD</t>
        </is>
      </c>
      <c r="F386" s="1" t="inlineStr">
        <is>
          <t>ΔE</t>
        </is>
      </c>
      <c r="G386" s="1" t="inlineStr">
        <is>
          <t>ESOP</t>
        </is>
      </c>
      <c r="H386" s="1" t="inlineStr">
        <is>
          <t>N_A</t>
        </is>
      </c>
      <c r="I386" s="1" t="inlineStr">
        <is>
          <t>N_B</t>
        </is>
      </c>
      <c r="J386" s="1" t="inlineStr">
        <is>
          <t>preFD</t>
        </is>
      </c>
      <c r="K386" s="1" t="inlineStr">
        <is>
          <t>T_F</t>
        </is>
      </c>
      <c r="L386" s="1" t="inlineStr">
        <is>
          <t>F_PPS chk</t>
        </is>
      </c>
    </row>
    <row r="387">
      <c r="A387" t="inlineStr">
        <is>
          <t>cell(1,0) seed</t>
        </is>
      </c>
      <c r="B387">
        <f>Assumptions!$B$53/Assumptions!$B$29</f>
        <v/>
      </c>
      <c r="C387">
        <f>Assumptions!$B$20</f>
        <v/>
      </c>
      <c r="D387">
        <f>Assumptions!$B$21</f>
        <v/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>
        <f>Assumptions!$B$29</f>
        <v/>
      </c>
      <c r="K387">
        <f>J387+Assumptions!$B$4/B387</f>
        <v/>
      </c>
      <c r="L387">
        <f>B387</f>
        <v/>
      </c>
    </row>
    <row r="388">
      <c r="A388" t="inlineStr">
        <is>
          <t>cell(1,0) iter 1</t>
        </is>
      </c>
      <c r="B388">
        <f>Assumptions!$B$53/J387</f>
        <v/>
      </c>
      <c r="C388">
        <f>IF(B388&lt;Assumptions!$B$20,Assumptions!$B$20*(Assumptions!$B$29+Assumptions!$B$4/Assumptions!$B$20)/(Assumptions!$B$29+Assumptions!$B$4/B388),Assumptions!$B$20)</f>
        <v/>
      </c>
      <c r="D388">
        <f>IF(B388&lt;Assumptions!$B$21,Assumptions!$B$21*(Assumptions!$B$29+Assumptions!$B$4/Assumptions!$B$21)/(Assumptions!$B$29+Assumptions!$B$4/B388),Assumptions!$B$21)</f>
        <v/>
      </c>
      <c r="E388">
        <f>Assumptions!$B$37*Assumptions!$B$22/C388-Assumptions!$B$38</f>
        <v/>
      </c>
      <c r="F388">
        <f>Assumptions!$B$39*Assumptions!$B$21/D388-Assumptions!$B$39</f>
        <v/>
      </c>
      <c r="G388">
        <f>MAX(0,Assumptions!$B$51*(Assumptions!$B$29+E388+F388+G387+H387+I387+Assumptions!$B$4/B388)-Assumptions!$B$30)</f>
        <v/>
      </c>
      <c r="H388">
        <f>Assumptions!$B$23/MIN(Assumptions!$B$24/(Assumptions!$B$29+E388+F388+G388+I387),B388*(1-Assumptions!$B$25))</f>
        <v/>
      </c>
      <c r="I388">
        <f>Assumptions!$B$26/MIN(Assumptions!$B$27/(Assumptions!$B$29+E388+F388+G388+H388),B388*(1-Assumptions!$B$28))</f>
        <v/>
      </c>
      <c r="J388">
        <f>Assumptions!$B$29+E388+F388+G388+H388+I388</f>
        <v/>
      </c>
      <c r="K388">
        <f>J388+Assumptions!$B$4/B388</f>
        <v/>
      </c>
      <c r="L388">
        <f>B388</f>
        <v/>
      </c>
    </row>
    <row r="389">
      <c r="A389" t="inlineStr">
        <is>
          <t>cell(1,0) iter 2</t>
        </is>
      </c>
      <c r="B389">
        <f>Assumptions!$B$53/J388</f>
        <v/>
      </c>
      <c r="C389">
        <f>IF(B389&lt;Assumptions!$B$20,Assumptions!$B$20*(Assumptions!$B$29+Assumptions!$B$4/Assumptions!$B$20)/(Assumptions!$B$29+Assumptions!$B$4/B389),Assumptions!$B$20)</f>
        <v/>
      </c>
      <c r="D389">
        <f>IF(B389&lt;Assumptions!$B$21,Assumptions!$B$21*(Assumptions!$B$29+Assumptions!$B$4/Assumptions!$B$21)/(Assumptions!$B$29+Assumptions!$B$4/B389),Assumptions!$B$21)</f>
        <v/>
      </c>
      <c r="E389">
        <f>Assumptions!$B$37*Assumptions!$B$22/C389-Assumptions!$B$38</f>
        <v/>
      </c>
      <c r="F389">
        <f>Assumptions!$B$39*Assumptions!$B$21/D389-Assumptions!$B$39</f>
        <v/>
      </c>
      <c r="G389">
        <f>MAX(0,Assumptions!$B$51*(Assumptions!$B$29+E389+F389+G388+H388+I388+Assumptions!$B$4/B389)-Assumptions!$B$30)</f>
        <v/>
      </c>
      <c r="H389">
        <f>Assumptions!$B$23/MIN(Assumptions!$B$24/(Assumptions!$B$29+E389+F389+G389+I388),B389*(1-Assumptions!$B$25))</f>
        <v/>
      </c>
      <c r="I389">
        <f>Assumptions!$B$26/MIN(Assumptions!$B$27/(Assumptions!$B$29+E389+F389+G389+H389),B389*(1-Assumptions!$B$28))</f>
        <v/>
      </c>
      <c r="J389">
        <f>Assumptions!$B$29+E389+F389+G389+H389+I389</f>
        <v/>
      </c>
      <c r="K389">
        <f>J389+Assumptions!$B$4/B389</f>
        <v/>
      </c>
      <c r="L389">
        <f>B389</f>
        <v/>
      </c>
    </row>
    <row r="390">
      <c r="A390" t="inlineStr">
        <is>
          <t>cell(1,0) iter 3</t>
        </is>
      </c>
      <c r="B390">
        <f>Assumptions!$B$53/J389</f>
        <v/>
      </c>
      <c r="C390">
        <f>IF(B390&lt;Assumptions!$B$20,Assumptions!$B$20*(Assumptions!$B$29+Assumptions!$B$4/Assumptions!$B$20)/(Assumptions!$B$29+Assumptions!$B$4/B390),Assumptions!$B$20)</f>
        <v/>
      </c>
      <c r="D390">
        <f>IF(B390&lt;Assumptions!$B$21,Assumptions!$B$21*(Assumptions!$B$29+Assumptions!$B$4/Assumptions!$B$21)/(Assumptions!$B$29+Assumptions!$B$4/B390),Assumptions!$B$21)</f>
        <v/>
      </c>
      <c r="E390">
        <f>Assumptions!$B$37*Assumptions!$B$22/C390-Assumptions!$B$38</f>
        <v/>
      </c>
      <c r="F390">
        <f>Assumptions!$B$39*Assumptions!$B$21/D390-Assumptions!$B$39</f>
        <v/>
      </c>
      <c r="G390">
        <f>MAX(0,Assumptions!$B$51*(Assumptions!$B$29+E390+F390+G389+H389+I389+Assumptions!$B$4/B390)-Assumptions!$B$30)</f>
        <v/>
      </c>
      <c r="H390">
        <f>Assumptions!$B$23/MIN(Assumptions!$B$24/(Assumptions!$B$29+E390+F390+G390+I389),B390*(1-Assumptions!$B$25))</f>
        <v/>
      </c>
      <c r="I390">
        <f>Assumptions!$B$26/MIN(Assumptions!$B$27/(Assumptions!$B$29+E390+F390+G390+H390),B390*(1-Assumptions!$B$28))</f>
        <v/>
      </c>
      <c r="J390">
        <f>Assumptions!$B$29+E390+F390+G390+H390+I390</f>
        <v/>
      </c>
      <c r="K390">
        <f>J390+Assumptions!$B$4/B390</f>
        <v/>
      </c>
      <c r="L390">
        <f>B390</f>
        <v/>
      </c>
    </row>
    <row r="391">
      <c r="A391" t="inlineStr">
        <is>
          <t>cell(1,0) iter 4</t>
        </is>
      </c>
      <c r="B391">
        <f>Assumptions!$B$53/J390</f>
        <v/>
      </c>
      <c r="C391">
        <f>IF(B391&lt;Assumptions!$B$20,Assumptions!$B$20*(Assumptions!$B$29+Assumptions!$B$4/Assumptions!$B$20)/(Assumptions!$B$29+Assumptions!$B$4/B391),Assumptions!$B$20)</f>
        <v/>
      </c>
      <c r="D391">
        <f>IF(B391&lt;Assumptions!$B$21,Assumptions!$B$21*(Assumptions!$B$29+Assumptions!$B$4/Assumptions!$B$21)/(Assumptions!$B$29+Assumptions!$B$4/B391),Assumptions!$B$21)</f>
        <v/>
      </c>
      <c r="E391">
        <f>Assumptions!$B$37*Assumptions!$B$22/C391-Assumptions!$B$38</f>
        <v/>
      </c>
      <c r="F391">
        <f>Assumptions!$B$39*Assumptions!$B$21/D391-Assumptions!$B$39</f>
        <v/>
      </c>
      <c r="G391">
        <f>MAX(0,Assumptions!$B$51*(Assumptions!$B$29+E391+F391+G390+H390+I390+Assumptions!$B$4/B391)-Assumptions!$B$30)</f>
        <v/>
      </c>
      <c r="H391">
        <f>Assumptions!$B$23/MIN(Assumptions!$B$24/(Assumptions!$B$29+E391+F391+G391+I390),B391*(1-Assumptions!$B$25))</f>
        <v/>
      </c>
      <c r="I391">
        <f>Assumptions!$B$26/MIN(Assumptions!$B$27/(Assumptions!$B$29+E391+F391+G391+H391),B391*(1-Assumptions!$B$28))</f>
        <v/>
      </c>
      <c r="J391">
        <f>Assumptions!$B$29+E391+F391+G391+H391+I391</f>
        <v/>
      </c>
      <c r="K391">
        <f>J391+Assumptions!$B$4/B391</f>
        <v/>
      </c>
      <c r="L391">
        <f>B391</f>
        <v/>
      </c>
    </row>
    <row r="392">
      <c r="A392" t="inlineStr">
        <is>
          <t>cell(1,0) iter 5</t>
        </is>
      </c>
      <c r="B392">
        <f>Assumptions!$B$53/J391</f>
        <v/>
      </c>
      <c r="C392">
        <f>IF(B392&lt;Assumptions!$B$20,Assumptions!$B$20*(Assumptions!$B$29+Assumptions!$B$4/Assumptions!$B$20)/(Assumptions!$B$29+Assumptions!$B$4/B392),Assumptions!$B$20)</f>
        <v/>
      </c>
      <c r="D392">
        <f>IF(B392&lt;Assumptions!$B$21,Assumptions!$B$21*(Assumptions!$B$29+Assumptions!$B$4/Assumptions!$B$21)/(Assumptions!$B$29+Assumptions!$B$4/B392),Assumptions!$B$21)</f>
        <v/>
      </c>
      <c r="E392">
        <f>Assumptions!$B$37*Assumptions!$B$22/C392-Assumptions!$B$38</f>
        <v/>
      </c>
      <c r="F392">
        <f>Assumptions!$B$39*Assumptions!$B$21/D392-Assumptions!$B$39</f>
        <v/>
      </c>
      <c r="G392">
        <f>MAX(0,Assumptions!$B$51*(Assumptions!$B$29+E392+F392+G391+H391+I391+Assumptions!$B$4/B392)-Assumptions!$B$30)</f>
        <v/>
      </c>
      <c r="H392">
        <f>Assumptions!$B$23/MIN(Assumptions!$B$24/(Assumptions!$B$29+E392+F392+G392+I391),B392*(1-Assumptions!$B$25))</f>
        <v/>
      </c>
      <c r="I392">
        <f>Assumptions!$B$26/MIN(Assumptions!$B$27/(Assumptions!$B$29+E392+F392+G392+H392),B392*(1-Assumptions!$B$28))</f>
        <v/>
      </c>
      <c r="J392">
        <f>Assumptions!$B$29+E392+F392+G392+H392+I392</f>
        <v/>
      </c>
      <c r="K392">
        <f>J392+Assumptions!$B$4/B392</f>
        <v/>
      </c>
      <c r="L392">
        <f>B392</f>
        <v/>
      </c>
    </row>
    <row r="393">
      <c r="A393" t="inlineStr">
        <is>
          <t>cell(1,0) iter 6</t>
        </is>
      </c>
      <c r="B393">
        <f>Assumptions!$B$53/J392</f>
        <v/>
      </c>
      <c r="C393">
        <f>IF(B393&lt;Assumptions!$B$20,Assumptions!$B$20*(Assumptions!$B$29+Assumptions!$B$4/Assumptions!$B$20)/(Assumptions!$B$29+Assumptions!$B$4/B393),Assumptions!$B$20)</f>
        <v/>
      </c>
      <c r="D393">
        <f>IF(B393&lt;Assumptions!$B$21,Assumptions!$B$21*(Assumptions!$B$29+Assumptions!$B$4/Assumptions!$B$21)/(Assumptions!$B$29+Assumptions!$B$4/B393),Assumptions!$B$21)</f>
        <v/>
      </c>
      <c r="E393">
        <f>Assumptions!$B$37*Assumptions!$B$22/C393-Assumptions!$B$38</f>
        <v/>
      </c>
      <c r="F393">
        <f>Assumptions!$B$39*Assumptions!$B$21/D393-Assumptions!$B$39</f>
        <v/>
      </c>
      <c r="G393">
        <f>MAX(0,Assumptions!$B$51*(Assumptions!$B$29+E393+F393+G392+H392+I392+Assumptions!$B$4/B393)-Assumptions!$B$30)</f>
        <v/>
      </c>
      <c r="H393">
        <f>Assumptions!$B$23/MIN(Assumptions!$B$24/(Assumptions!$B$29+E393+F393+G393+I392),B393*(1-Assumptions!$B$25))</f>
        <v/>
      </c>
      <c r="I393">
        <f>Assumptions!$B$26/MIN(Assumptions!$B$27/(Assumptions!$B$29+E393+F393+G393+H393),B393*(1-Assumptions!$B$28))</f>
        <v/>
      </c>
      <c r="J393">
        <f>Assumptions!$B$29+E393+F393+G393+H393+I393</f>
        <v/>
      </c>
      <c r="K393">
        <f>J393+Assumptions!$B$4/B393</f>
        <v/>
      </c>
      <c r="L393">
        <f>B393</f>
        <v/>
      </c>
    </row>
    <row r="394">
      <c r="A394" t="inlineStr">
        <is>
          <t>cell(1,0) iter 7</t>
        </is>
      </c>
      <c r="B394">
        <f>Assumptions!$B$53/J393</f>
        <v/>
      </c>
      <c r="C394">
        <f>IF(B394&lt;Assumptions!$B$20,Assumptions!$B$20*(Assumptions!$B$29+Assumptions!$B$4/Assumptions!$B$20)/(Assumptions!$B$29+Assumptions!$B$4/B394),Assumptions!$B$20)</f>
        <v/>
      </c>
      <c r="D394">
        <f>IF(B394&lt;Assumptions!$B$21,Assumptions!$B$21*(Assumptions!$B$29+Assumptions!$B$4/Assumptions!$B$21)/(Assumptions!$B$29+Assumptions!$B$4/B394),Assumptions!$B$21)</f>
        <v/>
      </c>
      <c r="E394">
        <f>Assumptions!$B$37*Assumptions!$B$22/C394-Assumptions!$B$38</f>
        <v/>
      </c>
      <c r="F394">
        <f>Assumptions!$B$39*Assumptions!$B$21/D394-Assumptions!$B$39</f>
        <v/>
      </c>
      <c r="G394">
        <f>MAX(0,Assumptions!$B$51*(Assumptions!$B$29+E394+F394+G393+H393+I393+Assumptions!$B$4/B394)-Assumptions!$B$30)</f>
        <v/>
      </c>
      <c r="H394">
        <f>Assumptions!$B$23/MIN(Assumptions!$B$24/(Assumptions!$B$29+E394+F394+G394+I393),B394*(1-Assumptions!$B$25))</f>
        <v/>
      </c>
      <c r="I394">
        <f>Assumptions!$B$26/MIN(Assumptions!$B$27/(Assumptions!$B$29+E394+F394+G394+H394),B394*(1-Assumptions!$B$28))</f>
        <v/>
      </c>
      <c r="J394">
        <f>Assumptions!$B$29+E394+F394+G394+H394+I394</f>
        <v/>
      </c>
      <c r="K394">
        <f>J394+Assumptions!$B$4/B394</f>
        <v/>
      </c>
      <c r="L394">
        <f>B394</f>
        <v/>
      </c>
    </row>
    <row r="395">
      <c r="A395" t="inlineStr">
        <is>
          <t>cell(1,0) iter 8</t>
        </is>
      </c>
      <c r="B395">
        <f>Assumptions!$B$53/J394</f>
        <v/>
      </c>
      <c r="C395">
        <f>IF(B395&lt;Assumptions!$B$20,Assumptions!$B$20*(Assumptions!$B$29+Assumptions!$B$4/Assumptions!$B$20)/(Assumptions!$B$29+Assumptions!$B$4/B395),Assumptions!$B$20)</f>
        <v/>
      </c>
      <c r="D395">
        <f>IF(B395&lt;Assumptions!$B$21,Assumptions!$B$21*(Assumptions!$B$29+Assumptions!$B$4/Assumptions!$B$21)/(Assumptions!$B$29+Assumptions!$B$4/B395),Assumptions!$B$21)</f>
        <v/>
      </c>
      <c r="E395">
        <f>Assumptions!$B$37*Assumptions!$B$22/C395-Assumptions!$B$38</f>
        <v/>
      </c>
      <c r="F395">
        <f>Assumptions!$B$39*Assumptions!$B$21/D395-Assumptions!$B$39</f>
        <v/>
      </c>
      <c r="G395">
        <f>MAX(0,Assumptions!$B$51*(Assumptions!$B$29+E395+F395+G394+H394+I394+Assumptions!$B$4/B395)-Assumptions!$B$30)</f>
        <v/>
      </c>
      <c r="H395">
        <f>Assumptions!$B$23/MIN(Assumptions!$B$24/(Assumptions!$B$29+E395+F395+G395+I394),B395*(1-Assumptions!$B$25))</f>
        <v/>
      </c>
      <c r="I395">
        <f>Assumptions!$B$26/MIN(Assumptions!$B$27/(Assumptions!$B$29+E395+F395+G395+H395),B395*(1-Assumptions!$B$28))</f>
        <v/>
      </c>
      <c r="J395">
        <f>Assumptions!$B$29+E395+F395+G395+H395+I395</f>
        <v/>
      </c>
      <c r="K395">
        <f>J395+Assumptions!$B$4/B395</f>
        <v/>
      </c>
      <c r="L395">
        <f>B395</f>
        <v/>
      </c>
    </row>
    <row r="396">
      <c r="A396" t="inlineStr">
        <is>
          <t>cell(1,0) iter 9</t>
        </is>
      </c>
      <c r="B396">
        <f>Assumptions!$B$53/J395</f>
        <v/>
      </c>
      <c r="C396">
        <f>IF(B396&lt;Assumptions!$B$20,Assumptions!$B$20*(Assumptions!$B$29+Assumptions!$B$4/Assumptions!$B$20)/(Assumptions!$B$29+Assumptions!$B$4/B396),Assumptions!$B$20)</f>
        <v/>
      </c>
      <c r="D396">
        <f>IF(B396&lt;Assumptions!$B$21,Assumptions!$B$21*(Assumptions!$B$29+Assumptions!$B$4/Assumptions!$B$21)/(Assumptions!$B$29+Assumptions!$B$4/B396),Assumptions!$B$21)</f>
        <v/>
      </c>
      <c r="E396">
        <f>Assumptions!$B$37*Assumptions!$B$22/C396-Assumptions!$B$38</f>
        <v/>
      </c>
      <c r="F396">
        <f>Assumptions!$B$39*Assumptions!$B$21/D396-Assumptions!$B$39</f>
        <v/>
      </c>
      <c r="G396">
        <f>MAX(0,Assumptions!$B$51*(Assumptions!$B$29+E396+F396+G395+H395+I395+Assumptions!$B$4/B396)-Assumptions!$B$30)</f>
        <v/>
      </c>
      <c r="H396">
        <f>Assumptions!$B$23/MIN(Assumptions!$B$24/(Assumptions!$B$29+E396+F396+G396+I395),B396*(1-Assumptions!$B$25))</f>
        <v/>
      </c>
      <c r="I396">
        <f>Assumptions!$B$26/MIN(Assumptions!$B$27/(Assumptions!$B$29+E396+F396+G396+H396),B396*(1-Assumptions!$B$28))</f>
        <v/>
      </c>
      <c r="J396">
        <f>Assumptions!$B$29+E396+F396+G396+H396+I396</f>
        <v/>
      </c>
      <c r="K396">
        <f>J396+Assumptions!$B$4/B396</f>
        <v/>
      </c>
      <c r="L396">
        <f>B396</f>
        <v/>
      </c>
    </row>
    <row r="397">
      <c r="A397" t="inlineStr">
        <is>
          <t>cell(1,0) iter 10</t>
        </is>
      </c>
      <c r="B397">
        <f>Assumptions!$B$53/J396</f>
        <v/>
      </c>
      <c r="C397">
        <f>IF(B397&lt;Assumptions!$B$20,Assumptions!$B$20*(Assumptions!$B$29+Assumptions!$B$4/Assumptions!$B$20)/(Assumptions!$B$29+Assumptions!$B$4/B397),Assumptions!$B$20)</f>
        <v/>
      </c>
      <c r="D397">
        <f>IF(B397&lt;Assumptions!$B$21,Assumptions!$B$21*(Assumptions!$B$29+Assumptions!$B$4/Assumptions!$B$21)/(Assumptions!$B$29+Assumptions!$B$4/B397),Assumptions!$B$21)</f>
        <v/>
      </c>
      <c r="E397">
        <f>Assumptions!$B$37*Assumptions!$B$22/C397-Assumptions!$B$38</f>
        <v/>
      </c>
      <c r="F397">
        <f>Assumptions!$B$39*Assumptions!$B$21/D397-Assumptions!$B$39</f>
        <v/>
      </c>
      <c r="G397">
        <f>MAX(0,Assumptions!$B$51*(Assumptions!$B$29+E397+F397+G396+H396+I396+Assumptions!$B$4/B397)-Assumptions!$B$30)</f>
        <v/>
      </c>
      <c r="H397">
        <f>Assumptions!$B$23/MIN(Assumptions!$B$24/(Assumptions!$B$29+E397+F397+G397+I396),B397*(1-Assumptions!$B$25))</f>
        <v/>
      </c>
      <c r="I397">
        <f>Assumptions!$B$26/MIN(Assumptions!$B$27/(Assumptions!$B$29+E397+F397+G397+H397),B397*(1-Assumptions!$B$28))</f>
        <v/>
      </c>
      <c r="J397">
        <f>Assumptions!$B$29+E397+F397+G397+H397+I397</f>
        <v/>
      </c>
      <c r="K397">
        <f>J397+Assumptions!$B$4/B397</f>
        <v/>
      </c>
      <c r="L397">
        <f>B397</f>
        <v/>
      </c>
    </row>
    <row r="398">
      <c r="A398" t="inlineStr">
        <is>
          <t>cell(1,0) iter 11</t>
        </is>
      </c>
      <c r="B398">
        <f>Assumptions!$B$53/J397</f>
        <v/>
      </c>
      <c r="C398">
        <f>IF(B398&lt;Assumptions!$B$20,Assumptions!$B$20*(Assumptions!$B$29+Assumptions!$B$4/Assumptions!$B$20)/(Assumptions!$B$29+Assumptions!$B$4/B398),Assumptions!$B$20)</f>
        <v/>
      </c>
      <c r="D398">
        <f>IF(B398&lt;Assumptions!$B$21,Assumptions!$B$21*(Assumptions!$B$29+Assumptions!$B$4/Assumptions!$B$21)/(Assumptions!$B$29+Assumptions!$B$4/B398),Assumptions!$B$21)</f>
        <v/>
      </c>
      <c r="E398">
        <f>Assumptions!$B$37*Assumptions!$B$22/C398-Assumptions!$B$38</f>
        <v/>
      </c>
      <c r="F398">
        <f>Assumptions!$B$39*Assumptions!$B$21/D398-Assumptions!$B$39</f>
        <v/>
      </c>
      <c r="G398">
        <f>MAX(0,Assumptions!$B$51*(Assumptions!$B$29+E398+F398+G397+H397+I397+Assumptions!$B$4/B398)-Assumptions!$B$30)</f>
        <v/>
      </c>
      <c r="H398">
        <f>Assumptions!$B$23/MIN(Assumptions!$B$24/(Assumptions!$B$29+E398+F398+G398+I397),B398*(1-Assumptions!$B$25))</f>
        <v/>
      </c>
      <c r="I398">
        <f>Assumptions!$B$26/MIN(Assumptions!$B$27/(Assumptions!$B$29+E398+F398+G398+H398),B398*(1-Assumptions!$B$28))</f>
        <v/>
      </c>
      <c r="J398">
        <f>Assumptions!$B$29+E398+F398+G398+H398+I398</f>
        <v/>
      </c>
      <c r="K398">
        <f>J398+Assumptions!$B$4/B398</f>
        <v/>
      </c>
      <c r="L398">
        <f>B398</f>
        <v/>
      </c>
    </row>
    <row r="399">
      <c r="A399" t="inlineStr">
        <is>
          <t>cell(1,0) iter 12</t>
        </is>
      </c>
      <c r="B399">
        <f>Assumptions!$B$53/J398</f>
        <v/>
      </c>
      <c r="C399">
        <f>IF(B399&lt;Assumptions!$B$20,Assumptions!$B$20*(Assumptions!$B$29+Assumptions!$B$4/Assumptions!$B$20)/(Assumptions!$B$29+Assumptions!$B$4/B399),Assumptions!$B$20)</f>
        <v/>
      </c>
      <c r="D399">
        <f>IF(B399&lt;Assumptions!$B$21,Assumptions!$B$21*(Assumptions!$B$29+Assumptions!$B$4/Assumptions!$B$21)/(Assumptions!$B$29+Assumptions!$B$4/B399),Assumptions!$B$21)</f>
        <v/>
      </c>
      <c r="E399">
        <f>Assumptions!$B$37*Assumptions!$B$22/C399-Assumptions!$B$38</f>
        <v/>
      </c>
      <c r="F399">
        <f>Assumptions!$B$39*Assumptions!$B$21/D399-Assumptions!$B$39</f>
        <v/>
      </c>
      <c r="G399">
        <f>MAX(0,Assumptions!$B$51*(Assumptions!$B$29+E399+F399+G398+H398+I398+Assumptions!$B$4/B399)-Assumptions!$B$30)</f>
        <v/>
      </c>
      <c r="H399">
        <f>Assumptions!$B$23/MIN(Assumptions!$B$24/(Assumptions!$B$29+E399+F399+G399+I398),B399*(1-Assumptions!$B$25))</f>
        <v/>
      </c>
      <c r="I399">
        <f>Assumptions!$B$26/MIN(Assumptions!$B$27/(Assumptions!$B$29+E399+F399+G399+H399),B399*(1-Assumptions!$B$28))</f>
        <v/>
      </c>
      <c r="J399">
        <f>Assumptions!$B$29+E399+F399+G399+H399+I399</f>
        <v/>
      </c>
      <c r="K399">
        <f>J399+Assumptions!$B$4/B399</f>
        <v/>
      </c>
      <c r="L399">
        <f>B399</f>
        <v/>
      </c>
    </row>
    <row r="400">
      <c r="A400" t="inlineStr">
        <is>
          <t>cell(1,0) iter 13</t>
        </is>
      </c>
      <c r="B400">
        <f>Assumptions!$B$53/J399</f>
        <v/>
      </c>
      <c r="C400">
        <f>IF(B400&lt;Assumptions!$B$20,Assumptions!$B$20*(Assumptions!$B$29+Assumptions!$B$4/Assumptions!$B$20)/(Assumptions!$B$29+Assumptions!$B$4/B400),Assumptions!$B$20)</f>
        <v/>
      </c>
      <c r="D400">
        <f>IF(B400&lt;Assumptions!$B$21,Assumptions!$B$21*(Assumptions!$B$29+Assumptions!$B$4/Assumptions!$B$21)/(Assumptions!$B$29+Assumptions!$B$4/B400),Assumptions!$B$21)</f>
        <v/>
      </c>
      <c r="E400">
        <f>Assumptions!$B$37*Assumptions!$B$22/C400-Assumptions!$B$38</f>
        <v/>
      </c>
      <c r="F400">
        <f>Assumptions!$B$39*Assumptions!$B$21/D400-Assumptions!$B$39</f>
        <v/>
      </c>
      <c r="G400">
        <f>MAX(0,Assumptions!$B$51*(Assumptions!$B$29+E400+F400+G399+H399+I399+Assumptions!$B$4/B400)-Assumptions!$B$30)</f>
        <v/>
      </c>
      <c r="H400">
        <f>Assumptions!$B$23/MIN(Assumptions!$B$24/(Assumptions!$B$29+E400+F400+G400+I399),B400*(1-Assumptions!$B$25))</f>
        <v/>
      </c>
      <c r="I400">
        <f>Assumptions!$B$26/MIN(Assumptions!$B$27/(Assumptions!$B$29+E400+F400+G400+H400),B400*(1-Assumptions!$B$28))</f>
        <v/>
      </c>
      <c r="J400">
        <f>Assumptions!$B$29+E400+F400+G400+H400+I400</f>
        <v/>
      </c>
      <c r="K400">
        <f>J400+Assumptions!$B$4/B400</f>
        <v/>
      </c>
      <c r="L400">
        <f>B400</f>
        <v/>
      </c>
    </row>
    <row r="401">
      <c r="A401" t="inlineStr">
        <is>
          <t>cell(1,0) iter 14</t>
        </is>
      </c>
      <c r="B401">
        <f>Assumptions!$B$53/J400</f>
        <v/>
      </c>
      <c r="C401">
        <f>IF(B401&lt;Assumptions!$B$20,Assumptions!$B$20*(Assumptions!$B$29+Assumptions!$B$4/Assumptions!$B$20)/(Assumptions!$B$29+Assumptions!$B$4/B401),Assumptions!$B$20)</f>
        <v/>
      </c>
      <c r="D401">
        <f>IF(B401&lt;Assumptions!$B$21,Assumptions!$B$21*(Assumptions!$B$29+Assumptions!$B$4/Assumptions!$B$21)/(Assumptions!$B$29+Assumptions!$B$4/B401),Assumptions!$B$21)</f>
        <v/>
      </c>
      <c r="E401">
        <f>Assumptions!$B$37*Assumptions!$B$22/C401-Assumptions!$B$38</f>
        <v/>
      </c>
      <c r="F401">
        <f>Assumptions!$B$39*Assumptions!$B$21/D401-Assumptions!$B$39</f>
        <v/>
      </c>
      <c r="G401">
        <f>MAX(0,Assumptions!$B$51*(Assumptions!$B$29+E401+F401+G400+H400+I400+Assumptions!$B$4/B401)-Assumptions!$B$30)</f>
        <v/>
      </c>
      <c r="H401">
        <f>Assumptions!$B$23/MIN(Assumptions!$B$24/(Assumptions!$B$29+E401+F401+G401+I400),B401*(1-Assumptions!$B$25))</f>
        <v/>
      </c>
      <c r="I401">
        <f>Assumptions!$B$26/MIN(Assumptions!$B$27/(Assumptions!$B$29+E401+F401+G401+H401),B401*(1-Assumptions!$B$28))</f>
        <v/>
      </c>
      <c r="J401">
        <f>Assumptions!$B$29+E401+F401+G401+H401+I401</f>
        <v/>
      </c>
      <c r="K401">
        <f>J401+Assumptions!$B$4/B401</f>
        <v/>
      </c>
      <c r="L401">
        <f>B401</f>
        <v/>
      </c>
    </row>
    <row r="402">
      <c r="A402" t="inlineStr">
        <is>
          <t>cell(1,0) iter 15</t>
        </is>
      </c>
      <c r="B402">
        <f>Assumptions!$B$53/J401</f>
        <v/>
      </c>
      <c r="C402">
        <f>IF(B402&lt;Assumptions!$B$20,Assumptions!$B$20*(Assumptions!$B$29+Assumptions!$B$4/Assumptions!$B$20)/(Assumptions!$B$29+Assumptions!$B$4/B402),Assumptions!$B$20)</f>
        <v/>
      </c>
      <c r="D402">
        <f>IF(B402&lt;Assumptions!$B$21,Assumptions!$B$21*(Assumptions!$B$29+Assumptions!$B$4/Assumptions!$B$21)/(Assumptions!$B$29+Assumptions!$B$4/B402),Assumptions!$B$21)</f>
        <v/>
      </c>
      <c r="E402">
        <f>Assumptions!$B$37*Assumptions!$B$22/C402-Assumptions!$B$38</f>
        <v/>
      </c>
      <c r="F402">
        <f>Assumptions!$B$39*Assumptions!$B$21/D402-Assumptions!$B$39</f>
        <v/>
      </c>
      <c r="G402">
        <f>MAX(0,Assumptions!$B$51*(Assumptions!$B$29+E402+F402+G401+H401+I401+Assumptions!$B$4/B402)-Assumptions!$B$30)</f>
        <v/>
      </c>
      <c r="H402">
        <f>Assumptions!$B$23/MIN(Assumptions!$B$24/(Assumptions!$B$29+E402+F402+G402+I401),B402*(1-Assumptions!$B$25))</f>
        <v/>
      </c>
      <c r="I402">
        <f>Assumptions!$B$26/MIN(Assumptions!$B$27/(Assumptions!$B$29+E402+F402+G402+H402),B402*(1-Assumptions!$B$28))</f>
        <v/>
      </c>
      <c r="J402">
        <f>Assumptions!$B$29+E402+F402+G402+H402+I402</f>
        <v/>
      </c>
      <c r="K402">
        <f>J402+Assumptions!$B$4/B402</f>
        <v/>
      </c>
      <c r="L402">
        <f>B402</f>
        <v/>
      </c>
    </row>
    <row r="403">
      <c r="A403" t="inlineStr">
        <is>
          <t>cell(1,0) iter 16</t>
        </is>
      </c>
      <c r="B403">
        <f>Assumptions!$B$53/J402</f>
        <v/>
      </c>
      <c r="C403">
        <f>IF(B403&lt;Assumptions!$B$20,Assumptions!$B$20*(Assumptions!$B$29+Assumptions!$B$4/Assumptions!$B$20)/(Assumptions!$B$29+Assumptions!$B$4/B403),Assumptions!$B$20)</f>
        <v/>
      </c>
      <c r="D403">
        <f>IF(B403&lt;Assumptions!$B$21,Assumptions!$B$21*(Assumptions!$B$29+Assumptions!$B$4/Assumptions!$B$21)/(Assumptions!$B$29+Assumptions!$B$4/B403),Assumptions!$B$21)</f>
        <v/>
      </c>
      <c r="E403">
        <f>Assumptions!$B$37*Assumptions!$B$22/C403-Assumptions!$B$38</f>
        <v/>
      </c>
      <c r="F403">
        <f>Assumptions!$B$39*Assumptions!$B$21/D403-Assumptions!$B$39</f>
        <v/>
      </c>
      <c r="G403">
        <f>MAX(0,Assumptions!$B$51*(Assumptions!$B$29+E403+F403+G402+H402+I402+Assumptions!$B$4/B403)-Assumptions!$B$30)</f>
        <v/>
      </c>
      <c r="H403">
        <f>Assumptions!$B$23/MIN(Assumptions!$B$24/(Assumptions!$B$29+E403+F403+G403+I402),B403*(1-Assumptions!$B$25))</f>
        <v/>
      </c>
      <c r="I403">
        <f>Assumptions!$B$26/MIN(Assumptions!$B$27/(Assumptions!$B$29+E403+F403+G403+H403),B403*(1-Assumptions!$B$28))</f>
        <v/>
      </c>
      <c r="J403">
        <f>Assumptions!$B$29+E403+F403+G403+H403+I403</f>
        <v/>
      </c>
      <c r="K403">
        <f>J403+Assumptions!$B$4/B403</f>
        <v/>
      </c>
      <c r="L403">
        <f>B403</f>
        <v/>
      </c>
    </row>
    <row r="404">
      <c r="A404" t="inlineStr">
        <is>
          <t>cell(1,0) iter 17</t>
        </is>
      </c>
      <c r="B404">
        <f>Assumptions!$B$53/J403</f>
        <v/>
      </c>
      <c r="C404">
        <f>IF(B404&lt;Assumptions!$B$20,Assumptions!$B$20*(Assumptions!$B$29+Assumptions!$B$4/Assumptions!$B$20)/(Assumptions!$B$29+Assumptions!$B$4/B404),Assumptions!$B$20)</f>
        <v/>
      </c>
      <c r="D404">
        <f>IF(B404&lt;Assumptions!$B$21,Assumptions!$B$21*(Assumptions!$B$29+Assumptions!$B$4/Assumptions!$B$21)/(Assumptions!$B$29+Assumptions!$B$4/B404),Assumptions!$B$21)</f>
        <v/>
      </c>
      <c r="E404">
        <f>Assumptions!$B$37*Assumptions!$B$22/C404-Assumptions!$B$38</f>
        <v/>
      </c>
      <c r="F404">
        <f>Assumptions!$B$39*Assumptions!$B$21/D404-Assumptions!$B$39</f>
        <v/>
      </c>
      <c r="G404">
        <f>MAX(0,Assumptions!$B$51*(Assumptions!$B$29+E404+F404+G403+H403+I403+Assumptions!$B$4/B404)-Assumptions!$B$30)</f>
        <v/>
      </c>
      <c r="H404">
        <f>Assumptions!$B$23/MIN(Assumptions!$B$24/(Assumptions!$B$29+E404+F404+G404+I403),B404*(1-Assumptions!$B$25))</f>
        <v/>
      </c>
      <c r="I404">
        <f>Assumptions!$B$26/MIN(Assumptions!$B$27/(Assumptions!$B$29+E404+F404+G404+H404),B404*(1-Assumptions!$B$28))</f>
        <v/>
      </c>
      <c r="J404">
        <f>Assumptions!$B$29+E404+F404+G404+H404+I404</f>
        <v/>
      </c>
      <c r="K404">
        <f>J404+Assumptions!$B$4/B404</f>
        <v/>
      </c>
      <c r="L404">
        <f>B404</f>
        <v/>
      </c>
    </row>
    <row r="405">
      <c r="A405" t="inlineStr">
        <is>
          <t>cell(1,0) iter 18</t>
        </is>
      </c>
      <c r="B405">
        <f>Assumptions!$B$53/J404</f>
        <v/>
      </c>
      <c r="C405">
        <f>IF(B405&lt;Assumptions!$B$20,Assumptions!$B$20*(Assumptions!$B$29+Assumptions!$B$4/Assumptions!$B$20)/(Assumptions!$B$29+Assumptions!$B$4/B405),Assumptions!$B$20)</f>
        <v/>
      </c>
      <c r="D405">
        <f>IF(B405&lt;Assumptions!$B$21,Assumptions!$B$21*(Assumptions!$B$29+Assumptions!$B$4/Assumptions!$B$21)/(Assumptions!$B$29+Assumptions!$B$4/B405),Assumptions!$B$21)</f>
        <v/>
      </c>
      <c r="E405">
        <f>Assumptions!$B$37*Assumptions!$B$22/C405-Assumptions!$B$38</f>
        <v/>
      </c>
      <c r="F405">
        <f>Assumptions!$B$39*Assumptions!$B$21/D405-Assumptions!$B$39</f>
        <v/>
      </c>
      <c r="G405">
        <f>MAX(0,Assumptions!$B$51*(Assumptions!$B$29+E405+F405+G404+H404+I404+Assumptions!$B$4/B405)-Assumptions!$B$30)</f>
        <v/>
      </c>
      <c r="H405">
        <f>Assumptions!$B$23/MIN(Assumptions!$B$24/(Assumptions!$B$29+E405+F405+G405+I404),B405*(1-Assumptions!$B$25))</f>
        <v/>
      </c>
      <c r="I405">
        <f>Assumptions!$B$26/MIN(Assumptions!$B$27/(Assumptions!$B$29+E405+F405+G405+H405),B405*(1-Assumptions!$B$28))</f>
        <v/>
      </c>
      <c r="J405">
        <f>Assumptions!$B$29+E405+F405+G405+H405+I405</f>
        <v/>
      </c>
      <c r="K405">
        <f>J405+Assumptions!$B$4/B405</f>
        <v/>
      </c>
      <c r="L405">
        <f>B405</f>
        <v/>
      </c>
    </row>
    <row r="406">
      <c r="A406" t="inlineStr">
        <is>
          <t>cell(1,0) iter 19</t>
        </is>
      </c>
      <c r="B406">
        <f>Assumptions!$B$53/J405</f>
        <v/>
      </c>
      <c r="C406">
        <f>IF(B406&lt;Assumptions!$B$20,Assumptions!$B$20*(Assumptions!$B$29+Assumptions!$B$4/Assumptions!$B$20)/(Assumptions!$B$29+Assumptions!$B$4/B406),Assumptions!$B$20)</f>
        <v/>
      </c>
      <c r="D406">
        <f>IF(B406&lt;Assumptions!$B$21,Assumptions!$B$21*(Assumptions!$B$29+Assumptions!$B$4/Assumptions!$B$21)/(Assumptions!$B$29+Assumptions!$B$4/B406),Assumptions!$B$21)</f>
        <v/>
      </c>
      <c r="E406">
        <f>Assumptions!$B$37*Assumptions!$B$22/C406-Assumptions!$B$38</f>
        <v/>
      </c>
      <c r="F406">
        <f>Assumptions!$B$39*Assumptions!$B$21/D406-Assumptions!$B$39</f>
        <v/>
      </c>
      <c r="G406">
        <f>MAX(0,Assumptions!$B$51*(Assumptions!$B$29+E406+F406+G405+H405+I405+Assumptions!$B$4/B406)-Assumptions!$B$30)</f>
        <v/>
      </c>
      <c r="H406">
        <f>Assumptions!$B$23/MIN(Assumptions!$B$24/(Assumptions!$B$29+E406+F406+G406+I405),B406*(1-Assumptions!$B$25))</f>
        <v/>
      </c>
      <c r="I406">
        <f>Assumptions!$B$26/MIN(Assumptions!$B$27/(Assumptions!$B$29+E406+F406+G406+H406),B406*(1-Assumptions!$B$28))</f>
        <v/>
      </c>
      <c r="J406">
        <f>Assumptions!$B$29+E406+F406+G406+H406+I406</f>
        <v/>
      </c>
      <c r="K406">
        <f>J406+Assumptions!$B$4/B406</f>
        <v/>
      </c>
      <c r="L406">
        <f>B406</f>
        <v/>
      </c>
    </row>
    <row r="407">
      <c r="A407" t="inlineStr">
        <is>
          <t>cell(1,0) iter 20</t>
        </is>
      </c>
      <c r="B407">
        <f>Assumptions!$B$53/J406</f>
        <v/>
      </c>
      <c r="C407">
        <f>IF(B407&lt;Assumptions!$B$20,Assumptions!$B$20*(Assumptions!$B$29+Assumptions!$B$4/Assumptions!$B$20)/(Assumptions!$B$29+Assumptions!$B$4/B407),Assumptions!$B$20)</f>
        <v/>
      </c>
      <c r="D407">
        <f>IF(B407&lt;Assumptions!$B$21,Assumptions!$B$21*(Assumptions!$B$29+Assumptions!$B$4/Assumptions!$B$21)/(Assumptions!$B$29+Assumptions!$B$4/B407),Assumptions!$B$21)</f>
        <v/>
      </c>
      <c r="E407">
        <f>Assumptions!$B$37*Assumptions!$B$22/C407-Assumptions!$B$38</f>
        <v/>
      </c>
      <c r="F407">
        <f>Assumptions!$B$39*Assumptions!$B$21/D407-Assumptions!$B$39</f>
        <v/>
      </c>
      <c r="G407">
        <f>MAX(0,Assumptions!$B$51*(Assumptions!$B$29+E407+F407+G406+H406+I406+Assumptions!$B$4/B407)-Assumptions!$B$30)</f>
        <v/>
      </c>
      <c r="H407">
        <f>Assumptions!$B$23/MIN(Assumptions!$B$24/(Assumptions!$B$29+E407+F407+G407+I406),B407*(1-Assumptions!$B$25))</f>
        <v/>
      </c>
      <c r="I407">
        <f>Assumptions!$B$26/MIN(Assumptions!$B$27/(Assumptions!$B$29+E407+F407+G407+H407),B407*(1-Assumptions!$B$28))</f>
        <v/>
      </c>
      <c r="J407">
        <f>Assumptions!$B$29+E407+F407+G407+H407+I407</f>
        <v/>
      </c>
      <c r="K407">
        <f>J407+Assumptions!$B$4/B407</f>
        <v/>
      </c>
      <c r="L407">
        <f>B407</f>
        <v/>
      </c>
    </row>
    <row r="408">
      <c r="A408" t="inlineStr">
        <is>
          <t>cell(1,0) iter 21</t>
        </is>
      </c>
      <c r="B408">
        <f>Assumptions!$B$53/J407</f>
        <v/>
      </c>
      <c r="C408">
        <f>IF(B408&lt;Assumptions!$B$20,Assumptions!$B$20*(Assumptions!$B$29+Assumptions!$B$4/Assumptions!$B$20)/(Assumptions!$B$29+Assumptions!$B$4/B408),Assumptions!$B$20)</f>
        <v/>
      </c>
      <c r="D408">
        <f>IF(B408&lt;Assumptions!$B$21,Assumptions!$B$21*(Assumptions!$B$29+Assumptions!$B$4/Assumptions!$B$21)/(Assumptions!$B$29+Assumptions!$B$4/B408),Assumptions!$B$21)</f>
        <v/>
      </c>
      <c r="E408">
        <f>Assumptions!$B$37*Assumptions!$B$22/C408-Assumptions!$B$38</f>
        <v/>
      </c>
      <c r="F408">
        <f>Assumptions!$B$39*Assumptions!$B$21/D408-Assumptions!$B$39</f>
        <v/>
      </c>
      <c r="G408">
        <f>MAX(0,Assumptions!$B$51*(Assumptions!$B$29+E408+F408+G407+H407+I407+Assumptions!$B$4/B408)-Assumptions!$B$30)</f>
        <v/>
      </c>
      <c r="H408">
        <f>Assumptions!$B$23/MIN(Assumptions!$B$24/(Assumptions!$B$29+E408+F408+G408+I407),B408*(1-Assumptions!$B$25))</f>
        <v/>
      </c>
      <c r="I408">
        <f>Assumptions!$B$26/MIN(Assumptions!$B$27/(Assumptions!$B$29+E408+F408+G408+H408),B408*(1-Assumptions!$B$28))</f>
        <v/>
      </c>
      <c r="J408">
        <f>Assumptions!$B$29+E408+F408+G408+H408+I408</f>
        <v/>
      </c>
      <c r="K408">
        <f>J408+Assumptions!$B$4/B408</f>
        <v/>
      </c>
      <c r="L408">
        <f>B408</f>
        <v/>
      </c>
    </row>
    <row r="409">
      <c r="A409" t="inlineStr">
        <is>
          <t>cell(1,0) iter 22</t>
        </is>
      </c>
      <c r="B409">
        <f>Assumptions!$B$53/J408</f>
        <v/>
      </c>
      <c r="C409">
        <f>IF(B409&lt;Assumptions!$B$20,Assumptions!$B$20*(Assumptions!$B$29+Assumptions!$B$4/Assumptions!$B$20)/(Assumptions!$B$29+Assumptions!$B$4/B409),Assumptions!$B$20)</f>
        <v/>
      </c>
      <c r="D409">
        <f>IF(B409&lt;Assumptions!$B$21,Assumptions!$B$21*(Assumptions!$B$29+Assumptions!$B$4/Assumptions!$B$21)/(Assumptions!$B$29+Assumptions!$B$4/B409),Assumptions!$B$21)</f>
        <v/>
      </c>
      <c r="E409">
        <f>Assumptions!$B$37*Assumptions!$B$22/C409-Assumptions!$B$38</f>
        <v/>
      </c>
      <c r="F409">
        <f>Assumptions!$B$39*Assumptions!$B$21/D409-Assumptions!$B$39</f>
        <v/>
      </c>
      <c r="G409">
        <f>MAX(0,Assumptions!$B$51*(Assumptions!$B$29+E409+F409+G408+H408+I408+Assumptions!$B$4/B409)-Assumptions!$B$30)</f>
        <v/>
      </c>
      <c r="H409">
        <f>Assumptions!$B$23/MIN(Assumptions!$B$24/(Assumptions!$B$29+E409+F409+G409+I408),B409*(1-Assumptions!$B$25))</f>
        <v/>
      </c>
      <c r="I409">
        <f>Assumptions!$B$26/MIN(Assumptions!$B$27/(Assumptions!$B$29+E409+F409+G409+H409),B409*(1-Assumptions!$B$28))</f>
        <v/>
      </c>
      <c r="J409">
        <f>Assumptions!$B$29+E409+F409+G409+H409+I409</f>
        <v/>
      </c>
      <c r="K409">
        <f>J409+Assumptions!$B$4/B409</f>
        <v/>
      </c>
      <c r="L409">
        <f>B409</f>
        <v/>
      </c>
    </row>
    <row r="410">
      <c r="A410" t="inlineStr">
        <is>
          <t>cell(1,0) iter 23</t>
        </is>
      </c>
      <c r="B410">
        <f>Assumptions!$B$53/J409</f>
        <v/>
      </c>
      <c r="C410">
        <f>IF(B410&lt;Assumptions!$B$20,Assumptions!$B$20*(Assumptions!$B$29+Assumptions!$B$4/Assumptions!$B$20)/(Assumptions!$B$29+Assumptions!$B$4/B410),Assumptions!$B$20)</f>
        <v/>
      </c>
      <c r="D410">
        <f>IF(B410&lt;Assumptions!$B$21,Assumptions!$B$21*(Assumptions!$B$29+Assumptions!$B$4/Assumptions!$B$21)/(Assumptions!$B$29+Assumptions!$B$4/B410),Assumptions!$B$21)</f>
        <v/>
      </c>
      <c r="E410">
        <f>Assumptions!$B$37*Assumptions!$B$22/C410-Assumptions!$B$38</f>
        <v/>
      </c>
      <c r="F410">
        <f>Assumptions!$B$39*Assumptions!$B$21/D410-Assumptions!$B$39</f>
        <v/>
      </c>
      <c r="G410">
        <f>MAX(0,Assumptions!$B$51*(Assumptions!$B$29+E410+F410+G409+H409+I409+Assumptions!$B$4/B410)-Assumptions!$B$30)</f>
        <v/>
      </c>
      <c r="H410">
        <f>Assumptions!$B$23/MIN(Assumptions!$B$24/(Assumptions!$B$29+E410+F410+G410+I409),B410*(1-Assumptions!$B$25))</f>
        <v/>
      </c>
      <c r="I410">
        <f>Assumptions!$B$26/MIN(Assumptions!$B$27/(Assumptions!$B$29+E410+F410+G410+H410),B410*(1-Assumptions!$B$28))</f>
        <v/>
      </c>
      <c r="J410">
        <f>Assumptions!$B$29+E410+F410+G410+H410+I410</f>
        <v/>
      </c>
      <c r="K410">
        <f>J410+Assumptions!$B$4/B410</f>
        <v/>
      </c>
      <c r="L410">
        <f>B410</f>
        <v/>
      </c>
    </row>
    <row r="411">
      <c r="A411" t="inlineStr">
        <is>
          <t>cell(1,0) iter 24</t>
        </is>
      </c>
      <c r="B411">
        <f>Assumptions!$B$53/J410</f>
        <v/>
      </c>
      <c r="C411">
        <f>IF(B411&lt;Assumptions!$B$20,Assumptions!$B$20*(Assumptions!$B$29+Assumptions!$B$4/Assumptions!$B$20)/(Assumptions!$B$29+Assumptions!$B$4/B411),Assumptions!$B$20)</f>
        <v/>
      </c>
      <c r="D411">
        <f>IF(B411&lt;Assumptions!$B$21,Assumptions!$B$21*(Assumptions!$B$29+Assumptions!$B$4/Assumptions!$B$21)/(Assumptions!$B$29+Assumptions!$B$4/B411),Assumptions!$B$21)</f>
        <v/>
      </c>
      <c r="E411">
        <f>Assumptions!$B$37*Assumptions!$B$22/C411-Assumptions!$B$38</f>
        <v/>
      </c>
      <c r="F411">
        <f>Assumptions!$B$39*Assumptions!$B$21/D411-Assumptions!$B$39</f>
        <v/>
      </c>
      <c r="G411">
        <f>MAX(0,Assumptions!$B$51*(Assumptions!$B$29+E411+F411+G410+H410+I410+Assumptions!$B$4/B411)-Assumptions!$B$30)</f>
        <v/>
      </c>
      <c r="H411">
        <f>Assumptions!$B$23/MIN(Assumptions!$B$24/(Assumptions!$B$29+E411+F411+G411+I410),B411*(1-Assumptions!$B$25))</f>
        <v/>
      </c>
      <c r="I411">
        <f>Assumptions!$B$26/MIN(Assumptions!$B$27/(Assumptions!$B$29+E411+F411+G411+H411),B411*(1-Assumptions!$B$28))</f>
        <v/>
      </c>
      <c r="J411">
        <f>Assumptions!$B$29+E411+F411+G411+H411+I411</f>
        <v/>
      </c>
      <c r="K411">
        <f>J411+Assumptions!$B$4/B411</f>
        <v/>
      </c>
      <c r="L411">
        <f>B411</f>
        <v/>
      </c>
    </row>
    <row r="412">
      <c r="A412" t="inlineStr">
        <is>
          <t>cell(1,0) iter 25</t>
        </is>
      </c>
      <c r="B412">
        <f>Assumptions!$B$53/J411</f>
        <v/>
      </c>
      <c r="C412">
        <f>IF(B412&lt;Assumptions!$B$20,Assumptions!$B$20*(Assumptions!$B$29+Assumptions!$B$4/Assumptions!$B$20)/(Assumptions!$B$29+Assumptions!$B$4/B412),Assumptions!$B$20)</f>
        <v/>
      </c>
      <c r="D412">
        <f>IF(B412&lt;Assumptions!$B$21,Assumptions!$B$21*(Assumptions!$B$29+Assumptions!$B$4/Assumptions!$B$21)/(Assumptions!$B$29+Assumptions!$B$4/B412),Assumptions!$B$21)</f>
        <v/>
      </c>
      <c r="E412">
        <f>Assumptions!$B$37*Assumptions!$B$22/C412-Assumptions!$B$38</f>
        <v/>
      </c>
      <c r="F412">
        <f>Assumptions!$B$39*Assumptions!$B$21/D412-Assumptions!$B$39</f>
        <v/>
      </c>
      <c r="G412">
        <f>MAX(0,Assumptions!$B$51*(Assumptions!$B$29+E412+F412+G411+H411+I411+Assumptions!$B$4/B412)-Assumptions!$B$30)</f>
        <v/>
      </c>
      <c r="H412">
        <f>Assumptions!$B$23/MIN(Assumptions!$B$24/(Assumptions!$B$29+E412+F412+G412+I411),B412*(1-Assumptions!$B$25))</f>
        <v/>
      </c>
      <c r="I412">
        <f>Assumptions!$B$26/MIN(Assumptions!$B$27/(Assumptions!$B$29+E412+F412+G412+H412),B412*(1-Assumptions!$B$28))</f>
        <v/>
      </c>
      <c r="J412">
        <f>Assumptions!$B$29+E412+F412+G412+H412+I412</f>
        <v/>
      </c>
      <c r="K412">
        <f>J412+Assumptions!$B$4/B412</f>
        <v/>
      </c>
      <c r="L412">
        <f>B412</f>
        <v/>
      </c>
    </row>
    <row r="413">
      <c r="A413" t="inlineStr">
        <is>
          <t>cell(1,0) iter 26</t>
        </is>
      </c>
      <c r="B413">
        <f>Assumptions!$B$53/J412</f>
        <v/>
      </c>
      <c r="C413">
        <f>IF(B413&lt;Assumptions!$B$20,Assumptions!$B$20*(Assumptions!$B$29+Assumptions!$B$4/Assumptions!$B$20)/(Assumptions!$B$29+Assumptions!$B$4/B413),Assumptions!$B$20)</f>
        <v/>
      </c>
      <c r="D413">
        <f>IF(B413&lt;Assumptions!$B$21,Assumptions!$B$21*(Assumptions!$B$29+Assumptions!$B$4/Assumptions!$B$21)/(Assumptions!$B$29+Assumptions!$B$4/B413),Assumptions!$B$21)</f>
        <v/>
      </c>
      <c r="E413">
        <f>Assumptions!$B$37*Assumptions!$B$22/C413-Assumptions!$B$38</f>
        <v/>
      </c>
      <c r="F413">
        <f>Assumptions!$B$39*Assumptions!$B$21/D413-Assumptions!$B$39</f>
        <v/>
      </c>
      <c r="G413">
        <f>MAX(0,Assumptions!$B$51*(Assumptions!$B$29+E413+F413+G412+H412+I412+Assumptions!$B$4/B413)-Assumptions!$B$30)</f>
        <v/>
      </c>
      <c r="H413">
        <f>Assumptions!$B$23/MIN(Assumptions!$B$24/(Assumptions!$B$29+E413+F413+G413+I412),B413*(1-Assumptions!$B$25))</f>
        <v/>
      </c>
      <c r="I413">
        <f>Assumptions!$B$26/MIN(Assumptions!$B$27/(Assumptions!$B$29+E413+F413+G413+H413),B413*(1-Assumptions!$B$28))</f>
        <v/>
      </c>
      <c r="J413">
        <f>Assumptions!$B$29+E413+F413+G413+H413+I413</f>
        <v/>
      </c>
      <c r="K413">
        <f>J413+Assumptions!$B$4/B413</f>
        <v/>
      </c>
      <c r="L413">
        <f>B413</f>
        <v/>
      </c>
    </row>
    <row r="414">
      <c r="A414" t="inlineStr">
        <is>
          <t>cell(1,0) iter 27</t>
        </is>
      </c>
      <c r="B414">
        <f>Assumptions!$B$53/J413</f>
        <v/>
      </c>
      <c r="C414">
        <f>IF(B414&lt;Assumptions!$B$20,Assumptions!$B$20*(Assumptions!$B$29+Assumptions!$B$4/Assumptions!$B$20)/(Assumptions!$B$29+Assumptions!$B$4/B414),Assumptions!$B$20)</f>
        <v/>
      </c>
      <c r="D414">
        <f>IF(B414&lt;Assumptions!$B$21,Assumptions!$B$21*(Assumptions!$B$29+Assumptions!$B$4/Assumptions!$B$21)/(Assumptions!$B$29+Assumptions!$B$4/B414),Assumptions!$B$21)</f>
        <v/>
      </c>
      <c r="E414">
        <f>Assumptions!$B$37*Assumptions!$B$22/C414-Assumptions!$B$38</f>
        <v/>
      </c>
      <c r="F414">
        <f>Assumptions!$B$39*Assumptions!$B$21/D414-Assumptions!$B$39</f>
        <v/>
      </c>
      <c r="G414">
        <f>MAX(0,Assumptions!$B$51*(Assumptions!$B$29+E414+F414+G413+H413+I413+Assumptions!$B$4/B414)-Assumptions!$B$30)</f>
        <v/>
      </c>
      <c r="H414">
        <f>Assumptions!$B$23/MIN(Assumptions!$B$24/(Assumptions!$B$29+E414+F414+G414+I413),B414*(1-Assumptions!$B$25))</f>
        <v/>
      </c>
      <c r="I414">
        <f>Assumptions!$B$26/MIN(Assumptions!$B$27/(Assumptions!$B$29+E414+F414+G414+H414),B414*(1-Assumptions!$B$28))</f>
        <v/>
      </c>
      <c r="J414">
        <f>Assumptions!$B$29+E414+F414+G414+H414+I414</f>
        <v/>
      </c>
      <c r="K414">
        <f>J414+Assumptions!$B$4/B414</f>
        <v/>
      </c>
      <c r="L414">
        <f>B414</f>
        <v/>
      </c>
    </row>
    <row r="415">
      <c r="A415" t="inlineStr">
        <is>
          <t>cell(1,0) iter 28</t>
        </is>
      </c>
      <c r="B415">
        <f>Assumptions!$B$53/J414</f>
        <v/>
      </c>
      <c r="C415">
        <f>IF(B415&lt;Assumptions!$B$20,Assumptions!$B$20*(Assumptions!$B$29+Assumptions!$B$4/Assumptions!$B$20)/(Assumptions!$B$29+Assumptions!$B$4/B415),Assumptions!$B$20)</f>
        <v/>
      </c>
      <c r="D415">
        <f>IF(B415&lt;Assumptions!$B$21,Assumptions!$B$21*(Assumptions!$B$29+Assumptions!$B$4/Assumptions!$B$21)/(Assumptions!$B$29+Assumptions!$B$4/B415),Assumptions!$B$21)</f>
        <v/>
      </c>
      <c r="E415">
        <f>Assumptions!$B$37*Assumptions!$B$22/C415-Assumptions!$B$38</f>
        <v/>
      </c>
      <c r="F415">
        <f>Assumptions!$B$39*Assumptions!$B$21/D415-Assumptions!$B$39</f>
        <v/>
      </c>
      <c r="G415">
        <f>MAX(0,Assumptions!$B$51*(Assumptions!$B$29+E415+F415+G414+H414+I414+Assumptions!$B$4/B415)-Assumptions!$B$30)</f>
        <v/>
      </c>
      <c r="H415">
        <f>Assumptions!$B$23/MIN(Assumptions!$B$24/(Assumptions!$B$29+E415+F415+G415+I414),B415*(1-Assumptions!$B$25))</f>
        <v/>
      </c>
      <c r="I415">
        <f>Assumptions!$B$26/MIN(Assumptions!$B$27/(Assumptions!$B$29+E415+F415+G415+H415),B415*(1-Assumptions!$B$28))</f>
        <v/>
      </c>
      <c r="J415">
        <f>Assumptions!$B$29+E415+F415+G415+H415+I415</f>
        <v/>
      </c>
      <c r="K415">
        <f>J415+Assumptions!$B$4/B415</f>
        <v/>
      </c>
      <c r="L415">
        <f>B415</f>
        <v/>
      </c>
    </row>
    <row r="416">
      <c r="A416" t="inlineStr">
        <is>
          <t>cell(1,0) iter 29</t>
        </is>
      </c>
      <c r="B416">
        <f>Assumptions!$B$53/J415</f>
        <v/>
      </c>
      <c r="C416">
        <f>IF(B416&lt;Assumptions!$B$20,Assumptions!$B$20*(Assumptions!$B$29+Assumptions!$B$4/Assumptions!$B$20)/(Assumptions!$B$29+Assumptions!$B$4/B416),Assumptions!$B$20)</f>
        <v/>
      </c>
      <c r="D416">
        <f>IF(B416&lt;Assumptions!$B$21,Assumptions!$B$21*(Assumptions!$B$29+Assumptions!$B$4/Assumptions!$B$21)/(Assumptions!$B$29+Assumptions!$B$4/B416),Assumptions!$B$21)</f>
        <v/>
      </c>
      <c r="E416">
        <f>Assumptions!$B$37*Assumptions!$B$22/C416-Assumptions!$B$38</f>
        <v/>
      </c>
      <c r="F416">
        <f>Assumptions!$B$39*Assumptions!$B$21/D416-Assumptions!$B$39</f>
        <v/>
      </c>
      <c r="G416">
        <f>MAX(0,Assumptions!$B$51*(Assumptions!$B$29+E416+F416+G415+H415+I415+Assumptions!$B$4/B416)-Assumptions!$B$30)</f>
        <v/>
      </c>
      <c r="H416">
        <f>Assumptions!$B$23/MIN(Assumptions!$B$24/(Assumptions!$B$29+E416+F416+G416+I415),B416*(1-Assumptions!$B$25))</f>
        <v/>
      </c>
      <c r="I416">
        <f>Assumptions!$B$26/MIN(Assumptions!$B$27/(Assumptions!$B$29+E416+F416+G416+H416),B416*(1-Assumptions!$B$28))</f>
        <v/>
      </c>
      <c r="J416">
        <f>Assumptions!$B$29+E416+F416+G416+H416+I416</f>
        <v/>
      </c>
      <c r="K416">
        <f>J416+Assumptions!$B$4/B416</f>
        <v/>
      </c>
      <c r="L416">
        <f>B416</f>
        <v/>
      </c>
    </row>
    <row r="417">
      <c r="A417" t="inlineStr">
        <is>
          <t>cell(1,0) iter 30</t>
        </is>
      </c>
      <c r="B417">
        <f>Assumptions!$B$53/J416</f>
        <v/>
      </c>
      <c r="C417">
        <f>IF(B417&lt;Assumptions!$B$20,Assumptions!$B$20*(Assumptions!$B$29+Assumptions!$B$4/Assumptions!$B$20)/(Assumptions!$B$29+Assumptions!$B$4/B417),Assumptions!$B$20)</f>
        <v/>
      </c>
      <c r="D417">
        <f>IF(B417&lt;Assumptions!$B$21,Assumptions!$B$21*(Assumptions!$B$29+Assumptions!$B$4/Assumptions!$B$21)/(Assumptions!$B$29+Assumptions!$B$4/B417),Assumptions!$B$21)</f>
        <v/>
      </c>
      <c r="E417">
        <f>Assumptions!$B$37*Assumptions!$B$22/C417-Assumptions!$B$38</f>
        <v/>
      </c>
      <c r="F417">
        <f>Assumptions!$B$39*Assumptions!$B$21/D417-Assumptions!$B$39</f>
        <v/>
      </c>
      <c r="G417">
        <f>MAX(0,Assumptions!$B$51*(Assumptions!$B$29+E417+F417+G416+H416+I416+Assumptions!$B$4/B417)-Assumptions!$B$30)</f>
        <v/>
      </c>
      <c r="H417">
        <f>Assumptions!$B$23/MIN(Assumptions!$B$24/(Assumptions!$B$29+E417+F417+G417+I416),B417*(1-Assumptions!$B$25))</f>
        <v/>
      </c>
      <c r="I417">
        <f>Assumptions!$B$26/MIN(Assumptions!$B$27/(Assumptions!$B$29+E417+F417+G417+H417),B417*(1-Assumptions!$B$28))</f>
        <v/>
      </c>
      <c r="J417">
        <f>Assumptions!$B$29+E417+F417+G417+H417+I417</f>
        <v/>
      </c>
      <c r="K417">
        <f>J417+Assumptions!$B$4/B417</f>
        <v/>
      </c>
      <c r="L417">
        <f>B417</f>
        <v/>
      </c>
    </row>
    <row r="418">
      <c r="A418" t="inlineStr">
        <is>
          <t>cell(1,0) iter 31</t>
        </is>
      </c>
      <c r="B418">
        <f>Assumptions!$B$53/J417</f>
        <v/>
      </c>
      <c r="C418">
        <f>IF(B418&lt;Assumptions!$B$20,Assumptions!$B$20*(Assumptions!$B$29+Assumptions!$B$4/Assumptions!$B$20)/(Assumptions!$B$29+Assumptions!$B$4/B418),Assumptions!$B$20)</f>
        <v/>
      </c>
      <c r="D418">
        <f>IF(B418&lt;Assumptions!$B$21,Assumptions!$B$21*(Assumptions!$B$29+Assumptions!$B$4/Assumptions!$B$21)/(Assumptions!$B$29+Assumptions!$B$4/B418),Assumptions!$B$21)</f>
        <v/>
      </c>
      <c r="E418">
        <f>Assumptions!$B$37*Assumptions!$B$22/C418-Assumptions!$B$38</f>
        <v/>
      </c>
      <c r="F418">
        <f>Assumptions!$B$39*Assumptions!$B$21/D418-Assumptions!$B$39</f>
        <v/>
      </c>
      <c r="G418">
        <f>MAX(0,Assumptions!$B$51*(Assumptions!$B$29+E418+F418+G417+H417+I417+Assumptions!$B$4/B418)-Assumptions!$B$30)</f>
        <v/>
      </c>
      <c r="H418">
        <f>Assumptions!$B$23/MIN(Assumptions!$B$24/(Assumptions!$B$29+E418+F418+G418+I417),B418*(1-Assumptions!$B$25))</f>
        <v/>
      </c>
      <c r="I418">
        <f>Assumptions!$B$26/MIN(Assumptions!$B$27/(Assumptions!$B$29+E418+F418+G418+H418),B418*(1-Assumptions!$B$28))</f>
        <v/>
      </c>
      <c r="J418">
        <f>Assumptions!$B$29+E418+F418+G418+H418+I418</f>
        <v/>
      </c>
      <c r="K418">
        <f>J418+Assumptions!$B$4/B418</f>
        <v/>
      </c>
      <c r="L418">
        <f>B418</f>
        <v/>
      </c>
    </row>
    <row r="419">
      <c r="A419" t="inlineStr">
        <is>
          <t>cell(1,0) iter 32</t>
        </is>
      </c>
      <c r="B419">
        <f>Assumptions!$B$53/J418</f>
        <v/>
      </c>
      <c r="C419">
        <f>IF(B419&lt;Assumptions!$B$20,Assumptions!$B$20*(Assumptions!$B$29+Assumptions!$B$4/Assumptions!$B$20)/(Assumptions!$B$29+Assumptions!$B$4/B419),Assumptions!$B$20)</f>
        <v/>
      </c>
      <c r="D419">
        <f>IF(B419&lt;Assumptions!$B$21,Assumptions!$B$21*(Assumptions!$B$29+Assumptions!$B$4/Assumptions!$B$21)/(Assumptions!$B$29+Assumptions!$B$4/B419),Assumptions!$B$21)</f>
        <v/>
      </c>
      <c r="E419">
        <f>Assumptions!$B$37*Assumptions!$B$22/C419-Assumptions!$B$38</f>
        <v/>
      </c>
      <c r="F419">
        <f>Assumptions!$B$39*Assumptions!$B$21/D419-Assumptions!$B$39</f>
        <v/>
      </c>
      <c r="G419">
        <f>MAX(0,Assumptions!$B$51*(Assumptions!$B$29+E419+F419+G418+H418+I418+Assumptions!$B$4/B419)-Assumptions!$B$30)</f>
        <v/>
      </c>
      <c r="H419">
        <f>Assumptions!$B$23/MIN(Assumptions!$B$24/(Assumptions!$B$29+E419+F419+G419+I418),B419*(1-Assumptions!$B$25))</f>
        <v/>
      </c>
      <c r="I419">
        <f>Assumptions!$B$26/MIN(Assumptions!$B$27/(Assumptions!$B$29+E419+F419+G419+H419),B419*(1-Assumptions!$B$28))</f>
        <v/>
      </c>
      <c r="J419">
        <f>Assumptions!$B$29+E419+F419+G419+H419+I419</f>
        <v/>
      </c>
      <c r="K419">
        <f>J419+Assumptions!$B$4/B419</f>
        <v/>
      </c>
      <c r="L419">
        <f>B419</f>
        <v/>
      </c>
    </row>
    <row r="420">
      <c r="A420" t="inlineStr">
        <is>
          <t>cell(1,0) iter 33</t>
        </is>
      </c>
      <c r="B420">
        <f>Assumptions!$B$53/J419</f>
        <v/>
      </c>
      <c r="C420">
        <f>IF(B420&lt;Assumptions!$B$20,Assumptions!$B$20*(Assumptions!$B$29+Assumptions!$B$4/Assumptions!$B$20)/(Assumptions!$B$29+Assumptions!$B$4/B420),Assumptions!$B$20)</f>
        <v/>
      </c>
      <c r="D420">
        <f>IF(B420&lt;Assumptions!$B$21,Assumptions!$B$21*(Assumptions!$B$29+Assumptions!$B$4/Assumptions!$B$21)/(Assumptions!$B$29+Assumptions!$B$4/B420),Assumptions!$B$21)</f>
        <v/>
      </c>
      <c r="E420">
        <f>Assumptions!$B$37*Assumptions!$B$22/C420-Assumptions!$B$38</f>
        <v/>
      </c>
      <c r="F420">
        <f>Assumptions!$B$39*Assumptions!$B$21/D420-Assumptions!$B$39</f>
        <v/>
      </c>
      <c r="G420">
        <f>MAX(0,Assumptions!$B$51*(Assumptions!$B$29+E420+F420+G419+H419+I419+Assumptions!$B$4/B420)-Assumptions!$B$30)</f>
        <v/>
      </c>
      <c r="H420">
        <f>Assumptions!$B$23/MIN(Assumptions!$B$24/(Assumptions!$B$29+E420+F420+G420+I419),B420*(1-Assumptions!$B$25))</f>
        <v/>
      </c>
      <c r="I420">
        <f>Assumptions!$B$26/MIN(Assumptions!$B$27/(Assumptions!$B$29+E420+F420+G420+H420),B420*(1-Assumptions!$B$28))</f>
        <v/>
      </c>
      <c r="J420">
        <f>Assumptions!$B$29+E420+F420+G420+H420+I420</f>
        <v/>
      </c>
      <c r="K420">
        <f>J420+Assumptions!$B$4/B420</f>
        <v/>
      </c>
      <c r="L420">
        <f>B420</f>
        <v/>
      </c>
    </row>
    <row r="421">
      <c r="A421" t="inlineStr">
        <is>
          <t>cell(1,0) iter 34</t>
        </is>
      </c>
      <c r="B421">
        <f>Assumptions!$B$53/J420</f>
        <v/>
      </c>
      <c r="C421">
        <f>IF(B421&lt;Assumptions!$B$20,Assumptions!$B$20*(Assumptions!$B$29+Assumptions!$B$4/Assumptions!$B$20)/(Assumptions!$B$29+Assumptions!$B$4/B421),Assumptions!$B$20)</f>
        <v/>
      </c>
      <c r="D421">
        <f>IF(B421&lt;Assumptions!$B$21,Assumptions!$B$21*(Assumptions!$B$29+Assumptions!$B$4/Assumptions!$B$21)/(Assumptions!$B$29+Assumptions!$B$4/B421),Assumptions!$B$21)</f>
        <v/>
      </c>
      <c r="E421">
        <f>Assumptions!$B$37*Assumptions!$B$22/C421-Assumptions!$B$38</f>
        <v/>
      </c>
      <c r="F421">
        <f>Assumptions!$B$39*Assumptions!$B$21/D421-Assumptions!$B$39</f>
        <v/>
      </c>
      <c r="G421">
        <f>MAX(0,Assumptions!$B$51*(Assumptions!$B$29+E421+F421+G420+H420+I420+Assumptions!$B$4/B421)-Assumptions!$B$30)</f>
        <v/>
      </c>
      <c r="H421">
        <f>Assumptions!$B$23/MIN(Assumptions!$B$24/(Assumptions!$B$29+E421+F421+G421+I420),B421*(1-Assumptions!$B$25))</f>
        <v/>
      </c>
      <c r="I421">
        <f>Assumptions!$B$26/MIN(Assumptions!$B$27/(Assumptions!$B$29+E421+F421+G421+H421),B421*(1-Assumptions!$B$28))</f>
        <v/>
      </c>
      <c r="J421">
        <f>Assumptions!$B$29+E421+F421+G421+H421+I421</f>
        <v/>
      </c>
      <c r="K421">
        <f>J421+Assumptions!$B$4/B421</f>
        <v/>
      </c>
      <c r="L421">
        <f>B421</f>
        <v/>
      </c>
    </row>
    <row r="422">
      <c r="A422" t="inlineStr">
        <is>
          <t>cell(1,0) iter 35</t>
        </is>
      </c>
      <c r="B422">
        <f>Assumptions!$B$53/J421</f>
        <v/>
      </c>
      <c r="C422">
        <f>IF(B422&lt;Assumptions!$B$20,Assumptions!$B$20*(Assumptions!$B$29+Assumptions!$B$4/Assumptions!$B$20)/(Assumptions!$B$29+Assumptions!$B$4/B422),Assumptions!$B$20)</f>
        <v/>
      </c>
      <c r="D422">
        <f>IF(B422&lt;Assumptions!$B$21,Assumptions!$B$21*(Assumptions!$B$29+Assumptions!$B$4/Assumptions!$B$21)/(Assumptions!$B$29+Assumptions!$B$4/B422),Assumptions!$B$21)</f>
        <v/>
      </c>
      <c r="E422">
        <f>Assumptions!$B$37*Assumptions!$B$22/C422-Assumptions!$B$38</f>
        <v/>
      </c>
      <c r="F422">
        <f>Assumptions!$B$39*Assumptions!$B$21/D422-Assumptions!$B$39</f>
        <v/>
      </c>
      <c r="G422">
        <f>MAX(0,Assumptions!$B$51*(Assumptions!$B$29+E422+F422+G421+H421+I421+Assumptions!$B$4/B422)-Assumptions!$B$30)</f>
        <v/>
      </c>
      <c r="H422">
        <f>Assumptions!$B$23/MIN(Assumptions!$B$24/(Assumptions!$B$29+E422+F422+G422+I421),B422*(1-Assumptions!$B$25))</f>
        <v/>
      </c>
      <c r="I422">
        <f>Assumptions!$B$26/MIN(Assumptions!$B$27/(Assumptions!$B$29+E422+F422+G422+H422),B422*(1-Assumptions!$B$28))</f>
        <v/>
      </c>
      <c r="J422">
        <f>Assumptions!$B$29+E422+F422+G422+H422+I422</f>
        <v/>
      </c>
      <c r="K422">
        <f>J422+Assumptions!$B$4/B422</f>
        <v/>
      </c>
      <c r="L422">
        <f>B422</f>
        <v/>
      </c>
    </row>
    <row r="423">
      <c r="A423" t="inlineStr">
        <is>
          <t>cell(1,0) iter 36</t>
        </is>
      </c>
      <c r="B423">
        <f>Assumptions!$B$53/J422</f>
        <v/>
      </c>
      <c r="C423">
        <f>IF(B423&lt;Assumptions!$B$20,Assumptions!$B$20*(Assumptions!$B$29+Assumptions!$B$4/Assumptions!$B$20)/(Assumptions!$B$29+Assumptions!$B$4/B423),Assumptions!$B$20)</f>
        <v/>
      </c>
      <c r="D423">
        <f>IF(B423&lt;Assumptions!$B$21,Assumptions!$B$21*(Assumptions!$B$29+Assumptions!$B$4/Assumptions!$B$21)/(Assumptions!$B$29+Assumptions!$B$4/B423),Assumptions!$B$21)</f>
        <v/>
      </c>
      <c r="E423">
        <f>Assumptions!$B$37*Assumptions!$B$22/C423-Assumptions!$B$38</f>
        <v/>
      </c>
      <c r="F423">
        <f>Assumptions!$B$39*Assumptions!$B$21/D423-Assumptions!$B$39</f>
        <v/>
      </c>
      <c r="G423">
        <f>MAX(0,Assumptions!$B$51*(Assumptions!$B$29+E423+F423+G422+H422+I422+Assumptions!$B$4/B423)-Assumptions!$B$30)</f>
        <v/>
      </c>
      <c r="H423">
        <f>Assumptions!$B$23/MIN(Assumptions!$B$24/(Assumptions!$B$29+E423+F423+G423+I422),B423*(1-Assumptions!$B$25))</f>
        <v/>
      </c>
      <c r="I423">
        <f>Assumptions!$B$26/MIN(Assumptions!$B$27/(Assumptions!$B$29+E423+F423+G423+H423),B423*(1-Assumptions!$B$28))</f>
        <v/>
      </c>
      <c r="J423">
        <f>Assumptions!$B$29+E423+F423+G423+H423+I423</f>
        <v/>
      </c>
      <c r="K423">
        <f>J423+Assumptions!$B$4/B423</f>
        <v/>
      </c>
      <c r="L423">
        <f>B423</f>
        <v/>
      </c>
    </row>
    <row r="424">
      <c r="A424" t="inlineStr">
        <is>
          <t>cell(1,0) iter 37</t>
        </is>
      </c>
      <c r="B424">
        <f>Assumptions!$B$53/J423</f>
        <v/>
      </c>
      <c r="C424">
        <f>IF(B424&lt;Assumptions!$B$20,Assumptions!$B$20*(Assumptions!$B$29+Assumptions!$B$4/Assumptions!$B$20)/(Assumptions!$B$29+Assumptions!$B$4/B424),Assumptions!$B$20)</f>
        <v/>
      </c>
      <c r="D424">
        <f>IF(B424&lt;Assumptions!$B$21,Assumptions!$B$21*(Assumptions!$B$29+Assumptions!$B$4/Assumptions!$B$21)/(Assumptions!$B$29+Assumptions!$B$4/B424),Assumptions!$B$21)</f>
        <v/>
      </c>
      <c r="E424">
        <f>Assumptions!$B$37*Assumptions!$B$22/C424-Assumptions!$B$38</f>
        <v/>
      </c>
      <c r="F424">
        <f>Assumptions!$B$39*Assumptions!$B$21/D424-Assumptions!$B$39</f>
        <v/>
      </c>
      <c r="G424">
        <f>MAX(0,Assumptions!$B$51*(Assumptions!$B$29+E424+F424+G423+H423+I423+Assumptions!$B$4/B424)-Assumptions!$B$30)</f>
        <v/>
      </c>
      <c r="H424">
        <f>Assumptions!$B$23/MIN(Assumptions!$B$24/(Assumptions!$B$29+E424+F424+G424+I423),B424*(1-Assumptions!$B$25))</f>
        <v/>
      </c>
      <c r="I424">
        <f>Assumptions!$B$26/MIN(Assumptions!$B$27/(Assumptions!$B$29+E424+F424+G424+H424),B424*(1-Assumptions!$B$28))</f>
        <v/>
      </c>
      <c r="J424">
        <f>Assumptions!$B$29+E424+F424+G424+H424+I424</f>
        <v/>
      </c>
      <c r="K424">
        <f>J424+Assumptions!$B$4/B424</f>
        <v/>
      </c>
      <c r="L424">
        <f>B424</f>
        <v/>
      </c>
    </row>
    <row r="425">
      <c r="A425" t="inlineStr">
        <is>
          <t>cell(1,0) iter 38</t>
        </is>
      </c>
      <c r="B425">
        <f>Assumptions!$B$53/J424</f>
        <v/>
      </c>
      <c r="C425">
        <f>IF(B425&lt;Assumptions!$B$20,Assumptions!$B$20*(Assumptions!$B$29+Assumptions!$B$4/Assumptions!$B$20)/(Assumptions!$B$29+Assumptions!$B$4/B425),Assumptions!$B$20)</f>
        <v/>
      </c>
      <c r="D425">
        <f>IF(B425&lt;Assumptions!$B$21,Assumptions!$B$21*(Assumptions!$B$29+Assumptions!$B$4/Assumptions!$B$21)/(Assumptions!$B$29+Assumptions!$B$4/B425),Assumptions!$B$21)</f>
        <v/>
      </c>
      <c r="E425">
        <f>Assumptions!$B$37*Assumptions!$B$22/C425-Assumptions!$B$38</f>
        <v/>
      </c>
      <c r="F425">
        <f>Assumptions!$B$39*Assumptions!$B$21/D425-Assumptions!$B$39</f>
        <v/>
      </c>
      <c r="G425">
        <f>MAX(0,Assumptions!$B$51*(Assumptions!$B$29+E425+F425+G424+H424+I424+Assumptions!$B$4/B425)-Assumptions!$B$30)</f>
        <v/>
      </c>
      <c r="H425">
        <f>Assumptions!$B$23/MIN(Assumptions!$B$24/(Assumptions!$B$29+E425+F425+G425+I424),B425*(1-Assumptions!$B$25))</f>
        <v/>
      </c>
      <c r="I425">
        <f>Assumptions!$B$26/MIN(Assumptions!$B$27/(Assumptions!$B$29+E425+F425+G425+H425),B425*(1-Assumptions!$B$28))</f>
        <v/>
      </c>
      <c r="J425">
        <f>Assumptions!$B$29+E425+F425+G425+H425+I425</f>
        <v/>
      </c>
      <c r="K425">
        <f>J425+Assumptions!$B$4/B425</f>
        <v/>
      </c>
      <c r="L425">
        <f>B425</f>
        <v/>
      </c>
    </row>
    <row r="426">
      <c r="A426" t="inlineStr">
        <is>
          <t>cell(1,0) iter 39</t>
        </is>
      </c>
      <c r="B426">
        <f>Assumptions!$B$53/J425</f>
        <v/>
      </c>
      <c r="C426">
        <f>IF(B426&lt;Assumptions!$B$20,Assumptions!$B$20*(Assumptions!$B$29+Assumptions!$B$4/Assumptions!$B$20)/(Assumptions!$B$29+Assumptions!$B$4/B426),Assumptions!$B$20)</f>
        <v/>
      </c>
      <c r="D426">
        <f>IF(B426&lt;Assumptions!$B$21,Assumptions!$B$21*(Assumptions!$B$29+Assumptions!$B$4/Assumptions!$B$21)/(Assumptions!$B$29+Assumptions!$B$4/B426),Assumptions!$B$21)</f>
        <v/>
      </c>
      <c r="E426">
        <f>Assumptions!$B$37*Assumptions!$B$22/C426-Assumptions!$B$38</f>
        <v/>
      </c>
      <c r="F426">
        <f>Assumptions!$B$39*Assumptions!$B$21/D426-Assumptions!$B$39</f>
        <v/>
      </c>
      <c r="G426">
        <f>MAX(0,Assumptions!$B$51*(Assumptions!$B$29+E426+F426+G425+H425+I425+Assumptions!$B$4/B426)-Assumptions!$B$30)</f>
        <v/>
      </c>
      <c r="H426">
        <f>Assumptions!$B$23/MIN(Assumptions!$B$24/(Assumptions!$B$29+E426+F426+G426+I425),B426*(1-Assumptions!$B$25))</f>
        <v/>
      </c>
      <c r="I426">
        <f>Assumptions!$B$26/MIN(Assumptions!$B$27/(Assumptions!$B$29+E426+F426+G426+H426),B426*(1-Assumptions!$B$28))</f>
        <v/>
      </c>
      <c r="J426">
        <f>Assumptions!$B$29+E426+F426+G426+H426+I426</f>
        <v/>
      </c>
      <c r="K426">
        <f>J426+Assumptions!$B$4/B426</f>
        <v/>
      </c>
      <c r="L426">
        <f>B426</f>
        <v/>
      </c>
    </row>
    <row r="427">
      <c r="A427" t="inlineStr">
        <is>
          <t>cell(1,0) iter 40</t>
        </is>
      </c>
      <c r="B427">
        <f>Assumptions!$B$53/J426</f>
        <v/>
      </c>
      <c r="C427">
        <f>IF(B427&lt;Assumptions!$B$20,Assumptions!$B$20*(Assumptions!$B$29+Assumptions!$B$4/Assumptions!$B$20)/(Assumptions!$B$29+Assumptions!$B$4/B427),Assumptions!$B$20)</f>
        <v/>
      </c>
      <c r="D427">
        <f>IF(B427&lt;Assumptions!$B$21,Assumptions!$B$21*(Assumptions!$B$29+Assumptions!$B$4/Assumptions!$B$21)/(Assumptions!$B$29+Assumptions!$B$4/B427),Assumptions!$B$21)</f>
        <v/>
      </c>
      <c r="E427">
        <f>Assumptions!$B$37*Assumptions!$B$22/C427-Assumptions!$B$38</f>
        <v/>
      </c>
      <c r="F427">
        <f>Assumptions!$B$39*Assumptions!$B$21/D427-Assumptions!$B$39</f>
        <v/>
      </c>
      <c r="G427">
        <f>MAX(0,Assumptions!$B$51*(Assumptions!$B$29+E427+F427+G426+H426+I426+Assumptions!$B$4/B427)-Assumptions!$B$30)</f>
        <v/>
      </c>
      <c r="H427">
        <f>Assumptions!$B$23/MIN(Assumptions!$B$24/(Assumptions!$B$29+E427+F427+G427+I426),B427*(1-Assumptions!$B$25))</f>
        <v/>
      </c>
      <c r="I427">
        <f>Assumptions!$B$26/MIN(Assumptions!$B$27/(Assumptions!$B$29+E427+F427+G427+H427),B427*(1-Assumptions!$B$28))</f>
        <v/>
      </c>
      <c r="J427">
        <f>Assumptions!$B$29+E427+F427+G427+H427+I427</f>
        <v/>
      </c>
      <c r="K427">
        <f>J427+Assumptions!$B$4/B427</f>
        <v/>
      </c>
      <c r="L427">
        <f>B427</f>
        <v/>
      </c>
    </row>
    <row r="428">
      <c r="A428" t="inlineStr">
        <is>
          <t>cell(1,0) iter 41</t>
        </is>
      </c>
      <c r="B428">
        <f>Assumptions!$B$53/J427</f>
        <v/>
      </c>
      <c r="C428">
        <f>IF(B428&lt;Assumptions!$B$20,Assumptions!$B$20*(Assumptions!$B$29+Assumptions!$B$4/Assumptions!$B$20)/(Assumptions!$B$29+Assumptions!$B$4/B428),Assumptions!$B$20)</f>
        <v/>
      </c>
      <c r="D428">
        <f>IF(B428&lt;Assumptions!$B$21,Assumptions!$B$21*(Assumptions!$B$29+Assumptions!$B$4/Assumptions!$B$21)/(Assumptions!$B$29+Assumptions!$B$4/B428),Assumptions!$B$21)</f>
        <v/>
      </c>
      <c r="E428">
        <f>Assumptions!$B$37*Assumptions!$B$22/C428-Assumptions!$B$38</f>
        <v/>
      </c>
      <c r="F428">
        <f>Assumptions!$B$39*Assumptions!$B$21/D428-Assumptions!$B$39</f>
        <v/>
      </c>
      <c r="G428">
        <f>MAX(0,Assumptions!$B$51*(Assumptions!$B$29+E428+F428+G427+H427+I427+Assumptions!$B$4/B428)-Assumptions!$B$30)</f>
        <v/>
      </c>
      <c r="H428">
        <f>Assumptions!$B$23/MIN(Assumptions!$B$24/(Assumptions!$B$29+E428+F428+G428+I427),B428*(1-Assumptions!$B$25))</f>
        <v/>
      </c>
      <c r="I428">
        <f>Assumptions!$B$26/MIN(Assumptions!$B$27/(Assumptions!$B$29+E428+F428+G428+H428),B428*(1-Assumptions!$B$28))</f>
        <v/>
      </c>
      <c r="J428">
        <f>Assumptions!$B$29+E428+F428+G428+H428+I428</f>
        <v/>
      </c>
      <c r="K428">
        <f>J428+Assumptions!$B$4/B428</f>
        <v/>
      </c>
      <c r="L428">
        <f>B428</f>
        <v/>
      </c>
    </row>
    <row r="429">
      <c r="A429" t="inlineStr">
        <is>
          <t>cell(1,0) iter 42</t>
        </is>
      </c>
      <c r="B429">
        <f>Assumptions!$B$53/J428</f>
        <v/>
      </c>
      <c r="C429">
        <f>IF(B429&lt;Assumptions!$B$20,Assumptions!$B$20*(Assumptions!$B$29+Assumptions!$B$4/Assumptions!$B$20)/(Assumptions!$B$29+Assumptions!$B$4/B429),Assumptions!$B$20)</f>
        <v/>
      </c>
      <c r="D429">
        <f>IF(B429&lt;Assumptions!$B$21,Assumptions!$B$21*(Assumptions!$B$29+Assumptions!$B$4/Assumptions!$B$21)/(Assumptions!$B$29+Assumptions!$B$4/B429),Assumptions!$B$21)</f>
        <v/>
      </c>
      <c r="E429">
        <f>Assumptions!$B$37*Assumptions!$B$22/C429-Assumptions!$B$38</f>
        <v/>
      </c>
      <c r="F429">
        <f>Assumptions!$B$39*Assumptions!$B$21/D429-Assumptions!$B$39</f>
        <v/>
      </c>
      <c r="G429">
        <f>MAX(0,Assumptions!$B$51*(Assumptions!$B$29+E429+F429+G428+H428+I428+Assumptions!$B$4/B429)-Assumptions!$B$30)</f>
        <v/>
      </c>
      <c r="H429">
        <f>Assumptions!$B$23/MIN(Assumptions!$B$24/(Assumptions!$B$29+E429+F429+G429+I428),B429*(1-Assumptions!$B$25))</f>
        <v/>
      </c>
      <c r="I429">
        <f>Assumptions!$B$26/MIN(Assumptions!$B$27/(Assumptions!$B$29+E429+F429+G429+H429),B429*(1-Assumptions!$B$28))</f>
        <v/>
      </c>
      <c r="J429">
        <f>Assumptions!$B$29+E429+F429+G429+H429+I429</f>
        <v/>
      </c>
      <c r="K429">
        <f>J429+Assumptions!$B$4/B429</f>
        <v/>
      </c>
      <c r="L429">
        <f>B429</f>
        <v/>
      </c>
    </row>
    <row r="430">
      <c r="A430" t="inlineStr">
        <is>
          <t>cell(1,0) iter 43</t>
        </is>
      </c>
      <c r="B430">
        <f>Assumptions!$B$53/J429</f>
        <v/>
      </c>
      <c r="C430">
        <f>IF(B430&lt;Assumptions!$B$20,Assumptions!$B$20*(Assumptions!$B$29+Assumptions!$B$4/Assumptions!$B$20)/(Assumptions!$B$29+Assumptions!$B$4/B430),Assumptions!$B$20)</f>
        <v/>
      </c>
      <c r="D430">
        <f>IF(B430&lt;Assumptions!$B$21,Assumptions!$B$21*(Assumptions!$B$29+Assumptions!$B$4/Assumptions!$B$21)/(Assumptions!$B$29+Assumptions!$B$4/B430),Assumptions!$B$21)</f>
        <v/>
      </c>
      <c r="E430">
        <f>Assumptions!$B$37*Assumptions!$B$22/C430-Assumptions!$B$38</f>
        <v/>
      </c>
      <c r="F430">
        <f>Assumptions!$B$39*Assumptions!$B$21/D430-Assumptions!$B$39</f>
        <v/>
      </c>
      <c r="G430">
        <f>MAX(0,Assumptions!$B$51*(Assumptions!$B$29+E430+F430+G429+H429+I429+Assumptions!$B$4/B430)-Assumptions!$B$30)</f>
        <v/>
      </c>
      <c r="H430">
        <f>Assumptions!$B$23/MIN(Assumptions!$B$24/(Assumptions!$B$29+E430+F430+G430+I429),B430*(1-Assumptions!$B$25))</f>
        <v/>
      </c>
      <c r="I430">
        <f>Assumptions!$B$26/MIN(Assumptions!$B$27/(Assumptions!$B$29+E430+F430+G430+H430),B430*(1-Assumptions!$B$28))</f>
        <v/>
      </c>
      <c r="J430">
        <f>Assumptions!$B$29+E430+F430+G430+H430+I430</f>
        <v/>
      </c>
      <c r="K430">
        <f>J430+Assumptions!$B$4/B430</f>
        <v/>
      </c>
      <c r="L430">
        <f>B430</f>
        <v/>
      </c>
    </row>
    <row r="431">
      <c r="A431" t="inlineStr">
        <is>
          <t>cell(1,0) iter 44</t>
        </is>
      </c>
      <c r="B431">
        <f>Assumptions!$B$53/J430</f>
        <v/>
      </c>
      <c r="C431">
        <f>IF(B431&lt;Assumptions!$B$20,Assumptions!$B$20*(Assumptions!$B$29+Assumptions!$B$4/Assumptions!$B$20)/(Assumptions!$B$29+Assumptions!$B$4/B431),Assumptions!$B$20)</f>
        <v/>
      </c>
      <c r="D431">
        <f>IF(B431&lt;Assumptions!$B$21,Assumptions!$B$21*(Assumptions!$B$29+Assumptions!$B$4/Assumptions!$B$21)/(Assumptions!$B$29+Assumptions!$B$4/B431),Assumptions!$B$21)</f>
        <v/>
      </c>
      <c r="E431">
        <f>Assumptions!$B$37*Assumptions!$B$22/C431-Assumptions!$B$38</f>
        <v/>
      </c>
      <c r="F431">
        <f>Assumptions!$B$39*Assumptions!$B$21/D431-Assumptions!$B$39</f>
        <v/>
      </c>
      <c r="G431">
        <f>MAX(0,Assumptions!$B$51*(Assumptions!$B$29+E431+F431+G430+H430+I430+Assumptions!$B$4/B431)-Assumptions!$B$30)</f>
        <v/>
      </c>
      <c r="H431">
        <f>Assumptions!$B$23/MIN(Assumptions!$B$24/(Assumptions!$B$29+E431+F431+G431+I430),B431*(1-Assumptions!$B$25))</f>
        <v/>
      </c>
      <c r="I431">
        <f>Assumptions!$B$26/MIN(Assumptions!$B$27/(Assumptions!$B$29+E431+F431+G431+H431),B431*(1-Assumptions!$B$28))</f>
        <v/>
      </c>
      <c r="J431">
        <f>Assumptions!$B$29+E431+F431+G431+H431+I431</f>
        <v/>
      </c>
      <c r="K431">
        <f>J431+Assumptions!$B$4/B431</f>
        <v/>
      </c>
      <c r="L431">
        <f>B431</f>
        <v/>
      </c>
    </row>
    <row r="432">
      <c r="A432" t="inlineStr">
        <is>
          <t>cell(1,0) iter 45</t>
        </is>
      </c>
      <c r="B432">
        <f>Assumptions!$B$53/J431</f>
        <v/>
      </c>
      <c r="C432">
        <f>IF(B432&lt;Assumptions!$B$20,Assumptions!$B$20*(Assumptions!$B$29+Assumptions!$B$4/Assumptions!$B$20)/(Assumptions!$B$29+Assumptions!$B$4/B432),Assumptions!$B$20)</f>
        <v/>
      </c>
      <c r="D432">
        <f>IF(B432&lt;Assumptions!$B$21,Assumptions!$B$21*(Assumptions!$B$29+Assumptions!$B$4/Assumptions!$B$21)/(Assumptions!$B$29+Assumptions!$B$4/B432),Assumptions!$B$21)</f>
        <v/>
      </c>
      <c r="E432">
        <f>Assumptions!$B$37*Assumptions!$B$22/C432-Assumptions!$B$38</f>
        <v/>
      </c>
      <c r="F432">
        <f>Assumptions!$B$39*Assumptions!$B$21/D432-Assumptions!$B$39</f>
        <v/>
      </c>
      <c r="G432">
        <f>MAX(0,Assumptions!$B$51*(Assumptions!$B$29+E432+F432+G431+H431+I431+Assumptions!$B$4/B432)-Assumptions!$B$30)</f>
        <v/>
      </c>
      <c r="H432">
        <f>Assumptions!$B$23/MIN(Assumptions!$B$24/(Assumptions!$B$29+E432+F432+G432+I431),B432*(1-Assumptions!$B$25))</f>
        <v/>
      </c>
      <c r="I432">
        <f>Assumptions!$B$26/MIN(Assumptions!$B$27/(Assumptions!$B$29+E432+F432+G432+H432),B432*(1-Assumptions!$B$28))</f>
        <v/>
      </c>
      <c r="J432">
        <f>Assumptions!$B$29+E432+F432+G432+H432+I432</f>
        <v/>
      </c>
      <c r="K432">
        <f>J432+Assumptions!$B$4/B432</f>
        <v/>
      </c>
      <c r="L432">
        <f>B432</f>
        <v/>
      </c>
    </row>
    <row r="433">
      <c r="A433" t="inlineStr">
        <is>
          <t>cell(1,0) iter 46</t>
        </is>
      </c>
      <c r="B433">
        <f>Assumptions!$B$53/J432</f>
        <v/>
      </c>
      <c r="C433">
        <f>IF(B433&lt;Assumptions!$B$20,Assumptions!$B$20*(Assumptions!$B$29+Assumptions!$B$4/Assumptions!$B$20)/(Assumptions!$B$29+Assumptions!$B$4/B433),Assumptions!$B$20)</f>
        <v/>
      </c>
      <c r="D433">
        <f>IF(B433&lt;Assumptions!$B$21,Assumptions!$B$21*(Assumptions!$B$29+Assumptions!$B$4/Assumptions!$B$21)/(Assumptions!$B$29+Assumptions!$B$4/B433),Assumptions!$B$21)</f>
        <v/>
      </c>
      <c r="E433">
        <f>Assumptions!$B$37*Assumptions!$B$22/C433-Assumptions!$B$38</f>
        <v/>
      </c>
      <c r="F433">
        <f>Assumptions!$B$39*Assumptions!$B$21/D433-Assumptions!$B$39</f>
        <v/>
      </c>
      <c r="G433">
        <f>MAX(0,Assumptions!$B$51*(Assumptions!$B$29+E433+F433+G432+H432+I432+Assumptions!$B$4/B433)-Assumptions!$B$30)</f>
        <v/>
      </c>
      <c r="H433">
        <f>Assumptions!$B$23/MIN(Assumptions!$B$24/(Assumptions!$B$29+E433+F433+G433+I432),B433*(1-Assumptions!$B$25))</f>
        <v/>
      </c>
      <c r="I433">
        <f>Assumptions!$B$26/MIN(Assumptions!$B$27/(Assumptions!$B$29+E433+F433+G433+H433),B433*(1-Assumptions!$B$28))</f>
        <v/>
      </c>
      <c r="J433">
        <f>Assumptions!$B$29+E433+F433+G433+H433+I433</f>
        <v/>
      </c>
      <c r="K433">
        <f>J433+Assumptions!$B$4/B433</f>
        <v/>
      </c>
      <c r="L433">
        <f>B433</f>
        <v/>
      </c>
    </row>
    <row r="434">
      <c r="A434" t="inlineStr">
        <is>
          <t>cell(1,0) iter 47</t>
        </is>
      </c>
      <c r="B434">
        <f>Assumptions!$B$53/J433</f>
        <v/>
      </c>
      <c r="C434">
        <f>IF(B434&lt;Assumptions!$B$20,Assumptions!$B$20*(Assumptions!$B$29+Assumptions!$B$4/Assumptions!$B$20)/(Assumptions!$B$29+Assumptions!$B$4/B434),Assumptions!$B$20)</f>
        <v/>
      </c>
      <c r="D434">
        <f>IF(B434&lt;Assumptions!$B$21,Assumptions!$B$21*(Assumptions!$B$29+Assumptions!$B$4/Assumptions!$B$21)/(Assumptions!$B$29+Assumptions!$B$4/B434),Assumptions!$B$21)</f>
        <v/>
      </c>
      <c r="E434">
        <f>Assumptions!$B$37*Assumptions!$B$22/C434-Assumptions!$B$38</f>
        <v/>
      </c>
      <c r="F434">
        <f>Assumptions!$B$39*Assumptions!$B$21/D434-Assumptions!$B$39</f>
        <v/>
      </c>
      <c r="G434">
        <f>MAX(0,Assumptions!$B$51*(Assumptions!$B$29+E434+F434+G433+H433+I433+Assumptions!$B$4/B434)-Assumptions!$B$30)</f>
        <v/>
      </c>
      <c r="H434">
        <f>Assumptions!$B$23/MIN(Assumptions!$B$24/(Assumptions!$B$29+E434+F434+G434+I433),B434*(1-Assumptions!$B$25))</f>
        <v/>
      </c>
      <c r="I434">
        <f>Assumptions!$B$26/MIN(Assumptions!$B$27/(Assumptions!$B$29+E434+F434+G434+H434),B434*(1-Assumptions!$B$28))</f>
        <v/>
      </c>
      <c r="J434">
        <f>Assumptions!$B$29+E434+F434+G434+H434+I434</f>
        <v/>
      </c>
      <c r="K434">
        <f>J434+Assumptions!$B$4/B434</f>
        <v/>
      </c>
      <c r="L434">
        <f>B434</f>
        <v/>
      </c>
    </row>
    <row r="435">
      <c r="A435" t="inlineStr">
        <is>
          <t>cell(1,0) iter 48</t>
        </is>
      </c>
      <c r="B435">
        <f>Assumptions!$B$53/J434</f>
        <v/>
      </c>
      <c r="C435">
        <f>IF(B435&lt;Assumptions!$B$20,Assumptions!$B$20*(Assumptions!$B$29+Assumptions!$B$4/Assumptions!$B$20)/(Assumptions!$B$29+Assumptions!$B$4/B435),Assumptions!$B$20)</f>
        <v/>
      </c>
      <c r="D435">
        <f>IF(B435&lt;Assumptions!$B$21,Assumptions!$B$21*(Assumptions!$B$29+Assumptions!$B$4/Assumptions!$B$21)/(Assumptions!$B$29+Assumptions!$B$4/B435),Assumptions!$B$21)</f>
        <v/>
      </c>
      <c r="E435">
        <f>Assumptions!$B$37*Assumptions!$B$22/C435-Assumptions!$B$38</f>
        <v/>
      </c>
      <c r="F435">
        <f>Assumptions!$B$39*Assumptions!$B$21/D435-Assumptions!$B$39</f>
        <v/>
      </c>
      <c r="G435">
        <f>MAX(0,Assumptions!$B$51*(Assumptions!$B$29+E435+F435+G434+H434+I434+Assumptions!$B$4/B435)-Assumptions!$B$30)</f>
        <v/>
      </c>
      <c r="H435">
        <f>Assumptions!$B$23/MIN(Assumptions!$B$24/(Assumptions!$B$29+E435+F435+G435+I434),B435*(1-Assumptions!$B$25))</f>
        <v/>
      </c>
      <c r="I435">
        <f>Assumptions!$B$26/MIN(Assumptions!$B$27/(Assumptions!$B$29+E435+F435+G435+H435),B435*(1-Assumptions!$B$28))</f>
        <v/>
      </c>
      <c r="J435">
        <f>Assumptions!$B$29+E435+F435+G435+H435+I435</f>
        <v/>
      </c>
      <c r="K435">
        <f>J435+Assumptions!$B$4/B435</f>
        <v/>
      </c>
      <c r="L435">
        <f>B435</f>
        <v/>
      </c>
    </row>
    <row r="436">
      <c r="A436" t="inlineStr">
        <is>
          <t>cell(1,0) iter 49</t>
        </is>
      </c>
      <c r="B436">
        <f>Assumptions!$B$53/J435</f>
        <v/>
      </c>
      <c r="C436">
        <f>IF(B436&lt;Assumptions!$B$20,Assumptions!$B$20*(Assumptions!$B$29+Assumptions!$B$4/Assumptions!$B$20)/(Assumptions!$B$29+Assumptions!$B$4/B436),Assumptions!$B$20)</f>
        <v/>
      </c>
      <c r="D436">
        <f>IF(B436&lt;Assumptions!$B$21,Assumptions!$B$21*(Assumptions!$B$29+Assumptions!$B$4/Assumptions!$B$21)/(Assumptions!$B$29+Assumptions!$B$4/B436),Assumptions!$B$21)</f>
        <v/>
      </c>
      <c r="E436">
        <f>Assumptions!$B$37*Assumptions!$B$22/C436-Assumptions!$B$38</f>
        <v/>
      </c>
      <c r="F436">
        <f>Assumptions!$B$39*Assumptions!$B$21/D436-Assumptions!$B$39</f>
        <v/>
      </c>
      <c r="G436">
        <f>MAX(0,Assumptions!$B$51*(Assumptions!$B$29+E436+F436+G435+H435+I435+Assumptions!$B$4/B436)-Assumptions!$B$30)</f>
        <v/>
      </c>
      <c r="H436">
        <f>Assumptions!$B$23/MIN(Assumptions!$B$24/(Assumptions!$B$29+E436+F436+G436+I435),B436*(1-Assumptions!$B$25))</f>
        <v/>
      </c>
      <c r="I436">
        <f>Assumptions!$B$26/MIN(Assumptions!$B$27/(Assumptions!$B$29+E436+F436+G436+H436),B436*(1-Assumptions!$B$28))</f>
        <v/>
      </c>
      <c r="J436">
        <f>Assumptions!$B$29+E436+F436+G436+H436+I436</f>
        <v/>
      </c>
      <c r="K436">
        <f>J436+Assumptions!$B$4/B436</f>
        <v/>
      </c>
      <c r="L436">
        <f>B436</f>
        <v/>
      </c>
    </row>
    <row r="437">
      <c r="A437" t="inlineStr">
        <is>
          <t>cell(1,0) iter 50</t>
        </is>
      </c>
      <c r="B437">
        <f>Assumptions!$B$53/J436</f>
        <v/>
      </c>
      <c r="C437">
        <f>IF(B437&lt;Assumptions!$B$20,Assumptions!$B$20*(Assumptions!$B$29+Assumptions!$B$4/Assumptions!$B$20)/(Assumptions!$B$29+Assumptions!$B$4/B437),Assumptions!$B$20)</f>
        <v/>
      </c>
      <c r="D437">
        <f>IF(B437&lt;Assumptions!$B$21,Assumptions!$B$21*(Assumptions!$B$29+Assumptions!$B$4/Assumptions!$B$21)/(Assumptions!$B$29+Assumptions!$B$4/B437),Assumptions!$B$21)</f>
        <v/>
      </c>
      <c r="E437">
        <f>Assumptions!$B$37*Assumptions!$B$22/C437-Assumptions!$B$38</f>
        <v/>
      </c>
      <c r="F437">
        <f>Assumptions!$B$39*Assumptions!$B$21/D437-Assumptions!$B$39</f>
        <v/>
      </c>
      <c r="G437">
        <f>MAX(0,Assumptions!$B$51*(Assumptions!$B$29+E437+F437+G436+H436+I436+Assumptions!$B$4/B437)-Assumptions!$B$30)</f>
        <v/>
      </c>
      <c r="H437">
        <f>Assumptions!$B$23/MIN(Assumptions!$B$24/(Assumptions!$B$29+E437+F437+G437+I436),B437*(1-Assumptions!$B$25))</f>
        <v/>
      </c>
      <c r="I437">
        <f>Assumptions!$B$26/MIN(Assumptions!$B$27/(Assumptions!$B$29+E437+F437+G437+H437),B437*(1-Assumptions!$B$28))</f>
        <v/>
      </c>
      <c r="J437">
        <f>Assumptions!$B$29+E437+F437+G437+H437+I437</f>
        <v/>
      </c>
      <c r="K437">
        <f>J437+Assumptions!$B$4/B437</f>
        <v/>
      </c>
      <c r="L437">
        <f>B437</f>
        <v/>
      </c>
    </row>
    <row r="438">
      <c r="A438" t="inlineStr">
        <is>
          <t>cell(1,0) iter 51</t>
        </is>
      </c>
      <c r="B438">
        <f>Assumptions!$B$53/J437</f>
        <v/>
      </c>
      <c r="C438">
        <f>IF(B438&lt;Assumptions!$B$20,Assumptions!$B$20*(Assumptions!$B$29+Assumptions!$B$4/Assumptions!$B$20)/(Assumptions!$B$29+Assumptions!$B$4/B438),Assumptions!$B$20)</f>
        <v/>
      </c>
      <c r="D438">
        <f>IF(B438&lt;Assumptions!$B$21,Assumptions!$B$21*(Assumptions!$B$29+Assumptions!$B$4/Assumptions!$B$21)/(Assumptions!$B$29+Assumptions!$B$4/B438),Assumptions!$B$21)</f>
        <v/>
      </c>
      <c r="E438">
        <f>Assumptions!$B$37*Assumptions!$B$22/C438-Assumptions!$B$38</f>
        <v/>
      </c>
      <c r="F438">
        <f>Assumptions!$B$39*Assumptions!$B$21/D438-Assumptions!$B$39</f>
        <v/>
      </c>
      <c r="G438">
        <f>MAX(0,Assumptions!$B$51*(Assumptions!$B$29+E438+F438+G437+H437+I437+Assumptions!$B$4/B438)-Assumptions!$B$30)</f>
        <v/>
      </c>
      <c r="H438">
        <f>Assumptions!$B$23/MIN(Assumptions!$B$24/(Assumptions!$B$29+E438+F438+G438+I437),B438*(1-Assumptions!$B$25))</f>
        <v/>
      </c>
      <c r="I438">
        <f>Assumptions!$B$26/MIN(Assumptions!$B$27/(Assumptions!$B$29+E438+F438+G438+H438),B438*(1-Assumptions!$B$28))</f>
        <v/>
      </c>
      <c r="J438">
        <f>Assumptions!$B$29+E438+F438+G438+H438+I438</f>
        <v/>
      </c>
      <c r="K438">
        <f>J438+Assumptions!$B$4/B438</f>
        <v/>
      </c>
      <c r="L438">
        <f>B438</f>
        <v/>
      </c>
    </row>
    <row r="439">
      <c r="A439" t="inlineStr">
        <is>
          <t>cell(1,0) iter 52</t>
        </is>
      </c>
      <c r="B439">
        <f>Assumptions!$B$53/J438</f>
        <v/>
      </c>
      <c r="C439">
        <f>IF(B439&lt;Assumptions!$B$20,Assumptions!$B$20*(Assumptions!$B$29+Assumptions!$B$4/Assumptions!$B$20)/(Assumptions!$B$29+Assumptions!$B$4/B439),Assumptions!$B$20)</f>
        <v/>
      </c>
      <c r="D439">
        <f>IF(B439&lt;Assumptions!$B$21,Assumptions!$B$21*(Assumptions!$B$29+Assumptions!$B$4/Assumptions!$B$21)/(Assumptions!$B$29+Assumptions!$B$4/B439),Assumptions!$B$21)</f>
        <v/>
      </c>
      <c r="E439">
        <f>Assumptions!$B$37*Assumptions!$B$22/C439-Assumptions!$B$38</f>
        <v/>
      </c>
      <c r="F439">
        <f>Assumptions!$B$39*Assumptions!$B$21/D439-Assumptions!$B$39</f>
        <v/>
      </c>
      <c r="G439">
        <f>MAX(0,Assumptions!$B$51*(Assumptions!$B$29+E439+F439+G438+H438+I438+Assumptions!$B$4/B439)-Assumptions!$B$30)</f>
        <v/>
      </c>
      <c r="H439">
        <f>Assumptions!$B$23/MIN(Assumptions!$B$24/(Assumptions!$B$29+E439+F439+G439+I438),B439*(1-Assumptions!$B$25))</f>
        <v/>
      </c>
      <c r="I439">
        <f>Assumptions!$B$26/MIN(Assumptions!$B$27/(Assumptions!$B$29+E439+F439+G439+H439),B439*(1-Assumptions!$B$28))</f>
        <v/>
      </c>
      <c r="J439">
        <f>Assumptions!$B$29+E439+F439+G439+H439+I439</f>
        <v/>
      </c>
      <c r="K439">
        <f>J439+Assumptions!$B$4/B439</f>
        <v/>
      </c>
      <c r="L439">
        <f>B439</f>
        <v/>
      </c>
    </row>
    <row r="440">
      <c r="A440" t="inlineStr">
        <is>
          <t>cell(1,0) iter 53</t>
        </is>
      </c>
      <c r="B440">
        <f>Assumptions!$B$53/J439</f>
        <v/>
      </c>
      <c r="C440">
        <f>IF(B440&lt;Assumptions!$B$20,Assumptions!$B$20*(Assumptions!$B$29+Assumptions!$B$4/Assumptions!$B$20)/(Assumptions!$B$29+Assumptions!$B$4/B440),Assumptions!$B$20)</f>
        <v/>
      </c>
      <c r="D440">
        <f>IF(B440&lt;Assumptions!$B$21,Assumptions!$B$21*(Assumptions!$B$29+Assumptions!$B$4/Assumptions!$B$21)/(Assumptions!$B$29+Assumptions!$B$4/B440),Assumptions!$B$21)</f>
        <v/>
      </c>
      <c r="E440">
        <f>Assumptions!$B$37*Assumptions!$B$22/C440-Assumptions!$B$38</f>
        <v/>
      </c>
      <c r="F440">
        <f>Assumptions!$B$39*Assumptions!$B$21/D440-Assumptions!$B$39</f>
        <v/>
      </c>
      <c r="G440">
        <f>MAX(0,Assumptions!$B$51*(Assumptions!$B$29+E440+F440+G439+H439+I439+Assumptions!$B$4/B440)-Assumptions!$B$30)</f>
        <v/>
      </c>
      <c r="H440">
        <f>Assumptions!$B$23/MIN(Assumptions!$B$24/(Assumptions!$B$29+E440+F440+G440+I439),B440*(1-Assumptions!$B$25))</f>
        <v/>
      </c>
      <c r="I440">
        <f>Assumptions!$B$26/MIN(Assumptions!$B$27/(Assumptions!$B$29+E440+F440+G440+H440),B440*(1-Assumptions!$B$28))</f>
        <v/>
      </c>
      <c r="J440">
        <f>Assumptions!$B$29+E440+F440+G440+H440+I440</f>
        <v/>
      </c>
      <c r="K440">
        <f>J440+Assumptions!$B$4/B440</f>
        <v/>
      </c>
      <c r="L440">
        <f>B440</f>
        <v/>
      </c>
    </row>
    <row r="441">
      <c r="A441" t="inlineStr">
        <is>
          <t>cell(1,0) iter 54</t>
        </is>
      </c>
      <c r="B441">
        <f>Assumptions!$B$53/J440</f>
        <v/>
      </c>
      <c r="C441">
        <f>IF(B441&lt;Assumptions!$B$20,Assumptions!$B$20*(Assumptions!$B$29+Assumptions!$B$4/Assumptions!$B$20)/(Assumptions!$B$29+Assumptions!$B$4/B441),Assumptions!$B$20)</f>
        <v/>
      </c>
      <c r="D441">
        <f>IF(B441&lt;Assumptions!$B$21,Assumptions!$B$21*(Assumptions!$B$29+Assumptions!$B$4/Assumptions!$B$21)/(Assumptions!$B$29+Assumptions!$B$4/B441),Assumptions!$B$21)</f>
        <v/>
      </c>
      <c r="E441">
        <f>Assumptions!$B$37*Assumptions!$B$22/C441-Assumptions!$B$38</f>
        <v/>
      </c>
      <c r="F441">
        <f>Assumptions!$B$39*Assumptions!$B$21/D441-Assumptions!$B$39</f>
        <v/>
      </c>
      <c r="G441">
        <f>MAX(0,Assumptions!$B$51*(Assumptions!$B$29+E441+F441+G440+H440+I440+Assumptions!$B$4/B441)-Assumptions!$B$30)</f>
        <v/>
      </c>
      <c r="H441">
        <f>Assumptions!$B$23/MIN(Assumptions!$B$24/(Assumptions!$B$29+E441+F441+G441+I440),B441*(1-Assumptions!$B$25))</f>
        <v/>
      </c>
      <c r="I441">
        <f>Assumptions!$B$26/MIN(Assumptions!$B$27/(Assumptions!$B$29+E441+F441+G441+H441),B441*(1-Assumptions!$B$28))</f>
        <v/>
      </c>
      <c r="J441">
        <f>Assumptions!$B$29+E441+F441+G441+H441+I441</f>
        <v/>
      </c>
      <c r="K441">
        <f>J441+Assumptions!$B$4/B441</f>
        <v/>
      </c>
      <c r="L441">
        <f>B441</f>
        <v/>
      </c>
    </row>
    <row r="442">
      <c r="A442" t="inlineStr">
        <is>
          <t>cell(1,0) iter 55</t>
        </is>
      </c>
      <c r="B442">
        <f>Assumptions!$B$53/J441</f>
        <v/>
      </c>
      <c r="C442">
        <f>IF(B442&lt;Assumptions!$B$20,Assumptions!$B$20*(Assumptions!$B$29+Assumptions!$B$4/Assumptions!$B$20)/(Assumptions!$B$29+Assumptions!$B$4/B442),Assumptions!$B$20)</f>
        <v/>
      </c>
      <c r="D442">
        <f>IF(B442&lt;Assumptions!$B$21,Assumptions!$B$21*(Assumptions!$B$29+Assumptions!$B$4/Assumptions!$B$21)/(Assumptions!$B$29+Assumptions!$B$4/B442),Assumptions!$B$21)</f>
        <v/>
      </c>
      <c r="E442">
        <f>Assumptions!$B$37*Assumptions!$B$22/C442-Assumptions!$B$38</f>
        <v/>
      </c>
      <c r="F442">
        <f>Assumptions!$B$39*Assumptions!$B$21/D442-Assumptions!$B$39</f>
        <v/>
      </c>
      <c r="G442">
        <f>MAX(0,Assumptions!$B$51*(Assumptions!$B$29+E442+F442+G441+H441+I441+Assumptions!$B$4/B442)-Assumptions!$B$30)</f>
        <v/>
      </c>
      <c r="H442">
        <f>Assumptions!$B$23/MIN(Assumptions!$B$24/(Assumptions!$B$29+E442+F442+G442+I441),B442*(1-Assumptions!$B$25))</f>
        <v/>
      </c>
      <c r="I442">
        <f>Assumptions!$B$26/MIN(Assumptions!$B$27/(Assumptions!$B$29+E442+F442+G442+H442),B442*(1-Assumptions!$B$28))</f>
        <v/>
      </c>
      <c r="J442">
        <f>Assumptions!$B$29+E442+F442+G442+H442+I442</f>
        <v/>
      </c>
      <c r="K442">
        <f>J442+Assumptions!$B$4/B442</f>
        <v/>
      </c>
      <c r="L442">
        <f>B442</f>
        <v/>
      </c>
    </row>
    <row r="443">
      <c r="A443" t="inlineStr">
        <is>
          <t>cell(1,0) iter 56</t>
        </is>
      </c>
      <c r="B443">
        <f>Assumptions!$B$53/J442</f>
        <v/>
      </c>
      <c r="C443">
        <f>IF(B443&lt;Assumptions!$B$20,Assumptions!$B$20*(Assumptions!$B$29+Assumptions!$B$4/Assumptions!$B$20)/(Assumptions!$B$29+Assumptions!$B$4/B443),Assumptions!$B$20)</f>
        <v/>
      </c>
      <c r="D443">
        <f>IF(B443&lt;Assumptions!$B$21,Assumptions!$B$21*(Assumptions!$B$29+Assumptions!$B$4/Assumptions!$B$21)/(Assumptions!$B$29+Assumptions!$B$4/B443),Assumptions!$B$21)</f>
        <v/>
      </c>
      <c r="E443">
        <f>Assumptions!$B$37*Assumptions!$B$22/C443-Assumptions!$B$38</f>
        <v/>
      </c>
      <c r="F443">
        <f>Assumptions!$B$39*Assumptions!$B$21/D443-Assumptions!$B$39</f>
        <v/>
      </c>
      <c r="G443">
        <f>MAX(0,Assumptions!$B$51*(Assumptions!$B$29+E443+F443+G442+H442+I442+Assumptions!$B$4/B443)-Assumptions!$B$30)</f>
        <v/>
      </c>
      <c r="H443">
        <f>Assumptions!$B$23/MIN(Assumptions!$B$24/(Assumptions!$B$29+E443+F443+G443+I442),B443*(1-Assumptions!$B$25))</f>
        <v/>
      </c>
      <c r="I443">
        <f>Assumptions!$B$26/MIN(Assumptions!$B$27/(Assumptions!$B$29+E443+F443+G443+H443),B443*(1-Assumptions!$B$28))</f>
        <v/>
      </c>
      <c r="J443">
        <f>Assumptions!$B$29+E443+F443+G443+H443+I443</f>
        <v/>
      </c>
      <c r="K443">
        <f>J443+Assumptions!$B$4/B443</f>
        <v/>
      </c>
      <c r="L443">
        <f>B443</f>
        <v/>
      </c>
    </row>
    <row r="444">
      <c r="A444" t="inlineStr">
        <is>
          <t>cell(1,0) iter 57</t>
        </is>
      </c>
      <c r="B444">
        <f>Assumptions!$B$53/J443</f>
        <v/>
      </c>
      <c r="C444">
        <f>IF(B444&lt;Assumptions!$B$20,Assumptions!$B$20*(Assumptions!$B$29+Assumptions!$B$4/Assumptions!$B$20)/(Assumptions!$B$29+Assumptions!$B$4/B444),Assumptions!$B$20)</f>
        <v/>
      </c>
      <c r="D444">
        <f>IF(B444&lt;Assumptions!$B$21,Assumptions!$B$21*(Assumptions!$B$29+Assumptions!$B$4/Assumptions!$B$21)/(Assumptions!$B$29+Assumptions!$B$4/B444),Assumptions!$B$21)</f>
        <v/>
      </c>
      <c r="E444">
        <f>Assumptions!$B$37*Assumptions!$B$22/C444-Assumptions!$B$38</f>
        <v/>
      </c>
      <c r="F444">
        <f>Assumptions!$B$39*Assumptions!$B$21/D444-Assumptions!$B$39</f>
        <v/>
      </c>
      <c r="G444">
        <f>MAX(0,Assumptions!$B$51*(Assumptions!$B$29+E444+F444+G443+H443+I443+Assumptions!$B$4/B444)-Assumptions!$B$30)</f>
        <v/>
      </c>
      <c r="H444">
        <f>Assumptions!$B$23/MIN(Assumptions!$B$24/(Assumptions!$B$29+E444+F444+G444+I443),B444*(1-Assumptions!$B$25))</f>
        <v/>
      </c>
      <c r="I444">
        <f>Assumptions!$B$26/MIN(Assumptions!$B$27/(Assumptions!$B$29+E444+F444+G444+H444),B444*(1-Assumptions!$B$28))</f>
        <v/>
      </c>
      <c r="J444">
        <f>Assumptions!$B$29+E444+F444+G444+H444+I444</f>
        <v/>
      </c>
      <c r="K444">
        <f>J444+Assumptions!$B$4/B444</f>
        <v/>
      </c>
      <c r="L444">
        <f>B444</f>
        <v/>
      </c>
    </row>
    <row r="445">
      <c r="A445" t="inlineStr">
        <is>
          <t>cell(1,0) iter 58</t>
        </is>
      </c>
      <c r="B445">
        <f>Assumptions!$B$53/J444</f>
        <v/>
      </c>
      <c r="C445">
        <f>IF(B445&lt;Assumptions!$B$20,Assumptions!$B$20*(Assumptions!$B$29+Assumptions!$B$4/Assumptions!$B$20)/(Assumptions!$B$29+Assumptions!$B$4/B445),Assumptions!$B$20)</f>
        <v/>
      </c>
      <c r="D445">
        <f>IF(B445&lt;Assumptions!$B$21,Assumptions!$B$21*(Assumptions!$B$29+Assumptions!$B$4/Assumptions!$B$21)/(Assumptions!$B$29+Assumptions!$B$4/B445),Assumptions!$B$21)</f>
        <v/>
      </c>
      <c r="E445">
        <f>Assumptions!$B$37*Assumptions!$B$22/C445-Assumptions!$B$38</f>
        <v/>
      </c>
      <c r="F445">
        <f>Assumptions!$B$39*Assumptions!$B$21/D445-Assumptions!$B$39</f>
        <v/>
      </c>
      <c r="G445">
        <f>MAX(0,Assumptions!$B$51*(Assumptions!$B$29+E445+F445+G444+H444+I444+Assumptions!$B$4/B445)-Assumptions!$B$30)</f>
        <v/>
      </c>
      <c r="H445">
        <f>Assumptions!$B$23/MIN(Assumptions!$B$24/(Assumptions!$B$29+E445+F445+G445+I444),B445*(1-Assumptions!$B$25))</f>
        <v/>
      </c>
      <c r="I445">
        <f>Assumptions!$B$26/MIN(Assumptions!$B$27/(Assumptions!$B$29+E445+F445+G445+H445),B445*(1-Assumptions!$B$28))</f>
        <v/>
      </c>
      <c r="J445">
        <f>Assumptions!$B$29+E445+F445+G445+H445+I445</f>
        <v/>
      </c>
      <c r="K445">
        <f>J445+Assumptions!$B$4/B445</f>
        <v/>
      </c>
      <c r="L445">
        <f>B445</f>
        <v/>
      </c>
    </row>
    <row r="446">
      <c r="A446" t="inlineStr">
        <is>
          <t>cell(1,0) iter 59</t>
        </is>
      </c>
      <c r="B446">
        <f>Assumptions!$B$53/J445</f>
        <v/>
      </c>
      <c r="C446">
        <f>IF(B446&lt;Assumptions!$B$20,Assumptions!$B$20*(Assumptions!$B$29+Assumptions!$B$4/Assumptions!$B$20)/(Assumptions!$B$29+Assumptions!$B$4/B446),Assumptions!$B$20)</f>
        <v/>
      </c>
      <c r="D446">
        <f>IF(B446&lt;Assumptions!$B$21,Assumptions!$B$21*(Assumptions!$B$29+Assumptions!$B$4/Assumptions!$B$21)/(Assumptions!$B$29+Assumptions!$B$4/B446),Assumptions!$B$21)</f>
        <v/>
      </c>
      <c r="E446">
        <f>Assumptions!$B$37*Assumptions!$B$22/C446-Assumptions!$B$38</f>
        <v/>
      </c>
      <c r="F446">
        <f>Assumptions!$B$39*Assumptions!$B$21/D446-Assumptions!$B$39</f>
        <v/>
      </c>
      <c r="G446">
        <f>MAX(0,Assumptions!$B$51*(Assumptions!$B$29+E446+F446+G445+H445+I445+Assumptions!$B$4/B446)-Assumptions!$B$30)</f>
        <v/>
      </c>
      <c r="H446">
        <f>Assumptions!$B$23/MIN(Assumptions!$B$24/(Assumptions!$B$29+E446+F446+G446+I445),B446*(1-Assumptions!$B$25))</f>
        <v/>
      </c>
      <c r="I446">
        <f>Assumptions!$B$26/MIN(Assumptions!$B$27/(Assumptions!$B$29+E446+F446+G446+H446),B446*(1-Assumptions!$B$28))</f>
        <v/>
      </c>
      <c r="J446">
        <f>Assumptions!$B$29+E446+F446+G446+H446+I446</f>
        <v/>
      </c>
      <c r="K446">
        <f>J446+Assumptions!$B$4/B446</f>
        <v/>
      </c>
      <c r="L446">
        <f>B446</f>
        <v/>
      </c>
    </row>
    <row r="447">
      <c r="A447" t="inlineStr">
        <is>
          <t>cell(1,0) iter 60</t>
        </is>
      </c>
      <c r="B447">
        <f>Assumptions!$B$53/J446</f>
        <v/>
      </c>
      <c r="C447">
        <f>IF(B447&lt;Assumptions!$B$20,Assumptions!$B$20*(Assumptions!$B$29+Assumptions!$B$4/Assumptions!$B$20)/(Assumptions!$B$29+Assumptions!$B$4/B447),Assumptions!$B$20)</f>
        <v/>
      </c>
      <c r="D447">
        <f>IF(B447&lt;Assumptions!$B$21,Assumptions!$B$21*(Assumptions!$B$29+Assumptions!$B$4/Assumptions!$B$21)/(Assumptions!$B$29+Assumptions!$B$4/B447),Assumptions!$B$21)</f>
        <v/>
      </c>
      <c r="E447">
        <f>Assumptions!$B$37*Assumptions!$B$22/C447-Assumptions!$B$38</f>
        <v/>
      </c>
      <c r="F447">
        <f>Assumptions!$B$39*Assumptions!$B$21/D447-Assumptions!$B$39</f>
        <v/>
      </c>
      <c r="G447">
        <f>MAX(0,Assumptions!$B$51*(Assumptions!$B$29+E447+F447+G446+H446+I446+Assumptions!$B$4/B447)-Assumptions!$B$30)</f>
        <v/>
      </c>
      <c r="H447">
        <f>Assumptions!$B$23/MIN(Assumptions!$B$24/(Assumptions!$B$29+E447+F447+G447+I446),B447*(1-Assumptions!$B$25))</f>
        <v/>
      </c>
      <c r="I447">
        <f>Assumptions!$B$26/MIN(Assumptions!$B$27/(Assumptions!$B$29+E447+F447+G447+H447),B447*(1-Assumptions!$B$28))</f>
        <v/>
      </c>
      <c r="J447">
        <f>Assumptions!$B$29+E447+F447+G447+H447+I447</f>
        <v/>
      </c>
      <c r="K447">
        <f>J447+Assumptions!$B$4/B447</f>
        <v/>
      </c>
      <c r="L447">
        <f>B447</f>
        <v/>
      </c>
    </row>
    <row r="448">
      <c r="A448" t="inlineStr">
        <is>
          <t>cell(1,0) iter 61</t>
        </is>
      </c>
      <c r="B448">
        <f>Assumptions!$B$53/J447</f>
        <v/>
      </c>
      <c r="C448">
        <f>IF(B448&lt;Assumptions!$B$20,Assumptions!$B$20*(Assumptions!$B$29+Assumptions!$B$4/Assumptions!$B$20)/(Assumptions!$B$29+Assumptions!$B$4/B448),Assumptions!$B$20)</f>
        <v/>
      </c>
      <c r="D448">
        <f>IF(B448&lt;Assumptions!$B$21,Assumptions!$B$21*(Assumptions!$B$29+Assumptions!$B$4/Assumptions!$B$21)/(Assumptions!$B$29+Assumptions!$B$4/B448),Assumptions!$B$21)</f>
        <v/>
      </c>
      <c r="E448">
        <f>Assumptions!$B$37*Assumptions!$B$22/C448-Assumptions!$B$38</f>
        <v/>
      </c>
      <c r="F448">
        <f>Assumptions!$B$39*Assumptions!$B$21/D448-Assumptions!$B$39</f>
        <v/>
      </c>
      <c r="G448">
        <f>MAX(0,Assumptions!$B$51*(Assumptions!$B$29+E448+F448+G447+H447+I447+Assumptions!$B$4/B448)-Assumptions!$B$30)</f>
        <v/>
      </c>
      <c r="H448">
        <f>Assumptions!$B$23/MIN(Assumptions!$B$24/(Assumptions!$B$29+E448+F448+G448+I447),B448*(1-Assumptions!$B$25))</f>
        <v/>
      </c>
      <c r="I448">
        <f>Assumptions!$B$26/MIN(Assumptions!$B$27/(Assumptions!$B$29+E448+F448+G448+H448),B448*(1-Assumptions!$B$28))</f>
        <v/>
      </c>
      <c r="J448">
        <f>Assumptions!$B$29+E448+F448+G448+H448+I448</f>
        <v/>
      </c>
      <c r="K448">
        <f>J448+Assumptions!$B$4/B448</f>
        <v/>
      </c>
      <c r="L448">
        <f>B448</f>
        <v/>
      </c>
    </row>
    <row r="449">
      <c r="A449" t="inlineStr">
        <is>
          <t>cell(1,0) iter 62</t>
        </is>
      </c>
      <c r="B449">
        <f>Assumptions!$B$53/J448</f>
        <v/>
      </c>
      <c r="C449">
        <f>IF(B449&lt;Assumptions!$B$20,Assumptions!$B$20*(Assumptions!$B$29+Assumptions!$B$4/Assumptions!$B$20)/(Assumptions!$B$29+Assumptions!$B$4/B449),Assumptions!$B$20)</f>
        <v/>
      </c>
      <c r="D449">
        <f>IF(B449&lt;Assumptions!$B$21,Assumptions!$B$21*(Assumptions!$B$29+Assumptions!$B$4/Assumptions!$B$21)/(Assumptions!$B$29+Assumptions!$B$4/B449),Assumptions!$B$21)</f>
        <v/>
      </c>
      <c r="E449">
        <f>Assumptions!$B$37*Assumptions!$B$22/C449-Assumptions!$B$38</f>
        <v/>
      </c>
      <c r="F449">
        <f>Assumptions!$B$39*Assumptions!$B$21/D449-Assumptions!$B$39</f>
        <v/>
      </c>
      <c r="G449">
        <f>MAX(0,Assumptions!$B$51*(Assumptions!$B$29+E449+F449+G448+H448+I448+Assumptions!$B$4/B449)-Assumptions!$B$30)</f>
        <v/>
      </c>
      <c r="H449">
        <f>Assumptions!$B$23/MIN(Assumptions!$B$24/(Assumptions!$B$29+E449+F449+G449+I448),B449*(1-Assumptions!$B$25))</f>
        <v/>
      </c>
      <c r="I449">
        <f>Assumptions!$B$26/MIN(Assumptions!$B$27/(Assumptions!$B$29+E449+F449+G449+H449),B449*(1-Assumptions!$B$28))</f>
        <v/>
      </c>
      <c r="J449">
        <f>Assumptions!$B$29+E449+F449+G449+H449+I449</f>
        <v/>
      </c>
      <c r="K449">
        <f>J449+Assumptions!$B$4/B449</f>
        <v/>
      </c>
      <c r="L449">
        <f>B449</f>
        <v/>
      </c>
    </row>
    <row r="450">
      <c r="A450" t="inlineStr">
        <is>
          <t>cell(1,0) iter 63</t>
        </is>
      </c>
      <c r="B450">
        <f>Assumptions!$B$53/J449</f>
        <v/>
      </c>
      <c r="C450">
        <f>IF(B450&lt;Assumptions!$B$20,Assumptions!$B$20*(Assumptions!$B$29+Assumptions!$B$4/Assumptions!$B$20)/(Assumptions!$B$29+Assumptions!$B$4/B450),Assumptions!$B$20)</f>
        <v/>
      </c>
      <c r="D450">
        <f>IF(B450&lt;Assumptions!$B$21,Assumptions!$B$21*(Assumptions!$B$29+Assumptions!$B$4/Assumptions!$B$21)/(Assumptions!$B$29+Assumptions!$B$4/B450),Assumptions!$B$21)</f>
        <v/>
      </c>
      <c r="E450">
        <f>Assumptions!$B$37*Assumptions!$B$22/C450-Assumptions!$B$38</f>
        <v/>
      </c>
      <c r="F450">
        <f>Assumptions!$B$39*Assumptions!$B$21/D450-Assumptions!$B$39</f>
        <v/>
      </c>
      <c r="G450">
        <f>MAX(0,Assumptions!$B$51*(Assumptions!$B$29+E450+F450+G449+H449+I449+Assumptions!$B$4/B450)-Assumptions!$B$30)</f>
        <v/>
      </c>
      <c r="H450">
        <f>Assumptions!$B$23/MIN(Assumptions!$B$24/(Assumptions!$B$29+E450+F450+G450+I449),B450*(1-Assumptions!$B$25))</f>
        <v/>
      </c>
      <c r="I450">
        <f>Assumptions!$B$26/MIN(Assumptions!$B$27/(Assumptions!$B$29+E450+F450+G450+H450),B450*(1-Assumptions!$B$28))</f>
        <v/>
      </c>
      <c r="J450">
        <f>Assumptions!$B$29+E450+F450+G450+H450+I450</f>
        <v/>
      </c>
      <c r="K450">
        <f>J450+Assumptions!$B$4/B450</f>
        <v/>
      </c>
      <c r="L450">
        <f>B450</f>
        <v/>
      </c>
    </row>
    <row r="451">
      <c r="A451" t="inlineStr">
        <is>
          <t>cell(1,0) iter 64</t>
        </is>
      </c>
      <c r="B451">
        <f>Assumptions!$B$53/J450</f>
        <v/>
      </c>
      <c r="C451">
        <f>IF(B451&lt;Assumptions!$B$20,Assumptions!$B$20*(Assumptions!$B$29+Assumptions!$B$4/Assumptions!$B$20)/(Assumptions!$B$29+Assumptions!$B$4/B451),Assumptions!$B$20)</f>
        <v/>
      </c>
      <c r="D451">
        <f>IF(B451&lt;Assumptions!$B$21,Assumptions!$B$21*(Assumptions!$B$29+Assumptions!$B$4/Assumptions!$B$21)/(Assumptions!$B$29+Assumptions!$B$4/B451),Assumptions!$B$21)</f>
        <v/>
      </c>
      <c r="E451">
        <f>Assumptions!$B$37*Assumptions!$B$22/C451-Assumptions!$B$38</f>
        <v/>
      </c>
      <c r="F451">
        <f>Assumptions!$B$39*Assumptions!$B$21/D451-Assumptions!$B$39</f>
        <v/>
      </c>
      <c r="G451">
        <f>MAX(0,Assumptions!$B$51*(Assumptions!$B$29+E451+F451+G450+H450+I450+Assumptions!$B$4/B451)-Assumptions!$B$30)</f>
        <v/>
      </c>
      <c r="H451">
        <f>Assumptions!$B$23/MIN(Assumptions!$B$24/(Assumptions!$B$29+E451+F451+G451+I450),B451*(1-Assumptions!$B$25))</f>
        <v/>
      </c>
      <c r="I451">
        <f>Assumptions!$B$26/MIN(Assumptions!$B$27/(Assumptions!$B$29+E451+F451+G451+H451),B451*(1-Assumptions!$B$28))</f>
        <v/>
      </c>
      <c r="J451">
        <f>Assumptions!$B$29+E451+F451+G451+H451+I451</f>
        <v/>
      </c>
      <c r="K451">
        <f>J451+Assumptions!$B$4/B451</f>
        <v/>
      </c>
      <c r="L451">
        <f>B451</f>
        <v/>
      </c>
    </row>
    <row r="452">
      <c r="A452" t="inlineStr">
        <is>
          <t>cell(1,0) iter 65</t>
        </is>
      </c>
      <c r="B452">
        <f>Assumptions!$B$53/J451</f>
        <v/>
      </c>
      <c r="C452">
        <f>IF(B452&lt;Assumptions!$B$20,Assumptions!$B$20*(Assumptions!$B$29+Assumptions!$B$4/Assumptions!$B$20)/(Assumptions!$B$29+Assumptions!$B$4/B452),Assumptions!$B$20)</f>
        <v/>
      </c>
      <c r="D452">
        <f>IF(B452&lt;Assumptions!$B$21,Assumptions!$B$21*(Assumptions!$B$29+Assumptions!$B$4/Assumptions!$B$21)/(Assumptions!$B$29+Assumptions!$B$4/B452),Assumptions!$B$21)</f>
        <v/>
      </c>
      <c r="E452">
        <f>Assumptions!$B$37*Assumptions!$B$22/C452-Assumptions!$B$38</f>
        <v/>
      </c>
      <c r="F452">
        <f>Assumptions!$B$39*Assumptions!$B$21/D452-Assumptions!$B$39</f>
        <v/>
      </c>
      <c r="G452">
        <f>MAX(0,Assumptions!$B$51*(Assumptions!$B$29+E452+F452+G451+H451+I451+Assumptions!$B$4/B452)-Assumptions!$B$30)</f>
        <v/>
      </c>
      <c r="H452">
        <f>Assumptions!$B$23/MIN(Assumptions!$B$24/(Assumptions!$B$29+E452+F452+G452+I451),B452*(1-Assumptions!$B$25))</f>
        <v/>
      </c>
      <c r="I452">
        <f>Assumptions!$B$26/MIN(Assumptions!$B$27/(Assumptions!$B$29+E452+F452+G452+H452),B452*(1-Assumptions!$B$28))</f>
        <v/>
      </c>
      <c r="J452">
        <f>Assumptions!$B$29+E452+F452+G452+H452+I452</f>
        <v/>
      </c>
      <c r="K452">
        <f>J452+Assumptions!$B$4/B452</f>
        <v/>
      </c>
      <c r="L452">
        <f>B452</f>
        <v/>
      </c>
    </row>
    <row r="453">
      <c r="A453" t="inlineStr">
        <is>
          <t>cell(1,0) iter 66</t>
        </is>
      </c>
      <c r="B453">
        <f>Assumptions!$B$53/J452</f>
        <v/>
      </c>
      <c r="C453">
        <f>IF(B453&lt;Assumptions!$B$20,Assumptions!$B$20*(Assumptions!$B$29+Assumptions!$B$4/Assumptions!$B$20)/(Assumptions!$B$29+Assumptions!$B$4/B453),Assumptions!$B$20)</f>
        <v/>
      </c>
      <c r="D453">
        <f>IF(B453&lt;Assumptions!$B$21,Assumptions!$B$21*(Assumptions!$B$29+Assumptions!$B$4/Assumptions!$B$21)/(Assumptions!$B$29+Assumptions!$B$4/B453),Assumptions!$B$21)</f>
        <v/>
      </c>
      <c r="E453">
        <f>Assumptions!$B$37*Assumptions!$B$22/C453-Assumptions!$B$38</f>
        <v/>
      </c>
      <c r="F453">
        <f>Assumptions!$B$39*Assumptions!$B$21/D453-Assumptions!$B$39</f>
        <v/>
      </c>
      <c r="G453">
        <f>MAX(0,Assumptions!$B$51*(Assumptions!$B$29+E453+F453+G452+H452+I452+Assumptions!$B$4/B453)-Assumptions!$B$30)</f>
        <v/>
      </c>
      <c r="H453">
        <f>Assumptions!$B$23/MIN(Assumptions!$B$24/(Assumptions!$B$29+E453+F453+G453+I452),B453*(1-Assumptions!$B$25))</f>
        <v/>
      </c>
      <c r="I453">
        <f>Assumptions!$B$26/MIN(Assumptions!$B$27/(Assumptions!$B$29+E453+F453+G453+H453),B453*(1-Assumptions!$B$28))</f>
        <v/>
      </c>
      <c r="J453">
        <f>Assumptions!$B$29+E453+F453+G453+H453+I453</f>
        <v/>
      </c>
      <c r="K453">
        <f>J453+Assumptions!$B$4/B453</f>
        <v/>
      </c>
      <c r="L453">
        <f>B453</f>
        <v/>
      </c>
    </row>
    <row r="454">
      <c r="A454" t="inlineStr">
        <is>
          <t>cell(1,0) iter 67</t>
        </is>
      </c>
      <c r="B454">
        <f>Assumptions!$B$53/J453</f>
        <v/>
      </c>
      <c r="C454">
        <f>IF(B454&lt;Assumptions!$B$20,Assumptions!$B$20*(Assumptions!$B$29+Assumptions!$B$4/Assumptions!$B$20)/(Assumptions!$B$29+Assumptions!$B$4/B454),Assumptions!$B$20)</f>
        <v/>
      </c>
      <c r="D454">
        <f>IF(B454&lt;Assumptions!$B$21,Assumptions!$B$21*(Assumptions!$B$29+Assumptions!$B$4/Assumptions!$B$21)/(Assumptions!$B$29+Assumptions!$B$4/B454),Assumptions!$B$21)</f>
        <v/>
      </c>
      <c r="E454">
        <f>Assumptions!$B$37*Assumptions!$B$22/C454-Assumptions!$B$38</f>
        <v/>
      </c>
      <c r="F454">
        <f>Assumptions!$B$39*Assumptions!$B$21/D454-Assumptions!$B$39</f>
        <v/>
      </c>
      <c r="G454">
        <f>MAX(0,Assumptions!$B$51*(Assumptions!$B$29+E454+F454+G453+H453+I453+Assumptions!$B$4/B454)-Assumptions!$B$30)</f>
        <v/>
      </c>
      <c r="H454">
        <f>Assumptions!$B$23/MIN(Assumptions!$B$24/(Assumptions!$B$29+E454+F454+G454+I453),B454*(1-Assumptions!$B$25))</f>
        <v/>
      </c>
      <c r="I454">
        <f>Assumptions!$B$26/MIN(Assumptions!$B$27/(Assumptions!$B$29+E454+F454+G454+H454),B454*(1-Assumptions!$B$28))</f>
        <v/>
      </c>
      <c r="J454">
        <f>Assumptions!$B$29+E454+F454+G454+H454+I454</f>
        <v/>
      </c>
      <c r="K454">
        <f>J454+Assumptions!$B$4/B454</f>
        <v/>
      </c>
      <c r="L454">
        <f>B454</f>
        <v/>
      </c>
    </row>
    <row r="455">
      <c r="A455" t="inlineStr">
        <is>
          <t>cell(1,0) iter 68</t>
        </is>
      </c>
      <c r="B455">
        <f>Assumptions!$B$53/J454</f>
        <v/>
      </c>
      <c r="C455">
        <f>IF(B455&lt;Assumptions!$B$20,Assumptions!$B$20*(Assumptions!$B$29+Assumptions!$B$4/Assumptions!$B$20)/(Assumptions!$B$29+Assumptions!$B$4/B455),Assumptions!$B$20)</f>
        <v/>
      </c>
      <c r="D455">
        <f>IF(B455&lt;Assumptions!$B$21,Assumptions!$B$21*(Assumptions!$B$29+Assumptions!$B$4/Assumptions!$B$21)/(Assumptions!$B$29+Assumptions!$B$4/B455),Assumptions!$B$21)</f>
        <v/>
      </c>
      <c r="E455">
        <f>Assumptions!$B$37*Assumptions!$B$22/C455-Assumptions!$B$38</f>
        <v/>
      </c>
      <c r="F455">
        <f>Assumptions!$B$39*Assumptions!$B$21/D455-Assumptions!$B$39</f>
        <v/>
      </c>
      <c r="G455">
        <f>MAX(0,Assumptions!$B$51*(Assumptions!$B$29+E455+F455+G454+H454+I454+Assumptions!$B$4/B455)-Assumptions!$B$30)</f>
        <v/>
      </c>
      <c r="H455">
        <f>Assumptions!$B$23/MIN(Assumptions!$B$24/(Assumptions!$B$29+E455+F455+G455+I454),B455*(1-Assumptions!$B$25))</f>
        <v/>
      </c>
      <c r="I455">
        <f>Assumptions!$B$26/MIN(Assumptions!$B$27/(Assumptions!$B$29+E455+F455+G455+H455),B455*(1-Assumptions!$B$28))</f>
        <v/>
      </c>
      <c r="J455">
        <f>Assumptions!$B$29+E455+F455+G455+H455+I455</f>
        <v/>
      </c>
      <c r="K455">
        <f>J455+Assumptions!$B$4/B455</f>
        <v/>
      </c>
      <c r="L455">
        <f>B455</f>
        <v/>
      </c>
    </row>
    <row r="456">
      <c r="A456" t="inlineStr">
        <is>
          <t>cell(1,0) iter 69</t>
        </is>
      </c>
      <c r="B456">
        <f>Assumptions!$B$53/J455</f>
        <v/>
      </c>
      <c r="C456">
        <f>IF(B456&lt;Assumptions!$B$20,Assumptions!$B$20*(Assumptions!$B$29+Assumptions!$B$4/Assumptions!$B$20)/(Assumptions!$B$29+Assumptions!$B$4/B456),Assumptions!$B$20)</f>
        <v/>
      </c>
      <c r="D456">
        <f>IF(B456&lt;Assumptions!$B$21,Assumptions!$B$21*(Assumptions!$B$29+Assumptions!$B$4/Assumptions!$B$21)/(Assumptions!$B$29+Assumptions!$B$4/B456),Assumptions!$B$21)</f>
        <v/>
      </c>
      <c r="E456">
        <f>Assumptions!$B$37*Assumptions!$B$22/C456-Assumptions!$B$38</f>
        <v/>
      </c>
      <c r="F456">
        <f>Assumptions!$B$39*Assumptions!$B$21/D456-Assumptions!$B$39</f>
        <v/>
      </c>
      <c r="G456">
        <f>MAX(0,Assumptions!$B$51*(Assumptions!$B$29+E456+F456+G455+H455+I455+Assumptions!$B$4/B456)-Assumptions!$B$30)</f>
        <v/>
      </c>
      <c r="H456">
        <f>Assumptions!$B$23/MIN(Assumptions!$B$24/(Assumptions!$B$29+E456+F456+G456+I455),B456*(1-Assumptions!$B$25))</f>
        <v/>
      </c>
      <c r="I456">
        <f>Assumptions!$B$26/MIN(Assumptions!$B$27/(Assumptions!$B$29+E456+F456+G456+H456),B456*(1-Assumptions!$B$28))</f>
        <v/>
      </c>
      <c r="J456">
        <f>Assumptions!$B$29+E456+F456+G456+H456+I456</f>
        <v/>
      </c>
      <c r="K456">
        <f>J456+Assumptions!$B$4/B456</f>
        <v/>
      </c>
      <c r="L456">
        <f>B456</f>
        <v/>
      </c>
    </row>
    <row r="457">
      <c r="A457" t="inlineStr">
        <is>
          <t>cell(1,0) iter 70</t>
        </is>
      </c>
      <c r="B457">
        <f>Assumptions!$B$53/J456</f>
        <v/>
      </c>
      <c r="C457">
        <f>IF(B457&lt;Assumptions!$B$20,Assumptions!$B$20*(Assumptions!$B$29+Assumptions!$B$4/Assumptions!$B$20)/(Assumptions!$B$29+Assumptions!$B$4/B457),Assumptions!$B$20)</f>
        <v/>
      </c>
      <c r="D457">
        <f>IF(B457&lt;Assumptions!$B$21,Assumptions!$B$21*(Assumptions!$B$29+Assumptions!$B$4/Assumptions!$B$21)/(Assumptions!$B$29+Assumptions!$B$4/B457),Assumptions!$B$21)</f>
        <v/>
      </c>
      <c r="E457">
        <f>Assumptions!$B$37*Assumptions!$B$22/C457-Assumptions!$B$38</f>
        <v/>
      </c>
      <c r="F457">
        <f>Assumptions!$B$39*Assumptions!$B$21/D457-Assumptions!$B$39</f>
        <v/>
      </c>
      <c r="G457">
        <f>MAX(0,Assumptions!$B$51*(Assumptions!$B$29+E457+F457+G456+H456+I456+Assumptions!$B$4/B457)-Assumptions!$B$30)</f>
        <v/>
      </c>
      <c r="H457">
        <f>Assumptions!$B$23/MIN(Assumptions!$B$24/(Assumptions!$B$29+E457+F457+G457+I456),B457*(1-Assumptions!$B$25))</f>
        <v/>
      </c>
      <c r="I457">
        <f>Assumptions!$B$26/MIN(Assumptions!$B$27/(Assumptions!$B$29+E457+F457+G457+H457),B457*(1-Assumptions!$B$28))</f>
        <v/>
      </c>
      <c r="J457">
        <f>Assumptions!$B$29+E457+F457+G457+H457+I457</f>
        <v/>
      </c>
      <c r="K457">
        <f>J457+Assumptions!$B$4/B457</f>
        <v/>
      </c>
      <c r="L457">
        <f>B457</f>
        <v/>
      </c>
    </row>
    <row r="458">
      <c r="A458" t="inlineStr">
        <is>
          <t>cell(1,0) iter 71</t>
        </is>
      </c>
      <c r="B458">
        <f>Assumptions!$B$53/J457</f>
        <v/>
      </c>
      <c r="C458">
        <f>IF(B458&lt;Assumptions!$B$20,Assumptions!$B$20*(Assumptions!$B$29+Assumptions!$B$4/Assumptions!$B$20)/(Assumptions!$B$29+Assumptions!$B$4/B458),Assumptions!$B$20)</f>
        <v/>
      </c>
      <c r="D458">
        <f>IF(B458&lt;Assumptions!$B$21,Assumptions!$B$21*(Assumptions!$B$29+Assumptions!$B$4/Assumptions!$B$21)/(Assumptions!$B$29+Assumptions!$B$4/B458),Assumptions!$B$21)</f>
        <v/>
      </c>
      <c r="E458">
        <f>Assumptions!$B$37*Assumptions!$B$22/C458-Assumptions!$B$38</f>
        <v/>
      </c>
      <c r="F458">
        <f>Assumptions!$B$39*Assumptions!$B$21/D458-Assumptions!$B$39</f>
        <v/>
      </c>
      <c r="G458">
        <f>MAX(0,Assumptions!$B$51*(Assumptions!$B$29+E458+F458+G457+H457+I457+Assumptions!$B$4/B458)-Assumptions!$B$30)</f>
        <v/>
      </c>
      <c r="H458">
        <f>Assumptions!$B$23/MIN(Assumptions!$B$24/(Assumptions!$B$29+E458+F458+G458+I457),B458*(1-Assumptions!$B$25))</f>
        <v/>
      </c>
      <c r="I458">
        <f>Assumptions!$B$26/MIN(Assumptions!$B$27/(Assumptions!$B$29+E458+F458+G458+H458),B458*(1-Assumptions!$B$28))</f>
        <v/>
      </c>
      <c r="J458">
        <f>Assumptions!$B$29+E458+F458+G458+H458+I458</f>
        <v/>
      </c>
      <c r="K458">
        <f>J458+Assumptions!$B$4/B458</f>
        <v/>
      </c>
      <c r="L458">
        <f>B458</f>
        <v/>
      </c>
    </row>
    <row r="459">
      <c r="A459" t="inlineStr">
        <is>
          <t>cell(1,0) iter 72</t>
        </is>
      </c>
      <c r="B459">
        <f>Assumptions!$B$53/J458</f>
        <v/>
      </c>
      <c r="C459">
        <f>IF(B459&lt;Assumptions!$B$20,Assumptions!$B$20*(Assumptions!$B$29+Assumptions!$B$4/Assumptions!$B$20)/(Assumptions!$B$29+Assumptions!$B$4/B459),Assumptions!$B$20)</f>
        <v/>
      </c>
      <c r="D459">
        <f>IF(B459&lt;Assumptions!$B$21,Assumptions!$B$21*(Assumptions!$B$29+Assumptions!$B$4/Assumptions!$B$21)/(Assumptions!$B$29+Assumptions!$B$4/B459),Assumptions!$B$21)</f>
        <v/>
      </c>
      <c r="E459">
        <f>Assumptions!$B$37*Assumptions!$B$22/C459-Assumptions!$B$38</f>
        <v/>
      </c>
      <c r="F459">
        <f>Assumptions!$B$39*Assumptions!$B$21/D459-Assumptions!$B$39</f>
        <v/>
      </c>
      <c r="G459">
        <f>MAX(0,Assumptions!$B$51*(Assumptions!$B$29+E459+F459+G458+H458+I458+Assumptions!$B$4/B459)-Assumptions!$B$30)</f>
        <v/>
      </c>
      <c r="H459">
        <f>Assumptions!$B$23/MIN(Assumptions!$B$24/(Assumptions!$B$29+E459+F459+G459+I458),B459*(1-Assumptions!$B$25))</f>
        <v/>
      </c>
      <c r="I459">
        <f>Assumptions!$B$26/MIN(Assumptions!$B$27/(Assumptions!$B$29+E459+F459+G459+H459),B459*(1-Assumptions!$B$28))</f>
        <v/>
      </c>
      <c r="J459">
        <f>Assumptions!$B$29+E459+F459+G459+H459+I459</f>
        <v/>
      </c>
      <c r="K459">
        <f>J459+Assumptions!$B$4/B459</f>
        <v/>
      </c>
      <c r="L459">
        <f>B459</f>
        <v/>
      </c>
    </row>
    <row r="460">
      <c r="A460" t="inlineStr">
        <is>
          <t>cell(1,0) iter 73</t>
        </is>
      </c>
      <c r="B460">
        <f>Assumptions!$B$53/J459</f>
        <v/>
      </c>
      <c r="C460">
        <f>IF(B460&lt;Assumptions!$B$20,Assumptions!$B$20*(Assumptions!$B$29+Assumptions!$B$4/Assumptions!$B$20)/(Assumptions!$B$29+Assumptions!$B$4/B460),Assumptions!$B$20)</f>
        <v/>
      </c>
      <c r="D460">
        <f>IF(B460&lt;Assumptions!$B$21,Assumptions!$B$21*(Assumptions!$B$29+Assumptions!$B$4/Assumptions!$B$21)/(Assumptions!$B$29+Assumptions!$B$4/B460),Assumptions!$B$21)</f>
        <v/>
      </c>
      <c r="E460">
        <f>Assumptions!$B$37*Assumptions!$B$22/C460-Assumptions!$B$38</f>
        <v/>
      </c>
      <c r="F460">
        <f>Assumptions!$B$39*Assumptions!$B$21/D460-Assumptions!$B$39</f>
        <v/>
      </c>
      <c r="G460">
        <f>MAX(0,Assumptions!$B$51*(Assumptions!$B$29+E460+F460+G459+H459+I459+Assumptions!$B$4/B460)-Assumptions!$B$30)</f>
        <v/>
      </c>
      <c r="H460">
        <f>Assumptions!$B$23/MIN(Assumptions!$B$24/(Assumptions!$B$29+E460+F460+G460+I459),B460*(1-Assumptions!$B$25))</f>
        <v/>
      </c>
      <c r="I460">
        <f>Assumptions!$B$26/MIN(Assumptions!$B$27/(Assumptions!$B$29+E460+F460+G460+H460),B460*(1-Assumptions!$B$28))</f>
        <v/>
      </c>
      <c r="J460">
        <f>Assumptions!$B$29+E460+F460+G460+H460+I460</f>
        <v/>
      </c>
      <c r="K460">
        <f>J460+Assumptions!$B$4/B460</f>
        <v/>
      </c>
      <c r="L460">
        <f>B460</f>
        <v/>
      </c>
    </row>
    <row r="461">
      <c r="A461" t="inlineStr">
        <is>
          <t>cell(1,0) iter 74</t>
        </is>
      </c>
      <c r="B461">
        <f>Assumptions!$B$53/J460</f>
        <v/>
      </c>
      <c r="C461">
        <f>IF(B461&lt;Assumptions!$B$20,Assumptions!$B$20*(Assumptions!$B$29+Assumptions!$B$4/Assumptions!$B$20)/(Assumptions!$B$29+Assumptions!$B$4/B461),Assumptions!$B$20)</f>
        <v/>
      </c>
      <c r="D461">
        <f>IF(B461&lt;Assumptions!$B$21,Assumptions!$B$21*(Assumptions!$B$29+Assumptions!$B$4/Assumptions!$B$21)/(Assumptions!$B$29+Assumptions!$B$4/B461),Assumptions!$B$21)</f>
        <v/>
      </c>
      <c r="E461">
        <f>Assumptions!$B$37*Assumptions!$B$22/C461-Assumptions!$B$38</f>
        <v/>
      </c>
      <c r="F461">
        <f>Assumptions!$B$39*Assumptions!$B$21/D461-Assumptions!$B$39</f>
        <v/>
      </c>
      <c r="G461">
        <f>MAX(0,Assumptions!$B$51*(Assumptions!$B$29+E461+F461+G460+H460+I460+Assumptions!$B$4/B461)-Assumptions!$B$30)</f>
        <v/>
      </c>
      <c r="H461">
        <f>Assumptions!$B$23/MIN(Assumptions!$B$24/(Assumptions!$B$29+E461+F461+G461+I460),B461*(1-Assumptions!$B$25))</f>
        <v/>
      </c>
      <c r="I461">
        <f>Assumptions!$B$26/MIN(Assumptions!$B$27/(Assumptions!$B$29+E461+F461+G461+H461),B461*(1-Assumptions!$B$28))</f>
        <v/>
      </c>
      <c r="J461">
        <f>Assumptions!$B$29+E461+F461+G461+H461+I461</f>
        <v/>
      </c>
      <c r="K461">
        <f>J461+Assumptions!$B$4/B461</f>
        <v/>
      </c>
      <c r="L461">
        <f>B461</f>
        <v/>
      </c>
    </row>
    <row r="462">
      <c r="A462" t="inlineStr">
        <is>
          <t>cell(1,0) iter 75</t>
        </is>
      </c>
      <c r="B462">
        <f>Assumptions!$B$53/J461</f>
        <v/>
      </c>
      <c r="C462">
        <f>IF(B462&lt;Assumptions!$B$20,Assumptions!$B$20*(Assumptions!$B$29+Assumptions!$B$4/Assumptions!$B$20)/(Assumptions!$B$29+Assumptions!$B$4/B462),Assumptions!$B$20)</f>
        <v/>
      </c>
      <c r="D462">
        <f>IF(B462&lt;Assumptions!$B$21,Assumptions!$B$21*(Assumptions!$B$29+Assumptions!$B$4/Assumptions!$B$21)/(Assumptions!$B$29+Assumptions!$B$4/B462),Assumptions!$B$21)</f>
        <v/>
      </c>
      <c r="E462">
        <f>Assumptions!$B$37*Assumptions!$B$22/C462-Assumptions!$B$38</f>
        <v/>
      </c>
      <c r="F462">
        <f>Assumptions!$B$39*Assumptions!$B$21/D462-Assumptions!$B$39</f>
        <v/>
      </c>
      <c r="G462">
        <f>MAX(0,Assumptions!$B$51*(Assumptions!$B$29+E462+F462+G461+H461+I461+Assumptions!$B$4/B462)-Assumptions!$B$30)</f>
        <v/>
      </c>
      <c r="H462">
        <f>Assumptions!$B$23/MIN(Assumptions!$B$24/(Assumptions!$B$29+E462+F462+G462+I461),B462*(1-Assumptions!$B$25))</f>
        <v/>
      </c>
      <c r="I462">
        <f>Assumptions!$B$26/MIN(Assumptions!$B$27/(Assumptions!$B$29+E462+F462+G462+H462),B462*(1-Assumptions!$B$28))</f>
        <v/>
      </c>
      <c r="J462">
        <f>Assumptions!$B$29+E462+F462+G462+H462+I462</f>
        <v/>
      </c>
      <c r="K462">
        <f>J462+Assumptions!$B$4/B462</f>
        <v/>
      </c>
      <c r="L462">
        <f>B462</f>
        <v/>
      </c>
    </row>
    <row r="463">
      <c r="A463" t="inlineStr">
        <is>
          <t>cell(1,0) iter 76</t>
        </is>
      </c>
      <c r="B463">
        <f>Assumptions!$B$53/J462</f>
        <v/>
      </c>
      <c r="C463">
        <f>IF(B463&lt;Assumptions!$B$20,Assumptions!$B$20*(Assumptions!$B$29+Assumptions!$B$4/Assumptions!$B$20)/(Assumptions!$B$29+Assumptions!$B$4/B463),Assumptions!$B$20)</f>
        <v/>
      </c>
      <c r="D463">
        <f>IF(B463&lt;Assumptions!$B$21,Assumptions!$B$21*(Assumptions!$B$29+Assumptions!$B$4/Assumptions!$B$21)/(Assumptions!$B$29+Assumptions!$B$4/B463),Assumptions!$B$21)</f>
        <v/>
      </c>
      <c r="E463">
        <f>Assumptions!$B$37*Assumptions!$B$22/C463-Assumptions!$B$38</f>
        <v/>
      </c>
      <c r="F463">
        <f>Assumptions!$B$39*Assumptions!$B$21/D463-Assumptions!$B$39</f>
        <v/>
      </c>
      <c r="G463">
        <f>MAX(0,Assumptions!$B$51*(Assumptions!$B$29+E463+F463+G462+H462+I462+Assumptions!$B$4/B463)-Assumptions!$B$30)</f>
        <v/>
      </c>
      <c r="H463">
        <f>Assumptions!$B$23/MIN(Assumptions!$B$24/(Assumptions!$B$29+E463+F463+G463+I462),B463*(1-Assumptions!$B$25))</f>
        <v/>
      </c>
      <c r="I463">
        <f>Assumptions!$B$26/MIN(Assumptions!$B$27/(Assumptions!$B$29+E463+F463+G463+H463),B463*(1-Assumptions!$B$28))</f>
        <v/>
      </c>
      <c r="J463">
        <f>Assumptions!$B$29+E463+F463+G463+H463+I463</f>
        <v/>
      </c>
      <c r="K463">
        <f>J463+Assumptions!$B$4/B463</f>
        <v/>
      </c>
      <c r="L463">
        <f>B463</f>
        <v/>
      </c>
    </row>
    <row r="464">
      <c r="A464" t="inlineStr">
        <is>
          <t>cell(1,0) iter 77</t>
        </is>
      </c>
      <c r="B464">
        <f>Assumptions!$B$53/J463</f>
        <v/>
      </c>
      <c r="C464">
        <f>IF(B464&lt;Assumptions!$B$20,Assumptions!$B$20*(Assumptions!$B$29+Assumptions!$B$4/Assumptions!$B$20)/(Assumptions!$B$29+Assumptions!$B$4/B464),Assumptions!$B$20)</f>
        <v/>
      </c>
      <c r="D464">
        <f>IF(B464&lt;Assumptions!$B$21,Assumptions!$B$21*(Assumptions!$B$29+Assumptions!$B$4/Assumptions!$B$21)/(Assumptions!$B$29+Assumptions!$B$4/B464),Assumptions!$B$21)</f>
        <v/>
      </c>
      <c r="E464">
        <f>Assumptions!$B$37*Assumptions!$B$22/C464-Assumptions!$B$38</f>
        <v/>
      </c>
      <c r="F464">
        <f>Assumptions!$B$39*Assumptions!$B$21/D464-Assumptions!$B$39</f>
        <v/>
      </c>
      <c r="G464">
        <f>MAX(0,Assumptions!$B$51*(Assumptions!$B$29+E464+F464+G463+H463+I463+Assumptions!$B$4/B464)-Assumptions!$B$30)</f>
        <v/>
      </c>
      <c r="H464">
        <f>Assumptions!$B$23/MIN(Assumptions!$B$24/(Assumptions!$B$29+E464+F464+G464+I463),B464*(1-Assumptions!$B$25))</f>
        <v/>
      </c>
      <c r="I464">
        <f>Assumptions!$B$26/MIN(Assumptions!$B$27/(Assumptions!$B$29+E464+F464+G464+H464),B464*(1-Assumptions!$B$28))</f>
        <v/>
      </c>
      <c r="J464">
        <f>Assumptions!$B$29+E464+F464+G464+H464+I464</f>
        <v/>
      </c>
      <c r="K464">
        <f>J464+Assumptions!$B$4/B464</f>
        <v/>
      </c>
      <c r="L464">
        <f>B464</f>
        <v/>
      </c>
    </row>
    <row r="465">
      <c r="A465" t="inlineStr">
        <is>
          <t>cell(1,0) iter 78</t>
        </is>
      </c>
      <c r="B465">
        <f>Assumptions!$B$53/J464</f>
        <v/>
      </c>
      <c r="C465">
        <f>IF(B465&lt;Assumptions!$B$20,Assumptions!$B$20*(Assumptions!$B$29+Assumptions!$B$4/Assumptions!$B$20)/(Assumptions!$B$29+Assumptions!$B$4/B465),Assumptions!$B$20)</f>
        <v/>
      </c>
      <c r="D465">
        <f>IF(B465&lt;Assumptions!$B$21,Assumptions!$B$21*(Assumptions!$B$29+Assumptions!$B$4/Assumptions!$B$21)/(Assumptions!$B$29+Assumptions!$B$4/B465),Assumptions!$B$21)</f>
        <v/>
      </c>
      <c r="E465">
        <f>Assumptions!$B$37*Assumptions!$B$22/C465-Assumptions!$B$38</f>
        <v/>
      </c>
      <c r="F465">
        <f>Assumptions!$B$39*Assumptions!$B$21/D465-Assumptions!$B$39</f>
        <v/>
      </c>
      <c r="G465">
        <f>MAX(0,Assumptions!$B$51*(Assumptions!$B$29+E465+F465+G464+H464+I464+Assumptions!$B$4/B465)-Assumptions!$B$30)</f>
        <v/>
      </c>
      <c r="H465">
        <f>Assumptions!$B$23/MIN(Assumptions!$B$24/(Assumptions!$B$29+E465+F465+G465+I464),B465*(1-Assumptions!$B$25))</f>
        <v/>
      </c>
      <c r="I465">
        <f>Assumptions!$B$26/MIN(Assumptions!$B$27/(Assumptions!$B$29+E465+F465+G465+H465),B465*(1-Assumptions!$B$28))</f>
        <v/>
      </c>
      <c r="J465">
        <f>Assumptions!$B$29+E465+F465+G465+H465+I465</f>
        <v/>
      </c>
      <c r="K465">
        <f>J465+Assumptions!$B$4/B465</f>
        <v/>
      </c>
      <c r="L465">
        <f>B465</f>
        <v/>
      </c>
    </row>
    <row r="466">
      <c r="A466" t="inlineStr">
        <is>
          <t>cell(1,0) iter 79</t>
        </is>
      </c>
      <c r="B466">
        <f>Assumptions!$B$53/J465</f>
        <v/>
      </c>
      <c r="C466">
        <f>IF(B466&lt;Assumptions!$B$20,Assumptions!$B$20*(Assumptions!$B$29+Assumptions!$B$4/Assumptions!$B$20)/(Assumptions!$B$29+Assumptions!$B$4/B466),Assumptions!$B$20)</f>
        <v/>
      </c>
      <c r="D466">
        <f>IF(B466&lt;Assumptions!$B$21,Assumptions!$B$21*(Assumptions!$B$29+Assumptions!$B$4/Assumptions!$B$21)/(Assumptions!$B$29+Assumptions!$B$4/B466),Assumptions!$B$21)</f>
        <v/>
      </c>
      <c r="E466">
        <f>Assumptions!$B$37*Assumptions!$B$22/C466-Assumptions!$B$38</f>
        <v/>
      </c>
      <c r="F466">
        <f>Assumptions!$B$39*Assumptions!$B$21/D466-Assumptions!$B$39</f>
        <v/>
      </c>
      <c r="G466">
        <f>MAX(0,Assumptions!$B$51*(Assumptions!$B$29+E466+F466+G465+H465+I465+Assumptions!$B$4/B466)-Assumptions!$B$30)</f>
        <v/>
      </c>
      <c r="H466">
        <f>Assumptions!$B$23/MIN(Assumptions!$B$24/(Assumptions!$B$29+E466+F466+G466+I465),B466*(1-Assumptions!$B$25))</f>
        <v/>
      </c>
      <c r="I466">
        <f>Assumptions!$B$26/MIN(Assumptions!$B$27/(Assumptions!$B$29+E466+F466+G466+H466),B466*(1-Assumptions!$B$28))</f>
        <v/>
      </c>
      <c r="J466">
        <f>Assumptions!$B$29+E466+F466+G466+H466+I466</f>
        <v/>
      </c>
      <c r="K466">
        <f>J466+Assumptions!$B$4/B466</f>
        <v/>
      </c>
      <c r="L466">
        <f>B466</f>
        <v/>
      </c>
    </row>
    <row r="467">
      <c r="A467" t="inlineStr">
        <is>
          <t>cell(1,0) iter 80</t>
        </is>
      </c>
      <c r="B467">
        <f>Assumptions!$B$53/J466</f>
        <v/>
      </c>
      <c r="C467">
        <f>IF(B467&lt;Assumptions!$B$20,Assumptions!$B$20*(Assumptions!$B$29+Assumptions!$B$4/Assumptions!$B$20)/(Assumptions!$B$29+Assumptions!$B$4/B467),Assumptions!$B$20)</f>
        <v/>
      </c>
      <c r="D467">
        <f>IF(B467&lt;Assumptions!$B$21,Assumptions!$B$21*(Assumptions!$B$29+Assumptions!$B$4/Assumptions!$B$21)/(Assumptions!$B$29+Assumptions!$B$4/B467),Assumptions!$B$21)</f>
        <v/>
      </c>
      <c r="E467">
        <f>Assumptions!$B$37*Assumptions!$B$22/C467-Assumptions!$B$38</f>
        <v/>
      </c>
      <c r="F467">
        <f>Assumptions!$B$39*Assumptions!$B$21/D467-Assumptions!$B$39</f>
        <v/>
      </c>
      <c r="G467">
        <f>MAX(0,Assumptions!$B$51*(Assumptions!$B$29+E467+F467+G466+H466+I466+Assumptions!$B$4/B467)-Assumptions!$B$30)</f>
        <v/>
      </c>
      <c r="H467">
        <f>Assumptions!$B$23/MIN(Assumptions!$B$24/(Assumptions!$B$29+E467+F467+G467+I466),B467*(1-Assumptions!$B$25))</f>
        <v/>
      </c>
      <c r="I467">
        <f>Assumptions!$B$26/MIN(Assumptions!$B$27/(Assumptions!$B$29+E467+F467+G467+H467),B467*(1-Assumptions!$B$28))</f>
        <v/>
      </c>
      <c r="J467">
        <f>Assumptions!$B$29+E467+F467+G467+H467+I467</f>
        <v/>
      </c>
      <c r="K467">
        <f>J467+Assumptions!$B$4/B467</f>
        <v/>
      </c>
      <c r="L467">
        <f>B467</f>
        <v/>
      </c>
    </row>
    <row r="470">
      <c r="A470" s="1" t="inlineStr">
        <is>
          <t>Waterfall ladder ($2B exit)</t>
        </is>
      </c>
    </row>
    <row r="471">
      <c r="A471" s="1" t="inlineStr">
        <is>
          <t>Step</t>
        </is>
      </c>
      <c r="B471" s="1" t="inlineStr">
        <is>
          <t>F_el</t>
        </is>
      </c>
      <c r="C471" s="1" t="inlineStr">
        <is>
          <t>E_el</t>
        </is>
      </c>
      <c r="D471" s="1" t="inlineStr">
        <is>
          <t>D_el</t>
        </is>
      </c>
      <c r="E471" s="1" t="inlineStr">
        <is>
          <t>C_el</t>
        </is>
      </c>
      <c r="F471" s="1" t="inlineStr">
        <is>
          <t>B_el</t>
        </is>
      </c>
      <c r="G471" s="1" t="inlineStr">
        <is>
          <t>A_el</t>
        </is>
      </c>
      <c r="H471" s="1" t="inlineStr">
        <is>
          <t>Seed_el</t>
        </is>
      </c>
      <c r="I471" s="1" t="inlineStr">
        <is>
          <t>prefs</t>
        </is>
      </c>
      <c r="J471" s="1" t="inlineStr">
        <is>
          <t>conv_sh</t>
        </is>
      </c>
      <c r="K471" s="1" t="inlineStr">
        <is>
          <t>cpool</t>
        </is>
      </c>
      <c r="L471" s="1" t="inlineStr">
        <is>
          <t>ITM_PPS</t>
        </is>
      </c>
      <c r="M471" s="1" t="inlineStr">
        <is>
          <t>ITM?</t>
        </is>
      </c>
      <c r="N471" s="1" t="inlineStr">
        <is>
          <t>common_PPS</t>
        </is>
      </c>
      <c r="O471" s="1" t="inlineStr">
        <is>
          <t>opt_proc</t>
        </is>
      </c>
    </row>
    <row r="472">
      <c r="A472" t="inlineStr">
        <is>
          <t>seed (all convert)</t>
        </is>
      </c>
      <c r="B472">
        <f>"convert"</f>
        <v/>
      </c>
      <c r="C472">
        <f>"convert"</f>
        <v/>
      </c>
      <c r="D472">
        <f>"convert"</f>
        <v/>
      </c>
      <c r="E472">
        <f>"convert"</f>
        <v/>
      </c>
      <c r="F472">
        <f>"convert"</f>
        <v/>
      </c>
      <c r="G472">
        <f>"convert"</f>
        <v/>
      </c>
      <c r="H472">
        <f>"convert"</f>
        <v/>
      </c>
      <c r="I472">
        <f>IF(B472="preference",Assumptions!$B$4,0)+IF(C472="preference",Assumptions!$B$45,0)+IF(D472="preference",Assumptions!$B$44,0)+IF(E472="preference",Assumptions!$B$43,0)+IF(F472="preference",Assumptions!$B$42,0)+IF(G472="preference",Assumptions!$B$41,0)+IF(H472="preference",Assumptions!$B$40,0)</f>
        <v/>
      </c>
      <c r="J472">
        <f>IF(B472="convert",(Assumptions!$B$4/B467),0)+IF(C472="convert",(Assumptions!$B$39+F467),0)+IF(D472="convert",(Assumptions!$B$38+E467),0)+IF(E472="convert",Assumptions!$B$36,0)+IF(F472="convert",Assumptions!$B$35,0)+IF(G472="convert",Assumptions!$B$34,0)+IF(H472="convert",Assumptions!$B$33,0)</f>
        <v/>
      </c>
      <c r="K472">
        <f>(Assumptions!$B$46+Assumptions!$B$47+Assumptions!$B$48)+Assumptions!$B$49+(H467+I467)+J472</f>
        <v/>
      </c>
      <c r="L472">
        <f>(Assumptions!$B$13-I472+Assumptions!$B$31*Assumptions!$B$10)/(K472+Assumptions!$B$31)</f>
        <v/>
      </c>
      <c r="M472">
        <f>IF(L472&gt;Assumptions!$B$10,"yes","no")</f>
        <v/>
      </c>
      <c r="N472">
        <f>IF(M472="yes",L472,MAX(0,(Assumptions!$B$13-I472)/K472))</f>
        <v/>
      </c>
      <c r="O472">
        <f>IF(M472="yes",Assumptions!$B$31*(N472-Assumptions!$B$10),0)</f>
        <v/>
      </c>
    </row>
    <row r="473">
      <c r="A473" t="inlineStr">
        <is>
          <t>iter 1</t>
        </is>
      </c>
      <c r="B473">
        <f>IF(Assumptions!$B$4&gt;(Assumptions!$B$4/B467)*N472,"preference","convert")</f>
        <v/>
      </c>
      <c r="C473">
        <f>IF(Assumptions!$B$45&gt;(Assumptions!$B$39+F467)*N472,"preference","convert")</f>
        <v/>
      </c>
      <c r="D473">
        <f>IF(Assumptions!$B$44&gt;(Assumptions!$B$38+E467)*N472,"preference","convert")</f>
        <v/>
      </c>
      <c r="E473">
        <f>IF(Assumptions!$B$43&gt;Assumptions!$B$36*N472,"preference","convert")</f>
        <v/>
      </c>
      <c r="F473">
        <f>IF(Assumptions!$B$42&gt;Assumptions!$B$35*N472,"preference","convert")</f>
        <v/>
      </c>
      <c r="G473">
        <f>IF(Assumptions!$B$41&gt;Assumptions!$B$34*N472,"preference","convert")</f>
        <v/>
      </c>
      <c r="H473">
        <f>IF(Assumptions!$B$40&gt;Assumptions!$B$33*N472,"preference","convert")</f>
        <v/>
      </c>
      <c r="I473">
        <f>IF(B473="preference",Assumptions!$B$4,0)+IF(C473="preference",Assumptions!$B$45,0)+IF(D473="preference",Assumptions!$B$44,0)+IF(E473="preference",Assumptions!$B$43,0)+IF(F473="preference",Assumptions!$B$42,0)+IF(G473="preference",Assumptions!$B$41,0)+IF(H473="preference",Assumptions!$B$40,0)</f>
        <v/>
      </c>
      <c r="J473">
        <f>IF(B473="convert",(Assumptions!$B$4/B467),0)+IF(C473="convert",(Assumptions!$B$39+F467),0)+IF(D473="convert",(Assumptions!$B$38+E467),0)+IF(E473="convert",Assumptions!$B$36,0)+IF(F473="convert",Assumptions!$B$35,0)+IF(G473="convert",Assumptions!$B$34,0)+IF(H473="convert",Assumptions!$B$33,0)</f>
        <v/>
      </c>
      <c r="K473">
        <f>(Assumptions!$B$46+Assumptions!$B$47+Assumptions!$B$48)+Assumptions!$B$49+(H467+I467)+J473</f>
        <v/>
      </c>
      <c r="L473">
        <f>(Assumptions!$B$13-I473+Assumptions!$B$31*Assumptions!$B$10)/(K473+Assumptions!$B$31)</f>
        <v/>
      </c>
      <c r="M473">
        <f>IF(L473&gt;Assumptions!$B$10,"yes","no")</f>
        <v/>
      </c>
      <c r="N473">
        <f>IF(M473="yes",L473,MAX(0,(Assumptions!$B$13-I473)/K473))</f>
        <v/>
      </c>
      <c r="O473">
        <f>IF(M473="yes",Assumptions!$B$31*(N473-Assumptions!$B$10),0)</f>
        <v/>
      </c>
    </row>
    <row r="474">
      <c r="A474" t="inlineStr">
        <is>
          <t>iter 2</t>
        </is>
      </c>
      <c r="B474">
        <f>IF(Assumptions!$B$4&gt;(Assumptions!$B$4/B467)*N473,"preference","convert")</f>
        <v/>
      </c>
      <c r="C474">
        <f>IF(Assumptions!$B$45&gt;(Assumptions!$B$39+F467)*N473,"preference","convert")</f>
        <v/>
      </c>
      <c r="D474">
        <f>IF(Assumptions!$B$44&gt;(Assumptions!$B$38+E467)*N473,"preference","convert")</f>
        <v/>
      </c>
      <c r="E474">
        <f>IF(Assumptions!$B$43&gt;Assumptions!$B$36*N473,"preference","convert")</f>
        <v/>
      </c>
      <c r="F474">
        <f>IF(Assumptions!$B$42&gt;Assumptions!$B$35*N473,"preference","convert")</f>
        <v/>
      </c>
      <c r="G474">
        <f>IF(Assumptions!$B$41&gt;Assumptions!$B$34*N473,"preference","convert")</f>
        <v/>
      </c>
      <c r="H474">
        <f>IF(Assumptions!$B$40&gt;Assumptions!$B$33*N473,"preference","convert")</f>
        <v/>
      </c>
      <c r="I474">
        <f>IF(B474="preference",Assumptions!$B$4,0)+IF(C474="preference",Assumptions!$B$45,0)+IF(D474="preference",Assumptions!$B$44,0)+IF(E474="preference",Assumptions!$B$43,0)+IF(F474="preference",Assumptions!$B$42,0)+IF(G474="preference",Assumptions!$B$41,0)+IF(H474="preference",Assumptions!$B$40,0)</f>
        <v/>
      </c>
      <c r="J474">
        <f>IF(B474="convert",(Assumptions!$B$4/B467),0)+IF(C474="convert",(Assumptions!$B$39+F467),0)+IF(D474="convert",(Assumptions!$B$38+E467),0)+IF(E474="convert",Assumptions!$B$36,0)+IF(F474="convert",Assumptions!$B$35,0)+IF(G474="convert",Assumptions!$B$34,0)+IF(H474="convert",Assumptions!$B$33,0)</f>
        <v/>
      </c>
      <c r="K474">
        <f>(Assumptions!$B$46+Assumptions!$B$47+Assumptions!$B$48)+Assumptions!$B$49+(H467+I467)+J474</f>
        <v/>
      </c>
      <c r="L474">
        <f>(Assumptions!$B$13-I474+Assumptions!$B$31*Assumptions!$B$10)/(K474+Assumptions!$B$31)</f>
        <v/>
      </c>
      <c r="M474">
        <f>IF(L474&gt;Assumptions!$B$10,"yes","no")</f>
        <v/>
      </c>
      <c r="N474">
        <f>IF(M474="yes",L474,MAX(0,(Assumptions!$B$13-I474)/K474))</f>
        <v/>
      </c>
      <c r="O474">
        <f>IF(M474="yes",Assumptions!$B$31*(N474-Assumptions!$B$10),0)</f>
        <v/>
      </c>
    </row>
    <row r="475">
      <c r="A475" t="inlineStr">
        <is>
          <t>iter 3</t>
        </is>
      </c>
      <c r="B475">
        <f>IF(Assumptions!$B$4&gt;(Assumptions!$B$4/B467)*N474,"preference","convert")</f>
        <v/>
      </c>
      <c r="C475">
        <f>IF(Assumptions!$B$45&gt;(Assumptions!$B$39+F467)*N474,"preference","convert")</f>
        <v/>
      </c>
      <c r="D475">
        <f>IF(Assumptions!$B$44&gt;(Assumptions!$B$38+E467)*N474,"preference","convert")</f>
        <v/>
      </c>
      <c r="E475">
        <f>IF(Assumptions!$B$43&gt;Assumptions!$B$36*N474,"preference","convert")</f>
        <v/>
      </c>
      <c r="F475">
        <f>IF(Assumptions!$B$42&gt;Assumptions!$B$35*N474,"preference","convert")</f>
        <v/>
      </c>
      <c r="G475">
        <f>IF(Assumptions!$B$41&gt;Assumptions!$B$34*N474,"preference","convert")</f>
        <v/>
      </c>
      <c r="H475">
        <f>IF(Assumptions!$B$40&gt;Assumptions!$B$33*N474,"preference","convert")</f>
        <v/>
      </c>
      <c r="I475">
        <f>IF(B475="preference",Assumptions!$B$4,0)+IF(C475="preference",Assumptions!$B$45,0)+IF(D475="preference",Assumptions!$B$44,0)+IF(E475="preference",Assumptions!$B$43,0)+IF(F475="preference",Assumptions!$B$42,0)+IF(G475="preference",Assumptions!$B$41,0)+IF(H475="preference",Assumptions!$B$40,0)</f>
        <v/>
      </c>
      <c r="J475">
        <f>IF(B475="convert",(Assumptions!$B$4/B467),0)+IF(C475="convert",(Assumptions!$B$39+F467),0)+IF(D475="convert",(Assumptions!$B$38+E467),0)+IF(E475="convert",Assumptions!$B$36,0)+IF(F475="convert",Assumptions!$B$35,0)+IF(G475="convert",Assumptions!$B$34,0)+IF(H475="convert",Assumptions!$B$33,0)</f>
        <v/>
      </c>
      <c r="K475">
        <f>(Assumptions!$B$46+Assumptions!$B$47+Assumptions!$B$48)+Assumptions!$B$49+(H467+I467)+J475</f>
        <v/>
      </c>
      <c r="L475">
        <f>(Assumptions!$B$13-I475+Assumptions!$B$31*Assumptions!$B$10)/(K475+Assumptions!$B$31)</f>
        <v/>
      </c>
      <c r="M475">
        <f>IF(L475&gt;Assumptions!$B$10,"yes","no")</f>
        <v/>
      </c>
      <c r="N475">
        <f>IF(M475="yes",L475,MAX(0,(Assumptions!$B$13-I475)/K475))</f>
        <v/>
      </c>
      <c r="O475">
        <f>IF(M475="yes",Assumptions!$B$31*(N475-Assumptions!$B$10),0)</f>
        <v/>
      </c>
    </row>
    <row r="476">
      <c r="A476" t="inlineStr">
        <is>
          <t>iter 4</t>
        </is>
      </c>
      <c r="B476">
        <f>IF(Assumptions!$B$4&gt;(Assumptions!$B$4/B467)*N475,"preference","convert")</f>
        <v/>
      </c>
      <c r="C476">
        <f>IF(Assumptions!$B$45&gt;(Assumptions!$B$39+F467)*N475,"preference","convert")</f>
        <v/>
      </c>
      <c r="D476">
        <f>IF(Assumptions!$B$44&gt;(Assumptions!$B$38+E467)*N475,"preference","convert")</f>
        <v/>
      </c>
      <c r="E476">
        <f>IF(Assumptions!$B$43&gt;Assumptions!$B$36*N475,"preference","convert")</f>
        <v/>
      </c>
      <c r="F476">
        <f>IF(Assumptions!$B$42&gt;Assumptions!$B$35*N475,"preference","convert")</f>
        <v/>
      </c>
      <c r="G476">
        <f>IF(Assumptions!$B$41&gt;Assumptions!$B$34*N475,"preference","convert")</f>
        <v/>
      </c>
      <c r="H476">
        <f>IF(Assumptions!$B$40&gt;Assumptions!$B$33*N475,"preference","convert")</f>
        <v/>
      </c>
      <c r="I476">
        <f>IF(B476="preference",Assumptions!$B$4,0)+IF(C476="preference",Assumptions!$B$45,0)+IF(D476="preference",Assumptions!$B$44,0)+IF(E476="preference",Assumptions!$B$43,0)+IF(F476="preference",Assumptions!$B$42,0)+IF(G476="preference",Assumptions!$B$41,0)+IF(H476="preference",Assumptions!$B$40,0)</f>
        <v/>
      </c>
      <c r="J476">
        <f>IF(B476="convert",(Assumptions!$B$4/B467),0)+IF(C476="convert",(Assumptions!$B$39+F467),0)+IF(D476="convert",(Assumptions!$B$38+E467),0)+IF(E476="convert",Assumptions!$B$36,0)+IF(F476="convert",Assumptions!$B$35,0)+IF(G476="convert",Assumptions!$B$34,0)+IF(H476="convert",Assumptions!$B$33,0)</f>
        <v/>
      </c>
      <c r="K476">
        <f>(Assumptions!$B$46+Assumptions!$B$47+Assumptions!$B$48)+Assumptions!$B$49+(H467+I467)+J476</f>
        <v/>
      </c>
      <c r="L476">
        <f>(Assumptions!$B$13-I476+Assumptions!$B$31*Assumptions!$B$10)/(K476+Assumptions!$B$31)</f>
        <v/>
      </c>
      <c r="M476">
        <f>IF(L476&gt;Assumptions!$B$10,"yes","no")</f>
        <v/>
      </c>
      <c r="N476">
        <f>IF(M476="yes",L476,MAX(0,(Assumptions!$B$13-I476)/K476))</f>
        <v/>
      </c>
      <c r="O476">
        <f>IF(M476="yes",Assumptions!$B$31*(N476-Assumptions!$B$10),0)</f>
        <v/>
      </c>
    </row>
    <row r="477">
      <c r="A477" t="inlineStr">
        <is>
          <t>iter 5</t>
        </is>
      </c>
      <c r="B477">
        <f>IF(Assumptions!$B$4&gt;(Assumptions!$B$4/B467)*N476,"preference","convert")</f>
        <v/>
      </c>
      <c r="C477">
        <f>IF(Assumptions!$B$45&gt;(Assumptions!$B$39+F467)*N476,"preference","convert")</f>
        <v/>
      </c>
      <c r="D477">
        <f>IF(Assumptions!$B$44&gt;(Assumptions!$B$38+E467)*N476,"preference","convert")</f>
        <v/>
      </c>
      <c r="E477">
        <f>IF(Assumptions!$B$43&gt;Assumptions!$B$36*N476,"preference","convert")</f>
        <v/>
      </c>
      <c r="F477">
        <f>IF(Assumptions!$B$42&gt;Assumptions!$B$35*N476,"preference","convert")</f>
        <v/>
      </c>
      <c r="G477">
        <f>IF(Assumptions!$B$41&gt;Assumptions!$B$34*N476,"preference","convert")</f>
        <v/>
      </c>
      <c r="H477">
        <f>IF(Assumptions!$B$40&gt;Assumptions!$B$33*N476,"preference","convert")</f>
        <v/>
      </c>
      <c r="I477">
        <f>IF(B477="preference",Assumptions!$B$4,0)+IF(C477="preference",Assumptions!$B$45,0)+IF(D477="preference",Assumptions!$B$44,0)+IF(E477="preference",Assumptions!$B$43,0)+IF(F477="preference",Assumptions!$B$42,0)+IF(G477="preference",Assumptions!$B$41,0)+IF(H477="preference",Assumptions!$B$40,0)</f>
        <v/>
      </c>
      <c r="J477">
        <f>IF(B477="convert",(Assumptions!$B$4/B467),0)+IF(C477="convert",(Assumptions!$B$39+F467),0)+IF(D477="convert",(Assumptions!$B$38+E467),0)+IF(E477="convert",Assumptions!$B$36,0)+IF(F477="convert",Assumptions!$B$35,0)+IF(G477="convert",Assumptions!$B$34,0)+IF(H477="convert",Assumptions!$B$33,0)</f>
        <v/>
      </c>
      <c r="K477">
        <f>(Assumptions!$B$46+Assumptions!$B$47+Assumptions!$B$48)+Assumptions!$B$49+(H467+I467)+J477</f>
        <v/>
      </c>
      <c r="L477">
        <f>(Assumptions!$B$13-I477+Assumptions!$B$31*Assumptions!$B$10)/(K477+Assumptions!$B$31)</f>
        <v/>
      </c>
      <c r="M477">
        <f>IF(L477&gt;Assumptions!$B$10,"yes","no")</f>
        <v/>
      </c>
      <c r="N477">
        <f>IF(M477="yes",L477,MAX(0,(Assumptions!$B$13-I477)/K477))</f>
        <v/>
      </c>
      <c r="O477">
        <f>IF(M477="yes",Assumptions!$B$31*(N477-Assumptions!$B$10),0)</f>
        <v/>
      </c>
    </row>
    <row r="478">
      <c r="A478" t="inlineStr">
        <is>
          <t>iter 6</t>
        </is>
      </c>
      <c r="B478">
        <f>IF(Assumptions!$B$4&gt;(Assumptions!$B$4/B467)*N477,"preference","convert")</f>
        <v/>
      </c>
      <c r="C478">
        <f>IF(Assumptions!$B$45&gt;(Assumptions!$B$39+F467)*N477,"preference","convert")</f>
        <v/>
      </c>
      <c r="D478">
        <f>IF(Assumptions!$B$44&gt;(Assumptions!$B$38+E467)*N477,"preference","convert")</f>
        <v/>
      </c>
      <c r="E478">
        <f>IF(Assumptions!$B$43&gt;Assumptions!$B$36*N477,"preference","convert")</f>
        <v/>
      </c>
      <c r="F478">
        <f>IF(Assumptions!$B$42&gt;Assumptions!$B$35*N477,"preference","convert")</f>
        <v/>
      </c>
      <c r="G478">
        <f>IF(Assumptions!$B$41&gt;Assumptions!$B$34*N477,"preference","convert")</f>
        <v/>
      </c>
      <c r="H478">
        <f>IF(Assumptions!$B$40&gt;Assumptions!$B$33*N477,"preference","convert")</f>
        <v/>
      </c>
      <c r="I478">
        <f>IF(B478="preference",Assumptions!$B$4,0)+IF(C478="preference",Assumptions!$B$45,0)+IF(D478="preference",Assumptions!$B$44,0)+IF(E478="preference",Assumptions!$B$43,0)+IF(F478="preference",Assumptions!$B$42,0)+IF(G478="preference",Assumptions!$B$41,0)+IF(H478="preference",Assumptions!$B$40,0)</f>
        <v/>
      </c>
      <c r="J478">
        <f>IF(B478="convert",(Assumptions!$B$4/B467),0)+IF(C478="convert",(Assumptions!$B$39+F467),0)+IF(D478="convert",(Assumptions!$B$38+E467),0)+IF(E478="convert",Assumptions!$B$36,0)+IF(F478="convert",Assumptions!$B$35,0)+IF(G478="convert",Assumptions!$B$34,0)+IF(H478="convert",Assumptions!$B$33,0)</f>
        <v/>
      </c>
      <c r="K478">
        <f>(Assumptions!$B$46+Assumptions!$B$47+Assumptions!$B$48)+Assumptions!$B$49+(H467+I467)+J478</f>
        <v/>
      </c>
      <c r="L478">
        <f>(Assumptions!$B$13-I478+Assumptions!$B$31*Assumptions!$B$10)/(K478+Assumptions!$B$31)</f>
        <v/>
      </c>
      <c r="M478">
        <f>IF(L478&gt;Assumptions!$B$10,"yes","no")</f>
        <v/>
      </c>
      <c r="N478">
        <f>IF(M478="yes",L478,MAX(0,(Assumptions!$B$13-I478)/K478))</f>
        <v/>
      </c>
      <c r="O478">
        <f>IF(M478="yes",Assumptions!$B$31*(N478-Assumptions!$B$10),0)</f>
        <v/>
      </c>
    </row>
    <row r="479">
      <c r="A479" t="inlineStr">
        <is>
          <t>iter 7</t>
        </is>
      </c>
      <c r="B479">
        <f>IF(Assumptions!$B$4&gt;(Assumptions!$B$4/B467)*N478,"preference","convert")</f>
        <v/>
      </c>
      <c r="C479">
        <f>IF(Assumptions!$B$45&gt;(Assumptions!$B$39+F467)*N478,"preference","convert")</f>
        <v/>
      </c>
      <c r="D479">
        <f>IF(Assumptions!$B$44&gt;(Assumptions!$B$38+E467)*N478,"preference","convert")</f>
        <v/>
      </c>
      <c r="E479">
        <f>IF(Assumptions!$B$43&gt;Assumptions!$B$36*N478,"preference","convert")</f>
        <v/>
      </c>
      <c r="F479">
        <f>IF(Assumptions!$B$42&gt;Assumptions!$B$35*N478,"preference","convert")</f>
        <v/>
      </c>
      <c r="G479">
        <f>IF(Assumptions!$B$41&gt;Assumptions!$B$34*N478,"preference","convert")</f>
        <v/>
      </c>
      <c r="H479">
        <f>IF(Assumptions!$B$40&gt;Assumptions!$B$33*N478,"preference","convert")</f>
        <v/>
      </c>
      <c r="I479">
        <f>IF(B479="preference",Assumptions!$B$4,0)+IF(C479="preference",Assumptions!$B$45,0)+IF(D479="preference",Assumptions!$B$44,0)+IF(E479="preference",Assumptions!$B$43,0)+IF(F479="preference",Assumptions!$B$42,0)+IF(G479="preference",Assumptions!$B$41,0)+IF(H479="preference",Assumptions!$B$40,0)</f>
        <v/>
      </c>
      <c r="J479">
        <f>IF(B479="convert",(Assumptions!$B$4/B467),0)+IF(C479="convert",(Assumptions!$B$39+F467),0)+IF(D479="convert",(Assumptions!$B$38+E467),0)+IF(E479="convert",Assumptions!$B$36,0)+IF(F479="convert",Assumptions!$B$35,0)+IF(G479="convert",Assumptions!$B$34,0)+IF(H479="convert",Assumptions!$B$33,0)</f>
        <v/>
      </c>
      <c r="K479">
        <f>(Assumptions!$B$46+Assumptions!$B$47+Assumptions!$B$48)+Assumptions!$B$49+(H467+I467)+J479</f>
        <v/>
      </c>
      <c r="L479">
        <f>(Assumptions!$B$13-I479+Assumptions!$B$31*Assumptions!$B$10)/(K479+Assumptions!$B$31)</f>
        <v/>
      </c>
      <c r="M479">
        <f>IF(L479&gt;Assumptions!$B$10,"yes","no")</f>
        <v/>
      </c>
      <c r="N479">
        <f>IF(M479="yes",L479,MAX(0,(Assumptions!$B$13-I479)/K479))</f>
        <v/>
      </c>
      <c r="O479">
        <f>IF(M479="yes",Assumptions!$B$31*(N479-Assumptions!$B$10),0)</f>
        <v/>
      </c>
    </row>
    <row r="480">
      <c r="A480" t="inlineStr">
        <is>
          <t>iter 8</t>
        </is>
      </c>
      <c r="B480">
        <f>IF(Assumptions!$B$4&gt;(Assumptions!$B$4/B467)*N479,"preference","convert")</f>
        <v/>
      </c>
      <c r="C480">
        <f>IF(Assumptions!$B$45&gt;(Assumptions!$B$39+F467)*N479,"preference","convert")</f>
        <v/>
      </c>
      <c r="D480">
        <f>IF(Assumptions!$B$44&gt;(Assumptions!$B$38+E467)*N479,"preference","convert")</f>
        <v/>
      </c>
      <c r="E480">
        <f>IF(Assumptions!$B$43&gt;Assumptions!$B$36*N479,"preference","convert")</f>
        <v/>
      </c>
      <c r="F480">
        <f>IF(Assumptions!$B$42&gt;Assumptions!$B$35*N479,"preference","convert")</f>
        <v/>
      </c>
      <c r="G480">
        <f>IF(Assumptions!$B$41&gt;Assumptions!$B$34*N479,"preference","convert")</f>
        <v/>
      </c>
      <c r="H480">
        <f>IF(Assumptions!$B$40&gt;Assumptions!$B$33*N479,"preference","convert")</f>
        <v/>
      </c>
      <c r="I480">
        <f>IF(B480="preference",Assumptions!$B$4,0)+IF(C480="preference",Assumptions!$B$45,0)+IF(D480="preference",Assumptions!$B$44,0)+IF(E480="preference",Assumptions!$B$43,0)+IF(F480="preference",Assumptions!$B$42,0)+IF(G480="preference",Assumptions!$B$41,0)+IF(H480="preference",Assumptions!$B$40,0)</f>
        <v/>
      </c>
      <c r="J480">
        <f>IF(B480="convert",(Assumptions!$B$4/B467),0)+IF(C480="convert",(Assumptions!$B$39+F467),0)+IF(D480="convert",(Assumptions!$B$38+E467),0)+IF(E480="convert",Assumptions!$B$36,0)+IF(F480="convert",Assumptions!$B$35,0)+IF(G480="convert",Assumptions!$B$34,0)+IF(H480="convert",Assumptions!$B$33,0)</f>
        <v/>
      </c>
      <c r="K480">
        <f>(Assumptions!$B$46+Assumptions!$B$47+Assumptions!$B$48)+Assumptions!$B$49+(H467+I467)+J480</f>
        <v/>
      </c>
      <c r="L480">
        <f>(Assumptions!$B$13-I480+Assumptions!$B$31*Assumptions!$B$10)/(K480+Assumptions!$B$31)</f>
        <v/>
      </c>
      <c r="M480">
        <f>IF(L480&gt;Assumptions!$B$10,"yes","no")</f>
        <v/>
      </c>
      <c r="N480">
        <f>IF(M480="yes",L480,MAX(0,(Assumptions!$B$13-I480)/K480))</f>
        <v/>
      </c>
      <c r="O480">
        <f>IF(M480="yes",Assumptions!$B$31*(N480-Assumptions!$B$10),0)</f>
        <v/>
      </c>
    </row>
    <row r="481">
      <c r="A481" t="inlineStr">
        <is>
          <t>iter 9</t>
        </is>
      </c>
      <c r="B481">
        <f>IF(Assumptions!$B$4&gt;(Assumptions!$B$4/B467)*N480,"preference","convert")</f>
        <v/>
      </c>
      <c r="C481">
        <f>IF(Assumptions!$B$45&gt;(Assumptions!$B$39+F467)*N480,"preference","convert")</f>
        <v/>
      </c>
      <c r="D481">
        <f>IF(Assumptions!$B$44&gt;(Assumptions!$B$38+E467)*N480,"preference","convert")</f>
        <v/>
      </c>
      <c r="E481">
        <f>IF(Assumptions!$B$43&gt;Assumptions!$B$36*N480,"preference","convert")</f>
        <v/>
      </c>
      <c r="F481">
        <f>IF(Assumptions!$B$42&gt;Assumptions!$B$35*N480,"preference","convert")</f>
        <v/>
      </c>
      <c r="G481">
        <f>IF(Assumptions!$B$41&gt;Assumptions!$B$34*N480,"preference","convert")</f>
        <v/>
      </c>
      <c r="H481">
        <f>IF(Assumptions!$B$40&gt;Assumptions!$B$33*N480,"preference","convert")</f>
        <v/>
      </c>
      <c r="I481">
        <f>IF(B481="preference",Assumptions!$B$4,0)+IF(C481="preference",Assumptions!$B$45,0)+IF(D481="preference",Assumptions!$B$44,0)+IF(E481="preference",Assumptions!$B$43,0)+IF(F481="preference",Assumptions!$B$42,0)+IF(G481="preference",Assumptions!$B$41,0)+IF(H481="preference",Assumptions!$B$40,0)</f>
        <v/>
      </c>
      <c r="J481">
        <f>IF(B481="convert",(Assumptions!$B$4/B467),0)+IF(C481="convert",(Assumptions!$B$39+F467),0)+IF(D481="convert",(Assumptions!$B$38+E467),0)+IF(E481="convert",Assumptions!$B$36,0)+IF(F481="convert",Assumptions!$B$35,0)+IF(G481="convert",Assumptions!$B$34,0)+IF(H481="convert",Assumptions!$B$33,0)</f>
        <v/>
      </c>
      <c r="K481">
        <f>(Assumptions!$B$46+Assumptions!$B$47+Assumptions!$B$48)+Assumptions!$B$49+(H467+I467)+J481</f>
        <v/>
      </c>
      <c r="L481">
        <f>(Assumptions!$B$13-I481+Assumptions!$B$31*Assumptions!$B$10)/(K481+Assumptions!$B$31)</f>
        <v/>
      </c>
      <c r="M481">
        <f>IF(L481&gt;Assumptions!$B$10,"yes","no")</f>
        <v/>
      </c>
      <c r="N481">
        <f>IF(M481="yes",L481,MAX(0,(Assumptions!$B$13-I481)/K481))</f>
        <v/>
      </c>
      <c r="O481">
        <f>IF(M481="yes",Assumptions!$B$31*(N481-Assumptions!$B$10),0)</f>
        <v/>
      </c>
    </row>
    <row r="482">
      <c r="A482" t="inlineStr">
        <is>
          <t>iter 10</t>
        </is>
      </c>
      <c r="B482">
        <f>IF(Assumptions!$B$4&gt;(Assumptions!$B$4/B467)*N481,"preference","convert")</f>
        <v/>
      </c>
      <c r="C482">
        <f>IF(Assumptions!$B$45&gt;(Assumptions!$B$39+F467)*N481,"preference","convert")</f>
        <v/>
      </c>
      <c r="D482">
        <f>IF(Assumptions!$B$44&gt;(Assumptions!$B$38+E467)*N481,"preference","convert")</f>
        <v/>
      </c>
      <c r="E482">
        <f>IF(Assumptions!$B$43&gt;Assumptions!$B$36*N481,"preference","convert")</f>
        <v/>
      </c>
      <c r="F482">
        <f>IF(Assumptions!$B$42&gt;Assumptions!$B$35*N481,"preference","convert")</f>
        <v/>
      </c>
      <c r="G482">
        <f>IF(Assumptions!$B$41&gt;Assumptions!$B$34*N481,"preference","convert")</f>
        <v/>
      </c>
      <c r="H482">
        <f>IF(Assumptions!$B$40&gt;Assumptions!$B$33*N481,"preference","convert")</f>
        <v/>
      </c>
      <c r="I482">
        <f>IF(B482="preference",Assumptions!$B$4,0)+IF(C482="preference",Assumptions!$B$45,0)+IF(D482="preference",Assumptions!$B$44,0)+IF(E482="preference",Assumptions!$B$43,0)+IF(F482="preference",Assumptions!$B$42,0)+IF(G482="preference",Assumptions!$B$41,0)+IF(H482="preference",Assumptions!$B$40,0)</f>
        <v/>
      </c>
      <c r="J482">
        <f>IF(B482="convert",(Assumptions!$B$4/B467),0)+IF(C482="convert",(Assumptions!$B$39+F467),0)+IF(D482="convert",(Assumptions!$B$38+E467),0)+IF(E482="convert",Assumptions!$B$36,0)+IF(F482="convert",Assumptions!$B$35,0)+IF(G482="convert",Assumptions!$B$34,0)+IF(H482="convert",Assumptions!$B$33,0)</f>
        <v/>
      </c>
      <c r="K482">
        <f>(Assumptions!$B$46+Assumptions!$B$47+Assumptions!$B$48)+Assumptions!$B$49+(H467+I467)+J482</f>
        <v/>
      </c>
      <c r="L482">
        <f>(Assumptions!$B$13-I482+Assumptions!$B$31*Assumptions!$B$10)/(K482+Assumptions!$B$31)</f>
        <v/>
      </c>
      <c r="M482">
        <f>IF(L482&gt;Assumptions!$B$10,"yes","no")</f>
        <v/>
      </c>
      <c r="N482">
        <f>IF(M482="yes",L482,MAX(0,(Assumptions!$B$13-I482)/K482))</f>
        <v/>
      </c>
      <c r="O482">
        <f>IF(M482="yes",Assumptions!$B$31*(N482-Assumptions!$B$10),0)</f>
        <v/>
      </c>
    </row>
    <row r="483">
      <c r="A483" t="inlineStr">
        <is>
          <t>iter 11</t>
        </is>
      </c>
      <c r="B483">
        <f>IF(Assumptions!$B$4&gt;(Assumptions!$B$4/B467)*N482,"preference","convert")</f>
        <v/>
      </c>
      <c r="C483">
        <f>IF(Assumptions!$B$45&gt;(Assumptions!$B$39+F467)*N482,"preference","convert")</f>
        <v/>
      </c>
      <c r="D483">
        <f>IF(Assumptions!$B$44&gt;(Assumptions!$B$38+E467)*N482,"preference","convert")</f>
        <v/>
      </c>
      <c r="E483">
        <f>IF(Assumptions!$B$43&gt;Assumptions!$B$36*N482,"preference","convert")</f>
        <v/>
      </c>
      <c r="F483">
        <f>IF(Assumptions!$B$42&gt;Assumptions!$B$35*N482,"preference","convert")</f>
        <v/>
      </c>
      <c r="G483">
        <f>IF(Assumptions!$B$41&gt;Assumptions!$B$34*N482,"preference","convert")</f>
        <v/>
      </c>
      <c r="H483">
        <f>IF(Assumptions!$B$40&gt;Assumptions!$B$33*N482,"preference","convert")</f>
        <v/>
      </c>
      <c r="I483">
        <f>IF(B483="preference",Assumptions!$B$4,0)+IF(C483="preference",Assumptions!$B$45,0)+IF(D483="preference",Assumptions!$B$44,0)+IF(E483="preference",Assumptions!$B$43,0)+IF(F483="preference",Assumptions!$B$42,0)+IF(G483="preference",Assumptions!$B$41,0)+IF(H483="preference",Assumptions!$B$40,0)</f>
        <v/>
      </c>
      <c r="J483">
        <f>IF(B483="convert",(Assumptions!$B$4/B467),0)+IF(C483="convert",(Assumptions!$B$39+F467),0)+IF(D483="convert",(Assumptions!$B$38+E467),0)+IF(E483="convert",Assumptions!$B$36,0)+IF(F483="convert",Assumptions!$B$35,0)+IF(G483="convert",Assumptions!$B$34,0)+IF(H483="convert",Assumptions!$B$33,0)</f>
        <v/>
      </c>
      <c r="K483">
        <f>(Assumptions!$B$46+Assumptions!$B$47+Assumptions!$B$48)+Assumptions!$B$49+(H467+I467)+J483</f>
        <v/>
      </c>
      <c r="L483">
        <f>(Assumptions!$B$13-I483+Assumptions!$B$31*Assumptions!$B$10)/(K483+Assumptions!$B$31)</f>
        <v/>
      </c>
      <c r="M483">
        <f>IF(L483&gt;Assumptions!$B$10,"yes","no")</f>
        <v/>
      </c>
      <c r="N483">
        <f>IF(M483="yes",L483,MAX(0,(Assumptions!$B$13-I483)/K483))</f>
        <v/>
      </c>
      <c r="O483">
        <f>IF(M483="yes",Assumptions!$B$31*(N483-Assumptions!$B$10),0)</f>
        <v/>
      </c>
    </row>
    <row r="484">
      <c r="A484" t="inlineStr">
        <is>
          <t>iter 12</t>
        </is>
      </c>
      <c r="B484">
        <f>IF(Assumptions!$B$4&gt;(Assumptions!$B$4/B467)*N483,"preference","convert")</f>
        <v/>
      </c>
      <c r="C484">
        <f>IF(Assumptions!$B$45&gt;(Assumptions!$B$39+F467)*N483,"preference","convert")</f>
        <v/>
      </c>
      <c r="D484">
        <f>IF(Assumptions!$B$44&gt;(Assumptions!$B$38+E467)*N483,"preference","convert")</f>
        <v/>
      </c>
      <c r="E484">
        <f>IF(Assumptions!$B$43&gt;Assumptions!$B$36*N483,"preference","convert")</f>
        <v/>
      </c>
      <c r="F484">
        <f>IF(Assumptions!$B$42&gt;Assumptions!$B$35*N483,"preference","convert")</f>
        <v/>
      </c>
      <c r="G484">
        <f>IF(Assumptions!$B$41&gt;Assumptions!$B$34*N483,"preference","convert")</f>
        <v/>
      </c>
      <c r="H484">
        <f>IF(Assumptions!$B$40&gt;Assumptions!$B$33*N483,"preference","convert")</f>
        <v/>
      </c>
      <c r="I484">
        <f>IF(B484="preference",Assumptions!$B$4,0)+IF(C484="preference",Assumptions!$B$45,0)+IF(D484="preference",Assumptions!$B$44,0)+IF(E484="preference",Assumptions!$B$43,0)+IF(F484="preference",Assumptions!$B$42,0)+IF(G484="preference",Assumptions!$B$41,0)+IF(H484="preference",Assumptions!$B$40,0)</f>
        <v/>
      </c>
      <c r="J484">
        <f>IF(B484="convert",(Assumptions!$B$4/B467),0)+IF(C484="convert",(Assumptions!$B$39+F467),0)+IF(D484="convert",(Assumptions!$B$38+E467),0)+IF(E484="convert",Assumptions!$B$36,0)+IF(F484="convert",Assumptions!$B$35,0)+IF(G484="convert",Assumptions!$B$34,0)+IF(H484="convert",Assumptions!$B$33,0)</f>
        <v/>
      </c>
      <c r="K484">
        <f>(Assumptions!$B$46+Assumptions!$B$47+Assumptions!$B$48)+Assumptions!$B$49+(H467+I467)+J484</f>
        <v/>
      </c>
      <c r="L484">
        <f>(Assumptions!$B$13-I484+Assumptions!$B$31*Assumptions!$B$10)/(K484+Assumptions!$B$31)</f>
        <v/>
      </c>
      <c r="M484">
        <f>IF(L484&gt;Assumptions!$B$10,"yes","no")</f>
        <v/>
      </c>
      <c r="N484">
        <f>IF(M484="yes",L484,MAX(0,(Assumptions!$B$13-I484)/K484))</f>
        <v/>
      </c>
      <c r="O484">
        <f>IF(M484="yes",Assumptions!$B$31*(N484-Assumptions!$B$10),0)</f>
        <v/>
      </c>
    </row>
    <row r="485">
      <c r="A485" t="inlineStr">
        <is>
          <t>iter 13</t>
        </is>
      </c>
      <c r="B485">
        <f>IF(Assumptions!$B$4&gt;(Assumptions!$B$4/B467)*N484,"preference","convert")</f>
        <v/>
      </c>
      <c r="C485">
        <f>IF(Assumptions!$B$45&gt;(Assumptions!$B$39+F467)*N484,"preference","convert")</f>
        <v/>
      </c>
      <c r="D485">
        <f>IF(Assumptions!$B$44&gt;(Assumptions!$B$38+E467)*N484,"preference","convert")</f>
        <v/>
      </c>
      <c r="E485">
        <f>IF(Assumptions!$B$43&gt;Assumptions!$B$36*N484,"preference","convert")</f>
        <v/>
      </c>
      <c r="F485">
        <f>IF(Assumptions!$B$42&gt;Assumptions!$B$35*N484,"preference","convert")</f>
        <v/>
      </c>
      <c r="G485">
        <f>IF(Assumptions!$B$41&gt;Assumptions!$B$34*N484,"preference","convert")</f>
        <v/>
      </c>
      <c r="H485">
        <f>IF(Assumptions!$B$40&gt;Assumptions!$B$33*N484,"preference","convert")</f>
        <v/>
      </c>
      <c r="I485">
        <f>IF(B485="preference",Assumptions!$B$4,0)+IF(C485="preference",Assumptions!$B$45,0)+IF(D485="preference",Assumptions!$B$44,0)+IF(E485="preference",Assumptions!$B$43,0)+IF(F485="preference",Assumptions!$B$42,0)+IF(G485="preference",Assumptions!$B$41,0)+IF(H485="preference",Assumptions!$B$40,0)</f>
        <v/>
      </c>
      <c r="J485">
        <f>IF(B485="convert",(Assumptions!$B$4/B467),0)+IF(C485="convert",(Assumptions!$B$39+F467),0)+IF(D485="convert",(Assumptions!$B$38+E467),0)+IF(E485="convert",Assumptions!$B$36,0)+IF(F485="convert",Assumptions!$B$35,0)+IF(G485="convert",Assumptions!$B$34,0)+IF(H485="convert",Assumptions!$B$33,0)</f>
        <v/>
      </c>
      <c r="K485">
        <f>(Assumptions!$B$46+Assumptions!$B$47+Assumptions!$B$48)+Assumptions!$B$49+(H467+I467)+J485</f>
        <v/>
      </c>
      <c r="L485">
        <f>(Assumptions!$B$13-I485+Assumptions!$B$31*Assumptions!$B$10)/(K485+Assumptions!$B$31)</f>
        <v/>
      </c>
      <c r="M485">
        <f>IF(L485&gt;Assumptions!$B$10,"yes","no")</f>
        <v/>
      </c>
      <c r="N485">
        <f>IF(M485="yes",L485,MAX(0,(Assumptions!$B$13-I485)/K485))</f>
        <v/>
      </c>
      <c r="O485">
        <f>IF(M485="yes",Assumptions!$B$31*(N485-Assumptions!$B$10),0)</f>
        <v/>
      </c>
    </row>
    <row r="486">
      <c r="A486" t="inlineStr">
        <is>
          <t>iter 14</t>
        </is>
      </c>
      <c r="B486">
        <f>IF(Assumptions!$B$4&gt;(Assumptions!$B$4/B467)*N485,"preference","convert")</f>
        <v/>
      </c>
      <c r="C486">
        <f>IF(Assumptions!$B$45&gt;(Assumptions!$B$39+F467)*N485,"preference","convert")</f>
        <v/>
      </c>
      <c r="D486">
        <f>IF(Assumptions!$B$44&gt;(Assumptions!$B$38+E467)*N485,"preference","convert")</f>
        <v/>
      </c>
      <c r="E486">
        <f>IF(Assumptions!$B$43&gt;Assumptions!$B$36*N485,"preference","convert")</f>
        <v/>
      </c>
      <c r="F486">
        <f>IF(Assumptions!$B$42&gt;Assumptions!$B$35*N485,"preference","convert")</f>
        <v/>
      </c>
      <c r="G486">
        <f>IF(Assumptions!$B$41&gt;Assumptions!$B$34*N485,"preference","convert")</f>
        <v/>
      </c>
      <c r="H486">
        <f>IF(Assumptions!$B$40&gt;Assumptions!$B$33*N485,"preference","convert")</f>
        <v/>
      </c>
      <c r="I486">
        <f>IF(B486="preference",Assumptions!$B$4,0)+IF(C486="preference",Assumptions!$B$45,0)+IF(D486="preference",Assumptions!$B$44,0)+IF(E486="preference",Assumptions!$B$43,0)+IF(F486="preference",Assumptions!$B$42,0)+IF(G486="preference",Assumptions!$B$41,0)+IF(H486="preference",Assumptions!$B$40,0)</f>
        <v/>
      </c>
      <c r="J486">
        <f>IF(B486="convert",(Assumptions!$B$4/B467),0)+IF(C486="convert",(Assumptions!$B$39+F467),0)+IF(D486="convert",(Assumptions!$B$38+E467),0)+IF(E486="convert",Assumptions!$B$36,0)+IF(F486="convert",Assumptions!$B$35,0)+IF(G486="convert",Assumptions!$B$34,0)+IF(H486="convert",Assumptions!$B$33,0)</f>
        <v/>
      </c>
      <c r="K486">
        <f>(Assumptions!$B$46+Assumptions!$B$47+Assumptions!$B$48)+Assumptions!$B$49+(H467+I467)+J486</f>
        <v/>
      </c>
      <c r="L486">
        <f>(Assumptions!$B$13-I486+Assumptions!$B$31*Assumptions!$B$10)/(K486+Assumptions!$B$31)</f>
        <v/>
      </c>
      <c r="M486">
        <f>IF(L486&gt;Assumptions!$B$10,"yes","no")</f>
        <v/>
      </c>
      <c r="N486">
        <f>IF(M486="yes",L486,MAX(0,(Assumptions!$B$13-I486)/K486))</f>
        <v/>
      </c>
      <c r="O486">
        <f>IF(M486="yes",Assumptions!$B$31*(N486-Assumptions!$B$10),0)</f>
        <v/>
      </c>
    </row>
    <row r="487">
      <c r="A487" t="inlineStr">
        <is>
          <t>iter 15</t>
        </is>
      </c>
      <c r="B487">
        <f>IF(Assumptions!$B$4&gt;(Assumptions!$B$4/B467)*N486,"preference","convert")</f>
        <v/>
      </c>
      <c r="C487">
        <f>IF(Assumptions!$B$45&gt;(Assumptions!$B$39+F467)*N486,"preference","convert")</f>
        <v/>
      </c>
      <c r="D487">
        <f>IF(Assumptions!$B$44&gt;(Assumptions!$B$38+E467)*N486,"preference","convert")</f>
        <v/>
      </c>
      <c r="E487">
        <f>IF(Assumptions!$B$43&gt;Assumptions!$B$36*N486,"preference","convert")</f>
        <v/>
      </c>
      <c r="F487">
        <f>IF(Assumptions!$B$42&gt;Assumptions!$B$35*N486,"preference","convert")</f>
        <v/>
      </c>
      <c r="G487">
        <f>IF(Assumptions!$B$41&gt;Assumptions!$B$34*N486,"preference","convert")</f>
        <v/>
      </c>
      <c r="H487">
        <f>IF(Assumptions!$B$40&gt;Assumptions!$B$33*N486,"preference","convert")</f>
        <v/>
      </c>
      <c r="I487">
        <f>IF(B487="preference",Assumptions!$B$4,0)+IF(C487="preference",Assumptions!$B$45,0)+IF(D487="preference",Assumptions!$B$44,0)+IF(E487="preference",Assumptions!$B$43,0)+IF(F487="preference",Assumptions!$B$42,0)+IF(G487="preference",Assumptions!$B$41,0)+IF(H487="preference",Assumptions!$B$40,0)</f>
        <v/>
      </c>
      <c r="J487">
        <f>IF(B487="convert",(Assumptions!$B$4/B467),0)+IF(C487="convert",(Assumptions!$B$39+F467),0)+IF(D487="convert",(Assumptions!$B$38+E467),0)+IF(E487="convert",Assumptions!$B$36,0)+IF(F487="convert",Assumptions!$B$35,0)+IF(G487="convert",Assumptions!$B$34,0)+IF(H487="convert",Assumptions!$B$33,0)</f>
        <v/>
      </c>
      <c r="K487">
        <f>(Assumptions!$B$46+Assumptions!$B$47+Assumptions!$B$48)+Assumptions!$B$49+(H467+I467)+J487</f>
        <v/>
      </c>
      <c r="L487">
        <f>(Assumptions!$B$13-I487+Assumptions!$B$31*Assumptions!$B$10)/(K487+Assumptions!$B$31)</f>
        <v/>
      </c>
      <c r="M487">
        <f>IF(L487&gt;Assumptions!$B$10,"yes","no")</f>
        <v/>
      </c>
      <c r="N487">
        <f>IF(M487="yes",L487,MAX(0,(Assumptions!$B$13-I487)/K487))</f>
        <v/>
      </c>
      <c r="O487">
        <f>IF(M487="yes",Assumptions!$B$31*(N487-Assumptions!$B$10),0)</f>
        <v/>
      </c>
    </row>
    <row r="488">
      <c r="A488" t="inlineStr">
        <is>
          <t>iter 16</t>
        </is>
      </c>
      <c r="B488">
        <f>IF(Assumptions!$B$4&gt;(Assumptions!$B$4/B467)*N487,"preference","convert")</f>
        <v/>
      </c>
      <c r="C488">
        <f>IF(Assumptions!$B$45&gt;(Assumptions!$B$39+F467)*N487,"preference","convert")</f>
        <v/>
      </c>
      <c r="D488">
        <f>IF(Assumptions!$B$44&gt;(Assumptions!$B$38+E467)*N487,"preference","convert")</f>
        <v/>
      </c>
      <c r="E488">
        <f>IF(Assumptions!$B$43&gt;Assumptions!$B$36*N487,"preference","convert")</f>
        <v/>
      </c>
      <c r="F488">
        <f>IF(Assumptions!$B$42&gt;Assumptions!$B$35*N487,"preference","convert")</f>
        <v/>
      </c>
      <c r="G488">
        <f>IF(Assumptions!$B$41&gt;Assumptions!$B$34*N487,"preference","convert")</f>
        <v/>
      </c>
      <c r="H488">
        <f>IF(Assumptions!$B$40&gt;Assumptions!$B$33*N487,"preference","convert")</f>
        <v/>
      </c>
      <c r="I488">
        <f>IF(B488="preference",Assumptions!$B$4,0)+IF(C488="preference",Assumptions!$B$45,0)+IF(D488="preference",Assumptions!$B$44,0)+IF(E488="preference",Assumptions!$B$43,0)+IF(F488="preference",Assumptions!$B$42,0)+IF(G488="preference",Assumptions!$B$41,0)+IF(H488="preference",Assumptions!$B$40,0)</f>
        <v/>
      </c>
      <c r="J488">
        <f>IF(B488="convert",(Assumptions!$B$4/B467),0)+IF(C488="convert",(Assumptions!$B$39+F467),0)+IF(D488="convert",(Assumptions!$B$38+E467),0)+IF(E488="convert",Assumptions!$B$36,0)+IF(F488="convert",Assumptions!$B$35,0)+IF(G488="convert",Assumptions!$B$34,0)+IF(H488="convert",Assumptions!$B$33,0)</f>
        <v/>
      </c>
      <c r="K488">
        <f>(Assumptions!$B$46+Assumptions!$B$47+Assumptions!$B$48)+Assumptions!$B$49+(H467+I467)+J488</f>
        <v/>
      </c>
      <c r="L488">
        <f>(Assumptions!$B$13-I488+Assumptions!$B$31*Assumptions!$B$10)/(K488+Assumptions!$B$31)</f>
        <v/>
      </c>
      <c r="M488">
        <f>IF(L488&gt;Assumptions!$B$10,"yes","no")</f>
        <v/>
      </c>
      <c r="N488">
        <f>IF(M488="yes",L488,MAX(0,(Assumptions!$B$13-I488)/K488))</f>
        <v/>
      </c>
      <c r="O488">
        <f>IF(M488="yes",Assumptions!$B$31*(N488-Assumptions!$B$10),0)</f>
        <v/>
      </c>
    </row>
    <row r="489">
      <c r="A489" t="inlineStr">
        <is>
          <t>iter 17</t>
        </is>
      </c>
      <c r="B489">
        <f>IF(Assumptions!$B$4&gt;(Assumptions!$B$4/B467)*N488,"preference","convert")</f>
        <v/>
      </c>
      <c r="C489">
        <f>IF(Assumptions!$B$45&gt;(Assumptions!$B$39+F467)*N488,"preference","convert")</f>
        <v/>
      </c>
      <c r="D489">
        <f>IF(Assumptions!$B$44&gt;(Assumptions!$B$38+E467)*N488,"preference","convert")</f>
        <v/>
      </c>
      <c r="E489">
        <f>IF(Assumptions!$B$43&gt;Assumptions!$B$36*N488,"preference","convert")</f>
        <v/>
      </c>
      <c r="F489">
        <f>IF(Assumptions!$B$42&gt;Assumptions!$B$35*N488,"preference","convert")</f>
        <v/>
      </c>
      <c r="G489">
        <f>IF(Assumptions!$B$41&gt;Assumptions!$B$34*N488,"preference","convert")</f>
        <v/>
      </c>
      <c r="H489">
        <f>IF(Assumptions!$B$40&gt;Assumptions!$B$33*N488,"preference","convert")</f>
        <v/>
      </c>
      <c r="I489">
        <f>IF(B489="preference",Assumptions!$B$4,0)+IF(C489="preference",Assumptions!$B$45,0)+IF(D489="preference",Assumptions!$B$44,0)+IF(E489="preference",Assumptions!$B$43,0)+IF(F489="preference",Assumptions!$B$42,0)+IF(G489="preference",Assumptions!$B$41,0)+IF(H489="preference",Assumptions!$B$40,0)</f>
        <v/>
      </c>
      <c r="J489">
        <f>IF(B489="convert",(Assumptions!$B$4/B467),0)+IF(C489="convert",(Assumptions!$B$39+F467),0)+IF(D489="convert",(Assumptions!$B$38+E467),0)+IF(E489="convert",Assumptions!$B$36,0)+IF(F489="convert",Assumptions!$B$35,0)+IF(G489="convert",Assumptions!$B$34,0)+IF(H489="convert",Assumptions!$B$33,0)</f>
        <v/>
      </c>
      <c r="K489">
        <f>(Assumptions!$B$46+Assumptions!$B$47+Assumptions!$B$48)+Assumptions!$B$49+(H467+I467)+J489</f>
        <v/>
      </c>
      <c r="L489">
        <f>(Assumptions!$B$13-I489+Assumptions!$B$31*Assumptions!$B$10)/(K489+Assumptions!$B$31)</f>
        <v/>
      </c>
      <c r="M489">
        <f>IF(L489&gt;Assumptions!$B$10,"yes","no")</f>
        <v/>
      </c>
      <c r="N489">
        <f>IF(M489="yes",L489,MAX(0,(Assumptions!$B$13-I489)/K489))</f>
        <v/>
      </c>
      <c r="O489">
        <f>IF(M489="yes",Assumptions!$B$31*(N489-Assumptions!$B$10),0)</f>
        <v/>
      </c>
    </row>
    <row r="490">
      <c r="A490" t="inlineStr">
        <is>
          <t>iter 18</t>
        </is>
      </c>
      <c r="B490">
        <f>IF(Assumptions!$B$4&gt;(Assumptions!$B$4/B467)*N489,"preference","convert")</f>
        <v/>
      </c>
      <c r="C490">
        <f>IF(Assumptions!$B$45&gt;(Assumptions!$B$39+F467)*N489,"preference","convert")</f>
        <v/>
      </c>
      <c r="D490">
        <f>IF(Assumptions!$B$44&gt;(Assumptions!$B$38+E467)*N489,"preference","convert")</f>
        <v/>
      </c>
      <c r="E490">
        <f>IF(Assumptions!$B$43&gt;Assumptions!$B$36*N489,"preference","convert")</f>
        <v/>
      </c>
      <c r="F490">
        <f>IF(Assumptions!$B$42&gt;Assumptions!$B$35*N489,"preference","convert")</f>
        <v/>
      </c>
      <c r="G490">
        <f>IF(Assumptions!$B$41&gt;Assumptions!$B$34*N489,"preference","convert")</f>
        <v/>
      </c>
      <c r="H490">
        <f>IF(Assumptions!$B$40&gt;Assumptions!$B$33*N489,"preference","convert")</f>
        <v/>
      </c>
      <c r="I490">
        <f>IF(B490="preference",Assumptions!$B$4,0)+IF(C490="preference",Assumptions!$B$45,0)+IF(D490="preference",Assumptions!$B$44,0)+IF(E490="preference",Assumptions!$B$43,0)+IF(F490="preference",Assumptions!$B$42,0)+IF(G490="preference",Assumptions!$B$41,0)+IF(H490="preference",Assumptions!$B$40,0)</f>
        <v/>
      </c>
      <c r="J490">
        <f>IF(B490="convert",(Assumptions!$B$4/B467),0)+IF(C490="convert",(Assumptions!$B$39+F467),0)+IF(D490="convert",(Assumptions!$B$38+E467),0)+IF(E490="convert",Assumptions!$B$36,0)+IF(F490="convert",Assumptions!$B$35,0)+IF(G490="convert",Assumptions!$B$34,0)+IF(H490="convert",Assumptions!$B$33,0)</f>
        <v/>
      </c>
      <c r="K490">
        <f>(Assumptions!$B$46+Assumptions!$B$47+Assumptions!$B$48)+Assumptions!$B$49+(H467+I467)+J490</f>
        <v/>
      </c>
      <c r="L490">
        <f>(Assumptions!$B$13-I490+Assumptions!$B$31*Assumptions!$B$10)/(K490+Assumptions!$B$31)</f>
        <v/>
      </c>
      <c r="M490">
        <f>IF(L490&gt;Assumptions!$B$10,"yes","no")</f>
        <v/>
      </c>
      <c r="N490">
        <f>IF(M490="yes",L490,MAX(0,(Assumptions!$B$13-I490)/K490))</f>
        <v/>
      </c>
      <c r="O490">
        <f>IF(M490="yes",Assumptions!$B$31*(N490-Assumptions!$B$10),0)</f>
        <v/>
      </c>
    </row>
    <row r="491">
      <c r="A491" t="inlineStr">
        <is>
          <t>iter 19</t>
        </is>
      </c>
      <c r="B491">
        <f>IF(Assumptions!$B$4&gt;(Assumptions!$B$4/B467)*N490,"preference","convert")</f>
        <v/>
      </c>
      <c r="C491">
        <f>IF(Assumptions!$B$45&gt;(Assumptions!$B$39+F467)*N490,"preference","convert")</f>
        <v/>
      </c>
      <c r="D491">
        <f>IF(Assumptions!$B$44&gt;(Assumptions!$B$38+E467)*N490,"preference","convert")</f>
        <v/>
      </c>
      <c r="E491">
        <f>IF(Assumptions!$B$43&gt;Assumptions!$B$36*N490,"preference","convert")</f>
        <v/>
      </c>
      <c r="F491">
        <f>IF(Assumptions!$B$42&gt;Assumptions!$B$35*N490,"preference","convert")</f>
        <v/>
      </c>
      <c r="G491">
        <f>IF(Assumptions!$B$41&gt;Assumptions!$B$34*N490,"preference","convert")</f>
        <v/>
      </c>
      <c r="H491">
        <f>IF(Assumptions!$B$40&gt;Assumptions!$B$33*N490,"preference","convert")</f>
        <v/>
      </c>
      <c r="I491">
        <f>IF(B491="preference",Assumptions!$B$4,0)+IF(C491="preference",Assumptions!$B$45,0)+IF(D491="preference",Assumptions!$B$44,0)+IF(E491="preference",Assumptions!$B$43,0)+IF(F491="preference",Assumptions!$B$42,0)+IF(G491="preference",Assumptions!$B$41,0)+IF(H491="preference",Assumptions!$B$40,0)</f>
        <v/>
      </c>
      <c r="J491">
        <f>IF(B491="convert",(Assumptions!$B$4/B467),0)+IF(C491="convert",(Assumptions!$B$39+F467),0)+IF(D491="convert",(Assumptions!$B$38+E467),0)+IF(E491="convert",Assumptions!$B$36,0)+IF(F491="convert",Assumptions!$B$35,0)+IF(G491="convert",Assumptions!$B$34,0)+IF(H491="convert",Assumptions!$B$33,0)</f>
        <v/>
      </c>
      <c r="K491">
        <f>(Assumptions!$B$46+Assumptions!$B$47+Assumptions!$B$48)+Assumptions!$B$49+(H467+I467)+J491</f>
        <v/>
      </c>
      <c r="L491">
        <f>(Assumptions!$B$13-I491+Assumptions!$B$31*Assumptions!$B$10)/(K491+Assumptions!$B$31)</f>
        <v/>
      </c>
      <c r="M491">
        <f>IF(L491&gt;Assumptions!$B$10,"yes","no")</f>
        <v/>
      </c>
      <c r="N491">
        <f>IF(M491="yes",L491,MAX(0,(Assumptions!$B$13-I491)/K491))</f>
        <v/>
      </c>
      <c r="O491">
        <f>IF(M491="yes",Assumptions!$B$31*(N491-Assumptions!$B$10),0)</f>
        <v/>
      </c>
    </row>
    <row r="492">
      <c r="A492" t="inlineStr">
        <is>
          <t>iter 20</t>
        </is>
      </c>
      <c r="B492">
        <f>IF(Assumptions!$B$4&gt;(Assumptions!$B$4/B467)*N491,"preference","convert")</f>
        <v/>
      </c>
      <c r="C492">
        <f>IF(Assumptions!$B$45&gt;(Assumptions!$B$39+F467)*N491,"preference","convert")</f>
        <v/>
      </c>
      <c r="D492">
        <f>IF(Assumptions!$B$44&gt;(Assumptions!$B$38+E467)*N491,"preference","convert")</f>
        <v/>
      </c>
      <c r="E492">
        <f>IF(Assumptions!$B$43&gt;Assumptions!$B$36*N491,"preference","convert")</f>
        <v/>
      </c>
      <c r="F492">
        <f>IF(Assumptions!$B$42&gt;Assumptions!$B$35*N491,"preference","convert")</f>
        <v/>
      </c>
      <c r="G492">
        <f>IF(Assumptions!$B$41&gt;Assumptions!$B$34*N491,"preference","convert")</f>
        <v/>
      </c>
      <c r="H492">
        <f>IF(Assumptions!$B$40&gt;Assumptions!$B$33*N491,"preference","convert")</f>
        <v/>
      </c>
      <c r="I492">
        <f>IF(B492="preference",Assumptions!$B$4,0)+IF(C492="preference",Assumptions!$B$45,0)+IF(D492="preference",Assumptions!$B$44,0)+IF(E492="preference",Assumptions!$B$43,0)+IF(F492="preference",Assumptions!$B$42,0)+IF(G492="preference",Assumptions!$B$41,0)+IF(H492="preference",Assumptions!$B$40,0)</f>
        <v/>
      </c>
      <c r="J492">
        <f>IF(B492="convert",(Assumptions!$B$4/B467),0)+IF(C492="convert",(Assumptions!$B$39+F467),0)+IF(D492="convert",(Assumptions!$B$38+E467),0)+IF(E492="convert",Assumptions!$B$36,0)+IF(F492="convert",Assumptions!$B$35,0)+IF(G492="convert",Assumptions!$B$34,0)+IF(H492="convert",Assumptions!$B$33,0)</f>
        <v/>
      </c>
      <c r="K492">
        <f>(Assumptions!$B$46+Assumptions!$B$47+Assumptions!$B$48)+Assumptions!$B$49+(H467+I467)+J492</f>
        <v/>
      </c>
      <c r="L492">
        <f>(Assumptions!$B$13-I492+Assumptions!$B$31*Assumptions!$B$10)/(K492+Assumptions!$B$31)</f>
        <v/>
      </c>
      <c r="M492">
        <f>IF(L492&gt;Assumptions!$B$10,"yes","no")</f>
        <v/>
      </c>
      <c r="N492">
        <f>IF(M492="yes",L492,MAX(0,(Assumptions!$B$13-I492)/K492))</f>
        <v/>
      </c>
      <c r="O492">
        <f>IF(M492="yes",Assumptions!$B$31*(N492-Assumptions!$B$10),0)</f>
        <v/>
      </c>
    </row>
    <row r="493">
      <c r="A493" t="inlineStr">
        <is>
          <t>iter 21</t>
        </is>
      </c>
      <c r="B493">
        <f>IF(Assumptions!$B$4&gt;(Assumptions!$B$4/B467)*N492,"preference","convert")</f>
        <v/>
      </c>
      <c r="C493">
        <f>IF(Assumptions!$B$45&gt;(Assumptions!$B$39+F467)*N492,"preference","convert")</f>
        <v/>
      </c>
      <c r="D493">
        <f>IF(Assumptions!$B$44&gt;(Assumptions!$B$38+E467)*N492,"preference","convert")</f>
        <v/>
      </c>
      <c r="E493">
        <f>IF(Assumptions!$B$43&gt;Assumptions!$B$36*N492,"preference","convert")</f>
        <v/>
      </c>
      <c r="F493">
        <f>IF(Assumptions!$B$42&gt;Assumptions!$B$35*N492,"preference","convert")</f>
        <v/>
      </c>
      <c r="G493">
        <f>IF(Assumptions!$B$41&gt;Assumptions!$B$34*N492,"preference","convert")</f>
        <v/>
      </c>
      <c r="H493">
        <f>IF(Assumptions!$B$40&gt;Assumptions!$B$33*N492,"preference","convert")</f>
        <v/>
      </c>
      <c r="I493">
        <f>IF(B493="preference",Assumptions!$B$4,0)+IF(C493="preference",Assumptions!$B$45,0)+IF(D493="preference",Assumptions!$B$44,0)+IF(E493="preference",Assumptions!$B$43,0)+IF(F493="preference",Assumptions!$B$42,0)+IF(G493="preference",Assumptions!$B$41,0)+IF(H493="preference",Assumptions!$B$40,0)</f>
        <v/>
      </c>
      <c r="J493">
        <f>IF(B493="convert",(Assumptions!$B$4/B467),0)+IF(C493="convert",(Assumptions!$B$39+F467),0)+IF(D493="convert",(Assumptions!$B$38+E467),0)+IF(E493="convert",Assumptions!$B$36,0)+IF(F493="convert",Assumptions!$B$35,0)+IF(G493="convert",Assumptions!$B$34,0)+IF(H493="convert",Assumptions!$B$33,0)</f>
        <v/>
      </c>
      <c r="K493">
        <f>(Assumptions!$B$46+Assumptions!$B$47+Assumptions!$B$48)+Assumptions!$B$49+(H467+I467)+J493</f>
        <v/>
      </c>
      <c r="L493">
        <f>(Assumptions!$B$13-I493+Assumptions!$B$31*Assumptions!$B$10)/(K493+Assumptions!$B$31)</f>
        <v/>
      </c>
      <c r="M493">
        <f>IF(L493&gt;Assumptions!$B$10,"yes","no")</f>
        <v/>
      </c>
      <c r="N493">
        <f>IF(M493="yes",L493,MAX(0,(Assumptions!$B$13-I493)/K493))</f>
        <v/>
      </c>
      <c r="O493">
        <f>IF(M493="yes",Assumptions!$B$31*(N493-Assumptions!$B$10),0)</f>
        <v/>
      </c>
    </row>
    <row r="494">
      <c r="A494" t="inlineStr">
        <is>
          <t>iter 22</t>
        </is>
      </c>
      <c r="B494">
        <f>IF(Assumptions!$B$4&gt;(Assumptions!$B$4/B467)*N493,"preference","convert")</f>
        <v/>
      </c>
      <c r="C494">
        <f>IF(Assumptions!$B$45&gt;(Assumptions!$B$39+F467)*N493,"preference","convert")</f>
        <v/>
      </c>
      <c r="D494">
        <f>IF(Assumptions!$B$44&gt;(Assumptions!$B$38+E467)*N493,"preference","convert")</f>
        <v/>
      </c>
      <c r="E494">
        <f>IF(Assumptions!$B$43&gt;Assumptions!$B$36*N493,"preference","convert")</f>
        <v/>
      </c>
      <c r="F494">
        <f>IF(Assumptions!$B$42&gt;Assumptions!$B$35*N493,"preference","convert")</f>
        <v/>
      </c>
      <c r="G494">
        <f>IF(Assumptions!$B$41&gt;Assumptions!$B$34*N493,"preference","convert")</f>
        <v/>
      </c>
      <c r="H494">
        <f>IF(Assumptions!$B$40&gt;Assumptions!$B$33*N493,"preference","convert")</f>
        <v/>
      </c>
      <c r="I494">
        <f>IF(B494="preference",Assumptions!$B$4,0)+IF(C494="preference",Assumptions!$B$45,0)+IF(D494="preference",Assumptions!$B$44,0)+IF(E494="preference",Assumptions!$B$43,0)+IF(F494="preference",Assumptions!$B$42,0)+IF(G494="preference",Assumptions!$B$41,0)+IF(H494="preference",Assumptions!$B$40,0)</f>
        <v/>
      </c>
      <c r="J494">
        <f>IF(B494="convert",(Assumptions!$B$4/B467),0)+IF(C494="convert",(Assumptions!$B$39+F467),0)+IF(D494="convert",(Assumptions!$B$38+E467),0)+IF(E494="convert",Assumptions!$B$36,0)+IF(F494="convert",Assumptions!$B$35,0)+IF(G494="convert",Assumptions!$B$34,0)+IF(H494="convert",Assumptions!$B$33,0)</f>
        <v/>
      </c>
      <c r="K494">
        <f>(Assumptions!$B$46+Assumptions!$B$47+Assumptions!$B$48)+Assumptions!$B$49+(H467+I467)+J494</f>
        <v/>
      </c>
      <c r="L494">
        <f>(Assumptions!$B$13-I494+Assumptions!$B$31*Assumptions!$B$10)/(K494+Assumptions!$B$31)</f>
        <v/>
      </c>
      <c r="M494">
        <f>IF(L494&gt;Assumptions!$B$10,"yes","no")</f>
        <v/>
      </c>
      <c r="N494">
        <f>IF(M494="yes",L494,MAX(0,(Assumptions!$B$13-I494)/K494))</f>
        <v/>
      </c>
      <c r="O494">
        <f>IF(M494="yes",Assumptions!$B$31*(N494-Assumptions!$B$10),0)</f>
        <v/>
      </c>
    </row>
    <row r="495">
      <c r="A495" t="inlineStr">
        <is>
          <t>iter 23</t>
        </is>
      </c>
      <c r="B495">
        <f>IF(Assumptions!$B$4&gt;(Assumptions!$B$4/B467)*N494,"preference","convert")</f>
        <v/>
      </c>
      <c r="C495">
        <f>IF(Assumptions!$B$45&gt;(Assumptions!$B$39+F467)*N494,"preference","convert")</f>
        <v/>
      </c>
      <c r="D495">
        <f>IF(Assumptions!$B$44&gt;(Assumptions!$B$38+E467)*N494,"preference","convert")</f>
        <v/>
      </c>
      <c r="E495">
        <f>IF(Assumptions!$B$43&gt;Assumptions!$B$36*N494,"preference","convert")</f>
        <v/>
      </c>
      <c r="F495">
        <f>IF(Assumptions!$B$42&gt;Assumptions!$B$35*N494,"preference","convert")</f>
        <v/>
      </c>
      <c r="G495">
        <f>IF(Assumptions!$B$41&gt;Assumptions!$B$34*N494,"preference","convert")</f>
        <v/>
      </c>
      <c r="H495">
        <f>IF(Assumptions!$B$40&gt;Assumptions!$B$33*N494,"preference","convert")</f>
        <v/>
      </c>
      <c r="I495">
        <f>IF(B495="preference",Assumptions!$B$4,0)+IF(C495="preference",Assumptions!$B$45,0)+IF(D495="preference",Assumptions!$B$44,0)+IF(E495="preference",Assumptions!$B$43,0)+IF(F495="preference",Assumptions!$B$42,0)+IF(G495="preference",Assumptions!$B$41,0)+IF(H495="preference",Assumptions!$B$40,0)</f>
        <v/>
      </c>
      <c r="J495">
        <f>IF(B495="convert",(Assumptions!$B$4/B467),0)+IF(C495="convert",(Assumptions!$B$39+F467),0)+IF(D495="convert",(Assumptions!$B$38+E467),0)+IF(E495="convert",Assumptions!$B$36,0)+IF(F495="convert",Assumptions!$B$35,0)+IF(G495="convert",Assumptions!$B$34,0)+IF(H495="convert",Assumptions!$B$33,0)</f>
        <v/>
      </c>
      <c r="K495">
        <f>(Assumptions!$B$46+Assumptions!$B$47+Assumptions!$B$48)+Assumptions!$B$49+(H467+I467)+J495</f>
        <v/>
      </c>
      <c r="L495">
        <f>(Assumptions!$B$13-I495+Assumptions!$B$31*Assumptions!$B$10)/(K495+Assumptions!$B$31)</f>
        <v/>
      </c>
      <c r="M495">
        <f>IF(L495&gt;Assumptions!$B$10,"yes","no")</f>
        <v/>
      </c>
      <c r="N495">
        <f>IF(M495="yes",L495,MAX(0,(Assumptions!$B$13-I495)/K495))</f>
        <v/>
      </c>
      <c r="O495">
        <f>IF(M495="yes",Assumptions!$B$31*(N495-Assumptions!$B$10),0)</f>
        <v/>
      </c>
    </row>
    <row r="496">
      <c r="A496" t="inlineStr">
        <is>
          <t>iter 24</t>
        </is>
      </c>
      <c r="B496">
        <f>IF(Assumptions!$B$4&gt;(Assumptions!$B$4/B467)*N495,"preference","convert")</f>
        <v/>
      </c>
      <c r="C496">
        <f>IF(Assumptions!$B$45&gt;(Assumptions!$B$39+F467)*N495,"preference","convert")</f>
        <v/>
      </c>
      <c r="D496">
        <f>IF(Assumptions!$B$44&gt;(Assumptions!$B$38+E467)*N495,"preference","convert")</f>
        <v/>
      </c>
      <c r="E496">
        <f>IF(Assumptions!$B$43&gt;Assumptions!$B$36*N495,"preference","convert")</f>
        <v/>
      </c>
      <c r="F496">
        <f>IF(Assumptions!$B$42&gt;Assumptions!$B$35*N495,"preference","convert")</f>
        <v/>
      </c>
      <c r="G496">
        <f>IF(Assumptions!$B$41&gt;Assumptions!$B$34*N495,"preference","convert")</f>
        <v/>
      </c>
      <c r="H496">
        <f>IF(Assumptions!$B$40&gt;Assumptions!$B$33*N495,"preference","convert")</f>
        <v/>
      </c>
      <c r="I496">
        <f>IF(B496="preference",Assumptions!$B$4,0)+IF(C496="preference",Assumptions!$B$45,0)+IF(D496="preference",Assumptions!$B$44,0)+IF(E496="preference",Assumptions!$B$43,0)+IF(F496="preference",Assumptions!$B$42,0)+IF(G496="preference",Assumptions!$B$41,0)+IF(H496="preference",Assumptions!$B$40,0)</f>
        <v/>
      </c>
      <c r="J496">
        <f>IF(B496="convert",(Assumptions!$B$4/B467),0)+IF(C496="convert",(Assumptions!$B$39+F467),0)+IF(D496="convert",(Assumptions!$B$38+E467),0)+IF(E496="convert",Assumptions!$B$36,0)+IF(F496="convert",Assumptions!$B$35,0)+IF(G496="convert",Assumptions!$B$34,0)+IF(H496="convert",Assumptions!$B$33,0)</f>
        <v/>
      </c>
      <c r="K496">
        <f>(Assumptions!$B$46+Assumptions!$B$47+Assumptions!$B$48)+Assumptions!$B$49+(H467+I467)+J496</f>
        <v/>
      </c>
      <c r="L496">
        <f>(Assumptions!$B$13-I496+Assumptions!$B$31*Assumptions!$B$10)/(K496+Assumptions!$B$31)</f>
        <v/>
      </c>
      <c r="M496">
        <f>IF(L496&gt;Assumptions!$B$10,"yes","no")</f>
        <v/>
      </c>
      <c r="N496">
        <f>IF(M496="yes",L496,MAX(0,(Assumptions!$B$13-I496)/K496))</f>
        <v/>
      </c>
      <c r="O496">
        <f>IF(M496="yes",Assumptions!$B$31*(N496-Assumptions!$B$10),0)</f>
        <v/>
      </c>
    </row>
    <row r="497">
      <c r="A497" t="inlineStr">
        <is>
          <t>iter 25</t>
        </is>
      </c>
      <c r="B497">
        <f>IF(Assumptions!$B$4&gt;(Assumptions!$B$4/B467)*N496,"preference","convert")</f>
        <v/>
      </c>
      <c r="C497">
        <f>IF(Assumptions!$B$45&gt;(Assumptions!$B$39+F467)*N496,"preference","convert")</f>
        <v/>
      </c>
      <c r="D497">
        <f>IF(Assumptions!$B$44&gt;(Assumptions!$B$38+E467)*N496,"preference","convert")</f>
        <v/>
      </c>
      <c r="E497">
        <f>IF(Assumptions!$B$43&gt;Assumptions!$B$36*N496,"preference","convert")</f>
        <v/>
      </c>
      <c r="F497">
        <f>IF(Assumptions!$B$42&gt;Assumptions!$B$35*N496,"preference","convert")</f>
        <v/>
      </c>
      <c r="G497">
        <f>IF(Assumptions!$B$41&gt;Assumptions!$B$34*N496,"preference","convert")</f>
        <v/>
      </c>
      <c r="H497">
        <f>IF(Assumptions!$B$40&gt;Assumptions!$B$33*N496,"preference","convert")</f>
        <v/>
      </c>
      <c r="I497">
        <f>IF(B497="preference",Assumptions!$B$4,0)+IF(C497="preference",Assumptions!$B$45,0)+IF(D497="preference",Assumptions!$B$44,0)+IF(E497="preference",Assumptions!$B$43,0)+IF(F497="preference",Assumptions!$B$42,0)+IF(G497="preference",Assumptions!$B$41,0)+IF(H497="preference",Assumptions!$B$40,0)</f>
        <v/>
      </c>
      <c r="J497">
        <f>IF(B497="convert",(Assumptions!$B$4/B467),0)+IF(C497="convert",(Assumptions!$B$39+F467),0)+IF(D497="convert",(Assumptions!$B$38+E467),0)+IF(E497="convert",Assumptions!$B$36,0)+IF(F497="convert",Assumptions!$B$35,0)+IF(G497="convert",Assumptions!$B$34,0)+IF(H497="convert",Assumptions!$B$33,0)</f>
        <v/>
      </c>
      <c r="K497">
        <f>(Assumptions!$B$46+Assumptions!$B$47+Assumptions!$B$48)+Assumptions!$B$49+(H467+I467)+J497</f>
        <v/>
      </c>
      <c r="L497">
        <f>(Assumptions!$B$13-I497+Assumptions!$B$31*Assumptions!$B$10)/(K497+Assumptions!$B$31)</f>
        <v/>
      </c>
      <c r="M497">
        <f>IF(L497&gt;Assumptions!$B$10,"yes","no")</f>
        <v/>
      </c>
      <c r="N497">
        <f>IF(M497="yes",L497,MAX(0,(Assumptions!$B$13-I497)/K497))</f>
        <v/>
      </c>
      <c r="O497">
        <f>IF(M497="yes",Assumptions!$B$31*(N497-Assumptions!$B$10),0)</f>
        <v/>
      </c>
    </row>
    <row r="498">
      <c r="A498" t="inlineStr">
        <is>
          <t>iter 26</t>
        </is>
      </c>
      <c r="B498">
        <f>IF(Assumptions!$B$4&gt;(Assumptions!$B$4/B467)*N497,"preference","convert")</f>
        <v/>
      </c>
      <c r="C498">
        <f>IF(Assumptions!$B$45&gt;(Assumptions!$B$39+F467)*N497,"preference","convert")</f>
        <v/>
      </c>
      <c r="D498">
        <f>IF(Assumptions!$B$44&gt;(Assumptions!$B$38+E467)*N497,"preference","convert")</f>
        <v/>
      </c>
      <c r="E498">
        <f>IF(Assumptions!$B$43&gt;Assumptions!$B$36*N497,"preference","convert")</f>
        <v/>
      </c>
      <c r="F498">
        <f>IF(Assumptions!$B$42&gt;Assumptions!$B$35*N497,"preference","convert")</f>
        <v/>
      </c>
      <c r="G498">
        <f>IF(Assumptions!$B$41&gt;Assumptions!$B$34*N497,"preference","convert")</f>
        <v/>
      </c>
      <c r="H498">
        <f>IF(Assumptions!$B$40&gt;Assumptions!$B$33*N497,"preference","convert")</f>
        <v/>
      </c>
      <c r="I498">
        <f>IF(B498="preference",Assumptions!$B$4,0)+IF(C498="preference",Assumptions!$B$45,0)+IF(D498="preference",Assumptions!$B$44,0)+IF(E498="preference",Assumptions!$B$43,0)+IF(F498="preference",Assumptions!$B$42,0)+IF(G498="preference",Assumptions!$B$41,0)+IF(H498="preference",Assumptions!$B$40,0)</f>
        <v/>
      </c>
      <c r="J498">
        <f>IF(B498="convert",(Assumptions!$B$4/B467),0)+IF(C498="convert",(Assumptions!$B$39+F467),0)+IF(D498="convert",(Assumptions!$B$38+E467),0)+IF(E498="convert",Assumptions!$B$36,0)+IF(F498="convert",Assumptions!$B$35,0)+IF(G498="convert",Assumptions!$B$34,0)+IF(H498="convert",Assumptions!$B$33,0)</f>
        <v/>
      </c>
      <c r="K498">
        <f>(Assumptions!$B$46+Assumptions!$B$47+Assumptions!$B$48)+Assumptions!$B$49+(H467+I467)+J498</f>
        <v/>
      </c>
      <c r="L498">
        <f>(Assumptions!$B$13-I498+Assumptions!$B$31*Assumptions!$B$10)/(K498+Assumptions!$B$31)</f>
        <v/>
      </c>
      <c r="M498">
        <f>IF(L498&gt;Assumptions!$B$10,"yes","no")</f>
        <v/>
      </c>
      <c r="N498">
        <f>IF(M498="yes",L498,MAX(0,(Assumptions!$B$13-I498)/K498))</f>
        <v/>
      </c>
      <c r="O498">
        <f>IF(M498="yes",Assumptions!$B$31*(N498-Assumptions!$B$10),0)</f>
        <v/>
      </c>
    </row>
    <row r="499">
      <c r="A499" t="inlineStr">
        <is>
          <t>iter 27</t>
        </is>
      </c>
      <c r="B499">
        <f>IF(Assumptions!$B$4&gt;(Assumptions!$B$4/B467)*N498,"preference","convert")</f>
        <v/>
      </c>
      <c r="C499">
        <f>IF(Assumptions!$B$45&gt;(Assumptions!$B$39+F467)*N498,"preference","convert")</f>
        <v/>
      </c>
      <c r="D499">
        <f>IF(Assumptions!$B$44&gt;(Assumptions!$B$38+E467)*N498,"preference","convert")</f>
        <v/>
      </c>
      <c r="E499">
        <f>IF(Assumptions!$B$43&gt;Assumptions!$B$36*N498,"preference","convert")</f>
        <v/>
      </c>
      <c r="F499">
        <f>IF(Assumptions!$B$42&gt;Assumptions!$B$35*N498,"preference","convert")</f>
        <v/>
      </c>
      <c r="G499">
        <f>IF(Assumptions!$B$41&gt;Assumptions!$B$34*N498,"preference","convert")</f>
        <v/>
      </c>
      <c r="H499">
        <f>IF(Assumptions!$B$40&gt;Assumptions!$B$33*N498,"preference","convert")</f>
        <v/>
      </c>
      <c r="I499">
        <f>IF(B499="preference",Assumptions!$B$4,0)+IF(C499="preference",Assumptions!$B$45,0)+IF(D499="preference",Assumptions!$B$44,0)+IF(E499="preference",Assumptions!$B$43,0)+IF(F499="preference",Assumptions!$B$42,0)+IF(G499="preference",Assumptions!$B$41,0)+IF(H499="preference",Assumptions!$B$40,0)</f>
        <v/>
      </c>
      <c r="J499">
        <f>IF(B499="convert",(Assumptions!$B$4/B467),0)+IF(C499="convert",(Assumptions!$B$39+F467),0)+IF(D499="convert",(Assumptions!$B$38+E467),0)+IF(E499="convert",Assumptions!$B$36,0)+IF(F499="convert",Assumptions!$B$35,0)+IF(G499="convert",Assumptions!$B$34,0)+IF(H499="convert",Assumptions!$B$33,0)</f>
        <v/>
      </c>
      <c r="K499">
        <f>(Assumptions!$B$46+Assumptions!$B$47+Assumptions!$B$48)+Assumptions!$B$49+(H467+I467)+J499</f>
        <v/>
      </c>
      <c r="L499">
        <f>(Assumptions!$B$13-I499+Assumptions!$B$31*Assumptions!$B$10)/(K499+Assumptions!$B$31)</f>
        <v/>
      </c>
      <c r="M499">
        <f>IF(L499&gt;Assumptions!$B$10,"yes","no")</f>
        <v/>
      </c>
      <c r="N499">
        <f>IF(M499="yes",L499,MAX(0,(Assumptions!$B$13-I499)/K499))</f>
        <v/>
      </c>
      <c r="O499">
        <f>IF(M499="yes",Assumptions!$B$31*(N499-Assumptions!$B$10),0)</f>
        <v/>
      </c>
    </row>
    <row r="500">
      <c r="A500" t="inlineStr">
        <is>
          <t>iter 28</t>
        </is>
      </c>
      <c r="B500">
        <f>IF(Assumptions!$B$4&gt;(Assumptions!$B$4/B467)*N499,"preference","convert")</f>
        <v/>
      </c>
      <c r="C500">
        <f>IF(Assumptions!$B$45&gt;(Assumptions!$B$39+F467)*N499,"preference","convert")</f>
        <v/>
      </c>
      <c r="D500">
        <f>IF(Assumptions!$B$44&gt;(Assumptions!$B$38+E467)*N499,"preference","convert")</f>
        <v/>
      </c>
      <c r="E500">
        <f>IF(Assumptions!$B$43&gt;Assumptions!$B$36*N499,"preference","convert")</f>
        <v/>
      </c>
      <c r="F500">
        <f>IF(Assumptions!$B$42&gt;Assumptions!$B$35*N499,"preference","convert")</f>
        <v/>
      </c>
      <c r="G500">
        <f>IF(Assumptions!$B$41&gt;Assumptions!$B$34*N499,"preference","convert")</f>
        <v/>
      </c>
      <c r="H500">
        <f>IF(Assumptions!$B$40&gt;Assumptions!$B$33*N499,"preference","convert")</f>
        <v/>
      </c>
      <c r="I500">
        <f>IF(B500="preference",Assumptions!$B$4,0)+IF(C500="preference",Assumptions!$B$45,0)+IF(D500="preference",Assumptions!$B$44,0)+IF(E500="preference",Assumptions!$B$43,0)+IF(F500="preference",Assumptions!$B$42,0)+IF(G500="preference",Assumptions!$B$41,0)+IF(H500="preference",Assumptions!$B$40,0)</f>
        <v/>
      </c>
      <c r="J500">
        <f>IF(B500="convert",(Assumptions!$B$4/B467),0)+IF(C500="convert",(Assumptions!$B$39+F467),0)+IF(D500="convert",(Assumptions!$B$38+E467),0)+IF(E500="convert",Assumptions!$B$36,0)+IF(F500="convert",Assumptions!$B$35,0)+IF(G500="convert",Assumptions!$B$34,0)+IF(H500="convert",Assumptions!$B$33,0)</f>
        <v/>
      </c>
      <c r="K500">
        <f>(Assumptions!$B$46+Assumptions!$B$47+Assumptions!$B$48)+Assumptions!$B$49+(H467+I467)+J500</f>
        <v/>
      </c>
      <c r="L500">
        <f>(Assumptions!$B$13-I500+Assumptions!$B$31*Assumptions!$B$10)/(K500+Assumptions!$B$31)</f>
        <v/>
      </c>
      <c r="M500">
        <f>IF(L500&gt;Assumptions!$B$10,"yes","no")</f>
        <v/>
      </c>
      <c r="N500">
        <f>IF(M500="yes",L500,MAX(0,(Assumptions!$B$13-I500)/K500))</f>
        <v/>
      </c>
      <c r="O500">
        <f>IF(M500="yes",Assumptions!$B$31*(N500-Assumptions!$B$10),0)</f>
        <v/>
      </c>
    </row>
    <row r="501">
      <c r="A501" t="inlineStr">
        <is>
          <t>iter 29</t>
        </is>
      </c>
      <c r="B501">
        <f>IF(Assumptions!$B$4&gt;(Assumptions!$B$4/B467)*N500,"preference","convert")</f>
        <v/>
      </c>
      <c r="C501">
        <f>IF(Assumptions!$B$45&gt;(Assumptions!$B$39+F467)*N500,"preference","convert")</f>
        <v/>
      </c>
      <c r="D501">
        <f>IF(Assumptions!$B$44&gt;(Assumptions!$B$38+E467)*N500,"preference","convert")</f>
        <v/>
      </c>
      <c r="E501">
        <f>IF(Assumptions!$B$43&gt;Assumptions!$B$36*N500,"preference","convert")</f>
        <v/>
      </c>
      <c r="F501">
        <f>IF(Assumptions!$B$42&gt;Assumptions!$B$35*N500,"preference","convert")</f>
        <v/>
      </c>
      <c r="G501">
        <f>IF(Assumptions!$B$41&gt;Assumptions!$B$34*N500,"preference","convert")</f>
        <v/>
      </c>
      <c r="H501">
        <f>IF(Assumptions!$B$40&gt;Assumptions!$B$33*N500,"preference","convert")</f>
        <v/>
      </c>
      <c r="I501">
        <f>IF(B501="preference",Assumptions!$B$4,0)+IF(C501="preference",Assumptions!$B$45,0)+IF(D501="preference",Assumptions!$B$44,0)+IF(E501="preference",Assumptions!$B$43,0)+IF(F501="preference",Assumptions!$B$42,0)+IF(G501="preference",Assumptions!$B$41,0)+IF(H501="preference",Assumptions!$B$40,0)</f>
        <v/>
      </c>
      <c r="J501">
        <f>IF(B501="convert",(Assumptions!$B$4/B467),0)+IF(C501="convert",(Assumptions!$B$39+F467),0)+IF(D501="convert",(Assumptions!$B$38+E467),0)+IF(E501="convert",Assumptions!$B$36,0)+IF(F501="convert",Assumptions!$B$35,0)+IF(G501="convert",Assumptions!$B$34,0)+IF(H501="convert",Assumptions!$B$33,0)</f>
        <v/>
      </c>
      <c r="K501">
        <f>(Assumptions!$B$46+Assumptions!$B$47+Assumptions!$B$48)+Assumptions!$B$49+(H467+I467)+J501</f>
        <v/>
      </c>
      <c r="L501">
        <f>(Assumptions!$B$13-I501+Assumptions!$B$31*Assumptions!$B$10)/(K501+Assumptions!$B$31)</f>
        <v/>
      </c>
      <c r="M501">
        <f>IF(L501&gt;Assumptions!$B$10,"yes","no")</f>
        <v/>
      </c>
      <c r="N501">
        <f>IF(M501="yes",L501,MAX(0,(Assumptions!$B$13-I501)/K501))</f>
        <v/>
      </c>
      <c r="O501">
        <f>IF(M501="yes",Assumptions!$B$31*(N501-Assumptions!$B$10),0)</f>
        <v/>
      </c>
    </row>
    <row r="502">
      <c r="A502" t="inlineStr">
        <is>
          <t>iter 30</t>
        </is>
      </c>
      <c r="B502">
        <f>IF(Assumptions!$B$4&gt;(Assumptions!$B$4/B467)*N501,"preference","convert")</f>
        <v/>
      </c>
      <c r="C502">
        <f>IF(Assumptions!$B$45&gt;(Assumptions!$B$39+F467)*N501,"preference","convert")</f>
        <v/>
      </c>
      <c r="D502">
        <f>IF(Assumptions!$B$44&gt;(Assumptions!$B$38+E467)*N501,"preference","convert")</f>
        <v/>
      </c>
      <c r="E502">
        <f>IF(Assumptions!$B$43&gt;Assumptions!$B$36*N501,"preference","convert")</f>
        <v/>
      </c>
      <c r="F502">
        <f>IF(Assumptions!$B$42&gt;Assumptions!$B$35*N501,"preference","convert")</f>
        <v/>
      </c>
      <c r="G502">
        <f>IF(Assumptions!$B$41&gt;Assumptions!$B$34*N501,"preference","convert")</f>
        <v/>
      </c>
      <c r="H502">
        <f>IF(Assumptions!$B$40&gt;Assumptions!$B$33*N501,"preference","convert")</f>
        <v/>
      </c>
      <c r="I502">
        <f>IF(B502="preference",Assumptions!$B$4,0)+IF(C502="preference",Assumptions!$B$45,0)+IF(D502="preference",Assumptions!$B$44,0)+IF(E502="preference",Assumptions!$B$43,0)+IF(F502="preference",Assumptions!$B$42,0)+IF(G502="preference",Assumptions!$B$41,0)+IF(H502="preference",Assumptions!$B$40,0)</f>
        <v/>
      </c>
      <c r="J502">
        <f>IF(B502="convert",(Assumptions!$B$4/B467),0)+IF(C502="convert",(Assumptions!$B$39+F467),0)+IF(D502="convert",(Assumptions!$B$38+E467),0)+IF(E502="convert",Assumptions!$B$36,0)+IF(F502="convert",Assumptions!$B$35,0)+IF(G502="convert",Assumptions!$B$34,0)+IF(H502="convert",Assumptions!$B$33,0)</f>
        <v/>
      </c>
      <c r="K502">
        <f>(Assumptions!$B$46+Assumptions!$B$47+Assumptions!$B$48)+Assumptions!$B$49+(H467+I467)+J502</f>
        <v/>
      </c>
      <c r="L502">
        <f>(Assumptions!$B$13-I502+Assumptions!$B$31*Assumptions!$B$10)/(K502+Assumptions!$B$31)</f>
        <v/>
      </c>
      <c r="M502">
        <f>IF(L502&gt;Assumptions!$B$10,"yes","no")</f>
        <v/>
      </c>
      <c r="N502">
        <f>IF(M502="yes",L502,MAX(0,(Assumptions!$B$13-I502)/K502))</f>
        <v/>
      </c>
      <c r="O502">
        <f>IF(M502="yes",Assumptions!$B$31*(N502-Assumptions!$B$10),0)</f>
        <v/>
      </c>
    </row>
    <row r="504">
      <c r="A504" t="inlineStr">
        <is>
          <t>Our shares (post-F)</t>
        </is>
      </c>
      <c r="B504">
        <f>(Assumptions!$B$8/B467)</f>
        <v/>
      </c>
    </row>
    <row r="505">
      <c r="A505" t="inlineStr">
        <is>
          <t>Our ownership % (of T_F)</t>
        </is>
      </c>
      <c r="B505">
        <f>(Assumptions!$B$8/B467)/K467</f>
        <v/>
      </c>
    </row>
    <row r="506">
      <c r="A506" t="inlineStr">
        <is>
          <t>Our $ proceeds at $2B</t>
        </is>
      </c>
      <c r="B506">
        <f>IF(B502="convert",(Assumptions!$B$8/B467)*N502,(Assumptions!$B$8/B467)*B467)</f>
        <v/>
      </c>
    </row>
    <row r="509">
      <c r="A509" s="1" t="inlineStr">
        <is>
          <t>Cell (1,1) — ESOP=base, Pre=base</t>
        </is>
      </c>
    </row>
    <row r="510">
      <c r="A510" s="1" t="inlineStr">
        <is>
          <t>Step</t>
        </is>
      </c>
      <c r="B510" s="1" t="inlineStr">
        <is>
          <t>F_PPS</t>
        </is>
      </c>
      <c r="C510" s="1" t="inlineStr">
        <is>
          <t>D_NCP</t>
        </is>
      </c>
      <c r="D510" s="1" t="inlineStr">
        <is>
          <t>E_NCP</t>
        </is>
      </c>
      <c r="E510" s="1" t="inlineStr">
        <is>
          <t>ΔD</t>
        </is>
      </c>
      <c r="F510" s="1" t="inlineStr">
        <is>
          <t>ΔE</t>
        </is>
      </c>
      <c r="G510" s="1" t="inlineStr">
        <is>
          <t>ESOP</t>
        </is>
      </c>
      <c r="H510" s="1" t="inlineStr">
        <is>
          <t>N_A</t>
        </is>
      </c>
      <c r="I510" s="1" t="inlineStr">
        <is>
          <t>N_B</t>
        </is>
      </c>
      <c r="J510" s="1" t="inlineStr">
        <is>
          <t>preFD</t>
        </is>
      </c>
      <c r="K510" s="1" t="inlineStr">
        <is>
          <t>T_F</t>
        </is>
      </c>
      <c r="L510" s="1" t="inlineStr">
        <is>
          <t>F_PPS chk</t>
        </is>
      </c>
    </row>
    <row r="511">
      <c r="A511" t="inlineStr">
        <is>
          <t>cell(1,1) seed</t>
        </is>
      </c>
      <c r="B511">
        <f>Assumptions!$B$54/Assumptions!$B$29</f>
        <v/>
      </c>
      <c r="C511">
        <f>Assumptions!$B$20</f>
        <v/>
      </c>
      <c r="D511">
        <f>Assumptions!$B$21</f>
        <v/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>
        <f>Assumptions!$B$29</f>
        <v/>
      </c>
      <c r="K511">
        <f>J511+Assumptions!$B$4/B511</f>
        <v/>
      </c>
      <c r="L511">
        <f>B511</f>
        <v/>
      </c>
    </row>
    <row r="512">
      <c r="A512" t="inlineStr">
        <is>
          <t>cell(1,1) iter 1</t>
        </is>
      </c>
      <c r="B512">
        <f>Assumptions!$B$54/J511</f>
        <v/>
      </c>
      <c r="C512">
        <f>IF(B512&lt;Assumptions!$B$20,Assumptions!$B$20*(Assumptions!$B$29+Assumptions!$B$4/Assumptions!$B$20)/(Assumptions!$B$29+Assumptions!$B$4/B512),Assumptions!$B$20)</f>
        <v/>
      </c>
      <c r="D512">
        <f>IF(B512&lt;Assumptions!$B$21,Assumptions!$B$21*(Assumptions!$B$29+Assumptions!$B$4/Assumptions!$B$21)/(Assumptions!$B$29+Assumptions!$B$4/B512),Assumptions!$B$21)</f>
        <v/>
      </c>
      <c r="E512">
        <f>Assumptions!$B$37*Assumptions!$B$22/C512-Assumptions!$B$38</f>
        <v/>
      </c>
      <c r="F512">
        <f>Assumptions!$B$39*Assumptions!$B$21/D512-Assumptions!$B$39</f>
        <v/>
      </c>
      <c r="G512">
        <f>MAX(0,Assumptions!$B$51*(Assumptions!$B$29+E512+F512+G511+H511+I511+Assumptions!$B$4/B512)-Assumptions!$B$30)</f>
        <v/>
      </c>
      <c r="H512">
        <f>Assumptions!$B$23/MIN(Assumptions!$B$24/(Assumptions!$B$29+E512+F512+G512+I511),B512*(1-Assumptions!$B$25))</f>
        <v/>
      </c>
      <c r="I512">
        <f>Assumptions!$B$26/MIN(Assumptions!$B$27/(Assumptions!$B$29+E512+F512+G512+H512),B512*(1-Assumptions!$B$28))</f>
        <v/>
      </c>
      <c r="J512">
        <f>Assumptions!$B$29+E512+F512+G512+H512+I512</f>
        <v/>
      </c>
      <c r="K512">
        <f>J512+Assumptions!$B$4/B512</f>
        <v/>
      </c>
      <c r="L512">
        <f>B512</f>
        <v/>
      </c>
    </row>
    <row r="513">
      <c r="A513" t="inlineStr">
        <is>
          <t>cell(1,1) iter 2</t>
        </is>
      </c>
      <c r="B513">
        <f>Assumptions!$B$54/J512</f>
        <v/>
      </c>
      <c r="C513">
        <f>IF(B513&lt;Assumptions!$B$20,Assumptions!$B$20*(Assumptions!$B$29+Assumptions!$B$4/Assumptions!$B$20)/(Assumptions!$B$29+Assumptions!$B$4/B513),Assumptions!$B$20)</f>
        <v/>
      </c>
      <c r="D513">
        <f>IF(B513&lt;Assumptions!$B$21,Assumptions!$B$21*(Assumptions!$B$29+Assumptions!$B$4/Assumptions!$B$21)/(Assumptions!$B$29+Assumptions!$B$4/B513),Assumptions!$B$21)</f>
        <v/>
      </c>
      <c r="E513">
        <f>Assumptions!$B$37*Assumptions!$B$22/C513-Assumptions!$B$38</f>
        <v/>
      </c>
      <c r="F513">
        <f>Assumptions!$B$39*Assumptions!$B$21/D513-Assumptions!$B$39</f>
        <v/>
      </c>
      <c r="G513">
        <f>MAX(0,Assumptions!$B$51*(Assumptions!$B$29+E513+F513+G512+H512+I512+Assumptions!$B$4/B513)-Assumptions!$B$30)</f>
        <v/>
      </c>
      <c r="H513">
        <f>Assumptions!$B$23/MIN(Assumptions!$B$24/(Assumptions!$B$29+E513+F513+G513+I512),B513*(1-Assumptions!$B$25))</f>
        <v/>
      </c>
      <c r="I513">
        <f>Assumptions!$B$26/MIN(Assumptions!$B$27/(Assumptions!$B$29+E513+F513+G513+H513),B513*(1-Assumptions!$B$28))</f>
        <v/>
      </c>
      <c r="J513">
        <f>Assumptions!$B$29+E513+F513+G513+H513+I513</f>
        <v/>
      </c>
      <c r="K513">
        <f>J513+Assumptions!$B$4/B513</f>
        <v/>
      </c>
      <c r="L513">
        <f>B513</f>
        <v/>
      </c>
    </row>
    <row r="514">
      <c r="A514" t="inlineStr">
        <is>
          <t>cell(1,1) iter 3</t>
        </is>
      </c>
      <c r="B514">
        <f>Assumptions!$B$54/J513</f>
        <v/>
      </c>
      <c r="C514">
        <f>IF(B514&lt;Assumptions!$B$20,Assumptions!$B$20*(Assumptions!$B$29+Assumptions!$B$4/Assumptions!$B$20)/(Assumptions!$B$29+Assumptions!$B$4/B514),Assumptions!$B$20)</f>
        <v/>
      </c>
      <c r="D514">
        <f>IF(B514&lt;Assumptions!$B$21,Assumptions!$B$21*(Assumptions!$B$29+Assumptions!$B$4/Assumptions!$B$21)/(Assumptions!$B$29+Assumptions!$B$4/B514),Assumptions!$B$21)</f>
        <v/>
      </c>
      <c r="E514">
        <f>Assumptions!$B$37*Assumptions!$B$22/C514-Assumptions!$B$38</f>
        <v/>
      </c>
      <c r="F514">
        <f>Assumptions!$B$39*Assumptions!$B$21/D514-Assumptions!$B$39</f>
        <v/>
      </c>
      <c r="G514">
        <f>MAX(0,Assumptions!$B$51*(Assumptions!$B$29+E514+F514+G513+H513+I513+Assumptions!$B$4/B514)-Assumptions!$B$30)</f>
        <v/>
      </c>
      <c r="H514">
        <f>Assumptions!$B$23/MIN(Assumptions!$B$24/(Assumptions!$B$29+E514+F514+G514+I513),B514*(1-Assumptions!$B$25))</f>
        <v/>
      </c>
      <c r="I514">
        <f>Assumptions!$B$26/MIN(Assumptions!$B$27/(Assumptions!$B$29+E514+F514+G514+H514),B514*(1-Assumptions!$B$28))</f>
        <v/>
      </c>
      <c r="J514">
        <f>Assumptions!$B$29+E514+F514+G514+H514+I514</f>
        <v/>
      </c>
      <c r="K514">
        <f>J514+Assumptions!$B$4/B514</f>
        <v/>
      </c>
      <c r="L514">
        <f>B514</f>
        <v/>
      </c>
    </row>
    <row r="515">
      <c r="A515" t="inlineStr">
        <is>
          <t>cell(1,1) iter 4</t>
        </is>
      </c>
      <c r="B515">
        <f>Assumptions!$B$54/J514</f>
        <v/>
      </c>
      <c r="C515">
        <f>IF(B515&lt;Assumptions!$B$20,Assumptions!$B$20*(Assumptions!$B$29+Assumptions!$B$4/Assumptions!$B$20)/(Assumptions!$B$29+Assumptions!$B$4/B515),Assumptions!$B$20)</f>
        <v/>
      </c>
      <c r="D515">
        <f>IF(B515&lt;Assumptions!$B$21,Assumptions!$B$21*(Assumptions!$B$29+Assumptions!$B$4/Assumptions!$B$21)/(Assumptions!$B$29+Assumptions!$B$4/B515),Assumptions!$B$21)</f>
        <v/>
      </c>
      <c r="E515">
        <f>Assumptions!$B$37*Assumptions!$B$22/C515-Assumptions!$B$38</f>
        <v/>
      </c>
      <c r="F515">
        <f>Assumptions!$B$39*Assumptions!$B$21/D515-Assumptions!$B$39</f>
        <v/>
      </c>
      <c r="G515">
        <f>MAX(0,Assumptions!$B$51*(Assumptions!$B$29+E515+F515+G514+H514+I514+Assumptions!$B$4/B515)-Assumptions!$B$30)</f>
        <v/>
      </c>
      <c r="H515">
        <f>Assumptions!$B$23/MIN(Assumptions!$B$24/(Assumptions!$B$29+E515+F515+G515+I514),B515*(1-Assumptions!$B$25))</f>
        <v/>
      </c>
      <c r="I515">
        <f>Assumptions!$B$26/MIN(Assumptions!$B$27/(Assumptions!$B$29+E515+F515+G515+H515),B515*(1-Assumptions!$B$28))</f>
        <v/>
      </c>
      <c r="J515">
        <f>Assumptions!$B$29+E515+F515+G515+H515+I515</f>
        <v/>
      </c>
      <c r="K515">
        <f>J515+Assumptions!$B$4/B515</f>
        <v/>
      </c>
      <c r="L515">
        <f>B515</f>
        <v/>
      </c>
    </row>
    <row r="516">
      <c r="A516" t="inlineStr">
        <is>
          <t>cell(1,1) iter 5</t>
        </is>
      </c>
      <c r="B516">
        <f>Assumptions!$B$54/J515</f>
        <v/>
      </c>
      <c r="C516">
        <f>IF(B516&lt;Assumptions!$B$20,Assumptions!$B$20*(Assumptions!$B$29+Assumptions!$B$4/Assumptions!$B$20)/(Assumptions!$B$29+Assumptions!$B$4/B516),Assumptions!$B$20)</f>
        <v/>
      </c>
      <c r="D516">
        <f>IF(B516&lt;Assumptions!$B$21,Assumptions!$B$21*(Assumptions!$B$29+Assumptions!$B$4/Assumptions!$B$21)/(Assumptions!$B$29+Assumptions!$B$4/B516),Assumptions!$B$21)</f>
        <v/>
      </c>
      <c r="E516">
        <f>Assumptions!$B$37*Assumptions!$B$22/C516-Assumptions!$B$38</f>
        <v/>
      </c>
      <c r="F516">
        <f>Assumptions!$B$39*Assumptions!$B$21/D516-Assumptions!$B$39</f>
        <v/>
      </c>
      <c r="G516">
        <f>MAX(0,Assumptions!$B$51*(Assumptions!$B$29+E516+F516+G515+H515+I515+Assumptions!$B$4/B516)-Assumptions!$B$30)</f>
        <v/>
      </c>
      <c r="H516">
        <f>Assumptions!$B$23/MIN(Assumptions!$B$24/(Assumptions!$B$29+E516+F516+G516+I515),B516*(1-Assumptions!$B$25))</f>
        <v/>
      </c>
      <c r="I516">
        <f>Assumptions!$B$26/MIN(Assumptions!$B$27/(Assumptions!$B$29+E516+F516+G516+H516),B516*(1-Assumptions!$B$28))</f>
        <v/>
      </c>
      <c r="J516">
        <f>Assumptions!$B$29+E516+F516+G516+H516+I516</f>
        <v/>
      </c>
      <c r="K516">
        <f>J516+Assumptions!$B$4/B516</f>
        <v/>
      </c>
      <c r="L516">
        <f>B516</f>
        <v/>
      </c>
    </row>
    <row r="517">
      <c r="A517" t="inlineStr">
        <is>
          <t>cell(1,1) iter 6</t>
        </is>
      </c>
      <c r="B517">
        <f>Assumptions!$B$54/J516</f>
        <v/>
      </c>
      <c r="C517">
        <f>IF(B517&lt;Assumptions!$B$20,Assumptions!$B$20*(Assumptions!$B$29+Assumptions!$B$4/Assumptions!$B$20)/(Assumptions!$B$29+Assumptions!$B$4/B517),Assumptions!$B$20)</f>
        <v/>
      </c>
      <c r="D517">
        <f>IF(B517&lt;Assumptions!$B$21,Assumptions!$B$21*(Assumptions!$B$29+Assumptions!$B$4/Assumptions!$B$21)/(Assumptions!$B$29+Assumptions!$B$4/B517),Assumptions!$B$21)</f>
        <v/>
      </c>
      <c r="E517">
        <f>Assumptions!$B$37*Assumptions!$B$22/C517-Assumptions!$B$38</f>
        <v/>
      </c>
      <c r="F517">
        <f>Assumptions!$B$39*Assumptions!$B$21/D517-Assumptions!$B$39</f>
        <v/>
      </c>
      <c r="G517">
        <f>MAX(0,Assumptions!$B$51*(Assumptions!$B$29+E517+F517+G516+H516+I516+Assumptions!$B$4/B517)-Assumptions!$B$30)</f>
        <v/>
      </c>
      <c r="H517">
        <f>Assumptions!$B$23/MIN(Assumptions!$B$24/(Assumptions!$B$29+E517+F517+G517+I516),B517*(1-Assumptions!$B$25))</f>
        <v/>
      </c>
      <c r="I517">
        <f>Assumptions!$B$26/MIN(Assumptions!$B$27/(Assumptions!$B$29+E517+F517+G517+H517),B517*(1-Assumptions!$B$28))</f>
        <v/>
      </c>
      <c r="J517">
        <f>Assumptions!$B$29+E517+F517+G517+H517+I517</f>
        <v/>
      </c>
      <c r="K517">
        <f>J517+Assumptions!$B$4/B517</f>
        <v/>
      </c>
      <c r="L517">
        <f>B517</f>
        <v/>
      </c>
    </row>
    <row r="518">
      <c r="A518" t="inlineStr">
        <is>
          <t>cell(1,1) iter 7</t>
        </is>
      </c>
      <c r="B518">
        <f>Assumptions!$B$54/J517</f>
        <v/>
      </c>
      <c r="C518">
        <f>IF(B518&lt;Assumptions!$B$20,Assumptions!$B$20*(Assumptions!$B$29+Assumptions!$B$4/Assumptions!$B$20)/(Assumptions!$B$29+Assumptions!$B$4/B518),Assumptions!$B$20)</f>
        <v/>
      </c>
      <c r="D518">
        <f>IF(B518&lt;Assumptions!$B$21,Assumptions!$B$21*(Assumptions!$B$29+Assumptions!$B$4/Assumptions!$B$21)/(Assumptions!$B$29+Assumptions!$B$4/B518),Assumptions!$B$21)</f>
        <v/>
      </c>
      <c r="E518">
        <f>Assumptions!$B$37*Assumptions!$B$22/C518-Assumptions!$B$38</f>
        <v/>
      </c>
      <c r="F518">
        <f>Assumptions!$B$39*Assumptions!$B$21/D518-Assumptions!$B$39</f>
        <v/>
      </c>
      <c r="G518">
        <f>MAX(0,Assumptions!$B$51*(Assumptions!$B$29+E518+F518+G517+H517+I517+Assumptions!$B$4/B518)-Assumptions!$B$30)</f>
        <v/>
      </c>
      <c r="H518">
        <f>Assumptions!$B$23/MIN(Assumptions!$B$24/(Assumptions!$B$29+E518+F518+G518+I517),B518*(1-Assumptions!$B$25))</f>
        <v/>
      </c>
      <c r="I518">
        <f>Assumptions!$B$26/MIN(Assumptions!$B$27/(Assumptions!$B$29+E518+F518+G518+H518),B518*(1-Assumptions!$B$28))</f>
        <v/>
      </c>
      <c r="J518">
        <f>Assumptions!$B$29+E518+F518+G518+H518+I518</f>
        <v/>
      </c>
      <c r="K518">
        <f>J518+Assumptions!$B$4/B518</f>
        <v/>
      </c>
      <c r="L518">
        <f>B518</f>
        <v/>
      </c>
    </row>
    <row r="519">
      <c r="A519" t="inlineStr">
        <is>
          <t>cell(1,1) iter 8</t>
        </is>
      </c>
      <c r="B519">
        <f>Assumptions!$B$54/J518</f>
        <v/>
      </c>
      <c r="C519">
        <f>IF(B519&lt;Assumptions!$B$20,Assumptions!$B$20*(Assumptions!$B$29+Assumptions!$B$4/Assumptions!$B$20)/(Assumptions!$B$29+Assumptions!$B$4/B519),Assumptions!$B$20)</f>
        <v/>
      </c>
      <c r="D519">
        <f>IF(B519&lt;Assumptions!$B$21,Assumptions!$B$21*(Assumptions!$B$29+Assumptions!$B$4/Assumptions!$B$21)/(Assumptions!$B$29+Assumptions!$B$4/B519),Assumptions!$B$21)</f>
        <v/>
      </c>
      <c r="E519">
        <f>Assumptions!$B$37*Assumptions!$B$22/C519-Assumptions!$B$38</f>
        <v/>
      </c>
      <c r="F519">
        <f>Assumptions!$B$39*Assumptions!$B$21/D519-Assumptions!$B$39</f>
        <v/>
      </c>
      <c r="G519">
        <f>MAX(0,Assumptions!$B$51*(Assumptions!$B$29+E519+F519+G518+H518+I518+Assumptions!$B$4/B519)-Assumptions!$B$30)</f>
        <v/>
      </c>
      <c r="H519">
        <f>Assumptions!$B$23/MIN(Assumptions!$B$24/(Assumptions!$B$29+E519+F519+G519+I518),B519*(1-Assumptions!$B$25))</f>
        <v/>
      </c>
      <c r="I519">
        <f>Assumptions!$B$26/MIN(Assumptions!$B$27/(Assumptions!$B$29+E519+F519+G519+H519),B519*(1-Assumptions!$B$28))</f>
        <v/>
      </c>
      <c r="J519">
        <f>Assumptions!$B$29+E519+F519+G519+H519+I519</f>
        <v/>
      </c>
      <c r="K519">
        <f>J519+Assumptions!$B$4/B519</f>
        <v/>
      </c>
      <c r="L519">
        <f>B519</f>
        <v/>
      </c>
    </row>
    <row r="520">
      <c r="A520" t="inlineStr">
        <is>
          <t>cell(1,1) iter 9</t>
        </is>
      </c>
      <c r="B520">
        <f>Assumptions!$B$54/J519</f>
        <v/>
      </c>
      <c r="C520">
        <f>IF(B520&lt;Assumptions!$B$20,Assumptions!$B$20*(Assumptions!$B$29+Assumptions!$B$4/Assumptions!$B$20)/(Assumptions!$B$29+Assumptions!$B$4/B520),Assumptions!$B$20)</f>
        <v/>
      </c>
      <c r="D520">
        <f>IF(B520&lt;Assumptions!$B$21,Assumptions!$B$21*(Assumptions!$B$29+Assumptions!$B$4/Assumptions!$B$21)/(Assumptions!$B$29+Assumptions!$B$4/B520),Assumptions!$B$21)</f>
        <v/>
      </c>
      <c r="E520">
        <f>Assumptions!$B$37*Assumptions!$B$22/C520-Assumptions!$B$38</f>
        <v/>
      </c>
      <c r="F520">
        <f>Assumptions!$B$39*Assumptions!$B$21/D520-Assumptions!$B$39</f>
        <v/>
      </c>
      <c r="G520">
        <f>MAX(0,Assumptions!$B$51*(Assumptions!$B$29+E520+F520+G519+H519+I519+Assumptions!$B$4/B520)-Assumptions!$B$30)</f>
        <v/>
      </c>
      <c r="H520">
        <f>Assumptions!$B$23/MIN(Assumptions!$B$24/(Assumptions!$B$29+E520+F520+G520+I519),B520*(1-Assumptions!$B$25))</f>
        <v/>
      </c>
      <c r="I520">
        <f>Assumptions!$B$26/MIN(Assumptions!$B$27/(Assumptions!$B$29+E520+F520+G520+H520),B520*(1-Assumptions!$B$28))</f>
        <v/>
      </c>
      <c r="J520">
        <f>Assumptions!$B$29+E520+F520+G520+H520+I520</f>
        <v/>
      </c>
      <c r="K520">
        <f>J520+Assumptions!$B$4/B520</f>
        <v/>
      </c>
      <c r="L520">
        <f>B520</f>
        <v/>
      </c>
    </row>
    <row r="521">
      <c r="A521" t="inlineStr">
        <is>
          <t>cell(1,1) iter 10</t>
        </is>
      </c>
      <c r="B521">
        <f>Assumptions!$B$54/J520</f>
        <v/>
      </c>
      <c r="C521">
        <f>IF(B521&lt;Assumptions!$B$20,Assumptions!$B$20*(Assumptions!$B$29+Assumptions!$B$4/Assumptions!$B$20)/(Assumptions!$B$29+Assumptions!$B$4/B521),Assumptions!$B$20)</f>
        <v/>
      </c>
      <c r="D521">
        <f>IF(B521&lt;Assumptions!$B$21,Assumptions!$B$21*(Assumptions!$B$29+Assumptions!$B$4/Assumptions!$B$21)/(Assumptions!$B$29+Assumptions!$B$4/B521),Assumptions!$B$21)</f>
        <v/>
      </c>
      <c r="E521">
        <f>Assumptions!$B$37*Assumptions!$B$22/C521-Assumptions!$B$38</f>
        <v/>
      </c>
      <c r="F521">
        <f>Assumptions!$B$39*Assumptions!$B$21/D521-Assumptions!$B$39</f>
        <v/>
      </c>
      <c r="G521">
        <f>MAX(0,Assumptions!$B$51*(Assumptions!$B$29+E521+F521+G520+H520+I520+Assumptions!$B$4/B521)-Assumptions!$B$30)</f>
        <v/>
      </c>
      <c r="H521">
        <f>Assumptions!$B$23/MIN(Assumptions!$B$24/(Assumptions!$B$29+E521+F521+G521+I520),B521*(1-Assumptions!$B$25))</f>
        <v/>
      </c>
      <c r="I521">
        <f>Assumptions!$B$26/MIN(Assumptions!$B$27/(Assumptions!$B$29+E521+F521+G521+H521),B521*(1-Assumptions!$B$28))</f>
        <v/>
      </c>
      <c r="J521">
        <f>Assumptions!$B$29+E521+F521+G521+H521+I521</f>
        <v/>
      </c>
      <c r="K521">
        <f>J521+Assumptions!$B$4/B521</f>
        <v/>
      </c>
      <c r="L521">
        <f>B521</f>
        <v/>
      </c>
    </row>
    <row r="522">
      <c r="A522" t="inlineStr">
        <is>
          <t>cell(1,1) iter 11</t>
        </is>
      </c>
      <c r="B522">
        <f>Assumptions!$B$54/J521</f>
        <v/>
      </c>
      <c r="C522">
        <f>IF(B522&lt;Assumptions!$B$20,Assumptions!$B$20*(Assumptions!$B$29+Assumptions!$B$4/Assumptions!$B$20)/(Assumptions!$B$29+Assumptions!$B$4/B522),Assumptions!$B$20)</f>
        <v/>
      </c>
      <c r="D522">
        <f>IF(B522&lt;Assumptions!$B$21,Assumptions!$B$21*(Assumptions!$B$29+Assumptions!$B$4/Assumptions!$B$21)/(Assumptions!$B$29+Assumptions!$B$4/B522),Assumptions!$B$21)</f>
        <v/>
      </c>
      <c r="E522">
        <f>Assumptions!$B$37*Assumptions!$B$22/C522-Assumptions!$B$38</f>
        <v/>
      </c>
      <c r="F522">
        <f>Assumptions!$B$39*Assumptions!$B$21/D522-Assumptions!$B$39</f>
        <v/>
      </c>
      <c r="G522">
        <f>MAX(0,Assumptions!$B$51*(Assumptions!$B$29+E522+F522+G521+H521+I521+Assumptions!$B$4/B522)-Assumptions!$B$30)</f>
        <v/>
      </c>
      <c r="H522">
        <f>Assumptions!$B$23/MIN(Assumptions!$B$24/(Assumptions!$B$29+E522+F522+G522+I521),B522*(1-Assumptions!$B$25))</f>
        <v/>
      </c>
      <c r="I522">
        <f>Assumptions!$B$26/MIN(Assumptions!$B$27/(Assumptions!$B$29+E522+F522+G522+H522),B522*(1-Assumptions!$B$28))</f>
        <v/>
      </c>
      <c r="J522">
        <f>Assumptions!$B$29+E522+F522+G522+H522+I522</f>
        <v/>
      </c>
      <c r="K522">
        <f>J522+Assumptions!$B$4/B522</f>
        <v/>
      </c>
      <c r="L522">
        <f>B522</f>
        <v/>
      </c>
    </row>
    <row r="523">
      <c r="A523" t="inlineStr">
        <is>
          <t>cell(1,1) iter 12</t>
        </is>
      </c>
      <c r="B523">
        <f>Assumptions!$B$54/J522</f>
        <v/>
      </c>
      <c r="C523">
        <f>IF(B523&lt;Assumptions!$B$20,Assumptions!$B$20*(Assumptions!$B$29+Assumptions!$B$4/Assumptions!$B$20)/(Assumptions!$B$29+Assumptions!$B$4/B523),Assumptions!$B$20)</f>
        <v/>
      </c>
      <c r="D523">
        <f>IF(B523&lt;Assumptions!$B$21,Assumptions!$B$21*(Assumptions!$B$29+Assumptions!$B$4/Assumptions!$B$21)/(Assumptions!$B$29+Assumptions!$B$4/B523),Assumptions!$B$21)</f>
        <v/>
      </c>
      <c r="E523">
        <f>Assumptions!$B$37*Assumptions!$B$22/C523-Assumptions!$B$38</f>
        <v/>
      </c>
      <c r="F523">
        <f>Assumptions!$B$39*Assumptions!$B$21/D523-Assumptions!$B$39</f>
        <v/>
      </c>
      <c r="G523">
        <f>MAX(0,Assumptions!$B$51*(Assumptions!$B$29+E523+F523+G522+H522+I522+Assumptions!$B$4/B523)-Assumptions!$B$30)</f>
        <v/>
      </c>
      <c r="H523">
        <f>Assumptions!$B$23/MIN(Assumptions!$B$24/(Assumptions!$B$29+E523+F523+G523+I522),B523*(1-Assumptions!$B$25))</f>
        <v/>
      </c>
      <c r="I523">
        <f>Assumptions!$B$26/MIN(Assumptions!$B$27/(Assumptions!$B$29+E523+F523+G523+H523),B523*(1-Assumptions!$B$28))</f>
        <v/>
      </c>
      <c r="J523">
        <f>Assumptions!$B$29+E523+F523+G523+H523+I523</f>
        <v/>
      </c>
      <c r="K523">
        <f>J523+Assumptions!$B$4/B523</f>
        <v/>
      </c>
      <c r="L523">
        <f>B523</f>
        <v/>
      </c>
    </row>
    <row r="524">
      <c r="A524" t="inlineStr">
        <is>
          <t>cell(1,1) iter 13</t>
        </is>
      </c>
      <c r="B524">
        <f>Assumptions!$B$54/J523</f>
        <v/>
      </c>
      <c r="C524">
        <f>IF(B524&lt;Assumptions!$B$20,Assumptions!$B$20*(Assumptions!$B$29+Assumptions!$B$4/Assumptions!$B$20)/(Assumptions!$B$29+Assumptions!$B$4/B524),Assumptions!$B$20)</f>
        <v/>
      </c>
      <c r="D524">
        <f>IF(B524&lt;Assumptions!$B$21,Assumptions!$B$21*(Assumptions!$B$29+Assumptions!$B$4/Assumptions!$B$21)/(Assumptions!$B$29+Assumptions!$B$4/B524),Assumptions!$B$21)</f>
        <v/>
      </c>
      <c r="E524">
        <f>Assumptions!$B$37*Assumptions!$B$22/C524-Assumptions!$B$38</f>
        <v/>
      </c>
      <c r="F524">
        <f>Assumptions!$B$39*Assumptions!$B$21/D524-Assumptions!$B$39</f>
        <v/>
      </c>
      <c r="G524">
        <f>MAX(0,Assumptions!$B$51*(Assumptions!$B$29+E524+F524+G523+H523+I523+Assumptions!$B$4/B524)-Assumptions!$B$30)</f>
        <v/>
      </c>
      <c r="H524">
        <f>Assumptions!$B$23/MIN(Assumptions!$B$24/(Assumptions!$B$29+E524+F524+G524+I523),B524*(1-Assumptions!$B$25))</f>
        <v/>
      </c>
      <c r="I524">
        <f>Assumptions!$B$26/MIN(Assumptions!$B$27/(Assumptions!$B$29+E524+F524+G524+H524),B524*(1-Assumptions!$B$28))</f>
        <v/>
      </c>
      <c r="J524">
        <f>Assumptions!$B$29+E524+F524+G524+H524+I524</f>
        <v/>
      </c>
      <c r="K524">
        <f>J524+Assumptions!$B$4/B524</f>
        <v/>
      </c>
      <c r="L524">
        <f>B524</f>
        <v/>
      </c>
    </row>
    <row r="525">
      <c r="A525" t="inlineStr">
        <is>
          <t>cell(1,1) iter 14</t>
        </is>
      </c>
      <c r="B525">
        <f>Assumptions!$B$54/J524</f>
        <v/>
      </c>
      <c r="C525">
        <f>IF(B525&lt;Assumptions!$B$20,Assumptions!$B$20*(Assumptions!$B$29+Assumptions!$B$4/Assumptions!$B$20)/(Assumptions!$B$29+Assumptions!$B$4/B525),Assumptions!$B$20)</f>
        <v/>
      </c>
      <c r="D525">
        <f>IF(B525&lt;Assumptions!$B$21,Assumptions!$B$21*(Assumptions!$B$29+Assumptions!$B$4/Assumptions!$B$21)/(Assumptions!$B$29+Assumptions!$B$4/B525),Assumptions!$B$21)</f>
        <v/>
      </c>
      <c r="E525">
        <f>Assumptions!$B$37*Assumptions!$B$22/C525-Assumptions!$B$38</f>
        <v/>
      </c>
      <c r="F525">
        <f>Assumptions!$B$39*Assumptions!$B$21/D525-Assumptions!$B$39</f>
        <v/>
      </c>
      <c r="G525">
        <f>MAX(0,Assumptions!$B$51*(Assumptions!$B$29+E525+F525+G524+H524+I524+Assumptions!$B$4/B525)-Assumptions!$B$30)</f>
        <v/>
      </c>
      <c r="H525">
        <f>Assumptions!$B$23/MIN(Assumptions!$B$24/(Assumptions!$B$29+E525+F525+G525+I524),B525*(1-Assumptions!$B$25))</f>
        <v/>
      </c>
      <c r="I525">
        <f>Assumptions!$B$26/MIN(Assumptions!$B$27/(Assumptions!$B$29+E525+F525+G525+H525),B525*(1-Assumptions!$B$28))</f>
        <v/>
      </c>
      <c r="J525">
        <f>Assumptions!$B$29+E525+F525+G525+H525+I525</f>
        <v/>
      </c>
      <c r="K525">
        <f>J525+Assumptions!$B$4/B525</f>
        <v/>
      </c>
      <c r="L525">
        <f>B525</f>
        <v/>
      </c>
    </row>
    <row r="526">
      <c r="A526" t="inlineStr">
        <is>
          <t>cell(1,1) iter 15</t>
        </is>
      </c>
      <c r="B526">
        <f>Assumptions!$B$54/J525</f>
        <v/>
      </c>
      <c r="C526">
        <f>IF(B526&lt;Assumptions!$B$20,Assumptions!$B$20*(Assumptions!$B$29+Assumptions!$B$4/Assumptions!$B$20)/(Assumptions!$B$29+Assumptions!$B$4/B526),Assumptions!$B$20)</f>
        <v/>
      </c>
      <c r="D526">
        <f>IF(B526&lt;Assumptions!$B$21,Assumptions!$B$21*(Assumptions!$B$29+Assumptions!$B$4/Assumptions!$B$21)/(Assumptions!$B$29+Assumptions!$B$4/B526),Assumptions!$B$21)</f>
        <v/>
      </c>
      <c r="E526">
        <f>Assumptions!$B$37*Assumptions!$B$22/C526-Assumptions!$B$38</f>
        <v/>
      </c>
      <c r="F526">
        <f>Assumptions!$B$39*Assumptions!$B$21/D526-Assumptions!$B$39</f>
        <v/>
      </c>
      <c r="G526">
        <f>MAX(0,Assumptions!$B$51*(Assumptions!$B$29+E526+F526+G525+H525+I525+Assumptions!$B$4/B526)-Assumptions!$B$30)</f>
        <v/>
      </c>
      <c r="H526">
        <f>Assumptions!$B$23/MIN(Assumptions!$B$24/(Assumptions!$B$29+E526+F526+G526+I525),B526*(1-Assumptions!$B$25))</f>
        <v/>
      </c>
      <c r="I526">
        <f>Assumptions!$B$26/MIN(Assumptions!$B$27/(Assumptions!$B$29+E526+F526+G526+H526),B526*(1-Assumptions!$B$28))</f>
        <v/>
      </c>
      <c r="J526">
        <f>Assumptions!$B$29+E526+F526+G526+H526+I526</f>
        <v/>
      </c>
      <c r="K526">
        <f>J526+Assumptions!$B$4/B526</f>
        <v/>
      </c>
      <c r="L526">
        <f>B526</f>
        <v/>
      </c>
    </row>
    <row r="527">
      <c r="A527" t="inlineStr">
        <is>
          <t>cell(1,1) iter 16</t>
        </is>
      </c>
      <c r="B527">
        <f>Assumptions!$B$54/J526</f>
        <v/>
      </c>
      <c r="C527">
        <f>IF(B527&lt;Assumptions!$B$20,Assumptions!$B$20*(Assumptions!$B$29+Assumptions!$B$4/Assumptions!$B$20)/(Assumptions!$B$29+Assumptions!$B$4/B527),Assumptions!$B$20)</f>
        <v/>
      </c>
      <c r="D527">
        <f>IF(B527&lt;Assumptions!$B$21,Assumptions!$B$21*(Assumptions!$B$29+Assumptions!$B$4/Assumptions!$B$21)/(Assumptions!$B$29+Assumptions!$B$4/B527),Assumptions!$B$21)</f>
        <v/>
      </c>
      <c r="E527">
        <f>Assumptions!$B$37*Assumptions!$B$22/C527-Assumptions!$B$38</f>
        <v/>
      </c>
      <c r="F527">
        <f>Assumptions!$B$39*Assumptions!$B$21/D527-Assumptions!$B$39</f>
        <v/>
      </c>
      <c r="G527">
        <f>MAX(0,Assumptions!$B$51*(Assumptions!$B$29+E527+F527+G526+H526+I526+Assumptions!$B$4/B527)-Assumptions!$B$30)</f>
        <v/>
      </c>
      <c r="H527">
        <f>Assumptions!$B$23/MIN(Assumptions!$B$24/(Assumptions!$B$29+E527+F527+G527+I526),B527*(1-Assumptions!$B$25))</f>
        <v/>
      </c>
      <c r="I527">
        <f>Assumptions!$B$26/MIN(Assumptions!$B$27/(Assumptions!$B$29+E527+F527+G527+H527),B527*(1-Assumptions!$B$28))</f>
        <v/>
      </c>
      <c r="J527">
        <f>Assumptions!$B$29+E527+F527+G527+H527+I527</f>
        <v/>
      </c>
      <c r="K527">
        <f>J527+Assumptions!$B$4/B527</f>
        <v/>
      </c>
      <c r="L527">
        <f>B527</f>
        <v/>
      </c>
    </row>
    <row r="528">
      <c r="A528" t="inlineStr">
        <is>
          <t>cell(1,1) iter 17</t>
        </is>
      </c>
      <c r="B528">
        <f>Assumptions!$B$54/J527</f>
        <v/>
      </c>
      <c r="C528">
        <f>IF(B528&lt;Assumptions!$B$20,Assumptions!$B$20*(Assumptions!$B$29+Assumptions!$B$4/Assumptions!$B$20)/(Assumptions!$B$29+Assumptions!$B$4/B528),Assumptions!$B$20)</f>
        <v/>
      </c>
      <c r="D528">
        <f>IF(B528&lt;Assumptions!$B$21,Assumptions!$B$21*(Assumptions!$B$29+Assumptions!$B$4/Assumptions!$B$21)/(Assumptions!$B$29+Assumptions!$B$4/B528),Assumptions!$B$21)</f>
        <v/>
      </c>
      <c r="E528">
        <f>Assumptions!$B$37*Assumptions!$B$22/C528-Assumptions!$B$38</f>
        <v/>
      </c>
      <c r="F528">
        <f>Assumptions!$B$39*Assumptions!$B$21/D528-Assumptions!$B$39</f>
        <v/>
      </c>
      <c r="G528">
        <f>MAX(0,Assumptions!$B$51*(Assumptions!$B$29+E528+F528+G527+H527+I527+Assumptions!$B$4/B528)-Assumptions!$B$30)</f>
        <v/>
      </c>
      <c r="H528">
        <f>Assumptions!$B$23/MIN(Assumptions!$B$24/(Assumptions!$B$29+E528+F528+G528+I527),B528*(1-Assumptions!$B$25))</f>
        <v/>
      </c>
      <c r="I528">
        <f>Assumptions!$B$26/MIN(Assumptions!$B$27/(Assumptions!$B$29+E528+F528+G528+H528),B528*(1-Assumptions!$B$28))</f>
        <v/>
      </c>
      <c r="J528">
        <f>Assumptions!$B$29+E528+F528+G528+H528+I528</f>
        <v/>
      </c>
      <c r="K528">
        <f>J528+Assumptions!$B$4/B528</f>
        <v/>
      </c>
      <c r="L528">
        <f>B528</f>
        <v/>
      </c>
    </row>
    <row r="529">
      <c r="A529" t="inlineStr">
        <is>
          <t>cell(1,1) iter 18</t>
        </is>
      </c>
      <c r="B529">
        <f>Assumptions!$B$54/J528</f>
        <v/>
      </c>
      <c r="C529">
        <f>IF(B529&lt;Assumptions!$B$20,Assumptions!$B$20*(Assumptions!$B$29+Assumptions!$B$4/Assumptions!$B$20)/(Assumptions!$B$29+Assumptions!$B$4/B529),Assumptions!$B$20)</f>
        <v/>
      </c>
      <c r="D529">
        <f>IF(B529&lt;Assumptions!$B$21,Assumptions!$B$21*(Assumptions!$B$29+Assumptions!$B$4/Assumptions!$B$21)/(Assumptions!$B$29+Assumptions!$B$4/B529),Assumptions!$B$21)</f>
        <v/>
      </c>
      <c r="E529">
        <f>Assumptions!$B$37*Assumptions!$B$22/C529-Assumptions!$B$38</f>
        <v/>
      </c>
      <c r="F529">
        <f>Assumptions!$B$39*Assumptions!$B$21/D529-Assumptions!$B$39</f>
        <v/>
      </c>
      <c r="G529">
        <f>MAX(0,Assumptions!$B$51*(Assumptions!$B$29+E529+F529+G528+H528+I528+Assumptions!$B$4/B529)-Assumptions!$B$30)</f>
        <v/>
      </c>
      <c r="H529">
        <f>Assumptions!$B$23/MIN(Assumptions!$B$24/(Assumptions!$B$29+E529+F529+G529+I528),B529*(1-Assumptions!$B$25))</f>
        <v/>
      </c>
      <c r="I529">
        <f>Assumptions!$B$26/MIN(Assumptions!$B$27/(Assumptions!$B$29+E529+F529+G529+H529),B529*(1-Assumptions!$B$28))</f>
        <v/>
      </c>
      <c r="J529">
        <f>Assumptions!$B$29+E529+F529+G529+H529+I529</f>
        <v/>
      </c>
      <c r="K529">
        <f>J529+Assumptions!$B$4/B529</f>
        <v/>
      </c>
      <c r="L529">
        <f>B529</f>
        <v/>
      </c>
    </row>
    <row r="530">
      <c r="A530" t="inlineStr">
        <is>
          <t>cell(1,1) iter 19</t>
        </is>
      </c>
      <c r="B530">
        <f>Assumptions!$B$54/J529</f>
        <v/>
      </c>
      <c r="C530">
        <f>IF(B530&lt;Assumptions!$B$20,Assumptions!$B$20*(Assumptions!$B$29+Assumptions!$B$4/Assumptions!$B$20)/(Assumptions!$B$29+Assumptions!$B$4/B530),Assumptions!$B$20)</f>
        <v/>
      </c>
      <c r="D530">
        <f>IF(B530&lt;Assumptions!$B$21,Assumptions!$B$21*(Assumptions!$B$29+Assumptions!$B$4/Assumptions!$B$21)/(Assumptions!$B$29+Assumptions!$B$4/B530),Assumptions!$B$21)</f>
        <v/>
      </c>
      <c r="E530">
        <f>Assumptions!$B$37*Assumptions!$B$22/C530-Assumptions!$B$38</f>
        <v/>
      </c>
      <c r="F530">
        <f>Assumptions!$B$39*Assumptions!$B$21/D530-Assumptions!$B$39</f>
        <v/>
      </c>
      <c r="G530">
        <f>MAX(0,Assumptions!$B$51*(Assumptions!$B$29+E530+F530+G529+H529+I529+Assumptions!$B$4/B530)-Assumptions!$B$30)</f>
        <v/>
      </c>
      <c r="H530">
        <f>Assumptions!$B$23/MIN(Assumptions!$B$24/(Assumptions!$B$29+E530+F530+G530+I529),B530*(1-Assumptions!$B$25))</f>
        <v/>
      </c>
      <c r="I530">
        <f>Assumptions!$B$26/MIN(Assumptions!$B$27/(Assumptions!$B$29+E530+F530+G530+H530),B530*(1-Assumptions!$B$28))</f>
        <v/>
      </c>
      <c r="J530">
        <f>Assumptions!$B$29+E530+F530+G530+H530+I530</f>
        <v/>
      </c>
      <c r="K530">
        <f>J530+Assumptions!$B$4/B530</f>
        <v/>
      </c>
      <c r="L530">
        <f>B530</f>
        <v/>
      </c>
    </row>
    <row r="531">
      <c r="A531" t="inlineStr">
        <is>
          <t>cell(1,1) iter 20</t>
        </is>
      </c>
      <c r="B531">
        <f>Assumptions!$B$54/J530</f>
        <v/>
      </c>
      <c r="C531">
        <f>IF(B531&lt;Assumptions!$B$20,Assumptions!$B$20*(Assumptions!$B$29+Assumptions!$B$4/Assumptions!$B$20)/(Assumptions!$B$29+Assumptions!$B$4/B531),Assumptions!$B$20)</f>
        <v/>
      </c>
      <c r="D531">
        <f>IF(B531&lt;Assumptions!$B$21,Assumptions!$B$21*(Assumptions!$B$29+Assumptions!$B$4/Assumptions!$B$21)/(Assumptions!$B$29+Assumptions!$B$4/B531),Assumptions!$B$21)</f>
        <v/>
      </c>
      <c r="E531">
        <f>Assumptions!$B$37*Assumptions!$B$22/C531-Assumptions!$B$38</f>
        <v/>
      </c>
      <c r="F531">
        <f>Assumptions!$B$39*Assumptions!$B$21/D531-Assumptions!$B$39</f>
        <v/>
      </c>
      <c r="G531">
        <f>MAX(0,Assumptions!$B$51*(Assumptions!$B$29+E531+F531+G530+H530+I530+Assumptions!$B$4/B531)-Assumptions!$B$30)</f>
        <v/>
      </c>
      <c r="H531">
        <f>Assumptions!$B$23/MIN(Assumptions!$B$24/(Assumptions!$B$29+E531+F531+G531+I530),B531*(1-Assumptions!$B$25))</f>
        <v/>
      </c>
      <c r="I531">
        <f>Assumptions!$B$26/MIN(Assumptions!$B$27/(Assumptions!$B$29+E531+F531+G531+H531),B531*(1-Assumptions!$B$28))</f>
        <v/>
      </c>
      <c r="J531">
        <f>Assumptions!$B$29+E531+F531+G531+H531+I531</f>
        <v/>
      </c>
      <c r="K531">
        <f>J531+Assumptions!$B$4/B531</f>
        <v/>
      </c>
      <c r="L531">
        <f>B531</f>
        <v/>
      </c>
    </row>
    <row r="532">
      <c r="A532" t="inlineStr">
        <is>
          <t>cell(1,1) iter 21</t>
        </is>
      </c>
      <c r="B532">
        <f>Assumptions!$B$54/J531</f>
        <v/>
      </c>
      <c r="C532">
        <f>IF(B532&lt;Assumptions!$B$20,Assumptions!$B$20*(Assumptions!$B$29+Assumptions!$B$4/Assumptions!$B$20)/(Assumptions!$B$29+Assumptions!$B$4/B532),Assumptions!$B$20)</f>
        <v/>
      </c>
      <c r="D532">
        <f>IF(B532&lt;Assumptions!$B$21,Assumptions!$B$21*(Assumptions!$B$29+Assumptions!$B$4/Assumptions!$B$21)/(Assumptions!$B$29+Assumptions!$B$4/B532),Assumptions!$B$21)</f>
        <v/>
      </c>
      <c r="E532">
        <f>Assumptions!$B$37*Assumptions!$B$22/C532-Assumptions!$B$38</f>
        <v/>
      </c>
      <c r="F532">
        <f>Assumptions!$B$39*Assumptions!$B$21/D532-Assumptions!$B$39</f>
        <v/>
      </c>
      <c r="G532">
        <f>MAX(0,Assumptions!$B$51*(Assumptions!$B$29+E532+F532+G531+H531+I531+Assumptions!$B$4/B532)-Assumptions!$B$30)</f>
        <v/>
      </c>
      <c r="H532">
        <f>Assumptions!$B$23/MIN(Assumptions!$B$24/(Assumptions!$B$29+E532+F532+G532+I531),B532*(1-Assumptions!$B$25))</f>
        <v/>
      </c>
      <c r="I532">
        <f>Assumptions!$B$26/MIN(Assumptions!$B$27/(Assumptions!$B$29+E532+F532+G532+H532),B532*(1-Assumptions!$B$28))</f>
        <v/>
      </c>
      <c r="J532">
        <f>Assumptions!$B$29+E532+F532+G532+H532+I532</f>
        <v/>
      </c>
      <c r="K532">
        <f>J532+Assumptions!$B$4/B532</f>
        <v/>
      </c>
      <c r="L532">
        <f>B532</f>
        <v/>
      </c>
    </row>
    <row r="533">
      <c r="A533" t="inlineStr">
        <is>
          <t>cell(1,1) iter 22</t>
        </is>
      </c>
      <c r="B533">
        <f>Assumptions!$B$54/J532</f>
        <v/>
      </c>
      <c r="C533">
        <f>IF(B533&lt;Assumptions!$B$20,Assumptions!$B$20*(Assumptions!$B$29+Assumptions!$B$4/Assumptions!$B$20)/(Assumptions!$B$29+Assumptions!$B$4/B533),Assumptions!$B$20)</f>
        <v/>
      </c>
      <c r="D533">
        <f>IF(B533&lt;Assumptions!$B$21,Assumptions!$B$21*(Assumptions!$B$29+Assumptions!$B$4/Assumptions!$B$21)/(Assumptions!$B$29+Assumptions!$B$4/B533),Assumptions!$B$21)</f>
        <v/>
      </c>
      <c r="E533">
        <f>Assumptions!$B$37*Assumptions!$B$22/C533-Assumptions!$B$38</f>
        <v/>
      </c>
      <c r="F533">
        <f>Assumptions!$B$39*Assumptions!$B$21/D533-Assumptions!$B$39</f>
        <v/>
      </c>
      <c r="G533">
        <f>MAX(0,Assumptions!$B$51*(Assumptions!$B$29+E533+F533+G532+H532+I532+Assumptions!$B$4/B533)-Assumptions!$B$30)</f>
        <v/>
      </c>
      <c r="H533">
        <f>Assumptions!$B$23/MIN(Assumptions!$B$24/(Assumptions!$B$29+E533+F533+G533+I532),B533*(1-Assumptions!$B$25))</f>
        <v/>
      </c>
      <c r="I533">
        <f>Assumptions!$B$26/MIN(Assumptions!$B$27/(Assumptions!$B$29+E533+F533+G533+H533),B533*(1-Assumptions!$B$28))</f>
        <v/>
      </c>
      <c r="J533">
        <f>Assumptions!$B$29+E533+F533+G533+H533+I533</f>
        <v/>
      </c>
      <c r="K533">
        <f>J533+Assumptions!$B$4/B533</f>
        <v/>
      </c>
      <c r="L533">
        <f>B533</f>
        <v/>
      </c>
    </row>
    <row r="534">
      <c r="A534" t="inlineStr">
        <is>
          <t>cell(1,1) iter 23</t>
        </is>
      </c>
      <c r="B534">
        <f>Assumptions!$B$54/J533</f>
        <v/>
      </c>
      <c r="C534">
        <f>IF(B534&lt;Assumptions!$B$20,Assumptions!$B$20*(Assumptions!$B$29+Assumptions!$B$4/Assumptions!$B$20)/(Assumptions!$B$29+Assumptions!$B$4/B534),Assumptions!$B$20)</f>
        <v/>
      </c>
      <c r="D534">
        <f>IF(B534&lt;Assumptions!$B$21,Assumptions!$B$21*(Assumptions!$B$29+Assumptions!$B$4/Assumptions!$B$21)/(Assumptions!$B$29+Assumptions!$B$4/B534),Assumptions!$B$21)</f>
        <v/>
      </c>
      <c r="E534">
        <f>Assumptions!$B$37*Assumptions!$B$22/C534-Assumptions!$B$38</f>
        <v/>
      </c>
      <c r="F534">
        <f>Assumptions!$B$39*Assumptions!$B$21/D534-Assumptions!$B$39</f>
        <v/>
      </c>
      <c r="G534">
        <f>MAX(0,Assumptions!$B$51*(Assumptions!$B$29+E534+F534+G533+H533+I533+Assumptions!$B$4/B534)-Assumptions!$B$30)</f>
        <v/>
      </c>
      <c r="H534">
        <f>Assumptions!$B$23/MIN(Assumptions!$B$24/(Assumptions!$B$29+E534+F534+G534+I533),B534*(1-Assumptions!$B$25))</f>
        <v/>
      </c>
      <c r="I534">
        <f>Assumptions!$B$26/MIN(Assumptions!$B$27/(Assumptions!$B$29+E534+F534+G534+H534),B534*(1-Assumptions!$B$28))</f>
        <v/>
      </c>
      <c r="J534">
        <f>Assumptions!$B$29+E534+F534+G534+H534+I534</f>
        <v/>
      </c>
      <c r="K534">
        <f>J534+Assumptions!$B$4/B534</f>
        <v/>
      </c>
      <c r="L534">
        <f>B534</f>
        <v/>
      </c>
    </row>
    <row r="535">
      <c r="A535" t="inlineStr">
        <is>
          <t>cell(1,1) iter 24</t>
        </is>
      </c>
      <c r="B535">
        <f>Assumptions!$B$54/J534</f>
        <v/>
      </c>
      <c r="C535">
        <f>IF(B535&lt;Assumptions!$B$20,Assumptions!$B$20*(Assumptions!$B$29+Assumptions!$B$4/Assumptions!$B$20)/(Assumptions!$B$29+Assumptions!$B$4/B535),Assumptions!$B$20)</f>
        <v/>
      </c>
      <c r="D535">
        <f>IF(B535&lt;Assumptions!$B$21,Assumptions!$B$21*(Assumptions!$B$29+Assumptions!$B$4/Assumptions!$B$21)/(Assumptions!$B$29+Assumptions!$B$4/B535),Assumptions!$B$21)</f>
        <v/>
      </c>
      <c r="E535">
        <f>Assumptions!$B$37*Assumptions!$B$22/C535-Assumptions!$B$38</f>
        <v/>
      </c>
      <c r="F535">
        <f>Assumptions!$B$39*Assumptions!$B$21/D535-Assumptions!$B$39</f>
        <v/>
      </c>
      <c r="G535">
        <f>MAX(0,Assumptions!$B$51*(Assumptions!$B$29+E535+F535+G534+H534+I534+Assumptions!$B$4/B535)-Assumptions!$B$30)</f>
        <v/>
      </c>
      <c r="H535">
        <f>Assumptions!$B$23/MIN(Assumptions!$B$24/(Assumptions!$B$29+E535+F535+G535+I534),B535*(1-Assumptions!$B$25))</f>
        <v/>
      </c>
      <c r="I535">
        <f>Assumptions!$B$26/MIN(Assumptions!$B$27/(Assumptions!$B$29+E535+F535+G535+H535),B535*(1-Assumptions!$B$28))</f>
        <v/>
      </c>
      <c r="J535">
        <f>Assumptions!$B$29+E535+F535+G535+H535+I535</f>
        <v/>
      </c>
      <c r="K535">
        <f>J535+Assumptions!$B$4/B535</f>
        <v/>
      </c>
      <c r="L535">
        <f>B535</f>
        <v/>
      </c>
    </row>
    <row r="536">
      <c r="A536" t="inlineStr">
        <is>
          <t>cell(1,1) iter 25</t>
        </is>
      </c>
      <c r="B536">
        <f>Assumptions!$B$54/J535</f>
        <v/>
      </c>
      <c r="C536">
        <f>IF(B536&lt;Assumptions!$B$20,Assumptions!$B$20*(Assumptions!$B$29+Assumptions!$B$4/Assumptions!$B$20)/(Assumptions!$B$29+Assumptions!$B$4/B536),Assumptions!$B$20)</f>
        <v/>
      </c>
      <c r="D536">
        <f>IF(B536&lt;Assumptions!$B$21,Assumptions!$B$21*(Assumptions!$B$29+Assumptions!$B$4/Assumptions!$B$21)/(Assumptions!$B$29+Assumptions!$B$4/B536),Assumptions!$B$21)</f>
        <v/>
      </c>
      <c r="E536">
        <f>Assumptions!$B$37*Assumptions!$B$22/C536-Assumptions!$B$38</f>
        <v/>
      </c>
      <c r="F536">
        <f>Assumptions!$B$39*Assumptions!$B$21/D536-Assumptions!$B$39</f>
        <v/>
      </c>
      <c r="G536">
        <f>MAX(0,Assumptions!$B$51*(Assumptions!$B$29+E536+F536+G535+H535+I535+Assumptions!$B$4/B536)-Assumptions!$B$30)</f>
        <v/>
      </c>
      <c r="H536">
        <f>Assumptions!$B$23/MIN(Assumptions!$B$24/(Assumptions!$B$29+E536+F536+G536+I535),B536*(1-Assumptions!$B$25))</f>
        <v/>
      </c>
      <c r="I536">
        <f>Assumptions!$B$26/MIN(Assumptions!$B$27/(Assumptions!$B$29+E536+F536+G536+H536),B536*(1-Assumptions!$B$28))</f>
        <v/>
      </c>
      <c r="J536">
        <f>Assumptions!$B$29+E536+F536+G536+H536+I536</f>
        <v/>
      </c>
      <c r="K536">
        <f>J536+Assumptions!$B$4/B536</f>
        <v/>
      </c>
      <c r="L536">
        <f>B536</f>
        <v/>
      </c>
    </row>
    <row r="537">
      <c r="A537" t="inlineStr">
        <is>
          <t>cell(1,1) iter 26</t>
        </is>
      </c>
      <c r="B537">
        <f>Assumptions!$B$54/J536</f>
        <v/>
      </c>
      <c r="C537">
        <f>IF(B537&lt;Assumptions!$B$20,Assumptions!$B$20*(Assumptions!$B$29+Assumptions!$B$4/Assumptions!$B$20)/(Assumptions!$B$29+Assumptions!$B$4/B537),Assumptions!$B$20)</f>
        <v/>
      </c>
      <c r="D537">
        <f>IF(B537&lt;Assumptions!$B$21,Assumptions!$B$21*(Assumptions!$B$29+Assumptions!$B$4/Assumptions!$B$21)/(Assumptions!$B$29+Assumptions!$B$4/B537),Assumptions!$B$21)</f>
        <v/>
      </c>
      <c r="E537">
        <f>Assumptions!$B$37*Assumptions!$B$22/C537-Assumptions!$B$38</f>
        <v/>
      </c>
      <c r="F537">
        <f>Assumptions!$B$39*Assumptions!$B$21/D537-Assumptions!$B$39</f>
        <v/>
      </c>
      <c r="G537">
        <f>MAX(0,Assumptions!$B$51*(Assumptions!$B$29+E537+F537+G536+H536+I536+Assumptions!$B$4/B537)-Assumptions!$B$30)</f>
        <v/>
      </c>
      <c r="H537">
        <f>Assumptions!$B$23/MIN(Assumptions!$B$24/(Assumptions!$B$29+E537+F537+G537+I536),B537*(1-Assumptions!$B$25))</f>
        <v/>
      </c>
      <c r="I537">
        <f>Assumptions!$B$26/MIN(Assumptions!$B$27/(Assumptions!$B$29+E537+F537+G537+H537),B537*(1-Assumptions!$B$28))</f>
        <v/>
      </c>
      <c r="J537">
        <f>Assumptions!$B$29+E537+F537+G537+H537+I537</f>
        <v/>
      </c>
      <c r="K537">
        <f>J537+Assumptions!$B$4/B537</f>
        <v/>
      </c>
      <c r="L537">
        <f>B537</f>
        <v/>
      </c>
    </row>
    <row r="538">
      <c r="A538" t="inlineStr">
        <is>
          <t>cell(1,1) iter 27</t>
        </is>
      </c>
      <c r="B538">
        <f>Assumptions!$B$54/J537</f>
        <v/>
      </c>
      <c r="C538">
        <f>IF(B538&lt;Assumptions!$B$20,Assumptions!$B$20*(Assumptions!$B$29+Assumptions!$B$4/Assumptions!$B$20)/(Assumptions!$B$29+Assumptions!$B$4/B538),Assumptions!$B$20)</f>
        <v/>
      </c>
      <c r="D538">
        <f>IF(B538&lt;Assumptions!$B$21,Assumptions!$B$21*(Assumptions!$B$29+Assumptions!$B$4/Assumptions!$B$21)/(Assumptions!$B$29+Assumptions!$B$4/B538),Assumptions!$B$21)</f>
        <v/>
      </c>
      <c r="E538">
        <f>Assumptions!$B$37*Assumptions!$B$22/C538-Assumptions!$B$38</f>
        <v/>
      </c>
      <c r="F538">
        <f>Assumptions!$B$39*Assumptions!$B$21/D538-Assumptions!$B$39</f>
        <v/>
      </c>
      <c r="G538">
        <f>MAX(0,Assumptions!$B$51*(Assumptions!$B$29+E538+F538+G537+H537+I537+Assumptions!$B$4/B538)-Assumptions!$B$30)</f>
        <v/>
      </c>
      <c r="H538">
        <f>Assumptions!$B$23/MIN(Assumptions!$B$24/(Assumptions!$B$29+E538+F538+G538+I537),B538*(1-Assumptions!$B$25))</f>
        <v/>
      </c>
      <c r="I538">
        <f>Assumptions!$B$26/MIN(Assumptions!$B$27/(Assumptions!$B$29+E538+F538+G538+H538),B538*(1-Assumptions!$B$28))</f>
        <v/>
      </c>
      <c r="J538">
        <f>Assumptions!$B$29+E538+F538+G538+H538+I538</f>
        <v/>
      </c>
      <c r="K538">
        <f>J538+Assumptions!$B$4/B538</f>
        <v/>
      </c>
      <c r="L538">
        <f>B538</f>
        <v/>
      </c>
    </row>
    <row r="539">
      <c r="A539" t="inlineStr">
        <is>
          <t>cell(1,1) iter 28</t>
        </is>
      </c>
      <c r="B539">
        <f>Assumptions!$B$54/J538</f>
        <v/>
      </c>
      <c r="C539">
        <f>IF(B539&lt;Assumptions!$B$20,Assumptions!$B$20*(Assumptions!$B$29+Assumptions!$B$4/Assumptions!$B$20)/(Assumptions!$B$29+Assumptions!$B$4/B539),Assumptions!$B$20)</f>
        <v/>
      </c>
      <c r="D539">
        <f>IF(B539&lt;Assumptions!$B$21,Assumptions!$B$21*(Assumptions!$B$29+Assumptions!$B$4/Assumptions!$B$21)/(Assumptions!$B$29+Assumptions!$B$4/B539),Assumptions!$B$21)</f>
        <v/>
      </c>
      <c r="E539">
        <f>Assumptions!$B$37*Assumptions!$B$22/C539-Assumptions!$B$38</f>
        <v/>
      </c>
      <c r="F539">
        <f>Assumptions!$B$39*Assumptions!$B$21/D539-Assumptions!$B$39</f>
        <v/>
      </c>
      <c r="G539">
        <f>MAX(0,Assumptions!$B$51*(Assumptions!$B$29+E539+F539+G538+H538+I538+Assumptions!$B$4/B539)-Assumptions!$B$30)</f>
        <v/>
      </c>
      <c r="H539">
        <f>Assumptions!$B$23/MIN(Assumptions!$B$24/(Assumptions!$B$29+E539+F539+G539+I538),B539*(1-Assumptions!$B$25))</f>
        <v/>
      </c>
      <c r="I539">
        <f>Assumptions!$B$26/MIN(Assumptions!$B$27/(Assumptions!$B$29+E539+F539+G539+H539),B539*(1-Assumptions!$B$28))</f>
        <v/>
      </c>
      <c r="J539">
        <f>Assumptions!$B$29+E539+F539+G539+H539+I539</f>
        <v/>
      </c>
      <c r="K539">
        <f>J539+Assumptions!$B$4/B539</f>
        <v/>
      </c>
      <c r="L539">
        <f>B539</f>
        <v/>
      </c>
    </row>
    <row r="540">
      <c r="A540" t="inlineStr">
        <is>
          <t>cell(1,1) iter 29</t>
        </is>
      </c>
      <c r="B540">
        <f>Assumptions!$B$54/J539</f>
        <v/>
      </c>
      <c r="C540">
        <f>IF(B540&lt;Assumptions!$B$20,Assumptions!$B$20*(Assumptions!$B$29+Assumptions!$B$4/Assumptions!$B$20)/(Assumptions!$B$29+Assumptions!$B$4/B540),Assumptions!$B$20)</f>
        <v/>
      </c>
      <c r="D540">
        <f>IF(B540&lt;Assumptions!$B$21,Assumptions!$B$21*(Assumptions!$B$29+Assumptions!$B$4/Assumptions!$B$21)/(Assumptions!$B$29+Assumptions!$B$4/B540),Assumptions!$B$21)</f>
        <v/>
      </c>
      <c r="E540">
        <f>Assumptions!$B$37*Assumptions!$B$22/C540-Assumptions!$B$38</f>
        <v/>
      </c>
      <c r="F540">
        <f>Assumptions!$B$39*Assumptions!$B$21/D540-Assumptions!$B$39</f>
        <v/>
      </c>
      <c r="G540">
        <f>MAX(0,Assumptions!$B$51*(Assumptions!$B$29+E540+F540+G539+H539+I539+Assumptions!$B$4/B540)-Assumptions!$B$30)</f>
        <v/>
      </c>
      <c r="H540">
        <f>Assumptions!$B$23/MIN(Assumptions!$B$24/(Assumptions!$B$29+E540+F540+G540+I539),B540*(1-Assumptions!$B$25))</f>
        <v/>
      </c>
      <c r="I540">
        <f>Assumptions!$B$26/MIN(Assumptions!$B$27/(Assumptions!$B$29+E540+F540+G540+H540),B540*(1-Assumptions!$B$28))</f>
        <v/>
      </c>
      <c r="J540">
        <f>Assumptions!$B$29+E540+F540+G540+H540+I540</f>
        <v/>
      </c>
      <c r="K540">
        <f>J540+Assumptions!$B$4/B540</f>
        <v/>
      </c>
      <c r="L540">
        <f>B540</f>
        <v/>
      </c>
    </row>
    <row r="541">
      <c r="A541" t="inlineStr">
        <is>
          <t>cell(1,1) iter 30</t>
        </is>
      </c>
      <c r="B541">
        <f>Assumptions!$B$54/J540</f>
        <v/>
      </c>
      <c r="C541">
        <f>IF(B541&lt;Assumptions!$B$20,Assumptions!$B$20*(Assumptions!$B$29+Assumptions!$B$4/Assumptions!$B$20)/(Assumptions!$B$29+Assumptions!$B$4/B541),Assumptions!$B$20)</f>
        <v/>
      </c>
      <c r="D541">
        <f>IF(B541&lt;Assumptions!$B$21,Assumptions!$B$21*(Assumptions!$B$29+Assumptions!$B$4/Assumptions!$B$21)/(Assumptions!$B$29+Assumptions!$B$4/B541),Assumptions!$B$21)</f>
        <v/>
      </c>
      <c r="E541">
        <f>Assumptions!$B$37*Assumptions!$B$22/C541-Assumptions!$B$38</f>
        <v/>
      </c>
      <c r="F541">
        <f>Assumptions!$B$39*Assumptions!$B$21/D541-Assumptions!$B$39</f>
        <v/>
      </c>
      <c r="G541">
        <f>MAX(0,Assumptions!$B$51*(Assumptions!$B$29+E541+F541+G540+H540+I540+Assumptions!$B$4/B541)-Assumptions!$B$30)</f>
        <v/>
      </c>
      <c r="H541">
        <f>Assumptions!$B$23/MIN(Assumptions!$B$24/(Assumptions!$B$29+E541+F541+G541+I540),B541*(1-Assumptions!$B$25))</f>
        <v/>
      </c>
      <c r="I541">
        <f>Assumptions!$B$26/MIN(Assumptions!$B$27/(Assumptions!$B$29+E541+F541+G541+H541),B541*(1-Assumptions!$B$28))</f>
        <v/>
      </c>
      <c r="J541">
        <f>Assumptions!$B$29+E541+F541+G541+H541+I541</f>
        <v/>
      </c>
      <c r="K541">
        <f>J541+Assumptions!$B$4/B541</f>
        <v/>
      </c>
      <c r="L541">
        <f>B541</f>
        <v/>
      </c>
    </row>
    <row r="542">
      <c r="A542" t="inlineStr">
        <is>
          <t>cell(1,1) iter 31</t>
        </is>
      </c>
      <c r="B542">
        <f>Assumptions!$B$54/J541</f>
        <v/>
      </c>
      <c r="C542">
        <f>IF(B542&lt;Assumptions!$B$20,Assumptions!$B$20*(Assumptions!$B$29+Assumptions!$B$4/Assumptions!$B$20)/(Assumptions!$B$29+Assumptions!$B$4/B542),Assumptions!$B$20)</f>
        <v/>
      </c>
      <c r="D542">
        <f>IF(B542&lt;Assumptions!$B$21,Assumptions!$B$21*(Assumptions!$B$29+Assumptions!$B$4/Assumptions!$B$21)/(Assumptions!$B$29+Assumptions!$B$4/B542),Assumptions!$B$21)</f>
        <v/>
      </c>
      <c r="E542">
        <f>Assumptions!$B$37*Assumptions!$B$22/C542-Assumptions!$B$38</f>
        <v/>
      </c>
      <c r="F542">
        <f>Assumptions!$B$39*Assumptions!$B$21/D542-Assumptions!$B$39</f>
        <v/>
      </c>
      <c r="G542">
        <f>MAX(0,Assumptions!$B$51*(Assumptions!$B$29+E542+F542+G541+H541+I541+Assumptions!$B$4/B542)-Assumptions!$B$30)</f>
        <v/>
      </c>
      <c r="H542">
        <f>Assumptions!$B$23/MIN(Assumptions!$B$24/(Assumptions!$B$29+E542+F542+G542+I541),B542*(1-Assumptions!$B$25))</f>
        <v/>
      </c>
      <c r="I542">
        <f>Assumptions!$B$26/MIN(Assumptions!$B$27/(Assumptions!$B$29+E542+F542+G542+H542),B542*(1-Assumptions!$B$28))</f>
        <v/>
      </c>
      <c r="J542">
        <f>Assumptions!$B$29+E542+F542+G542+H542+I542</f>
        <v/>
      </c>
      <c r="K542">
        <f>J542+Assumptions!$B$4/B542</f>
        <v/>
      </c>
      <c r="L542">
        <f>B542</f>
        <v/>
      </c>
    </row>
    <row r="543">
      <c r="A543" t="inlineStr">
        <is>
          <t>cell(1,1) iter 32</t>
        </is>
      </c>
      <c r="B543">
        <f>Assumptions!$B$54/J542</f>
        <v/>
      </c>
      <c r="C543">
        <f>IF(B543&lt;Assumptions!$B$20,Assumptions!$B$20*(Assumptions!$B$29+Assumptions!$B$4/Assumptions!$B$20)/(Assumptions!$B$29+Assumptions!$B$4/B543),Assumptions!$B$20)</f>
        <v/>
      </c>
      <c r="D543">
        <f>IF(B543&lt;Assumptions!$B$21,Assumptions!$B$21*(Assumptions!$B$29+Assumptions!$B$4/Assumptions!$B$21)/(Assumptions!$B$29+Assumptions!$B$4/B543),Assumptions!$B$21)</f>
        <v/>
      </c>
      <c r="E543">
        <f>Assumptions!$B$37*Assumptions!$B$22/C543-Assumptions!$B$38</f>
        <v/>
      </c>
      <c r="F543">
        <f>Assumptions!$B$39*Assumptions!$B$21/D543-Assumptions!$B$39</f>
        <v/>
      </c>
      <c r="G543">
        <f>MAX(0,Assumptions!$B$51*(Assumptions!$B$29+E543+F543+G542+H542+I542+Assumptions!$B$4/B543)-Assumptions!$B$30)</f>
        <v/>
      </c>
      <c r="H543">
        <f>Assumptions!$B$23/MIN(Assumptions!$B$24/(Assumptions!$B$29+E543+F543+G543+I542),B543*(1-Assumptions!$B$25))</f>
        <v/>
      </c>
      <c r="I543">
        <f>Assumptions!$B$26/MIN(Assumptions!$B$27/(Assumptions!$B$29+E543+F543+G543+H543),B543*(1-Assumptions!$B$28))</f>
        <v/>
      </c>
      <c r="J543">
        <f>Assumptions!$B$29+E543+F543+G543+H543+I543</f>
        <v/>
      </c>
      <c r="K543">
        <f>J543+Assumptions!$B$4/B543</f>
        <v/>
      </c>
      <c r="L543">
        <f>B543</f>
        <v/>
      </c>
    </row>
    <row r="544">
      <c r="A544" t="inlineStr">
        <is>
          <t>cell(1,1) iter 33</t>
        </is>
      </c>
      <c r="B544">
        <f>Assumptions!$B$54/J543</f>
        <v/>
      </c>
      <c r="C544">
        <f>IF(B544&lt;Assumptions!$B$20,Assumptions!$B$20*(Assumptions!$B$29+Assumptions!$B$4/Assumptions!$B$20)/(Assumptions!$B$29+Assumptions!$B$4/B544),Assumptions!$B$20)</f>
        <v/>
      </c>
      <c r="D544">
        <f>IF(B544&lt;Assumptions!$B$21,Assumptions!$B$21*(Assumptions!$B$29+Assumptions!$B$4/Assumptions!$B$21)/(Assumptions!$B$29+Assumptions!$B$4/B544),Assumptions!$B$21)</f>
        <v/>
      </c>
      <c r="E544">
        <f>Assumptions!$B$37*Assumptions!$B$22/C544-Assumptions!$B$38</f>
        <v/>
      </c>
      <c r="F544">
        <f>Assumptions!$B$39*Assumptions!$B$21/D544-Assumptions!$B$39</f>
        <v/>
      </c>
      <c r="G544">
        <f>MAX(0,Assumptions!$B$51*(Assumptions!$B$29+E544+F544+G543+H543+I543+Assumptions!$B$4/B544)-Assumptions!$B$30)</f>
        <v/>
      </c>
      <c r="H544">
        <f>Assumptions!$B$23/MIN(Assumptions!$B$24/(Assumptions!$B$29+E544+F544+G544+I543),B544*(1-Assumptions!$B$25))</f>
        <v/>
      </c>
      <c r="I544">
        <f>Assumptions!$B$26/MIN(Assumptions!$B$27/(Assumptions!$B$29+E544+F544+G544+H544),B544*(1-Assumptions!$B$28))</f>
        <v/>
      </c>
      <c r="J544">
        <f>Assumptions!$B$29+E544+F544+G544+H544+I544</f>
        <v/>
      </c>
      <c r="K544">
        <f>J544+Assumptions!$B$4/B544</f>
        <v/>
      </c>
      <c r="L544">
        <f>B544</f>
        <v/>
      </c>
    </row>
    <row r="545">
      <c r="A545" t="inlineStr">
        <is>
          <t>cell(1,1) iter 34</t>
        </is>
      </c>
      <c r="B545">
        <f>Assumptions!$B$54/J544</f>
        <v/>
      </c>
      <c r="C545">
        <f>IF(B545&lt;Assumptions!$B$20,Assumptions!$B$20*(Assumptions!$B$29+Assumptions!$B$4/Assumptions!$B$20)/(Assumptions!$B$29+Assumptions!$B$4/B545),Assumptions!$B$20)</f>
        <v/>
      </c>
      <c r="D545">
        <f>IF(B545&lt;Assumptions!$B$21,Assumptions!$B$21*(Assumptions!$B$29+Assumptions!$B$4/Assumptions!$B$21)/(Assumptions!$B$29+Assumptions!$B$4/B545),Assumptions!$B$21)</f>
        <v/>
      </c>
      <c r="E545">
        <f>Assumptions!$B$37*Assumptions!$B$22/C545-Assumptions!$B$38</f>
        <v/>
      </c>
      <c r="F545">
        <f>Assumptions!$B$39*Assumptions!$B$21/D545-Assumptions!$B$39</f>
        <v/>
      </c>
      <c r="G545">
        <f>MAX(0,Assumptions!$B$51*(Assumptions!$B$29+E545+F545+G544+H544+I544+Assumptions!$B$4/B545)-Assumptions!$B$30)</f>
        <v/>
      </c>
      <c r="H545">
        <f>Assumptions!$B$23/MIN(Assumptions!$B$24/(Assumptions!$B$29+E545+F545+G545+I544),B545*(1-Assumptions!$B$25))</f>
        <v/>
      </c>
      <c r="I545">
        <f>Assumptions!$B$26/MIN(Assumptions!$B$27/(Assumptions!$B$29+E545+F545+G545+H545),B545*(1-Assumptions!$B$28))</f>
        <v/>
      </c>
      <c r="J545">
        <f>Assumptions!$B$29+E545+F545+G545+H545+I545</f>
        <v/>
      </c>
      <c r="K545">
        <f>J545+Assumptions!$B$4/B545</f>
        <v/>
      </c>
      <c r="L545">
        <f>B545</f>
        <v/>
      </c>
    </row>
    <row r="546">
      <c r="A546" t="inlineStr">
        <is>
          <t>cell(1,1) iter 35</t>
        </is>
      </c>
      <c r="B546">
        <f>Assumptions!$B$54/J545</f>
        <v/>
      </c>
      <c r="C546">
        <f>IF(B546&lt;Assumptions!$B$20,Assumptions!$B$20*(Assumptions!$B$29+Assumptions!$B$4/Assumptions!$B$20)/(Assumptions!$B$29+Assumptions!$B$4/B546),Assumptions!$B$20)</f>
        <v/>
      </c>
      <c r="D546">
        <f>IF(B546&lt;Assumptions!$B$21,Assumptions!$B$21*(Assumptions!$B$29+Assumptions!$B$4/Assumptions!$B$21)/(Assumptions!$B$29+Assumptions!$B$4/B546),Assumptions!$B$21)</f>
        <v/>
      </c>
      <c r="E546">
        <f>Assumptions!$B$37*Assumptions!$B$22/C546-Assumptions!$B$38</f>
        <v/>
      </c>
      <c r="F546">
        <f>Assumptions!$B$39*Assumptions!$B$21/D546-Assumptions!$B$39</f>
        <v/>
      </c>
      <c r="G546">
        <f>MAX(0,Assumptions!$B$51*(Assumptions!$B$29+E546+F546+G545+H545+I545+Assumptions!$B$4/B546)-Assumptions!$B$30)</f>
        <v/>
      </c>
      <c r="H546">
        <f>Assumptions!$B$23/MIN(Assumptions!$B$24/(Assumptions!$B$29+E546+F546+G546+I545),B546*(1-Assumptions!$B$25))</f>
        <v/>
      </c>
      <c r="I546">
        <f>Assumptions!$B$26/MIN(Assumptions!$B$27/(Assumptions!$B$29+E546+F546+G546+H546),B546*(1-Assumptions!$B$28))</f>
        <v/>
      </c>
      <c r="J546">
        <f>Assumptions!$B$29+E546+F546+G546+H546+I546</f>
        <v/>
      </c>
      <c r="K546">
        <f>J546+Assumptions!$B$4/B546</f>
        <v/>
      </c>
      <c r="L546">
        <f>B546</f>
        <v/>
      </c>
    </row>
    <row r="547">
      <c r="A547" t="inlineStr">
        <is>
          <t>cell(1,1) iter 36</t>
        </is>
      </c>
      <c r="B547">
        <f>Assumptions!$B$54/J546</f>
        <v/>
      </c>
      <c r="C547">
        <f>IF(B547&lt;Assumptions!$B$20,Assumptions!$B$20*(Assumptions!$B$29+Assumptions!$B$4/Assumptions!$B$20)/(Assumptions!$B$29+Assumptions!$B$4/B547),Assumptions!$B$20)</f>
        <v/>
      </c>
      <c r="D547">
        <f>IF(B547&lt;Assumptions!$B$21,Assumptions!$B$21*(Assumptions!$B$29+Assumptions!$B$4/Assumptions!$B$21)/(Assumptions!$B$29+Assumptions!$B$4/B547),Assumptions!$B$21)</f>
        <v/>
      </c>
      <c r="E547">
        <f>Assumptions!$B$37*Assumptions!$B$22/C547-Assumptions!$B$38</f>
        <v/>
      </c>
      <c r="F547">
        <f>Assumptions!$B$39*Assumptions!$B$21/D547-Assumptions!$B$39</f>
        <v/>
      </c>
      <c r="G547">
        <f>MAX(0,Assumptions!$B$51*(Assumptions!$B$29+E547+F547+G546+H546+I546+Assumptions!$B$4/B547)-Assumptions!$B$30)</f>
        <v/>
      </c>
      <c r="H547">
        <f>Assumptions!$B$23/MIN(Assumptions!$B$24/(Assumptions!$B$29+E547+F547+G547+I546),B547*(1-Assumptions!$B$25))</f>
        <v/>
      </c>
      <c r="I547">
        <f>Assumptions!$B$26/MIN(Assumptions!$B$27/(Assumptions!$B$29+E547+F547+G547+H547),B547*(1-Assumptions!$B$28))</f>
        <v/>
      </c>
      <c r="J547">
        <f>Assumptions!$B$29+E547+F547+G547+H547+I547</f>
        <v/>
      </c>
      <c r="K547">
        <f>J547+Assumptions!$B$4/B547</f>
        <v/>
      </c>
      <c r="L547">
        <f>B547</f>
        <v/>
      </c>
    </row>
    <row r="548">
      <c r="A548" t="inlineStr">
        <is>
          <t>cell(1,1) iter 37</t>
        </is>
      </c>
      <c r="B548">
        <f>Assumptions!$B$54/J547</f>
        <v/>
      </c>
      <c r="C548">
        <f>IF(B548&lt;Assumptions!$B$20,Assumptions!$B$20*(Assumptions!$B$29+Assumptions!$B$4/Assumptions!$B$20)/(Assumptions!$B$29+Assumptions!$B$4/B548),Assumptions!$B$20)</f>
        <v/>
      </c>
      <c r="D548">
        <f>IF(B548&lt;Assumptions!$B$21,Assumptions!$B$21*(Assumptions!$B$29+Assumptions!$B$4/Assumptions!$B$21)/(Assumptions!$B$29+Assumptions!$B$4/B548),Assumptions!$B$21)</f>
        <v/>
      </c>
      <c r="E548">
        <f>Assumptions!$B$37*Assumptions!$B$22/C548-Assumptions!$B$38</f>
        <v/>
      </c>
      <c r="F548">
        <f>Assumptions!$B$39*Assumptions!$B$21/D548-Assumptions!$B$39</f>
        <v/>
      </c>
      <c r="G548">
        <f>MAX(0,Assumptions!$B$51*(Assumptions!$B$29+E548+F548+G547+H547+I547+Assumptions!$B$4/B548)-Assumptions!$B$30)</f>
        <v/>
      </c>
      <c r="H548">
        <f>Assumptions!$B$23/MIN(Assumptions!$B$24/(Assumptions!$B$29+E548+F548+G548+I547),B548*(1-Assumptions!$B$25))</f>
        <v/>
      </c>
      <c r="I548">
        <f>Assumptions!$B$26/MIN(Assumptions!$B$27/(Assumptions!$B$29+E548+F548+G548+H548),B548*(1-Assumptions!$B$28))</f>
        <v/>
      </c>
      <c r="J548">
        <f>Assumptions!$B$29+E548+F548+G548+H548+I548</f>
        <v/>
      </c>
      <c r="K548">
        <f>J548+Assumptions!$B$4/B548</f>
        <v/>
      </c>
      <c r="L548">
        <f>B548</f>
        <v/>
      </c>
    </row>
    <row r="549">
      <c r="A549" t="inlineStr">
        <is>
          <t>cell(1,1) iter 38</t>
        </is>
      </c>
      <c r="B549">
        <f>Assumptions!$B$54/J548</f>
        <v/>
      </c>
      <c r="C549">
        <f>IF(B549&lt;Assumptions!$B$20,Assumptions!$B$20*(Assumptions!$B$29+Assumptions!$B$4/Assumptions!$B$20)/(Assumptions!$B$29+Assumptions!$B$4/B549),Assumptions!$B$20)</f>
        <v/>
      </c>
      <c r="D549">
        <f>IF(B549&lt;Assumptions!$B$21,Assumptions!$B$21*(Assumptions!$B$29+Assumptions!$B$4/Assumptions!$B$21)/(Assumptions!$B$29+Assumptions!$B$4/B549),Assumptions!$B$21)</f>
        <v/>
      </c>
      <c r="E549">
        <f>Assumptions!$B$37*Assumptions!$B$22/C549-Assumptions!$B$38</f>
        <v/>
      </c>
      <c r="F549">
        <f>Assumptions!$B$39*Assumptions!$B$21/D549-Assumptions!$B$39</f>
        <v/>
      </c>
      <c r="G549">
        <f>MAX(0,Assumptions!$B$51*(Assumptions!$B$29+E549+F549+G548+H548+I548+Assumptions!$B$4/B549)-Assumptions!$B$30)</f>
        <v/>
      </c>
      <c r="H549">
        <f>Assumptions!$B$23/MIN(Assumptions!$B$24/(Assumptions!$B$29+E549+F549+G549+I548),B549*(1-Assumptions!$B$25))</f>
        <v/>
      </c>
      <c r="I549">
        <f>Assumptions!$B$26/MIN(Assumptions!$B$27/(Assumptions!$B$29+E549+F549+G549+H549),B549*(1-Assumptions!$B$28))</f>
        <v/>
      </c>
      <c r="J549">
        <f>Assumptions!$B$29+E549+F549+G549+H549+I549</f>
        <v/>
      </c>
      <c r="K549">
        <f>J549+Assumptions!$B$4/B549</f>
        <v/>
      </c>
      <c r="L549">
        <f>B549</f>
        <v/>
      </c>
    </row>
    <row r="550">
      <c r="A550" t="inlineStr">
        <is>
          <t>cell(1,1) iter 39</t>
        </is>
      </c>
      <c r="B550">
        <f>Assumptions!$B$54/J549</f>
        <v/>
      </c>
      <c r="C550">
        <f>IF(B550&lt;Assumptions!$B$20,Assumptions!$B$20*(Assumptions!$B$29+Assumptions!$B$4/Assumptions!$B$20)/(Assumptions!$B$29+Assumptions!$B$4/B550),Assumptions!$B$20)</f>
        <v/>
      </c>
      <c r="D550">
        <f>IF(B550&lt;Assumptions!$B$21,Assumptions!$B$21*(Assumptions!$B$29+Assumptions!$B$4/Assumptions!$B$21)/(Assumptions!$B$29+Assumptions!$B$4/B550),Assumptions!$B$21)</f>
        <v/>
      </c>
      <c r="E550">
        <f>Assumptions!$B$37*Assumptions!$B$22/C550-Assumptions!$B$38</f>
        <v/>
      </c>
      <c r="F550">
        <f>Assumptions!$B$39*Assumptions!$B$21/D550-Assumptions!$B$39</f>
        <v/>
      </c>
      <c r="G550">
        <f>MAX(0,Assumptions!$B$51*(Assumptions!$B$29+E550+F550+G549+H549+I549+Assumptions!$B$4/B550)-Assumptions!$B$30)</f>
        <v/>
      </c>
      <c r="H550">
        <f>Assumptions!$B$23/MIN(Assumptions!$B$24/(Assumptions!$B$29+E550+F550+G550+I549),B550*(1-Assumptions!$B$25))</f>
        <v/>
      </c>
      <c r="I550">
        <f>Assumptions!$B$26/MIN(Assumptions!$B$27/(Assumptions!$B$29+E550+F550+G550+H550),B550*(1-Assumptions!$B$28))</f>
        <v/>
      </c>
      <c r="J550">
        <f>Assumptions!$B$29+E550+F550+G550+H550+I550</f>
        <v/>
      </c>
      <c r="K550">
        <f>J550+Assumptions!$B$4/B550</f>
        <v/>
      </c>
      <c r="L550">
        <f>B550</f>
        <v/>
      </c>
    </row>
    <row r="551">
      <c r="A551" t="inlineStr">
        <is>
          <t>cell(1,1) iter 40</t>
        </is>
      </c>
      <c r="B551">
        <f>Assumptions!$B$54/J550</f>
        <v/>
      </c>
      <c r="C551">
        <f>IF(B551&lt;Assumptions!$B$20,Assumptions!$B$20*(Assumptions!$B$29+Assumptions!$B$4/Assumptions!$B$20)/(Assumptions!$B$29+Assumptions!$B$4/B551),Assumptions!$B$20)</f>
        <v/>
      </c>
      <c r="D551">
        <f>IF(B551&lt;Assumptions!$B$21,Assumptions!$B$21*(Assumptions!$B$29+Assumptions!$B$4/Assumptions!$B$21)/(Assumptions!$B$29+Assumptions!$B$4/B551),Assumptions!$B$21)</f>
        <v/>
      </c>
      <c r="E551">
        <f>Assumptions!$B$37*Assumptions!$B$22/C551-Assumptions!$B$38</f>
        <v/>
      </c>
      <c r="F551">
        <f>Assumptions!$B$39*Assumptions!$B$21/D551-Assumptions!$B$39</f>
        <v/>
      </c>
      <c r="G551">
        <f>MAX(0,Assumptions!$B$51*(Assumptions!$B$29+E551+F551+G550+H550+I550+Assumptions!$B$4/B551)-Assumptions!$B$30)</f>
        <v/>
      </c>
      <c r="H551">
        <f>Assumptions!$B$23/MIN(Assumptions!$B$24/(Assumptions!$B$29+E551+F551+G551+I550),B551*(1-Assumptions!$B$25))</f>
        <v/>
      </c>
      <c r="I551">
        <f>Assumptions!$B$26/MIN(Assumptions!$B$27/(Assumptions!$B$29+E551+F551+G551+H551),B551*(1-Assumptions!$B$28))</f>
        <v/>
      </c>
      <c r="J551">
        <f>Assumptions!$B$29+E551+F551+G551+H551+I551</f>
        <v/>
      </c>
      <c r="K551">
        <f>J551+Assumptions!$B$4/B551</f>
        <v/>
      </c>
      <c r="L551">
        <f>B551</f>
        <v/>
      </c>
    </row>
    <row r="552">
      <c r="A552" t="inlineStr">
        <is>
          <t>cell(1,1) iter 41</t>
        </is>
      </c>
      <c r="B552">
        <f>Assumptions!$B$54/J551</f>
        <v/>
      </c>
      <c r="C552">
        <f>IF(B552&lt;Assumptions!$B$20,Assumptions!$B$20*(Assumptions!$B$29+Assumptions!$B$4/Assumptions!$B$20)/(Assumptions!$B$29+Assumptions!$B$4/B552),Assumptions!$B$20)</f>
        <v/>
      </c>
      <c r="D552">
        <f>IF(B552&lt;Assumptions!$B$21,Assumptions!$B$21*(Assumptions!$B$29+Assumptions!$B$4/Assumptions!$B$21)/(Assumptions!$B$29+Assumptions!$B$4/B552),Assumptions!$B$21)</f>
        <v/>
      </c>
      <c r="E552">
        <f>Assumptions!$B$37*Assumptions!$B$22/C552-Assumptions!$B$38</f>
        <v/>
      </c>
      <c r="F552">
        <f>Assumptions!$B$39*Assumptions!$B$21/D552-Assumptions!$B$39</f>
        <v/>
      </c>
      <c r="G552">
        <f>MAX(0,Assumptions!$B$51*(Assumptions!$B$29+E552+F552+G551+H551+I551+Assumptions!$B$4/B552)-Assumptions!$B$30)</f>
        <v/>
      </c>
      <c r="H552">
        <f>Assumptions!$B$23/MIN(Assumptions!$B$24/(Assumptions!$B$29+E552+F552+G552+I551),B552*(1-Assumptions!$B$25))</f>
        <v/>
      </c>
      <c r="I552">
        <f>Assumptions!$B$26/MIN(Assumptions!$B$27/(Assumptions!$B$29+E552+F552+G552+H552),B552*(1-Assumptions!$B$28))</f>
        <v/>
      </c>
      <c r="J552">
        <f>Assumptions!$B$29+E552+F552+G552+H552+I552</f>
        <v/>
      </c>
      <c r="K552">
        <f>J552+Assumptions!$B$4/B552</f>
        <v/>
      </c>
      <c r="L552">
        <f>B552</f>
        <v/>
      </c>
    </row>
    <row r="553">
      <c r="A553" t="inlineStr">
        <is>
          <t>cell(1,1) iter 42</t>
        </is>
      </c>
      <c r="B553">
        <f>Assumptions!$B$54/J552</f>
        <v/>
      </c>
      <c r="C553">
        <f>IF(B553&lt;Assumptions!$B$20,Assumptions!$B$20*(Assumptions!$B$29+Assumptions!$B$4/Assumptions!$B$20)/(Assumptions!$B$29+Assumptions!$B$4/B553),Assumptions!$B$20)</f>
        <v/>
      </c>
      <c r="D553">
        <f>IF(B553&lt;Assumptions!$B$21,Assumptions!$B$21*(Assumptions!$B$29+Assumptions!$B$4/Assumptions!$B$21)/(Assumptions!$B$29+Assumptions!$B$4/B553),Assumptions!$B$21)</f>
        <v/>
      </c>
      <c r="E553">
        <f>Assumptions!$B$37*Assumptions!$B$22/C553-Assumptions!$B$38</f>
        <v/>
      </c>
      <c r="F553">
        <f>Assumptions!$B$39*Assumptions!$B$21/D553-Assumptions!$B$39</f>
        <v/>
      </c>
      <c r="G553">
        <f>MAX(0,Assumptions!$B$51*(Assumptions!$B$29+E553+F553+G552+H552+I552+Assumptions!$B$4/B553)-Assumptions!$B$30)</f>
        <v/>
      </c>
      <c r="H553">
        <f>Assumptions!$B$23/MIN(Assumptions!$B$24/(Assumptions!$B$29+E553+F553+G553+I552),B553*(1-Assumptions!$B$25))</f>
        <v/>
      </c>
      <c r="I553">
        <f>Assumptions!$B$26/MIN(Assumptions!$B$27/(Assumptions!$B$29+E553+F553+G553+H553),B553*(1-Assumptions!$B$28))</f>
        <v/>
      </c>
      <c r="J553">
        <f>Assumptions!$B$29+E553+F553+G553+H553+I553</f>
        <v/>
      </c>
      <c r="K553">
        <f>J553+Assumptions!$B$4/B553</f>
        <v/>
      </c>
      <c r="L553">
        <f>B553</f>
        <v/>
      </c>
    </row>
    <row r="554">
      <c r="A554" t="inlineStr">
        <is>
          <t>cell(1,1) iter 43</t>
        </is>
      </c>
      <c r="B554">
        <f>Assumptions!$B$54/J553</f>
        <v/>
      </c>
      <c r="C554">
        <f>IF(B554&lt;Assumptions!$B$20,Assumptions!$B$20*(Assumptions!$B$29+Assumptions!$B$4/Assumptions!$B$20)/(Assumptions!$B$29+Assumptions!$B$4/B554),Assumptions!$B$20)</f>
        <v/>
      </c>
      <c r="D554">
        <f>IF(B554&lt;Assumptions!$B$21,Assumptions!$B$21*(Assumptions!$B$29+Assumptions!$B$4/Assumptions!$B$21)/(Assumptions!$B$29+Assumptions!$B$4/B554),Assumptions!$B$21)</f>
        <v/>
      </c>
      <c r="E554">
        <f>Assumptions!$B$37*Assumptions!$B$22/C554-Assumptions!$B$38</f>
        <v/>
      </c>
      <c r="F554">
        <f>Assumptions!$B$39*Assumptions!$B$21/D554-Assumptions!$B$39</f>
        <v/>
      </c>
      <c r="G554">
        <f>MAX(0,Assumptions!$B$51*(Assumptions!$B$29+E554+F554+G553+H553+I553+Assumptions!$B$4/B554)-Assumptions!$B$30)</f>
        <v/>
      </c>
      <c r="H554">
        <f>Assumptions!$B$23/MIN(Assumptions!$B$24/(Assumptions!$B$29+E554+F554+G554+I553),B554*(1-Assumptions!$B$25))</f>
        <v/>
      </c>
      <c r="I554">
        <f>Assumptions!$B$26/MIN(Assumptions!$B$27/(Assumptions!$B$29+E554+F554+G554+H554),B554*(1-Assumptions!$B$28))</f>
        <v/>
      </c>
      <c r="J554">
        <f>Assumptions!$B$29+E554+F554+G554+H554+I554</f>
        <v/>
      </c>
      <c r="K554">
        <f>J554+Assumptions!$B$4/B554</f>
        <v/>
      </c>
      <c r="L554">
        <f>B554</f>
        <v/>
      </c>
    </row>
    <row r="555">
      <c r="A555" t="inlineStr">
        <is>
          <t>cell(1,1) iter 44</t>
        </is>
      </c>
      <c r="B555">
        <f>Assumptions!$B$54/J554</f>
        <v/>
      </c>
      <c r="C555">
        <f>IF(B555&lt;Assumptions!$B$20,Assumptions!$B$20*(Assumptions!$B$29+Assumptions!$B$4/Assumptions!$B$20)/(Assumptions!$B$29+Assumptions!$B$4/B555),Assumptions!$B$20)</f>
        <v/>
      </c>
      <c r="D555">
        <f>IF(B555&lt;Assumptions!$B$21,Assumptions!$B$21*(Assumptions!$B$29+Assumptions!$B$4/Assumptions!$B$21)/(Assumptions!$B$29+Assumptions!$B$4/B555),Assumptions!$B$21)</f>
        <v/>
      </c>
      <c r="E555">
        <f>Assumptions!$B$37*Assumptions!$B$22/C555-Assumptions!$B$38</f>
        <v/>
      </c>
      <c r="F555">
        <f>Assumptions!$B$39*Assumptions!$B$21/D555-Assumptions!$B$39</f>
        <v/>
      </c>
      <c r="G555">
        <f>MAX(0,Assumptions!$B$51*(Assumptions!$B$29+E555+F555+G554+H554+I554+Assumptions!$B$4/B555)-Assumptions!$B$30)</f>
        <v/>
      </c>
      <c r="H555">
        <f>Assumptions!$B$23/MIN(Assumptions!$B$24/(Assumptions!$B$29+E555+F555+G555+I554),B555*(1-Assumptions!$B$25))</f>
        <v/>
      </c>
      <c r="I555">
        <f>Assumptions!$B$26/MIN(Assumptions!$B$27/(Assumptions!$B$29+E555+F555+G555+H555),B555*(1-Assumptions!$B$28))</f>
        <v/>
      </c>
      <c r="J555">
        <f>Assumptions!$B$29+E555+F555+G555+H555+I555</f>
        <v/>
      </c>
      <c r="K555">
        <f>J555+Assumptions!$B$4/B555</f>
        <v/>
      </c>
      <c r="L555">
        <f>B555</f>
        <v/>
      </c>
    </row>
    <row r="556">
      <c r="A556" t="inlineStr">
        <is>
          <t>cell(1,1) iter 45</t>
        </is>
      </c>
      <c r="B556">
        <f>Assumptions!$B$54/J555</f>
        <v/>
      </c>
      <c r="C556">
        <f>IF(B556&lt;Assumptions!$B$20,Assumptions!$B$20*(Assumptions!$B$29+Assumptions!$B$4/Assumptions!$B$20)/(Assumptions!$B$29+Assumptions!$B$4/B556),Assumptions!$B$20)</f>
        <v/>
      </c>
      <c r="D556">
        <f>IF(B556&lt;Assumptions!$B$21,Assumptions!$B$21*(Assumptions!$B$29+Assumptions!$B$4/Assumptions!$B$21)/(Assumptions!$B$29+Assumptions!$B$4/B556),Assumptions!$B$21)</f>
        <v/>
      </c>
      <c r="E556">
        <f>Assumptions!$B$37*Assumptions!$B$22/C556-Assumptions!$B$38</f>
        <v/>
      </c>
      <c r="F556">
        <f>Assumptions!$B$39*Assumptions!$B$21/D556-Assumptions!$B$39</f>
        <v/>
      </c>
      <c r="G556">
        <f>MAX(0,Assumptions!$B$51*(Assumptions!$B$29+E556+F556+G555+H555+I555+Assumptions!$B$4/B556)-Assumptions!$B$30)</f>
        <v/>
      </c>
      <c r="H556">
        <f>Assumptions!$B$23/MIN(Assumptions!$B$24/(Assumptions!$B$29+E556+F556+G556+I555),B556*(1-Assumptions!$B$25))</f>
        <v/>
      </c>
      <c r="I556">
        <f>Assumptions!$B$26/MIN(Assumptions!$B$27/(Assumptions!$B$29+E556+F556+G556+H556),B556*(1-Assumptions!$B$28))</f>
        <v/>
      </c>
      <c r="J556">
        <f>Assumptions!$B$29+E556+F556+G556+H556+I556</f>
        <v/>
      </c>
      <c r="K556">
        <f>J556+Assumptions!$B$4/B556</f>
        <v/>
      </c>
      <c r="L556">
        <f>B556</f>
        <v/>
      </c>
    </row>
    <row r="557">
      <c r="A557" t="inlineStr">
        <is>
          <t>cell(1,1) iter 46</t>
        </is>
      </c>
      <c r="B557">
        <f>Assumptions!$B$54/J556</f>
        <v/>
      </c>
      <c r="C557">
        <f>IF(B557&lt;Assumptions!$B$20,Assumptions!$B$20*(Assumptions!$B$29+Assumptions!$B$4/Assumptions!$B$20)/(Assumptions!$B$29+Assumptions!$B$4/B557),Assumptions!$B$20)</f>
        <v/>
      </c>
      <c r="D557">
        <f>IF(B557&lt;Assumptions!$B$21,Assumptions!$B$21*(Assumptions!$B$29+Assumptions!$B$4/Assumptions!$B$21)/(Assumptions!$B$29+Assumptions!$B$4/B557),Assumptions!$B$21)</f>
        <v/>
      </c>
      <c r="E557">
        <f>Assumptions!$B$37*Assumptions!$B$22/C557-Assumptions!$B$38</f>
        <v/>
      </c>
      <c r="F557">
        <f>Assumptions!$B$39*Assumptions!$B$21/D557-Assumptions!$B$39</f>
        <v/>
      </c>
      <c r="G557">
        <f>MAX(0,Assumptions!$B$51*(Assumptions!$B$29+E557+F557+G556+H556+I556+Assumptions!$B$4/B557)-Assumptions!$B$30)</f>
        <v/>
      </c>
      <c r="H557">
        <f>Assumptions!$B$23/MIN(Assumptions!$B$24/(Assumptions!$B$29+E557+F557+G557+I556),B557*(1-Assumptions!$B$25))</f>
        <v/>
      </c>
      <c r="I557">
        <f>Assumptions!$B$26/MIN(Assumptions!$B$27/(Assumptions!$B$29+E557+F557+G557+H557),B557*(1-Assumptions!$B$28))</f>
        <v/>
      </c>
      <c r="J557">
        <f>Assumptions!$B$29+E557+F557+G557+H557+I557</f>
        <v/>
      </c>
      <c r="K557">
        <f>J557+Assumptions!$B$4/B557</f>
        <v/>
      </c>
      <c r="L557">
        <f>B557</f>
        <v/>
      </c>
    </row>
    <row r="558">
      <c r="A558" t="inlineStr">
        <is>
          <t>cell(1,1) iter 47</t>
        </is>
      </c>
      <c r="B558">
        <f>Assumptions!$B$54/J557</f>
        <v/>
      </c>
      <c r="C558">
        <f>IF(B558&lt;Assumptions!$B$20,Assumptions!$B$20*(Assumptions!$B$29+Assumptions!$B$4/Assumptions!$B$20)/(Assumptions!$B$29+Assumptions!$B$4/B558),Assumptions!$B$20)</f>
        <v/>
      </c>
      <c r="D558">
        <f>IF(B558&lt;Assumptions!$B$21,Assumptions!$B$21*(Assumptions!$B$29+Assumptions!$B$4/Assumptions!$B$21)/(Assumptions!$B$29+Assumptions!$B$4/B558),Assumptions!$B$21)</f>
        <v/>
      </c>
      <c r="E558">
        <f>Assumptions!$B$37*Assumptions!$B$22/C558-Assumptions!$B$38</f>
        <v/>
      </c>
      <c r="F558">
        <f>Assumptions!$B$39*Assumptions!$B$21/D558-Assumptions!$B$39</f>
        <v/>
      </c>
      <c r="G558">
        <f>MAX(0,Assumptions!$B$51*(Assumptions!$B$29+E558+F558+G557+H557+I557+Assumptions!$B$4/B558)-Assumptions!$B$30)</f>
        <v/>
      </c>
      <c r="H558">
        <f>Assumptions!$B$23/MIN(Assumptions!$B$24/(Assumptions!$B$29+E558+F558+G558+I557),B558*(1-Assumptions!$B$25))</f>
        <v/>
      </c>
      <c r="I558">
        <f>Assumptions!$B$26/MIN(Assumptions!$B$27/(Assumptions!$B$29+E558+F558+G558+H558),B558*(1-Assumptions!$B$28))</f>
        <v/>
      </c>
      <c r="J558">
        <f>Assumptions!$B$29+E558+F558+G558+H558+I558</f>
        <v/>
      </c>
      <c r="K558">
        <f>J558+Assumptions!$B$4/B558</f>
        <v/>
      </c>
      <c r="L558">
        <f>B558</f>
        <v/>
      </c>
    </row>
    <row r="559">
      <c r="A559" t="inlineStr">
        <is>
          <t>cell(1,1) iter 48</t>
        </is>
      </c>
      <c r="B559">
        <f>Assumptions!$B$54/J558</f>
        <v/>
      </c>
      <c r="C559">
        <f>IF(B559&lt;Assumptions!$B$20,Assumptions!$B$20*(Assumptions!$B$29+Assumptions!$B$4/Assumptions!$B$20)/(Assumptions!$B$29+Assumptions!$B$4/B559),Assumptions!$B$20)</f>
        <v/>
      </c>
      <c r="D559">
        <f>IF(B559&lt;Assumptions!$B$21,Assumptions!$B$21*(Assumptions!$B$29+Assumptions!$B$4/Assumptions!$B$21)/(Assumptions!$B$29+Assumptions!$B$4/B559),Assumptions!$B$21)</f>
        <v/>
      </c>
      <c r="E559">
        <f>Assumptions!$B$37*Assumptions!$B$22/C559-Assumptions!$B$38</f>
        <v/>
      </c>
      <c r="F559">
        <f>Assumptions!$B$39*Assumptions!$B$21/D559-Assumptions!$B$39</f>
        <v/>
      </c>
      <c r="G559">
        <f>MAX(0,Assumptions!$B$51*(Assumptions!$B$29+E559+F559+G558+H558+I558+Assumptions!$B$4/B559)-Assumptions!$B$30)</f>
        <v/>
      </c>
      <c r="H559">
        <f>Assumptions!$B$23/MIN(Assumptions!$B$24/(Assumptions!$B$29+E559+F559+G559+I558),B559*(1-Assumptions!$B$25))</f>
        <v/>
      </c>
      <c r="I559">
        <f>Assumptions!$B$26/MIN(Assumptions!$B$27/(Assumptions!$B$29+E559+F559+G559+H559),B559*(1-Assumptions!$B$28))</f>
        <v/>
      </c>
      <c r="J559">
        <f>Assumptions!$B$29+E559+F559+G559+H559+I559</f>
        <v/>
      </c>
      <c r="K559">
        <f>J559+Assumptions!$B$4/B559</f>
        <v/>
      </c>
      <c r="L559">
        <f>B559</f>
        <v/>
      </c>
    </row>
    <row r="560">
      <c r="A560" t="inlineStr">
        <is>
          <t>cell(1,1) iter 49</t>
        </is>
      </c>
      <c r="B560">
        <f>Assumptions!$B$54/J559</f>
        <v/>
      </c>
      <c r="C560">
        <f>IF(B560&lt;Assumptions!$B$20,Assumptions!$B$20*(Assumptions!$B$29+Assumptions!$B$4/Assumptions!$B$20)/(Assumptions!$B$29+Assumptions!$B$4/B560),Assumptions!$B$20)</f>
        <v/>
      </c>
      <c r="D560">
        <f>IF(B560&lt;Assumptions!$B$21,Assumptions!$B$21*(Assumptions!$B$29+Assumptions!$B$4/Assumptions!$B$21)/(Assumptions!$B$29+Assumptions!$B$4/B560),Assumptions!$B$21)</f>
        <v/>
      </c>
      <c r="E560">
        <f>Assumptions!$B$37*Assumptions!$B$22/C560-Assumptions!$B$38</f>
        <v/>
      </c>
      <c r="F560">
        <f>Assumptions!$B$39*Assumptions!$B$21/D560-Assumptions!$B$39</f>
        <v/>
      </c>
      <c r="G560">
        <f>MAX(0,Assumptions!$B$51*(Assumptions!$B$29+E560+F560+G559+H559+I559+Assumptions!$B$4/B560)-Assumptions!$B$30)</f>
        <v/>
      </c>
      <c r="H560">
        <f>Assumptions!$B$23/MIN(Assumptions!$B$24/(Assumptions!$B$29+E560+F560+G560+I559),B560*(1-Assumptions!$B$25))</f>
        <v/>
      </c>
      <c r="I560">
        <f>Assumptions!$B$26/MIN(Assumptions!$B$27/(Assumptions!$B$29+E560+F560+G560+H560),B560*(1-Assumptions!$B$28))</f>
        <v/>
      </c>
      <c r="J560">
        <f>Assumptions!$B$29+E560+F560+G560+H560+I560</f>
        <v/>
      </c>
      <c r="K560">
        <f>J560+Assumptions!$B$4/B560</f>
        <v/>
      </c>
      <c r="L560">
        <f>B560</f>
        <v/>
      </c>
    </row>
    <row r="561">
      <c r="A561" t="inlineStr">
        <is>
          <t>cell(1,1) iter 50</t>
        </is>
      </c>
      <c r="B561">
        <f>Assumptions!$B$54/J560</f>
        <v/>
      </c>
      <c r="C561">
        <f>IF(B561&lt;Assumptions!$B$20,Assumptions!$B$20*(Assumptions!$B$29+Assumptions!$B$4/Assumptions!$B$20)/(Assumptions!$B$29+Assumptions!$B$4/B561),Assumptions!$B$20)</f>
        <v/>
      </c>
      <c r="D561">
        <f>IF(B561&lt;Assumptions!$B$21,Assumptions!$B$21*(Assumptions!$B$29+Assumptions!$B$4/Assumptions!$B$21)/(Assumptions!$B$29+Assumptions!$B$4/B561),Assumptions!$B$21)</f>
        <v/>
      </c>
      <c r="E561">
        <f>Assumptions!$B$37*Assumptions!$B$22/C561-Assumptions!$B$38</f>
        <v/>
      </c>
      <c r="F561">
        <f>Assumptions!$B$39*Assumptions!$B$21/D561-Assumptions!$B$39</f>
        <v/>
      </c>
      <c r="G561">
        <f>MAX(0,Assumptions!$B$51*(Assumptions!$B$29+E561+F561+G560+H560+I560+Assumptions!$B$4/B561)-Assumptions!$B$30)</f>
        <v/>
      </c>
      <c r="H561">
        <f>Assumptions!$B$23/MIN(Assumptions!$B$24/(Assumptions!$B$29+E561+F561+G561+I560),B561*(1-Assumptions!$B$25))</f>
        <v/>
      </c>
      <c r="I561">
        <f>Assumptions!$B$26/MIN(Assumptions!$B$27/(Assumptions!$B$29+E561+F561+G561+H561),B561*(1-Assumptions!$B$28))</f>
        <v/>
      </c>
      <c r="J561">
        <f>Assumptions!$B$29+E561+F561+G561+H561+I561</f>
        <v/>
      </c>
      <c r="K561">
        <f>J561+Assumptions!$B$4/B561</f>
        <v/>
      </c>
      <c r="L561">
        <f>B561</f>
        <v/>
      </c>
    </row>
    <row r="562">
      <c r="A562" t="inlineStr">
        <is>
          <t>cell(1,1) iter 51</t>
        </is>
      </c>
      <c r="B562">
        <f>Assumptions!$B$54/J561</f>
        <v/>
      </c>
      <c r="C562">
        <f>IF(B562&lt;Assumptions!$B$20,Assumptions!$B$20*(Assumptions!$B$29+Assumptions!$B$4/Assumptions!$B$20)/(Assumptions!$B$29+Assumptions!$B$4/B562),Assumptions!$B$20)</f>
        <v/>
      </c>
      <c r="D562">
        <f>IF(B562&lt;Assumptions!$B$21,Assumptions!$B$21*(Assumptions!$B$29+Assumptions!$B$4/Assumptions!$B$21)/(Assumptions!$B$29+Assumptions!$B$4/B562),Assumptions!$B$21)</f>
        <v/>
      </c>
      <c r="E562">
        <f>Assumptions!$B$37*Assumptions!$B$22/C562-Assumptions!$B$38</f>
        <v/>
      </c>
      <c r="F562">
        <f>Assumptions!$B$39*Assumptions!$B$21/D562-Assumptions!$B$39</f>
        <v/>
      </c>
      <c r="G562">
        <f>MAX(0,Assumptions!$B$51*(Assumptions!$B$29+E562+F562+G561+H561+I561+Assumptions!$B$4/B562)-Assumptions!$B$30)</f>
        <v/>
      </c>
      <c r="H562">
        <f>Assumptions!$B$23/MIN(Assumptions!$B$24/(Assumptions!$B$29+E562+F562+G562+I561),B562*(1-Assumptions!$B$25))</f>
        <v/>
      </c>
      <c r="I562">
        <f>Assumptions!$B$26/MIN(Assumptions!$B$27/(Assumptions!$B$29+E562+F562+G562+H562),B562*(1-Assumptions!$B$28))</f>
        <v/>
      </c>
      <c r="J562">
        <f>Assumptions!$B$29+E562+F562+G562+H562+I562</f>
        <v/>
      </c>
      <c r="K562">
        <f>J562+Assumptions!$B$4/B562</f>
        <v/>
      </c>
      <c r="L562">
        <f>B562</f>
        <v/>
      </c>
    </row>
    <row r="563">
      <c r="A563" t="inlineStr">
        <is>
          <t>cell(1,1) iter 52</t>
        </is>
      </c>
      <c r="B563">
        <f>Assumptions!$B$54/J562</f>
        <v/>
      </c>
      <c r="C563">
        <f>IF(B563&lt;Assumptions!$B$20,Assumptions!$B$20*(Assumptions!$B$29+Assumptions!$B$4/Assumptions!$B$20)/(Assumptions!$B$29+Assumptions!$B$4/B563),Assumptions!$B$20)</f>
        <v/>
      </c>
      <c r="D563">
        <f>IF(B563&lt;Assumptions!$B$21,Assumptions!$B$21*(Assumptions!$B$29+Assumptions!$B$4/Assumptions!$B$21)/(Assumptions!$B$29+Assumptions!$B$4/B563),Assumptions!$B$21)</f>
        <v/>
      </c>
      <c r="E563">
        <f>Assumptions!$B$37*Assumptions!$B$22/C563-Assumptions!$B$38</f>
        <v/>
      </c>
      <c r="F563">
        <f>Assumptions!$B$39*Assumptions!$B$21/D563-Assumptions!$B$39</f>
        <v/>
      </c>
      <c r="G563">
        <f>MAX(0,Assumptions!$B$51*(Assumptions!$B$29+E563+F563+G562+H562+I562+Assumptions!$B$4/B563)-Assumptions!$B$30)</f>
        <v/>
      </c>
      <c r="H563">
        <f>Assumptions!$B$23/MIN(Assumptions!$B$24/(Assumptions!$B$29+E563+F563+G563+I562),B563*(1-Assumptions!$B$25))</f>
        <v/>
      </c>
      <c r="I563">
        <f>Assumptions!$B$26/MIN(Assumptions!$B$27/(Assumptions!$B$29+E563+F563+G563+H563),B563*(1-Assumptions!$B$28))</f>
        <v/>
      </c>
      <c r="J563">
        <f>Assumptions!$B$29+E563+F563+G563+H563+I563</f>
        <v/>
      </c>
      <c r="K563">
        <f>J563+Assumptions!$B$4/B563</f>
        <v/>
      </c>
      <c r="L563">
        <f>B563</f>
        <v/>
      </c>
    </row>
    <row r="564">
      <c r="A564" t="inlineStr">
        <is>
          <t>cell(1,1) iter 53</t>
        </is>
      </c>
      <c r="B564">
        <f>Assumptions!$B$54/J563</f>
        <v/>
      </c>
      <c r="C564">
        <f>IF(B564&lt;Assumptions!$B$20,Assumptions!$B$20*(Assumptions!$B$29+Assumptions!$B$4/Assumptions!$B$20)/(Assumptions!$B$29+Assumptions!$B$4/B564),Assumptions!$B$20)</f>
        <v/>
      </c>
      <c r="D564">
        <f>IF(B564&lt;Assumptions!$B$21,Assumptions!$B$21*(Assumptions!$B$29+Assumptions!$B$4/Assumptions!$B$21)/(Assumptions!$B$29+Assumptions!$B$4/B564),Assumptions!$B$21)</f>
        <v/>
      </c>
      <c r="E564">
        <f>Assumptions!$B$37*Assumptions!$B$22/C564-Assumptions!$B$38</f>
        <v/>
      </c>
      <c r="F564">
        <f>Assumptions!$B$39*Assumptions!$B$21/D564-Assumptions!$B$39</f>
        <v/>
      </c>
      <c r="G564">
        <f>MAX(0,Assumptions!$B$51*(Assumptions!$B$29+E564+F564+G563+H563+I563+Assumptions!$B$4/B564)-Assumptions!$B$30)</f>
        <v/>
      </c>
      <c r="H564">
        <f>Assumptions!$B$23/MIN(Assumptions!$B$24/(Assumptions!$B$29+E564+F564+G564+I563),B564*(1-Assumptions!$B$25))</f>
        <v/>
      </c>
      <c r="I564">
        <f>Assumptions!$B$26/MIN(Assumptions!$B$27/(Assumptions!$B$29+E564+F564+G564+H564),B564*(1-Assumptions!$B$28))</f>
        <v/>
      </c>
      <c r="J564">
        <f>Assumptions!$B$29+E564+F564+G564+H564+I564</f>
        <v/>
      </c>
      <c r="K564">
        <f>J564+Assumptions!$B$4/B564</f>
        <v/>
      </c>
      <c r="L564">
        <f>B564</f>
        <v/>
      </c>
    </row>
    <row r="565">
      <c r="A565" t="inlineStr">
        <is>
          <t>cell(1,1) iter 54</t>
        </is>
      </c>
      <c r="B565">
        <f>Assumptions!$B$54/J564</f>
        <v/>
      </c>
      <c r="C565">
        <f>IF(B565&lt;Assumptions!$B$20,Assumptions!$B$20*(Assumptions!$B$29+Assumptions!$B$4/Assumptions!$B$20)/(Assumptions!$B$29+Assumptions!$B$4/B565),Assumptions!$B$20)</f>
        <v/>
      </c>
      <c r="D565">
        <f>IF(B565&lt;Assumptions!$B$21,Assumptions!$B$21*(Assumptions!$B$29+Assumptions!$B$4/Assumptions!$B$21)/(Assumptions!$B$29+Assumptions!$B$4/B565),Assumptions!$B$21)</f>
        <v/>
      </c>
      <c r="E565">
        <f>Assumptions!$B$37*Assumptions!$B$22/C565-Assumptions!$B$38</f>
        <v/>
      </c>
      <c r="F565">
        <f>Assumptions!$B$39*Assumptions!$B$21/D565-Assumptions!$B$39</f>
        <v/>
      </c>
      <c r="G565">
        <f>MAX(0,Assumptions!$B$51*(Assumptions!$B$29+E565+F565+G564+H564+I564+Assumptions!$B$4/B565)-Assumptions!$B$30)</f>
        <v/>
      </c>
      <c r="H565">
        <f>Assumptions!$B$23/MIN(Assumptions!$B$24/(Assumptions!$B$29+E565+F565+G565+I564),B565*(1-Assumptions!$B$25))</f>
        <v/>
      </c>
      <c r="I565">
        <f>Assumptions!$B$26/MIN(Assumptions!$B$27/(Assumptions!$B$29+E565+F565+G565+H565),B565*(1-Assumptions!$B$28))</f>
        <v/>
      </c>
      <c r="J565">
        <f>Assumptions!$B$29+E565+F565+G565+H565+I565</f>
        <v/>
      </c>
      <c r="K565">
        <f>J565+Assumptions!$B$4/B565</f>
        <v/>
      </c>
      <c r="L565">
        <f>B565</f>
        <v/>
      </c>
    </row>
    <row r="566">
      <c r="A566" t="inlineStr">
        <is>
          <t>cell(1,1) iter 55</t>
        </is>
      </c>
      <c r="B566">
        <f>Assumptions!$B$54/J565</f>
        <v/>
      </c>
      <c r="C566">
        <f>IF(B566&lt;Assumptions!$B$20,Assumptions!$B$20*(Assumptions!$B$29+Assumptions!$B$4/Assumptions!$B$20)/(Assumptions!$B$29+Assumptions!$B$4/B566),Assumptions!$B$20)</f>
        <v/>
      </c>
      <c r="D566">
        <f>IF(B566&lt;Assumptions!$B$21,Assumptions!$B$21*(Assumptions!$B$29+Assumptions!$B$4/Assumptions!$B$21)/(Assumptions!$B$29+Assumptions!$B$4/B566),Assumptions!$B$21)</f>
        <v/>
      </c>
      <c r="E566">
        <f>Assumptions!$B$37*Assumptions!$B$22/C566-Assumptions!$B$38</f>
        <v/>
      </c>
      <c r="F566">
        <f>Assumptions!$B$39*Assumptions!$B$21/D566-Assumptions!$B$39</f>
        <v/>
      </c>
      <c r="G566">
        <f>MAX(0,Assumptions!$B$51*(Assumptions!$B$29+E566+F566+G565+H565+I565+Assumptions!$B$4/B566)-Assumptions!$B$30)</f>
        <v/>
      </c>
      <c r="H566">
        <f>Assumptions!$B$23/MIN(Assumptions!$B$24/(Assumptions!$B$29+E566+F566+G566+I565),B566*(1-Assumptions!$B$25))</f>
        <v/>
      </c>
      <c r="I566">
        <f>Assumptions!$B$26/MIN(Assumptions!$B$27/(Assumptions!$B$29+E566+F566+G566+H566),B566*(1-Assumptions!$B$28))</f>
        <v/>
      </c>
      <c r="J566">
        <f>Assumptions!$B$29+E566+F566+G566+H566+I566</f>
        <v/>
      </c>
      <c r="K566">
        <f>J566+Assumptions!$B$4/B566</f>
        <v/>
      </c>
      <c r="L566">
        <f>B566</f>
        <v/>
      </c>
    </row>
    <row r="567">
      <c r="A567" t="inlineStr">
        <is>
          <t>cell(1,1) iter 56</t>
        </is>
      </c>
      <c r="B567">
        <f>Assumptions!$B$54/J566</f>
        <v/>
      </c>
      <c r="C567">
        <f>IF(B567&lt;Assumptions!$B$20,Assumptions!$B$20*(Assumptions!$B$29+Assumptions!$B$4/Assumptions!$B$20)/(Assumptions!$B$29+Assumptions!$B$4/B567),Assumptions!$B$20)</f>
        <v/>
      </c>
      <c r="D567">
        <f>IF(B567&lt;Assumptions!$B$21,Assumptions!$B$21*(Assumptions!$B$29+Assumptions!$B$4/Assumptions!$B$21)/(Assumptions!$B$29+Assumptions!$B$4/B567),Assumptions!$B$21)</f>
        <v/>
      </c>
      <c r="E567">
        <f>Assumptions!$B$37*Assumptions!$B$22/C567-Assumptions!$B$38</f>
        <v/>
      </c>
      <c r="F567">
        <f>Assumptions!$B$39*Assumptions!$B$21/D567-Assumptions!$B$39</f>
        <v/>
      </c>
      <c r="G567">
        <f>MAX(0,Assumptions!$B$51*(Assumptions!$B$29+E567+F567+G566+H566+I566+Assumptions!$B$4/B567)-Assumptions!$B$30)</f>
        <v/>
      </c>
      <c r="H567">
        <f>Assumptions!$B$23/MIN(Assumptions!$B$24/(Assumptions!$B$29+E567+F567+G567+I566),B567*(1-Assumptions!$B$25))</f>
        <v/>
      </c>
      <c r="I567">
        <f>Assumptions!$B$26/MIN(Assumptions!$B$27/(Assumptions!$B$29+E567+F567+G567+H567),B567*(1-Assumptions!$B$28))</f>
        <v/>
      </c>
      <c r="J567">
        <f>Assumptions!$B$29+E567+F567+G567+H567+I567</f>
        <v/>
      </c>
      <c r="K567">
        <f>J567+Assumptions!$B$4/B567</f>
        <v/>
      </c>
      <c r="L567">
        <f>B567</f>
        <v/>
      </c>
    </row>
    <row r="568">
      <c r="A568" t="inlineStr">
        <is>
          <t>cell(1,1) iter 57</t>
        </is>
      </c>
      <c r="B568">
        <f>Assumptions!$B$54/J567</f>
        <v/>
      </c>
      <c r="C568">
        <f>IF(B568&lt;Assumptions!$B$20,Assumptions!$B$20*(Assumptions!$B$29+Assumptions!$B$4/Assumptions!$B$20)/(Assumptions!$B$29+Assumptions!$B$4/B568),Assumptions!$B$20)</f>
        <v/>
      </c>
      <c r="D568">
        <f>IF(B568&lt;Assumptions!$B$21,Assumptions!$B$21*(Assumptions!$B$29+Assumptions!$B$4/Assumptions!$B$21)/(Assumptions!$B$29+Assumptions!$B$4/B568),Assumptions!$B$21)</f>
        <v/>
      </c>
      <c r="E568">
        <f>Assumptions!$B$37*Assumptions!$B$22/C568-Assumptions!$B$38</f>
        <v/>
      </c>
      <c r="F568">
        <f>Assumptions!$B$39*Assumptions!$B$21/D568-Assumptions!$B$39</f>
        <v/>
      </c>
      <c r="G568">
        <f>MAX(0,Assumptions!$B$51*(Assumptions!$B$29+E568+F568+G567+H567+I567+Assumptions!$B$4/B568)-Assumptions!$B$30)</f>
        <v/>
      </c>
      <c r="H568">
        <f>Assumptions!$B$23/MIN(Assumptions!$B$24/(Assumptions!$B$29+E568+F568+G568+I567),B568*(1-Assumptions!$B$25))</f>
        <v/>
      </c>
      <c r="I568">
        <f>Assumptions!$B$26/MIN(Assumptions!$B$27/(Assumptions!$B$29+E568+F568+G568+H568),B568*(1-Assumptions!$B$28))</f>
        <v/>
      </c>
      <c r="J568">
        <f>Assumptions!$B$29+E568+F568+G568+H568+I568</f>
        <v/>
      </c>
      <c r="K568">
        <f>J568+Assumptions!$B$4/B568</f>
        <v/>
      </c>
      <c r="L568">
        <f>B568</f>
        <v/>
      </c>
    </row>
    <row r="569">
      <c r="A569" t="inlineStr">
        <is>
          <t>cell(1,1) iter 58</t>
        </is>
      </c>
      <c r="B569">
        <f>Assumptions!$B$54/J568</f>
        <v/>
      </c>
      <c r="C569">
        <f>IF(B569&lt;Assumptions!$B$20,Assumptions!$B$20*(Assumptions!$B$29+Assumptions!$B$4/Assumptions!$B$20)/(Assumptions!$B$29+Assumptions!$B$4/B569),Assumptions!$B$20)</f>
        <v/>
      </c>
      <c r="D569">
        <f>IF(B569&lt;Assumptions!$B$21,Assumptions!$B$21*(Assumptions!$B$29+Assumptions!$B$4/Assumptions!$B$21)/(Assumptions!$B$29+Assumptions!$B$4/B569),Assumptions!$B$21)</f>
        <v/>
      </c>
      <c r="E569">
        <f>Assumptions!$B$37*Assumptions!$B$22/C569-Assumptions!$B$38</f>
        <v/>
      </c>
      <c r="F569">
        <f>Assumptions!$B$39*Assumptions!$B$21/D569-Assumptions!$B$39</f>
        <v/>
      </c>
      <c r="G569">
        <f>MAX(0,Assumptions!$B$51*(Assumptions!$B$29+E569+F569+G568+H568+I568+Assumptions!$B$4/B569)-Assumptions!$B$30)</f>
        <v/>
      </c>
      <c r="H569">
        <f>Assumptions!$B$23/MIN(Assumptions!$B$24/(Assumptions!$B$29+E569+F569+G569+I568),B569*(1-Assumptions!$B$25))</f>
        <v/>
      </c>
      <c r="I569">
        <f>Assumptions!$B$26/MIN(Assumptions!$B$27/(Assumptions!$B$29+E569+F569+G569+H569),B569*(1-Assumptions!$B$28))</f>
        <v/>
      </c>
      <c r="J569">
        <f>Assumptions!$B$29+E569+F569+G569+H569+I569</f>
        <v/>
      </c>
      <c r="K569">
        <f>J569+Assumptions!$B$4/B569</f>
        <v/>
      </c>
      <c r="L569">
        <f>B569</f>
        <v/>
      </c>
    </row>
    <row r="570">
      <c r="A570" t="inlineStr">
        <is>
          <t>cell(1,1) iter 59</t>
        </is>
      </c>
      <c r="B570">
        <f>Assumptions!$B$54/J569</f>
        <v/>
      </c>
      <c r="C570">
        <f>IF(B570&lt;Assumptions!$B$20,Assumptions!$B$20*(Assumptions!$B$29+Assumptions!$B$4/Assumptions!$B$20)/(Assumptions!$B$29+Assumptions!$B$4/B570),Assumptions!$B$20)</f>
        <v/>
      </c>
      <c r="D570">
        <f>IF(B570&lt;Assumptions!$B$21,Assumptions!$B$21*(Assumptions!$B$29+Assumptions!$B$4/Assumptions!$B$21)/(Assumptions!$B$29+Assumptions!$B$4/B570),Assumptions!$B$21)</f>
        <v/>
      </c>
      <c r="E570">
        <f>Assumptions!$B$37*Assumptions!$B$22/C570-Assumptions!$B$38</f>
        <v/>
      </c>
      <c r="F570">
        <f>Assumptions!$B$39*Assumptions!$B$21/D570-Assumptions!$B$39</f>
        <v/>
      </c>
      <c r="G570">
        <f>MAX(0,Assumptions!$B$51*(Assumptions!$B$29+E570+F570+G569+H569+I569+Assumptions!$B$4/B570)-Assumptions!$B$30)</f>
        <v/>
      </c>
      <c r="H570">
        <f>Assumptions!$B$23/MIN(Assumptions!$B$24/(Assumptions!$B$29+E570+F570+G570+I569),B570*(1-Assumptions!$B$25))</f>
        <v/>
      </c>
      <c r="I570">
        <f>Assumptions!$B$26/MIN(Assumptions!$B$27/(Assumptions!$B$29+E570+F570+G570+H570),B570*(1-Assumptions!$B$28))</f>
        <v/>
      </c>
      <c r="J570">
        <f>Assumptions!$B$29+E570+F570+G570+H570+I570</f>
        <v/>
      </c>
      <c r="K570">
        <f>J570+Assumptions!$B$4/B570</f>
        <v/>
      </c>
      <c r="L570">
        <f>B570</f>
        <v/>
      </c>
    </row>
    <row r="571">
      <c r="A571" t="inlineStr">
        <is>
          <t>cell(1,1) iter 60</t>
        </is>
      </c>
      <c r="B571">
        <f>Assumptions!$B$54/J570</f>
        <v/>
      </c>
      <c r="C571">
        <f>IF(B571&lt;Assumptions!$B$20,Assumptions!$B$20*(Assumptions!$B$29+Assumptions!$B$4/Assumptions!$B$20)/(Assumptions!$B$29+Assumptions!$B$4/B571),Assumptions!$B$20)</f>
        <v/>
      </c>
      <c r="D571">
        <f>IF(B571&lt;Assumptions!$B$21,Assumptions!$B$21*(Assumptions!$B$29+Assumptions!$B$4/Assumptions!$B$21)/(Assumptions!$B$29+Assumptions!$B$4/B571),Assumptions!$B$21)</f>
        <v/>
      </c>
      <c r="E571">
        <f>Assumptions!$B$37*Assumptions!$B$22/C571-Assumptions!$B$38</f>
        <v/>
      </c>
      <c r="F571">
        <f>Assumptions!$B$39*Assumptions!$B$21/D571-Assumptions!$B$39</f>
        <v/>
      </c>
      <c r="G571">
        <f>MAX(0,Assumptions!$B$51*(Assumptions!$B$29+E571+F571+G570+H570+I570+Assumptions!$B$4/B571)-Assumptions!$B$30)</f>
        <v/>
      </c>
      <c r="H571">
        <f>Assumptions!$B$23/MIN(Assumptions!$B$24/(Assumptions!$B$29+E571+F571+G571+I570),B571*(1-Assumptions!$B$25))</f>
        <v/>
      </c>
      <c r="I571">
        <f>Assumptions!$B$26/MIN(Assumptions!$B$27/(Assumptions!$B$29+E571+F571+G571+H571),B571*(1-Assumptions!$B$28))</f>
        <v/>
      </c>
      <c r="J571">
        <f>Assumptions!$B$29+E571+F571+G571+H571+I571</f>
        <v/>
      </c>
      <c r="K571">
        <f>J571+Assumptions!$B$4/B571</f>
        <v/>
      </c>
      <c r="L571">
        <f>B571</f>
        <v/>
      </c>
    </row>
    <row r="572">
      <c r="A572" t="inlineStr">
        <is>
          <t>cell(1,1) iter 61</t>
        </is>
      </c>
      <c r="B572">
        <f>Assumptions!$B$54/J571</f>
        <v/>
      </c>
      <c r="C572">
        <f>IF(B572&lt;Assumptions!$B$20,Assumptions!$B$20*(Assumptions!$B$29+Assumptions!$B$4/Assumptions!$B$20)/(Assumptions!$B$29+Assumptions!$B$4/B572),Assumptions!$B$20)</f>
        <v/>
      </c>
      <c r="D572">
        <f>IF(B572&lt;Assumptions!$B$21,Assumptions!$B$21*(Assumptions!$B$29+Assumptions!$B$4/Assumptions!$B$21)/(Assumptions!$B$29+Assumptions!$B$4/B572),Assumptions!$B$21)</f>
        <v/>
      </c>
      <c r="E572">
        <f>Assumptions!$B$37*Assumptions!$B$22/C572-Assumptions!$B$38</f>
        <v/>
      </c>
      <c r="F572">
        <f>Assumptions!$B$39*Assumptions!$B$21/D572-Assumptions!$B$39</f>
        <v/>
      </c>
      <c r="G572">
        <f>MAX(0,Assumptions!$B$51*(Assumptions!$B$29+E572+F572+G571+H571+I571+Assumptions!$B$4/B572)-Assumptions!$B$30)</f>
        <v/>
      </c>
      <c r="H572">
        <f>Assumptions!$B$23/MIN(Assumptions!$B$24/(Assumptions!$B$29+E572+F572+G572+I571),B572*(1-Assumptions!$B$25))</f>
        <v/>
      </c>
      <c r="I572">
        <f>Assumptions!$B$26/MIN(Assumptions!$B$27/(Assumptions!$B$29+E572+F572+G572+H572),B572*(1-Assumptions!$B$28))</f>
        <v/>
      </c>
      <c r="J572">
        <f>Assumptions!$B$29+E572+F572+G572+H572+I572</f>
        <v/>
      </c>
      <c r="K572">
        <f>J572+Assumptions!$B$4/B572</f>
        <v/>
      </c>
      <c r="L572">
        <f>B572</f>
        <v/>
      </c>
    </row>
    <row r="573">
      <c r="A573" t="inlineStr">
        <is>
          <t>cell(1,1) iter 62</t>
        </is>
      </c>
      <c r="B573">
        <f>Assumptions!$B$54/J572</f>
        <v/>
      </c>
      <c r="C573">
        <f>IF(B573&lt;Assumptions!$B$20,Assumptions!$B$20*(Assumptions!$B$29+Assumptions!$B$4/Assumptions!$B$20)/(Assumptions!$B$29+Assumptions!$B$4/B573),Assumptions!$B$20)</f>
        <v/>
      </c>
      <c r="D573">
        <f>IF(B573&lt;Assumptions!$B$21,Assumptions!$B$21*(Assumptions!$B$29+Assumptions!$B$4/Assumptions!$B$21)/(Assumptions!$B$29+Assumptions!$B$4/B573),Assumptions!$B$21)</f>
        <v/>
      </c>
      <c r="E573">
        <f>Assumptions!$B$37*Assumptions!$B$22/C573-Assumptions!$B$38</f>
        <v/>
      </c>
      <c r="F573">
        <f>Assumptions!$B$39*Assumptions!$B$21/D573-Assumptions!$B$39</f>
        <v/>
      </c>
      <c r="G573">
        <f>MAX(0,Assumptions!$B$51*(Assumptions!$B$29+E573+F573+G572+H572+I572+Assumptions!$B$4/B573)-Assumptions!$B$30)</f>
        <v/>
      </c>
      <c r="H573">
        <f>Assumptions!$B$23/MIN(Assumptions!$B$24/(Assumptions!$B$29+E573+F573+G573+I572),B573*(1-Assumptions!$B$25))</f>
        <v/>
      </c>
      <c r="I573">
        <f>Assumptions!$B$26/MIN(Assumptions!$B$27/(Assumptions!$B$29+E573+F573+G573+H573),B573*(1-Assumptions!$B$28))</f>
        <v/>
      </c>
      <c r="J573">
        <f>Assumptions!$B$29+E573+F573+G573+H573+I573</f>
        <v/>
      </c>
      <c r="K573">
        <f>J573+Assumptions!$B$4/B573</f>
        <v/>
      </c>
      <c r="L573">
        <f>B573</f>
        <v/>
      </c>
    </row>
    <row r="574">
      <c r="A574" t="inlineStr">
        <is>
          <t>cell(1,1) iter 63</t>
        </is>
      </c>
      <c r="B574">
        <f>Assumptions!$B$54/J573</f>
        <v/>
      </c>
      <c r="C574">
        <f>IF(B574&lt;Assumptions!$B$20,Assumptions!$B$20*(Assumptions!$B$29+Assumptions!$B$4/Assumptions!$B$20)/(Assumptions!$B$29+Assumptions!$B$4/B574),Assumptions!$B$20)</f>
        <v/>
      </c>
      <c r="D574">
        <f>IF(B574&lt;Assumptions!$B$21,Assumptions!$B$21*(Assumptions!$B$29+Assumptions!$B$4/Assumptions!$B$21)/(Assumptions!$B$29+Assumptions!$B$4/B574),Assumptions!$B$21)</f>
        <v/>
      </c>
      <c r="E574">
        <f>Assumptions!$B$37*Assumptions!$B$22/C574-Assumptions!$B$38</f>
        <v/>
      </c>
      <c r="F574">
        <f>Assumptions!$B$39*Assumptions!$B$21/D574-Assumptions!$B$39</f>
        <v/>
      </c>
      <c r="G574">
        <f>MAX(0,Assumptions!$B$51*(Assumptions!$B$29+E574+F574+G573+H573+I573+Assumptions!$B$4/B574)-Assumptions!$B$30)</f>
        <v/>
      </c>
      <c r="H574">
        <f>Assumptions!$B$23/MIN(Assumptions!$B$24/(Assumptions!$B$29+E574+F574+G574+I573),B574*(1-Assumptions!$B$25))</f>
        <v/>
      </c>
      <c r="I574">
        <f>Assumptions!$B$26/MIN(Assumptions!$B$27/(Assumptions!$B$29+E574+F574+G574+H574),B574*(1-Assumptions!$B$28))</f>
        <v/>
      </c>
      <c r="J574">
        <f>Assumptions!$B$29+E574+F574+G574+H574+I574</f>
        <v/>
      </c>
      <c r="K574">
        <f>J574+Assumptions!$B$4/B574</f>
        <v/>
      </c>
      <c r="L574">
        <f>B574</f>
        <v/>
      </c>
    </row>
    <row r="575">
      <c r="A575" t="inlineStr">
        <is>
          <t>cell(1,1) iter 64</t>
        </is>
      </c>
      <c r="B575">
        <f>Assumptions!$B$54/J574</f>
        <v/>
      </c>
      <c r="C575">
        <f>IF(B575&lt;Assumptions!$B$20,Assumptions!$B$20*(Assumptions!$B$29+Assumptions!$B$4/Assumptions!$B$20)/(Assumptions!$B$29+Assumptions!$B$4/B575),Assumptions!$B$20)</f>
        <v/>
      </c>
      <c r="D575">
        <f>IF(B575&lt;Assumptions!$B$21,Assumptions!$B$21*(Assumptions!$B$29+Assumptions!$B$4/Assumptions!$B$21)/(Assumptions!$B$29+Assumptions!$B$4/B575),Assumptions!$B$21)</f>
        <v/>
      </c>
      <c r="E575">
        <f>Assumptions!$B$37*Assumptions!$B$22/C575-Assumptions!$B$38</f>
        <v/>
      </c>
      <c r="F575">
        <f>Assumptions!$B$39*Assumptions!$B$21/D575-Assumptions!$B$39</f>
        <v/>
      </c>
      <c r="G575">
        <f>MAX(0,Assumptions!$B$51*(Assumptions!$B$29+E575+F575+G574+H574+I574+Assumptions!$B$4/B575)-Assumptions!$B$30)</f>
        <v/>
      </c>
      <c r="H575">
        <f>Assumptions!$B$23/MIN(Assumptions!$B$24/(Assumptions!$B$29+E575+F575+G575+I574),B575*(1-Assumptions!$B$25))</f>
        <v/>
      </c>
      <c r="I575">
        <f>Assumptions!$B$26/MIN(Assumptions!$B$27/(Assumptions!$B$29+E575+F575+G575+H575),B575*(1-Assumptions!$B$28))</f>
        <v/>
      </c>
      <c r="J575">
        <f>Assumptions!$B$29+E575+F575+G575+H575+I575</f>
        <v/>
      </c>
      <c r="K575">
        <f>J575+Assumptions!$B$4/B575</f>
        <v/>
      </c>
      <c r="L575">
        <f>B575</f>
        <v/>
      </c>
    </row>
    <row r="576">
      <c r="A576" t="inlineStr">
        <is>
          <t>cell(1,1) iter 65</t>
        </is>
      </c>
      <c r="B576">
        <f>Assumptions!$B$54/J575</f>
        <v/>
      </c>
      <c r="C576">
        <f>IF(B576&lt;Assumptions!$B$20,Assumptions!$B$20*(Assumptions!$B$29+Assumptions!$B$4/Assumptions!$B$20)/(Assumptions!$B$29+Assumptions!$B$4/B576),Assumptions!$B$20)</f>
        <v/>
      </c>
      <c r="D576">
        <f>IF(B576&lt;Assumptions!$B$21,Assumptions!$B$21*(Assumptions!$B$29+Assumptions!$B$4/Assumptions!$B$21)/(Assumptions!$B$29+Assumptions!$B$4/B576),Assumptions!$B$21)</f>
        <v/>
      </c>
      <c r="E576">
        <f>Assumptions!$B$37*Assumptions!$B$22/C576-Assumptions!$B$38</f>
        <v/>
      </c>
      <c r="F576">
        <f>Assumptions!$B$39*Assumptions!$B$21/D576-Assumptions!$B$39</f>
        <v/>
      </c>
      <c r="G576">
        <f>MAX(0,Assumptions!$B$51*(Assumptions!$B$29+E576+F576+G575+H575+I575+Assumptions!$B$4/B576)-Assumptions!$B$30)</f>
        <v/>
      </c>
      <c r="H576">
        <f>Assumptions!$B$23/MIN(Assumptions!$B$24/(Assumptions!$B$29+E576+F576+G576+I575),B576*(1-Assumptions!$B$25))</f>
        <v/>
      </c>
      <c r="I576">
        <f>Assumptions!$B$26/MIN(Assumptions!$B$27/(Assumptions!$B$29+E576+F576+G576+H576),B576*(1-Assumptions!$B$28))</f>
        <v/>
      </c>
      <c r="J576">
        <f>Assumptions!$B$29+E576+F576+G576+H576+I576</f>
        <v/>
      </c>
      <c r="K576">
        <f>J576+Assumptions!$B$4/B576</f>
        <v/>
      </c>
      <c r="L576">
        <f>B576</f>
        <v/>
      </c>
    </row>
    <row r="577">
      <c r="A577" t="inlineStr">
        <is>
          <t>cell(1,1) iter 66</t>
        </is>
      </c>
      <c r="B577">
        <f>Assumptions!$B$54/J576</f>
        <v/>
      </c>
      <c r="C577">
        <f>IF(B577&lt;Assumptions!$B$20,Assumptions!$B$20*(Assumptions!$B$29+Assumptions!$B$4/Assumptions!$B$20)/(Assumptions!$B$29+Assumptions!$B$4/B577),Assumptions!$B$20)</f>
        <v/>
      </c>
      <c r="D577">
        <f>IF(B577&lt;Assumptions!$B$21,Assumptions!$B$21*(Assumptions!$B$29+Assumptions!$B$4/Assumptions!$B$21)/(Assumptions!$B$29+Assumptions!$B$4/B577),Assumptions!$B$21)</f>
        <v/>
      </c>
      <c r="E577">
        <f>Assumptions!$B$37*Assumptions!$B$22/C577-Assumptions!$B$38</f>
        <v/>
      </c>
      <c r="F577">
        <f>Assumptions!$B$39*Assumptions!$B$21/D577-Assumptions!$B$39</f>
        <v/>
      </c>
      <c r="G577">
        <f>MAX(0,Assumptions!$B$51*(Assumptions!$B$29+E577+F577+G576+H576+I576+Assumptions!$B$4/B577)-Assumptions!$B$30)</f>
        <v/>
      </c>
      <c r="H577">
        <f>Assumptions!$B$23/MIN(Assumptions!$B$24/(Assumptions!$B$29+E577+F577+G577+I576),B577*(1-Assumptions!$B$25))</f>
        <v/>
      </c>
      <c r="I577">
        <f>Assumptions!$B$26/MIN(Assumptions!$B$27/(Assumptions!$B$29+E577+F577+G577+H577),B577*(1-Assumptions!$B$28))</f>
        <v/>
      </c>
      <c r="J577">
        <f>Assumptions!$B$29+E577+F577+G577+H577+I577</f>
        <v/>
      </c>
      <c r="K577">
        <f>J577+Assumptions!$B$4/B577</f>
        <v/>
      </c>
      <c r="L577">
        <f>B577</f>
        <v/>
      </c>
    </row>
    <row r="578">
      <c r="A578" t="inlineStr">
        <is>
          <t>cell(1,1) iter 67</t>
        </is>
      </c>
      <c r="B578">
        <f>Assumptions!$B$54/J577</f>
        <v/>
      </c>
      <c r="C578">
        <f>IF(B578&lt;Assumptions!$B$20,Assumptions!$B$20*(Assumptions!$B$29+Assumptions!$B$4/Assumptions!$B$20)/(Assumptions!$B$29+Assumptions!$B$4/B578),Assumptions!$B$20)</f>
        <v/>
      </c>
      <c r="D578">
        <f>IF(B578&lt;Assumptions!$B$21,Assumptions!$B$21*(Assumptions!$B$29+Assumptions!$B$4/Assumptions!$B$21)/(Assumptions!$B$29+Assumptions!$B$4/B578),Assumptions!$B$21)</f>
        <v/>
      </c>
      <c r="E578">
        <f>Assumptions!$B$37*Assumptions!$B$22/C578-Assumptions!$B$38</f>
        <v/>
      </c>
      <c r="F578">
        <f>Assumptions!$B$39*Assumptions!$B$21/D578-Assumptions!$B$39</f>
        <v/>
      </c>
      <c r="G578">
        <f>MAX(0,Assumptions!$B$51*(Assumptions!$B$29+E578+F578+G577+H577+I577+Assumptions!$B$4/B578)-Assumptions!$B$30)</f>
        <v/>
      </c>
      <c r="H578">
        <f>Assumptions!$B$23/MIN(Assumptions!$B$24/(Assumptions!$B$29+E578+F578+G578+I577),B578*(1-Assumptions!$B$25))</f>
        <v/>
      </c>
      <c r="I578">
        <f>Assumptions!$B$26/MIN(Assumptions!$B$27/(Assumptions!$B$29+E578+F578+G578+H578),B578*(1-Assumptions!$B$28))</f>
        <v/>
      </c>
      <c r="J578">
        <f>Assumptions!$B$29+E578+F578+G578+H578+I578</f>
        <v/>
      </c>
      <c r="K578">
        <f>J578+Assumptions!$B$4/B578</f>
        <v/>
      </c>
      <c r="L578">
        <f>B578</f>
        <v/>
      </c>
    </row>
    <row r="579">
      <c r="A579" t="inlineStr">
        <is>
          <t>cell(1,1) iter 68</t>
        </is>
      </c>
      <c r="B579">
        <f>Assumptions!$B$54/J578</f>
        <v/>
      </c>
      <c r="C579">
        <f>IF(B579&lt;Assumptions!$B$20,Assumptions!$B$20*(Assumptions!$B$29+Assumptions!$B$4/Assumptions!$B$20)/(Assumptions!$B$29+Assumptions!$B$4/B579),Assumptions!$B$20)</f>
        <v/>
      </c>
      <c r="D579">
        <f>IF(B579&lt;Assumptions!$B$21,Assumptions!$B$21*(Assumptions!$B$29+Assumptions!$B$4/Assumptions!$B$21)/(Assumptions!$B$29+Assumptions!$B$4/B579),Assumptions!$B$21)</f>
        <v/>
      </c>
      <c r="E579">
        <f>Assumptions!$B$37*Assumptions!$B$22/C579-Assumptions!$B$38</f>
        <v/>
      </c>
      <c r="F579">
        <f>Assumptions!$B$39*Assumptions!$B$21/D579-Assumptions!$B$39</f>
        <v/>
      </c>
      <c r="G579">
        <f>MAX(0,Assumptions!$B$51*(Assumptions!$B$29+E579+F579+G578+H578+I578+Assumptions!$B$4/B579)-Assumptions!$B$30)</f>
        <v/>
      </c>
      <c r="H579">
        <f>Assumptions!$B$23/MIN(Assumptions!$B$24/(Assumptions!$B$29+E579+F579+G579+I578),B579*(1-Assumptions!$B$25))</f>
        <v/>
      </c>
      <c r="I579">
        <f>Assumptions!$B$26/MIN(Assumptions!$B$27/(Assumptions!$B$29+E579+F579+G579+H579),B579*(1-Assumptions!$B$28))</f>
        <v/>
      </c>
      <c r="J579">
        <f>Assumptions!$B$29+E579+F579+G579+H579+I579</f>
        <v/>
      </c>
      <c r="K579">
        <f>J579+Assumptions!$B$4/B579</f>
        <v/>
      </c>
      <c r="L579">
        <f>B579</f>
        <v/>
      </c>
    </row>
    <row r="580">
      <c r="A580" t="inlineStr">
        <is>
          <t>cell(1,1) iter 69</t>
        </is>
      </c>
      <c r="B580">
        <f>Assumptions!$B$54/J579</f>
        <v/>
      </c>
      <c r="C580">
        <f>IF(B580&lt;Assumptions!$B$20,Assumptions!$B$20*(Assumptions!$B$29+Assumptions!$B$4/Assumptions!$B$20)/(Assumptions!$B$29+Assumptions!$B$4/B580),Assumptions!$B$20)</f>
        <v/>
      </c>
      <c r="D580">
        <f>IF(B580&lt;Assumptions!$B$21,Assumptions!$B$21*(Assumptions!$B$29+Assumptions!$B$4/Assumptions!$B$21)/(Assumptions!$B$29+Assumptions!$B$4/B580),Assumptions!$B$21)</f>
        <v/>
      </c>
      <c r="E580">
        <f>Assumptions!$B$37*Assumptions!$B$22/C580-Assumptions!$B$38</f>
        <v/>
      </c>
      <c r="F580">
        <f>Assumptions!$B$39*Assumptions!$B$21/D580-Assumptions!$B$39</f>
        <v/>
      </c>
      <c r="G580">
        <f>MAX(0,Assumptions!$B$51*(Assumptions!$B$29+E580+F580+G579+H579+I579+Assumptions!$B$4/B580)-Assumptions!$B$30)</f>
        <v/>
      </c>
      <c r="H580">
        <f>Assumptions!$B$23/MIN(Assumptions!$B$24/(Assumptions!$B$29+E580+F580+G580+I579),B580*(1-Assumptions!$B$25))</f>
        <v/>
      </c>
      <c r="I580">
        <f>Assumptions!$B$26/MIN(Assumptions!$B$27/(Assumptions!$B$29+E580+F580+G580+H580),B580*(1-Assumptions!$B$28))</f>
        <v/>
      </c>
      <c r="J580">
        <f>Assumptions!$B$29+E580+F580+G580+H580+I580</f>
        <v/>
      </c>
      <c r="K580">
        <f>J580+Assumptions!$B$4/B580</f>
        <v/>
      </c>
      <c r="L580">
        <f>B580</f>
        <v/>
      </c>
    </row>
    <row r="581">
      <c r="A581" t="inlineStr">
        <is>
          <t>cell(1,1) iter 70</t>
        </is>
      </c>
      <c r="B581">
        <f>Assumptions!$B$54/J580</f>
        <v/>
      </c>
      <c r="C581">
        <f>IF(B581&lt;Assumptions!$B$20,Assumptions!$B$20*(Assumptions!$B$29+Assumptions!$B$4/Assumptions!$B$20)/(Assumptions!$B$29+Assumptions!$B$4/B581),Assumptions!$B$20)</f>
        <v/>
      </c>
      <c r="D581">
        <f>IF(B581&lt;Assumptions!$B$21,Assumptions!$B$21*(Assumptions!$B$29+Assumptions!$B$4/Assumptions!$B$21)/(Assumptions!$B$29+Assumptions!$B$4/B581),Assumptions!$B$21)</f>
        <v/>
      </c>
      <c r="E581">
        <f>Assumptions!$B$37*Assumptions!$B$22/C581-Assumptions!$B$38</f>
        <v/>
      </c>
      <c r="F581">
        <f>Assumptions!$B$39*Assumptions!$B$21/D581-Assumptions!$B$39</f>
        <v/>
      </c>
      <c r="G581">
        <f>MAX(0,Assumptions!$B$51*(Assumptions!$B$29+E581+F581+G580+H580+I580+Assumptions!$B$4/B581)-Assumptions!$B$30)</f>
        <v/>
      </c>
      <c r="H581">
        <f>Assumptions!$B$23/MIN(Assumptions!$B$24/(Assumptions!$B$29+E581+F581+G581+I580),B581*(1-Assumptions!$B$25))</f>
        <v/>
      </c>
      <c r="I581">
        <f>Assumptions!$B$26/MIN(Assumptions!$B$27/(Assumptions!$B$29+E581+F581+G581+H581),B581*(1-Assumptions!$B$28))</f>
        <v/>
      </c>
      <c r="J581">
        <f>Assumptions!$B$29+E581+F581+G581+H581+I581</f>
        <v/>
      </c>
      <c r="K581">
        <f>J581+Assumptions!$B$4/B581</f>
        <v/>
      </c>
      <c r="L581">
        <f>B581</f>
        <v/>
      </c>
    </row>
    <row r="582">
      <c r="A582" t="inlineStr">
        <is>
          <t>cell(1,1) iter 71</t>
        </is>
      </c>
      <c r="B582">
        <f>Assumptions!$B$54/J581</f>
        <v/>
      </c>
      <c r="C582">
        <f>IF(B582&lt;Assumptions!$B$20,Assumptions!$B$20*(Assumptions!$B$29+Assumptions!$B$4/Assumptions!$B$20)/(Assumptions!$B$29+Assumptions!$B$4/B582),Assumptions!$B$20)</f>
        <v/>
      </c>
      <c r="D582">
        <f>IF(B582&lt;Assumptions!$B$21,Assumptions!$B$21*(Assumptions!$B$29+Assumptions!$B$4/Assumptions!$B$21)/(Assumptions!$B$29+Assumptions!$B$4/B582),Assumptions!$B$21)</f>
        <v/>
      </c>
      <c r="E582">
        <f>Assumptions!$B$37*Assumptions!$B$22/C582-Assumptions!$B$38</f>
        <v/>
      </c>
      <c r="F582">
        <f>Assumptions!$B$39*Assumptions!$B$21/D582-Assumptions!$B$39</f>
        <v/>
      </c>
      <c r="G582">
        <f>MAX(0,Assumptions!$B$51*(Assumptions!$B$29+E582+F582+G581+H581+I581+Assumptions!$B$4/B582)-Assumptions!$B$30)</f>
        <v/>
      </c>
      <c r="H582">
        <f>Assumptions!$B$23/MIN(Assumptions!$B$24/(Assumptions!$B$29+E582+F582+G582+I581),B582*(1-Assumptions!$B$25))</f>
        <v/>
      </c>
      <c r="I582">
        <f>Assumptions!$B$26/MIN(Assumptions!$B$27/(Assumptions!$B$29+E582+F582+G582+H582),B582*(1-Assumptions!$B$28))</f>
        <v/>
      </c>
      <c r="J582">
        <f>Assumptions!$B$29+E582+F582+G582+H582+I582</f>
        <v/>
      </c>
      <c r="K582">
        <f>J582+Assumptions!$B$4/B582</f>
        <v/>
      </c>
      <c r="L582">
        <f>B582</f>
        <v/>
      </c>
    </row>
    <row r="583">
      <c r="A583" t="inlineStr">
        <is>
          <t>cell(1,1) iter 72</t>
        </is>
      </c>
      <c r="B583">
        <f>Assumptions!$B$54/J582</f>
        <v/>
      </c>
      <c r="C583">
        <f>IF(B583&lt;Assumptions!$B$20,Assumptions!$B$20*(Assumptions!$B$29+Assumptions!$B$4/Assumptions!$B$20)/(Assumptions!$B$29+Assumptions!$B$4/B583),Assumptions!$B$20)</f>
        <v/>
      </c>
      <c r="D583">
        <f>IF(B583&lt;Assumptions!$B$21,Assumptions!$B$21*(Assumptions!$B$29+Assumptions!$B$4/Assumptions!$B$21)/(Assumptions!$B$29+Assumptions!$B$4/B583),Assumptions!$B$21)</f>
        <v/>
      </c>
      <c r="E583">
        <f>Assumptions!$B$37*Assumptions!$B$22/C583-Assumptions!$B$38</f>
        <v/>
      </c>
      <c r="F583">
        <f>Assumptions!$B$39*Assumptions!$B$21/D583-Assumptions!$B$39</f>
        <v/>
      </c>
      <c r="G583">
        <f>MAX(0,Assumptions!$B$51*(Assumptions!$B$29+E583+F583+G582+H582+I582+Assumptions!$B$4/B583)-Assumptions!$B$30)</f>
        <v/>
      </c>
      <c r="H583">
        <f>Assumptions!$B$23/MIN(Assumptions!$B$24/(Assumptions!$B$29+E583+F583+G583+I582),B583*(1-Assumptions!$B$25))</f>
        <v/>
      </c>
      <c r="I583">
        <f>Assumptions!$B$26/MIN(Assumptions!$B$27/(Assumptions!$B$29+E583+F583+G583+H583),B583*(1-Assumptions!$B$28))</f>
        <v/>
      </c>
      <c r="J583">
        <f>Assumptions!$B$29+E583+F583+G583+H583+I583</f>
        <v/>
      </c>
      <c r="K583">
        <f>J583+Assumptions!$B$4/B583</f>
        <v/>
      </c>
      <c r="L583">
        <f>B583</f>
        <v/>
      </c>
    </row>
    <row r="584">
      <c r="A584" t="inlineStr">
        <is>
          <t>cell(1,1) iter 73</t>
        </is>
      </c>
      <c r="B584">
        <f>Assumptions!$B$54/J583</f>
        <v/>
      </c>
      <c r="C584">
        <f>IF(B584&lt;Assumptions!$B$20,Assumptions!$B$20*(Assumptions!$B$29+Assumptions!$B$4/Assumptions!$B$20)/(Assumptions!$B$29+Assumptions!$B$4/B584),Assumptions!$B$20)</f>
        <v/>
      </c>
      <c r="D584">
        <f>IF(B584&lt;Assumptions!$B$21,Assumptions!$B$21*(Assumptions!$B$29+Assumptions!$B$4/Assumptions!$B$21)/(Assumptions!$B$29+Assumptions!$B$4/B584),Assumptions!$B$21)</f>
        <v/>
      </c>
      <c r="E584">
        <f>Assumptions!$B$37*Assumptions!$B$22/C584-Assumptions!$B$38</f>
        <v/>
      </c>
      <c r="F584">
        <f>Assumptions!$B$39*Assumptions!$B$21/D584-Assumptions!$B$39</f>
        <v/>
      </c>
      <c r="G584">
        <f>MAX(0,Assumptions!$B$51*(Assumptions!$B$29+E584+F584+G583+H583+I583+Assumptions!$B$4/B584)-Assumptions!$B$30)</f>
        <v/>
      </c>
      <c r="H584">
        <f>Assumptions!$B$23/MIN(Assumptions!$B$24/(Assumptions!$B$29+E584+F584+G584+I583),B584*(1-Assumptions!$B$25))</f>
        <v/>
      </c>
      <c r="I584">
        <f>Assumptions!$B$26/MIN(Assumptions!$B$27/(Assumptions!$B$29+E584+F584+G584+H584),B584*(1-Assumptions!$B$28))</f>
        <v/>
      </c>
      <c r="J584">
        <f>Assumptions!$B$29+E584+F584+G584+H584+I584</f>
        <v/>
      </c>
      <c r="K584">
        <f>J584+Assumptions!$B$4/B584</f>
        <v/>
      </c>
      <c r="L584">
        <f>B584</f>
        <v/>
      </c>
    </row>
    <row r="585">
      <c r="A585" t="inlineStr">
        <is>
          <t>cell(1,1) iter 74</t>
        </is>
      </c>
      <c r="B585">
        <f>Assumptions!$B$54/J584</f>
        <v/>
      </c>
      <c r="C585">
        <f>IF(B585&lt;Assumptions!$B$20,Assumptions!$B$20*(Assumptions!$B$29+Assumptions!$B$4/Assumptions!$B$20)/(Assumptions!$B$29+Assumptions!$B$4/B585),Assumptions!$B$20)</f>
        <v/>
      </c>
      <c r="D585">
        <f>IF(B585&lt;Assumptions!$B$21,Assumptions!$B$21*(Assumptions!$B$29+Assumptions!$B$4/Assumptions!$B$21)/(Assumptions!$B$29+Assumptions!$B$4/B585),Assumptions!$B$21)</f>
        <v/>
      </c>
      <c r="E585">
        <f>Assumptions!$B$37*Assumptions!$B$22/C585-Assumptions!$B$38</f>
        <v/>
      </c>
      <c r="F585">
        <f>Assumptions!$B$39*Assumptions!$B$21/D585-Assumptions!$B$39</f>
        <v/>
      </c>
      <c r="G585">
        <f>MAX(0,Assumptions!$B$51*(Assumptions!$B$29+E585+F585+G584+H584+I584+Assumptions!$B$4/B585)-Assumptions!$B$30)</f>
        <v/>
      </c>
      <c r="H585">
        <f>Assumptions!$B$23/MIN(Assumptions!$B$24/(Assumptions!$B$29+E585+F585+G585+I584),B585*(1-Assumptions!$B$25))</f>
        <v/>
      </c>
      <c r="I585">
        <f>Assumptions!$B$26/MIN(Assumptions!$B$27/(Assumptions!$B$29+E585+F585+G585+H585),B585*(1-Assumptions!$B$28))</f>
        <v/>
      </c>
      <c r="J585">
        <f>Assumptions!$B$29+E585+F585+G585+H585+I585</f>
        <v/>
      </c>
      <c r="K585">
        <f>J585+Assumptions!$B$4/B585</f>
        <v/>
      </c>
      <c r="L585">
        <f>B585</f>
        <v/>
      </c>
    </row>
    <row r="586">
      <c r="A586" t="inlineStr">
        <is>
          <t>cell(1,1) iter 75</t>
        </is>
      </c>
      <c r="B586">
        <f>Assumptions!$B$54/J585</f>
        <v/>
      </c>
      <c r="C586">
        <f>IF(B586&lt;Assumptions!$B$20,Assumptions!$B$20*(Assumptions!$B$29+Assumptions!$B$4/Assumptions!$B$20)/(Assumptions!$B$29+Assumptions!$B$4/B586),Assumptions!$B$20)</f>
        <v/>
      </c>
      <c r="D586">
        <f>IF(B586&lt;Assumptions!$B$21,Assumptions!$B$21*(Assumptions!$B$29+Assumptions!$B$4/Assumptions!$B$21)/(Assumptions!$B$29+Assumptions!$B$4/B586),Assumptions!$B$21)</f>
        <v/>
      </c>
      <c r="E586">
        <f>Assumptions!$B$37*Assumptions!$B$22/C586-Assumptions!$B$38</f>
        <v/>
      </c>
      <c r="F586">
        <f>Assumptions!$B$39*Assumptions!$B$21/D586-Assumptions!$B$39</f>
        <v/>
      </c>
      <c r="G586">
        <f>MAX(0,Assumptions!$B$51*(Assumptions!$B$29+E586+F586+G585+H585+I585+Assumptions!$B$4/B586)-Assumptions!$B$30)</f>
        <v/>
      </c>
      <c r="H586">
        <f>Assumptions!$B$23/MIN(Assumptions!$B$24/(Assumptions!$B$29+E586+F586+G586+I585),B586*(1-Assumptions!$B$25))</f>
        <v/>
      </c>
      <c r="I586">
        <f>Assumptions!$B$26/MIN(Assumptions!$B$27/(Assumptions!$B$29+E586+F586+G586+H586),B586*(1-Assumptions!$B$28))</f>
        <v/>
      </c>
      <c r="J586">
        <f>Assumptions!$B$29+E586+F586+G586+H586+I586</f>
        <v/>
      </c>
      <c r="K586">
        <f>J586+Assumptions!$B$4/B586</f>
        <v/>
      </c>
      <c r="L586">
        <f>B586</f>
        <v/>
      </c>
    </row>
    <row r="587">
      <c r="A587" t="inlineStr">
        <is>
          <t>cell(1,1) iter 76</t>
        </is>
      </c>
      <c r="B587">
        <f>Assumptions!$B$54/J586</f>
        <v/>
      </c>
      <c r="C587">
        <f>IF(B587&lt;Assumptions!$B$20,Assumptions!$B$20*(Assumptions!$B$29+Assumptions!$B$4/Assumptions!$B$20)/(Assumptions!$B$29+Assumptions!$B$4/B587),Assumptions!$B$20)</f>
        <v/>
      </c>
      <c r="D587">
        <f>IF(B587&lt;Assumptions!$B$21,Assumptions!$B$21*(Assumptions!$B$29+Assumptions!$B$4/Assumptions!$B$21)/(Assumptions!$B$29+Assumptions!$B$4/B587),Assumptions!$B$21)</f>
        <v/>
      </c>
      <c r="E587">
        <f>Assumptions!$B$37*Assumptions!$B$22/C587-Assumptions!$B$38</f>
        <v/>
      </c>
      <c r="F587">
        <f>Assumptions!$B$39*Assumptions!$B$21/D587-Assumptions!$B$39</f>
        <v/>
      </c>
      <c r="G587">
        <f>MAX(0,Assumptions!$B$51*(Assumptions!$B$29+E587+F587+G586+H586+I586+Assumptions!$B$4/B587)-Assumptions!$B$30)</f>
        <v/>
      </c>
      <c r="H587">
        <f>Assumptions!$B$23/MIN(Assumptions!$B$24/(Assumptions!$B$29+E587+F587+G587+I586),B587*(1-Assumptions!$B$25))</f>
        <v/>
      </c>
      <c r="I587">
        <f>Assumptions!$B$26/MIN(Assumptions!$B$27/(Assumptions!$B$29+E587+F587+G587+H587),B587*(1-Assumptions!$B$28))</f>
        <v/>
      </c>
      <c r="J587">
        <f>Assumptions!$B$29+E587+F587+G587+H587+I587</f>
        <v/>
      </c>
      <c r="K587">
        <f>J587+Assumptions!$B$4/B587</f>
        <v/>
      </c>
      <c r="L587">
        <f>B587</f>
        <v/>
      </c>
    </row>
    <row r="588">
      <c r="A588" t="inlineStr">
        <is>
          <t>cell(1,1) iter 77</t>
        </is>
      </c>
      <c r="B588">
        <f>Assumptions!$B$54/J587</f>
        <v/>
      </c>
      <c r="C588">
        <f>IF(B588&lt;Assumptions!$B$20,Assumptions!$B$20*(Assumptions!$B$29+Assumptions!$B$4/Assumptions!$B$20)/(Assumptions!$B$29+Assumptions!$B$4/B588),Assumptions!$B$20)</f>
        <v/>
      </c>
      <c r="D588">
        <f>IF(B588&lt;Assumptions!$B$21,Assumptions!$B$21*(Assumptions!$B$29+Assumptions!$B$4/Assumptions!$B$21)/(Assumptions!$B$29+Assumptions!$B$4/B588),Assumptions!$B$21)</f>
        <v/>
      </c>
      <c r="E588">
        <f>Assumptions!$B$37*Assumptions!$B$22/C588-Assumptions!$B$38</f>
        <v/>
      </c>
      <c r="F588">
        <f>Assumptions!$B$39*Assumptions!$B$21/D588-Assumptions!$B$39</f>
        <v/>
      </c>
      <c r="G588">
        <f>MAX(0,Assumptions!$B$51*(Assumptions!$B$29+E588+F588+G587+H587+I587+Assumptions!$B$4/B588)-Assumptions!$B$30)</f>
        <v/>
      </c>
      <c r="H588">
        <f>Assumptions!$B$23/MIN(Assumptions!$B$24/(Assumptions!$B$29+E588+F588+G588+I587),B588*(1-Assumptions!$B$25))</f>
        <v/>
      </c>
      <c r="I588">
        <f>Assumptions!$B$26/MIN(Assumptions!$B$27/(Assumptions!$B$29+E588+F588+G588+H588),B588*(1-Assumptions!$B$28))</f>
        <v/>
      </c>
      <c r="J588">
        <f>Assumptions!$B$29+E588+F588+G588+H588+I588</f>
        <v/>
      </c>
      <c r="K588">
        <f>J588+Assumptions!$B$4/B588</f>
        <v/>
      </c>
      <c r="L588">
        <f>B588</f>
        <v/>
      </c>
    </row>
    <row r="589">
      <c r="A589" t="inlineStr">
        <is>
          <t>cell(1,1) iter 78</t>
        </is>
      </c>
      <c r="B589">
        <f>Assumptions!$B$54/J588</f>
        <v/>
      </c>
      <c r="C589">
        <f>IF(B589&lt;Assumptions!$B$20,Assumptions!$B$20*(Assumptions!$B$29+Assumptions!$B$4/Assumptions!$B$20)/(Assumptions!$B$29+Assumptions!$B$4/B589),Assumptions!$B$20)</f>
        <v/>
      </c>
      <c r="D589">
        <f>IF(B589&lt;Assumptions!$B$21,Assumptions!$B$21*(Assumptions!$B$29+Assumptions!$B$4/Assumptions!$B$21)/(Assumptions!$B$29+Assumptions!$B$4/B589),Assumptions!$B$21)</f>
        <v/>
      </c>
      <c r="E589">
        <f>Assumptions!$B$37*Assumptions!$B$22/C589-Assumptions!$B$38</f>
        <v/>
      </c>
      <c r="F589">
        <f>Assumptions!$B$39*Assumptions!$B$21/D589-Assumptions!$B$39</f>
        <v/>
      </c>
      <c r="G589">
        <f>MAX(0,Assumptions!$B$51*(Assumptions!$B$29+E589+F589+G588+H588+I588+Assumptions!$B$4/B589)-Assumptions!$B$30)</f>
        <v/>
      </c>
      <c r="H589">
        <f>Assumptions!$B$23/MIN(Assumptions!$B$24/(Assumptions!$B$29+E589+F589+G589+I588),B589*(1-Assumptions!$B$25))</f>
        <v/>
      </c>
      <c r="I589">
        <f>Assumptions!$B$26/MIN(Assumptions!$B$27/(Assumptions!$B$29+E589+F589+G589+H589),B589*(1-Assumptions!$B$28))</f>
        <v/>
      </c>
      <c r="J589">
        <f>Assumptions!$B$29+E589+F589+G589+H589+I589</f>
        <v/>
      </c>
      <c r="K589">
        <f>J589+Assumptions!$B$4/B589</f>
        <v/>
      </c>
      <c r="L589">
        <f>B589</f>
        <v/>
      </c>
    </row>
    <row r="590">
      <c r="A590" t="inlineStr">
        <is>
          <t>cell(1,1) iter 79</t>
        </is>
      </c>
      <c r="B590">
        <f>Assumptions!$B$54/J589</f>
        <v/>
      </c>
      <c r="C590">
        <f>IF(B590&lt;Assumptions!$B$20,Assumptions!$B$20*(Assumptions!$B$29+Assumptions!$B$4/Assumptions!$B$20)/(Assumptions!$B$29+Assumptions!$B$4/B590),Assumptions!$B$20)</f>
        <v/>
      </c>
      <c r="D590">
        <f>IF(B590&lt;Assumptions!$B$21,Assumptions!$B$21*(Assumptions!$B$29+Assumptions!$B$4/Assumptions!$B$21)/(Assumptions!$B$29+Assumptions!$B$4/B590),Assumptions!$B$21)</f>
        <v/>
      </c>
      <c r="E590">
        <f>Assumptions!$B$37*Assumptions!$B$22/C590-Assumptions!$B$38</f>
        <v/>
      </c>
      <c r="F590">
        <f>Assumptions!$B$39*Assumptions!$B$21/D590-Assumptions!$B$39</f>
        <v/>
      </c>
      <c r="G590">
        <f>MAX(0,Assumptions!$B$51*(Assumptions!$B$29+E590+F590+G589+H589+I589+Assumptions!$B$4/B590)-Assumptions!$B$30)</f>
        <v/>
      </c>
      <c r="H590">
        <f>Assumptions!$B$23/MIN(Assumptions!$B$24/(Assumptions!$B$29+E590+F590+G590+I589),B590*(1-Assumptions!$B$25))</f>
        <v/>
      </c>
      <c r="I590">
        <f>Assumptions!$B$26/MIN(Assumptions!$B$27/(Assumptions!$B$29+E590+F590+G590+H590),B590*(1-Assumptions!$B$28))</f>
        <v/>
      </c>
      <c r="J590">
        <f>Assumptions!$B$29+E590+F590+G590+H590+I590</f>
        <v/>
      </c>
      <c r="K590">
        <f>J590+Assumptions!$B$4/B590</f>
        <v/>
      </c>
      <c r="L590">
        <f>B590</f>
        <v/>
      </c>
    </row>
    <row r="591">
      <c r="A591" t="inlineStr">
        <is>
          <t>cell(1,1) iter 80</t>
        </is>
      </c>
      <c r="B591">
        <f>Assumptions!$B$54/J590</f>
        <v/>
      </c>
      <c r="C591">
        <f>IF(B591&lt;Assumptions!$B$20,Assumptions!$B$20*(Assumptions!$B$29+Assumptions!$B$4/Assumptions!$B$20)/(Assumptions!$B$29+Assumptions!$B$4/B591),Assumptions!$B$20)</f>
        <v/>
      </c>
      <c r="D591">
        <f>IF(B591&lt;Assumptions!$B$21,Assumptions!$B$21*(Assumptions!$B$29+Assumptions!$B$4/Assumptions!$B$21)/(Assumptions!$B$29+Assumptions!$B$4/B591),Assumptions!$B$21)</f>
        <v/>
      </c>
      <c r="E591">
        <f>Assumptions!$B$37*Assumptions!$B$22/C591-Assumptions!$B$38</f>
        <v/>
      </c>
      <c r="F591">
        <f>Assumptions!$B$39*Assumptions!$B$21/D591-Assumptions!$B$39</f>
        <v/>
      </c>
      <c r="G591">
        <f>MAX(0,Assumptions!$B$51*(Assumptions!$B$29+E591+F591+G590+H590+I590+Assumptions!$B$4/B591)-Assumptions!$B$30)</f>
        <v/>
      </c>
      <c r="H591">
        <f>Assumptions!$B$23/MIN(Assumptions!$B$24/(Assumptions!$B$29+E591+F591+G591+I590),B591*(1-Assumptions!$B$25))</f>
        <v/>
      </c>
      <c r="I591">
        <f>Assumptions!$B$26/MIN(Assumptions!$B$27/(Assumptions!$B$29+E591+F591+G591+H591),B591*(1-Assumptions!$B$28))</f>
        <v/>
      </c>
      <c r="J591">
        <f>Assumptions!$B$29+E591+F591+G591+H591+I591</f>
        <v/>
      </c>
      <c r="K591">
        <f>J591+Assumptions!$B$4/B591</f>
        <v/>
      </c>
      <c r="L591">
        <f>B591</f>
        <v/>
      </c>
    </row>
    <row r="594">
      <c r="A594" s="1" t="inlineStr">
        <is>
          <t>Waterfall ladder ($2B exit)</t>
        </is>
      </c>
    </row>
    <row r="595">
      <c r="A595" s="1" t="inlineStr">
        <is>
          <t>Step</t>
        </is>
      </c>
      <c r="B595" s="1" t="inlineStr">
        <is>
          <t>F_el</t>
        </is>
      </c>
      <c r="C595" s="1" t="inlineStr">
        <is>
          <t>E_el</t>
        </is>
      </c>
      <c r="D595" s="1" t="inlineStr">
        <is>
          <t>D_el</t>
        </is>
      </c>
      <c r="E595" s="1" t="inlineStr">
        <is>
          <t>C_el</t>
        </is>
      </c>
      <c r="F595" s="1" t="inlineStr">
        <is>
          <t>B_el</t>
        </is>
      </c>
      <c r="G595" s="1" t="inlineStr">
        <is>
          <t>A_el</t>
        </is>
      </c>
      <c r="H595" s="1" t="inlineStr">
        <is>
          <t>Seed_el</t>
        </is>
      </c>
      <c r="I595" s="1" t="inlineStr">
        <is>
          <t>prefs</t>
        </is>
      </c>
      <c r="J595" s="1" t="inlineStr">
        <is>
          <t>conv_sh</t>
        </is>
      </c>
      <c r="K595" s="1" t="inlineStr">
        <is>
          <t>cpool</t>
        </is>
      </c>
      <c r="L595" s="1" t="inlineStr">
        <is>
          <t>ITM_PPS</t>
        </is>
      </c>
      <c r="M595" s="1" t="inlineStr">
        <is>
          <t>ITM?</t>
        </is>
      </c>
      <c r="N595" s="1" t="inlineStr">
        <is>
          <t>common_PPS</t>
        </is>
      </c>
      <c r="O595" s="1" t="inlineStr">
        <is>
          <t>opt_proc</t>
        </is>
      </c>
    </row>
    <row r="596">
      <c r="A596" t="inlineStr">
        <is>
          <t>seed (all convert)</t>
        </is>
      </c>
      <c r="B596">
        <f>"convert"</f>
        <v/>
      </c>
      <c r="C596">
        <f>"convert"</f>
        <v/>
      </c>
      <c r="D596">
        <f>"convert"</f>
        <v/>
      </c>
      <c r="E596">
        <f>"convert"</f>
        <v/>
      </c>
      <c r="F596">
        <f>"convert"</f>
        <v/>
      </c>
      <c r="G596">
        <f>"convert"</f>
        <v/>
      </c>
      <c r="H596">
        <f>"convert"</f>
        <v/>
      </c>
      <c r="I596">
        <f>IF(B596="preference",Assumptions!$B$4,0)+IF(C596="preference",Assumptions!$B$45,0)+IF(D596="preference",Assumptions!$B$44,0)+IF(E596="preference",Assumptions!$B$43,0)+IF(F596="preference",Assumptions!$B$42,0)+IF(G596="preference",Assumptions!$B$41,0)+IF(H596="preference",Assumptions!$B$40,0)</f>
        <v/>
      </c>
      <c r="J596">
        <f>IF(B596="convert",(Assumptions!$B$4/B591),0)+IF(C596="convert",(Assumptions!$B$39+F591),0)+IF(D596="convert",(Assumptions!$B$38+E591),0)+IF(E596="convert",Assumptions!$B$36,0)+IF(F596="convert",Assumptions!$B$35,0)+IF(G596="convert",Assumptions!$B$34,0)+IF(H596="convert",Assumptions!$B$33,0)</f>
        <v/>
      </c>
      <c r="K596">
        <f>(Assumptions!$B$46+Assumptions!$B$47+Assumptions!$B$48)+Assumptions!$B$49+(H591+I591)+J596</f>
        <v/>
      </c>
      <c r="L596">
        <f>(Assumptions!$B$13-I596+Assumptions!$B$31*Assumptions!$B$10)/(K596+Assumptions!$B$31)</f>
        <v/>
      </c>
      <c r="M596">
        <f>IF(L596&gt;Assumptions!$B$10,"yes","no")</f>
        <v/>
      </c>
      <c r="N596">
        <f>IF(M596="yes",L596,MAX(0,(Assumptions!$B$13-I596)/K596))</f>
        <v/>
      </c>
      <c r="O596">
        <f>IF(M596="yes",Assumptions!$B$31*(N596-Assumptions!$B$10),0)</f>
        <v/>
      </c>
    </row>
    <row r="597">
      <c r="A597" t="inlineStr">
        <is>
          <t>iter 1</t>
        </is>
      </c>
      <c r="B597">
        <f>IF(Assumptions!$B$4&gt;(Assumptions!$B$4/B591)*N596,"preference","convert")</f>
        <v/>
      </c>
      <c r="C597">
        <f>IF(Assumptions!$B$45&gt;(Assumptions!$B$39+F591)*N596,"preference","convert")</f>
        <v/>
      </c>
      <c r="D597">
        <f>IF(Assumptions!$B$44&gt;(Assumptions!$B$38+E591)*N596,"preference","convert")</f>
        <v/>
      </c>
      <c r="E597">
        <f>IF(Assumptions!$B$43&gt;Assumptions!$B$36*N596,"preference","convert")</f>
        <v/>
      </c>
      <c r="F597">
        <f>IF(Assumptions!$B$42&gt;Assumptions!$B$35*N596,"preference","convert")</f>
        <v/>
      </c>
      <c r="G597">
        <f>IF(Assumptions!$B$41&gt;Assumptions!$B$34*N596,"preference","convert")</f>
        <v/>
      </c>
      <c r="H597">
        <f>IF(Assumptions!$B$40&gt;Assumptions!$B$33*N596,"preference","convert")</f>
        <v/>
      </c>
      <c r="I597">
        <f>IF(B597="preference",Assumptions!$B$4,0)+IF(C597="preference",Assumptions!$B$45,0)+IF(D597="preference",Assumptions!$B$44,0)+IF(E597="preference",Assumptions!$B$43,0)+IF(F597="preference",Assumptions!$B$42,0)+IF(G597="preference",Assumptions!$B$41,0)+IF(H597="preference",Assumptions!$B$40,0)</f>
        <v/>
      </c>
      <c r="J597">
        <f>IF(B597="convert",(Assumptions!$B$4/B591),0)+IF(C597="convert",(Assumptions!$B$39+F591),0)+IF(D597="convert",(Assumptions!$B$38+E591),0)+IF(E597="convert",Assumptions!$B$36,0)+IF(F597="convert",Assumptions!$B$35,0)+IF(G597="convert",Assumptions!$B$34,0)+IF(H597="convert",Assumptions!$B$33,0)</f>
        <v/>
      </c>
      <c r="K597">
        <f>(Assumptions!$B$46+Assumptions!$B$47+Assumptions!$B$48)+Assumptions!$B$49+(H591+I591)+J597</f>
        <v/>
      </c>
      <c r="L597">
        <f>(Assumptions!$B$13-I597+Assumptions!$B$31*Assumptions!$B$10)/(K597+Assumptions!$B$31)</f>
        <v/>
      </c>
      <c r="M597">
        <f>IF(L597&gt;Assumptions!$B$10,"yes","no")</f>
        <v/>
      </c>
      <c r="N597">
        <f>IF(M597="yes",L597,MAX(0,(Assumptions!$B$13-I597)/K597))</f>
        <v/>
      </c>
      <c r="O597">
        <f>IF(M597="yes",Assumptions!$B$31*(N597-Assumptions!$B$10),0)</f>
        <v/>
      </c>
    </row>
    <row r="598">
      <c r="A598" t="inlineStr">
        <is>
          <t>iter 2</t>
        </is>
      </c>
      <c r="B598">
        <f>IF(Assumptions!$B$4&gt;(Assumptions!$B$4/B591)*N597,"preference","convert")</f>
        <v/>
      </c>
      <c r="C598">
        <f>IF(Assumptions!$B$45&gt;(Assumptions!$B$39+F591)*N597,"preference","convert")</f>
        <v/>
      </c>
      <c r="D598">
        <f>IF(Assumptions!$B$44&gt;(Assumptions!$B$38+E591)*N597,"preference","convert")</f>
        <v/>
      </c>
      <c r="E598">
        <f>IF(Assumptions!$B$43&gt;Assumptions!$B$36*N597,"preference","convert")</f>
        <v/>
      </c>
      <c r="F598">
        <f>IF(Assumptions!$B$42&gt;Assumptions!$B$35*N597,"preference","convert")</f>
        <v/>
      </c>
      <c r="G598">
        <f>IF(Assumptions!$B$41&gt;Assumptions!$B$34*N597,"preference","convert")</f>
        <v/>
      </c>
      <c r="H598">
        <f>IF(Assumptions!$B$40&gt;Assumptions!$B$33*N597,"preference","convert")</f>
        <v/>
      </c>
      <c r="I598">
        <f>IF(B598="preference",Assumptions!$B$4,0)+IF(C598="preference",Assumptions!$B$45,0)+IF(D598="preference",Assumptions!$B$44,0)+IF(E598="preference",Assumptions!$B$43,0)+IF(F598="preference",Assumptions!$B$42,0)+IF(G598="preference",Assumptions!$B$41,0)+IF(H598="preference",Assumptions!$B$40,0)</f>
        <v/>
      </c>
      <c r="J598">
        <f>IF(B598="convert",(Assumptions!$B$4/B591),0)+IF(C598="convert",(Assumptions!$B$39+F591),0)+IF(D598="convert",(Assumptions!$B$38+E591),0)+IF(E598="convert",Assumptions!$B$36,0)+IF(F598="convert",Assumptions!$B$35,0)+IF(G598="convert",Assumptions!$B$34,0)+IF(H598="convert",Assumptions!$B$33,0)</f>
        <v/>
      </c>
      <c r="K598">
        <f>(Assumptions!$B$46+Assumptions!$B$47+Assumptions!$B$48)+Assumptions!$B$49+(H591+I591)+J598</f>
        <v/>
      </c>
      <c r="L598">
        <f>(Assumptions!$B$13-I598+Assumptions!$B$31*Assumptions!$B$10)/(K598+Assumptions!$B$31)</f>
        <v/>
      </c>
      <c r="M598">
        <f>IF(L598&gt;Assumptions!$B$10,"yes","no")</f>
        <v/>
      </c>
      <c r="N598">
        <f>IF(M598="yes",L598,MAX(0,(Assumptions!$B$13-I598)/K598))</f>
        <v/>
      </c>
      <c r="O598">
        <f>IF(M598="yes",Assumptions!$B$31*(N598-Assumptions!$B$10),0)</f>
        <v/>
      </c>
    </row>
    <row r="599">
      <c r="A599" t="inlineStr">
        <is>
          <t>iter 3</t>
        </is>
      </c>
      <c r="B599">
        <f>IF(Assumptions!$B$4&gt;(Assumptions!$B$4/B591)*N598,"preference","convert")</f>
        <v/>
      </c>
      <c r="C599">
        <f>IF(Assumptions!$B$45&gt;(Assumptions!$B$39+F591)*N598,"preference","convert")</f>
        <v/>
      </c>
      <c r="D599">
        <f>IF(Assumptions!$B$44&gt;(Assumptions!$B$38+E591)*N598,"preference","convert")</f>
        <v/>
      </c>
      <c r="E599">
        <f>IF(Assumptions!$B$43&gt;Assumptions!$B$36*N598,"preference","convert")</f>
        <v/>
      </c>
      <c r="F599">
        <f>IF(Assumptions!$B$42&gt;Assumptions!$B$35*N598,"preference","convert")</f>
        <v/>
      </c>
      <c r="G599">
        <f>IF(Assumptions!$B$41&gt;Assumptions!$B$34*N598,"preference","convert")</f>
        <v/>
      </c>
      <c r="H599">
        <f>IF(Assumptions!$B$40&gt;Assumptions!$B$33*N598,"preference","convert")</f>
        <v/>
      </c>
      <c r="I599">
        <f>IF(B599="preference",Assumptions!$B$4,0)+IF(C599="preference",Assumptions!$B$45,0)+IF(D599="preference",Assumptions!$B$44,0)+IF(E599="preference",Assumptions!$B$43,0)+IF(F599="preference",Assumptions!$B$42,0)+IF(G599="preference",Assumptions!$B$41,0)+IF(H599="preference",Assumptions!$B$40,0)</f>
        <v/>
      </c>
      <c r="J599">
        <f>IF(B599="convert",(Assumptions!$B$4/B591),0)+IF(C599="convert",(Assumptions!$B$39+F591),0)+IF(D599="convert",(Assumptions!$B$38+E591),0)+IF(E599="convert",Assumptions!$B$36,0)+IF(F599="convert",Assumptions!$B$35,0)+IF(G599="convert",Assumptions!$B$34,0)+IF(H599="convert",Assumptions!$B$33,0)</f>
        <v/>
      </c>
      <c r="K599">
        <f>(Assumptions!$B$46+Assumptions!$B$47+Assumptions!$B$48)+Assumptions!$B$49+(H591+I591)+J599</f>
        <v/>
      </c>
      <c r="L599">
        <f>(Assumptions!$B$13-I599+Assumptions!$B$31*Assumptions!$B$10)/(K599+Assumptions!$B$31)</f>
        <v/>
      </c>
      <c r="M599">
        <f>IF(L599&gt;Assumptions!$B$10,"yes","no")</f>
        <v/>
      </c>
      <c r="N599">
        <f>IF(M599="yes",L599,MAX(0,(Assumptions!$B$13-I599)/K599))</f>
        <v/>
      </c>
      <c r="O599">
        <f>IF(M599="yes",Assumptions!$B$31*(N599-Assumptions!$B$10),0)</f>
        <v/>
      </c>
    </row>
    <row r="600">
      <c r="A600" t="inlineStr">
        <is>
          <t>iter 4</t>
        </is>
      </c>
      <c r="B600">
        <f>IF(Assumptions!$B$4&gt;(Assumptions!$B$4/B591)*N599,"preference","convert")</f>
        <v/>
      </c>
      <c r="C600">
        <f>IF(Assumptions!$B$45&gt;(Assumptions!$B$39+F591)*N599,"preference","convert")</f>
        <v/>
      </c>
      <c r="D600">
        <f>IF(Assumptions!$B$44&gt;(Assumptions!$B$38+E591)*N599,"preference","convert")</f>
        <v/>
      </c>
      <c r="E600">
        <f>IF(Assumptions!$B$43&gt;Assumptions!$B$36*N599,"preference","convert")</f>
        <v/>
      </c>
      <c r="F600">
        <f>IF(Assumptions!$B$42&gt;Assumptions!$B$35*N599,"preference","convert")</f>
        <v/>
      </c>
      <c r="G600">
        <f>IF(Assumptions!$B$41&gt;Assumptions!$B$34*N599,"preference","convert")</f>
        <v/>
      </c>
      <c r="H600">
        <f>IF(Assumptions!$B$40&gt;Assumptions!$B$33*N599,"preference","convert")</f>
        <v/>
      </c>
      <c r="I600">
        <f>IF(B600="preference",Assumptions!$B$4,0)+IF(C600="preference",Assumptions!$B$45,0)+IF(D600="preference",Assumptions!$B$44,0)+IF(E600="preference",Assumptions!$B$43,0)+IF(F600="preference",Assumptions!$B$42,0)+IF(G600="preference",Assumptions!$B$41,0)+IF(H600="preference",Assumptions!$B$40,0)</f>
        <v/>
      </c>
      <c r="J600">
        <f>IF(B600="convert",(Assumptions!$B$4/B591),0)+IF(C600="convert",(Assumptions!$B$39+F591),0)+IF(D600="convert",(Assumptions!$B$38+E591),0)+IF(E600="convert",Assumptions!$B$36,0)+IF(F600="convert",Assumptions!$B$35,0)+IF(G600="convert",Assumptions!$B$34,0)+IF(H600="convert",Assumptions!$B$33,0)</f>
        <v/>
      </c>
      <c r="K600">
        <f>(Assumptions!$B$46+Assumptions!$B$47+Assumptions!$B$48)+Assumptions!$B$49+(H591+I591)+J600</f>
        <v/>
      </c>
      <c r="L600">
        <f>(Assumptions!$B$13-I600+Assumptions!$B$31*Assumptions!$B$10)/(K600+Assumptions!$B$31)</f>
        <v/>
      </c>
      <c r="M600">
        <f>IF(L600&gt;Assumptions!$B$10,"yes","no")</f>
        <v/>
      </c>
      <c r="N600">
        <f>IF(M600="yes",L600,MAX(0,(Assumptions!$B$13-I600)/K600))</f>
        <v/>
      </c>
      <c r="O600">
        <f>IF(M600="yes",Assumptions!$B$31*(N600-Assumptions!$B$10),0)</f>
        <v/>
      </c>
    </row>
    <row r="601">
      <c r="A601" t="inlineStr">
        <is>
          <t>iter 5</t>
        </is>
      </c>
      <c r="B601">
        <f>IF(Assumptions!$B$4&gt;(Assumptions!$B$4/B591)*N600,"preference","convert")</f>
        <v/>
      </c>
      <c r="C601">
        <f>IF(Assumptions!$B$45&gt;(Assumptions!$B$39+F591)*N600,"preference","convert")</f>
        <v/>
      </c>
      <c r="D601">
        <f>IF(Assumptions!$B$44&gt;(Assumptions!$B$38+E591)*N600,"preference","convert")</f>
        <v/>
      </c>
      <c r="E601">
        <f>IF(Assumptions!$B$43&gt;Assumptions!$B$36*N600,"preference","convert")</f>
        <v/>
      </c>
      <c r="F601">
        <f>IF(Assumptions!$B$42&gt;Assumptions!$B$35*N600,"preference","convert")</f>
        <v/>
      </c>
      <c r="G601">
        <f>IF(Assumptions!$B$41&gt;Assumptions!$B$34*N600,"preference","convert")</f>
        <v/>
      </c>
      <c r="H601">
        <f>IF(Assumptions!$B$40&gt;Assumptions!$B$33*N600,"preference","convert")</f>
        <v/>
      </c>
      <c r="I601">
        <f>IF(B601="preference",Assumptions!$B$4,0)+IF(C601="preference",Assumptions!$B$45,0)+IF(D601="preference",Assumptions!$B$44,0)+IF(E601="preference",Assumptions!$B$43,0)+IF(F601="preference",Assumptions!$B$42,0)+IF(G601="preference",Assumptions!$B$41,0)+IF(H601="preference",Assumptions!$B$40,0)</f>
        <v/>
      </c>
      <c r="J601">
        <f>IF(B601="convert",(Assumptions!$B$4/B591),0)+IF(C601="convert",(Assumptions!$B$39+F591),0)+IF(D601="convert",(Assumptions!$B$38+E591),0)+IF(E601="convert",Assumptions!$B$36,0)+IF(F601="convert",Assumptions!$B$35,0)+IF(G601="convert",Assumptions!$B$34,0)+IF(H601="convert",Assumptions!$B$33,0)</f>
        <v/>
      </c>
      <c r="K601">
        <f>(Assumptions!$B$46+Assumptions!$B$47+Assumptions!$B$48)+Assumptions!$B$49+(H591+I591)+J601</f>
        <v/>
      </c>
      <c r="L601">
        <f>(Assumptions!$B$13-I601+Assumptions!$B$31*Assumptions!$B$10)/(K601+Assumptions!$B$31)</f>
        <v/>
      </c>
      <c r="M601">
        <f>IF(L601&gt;Assumptions!$B$10,"yes","no")</f>
        <v/>
      </c>
      <c r="N601">
        <f>IF(M601="yes",L601,MAX(0,(Assumptions!$B$13-I601)/K601))</f>
        <v/>
      </c>
      <c r="O601">
        <f>IF(M601="yes",Assumptions!$B$31*(N601-Assumptions!$B$10),0)</f>
        <v/>
      </c>
    </row>
    <row r="602">
      <c r="A602" t="inlineStr">
        <is>
          <t>iter 6</t>
        </is>
      </c>
      <c r="B602">
        <f>IF(Assumptions!$B$4&gt;(Assumptions!$B$4/B591)*N601,"preference","convert")</f>
        <v/>
      </c>
      <c r="C602">
        <f>IF(Assumptions!$B$45&gt;(Assumptions!$B$39+F591)*N601,"preference","convert")</f>
        <v/>
      </c>
      <c r="D602">
        <f>IF(Assumptions!$B$44&gt;(Assumptions!$B$38+E591)*N601,"preference","convert")</f>
        <v/>
      </c>
      <c r="E602">
        <f>IF(Assumptions!$B$43&gt;Assumptions!$B$36*N601,"preference","convert")</f>
        <v/>
      </c>
      <c r="F602">
        <f>IF(Assumptions!$B$42&gt;Assumptions!$B$35*N601,"preference","convert")</f>
        <v/>
      </c>
      <c r="G602">
        <f>IF(Assumptions!$B$41&gt;Assumptions!$B$34*N601,"preference","convert")</f>
        <v/>
      </c>
      <c r="H602">
        <f>IF(Assumptions!$B$40&gt;Assumptions!$B$33*N601,"preference","convert")</f>
        <v/>
      </c>
      <c r="I602">
        <f>IF(B602="preference",Assumptions!$B$4,0)+IF(C602="preference",Assumptions!$B$45,0)+IF(D602="preference",Assumptions!$B$44,0)+IF(E602="preference",Assumptions!$B$43,0)+IF(F602="preference",Assumptions!$B$42,0)+IF(G602="preference",Assumptions!$B$41,0)+IF(H602="preference",Assumptions!$B$40,0)</f>
        <v/>
      </c>
      <c r="J602">
        <f>IF(B602="convert",(Assumptions!$B$4/B591),0)+IF(C602="convert",(Assumptions!$B$39+F591),0)+IF(D602="convert",(Assumptions!$B$38+E591),0)+IF(E602="convert",Assumptions!$B$36,0)+IF(F602="convert",Assumptions!$B$35,0)+IF(G602="convert",Assumptions!$B$34,0)+IF(H602="convert",Assumptions!$B$33,0)</f>
        <v/>
      </c>
      <c r="K602">
        <f>(Assumptions!$B$46+Assumptions!$B$47+Assumptions!$B$48)+Assumptions!$B$49+(H591+I591)+J602</f>
        <v/>
      </c>
      <c r="L602">
        <f>(Assumptions!$B$13-I602+Assumptions!$B$31*Assumptions!$B$10)/(K602+Assumptions!$B$31)</f>
        <v/>
      </c>
      <c r="M602">
        <f>IF(L602&gt;Assumptions!$B$10,"yes","no")</f>
        <v/>
      </c>
      <c r="N602">
        <f>IF(M602="yes",L602,MAX(0,(Assumptions!$B$13-I602)/K602))</f>
        <v/>
      </c>
      <c r="O602">
        <f>IF(M602="yes",Assumptions!$B$31*(N602-Assumptions!$B$10),0)</f>
        <v/>
      </c>
    </row>
    <row r="603">
      <c r="A603" t="inlineStr">
        <is>
          <t>iter 7</t>
        </is>
      </c>
      <c r="B603">
        <f>IF(Assumptions!$B$4&gt;(Assumptions!$B$4/B591)*N602,"preference","convert")</f>
        <v/>
      </c>
      <c r="C603">
        <f>IF(Assumptions!$B$45&gt;(Assumptions!$B$39+F591)*N602,"preference","convert")</f>
        <v/>
      </c>
      <c r="D603">
        <f>IF(Assumptions!$B$44&gt;(Assumptions!$B$38+E591)*N602,"preference","convert")</f>
        <v/>
      </c>
      <c r="E603">
        <f>IF(Assumptions!$B$43&gt;Assumptions!$B$36*N602,"preference","convert")</f>
        <v/>
      </c>
      <c r="F603">
        <f>IF(Assumptions!$B$42&gt;Assumptions!$B$35*N602,"preference","convert")</f>
        <v/>
      </c>
      <c r="G603">
        <f>IF(Assumptions!$B$41&gt;Assumptions!$B$34*N602,"preference","convert")</f>
        <v/>
      </c>
      <c r="H603">
        <f>IF(Assumptions!$B$40&gt;Assumptions!$B$33*N602,"preference","convert")</f>
        <v/>
      </c>
      <c r="I603">
        <f>IF(B603="preference",Assumptions!$B$4,0)+IF(C603="preference",Assumptions!$B$45,0)+IF(D603="preference",Assumptions!$B$44,0)+IF(E603="preference",Assumptions!$B$43,0)+IF(F603="preference",Assumptions!$B$42,0)+IF(G603="preference",Assumptions!$B$41,0)+IF(H603="preference",Assumptions!$B$40,0)</f>
        <v/>
      </c>
      <c r="J603">
        <f>IF(B603="convert",(Assumptions!$B$4/B591),0)+IF(C603="convert",(Assumptions!$B$39+F591),0)+IF(D603="convert",(Assumptions!$B$38+E591),0)+IF(E603="convert",Assumptions!$B$36,0)+IF(F603="convert",Assumptions!$B$35,0)+IF(G603="convert",Assumptions!$B$34,0)+IF(H603="convert",Assumptions!$B$33,0)</f>
        <v/>
      </c>
      <c r="K603">
        <f>(Assumptions!$B$46+Assumptions!$B$47+Assumptions!$B$48)+Assumptions!$B$49+(H591+I591)+J603</f>
        <v/>
      </c>
      <c r="L603">
        <f>(Assumptions!$B$13-I603+Assumptions!$B$31*Assumptions!$B$10)/(K603+Assumptions!$B$31)</f>
        <v/>
      </c>
      <c r="M603">
        <f>IF(L603&gt;Assumptions!$B$10,"yes","no")</f>
        <v/>
      </c>
      <c r="N603">
        <f>IF(M603="yes",L603,MAX(0,(Assumptions!$B$13-I603)/K603))</f>
        <v/>
      </c>
      <c r="O603">
        <f>IF(M603="yes",Assumptions!$B$31*(N603-Assumptions!$B$10),0)</f>
        <v/>
      </c>
    </row>
    <row r="604">
      <c r="A604" t="inlineStr">
        <is>
          <t>iter 8</t>
        </is>
      </c>
      <c r="B604">
        <f>IF(Assumptions!$B$4&gt;(Assumptions!$B$4/B591)*N603,"preference","convert")</f>
        <v/>
      </c>
      <c r="C604">
        <f>IF(Assumptions!$B$45&gt;(Assumptions!$B$39+F591)*N603,"preference","convert")</f>
        <v/>
      </c>
      <c r="D604">
        <f>IF(Assumptions!$B$44&gt;(Assumptions!$B$38+E591)*N603,"preference","convert")</f>
        <v/>
      </c>
      <c r="E604">
        <f>IF(Assumptions!$B$43&gt;Assumptions!$B$36*N603,"preference","convert")</f>
        <v/>
      </c>
      <c r="F604">
        <f>IF(Assumptions!$B$42&gt;Assumptions!$B$35*N603,"preference","convert")</f>
        <v/>
      </c>
      <c r="G604">
        <f>IF(Assumptions!$B$41&gt;Assumptions!$B$34*N603,"preference","convert")</f>
        <v/>
      </c>
      <c r="H604">
        <f>IF(Assumptions!$B$40&gt;Assumptions!$B$33*N603,"preference","convert")</f>
        <v/>
      </c>
      <c r="I604">
        <f>IF(B604="preference",Assumptions!$B$4,0)+IF(C604="preference",Assumptions!$B$45,0)+IF(D604="preference",Assumptions!$B$44,0)+IF(E604="preference",Assumptions!$B$43,0)+IF(F604="preference",Assumptions!$B$42,0)+IF(G604="preference",Assumptions!$B$41,0)+IF(H604="preference",Assumptions!$B$40,0)</f>
        <v/>
      </c>
      <c r="J604">
        <f>IF(B604="convert",(Assumptions!$B$4/B591),0)+IF(C604="convert",(Assumptions!$B$39+F591),0)+IF(D604="convert",(Assumptions!$B$38+E591),0)+IF(E604="convert",Assumptions!$B$36,0)+IF(F604="convert",Assumptions!$B$35,0)+IF(G604="convert",Assumptions!$B$34,0)+IF(H604="convert",Assumptions!$B$33,0)</f>
        <v/>
      </c>
      <c r="K604">
        <f>(Assumptions!$B$46+Assumptions!$B$47+Assumptions!$B$48)+Assumptions!$B$49+(H591+I591)+J604</f>
        <v/>
      </c>
      <c r="L604">
        <f>(Assumptions!$B$13-I604+Assumptions!$B$31*Assumptions!$B$10)/(K604+Assumptions!$B$31)</f>
        <v/>
      </c>
      <c r="M604">
        <f>IF(L604&gt;Assumptions!$B$10,"yes","no")</f>
        <v/>
      </c>
      <c r="N604">
        <f>IF(M604="yes",L604,MAX(0,(Assumptions!$B$13-I604)/K604))</f>
        <v/>
      </c>
      <c r="O604">
        <f>IF(M604="yes",Assumptions!$B$31*(N604-Assumptions!$B$10),0)</f>
        <v/>
      </c>
    </row>
    <row r="605">
      <c r="A605" t="inlineStr">
        <is>
          <t>iter 9</t>
        </is>
      </c>
      <c r="B605">
        <f>IF(Assumptions!$B$4&gt;(Assumptions!$B$4/B591)*N604,"preference","convert")</f>
        <v/>
      </c>
      <c r="C605">
        <f>IF(Assumptions!$B$45&gt;(Assumptions!$B$39+F591)*N604,"preference","convert")</f>
        <v/>
      </c>
      <c r="D605">
        <f>IF(Assumptions!$B$44&gt;(Assumptions!$B$38+E591)*N604,"preference","convert")</f>
        <v/>
      </c>
      <c r="E605">
        <f>IF(Assumptions!$B$43&gt;Assumptions!$B$36*N604,"preference","convert")</f>
        <v/>
      </c>
      <c r="F605">
        <f>IF(Assumptions!$B$42&gt;Assumptions!$B$35*N604,"preference","convert")</f>
        <v/>
      </c>
      <c r="G605">
        <f>IF(Assumptions!$B$41&gt;Assumptions!$B$34*N604,"preference","convert")</f>
        <v/>
      </c>
      <c r="H605">
        <f>IF(Assumptions!$B$40&gt;Assumptions!$B$33*N604,"preference","convert")</f>
        <v/>
      </c>
      <c r="I605">
        <f>IF(B605="preference",Assumptions!$B$4,0)+IF(C605="preference",Assumptions!$B$45,0)+IF(D605="preference",Assumptions!$B$44,0)+IF(E605="preference",Assumptions!$B$43,0)+IF(F605="preference",Assumptions!$B$42,0)+IF(G605="preference",Assumptions!$B$41,0)+IF(H605="preference",Assumptions!$B$40,0)</f>
        <v/>
      </c>
      <c r="J605">
        <f>IF(B605="convert",(Assumptions!$B$4/B591),0)+IF(C605="convert",(Assumptions!$B$39+F591),0)+IF(D605="convert",(Assumptions!$B$38+E591),0)+IF(E605="convert",Assumptions!$B$36,0)+IF(F605="convert",Assumptions!$B$35,0)+IF(G605="convert",Assumptions!$B$34,0)+IF(H605="convert",Assumptions!$B$33,0)</f>
        <v/>
      </c>
      <c r="K605">
        <f>(Assumptions!$B$46+Assumptions!$B$47+Assumptions!$B$48)+Assumptions!$B$49+(H591+I591)+J605</f>
        <v/>
      </c>
      <c r="L605">
        <f>(Assumptions!$B$13-I605+Assumptions!$B$31*Assumptions!$B$10)/(K605+Assumptions!$B$31)</f>
        <v/>
      </c>
      <c r="M605">
        <f>IF(L605&gt;Assumptions!$B$10,"yes","no")</f>
        <v/>
      </c>
      <c r="N605">
        <f>IF(M605="yes",L605,MAX(0,(Assumptions!$B$13-I605)/K605))</f>
        <v/>
      </c>
      <c r="O605">
        <f>IF(M605="yes",Assumptions!$B$31*(N605-Assumptions!$B$10),0)</f>
        <v/>
      </c>
    </row>
    <row r="606">
      <c r="A606" t="inlineStr">
        <is>
          <t>iter 10</t>
        </is>
      </c>
      <c r="B606">
        <f>IF(Assumptions!$B$4&gt;(Assumptions!$B$4/B591)*N605,"preference","convert")</f>
        <v/>
      </c>
      <c r="C606">
        <f>IF(Assumptions!$B$45&gt;(Assumptions!$B$39+F591)*N605,"preference","convert")</f>
        <v/>
      </c>
      <c r="D606">
        <f>IF(Assumptions!$B$44&gt;(Assumptions!$B$38+E591)*N605,"preference","convert")</f>
        <v/>
      </c>
      <c r="E606">
        <f>IF(Assumptions!$B$43&gt;Assumptions!$B$36*N605,"preference","convert")</f>
        <v/>
      </c>
      <c r="F606">
        <f>IF(Assumptions!$B$42&gt;Assumptions!$B$35*N605,"preference","convert")</f>
        <v/>
      </c>
      <c r="G606">
        <f>IF(Assumptions!$B$41&gt;Assumptions!$B$34*N605,"preference","convert")</f>
        <v/>
      </c>
      <c r="H606">
        <f>IF(Assumptions!$B$40&gt;Assumptions!$B$33*N605,"preference","convert")</f>
        <v/>
      </c>
      <c r="I606">
        <f>IF(B606="preference",Assumptions!$B$4,0)+IF(C606="preference",Assumptions!$B$45,0)+IF(D606="preference",Assumptions!$B$44,0)+IF(E606="preference",Assumptions!$B$43,0)+IF(F606="preference",Assumptions!$B$42,0)+IF(G606="preference",Assumptions!$B$41,0)+IF(H606="preference",Assumptions!$B$40,0)</f>
        <v/>
      </c>
      <c r="J606">
        <f>IF(B606="convert",(Assumptions!$B$4/B591),0)+IF(C606="convert",(Assumptions!$B$39+F591),0)+IF(D606="convert",(Assumptions!$B$38+E591),0)+IF(E606="convert",Assumptions!$B$36,0)+IF(F606="convert",Assumptions!$B$35,0)+IF(G606="convert",Assumptions!$B$34,0)+IF(H606="convert",Assumptions!$B$33,0)</f>
        <v/>
      </c>
      <c r="K606">
        <f>(Assumptions!$B$46+Assumptions!$B$47+Assumptions!$B$48)+Assumptions!$B$49+(H591+I591)+J606</f>
        <v/>
      </c>
      <c r="L606">
        <f>(Assumptions!$B$13-I606+Assumptions!$B$31*Assumptions!$B$10)/(K606+Assumptions!$B$31)</f>
        <v/>
      </c>
      <c r="M606">
        <f>IF(L606&gt;Assumptions!$B$10,"yes","no")</f>
        <v/>
      </c>
      <c r="N606">
        <f>IF(M606="yes",L606,MAX(0,(Assumptions!$B$13-I606)/K606))</f>
        <v/>
      </c>
      <c r="O606">
        <f>IF(M606="yes",Assumptions!$B$31*(N606-Assumptions!$B$10),0)</f>
        <v/>
      </c>
    </row>
    <row r="607">
      <c r="A607" t="inlineStr">
        <is>
          <t>iter 11</t>
        </is>
      </c>
      <c r="B607">
        <f>IF(Assumptions!$B$4&gt;(Assumptions!$B$4/B591)*N606,"preference","convert")</f>
        <v/>
      </c>
      <c r="C607">
        <f>IF(Assumptions!$B$45&gt;(Assumptions!$B$39+F591)*N606,"preference","convert")</f>
        <v/>
      </c>
      <c r="D607">
        <f>IF(Assumptions!$B$44&gt;(Assumptions!$B$38+E591)*N606,"preference","convert")</f>
        <v/>
      </c>
      <c r="E607">
        <f>IF(Assumptions!$B$43&gt;Assumptions!$B$36*N606,"preference","convert")</f>
        <v/>
      </c>
      <c r="F607">
        <f>IF(Assumptions!$B$42&gt;Assumptions!$B$35*N606,"preference","convert")</f>
        <v/>
      </c>
      <c r="G607">
        <f>IF(Assumptions!$B$41&gt;Assumptions!$B$34*N606,"preference","convert")</f>
        <v/>
      </c>
      <c r="H607">
        <f>IF(Assumptions!$B$40&gt;Assumptions!$B$33*N606,"preference","convert")</f>
        <v/>
      </c>
      <c r="I607">
        <f>IF(B607="preference",Assumptions!$B$4,0)+IF(C607="preference",Assumptions!$B$45,0)+IF(D607="preference",Assumptions!$B$44,0)+IF(E607="preference",Assumptions!$B$43,0)+IF(F607="preference",Assumptions!$B$42,0)+IF(G607="preference",Assumptions!$B$41,0)+IF(H607="preference",Assumptions!$B$40,0)</f>
        <v/>
      </c>
      <c r="J607">
        <f>IF(B607="convert",(Assumptions!$B$4/B591),0)+IF(C607="convert",(Assumptions!$B$39+F591),0)+IF(D607="convert",(Assumptions!$B$38+E591),0)+IF(E607="convert",Assumptions!$B$36,0)+IF(F607="convert",Assumptions!$B$35,0)+IF(G607="convert",Assumptions!$B$34,0)+IF(H607="convert",Assumptions!$B$33,0)</f>
        <v/>
      </c>
      <c r="K607">
        <f>(Assumptions!$B$46+Assumptions!$B$47+Assumptions!$B$48)+Assumptions!$B$49+(H591+I591)+J607</f>
        <v/>
      </c>
      <c r="L607">
        <f>(Assumptions!$B$13-I607+Assumptions!$B$31*Assumptions!$B$10)/(K607+Assumptions!$B$31)</f>
        <v/>
      </c>
      <c r="M607">
        <f>IF(L607&gt;Assumptions!$B$10,"yes","no")</f>
        <v/>
      </c>
      <c r="N607">
        <f>IF(M607="yes",L607,MAX(0,(Assumptions!$B$13-I607)/K607))</f>
        <v/>
      </c>
      <c r="O607">
        <f>IF(M607="yes",Assumptions!$B$31*(N607-Assumptions!$B$10),0)</f>
        <v/>
      </c>
    </row>
    <row r="608">
      <c r="A608" t="inlineStr">
        <is>
          <t>iter 12</t>
        </is>
      </c>
      <c r="B608">
        <f>IF(Assumptions!$B$4&gt;(Assumptions!$B$4/B591)*N607,"preference","convert")</f>
        <v/>
      </c>
      <c r="C608">
        <f>IF(Assumptions!$B$45&gt;(Assumptions!$B$39+F591)*N607,"preference","convert")</f>
        <v/>
      </c>
      <c r="D608">
        <f>IF(Assumptions!$B$44&gt;(Assumptions!$B$38+E591)*N607,"preference","convert")</f>
        <v/>
      </c>
      <c r="E608">
        <f>IF(Assumptions!$B$43&gt;Assumptions!$B$36*N607,"preference","convert")</f>
        <v/>
      </c>
      <c r="F608">
        <f>IF(Assumptions!$B$42&gt;Assumptions!$B$35*N607,"preference","convert")</f>
        <v/>
      </c>
      <c r="G608">
        <f>IF(Assumptions!$B$41&gt;Assumptions!$B$34*N607,"preference","convert")</f>
        <v/>
      </c>
      <c r="H608">
        <f>IF(Assumptions!$B$40&gt;Assumptions!$B$33*N607,"preference","convert")</f>
        <v/>
      </c>
      <c r="I608">
        <f>IF(B608="preference",Assumptions!$B$4,0)+IF(C608="preference",Assumptions!$B$45,0)+IF(D608="preference",Assumptions!$B$44,0)+IF(E608="preference",Assumptions!$B$43,0)+IF(F608="preference",Assumptions!$B$42,0)+IF(G608="preference",Assumptions!$B$41,0)+IF(H608="preference",Assumptions!$B$40,0)</f>
        <v/>
      </c>
      <c r="J608">
        <f>IF(B608="convert",(Assumptions!$B$4/B591),0)+IF(C608="convert",(Assumptions!$B$39+F591),0)+IF(D608="convert",(Assumptions!$B$38+E591),0)+IF(E608="convert",Assumptions!$B$36,0)+IF(F608="convert",Assumptions!$B$35,0)+IF(G608="convert",Assumptions!$B$34,0)+IF(H608="convert",Assumptions!$B$33,0)</f>
        <v/>
      </c>
      <c r="K608">
        <f>(Assumptions!$B$46+Assumptions!$B$47+Assumptions!$B$48)+Assumptions!$B$49+(H591+I591)+J608</f>
        <v/>
      </c>
      <c r="L608">
        <f>(Assumptions!$B$13-I608+Assumptions!$B$31*Assumptions!$B$10)/(K608+Assumptions!$B$31)</f>
        <v/>
      </c>
      <c r="M608">
        <f>IF(L608&gt;Assumptions!$B$10,"yes","no")</f>
        <v/>
      </c>
      <c r="N608">
        <f>IF(M608="yes",L608,MAX(0,(Assumptions!$B$13-I608)/K608))</f>
        <v/>
      </c>
      <c r="O608">
        <f>IF(M608="yes",Assumptions!$B$31*(N608-Assumptions!$B$10),0)</f>
        <v/>
      </c>
    </row>
    <row r="609">
      <c r="A609" t="inlineStr">
        <is>
          <t>iter 13</t>
        </is>
      </c>
      <c r="B609">
        <f>IF(Assumptions!$B$4&gt;(Assumptions!$B$4/B591)*N608,"preference","convert")</f>
        <v/>
      </c>
      <c r="C609">
        <f>IF(Assumptions!$B$45&gt;(Assumptions!$B$39+F591)*N608,"preference","convert")</f>
        <v/>
      </c>
      <c r="D609">
        <f>IF(Assumptions!$B$44&gt;(Assumptions!$B$38+E591)*N608,"preference","convert")</f>
        <v/>
      </c>
      <c r="E609">
        <f>IF(Assumptions!$B$43&gt;Assumptions!$B$36*N608,"preference","convert")</f>
        <v/>
      </c>
      <c r="F609">
        <f>IF(Assumptions!$B$42&gt;Assumptions!$B$35*N608,"preference","convert")</f>
        <v/>
      </c>
      <c r="G609">
        <f>IF(Assumptions!$B$41&gt;Assumptions!$B$34*N608,"preference","convert")</f>
        <v/>
      </c>
      <c r="H609">
        <f>IF(Assumptions!$B$40&gt;Assumptions!$B$33*N608,"preference","convert")</f>
        <v/>
      </c>
      <c r="I609">
        <f>IF(B609="preference",Assumptions!$B$4,0)+IF(C609="preference",Assumptions!$B$45,0)+IF(D609="preference",Assumptions!$B$44,0)+IF(E609="preference",Assumptions!$B$43,0)+IF(F609="preference",Assumptions!$B$42,0)+IF(G609="preference",Assumptions!$B$41,0)+IF(H609="preference",Assumptions!$B$40,0)</f>
        <v/>
      </c>
      <c r="J609">
        <f>IF(B609="convert",(Assumptions!$B$4/B591),0)+IF(C609="convert",(Assumptions!$B$39+F591),0)+IF(D609="convert",(Assumptions!$B$38+E591),0)+IF(E609="convert",Assumptions!$B$36,0)+IF(F609="convert",Assumptions!$B$35,0)+IF(G609="convert",Assumptions!$B$34,0)+IF(H609="convert",Assumptions!$B$33,0)</f>
        <v/>
      </c>
      <c r="K609">
        <f>(Assumptions!$B$46+Assumptions!$B$47+Assumptions!$B$48)+Assumptions!$B$49+(H591+I591)+J609</f>
        <v/>
      </c>
      <c r="L609">
        <f>(Assumptions!$B$13-I609+Assumptions!$B$31*Assumptions!$B$10)/(K609+Assumptions!$B$31)</f>
        <v/>
      </c>
      <c r="M609">
        <f>IF(L609&gt;Assumptions!$B$10,"yes","no")</f>
        <v/>
      </c>
      <c r="N609">
        <f>IF(M609="yes",L609,MAX(0,(Assumptions!$B$13-I609)/K609))</f>
        <v/>
      </c>
      <c r="O609">
        <f>IF(M609="yes",Assumptions!$B$31*(N609-Assumptions!$B$10),0)</f>
        <v/>
      </c>
    </row>
    <row r="610">
      <c r="A610" t="inlineStr">
        <is>
          <t>iter 14</t>
        </is>
      </c>
      <c r="B610">
        <f>IF(Assumptions!$B$4&gt;(Assumptions!$B$4/B591)*N609,"preference","convert")</f>
        <v/>
      </c>
      <c r="C610">
        <f>IF(Assumptions!$B$45&gt;(Assumptions!$B$39+F591)*N609,"preference","convert")</f>
        <v/>
      </c>
      <c r="D610">
        <f>IF(Assumptions!$B$44&gt;(Assumptions!$B$38+E591)*N609,"preference","convert")</f>
        <v/>
      </c>
      <c r="E610">
        <f>IF(Assumptions!$B$43&gt;Assumptions!$B$36*N609,"preference","convert")</f>
        <v/>
      </c>
      <c r="F610">
        <f>IF(Assumptions!$B$42&gt;Assumptions!$B$35*N609,"preference","convert")</f>
        <v/>
      </c>
      <c r="G610">
        <f>IF(Assumptions!$B$41&gt;Assumptions!$B$34*N609,"preference","convert")</f>
        <v/>
      </c>
      <c r="H610">
        <f>IF(Assumptions!$B$40&gt;Assumptions!$B$33*N609,"preference","convert")</f>
        <v/>
      </c>
      <c r="I610">
        <f>IF(B610="preference",Assumptions!$B$4,0)+IF(C610="preference",Assumptions!$B$45,0)+IF(D610="preference",Assumptions!$B$44,0)+IF(E610="preference",Assumptions!$B$43,0)+IF(F610="preference",Assumptions!$B$42,0)+IF(G610="preference",Assumptions!$B$41,0)+IF(H610="preference",Assumptions!$B$40,0)</f>
        <v/>
      </c>
      <c r="J610">
        <f>IF(B610="convert",(Assumptions!$B$4/B591),0)+IF(C610="convert",(Assumptions!$B$39+F591),0)+IF(D610="convert",(Assumptions!$B$38+E591),0)+IF(E610="convert",Assumptions!$B$36,0)+IF(F610="convert",Assumptions!$B$35,0)+IF(G610="convert",Assumptions!$B$34,0)+IF(H610="convert",Assumptions!$B$33,0)</f>
        <v/>
      </c>
      <c r="K610">
        <f>(Assumptions!$B$46+Assumptions!$B$47+Assumptions!$B$48)+Assumptions!$B$49+(H591+I591)+J610</f>
        <v/>
      </c>
      <c r="L610">
        <f>(Assumptions!$B$13-I610+Assumptions!$B$31*Assumptions!$B$10)/(K610+Assumptions!$B$31)</f>
        <v/>
      </c>
      <c r="M610">
        <f>IF(L610&gt;Assumptions!$B$10,"yes","no")</f>
        <v/>
      </c>
      <c r="N610">
        <f>IF(M610="yes",L610,MAX(0,(Assumptions!$B$13-I610)/K610))</f>
        <v/>
      </c>
      <c r="O610">
        <f>IF(M610="yes",Assumptions!$B$31*(N610-Assumptions!$B$10),0)</f>
        <v/>
      </c>
    </row>
    <row r="611">
      <c r="A611" t="inlineStr">
        <is>
          <t>iter 15</t>
        </is>
      </c>
      <c r="B611">
        <f>IF(Assumptions!$B$4&gt;(Assumptions!$B$4/B591)*N610,"preference","convert")</f>
        <v/>
      </c>
      <c r="C611">
        <f>IF(Assumptions!$B$45&gt;(Assumptions!$B$39+F591)*N610,"preference","convert")</f>
        <v/>
      </c>
      <c r="D611">
        <f>IF(Assumptions!$B$44&gt;(Assumptions!$B$38+E591)*N610,"preference","convert")</f>
        <v/>
      </c>
      <c r="E611">
        <f>IF(Assumptions!$B$43&gt;Assumptions!$B$36*N610,"preference","convert")</f>
        <v/>
      </c>
      <c r="F611">
        <f>IF(Assumptions!$B$42&gt;Assumptions!$B$35*N610,"preference","convert")</f>
        <v/>
      </c>
      <c r="G611">
        <f>IF(Assumptions!$B$41&gt;Assumptions!$B$34*N610,"preference","convert")</f>
        <v/>
      </c>
      <c r="H611">
        <f>IF(Assumptions!$B$40&gt;Assumptions!$B$33*N610,"preference","convert")</f>
        <v/>
      </c>
      <c r="I611">
        <f>IF(B611="preference",Assumptions!$B$4,0)+IF(C611="preference",Assumptions!$B$45,0)+IF(D611="preference",Assumptions!$B$44,0)+IF(E611="preference",Assumptions!$B$43,0)+IF(F611="preference",Assumptions!$B$42,0)+IF(G611="preference",Assumptions!$B$41,0)+IF(H611="preference",Assumptions!$B$40,0)</f>
        <v/>
      </c>
      <c r="J611">
        <f>IF(B611="convert",(Assumptions!$B$4/B591),0)+IF(C611="convert",(Assumptions!$B$39+F591),0)+IF(D611="convert",(Assumptions!$B$38+E591),0)+IF(E611="convert",Assumptions!$B$36,0)+IF(F611="convert",Assumptions!$B$35,0)+IF(G611="convert",Assumptions!$B$34,0)+IF(H611="convert",Assumptions!$B$33,0)</f>
        <v/>
      </c>
      <c r="K611">
        <f>(Assumptions!$B$46+Assumptions!$B$47+Assumptions!$B$48)+Assumptions!$B$49+(H591+I591)+J611</f>
        <v/>
      </c>
      <c r="L611">
        <f>(Assumptions!$B$13-I611+Assumptions!$B$31*Assumptions!$B$10)/(K611+Assumptions!$B$31)</f>
        <v/>
      </c>
      <c r="M611">
        <f>IF(L611&gt;Assumptions!$B$10,"yes","no")</f>
        <v/>
      </c>
      <c r="N611">
        <f>IF(M611="yes",L611,MAX(0,(Assumptions!$B$13-I611)/K611))</f>
        <v/>
      </c>
      <c r="O611">
        <f>IF(M611="yes",Assumptions!$B$31*(N611-Assumptions!$B$10),0)</f>
        <v/>
      </c>
    </row>
    <row r="612">
      <c r="A612" t="inlineStr">
        <is>
          <t>iter 16</t>
        </is>
      </c>
      <c r="B612">
        <f>IF(Assumptions!$B$4&gt;(Assumptions!$B$4/B591)*N611,"preference","convert")</f>
        <v/>
      </c>
      <c r="C612">
        <f>IF(Assumptions!$B$45&gt;(Assumptions!$B$39+F591)*N611,"preference","convert")</f>
        <v/>
      </c>
      <c r="D612">
        <f>IF(Assumptions!$B$44&gt;(Assumptions!$B$38+E591)*N611,"preference","convert")</f>
        <v/>
      </c>
      <c r="E612">
        <f>IF(Assumptions!$B$43&gt;Assumptions!$B$36*N611,"preference","convert")</f>
        <v/>
      </c>
      <c r="F612">
        <f>IF(Assumptions!$B$42&gt;Assumptions!$B$35*N611,"preference","convert")</f>
        <v/>
      </c>
      <c r="G612">
        <f>IF(Assumptions!$B$41&gt;Assumptions!$B$34*N611,"preference","convert")</f>
        <v/>
      </c>
      <c r="H612">
        <f>IF(Assumptions!$B$40&gt;Assumptions!$B$33*N611,"preference","convert")</f>
        <v/>
      </c>
      <c r="I612">
        <f>IF(B612="preference",Assumptions!$B$4,0)+IF(C612="preference",Assumptions!$B$45,0)+IF(D612="preference",Assumptions!$B$44,0)+IF(E612="preference",Assumptions!$B$43,0)+IF(F612="preference",Assumptions!$B$42,0)+IF(G612="preference",Assumptions!$B$41,0)+IF(H612="preference",Assumptions!$B$40,0)</f>
        <v/>
      </c>
      <c r="J612">
        <f>IF(B612="convert",(Assumptions!$B$4/B591),0)+IF(C612="convert",(Assumptions!$B$39+F591),0)+IF(D612="convert",(Assumptions!$B$38+E591),0)+IF(E612="convert",Assumptions!$B$36,0)+IF(F612="convert",Assumptions!$B$35,0)+IF(G612="convert",Assumptions!$B$34,0)+IF(H612="convert",Assumptions!$B$33,0)</f>
        <v/>
      </c>
      <c r="K612">
        <f>(Assumptions!$B$46+Assumptions!$B$47+Assumptions!$B$48)+Assumptions!$B$49+(H591+I591)+J612</f>
        <v/>
      </c>
      <c r="L612">
        <f>(Assumptions!$B$13-I612+Assumptions!$B$31*Assumptions!$B$10)/(K612+Assumptions!$B$31)</f>
        <v/>
      </c>
      <c r="M612">
        <f>IF(L612&gt;Assumptions!$B$10,"yes","no")</f>
        <v/>
      </c>
      <c r="N612">
        <f>IF(M612="yes",L612,MAX(0,(Assumptions!$B$13-I612)/K612))</f>
        <v/>
      </c>
      <c r="O612">
        <f>IF(M612="yes",Assumptions!$B$31*(N612-Assumptions!$B$10),0)</f>
        <v/>
      </c>
    </row>
    <row r="613">
      <c r="A613" t="inlineStr">
        <is>
          <t>iter 17</t>
        </is>
      </c>
      <c r="B613">
        <f>IF(Assumptions!$B$4&gt;(Assumptions!$B$4/B591)*N612,"preference","convert")</f>
        <v/>
      </c>
      <c r="C613">
        <f>IF(Assumptions!$B$45&gt;(Assumptions!$B$39+F591)*N612,"preference","convert")</f>
        <v/>
      </c>
      <c r="D613">
        <f>IF(Assumptions!$B$44&gt;(Assumptions!$B$38+E591)*N612,"preference","convert")</f>
        <v/>
      </c>
      <c r="E613">
        <f>IF(Assumptions!$B$43&gt;Assumptions!$B$36*N612,"preference","convert")</f>
        <v/>
      </c>
      <c r="F613">
        <f>IF(Assumptions!$B$42&gt;Assumptions!$B$35*N612,"preference","convert")</f>
        <v/>
      </c>
      <c r="G613">
        <f>IF(Assumptions!$B$41&gt;Assumptions!$B$34*N612,"preference","convert")</f>
        <v/>
      </c>
      <c r="H613">
        <f>IF(Assumptions!$B$40&gt;Assumptions!$B$33*N612,"preference","convert")</f>
        <v/>
      </c>
      <c r="I613">
        <f>IF(B613="preference",Assumptions!$B$4,0)+IF(C613="preference",Assumptions!$B$45,0)+IF(D613="preference",Assumptions!$B$44,0)+IF(E613="preference",Assumptions!$B$43,0)+IF(F613="preference",Assumptions!$B$42,0)+IF(G613="preference",Assumptions!$B$41,0)+IF(H613="preference",Assumptions!$B$40,0)</f>
        <v/>
      </c>
      <c r="J613">
        <f>IF(B613="convert",(Assumptions!$B$4/B591),0)+IF(C613="convert",(Assumptions!$B$39+F591),0)+IF(D613="convert",(Assumptions!$B$38+E591),0)+IF(E613="convert",Assumptions!$B$36,0)+IF(F613="convert",Assumptions!$B$35,0)+IF(G613="convert",Assumptions!$B$34,0)+IF(H613="convert",Assumptions!$B$33,0)</f>
        <v/>
      </c>
      <c r="K613">
        <f>(Assumptions!$B$46+Assumptions!$B$47+Assumptions!$B$48)+Assumptions!$B$49+(H591+I591)+J613</f>
        <v/>
      </c>
      <c r="L613">
        <f>(Assumptions!$B$13-I613+Assumptions!$B$31*Assumptions!$B$10)/(K613+Assumptions!$B$31)</f>
        <v/>
      </c>
      <c r="M613">
        <f>IF(L613&gt;Assumptions!$B$10,"yes","no")</f>
        <v/>
      </c>
      <c r="N613">
        <f>IF(M613="yes",L613,MAX(0,(Assumptions!$B$13-I613)/K613))</f>
        <v/>
      </c>
      <c r="O613">
        <f>IF(M613="yes",Assumptions!$B$31*(N613-Assumptions!$B$10),0)</f>
        <v/>
      </c>
    </row>
    <row r="614">
      <c r="A614" t="inlineStr">
        <is>
          <t>iter 18</t>
        </is>
      </c>
      <c r="B614">
        <f>IF(Assumptions!$B$4&gt;(Assumptions!$B$4/B591)*N613,"preference","convert")</f>
        <v/>
      </c>
      <c r="C614">
        <f>IF(Assumptions!$B$45&gt;(Assumptions!$B$39+F591)*N613,"preference","convert")</f>
        <v/>
      </c>
      <c r="D614">
        <f>IF(Assumptions!$B$44&gt;(Assumptions!$B$38+E591)*N613,"preference","convert")</f>
        <v/>
      </c>
      <c r="E614">
        <f>IF(Assumptions!$B$43&gt;Assumptions!$B$36*N613,"preference","convert")</f>
        <v/>
      </c>
      <c r="F614">
        <f>IF(Assumptions!$B$42&gt;Assumptions!$B$35*N613,"preference","convert")</f>
        <v/>
      </c>
      <c r="G614">
        <f>IF(Assumptions!$B$41&gt;Assumptions!$B$34*N613,"preference","convert")</f>
        <v/>
      </c>
      <c r="H614">
        <f>IF(Assumptions!$B$40&gt;Assumptions!$B$33*N613,"preference","convert")</f>
        <v/>
      </c>
      <c r="I614">
        <f>IF(B614="preference",Assumptions!$B$4,0)+IF(C614="preference",Assumptions!$B$45,0)+IF(D614="preference",Assumptions!$B$44,0)+IF(E614="preference",Assumptions!$B$43,0)+IF(F614="preference",Assumptions!$B$42,0)+IF(G614="preference",Assumptions!$B$41,0)+IF(H614="preference",Assumptions!$B$40,0)</f>
        <v/>
      </c>
      <c r="J614">
        <f>IF(B614="convert",(Assumptions!$B$4/B591),0)+IF(C614="convert",(Assumptions!$B$39+F591),0)+IF(D614="convert",(Assumptions!$B$38+E591),0)+IF(E614="convert",Assumptions!$B$36,0)+IF(F614="convert",Assumptions!$B$35,0)+IF(G614="convert",Assumptions!$B$34,0)+IF(H614="convert",Assumptions!$B$33,0)</f>
        <v/>
      </c>
      <c r="K614">
        <f>(Assumptions!$B$46+Assumptions!$B$47+Assumptions!$B$48)+Assumptions!$B$49+(H591+I591)+J614</f>
        <v/>
      </c>
      <c r="L614">
        <f>(Assumptions!$B$13-I614+Assumptions!$B$31*Assumptions!$B$10)/(K614+Assumptions!$B$31)</f>
        <v/>
      </c>
      <c r="M614">
        <f>IF(L614&gt;Assumptions!$B$10,"yes","no")</f>
        <v/>
      </c>
      <c r="N614">
        <f>IF(M614="yes",L614,MAX(0,(Assumptions!$B$13-I614)/K614))</f>
        <v/>
      </c>
      <c r="O614">
        <f>IF(M614="yes",Assumptions!$B$31*(N614-Assumptions!$B$10),0)</f>
        <v/>
      </c>
    </row>
    <row r="615">
      <c r="A615" t="inlineStr">
        <is>
          <t>iter 19</t>
        </is>
      </c>
      <c r="B615">
        <f>IF(Assumptions!$B$4&gt;(Assumptions!$B$4/B591)*N614,"preference","convert")</f>
        <v/>
      </c>
      <c r="C615">
        <f>IF(Assumptions!$B$45&gt;(Assumptions!$B$39+F591)*N614,"preference","convert")</f>
        <v/>
      </c>
      <c r="D615">
        <f>IF(Assumptions!$B$44&gt;(Assumptions!$B$38+E591)*N614,"preference","convert")</f>
        <v/>
      </c>
      <c r="E615">
        <f>IF(Assumptions!$B$43&gt;Assumptions!$B$36*N614,"preference","convert")</f>
        <v/>
      </c>
      <c r="F615">
        <f>IF(Assumptions!$B$42&gt;Assumptions!$B$35*N614,"preference","convert")</f>
        <v/>
      </c>
      <c r="G615">
        <f>IF(Assumptions!$B$41&gt;Assumptions!$B$34*N614,"preference","convert")</f>
        <v/>
      </c>
      <c r="H615">
        <f>IF(Assumptions!$B$40&gt;Assumptions!$B$33*N614,"preference","convert")</f>
        <v/>
      </c>
      <c r="I615">
        <f>IF(B615="preference",Assumptions!$B$4,0)+IF(C615="preference",Assumptions!$B$45,0)+IF(D615="preference",Assumptions!$B$44,0)+IF(E615="preference",Assumptions!$B$43,0)+IF(F615="preference",Assumptions!$B$42,0)+IF(G615="preference",Assumptions!$B$41,0)+IF(H615="preference",Assumptions!$B$40,0)</f>
        <v/>
      </c>
      <c r="J615">
        <f>IF(B615="convert",(Assumptions!$B$4/B591),0)+IF(C615="convert",(Assumptions!$B$39+F591),0)+IF(D615="convert",(Assumptions!$B$38+E591),0)+IF(E615="convert",Assumptions!$B$36,0)+IF(F615="convert",Assumptions!$B$35,0)+IF(G615="convert",Assumptions!$B$34,0)+IF(H615="convert",Assumptions!$B$33,0)</f>
        <v/>
      </c>
      <c r="K615">
        <f>(Assumptions!$B$46+Assumptions!$B$47+Assumptions!$B$48)+Assumptions!$B$49+(H591+I591)+J615</f>
        <v/>
      </c>
      <c r="L615">
        <f>(Assumptions!$B$13-I615+Assumptions!$B$31*Assumptions!$B$10)/(K615+Assumptions!$B$31)</f>
        <v/>
      </c>
      <c r="M615">
        <f>IF(L615&gt;Assumptions!$B$10,"yes","no")</f>
        <v/>
      </c>
      <c r="N615">
        <f>IF(M615="yes",L615,MAX(0,(Assumptions!$B$13-I615)/K615))</f>
        <v/>
      </c>
      <c r="O615">
        <f>IF(M615="yes",Assumptions!$B$31*(N615-Assumptions!$B$10),0)</f>
        <v/>
      </c>
    </row>
    <row r="616">
      <c r="A616" t="inlineStr">
        <is>
          <t>iter 20</t>
        </is>
      </c>
      <c r="B616">
        <f>IF(Assumptions!$B$4&gt;(Assumptions!$B$4/B591)*N615,"preference","convert")</f>
        <v/>
      </c>
      <c r="C616">
        <f>IF(Assumptions!$B$45&gt;(Assumptions!$B$39+F591)*N615,"preference","convert")</f>
        <v/>
      </c>
      <c r="D616">
        <f>IF(Assumptions!$B$44&gt;(Assumptions!$B$38+E591)*N615,"preference","convert")</f>
        <v/>
      </c>
      <c r="E616">
        <f>IF(Assumptions!$B$43&gt;Assumptions!$B$36*N615,"preference","convert")</f>
        <v/>
      </c>
      <c r="F616">
        <f>IF(Assumptions!$B$42&gt;Assumptions!$B$35*N615,"preference","convert")</f>
        <v/>
      </c>
      <c r="G616">
        <f>IF(Assumptions!$B$41&gt;Assumptions!$B$34*N615,"preference","convert")</f>
        <v/>
      </c>
      <c r="H616">
        <f>IF(Assumptions!$B$40&gt;Assumptions!$B$33*N615,"preference","convert")</f>
        <v/>
      </c>
      <c r="I616">
        <f>IF(B616="preference",Assumptions!$B$4,0)+IF(C616="preference",Assumptions!$B$45,0)+IF(D616="preference",Assumptions!$B$44,0)+IF(E616="preference",Assumptions!$B$43,0)+IF(F616="preference",Assumptions!$B$42,0)+IF(G616="preference",Assumptions!$B$41,0)+IF(H616="preference",Assumptions!$B$40,0)</f>
        <v/>
      </c>
      <c r="J616">
        <f>IF(B616="convert",(Assumptions!$B$4/B591),0)+IF(C616="convert",(Assumptions!$B$39+F591),0)+IF(D616="convert",(Assumptions!$B$38+E591),0)+IF(E616="convert",Assumptions!$B$36,0)+IF(F616="convert",Assumptions!$B$35,0)+IF(G616="convert",Assumptions!$B$34,0)+IF(H616="convert",Assumptions!$B$33,0)</f>
        <v/>
      </c>
      <c r="K616">
        <f>(Assumptions!$B$46+Assumptions!$B$47+Assumptions!$B$48)+Assumptions!$B$49+(H591+I591)+J616</f>
        <v/>
      </c>
      <c r="L616">
        <f>(Assumptions!$B$13-I616+Assumptions!$B$31*Assumptions!$B$10)/(K616+Assumptions!$B$31)</f>
        <v/>
      </c>
      <c r="M616">
        <f>IF(L616&gt;Assumptions!$B$10,"yes","no")</f>
        <v/>
      </c>
      <c r="N616">
        <f>IF(M616="yes",L616,MAX(0,(Assumptions!$B$13-I616)/K616))</f>
        <v/>
      </c>
      <c r="O616">
        <f>IF(M616="yes",Assumptions!$B$31*(N616-Assumptions!$B$10),0)</f>
        <v/>
      </c>
    </row>
    <row r="617">
      <c r="A617" t="inlineStr">
        <is>
          <t>iter 21</t>
        </is>
      </c>
      <c r="B617">
        <f>IF(Assumptions!$B$4&gt;(Assumptions!$B$4/B591)*N616,"preference","convert")</f>
        <v/>
      </c>
      <c r="C617">
        <f>IF(Assumptions!$B$45&gt;(Assumptions!$B$39+F591)*N616,"preference","convert")</f>
        <v/>
      </c>
      <c r="D617">
        <f>IF(Assumptions!$B$44&gt;(Assumptions!$B$38+E591)*N616,"preference","convert")</f>
        <v/>
      </c>
      <c r="E617">
        <f>IF(Assumptions!$B$43&gt;Assumptions!$B$36*N616,"preference","convert")</f>
        <v/>
      </c>
      <c r="F617">
        <f>IF(Assumptions!$B$42&gt;Assumptions!$B$35*N616,"preference","convert")</f>
        <v/>
      </c>
      <c r="G617">
        <f>IF(Assumptions!$B$41&gt;Assumptions!$B$34*N616,"preference","convert")</f>
        <v/>
      </c>
      <c r="H617">
        <f>IF(Assumptions!$B$40&gt;Assumptions!$B$33*N616,"preference","convert")</f>
        <v/>
      </c>
      <c r="I617">
        <f>IF(B617="preference",Assumptions!$B$4,0)+IF(C617="preference",Assumptions!$B$45,0)+IF(D617="preference",Assumptions!$B$44,0)+IF(E617="preference",Assumptions!$B$43,0)+IF(F617="preference",Assumptions!$B$42,0)+IF(G617="preference",Assumptions!$B$41,0)+IF(H617="preference",Assumptions!$B$40,0)</f>
        <v/>
      </c>
      <c r="J617">
        <f>IF(B617="convert",(Assumptions!$B$4/B591),0)+IF(C617="convert",(Assumptions!$B$39+F591),0)+IF(D617="convert",(Assumptions!$B$38+E591),0)+IF(E617="convert",Assumptions!$B$36,0)+IF(F617="convert",Assumptions!$B$35,0)+IF(G617="convert",Assumptions!$B$34,0)+IF(H617="convert",Assumptions!$B$33,0)</f>
        <v/>
      </c>
      <c r="K617">
        <f>(Assumptions!$B$46+Assumptions!$B$47+Assumptions!$B$48)+Assumptions!$B$49+(H591+I591)+J617</f>
        <v/>
      </c>
      <c r="L617">
        <f>(Assumptions!$B$13-I617+Assumptions!$B$31*Assumptions!$B$10)/(K617+Assumptions!$B$31)</f>
        <v/>
      </c>
      <c r="M617">
        <f>IF(L617&gt;Assumptions!$B$10,"yes","no")</f>
        <v/>
      </c>
      <c r="N617">
        <f>IF(M617="yes",L617,MAX(0,(Assumptions!$B$13-I617)/K617))</f>
        <v/>
      </c>
      <c r="O617">
        <f>IF(M617="yes",Assumptions!$B$31*(N617-Assumptions!$B$10),0)</f>
        <v/>
      </c>
    </row>
    <row r="618">
      <c r="A618" t="inlineStr">
        <is>
          <t>iter 22</t>
        </is>
      </c>
      <c r="B618">
        <f>IF(Assumptions!$B$4&gt;(Assumptions!$B$4/B591)*N617,"preference","convert")</f>
        <v/>
      </c>
      <c r="C618">
        <f>IF(Assumptions!$B$45&gt;(Assumptions!$B$39+F591)*N617,"preference","convert")</f>
        <v/>
      </c>
      <c r="D618">
        <f>IF(Assumptions!$B$44&gt;(Assumptions!$B$38+E591)*N617,"preference","convert")</f>
        <v/>
      </c>
      <c r="E618">
        <f>IF(Assumptions!$B$43&gt;Assumptions!$B$36*N617,"preference","convert")</f>
        <v/>
      </c>
      <c r="F618">
        <f>IF(Assumptions!$B$42&gt;Assumptions!$B$35*N617,"preference","convert")</f>
        <v/>
      </c>
      <c r="G618">
        <f>IF(Assumptions!$B$41&gt;Assumptions!$B$34*N617,"preference","convert")</f>
        <v/>
      </c>
      <c r="H618">
        <f>IF(Assumptions!$B$40&gt;Assumptions!$B$33*N617,"preference","convert")</f>
        <v/>
      </c>
      <c r="I618">
        <f>IF(B618="preference",Assumptions!$B$4,0)+IF(C618="preference",Assumptions!$B$45,0)+IF(D618="preference",Assumptions!$B$44,0)+IF(E618="preference",Assumptions!$B$43,0)+IF(F618="preference",Assumptions!$B$42,0)+IF(G618="preference",Assumptions!$B$41,0)+IF(H618="preference",Assumptions!$B$40,0)</f>
        <v/>
      </c>
      <c r="J618">
        <f>IF(B618="convert",(Assumptions!$B$4/B591),0)+IF(C618="convert",(Assumptions!$B$39+F591),0)+IF(D618="convert",(Assumptions!$B$38+E591),0)+IF(E618="convert",Assumptions!$B$36,0)+IF(F618="convert",Assumptions!$B$35,0)+IF(G618="convert",Assumptions!$B$34,0)+IF(H618="convert",Assumptions!$B$33,0)</f>
        <v/>
      </c>
      <c r="K618">
        <f>(Assumptions!$B$46+Assumptions!$B$47+Assumptions!$B$48)+Assumptions!$B$49+(H591+I591)+J618</f>
        <v/>
      </c>
      <c r="L618">
        <f>(Assumptions!$B$13-I618+Assumptions!$B$31*Assumptions!$B$10)/(K618+Assumptions!$B$31)</f>
        <v/>
      </c>
      <c r="M618">
        <f>IF(L618&gt;Assumptions!$B$10,"yes","no")</f>
        <v/>
      </c>
      <c r="N618">
        <f>IF(M618="yes",L618,MAX(0,(Assumptions!$B$13-I618)/K618))</f>
        <v/>
      </c>
      <c r="O618">
        <f>IF(M618="yes",Assumptions!$B$31*(N618-Assumptions!$B$10),0)</f>
        <v/>
      </c>
    </row>
    <row r="619">
      <c r="A619" t="inlineStr">
        <is>
          <t>iter 23</t>
        </is>
      </c>
      <c r="B619">
        <f>IF(Assumptions!$B$4&gt;(Assumptions!$B$4/B591)*N618,"preference","convert")</f>
        <v/>
      </c>
      <c r="C619">
        <f>IF(Assumptions!$B$45&gt;(Assumptions!$B$39+F591)*N618,"preference","convert")</f>
        <v/>
      </c>
      <c r="D619">
        <f>IF(Assumptions!$B$44&gt;(Assumptions!$B$38+E591)*N618,"preference","convert")</f>
        <v/>
      </c>
      <c r="E619">
        <f>IF(Assumptions!$B$43&gt;Assumptions!$B$36*N618,"preference","convert")</f>
        <v/>
      </c>
      <c r="F619">
        <f>IF(Assumptions!$B$42&gt;Assumptions!$B$35*N618,"preference","convert")</f>
        <v/>
      </c>
      <c r="G619">
        <f>IF(Assumptions!$B$41&gt;Assumptions!$B$34*N618,"preference","convert")</f>
        <v/>
      </c>
      <c r="H619">
        <f>IF(Assumptions!$B$40&gt;Assumptions!$B$33*N618,"preference","convert")</f>
        <v/>
      </c>
      <c r="I619">
        <f>IF(B619="preference",Assumptions!$B$4,0)+IF(C619="preference",Assumptions!$B$45,0)+IF(D619="preference",Assumptions!$B$44,0)+IF(E619="preference",Assumptions!$B$43,0)+IF(F619="preference",Assumptions!$B$42,0)+IF(G619="preference",Assumptions!$B$41,0)+IF(H619="preference",Assumptions!$B$40,0)</f>
        <v/>
      </c>
      <c r="J619">
        <f>IF(B619="convert",(Assumptions!$B$4/B591),0)+IF(C619="convert",(Assumptions!$B$39+F591),0)+IF(D619="convert",(Assumptions!$B$38+E591),0)+IF(E619="convert",Assumptions!$B$36,0)+IF(F619="convert",Assumptions!$B$35,0)+IF(G619="convert",Assumptions!$B$34,0)+IF(H619="convert",Assumptions!$B$33,0)</f>
        <v/>
      </c>
      <c r="K619">
        <f>(Assumptions!$B$46+Assumptions!$B$47+Assumptions!$B$48)+Assumptions!$B$49+(H591+I591)+J619</f>
        <v/>
      </c>
      <c r="L619">
        <f>(Assumptions!$B$13-I619+Assumptions!$B$31*Assumptions!$B$10)/(K619+Assumptions!$B$31)</f>
        <v/>
      </c>
      <c r="M619">
        <f>IF(L619&gt;Assumptions!$B$10,"yes","no")</f>
        <v/>
      </c>
      <c r="N619">
        <f>IF(M619="yes",L619,MAX(0,(Assumptions!$B$13-I619)/K619))</f>
        <v/>
      </c>
      <c r="O619">
        <f>IF(M619="yes",Assumptions!$B$31*(N619-Assumptions!$B$10),0)</f>
        <v/>
      </c>
    </row>
    <row r="620">
      <c r="A620" t="inlineStr">
        <is>
          <t>iter 24</t>
        </is>
      </c>
      <c r="B620">
        <f>IF(Assumptions!$B$4&gt;(Assumptions!$B$4/B591)*N619,"preference","convert")</f>
        <v/>
      </c>
      <c r="C620">
        <f>IF(Assumptions!$B$45&gt;(Assumptions!$B$39+F591)*N619,"preference","convert")</f>
        <v/>
      </c>
      <c r="D620">
        <f>IF(Assumptions!$B$44&gt;(Assumptions!$B$38+E591)*N619,"preference","convert")</f>
        <v/>
      </c>
      <c r="E620">
        <f>IF(Assumptions!$B$43&gt;Assumptions!$B$36*N619,"preference","convert")</f>
        <v/>
      </c>
      <c r="F620">
        <f>IF(Assumptions!$B$42&gt;Assumptions!$B$35*N619,"preference","convert")</f>
        <v/>
      </c>
      <c r="G620">
        <f>IF(Assumptions!$B$41&gt;Assumptions!$B$34*N619,"preference","convert")</f>
        <v/>
      </c>
      <c r="H620">
        <f>IF(Assumptions!$B$40&gt;Assumptions!$B$33*N619,"preference","convert")</f>
        <v/>
      </c>
      <c r="I620">
        <f>IF(B620="preference",Assumptions!$B$4,0)+IF(C620="preference",Assumptions!$B$45,0)+IF(D620="preference",Assumptions!$B$44,0)+IF(E620="preference",Assumptions!$B$43,0)+IF(F620="preference",Assumptions!$B$42,0)+IF(G620="preference",Assumptions!$B$41,0)+IF(H620="preference",Assumptions!$B$40,0)</f>
        <v/>
      </c>
      <c r="J620">
        <f>IF(B620="convert",(Assumptions!$B$4/B591),0)+IF(C620="convert",(Assumptions!$B$39+F591),0)+IF(D620="convert",(Assumptions!$B$38+E591),0)+IF(E620="convert",Assumptions!$B$36,0)+IF(F620="convert",Assumptions!$B$35,0)+IF(G620="convert",Assumptions!$B$34,0)+IF(H620="convert",Assumptions!$B$33,0)</f>
        <v/>
      </c>
      <c r="K620">
        <f>(Assumptions!$B$46+Assumptions!$B$47+Assumptions!$B$48)+Assumptions!$B$49+(H591+I591)+J620</f>
        <v/>
      </c>
      <c r="L620">
        <f>(Assumptions!$B$13-I620+Assumptions!$B$31*Assumptions!$B$10)/(K620+Assumptions!$B$31)</f>
        <v/>
      </c>
      <c r="M620">
        <f>IF(L620&gt;Assumptions!$B$10,"yes","no")</f>
        <v/>
      </c>
      <c r="N620">
        <f>IF(M620="yes",L620,MAX(0,(Assumptions!$B$13-I620)/K620))</f>
        <v/>
      </c>
      <c r="O620">
        <f>IF(M620="yes",Assumptions!$B$31*(N620-Assumptions!$B$10),0)</f>
        <v/>
      </c>
    </row>
    <row r="621">
      <c r="A621" t="inlineStr">
        <is>
          <t>iter 25</t>
        </is>
      </c>
      <c r="B621">
        <f>IF(Assumptions!$B$4&gt;(Assumptions!$B$4/B591)*N620,"preference","convert")</f>
        <v/>
      </c>
      <c r="C621">
        <f>IF(Assumptions!$B$45&gt;(Assumptions!$B$39+F591)*N620,"preference","convert")</f>
        <v/>
      </c>
      <c r="D621">
        <f>IF(Assumptions!$B$44&gt;(Assumptions!$B$38+E591)*N620,"preference","convert")</f>
        <v/>
      </c>
      <c r="E621">
        <f>IF(Assumptions!$B$43&gt;Assumptions!$B$36*N620,"preference","convert")</f>
        <v/>
      </c>
      <c r="F621">
        <f>IF(Assumptions!$B$42&gt;Assumptions!$B$35*N620,"preference","convert")</f>
        <v/>
      </c>
      <c r="G621">
        <f>IF(Assumptions!$B$41&gt;Assumptions!$B$34*N620,"preference","convert")</f>
        <v/>
      </c>
      <c r="H621">
        <f>IF(Assumptions!$B$40&gt;Assumptions!$B$33*N620,"preference","convert")</f>
        <v/>
      </c>
      <c r="I621">
        <f>IF(B621="preference",Assumptions!$B$4,0)+IF(C621="preference",Assumptions!$B$45,0)+IF(D621="preference",Assumptions!$B$44,0)+IF(E621="preference",Assumptions!$B$43,0)+IF(F621="preference",Assumptions!$B$42,0)+IF(G621="preference",Assumptions!$B$41,0)+IF(H621="preference",Assumptions!$B$40,0)</f>
        <v/>
      </c>
      <c r="J621">
        <f>IF(B621="convert",(Assumptions!$B$4/B591),0)+IF(C621="convert",(Assumptions!$B$39+F591),0)+IF(D621="convert",(Assumptions!$B$38+E591),0)+IF(E621="convert",Assumptions!$B$36,0)+IF(F621="convert",Assumptions!$B$35,0)+IF(G621="convert",Assumptions!$B$34,0)+IF(H621="convert",Assumptions!$B$33,0)</f>
        <v/>
      </c>
      <c r="K621">
        <f>(Assumptions!$B$46+Assumptions!$B$47+Assumptions!$B$48)+Assumptions!$B$49+(H591+I591)+J621</f>
        <v/>
      </c>
      <c r="L621">
        <f>(Assumptions!$B$13-I621+Assumptions!$B$31*Assumptions!$B$10)/(K621+Assumptions!$B$31)</f>
        <v/>
      </c>
      <c r="M621">
        <f>IF(L621&gt;Assumptions!$B$10,"yes","no")</f>
        <v/>
      </c>
      <c r="N621">
        <f>IF(M621="yes",L621,MAX(0,(Assumptions!$B$13-I621)/K621))</f>
        <v/>
      </c>
      <c r="O621">
        <f>IF(M621="yes",Assumptions!$B$31*(N621-Assumptions!$B$10),0)</f>
        <v/>
      </c>
    </row>
    <row r="622">
      <c r="A622" t="inlineStr">
        <is>
          <t>iter 26</t>
        </is>
      </c>
      <c r="B622">
        <f>IF(Assumptions!$B$4&gt;(Assumptions!$B$4/B591)*N621,"preference","convert")</f>
        <v/>
      </c>
      <c r="C622">
        <f>IF(Assumptions!$B$45&gt;(Assumptions!$B$39+F591)*N621,"preference","convert")</f>
        <v/>
      </c>
      <c r="D622">
        <f>IF(Assumptions!$B$44&gt;(Assumptions!$B$38+E591)*N621,"preference","convert")</f>
        <v/>
      </c>
      <c r="E622">
        <f>IF(Assumptions!$B$43&gt;Assumptions!$B$36*N621,"preference","convert")</f>
        <v/>
      </c>
      <c r="F622">
        <f>IF(Assumptions!$B$42&gt;Assumptions!$B$35*N621,"preference","convert")</f>
        <v/>
      </c>
      <c r="G622">
        <f>IF(Assumptions!$B$41&gt;Assumptions!$B$34*N621,"preference","convert")</f>
        <v/>
      </c>
      <c r="H622">
        <f>IF(Assumptions!$B$40&gt;Assumptions!$B$33*N621,"preference","convert")</f>
        <v/>
      </c>
      <c r="I622">
        <f>IF(B622="preference",Assumptions!$B$4,0)+IF(C622="preference",Assumptions!$B$45,0)+IF(D622="preference",Assumptions!$B$44,0)+IF(E622="preference",Assumptions!$B$43,0)+IF(F622="preference",Assumptions!$B$42,0)+IF(G622="preference",Assumptions!$B$41,0)+IF(H622="preference",Assumptions!$B$40,0)</f>
        <v/>
      </c>
      <c r="J622">
        <f>IF(B622="convert",(Assumptions!$B$4/B591),0)+IF(C622="convert",(Assumptions!$B$39+F591),0)+IF(D622="convert",(Assumptions!$B$38+E591),0)+IF(E622="convert",Assumptions!$B$36,0)+IF(F622="convert",Assumptions!$B$35,0)+IF(G622="convert",Assumptions!$B$34,0)+IF(H622="convert",Assumptions!$B$33,0)</f>
        <v/>
      </c>
      <c r="K622">
        <f>(Assumptions!$B$46+Assumptions!$B$47+Assumptions!$B$48)+Assumptions!$B$49+(H591+I591)+J622</f>
        <v/>
      </c>
      <c r="L622">
        <f>(Assumptions!$B$13-I622+Assumptions!$B$31*Assumptions!$B$10)/(K622+Assumptions!$B$31)</f>
        <v/>
      </c>
      <c r="M622">
        <f>IF(L622&gt;Assumptions!$B$10,"yes","no")</f>
        <v/>
      </c>
      <c r="N622">
        <f>IF(M622="yes",L622,MAX(0,(Assumptions!$B$13-I622)/K622))</f>
        <v/>
      </c>
      <c r="O622">
        <f>IF(M622="yes",Assumptions!$B$31*(N622-Assumptions!$B$10),0)</f>
        <v/>
      </c>
    </row>
    <row r="623">
      <c r="A623" t="inlineStr">
        <is>
          <t>iter 27</t>
        </is>
      </c>
      <c r="B623">
        <f>IF(Assumptions!$B$4&gt;(Assumptions!$B$4/B591)*N622,"preference","convert")</f>
        <v/>
      </c>
      <c r="C623">
        <f>IF(Assumptions!$B$45&gt;(Assumptions!$B$39+F591)*N622,"preference","convert")</f>
        <v/>
      </c>
      <c r="D623">
        <f>IF(Assumptions!$B$44&gt;(Assumptions!$B$38+E591)*N622,"preference","convert")</f>
        <v/>
      </c>
      <c r="E623">
        <f>IF(Assumptions!$B$43&gt;Assumptions!$B$36*N622,"preference","convert")</f>
        <v/>
      </c>
      <c r="F623">
        <f>IF(Assumptions!$B$42&gt;Assumptions!$B$35*N622,"preference","convert")</f>
        <v/>
      </c>
      <c r="G623">
        <f>IF(Assumptions!$B$41&gt;Assumptions!$B$34*N622,"preference","convert")</f>
        <v/>
      </c>
      <c r="H623">
        <f>IF(Assumptions!$B$40&gt;Assumptions!$B$33*N622,"preference","convert")</f>
        <v/>
      </c>
      <c r="I623">
        <f>IF(B623="preference",Assumptions!$B$4,0)+IF(C623="preference",Assumptions!$B$45,0)+IF(D623="preference",Assumptions!$B$44,0)+IF(E623="preference",Assumptions!$B$43,0)+IF(F623="preference",Assumptions!$B$42,0)+IF(G623="preference",Assumptions!$B$41,0)+IF(H623="preference",Assumptions!$B$40,0)</f>
        <v/>
      </c>
      <c r="J623">
        <f>IF(B623="convert",(Assumptions!$B$4/B591),0)+IF(C623="convert",(Assumptions!$B$39+F591),0)+IF(D623="convert",(Assumptions!$B$38+E591),0)+IF(E623="convert",Assumptions!$B$36,0)+IF(F623="convert",Assumptions!$B$35,0)+IF(G623="convert",Assumptions!$B$34,0)+IF(H623="convert",Assumptions!$B$33,0)</f>
        <v/>
      </c>
      <c r="K623">
        <f>(Assumptions!$B$46+Assumptions!$B$47+Assumptions!$B$48)+Assumptions!$B$49+(H591+I591)+J623</f>
        <v/>
      </c>
      <c r="L623">
        <f>(Assumptions!$B$13-I623+Assumptions!$B$31*Assumptions!$B$10)/(K623+Assumptions!$B$31)</f>
        <v/>
      </c>
      <c r="M623">
        <f>IF(L623&gt;Assumptions!$B$10,"yes","no")</f>
        <v/>
      </c>
      <c r="N623">
        <f>IF(M623="yes",L623,MAX(0,(Assumptions!$B$13-I623)/K623))</f>
        <v/>
      </c>
      <c r="O623">
        <f>IF(M623="yes",Assumptions!$B$31*(N623-Assumptions!$B$10),0)</f>
        <v/>
      </c>
    </row>
    <row r="624">
      <c r="A624" t="inlineStr">
        <is>
          <t>iter 28</t>
        </is>
      </c>
      <c r="B624">
        <f>IF(Assumptions!$B$4&gt;(Assumptions!$B$4/B591)*N623,"preference","convert")</f>
        <v/>
      </c>
      <c r="C624">
        <f>IF(Assumptions!$B$45&gt;(Assumptions!$B$39+F591)*N623,"preference","convert")</f>
        <v/>
      </c>
      <c r="D624">
        <f>IF(Assumptions!$B$44&gt;(Assumptions!$B$38+E591)*N623,"preference","convert")</f>
        <v/>
      </c>
      <c r="E624">
        <f>IF(Assumptions!$B$43&gt;Assumptions!$B$36*N623,"preference","convert")</f>
        <v/>
      </c>
      <c r="F624">
        <f>IF(Assumptions!$B$42&gt;Assumptions!$B$35*N623,"preference","convert")</f>
        <v/>
      </c>
      <c r="G624">
        <f>IF(Assumptions!$B$41&gt;Assumptions!$B$34*N623,"preference","convert")</f>
        <v/>
      </c>
      <c r="H624">
        <f>IF(Assumptions!$B$40&gt;Assumptions!$B$33*N623,"preference","convert")</f>
        <v/>
      </c>
      <c r="I624">
        <f>IF(B624="preference",Assumptions!$B$4,0)+IF(C624="preference",Assumptions!$B$45,0)+IF(D624="preference",Assumptions!$B$44,0)+IF(E624="preference",Assumptions!$B$43,0)+IF(F624="preference",Assumptions!$B$42,0)+IF(G624="preference",Assumptions!$B$41,0)+IF(H624="preference",Assumptions!$B$40,0)</f>
        <v/>
      </c>
      <c r="J624">
        <f>IF(B624="convert",(Assumptions!$B$4/B591),0)+IF(C624="convert",(Assumptions!$B$39+F591),0)+IF(D624="convert",(Assumptions!$B$38+E591),0)+IF(E624="convert",Assumptions!$B$36,0)+IF(F624="convert",Assumptions!$B$35,0)+IF(G624="convert",Assumptions!$B$34,0)+IF(H624="convert",Assumptions!$B$33,0)</f>
        <v/>
      </c>
      <c r="K624">
        <f>(Assumptions!$B$46+Assumptions!$B$47+Assumptions!$B$48)+Assumptions!$B$49+(H591+I591)+J624</f>
        <v/>
      </c>
      <c r="L624">
        <f>(Assumptions!$B$13-I624+Assumptions!$B$31*Assumptions!$B$10)/(K624+Assumptions!$B$31)</f>
        <v/>
      </c>
      <c r="M624">
        <f>IF(L624&gt;Assumptions!$B$10,"yes","no")</f>
        <v/>
      </c>
      <c r="N624">
        <f>IF(M624="yes",L624,MAX(0,(Assumptions!$B$13-I624)/K624))</f>
        <v/>
      </c>
      <c r="O624">
        <f>IF(M624="yes",Assumptions!$B$31*(N624-Assumptions!$B$10),0)</f>
        <v/>
      </c>
    </row>
    <row r="625">
      <c r="A625" t="inlineStr">
        <is>
          <t>iter 29</t>
        </is>
      </c>
      <c r="B625">
        <f>IF(Assumptions!$B$4&gt;(Assumptions!$B$4/B591)*N624,"preference","convert")</f>
        <v/>
      </c>
      <c r="C625">
        <f>IF(Assumptions!$B$45&gt;(Assumptions!$B$39+F591)*N624,"preference","convert")</f>
        <v/>
      </c>
      <c r="D625">
        <f>IF(Assumptions!$B$44&gt;(Assumptions!$B$38+E591)*N624,"preference","convert")</f>
        <v/>
      </c>
      <c r="E625">
        <f>IF(Assumptions!$B$43&gt;Assumptions!$B$36*N624,"preference","convert")</f>
        <v/>
      </c>
      <c r="F625">
        <f>IF(Assumptions!$B$42&gt;Assumptions!$B$35*N624,"preference","convert")</f>
        <v/>
      </c>
      <c r="G625">
        <f>IF(Assumptions!$B$41&gt;Assumptions!$B$34*N624,"preference","convert")</f>
        <v/>
      </c>
      <c r="H625">
        <f>IF(Assumptions!$B$40&gt;Assumptions!$B$33*N624,"preference","convert")</f>
        <v/>
      </c>
      <c r="I625">
        <f>IF(B625="preference",Assumptions!$B$4,0)+IF(C625="preference",Assumptions!$B$45,0)+IF(D625="preference",Assumptions!$B$44,0)+IF(E625="preference",Assumptions!$B$43,0)+IF(F625="preference",Assumptions!$B$42,0)+IF(G625="preference",Assumptions!$B$41,0)+IF(H625="preference",Assumptions!$B$40,0)</f>
        <v/>
      </c>
      <c r="J625">
        <f>IF(B625="convert",(Assumptions!$B$4/B591),0)+IF(C625="convert",(Assumptions!$B$39+F591),0)+IF(D625="convert",(Assumptions!$B$38+E591),0)+IF(E625="convert",Assumptions!$B$36,0)+IF(F625="convert",Assumptions!$B$35,0)+IF(G625="convert",Assumptions!$B$34,0)+IF(H625="convert",Assumptions!$B$33,0)</f>
        <v/>
      </c>
      <c r="K625">
        <f>(Assumptions!$B$46+Assumptions!$B$47+Assumptions!$B$48)+Assumptions!$B$49+(H591+I591)+J625</f>
        <v/>
      </c>
      <c r="L625">
        <f>(Assumptions!$B$13-I625+Assumptions!$B$31*Assumptions!$B$10)/(K625+Assumptions!$B$31)</f>
        <v/>
      </c>
      <c r="M625">
        <f>IF(L625&gt;Assumptions!$B$10,"yes","no")</f>
        <v/>
      </c>
      <c r="N625">
        <f>IF(M625="yes",L625,MAX(0,(Assumptions!$B$13-I625)/K625))</f>
        <v/>
      </c>
      <c r="O625">
        <f>IF(M625="yes",Assumptions!$B$31*(N625-Assumptions!$B$10),0)</f>
        <v/>
      </c>
    </row>
    <row r="626">
      <c r="A626" t="inlineStr">
        <is>
          <t>iter 30</t>
        </is>
      </c>
      <c r="B626">
        <f>IF(Assumptions!$B$4&gt;(Assumptions!$B$4/B591)*N625,"preference","convert")</f>
        <v/>
      </c>
      <c r="C626">
        <f>IF(Assumptions!$B$45&gt;(Assumptions!$B$39+F591)*N625,"preference","convert")</f>
        <v/>
      </c>
      <c r="D626">
        <f>IF(Assumptions!$B$44&gt;(Assumptions!$B$38+E591)*N625,"preference","convert")</f>
        <v/>
      </c>
      <c r="E626">
        <f>IF(Assumptions!$B$43&gt;Assumptions!$B$36*N625,"preference","convert")</f>
        <v/>
      </c>
      <c r="F626">
        <f>IF(Assumptions!$B$42&gt;Assumptions!$B$35*N625,"preference","convert")</f>
        <v/>
      </c>
      <c r="G626">
        <f>IF(Assumptions!$B$41&gt;Assumptions!$B$34*N625,"preference","convert")</f>
        <v/>
      </c>
      <c r="H626">
        <f>IF(Assumptions!$B$40&gt;Assumptions!$B$33*N625,"preference","convert")</f>
        <v/>
      </c>
      <c r="I626">
        <f>IF(B626="preference",Assumptions!$B$4,0)+IF(C626="preference",Assumptions!$B$45,0)+IF(D626="preference",Assumptions!$B$44,0)+IF(E626="preference",Assumptions!$B$43,0)+IF(F626="preference",Assumptions!$B$42,0)+IF(G626="preference",Assumptions!$B$41,0)+IF(H626="preference",Assumptions!$B$40,0)</f>
        <v/>
      </c>
      <c r="J626">
        <f>IF(B626="convert",(Assumptions!$B$4/B591),0)+IF(C626="convert",(Assumptions!$B$39+F591),0)+IF(D626="convert",(Assumptions!$B$38+E591),0)+IF(E626="convert",Assumptions!$B$36,0)+IF(F626="convert",Assumptions!$B$35,0)+IF(G626="convert",Assumptions!$B$34,0)+IF(H626="convert",Assumptions!$B$33,0)</f>
        <v/>
      </c>
      <c r="K626">
        <f>(Assumptions!$B$46+Assumptions!$B$47+Assumptions!$B$48)+Assumptions!$B$49+(H591+I591)+J626</f>
        <v/>
      </c>
      <c r="L626">
        <f>(Assumptions!$B$13-I626+Assumptions!$B$31*Assumptions!$B$10)/(K626+Assumptions!$B$31)</f>
        <v/>
      </c>
      <c r="M626">
        <f>IF(L626&gt;Assumptions!$B$10,"yes","no")</f>
        <v/>
      </c>
      <c r="N626">
        <f>IF(M626="yes",L626,MAX(0,(Assumptions!$B$13-I626)/K626))</f>
        <v/>
      </c>
      <c r="O626">
        <f>IF(M626="yes",Assumptions!$B$31*(N626-Assumptions!$B$10),0)</f>
        <v/>
      </c>
    </row>
    <row r="628">
      <c r="A628" t="inlineStr">
        <is>
          <t>Our shares (post-F)</t>
        </is>
      </c>
      <c r="B628">
        <f>(Assumptions!$B$8/B591)</f>
        <v/>
      </c>
    </row>
    <row r="629">
      <c r="A629" t="inlineStr">
        <is>
          <t>Our ownership % (of T_F)</t>
        </is>
      </c>
      <c r="B629">
        <f>(Assumptions!$B$8/B591)/K591</f>
        <v/>
      </c>
    </row>
    <row r="630">
      <c r="A630" t="inlineStr">
        <is>
          <t>Our $ proceeds at $2B</t>
        </is>
      </c>
      <c r="B630">
        <f>IF(B626="convert",(Assumptions!$B$8/B591)*N626,(Assumptions!$B$8/B591)*B591)</f>
        <v/>
      </c>
    </row>
    <row r="633">
      <c r="A633" s="1" t="inlineStr">
        <is>
          <t>Cell (1,2) — ESOP=base, Pre=high</t>
        </is>
      </c>
    </row>
    <row r="634">
      <c r="A634" s="1" t="inlineStr">
        <is>
          <t>Step</t>
        </is>
      </c>
      <c r="B634" s="1" t="inlineStr">
        <is>
          <t>F_PPS</t>
        </is>
      </c>
      <c r="C634" s="1" t="inlineStr">
        <is>
          <t>D_NCP</t>
        </is>
      </c>
      <c r="D634" s="1" t="inlineStr">
        <is>
          <t>E_NCP</t>
        </is>
      </c>
      <c r="E634" s="1" t="inlineStr">
        <is>
          <t>ΔD</t>
        </is>
      </c>
      <c r="F634" s="1" t="inlineStr">
        <is>
          <t>ΔE</t>
        </is>
      </c>
      <c r="G634" s="1" t="inlineStr">
        <is>
          <t>ESOP</t>
        </is>
      </c>
      <c r="H634" s="1" t="inlineStr">
        <is>
          <t>N_A</t>
        </is>
      </c>
      <c r="I634" s="1" t="inlineStr">
        <is>
          <t>N_B</t>
        </is>
      </c>
      <c r="J634" s="1" t="inlineStr">
        <is>
          <t>preFD</t>
        </is>
      </c>
      <c r="K634" s="1" t="inlineStr">
        <is>
          <t>T_F</t>
        </is>
      </c>
      <c r="L634" s="1" t="inlineStr">
        <is>
          <t>F_PPS chk</t>
        </is>
      </c>
    </row>
    <row r="635">
      <c r="A635" t="inlineStr">
        <is>
          <t>cell(1,2) seed</t>
        </is>
      </c>
      <c r="B635">
        <f>Assumptions!$B$55/Assumptions!$B$29</f>
        <v/>
      </c>
      <c r="C635">
        <f>Assumptions!$B$20</f>
        <v/>
      </c>
      <c r="D635">
        <f>Assumptions!$B$21</f>
        <v/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>
        <f>Assumptions!$B$29</f>
        <v/>
      </c>
      <c r="K635">
        <f>J635+Assumptions!$B$4/B635</f>
        <v/>
      </c>
      <c r="L635">
        <f>B635</f>
        <v/>
      </c>
    </row>
    <row r="636">
      <c r="A636" t="inlineStr">
        <is>
          <t>cell(1,2) iter 1</t>
        </is>
      </c>
      <c r="B636">
        <f>Assumptions!$B$55/J635</f>
        <v/>
      </c>
      <c r="C636">
        <f>IF(B636&lt;Assumptions!$B$20,Assumptions!$B$20*(Assumptions!$B$29+Assumptions!$B$4/Assumptions!$B$20)/(Assumptions!$B$29+Assumptions!$B$4/B636),Assumptions!$B$20)</f>
        <v/>
      </c>
      <c r="D636">
        <f>IF(B636&lt;Assumptions!$B$21,Assumptions!$B$21*(Assumptions!$B$29+Assumptions!$B$4/Assumptions!$B$21)/(Assumptions!$B$29+Assumptions!$B$4/B636),Assumptions!$B$21)</f>
        <v/>
      </c>
      <c r="E636">
        <f>Assumptions!$B$37*Assumptions!$B$22/C636-Assumptions!$B$38</f>
        <v/>
      </c>
      <c r="F636">
        <f>Assumptions!$B$39*Assumptions!$B$21/D636-Assumptions!$B$39</f>
        <v/>
      </c>
      <c r="G636">
        <f>MAX(0,Assumptions!$B$51*(Assumptions!$B$29+E636+F636+G635+H635+I635+Assumptions!$B$4/B636)-Assumptions!$B$30)</f>
        <v/>
      </c>
      <c r="H636">
        <f>Assumptions!$B$23/MIN(Assumptions!$B$24/(Assumptions!$B$29+E636+F636+G636+I635),B636*(1-Assumptions!$B$25))</f>
        <v/>
      </c>
      <c r="I636">
        <f>Assumptions!$B$26/MIN(Assumptions!$B$27/(Assumptions!$B$29+E636+F636+G636+H636),B636*(1-Assumptions!$B$28))</f>
        <v/>
      </c>
      <c r="J636">
        <f>Assumptions!$B$29+E636+F636+G636+H636+I636</f>
        <v/>
      </c>
      <c r="K636">
        <f>J636+Assumptions!$B$4/B636</f>
        <v/>
      </c>
      <c r="L636">
        <f>B636</f>
        <v/>
      </c>
    </row>
    <row r="637">
      <c r="A637" t="inlineStr">
        <is>
          <t>cell(1,2) iter 2</t>
        </is>
      </c>
      <c r="B637">
        <f>Assumptions!$B$55/J636</f>
        <v/>
      </c>
      <c r="C637">
        <f>IF(B637&lt;Assumptions!$B$20,Assumptions!$B$20*(Assumptions!$B$29+Assumptions!$B$4/Assumptions!$B$20)/(Assumptions!$B$29+Assumptions!$B$4/B637),Assumptions!$B$20)</f>
        <v/>
      </c>
      <c r="D637">
        <f>IF(B637&lt;Assumptions!$B$21,Assumptions!$B$21*(Assumptions!$B$29+Assumptions!$B$4/Assumptions!$B$21)/(Assumptions!$B$29+Assumptions!$B$4/B637),Assumptions!$B$21)</f>
        <v/>
      </c>
      <c r="E637">
        <f>Assumptions!$B$37*Assumptions!$B$22/C637-Assumptions!$B$38</f>
        <v/>
      </c>
      <c r="F637">
        <f>Assumptions!$B$39*Assumptions!$B$21/D637-Assumptions!$B$39</f>
        <v/>
      </c>
      <c r="G637">
        <f>MAX(0,Assumptions!$B$51*(Assumptions!$B$29+E637+F637+G636+H636+I636+Assumptions!$B$4/B637)-Assumptions!$B$30)</f>
        <v/>
      </c>
      <c r="H637">
        <f>Assumptions!$B$23/MIN(Assumptions!$B$24/(Assumptions!$B$29+E637+F637+G637+I636),B637*(1-Assumptions!$B$25))</f>
        <v/>
      </c>
      <c r="I637">
        <f>Assumptions!$B$26/MIN(Assumptions!$B$27/(Assumptions!$B$29+E637+F637+G637+H637),B637*(1-Assumptions!$B$28))</f>
        <v/>
      </c>
      <c r="J637">
        <f>Assumptions!$B$29+E637+F637+G637+H637+I637</f>
        <v/>
      </c>
      <c r="K637">
        <f>J637+Assumptions!$B$4/B637</f>
        <v/>
      </c>
      <c r="L637">
        <f>B637</f>
        <v/>
      </c>
    </row>
    <row r="638">
      <c r="A638" t="inlineStr">
        <is>
          <t>cell(1,2) iter 3</t>
        </is>
      </c>
      <c r="B638">
        <f>Assumptions!$B$55/J637</f>
        <v/>
      </c>
      <c r="C638">
        <f>IF(B638&lt;Assumptions!$B$20,Assumptions!$B$20*(Assumptions!$B$29+Assumptions!$B$4/Assumptions!$B$20)/(Assumptions!$B$29+Assumptions!$B$4/B638),Assumptions!$B$20)</f>
        <v/>
      </c>
      <c r="D638">
        <f>IF(B638&lt;Assumptions!$B$21,Assumptions!$B$21*(Assumptions!$B$29+Assumptions!$B$4/Assumptions!$B$21)/(Assumptions!$B$29+Assumptions!$B$4/B638),Assumptions!$B$21)</f>
        <v/>
      </c>
      <c r="E638">
        <f>Assumptions!$B$37*Assumptions!$B$22/C638-Assumptions!$B$38</f>
        <v/>
      </c>
      <c r="F638">
        <f>Assumptions!$B$39*Assumptions!$B$21/D638-Assumptions!$B$39</f>
        <v/>
      </c>
      <c r="G638">
        <f>MAX(0,Assumptions!$B$51*(Assumptions!$B$29+E638+F638+G637+H637+I637+Assumptions!$B$4/B638)-Assumptions!$B$30)</f>
        <v/>
      </c>
      <c r="H638">
        <f>Assumptions!$B$23/MIN(Assumptions!$B$24/(Assumptions!$B$29+E638+F638+G638+I637),B638*(1-Assumptions!$B$25))</f>
        <v/>
      </c>
      <c r="I638">
        <f>Assumptions!$B$26/MIN(Assumptions!$B$27/(Assumptions!$B$29+E638+F638+G638+H638),B638*(1-Assumptions!$B$28))</f>
        <v/>
      </c>
      <c r="J638">
        <f>Assumptions!$B$29+E638+F638+G638+H638+I638</f>
        <v/>
      </c>
      <c r="K638">
        <f>J638+Assumptions!$B$4/B638</f>
        <v/>
      </c>
      <c r="L638">
        <f>B638</f>
        <v/>
      </c>
    </row>
    <row r="639">
      <c r="A639" t="inlineStr">
        <is>
          <t>cell(1,2) iter 4</t>
        </is>
      </c>
      <c r="B639">
        <f>Assumptions!$B$55/J638</f>
        <v/>
      </c>
      <c r="C639">
        <f>IF(B639&lt;Assumptions!$B$20,Assumptions!$B$20*(Assumptions!$B$29+Assumptions!$B$4/Assumptions!$B$20)/(Assumptions!$B$29+Assumptions!$B$4/B639),Assumptions!$B$20)</f>
        <v/>
      </c>
      <c r="D639">
        <f>IF(B639&lt;Assumptions!$B$21,Assumptions!$B$21*(Assumptions!$B$29+Assumptions!$B$4/Assumptions!$B$21)/(Assumptions!$B$29+Assumptions!$B$4/B639),Assumptions!$B$21)</f>
        <v/>
      </c>
      <c r="E639">
        <f>Assumptions!$B$37*Assumptions!$B$22/C639-Assumptions!$B$38</f>
        <v/>
      </c>
      <c r="F639">
        <f>Assumptions!$B$39*Assumptions!$B$21/D639-Assumptions!$B$39</f>
        <v/>
      </c>
      <c r="G639">
        <f>MAX(0,Assumptions!$B$51*(Assumptions!$B$29+E639+F639+G638+H638+I638+Assumptions!$B$4/B639)-Assumptions!$B$30)</f>
        <v/>
      </c>
      <c r="H639">
        <f>Assumptions!$B$23/MIN(Assumptions!$B$24/(Assumptions!$B$29+E639+F639+G639+I638),B639*(1-Assumptions!$B$25))</f>
        <v/>
      </c>
      <c r="I639">
        <f>Assumptions!$B$26/MIN(Assumptions!$B$27/(Assumptions!$B$29+E639+F639+G639+H639),B639*(1-Assumptions!$B$28))</f>
        <v/>
      </c>
      <c r="J639">
        <f>Assumptions!$B$29+E639+F639+G639+H639+I639</f>
        <v/>
      </c>
      <c r="K639">
        <f>J639+Assumptions!$B$4/B639</f>
        <v/>
      </c>
      <c r="L639">
        <f>B639</f>
        <v/>
      </c>
    </row>
    <row r="640">
      <c r="A640" t="inlineStr">
        <is>
          <t>cell(1,2) iter 5</t>
        </is>
      </c>
      <c r="B640">
        <f>Assumptions!$B$55/J639</f>
        <v/>
      </c>
      <c r="C640">
        <f>IF(B640&lt;Assumptions!$B$20,Assumptions!$B$20*(Assumptions!$B$29+Assumptions!$B$4/Assumptions!$B$20)/(Assumptions!$B$29+Assumptions!$B$4/B640),Assumptions!$B$20)</f>
        <v/>
      </c>
      <c r="D640">
        <f>IF(B640&lt;Assumptions!$B$21,Assumptions!$B$21*(Assumptions!$B$29+Assumptions!$B$4/Assumptions!$B$21)/(Assumptions!$B$29+Assumptions!$B$4/B640),Assumptions!$B$21)</f>
        <v/>
      </c>
      <c r="E640">
        <f>Assumptions!$B$37*Assumptions!$B$22/C640-Assumptions!$B$38</f>
        <v/>
      </c>
      <c r="F640">
        <f>Assumptions!$B$39*Assumptions!$B$21/D640-Assumptions!$B$39</f>
        <v/>
      </c>
      <c r="G640">
        <f>MAX(0,Assumptions!$B$51*(Assumptions!$B$29+E640+F640+G639+H639+I639+Assumptions!$B$4/B640)-Assumptions!$B$30)</f>
        <v/>
      </c>
      <c r="H640">
        <f>Assumptions!$B$23/MIN(Assumptions!$B$24/(Assumptions!$B$29+E640+F640+G640+I639),B640*(1-Assumptions!$B$25))</f>
        <v/>
      </c>
      <c r="I640">
        <f>Assumptions!$B$26/MIN(Assumptions!$B$27/(Assumptions!$B$29+E640+F640+G640+H640),B640*(1-Assumptions!$B$28))</f>
        <v/>
      </c>
      <c r="J640">
        <f>Assumptions!$B$29+E640+F640+G640+H640+I640</f>
        <v/>
      </c>
      <c r="K640">
        <f>J640+Assumptions!$B$4/B640</f>
        <v/>
      </c>
      <c r="L640">
        <f>B640</f>
        <v/>
      </c>
    </row>
    <row r="641">
      <c r="A641" t="inlineStr">
        <is>
          <t>cell(1,2) iter 6</t>
        </is>
      </c>
      <c r="B641">
        <f>Assumptions!$B$55/J640</f>
        <v/>
      </c>
      <c r="C641">
        <f>IF(B641&lt;Assumptions!$B$20,Assumptions!$B$20*(Assumptions!$B$29+Assumptions!$B$4/Assumptions!$B$20)/(Assumptions!$B$29+Assumptions!$B$4/B641),Assumptions!$B$20)</f>
        <v/>
      </c>
      <c r="D641">
        <f>IF(B641&lt;Assumptions!$B$21,Assumptions!$B$21*(Assumptions!$B$29+Assumptions!$B$4/Assumptions!$B$21)/(Assumptions!$B$29+Assumptions!$B$4/B641),Assumptions!$B$21)</f>
        <v/>
      </c>
      <c r="E641">
        <f>Assumptions!$B$37*Assumptions!$B$22/C641-Assumptions!$B$38</f>
        <v/>
      </c>
      <c r="F641">
        <f>Assumptions!$B$39*Assumptions!$B$21/D641-Assumptions!$B$39</f>
        <v/>
      </c>
      <c r="G641">
        <f>MAX(0,Assumptions!$B$51*(Assumptions!$B$29+E641+F641+G640+H640+I640+Assumptions!$B$4/B641)-Assumptions!$B$30)</f>
        <v/>
      </c>
      <c r="H641">
        <f>Assumptions!$B$23/MIN(Assumptions!$B$24/(Assumptions!$B$29+E641+F641+G641+I640),B641*(1-Assumptions!$B$25))</f>
        <v/>
      </c>
      <c r="I641">
        <f>Assumptions!$B$26/MIN(Assumptions!$B$27/(Assumptions!$B$29+E641+F641+G641+H641),B641*(1-Assumptions!$B$28))</f>
        <v/>
      </c>
      <c r="J641">
        <f>Assumptions!$B$29+E641+F641+G641+H641+I641</f>
        <v/>
      </c>
      <c r="K641">
        <f>J641+Assumptions!$B$4/B641</f>
        <v/>
      </c>
      <c r="L641">
        <f>B641</f>
        <v/>
      </c>
    </row>
    <row r="642">
      <c r="A642" t="inlineStr">
        <is>
          <t>cell(1,2) iter 7</t>
        </is>
      </c>
      <c r="B642">
        <f>Assumptions!$B$55/J641</f>
        <v/>
      </c>
      <c r="C642">
        <f>IF(B642&lt;Assumptions!$B$20,Assumptions!$B$20*(Assumptions!$B$29+Assumptions!$B$4/Assumptions!$B$20)/(Assumptions!$B$29+Assumptions!$B$4/B642),Assumptions!$B$20)</f>
        <v/>
      </c>
      <c r="D642">
        <f>IF(B642&lt;Assumptions!$B$21,Assumptions!$B$21*(Assumptions!$B$29+Assumptions!$B$4/Assumptions!$B$21)/(Assumptions!$B$29+Assumptions!$B$4/B642),Assumptions!$B$21)</f>
        <v/>
      </c>
      <c r="E642">
        <f>Assumptions!$B$37*Assumptions!$B$22/C642-Assumptions!$B$38</f>
        <v/>
      </c>
      <c r="F642">
        <f>Assumptions!$B$39*Assumptions!$B$21/D642-Assumptions!$B$39</f>
        <v/>
      </c>
      <c r="G642">
        <f>MAX(0,Assumptions!$B$51*(Assumptions!$B$29+E642+F642+G641+H641+I641+Assumptions!$B$4/B642)-Assumptions!$B$30)</f>
        <v/>
      </c>
      <c r="H642">
        <f>Assumptions!$B$23/MIN(Assumptions!$B$24/(Assumptions!$B$29+E642+F642+G642+I641),B642*(1-Assumptions!$B$25))</f>
        <v/>
      </c>
      <c r="I642">
        <f>Assumptions!$B$26/MIN(Assumptions!$B$27/(Assumptions!$B$29+E642+F642+G642+H642),B642*(1-Assumptions!$B$28))</f>
        <v/>
      </c>
      <c r="J642">
        <f>Assumptions!$B$29+E642+F642+G642+H642+I642</f>
        <v/>
      </c>
      <c r="K642">
        <f>J642+Assumptions!$B$4/B642</f>
        <v/>
      </c>
      <c r="L642">
        <f>B642</f>
        <v/>
      </c>
    </row>
    <row r="643">
      <c r="A643" t="inlineStr">
        <is>
          <t>cell(1,2) iter 8</t>
        </is>
      </c>
      <c r="B643">
        <f>Assumptions!$B$55/J642</f>
        <v/>
      </c>
      <c r="C643">
        <f>IF(B643&lt;Assumptions!$B$20,Assumptions!$B$20*(Assumptions!$B$29+Assumptions!$B$4/Assumptions!$B$20)/(Assumptions!$B$29+Assumptions!$B$4/B643),Assumptions!$B$20)</f>
        <v/>
      </c>
      <c r="D643">
        <f>IF(B643&lt;Assumptions!$B$21,Assumptions!$B$21*(Assumptions!$B$29+Assumptions!$B$4/Assumptions!$B$21)/(Assumptions!$B$29+Assumptions!$B$4/B643),Assumptions!$B$21)</f>
        <v/>
      </c>
      <c r="E643">
        <f>Assumptions!$B$37*Assumptions!$B$22/C643-Assumptions!$B$38</f>
        <v/>
      </c>
      <c r="F643">
        <f>Assumptions!$B$39*Assumptions!$B$21/D643-Assumptions!$B$39</f>
        <v/>
      </c>
      <c r="G643">
        <f>MAX(0,Assumptions!$B$51*(Assumptions!$B$29+E643+F643+G642+H642+I642+Assumptions!$B$4/B643)-Assumptions!$B$30)</f>
        <v/>
      </c>
      <c r="H643">
        <f>Assumptions!$B$23/MIN(Assumptions!$B$24/(Assumptions!$B$29+E643+F643+G643+I642),B643*(1-Assumptions!$B$25))</f>
        <v/>
      </c>
      <c r="I643">
        <f>Assumptions!$B$26/MIN(Assumptions!$B$27/(Assumptions!$B$29+E643+F643+G643+H643),B643*(1-Assumptions!$B$28))</f>
        <v/>
      </c>
      <c r="J643">
        <f>Assumptions!$B$29+E643+F643+G643+H643+I643</f>
        <v/>
      </c>
      <c r="K643">
        <f>J643+Assumptions!$B$4/B643</f>
        <v/>
      </c>
      <c r="L643">
        <f>B643</f>
        <v/>
      </c>
    </row>
    <row r="644">
      <c r="A644" t="inlineStr">
        <is>
          <t>cell(1,2) iter 9</t>
        </is>
      </c>
      <c r="B644">
        <f>Assumptions!$B$55/J643</f>
        <v/>
      </c>
      <c r="C644">
        <f>IF(B644&lt;Assumptions!$B$20,Assumptions!$B$20*(Assumptions!$B$29+Assumptions!$B$4/Assumptions!$B$20)/(Assumptions!$B$29+Assumptions!$B$4/B644),Assumptions!$B$20)</f>
        <v/>
      </c>
      <c r="D644">
        <f>IF(B644&lt;Assumptions!$B$21,Assumptions!$B$21*(Assumptions!$B$29+Assumptions!$B$4/Assumptions!$B$21)/(Assumptions!$B$29+Assumptions!$B$4/B644),Assumptions!$B$21)</f>
        <v/>
      </c>
      <c r="E644">
        <f>Assumptions!$B$37*Assumptions!$B$22/C644-Assumptions!$B$38</f>
        <v/>
      </c>
      <c r="F644">
        <f>Assumptions!$B$39*Assumptions!$B$21/D644-Assumptions!$B$39</f>
        <v/>
      </c>
      <c r="G644">
        <f>MAX(0,Assumptions!$B$51*(Assumptions!$B$29+E644+F644+G643+H643+I643+Assumptions!$B$4/B644)-Assumptions!$B$30)</f>
        <v/>
      </c>
      <c r="H644">
        <f>Assumptions!$B$23/MIN(Assumptions!$B$24/(Assumptions!$B$29+E644+F644+G644+I643),B644*(1-Assumptions!$B$25))</f>
        <v/>
      </c>
      <c r="I644">
        <f>Assumptions!$B$26/MIN(Assumptions!$B$27/(Assumptions!$B$29+E644+F644+G644+H644),B644*(1-Assumptions!$B$28))</f>
        <v/>
      </c>
      <c r="J644">
        <f>Assumptions!$B$29+E644+F644+G644+H644+I644</f>
        <v/>
      </c>
      <c r="K644">
        <f>J644+Assumptions!$B$4/B644</f>
        <v/>
      </c>
      <c r="L644">
        <f>B644</f>
        <v/>
      </c>
    </row>
    <row r="645">
      <c r="A645" t="inlineStr">
        <is>
          <t>cell(1,2) iter 10</t>
        </is>
      </c>
      <c r="B645">
        <f>Assumptions!$B$55/J644</f>
        <v/>
      </c>
      <c r="C645">
        <f>IF(B645&lt;Assumptions!$B$20,Assumptions!$B$20*(Assumptions!$B$29+Assumptions!$B$4/Assumptions!$B$20)/(Assumptions!$B$29+Assumptions!$B$4/B645),Assumptions!$B$20)</f>
        <v/>
      </c>
      <c r="D645">
        <f>IF(B645&lt;Assumptions!$B$21,Assumptions!$B$21*(Assumptions!$B$29+Assumptions!$B$4/Assumptions!$B$21)/(Assumptions!$B$29+Assumptions!$B$4/B645),Assumptions!$B$21)</f>
        <v/>
      </c>
      <c r="E645">
        <f>Assumptions!$B$37*Assumptions!$B$22/C645-Assumptions!$B$38</f>
        <v/>
      </c>
      <c r="F645">
        <f>Assumptions!$B$39*Assumptions!$B$21/D645-Assumptions!$B$39</f>
        <v/>
      </c>
      <c r="G645">
        <f>MAX(0,Assumptions!$B$51*(Assumptions!$B$29+E645+F645+G644+H644+I644+Assumptions!$B$4/B645)-Assumptions!$B$30)</f>
        <v/>
      </c>
      <c r="H645">
        <f>Assumptions!$B$23/MIN(Assumptions!$B$24/(Assumptions!$B$29+E645+F645+G645+I644),B645*(1-Assumptions!$B$25))</f>
        <v/>
      </c>
      <c r="I645">
        <f>Assumptions!$B$26/MIN(Assumptions!$B$27/(Assumptions!$B$29+E645+F645+G645+H645),B645*(1-Assumptions!$B$28))</f>
        <v/>
      </c>
      <c r="J645">
        <f>Assumptions!$B$29+E645+F645+G645+H645+I645</f>
        <v/>
      </c>
      <c r="K645">
        <f>J645+Assumptions!$B$4/B645</f>
        <v/>
      </c>
      <c r="L645">
        <f>B645</f>
        <v/>
      </c>
    </row>
    <row r="646">
      <c r="A646" t="inlineStr">
        <is>
          <t>cell(1,2) iter 11</t>
        </is>
      </c>
      <c r="B646">
        <f>Assumptions!$B$55/J645</f>
        <v/>
      </c>
      <c r="C646">
        <f>IF(B646&lt;Assumptions!$B$20,Assumptions!$B$20*(Assumptions!$B$29+Assumptions!$B$4/Assumptions!$B$20)/(Assumptions!$B$29+Assumptions!$B$4/B646),Assumptions!$B$20)</f>
        <v/>
      </c>
      <c r="D646">
        <f>IF(B646&lt;Assumptions!$B$21,Assumptions!$B$21*(Assumptions!$B$29+Assumptions!$B$4/Assumptions!$B$21)/(Assumptions!$B$29+Assumptions!$B$4/B646),Assumptions!$B$21)</f>
        <v/>
      </c>
      <c r="E646">
        <f>Assumptions!$B$37*Assumptions!$B$22/C646-Assumptions!$B$38</f>
        <v/>
      </c>
      <c r="F646">
        <f>Assumptions!$B$39*Assumptions!$B$21/D646-Assumptions!$B$39</f>
        <v/>
      </c>
      <c r="G646">
        <f>MAX(0,Assumptions!$B$51*(Assumptions!$B$29+E646+F646+G645+H645+I645+Assumptions!$B$4/B646)-Assumptions!$B$30)</f>
        <v/>
      </c>
      <c r="H646">
        <f>Assumptions!$B$23/MIN(Assumptions!$B$24/(Assumptions!$B$29+E646+F646+G646+I645),B646*(1-Assumptions!$B$25))</f>
        <v/>
      </c>
      <c r="I646">
        <f>Assumptions!$B$26/MIN(Assumptions!$B$27/(Assumptions!$B$29+E646+F646+G646+H646),B646*(1-Assumptions!$B$28))</f>
        <v/>
      </c>
      <c r="J646">
        <f>Assumptions!$B$29+E646+F646+G646+H646+I646</f>
        <v/>
      </c>
      <c r="K646">
        <f>J646+Assumptions!$B$4/B646</f>
        <v/>
      </c>
      <c r="L646">
        <f>B646</f>
        <v/>
      </c>
    </row>
    <row r="647">
      <c r="A647" t="inlineStr">
        <is>
          <t>cell(1,2) iter 12</t>
        </is>
      </c>
      <c r="B647">
        <f>Assumptions!$B$55/J646</f>
        <v/>
      </c>
      <c r="C647">
        <f>IF(B647&lt;Assumptions!$B$20,Assumptions!$B$20*(Assumptions!$B$29+Assumptions!$B$4/Assumptions!$B$20)/(Assumptions!$B$29+Assumptions!$B$4/B647),Assumptions!$B$20)</f>
        <v/>
      </c>
      <c r="D647">
        <f>IF(B647&lt;Assumptions!$B$21,Assumptions!$B$21*(Assumptions!$B$29+Assumptions!$B$4/Assumptions!$B$21)/(Assumptions!$B$29+Assumptions!$B$4/B647),Assumptions!$B$21)</f>
        <v/>
      </c>
      <c r="E647">
        <f>Assumptions!$B$37*Assumptions!$B$22/C647-Assumptions!$B$38</f>
        <v/>
      </c>
      <c r="F647">
        <f>Assumptions!$B$39*Assumptions!$B$21/D647-Assumptions!$B$39</f>
        <v/>
      </c>
      <c r="G647">
        <f>MAX(0,Assumptions!$B$51*(Assumptions!$B$29+E647+F647+G646+H646+I646+Assumptions!$B$4/B647)-Assumptions!$B$30)</f>
        <v/>
      </c>
      <c r="H647">
        <f>Assumptions!$B$23/MIN(Assumptions!$B$24/(Assumptions!$B$29+E647+F647+G647+I646),B647*(1-Assumptions!$B$25))</f>
        <v/>
      </c>
      <c r="I647">
        <f>Assumptions!$B$26/MIN(Assumptions!$B$27/(Assumptions!$B$29+E647+F647+G647+H647),B647*(1-Assumptions!$B$28))</f>
        <v/>
      </c>
      <c r="J647">
        <f>Assumptions!$B$29+E647+F647+G647+H647+I647</f>
        <v/>
      </c>
      <c r="K647">
        <f>J647+Assumptions!$B$4/B647</f>
        <v/>
      </c>
      <c r="L647">
        <f>B647</f>
        <v/>
      </c>
    </row>
    <row r="648">
      <c r="A648" t="inlineStr">
        <is>
          <t>cell(1,2) iter 13</t>
        </is>
      </c>
      <c r="B648">
        <f>Assumptions!$B$55/J647</f>
        <v/>
      </c>
      <c r="C648">
        <f>IF(B648&lt;Assumptions!$B$20,Assumptions!$B$20*(Assumptions!$B$29+Assumptions!$B$4/Assumptions!$B$20)/(Assumptions!$B$29+Assumptions!$B$4/B648),Assumptions!$B$20)</f>
        <v/>
      </c>
      <c r="D648">
        <f>IF(B648&lt;Assumptions!$B$21,Assumptions!$B$21*(Assumptions!$B$29+Assumptions!$B$4/Assumptions!$B$21)/(Assumptions!$B$29+Assumptions!$B$4/B648),Assumptions!$B$21)</f>
        <v/>
      </c>
      <c r="E648">
        <f>Assumptions!$B$37*Assumptions!$B$22/C648-Assumptions!$B$38</f>
        <v/>
      </c>
      <c r="F648">
        <f>Assumptions!$B$39*Assumptions!$B$21/D648-Assumptions!$B$39</f>
        <v/>
      </c>
      <c r="G648">
        <f>MAX(0,Assumptions!$B$51*(Assumptions!$B$29+E648+F648+G647+H647+I647+Assumptions!$B$4/B648)-Assumptions!$B$30)</f>
        <v/>
      </c>
      <c r="H648">
        <f>Assumptions!$B$23/MIN(Assumptions!$B$24/(Assumptions!$B$29+E648+F648+G648+I647),B648*(1-Assumptions!$B$25))</f>
        <v/>
      </c>
      <c r="I648">
        <f>Assumptions!$B$26/MIN(Assumptions!$B$27/(Assumptions!$B$29+E648+F648+G648+H648),B648*(1-Assumptions!$B$28))</f>
        <v/>
      </c>
      <c r="J648">
        <f>Assumptions!$B$29+E648+F648+G648+H648+I648</f>
        <v/>
      </c>
      <c r="K648">
        <f>J648+Assumptions!$B$4/B648</f>
        <v/>
      </c>
      <c r="L648">
        <f>B648</f>
        <v/>
      </c>
    </row>
    <row r="649">
      <c r="A649" t="inlineStr">
        <is>
          <t>cell(1,2) iter 14</t>
        </is>
      </c>
      <c r="B649">
        <f>Assumptions!$B$55/J648</f>
        <v/>
      </c>
      <c r="C649">
        <f>IF(B649&lt;Assumptions!$B$20,Assumptions!$B$20*(Assumptions!$B$29+Assumptions!$B$4/Assumptions!$B$20)/(Assumptions!$B$29+Assumptions!$B$4/B649),Assumptions!$B$20)</f>
        <v/>
      </c>
      <c r="D649">
        <f>IF(B649&lt;Assumptions!$B$21,Assumptions!$B$21*(Assumptions!$B$29+Assumptions!$B$4/Assumptions!$B$21)/(Assumptions!$B$29+Assumptions!$B$4/B649),Assumptions!$B$21)</f>
        <v/>
      </c>
      <c r="E649">
        <f>Assumptions!$B$37*Assumptions!$B$22/C649-Assumptions!$B$38</f>
        <v/>
      </c>
      <c r="F649">
        <f>Assumptions!$B$39*Assumptions!$B$21/D649-Assumptions!$B$39</f>
        <v/>
      </c>
      <c r="G649">
        <f>MAX(0,Assumptions!$B$51*(Assumptions!$B$29+E649+F649+G648+H648+I648+Assumptions!$B$4/B649)-Assumptions!$B$30)</f>
        <v/>
      </c>
      <c r="H649">
        <f>Assumptions!$B$23/MIN(Assumptions!$B$24/(Assumptions!$B$29+E649+F649+G649+I648),B649*(1-Assumptions!$B$25))</f>
        <v/>
      </c>
      <c r="I649">
        <f>Assumptions!$B$26/MIN(Assumptions!$B$27/(Assumptions!$B$29+E649+F649+G649+H649),B649*(1-Assumptions!$B$28))</f>
        <v/>
      </c>
      <c r="J649">
        <f>Assumptions!$B$29+E649+F649+G649+H649+I649</f>
        <v/>
      </c>
      <c r="K649">
        <f>J649+Assumptions!$B$4/B649</f>
        <v/>
      </c>
      <c r="L649">
        <f>B649</f>
        <v/>
      </c>
    </row>
    <row r="650">
      <c r="A650" t="inlineStr">
        <is>
          <t>cell(1,2) iter 15</t>
        </is>
      </c>
      <c r="B650">
        <f>Assumptions!$B$55/J649</f>
        <v/>
      </c>
      <c r="C650">
        <f>IF(B650&lt;Assumptions!$B$20,Assumptions!$B$20*(Assumptions!$B$29+Assumptions!$B$4/Assumptions!$B$20)/(Assumptions!$B$29+Assumptions!$B$4/B650),Assumptions!$B$20)</f>
        <v/>
      </c>
      <c r="D650">
        <f>IF(B650&lt;Assumptions!$B$21,Assumptions!$B$21*(Assumptions!$B$29+Assumptions!$B$4/Assumptions!$B$21)/(Assumptions!$B$29+Assumptions!$B$4/B650),Assumptions!$B$21)</f>
        <v/>
      </c>
      <c r="E650">
        <f>Assumptions!$B$37*Assumptions!$B$22/C650-Assumptions!$B$38</f>
        <v/>
      </c>
      <c r="F650">
        <f>Assumptions!$B$39*Assumptions!$B$21/D650-Assumptions!$B$39</f>
        <v/>
      </c>
      <c r="G650">
        <f>MAX(0,Assumptions!$B$51*(Assumptions!$B$29+E650+F650+G649+H649+I649+Assumptions!$B$4/B650)-Assumptions!$B$30)</f>
        <v/>
      </c>
      <c r="H650">
        <f>Assumptions!$B$23/MIN(Assumptions!$B$24/(Assumptions!$B$29+E650+F650+G650+I649),B650*(1-Assumptions!$B$25))</f>
        <v/>
      </c>
      <c r="I650">
        <f>Assumptions!$B$26/MIN(Assumptions!$B$27/(Assumptions!$B$29+E650+F650+G650+H650),B650*(1-Assumptions!$B$28))</f>
        <v/>
      </c>
      <c r="J650">
        <f>Assumptions!$B$29+E650+F650+G650+H650+I650</f>
        <v/>
      </c>
      <c r="K650">
        <f>J650+Assumptions!$B$4/B650</f>
        <v/>
      </c>
      <c r="L650">
        <f>B650</f>
        <v/>
      </c>
    </row>
    <row r="651">
      <c r="A651" t="inlineStr">
        <is>
          <t>cell(1,2) iter 16</t>
        </is>
      </c>
      <c r="B651">
        <f>Assumptions!$B$55/J650</f>
        <v/>
      </c>
      <c r="C651">
        <f>IF(B651&lt;Assumptions!$B$20,Assumptions!$B$20*(Assumptions!$B$29+Assumptions!$B$4/Assumptions!$B$20)/(Assumptions!$B$29+Assumptions!$B$4/B651),Assumptions!$B$20)</f>
        <v/>
      </c>
      <c r="D651">
        <f>IF(B651&lt;Assumptions!$B$21,Assumptions!$B$21*(Assumptions!$B$29+Assumptions!$B$4/Assumptions!$B$21)/(Assumptions!$B$29+Assumptions!$B$4/B651),Assumptions!$B$21)</f>
        <v/>
      </c>
      <c r="E651">
        <f>Assumptions!$B$37*Assumptions!$B$22/C651-Assumptions!$B$38</f>
        <v/>
      </c>
      <c r="F651">
        <f>Assumptions!$B$39*Assumptions!$B$21/D651-Assumptions!$B$39</f>
        <v/>
      </c>
      <c r="G651">
        <f>MAX(0,Assumptions!$B$51*(Assumptions!$B$29+E651+F651+G650+H650+I650+Assumptions!$B$4/B651)-Assumptions!$B$30)</f>
        <v/>
      </c>
      <c r="H651">
        <f>Assumptions!$B$23/MIN(Assumptions!$B$24/(Assumptions!$B$29+E651+F651+G651+I650),B651*(1-Assumptions!$B$25))</f>
        <v/>
      </c>
      <c r="I651">
        <f>Assumptions!$B$26/MIN(Assumptions!$B$27/(Assumptions!$B$29+E651+F651+G651+H651),B651*(1-Assumptions!$B$28))</f>
        <v/>
      </c>
      <c r="J651">
        <f>Assumptions!$B$29+E651+F651+G651+H651+I651</f>
        <v/>
      </c>
      <c r="K651">
        <f>J651+Assumptions!$B$4/B651</f>
        <v/>
      </c>
      <c r="L651">
        <f>B651</f>
        <v/>
      </c>
    </row>
    <row r="652">
      <c r="A652" t="inlineStr">
        <is>
          <t>cell(1,2) iter 17</t>
        </is>
      </c>
      <c r="B652">
        <f>Assumptions!$B$55/J651</f>
        <v/>
      </c>
      <c r="C652">
        <f>IF(B652&lt;Assumptions!$B$20,Assumptions!$B$20*(Assumptions!$B$29+Assumptions!$B$4/Assumptions!$B$20)/(Assumptions!$B$29+Assumptions!$B$4/B652),Assumptions!$B$20)</f>
        <v/>
      </c>
      <c r="D652">
        <f>IF(B652&lt;Assumptions!$B$21,Assumptions!$B$21*(Assumptions!$B$29+Assumptions!$B$4/Assumptions!$B$21)/(Assumptions!$B$29+Assumptions!$B$4/B652),Assumptions!$B$21)</f>
        <v/>
      </c>
      <c r="E652">
        <f>Assumptions!$B$37*Assumptions!$B$22/C652-Assumptions!$B$38</f>
        <v/>
      </c>
      <c r="F652">
        <f>Assumptions!$B$39*Assumptions!$B$21/D652-Assumptions!$B$39</f>
        <v/>
      </c>
      <c r="G652">
        <f>MAX(0,Assumptions!$B$51*(Assumptions!$B$29+E652+F652+G651+H651+I651+Assumptions!$B$4/B652)-Assumptions!$B$30)</f>
        <v/>
      </c>
      <c r="H652">
        <f>Assumptions!$B$23/MIN(Assumptions!$B$24/(Assumptions!$B$29+E652+F652+G652+I651),B652*(1-Assumptions!$B$25))</f>
        <v/>
      </c>
      <c r="I652">
        <f>Assumptions!$B$26/MIN(Assumptions!$B$27/(Assumptions!$B$29+E652+F652+G652+H652),B652*(1-Assumptions!$B$28))</f>
        <v/>
      </c>
      <c r="J652">
        <f>Assumptions!$B$29+E652+F652+G652+H652+I652</f>
        <v/>
      </c>
      <c r="K652">
        <f>J652+Assumptions!$B$4/B652</f>
        <v/>
      </c>
      <c r="L652">
        <f>B652</f>
        <v/>
      </c>
    </row>
    <row r="653">
      <c r="A653" t="inlineStr">
        <is>
          <t>cell(1,2) iter 18</t>
        </is>
      </c>
      <c r="B653">
        <f>Assumptions!$B$55/J652</f>
        <v/>
      </c>
      <c r="C653">
        <f>IF(B653&lt;Assumptions!$B$20,Assumptions!$B$20*(Assumptions!$B$29+Assumptions!$B$4/Assumptions!$B$20)/(Assumptions!$B$29+Assumptions!$B$4/B653),Assumptions!$B$20)</f>
        <v/>
      </c>
      <c r="D653">
        <f>IF(B653&lt;Assumptions!$B$21,Assumptions!$B$21*(Assumptions!$B$29+Assumptions!$B$4/Assumptions!$B$21)/(Assumptions!$B$29+Assumptions!$B$4/B653),Assumptions!$B$21)</f>
        <v/>
      </c>
      <c r="E653">
        <f>Assumptions!$B$37*Assumptions!$B$22/C653-Assumptions!$B$38</f>
        <v/>
      </c>
      <c r="F653">
        <f>Assumptions!$B$39*Assumptions!$B$21/D653-Assumptions!$B$39</f>
        <v/>
      </c>
      <c r="G653">
        <f>MAX(0,Assumptions!$B$51*(Assumptions!$B$29+E653+F653+G652+H652+I652+Assumptions!$B$4/B653)-Assumptions!$B$30)</f>
        <v/>
      </c>
      <c r="H653">
        <f>Assumptions!$B$23/MIN(Assumptions!$B$24/(Assumptions!$B$29+E653+F653+G653+I652),B653*(1-Assumptions!$B$25))</f>
        <v/>
      </c>
      <c r="I653">
        <f>Assumptions!$B$26/MIN(Assumptions!$B$27/(Assumptions!$B$29+E653+F653+G653+H653),B653*(1-Assumptions!$B$28))</f>
        <v/>
      </c>
      <c r="J653">
        <f>Assumptions!$B$29+E653+F653+G653+H653+I653</f>
        <v/>
      </c>
      <c r="K653">
        <f>J653+Assumptions!$B$4/B653</f>
        <v/>
      </c>
      <c r="L653">
        <f>B653</f>
        <v/>
      </c>
    </row>
    <row r="654">
      <c r="A654" t="inlineStr">
        <is>
          <t>cell(1,2) iter 19</t>
        </is>
      </c>
      <c r="B654">
        <f>Assumptions!$B$55/J653</f>
        <v/>
      </c>
      <c r="C654">
        <f>IF(B654&lt;Assumptions!$B$20,Assumptions!$B$20*(Assumptions!$B$29+Assumptions!$B$4/Assumptions!$B$20)/(Assumptions!$B$29+Assumptions!$B$4/B654),Assumptions!$B$20)</f>
        <v/>
      </c>
      <c r="D654">
        <f>IF(B654&lt;Assumptions!$B$21,Assumptions!$B$21*(Assumptions!$B$29+Assumptions!$B$4/Assumptions!$B$21)/(Assumptions!$B$29+Assumptions!$B$4/B654),Assumptions!$B$21)</f>
        <v/>
      </c>
      <c r="E654">
        <f>Assumptions!$B$37*Assumptions!$B$22/C654-Assumptions!$B$38</f>
        <v/>
      </c>
      <c r="F654">
        <f>Assumptions!$B$39*Assumptions!$B$21/D654-Assumptions!$B$39</f>
        <v/>
      </c>
      <c r="G654">
        <f>MAX(0,Assumptions!$B$51*(Assumptions!$B$29+E654+F654+G653+H653+I653+Assumptions!$B$4/B654)-Assumptions!$B$30)</f>
        <v/>
      </c>
      <c r="H654">
        <f>Assumptions!$B$23/MIN(Assumptions!$B$24/(Assumptions!$B$29+E654+F654+G654+I653),B654*(1-Assumptions!$B$25))</f>
        <v/>
      </c>
      <c r="I654">
        <f>Assumptions!$B$26/MIN(Assumptions!$B$27/(Assumptions!$B$29+E654+F654+G654+H654),B654*(1-Assumptions!$B$28))</f>
        <v/>
      </c>
      <c r="J654">
        <f>Assumptions!$B$29+E654+F654+G654+H654+I654</f>
        <v/>
      </c>
      <c r="K654">
        <f>J654+Assumptions!$B$4/B654</f>
        <v/>
      </c>
      <c r="L654">
        <f>B654</f>
        <v/>
      </c>
    </row>
    <row r="655">
      <c r="A655" t="inlineStr">
        <is>
          <t>cell(1,2) iter 20</t>
        </is>
      </c>
      <c r="B655">
        <f>Assumptions!$B$55/J654</f>
        <v/>
      </c>
      <c r="C655">
        <f>IF(B655&lt;Assumptions!$B$20,Assumptions!$B$20*(Assumptions!$B$29+Assumptions!$B$4/Assumptions!$B$20)/(Assumptions!$B$29+Assumptions!$B$4/B655),Assumptions!$B$20)</f>
        <v/>
      </c>
      <c r="D655">
        <f>IF(B655&lt;Assumptions!$B$21,Assumptions!$B$21*(Assumptions!$B$29+Assumptions!$B$4/Assumptions!$B$21)/(Assumptions!$B$29+Assumptions!$B$4/B655),Assumptions!$B$21)</f>
        <v/>
      </c>
      <c r="E655">
        <f>Assumptions!$B$37*Assumptions!$B$22/C655-Assumptions!$B$38</f>
        <v/>
      </c>
      <c r="F655">
        <f>Assumptions!$B$39*Assumptions!$B$21/D655-Assumptions!$B$39</f>
        <v/>
      </c>
      <c r="G655">
        <f>MAX(0,Assumptions!$B$51*(Assumptions!$B$29+E655+F655+G654+H654+I654+Assumptions!$B$4/B655)-Assumptions!$B$30)</f>
        <v/>
      </c>
      <c r="H655">
        <f>Assumptions!$B$23/MIN(Assumptions!$B$24/(Assumptions!$B$29+E655+F655+G655+I654),B655*(1-Assumptions!$B$25))</f>
        <v/>
      </c>
      <c r="I655">
        <f>Assumptions!$B$26/MIN(Assumptions!$B$27/(Assumptions!$B$29+E655+F655+G655+H655),B655*(1-Assumptions!$B$28))</f>
        <v/>
      </c>
      <c r="J655">
        <f>Assumptions!$B$29+E655+F655+G655+H655+I655</f>
        <v/>
      </c>
      <c r="K655">
        <f>J655+Assumptions!$B$4/B655</f>
        <v/>
      </c>
      <c r="L655">
        <f>B655</f>
        <v/>
      </c>
    </row>
    <row r="656">
      <c r="A656" t="inlineStr">
        <is>
          <t>cell(1,2) iter 21</t>
        </is>
      </c>
      <c r="B656">
        <f>Assumptions!$B$55/J655</f>
        <v/>
      </c>
      <c r="C656">
        <f>IF(B656&lt;Assumptions!$B$20,Assumptions!$B$20*(Assumptions!$B$29+Assumptions!$B$4/Assumptions!$B$20)/(Assumptions!$B$29+Assumptions!$B$4/B656),Assumptions!$B$20)</f>
        <v/>
      </c>
      <c r="D656">
        <f>IF(B656&lt;Assumptions!$B$21,Assumptions!$B$21*(Assumptions!$B$29+Assumptions!$B$4/Assumptions!$B$21)/(Assumptions!$B$29+Assumptions!$B$4/B656),Assumptions!$B$21)</f>
        <v/>
      </c>
      <c r="E656">
        <f>Assumptions!$B$37*Assumptions!$B$22/C656-Assumptions!$B$38</f>
        <v/>
      </c>
      <c r="F656">
        <f>Assumptions!$B$39*Assumptions!$B$21/D656-Assumptions!$B$39</f>
        <v/>
      </c>
      <c r="G656">
        <f>MAX(0,Assumptions!$B$51*(Assumptions!$B$29+E656+F656+G655+H655+I655+Assumptions!$B$4/B656)-Assumptions!$B$30)</f>
        <v/>
      </c>
      <c r="H656">
        <f>Assumptions!$B$23/MIN(Assumptions!$B$24/(Assumptions!$B$29+E656+F656+G656+I655),B656*(1-Assumptions!$B$25))</f>
        <v/>
      </c>
      <c r="I656">
        <f>Assumptions!$B$26/MIN(Assumptions!$B$27/(Assumptions!$B$29+E656+F656+G656+H656),B656*(1-Assumptions!$B$28))</f>
        <v/>
      </c>
      <c r="J656">
        <f>Assumptions!$B$29+E656+F656+G656+H656+I656</f>
        <v/>
      </c>
      <c r="K656">
        <f>J656+Assumptions!$B$4/B656</f>
        <v/>
      </c>
      <c r="L656">
        <f>B656</f>
        <v/>
      </c>
    </row>
    <row r="657">
      <c r="A657" t="inlineStr">
        <is>
          <t>cell(1,2) iter 22</t>
        </is>
      </c>
      <c r="B657">
        <f>Assumptions!$B$55/J656</f>
        <v/>
      </c>
      <c r="C657">
        <f>IF(B657&lt;Assumptions!$B$20,Assumptions!$B$20*(Assumptions!$B$29+Assumptions!$B$4/Assumptions!$B$20)/(Assumptions!$B$29+Assumptions!$B$4/B657),Assumptions!$B$20)</f>
        <v/>
      </c>
      <c r="D657">
        <f>IF(B657&lt;Assumptions!$B$21,Assumptions!$B$21*(Assumptions!$B$29+Assumptions!$B$4/Assumptions!$B$21)/(Assumptions!$B$29+Assumptions!$B$4/B657),Assumptions!$B$21)</f>
        <v/>
      </c>
      <c r="E657">
        <f>Assumptions!$B$37*Assumptions!$B$22/C657-Assumptions!$B$38</f>
        <v/>
      </c>
      <c r="F657">
        <f>Assumptions!$B$39*Assumptions!$B$21/D657-Assumptions!$B$39</f>
        <v/>
      </c>
      <c r="G657">
        <f>MAX(0,Assumptions!$B$51*(Assumptions!$B$29+E657+F657+G656+H656+I656+Assumptions!$B$4/B657)-Assumptions!$B$30)</f>
        <v/>
      </c>
      <c r="H657">
        <f>Assumptions!$B$23/MIN(Assumptions!$B$24/(Assumptions!$B$29+E657+F657+G657+I656),B657*(1-Assumptions!$B$25))</f>
        <v/>
      </c>
      <c r="I657">
        <f>Assumptions!$B$26/MIN(Assumptions!$B$27/(Assumptions!$B$29+E657+F657+G657+H657),B657*(1-Assumptions!$B$28))</f>
        <v/>
      </c>
      <c r="J657">
        <f>Assumptions!$B$29+E657+F657+G657+H657+I657</f>
        <v/>
      </c>
      <c r="K657">
        <f>J657+Assumptions!$B$4/B657</f>
        <v/>
      </c>
      <c r="L657">
        <f>B657</f>
        <v/>
      </c>
    </row>
    <row r="658">
      <c r="A658" t="inlineStr">
        <is>
          <t>cell(1,2) iter 23</t>
        </is>
      </c>
      <c r="B658">
        <f>Assumptions!$B$55/J657</f>
        <v/>
      </c>
      <c r="C658">
        <f>IF(B658&lt;Assumptions!$B$20,Assumptions!$B$20*(Assumptions!$B$29+Assumptions!$B$4/Assumptions!$B$20)/(Assumptions!$B$29+Assumptions!$B$4/B658),Assumptions!$B$20)</f>
        <v/>
      </c>
      <c r="D658">
        <f>IF(B658&lt;Assumptions!$B$21,Assumptions!$B$21*(Assumptions!$B$29+Assumptions!$B$4/Assumptions!$B$21)/(Assumptions!$B$29+Assumptions!$B$4/B658),Assumptions!$B$21)</f>
        <v/>
      </c>
      <c r="E658">
        <f>Assumptions!$B$37*Assumptions!$B$22/C658-Assumptions!$B$38</f>
        <v/>
      </c>
      <c r="F658">
        <f>Assumptions!$B$39*Assumptions!$B$21/D658-Assumptions!$B$39</f>
        <v/>
      </c>
      <c r="G658">
        <f>MAX(0,Assumptions!$B$51*(Assumptions!$B$29+E658+F658+G657+H657+I657+Assumptions!$B$4/B658)-Assumptions!$B$30)</f>
        <v/>
      </c>
      <c r="H658">
        <f>Assumptions!$B$23/MIN(Assumptions!$B$24/(Assumptions!$B$29+E658+F658+G658+I657),B658*(1-Assumptions!$B$25))</f>
        <v/>
      </c>
      <c r="I658">
        <f>Assumptions!$B$26/MIN(Assumptions!$B$27/(Assumptions!$B$29+E658+F658+G658+H658),B658*(1-Assumptions!$B$28))</f>
        <v/>
      </c>
      <c r="J658">
        <f>Assumptions!$B$29+E658+F658+G658+H658+I658</f>
        <v/>
      </c>
      <c r="K658">
        <f>J658+Assumptions!$B$4/B658</f>
        <v/>
      </c>
      <c r="L658">
        <f>B658</f>
        <v/>
      </c>
    </row>
    <row r="659">
      <c r="A659" t="inlineStr">
        <is>
          <t>cell(1,2) iter 24</t>
        </is>
      </c>
      <c r="B659">
        <f>Assumptions!$B$55/J658</f>
        <v/>
      </c>
      <c r="C659">
        <f>IF(B659&lt;Assumptions!$B$20,Assumptions!$B$20*(Assumptions!$B$29+Assumptions!$B$4/Assumptions!$B$20)/(Assumptions!$B$29+Assumptions!$B$4/B659),Assumptions!$B$20)</f>
        <v/>
      </c>
      <c r="D659">
        <f>IF(B659&lt;Assumptions!$B$21,Assumptions!$B$21*(Assumptions!$B$29+Assumptions!$B$4/Assumptions!$B$21)/(Assumptions!$B$29+Assumptions!$B$4/B659),Assumptions!$B$21)</f>
        <v/>
      </c>
      <c r="E659">
        <f>Assumptions!$B$37*Assumptions!$B$22/C659-Assumptions!$B$38</f>
        <v/>
      </c>
      <c r="F659">
        <f>Assumptions!$B$39*Assumptions!$B$21/D659-Assumptions!$B$39</f>
        <v/>
      </c>
      <c r="G659">
        <f>MAX(0,Assumptions!$B$51*(Assumptions!$B$29+E659+F659+G658+H658+I658+Assumptions!$B$4/B659)-Assumptions!$B$30)</f>
        <v/>
      </c>
      <c r="H659">
        <f>Assumptions!$B$23/MIN(Assumptions!$B$24/(Assumptions!$B$29+E659+F659+G659+I658),B659*(1-Assumptions!$B$25))</f>
        <v/>
      </c>
      <c r="I659">
        <f>Assumptions!$B$26/MIN(Assumptions!$B$27/(Assumptions!$B$29+E659+F659+G659+H659),B659*(1-Assumptions!$B$28))</f>
        <v/>
      </c>
      <c r="J659">
        <f>Assumptions!$B$29+E659+F659+G659+H659+I659</f>
        <v/>
      </c>
      <c r="K659">
        <f>J659+Assumptions!$B$4/B659</f>
        <v/>
      </c>
      <c r="L659">
        <f>B659</f>
        <v/>
      </c>
    </row>
    <row r="660">
      <c r="A660" t="inlineStr">
        <is>
          <t>cell(1,2) iter 25</t>
        </is>
      </c>
      <c r="B660">
        <f>Assumptions!$B$55/J659</f>
        <v/>
      </c>
      <c r="C660">
        <f>IF(B660&lt;Assumptions!$B$20,Assumptions!$B$20*(Assumptions!$B$29+Assumptions!$B$4/Assumptions!$B$20)/(Assumptions!$B$29+Assumptions!$B$4/B660),Assumptions!$B$20)</f>
        <v/>
      </c>
      <c r="D660">
        <f>IF(B660&lt;Assumptions!$B$21,Assumptions!$B$21*(Assumptions!$B$29+Assumptions!$B$4/Assumptions!$B$21)/(Assumptions!$B$29+Assumptions!$B$4/B660),Assumptions!$B$21)</f>
        <v/>
      </c>
      <c r="E660">
        <f>Assumptions!$B$37*Assumptions!$B$22/C660-Assumptions!$B$38</f>
        <v/>
      </c>
      <c r="F660">
        <f>Assumptions!$B$39*Assumptions!$B$21/D660-Assumptions!$B$39</f>
        <v/>
      </c>
      <c r="G660">
        <f>MAX(0,Assumptions!$B$51*(Assumptions!$B$29+E660+F660+G659+H659+I659+Assumptions!$B$4/B660)-Assumptions!$B$30)</f>
        <v/>
      </c>
      <c r="H660">
        <f>Assumptions!$B$23/MIN(Assumptions!$B$24/(Assumptions!$B$29+E660+F660+G660+I659),B660*(1-Assumptions!$B$25))</f>
        <v/>
      </c>
      <c r="I660">
        <f>Assumptions!$B$26/MIN(Assumptions!$B$27/(Assumptions!$B$29+E660+F660+G660+H660),B660*(1-Assumptions!$B$28))</f>
        <v/>
      </c>
      <c r="J660">
        <f>Assumptions!$B$29+E660+F660+G660+H660+I660</f>
        <v/>
      </c>
      <c r="K660">
        <f>J660+Assumptions!$B$4/B660</f>
        <v/>
      </c>
      <c r="L660">
        <f>B660</f>
        <v/>
      </c>
    </row>
    <row r="661">
      <c r="A661" t="inlineStr">
        <is>
          <t>cell(1,2) iter 26</t>
        </is>
      </c>
      <c r="B661">
        <f>Assumptions!$B$55/J660</f>
        <v/>
      </c>
      <c r="C661">
        <f>IF(B661&lt;Assumptions!$B$20,Assumptions!$B$20*(Assumptions!$B$29+Assumptions!$B$4/Assumptions!$B$20)/(Assumptions!$B$29+Assumptions!$B$4/B661),Assumptions!$B$20)</f>
        <v/>
      </c>
      <c r="D661">
        <f>IF(B661&lt;Assumptions!$B$21,Assumptions!$B$21*(Assumptions!$B$29+Assumptions!$B$4/Assumptions!$B$21)/(Assumptions!$B$29+Assumptions!$B$4/B661),Assumptions!$B$21)</f>
        <v/>
      </c>
      <c r="E661">
        <f>Assumptions!$B$37*Assumptions!$B$22/C661-Assumptions!$B$38</f>
        <v/>
      </c>
      <c r="F661">
        <f>Assumptions!$B$39*Assumptions!$B$21/D661-Assumptions!$B$39</f>
        <v/>
      </c>
      <c r="G661">
        <f>MAX(0,Assumptions!$B$51*(Assumptions!$B$29+E661+F661+G660+H660+I660+Assumptions!$B$4/B661)-Assumptions!$B$30)</f>
        <v/>
      </c>
      <c r="H661">
        <f>Assumptions!$B$23/MIN(Assumptions!$B$24/(Assumptions!$B$29+E661+F661+G661+I660),B661*(1-Assumptions!$B$25))</f>
        <v/>
      </c>
      <c r="I661">
        <f>Assumptions!$B$26/MIN(Assumptions!$B$27/(Assumptions!$B$29+E661+F661+G661+H661),B661*(1-Assumptions!$B$28))</f>
        <v/>
      </c>
      <c r="J661">
        <f>Assumptions!$B$29+E661+F661+G661+H661+I661</f>
        <v/>
      </c>
      <c r="K661">
        <f>J661+Assumptions!$B$4/B661</f>
        <v/>
      </c>
      <c r="L661">
        <f>B661</f>
        <v/>
      </c>
    </row>
    <row r="662">
      <c r="A662" t="inlineStr">
        <is>
          <t>cell(1,2) iter 27</t>
        </is>
      </c>
      <c r="B662">
        <f>Assumptions!$B$55/J661</f>
        <v/>
      </c>
      <c r="C662">
        <f>IF(B662&lt;Assumptions!$B$20,Assumptions!$B$20*(Assumptions!$B$29+Assumptions!$B$4/Assumptions!$B$20)/(Assumptions!$B$29+Assumptions!$B$4/B662),Assumptions!$B$20)</f>
        <v/>
      </c>
      <c r="D662">
        <f>IF(B662&lt;Assumptions!$B$21,Assumptions!$B$21*(Assumptions!$B$29+Assumptions!$B$4/Assumptions!$B$21)/(Assumptions!$B$29+Assumptions!$B$4/B662),Assumptions!$B$21)</f>
        <v/>
      </c>
      <c r="E662">
        <f>Assumptions!$B$37*Assumptions!$B$22/C662-Assumptions!$B$38</f>
        <v/>
      </c>
      <c r="F662">
        <f>Assumptions!$B$39*Assumptions!$B$21/D662-Assumptions!$B$39</f>
        <v/>
      </c>
      <c r="G662">
        <f>MAX(0,Assumptions!$B$51*(Assumptions!$B$29+E662+F662+G661+H661+I661+Assumptions!$B$4/B662)-Assumptions!$B$30)</f>
        <v/>
      </c>
      <c r="H662">
        <f>Assumptions!$B$23/MIN(Assumptions!$B$24/(Assumptions!$B$29+E662+F662+G662+I661),B662*(1-Assumptions!$B$25))</f>
        <v/>
      </c>
      <c r="I662">
        <f>Assumptions!$B$26/MIN(Assumptions!$B$27/(Assumptions!$B$29+E662+F662+G662+H662),B662*(1-Assumptions!$B$28))</f>
        <v/>
      </c>
      <c r="J662">
        <f>Assumptions!$B$29+E662+F662+G662+H662+I662</f>
        <v/>
      </c>
      <c r="K662">
        <f>J662+Assumptions!$B$4/B662</f>
        <v/>
      </c>
      <c r="L662">
        <f>B662</f>
        <v/>
      </c>
    </row>
    <row r="663">
      <c r="A663" t="inlineStr">
        <is>
          <t>cell(1,2) iter 28</t>
        </is>
      </c>
      <c r="B663">
        <f>Assumptions!$B$55/J662</f>
        <v/>
      </c>
      <c r="C663">
        <f>IF(B663&lt;Assumptions!$B$20,Assumptions!$B$20*(Assumptions!$B$29+Assumptions!$B$4/Assumptions!$B$20)/(Assumptions!$B$29+Assumptions!$B$4/B663),Assumptions!$B$20)</f>
        <v/>
      </c>
      <c r="D663">
        <f>IF(B663&lt;Assumptions!$B$21,Assumptions!$B$21*(Assumptions!$B$29+Assumptions!$B$4/Assumptions!$B$21)/(Assumptions!$B$29+Assumptions!$B$4/B663),Assumptions!$B$21)</f>
        <v/>
      </c>
      <c r="E663">
        <f>Assumptions!$B$37*Assumptions!$B$22/C663-Assumptions!$B$38</f>
        <v/>
      </c>
      <c r="F663">
        <f>Assumptions!$B$39*Assumptions!$B$21/D663-Assumptions!$B$39</f>
        <v/>
      </c>
      <c r="G663">
        <f>MAX(0,Assumptions!$B$51*(Assumptions!$B$29+E663+F663+G662+H662+I662+Assumptions!$B$4/B663)-Assumptions!$B$30)</f>
        <v/>
      </c>
      <c r="H663">
        <f>Assumptions!$B$23/MIN(Assumptions!$B$24/(Assumptions!$B$29+E663+F663+G663+I662),B663*(1-Assumptions!$B$25))</f>
        <v/>
      </c>
      <c r="I663">
        <f>Assumptions!$B$26/MIN(Assumptions!$B$27/(Assumptions!$B$29+E663+F663+G663+H663),B663*(1-Assumptions!$B$28))</f>
        <v/>
      </c>
      <c r="J663">
        <f>Assumptions!$B$29+E663+F663+G663+H663+I663</f>
        <v/>
      </c>
      <c r="K663">
        <f>J663+Assumptions!$B$4/B663</f>
        <v/>
      </c>
      <c r="L663">
        <f>B663</f>
        <v/>
      </c>
    </row>
    <row r="664">
      <c r="A664" t="inlineStr">
        <is>
          <t>cell(1,2) iter 29</t>
        </is>
      </c>
      <c r="B664">
        <f>Assumptions!$B$55/J663</f>
        <v/>
      </c>
      <c r="C664">
        <f>IF(B664&lt;Assumptions!$B$20,Assumptions!$B$20*(Assumptions!$B$29+Assumptions!$B$4/Assumptions!$B$20)/(Assumptions!$B$29+Assumptions!$B$4/B664),Assumptions!$B$20)</f>
        <v/>
      </c>
      <c r="D664">
        <f>IF(B664&lt;Assumptions!$B$21,Assumptions!$B$21*(Assumptions!$B$29+Assumptions!$B$4/Assumptions!$B$21)/(Assumptions!$B$29+Assumptions!$B$4/B664),Assumptions!$B$21)</f>
        <v/>
      </c>
      <c r="E664">
        <f>Assumptions!$B$37*Assumptions!$B$22/C664-Assumptions!$B$38</f>
        <v/>
      </c>
      <c r="F664">
        <f>Assumptions!$B$39*Assumptions!$B$21/D664-Assumptions!$B$39</f>
        <v/>
      </c>
      <c r="G664">
        <f>MAX(0,Assumptions!$B$51*(Assumptions!$B$29+E664+F664+G663+H663+I663+Assumptions!$B$4/B664)-Assumptions!$B$30)</f>
        <v/>
      </c>
      <c r="H664">
        <f>Assumptions!$B$23/MIN(Assumptions!$B$24/(Assumptions!$B$29+E664+F664+G664+I663),B664*(1-Assumptions!$B$25))</f>
        <v/>
      </c>
      <c r="I664">
        <f>Assumptions!$B$26/MIN(Assumptions!$B$27/(Assumptions!$B$29+E664+F664+G664+H664),B664*(1-Assumptions!$B$28))</f>
        <v/>
      </c>
      <c r="J664">
        <f>Assumptions!$B$29+E664+F664+G664+H664+I664</f>
        <v/>
      </c>
      <c r="K664">
        <f>J664+Assumptions!$B$4/B664</f>
        <v/>
      </c>
      <c r="L664">
        <f>B664</f>
        <v/>
      </c>
    </row>
    <row r="665">
      <c r="A665" t="inlineStr">
        <is>
          <t>cell(1,2) iter 30</t>
        </is>
      </c>
      <c r="B665">
        <f>Assumptions!$B$55/J664</f>
        <v/>
      </c>
      <c r="C665">
        <f>IF(B665&lt;Assumptions!$B$20,Assumptions!$B$20*(Assumptions!$B$29+Assumptions!$B$4/Assumptions!$B$20)/(Assumptions!$B$29+Assumptions!$B$4/B665),Assumptions!$B$20)</f>
        <v/>
      </c>
      <c r="D665">
        <f>IF(B665&lt;Assumptions!$B$21,Assumptions!$B$21*(Assumptions!$B$29+Assumptions!$B$4/Assumptions!$B$21)/(Assumptions!$B$29+Assumptions!$B$4/B665),Assumptions!$B$21)</f>
        <v/>
      </c>
      <c r="E665">
        <f>Assumptions!$B$37*Assumptions!$B$22/C665-Assumptions!$B$38</f>
        <v/>
      </c>
      <c r="F665">
        <f>Assumptions!$B$39*Assumptions!$B$21/D665-Assumptions!$B$39</f>
        <v/>
      </c>
      <c r="G665">
        <f>MAX(0,Assumptions!$B$51*(Assumptions!$B$29+E665+F665+G664+H664+I664+Assumptions!$B$4/B665)-Assumptions!$B$30)</f>
        <v/>
      </c>
      <c r="H665">
        <f>Assumptions!$B$23/MIN(Assumptions!$B$24/(Assumptions!$B$29+E665+F665+G665+I664),B665*(1-Assumptions!$B$25))</f>
        <v/>
      </c>
      <c r="I665">
        <f>Assumptions!$B$26/MIN(Assumptions!$B$27/(Assumptions!$B$29+E665+F665+G665+H665),B665*(1-Assumptions!$B$28))</f>
        <v/>
      </c>
      <c r="J665">
        <f>Assumptions!$B$29+E665+F665+G665+H665+I665</f>
        <v/>
      </c>
      <c r="K665">
        <f>J665+Assumptions!$B$4/B665</f>
        <v/>
      </c>
      <c r="L665">
        <f>B665</f>
        <v/>
      </c>
    </row>
    <row r="666">
      <c r="A666" t="inlineStr">
        <is>
          <t>cell(1,2) iter 31</t>
        </is>
      </c>
      <c r="B666">
        <f>Assumptions!$B$55/J665</f>
        <v/>
      </c>
      <c r="C666">
        <f>IF(B666&lt;Assumptions!$B$20,Assumptions!$B$20*(Assumptions!$B$29+Assumptions!$B$4/Assumptions!$B$20)/(Assumptions!$B$29+Assumptions!$B$4/B666),Assumptions!$B$20)</f>
        <v/>
      </c>
      <c r="D666">
        <f>IF(B666&lt;Assumptions!$B$21,Assumptions!$B$21*(Assumptions!$B$29+Assumptions!$B$4/Assumptions!$B$21)/(Assumptions!$B$29+Assumptions!$B$4/B666),Assumptions!$B$21)</f>
        <v/>
      </c>
      <c r="E666">
        <f>Assumptions!$B$37*Assumptions!$B$22/C666-Assumptions!$B$38</f>
        <v/>
      </c>
      <c r="F666">
        <f>Assumptions!$B$39*Assumptions!$B$21/D666-Assumptions!$B$39</f>
        <v/>
      </c>
      <c r="G666">
        <f>MAX(0,Assumptions!$B$51*(Assumptions!$B$29+E666+F666+G665+H665+I665+Assumptions!$B$4/B666)-Assumptions!$B$30)</f>
        <v/>
      </c>
      <c r="H666">
        <f>Assumptions!$B$23/MIN(Assumptions!$B$24/(Assumptions!$B$29+E666+F666+G666+I665),B666*(1-Assumptions!$B$25))</f>
        <v/>
      </c>
      <c r="I666">
        <f>Assumptions!$B$26/MIN(Assumptions!$B$27/(Assumptions!$B$29+E666+F666+G666+H666),B666*(1-Assumptions!$B$28))</f>
        <v/>
      </c>
      <c r="J666">
        <f>Assumptions!$B$29+E666+F666+G666+H666+I666</f>
        <v/>
      </c>
      <c r="K666">
        <f>J666+Assumptions!$B$4/B666</f>
        <v/>
      </c>
      <c r="L666">
        <f>B666</f>
        <v/>
      </c>
    </row>
    <row r="667">
      <c r="A667" t="inlineStr">
        <is>
          <t>cell(1,2) iter 32</t>
        </is>
      </c>
      <c r="B667">
        <f>Assumptions!$B$55/J666</f>
        <v/>
      </c>
      <c r="C667">
        <f>IF(B667&lt;Assumptions!$B$20,Assumptions!$B$20*(Assumptions!$B$29+Assumptions!$B$4/Assumptions!$B$20)/(Assumptions!$B$29+Assumptions!$B$4/B667),Assumptions!$B$20)</f>
        <v/>
      </c>
      <c r="D667">
        <f>IF(B667&lt;Assumptions!$B$21,Assumptions!$B$21*(Assumptions!$B$29+Assumptions!$B$4/Assumptions!$B$21)/(Assumptions!$B$29+Assumptions!$B$4/B667),Assumptions!$B$21)</f>
        <v/>
      </c>
      <c r="E667">
        <f>Assumptions!$B$37*Assumptions!$B$22/C667-Assumptions!$B$38</f>
        <v/>
      </c>
      <c r="F667">
        <f>Assumptions!$B$39*Assumptions!$B$21/D667-Assumptions!$B$39</f>
        <v/>
      </c>
      <c r="G667">
        <f>MAX(0,Assumptions!$B$51*(Assumptions!$B$29+E667+F667+G666+H666+I666+Assumptions!$B$4/B667)-Assumptions!$B$30)</f>
        <v/>
      </c>
      <c r="H667">
        <f>Assumptions!$B$23/MIN(Assumptions!$B$24/(Assumptions!$B$29+E667+F667+G667+I666),B667*(1-Assumptions!$B$25))</f>
        <v/>
      </c>
      <c r="I667">
        <f>Assumptions!$B$26/MIN(Assumptions!$B$27/(Assumptions!$B$29+E667+F667+G667+H667),B667*(1-Assumptions!$B$28))</f>
        <v/>
      </c>
      <c r="J667">
        <f>Assumptions!$B$29+E667+F667+G667+H667+I667</f>
        <v/>
      </c>
      <c r="K667">
        <f>J667+Assumptions!$B$4/B667</f>
        <v/>
      </c>
      <c r="L667">
        <f>B667</f>
        <v/>
      </c>
    </row>
    <row r="668">
      <c r="A668" t="inlineStr">
        <is>
          <t>cell(1,2) iter 33</t>
        </is>
      </c>
      <c r="B668">
        <f>Assumptions!$B$55/J667</f>
        <v/>
      </c>
      <c r="C668">
        <f>IF(B668&lt;Assumptions!$B$20,Assumptions!$B$20*(Assumptions!$B$29+Assumptions!$B$4/Assumptions!$B$20)/(Assumptions!$B$29+Assumptions!$B$4/B668),Assumptions!$B$20)</f>
        <v/>
      </c>
      <c r="D668">
        <f>IF(B668&lt;Assumptions!$B$21,Assumptions!$B$21*(Assumptions!$B$29+Assumptions!$B$4/Assumptions!$B$21)/(Assumptions!$B$29+Assumptions!$B$4/B668),Assumptions!$B$21)</f>
        <v/>
      </c>
      <c r="E668">
        <f>Assumptions!$B$37*Assumptions!$B$22/C668-Assumptions!$B$38</f>
        <v/>
      </c>
      <c r="F668">
        <f>Assumptions!$B$39*Assumptions!$B$21/D668-Assumptions!$B$39</f>
        <v/>
      </c>
      <c r="G668">
        <f>MAX(0,Assumptions!$B$51*(Assumptions!$B$29+E668+F668+G667+H667+I667+Assumptions!$B$4/B668)-Assumptions!$B$30)</f>
        <v/>
      </c>
      <c r="H668">
        <f>Assumptions!$B$23/MIN(Assumptions!$B$24/(Assumptions!$B$29+E668+F668+G668+I667),B668*(1-Assumptions!$B$25))</f>
        <v/>
      </c>
      <c r="I668">
        <f>Assumptions!$B$26/MIN(Assumptions!$B$27/(Assumptions!$B$29+E668+F668+G668+H668),B668*(1-Assumptions!$B$28))</f>
        <v/>
      </c>
      <c r="J668">
        <f>Assumptions!$B$29+E668+F668+G668+H668+I668</f>
        <v/>
      </c>
      <c r="K668">
        <f>J668+Assumptions!$B$4/B668</f>
        <v/>
      </c>
      <c r="L668">
        <f>B668</f>
        <v/>
      </c>
    </row>
    <row r="669">
      <c r="A669" t="inlineStr">
        <is>
          <t>cell(1,2) iter 34</t>
        </is>
      </c>
      <c r="B669">
        <f>Assumptions!$B$55/J668</f>
        <v/>
      </c>
      <c r="C669">
        <f>IF(B669&lt;Assumptions!$B$20,Assumptions!$B$20*(Assumptions!$B$29+Assumptions!$B$4/Assumptions!$B$20)/(Assumptions!$B$29+Assumptions!$B$4/B669),Assumptions!$B$20)</f>
        <v/>
      </c>
      <c r="D669">
        <f>IF(B669&lt;Assumptions!$B$21,Assumptions!$B$21*(Assumptions!$B$29+Assumptions!$B$4/Assumptions!$B$21)/(Assumptions!$B$29+Assumptions!$B$4/B669),Assumptions!$B$21)</f>
        <v/>
      </c>
      <c r="E669">
        <f>Assumptions!$B$37*Assumptions!$B$22/C669-Assumptions!$B$38</f>
        <v/>
      </c>
      <c r="F669">
        <f>Assumptions!$B$39*Assumptions!$B$21/D669-Assumptions!$B$39</f>
        <v/>
      </c>
      <c r="G669">
        <f>MAX(0,Assumptions!$B$51*(Assumptions!$B$29+E669+F669+G668+H668+I668+Assumptions!$B$4/B669)-Assumptions!$B$30)</f>
        <v/>
      </c>
      <c r="H669">
        <f>Assumptions!$B$23/MIN(Assumptions!$B$24/(Assumptions!$B$29+E669+F669+G669+I668),B669*(1-Assumptions!$B$25))</f>
        <v/>
      </c>
      <c r="I669">
        <f>Assumptions!$B$26/MIN(Assumptions!$B$27/(Assumptions!$B$29+E669+F669+G669+H669),B669*(1-Assumptions!$B$28))</f>
        <v/>
      </c>
      <c r="J669">
        <f>Assumptions!$B$29+E669+F669+G669+H669+I669</f>
        <v/>
      </c>
      <c r="K669">
        <f>J669+Assumptions!$B$4/B669</f>
        <v/>
      </c>
      <c r="L669">
        <f>B669</f>
        <v/>
      </c>
    </row>
    <row r="670">
      <c r="A670" t="inlineStr">
        <is>
          <t>cell(1,2) iter 35</t>
        </is>
      </c>
      <c r="B670">
        <f>Assumptions!$B$55/J669</f>
        <v/>
      </c>
      <c r="C670">
        <f>IF(B670&lt;Assumptions!$B$20,Assumptions!$B$20*(Assumptions!$B$29+Assumptions!$B$4/Assumptions!$B$20)/(Assumptions!$B$29+Assumptions!$B$4/B670),Assumptions!$B$20)</f>
        <v/>
      </c>
      <c r="D670">
        <f>IF(B670&lt;Assumptions!$B$21,Assumptions!$B$21*(Assumptions!$B$29+Assumptions!$B$4/Assumptions!$B$21)/(Assumptions!$B$29+Assumptions!$B$4/B670),Assumptions!$B$21)</f>
        <v/>
      </c>
      <c r="E670">
        <f>Assumptions!$B$37*Assumptions!$B$22/C670-Assumptions!$B$38</f>
        <v/>
      </c>
      <c r="F670">
        <f>Assumptions!$B$39*Assumptions!$B$21/D670-Assumptions!$B$39</f>
        <v/>
      </c>
      <c r="G670">
        <f>MAX(0,Assumptions!$B$51*(Assumptions!$B$29+E670+F670+G669+H669+I669+Assumptions!$B$4/B670)-Assumptions!$B$30)</f>
        <v/>
      </c>
      <c r="H670">
        <f>Assumptions!$B$23/MIN(Assumptions!$B$24/(Assumptions!$B$29+E670+F670+G670+I669),B670*(1-Assumptions!$B$25))</f>
        <v/>
      </c>
      <c r="I670">
        <f>Assumptions!$B$26/MIN(Assumptions!$B$27/(Assumptions!$B$29+E670+F670+G670+H670),B670*(1-Assumptions!$B$28))</f>
        <v/>
      </c>
      <c r="J670">
        <f>Assumptions!$B$29+E670+F670+G670+H670+I670</f>
        <v/>
      </c>
      <c r="K670">
        <f>J670+Assumptions!$B$4/B670</f>
        <v/>
      </c>
      <c r="L670">
        <f>B670</f>
        <v/>
      </c>
    </row>
    <row r="671">
      <c r="A671" t="inlineStr">
        <is>
          <t>cell(1,2) iter 36</t>
        </is>
      </c>
      <c r="B671">
        <f>Assumptions!$B$55/J670</f>
        <v/>
      </c>
      <c r="C671">
        <f>IF(B671&lt;Assumptions!$B$20,Assumptions!$B$20*(Assumptions!$B$29+Assumptions!$B$4/Assumptions!$B$20)/(Assumptions!$B$29+Assumptions!$B$4/B671),Assumptions!$B$20)</f>
        <v/>
      </c>
      <c r="D671">
        <f>IF(B671&lt;Assumptions!$B$21,Assumptions!$B$21*(Assumptions!$B$29+Assumptions!$B$4/Assumptions!$B$21)/(Assumptions!$B$29+Assumptions!$B$4/B671),Assumptions!$B$21)</f>
        <v/>
      </c>
      <c r="E671">
        <f>Assumptions!$B$37*Assumptions!$B$22/C671-Assumptions!$B$38</f>
        <v/>
      </c>
      <c r="F671">
        <f>Assumptions!$B$39*Assumptions!$B$21/D671-Assumptions!$B$39</f>
        <v/>
      </c>
      <c r="G671">
        <f>MAX(0,Assumptions!$B$51*(Assumptions!$B$29+E671+F671+G670+H670+I670+Assumptions!$B$4/B671)-Assumptions!$B$30)</f>
        <v/>
      </c>
      <c r="H671">
        <f>Assumptions!$B$23/MIN(Assumptions!$B$24/(Assumptions!$B$29+E671+F671+G671+I670),B671*(1-Assumptions!$B$25))</f>
        <v/>
      </c>
      <c r="I671">
        <f>Assumptions!$B$26/MIN(Assumptions!$B$27/(Assumptions!$B$29+E671+F671+G671+H671),B671*(1-Assumptions!$B$28))</f>
        <v/>
      </c>
      <c r="J671">
        <f>Assumptions!$B$29+E671+F671+G671+H671+I671</f>
        <v/>
      </c>
      <c r="K671">
        <f>J671+Assumptions!$B$4/B671</f>
        <v/>
      </c>
      <c r="L671">
        <f>B671</f>
        <v/>
      </c>
    </row>
    <row r="672">
      <c r="A672" t="inlineStr">
        <is>
          <t>cell(1,2) iter 37</t>
        </is>
      </c>
      <c r="B672">
        <f>Assumptions!$B$55/J671</f>
        <v/>
      </c>
      <c r="C672">
        <f>IF(B672&lt;Assumptions!$B$20,Assumptions!$B$20*(Assumptions!$B$29+Assumptions!$B$4/Assumptions!$B$20)/(Assumptions!$B$29+Assumptions!$B$4/B672),Assumptions!$B$20)</f>
        <v/>
      </c>
      <c r="D672">
        <f>IF(B672&lt;Assumptions!$B$21,Assumptions!$B$21*(Assumptions!$B$29+Assumptions!$B$4/Assumptions!$B$21)/(Assumptions!$B$29+Assumptions!$B$4/B672),Assumptions!$B$21)</f>
        <v/>
      </c>
      <c r="E672">
        <f>Assumptions!$B$37*Assumptions!$B$22/C672-Assumptions!$B$38</f>
        <v/>
      </c>
      <c r="F672">
        <f>Assumptions!$B$39*Assumptions!$B$21/D672-Assumptions!$B$39</f>
        <v/>
      </c>
      <c r="G672">
        <f>MAX(0,Assumptions!$B$51*(Assumptions!$B$29+E672+F672+G671+H671+I671+Assumptions!$B$4/B672)-Assumptions!$B$30)</f>
        <v/>
      </c>
      <c r="H672">
        <f>Assumptions!$B$23/MIN(Assumptions!$B$24/(Assumptions!$B$29+E672+F672+G672+I671),B672*(1-Assumptions!$B$25))</f>
        <v/>
      </c>
      <c r="I672">
        <f>Assumptions!$B$26/MIN(Assumptions!$B$27/(Assumptions!$B$29+E672+F672+G672+H672),B672*(1-Assumptions!$B$28))</f>
        <v/>
      </c>
      <c r="J672">
        <f>Assumptions!$B$29+E672+F672+G672+H672+I672</f>
        <v/>
      </c>
      <c r="K672">
        <f>J672+Assumptions!$B$4/B672</f>
        <v/>
      </c>
      <c r="L672">
        <f>B672</f>
        <v/>
      </c>
    </row>
    <row r="673">
      <c r="A673" t="inlineStr">
        <is>
          <t>cell(1,2) iter 38</t>
        </is>
      </c>
      <c r="B673">
        <f>Assumptions!$B$55/J672</f>
        <v/>
      </c>
      <c r="C673">
        <f>IF(B673&lt;Assumptions!$B$20,Assumptions!$B$20*(Assumptions!$B$29+Assumptions!$B$4/Assumptions!$B$20)/(Assumptions!$B$29+Assumptions!$B$4/B673),Assumptions!$B$20)</f>
        <v/>
      </c>
      <c r="D673">
        <f>IF(B673&lt;Assumptions!$B$21,Assumptions!$B$21*(Assumptions!$B$29+Assumptions!$B$4/Assumptions!$B$21)/(Assumptions!$B$29+Assumptions!$B$4/B673),Assumptions!$B$21)</f>
        <v/>
      </c>
      <c r="E673">
        <f>Assumptions!$B$37*Assumptions!$B$22/C673-Assumptions!$B$38</f>
        <v/>
      </c>
      <c r="F673">
        <f>Assumptions!$B$39*Assumptions!$B$21/D673-Assumptions!$B$39</f>
        <v/>
      </c>
      <c r="G673">
        <f>MAX(0,Assumptions!$B$51*(Assumptions!$B$29+E673+F673+G672+H672+I672+Assumptions!$B$4/B673)-Assumptions!$B$30)</f>
        <v/>
      </c>
      <c r="H673">
        <f>Assumptions!$B$23/MIN(Assumptions!$B$24/(Assumptions!$B$29+E673+F673+G673+I672),B673*(1-Assumptions!$B$25))</f>
        <v/>
      </c>
      <c r="I673">
        <f>Assumptions!$B$26/MIN(Assumptions!$B$27/(Assumptions!$B$29+E673+F673+G673+H673),B673*(1-Assumptions!$B$28))</f>
        <v/>
      </c>
      <c r="J673">
        <f>Assumptions!$B$29+E673+F673+G673+H673+I673</f>
        <v/>
      </c>
      <c r="K673">
        <f>J673+Assumptions!$B$4/B673</f>
        <v/>
      </c>
      <c r="L673">
        <f>B673</f>
        <v/>
      </c>
    </row>
    <row r="674">
      <c r="A674" t="inlineStr">
        <is>
          <t>cell(1,2) iter 39</t>
        </is>
      </c>
      <c r="B674">
        <f>Assumptions!$B$55/J673</f>
        <v/>
      </c>
      <c r="C674">
        <f>IF(B674&lt;Assumptions!$B$20,Assumptions!$B$20*(Assumptions!$B$29+Assumptions!$B$4/Assumptions!$B$20)/(Assumptions!$B$29+Assumptions!$B$4/B674),Assumptions!$B$20)</f>
        <v/>
      </c>
      <c r="D674">
        <f>IF(B674&lt;Assumptions!$B$21,Assumptions!$B$21*(Assumptions!$B$29+Assumptions!$B$4/Assumptions!$B$21)/(Assumptions!$B$29+Assumptions!$B$4/B674),Assumptions!$B$21)</f>
        <v/>
      </c>
      <c r="E674">
        <f>Assumptions!$B$37*Assumptions!$B$22/C674-Assumptions!$B$38</f>
        <v/>
      </c>
      <c r="F674">
        <f>Assumptions!$B$39*Assumptions!$B$21/D674-Assumptions!$B$39</f>
        <v/>
      </c>
      <c r="G674">
        <f>MAX(0,Assumptions!$B$51*(Assumptions!$B$29+E674+F674+G673+H673+I673+Assumptions!$B$4/B674)-Assumptions!$B$30)</f>
        <v/>
      </c>
      <c r="H674">
        <f>Assumptions!$B$23/MIN(Assumptions!$B$24/(Assumptions!$B$29+E674+F674+G674+I673),B674*(1-Assumptions!$B$25))</f>
        <v/>
      </c>
      <c r="I674">
        <f>Assumptions!$B$26/MIN(Assumptions!$B$27/(Assumptions!$B$29+E674+F674+G674+H674),B674*(1-Assumptions!$B$28))</f>
        <v/>
      </c>
      <c r="J674">
        <f>Assumptions!$B$29+E674+F674+G674+H674+I674</f>
        <v/>
      </c>
      <c r="K674">
        <f>J674+Assumptions!$B$4/B674</f>
        <v/>
      </c>
      <c r="L674">
        <f>B674</f>
        <v/>
      </c>
    </row>
    <row r="675">
      <c r="A675" t="inlineStr">
        <is>
          <t>cell(1,2) iter 40</t>
        </is>
      </c>
      <c r="B675">
        <f>Assumptions!$B$55/J674</f>
        <v/>
      </c>
      <c r="C675">
        <f>IF(B675&lt;Assumptions!$B$20,Assumptions!$B$20*(Assumptions!$B$29+Assumptions!$B$4/Assumptions!$B$20)/(Assumptions!$B$29+Assumptions!$B$4/B675),Assumptions!$B$20)</f>
        <v/>
      </c>
      <c r="D675">
        <f>IF(B675&lt;Assumptions!$B$21,Assumptions!$B$21*(Assumptions!$B$29+Assumptions!$B$4/Assumptions!$B$21)/(Assumptions!$B$29+Assumptions!$B$4/B675),Assumptions!$B$21)</f>
        <v/>
      </c>
      <c r="E675">
        <f>Assumptions!$B$37*Assumptions!$B$22/C675-Assumptions!$B$38</f>
        <v/>
      </c>
      <c r="F675">
        <f>Assumptions!$B$39*Assumptions!$B$21/D675-Assumptions!$B$39</f>
        <v/>
      </c>
      <c r="G675">
        <f>MAX(0,Assumptions!$B$51*(Assumptions!$B$29+E675+F675+G674+H674+I674+Assumptions!$B$4/B675)-Assumptions!$B$30)</f>
        <v/>
      </c>
      <c r="H675">
        <f>Assumptions!$B$23/MIN(Assumptions!$B$24/(Assumptions!$B$29+E675+F675+G675+I674),B675*(1-Assumptions!$B$25))</f>
        <v/>
      </c>
      <c r="I675">
        <f>Assumptions!$B$26/MIN(Assumptions!$B$27/(Assumptions!$B$29+E675+F675+G675+H675),B675*(1-Assumptions!$B$28))</f>
        <v/>
      </c>
      <c r="J675">
        <f>Assumptions!$B$29+E675+F675+G675+H675+I675</f>
        <v/>
      </c>
      <c r="K675">
        <f>J675+Assumptions!$B$4/B675</f>
        <v/>
      </c>
      <c r="L675">
        <f>B675</f>
        <v/>
      </c>
    </row>
    <row r="676">
      <c r="A676" t="inlineStr">
        <is>
          <t>cell(1,2) iter 41</t>
        </is>
      </c>
      <c r="B676">
        <f>Assumptions!$B$55/J675</f>
        <v/>
      </c>
      <c r="C676">
        <f>IF(B676&lt;Assumptions!$B$20,Assumptions!$B$20*(Assumptions!$B$29+Assumptions!$B$4/Assumptions!$B$20)/(Assumptions!$B$29+Assumptions!$B$4/B676),Assumptions!$B$20)</f>
        <v/>
      </c>
      <c r="D676">
        <f>IF(B676&lt;Assumptions!$B$21,Assumptions!$B$21*(Assumptions!$B$29+Assumptions!$B$4/Assumptions!$B$21)/(Assumptions!$B$29+Assumptions!$B$4/B676),Assumptions!$B$21)</f>
        <v/>
      </c>
      <c r="E676">
        <f>Assumptions!$B$37*Assumptions!$B$22/C676-Assumptions!$B$38</f>
        <v/>
      </c>
      <c r="F676">
        <f>Assumptions!$B$39*Assumptions!$B$21/D676-Assumptions!$B$39</f>
        <v/>
      </c>
      <c r="G676">
        <f>MAX(0,Assumptions!$B$51*(Assumptions!$B$29+E676+F676+G675+H675+I675+Assumptions!$B$4/B676)-Assumptions!$B$30)</f>
        <v/>
      </c>
      <c r="H676">
        <f>Assumptions!$B$23/MIN(Assumptions!$B$24/(Assumptions!$B$29+E676+F676+G676+I675),B676*(1-Assumptions!$B$25))</f>
        <v/>
      </c>
      <c r="I676">
        <f>Assumptions!$B$26/MIN(Assumptions!$B$27/(Assumptions!$B$29+E676+F676+G676+H676),B676*(1-Assumptions!$B$28))</f>
        <v/>
      </c>
      <c r="J676">
        <f>Assumptions!$B$29+E676+F676+G676+H676+I676</f>
        <v/>
      </c>
      <c r="K676">
        <f>J676+Assumptions!$B$4/B676</f>
        <v/>
      </c>
      <c r="L676">
        <f>B676</f>
        <v/>
      </c>
    </row>
    <row r="677">
      <c r="A677" t="inlineStr">
        <is>
          <t>cell(1,2) iter 42</t>
        </is>
      </c>
      <c r="B677">
        <f>Assumptions!$B$55/J676</f>
        <v/>
      </c>
      <c r="C677">
        <f>IF(B677&lt;Assumptions!$B$20,Assumptions!$B$20*(Assumptions!$B$29+Assumptions!$B$4/Assumptions!$B$20)/(Assumptions!$B$29+Assumptions!$B$4/B677),Assumptions!$B$20)</f>
        <v/>
      </c>
      <c r="D677">
        <f>IF(B677&lt;Assumptions!$B$21,Assumptions!$B$21*(Assumptions!$B$29+Assumptions!$B$4/Assumptions!$B$21)/(Assumptions!$B$29+Assumptions!$B$4/B677),Assumptions!$B$21)</f>
        <v/>
      </c>
      <c r="E677">
        <f>Assumptions!$B$37*Assumptions!$B$22/C677-Assumptions!$B$38</f>
        <v/>
      </c>
      <c r="F677">
        <f>Assumptions!$B$39*Assumptions!$B$21/D677-Assumptions!$B$39</f>
        <v/>
      </c>
      <c r="G677">
        <f>MAX(0,Assumptions!$B$51*(Assumptions!$B$29+E677+F677+G676+H676+I676+Assumptions!$B$4/B677)-Assumptions!$B$30)</f>
        <v/>
      </c>
      <c r="H677">
        <f>Assumptions!$B$23/MIN(Assumptions!$B$24/(Assumptions!$B$29+E677+F677+G677+I676),B677*(1-Assumptions!$B$25))</f>
        <v/>
      </c>
      <c r="I677">
        <f>Assumptions!$B$26/MIN(Assumptions!$B$27/(Assumptions!$B$29+E677+F677+G677+H677),B677*(1-Assumptions!$B$28))</f>
        <v/>
      </c>
      <c r="J677">
        <f>Assumptions!$B$29+E677+F677+G677+H677+I677</f>
        <v/>
      </c>
      <c r="K677">
        <f>J677+Assumptions!$B$4/B677</f>
        <v/>
      </c>
      <c r="L677">
        <f>B677</f>
        <v/>
      </c>
    </row>
    <row r="678">
      <c r="A678" t="inlineStr">
        <is>
          <t>cell(1,2) iter 43</t>
        </is>
      </c>
      <c r="B678">
        <f>Assumptions!$B$55/J677</f>
        <v/>
      </c>
      <c r="C678">
        <f>IF(B678&lt;Assumptions!$B$20,Assumptions!$B$20*(Assumptions!$B$29+Assumptions!$B$4/Assumptions!$B$20)/(Assumptions!$B$29+Assumptions!$B$4/B678),Assumptions!$B$20)</f>
        <v/>
      </c>
      <c r="D678">
        <f>IF(B678&lt;Assumptions!$B$21,Assumptions!$B$21*(Assumptions!$B$29+Assumptions!$B$4/Assumptions!$B$21)/(Assumptions!$B$29+Assumptions!$B$4/B678),Assumptions!$B$21)</f>
        <v/>
      </c>
      <c r="E678">
        <f>Assumptions!$B$37*Assumptions!$B$22/C678-Assumptions!$B$38</f>
        <v/>
      </c>
      <c r="F678">
        <f>Assumptions!$B$39*Assumptions!$B$21/D678-Assumptions!$B$39</f>
        <v/>
      </c>
      <c r="G678">
        <f>MAX(0,Assumptions!$B$51*(Assumptions!$B$29+E678+F678+G677+H677+I677+Assumptions!$B$4/B678)-Assumptions!$B$30)</f>
        <v/>
      </c>
      <c r="H678">
        <f>Assumptions!$B$23/MIN(Assumptions!$B$24/(Assumptions!$B$29+E678+F678+G678+I677),B678*(1-Assumptions!$B$25))</f>
        <v/>
      </c>
      <c r="I678">
        <f>Assumptions!$B$26/MIN(Assumptions!$B$27/(Assumptions!$B$29+E678+F678+G678+H678),B678*(1-Assumptions!$B$28))</f>
        <v/>
      </c>
      <c r="J678">
        <f>Assumptions!$B$29+E678+F678+G678+H678+I678</f>
        <v/>
      </c>
      <c r="K678">
        <f>J678+Assumptions!$B$4/B678</f>
        <v/>
      </c>
      <c r="L678">
        <f>B678</f>
        <v/>
      </c>
    </row>
    <row r="679">
      <c r="A679" t="inlineStr">
        <is>
          <t>cell(1,2) iter 44</t>
        </is>
      </c>
      <c r="B679">
        <f>Assumptions!$B$55/J678</f>
        <v/>
      </c>
      <c r="C679">
        <f>IF(B679&lt;Assumptions!$B$20,Assumptions!$B$20*(Assumptions!$B$29+Assumptions!$B$4/Assumptions!$B$20)/(Assumptions!$B$29+Assumptions!$B$4/B679),Assumptions!$B$20)</f>
        <v/>
      </c>
      <c r="D679">
        <f>IF(B679&lt;Assumptions!$B$21,Assumptions!$B$21*(Assumptions!$B$29+Assumptions!$B$4/Assumptions!$B$21)/(Assumptions!$B$29+Assumptions!$B$4/B679),Assumptions!$B$21)</f>
        <v/>
      </c>
      <c r="E679">
        <f>Assumptions!$B$37*Assumptions!$B$22/C679-Assumptions!$B$38</f>
        <v/>
      </c>
      <c r="F679">
        <f>Assumptions!$B$39*Assumptions!$B$21/D679-Assumptions!$B$39</f>
        <v/>
      </c>
      <c r="G679">
        <f>MAX(0,Assumptions!$B$51*(Assumptions!$B$29+E679+F679+G678+H678+I678+Assumptions!$B$4/B679)-Assumptions!$B$30)</f>
        <v/>
      </c>
      <c r="H679">
        <f>Assumptions!$B$23/MIN(Assumptions!$B$24/(Assumptions!$B$29+E679+F679+G679+I678),B679*(1-Assumptions!$B$25))</f>
        <v/>
      </c>
      <c r="I679">
        <f>Assumptions!$B$26/MIN(Assumptions!$B$27/(Assumptions!$B$29+E679+F679+G679+H679),B679*(1-Assumptions!$B$28))</f>
        <v/>
      </c>
      <c r="J679">
        <f>Assumptions!$B$29+E679+F679+G679+H679+I679</f>
        <v/>
      </c>
      <c r="K679">
        <f>J679+Assumptions!$B$4/B679</f>
        <v/>
      </c>
      <c r="L679">
        <f>B679</f>
        <v/>
      </c>
    </row>
    <row r="680">
      <c r="A680" t="inlineStr">
        <is>
          <t>cell(1,2) iter 45</t>
        </is>
      </c>
      <c r="B680">
        <f>Assumptions!$B$55/J679</f>
        <v/>
      </c>
      <c r="C680">
        <f>IF(B680&lt;Assumptions!$B$20,Assumptions!$B$20*(Assumptions!$B$29+Assumptions!$B$4/Assumptions!$B$20)/(Assumptions!$B$29+Assumptions!$B$4/B680),Assumptions!$B$20)</f>
        <v/>
      </c>
      <c r="D680">
        <f>IF(B680&lt;Assumptions!$B$21,Assumptions!$B$21*(Assumptions!$B$29+Assumptions!$B$4/Assumptions!$B$21)/(Assumptions!$B$29+Assumptions!$B$4/B680),Assumptions!$B$21)</f>
        <v/>
      </c>
      <c r="E680">
        <f>Assumptions!$B$37*Assumptions!$B$22/C680-Assumptions!$B$38</f>
        <v/>
      </c>
      <c r="F680">
        <f>Assumptions!$B$39*Assumptions!$B$21/D680-Assumptions!$B$39</f>
        <v/>
      </c>
      <c r="G680">
        <f>MAX(0,Assumptions!$B$51*(Assumptions!$B$29+E680+F680+G679+H679+I679+Assumptions!$B$4/B680)-Assumptions!$B$30)</f>
        <v/>
      </c>
      <c r="H680">
        <f>Assumptions!$B$23/MIN(Assumptions!$B$24/(Assumptions!$B$29+E680+F680+G680+I679),B680*(1-Assumptions!$B$25))</f>
        <v/>
      </c>
      <c r="I680">
        <f>Assumptions!$B$26/MIN(Assumptions!$B$27/(Assumptions!$B$29+E680+F680+G680+H680),B680*(1-Assumptions!$B$28))</f>
        <v/>
      </c>
      <c r="J680">
        <f>Assumptions!$B$29+E680+F680+G680+H680+I680</f>
        <v/>
      </c>
      <c r="K680">
        <f>J680+Assumptions!$B$4/B680</f>
        <v/>
      </c>
      <c r="L680">
        <f>B680</f>
        <v/>
      </c>
    </row>
    <row r="681">
      <c r="A681" t="inlineStr">
        <is>
          <t>cell(1,2) iter 46</t>
        </is>
      </c>
      <c r="B681">
        <f>Assumptions!$B$55/J680</f>
        <v/>
      </c>
      <c r="C681">
        <f>IF(B681&lt;Assumptions!$B$20,Assumptions!$B$20*(Assumptions!$B$29+Assumptions!$B$4/Assumptions!$B$20)/(Assumptions!$B$29+Assumptions!$B$4/B681),Assumptions!$B$20)</f>
        <v/>
      </c>
      <c r="D681">
        <f>IF(B681&lt;Assumptions!$B$21,Assumptions!$B$21*(Assumptions!$B$29+Assumptions!$B$4/Assumptions!$B$21)/(Assumptions!$B$29+Assumptions!$B$4/B681),Assumptions!$B$21)</f>
        <v/>
      </c>
      <c r="E681">
        <f>Assumptions!$B$37*Assumptions!$B$22/C681-Assumptions!$B$38</f>
        <v/>
      </c>
      <c r="F681">
        <f>Assumptions!$B$39*Assumptions!$B$21/D681-Assumptions!$B$39</f>
        <v/>
      </c>
      <c r="G681">
        <f>MAX(0,Assumptions!$B$51*(Assumptions!$B$29+E681+F681+G680+H680+I680+Assumptions!$B$4/B681)-Assumptions!$B$30)</f>
        <v/>
      </c>
      <c r="H681">
        <f>Assumptions!$B$23/MIN(Assumptions!$B$24/(Assumptions!$B$29+E681+F681+G681+I680),B681*(1-Assumptions!$B$25))</f>
        <v/>
      </c>
      <c r="I681">
        <f>Assumptions!$B$26/MIN(Assumptions!$B$27/(Assumptions!$B$29+E681+F681+G681+H681),B681*(1-Assumptions!$B$28))</f>
        <v/>
      </c>
      <c r="J681">
        <f>Assumptions!$B$29+E681+F681+G681+H681+I681</f>
        <v/>
      </c>
      <c r="K681">
        <f>J681+Assumptions!$B$4/B681</f>
        <v/>
      </c>
      <c r="L681">
        <f>B681</f>
        <v/>
      </c>
    </row>
    <row r="682">
      <c r="A682" t="inlineStr">
        <is>
          <t>cell(1,2) iter 47</t>
        </is>
      </c>
      <c r="B682">
        <f>Assumptions!$B$55/J681</f>
        <v/>
      </c>
      <c r="C682">
        <f>IF(B682&lt;Assumptions!$B$20,Assumptions!$B$20*(Assumptions!$B$29+Assumptions!$B$4/Assumptions!$B$20)/(Assumptions!$B$29+Assumptions!$B$4/B682),Assumptions!$B$20)</f>
        <v/>
      </c>
      <c r="D682">
        <f>IF(B682&lt;Assumptions!$B$21,Assumptions!$B$21*(Assumptions!$B$29+Assumptions!$B$4/Assumptions!$B$21)/(Assumptions!$B$29+Assumptions!$B$4/B682),Assumptions!$B$21)</f>
        <v/>
      </c>
      <c r="E682">
        <f>Assumptions!$B$37*Assumptions!$B$22/C682-Assumptions!$B$38</f>
        <v/>
      </c>
      <c r="F682">
        <f>Assumptions!$B$39*Assumptions!$B$21/D682-Assumptions!$B$39</f>
        <v/>
      </c>
      <c r="G682">
        <f>MAX(0,Assumptions!$B$51*(Assumptions!$B$29+E682+F682+G681+H681+I681+Assumptions!$B$4/B682)-Assumptions!$B$30)</f>
        <v/>
      </c>
      <c r="H682">
        <f>Assumptions!$B$23/MIN(Assumptions!$B$24/(Assumptions!$B$29+E682+F682+G682+I681),B682*(1-Assumptions!$B$25))</f>
        <v/>
      </c>
      <c r="I682">
        <f>Assumptions!$B$26/MIN(Assumptions!$B$27/(Assumptions!$B$29+E682+F682+G682+H682),B682*(1-Assumptions!$B$28))</f>
        <v/>
      </c>
      <c r="J682">
        <f>Assumptions!$B$29+E682+F682+G682+H682+I682</f>
        <v/>
      </c>
      <c r="K682">
        <f>J682+Assumptions!$B$4/B682</f>
        <v/>
      </c>
      <c r="L682">
        <f>B682</f>
        <v/>
      </c>
    </row>
    <row r="683">
      <c r="A683" t="inlineStr">
        <is>
          <t>cell(1,2) iter 48</t>
        </is>
      </c>
      <c r="B683">
        <f>Assumptions!$B$55/J682</f>
        <v/>
      </c>
      <c r="C683">
        <f>IF(B683&lt;Assumptions!$B$20,Assumptions!$B$20*(Assumptions!$B$29+Assumptions!$B$4/Assumptions!$B$20)/(Assumptions!$B$29+Assumptions!$B$4/B683),Assumptions!$B$20)</f>
        <v/>
      </c>
      <c r="D683">
        <f>IF(B683&lt;Assumptions!$B$21,Assumptions!$B$21*(Assumptions!$B$29+Assumptions!$B$4/Assumptions!$B$21)/(Assumptions!$B$29+Assumptions!$B$4/B683),Assumptions!$B$21)</f>
        <v/>
      </c>
      <c r="E683">
        <f>Assumptions!$B$37*Assumptions!$B$22/C683-Assumptions!$B$38</f>
        <v/>
      </c>
      <c r="F683">
        <f>Assumptions!$B$39*Assumptions!$B$21/D683-Assumptions!$B$39</f>
        <v/>
      </c>
      <c r="G683">
        <f>MAX(0,Assumptions!$B$51*(Assumptions!$B$29+E683+F683+G682+H682+I682+Assumptions!$B$4/B683)-Assumptions!$B$30)</f>
        <v/>
      </c>
      <c r="H683">
        <f>Assumptions!$B$23/MIN(Assumptions!$B$24/(Assumptions!$B$29+E683+F683+G683+I682),B683*(1-Assumptions!$B$25))</f>
        <v/>
      </c>
      <c r="I683">
        <f>Assumptions!$B$26/MIN(Assumptions!$B$27/(Assumptions!$B$29+E683+F683+G683+H683),B683*(1-Assumptions!$B$28))</f>
        <v/>
      </c>
      <c r="J683">
        <f>Assumptions!$B$29+E683+F683+G683+H683+I683</f>
        <v/>
      </c>
      <c r="K683">
        <f>J683+Assumptions!$B$4/B683</f>
        <v/>
      </c>
      <c r="L683">
        <f>B683</f>
        <v/>
      </c>
    </row>
    <row r="684">
      <c r="A684" t="inlineStr">
        <is>
          <t>cell(1,2) iter 49</t>
        </is>
      </c>
      <c r="B684">
        <f>Assumptions!$B$55/J683</f>
        <v/>
      </c>
      <c r="C684">
        <f>IF(B684&lt;Assumptions!$B$20,Assumptions!$B$20*(Assumptions!$B$29+Assumptions!$B$4/Assumptions!$B$20)/(Assumptions!$B$29+Assumptions!$B$4/B684),Assumptions!$B$20)</f>
        <v/>
      </c>
      <c r="D684">
        <f>IF(B684&lt;Assumptions!$B$21,Assumptions!$B$21*(Assumptions!$B$29+Assumptions!$B$4/Assumptions!$B$21)/(Assumptions!$B$29+Assumptions!$B$4/B684),Assumptions!$B$21)</f>
        <v/>
      </c>
      <c r="E684">
        <f>Assumptions!$B$37*Assumptions!$B$22/C684-Assumptions!$B$38</f>
        <v/>
      </c>
      <c r="F684">
        <f>Assumptions!$B$39*Assumptions!$B$21/D684-Assumptions!$B$39</f>
        <v/>
      </c>
      <c r="G684">
        <f>MAX(0,Assumptions!$B$51*(Assumptions!$B$29+E684+F684+G683+H683+I683+Assumptions!$B$4/B684)-Assumptions!$B$30)</f>
        <v/>
      </c>
      <c r="H684">
        <f>Assumptions!$B$23/MIN(Assumptions!$B$24/(Assumptions!$B$29+E684+F684+G684+I683),B684*(1-Assumptions!$B$25))</f>
        <v/>
      </c>
      <c r="I684">
        <f>Assumptions!$B$26/MIN(Assumptions!$B$27/(Assumptions!$B$29+E684+F684+G684+H684),B684*(1-Assumptions!$B$28))</f>
        <v/>
      </c>
      <c r="J684">
        <f>Assumptions!$B$29+E684+F684+G684+H684+I684</f>
        <v/>
      </c>
      <c r="K684">
        <f>J684+Assumptions!$B$4/B684</f>
        <v/>
      </c>
      <c r="L684">
        <f>B684</f>
        <v/>
      </c>
    </row>
    <row r="685">
      <c r="A685" t="inlineStr">
        <is>
          <t>cell(1,2) iter 50</t>
        </is>
      </c>
      <c r="B685">
        <f>Assumptions!$B$55/J684</f>
        <v/>
      </c>
      <c r="C685">
        <f>IF(B685&lt;Assumptions!$B$20,Assumptions!$B$20*(Assumptions!$B$29+Assumptions!$B$4/Assumptions!$B$20)/(Assumptions!$B$29+Assumptions!$B$4/B685),Assumptions!$B$20)</f>
        <v/>
      </c>
      <c r="D685">
        <f>IF(B685&lt;Assumptions!$B$21,Assumptions!$B$21*(Assumptions!$B$29+Assumptions!$B$4/Assumptions!$B$21)/(Assumptions!$B$29+Assumptions!$B$4/B685),Assumptions!$B$21)</f>
        <v/>
      </c>
      <c r="E685">
        <f>Assumptions!$B$37*Assumptions!$B$22/C685-Assumptions!$B$38</f>
        <v/>
      </c>
      <c r="F685">
        <f>Assumptions!$B$39*Assumptions!$B$21/D685-Assumptions!$B$39</f>
        <v/>
      </c>
      <c r="G685">
        <f>MAX(0,Assumptions!$B$51*(Assumptions!$B$29+E685+F685+G684+H684+I684+Assumptions!$B$4/B685)-Assumptions!$B$30)</f>
        <v/>
      </c>
      <c r="H685">
        <f>Assumptions!$B$23/MIN(Assumptions!$B$24/(Assumptions!$B$29+E685+F685+G685+I684),B685*(1-Assumptions!$B$25))</f>
        <v/>
      </c>
      <c r="I685">
        <f>Assumptions!$B$26/MIN(Assumptions!$B$27/(Assumptions!$B$29+E685+F685+G685+H685),B685*(1-Assumptions!$B$28))</f>
        <v/>
      </c>
      <c r="J685">
        <f>Assumptions!$B$29+E685+F685+G685+H685+I685</f>
        <v/>
      </c>
      <c r="K685">
        <f>J685+Assumptions!$B$4/B685</f>
        <v/>
      </c>
      <c r="L685">
        <f>B685</f>
        <v/>
      </c>
    </row>
    <row r="686">
      <c r="A686" t="inlineStr">
        <is>
          <t>cell(1,2) iter 51</t>
        </is>
      </c>
      <c r="B686">
        <f>Assumptions!$B$55/J685</f>
        <v/>
      </c>
      <c r="C686">
        <f>IF(B686&lt;Assumptions!$B$20,Assumptions!$B$20*(Assumptions!$B$29+Assumptions!$B$4/Assumptions!$B$20)/(Assumptions!$B$29+Assumptions!$B$4/B686),Assumptions!$B$20)</f>
        <v/>
      </c>
      <c r="D686">
        <f>IF(B686&lt;Assumptions!$B$21,Assumptions!$B$21*(Assumptions!$B$29+Assumptions!$B$4/Assumptions!$B$21)/(Assumptions!$B$29+Assumptions!$B$4/B686),Assumptions!$B$21)</f>
        <v/>
      </c>
      <c r="E686">
        <f>Assumptions!$B$37*Assumptions!$B$22/C686-Assumptions!$B$38</f>
        <v/>
      </c>
      <c r="F686">
        <f>Assumptions!$B$39*Assumptions!$B$21/D686-Assumptions!$B$39</f>
        <v/>
      </c>
      <c r="G686">
        <f>MAX(0,Assumptions!$B$51*(Assumptions!$B$29+E686+F686+G685+H685+I685+Assumptions!$B$4/B686)-Assumptions!$B$30)</f>
        <v/>
      </c>
      <c r="H686">
        <f>Assumptions!$B$23/MIN(Assumptions!$B$24/(Assumptions!$B$29+E686+F686+G686+I685),B686*(1-Assumptions!$B$25))</f>
        <v/>
      </c>
      <c r="I686">
        <f>Assumptions!$B$26/MIN(Assumptions!$B$27/(Assumptions!$B$29+E686+F686+G686+H686),B686*(1-Assumptions!$B$28))</f>
        <v/>
      </c>
      <c r="J686">
        <f>Assumptions!$B$29+E686+F686+G686+H686+I686</f>
        <v/>
      </c>
      <c r="K686">
        <f>J686+Assumptions!$B$4/B686</f>
        <v/>
      </c>
      <c r="L686">
        <f>B686</f>
        <v/>
      </c>
    </row>
    <row r="687">
      <c r="A687" t="inlineStr">
        <is>
          <t>cell(1,2) iter 52</t>
        </is>
      </c>
      <c r="B687">
        <f>Assumptions!$B$55/J686</f>
        <v/>
      </c>
      <c r="C687">
        <f>IF(B687&lt;Assumptions!$B$20,Assumptions!$B$20*(Assumptions!$B$29+Assumptions!$B$4/Assumptions!$B$20)/(Assumptions!$B$29+Assumptions!$B$4/B687),Assumptions!$B$20)</f>
        <v/>
      </c>
      <c r="D687">
        <f>IF(B687&lt;Assumptions!$B$21,Assumptions!$B$21*(Assumptions!$B$29+Assumptions!$B$4/Assumptions!$B$21)/(Assumptions!$B$29+Assumptions!$B$4/B687),Assumptions!$B$21)</f>
        <v/>
      </c>
      <c r="E687">
        <f>Assumptions!$B$37*Assumptions!$B$22/C687-Assumptions!$B$38</f>
        <v/>
      </c>
      <c r="F687">
        <f>Assumptions!$B$39*Assumptions!$B$21/D687-Assumptions!$B$39</f>
        <v/>
      </c>
      <c r="G687">
        <f>MAX(0,Assumptions!$B$51*(Assumptions!$B$29+E687+F687+G686+H686+I686+Assumptions!$B$4/B687)-Assumptions!$B$30)</f>
        <v/>
      </c>
      <c r="H687">
        <f>Assumptions!$B$23/MIN(Assumptions!$B$24/(Assumptions!$B$29+E687+F687+G687+I686),B687*(1-Assumptions!$B$25))</f>
        <v/>
      </c>
      <c r="I687">
        <f>Assumptions!$B$26/MIN(Assumptions!$B$27/(Assumptions!$B$29+E687+F687+G687+H687),B687*(1-Assumptions!$B$28))</f>
        <v/>
      </c>
      <c r="J687">
        <f>Assumptions!$B$29+E687+F687+G687+H687+I687</f>
        <v/>
      </c>
      <c r="K687">
        <f>J687+Assumptions!$B$4/B687</f>
        <v/>
      </c>
      <c r="L687">
        <f>B687</f>
        <v/>
      </c>
    </row>
    <row r="688">
      <c r="A688" t="inlineStr">
        <is>
          <t>cell(1,2) iter 53</t>
        </is>
      </c>
      <c r="B688">
        <f>Assumptions!$B$55/J687</f>
        <v/>
      </c>
      <c r="C688">
        <f>IF(B688&lt;Assumptions!$B$20,Assumptions!$B$20*(Assumptions!$B$29+Assumptions!$B$4/Assumptions!$B$20)/(Assumptions!$B$29+Assumptions!$B$4/B688),Assumptions!$B$20)</f>
        <v/>
      </c>
      <c r="D688">
        <f>IF(B688&lt;Assumptions!$B$21,Assumptions!$B$21*(Assumptions!$B$29+Assumptions!$B$4/Assumptions!$B$21)/(Assumptions!$B$29+Assumptions!$B$4/B688),Assumptions!$B$21)</f>
        <v/>
      </c>
      <c r="E688">
        <f>Assumptions!$B$37*Assumptions!$B$22/C688-Assumptions!$B$38</f>
        <v/>
      </c>
      <c r="F688">
        <f>Assumptions!$B$39*Assumptions!$B$21/D688-Assumptions!$B$39</f>
        <v/>
      </c>
      <c r="G688">
        <f>MAX(0,Assumptions!$B$51*(Assumptions!$B$29+E688+F688+G687+H687+I687+Assumptions!$B$4/B688)-Assumptions!$B$30)</f>
        <v/>
      </c>
      <c r="H688">
        <f>Assumptions!$B$23/MIN(Assumptions!$B$24/(Assumptions!$B$29+E688+F688+G688+I687),B688*(1-Assumptions!$B$25))</f>
        <v/>
      </c>
      <c r="I688">
        <f>Assumptions!$B$26/MIN(Assumptions!$B$27/(Assumptions!$B$29+E688+F688+G688+H688),B688*(1-Assumptions!$B$28))</f>
        <v/>
      </c>
      <c r="J688">
        <f>Assumptions!$B$29+E688+F688+G688+H688+I688</f>
        <v/>
      </c>
      <c r="K688">
        <f>J688+Assumptions!$B$4/B688</f>
        <v/>
      </c>
      <c r="L688">
        <f>B688</f>
        <v/>
      </c>
    </row>
    <row r="689">
      <c r="A689" t="inlineStr">
        <is>
          <t>cell(1,2) iter 54</t>
        </is>
      </c>
      <c r="B689">
        <f>Assumptions!$B$55/J688</f>
        <v/>
      </c>
      <c r="C689">
        <f>IF(B689&lt;Assumptions!$B$20,Assumptions!$B$20*(Assumptions!$B$29+Assumptions!$B$4/Assumptions!$B$20)/(Assumptions!$B$29+Assumptions!$B$4/B689),Assumptions!$B$20)</f>
        <v/>
      </c>
      <c r="D689">
        <f>IF(B689&lt;Assumptions!$B$21,Assumptions!$B$21*(Assumptions!$B$29+Assumptions!$B$4/Assumptions!$B$21)/(Assumptions!$B$29+Assumptions!$B$4/B689),Assumptions!$B$21)</f>
        <v/>
      </c>
      <c r="E689">
        <f>Assumptions!$B$37*Assumptions!$B$22/C689-Assumptions!$B$38</f>
        <v/>
      </c>
      <c r="F689">
        <f>Assumptions!$B$39*Assumptions!$B$21/D689-Assumptions!$B$39</f>
        <v/>
      </c>
      <c r="G689">
        <f>MAX(0,Assumptions!$B$51*(Assumptions!$B$29+E689+F689+G688+H688+I688+Assumptions!$B$4/B689)-Assumptions!$B$30)</f>
        <v/>
      </c>
      <c r="H689">
        <f>Assumptions!$B$23/MIN(Assumptions!$B$24/(Assumptions!$B$29+E689+F689+G689+I688),B689*(1-Assumptions!$B$25))</f>
        <v/>
      </c>
      <c r="I689">
        <f>Assumptions!$B$26/MIN(Assumptions!$B$27/(Assumptions!$B$29+E689+F689+G689+H689),B689*(1-Assumptions!$B$28))</f>
        <v/>
      </c>
      <c r="J689">
        <f>Assumptions!$B$29+E689+F689+G689+H689+I689</f>
        <v/>
      </c>
      <c r="K689">
        <f>J689+Assumptions!$B$4/B689</f>
        <v/>
      </c>
      <c r="L689">
        <f>B689</f>
        <v/>
      </c>
    </row>
    <row r="690">
      <c r="A690" t="inlineStr">
        <is>
          <t>cell(1,2) iter 55</t>
        </is>
      </c>
      <c r="B690">
        <f>Assumptions!$B$55/J689</f>
        <v/>
      </c>
      <c r="C690">
        <f>IF(B690&lt;Assumptions!$B$20,Assumptions!$B$20*(Assumptions!$B$29+Assumptions!$B$4/Assumptions!$B$20)/(Assumptions!$B$29+Assumptions!$B$4/B690),Assumptions!$B$20)</f>
        <v/>
      </c>
      <c r="D690">
        <f>IF(B690&lt;Assumptions!$B$21,Assumptions!$B$21*(Assumptions!$B$29+Assumptions!$B$4/Assumptions!$B$21)/(Assumptions!$B$29+Assumptions!$B$4/B690),Assumptions!$B$21)</f>
        <v/>
      </c>
      <c r="E690">
        <f>Assumptions!$B$37*Assumptions!$B$22/C690-Assumptions!$B$38</f>
        <v/>
      </c>
      <c r="F690">
        <f>Assumptions!$B$39*Assumptions!$B$21/D690-Assumptions!$B$39</f>
        <v/>
      </c>
      <c r="G690">
        <f>MAX(0,Assumptions!$B$51*(Assumptions!$B$29+E690+F690+G689+H689+I689+Assumptions!$B$4/B690)-Assumptions!$B$30)</f>
        <v/>
      </c>
      <c r="H690">
        <f>Assumptions!$B$23/MIN(Assumptions!$B$24/(Assumptions!$B$29+E690+F690+G690+I689),B690*(1-Assumptions!$B$25))</f>
        <v/>
      </c>
      <c r="I690">
        <f>Assumptions!$B$26/MIN(Assumptions!$B$27/(Assumptions!$B$29+E690+F690+G690+H690),B690*(1-Assumptions!$B$28))</f>
        <v/>
      </c>
      <c r="J690">
        <f>Assumptions!$B$29+E690+F690+G690+H690+I690</f>
        <v/>
      </c>
      <c r="K690">
        <f>J690+Assumptions!$B$4/B690</f>
        <v/>
      </c>
      <c r="L690">
        <f>B690</f>
        <v/>
      </c>
    </row>
    <row r="691">
      <c r="A691" t="inlineStr">
        <is>
          <t>cell(1,2) iter 56</t>
        </is>
      </c>
      <c r="B691">
        <f>Assumptions!$B$55/J690</f>
        <v/>
      </c>
      <c r="C691">
        <f>IF(B691&lt;Assumptions!$B$20,Assumptions!$B$20*(Assumptions!$B$29+Assumptions!$B$4/Assumptions!$B$20)/(Assumptions!$B$29+Assumptions!$B$4/B691),Assumptions!$B$20)</f>
        <v/>
      </c>
      <c r="D691">
        <f>IF(B691&lt;Assumptions!$B$21,Assumptions!$B$21*(Assumptions!$B$29+Assumptions!$B$4/Assumptions!$B$21)/(Assumptions!$B$29+Assumptions!$B$4/B691),Assumptions!$B$21)</f>
        <v/>
      </c>
      <c r="E691">
        <f>Assumptions!$B$37*Assumptions!$B$22/C691-Assumptions!$B$38</f>
        <v/>
      </c>
      <c r="F691">
        <f>Assumptions!$B$39*Assumptions!$B$21/D691-Assumptions!$B$39</f>
        <v/>
      </c>
      <c r="G691">
        <f>MAX(0,Assumptions!$B$51*(Assumptions!$B$29+E691+F691+G690+H690+I690+Assumptions!$B$4/B691)-Assumptions!$B$30)</f>
        <v/>
      </c>
      <c r="H691">
        <f>Assumptions!$B$23/MIN(Assumptions!$B$24/(Assumptions!$B$29+E691+F691+G691+I690),B691*(1-Assumptions!$B$25))</f>
        <v/>
      </c>
      <c r="I691">
        <f>Assumptions!$B$26/MIN(Assumptions!$B$27/(Assumptions!$B$29+E691+F691+G691+H691),B691*(1-Assumptions!$B$28))</f>
        <v/>
      </c>
      <c r="J691">
        <f>Assumptions!$B$29+E691+F691+G691+H691+I691</f>
        <v/>
      </c>
      <c r="K691">
        <f>J691+Assumptions!$B$4/B691</f>
        <v/>
      </c>
      <c r="L691">
        <f>B691</f>
        <v/>
      </c>
    </row>
    <row r="692">
      <c r="A692" t="inlineStr">
        <is>
          <t>cell(1,2) iter 57</t>
        </is>
      </c>
      <c r="B692">
        <f>Assumptions!$B$55/J691</f>
        <v/>
      </c>
      <c r="C692">
        <f>IF(B692&lt;Assumptions!$B$20,Assumptions!$B$20*(Assumptions!$B$29+Assumptions!$B$4/Assumptions!$B$20)/(Assumptions!$B$29+Assumptions!$B$4/B692),Assumptions!$B$20)</f>
        <v/>
      </c>
      <c r="D692">
        <f>IF(B692&lt;Assumptions!$B$21,Assumptions!$B$21*(Assumptions!$B$29+Assumptions!$B$4/Assumptions!$B$21)/(Assumptions!$B$29+Assumptions!$B$4/B692),Assumptions!$B$21)</f>
        <v/>
      </c>
      <c r="E692">
        <f>Assumptions!$B$37*Assumptions!$B$22/C692-Assumptions!$B$38</f>
        <v/>
      </c>
      <c r="F692">
        <f>Assumptions!$B$39*Assumptions!$B$21/D692-Assumptions!$B$39</f>
        <v/>
      </c>
      <c r="G692">
        <f>MAX(0,Assumptions!$B$51*(Assumptions!$B$29+E692+F692+G691+H691+I691+Assumptions!$B$4/B692)-Assumptions!$B$30)</f>
        <v/>
      </c>
      <c r="H692">
        <f>Assumptions!$B$23/MIN(Assumptions!$B$24/(Assumptions!$B$29+E692+F692+G692+I691),B692*(1-Assumptions!$B$25))</f>
        <v/>
      </c>
      <c r="I692">
        <f>Assumptions!$B$26/MIN(Assumptions!$B$27/(Assumptions!$B$29+E692+F692+G692+H692),B692*(1-Assumptions!$B$28))</f>
        <v/>
      </c>
      <c r="J692">
        <f>Assumptions!$B$29+E692+F692+G692+H692+I692</f>
        <v/>
      </c>
      <c r="K692">
        <f>J692+Assumptions!$B$4/B692</f>
        <v/>
      </c>
      <c r="L692">
        <f>B692</f>
        <v/>
      </c>
    </row>
    <row r="693">
      <c r="A693" t="inlineStr">
        <is>
          <t>cell(1,2) iter 58</t>
        </is>
      </c>
      <c r="B693">
        <f>Assumptions!$B$55/J692</f>
        <v/>
      </c>
      <c r="C693">
        <f>IF(B693&lt;Assumptions!$B$20,Assumptions!$B$20*(Assumptions!$B$29+Assumptions!$B$4/Assumptions!$B$20)/(Assumptions!$B$29+Assumptions!$B$4/B693),Assumptions!$B$20)</f>
        <v/>
      </c>
      <c r="D693">
        <f>IF(B693&lt;Assumptions!$B$21,Assumptions!$B$21*(Assumptions!$B$29+Assumptions!$B$4/Assumptions!$B$21)/(Assumptions!$B$29+Assumptions!$B$4/B693),Assumptions!$B$21)</f>
        <v/>
      </c>
      <c r="E693">
        <f>Assumptions!$B$37*Assumptions!$B$22/C693-Assumptions!$B$38</f>
        <v/>
      </c>
      <c r="F693">
        <f>Assumptions!$B$39*Assumptions!$B$21/D693-Assumptions!$B$39</f>
        <v/>
      </c>
      <c r="G693">
        <f>MAX(0,Assumptions!$B$51*(Assumptions!$B$29+E693+F693+G692+H692+I692+Assumptions!$B$4/B693)-Assumptions!$B$30)</f>
        <v/>
      </c>
      <c r="H693">
        <f>Assumptions!$B$23/MIN(Assumptions!$B$24/(Assumptions!$B$29+E693+F693+G693+I692),B693*(1-Assumptions!$B$25))</f>
        <v/>
      </c>
      <c r="I693">
        <f>Assumptions!$B$26/MIN(Assumptions!$B$27/(Assumptions!$B$29+E693+F693+G693+H693),B693*(1-Assumptions!$B$28))</f>
        <v/>
      </c>
      <c r="J693">
        <f>Assumptions!$B$29+E693+F693+G693+H693+I693</f>
        <v/>
      </c>
      <c r="K693">
        <f>J693+Assumptions!$B$4/B693</f>
        <v/>
      </c>
      <c r="L693">
        <f>B693</f>
        <v/>
      </c>
    </row>
    <row r="694">
      <c r="A694" t="inlineStr">
        <is>
          <t>cell(1,2) iter 59</t>
        </is>
      </c>
      <c r="B694">
        <f>Assumptions!$B$55/J693</f>
        <v/>
      </c>
      <c r="C694">
        <f>IF(B694&lt;Assumptions!$B$20,Assumptions!$B$20*(Assumptions!$B$29+Assumptions!$B$4/Assumptions!$B$20)/(Assumptions!$B$29+Assumptions!$B$4/B694),Assumptions!$B$20)</f>
        <v/>
      </c>
      <c r="D694">
        <f>IF(B694&lt;Assumptions!$B$21,Assumptions!$B$21*(Assumptions!$B$29+Assumptions!$B$4/Assumptions!$B$21)/(Assumptions!$B$29+Assumptions!$B$4/B694),Assumptions!$B$21)</f>
        <v/>
      </c>
      <c r="E694">
        <f>Assumptions!$B$37*Assumptions!$B$22/C694-Assumptions!$B$38</f>
        <v/>
      </c>
      <c r="F694">
        <f>Assumptions!$B$39*Assumptions!$B$21/D694-Assumptions!$B$39</f>
        <v/>
      </c>
      <c r="G694">
        <f>MAX(0,Assumptions!$B$51*(Assumptions!$B$29+E694+F694+G693+H693+I693+Assumptions!$B$4/B694)-Assumptions!$B$30)</f>
        <v/>
      </c>
      <c r="H694">
        <f>Assumptions!$B$23/MIN(Assumptions!$B$24/(Assumptions!$B$29+E694+F694+G694+I693),B694*(1-Assumptions!$B$25))</f>
        <v/>
      </c>
      <c r="I694">
        <f>Assumptions!$B$26/MIN(Assumptions!$B$27/(Assumptions!$B$29+E694+F694+G694+H694),B694*(1-Assumptions!$B$28))</f>
        <v/>
      </c>
      <c r="J694">
        <f>Assumptions!$B$29+E694+F694+G694+H694+I694</f>
        <v/>
      </c>
      <c r="K694">
        <f>J694+Assumptions!$B$4/B694</f>
        <v/>
      </c>
      <c r="L694">
        <f>B694</f>
        <v/>
      </c>
    </row>
    <row r="695">
      <c r="A695" t="inlineStr">
        <is>
          <t>cell(1,2) iter 60</t>
        </is>
      </c>
      <c r="B695">
        <f>Assumptions!$B$55/J694</f>
        <v/>
      </c>
      <c r="C695">
        <f>IF(B695&lt;Assumptions!$B$20,Assumptions!$B$20*(Assumptions!$B$29+Assumptions!$B$4/Assumptions!$B$20)/(Assumptions!$B$29+Assumptions!$B$4/B695),Assumptions!$B$20)</f>
        <v/>
      </c>
      <c r="D695">
        <f>IF(B695&lt;Assumptions!$B$21,Assumptions!$B$21*(Assumptions!$B$29+Assumptions!$B$4/Assumptions!$B$21)/(Assumptions!$B$29+Assumptions!$B$4/B695),Assumptions!$B$21)</f>
        <v/>
      </c>
      <c r="E695">
        <f>Assumptions!$B$37*Assumptions!$B$22/C695-Assumptions!$B$38</f>
        <v/>
      </c>
      <c r="F695">
        <f>Assumptions!$B$39*Assumptions!$B$21/D695-Assumptions!$B$39</f>
        <v/>
      </c>
      <c r="G695">
        <f>MAX(0,Assumptions!$B$51*(Assumptions!$B$29+E695+F695+G694+H694+I694+Assumptions!$B$4/B695)-Assumptions!$B$30)</f>
        <v/>
      </c>
      <c r="H695">
        <f>Assumptions!$B$23/MIN(Assumptions!$B$24/(Assumptions!$B$29+E695+F695+G695+I694),B695*(1-Assumptions!$B$25))</f>
        <v/>
      </c>
      <c r="I695">
        <f>Assumptions!$B$26/MIN(Assumptions!$B$27/(Assumptions!$B$29+E695+F695+G695+H695),B695*(1-Assumptions!$B$28))</f>
        <v/>
      </c>
      <c r="J695">
        <f>Assumptions!$B$29+E695+F695+G695+H695+I695</f>
        <v/>
      </c>
      <c r="K695">
        <f>J695+Assumptions!$B$4/B695</f>
        <v/>
      </c>
      <c r="L695">
        <f>B695</f>
        <v/>
      </c>
    </row>
    <row r="696">
      <c r="A696" t="inlineStr">
        <is>
          <t>cell(1,2) iter 61</t>
        </is>
      </c>
      <c r="B696">
        <f>Assumptions!$B$55/J695</f>
        <v/>
      </c>
      <c r="C696">
        <f>IF(B696&lt;Assumptions!$B$20,Assumptions!$B$20*(Assumptions!$B$29+Assumptions!$B$4/Assumptions!$B$20)/(Assumptions!$B$29+Assumptions!$B$4/B696),Assumptions!$B$20)</f>
        <v/>
      </c>
      <c r="D696">
        <f>IF(B696&lt;Assumptions!$B$21,Assumptions!$B$21*(Assumptions!$B$29+Assumptions!$B$4/Assumptions!$B$21)/(Assumptions!$B$29+Assumptions!$B$4/B696),Assumptions!$B$21)</f>
        <v/>
      </c>
      <c r="E696">
        <f>Assumptions!$B$37*Assumptions!$B$22/C696-Assumptions!$B$38</f>
        <v/>
      </c>
      <c r="F696">
        <f>Assumptions!$B$39*Assumptions!$B$21/D696-Assumptions!$B$39</f>
        <v/>
      </c>
      <c r="G696">
        <f>MAX(0,Assumptions!$B$51*(Assumptions!$B$29+E696+F696+G695+H695+I695+Assumptions!$B$4/B696)-Assumptions!$B$30)</f>
        <v/>
      </c>
      <c r="H696">
        <f>Assumptions!$B$23/MIN(Assumptions!$B$24/(Assumptions!$B$29+E696+F696+G696+I695),B696*(1-Assumptions!$B$25))</f>
        <v/>
      </c>
      <c r="I696">
        <f>Assumptions!$B$26/MIN(Assumptions!$B$27/(Assumptions!$B$29+E696+F696+G696+H696),B696*(1-Assumptions!$B$28))</f>
        <v/>
      </c>
      <c r="J696">
        <f>Assumptions!$B$29+E696+F696+G696+H696+I696</f>
        <v/>
      </c>
      <c r="K696">
        <f>J696+Assumptions!$B$4/B696</f>
        <v/>
      </c>
      <c r="L696">
        <f>B696</f>
        <v/>
      </c>
    </row>
    <row r="697">
      <c r="A697" t="inlineStr">
        <is>
          <t>cell(1,2) iter 62</t>
        </is>
      </c>
      <c r="B697">
        <f>Assumptions!$B$55/J696</f>
        <v/>
      </c>
      <c r="C697">
        <f>IF(B697&lt;Assumptions!$B$20,Assumptions!$B$20*(Assumptions!$B$29+Assumptions!$B$4/Assumptions!$B$20)/(Assumptions!$B$29+Assumptions!$B$4/B697),Assumptions!$B$20)</f>
        <v/>
      </c>
      <c r="D697">
        <f>IF(B697&lt;Assumptions!$B$21,Assumptions!$B$21*(Assumptions!$B$29+Assumptions!$B$4/Assumptions!$B$21)/(Assumptions!$B$29+Assumptions!$B$4/B697),Assumptions!$B$21)</f>
        <v/>
      </c>
      <c r="E697">
        <f>Assumptions!$B$37*Assumptions!$B$22/C697-Assumptions!$B$38</f>
        <v/>
      </c>
      <c r="F697">
        <f>Assumptions!$B$39*Assumptions!$B$21/D697-Assumptions!$B$39</f>
        <v/>
      </c>
      <c r="G697">
        <f>MAX(0,Assumptions!$B$51*(Assumptions!$B$29+E697+F697+G696+H696+I696+Assumptions!$B$4/B697)-Assumptions!$B$30)</f>
        <v/>
      </c>
      <c r="H697">
        <f>Assumptions!$B$23/MIN(Assumptions!$B$24/(Assumptions!$B$29+E697+F697+G697+I696),B697*(1-Assumptions!$B$25))</f>
        <v/>
      </c>
      <c r="I697">
        <f>Assumptions!$B$26/MIN(Assumptions!$B$27/(Assumptions!$B$29+E697+F697+G697+H697),B697*(1-Assumptions!$B$28))</f>
        <v/>
      </c>
      <c r="J697">
        <f>Assumptions!$B$29+E697+F697+G697+H697+I697</f>
        <v/>
      </c>
      <c r="K697">
        <f>J697+Assumptions!$B$4/B697</f>
        <v/>
      </c>
      <c r="L697">
        <f>B697</f>
        <v/>
      </c>
    </row>
    <row r="698">
      <c r="A698" t="inlineStr">
        <is>
          <t>cell(1,2) iter 63</t>
        </is>
      </c>
      <c r="B698">
        <f>Assumptions!$B$55/J697</f>
        <v/>
      </c>
      <c r="C698">
        <f>IF(B698&lt;Assumptions!$B$20,Assumptions!$B$20*(Assumptions!$B$29+Assumptions!$B$4/Assumptions!$B$20)/(Assumptions!$B$29+Assumptions!$B$4/B698),Assumptions!$B$20)</f>
        <v/>
      </c>
      <c r="D698">
        <f>IF(B698&lt;Assumptions!$B$21,Assumptions!$B$21*(Assumptions!$B$29+Assumptions!$B$4/Assumptions!$B$21)/(Assumptions!$B$29+Assumptions!$B$4/B698),Assumptions!$B$21)</f>
        <v/>
      </c>
      <c r="E698">
        <f>Assumptions!$B$37*Assumptions!$B$22/C698-Assumptions!$B$38</f>
        <v/>
      </c>
      <c r="F698">
        <f>Assumptions!$B$39*Assumptions!$B$21/D698-Assumptions!$B$39</f>
        <v/>
      </c>
      <c r="G698">
        <f>MAX(0,Assumptions!$B$51*(Assumptions!$B$29+E698+F698+G697+H697+I697+Assumptions!$B$4/B698)-Assumptions!$B$30)</f>
        <v/>
      </c>
      <c r="H698">
        <f>Assumptions!$B$23/MIN(Assumptions!$B$24/(Assumptions!$B$29+E698+F698+G698+I697),B698*(1-Assumptions!$B$25))</f>
        <v/>
      </c>
      <c r="I698">
        <f>Assumptions!$B$26/MIN(Assumptions!$B$27/(Assumptions!$B$29+E698+F698+G698+H698),B698*(1-Assumptions!$B$28))</f>
        <v/>
      </c>
      <c r="J698">
        <f>Assumptions!$B$29+E698+F698+G698+H698+I698</f>
        <v/>
      </c>
      <c r="K698">
        <f>J698+Assumptions!$B$4/B698</f>
        <v/>
      </c>
      <c r="L698">
        <f>B698</f>
        <v/>
      </c>
    </row>
    <row r="699">
      <c r="A699" t="inlineStr">
        <is>
          <t>cell(1,2) iter 64</t>
        </is>
      </c>
      <c r="B699">
        <f>Assumptions!$B$55/J698</f>
        <v/>
      </c>
      <c r="C699">
        <f>IF(B699&lt;Assumptions!$B$20,Assumptions!$B$20*(Assumptions!$B$29+Assumptions!$B$4/Assumptions!$B$20)/(Assumptions!$B$29+Assumptions!$B$4/B699),Assumptions!$B$20)</f>
        <v/>
      </c>
      <c r="D699">
        <f>IF(B699&lt;Assumptions!$B$21,Assumptions!$B$21*(Assumptions!$B$29+Assumptions!$B$4/Assumptions!$B$21)/(Assumptions!$B$29+Assumptions!$B$4/B699),Assumptions!$B$21)</f>
        <v/>
      </c>
      <c r="E699">
        <f>Assumptions!$B$37*Assumptions!$B$22/C699-Assumptions!$B$38</f>
        <v/>
      </c>
      <c r="F699">
        <f>Assumptions!$B$39*Assumptions!$B$21/D699-Assumptions!$B$39</f>
        <v/>
      </c>
      <c r="G699">
        <f>MAX(0,Assumptions!$B$51*(Assumptions!$B$29+E699+F699+G698+H698+I698+Assumptions!$B$4/B699)-Assumptions!$B$30)</f>
        <v/>
      </c>
      <c r="H699">
        <f>Assumptions!$B$23/MIN(Assumptions!$B$24/(Assumptions!$B$29+E699+F699+G699+I698),B699*(1-Assumptions!$B$25))</f>
        <v/>
      </c>
      <c r="I699">
        <f>Assumptions!$B$26/MIN(Assumptions!$B$27/(Assumptions!$B$29+E699+F699+G699+H699),B699*(1-Assumptions!$B$28))</f>
        <v/>
      </c>
      <c r="J699">
        <f>Assumptions!$B$29+E699+F699+G699+H699+I699</f>
        <v/>
      </c>
      <c r="K699">
        <f>J699+Assumptions!$B$4/B699</f>
        <v/>
      </c>
      <c r="L699">
        <f>B699</f>
        <v/>
      </c>
    </row>
    <row r="700">
      <c r="A700" t="inlineStr">
        <is>
          <t>cell(1,2) iter 65</t>
        </is>
      </c>
      <c r="B700">
        <f>Assumptions!$B$55/J699</f>
        <v/>
      </c>
      <c r="C700">
        <f>IF(B700&lt;Assumptions!$B$20,Assumptions!$B$20*(Assumptions!$B$29+Assumptions!$B$4/Assumptions!$B$20)/(Assumptions!$B$29+Assumptions!$B$4/B700),Assumptions!$B$20)</f>
        <v/>
      </c>
      <c r="D700">
        <f>IF(B700&lt;Assumptions!$B$21,Assumptions!$B$21*(Assumptions!$B$29+Assumptions!$B$4/Assumptions!$B$21)/(Assumptions!$B$29+Assumptions!$B$4/B700),Assumptions!$B$21)</f>
        <v/>
      </c>
      <c r="E700">
        <f>Assumptions!$B$37*Assumptions!$B$22/C700-Assumptions!$B$38</f>
        <v/>
      </c>
      <c r="F700">
        <f>Assumptions!$B$39*Assumptions!$B$21/D700-Assumptions!$B$39</f>
        <v/>
      </c>
      <c r="G700">
        <f>MAX(0,Assumptions!$B$51*(Assumptions!$B$29+E700+F700+G699+H699+I699+Assumptions!$B$4/B700)-Assumptions!$B$30)</f>
        <v/>
      </c>
      <c r="H700">
        <f>Assumptions!$B$23/MIN(Assumptions!$B$24/(Assumptions!$B$29+E700+F700+G700+I699),B700*(1-Assumptions!$B$25))</f>
        <v/>
      </c>
      <c r="I700">
        <f>Assumptions!$B$26/MIN(Assumptions!$B$27/(Assumptions!$B$29+E700+F700+G700+H700),B700*(1-Assumptions!$B$28))</f>
        <v/>
      </c>
      <c r="J700">
        <f>Assumptions!$B$29+E700+F700+G700+H700+I700</f>
        <v/>
      </c>
      <c r="K700">
        <f>J700+Assumptions!$B$4/B700</f>
        <v/>
      </c>
      <c r="L700">
        <f>B700</f>
        <v/>
      </c>
    </row>
    <row r="701">
      <c r="A701" t="inlineStr">
        <is>
          <t>cell(1,2) iter 66</t>
        </is>
      </c>
      <c r="B701">
        <f>Assumptions!$B$55/J700</f>
        <v/>
      </c>
      <c r="C701">
        <f>IF(B701&lt;Assumptions!$B$20,Assumptions!$B$20*(Assumptions!$B$29+Assumptions!$B$4/Assumptions!$B$20)/(Assumptions!$B$29+Assumptions!$B$4/B701),Assumptions!$B$20)</f>
        <v/>
      </c>
      <c r="D701">
        <f>IF(B701&lt;Assumptions!$B$21,Assumptions!$B$21*(Assumptions!$B$29+Assumptions!$B$4/Assumptions!$B$21)/(Assumptions!$B$29+Assumptions!$B$4/B701),Assumptions!$B$21)</f>
        <v/>
      </c>
      <c r="E701">
        <f>Assumptions!$B$37*Assumptions!$B$22/C701-Assumptions!$B$38</f>
        <v/>
      </c>
      <c r="F701">
        <f>Assumptions!$B$39*Assumptions!$B$21/D701-Assumptions!$B$39</f>
        <v/>
      </c>
      <c r="G701">
        <f>MAX(0,Assumptions!$B$51*(Assumptions!$B$29+E701+F701+G700+H700+I700+Assumptions!$B$4/B701)-Assumptions!$B$30)</f>
        <v/>
      </c>
      <c r="H701">
        <f>Assumptions!$B$23/MIN(Assumptions!$B$24/(Assumptions!$B$29+E701+F701+G701+I700),B701*(1-Assumptions!$B$25))</f>
        <v/>
      </c>
      <c r="I701">
        <f>Assumptions!$B$26/MIN(Assumptions!$B$27/(Assumptions!$B$29+E701+F701+G701+H701),B701*(1-Assumptions!$B$28))</f>
        <v/>
      </c>
      <c r="J701">
        <f>Assumptions!$B$29+E701+F701+G701+H701+I701</f>
        <v/>
      </c>
      <c r="K701">
        <f>J701+Assumptions!$B$4/B701</f>
        <v/>
      </c>
      <c r="L701">
        <f>B701</f>
        <v/>
      </c>
    </row>
    <row r="702">
      <c r="A702" t="inlineStr">
        <is>
          <t>cell(1,2) iter 67</t>
        </is>
      </c>
      <c r="B702">
        <f>Assumptions!$B$55/J701</f>
        <v/>
      </c>
      <c r="C702">
        <f>IF(B702&lt;Assumptions!$B$20,Assumptions!$B$20*(Assumptions!$B$29+Assumptions!$B$4/Assumptions!$B$20)/(Assumptions!$B$29+Assumptions!$B$4/B702),Assumptions!$B$20)</f>
        <v/>
      </c>
      <c r="D702">
        <f>IF(B702&lt;Assumptions!$B$21,Assumptions!$B$21*(Assumptions!$B$29+Assumptions!$B$4/Assumptions!$B$21)/(Assumptions!$B$29+Assumptions!$B$4/B702),Assumptions!$B$21)</f>
        <v/>
      </c>
      <c r="E702">
        <f>Assumptions!$B$37*Assumptions!$B$22/C702-Assumptions!$B$38</f>
        <v/>
      </c>
      <c r="F702">
        <f>Assumptions!$B$39*Assumptions!$B$21/D702-Assumptions!$B$39</f>
        <v/>
      </c>
      <c r="G702">
        <f>MAX(0,Assumptions!$B$51*(Assumptions!$B$29+E702+F702+G701+H701+I701+Assumptions!$B$4/B702)-Assumptions!$B$30)</f>
        <v/>
      </c>
      <c r="H702">
        <f>Assumptions!$B$23/MIN(Assumptions!$B$24/(Assumptions!$B$29+E702+F702+G702+I701),B702*(1-Assumptions!$B$25))</f>
        <v/>
      </c>
      <c r="I702">
        <f>Assumptions!$B$26/MIN(Assumptions!$B$27/(Assumptions!$B$29+E702+F702+G702+H702),B702*(1-Assumptions!$B$28))</f>
        <v/>
      </c>
      <c r="J702">
        <f>Assumptions!$B$29+E702+F702+G702+H702+I702</f>
        <v/>
      </c>
      <c r="K702">
        <f>J702+Assumptions!$B$4/B702</f>
        <v/>
      </c>
      <c r="L702">
        <f>B702</f>
        <v/>
      </c>
    </row>
    <row r="703">
      <c r="A703" t="inlineStr">
        <is>
          <t>cell(1,2) iter 68</t>
        </is>
      </c>
      <c r="B703">
        <f>Assumptions!$B$55/J702</f>
        <v/>
      </c>
      <c r="C703">
        <f>IF(B703&lt;Assumptions!$B$20,Assumptions!$B$20*(Assumptions!$B$29+Assumptions!$B$4/Assumptions!$B$20)/(Assumptions!$B$29+Assumptions!$B$4/B703),Assumptions!$B$20)</f>
        <v/>
      </c>
      <c r="D703">
        <f>IF(B703&lt;Assumptions!$B$21,Assumptions!$B$21*(Assumptions!$B$29+Assumptions!$B$4/Assumptions!$B$21)/(Assumptions!$B$29+Assumptions!$B$4/B703),Assumptions!$B$21)</f>
        <v/>
      </c>
      <c r="E703">
        <f>Assumptions!$B$37*Assumptions!$B$22/C703-Assumptions!$B$38</f>
        <v/>
      </c>
      <c r="F703">
        <f>Assumptions!$B$39*Assumptions!$B$21/D703-Assumptions!$B$39</f>
        <v/>
      </c>
      <c r="G703">
        <f>MAX(0,Assumptions!$B$51*(Assumptions!$B$29+E703+F703+G702+H702+I702+Assumptions!$B$4/B703)-Assumptions!$B$30)</f>
        <v/>
      </c>
      <c r="H703">
        <f>Assumptions!$B$23/MIN(Assumptions!$B$24/(Assumptions!$B$29+E703+F703+G703+I702),B703*(1-Assumptions!$B$25))</f>
        <v/>
      </c>
      <c r="I703">
        <f>Assumptions!$B$26/MIN(Assumptions!$B$27/(Assumptions!$B$29+E703+F703+G703+H703),B703*(1-Assumptions!$B$28))</f>
        <v/>
      </c>
      <c r="J703">
        <f>Assumptions!$B$29+E703+F703+G703+H703+I703</f>
        <v/>
      </c>
      <c r="K703">
        <f>J703+Assumptions!$B$4/B703</f>
        <v/>
      </c>
      <c r="L703">
        <f>B703</f>
        <v/>
      </c>
    </row>
    <row r="704">
      <c r="A704" t="inlineStr">
        <is>
          <t>cell(1,2) iter 69</t>
        </is>
      </c>
      <c r="B704">
        <f>Assumptions!$B$55/J703</f>
        <v/>
      </c>
      <c r="C704">
        <f>IF(B704&lt;Assumptions!$B$20,Assumptions!$B$20*(Assumptions!$B$29+Assumptions!$B$4/Assumptions!$B$20)/(Assumptions!$B$29+Assumptions!$B$4/B704),Assumptions!$B$20)</f>
        <v/>
      </c>
      <c r="D704">
        <f>IF(B704&lt;Assumptions!$B$21,Assumptions!$B$21*(Assumptions!$B$29+Assumptions!$B$4/Assumptions!$B$21)/(Assumptions!$B$29+Assumptions!$B$4/B704),Assumptions!$B$21)</f>
        <v/>
      </c>
      <c r="E704">
        <f>Assumptions!$B$37*Assumptions!$B$22/C704-Assumptions!$B$38</f>
        <v/>
      </c>
      <c r="F704">
        <f>Assumptions!$B$39*Assumptions!$B$21/D704-Assumptions!$B$39</f>
        <v/>
      </c>
      <c r="G704">
        <f>MAX(0,Assumptions!$B$51*(Assumptions!$B$29+E704+F704+G703+H703+I703+Assumptions!$B$4/B704)-Assumptions!$B$30)</f>
        <v/>
      </c>
      <c r="H704">
        <f>Assumptions!$B$23/MIN(Assumptions!$B$24/(Assumptions!$B$29+E704+F704+G704+I703),B704*(1-Assumptions!$B$25))</f>
        <v/>
      </c>
      <c r="I704">
        <f>Assumptions!$B$26/MIN(Assumptions!$B$27/(Assumptions!$B$29+E704+F704+G704+H704),B704*(1-Assumptions!$B$28))</f>
        <v/>
      </c>
      <c r="J704">
        <f>Assumptions!$B$29+E704+F704+G704+H704+I704</f>
        <v/>
      </c>
      <c r="K704">
        <f>J704+Assumptions!$B$4/B704</f>
        <v/>
      </c>
      <c r="L704">
        <f>B704</f>
        <v/>
      </c>
    </row>
    <row r="705">
      <c r="A705" t="inlineStr">
        <is>
          <t>cell(1,2) iter 70</t>
        </is>
      </c>
      <c r="B705">
        <f>Assumptions!$B$55/J704</f>
        <v/>
      </c>
      <c r="C705">
        <f>IF(B705&lt;Assumptions!$B$20,Assumptions!$B$20*(Assumptions!$B$29+Assumptions!$B$4/Assumptions!$B$20)/(Assumptions!$B$29+Assumptions!$B$4/B705),Assumptions!$B$20)</f>
        <v/>
      </c>
      <c r="D705">
        <f>IF(B705&lt;Assumptions!$B$21,Assumptions!$B$21*(Assumptions!$B$29+Assumptions!$B$4/Assumptions!$B$21)/(Assumptions!$B$29+Assumptions!$B$4/B705),Assumptions!$B$21)</f>
        <v/>
      </c>
      <c r="E705">
        <f>Assumptions!$B$37*Assumptions!$B$22/C705-Assumptions!$B$38</f>
        <v/>
      </c>
      <c r="F705">
        <f>Assumptions!$B$39*Assumptions!$B$21/D705-Assumptions!$B$39</f>
        <v/>
      </c>
      <c r="G705">
        <f>MAX(0,Assumptions!$B$51*(Assumptions!$B$29+E705+F705+G704+H704+I704+Assumptions!$B$4/B705)-Assumptions!$B$30)</f>
        <v/>
      </c>
      <c r="H705">
        <f>Assumptions!$B$23/MIN(Assumptions!$B$24/(Assumptions!$B$29+E705+F705+G705+I704),B705*(1-Assumptions!$B$25))</f>
        <v/>
      </c>
      <c r="I705">
        <f>Assumptions!$B$26/MIN(Assumptions!$B$27/(Assumptions!$B$29+E705+F705+G705+H705),B705*(1-Assumptions!$B$28))</f>
        <v/>
      </c>
      <c r="J705">
        <f>Assumptions!$B$29+E705+F705+G705+H705+I705</f>
        <v/>
      </c>
      <c r="K705">
        <f>J705+Assumptions!$B$4/B705</f>
        <v/>
      </c>
      <c r="L705">
        <f>B705</f>
        <v/>
      </c>
    </row>
    <row r="706">
      <c r="A706" t="inlineStr">
        <is>
          <t>cell(1,2) iter 71</t>
        </is>
      </c>
      <c r="B706">
        <f>Assumptions!$B$55/J705</f>
        <v/>
      </c>
      <c r="C706">
        <f>IF(B706&lt;Assumptions!$B$20,Assumptions!$B$20*(Assumptions!$B$29+Assumptions!$B$4/Assumptions!$B$20)/(Assumptions!$B$29+Assumptions!$B$4/B706),Assumptions!$B$20)</f>
        <v/>
      </c>
      <c r="D706">
        <f>IF(B706&lt;Assumptions!$B$21,Assumptions!$B$21*(Assumptions!$B$29+Assumptions!$B$4/Assumptions!$B$21)/(Assumptions!$B$29+Assumptions!$B$4/B706),Assumptions!$B$21)</f>
        <v/>
      </c>
      <c r="E706">
        <f>Assumptions!$B$37*Assumptions!$B$22/C706-Assumptions!$B$38</f>
        <v/>
      </c>
      <c r="F706">
        <f>Assumptions!$B$39*Assumptions!$B$21/D706-Assumptions!$B$39</f>
        <v/>
      </c>
      <c r="G706">
        <f>MAX(0,Assumptions!$B$51*(Assumptions!$B$29+E706+F706+G705+H705+I705+Assumptions!$B$4/B706)-Assumptions!$B$30)</f>
        <v/>
      </c>
      <c r="H706">
        <f>Assumptions!$B$23/MIN(Assumptions!$B$24/(Assumptions!$B$29+E706+F706+G706+I705),B706*(1-Assumptions!$B$25))</f>
        <v/>
      </c>
      <c r="I706">
        <f>Assumptions!$B$26/MIN(Assumptions!$B$27/(Assumptions!$B$29+E706+F706+G706+H706),B706*(1-Assumptions!$B$28))</f>
        <v/>
      </c>
      <c r="J706">
        <f>Assumptions!$B$29+E706+F706+G706+H706+I706</f>
        <v/>
      </c>
      <c r="K706">
        <f>J706+Assumptions!$B$4/B706</f>
        <v/>
      </c>
      <c r="L706">
        <f>B706</f>
        <v/>
      </c>
    </row>
    <row r="707">
      <c r="A707" t="inlineStr">
        <is>
          <t>cell(1,2) iter 72</t>
        </is>
      </c>
      <c r="B707">
        <f>Assumptions!$B$55/J706</f>
        <v/>
      </c>
      <c r="C707">
        <f>IF(B707&lt;Assumptions!$B$20,Assumptions!$B$20*(Assumptions!$B$29+Assumptions!$B$4/Assumptions!$B$20)/(Assumptions!$B$29+Assumptions!$B$4/B707),Assumptions!$B$20)</f>
        <v/>
      </c>
      <c r="D707">
        <f>IF(B707&lt;Assumptions!$B$21,Assumptions!$B$21*(Assumptions!$B$29+Assumptions!$B$4/Assumptions!$B$21)/(Assumptions!$B$29+Assumptions!$B$4/B707),Assumptions!$B$21)</f>
        <v/>
      </c>
      <c r="E707">
        <f>Assumptions!$B$37*Assumptions!$B$22/C707-Assumptions!$B$38</f>
        <v/>
      </c>
      <c r="F707">
        <f>Assumptions!$B$39*Assumptions!$B$21/D707-Assumptions!$B$39</f>
        <v/>
      </c>
      <c r="G707">
        <f>MAX(0,Assumptions!$B$51*(Assumptions!$B$29+E707+F707+G706+H706+I706+Assumptions!$B$4/B707)-Assumptions!$B$30)</f>
        <v/>
      </c>
      <c r="H707">
        <f>Assumptions!$B$23/MIN(Assumptions!$B$24/(Assumptions!$B$29+E707+F707+G707+I706),B707*(1-Assumptions!$B$25))</f>
        <v/>
      </c>
      <c r="I707">
        <f>Assumptions!$B$26/MIN(Assumptions!$B$27/(Assumptions!$B$29+E707+F707+G707+H707),B707*(1-Assumptions!$B$28))</f>
        <v/>
      </c>
      <c r="J707">
        <f>Assumptions!$B$29+E707+F707+G707+H707+I707</f>
        <v/>
      </c>
      <c r="K707">
        <f>J707+Assumptions!$B$4/B707</f>
        <v/>
      </c>
      <c r="L707">
        <f>B707</f>
        <v/>
      </c>
    </row>
    <row r="708">
      <c r="A708" t="inlineStr">
        <is>
          <t>cell(1,2) iter 73</t>
        </is>
      </c>
      <c r="B708">
        <f>Assumptions!$B$55/J707</f>
        <v/>
      </c>
      <c r="C708">
        <f>IF(B708&lt;Assumptions!$B$20,Assumptions!$B$20*(Assumptions!$B$29+Assumptions!$B$4/Assumptions!$B$20)/(Assumptions!$B$29+Assumptions!$B$4/B708),Assumptions!$B$20)</f>
        <v/>
      </c>
      <c r="D708">
        <f>IF(B708&lt;Assumptions!$B$21,Assumptions!$B$21*(Assumptions!$B$29+Assumptions!$B$4/Assumptions!$B$21)/(Assumptions!$B$29+Assumptions!$B$4/B708),Assumptions!$B$21)</f>
        <v/>
      </c>
      <c r="E708">
        <f>Assumptions!$B$37*Assumptions!$B$22/C708-Assumptions!$B$38</f>
        <v/>
      </c>
      <c r="F708">
        <f>Assumptions!$B$39*Assumptions!$B$21/D708-Assumptions!$B$39</f>
        <v/>
      </c>
      <c r="G708">
        <f>MAX(0,Assumptions!$B$51*(Assumptions!$B$29+E708+F708+G707+H707+I707+Assumptions!$B$4/B708)-Assumptions!$B$30)</f>
        <v/>
      </c>
      <c r="H708">
        <f>Assumptions!$B$23/MIN(Assumptions!$B$24/(Assumptions!$B$29+E708+F708+G708+I707),B708*(1-Assumptions!$B$25))</f>
        <v/>
      </c>
      <c r="I708">
        <f>Assumptions!$B$26/MIN(Assumptions!$B$27/(Assumptions!$B$29+E708+F708+G708+H708),B708*(1-Assumptions!$B$28))</f>
        <v/>
      </c>
      <c r="J708">
        <f>Assumptions!$B$29+E708+F708+G708+H708+I708</f>
        <v/>
      </c>
      <c r="K708">
        <f>J708+Assumptions!$B$4/B708</f>
        <v/>
      </c>
      <c r="L708">
        <f>B708</f>
        <v/>
      </c>
    </row>
    <row r="709">
      <c r="A709" t="inlineStr">
        <is>
          <t>cell(1,2) iter 74</t>
        </is>
      </c>
      <c r="B709">
        <f>Assumptions!$B$55/J708</f>
        <v/>
      </c>
      <c r="C709">
        <f>IF(B709&lt;Assumptions!$B$20,Assumptions!$B$20*(Assumptions!$B$29+Assumptions!$B$4/Assumptions!$B$20)/(Assumptions!$B$29+Assumptions!$B$4/B709),Assumptions!$B$20)</f>
        <v/>
      </c>
      <c r="D709">
        <f>IF(B709&lt;Assumptions!$B$21,Assumptions!$B$21*(Assumptions!$B$29+Assumptions!$B$4/Assumptions!$B$21)/(Assumptions!$B$29+Assumptions!$B$4/B709),Assumptions!$B$21)</f>
        <v/>
      </c>
      <c r="E709">
        <f>Assumptions!$B$37*Assumptions!$B$22/C709-Assumptions!$B$38</f>
        <v/>
      </c>
      <c r="F709">
        <f>Assumptions!$B$39*Assumptions!$B$21/D709-Assumptions!$B$39</f>
        <v/>
      </c>
      <c r="G709">
        <f>MAX(0,Assumptions!$B$51*(Assumptions!$B$29+E709+F709+G708+H708+I708+Assumptions!$B$4/B709)-Assumptions!$B$30)</f>
        <v/>
      </c>
      <c r="H709">
        <f>Assumptions!$B$23/MIN(Assumptions!$B$24/(Assumptions!$B$29+E709+F709+G709+I708),B709*(1-Assumptions!$B$25))</f>
        <v/>
      </c>
      <c r="I709">
        <f>Assumptions!$B$26/MIN(Assumptions!$B$27/(Assumptions!$B$29+E709+F709+G709+H709),B709*(1-Assumptions!$B$28))</f>
        <v/>
      </c>
      <c r="J709">
        <f>Assumptions!$B$29+E709+F709+G709+H709+I709</f>
        <v/>
      </c>
      <c r="K709">
        <f>J709+Assumptions!$B$4/B709</f>
        <v/>
      </c>
      <c r="L709">
        <f>B709</f>
        <v/>
      </c>
    </row>
    <row r="710">
      <c r="A710" t="inlineStr">
        <is>
          <t>cell(1,2) iter 75</t>
        </is>
      </c>
      <c r="B710">
        <f>Assumptions!$B$55/J709</f>
        <v/>
      </c>
      <c r="C710">
        <f>IF(B710&lt;Assumptions!$B$20,Assumptions!$B$20*(Assumptions!$B$29+Assumptions!$B$4/Assumptions!$B$20)/(Assumptions!$B$29+Assumptions!$B$4/B710),Assumptions!$B$20)</f>
        <v/>
      </c>
      <c r="D710">
        <f>IF(B710&lt;Assumptions!$B$21,Assumptions!$B$21*(Assumptions!$B$29+Assumptions!$B$4/Assumptions!$B$21)/(Assumptions!$B$29+Assumptions!$B$4/B710),Assumptions!$B$21)</f>
        <v/>
      </c>
      <c r="E710">
        <f>Assumptions!$B$37*Assumptions!$B$22/C710-Assumptions!$B$38</f>
        <v/>
      </c>
      <c r="F710">
        <f>Assumptions!$B$39*Assumptions!$B$21/D710-Assumptions!$B$39</f>
        <v/>
      </c>
      <c r="G710">
        <f>MAX(0,Assumptions!$B$51*(Assumptions!$B$29+E710+F710+G709+H709+I709+Assumptions!$B$4/B710)-Assumptions!$B$30)</f>
        <v/>
      </c>
      <c r="H710">
        <f>Assumptions!$B$23/MIN(Assumptions!$B$24/(Assumptions!$B$29+E710+F710+G710+I709),B710*(1-Assumptions!$B$25))</f>
        <v/>
      </c>
      <c r="I710">
        <f>Assumptions!$B$26/MIN(Assumptions!$B$27/(Assumptions!$B$29+E710+F710+G710+H710),B710*(1-Assumptions!$B$28))</f>
        <v/>
      </c>
      <c r="J710">
        <f>Assumptions!$B$29+E710+F710+G710+H710+I710</f>
        <v/>
      </c>
      <c r="K710">
        <f>J710+Assumptions!$B$4/B710</f>
        <v/>
      </c>
      <c r="L710">
        <f>B710</f>
        <v/>
      </c>
    </row>
    <row r="711">
      <c r="A711" t="inlineStr">
        <is>
          <t>cell(1,2) iter 76</t>
        </is>
      </c>
      <c r="B711">
        <f>Assumptions!$B$55/J710</f>
        <v/>
      </c>
      <c r="C711">
        <f>IF(B711&lt;Assumptions!$B$20,Assumptions!$B$20*(Assumptions!$B$29+Assumptions!$B$4/Assumptions!$B$20)/(Assumptions!$B$29+Assumptions!$B$4/B711),Assumptions!$B$20)</f>
        <v/>
      </c>
      <c r="D711">
        <f>IF(B711&lt;Assumptions!$B$21,Assumptions!$B$21*(Assumptions!$B$29+Assumptions!$B$4/Assumptions!$B$21)/(Assumptions!$B$29+Assumptions!$B$4/B711),Assumptions!$B$21)</f>
        <v/>
      </c>
      <c r="E711">
        <f>Assumptions!$B$37*Assumptions!$B$22/C711-Assumptions!$B$38</f>
        <v/>
      </c>
      <c r="F711">
        <f>Assumptions!$B$39*Assumptions!$B$21/D711-Assumptions!$B$39</f>
        <v/>
      </c>
      <c r="G711">
        <f>MAX(0,Assumptions!$B$51*(Assumptions!$B$29+E711+F711+G710+H710+I710+Assumptions!$B$4/B711)-Assumptions!$B$30)</f>
        <v/>
      </c>
      <c r="H711">
        <f>Assumptions!$B$23/MIN(Assumptions!$B$24/(Assumptions!$B$29+E711+F711+G711+I710),B711*(1-Assumptions!$B$25))</f>
        <v/>
      </c>
      <c r="I711">
        <f>Assumptions!$B$26/MIN(Assumptions!$B$27/(Assumptions!$B$29+E711+F711+G711+H711),B711*(1-Assumptions!$B$28))</f>
        <v/>
      </c>
      <c r="J711">
        <f>Assumptions!$B$29+E711+F711+G711+H711+I711</f>
        <v/>
      </c>
      <c r="K711">
        <f>J711+Assumptions!$B$4/B711</f>
        <v/>
      </c>
      <c r="L711">
        <f>B711</f>
        <v/>
      </c>
    </row>
    <row r="712">
      <c r="A712" t="inlineStr">
        <is>
          <t>cell(1,2) iter 77</t>
        </is>
      </c>
      <c r="B712">
        <f>Assumptions!$B$55/J711</f>
        <v/>
      </c>
      <c r="C712">
        <f>IF(B712&lt;Assumptions!$B$20,Assumptions!$B$20*(Assumptions!$B$29+Assumptions!$B$4/Assumptions!$B$20)/(Assumptions!$B$29+Assumptions!$B$4/B712),Assumptions!$B$20)</f>
        <v/>
      </c>
      <c r="D712">
        <f>IF(B712&lt;Assumptions!$B$21,Assumptions!$B$21*(Assumptions!$B$29+Assumptions!$B$4/Assumptions!$B$21)/(Assumptions!$B$29+Assumptions!$B$4/B712),Assumptions!$B$21)</f>
        <v/>
      </c>
      <c r="E712">
        <f>Assumptions!$B$37*Assumptions!$B$22/C712-Assumptions!$B$38</f>
        <v/>
      </c>
      <c r="F712">
        <f>Assumptions!$B$39*Assumptions!$B$21/D712-Assumptions!$B$39</f>
        <v/>
      </c>
      <c r="G712">
        <f>MAX(0,Assumptions!$B$51*(Assumptions!$B$29+E712+F712+G711+H711+I711+Assumptions!$B$4/B712)-Assumptions!$B$30)</f>
        <v/>
      </c>
      <c r="H712">
        <f>Assumptions!$B$23/MIN(Assumptions!$B$24/(Assumptions!$B$29+E712+F712+G712+I711),B712*(1-Assumptions!$B$25))</f>
        <v/>
      </c>
      <c r="I712">
        <f>Assumptions!$B$26/MIN(Assumptions!$B$27/(Assumptions!$B$29+E712+F712+G712+H712),B712*(1-Assumptions!$B$28))</f>
        <v/>
      </c>
      <c r="J712">
        <f>Assumptions!$B$29+E712+F712+G712+H712+I712</f>
        <v/>
      </c>
      <c r="K712">
        <f>J712+Assumptions!$B$4/B712</f>
        <v/>
      </c>
      <c r="L712">
        <f>B712</f>
        <v/>
      </c>
    </row>
    <row r="713">
      <c r="A713" t="inlineStr">
        <is>
          <t>cell(1,2) iter 78</t>
        </is>
      </c>
      <c r="B713">
        <f>Assumptions!$B$55/J712</f>
        <v/>
      </c>
      <c r="C713">
        <f>IF(B713&lt;Assumptions!$B$20,Assumptions!$B$20*(Assumptions!$B$29+Assumptions!$B$4/Assumptions!$B$20)/(Assumptions!$B$29+Assumptions!$B$4/B713),Assumptions!$B$20)</f>
        <v/>
      </c>
      <c r="D713">
        <f>IF(B713&lt;Assumptions!$B$21,Assumptions!$B$21*(Assumptions!$B$29+Assumptions!$B$4/Assumptions!$B$21)/(Assumptions!$B$29+Assumptions!$B$4/B713),Assumptions!$B$21)</f>
        <v/>
      </c>
      <c r="E713">
        <f>Assumptions!$B$37*Assumptions!$B$22/C713-Assumptions!$B$38</f>
        <v/>
      </c>
      <c r="F713">
        <f>Assumptions!$B$39*Assumptions!$B$21/D713-Assumptions!$B$39</f>
        <v/>
      </c>
      <c r="G713">
        <f>MAX(0,Assumptions!$B$51*(Assumptions!$B$29+E713+F713+G712+H712+I712+Assumptions!$B$4/B713)-Assumptions!$B$30)</f>
        <v/>
      </c>
      <c r="H713">
        <f>Assumptions!$B$23/MIN(Assumptions!$B$24/(Assumptions!$B$29+E713+F713+G713+I712),B713*(1-Assumptions!$B$25))</f>
        <v/>
      </c>
      <c r="I713">
        <f>Assumptions!$B$26/MIN(Assumptions!$B$27/(Assumptions!$B$29+E713+F713+G713+H713),B713*(1-Assumptions!$B$28))</f>
        <v/>
      </c>
      <c r="J713">
        <f>Assumptions!$B$29+E713+F713+G713+H713+I713</f>
        <v/>
      </c>
      <c r="K713">
        <f>J713+Assumptions!$B$4/B713</f>
        <v/>
      </c>
      <c r="L713">
        <f>B713</f>
        <v/>
      </c>
    </row>
    <row r="714">
      <c r="A714" t="inlineStr">
        <is>
          <t>cell(1,2) iter 79</t>
        </is>
      </c>
      <c r="B714">
        <f>Assumptions!$B$55/J713</f>
        <v/>
      </c>
      <c r="C714">
        <f>IF(B714&lt;Assumptions!$B$20,Assumptions!$B$20*(Assumptions!$B$29+Assumptions!$B$4/Assumptions!$B$20)/(Assumptions!$B$29+Assumptions!$B$4/B714),Assumptions!$B$20)</f>
        <v/>
      </c>
      <c r="D714">
        <f>IF(B714&lt;Assumptions!$B$21,Assumptions!$B$21*(Assumptions!$B$29+Assumptions!$B$4/Assumptions!$B$21)/(Assumptions!$B$29+Assumptions!$B$4/B714),Assumptions!$B$21)</f>
        <v/>
      </c>
      <c r="E714">
        <f>Assumptions!$B$37*Assumptions!$B$22/C714-Assumptions!$B$38</f>
        <v/>
      </c>
      <c r="F714">
        <f>Assumptions!$B$39*Assumptions!$B$21/D714-Assumptions!$B$39</f>
        <v/>
      </c>
      <c r="G714">
        <f>MAX(0,Assumptions!$B$51*(Assumptions!$B$29+E714+F714+G713+H713+I713+Assumptions!$B$4/B714)-Assumptions!$B$30)</f>
        <v/>
      </c>
      <c r="H714">
        <f>Assumptions!$B$23/MIN(Assumptions!$B$24/(Assumptions!$B$29+E714+F714+G714+I713),B714*(1-Assumptions!$B$25))</f>
        <v/>
      </c>
      <c r="I714">
        <f>Assumptions!$B$26/MIN(Assumptions!$B$27/(Assumptions!$B$29+E714+F714+G714+H714),B714*(1-Assumptions!$B$28))</f>
        <v/>
      </c>
      <c r="J714">
        <f>Assumptions!$B$29+E714+F714+G714+H714+I714</f>
        <v/>
      </c>
      <c r="K714">
        <f>J714+Assumptions!$B$4/B714</f>
        <v/>
      </c>
      <c r="L714">
        <f>B714</f>
        <v/>
      </c>
    </row>
    <row r="715">
      <c r="A715" t="inlineStr">
        <is>
          <t>cell(1,2) iter 80</t>
        </is>
      </c>
      <c r="B715">
        <f>Assumptions!$B$55/J714</f>
        <v/>
      </c>
      <c r="C715">
        <f>IF(B715&lt;Assumptions!$B$20,Assumptions!$B$20*(Assumptions!$B$29+Assumptions!$B$4/Assumptions!$B$20)/(Assumptions!$B$29+Assumptions!$B$4/B715),Assumptions!$B$20)</f>
        <v/>
      </c>
      <c r="D715">
        <f>IF(B715&lt;Assumptions!$B$21,Assumptions!$B$21*(Assumptions!$B$29+Assumptions!$B$4/Assumptions!$B$21)/(Assumptions!$B$29+Assumptions!$B$4/B715),Assumptions!$B$21)</f>
        <v/>
      </c>
      <c r="E715">
        <f>Assumptions!$B$37*Assumptions!$B$22/C715-Assumptions!$B$38</f>
        <v/>
      </c>
      <c r="F715">
        <f>Assumptions!$B$39*Assumptions!$B$21/D715-Assumptions!$B$39</f>
        <v/>
      </c>
      <c r="G715">
        <f>MAX(0,Assumptions!$B$51*(Assumptions!$B$29+E715+F715+G714+H714+I714+Assumptions!$B$4/B715)-Assumptions!$B$30)</f>
        <v/>
      </c>
      <c r="H715">
        <f>Assumptions!$B$23/MIN(Assumptions!$B$24/(Assumptions!$B$29+E715+F715+G715+I714),B715*(1-Assumptions!$B$25))</f>
        <v/>
      </c>
      <c r="I715">
        <f>Assumptions!$B$26/MIN(Assumptions!$B$27/(Assumptions!$B$29+E715+F715+G715+H715),B715*(1-Assumptions!$B$28))</f>
        <v/>
      </c>
      <c r="J715">
        <f>Assumptions!$B$29+E715+F715+G715+H715+I715</f>
        <v/>
      </c>
      <c r="K715">
        <f>J715+Assumptions!$B$4/B715</f>
        <v/>
      </c>
      <c r="L715">
        <f>B715</f>
        <v/>
      </c>
    </row>
    <row r="718">
      <c r="A718" s="1" t="inlineStr">
        <is>
          <t>Waterfall ladder ($2B exit)</t>
        </is>
      </c>
    </row>
    <row r="719">
      <c r="A719" s="1" t="inlineStr">
        <is>
          <t>Step</t>
        </is>
      </c>
      <c r="B719" s="1" t="inlineStr">
        <is>
          <t>F_el</t>
        </is>
      </c>
      <c r="C719" s="1" t="inlineStr">
        <is>
          <t>E_el</t>
        </is>
      </c>
      <c r="D719" s="1" t="inlineStr">
        <is>
          <t>D_el</t>
        </is>
      </c>
      <c r="E719" s="1" t="inlineStr">
        <is>
          <t>C_el</t>
        </is>
      </c>
      <c r="F719" s="1" t="inlineStr">
        <is>
          <t>B_el</t>
        </is>
      </c>
      <c r="G719" s="1" t="inlineStr">
        <is>
          <t>A_el</t>
        </is>
      </c>
      <c r="H719" s="1" t="inlineStr">
        <is>
          <t>Seed_el</t>
        </is>
      </c>
      <c r="I719" s="1" t="inlineStr">
        <is>
          <t>prefs</t>
        </is>
      </c>
      <c r="J719" s="1" t="inlineStr">
        <is>
          <t>conv_sh</t>
        </is>
      </c>
      <c r="K719" s="1" t="inlineStr">
        <is>
          <t>cpool</t>
        </is>
      </c>
      <c r="L719" s="1" t="inlineStr">
        <is>
          <t>ITM_PPS</t>
        </is>
      </c>
      <c r="M719" s="1" t="inlineStr">
        <is>
          <t>ITM?</t>
        </is>
      </c>
      <c r="N719" s="1" t="inlineStr">
        <is>
          <t>common_PPS</t>
        </is>
      </c>
      <c r="O719" s="1" t="inlineStr">
        <is>
          <t>opt_proc</t>
        </is>
      </c>
    </row>
    <row r="720">
      <c r="A720" t="inlineStr">
        <is>
          <t>seed (all convert)</t>
        </is>
      </c>
      <c r="B720">
        <f>"convert"</f>
        <v/>
      </c>
      <c r="C720">
        <f>"convert"</f>
        <v/>
      </c>
      <c r="D720">
        <f>"convert"</f>
        <v/>
      </c>
      <c r="E720">
        <f>"convert"</f>
        <v/>
      </c>
      <c r="F720">
        <f>"convert"</f>
        <v/>
      </c>
      <c r="G720">
        <f>"convert"</f>
        <v/>
      </c>
      <c r="H720">
        <f>"convert"</f>
        <v/>
      </c>
      <c r="I720">
        <f>IF(B720="preference",Assumptions!$B$4,0)+IF(C720="preference",Assumptions!$B$45,0)+IF(D720="preference",Assumptions!$B$44,0)+IF(E720="preference",Assumptions!$B$43,0)+IF(F720="preference",Assumptions!$B$42,0)+IF(G720="preference",Assumptions!$B$41,0)+IF(H720="preference",Assumptions!$B$40,0)</f>
        <v/>
      </c>
      <c r="J720">
        <f>IF(B720="convert",(Assumptions!$B$4/B715),0)+IF(C720="convert",(Assumptions!$B$39+F715),0)+IF(D720="convert",(Assumptions!$B$38+E715),0)+IF(E720="convert",Assumptions!$B$36,0)+IF(F720="convert",Assumptions!$B$35,0)+IF(G720="convert",Assumptions!$B$34,0)+IF(H720="convert",Assumptions!$B$33,0)</f>
        <v/>
      </c>
      <c r="K720">
        <f>(Assumptions!$B$46+Assumptions!$B$47+Assumptions!$B$48)+Assumptions!$B$49+(H715+I715)+J720</f>
        <v/>
      </c>
      <c r="L720">
        <f>(Assumptions!$B$13-I720+Assumptions!$B$31*Assumptions!$B$10)/(K720+Assumptions!$B$31)</f>
        <v/>
      </c>
      <c r="M720">
        <f>IF(L720&gt;Assumptions!$B$10,"yes","no")</f>
        <v/>
      </c>
      <c r="N720">
        <f>IF(M720="yes",L720,MAX(0,(Assumptions!$B$13-I720)/K720))</f>
        <v/>
      </c>
      <c r="O720">
        <f>IF(M720="yes",Assumptions!$B$31*(N720-Assumptions!$B$10),0)</f>
        <v/>
      </c>
    </row>
    <row r="721">
      <c r="A721" t="inlineStr">
        <is>
          <t>iter 1</t>
        </is>
      </c>
      <c r="B721">
        <f>IF(Assumptions!$B$4&gt;(Assumptions!$B$4/B715)*N720,"preference","convert")</f>
        <v/>
      </c>
      <c r="C721">
        <f>IF(Assumptions!$B$45&gt;(Assumptions!$B$39+F715)*N720,"preference","convert")</f>
        <v/>
      </c>
      <c r="D721">
        <f>IF(Assumptions!$B$44&gt;(Assumptions!$B$38+E715)*N720,"preference","convert")</f>
        <v/>
      </c>
      <c r="E721">
        <f>IF(Assumptions!$B$43&gt;Assumptions!$B$36*N720,"preference","convert")</f>
        <v/>
      </c>
      <c r="F721">
        <f>IF(Assumptions!$B$42&gt;Assumptions!$B$35*N720,"preference","convert")</f>
        <v/>
      </c>
      <c r="G721">
        <f>IF(Assumptions!$B$41&gt;Assumptions!$B$34*N720,"preference","convert")</f>
        <v/>
      </c>
      <c r="H721">
        <f>IF(Assumptions!$B$40&gt;Assumptions!$B$33*N720,"preference","convert")</f>
        <v/>
      </c>
      <c r="I721">
        <f>IF(B721="preference",Assumptions!$B$4,0)+IF(C721="preference",Assumptions!$B$45,0)+IF(D721="preference",Assumptions!$B$44,0)+IF(E721="preference",Assumptions!$B$43,0)+IF(F721="preference",Assumptions!$B$42,0)+IF(G721="preference",Assumptions!$B$41,0)+IF(H721="preference",Assumptions!$B$40,0)</f>
        <v/>
      </c>
      <c r="J721">
        <f>IF(B721="convert",(Assumptions!$B$4/B715),0)+IF(C721="convert",(Assumptions!$B$39+F715),0)+IF(D721="convert",(Assumptions!$B$38+E715),0)+IF(E721="convert",Assumptions!$B$36,0)+IF(F721="convert",Assumptions!$B$35,0)+IF(G721="convert",Assumptions!$B$34,0)+IF(H721="convert",Assumptions!$B$33,0)</f>
        <v/>
      </c>
      <c r="K721">
        <f>(Assumptions!$B$46+Assumptions!$B$47+Assumptions!$B$48)+Assumptions!$B$49+(H715+I715)+J721</f>
        <v/>
      </c>
      <c r="L721">
        <f>(Assumptions!$B$13-I721+Assumptions!$B$31*Assumptions!$B$10)/(K721+Assumptions!$B$31)</f>
        <v/>
      </c>
      <c r="M721">
        <f>IF(L721&gt;Assumptions!$B$10,"yes","no")</f>
        <v/>
      </c>
      <c r="N721">
        <f>IF(M721="yes",L721,MAX(0,(Assumptions!$B$13-I721)/K721))</f>
        <v/>
      </c>
      <c r="O721">
        <f>IF(M721="yes",Assumptions!$B$31*(N721-Assumptions!$B$10),0)</f>
        <v/>
      </c>
    </row>
    <row r="722">
      <c r="A722" t="inlineStr">
        <is>
          <t>iter 2</t>
        </is>
      </c>
      <c r="B722">
        <f>IF(Assumptions!$B$4&gt;(Assumptions!$B$4/B715)*N721,"preference","convert")</f>
        <v/>
      </c>
      <c r="C722">
        <f>IF(Assumptions!$B$45&gt;(Assumptions!$B$39+F715)*N721,"preference","convert")</f>
        <v/>
      </c>
      <c r="D722">
        <f>IF(Assumptions!$B$44&gt;(Assumptions!$B$38+E715)*N721,"preference","convert")</f>
        <v/>
      </c>
      <c r="E722">
        <f>IF(Assumptions!$B$43&gt;Assumptions!$B$36*N721,"preference","convert")</f>
        <v/>
      </c>
      <c r="F722">
        <f>IF(Assumptions!$B$42&gt;Assumptions!$B$35*N721,"preference","convert")</f>
        <v/>
      </c>
      <c r="G722">
        <f>IF(Assumptions!$B$41&gt;Assumptions!$B$34*N721,"preference","convert")</f>
        <v/>
      </c>
      <c r="H722">
        <f>IF(Assumptions!$B$40&gt;Assumptions!$B$33*N721,"preference","convert")</f>
        <v/>
      </c>
      <c r="I722">
        <f>IF(B722="preference",Assumptions!$B$4,0)+IF(C722="preference",Assumptions!$B$45,0)+IF(D722="preference",Assumptions!$B$44,0)+IF(E722="preference",Assumptions!$B$43,0)+IF(F722="preference",Assumptions!$B$42,0)+IF(G722="preference",Assumptions!$B$41,0)+IF(H722="preference",Assumptions!$B$40,0)</f>
        <v/>
      </c>
      <c r="J722">
        <f>IF(B722="convert",(Assumptions!$B$4/B715),0)+IF(C722="convert",(Assumptions!$B$39+F715),0)+IF(D722="convert",(Assumptions!$B$38+E715),0)+IF(E722="convert",Assumptions!$B$36,0)+IF(F722="convert",Assumptions!$B$35,0)+IF(G722="convert",Assumptions!$B$34,0)+IF(H722="convert",Assumptions!$B$33,0)</f>
        <v/>
      </c>
      <c r="K722">
        <f>(Assumptions!$B$46+Assumptions!$B$47+Assumptions!$B$48)+Assumptions!$B$49+(H715+I715)+J722</f>
        <v/>
      </c>
      <c r="L722">
        <f>(Assumptions!$B$13-I722+Assumptions!$B$31*Assumptions!$B$10)/(K722+Assumptions!$B$31)</f>
        <v/>
      </c>
      <c r="M722">
        <f>IF(L722&gt;Assumptions!$B$10,"yes","no")</f>
        <v/>
      </c>
      <c r="N722">
        <f>IF(M722="yes",L722,MAX(0,(Assumptions!$B$13-I722)/K722))</f>
        <v/>
      </c>
      <c r="O722">
        <f>IF(M722="yes",Assumptions!$B$31*(N722-Assumptions!$B$10),0)</f>
        <v/>
      </c>
    </row>
    <row r="723">
      <c r="A723" t="inlineStr">
        <is>
          <t>iter 3</t>
        </is>
      </c>
      <c r="B723">
        <f>IF(Assumptions!$B$4&gt;(Assumptions!$B$4/B715)*N722,"preference","convert")</f>
        <v/>
      </c>
      <c r="C723">
        <f>IF(Assumptions!$B$45&gt;(Assumptions!$B$39+F715)*N722,"preference","convert")</f>
        <v/>
      </c>
      <c r="D723">
        <f>IF(Assumptions!$B$44&gt;(Assumptions!$B$38+E715)*N722,"preference","convert")</f>
        <v/>
      </c>
      <c r="E723">
        <f>IF(Assumptions!$B$43&gt;Assumptions!$B$36*N722,"preference","convert")</f>
        <v/>
      </c>
      <c r="F723">
        <f>IF(Assumptions!$B$42&gt;Assumptions!$B$35*N722,"preference","convert")</f>
        <v/>
      </c>
      <c r="G723">
        <f>IF(Assumptions!$B$41&gt;Assumptions!$B$34*N722,"preference","convert")</f>
        <v/>
      </c>
      <c r="H723">
        <f>IF(Assumptions!$B$40&gt;Assumptions!$B$33*N722,"preference","convert")</f>
        <v/>
      </c>
      <c r="I723">
        <f>IF(B723="preference",Assumptions!$B$4,0)+IF(C723="preference",Assumptions!$B$45,0)+IF(D723="preference",Assumptions!$B$44,0)+IF(E723="preference",Assumptions!$B$43,0)+IF(F723="preference",Assumptions!$B$42,0)+IF(G723="preference",Assumptions!$B$41,0)+IF(H723="preference",Assumptions!$B$40,0)</f>
        <v/>
      </c>
      <c r="J723">
        <f>IF(B723="convert",(Assumptions!$B$4/B715),0)+IF(C723="convert",(Assumptions!$B$39+F715),0)+IF(D723="convert",(Assumptions!$B$38+E715),0)+IF(E723="convert",Assumptions!$B$36,0)+IF(F723="convert",Assumptions!$B$35,0)+IF(G723="convert",Assumptions!$B$34,0)+IF(H723="convert",Assumptions!$B$33,0)</f>
        <v/>
      </c>
      <c r="K723">
        <f>(Assumptions!$B$46+Assumptions!$B$47+Assumptions!$B$48)+Assumptions!$B$49+(H715+I715)+J723</f>
        <v/>
      </c>
      <c r="L723">
        <f>(Assumptions!$B$13-I723+Assumptions!$B$31*Assumptions!$B$10)/(K723+Assumptions!$B$31)</f>
        <v/>
      </c>
      <c r="M723">
        <f>IF(L723&gt;Assumptions!$B$10,"yes","no")</f>
        <v/>
      </c>
      <c r="N723">
        <f>IF(M723="yes",L723,MAX(0,(Assumptions!$B$13-I723)/K723))</f>
        <v/>
      </c>
      <c r="O723">
        <f>IF(M723="yes",Assumptions!$B$31*(N723-Assumptions!$B$10),0)</f>
        <v/>
      </c>
    </row>
    <row r="724">
      <c r="A724" t="inlineStr">
        <is>
          <t>iter 4</t>
        </is>
      </c>
      <c r="B724">
        <f>IF(Assumptions!$B$4&gt;(Assumptions!$B$4/B715)*N723,"preference","convert")</f>
        <v/>
      </c>
      <c r="C724">
        <f>IF(Assumptions!$B$45&gt;(Assumptions!$B$39+F715)*N723,"preference","convert")</f>
        <v/>
      </c>
      <c r="D724">
        <f>IF(Assumptions!$B$44&gt;(Assumptions!$B$38+E715)*N723,"preference","convert")</f>
        <v/>
      </c>
      <c r="E724">
        <f>IF(Assumptions!$B$43&gt;Assumptions!$B$36*N723,"preference","convert")</f>
        <v/>
      </c>
      <c r="F724">
        <f>IF(Assumptions!$B$42&gt;Assumptions!$B$35*N723,"preference","convert")</f>
        <v/>
      </c>
      <c r="G724">
        <f>IF(Assumptions!$B$41&gt;Assumptions!$B$34*N723,"preference","convert")</f>
        <v/>
      </c>
      <c r="H724">
        <f>IF(Assumptions!$B$40&gt;Assumptions!$B$33*N723,"preference","convert")</f>
        <v/>
      </c>
      <c r="I724">
        <f>IF(B724="preference",Assumptions!$B$4,0)+IF(C724="preference",Assumptions!$B$45,0)+IF(D724="preference",Assumptions!$B$44,0)+IF(E724="preference",Assumptions!$B$43,0)+IF(F724="preference",Assumptions!$B$42,0)+IF(G724="preference",Assumptions!$B$41,0)+IF(H724="preference",Assumptions!$B$40,0)</f>
        <v/>
      </c>
      <c r="J724">
        <f>IF(B724="convert",(Assumptions!$B$4/B715),0)+IF(C724="convert",(Assumptions!$B$39+F715),0)+IF(D724="convert",(Assumptions!$B$38+E715),0)+IF(E724="convert",Assumptions!$B$36,0)+IF(F724="convert",Assumptions!$B$35,0)+IF(G724="convert",Assumptions!$B$34,0)+IF(H724="convert",Assumptions!$B$33,0)</f>
        <v/>
      </c>
      <c r="K724">
        <f>(Assumptions!$B$46+Assumptions!$B$47+Assumptions!$B$48)+Assumptions!$B$49+(H715+I715)+J724</f>
        <v/>
      </c>
      <c r="L724">
        <f>(Assumptions!$B$13-I724+Assumptions!$B$31*Assumptions!$B$10)/(K724+Assumptions!$B$31)</f>
        <v/>
      </c>
      <c r="M724">
        <f>IF(L724&gt;Assumptions!$B$10,"yes","no")</f>
        <v/>
      </c>
      <c r="N724">
        <f>IF(M724="yes",L724,MAX(0,(Assumptions!$B$13-I724)/K724))</f>
        <v/>
      </c>
      <c r="O724">
        <f>IF(M724="yes",Assumptions!$B$31*(N724-Assumptions!$B$10),0)</f>
        <v/>
      </c>
    </row>
    <row r="725">
      <c r="A725" t="inlineStr">
        <is>
          <t>iter 5</t>
        </is>
      </c>
      <c r="B725">
        <f>IF(Assumptions!$B$4&gt;(Assumptions!$B$4/B715)*N724,"preference","convert")</f>
        <v/>
      </c>
      <c r="C725">
        <f>IF(Assumptions!$B$45&gt;(Assumptions!$B$39+F715)*N724,"preference","convert")</f>
        <v/>
      </c>
      <c r="D725">
        <f>IF(Assumptions!$B$44&gt;(Assumptions!$B$38+E715)*N724,"preference","convert")</f>
        <v/>
      </c>
      <c r="E725">
        <f>IF(Assumptions!$B$43&gt;Assumptions!$B$36*N724,"preference","convert")</f>
        <v/>
      </c>
      <c r="F725">
        <f>IF(Assumptions!$B$42&gt;Assumptions!$B$35*N724,"preference","convert")</f>
        <v/>
      </c>
      <c r="G725">
        <f>IF(Assumptions!$B$41&gt;Assumptions!$B$34*N724,"preference","convert")</f>
        <v/>
      </c>
      <c r="H725">
        <f>IF(Assumptions!$B$40&gt;Assumptions!$B$33*N724,"preference","convert")</f>
        <v/>
      </c>
      <c r="I725">
        <f>IF(B725="preference",Assumptions!$B$4,0)+IF(C725="preference",Assumptions!$B$45,0)+IF(D725="preference",Assumptions!$B$44,0)+IF(E725="preference",Assumptions!$B$43,0)+IF(F725="preference",Assumptions!$B$42,0)+IF(G725="preference",Assumptions!$B$41,0)+IF(H725="preference",Assumptions!$B$40,0)</f>
        <v/>
      </c>
      <c r="J725">
        <f>IF(B725="convert",(Assumptions!$B$4/B715),0)+IF(C725="convert",(Assumptions!$B$39+F715),0)+IF(D725="convert",(Assumptions!$B$38+E715),0)+IF(E725="convert",Assumptions!$B$36,0)+IF(F725="convert",Assumptions!$B$35,0)+IF(G725="convert",Assumptions!$B$34,0)+IF(H725="convert",Assumptions!$B$33,0)</f>
        <v/>
      </c>
      <c r="K725">
        <f>(Assumptions!$B$46+Assumptions!$B$47+Assumptions!$B$48)+Assumptions!$B$49+(H715+I715)+J725</f>
        <v/>
      </c>
      <c r="L725">
        <f>(Assumptions!$B$13-I725+Assumptions!$B$31*Assumptions!$B$10)/(K725+Assumptions!$B$31)</f>
        <v/>
      </c>
      <c r="M725">
        <f>IF(L725&gt;Assumptions!$B$10,"yes","no")</f>
        <v/>
      </c>
      <c r="N725">
        <f>IF(M725="yes",L725,MAX(0,(Assumptions!$B$13-I725)/K725))</f>
        <v/>
      </c>
      <c r="O725">
        <f>IF(M725="yes",Assumptions!$B$31*(N725-Assumptions!$B$10),0)</f>
        <v/>
      </c>
    </row>
    <row r="726">
      <c r="A726" t="inlineStr">
        <is>
          <t>iter 6</t>
        </is>
      </c>
      <c r="B726">
        <f>IF(Assumptions!$B$4&gt;(Assumptions!$B$4/B715)*N725,"preference","convert")</f>
        <v/>
      </c>
      <c r="C726">
        <f>IF(Assumptions!$B$45&gt;(Assumptions!$B$39+F715)*N725,"preference","convert")</f>
        <v/>
      </c>
      <c r="D726">
        <f>IF(Assumptions!$B$44&gt;(Assumptions!$B$38+E715)*N725,"preference","convert")</f>
        <v/>
      </c>
      <c r="E726">
        <f>IF(Assumptions!$B$43&gt;Assumptions!$B$36*N725,"preference","convert")</f>
        <v/>
      </c>
      <c r="F726">
        <f>IF(Assumptions!$B$42&gt;Assumptions!$B$35*N725,"preference","convert")</f>
        <v/>
      </c>
      <c r="G726">
        <f>IF(Assumptions!$B$41&gt;Assumptions!$B$34*N725,"preference","convert")</f>
        <v/>
      </c>
      <c r="H726">
        <f>IF(Assumptions!$B$40&gt;Assumptions!$B$33*N725,"preference","convert")</f>
        <v/>
      </c>
      <c r="I726">
        <f>IF(B726="preference",Assumptions!$B$4,0)+IF(C726="preference",Assumptions!$B$45,0)+IF(D726="preference",Assumptions!$B$44,0)+IF(E726="preference",Assumptions!$B$43,0)+IF(F726="preference",Assumptions!$B$42,0)+IF(G726="preference",Assumptions!$B$41,0)+IF(H726="preference",Assumptions!$B$40,0)</f>
        <v/>
      </c>
      <c r="J726">
        <f>IF(B726="convert",(Assumptions!$B$4/B715),0)+IF(C726="convert",(Assumptions!$B$39+F715),0)+IF(D726="convert",(Assumptions!$B$38+E715),0)+IF(E726="convert",Assumptions!$B$36,0)+IF(F726="convert",Assumptions!$B$35,0)+IF(G726="convert",Assumptions!$B$34,0)+IF(H726="convert",Assumptions!$B$33,0)</f>
        <v/>
      </c>
      <c r="K726">
        <f>(Assumptions!$B$46+Assumptions!$B$47+Assumptions!$B$48)+Assumptions!$B$49+(H715+I715)+J726</f>
        <v/>
      </c>
      <c r="L726">
        <f>(Assumptions!$B$13-I726+Assumptions!$B$31*Assumptions!$B$10)/(K726+Assumptions!$B$31)</f>
        <v/>
      </c>
      <c r="M726">
        <f>IF(L726&gt;Assumptions!$B$10,"yes","no")</f>
        <v/>
      </c>
      <c r="N726">
        <f>IF(M726="yes",L726,MAX(0,(Assumptions!$B$13-I726)/K726))</f>
        <v/>
      </c>
      <c r="O726">
        <f>IF(M726="yes",Assumptions!$B$31*(N726-Assumptions!$B$10),0)</f>
        <v/>
      </c>
    </row>
    <row r="727">
      <c r="A727" t="inlineStr">
        <is>
          <t>iter 7</t>
        </is>
      </c>
      <c r="B727">
        <f>IF(Assumptions!$B$4&gt;(Assumptions!$B$4/B715)*N726,"preference","convert")</f>
        <v/>
      </c>
      <c r="C727">
        <f>IF(Assumptions!$B$45&gt;(Assumptions!$B$39+F715)*N726,"preference","convert")</f>
        <v/>
      </c>
      <c r="D727">
        <f>IF(Assumptions!$B$44&gt;(Assumptions!$B$38+E715)*N726,"preference","convert")</f>
        <v/>
      </c>
      <c r="E727">
        <f>IF(Assumptions!$B$43&gt;Assumptions!$B$36*N726,"preference","convert")</f>
        <v/>
      </c>
      <c r="F727">
        <f>IF(Assumptions!$B$42&gt;Assumptions!$B$35*N726,"preference","convert")</f>
        <v/>
      </c>
      <c r="G727">
        <f>IF(Assumptions!$B$41&gt;Assumptions!$B$34*N726,"preference","convert")</f>
        <v/>
      </c>
      <c r="H727">
        <f>IF(Assumptions!$B$40&gt;Assumptions!$B$33*N726,"preference","convert")</f>
        <v/>
      </c>
      <c r="I727">
        <f>IF(B727="preference",Assumptions!$B$4,0)+IF(C727="preference",Assumptions!$B$45,0)+IF(D727="preference",Assumptions!$B$44,0)+IF(E727="preference",Assumptions!$B$43,0)+IF(F727="preference",Assumptions!$B$42,0)+IF(G727="preference",Assumptions!$B$41,0)+IF(H727="preference",Assumptions!$B$40,0)</f>
        <v/>
      </c>
      <c r="J727">
        <f>IF(B727="convert",(Assumptions!$B$4/B715),0)+IF(C727="convert",(Assumptions!$B$39+F715),0)+IF(D727="convert",(Assumptions!$B$38+E715),0)+IF(E727="convert",Assumptions!$B$36,0)+IF(F727="convert",Assumptions!$B$35,0)+IF(G727="convert",Assumptions!$B$34,0)+IF(H727="convert",Assumptions!$B$33,0)</f>
        <v/>
      </c>
      <c r="K727">
        <f>(Assumptions!$B$46+Assumptions!$B$47+Assumptions!$B$48)+Assumptions!$B$49+(H715+I715)+J727</f>
        <v/>
      </c>
      <c r="L727">
        <f>(Assumptions!$B$13-I727+Assumptions!$B$31*Assumptions!$B$10)/(K727+Assumptions!$B$31)</f>
        <v/>
      </c>
      <c r="M727">
        <f>IF(L727&gt;Assumptions!$B$10,"yes","no")</f>
        <v/>
      </c>
      <c r="N727">
        <f>IF(M727="yes",L727,MAX(0,(Assumptions!$B$13-I727)/K727))</f>
        <v/>
      </c>
      <c r="O727">
        <f>IF(M727="yes",Assumptions!$B$31*(N727-Assumptions!$B$10),0)</f>
        <v/>
      </c>
    </row>
    <row r="728">
      <c r="A728" t="inlineStr">
        <is>
          <t>iter 8</t>
        </is>
      </c>
      <c r="B728">
        <f>IF(Assumptions!$B$4&gt;(Assumptions!$B$4/B715)*N727,"preference","convert")</f>
        <v/>
      </c>
      <c r="C728">
        <f>IF(Assumptions!$B$45&gt;(Assumptions!$B$39+F715)*N727,"preference","convert")</f>
        <v/>
      </c>
      <c r="D728">
        <f>IF(Assumptions!$B$44&gt;(Assumptions!$B$38+E715)*N727,"preference","convert")</f>
        <v/>
      </c>
      <c r="E728">
        <f>IF(Assumptions!$B$43&gt;Assumptions!$B$36*N727,"preference","convert")</f>
        <v/>
      </c>
      <c r="F728">
        <f>IF(Assumptions!$B$42&gt;Assumptions!$B$35*N727,"preference","convert")</f>
        <v/>
      </c>
      <c r="G728">
        <f>IF(Assumptions!$B$41&gt;Assumptions!$B$34*N727,"preference","convert")</f>
        <v/>
      </c>
      <c r="H728">
        <f>IF(Assumptions!$B$40&gt;Assumptions!$B$33*N727,"preference","convert")</f>
        <v/>
      </c>
      <c r="I728">
        <f>IF(B728="preference",Assumptions!$B$4,0)+IF(C728="preference",Assumptions!$B$45,0)+IF(D728="preference",Assumptions!$B$44,0)+IF(E728="preference",Assumptions!$B$43,0)+IF(F728="preference",Assumptions!$B$42,0)+IF(G728="preference",Assumptions!$B$41,0)+IF(H728="preference",Assumptions!$B$40,0)</f>
        <v/>
      </c>
      <c r="J728">
        <f>IF(B728="convert",(Assumptions!$B$4/B715),0)+IF(C728="convert",(Assumptions!$B$39+F715),0)+IF(D728="convert",(Assumptions!$B$38+E715),0)+IF(E728="convert",Assumptions!$B$36,0)+IF(F728="convert",Assumptions!$B$35,0)+IF(G728="convert",Assumptions!$B$34,0)+IF(H728="convert",Assumptions!$B$33,0)</f>
        <v/>
      </c>
      <c r="K728">
        <f>(Assumptions!$B$46+Assumptions!$B$47+Assumptions!$B$48)+Assumptions!$B$49+(H715+I715)+J728</f>
        <v/>
      </c>
      <c r="L728">
        <f>(Assumptions!$B$13-I728+Assumptions!$B$31*Assumptions!$B$10)/(K728+Assumptions!$B$31)</f>
        <v/>
      </c>
      <c r="M728">
        <f>IF(L728&gt;Assumptions!$B$10,"yes","no")</f>
        <v/>
      </c>
      <c r="N728">
        <f>IF(M728="yes",L728,MAX(0,(Assumptions!$B$13-I728)/K728))</f>
        <v/>
      </c>
      <c r="O728">
        <f>IF(M728="yes",Assumptions!$B$31*(N728-Assumptions!$B$10),0)</f>
        <v/>
      </c>
    </row>
    <row r="729">
      <c r="A729" t="inlineStr">
        <is>
          <t>iter 9</t>
        </is>
      </c>
      <c r="B729">
        <f>IF(Assumptions!$B$4&gt;(Assumptions!$B$4/B715)*N728,"preference","convert")</f>
        <v/>
      </c>
      <c r="C729">
        <f>IF(Assumptions!$B$45&gt;(Assumptions!$B$39+F715)*N728,"preference","convert")</f>
        <v/>
      </c>
      <c r="D729">
        <f>IF(Assumptions!$B$44&gt;(Assumptions!$B$38+E715)*N728,"preference","convert")</f>
        <v/>
      </c>
      <c r="E729">
        <f>IF(Assumptions!$B$43&gt;Assumptions!$B$36*N728,"preference","convert")</f>
        <v/>
      </c>
      <c r="F729">
        <f>IF(Assumptions!$B$42&gt;Assumptions!$B$35*N728,"preference","convert")</f>
        <v/>
      </c>
      <c r="G729">
        <f>IF(Assumptions!$B$41&gt;Assumptions!$B$34*N728,"preference","convert")</f>
        <v/>
      </c>
      <c r="H729">
        <f>IF(Assumptions!$B$40&gt;Assumptions!$B$33*N728,"preference","convert")</f>
        <v/>
      </c>
      <c r="I729">
        <f>IF(B729="preference",Assumptions!$B$4,0)+IF(C729="preference",Assumptions!$B$45,0)+IF(D729="preference",Assumptions!$B$44,0)+IF(E729="preference",Assumptions!$B$43,0)+IF(F729="preference",Assumptions!$B$42,0)+IF(G729="preference",Assumptions!$B$41,0)+IF(H729="preference",Assumptions!$B$40,0)</f>
        <v/>
      </c>
      <c r="J729">
        <f>IF(B729="convert",(Assumptions!$B$4/B715),0)+IF(C729="convert",(Assumptions!$B$39+F715),0)+IF(D729="convert",(Assumptions!$B$38+E715),0)+IF(E729="convert",Assumptions!$B$36,0)+IF(F729="convert",Assumptions!$B$35,0)+IF(G729="convert",Assumptions!$B$34,0)+IF(H729="convert",Assumptions!$B$33,0)</f>
        <v/>
      </c>
      <c r="K729">
        <f>(Assumptions!$B$46+Assumptions!$B$47+Assumptions!$B$48)+Assumptions!$B$49+(H715+I715)+J729</f>
        <v/>
      </c>
      <c r="L729">
        <f>(Assumptions!$B$13-I729+Assumptions!$B$31*Assumptions!$B$10)/(K729+Assumptions!$B$31)</f>
        <v/>
      </c>
      <c r="M729">
        <f>IF(L729&gt;Assumptions!$B$10,"yes","no")</f>
        <v/>
      </c>
      <c r="N729">
        <f>IF(M729="yes",L729,MAX(0,(Assumptions!$B$13-I729)/K729))</f>
        <v/>
      </c>
      <c r="O729">
        <f>IF(M729="yes",Assumptions!$B$31*(N729-Assumptions!$B$10),0)</f>
        <v/>
      </c>
    </row>
    <row r="730">
      <c r="A730" t="inlineStr">
        <is>
          <t>iter 10</t>
        </is>
      </c>
      <c r="B730">
        <f>IF(Assumptions!$B$4&gt;(Assumptions!$B$4/B715)*N729,"preference","convert")</f>
        <v/>
      </c>
      <c r="C730">
        <f>IF(Assumptions!$B$45&gt;(Assumptions!$B$39+F715)*N729,"preference","convert")</f>
        <v/>
      </c>
      <c r="D730">
        <f>IF(Assumptions!$B$44&gt;(Assumptions!$B$38+E715)*N729,"preference","convert")</f>
        <v/>
      </c>
      <c r="E730">
        <f>IF(Assumptions!$B$43&gt;Assumptions!$B$36*N729,"preference","convert")</f>
        <v/>
      </c>
      <c r="F730">
        <f>IF(Assumptions!$B$42&gt;Assumptions!$B$35*N729,"preference","convert")</f>
        <v/>
      </c>
      <c r="G730">
        <f>IF(Assumptions!$B$41&gt;Assumptions!$B$34*N729,"preference","convert")</f>
        <v/>
      </c>
      <c r="H730">
        <f>IF(Assumptions!$B$40&gt;Assumptions!$B$33*N729,"preference","convert")</f>
        <v/>
      </c>
      <c r="I730">
        <f>IF(B730="preference",Assumptions!$B$4,0)+IF(C730="preference",Assumptions!$B$45,0)+IF(D730="preference",Assumptions!$B$44,0)+IF(E730="preference",Assumptions!$B$43,0)+IF(F730="preference",Assumptions!$B$42,0)+IF(G730="preference",Assumptions!$B$41,0)+IF(H730="preference",Assumptions!$B$40,0)</f>
        <v/>
      </c>
      <c r="J730">
        <f>IF(B730="convert",(Assumptions!$B$4/B715),0)+IF(C730="convert",(Assumptions!$B$39+F715),0)+IF(D730="convert",(Assumptions!$B$38+E715),0)+IF(E730="convert",Assumptions!$B$36,0)+IF(F730="convert",Assumptions!$B$35,0)+IF(G730="convert",Assumptions!$B$34,0)+IF(H730="convert",Assumptions!$B$33,0)</f>
        <v/>
      </c>
      <c r="K730">
        <f>(Assumptions!$B$46+Assumptions!$B$47+Assumptions!$B$48)+Assumptions!$B$49+(H715+I715)+J730</f>
        <v/>
      </c>
      <c r="L730">
        <f>(Assumptions!$B$13-I730+Assumptions!$B$31*Assumptions!$B$10)/(K730+Assumptions!$B$31)</f>
        <v/>
      </c>
      <c r="M730">
        <f>IF(L730&gt;Assumptions!$B$10,"yes","no")</f>
        <v/>
      </c>
      <c r="N730">
        <f>IF(M730="yes",L730,MAX(0,(Assumptions!$B$13-I730)/K730))</f>
        <v/>
      </c>
      <c r="O730">
        <f>IF(M730="yes",Assumptions!$B$31*(N730-Assumptions!$B$10),0)</f>
        <v/>
      </c>
    </row>
    <row r="731">
      <c r="A731" t="inlineStr">
        <is>
          <t>iter 11</t>
        </is>
      </c>
      <c r="B731">
        <f>IF(Assumptions!$B$4&gt;(Assumptions!$B$4/B715)*N730,"preference","convert")</f>
        <v/>
      </c>
      <c r="C731">
        <f>IF(Assumptions!$B$45&gt;(Assumptions!$B$39+F715)*N730,"preference","convert")</f>
        <v/>
      </c>
      <c r="D731">
        <f>IF(Assumptions!$B$44&gt;(Assumptions!$B$38+E715)*N730,"preference","convert")</f>
        <v/>
      </c>
      <c r="E731">
        <f>IF(Assumptions!$B$43&gt;Assumptions!$B$36*N730,"preference","convert")</f>
        <v/>
      </c>
      <c r="F731">
        <f>IF(Assumptions!$B$42&gt;Assumptions!$B$35*N730,"preference","convert")</f>
        <v/>
      </c>
      <c r="G731">
        <f>IF(Assumptions!$B$41&gt;Assumptions!$B$34*N730,"preference","convert")</f>
        <v/>
      </c>
      <c r="H731">
        <f>IF(Assumptions!$B$40&gt;Assumptions!$B$33*N730,"preference","convert")</f>
        <v/>
      </c>
      <c r="I731">
        <f>IF(B731="preference",Assumptions!$B$4,0)+IF(C731="preference",Assumptions!$B$45,0)+IF(D731="preference",Assumptions!$B$44,0)+IF(E731="preference",Assumptions!$B$43,0)+IF(F731="preference",Assumptions!$B$42,0)+IF(G731="preference",Assumptions!$B$41,0)+IF(H731="preference",Assumptions!$B$40,0)</f>
        <v/>
      </c>
      <c r="J731">
        <f>IF(B731="convert",(Assumptions!$B$4/B715),0)+IF(C731="convert",(Assumptions!$B$39+F715),0)+IF(D731="convert",(Assumptions!$B$38+E715),0)+IF(E731="convert",Assumptions!$B$36,0)+IF(F731="convert",Assumptions!$B$35,0)+IF(G731="convert",Assumptions!$B$34,0)+IF(H731="convert",Assumptions!$B$33,0)</f>
        <v/>
      </c>
      <c r="K731">
        <f>(Assumptions!$B$46+Assumptions!$B$47+Assumptions!$B$48)+Assumptions!$B$49+(H715+I715)+J731</f>
        <v/>
      </c>
      <c r="L731">
        <f>(Assumptions!$B$13-I731+Assumptions!$B$31*Assumptions!$B$10)/(K731+Assumptions!$B$31)</f>
        <v/>
      </c>
      <c r="M731">
        <f>IF(L731&gt;Assumptions!$B$10,"yes","no")</f>
        <v/>
      </c>
      <c r="N731">
        <f>IF(M731="yes",L731,MAX(0,(Assumptions!$B$13-I731)/K731))</f>
        <v/>
      </c>
      <c r="O731">
        <f>IF(M731="yes",Assumptions!$B$31*(N731-Assumptions!$B$10),0)</f>
        <v/>
      </c>
    </row>
    <row r="732">
      <c r="A732" t="inlineStr">
        <is>
          <t>iter 12</t>
        </is>
      </c>
      <c r="B732">
        <f>IF(Assumptions!$B$4&gt;(Assumptions!$B$4/B715)*N731,"preference","convert")</f>
        <v/>
      </c>
      <c r="C732">
        <f>IF(Assumptions!$B$45&gt;(Assumptions!$B$39+F715)*N731,"preference","convert")</f>
        <v/>
      </c>
      <c r="D732">
        <f>IF(Assumptions!$B$44&gt;(Assumptions!$B$38+E715)*N731,"preference","convert")</f>
        <v/>
      </c>
      <c r="E732">
        <f>IF(Assumptions!$B$43&gt;Assumptions!$B$36*N731,"preference","convert")</f>
        <v/>
      </c>
      <c r="F732">
        <f>IF(Assumptions!$B$42&gt;Assumptions!$B$35*N731,"preference","convert")</f>
        <v/>
      </c>
      <c r="G732">
        <f>IF(Assumptions!$B$41&gt;Assumptions!$B$34*N731,"preference","convert")</f>
        <v/>
      </c>
      <c r="H732">
        <f>IF(Assumptions!$B$40&gt;Assumptions!$B$33*N731,"preference","convert")</f>
        <v/>
      </c>
      <c r="I732">
        <f>IF(B732="preference",Assumptions!$B$4,0)+IF(C732="preference",Assumptions!$B$45,0)+IF(D732="preference",Assumptions!$B$44,0)+IF(E732="preference",Assumptions!$B$43,0)+IF(F732="preference",Assumptions!$B$42,0)+IF(G732="preference",Assumptions!$B$41,0)+IF(H732="preference",Assumptions!$B$40,0)</f>
        <v/>
      </c>
      <c r="J732">
        <f>IF(B732="convert",(Assumptions!$B$4/B715),0)+IF(C732="convert",(Assumptions!$B$39+F715),0)+IF(D732="convert",(Assumptions!$B$38+E715),0)+IF(E732="convert",Assumptions!$B$36,0)+IF(F732="convert",Assumptions!$B$35,0)+IF(G732="convert",Assumptions!$B$34,0)+IF(H732="convert",Assumptions!$B$33,0)</f>
        <v/>
      </c>
      <c r="K732">
        <f>(Assumptions!$B$46+Assumptions!$B$47+Assumptions!$B$48)+Assumptions!$B$49+(H715+I715)+J732</f>
        <v/>
      </c>
      <c r="L732">
        <f>(Assumptions!$B$13-I732+Assumptions!$B$31*Assumptions!$B$10)/(K732+Assumptions!$B$31)</f>
        <v/>
      </c>
      <c r="M732">
        <f>IF(L732&gt;Assumptions!$B$10,"yes","no")</f>
        <v/>
      </c>
      <c r="N732">
        <f>IF(M732="yes",L732,MAX(0,(Assumptions!$B$13-I732)/K732))</f>
        <v/>
      </c>
      <c r="O732">
        <f>IF(M732="yes",Assumptions!$B$31*(N732-Assumptions!$B$10),0)</f>
        <v/>
      </c>
    </row>
    <row r="733">
      <c r="A733" t="inlineStr">
        <is>
          <t>iter 13</t>
        </is>
      </c>
      <c r="B733">
        <f>IF(Assumptions!$B$4&gt;(Assumptions!$B$4/B715)*N732,"preference","convert")</f>
        <v/>
      </c>
      <c r="C733">
        <f>IF(Assumptions!$B$45&gt;(Assumptions!$B$39+F715)*N732,"preference","convert")</f>
        <v/>
      </c>
      <c r="D733">
        <f>IF(Assumptions!$B$44&gt;(Assumptions!$B$38+E715)*N732,"preference","convert")</f>
        <v/>
      </c>
      <c r="E733">
        <f>IF(Assumptions!$B$43&gt;Assumptions!$B$36*N732,"preference","convert")</f>
        <v/>
      </c>
      <c r="F733">
        <f>IF(Assumptions!$B$42&gt;Assumptions!$B$35*N732,"preference","convert")</f>
        <v/>
      </c>
      <c r="G733">
        <f>IF(Assumptions!$B$41&gt;Assumptions!$B$34*N732,"preference","convert")</f>
        <v/>
      </c>
      <c r="H733">
        <f>IF(Assumptions!$B$40&gt;Assumptions!$B$33*N732,"preference","convert")</f>
        <v/>
      </c>
      <c r="I733">
        <f>IF(B733="preference",Assumptions!$B$4,0)+IF(C733="preference",Assumptions!$B$45,0)+IF(D733="preference",Assumptions!$B$44,0)+IF(E733="preference",Assumptions!$B$43,0)+IF(F733="preference",Assumptions!$B$42,0)+IF(G733="preference",Assumptions!$B$41,0)+IF(H733="preference",Assumptions!$B$40,0)</f>
        <v/>
      </c>
      <c r="J733">
        <f>IF(B733="convert",(Assumptions!$B$4/B715),0)+IF(C733="convert",(Assumptions!$B$39+F715),0)+IF(D733="convert",(Assumptions!$B$38+E715),0)+IF(E733="convert",Assumptions!$B$36,0)+IF(F733="convert",Assumptions!$B$35,0)+IF(G733="convert",Assumptions!$B$34,0)+IF(H733="convert",Assumptions!$B$33,0)</f>
        <v/>
      </c>
      <c r="K733">
        <f>(Assumptions!$B$46+Assumptions!$B$47+Assumptions!$B$48)+Assumptions!$B$49+(H715+I715)+J733</f>
        <v/>
      </c>
      <c r="L733">
        <f>(Assumptions!$B$13-I733+Assumptions!$B$31*Assumptions!$B$10)/(K733+Assumptions!$B$31)</f>
        <v/>
      </c>
      <c r="M733">
        <f>IF(L733&gt;Assumptions!$B$10,"yes","no")</f>
        <v/>
      </c>
      <c r="N733">
        <f>IF(M733="yes",L733,MAX(0,(Assumptions!$B$13-I733)/K733))</f>
        <v/>
      </c>
      <c r="O733">
        <f>IF(M733="yes",Assumptions!$B$31*(N733-Assumptions!$B$10),0)</f>
        <v/>
      </c>
    </row>
    <row r="734">
      <c r="A734" t="inlineStr">
        <is>
          <t>iter 14</t>
        </is>
      </c>
      <c r="B734">
        <f>IF(Assumptions!$B$4&gt;(Assumptions!$B$4/B715)*N733,"preference","convert")</f>
        <v/>
      </c>
      <c r="C734">
        <f>IF(Assumptions!$B$45&gt;(Assumptions!$B$39+F715)*N733,"preference","convert")</f>
        <v/>
      </c>
      <c r="D734">
        <f>IF(Assumptions!$B$44&gt;(Assumptions!$B$38+E715)*N733,"preference","convert")</f>
        <v/>
      </c>
      <c r="E734">
        <f>IF(Assumptions!$B$43&gt;Assumptions!$B$36*N733,"preference","convert")</f>
        <v/>
      </c>
      <c r="F734">
        <f>IF(Assumptions!$B$42&gt;Assumptions!$B$35*N733,"preference","convert")</f>
        <v/>
      </c>
      <c r="G734">
        <f>IF(Assumptions!$B$41&gt;Assumptions!$B$34*N733,"preference","convert")</f>
        <v/>
      </c>
      <c r="H734">
        <f>IF(Assumptions!$B$40&gt;Assumptions!$B$33*N733,"preference","convert")</f>
        <v/>
      </c>
      <c r="I734">
        <f>IF(B734="preference",Assumptions!$B$4,0)+IF(C734="preference",Assumptions!$B$45,0)+IF(D734="preference",Assumptions!$B$44,0)+IF(E734="preference",Assumptions!$B$43,0)+IF(F734="preference",Assumptions!$B$42,0)+IF(G734="preference",Assumptions!$B$41,0)+IF(H734="preference",Assumptions!$B$40,0)</f>
        <v/>
      </c>
      <c r="J734">
        <f>IF(B734="convert",(Assumptions!$B$4/B715),0)+IF(C734="convert",(Assumptions!$B$39+F715),0)+IF(D734="convert",(Assumptions!$B$38+E715),0)+IF(E734="convert",Assumptions!$B$36,0)+IF(F734="convert",Assumptions!$B$35,0)+IF(G734="convert",Assumptions!$B$34,0)+IF(H734="convert",Assumptions!$B$33,0)</f>
        <v/>
      </c>
      <c r="K734">
        <f>(Assumptions!$B$46+Assumptions!$B$47+Assumptions!$B$48)+Assumptions!$B$49+(H715+I715)+J734</f>
        <v/>
      </c>
      <c r="L734">
        <f>(Assumptions!$B$13-I734+Assumptions!$B$31*Assumptions!$B$10)/(K734+Assumptions!$B$31)</f>
        <v/>
      </c>
      <c r="M734">
        <f>IF(L734&gt;Assumptions!$B$10,"yes","no")</f>
        <v/>
      </c>
      <c r="N734">
        <f>IF(M734="yes",L734,MAX(0,(Assumptions!$B$13-I734)/K734))</f>
        <v/>
      </c>
      <c r="O734">
        <f>IF(M734="yes",Assumptions!$B$31*(N734-Assumptions!$B$10),0)</f>
        <v/>
      </c>
    </row>
    <row r="735">
      <c r="A735" t="inlineStr">
        <is>
          <t>iter 15</t>
        </is>
      </c>
      <c r="B735">
        <f>IF(Assumptions!$B$4&gt;(Assumptions!$B$4/B715)*N734,"preference","convert")</f>
        <v/>
      </c>
      <c r="C735">
        <f>IF(Assumptions!$B$45&gt;(Assumptions!$B$39+F715)*N734,"preference","convert")</f>
        <v/>
      </c>
      <c r="D735">
        <f>IF(Assumptions!$B$44&gt;(Assumptions!$B$38+E715)*N734,"preference","convert")</f>
        <v/>
      </c>
      <c r="E735">
        <f>IF(Assumptions!$B$43&gt;Assumptions!$B$36*N734,"preference","convert")</f>
        <v/>
      </c>
      <c r="F735">
        <f>IF(Assumptions!$B$42&gt;Assumptions!$B$35*N734,"preference","convert")</f>
        <v/>
      </c>
      <c r="G735">
        <f>IF(Assumptions!$B$41&gt;Assumptions!$B$34*N734,"preference","convert")</f>
        <v/>
      </c>
      <c r="H735">
        <f>IF(Assumptions!$B$40&gt;Assumptions!$B$33*N734,"preference","convert")</f>
        <v/>
      </c>
      <c r="I735">
        <f>IF(B735="preference",Assumptions!$B$4,0)+IF(C735="preference",Assumptions!$B$45,0)+IF(D735="preference",Assumptions!$B$44,0)+IF(E735="preference",Assumptions!$B$43,0)+IF(F735="preference",Assumptions!$B$42,0)+IF(G735="preference",Assumptions!$B$41,0)+IF(H735="preference",Assumptions!$B$40,0)</f>
        <v/>
      </c>
      <c r="J735">
        <f>IF(B735="convert",(Assumptions!$B$4/B715),0)+IF(C735="convert",(Assumptions!$B$39+F715),0)+IF(D735="convert",(Assumptions!$B$38+E715),0)+IF(E735="convert",Assumptions!$B$36,0)+IF(F735="convert",Assumptions!$B$35,0)+IF(G735="convert",Assumptions!$B$34,0)+IF(H735="convert",Assumptions!$B$33,0)</f>
        <v/>
      </c>
      <c r="K735">
        <f>(Assumptions!$B$46+Assumptions!$B$47+Assumptions!$B$48)+Assumptions!$B$49+(H715+I715)+J735</f>
        <v/>
      </c>
      <c r="L735">
        <f>(Assumptions!$B$13-I735+Assumptions!$B$31*Assumptions!$B$10)/(K735+Assumptions!$B$31)</f>
        <v/>
      </c>
      <c r="M735">
        <f>IF(L735&gt;Assumptions!$B$10,"yes","no")</f>
        <v/>
      </c>
      <c r="N735">
        <f>IF(M735="yes",L735,MAX(0,(Assumptions!$B$13-I735)/K735))</f>
        <v/>
      </c>
      <c r="O735">
        <f>IF(M735="yes",Assumptions!$B$31*(N735-Assumptions!$B$10),0)</f>
        <v/>
      </c>
    </row>
    <row r="736">
      <c r="A736" t="inlineStr">
        <is>
          <t>iter 16</t>
        </is>
      </c>
      <c r="B736">
        <f>IF(Assumptions!$B$4&gt;(Assumptions!$B$4/B715)*N735,"preference","convert")</f>
        <v/>
      </c>
      <c r="C736">
        <f>IF(Assumptions!$B$45&gt;(Assumptions!$B$39+F715)*N735,"preference","convert")</f>
        <v/>
      </c>
      <c r="D736">
        <f>IF(Assumptions!$B$44&gt;(Assumptions!$B$38+E715)*N735,"preference","convert")</f>
        <v/>
      </c>
      <c r="E736">
        <f>IF(Assumptions!$B$43&gt;Assumptions!$B$36*N735,"preference","convert")</f>
        <v/>
      </c>
      <c r="F736">
        <f>IF(Assumptions!$B$42&gt;Assumptions!$B$35*N735,"preference","convert")</f>
        <v/>
      </c>
      <c r="G736">
        <f>IF(Assumptions!$B$41&gt;Assumptions!$B$34*N735,"preference","convert")</f>
        <v/>
      </c>
      <c r="H736">
        <f>IF(Assumptions!$B$40&gt;Assumptions!$B$33*N735,"preference","convert")</f>
        <v/>
      </c>
      <c r="I736">
        <f>IF(B736="preference",Assumptions!$B$4,0)+IF(C736="preference",Assumptions!$B$45,0)+IF(D736="preference",Assumptions!$B$44,0)+IF(E736="preference",Assumptions!$B$43,0)+IF(F736="preference",Assumptions!$B$42,0)+IF(G736="preference",Assumptions!$B$41,0)+IF(H736="preference",Assumptions!$B$40,0)</f>
        <v/>
      </c>
      <c r="J736">
        <f>IF(B736="convert",(Assumptions!$B$4/B715),0)+IF(C736="convert",(Assumptions!$B$39+F715),0)+IF(D736="convert",(Assumptions!$B$38+E715),0)+IF(E736="convert",Assumptions!$B$36,0)+IF(F736="convert",Assumptions!$B$35,0)+IF(G736="convert",Assumptions!$B$34,0)+IF(H736="convert",Assumptions!$B$33,0)</f>
        <v/>
      </c>
      <c r="K736">
        <f>(Assumptions!$B$46+Assumptions!$B$47+Assumptions!$B$48)+Assumptions!$B$49+(H715+I715)+J736</f>
        <v/>
      </c>
      <c r="L736">
        <f>(Assumptions!$B$13-I736+Assumptions!$B$31*Assumptions!$B$10)/(K736+Assumptions!$B$31)</f>
        <v/>
      </c>
      <c r="M736">
        <f>IF(L736&gt;Assumptions!$B$10,"yes","no")</f>
        <v/>
      </c>
      <c r="N736">
        <f>IF(M736="yes",L736,MAX(0,(Assumptions!$B$13-I736)/K736))</f>
        <v/>
      </c>
      <c r="O736">
        <f>IF(M736="yes",Assumptions!$B$31*(N736-Assumptions!$B$10),0)</f>
        <v/>
      </c>
    </row>
    <row r="737">
      <c r="A737" t="inlineStr">
        <is>
          <t>iter 17</t>
        </is>
      </c>
      <c r="B737">
        <f>IF(Assumptions!$B$4&gt;(Assumptions!$B$4/B715)*N736,"preference","convert")</f>
        <v/>
      </c>
      <c r="C737">
        <f>IF(Assumptions!$B$45&gt;(Assumptions!$B$39+F715)*N736,"preference","convert")</f>
        <v/>
      </c>
      <c r="D737">
        <f>IF(Assumptions!$B$44&gt;(Assumptions!$B$38+E715)*N736,"preference","convert")</f>
        <v/>
      </c>
      <c r="E737">
        <f>IF(Assumptions!$B$43&gt;Assumptions!$B$36*N736,"preference","convert")</f>
        <v/>
      </c>
      <c r="F737">
        <f>IF(Assumptions!$B$42&gt;Assumptions!$B$35*N736,"preference","convert")</f>
        <v/>
      </c>
      <c r="G737">
        <f>IF(Assumptions!$B$41&gt;Assumptions!$B$34*N736,"preference","convert")</f>
        <v/>
      </c>
      <c r="H737">
        <f>IF(Assumptions!$B$40&gt;Assumptions!$B$33*N736,"preference","convert")</f>
        <v/>
      </c>
      <c r="I737">
        <f>IF(B737="preference",Assumptions!$B$4,0)+IF(C737="preference",Assumptions!$B$45,0)+IF(D737="preference",Assumptions!$B$44,0)+IF(E737="preference",Assumptions!$B$43,0)+IF(F737="preference",Assumptions!$B$42,0)+IF(G737="preference",Assumptions!$B$41,0)+IF(H737="preference",Assumptions!$B$40,0)</f>
        <v/>
      </c>
      <c r="J737">
        <f>IF(B737="convert",(Assumptions!$B$4/B715),0)+IF(C737="convert",(Assumptions!$B$39+F715),0)+IF(D737="convert",(Assumptions!$B$38+E715),0)+IF(E737="convert",Assumptions!$B$36,0)+IF(F737="convert",Assumptions!$B$35,0)+IF(G737="convert",Assumptions!$B$34,0)+IF(H737="convert",Assumptions!$B$33,0)</f>
        <v/>
      </c>
      <c r="K737">
        <f>(Assumptions!$B$46+Assumptions!$B$47+Assumptions!$B$48)+Assumptions!$B$49+(H715+I715)+J737</f>
        <v/>
      </c>
      <c r="L737">
        <f>(Assumptions!$B$13-I737+Assumptions!$B$31*Assumptions!$B$10)/(K737+Assumptions!$B$31)</f>
        <v/>
      </c>
      <c r="M737">
        <f>IF(L737&gt;Assumptions!$B$10,"yes","no")</f>
        <v/>
      </c>
      <c r="N737">
        <f>IF(M737="yes",L737,MAX(0,(Assumptions!$B$13-I737)/K737))</f>
        <v/>
      </c>
      <c r="O737">
        <f>IF(M737="yes",Assumptions!$B$31*(N737-Assumptions!$B$10),0)</f>
        <v/>
      </c>
    </row>
    <row r="738">
      <c r="A738" t="inlineStr">
        <is>
          <t>iter 18</t>
        </is>
      </c>
      <c r="B738">
        <f>IF(Assumptions!$B$4&gt;(Assumptions!$B$4/B715)*N737,"preference","convert")</f>
        <v/>
      </c>
      <c r="C738">
        <f>IF(Assumptions!$B$45&gt;(Assumptions!$B$39+F715)*N737,"preference","convert")</f>
        <v/>
      </c>
      <c r="D738">
        <f>IF(Assumptions!$B$44&gt;(Assumptions!$B$38+E715)*N737,"preference","convert")</f>
        <v/>
      </c>
      <c r="E738">
        <f>IF(Assumptions!$B$43&gt;Assumptions!$B$36*N737,"preference","convert")</f>
        <v/>
      </c>
      <c r="F738">
        <f>IF(Assumptions!$B$42&gt;Assumptions!$B$35*N737,"preference","convert")</f>
        <v/>
      </c>
      <c r="G738">
        <f>IF(Assumptions!$B$41&gt;Assumptions!$B$34*N737,"preference","convert")</f>
        <v/>
      </c>
      <c r="H738">
        <f>IF(Assumptions!$B$40&gt;Assumptions!$B$33*N737,"preference","convert")</f>
        <v/>
      </c>
      <c r="I738">
        <f>IF(B738="preference",Assumptions!$B$4,0)+IF(C738="preference",Assumptions!$B$45,0)+IF(D738="preference",Assumptions!$B$44,0)+IF(E738="preference",Assumptions!$B$43,0)+IF(F738="preference",Assumptions!$B$42,0)+IF(G738="preference",Assumptions!$B$41,0)+IF(H738="preference",Assumptions!$B$40,0)</f>
        <v/>
      </c>
      <c r="J738">
        <f>IF(B738="convert",(Assumptions!$B$4/B715),0)+IF(C738="convert",(Assumptions!$B$39+F715),0)+IF(D738="convert",(Assumptions!$B$38+E715),0)+IF(E738="convert",Assumptions!$B$36,0)+IF(F738="convert",Assumptions!$B$35,0)+IF(G738="convert",Assumptions!$B$34,0)+IF(H738="convert",Assumptions!$B$33,0)</f>
        <v/>
      </c>
      <c r="K738">
        <f>(Assumptions!$B$46+Assumptions!$B$47+Assumptions!$B$48)+Assumptions!$B$49+(H715+I715)+J738</f>
        <v/>
      </c>
      <c r="L738">
        <f>(Assumptions!$B$13-I738+Assumptions!$B$31*Assumptions!$B$10)/(K738+Assumptions!$B$31)</f>
        <v/>
      </c>
      <c r="M738">
        <f>IF(L738&gt;Assumptions!$B$10,"yes","no")</f>
        <v/>
      </c>
      <c r="N738">
        <f>IF(M738="yes",L738,MAX(0,(Assumptions!$B$13-I738)/K738))</f>
        <v/>
      </c>
      <c r="O738">
        <f>IF(M738="yes",Assumptions!$B$31*(N738-Assumptions!$B$10),0)</f>
        <v/>
      </c>
    </row>
    <row r="739">
      <c r="A739" t="inlineStr">
        <is>
          <t>iter 19</t>
        </is>
      </c>
      <c r="B739">
        <f>IF(Assumptions!$B$4&gt;(Assumptions!$B$4/B715)*N738,"preference","convert")</f>
        <v/>
      </c>
      <c r="C739">
        <f>IF(Assumptions!$B$45&gt;(Assumptions!$B$39+F715)*N738,"preference","convert")</f>
        <v/>
      </c>
      <c r="D739">
        <f>IF(Assumptions!$B$44&gt;(Assumptions!$B$38+E715)*N738,"preference","convert")</f>
        <v/>
      </c>
      <c r="E739">
        <f>IF(Assumptions!$B$43&gt;Assumptions!$B$36*N738,"preference","convert")</f>
        <v/>
      </c>
      <c r="F739">
        <f>IF(Assumptions!$B$42&gt;Assumptions!$B$35*N738,"preference","convert")</f>
        <v/>
      </c>
      <c r="G739">
        <f>IF(Assumptions!$B$41&gt;Assumptions!$B$34*N738,"preference","convert")</f>
        <v/>
      </c>
      <c r="H739">
        <f>IF(Assumptions!$B$40&gt;Assumptions!$B$33*N738,"preference","convert")</f>
        <v/>
      </c>
      <c r="I739">
        <f>IF(B739="preference",Assumptions!$B$4,0)+IF(C739="preference",Assumptions!$B$45,0)+IF(D739="preference",Assumptions!$B$44,0)+IF(E739="preference",Assumptions!$B$43,0)+IF(F739="preference",Assumptions!$B$42,0)+IF(G739="preference",Assumptions!$B$41,0)+IF(H739="preference",Assumptions!$B$40,0)</f>
        <v/>
      </c>
      <c r="J739">
        <f>IF(B739="convert",(Assumptions!$B$4/B715),0)+IF(C739="convert",(Assumptions!$B$39+F715),0)+IF(D739="convert",(Assumptions!$B$38+E715),0)+IF(E739="convert",Assumptions!$B$36,0)+IF(F739="convert",Assumptions!$B$35,0)+IF(G739="convert",Assumptions!$B$34,0)+IF(H739="convert",Assumptions!$B$33,0)</f>
        <v/>
      </c>
      <c r="K739">
        <f>(Assumptions!$B$46+Assumptions!$B$47+Assumptions!$B$48)+Assumptions!$B$49+(H715+I715)+J739</f>
        <v/>
      </c>
      <c r="L739">
        <f>(Assumptions!$B$13-I739+Assumptions!$B$31*Assumptions!$B$10)/(K739+Assumptions!$B$31)</f>
        <v/>
      </c>
      <c r="M739">
        <f>IF(L739&gt;Assumptions!$B$10,"yes","no")</f>
        <v/>
      </c>
      <c r="N739">
        <f>IF(M739="yes",L739,MAX(0,(Assumptions!$B$13-I739)/K739))</f>
        <v/>
      </c>
      <c r="O739">
        <f>IF(M739="yes",Assumptions!$B$31*(N739-Assumptions!$B$10),0)</f>
        <v/>
      </c>
    </row>
    <row r="740">
      <c r="A740" t="inlineStr">
        <is>
          <t>iter 20</t>
        </is>
      </c>
      <c r="B740">
        <f>IF(Assumptions!$B$4&gt;(Assumptions!$B$4/B715)*N739,"preference","convert")</f>
        <v/>
      </c>
      <c r="C740">
        <f>IF(Assumptions!$B$45&gt;(Assumptions!$B$39+F715)*N739,"preference","convert")</f>
        <v/>
      </c>
      <c r="D740">
        <f>IF(Assumptions!$B$44&gt;(Assumptions!$B$38+E715)*N739,"preference","convert")</f>
        <v/>
      </c>
      <c r="E740">
        <f>IF(Assumptions!$B$43&gt;Assumptions!$B$36*N739,"preference","convert")</f>
        <v/>
      </c>
      <c r="F740">
        <f>IF(Assumptions!$B$42&gt;Assumptions!$B$35*N739,"preference","convert")</f>
        <v/>
      </c>
      <c r="G740">
        <f>IF(Assumptions!$B$41&gt;Assumptions!$B$34*N739,"preference","convert")</f>
        <v/>
      </c>
      <c r="H740">
        <f>IF(Assumptions!$B$40&gt;Assumptions!$B$33*N739,"preference","convert")</f>
        <v/>
      </c>
      <c r="I740">
        <f>IF(B740="preference",Assumptions!$B$4,0)+IF(C740="preference",Assumptions!$B$45,0)+IF(D740="preference",Assumptions!$B$44,0)+IF(E740="preference",Assumptions!$B$43,0)+IF(F740="preference",Assumptions!$B$42,0)+IF(G740="preference",Assumptions!$B$41,0)+IF(H740="preference",Assumptions!$B$40,0)</f>
        <v/>
      </c>
      <c r="J740">
        <f>IF(B740="convert",(Assumptions!$B$4/B715),0)+IF(C740="convert",(Assumptions!$B$39+F715),0)+IF(D740="convert",(Assumptions!$B$38+E715),0)+IF(E740="convert",Assumptions!$B$36,0)+IF(F740="convert",Assumptions!$B$35,0)+IF(G740="convert",Assumptions!$B$34,0)+IF(H740="convert",Assumptions!$B$33,0)</f>
        <v/>
      </c>
      <c r="K740">
        <f>(Assumptions!$B$46+Assumptions!$B$47+Assumptions!$B$48)+Assumptions!$B$49+(H715+I715)+J740</f>
        <v/>
      </c>
      <c r="L740">
        <f>(Assumptions!$B$13-I740+Assumptions!$B$31*Assumptions!$B$10)/(K740+Assumptions!$B$31)</f>
        <v/>
      </c>
      <c r="M740">
        <f>IF(L740&gt;Assumptions!$B$10,"yes","no")</f>
        <v/>
      </c>
      <c r="N740">
        <f>IF(M740="yes",L740,MAX(0,(Assumptions!$B$13-I740)/K740))</f>
        <v/>
      </c>
      <c r="O740">
        <f>IF(M740="yes",Assumptions!$B$31*(N740-Assumptions!$B$10),0)</f>
        <v/>
      </c>
    </row>
    <row r="741">
      <c r="A741" t="inlineStr">
        <is>
          <t>iter 21</t>
        </is>
      </c>
      <c r="B741">
        <f>IF(Assumptions!$B$4&gt;(Assumptions!$B$4/B715)*N740,"preference","convert")</f>
        <v/>
      </c>
      <c r="C741">
        <f>IF(Assumptions!$B$45&gt;(Assumptions!$B$39+F715)*N740,"preference","convert")</f>
        <v/>
      </c>
      <c r="D741">
        <f>IF(Assumptions!$B$44&gt;(Assumptions!$B$38+E715)*N740,"preference","convert")</f>
        <v/>
      </c>
      <c r="E741">
        <f>IF(Assumptions!$B$43&gt;Assumptions!$B$36*N740,"preference","convert")</f>
        <v/>
      </c>
      <c r="F741">
        <f>IF(Assumptions!$B$42&gt;Assumptions!$B$35*N740,"preference","convert")</f>
        <v/>
      </c>
      <c r="G741">
        <f>IF(Assumptions!$B$41&gt;Assumptions!$B$34*N740,"preference","convert")</f>
        <v/>
      </c>
      <c r="H741">
        <f>IF(Assumptions!$B$40&gt;Assumptions!$B$33*N740,"preference","convert")</f>
        <v/>
      </c>
      <c r="I741">
        <f>IF(B741="preference",Assumptions!$B$4,0)+IF(C741="preference",Assumptions!$B$45,0)+IF(D741="preference",Assumptions!$B$44,0)+IF(E741="preference",Assumptions!$B$43,0)+IF(F741="preference",Assumptions!$B$42,0)+IF(G741="preference",Assumptions!$B$41,0)+IF(H741="preference",Assumptions!$B$40,0)</f>
        <v/>
      </c>
      <c r="J741">
        <f>IF(B741="convert",(Assumptions!$B$4/B715),0)+IF(C741="convert",(Assumptions!$B$39+F715),0)+IF(D741="convert",(Assumptions!$B$38+E715),0)+IF(E741="convert",Assumptions!$B$36,0)+IF(F741="convert",Assumptions!$B$35,0)+IF(G741="convert",Assumptions!$B$34,0)+IF(H741="convert",Assumptions!$B$33,0)</f>
        <v/>
      </c>
      <c r="K741">
        <f>(Assumptions!$B$46+Assumptions!$B$47+Assumptions!$B$48)+Assumptions!$B$49+(H715+I715)+J741</f>
        <v/>
      </c>
      <c r="L741">
        <f>(Assumptions!$B$13-I741+Assumptions!$B$31*Assumptions!$B$10)/(K741+Assumptions!$B$31)</f>
        <v/>
      </c>
      <c r="M741">
        <f>IF(L741&gt;Assumptions!$B$10,"yes","no")</f>
        <v/>
      </c>
      <c r="N741">
        <f>IF(M741="yes",L741,MAX(0,(Assumptions!$B$13-I741)/K741))</f>
        <v/>
      </c>
      <c r="O741">
        <f>IF(M741="yes",Assumptions!$B$31*(N741-Assumptions!$B$10),0)</f>
        <v/>
      </c>
    </row>
    <row r="742">
      <c r="A742" t="inlineStr">
        <is>
          <t>iter 22</t>
        </is>
      </c>
      <c r="B742">
        <f>IF(Assumptions!$B$4&gt;(Assumptions!$B$4/B715)*N741,"preference","convert")</f>
        <v/>
      </c>
      <c r="C742">
        <f>IF(Assumptions!$B$45&gt;(Assumptions!$B$39+F715)*N741,"preference","convert")</f>
        <v/>
      </c>
      <c r="D742">
        <f>IF(Assumptions!$B$44&gt;(Assumptions!$B$38+E715)*N741,"preference","convert")</f>
        <v/>
      </c>
      <c r="E742">
        <f>IF(Assumptions!$B$43&gt;Assumptions!$B$36*N741,"preference","convert")</f>
        <v/>
      </c>
      <c r="F742">
        <f>IF(Assumptions!$B$42&gt;Assumptions!$B$35*N741,"preference","convert")</f>
        <v/>
      </c>
      <c r="G742">
        <f>IF(Assumptions!$B$41&gt;Assumptions!$B$34*N741,"preference","convert")</f>
        <v/>
      </c>
      <c r="H742">
        <f>IF(Assumptions!$B$40&gt;Assumptions!$B$33*N741,"preference","convert")</f>
        <v/>
      </c>
      <c r="I742">
        <f>IF(B742="preference",Assumptions!$B$4,0)+IF(C742="preference",Assumptions!$B$45,0)+IF(D742="preference",Assumptions!$B$44,0)+IF(E742="preference",Assumptions!$B$43,0)+IF(F742="preference",Assumptions!$B$42,0)+IF(G742="preference",Assumptions!$B$41,0)+IF(H742="preference",Assumptions!$B$40,0)</f>
        <v/>
      </c>
      <c r="J742">
        <f>IF(B742="convert",(Assumptions!$B$4/B715),0)+IF(C742="convert",(Assumptions!$B$39+F715),0)+IF(D742="convert",(Assumptions!$B$38+E715),0)+IF(E742="convert",Assumptions!$B$36,0)+IF(F742="convert",Assumptions!$B$35,0)+IF(G742="convert",Assumptions!$B$34,0)+IF(H742="convert",Assumptions!$B$33,0)</f>
        <v/>
      </c>
      <c r="K742">
        <f>(Assumptions!$B$46+Assumptions!$B$47+Assumptions!$B$48)+Assumptions!$B$49+(H715+I715)+J742</f>
        <v/>
      </c>
      <c r="L742">
        <f>(Assumptions!$B$13-I742+Assumptions!$B$31*Assumptions!$B$10)/(K742+Assumptions!$B$31)</f>
        <v/>
      </c>
      <c r="M742">
        <f>IF(L742&gt;Assumptions!$B$10,"yes","no")</f>
        <v/>
      </c>
      <c r="N742">
        <f>IF(M742="yes",L742,MAX(0,(Assumptions!$B$13-I742)/K742))</f>
        <v/>
      </c>
      <c r="O742">
        <f>IF(M742="yes",Assumptions!$B$31*(N742-Assumptions!$B$10),0)</f>
        <v/>
      </c>
    </row>
    <row r="743">
      <c r="A743" t="inlineStr">
        <is>
          <t>iter 23</t>
        </is>
      </c>
      <c r="B743">
        <f>IF(Assumptions!$B$4&gt;(Assumptions!$B$4/B715)*N742,"preference","convert")</f>
        <v/>
      </c>
      <c r="C743">
        <f>IF(Assumptions!$B$45&gt;(Assumptions!$B$39+F715)*N742,"preference","convert")</f>
        <v/>
      </c>
      <c r="D743">
        <f>IF(Assumptions!$B$44&gt;(Assumptions!$B$38+E715)*N742,"preference","convert")</f>
        <v/>
      </c>
      <c r="E743">
        <f>IF(Assumptions!$B$43&gt;Assumptions!$B$36*N742,"preference","convert")</f>
        <v/>
      </c>
      <c r="F743">
        <f>IF(Assumptions!$B$42&gt;Assumptions!$B$35*N742,"preference","convert")</f>
        <v/>
      </c>
      <c r="G743">
        <f>IF(Assumptions!$B$41&gt;Assumptions!$B$34*N742,"preference","convert")</f>
        <v/>
      </c>
      <c r="H743">
        <f>IF(Assumptions!$B$40&gt;Assumptions!$B$33*N742,"preference","convert")</f>
        <v/>
      </c>
      <c r="I743">
        <f>IF(B743="preference",Assumptions!$B$4,0)+IF(C743="preference",Assumptions!$B$45,0)+IF(D743="preference",Assumptions!$B$44,0)+IF(E743="preference",Assumptions!$B$43,0)+IF(F743="preference",Assumptions!$B$42,0)+IF(G743="preference",Assumptions!$B$41,0)+IF(H743="preference",Assumptions!$B$40,0)</f>
        <v/>
      </c>
      <c r="J743">
        <f>IF(B743="convert",(Assumptions!$B$4/B715),0)+IF(C743="convert",(Assumptions!$B$39+F715),0)+IF(D743="convert",(Assumptions!$B$38+E715),0)+IF(E743="convert",Assumptions!$B$36,0)+IF(F743="convert",Assumptions!$B$35,0)+IF(G743="convert",Assumptions!$B$34,0)+IF(H743="convert",Assumptions!$B$33,0)</f>
        <v/>
      </c>
      <c r="K743">
        <f>(Assumptions!$B$46+Assumptions!$B$47+Assumptions!$B$48)+Assumptions!$B$49+(H715+I715)+J743</f>
        <v/>
      </c>
      <c r="L743">
        <f>(Assumptions!$B$13-I743+Assumptions!$B$31*Assumptions!$B$10)/(K743+Assumptions!$B$31)</f>
        <v/>
      </c>
      <c r="M743">
        <f>IF(L743&gt;Assumptions!$B$10,"yes","no")</f>
        <v/>
      </c>
      <c r="N743">
        <f>IF(M743="yes",L743,MAX(0,(Assumptions!$B$13-I743)/K743))</f>
        <v/>
      </c>
      <c r="O743">
        <f>IF(M743="yes",Assumptions!$B$31*(N743-Assumptions!$B$10),0)</f>
        <v/>
      </c>
    </row>
    <row r="744">
      <c r="A744" t="inlineStr">
        <is>
          <t>iter 24</t>
        </is>
      </c>
      <c r="B744">
        <f>IF(Assumptions!$B$4&gt;(Assumptions!$B$4/B715)*N743,"preference","convert")</f>
        <v/>
      </c>
      <c r="C744">
        <f>IF(Assumptions!$B$45&gt;(Assumptions!$B$39+F715)*N743,"preference","convert")</f>
        <v/>
      </c>
      <c r="D744">
        <f>IF(Assumptions!$B$44&gt;(Assumptions!$B$38+E715)*N743,"preference","convert")</f>
        <v/>
      </c>
      <c r="E744">
        <f>IF(Assumptions!$B$43&gt;Assumptions!$B$36*N743,"preference","convert")</f>
        <v/>
      </c>
      <c r="F744">
        <f>IF(Assumptions!$B$42&gt;Assumptions!$B$35*N743,"preference","convert")</f>
        <v/>
      </c>
      <c r="G744">
        <f>IF(Assumptions!$B$41&gt;Assumptions!$B$34*N743,"preference","convert")</f>
        <v/>
      </c>
      <c r="H744">
        <f>IF(Assumptions!$B$40&gt;Assumptions!$B$33*N743,"preference","convert")</f>
        <v/>
      </c>
      <c r="I744">
        <f>IF(B744="preference",Assumptions!$B$4,0)+IF(C744="preference",Assumptions!$B$45,0)+IF(D744="preference",Assumptions!$B$44,0)+IF(E744="preference",Assumptions!$B$43,0)+IF(F744="preference",Assumptions!$B$42,0)+IF(G744="preference",Assumptions!$B$41,0)+IF(H744="preference",Assumptions!$B$40,0)</f>
        <v/>
      </c>
      <c r="J744">
        <f>IF(B744="convert",(Assumptions!$B$4/B715),0)+IF(C744="convert",(Assumptions!$B$39+F715),0)+IF(D744="convert",(Assumptions!$B$38+E715),0)+IF(E744="convert",Assumptions!$B$36,0)+IF(F744="convert",Assumptions!$B$35,0)+IF(G744="convert",Assumptions!$B$34,0)+IF(H744="convert",Assumptions!$B$33,0)</f>
        <v/>
      </c>
      <c r="K744">
        <f>(Assumptions!$B$46+Assumptions!$B$47+Assumptions!$B$48)+Assumptions!$B$49+(H715+I715)+J744</f>
        <v/>
      </c>
      <c r="L744">
        <f>(Assumptions!$B$13-I744+Assumptions!$B$31*Assumptions!$B$10)/(K744+Assumptions!$B$31)</f>
        <v/>
      </c>
      <c r="M744">
        <f>IF(L744&gt;Assumptions!$B$10,"yes","no")</f>
        <v/>
      </c>
      <c r="N744">
        <f>IF(M744="yes",L744,MAX(0,(Assumptions!$B$13-I744)/K744))</f>
        <v/>
      </c>
      <c r="O744">
        <f>IF(M744="yes",Assumptions!$B$31*(N744-Assumptions!$B$10),0)</f>
        <v/>
      </c>
    </row>
    <row r="745">
      <c r="A745" t="inlineStr">
        <is>
          <t>iter 25</t>
        </is>
      </c>
      <c r="B745">
        <f>IF(Assumptions!$B$4&gt;(Assumptions!$B$4/B715)*N744,"preference","convert")</f>
        <v/>
      </c>
      <c r="C745">
        <f>IF(Assumptions!$B$45&gt;(Assumptions!$B$39+F715)*N744,"preference","convert")</f>
        <v/>
      </c>
      <c r="D745">
        <f>IF(Assumptions!$B$44&gt;(Assumptions!$B$38+E715)*N744,"preference","convert")</f>
        <v/>
      </c>
      <c r="E745">
        <f>IF(Assumptions!$B$43&gt;Assumptions!$B$36*N744,"preference","convert")</f>
        <v/>
      </c>
      <c r="F745">
        <f>IF(Assumptions!$B$42&gt;Assumptions!$B$35*N744,"preference","convert")</f>
        <v/>
      </c>
      <c r="G745">
        <f>IF(Assumptions!$B$41&gt;Assumptions!$B$34*N744,"preference","convert")</f>
        <v/>
      </c>
      <c r="H745">
        <f>IF(Assumptions!$B$40&gt;Assumptions!$B$33*N744,"preference","convert")</f>
        <v/>
      </c>
      <c r="I745">
        <f>IF(B745="preference",Assumptions!$B$4,0)+IF(C745="preference",Assumptions!$B$45,0)+IF(D745="preference",Assumptions!$B$44,0)+IF(E745="preference",Assumptions!$B$43,0)+IF(F745="preference",Assumptions!$B$42,0)+IF(G745="preference",Assumptions!$B$41,0)+IF(H745="preference",Assumptions!$B$40,0)</f>
        <v/>
      </c>
      <c r="J745">
        <f>IF(B745="convert",(Assumptions!$B$4/B715),0)+IF(C745="convert",(Assumptions!$B$39+F715),0)+IF(D745="convert",(Assumptions!$B$38+E715),0)+IF(E745="convert",Assumptions!$B$36,0)+IF(F745="convert",Assumptions!$B$35,0)+IF(G745="convert",Assumptions!$B$34,0)+IF(H745="convert",Assumptions!$B$33,0)</f>
        <v/>
      </c>
      <c r="K745">
        <f>(Assumptions!$B$46+Assumptions!$B$47+Assumptions!$B$48)+Assumptions!$B$49+(H715+I715)+J745</f>
        <v/>
      </c>
      <c r="L745">
        <f>(Assumptions!$B$13-I745+Assumptions!$B$31*Assumptions!$B$10)/(K745+Assumptions!$B$31)</f>
        <v/>
      </c>
      <c r="M745">
        <f>IF(L745&gt;Assumptions!$B$10,"yes","no")</f>
        <v/>
      </c>
      <c r="N745">
        <f>IF(M745="yes",L745,MAX(0,(Assumptions!$B$13-I745)/K745))</f>
        <v/>
      </c>
      <c r="O745">
        <f>IF(M745="yes",Assumptions!$B$31*(N745-Assumptions!$B$10),0)</f>
        <v/>
      </c>
    </row>
    <row r="746">
      <c r="A746" t="inlineStr">
        <is>
          <t>iter 26</t>
        </is>
      </c>
      <c r="B746">
        <f>IF(Assumptions!$B$4&gt;(Assumptions!$B$4/B715)*N745,"preference","convert")</f>
        <v/>
      </c>
      <c r="C746">
        <f>IF(Assumptions!$B$45&gt;(Assumptions!$B$39+F715)*N745,"preference","convert")</f>
        <v/>
      </c>
      <c r="D746">
        <f>IF(Assumptions!$B$44&gt;(Assumptions!$B$38+E715)*N745,"preference","convert")</f>
        <v/>
      </c>
      <c r="E746">
        <f>IF(Assumptions!$B$43&gt;Assumptions!$B$36*N745,"preference","convert")</f>
        <v/>
      </c>
      <c r="F746">
        <f>IF(Assumptions!$B$42&gt;Assumptions!$B$35*N745,"preference","convert")</f>
        <v/>
      </c>
      <c r="G746">
        <f>IF(Assumptions!$B$41&gt;Assumptions!$B$34*N745,"preference","convert")</f>
        <v/>
      </c>
      <c r="H746">
        <f>IF(Assumptions!$B$40&gt;Assumptions!$B$33*N745,"preference","convert")</f>
        <v/>
      </c>
      <c r="I746">
        <f>IF(B746="preference",Assumptions!$B$4,0)+IF(C746="preference",Assumptions!$B$45,0)+IF(D746="preference",Assumptions!$B$44,0)+IF(E746="preference",Assumptions!$B$43,0)+IF(F746="preference",Assumptions!$B$42,0)+IF(G746="preference",Assumptions!$B$41,0)+IF(H746="preference",Assumptions!$B$40,0)</f>
        <v/>
      </c>
      <c r="J746">
        <f>IF(B746="convert",(Assumptions!$B$4/B715),0)+IF(C746="convert",(Assumptions!$B$39+F715),0)+IF(D746="convert",(Assumptions!$B$38+E715),0)+IF(E746="convert",Assumptions!$B$36,0)+IF(F746="convert",Assumptions!$B$35,0)+IF(G746="convert",Assumptions!$B$34,0)+IF(H746="convert",Assumptions!$B$33,0)</f>
        <v/>
      </c>
      <c r="K746">
        <f>(Assumptions!$B$46+Assumptions!$B$47+Assumptions!$B$48)+Assumptions!$B$49+(H715+I715)+J746</f>
        <v/>
      </c>
      <c r="L746">
        <f>(Assumptions!$B$13-I746+Assumptions!$B$31*Assumptions!$B$10)/(K746+Assumptions!$B$31)</f>
        <v/>
      </c>
      <c r="M746">
        <f>IF(L746&gt;Assumptions!$B$10,"yes","no")</f>
        <v/>
      </c>
      <c r="N746">
        <f>IF(M746="yes",L746,MAX(0,(Assumptions!$B$13-I746)/K746))</f>
        <v/>
      </c>
      <c r="O746">
        <f>IF(M746="yes",Assumptions!$B$31*(N746-Assumptions!$B$10),0)</f>
        <v/>
      </c>
    </row>
    <row r="747">
      <c r="A747" t="inlineStr">
        <is>
          <t>iter 27</t>
        </is>
      </c>
      <c r="B747">
        <f>IF(Assumptions!$B$4&gt;(Assumptions!$B$4/B715)*N746,"preference","convert")</f>
        <v/>
      </c>
      <c r="C747">
        <f>IF(Assumptions!$B$45&gt;(Assumptions!$B$39+F715)*N746,"preference","convert")</f>
        <v/>
      </c>
      <c r="D747">
        <f>IF(Assumptions!$B$44&gt;(Assumptions!$B$38+E715)*N746,"preference","convert")</f>
        <v/>
      </c>
      <c r="E747">
        <f>IF(Assumptions!$B$43&gt;Assumptions!$B$36*N746,"preference","convert")</f>
        <v/>
      </c>
      <c r="F747">
        <f>IF(Assumptions!$B$42&gt;Assumptions!$B$35*N746,"preference","convert")</f>
        <v/>
      </c>
      <c r="G747">
        <f>IF(Assumptions!$B$41&gt;Assumptions!$B$34*N746,"preference","convert")</f>
        <v/>
      </c>
      <c r="H747">
        <f>IF(Assumptions!$B$40&gt;Assumptions!$B$33*N746,"preference","convert")</f>
        <v/>
      </c>
      <c r="I747">
        <f>IF(B747="preference",Assumptions!$B$4,0)+IF(C747="preference",Assumptions!$B$45,0)+IF(D747="preference",Assumptions!$B$44,0)+IF(E747="preference",Assumptions!$B$43,0)+IF(F747="preference",Assumptions!$B$42,0)+IF(G747="preference",Assumptions!$B$41,0)+IF(H747="preference",Assumptions!$B$40,0)</f>
        <v/>
      </c>
      <c r="J747">
        <f>IF(B747="convert",(Assumptions!$B$4/B715),0)+IF(C747="convert",(Assumptions!$B$39+F715),0)+IF(D747="convert",(Assumptions!$B$38+E715),0)+IF(E747="convert",Assumptions!$B$36,0)+IF(F747="convert",Assumptions!$B$35,0)+IF(G747="convert",Assumptions!$B$34,0)+IF(H747="convert",Assumptions!$B$33,0)</f>
        <v/>
      </c>
      <c r="K747">
        <f>(Assumptions!$B$46+Assumptions!$B$47+Assumptions!$B$48)+Assumptions!$B$49+(H715+I715)+J747</f>
        <v/>
      </c>
      <c r="L747">
        <f>(Assumptions!$B$13-I747+Assumptions!$B$31*Assumptions!$B$10)/(K747+Assumptions!$B$31)</f>
        <v/>
      </c>
      <c r="M747">
        <f>IF(L747&gt;Assumptions!$B$10,"yes","no")</f>
        <v/>
      </c>
      <c r="N747">
        <f>IF(M747="yes",L747,MAX(0,(Assumptions!$B$13-I747)/K747))</f>
        <v/>
      </c>
      <c r="O747">
        <f>IF(M747="yes",Assumptions!$B$31*(N747-Assumptions!$B$10),0)</f>
        <v/>
      </c>
    </row>
    <row r="748">
      <c r="A748" t="inlineStr">
        <is>
          <t>iter 28</t>
        </is>
      </c>
      <c r="B748">
        <f>IF(Assumptions!$B$4&gt;(Assumptions!$B$4/B715)*N747,"preference","convert")</f>
        <v/>
      </c>
      <c r="C748">
        <f>IF(Assumptions!$B$45&gt;(Assumptions!$B$39+F715)*N747,"preference","convert")</f>
        <v/>
      </c>
      <c r="D748">
        <f>IF(Assumptions!$B$44&gt;(Assumptions!$B$38+E715)*N747,"preference","convert")</f>
        <v/>
      </c>
      <c r="E748">
        <f>IF(Assumptions!$B$43&gt;Assumptions!$B$36*N747,"preference","convert")</f>
        <v/>
      </c>
      <c r="F748">
        <f>IF(Assumptions!$B$42&gt;Assumptions!$B$35*N747,"preference","convert")</f>
        <v/>
      </c>
      <c r="G748">
        <f>IF(Assumptions!$B$41&gt;Assumptions!$B$34*N747,"preference","convert")</f>
        <v/>
      </c>
      <c r="H748">
        <f>IF(Assumptions!$B$40&gt;Assumptions!$B$33*N747,"preference","convert")</f>
        <v/>
      </c>
      <c r="I748">
        <f>IF(B748="preference",Assumptions!$B$4,0)+IF(C748="preference",Assumptions!$B$45,0)+IF(D748="preference",Assumptions!$B$44,0)+IF(E748="preference",Assumptions!$B$43,0)+IF(F748="preference",Assumptions!$B$42,0)+IF(G748="preference",Assumptions!$B$41,0)+IF(H748="preference",Assumptions!$B$40,0)</f>
        <v/>
      </c>
      <c r="J748">
        <f>IF(B748="convert",(Assumptions!$B$4/B715),0)+IF(C748="convert",(Assumptions!$B$39+F715),0)+IF(D748="convert",(Assumptions!$B$38+E715),0)+IF(E748="convert",Assumptions!$B$36,0)+IF(F748="convert",Assumptions!$B$35,0)+IF(G748="convert",Assumptions!$B$34,0)+IF(H748="convert",Assumptions!$B$33,0)</f>
        <v/>
      </c>
      <c r="K748">
        <f>(Assumptions!$B$46+Assumptions!$B$47+Assumptions!$B$48)+Assumptions!$B$49+(H715+I715)+J748</f>
        <v/>
      </c>
      <c r="L748">
        <f>(Assumptions!$B$13-I748+Assumptions!$B$31*Assumptions!$B$10)/(K748+Assumptions!$B$31)</f>
        <v/>
      </c>
      <c r="M748">
        <f>IF(L748&gt;Assumptions!$B$10,"yes","no")</f>
        <v/>
      </c>
      <c r="N748">
        <f>IF(M748="yes",L748,MAX(0,(Assumptions!$B$13-I748)/K748))</f>
        <v/>
      </c>
      <c r="O748">
        <f>IF(M748="yes",Assumptions!$B$31*(N748-Assumptions!$B$10),0)</f>
        <v/>
      </c>
    </row>
    <row r="749">
      <c r="A749" t="inlineStr">
        <is>
          <t>iter 29</t>
        </is>
      </c>
      <c r="B749">
        <f>IF(Assumptions!$B$4&gt;(Assumptions!$B$4/B715)*N748,"preference","convert")</f>
        <v/>
      </c>
      <c r="C749">
        <f>IF(Assumptions!$B$45&gt;(Assumptions!$B$39+F715)*N748,"preference","convert")</f>
        <v/>
      </c>
      <c r="D749">
        <f>IF(Assumptions!$B$44&gt;(Assumptions!$B$38+E715)*N748,"preference","convert")</f>
        <v/>
      </c>
      <c r="E749">
        <f>IF(Assumptions!$B$43&gt;Assumptions!$B$36*N748,"preference","convert")</f>
        <v/>
      </c>
      <c r="F749">
        <f>IF(Assumptions!$B$42&gt;Assumptions!$B$35*N748,"preference","convert")</f>
        <v/>
      </c>
      <c r="G749">
        <f>IF(Assumptions!$B$41&gt;Assumptions!$B$34*N748,"preference","convert")</f>
        <v/>
      </c>
      <c r="H749">
        <f>IF(Assumptions!$B$40&gt;Assumptions!$B$33*N748,"preference","convert")</f>
        <v/>
      </c>
      <c r="I749">
        <f>IF(B749="preference",Assumptions!$B$4,0)+IF(C749="preference",Assumptions!$B$45,0)+IF(D749="preference",Assumptions!$B$44,0)+IF(E749="preference",Assumptions!$B$43,0)+IF(F749="preference",Assumptions!$B$42,0)+IF(G749="preference",Assumptions!$B$41,0)+IF(H749="preference",Assumptions!$B$40,0)</f>
        <v/>
      </c>
      <c r="J749">
        <f>IF(B749="convert",(Assumptions!$B$4/B715),0)+IF(C749="convert",(Assumptions!$B$39+F715),0)+IF(D749="convert",(Assumptions!$B$38+E715),0)+IF(E749="convert",Assumptions!$B$36,0)+IF(F749="convert",Assumptions!$B$35,0)+IF(G749="convert",Assumptions!$B$34,0)+IF(H749="convert",Assumptions!$B$33,0)</f>
        <v/>
      </c>
      <c r="K749">
        <f>(Assumptions!$B$46+Assumptions!$B$47+Assumptions!$B$48)+Assumptions!$B$49+(H715+I715)+J749</f>
        <v/>
      </c>
      <c r="L749">
        <f>(Assumptions!$B$13-I749+Assumptions!$B$31*Assumptions!$B$10)/(K749+Assumptions!$B$31)</f>
        <v/>
      </c>
      <c r="M749">
        <f>IF(L749&gt;Assumptions!$B$10,"yes","no")</f>
        <v/>
      </c>
      <c r="N749">
        <f>IF(M749="yes",L749,MAX(0,(Assumptions!$B$13-I749)/K749))</f>
        <v/>
      </c>
      <c r="O749">
        <f>IF(M749="yes",Assumptions!$B$31*(N749-Assumptions!$B$10),0)</f>
        <v/>
      </c>
    </row>
    <row r="750">
      <c r="A750" t="inlineStr">
        <is>
          <t>iter 30</t>
        </is>
      </c>
      <c r="B750">
        <f>IF(Assumptions!$B$4&gt;(Assumptions!$B$4/B715)*N749,"preference","convert")</f>
        <v/>
      </c>
      <c r="C750">
        <f>IF(Assumptions!$B$45&gt;(Assumptions!$B$39+F715)*N749,"preference","convert")</f>
        <v/>
      </c>
      <c r="D750">
        <f>IF(Assumptions!$B$44&gt;(Assumptions!$B$38+E715)*N749,"preference","convert")</f>
        <v/>
      </c>
      <c r="E750">
        <f>IF(Assumptions!$B$43&gt;Assumptions!$B$36*N749,"preference","convert")</f>
        <v/>
      </c>
      <c r="F750">
        <f>IF(Assumptions!$B$42&gt;Assumptions!$B$35*N749,"preference","convert")</f>
        <v/>
      </c>
      <c r="G750">
        <f>IF(Assumptions!$B$41&gt;Assumptions!$B$34*N749,"preference","convert")</f>
        <v/>
      </c>
      <c r="H750">
        <f>IF(Assumptions!$B$40&gt;Assumptions!$B$33*N749,"preference","convert")</f>
        <v/>
      </c>
      <c r="I750">
        <f>IF(B750="preference",Assumptions!$B$4,0)+IF(C750="preference",Assumptions!$B$45,0)+IF(D750="preference",Assumptions!$B$44,0)+IF(E750="preference",Assumptions!$B$43,0)+IF(F750="preference",Assumptions!$B$42,0)+IF(G750="preference",Assumptions!$B$41,0)+IF(H750="preference",Assumptions!$B$40,0)</f>
        <v/>
      </c>
      <c r="J750">
        <f>IF(B750="convert",(Assumptions!$B$4/B715),0)+IF(C750="convert",(Assumptions!$B$39+F715),0)+IF(D750="convert",(Assumptions!$B$38+E715),0)+IF(E750="convert",Assumptions!$B$36,0)+IF(F750="convert",Assumptions!$B$35,0)+IF(G750="convert",Assumptions!$B$34,0)+IF(H750="convert",Assumptions!$B$33,0)</f>
        <v/>
      </c>
      <c r="K750">
        <f>(Assumptions!$B$46+Assumptions!$B$47+Assumptions!$B$48)+Assumptions!$B$49+(H715+I715)+J750</f>
        <v/>
      </c>
      <c r="L750">
        <f>(Assumptions!$B$13-I750+Assumptions!$B$31*Assumptions!$B$10)/(K750+Assumptions!$B$31)</f>
        <v/>
      </c>
      <c r="M750">
        <f>IF(L750&gt;Assumptions!$B$10,"yes","no")</f>
        <v/>
      </c>
      <c r="N750">
        <f>IF(M750="yes",L750,MAX(0,(Assumptions!$B$13-I750)/K750))</f>
        <v/>
      </c>
      <c r="O750">
        <f>IF(M750="yes",Assumptions!$B$31*(N750-Assumptions!$B$10),0)</f>
        <v/>
      </c>
    </row>
    <row r="752">
      <c r="A752" t="inlineStr">
        <is>
          <t>Our shares (post-F)</t>
        </is>
      </c>
      <c r="B752">
        <f>(Assumptions!$B$8/B715)</f>
        <v/>
      </c>
    </row>
    <row r="753">
      <c r="A753" t="inlineStr">
        <is>
          <t>Our ownership % (of T_F)</t>
        </is>
      </c>
      <c r="B753">
        <f>(Assumptions!$B$8/B715)/K715</f>
        <v/>
      </c>
    </row>
    <row r="754">
      <c r="A754" t="inlineStr">
        <is>
          <t>Our $ proceeds at $2B</t>
        </is>
      </c>
      <c r="B754">
        <f>IF(B750="convert",(Assumptions!$B$8/B715)*N750,(Assumptions!$B$8/B715)*B715)</f>
        <v/>
      </c>
    </row>
    <row r="757">
      <c r="A757" s="1" t="inlineStr">
        <is>
          <t>Cell (2,0) — ESOP=high, Pre=low</t>
        </is>
      </c>
    </row>
    <row r="758">
      <c r="A758" s="1" t="inlineStr">
        <is>
          <t>Step</t>
        </is>
      </c>
      <c r="B758" s="1" t="inlineStr">
        <is>
          <t>F_PPS</t>
        </is>
      </c>
      <c r="C758" s="1" t="inlineStr">
        <is>
          <t>D_NCP</t>
        </is>
      </c>
      <c r="D758" s="1" t="inlineStr">
        <is>
          <t>E_NCP</t>
        </is>
      </c>
      <c r="E758" s="1" t="inlineStr">
        <is>
          <t>ΔD</t>
        </is>
      </c>
      <c r="F758" s="1" t="inlineStr">
        <is>
          <t>ΔE</t>
        </is>
      </c>
      <c r="G758" s="1" t="inlineStr">
        <is>
          <t>ESOP</t>
        </is>
      </c>
      <c r="H758" s="1" t="inlineStr">
        <is>
          <t>N_A</t>
        </is>
      </c>
      <c r="I758" s="1" t="inlineStr">
        <is>
          <t>N_B</t>
        </is>
      </c>
      <c r="J758" s="1" t="inlineStr">
        <is>
          <t>preFD</t>
        </is>
      </c>
      <c r="K758" s="1" t="inlineStr">
        <is>
          <t>T_F</t>
        </is>
      </c>
      <c r="L758" s="1" t="inlineStr">
        <is>
          <t>F_PPS chk</t>
        </is>
      </c>
    </row>
    <row r="759">
      <c r="A759" t="inlineStr">
        <is>
          <t>cell(2,0) seed</t>
        </is>
      </c>
      <c r="B759">
        <f>Assumptions!$B$53/Assumptions!$B$29</f>
        <v/>
      </c>
      <c r="C759">
        <f>Assumptions!$B$20</f>
        <v/>
      </c>
      <c r="D759">
        <f>Assumptions!$B$21</f>
        <v/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>
        <f>Assumptions!$B$29</f>
        <v/>
      </c>
      <c r="K759">
        <f>J759+Assumptions!$B$4/B759</f>
        <v/>
      </c>
      <c r="L759">
        <f>B759</f>
        <v/>
      </c>
    </row>
    <row r="760">
      <c r="A760" t="inlineStr">
        <is>
          <t>cell(2,0) iter 1</t>
        </is>
      </c>
      <c r="B760">
        <f>Assumptions!$B$53/J759</f>
        <v/>
      </c>
      <c r="C760">
        <f>IF(B760&lt;Assumptions!$B$20,Assumptions!$B$20*(Assumptions!$B$29+Assumptions!$B$4/Assumptions!$B$20)/(Assumptions!$B$29+Assumptions!$B$4/B760),Assumptions!$B$20)</f>
        <v/>
      </c>
      <c r="D760">
        <f>IF(B760&lt;Assumptions!$B$21,Assumptions!$B$21*(Assumptions!$B$29+Assumptions!$B$4/Assumptions!$B$21)/(Assumptions!$B$29+Assumptions!$B$4/B760),Assumptions!$B$21)</f>
        <v/>
      </c>
      <c r="E760">
        <f>Assumptions!$B$37*Assumptions!$B$22/C760-Assumptions!$B$38</f>
        <v/>
      </c>
      <c r="F760">
        <f>Assumptions!$B$39*Assumptions!$B$21/D760-Assumptions!$B$39</f>
        <v/>
      </c>
      <c r="G760">
        <f>MAX(0,Assumptions!$B$52*(Assumptions!$B$29+E760+F760+G759+H759+I759+Assumptions!$B$4/B760)-Assumptions!$B$30)</f>
        <v/>
      </c>
      <c r="H760">
        <f>Assumptions!$B$23/MIN(Assumptions!$B$24/(Assumptions!$B$29+E760+F760+G760+I759),B760*(1-Assumptions!$B$25))</f>
        <v/>
      </c>
      <c r="I760">
        <f>Assumptions!$B$26/MIN(Assumptions!$B$27/(Assumptions!$B$29+E760+F760+G760+H760),B760*(1-Assumptions!$B$28))</f>
        <v/>
      </c>
      <c r="J760">
        <f>Assumptions!$B$29+E760+F760+G760+H760+I760</f>
        <v/>
      </c>
      <c r="K760">
        <f>J760+Assumptions!$B$4/B760</f>
        <v/>
      </c>
      <c r="L760">
        <f>B760</f>
        <v/>
      </c>
    </row>
    <row r="761">
      <c r="A761" t="inlineStr">
        <is>
          <t>cell(2,0) iter 2</t>
        </is>
      </c>
      <c r="B761">
        <f>Assumptions!$B$53/J760</f>
        <v/>
      </c>
      <c r="C761">
        <f>IF(B761&lt;Assumptions!$B$20,Assumptions!$B$20*(Assumptions!$B$29+Assumptions!$B$4/Assumptions!$B$20)/(Assumptions!$B$29+Assumptions!$B$4/B761),Assumptions!$B$20)</f>
        <v/>
      </c>
      <c r="D761">
        <f>IF(B761&lt;Assumptions!$B$21,Assumptions!$B$21*(Assumptions!$B$29+Assumptions!$B$4/Assumptions!$B$21)/(Assumptions!$B$29+Assumptions!$B$4/B761),Assumptions!$B$21)</f>
        <v/>
      </c>
      <c r="E761">
        <f>Assumptions!$B$37*Assumptions!$B$22/C761-Assumptions!$B$38</f>
        <v/>
      </c>
      <c r="F761">
        <f>Assumptions!$B$39*Assumptions!$B$21/D761-Assumptions!$B$39</f>
        <v/>
      </c>
      <c r="G761">
        <f>MAX(0,Assumptions!$B$52*(Assumptions!$B$29+E761+F761+G760+H760+I760+Assumptions!$B$4/B761)-Assumptions!$B$30)</f>
        <v/>
      </c>
      <c r="H761">
        <f>Assumptions!$B$23/MIN(Assumptions!$B$24/(Assumptions!$B$29+E761+F761+G761+I760),B761*(1-Assumptions!$B$25))</f>
        <v/>
      </c>
      <c r="I761">
        <f>Assumptions!$B$26/MIN(Assumptions!$B$27/(Assumptions!$B$29+E761+F761+G761+H761),B761*(1-Assumptions!$B$28))</f>
        <v/>
      </c>
      <c r="J761">
        <f>Assumptions!$B$29+E761+F761+G761+H761+I761</f>
        <v/>
      </c>
      <c r="K761">
        <f>J761+Assumptions!$B$4/B761</f>
        <v/>
      </c>
      <c r="L761">
        <f>B761</f>
        <v/>
      </c>
    </row>
    <row r="762">
      <c r="A762" t="inlineStr">
        <is>
          <t>cell(2,0) iter 3</t>
        </is>
      </c>
      <c r="B762">
        <f>Assumptions!$B$53/J761</f>
        <v/>
      </c>
      <c r="C762">
        <f>IF(B762&lt;Assumptions!$B$20,Assumptions!$B$20*(Assumptions!$B$29+Assumptions!$B$4/Assumptions!$B$20)/(Assumptions!$B$29+Assumptions!$B$4/B762),Assumptions!$B$20)</f>
        <v/>
      </c>
      <c r="D762">
        <f>IF(B762&lt;Assumptions!$B$21,Assumptions!$B$21*(Assumptions!$B$29+Assumptions!$B$4/Assumptions!$B$21)/(Assumptions!$B$29+Assumptions!$B$4/B762),Assumptions!$B$21)</f>
        <v/>
      </c>
      <c r="E762">
        <f>Assumptions!$B$37*Assumptions!$B$22/C762-Assumptions!$B$38</f>
        <v/>
      </c>
      <c r="F762">
        <f>Assumptions!$B$39*Assumptions!$B$21/D762-Assumptions!$B$39</f>
        <v/>
      </c>
      <c r="G762">
        <f>MAX(0,Assumptions!$B$52*(Assumptions!$B$29+E762+F762+G761+H761+I761+Assumptions!$B$4/B762)-Assumptions!$B$30)</f>
        <v/>
      </c>
      <c r="H762">
        <f>Assumptions!$B$23/MIN(Assumptions!$B$24/(Assumptions!$B$29+E762+F762+G762+I761),B762*(1-Assumptions!$B$25))</f>
        <v/>
      </c>
      <c r="I762">
        <f>Assumptions!$B$26/MIN(Assumptions!$B$27/(Assumptions!$B$29+E762+F762+G762+H762),B762*(1-Assumptions!$B$28))</f>
        <v/>
      </c>
      <c r="J762">
        <f>Assumptions!$B$29+E762+F762+G762+H762+I762</f>
        <v/>
      </c>
      <c r="K762">
        <f>J762+Assumptions!$B$4/B762</f>
        <v/>
      </c>
      <c r="L762">
        <f>B762</f>
        <v/>
      </c>
    </row>
    <row r="763">
      <c r="A763" t="inlineStr">
        <is>
          <t>cell(2,0) iter 4</t>
        </is>
      </c>
      <c r="B763">
        <f>Assumptions!$B$53/J762</f>
        <v/>
      </c>
      <c r="C763">
        <f>IF(B763&lt;Assumptions!$B$20,Assumptions!$B$20*(Assumptions!$B$29+Assumptions!$B$4/Assumptions!$B$20)/(Assumptions!$B$29+Assumptions!$B$4/B763),Assumptions!$B$20)</f>
        <v/>
      </c>
      <c r="D763">
        <f>IF(B763&lt;Assumptions!$B$21,Assumptions!$B$21*(Assumptions!$B$29+Assumptions!$B$4/Assumptions!$B$21)/(Assumptions!$B$29+Assumptions!$B$4/B763),Assumptions!$B$21)</f>
        <v/>
      </c>
      <c r="E763">
        <f>Assumptions!$B$37*Assumptions!$B$22/C763-Assumptions!$B$38</f>
        <v/>
      </c>
      <c r="F763">
        <f>Assumptions!$B$39*Assumptions!$B$21/D763-Assumptions!$B$39</f>
        <v/>
      </c>
      <c r="G763">
        <f>MAX(0,Assumptions!$B$52*(Assumptions!$B$29+E763+F763+G762+H762+I762+Assumptions!$B$4/B763)-Assumptions!$B$30)</f>
        <v/>
      </c>
      <c r="H763">
        <f>Assumptions!$B$23/MIN(Assumptions!$B$24/(Assumptions!$B$29+E763+F763+G763+I762),B763*(1-Assumptions!$B$25))</f>
        <v/>
      </c>
      <c r="I763">
        <f>Assumptions!$B$26/MIN(Assumptions!$B$27/(Assumptions!$B$29+E763+F763+G763+H763),B763*(1-Assumptions!$B$28))</f>
        <v/>
      </c>
      <c r="J763">
        <f>Assumptions!$B$29+E763+F763+G763+H763+I763</f>
        <v/>
      </c>
      <c r="K763">
        <f>J763+Assumptions!$B$4/B763</f>
        <v/>
      </c>
      <c r="L763">
        <f>B763</f>
        <v/>
      </c>
    </row>
    <row r="764">
      <c r="A764" t="inlineStr">
        <is>
          <t>cell(2,0) iter 5</t>
        </is>
      </c>
      <c r="B764">
        <f>Assumptions!$B$53/J763</f>
        <v/>
      </c>
      <c r="C764">
        <f>IF(B764&lt;Assumptions!$B$20,Assumptions!$B$20*(Assumptions!$B$29+Assumptions!$B$4/Assumptions!$B$20)/(Assumptions!$B$29+Assumptions!$B$4/B764),Assumptions!$B$20)</f>
        <v/>
      </c>
      <c r="D764">
        <f>IF(B764&lt;Assumptions!$B$21,Assumptions!$B$21*(Assumptions!$B$29+Assumptions!$B$4/Assumptions!$B$21)/(Assumptions!$B$29+Assumptions!$B$4/B764),Assumptions!$B$21)</f>
        <v/>
      </c>
      <c r="E764">
        <f>Assumptions!$B$37*Assumptions!$B$22/C764-Assumptions!$B$38</f>
        <v/>
      </c>
      <c r="F764">
        <f>Assumptions!$B$39*Assumptions!$B$21/D764-Assumptions!$B$39</f>
        <v/>
      </c>
      <c r="G764">
        <f>MAX(0,Assumptions!$B$52*(Assumptions!$B$29+E764+F764+G763+H763+I763+Assumptions!$B$4/B764)-Assumptions!$B$30)</f>
        <v/>
      </c>
      <c r="H764">
        <f>Assumptions!$B$23/MIN(Assumptions!$B$24/(Assumptions!$B$29+E764+F764+G764+I763),B764*(1-Assumptions!$B$25))</f>
        <v/>
      </c>
      <c r="I764">
        <f>Assumptions!$B$26/MIN(Assumptions!$B$27/(Assumptions!$B$29+E764+F764+G764+H764),B764*(1-Assumptions!$B$28))</f>
        <v/>
      </c>
      <c r="J764">
        <f>Assumptions!$B$29+E764+F764+G764+H764+I764</f>
        <v/>
      </c>
      <c r="K764">
        <f>J764+Assumptions!$B$4/B764</f>
        <v/>
      </c>
      <c r="L764">
        <f>B764</f>
        <v/>
      </c>
    </row>
    <row r="765">
      <c r="A765" t="inlineStr">
        <is>
          <t>cell(2,0) iter 6</t>
        </is>
      </c>
      <c r="B765">
        <f>Assumptions!$B$53/J764</f>
        <v/>
      </c>
      <c r="C765">
        <f>IF(B765&lt;Assumptions!$B$20,Assumptions!$B$20*(Assumptions!$B$29+Assumptions!$B$4/Assumptions!$B$20)/(Assumptions!$B$29+Assumptions!$B$4/B765),Assumptions!$B$20)</f>
        <v/>
      </c>
      <c r="D765">
        <f>IF(B765&lt;Assumptions!$B$21,Assumptions!$B$21*(Assumptions!$B$29+Assumptions!$B$4/Assumptions!$B$21)/(Assumptions!$B$29+Assumptions!$B$4/B765),Assumptions!$B$21)</f>
        <v/>
      </c>
      <c r="E765">
        <f>Assumptions!$B$37*Assumptions!$B$22/C765-Assumptions!$B$38</f>
        <v/>
      </c>
      <c r="F765">
        <f>Assumptions!$B$39*Assumptions!$B$21/D765-Assumptions!$B$39</f>
        <v/>
      </c>
      <c r="G765">
        <f>MAX(0,Assumptions!$B$52*(Assumptions!$B$29+E765+F765+G764+H764+I764+Assumptions!$B$4/B765)-Assumptions!$B$30)</f>
        <v/>
      </c>
      <c r="H765">
        <f>Assumptions!$B$23/MIN(Assumptions!$B$24/(Assumptions!$B$29+E765+F765+G765+I764),B765*(1-Assumptions!$B$25))</f>
        <v/>
      </c>
      <c r="I765">
        <f>Assumptions!$B$26/MIN(Assumptions!$B$27/(Assumptions!$B$29+E765+F765+G765+H765),B765*(1-Assumptions!$B$28))</f>
        <v/>
      </c>
      <c r="J765">
        <f>Assumptions!$B$29+E765+F765+G765+H765+I765</f>
        <v/>
      </c>
      <c r="K765">
        <f>J765+Assumptions!$B$4/B765</f>
        <v/>
      </c>
      <c r="L765">
        <f>B765</f>
        <v/>
      </c>
    </row>
    <row r="766">
      <c r="A766" t="inlineStr">
        <is>
          <t>cell(2,0) iter 7</t>
        </is>
      </c>
      <c r="B766">
        <f>Assumptions!$B$53/J765</f>
        <v/>
      </c>
      <c r="C766">
        <f>IF(B766&lt;Assumptions!$B$20,Assumptions!$B$20*(Assumptions!$B$29+Assumptions!$B$4/Assumptions!$B$20)/(Assumptions!$B$29+Assumptions!$B$4/B766),Assumptions!$B$20)</f>
        <v/>
      </c>
      <c r="D766">
        <f>IF(B766&lt;Assumptions!$B$21,Assumptions!$B$21*(Assumptions!$B$29+Assumptions!$B$4/Assumptions!$B$21)/(Assumptions!$B$29+Assumptions!$B$4/B766),Assumptions!$B$21)</f>
        <v/>
      </c>
      <c r="E766">
        <f>Assumptions!$B$37*Assumptions!$B$22/C766-Assumptions!$B$38</f>
        <v/>
      </c>
      <c r="F766">
        <f>Assumptions!$B$39*Assumptions!$B$21/D766-Assumptions!$B$39</f>
        <v/>
      </c>
      <c r="G766">
        <f>MAX(0,Assumptions!$B$52*(Assumptions!$B$29+E766+F766+G765+H765+I765+Assumptions!$B$4/B766)-Assumptions!$B$30)</f>
        <v/>
      </c>
      <c r="H766">
        <f>Assumptions!$B$23/MIN(Assumptions!$B$24/(Assumptions!$B$29+E766+F766+G766+I765),B766*(1-Assumptions!$B$25))</f>
        <v/>
      </c>
      <c r="I766">
        <f>Assumptions!$B$26/MIN(Assumptions!$B$27/(Assumptions!$B$29+E766+F766+G766+H766),B766*(1-Assumptions!$B$28))</f>
        <v/>
      </c>
      <c r="J766">
        <f>Assumptions!$B$29+E766+F766+G766+H766+I766</f>
        <v/>
      </c>
      <c r="K766">
        <f>J766+Assumptions!$B$4/B766</f>
        <v/>
      </c>
      <c r="L766">
        <f>B766</f>
        <v/>
      </c>
    </row>
    <row r="767">
      <c r="A767" t="inlineStr">
        <is>
          <t>cell(2,0) iter 8</t>
        </is>
      </c>
      <c r="B767">
        <f>Assumptions!$B$53/J766</f>
        <v/>
      </c>
      <c r="C767">
        <f>IF(B767&lt;Assumptions!$B$20,Assumptions!$B$20*(Assumptions!$B$29+Assumptions!$B$4/Assumptions!$B$20)/(Assumptions!$B$29+Assumptions!$B$4/B767),Assumptions!$B$20)</f>
        <v/>
      </c>
      <c r="D767">
        <f>IF(B767&lt;Assumptions!$B$21,Assumptions!$B$21*(Assumptions!$B$29+Assumptions!$B$4/Assumptions!$B$21)/(Assumptions!$B$29+Assumptions!$B$4/B767),Assumptions!$B$21)</f>
        <v/>
      </c>
      <c r="E767">
        <f>Assumptions!$B$37*Assumptions!$B$22/C767-Assumptions!$B$38</f>
        <v/>
      </c>
      <c r="F767">
        <f>Assumptions!$B$39*Assumptions!$B$21/D767-Assumptions!$B$39</f>
        <v/>
      </c>
      <c r="G767">
        <f>MAX(0,Assumptions!$B$52*(Assumptions!$B$29+E767+F767+G766+H766+I766+Assumptions!$B$4/B767)-Assumptions!$B$30)</f>
        <v/>
      </c>
      <c r="H767">
        <f>Assumptions!$B$23/MIN(Assumptions!$B$24/(Assumptions!$B$29+E767+F767+G767+I766),B767*(1-Assumptions!$B$25))</f>
        <v/>
      </c>
      <c r="I767">
        <f>Assumptions!$B$26/MIN(Assumptions!$B$27/(Assumptions!$B$29+E767+F767+G767+H767),B767*(1-Assumptions!$B$28))</f>
        <v/>
      </c>
      <c r="J767">
        <f>Assumptions!$B$29+E767+F767+G767+H767+I767</f>
        <v/>
      </c>
      <c r="K767">
        <f>J767+Assumptions!$B$4/B767</f>
        <v/>
      </c>
      <c r="L767">
        <f>B767</f>
        <v/>
      </c>
    </row>
    <row r="768">
      <c r="A768" t="inlineStr">
        <is>
          <t>cell(2,0) iter 9</t>
        </is>
      </c>
      <c r="B768">
        <f>Assumptions!$B$53/J767</f>
        <v/>
      </c>
      <c r="C768">
        <f>IF(B768&lt;Assumptions!$B$20,Assumptions!$B$20*(Assumptions!$B$29+Assumptions!$B$4/Assumptions!$B$20)/(Assumptions!$B$29+Assumptions!$B$4/B768),Assumptions!$B$20)</f>
        <v/>
      </c>
      <c r="D768">
        <f>IF(B768&lt;Assumptions!$B$21,Assumptions!$B$21*(Assumptions!$B$29+Assumptions!$B$4/Assumptions!$B$21)/(Assumptions!$B$29+Assumptions!$B$4/B768),Assumptions!$B$21)</f>
        <v/>
      </c>
      <c r="E768">
        <f>Assumptions!$B$37*Assumptions!$B$22/C768-Assumptions!$B$38</f>
        <v/>
      </c>
      <c r="F768">
        <f>Assumptions!$B$39*Assumptions!$B$21/D768-Assumptions!$B$39</f>
        <v/>
      </c>
      <c r="G768">
        <f>MAX(0,Assumptions!$B$52*(Assumptions!$B$29+E768+F768+G767+H767+I767+Assumptions!$B$4/B768)-Assumptions!$B$30)</f>
        <v/>
      </c>
      <c r="H768">
        <f>Assumptions!$B$23/MIN(Assumptions!$B$24/(Assumptions!$B$29+E768+F768+G768+I767),B768*(1-Assumptions!$B$25))</f>
        <v/>
      </c>
      <c r="I768">
        <f>Assumptions!$B$26/MIN(Assumptions!$B$27/(Assumptions!$B$29+E768+F768+G768+H768),B768*(1-Assumptions!$B$28))</f>
        <v/>
      </c>
      <c r="J768">
        <f>Assumptions!$B$29+E768+F768+G768+H768+I768</f>
        <v/>
      </c>
      <c r="K768">
        <f>J768+Assumptions!$B$4/B768</f>
        <v/>
      </c>
      <c r="L768">
        <f>B768</f>
        <v/>
      </c>
    </row>
    <row r="769">
      <c r="A769" t="inlineStr">
        <is>
          <t>cell(2,0) iter 10</t>
        </is>
      </c>
      <c r="B769">
        <f>Assumptions!$B$53/J768</f>
        <v/>
      </c>
      <c r="C769">
        <f>IF(B769&lt;Assumptions!$B$20,Assumptions!$B$20*(Assumptions!$B$29+Assumptions!$B$4/Assumptions!$B$20)/(Assumptions!$B$29+Assumptions!$B$4/B769),Assumptions!$B$20)</f>
        <v/>
      </c>
      <c r="D769">
        <f>IF(B769&lt;Assumptions!$B$21,Assumptions!$B$21*(Assumptions!$B$29+Assumptions!$B$4/Assumptions!$B$21)/(Assumptions!$B$29+Assumptions!$B$4/B769),Assumptions!$B$21)</f>
        <v/>
      </c>
      <c r="E769">
        <f>Assumptions!$B$37*Assumptions!$B$22/C769-Assumptions!$B$38</f>
        <v/>
      </c>
      <c r="F769">
        <f>Assumptions!$B$39*Assumptions!$B$21/D769-Assumptions!$B$39</f>
        <v/>
      </c>
      <c r="G769">
        <f>MAX(0,Assumptions!$B$52*(Assumptions!$B$29+E769+F769+G768+H768+I768+Assumptions!$B$4/B769)-Assumptions!$B$30)</f>
        <v/>
      </c>
      <c r="H769">
        <f>Assumptions!$B$23/MIN(Assumptions!$B$24/(Assumptions!$B$29+E769+F769+G769+I768),B769*(1-Assumptions!$B$25))</f>
        <v/>
      </c>
      <c r="I769">
        <f>Assumptions!$B$26/MIN(Assumptions!$B$27/(Assumptions!$B$29+E769+F769+G769+H769),B769*(1-Assumptions!$B$28))</f>
        <v/>
      </c>
      <c r="J769">
        <f>Assumptions!$B$29+E769+F769+G769+H769+I769</f>
        <v/>
      </c>
      <c r="K769">
        <f>J769+Assumptions!$B$4/B769</f>
        <v/>
      </c>
      <c r="L769">
        <f>B769</f>
        <v/>
      </c>
    </row>
    <row r="770">
      <c r="A770" t="inlineStr">
        <is>
          <t>cell(2,0) iter 11</t>
        </is>
      </c>
      <c r="B770">
        <f>Assumptions!$B$53/J769</f>
        <v/>
      </c>
      <c r="C770">
        <f>IF(B770&lt;Assumptions!$B$20,Assumptions!$B$20*(Assumptions!$B$29+Assumptions!$B$4/Assumptions!$B$20)/(Assumptions!$B$29+Assumptions!$B$4/B770),Assumptions!$B$20)</f>
        <v/>
      </c>
      <c r="D770">
        <f>IF(B770&lt;Assumptions!$B$21,Assumptions!$B$21*(Assumptions!$B$29+Assumptions!$B$4/Assumptions!$B$21)/(Assumptions!$B$29+Assumptions!$B$4/B770),Assumptions!$B$21)</f>
        <v/>
      </c>
      <c r="E770">
        <f>Assumptions!$B$37*Assumptions!$B$22/C770-Assumptions!$B$38</f>
        <v/>
      </c>
      <c r="F770">
        <f>Assumptions!$B$39*Assumptions!$B$21/D770-Assumptions!$B$39</f>
        <v/>
      </c>
      <c r="G770">
        <f>MAX(0,Assumptions!$B$52*(Assumptions!$B$29+E770+F770+G769+H769+I769+Assumptions!$B$4/B770)-Assumptions!$B$30)</f>
        <v/>
      </c>
      <c r="H770">
        <f>Assumptions!$B$23/MIN(Assumptions!$B$24/(Assumptions!$B$29+E770+F770+G770+I769),B770*(1-Assumptions!$B$25))</f>
        <v/>
      </c>
      <c r="I770">
        <f>Assumptions!$B$26/MIN(Assumptions!$B$27/(Assumptions!$B$29+E770+F770+G770+H770),B770*(1-Assumptions!$B$28))</f>
        <v/>
      </c>
      <c r="J770">
        <f>Assumptions!$B$29+E770+F770+G770+H770+I770</f>
        <v/>
      </c>
      <c r="K770">
        <f>J770+Assumptions!$B$4/B770</f>
        <v/>
      </c>
      <c r="L770">
        <f>B770</f>
        <v/>
      </c>
    </row>
    <row r="771">
      <c r="A771" t="inlineStr">
        <is>
          <t>cell(2,0) iter 12</t>
        </is>
      </c>
      <c r="B771">
        <f>Assumptions!$B$53/J770</f>
        <v/>
      </c>
      <c r="C771">
        <f>IF(B771&lt;Assumptions!$B$20,Assumptions!$B$20*(Assumptions!$B$29+Assumptions!$B$4/Assumptions!$B$20)/(Assumptions!$B$29+Assumptions!$B$4/B771),Assumptions!$B$20)</f>
        <v/>
      </c>
      <c r="D771">
        <f>IF(B771&lt;Assumptions!$B$21,Assumptions!$B$21*(Assumptions!$B$29+Assumptions!$B$4/Assumptions!$B$21)/(Assumptions!$B$29+Assumptions!$B$4/B771),Assumptions!$B$21)</f>
        <v/>
      </c>
      <c r="E771">
        <f>Assumptions!$B$37*Assumptions!$B$22/C771-Assumptions!$B$38</f>
        <v/>
      </c>
      <c r="F771">
        <f>Assumptions!$B$39*Assumptions!$B$21/D771-Assumptions!$B$39</f>
        <v/>
      </c>
      <c r="G771">
        <f>MAX(0,Assumptions!$B$52*(Assumptions!$B$29+E771+F771+G770+H770+I770+Assumptions!$B$4/B771)-Assumptions!$B$30)</f>
        <v/>
      </c>
      <c r="H771">
        <f>Assumptions!$B$23/MIN(Assumptions!$B$24/(Assumptions!$B$29+E771+F771+G771+I770),B771*(1-Assumptions!$B$25))</f>
        <v/>
      </c>
      <c r="I771">
        <f>Assumptions!$B$26/MIN(Assumptions!$B$27/(Assumptions!$B$29+E771+F771+G771+H771),B771*(1-Assumptions!$B$28))</f>
        <v/>
      </c>
      <c r="J771">
        <f>Assumptions!$B$29+E771+F771+G771+H771+I771</f>
        <v/>
      </c>
      <c r="K771">
        <f>J771+Assumptions!$B$4/B771</f>
        <v/>
      </c>
      <c r="L771">
        <f>B771</f>
        <v/>
      </c>
    </row>
    <row r="772">
      <c r="A772" t="inlineStr">
        <is>
          <t>cell(2,0) iter 13</t>
        </is>
      </c>
      <c r="B772">
        <f>Assumptions!$B$53/J771</f>
        <v/>
      </c>
      <c r="C772">
        <f>IF(B772&lt;Assumptions!$B$20,Assumptions!$B$20*(Assumptions!$B$29+Assumptions!$B$4/Assumptions!$B$20)/(Assumptions!$B$29+Assumptions!$B$4/B772),Assumptions!$B$20)</f>
        <v/>
      </c>
      <c r="D772">
        <f>IF(B772&lt;Assumptions!$B$21,Assumptions!$B$21*(Assumptions!$B$29+Assumptions!$B$4/Assumptions!$B$21)/(Assumptions!$B$29+Assumptions!$B$4/B772),Assumptions!$B$21)</f>
        <v/>
      </c>
      <c r="E772">
        <f>Assumptions!$B$37*Assumptions!$B$22/C772-Assumptions!$B$38</f>
        <v/>
      </c>
      <c r="F772">
        <f>Assumptions!$B$39*Assumptions!$B$21/D772-Assumptions!$B$39</f>
        <v/>
      </c>
      <c r="G772">
        <f>MAX(0,Assumptions!$B$52*(Assumptions!$B$29+E772+F772+G771+H771+I771+Assumptions!$B$4/B772)-Assumptions!$B$30)</f>
        <v/>
      </c>
      <c r="H772">
        <f>Assumptions!$B$23/MIN(Assumptions!$B$24/(Assumptions!$B$29+E772+F772+G772+I771),B772*(1-Assumptions!$B$25))</f>
        <v/>
      </c>
      <c r="I772">
        <f>Assumptions!$B$26/MIN(Assumptions!$B$27/(Assumptions!$B$29+E772+F772+G772+H772),B772*(1-Assumptions!$B$28))</f>
        <v/>
      </c>
      <c r="J772">
        <f>Assumptions!$B$29+E772+F772+G772+H772+I772</f>
        <v/>
      </c>
      <c r="K772">
        <f>J772+Assumptions!$B$4/B772</f>
        <v/>
      </c>
      <c r="L772">
        <f>B772</f>
        <v/>
      </c>
    </row>
    <row r="773">
      <c r="A773" t="inlineStr">
        <is>
          <t>cell(2,0) iter 14</t>
        </is>
      </c>
      <c r="B773">
        <f>Assumptions!$B$53/J772</f>
        <v/>
      </c>
      <c r="C773">
        <f>IF(B773&lt;Assumptions!$B$20,Assumptions!$B$20*(Assumptions!$B$29+Assumptions!$B$4/Assumptions!$B$20)/(Assumptions!$B$29+Assumptions!$B$4/B773),Assumptions!$B$20)</f>
        <v/>
      </c>
      <c r="D773">
        <f>IF(B773&lt;Assumptions!$B$21,Assumptions!$B$21*(Assumptions!$B$29+Assumptions!$B$4/Assumptions!$B$21)/(Assumptions!$B$29+Assumptions!$B$4/B773),Assumptions!$B$21)</f>
        <v/>
      </c>
      <c r="E773">
        <f>Assumptions!$B$37*Assumptions!$B$22/C773-Assumptions!$B$38</f>
        <v/>
      </c>
      <c r="F773">
        <f>Assumptions!$B$39*Assumptions!$B$21/D773-Assumptions!$B$39</f>
        <v/>
      </c>
      <c r="G773">
        <f>MAX(0,Assumptions!$B$52*(Assumptions!$B$29+E773+F773+G772+H772+I772+Assumptions!$B$4/B773)-Assumptions!$B$30)</f>
        <v/>
      </c>
      <c r="H773">
        <f>Assumptions!$B$23/MIN(Assumptions!$B$24/(Assumptions!$B$29+E773+F773+G773+I772),B773*(1-Assumptions!$B$25))</f>
        <v/>
      </c>
      <c r="I773">
        <f>Assumptions!$B$26/MIN(Assumptions!$B$27/(Assumptions!$B$29+E773+F773+G773+H773),B773*(1-Assumptions!$B$28))</f>
        <v/>
      </c>
      <c r="J773">
        <f>Assumptions!$B$29+E773+F773+G773+H773+I773</f>
        <v/>
      </c>
      <c r="K773">
        <f>J773+Assumptions!$B$4/B773</f>
        <v/>
      </c>
      <c r="L773">
        <f>B773</f>
        <v/>
      </c>
    </row>
    <row r="774">
      <c r="A774" t="inlineStr">
        <is>
          <t>cell(2,0) iter 15</t>
        </is>
      </c>
      <c r="B774">
        <f>Assumptions!$B$53/J773</f>
        <v/>
      </c>
      <c r="C774">
        <f>IF(B774&lt;Assumptions!$B$20,Assumptions!$B$20*(Assumptions!$B$29+Assumptions!$B$4/Assumptions!$B$20)/(Assumptions!$B$29+Assumptions!$B$4/B774),Assumptions!$B$20)</f>
        <v/>
      </c>
      <c r="D774">
        <f>IF(B774&lt;Assumptions!$B$21,Assumptions!$B$21*(Assumptions!$B$29+Assumptions!$B$4/Assumptions!$B$21)/(Assumptions!$B$29+Assumptions!$B$4/B774),Assumptions!$B$21)</f>
        <v/>
      </c>
      <c r="E774">
        <f>Assumptions!$B$37*Assumptions!$B$22/C774-Assumptions!$B$38</f>
        <v/>
      </c>
      <c r="F774">
        <f>Assumptions!$B$39*Assumptions!$B$21/D774-Assumptions!$B$39</f>
        <v/>
      </c>
      <c r="G774">
        <f>MAX(0,Assumptions!$B$52*(Assumptions!$B$29+E774+F774+G773+H773+I773+Assumptions!$B$4/B774)-Assumptions!$B$30)</f>
        <v/>
      </c>
      <c r="H774">
        <f>Assumptions!$B$23/MIN(Assumptions!$B$24/(Assumptions!$B$29+E774+F774+G774+I773),B774*(1-Assumptions!$B$25))</f>
        <v/>
      </c>
      <c r="I774">
        <f>Assumptions!$B$26/MIN(Assumptions!$B$27/(Assumptions!$B$29+E774+F774+G774+H774),B774*(1-Assumptions!$B$28))</f>
        <v/>
      </c>
      <c r="J774">
        <f>Assumptions!$B$29+E774+F774+G774+H774+I774</f>
        <v/>
      </c>
      <c r="K774">
        <f>J774+Assumptions!$B$4/B774</f>
        <v/>
      </c>
      <c r="L774">
        <f>B774</f>
        <v/>
      </c>
    </row>
    <row r="775">
      <c r="A775" t="inlineStr">
        <is>
          <t>cell(2,0) iter 16</t>
        </is>
      </c>
      <c r="B775">
        <f>Assumptions!$B$53/J774</f>
        <v/>
      </c>
      <c r="C775">
        <f>IF(B775&lt;Assumptions!$B$20,Assumptions!$B$20*(Assumptions!$B$29+Assumptions!$B$4/Assumptions!$B$20)/(Assumptions!$B$29+Assumptions!$B$4/B775),Assumptions!$B$20)</f>
        <v/>
      </c>
      <c r="D775">
        <f>IF(B775&lt;Assumptions!$B$21,Assumptions!$B$21*(Assumptions!$B$29+Assumptions!$B$4/Assumptions!$B$21)/(Assumptions!$B$29+Assumptions!$B$4/B775),Assumptions!$B$21)</f>
        <v/>
      </c>
      <c r="E775">
        <f>Assumptions!$B$37*Assumptions!$B$22/C775-Assumptions!$B$38</f>
        <v/>
      </c>
      <c r="F775">
        <f>Assumptions!$B$39*Assumptions!$B$21/D775-Assumptions!$B$39</f>
        <v/>
      </c>
      <c r="G775">
        <f>MAX(0,Assumptions!$B$52*(Assumptions!$B$29+E775+F775+G774+H774+I774+Assumptions!$B$4/B775)-Assumptions!$B$30)</f>
        <v/>
      </c>
      <c r="H775">
        <f>Assumptions!$B$23/MIN(Assumptions!$B$24/(Assumptions!$B$29+E775+F775+G775+I774),B775*(1-Assumptions!$B$25))</f>
        <v/>
      </c>
      <c r="I775">
        <f>Assumptions!$B$26/MIN(Assumptions!$B$27/(Assumptions!$B$29+E775+F775+G775+H775),B775*(1-Assumptions!$B$28))</f>
        <v/>
      </c>
      <c r="J775">
        <f>Assumptions!$B$29+E775+F775+G775+H775+I775</f>
        <v/>
      </c>
      <c r="K775">
        <f>J775+Assumptions!$B$4/B775</f>
        <v/>
      </c>
      <c r="L775">
        <f>B775</f>
        <v/>
      </c>
    </row>
    <row r="776">
      <c r="A776" t="inlineStr">
        <is>
          <t>cell(2,0) iter 17</t>
        </is>
      </c>
      <c r="B776">
        <f>Assumptions!$B$53/J775</f>
        <v/>
      </c>
      <c r="C776">
        <f>IF(B776&lt;Assumptions!$B$20,Assumptions!$B$20*(Assumptions!$B$29+Assumptions!$B$4/Assumptions!$B$20)/(Assumptions!$B$29+Assumptions!$B$4/B776),Assumptions!$B$20)</f>
        <v/>
      </c>
      <c r="D776">
        <f>IF(B776&lt;Assumptions!$B$21,Assumptions!$B$21*(Assumptions!$B$29+Assumptions!$B$4/Assumptions!$B$21)/(Assumptions!$B$29+Assumptions!$B$4/B776),Assumptions!$B$21)</f>
        <v/>
      </c>
      <c r="E776">
        <f>Assumptions!$B$37*Assumptions!$B$22/C776-Assumptions!$B$38</f>
        <v/>
      </c>
      <c r="F776">
        <f>Assumptions!$B$39*Assumptions!$B$21/D776-Assumptions!$B$39</f>
        <v/>
      </c>
      <c r="G776">
        <f>MAX(0,Assumptions!$B$52*(Assumptions!$B$29+E776+F776+G775+H775+I775+Assumptions!$B$4/B776)-Assumptions!$B$30)</f>
        <v/>
      </c>
      <c r="H776">
        <f>Assumptions!$B$23/MIN(Assumptions!$B$24/(Assumptions!$B$29+E776+F776+G776+I775),B776*(1-Assumptions!$B$25))</f>
        <v/>
      </c>
      <c r="I776">
        <f>Assumptions!$B$26/MIN(Assumptions!$B$27/(Assumptions!$B$29+E776+F776+G776+H776),B776*(1-Assumptions!$B$28))</f>
        <v/>
      </c>
      <c r="J776">
        <f>Assumptions!$B$29+E776+F776+G776+H776+I776</f>
        <v/>
      </c>
      <c r="K776">
        <f>J776+Assumptions!$B$4/B776</f>
        <v/>
      </c>
      <c r="L776">
        <f>B776</f>
        <v/>
      </c>
    </row>
    <row r="777">
      <c r="A777" t="inlineStr">
        <is>
          <t>cell(2,0) iter 18</t>
        </is>
      </c>
      <c r="B777">
        <f>Assumptions!$B$53/J776</f>
        <v/>
      </c>
      <c r="C777">
        <f>IF(B777&lt;Assumptions!$B$20,Assumptions!$B$20*(Assumptions!$B$29+Assumptions!$B$4/Assumptions!$B$20)/(Assumptions!$B$29+Assumptions!$B$4/B777),Assumptions!$B$20)</f>
        <v/>
      </c>
      <c r="D777">
        <f>IF(B777&lt;Assumptions!$B$21,Assumptions!$B$21*(Assumptions!$B$29+Assumptions!$B$4/Assumptions!$B$21)/(Assumptions!$B$29+Assumptions!$B$4/B777),Assumptions!$B$21)</f>
        <v/>
      </c>
      <c r="E777">
        <f>Assumptions!$B$37*Assumptions!$B$22/C777-Assumptions!$B$38</f>
        <v/>
      </c>
      <c r="F777">
        <f>Assumptions!$B$39*Assumptions!$B$21/D777-Assumptions!$B$39</f>
        <v/>
      </c>
      <c r="G777">
        <f>MAX(0,Assumptions!$B$52*(Assumptions!$B$29+E777+F777+G776+H776+I776+Assumptions!$B$4/B777)-Assumptions!$B$30)</f>
        <v/>
      </c>
      <c r="H777">
        <f>Assumptions!$B$23/MIN(Assumptions!$B$24/(Assumptions!$B$29+E777+F777+G777+I776),B777*(1-Assumptions!$B$25))</f>
        <v/>
      </c>
      <c r="I777">
        <f>Assumptions!$B$26/MIN(Assumptions!$B$27/(Assumptions!$B$29+E777+F777+G777+H777),B777*(1-Assumptions!$B$28))</f>
        <v/>
      </c>
      <c r="J777">
        <f>Assumptions!$B$29+E777+F777+G777+H777+I777</f>
        <v/>
      </c>
      <c r="K777">
        <f>J777+Assumptions!$B$4/B777</f>
        <v/>
      </c>
      <c r="L777">
        <f>B777</f>
        <v/>
      </c>
    </row>
    <row r="778">
      <c r="A778" t="inlineStr">
        <is>
          <t>cell(2,0) iter 19</t>
        </is>
      </c>
      <c r="B778">
        <f>Assumptions!$B$53/J777</f>
        <v/>
      </c>
      <c r="C778">
        <f>IF(B778&lt;Assumptions!$B$20,Assumptions!$B$20*(Assumptions!$B$29+Assumptions!$B$4/Assumptions!$B$20)/(Assumptions!$B$29+Assumptions!$B$4/B778),Assumptions!$B$20)</f>
        <v/>
      </c>
      <c r="D778">
        <f>IF(B778&lt;Assumptions!$B$21,Assumptions!$B$21*(Assumptions!$B$29+Assumptions!$B$4/Assumptions!$B$21)/(Assumptions!$B$29+Assumptions!$B$4/B778),Assumptions!$B$21)</f>
        <v/>
      </c>
      <c r="E778">
        <f>Assumptions!$B$37*Assumptions!$B$22/C778-Assumptions!$B$38</f>
        <v/>
      </c>
      <c r="F778">
        <f>Assumptions!$B$39*Assumptions!$B$21/D778-Assumptions!$B$39</f>
        <v/>
      </c>
      <c r="G778">
        <f>MAX(0,Assumptions!$B$52*(Assumptions!$B$29+E778+F778+G777+H777+I777+Assumptions!$B$4/B778)-Assumptions!$B$30)</f>
        <v/>
      </c>
      <c r="H778">
        <f>Assumptions!$B$23/MIN(Assumptions!$B$24/(Assumptions!$B$29+E778+F778+G778+I777),B778*(1-Assumptions!$B$25))</f>
        <v/>
      </c>
      <c r="I778">
        <f>Assumptions!$B$26/MIN(Assumptions!$B$27/(Assumptions!$B$29+E778+F778+G778+H778),B778*(1-Assumptions!$B$28))</f>
        <v/>
      </c>
      <c r="J778">
        <f>Assumptions!$B$29+E778+F778+G778+H778+I778</f>
        <v/>
      </c>
      <c r="K778">
        <f>J778+Assumptions!$B$4/B778</f>
        <v/>
      </c>
      <c r="L778">
        <f>B778</f>
        <v/>
      </c>
    </row>
    <row r="779">
      <c r="A779" t="inlineStr">
        <is>
          <t>cell(2,0) iter 20</t>
        </is>
      </c>
      <c r="B779">
        <f>Assumptions!$B$53/J778</f>
        <v/>
      </c>
      <c r="C779">
        <f>IF(B779&lt;Assumptions!$B$20,Assumptions!$B$20*(Assumptions!$B$29+Assumptions!$B$4/Assumptions!$B$20)/(Assumptions!$B$29+Assumptions!$B$4/B779),Assumptions!$B$20)</f>
        <v/>
      </c>
      <c r="D779">
        <f>IF(B779&lt;Assumptions!$B$21,Assumptions!$B$21*(Assumptions!$B$29+Assumptions!$B$4/Assumptions!$B$21)/(Assumptions!$B$29+Assumptions!$B$4/B779),Assumptions!$B$21)</f>
        <v/>
      </c>
      <c r="E779">
        <f>Assumptions!$B$37*Assumptions!$B$22/C779-Assumptions!$B$38</f>
        <v/>
      </c>
      <c r="F779">
        <f>Assumptions!$B$39*Assumptions!$B$21/D779-Assumptions!$B$39</f>
        <v/>
      </c>
      <c r="G779">
        <f>MAX(0,Assumptions!$B$52*(Assumptions!$B$29+E779+F779+G778+H778+I778+Assumptions!$B$4/B779)-Assumptions!$B$30)</f>
        <v/>
      </c>
      <c r="H779">
        <f>Assumptions!$B$23/MIN(Assumptions!$B$24/(Assumptions!$B$29+E779+F779+G779+I778),B779*(1-Assumptions!$B$25))</f>
        <v/>
      </c>
      <c r="I779">
        <f>Assumptions!$B$26/MIN(Assumptions!$B$27/(Assumptions!$B$29+E779+F779+G779+H779),B779*(1-Assumptions!$B$28))</f>
        <v/>
      </c>
      <c r="J779">
        <f>Assumptions!$B$29+E779+F779+G779+H779+I779</f>
        <v/>
      </c>
      <c r="K779">
        <f>J779+Assumptions!$B$4/B779</f>
        <v/>
      </c>
      <c r="L779">
        <f>B779</f>
        <v/>
      </c>
    </row>
    <row r="780">
      <c r="A780" t="inlineStr">
        <is>
          <t>cell(2,0) iter 21</t>
        </is>
      </c>
      <c r="B780">
        <f>Assumptions!$B$53/J779</f>
        <v/>
      </c>
      <c r="C780">
        <f>IF(B780&lt;Assumptions!$B$20,Assumptions!$B$20*(Assumptions!$B$29+Assumptions!$B$4/Assumptions!$B$20)/(Assumptions!$B$29+Assumptions!$B$4/B780),Assumptions!$B$20)</f>
        <v/>
      </c>
      <c r="D780">
        <f>IF(B780&lt;Assumptions!$B$21,Assumptions!$B$21*(Assumptions!$B$29+Assumptions!$B$4/Assumptions!$B$21)/(Assumptions!$B$29+Assumptions!$B$4/B780),Assumptions!$B$21)</f>
        <v/>
      </c>
      <c r="E780">
        <f>Assumptions!$B$37*Assumptions!$B$22/C780-Assumptions!$B$38</f>
        <v/>
      </c>
      <c r="F780">
        <f>Assumptions!$B$39*Assumptions!$B$21/D780-Assumptions!$B$39</f>
        <v/>
      </c>
      <c r="G780">
        <f>MAX(0,Assumptions!$B$52*(Assumptions!$B$29+E780+F780+G779+H779+I779+Assumptions!$B$4/B780)-Assumptions!$B$30)</f>
        <v/>
      </c>
      <c r="H780">
        <f>Assumptions!$B$23/MIN(Assumptions!$B$24/(Assumptions!$B$29+E780+F780+G780+I779),B780*(1-Assumptions!$B$25))</f>
        <v/>
      </c>
      <c r="I780">
        <f>Assumptions!$B$26/MIN(Assumptions!$B$27/(Assumptions!$B$29+E780+F780+G780+H780),B780*(1-Assumptions!$B$28))</f>
        <v/>
      </c>
      <c r="J780">
        <f>Assumptions!$B$29+E780+F780+G780+H780+I780</f>
        <v/>
      </c>
      <c r="K780">
        <f>J780+Assumptions!$B$4/B780</f>
        <v/>
      </c>
      <c r="L780">
        <f>B780</f>
        <v/>
      </c>
    </row>
    <row r="781">
      <c r="A781" t="inlineStr">
        <is>
          <t>cell(2,0) iter 22</t>
        </is>
      </c>
      <c r="B781">
        <f>Assumptions!$B$53/J780</f>
        <v/>
      </c>
      <c r="C781">
        <f>IF(B781&lt;Assumptions!$B$20,Assumptions!$B$20*(Assumptions!$B$29+Assumptions!$B$4/Assumptions!$B$20)/(Assumptions!$B$29+Assumptions!$B$4/B781),Assumptions!$B$20)</f>
        <v/>
      </c>
      <c r="D781">
        <f>IF(B781&lt;Assumptions!$B$21,Assumptions!$B$21*(Assumptions!$B$29+Assumptions!$B$4/Assumptions!$B$21)/(Assumptions!$B$29+Assumptions!$B$4/B781),Assumptions!$B$21)</f>
        <v/>
      </c>
      <c r="E781">
        <f>Assumptions!$B$37*Assumptions!$B$22/C781-Assumptions!$B$38</f>
        <v/>
      </c>
      <c r="F781">
        <f>Assumptions!$B$39*Assumptions!$B$21/D781-Assumptions!$B$39</f>
        <v/>
      </c>
      <c r="G781">
        <f>MAX(0,Assumptions!$B$52*(Assumptions!$B$29+E781+F781+G780+H780+I780+Assumptions!$B$4/B781)-Assumptions!$B$30)</f>
        <v/>
      </c>
      <c r="H781">
        <f>Assumptions!$B$23/MIN(Assumptions!$B$24/(Assumptions!$B$29+E781+F781+G781+I780),B781*(1-Assumptions!$B$25))</f>
        <v/>
      </c>
      <c r="I781">
        <f>Assumptions!$B$26/MIN(Assumptions!$B$27/(Assumptions!$B$29+E781+F781+G781+H781),B781*(1-Assumptions!$B$28))</f>
        <v/>
      </c>
      <c r="J781">
        <f>Assumptions!$B$29+E781+F781+G781+H781+I781</f>
        <v/>
      </c>
      <c r="K781">
        <f>J781+Assumptions!$B$4/B781</f>
        <v/>
      </c>
      <c r="L781">
        <f>B781</f>
        <v/>
      </c>
    </row>
    <row r="782">
      <c r="A782" t="inlineStr">
        <is>
          <t>cell(2,0) iter 23</t>
        </is>
      </c>
      <c r="B782">
        <f>Assumptions!$B$53/J781</f>
        <v/>
      </c>
      <c r="C782">
        <f>IF(B782&lt;Assumptions!$B$20,Assumptions!$B$20*(Assumptions!$B$29+Assumptions!$B$4/Assumptions!$B$20)/(Assumptions!$B$29+Assumptions!$B$4/B782),Assumptions!$B$20)</f>
        <v/>
      </c>
      <c r="D782">
        <f>IF(B782&lt;Assumptions!$B$21,Assumptions!$B$21*(Assumptions!$B$29+Assumptions!$B$4/Assumptions!$B$21)/(Assumptions!$B$29+Assumptions!$B$4/B782),Assumptions!$B$21)</f>
        <v/>
      </c>
      <c r="E782">
        <f>Assumptions!$B$37*Assumptions!$B$22/C782-Assumptions!$B$38</f>
        <v/>
      </c>
      <c r="F782">
        <f>Assumptions!$B$39*Assumptions!$B$21/D782-Assumptions!$B$39</f>
        <v/>
      </c>
      <c r="G782">
        <f>MAX(0,Assumptions!$B$52*(Assumptions!$B$29+E782+F782+G781+H781+I781+Assumptions!$B$4/B782)-Assumptions!$B$30)</f>
        <v/>
      </c>
      <c r="H782">
        <f>Assumptions!$B$23/MIN(Assumptions!$B$24/(Assumptions!$B$29+E782+F782+G782+I781),B782*(1-Assumptions!$B$25))</f>
        <v/>
      </c>
      <c r="I782">
        <f>Assumptions!$B$26/MIN(Assumptions!$B$27/(Assumptions!$B$29+E782+F782+G782+H782),B782*(1-Assumptions!$B$28))</f>
        <v/>
      </c>
      <c r="J782">
        <f>Assumptions!$B$29+E782+F782+G782+H782+I782</f>
        <v/>
      </c>
      <c r="K782">
        <f>J782+Assumptions!$B$4/B782</f>
        <v/>
      </c>
      <c r="L782">
        <f>B782</f>
        <v/>
      </c>
    </row>
    <row r="783">
      <c r="A783" t="inlineStr">
        <is>
          <t>cell(2,0) iter 24</t>
        </is>
      </c>
      <c r="B783">
        <f>Assumptions!$B$53/J782</f>
        <v/>
      </c>
      <c r="C783">
        <f>IF(B783&lt;Assumptions!$B$20,Assumptions!$B$20*(Assumptions!$B$29+Assumptions!$B$4/Assumptions!$B$20)/(Assumptions!$B$29+Assumptions!$B$4/B783),Assumptions!$B$20)</f>
        <v/>
      </c>
      <c r="D783">
        <f>IF(B783&lt;Assumptions!$B$21,Assumptions!$B$21*(Assumptions!$B$29+Assumptions!$B$4/Assumptions!$B$21)/(Assumptions!$B$29+Assumptions!$B$4/B783),Assumptions!$B$21)</f>
        <v/>
      </c>
      <c r="E783">
        <f>Assumptions!$B$37*Assumptions!$B$22/C783-Assumptions!$B$38</f>
        <v/>
      </c>
      <c r="F783">
        <f>Assumptions!$B$39*Assumptions!$B$21/D783-Assumptions!$B$39</f>
        <v/>
      </c>
      <c r="G783">
        <f>MAX(0,Assumptions!$B$52*(Assumptions!$B$29+E783+F783+G782+H782+I782+Assumptions!$B$4/B783)-Assumptions!$B$30)</f>
        <v/>
      </c>
      <c r="H783">
        <f>Assumptions!$B$23/MIN(Assumptions!$B$24/(Assumptions!$B$29+E783+F783+G783+I782),B783*(1-Assumptions!$B$25))</f>
        <v/>
      </c>
      <c r="I783">
        <f>Assumptions!$B$26/MIN(Assumptions!$B$27/(Assumptions!$B$29+E783+F783+G783+H783),B783*(1-Assumptions!$B$28))</f>
        <v/>
      </c>
      <c r="J783">
        <f>Assumptions!$B$29+E783+F783+G783+H783+I783</f>
        <v/>
      </c>
      <c r="K783">
        <f>J783+Assumptions!$B$4/B783</f>
        <v/>
      </c>
      <c r="L783">
        <f>B783</f>
        <v/>
      </c>
    </row>
    <row r="784">
      <c r="A784" t="inlineStr">
        <is>
          <t>cell(2,0) iter 25</t>
        </is>
      </c>
      <c r="B784">
        <f>Assumptions!$B$53/J783</f>
        <v/>
      </c>
      <c r="C784">
        <f>IF(B784&lt;Assumptions!$B$20,Assumptions!$B$20*(Assumptions!$B$29+Assumptions!$B$4/Assumptions!$B$20)/(Assumptions!$B$29+Assumptions!$B$4/B784),Assumptions!$B$20)</f>
        <v/>
      </c>
      <c r="D784">
        <f>IF(B784&lt;Assumptions!$B$21,Assumptions!$B$21*(Assumptions!$B$29+Assumptions!$B$4/Assumptions!$B$21)/(Assumptions!$B$29+Assumptions!$B$4/B784),Assumptions!$B$21)</f>
        <v/>
      </c>
      <c r="E784">
        <f>Assumptions!$B$37*Assumptions!$B$22/C784-Assumptions!$B$38</f>
        <v/>
      </c>
      <c r="F784">
        <f>Assumptions!$B$39*Assumptions!$B$21/D784-Assumptions!$B$39</f>
        <v/>
      </c>
      <c r="G784">
        <f>MAX(0,Assumptions!$B$52*(Assumptions!$B$29+E784+F784+G783+H783+I783+Assumptions!$B$4/B784)-Assumptions!$B$30)</f>
        <v/>
      </c>
      <c r="H784">
        <f>Assumptions!$B$23/MIN(Assumptions!$B$24/(Assumptions!$B$29+E784+F784+G784+I783),B784*(1-Assumptions!$B$25))</f>
        <v/>
      </c>
      <c r="I784">
        <f>Assumptions!$B$26/MIN(Assumptions!$B$27/(Assumptions!$B$29+E784+F784+G784+H784),B784*(1-Assumptions!$B$28))</f>
        <v/>
      </c>
      <c r="J784">
        <f>Assumptions!$B$29+E784+F784+G784+H784+I784</f>
        <v/>
      </c>
      <c r="K784">
        <f>J784+Assumptions!$B$4/B784</f>
        <v/>
      </c>
      <c r="L784">
        <f>B784</f>
        <v/>
      </c>
    </row>
    <row r="785">
      <c r="A785" t="inlineStr">
        <is>
          <t>cell(2,0) iter 26</t>
        </is>
      </c>
      <c r="B785">
        <f>Assumptions!$B$53/J784</f>
        <v/>
      </c>
      <c r="C785">
        <f>IF(B785&lt;Assumptions!$B$20,Assumptions!$B$20*(Assumptions!$B$29+Assumptions!$B$4/Assumptions!$B$20)/(Assumptions!$B$29+Assumptions!$B$4/B785),Assumptions!$B$20)</f>
        <v/>
      </c>
      <c r="D785">
        <f>IF(B785&lt;Assumptions!$B$21,Assumptions!$B$21*(Assumptions!$B$29+Assumptions!$B$4/Assumptions!$B$21)/(Assumptions!$B$29+Assumptions!$B$4/B785),Assumptions!$B$21)</f>
        <v/>
      </c>
      <c r="E785">
        <f>Assumptions!$B$37*Assumptions!$B$22/C785-Assumptions!$B$38</f>
        <v/>
      </c>
      <c r="F785">
        <f>Assumptions!$B$39*Assumptions!$B$21/D785-Assumptions!$B$39</f>
        <v/>
      </c>
      <c r="G785">
        <f>MAX(0,Assumptions!$B$52*(Assumptions!$B$29+E785+F785+G784+H784+I784+Assumptions!$B$4/B785)-Assumptions!$B$30)</f>
        <v/>
      </c>
      <c r="H785">
        <f>Assumptions!$B$23/MIN(Assumptions!$B$24/(Assumptions!$B$29+E785+F785+G785+I784),B785*(1-Assumptions!$B$25))</f>
        <v/>
      </c>
      <c r="I785">
        <f>Assumptions!$B$26/MIN(Assumptions!$B$27/(Assumptions!$B$29+E785+F785+G785+H785),B785*(1-Assumptions!$B$28))</f>
        <v/>
      </c>
      <c r="J785">
        <f>Assumptions!$B$29+E785+F785+G785+H785+I785</f>
        <v/>
      </c>
      <c r="K785">
        <f>J785+Assumptions!$B$4/B785</f>
        <v/>
      </c>
      <c r="L785">
        <f>B785</f>
        <v/>
      </c>
    </row>
    <row r="786">
      <c r="A786" t="inlineStr">
        <is>
          <t>cell(2,0) iter 27</t>
        </is>
      </c>
      <c r="B786">
        <f>Assumptions!$B$53/J785</f>
        <v/>
      </c>
      <c r="C786">
        <f>IF(B786&lt;Assumptions!$B$20,Assumptions!$B$20*(Assumptions!$B$29+Assumptions!$B$4/Assumptions!$B$20)/(Assumptions!$B$29+Assumptions!$B$4/B786),Assumptions!$B$20)</f>
        <v/>
      </c>
      <c r="D786">
        <f>IF(B786&lt;Assumptions!$B$21,Assumptions!$B$21*(Assumptions!$B$29+Assumptions!$B$4/Assumptions!$B$21)/(Assumptions!$B$29+Assumptions!$B$4/B786),Assumptions!$B$21)</f>
        <v/>
      </c>
      <c r="E786">
        <f>Assumptions!$B$37*Assumptions!$B$22/C786-Assumptions!$B$38</f>
        <v/>
      </c>
      <c r="F786">
        <f>Assumptions!$B$39*Assumptions!$B$21/D786-Assumptions!$B$39</f>
        <v/>
      </c>
      <c r="G786">
        <f>MAX(0,Assumptions!$B$52*(Assumptions!$B$29+E786+F786+G785+H785+I785+Assumptions!$B$4/B786)-Assumptions!$B$30)</f>
        <v/>
      </c>
      <c r="H786">
        <f>Assumptions!$B$23/MIN(Assumptions!$B$24/(Assumptions!$B$29+E786+F786+G786+I785),B786*(1-Assumptions!$B$25))</f>
        <v/>
      </c>
      <c r="I786">
        <f>Assumptions!$B$26/MIN(Assumptions!$B$27/(Assumptions!$B$29+E786+F786+G786+H786),B786*(1-Assumptions!$B$28))</f>
        <v/>
      </c>
      <c r="J786">
        <f>Assumptions!$B$29+E786+F786+G786+H786+I786</f>
        <v/>
      </c>
      <c r="K786">
        <f>J786+Assumptions!$B$4/B786</f>
        <v/>
      </c>
      <c r="L786">
        <f>B786</f>
        <v/>
      </c>
    </row>
    <row r="787">
      <c r="A787" t="inlineStr">
        <is>
          <t>cell(2,0) iter 28</t>
        </is>
      </c>
      <c r="B787">
        <f>Assumptions!$B$53/J786</f>
        <v/>
      </c>
      <c r="C787">
        <f>IF(B787&lt;Assumptions!$B$20,Assumptions!$B$20*(Assumptions!$B$29+Assumptions!$B$4/Assumptions!$B$20)/(Assumptions!$B$29+Assumptions!$B$4/B787),Assumptions!$B$20)</f>
        <v/>
      </c>
      <c r="D787">
        <f>IF(B787&lt;Assumptions!$B$21,Assumptions!$B$21*(Assumptions!$B$29+Assumptions!$B$4/Assumptions!$B$21)/(Assumptions!$B$29+Assumptions!$B$4/B787),Assumptions!$B$21)</f>
        <v/>
      </c>
      <c r="E787">
        <f>Assumptions!$B$37*Assumptions!$B$22/C787-Assumptions!$B$38</f>
        <v/>
      </c>
      <c r="F787">
        <f>Assumptions!$B$39*Assumptions!$B$21/D787-Assumptions!$B$39</f>
        <v/>
      </c>
      <c r="G787">
        <f>MAX(0,Assumptions!$B$52*(Assumptions!$B$29+E787+F787+G786+H786+I786+Assumptions!$B$4/B787)-Assumptions!$B$30)</f>
        <v/>
      </c>
      <c r="H787">
        <f>Assumptions!$B$23/MIN(Assumptions!$B$24/(Assumptions!$B$29+E787+F787+G787+I786),B787*(1-Assumptions!$B$25))</f>
        <v/>
      </c>
      <c r="I787">
        <f>Assumptions!$B$26/MIN(Assumptions!$B$27/(Assumptions!$B$29+E787+F787+G787+H787),B787*(1-Assumptions!$B$28))</f>
        <v/>
      </c>
      <c r="J787">
        <f>Assumptions!$B$29+E787+F787+G787+H787+I787</f>
        <v/>
      </c>
      <c r="K787">
        <f>J787+Assumptions!$B$4/B787</f>
        <v/>
      </c>
      <c r="L787">
        <f>B787</f>
        <v/>
      </c>
    </row>
    <row r="788">
      <c r="A788" t="inlineStr">
        <is>
          <t>cell(2,0) iter 29</t>
        </is>
      </c>
      <c r="B788">
        <f>Assumptions!$B$53/J787</f>
        <v/>
      </c>
      <c r="C788">
        <f>IF(B788&lt;Assumptions!$B$20,Assumptions!$B$20*(Assumptions!$B$29+Assumptions!$B$4/Assumptions!$B$20)/(Assumptions!$B$29+Assumptions!$B$4/B788),Assumptions!$B$20)</f>
        <v/>
      </c>
      <c r="D788">
        <f>IF(B788&lt;Assumptions!$B$21,Assumptions!$B$21*(Assumptions!$B$29+Assumptions!$B$4/Assumptions!$B$21)/(Assumptions!$B$29+Assumptions!$B$4/B788),Assumptions!$B$21)</f>
        <v/>
      </c>
      <c r="E788">
        <f>Assumptions!$B$37*Assumptions!$B$22/C788-Assumptions!$B$38</f>
        <v/>
      </c>
      <c r="F788">
        <f>Assumptions!$B$39*Assumptions!$B$21/D788-Assumptions!$B$39</f>
        <v/>
      </c>
      <c r="G788">
        <f>MAX(0,Assumptions!$B$52*(Assumptions!$B$29+E788+F788+G787+H787+I787+Assumptions!$B$4/B788)-Assumptions!$B$30)</f>
        <v/>
      </c>
      <c r="H788">
        <f>Assumptions!$B$23/MIN(Assumptions!$B$24/(Assumptions!$B$29+E788+F788+G788+I787),B788*(1-Assumptions!$B$25))</f>
        <v/>
      </c>
      <c r="I788">
        <f>Assumptions!$B$26/MIN(Assumptions!$B$27/(Assumptions!$B$29+E788+F788+G788+H788),B788*(1-Assumptions!$B$28))</f>
        <v/>
      </c>
      <c r="J788">
        <f>Assumptions!$B$29+E788+F788+G788+H788+I788</f>
        <v/>
      </c>
      <c r="K788">
        <f>J788+Assumptions!$B$4/B788</f>
        <v/>
      </c>
      <c r="L788">
        <f>B788</f>
        <v/>
      </c>
    </row>
    <row r="789">
      <c r="A789" t="inlineStr">
        <is>
          <t>cell(2,0) iter 30</t>
        </is>
      </c>
      <c r="B789">
        <f>Assumptions!$B$53/J788</f>
        <v/>
      </c>
      <c r="C789">
        <f>IF(B789&lt;Assumptions!$B$20,Assumptions!$B$20*(Assumptions!$B$29+Assumptions!$B$4/Assumptions!$B$20)/(Assumptions!$B$29+Assumptions!$B$4/B789),Assumptions!$B$20)</f>
        <v/>
      </c>
      <c r="D789">
        <f>IF(B789&lt;Assumptions!$B$21,Assumptions!$B$21*(Assumptions!$B$29+Assumptions!$B$4/Assumptions!$B$21)/(Assumptions!$B$29+Assumptions!$B$4/B789),Assumptions!$B$21)</f>
        <v/>
      </c>
      <c r="E789">
        <f>Assumptions!$B$37*Assumptions!$B$22/C789-Assumptions!$B$38</f>
        <v/>
      </c>
      <c r="F789">
        <f>Assumptions!$B$39*Assumptions!$B$21/D789-Assumptions!$B$39</f>
        <v/>
      </c>
      <c r="G789">
        <f>MAX(0,Assumptions!$B$52*(Assumptions!$B$29+E789+F789+G788+H788+I788+Assumptions!$B$4/B789)-Assumptions!$B$30)</f>
        <v/>
      </c>
      <c r="H789">
        <f>Assumptions!$B$23/MIN(Assumptions!$B$24/(Assumptions!$B$29+E789+F789+G789+I788),B789*(1-Assumptions!$B$25))</f>
        <v/>
      </c>
      <c r="I789">
        <f>Assumptions!$B$26/MIN(Assumptions!$B$27/(Assumptions!$B$29+E789+F789+G789+H789),B789*(1-Assumptions!$B$28))</f>
        <v/>
      </c>
      <c r="J789">
        <f>Assumptions!$B$29+E789+F789+G789+H789+I789</f>
        <v/>
      </c>
      <c r="K789">
        <f>J789+Assumptions!$B$4/B789</f>
        <v/>
      </c>
      <c r="L789">
        <f>B789</f>
        <v/>
      </c>
    </row>
    <row r="790">
      <c r="A790" t="inlineStr">
        <is>
          <t>cell(2,0) iter 31</t>
        </is>
      </c>
      <c r="B790">
        <f>Assumptions!$B$53/J789</f>
        <v/>
      </c>
      <c r="C790">
        <f>IF(B790&lt;Assumptions!$B$20,Assumptions!$B$20*(Assumptions!$B$29+Assumptions!$B$4/Assumptions!$B$20)/(Assumptions!$B$29+Assumptions!$B$4/B790),Assumptions!$B$20)</f>
        <v/>
      </c>
      <c r="D790">
        <f>IF(B790&lt;Assumptions!$B$21,Assumptions!$B$21*(Assumptions!$B$29+Assumptions!$B$4/Assumptions!$B$21)/(Assumptions!$B$29+Assumptions!$B$4/B790),Assumptions!$B$21)</f>
        <v/>
      </c>
      <c r="E790">
        <f>Assumptions!$B$37*Assumptions!$B$22/C790-Assumptions!$B$38</f>
        <v/>
      </c>
      <c r="F790">
        <f>Assumptions!$B$39*Assumptions!$B$21/D790-Assumptions!$B$39</f>
        <v/>
      </c>
      <c r="G790">
        <f>MAX(0,Assumptions!$B$52*(Assumptions!$B$29+E790+F790+G789+H789+I789+Assumptions!$B$4/B790)-Assumptions!$B$30)</f>
        <v/>
      </c>
      <c r="H790">
        <f>Assumptions!$B$23/MIN(Assumptions!$B$24/(Assumptions!$B$29+E790+F790+G790+I789),B790*(1-Assumptions!$B$25))</f>
        <v/>
      </c>
      <c r="I790">
        <f>Assumptions!$B$26/MIN(Assumptions!$B$27/(Assumptions!$B$29+E790+F790+G790+H790),B790*(1-Assumptions!$B$28))</f>
        <v/>
      </c>
      <c r="J790">
        <f>Assumptions!$B$29+E790+F790+G790+H790+I790</f>
        <v/>
      </c>
      <c r="K790">
        <f>J790+Assumptions!$B$4/B790</f>
        <v/>
      </c>
      <c r="L790">
        <f>B790</f>
        <v/>
      </c>
    </row>
    <row r="791">
      <c r="A791" t="inlineStr">
        <is>
          <t>cell(2,0) iter 32</t>
        </is>
      </c>
      <c r="B791">
        <f>Assumptions!$B$53/J790</f>
        <v/>
      </c>
      <c r="C791">
        <f>IF(B791&lt;Assumptions!$B$20,Assumptions!$B$20*(Assumptions!$B$29+Assumptions!$B$4/Assumptions!$B$20)/(Assumptions!$B$29+Assumptions!$B$4/B791),Assumptions!$B$20)</f>
        <v/>
      </c>
      <c r="D791">
        <f>IF(B791&lt;Assumptions!$B$21,Assumptions!$B$21*(Assumptions!$B$29+Assumptions!$B$4/Assumptions!$B$21)/(Assumptions!$B$29+Assumptions!$B$4/B791),Assumptions!$B$21)</f>
        <v/>
      </c>
      <c r="E791">
        <f>Assumptions!$B$37*Assumptions!$B$22/C791-Assumptions!$B$38</f>
        <v/>
      </c>
      <c r="F791">
        <f>Assumptions!$B$39*Assumptions!$B$21/D791-Assumptions!$B$39</f>
        <v/>
      </c>
      <c r="G791">
        <f>MAX(0,Assumptions!$B$52*(Assumptions!$B$29+E791+F791+G790+H790+I790+Assumptions!$B$4/B791)-Assumptions!$B$30)</f>
        <v/>
      </c>
      <c r="H791">
        <f>Assumptions!$B$23/MIN(Assumptions!$B$24/(Assumptions!$B$29+E791+F791+G791+I790),B791*(1-Assumptions!$B$25))</f>
        <v/>
      </c>
      <c r="I791">
        <f>Assumptions!$B$26/MIN(Assumptions!$B$27/(Assumptions!$B$29+E791+F791+G791+H791),B791*(1-Assumptions!$B$28))</f>
        <v/>
      </c>
      <c r="J791">
        <f>Assumptions!$B$29+E791+F791+G791+H791+I791</f>
        <v/>
      </c>
      <c r="K791">
        <f>J791+Assumptions!$B$4/B791</f>
        <v/>
      </c>
      <c r="L791">
        <f>B791</f>
        <v/>
      </c>
    </row>
    <row r="792">
      <c r="A792" t="inlineStr">
        <is>
          <t>cell(2,0) iter 33</t>
        </is>
      </c>
      <c r="B792">
        <f>Assumptions!$B$53/J791</f>
        <v/>
      </c>
      <c r="C792">
        <f>IF(B792&lt;Assumptions!$B$20,Assumptions!$B$20*(Assumptions!$B$29+Assumptions!$B$4/Assumptions!$B$20)/(Assumptions!$B$29+Assumptions!$B$4/B792),Assumptions!$B$20)</f>
        <v/>
      </c>
      <c r="D792">
        <f>IF(B792&lt;Assumptions!$B$21,Assumptions!$B$21*(Assumptions!$B$29+Assumptions!$B$4/Assumptions!$B$21)/(Assumptions!$B$29+Assumptions!$B$4/B792),Assumptions!$B$21)</f>
        <v/>
      </c>
      <c r="E792">
        <f>Assumptions!$B$37*Assumptions!$B$22/C792-Assumptions!$B$38</f>
        <v/>
      </c>
      <c r="F792">
        <f>Assumptions!$B$39*Assumptions!$B$21/D792-Assumptions!$B$39</f>
        <v/>
      </c>
      <c r="G792">
        <f>MAX(0,Assumptions!$B$52*(Assumptions!$B$29+E792+F792+G791+H791+I791+Assumptions!$B$4/B792)-Assumptions!$B$30)</f>
        <v/>
      </c>
      <c r="H792">
        <f>Assumptions!$B$23/MIN(Assumptions!$B$24/(Assumptions!$B$29+E792+F792+G792+I791),B792*(1-Assumptions!$B$25))</f>
        <v/>
      </c>
      <c r="I792">
        <f>Assumptions!$B$26/MIN(Assumptions!$B$27/(Assumptions!$B$29+E792+F792+G792+H792),B792*(1-Assumptions!$B$28))</f>
        <v/>
      </c>
      <c r="J792">
        <f>Assumptions!$B$29+E792+F792+G792+H792+I792</f>
        <v/>
      </c>
      <c r="K792">
        <f>J792+Assumptions!$B$4/B792</f>
        <v/>
      </c>
      <c r="L792">
        <f>B792</f>
        <v/>
      </c>
    </row>
    <row r="793">
      <c r="A793" t="inlineStr">
        <is>
          <t>cell(2,0) iter 34</t>
        </is>
      </c>
      <c r="B793">
        <f>Assumptions!$B$53/J792</f>
        <v/>
      </c>
      <c r="C793">
        <f>IF(B793&lt;Assumptions!$B$20,Assumptions!$B$20*(Assumptions!$B$29+Assumptions!$B$4/Assumptions!$B$20)/(Assumptions!$B$29+Assumptions!$B$4/B793),Assumptions!$B$20)</f>
        <v/>
      </c>
      <c r="D793">
        <f>IF(B793&lt;Assumptions!$B$21,Assumptions!$B$21*(Assumptions!$B$29+Assumptions!$B$4/Assumptions!$B$21)/(Assumptions!$B$29+Assumptions!$B$4/B793),Assumptions!$B$21)</f>
        <v/>
      </c>
      <c r="E793">
        <f>Assumptions!$B$37*Assumptions!$B$22/C793-Assumptions!$B$38</f>
        <v/>
      </c>
      <c r="F793">
        <f>Assumptions!$B$39*Assumptions!$B$21/D793-Assumptions!$B$39</f>
        <v/>
      </c>
      <c r="G793">
        <f>MAX(0,Assumptions!$B$52*(Assumptions!$B$29+E793+F793+G792+H792+I792+Assumptions!$B$4/B793)-Assumptions!$B$30)</f>
        <v/>
      </c>
      <c r="H793">
        <f>Assumptions!$B$23/MIN(Assumptions!$B$24/(Assumptions!$B$29+E793+F793+G793+I792),B793*(1-Assumptions!$B$25))</f>
        <v/>
      </c>
      <c r="I793">
        <f>Assumptions!$B$26/MIN(Assumptions!$B$27/(Assumptions!$B$29+E793+F793+G793+H793),B793*(1-Assumptions!$B$28))</f>
        <v/>
      </c>
      <c r="J793">
        <f>Assumptions!$B$29+E793+F793+G793+H793+I793</f>
        <v/>
      </c>
      <c r="K793">
        <f>J793+Assumptions!$B$4/B793</f>
        <v/>
      </c>
      <c r="L793">
        <f>B793</f>
        <v/>
      </c>
    </row>
    <row r="794">
      <c r="A794" t="inlineStr">
        <is>
          <t>cell(2,0) iter 35</t>
        </is>
      </c>
      <c r="B794">
        <f>Assumptions!$B$53/J793</f>
        <v/>
      </c>
      <c r="C794">
        <f>IF(B794&lt;Assumptions!$B$20,Assumptions!$B$20*(Assumptions!$B$29+Assumptions!$B$4/Assumptions!$B$20)/(Assumptions!$B$29+Assumptions!$B$4/B794),Assumptions!$B$20)</f>
        <v/>
      </c>
      <c r="D794">
        <f>IF(B794&lt;Assumptions!$B$21,Assumptions!$B$21*(Assumptions!$B$29+Assumptions!$B$4/Assumptions!$B$21)/(Assumptions!$B$29+Assumptions!$B$4/B794),Assumptions!$B$21)</f>
        <v/>
      </c>
      <c r="E794">
        <f>Assumptions!$B$37*Assumptions!$B$22/C794-Assumptions!$B$38</f>
        <v/>
      </c>
      <c r="F794">
        <f>Assumptions!$B$39*Assumptions!$B$21/D794-Assumptions!$B$39</f>
        <v/>
      </c>
      <c r="G794">
        <f>MAX(0,Assumptions!$B$52*(Assumptions!$B$29+E794+F794+G793+H793+I793+Assumptions!$B$4/B794)-Assumptions!$B$30)</f>
        <v/>
      </c>
      <c r="H794">
        <f>Assumptions!$B$23/MIN(Assumptions!$B$24/(Assumptions!$B$29+E794+F794+G794+I793),B794*(1-Assumptions!$B$25))</f>
        <v/>
      </c>
      <c r="I794">
        <f>Assumptions!$B$26/MIN(Assumptions!$B$27/(Assumptions!$B$29+E794+F794+G794+H794),B794*(1-Assumptions!$B$28))</f>
        <v/>
      </c>
      <c r="J794">
        <f>Assumptions!$B$29+E794+F794+G794+H794+I794</f>
        <v/>
      </c>
      <c r="K794">
        <f>J794+Assumptions!$B$4/B794</f>
        <v/>
      </c>
      <c r="L794">
        <f>B794</f>
        <v/>
      </c>
    </row>
    <row r="795">
      <c r="A795" t="inlineStr">
        <is>
          <t>cell(2,0) iter 36</t>
        </is>
      </c>
      <c r="B795">
        <f>Assumptions!$B$53/J794</f>
        <v/>
      </c>
      <c r="C795">
        <f>IF(B795&lt;Assumptions!$B$20,Assumptions!$B$20*(Assumptions!$B$29+Assumptions!$B$4/Assumptions!$B$20)/(Assumptions!$B$29+Assumptions!$B$4/B795),Assumptions!$B$20)</f>
        <v/>
      </c>
      <c r="D795">
        <f>IF(B795&lt;Assumptions!$B$21,Assumptions!$B$21*(Assumptions!$B$29+Assumptions!$B$4/Assumptions!$B$21)/(Assumptions!$B$29+Assumptions!$B$4/B795),Assumptions!$B$21)</f>
        <v/>
      </c>
      <c r="E795">
        <f>Assumptions!$B$37*Assumptions!$B$22/C795-Assumptions!$B$38</f>
        <v/>
      </c>
      <c r="F795">
        <f>Assumptions!$B$39*Assumptions!$B$21/D795-Assumptions!$B$39</f>
        <v/>
      </c>
      <c r="G795">
        <f>MAX(0,Assumptions!$B$52*(Assumptions!$B$29+E795+F795+G794+H794+I794+Assumptions!$B$4/B795)-Assumptions!$B$30)</f>
        <v/>
      </c>
      <c r="H795">
        <f>Assumptions!$B$23/MIN(Assumptions!$B$24/(Assumptions!$B$29+E795+F795+G795+I794),B795*(1-Assumptions!$B$25))</f>
        <v/>
      </c>
      <c r="I795">
        <f>Assumptions!$B$26/MIN(Assumptions!$B$27/(Assumptions!$B$29+E795+F795+G795+H795),B795*(1-Assumptions!$B$28))</f>
        <v/>
      </c>
      <c r="J795">
        <f>Assumptions!$B$29+E795+F795+G795+H795+I795</f>
        <v/>
      </c>
      <c r="K795">
        <f>J795+Assumptions!$B$4/B795</f>
        <v/>
      </c>
      <c r="L795">
        <f>B795</f>
        <v/>
      </c>
    </row>
    <row r="796">
      <c r="A796" t="inlineStr">
        <is>
          <t>cell(2,0) iter 37</t>
        </is>
      </c>
      <c r="B796">
        <f>Assumptions!$B$53/J795</f>
        <v/>
      </c>
      <c r="C796">
        <f>IF(B796&lt;Assumptions!$B$20,Assumptions!$B$20*(Assumptions!$B$29+Assumptions!$B$4/Assumptions!$B$20)/(Assumptions!$B$29+Assumptions!$B$4/B796),Assumptions!$B$20)</f>
        <v/>
      </c>
      <c r="D796">
        <f>IF(B796&lt;Assumptions!$B$21,Assumptions!$B$21*(Assumptions!$B$29+Assumptions!$B$4/Assumptions!$B$21)/(Assumptions!$B$29+Assumptions!$B$4/B796),Assumptions!$B$21)</f>
        <v/>
      </c>
      <c r="E796">
        <f>Assumptions!$B$37*Assumptions!$B$22/C796-Assumptions!$B$38</f>
        <v/>
      </c>
      <c r="F796">
        <f>Assumptions!$B$39*Assumptions!$B$21/D796-Assumptions!$B$39</f>
        <v/>
      </c>
      <c r="G796">
        <f>MAX(0,Assumptions!$B$52*(Assumptions!$B$29+E796+F796+G795+H795+I795+Assumptions!$B$4/B796)-Assumptions!$B$30)</f>
        <v/>
      </c>
      <c r="H796">
        <f>Assumptions!$B$23/MIN(Assumptions!$B$24/(Assumptions!$B$29+E796+F796+G796+I795),B796*(1-Assumptions!$B$25))</f>
        <v/>
      </c>
      <c r="I796">
        <f>Assumptions!$B$26/MIN(Assumptions!$B$27/(Assumptions!$B$29+E796+F796+G796+H796),B796*(1-Assumptions!$B$28))</f>
        <v/>
      </c>
      <c r="J796">
        <f>Assumptions!$B$29+E796+F796+G796+H796+I796</f>
        <v/>
      </c>
      <c r="K796">
        <f>J796+Assumptions!$B$4/B796</f>
        <v/>
      </c>
      <c r="L796">
        <f>B796</f>
        <v/>
      </c>
    </row>
    <row r="797">
      <c r="A797" t="inlineStr">
        <is>
          <t>cell(2,0) iter 38</t>
        </is>
      </c>
      <c r="B797">
        <f>Assumptions!$B$53/J796</f>
        <v/>
      </c>
      <c r="C797">
        <f>IF(B797&lt;Assumptions!$B$20,Assumptions!$B$20*(Assumptions!$B$29+Assumptions!$B$4/Assumptions!$B$20)/(Assumptions!$B$29+Assumptions!$B$4/B797),Assumptions!$B$20)</f>
        <v/>
      </c>
      <c r="D797">
        <f>IF(B797&lt;Assumptions!$B$21,Assumptions!$B$21*(Assumptions!$B$29+Assumptions!$B$4/Assumptions!$B$21)/(Assumptions!$B$29+Assumptions!$B$4/B797),Assumptions!$B$21)</f>
        <v/>
      </c>
      <c r="E797">
        <f>Assumptions!$B$37*Assumptions!$B$22/C797-Assumptions!$B$38</f>
        <v/>
      </c>
      <c r="F797">
        <f>Assumptions!$B$39*Assumptions!$B$21/D797-Assumptions!$B$39</f>
        <v/>
      </c>
      <c r="G797">
        <f>MAX(0,Assumptions!$B$52*(Assumptions!$B$29+E797+F797+G796+H796+I796+Assumptions!$B$4/B797)-Assumptions!$B$30)</f>
        <v/>
      </c>
      <c r="H797">
        <f>Assumptions!$B$23/MIN(Assumptions!$B$24/(Assumptions!$B$29+E797+F797+G797+I796),B797*(1-Assumptions!$B$25))</f>
        <v/>
      </c>
      <c r="I797">
        <f>Assumptions!$B$26/MIN(Assumptions!$B$27/(Assumptions!$B$29+E797+F797+G797+H797),B797*(1-Assumptions!$B$28))</f>
        <v/>
      </c>
      <c r="J797">
        <f>Assumptions!$B$29+E797+F797+G797+H797+I797</f>
        <v/>
      </c>
      <c r="K797">
        <f>J797+Assumptions!$B$4/B797</f>
        <v/>
      </c>
      <c r="L797">
        <f>B797</f>
        <v/>
      </c>
    </row>
    <row r="798">
      <c r="A798" t="inlineStr">
        <is>
          <t>cell(2,0) iter 39</t>
        </is>
      </c>
      <c r="B798">
        <f>Assumptions!$B$53/J797</f>
        <v/>
      </c>
      <c r="C798">
        <f>IF(B798&lt;Assumptions!$B$20,Assumptions!$B$20*(Assumptions!$B$29+Assumptions!$B$4/Assumptions!$B$20)/(Assumptions!$B$29+Assumptions!$B$4/B798),Assumptions!$B$20)</f>
        <v/>
      </c>
      <c r="D798">
        <f>IF(B798&lt;Assumptions!$B$21,Assumptions!$B$21*(Assumptions!$B$29+Assumptions!$B$4/Assumptions!$B$21)/(Assumptions!$B$29+Assumptions!$B$4/B798),Assumptions!$B$21)</f>
        <v/>
      </c>
      <c r="E798">
        <f>Assumptions!$B$37*Assumptions!$B$22/C798-Assumptions!$B$38</f>
        <v/>
      </c>
      <c r="F798">
        <f>Assumptions!$B$39*Assumptions!$B$21/D798-Assumptions!$B$39</f>
        <v/>
      </c>
      <c r="G798">
        <f>MAX(0,Assumptions!$B$52*(Assumptions!$B$29+E798+F798+G797+H797+I797+Assumptions!$B$4/B798)-Assumptions!$B$30)</f>
        <v/>
      </c>
      <c r="H798">
        <f>Assumptions!$B$23/MIN(Assumptions!$B$24/(Assumptions!$B$29+E798+F798+G798+I797),B798*(1-Assumptions!$B$25))</f>
        <v/>
      </c>
      <c r="I798">
        <f>Assumptions!$B$26/MIN(Assumptions!$B$27/(Assumptions!$B$29+E798+F798+G798+H798),B798*(1-Assumptions!$B$28))</f>
        <v/>
      </c>
      <c r="J798">
        <f>Assumptions!$B$29+E798+F798+G798+H798+I798</f>
        <v/>
      </c>
      <c r="K798">
        <f>J798+Assumptions!$B$4/B798</f>
        <v/>
      </c>
      <c r="L798">
        <f>B798</f>
        <v/>
      </c>
    </row>
    <row r="799">
      <c r="A799" t="inlineStr">
        <is>
          <t>cell(2,0) iter 40</t>
        </is>
      </c>
      <c r="B799">
        <f>Assumptions!$B$53/J798</f>
        <v/>
      </c>
      <c r="C799">
        <f>IF(B799&lt;Assumptions!$B$20,Assumptions!$B$20*(Assumptions!$B$29+Assumptions!$B$4/Assumptions!$B$20)/(Assumptions!$B$29+Assumptions!$B$4/B799),Assumptions!$B$20)</f>
        <v/>
      </c>
      <c r="D799">
        <f>IF(B799&lt;Assumptions!$B$21,Assumptions!$B$21*(Assumptions!$B$29+Assumptions!$B$4/Assumptions!$B$21)/(Assumptions!$B$29+Assumptions!$B$4/B799),Assumptions!$B$21)</f>
        <v/>
      </c>
      <c r="E799">
        <f>Assumptions!$B$37*Assumptions!$B$22/C799-Assumptions!$B$38</f>
        <v/>
      </c>
      <c r="F799">
        <f>Assumptions!$B$39*Assumptions!$B$21/D799-Assumptions!$B$39</f>
        <v/>
      </c>
      <c r="G799">
        <f>MAX(0,Assumptions!$B$52*(Assumptions!$B$29+E799+F799+G798+H798+I798+Assumptions!$B$4/B799)-Assumptions!$B$30)</f>
        <v/>
      </c>
      <c r="H799">
        <f>Assumptions!$B$23/MIN(Assumptions!$B$24/(Assumptions!$B$29+E799+F799+G799+I798),B799*(1-Assumptions!$B$25))</f>
        <v/>
      </c>
      <c r="I799">
        <f>Assumptions!$B$26/MIN(Assumptions!$B$27/(Assumptions!$B$29+E799+F799+G799+H799),B799*(1-Assumptions!$B$28))</f>
        <v/>
      </c>
      <c r="J799">
        <f>Assumptions!$B$29+E799+F799+G799+H799+I799</f>
        <v/>
      </c>
      <c r="K799">
        <f>J799+Assumptions!$B$4/B799</f>
        <v/>
      </c>
      <c r="L799">
        <f>B799</f>
        <v/>
      </c>
    </row>
    <row r="800">
      <c r="A800" t="inlineStr">
        <is>
          <t>cell(2,0) iter 41</t>
        </is>
      </c>
      <c r="B800">
        <f>Assumptions!$B$53/J799</f>
        <v/>
      </c>
      <c r="C800">
        <f>IF(B800&lt;Assumptions!$B$20,Assumptions!$B$20*(Assumptions!$B$29+Assumptions!$B$4/Assumptions!$B$20)/(Assumptions!$B$29+Assumptions!$B$4/B800),Assumptions!$B$20)</f>
        <v/>
      </c>
      <c r="D800">
        <f>IF(B800&lt;Assumptions!$B$21,Assumptions!$B$21*(Assumptions!$B$29+Assumptions!$B$4/Assumptions!$B$21)/(Assumptions!$B$29+Assumptions!$B$4/B800),Assumptions!$B$21)</f>
        <v/>
      </c>
      <c r="E800">
        <f>Assumptions!$B$37*Assumptions!$B$22/C800-Assumptions!$B$38</f>
        <v/>
      </c>
      <c r="F800">
        <f>Assumptions!$B$39*Assumptions!$B$21/D800-Assumptions!$B$39</f>
        <v/>
      </c>
      <c r="G800">
        <f>MAX(0,Assumptions!$B$52*(Assumptions!$B$29+E800+F800+G799+H799+I799+Assumptions!$B$4/B800)-Assumptions!$B$30)</f>
        <v/>
      </c>
      <c r="H800">
        <f>Assumptions!$B$23/MIN(Assumptions!$B$24/(Assumptions!$B$29+E800+F800+G800+I799),B800*(1-Assumptions!$B$25))</f>
        <v/>
      </c>
      <c r="I800">
        <f>Assumptions!$B$26/MIN(Assumptions!$B$27/(Assumptions!$B$29+E800+F800+G800+H800),B800*(1-Assumptions!$B$28))</f>
        <v/>
      </c>
      <c r="J800">
        <f>Assumptions!$B$29+E800+F800+G800+H800+I800</f>
        <v/>
      </c>
      <c r="K800">
        <f>J800+Assumptions!$B$4/B800</f>
        <v/>
      </c>
      <c r="L800">
        <f>B800</f>
        <v/>
      </c>
    </row>
    <row r="801">
      <c r="A801" t="inlineStr">
        <is>
          <t>cell(2,0) iter 42</t>
        </is>
      </c>
      <c r="B801">
        <f>Assumptions!$B$53/J800</f>
        <v/>
      </c>
      <c r="C801">
        <f>IF(B801&lt;Assumptions!$B$20,Assumptions!$B$20*(Assumptions!$B$29+Assumptions!$B$4/Assumptions!$B$20)/(Assumptions!$B$29+Assumptions!$B$4/B801),Assumptions!$B$20)</f>
        <v/>
      </c>
      <c r="D801">
        <f>IF(B801&lt;Assumptions!$B$21,Assumptions!$B$21*(Assumptions!$B$29+Assumptions!$B$4/Assumptions!$B$21)/(Assumptions!$B$29+Assumptions!$B$4/B801),Assumptions!$B$21)</f>
        <v/>
      </c>
      <c r="E801">
        <f>Assumptions!$B$37*Assumptions!$B$22/C801-Assumptions!$B$38</f>
        <v/>
      </c>
      <c r="F801">
        <f>Assumptions!$B$39*Assumptions!$B$21/D801-Assumptions!$B$39</f>
        <v/>
      </c>
      <c r="G801">
        <f>MAX(0,Assumptions!$B$52*(Assumptions!$B$29+E801+F801+G800+H800+I800+Assumptions!$B$4/B801)-Assumptions!$B$30)</f>
        <v/>
      </c>
      <c r="H801">
        <f>Assumptions!$B$23/MIN(Assumptions!$B$24/(Assumptions!$B$29+E801+F801+G801+I800),B801*(1-Assumptions!$B$25))</f>
        <v/>
      </c>
      <c r="I801">
        <f>Assumptions!$B$26/MIN(Assumptions!$B$27/(Assumptions!$B$29+E801+F801+G801+H801),B801*(1-Assumptions!$B$28))</f>
        <v/>
      </c>
      <c r="J801">
        <f>Assumptions!$B$29+E801+F801+G801+H801+I801</f>
        <v/>
      </c>
      <c r="K801">
        <f>J801+Assumptions!$B$4/B801</f>
        <v/>
      </c>
      <c r="L801">
        <f>B801</f>
        <v/>
      </c>
    </row>
    <row r="802">
      <c r="A802" t="inlineStr">
        <is>
          <t>cell(2,0) iter 43</t>
        </is>
      </c>
      <c r="B802">
        <f>Assumptions!$B$53/J801</f>
        <v/>
      </c>
      <c r="C802">
        <f>IF(B802&lt;Assumptions!$B$20,Assumptions!$B$20*(Assumptions!$B$29+Assumptions!$B$4/Assumptions!$B$20)/(Assumptions!$B$29+Assumptions!$B$4/B802),Assumptions!$B$20)</f>
        <v/>
      </c>
      <c r="D802">
        <f>IF(B802&lt;Assumptions!$B$21,Assumptions!$B$21*(Assumptions!$B$29+Assumptions!$B$4/Assumptions!$B$21)/(Assumptions!$B$29+Assumptions!$B$4/B802),Assumptions!$B$21)</f>
        <v/>
      </c>
      <c r="E802">
        <f>Assumptions!$B$37*Assumptions!$B$22/C802-Assumptions!$B$38</f>
        <v/>
      </c>
      <c r="F802">
        <f>Assumptions!$B$39*Assumptions!$B$21/D802-Assumptions!$B$39</f>
        <v/>
      </c>
      <c r="G802">
        <f>MAX(0,Assumptions!$B$52*(Assumptions!$B$29+E802+F802+G801+H801+I801+Assumptions!$B$4/B802)-Assumptions!$B$30)</f>
        <v/>
      </c>
      <c r="H802">
        <f>Assumptions!$B$23/MIN(Assumptions!$B$24/(Assumptions!$B$29+E802+F802+G802+I801),B802*(1-Assumptions!$B$25))</f>
        <v/>
      </c>
      <c r="I802">
        <f>Assumptions!$B$26/MIN(Assumptions!$B$27/(Assumptions!$B$29+E802+F802+G802+H802),B802*(1-Assumptions!$B$28))</f>
        <v/>
      </c>
      <c r="J802">
        <f>Assumptions!$B$29+E802+F802+G802+H802+I802</f>
        <v/>
      </c>
      <c r="K802">
        <f>J802+Assumptions!$B$4/B802</f>
        <v/>
      </c>
      <c r="L802">
        <f>B802</f>
        <v/>
      </c>
    </row>
    <row r="803">
      <c r="A803" t="inlineStr">
        <is>
          <t>cell(2,0) iter 44</t>
        </is>
      </c>
      <c r="B803">
        <f>Assumptions!$B$53/J802</f>
        <v/>
      </c>
      <c r="C803">
        <f>IF(B803&lt;Assumptions!$B$20,Assumptions!$B$20*(Assumptions!$B$29+Assumptions!$B$4/Assumptions!$B$20)/(Assumptions!$B$29+Assumptions!$B$4/B803),Assumptions!$B$20)</f>
        <v/>
      </c>
      <c r="D803">
        <f>IF(B803&lt;Assumptions!$B$21,Assumptions!$B$21*(Assumptions!$B$29+Assumptions!$B$4/Assumptions!$B$21)/(Assumptions!$B$29+Assumptions!$B$4/B803),Assumptions!$B$21)</f>
        <v/>
      </c>
      <c r="E803">
        <f>Assumptions!$B$37*Assumptions!$B$22/C803-Assumptions!$B$38</f>
        <v/>
      </c>
      <c r="F803">
        <f>Assumptions!$B$39*Assumptions!$B$21/D803-Assumptions!$B$39</f>
        <v/>
      </c>
      <c r="G803">
        <f>MAX(0,Assumptions!$B$52*(Assumptions!$B$29+E803+F803+G802+H802+I802+Assumptions!$B$4/B803)-Assumptions!$B$30)</f>
        <v/>
      </c>
      <c r="H803">
        <f>Assumptions!$B$23/MIN(Assumptions!$B$24/(Assumptions!$B$29+E803+F803+G803+I802),B803*(1-Assumptions!$B$25))</f>
        <v/>
      </c>
      <c r="I803">
        <f>Assumptions!$B$26/MIN(Assumptions!$B$27/(Assumptions!$B$29+E803+F803+G803+H803),B803*(1-Assumptions!$B$28))</f>
        <v/>
      </c>
      <c r="J803">
        <f>Assumptions!$B$29+E803+F803+G803+H803+I803</f>
        <v/>
      </c>
      <c r="K803">
        <f>J803+Assumptions!$B$4/B803</f>
        <v/>
      </c>
      <c r="L803">
        <f>B803</f>
        <v/>
      </c>
    </row>
    <row r="804">
      <c r="A804" t="inlineStr">
        <is>
          <t>cell(2,0) iter 45</t>
        </is>
      </c>
      <c r="B804">
        <f>Assumptions!$B$53/J803</f>
        <v/>
      </c>
      <c r="C804">
        <f>IF(B804&lt;Assumptions!$B$20,Assumptions!$B$20*(Assumptions!$B$29+Assumptions!$B$4/Assumptions!$B$20)/(Assumptions!$B$29+Assumptions!$B$4/B804),Assumptions!$B$20)</f>
        <v/>
      </c>
      <c r="D804">
        <f>IF(B804&lt;Assumptions!$B$21,Assumptions!$B$21*(Assumptions!$B$29+Assumptions!$B$4/Assumptions!$B$21)/(Assumptions!$B$29+Assumptions!$B$4/B804),Assumptions!$B$21)</f>
        <v/>
      </c>
      <c r="E804">
        <f>Assumptions!$B$37*Assumptions!$B$22/C804-Assumptions!$B$38</f>
        <v/>
      </c>
      <c r="F804">
        <f>Assumptions!$B$39*Assumptions!$B$21/D804-Assumptions!$B$39</f>
        <v/>
      </c>
      <c r="G804">
        <f>MAX(0,Assumptions!$B$52*(Assumptions!$B$29+E804+F804+G803+H803+I803+Assumptions!$B$4/B804)-Assumptions!$B$30)</f>
        <v/>
      </c>
      <c r="H804">
        <f>Assumptions!$B$23/MIN(Assumptions!$B$24/(Assumptions!$B$29+E804+F804+G804+I803),B804*(1-Assumptions!$B$25))</f>
        <v/>
      </c>
      <c r="I804">
        <f>Assumptions!$B$26/MIN(Assumptions!$B$27/(Assumptions!$B$29+E804+F804+G804+H804),B804*(1-Assumptions!$B$28))</f>
        <v/>
      </c>
      <c r="J804">
        <f>Assumptions!$B$29+E804+F804+G804+H804+I804</f>
        <v/>
      </c>
      <c r="K804">
        <f>J804+Assumptions!$B$4/B804</f>
        <v/>
      </c>
      <c r="L804">
        <f>B804</f>
        <v/>
      </c>
    </row>
    <row r="805">
      <c r="A805" t="inlineStr">
        <is>
          <t>cell(2,0) iter 46</t>
        </is>
      </c>
      <c r="B805">
        <f>Assumptions!$B$53/J804</f>
        <v/>
      </c>
      <c r="C805">
        <f>IF(B805&lt;Assumptions!$B$20,Assumptions!$B$20*(Assumptions!$B$29+Assumptions!$B$4/Assumptions!$B$20)/(Assumptions!$B$29+Assumptions!$B$4/B805),Assumptions!$B$20)</f>
        <v/>
      </c>
      <c r="D805">
        <f>IF(B805&lt;Assumptions!$B$21,Assumptions!$B$21*(Assumptions!$B$29+Assumptions!$B$4/Assumptions!$B$21)/(Assumptions!$B$29+Assumptions!$B$4/B805),Assumptions!$B$21)</f>
        <v/>
      </c>
      <c r="E805">
        <f>Assumptions!$B$37*Assumptions!$B$22/C805-Assumptions!$B$38</f>
        <v/>
      </c>
      <c r="F805">
        <f>Assumptions!$B$39*Assumptions!$B$21/D805-Assumptions!$B$39</f>
        <v/>
      </c>
      <c r="G805">
        <f>MAX(0,Assumptions!$B$52*(Assumptions!$B$29+E805+F805+G804+H804+I804+Assumptions!$B$4/B805)-Assumptions!$B$30)</f>
        <v/>
      </c>
      <c r="H805">
        <f>Assumptions!$B$23/MIN(Assumptions!$B$24/(Assumptions!$B$29+E805+F805+G805+I804),B805*(1-Assumptions!$B$25))</f>
        <v/>
      </c>
      <c r="I805">
        <f>Assumptions!$B$26/MIN(Assumptions!$B$27/(Assumptions!$B$29+E805+F805+G805+H805),B805*(1-Assumptions!$B$28))</f>
        <v/>
      </c>
      <c r="J805">
        <f>Assumptions!$B$29+E805+F805+G805+H805+I805</f>
        <v/>
      </c>
      <c r="K805">
        <f>J805+Assumptions!$B$4/B805</f>
        <v/>
      </c>
      <c r="L805">
        <f>B805</f>
        <v/>
      </c>
    </row>
    <row r="806">
      <c r="A806" t="inlineStr">
        <is>
          <t>cell(2,0) iter 47</t>
        </is>
      </c>
      <c r="B806">
        <f>Assumptions!$B$53/J805</f>
        <v/>
      </c>
      <c r="C806">
        <f>IF(B806&lt;Assumptions!$B$20,Assumptions!$B$20*(Assumptions!$B$29+Assumptions!$B$4/Assumptions!$B$20)/(Assumptions!$B$29+Assumptions!$B$4/B806),Assumptions!$B$20)</f>
        <v/>
      </c>
      <c r="D806">
        <f>IF(B806&lt;Assumptions!$B$21,Assumptions!$B$21*(Assumptions!$B$29+Assumptions!$B$4/Assumptions!$B$21)/(Assumptions!$B$29+Assumptions!$B$4/B806),Assumptions!$B$21)</f>
        <v/>
      </c>
      <c r="E806">
        <f>Assumptions!$B$37*Assumptions!$B$22/C806-Assumptions!$B$38</f>
        <v/>
      </c>
      <c r="F806">
        <f>Assumptions!$B$39*Assumptions!$B$21/D806-Assumptions!$B$39</f>
        <v/>
      </c>
      <c r="G806">
        <f>MAX(0,Assumptions!$B$52*(Assumptions!$B$29+E806+F806+G805+H805+I805+Assumptions!$B$4/B806)-Assumptions!$B$30)</f>
        <v/>
      </c>
      <c r="H806">
        <f>Assumptions!$B$23/MIN(Assumptions!$B$24/(Assumptions!$B$29+E806+F806+G806+I805),B806*(1-Assumptions!$B$25))</f>
        <v/>
      </c>
      <c r="I806">
        <f>Assumptions!$B$26/MIN(Assumptions!$B$27/(Assumptions!$B$29+E806+F806+G806+H806),B806*(1-Assumptions!$B$28))</f>
        <v/>
      </c>
      <c r="J806">
        <f>Assumptions!$B$29+E806+F806+G806+H806+I806</f>
        <v/>
      </c>
      <c r="K806">
        <f>J806+Assumptions!$B$4/B806</f>
        <v/>
      </c>
      <c r="L806">
        <f>B806</f>
        <v/>
      </c>
    </row>
    <row r="807">
      <c r="A807" t="inlineStr">
        <is>
          <t>cell(2,0) iter 48</t>
        </is>
      </c>
      <c r="B807">
        <f>Assumptions!$B$53/J806</f>
        <v/>
      </c>
      <c r="C807">
        <f>IF(B807&lt;Assumptions!$B$20,Assumptions!$B$20*(Assumptions!$B$29+Assumptions!$B$4/Assumptions!$B$20)/(Assumptions!$B$29+Assumptions!$B$4/B807),Assumptions!$B$20)</f>
        <v/>
      </c>
      <c r="D807">
        <f>IF(B807&lt;Assumptions!$B$21,Assumptions!$B$21*(Assumptions!$B$29+Assumptions!$B$4/Assumptions!$B$21)/(Assumptions!$B$29+Assumptions!$B$4/B807),Assumptions!$B$21)</f>
        <v/>
      </c>
      <c r="E807">
        <f>Assumptions!$B$37*Assumptions!$B$22/C807-Assumptions!$B$38</f>
        <v/>
      </c>
      <c r="F807">
        <f>Assumptions!$B$39*Assumptions!$B$21/D807-Assumptions!$B$39</f>
        <v/>
      </c>
      <c r="G807">
        <f>MAX(0,Assumptions!$B$52*(Assumptions!$B$29+E807+F807+G806+H806+I806+Assumptions!$B$4/B807)-Assumptions!$B$30)</f>
        <v/>
      </c>
      <c r="H807">
        <f>Assumptions!$B$23/MIN(Assumptions!$B$24/(Assumptions!$B$29+E807+F807+G807+I806),B807*(1-Assumptions!$B$25))</f>
        <v/>
      </c>
      <c r="I807">
        <f>Assumptions!$B$26/MIN(Assumptions!$B$27/(Assumptions!$B$29+E807+F807+G807+H807),B807*(1-Assumptions!$B$28))</f>
        <v/>
      </c>
      <c r="J807">
        <f>Assumptions!$B$29+E807+F807+G807+H807+I807</f>
        <v/>
      </c>
      <c r="K807">
        <f>J807+Assumptions!$B$4/B807</f>
        <v/>
      </c>
      <c r="L807">
        <f>B807</f>
        <v/>
      </c>
    </row>
    <row r="808">
      <c r="A808" t="inlineStr">
        <is>
          <t>cell(2,0) iter 49</t>
        </is>
      </c>
      <c r="B808">
        <f>Assumptions!$B$53/J807</f>
        <v/>
      </c>
      <c r="C808">
        <f>IF(B808&lt;Assumptions!$B$20,Assumptions!$B$20*(Assumptions!$B$29+Assumptions!$B$4/Assumptions!$B$20)/(Assumptions!$B$29+Assumptions!$B$4/B808),Assumptions!$B$20)</f>
        <v/>
      </c>
      <c r="D808">
        <f>IF(B808&lt;Assumptions!$B$21,Assumptions!$B$21*(Assumptions!$B$29+Assumptions!$B$4/Assumptions!$B$21)/(Assumptions!$B$29+Assumptions!$B$4/B808),Assumptions!$B$21)</f>
        <v/>
      </c>
      <c r="E808">
        <f>Assumptions!$B$37*Assumptions!$B$22/C808-Assumptions!$B$38</f>
        <v/>
      </c>
      <c r="F808">
        <f>Assumptions!$B$39*Assumptions!$B$21/D808-Assumptions!$B$39</f>
        <v/>
      </c>
      <c r="G808">
        <f>MAX(0,Assumptions!$B$52*(Assumptions!$B$29+E808+F808+G807+H807+I807+Assumptions!$B$4/B808)-Assumptions!$B$30)</f>
        <v/>
      </c>
      <c r="H808">
        <f>Assumptions!$B$23/MIN(Assumptions!$B$24/(Assumptions!$B$29+E808+F808+G808+I807),B808*(1-Assumptions!$B$25))</f>
        <v/>
      </c>
      <c r="I808">
        <f>Assumptions!$B$26/MIN(Assumptions!$B$27/(Assumptions!$B$29+E808+F808+G808+H808),B808*(1-Assumptions!$B$28))</f>
        <v/>
      </c>
      <c r="J808">
        <f>Assumptions!$B$29+E808+F808+G808+H808+I808</f>
        <v/>
      </c>
      <c r="K808">
        <f>J808+Assumptions!$B$4/B808</f>
        <v/>
      </c>
      <c r="L808">
        <f>B808</f>
        <v/>
      </c>
    </row>
    <row r="809">
      <c r="A809" t="inlineStr">
        <is>
          <t>cell(2,0) iter 50</t>
        </is>
      </c>
      <c r="B809">
        <f>Assumptions!$B$53/J808</f>
        <v/>
      </c>
      <c r="C809">
        <f>IF(B809&lt;Assumptions!$B$20,Assumptions!$B$20*(Assumptions!$B$29+Assumptions!$B$4/Assumptions!$B$20)/(Assumptions!$B$29+Assumptions!$B$4/B809),Assumptions!$B$20)</f>
        <v/>
      </c>
      <c r="D809">
        <f>IF(B809&lt;Assumptions!$B$21,Assumptions!$B$21*(Assumptions!$B$29+Assumptions!$B$4/Assumptions!$B$21)/(Assumptions!$B$29+Assumptions!$B$4/B809),Assumptions!$B$21)</f>
        <v/>
      </c>
      <c r="E809">
        <f>Assumptions!$B$37*Assumptions!$B$22/C809-Assumptions!$B$38</f>
        <v/>
      </c>
      <c r="F809">
        <f>Assumptions!$B$39*Assumptions!$B$21/D809-Assumptions!$B$39</f>
        <v/>
      </c>
      <c r="G809">
        <f>MAX(0,Assumptions!$B$52*(Assumptions!$B$29+E809+F809+G808+H808+I808+Assumptions!$B$4/B809)-Assumptions!$B$30)</f>
        <v/>
      </c>
      <c r="H809">
        <f>Assumptions!$B$23/MIN(Assumptions!$B$24/(Assumptions!$B$29+E809+F809+G809+I808),B809*(1-Assumptions!$B$25))</f>
        <v/>
      </c>
      <c r="I809">
        <f>Assumptions!$B$26/MIN(Assumptions!$B$27/(Assumptions!$B$29+E809+F809+G809+H809),B809*(1-Assumptions!$B$28))</f>
        <v/>
      </c>
      <c r="J809">
        <f>Assumptions!$B$29+E809+F809+G809+H809+I809</f>
        <v/>
      </c>
      <c r="K809">
        <f>J809+Assumptions!$B$4/B809</f>
        <v/>
      </c>
      <c r="L809">
        <f>B809</f>
        <v/>
      </c>
    </row>
    <row r="810">
      <c r="A810" t="inlineStr">
        <is>
          <t>cell(2,0) iter 51</t>
        </is>
      </c>
      <c r="B810">
        <f>Assumptions!$B$53/J809</f>
        <v/>
      </c>
      <c r="C810">
        <f>IF(B810&lt;Assumptions!$B$20,Assumptions!$B$20*(Assumptions!$B$29+Assumptions!$B$4/Assumptions!$B$20)/(Assumptions!$B$29+Assumptions!$B$4/B810),Assumptions!$B$20)</f>
        <v/>
      </c>
      <c r="D810">
        <f>IF(B810&lt;Assumptions!$B$21,Assumptions!$B$21*(Assumptions!$B$29+Assumptions!$B$4/Assumptions!$B$21)/(Assumptions!$B$29+Assumptions!$B$4/B810),Assumptions!$B$21)</f>
        <v/>
      </c>
      <c r="E810">
        <f>Assumptions!$B$37*Assumptions!$B$22/C810-Assumptions!$B$38</f>
        <v/>
      </c>
      <c r="F810">
        <f>Assumptions!$B$39*Assumptions!$B$21/D810-Assumptions!$B$39</f>
        <v/>
      </c>
      <c r="G810">
        <f>MAX(0,Assumptions!$B$52*(Assumptions!$B$29+E810+F810+G809+H809+I809+Assumptions!$B$4/B810)-Assumptions!$B$30)</f>
        <v/>
      </c>
      <c r="H810">
        <f>Assumptions!$B$23/MIN(Assumptions!$B$24/(Assumptions!$B$29+E810+F810+G810+I809),B810*(1-Assumptions!$B$25))</f>
        <v/>
      </c>
      <c r="I810">
        <f>Assumptions!$B$26/MIN(Assumptions!$B$27/(Assumptions!$B$29+E810+F810+G810+H810),B810*(1-Assumptions!$B$28))</f>
        <v/>
      </c>
      <c r="J810">
        <f>Assumptions!$B$29+E810+F810+G810+H810+I810</f>
        <v/>
      </c>
      <c r="K810">
        <f>J810+Assumptions!$B$4/B810</f>
        <v/>
      </c>
      <c r="L810">
        <f>B810</f>
        <v/>
      </c>
    </row>
    <row r="811">
      <c r="A811" t="inlineStr">
        <is>
          <t>cell(2,0) iter 52</t>
        </is>
      </c>
      <c r="B811">
        <f>Assumptions!$B$53/J810</f>
        <v/>
      </c>
      <c r="C811">
        <f>IF(B811&lt;Assumptions!$B$20,Assumptions!$B$20*(Assumptions!$B$29+Assumptions!$B$4/Assumptions!$B$20)/(Assumptions!$B$29+Assumptions!$B$4/B811),Assumptions!$B$20)</f>
        <v/>
      </c>
      <c r="D811">
        <f>IF(B811&lt;Assumptions!$B$21,Assumptions!$B$21*(Assumptions!$B$29+Assumptions!$B$4/Assumptions!$B$21)/(Assumptions!$B$29+Assumptions!$B$4/B811),Assumptions!$B$21)</f>
        <v/>
      </c>
      <c r="E811">
        <f>Assumptions!$B$37*Assumptions!$B$22/C811-Assumptions!$B$38</f>
        <v/>
      </c>
      <c r="F811">
        <f>Assumptions!$B$39*Assumptions!$B$21/D811-Assumptions!$B$39</f>
        <v/>
      </c>
      <c r="G811">
        <f>MAX(0,Assumptions!$B$52*(Assumptions!$B$29+E811+F811+G810+H810+I810+Assumptions!$B$4/B811)-Assumptions!$B$30)</f>
        <v/>
      </c>
      <c r="H811">
        <f>Assumptions!$B$23/MIN(Assumptions!$B$24/(Assumptions!$B$29+E811+F811+G811+I810),B811*(1-Assumptions!$B$25))</f>
        <v/>
      </c>
      <c r="I811">
        <f>Assumptions!$B$26/MIN(Assumptions!$B$27/(Assumptions!$B$29+E811+F811+G811+H811),B811*(1-Assumptions!$B$28))</f>
        <v/>
      </c>
      <c r="J811">
        <f>Assumptions!$B$29+E811+F811+G811+H811+I811</f>
        <v/>
      </c>
      <c r="K811">
        <f>J811+Assumptions!$B$4/B811</f>
        <v/>
      </c>
      <c r="L811">
        <f>B811</f>
        <v/>
      </c>
    </row>
    <row r="812">
      <c r="A812" t="inlineStr">
        <is>
          <t>cell(2,0) iter 53</t>
        </is>
      </c>
      <c r="B812">
        <f>Assumptions!$B$53/J811</f>
        <v/>
      </c>
      <c r="C812">
        <f>IF(B812&lt;Assumptions!$B$20,Assumptions!$B$20*(Assumptions!$B$29+Assumptions!$B$4/Assumptions!$B$20)/(Assumptions!$B$29+Assumptions!$B$4/B812),Assumptions!$B$20)</f>
        <v/>
      </c>
      <c r="D812">
        <f>IF(B812&lt;Assumptions!$B$21,Assumptions!$B$21*(Assumptions!$B$29+Assumptions!$B$4/Assumptions!$B$21)/(Assumptions!$B$29+Assumptions!$B$4/B812),Assumptions!$B$21)</f>
        <v/>
      </c>
      <c r="E812">
        <f>Assumptions!$B$37*Assumptions!$B$22/C812-Assumptions!$B$38</f>
        <v/>
      </c>
      <c r="F812">
        <f>Assumptions!$B$39*Assumptions!$B$21/D812-Assumptions!$B$39</f>
        <v/>
      </c>
      <c r="G812">
        <f>MAX(0,Assumptions!$B$52*(Assumptions!$B$29+E812+F812+G811+H811+I811+Assumptions!$B$4/B812)-Assumptions!$B$30)</f>
        <v/>
      </c>
      <c r="H812">
        <f>Assumptions!$B$23/MIN(Assumptions!$B$24/(Assumptions!$B$29+E812+F812+G812+I811),B812*(1-Assumptions!$B$25))</f>
        <v/>
      </c>
      <c r="I812">
        <f>Assumptions!$B$26/MIN(Assumptions!$B$27/(Assumptions!$B$29+E812+F812+G812+H812),B812*(1-Assumptions!$B$28))</f>
        <v/>
      </c>
      <c r="J812">
        <f>Assumptions!$B$29+E812+F812+G812+H812+I812</f>
        <v/>
      </c>
      <c r="K812">
        <f>J812+Assumptions!$B$4/B812</f>
        <v/>
      </c>
      <c r="L812">
        <f>B812</f>
        <v/>
      </c>
    </row>
    <row r="813">
      <c r="A813" t="inlineStr">
        <is>
          <t>cell(2,0) iter 54</t>
        </is>
      </c>
      <c r="B813">
        <f>Assumptions!$B$53/J812</f>
        <v/>
      </c>
      <c r="C813">
        <f>IF(B813&lt;Assumptions!$B$20,Assumptions!$B$20*(Assumptions!$B$29+Assumptions!$B$4/Assumptions!$B$20)/(Assumptions!$B$29+Assumptions!$B$4/B813),Assumptions!$B$20)</f>
        <v/>
      </c>
      <c r="D813">
        <f>IF(B813&lt;Assumptions!$B$21,Assumptions!$B$21*(Assumptions!$B$29+Assumptions!$B$4/Assumptions!$B$21)/(Assumptions!$B$29+Assumptions!$B$4/B813),Assumptions!$B$21)</f>
        <v/>
      </c>
      <c r="E813">
        <f>Assumptions!$B$37*Assumptions!$B$22/C813-Assumptions!$B$38</f>
        <v/>
      </c>
      <c r="F813">
        <f>Assumptions!$B$39*Assumptions!$B$21/D813-Assumptions!$B$39</f>
        <v/>
      </c>
      <c r="G813">
        <f>MAX(0,Assumptions!$B$52*(Assumptions!$B$29+E813+F813+G812+H812+I812+Assumptions!$B$4/B813)-Assumptions!$B$30)</f>
        <v/>
      </c>
      <c r="H813">
        <f>Assumptions!$B$23/MIN(Assumptions!$B$24/(Assumptions!$B$29+E813+F813+G813+I812),B813*(1-Assumptions!$B$25))</f>
        <v/>
      </c>
      <c r="I813">
        <f>Assumptions!$B$26/MIN(Assumptions!$B$27/(Assumptions!$B$29+E813+F813+G813+H813),B813*(1-Assumptions!$B$28))</f>
        <v/>
      </c>
      <c r="J813">
        <f>Assumptions!$B$29+E813+F813+G813+H813+I813</f>
        <v/>
      </c>
      <c r="K813">
        <f>J813+Assumptions!$B$4/B813</f>
        <v/>
      </c>
      <c r="L813">
        <f>B813</f>
        <v/>
      </c>
    </row>
    <row r="814">
      <c r="A814" t="inlineStr">
        <is>
          <t>cell(2,0) iter 55</t>
        </is>
      </c>
      <c r="B814">
        <f>Assumptions!$B$53/J813</f>
        <v/>
      </c>
      <c r="C814">
        <f>IF(B814&lt;Assumptions!$B$20,Assumptions!$B$20*(Assumptions!$B$29+Assumptions!$B$4/Assumptions!$B$20)/(Assumptions!$B$29+Assumptions!$B$4/B814),Assumptions!$B$20)</f>
        <v/>
      </c>
      <c r="D814">
        <f>IF(B814&lt;Assumptions!$B$21,Assumptions!$B$21*(Assumptions!$B$29+Assumptions!$B$4/Assumptions!$B$21)/(Assumptions!$B$29+Assumptions!$B$4/B814),Assumptions!$B$21)</f>
        <v/>
      </c>
      <c r="E814">
        <f>Assumptions!$B$37*Assumptions!$B$22/C814-Assumptions!$B$38</f>
        <v/>
      </c>
      <c r="F814">
        <f>Assumptions!$B$39*Assumptions!$B$21/D814-Assumptions!$B$39</f>
        <v/>
      </c>
      <c r="G814">
        <f>MAX(0,Assumptions!$B$52*(Assumptions!$B$29+E814+F814+G813+H813+I813+Assumptions!$B$4/B814)-Assumptions!$B$30)</f>
        <v/>
      </c>
      <c r="H814">
        <f>Assumptions!$B$23/MIN(Assumptions!$B$24/(Assumptions!$B$29+E814+F814+G814+I813),B814*(1-Assumptions!$B$25))</f>
        <v/>
      </c>
      <c r="I814">
        <f>Assumptions!$B$26/MIN(Assumptions!$B$27/(Assumptions!$B$29+E814+F814+G814+H814),B814*(1-Assumptions!$B$28))</f>
        <v/>
      </c>
      <c r="J814">
        <f>Assumptions!$B$29+E814+F814+G814+H814+I814</f>
        <v/>
      </c>
      <c r="K814">
        <f>J814+Assumptions!$B$4/B814</f>
        <v/>
      </c>
      <c r="L814">
        <f>B814</f>
        <v/>
      </c>
    </row>
    <row r="815">
      <c r="A815" t="inlineStr">
        <is>
          <t>cell(2,0) iter 56</t>
        </is>
      </c>
      <c r="B815">
        <f>Assumptions!$B$53/J814</f>
        <v/>
      </c>
      <c r="C815">
        <f>IF(B815&lt;Assumptions!$B$20,Assumptions!$B$20*(Assumptions!$B$29+Assumptions!$B$4/Assumptions!$B$20)/(Assumptions!$B$29+Assumptions!$B$4/B815),Assumptions!$B$20)</f>
        <v/>
      </c>
      <c r="D815">
        <f>IF(B815&lt;Assumptions!$B$21,Assumptions!$B$21*(Assumptions!$B$29+Assumptions!$B$4/Assumptions!$B$21)/(Assumptions!$B$29+Assumptions!$B$4/B815),Assumptions!$B$21)</f>
        <v/>
      </c>
      <c r="E815">
        <f>Assumptions!$B$37*Assumptions!$B$22/C815-Assumptions!$B$38</f>
        <v/>
      </c>
      <c r="F815">
        <f>Assumptions!$B$39*Assumptions!$B$21/D815-Assumptions!$B$39</f>
        <v/>
      </c>
      <c r="G815">
        <f>MAX(0,Assumptions!$B$52*(Assumptions!$B$29+E815+F815+G814+H814+I814+Assumptions!$B$4/B815)-Assumptions!$B$30)</f>
        <v/>
      </c>
      <c r="H815">
        <f>Assumptions!$B$23/MIN(Assumptions!$B$24/(Assumptions!$B$29+E815+F815+G815+I814),B815*(1-Assumptions!$B$25))</f>
        <v/>
      </c>
      <c r="I815">
        <f>Assumptions!$B$26/MIN(Assumptions!$B$27/(Assumptions!$B$29+E815+F815+G815+H815),B815*(1-Assumptions!$B$28))</f>
        <v/>
      </c>
      <c r="J815">
        <f>Assumptions!$B$29+E815+F815+G815+H815+I815</f>
        <v/>
      </c>
      <c r="K815">
        <f>J815+Assumptions!$B$4/B815</f>
        <v/>
      </c>
      <c r="L815">
        <f>B815</f>
        <v/>
      </c>
    </row>
    <row r="816">
      <c r="A816" t="inlineStr">
        <is>
          <t>cell(2,0) iter 57</t>
        </is>
      </c>
      <c r="B816">
        <f>Assumptions!$B$53/J815</f>
        <v/>
      </c>
      <c r="C816">
        <f>IF(B816&lt;Assumptions!$B$20,Assumptions!$B$20*(Assumptions!$B$29+Assumptions!$B$4/Assumptions!$B$20)/(Assumptions!$B$29+Assumptions!$B$4/B816),Assumptions!$B$20)</f>
        <v/>
      </c>
      <c r="D816">
        <f>IF(B816&lt;Assumptions!$B$21,Assumptions!$B$21*(Assumptions!$B$29+Assumptions!$B$4/Assumptions!$B$21)/(Assumptions!$B$29+Assumptions!$B$4/B816),Assumptions!$B$21)</f>
        <v/>
      </c>
      <c r="E816">
        <f>Assumptions!$B$37*Assumptions!$B$22/C816-Assumptions!$B$38</f>
        <v/>
      </c>
      <c r="F816">
        <f>Assumptions!$B$39*Assumptions!$B$21/D816-Assumptions!$B$39</f>
        <v/>
      </c>
      <c r="G816">
        <f>MAX(0,Assumptions!$B$52*(Assumptions!$B$29+E816+F816+G815+H815+I815+Assumptions!$B$4/B816)-Assumptions!$B$30)</f>
        <v/>
      </c>
      <c r="H816">
        <f>Assumptions!$B$23/MIN(Assumptions!$B$24/(Assumptions!$B$29+E816+F816+G816+I815),B816*(1-Assumptions!$B$25))</f>
        <v/>
      </c>
      <c r="I816">
        <f>Assumptions!$B$26/MIN(Assumptions!$B$27/(Assumptions!$B$29+E816+F816+G816+H816),B816*(1-Assumptions!$B$28))</f>
        <v/>
      </c>
      <c r="J816">
        <f>Assumptions!$B$29+E816+F816+G816+H816+I816</f>
        <v/>
      </c>
      <c r="K816">
        <f>J816+Assumptions!$B$4/B816</f>
        <v/>
      </c>
      <c r="L816">
        <f>B816</f>
        <v/>
      </c>
    </row>
    <row r="817">
      <c r="A817" t="inlineStr">
        <is>
          <t>cell(2,0) iter 58</t>
        </is>
      </c>
      <c r="B817">
        <f>Assumptions!$B$53/J816</f>
        <v/>
      </c>
      <c r="C817">
        <f>IF(B817&lt;Assumptions!$B$20,Assumptions!$B$20*(Assumptions!$B$29+Assumptions!$B$4/Assumptions!$B$20)/(Assumptions!$B$29+Assumptions!$B$4/B817),Assumptions!$B$20)</f>
        <v/>
      </c>
      <c r="D817">
        <f>IF(B817&lt;Assumptions!$B$21,Assumptions!$B$21*(Assumptions!$B$29+Assumptions!$B$4/Assumptions!$B$21)/(Assumptions!$B$29+Assumptions!$B$4/B817),Assumptions!$B$21)</f>
        <v/>
      </c>
      <c r="E817">
        <f>Assumptions!$B$37*Assumptions!$B$22/C817-Assumptions!$B$38</f>
        <v/>
      </c>
      <c r="F817">
        <f>Assumptions!$B$39*Assumptions!$B$21/D817-Assumptions!$B$39</f>
        <v/>
      </c>
      <c r="G817">
        <f>MAX(0,Assumptions!$B$52*(Assumptions!$B$29+E817+F817+G816+H816+I816+Assumptions!$B$4/B817)-Assumptions!$B$30)</f>
        <v/>
      </c>
      <c r="H817">
        <f>Assumptions!$B$23/MIN(Assumptions!$B$24/(Assumptions!$B$29+E817+F817+G817+I816),B817*(1-Assumptions!$B$25))</f>
        <v/>
      </c>
      <c r="I817">
        <f>Assumptions!$B$26/MIN(Assumptions!$B$27/(Assumptions!$B$29+E817+F817+G817+H817),B817*(1-Assumptions!$B$28))</f>
        <v/>
      </c>
      <c r="J817">
        <f>Assumptions!$B$29+E817+F817+G817+H817+I817</f>
        <v/>
      </c>
      <c r="K817">
        <f>J817+Assumptions!$B$4/B817</f>
        <v/>
      </c>
      <c r="L817">
        <f>B817</f>
        <v/>
      </c>
    </row>
    <row r="818">
      <c r="A818" t="inlineStr">
        <is>
          <t>cell(2,0) iter 59</t>
        </is>
      </c>
      <c r="B818">
        <f>Assumptions!$B$53/J817</f>
        <v/>
      </c>
      <c r="C818">
        <f>IF(B818&lt;Assumptions!$B$20,Assumptions!$B$20*(Assumptions!$B$29+Assumptions!$B$4/Assumptions!$B$20)/(Assumptions!$B$29+Assumptions!$B$4/B818),Assumptions!$B$20)</f>
        <v/>
      </c>
      <c r="D818">
        <f>IF(B818&lt;Assumptions!$B$21,Assumptions!$B$21*(Assumptions!$B$29+Assumptions!$B$4/Assumptions!$B$21)/(Assumptions!$B$29+Assumptions!$B$4/B818),Assumptions!$B$21)</f>
        <v/>
      </c>
      <c r="E818">
        <f>Assumptions!$B$37*Assumptions!$B$22/C818-Assumptions!$B$38</f>
        <v/>
      </c>
      <c r="F818">
        <f>Assumptions!$B$39*Assumptions!$B$21/D818-Assumptions!$B$39</f>
        <v/>
      </c>
      <c r="G818">
        <f>MAX(0,Assumptions!$B$52*(Assumptions!$B$29+E818+F818+G817+H817+I817+Assumptions!$B$4/B818)-Assumptions!$B$30)</f>
        <v/>
      </c>
      <c r="H818">
        <f>Assumptions!$B$23/MIN(Assumptions!$B$24/(Assumptions!$B$29+E818+F818+G818+I817),B818*(1-Assumptions!$B$25))</f>
        <v/>
      </c>
      <c r="I818">
        <f>Assumptions!$B$26/MIN(Assumptions!$B$27/(Assumptions!$B$29+E818+F818+G818+H818),B818*(1-Assumptions!$B$28))</f>
        <v/>
      </c>
      <c r="J818">
        <f>Assumptions!$B$29+E818+F818+G818+H818+I818</f>
        <v/>
      </c>
      <c r="K818">
        <f>J818+Assumptions!$B$4/B818</f>
        <v/>
      </c>
      <c r="L818">
        <f>B818</f>
        <v/>
      </c>
    </row>
    <row r="819">
      <c r="A819" t="inlineStr">
        <is>
          <t>cell(2,0) iter 60</t>
        </is>
      </c>
      <c r="B819">
        <f>Assumptions!$B$53/J818</f>
        <v/>
      </c>
      <c r="C819">
        <f>IF(B819&lt;Assumptions!$B$20,Assumptions!$B$20*(Assumptions!$B$29+Assumptions!$B$4/Assumptions!$B$20)/(Assumptions!$B$29+Assumptions!$B$4/B819),Assumptions!$B$20)</f>
        <v/>
      </c>
      <c r="D819">
        <f>IF(B819&lt;Assumptions!$B$21,Assumptions!$B$21*(Assumptions!$B$29+Assumptions!$B$4/Assumptions!$B$21)/(Assumptions!$B$29+Assumptions!$B$4/B819),Assumptions!$B$21)</f>
        <v/>
      </c>
      <c r="E819">
        <f>Assumptions!$B$37*Assumptions!$B$22/C819-Assumptions!$B$38</f>
        <v/>
      </c>
      <c r="F819">
        <f>Assumptions!$B$39*Assumptions!$B$21/D819-Assumptions!$B$39</f>
        <v/>
      </c>
      <c r="G819">
        <f>MAX(0,Assumptions!$B$52*(Assumptions!$B$29+E819+F819+G818+H818+I818+Assumptions!$B$4/B819)-Assumptions!$B$30)</f>
        <v/>
      </c>
      <c r="H819">
        <f>Assumptions!$B$23/MIN(Assumptions!$B$24/(Assumptions!$B$29+E819+F819+G819+I818),B819*(1-Assumptions!$B$25))</f>
        <v/>
      </c>
      <c r="I819">
        <f>Assumptions!$B$26/MIN(Assumptions!$B$27/(Assumptions!$B$29+E819+F819+G819+H819),B819*(1-Assumptions!$B$28))</f>
        <v/>
      </c>
      <c r="J819">
        <f>Assumptions!$B$29+E819+F819+G819+H819+I819</f>
        <v/>
      </c>
      <c r="K819">
        <f>J819+Assumptions!$B$4/B819</f>
        <v/>
      </c>
      <c r="L819">
        <f>B819</f>
        <v/>
      </c>
    </row>
    <row r="820">
      <c r="A820" t="inlineStr">
        <is>
          <t>cell(2,0) iter 61</t>
        </is>
      </c>
      <c r="B820">
        <f>Assumptions!$B$53/J819</f>
        <v/>
      </c>
      <c r="C820">
        <f>IF(B820&lt;Assumptions!$B$20,Assumptions!$B$20*(Assumptions!$B$29+Assumptions!$B$4/Assumptions!$B$20)/(Assumptions!$B$29+Assumptions!$B$4/B820),Assumptions!$B$20)</f>
        <v/>
      </c>
      <c r="D820">
        <f>IF(B820&lt;Assumptions!$B$21,Assumptions!$B$21*(Assumptions!$B$29+Assumptions!$B$4/Assumptions!$B$21)/(Assumptions!$B$29+Assumptions!$B$4/B820),Assumptions!$B$21)</f>
        <v/>
      </c>
      <c r="E820">
        <f>Assumptions!$B$37*Assumptions!$B$22/C820-Assumptions!$B$38</f>
        <v/>
      </c>
      <c r="F820">
        <f>Assumptions!$B$39*Assumptions!$B$21/D820-Assumptions!$B$39</f>
        <v/>
      </c>
      <c r="G820">
        <f>MAX(0,Assumptions!$B$52*(Assumptions!$B$29+E820+F820+G819+H819+I819+Assumptions!$B$4/B820)-Assumptions!$B$30)</f>
        <v/>
      </c>
      <c r="H820">
        <f>Assumptions!$B$23/MIN(Assumptions!$B$24/(Assumptions!$B$29+E820+F820+G820+I819),B820*(1-Assumptions!$B$25))</f>
        <v/>
      </c>
      <c r="I820">
        <f>Assumptions!$B$26/MIN(Assumptions!$B$27/(Assumptions!$B$29+E820+F820+G820+H820),B820*(1-Assumptions!$B$28))</f>
        <v/>
      </c>
      <c r="J820">
        <f>Assumptions!$B$29+E820+F820+G820+H820+I820</f>
        <v/>
      </c>
      <c r="K820">
        <f>J820+Assumptions!$B$4/B820</f>
        <v/>
      </c>
      <c r="L820">
        <f>B820</f>
        <v/>
      </c>
    </row>
    <row r="821">
      <c r="A821" t="inlineStr">
        <is>
          <t>cell(2,0) iter 62</t>
        </is>
      </c>
      <c r="B821">
        <f>Assumptions!$B$53/J820</f>
        <v/>
      </c>
      <c r="C821">
        <f>IF(B821&lt;Assumptions!$B$20,Assumptions!$B$20*(Assumptions!$B$29+Assumptions!$B$4/Assumptions!$B$20)/(Assumptions!$B$29+Assumptions!$B$4/B821),Assumptions!$B$20)</f>
        <v/>
      </c>
      <c r="D821">
        <f>IF(B821&lt;Assumptions!$B$21,Assumptions!$B$21*(Assumptions!$B$29+Assumptions!$B$4/Assumptions!$B$21)/(Assumptions!$B$29+Assumptions!$B$4/B821),Assumptions!$B$21)</f>
        <v/>
      </c>
      <c r="E821">
        <f>Assumptions!$B$37*Assumptions!$B$22/C821-Assumptions!$B$38</f>
        <v/>
      </c>
      <c r="F821">
        <f>Assumptions!$B$39*Assumptions!$B$21/D821-Assumptions!$B$39</f>
        <v/>
      </c>
      <c r="G821">
        <f>MAX(0,Assumptions!$B$52*(Assumptions!$B$29+E821+F821+G820+H820+I820+Assumptions!$B$4/B821)-Assumptions!$B$30)</f>
        <v/>
      </c>
      <c r="H821">
        <f>Assumptions!$B$23/MIN(Assumptions!$B$24/(Assumptions!$B$29+E821+F821+G821+I820),B821*(1-Assumptions!$B$25))</f>
        <v/>
      </c>
      <c r="I821">
        <f>Assumptions!$B$26/MIN(Assumptions!$B$27/(Assumptions!$B$29+E821+F821+G821+H821),B821*(1-Assumptions!$B$28))</f>
        <v/>
      </c>
      <c r="J821">
        <f>Assumptions!$B$29+E821+F821+G821+H821+I821</f>
        <v/>
      </c>
      <c r="K821">
        <f>J821+Assumptions!$B$4/B821</f>
        <v/>
      </c>
      <c r="L821">
        <f>B821</f>
        <v/>
      </c>
    </row>
    <row r="822">
      <c r="A822" t="inlineStr">
        <is>
          <t>cell(2,0) iter 63</t>
        </is>
      </c>
      <c r="B822">
        <f>Assumptions!$B$53/J821</f>
        <v/>
      </c>
      <c r="C822">
        <f>IF(B822&lt;Assumptions!$B$20,Assumptions!$B$20*(Assumptions!$B$29+Assumptions!$B$4/Assumptions!$B$20)/(Assumptions!$B$29+Assumptions!$B$4/B822),Assumptions!$B$20)</f>
        <v/>
      </c>
      <c r="D822">
        <f>IF(B822&lt;Assumptions!$B$21,Assumptions!$B$21*(Assumptions!$B$29+Assumptions!$B$4/Assumptions!$B$21)/(Assumptions!$B$29+Assumptions!$B$4/B822),Assumptions!$B$21)</f>
        <v/>
      </c>
      <c r="E822">
        <f>Assumptions!$B$37*Assumptions!$B$22/C822-Assumptions!$B$38</f>
        <v/>
      </c>
      <c r="F822">
        <f>Assumptions!$B$39*Assumptions!$B$21/D822-Assumptions!$B$39</f>
        <v/>
      </c>
      <c r="G822">
        <f>MAX(0,Assumptions!$B$52*(Assumptions!$B$29+E822+F822+G821+H821+I821+Assumptions!$B$4/B822)-Assumptions!$B$30)</f>
        <v/>
      </c>
      <c r="H822">
        <f>Assumptions!$B$23/MIN(Assumptions!$B$24/(Assumptions!$B$29+E822+F822+G822+I821),B822*(1-Assumptions!$B$25))</f>
        <v/>
      </c>
      <c r="I822">
        <f>Assumptions!$B$26/MIN(Assumptions!$B$27/(Assumptions!$B$29+E822+F822+G822+H822),B822*(1-Assumptions!$B$28))</f>
        <v/>
      </c>
      <c r="J822">
        <f>Assumptions!$B$29+E822+F822+G822+H822+I822</f>
        <v/>
      </c>
      <c r="K822">
        <f>J822+Assumptions!$B$4/B822</f>
        <v/>
      </c>
      <c r="L822">
        <f>B822</f>
        <v/>
      </c>
    </row>
    <row r="823">
      <c r="A823" t="inlineStr">
        <is>
          <t>cell(2,0) iter 64</t>
        </is>
      </c>
      <c r="B823">
        <f>Assumptions!$B$53/J822</f>
        <v/>
      </c>
      <c r="C823">
        <f>IF(B823&lt;Assumptions!$B$20,Assumptions!$B$20*(Assumptions!$B$29+Assumptions!$B$4/Assumptions!$B$20)/(Assumptions!$B$29+Assumptions!$B$4/B823),Assumptions!$B$20)</f>
        <v/>
      </c>
      <c r="D823">
        <f>IF(B823&lt;Assumptions!$B$21,Assumptions!$B$21*(Assumptions!$B$29+Assumptions!$B$4/Assumptions!$B$21)/(Assumptions!$B$29+Assumptions!$B$4/B823),Assumptions!$B$21)</f>
        <v/>
      </c>
      <c r="E823">
        <f>Assumptions!$B$37*Assumptions!$B$22/C823-Assumptions!$B$38</f>
        <v/>
      </c>
      <c r="F823">
        <f>Assumptions!$B$39*Assumptions!$B$21/D823-Assumptions!$B$39</f>
        <v/>
      </c>
      <c r="G823">
        <f>MAX(0,Assumptions!$B$52*(Assumptions!$B$29+E823+F823+G822+H822+I822+Assumptions!$B$4/B823)-Assumptions!$B$30)</f>
        <v/>
      </c>
      <c r="H823">
        <f>Assumptions!$B$23/MIN(Assumptions!$B$24/(Assumptions!$B$29+E823+F823+G823+I822),B823*(1-Assumptions!$B$25))</f>
        <v/>
      </c>
      <c r="I823">
        <f>Assumptions!$B$26/MIN(Assumptions!$B$27/(Assumptions!$B$29+E823+F823+G823+H823),B823*(1-Assumptions!$B$28))</f>
        <v/>
      </c>
      <c r="J823">
        <f>Assumptions!$B$29+E823+F823+G823+H823+I823</f>
        <v/>
      </c>
      <c r="K823">
        <f>J823+Assumptions!$B$4/B823</f>
        <v/>
      </c>
      <c r="L823">
        <f>B823</f>
        <v/>
      </c>
    </row>
    <row r="824">
      <c r="A824" t="inlineStr">
        <is>
          <t>cell(2,0) iter 65</t>
        </is>
      </c>
      <c r="B824">
        <f>Assumptions!$B$53/J823</f>
        <v/>
      </c>
      <c r="C824">
        <f>IF(B824&lt;Assumptions!$B$20,Assumptions!$B$20*(Assumptions!$B$29+Assumptions!$B$4/Assumptions!$B$20)/(Assumptions!$B$29+Assumptions!$B$4/B824),Assumptions!$B$20)</f>
        <v/>
      </c>
      <c r="D824">
        <f>IF(B824&lt;Assumptions!$B$21,Assumptions!$B$21*(Assumptions!$B$29+Assumptions!$B$4/Assumptions!$B$21)/(Assumptions!$B$29+Assumptions!$B$4/B824),Assumptions!$B$21)</f>
        <v/>
      </c>
      <c r="E824">
        <f>Assumptions!$B$37*Assumptions!$B$22/C824-Assumptions!$B$38</f>
        <v/>
      </c>
      <c r="F824">
        <f>Assumptions!$B$39*Assumptions!$B$21/D824-Assumptions!$B$39</f>
        <v/>
      </c>
      <c r="G824">
        <f>MAX(0,Assumptions!$B$52*(Assumptions!$B$29+E824+F824+G823+H823+I823+Assumptions!$B$4/B824)-Assumptions!$B$30)</f>
        <v/>
      </c>
      <c r="H824">
        <f>Assumptions!$B$23/MIN(Assumptions!$B$24/(Assumptions!$B$29+E824+F824+G824+I823),B824*(1-Assumptions!$B$25))</f>
        <v/>
      </c>
      <c r="I824">
        <f>Assumptions!$B$26/MIN(Assumptions!$B$27/(Assumptions!$B$29+E824+F824+G824+H824),B824*(1-Assumptions!$B$28))</f>
        <v/>
      </c>
      <c r="J824">
        <f>Assumptions!$B$29+E824+F824+G824+H824+I824</f>
        <v/>
      </c>
      <c r="K824">
        <f>J824+Assumptions!$B$4/B824</f>
        <v/>
      </c>
      <c r="L824">
        <f>B824</f>
        <v/>
      </c>
    </row>
    <row r="825">
      <c r="A825" t="inlineStr">
        <is>
          <t>cell(2,0) iter 66</t>
        </is>
      </c>
      <c r="B825">
        <f>Assumptions!$B$53/J824</f>
        <v/>
      </c>
      <c r="C825">
        <f>IF(B825&lt;Assumptions!$B$20,Assumptions!$B$20*(Assumptions!$B$29+Assumptions!$B$4/Assumptions!$B$20)/(Assumptions!$B$29+Assumptions!$B$4/B825),Assumptions!$B$20)</f>
        <v/>
      </c>
      <c r="D825">
        <f>IF(B825&lt;Assumptions!$B$21,Assumptions!$B$21*(Assumptions!$B$29+Assumptions!$B$4/Assumptions!$B$21)/(Assumptions!$B$29+Assumptions!$B$4/B825),Assumptions!$B$21)</f>
        <v/>
      </c>
      <c r="E825">
        <f>Assumptions!$B$37*Assumptions!$B$22/C825-Assumptions!$B$38</f>
        <v/>
      </c>
      <c r="F825">
        <f>Assumptions!$B$39*Assumptions!$B$21/D825-Assumptions!$B$39</f>
        <v/>
      </c>
      <c r="G825">
        <f>MAX(0,Assumptions!$B$52*(Assumptions!$B$29+E825+F825+G824+H824+I824+Assumptions!$B$4/B825)-Assumptions!$B$30)</f>
        <v/>
      </c>
      <c r="H825">
        <f>Assumptions!$B$23/MIN(Assumptions!$B$24/(Assumptions!$B$29+E825+F825+G825+I824),B825*(1-Assumptions!$B$25))</f>
        <v/>
      </c>
      <c r="I825">
        <f>Assumptions!$B$26/MIN(Assumptions!$B$27/(Assumptions!$B$29+E825+F825+G825+H825),B825*(1-Assumptions!$B$28))</f>
        <v/>
      </c>
      <c r="J825">
        <f>Assumptions!$B$29+E825+F825+G825+H825+I825</f>
        <v/>
      </c>
      <c r="K825">
        <f>J825+Assumptions!$B$4/B825</f>
        <v/>
      </c>
      <c r="L825">
        <f>B825</f>
        <v/>
      </c>
    </row>
    <row r="826">
      <c r="A826" t="inlineStr">
        <is>
          <t>cell(2,0) iter 67</t>
        </is>
      </c>
      <c r="B826">
        <f>Assumptions!$B$53/J825</f>
        <v/>
      </c>
      <c r="C826">
        <f>IF(B826&lt;Assumptions!$B$20,Assumptions!$B$20*(Assumptions!$B$29+Assumptions!$B$4/Assumptions!$B$20)/(Assumptions!$B$29+Assumptions!$B$4/B826),Assumptions!$B$20)</f>
        <v/>
      </c>
      <c r="D826">
        <f>IF(B826&lt;Assumptions!$B$21,Assumptions!$B$21*(Assumptions!$B$29+Assumptions!$B$4/Assumptions!$B$21)/(Assumptions!$B$29+Assumptions!$B$4/B826),Assumptions!$B$21)</f>
        <v/>
      </c>
      <c r="E826">
        <f>Assumptions!$B$37*Assumptions!$B$22/C826-Assumptions!$B$38</f>
        <v/>
      </c>
      <c r="F826">
        <f>Assumptions!$B$39*Assumptions!$B$21/D826-Assumptions!$B$39</f>
        <v/>
      </c>
      <c r="G826">
        <f>MAX(0,Assumptions!$B$52*(Assumptions!$B$29+E826+F826+G825+H825+I825+Assumptions!$B$4/B826)-Assumptions!$B$30)</f>
        <v/>
      </c>
      <c r="H826">
        <f>Assumptions!$B$23/MIN(Assumptions!$B$24/(Assumptions!$B$29+E826+F826+G826+I825),B826*(1-Assumptions!$B$25))</f>
        <v/>
      </c>
      <c r="I826">
        <f>Assumptions!$B$26/MIN(Assumptions!$B$27/(Assumptions!$B$29+E826+F826+G826+H826),B826*(1-Assumptions!$B$28))</f>
        <v/>
      </c>
      <c r="J826">
        <f>Assumptions!$B$29+E826+F826+G826+H826+I826</f>
        <v/>
      </c>
      <c r="K826">
        <f>J826+Assumptions!$B$4/B826</f>
        <v/>
      </c>
      <c r="L826">
        <f>B826</f>
        <v/>
      </c>
    </row>
    <row r="827">
      <c r="A827" t="inlineStr">
        <is>
          <t>cell(2,0) iter 68</t>
        </is>
      </c>
      <c r="B827">
        <f>Assumptions!$B$53/J826</f>
        <v/>
      </c>
      <c r="C827">
        <f>IF(B827&lt;Assumptions!$B$20,Assumptions!$B$20*(Assumptions!$B$29+Assumptions!$B$4/Assumptions!$B$20)/(Assumptions!$B$29+Assumptions!$B$4/B827),Assumptions!$B$20)</f>
        <v/>
      </c>
      <c r="D827">
        <f>IF(B827&lt;Assumptions!$B$21,Assumptions!$B$21*(Assumptions!$B$29+Assumptions!$B$4/Assumptions!$B$21)/(Assumptions!$B$29+Assumptions!$B$4/B827),Assumptions!$B$21)</f>
        <v/>
      </c>
      <c r="E827">
        <f>Assumptions!$B$37*Assumptions!$B$22/C827-Assumptions!$B$38</f>
        <v/>
      </c>
      <c r="F827">
        <f>Assumptions!$B$39*Assumptions!$B$21/D827-Assumptions!$B$39</f>
        <v/>
      </c>
      <c r="G827">
        <f>MAX(0,Assumptions!$B$52*(Assumptions!$B$29+E827+F827+G826+H826+I826+Assumptions!$B$4/B827)-Assumptions!$B$30)</f>
        <v/>
      </c>
      <c r="H827">
        <f>Assumptions!$B$23/MIN(Assumptions!$B$24/(Assumptions!$B$29+E827+F827+G827+I826),B827*(1-Assumptions!$B$25))</f>
        <v/>
      </c>
      <c r="I827">
        <f>Assumptions!$B$26/MIN(Assumptions!$B$27/(Assumptions!$B$29+E827+F827+G827+H827),B827*(1-Assumptions!$B$28))</f>
        <v/>
      </c>
      <c r="J827">
        <f>Assumptions!$B$29+E827+F827+G827+H827+I827</f>
        <v/>
      </c>
      <c r="K827">
        <f>J827+Assumptions!$B$4/B827</f>
        <v/>
      </c>
      <c r="L827">
        <f>B827</f>
        <v/>
      </c>
    </row>
    <row r="828">
      <c r="A828" t="inlineStr">
        <is>
          <t>cell(2,0) iter 69</t>
        </is>
      </c>
      <c r="B828">
        <f>Assumptions!$B$53/J827</f>
        <v/>
      </c>
      <c r="C828">
        <f>IF(B828&lt;Assumptions!$B$20,Assumptions!$B$20*(Assumptions!$B$29+Assumptions!$B$4/Assumptions!$B$20)/(Assumptions!$B$29+Assumptions!$B$4/B828),Assumptions!$B$20)</f>
        <v/>
      </c>
      <c r="D828">
        <f>IF(B828&lt;Assumptions!$B$21,Assumptions!$B$21*(Assumptions!$B$29+Assumptions!$B$4/Assumptions!$B$21)/(Assumptions!$B$29+Assumptions!$B$4/B828),Assumptions!$B$21)</f>
        <v/>
      </c>
      <c r="E828">
        <f>Assumptions!$B$37*Assumptions!$B$22/C828-Assumptions!$B$38</f>
        <v/>
      </c>
      <c r="F828">
        <f>Assumptions!$B$39*Assumptions!$B$21/D828-Assumptions!$B$39</f>
        <v/>
      </c>
      <c r="G828">
        <f>MAX(0,Assumptions!$B$52*(Assumptions!$B$29+E828+F828+G827+H827+I827+Assumptions!$B$4/B828)-Assumptions!$B$30)</f>
        <v/>
      </c>
      <c r="H828">
        <f>Assumptions!$B$23/MIN(Assumptions!$B$24/(Assumptions!$B$29+E828+F828+G828+I827),B828*(1-Assumptions!$B$25))</f>
        <v/>
      </c>
      <c r="I828">
        <f>Assumptions!$B$26/MIN(Assumptions!$B$27/(Assumptions!$B$29+E828+F828+G828+H828),B828*(1-Assumptions!$B$28))</f>
        <v/>
      </c>
      <c r="J828">
        <f>Assumptions!$B$29+E828+F828+G828+H828+I828</f>
        <v/>
      </c>
      <c r="K828">
        <f>J828+Assumptions!$B$4/B828</f>
        <v/>
      </c>
      <c r="L828">
        <f>B828</f>
        <v/>
      </c>
    </row>
    <row r="829">
      <c r="A829" t="inlineStr">
        <is>
          <t>cell(2,0) iter 70</t>
        </is>
      </c>
      <c r="B829">
        <f>Assumptions!$B$53/J828</f>
        <v/>
      </c>
      <c r="C829">
        <f>IF(B829&lt;Assumptions!$B$20,Assumptions!$B$20*(Assumptions!$B$29+Assumptions!$B$4/Assumptions!$B$20)/(Assumptions!$B$29+Assumptions!$B$4/B829),Assumptions!$B$20)</f>
        <v/>
      </c>
      <c r="D829">
        <f>IF(B829&lt;Assumptions!$B$21,Assumptions!$B$21*(Assumptions!$B$29+Assumptions!$B$4/Assumptions!$B$21)/(Assumptions!$B$29+Assumptions!$B$4/B829),Assumptions!$B$21)</f>
        <v/>
      </c>
      <c r="E829">
        <f>Assumptions!$B$37*Assumptions!$B$22/C829-Assumptions!$B$38</f>
        <v/>
      </c>
      <c r="F829">
        <f>Assumptions!$B$39*Assumptions!$B$21/D829-Assumptions!$B$39</f>
        <v/>
      </c>
      <c r="G829">
        <f>MAX(0,Assumptions!$B$52*(Assumptions!$B$29+E829+F829+G828+H828+I828+Assumptions!$B$4/B829)-Assumptions!$B$30)</f>
        <v/>
      </c>
      <c r="H829">
        <f>Assumptions!$B$23/MIN(Assumptions!$B$24/(Assumptions!$B$29+E829+F829+G829+I828),B829*(1-Assumptions!$B$25))</f>
        <v/>
      </c>
      <c r="I829">
        <f>Assumptions!$B$26/MIN(Assumptions!$B$27/(Assumptions!$B$29+E829+F829+G829+H829),B829*(1-Assumptions!$B$28))</f>
        <v/>
      </c>
      <c r="J829">
        <f>Assumptions!$B$29+E829+F829+G829+H829+I829</f>
        <v/>
      </c>
      <c r="K829">
        <f>J829+Assumptions!$B$4/B829</f>
        <v/>
      </c>
      <c r="L829">
        <f>B829</f>
        <v/>
      </c>
    </row>
    <row r="830">
      <c r="A830" t="inlineStr">
        <is>
          <t>cell(2,0) iter 71</t>
        </is>
      </c>
      <c r="B830">
        <f>Assumptions!$B$53/J829</f>
        <v/>
      </c>
      <c r="C830">
        <f>IF(B830&lt;Assumptions!$B$20,Assumptions!$B$20*(Assumptions!$B$29+Assumptions!$B$4/Assumptions!$B$20)/(Assumptions!$B$29+Assumptions!$B$4/B830),Assumptions!$B$20)</f>
        <v/>
      </c>
      <c r="D830">
        <f>IF(B830&lt;Assumptions!$B$21,Assumptions!$B$21*(Assumptions!$B$29+Assumptions!$B$4/Assumptions!$B$21)/(Assumptions!$B$29+Assumptions!$B$4/B830),Assumptions!$B$21)</f>
        <v/>
      </c>
      <c r="E830">
        <f>Assumptions!$B$37*Assumptions!$B$22/C830-Assumptions!$B$38</f>
        <v/>
      </c>
      <c r="F830">
        <f>Assumptions!$B$39*Assumptions!$B$21/D830-Assumptions!$B$39</f>
        <v/>
      </c>
      <c r="G830">
        <f>MAX(0,Assumptions!$B$52*(Assumptions!$B$29+E830+F830+G829+H829+I829+Assumptions!$B$4/B830)-Assumptions!$B$30)</f>
        <v/>
      </c>
      <c r="H830">
        <f>Assumptions!$B$23/MIN(Assumptions!$B$24/(Assumptions!$B$29+E830+F830+G830+I829),B830*(1-Assumptions!$B$25))</f>
        <v/>
      </c>
      <c r="I830">
        <f>Assumptions!$B$26/MIN(Assumptions!$B$27/(Assumptions!$B$29+E830+F830+G830+H830),B830*(1-Assumptions!$B$28))</f>
        <v/>
      </c>
      <c r="J830">
        <f>Assumptions!$B$29+E830+F830+G830+H830+I830</f>
        <v/>
      </c>
      <c r="K830">
        <f>J830+Assumptions!$B$4/B830</f>
        <v/>
      </c>
      <c r="L830">
        <f>B830</f>
        <v/>
      </c>
    </row>
    <row r="831">
      <c r="A831" t="inlineStr">
        <is>
          <t>cell(2,0) iter 72</t>
        </is>
      </c>
      <c r="B831">
        <f>Assumptions!$B$53/J830</f>
        <v/>
      </c>
      <c r="C831">
        <f>IF(B831&lt;Assumptions!$B$20,Assumptions!$B$20*(Assumptions!$B$29+Assumptions!$B$4/Assumptions!$B$20)/(Assumptions!$B$29+Assumptions!$B$4/B831),Assumptions!$B$20)</f>
        <v/>
      </c>
      <c r="D831">
        <f>IF(B831&lt;Assumptions!$B$21,Assumptions!$B$21*(Assumptions!$B$29+Assumptions!$B$4/Assumptions!$B$21)/(Assumptions!$B$29+Assumptions!$B$4/B831),Assumptions!$B$21)</f>
        <v/>
      </c>
      <c r="E831">
        <f>Assumptions!$B$37*Assumptions!$B$22/C831-Assumptions!$B$38</f>
        <v/>
      </c>
      <c r="F831">
        <f>Assumptions!$B$39*Assumptions!$B$21/D831-Assumptions!$B$39</f>
        <v/>
      </c>
      <c r="G831">
        <f>MAX(0,Assumptions!$B$52*(Assumptions!$B$29+E831+F831+G830+H830+I830+Assumptions!$B$4/B831)-Assumptions!$B$30)</f>
        <v/>
      </c>
      <c r="H831">
        <f>Assumptions!$B$23/MIN(Assumptions!$B$24/(Assumptions!$B$29+E831+F831+G831+I830),B831*(1-Assumptions!$B$25))</f>
        <v/>
      </c>
      <c r="I831">
        <f>Assumptions!$B$26/MIN(Assumptions!$B$27/(Assumptions!$B$29+E831+F831+G831+H831),B831*(1-Assumptions!$B$28))</f>
        <v/>
      </c>
      <c r="J831">
        <f>Assumptions!$B$29+E831+F831+G831+H831+I831</f>
        <v/>
      </c>
      <c r="K831">
        <f>J831+Assumptions!$B$4/B831</f>
        <v/>
      </c>
      <c r="L831">
        <f>B831</f>
        <v/>
      </c>
    </row>
    <row r="832">
      <c r="A832" t="inlineStr">
        <is>
          <t>cell(2,0) iter 73</t>
        </is>
      </c>
      <c r="B832">
        <f>Assumptions!$B$53/J831</f>
        <v/>
      </c>
      <c r="C832">
        <f>IF(B832&lt;Assumptions!$B$20,Assumptions!$B$20*(Assumptions!$B$29+Assumptions!$B$4/Assumptions!$B$20)/(Assumptions!$B$29+Assumptions!$B$4/B832),Assumptions!$B$20)</f>
        <v/>
      </c>
      <c r="D832">
        <f>IF(B832&lt;Assumptions!$B$21,Assumptions!$B$21*(Assumptions!$B$29+Assumptions!$B$4/Assumptions!$B$21)/(Assumptions!$B$29+Assumptions!$B$4/B832),Assumptions!$B$21)</f>
        <v/>
      </c>
      <c r="E832">
        <f>Assumptions!$B$37*Assumptions!$B$22/C832-Assumptions!$B$38</f>
        <v/>
      </c>
      <c r="F832">
        <f>Assumptions!$B$39*Assumptions!$B$21/D832-Assumptions!$B$39</f>
        <v/>
      </c>
      <c r="G832">
        <f>MAX(0,Assumptions!$B$52*(Assumptions!$B$29+E832+F832+G831+H831+I831+Assumptions!$B$4/B832)-Assumptions!$B$30)</f>
        <v/>
      </c>
      <c r="H832">
        <f>Assumptions!$B$23/MIN(Assumptions!$B$24/(Assumptions!$B$29+E832+F832+G832+I831),B832*(1-Assumptions!$B$25))</f>
        <v/>
      </c>
      <c r="I832">
        <f>Assumptions!$B$26/MIN(Assumptions!$B$27/(Assumptions!$B$29+E832+F832+G832+H832),B832*(1-Assumptions!$B$28))</f>
        <v/>
      </c>
      <c r="J832">
        <f>Assumptions!$B$29+E832+F832+G832+H832+I832</f>
        <v/>
      </c>
      <c r="K832">
        <f>J832+Assumptions!$B$4/B832</f>
        <v/>
      </c>
      <c r="L832">
        <f>B832</f>
        <v/>
      </c>
    </row>
    <row r="833">
      <c r="A833" t="inlineStr">
        <is>
          <t>cell(2,0) iter 74</t>
        </is>
      </c>
      <c r="B833">
        <f>Assumptions!$B$53/J832</f>
        <v/>
      </c>
      <c r="C833">
        <f>IF(B833&lt;Assumptions!$B$20,Assumptions!$B$20*(Assumptions!$B$29+Assumptions!$B$4/Assumptions!$B$20)/(Assumptions!$B$29+Assumptions!$B$4/B833),Assumptions!$B$20)</f>
        <v/>
      </c>
      <c r="D833">
        <f>IF(B833&lt;Assumptions!$B$21,Assumptions!$B$21*(Assumptions!$B$29+Assumptions!$B$4/Assumptions!$B$21)/(Assumptions!$B$29+Assumptions!$B$4/B833),Assumptions!$B$21)</f>
        <v/>
      </c>
      <c r="E833">
        <f>Assumptions!$B$37*Assumptions!$B$22/C833-Assumptions!$B$38</f>
        <v/>
      </c>
      <c r="F833">
        <f>Assumptions!$B$39*Assumptions!$B$21/D833-Assumptions!$B$39</f>
        <v/>
      </c>
      <c r="G833">
        <f>MAX(0,Assumptions!$B$52*(Assumptions!$B$29+E833+F833+G832+H832+I832+Assumptions!$B$4/B833)-Assumptions!$B$30)</f>
        <v/>
      </c>
      <c r="H833">
        <f>Assumptions!$B$23/MIN(Assumptions!$B$24/(Assumptions!$B$29+E833+F833+G833+I832),B833*(1-Assumptions!$B$25))</f>
        <v/>
      </c>
      <c r="I833">
        <f>Assumptions!$B$26/MIN(Assumptions!$B$27/(Assumptions!$B$29+E833+F833+G833+H833),B833*(1-Assumptions!$B$28))</f>
        <v/>
      </c>
      <c r="J833">
        <f>Assumptions!$B$29+E833+F833+G833+H833+I833</f>
        <v/>
      </c>
      <c r="K833">
        <f>J833+Assumptions!$B$4/B833</f>
        <v/>
      </c>
      <c r="L833">
        <f>B833</f>
        <v/>
      </c>
    </row>
    <row r="834">
      <c r="A834" t="inlineStr">
        <is>
          <t>cell(2,0) iter 75</t>
        </is>
      </c>
      <c r="B834">
        <f>Assumptions!$B$53/J833</f>
        <v/>
      </c>
      <c r="C834">
        <f>IF(B834&lt;Assumptions!$B$20,Assumptions!$B$20*(Assumptions!$B$29+Assumptions!$B$4/Assumptions!$B$20)/(Assumptions!$B$29+Assumptions!$B$4/B834),Assumptions!$B$20)</f>
        <v/>
      </c>
      <c r="D834">
        <f>IF(B834&lt;Assumptions!$B$21,Assumptions!$B$21*(Assumptions!$B$29+Assumptions!$B$4/Assumptions!$B$21)/(Assumptions!$B$29+Assumptions!$B$4/B834),Assumptions!$B$21)</f>
        <v/>
      </c>
      <c r="E834">
        <f>Assumptions!$B$37*Assumptions!$B$22/C834-Assumptions!$B$38</f>
        <v/>
      </c>
      <c r="F834">
        <f>Assumptions!$B$39*Assumptions!$B$21/D834-Assumptions!$B$39</f>
        <v/>
      </c>
      <c r="G834">
        <f>MAX(0,Assumptions!$B$52*(Assumptions!$B$29+E834+F834+G833+H833+I833+Assumptions!$B$4/B834)-Assumptions!$B$30)</f>
        <v/>
      </c>
      <c r="H834">
        <f>Assumptions!$B$23/MIN(Assumptions!$B$24/(Assumptions!$B$29+E834+F834+G834+I833),B834*(1-Assumptions!$B$25))</f>
        <v/>
      </c>
      <c r="I834">
        <f>Assumptions!$B$26/MIN(Assumptions!$B$27/(Assumptions!$B$29+E834+F834+G834+H834),B834*(1-Assumptions!$B$28))</f>
        <v/>
      </c>
      <c r="J834">
        <f>Assumptions!$B$29+E834+F834+G834+H834+I834</f>
        <v/>
      </c>
      <c r="K834">
        <f>J834+Assumptions!$B$4/B834</f>
        <v/>
      </c>
      <c r="L834">
        <f>B834</f>
        <v/>
      </c>
    </row>
    <row r="835">
      <c r="A835" t="inlineStr">
        <is>
          <t>cell(2,0) iter 76</t>
        </is>
      </c>
      <c r="B835">
        <f>Assumptions!$B$53/J834</f>
        <v/>
      </c>
      <c r="C835">
        <f>IF(B835&lt;Assumptions!$B$20,Assumptions!$B$20*(Assumptions!$B$29+Assumptions!$B$4/Assumptions!$B$20)/(Assumptions!$B$29+Assumptions!$B$4/B835),Assumptions!$B$20)</f>
        <v/>
      </c>
      <c r="D835">
        <f>IF(B835&lt;Assumptions!$B$21,Assumptions!$B$21*(Assumptions!$B$29+Assumptions!$B$4/Assumptions!$B$21)/(Assumptions!$B$29+Assumptions!$B$4/B835),Assumptions!$B$21)</f>
        <v/>
      </c>
      <c r="E835">
        <f>Assumptions!$B$37*Assumptions!$B$22/C835-Assumptions!$B$38</f>
        <v/>
      </c>
      <c r="F835">
        <f>Assumptions!$B$39*Assumptions!$B$21/D835-Assumptions!$B$39</f>
        <v/>
      </c>
      <c r="G835">
        <f>MAX(0,Assumptions!$B$52*(Assumptions!$B$29+E835+F835+G834+H834+I834+Assumptions!$B$4/B835)-Assumptions!$B$30)</f>
        <v/>
      </c>
      <c r="H835">
        <f>Assumptions!$B$23/MIN(Assumptions!$B$24/(Assumptions!$B$29+E835+F835+G835+I834),B835*(1-Assumptions!$B$25))</f>
        <v/>
      </c>
      <c r="I835">
        <f>Assumptions!$B$26/MIN(Assumptions!$B$27/(Assumptions!$B$29+E835+F835+G835+H835),B835*(1-Assumptions!$B$28))</f>
        <v/>
      </c>
      <c r="J835">
        <f>Assumptions!$B$29+E835+F835+G835+H835+I835</f>
        <v/>
      </c>
      <c r="K835">
        <f>J835+Assumptions!$B$4/B835</f>
        <v/>
      </c>
      <c r="L835">
        <f>B835</f>
        <v/>
      </c>
    </row>
    <row r="836">
      <c r="A836" t="inlineStr">
        <is>
          <t>cell(2,0) iter 77</t>
        </is>
      </c>
      <c r="B836">
        <f>Assumptions!$B$53/J835</f>
        <v/>
      </c>
      <c r="C836">
        <f>IF(B836&lt;Assumptions!$B$20,Assumptions!$B$20*(Assumptions!$B$29+Assumptions!$B$4/Assumptions!$B$20)/(Assumptions!$B$29+Assumptions!$B$4/B836),Assumptions!$B$20)</f>
        <v/>
      </c>
      <c r="D836">
        <f>IF(B836&lt;Assumptions!$B$21,Assumptions!$B$21*(Assumptions!$B$29+Assumptions!$B$4/Assumptions!$B$21)/(Assumptions!$B$29+Assumptions!$B$4/B836),Assumptions!$B$21)</f>
        <v/>
      </c>
      <c r="E836">
        <f>Assumptions!$B$37*Assumptions!$B$22/C836-Assumptions!$B$38</f>
        <v/>
      </c>
      <c r="F836">
        <f>Assumptions!$B$39*Assumptions!$B$21/D836-Assumptions!$B$39</f>
        <v/>
      </c>
      <c r="G836">
        <f>MAX(0,Assumptions!$B$52*(Assumptions!$B$29+E836+F836+G835+H835+I835+Assumptions!$B$4/B836)-Assumptions!$B$30)</f>
        <v/>
      </c>
      <c r="H836">
        <f>Assumptions!$B$23/MIN(Assumptions!$B$24/(Assumptions!$B$29+E836+F836+G836+I835),B836*(1-Assumptions!$B$25))</f>
        <v/>
      </c>
      <c r="I836">
        <f>Assumptions!$B$26/MIN(Assumptions!$B$27/(Assumptions!$B$29+E836+F836+G836+H836),B836*(1-Assumptions!$B$28))</f>
        <v/>
      </c>
      <c r="J836">
        <f>Assumptions!$B$29+E836+F836+G836+H836+I836</f>
        <v/>
      </c>
      <c r="K836">
        <f>J836+Assumptions!$B$4/B836</f>
        <v/>
      </c>
      <c r="L836">
        <f>B836</f>
        <v/>
      </c>
    </row>
    <row r="837">
      <c r="A837" t="inlineStr">
        <is>
          <t>cell(2,0) iter 78</t>
        </is>
      </c>
      <c r="B837">
        <f>Assumptions!$B$53/J836</f>
        <v/>
      </c>
      <c r="C837">
        <f>IF(B837&lt;Assumptions!$B$20,Assumptions!$B$20*(Assumptions!$B$29+Assumptions!$B$4/Assumptions!$B$20)/(Assumptions!$B$29+Assumptions!$B$4/B837),Assumptions!$B$20)</f>
        <v/>
      </c>
      <c r="D837">
        <f>IF(B837&lt;Assumptions!$B$21,Assumptions!$B$21*(Assumptions!$B$29+Assumptions!$B$4/Assumptions!$B$21)/(Assumptions!$B$29+Assumptions!$B$4/B837),Assumptions!$B$21)</f>
        <v/>
      </c>
      <c r="E837">
        <f>Assumptions!$B$37*Assumptions!$B$22/C837-Assumptions!$B$38</f>
        <v/>
      </c>
      <c r="F837">
        <f>Assumptions!$B$39*Assumptions!$B$21/D837-Assumptions!$B$39</f>
        <v/>
      </c>
      <c r="G837">
        <f>MAX(0,Assumptions!$B$52*(Assumptions!$B$29+E837+F837+G836+H836+I836+Assumptions!$B$4/B837)-Assumptions!$B$30)</f>
        <v/>
      </c>
      <c r="H837">
        <f>Assumptions!$B$23/MIN(Assumptions!$B$24/(Assumptions!$B$29+E837+F837+G837+I836),B837*(1-Assumptions!$B$25))</f>
        <v/>
      </c>
      <c r="I837">
        <f>Assumptions!$B$26/MIN(Assumptions!$B$27/(Assumptions!$B$29+E837+F837+G837+H837),B837*(1-Assumptions!$B$28))</f>
        <v/>
      </c>
      <c r="J837">
        <f>Assumptions!$B$29+E837+F837+G837+H837+I837</f>
        <v/>
      </c>
      <c r="K837">
        <f>J837+Assumptions!$B$4/B837</f>
        <v/>
      </c>
      <c r="L837">
        <f>B837</f>
        <v/>
      </c>
    </row>
    <row r="838">
      <c r="A838" t="inlineStr">
        <is>
          <t>cell(2,0) iter 79</t>
        </is>
      </c>
      <c r="B838">
        <f>Assumptions!$B$53/J837</f>
        <v/>
      </c>
      <c r="C838">
        <f>IF(B838&lt;Assumptions!$B$20,Assumptions!$B$20*(Assumptions!$B$29+Assumptions!$B$4/Assumptions!$B$20)/(Assumptions!$B$29+Assumptions!$B$4/B838),Assumptions!$B$20)</f>
        <v/>
      </c>
      <c r="D838">
        <f>IF(B838&lt;Assumptions!$B$21,Assumptions!$B$21*(Assumptions!$B$29+Assumptions!$B$4/Assumptions!$B$21)/(Assumptions!$B$29+Assumptions!$B$4/B838),Assumptions!$B$21)</f>
        <v/>
      </c>
      <c r="E838">
        <f>Assumptions!$B$37*Assumptions!$B$22/C838-Assumptions!$B$38</f>
        <v/>
      </c>
      <c r="F838">
        <f>Assumptions!$B$39*Assumptions!$B$21/D838-Assumptions!$B$39</f>
        <v/>
      </c>
      <c r="G838">
        <f>MAX(0,Assumptions!$B$52*(Assumptions!$B$29+E838+F838+G837+H837+I837+Assumptions!$B$4/B838)-Assumptions!$B$30)</f>
        <v/>
      </c>
      <c r="H838">
        <f>Assumptions!$B$23/MIN(Assumptions!$B$24/(Assumptions!$B$29+E838+F838+G838+I837),B838*(1-Assumptions!$B$25))</f>
        <v/>
      </c>
      <c r="I838">
        <f>Assumptions!$B$26/MIN(Assumptions!$B$27/(Assumptions!$B$29+E838+F838+G838+H838),B838*(1-Assumptions!$B$28))</f>
        <v/>
      </c>
      <c r="J838">
        <f>Assumptions!$B$29+E838+F838+G838+H838+I838</f>
        <v/>
      </c>
      <c r="K838">
        <f>J838+Assumptions!$B$4/B838</f>
        <v/>
      </c>
      <c r="L838">
        <f>B838</f>
        <v/>
      </c>
    </row>
    <row r="839">
      <c r="A839" t="inlineStr">
        <is>
          <t>cell(2,0) iter 80</t>
        </is>
      </c>
      <c r="B839">
        <f>Assumptions!$B$53/J838</f>
        <v/>
      </c>
      <c r="C839">
        <f>IF(B839&lt;Assumptions!$B$20,Assumptions!$B$20*(Assumptions!$B$29+Assumptions!$B$4/Assumptions!$B$20)/(Assumptions!$B$29+Assumptions!$B$4/B839),Assumptions!$B$20)</f>
        <v/>
      </c>
      <c r="D839">
        <f>IF(B839&lt;Assumptions!$B$21,Assumptions!$B$21*(Assumptions!$B$29+Assumptions!$B$4/Assumptions!$B$21)/(Assumptions!$B$29+Assumptions!$B$4/B839),Assumptions!$B$21)</f>
        <v/>
      </c>
      <c r="E839">
        <f>Assumptions!$B$37*Assumptions!$B$22/C839-Assumptions!$B$38</f>
        <v/>
      </c>
      <c r="F839">
        <f>Assumptions!$B$39*Assumptions!$B$21/D839-Assumptions!$B$39</f>
        <v/>
      </c>
      <c r="G839">
        <f>MAX(0,Assumptions!$B$52*(Assumptions!$B$29+E839+F839+G838+H838+I838+Assumptions!$B$4/B839)-Assumptions!$B$30)</f>
        <v/>
      </c>
      <c r="H839">
        <f>Assumptions!$B$23/MIN(Assumptions!$B$24/(Assumptions!$B$29+E839+F839+G839+I838),B839*(1-Assumptions!$B$25))</f>
        <v/>
      </c>
      <c r="I839">
        <f>Assumptions!$B$26/MIN(Assumptions!$B$27/(Assumptions!$B$29+E839+F839+G839+H839),B839*(1-Assumptions!$B$28))</f>
        <v/>
      </c>
      <c r="J839">
        <f>Assumptions!$B$29+E839+F839+G839+H839+I839</f>
        <v/>
      </c>
      <c r="K839">
        <f>J839+Assumptions!$B$4/B839</f>
        <v/>
      </c>
      <c r="L839">
        <f>B839</f>
        <v/>
      </c>
    </row>
    <row r="842">
      <c r="A842" s="1" t="inlineStr">
        <is>
          <t>Waterfall ladder ($2B exit)</t>
        </is>
      </c>
    </row>
    <row r="843">
      <c r="A843" s="1" t="inlineStr">
        <is>
          <t>Step</t>
        </is>
      </c>
      <c r="B843" s="1" t="inlineStr">
        <is>
          <t>F_el</t>
        </is>
      </c>
      <c r="C843" s="1" t="inlineStr">
        <is>
          <t>E_el</t>
        </is>
      </c>
      <c r="D843" s="1" t="inlineStr">
        <is>
          <t>D_el</t>
        </is>
      </c>
      <c r="E843" s="1" t="inlineStr">
        <is>
          <t>C_el</t>
        </is>
      </c>
      <c r="F843" s="1" t="inlineStr">
        <is>
          <t>B_el</t>
        </is>
      </c>
      <c r="G843" s="1" t="inlineStr">
        <is>
          <t>A_el</t>
        </is>
      </c>
      <c r="H843" s="1" t="inlineStr">
        <is>
          <t>Seed_el</t>
        </is>
      </c>
      <c r="I843" s="1" t="inlineStr">
        <is>
          <t>prefs</t>
        </is>
      </c>
      <c r="J843" s="1" t="inlineStr">
        <is>
          <t>conv_sh</t>
        </is>
      </c>
      <c r="K843" s="1" t="inlineStr">
        <is>
          <t>cpool</t>
        </is>
      </c>
      <c r="L843" s="1" t="inlineStr">
        <is>
          <t>ITM_PPS</t>
        </is>
      </c>
      <c r="M843" s="1" t="inlineStr">
        <is>
          <t>ITM?</t>
        </is>
      </c>
      <c r="N843" s="1" t="inlineStr">
        <is>
          <t>common_PPS</t>
        </is>
      </c>
      <c r="O843" s="1" t="inlineStr">
        <is>
          <t>opt_proc</t>
        </is>
      </c>
    </row>
    <row r="844">
      <c r="A844" t="inlineStr">
        <is>
          <t>seed (all convert)</t>
        </is>
      </c>
      <c r="B844">
        <f>"convert"</f>
        <v/>
      </c>
      <c r="C844">
        <f>"convert"</f>
        <v/>
      </c>
      <c r="D844">
        <f>"convert"</f>
        <v/>
      </c>
      <c r="E844">
        <f>"convert"</f>
        <v/>
      </c>
      <c r="F844">
        <f>"convert"</f>
        <v/>
      </c>
      <c r="G844">
        <f>"convert"</f>
        <v/>
      </c>
      <c r="H844">
        <f>"convert"</f>
        <v/>
      </c>
      <c r="I844">
        <f>IF(B844="preference",Assumptions!$B$4,0)+IF(C844="preference",Assumptions!$B$45,0)+IF(D844="preference",Assumptions!$B$44,0)+IF(E844="preference",Assumptions!$B$43,0)+IF(F844="preference",Assumptions!$B$42,0)+IF(G844="preference",Assumptions!$B$41,0)+IF(H844="preference",Assumptions!$B$40,0)</f>
        <v/>
      </c>
      <c r="J844">
        <f>IF(B844="convert",(Assumptions!$B$4/B839),0)+IF(C844="convert",(Assumptions!$B$39+F839),0)+IF(D844="convert",(Assumptions!$B$38+E839),0)+IF(E844="convert",Assumptions!$B$36,0)+IF(F844="convert",Assumptions!$B$35,0)+IF(G844="convert",Assumptions!$B$34,0)+IF(H844="convert",Assumptions!$B$33,0)</f>
        <v/>
      </c>
      <c r="K844">
        <f>(Assumptions!$B$46+Assumptions!$B$47+Assumptions!$B$48)+Assumptions!$B$49+(H839+I839)+J844</f>
        <v/>
      </c>
      <c r="L844">
        <f>(Assumptions!$B$13-I844+Assumptions!$B$31*Assumptions!$B$10)/(K844+Assumptions!$B$31)</f>
        <v/>
      </c>
      <c r="M844">
        <f>IF(L844&gt;Assumptions!$B$10,"yes","no")</f>
        <v/>
      </c>
      <c r="N844">
        <f>IF(M844="yes",L844,MAX(0,(Assumptions!$B$13-I844)/K844))</f>
        <v/>
      </c>
      <c r="O844">
        <f>IF(M844="yes",Assumptions!$B$31*(N844-Assumptions!$B$10),0)</f>
        <v/>
      </c>
    </row>
    <row r="845">
      <c r="A845" t="inlineStr">
        <is>
          <t>iter 1</t>
        </is>
      </c>
      <c r="B845">
        <f>IF(Assumptions!$B$4&gt;(Assumptions!$B$4/B839)*N844,"preference","convert")</f>
        <v/>
      </c>
      <c r="C845">
        <f>IF(Assumptions!$B$45&gt;(Assumptions!$B$39+F839)*N844,"preference","convert")</f>
        <v/>
      </c>
      <c r="D845">
        <f>IF(Assumptions!$B$44&gt;(Assumptions!$B$38+E839)*N844,"preference","convert")</f>
        <v/>
      </c>
      <c r="E845">
        <f>IF(Assumptions!$B$43&gt;Assumptions!$B$36*N844,"preference","convert")</f>
        <v/>
      </c>
      <c r="F845">
        <f>IF(Assumptions!$B$42&gt;Assumptions!$B$35*N844,"preference","convert")</f>
        <v/>
      </c>
      <c r="G845">
        <f>IF(Assumptions!$B$41&gt;Assumptions!$B$34*N844,"preference","convert")</f>
        <v/>
      </c>
      <c r="H845">
        <f>IF(Assumptions!$B$40&gt;Assumptions!$B$33*N844,"preference","convert")</f>
        <v/>
      </c>
      <c r="I845">
        <f>IF(B845="preference",Assumptions!$B$4,0)+IF(C845="preference",Assumptions!$B$45,0)+IF(D845="preference",Assumptions!$B$44,0)+IF(E845="preference",Assumptions!$B$43,0)+IF(F845="preference",Assumptions!$B$42,0)+IF(G845="preference",Assumptions!$B$41,0)+IF(H845="preference",Assumptions!$B$40,0)</f>
        <v/>
      </c>
      <c r="J845">
        <f>IF(B845="convert",(Assumptions!$B$4/B839),0)+IF(C845="convert",(Assumptions!$B$39+F839),0)+IF(D845="convert",(Assumptions!$B$38+E839),0)+IF(E845="convert",Assumptions!$B$36,0)+IF(F845="convert",Assumptions!$B$35,0)+IF(G845="convert",Assumptions!$B$34,0)+IF(H845="convert",Assumptions!$B$33,0)</f>
        <v/>
      </c>
      <c r="K845">
        <f>(Assumptions!$B$46+Assumptions!$B$47+Assumptions!$B$48)+Assumptions!$B$49+(H839+I839)+J845</f>
        <v/>
      </c>
      <c r="L845">
        <f>(Assumptions!$B$13-I845+Assumptions!$B$31*Assumptions!$B$10)/(K845+Assumptions!$B$31)</f>
        <v/>
      </c>
      <c r="M845">
        <f>IF(L845&gt;Assumptions!$B$10,"yes","no")</f>
        <v/>
      </c>
      <c r="N845">
        <f>IF(M845="yes",L845,MAX(0,(Assumptions!$B$13-I845)/K845))</f>
        <v/>
      </c>
      <c r="O845">
        <f>IF(M845="yes",Assumptions!$B$31*(N845-Assumptions!$B$10),0)</f>
        <v/>
      </c>
    </row>
    <row r="846">
      <c r="A846" t="inlineStr">
        <is>
          <t>iter 2</t>
        </is>
      </c>
      <c r="B846">
        <f>IF(Assumptions!$B$4&gt;(Assumptions!$B$4/B839)*N845,"preference","convert")</f>
        <v/>
      </c>
      <c r="C846">
        <f>IF(Assumptions!$B$45&gt;(Assumptions!$B$39+F839)*N845,"preference","convert")</f>
        <v/>
      </c>
      <c r="D846">
        <f>IF(Assumptions!$B$44&gt;(Assumptions!$B$38+E839)*N845,"preference","convert")</f>
        <v/>
      </c>
      <c r="E846">
        <f>IF(Assumptions!$B$43&gt;Assumptions!$B$36*N845,"preference","convert")</f>
        <v/>
      </c>
      <c r="F846">
        <f>IF(Assumptions!$B$42&gt;Assumptions!$B$35*N845,"preference","convert")</f>
        <v/>
      </c>
      <c r="G846">
        <f>IF(Assumptions!$B$41&gt;Assumptions!$B$34*N845,"preference","convert")</f>
        <v/>
      </c>
      <c r="H846">
        <f>IF(Assumptions!$B$40&gt;Assumptions!$B$33*N845,"preference","convert")</f>
        <v/>
      </c>
      <c r="I846">
        <f>IF(B846="preference",Assumptions!$B$4,0)+IF(C846="preference",Assumptions!$B$45,0)+IF(D846="preference",Assumptions!$B$44,0)+IF(E846="preference",Assumptions!$B$43,0)+IF(F846="preference",Assumptions!$B$42,0)+IF(G846="preference",Assumptions!$B$41,0)+IF(H846="preference",Assumptions!$B$40,0)</f>
        <v/>
      </c>
      <c r="J846">
        <f>IF(B846="convert",(Assumptions!$B$4/B839),0)+IF(C846="convert",(Assumptions!$B$39+F839),0)+IF(D846="convert",(Assumptions!$B$38+E839),0)+IF(E846="convert",Assumptions!$B$36,0)+IF(F846="convert",Assumptions!$B$35,0)+IF(G846="convert",Assumptions!$B$34,0)+IF(H846="convert",Assumptions!$B$33,0)</f>
        <v/>
      </c>
      <c r="K846">
        <f>(Assumptions!$B$46+Assumptions!$B$47+Assumptions!$B$48)+Assumptions!$B$49+(H839+I839)+J846</f>
        <v/>
      </c>
      <c r="L846">
        <f>(Assumptions!$B$13-I846+Assumptions!$B$31*Assumptions!$B$10)/(K846+Assumptions!$B$31)</f>
        <v/>
      </c>
      <c r="M846">
        <f>IF(L846&gt;Assumptions!$B$10,"yes","no")</f>
        <v/>
      </c>
      <c r="N846">
        <f>IF(M846="yes",L846,MAX(0,(Assumptions!$B$13-I846)/K846))</f>
        <v/>
      </c>
      <c r="O846">
        <f>IF(M846="yes",Assumptions!$B$31*(N846-Assumptions!$B$10),0)</f>
        <v/>
      </c>
    </row>
    <row r="847">
      <c r="A847" t="inlineStr">
        <is>
          <t>iter 3</t>
        </is>
      </c>
      <c r="B847">
        <f>IF(Assumptions!$B$4&gt;(Assumptions!$B$4/B839)*N846,"preference","convert")</f>
        <v/>
      </c>
      <c r="C847">
        <f>IF(Assumptions!$B$45&gt;(Assumptions!$B$39+F839)*N846,"preference","convert")</f>
        <v/>
      </c>
      <c r="D847">
        <f>IF(Assumptions!$B$44&gt;(Assumptions!$B$38+E839)*N846,"preference","convert")</f>
        <v/>
      </c>
      <c r="E847">
        <f>IF(Assumptions!$B$43&gt;Assumptions!$B$36*N846,"preference","convert")</f>
        <v/>
      </c>
      <c r="F847">
        <f>IF(Assumptions!$B$42&gt;Assumptions!$B$35*N846,"preference","convert")</f>
        <v/>
      </c>
      <c r="G847">
        <f>IF(Assumptions!$B$41&gt;Assumptions!$B$34*N846,"preference","convert")</f>
        <v/>
      </c>
      <c r="H847">
        <f>IF(Assumptions!$B$40&gt;Assumptions!$B$33*N846,"preference","convert")</f>
        <v/>
      </c>
      <c r="I847">
        <f>IF(B847="preference",Assumptions!$B$4,0)+IF(C847="preference",Assumptions!$B$45,0)+IF(D847="preference",Assumptions!$B$44,0)+IF(E847="preference",Assumptions!$B$43,0)+IF(F847="preference",Assumptions!$B$42,0)+IF(G847="preference",Assumptions!$B$41,0)+IF(H847="preference",Assumptions!$B$40,0)</f>
        <v/>
      </c>
      <c r="J847">
        <f>IF(B847="convert",(Assumptions!$B$4/B839),0)+IF(C847="convert",(Assumptions!$B$39+F839),0)+IF(D847="convert",(Assumptions!$B$38+E839),0)+IF(E847="convert",Assumptions!$B$36,0)+IF(F847="convert",Assumptions!$B$35,0)+IF(G847="convert",Assumptions!$B$34,0)+IF(H847="convert",Assumptions!$B$33,0)</f>
        <v/>
      </c>
      <c r="K847">
        <f>(Assumptions!$B$46+Assumptions!$B$47+Assumptions!$B$48)+Assumptions!$B$49+(H839+I839)+J847</f>
        <v/>
      </c>
      <c r="L847">
        <f>(Assumptions!$B$13-I847+Assumptions!$B$31*Assumptions!$B$10)/(K847+Assumptions!$B$31)</f>
        <v/>
      </c>
      <c r="M847">
        <f>IF(L847&gt;Assumptions!$B$10,"yes","no")</f>
        <v/>
      </c>
      <c r="N847">
        <f>IF(M847="yes",L847,MAX(0,(Assumptions!$B$13-I847)/K847))</f>
        <v/>
      </c>
      <c r="O847">
        <f>IF(M847="yes",Assumptions!$B$31*(N847-Assumptions!$B$10),0)</f>
        <v/>
      </c>
    </row>
    <row r="848">
      <c r="A848" t="inlineStr">
        <is>
          <t>iter 4</t>
        </is>
      </c>
      <c r="B848">
        <f>IF(Assumptions!$B$4&gt;(Assumptions!$B$4/B839)*N847,"preference","convert")</f>
        <v/>
      </c>
      <c r="C848">
        <f>IF(Assumptions!$B$45&gt;(Assumptions!$B$39+F839)*N847,"preference","convert")</f>
        <v/>
      </c>
      <c r="D848">
        <f>IF(Assumptions!$B$44&gt;(Assumptions!$B$38+E839)*N847,"preference","convert")</f>
        <v/>
      </c>
      <c r="E848">
        <f>IF(Assumptions!$B$43&gt;Assumptions!$B$36*N847,"preference","convert")</f>
        <v/>
      </c>
      <c r="F848">
        <f>IF(Assumptions!$B$42&gt;Assumptions!$B$35*N847,"preference","convert")</f>
        <v/>
      </c>
      <c r="G848">
        <f>IF(Assumptions!$B$41&gt;Assumptions!$B$34*N847,"preference","convert")</f>
        <v/>
      </c>
      <c r="H848">
        <f>IF(Assumptions!$B$40&gt;Assumptions!$B$33*N847,"preference","convert")</f>
        <v/>
      </c>
      <c r="I848">
        <f>IF(B848="preference",Assumptions!$B$4,0)+IF(C848="preference",Assumptions!$B$45,0)+IF(D848="preference",Assumptions!$B$44,0)+IF(E848="preference",Assumptions!$B$43,0)+IF(F848="preference",Assumptions!$B$42,0)+IF(G848="preference",Assumptions!$B$41,0)+IF(H848="preference",Assumptions!$B$40,0)</f>
        <v/>
      </c>
      <c r="J848">
        <f>IF(B848="convert",(Assumptions!$B$4/B839),0)+IF(C848="convert",(Assumptions!$B$39+F839),0)+IF(D848="convert",(Assumptions!$B$38+E839),0)+IF(E848="convert",Assumptions!$B$36,0)+IF(F848="convert",Assumptions!$B$35,0)+IF(G848="convert",Assumptions!$B$34,0)+IF(H848="convert",Assumptions!$B$33,0)</f>
        <v/>
      </c>
      <c r="K848">
        <f>(Assumptions!$B$46+Assumptions!$B$47+Assumptions!$B$48)+Assumptions!$B$49+(H839+I839)+J848</f>
        <v/>
      </c>
      <c r="L848">
        <f>(Assumptions!$B$13-I848+Assumptions!$B$31*Assumptions!$B$10)/(K848+Assumptions!$B$31)</f>
        <v/>
      </c>
      <c r="M848">
        <f>IF(L848&gt;Assumptions!$B$10,"yes","no")</f>
        <v/>
      </c>
      <c r="N848">
        <f>IF(M848="yes",L848,MAX(0,(Assumptions!$B$13-I848)/K848))</f>
        <v/>
      </c>
      <c r="O848">
        <f>IF(M848="yes",Assumptions!$B$31*(N848-Assumptions!$B$10),0)</f>
        <v/>
      </c>
    </row>
    <row r="849">
      <c r="A849" t="inlineStr">
        <is>
          <t>iter 5</t>
        </is>
      </c>
      <c r="B849">
        <f>IF(Assumptions!$B$4&gt;(Assumptions!$B$4/B839)*N848,"preference","convert")</f>
        <v/>
      </c>
      <c r="C849">
        <f>IF(Assumptions!$B$45&gt;(Assumptions!$B$39+F839)*N848,"preference","convert")</f>
        <v/>
      </c>
      <c r="D849">
        <f>IF(Assumptions!$B$44&gt;(Assumptions!$B$38+E839)*N848,"preference","convert")</f>
        <v/>
      </c>
      <c r="E849">
        <f>IF(Assumptions!$B$43&gt;Assumptions!$B$36*N848,"preference","convert")</f>
        <v/>
      </c>
      <c r="F849">
        <f>IF(Assumptions!$B$42&gt;Assumptions!$B$35*N848,"preference","convert")</f>
        <v/>
      </c>
      <c r="G849">
        <f>IF(Assumptions!$B$41&gt;Assumptions!$B$34*N848,"preference","convert")</f>
        <v/>
      </c>
      <c r="H849">
        <f>IF(Assumptions!$B$40&gt;Assumptions!$B$33*N848,"preference","convert")</f>
        <v/>
      </c>
      <c r="I849">
        <f>IF(B849="preference",Assumptions!$B$4,0)+IF(C849="preference",Assumptions!$B$45,0)+IF(D849="preference",Assumptions!$B$44,0)+IF(E849="preference",Assumptions!$B$43,0)+IF(F849="preference",Assumptions!$B$42,0)+IF(G849="preference",Assumptions!$B$41,0)+IF(H849="preference",Assumptions!$B$40,0)</f>
        <v/>
      </c>
      <c r="J849">
        <f>IF(B849="convert",(Assumptions!$B$4/B839),0)+IF(C849="convert",(Assumptions!$B$39+F839),0)+IF(D849="convert",(Assumptions!$B$38+E839),0)+IF(E849="convert",Assumptions!$B$36,0)+IF(F849="convert",Assumptions!$B$35,0)+IF(G849="convert",Assumptions!$B$34,0)+IF(H849="convert",Assumptions!$B$33,0)</f>
        <v/>
      </c>
      <c r="K849">
        <f>(Assumptions!$B$46+Assumptions!$B$47+Assumptions!$B$48)+Assumptions!$B$49+(H839+I839)+J849</f>
        <v/>
      </c>
      <c r="L849">
        <f>(Assumptions!$B$13-I849+Assumptions!$B$31*Assumptions!$B$10)/(K849+Assumptions!$B$31)</f>
        <v/>
      </c>
      <c r="M849">
        <f>IF(L849&gt;Assumptions!$B$10,"yes","no")</f>
        <v/>
      </c>
      <c r="N849">
        <f>IF(M849="yes",L849,MAX(0,(Assumptions!$B$13-I849)/K849))</f>
        <v/>
      </c>
      <c r="O849">
        <f>IF(M849="yes",Assumptions!$B$31*(N849-Assumptions!$B$10),0)</f>
        <v/>
      </c>
    </row>
    <row r="850">
      <c r="A850" t="inlineStr">
        <is>
          <t>iter 6</t>
        </is>
      </c>
      <c r="B850">
        <f>IF(Assumptions!$B$4&gt;(Assumptions!$B$4/B839)*N849,"preference","convert")</f>
        <v/>
      </c>
      <c r="C850">
        <f>IF(Assumptions!$B$45&gt;(Assumptions!$B$39+F839)*N849,"preference","convert")</f>
        <v/>
      </c>
      <c r="D850">
        <f>IF(Assumptions!$B$44&gt;(Assumptions!$B$38+E839)*N849,"preference","convert")</f>
        <v/>
      </c>
      <c r="E850">
        <f>IF(Assumptions!$B$43&gt;Assumptions!$B$36*N849,"preference","convert")</f>
        <v/>
      </c>
      <c r="F850">
        <f>IF(Assumptions!$B$42&gt;Assumptions!$B$35*N849,"preference","convert")</f>
        <v/>
      </c>
      <c r="G850">
        <f>IF(Assumptions!$B$41&gt;Assumptions!$B$34*N849,"preference","convert")</f>
        <v/>
      </c>
      <c r="H850">
        <f>IF(Assumptions!$B$40&gt;Assumptions!$B$33*N849,"preference","convert")</f>
        <v/>
      </c>
      <c r="I850">
        <f>IF(B850="preference",Assumptions!$B$4,0)+IF(C850="preference",Assumptions!$B$45,0)+IF(D850="preference",Assumptions!$B$44,0)+IF(E850="preference",Assumptions!$B$43,0)+IF(F850="preference",Assumptions!$B$42,0)+IF(G850="preference",Assumptions!$B$41,0)+IF(H850="preference",Assumptions!$B$40,0)</f>
        <v/>
      </c>
      <c r="J850">
        <f>IF(B850="convert",(Assumptions!$B$4/B839),0)+IF(C850="convert",(Assumptions!$B$39+F839),0)+IF(D850="convert",(Assumptions!$B$38+E839),0)+IF(E850="convert",Assumptions!$B$36,0)+IF(F850="convert",Assumptions!$B$35,0)+IF(G850="convert",Assumptions!$B$34,0)+IF(H850="convert",Assumptions!$B$33,0)</f>
        <v/>
      </c>
      <c r="K850">
        <f>(Assumptions!$B$46+Assumptions!$B$47+Assumptions!$B$48)+Assumptions!$B$49+(H839+I839)+J850</f>
        <v/>
      </c>
      <c r="L850">
        <f>(Assumptions!$B$13-I850+Assumptions!$B$31*Assumptions!$B$10)/(K850+Assumptions!$B$31)</f>
        <v/>
      </c>
      <c r="M850">
        <f>IF(L850&gt;Assumptions!$B$10,"yes","no")</f>
        <v/>
      </c>
      <c r="N850">
        <f>IF(M850="yes",L850,MAX(0,(Assumptions!$B$13-I850)/K850))</f>
        <v/>
      </c>
      <c r="O850">
        <f>IF(M850="yes",Assumptions!$B$31*(N850-Assumptions!$B$10),0)</f>
        <v/>
      </c>
    </row>
    <row r="851">
      <c r="A851" t="inlineStr">
        <is>
          <t>iter 7</t>
        </is>
      </c>
      <c r="B851">
        <f>IF(Assumptions!$B$4&gt;(Assumptions!$B$4/B839)*N850,"preference","convert")</f>
        <v/>
      </c>
      <c r="C851">
        <f>IF(Assumptions!$B$45&gt;(Assumptions!$B$39+F839)*N850,"preference","convert")</f>
        <v/>
      </c>
      <c r="D851">
        <f>IF(Assumptions!$B$44&gt;(Assumptions!$B$38+E839)*N850,"preference","convert")</f>
        <v/>
      </c>
      <c r="E851">
        <f>IF(Assumptions!$B$43&gt;Assumptions!$B$36*N850,"preference","convert")</f>
        <v/>
      </c>
      <c r="F851">
        <f>IF(Assumptions!$B$42&gt;Assumptions!$B$35*N850,"preference","convert")</f>
        <v/>
      </c>
      <c r="G851">
        <f>IF(Assumptions!$B$41&gt;Assumptions!$B$34*N850,"preference","convert")</f>
        <v/>
      </c>
      <c r="H851">
        <f>IF(Assumptions!$B$40&gt;Assumptions!$B$33*N850,"preference","convert")</f>
        <v/>
      </c>
      <c r="I851">
        <f>IF(B851="preference",Assumptions!$B$4,0)+IF(C851="preference",Assumptions!$B$45,0)+IF(D851="preference",Assumptions!$B$44,0)+IF(E851="preference",Assumptions!$B$43,0)+IF(F851="preference",Assumptions!$B$42,0)+IF(G851="preference",Assumptions!$B$41,0)+IF(H851="preference",Assumptions!$B$40,0)</f>
        <v/>
      </c>
      <c r="J851">
        <f>IF(B851="convert",(Assumptions!$B$4/B839),0)+IF(C851="convert",(Assumptions!$B$39+F839),0)+IF(D851="convert",(Assumptions!$B$38+E839),0)+IF(E851="convert",Assumptions!$B$36,0)+IF(F851="convert",Assumptions!$B$35,0)+IF(G851="convert",Assumptions!$B$34,0)+IF(H851="convert",Assumptions!$B$33,0)</f>
        <v/>
      </c>
      <c r="K851">
        <f>(Assumptions!$B$46+Assumptions!$B$47+Assumptions!$B$48)+Assumptions!$B$49+(H839+I839)+J851</f>
        <v/>
      </c>
      <c r="L851">
        <f>(Assumptions!$B$13-I851+Assumptions!$B$31*Assumptions!$B$10)/(K851+Assumptions!$B$31)</f>
        <v/>
      </c>
      <c r="M851">
        <f>IF(L851&gt;Assumptions!$B$10,"yes","no")</f>
        <v/>
      </c>
      <c r="N851">
        <f>IF(M851="yes",L851,MAX(0,(Assumptions!$B$13-I851)/K851))</f>
        <v/>
      </c>
      <c r="O851">
        <f>IF(M851="yes",Assumptions!$B$31*(N851-Assumptions!$B$10),0)</f>
        <v/>
      </c>
    </row>
    <row r="852">
      <c r="A852" t="inlineStr">
        <is>
          <t>iter 8</t>
        </is>
      </c>
      <c r="B852">
        <f>IF(Assumptions!$B$4&gt;(Assumptions!$B$4/B839)*N851,"preference","convert")</f>
        <v/>
      </c>
      <c r="C852">
        <f>IF(Assumptions!$B$45&gt;(Assumptions!$B$39+F839)*N851,"preference","convert")</f>
        <v/>
      </c>
      <c r="D852">
        <f>IF(Assumptions!$B$44&gt;(Assumptions!$B$38+E839)*N851,"preference","convert")</f>
        <v/>
      </c>
      <c r="E852">
        <f>IF(Assumptions!$B$43&gt;Assumptions!$B$36*N851,"preference","convert")</f>
        <v/>
      </c>
      <c r="F852">
        <f>IF(Assumptions!$B$42&gt;Assumptions!$B$35*N851,"preference","convert")</f>
        <v/>
      </c>
      <c r="G852">
        <f>IF(Assumptions!$B$41&gt;Assumptions!$B$34*N851,"preference","convert")</f>
        <v/>
      </c>
      <c r="H852">
        <f>IF(Assumptions!$B$40&gt;Assumptions!$B$33*N851,"preference","convert")</f>
        <v/>
      </c>
      <c r="I852">
        <f>IF(B852="preference",Assumptions!$B$4,0)+IF(C852="preference",Assumptions!$B$45,0)+IF(D852="preference",Assumptions!$B$44,0)+IF(E852="preference",Assumptions!$B$43,0)+IF(F852="preference",Assumptions!$B$42,0)+IF(G852="preference",Assumptions!$B$41,0)+IF(H852="preference",Assumptions!$B$40,0)</f>
        <v/>
      </c>
      <c r="J852">
        <f>IF(B852="convert",(Assumptions!$B$4/B839),0)+IF(C852="convert",(Assumptions!$B$39+F839),0)+IF(D852="convert",(Assumptions!$B$38+E839),0)+IF(E852="convert",Assumptions!$B$36,0)+IF(F852="convert",Assumptions!$B$35,0)+IF(G852="convert",Assumptions!$B$34,0)+IF(H852="convert",Assumptions!$B$33,0)</f>
        <v/>
      </c>
      <c r="K852">
        <f>(Assumptions!$B$46+Assumptions!$B$47+Assumptions!$B$48)+Assumptions!$B$49+(H839+I839)+J852</f>
        <v/>
      </c>
      <c r="L852">
        <f>(Assumptions!$B$13-I852+Assumptions!$B$31*Assumptions!$B$10)/(K852+Assumptions!$B$31)</f>
        <v/>
      </c>
      <c r="M852">
        <f>IF(L852&gt;Assumptions!$B$10,"yes","no")</f>
        <v/>
      </c>
      <c r="N852">
        <f>IF(M852="yes",L852,MAX(0,(Assumptions!$B$13-I852)/K852))</f>
        <v/>
      </c>
      <c r="O852">
        <f>IF(M852="yes",Assumptions!$B$31*(N852-Assumptions!$B$10),0)</f>
        <v/>
      </c>
    </row>
    <row r="853">
      <c r="A853" t="inlineStr">
        <is>
          <t>iter 9</t>
        </is>
      </c>
      <c r="B853">
        <f>IF(Assumptions!$B$4&gt;(Assumptions!$B$4/B839)*N852,"preference","convert")</f>
        <v/>
      </c>
      <c r="C853">
        <f>IF(Assumptions!$B$45&gt;(Assumptions!$B$39+F839)*N852,"preference","convert")</f>
        <v/>
      </c>
      <c r="D853">
        <f>IF(Assumptions!$B$44&gt;(Assumptions!$B$38+E839)*N852,"preference","convert")</f>
        <v/>
      </c>
      <c r="E853">
        <f>IF(Assumptions!$B$43&gt;Assumptions!$B$36*N852,"preference","convert")</f>
        <v/>
      </c>
      <c r="F853">
        <f>IF(Assumptions!$B$42&gt;Assumptions!$B$35*N852,"preference","convert")</f>
        <v/>
      </c>
      <c r="G853">
        <f>IF(Assumptions!$B$41&gt;Assumptions!$B$34*N852,"preference","convert")</f>
        <v/>
      </c>
      <c r="H853">
        <f>IF(Assumptions!$B$40&gt;Assumptions!$B$33*N852,"preference","convert")</f>
        <v/>
      </c>
      <c r="I853">
        <f>IF(B853="preference",Assumptions!$B$4,0)+IF(C853="preference",Assumptions!$B$45,0)+IF(D853="preference",Assumptions!$B$44,0)+IF(E853="preference",Assumptions!$B$43,0)+IF(F853="preference",Assumptions!$B$42,0)+IF(G853="preference",Assumptions!$B$41,0)+IF(H853="preference",Assumptions!$B$40,0)</f>
        <v/>
      </c>
      <c r="J853">
        <f>IF(B853="convert",(Assumptions!$B$4/B839),0)+IF(C853="convert",(Assumptions!$B$39+F839),0)+IF(D853="convert",(Assumptions!$B$38+E839),0)+IF(E853="convert",Assumptions!$B$36,0)+IF(F853="convert",Assumptions!$B$35,0)+IF(G853="convert",Assumptions!$B$34,0)+IF(H853="convert",Assumptions!$B$33,0)</f>
        <v/>
      </c>
      <c r="K853">
        <f>(Assumptions!$B$46+Assumptions!$B$47+Assumptions!$B$48)+Assumptions!$B$49+(H839+I839)+J853</f>
        <v/>
      </c>
      <c r="L853">
        <f>(Assumptions!$B$13-I853+Assumptions!$B$31*Assumptions!$B$10)/(K853+Assumptions!$B$31)</f>
        <v/>
      </c>
      <c r="M853">
        <f>IF(L853&gt;Assumptions!$B$10,"yes","no")</f>
        <v/>
      </c>
      <c r="N853">
        <f>IF(M853="yes",L853,MAX(0,(Assumptions!$B$13-I853)/K853))</f>
        <v/>
      </c>
      <c r="O853">
        <f>IF(M853="yes",Assumptions!$B$31*(N853-Assumptions!$B$10),0)</f>
        <v/>
      </c>
    </row>
    <row r="854">
      <c r="A854" t="inlineStr">
        <is>
          <t>iter 10</t>
        </is>
      </c>
      <c r="B854">
        <f>IF(Assumptions!$B$4&gt;(Assumptions!$B$4/B839)*N853,"preference","convert")</f>
        <v/>
      </c>
      <c r="C854">
        <f>IF(Assumptions!$B$45&gt;(Assumptions!$B$39+F839)*N853,"preference","convert")</f>
        <v/>
      </c>
      <c r="D854">
        <f>IF(Assumptions!$B$44&gt;(Assumptions!$B$38+E839)*N853,"preference","convert")</f>
        <v/>
      </c>
      <c r="E854">
        <f>IF(Assumptions!$B$43&gt;Assumptions!$B$36*N853,"preference","convert")</f>
        <v/>
      </c>
      <c r="F854">
        <f>IF(Assumptions!$B$42&gt;Assumptions!$B$35*N853,"preference","convert")</f>
        <v/>
      </c>
      <c r="G854">
        <f>IF(Assumptions!$B$41&gt;Assumptions!$B$34*N853,"preference","convert")</f>
        <v/>
      </c>
      <c r="H854">
        <f>IF(Assumptions!$B$40&gt;Assumptions!$B$33*N853,"preference","convert")</f>
        <v/>
      </c>
      <c r="I854">
        <f>IF(B854="preference",Assumptions!$B$4,0)+IF(C854="preference",Assumptions!$B$45,0)+IF(D854="preference",Assumptions!$B$44,0)+IF(E854="preference",Assumptions!$B$43,0)+IF(F854="preference",Assumptions!$B$42,0)+IF(G854="preference",Assumptions!$B$41,0)+IF(H854="preference",Assumptions!$B$40,0)</f>
        <v/>
      </c>
      <c r="J854">
        <f>IF(B854="convert",(Assumptions!$B$4/B839),0)+IF(C854="convert",(Assumptions!$B$39+F839),0)+IF(D854="convert",(Assumptions!$B$38+E839),0)+IF(E854="convert",Assumptions!$B$36,0)+IF(F854="convert",Assumptions!$B$35,0)+IF(G854="convert",Assumptions!$B$34,0)+IF(H854="convert",Assumptions!$B$33,0)</f>
        <v/>
      </c>
      <c r="K854">
        <f>(Assumptions!$B$46+Assumptions!$B$47+Assumptions!$B$48)+Assumptions!$B$49+(H839+I839)+J854</f>
        <v/>
      </c>
      <c r="L854">
        <f>(Assumptions!$B$13-I854+Assumptions!$B$31*Assumptions!$B$10)/(K854+Assumptions!$B$31)</f>
        <v/>
      </c>
      <c r="M854">
        <f>IF(L854&gt;Assumptions!$B$10,"yes","no")</f>
        <v/>
      </c>
      <c r="N854">
        <f>IF(M854="yes",L854,MAX(0,(Assumptions!$B$13-I854)/K854))</f>
        <v/>
      </c>
      <c r="O854">
        <f>IF(M854="yes",Assumptions!$B$31*(N854-Assumptions!$B$10),0)</f>
        <v/>
      </c>
    </row>
    <row r="855">
      <c r="A855" t="inlineStr">
        <is>
          <t>iter 11</t>
        </is>
      </c>
      <c r="B855">
        <f>IF(Assumptions!$B$4&gt;(Assumptions!$B$4/B839)*N854,"preference","convert")</f>
        <v/>
      </c>
      <c r="C855">
        <f>IF(Assumptions!$B$45&gt;(Assumptions!$B$39+F839)*N854,"preference","convert")</f>
        <v/>
      </c>
      <c r="D855">
        <f>IF(Assumptions!$B$44&gt;(Assumptions!$B$38+E839)*N854,"preference","convert")</f>
        <v/>
      </c>
      <c r="E855">
        <f>IF(Assumptions!$B$43&gt;Assumptions!$B$36*N854,"preference","convert")</f>
        <v/>
      </c>
      <c r="F855">
        <f>IF(Assumptions!$B$42&gt;Assumptions!$B$35*N854,"preference","convert")</f>
        <v/>
      </c>
      <c r="G855">
        <f>IF(Assumptions!$B$41&gt;Assumptions!$B$34*N854,"preference","convert")</f>
        <v/>
      </c>
      <c r="H855">
        <f>IF(Assumptions!$B$40&gt;Assumptions!$B$33*N854,"preference","convert")</f>
        <v/>
      </c>
      <c r="I855">
        <f>IF(B855="preference",Assumptions!$B$4,0)+IF(C855="preference",Assumptions!$B$45,0)+IF(D855="preference",Assumptions!$B$44,0)+IF(E855="preference",Assumptions!$B$43,0)+IF(F855="preference",Assumptions!$B$42,0)+IF(G855="preference",Assumptions!$B$41,0)+IF(H855="preference",Assumptions!$B$40,0)</f>
        <v/>
      </c>
      <c r="J855">
        <f>IF(B855="convert",(Assumptions!$B$4/B839),0)+IF(C855="convert",(Assumptions!$B$39+F839),0)+IF(D855="convert",(Assumptions!$B$38+E839),0)+IF(E855="convert",Assumptions!$B$36,0)+IF(F855="convert",Assumptions!$B$35,0)+IF(G855="convert",Assumptions!$B$34,0)+IF(H855="convert",Assumptions!$B$33,0)</f>
        <v/>
      </c>
      <c r="K855">
        <f>(Assumptions!$B$46+Assumptions!$B$47+Assumptions!$B$48)+Assumptions!$B$49+(H839+I839)+J855</f>
        <v/>
      </c>
      <c r="L855">
        <f>(Assumptions!$B$13-I855+Assumptions!$B$31*Assumptions!$B$10)/(K855+Assumptions!$B$31)</f>
        <v/>
      </c>
      <c r="M855">
        <f>IF(L855&gt;Assumptions!$B$10,"yes","no")</f>
        <v/>
      </c>
      <c r="N855">
        <f>IF(M855="yes",L855,MAX(0,(Assumptions!$B$13-I855)/K855))</f>
        <v/>
      </c>
      <c r="O855">
        <f>IF(M855="yes",Assumptions!$B$31*(N855-Assumptions!$B$10),0)</f>
        <v/>
      </c>
    </row>
    <row r="856">
      <c r="A856" t="inlineStr">
        <is>
          <t>iter 12</t>
        </is>
      </c>
      <c r="B856">
        <f>IF(Assumptions!$B$4&gt;(Assumptions!$B$4/B839)*N855,"preference","convert")</f>
        <v/>
      </c>
      <c r="C856">
        <f>IF(Assumptions!$B$45&gt;(Assumptions!$B$39+F839)*N855,"preference","convert")</f>
        <v/>
      </c>
      <c r="D856">
        <f>IF(Assumptions!$B$44&gt;(Assumptions!$B$38+E839)*N855,"preference","convert")</f>
        <v/>
      </c>
      <c r="E856">
        <f>IF(Assumptions!$B$43&gt;Assumptions!$B$36*N855,"preference","convert")</f>
        <v/>
      </c>
      <c r="F856">
        <f>IF(Assumptions!$B$42&gt;Assumptions!$B$35*N855,"preference","convert")</f>
        <v/>
      </c>
      <c r="G856">
        <f>IF(Assumptions!$B$41&gt;Assumptions!$B$34*N855,"preference","convert")</f>
        <v/>
      </c>
      <c r="H856">
        <f>IF(Assumptions!$B$40&gt;Assumptions!$B$33*N855,"preference","convert")</f>
        <v/>
      </c>
      <c r="I856">
        <f>IF(B856="preference",Assumptions!$B$4,0)+IF(C856="preference",Assumptions!$B$45,0)+IF(D856="preference",Assumptions!$B$44,0)+IF(E856="preference",Assumptions!$B$43,0)+IF(F856="preference",Assumptions!$B$42,0)+IF(G856="preference",Assumptions!$B$41,0)+IF(H856="preference",Assumptions!$B$40,0)</f>
        <v/>
      </c>
      <c r="J856">
        <f>IF(B856="convert",(Assumptions!$B$4/B839),0)+IF(C856="convert",(Assumptions!$B$39+F839),0)+IF(D856="convert",(Assumptions!$B$38+E839),0)+IF(E856="convert",Assumptions!$B$36,0)+IF(F856="convert",Assumptions!$B$35,0)+IF(G856="convert",Assumptions!$B$34,0)+IF(H856="convert",Assumptions!$B$33,0)</f>
        <v/>
      </c>
      <c r="K856">
        <f>(Assumptions!$B$46+Assumptions!$B$47+Assumptions!$B$48)+Assumptions!$B$49+(H839+I839)+J856</f>
        <v/>
      </c>
      <c r="L856">
        <f>(Assumptions!$B$13-I856+Assumptions!$B$31*Assumptions!$B$10)/(K856+Assumptions!$B$31)</f>
        <v/>
      </c>
      <c r="M856">
        <f>IF(L856&gt;Assumptions!$B$10,"yes","no")</f>
        <v/>
      </c>
      <c r="N856">
        <f>IF(M856="yes",L856,MAX(0,(Assumptions!$B$13-I856)/K856))</f>
        <v/>
      </c>
      <c r="O856">
        <f>IF(M856="yes",Assumptions!$B$31*(N856-Assumptions!$B$10),0)</f>
        <v/>
      </c>
    </row>
    <row r="857">
      <c r="A857" t="inlineStr">
        <is>
          <t>iter 13</t>
        </is>
      </c>
      <c r="B857">
        <f>IF(Assumptions!$B$4&gt;(Assumptions!$B$4/B839)*N856,"preference","convert")</f>
        <v/>
      </c>
      <c r="C857">
        <f>IF(Assumptions!$B$45&gt;(Assumptions!$B$39+F839)*N856,"preference","convert")</f>
        <v/>
      </c>
      <c r="D857">
        <f>IF(Assumptions!$B$44&gt;(Assumptions!$B$38+E839)*N856,"preference","convert")</f>
        <v/>
      </c>
      <c r="E857">
        <f>IF(Assumptions!$B$43&gt;Assumptions!$B$36*N856,"preference","convert")</f>
        <v/>
      </c>
      <c r="F857">
        <f>IF(Assumptions!$B$42&gt;Assumptions!$B$35*N856,"preference","convert")</f>
        <v/>
      </c>
      <c r="G857">
        <f>IF(Assumptions!$B$41&gt;Assumptions!$B$34*N856,"preference","convert")</f>
        <v/>
      </c>
      <c r="H857">
        <f>IF(Assumptions!$B$40&gt;Assumptions!$B$33*N856,"preference","convert")</f>
        <v/>
      </c>
      <c r="I857">
        <f>IF(B857="preference",Assumptions!$B$4,0)+IF(C857="preference",Assumptions!$B$45,0)+IF(D857="preference",Assumptions!$B$44,0)+IF(E857="preference",Assumptions!$B$43,0)+IF(F857="preference",Assumptions!$B$42,0)+IF(G857="preference",Assumptions!$B$41,0)+IF(H857="preference",Assumptions!$B$40,0)</f>
        <v/>
      </c>
      <c r="J857">
        <f>IF(B857="convert",(Assumptions!$B$4/B839),0)+IF(C857="convert",(Assumptions!$B$39+F839),0)+IF(D857="convert",(Assumptions!$B$38+E839),0)+IF(E857="convert",Assumptions!$B$36,0)+IF(F857="convert",Assumptions!$B$35,0)+IF(G857="convert",Assumptions!$B$34,0)+IF(H857="convert",Assumptions!$B$33,0)</f>
        <v/>
      </c>
      <c r="K857">
        <f>(Assumptions!$B$46+Assumptions!$B$47+Assumptions!$B$48)+Assumptions!$B$49+(H839+I839)+J857</f>
        <v/>
      </c>
      <c r="L857">
        <f>(Assumptions!$B$13-I857+Assumptions!$B$31*Assumptions!$B$10)/(K857+Assumptions!$B$31)</f>
        <v/>
      </c>
      <c r="M857">
        <f>IF(L857&gt;Assumptions!$B$10,"yes","no")</f>
        <v/>
      </c>
      <c r="N857">
        <f>IF(M857="yes",L857,MAX(0,(Assumptions!$B$13-I857)/K857))</f>
        <v/>
      </c>
      <c r="O857">
        <f>IF(M857="yes",Assumptions!$B$31*(N857-Assumptions!$B$10),0)</f>
        <v/>
      </c>
    </row>
    <row r="858">
      <c r="A858" t="inlineStr">
        <is>
          <t>iter 14</t>
        </is>
      </c>
      <c r="B858">
        <f>IF(Assumptions!$B$4&gt;(Assumptions!$B$4/B839)*N857,"preference","convert")</f>
        <v/>
      </c>
      <c r="C858">
        <f>IF(Assumptions!$B$45&gt;(Assumptions!$B$39+F839)*N857,"preference","convert")</f>
        <v/>
      </c>
      <c r="D858">
        <f>IF(Assumptions!$B$44&gt;(Assumptions!$B$38+E839)*N857,"preference","convert")</f>
        <v/>
      </c>
      <c r="E858">
        <f>IF(Assumptions!$B$43&gt;Assumptions!$B$36*N857,"preference","convert")</f>
        <v/>
      </c>
      <c r="F858">
        <f>IF(Assumptions!$B$42&gt;Assumptions!$B$35*N857,"preference","convert")</f>
        <v/>
      </c>
      <c r="G858">
        <f>IF(Assumptions!$B$41&gt;Assumptions!$B$34*N857,"preference","convert")</f>
        <v/>
      </c>
      <c r="H858">
        <f>IF(Assumptions!$B$40&gt;Assumptions!$B$33*N857,"preference","convert")</f>
        <v/>
      </c>
      <c r="I858">
        <f>IF(B858="preference",Assumptions!$B$4,0)+IF(C858="preference",Assumptions!$B$45,0)+IF(D858="preference",Assumptions!$B$44,0)+IF(E858="preference",Assumptions!$B$43,0)+IF(F858="preference",Assumptions!$B$42,0)+IF(G858="preference",Assumptions!$B$41,0)+IF(H858="preference",Assumptions!$B$40,0)</f>
        <v/>
      </c>
      <c r="J858">
        <f>IF(B858="convert",(Assumptions!$B$4/B839),0)+IF(C858="convert",(Assumptions!$B$39+F839),0)+IF(D858="convert",(Assumptions!$B$38+E839),0)+IF(E858="convert",Assumptions!$B$36,0)+IF(F858="convert",Assumptions!$B$35,0)+IF(G858="convert",Assumptions!$B$34,0)+IF(H858="convert",Assumptions!$B$33,0)</f>
        <v/>
      </c>
      <c r="K858">
        <f>(Assumptions!$B$46+Assumptions!$B$47+Assumptions!$B$48)+Assumptions!$B$49+(H839+I839)+J858</f>
        <v/>
      </c>
      <c r="L858">
        <f>(Assumptions!$B$13-I858+Assumptions!$B$31*Assumptions!$B$10)/(K858+Assumptions!$B$31)</f>
        <v/>
      </c>
      <c r="M858">
        <f>IF(L858&gt;Assumptions!$B$10,"yes","no")</f>
        <v/>
      </c>
      <c r="N858">
        <f>IF(M858="yes",L858,MAX(0,(Assumptions!$B$13-I858)/K858))</f>
        <v/>
      </c>
      <c r="O858">
        <f>IF(M858="yes",Assumptions!$B$31*(N858-Assumptions!$B$10),0)</f>
        <v/>
      </c>
    </row>
    <row r="859">
      <c r="A859" t="inlineStr">
        <is>
          <t>iter 15</t>
        </is>
      </c>
      <c r="B859">
        <f>IF(Assumptions!$B$4&gt;(Assumptions!$B$4/B839)*N858,"preference","convert")</f>
        <v/>
      </c>
      <c r="C859">
        <f>IF(Assumptions!$B$45&gt;(Assumptions!$B$39+F839)*N858,"preference","convert")</f>
        <v/>
      </c>
      <c r="D859">
        <f>IF(Assumptions!$B$44&gt;(Assumptions!$B$38+E839)*N858,"preference","convert")</f>
        <v/>
      </c>
      <c r="E859">
        <f>IF(Assumptions!$B$43&gt;Assumptions!$B$36*N858,"preference","convert")</f>
        <v/>
      </c>
      <c r="F859">
        <f>IF(Assumptions!$B$42&gt;Assumptions!$B$35*N858,"preference","convert")</f>
        <v/>
      </c>
      <c r="G859">
        <f>IF(Assumptions!$B$41&gt;Assumptions!$B$34*N858,"preference","convert")</f>
        <v/>
      </c>
      <c r="H859">
        <f>IF(Assumptions!$B$40&gt;Assumptions!$B$33*N858,"preference","convert")</f>
        <v/>
      </c>
      <c r="I859">
        <f>IF(B859="preference",Assumptions!$B$4,0)+IF(C859="preference",Assumptions!$B$45,0)+IF(D859="preference",Assumptions!$B$44,0)+IF(E859="preference",Assumptions!$B$43,0)+IF(F859="preference",Assumptions!$B$42,0)+IF(G859="preference",Assumptions!$B$41,0)+IF(H859="preference",Assumptions!$B$40,0)</f>
        <v/>
      </c>
      <c r="J859">
        <f>IF(B859="convert",(Assumptions!$B$4/B839),0)+IF(C859="convert",(Assumptions!$B$39+F839),0)+IF(D859="convert",(Assumptions!$B$38+E839),0)+IF(E859="convert",Assumptions!$B$36,0)+IF(F859="convert",Assumptions!$B$35,0)+IF(G859="convert",Assumptions!$B$34,0)+IF(H859="convert",Assumptions!$B$33,0)</f>
        <v/>
      </c>
      <c r="K859">
        <f>(Assumptions!$B$46+Assumptions!$B$47+Assumptions!$B$48)+Assumptions!$B$49+(H839+I839)+J859</f>
        <v/>
      </c>
      <c r="L859">
        <f>(Assumptions!$B$13-I859+Assumptions!$B$31*Assumptions!$B$10)/(K859+Assumptions!$B$31)</f>
        <v/>
      </c>
      <c r="M859">
        <f>IF(L859&gt;Assumptions!$B$10,"yes","no")</f>
        <v/>
      </c>
      <c r="N859">
        <f>IF(M859="yes",L859,MAX(0,(Assumptions!$B$13-I859)/K859))</f>
        <v/>
      </c>
      <c r="O859">
        <f>IF(M859="yes",Assumptions!$B$31*(N859-Assumptions!$B$10),0)</f>
        <v/>
      </c>
    </row>
    <row r="860">
      <c r="A860" t="inlineStr">
        <is>
          <t>iter 16</t>
        </is>
      </c>
      <c r="B860">
        <f>IF(Assumptions!$B$4&gt;(Assumptions!$B$4/B839)*N859,"preference","convert")</f>
        <v/>
      </c>
      <c r="C860">
        <f>IF(Assumptions!$B$45&gt;(Assumptions!$B$39+F839)*N859,"preference","convert")</f>
        <v/>
      </c>
      <c r="D860">
        <f>IF(Assumptions!$B$44&gt;(Assumptions!$B$38+E839)*N859,"preference","convert")</f>
        <v/>
      </c>
      <c r="E860">
        <f>IF(Assumptions!$B$43&gt;Assumptions!$B$36*N859,"preference","convert")</f>
        <v/>
      </c>
      <c r="F860">
        <f>IF(Assumptions!$B$42&gt;Assumptions!$B$35*N859,"preference","convert")</f>
        <v/>
      </c>
      <c r="G860">
        <f>IF(Assumptions!$B$41&gt;Assumptions!$B$34*N859,"preference","convert")</f>
        <v/>
      </c>
      <c r="H860">
        <f>IF(Assumptions!$B$40&gt;Assumptions!$B$33*N859,"preference","convert")</f>
        <v/>
      </c>
      <c r="I860">
        <f>IF(B860="preference",Assumptions!$B$4,0)+IF(C860="preference",Assumptions!$B$45,0)+IF(D860="preference",Assumptions!$B$44,0)+IF(E860="preference",Assumptions!$B$43,0)+IF(F860="preference",Assumptions!$B$42,0)+IF(G860="preference",Assumptions!$B$41,0)+IF(H860="preference",Assumptions!$B$40,0)</f>
        <v/>
      </c>
      <c r="J860">
        <f>IF(B860="convert",(Assumptions!$B$4/B839),0)+IF(C860="convert",(Assumptions!$B$39+F839),0)+IF(D860="convert",(Assumptions!$B$38+E839),0)+IF(E860="convert",Assumptions!$B$36,0)+IF(F860="convert",Assumptions!$B$35,0)+IF(G860="convert",Assumptions!$B$34,0)+IF(H860="convert",Assumptions!$B$33,0)</f>
        <v/>
      </c>
      <c r="K860">
        <f>(Assumptions!$B$46+Assumptions!$B$47+Assumptions!$B$48)+Assumptions!$B$49+(H839+I839)+J860</f>
        <v/>
      </c>
      <c r="L860">
        <f>(Assumptions!$B$13-I860+Assumptions!$B$31*Assumptions!$B$10)/(K860+Assumptions!$B$31)</f>
        <v/>
      </c>
      <c r="M860">
        <f>IF(L860&gt;Assumptions!$B$10,"yes","no")</f>
        <v/>
      </c>
      <c r="N860">
        <f>IF(M860="yes",L860,MAX(0,(Assumptions!$B$13-I860)/K860))</f>
        <v/>
      </c>
      <c r="O860">
        <f>IF(M860="yes",Assumptions!$B$31*(N860-Assumptions!$B$10),0)</f>
        <v/>
      </c>
    </row>
    <row r="861">
      <c r="A861" t="inlineStr">
        <is>
          <t>iter 17</t>
        </is>
      </c>
      <c r="B861">
        <f>IF(Assumptions!$B$4&gt;(Assumptions!$B$4/B839)*N860,"preference","convert")</f>
        <v/>
      </c>
      <c r="C861">
        <f>IF(Assumptions!$B$45&gt;(Assumptions!$B$39+F839)*N860,"preference","convert")</f>
        <v/>
      </c>
      <c r="D861">
        <f>IF(Assumptions!$B$44&gt;(Assumptions!$B$38+E839)*N860,"preference","convert")</f>
        <v/>
      </c>
      <c r="E861">
        <f>IF(Assumptions!$B$43&gt;Assumptions!$B$36*N860,"preference","convert")</f>
        <v/>
      </c>
      <c r="F861">
        <f>IF(Assumptions!$B$42&gt;Assumptions!$B$35*N860,"preference","convert")</f>
        <v/>
      </c>
      <c r="G861">
        <f>IF(Assumptions!$B$41&gt;Assumptions!$B$34*N860,"preference","convert")</f>
        <v/>
      </c>
      <c r="H861">
        <f>IF(Assumptions!$B$40&gt;Assumptions!$B$33*N860,"preference","convert")</f>
        <v/>
      </c>
      <c r="I861">
        <f>IF(B861="preference",Assumptions!$B$4,0)+IF(C861="preference",Assumptions!$B$45,0)+IF(D861="preference",Assumptions!$B$44,0)+IF(E861="preference",Assumptions!$B$43,0)+IF(F861="preference",Assumptions!$B$42,0)+IF(G861="preference",Assumptions!$B$41,0)+IF(H861="preference",Assumptions!$B$40,0)</f>
        <v/>
      </c>
      <c r="J861">
        <f>IF(B861="convert",(Assumptions!$B$4/B839),0)+IF(C861="convert",(Assumptions!$B$39+F839),0)+IF(D861="convert",(Assumptions!$B$38+E839),0)+IF(E861="convert",Assumptions!$B$36,0)+IF(F861="convert",Assumptions!$B$35,0)+IF(G861="convert",Assumptions!$B$34,0)+IF(H861="convert",Assumptions!$B$33,0)</f>
        <v/>
      </c>
      <c r="K861">
        <f>(Assumptions!$B$46+Assumptions!$B$47+Assumptions!$B$48)+Assumptions!$B$49+(H839+I839)+J861</f>
        <v/>
      </c>
      <c r="L861">
        <f>(Assumptions!$B$13-I861+Assumptions!$B$31*Assumptions!$B$10)/(K861+Assumptions!$B$31)</f>
        <v/>
      </c>
      <c r="M861">
        <f>IF(L861&gt;Assumptions!$B$10,"yes","no")</f>
        <v/>
      </c>
      <c r="N861">
        <f>IF(M861="yes",L861,MAX(0,(Assumptions!$B$13-I861)/K861))</f>
        <v/>
      </c>
      <c r="O861">
        <f>IF(M861="yes",Assumptions!$B$31*(N861-Assumptions!$B$10),0)</f>
        <v/>
      </c>
    </row>
    <row r="862">
      <c r="A862" t="inlineStr">
        <is>
          <t>iter 18</t>
        </is>
      </c>
      <c r="B862">
        <f>IF(Assumptions!$B$4&gt;(Assumptions!$B$4/B839)*N861,"preference","convert")</f>
        <v/>
      </c>
      <c r="C862">
        <f>IF(Assumptions!$B$45&gt;(Assumptions!$B$39+F839)*N861,"preference","convert")</f>
        <v/>
      </c>
      <c r="D862">
        <f>IF(Assumptions!$B$44&gt;(Assumptions!$B$38+E839)*N861,"preference","convert")</f>
        <v/>
      </c>
      <c r="E862">
        <f>IF(Assumptions!$B$43&gt;Assumptions!$B$36*N861,"preference","convert")</f>
        <v/>
      </c>
      <c r="F862">
        <f>IF(Assumptions!$B$42&gt;Assumptions!$B$35*N861,"preference","convert")</f>
        <v/>
      </c>
      <c r="G862">
        <f>IF(Assumptions!$B$41&gt;Assumptions!$B$34*N861,"preference","convert")</f>
        <v/>
      </c>
      <c r="H862">
        <f>IF(Assumptions!$B$40&gt;Assumptions!$B$33*N861,"preference","convert")</f>
        <v/>
      </c>
      <c r="I862">
        <f>IF(B862="preference",Assumptions!$B$4,0)+IF(C862="preference",Assumptions!$B$45,0)+IF(D862="preference",Assumptions!$B$44,0)+IF(E862="preference",Assumptions!$B$43,0)+IF(F862="preference",Assumptions!$B$42,0)+IF(G862="preference",Assumptions!$B$41,0)+IF(H862="preference",Assumptions!$B$40,0)</f>
        <v/>
      </c>
      <c r="J862">
        <f>IF(B862="convert",(Assumptions!$B$4/B839),0)+IF(C862="convert",(Assumptions!$B$39+F839),0)+IF(D862="convert",(Assumptions!$B$38+E839),0)+IF(E862="convert",Assumptions!$B$36,0)+IF(F862="convert",Assumptions!$B$35,0)+IF(G862="convert",Assumptions!$B$34,0)+IF(H862="convert",Assumptions!$B$33,0)</f>
        <v/>
      </c>
      <c r="K862">
        <f>(Assumptions!$B$46+Assumptions!$B$47+Assumptions!$B$48)+Assumptions!$B$49+(H839+I839)+J862</f>
        <v/>
      </c>
      <c r="L862">
        <f>(Assumptions!$B$13-I862+Assumptions!$B$31*Assumptions!$B$10)/(K862+Assumptions!$B$31)</f>
        <v/>
      </c>
      <c r="M862">
        <f>IF(L862&gt;Assumptions!$B$10,"yes","no")</f>
        <v/>
      </c>
      <c r="N862">
        <f>IF(M862="yes",L862,MAX(0,(Assumptions!$B$13-I862)/K862))</f>
        <v/>
      </c>
      <c r="O862">
        <f>IF(M862="yes",Assumptions!$B$31*(N862-Assumptions!$B$10),0)</f>
        <v/>
      </c>
    </row>
    <row r="863">
      <c r="A863" t="inlineStr">
        <is>
          <t>iter 19</t>
        </is>
      </c>
      <c r="B863">
        <f>IF(Assumptions!$B$4&gt;(Assumptions!$B$4/B839)*N862,"preference","convert")</f>
        <v/>
      </c>
      <c r="C863">
        <f>IF(Assumptions!$B$45&gt;(Assumptions!$B$39+F839)*N862,"preference","convert")</f>
        <v/>
      </c>
      <c r="D863">
        <f>IF(Assumptions!$B$44&gt;(Assumptions!$B$38+E839)*N862,"preference","convert")</f>
        <v/>
      </c>
      <c r="E863">
        <f>IF(Assumptions!$B$43&gt;Assumptions!$B$36*N862,"preference","convert")</f>
        <v/>
      </c>
      <c r="F863">
        <f>IF(Assumptions!$B$42&gt;Assumptions!$B$35*N862,"preference","convert")</f>
        <v/>
      </c>
      <c r="G863">
        <f>IF(Assumptions!$B$41&gt;Assumptions!$B$34*N862,"preference","convert")</f>
        <v/>
      </c>
      <c r="H863">
        <f>IF(Assumptions!$B$40&gt;Assumptions!$B$33*N862,"preference","convert")</f>
        <v/>
      </c>
      <c r="I863">
        <f>IF(B863="preference",Assumptions!$B$4,0)+IF(C863="preference",Assumptions!$B$45,0)+IF(D863="preference",Assumptions!$B$44,0)+IF(E863="preference",Assumptions!$B$43,0)+IF(F863="preference",Assumptions!$B$42,0)+IF(G863="preference",Assumptions!$B$41,0)+IF(H863="preference",Assumptions!$B$40,0)</f>
        <v/>
      </c>
      <c r="J863">
        <f>IF(B863="convert",(Assumptions!$B$4/B839),0)+IF(C863="convert",(Assumptions!$B$39+F839),0)+IF(D863="convert",(Assumptions!$B$38+E839),0)+IF(E863="convert",Assumptions!$B$36,0)+IF(F863="convert",Assumptions!$B$35,0)+IF(G863="convert",Assumptions!$B$34,0)+IF(H863="convert",Assumptions!$B$33,0)</f>
        <v/>
      </c>
      <c r="K863">
        <f>(Assumptions!$B$46+Assumptions!$B$47+Assumptions!$B$48)+Assumptions!$B$49+(H839+I839)+J863</f>
        <v/>
      </c>
      <c r="L863">
        <f>(Assumptions!$B$13-I863+Assumptions!$B$31*Assumptions!$B$10)/(K863+Assumptions!$B$31)</f>
        <v/>
      </c>
      <c r="M863">
        <f>IF(L863&gt;Assumptions!$B$10,"yes","no")</f>
        <v/>
      </c>
      <c r="N863">
        <f>IF(M863="yes",L863,MAX(0,(Assumptions!$B$13-I863)/K863))</f>
        <v/>
      </c>
      <c r="O863">
        <f>IF(M863="yes",Assumptions!$B$31*(N863-Assumptions!$B$10),0)</f>
        <v/>
      </c>
    </row>
    <row r="864">
      <c r="A864" t="inlineStr">
        <is>
          <t>iter 20</t>
        </is>
      </c>
      <c r="B864">
        <f>IF(Assumptions!$B$4&gt;(Assumptions!$B$4/B839)*N863,"preference","convert")</f>
        <v/>
      </c>
      <c r="C864">
        <f>IF(Assumptions!$B$45&gt;(Assumptions!$B$39+F839)*N863,"preference","convert")</f>
        <v/>
      </c>
      <c r="D864">
        <f>IF(Assumptions!$B$44&gt;(Assumptions!$B$38+E839)*N863,"preference","convert")</f>
        <v/>
      </c>
      <c r="E864">
        <f>IF(Assumptions!$B$43&gt;Assumptions!$B$36*N863,"preference","convert")</f>
        <v/>
      </c>
      <c r="F864">
        <f>IF(Assumptions!$B$42&gt;Assumptions!$B$35*N863,"preference","convert")</f>
        <v/>
      </c>
      <c r="G864">
        <f>IF(Assumptions!$B$41&gt;Assumptions!$B$34*N863,"preference","convert")</f>
        <v/>
      </c>
      <c r="H864">
        <f>IF(Assumptions!$B$40&gt;Assumptions!$B$33*N863,"preference","convert")</f>
        <v/>
      </c>
      <c r="I864">
        <f>IF(B864="preference",Assumptions!$B$4,0)+IF(C864="preference",Assumptions!$B$45,0)+IF(D864="preference",Assumptions!$B$44,0)+IF(E864="preference",Assumptions!$B$43,0)+IF(F864="preference",Assumptions!$B$42,0)+IF(G864="preference",Assumptions!$B$41,0)+IF(H864="preference",Assumptions!$B$40,0)</f>
        <v/>
      </c>
      <c r="J864">
        <f>IF(B864="convert",(Assumptions!$B$4/B839),0)+IF(C864="convert",(Assumptions!$B$39+F839),0)+IF(D864="convert",(Assumptions!$B$38+E839),0)+IF(E864="convert",Assumptions!$B$36,0)+IF(F864="convert",Assumptions!$B$35,0)+IF(G864="convert",Assumptions!$B$34,0)+IF(H864="convert",Assumptions!$B$33,0)</f>
        <v/>
      </c>
      <c r="K864">
        <f>(Assumptions!$B$46+Assumptions!$B$47+Assumptions!$B$48)+Assumptions!$B$49+(H839+I839)+J864</f>
        <v/>
      </c>
      <c r="L864">
        <f>(Assumptions!$B$13-I864+Assumptions!$B$31*Assumptions!$B$10)/(K864+Assumptions!$B$31)</f>
        <v/>
      </c>
      <c r="M864">
        <f>IF(L864&gt;Assumptions!$B$10,"yes","no")</f>
        <v/>
      </c>
      <c r="N864">
        <f>IF(M864="yes",L864,MAX(0,(Assumptions!$B$13-I864)/K864))</f>
        <v/>
      </c>
      <c r="O864">
        <f>IF(M864="yes",Assumptions!$B$31*(N864-Assumptions!$B$10),0)</f>
        <v/>
      </c>
    </row>
    <row r="865">
      <c r="A865" t="inlineStr">
        <is>
          <t>iter 21</t>
        </is>
      </c>
      <c r="B865">
        <f>IF(Assumptions!$B$4&gt;(Assumptions!$B$4/B839)*N864,"preference","convert")</f>
        <v/>
      </c>
      <c r="C865">
        <f>IF(Assumptions!$B$45&gt;(Assumptions!$B$39+F839)*N864,"preference","convert")</f>
        <v/>
      </c>
      <c r="D865">
        <f>IF(Assumptions!$B$44&gt;(Assumptions!$B$38+E839)*N864,"preference","convert")</f>
        <v/>
      </c>
      <c r="E865">
        <f>IF(Assumptions!$B$43&gt;Assumptions!$B$36*N864,"preference","convert")</f>
        <v/>
      </c>
      <c r="F865">
        <f>IF(Assumptions!$B$42&gt;Assumptions!$B$35*N864,"preference","convert")</f>
        <v/>
      </c>
      <c r="G865">
        <f>IF(Assumptions!$B$41&gt;Assumptions!$B$34*N864,"preference","convert")</f>
        <v/>
      </c>
      <c r="H865">
        <f>IF(Assumptions!$B$40&gt;Assumptions!$B$33*N864,"preference","convert")</f>
        <v/>
      </c>
      <c r="I865">
        <f>IF(B865="preference",Assumptions!$B$4,0)+IF(C865="preference",Assumptions!$B$45,0)+IF(D865="preference",Assumptions!$B$44,0)+IF(E865="preference",Assumptions!$B$43,0)+IF(F865="preference",Assumptions!$B$42,0)+IF(G865="preference",Assumptions!$B$41,0)+IF(H865="preference",Assumptions!$B$40,0)</f>
        <v/>
      </c>
      <c r="J865">
        <f>IF(B865="convert",(Assumptions!$B$4/B839),0)+IF(C865="convert",(Assumptions!$B$39+F839),0)+IF(D865="convert",(Assumptions!$B$38+E839),0)+IF(E865="convert",Assumptions!$B$36,0)+IF(F865="convert",Assumptions!$B$35,0)+IF(G865="convert",Assumptions!$B$34,0)+IF(H865="convert",Assumptions!$B$33,0)</f>
        <v/>
      </c>
      <c r="K865">
        <f>(Assumptions!$B$46+Assumptions!$B$47+Assumptions!$B$48)+Assumptions!$B$49+(H839+I839)+J865</f>
        <v/>
      </c>
      <c r="L865">
        <f>(Assumptions!$B$13-I865+Assumptions!$B$31*Assumptions!$B$10)/(K865+Assumptions!$B$31)</f>
        <v/>
      </c>
      <c r="M865">
        <f>IF(L865&gt;Assumptions!$B$10,"yes","no")</f>
        <v/>
      </c>
      <c r="N865">
        <f>IF(M865="yes",L865,MAX(0,(Assumptions!$B$13-I865)/K865))</f>
        <v/>
      </c>
      <c r="O865">
        <f>IF(M865="yes",Assumptions!$B$31*(N865-Assumptions!$B$10),0)</f>
        <v/>
      </c>
    </row>
    <row r="866">
      <c r="A866" t="inlineStr">
        <is>
          <t>iter 22</t>
        </is>
      </c>
      <c r="B866">
        <f>IF(Assumptions!$B$4&gt;(Assumptions!$B$4/B839)*N865,"preference","convert")</f>
        <v/>
      </c>
      <c r="C866">
        <f>IF(Assumptions!$B$45&gt;(Assumptions!$B$39+F839)*N865,"preference","convert")</f>
        <v/>
      </c>
      <c r="D866">
        <f>IF(Assumptions!$B$44&gt;(Assumptions!$B$38+E839)*N865,"preference","convert")</f>
        <v/>
      </c>
      <c r="E866">
        <f>IF(Assumptions!$B$43&gt;Assumptions!$B$36*N865,"preference","convert")</f>
        <v/>
      </c>
      <c r="F866">
        <f>IF(Assumptions!$B$42&gt;Assumptions!$B$35*N865,"preference","convert")</f>
        <v/>
      </c>
      <c r="G866">
        <f>IF(Assumptions!$B$41&gt;Assumptions!$B$34*N865,"preference","convert")</f>
        <v/>
      </c>
      <c r="H866">
        <f>IF(Assumptions!$B$40&gt;Assumptions!$B$33*N865,"preference","convert")</f>
        <v/>
      </c>
      <c r="I866">
        <f>IF(B866="preference",Assumptions!$B$4,0)+IF(C866="preference",Assumptions!$B$45,0)+IF(D866="preference",Assumptions!$B$44,0)+IF(E866="preference",Assumptions!$B$43,0)+IF(F866="preference",Assumptions!$B$42,0)+IF(G866="preference",Assumptions!$B$41,0)+IF(H866="preference",Assumptions!$B$40,0)</f>
        <v/>
      </c>
      <c r="J866">
        <f>IF(B866="convert",(Assumptions!$B$4/B839),0)+IF(C866="convert",(Assumptions!$B$39+F839),0)+IF(D866="convert",(Assumptions!$B$38+E839),0)+IF(E866="convert",Assumptions!$B$36,0)+IF(F866="convert",Assumptions!$B$35,0)+IF(G866="convert",Assumptions!$B$34,0)+IF(H866="convert",Assumptions!$B$33,0)</f>
        <v/>
      </c>
      <c r="K866">
        <f>(Assumptions!$B$46+Assumptions!$B$47+Assumptions!$B$48)+Assumptions!$B$49+(H839+I839)+J866</f>
        <v/>
      </c>
      <c r="L866">
        <f>(Assumptions!$B$13-I866+Assumptions!$B$31*Assumptions!$B$10)/(K866+Assumptions!$B$31)</f>
        <v/>
      </c>
      <c r="M866">
        <f>IF(L866&gt;Assumptions!$B$10,"yes","no")</f>
        <v/>
      </c>
      <c r="N866">
        <f>IF(M866="yes",L866,MAX(0,(Assumptions!$B$13-I866)/K866))</f>
        <v/>
      </c>
      <c r="O866">
        <f>IF(M866="yes",Assumptions!$B$31*(N866-Assumptions!$B$10),0)</f>
        <v/>
      </c>
    </row>
    <row r="867">
      <c r="A867" t="inlineStr">
        <is>
          <t>iter 23</t>
        </is>
      </c>
      <c r="B867">
        <f>IF(Assumptions!$B$4&gt;(Assumptions!$B$4/B839)*N866,"preference","convert")</f>
        <v/>
      </c>
      <c r="C867">
        <f>IF(Assumptions!$B$45&gt;(Assumptions!$B$39+F839)*N866,"preference","convert")</f>
        <v/>
      </c>
      <c r="D867">
        <f>IF(Assumptions!$B$44&gt;(Assumptions!$B$38+E839)*N866,"preference","convert")</f>
        <v/>
      </c>
      <c r="E867">
        <f>IF(Assumptions!$B$43&gt;Assumptions!$B$36*N866,"preference","convert")</f>
        <v/>
      </c>
      <c r="F867">
        <f>IF(Assumptions!$B$42&gt;Assumptions!$B$35*N866,"preference","convert")</f>
        <v/>
      </c>
      <c r="G867">
        <f>IF(Assumptions!$B$41&gt;Assumptions!$B$34*N866,"preference","convert")</f>
        <v/>
      </c>
      <c r="H867">
        <f>IF(Assumptions!$B$40&gt;Assumptions!$B$33*N866,"preference","convert")</f>
        <v/>
      </c>
      <c r="I867">
        <f>IF(B867="preference",Assumptions!$B$4,0)+IF(C867="preference",Assumptions!$B$45,0)+IF(D867="preference",Assumptions!$B$44,0)+IF(E867="preference",Assumptions!$B$43,0)+IF(F867="preference",Assumptions!$B$42,0)+IF(G867="preference",Assumptions!$B$41,0)+IF(H867="preference",Assumptions!$B$40,0)</f>
        <v/>
      </c>
      <c r="J867">
        <f>IF(B867="convert",(Assumptions!$B$4/B839),0)+IF(C867="convert",(Assumptions!$B$39+F839),0)+IF(D867="convert",(Assumptions!$B$38+E839),0)+IF(E867="convert",Assumptions!$B$36,0)+IF(F867="convert",Assumptions!$B$35,0)+IF(G867="convert",Assumptions!$B$34,0)+IF(H867="convert",Assumptions!$B$33,0)</f>
        <v/>
      </c>
      <c r="K867">
        <f>(Assumptions!$B$46+Assumptions!$B$47+Assumptions!$B$48)+Assumptions!$B$49+(H839+I839)+J867</f>
        <v/>
      </c>
      <c r="L867">
        <f>(Assumptions!$B$13-I867+Assumptions!$B$31*Assumptions!$B$10)/(K867+Assumptions!$B$31)</f>
        <v/>
      </c>
      <c r="M867">
        <f>IF(L867&gt;Assumptions!$B$10,"yes","no")</f>
        <v/>
      </c>
      <c r="N867">
        <f>IF(M867="yes",L867,MAX(0,(Assumptions!$B$13-I867)/K867))</f>
        <v/>
      </c>
      <c r="O867">
        <f>IF(M867="yes",Assumptions!$B$31*(N867-Assumptions!$B$10),0)</f>
        <v/>
      </c>
    </row>
    <row r="868">
      <c r="A868" t="inlineStr">
        <is>
          <t>iter 24</t>
        </is>
      </c>
      <c r="B868">
        <f>IF(Assumptions!$B$4&gt;(Assumptions!$B$4/B839)*N867,"preference","convert")</f>
        <v/>
      </c>
      <c r="C868">
        <f>IF(Assumptions!$B$45&gt;(Assumptions!$B$39+F839)*N867,"preference","convert")</f>
        <v/>
      </c>
      <c r="D868">
        <f>IF(Assumptions!$B$44&gt;(Assumptions!$B$38+E839)*N867,"preference","convert")</f>
        <v/>
      </c>
      <c r="E868">
        <f>IF(Assumptions!$B$43&gt;Assumptions!$B$36*N867,"preference","convert")</f>
        <v/>
      </c>
      <c r="F868">
        <f>IF(Assumptions!$B$42&gt;Assumptions!$B$35*N867,"preference","convert")</f>
        <v/>
      </c>
      <c r="G868">
        <f>IF(Assumptions!$B$41&gt;Assumptions!$B$34*N867,"preference","convert")</f>
        <v/>
      </c>
      <c r="H868">
        <f>IF(Assumptions!$B$40&gt;Assumptions!$B$33*N867,"preference","convert")</f>
        <v/>
      </c>
      <c r="I868">
        <f>IF(B868="preference",Assumptions!$B$4,0)+IF(C868="preference",Assumptions!$B$45,0)+IF(D868="preference",Assumptions!$B$44,0)+IF(E868="preference",Assumptions!$B$43,0)+IF(F868="preference",Assumptions!$B$42,0)+IF(G868="preference",Assumptions!$B$41,0)+IF(H868="preference",Assumptions!$B$40,0)</f>
        <v/>
      </c>
      <c r="J868">
        <f>IF(B868="convert",(Assumptions!$B$4/B839),0)+IF(C868="convert",(Assumptions!$B$39+F839),0)+IF(D868="convert",(Assumptions!$B$38+E839),0)+IF(E868="convert",Assumptions!$B$36,0)+IF(F868="convert",Assumptions!$B$35,0)+IF(G868="convert",Assumptions!$B$34,0)+IF(H868="convert",Assumptions!$B$33,0)</f>
        <v/>
      </c>
      <c r="K868">
        <f>(Assumptions!$B$46+Assumptions!$B$47+Assumptions!$B$48)+Assumptions!$B$49+(H839+I839)+J868</f>
        <v/>
      </c>
      <c r="L868">
        <f>(Assumptions!$B$13-I868+Assumptions!$B$31*Assumptions!$B$10)/(K868+Assumptions!$B$31)</f>
        <v/>
      </c>
      <c r="M868">
        <f>IF(L868&gt;Assumptions!$B$10,"yes","no")</f>
        <v/>
      </c>
      <c r="N868">
        <f>IF(M868="yes",L868,MAX(0,(Assumptions!$B$13-I868)/K868))</f>
        <v/>
      </c>
      <c r="O868">
        <f>IF(M868="yes",Assumptions!$B$31*(N868-Assumptions!$B$10),0)</f>
        <v/>
      </c>
    </row>
    <row r="869">
      <c r="A869" t="inlineStr">
        <is>
          <t>iter 25</t>
        </is>
      </c>
      <c r="B869">
        <f>IF(Assumptions!$B$4&gt;(Assumptions!$B$4/B839)*N868,"preference","convert")</f>
        <v/>
      </c>
      <c r="C869">
        <f>IF(Assumptions!$B$45&gt;(Assumptions!$B$39+F839)*N868,"preference","convert")</f>
        <v/>
      </c>
      <c r="D869">
        <f>IF(Assumptions!$B$44&gt;(Assumptions!$B$38+E839)*N868,"preference","convert")</f>
        <v/>
      </c>
      <c r="E869">
        <f>IF(Assumptions!$B$43&gt;Assumptions!$B$36*N868,"preference","convert")</f>
        <v/>
      </c>
      <c r="F869">
        <f>IF(Assumptions!$B$42&gt;Assumptions!$B$35*N868,"preference","convert")</f>
        <v/>
      </c>
      <c r="G869">
        <f>IF(Assumptions!$B$41&gt;Assumptions!$B$34*N868,"preference","convert")</f>
        <v/>
      </c>
      <c r="H869">
        <f>IF(Assumptions!$B$40&gt;Assumptions!$B$33*N868,"preference","convert")</f>
        <v/>
      </c>
      <c r="I869">
        <f>IF(B869="preference",Assumptions!$B$4,0)+IF(C869="preference",Assumptions!$B$45,0)+IF(D869="preference",Assumptions!$B$44,0)+IF(E869="preference",Assumptions!$B$43,0)+IF(F869="preference",Assumptions!$B$42,0)+IF(G869="preference",Assumptions!$B$41,0)+IF(H869="preference",Assumptions!$B$40,0)</f>
        <v/>
      </c>
      <c r="J869">
        <f>IF(B869="convert",(Assumptions!$B$4/B839),0)+IF(C869="convert",(Assumptions!$B$39+F839),0)+IF(D869="convert",(Assumptions!$B$38+E839),0)+IF(E869="convert",Assumptions!$B$36,0)+IF(F869="convert",Assumptions!$B$35,0)+IF(G869="convert",Assumptions!$B$34,0)+IF(H869="convert",Assumptions!$B$33,0)</f>
        <v/>
      </c>
      <c r="K869">
        <f>(Assumptions!$B$46+Assumptions!$B$47+Assumptions!$B$48)+Assumptions!$B$49+(H839+I839)+J869</f>
        <v/>
      </c>
      <c r="L869">
        <f>(Assumptions!$B$13-I869+Assumptions!$B$31*Assumptions!$B$10)/(K869+Assumptions!$B$31)</f>
        <v/>
      </c>
      <c r="M869">
        <f>IF(L869&gt;Assumptions!$B$10,"yes","no")</f>
        <v/>
      </c>
      <c r="N869">
        <f>IF(M869="yes",L869,MAX(0,(Assumptions!$B$13-I869)/K869))</f>
        <v/>
      </c>
      <c r="O869">
        <f>IF(M869="yes",Assumptions!$B$31*(N869-Assumptions!$B$10),0)</f>
        <v/>
      </c>
    </row>
    <row r="870">
      <c r="A870" t="inlineStr">
        <is>
          <t>iter 26</t>
        </is>
      </c>
      <c r="B870">
        <f>IF(Assumptions!$B$4&gt;(Assumptions!$B$4/B839)*N869,"preference","convert")</f>
        <v/>
      </c>
      <c r="C870">
        <f>IF(Assumptions!$B$45&gt;(Assumptions!$B$39+F839)*N869,"preference","convert")</f>
        <v/>
      </c>
      <c r="D870">
        <f>IF(Assumptions!$B$44&gt;(Assumptions!$B$38+E839)*N869,"preference","convert")</f>
        <v/>
      </c>
      <c r="E870">
        <f>IF(Assumptions!$B$43&gt;Assumptions!$B$36*N869,"preference","convert")</f>
        <v/>
      </c>
      <c r="F870">
        <f>IF(Assumptions!$B$42&gt;Assumptions!$B$35*N869,"preference","convert")</f>
        <v/>
      </c>
      <c r="G870">
        <f>IF(Assumptions!$B$41&gt;Assumptions!$B$34*N869,"preference","convert")</f>
        <v/>
      </c>
      <c r="H870">
        <f>IF(Assumptions!$B$40&gt;Assumptions!$B$33*N869,"preference","convert")</f>
        <v/>
      </c>
      <c r="I870">
        <f>IF(B870="preference",Assumptions!$B$4,0)+IF(C870="preference",Assumptions!$B$45,0)+IF(D870="preference",Assumptions!$B$44,0)+IF(E870="preference",Assumptions!$B$43,0)+IF(F870="preference",Assumptions!$B$42,0)+IF(G870="preference",Assumptions!$B$41,0)+IF(H870="preference",Assumptions!$B$40,0)</f>
        <v/>
      </c>
      <c r="J870">
        <f>IF(B870="convert",(Assumptions!$B$4/B839),0)+IF(C870="convert",(Assumptions!$B$39+F839),0)+IF(D870="convert",(Assumptions!$B$38+E839),0)+IF(E870="convert",Assumptions!$B$36,0)+IF(F870="convert",Assumptions!$B$35,0)+IF(G870="convert",Assumptions!$B$34,0)+IF(H870="convert",Assumptions!$B$33,0)</f>
        <v/>
      </c>
      <c r="K870">
        <f>(Assumptions!$B$46+Assumptions!$B$47+Assumptions!$B$48)+Assumptions!$B$49+(H839+I839)+J870</f>
        <v/>
      </c>
      <c r="L870">
        <f>(Assumptions!$B$13-I870+Assumptions!$B$31*Assumptions!$B$10)/(K870+Assumptions!$B$31)</f>
        <v/>
      </c>
      <c r="M870">
        <f>IF(L870&gt;Assumptions!$B$10,"yes","no")</f>
        <v/>
      </c>
      <c r="N870">
        <f>IF(M870="yes",L870,MAX(0,(Assumptions!$B$13-I870)/K870))</f>
        <v/>
      </c>
      <c r="O870">
        <f>IF(M870="yes",Assumptions!$B$31*(N870-Assumptions!$B$10),0)</f>
        <v/>
      </c>
    </row>
    <row r="871">
      <c r="A871" t="inlineStr">
        <is>
          <t>iter 27</t>
        </is>
      </c>
      <c r="B871">
        <f>IF(Assumptions!$B$4&gt;(Assumptions!$B$4/B839)*N870,"preference","convert")</f>
        <v/>
      </c>
      <c r="C871">
        <f>IF(Assumptions!$B$45&gt;(Assumptions!$B$39+F839)*N870,"preference","convert")</f>
        <v/>
      </c>
      <c r="D871">
        <f>IF(Assumptions!$B$44&gt;(Assumptions!$B$38+E839)*N870,"preference","convert")</f>
        <v/>
      </c>
      <c r="E871">
        <f>IF(Assumptions!$B$43&gt;Assumptions!$B$36*N870,"preference","convert")</f>
        <v/>
      </c>
      <c r="F871">
        <f>IF(Assumptions!$B$42&gt;Assumptions!$B$35*N870,"preference","convert")</f>
        <v/>
      </c>
      <c r="G871">
        <f>IF(Assumptions!$B$41&gt;Assumptions!$B$34*N870,"preference","convert")</f>
        <v/>
      </c>
      <c r="H871">
        <f>IF(Assumptions!$B$40&gt;Assumptions!$B$33*N870,"preference","convert")</f>
        <v/>
      </c>
      <c r="I871">
        <f>IF(B871="preference",Assumptions!$B$4,0)+IF(C871="preference",Assumptions!$B$45,0)+IF(D871="preference",Assumptions!$B$44,0)+IF(E871="preference",Assumptions!$B$43,0)+IF(F871="preference",Assumptions!$B$42,0)+IF(G871="preference",Assumptions!$B$41,0)+IF(H871="preference",Assumptions!$B$40,0)</f>
        <v/>
      </c>
      <c r="J871">
        <f>IF(B871="convert",(Assumptions!$B$4/B839),0)+IF(C871="convert",(Assumptions!$B$39+F839),0)+IF(D871="convert",(Assumptions!$B$38+E839),0)+IF(E871="convert",Assumptions!$B$36,0)+IF(F871="convert",Assumptions!$B$35,0)+IF(G871="convert",Assumptions!$B$34,0)+IF(H871="convert",Assumptions!$B$33,0)</f>
        <v/>
      </c>
      <c r="K871">
        <f>(Assumptions!$B$46+Assumptions!$B$47+Assumptions!$B$48)+Assumptions!$B$49+(H839+I839)+J871</f>
        <v/>
      </c>
      <c r="L871">
        <f>(Assumptions!$B$13-I871+Assumptions!$B$31*Assumptions!$B$10)/(K871+Assumptions!$B$31)</f>
        <v/>
      </c>
      <c r="M871">
        <f>IF(L871&gt;Assumptions!$B$10,"yes","no")</f>
        <v/>
      </c>
      <c r="N871">
        <f>IF(M871="yes",L871,MAX(0,(Assumptions!$B$13-I871)/K871))</f>
        <v/>
      </c>
      <c r="O871">
        <f>IF(M871="yes",Assumptions!$B$31*(N871-Assumptions!$B$10),0)</f>
        <v/>
      </c>
    </row>
    <row r="872">
      <c r="A872" t="inlineStr">
        <is>
          <t>iter 28</t>
        </is>
      </c>
      <c r="B872">
        <f>IF(Assumptions!$B$4&gt;(Assumptions!$B$4/B839)*N871,"preference","convert")</f>
        <v/>
      </c>
      <c r="C872">
        <f>IF(Assumptions!$B$45&gt;(Assumptions!$B$39+F839)*N871,"preference","convert")</f>
        <v/>
      </c>
      <c r="D872">
        <f>IF(Assumptions!$B$44&gt;(Assumptions!$B$38+E839)*N871,"preference","convert")</f>
        <v/>
      </c>
      <c r="E872">
        <f>IF(Assumptions!$B$43&gt;Assumptions!$B$36*N871,"preference","convert")</f>
        <v/>
      </c>
      <c r="F872">
        <f>IF(Assumptions!$B$42&gt;Assumptions!$B$35*N871,"preference","convert")</f>
        <v/>
      </c>
      <c r="G872">
        <f>IF(Assumptions!$B$41&gt;Assumptions!$B$34*N871,"preference","convert")</f>
        <v/>
      </c>
      <c r="H872">
        <f>IF(Assumptions!$B$40&gt;Assumptions!$B$33*N871,"preference","convert")</f>
        <v/>
      </c>
      <c r="I872">
        <f>IF(B872="preference",Assumptions!$B$4,0)+IF(C872="preference",Assumptions!$B$45,0)+IF(D872="preference",Assumptions!$B$44,0)+IF(E872="preference",Assumptions!$B$43,0)+IF(F872="preference",Assumptions!$B$42,0)+IF(G872="preference",Assumptions!$B$41,0)+IF(H872="preference",Assumptions!$B$40,0)</f>
        <v/>
      </c>
      <c r="J872">
        <f>IF(B872="convert",(Assumptions!$B$4/B839),0)+IF(C872="convert",(Assumptions!$B$39+F839),0)+IF(D872="convert",(Assumptions!$B$38+E839),0)+IF(E872="convert",Assumptions!$B$36,0)+IF(F872="convert",Assumptions!$B$35,0)+IF(G872="convert",Assumptions!$B$34,0)+IF(H872="convert",Assumptions!$B$33,0)</f>
        <v/>
      </c>
      <c r="K872">
        <f>(Assumptions!$B$46+Assumptions!$B$47+Assumptions!$B$48)+Assumptions!$B$49+(H839+I839)+J872</f>
        <v/>
      </c>
      <c r="L872">
        <f>(Assumptions!$B$13-I872+Assumptions!$B$31*Assumptions!$B$10)/(K872+Assumptions!$B$31)</f>
        <v/>
      </c>
      <c r="M872">
        <f>IF(L872&gt;Assumptions!$B$10,"yes","no")</f>
        <v/>
      </c>
      <c r="N872">
        <f>IF(M872="yes",L872,MAX(0,(Assumptions!$B$13-I872)/K872))</f>
        <v/>
      </c>
      <c r="O872">
        <f>IF(M872="yes",Assumptions!$B$31*(N872-Assumptions!$B$10),0)</f>
        <v/>
      </c>
    </row>
    <row r="873">
      <c r="A873" t="inlineStr">
        <is>
          <t>iter 29</t>
        </is>
      </c>
      <c r="B873">
        <f>IF(Assumptions!$B$4&gt;(Assumptions!$B$4/B839)*N872,"preference","convert")</f>
        <v/>
      </c>
      <c r="C873">
        <f>IF(Assumptions!$B$45&gt;(Assumptions!$B$39+F839)*N872,"preference","convert")</f>
        <v/>
      </c>
      <c r="D873">
        <f>IF(Assumptions!$B$44&gt;(Assumptions!$B$38+E839)*N872,"preference","convert")</f>
        <v/>
      </c>
      <c r="E873">
        <f>IF(Assumptions!$B$43&gt;Assumptions!$B$36*N872,"preference","convert")</f>
        <v/>
      </c>
      <c r="F873">
        <f>IF(Assumptions!$B$42&gt;Assumptions!$B$35*N872,"preference","convert")</f>
        <v/>
      </c>
      <c r="G873">
        <f>IF(Assumptions!$B$41&gt;Assumptions!$B$34*N872,"preference","convert")</f>
        <v/>
      </c>
      <c r="H873">
        <f>IF(Assumptions!$B$40&gt;Assumptions!$B$33*N872,"preference","convert")</f>
        <v/>
      </c>
      <c r="I873">
        <f>IF(B873="preference",Assumptions!$B$4,0)+IF(C873="preference",Assumptions!$B$45,0)+IF(D873="preference",Assumptions!$B$44,0)+IF(E873="preference",Assumptions!$B$43,0)+IF(F873="preference",Assumptions!$B$42,0)+IF(G873="preference",Assumptions!$B$41,0)+IF(H873="preference",Assumptions!$B$40,0)</f>
        <v/>
      </c>
      <c r="J873">
        <f>IF(B873="convert",(Assumptions!$B$4/B839),0)+IF(C873="convert",(Assumptions!$B$39+F839),0)+IF(D873="convert",(Assumptions!$B$38+E839),0)+IF(E873="convert",Assumptions!$B$36,0)+IF(F873="convert",Assumptions!$B$35,0)+IF(G873="convert",Assumptions!$B$34,0)+IF(H873="convert",Assumptions!$B$33,0)</f>
        <v/>
      </c>
      <c r="K873">
        <f>(Assumptions!$B$46+Assumptions!$B$47+Assumptions!$B$48)+Assumptions!$B$49+(H839+I839)+J873</f>
        <v/>
      </c>
      <c r="L873">
        <f>(Assumptions!$B$13-I873+Assumptions!$B$31*Assumptions!$B$10)/(K873+Assumptions!$B$31)</f>
        <v/>
      </c>
      <c r="M873">
        <f>IF(L873&gt;Assumptions!$B$10,"yes","no")</f>
        <v/>
      </c>
      <c r="N873">
        <f>IF(M873="yes",L873,MAX(0,(Assumptions!$B$13-I873)/K873))</f>
        <v/>
      </c>
      <c r="O873">
        <f>IF(M873="yes",Assumptions!$B$31*(N873-Assumptions!$B$10),0)</f>
        <v/>
      </c>
    </row>
    <row r="874">
      <c r="A874" t="inlineStr">
        <is>
          <t>iter 30</t>
        </is>
      </c>
      <c r="B874">
        <f>IF(Assumptions!$B$4&gt;(Assumptions!$B$4/B839)*N873,"preference","convert")</f>
        <v/>
      </c>
      <c r="C874">
        <f>IF(Assumptions!$B$45&gt;(Assumptions!$B$39+F839)*N873,"preference","convert")</f>
        <v/>
      </c>
      <c r="D874">
        <f>IF(Assumptions!$B$44&gt;(Assumptions!$B$38+E839)*N873,"preference","convert")</f>
        <v/>
      </c>
      <c r="E874">
        <f>IF(Assumptions!$B$43&gt;Assumptions!$B$36*N873,"preference","convert")</f>
        <v/>
      </c>
      <c r="F874">
        <f>IF(Assumptions!$B$42&gt;Assumptions!$B$35*N873,"preference","convert")</f>
        <v/>
      </c>
      <c r="G874">
        <f>IF(Assumptions!$B$41&gt;Assumptions!$B$34*N873,"preference","convert")</f>
        <v/>
      </c>
      <c r="H874">
        <f>IF(Assumptions!$B$40&gt;Assumptions!$B$33*N873,"preference","convert")</f>
        <v/>
      </c>
      <c r="I874">
        <f>IF(B874="preference",Assumptions!$B$4,0)+IF(C874="preference",Assumptions!$B$45,0)+IF(D874="preference",Assumptions!$B$44,0)+IF(E874="preference",Assumptions!$B$43,0)+IF(F874="preference",Assumptions!$B$42,0)+IF(G874="preference",Assumptions!$B$41,0)+IF(H874="preference",Assumptions!$B$40,0)</f>
        <v/>
      </c>
      <c r="J874">
        <f>IF(B874="convert",(Assumptions!$B$4/B839),0)+IF(C874="convert",(Assumptions!$B$39+F839),0)+IF(D874="convert",(Assumptions!$B$38+E839),0)+IF(E874="convert",Assumptions!$B$36,0)+IF(F874="convert",Assumptions!$B$35,0)+IF(G874="convert",Assumptions!$B$34,0)+IF(H874="convert",Assumptions!$B$33,0)</f>
        <v/>
      </c>
      <c r="K874">
        <f>(Assumptions!$B$46+Assumptions!$B$47+Assumptions!$B$48)+Assumptions!$B$49+(H839+I839)+J874</f>
        <v/>
      </c>
      <c r="L874">
        <f>(Assumptions!$B$13-I874+Assumptions!$B$31*Assumptions!$B$10)/(K874+Assumptions!$B$31)</f>
        <v/>
      </c>
      <c r="M874">
        <f>IF(L874&gt;Assumptions!$B$10,"yes","no")</f>
        <v/>
      </c>
      <c r="N874">
        <f>IF(M874="yes",L874,MAX(0,(Assumptions!$B$13-I874)/K874))</f>
        <v/>
      </c>
      <c r="O874">
        <f>IF(M874="yes",Assumptions!$B$31*(N874-Assumptions!$B$10),0)</f>
        <v/>
      </c>
    </row>
    <row r="876">
      <c r="A876" t="inlineStr">
        <is>
          <t>Our shares (post-F)</t>
        </is>
      </c>
      <c r="B876">
        <f>(Assumptions!$B$8/B839)</f>
        <v/>
      </c>
    </row>
    <row r="877">
      <c r="A877" t="inlineStr">
        <is>
          <t>Our ownership % (of T_F)</t>
        </is>
      </c>
      <c r="B877">
        <f>(Assumptions!$B$8/B839)/K839</f>
        <v/>
      </c>
    </row>
    <row r="878">
      <c r="A878" t="inlineStr">
        <is>
          <t>Our $ proceeds at $2B</t>
        </is>
      </c>
      <c r="B878">
        <f>IF(B874="convert",(Assumptions!$B$8/B839)*N874,(Assumptions!$B$8/B839)*B839)</f>
        <v/>
      </c>
    </row>
    <row r="881">
      <c r="A881" s="1" t="inlineStr">
        <is>
          <t>Cell (2,1) — ESOP=high, Pre=base</t>
        </is>
      </c>
    </row>
    <row r="882">
      <c r="A882" s="1" t="inlineStr">
        <is>
          <t>Step</t>
        </is>
      </c>
      <c r="B882" s="1" t="inlineStr">
        <is>
          <t>F_PPS</t>
        </is>
      </c>
      <c r="C882" s="1" t="inlineStr">
        <is>
          <t>D_NCP</t>
        </is>
      </c>
      <c r="D882" s="1" t="inlineStr">
        <is>
          <t>E_NCP</t>
        </is>
      </c>
      <c r="E882" s="1" t="inlineStr">
        <is>
          <t>ΔD</t>
        </is>
      </c>
      <c r="F882" s="1" t="inlineStr">
        <is>
          <t>ΔE</t>
        </is>
      </c>
      <c r="G882" s="1" t="inlineStr">
        <is>
          <t>ESOP</t>
        </is>
      </c>
      <c r="H882" s="1" t="inlineStr">
        <is>
          <t>N_A</t>
        </is>
      </c>
      <c r="I882" s="1" t="inlineStr">
        <is>
          <t>N_B</t>
        </is>
      </c>
      <c r="J882" s="1" t="inlineStr">
        <is>
          <t>preFD</t>
        </is>
      </c>
      <c r="K882" s="1" t="inlineStr">
        <is>
          <t>T_F</t>
        </is>
      </c>
      <c r="L882" s="1" t="inlineStr">
        <is>
          <t>F_PPS chk</t>
        </is>
      </c>
    </row>
    <row r="883">
      <c r="A883" t="inlineStr">
        <is>
          <t>cell(2,1) seed</t>
        </is>
      </c>
      <c r="B883">
        <f>Assumptions!$B$54/Assumptions!$B$29</f>
        <v/>
      </c>
      <c r="C883">
        <f>Assumptions!$B$20</f>
        <v/>
      </c>
      <c r="D883">
        <f>Assumptions!$B$21</f>
        <v/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>
        <f>Assumptions!$B$29</f>
        <v/>
      </c>
      <c r="K883">
        <f>J883+Assumptions!$B$4/B883</f>
        <v/>
      </c>
      <c r="L883">
        <f>B883</f>
        <v/>
      </c>
    </row>
    <row r="884">
      <c r="A884" t="inlineStr">
        <is>
          <t>cell(2,1) iter 1</t>
        </is>
      </c>
      <c r="B884">
        <f>Assumptions!$B$54/J883</f>
        <v/>
      </c>
      <c r="C884">
        <f>IF(B884&lt;Assumptions!$B$20,Assumptions!$B$20*(Assumptions!$B$29+Assumptions!$B$4/Assumptions!$B$20)/(Assumptions!$B$29+Assumptions!$B$4/B884),Assumptions!$B$20)</f>
        <v/>
      </c>
      <c r="D884">
        <f>IF(B884&lt;Assumptions!$B$21,Assumptions!$B$21*(Assumptions!$B$29+Assumptions!$B$4/Assumptions!$B$21)/(Assumptions!$B$29+Assumptions!$B$4/B884),Assumptions!$B$21)</f>
        <v/>
      </c>
      <c r="E884">
        <f>Assumptions!$B$37*Assumptions!$B$22/C884-Assumptions!$B$38</f>
        <v/>
      </c>
      <c r="F884">
        <f>Assumptions!$B$39*Assumptions!$B$21/D884-Assumptions!$B$39</f>
        <v/>
      </c>
      <c r="G884">
        <f>MAX(0,Assumptions!$B$52*(Assumptions!$B$29+E884+F884+G883+H883+I883+Assumptions!$B$4/B884)-Assumptions!$B$30)</f>
        <v/>
      </c>
      <c r="H884">
        <f>Assumptions!$B$23/MIN(Assumptions!$B$24/(Assumptions!$B$29+E884+F884+G884+I883),B884*(1-Assumptions!$B$25))</f>
        <v/>
      </c>
      <c r="I884">
        <f>Assumptions!$B$26/MIN(Assumptions!$B$27/(Assumptions!$B$29+E884+F884+G884+H884),B884*(1-Assumptions!$B$28))</f>
        <v/>
      </c>
      <c r="J884">
        <f>Assumptions!$B$29+E884+F884+G884+H884+I884</f>
        <v/>
      </c>
      <c r="K884">
        <f>J884+Assumptions!$B$4/B884</f>
        <v/>
      </c>
      <c r="L884">
        <f>B884</f>
        <v/>
      </c>
    </row>
    <row r="885">
      <c r="A885" t="inlineStr">
        <is>
          <t>cell(2,1) iter 2</t>
        </is>
      </c>
      <c r="B885">
        <f>Assumptions!$B$54/J884</f>
        <v/>
      </c>
      <c r="C885">
        <f>IF(B885&lt;Assumptions!$B$20,Assumptions!$B$20*(Assumptions!$B$29+Assumptions!$B$4/Assumptions!$B$20)/(Assumptions!$B$29+Assumptions!$B$4/B885),Assumptions!$B$20)</f>
        <v/>
      </c>
      <c r="D885">
        <f>IF(B885&lt;Assumptions!$B$21,Assumptions!$B$21*(Assumptions!$B$29+Assumptions!$B$4/Assumptions!$B$21)/(Assumptions!$B$29+Assumptions!$B$4/B885),Assumptions!$B$21)</f>
        <v/>
      </c>
      <c r="E885">
        <f>Assumptions!$B$37*Assumptions!$B$22/C885-Assumptions!$B$38</f>
        <v/>
      </c>
      <c r="F885">
        <f>Assumptions!$B$39*Assumptions!$B$21/D885-Assumptions!$B$39</f>
        <v/>
      </c>
      <c r="G885">
        <f>MAX(0,Assumptions!$B$52*(Assumptions!$B$29+E885+F885+G884+H884+I884+Assumptions!$B$4/B885)-Assumptions!$B$30)</f>
        <v/>
      </c>
      <c r="H885">
        <f>Assumptions!$B$23/MIN(Assumptions!$B$24/(Assumptions!$B$29+E885+F885+G885+I884),B885*(1-Assumptions!$B$25))</f>
        <v/>
      </c>
      <c r="I885">
        <f>Assumptions!$B$26/MIN(Assumptions!$B$27/(Assumptions!$B$29+E885+F885+G885+H885),B885*(1-Assumptions!$B$28))</f>
        <v/>
      </c>
      <c r="J885">
        <f>Assumptions!$B$29+E885+F885+G885+H885+I885</f>
        <v/>
      </c>
      <c r="K885">
        <f>J885+Assumptions!$B$4/B885</f>
        <v/>
      </c>
      <c r="L885">
        <f>B885</f>
        <v/>
      </c>
    </row>
    <row r="886">
      <c r="A886" t="inlineStr">
        <is>
          <t>cell(2,1) iter 3</t>
        </is>
      </c>
      <c r="B886">
        <f>Assumptions!$B$54/J885</f>
        <v/>
      </c>
      <c r="C886">
        <f>IF(B886&lt;Assumptions!$B$20,Assumptions!$B$20*(Assumptions!$B$29+Assumptions!$B$4/Assumptions!$B$20)/(Assumptions!$B$29+Assumptions!$B$4/B886),Assumptions!$B$20)</f>
        <v/>
      </c>
      <c r="D886">
        <f>IF(B886&lt;Assumptions!$B$21,Assumptions!$B$21*(Assumptions!$B$29+Assumptions!$B$4/Assumptions!$B$21)/(Assumptions!$B$29+Assumptions!$B$4/B886),Assumptions!$B$21)</f>
        <v/>
      </c>
      <c r="E886">
        <f>Assumptions!$B$37*Assumptions!$B$22/C886-Assumptions!$B$38</f>
        <v/>
      </c>
      <c r="F886">
        <f>Assumptions!$B$39*Assumptions!$B$21/D886-Assumptions!$B$39</f>
        <v/>
      </c>
      <c r="G886">
        <f>MAX(0,Assumptions!$B$52*(Assumptions!$B$29+E886+F886+G885+H885+I885+Assumptions!$B$4/B886)-Assumptions!$B$30)</f>
        <v/>
      </c>
      <c r="H886">
        <f>Assumptions!$B$23/MIN(Assumptions!$B$24/(Assumptions!$B$29+E886+F886+G886+I885),B886*(1-Assumptions!$B$25))</f>
        <v/>
      </c>
      <c r="I886">
        <f>Assumptions!$B$26/MIN(Assumptions!$B$27/(Assumptions!$B$29+E886+F886+G886+H886),B886*(1-Assumptions!$B$28))</f>
        <v/>
      </c>
      <c r="J886">
        <f>Assumptions!$B$29+E886+F886+G886+H886+I886</f>
        <v/>
      </c>
      <c r="K886">
        <f>J886+Assumptions!$B$4/B886</f>
        <v/>
      </c>
      <c r="L886">
        <f>B886</f>
        <v/>
      </c>
    </row>
    <row r="887">
      <c r="A887" t="inlineStr">
        <is>
          <t>cell(2,1) iter 4</t>
        </is>
      </c>
      <c r="B887">
        <f>Assumptions!$B$54/J886</f>
        <v/>
      </c>
      <c r="C887">
        <f>IF(B887&lt;Assumptions!$B$20,Assumptions!$B$20*(Assumptions!$B$29+Assumptions!$B$4/Assumptions!$B$20)/(Assumptions!$B$29+Assumptions!$B$4/B887),Assumptions!$B$20)</f>
        <v/>
      </c>
      <c r="D887">
        <f>IF(B887&lt;Assumptions!$B$21,Assumptions!$B$21*(Assumptions!$B$29+Assumptions!$B$4/Assumptions!$B$21)/(Assumptions!$B$29+Assumptions!$B$4/B887),Assumptions!$B$21)</f>
        <v/>
      </c>
      <c r="E887">
        <f>Assumptions!$B$37*Assumptions!$B$22/C887-Assumptions!$B$38</f>
        <v/>
      </c>
      <c r="F887">
        <f>Assumptions!$B$39*Assumptions!$B$21/D887-Assumptions!$B$39</f>
        <v/>
      </c>
      <c r="G887">
        <f>MAX(0,Assumptions!$B$52*(Assumptions!$B$29+E887+F887+G886+H886+I886+Assumptions!$B$4/B887)-Assumptions!$B$30)</f>
        <v/>
      </c>
      <c r="H887">
        <f>Assumptions!$B$23/MIN(Assumptions!$B$24/(Assumptions!$B$29+E887+F887+G887+I886),B887*(1-Assumptions!$B$25))</f>
        <v/>
      </c>
      <c r="I887">
        <f>Assumptions!$B$26/MIN(Assumptions!$B$27/(Assumptions!$B$29+E887+F887+G887+H887),B887*(1-Assumptions!$B$28))</f>
        <v/>
      </c>
      <c r="J887">
        <f>Assumptions!$B$29+E887+F887+G887+H887+I887</f>
        <v/>
      </c>
      <c r="K887">
        <f>J887+Assumptions!$B$4/B887</f>
        <v/>
      </c>
      <c r="L887">
        <f>B887</f>
        <v/>
      </c>
    </row>
    <row r="888">
      <c r="A888" t="inlineStr">
        <is>
          <t>cell(2,1) iter 5</t>
        </is>
      </c>
      <c r="B888">
        <f>Assumptions!$B$54/J887</f>
        <v/>
      </c>
      <c r="C888">
        <f>IF(B888&lt;Assumptions!$B$20,Assumptions!$B$20*(Assumptions!$B$29+Assumptions!$B$4/Assumptions!$B$20)/(Assumptions!$B$29+Assumptions!$B$4/B888),Assumptions!$B$20)</f>
        <v/>
      </c>
      <c r="D888">
        <f>IF(B888&lt;Assumptions!$B$21,Assumptions!$B$21*(Assumptions!$B$29+Assumptions!$B$4/Assumptions!$B$21)/(Assumptions!$B$29+Assumptions!$B$4/B888),Assumptions!$B$21)</f>
        <v/>
      </c>
      <c r="E888">
        <f>Assumptions!$B$37*Assumptions!$B$22/C888-Assumptions!$B$38</f>
        <v/>
      </c>
      <c r="F888">
        <f>Assumptions!$B$39*Assumptions!$B$21/D888-Assumptions!$B$39</f>
        <v/>
      </c>
      <c r="G888">
        <f>MAX(0,Assumptions!$B$52*(Assumptions!$B$29+E888+F888+G887+H887+I887+Assumptions!$B$4/B888)-Assumptions!$B$30)</f>
        <v/>
      </c>
      <c r="H888">
        <f>Assumptions!$B$23/MIN(Assumptions!$B$24/(Assumptions!$B$29+E888+F888+G888+I887),B888*(1-Assumptions!$B$25))</f>
        <v/>
      </c>
      <c r="I888">
        <f>Assumptions!$B$26/MIN(Assumptions!$B$27/(Assumptions!$B$29+E888+F888+G888+H888),B888*(1-Assumptions!$B$28))</f>
        <v/>
      </c>
      <c r="J888">
        <f>Assumptions!$B$29+E888+F888+G888+H888+I888</f>
        <v/>
      </c>
      <c r="K888">
        <f>J888+Assumptions!$B$4/B888</f>
        <v/>
      </c>
      <c r="L888">
        <f>B888</f>
        <v/>
      </c>
    </row>
    <row r="889">
      <c r="A889" t="inlineStr">
        <is>
          <t>cell(2,1) iter 6</t>
        </is>
      </c>
      <c r="B889">
        <f>Assumptions!$B$54/J888</f>
        <v/>
      </c>
      <c r="C889">
        <f>IF(B889&lt;Assumptions!$B$20,Assumptions!$B$20*(Assumptions!$B$29+Assumptions!$B$4/Assumptions!$B$20)/(Assumptions!$B$29+Assumptions!$B$4/B889),Assumptions!$B$20)</f>
        <v/>
      </c>
      <c r="D889">
        <f>IF(B889&lt;Assumptions!$B$21,Assumptions!$B$21*(Assumptions!$B$29+Assumptions!$B$4/Assumptions!$B$21)/(Assumptions!$B$29+Assumptions!$B$4/B889),Assumptions!$B$21)</f>
        <v/>
      </c>
      <c r="E889">
        <f>Assumptions!$B$37*Assumptions!$B$22/C889-Assumptions!$B$38</f>
        <v/>
      </c>
      <c r="F889">
        <f>Assumptions!$B$39*Assumptions!$B$21/D889-Assumptions!$B$39</f>
        <v/>
      </c>
      <c r="G889">
        <f>MAX(0,Assumptions!$B$52*(Assumptions!$B$29+E889+F889+G888+H888+I888+Assumptions!$B$4/B889)-Assumptions!$B$30)</f>
        <v/>
      </c>
      <c r="H889">
        <f>Assumptions!$B$23/MIN(Assumptions!$B$24/(Assumptions!$B$29+E889+F889+G889+I888),B889*(1-Assumptions!$B$25))</f>
        <v/>
      </c>
      <c r="I889">
        <f>Assumptions!$B$26/MIN(Assumptions!$B$27/(Assumptions!$B$29+E889+F889+G889+H889),B889*(1-Assumptions!$B$28))</f>
        <v/>
      </c>
      <c r="J889">
        <f>Assumptions!$B$29+E889+F889+G889+H889+I889</f>
        <v/>
      </c>
      <c r="K889">
        <f>J889+Assumptions!$B$4/B889</f>
        <v/>
      </c>
      <c r="L889">
        <f>B889</f>
        <v/>
      </c>
    </row>
    <row r="890">
      <c r="A890" t="inlineStr">
        <is>
          <t>cell(2,1) iter 7</t>
        </is>
      </c>
      <c r="B890">
        <f>Assumptions!$B$54/J889</f>
        <v/>
      </c>
      <c r="C890">
        <f>IF(B890&lt;Assumptions!$B$20,Assumptions!$B$20*(Assumptions!$B$29+Assumptions!$B$4/Assumptions!$B$20)/(Assumptions!$B$29+Assumptions!$B$4/B890),Assumptions!$B$20)</f>
        <v/>
      </c>
      <c r="D890">
        <f>IF(B890&lt;Assumptions!$B$21,Assumptions!$B$21*(Assumptions!$B$29+Assumptions!$B$4/Assumptions!$B$21)/(Assumptions!$B$29+Assumptions!$B$4/B890),Assumptions!$B$21)</f>
        <v/>
      </c>
      <c r="E890">
        <f>Assumptions!$B$37*Assumptions!$B$22/C890-Assumptions!$B$38</f>
        <v/>
      </c>
      <c r="F890">
        <f>Assumptions!$B$39*Assumptions!$B$21/D890-Assumptions!$B$39</f>
        <v/>
      </c>
      <c r="G890">
        <f>MAX(0,Assumptions!$B$52*(Assumptions!$B$29+E890+F890+G889+H889+I889+Assumptions!$B$4/B890)-Assumptions!$B$30)</f>
        <v/>
      </c>
      <c r="H890">
        <f>Assumptions!$B$23/MIN(Assumptions!$B$24/(Assumptions!$B$29+E890+F890+G890+I889),B890*(1-Assumptions!$B$25))</f>
        <v/>
      </c>
      <c r="I890">
        <f>Assumptions!$B$26/MIN(Assumptions!$B$27/(Assumptions!$B$29+E890+F890+G890+H890),B890*(1-Assumptions!$B$28))</f>
        <v/>
      </c>
      <c r="J890">
        <f>Assumptions!$B$29+E890+F890+G890+H890+I890</f>
        <v/>
      </c>
      <c r="K890">
        <f>J890+Assumptions!$B$4/B890</f>
        <v/>
      </c>
      <c r="L890">
        <f>B890</f>
        <v/>
      </c>
    </row>
    <row r="891">
      <c r="A891" t="inlineStr">
        <is>
          <t>cell(2,1) iter 8</t>
        </is>
      </c>
      <c r="B891">
        <f>Assumptions!$B$54/J890</f>
        <v/>
      </c>
      <c r="C891">
        <f>IF(B891&lt;Assumptions!$B$20,Assumptions!$B$20*(Assumptions!$B$29+Assumptions!$B$4/Assumptions!$B$20)/(Assumptions!$B$29+Assumptions!$B$4/B891),Assumptions!$B$20)</f>
        <v/>
      </c>
      <c r="D891">
        <f>IF(B891&lt;Assumptions!$B$21,Assumptions!$B$21*(Assumptions!$B$29+Assumptions!$B$4/Assumptions!$B$21)/(Assumptions!$B$29+Assumptions!$B$4/B891),Assumptions!$B$21)</f>
        <v/>
      </c>
      <c r="E891">
        <f>Assumptions!$B$37*Assumptions!$B$22/C891-Assumptions!$B$38</f>
        <v/>
      </c>
      <c r="F891">
        <f>Assumptions!$B$39*Assumptions!$B$21/D891-Assumptions!$B$39</f>
        <v/>
      </c>
      <c r="G891">
        <f>MAX(0,Assumptions!$B$52*(Assumptions!$B$29+E891+F891+G890+H890+I890+Assumptions!$B$4/B891)-Assumptions!$B$30)</f>
        <v/>
      </c>
      <c r="H891">
        <f>Assumptions!$B$23/MIN(Assumptions!$B$24/(Assumptions!$B$29+E891+F891+G891+I890),B891*(1-Assumptions!$B$25))</f>
        <v/>
      </c>
      <c r="I891">
        <f>Assumptions!$B$26/MIN(Assumptions!$B$27/(Assumptions!$B$29+E891+F891+G891+H891),B891*(1-Assumptions!$B$28))</f>
        <v/>
      </c>
      <c r="J891">
        <f>Assumptions!$B$29+E891+F891+G891+H891+I891</f>
        <v/>
      </c>
      <c r="K891">
        <f>J891+Assumptions!$B$4/B891</f>
        <v/>
      </c>
      <c r="L891">
        <f>B891</f>
        <v/>
      </c>
    </row>
    <row r="892">
      <c r="A892" t="inlineStr">
        <is>
          <t>cell(2,1) iter 9</t>
        </is>
      </c>
      <c r="B892">
        <f>Assumptions!$B$54/J891</f>
        <v/>
      </c>
      <c r="C892">
        <f>IF(B892&lt;Assumptions!$B$20,Assumptions!$B$20*(Assumptions!$B$29+Assumptions!$B$4/Assumptions!$B$20)/(Assumptions!$B$29+Assumptions!$B$4/B892),Assumptions!$B$20)</f>
        <v/>
      </c>
      <c r="D892">
        <f>IF(B892&lt;Assumptions!$B$21,Assumptions!$B$21*(Assumptions!$B$29+Assumptions!$B$4/Assumptions!$B$21)/(Assumptions!$B$29+Assumptions!$B$4/B892),Assumptions!$B$21)</f>
        <v/>
      </c>
      <c r="E892">
        <f>Assumptions!$B$37*Assumptions!$B$22/C892-Assumptions!$B$38</f>
        <v/>
      </c>
      <c r="F892">
        <f>Assumptions!$B$39*Assumptions!$B$21/D892-Assumptions!$B$39</f>
        <v/>
      </c>
      <c r="G892">
        <f>MAX(0,Assumptions!$B$52*(Assumptions!$B$29+E892+F892+G891+H891+I891+Assumptions!$B$4/B892)-Assumptions!$B$30)</f>
        <v/>
      </c>
      <c r="H892">
        <f>Assumptions!$B$23/MIN(Assumptions!$B$24/(Assumptions!$B$29+E892+F892+G892+I891),B892*(1-Assumptions!$B$25))</f>
        <v/>
      </c>
      <c r="I892">
        <f>Assumptions!$B$26/MIN(Assumptions!$B$27/(Assumptions!$B$29+E892+F892+G892+H892),B892*(1-Assumptions!$B$28))</f>
        <v/>
      </c>
      <c r="J892">
        <f>Assumptions!$B$29+E892+F892+G892+H892+I892</f>
        <v/>
      </c>
      <c r="K892">
        <f>J892+Assumptions!$B$4/B892</f>
        <v/>
      </c>
      <c r="L892">
        <f>B892</f>
        <v/>
      </c>
    </row>
    <row r="893">
      <c r="A893" t="inlineStr">
        <is>
          <t>cell(2,1) iter 10</t>
        </is>
      </c>
      <c r="B893">
        <f>Assumptions!$B$54/J892</f>
        <v/>
      </c>
      <c r="C893">
        <f>IF(B893&lt;Assumptions!$B$20,Assumptions!$B$20*(Assumptions!$B$29+Assumptions!$B$4/Assumptions!$B$20)/(Assumptions!$B$29+Assumptions!$B$4/B893),Assumptions!$B$20)</f>
        <v/>
      </c>
      <c r="D893">
        <f>IF(B893&lt;Assumptions!$B$21,Assumptions!$B$21*(Assumptions!$B$29+Assumptions!$B$4/Assumptions!$B$21)/(Assumptions!$B$29+Assumptions!$B$4/B893),Assumptions!$B$21)</f>
        <v/>
      </c>
      <c r="E893">
        <f>Assumptions!$B$37*Assumptions!$B$22/C893-Assumptions!$B$38</f>
        <v/>
      </c>
      <c r="F893">
        <f>Assumptions!$B$39*Assumptions!$B$21/D893-Assumptions!$B$39</f>
        <v/>
      </c>
      <c r="G893">
        <f>MAX(0,Assumptions!$B$52*(Assumptions!$B$29+E893+F893+G892+H892+I892+Assumptions!$B$4/B893)-Assumptions!$B$30)</f>
        <v/>
      </c>
      <c r="H893">
        <f>Assumptions!$B$23/MIN(Assumptions!$B$24/(Assumptions!$B$29+E893+F893+G893+I892),B893*(1-Assumptions!$B$25))</f>
        <v/>
      </c>
      <c r="I893">
        <f>Assumptions!$B$26/MIN(Assumptions!$B$27/(Assumptions!$B$29+E893+F893+G893+H893),B893*(1-Assumptions!$B$28))</f>
        <v/>
      </c>
      <c r="J893">
        <f>Assumptions!$B$29+E893+F893+G893+H893+I893</f>
        <v/>
      </c>
      <c r="K893">
        <f>J893+Assumptions!$B$4/B893</f>
        <v/>
      </c>
      <c r="L893">
        <f>B893</f>
        <v/>
      </c>
    </row>
    <row r="894">
      <c r="A894" t="inlineStr">
        <is>
          <t>cell(2,1) iter 11</t>
        </is>
      </c>
      <c r="B894">
        <f>Assumptions!$B$54/J893</f>
        <v/>
      </c>
      <c r="C894">
        <f>IF(B894&lt;Assumptions!$B$20,Assumptions!$B$20*(Assumptions!$B$29+Assumptions!$B$4/Assumptions!$B$20)/(Assumptions!$B$29+Assumptions!$B$4/B894),Assumptions!$B$20)</f>
        <v/>
      </c>
      <c r="D894">
        <f>IF(B894&lt;Assumptions!$B$21,Assumptions!$B$21*(Assumptions!$B$29+Assumptions!$B$4/Assumptions!$B$21)/(Assumptions!$B$29+Assumptions!$B$4/B894),Assumptions!$B$21)</f>
        <v/>
      </c>
      <c r="E894">
        <f>Assumptions!$B$37*Assumptions!$B$22/C894-Assumptions!$B$38</f>
        <v/>
      </c>
      <c r="F894">
        <f>Assumptions!$B$39*Assumptions!$B$21/D894-Assumptions!$B$39</f>
        <v/>
      </c>
      <c r="G894">
        <f>MAX(0,Assumptions!$B$52*(Assumptions!$B$29+E894+F894+G893+H893+I893+Assumptions!$B$4/B894)-Assumptions!$B$30)</f>
        <v/>
      </c>
      <c r="H894">
        <f>Assumptions!$B$23/MIN(Assumptions!$B$24/(Assumptions!$B$29+E894+F894+G894+I893),B894*(1-Assumptions!$B$25))</f>
        <v/>
      </c>
      <c r="I894">
        <f>Assumptions!$B$26/MIN(Assumptions!$B$27/(Assumptions!$B$29+E894+F894+G894+H894),B894*(1-Assumptions!$B$28))</f>
        <v/>
      </c>
      <c r="J894">
        <f>Assumptions!$B$29+E894+F894+G894+H894+I894</f>
        <v/>
      </c>
      <c r="K894">
        <f>J894+Assumptions!$B$4/B894</f>
        <v/>
      </c>
      <c r="L894">
        <f>B894</f>
        <v/>
      </c>
    </row>
    <row r="895">
      <c r="A895" t="inlineStr">
        <is>
          <t>cell(2,1) iter 12</t>
        </is>
      </c>
      <c r="B895">
        <f>Assumptions!$B$54/J894</f>
        <v/>
      </c>
      <c r="C895">
        <f>IF(B895&lt;Assumptions!$B$20,Assumptions!$B$20*(Assumptions!$B$29+Assumptions!$B$4/Assumptions!$B$20)/(Assumptions!$B$29+Assumptions!$B$4/B895),Assumptions!$B$20)</f>
        <v/>
      </c>
      <c r="D895">
        <f>IF(B895&lt;Assumptions!$B$21,Assumptions!$B$21*(Assumptions!$B$29+Assumptions!$B$4/Assumptions!$B$21)/(Assumptions!$B$29+Assumptions!$B$4/B895),Assumptions!$B$21)</f>
        <v/>
      </c>
      <c r="E895">
        <f>Assumptions!$B$37*Assumptions!$B$22/C895-Assumptions!$B$38</f>
        <v/>
      </c>
      <c r="F895">
        <f>Assumptions!$B$39*Assumptions!$B$21/D895-Assumptions!$B$39</f>
        <v/>
      </c>
      <c r="G895">
        <f>MAX(0,Assumptions!$B$52*(Assumptions!$B$29+E895+F895+G894+H894+I894+Assumptions!$B$4/B895)-Assumptions!$B$30)</f>
        <v/>
      </c>
      <c r="H895">
        <f>Assumptions!$B$23/MIN(Assumptions!$B$24/(Assumptions!$B$29+E895+F895+G895+I894),B895*(1-Assumptions!$B$25))</f>
        <v/>
      </c>
      <c r="I895">
        <f>Assumptions!$B$26/MIN(Assumptions!$B$27/(Assumptions!$B$29+E895+F895+G895+H895),B895*(1-Assumptions!$B$28))</f>
        <v/>
      </c>
      <c r="J895">
        <f>Assumptions!$B$29+E895+F895+G895+H895+I895</f>
        <v/>
      </c>
      <c r="K895">
        <f>J895+Assumptions!$B$4/B895</f>
        <v/>
      </c>
      <c r="L895">
        <f>B895</f>
        <v/>
      </c>
    </row>
    <row r="896">
      <c r="A896" t="inlineStr">
        <is>
          <t>cell(2,1) iter 13</t>
        </is>
      </c>
      <c r="B896">
        <f>Assumptions!$B$54/J895</f>
        <v/>
      </c>
      <c r="C896">
        <f>IF(B896&lt;Assumptions!$B$20,Assumptions!$B$20*(Assumptions!$B$29+Assumptions!$B$4/Assumptions!$B$20)/(Assumptions!$B$29+Assumptions!$B$4/B896),Assumptions!$B$20)</f>
        <v/>
      </c>
      <c r="D896">
        <f>IF(B896&lt;Assumptions!$B$21,Assumptions!$B$21*(Assumptions!$B$29+Assumptions!$B$4/Assumptions!$B$21)/(Assumptions!$B$29+Assumptions!$B$4/B896),Assumptions!$B$21)</f>
        <v/>
      </c>
      <c r="E896">
        <f>Assumptions!$B$37*Assumptions!$B$22/C896-Assumptions!$B$38</f>
        <v/>
      </c>
      <c r="F896">
        <f>Assumptions!$B$39*Assumptions!$B$21/D896-Assumptions!$B$39</f>
        <v/>
      </c>
      <c r="G896">
        <f>MAX(0,Assumptions!$B$52*(Assumptions!$B$29+E896+F896+G895+H895+I895+Assumptions!$B$4/B896)-Assumptions!$B$30)</f>
        <v/>
      </c>
      <c r="H896">
        <f>Assumptions!$B$23/MIN(Assumptions!$B$24/(Assumptions!$B$29+E896+F896+G896+I895),B896*(1-Assumptions!$B$25))</f>
        <v/>
      </c>
      <c r="I896">
        <f>Assumptions!$B$26/MIN(Assumptions!$B$27/(Assumptions!$B$29+E896+F896+G896+H896),B896*(1-Assumptions!$B$28))</f>
        <v/>
      </c>
      <c r="J896">
        <f>Assumptions!$B$29+E896+F896+G896+H896+I896</f>
        <v/>
      </c>
      <c r="K896">
        <f>J896+Assumptions!$B$4/B896</f>
        <v/>
      </c>
      <c r="L896">
        <f>B896</f>
        <v/>
      </c>
    </row>
    <row r="897">
      <c r="A897" t="inlineStr">
        <is>
          <t>cell(2,1) iter 14</t>
        </is>
      </c>
      <c r="B897">
        <f>Assumptions!$B$54/J896</f>
        <v/>
      </c>
      <c r="C897">
        <f>IF(B897&lt;Assumptions!$B$20,Assumptions!$B$20*(Assumptions!$B$29+Assumptions!$B$4/Assumptions!$B$20)/(Assumptions!$B$29+Assumptions!$B$4/B897),Assumptions!$B$20)</f>
        <v/>
      </c>
      <c r="D897">
        <f>IF(B897&lt;Assumptions!$B$21,Assumptions!$B$21*(Assumptions!$B$29+Assumptions!$B$4/Assumptions!$B$21)/(Assumptions!$B$29+Assumptions!$B$4/B897),Assumptions!$B$21)</f>
        <v/>
      </c>
      <c r="E897">
        <f>Assumptions!$B$37*Assumptions!$B$22/C897-Assumptions!$B$38</f>
        <v/>
      </c>
      <c r="F897">
        <f>Assumptions!$B$39*Assumptions!$B$21/D897-Assumptions!$B$39</f>
        <v/>
      </c>
      <c r="G897">
        <f>MAX(0,Assumptions!$B$52*(Assumptions!$B$29+E897+F897+G896+H896+I896+Assumptions!$B$4/B897)-Assumptions!$B$30)</f>
        <v/>
      </c>
      <c r="H897">
        <f>Assumptions!$B$23/MIN(Assumptions!$B$24/(Assumptions!$B$29+E897+F897+G897+I896),B897*(1-Assumptions!$B$25))</f>
        <v/>
      </c>
      <c r="I897">
        <f>Assumptions!$B$26/MIN(Assumptions!$B$27/(Assumptions!$B$29+E897+F897+G897+H897),B897*(1-Assumptions!$B$28))</f>
        <v/>
      </c>
      <c r="J897">
        <f>Assumptions!$B$29+E897+F897+G897+H897+I897</f>
        <v/>
      </c>
      <c r="K897">
        <f>J897+Assumptions!$B$4/B897</f>
        <v/>
      </c>
      <c r="L897">
        <f>B897</f>
        <v/>
      </c>
    </row>
    <row r="898">
      <c r="A898" t="inlineStr">
        <is>
          <t>cell(2,1) iter 15</t>
        </is>
      </c>
      <c r="B898">
        <f>Assumptions!$B$54/J897</f>
        <v/>
      </c>
      <c r="C898">
        <f>IF(B898&lt;Assumptions!$B$20,Assumptions!$B$20*(Assumptions!$B$29+Assumptions!$B$4/Assumptions!$B$20)/(Assumptions!$B$29+Assumptions!$B$4/B898),Assumptions!$B$20)</f>
        <v/>
      </c>
      <c r="D898">
        <f>IF(B898&lt;Assumptions!$B$21,Assumptions!$B$21*(Assumptions!$B$29+Assumptions!$B$4/Assumptions!$B$21)/(Assumptions!$B$29+Assumptions!$B$4/B898),Assumptions!$B$21)</f>
        <v/>
      </c>
      <c r="E898">
        <f>Assumptions!$B$37*Assumptions!$B$22/C898-Assumptions!$B$38</f>
        <v/>
      </c>
      <c r="F898">
        <f>Assumptions!$B$39*Assumptions!$B$21/D898-Assumptions!$B$39</f>
        <v/>
      </c>
      <c r="G898">
        <f>MAX(0,Assumptions!$B$52*(Assumptions!$B$29+E898+F898+G897+H897+I897+Assumptions!$B$4/B898)-Assumptions!$B$30)</f>
        <v/>
      </c>
      <c r="H898">
        <f>Assumptions!$B$23/MIN(Assumptions!$B$24/(Assumptions!$B$29+E898+F898+G898+I897),B898*(1-Assumptions!$B$25))</f>
        <v/>
      </c>
      <c r="I898">
        <f>Assumptions!$B$26/MIN(Assumptions!$B$27/(Assumptions!$B$29+E898+F898+G898+H898),B898*(1-Assumptions!$B$28))</f>
        <v/>
      </c>
      <c r="J898">
        <f>Assumptions!$B$29+E898+F898+G898+H898+I898</f>
        <v/>
      </c>
      <c r="K898">
        <f>J898+Assumptions!$B$4/B898</f>
        <v/>
      </c>
      <c r="L898">
        <f>B898</f>
        <v/>
      </c>
    </row>
    <row r="899">
      <c r="A899" t="inlineStr">
        <is>
          <t>cell(2,1) iter 16</t>
        </is>
      </c>
      <c r="B899">
        <f>Assumptions!$B$54/J898</f>
        <v/>
      </c>
      <c r="C899">
        <f>IF(B899&lt;Assumptions!$B$20,Assumptions!$B$20*(Assumptions!$B$29+Assumptions!$B$4/Assumptions!$B$20)/(Assumptions!$B$29+Assumptions!$B$4/B899),Assumptions!$B$20)</f>
        <v/>
      </c>
      <c r="D899">
        <f>IF(B899&lt;Assumptions!$B$21,Assumptions!$B$21*(Assumptions!$B$29+Assumptions!$B$4/Assumptions!$B$21)/(Assumptions!$B$29+Assumptions!$B$4/B899),Assumptions!$B$21)</f>
        <v/>
      </c>
      <c r="E899">
        <f>Assumptions!$B$37*Assumptions!$B$22/C899-Assumptions!$B$38</f>
        <v/>
      </c>
      <c r="F899">
        <f>Assumptions!$B$39*Assumptions!$B$21/D899-Assumptions!$B$39</f>
        <v/>
      </c>
      <c r="G899">
        <f>MAX(0,Assumptions!$B$52*(Assumptions!$B$29+E899+F899+G898+H898+I898+Assumptions!$B$4/B899)-Assumptions!$B$30)</f>
        <v/>
      </c>
      <c r="H899">
        <f>Assumptions!$B$23/MIN(Assumptions!$B$24/(Assumptions!$B$29+E899+F899+G899+I898),B899*(1-Assumptions!$B$25))</f>
        <v/>
      </c>
      <c r="I899">
        <f>Assumptions!$B$26/MIN(Assumptions!$B$27/(Assumptions!$B$29+E899+F899+G899+H899),B899*(1-Assumptions!$B$28))</f>
        <v/>
      </c>
      <c r="J899">
        <f>Assumptions!$B$29+E899+F899+G899+H899+I899</f>
        <v/>
      </c>
      <c r="K899">
        <f>J899+Assumptions!$B$4/B899</f>
        <v/>
      </c>
      <c r="L899">
        <f>B899</f>
        <v/>
      </c>
    </row>
    <row r="900">
      <c r="A900" t="inlineStr">
        <is>
          <t>cell(2,1) iter 17</t>
        </is>
      </c>
      <c r="B900">
        <f>Assumptions!$B$54/J899</f>
        <v/>
      </c>
      <c r="C900">
        <f>IF(B900&lt;Assumptions!$B$20,Assumptions!$B$20*(Assumptions!$B$29+Assumptions!$B$4/Assumptions!$B$20)/(Assumptions!$B$29+Assumptions!$B$4/B900),Assumptions!$B$20)</f>
        <v/>
      </c>
      <c r="D900">
        <f>IF(B900&lt;Assumptions!$B$21,Assumptions!$B$21*(Assumptions!$B$29+Assumptions!$B$4/Assumptions!$B$21)/(Assumptions!$B$29+Assumptions!$B$4/B900),Assumptions!$B$21)</f>
        <v/>
      </c>
      <c r="E900">
        <f>Assumptions!$B$37*Assumptions!$B$22/C900-Assumptions!$B$38</f>
        <v/>
      </c>
      <c r="F900">
        <f>Assumptions!$B$39*Assumptions!$B$21/D900-Assumptions!$B$39</f>
        <v/>
      </c>
      <c r="G900">
        <f>MAX(0,Assumptions!$B$52*(Assumptions!$B$29+E900+F900+G899+H899+I899+Assumptions!$B$4/B900)-Assumptions!$B$30)</f>
        <v/>
      </c>
      <c r="H900">
        <f>Assumptions!$B$23/MIN(Assumptions!$B$24/(Assumptions!$B$29+E900+F900+G900+I899),B900*(1-Assumptions!$B$25))</f>
        <v/>
      </c>
      <c r="I900">
        <f>Assumptions!$B$26/MIN(Assumptions!$B$27/(Assumptions!$B$29+E900+F900+G900+H900),B900*(1-Assumptions!$B$28))</f>
        <v/>
      </c>
      <c r="J900">
        <f>Assumptions!$B$29+E900+F900+G900+H900+I900</f>
        <v/>
      </c>
      <c r="K900">
        <f>J900+Assumptions!$B$4/B900</f>
        <v/>
      </c>
      <c r="L900">
        <f>B900</f>
        <v/>
      </c>
    </row>
    <row r="901">
      <c r="A901" t="inlineStr">
        <is>
          <t>cell(2,1) iter 18</t>
        </is>
      </c>
      <c r="B901">
        <f>Assumptions!$B$54/J900</f>
        <v/>
      </c>
      <c r="C901">
        <f>IF(B901&lt;Assumptions!$B$20,Assumptions!$B$20*(Assumptions!$B$29+Assumptions!$B$4/Assumptions!$B$20)/(Assumptions!$B$29+Assumptions!$B$4/B901),Assumptions!$B$20)</f>
        <v/>
      </c>
      <c r="D901">
        <f>IF(B901&lt;Assumptions!$B$21,Assumptions!$B$21*(Assumptions!$B$29+Assumptions!$B$4/Assumptions!$B$21)/(Assumptions!$B$29+Assumptions!$B$4/B901),Assumptions!$B$21)</f>
        <v/>
      </c>
      <c r="E901">
        <f>Assumptions!$B$37*Assumptions!$B$22/C901-Assumptions!$B$38</f>
        <v/>
      </c>
      <c r="F901">
        <f>Assumptions!$B$39*Assumptions!$B$21/D901-Assumptions!$B$39</f>
        <v/>
      </c>
      <c r="G901">
        <f>MAX(0,Assumptions!$B$52*(Assumptions!$B$29+E901+F901+G900+H900+I900+Assumptions!$B$4/B901)-Assumptions!$B$30)</f>
        <v/>
      </c>
      <c r="H901">
        <f>Assumptions!$B$23/MIN(Assumptions!$B$24/(Assumptions!$B$29+E901+F901+G901+I900),B901*(1-Assumptions!$B$25))</f>
        <v/>
      </c>
      <c r="I901">
        <f>Assumptions!$B$26/MIN(Assumptions!$B$27/(Assumptions!$B$29+E901+F901+G901+H901),B901*(1-Assumptions!$B$28))</f>
        <v/>
      </c>
      <c r="J901">
        <f>Assumptions!$B$29+E901+F901+G901+H901+I901</f>
        <v/>
      </c>
      <c r="K901">
        <f>J901+Assumptions!$B$4/B901</f>
        <v/>
      </c>
      <c r="L901">
        <f>B901</f>
        <v/>
      </c>
    </row>
    <row r="902">
      <c r="A902" t="inlineStr">
        <is>
          <t>cell(2,1) iter 19</t>
        </is>
      </c>
      <c r="B902">
        <f>Assumptions!$B$54/J901</f>
        <v/>
      </c>
      <c r="C902">
        <f>IF(B902&lt;Assumptions!$B$20,Assumptions!$B$20*(Assumptions!$B$29+Assumptions!$B$4/Assumptions!$B$20)/(Assumptions!$B$29+Assumptions!$B$4/B902),Assumptions!$B$20)</f>
        <v/>
      </c>
      <c r="D902">
        <f>IF(B902&lt;Assumptions!$B$21,Assumptions!$B$21*(Assumptions!$B$29+Assumptions!$B$4/Assumptions!$B$21)/(Assumptions!$B$29+Assumptions!$B$4/B902),Assumptions!$B$21)</f>
        <v/>
      </c>
      <c r="E902">
        <f>Assumptions!$B$37*Assumptions!$B$22/C902-Assumptions!$B$38</f>
        <v/>
      </c>
      <c r="F902">
        <f>Assumptions!$B$39*Assumptions!$B$21/D902-Assumptions!$B$39</f>
        <v/>
      </c>
      <c r="G902">
        <f>MAX(0,Assumptions!$B$52*(Assumptions!$B$29+E902+F902+G901+H901+I901+Assumptions!$B$4/B902)-Assumptions!$B$30)</f>
        <v/>
      </c>
      <c r="H902">
        <f>Assumptions!$B$23/MIN(Assumptions!$B$24/(Assumptions!$B$29+E902+F902+G902+I901),B902*(1-Assumptions!$B$25))</f>
        <v/>
      </c>
      <c r="I902">
        <f>Assumptions!$B$26/MIN(Assumptions!$B$27/(Assumptions!$B$29+E902+F902+G902+H902),B902*(1-Assumptions!$B$28))</f>
        <v/>
      </c>
      <c r="J902">
        <f>Assumptions!$B$29+E902+F902+G902+H902+I902</f>
        <v/>
      </c>
      <c r="K902">
        <f>J902+Assumptions!$B$4/B902</f>
        <v/>
      </c>
      <c r="L902">
        <f>B902</f>
        <v/>
      </c>
    </row>
    <row r="903">
      <c r="A903" t="inlineStr">
        <is>
          <t>cell(2,1) iter 20</t>
        </is>
      </c>
      <c r="B903">
        <f>Assumptions!$B$54/J902</f>
        <v/>
      </c>
      <c r="C903">
        <f>IF(B903&lt;Assumptions!$B$20,Assumptions!$B$20*(Assumptions!$B$29+Assumptions!$B$4/Assumptions!$B$20)/(Assumptions!$B$29+Assumptions!$B$4/B903),Assumptions!$B$20)</f>
        <v/>
      </c>
      <c r="D903">
        <f>IF(B903&lt;Assumptions!$B$21,Assumptions!$B$21*(Assumptions!$B$29+Assumptions!$B$4/Assumptions!$B$21)/(Assumptions!$B$29+Assumptions!$B$4/B903),Assumptions!$B$21)</f>
        <v/>
      </c>
      <c r="E903">
        <f>Assumptions!$B$37*Assumptions!$B$22/C903-Assumptions!$B$38</f>
        <v/>
      </c>
      <c r="F903">
        <f>Assumptions!$B$39*Assumptions!$B$21/D903-Assumptions!$B$39</f>
        <v/>
      </c>
      <c r="G903">
        <f>MAX(0,Assumptions!$B$52*(Assumptions!$B$29+E903+F903+G902+H902+I902+Assumptions!$B$4/B903)-Assumptions!$B$30)</f>
        <v/>
      </c>
      <c r="H903">
        <f>Assumptions!$B$23/MIN(Assumptions!$B$24/(Assumptions!$B$29+E903+F903+G903+I902),B903*(1-Assumptions!$B$25))</f>
        <v/>
      </c>
      <c r="I903">
        <f>Assumptions!$B$26/MIN(Assumptions!$B$27/(Assumptions!$B$29+E903+F903+G903+H903),B903*(1-Assumptions!$B$28))</f>
        <v/>
      </c>
      <c r="J903">
        <f>Assumptions!$B$29+E903+F903+G903+H903+I903</f>
        <v/>
      </c>
      <c r="K903">
        <f>J903+Assumptions!$B$4/B903</f>
        <v/>
      </c>
      <c r="L903">
        <f>B903</f>
        <v/>
      </c>
    </row>
    <row r="904">
      <c r="A904" t="inlineStr">
        <is>
          <t>cell(2,1) iter 21</t>
        </is>
      </c>
      <c r="B904">
        <f>Assumptions!$B$54/J903</f>
        <v/>
      </c>
      <c r="C904">
        <f>IF(B904&lt;Assumptions!$B$20,Assumptions!$B$20*(Assumptions!$B$29+Assumptions!$B$4/Assumptions!$B$20)/(Assumptions!$B$29+Assumptions!$B$4/B904),Assumptions!$B$20)</f>
        <v/>
      </c>
      <c r="D904">
        <f>IF(B904&lt;Assumptions!$B$21,Assumptions!$B$21*(Assumptions!$B$29+Assumptions!$B$4/Assumptions!$B$21)/(Assumptions!$B$29+Assumptions!$B$4/B904),Assumptions!$B$21)</f>
        <v/>
      </c>
      <c r="E904">
        <f>Assumptions!$B$37*Assumptions!$B$22/C904-Assumptions!$B$38</f>
        <v/>
      </c>
      <c r="F904">
        <f>Assumptions!$B$39*Assumptions!$B$21/D904-Assumptions!$B$39</f>
        <v/>
      </c>
      <c r="G904">
        <f>MAX(0,Assumptions!$B$52*(Assumptions!$B$29+E904+F904+G903+H903+I903+Assumptions!$B$4/B904)-Assumptions!$B$30)</f>
        <v/>
      </c>
      <c r="H904">
        <f>Assumptions!$B$23/MIN(Assumptions!$B$24/(Assumptions!$B$29+E904+F904+G904+I903),B904*(1-Assumptions!$B$25))</f>
        <v/>
      </c>
      <c r="I904">
        <f>Assumptions!$B$26/MIN(Assumptions!$B$27/(Assumptions!$B$29+E904+F904+G904+H904),B904*(1-Assumptions!$B$28))</f>
        <v/>
      </c>
      <c r="J904">
        <f>Assumptions!$B$29+E904+F904+G904+H904+I904</f>
        <v/>
      </c>
      <c r="K904">
        <f>J904+Assumptions!$B$4/B904</f>
        <v/>
      </c>
      <c r="L904">
        <f>B904</f>
        <v/>
      </c>
    </row>
    <row r="905">
      <c r="A905" t="inlineStr">
        <is>
          <t>cell(2,1) iter 22</t>
        </is>
      </c>
      <c r="B905">
        <f>Assumptions!$B$54/J904</f>
        <v/>
      </c>
      <c r="C905">
        <f>IF(B905&lt;Assumptions!$B$20,Assumptions!$B$20*(Assumptions!$B$29+Assumptions!$B$4/Assumptions!$B$20)/(Assumptions!$B$29+Assumptions!$B$4/B905),Assumptions!$B$20)</f>
        <v/>
      </c>
      <c r="D905">
        <f>IF(B905&lt;Assumptions!$B$21,Assumptions!$B$21*(Assumptions!$B$29+Assumptions!$B$4/Assumptions!$B$21)/(Assumptions!$B$29+Assumptions!$B$4/B905),Assumptions!$B$21)</f>
        <v/>
      </c>
      <c r="E905">
        <f>Assumptions!$B$37*Assumptions!$B$22/C905-Assumptions!$B$38</f>
        <v/>
      </c>
      <c r="F905">
        <f>Assumptions!$B$39*Assumptions!$B$21/D905-Assumptions!$B$39</f>
        <v/>
      </c>
      <c r="G905">
        <f>MAX(0,Assumptions!$B$52*(Assumptions!$B$29+E905+F905+G904+H904+I904+Assumptions!$B$4/B905)-Assumptions!$B$30)</f>
        <v/>
      </c>
      <c r="H905">
        <f>Assumptions!$B$23/MIN(Assumptions!$B$24/(Assumptions!$B$29+E905+F905+G905+I904),B905*(1-Assumptions!$B$25))</f>
        <v/>
      </c>
      <c r="I905">
        <f>Assumptions!$B$26/MIN(Assumptions!$B$27/(Assumptions!$B$29+E905+F905+G905+H905),B905*(1-Assumptions!$B$28))</f>
        <v/>
      </c>
      <c r="J905">
        <f>Assumptions!$B$29+E905+F905+G905+H905+I905</f>
        <v/>
      </c>
      <c r="K905">
        <f>J905+Assumptions!$B$4/B905</f>
        <v/>
      </c>
      <c r="L905">
        <f>B905</f>
        <v/>
      </c>
    </row>
    <row r="906">
      <c r="A906" t="inlineStr">
        <is>
          <t>cell(2,1) iter 23</t>
        </is>
      </c>
      <c r="B906">
        <f>Assumptions!$B$54/J905</f>
        <v/>
      </c>
      <c r="C906">
        <f>IF(B906&lt;Assumptions!$B$20,Assumptions!$B$20*(Assumptions!$B$29+Assumptions!$B$4/Assumptions!$B$20)/(Assumptions!$B$29+Assumptions!$B$4/B906),Assumptions!$B$20)</f>
        <v/>
      </c>
      <c r="D906">
        <f>IF(B906&lt;Assumptions!$B$21,Assumptions!$B$21*(Assumptions!$B$29+Assumptions!$B$4/Assumptions!$B$21)/(Assumptions!$B$29+Assumptions!$B$4/B906),Assumptions!$B$21)</f>
        <v/>
      </c>
      <c r="E906">
        <f>Assumptions!$B$37*Assumptions!$B$22/C906-Assumptions!$B$38</f>
        <v/>
      </c>
      <c r="F906">
        <f>Assumptions!$B$39*Assumptions!$B$21/D906-Assumptions!$B$39</f>
        <v/>
      </c>
      <c r="G906">
        <f>MAX(0,Assumptions!$B$52*(Assumptions!$B$29+E906+F906+G905+H905+I905+Assumptions!$B$4/B906)-Assumptions!$B$30)</f>
        <v/>
      </c>
      <c r="H906">
        <f>Assumptions!$B$23/MIN(Assumptions!$B$24/(Assumptions!$B$29+E906+F906+G906+I905),B906*(1-Assumptions!$B$25))</f>
        <v/>
      </c>
      <c r="I906">
        <f>Assumptions!$B$26/MIN(Assumptions!$B$27/(Assumptions!$B$29+E906+F906+G906+H906),B906*(1-Assumptions!$B$28))</f>
        <v/>
      </c>
      <c r="J906">
        <f>Assumptions!$B$29+E906+F906+G906+H906+I906</f>
        <v/>
      </c>
      <c r="K906">
        <f>J906+Assumptions!$B$4/B906</f>
        <v/>
      </c>
      <c r="L906">
        <f>B906</f>
        <v/>
      </c>
    </row>
    <row r="907">
      <c r="A907" t="inlineStr">
        <is>
          <t>cell(2,1) iter 24</t>
        </is>
      </c>
      <c r="B907">
        <f>Assumptions!$B$54/J906</f>
        <v/>
      </c>
      <c r="C907">
        <f>IF(B907&lt;Assumptions!$B$20,Assumptions!$B$20*(Assumptions!$B$29+Assumptions!$B$4/Assumptions!$B$20)/(Assumptions!$B$29+Assumptions!$B$4/B907),Assumptions!$B$20)</f>
        <v/>
      </c>
      <c r="D907">
        <f>IF(B907&lt;Assumptions!$B$21,Assumptions!$B$21*(Assumptions!$B$29+Assumptions!$B$4/Assumptions!$B$21)/(Assumptions!$B$29+Assumptions!$B$4/B907),Assumptions!$B$21)</f>
        <v/>
      </c>
      <c r="E907">
        <f>Assumptions!$B$37*Assumptions!$B$22/C907-Assumptions!$B$38</f>
        <v/>
      </c>
      <c r="F907">
        <f>Assumptions!$B$39*Assumptions!$B$21/D907-Assumptions!$B$39</f>
        <v/>
      </c>
      <c r="G907">
        <f>MAX(0,Assumptions!$B$52*(Assumptions!$B$29+E907+F907+G906+H906+I906+Assumptions!$B$4/B907)-Assumptions!$B$30)</f>
        <v/>
      </c>
      <c r="H907">
        <f>Assumptions!$B$23/MIN(Assumptions!$B$24/(Assumptions!$B$29+E907+F907+G907+I906),B907*(1-Assumptions!$B$25))</f>
        <v/>
      </c>
      <c r="I907">
        <f>Assumptions!$B$26/MIN(Assumptions!$B$27/(Assumptions!$B$29+E907+F907+G907+H907),B907*(1-Assumptions!$B$28))</f>
        <v/>
      </c>
      <c r="J907">
        <f>Assumptions!$B$29+E907+F907+G907+H907+I907</f>
        <v/>
      </c>
      <c r="K907">
        <f>J907+Assumptions!$B$4/B907</f>
        <v/>
      </c>
      <c r="L907">
        <f>B907</f>
        <v/>
      </c>
    </row>
    <row r="908">
      <c r="A908" t="inlineStr">
        <is>
          <t>cell(2,1) iter 25</t>
        </is>
      </c>
      <c r="B908">
        <f>Assumptions!$B$54/J907</f>
        <v/>
      </c>
      <c r="C908">
        <f>IF(B908&lt;Assumptions!$B$20,Assumptions!$B$20*(Assumptions!$B$29+Assumptions!$B$4/Assumptions!$B$20)/(Assumptions!$B$29+Assumptions!$B$4/B908),Assumptions!$B$20)</f>
        <v/>
      </c>
      <c r="D908">
        <f>IF(B908&lt;Assumptions!$B$21,Assumptions!$B$21*(Assumptions!$B$29+Assumptions!$B$4/Assumptions!$B$21)/(Assumptions!$B$29+Assumptions!$B$4/B908),Assumptions!$B$21)</f>
        <v/>
      </c>
      <c r="E908">
        <f>Assumptions!$B$37*Assumptions!$B$22/C908-Assumptions!$B$38</f>
        <v/>
      </c>
      <c r="F908">
        <f>Assumptions!$B$39*Assumptions!$B$21/D908-Assumptions!$B$39</f>
        <v/>
      </c>
      <c r="G908">
        <f>MAX(0,Assumptions!$B$52*(Assumptions!$B$29+E908+F908+G907+H907+I907+Assumptions!$B$4/B908)-Assumptions!$B$30)</f>
        <v/>
      </c>
      <c r="H908">
        <f>Assumptions!$B$23/MIN(Assumptions!$B$24/(Assumptions!$B$29+E908+F908+G908+I907),B908*(1-Assumptions!$B$25))</f>
        <v/>
      </c>
      <c r="I908">
        <f>Assumptions!$B$26/MIN(Assumptions!$B$27/(Assumptions!$B$29+E908+F908+G908+H908),B908*(1-Assumptions!$B$28))</f>
        <v/>
      </c>
      <c r="J908">
        <f>Assumptions!$B$29+E908+F908+G908+H908+I908</f>
        <v/>
      </c>
      <c r="K908">
        <f>J908+Assumptions!$B$4/B908</f>
        <v/>
      </c>
      <c r="L908">
        <f>B908</f>
        <v/>
      </c>
    </row>
    <row r="909">
      <c r="A909" t="inlineStr">
        <is>
          <t>cell(2,1) iter 26</t>
        </is>
      </c>
      <c r="B909">
        <f>Assumptions!$B$54/J908</f>
        <v/>
      </c>
      <c r="C909">
        <f>IF(B909&lt;Assumptions!$B$20,Assumptions!$B$20*(Assumptions!$B$29+Assumptions!$B$4/Assumptions!$B$20)/(Assumptions!$B$29+Assumptions!$B$4/B909),Assumptions!$B$20)</f>
        <v/>
      </c>
      <c r="D909">
        <f>IF(B909&lt;Assumptions!$B$21,Assumptions!$B$21*(Assumptions!$B$29+Assumptions!$B$4/Assumptions!$B$21)/(Assumptions!$B$29+Assumptions!$B$4/B909),Assumptions!$B$21)</f>
        <v/>
      </c>
      <c r="E909">
        <f>Assumptions!$B$37*Assumptions!$B$22/C909-Assumptions!$B$38</f>
        <v/>
      </c>
      <c r="F909">
        <f>Assumptions!$B$39*Assumptions!$B$21/D909-Assumptions!$B$39</f>
        <v/>
      </c>
      <c r="G909">
        <f>MAX(0,Assumptions!$B$52*(Assumptions!$B$29+E909+F909+G908+H908+I908+Assumptions!$B$4/B909)-Assumptions!$B$30)</f>
        <v/>
      </c>
      <c r="H909">
        <f>Assumptions!$B$23/MIN(Assumptions!$B$24/(Assumptions!$B$29+E909+F909+G909+I908),B909*(1-Assumptions!$B$25))</f>
        <v/>
      </c>
      <c r="I909">
        <f>Assumptions!$B$26/MIN(Assumptions!$B$27/(Assumptions!$B$29+E909+F909+G909+H909),B909*(1-Assumptions!$B$28))</f>
        <v/>
      </c>
      <c r="J909">
        <f>Assumptions!$B$29+E909+F909+G909+H909+I909</f>
        <v/>
      </c>
      <c r="K909">
        <f>J909+Assumptions!$B$4/B909</f>
        <v/>
      </c>
      <c r="L909">
        <f>B909</f>
        <v/>
      </c>
    </row>
    <row r="910">
      <c r="A910" t="inlineStr">
        <is>
          <t>cell(2,1) iter 27</t>
        </is>
      </c>
      <c r="B910">
        <f>Assumptions!$B$54/J909</f>
        <v/>
      </c>
      <c r="C910">
        <f>IF(B910&lt;Assumptions!$B$20,Assumptions!$B$20*(Assumptions!$B$29+Assumptions!$B$4/Assumptions!$B$20)/(Assumptions!$B$29+Assumptions!$B$4/B910),Assumptions!$B$20)</f>
        <v/>
      </c>
      <c r="D910">
        <f>IF(B910&lt;Assumptions!$B$21,Assumptions!$B$21*(Assumptions!$B$29+Assumptions!$B$4/Assumptions!$B$21)/(Assumptions!$B$29+Assumptions!$B$4/B910),Assumptions!$B$21)</f>
        <v/>
      </c>
      <c r="E910">
        <f>Assumptions!$B$37*Assumptions!$B$22/C910-Assumptions!$B$38</f>
        <v/>
      </c>
      <c r="F910">
        <f>Assumptions!$B$39*Assumptions!$B$21/D910-Assumptions!$B$39</f>
        <v/>
      </c>
      <c r="G910">
        <f>MAX(0,Assumptions!$B$52*(Assumptions!$B$29+E910+F910+G909+H909+I909+Assumptions!$B$4/B910)-Assumptions!$B$30)</f>
        <v/>
      </c>
      <c r="H910">
        <f>Assumptions!$B$23/MIN(Assumptions!$B$24/(Assumptions!$B$29+E910+F910+G910+I909),B910*(1-Assumptions!$B$25))</f>
        <v/>
      </c>
      <c r="I910">
        <f>Assumptions!$B$26/MIN(Assumptions!$B$27/(Assumptions!$B$29+E910+F910+G910+H910),B910*(1-Assumptions!$B$28))</f>
        <v/>
      </c>
      <c r="J910">
        <f>Assumptions!$B$29+E910+F910+G910+H910+I910</f>
        <v/>
      </c>
      <c r="K910">
        <f>J910+Assumptions!$B$4/B910</f>
        <v/>
      </c>
      <c r="L910">
        <f>B910</f>
        <v/>
      </c>
    </row>
    <row r="911">
      <c r="A911" t="inlineStr">
        <is>
          <t>cell(2,1) iter 28</t>
        </is>
      </c>
      <c r="B911">
        <f>Assumptions!$B$54/J910</f>
        <v/>
      </c>
      <c r="C911">
        <f>IF(B911&lt;Assumptions!$B$20,Assumptions!$B$20*(Assumptions!$B$29+Assumptions!$B$4/Assumptions!$B$20)/(Assumptions!$B$29+Assumptions!$B$4/B911),Assumptions!$B$20)</f>
        <v/>
      </c>
      <c r="D911">
        <f>IF(B911&lt;Assumptions!$B$21,Assumptions!$B$21*(Assumptions!$B$29+Assumptions!$B$4/Assumptions!$B$21)/(Assumptions!$B$29+Assumptions!$B$4/B911),Assumptions!$B$21)</f>
        <v/>
      </c>
      <c r="E911">
        <f>Assumptions!$B$37*Assumptions!$B$22/C911-Assumptions!$B$38</f>
        <v/>
      </c>
      <c r="F911">
        <f>Assumptions!$B$39*Assumptions!$B$21/D911-Assumptions!$B$39</f>
        <v/>
      </c>
      <c r="G911">
        <f>MAX(0,Assumptions!$B$52*(Assumptions!$B$29+E911+F911+G910+H910+I910+Assumptions!$B$4/B911)-Assumptions!$B$30)</f>
        <v/>
      </c>
      <c r="H911">
        <f>Assumptions!$B$23/MIN(Assumptions!$B$24/(Assumptions!$B$29+E911+F911+G911+I910),B911*(1-Assumptions!$B$25))</f>
        <v/>
      </c>
      <c r="I911">
        <f>Assumptions!$B$26/MIN(Assumptions!$B$27/(Assumptions!$B$29+E911+F911+G911+H911),B911*(1-Assumptions!$B$28))</f>
        <v/>
      </c>
      <c r="J911">
        <f>Assumptions!$B$29+E911+F911+G911+H911+I911</f>
        <v/>
      </c>
      <c r="K911">
        <f>J911+Assumptions!$B$4/B911</f>
        <v/>
      </c>
      <c r="L911">
        <f>B911</f>
        <v/>
      </c>
    </row>
    <row r="912">
      <c r="A912" t="inlineStr">
        <is>
          <t>cell(2,1) iter 29</t>
        </is>
      </c>
      <c r="B912">
        <f>Assumptions!$B$54/J911</f>
        <v/>
      </c>
      <c r="C912">
        <f>IF(B912&lt;Assumptions!$B$20,Assumptions!$B$20*(Assumptions!$B$29+Assumptions!$B$4/Assumptions!$B$20)/(Assumptions!$B$29+Assumptions!$B$4/B912),Assumptions!$B$20)</f>
        <v/>
      </c>
      <c r="D912">
        <f>IF(B912&lt;Assumptions!$B$21,Assumptions!$B$21*(Assumptions!$B$29+Assumptions!$B$4/Assumptions!$B$21)/(Assumptions!$B$29+Assumptions!$B$4/B912),Assumptions!$B$21)</f>
        <v/>
      </c>
      <c r="E912">
        <f>Assumptions!$B$37*Assumptions!$B$22/C912-Assumptions!$B$38</f>
        <v/>
      </c>
      <c r="F912">
        <f>Assumptions!$B$39*Assumptions!$B$21/D912-Assumptions!$B$39</f>
        <v/>
      </c>
      <c r="G912">
        <f>MAX(0,Assumptions!$B$52*(Assumptions!$B$29+E912+F912+G911+H911+I911+Assumptions!$B$4/B912)-Assumptions!$B$30)</f>
        <v/>
      </c>
      <c r="H912">
        <f>Assumptions!$B$23/MIN(Assumptions!$B$24/(Assumptions!$B$29+E912+F912+G912+I911),B912*(1-Assumptions!$B$25))</f>
        <v/>
      </c>
      <c r="I912">
        <f>Assumptions!$B$26/MIN(Assumptions!$B$27/(Assumptions!$B$29+E912+F912+G912+H912),B912*(1-Assumptions!$B$28))</f>
        <v/>
      </c>
      <c r="J912">
        <f>Assumptions!$B$29+E912+F912+G912+H912+I912</f>
        <v/>
      </c>
      <c r="K912">
        <f>J912+Assumptions!$B$4/B912</f>
        <v/>
      </c>
      <c r="L912">
        <f>B912</f>
        <v/>
      </c>
    </row>
    <row r="913">
      <c r="A913" t="inlineStr">
        <is>
          <t>cell(2,1) iter 30</t>
        </is>
      </c>
      <c r="B913">
        <f>Assumptions!$B$54/J912</f>
        <v/>
      </c>
      <c r="C913">
        <f>IF(B913&lt;Assumptions!$B$20,Assumptions!$B$20*(Assumptions!$B$29+Assumptions!$B$4/Assumptions!$B$20)/(Assumptions!$B$29+Assumptions!$B$4/B913),Assumptions!$B$20)</f>
        <v/>
      </c>
      <c r="D913">
        <f>IF(B913&lt;Assumptions!$B$21,Assumptions!$B$21*(Assumptions!$B$29+Assumptions!$B$4/Assumptions!$B$21)/(Assumptions!$B$29+Assumptions!$B$4/B913),Assumptions!$B$21)</f>
        <v/>
      </c>
      <c r="E913">
        <f>Assumptions!$B$37*Assumptions!$B$22/C913-Assumptions!$B$38</f>
        <v/>
      </c>
      <c r="F913">
        <f>Assumptions!$B$39*Assumptions!$B$21/D913-Assumptions!$B$39</f>
        <v/>
      </c>
      <c r="G913">
        <f>MAX(0,Assumptions!$B$52*(Assumptions!$B$29+E913+F913+G912+H912+I912+Assumptions!$B$4/B913)-Assumptions!$B$30)</f>
        <v/>
      </c>
      <c r="H913">
        <f>Assumptions!$B$23/MIN(Assumptions!$B$24/(Assumptions!$B$29+E913+F913+G913+I912),B913*(1-Assumptions!$B$25))</f>
        <v/>
      </c>
      <c r="I913">
        <f>Assumptions!$B$26/MIN(Assumptions!$B$27/(Assumptions!$B$29+E913+F913+G913+H913),B913*(1-Assumptions!$B$28))</f>
        <v/>
      </c>
      <c r="J913">
        <f>Assumptions!$B$29+E913+F913+G913+H913+I913</f>
        <v/>
      </c>
      <c r="K913">
        <f>J913+Assumptions!$B$4/B913</f>
        <v/>
      </c>
      <c r="L913">
        <f>B913</f>
        <v/>
      </c>
    </row>
    <row r="914">
      <c r="A914" t="inlineStr">
        <is>
          <t>cell(2,1) iter 31</t>
        </is>
      </c>
      <c r="B914">
        <f>Assumptions!$B$54/J913</f>
        <v/>
      </c>
      <c r="C914">
        <f>IF(B914&lt;Assumptions!$B$20,Assumptions!$B$20*(Assumptions!$B$29+Assumptions!$B$4/Assumptions!$B$20)/(Assumptions!$B$29+Assumptions!$B$4/B914),Assumptions!$B$20)</f>
        <v/>
      </c>
      <c r="D914">
        <f>IF(B914&lt;Assumptions!$B$21,Assumptions!$B$21*(Assumptions!$B$29+Assumptions!$B$4/Assumptions!$B$21)/(Assumptions!$B$29+Assumptions!$B$4/B914),Assumptions!$B$21)</f>
        <v/>
      </c>
      <c r="E914">
        <f>Assumptions!$B$37*Assumptions!$B$22/C914-Assumptions!$B$38</f>
        <v/>
      </c>
      <c r="F914">
        <f>Assumptions!$B$39*Assumptions!$B$21/D914-Assumptions!$B$39</f>
        <v/>
      </c>
      <c r="G914">
        <f>MAX(0,Assumptions!$B$52*(Assumptions!$B$29+E914+F914+G913+H913+I913+Assumptions!$B$4/B914)-Assumptions!$B$30)</f>
        <v/>
      </c>
      <c r="H914">
        <f>Assumptions!$B$23/MIN(Assumptions!$B$24/(Assumptions!$B$29+E914+F914+G914+I913),B914*(1-Assumptions!$B$25))</f>
        <v/>
      </c>
      <c r="I914">
        <f>Assumptions!$B$26/MIN(Assumptions!$B$27/(Assumptions!$B$29+E914+F914+G914+H914),B914*(1-Assumptions!$B$28))</f>
        <v/>
      </c>
      <c r="J914">
        <f>Assumptions!$B$29+E914+F914+G914+H914+I914</f>
        <v/>
      </c>
      <c r="K914">
        <f>J914+Assumptions!$B$4/B914</f>
        <v/>
      </c>
      <c r="L914">
        <f>B914</f>
        <v/>
      </c>
    </row>
    <row r="915">
      <c r="A915" t="inlineStr">
        <is>
          <t>cell(2,1) iter 32</t>
        </is>
      </c>
      <c r="B915">
        <f>Assumptions!$B$54/J914</f>
        <v/>
      </c>
      <c r="C915">
        <f>IF(B915&lt;Assumptions!$B$20,Assumptions!$B$20*(Assumptions!$B$29+Assumptions!$B$4/Assumptions!$B$20)/(Assumptions!$B$29+Assumptions!$B$4/B915),Assumptions!$B$20)</f>
        <v/>
      </c>
      <c r="D915">
        <f>IF(B915&lt;Assumptions!$B$21,Assumptions!$B$21*(Assumptions!$B$29+Assumptions!$B$4/Assumptions!$B$21)/(Assumptions!$B$29+Assumptions!$B$4/B915),Assumptions!$B$21)</f>
        <v/>
      </c>
      <c r="E915">
        <f>Assumptions!$B$37*Assumptions!$B$22/C915-Assumptions!$B$38</f>
        <v/>
      </c>
      <c r="F915">
        <f>Assumptions!$B$39*Assumptions!$B$21/D915-Assumptions!$B$39</f>
        <v/>
      </c>
      <c r="G915">
        <f>MAX(0,Assumptions!$B$52*(Assumptions!$B$29+E915+F915+G914+H914+I914+Assumptions!$B$4/B915)-Assumptions!$B$30)</f>
        <v/>
      </c>
      <c r="H915">
        <f>Assumptions!$B$23/MIN(Assumptions!$B$24/(Assumptions!$B$29+E915+F915+G915+I914),B915*(1-Assumptions!$B$25))</f>
        <v/>
      </c>
      <c r="I915">
        <f>Assumptions!$B$26/MIN(Assumptions!$B$27/(Assumptions!$B$29+E915+F915+G915+H915),B915*(1-Assumptions!$B$28))</f>
        <v/>
      </c>
      <c r="J915">
        <f>Assumptions!$B$29+E915+F915+G915+H915+I915</f>
        <v/>
      </c>
      <c r="K915">
        <f>J915+Assumptions!$B$4/B915</f>
        <v/>
      </c>
      <c r="L915">
        <f>B915</f>
        <v/>
      </c>
    </row>
    <row r="916">
      <c r="A916" t="inlineStr">
        <is>
          <t>cell(2,1) iter 33</t>
        </is>
      </c>
      <c r="B916">
        <f>Assumptions!$B$54/J915</f>
        <v/>
      </c>
      <c r="C916">
        <f>IF(B916&lt;Assumptions!$B$20,Assumptions!$B$20*(Assumptions!$B$29+Assumptions!$B$4/Assumptions!$B$20)/(Assumptions!$B$29+Assumptions!$B$4/B916),Assumptions!$B$20)</f>
        <v/>
      </c>
      <c r="D916">
        <f>IF(B916&lt;Assumptions!$B$21,Assumptions!$B$21*(Assumptions!$B$29+Assumptions!$B$4/Assumptions!$B$21)/(Assumptions!$B$29+Assumptions!$B$4/B916),Assumptions!$B$21)</f>
        <v/>
      </c>
      <c r="E916">
        <f>Assumptions!$B$37*Assumptions!$B$22/C916-Assumptions!$B$38</f>
        <v/>
      </c>
      <c r="F916">
        <f>Assumptions!$B$39*Assumptions!$B$21/D916-Assumptions!$B$39</f>
        <v/>
      </c>
      <c r="G916">
        <f>MAX(0,Assumptions!$B$52*(Assumptions!$B$29+E916+F916+G915+H915+I915+Assumptions!$B$4/B916)-Assumptions!$B$30)</f>
        <v/>
      </c>
      <c r="H916">
        <f>Assumptions!$B$23/MIN(Assumptions!$B$24/(Assumptions!$B$29+E916+F916+G916+I915),B916*(1-Assumptions!$B$25))</f>
        <v/>
      </c>
      <c r="I916">
        <f>Assumptions!$B$26/MIN(Assumptions!$B$27/(Assumptions!$B$29+E916+F916+G916+H916),B916*(1-Assumptions!$B$28))</f>
        <v/>
      </c>
      <c r="J916">
        <f>Assumptions!$B$29+E916+F916+G916+H916+I916</f>
        <v/>
      </c>
      <c r="K916">
        <f>J916+Assumptions!$B$4/B916</f>
        <v/>
      </c>
      <c r="L916">
        <f>B916</f>
        <v/>
      </c>
    </row>
    <row r="917">
      <c r="A917" t="inlineStr">
        <is>
          <t>cell(2,1) iter 34</t>
        </is>
      </c>
      <c r="B917">
        <f>Assumptions!$B$54/J916</f>
        <v/>
      </c>
      <c r="C917">
        <f>IF(B917&lt;Assumptions!$B$20,Assumptions!$B$20*(Assumptions!$B$29+Assumptions!$B$4/Assumptions!$B$20)/(Assumptions!$B$29+Assumptions!$B$4/B917),Assumptions!$B$20)</f>
        <v/>
      </c>
      <c r="D917">
        <f>IF(B917&lt;Assumptions!$B$21,Assumptions!$B$21*(Assumptions!$B$29+Assumptions!$B$4/Assumptions!$B$21)/(Assumptions!$B$29+Assumptions!$B$4/B917),Assumptions!$B$21)</f>
        <v/>
      </c>
      <c r="E917">
        <f>Assumptions!$B$37*Assumptions!$B$22/C917-Assumptions!$B$38</f>
        <v/>
      </c>
      <c r="F917">
        <f>Assumptions!$B$39*Assumptions!$B$21/D917-Assumptions!$B$39</f>
        <v/>
      </c>
      <c r="G917">
        <f>MAX(0,Assumptions!$B$52*(Assumptions!$B$29+E917+F917+G916+H916+I916+Assumptions!$B$4/B917)-Assumptions!$B$30)</f>
        <v/>
      </c>
      <c r="H917">
        <f>Assumptions!$B$23/MIN(Assumptions!$B$24/(Assumptions!$B$29+E917+F917+G917+I916),B917*(1-Assumptions!$B$25))</f>
        <v/>
      </c>
      <c r="I917">
        <f>Assumptions!$B$26/MIN(Assumptions!$B$27/(Assumptions!$B$29+E917+F917+G917+H917),B917*(1-Assumptions!$B$28))</f>
        <v/>
      </c>
      <c r="J917">
        <f>Assumptions!$B$29+E917+F917+G917+H917+I917</f>
        <v/>
      </c>
      <c r="K917">
        <f>J917+Assumptions!$B$4/B917</f>
        <v/>
      </c>
      <c r="L917">
        <f>B917</f>
        <v/>
      </c>
    </row>
    <row r="918">
      <c r="A918" t="inlineStr">
        <is>
          <t>cell(2,1) iter 35</t>
        </is>
      </c>
      <c r="B918">
        <f>Assumptions!$B$54/J917</f>
        <v/>
      </c>
      <c r="C918">
        <f>IF(B918&lt;Assumptions!$B$20,Assumptions!$B$20*(Assumptions!$B$29+Assumptions!$B$4/Assumptions!$B$20)/(Assumptions!$B$29+Assumptions!$B$4/B918),Assumptions!$B$20)</f>
        <v/>
      </c>
      <c r="D918">
        <f>IF(B918&lt;Assumptions!$B$21,Assumptions!$B$21*(Assumptions!$B$29+Assumptions!$B$4/Assumptions!$B$21)/(Assumptions!$B$29+Assumptions!$B$4/B918),Assumptions!$B$21)</f>
        <v/>
      </c>
      <c r="E918">
        <f>Assumptions!$B$37*Assumptions!$B$22/C918-Assumptions!$B$38</f>
        <v/>
      </c>
      <c r="F918">
        <f>Assumptions!$B$39*Assumptions!$B$21/D918-Assumptions!$B$39</f>
        <v/>
      </c>
      <c r="G918">
        <f>MAX(0,Assumptions!$B$52*(Assumptions!$B$29+E918+F918+G917+H917+I917+Assumptions!$B$4/B918)-Assumptions!$B$30)</f>
        <v/>
      </c>
      <c r="H918">
        <f>Assumptions!$B$23/MIN(Assumptions!$B$24/(Assumptions!$B$29+E918+F918+G918+I917),B918*(1-Assumptions!$B$25))</f>
        <v/>
      </c>
      <c r="I918">
        <f>Assumptions!$B$26/MIN(Assumptions!$B$27/(Assumptions!$B$29+E918+F918+G918+H918),B918*(1-Assumptions!$B$28))</f>
        <v/>
      </c>
      <c r="J918">
        <f>Assumptions!$B$29+E918+F918+G918+H918+I918</f>
        <v/>
      </c>
      <c r="K918">
        <f>J918+Assumptions!$B$4/B918</f>
        <v/>
      </c>
      <c r="L918">
        <f>B918</f>
        <v/>
      </c>
    </row>
    <row r="919">
      <c r="A919" t="inlineStr">
        <is>
          <t>cell(2,1) iter 36</t>
        </is>
      </c>
      <c r="B919">
        <f>Assumptions!$B$54/J918</f>
        <v/>
      </c>
      <c r="C919">
        <f>IF(B919&lt;Assumptions!$B$20,Assumptions!$B$20*(Assumptions!$B$29+Assumptions!$B$4/Assumptions!$B$20)/(Assumptions!$B$29+Assumptions!$B$4/B919),Assumptions!$B$20)</f>
        <v/>
      </c>
      <c r="D919">
        <f>IF(B919&lt;Assumptions!$B$21,Assumptions!$B$21*(Assumptions!$B$29+Assumptions!$B$4/Assumptions!$B$21)/(Assumptions!$B$29+Assumptions!$B$4/B919),Assumptions!$B$21)</f>
        <v/>
      </c>
      <c r="E919">
        <f>Assumptions!$B$37*Assumptions!$B$22/C919-Assumptions!$B$38</f>
        <v/>
      </c>
      <c r="F919">
        <f>Assumptions!$B$39*Assumptions!$B$21/D919-Assumptions!$B$39</f>
        <v/>
      </c>
      <c r="G919">
        <f>MAX(0,Assumptions!$B$52*(Assumptions!$B$29+E919+F919+G918+H918+I918+Assumptions!$B$4/B919)-Assumptions!$B$30)</f>
        <v/>
      </c>
      <c r="H919">
        <f>Assumptions!$B$23/MIN(Assumptions!$B$24/(Assumptions!$B$29+E919+F919+G919+I918),B919*(1-Assumptions!$B$25))</f>
        <v/>
      </c>
      <c r="I919">
        <f>Assumptions!$B$26/MIN(Assumptions!$B$27/(Assumptions!$B$29+E919+F919+G919+H919),B919*(1-Assumptions!$B$28))</f>
        <v/>
      </c>
      <c r="J919">
        <f>Assumptions!$B$29+E919+F919+G919+H919+I919</f>
        <v/>
      </c>
      <c r="K919">
        <f>J919+Assumptions!$B$4/B919</f>
        <v/>
      </c>
      <c r="L919">
        <f>B919</f>
        <v/>
      </c>
    </row>
    <row r="920">
      <c r="A920" t="inlineStr">
        <is>
          <t>cell(2,1) iter 37</t>
        </is>
      </c>
      <c r="B920">
        <f>Assumptions!$B$54/J919</f>
        <v/>
      </c>
      <c r="C920">
        <f>IF(B920&lt;Assumptions!$B$20,Assumptions!$B$20*(Assumptions!$B$29+Assumptions!$B$4/Assumptions!$B$20)/(Assumptions!$B$29+Assumptions!$B$4/B920),Assumptions!$B$20)</f>
        <v/>
      </c>
      <c r="D920">
        <f>IF(B920&lt;Assumptions!$B$21,Assumptions!$B$21*(Assumptions!$B$29+Assumptions!$B$4/Assumptions!$B$21)/(Assumptions!$B$29+Assumptions!$B$4/B920),Assumptions!$B$21)</f>
        <v/>
      </c>
      <c r="E920">
        <f>Assumptions!$B$37*Assumptions!$B$22/C920-Assumptions!$B$38</f>
        <v/>
      </c>
      <c r="F920">
        <f>Assumptions!$B$39*Assumptions!$B$21/D920-Assumptions!$B$39</f>
        <v/>
      </c>
      <c r="G920">
        <f>MAX(0,Assumptions!$B$52*(Assumptions!$B$29+E920+F920+G919+H919+I919+Assumptions!$B$4/B920)-Assumptions!$B$30)</f>
        <v/>
      </c>
      <c r="H920">
        <f>Assumptions!$B$23/MIN(Assumptions!$B$24/(Assumptions!$B$29+E920+F920+G920+I919),B920*(1-Assumptions!$B$25))</f>
        <v/>
      </c>
      <c r="I920">
        <f>Assumptions!$B$26/MIN(Assumptions!$B$27/(Assumptions!$B$29+E920+F920+G920+H920),B920*(1-Assumptions!$B$28))</f>
        <v/>
      </c>
      <c r="J920">
        <f>Assumptions!$B$29+E920+F920+G920+H920+I920</f>
        <v/>
      </c>
      <c r="K920">
        <f>J920+Assumptions!$B$4/B920</f>
        <v/>
      </c>
      <c r="L920">
        <f>B920</f>
        <v/>
      </c>
    </row>
    <row r="921">
      <c r="A921" t="inlineStr">
        <is>
          <t>cell(2,1) iter 38</t>
        </is>
      </c>
      <c r="B921">
        <f>Assumptions!$B$54/J920</f>
        <v/>
      </c>
      <c r="C921">
        <f>IF(B921&lt;Assumptions!$B$20,Assumptions!$B$20*(Assumptions!$B$29+Assumptions!$B$4/Assumptions!$B$20)/(Assumptions!$B$29+Assumptions!$B$4/B921),Assumptions!$B$20)</f>
        <v/>
      </c>
      <c r="D921">
        <f>IF(B921&lt;Assumptions!$B$21,Assumptions!$B$21*(Assumptions!$B$29+Assumptions!$B$4/Assumptions!$B$21)/(Assumptions!$B$29+Assumptions!$B$4/B921),Assumptions!$B$21)</f>
        <v/>
      </c>
      <c r="E921">
        <f>Assumptions!$B$37*Assumptions!$B$22/C921-Assumptions!$B$38</f>
        <v/>
      </c>
      <c r="F921">
        <f>Assumptions!$B$39*Assumptions!$B$21/D921-Assumptions!$B$39</f>
        <v/>
      </c>
      <c r="G921">
        <f>MAX(0,Assumptions!$B$52*(Assumptions!$B$29+E921+F921+G920+H920+I920+Assumptions!$B$4/B921)-Assumptions!$B$30)</f>
        <v/>
      </c>
      <c r="H921">
        <f>Assumptions!$B$23/MIN(Assumptions!$B$24/(Assumptions!$B$29+E921+F921+G921+I920),B921*(1-Assumptions!$B$25))</f>
        <v/>
      </c>
      <c r="I921">
        <f>Assumptions!$B$26/MIN(Assumptions!$B$27/(Assumptions!$B$29+E921+F921+G921+H921),B921*(1-Assumptions!$B$28))</f>
        <v/>
      </c>
      <c r="J921">
        <f>Assumptions!$B$29+E921+F921+G921+H921+I921</f>
        <v/>
      </c>
      <c r="K921">
        <f>J921+Assumptions!$B$4/B921</f>
        <v/>
      </c>
      <c r="L921">
        <f>B921</f>
        <v/>
      </c>
    </row>
    <row r="922">
      <c r="A922" t="inlineStr">
        <is>
          <t>cell(2,1) iter 39</t>
        </is>
      </c>
      <c r="B922">
        <f>Assumptions!$B$54/J921</f>
        <v/>
      </c>
      <c r="C922">
        <f>IF(B922&lt;Assumptions!$B$20,Assumptions!$B$20*(Assumptions!$B$29+Assumptions!$B$4/Assumptions!$B$20)/(Assumptions!$B$29+Assumptions!$B$4/B922),Assumptions!$B$20)</f>
        <v/>
      </c>
      <c r="D922">
        <f>IF(B922&lt;Assumptions!$B$21,Assumptions!$B$21*(Assumptions!$B$29+Assumptions!$B$4/Assumptions!$B$21)/(Assumptions!$B$29+Assumptions!$B$4/B922),Assumptions!$B$21)</f>
        <v/>
      </c>
      <c r="E922">
        <f>Assumptions!$B$37*Assumptions!$B$22/C922-Assumptions!$B$38</f>
        <v/>
      </c>
      <c r="F922">
        <f>Assumptions!$B$39*Assumptions!$B$21/D922-Assumptions!$B$39</f>
        <v/>
      </c>
      <c r="G922">
        <f>MAX(0,Assumptions!$B$52*(Assumptions!$B$29+E922+F922+G921+H921+I921+Assumptions!$B$4/B922)-Assumptions!$B$30)</f>
        <v/>
      </c>
      <c r="H922">
        <f>Assumptions!$B$23/MIN(Assumptions!$B$24/(Assumptions!$B$29+E922+F922+G922+I921),B922*(1-Assumptions!$B$25))</f>
        <v/>
      </c>
      <c r="I922">
        <f>Assumptions!$B$26/MIN(Assumptions!$B$27/(Assumptions!$B$29+E922+F922+G922+H922),B922*(1-Assumptions!$B$28))</f>
        <v/>
      </c>
      <c r="J922">
        <f>Assumptions!$B$29+E922+F922+G922+H922+I922</f>
        <v/>
      </c>
      <c r="K922">
        <f>J922+Assumptions!$B$4/B922</f>
        <v/>
      </c>
      <c r="L922">
        <f>B922</f>
        <v/>
      </c>
    </row>
    <row r="923">
      <c r="A923" t="inlineStr">
        <is>
          <t>cell(2,1) iter 40</t>
        </is>
      </c>
      <c r="B923">
        <f>Assumptions!$B$54/J922</f>
        <v/>
      </c>
      <c r="C923">
        <f>IF(B923&lt;Assumptions!$B$20,Assumptions!$B$20*(Assumptions!$B$29+Assumptions!$B$4/Assumptions!$B$20)/(Assumptions!$B$29+Assumptions!$B$4/B923),Assumptions!$B$20)</f>
        <v/>
      </c>
      <c r="D923">
        <f>IF(B923&lt;Assumptions!$B$21,Assumptions!$B$21*(Assumptions!$B$29+Assumptions!$B$4/Assumptions!$B$21)/(Assumptions!$B$29+Assumptions!$B$4/B923),Assumptions!$B$21)</f>
        <v/>
      </c>
      <c r="E923">
        <f>Assumptions!$B$37*Assumptions!$B$22/C923-Assumptions!$B$38</f>
        <v/>
      </c>
      <c r="F923">
        <f>Assumptions!$B$39*Assumptions!$B$21/D923-Assumptions!$B$39</f>
        <v/>
      </c>
      <c r="G923">
        <f>MAX(0,Assumptions!$B$52*(Assumptions!$B$29+E923+F923+G922+H922+I922+Assumptions!$B$4/B923)-Assumptions!$B$30)</f>
        <v/>
      </c>
      <c r="H923">
        <f>Assumptions!$B$23/MIN(Assumptions!$B$24/(Assumptions!$B$29+E923+F923+G923+I922),B923*(1-Assumptions!$B$25))</f>
        <v/>
      </c>
      <c r="I923">
        <f>Assumptions!$B$26/MIN(Assumptions!$B$27/(Assumptions!$B$29+E923+F923+G923+H923),B923*(1-Assumptions!$B$28))</f>
        <v/>
      </c>
      <c r="J923">
        <f>Assumptions!$B$29+E923+F923+G923+H923+I923</f>
        <v/>
      </c>
      <c r="K923">
        <f>J923+Assumptions!$B$4/B923</f>
        <v/>
      </c>
      <c r="L923">
        <f>B923</f>
        <v/>
      </c>
    </row>
    <row r="924">
      <c r="A924" t="inlineStr">
        <is>
          <t>cell(2,1) iter 41</t>
        </is>
      </c>
      <c r="B924">
        <f>Assumptions!$B$54/J923</f>
        <v/>
      </c>
      <c r="C924">
        <f>IF(B924&lt;Assumptions!$B$20,Assumptions!$B$20*(Assumptions!$B$29+Assumptions!$B$4/Assumptions!$B$20)/(Assumptions!$B$29+Assumptions!$B$4/B924),Assumptions!$B$20)</f>
        <v/>
      </c>
      <c r="D924">
        <f>IF(B924&lt;Assumptions!$B$21,Assumptions!$B$21*(Assumptions!$B$29+Assumptions!$B$4/Assumptions!$B$21)/(Assumptions!$B$29+Assumptions!$B$4/B924),Assumptions!$B$21)</f>
        <v/>
      </c>
      <c r="E924">
        <f>Assumptions!$B$37*Assumptions!$B$22/C924-Assumptions!$B$38</f>
        <v/>
      </c>
      <c r="F924">
        <f>Assumptions!$B$39*Assumptions!$B$21/D924-Assumptions!$B$39</f>
        <v/>
      </c>
      <c r="G924">
        <f>MAX(0,Assumptions!$B$52*(Assumptions!$B$29+E924+F924+G923+H923+I923+Assumptions!$B$4/B924)-Assumptions!$B$30)</f>
        <v/>
      </c>
      <c r="H924">
        <f>Assumptions!$B$23/MIN(Assumptions!$B$24/(Assumptions!$B$29+E924+F924+G924+I923),B924*(1-Assumptions!$B$25))</f>
        <v/>
      </c>
      <c r="I924">
        <f>Assumptions!$B$26/MIN(Assumptions!$B$27/(Assumptions!$B$29+E924+F924+G924+H924),B924*(1-Assumptions!$B$28))</f>
        <v/>
      </c>
      <c r="J924">
        <f>Assumptions!$B$29+E924+F924+G924+H924+I924</f>
        <v/>
      </c>
      <c r="K924">
        <f>J924+Assumptions!$B$4/B924</f>
        <v/>
      </c>
      <c r="L924">
        <f>B924</f>
        <v/>
      </c>
    </row>
    <row r="925">
      <c r="A925" t="inlineStr">
        <is>
          <t>cell(2,1) iter 42</t>
        </is>
      </c>
      <c r="B925">
        <f>Assumptions!$B$54/J924</f>
        <v/>
      </c>
      <c r="C925">
        <f>IF(B925&lt;Assumptions!$B$20,Assumptions!$B$20*(Assumptions!$B$29+Assumptions!$B$4/Assumptions!$B$20)/(Assumptions!$B$29+Assumptions!$B$4/B925),Assumptions!$B$20)</f>
        <v/>
      </c>
      <c r="D925">
        <f>IF(B925&lt;Assumptions!$B$21,Assumptions!$B$21*(Assumptions!$B$29+Assumptions!$B$4/Assumptions!$B$21)/(Assumptions!$B$29+Assumptions!$B$4/B925),Assumptions!$B$21)</f>
        <v/>
      </c>
      <c r="E925">
        <f>Assumptions!$B$37*Assumptions!$B$22/C925-Assumptions!$B$38</f>
        <v/>
      </c>
      <c r="F925">
        <f>Assumptions!$B$39*Assumptions!$B$21/D925-Assumptions!$B$39</f>
        <v/>
      </c>
      <c r="G925">
        <f>MAX(0,Assumptions!$B$52*(Assumptions!$B$29+E925+F925+G924+H924+I924+Assumptions!$B$4/B925)-Assumptions!$B$30)</f>
        <v/>
      </c>
      <c r="H925">
        <f>Assumptions!$B$23/MIN(Assumptions!$B$24/(Assumptions!$B$29+E925+F925+G925+I924),B925*(1-Assumptions!$B$25))</f>
        <v/>
      </c>
      <c r="I925">
        <f>Assumptions!$B$26/MIN(Assumptions!$B$27/(Assumptions!$B$29+E925+F925+G925+H925),B925*(1-Assumptions!$B$28))</f>
        <v/>
      </c>
      <c r="J925">
        <f>Assumptions!$B$29+E925+F925+G925+H925+I925</f>
        <v/>
      </c>
      <c r="K925">
        <f>J925+Assumptions!$B$4/B925</f>
        <v/>
      </c>
      <c r="L925">
        <f>B925</f>
        <v/>
      </c>
    </row>
    <row r="926">
      <c r="A926" t="inlineStr">
        <is>
          <t>cell(2,1) iter 43</t>
        </is>
      </c>
      <c r="B926">
        <f>Assumptions!$B$54/J925</f>
        <v/>
      </c>
      <c r="C926">
        <f>IF(B926&lt;Assumptions!$B$20,Assumptions!$B$20*(Assumptions!$B$29+Assumptions!$B$4/Assumptions!$B$20)/(Assumptions!$B$29+Assumptions!$B$4/B926),Assumptions!$B$20)</f>
        <v/>
      </c>
      <c r="D926">
        <f>IF(B926&lt;Assumptions!$B$21,Assumptions!$B$21*(Assumptions!$B$29+Assumptions!$B$4/Assumptions!$B$21)/(Assumptions!$B$29+Assumptions!$B$4/B926),Assumptions!$B$21)</f>
        <v/>
      </c>
      <c r="E926">
        <f>Assumptions!$B$37*Assumptions!$B$22/C926-Assumptions!$B$38</f>
        <v/>
      </c>
      <c r="F926">
        <f>Assumptions!$B$39*Assumptions!$B$21/D926-Assumptions!$B$39</f>
        <v/>
      </c>
      <c r="G926">
        <f>MAX(0,Assumptions!$B$52*(Assumptions!$B$29+E926+F926+G925+H925+I925+Assumptions!$B$4/B926)-Assumptions!$B$30)</f>
        <v/>
      </c>
      <c r="H926">
        <f>Assumptions!$B$23/MIN(Assumptions!$B$24/(Assumptions!$B$29+E926+F926+G926+I925),B926*(1-Assumptions!$B$25))</f>
        <v/>
      </c>
      <c r="I926">
        <f>Assumptions!$B$26/MIN(Assumptions!$B$27/(Assumptions!$B$29+E926+F926+G926+H926),B926*(1-Assumptions!$B$28))</f>
        <v/>
      </c>
      <c r="J926">
        <f>Assumptions!$B$29+E926+F926+G926+H926+I926</f>
        <v/>
      </c>
      <c r="K926">
        <f>J926+Assumptions!$B$4/B926</f>
        <v/>
      </c>
      <c r="L926">
        <f>B926</f>
        <v/>
      </c>
    </row>
    <row r="927">
      <c r="A927" t="inlineStr">
        <is>
          <t>cell(2,1) iter 44</t>
        </is>
      </c>
      <c r="B927">
        <f>Assumptions!$B$54/J926</f>
        <v/>
      </c>
      <c r="C927">
        <f>IF(B927&lt;Assumptions!$B$20,Assumptions!$B$20*(Assumptions!$B$29+Assumptions!$B$4/Assumptions!$B$20)/(Assumptions!$B$29+Assumptions!$B$4/B927),Assumptions!$B$20)</f>
        <v/>
      </c>
      <c r="D927">
        <f>IF(B927&lt;Assumptions!$B$21,Assumptions!$B$21*(Assumptions!$B$29+Assumptions!$B$4/Assumptions!$B$21)/(Assumptions!$B$29+Assumptions!$B$4/B927),Assumptions!$B$21)</f>
        <v/>
      </c>
      <c r="E927">
        <f>Assumptions!$B$37*Assumptions!$B$22/C927-Assumptions!$B$38</f>
        <v/>
      </c>
      <c r="F927">
        <f>Assumptions!$B$39*Assumptions!$B$21/D927-Assumptions!$B$39</f>
        <v/>
      </c>
      <c r="G927">
        <f>MAX(0,Assumptions!$B$52*(Assumptions!$B$29+E927+F927+G926+H926+I926+Assumptions!$B$4/B927)-Assumptions!$B$30)</f>
        <v/>
      </c>
      <c r="H927">
        <f>Assumptions!$B$23/MIN(Assumptions!$B$24/(Assumptions!$B$29+E927+F927+G927+I926),B927*(1-Assumptions!$B$25))</f>
        <v/>
      </c>
      <c r="I927">
        <f>Assumptions!$B$26/MIN(Assumptions!$B$27/(Assumptions!$B$29+E927+F927+G927+H927),B927*(1-Assumptions!$B$28))</f>
        <v/>
      </c>
      <c r="J927">
        <f>Assumptions!$B$29+E927+F927+G927+H927+I927</f>
        <v/>
      </c>
      <c r="K927">
        <f>J927+Assumptions!$B$4/B927</f>
        <v/>
      </c>
      <c r="L927">
        <f>B927</f>
        <v/>
      </c>
    </row>
    <row r="928">
      <c r="A928" t="inlineStr">
        <is>
          <t>cell(2,1) iter 45</t>
        </is>
      </c>
      <c r="B928">
        <f>Assumptions!$B$54/J927</f>
        <v/>
      </c>
      <c r="C928">
        <f>IF(B928&lt;Assumptions!$B$20,Assumptions!$B$20*(Assumptions!$B$29+Assumptions!$B$4/Assumptions!$B$20)/(Assumptions!$B$29+Assumptions!$B$4/B928),Assumptions!$B$20)</f>
        <v/>
      </c>
      <c r="D928">
        <f>IF(B928&lt;Assumptions!$B$21,Assumptions!$B$21*(Assumptions!$B$29+Assumptions!$B$4/Assumptions!$B$21)/(Assumptions!$B$29+Assumptions!$B$4/B928),Assumptions!$B$21)</f>
        <v/>
      </c>
      <c r="E928">
        <f>Assumptions!$B$37*Assumptions!$B$22/C928-Assumptions!$B$38</f>
        <v/>
      </c>
      <c r="F928">
        <f>Assumptions!$B$39*Assumptions!$B$21/D928-Assumptions!$B$39</f>
        <v/>
      </c>
      <c r="G928">
        <f>MAX(0,Assumptions!$B$52*(Assumptions!$B$29+E928+F928+G927+H927+I927+Assumptions!$B$4/B928)-Assumptions!$B$30)</f>
        <v/>
      </c>
      <c r="H928">
        <f>Assumptions!$B$23/MIN(Assumptions!$B$24/(Assumptions!$B$29+E928+F928+G928+I927),B928*(1-Assumptions!$B$25))</f>
        <v/>
      </c>
      <c r="I928">
        <f>Assumptions!$B$26/MIN(Assumptions!$B$27/(Assumptions!$B$29+E928+F928+G928+H928),B928*(1-Assumptions!$B$28))</f>
        <v/>
      </c>
      <c r="J928">
        <f>Assumptions!$B$29+E928+F928+G928+H928+I928</f>
        <v/>
      </c>
      <c r="K928">
        <f>J928+Assumptions!$B$4/B928</f>
        <v/>
      </c>
      <c r="L928">
        <f>B928</f>
        <v/>
      </c>
    </row>
    <row r="929">
      <c r="A929" t="inlineStr">
        <is>
          <t>cell(2,1) iter 46</t>
        </is>
      </c>
      <c r="B929">
        <f>Assumptions!$B$54/J928</f>
        <v/>
      </c>
      <c r="C929">
        <f>IF(B929&lt;Assumptions!$B$20,Assumptions!$B$20*(Assumptions!$B$29+Assumptions!$B$4/Assumptions!$B$20)/(Assumptions!$B$29+Assumptions!$B$4/B929),Assumptions!$B$20)</f>
        <v/>
      </c>
      <c r="D929">
        <f>IF(B929&lt;Assumptions!$B$21,Assumptions!$B$21*(Assumptions!$B$29+Assumptions!$B$4/Assumptions!$B$21)/(Assumptions!$B$29+Assumptions!$B$4/B929),Assumptions!$B$21)</f>
        <v/>
      </c>
      <c r="E929">
        <f>Assumptions!$B$37*Assumptions!$B$22/C929-Assumptions!$B$38</f>
        <v/>
      </c>
      <c r="F929">
        <f>Assumptions!$B$39*Assumptions!$B$21/D929-Assumptions!$B$39</f>
        <v/>
      </c>
      <c r="G929">
        <f>MAX(0,Assumptions!$B$52*(Assumptions!$B$29+E929+F929+G928+H928+I928+Assumptions!$B$4/B929)-Assumptions!$B$30)</f>
        <v/>
      </c>
      <c r="H929">
        <f>Assumptions!$B$23/MIN(Assumptions!$B$24/(Assumptions!$B$29+E929+F929+G929+I928),B929*(1-Assumptions!$B$25))</f>
        <v/>
      </c>
      <c r="I929">
        <f>Assumptions!$B$26/MIN(Assumptions!$B$27/(Assumptions!$B$29+E929+F929+G929+H929),B929*(1-Assumptions!$B$28))</f>
        <v/>
      </c>
      <c r="J929">
        <f>Assumptions!$B$29+E929+F929+G929+H929+I929</f>
        <v/>
      </c>
      <c r="K929">
        <f>J929+Assumptions!$B$4/B929</f>
        <v/>
      </c>
      <c r="L929">
        <f>B929</f>
        <v/>
      </c>
    </row>
    <row r="930">
      <c r="A930" t="inlineStr">
        <is>
          <t>cell(2,1) iter 47</t>
        </is>
      </c>
      <c r="B930">
        <f>Assumptions!$B$54/J929</f>
        <v/>
      </c>
      <c r="C930">
        <f>IF(B930&lt;Assumptions!$B$20,Assumptions!$B$20*(Assumptions!$B$29+Assumptions!$B$4/Assumptions!$B$20)/(Assumptions!$B$29+Assumptions!$B$4/B930),Assumptions!$B$20)</f>
        <v/>
      </c>
      <c r="D930">
        <f>IF(B930&lt;Assumptions!$B$21,Assumptions!$B$21*(Assumptions!$B$29+Assumptions!$B$4/Assumptions!$B$21)/(Assumptions!$B$29+Assumptions!$B$4/B930),Assumptions!$B$21)</f>
        <v/>
      </c>
      <c r="E930">
        <f>Assumptions!$B$37*Assumptions!$B$22/C930-Assumptions!$B$38</f>
        <v/>
      </c>
      <c r="F930">
        <f>Assumptions!$B$39*Assumptions!$B$21/D930-Assumptions!$B$39</f>
        <v/>
      </c>
      <c r="G930">
        <f>MAX(0,Assumptions!$B$52*(Assumptions!$B$29+E930+F930+G929+H929+I929+Assumptions!$B$4/B930)-Assumptions!$B$30)</f>
        <v/>
      </c>
      <c r="H930">
        <f>Assumptions!$B$23/MIN(Assumptions!$B$24/(Assumptions!$B$29+E930+F930+G930+I929),B930*(1-Assumptions!$B$25))</f>
        <v/>
      </c>
      <c r="I930">
        <f>Assumptions!$B$26/MIN(Assumptions!$B$27/(Assumptions!$B$29+E930+F930+G930+H930),B930*(1-Assumptions!$B$28))</f>
        <v/>
      </c>
      <c r="J930">
        <f>Assumptions!$B$29+E930+F930+G930+H930+I930</f>
        <v/>
      </c>
      <c r="K930">
        <f>J930+Assumptions!$B$4/B930</f>
        <v/>
      </c>
      <c r="L930">
        <f>B930</f>
        <v/>
      </c>
    </row>
    <row r="931">
      <c r="A931" t="inlineStr">
        <is>
          <t>cell(2,1) iter 48</t>
        </is>
      </c>
      <c r="B931">
        <f>Assumptions!$B$54/J930</f>
        <v/>
      </c>
      <c r="C931">
        <f>IF(B931&lt;Assumptions!$B$20,Assumptions!$B$20*(Assumptions!$B$29+Assumptions!$B$4/Assumptions!$B$20)/(Assumptions!$B$29+Assumptions!$B$4/B931),Assumptions!$B$20)</f>
        <v/>
      </c>
      <c r="D931">
        <f>IF(B931&lt;Assumptions!$B$21,Assumptions!$B$21*(Assumptions!$B$29+Assumptions!$B$4/Assumptions!$B$21)/(Assumptions!$B$29+Assumptions!$B$4/B931),Assumptions!$B$21)</f>
        <v/>
      </c>
      <c r="E931">
        <f>Assumptions!$B$37*Assumptions!$B$22/C931-Assumptions!$B$38</f>
        <v/>
      </c>
      <c r="F931">
        <f>Assumptions!$B$39*Assumptions!$B$21/D931-Assumptions!$B$39</f>
        <v/>
      </c>
      <c r="G931">
        <f>MAX(0,Assumptions!$B$52*(Assumptions!$B$29+E931+F931+G930+H930+I930+Assumptions!$B$4/B931)-Assumptions!$B$30)</f>
        <v/>
      </c>
      <c r="H931">
        <f>Assumptions!$B$23/MIN(Assumptions!$B$24/(Assumptions!$B$29+E931+F931+G931+I930),B931*(1-Assumptions!$B$25))</f>
        <v/>
      </c>
      <c r="I931">
        <f>Assumptions!$B$26/MIN(Assumptions!$B$27/(Assumptions!$B$29+E931+F931+G931+H931),B931*(1-Assumptions!$B$28))</f>
        <v/>
      </c>
      <c r="J931">
        <f>Assumptions!$B$29+E931+F931+G931+H931+I931</f>
        <v/>
      </c>
      <c r="K931">
        <f>J931+Assumptions!$B$4/B931</f>
        <v/>
      </c>
      <c r="L931">
        <f>B931</f>
        <v/>
      </c>
    </row>
    <row r="932">
      <c r="A932" t="inlineStr">
        <is>
          <t>cell(2,1) iter 49</t>
        </is>
      </c>
      <c r="B932">
        <f>Assumptions!$B$54/J931</f>
        <v/>
      </c>
      <c r="C932">
        <f>IF(B932&lt;Assumptions!$B$20,Assumptions!$B$20*(Assumptions!$B$29+Assumptions!$B$4/Assumptions!$B$20)/(Assumptions!$B$29+Assumptions!$B$4/B932),Assumptions!$B$20)</f>
        <v/>
      </c>
      <c r="D932">
        <f>IF(B932&lt;Assumptions!$B$21,Assumptions!$B$21*(Assumptions!$B$29+Assumptions!$B$4/Assumptions!$B$21)/(Assumptions!$B$29+Assumptions!$B$4/B932),Assumptions!$B$21)</f>
        <v/>
      </c>
      <c r="E932">
        <f>Assumptions!$B$37*Assumptions!$B$22/C932-Assumptions!$B$38</f>
        <v/>
      </c>
      <c r="F932">
        <f>Assumptions!$B$39*Assumptions!$B$21/D932-Assumptions!$B$39</f>
        <v/>
      </c>
      <c r="G932">
        <f>MAX(0,Assumptions!$B$52*(Assumptions!$B$29+E932+F932+G931+H931+I931+Assumptions!$B$4/B932)-Assumptions!$B$30)</f>
        <v/>
      </c>
      <c r="H932">
        <f>Assumptions!$B$23/MIN(Assumptions!$B$24/(Assumptions!$B$29+E932+F932+G932+I931),B932*(1-Assumptions!$B$25))</f>
        <v/>
      </c>
      <c r="I932">
        <f>Assumptions!$B$26/MIN(Assumptions!$B$27/(Assumptions!$B$29+E932+F932+G932+H932),B932*(1-Assumptions!$B$28))</f>
        <v/>
      </c>
      <c r="J932">
        <f>Assumptions!$B$29+E932+F932+G932+H932+I932</f>
        <v/>
      </c>
      <c r="K932">
        <f>J932+Assumptions!$B$4/B932</f>
        <v/>
      </c>
      <c r="L932">
        <f>B932</f>
        <v/>
      </c>
    </row>
    <row r="933">
      <c r="A933" t="inlineStr">
        <is>
          <t>cell(2,1) iter 50</t>
        </is>
      </c>
      <c r="B933">
        <f>Assumptions!$B$54/J932</f>
        <v/>
      </c>
      <c r="C933">
        <f>IF(B933&lt;Assumptions!$B$20,Assumptions!$B$20*(Assumptions!$B$29+Assumptions!$B$4/Assumptions!$B$20)/(Assumptions!$B$29+Assumptions!$B$4/B933),Assumptions!$B$20)</f>
        <v/>
      </c>
      <c r="D933">
        <f>IF(B933&lt;Assumptions!$B$21,Assumptions!$B$21*(Assumptions!$B$29+Assumptions!$B$4/Assumptions!$B$21)/(Assumptions!$B$29+Assumptions!$B$4/B933),Assumptions!$B$21)</f>
        <v/>
      </c>
      <c r="E933">
        <f>Assumptions!$B$37*Assumptions!$B$22/C933-Assumptions!$B$38</f>
        <v/>
      </c>
      <c r="F933">
        <f>Assumptions!$B$39*Assumptions!$B$21/D933-Assumptions!$B$39</f>
        <v/>
      </c>
      <c r="G933">
        <f>MAX(0,Assumptions!$B$52*(Assumptions!$B$29+E933+F933+G932+H932+I932+Assumptions!$B$4/B933)-Assumptions!$B$30)</f>
        <v/>
      </c>
      <c r="H933">
        <f>Assumptions!$B$23/MIN(Assumptions!$B$24/(Assumptions!$B$29+E933+F933+G933+I932),B933*(1-Assumptions!$B$25))</f>
        <v/>
      </c>
      <c r="I933">
        <f>Assumptions!$B$26/MIN(Assumptions!$B$27/(Assumptions!$B$29+E933+F933+G933+H933),B933*(1-Assumptions!$B$28))</f>
        <v/>
      </c>
      <c r="J933">
        <f>Assumptions!$B$29+E933+F933+G933+H933+I933</f>
        <v/>
      </c>
      <c r="K933">
        <f>J933+Assumptions!$B$4/B933</f>
        <v/>
      </c>
      <c r="L933">
        <f>B933</f>
        <v/>
      </c>
    </row>
    <row r="934">
      <c r="A934" t="inlineStr">
        <is>
          <t>cell(2,1) iter 51</t>
        </is>
      </c>
      <c r="B934">
        <f>Assumptions!$B$54/J933</f>
        <v/>
      </c>
      <c r="C934">
        <f>IF(B934&lt;Assumptions!$B$20,Assumptions!$B$20*(Assumptions!$B$29+Assumptions!$B$4/Assumptions!$B$20)/(Assumptions!$B$29+Assumptions!$B$4/B934),Assumptions!$B$20)</f>
        <v/>
      </c>
      <c r="D934">
        <f>IF(B934&lt;Assumptions!$B$21,Assumptions!$B$21*(Assumptions!$B$29+Assumptions!$B$4/Assumptions!$B$21)/(Assumptions!$B$29+Assumptions!$B$4/B934),Assumptions!$B$21)</f>
        <v/>
      </c>
      <c r="E934">
        <f>Assumptions!$B$37*Assumptions!$B$22/C934-Assumptions!$B$38</f>
        <v/>
      </c>
      <c r="F934">
        <f>Assumptions!$B$39*Assumptions!$B$21/D934-Assumptions!$B$39</f>
        <v/>
      </c>
      <c r="G934">
        <f>MAX(0,Assumptions!$B$52*(Assumptions!$B$29+E934+F934+G933+H933+I933+Assumptions!$B$4/B934)-Assumptions!$B$30)</f>
        <v/>
      </c>
      <c r="H934">
        <f>Assumptions!$B$23/MIN(Assumptions!$B$24/(Assumptions!$B$29+E934+F934+G934+I933),B934*(1-Assumptions!$B$25))</f>
        <v/>
      </c>
      <c r="I934">
        <f>Assumptions!$B$26/MIN(Assumptions!$B$27/(Assumptions!$B$29+E934+F934+G934+H934),B934*(1-Assumptions!$B$28))</f>
        <v/>
      </c>
      <c r="J934">
        <f>Assumptions!$B$29+E934+F934+G934+H934+I934</f>
        <v/>
      </c>
      <c r="K934">
        <f>J934+Assumptions!$B$4/B934</f>
        <v/>
      </c>
      <c r="L934">
        <f>B934</f>
        <v/>
      </c>
    </row>
    <row r="935">
      <c r="A935" t="inlineStr">
        <is>
          <t>cell(2,1) iter 52</t>
        </is>
      </c>
      <c r="B935">
        <f>Assumptions!$B$54/J934</f>
        <v/>
      </c>
      <c r="C935">
        <f>IF(B935&lt;Assumptions!$B$20,Assumptions!$B$20*(Assumptions!$B$29+Assumptions!$B$4/Assumptions!$B$20)/(Assumptions!$B$29+Assumptions!$B$4/B935),Assumptions!$B$20)</f>
        <v/>
      </c>
      <c r="D935">
        <f>IF(B935&lt;Assumptions!$B$21,Assumptions!$B$21*(Assumptions!$B$29+Assumptions!$B$4/Assumptions!$B$21)/(Assumptions!$B$29+Assumptions!$B$4/B935),Assumptions!$B$21)</f>
        <v/>
      </c>
      <c r="E935">
        <f>Assumptions!$B$37*Assumptions!$B$22/C935-Assumptions!$B$38</f>
        <v/>
      </c>
      <c r="F935">
        <f>Assumptions!$B$39*Assumptions!$B$21/D935-Assumptions!$B$39</f>
        <v/>
      </c>
      <c r="G935">
        <f>MAX(0,Assumptions!$B$52*(Assumptions!$B$29+E935+F935+G934+H934+I934+Assumptions!$B$4/B935)-Assumptions!$B$30)</f>
        <v/>
      </c>
      <c r="H935">
        <f>Assumptions!$B$23/MIN(Assumptions!$B$24/(Assumptions!$B$29+E935+F935+G935+I934),B935*(1-Assumptions!$B$25))</f>
        <v/>
      </c>
      <c r="I935">
        <f>Assumptions!$B$26/MIN(Assumptions!$B$27/(Assumptions!$B$29+E935+F935+G935+H935),B935*(1-Assumptions!$B$28))</f>
        <v/>
      </c>
      <c r="J935">
        <f>Assumptions!$B$29+E935+F935+G935+H935+I935</f>
        <v/>
      </c>
      <c r="K935">
        <f>J935+Assumptions!$B$4/B935</f>
        <v/>
      </c>
      <c r="L935">
        <f>B935</f>
        <v/>
      </c>
    </row>
    <row r="936">
      <c r="A936" t="inlineStr">
        <is>
          <t>cell(2,1) iter 53</t>
        </is>
      </c>
      <c r="B936">
        <f>Assumptions!$B$54/J935</f>
        <v/>
      </c>
      <c r="C936">
        <f>IF(B936&lt;Assumptions!$B$20,Assumptions!$B$20*(Assumptions!$B$29+Assumptions!$B$4/Assumptions!$B$20)/(Assumptions!$B$29+Assumptions!$B$4/B936),Assumptions!$B$20)</f>
        <v/>
      </c>
      <c r="D936">
        <f>IF(B936&lt;Assumptions!$B$21,Assumptions!$B$21*(Assumptions!$B$29+Assumptions!$B$4/Assumptions!$B$21)/(Assumptions!$B$29+Assumptions!$B$4/B936),Assumptions!$B$21)</f>
        <v/>
      </c>
      <c r="E936">
        <f>Assumptions!$B$37*Assumptions!$B$22/C936-Assumptions!$B$38</f>
        <v/>
      </c>
      <c r="F936">
        <f>Assumptions!$B$39*Assumptions!$B$21/D936-Assumptions!$B$39</f>
        <v/>
      </c>
      <c r="G936">
        <f>MAX(0,Assumptions!$B$52*(Assumptions!$B$29+E936+F936+G935+H935+I935+Assumptions!$B$4/B936)-Assumptions!$B$30)</f>
        <v/>
      </c>
      <c r="H936">
        <f>Assumptions!$B$23/MIN(Assumptions!$B$24/(Assumptions!$B$29+E936+F936+G936+I935),B936*(1-Assumptions!$B$25))</f>
        <v/>
      </c>
      <c r="I936">
        <f>Assumptions!$B$26/MIN(Assumptions!$B$27/(Assumptions!$B$29+E936+F936+G936+H936),B936*(1-Assumptions!$B$28))</f>
        <v/>
      </c>
      <c r="J936">
        <f>Assumptions!$B$29+E936+F936+G936+H936+I936</f>
        <v/>
      </c>
      <c r="K936">
        <f>J936+Assumptions!$B$4/B936</f>
        <v/>
      </c>
      <c r="L936">
        <f>B936</f>
        <v/>
      </c>
    </row>
    <row r="937">
      <c r="A937" t="inlineStr">
        <is>
          <t>cell(2,1) iter 54</t>
        </is>
      </c>
      <c r="B937">
        <f>Assumptions!$B$54/J936</f>
        <v/>
      </c>
      <c r="C937">
        <f>IF(B937&lt;Assumptions!$B$20,Assumptions!$B$20*(Assumptions!$B$29+Assumptions!$B$4/Assumptions!$B$20)/(Assumptions!$B$29+Assumptions!$B$4/B937),Assumptions!$B$20)</f>
        <v/>
      </c>
      <c r="D937">
        <f>IF(B937&lt;Assumptions!$B$21,Assumptions!$B$21*(Assumptions!$B$29+Assumptions!$B$4/Assumptions!$B$21)/(Assumptions!$B$29+Assumptions!$B$4/B937),Assumptions!$B$21)</f>
        <v/>
      </c>
      <c r="E937">
        <f>Assumptions!$B$37*Assumptions!$B$22/C937-Assumptions!$B$38</f>
        <v/>
      </c>
      <c r="F937">
        <f>Assumptions!$B$39*Assumptions!$B$21/D937-Assumptions!$B$39</f>
        <v/>
      </c>
      <c r="G937">
        <f>MAX(0,Assumptions!$B$52*(Assumptions!$B$29+E937+F937+G936+H936+I936+Assumptions!$B$4/B937)-Assumptions!$B$30)</f>
        <v/>
      </c>
      <c r="H937">
        <f>Assumptions!$B$23/MIN(Assumptions!$B$24/(Assumptions!$B$29+E937+F937+G937+I936),B937*(1-Assumptions!$B$25))</f>
        <v/>
      </c>
      <c r="I937">
        <f>Assumptions!$B$26/MIN(Assumptions!$B$27/(Assumptions!$B$29+E937+F937+G937+H937),B937*(1-Assumptions!$B$28))</f>
        <v/>
      </c>
      <c r="J937">
        <f>Assumptions!$B$29+E937+F937+G937+H937+I937</f>
        <v/>
      </c>
      <c r="K937">
        <f>J937+Assumptions!$B$4/B937</f>
        <v/>
      </c>
      <c r="L937">
        <f>B937</f>
        <v/>
      </c>
    </row>
    <row r="938">
      <c r="A938" t="inlineStr">
        <is>
          <t>cell(2,1) iter 55</t>
        </is>
      </c>
      <c r="B938">
        <f>Assumptions!$B$54/J937</f>
        <v/>
      </c>
      <c r="C938">
        <f>IF(B938&lt;Assumptions!$B$20,Assumptions!$B$20*(Assumptions!$B$29+Assumptions!$B$4/Assumptions!$B$20)/(Assumptions!$B$29+Assumptions!$B$4/B938),Assumptions!$B$20)</f>
        <v/>
      </c>
      <c r="D938">
        <f>IF(B938&lt;Assumptions!$B$21,Assumptions!$B$21*(Assumptions!$B$29+Assumptions!$B$4/Assumptions!$B$21)/(Assumptions!$B$29+Assumptions!$B$4/B938),Assumptions!$B$21)</f>
        <v/>
      </c>
      <c r="E938">
        <f>Assumptions!$B$37*Assumptions!$B$22/C938-Assumptions!$B$38</f>
        <v/>
      </c>
      <c r="F938">
        <f>Assumptions!$B$39*Assumptions!$B$21/D938-Assumptions!$B$39</f>
        <v/>
      </c>
      <c r="G938">
        <f>MAX(0,Assumptions!$B$52*(Assumptions!$B$29+E938+F938+G937+H937+I937+Assumptions!$B$4/B938)-Assumptions!$B$30)</f>
        <v/>
      </c>
      <c r="H938">
        <f>Assumptions!$B$23/MIN(Assumptions!$B$24/(Assumptions!$B$29+E938+F938+G938+I937),B938*(1-Assumptions!$B$25))</f>
        <v/>
      </c>
      <c r="I938">
        <f>Assumptions!$B$26/MIN(Assumptions!$B$27/(Assumptions!$B$29+E938+F938+G938+H938),B938*(1-Assumptions!$B$28))</f>
        <v/>
      </c>
      <c r="J938">
        <f>Assumptions!$B$29+E938+F938+G938+H938+I938</f>
        <v/>
      </c>
      <c r="K938">
        <f>J938+Assumptions!$B$4/B938</f>
        <v/>
      </c>
      <c r="L938">
        <f>B938</f>
        <v/>
      </c>
    </row>
    <row r="939">
      <c r="A939" t="inlineStr">
        <is>
          <t>cell(2,1) iter 56</t>
        </is>
      </c>
      <c r="B939">
        <f>Assumptions!$B$54/J938</f>
        <v/>
      </c>
      <c r="C939">
        <f>IF(B939&lt;Assumptions!$B$20,Assumptions!$B$20*(Assumptions!$B$29+Assumptions!$B$4/Assumptions!$B$20)/(Assumptions!$B$29+Assumptions!$B$4/B939),Assumptions!$B$20)</f>
        <v/>
      </c>
      <c r="D939">
        <f>IF(B939&lt;Assumptions!$B$21,Assumptions!$B$21*(Assumptions!$B$29+Assumptions!$B$4/Assumptions!$B$21)/(Assumptions!$B$29+Assumptions!$B$4/B939),Assumptions!$B$21)</f>
        <v/>
      </c>
      <c r="E939">
        <f>Assumptions!$B$37*Assumptions!$B$22/C939-Assumptions!$B$38</f>
        <v/>
      </c>
      <c r="F939">
        <f>Assumptions!$B$39*Assumptions!$B$21/D939-Assumptions!$B$39</f>
        <v/>
      </c>
      <c r="G939">
        <f>MAX(0,Assumptions!$B$52*(Assumptions!$B$29+E939+F939+G938+H938+I938+Assumptions!$B$4/B939)-Assumptions!$B$30)</f>
        <v/>
      </c>
      <c r="H939">
        <f>Assumptions!$B$23/MIN(Assumptions!$B$24/(Assumptions!$B$29+E939+F939+G939+I938),B939*(1-Assumptions!$B$25))</f>
        <v/>
      </c>
      <c r="I939">
        <f>Assumptions!$B$26/MIN(Assumptions!$B$27/(Assumptions!$B$29+E939+F939+G939+H939),B939*(1-Assumptions!$B$28))</f>
        <v/>
      </c>
      <c r="J939">
        <f>Assumptions!$B$29+E939+F939+G939+H939+I939</f>
        <v/>
      </c>
      <c r="K939">
        <f>J939+Assumptions!$B$4/B939</f>
        <v/>
      </c>
      <c r="L939">
        <f>B939</f>
        <v/>
      </c>
    </row>
    <row r="940">
      <c r="A940" t="inlineStr">
        <is>
          <t>cell(2,1) iter 57</t>
        </is>
      </c>
      <c r="B940">
        <f>Assumptions!$B$54/J939</f>
        <v/>
      </c>
      <c r="C940">
        <f>IF(B940&lt;Assumptions!$B$20,Assumptions!$B$20*(Assumptions!$B$29+Assumptions!$B$4/Assumptions!$B$20)/(Assumptions!$B$29+Assumptions!$B$4/B940),Assumptions!$B$20)</f>
        <v/>
      </c>
      <c r="D940">
        <f>IF(B940&lt;Assumptions!$B$21,Assumptions!$B$21*(Assumptions!$B$29+Assumptions!$B$4/Assumptions!$B$21)/(Assumptions!$B$29+Assumptions!$B$4/B940),Assumptions!$B$21)</f>
        <v/>
      </c>
      <c r="E940">
        <f>Assumptions!$B$37*Assumptions!$B$22/C940-Assumptions!$B$38</f>
        <v/>
      </c>
      <c r="F940">
        <f>Assumptions!$B$39*Assumptions!$B$21/D940-Assumptions!$B$39</f>
        <v/>
      </c>
      <c r="G940">
        <f>MAX(0,Assumptions!$B$52*(Assumptions!$B$29+E940+F940+G939+H939+I939+Assumptions!$B$4/B940)-Assumptions!$B$30)</f>
        <v/>
      </c>
      <c r="H940">
        <f>Assumptions!$B$23/MIN(Assumptions!$B$24/(Assumptions!$B$29+E940+F940+G940+I939),B940*(1-Assumptions!$B$25))</f>
        <v/>
      </c>
      <c r="I940">
        <f>Assumptions!$B$26/MIN(Assumptions!$B$27/(Assumptions!$B$29+E940+F940+G940+H940),B940*(1-Assumptions!$B$28))</f>
        <v/>
      </c>
      <c r="J940">
        <f>Assumptions!$B$29+E940+F940+G940+H940+I940</f>
        <v/>
      </c>
      <c r="K940">
        <f>J940+Assumptions!$B$4/B940</f>
        <v/>
      </c>
      <c r="L940">
        <f>B940</f>
        <v/>
      </c>
    </row>
    <row r="941">
      <c r="A941" t="inlineStr">
        <is>
          <t>cell(2,1) iter 58</t>
        </is>
      </c>
      <c r="B941">
        <f>Assumptions!$B$54/J940</f>
        <v/>
      </c>
      <c r="C941">
        <f>IF(B941&lt;Assumptions!$B$20,Assumptions!$B$20*(Assumptions!$B$29+Assumptions!$B$4/Assumptions!$B$20)/(Assumptions!$B$29+Assumptions!$B$4/B941),Assumptions!$B$20)</f>
        <v/>
      </c>
      <c r="D941">
        <f>IF(B941&lt;Assumptions!$B$21,Assumptions!$B$21*(Assumptions!$B$29+Assumptions!$B$4/Assumptions!$B$21)/(Assumptions!$B$29+Assumptions!$B$4/B941),Assumptions!$B$21)</f>
        <v/>
      </c>
      <c r="E941">
        <f>Assumptions!$B$37*Assumptions!$B$22/C941-Assumptions!$B$38</f>
        <v/>
      </c>
      <c r="F941">
        <f>Assumptions!$B$39*Assumptions!$B$21/D941-Assumptions!$B$39</f>
        <v/>
      </c>
      <c r="G941">
        <f>MAX(0,Assumptions!$B$52*(Assumptions!$B$29+E941+F941+G940+H940+I940+Assumptions!$B$4/B941)-Assumptions!$B$30)</f>
        <v/>
      </c>
      <c r="H941">
        <f>Assumptions!$B$23/MIN(Assumptions!$B$24/(Assumptions!$B$29+E941+F941+G941+I940),B941*(1-Assumptions!$B$25))</f>
        <v/>
      </c>
      <c r="I941">
        <f>Assumptions!$B$26/MIN(Assumptions!$B$27/(Assumptions!$B$29+E941+F941+G941+H941),B941*(1-Assumptions!$B$28))</f>
        <v/>
      </c>
      <c r="J941">
        <f>Assumptions!$B$29+E941+F941+G941+H941+I941</f>
        <v/>
      </c>
      <c r="K941">
        <f>J941+Assumptions!$B$4/B941</f>
        <v/>
      </c>
      <c r="L941">
        <f>B941</f>
        <v/>
      </c>
    </row>
    <row r="942">
      <c r="A942" t="inlineStr">
        <is>
          <t>cell(2,1) iter 59</t>
        </is>
      </c>
      <c r="B942">
        <f>Assumptions!$B$54/J941</f>
        <v/>
      </c>
      <c r="C942">
        <f>IF(B942&lt;Assumptions!$B$20,Assumptions!$B$20*(Assumptions!$B$29+Assumptions!$B$4/Assumptions!$B$20)/(Assumptions!$B$29+Assumptions!$B$4/B942),Assumptions!$B$20)</f>
        <v/>
      </c>
      <c r="D942">
        <f>IF(B942&lt;Assumptions!$B$21,Assumptions!$B$21*(Assumptions!$B$29+Assumptions!$B$4/Assumptions!$B$21)/(Assumptions!$B$29+Assumptions!$B$4/B942),Assumptions!$B$21)</f>
        <v/>
      </c>
      <c r="E942">
        <f>Assumptions!$B$37*Assumptions!$B$22/C942-Assumptions!$B$38</f>
        <v/>
      </c>
      <c r="F942">
        <f>Assumptions!$B$39*Assumptions!$B$21/D942-Assumptions!$B$39</f>
        <v/>
      </c>
      <c r="G942">
        <f>MAX(0,Assumptions!$B$52*(Assumptions!$B$29+E942+F942+G941+H941+I941+Assumptions!$B$4/B942)-Assumptions!$B$30)</f>
        <v/>
      </c>
      <c r="H942">
        <f>Assumptions!$B$23/MIN(Assumptions!$B$24/(Assumptions!$B$29+E942+F942+G942+I941),B942*(1-Assumptions!$B$25))</f>
        <v/>
      </c>
      <c r="I942">
        <f>Assumptions!$B$26/MIN(Assumptions!$B$27/(Assumptions!$B$29+E942+F942+G942+H942),B942*(1-Assumptions!$B$28))</f>
        <v/>
      </c>
      <c r="J942">
        <f>Assumptions!$B$29+E942+F942+G942+H942+I942</f>
        <v/>
      </c>
      <c r="K942">
        <f>J942+Assumptions!$B$4/B942</f>
        <v/>
      </c>
      <c r="L942">
        <f>B942</f>
        <v/>
      </c>
    </row>
    <row r="943">
      <c r="A943" t="inlineStr">
        <is>
          <t>cell(2,1) iter 60</t>
        </is>
      </c>
      <c r="B943">
        <f>Assumptions!$B$54/J942</f>
        <v/>
      </c>
      <c r="C943">
        <f>IF(B943&lt;Assumptions!$B$20,Assumptions!$B$20*(Assumptions!$B$29+Assumptions!$B$4/Assumptions!$B$20)/(Assumptions!$B$29+Assumptions!$B$4/B943),Assumptions!$B$20)</f>
        <v/>
      </c>
      <c r="D943">
        <f>IF(B943&lt;Assumptions!$B$21,Assumptions!$B$21*(Assumptions!$B$29+Assumptions!$B$4/Assumptions!$B$21)/(Assumptions!$B$29+Assumptions!$B$4/B943),Assumptions!$B$21)</f>
        <v/>
      </c>
      <c r="E943">
        <f>Assumptions!$B$37*Assumptions!$B$22/C943-Assumptions!$B$38</f>
        <v/>
      </c>
      <c r="F943">
        <f>Assumptions!$B$39*Assumptions!$B$21/D943-Assumptions!$B$39</f>
        <v/>
      </c>
      <c r="G943">
        <f>MAX(0,Assumptions!$B$52*(Assumptions!$B$29+E943+F943+G942+H942+I942+Assumptions!$B$4/B943)-Assumptions!$B$30)</f>
        <v/>
      </c>
      <c r="H943">
        <f>Assumptions!$B$23/MIN(Assumptions!$B$24/(Assumptions!$B$29+E943+F943+G943+I942),B943*(1-Assumptions!$B$25))</f>
        <v/>
      </c>
      <c r="I943">
        <f>Assumptions!$B$26/MIN(Assumptions!$B$27/(Assumptions!$B$29+E943+F943+G943+H943),B943*(1-Assumptions!$B$28))</f>
        <v/>
      </c>
      <c r="J943">
        <f>Assumptions!$B$29+E943+F943+G943+H943+I943</f>
        <v/>
      </c>
      <c r="K943">
        <f>J943+Assumptions!$B$4/B943</f>
        <v/>
      </c>
      <c r="L943">
        <f>B943</f>
        <v/>
      </c>
    </row>
    <row r="944">
      <c r="A944" t="inlineStr">
        <is>
          <t>cell(2,1) iter 61</t>
        </is>
      </c>
      <c r="B944">
        <f>Assumptions!$B$54/J943</f>
        <v/>
      </c>
      <c r="C944">
        <f>IF(B944&lt;Assumptions!$B$20,Assumptions!$B$20*(Assumptions!$B$29+Assumptions!$B$4/Assumptions!$B$20)/(Assumptions!$B$29+Assumptions!$B$4/B944),Assumptions!$B$20)</f>
        <v/>
      </c>
      <c r="D944">
        <f>IF(B944&lt;Assumptions!$B$21,Assumptions!$B$21*(Assumptions!$B$29+Assumptions!$B$4/Assumptions!$B$21)/(Assumptions!$B$29+Assumptions!$B$4/B944),Assumptions!$B$21)</f>
        <v/>
      </c>
      <c r="E944">
        <f>Assumptions!$B$37*Assumptions!$B$22/C944-Assumptions!$B$38</f>
        <v/>
      </c>
      <c r="F944">
        <f>Assumptions!$B$39*Assumptions!$B$21/D944-Assumptions!$B$39</f>
        <v/>
      </c>
      <c r="G944">
        <f>MAX(0,Assumptions!$B$52*(Assumptions!$B$29+E944+F944+G943+H943+I943+Assumptions!$B$4/B944)-Assumptions!$B$30)</f>
        <v/>
      </c>
      <c r="H944">
        <f>Assumptions!$B$23/MIN(Assumptions!$B$24/(Assumptions!$B$29+E944+F944+G944+I943),B944*(1-Assumptions!$B$25))</f>
        <v/>
      </c>
      <c r="I944">
        <f>Assumptions!$B$26/MIN(Assumptions!$B$27/(Assumptions!$B$29+E944+F944+G944+H944),B944*(1-Assumptions!$B$28))</f>
        <v/>
      </c>
      <c r="J944">
        <f>Assumptions!$B$29+E944+F944+G944+H944+I944</f>
        <v/>
      </c>
      <c r="K944">
        <f>J944+Assumptions!$B$4/B944</f>
        <v/>
      </c>
      <c r="L944">
        <f>B944</f>
        <v/>
      </c>
    </row>
    <row r="945">
      <c r="A945" t="inlineStr">
        <is>
          <t>cell(2,1) iter 62</t>
        </is>
      </c>
      <c r="B945">
        <f>Assumptions!$B$54/J944</f>
        <v/>
      </c>
      <c r="C945">
        <f>IF(B945&lt;Assumptions!$B$20,Assumptions!$B$20*(Assumptions!$B$29+Assumptions!$B$4/Assumptions!$B$20)/(Assumptions!$B$29+Assumptions!$B$4/B945),Assumptions!$B$20)</f>
        <v/>
      </c>
      <c r="D945">
        <f>IF(B945&lt;Assumptions!$B$21,Assumptions!$B$21*(Assumptions!$B$29+Assumptions!$B$4/Assumptions!$B$21)/(Assumptions!$B$29+Assumptions!$B$4/B945),Assumptions!$B$21)</f>
        <v/>
      </c>
      <c r="E945">
        <f>Assumptions!$B$37*Assumptions!$B$22/C945-Assumptions!$B$38</f>
        <v/>
      </c>
      <c r="F945">
        <f>Assumptions!$B$39*Assumptions!$B$21/D945-Assumptions!$B$39</f>
        <v/>
      </c>
      <c r="G945">
        <f>MAX(0,Assumptions!$B$52*(Assumptions!$B$29+E945+F945+G944+H944+I944+Assumptions!$B$4/B945)-Assumptions!$B$30)</f>
        <v/>
      </c>
      <c r="H945">
        <f>Assumptions!$B$23/MIN(Assumptions!$B$24/(Assumptions!$B$29+E945+F945+G945+I944),B945*(1-Assumptions!$B$25))</f>
        <v/>
      </c>
      <c r="I945">
        <f>Assumptions!$B$26/MIN(Assumptions!$B$27/(Assumptions!$B$29+E945+F945+G945+H945),B945*(1-Assumptions!$B$28))</f>
        <v/>
      </c>
      <c r="J945">
        <f>Assumptions!$B$29+E945+F945+G945+H945+I945</f>
        <v/>
      </c>
      <c r="K945">
        <f>J945+Assumptions!$B$4/B945</f>
        <v/>
      </c>
      <c r="L945">
        <f>B945</f>
        <v/>
      </c>
    </row>
    <row r="946">
      <c r="A946" t="inlineStr">
        <is>
          <t>cell(2,1) iter 63</t>
        </is>
      </c>
      <c r="B946">
        <f>Assumptions!$B$54/J945</f>
        <v/>
      </c>
      <c r="C946">
        <f>IF(B946&lt;Assumptions!$B$20,Assumptions!$B$20*(Assumptions!$B$29+Assumptions!$B$4/Assumptions!$B$20)/(Assumptions!$B$29+Assumptions!$B$4/B946),Assumptions!$B$20)</f>
        <v/>
      </c>
      <c r="D946">
        <f>IF(B946&lt;Assumptions!$B$21,Assumptions!$B$21*(Assumptions!$B$29+Assumptions!$B$4/Assumptions!$B$21)/(Assumptions!$B$29+Assumptions!$B$4/B946),Assumptions!$B$21)</f>
        <v/>
      </c>
      <c r="E946">
        <f>Assumptions!$B$37*Assumptions!$B$22/C946-Assumptions!$B$38</f>
        <v/>
      </c>
      <c r="F946">
        <f>Assumptions!$B$39*Assumptions!$B$21/D946-Assumptions!$B$39</f>
        <v/>
      </c>
      <c r="G946">
        <f>MAX(0,Assumptions!$B$52*(Assumptions!$B$29+E946+F946+G945+H945+I945+Assumptions!$B$4/B946)-Assumptions!$B$30)</f>
        <v/>
      </c>
      <c r="H946">
        <f>Assumptions!$B$23/MIN(Assumptions!$B$24/(Assumptions!$B$29+E946+F946+G946+I945),B946*(1-Assumptions!$B$25))</f>
        <v/>
      </c>
      <c r="I946">
        <f>Assumptions!$B$26/MIN(Assumptions!$B$27/(Assumptions!$B$29+E946+F946+G946+H946),B946*(1-Assumptions!$B$28))</f>
        <v/>
      </c>
      <c r="J946">
        <f>Assumptions!$B$29+E946+F946+G946+H946+I946</f>
        <v/>
      </c>
      <c r="K946">
        <f>J946+Assumptions!$B$4/B946</f>
        <v/>
      </c>
      <c r="L946">
        <f>B946</f>
        <v/>
      </c>
    </row>
    <row r="947">
      <c r="A947" t="inlineStr">
        <is>
          <t>cell(2,1) iter 64</t>
        </is>
      </c>
      <c r="B947">
        <f>Assumptions!$B$54/J946</f>
        <v/>
      </c>
      <c r="C947">
        <f>IF(B947&lt;Assumptions!$B$20,Assumptions!$B$20*(Assumptions!$B$29+Assumptions!$B$4/Assumptions!$B$20)/(Assumptions!$B$29+Assumptions!$B$4/B947),Assumptions!$B$20)</f>
        <v/>
      </c>
      <c r="D947">
        <f>IF(B947&lt;Assumptions!$B$21,Assumptions!$B$21*(Assumptions!$B$29+Assumptions!$B$4/Assumptions!$B$21)/(Assumptions!$B$29+Assumptions!$B$4/B947),Assumptions!$B$21)</f>
        <v/>
      </c>
      <c r="E947">
        <f>Assumptions!$B$37*Assumptions!$B$22/C947-Assumptions!$B$38</f>
        <v/>
      </c>
      <c r="F947">
        <f>Assumptions!$B$39*Assumptions!$B$21/D947-Assumptions!$B$39</f>
        <v/>
      </c>
      <c r="G947">
        <f>MAX(0,Assumptions!$B$52*(Assumptions!$B$29+E947+F947+G946+H946+I946+Assumptions!$B$4/B947)-Assumptions!$B$30)</f>
        <v/>
      </c>
      <c r="H947">
        <f>Assumptions!$B$23/MIN(Assumptions!$B$24/(Assumptions!$B$29+E947+F947+G947+I946),B947*(1-Assumptions!$B$25))</f>
        <v/>
      </c>
      <c r="I947">
        <f>Assumptions!$B$26/MIN(Assumptions!$B$27/(Assumptions!$B$29+E947+F947+G947+H947),B947*(1-Assumptions!$B$28))</f>
        <v/>
      </c>
      <c r="J947">
        <f>Assumptions!$B$29+E947+F947+G947+H947+I947</f>
        <v/>
      </c>
      <c r="K947">
        <f>J947+Assumptions!$B$4/B947</f>
        <v/>
      </c>
      <c r="L947">
        <f>B947</f>
        <v/>
      </c>
    </row>
    <row r="948">
      <c r="A948" t="inlineStr">
        <is>
          <t>cell(2,1) iter 65</t>
        </is>
      </c>
      <c r="B948">
        <f>Assumptions!$B$54/J947</f>
        <v/>
      </c>
      <c r="C948">
        <f>IF(B948&lt;Assumptions!$B$20,Assumptions!$B$20*(Assumptions!$B$29+Assumptions!$B$4/Assumptions!$B$20)/(Assumptions!$B$29+Assumptions!$B$4/B948),Assumptions!$B$20)</f>
        <v/>
      </c>
      <c r="D948">
        <f>IF(B948&lt;Assumptions!$B$21,Assumptions!$B$21*(Assumptions!$B$29+Assumptions!$B$4/Assumptions!$B$21)/(Assumptions!$B$29+Assumptions!$B$4/B948),Assumptions!$B$21)</f>
        <v/>
      </c>
      <c r="E948">
        <f>Assumptions!$B$37*Assumptions!$B$22/C948-Assumptions!$B$38</f>
        <v/>
      </c>
      <c r="F948">
        <f>Assumptions!$B$39*Assumptions!$B$21/D948-Assumptions!$B$39</f>
        <v/>
      </c>
      <c r="G948">
        <f>MAX(0,Assumptions!$B$52*(Assumptions!$B$29+E948+F948+G947+H947+I947+Assumptions!$B$4/B948)-Assumptions!$B$30)</f>
        <v/>
      </c>
      <c r="H948">
        <f>Assumptions!$B$23/MIN(Assumptions!$B$24/(Assumptions!$B$29+E948+F948+G948+I947),B948*(1-Assumptions!$B$25))</f>
        <v/>
      </c>
      <c r="I948">
        <f>Assumptions!$B$26/MIN(Assumptions!$B$27/(Assumptions!$B$29+E948+F948+G948+H948),B948*(1-Assumptions!$B$28))</f>
        <v/>
      </c>
      <c r="J948">
        <f>Assumptions!$B$29+E948+F948+G948+H948+I948</f>
        <v/>
      </c>
      <c r="K948">
        <f>J948+Assumptions!$B$4/B948</f>
        <v/>
      </c>
      <c r="L948">
        <f>B948</f>
        <v/>
      </c>
    </row>
    <row r="949">
      <c r="A949" t="inlineStr">
        <is>
          <t>cell(2,1) iter 66</t>
        </is>
      </c>
      <c r="B949">
        <f>Assumptions!$B$54/J948</f>
        <v/>
      </c>
      <c r="C949">
        <f>IF(B949&lt;Assumptions!$B$20,Assumptions!$B$20*(Assumptions!$B$29+Assumptions!$B$4/Assumptions!$B$20)/(Assumptions!$B$29+Assumptions!$B$4/B949),Assumptions!$B$20)</f>
        <v/>
      </c>
      <c r="D949">
        <f>IF(B949&lt;Assumptions!$B$21,Assumptions!$B$21*(Assumptions!$B$29+Assumptions!$B$4/Assumptions!$B$21)/(Assumptions!$B$29+Assumptions!$B$4/B949),Assumptions!$B$21)</f>
        <v/>
      </c>
      <c r="E949">
        <f>Assumptions!$B$37*Assumptions!$B$22/C949-Assumptions!$B$38</f>
        <v/>
      </c>
      <c r="F949">
        <f>Assumptions!$B$39*Assumptions!$B$21/D949-Assumptions!$B$39</f>
        <v/>
      </c>
      <c r="G949">
        <f>MAX(0,Assumptions!$B$52*(Assumptions!$B$29+E949+F949+G948+H948+I948+Assumptions!$B$4/B949)-Assumptions!$B$30)</f>
        <v/>
      </c>
      <c r="H949">
        <f>Assumptions!$B$23/MIN(Assumptions!$B$24/(Assumptions!$B$29+E949+F949+G949+I948),B949*(1-Assumptions!$B$25))</f>
        <v/>
      </c>
      <c r="I949">
        <f>Assumptions!$B$26/MIN(Assumptions!$B$27/(Assumptions!$B$29+E949+F949+G949+H949),B949*(1-Assumptions!$B$28))</f>
        <v/>
      </c>
      <c r="J949">
        <f>Assumptions!$B$29+E949+F949+G949+H949+I949</f>
        <v/>
      </c>
      <c r="K949">
        <f>J949+Assumptions!$B$4/B949</f>
        <v/>
      </c>
      <c r="L949">
        <f>B949</f>
        <v/>
      </c>
    </row>
    <row r="950">
      <c r="A950" t="inlineStr">
        <is>
          <t>cell(2,1) iter 67</t>
        </is>
      </c>
      <c r="B950">
        <f>Assumptions!$B$54/J949</f>
        <v/>
      </c>
      <c r="C950">
        <f>IF(B950&lt;Assumptions!$B$20,Assumptions!$B$20*(Assumptions!$B$29+Assumptions!$B$4/Assumptions!$B$20)/(Assumptions!$B$29+Assumptions!$B$4/B950),Assumptions!$B$20)</f>
        <v/>
      </c>
      <c r="D950">
        <f>IF(B950&lt;Assumptions!$B$21,Assumptions!$B$21*(Assumptions!$B$29+Assumptions!$B$4/Assumptions!$B$21)/(Assumptions!$B$29+Assumptions!$B$4/B950),Assumptions!$B$21)</f>
        <v/>
      </c>
      <c r="E950">
        <f>Assumptions!$B$37*Assumptions!$B$22/C950-Assumptions!$B$38</f>
        <v/>
      </c>
      <c r="F950">
        <f>Assumptions!$B$39*Assumptions!$B$21/D950-Assumptions!$B$39</f>
        <v/>
      </c>
      <c r="G950">
        <f>MAX(0,Assumptions!$B$52*(Assumptions!$B$29+E950+F950+G949+H949+I949+Assumptions!$B$4/B950)-Assumptions!$B$30)</f>
        <v/>
      </c>
      <c r="H950">
        <f>Assumptions!$B$23/MIN(Assumptions!$B$24/(Assumptions!$B$29+E950+F950+G950+I949),B950*(1-Assumptions!$B$25))</f>
        <v/>
      </c>
      <c r="I950">
        <f>Assumptions!$B$26/MIN(Assumptions!$B$27/(Assumptions!$B$29+E950+F950+G950+H950),B950*(1-Assumptions!$B$28))</f>
        <v/>
      </c>
      <c r="J950">
        <f>Assumptions!$B$29+E950+F950+G950+H950+I950</f>
        <v/>
      </c>
      <c r="K950">
        <f>J950+Assumptions!$B$4/B950</f>
        <v/>
      </c>
      <c r="L950">
        <f>B950</f>
        <v/>
      </c>
    </row>
    <row r="951">
      <c r="A951" t="inlineStr">
        <is>
          <t>cell(2,1) iter 68</t>
        </is>
      </c>
      <c r="B951">
        <f>Assumptions!$B$54/J950</f>
        <v/>
      </c>
      <c r="C951">
        <f>IF(B951&lt;Assumptions!$B$20,Assumptions!$B$20*(Assumptions!$B$29+Assumptions!$B$4/Assumptions!$B$20)/(Assumptions!$B$29+Assumptions!$B$4/B951),Assumptions!$B$20)</f>
        <v/>
      </c>
      <c r="D951">
        <f>IF(B951&lt;Assumptions!$B$21,Assumptions!$B$21*(Assumptions!$B$29+Assumptions!$B$4/Assumptions!$B$21)/(Assumptions!$B$29+Assumptions!$B$4/B951),Assumptions!$B$21)</f>
        <v/>
      </c>
      <c r="E951">
        <f>Assumptions!$B$37*Assumptions!$B$22/C951-Assumptions!$B$38</f>
        <v/>
      </c>
      <c r="F951">
        <f>Assumptions!$B$39*Assumptions!$B$21/D951-Assumptions!$B$39</f>
        <v/>
      </c>
      <c r="G951">
        <f>MAX(0,Assumptions!$B$52*(Assumptions!$B$29+E951+F951+G950+H950+I950+Assumptions!$B$4/B951)-Assumptions!$B$30)</f>
        <v/>
      </c>
      <c r="H951">
        <f>Assumptions!$B$23/MIN(Assumptions!$B$24/(Assumptions!$B$29+E951+F951+G951+I950),B951*(1-Assumptions!$B$25))</f>
        <v/>
      </c>
      <c r="I951">
        <f>Assumptions!$B$26/MIN(Assumptions!$B$27/(Assumptions!$B$29+E951+F951+G951+H951),B951*(1-Assumptions!$B$28))</f>
        <v/>
      </c>
      <c r="J951">
        <f>Assumptions!$B$29+E951+F951+G951+H951+I951</f>
        <v/>
      </c>
      <c r="K951">
        <f>J951+Assumptions!$B$4/B951</f>
        <v/>
      </c>
      <c r="L951">
        <f>B951</f>
        <v/>
      </c>
    </row>
    <row r="952">
      <c r="A952" t="inlineStr">
        <is>
          <t>cell(2,1) iter 69</t>
        </is>
      </c>
      <c r="B952">
        <f>Assumptions!$B$54/J951</f>
        <v/>
      </c>
      <c r="C952">
        <f>IF(B952&lt;Assumptions!$B$20,Assumptions!$B$20*(Assumptions!$B$29+Assumptions!$B$4/Assumptions!$B$20)/(Assumptions!$B$29+Assumptions!$B$4/B952),Assumptions!$B$20)</f>
        <v/>
      </c>
      <c r="D952">
        <f>IF(B952&lt;Assumptions!$B$21,Assumptions!$B$21*(Assumptions!$B$29+Assumptions!$B$4/Assumptions!$B$21)/(Assumptions!$B$29+Assumptions!$B$4/B952),Assumptions!$B$21)</f>
        <v/>
      </c>
      <c r="E952">
        <f>Assumptions!$B$37*Assumptions!$B$22/C952-Assumptions!$B$38</f>
        <v/>
      </c>
      <c r="F952">
        <f>Assumptions!$B$39*Assumptions!$B$21/D952-Assumptions!$B$39</f>
        <v/>
      </c>
      <c r="G952">
        <f>MAX(0,Assumptions!$B$52*(Assumptions!$B$29+E952+F952+G951+H951+I951+Assumptions!$B$4/B952)-Assumptions!$B$30)</f>
        <v/>
      </c>
      <c r="H952">
        <f>Assumptions!$B$23/MIN(Assumptions!$B$24/(Assumptions!$B$29+E952+F952+G952+I951),B952*(1-Assumptions!$B$25))</f>
        <v/>
      </c>
      <c r="I952">
        <f>Assumptions!$B$26/MIN(Assumptions!$B$27/(Assumptions!$B$29+E952+F952+G952+H952),B952*(1-Assumptions!$B$28))</f>
        <v/>
      </c>
      <c r="J952">
        <f>Assumptions!$B$29+E952+F952+G952+H952+I952</f>
        <v/>
      </c>
      <c r="K952">
        <f>J952+Assumptions!$B$4/B952</f>
        <v/>
      </c>
      <c r="L952">
        <f>B952</f>
        <v/>
      </c>
    </row>
    <row r="953">
      <c r="A953" t="inlineStr">
        <is>
          <t>cell(2,1) iter 70</t>
        </is>
      </c>
      <c r="B953">
        <f>Assumptions!$B$54/J952</f>
        <v/>
      </c>
      <c r="C953">
        <f>IF(B953&lt;Assumptions!$B$20,Assumptions!$B$20*(Assumptions!$B$29+Assumptions!$B$4/Assumptions!$B$20)/(Assumptions!$B$29+Assumptions!$B$4/B953),Assumptions!$B$20)</f>
        <v/>
      </c>
      <c r="D953">
        <f>IF(B953&lt;Assumptions!$B$21,Assumptions!$B$21*(Assumptions!$B$29+Assumptions!$B$4/Assumptions!$B$21)/(Assumptions!$B$29+Assumptions!$B$4/B953),Assumptions!$B$21)</f>
        <v/>
      </c>
      <c r="E953">
        <f>Assumptions!$B$37*Assumptions!$B$22/C953-Assumptions!$B$38</f>
        <v/>
      </c>
      <c r="F953">
        <f>Assumptions!$B$39*Assumptions!$B$21/D953-Assumptions!$B$39</f>
        <v/>
      </c>
      <c r="G953">
        <f>MAX(0,Assumptions!$B$52*(Assumptions!$B$29+E953+F953+G952+H952+I952+Assumptions!$B$4/B953)-Assumptions!$B$30)</f>
        <v/>
      </c>
      <c r="H953">
        <f>Assumptions!$B$23/MIN(Assumptions!$B$24/(Assumptions!$B$29+E953+F953+G953+I952),B953*(1-Assumptions!$B$25))</f>
        <v/>
      </c>
      <c r="I953">
        <f>Assumptions!$B$26/MIN(Assumptions!$B$27/(Assumptions!$B$29+E953+F953+G953+H953),B953*(1-Assumptions!$B$28))</f>
        <v/>
      </c>
      <c r="J953">
        <f>Assumptions!$B$29+E953+F953+G953+H953+I953</f>
        <v/>
      </c>
      <c r="K953">
        <f>J953+Assumptions!$B$4/B953</f>
        <v/>
      </c>
      <c r="L953">
        <f>B953</f>
        <v/>
      </c>
    </row>
    <row r="954">
      <c r="A954" t="inlineStr">
        <is>
          <t>cell(2,1) iter 71</t>
        </is>
      </c>
      <c r="B954">
        <f>Assumptions!$B$54/J953</f>
        <v/>
      </c>
      <c r="C954">
        <f>IF(B954&lt;Assumptions!$B$20,Assumptions!$B$20*(Assumptions!$B$29+Assumptions!$B$4/Assumptions!$B$20)/(Assumptions!$B$29+Assumptions!$B$4/B954),Assumptions!$B$20)</f>
        <v/>
      </c>
      <c r="D954">
        <f>IF(B954&lt;Assumptions!$B$21,Assumptions!$B$21*(Assumptions!$B$29+Assumptions!$B$4/Assumptions!$B$21)/(Assumptions!$B$29+Assumptions!$B$4/B954),Assumptions!$B$21)</f>
        <v/>
      </c>
      <c r="E954">
        <f>Assumptions!$B$37*Assumptions!$B$22/C954-Assumptions!$B$38</f>
        <v/>
      </c>
      <c r="F954">
        <f>Assumptions!$B$39*Assumptions!$B$21/D954-Assumptions!$B$39</f>
        <v/>
      </c>
      <c r="G954">
        <f>MAX(0,Assumptions!$B$52*(Assumptions!$B$29+E954+F954+G953+H953+I953+Assumptions!$B$4/B954)-Assumptions!$B$30)</f>
        <v/>
      </c>
      <c r="H954">
        <f>Assumptions!$B$23/MIN(Assumptions!$B$24/(Assumptions!$B$29+E954+F954+G954+I953),B954*(1-Assumptions!$B$25))</f>
        <v/>
      </c>
      <c r="I954">
        <f>Assumptions!$B$26/MIN(Assumptions!$B$27/(Assumptions!$B$29+E954+F954+G954+H954),B954*(1-Assumptions!$B$28))</f>
        <v/>
      </c>
      <c r="J954">
        <f>Assumptions!$B$29+E954+F954+G954+H954+I954</f>
        <v/>
      </c>
      <c r="K954">
        <f>J954+Assumptions!$B$4/B954</f>
        <v/>
      </c>
      <c r="L954">
        <f>B954</f>
        <v/>
      </c>
    </row>
    <row r="955">
      <c r="A955" t="inlineStr">
        <is>
          <t>cell(2,1) iter 72</t>
        </is>
      </c>
      <c r="B955">
        <f>Assumptions!$B$54/J954</f>
        <v/>
      </c>
      <c r="C955">
        <f>IF(B955&lt;Assumptions!$B$20,Assumptions!$B$20*(Assumptions!$B$29+Assumptions!$B$4/Assumptions!$B$20)/(Assumptions!$B$29+Assumptions!$B$4/B955),Assumptions!$B$20)</f>
        <v/>
      </c>
      <c r="D955">
        <f>IF(B955&lt;Assumptions!$B$21,Assumptions!$B$21*(Assumptions!$B$29+Assumptions!$B$4/Assumptions!$B$21)/(Assumptions!$B$29+Assumptions!$B$4/B955),Assumptions!$B$21)</f>
        <v/>
      </c>
      <c r="E955">
        <f>Assumptions!$B$37*Assumptions!$B$22/C955-Assumptions!$B$38</f>
        <v/>
      </c>
      <c r="F955">
        <f>Assumptions!$B$39*Assumptions!$B$21/D955-Assumptions!$B$39</f>
        <v/>
      </c>
      <c r="G955">
        <f>MAX(0,Assumptions!$B$52*(Assumptions!$B$29+E955+F955+G954+H954+I954+Assumptions!$B$4/B955)-Assumptions!$B$30)</f>
        <v/>
      </c>
      <c r="H955">
        <f>Assumptions!$B$23/MIN(Assumptions!$B$24/(Assumptions!$B$29+E955+F955+G955+I954),B955*(1-Assumptions!$B$25))</f>
        <v/>
      </c>
      <c r="I955">
        <f>Assumptions!$B$26/MIN(Assumptions!$B$27/(Assumptions!$B$29+E955+F955+G955+H955),B955*(1-Assumptions!$B$28))</f>
        <v/>
      </c>
      <c r="J955">
        <f>Assumptions!$B$29+E955+F955+G955+H955+I955</f>
        <v/>
      </c>
      <c r="K955">
        <f>J955+Assumptions!$B$4/B955</f>
        <v/>
      </c>
      <c r="L955">
        <f>B955</f>
        <v/>
      </c>
    </row>
    <row r="956">
      <c r="A956" t="inlineStr">
        <is>
          <t>cell(2,1) iter 73</t>
        </is>
      </c>
      <c r="B956">
        <f>Assumptions!$B$54/J955</f>
        <v/>
      </c>
      <c r="C956">
        <f>IF(B956&lt;Assumptions!$B$20,Assumptions!$B$20*(Assumptions!$B$29+Assumptions!$B$4/Assumptions!$B$20)/(Assumptions!$B$29+Assumptions!$B$4/B956),Assumptions!$B$20)</f>
        <v/>
      </c>
      <c r="D956">
        <f>IF(B956&lt;Assumptions!$B$21,Assumptions!$B$21*(Assumptions!$B$29+Assumptions!$B$4/Assumptions!$B$21)/(Assumptions!$B$29+Assumptions!$B$4/B956),Assumptions!$B$21)</f>
        <v/>
      </c>
      <c r="E956">
        <f>Assumptions!$B$37*Assumptions!$B$22/C956-Assumptions!$B$38</f>
        <v/>
      </c>
      <c r="F956">
        <f>Assumptions!$B$39*Assumptions!$B$21/D956-Assumptions!$B$39</f>
        <v/>
      </c>
      <c r="G956">
        <f>MAX(0,Assumptions!$B$52*(Assumptions!$B$29+E956+F956+G955+H955+I955+Assumptions!$B$4/B956)-Assumptions!$B$30)</f>
        <v/>
      </c>
      <c r="H956">
        <f>Assumptions!$B$23/MIN(Assumptions!$B$24/(Assumptions!$B$29+E956+F956+G956+I955),B956*(1-Assumptions!$B$25))</f>
        <v/>
      </c>
      <c r="I956">
        <f>Assumptions!$B$26/MIN(Assumptions!$B$27/(Assumptions!$B$29+E956+F956+G956+H956),B956*(1-Assumptions!$B$28))</f>
        <v/>
      </c>
      <c r="J956">
        <f>Assumptions!$B$29+E956+F956+G956+H956+I956</f>
        <v/>
      </c>
      <c r="K956">
        <f>J956+Assumptions!$B$4/B956</f>
        <v/>
      </c>
      <c r="L956">
        <f>B956</f>
        <v/>
      </c>
    </row>
    <row r="957">
      <c r="A957" t="inlineStr">
        <is>
          <t>cell(2,1) iter 74</t>
        </is>
      </c>
      <c r="B957">
        <f>Assumptions!$B$54/J956</f>
        <v/>
      </c>
      <c r="C957">
        <f>IF(B957&lt;Assumptions!$B$20,Assumptions!$B$20*(Assumptions!$B$29+Assumptions!$B$4/Assumptions!$B$20)/(Assumptions!$B$29+Assumptions!$B$4/B957),Assumptions!$B$20)</f>
        <v/>
      </c>
      <c r="D957">
        <f>IF(B957&lt;Assumptions!$B$21,Assumptions!$B$21*(Assumptions!$B$29+Assumptions!$B$4/Assumptions!$B$21)/(Assumptions!$B$29+Assumptions!$B$4/B957),Assumptions!$B$21)</f>
        <v/>
      </c>
      <c r="E957">
        <f>Assumptions!$B$37*Assumptions!$B$22/C957-Assumptions!$B$38</f>
        <v/>
      </c>
      <c r="F957">
        <f>Assumptions!$B$39*Assumptions!$B$21/D957-Assumptions!$B$39</f>
        <v/>
      </c>
      <c r="G957">
        <f>MAX(0,Assumptions!$B$52*(Assumptions!$B$29+E957+F957+G956+H956+I956+Assumptions!$B$4/B957)-Assumptions!$B$30)</f>
        <v/>
      </c>
      <c r="H957">
        <f>Assumptions!$B$23/MIN(Assumptions!$B$24/(Assumptions!$B$29+E957+F957+G957+I956),B957*(1-Assumptions!$B$25))</f>
        <v/>
      </c>
      <c r="I957">
        <f>Assumptions!$B$26/MIN(Assumptions!$B$27/(Assumptions!$B$29+E957+F957+G957+H957),B957*(1-Assumptions!$B$28))</f>
        <v/>
      </c>
      <c r="J957">
        <f>Assumptions!$B$29+E957+F957+G957+H957+I957</f>
        <v/>
      </c>
      <c r="K957">
        <f>J957+Assumptions!$B$4/B957</f>
        <v/>
      </c>
      <c r="L957">
        <f>B957</f>
        <v/>
      </c>
    </row>
    <row r="958">
      <c r="A958" t="inlineStr">
        <is>
          <t>cell(2,1) iter 75</t>
        </is>
      </c>
      <c r="B958">
        <f>Assumptions!$B$54/J957</f>
        <v/>
      </c>
      <c r="C958">
        <f>IF(B958&lt;Assumptions!$B$20,Assumptions!$B$20*(Assumptions!$B$29+Assumptions!$B$4/Assumptions!$B$20)/(Assumptions!$B$29+Assumptions!$B$4/B958),Assumptions!$B$20)</f>
        <v/>
      </c>
      <c r="D958">
        <f>IF(B958&lt;Assumptions!$B$21,Assumptions!$B$21*(Assumptions!$B$29+Assumptions!$B$4/Assumptions!$B$21)/(Assumptions!$B$29+Assumptions!$B$4/B958),Assumptions!$B$21)</f>
        <v/>
      </c>
      <c r="E958">
        <f>Assumptions!$B$37*Assumptions!$B$22/C958-Assumptions!$B$38</f>
        <v/>
      </c>
      <c r="F958">
        <f>Assumptions!$B$39*Assumptions!$B$21/D958-Assumptions!$B$39</f>
        <v/>
      </c>
      <c r="G958">
        <f>MAX(0,Assumptions!$B$52*(Assumptions!$B$29+E958+F958+G957+H957+I957+Assumptions!$B$4/B958)-Assumptions!$B$30)</f>
        <v/>
      </c>
      <c r="H958">
        <f>Assumptions!$B$23/MIN(Assumptions!$B$24/(Assumptions!$B$29+E958+F958+G958+I957),B958*(1-Assumptions!$B$25))</f>
        <v/>
      </c>
      <c r="I958">
        <f>Assumptions!$B$26/MIN(Assumptions!$B$27/(Assumptions!$B$29+E958+F958+G958+H958),B958*(1-Assumptions!$B$28))</f>
        <v/>
      </c>
      <c r="J958">
        <f>Assumptions!$B$29+E958+F958+G958+H958+I958</f>
        <v/>
      </c>
      <c r="K958">
        <f>J958+Assumptions!$B$4/B958</f>
        <v/>
      </c>
      <c r="L958">
        <f>B958</f>
        <v/>
      </c>
    </row>
    <row r="959">
      <c r="A959" t="inlineStr">
        <is>
          <t>cell(2,1) iter 76</t>
        </is>
      </c>
      <c r="B959">
        <f>Assumptions!$B$54/J958</f>
        <v/>
      </c>
      <c r="C959">
        <f>IF(B959&lt;Assumptions!$B$20,Assumptions!$B$20*(Assumptions!$B$29+Assumptions!$B$4/Assumptions!$B$20)/(Assumptions!$B$29+Assumptions!$B$4/B959),Assumptions!$B$20)</f>
        <v/>
      </c>
      <c r="D959">
        <f>IF(B959&lt;Assumptions!$B$21,Assumptions!$B$21*(Assumptions!$B$29+Assumptions!$B$4/Assumptions!$B$21)/(Assumptions!$B$29+Assumptions!$B$4/B959),Assumptions!$B$21)</f>
        <v/>
      </c>
      <c r="E959">
        <f>Assumptions!$B$37*Assumptions!$B$22/C959-Assumptions!$B$38</f>
        <v/>
      </c>
      <c r="F959">
        <f>Assumptions!$B$39*Assumptions!$B$21/D959-Assumptions!$B$39</f>
        <v/>
      </c>
      <c r="G959">
        <f>MAX(0,Assumptions!$B$52*(Assumptions!$B$29+E959+F959+G958+H958+I958+Assumptions!$B$4/B959)-Assumptions!$B$30)</f>
        <v/>
      </c>
      <c r="H959">
        <f>Assumptions!$B$23/MIN(Assumptions!$B$24/(Assumptions!$B$29+E959+F959+G959+I958),B959*(1-Assumptions!$B$25))</f>
        <v/>
      </c>
      <c r="I959">
        <f>Assumptions!$B$26/MIN(Assumptions!$B$27/(Assumptions!$B$29+E959+F959+G959+H959),B959*(1-Assumptions!$B$28))</f>
        <v/>
      </c>
      <c r="J959">
        <f>Assumptions!$B$29+E959+F959+G959+H959+I959</f>
        <v/>
      </c>
      <c r="K959">
        <f>J959+Assumptions!$B$4/B959</f>
        <v/>
      </c>
      <c r="L959">
        <f>B959</f>
        <v/>
      </c>
    </row>
    <row r="960">
      <c r="A960" t="inlineStr">
        <is>
          <t>cell(2,1) iter 77</t>
        </is>
      </c>
      <c r="B960">
        <f>Assumptions!$B$54/J959</f>
        <v/>
      </c>
      <c r="C960">
        <f>IF(B960&lt;Assumptions!$B$20,Assumptions!$B$20*(Assumptions!$B$29+Assumptions!$B$4/Assumptions!$B$20)/(Assumptions!$B$29+Assumptions!$B$4/B960),Assumptions!$B$20)</f>
        <v/>
      </c>
      <c r="D960">
        <f>IF(B960&lt;Assumptions!$B$21,Assumptions!$B$21*(Assumptions!$B$29+Assumptions!$B$4/Assumptions!$B$21)/(Assumptions!$B$29+Assumptions!$B$4/B960),Assumptions!$B$21)</f>
        <v/>
      </c>
      <c r="E960">
        <f>Assumptions!$B$37*Assumptions!$B$22/C960-Assumptions!$B$38</f>
        <v/>
      </c>
      <c r="F960">
        <f>Assumptions!$B$39*Assumptions!$B$21/D960-Assumptions!$B$39</f>
        <v/>
      </c>
      <c r="G960">
        <f>MAX(0,Assumptions!$B$52*(Assumptions!$B$29+E960+F960+G959+H959+I959+Assumptions!$B$4/B960)-Assumptions!$B$30)</f>
        <v/>
      </c>
      <c r="H960">
        <f>Assumptions!$B$23/MIN(Assumptions!$B$24/(Assumptions!$B$29+E960+F960+G960+I959),B960*(1-Assumptions!$B$25))</f>
        <v/>
      </c>
      <c r="I960">
        <f>Assumptions!$B$26/MIN(Assumptions!$B$27/(Assumptions!$B$29+E960+F960+G960+H960),B960*(1-Assumptions!$B$28))</f>
        <v/>
      </c>
      <c r="J960">
        <f>Assumptions!$B$29+E960+F960+G960+H960+I960</f>
        <v/>
      </c>
      <c r="K960">
        <f>J960+Assumptions!$B$4/B960</f>
        <v/>
      </c>
      <c r="L960">
        <f>B960</f>
        <v/>
      </c>
    </row>
    <row r="961">
      <c r="A961" t="inlineStr">
        <is>
          <t>cell(2,1) iter 78</t>
        </is>
      </c>
      <c r="B961">
        <f>Assumptions!$B$54/J960</f>
        <v/>
      </c>
      <c r="C961">
        <f>IF(B961&lt;Assumptions!$B$20,Assumptions!$B$20*(Assumptions!$B$29+Assumptions!$B$4/Assumptions!$B$20)/(Assumptions!$B$29+Assumptions!$B$4/B961),Assumptions!$B$20)</f>
        <v/>
      </c>
      <c r="D961">
        <f>IF(B961&lt;Assumptions!$B$21,Assumptions!$B$21*(Assumptions!$B$29+Assumptions!$B$4/Assumptions!$B$21)/(Assumptions!$B$29+Assumptions!$B$4/B961),Assumptions!$B$21)</f>
        <v/>
      </c>
      <c r="E961">
        <f>Assumptions!$B$37*Assumptions!$B$22/C961-Assumptions!$B$38</f>
        <v/>
      </c>
      <c r="F961">
        <f>Assumptions!$B$39*Assumptions!$B$21/D961-Assumptions!$B$39</f>
        <v/>
      </c>
      <c r="G961">
        <f>MAX(0,Assumptions!$B$52*(Assumptions!$B$29+E961+F961+G960+H960+I960+Assumptions!$B$4/B961)-Assumptions!$B$30)</f>
        <v/>
      </c>
      <c r="H961">
        <f>Assumptions!$B$23/MIN(Assumptions!$B$24/(Assumptions!$B$29+E961+F961+G961+I960),B961*(1-Assumptions!$B$25))</f>
        <v/>
      </c>
      <c r="I961">
        <f>Assumptions!$B$26/MIN(Assumptions!$B$27/(Assumptions!$B$29+E961+F961+G961+H961),B961*(1-Assumptions!$B$28))</f>
        <v/>
      </c>
      <c r="J961">
        <f>Assumptions!$B$29+E961+F961+G961+H961+I961</f>
        <v/>
      </c>
      <c r="K961">
        <f>J961+Assumptions!$B$4/B961</f>
        <v/>
      </c>
      <c r="L961">
        <f>B961</f>
        <v/>
      </c>
    </row>
    <row r="962">
      <c r="A962" t="inlineStr">
        <is>
          <t>cell(2,1) iter 79</t>
        </is>
      </c>
      <c r="B962">
        <f>Assumptions!$B$54/J961</f>
        <v/>
      </c>
      <c r="C962">
        <f>IF(B962&lt;Assumptions!$B$20,Assumptions!$B$20*(Assumptions!$B$29+Assumptions!$B$4/Assumptions!$B$20)/(Assumptions!$B$29+Assumptions!$B$4/B962),Assumptions!$B$20)</f>
        <v/>
      </c>
      <c r="D962">
        <f>IF(B962&lt;Assumptions!$B$21,Assumptions!$B$21*(Assumptions!$B$29+Assumptions!$B$4/Assumptions!$B$21)/(Assumptions!$B$29+Assumptions!$B$4/B962),Assumptions!$B$21)</f>
        <v/>
      </c>
      <c r="E962">
        <f>Assumptions!$B$37*Assumptions!$B$22/C962-Assumptions!$B$38</f>
        <v/>
      </c>
      <c r="F962">
        <f>Assumptions!$B$39*Assumptions!$B$21/D962-Assumptions!$B$39</f>
        <v/>
      </c>
      <c r="G962">
        <f>MAX(0,Assumptions!$B$52*(Assumptions!$B$29+E962+F962+G961+H961+I961+Assumptions!$B$4/B962)-Assumptions!$B$30)</f>
        <v/>
      </c>
      <c r="H962">
        <f>Assumptions!$B$23/MIN(Assumptions!$B$24/(Assumptions!$B$29+E962+F962+G962+I961),B962*(1-Assumptions!$B$25))</f>
        <v/>
      </c>
      <c r="I962">
        <f>Assumptions!$B$26/MIN(Assumptions!$B$27/(Assumptions!$B$29+E962+F962+G962+H962),B962*(1-Assumptions!$B$28))</f>
        <v/>
      </c>
      <c r="J962">
        <f>Assumptions!$B$29+E962+F962+G962+H962+I962</f>
        <v/>
      </c>
      <c r="K962">
        <f>J962+Assumptions!$B$4/B962</f>
        <v/>
      </c>
      <c r="L962">
        <f>B962</f>
        <v/>
      </c>
    </row>
    <row r="963">
      <c r="A963" t="inlineStr">
        <is>
          <t>cell(2,1) iter 80</t>
        </is>
      </c>
      <c r="B963">
        <f>Assumptions!$B$54/J962</f>
        <v/>
      </c>
      <c r="C963">
        <f>IF(B963&lt;Assumptions!$B$20,Assumptions!$B$20*(Assumptions!$B$29+Assumptions!$B$4/Assumptions!$B$20)/(Assumptions!$B$29+Assumptions!$B$4/B963),Assumptions!$B$20)</f>
        <v/>
      </c>
      <c r="D963">
        <f>IF(B963&lt;Assumptions!$B$21,Assumptions!$B$21*(Assumptions!$B$29+Assumptions!$B$4/Assumptions!$B$21)/(Assumptions!$B$29+Assumptions!$B$4/B963),Assumptions!$B$21)</f>
        <v/>
      </c>
      <c r="E963">
        <f>Assumptions!$B$37*Assumptions!$B$22/C963-Assumptions!$B$38</f>
        <v/>
      </c>
      <c r="F963">
        <f>Assumptions!$B$39*Assumptions!$B$21/D963-Assumptions!$B$39</f>
        <v/>
      </c>
      <c r="G963">
        <f>MAX(0,Assumptions!$B$52*(Assumptions!$B$29+E963+F963+G962+H962+I962+Assumptions!$B$4/B963)-Assumptions!$B$30)</f>
        <v/>
      </c>
      <c r="H963">
        <f>Assumptions!$B$23/MIN(Assumptions!$B$24/(Assumptions!$B$29+E963+F963+G963+I962),B963*(1-Assumptions!$B$25))</f>
        <v/>
      </c>
      <c r="I963">
        <f>Assumptions!$B$26/MIN(Assumptions!$B$27/(Assumptions!$B$29+E963+F963+G963+H963),B963*(1-Assumptions!$B$28))</f>
        <v/>
      </c>
      <c r="J963">
        <f>Assumptions!$B$29+E963+F963+G963+H963+I963</f>
        <v/>
      </c>
      <c r="K963">
        <f>J963+Assumptions!$B$4/B963</f>
        <v/>
      </c>
      <c r="L963">
        <f>B963</f>
        <v/>
      </c>
    </row>
    <row r="966">
      <c r="A966" s="1" t="inlineStr">
        <is>
          <t>Waterfall ladder ($2B exit)</t>
        </is>
      </c>
    </row>
    <row r="967">
      <c r="A967" s="1" t="inlineStr">
        <is>
          <t>Step</t>
        </is>
      </c>
      <c r="B967" s="1" t="inlineStr">
        <is>
          <t>F_el</t>
        </is>
      </c>
      <c r="C967" s="1" t="inlineStr">
        <is>
          <t>E_el</t>
        </is>
      </c>
      <c r="D967" s="1" t="inlineStr">
        <is>
          <t>D_el</t>
        </is>
      </c>
      <c r="E967" s="1" t="inlineStr">
        <is>
          <t>C_el</t>
        </is>
      </c>
      <c r="F967" s="1" t="inlineStr">
        <is>
          <t>B_el</t>
        </is>
      </c>
      <c r="G967" s="1" t="inlineStr">
        <is>
          <t>A_el</t>
        </is>
      </c>
      <c r="H967" s="1" t="inlineStr">
        <is>
          <t>Seed_el</t>
        </is>
      </c>
      <c r="I967" s="1" t="inlineStr">
        <is>
          <t>prefs</t>
        </is>
      </c>
      <c r="J967" s="1" t="inlineStr">
        <is>
          <t>conv_sh</t>
        </is>
      </c>
      <c r="K967" s="1" t="inlineStr">
        <is>
          <t>cpool</t>
        </is>
      </c>
      <c r="L967" s="1" t="inlineStr">
        <is>
          <t>ITM_PPS</t>
        </is>
      </c>
      <c r="M967" s="1" t="inlineStr">
        <is>
          <t>ITM?</t>
        </is>
      </c>
      <c r="N967" s="1" t="inlineStr">
        <is>
          <t>common_PPS</t>
        </is>
      </c>
      <c r="O967" s="1" t="inlineStr">
        <is>
          <t>opt_proc</t>
        </is>
      </c>
    </row>
    <row r="968">
      <c r="A968" t="inlineStr">
        <is>
          <t>seed (all convert)</t>
        </is>
      </c>
      <c r="B968">
        <f>"convert"</f>
        <v/>
      </c>
      <c r="C968">
        <f>"convert"</f>
        <v/>
      </c>
      <c r="D968">
        <f>"convert"</f>
        <v/>
      </c>
      <c r="E968">
        <f>"convert"</f>
        <v/>
      </c>
      <c r="F968">
        <f>"convert"</f>
        <v/>
      </c>
      <c r="G968">
        <f>"convert"</f>
        <v/>
      </c>
      <c r="H968">
        <f>"convert"</f>
        <v/>
      </c>
      <c r="I968">
        <f>IF(B968="preference",Assumptions!$B$4,0)+IF(C968="preference",Assumptions!$B$45,0)+IF(D968="preference",Assumptions!$B$44,0)+IF(E968="preference",Assumptions!$B$43,0)+IF(F968="preference",Assumptions!$B$42,0)+IF(G968="preference",Assumptions!$B$41,0)+IF(H968="preference",Assumptions!$B$40,0)</f>
        <v/>
      </c>
      <c r="J968">
        <f>IF(B968="convert",(Assumptions!$B$4/B963),0)+IF(C968="convert",(Assumptions!$B$39+F963),0)+IF(D968="convert",(Assumptions!$B$38+E963),0)+IF(E968="convert",Assumptions!$B$36,0)+IF(F968="convert",Assumptions!$B$35,0)+IF(G968="convert",Assumptions!$B$34,0)+IF(H968="convert",Assumptions!$B$33,0)</f>
        <v/>
      </c>
      <c r="K968">
        <f>(Assumptions!$B$46+Assumptions!$B$47+Assumptions!$B$48)+Assumptions!$B$49+(H963+I963)+J968</f>
        <v/>
      </c>
      <c r="L968">
        <f>(Assumptions!$B$13-I968+Assumptions!$B$31*Assumptions!$B$10)/(K968+Assumptions!$B$31)</f>
        <v/>
      </c>
      <c r="M968">
        <f>IF(L968&gt;Assumptions!$B$10,"yes","no")</f>
        <v/>
      </c>
      <c r="N968">
        <f>IF(M968="yes",L968,MAX(0,(Assumptions!$B$13-I968)/K968))</f>
        <v/>
      </c>
      <c r="O968">
        <f>IF(M968="yes",Assumptions!$B$31*(N968-Assumptions!$B$10),0)</f>
        <v/>
      </c>
    </row>
    <row r="969">
      <c r="A969" t="inlineStr">
        <is>
          <t>iter 1</t>
        </is>
      </c>
      <c r="B969">
        <f>IF(Assumptions!$B$4&gt;(Assumptions!$B$4/B963)*N968,"preference","convert")</f>
        <v/>
      </c>
      <c r="C969">
        <f>IF(Assumptions!$B$45&gt;(Assumptions!$B$39+F963)*N968,"preference","convert")</f>
        <v/>
      </c>
      <c r="D969">
        <f>IF(Assumptions!$B$44&gt;(Assumptions!$B$38+E963)*N968,"preference","convert")</f>
        <v/>
      </c>
      <c r="E969">
        <f>IF(Assumptions!$B$43&gt;Assumptions!$B$36*N968,"preference","convert")</f>
        <v/>
      </c>
      <c r="F969">
        <f>IF(Assumptions!$B$42&gt;Assumptions!$B$35*N968,"preference","convert")</f>
        <v/>
      </c>
      <c r="G969">
        <f>IF(Assumptions!$B$41&gt;Assumptions!$B$34*N968,"preference","convert")</f>
        <v/>
      </c>
      <c r="H969">
        <f>IF(Assumptions!$B$40&gt;Assumptions!$B$33*N968,"preference","convert")</f>
        <v/>
      </c>
      <c r="I969">
        <f>IF(B969="preference",Assumptions!$B$4,0)+IF(C969="preference",Assumptions!$B$45,0)+IF(D969="preference",Assumptions!$B$44,0)+IF(E969="preference",Assumptions!$B$43,0)+IF(F969="preference",Assumptions!$B$42,0)+IF(G969="preference",Assumptions!$B$41,0)+IF(H969="preference",Assumptions!$B$40,0)</f>
        <v/>
      </c>
      <c r="J969">
        <f>IF(B969="convert",(Assumptions!$B$4/B963),0)+IF(C969="convert",(Assumptions!$B$39+F963),0)+IF(D969="convert",(Assumptions!$B$38+E963),0)+IF(E969="convert",Assumptions!$B$36,0)+IF(F969="convert",Assumptions!$B$35,0)+IF(G969="convert",Assumptions!$B$34,0)+IF(H969="convert",Assumptions!$B$33,0)</f>
        <v/>
      </c>
      <c r="K969">
        <f>(Assumptions!$B$46+Assumptions!$B$47+Assumptions!$B$48)+Assumptions!$B$49+(H963+I963)+J969</f>
        <v/>
      </c>
      <c r="L969">
        <f>(Assumptions!$B$13-I969+Assumptions!$B$31*Assumptions!$B$10)/(K969+Assumptions!$B$31)</f>
        <v/>
      </c>
      <c r="M969">
        <f>IF(L969&gt;Assumptions!$B$10,"yes","no")</f>
        <v/>
      </c>
      <c r="N969">
        <f>IF(M969="yes",L969,MAX(0,(Assumptions!$B$13-I969)/K969))</f>
        <v/>
      </c>
      <c r="O969">
        <f>IF(M969="yes",Assumptions!$B$31*(N969-Assumptions!$B$10),0)</f>
        <v/>
      </c>
    </row>
    <row r="970">
      <c r="A970" t="inlineStr">
        <is>
          <t>iter 2</t>
        </is>
      </c>
      <c r="B970">
        <f>IF(Assumptions!$B$4&gt;(Assumptions!$B$4/B963)*N969,"preference","convert")</f>
        <v/>
      </c>
      <c r="C970">
        <f>IF(Assumptions!$B$45&gt;(Assumptions!$B$39+F963)*N969,"preference","convert")</f>
        <v/>
      </c>
      <c r="D970">
        <f>IF(Assumptions!$B$44&gt;(Assumptions!$B$38+E963)*N969,"preference","convert")</f>
        <v/>
      </c>
      <c r="E970">
        <f>IF(Assumptions!$B$43&gt;Assumptions!$B$36*N969,"preference","convert")</f>
        <v/>
      </c>
      <c r="F970">
        <f>IF(Assumptions!$B$42&gt;Assumptions!$B$35*N969,"preference","convert")</f>
        <v/>
      </c>
      <c r="G970">
        <f>IF(Assumptions!$B$41&gt;Assumptions!$B$34*N969,"preference","convert")</f>
        <v/>
      </c>
      <c r="H970">
        <f>IF(Assumptions!$B$40&gt;Assumptions!$B$33*N969,"preference","convert")</f>
        <v/>
      </c>
      <c r="I970">
        <f>IF(B970="preference",Assumptions!$B$4,0)+IF(C970="preference",Assumptions!$B$45,0)+IF(D970="preference",Assumptions!$B$44,0)+IF(E970="preference",Assumptions!$B$43,0)+IF(F970="preference",Assumptions!$B$42,0)+IF(G970="preference",Assumptions!$B$41,0)+IF(H970="preference",Assumptions!$B$40,0)</f>
        <v/>
      </c>
      <c r="J970">
        <f>IF(B970="convert",(Assumptions!$B$4/B963),0)+IF(C970="convert",(Assumptions!$B$39+F963),0)+IF(D970="convert",(Assumptions!$B$38+E963),0)+IF(E970="convert",Assumptions!$B$36,0)+IF(F970="convert",Assumptions!$B$35,0)+IF(G970="convert",Assumptions!$B$34,0)+IF(H970="convert",Assumptions!$B$33,0)</f>
        <v/>
      </c>
      <c r="K970">
        <f>(Assumptions!$B$46+Assumptions!$B$47+Assumptions!$B$48)+Assumptions!$B$49+(H963+I963)+J970</f>
        <v/>
      </c>
      <c r="L970">
        <f>(Assumptions!$B$13-I970+Assumptions!$B$31*Assumptions!$B$10)/(K970+Assumptions!$B$31)</f>
        <v/>
      </c>
      <c r="M970">
        <f>IF(L970&gt;Assumptions!$B$10,"yes","no")</f>
        <v/>
      </c>
      <c r="N970">
        <f>IF(M970="yes",L970,MAX(0,(Assumptions!$B$13-I970)/K970))</f>
        <v/>
      </c>
      <c r="O970">
        <f>IF(M970="yes",Assumptions!$B$31*(N970-Assumptions!$B$10),0)</f>
        <v/>
      </c>
    </row>
    <row r="971">
      <c r="A971" t="inlineStr">
        <is>
          <t>iter 3</t>
        </is>
      </c>
      <c r="B971">
        <f>IF(Assumptions!$B$4&gt;(Assumptions!$B$4/B963)*N970,"preference","convert")</f>
        <v/>
      </c>
      <c r="C971">
        <f>IF(Assumptions!$B$45&gt;(Assumptions!$B$39+F963)*N970,"preference","convert")</f>
        <v/>
      </c>
      <c r="D971">
        <f>IF(Assumptions!$B$44&gt;(Assumptions!$B$38+E963)*N970,"preference","convert")</f>
        <v/>
      </c>
      <c r="E971">
        <f>IF(Assumptions!$B$43&gt;Assumptions!$B$36*N970,"preference","convert")</f>
        <v/>
      </c>
      <c r="F971">
        <f>IF(Assumptions!$B$42&gt;Assumptions!$B$35*N970,"preference","convert")</f>
        <v/>
      </c>
      <c r="G971">
        <f>IF(Assumptions!$B$41&gt;Assumptions!$B$34*N970,"preference","convert")</f>
        <v/>
      </c>
      <c r="H971">
        <f>IF(Assumptions!$B$40&gt;Assumptions!$B$33*N970,"preference","convert")</f>
        <v/>
      </c>
      <c r="I971">
        <f>IF(B971="preference",Assumptions!$B$4,0)+IF(C971="preference",Assumptions!$B$45,0)+IF(D971="preference",Assumptions!$B$44,0)+IF(E971="preference",Assumptions!$B$43,0)+IF(F971="preference",Assumptions!$B$42,0)+IF(G971="preference",Assumptions!$B$41,0)+IF(H971="preference",Assumptions!$B$40,0)</f>
        <v/>
      </c>
      <c r="J971">
        <f>IF(B971="convert",(Assumptions!$B$4/B963),0)+IF(C971="convert",(Assumptions!$B$39+F963),0)+IF(D971="convert",(Assumptions!$B$38+E963),0)+IF(E971="convert",Assumptions!$B$36,0)+IF(F971="convert",Assumptions!$B$35,0)+IF(G971="convert",Assumptions!$B$34,0)+IF(H971="convert",Assumptions!$B$33,0)</f>
        <v/>
      </c>
      <c r="K971">
        <f>(Assumptions!$B$46+Assumptions!$B$47+Assumptions!$B$48)+Assumptions!$B$49+(H963+I963)+J971</f>
        <v/>
      </c>
      <c r="L971">
        <f>(Assumptions!$B$13-I971+Assumptions!$B$31*Assumptions!$B$10)/(K971+Assumptions!$B$31)</f>
        <v/>
      </c>
      <c r="M971">
        <f>IF(L971&gt;Assumptions!$B$10,"yes","no")</f>
        <v/>
      </c>
      <c r="N971">
        <f>IF(M971="yes",L971,MAX(0,(Assumptions!$B$13-I971)/K971))</f>
        <v/>
      </c>
      <c r="O971">
        <f>IF(M971="yes",Assumptions!$B$31*(N971-Assumptions!$B$10),0)</f>
        <v/>
      </c>
    </row>
    <row r="972">
      <c r="A972" t="inlineStr">
        <is>
          <t>iter 4</t>
        </is>
      </c>
      <c r="B972">
        <f>IF(Assumptions!$B$4&gt;(Assumptions!$B$4/B963)*N971,"preference","convert")</f>
        <v/>
      </c>
      <c r="C972">
        <f>IF(Assumptions!$B$45&gt;(Assumptions!$B$39+F963)*N971,"preference","convert")</f>
        <v/>
      </c>
      <c r="D972">
        <f>IF(Assumptions!$B$44&gt;(Assumptions!$B$38+E963)*N971,"preference","convert")</f>
        <v/>
      </c>
      <c r="E972">
        <f>IF(Assumptions!$B$43&gt;Assumptions!$B$36*N971,"preference","convert")</f>
        <v/>
      </c>
      <c r="F972">
        <f>IF(Assumptions!$B$42&gt;Assumptions!$B$35*N971,"preference","convert")</f>
        <v/>
      </c>
      <c r="G972">
        <f>IF(Assumptions!$B$41&gt;Assumptions!$B$34*N971,"preference","convert")</f>
        <v/>
      </c>
      <c r="H972">
        <f>IF(Assumptions!$B$40&gt;Assumptions!$B$33*N971,"preference","convert")</f>
        <v/>
      </c>
      <c r="I972">
        <f>IF(B972="preference",Assumptions!$B$4,0)+IF(C972="preference",Assumptions!$B$45,0)+IF(D972="preference",Assumptions!$B$44,0)+IF(E972="preference",Assumptions!$B$43,0)+IF(F972="preference",Assumptions!$B$42,0)+IF(G972="preference",Assumptions!$B$41,0)+IF(H972="preference",Assumptions!$B$40,0)</f>
        <v/>
      </c>
      <c r="J972">
        <f>IF(B972="convert",(Assumptions!$B$4/B963),0)+IF(C972="convert",(Assumptions!$B$39+F963),0)+IF(D972="convert",(Assumptions!$B$38+E963),0)+IF(E972="convert",Assumptions!$B$36,0)+IF(F972="convert",Assumptions!$B$35,0)+IF(G972="convert",Assumptions!$B$34,0)+IF(H972="convert",Assumptions!$B$33,0)</f>
        <v/>
      </c>
      <c r="K972">
        <f>(Assumptions!$B$46+Assumptions!$B$47+Assumptions!$B$48)+Assumptions!$B$49+(H963+I963)+J972</f>
        <v/>
      </c>
      <c r="L972">
        <f>(Assumptions!$B$13-I972+Assumptions!$B$31*Assumptions!$B$10)/(K972+Assumptions!$B$31)</f>
        <v/>
      </c>
      <c r="M972">
        <f>IF(L972&gt;Assumptions!$B$10,"yes","no")</f>
        <v/>
      </c>
      <c r="N972">
        <f>IF(M972="yes",L972,MAX(0,(Assumptions!$B$13-I972)/K972))</f>
        <v/>
      </c>
      <c r="O972">
        <f>IF(M972="yes",Assumptions!$B$31*(N972-Assumptions!$B$10),0)</f>
        <v/>
      </c>
    </row>
    <row r="973">
      <c r="A973" t="inlineStr">
        <is>
          <t>iter 5</t>
        </is>
      </c>
      <c r="B973">
        <f>IF(Assumptions!$B$4&gt;(Assumptions!$B$4/B963)*N972,"preference","convert")</f>
        <v/>
      </c>
      <c r="C973">
        <f>IF(Assumptions!$B$45&gt;(Assumptions!$B$39+F963)*N972,"preference","convert")</f>
        <v/>
      </c>
      <c r="D973">
        <f>IF(Assumptions!$B$44&gt;(Assumptions!$B$38+E963)*N972,"preference","convert")</f>
        <v/>
      </c>
      <c r="E973">
        <f>IF(Assumptions!$B$43&gt;Assumptions!$B$36*N972,"preference","convert")</f>
        <v/>
      </c>
      <c r="F973">
        <f>IF(Assumptions!$B$42&gt;Assumptions!$B$35*N972,"preference","convert")</f>
        <v/>
      </c>
      <c r="G973">
        <f>IF(Assumptions!$B$41&gt;Assumptions!$B$34*N972,"preference","convert")</f>
        <v/>
      </c>
      <c r="H973">
        <f>IF(Assumptions!$B$40&gt;Assumptions!$B$33*N972,"preference","convert")</f>
        <v/>
      </c>
      <c r="I973">
        <f>IF(B973="preference",Assumptions!$B$4,0)+IF(C973="preference",Assumptions!$B$45,0)+IF(D973="preference",Assumptions!$B$44,0)+IF(E973="preference",Assumptions!$B$43,0)+IF(F973="preference",Assumptions!$B$42,0)+IF(G973="preference",Assumptions!$B$41,0)+IF(H973="preference",Assumptions!$B$40,0)</f>
        <v/>
      </c>
      <c r="J973">
        <f>IF(B973="convert",(Assumptions!$B$4/B963),0)+IF(C973="convert",(Assumptions!$B$39+F963),0)+IF(D973="convert",(Assumptions!$B$38+E963),0)+IF(E973="convert",Assumptions!$B$36,0)+IF(F973="convert",Assumptions!$B$35,0)+IF(G973="convert",Assumptions!$B$34,0)+IF(H973="convert",Assumptions!$B$33,0)</f>
        <v/>
      </c>
      <c r="K973">
        <f>(Assumptions!$B$46+Assumptions!$B$47+Assumptions!$B$48)+Assumptions!$B$49+(H963+I963)+J973</f>
        <v/>
      </c>
      <c r="L973">
        <f>(Assumptions!$B$13-I973+Assumptions!$B$31*Assumptions!$B$10)/(K973+Assumptions!$B$31)</f>
        <v/>
      </c>
      <c r="M973">
        <f>IF(L973&gt;Assumptions!$B$10,"yes","no")</f>
        <v/>
      </c>
      <c r="N973">
        <f>IF(M973="yes",L973,MAX(0,(Assumptions!$B$13-I973)/K973))</f>
        <v/>
      </c>
      <c r="O973">
        <f>IF(M973="yes",Assumptions!$B$31*(N973-Assumptions!$B$10),0)</f>
        <v/>
      </c>
    </row>
    <row r="974">
      <c r="A974" t="inlineStr">
        <is>
          <t>iter 6</t>
        </is>
      </c>
      <c r="B974">
        <f>IF(Assumptions!$B$4&gt;(Assumptions!$B$4/B963)*N973,"preference","convert")</f>
        <v/>
      </c>
      <c r="C974">
        <f>IF(Assumptions!$B$45&gt;(Assumptions!$B$39+F963)*N973,"preference","convert")</f>
        <v/>
      </c>
      <c r="D974">
        <f>IF(Assumptions!$B$44&gt;(Assumptions!$B$38+E963)*N973,"preference","convert")</f>
        <v/>
      </c>
      <c r="E974">
        <f>IF(Assumptions!$B$43&gt;Assumptions!$B$36*N973,"preference","convert")</f>
        <v/>
      </c>
      <c r="F974">
        <f>IF(Assumptions!$B$42&gt;Assumptions!$B$35*N973,"preference","convert")</f>
        <v/>
      </c>
      <c r="G974">
        <f>IF(Assumptions!$B$41&gt;Assumptions!$B$34*N973,"preference","convert")</f>
        <v/>
      </c>
      <c r="H974">
        <f>IF(Assumptions!$B$40&gt;Assumptions!$B$33*N973,"preference","convert")</f>
        <v/>
      </c>
      <c r="I974">
        <f>IF(B974="preference",Assumptions!$B$4,0)+IF(C974="preference",Assumptions!$B$45,0)+IF(D974="preference",Assumptions!$B$44,0)+IF(E974="preference",Assumptions!$B$43,0)+IF(F974="preference",Assumptions!$B$42,0)+IF(G974="preference",Assumptions!$B$41,0)+IF(H974="preference",Assumptions!$B$40,0)</f>
        <v/>
      </c>
      <c r="J974">
        <f>IF(B974="convert",(Assumptions!$B$4/B963),0)+IF(C974="convert",(Assumptions!$B$39+F963),0)+IF(D974="convert",(Assumptions!$B$38+E963),0)+IF(E974="convert",Assumptions!$B$36,0)+IF(F974="convert",Assumptions!$B$35,0)+IF(G974="convert",Assumptions!$B$34,0)+IF(H974="convert",Assumptions!$B$33,0)</f>
        <v/>
      </c>
      <c r="K974">
        <f>(Assumptions!$B$46+Assumptions!$B$47+Assumptions!$B$48)+Assumptions!$B$49+(H963+I963)+J974</f>
        <v/>
      </c>
      <c r="L974">
        <f>(Assumptions!$B$13-I974+Assumptions!$B$31*Assumptions!$B$10)/(K974+Assumptions!$B$31)</f>
        <v/>
      </c>
      <c r="M974">
        <f>IF(L974&gt;Assumptions!$B$10,"yes","no")</f>
        <v/>
      </c>
      <c r="N974">
        <f>IF(M974="yes",L974,MAX(0,(Assumptions!$B$13-I974)/K974))</f>
        <v/>
      </c>
      <c r="O974">
        <f>IF(M974="yes",Assumptions!$B$31*(N974-Assumptions!$B$10),0)</f>
        <v/>
      </c>
    </row>
    <row r="975">
      <c r="A975" t="inlineStr">
        <is>
          <t>iter 7</t>
        </is>
      </c>
      <c r="B975">
        <f>IF(Assumptions!$B$4&gt;(Assumptions!$B$4/B963)*N974,"preference","convert")</f>
        <v/>
      </c>
      <c r="C975">
        <f>IF(Assumptions!$B$45&gt;(Assumptions!$B$39+F963)*N974,"preference","convert")</f>
        <v/>
      </c>
      <c r="D975">
        <f>IF(Assumptions!$B$44&gt;(Assumptions!$B$38+E963)*N974,"preference","convert")</f>
        <v/>
      </c>
      <c r="E975">
        <f>IF(Assumptions!$B$43&gt;Assumptions!$B$36*N974,"preference","convert")</f>
        <v/>
      </c>
      <c r="F975">
        <f>IF(Assumptions!$B$42&gt;Assumptions!$B$35*N974,"preference","convert")</f>
        <v/>
      </c>
      <c r="G975">
        <f>IF(Assumptions!$B$41&gt;Assumptions!$B$34*N974,"preference","convert")</f>
        <v/>
      </c>
      <c r="H975">
        <f>IF(Assumptions!$B$40&gt;Assumptions!$B$33*N974,"preference","convert")</f>
        <v/>
      </c>
      <c r="I975">
        <f>IF(B975="preference",Assumptions!$B$4,0)+IF(C975="preference",Assumptions!$B$45,0)+IF(D975="preference",Assumptions!$B$44,0)+IF(E975="preference",Assumptions!$B$43,0)+IF(F975="preference",Assumptions!$B$42,0)+IF(G975="preference",Assumptions!$B$41,0)+IF(H975="preference",Assumptions!$B$40,0)</f>
        <v/>
      </c>
      <c r="J975">
        <f>IF(B975="convert",(Assumptions!$B$4/B963),0)+IF(C975="convert",(Assumptions!$B$39+F963),0)+IF(D975="convert",(Assumptions!$B$38+E963),0)+IF(E975="convert",Assumptions!$B$36,0)+IF(F975="convert",Assumptions!$B$35,0)+IF(G975="convert",Assumptions!$B$34,0)+IF(H975="convert",Assumptions!$B$33,0)</f>
        <v/>
      </c>
      <c r="K975">
        <f>(Assumptions!$B$46+Assumptions!$B$47+Assumptions!$B$48)+Assumptions!$B$49+(H963+I963)+J975</f>
        <v/>
      </c>
      <c r="L975">
        <f>(Assumptions!$B$13-I975+Assumptions!$B$31*Assumptions!$B$10)/(K975+Assumptions!$B$31)</f>
        <v/>
      </c>
      <c r="M975">
        <f>IF(L975&gt;Assumptions!$B$10,"yes","no")</f>
        <v/>
      </c>
      <c r="N975">
        <f>IF(M975="yes",L975,MAX(0,(Assumptions!$B$13-I975)/K975))</f>
        <v/>
      </c>
      <c r="O975">
        <f>IF(M975="yes",Assumptions!$B$31*(N975-Assumptions!$B$10),0)</f>
        <v/>
      </c>
    </row>
    <row r="976">
      <c r="A976" t="inlineStr">
        <is>
          <t>iter 8</t>
        </is>
      </c>
      <c r="B976">
        <f>IF(Assumptions!$B$4&gt;(Assumptions!$B$4/B963)*N975,"preference","convert")</f>
        <v/>
      </c>
      <c r="C976">
        <f>IF(Assumptions!$B$45&gt;(Assumptions!$B$39+F963)*N975,"preference","convert")</f>
        <v/>
      </c>
      <c r="D976">
        <f>IF(Assumptions!$B$44&gt;(Assumptions!$B$38+E963)*N975,"preference","convert")</f>
        <v/>
      </c>
      <c r="E976">
        <f>IF(Assumptions!$B$43&gt;Assumptions!$B$36*N975,"preference","convert")</f>
        <v/>
      </c>
      <c r="F976">
        <f>IF(Assumptions!$B$42&gt;Assumptions!$B$35*N975,"preference","convert")</f>
        <v/>
      </c>
      <c r="G976">
        <f>IF(Assumptions!$B$41&gt;Assumptions!$B$34*N975,"preference","convert")</f>
        <v/>
      </c>
      <c r="H976">
        <f>IF(Assumptions!$B$40&gt;Assumptions!$B$33*N975,"preference","convert")</f>
        <v/>
      </c>
      <c r="I976">
        <f>IF(B976="preference",Assumptions!$B$4,0)+IF(C976="preference",Assumptions!$B$45,0)+IF(D976="preference",Assumptions!$B$44,0)+IF(E976="preference",Assumptions!$B$43,0)+IF(F976="preference",Assumptions!$B$42,0)+IF(G976="preference",Assumptions!$B$41,0)+IF(H976="preference",Assumptions!$B$40,0)</f>
        <v/>
      </c>
      <c r="J976">
        <f>IF(B976="convert",(Assumptions!$B$4/B963),0)+IF(C976="convert",(Assumptions!$B$39+F963),0)+IF(D976="convert",(Assumptions!$B$38+E963),0)+IF(E976="convert",Assumptions!$B$36,0)+IF(F976="convert",Assumptions!$B$35,0)+IF(G976="convert",Assumptions!$B$34,0)+IF(H976="convert",Assumptions!$B$33,0)</f>
        <v/>
      </c>
      <c r="K976">
        <f>(Assumptions!$B$46+Assumptions!$B$47+Assumptions!$B$48)+Assumptions!$B$49+(H963+I963)+J976</f>
        <v/>
      </c>
      <c r="L976">
        <f>(Assumptions!$B$13-I976+Assumptions!$B$31*Assumptions!$B$10)/(K976+Assumptions!$B$31)</f>
        <v/>
      </c>
      <c r="M976">
        <f>IF(L976&gt;Assumptions!$B$10,"yes","no")</f>
        <v/>
      </c>
      <c r="N976">
        <f>IF(M976="yes",L976,MAX(0,(Assumptions!$B$13-I976)/K976))</f>
        <v/>
      </c>
      <c r="O976">
        <f>IF(M976="yes",Assumptions!$B$31*(N976-Assumptions!$B$10),0)</f>
        <v/>
      </c>
    </row>
    <row r="977">
      <c r="A977" t="inlineStr">
        <is>
          <t>iter 9</t>
        </is>
      </c>
      <c r="B977">
        <f>IF(Assumptions!$B$4&gt;(Assumptions!$B$4/B963)*N976,"preference","convert")</f>
        <v/>
      </c>
      <c r="C977">
        <f>IF(Assumptions!$B$45&gt;(Assumptions!$B$39+F963)*N976,"preference","convert")</f>
        <v/>
      </c>
      <c r="D977">
        <f>IF(Assumptions!$B$44&gt;(Assumptions!$B$38+E963)*N976,"preference","convert")</f>
        <v/>
      </c>
      <c r="E977">
        <f>IF(Assumptions!$B$43&gt;Assumptions!$B$36*N976,"preference","convert")</f>
        <v/>
      </c>
      <c r="F977">
        <f>IF(Assumptions!$B$42&gt;Assumptions!$B$35*N976,"preference","convert")</f>
        <v/>
      </c>
      <c r="G977">
        <f>IF(Assumptions!$B$41&gt;Assumptions!$B$34*N976,"preference","convert")</f>
        <v/>
      </c>
      <c r="H977">
        <f>IF(Assumptions!$B$40&gt;Assumptions!$B$33*N976,"preference","convert")</f>
        <v/>
      </c>
      <c r="I977">
        <f>IF(B977="preference",Assumptions!$B$4,0)+IF(C977="preference",Assumptions!$B$45,0)+IF(D977="preference",Assumptions!$B$44,0)+IF(E977="preference",Assumptions!$B$43,0)+IF(F977="preference",Assumptions!$B$42,0)+IF(G977="preference",Assumptions!$B$41,0)+IF(H977="preference",Assumptions!$B$40,0)</f>
        <v/>
      </c>
      <c r="J977">
        <f>IF(B977="convert",(Assumptions!$B$4/B963),0)+IF(C977="convert",(Assumptions!$B$39+F963),0)+IF(D977="convert",(Assumptions!$B$38+E963),0)+IF(E977="convert",Assumptions!$B$36,0)+IF(F977="convert",Assumptions!$B$35,0)+IF(G977="convert",Assumptions!$B$34,0)+IF(H977="convert",Assumptions!$B$33,0)</f>
        <v/>
      </c>
      <c r="K977">
        <f>(Assumptions!$B$46+Assumptions!$B$47+Assumptions!$B$48)+Assumptions!$B$49+(H963+I963)+J977</f>
        <v/>
      </c>
      <c r="L977">
        <f>(Assumptions!$B$13-I977+Assumptions!$B$31*Assumptions!$B$10)/(K977+Assumptions!$B$31)</f>
        <v/>
      </c>
      <c r="M977">
        <f>IF(L977&gt;Assumptions!$B$10,"yes","no")</f>
        <v/>
      </c>
      <c r="N977">
        <f>IF(M977="yes",L977,MAX(0,(Assumptions!$B$13-I977)/K977))</f>
        <v/>
      </c>
      <c r="O977">
        <f>IF(M977="yes",Assumptions!$B$31*(N977-Assumptions!$B$10),0)</f>
        <v/>
      </c>
    </row>
    <row r="978">
      <c r="A978" t="inlineStr">
        <is>
          <t>iter 10</t>
        </is>
      </c>
      <c r="B978">
        <f>IF(Assumptions!$B$4&gt;(Assumptions!$B$4/B963)*N977,"preference","convert")</f>
        <v/>
      </c>
      <c r="C978">
        <f>IF(Assumptions!$B$45&gt;(Assumptions!$B$39+F963)*N977,"preference","convert")</f>
        <v/>
      </c>
      <c r="D978">
        <f>IF(Assumptions!$B$44&gt;(Assumptions!$B$38+E963)*N977,"preference","convert")</f>
        <v/>
      </c>
      <c r="E978">
        <f>IF(Assumptions!$B$43&gt;Assumptions!$B$36*N977,"preference","convert")</f>
        <v/>
      </c>
      <c r="F978">
        <f>IF(Assumptions!$B$42&gt;Assumptions!$B$35*N977,"preference","convert")</f>
        <v/>
      </c>
      <c r="G978">
        <f>IF(Assumptions!$B$41&gt;Assumptions!$B$34*N977,"preference","convert")</f>
        <v/>
      </c>
      <c r="H978">
        <f>IF(Assumptions!$B$40&gt;Assumptions!$B$33*N977,"preference","convert")</f>
        <v/>
      </c>
      <c r="I978">
        <f>IF(B978="preference",Assumptions!$B$4,0)+IF(C978="preference",Assumptions!$B$45,0)+IF(D978="preference",Assumptions!$B$44,0)+IF(E978="preference",Assumptions!$B$43,0)+IF(F978="preference",Assumptions!$B$42,0)+IF(G978="preference",Assumptions!$B$41,0)+IF(H978="preference",Assumptions!$B$40,0)</f>
        <v/>
      </c>
      <c r="J978">
        <f>IF(B978="convert",(Assumptions!$B$4/B963),0)+IF(C978="convert",(Assumptions!$B$39+F963),0)+IF(D978="convert",(Assumptions!$B$38+E963),0)+IF(E978="convert",Assumptions!$B$36,0)+IF(F978="convert",Assumptions!$B$35,0)+IF(G978="convert",Assumptions!$B$34,0)+IF(H978="convert",Assumptions!$B$33,0)</f>
        <v/>
      </c>
      <c r="K978">
        <f>(Assumptions!$B$46+Assumptions!$B$47+Assumptions!$B$48)+Assumptions!$B$49+(H963+I963)+J978</f>
        <v/>
      </c>
      <c r="L978">
        <f>(Assumptions!$B$13-I978+Assumptions!$B$31*Assumptions!$B$10)/(K978+Assumptions!$B$31)</f>
        <v/>
      </c>
      <c r="M978">
        <f>IF(L978&gt;Assumptions!$B$10,"yes","no")</f>
        <v/>
      </c>
      <c r="N978">
        <f>IF(M978="yes",L978,MAX(0,(Assumptions!$B$13-I978)/K978))</f>
        <v/>
      </c>
      <c r="O978">
        <f>IF(M978="yes",Assumptions!$B$31*(N978-Assumptions!$B$10),0)</f>
        <v/>
      </c>
    </row>
    <row r="979">
      <c r="A979" t="inlineStr">
        <is>
          <t>iter 11</t>
        </is>
      </c>
      <c r="B979">
        <f>IF(Assumptions!$B$4&gt;(Assumptions!$B$4/B963)*N978,"preference","convert")</f>
        <v/>
      </c>
      <c r="C979">
        <f>IF(Assumptions!$B$45&gt;(Assumptions!$B$39+F963)*N978,"preference","convert")</f>
        <v/>
      </c>
      <c r="D979">
        <f>IF(Assumptions!$B$44&gt;(Assumptions!$B$38+E963)*N978,"preference","convert")</f>
        <v/>
      </c>
      <c r="E979">
        <f>IF(Assumptions!$B$43&gt;Assumptions!$B$36*N978,"preference","convert")</f>
        <v/>
      </c>
      <c r="F979">
        <f>IF(Assumptions!$B$42&gt;Assumptions!$B$35*N978,"preference","convert")</f>
        <v/>
      </c>
      <c r="G979">
        <f>IF(Assumptions!$B$41&gt;Assumptions!$B$34*N978,"preference","convert")</f>
        <v/>
      </c>
      <c r="H979">
        <f>IF(Assumptions!$B$40&gt;Assumptions!$B$33*N978,"preference","convert")</f>
        <v/>
      </c>
      <c r="I979">
        <f>IF(B979="preference",Assumptions!$B$4,0)+IF(C979="preference",Assumptions!$B$45,0)+IF(D979="preference",Assumptions!$B$44,0)+IF(E979="preference",Assumptions!$B$43,0)+IF(F979="preference",Assumptions!$B$42,0)+IF(G979="preference",Assumptions!$B$41,0)+IF(H979="preference",Assumptions!$B$40,0)</f>
        <v/>
      </c>
      <c r="J979">
        <f>IF(B979="convert",(Assumptions!$B$4/B963),0)+IF(C979="convert",(Assumptions!$B$39+F963),0)+IF(D979="convert",(Assumptions!$B$38+E963),0)+IF(E979="convert",Assumptions!$B$36,0)+IF(F979="convert",Assumptions!$B$35,0)+IF(G979="convert",Assumptions!$B$34,0)+IF(H979="convert",Assumptions!$B$33,0)</f>
        <v/>
      </c>
      <c r="K979">
        <f>(Assumptions!$B$46+Assumptions!$B$47+Assumptions!$B$48)+Assumptions!$B$49+(H963+I963)+J979</f>
        <v/>
      </c>
      <c r="L979">
        <f>(Assumptions!$B$13-I979+Assumptions!$B$31*Assumptions!$B$10)/(K979+Assumptions!$B$31)</f>
        <v/>
      </c>
      <c r="M979">
        <f>IF(L979&gt;Assumptions!$B$10,"yes","no")</f>
        <v/>
      </c>
      <c r="N979">
        <f>IF(M979="yes",L979,MAX(0,(Assumptions!$B$13-I979)/K979))</f>
        <v/>
      </c>
      <c r="O979">
        <f>IF(M979="yes",Assumptions!$B$31*(N979-Assumptions!$B$10),0)</f>
        <v/>
      </c>
    </row>
    <row r="980">
      <c r="A980" t="inlineStr">
        <is>
          <t>iter 12</t>
        </is>
      </c>
      <c r="B980">
        <f>IF(Assumptions!$B$4&gt;(Assumptions!$B$4/B963)*N979,"preference","convert")</f>
        <v/>
      </c>
      <c r="C980">
        <f>IF(Assumptions!$B$45&gt;(Assumptions!$B$39+F963)*N979,"preference","convert")</f>
        <v/>
      </c>
      <c r="D980">
        <f>IF(Assumptions!$B$44&gt;(Assumptions!$B$38+E963)*N979,"preference","convert")</f>
        <v/>
      </c>
      <c r="E980">
        <f>IF(Assumptions!$B$43&gt;Assumptions!$B$36*N979,"preference","convert")</f>
        <v/>
      </c>
      <c r="F980">
        <f>IF(Assumptions!$B$42&gt;Assumptions!$B$35*N979,"preference","convert")</f>
        <v/>
      </c>
      <c r="G980">
        <f>IF(Assumptions!$B$41&gt;Assumptions!$B$34*N979,"preference","convert")</f>
        <v/>
      </c>
      <c r="H980">
        <f>IF(Assumptions!$B$40&gt;Assumptions!$B$33*N979,"preference","convert")</f>
        <v/>
      </c>
      <c r="I980">
        <f>IF(B980="preference",Assumptions!$B$4,0)+IF(C980="preference",Assumptions!$B$45,0)+IF(D980="preference",Assumptions!$B$44,0)+IF(E980="preference",Assumptions!$B$43,0)+IF(F980="preference",Assumptions!$B$42,0)+IF(G980="preference",Assumptions!$B$41,0)+IF(H980="preference",Assumptions!$B$40,0)</f>
        <v/>
      </c>
      <c r="J980">
        <f>IF(B980="convert",(Assumptions!$B$4/B963),0)+IF(C980="convert",(Assumptions!$B$39+F963),0)+IF(D980="convert",(Assumptions!$B$38+E963),0)+IF(E980="convert",Assumptions!$B$36,0)+IF(F980="convert",Assumptions!$B$35,0)+IF(G980="convert",Assumptions!$B$34,0)+IF(H980="convert",Assumptions!$B$33,0)</f>
        <v/>
      </c>
      <c r="K980">
        <f>(Assumptions!$B$46+Assumptions!$B$47+Assumptions!$B$48)+Assumptions!$B$49+(H963+I963)+J980</f>
        <v/>
      </c>
      <c r="L980">
        <f>(Assumptions!$B$13-I980+Assumptions!$B$31*Assumptions!$B$10)/(K980+Assumptions!$B$31)</f>
        <v/>
      </c>
      <c r="M980">
        <f>IF(L980&gt;Assumptions!$B$10,"yes","no")</f>
        <v/>
      </c>
      <c r="N980">
        <f>IF(M980="yes",L980,MAX(0,(Assumptions!$B$13-I980)/K980))</f>
        <v/>
      </c>
      <c r="O980">
        <f>IF(M980="yes",Assumptions!$B$31*(N980-Assumptions!$B$10),0)</f>
        <v/>
      </c>
    </row>
    <row r="981">
      <c r="A981" t="inlineStr">
        <is>
          <t>iter 13</t>
        </is>
      </c>
      <c r="B981">
        <f>IF(Assumptions!$B$4&gt;(Assumptions!$B$4/B963)*N980,"preference","convert")</f>
        <v/>
      </c>
      <c r="C981">
        <f>IF(Assumptions!$B$45&gt;(Assumptions!$B$39+F963)*N980,"preference","convert")</f>
        <v/>
      </c>
      <c r="D981">
        <f>IF(Assumptions!$B$44&gt;(Assumptions!$B$38+E963)*N980,"preference","convert")</f>
        <v/>
      </c>
      <c r="E981">
        <f>IF(Assumptions!$B$43&gt;Assumptions!$B$36*N980,"preference","convert")</f>
        <v/>
      </c>
      <c r="F981">
        <f>IF(Assumptions!$B$42&gt;Assumptions!$B$35*N980,"preference","convert")</f>
        <v/>
      </c>
      <c r="G981">
        <f>IF(Assumptions!$B$41&gt;Assumptions!$B$34*N980,"preference","convert")</f>
        <v/>
      </c>
      <c r="H981">
        <f>IF(Assumptions!$B$40&gt;Assumptions!$B$33*N980,"preference","convert")</f>
        <v/>
      </c>
      <c r="I981">
        <f>IF(B981="preference",Assumptions!$B$4,0)+IF(C981="preference",Assumptions!$B$45,0)+IF(D981="preference",Assumptions!$B$44,0)+IF(E981="preference",Assumptions!$B$43,0)+IF(F981="preference",Assumptions!$B$42,0)+IF(G981="preference",Assumptions!$B$41,0)+IF(H981="preference",Assumptions!$B$40,0)</f>
        <v/>
      </c>
      <c r="J981">
        <f>IF(B981="convert",(Assumptions!$B$4/B963),0)+IF(C981="convert",(Assumptions!$B$39+F963),0)+IF(D981="convert",(Assumptions!$B$38+E963),0)+IF(E981="convert",Assumptions!$B$36,0)+IF(F981="convert",Assumptions!$B$35,0)+IF(G981="convert",Assumptions!$B$34,0)+IF(H981="convert",Assumptions!$B$33,0)</f>
        <v/>
      </c>
      <c r="K981">
        <f>(Assumptions!$B$46+Assumptions!$B$47+Assumptions!$B$48)+Assumptions!$B$49+(H963+I963)+J981</f>
        <v/>
      </c>
      <c r="L981">
        <f>(Assumptions!$B$13-I981+Assumptions!$B$31*Assumptions!$B$10)/(K981+Assumptions!$B$31)</f>
        <v/>
      </c>
      <c r="M981">
        <f>IF(L981&gt;Assumptions!$B$10,"yes","no")</f>
        <v/>
      </c>
      <c r="N981">
        <f>IF(M981="yes",L981,MAX(0,(Assumptions!$B$13-I981)/K981))</f>
        <v/>
      </c>
      <c r="O981">
        <f>IF(M981="yes",Assumptions!$B$31*(N981-Assumptions!$B$10),0)</f>
        <v/>
      </c>
    </row>
    <row r="982">
      <c r="A982" t="inlineStr">
        <is>
          <t>iter 14</t>
        </is>
      </c>
      <c r="B982">
        <f>IF(Assumptions!$B$4&gt;(Assumptions!$B$4/B963)*N981,"preference","convert")</f>
        <v/>
      </c>
      <c r="C982">
        <f>IF(Assumptions!$B$45&gt;(Assumptions!$B$39+F963)*N981,"preference","convert")</f>
        <v/>
      </c>
      <c r="D982">
        <f>IF(Assumptions!$B$44&gt;(Assumptions!$B$38+E963)*N981,"preference","convert")</f>
        <v/>
      </c>
      <c r="E982">
        <f>IF(Assumptions!$B$43&gt;Assumptions!$B$36*N981,"preference","convert")</f>
        <v/>
      </c>
      <c r="F982">
        <f>IF(Assumptions!$B$42&gt;Assumptions!$B$35*N981,"preference","convert")</f>
        <v/>
      </c>
      <c r="G982">
        <f>IF(Assumptions!$B$41&gt;Assumptions!$B$34*N981,"preference","convert")</f>
        <v/>
      </c>
      <c r="H982">
        <f>IF(Assumptions!$B$40&gt;Assumptions!$B$33*N981,"preference","convert")</f>
        <v/>
      </c>
      <c r="I982">
        <f>IF(B982="preference",Assumptions!$B$4,0)+IF(C982="preference",Assumptions!$B$45,0)+IF(D982="preference",Assumptions!$B$44,0)+IF(E982="preference",Assumptions!$B$43,0)+IF(F982="preference",Assumptions!$B$42,0)+IF(G982="preference",Assumptions!$B$41,0)+IF(H982="preference",Assumptions!$B$40,0)</f>
        <v/>
      </c>
      <c r="J982">
        <f>IF(B982="convert",(Assumptions!$B$4/B963),0)+IF(C982="convert",(Assumptions!$B$39+F963),0)+IF(D982="convert",(Assumptions!$B$38+E963),0)+IF(E982="convert",Assumptions!$B$36,0)+IF(F982="convert",Assumptions!$B$35,0)+IF(G982="convert",Assumptions!$B$34,0)+IF(H982="convert",Assumptions!$B$33,0)</f>
        <v/>
      </c>
      <c r="K982">
        <f>(Assumptions!$B$46+Assumptions!$B$47+Assumptions!$B$48)+Assumptions!$B$49+(H963+I963)+J982</f>
        <v/>
      </c>
      <c r="L982">
        <f>(Assumptions!$B$13-I982+Assumptions!$B$31*Assumptions!$B$10)/(K982+Assumptions!$B$31)</f>
        <v/>
      </c>
      <c r="M982">
        <f>IF(L982&gt;Assumptions!$B$10,"yes","no")</f>
        <v/>
      </c>
      <c r="N982">
        <f>IF(M982="yes",L982,MAX(0,(Assumptions!$B$13-I982)/K982))</f>
        <v/>
      </c>
      <c r="O982">
        <f>IF(M982="yes",Assumptions!$B$31*(N982-Assumptions!$B$10),0)</f>
        <v/>
      </c>
    </row>
    <row r="983">
      <c r="A983" t="inlineStr">
        <is>
          <t>iter 15</t>
        </is>
      </c>
      <c r="B983">
        <f>IF(Assumptions!$B$4&gt;(Assumptions!$B$4/B963)*N982,"preference","convert")</f>
        <v/>
      </c>
      <c r="C983">
        <f>IF(Assumptions!$B$45&gt;(Assumptions!$B$39+F963)*N982,"preference","convert")</f>
        <v/>
      </c>
      <c r="D983">
        <f>IF(Assumptions!$B$44&gt;(Assumptions!$B$38+E963)*N982,"preference","convert")</f>
        <v/>
      </c>
      <c r="E983">
        <f>IF(Assumptions!$B$43&gt;Assumptions!$B$36*N982,"preference","convert")</f>
        <v/>
      </c>
      <c r="F983">
        <f>IF(Assumptions!$B$42&gt;Assumptions!$B$35*N982,"preference","convert")</f>
        <v/>
      </c>
      <c r="G983">
        <f>IF(Assumptions!$B$41&gt;Assumptions!$B$34*N982,"preference","convert")</f>
        <v/>
      </c>
      <c r="H983">
        <f>IF(Assumptions!$B$40&gt;Assumptions!$B$33*N982,"preference","convert")</f>
        <v/>
      </c>
      <c r="I983">
        <f>IF(B983="preference",Assumptions!$B$4,0)+IF(C983="preference",Assumptions!$B$45,0)+IF(D983="preference",Assumptions!$B$44,0)+IF(E983="preference",Assumptions!$B$43,0)+IF(F983="preference",Assumptions!$B$42,0)+IF(G983="preference",Assumptions!$B$41,0)+IF(H983="preference",Assumptions!$B$40,0)</f>
        <v/>
      </c>
      <c r="J983">
        <f>IF(B983="convert",(Assumptions!$B$4/B963),0)+IF(C983="convert",(Assumptions!$B$39+F963),0)+IF(D983="convert",(Assumptions!$B$38+E963),0)+IF(E983="convert",Assumptions!$B$36,0)+IF(F983="convert",Assumptions!$B$35,0)+IF(G983="convert",Assumptions!$B$34,0)+IF(H983="convert",Assumptions!$B$33,0)</f>
        <v/>
      </c>
      <c r="K983">
        <f>(Assumptions!$B$46+Assumptions!$B$47+Assumptions!$B$48)+Assumptions!$B$49+(H963+I963)+J983</f>
        <v/>
      </c>
      <c r="L983">
        <f>(Assumptions!$B$13-I983+Assumptions!$B$31*Assumptions!$B$10)/(K983+Assumptions!$B$31)</f>
        <v/>
      </c>
      <c r="M983">
        <f>IF(L983&gt;Assumptions!$B$10,"yes","no")</f>
        <v/>
      </c>
      <c r="N983">
        <f>IF(M983="yes",L983,MAX(0,(Assumptions!$B$13-I983)/K983))</f>
        <v/>
      </c>
      <c r="O983">
        <f>IF(M983="yes",Assumptions!$B$31*(N983-Assumptions!$B$10),0)</f>
        <v/>
      </c>
    </row>
    <row r="984">
      <c r="A984" t="inlineStr">
        <is>
          <t>iter 16</t>
        </is>
      </c>
      <c r="B984">
        <f>IF(Assumptions!$B$4&gt;(Assumptions!$B$4/B963)*N983,"preference","convert")</f>
        <v/>
      </c>
      <c r="C984">
        <f>IF(Assumptions!$B$45&gt;(Assumptions!$B$39+F963)*N983,"preference","convert")</f>
        <v/>
      </c>
      <c r="D984">
        <f>IF(Assumptions!$B$44&gt;(Assumptions!$B$38+E963)*N983,"preference","convert")</f>
        <v/>
      </c>
      <c r="E984">
        <f>IF(Assumptions!$B$43&gt;Assumptions!$B$36*N983,"preference","convert")</f>
        <v/>
      </c>
      <c r="F984">
        <f>IF(Assumptions!$B$42&gt;Assumptions!$B$35*N983,"preference","convert")</f>
        <v/>
      </c>
      <c r="G984">
        <f>IF(Assumptions!$B$41&gt;Assumptions!$B$34*N983,"preference","convert")</f>
        <v/>
      </c>
      <c r="H984">
        <f>IF(Assumptions!$B$40&gt;Assumptions!$B$33*N983,"preference","convert")</f>
        <v/>
      </c>
      <c r="I984">
        <f>IF(B984="preference",Assumptions!$B$4,0)+IF(C984="preference",Assumptions!$B$45,0)+IF(D984="preference",Assumptions!$B$44,0)+IF(E984="preference",Assumptions!$B$43,0)+IF(F984="preference",Assumptions!$B$42,0)+IF(G984="preference",Assumptions!$B$41,0)+IF(H984="preference",Assumptions!$B$40,0)</f>
        <v/>
      </c>
      <c r="J984">
        <f>IF(B984="convert",(Assumptions!$B$4/B963),0)+IF(C984="convert",(Assumptions!$B$39+F963),0)+IF(D984="convert",(Assumptions!$B$38+E963),0)+IF(E984="convert",Assumptions!$B$36,0)+IF(F984="convert",Assumptions!$B$35,0)+IF(G984="convert",Assumptions!$B$34,0)+IF(H984="convert",Assumptions!$B$33,0)</f>
        <v/>
      </c>
      <c r="K984">
        <f>(Assumptions!$B$46+Assumptions!$B$47+Assumptions!$B$48)+Assumptions!$B$49+(H963+I963)+J984</f>
        <v/>
      </c>
      <c r="L984">
        <f>(Assumptions!$B$13-I984+Assumptions!$B$31*Assumptions!$B$10)/(K984+Assumptions!$B$31)</f>
        <v/>
      </c>
      <c r="M984">
        <f>IF(L984&gt;Assumptions!$B$10,"yes","no")</f>
        <v/>
      </c>
      <c r="N984">
        <f>IF(M984="yes",L984,MAX(0,(Assumptions!$B$13-I984)/K984))</f>
        <v/>
      </c>
      <c r="O984">
        <f>IF(M984="yes",Assumptions!$B$31*(N984-Assumptions!$B$10),0)</f>
        <v/>
      </c>
    </row>
    <row r="985">
      <c r="A985" t="inlineStr">
        <is>
          <t>iter 17</t>
        </is>
      </c>
      <c r="B985">
        <f>IF(Assumptions!$B$4&gt;(Assumptions!$B$4/B963)*N984,"preference","convert")</f>
        <v/>
      </c>
      <c r="C985">
        <f>IF(Assumptions!$B$45&gt;(Assumptions!$B$39+F963)*N984,"preference","convert")</f>
        <v/>
      </c>
      <c r="D985">
        <f>IF(Assumptions!$B$44&gt;(Assumptions!$B$38+E963)*N984,"preference","convert")</f>
        <v/>
      </c>
      <c r="E985">
        <f>IF(Assumptions!$B$43&gt;Assumptions!$B$36*N984,"preference","convert")</f>
        <v/>
      </c>
      <c r="F985">
        <f>IF(Assumptions!$B$42&gt;Assumptions!$B$35*N984,"preference","convert")</f>
        <v/>
      </c>
      <c r="G985">
        <f>IF(Assumptions!$B$41&gt;Assumptions!$B$34*N984,"preference","convert")</f>
        <v/>
      </c>
      <c r="H985">
        <f>IF(Assumptions!$B$40&gt;Assumptions!$B$33*N984,"preference","convert")</f>
        <v/>
      </c>
      <c r="I985">
        <f>IF(B985="preference",Assumptions!$B$4,0)+IF(C985="preference",Assumptions!$B$45,0)+IF(D985="preference",Assumptions!$B$44,0)+IF(E985="preference",Assumptions!$B$43,0)+IF(F985="preference",Assumptions!$B$42,0)+IF(G985="preference",Assumptions!$B$41,0)+IF(H985="preference",Assumptions!$B$40,0)</f>
        <v/>
      </c>
      <c r="J985">
        <f>IF(B985="convert",(Assumptions!$B$4/B963),0)+IF(C985="convert",(Assumptions!$B$39+F963),0)+IF(D985="convert",(Assumptions!$B$38+E963),0)+IF(E985="convert",Assumptions!$B$36,0)+IF(F985="convert",Assumptions!$B$35,0)+IF(G985="convert",Assumptions!$B$34,0)+IF(H985="convert",Assumptions!$B$33,0)</f>
        <v/>
      </c>
      <c r="K985">
        <f>(Assumptions!$B$46+Assumptions!$B$47+Assumptions!$B$48)+Assumptions!$B$49+(H963+I963)+J985</f>
        <v/>
      </c>
      <c r="L985">
        <f>(Assumptions!$B$13-I985+Assumptions!$B$31*Assumptions!$B$10)/(K985+Assumptions!$B$31)</f>
        <v/>
      </c>
      <c r="M985">
        <f>IF(L985&gt;Assumptions!$B$10,"yes","no")</f>
        <v/>
      </c>
      <c r="N985">
        <f>IF(M985="yes",L985,MAX(0,(Assumptions!$B$13-I985)/K985))</f>
        <v/>
      </c>
      <c r="O985">
        <f>IF(M985="yes",Assumptions!$B$31*(N985-Assumptions!$B$10),0)</f>
        <v/>
      </c>
    </row>
    <row r="986">
      <c r="A986" t="inlineStr">
        <is>
          <t>iter 18</t>
        </is>
      </c>
      <c r="B986">
        <f>IF(Assumptions!$B$4&gt;(Assumptions!$B$4/B963)*N985,"preference","convert")</f>
        <v/>
      </c>
      <c r="C986">
        <f>IF(Assumptions!$B$45&gt;(Assumptions!$B$39+F963)*N985,"preference","convert")</f>
        <v/>
      </c>
      <c r="D986">
        <f>IF(Assumptions!$B$44&gt;(Assumptions!$B$38+E963)*N985,"preference","convert")</f>
        <v/>
      </c>
      <c r="E986">
        <f>IF(Assumptions!$B$43&gt;Assumptions!$B$36*N985,"preference","convert")</f>
        <v/>
      </c>
      <c r="F986">
        <f>IF(Assumptions!$B$42&gt;Assumptions!$B$35*N985,"preference","convert")</f>
        <v/>
      </c>
      <c r="G986">
        <f>IF(Assumptions!$B$41&gt;Assumptions!$B$34*N985,"preference","convert")</f>
        <v/>
      </c>
      <c r="H986">
        <f>IF(Assumptions!$B$40&gt;Assumptions!$B$33*N985,"preference","convert")</f>
        <v/>
      </c>
      <c r="I986">
        <f>IF(B986="preference",Assumptions!$B$4,0)+IF(C986="preference",Assumptions!$B$45,0)+IF(D986="preference",Assumptions!$B$44,0)+IF(E986="preference",Assumptions!$B$43,0)+IF(F986="preference",Assumptions!$B$42,0)+IF(G986="preference",Assumptions!$B$41,0)+IF(H986="preference",Assumptions!$B$40,0)</f>
        <v/>
      </c>
      <c r="J986">
        <f>IF(B986="convert",(Assumptions!$B$4/B963),0)+IF(C986="convert",(Assumptions!$B$39+F963),0)+IF(D986="convert",(Assumptions!$B$38+E963),0)+IF(E986="convert",Assumptions!$B$36,0)+IF(F986="convert",Assumptions!$B$35,0)+IF(G986="convert",Assumptions!$B$34,0)+IF(H986="convert",Assumptions!$B$33,0)</f>
        <v/>
      </c>
      <c r="K986">
        <f>(Assumptions!$B$46+Assumptions!$B$47+Assumptions!$B$48)+Assumptions!$B$49+(H963+I963)+J986</f>
        <v/>
      </c>
      <c r="L986">
        <f>(Assumptions!$B$13-I986+Assumptions!$B$31*Assumptions!$B$10)/(K986+Assumptions!$B$31)</f>
        <v/>
      </c>
      <c r="M986">
        <f>IF(L986&gt;Assumptions!$B$10,"yes","no")</f>
        <v/>
      </c>
      <c r="N986">
        <f>IF(M986="yes",L986,MAX(0,(Assumptions!$B$13-I986)/K986))</f>
        <v/>
      </c>
      <c r="O986">
        <f>IF(M986="yes",Assumptions!$B$31*(N986-Assumptions!$B$10),0)</f>
        <v/>
      </c>
    </row>
    <row r="987">
      <c r="A987" t="inlineStr">
        <is>
          <t>iter 19</t>
        </is>
      </c>
      <c r="B987">
        <f>IF(Assumptions!$B$4&gt;(Assumptions!$B$4/B963)*N986,"preference","convert")</f>
        <v/>
      </c>
      <c r="C987">
        <f>IF(Assumptions!$B$45&gt;(Assumptions!$B$39+F963)*N986,"preference","convert")</f>
        <v/>
      </c>
      <c r="D987">
        <f>IF(Assumptions!$B$44&gt;(Assumptions!$B$38+E963)*N986,"preference","convert")</f>
        <v/>
      </c>
      <c r="E987">
        <f>IF(Assumptions!$B$43&gt;Assumptions!$B$36*N986,"preference","convert")</f>
        <v/>
      </c>
      <c r="F987">
        <f>IF(Assumptions!$B$42&gt;Assumptions!$B$35*N986,"preference","convert")</f>
        <v/>
      </c>
      <c r="G987">
        <f>IF(Assumptions!$B$41&gt;Assumptions!$B$34*N986,"preference","convert")</f>
        <v/>
      </c>
      <c r="H987">
        <f>IF(Assumptions!$B$40&gt;Assumptions!$B$33*N986,"preference","convert")</f>
        <v/>
      </c>
      <c r="I987">
        <f>IF(B987="preference",Assumptions!$B$4,0)+IF(C987="preference",Assumptions!$B$45,0)+IF(D987="preference",Assumptions!$B$44,0)+IF(E987="preference",Assumptions!$B$43,0)+IF(F987="preference",Assumptions!$B$42,0)+IF(G987="preference",Assumptions!$B$41,0)+IF(H987="preference",Assumptions!$B$40,0)</f>
        <v/>
      </c>
      <c r="J987">
        <f>IF(B987="convert",(Assumptions!$B$4/B963),0)+IF(C987="convert",(Assumptions!$B$39+F963),0)+IF(D987="convert",(Assumptions!$B$38+E963),0)+IF(E987="convert",Assumptions!$B$36,0)+IF(F987="convert",Assumptions!$B$35,0)+IF(G987="convert",Assumptions!$B$34,0)+IF(H987="convert",Assumptions!$B$33,0)</f>
        <v/>
      </c>
      <c r="K987">
        <f>(Assumptions!$B$46+Assumptions!$B$47+Assumptions!$B$48)+Assumptions!$B$49+(H963+I963)+J987</f>
        <v/>
      </c>
      <c r="L987">
        <f>(Assumptions!$B$13-I987+Assumptions!$B$31*Assumptions!$B$10)/(K987+Assumptions!$B$31)</f>
        <v/>
      </c>
      <c r="M987">
        <f>IF(L987&gt;Assumptions!$B$10,"yes","no")</f>
        <v/>
      </c>
      <c r="N987">
        <f>IF(M987="yes",L987,MAX(0,(Assumptions!$B$13-I987)/K987))</f>
        <v/>
      </c>
      <c r="O987">
        <f>IF(M987="yes",Assumptions!$B$31*(N987-Assumptions!$B$10),0)</f>
        <v/>
      </c>
    </row>
    <row r="988">
      <c r="A988" t="inlineStr">
        <is>
          <t>iter 20</t>
        </is>
      </c>
      <c r="B988">
        <f>IF(Assumptions!$B$4&gt;(Assumptions!$B$4/B963)*N987,"preference","convert")</f>
        <v/>
      </c>
      <c r="C988">
        <f>IF(Assumptions!$B$45&gt;(Assumptions!$B$39+F963)*N987,"preference","convert")</f>
        <v/>
      </c>
      <c r="D988">
        <f>IF(Assumptions!$B$44&gt;(Assumptions!$B$38+E963)*N987,"preference","convert")</f>
        <v/>
      </c>
      <c r="E988">
        <f>IF(Assumptions!$B$43&gt;Assumptions!$B$36*N987,"preference","convert")</f>
        <v/>
      </c>
      <c r="F988">
        <f>IF(Assumptions!$B$42&gt;Assumptions!$B$35*N987,"preference","convert")</f>
        <v/>
      </c>
      <c r="G988">
        <f>IF(Assumptions!$B$41&gt;Assumptions!$B$34*N987,"preference","convert")</f>
        <v/>
      </c>
      <c r="H988">
        <f>IF(Assumptions!$B$40&gt;Assumptions!$B$33*N987,"preference","convert")</f>
        <v/>
      </c>
      <c r="I988">
        <f>IF(B988="preference",Assumptions!$B$4,0)+IF(C988="preference",Assumptions!$B$45,0)+IF(D988="preference",Assumptions!$B$44,0)+IF(E988="preference",Assumptions!$B$43,0)+IF(F988="preference",Assumptions!$B$42,0)+IF(G988="preference",Assumptions!$B$41,0)+IF(H988="preference",Assumptions!$B$40,0)</f>
        <v/>
      </c>
      <c r="J988">
        <f>IF(B988="convert",(Assumptions!$B$4/B963),0)+IF(C988="convert",(Assumptions!$B$39+F963),0)+IF(D988="convert",(Assumptions!$B$38+E963),0)+IF(E988="convert",Assumptions!$B$36,0)+IF(F988="convert",Assumptions!$B$35,0)+IF(G988="convert",Assumptions!$B$34,0)+IF(H988="convert",Assumptions!$B$33,0)</f>
        <v/>
      </c>
      <c r="K988">
        <f>(Assumptions!$B$46+Assumptions!$B$47+Assumptions!$B$48)+Assumptions!$B$49+(H963+I963)+J988</f>
        <v/>
      </c>
      <c r="L988">
        <f>(Assumptions!$B$13-I988+Assumptions!$B$31*Assumptions!$B$10)/(K988+Assumptions!$B$31)</f>
        <v/>
      </c>
      <c r="M988">
        <f>IF(L988&gt;Assumptions!$B$10,"yes","no")</f>
        <v/>
      </c>
      <c r="N988">
        <f>IF(M988="yes",L988,MAX(0,(Assumptions!$B$13-I988)/K988))</f>
        <v/>
      </c>
      <c r="O988">
        <f>IF(M988="yes",Assumptions!$B$31*(N988-Assumptions!$B$10),0)</f>
        <v/>
      </c>
    </row>
    <row r="989">
      <c r="A989" t="inlineStr">
        <is>
          <t>iter 21</t>
        </is>
      </c>
      <c r="B989">
        <f>IF(Assumptions!$B$4&gt;(Assumptions!$B$4/B963)*N988,"preference","convert")</f>
        <v/>
      </c>
      <c r="C989">
        <f>IF(Assumptions!$B$45&gt;(Assumptions!$B$39+F963)*N988,"preference","convert")</f>
        <v/>
      </c>
      <c r="D989">
        <f>IF(Assumptions!$B$44&gt;(Assumptions!$B$38+E963)*N988,"preference","convert")</f>
        <v/>
      </c>
      <c r="E989">
        <f>IF(Assumptions!$B$43&gt;Assumptions!$B$36*N988,"preference","convert")</f>
        <v/>
      </c>
      <c r="F989">
        <f>IF(Assumptions!$B$42&gt;Assumptions!$B$35*N988,"preference","convert")</f>
        <v/>
      </c>
      <c r="G989">
        <f>IF(Assumptions!$B$41&gt;Assumptions!$B$34*N988,"preference","convert")</f>
        <v/>
      </c>
      <c r="H989">
        <f>IF(Assumptions!$B$40&gt;Assumptions!$B$33*N988,"preference","convert")</f>
        <v/>
      </c>
      <c r="I989">
        <f>IF(B989="preference",Assumptions!$B$4,0)+IF(C989="preference",Assumptions!$B$45,0)+IF(D989="preference",Assumptions!$B$44,0)+IF(E989="preference",Assumptions!$B$43,0)+IF(F989="preference",Assumptions!$B$42,0)+IF(G989="preference",Assumptions!$B$41,0)+IF(H989="preference",Assumptions!$B$40,0)</f>
        <v/>
      </c>
      <c r="J989">
        <f>IF(B989="convert",(Assumptions!$B$4/B963),0)+IF(C989="convert",(Assumptions!$B$39+F963),0)+IF(D989="convert",(Assumptions!$B$38+E963),0)+IF(E989="convert",Assumptions!$B$36,0)+IF(F989="convert",Assumptions!$B$35,0)+IF(G989="convert",Assumptions!$B$34,0)+IF(H989="convert",Assumptions!$B$33,0)</f>
        <v/>
      </c>
      <c r="K989">
        <f>(Assumptions!$B$46+Assumptions!$B$47+Assumptions!$B$48)+Assumptions!$B$49+(H963+I963)+J989</f>
        <v/>
      </c>
      <c r="L989">
        <f>(Assumptions!$B$13-I989+Assumptions!$B$31*Assumptions!$B$10)/(K989+Assumptions!$B$31)</f>
        <v/>
      </c>
      <c r="M989">
        <f>IF(L989&gt;Assumptions!$B$10,"yes","no")</f>
        <v/>
      </c>
      <c r="N989">
        <f>IF(M989="yes",L989,MAX(0,(Assumptions!$B$13-I989)/K989))</f>
        <v/>
      </c>
      <c r="O989">
        <f>IF(M989="yes",Assumptions!$B$31*(N989-Assumptions!$B$10),0)</f>
        <v/>
      </c>
    </row>
    <row r="990">
      <c r="A990" t="inlineStr">
        <is>
          <t>iter 22</t>
        </is>
      </c>
      <c r="B990">
        <f>IF(Assumptions!$B$4&gt;(Assumptions!$B$4/B963)*N989,"preference","convert")</f>
        <v/>
      </c>
      <c r="C990">
        <f>IF(Assumptions!$B$45&gt;(Assumptions!$B$39+F963)*N989,"preference","convert")</f>
        <v/>
      </c>
      <c r="D990">
        <f>IF(Assumptions!$B$44&gt;(Assumptions!$B$38+E963)*N989,"preference","convert")</f>
        <v/>
      </c>
      <c r="E990">
        <f>IF(Assumptions!$B$43&gt;Assumptions!$B$36*N989,"preference","convert")</f>
        <v/>
      </c>
      <c r="F990">
        <f>IF(Assumptions!$B$42&gt;Assumptions!$B$35*N989,"preference","convert")</f>
        <v/>
      </c>
      <c r="G990">
        <f>IF(Assumptions!$B$41&gt;Assumptions!$B$34*N989,"preference","convert")</f>
        <v/>
      </c>
      <c r="H990">
        <f>IF(Assumptions!$B$40&gt;Assumptions!$B$33*N989,"preference","convert")</f>
        <v/>
      </c>
      <c r="I990">
        <f>IF(B990="preference",Assumptions!$B$4,0)+IF(C990="preference",Assumptions!$B$45,0)+IF(D990="preference",Assumptions!$B$44,0)+IF(E990="preference",Assumptions!$B$43,0)+IF(F990="preference",Assumptions!$B$42,0)+IF(G990="preference",Assumptions!$B$41,0)+IF(H990="preference",Assumptions!$B$40,0)</f>
        <v/>
      </c>
      <c r="J990">
        <f>IF(B990="convert",(Assumptions!$B$4/B963),0)+IF(C990="convert",(Assumptions!$B$39+F963),0)+IF(D990="convert",(Assumptions!$B$38+E963),0)+IF(E990="convert",Assumptions!$B$36,0)+IF(F990="convert",Assumptions!$B$35,0)+IF(G990="convert",Assumptions!$B$34,0)+IF(H990="convert",Assumptions!$B$33,0)</f>
        <v/>
      </c>
      <c r="K990">
        <f>(Assumptions!$B$46+Assumptions!$B$47+Assumptions!$B$48)+Assumptions!$B$49+(H963+I963)+J990</f>
        <v/>
      </c>
      <c r="L990">
        <f>(Assumptions!$B$13-I990+Assumptions!$B$31*Assumptions!$B$10)/(K990+Assumptions!$B$31)</f>
        <v/>
      </c>
      <c r="M990">
        <f>IF(L990&gt;Assumptions!$B$10,"yes","no")</f>
        <v/>
      </c>
      <c r="N990">
        <f>IF(M990="yes",L990,MAX(0,(Assumptions!$B$13-I990)/K990))</f>
        <v/>
      </c>
      <c r="O990">
        <f>IF(M990="yes",Assumptions!$B$31*(N990-Assumptions!$B$10),0)</f>
        <v/>
      </c>
    </row>
    <row r="991">
      <c r="A991" t="inlineStr">
        <is>
          <t>iter 23</t>
        </is>
      </c>
      <c r="B991">
        <f>IF(Assumptions!$B$4&gt;(Assumptions!$B$4/B963)*N990,"preference","convert")</f>
        <v/>
      </c>
      <c r="C991">
        <f>IF(Assumptions!$B$45&gt;(Assumptions!$B$39+F963)*N990,"preference","convert")</f>
        <v/>
      </c>
      <c r="D991">
        <f>IF(Assumptions!$B$44&gt;(Assumptions!$B$38+E963)*N990,"preference","convert")</f>
        <v/>
      </c>
      <c r="E991">
        <f>IF(Assumptions!$B$43&gt;Assumptions!$B$36*N990,"preference","convert")</f>
        <v/>
      </c>
      <c r="F991">
        <f>IF(Assumptions!$B$42&gt;Assumptions!$B$35*N990,"preference","convert")</f>
        <v/>
      </c>
      <c r="G991">
        <f>IF(Assumptions!$B$41&gt;Assumptions!$B$34*N990,"preference","convert")</f>
        <v/>
      </c>
      <c r="H991">
        <f>IF(Assumptions!$B$40&gt;Assumptions!$B$33*N990,"preference","convert")</f>
        <v/>
      </c>
      <c r="I991">
        <f>IF(B991="preference",Assumptions!$B$4,0)+IF(C991="preference",Assumptions!$B$45,0)+IF(D991="preference",Assumptions!$B$44,0)+IF(E991="preference",Assumptions!$B$43,0)+IF(F991="preference",Assumptions!$B$42,0)+IF(G991="preference",Assumptions!$B$41,0)+IF(H991="preference",Assumptions!$B$40,0)</f>
        <v/>
      </c>
      <c r="J991">
        <f>IF(B991="convert",(Assumptions!$B$4/B963),0)+IF(C991="convert",(Assumptions!$B$39+F963),0)+IF(D991="convert",(Assumptions!$B$38+E963),0)+IF(E991="convert",Assumptions!$B$36,0)+IF(F991="convert",Assumptions!$B$35,0)+IF(G991="convert",Assumptions!$B$34,0)+IF(H991="convert",Assumptions!$B$33,0)</f>
        <v/>
      </c>
      <c r="K991">
        <f>(Assumptions!$B$46+Assumptions!$B$47+Assumptions!$B$48)+Assumptions!$B$49+(H963+I963)+J991</f>
        <v/>
      </c>
      <c r="L991">
        <f>(Assumptions!$B$13-I991+Assumptions!$B$31*Assumptions!$B$10)/(K991+Assumptions!$B$31)</f>
        <v/>
      </c>
      <c r="M991">
        <f>IF(L991&gt;Assumptions!$B$10,"yes","no")</f>
        <v/>
      </c>
      <c r="N991">
        <f>IF(M991="yes",L991,MAX(0,(Assumptions!$B$13-I991)/K991))</f>
        <v/>
      </c>
      <c r="O991">
        <f>IF(M991="yes",Assumptions!$B$31*(N991-Assumptions!$B$10),0)</f>
        <v/>
      </c>
    </row>
    <row r="992">
      <c r="A992" t="inlineStr">
        <is>
          <t>iter 24</t>
        </is>
      </c>
      <c r="B992">
        <f>IF(Assumptions!$B$4&gt;(Assumptions!$B$4/B963)*N991,"preference","convert")</f>
        <v/>
      </c>
      <c r="C992">
        <f>IF(Assumptions!$B$45&gt;(Assumptions!$B$39+F963)*N991,"preference","convert")</f>
        <v/>
      </c>
      <c r="D992">
        <f>IF(Assumptions!$B$44&gt;(Assumptions!$B$38+E963)*N991,"preference","convert")</f>
        <v/>
      </c>
      <c r="E992">
        <f>IF(Assumptions!$B$43&gt;Assumptions!$B$36*N991,"preference","convert")</f>
        <v/>
      </c>
      <c r="F992">
        <f>IF(Assumptions!$B$42&gt;Assumptions!$B$35*N991,"preference","convert")</f>
        <v/>
      </c>
      <c r="G992">
        <f>IF(Assumptions!$B$41&gt;Assumptions!$B$34*N991,"preference","convert")</f>
        <v/>
      </c>
      <c r="H992">
        <f>IF(Assumptions!$B$40&gt;Assumptions!$B$33*N991,"preference","convert")</f>
        <v/>
      </c>
      <c r="I992">
        <f>IF(B992="preference",Assumptions!$B$4,0)+IF(C992="preference",Assumptions!$B$45,0)+IF(D992="preference",Assumptions!$B$44,0)+IF(E992="preference",Assumptions!$B$43,0)+IF(F992="preference",Assumptions!$B$42,0)+IF(G992="preference",Assumptions!$B$41,0)+IF(H992="preference",Assumptions!$B$40,0)</f>
        <v/>
      </c>
      <c r="J992">
        <f>IF(B992="convert",(Assumptions!$B$4/B963),0)+IF(C992="convert",(Assumptions!$B$39+F963),0)+IF(D992="convert",(Assumptions!$B$38+E963),0)+IF(E992="convert",Assumptions!$B$36,0)+IF(F992="convert",Assumptions!$B$35,0)+IF(G992="convert",Assumptions!$B$34,0)+IF(H992="convert",Assumptions!$B$33,0)</f>
        <v/>
      </c>
      <c r="K992">
        <f>(Assumptions!$B$46+Assumptions!$B$47+Assumptions!$B$48)+Assumptions!$B$49+(H963+I963)+J992</f>
        <v/>
      </c>
      <c r="L992">
        <f>(Assumptions!$B$13-I992+Assumptions!$B$31*Assumptions!$B$10)/(K992+Assumptions!$B$31)</f>
        <v/>
      </c>
      <c r="M992">
        <f>IF(L992&gt;Assumptions!$B$10,"yes","no")</f>
        <v/>
      </c>
      <c r="N992">
        <f>IF(M992="yes",L992,MAX(0,(Assumptions!$B$13-I992)/K992))</f>
        <v/>
      </c>
      <c r="O992">
        <f>IF(M992="yes",Assumptions!$B$31*(N992-Assumptions!$B$10),0)</f>
        <v/>
      </c>
    </row>
    <row r="993">
      <c r="A993" t="inlineStr">
        <is>
          <t>iter 25</t>
        </is>
      </c>
      <c r="B993">
        <f>IF(Assumptions!$B$4&gt;(Assumptions!$B$4/B963)*N992,"preference","convert")</f>
        <v/>
      </c>
      <c r="C993">
        <f>IF(Assumptions!$B$45&gt;(Assumptions!$B$39+F963)*N992,"preference","convert")</f>
        <v/>
      </c>
      <c r="D993">
        <f>IF(Assumptions!$B$44&gt;(Assumptions!$B$38+E963)*N992,"preference","convert")</f>
        <v/>
      </c>
      <c r="E993">
        <f>IF(Assumptions!$B$43&gt;Assumptions!$B$36*N992,"preference","convert")</f>
        <v/>
      </c>
      <c r="F993">
        <f>IF(Assumptions!$B$42&gt;Assumptions!$B$35*N992,"preference","convert")</f>
        <v/>
      </c>
      <c r="G993">
        <f>IF(Assumptions!$B$41&gt;Assumptions!$B$34*N992,"preference","convert")</f>
        <v/>
      </c>
      <c r="H993">
        <f>IF(Assumptions!$B$40&gt;Assumptions!$B$33*N992,"preference","convert")</f>
        <v/>
      </c>
      <c r="I993">
        <f>IF(B993="preference",Assumptions!$B$4,0)+IF(C993="preference",Assumptions!$B$45,0)+IF(D993="preference",Assumptions!$B$44,0)+IF(E993="preference",Assumptions!$B$43,0)+IF(F993="preference",Assumptions!$B$42,0)+IF(G993="preference",Assumptions!$B$41,0)+IF(H993="preference",Assumptions!$B$40,0)</f>
        <v/>
      </c>
      <c r="J993">
        <f>IF(B993="convert",(Assumptions!$B$4/B963),0)+IF(C993="convert",(Assumptions!$B$39+F963),0)+IF(D993="convert",(Assumptions!$B$38+E963),0)+IF(E993="convert",Assumptions!$B$36,0)+IF(F993="convert",Assumptions!$B$35,0)+IF(G993="convert",Assumptions!$B$34,0)+IF(H993="convert",Assumptions!$B$33,0)</f>
        <v/>
      </c>
      <c r="K993">
        <f>(Assumptions!$B$46+Assumptions!$B$47+Assumptions!$B$48)+Assumptions!$B$49+(H963+I963)+J993</f>
        <v/>
      </c>
      <c r="L993">
        <f>(Assumptions!$B$13-I993+Assumptions!$B$31*Assumptions!$B$10)/(K993+Assumptions!$B$31)</f>
        <v/>
      </c>
      <c r="M993">
        <f>IF(L993&gt;Assumptions!$B$10,"yes","no")</f>
        <v/>
      </c>
      <c r="N993">
        <f>IF(M993="yes",L993,MAX(0,(Assumptions!$B$13-I993)/K993))</f>
        <v/>
      </c>
      <c r="O993">
        <f>IF(M993="yes",Assumptions!$B$31*(N993-Assumptions!$B$10),0)</f>
        <v/>
      </c>
    </row>
    <row r="994">
      <c r="A994" t="inlineStr">
        <is>
          <t>iter 26</t>
        </is>
      </c>
      <c r="B994">
        <f>IF(Assumptions!$B$4&gt;(Assumptions!$B$4/B963)*N993,"preference","convert")</f>
        <v/>
      </c>
      <c r="C994">
        <f>IF(Assumptions!$B$45&gt;(Assumptions!$B$39+F963)*N993,"preference","convert")</f>
        <v/>
      </c>
      <c r="D994">
        <f>IF(Assumptions!$B$44&gt;(Assumptions!$B$38+E963)*N993,"preference","convert")</f>
        <v/>
      </c>
      <c r="E994">
        <f>IF(Assumptions!$B$43&gt;Assumptions!$B$36*N993,"preference","convert")</f>
        <v/>
      </c>
      <c r="F994">
        <f>IF(Assumptions!$B$42&gt;Assumptions!$B$35*N993,"preference","convert")</f>
        <v/>
      </c>
      <c r="G994">
        <f>IF(Assumptions!$B$41&gt;Assumptions!$B$34*N993,"preference","convert")</f>
        <v/>
      </c>
      <c r="H994">
        <f>IF(Assumptions!$B$40&gt;Assumptions!$B$33*N993,"preference","convert")</f>
        <v/>
      </c>
      <c r="I994">
        <f>IF(B994="preference",Assumptions!$B$4,0)+IF(C994="preference",Assumptions!$B$45,0)+IF(D994="preference",Assumptions!$B$44,0)+IF(E994="preference",Assumptions!$B$43,0)+IF(F994="preference",Assumptions!$B$42,0)+IF(G994="preference",Assumptions!$B$41,0)+IF(H994="preference",Assumptions!$B$40,0)</f>
        <v/>
      </c>
      <c r="J994">
        <f>IF(B994="convert",(Assumptions!$B$4/B963),0)+IF(C994="convert",(Assumptions!$B$39+F963),0)+IF(D994="convert",(Assumptions!$B$38+E963),0)+IF(E994="convert",Assumptions!$B$36,0)+IF(F994="convert",Assumptions!$B$35,0)+IF(G994="convert",Assumptions!$B$34,0)+IF(H994="convert",Assumptions!$B$33,0)</f>
        <v/>
      </c>
      <c r="K994">
        <f>(Assumptions!$B$46+Assumptions!$B$47+Assumptions!$B$48)+Assumptions!$B$49+(H963+I963)+J994</f>
        <v/>
      </c>
      <c r="L994">
        <f>(Assumptions!$B$13-I994+Assumptions!$B$31*Assumptions!$B$10)/(K994+Assumptions!$B$31)</f>
        <v/>
      </c>
      <c r="M994">
        <f>IF(L994&gt;Assumptions!$B$10,"yes","no")</f>
        <v/>
      </c>
      <c r="N994">
        <f>IF(M994="yes",L994,MAX(0,(Assumptions!$B$13-I994)/K994))</f>
        <v/>
      </c>
      <c r="O994">
        <f>IF(M994="yes",Assumptions!$B$31*(N994-Assumptions!$B$10),0)</f>
        <v/>
      </c>
    </row>
    <row r="995">
      <c r="A995" t="inlineStr">
        <is>
          <t>iter 27</t>
        </is>
      </c>
      <c r="B995">
        <f>IF(Assumptions!$B$4&gt;(Assumptions!$B$4/B963)*N994,"preference","convert")</f>
        <v/>
      </c>
      <c r="C995">
        <f>IF(Assumptions!$B$45&gt;(Assumptions!$B$39+F963)*N994,"preference","convert")</f>
        <v/>
      </c>
      <c r="D995">
        <f>IF(Assumptions!$B$44&gt;(Assumptions!$B$38+E963)*N994,"preference","convert")</f>
        <v/>
      </c>
      <c r="E995">
        <f>IF(Assumptions!$B$43&gt;Assumptions!$B$36*N994,"preference","convert")</f>
        <v/>
      </c>
      <c r="F995">
        <f>IF(Assumptions!$B$42&gt;Assumptions!$B$35*N994,"preference","convert")</f>
        <v/>
      </c>
      <c r="G995">
        <f>IF(Assumptions!$B$41&gt;Assumptions!$B$34*N994,"preference","convert")</f>
        <v/>
      </c>
      <c r="H995">
        <f>IF(Assumptions!$B$40&gt;Assumptions!$B$33*N994,"preference","convert")</f>
        <v/>
      </c>
      <c r="I995">
        <f>IF(B995="preference",Assumptions!$B$4,0)+IF(C995="preference",Assumptions!$B$45,0)+IF(D995="preference",Assumptions!$B$44,0)+IF(E995="preference",Assumptions!$B$43,0)+IF(F995="preference",Assumptions!$B$42,0)+IF(G995="preference",Assumptions!$B$41,0)+IF(H995="preference",Assumptions!$B$40,0)</f>
        <v/>
      </c>
      <c r="J995">
        <f>IF(B995="convert",(Assumptions!$B$4/B963),0)+IF(C995="convert",(Assumptions!$B$39+F963),0)+IF(D995="convert",(Assumptions!$B$38+E963),0)+IF(E995="convert",Assumptions!$B$36,0)+IF(F995="convert",Assumptions!$B$35,0)+IF(G995="convert",Assumptions!$B$34,0)+IF(H995="convert",Assumptions!$B$33,0)</f>
        <v/>
      </c>
      <c r="K995">
        <f>(Assumptions!$B$46+Assumptions!$B$47+Assumptions!$B$48)+Assumptions!$B$49+(H963+I963)+J995</f>
        <v/>
      </c>
      <c r="L995">
        <f>(Assumptions!$B$13-I995+Assumptions!$B$31*Assumptions!$B$10)/(K995+Assumptions!$B$31)</f>
        <v/>
      </c>
      <c r="M995">
        <f>IF(L995&gt;Assumptions!$B$10,"yes","no")</f>
        <v/>
      </c>
      <c r="N995">
        <f>IF(M995="yes",L995,MAX(0,(Assumptions!$B$13-I995)/K995))</f>
        <v/>
      </c>
      <c r="O995">
        <f>IF(M995="yes",Assumptions!$B$31*(N995-Assumptions!$B$10),0)</f>
        <v/>
      </c>
    </row>
    <row r="996">
      <c r="A996" t="inlineStr">
        <is>
          <t>iter 28</t>
        </is>
      </c>
      <c r="B996">
        <f>IF(Assumptions!$B$4&gt;(Assumptions!$B$4/B963)*N995,"preference","convert")</f>
        <v/>
      </c>
      <c r="C996">
        <f>IF(Assumptions!$B$45&gt;(Assumptions!$B$39+F963)*N995,"preference","convert")</f>
        <v/>
      </c>
      <c r="D996">
        <f>IF(Assumptions!$B$44&gt;(Assumptions!$B$38+E963)*N995,"preference","convert")</f>
        <v/>
      </c>
      <c r="E996">
        <f>IF(Assumptions!$B$43&gt;Assumptions!$B$36*N995,"preference","convert")</f>
        <v/>
      </c>
      <c r="F996">
        <f>IF(Assumptions!$B$42&gt;Assumptions!$B$35*N995,"preference","convert")</f>
        <v/>
      </c>
      <c r="G996">
        <f>IF(Assumptions!$B$41&gt;Assumptions!$B$34*N995,"preference","convert")</f>
        <v/>
      </c>
      <c r="H996">
        <f>IF(Assumptions!$B$40&gt;Assumptions!$B$33*N995,"preference","convert")</f>
        <v/>
      </c>
      <c r="I996">
        <f>IF(B996="preference",Assumptions!$B$4,0)+IF(C996="preference",Assumptions!$B$45,0)+IF(D996="preference",Assumptions!$B$44,0)+IF(E996="preference",Assumptions!$B$43,0)+IF(F996="preference",Assumptions!$B$42,0)+IF(G996="preference",Assumptions!$B$41,0)+IF(H996="preference",Assumptions!$B$40,0)</f>
        <v/>
      </c>
      <c r="J996">
        <f>IF(B996="convert",(Assumptions!$B$4/B963),0)+IF(C996="convert",(Assumptions!$B$39+F963),0)+IF(D996="convert",(Assumptions!$B$38+E963),0)+IF(E996="convert",Assumptions!$B$36,0)+IF(F996="convert",Assumptions!$B$35,0)+IF(G996="convert",Assumptions!$B$34,0)+IF(H996="convert",Assumptions!$B$33,0)</f>
        <v/>
      </c>
      <c r="K996">
        <f>(Assumptions!$B$46+Assumptions!$B$47+Assumptions!$B$48)+Assumptions!$B$49+(H963+I963)+J996</f>
        <v/>
      </c>
      <c r="L996">
        <f>(Assumptions!$B$13-I996+Assumptions!$B$31*Assumptions!$B$10)/(K996+Assumptions!$B$31)</f>
        <v/>
      </c>
      <c r="M996">
        <f>IF(L996&gt;Assumptions!$B$10,"yes","no")</f>
        <v/>
      </c>
      <c r="N996">
        <f>IF(M996="yes",L996,MAX(0,(Assumptions!$B$13-I996)/K996))</f>
        <v/>
      </c>
      <c r="O996">
        <f>IF(M996="yes",Assumptions!$B$31*(N996-Assumptions!$B$10),0)</f>
        <v/>
      </c>
    </row>
    <row r="997">
      <c r="A997" t="inlineStr">
        <is>
          <t>iter 29</t>
        </is>
      </c>
      <c r="B997">
        <f>IF(Assumptions!$B$4&gt;(Assumptions!$B$4/B963)*N996,"preference","convert")</f>
        <v/>
      </c>
      <c r="C997">
        <f>IF(Assumptions!$B$45&gt;(Assumptions!$B$39+F963)*N996,"preference","convert")</f>
        <v/>
      </c>
      <c r="D997">
        <f>IF(Assumptions!$B$44&gt;(Assumptions!$B$38+E963)*N996,"preference","convert")</f>
        <v/>
      </c>
      <c r="E997">
        <f>IF(Assumptions!$B$43&gt;Assumptions!$B$36*N996,"preference","convert")</f>
        <v/>
      </c>
      <c r="F997">
        <f>IF(Assumptions!$B$42&gt;Assumptions!$B$35*N996,"preference","convert")</f>
        <v/>
      </c>
      <c r="G997">
        <f>IF(Assumptions!$B$41&gt;Assumptions!$B$34*N996,"preference","convert")</f>
        <v/>
      </c>
      <c r="H997">
        <f>IF(Assumptions!$B$40&gt;Assumptions!$B$33*N996,"preference","convert")</f>
        <v/>
      </c>
      <c r="I997">
        <f>IF(B997="preference",Assumptions!$B$4,0)+IF(C997="preference",Assumptions!$B$45,0)+IF(D997="preference",Assumptions!$B$44,0)+IF(E997="preference",Assumptions!$B$43,0)+IF(F997="preference",Assumptions!$B$42,0)+IF(G997="preference",Assumptions!$B$41,0)+IF(H997="preference",Assumptions!$B$40,0)</f>
        <v/>
      </c>
      <c r="J997">
        <f>IF(B997="convert",(Assumptions!$B$4/B963),0)+IF(C997="convert",(Assumptions!$B$39+F963),0)+IF(D997="convert",(Assumptions!$B$38+E963),0)+IF(E997="convert",Assumptions!$B$36,0)+IF(F997="convert",Assumptions!$B$35,0)+IF(G997="convert",Assumptions!$B$34,0)+IF(H997="convert",Assumptions!$B$33,0)</f>
        <v/>
      </c>
      <c r="K997">
        <f>(Assumptions!$B$46+Assumptions!$B$47+Assumptions!$B$48)+Assumptions!$B$49+(H963+I963)+J997</f>
        <v/>
      </c>
      <c r="L997">
        <f>(Assumptions!$B$13-I997+Assumptions!$B$31*Assumptions!$B$10)/(K997+Assumptions!$B$31)</f>
        <v/>
      </c>
      <c r="M997">
        <f>IF(L997&gt;Assumptions!$B$10,"yes","no")</f>
        <v/>
      </c>
      <c r="N997">
        <f>IF(M997="yes",L997,MAX(0,(Assumptions!$B$13-I997)/K997))</f>
        <v/>
      </c>
      <c r="O997">
        <f>IF(M997="yes",Assumptions!$B$31*(N997-Assumptions!$B$10),0)</f>
        <v/>
      </c>
    </row>
    <row r="998">
      <c r="A998" t="inlineStr">
        <is>
          <t>iter 30</t>
        </is>
      </c>
      <c r="B998">
        <f>IF(Assumptions!$B$4&gt;(Assumptions!$B$4/B963)*N997,"preference","convert")</f>
        <v/>
      </c>
      <c r="C998">
        <f>IF(Assumptions!$B$45&gt;(Assumptions!$B$39+F963)*N997,"preference","convert")</f>
        <v/>
      </c>
      <c r="D998">
        <f>IF(Assumptions!$B$44&gt;(Assumptions!$B$38+E963)*N997,"preference","convert")</f>
        <v/>
      </c>
      <c r="E998">
        <f>IF(Assumptions!$B$43&gt;Assumptions!$B$36*N997,"preference","convert")</f>
        <v/>
      </c>
      <c r="F998">
        <f>IF(Assumptions!$B$42&gt;Assumptions!$B$35*N997,"preference","convert")</f>
        <v/>
      </c>
      <c r="G998">
        <f>IF(Assumptions!$B$41&gt;Assumptions!$B$34*N997,"preference","convert")</f>
        <v/>
      </c>
      <c r="H998">
        <f>IF(Assumptions!$B$40&gt;Assumptions!$B$33*N997,"preference","convert")</f>
        <v/>
      </c>
      <c r="I998">
        <f>IF(B998="preference",Assumptions!$B$4,0)+IF(C998="preference",Assumptions!$B$45,0)+IF(D998="preference",Assumptions!$B$44,0)+IF(E998="preference",Assumptions!$B$43,0)+IF(F998="preference",Assumptions!$B$42,0)+IF(G998="preference",Assumptions!$B$41,0)+IF(H998="preference",Assumptions!$B$40,0)</f>
        <v/>
      </c>
      <c r="J998">
        <f>IF(B998="convert",(Assumptions!$B$4/B963),0)+IF(C998="convert",(Assumptions!$B$39+F963),0)+IF(D998="convert",(Assumptions!$B$38+E963),0)+IF(E998="convert",Assumptions!$B$36,0)+IF(F998="convert",Assumptions!$B$35,0)+IF(G998="convert",Assumptions!$B$34,0)+IF(H998="convert",Assumptions!$B$33,0)</f>
        <v/>
      </c>
      <c r="K998">
        <f>(Assumptions!$B$46+Assumptions!$B$47+Assumptions!$B$48)+Assumptions!$B$49+(H963+I963)+J998</f>
        <v/>
      </c>
      <c r="L998">
        <f>(Assumptions!$B$13-I998+Assumptions!$B$31*Assumptions!$B$10)/(K998+Assumptions!$B$31)</f>
        <v/>
      </c>
      <c r="M998">
        <f>IF(L998&gt;Assumptions!$B$10,"yes","no")</f>
        <v/>
      </c>
      <c r="N998">
        <f>IF(M998="yes",L998,MAX(0,(Assumptions!$B$13-I998)/K998))</f>
        <v/>
      </c>
      <c r="O998">
        <f>IF(M998="yes",Assumptions!$B$31*(N998-Assumptions!$B$10),0)</f>
        <v/>
      </c>
    </row>
    <row r="1000">
      <c r="A1000" t="inlineStr">
        <is>
          <t>Our shares (post-F)</t>
        </is>
      </c>
      <c r="B1000">
        <f>(Assumptions!$B$8/B963)</f>
        <v/>
      </c>
    </row>
    <row r="1001">
      <c r="A1001" t="inlineStr">
        <is>
          <t>Our ownership % (of T_F)</t>
        </is>
      </c>
      <c r="B1001">
        <f>(Assumptions!$B$8/B963)/K963</f>
        <v/>
      </c>
    </row>
    <row r="1002">
      <c r="A1002" t="inlineStr">
        <is>
          <t>Our $ proceeds at $2B</t>
        </is>
      </c>
      <c r="B1002">
        <f>IF(B998="convert",(Assumptions!$B$8/B963)*N998,(Assumptions!$B$8/B963)*B963)</f>
        <v/>
      </c>
    </row>
    <row r="1005">
      <c r="A1005" s="1" t="inlineStr">
        <is>
          <t>Cell (2,2) — ESOP=high, Pre=high</t>
        </is>
      </c>
    </row>
    <row r="1006">
      <c r="A1006" s="1" t="inlineStr">
        <is>
          <t>Step</t>
        </is>
      </c>
      <c r="B1006" s="1" t="inlineStr">
        <is>
          <t>F_PPS</t>
        </is>
      </c>
      <c r="C1006" s="1" t="inlineStr">
        <is>
          <t>D_NCP</t>
        </is>
      </c>
      <c r="D1006" s="1" t="inlineStr">
        <is>
          <t>E_NCP</t>
        </is>
      </c>
      <c r="E1006" s="1" t="inlineStr">
        <is>
          <t>ΔD</t>
        </is>
      </c>
      <c r="F1006" s="1" t="inlineStr">
        <is>
          <t>ΔE</t>
        </is>
      </c>
      <c r="G1006" s="1" t="inlineStr">
        <is>
          <t>ESOP</t>
        </is>
      </c>
      <c r="H1006" s="1" t="inlineStr">
        <is>
          <t>N_A</t>
        </is>
      </c>
      <c r="I1006" s="1" t="inlineStr">
        <is>
          <t>N_B</t>
        </is>
      </c>
      <c r="J1006" s="1" t="inlineStr">
        <is>
          <t>preFD</t>
        </is>
      </c>
      <c r="K1006" s="1" t="inlineStr">
        <is>
          <t>T_F</t>
        </is>
      </c>
      <c r="L1006" s="1" t="inlineStr">
        <is>
          <t>F_PPS chk</t>
        </is>
      </c>
    </row>
    <row r="1007">
      <c r="A1007" t="inlineStr">
        <is>
          <t>cell(2,2) seed</t>
        </is>
      </c>
      <c r="B1007">
        <f>Assumptions!$B$55/Assumptions!$B$29</f>
        <v/>
      </c>
      <c r="C1007">
        <f>Assumptions!$B$20</f>
        <v/>
      </c>
      <c r="D1007">
        <f>Assumptions!$B$21</f>
        <v/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>
        <f>Assumptions!$B$29</f>
        <v/>
      </c>
      <c r="K1007">
        <f>J1007+Assumptions!$B$4/B1007</f>
        <v/>
      </c>
      <c r="L1007">
        <f>B1007</f>
        <v/>
      </c>
    </row>
    <row r="1008">
      <c r="A1008" t="inlineStr">
        <is>
          <t>cell(2,2) iter 1</t>
        </is>
      </c>
      <c r="B1008">
        <f>Assumptions!$B$55/J1007</f>
        <v/>
      </c>
      <c r="C1008">
        <f>IF(B1008&lt;Assumptions!$B$20,Assumptions!$B$20*(Assumptions!$B$29+Assumptions!$B$4/Assumptions!$B$20)/(Assumptions!$B$29+Assumptions!$B$4/B1008),Assumptions!$B$20)</f>
        <v/>
      </c>
      <c r="D1008">
        <f>IF(B1008&lt;Assumptions!$B$21,Assumptions!$B$21*(Assumptions!$B$29+Assumptions!$B$4/Assumptions!$B$21)/(Assumptions!$B$29+Assumptions!$B$4/B1008),Assumptions!$B$21)</f>
        <v/>
      </c>
      <c r="E1008">
        <f>Assumptions!$B$37*Assumptions!$B$22/C1008-Assumptions!$B$38</f>
        <v/>
      </c>
      <c r="F1008">
        <f>Assumptions!$B$39*Assumptions!$B$21/D1008-Assumptions!$B$39</f>
        <v/>
      </c>
      <c r="G1008">
        <f>MAX(0,Assumptions!$B$52*(Assumptions!$B$29+E1008+F1008+G1007+H1007+I1007+Assumptions!$B$4/B1008)-Assumptions!$B$30)</f>
        <v/>
      </c>
      <c r="H1008">
        <f>Assumptions!$B$23/MIN(Assumptions!$B$24/(Assumptions!$B$29+E1008+F1008+G1008+I1007),B1008*(1-Assumptions!$B$25))</f>
        <v/>
      </c>
      <c r="I1008">
        <f>Assumptions!$B$26/MIN(Assumptions!$B$27/(Assumptions!$B$29+E1008+F1008+G1008+H1008),B1008*(1-Assumptions!$B$28))</f>
        <v/>
      </c>
      <c r="J1008">
        <f>Assumptions!$B$29+E1008+F1008+G1008+H1008+I1008</f>
        <v/>
      </c>
      <c r="K1008">
        <f>J1008+Assumptions!$B$4/B1008</f>
        <v/>
      </c>
      <c r="L1008">
        <f>B1008</f>
        <v/>
      </c>
    </row>
    <row r="1009">
      <c r="A1009" t="inlineStr">
        <is>
          <t>cell(2,2) iter 2</t>
        </is>
      </c>
      <c r="B1009">
        <f>Assumptions!$B$55/J1008</f>
        <v/>
      </c>
      <c r="C1009">
        <f>IF(B1009&lt;Assumptions!$B$20,Assumptions!$B$20*(Assumptions!$B$29+Assumptions!$B$4/Assumptions!$B$20)/(Assumptions!$B$29+Assumptions!$B$4/B1009),Assumptions!$B$20)</f>
        <v/>
      </c>
      <c r="D1009">
        <f>IF(B1009&lt;Assumptions!$B$21,Assumptions!$B$21*(Assumptions!$B$29+Assumptions!$B$4/Assumptions!$B$21)/(Assumptions!$B$29+Assumptions!$B$4/B1009),Assumptions!$B$21)</f>
        <v/>
      </c>
      <c r="E1009">
        <f>Assumptions!$B$37*Assumptions!$B$22/C1009-Assumptions!$B$38</f>
        <v/>
      </c>
      <c r="F1009">
        <f>Assumptions!$B$39*Assumptions!$B$21/D1009-Assumptions!$B$39</f>
        <v/>
      </c>
      <c r="G1009">
        <f>MAX(0,Assumptions!$B$52*(Assumptions!$B$29+E1009+F1009+G1008+H1008+I1008+Assumptions!$B$4/B1009)-Assumptions!$B$30)</f>
        <v/>
      </c>
      <c r="H1009">
        <f>Assumptions!$B$23/MIN(Assumptions!$B$24/(Assumptions!$B$29+E1009+F1009+G1009+I1008),B1009*(1-Assumptions!$B$25))</f>
        <v/>
      </c>
      <c r="I1009">
        <f>Assumptions!$B$26/MIN(Assumptions!$B$27/(Assumptions!$B$29+E1009+F1009+G1009+H1009),B1009*(1-Assumptions!$B$28))</f>
        <v/>
      </c>
      <c r="J1009">
        <f>Assumptions!$B$29+E1009+F1009+G1009+H1009+I1009</f>
        <v/>
      </c>
      <c r="K1009">
        <f>J1009+Assumptions!$B$4/B1009</f>
        <v/>
      </c>
      <c r="L1009">
        <f>B1009</f>
        <v/>
      </c>
    </row>
    <row r="1010">
      <c r="A1010" t="inlineStr">
        <is>
          <t>cell(2,2) iter 3</t>
        </is>
      </c>
      <c r="B1010">
        <f>Assumptions!$B$55/J1009</f>
        <v/>
      </c>
      <c r="C1010">
        <f>IF(B1010&lt;Assumptions!$B$20,Assumptions!$B$20*(Assumptions!$B$29+Assumptions!$B$4/Assumptions!$B$20)/(Assumptions!$B$29+Assumptions!$B$4/B1010),Assumptions!$B$20)</f>
        <v/>
      </c>
      <c r="D1010">
        <f>IF(B1010&lt;Assumptions!$B$21,Assumptions!$B$21*(Assumptions!$B$29+Assumptions!$B$4/Assumptions!$B$21)/(Assumptions!$B$29+Assumptions!$B$4/B1010),Assumptions!$B$21)</f>
        <v/>
      </c>
      <c r="E1010">
        <f>Assumptions!$B$37*Assumptions!$B$22/C1010-Assumptions!$B$38</f>
        <v/>
      </c>
      <c r="F1010">
        <f>Assumptions!$B$39*Assumptions!$B$21/D1010-Assumptions!$B$39</f>
        <v/>
      </c>
      <c r="G1010">
        <f>MAX(0,Assumptions!$B$52*(Assumptions!$B$29+E1010+F1010+G1009+H1009+I1009+Assumptions!$B$4/B1010)-Assumptions!$B$30)</f>
        <v/>
      </c>
      <c r="H1010">
        <f>Assumptions!$B$23/MIN(Assumptions!$B$24/(Assumptions!$B$29+E1010+F1010+G1010+I1009),B1010*(1-Assumptions!$B$25))</f>
        <v/>
      </c>
      <c r="I1010">
        <f>Assumptions!$B$26/MIN(Assumptions!$B$27/(Assumptions!$B$29+E1010+F1010+G1010+H1010),B1010*(1-Assumptions!$B$28))</f>
        <v/>
      </c>
      <c r="J1010">
        <f>Assumptions!$B$29+E1010+F1010+G1010+H1010+I1010</f>
        <v/>
      </c>
      <c r="K1010">
        <f>J1010+Assumptions!$B$4/B1010</f>
        <v/>
      </c>
      <c r="L1010">
        <f>B1010</f>
        <v/>
      </c>
    </row>
    <row r="1011">
      <c r="A1011" t="inlineStr">
        <is>
          <t>cell(2,2) iter 4</t>
        </is>
      </c>
      <c r="B1011">
        <f>Assumptions!$B$55/J1010</f>
        <v/>
      </c>
      <c r="C1011">
        <f>IF(B1011&lt;Assumptions!$B$20,Assumptions!$B$20*(Assumptions!$B$29+Assumptions!$B$4/Assumptions!$B$20)/(Assumptions!$B$29+Assumptions!$B$4/B1011),Assumptions!$B$20)</f>
        <v/>
      </c>
      <c r="D1011">
        <f>IF(B1011&lt;Assumptions!$B$21,Assumptions!$B$21*(Assumptions!$B$29+Assumptions!$B$4/Assumptions!$B$21)/(Assumptions!$B$29+Assumptions!$B$4/B1011),Assumptions!$B$21)</f>
        <v/>
      </c>
      <c r="E1011">
        <f>Assumptions!$B$37*Assumptions!$B$22/C1011-Assumptions!$B$38</f>
        <v/>
      </c>
      <c r="F1011">
        <f>Assumptions!$B$39*Assumptions!$B$21/D1011-Assumptions!$B$39</f>
        <v/>
      </c>
      <c r="G1011">
        <f>MAX(0,Assumptions!$B$52*(Assumptions!$B$29+E1011+F1011+G1010+H1010+I1010+Assumptions!$B$4/B1011)-Assumptions!$B$30)</f>
        <v/>
      </c>
      <c r="H1011">
        <f>Assumptions!$B$23/MIN(Assumptions!$B$24/(Assumptions!$B$29+E1011+F1011+G1011+I1010),B1011*(1-Assumptions!$B$25))</f>
        <v/>
      </c>
      <c r="I1011">
        <f>Assumptions!$B$26/MIN(Assumptions!$B$27/(Assumptions!$B$29+E1011+F1011+G1011+H1011),B1011*(1-Assumptions!$B$28))</f>
        <v/>
      </c>
      <c r="J1011">
        <f>Assumptions!$B$29+E1011+F1011+G1011+H1011+I1011</f>
        <v/>
      </c>
      <c r="K1011">
        <f>J1011+Assumptions!$B$4/B1011</f>
        <v/>
      </c>
      <c r="L1011">
        <f>B1011</f>
        <v/>
      </c>
    </row>
    <row r="1012">
      <c r="A1012" t="inlineStr">
        <is>
          <t>cell(2,2) iter 5</t>
        </is>
      </c>
      <c r="B1012">
        <f>Assumptions!$B$55/J1011</f>
        <v/>
      </c>
      <c r="C1012">
        <f>IF(B1012&lt;Assumptions!$B$20,Assumptions!$B$20*(Assumptions!$B$29+Assumptions!$B$4/Assumptions!$B$20)/(Assumptions!$B$29+Assumptions!$B$4/B1012),Assumptions!$B$20)</f>
        <v/>
      </c>
      <c r="D1012">
        <f>IF(B1012&lt;Assumptions!$B$21,Assumptions!$B$21*(Assumptions!$B$29+Assumptions!$B$4/Assumptions!$B$21)/(Assumptions!$B$29+Assumptions!$B$4/B1012),Assumptions!$B$21)</f>
        <v/>
      </c>
      <c r="E1012">
        <f>Assumptions!$B$37*Assumptions!$B$22/C1012-Assumptions!$B$38</f>
        <v/>
      </c>
      <c r="F1012">
        <f>Assumptions!$B$39*Assumptions!$B$21/D1012-Assumptions!$B$39</f>
        <v/>
      </c>
      <c r="G1012">
        <f>MAX(0,Assumptions!$B$52*(Assumptions!$B$29+E1012+F1012+G1011+H1011+I1011+Assumptions!$B$4/B1012)-Assumptions!$B$30)</f>
        <v/>
      </c>
      <c r="H1012">
        <f>Assumptions!$B$23/MIN(Assumptions!$B$24/(Assumptions!$B$29+E1012+F1012+G1012+I1011),B1012*(1-Assumptions!$B$25))</f>
        <v/>
      </c>
      <c r="I1012">
        <f>Assumptions!$B$26/MIN(Assumptions!$B$27/(Assumptions!$B$29+E1012+F1012+G1012+H1012),B1012*(1-Assumptions!$B$28))</f>
        <v/>
      </c>
      <c r="J1012">
        <f>Assumptions!$B$29+E1012+F1012+G1012+H1012+I1012</f>
        <v/>
      </c>
      <c r="K1012">
        <f>J1012+Assumptions!$B$4/B1012</f>
        <v/>
      </c>
      <c r="L1012">
        <f>B1012</f>
        <v/>
      </c>
    </row>
    <row r="1013">
      <c r="A1013" t="inlineStr">
        <is>
          <t>cell(2,2) iter 6</t>
        </is>
      </c>
      <c r="B1013">
        <f>Assumptions!$B$55/J1012</f>
        <v/>
      </c>
      <c r="C1013">
        <f>IF(B1013&lt;Assumptions!$B$20,Assumptions!$B$20*(Assumptions!$B$29+Assumptions!$B$4/Assumptions!$B$20)/(Assumptions!$B$29+Assumptions!$B$4/B1013),Assumptions!$B$20)</f>
        <v/>
      </c>
      <c r="D1013">
        <f>IF(B1013&lt;Assumptions!$B$21,Assumptions!$B$21*(Assumptions!$B$29+Assumptions!$B$4/Assumptions!$B$21)/(Assumptions!$B$29+Assumptions!$B$4/B1013),Assumptions!$B$21)</f>
        <v/>
      </c>
      <c r="E1013">
        <f>Assumptions!$B$37*Assumptions!$B$22/C1013-Assumptions!$B$38</f>
        <v/>
      </c>
      <c r="F1013">
        <f>Assumptions!$B$39*Assumptions!$B$21/D1013-Assumptions!$B$39</f>
        <v/>
      </c>
      <c r="G1013">
        <f>MAX(0,Assumptions!$B$52*(Assumptions!$B$29+E1013+F1013+G1012+H1012+I1012+Assumptions!$B$4/B1013)-Assumptions!$B$30)</f>
        <v/>
      </c>
      <c r="H1013">
        <f>Assumptions!$B$23/MIN(Assumptions!$B$24/(Assumptions!$B$29+E1013+F1013+G1013+I1012),B1013*(1-Assumptions!$B$25))</f>
        <v/>
      </c>
      <c r="I1013">
        <f>Assumptions!$B$26/MIN(Assumptions!$B$27/(Assumptions!$B$29+E1013+F1013+G1013+H1013),B1013*(1-Assumptions!$B$28))</f>
        <v/>
      </c>
      <c r="J1013">
        <f>Assumptions!$B$29+E1013+F1013+G1013+H1013+I1013</f>
        <v/>
      </c>
      <c r="K1013">
        <f>J1013+Assumptions!$B$4/B1013</f>
        <v/>
      </c>
      <c r="L1013">
        <f>B1013</f>
        <v/>
      </c>
    </row>
    <row r="1014">
      <c r="A1014" t="inlineStr">
        <is>
          <t>cell(2,2) iter 7</t>
        </is>
      </c>
      <c r="B1014">
        <f>Assumptions!$B$55/J1013</f>
        <v/>
      </c>
      <c r="C1014">
        <f>IF(B1014&lt;Assumptions!$B$20,Assumptions!$B$20*(Assumptions!$B$29+Assumptions!$B$4/Assumptions!$B$20)/(Assumptions!$B$29+Assumptions!$B$4/B1014),Assumptions!$B$20)</f>
        <v/>
      </c>
      <c r="D1014">
        <f>IF(B1014&lt;Assumptions!$B$21,Assumptions!$B$21*(Assumptions!$B$29+Assumptions!$B$4/Assumptions!$B$21)/(Assumptions!$B$29+Assumptions!$B$4/B1014),Assumptions!$B$21)</f>
        <v/>
      </c>
      <c r="E1014">
        <f>Assumptions!$B$37*Assumptions!$B$22/C1014-Assumptions!$B$38</f>
        <v/>
      </c>
      <c r="F1014">
        <f>Assumptions!$B$39*Assumptions!$B$21/D1014-Assumptions!$B$39</f>
        <v/>
      </c>
      <c r="G1014">
        <f>MAX(0,Assumptions!$B$52*(Assumptions!$B$29+E1014+F1014+G1013+H1013+I1013+Assumptions!$B$4/B1014)-Assumptions!$B$30)</f>
        <v/>
      </c>
      <c r="H1014">
        <f>Assumptions!$B$23/MIN(Assumptions!$B$24/(Assumptions!$B$29+E1014+F1014+G1014+I1013),B1014*(1-Assumptions!$B$25))</f>
        <v/>
      </c>
      <c r="I1014">
        <f>Assumptions!$B$26/MIN(Assumptions!$B$27/(Assumptions!$B$29+E1014+F1014+G1014+H1014),B1014*(1-Assumptions!$B$28))</f>
        <v/>
      </c>
      <c r="J1014">
        <f>Assumptions!$B$29+E1014+F1014+G1014+H1014+I1014</f>
        <v/>
      </c>
      <c r="K1014">
        <f>J1014+Assumptions!$B$4/B1014</f>
        <v/>
      </c>
      <c r="L1014">
        <f>B1014</f>
        <v/>
      </c>
    </row>
    <row r="1015">
      <c r="A1015" t="inlineStr">
        <is>
          <t>cell(2,2) iter 8</t>
        </is>
      </c>
      <c r="B1015">
        <f>Assumptions!$B$55/J1014</f>
        <v/>
      </c>
      <c r="C1015">
        <f>IF(B1015&lt;Assumptions!$B$20,Assumptions!$B$20*(Assumptions!$B$29+Assumptions!$B$4/Assumptions!$B$20)/(Assumptions!$B$29+Assumptions!$B$4/B1015),Assumptions!$B$20)</f>
        <v/>
      </c>
      <c r="D1015">
        <f>IF(B1015&lt;Assumptions!$B$21,Assumptions!$B$21*(Assumptions!$B$29+Assumptions!$B$4/Assumptions!$B$21)/(Assumptions!$B$29+Assumptions!$B$4/B1015),Assumptions!$B$21)</f>
        <v/>
      </c>
      <c r="E1015">
        <f>Assumptions!$B$37*Assumptions!$B$22/C1015-Assumptions!$B$38</f>
        <v/>
      </c>
      <c r="F1015">
        <f>Assumptions!$B$39*Assumptions!$B$21/D1015-Assumptions!$B$39</f>
        <v/>
      </c>
      <c r="G1015">
        <f>MAX(0,Assumptions!$B$52*(Assumptions!$B$29+E1015+F1015+G1014+H1014+I1014+Assumptions!$B$4/B1015)-Assumptions!$B$30)</f>
        <v/>
      </c>
      <c r="H1015">
        <f>Assumptions!$B$23/MIN(Assumptions!$B$24/(Assumptions!$B$29+E1015+F1015+G1015+I1014),B1015*(1-Assumptions!$B$25))</f>
        <v/>
      </c>
      <c r="I1015">
        <f>Assumptions!$B$26/MIN(Assumptions!$B$27/(Assumptions!$B$29+E1015+F1015+G1015+H1015),B1015*(1-Assumptions!$B$28))</f>
        <v/>
      </c>
      <c r="J1015">
        <f>Assumptions!$B$29+E1015+F1015+G1015+H1015+I1015</f>
        <v/>
      </c>
      <c r="K1015">
        <f>J1015+Assumptions!$B$4/B1015</f>
        <v/>
      </c>
      <c r="L1015">
        <f>B1015</f>
        <v/>
      </c>
    </row>
    <row r="1016">
      <c r="A1016" t="inlineStr">
        <is>
          <t>cell(2,2) iter 9</t>
        </is>
      </c>
      <c r="B1016">
        <f>Assumptions!$B$55/J1015</f>
        <v/>
      </c>
      <c r="C1016">
        <f>IF(B1016&lt;Assumptions!$B$20,Assumptions!$B$20*(Assumptions!$B$29+Assumptions!$B$4/Assumptions!$B$20)/(Assumptions!$B$29+Assumptions!$B$4/B1016),Assumptions!$B$20)</f>
        <v/>
      </c>
      <c r="D1016">
        <f>IF(B1016&lt;Assumptions!$B$21,Assumptions!$B$21*(Assumptions!$B$29+Assumptions!$B$4/Assumptions!$B$21)/(Assumptions!$B$29+Assumptions!$B$4/B1016),Assumptions!$B$21)</f>
        <v/>
      </c>
      <c r="E1016">
        <f>Assumptions!$B$37*Assumptions!$B$22/C1016-Assumptions!$B$38</f>
        <v/>
      </c>
      <c r="F1016">
        <f>Assumptions!$B$39*Assumptions!$B$21/D1016-Assumptions!$B$39</f>
        <v/>
      </c>
      <c r="G1016">
        <f>MAX(0,Assumptions!$B$52*(Assumptions!$B$29+E1016+F1016+G1015+H1015+I1015+Assumptions!$B$4/B1016)-Assumptions!$B$30)</f>
        <v/>
      </c>
      <c r="H1016">
        <f>Assumptions!$B$23/MIN(Assumptions!$B$24/(Assumptions!$B$29+E1016+F1016+G1016+I1015),B1016*(1-Assumptions!$B$25))</f>
        <v/>
      </c>
      <c r="I1016">
        <f>Assumptions!$B$26/MIN(Assumptions!$B$27/(Assumptions!$B$29+E1016+F1016+G1016+H1016),B1016*(1-Assumptions!$B$28))</f>
        <v/>
      </c>
      <c r="J1016">
        <f>Assumptions!$B$29+E1016+F1016+G1016+H1016+I1016</f>
        <v/>
      </c>
      <c r="K1016">
        <f>J1016+Assumptions!$B$4/B1016</f>
        <v/>
      </c>
      <c r="L1016">
        <f>B1016</f>
        <v/>
      </c>
    </row>
    <row r="1017">
      <c r="A1017" t="inlineStr">
        <is>
          <t>cell(2,2) iter 10</t>
        </is>
      </c>
      <c r="B1017">
        <f>Assumptions!$B$55/J1016</f>
        <v/>
      </c>
      <c r="C1017">
        <f>IF(B1017&lt;Assumptions!$B$20,Assumptions!$B$20*(Assumptions!$B$29+Assumptions!$B$4/Assumptions!$B$20)/(Assumptions!$B$29+Assumptions!$B$4/B1017),Assumptions!$B$20)</f>
        <v/>
      </c>
      <c r="D1017">
        <f>IF(B1017&lt;Assumptions!$B$21,Assumptions!$B$21*(Assumptions!$B$29+Assumptions!$B$4/Assumptions!$B$21)/(Assumptions!$B$29+Assumptions!$B$4/B1017),Assumptions!$B$21)</f>
        <v/>
      </c>
      <c r="E1017">
        <f>Assumptions!$B$37*Assumptions!$B$22/C1017-Assumptions!$B$38</f>
        <v/>
      </c>
      <c r="F1017">
        <f>Assumptions!$B$39*Assumptions!$B$21/D1017-Assumptions!$B$39</f>
        <v/>
      </c>
      <c r="G1017">
        <f>MAX(0,Assumptions!$B$52*(Assumptions!$B$29+E1017+F1017+G1016+H1016+I1016+Assumptions!$B$4/B1017)-Assumptions!$B$30)</f>
        <v/>
      </c>
      <c r="H1017">
        <f>Assumptions!$B$23/MIN(Assumptions!$B$24/(Assumptions!$B$29+E1017+F1017+G1017+I1016),B1017*(1-Assumptions!$B$25))</f>
        <v/>
      </c>
      <c r="I1017">
        <f>Assumptions!$B$26/MIN(Assumptions!$B$27/(Assumptions!$B$29+E1017+F1017+G1017+H1017),B1017*(1-Assumptions!$B$28))</f>
        <v/>
      </c>
      <c r="J1017">
        <f>Assumptions!$B$29+E1017+F1017+G1017+H1017+I1017</f>
        <v/>
      </c>
      <c r="K1017">
        <f>J1017+Assumptions!$B$4/B1017</f>
        <v/>
      </c>
      <c r="L1017">
        <f>B1017</f>
        <v/>
      </c>
    </row>
    <row r="1018">
      <c r="A1018" t="inlineStr">
        <is>
          <t>cell(2,2) iter 11</t>
        </is>
      </c>
      <c r="B1018">
        <f>Assumptions!$B$55/J1017</f>
        <v/>
      </c>
      <c r="C1018">
        <f>IF(B1018&lt;Assumptions!$B$20,Assumptions!$B$20*(Assumptions!$B$29+Assumptions!$B$4/Assumptions!$B$20)/(Assumptions!$B$29+Assumptions!$B$4/B1018),Assumptions!$B$20)</f>
        <v/>
      </c>
      <c r="D1018">
        <f>IF(B1018&lt;Assumptions!$B$21,Assumptions!$B$21*(Assumptions!$B$29+Assumptions!$B$4/Assumptions!$B$21)/(Assumptions!$B$29+Assumptions!$B$4/B1018),Assumptions!$B$21)</f>
        <v/>
      </c>
      <c r="E1018">
        <f>Assumptions!$B$37*Assumptions!$B$22/C1018-Assumptions!$B$38</f>
        <v/>
      </c>
      <c r="F1018">
        <f>Assumptions!$B$39*Assumptions!$B$21/D1018-Assumptions!$B$39</f>
        <v/>
      </c>
      <c r="G1018">
        <f>MAX(0,Assumptions!$B$52*(Assumptions!$B$29+E1018+F1018+G1017+H1017+I1017+Assumptions!$B$4/B1018)-Assumptions!$B$30)</f>
        <v/>
      </c>
      <c r="H1018">
        <f>Assumptions!$B$23/MIN(Assumptions!$B$24/(Assumptions!$B$29+E1018+F1018+G1018+I1017),B1018*(1-Assumptions!$B$25))</f>
        <v/>
      </c>
      <c r="I1018">
        <f>Assumptions!$B$26/MIN(Assumptions!$B$27/(Assumptions!$B$29+E1018+F1018+G1018+H1018),B1018*(1-Assumptions!$B$28))</f>
        <v/>
      </c>
      <c r="J1018">
        <f>Assumptions!$B$29+E1018+F1018+G1018+H1018+I1018</f>
        <v/>
      </c>
      <c r="K1018">
        <f>J1018+Assumptions!$B$4/B1018</f>
        <v/>
      </c>
      <c r="L1018">
        <f>B1018</f>
        <v/>
      </c>
    </row>
    <row r="1019">
      <c r="A1019" t="inlineStr">
        <is>
          <t>cell(2,2) iter 12</t>
        </is>
      </c>
      <c r="B1019">
        <f>Assumptions!$B$55/J1018</f>
        <v/>
      </c>
      <c r="C1019">
        <f>IF(B1019&lt;Assumptions!$B$20,Assumptions!$B$20*(Assumptions!$B$29+Assumptions!$B$4/Assumptions!$B$20)/(Assumptions!$B$29+Assumptions!$B$4/B1019),Assumptions!$B$20)</f>
        <v/>
      </c>
      <c r="D1019">
        <f>IF(B1019&lt;Assumptions!$B$21,Assumptions!$B$21*(Assumptions!$B$29+Assumptions!$B$4/Assumptions!$B$21)/(Assumptions!$B$29+Assumptions!$B$4/B1019),Assumptions!$B$21)</f>
        <v/>
      </c>
      <c r="E1019">
        <f>Assumptions!$B$37*Assumptions!$B$22/C1019-Assumptions!$B$38</f>
        <v/>
      </c>
      <c r="F1019">
        <f>Assumptions!$B$39*Assumptions!$B$21/D1019-Assumptions!$B$39</f>
        <v/>
      </c>
      <c r="G1019">
        <f>MAX(0,Assumptions!$B$52*(Assumptions!$B$29+E1019+F1019+G1018+H1018+I1018+Assumptions!$B$4/B1019)-Assumptions!$B$30)</f>
        <v/>
      </c>
      <c r="H1019">
        <f>Assumptions!$B$23/MIN(Assumptions!$B$24/(Assumptions!$B$29+E1019+F1019+G1019+I1018),B1019*(1-Assumptions!$B$25))</f>
        <v/>
      </c>
      <c r="I1019">
        <f>Assumptions!$B$26/MIN(Assumptions!$B$27/(Assumptions!$B$29+E1019+F1019+G1019+H1019),B1019*(1-Assumptions!$B$28))</f>
        <v/>
      </c>
      <c r="J1019">
        <f>Assumptions!$B$29+E1019+F1019+G1019+H1019+I1019</f>
        <v/>
      </c>
      <c r="K1019">
        <f>J1019+Assumptions!$B$4/B1019</f>
        <v/>
      </c>
      <c r="L1019">
        <f>B1019</f>
        <v/>
      </c>
    </row>
    <row r="1020">
      <c r="A1020" t="inlineStr">
        <is>
          <t>cell(2,2) iter 13</t>
        </is>
      </c>
      <c r="B1020">
        <f>Assumptions!$B$55/J1019</f>
        <v/>
      </c>
      <c r="C1020">
        <f>IF(B1020&lt;Assumptions!$B$20,Assumptions!$B$20*(Assumptions!$B$29+Assumptions!$B$4/Assumptions!$B$20)/(Assumptions!$B$29+Assumptions!$B$4/B1020),Assumptions!$B$20)</f>
        <v/>
      </c>
      <c r="D1020">
        <f>IF(B1020&lt;Assumptions!$B$21,Assumptions!$B$21*(Assumptions!$B$29+Assumptions!$B$4/Assumptions!$B$21)/(Assumptions!$B$29+Assumptions!$B$4/B1020),Assumptions!$B$21)</f>
        <v/>
      </c>
      <c r="E1020">
        <f>Assumptions!$B$37*Assumptions!$B$22/C1020-Assumptions!$B$38</f>
        <v/>
      </c>
      <c r="F1020">
        <f>Assumptions!$B$39*Assumptions!$B$21/D1020-Assumptions!$B$39</f>
        <v/>
      </c>
      <c r="G1020">
        <f>MAX(0,Assumptions!$B$52*(Assumptions!$B$29+E1020+F1020+G1019+H1019+I1019+Assumptions!$B$4/B1020)-Assumptions!$B$30)</f>
        <v/>
      </c>
      <c r="H1020">
        <f>Assumptions!$B$23/MIN(Assumptions!$B$24/(Assumptions!$B$29+E1020+F1020+G1020+I1019),B1020*(1-Assumptions!$B$25))</f>
        <v/>
      </c>
      <c r="I1020">
        <f>Assumptions!$B$26/MIN(Assumptions!$B$27/(Assumptions!$B$29+E1020+F1020+G1020+H1020),B1020*(1-Assumptions!$B$28))</f>
        <v/>
      </c>
      <c r="J1020">
        <f>Assumptions!$B$29+E1020+F1020+G1020+H1020+I1020</f>
        <v/>
      </c>
      <c r="K1020">
        <f>J1020+Assumptions!$B$4/B1020</f>
        <v/>
      </c>
      <c r="L1020">
        <f>B1020</f>
        <v/>
      </c>
    </row>
    <row r="1021">
      <c r="A1021" t="inlineStr">
        <is>
          <t>cell(2,2) iter 14</t>
        </is>
      </c>
      <c r="B1021">
        <f>Assumptions!$B$55/J1020</f>
        <v/>
      </c>
      <c r="C1021">
        <f>IF(B1021&lt;Assumptions!$B$20,Assumptions!$B$20*(Assumptions!$B$29+Assumptions!$B$4/Assumptions!$B$20)/(Assumptions!$B$29+Assumptions!$B$4/B1021),Assumptions!$B$20)</f>
        <v/>
      </c>
      <c r="D1021">
        <f>IF(B1021&lt;Assumptions!$B$21,Assumptions!$B$21*(Assumptions!$B$29+Assumptions!$B$4/Assumptions!$B$21)/(Assumptions!$B$29+Assumptions!$B$4/B1021),Assumptions!$B$21)</f>
        <v/>
      </c>
      <c r="E1021">
        <f>Assumptions!$B$37*Assumptions!$B$22/C1021-Assumptions!$B$38</f>
        <v/>
      </c>
      <c r="F1021">
        <f>Assumptions!$B$39*Assumptions!$B$21/D1021-Assumptions!$B$39</f>
        <v/>
      </c>
      <c r="G1021">
        <f>MAX(0,Assumptions!$B$52*(Assumptions!$B$29+E1021+F1021+G1020+H1020+I1020+Assumptions!$B$4/B1021)-Assumptions!$B$30)</f>
        <v/>
      </c>
      <c r="H1021">
        <f>Assumptions!$B$23/MIN(Assumptions!$B$24/(Assumptions!$B$29+E1021+F1021+G1021+I1020),B1021*(1-Assumptions!$B$25))</f>
        <v/>
      </c>
      <c r="I1021">
        <f>Assumptions!$B$26/MIN(Assumptions!$B$27/(Assumptions!$B$29+E1021+F1021+G1021+H1021),B1021*(1-Assumptions!$B$28))</f>
        <v/>
      </c>
      <c r="J1021">
        <f>Assumptions!$B$29+E1021+F1021+G1021+H1021+I1021</f>
        <v/>
      </c>
      <c r="K1021">
        <f>J1021+Assumptions!$B$4/B1021</f>
        <v/>
      </c>
      <c r="L1021">
        <f>B1021</f>
        <v/>
      </c>
    </row>
    <row r="1022">
      <c r="A1022" t="inlineStr">
        <is>
          <t>cell(2,2) iter 15</t>
        </is>
      </c>
      <c r="B1022">
        <f>Assumptions!$B$55/J1021</f>
        <v/>
      </c>
      <c r="C1022">
        <f>IF(B1022&lt;Assumptions!$B$20,Assumptions!$B$20*(Assumptions!$B$29+Assumptions!$B$4/Assumptions!$B$20)/(Assumptions!$B$29+Assumptions!$B$4/B1022),Assumptions!$B$20)</f>
        <v/>
      </c>
      <c r="D1022">
        <f>IF(B1022&lt;Assumptions!$B$21,Assumptions!$B$21*(Assumptions!$B$29+Assumptions!$B$4/Assumptions!$B$21)/(Assumptions!$B$29+Assumptions!$B$4/B1022),Assumptions!$B$21)</f>
        <v/>
      </c>
      <c r="E1022">
        <f>Assumptions!$B$37*Assumptions!$B$22/C1022-Assumptions!$B$38</f>
        <v/>
      </c>
      <c r="F1022">
        <f>Assumptions!$B$39*Assumptions!$B$21/D1022-Assumptions!$B$39</f>
        <v/>
      </c>
      <c r="G1022">
        <f>MAX(0,Assumptions!$B$52*(Assumptions!$B$29+E1022+F1022+G1021+H1021+I1021+Assumptions!$B$4/B1022)-Assumptions!$B$30)</f>
        <v/>
      </c>
      <c r="H1022">
        <f>Assumptions!$B$23/MIN(Assumptions!$B$24/(Assumptions!$B$29+E1022+F1022+G1022+I1021),B1022*(1-Assumptions!$B$25))</f>
        <v/>
      </c>
      <c r="I1022">
        <f>Assumptions!$B$26/MIN(Assumptions!$B$27/(Assumptions!$B$29+E1022+F1022+G1022+H1022),B1022*(1-Assumptions!$B$28))</f>
        <v/>
      </c>
      <c r="J1022">
        <f>Assumptions!$B$29+E1022+F1022+G1022+H1022+I1022</f>
        <v/>
      </c>
      <c r="K1022">
        <f>J1022+Assumptions!$B$4/B1022</f>
        <v/>
      </c>
      <c r="L1022">
        <f>B1022</f>
        <v/>
      </c>
    </row>
    <row r="1023">
      <c r="A1023" t="inlineStr">
        <is>
          <t>cell(2,2) iter 16</t>
        </is>
      </c>
      <c r="B1023">
        <f>Assumptions!$B$55/J1022</f>
        <v/>
      </c>
      <c r="C1023">
        <f>IF(B1023&lt;Assumptions!$B$20,Assumptions!$B$20*(Assumptions!$B$29+Assumptions!$B$4/Assumptions!$B$20)/(Assumptions!$B$29+Assumptions!$B$4/B1023),Assumptions!$B$20)</f>
        <v/>
      </c>
      <c r="D1023">
        <f>IF(B1023&lt;Assumptions!$B$21,Assumptions!$B$21*(Assumptions!$B$29+Assumptions!$B$4/Assumptions!$B$21)/(Assumptions!$B$29+Assumptions!$B$4/B1023),Assumptions!$B$21)</f>
        <v/>
      </c>
      <c r="E1023">
        <f>Assumptions!$B$37*Assumptions!$B$22/C1023-Assumptions!$B$38</f>
        <v/>
      </c>
      <c r="F1023">
        <f>Assumptions!$B$39*Assumptions!$B$21/D1023-Assumptions!$B$39</f>
        <v/>
      </c>
      <c r="G1023">
        <f>MAX(0,Assumptions!$B$52*(Assumptions!$B$29+E1023+F1023+G1022+H1022+I1022+Assumptions!$B$4/B1023)-Assumptions!$B$30)</f>
        <v/>
      </c>
      <c r="H1023">
        <f>Assumptions!$B$23/MIN(Assumptions!$B$24/(Assumptions!$B$29+E1023+F1023+G1023+I1022),B1023*(1-Assumptions!$B$25))</f>
        <v/>
      </c>
      <c r="I1023">
        <f>Assumptions!$B$26/MIN(Assumptions!$B$27/(Assumptions!$B$29+E1023+F1023+G1023+H1023),B1023*(1-Assumptions!$B$28))</f>
        <v/>
      </c>
      <c r="J1023">
        <f>Assumptions!$B$29+E1023+F1023+G1023+H1023+I1023</f>
        <v/>
      </c>
      <c r="K1023">
        <f>J1023+Assumptions!$B$4/B1023</f>
        <v/>
      </c>
      <c r="L1023">
        <f>B1023</f>
        <v/>
      </c>
    </row>
    <row r="1024">
      <c r="A1024" t="inlineStr">
        <is>
          <t>cell(2,2) iter 17</t>
        </is>
      </c>
      <c r="B1024">
        <f>Assumptions!$B$55/J1023</f>
        <v/>
      </c>
      <c r="C1024">
        <f>IF(B1024&lt;Assumptions!$B$20,Assumptions!$B$20*(Assumptions!$B$29+Assumptions!$B$4/Assumptions!$B$20)/(Assumptions!$B$29+Assumptions!$B$4/B1024),Assumptions!$B$20)</f>
        <v/>
      </c>
      <c r="D1024">
        <f>IF(B1024&lt;Assumptions!$B$21,Assumptions!$B$21*(Assumptions!$B$29+Assumptions!$B$4/Assumptions!$B$21)/(Assumptions!$B$29+Assumptions!$B$4/B1024),Assumptions!$B$21)</f>
        <v/>
      </c>
      <c r="E1024">
        <f>Assumptions!$B$37*Assumptions!$B$22/C1024-Assumptions!$B$38</f>
        <v/>
      </c>
      <c r="F1024">
        <f>Assumptions!$B$39*Assumptions!$B$21/D1024-Assumptions!$B$39</f>
        <v/>
      </c>
      <c r="G1024">
        <f>MAX(0,Assumptions!$B$52*(Assumptions!$B$29+E1024+F1024+G1023+H1023+I1023+Assumptions!$B$4/B1024)-Assumptions!$B$30)</f>
        <v/>
      </c>
      <c r="H1024">
        <f>Assumptions!$B$23/MIN(Assumptions!$B$24/(Assumptions!$B$29+E1024+F1024+G1024+I1023),B1024*(1-Assumptions!$B$25))</f>
        <v/>
      </c>
      <c r="I1024">
        <f>Assumptions!$B$26/MIN(Assumptions!$B$27/(Assumptions!$B$29+E1024+F1024+G1024+H1024),B1024*(1-Assumptions!$B$28))</f>
        <v/>
      </c>
      <c r="J1024">
        <f>Assumptions!$B$29+E1024+F1024+G1024+H1024+I1024</f>
        <v/>
      </c>
      <c r="K1024">
        <f>J1024+Assumptions!$B$4/B1024</f>
        <v/>
      </c>
      <c r="L1024">
        <f>B1024</f>
        <v/>
      </c>
    </row>
    <row r="1025">
      <c r="A1025" t="inlineStr">
        <is>
          <t>cell(2,2) iter 18</t>
        </is>
      </c>
      <c r="B1025">
        <f>Assumptions!$B$55/J1024</f>
        <v/>
      </c>
      <c r="C1025">
        <f>IF(B1025&lt;Assumptions!$B$20,Assumptions!$B$20*(Assumptions!$B$29+Assumptions!$B$4/Assumptions!$B$20)/(Assumptions!$B$29+Assumptions!$B$4/B1025),Assumptions!$B$20)</f>
        <v/>
      </c>
      <c r="D1025">
        <f>IF(B1025&lt;Assumptions!$B$21,Assumptions!$B$21*(Assumptions!$B$29+Assumptions!$B$4/Assumptions!$B$21)/(Assumptions!$B$29+Assumptions!$B$4/B1025),Assumptions!$B$21)</f>
        <v/>
      </c>
      <c r="E1025">
        <f>Assumptions!$B$37*Assumptions!$B$22/C1025-Assumptions!$B$38</f>
        <v/>
      </c>
      <c r="F1025">
        <f>Assumptions!$B$39*Assumptions!$B$21/D1025-Assumptions!$B$39</f>
        <v/>
      </c>
      <c r="G1025">
        <f>MAX(0,Assumptions!$B$52*(Assumptions!$B$29+E1025+F1025+G1024+H1024+I1024+Assumptions!$B$4/B1025)-Assumptions!$B$30)</f>
        <v/>
      </c>
      <c r="H1025">
        <f>Assumptions!$B$23/MIN(Assumptions!$B$24/(Assumptions!$B$29+E1025+F1025+G1025+I1024),B1025*(1-Assumptions!$B$25))</f>
        <v/>
      </c>
      <c r="I1025">
        <f>Assumptions!$B$26/MIN(Assumptions!$B$27/(Assumptions!$B$29+E1025+F1025+G1025+H1025),B1025*(1-Assumptions!$B$28))</f>
        <v/>
      </c>
      <c r="J1025">
        <f>Assumptions!$B$29+E1025+F1025+G1025+H1025+I1025</f>
        <v/>
      </c>
      <c r="K1025">
        <f>J1025+Assumptions!$B$4/B1025</f>
        <v/>
      </c>
      <c r="L1025">
        <f>B1025</f>
        <v/>
      </c>
    </row>
    <row r="1026">
      <c r="A1026" t="inlineStr">
        <is>
          <t>cell(2,2) iter 19</t>
        </is>
      </c>
      <c r="B1026">
        <f>Assumptions!$B$55/J1025</f>
        <v/>
      </c>
      <c r="C1026">
        <f>IF(B1026&lt;Assumptions!$B$20,Assumptions!$B$20*(Assumptions!$B$29+Assumptions!$B$4/Assumptions!$B$20)/(Assumptions!$B$29+Assumptions!$B$4/B1026),Assumptions!$B$20)</f>
        <v/>
      </c>
      <c r="D1026">
        <f>IF(B1026&lt;Assumptions!$B$21,Assumptions!$B$21*(Assumptions!$B$29+Assumptions!$B$4/Assumptions!$B$21)/(Assumptions!$B$29+Assumptions!$B$4/B1026),Assumptions!$B$21)</f>
        <v/>
      </c>
      <c r="E1026">
        <f>Assumptions!$B$37*Assumptions!$B$22/C1026-Assumptions!$B$38</f>
        <v/>
      </c>
      <c r="F1026">
        <f>Assumptions!$B$39*Assumptions!$B$21/D1026-Assumptions!$B$39</f>
        <v/>
      </c>
      <c r="G1026">
        <f>MAX(0,Assumptions!$B$52*(Assumptions!$B$29+E1026+F1026+G1025+H1025+I1025+Assumptions!$B$4/B1026)-Assumptions!$B$30)</f>
        <v/>
      </c>
      <c r="H1026">
        <f>Assumptions!$B$23/MIN(Assumptions!$B$24/(Assumptions!$B$29+E1026+F1026+G1026+I1025),B1026*(1-Assumptions!$B$25))</f>
        <v/>
      </c>
      <c r="I1026">
        <f>Assumptions!$B$26/MIN(Assumptions!$B$27/(Assumptions!$B$29+E1026+F1026+G1026+H1026),B1026*(1-Assumptions!$B$28))</f>
        <v/>
      </c>
      <c r="J1026">
        <f>Assumptions!$B$29+E1026+F1026+G1026+H1026+I1026</f>
        <v/>
      </c>
      <c r="K1026">
        <f>J1026+Assumptions!$B$4/B1026</f>
        <v/>
      </c>
      <c r="L1026">
        <f>B1026</f>
        <v/>
      </c>
    </row>
    <row r="1027">
      <c r="A1027" t="inlineStr">
        <is>
          <t>cell(2,2) iter 20</t>
        </is>
      </c>
      <c r="B1027">
        <f>Assumptions!$B$55/J1026</f>
        <v/>
      </c>
      <c r="C1027">
        <f>IF(B1027&lt;Assumptions!$B$20,Assumptions!$B$20*(Assumptions!$B$29+Assumptions!$B$4/Assumptions!$B$20)/(Assumptions!$B$29+Assumptions!$B$4/B1027),Assumptions!$B$20)</f>
        <v/>
      </c>
      <c r="D1027">
        <f>IF(B1027&lt;Assumptions!$B$21,Assumptions!$B$21*(Assumptions!$B$29+Assumptions!$B$4/Assumptions!$B$21)/(Assumptions!$B$29+Assumptions!$B$4/B1027),Assumptions!$B$21)</f>
        <v/>
      </c>
      <c r="E1027">
        <f>Assumptions!$B$37*Assumptions!$B$22/C1027-Assumptions!$B$38</f>
        <v/>
      </c>
      <c r="F1027">
        <f>Assumptions!$B$39*Assumptions!$B$21/D1027-Assumptions!$B$39</f>
        <v/>
      </c>
      <c r="G1027">
        <f>MAX(0,Assumptions!$B$52*(Assumptions!$B$29+E1027+F1027+G1026+H1026+I1026+Assumptions!$B$4/B1027)-Assumptions!$B$30)</f>
        <v/>
      </c>
      <c r="H1027">
        <f>Assumptions!$B$23/MIN(Assumptions!$B$24/(Assumptions!$B$29+E1027+F1027+G1027+I1026),B1027*(1-Assumptions!$B$25))</f>
        <v/>
      </c>
      <c r="I1027">
        <f>Assumptions!$B$26/MIN(Assumptions!$B$27/(Assumptions!$B$29+E1027+F1027+G1027+H1027),B1027*(1-Assumptions!$B$28))</f>
        <v/>
      </c>
      <c r="J1027">
        <f>Assumptions!$B$29+E1027+F1027+G1027+H1027+I1027</f>
        <v/>
      </c>
      <c r="K1027">
        <f>J1027+Assumptions!$B$4/B1027</f>
        <v/>
      </c>
      <c r="L1027">
        <f>B1027</f>
        <v/>
      </c>
    </row>
    <row r="1028">
      <c r="A1028" t="inlineStr">
        <is>
          <t>cell(2,2) iter 21</t>
        </is>
      </c>
      <c r="B1028">
        <f>Assumptions!$B$55/J1027</f>
        <v/>
      </c>
      <c r="C1028">
        <f>IF(B1028&lt;Assumptions!$B$20,Assumptions!$B$20*(Assumptions!$B$29+Assumptions!$B$4/Assumptions!$B$20)/(Assumptions!$B$29+Assumptions!$B$4/B1028),Assumptions!$B$20)</f>
        <v/>
      </c>
      <c r="D1028">
        <f>IF(B1028&lt;Assumptions!$B$21,Assumptions!$B$21*(Assumptions!$B$29+Assumptions!$B$4/Assumptions!$B$21)/(Assumptions!$B$29+Assumptions!$B$4/B1028),Assumptions!$B$21)</f>
        <v/>
      </c>
      <c r="E1028">
        <f>Assumptions!$B$37*Assumptions!$B$22/C1028-Assumptions!$B$38</f>
        <v/>
      </c>
      <c r="F1028">
        <f>Assumptions!$B$39*Assumptions!$B$21/D1028-Assumptions!$B$39</f>
        <v/>
      </c>
      <c r="G1028">
        <f>MAX(0,Assumptions!$B$52*(Assumptions!$B$29+E1028+F1028+G1027+H1027+I1027+Assumptions!$B$4/B1028)-Assumptions!$B$30)</f>
        <v/>
      </c>
      <c r="H1028">
        <f>Assumptions!$B$23/MIN(Assumptions!$B$24/(Assumptions!$B$29+E1028+F1028+G1028+I1027),B1028*(1-Assumptions!$B$25))</f>
        <v/>
      </c>
      <c r="I1028">
        <f>Assumptions!$B$26/MIN(Assumptions!$B$27/(Assumptions!$B$29+E1028+F1028+G1028+H1028),B1028*(1-Assumptions!$B$28))</f>
        <v/>
      </c>
      <c r="J1028">
        <f>Assumptions!$B$29+E1028+F1028+G1028+H1028+I1028</f>
        <v/>
      </c>
      <c r="K1028">
        <f>J1028+Assumptions!$B$4/B1028</f>
        <v/>
      </c>
      <c r="L1028">
        <f>B1028</f>
        <v/>
      </c>
    </row>
    <row r="1029">
      <c r="A1029" t="inlineStr">
        <is>
          <t>cell(2,2) iter 22</t>
        </is>
      </c>
      <c r="B1029">
        <f>Assumptions!$B$55/J1028</f>
        <v/>
      </c>
      <c r="C1029">
        <f>IF(B1029&lt;Assumptions!$B$20,Assumptions!$B$20*(Assumptions!$B$29+Assumptions!$B$4/Assumptions!$B$20)/(Assumptions!$B$29+Assumptions!$B$4/B1029),Assumptions!$B$20)</f>
        <v/>
      </c>
      <c r="D1029">
        <f>IF(B1029&lt;Assumptions!$B$21,Assumptions!$B$21*(Assumptions!$B$29+Assumptions!$B$4/Assumptions!$B$21)/(Assumptions!$B$29+Assumptions!$B$4/B1029),Assumptions!$B$21)</f>
        <v/>
      </c>
      <c r="E1029">
        <f>Assumptions!$B$37*Assumptions!$B$22/C1029-Assumptions!$B$38</f>
        <v/>
      </c>
      <c r="F1029">
        <f>Assumptions!$B$39*Assumptions!$B$21/D1029-Assumptions!$B$39</f>
        <v/>
      </c>
      <c r="G1029">
        <f>MAX(0,Assumptions!$B$52*(Assumptions!$B$29+E1029+F1029+G1028+H1028+I1028+Assumptions!$B$4/B1029)-Assumptions!$B$30)</f>
        <v/>
      </c>
      <c r="H1029">
        <f>Assumptions!$B$23/MIN(Assumptions!$B$24/(Assumptions!$B$29+E1029+F1029+G1029+I1028),B1029*(1-Assumptions!$B$25))</f>
        <v/>
      </c>
      <c r="I1029">
        <f>Assumptions!$B$26/MIN(Assumptions!$B$27/(Assumptions!$B$29+E1029+F1029+G1029+H1029),B1029*(1-Assumptions!$B$28))</f>
        <v/>
      </c>
      <c r="J1029">
        <f>Assumptions!$B$29+E1029+F1029+G1029+H1029+I1029</f>
        <v/>
      </c>
      <c r="K1029">
        <f>J1029+Assumptions!$B$4/B1029</f>
        <v/>
      </c>
      <c r="L1029">
        <f>B1029</f>
        <v/>
      </c>
    </row>
    <row r="1030">
      <c r="A1030" t="inlineStr">
        <is>
          <t>cell(2,2) iter 23</t>
        </is>
      </c>
      <c r="B1030">
        <f>Assumptions!$B$55/J1029</f>
        <v/>
      </c>
      <c r="C1030">
        <f>IF(B1030&lt;Assumptions!$B$20,Assumptions!$B$20*(Assumptions!$B$29+Assumptions!$B$4/Assumptions!$B$20)/(Assumptions!$B$29+Assumptions!$B$4/B1030),Assumptions!$B$20)</f>
        <v/>
      </c>
      <c r="D1030">
        <f>IF(B1030&lt;Assumptions!$B$21,Assumptions!$B$21*(Assumptions!$B$29+Assumptions!$B$4/Assumptions!$B$21)/(Assumptions!$B$29+Assumptions!$B$4/B1030),Assumptions!$B$21)</f>
        <v/>
      </c>
      <c r="E1030">
        <f>Assumptions!$B$37*Assumptions!$B$22/C1030-Assumptions!$B$38</f>
        <v/>
      </c>
      <c r="F1030">
        <f>Assumptions!$B$39*Assumptions!$B$21/D1030-Assumptions!$B$39</f>
        <v/>
      </c>
      <c r="G1030">
        <f>MAX(0,Assumptions!$B$52*(Assumptions!$B$29+E1030+F1030+G1029+H1029+I1029+Assumptions!$B$4/B1030)-Assumptions!$B$30)</f>
        <v/>
      </c>
      <c r="H1030">
        <f>Assumptions!$B$23/MIN(Assumptions!$B$24/(Assumptions!$B$29+E1030+F1030+G1030+I1029),B1030*(1-Assumptions!$B$25))</f>
        <v/>
      </c>
      <c r="I1030">
        <f>Assumptions!$B$26/MIN(Assumptions!$B$27/(Assumptions!$B$29+E1030+F1030+G1030+H1030),B1030*(1-Assumptions!$B$28))</f>
        <v/>
      </c>
      <c r="J1030">
        <f>Assumptions!$B$29+E1030+F1030+G1030+H1030+I1030</f>
        <v/>
      </c>
      <c r="K1030">
        <f>J1030+Assumptions!$B$4/B1030</f>
        <v/>
      </c>
      <c r="L1030">
        <f>B1030</f>
        <v/>
      </c>
    </row>
    <row r="1031">
      <c r="A1031" t="inlineStr">
        <is>
          <t>cell(2,2) iter 24</t>
        </is>
      </c>
      <c r="B1031">
        <f>Assumptions!$B$55/J1030</f>
        <v/>
      </c>
      <c r="C1031">
        <f>IF(B1031&lt;Assumptions!$B$20,Assumptions!$B$20*(Assumptions!$B$29+Assumptions!$B$4/Assumptions!$B$20)/(Assumptions!$B$29+Assumptions!$B$4/B1031),Assumptions!$B$20)</f>
        <v/>
      </c>
      <c r="D1031">
        <f>IF(B1031&lt;Assumptions!$B$21,Assumptions!$B$21*(Assumptions!$B$29+Assumptions!$B$4/Assumptions!$B$21)/(Assumptions!$B$29+Assumptions!$B$4/B1031),Assumptions!$B$21)</f>
        <v/>
      </c>
      <c r="E1031">
        <f>Assumptions!$B$37*Assumptions!$B$22/C1031-Assumptions!$B$38</f>
        <v/>
      </c>
      <c r="F1031">
        <f>Assumptions!$B$39*Assumptions!$B$21/D1031-Assumptions!$B$39</f>
        <v/>
      </c>
      <c r="G1031">
        <f>MAX(0,Assumptions!$B$52*(Assumptions!$B$29+E1031+F1031+G1030+H1030+I1030+Assumptions!$B$4/B1031)-Assumptions!$B$30)</f>
        <v/>
      </c>
      <c r="H1031">
        <f>Assumptions!$B$23/MIN(Assumptions!$B$24/(Assumptions!$B$29+E1031+F1031+G1031+I1030),B1031*(1-Assumptions!$B$25))</f>
        <v/>
      </c>
      <c r="I1031">
        <f>Assumptions!$B$26/MIN(Assumptions!$B$27/(Assumptions!$B$29+E1031+F1031+G1031+H1031),B1031*(1-Assumptions!$B$28))</f>
        <v/>
      </c>
      <c r="J1031">
        <f>Assumptions!$B$29+E1031+F1031+G1031+H1031+I1031</f>
        <v/>
      </c>
      <c r="K1031">
        <f>J1031+Assumptions!$B$4/B1031</f>
        <v/>
      </c>
      <c r="L1031">
        <f>B1031</f>
        <v/>
      </c>
    </row>
    <row r="1032">
      <c r="A1032" t="inlineStr">
        <is>
          <t>cell(2,2) iter 25</t>
        </is>
      </c>
      <c r="B1032">
        <f>Assumptions!$B$55/J1031</f>
        <v/>
      </c>
      <c r="C1032">
        <f>IF(B1032&lt;Assumptions!$B$20,Assumptions!$B$20*(Assumptions!$B$29+Assumptions!$B$4/Assumptions!$B$20)/(Assumptions!$B$29+Assumptions!$B$4/B1032),Assumptions!$B$20)</f>
        <v/>
      </c>
      <c r="D1032">
        <f>IF(B1032&lt;Assumptions!$B$21,Assumptions!$B$21*(Assumptions!$B$29+Assumptions!$B$4/Assumptions!$B$21)/(Assumptions!$B$29+Assumptions!$B$4/B1032),Assumptions!$B$21)</f>
        <v/>
      </c>
      <c r="E1032">
        <f>Assumptions!$B$37*Assumptions!$B$22/C1032-Assumptions!$B$38</f>
        <v/>
      </c>
      <c r="F1032">
        <f>Assumptions!$B$39*Assumptions!$B$21/D1032-Assumptions!$B$39</f>
        <v/>
      </c>
      <c r="G1032">
        <f>MAX(0,Assumptions!$B$52*(Assumptions!$B$29+E1032+F1032+G1031+H1031+I1031+Assumptions!$B$4/B1032)-Assumptions!$B$30)</f>
        <v/>
      </c>
      <c r="H1032">
        <f>Assumptions!$B$23/MIN(Assumptions!$B$24/(Assumptions!$B$29+E1032+F1032+G1032+I1031),B1032*(1-Assumptions!$B$25))</f>
        <v/>
      </c>
      <c r="I1032">
        <f>Assumptions!$B$26/MIN(Assumptions!$B$27/(Assumptions!$B$29+E1032+F1032+G1032+H1032),B1032*(1-Assumptions!$B$28))</f>
        <v/>
      </c>
      <c r="J1032">
        <f>Assumptions!$B$29+E1032+F1032+G1032+H1032+I1032</f>
        <v/>
      </c>
      <c r="K1032">
        <f>J1032+Assumptions!$B$4/B1032</f>
        <v/>
      </c>
      <c r="L1032">
        <f>B1032</f>
        <v/>
      </c>
    </row>
    <row r="1033">
      <c r="A1033" t="inlineStr">
        <is>
          <t>cell(2,2) iter 26</t>
        </is>
      </c>
      <c r="B1033">
        <f>Assumptions!$B$55/J1032</f>
        <v/>
      </c>
      <c r="C1033">
        <f>IF(B1033&lt;Assumptions!$B$20,Assumptions!$B$20*(Assumptions!$B$29+Assumptions!$B$4/Assumptions!$B$20)/(Assumptions!$B$29+Assumptions!$B$4/B1033),Assumptions!$B$20)</f>
        <v/>
      </c>
      <c r="D1033">
        <f>IF(B1033&lt;Assumptions!$B$21,Assumptions!$B$21*(Assumptions!$B$29+Assumptions!$B$4/Assumptions!$B$21)/(Assumptions!$B$29+Assumptions!$B$4/B1033),Assumptions!$B$21)</f>
        <v/>
      </c>
      <c r="E1033">
        <f>Assumptions!$B$37*Assumptions!$B$22/C1033-Assumptions!$B$38</f>
        <v/>
      </c>
      <c r="F1033">
        <f>Assumptions!$B$39*Assumptions!$B$21/D1033-Assumptions!$B$39</f>
        <v/>
      </c>
      <c r="G1033">
        <f>MAX(0,Assumptions!$B$52*(Assumptions!$B$29+E1033+F1033+G1032+H1032+I1032+Assumptions!$B$4/B1033)-Assumptions!$B$30)</f>
        <v/>
      </c>
      <c r="H1033">
        <f>Assumptions!$B$23/MIN(Assumptions!$B$24/(Assumptions!$B$29+E1033+F1033+G1033+I1032),B1033*(1-Assumptions!$B$25))</f>
        <v/>
      </c>
      <c r="I1033">
        <f>Assumptions!$B$26/MIN(Assumptions!$B$27/(Assumptions!$B$29+E1033+F1033+G1033+H1033),B1033*(1-Assumptions!$B$28))</f>
        <v/>
      </c>
      <c r="J1033">
        <f>Assumptions!$B$29+E1033+F1033+G1033+H1033+I1033</f>
        <v/>
      </c>
      <c r="K1033">
        <f>J1033+Assumptions!$B$4/B1033</f>
        <v/>
      </c>
      <c r="L1033">
        <f>B1033</f>
        <v/>
      </c>
    </row>
    <row r="1034">
      <c r="A1034" t="inlineStr">
        <is>
          <t>cell(2,2) iter 27</t>
        </is>
      </c>
      <c r="B1034">
        <f>Assumptions!$B$55/J1033</f>
        <v/>
      </c>
      <c r="C1034">
        <f>IF(B1034&lt;Assumptions!$B$20,Assumptions!$B$20*(Assumptions!$B$29+Assumptions!$B$4/Assumptions!$B$20)/(Assumptions!$B$29+Assumptions!$B$4/B1034),Assumptions!$B$20)</f>
        <v/>
      </c>
      <c r="D1034">
        <f>IF(B1034&lt;Assumptions!$B$21,Assumptions!$B$21*(Assumptions!$B$29+Assumptions!$B$4/Assumptions!$B$21)/(Assumptions!$B$29+Assumptions!$B$4/B1034),Assumptions!$B$21)</f>
        <v/>
      </c>
      <c r="E1034">
        <f>Assumptions!$B$37*Assumptions!$B$22/C1034-Assumptions!$B$38</f>
        <v/>
      </c>
      <c r="F1034">
        <f>Assumptions!$B$39*Assumptions!$B$21/D1034-Assumptions!$B$39</f>
        <v/>
      </c>
      <c r="G1034">
        <f>MAX(0,Assumptions!$B$52*(Assumptions!$B$29+E1034+F1034+G1033+H1033+I1033+Assumptions!$B$4/B1034)-Assumptions!$B$30)</f>
        <v/>
      </c>
      <c r="H1034">
        <f>Assumptions!$B$23/MIN(Assumptions!$B$24/(Assumptions!$B$29+E1034+F1034+G1034+I1033),B1034*(1-Assumptions!$B$25))</f>
        <v/>
      </c>
      <c r="I1034">
        <f>Assumptions!$B$26/MIN(Assumptions!$B$27/(Assumptions!$B$29+E1034+F1034+G1034+H1034),B1034*(1-Assumptions!$B$28))</f>
        <v/>
      </c>
      <c r="J1034">
        <f>Assumptions!$B$29+E1034+F1034+G1034+H1034+I1034</f>
        <v/>
      </c>
      <c r="K1034">
        <f>J1034+Assumptions!$B$4/B1034</f>
        <v/>
      </c>
      <c r="L1034">
        <f>B1034</f>
        <v/>
      </c>
    </row>
    <row r="1035">
      <c r="A1035" t="inlineStr">
        <is>
          <t>cell(2,2) iter 28</t>
        </is>
      </c>
      <c r="B1035">
        <f>Assumptions!$B$55/J1034</f>
        <v/>
      </c>
      <c r="C1035">
        <f>IF(B1035&lt;Assumptions!$B$20,Assumptions!$B$20*(Assumptions!$B$29+Assumptions!$B$4/Assumptions!$B$20)/(Assumptions!$B$29+Assumptions!$B$4/B1035),Assumptions!$B$20)</f>
        <v/>
      </c>
      <c r="D1035">
        <f>IF(B1035&lt;Assumptions!$B$21,Assumptions!$B$21*(Assumptions!$B$29+Assumptions!$B$4/Assumptions!$B$21)/(Assumptions!$B$29+Assumptions!$B$4/B1035),Assumptions!$B$21)</f>
        <v/>
      </c>
      <c r="E1035">
        <f>Assumptions!$B$37*Assumptions!$B$22/C1035-Assumptions!$B$38</f>
        <v/>
      </c>
      <c r="F1035">
        <f>Assumptions!$B$39*Assumptions!$B$21/D1035-Assumptions!$B$39</f>
        <v/>
      </c>
      <c r="G1035">
        <f>MAX(0,Assumptions!$B$52*(Assumptions!$B$29+E1035+F1035+G1034+H1034+I1034+Assumptions!$B$4/B1035)-Assumptions!$B$30)</f>
        <v/>
      </c>
      <c r="H1035">
        <f>Assumptions!$B$23/MIN(Assumptions!$B$24/(Assumptions!$B$29+E1035+F1035+G1035+I1034),B1035*(1-Assumptions!$B$25))</f>
        <v/>
      </c>
      <c r="I1035">
        <f>Assumptions!$B$26/MIN(Assumptions!$B$27/(Assumptions!$B$29+E1035+F1035+G1035+H1035),B1035*(1-Assumptions!$B$28))</f>
        <v/>
      </c>
      <c r="J1035">
        <f>Assumptions!$B$29+E1035+F1035+G1035+H1035+I1035</f>
        <v/>
      </c>
      <c r="K1035">
        <f>J1035+Assumptions!$B$4/B1035</f>
        <v/>
      </c>
      <c r="L1035">
        <f>B1035</f>
        <v/>
      </c>
    </row>
    <row r="1036">
      <c r="A1036" t="inlineStr">
        <is>
          <t>cell(2,2) iter 29</t>
        </is>
      </c>
      <c r="B1036">
        <f>Assumptions!$B$55/J1035</f>
        <v/>
      </c>
      <c r="C1036">
        <f>IF(B1036&lt;Assumptions!$B$20,Assumptions!$B$20*(Assumptions!$B$29+Assumptions!$B$4/Assumptions!$B$20)/(Assumptions!$B$29+Assumptions!$B$4/B1036),Assumptions!$B$20)</f>
        <v/>
      </c>
      <c r="D1036">
        <f>IF(B1036&lt;Assumptions!$B$21,Assumptions!$B$21*(Assumptions!$B$29+Assumptions!$B$4/Assumptions!$B$21)/(Assumptions!$B$29+Assumptions!$B$4/B1036),Assumptions!$B$21)</f>
        <v/>
      </c>
      <c r="E1036">
        <f>Assumptions!$B$37*Assumptions!$B$22/C1036-Assumptions!$B$38</f>
        <v/>
      </c>
      <c r="F1036">
        <f>Assumptions!$B$39*Assumptions!$B$21/D1036-Assumptions!$B$39</f>
        <v/>
      </c>
      <c r="G1036">
        <f>MAX(0,Assumptions!$B$52*(Assumptions!$B$29+E1036+F1036+G1035+H1035+I1035+Assumptions!$B$4/B1036)-Assumptions!$B$30)</f>
        <v/>
      </c>
      <c r="H1036">
        <f>Assumptions!$B$23/MIN(Assumptions!$B$24/(Assumptions!$B$29+E1036+F1036+G1036+I1035),B1036*(1-Assumptions!$B$25))</f>
        <v/>
      </c>
      <c r="I1036">
        <f>Assumptions!$B$26/MIN(Assumptions!$B$27/(Assumptions!$B$29+E1036+F1036+G1036+H1036),B1036*(1-Assumptions!$B$28))</f>
        <v/>
      </c>
      <c r="J1036">
        <f>Assumptions!$B$29+E1036+F1036+G1036+H1036+I1036</f>
        <v/>
      </c>
      <c r="K1036">
        <f>J1036+Assumptions!$B$4/B1036</f>
        <v/>
      </c>
      <c r="L1036">
        <f>B1036</f>
        <v/>
      </c>
    </row>
    <row r="1037">
      <c r="A1037" t="inlineStr">
        <is>
          <t>cell(2,2) iter 30</t>
        </is>
      </c>
      <c r="B1037">
        <f>Assumptions!$B$55/J1036</f>
        <v/>
      </c>
      <c r="C1037">
        <f>IF(B1037&lt;Assumptions!$B$20,Assumptions!$B$20*(Assumptions!$B$29+Assumptions!$B$4/Assumptions!$B$20)/(Assumptions!$B$29+Assumptions!$B$4/B1037),Assumptions!$B$20)</f>
        <v/>
      </c>
      <c r="D1037">
        <f>IF(B1037&lt;Assumptions!$B$21,Assumptions!$B$21*(Assumptions!$B$29+Assumptions!$B$4/Assumptions!$B$21)/(Assumptions!$B$29+Assumptions!$B$4/B1037),Assumptions!$B$21)</f>
        <v/>
      </c>
      <c r="E1037">
        <f>Assumptions!$B$37*Assumptions!$B$22/C1037-Assumptions!$B$38</f>
        <v/>
      </c>
      <c r="F1037">
        <f>Assumptions!$B$39*Assumptions!$B$21/D1037-Assumptions!$B$39</f>
        <v/>
      </c>
      <c r="G1037">
        <f>MAX(0,Assumptions!$B$52*(Assumptions!$B$29+E1037+F1037+G1036+H1036+I1036+Assumptions!$B$4/B1037)-Assumptions!$B$30)</f>
        <v/>
      </c>
      <c r="H1037">
        <f>Assumptions!$B$23/MIN(Assumptions!$B$24/(Assumptions!$B$29+E1037+F1037+G1037+I1036),B1037*(1-Assumptions!$B$25))</f>
        <v/>
      </c>
      <c r="I1037">
        <f>Assumptions!$B$26/MIN(Assumptions!$B$27/(Assumptions!$B$29+E1037+F1037+G1037+H1037),B1037*(1-Assumptions!$B$28))</f>
        <v/>
      </c>
      <c r="J1037">
        <f>Assumptions!$B$29+E1037+F1037+G1037+H1037+I1037</f>
        <v/>
      </c>
      <c r="K1037">
        <f>J1037+Assumptions!$B$4/B1037</f>
        <v/>
      </c>
      <c r="L1037">
        <f>B1037</f>
        <v/>
      </c>
    </row>
    <row r="1038">
      <c r="A1038" t="inlineStr">
        <is>
          <t>cell(2,2) iter 31</t>
        </is>
      </c>
      <c r="B1038">
        <f>Assumptions!$B$55/J1037</f>
        <v/>
      </c>
      <c r="C1038">
        <f>IF(B1038&lt;Assumptions!$B$20,Assumptions!$B$20*(Assumptions!$B$29+Assumptions!$B$4/Assumptions!$B$20)/(Assumptions!$B$29+Assumptions!$B$4/B1038),Assumptions!$B$20)</f>
        <v/>
      </c>
      <c r="D1038">
        <f>IF(B1038&lt;Assumptions!$B$21,Assumptions!$B$21*(Assumptions!$B$29+Assumptions!$B$4/Assumptions!$B$21)/(Assumptions!$B$29+Assumptions!$B$4/B1038),Assumptions!$B$21)</f>
        <v/>
      </c>
      <c r="E1038">
        <f>Assumptions!$B$37*Assumptions!$B$22/C1038-Assumptions!$B$38</f>
        <v/>
      </c>
      <c r="F1038">
        <f>Assumptions!$B$39*Assumptions!$B$21/D1038-Assumptions!$B$39</f>
        <v/>
      </c>
      <c r="G1038">
        <f>MAX(0,Assumptions!$B$52*(Assumptions!$B$29+E1038+F1038+G1037+H1037+I1037+Assumptions!$B$4/B1038)-Assumptions!$B$30)</f>
        <v/>
      </c>
      <c r="H1038">
        <f>Assumptions!$B$23/MIN(Assumptions!$B$24/(Assumptions!$B$29+E1038+F1038+G1038+I1037),B1038*(1-Assumptions!$B$25))</f>
        <v/>
      </c>
      <c r="I1038">
        <f>Assumptions!$B$26/MIN(Assumptions!$B$27/(Assumptions!$B$29+E1038+F1038+G1038+H1038),B1038*(1-Assumptions!$B$28))</f>
        <v/>
      </c>
      <c r="J1038">
        <f>Assumptions!$B$29+E1038+F1038+G1038+H1038+I1038</f>
        <v/>
      </c>
      <c r="K1038">
        <f>J1038+Assumptions!$B$4/B1038</f>
        <v/>
      </c>
      <c r="L1038">
        <f>B1038</f>
        <v/>
      </c>
    </row>
    <row r="1039">
      <c r="A1039" t="inlineStr">
        <is>
          <t>cell(2,2) iter 32</t>
        </is>
      </c>
      <c r="B1039">
        <f>Assumptions!$B$55/J1038</f>
        <v/>
      </c>
      <c r="C1039">
        <f>IF(B1039&lt;Assumptions!$B$20,Assumptions!$B$20*(Assumptions!$B$29+Assumptions!$B$4/Assumptions!$B$20)/(Assumptions!$B$29+Assumptions!$B$4/B1039),Assumptions!$B$20)</f>
        <v/>
      </c>
      <c r="D1039">
        <f>IF(B1039&lt;Assumptions!$B$21,Assumptions!$B$21*(Assumptions!$B$29+Assumptions!$B$4/Assumptions!$B$21)/(Assumptions!$B$29+Assumptions!$B$4/B1039),Assumptions!$B$21)</f>
        <v/>
      </c>
      <c r="E1039">
        <f>Assumptions!$B$37*Assumptions!$B$22/C1039-Assumptions!$B$38</f>
        <v/>
      </c>
      <c r="F1039">
        <f>Assumptions!$B$39*Assumptions!$B$21/D1039-Assumptions!$B$39</f>
        <v/>
      </c>
      <c r="G1039">
        <f>MAX(0,Assumptions!$B$52*(Assumptions!$B$29+E1039+F1039+G1038+H1038+I1038+Assumptions!$B$4/B1039)-Assumptions!$B$30)</f>
        <v/>
      </c>
      <c r="H1039">
        <f>Assumptions!$B$23/MIN(Assumptions!$B$24/(Assumptions!$B$29+E1039+F1039+G1039+I1038),B1039*(1-Assumptions!$B$25))</f>
        <v/>
      </c>
      <c r="I1039">
        <f>Assumptions!$B$26/MIN(Assumptions!$B$27/(Assumptions!$B$29+E1039+F1039+G1039+H1039),B1039*(1-Assumptions!$B$28))</f>
        <v/>
      </c>
      <c r="J1039">
        <f>Assumptions!$B$29+E1039+F1039+G1039+H1039+I1039</f>
        <v/>
      </c>
      <c r="K1039">
        <f>J1039+Assumptions!$B$4/B1039</f>
        <v/>
      </c>
      <c r="L1039">
        <f>B1039</f>
        <v/>
      </c>
    </row>
    <row r="1040">
      <c r="A1040" t="inlineStr">
        <is>
          <t>cell(2,2) iter 33</t>
        </is>
      </c>
      <c r="B1040">
        <f>Assumptions!$B$55/J1039</f>
        <v/>
      </c>
      <c r="C1040">
        <f>IF(B1040&lt;Assumptions!$B$20,Assumptions!$B$20*(Assumptions!$B$29+Assumptions!$B$4/Assumptions!$B$20)/(Assumptions!$B$29+Assumptions!$B$4/B1040),Assumptions!$B$20)</f>
        <v/>
      </c>
      <c r="D1040">
        <f>IF(B1040&lt;Assumptions!$B$21,Assumptions!$B$21*(Assumptions!$B$29+Assumptions!$B$4/Assumptions!$B$21)/(Assumptions!$B$29+Assumptions!$B$4/B1040),Assumptions!$B$21)</f>
        <v/>
      </c>
      <c r="E1040">
        <f>Assumptions!$B$37*Assumptions!$B$22/C1040-Assumptions!$B$38</f>
        <v/>
      </c>
      <c r="F1040">
        <f>Assumptions!$B$39*Assumptions!$B$21/D1040-Assumptions!$B$39</f>
        <v/>
      </c>
      <c r="G1040">
        <f>MAX(0,Assumptions!$B$52*(Assumptions!$B$29+E1040+F1040+G1039+H1039+I1039+Assumptions!$B$4/B1040)-Assumptions!$B$30)</f>
        <v/>
      </c>
      <c r="H1040">
        <f>Assumptions!$B$23/MIN(Assumptions!$B$24/(Assumptions!$B$29+E1040+F1040+G1040+I1039),B1040*(1-Assumptions!$B$25))</f>
        <v/>
      </c>
      <c r="I1040">
        <f>Assumptions!$B$26/MIN(Assumptions!$B$27/(Assumptions!$B$29+E1040+F1040+G1040+H1040),B1040*(1-Assumptions!$B$28))</f>
        <v/>
      </c>
      <c r="J1040">
        <f>Assumptions!$B$29+E1040+F1040+G1040+H1040+I1040</f>
        <v/>
      </c>
      <c r="K1040">
        <f>J1040+Assumptions!$B$4/B1040</f>
        <v/>
      </c>
      <c r="L1040">
        <f>B1040</f>
        <v/>
      </c>
    </row>
    <row r="1041">
      <c r="A1041" t="inlineStr">
        <is>
          <t>cell(2,2) iter 34</t>
        </is>
      </c>
      <c r="B1041">
        <f>Assumptions!$B$55/J1040</f>
        <v/>
      </c>
      <c r="C1041">
        <f>IF(B1041&lt;Assumptions!$B$20,Assumptions!$B$20*(Assumptions!$B$29+Assumptions!$B$4/Assumptions!$B$20)/(Assumptions!$B$29+Assumptions!$B$4/B1041),Assumptions!$B$20)</f>
        <v/>
      </c>
      <c r="D1041">
        <f>IF(B1041&lt;Assumptions!$B$21,Assumptions!$B$21*(Assumptions!$B$29+Assumptions!$B$4/Assumptions!$B$21)/(Assumptions!$B$29+Assumptions!$B$4/B1041),Assumptions!$B$21)</f>
        <v/>
      </c>
      <c r="E1041">
        <f>Assumptions!$B$37*Assumptions!$B$22/C1041-Assumptions!$B$38</f>
        <v/>
      </c>
      <c r="F1041">
        <f>Assumptions!$B$39*Assumptions!$B$21/D1041-Assumptions!$B$39</f>
        <v/>
      </c>
      <c r="G1041">
        <f>MAX(0,Assumptions!$B$52*(Assumptions!$B$29+E1041+F1041+G1040+H1040+I1040+Assumptions!$B$4/B1041)-Assumptions!$B$30)</f>
        <v/>
      </c>
      <c r="H1041">
        <f>Assumptions!$B$23/MIN(Assumptions!$B$24/(Assumptions!$B$29+E1041+F1041+G1041+I1040),B1041*(1-Assumptions!$B$25))</f>
        <v/>
      </c>
      <c r="I1041">
        <f>Assumptions!$B$26/MIN(Assumptions!$B$27/(Assumptions!$B$29+E1041+F1041+G1041+H1041),B1041*(1-Assumptions!$B$28))</f>
        <v/>
      </c>
      <c r="J1041">
        <f>Assumptions!$B$29+E1041+F1041+G1041+H1041+I1041</f>
        <v/>
      </c>
      <c r="K1041">
        <f>J1041+Assumptions!$B$4/B1041</f>
        <v/>
      </c>
      <c r="L1041">
        <f>B1041</f>
        <v/>
      </c>
    </row>
    <row r="1042">
      <c r="A1042" t="inlineStr">
        <is>
          <t>cell(2,2) iter 35</t>
        </is>
      </c>
      <c r="B1042">
        <f>Assumptions!$B$55/J1041</f>
        <v/>
      </c>
      <c r="C1042">
        <f>IF(B1042&lt;Assumptions!$B$20,Assumptions!$B$20*(Assumptions!$B$29+Assumptions!$B$4/Assumptions!$B$20)/(Assumptions!$B$29+Assumptions!$B$4/B1042),Assumptions!$B$20)</f>
        <v/>
      </c>
      <c r="D1042">
        <f>IF(B1042&lt;Assumptions!$B$21,Assumptions!$B$21*(Assumptions!$B$29+Assumptions!$B$4/Assumptions!$B$21)/(Assumptions!$B$29+Assumptions!$B$4/B1042),Assumptions!$B$21)</f>
        <v/>
      </c>
      <c r="E1042">
        <f>Assumptions!$B$37*Assumptions!$B$22/C1042-Assumptions!$B$38</f>
        <v/>
      </c>
      <c r="F1042">
        <f>Assumptions!$B$39*Assumptions!$B$21/D1042-Assumptions!$B$39</f>
        <v/>
      </c>
      <c r="G1042">
        <f>MAX(0,Assumptions!$B$52*(Assumptions!$B$29+E1042+F1042+G1041+H1041+I1041+Assumptions!$B$4/B1042)-Assumptions!$B$30)</f>
        <v/>
      </c>
      <c r="H1042">
        <f>Assumptions!$B$23/MIN(Assumptions!$B$24/(Assumptions!$B$29+E1042+F1042+G1042+I1041),B1042*(1-Assumptions!$B$25))</f>
        <v/>
      </c>
      <c r="I1042">
        <f>Assumptions!$B$26/MIN(Assumptions!$B$27/(Assumptions!$B$29+E1042+F1042+G1042+H1042),B1042*(1-Assumptions!$B$28))</f>
        <v/>
      </c>
      <c r="J1042">
        <f>Assumptions!$B$29+E1042+F1042+G1042+H1042+I1042</f>
        <v/>
      </c>
      <c r="K1042">
        <f>J1042+Assumptions!$B$4/B1042</f>
        <v/>
      </c>
      <c r="L1042">
        <f>B1042</f>
        <v/>
      </c>
    </row>
    <row r="1043">
      <c r="A1043" t="inlineStr">
        <is>
          <t>cell(2,2) iter 36</t>
        </is>
      </c>
      <c r="B1043">
        <f>Assumptions!$B$55/J1042</f>
        <v/>
      </c>
      <c r="C1043">
        <f>IF(B1043&lt;Assumptions!$B$20,Assumptions!$B$20*(Assumptions!$B$29+Assumptions!$B$4/Assumptions!$B$20)/(Assumptions!$B$29+Assumptions!$B$4/B1043),Assumptions!$B$20)</f>
        <v/>
      </c>
      <c r="D1043">
        <f>IF(B1043&lt;Assumptions!$B$21,Assumptions!$B$21*(Assumptions!$B$29+Assumptions!$B$4/Assumptions!$B$21)/(Assumptions!$B$29+Assumptions!$B$4/B1043),Assumptions!$B$21)</f>
        <v/>
      </c>
      <c r="E1043">
        <f>Assumptions!$B$37*Assumptions!$B$22/C1043-Assumptions!$B$38</f>
        <v/>
      </c>
      <c r="F1043">
        <f>Assumptions!$B$39*Assumptions!$B$21/D1043-Assumptions!$B$39</f>
        <v/>
      </c>
      <c r="G1043">
        <f>MAX(0,Assumptions!$B$52*(Assumptions!$B$29+E1043+F1043+G1042+H1042+I1042+Assumptions!$B$4/B1043)-Assumptions!$B$30)</f>
        <v/>
      </c>
      <c r="H1043">
        <f>Assumptions!$B$23/MIN(Assumptions!$B$24/(Assumptions!$B$29+E1043+F1043+G1043+I1042),B1043*(1-Assumptions!$B$25))</f>
        <v/>
      </c>
      <c r="I1043">
        <f>Assumptions!$B$26/MIN(Assumptions!$B$27/(Assumptions!$B$29+E1043+F1043+G1043+H1043),B1043*(1-Assumptions!$B$28))</f>
        <v/>
      </c>
      <c r="J1043">
        <f>Assumptions!$B$29+E1043+F1043+G1043+H1043+I1043</f>
        <v/>
      </c>
      <c r="K1043">
        <f>J1043+Assumptions!$B$4/B1043</f>
        <v/>
      </c>
      <c r="L1043">
        <f>B1043</f>
        <v/>
      </c>
    </row>
    <row r="1044">
      <c r="A1044" t="inlineStr">
        <is>
          <t>cell(2,2) iter 37</t>
        </is>
      </c>
      <c r="B1044">
        <f>Assumptions!$B$55/J1043</f>
        <v/>
      </c>
      <c r="C1044">
        <f>IF(B1044&lt;Assumptions!$B$20,Assumptions!$B$20*(Assumptions!$B$29+Assumptions!$B$4/Assumptions!$B$20)/(Assumptions!$B$29+Assumptions!$B$4/B1044),Assumptions!$B$20)</f>
        <v/>
      </c>
      <c r="D1044">
        <f>IF(B1044&lt;Assumptions!$B$21,Assumptions!$B$21*(Assumptions!$B$29+Assumptions!$B$4/Assumptions!$B$21)/(Assumptions!$B$29+Assumptions!$B$4/B1044),Assumptions!$B$21)</f>
        <v/>
      </c>
      <c r="E1044">
        <f>Assumptions!$B$37*Assumptions!$B$22/C1044-Assumptions!$B$38</f>
        <v/>
      </c>
      <c r="F1044">
        <f>Assumptions!$B$39*Assumptions!$B$21/D1044-Assumptions!$B$39</f>
        <v/>
      </c>
      <c r="G1044">
        <f>MAX(0,Assumptions!$B$52*(Assumptions!$B$29+E1044+F1044+G1043+H1043+I1043+Assumptions!$B$4/B1044)-Assumptions!$B$30)</f>
        <v/>
      </c>
      <c r="H1044">
        <f>Assumptions!$B$23/MIN(Assumptions!$B$24/(Assumptions!$B$29+E1044+F1044+G1044+I1043),B1044*(1-Assumptions!$B$25))</f>
        <v/>
      </c>
      <c r="I1044">
        <f>Assumptions!$B$26/MIN(Assumptions!$B$27/(Assumptions!$B$29+E1044+F1044+G1044+H1044),B1044*(1-Assumptions!$B$28))</f>
        <v/>
      </c>
      <c r="J1044">
        <f>Assumptions!$B$29+E1044+F1044+G1044+H1044+I1044</f>
        <v/>
      </c>
      <c r="K1044">
        <f>J1044+Assumptions!$B$4/B1044</f>
        <v/>
      </c>
      <c r="L1044">
        <f>B1044</f>
        <v/>
      </c>
    </row>
    <row r="1045">
      <c r="A1045" t="inlineStr">
        <is>
          <t>cell(2,2) iter 38</t>
        </is>
      </c>
      <c r="B1045">
        <f>Assumptions!$B$55/J1044</f>
        <v/>
      </c>
      <c r="C1045">
        <f>IF(B1045&lt;Assumptions!$B$20,Assumptions!$B$20*(Assumptions!$B$29+Assumptions!$B$4/Assumptions!$B$20)/(Assumptions!$B$29+Assumptions!$B$4/B1045),Assumptions!$B$20)</f>
        <v/>
      </c>
      <c r="D1045">
        <f>IF(B1045&lt;Assumptions!$B$21,Assumptions!$B$21*(Assumptions!$B$29+Assumptions!$B$4/Assumptions!$B$21)/(Assumptions!$B$29+Assumptions!$B$4/B1045),Assumptions!$B$21)</f>
        <v/>
      </c>
      <c r="E1045">
        <f>Assumptions!$B$37*Assumptions!$B$22/C1045-Assumptions!$B$38</f>
        <v/>
      </c>
      <c r="F1045">
        <f>Assumptions!$B$39*Assumptions!$B$21/D1045-Assumptions!$B$39</f>
        <v/>
      </c>
      <c r="G1045">
        <f>MAX(0,Assumptions!$B$52*(Assumptions!$B$29+E1045+F1045+G1044+H1044+I1044+Assumptions!$B$4/B1045)-Assumptions!$B$30)</f>
        <v/>
      </c>
      <c r="H1045">
        <f>Assumptions!$B$23/MIN(Assumptions!$B$24/(Assumptions!$B$29+E1045+F1045+G1045+I1044),B1045*(1-Assumptions!$B$25))</f>
        <v/>
      </c>
      <c r="I1045">
        <f>Assumptions!$B$26/MIN(Assumptions!$B$27/(Assumptions!$B$29+E1045+F1045+G1045+H1045),B1045*(1-Assumptions!$B$28))</f>
        <v/>
      </c>
      <c r="J1045">
        <f>Assumptions!$B$29+E1045+F1045+G1045+H1045+I1045</f>
        <v/>
      </c>
      <c r="K1045">
        <f>J1045+Assumptions!$B$4/B1045</f>
        <v/>
      </c>
      <c r="L1045">
        <f>B1045</f>
        <v/>
      </c>
    </row>
    <row r="1046">
      <c r="A1046" t="inlineStr">
        <is>
          <t>cell(2,2) iter 39</t>
        </is>
      </c>
      <c r="B1046">
        <f>Assumptions!$B$55/J1045</f>
        <v/>
      </c>
      <c r="C1046">
        <f>IF(B1046&lt;Assumptions!$B$20,Assumptions!$B$20*(Assumptions!$B$29+Assumptions!$B$4/Assumptions!$B$20)/(Assumptions!$B$29+Assumptions!$B$4/B1046),Assumptions!$B$20)</f>
        <v/>
      </c>
      <c r="D1046">
        <f>IF(B1046&lt;Assumptions!$B$21,Assumptions!$B$21*(Assumptions!$B$29+Assumptions!$B$4/Assumptions!$B$21)/(Assumptions!$B$29+Assumptions!$B$4/B1046),Assumptions!$B$21)</f>
        <v/>
      </c>
      <c r="E1046">
        <f>Assumptions!$B$37*Assumptions!$B$22/C1046-Assumptions!$B$38</f>
        <v/>
      </c>
      <c r="F1046">
        <f>Assumptions!$B$39*Assumptions!$B$21/D1046-Assumptions!$B$39</f>
        <v/>
      </c>
      <c r="G1046">
        <f>MAX(0,Assumptions!$B$52*(Assumptions!$B$29+E1046+F1046+G1045+H1045+I1045+Assumptions!$B$4/B1046)-Assumptions!$B$30)</f>
        <v/>
      </c>
      <c r="H1046">
        <f>Assumptions!$B$23/MIN(Assumptions!$B$24/(Assumptions!$B$29+E1046+F1046+G1046+I1045),B1046*(1-Assumptions!$B$25))</f>
        <v/>
      </c>
      <c r="I1046">
        <f>Assumptions!$B$26/MIN(Assumptions!$B$27/(Assumptions!$B$29+E1046+F1046+G1046+H1046),B1046*(1-Assumptions!$B$28))</f>
        <v/>
      </c>
      <c r="J1046">
        <f>Assumptions!$B$29+E1046+F1046+G1046+H1046+I1046</f>
        <v/>
      </c>
      <c r="K1046">
        <f>J1046+Assumptions!$B$4/B1046</f>
        <v/>
      </c>
      <c r="L1046">
        <f>B1046</f>
        <v/>
      </c>
    </row>
    <row r="1047">
      <c r="A1047" t="inlineStr">
        <is>
          <t>cell(2,2) iter 40</t>
        </is>
      </c>
      <c r="B1047">
        <f>Assumptions!$B$55/J1046</f>
        <v/>
      </c>
      <c r="C1047">
        <f>IF(B1047&lt;Assumptions!$B$20,Assumptions!$B$20*(Assumptions!$B$29+Assumptions!$B$4/Assumptions!$B$20)/(Assumptions!$B$29+Assumptions!$B$4/B1047),Assumptions!$B$20)</f>
        <v/>
      </c>
      <c r="D1047">
        <f>IF(B1047&lt;Assumptions!$B$21,Assumptions!$B$21*(Assumptions!$B$29+Assumptions!$B$4/Assumptions!$B$21)/(Assumptions!$B$29+Assumptions!$B$4/B1047),Assumptions!$B$21)</f>
        <v/>
      </c>
      <c r="E1047">
        <f>Assumptions!$B$37*Assumptions!$B$22/C1047-Assumptions!$B$38</f>
        <v/>
      </c>
      <c r="F1047">
        <f>Assumptions!$B$39*Assumptions!$B$21/D1047-Assumptions!$B$39</f>
        <v/>
      </c>
      <c r="G1047">
        <f>MAX(0,Assumptions!$B$52*(Assumptions!$B$29+E1047+F1047+G1046+H1046+I1046+Assumptions!$B$4/B1047)-Assumptions!$B$30)</f>
        <v/>
      </c>
      <c r="H1047">
        <f>Assumptions!$B$23/MIN(Assumptions!$B$24/(Assumptions!$B$29+E1047+F1047+G1047+I1046),B1047*(1-Assumptions!$B$25))</f>
        <v/>
      </c>
      <c r="I1047">
        <f>Assumptions!$B$26/MIN(Assumptions!$B$27/(Assumptions!$B$29+E1047+F1047+G1047+H1047),B1047*(1-Assumptions!$B$28))</f>
        <v/>
      </c>
      <c r="J1047">
        <f>Assumptions!$B$29+E1047+F1047+G1047+H1047+I1047</f>
        <v/>
      </c>
      <c r="K1047">
        <f>J1047+Assumptions!$B$4/B1047</f>
        <v/>
      </c>
      <c r="L1047">
        <f>B1047</f>
        <v/>
      </c>
    </row>
    <row r="1048">
      <c r="A1048" t="inlineStr">
        <is>
          <t>cell(2,2) iter 41</t>
        </is>
      </c>
      <c r="B1048">
        <f>Assumptions!$B$55/J1047</f>
        <v/>
      </c>
      <c r="C1048">
        <f>IF(B1048&lt;Assumptions!$B$20,Assumptions!$B$20*(Assumptions!$B$29+Assumptions!$B$4/Assumptions!$B$20)/(Assumptions!$B$29+Assumptions!$B$4/B1048),Assumptions!$B$20)</f>
        <v/>
      </c>
      <c r="D1048">
        <f>IF(B1048&lt;Assumptions!$B$21,Assumptions!$B$21*(Assumptions!$B$29+Assumptions!$B$4/Assumptions!$B$21)/(Assumptions!$B$29+Assumptions!$B$4/B1048),Assumptions!$B$21)</f>
        <v/>
      </c>
      <c r="E1048">
        <f>Assumptions!$B$37*Assumptions!$B$22/C1048-Assumptions!$B$38</f>
        <v/>
      </c>
      <c r="F1048">
        <f>Assumptions!$B$39*Assumptions!$B$21/D1048-Assumptions!$B$39</f>
        <v/>
      </c>
      <c r="G1048">
        <f>MAX(0,Assumptions!$B$52*(Assumptions!$B$29+E1048+F1048+G1047+H1047+I1047+Assumptions!$B$4/B1048)-Assumptions!$B$30)</f>
        <v/>
      </c>
      <c r="H1048">
        <f>Assumptions!$B$23/MIN(Assumptions!$B$24/(Assumptions!$B$29+E1048+F1048+G1048+I1047),B1048*(1-Assumptions!$B$25))</f>
        <v/>
      </c>
      <c r="I1048">
        <f>Assumptions!$B$26/MIN(Assumptions!$B$27/(Assumptions!$B$29+E1048+F1048+G1048+H1048),B1048*(1-Assumptions!$B$28))</f>
        <v/>
      </c>
      <c r="J1048">
        <f>Assumptions!$B$29+E1048+F1048+G1048+H1048+I1048</f>
        <v/>
      </c>
      <c r="K1048">
        <f>J1048+Assumptions!$B$4/B1048</f>
        <v/>
      </c>
      <c r="L1048">
        <f>B1048</f>
        <v/>
      </c>
    </row>
    <row r="1049">
      <c r="A1049" t="inlineStr">
        <is>
          <t>cell(2,2) iter 42</t>
        </is>
      </c>
      <c r="B1049">
        <f>Assumptions!$B$55/J1048</f>
        <v/>
      </c>
      <c r="C1049">
        <f>IF(B1049&lt;Assumptions!$B$20,Assumptions!$B$20*(Assumptions!$B$29+Assumptions!$B$4/Assumptions!$B$20)/(Assumptions!$B$29+Assumptions!$B$4/B1049),Assumptions!$B$20)</f>
        <v/>
      </c>
      <c r="D1049">
        <f>IF(B1049&lt;Assumptions!$B$21,Assumptions!$B$21*(Assumptions!$B$29+Assumptions!$B$4/Assumptions!$B$21)/(Assumptions!$B$29+Assumptions!$B$4/B1049),Assumptions!$B$21)</f>
        <v/>
      </c>
      <c r="E1049">
        <f>Assumptions!$B$37*Assumptions!$B$22/C1049-Assumptions!$B$38</f>
        <v/>
      </c>
      <c r="F1049">
        <f>Assumptions!$B$39*Assumptions!$B$21/D1049-Assumptions!$B$39</f>
        <v/>
      </c>
      <c r="G1049">
        <f>MAX(0,Assumptions!$B$52*(Assumptions!$B$29+E1049+F1049+G1048+H1048+I1048+Assumptions!$B$4/B1049)-Assumptions!$B$30)</f>
        <v/>
      </c>
      <c r="H1049">
        <f>Assumptions!$B$23/MIN(Assumptions!$B$24/(Assumptions!$B$29+E1049+F1049+G1049+I1048),B1049*(1-Assumptions!$B$25))</f>
        <v/>
      </c>
      <c r="I1049">
        <f>Assumptions!$B$26/MIN(Assumptions!$B$27/(Assumptions!$B$29+E1049+F1049+G1049+H1049),B1049*(1-Assumptions!$B$28))</f>
        <v/>
      </c>
      <c r="J1049">
        <f>Assumptions!$B$29+E1049+F1049+G1049+H1049+I1049</f>
        <v/>
      </c>
      <c r="K1049">
        <f>J1049+Assumptions!$B$4/B1049</f>
        <v/>
      </c>
      <c r="L1049">
        <f>B1049</f>
        <v/>
      </c>
    </row>
    <row r="1050">
      <c r="A1050" t="inlineStr">
        <is>
          <t>cell(2,2) iter 43</t>
        </is>
      </c>
      <c r="B1050">
        <f>Assumptions!$B$55/J1049</f>
        <v/>
      </c>
      <c r="C1050">
        <f>IF(B1050&lt;Assumptions!$B$20,Assumptions!$B$20*(Assumptions!$B$29+Assumptions!$B$4/Assumptions!$B$20)/(Assumptions!$B$29+Assumptions!$B$4/B1050),Assumptions!$B$20)</f>
        <v/>
      </c>
      <c r="D1050">
        <f>IF(B1050&lt;Assumptions!$B$21,Assumptions!$B$21*(Assumptions!$B$29+Assumptions!$B$4/Assumptions!$B$21)/(Assumptions!$B$29+Assumptions!$B$4/B1050),Assumptions!$B$21)</f>
        <v/>
      </c>
      <c r="E1050">
        <f>Assumptions!$B$37*Assumptions!$B$22/C1050-Assumptions!$B$38</f>
        <v/>
      </c>
      <c r="F1050">
        <f>Assumptions!$B$39*Assumptions!$B$21/D1050-Assumptions!$B$39</f>
        <v/>
      </c>
      <c r="G1050">
        <f>MAX(0,Assumptions!$B$52*(Assumptions!$B$29+E1050+F1050+G1049+H1049+I1049+Assumptions!$B$4/B1050)-Assumptions!$B$30)</f>
        <v/>
      </c>
      <c r="H1050">
        <f>Assumptions!$B$23/MIN(Assumptions!$B$24/(Assumptions!$B$29+E1050+F1050+G1050+I1049),B1050*(1-Assumptions!$B$25))</f>
        <v/>
      </c>
      <c r="I1050">
        <f>Assumptions!$B$26/MIN(Assumptions!$B$27/(Assumptions!$B$29+E1050+F1050+G1050+H1050),B1050*(1-Assumptions!$B$28))</f>
        <v/>
      </c>
      <c r="J1050">
        <f>Assumptions!$B$29+E1050+F1050+G1050+H1050+I1050</f>
        <v/>
      </c>
      <c r="K1050">
        <f>J1050+Assumptions!$B$4/B1050</f>
        <v/>
      </c>
      <c r="L1050">
        <f>B1050</f>
        <v/>
      </c>
    </row>
    <row r="1051">
      <c r="A1051" t="inlineStr">
        <is>
          <t>cell(2,2) iter 44</t>
        </is>
      </c>
      <c r="B1051">
        <f>Assumptions!$B$55/J1050</f>
        <v/>
      </c>
      <c r="C1051">
        <f>IF(B1051&lt;Assumptions!$B$20,Assumptions!$B$20*(Assumptions!$B$29+Assumptions!$B$4/Assumptions!$B$20)/(Assumptions!$B$29+Assumptions!$B$4/B1051),Assumptions!$B$20)</f>
        <v/>
      </c>
      <c r="D1051">
        <f>IF(B1051&lt;Assumptions!$B$21,Assumptions!$B$21*(Assumptions!$B$29+Assumptions!$B$4/Assumptions!$B$21)/(Assumptions!$B$29+Assumptions!$B$4/B1051),Assumptions!$B$21)</f>
        <v/>
      </c>
      <c r="E1051">
        <f>Assumptions!$B$37*Assumptions!$B$22/C1051-Assumptions!$B$38</f>
        <v/>
      </c>
      <c r="F1051">
        <f>Assumptions!$B$39*Assumptions!$B$21/D1051-Assumptions!$B$39</f>
        <v/>
      </c>
      <c r="G1051">
        <f>MAX(0,Assumptions!$B$52*(Assumptions!$B$29+E1051+F1051+G1050+H1050+I1050+Assumptions!$B$4/B1051)-Assumptions!$B$30)</f>
        <v/>
      </c>
      <c r="H1051">
        <f>Assumptions!$B$23/MIN(Assumptions!$B$24/(Assumptions!$B$29+E1051+F1051+G1051+I1050),B1051*(1-Assumptions!$B$25))</f>
        <v/>
      </c>
      <c r="I1051">
        <f>Assumptions!$B$26/MIN(Assumptions!$B$27/(Assumptions!$B$29+E1051+F1051+G1051+H1051),B1051*(1-Assumptions!$B$28))</f>
        <v/>
      </c>
      <c r="J1051">
        <f>Assumptions!$B$29+E1051+F1051+G1051+H1051+I1051</f>
        <v/>
      </c>
      <c r="K1051">
        <f>J1051+Assumptions!$B$4/B1051</f>
        <v/>
      </c>
      <c r="L1051">
        <f>B1051</f>
        <v/>
      </c>
    </row>
    <row r="1052">
      <c r="A1052" t="inlineStr">
        <is>
          <t>cell(2,2) iter 45</t>
        </is>
      </c>
      <c r="B1052">
        <f>Assumptions!$B$55/J1051</f>
        <v/>
      </c>
      <c r="C1052">
        <f>IF(B1052&lt;Assumptions!$B$20,Assumptions!$B$20*(Assumptions!$B$29+Assumptions!$B$4/Assumptions!$B$20)/(Assumptions!$B$29+Assumptions!$B$4/B1052),Assumptions!$B$20)</f>
        <v/>
      </c>
      <c r="D1052">
        <f>IF(B1052&lt;Assumptions!$B$21,Assumptions!$B$21*(Assumptions!$B$29+Assumptions!$B$4/Assumptions!$B$21)/(Assumptions!$B$29+Assumptions!$B$4/B1052),Assumptions!$B$21)</f>
        <v/>
      </c>
      <c r="E1052">
        <f>Assumptions!$B$37*Assumptions!$B$22/C1052-Assumptions!$B$38</f>
        <v/>
      </c>
      <c r="F1052">
        <f>Assumptions!$B$39*Assumptions!$B$21/D1052-Assumptions!$B$39</f>
        <v/>
      </c>
      <c r="G1052">
        <f>MAX(0,Assumptions!$B$52*(Assumptions!$B$29+E1052+F1052+G1051+H1051+I1051+Assumptions!$B$4/B1052)-Assumptions!$B$30)</f>
        <v/>
      </c>
      <c r="H1052">
        <f>Assumptions!$B$23/MIN(Assumptions!$B$24/(Assumptions!$B$29+E1052+F1052+G1052+I1051),B1052*(1-Assumptions!$B$25))</f>
        <v/>
      </c>
      <c r="I1052">
        <f>Assumptions!$B$26/MIN(Assumptions!$B$27/(Assumptions!$B$29+E1052+F1052+G1052+H1052),B1052*(1-Assumptions!$B$28))</f>
        <v/>
      </c>
      <c r="J1052">
        <f>Assumptions!$B$29+E1052+F1052+G1052+H1052+I1052</f>
        <v/>
      </c>
      <c r="K1052">
        <f>J1052+Assumptions!$B$4/B1052</f>
        <v/>
      </c>
      <c r="L1052">
        <f>B1052</f>
        <v/>
      </c>
    </row>
    <row r="1053">
      <c r="A1053" t="inlineStr">
        <is>
          <t>cell(2,2) iter 46</t>
        </is>
      </c>
      <c r="B1053">
        <f>Assumptions!$B$55/J1052</f>
        <v/>
      </c>
      <c r="C1053">
        <f>IF(B1053&lt;Assumptions!$B$20,Assumptions!$B$20*(Assumptions!$B$29+Assumptions!$B$4/Assumptions!$B$20)/(Assumptions!$B$29+Assumptions!$B$4/B1053),Assumptions!$B$20)</f>
        <v/>
      </c>
      <c r="D1053">
        <f>IF(B1053&lt;Assumptions!$B$21,Assumptions!$B$21*(Assumptions!$B$29+Assumptions!$B$4/Assumptions!$B$21)/(Assumptions!$B$29+Assumptions!$B$4/B1053),Assumptions!$B$21)</f>
        <v/>
      </c>
      <c r="E1053">
        <f>Assumptions!$B$37*Assumptions!$B$22/C1053-Assumptions!$B$38</f>
        <v/>
      </c>
      <c r="F1053">
        <f>Assumptions!$B$39*Assumptions!$B$21/D1053-Assumptions!$B$39</f>
        <v/>
      </c>
      <c r="G1053">
        <f>MAX(0,Assumptions!$B$52*(Assumptions!$B$29+E1053+F1053+G1052+H1052+I1052+Assumptions!$B$4/B1053)-Assumptions!$B$30)</f>
        <v/>
      </c>
      <c r="H1053">
        <f>Assumptions!$B$23/MIN(Assumptions!$B$24/(Assumptions!$B$29+E1053+F1053+G1053+I1052),B1053*(1-Assumptions!$B$25))</f>
        <v/>
      </c>
      <c r="I1053">
        <f>Assumptions!$B$26/MIN(Assumptions!$B$27/(Assumptions!$B$29+E1053+F1053+G1053+H1053),B1053*(1-Assumptions!$B$28))</f>
        <v/>
      </c>
      <c r="J1053">
        <f>Assumptions!$B$29+E1053+F1053+G1053+H1053+I1053</f>
        <v/>
      </c>
      <c r="K1053">
        <f>J1053+Assumptions!$B$4/B1053</f>
        <v/>
      </c>
      <c r="L1053">
        <f>B1053</f>
        <v/>
      </c>
    </row>
    <row r="1054">
      <c r="A1054" t="inlineStr">
        <is>
          <t>cell(2,2) iter 47</t>
        </is>
      </c>
      <c r="B1054">
        <f>Assumptions!$B$55/J1053</f>
        <v/>
      </c>
      <c r="C1054">
        <f>IF(B1054&lt;Assumptions!$B$20,Assumptions!$B$20*(Assumptions!$B$29+Assumptions!$B$4/Assumptions!$B$20)/(Assumptions!$B$29+Assumptions!$B$4/B1054),Assumptions!$B$20)</f>
        <v/>
      </c>
      <c r="D1054">
        <f>IF(B1054&lt;Assumptions!$B$21,Assumptions!$B$21*(Assumptions!$B$29+Assumptions!$B$4/Assumptions!$B$21)/(Assumptions!$B$29+Assumptions!$B$4/B1054),Assumptions!$B$21)</f>
        <v/>
      </c>
      <c r="E1054">
        <f>Assumptions!$B$37*Assumptions!$B$22/C1054-Assumptions!$B$38</f>
        <v/>
      </c>
      <c r="F1054">
        <f>Assumptions!$B$39*Assumptions!$B$21/D1054-Assumptions!$B$39</f>
        <v/>
      </c>
      <c r="G1054">
        <f>MAX(0,Assumptions!$B$52*(Assumptions!$B$29+E1054+F1054+G1053+H1053+I1053+Assumptions!$B$4/B1054)-Assumptions!$B$30)</f>
        <v/>
      </c>
      <c r="H1054">
        <f>Assumptions!$B$23/MIN(Assumptions!$B$24/(Assumptions!$B$29+E1054+F1054+G1054+I1053),B1054*(1-Assumptions!$B$25))</f>
        <v/>
      </c>
      <c r="I1054">
        <f>Assumptions!$B$26/MIN(Assumptions!$B$27/(Assumptions!$B$29+E1054+F1054+G1054+H1054),B1054*(1-Assumptions!$B$28))</f>
        <v/>
      </c>
      <c r="J1054">
        <f>Assumptions!$B$29+E1054+F1054+G1054+H1054+I1054</f>
        <v/>
      </c>
      <c r="K1054">
        <f>J1054+Assumptions!$B$4/B1054</f>
        <v/>
      </c>
      <c r="L1054">
        <f>B1054</f>
        <v/>
      </c>
    </row>
    <row r="1055">
      <c r="A1055" t="inlineStr">
        <is>
          <t>cell(2,2) iter 48</t>
        </is>
      </c>
      <c r="B1055">
        <f>Assumptions!$B$55/J1054</f>
        <v/>
      </c>
      <c r="C1055">
        <f>IF(B1055&lt;Assumptions!$B$20,Assumptions!$B$20*(Assumptions!$B$29+Assumptions!$B$4/Assumptions!$B$20)/(Assumptions!$B$29+Assumptions!$B$4/B1055),Assumptions!$B$20)</f>
        <v/>
      </c>
      <c r="D1055">
        <f>IF(B1055&lt;Assumptions!$B$21,Assumptions!$B$21*(Assumptions!$B$29+Assumptions!$B$4/Assumptions!$B$21)/(Assumptions!$B$29+Assumptions!$B$4/B1055),Assumptions!$B$21)</f>
        <v/>
      </c>
      <c r="E1055">
        <f>Assumptions!$B$37*Assumptions!$B$22/C1055-Assumptions!$B$38</f>
        <v/>
      </c>
      <c r="F1055">
        <f>Assumptions!$B$39*Assumptions!$B$21/D1055-Assumptions!$B$39</f>
        <v/>
      </c>
      <c r="G1055">
        <f>MAX(0,Assumptions!$B$52*(Assumptions!$B$29+E1055+F1055+G1054+H1054+I1054+Assumptions!$B$4/B1055)-Assumptions!$B$30)</f>
        <v/>
      </c>
      <c r="H1055">
        <f>Assumptions!$B$23/MIN(Assumptions!$B$24/(Assumptions!$B$29+E1055+F1055+G1055+I1054),B1055*(1-Assumptions!$B$25))</f>
        <v/>
      </c>
      <c r="I1055">
        <f>Assumptions!$B$26/MIN(Assumptions!$B$27/(Assumptions!$B$29+E1055+F1055+G1055+H1055),B1055*(1-Assumptions!$B$28))</f>
        <v/>
      </c>
      <c r="J1055">
        <f>Assumptions!$B$29+E1055+F1055+G1055+H1055+I1055</f>
        <v/>
      </c>
      <c r="K1055">
        <f>J1055+Assumptions!$B$4/B1055</f>
        <v/>
      </c>
      <c r="L1055">
        <f>B1055</f>
        <v/>
      </c>
    </row>
    <row r="1056">
      <c r="A1056" t="inlineStr">
        <is>
          <t>cell(2,2) iter 49</t>
        </is>
      </c>
      <c r="B1056">
        <f>Assumptions!$B$55/J1055</f>
        <v/>
      </c>
      <c r="C1056">
        <f>IF(B1056&lt;Assumptions!$B$20,Assumptions!$B$20*(Assumptions!$B$29+Assumptions!$B$4/Assumptions!$B$20)/(Assumptions!$B$29+Assumptions!$B$4/B1056),Assumptions!$B$20)</f>
        <v/>
      </c>
      <c r="D1056">
        <f>IF(B1056&lt;Assumptions!$B$21,Assumptions!$B$21*(Assumptions!$B$29+Assumptions!$B$4/Assumptions!$B$21)/(Assumptions!$B$29+Assumptions!$B$4/B1056),Assumptions!$B$21)</f>
        <v/>
      </c>
      <c r="E1056">
        <f>Assumptions!$B$37*Assumptions!$B$22/C1056-Assumptions!$B$38</f>
        <v/>
      </c>
      <c r="F1056">
        <f>Assumptions!$B$39*Assumptions!$B$21/D1056-Assumptions!$B$39</f>
        <v/>
      </c>
      <c r="G1056">
        <f>MAX(0,Assumptions!$B$52*(Assumptions!$B$29+E1056+F1056+G1055+H1055+I1055+Assumptions!$B$4/B1056)-Assumptions!$B$30)</f>
        <v/>
      </c>
      <c r="H1056">
        <f>Assumptions!$B$23/MIN(Assumptions!$B$24/(Assumptions!$B$29+E1056+F1056+G1056+I1055),B1056*(1-Assumptions!$B$25))</f>
        <v/>
      </c>
      <c r="I1056">
        <f>Assumptions!$B$26/MIN(Assumptions!$B$27/(Assumptions!$B$29+E1056+F1056+G1056+H1056),B1056*(1-Assumptions!$B$28))</f>
        <v/>
      </c>
      <c r="J1056">
        <f>Assumptions!$B$29+E1056+F1056+G1056+H1056+I1056</f>
        <v/>
      </c>
      <c r="K1056">
        <f>J1056+Assumptions!$B$4/B1056</f>
        <v/>
      </c>
      <c r="L1056">
        <f>B1056</f>
        <v/>
      </c>
    </row>
    <row r="1057">
      <c r="A1057" t="inlineStr">
        <is>
          <t>cell(2,2) iter 50</t>
        </is>
      </c>
      <c r="B1057">
        <f>Assumptions!$B$55/J1056</f>
        <v/>
      </c>
      <c r="C1057">
        <f>IF(B1057&lt;Assumptions!$B$20,Assumptions!$B$20*(Assumptions!$B$29+Assumptions!$B$4/Assumptions!$B$20)/(Assumptions!$B$29+Assumptions!$B$4/B1057),Assumptions!$B$20)</f>
        <v/>
      </c>
      <c r="D1057">
        <f>IF(B1057&lt;Assumptions!$B$21,Assumptions!$B$21*(Assumptions!$B$29+Assumptions!$B$4/Assumptions!$B$21)/(Assumptions!$B$29+Assumptions!$B$4/B1057),Assumptions!$B$21)</f>
        <v/>
      </c>
      <c r="E1057">
        <f>Assumptions!$B$37*Assumptions!$B$22/C1057-Assumptions!$B$38</f>
        <v/>
      </c>
      <c r="F1057">
        <f>Assumptions!$B$39*Assumptions!$B$21/D1057-Assumptions!$B$39</f>
        <v/>
      </c>
      <c r="G1057">
        <f>MAX(0,Assumptions!$B$52*(Assumptions!$B$29+E1057+F1057+G1056+H1056+I1056+Assumptions!$B$4/B1057)-Assumptions!$B$30)</f>
        <v/>
      </c>
      <c r="H1057">
        <f>Assumptions!$B$23/MIN(Assumptions!$B$24/(Assumptions!$B$29+E1057+F1057+G1057+I1056),B1057*(1-Assumptions!$B$25))</f>
        <v/>
      </c>
      <c r="I1057">
        <f>Assumptions!$B$26/MIN(Assumptions!$B$27/(Assumptions!$B$29+E1057+F1057+G1057+H1057),B1057*(1-Assumptions!$B$28))</f>
        <v/>
      </c>
      <c r="J1057">
        <f>Assumptions!$B$29+E1057+F1057+G1057+H1057+I1057</f>
        <v/>
      </c>
      <c r="K1057">
        <f>J1057+Assumptions!$B$4/B1057</f>
        <v/>
      </c>
      <c r="L1057">
        <f>B1057</f>
        <v/>
      </c>
    </row>
    <row r="1058">
      <c r="A1058" t="inlineStr">
        <is>
          <t>cell(2,2) iter 51</t>
        </is>
      </c>
      <c r="B1058">
        <f>Assumptions!$B$55/J1057</f>
        <v/>
      </c>
      <c r="C1058">
        <f>IF(B1058&lt;Assumptions!$B$20,Assumptions!$B$20*(Assumptions!$B$29+Assumptions!$B$4/Assumptions!$B$20)/(Assumptions!$B$29+Assumptions!$B$4/B1058),Assumptions!$B$20)</f>
        <v/>
      </c>
      <c r="D1058">
        <f>IF(B1058&lt;Assumptions!$B$21,Assumptions!$B$21*(Assumptions!$B$29+Assumptions!$B$4/Assumptions!$B$21)/(Assumptions!$B$29+Assumptions!$B$4/B1058),Assumptions!$B$21)</f>
        <v/>
      </c>
      <c r="E1058">
        <f>Assumptions!$B$37*Assumptions!$B$22/C1058-Assumptions!$B$38</f>
        <v/>
      </c>
      <c r="F1058">
        <f>Assumptions!$B$39*Assumptions!$B$21/D1058-Assumptions!$B$39</f>
        <v/>
      </c>
      <c r="G1058">
        <f>MAX(0,Assumptions!$B$52*(Assumptions!$B$29+E1058+F1058+G1057+H1057+I1057+Assumptions!$B$4/B1058)-Assumptions!$B$30)</f>
        <v/>
      </c>
      <c r="H1058">
        <f>Assumptions!$B$23/MIN(Assumptions!$B$24/(Assumptions!$B$29+E1058+F1058+G1058+I1057),B1058*(1-Assumptions!$B$25))</f>
        <v/>
      </c>
      <c r="I1058">
        <f>Assumptions!$B$26/MIN(Assumptions!$B$27/(Assumptions!$B$29+E1058+F1058+G1058+H1058),B1058*(1-Assumptions!$B$28))</f>
        <v/>
      </c>
      <c r="J1058">
        <f>Assumptions!$B$29+E1058+F1058+G1058+H1058+I1058</f>
        <v/>
      </c>
      <c r="K1058">
        <f>J1058+Assumptions!$B$4/B1058</f>
        <v/>
      </c>
      <c r="L1058">
        <f>B1058</f>
        <v/>
      </c>
    </row>
    <row r="1059">
      <c r="A1059" t="inlineStr">
        <is>
          <t>cell(2,2) iter 52</t>
        </is>
      </c>
      <c r="B1059">
        <f>Assumptions!$B$55/J1058</f>
        <v/>
      </c>
      <c r="C1059">
        <f>IF(B1059&lt;Assumptions!$B$20,Assumptions!$B$20*(Assumptions!$B$29+Assumptions!$B$4/Assumptions!$B$20)/(Assumptions!$B$29+Assumptions!$B$4/B1059),Assumptions!$B$20)</f>
        <v/>
      </c>
      <c r="D1059">
        <f>IF(B1059&lt;Assumptions!$B$21,Assumptions!$B$21*(Assumptions!$B$29+Assumptions!$B$4/Assumptions!$B$21)/(Assumptions!$B$29+Assumptions!$B$4/B1059),Assumptions!$B$21)</f>
        <v/>
      </c>
      <c r="E1059">
        <f>Assumptions!$B$37*Assumptions!$B$22/C1059-Assumptions!$B$38</f>
        <v/>
      </c>
      <c r="F1059">
        <f>Assumptions!$B$39*Assumptions!$B$21/D1059-Assumptions!$B$39</f>
        <v/>
      </c>
      <c r="G1059">
        <f>MAX(0,Assumptions!$B$52*(Assumptions!$B$29+E1059+F1059+G1058+H1058+I1058+Assumptions!$B$4/B1059)-Assumptions!$B$30)</f>
        <v/>
      </c>
      <c r="H1059">
        <f>Assumptions!$B$23/MIN(Assumptions!$B$24/(Assumptions!$B$29+E1059+F1059+G1059+I1058),B1059*(1-Assumptions!$B$25))</f>
        <v/>
      </c>
      <c r="I1059">
        <f>Assumptions!$B$26/MIN(Assumptions!$B$27/(Assumptions!$B$29+E1059+F1059+G1059+H1059),B1059*(1-Assumptions!$B$28))</f>
        <v/>
      </c>
      <c r="J1059">
        <f>Assumptions!$B$29+E1059+F1059+G1059+H1059+I1059</f>
        <v/>
      </c>
      <c r="K1059">
        <f>J1059+Assumptions!$B$4/B1059</f>
        <v/>
      </c>
      <c r="L1059">
        <f>B1059</f>
        <v/>
      </c>
    </row>
    <row r="1060">
      <c r="A1060" t="inlineStr">
        <is>
          <t>cell(2,2) iter 53</t>
        </is>
      </c>
      <c r="B1060">
        <f>Assumptions!$B$55/J1059</f>
        <v/>
      </c>
      <c r="C1060">
        <f>IF(B1060&lt;Assumptions!$B$20,Assumptions!$B$20*(Assumptions!$B$29+Assumptions!$B$4/Assumptions!$B$20)/(Assumptions!$B$29+Assumptions!$B$4/B1060),Assumptions!$B$20)</f>
        <v/>
      </c>
      <c r="D1060">
        <f>IF(B1060&lt;Assumptions!$B$21,Assumptions!$B$21*(Assumptions!$B$29+Assumptions!$B$4/Assumptions!$B$21)/(Assumptions!$B$29+Assumptions!$B$4/B1060),Assumptions!$B$21)</f>
        <v/>
      </c>
      <c r="E1060">
        <f>Assumptions!$B$37*Assumptions!$B$22/C1060-Assumptions!$B$38</f>
        <v/>
      </c>
      <c r="F1060">
        <f>Assumptions!$B$39*Assumptions!$B$21/D1060-Assumptions!$B$39</f>
        <v/>
      </c>
      <c r="G1060">
        <f>MAX(0,Assumptions!$B$52*(Assumptions!$B$29+E1060+F1060+G1059+H1059+I1059+Assumptions!$B$4/B1060)-Assumptions!$B$30)</f>
        <v/>
      </c>
      <c r="H1060">
        <f>Assumptions!$B$23/MIN(Assumptions!$B$24/(Assumptions!$B$29+E1060+F1060+G1060+I1059),B1060*(1-Assumptions!$B$25))</f>
        <v/>
      </c>
      <c r="I1060">
        <f>Assumptions!$B$26/MIN(Assumptions!$B$27/(Assumptions!$B$29+E1060+F1060+G1060+H1060),B1060*(1-Assumptions!$B$28))</f>
        <v/>
      </c>
      <c r="J1060">
        <f>Assumptions!$B$29+E1060+F1060+G1060+H1060+I1060</f>
        <v/>
      </c>
      <c r="K1060">
        <f>J1060+Assumptions!$B$4/B1060</f>
        <v/>
      </c>
      <c r="L1060">
        <f>B1060</f>
        <v/>
      </c>
    </row>
    <row r="1061">
      <c r="A1061" t="inlineStr">
        <is>
          <t>cell(2,2) iter 54</t>
        </is>
      </c>
      <c r="B1061">
        <f>Assumptions!$B$55/J1060</f>
        <v/>
      </c>
      <c r="C1061">
        <f>IF(B1061&lt;Assumptions!$B$20,Assumptions!$B$20*(Assumptions!$B$29+Assumptions!$B$4/Assumptions!$B$20)/(Assumptions!$B$29+Assumptions!$B$4/B1061),Assumptions!$B$20)</f>
        <v/>
      </c>
      <c r="D1061">
        <f>IF(B1061&lt;Assumptions!$B$21,Assumptions!$B$21*(Assumptions!$B$29+Assumptions!$B$4/Assumptions!$B$21)/(Assumptions!$B$29+Assumptions!$B$4/B1061),Assumptions!$B$21)</f>
        <v/>
      </c>
      <c r="E1061">
        <f>Assumptions!$B$37*Assumptions!$B$22/C1061-Assumptions!$B$38</f>
        <v/>
      </c>
      <c r="F1061">
        <f>Assumptions!$B$39*Assumptions!$B$21/D1061-Assumptions!$B$39</f>
        <v/>
      </c>
      <c r="G1061">
        <f>MAX(0,Assumptions!$B$52*(Assumptions!$B$29+E1061+F1061+G1060+H1060+I1060+Assumptions!$B$4/B1061)-Assumptions!$B$30)</f>
        <v/>
      </c>
      <c r="H1061">
        <f>Assumptions!$B$23/MIN(Assumptions!$B$24/(Assumptions!$B$29+E1061+F1061+G1061+I1060),B1061*(1-Assumptions!$B$25))</f>
        <v/>
      </c>
      <c r="I1061">
        <f>Assumptions!$B$26/MIN(Assumptions!$B$27/(Assumptions!$B$29+E1061+F1061+G1061+H1061),B1061*(1-Assumptions!$B$28))</f>
        <v/>
      </c>
      <c r="J1061">
        <f>Assumptions!$B$29+E1061+F1061+G1061+H1061+I1061</f>
        <v/>
      </c>
      <c r="K1061">
        <f>J1061+Assumptions!$B$4/B1061</f>
        <v/>
      </c>
      <c r="L1061">
        <f>B1061</f>
        <v/>
      </c>
    </row>
    <row r="1062">
      <c r="A1062" t="inlineStr">
        <is>
          <t>cell(2,2) iter 55</t>
        </is>
      </c>
      <c r="B1062">
        <f>Assumptions!$B$55/J1061</f>
        <v/>
      </c>
      <c r="C1062">
        <f>IF(B1062&lt;Assumptions!$B$20,Assumptions!$B$20*(Assumptions!$B$29+Assumptions!$B$4/Assumptions!$B$20)/(Assumptions!$B$29+Assumptions!$B$4/B1062),Assumptions!$B$20)</f>
        <v/>
      </c>
      <c r="D1062">
        <f>IF(B1062&lt;Assumptions!$B$21,Assumptions!$B$21*(Assumptions!$B$29+Assumptions!$B$4/Assumptions!$B$21)/(Assumptions!$B$29+Assumptions!$B$4/B1062),Assumptions!$B$21)</f>
        <v/>
      </c>
      <c r="E1062">
        <f>Assumptions!$B$37*Assumptions!$B$22/C1062-Assumptions!$B$38</f>
        <v/>
      </c>
      <c r="F1062">
        <f>Assumptions!$B$39*Assumptions!$B$21/D1062-Assumptions!$B$39</f>
        <v/>
      </c>
      <c r="G1062">
        <f>MAX(0,Assumptions!$B$52*(Assumptions!$B$29+E1062+F1062+G1061+H1061+I1061+Assumptions!$B$4/B1062)-Assumptions!$B$30)</f>
        <v/>
      </c>
      <c r="H1062">
        <f>Assumptions!$B$23/MIN(Assumptions!$B$24/(Assumptions!$B$29+E1062+F1062+G1062+I1061),B1062*(1-Assumptions!$B$25))</f>
        <v/>
      </c>
      <c r="I1062">
        <f>Assumptions!$B$26/MIN(Assumptions!$B$27/(Assumptions!$B$29+E1062+F1062+G1062+H1062),B1062*(1-Assumptions!$B$28))</f>
        <v/>
      </c>
      <c r="J1062">
        <f>Assumptions!$B$29+E1062+F1062+G1062+H1062+I1062</f>
        <v/>
      </c>
      <c r="K1062">
        <f>J1062+Assumptions!$B$4/B1062</f>
        <v/>
      </c>
      <c r="L1062">
        <f>B1062</f>
        <v/>
      </c>
    </row>
    <row r="1063">
      <c r="A1063" t="inlineStr">
        <is>
          <t>cell(2,2) iter 56</t>
        </is>
      </c>
      <c r="B1063">
        <f>Assumptions!$B$55/J1062</f>
        <v/>
      </c>
      <c r="C1063">
        <f>IF(B1063&lt;Assumptions!$B$20,Assumptions!$B$20*(Assumptions!$B$29+Assumptions!$B$4/Assumptions!$B$20)/(Assumptions!$B$29+Assumptions!$B$4/B1063),Assumptions!$B$20)</f>
        <v/>
      </c>
      <c r="D1063">
        <f>IF(B1063&lt;Assumptions!$B$21,Assumptions!$B$21*(Assumptions!$B$29+Assumptions!$B$4/Assumptions!$B$21)/(Assumptions!$B$29+Assumptions!$B$4/B1063),Assumptions!$B$21)</f>
        <v/>
      </c>
      <c r="E1063">
        <f>Assumptions!$B$37*Assumptions!$B$22/C1063-Assumptions!$B$38</f>
        <v/>
      </c>
      <c r="F1063">
        <f>Assumptions!$B$39*Assumptions!$B$21/D1063-Assumptions!$B$39</f>
        <v/>
      </c>
      <c r="G1063">
        <f>MAX(0,Assumptions!$B$52*(Assumptions!$B$29+E1063+F1063+G1062+H1062+I1062+Assumptions!$B$4/B1063)-Assumptions!$B$30)</f>
        <v/>
      </c>
      <c r="H1063">
        <f>Assumptions!$B$23/MIN(Assumptions!$B$24/(Assumptions!$B$29+E1063+F1063+G1063+I1062),B1063*(1-Assumptions!$B$25))</f>
        <v/>
      </c>
      <c r="I1063">
        <f>Assumptions!$B$26/MIN(Assumptions!$B$27/(Assumptions!$B$29+E1063+F1063+G1063+H1063),B1063*(1-Assumptions!$B$28))</f>
        <v/>
      </c>
      <c r="J1063">
        <f>Assumptions!$B$29+E1063+F1063+G1063+H1063+I1063</f>
        <v/>
      </c>
      <c r="K1063">
        <f>J1063+Assumptions!$B$4/B1063</f>
        <v/>
      </c>
      <c r="L1063">
        <f>B1063</f>
        <v/>
      </c>
    </row>
    <row r="1064">
      <c r="A1064" t="inlineStr">
        <is>
          <t>cell(2,2) iter 57</t>
        </is>
      </c>
      <c r="B1064">
        <f>Assumptions!$B$55/J1063</f>
        <v/>
      </c>
      <c r="C1064">
        <f>IF(B1064&lt;Assumptions!$B$20,Assumptions!$B$20*(Assumptions!$B$29+Assumptions!$B$4/Assumptions!$B$20)/(Assumptions!$B$29+Assumptions!$B$4/B1064),Assumptions!$B$20)</f>
        <v/>
      </c>
      <c r="D1064">
        <f>IF(B1064&lt;Assumptions!$B$21,Assumptions!$B$21*(Assumptions!$B$29+Assumptions!$B$4/Assumptions!$B$21)/(Assumptions!$B$29+Assumptions!$B$4/B1064),Assumptions!$B$21)</f>
        <v/>
      </c>
      <c r="E1064">
        <f>Assumptions!$B$37*Assumptions!$B$22/C1064-Assumptions!$B$38</f>
        <v/>
      </c>
      <c r="F1064">
        <f>Assumptions!$B$39*Assumptions!$B$21/D1064-Assumptions!$B$39</f>
        <v/>
      </c>
      <c r="G1064">
        <f>MAX(0,Assumptions!$B$52*(Assumptions!$B$29+E1064+F1064+G1063+H1063+I1063+Assumptions!$B$4/B1064)-Assumptions!$B$30)</f>
        <v/>
      </c>
      <c r="H1064">
        <f>Assumptions!$B$23/MIN(Assumptions!$B$24/(Assumptions!$B$29+E1064+F1064+G1064+I1063),B1064*(1-Assumptions!$B$25))</f>
        <v/>
      </c>
      <c r="I1064">
        <f>Assumptions!$B$26/MIN(Assumptions!$B$27/(Assumptions!$B$29+E1064+F1064+G1064+H1064),B1064*(1-Assumptions!$B$28))</f>
        <v/>
      </c>
      <c r="J1064">
        <f>Assumptions!$B$29+E1064+F1064+G1064+H1064+I1064</f>
        <v/>
      </c>
      <c r="K1064">
        <f>J1064+Assumptions!$B$4/B1064</f>
        <v/>
      </c>
      <c r="L1064">
        <f>B1064</f>
        <v/>
      </c>
    </row>
    <row r="1065">
      <c r="A1065" t="inlineStr">
        <is>
          <t>cell(2,2) iter 58</t>
        </is>
      </c>
      <c r="B1065">
        <f>Assumptions!$B$55/J1064</f>
        <v/>
      </c>
      <c r="C1065">
        <f>IF(B1065&lt;Assumptions!$B$20,Assumptions!$B$20*(Assumptions!$B$29+Assumptions!$B$4/Assumptions!$B$20)/(Assumptions!$B$29+Assumptions!$B$4/B1065),Assumptions!$B$20)</f>
        <v/>
      </c>
      <c r="D1065">
        <f>IF(B1065&lt;Assumptions!$B$21,Assumptions!$B$21*(Assumptions!$B$29+Assumptions!$B$4/Assumptions!$B$21)/(Assumptions!$B$29+Assumptions!$B$4/B1065),Assumptions!$B$21)</f>
        <v/>
      </c>
      <c r="E1065">
        <f>Assumptions!$B$37*Assumptions!$B$22/C1065-Assumptions!$B$38</f>
        <v/>
      </c>
      <c r="F1065">
        <f>Assumptions!$B$39*Assumptions!$B$21/D1065-Assumptions!$B$39</f>
        <v/>
      </c>
      <c r="G1065">
        <f>MAX(0,Assumptions!$B$52*(Assumptions!$B$29+E1065+F1065+G1064+H1064+I1064+Assumptions!$B$4/B1065)-Assumptions!$B$30)</f>
        <v/>
      </c>
      <c r="H1065">
        <f>Assumptions!$B$23/MIN(Assumptions!$B$24/(Assumptions!$B$29+E1065+F1065+G1065+I1064),B1065*(1-Assumptions!$B$25))</f>
        <v/>
      </c>
      <c r="I1065">
        <f>Assumptions!$B$26/MIN(Assumptions!$B$27/(Assumptions!$B$29+E1065+F1065+G1065+H1065),B1065*(1-Assumptions!$B$28))</f>
        <v/>
      </c>
      <c r="J1065">
        <f>Assumptions!$B$29+E1065+F1065+G1065+H1065+I1065</f>
        <v/>
      </c>
      <c r="K1065">
        <f>J1065+Assumptions!$B$4/B1065</f>
        <v/>
      </c>
      <c r="L1065">
        <f>B1065</f>
        <v/>
      </c>
    </row>
    <row r="1066">
      <c r="A1066" t="inlineStr">
        <is>
          <t>cell(2,2) iter 59</t>
        </is>
      </c>
      <c r="B1066">
        <f>Assumptions!$B$55/J1065</f>
        <v/>
      </c>
      <c r="C1066">
        <f>IF(B1066&lt;Assumptions!$B$20,Assumptions!$B$20*(Assumptions!$B$29+Assumptions!$B$4/Assumptions!$B$20)/(Assumptions!$B$29+Assumptions!$B$4/B1066),Assumptions!$B$20)</f>
        <v/>
      </c>
      <c r="D1066">
        <f>IF(B1066&lt;Assumptions!$B$21,Assumptions!$B$21*(Assumptions!$B$29+Assumptions!$B$4/Assumptions!$B$21)/(Assumptions!$B$29+Assumptions!$B$4/B1066),Assumptions!$B$21)</f>
        <v/>
      </c>
      <c r="E1066">
        <f>Assumptions!$B$37*Assumptions!$B$22/C1066-Assumptions!$B$38</f>
        <v/>
      </c>
      <c r="F1066">
        <f>Assumptions!$B$39*Assumptions!$B$21/D1066-Assumptions!$B$39</f>
        <v/>
      </c>
      <c r="G1066">
        <f>MAX(0,Assumptions!$B$52*(Assumptions!$B$29+E1066+F1066+G1065+H1065+I1065+Assumptions!$B$4/B1066)-Assumptions!$B$30)</f>
        <v/>
      </c>
      <c r="H1066">
        <f>Assumptions!$B$23/MIN(Assumptions!$B$24/(Assumptions!$B$29+E1066+F1066+G1066+I1065),B1066*(1-Assumptions!$B$25))</f>
        <v/>
      </c>
      <c r="I1066">
        <f>Assumptions!$B$26/MIN(Assumptions!$B$27/(Assumptions!$B$29+E1066+F1066+G1066+H1066),B1066*(1-Assumptions!$B$28))</f>
        <v/>
      </c>
      <c r="J1066">
        <f>Assumptions!$B$29+E1066+F1066+G1066+H1066+I1066</f>
        <v/>
      </c>
      <c r="K1066">
        <f>J1066+Assumptions!$B$4/B1066</f>
        <v/>
      </c>
      <c r="L1066">
        <f>B1066</f>
        <v/>
      </c>
    </row>
    <row r="1067">
      <c r="A1067" t="inlineStr">
        <is>
          <t>cell(2,2) iter 60</t>
        </is>
      </c>
      <c r="B1067">
        <f>Assumptions!$B$55/J1066</f>
        <v/>
      </c>
      <c r="C1067">
        <f>IF(B1067&lt;Assumptions!$B$20,Assumptions!$B$20*(Assumptions!$B$29+Assumptions!$B$4/Assumptions!$B$20)/(Assumptions!$B$29+Assumptions!$B$4/B1067),Assumptions!$B$20)</f>
        <v/>
      </c>
      <c r="D1067">
        <f>IF(B1067&lt;Assumptions!$B$21,Assumptions!$B$21*(Assumptions!$B$29+Assumptions!$B$4/Assumptions!$B$21)/(Assumptions!$B$29+Assumptions!$B$4/B1067),Assumptions!$B$21)</f>
        <v/>
      </c>
      <c r="E1067">
        <f>Assumptions!$B$37*Assumptions!$B$22/C1067-Assumptions!$B$38</f>
        <v/>
      </c>
      <c r="F1067">
        <f>Assumptions!$B$39*Assumptions!$B$21/D1067-Assumptions!$B$39</f>
        <v/>
      </c>
      <c r="G1067">
        <f>MAX(0,Assumptions!$B$52*(Assumptions!$B$29+E1067+F1067+G1066+H1066+I1066+Assumptions!$B$4/B1067)-Assumptions!$B$30)</f>
        <v/>
      </c>
      <c r="H1067">
        <f>Assumptions!$B$23/MIN(Assumptions!$B$24/(Assumptions!$B$29+E1067+F1067+G1067+I1066),B1067*(1-Assumptions!$B$25))</f>
        <v/>
      </c>
      <c r="I1067">
        <f>Assumptions!$B$26/MIN(Assumptions!$B$27/(Assumptions!$B$29+E1067+F1067+G1067+H1067),B1067*(1-Assumptions!$B$28))</f>
        <v/>
      </c>
      <c r="J1067">
        <f>Assumptions!$B$29+E1067+F1067+G1067+H1067+I1067</f>
        <v/>
      </c>
      <c r="K1067">
        <f>J1067+Assumptions!$B$4/B1067</f>
        <v/>
      </c>
      <c r="L1067">
        <f>B1067</f>
        <v/>
      </c>
    </row>
    <row r="1068">
      <c r="A1068" t="inlineStr">
        <is>
          <t>cell(2,2) iter 61</t>
        </is>
      </c>
      <c r="B1068">
        <f>Assumptions!$B$55/J1067</f>
        <v/>
      </c>
      <c r="C1068">
        <f>IF(B1068&lt;Assumptions!$B$20,Assumptions!$B$20*(Assumptions!$B$29+Assumptions!$B$4/Assumptions!$B$20)/(Assumptions!$B$29+Assumptions!$B$4/B1068),Assumptions!$B$20)</f>
        <v/>
      </c>
      <c r="D1068">
        <f>IF(B1068&lt;Assumptions!$B$21,Assumptions!$B$21*(Assumptions!$B$29+Assumptions!$B$4/Assumptions!$B$21)/(Assumptions!$B$29+Assumptions!$B$4/B1068),Assumptions!$B$21)</f>
        <v/>
      </c>
      <c r="E1068">
        <f>Assumptions!$B$37*Assumptions!$B$22/C1068-Assumptions!$B$38</f>
        <v/>
      </c>
      <c r="F1068">
        <f>Assumptions!$B$39*Assumptions!$B$21/D1068-Assumptions!$B$39</f>
        <v/>
      </c>
      <c r="G1068">
        <f>MAX(0,Assumptions!$B$52*(Assumptions!$B$29+E1068+F1068+G1067+H1067+I1067+Assumptions!$B$4/B1068)-Assumptions!$B$30)</f>
        <v/>
      </c>
      <c r="H1068">
        <f>Assumptions!$B$23/MIN(Assumptions!$B$24/(Assumptions!$B$29+E1068+F1068+G1068+I1067),B1068*(1-Assumptions!$B$25))</f>
        <v/>
      </c>
      <c r="I1068">
        <f>Assumptions!$B$26/MIN(Assumptions!$B$27/(Assumptions!$B$29+E1068+F1068+G1068+H1068),B1068*(1-Assumptions!$B$28))</f>
        <v/>
      </c>
      <c r="J1068">
        <f>Assumptions!$B$29+E1068+F1068+G1068+H1068+I1068</f>
        <v/>
      </c>
      <c r="K1068">
        <f>J1068+Assumptions!$B$4/B1068</f>
        <v/>
      </c>
      <c r="L1068">
        <f>B1068</f>
        <v/>
      </c>
    </row>
    <row r="1069">
      <c r="A1069" t="inlineStr">
        <is>
          <t>cell(2,2) iter 62</t>
        </is>
      </c>
      <c r="B1069">
        <f>Assumptions!$B$55/J1068</f>
        <v/>
      </c>
      <c r="C1069">
        <f>IF(B1069&lt;Assumptions!$B$20,Assumptions!$B$20*(Assumptions!$B$29+Assumptions!$B$4/Assumptions!$B$20)/(Assumptions!$B$29+Assumptions!$B$4/B1069),Assumptions!$B$20)</f>
        <v/>
      </c>
      <c r="D1069">
        <f>IF(B1069&lt;Assumptions!$B$21,Assumptions!$B$21*(Assumptions!$B$29+Assumptions!$B$4/Assumptions!$B$21)/(Assumptions!$B$29+Assumptions!$B$4/B1069),Assumptions!$B$21)</f>
        <v/>
      </c>
      <c r="E1069">
        <f>Assumptions!$B$37*Assumptions!$B$22/C1069-Assumptions!$B$38</f>
        <v/>
      </c>
      <c r="F1069">
        <f>Assumptions!$B$39*Assumptions!$B$21/D1069-Assumptions!$B$39</f>
        <v/>
      </c>
      <c r="G1069">
        <f>MAX(0,Assumptions!$B$52*(Assumptions!$B$29+E1069+F1069+G1068+H1068+I1068+Assumptions!$B$4/B1069)-Assumptions!$B$30)</f>
        <v/>
      </c>
      <c r="H1069">
        <f>Assumptions!$B$23/MIN(Assumptions!$B$24/(Assumptions!$B$29+E1069+F1069+G1069+I1068),B1069*(1-Assumptions!$B$25))</f>
        <v/>
      </c>
      <c r="I1069">
        <f>Assumptions!$B$26/MIN(Assumptions!$B$27/(Assumptions!$B$29+E1069+F1069+G1069+H1069),B1069*(1-Assumptions!$B$28))</f>
        <v/>
      </c>
      <c r="J1069">
        <f>Assumptions!$B$29+E1069+F1069+G1069+H1069+I1069</f>
        <v/>
      </c>
      <c r="K1069">
        <f>J1069+Assumptions!$B$4/B1069</f>
        <v/>
      </c>
      <c r="L1069">
        <f>B1069</f>
        <v/>
      </c>
    </row>
    <row r="1070">
      <c r="A1070" t="inlineStr">
        <is>
          <t>cell(2,2) iter 63</t>
        </is>
      </c>
      <c r="B1070">
        <f>Assumptions!$B$55/J1069</f>
        <v/>
      </c>
      <c r="C1070">
        <f>IF(B1070&lt;Assumptions!$B$20,Assumptions!$B$20*(Assumptions!$B$29+Assumptions!$B$4/Assumptions!$B$20)/(Assumptions!$B$29+Assumptions!$B$4/B1070),Assumptions!$B$20)</f>
        <v/>
      </c>
      <c r="D1070">
        <f>IF(B1070&lt;Assumptions!$B$21,Assumptions!$B$21*(Assumptions!$B$29+Assumptions!$B$4/Assumptions!$B$21)/(Assumptions!$B$29+Assumptions!$B$4/B1070),Assumptions!$B$21)</f>
        <v/>
      </c>
      <c r="E1070">
        <f>Assumptions!$B$37*Assumptions!$B$22/C1070-Assumptions!$B$38</f>
        <v/>
      </c>
      <c r="F1070">
        <f>Assumptions!$B$39*Assumptions!$B$21/D1070-Assumptions!$B$39</f>
        <v/>
      </c>
      <c r="G1070">
        <f>MAX(0,Assumptions!$B$52*(Assumptions!$B$29+E1070+F1070+G1069+H1069+I1069+Assumptions!$B$4/B1070)-Assumptions!$B$30)</f>
        <v/>
      </c>
      <c r="H1070">
        <f>Assumptions!$B$23/MIN(Assumptions!$B$24/(Assumptions!$B$29+E1070+F1070+G1070+I1069),B1070*(1-Assumptions!$B$25))</f>
        <v/>
      </c>
      <c r="I1070">
        <f>Assumptions!$B$26/MIN(Assumptions!$B$27/(Assumptions!$B$29+E1070+F1070+G1070+H1070),B1070*(1-Assumptions!$B$28))</f>
        <v/>
      </c>
      <c r="J1070">
        <f>Assumptions!$B$29+E1070+F1070+G1070+H1070+I1070</f>
        <v/>
      </c>
      <c r="K1070">
        <f>J1070+Assumptions!$B$4/B1070</f>
        <v/>
      </c>
      <c r="L1070">
        <f>B1070</f>
        <v/>
      </c>
    </row>
    <row r="1071">
      <c r="A1071" t="inlineStr">
        <is>
          <t>cell(2,2) iter 64</t>
        </is>
      </c>
      <c r="B1071">
        <f>Assumptions!$B$55/J1070</f>
        <v/>
      </c>
      <c r="C1071">
        <f>IF(B1071&lt;Assumptions!$B$20,Assumptions!$B$20*(Assumptions!$B$29+Assumptions!$B$4/Assumptions!$B$20)/(Assumptions!$B$29+Assumptions!$B$4/B1071),Assumptions!$B$20)</f>
        <v/>
      </c>
      <c r="D1071">
        <f>IF(B1071&lt;Assumptions!$B$21,Assumptions!$B$21*(Assumptions!$B$29+Assumptions!$B$4/Assumptions!$B$21)/(Assumptions!$B$29+Assumptions!$B$4/B1071),Assumptions!$B$21)</f>
        <v/>
      </c>
      <c r="E1071">
        <f>Assumptions!$B$37*Assumptions!$B$22/C1071-Assumptions!$B$38</f>
        <v/>
      </c>
      <c r="F1071">
        <f>Assumptions!$B$39*Assumptions!$B$21/D1071-Assumptions!$B$39</f>
        <v/>
      </c>
      <c r="G1071">
        <f>MAX(0,Assumptions!$B$52*(Assumptions!$B$29+E1071+F1071+G1070+H1070+I1070+Assumptions!$B$4/B1071)-Assumptions!$B$30)</f>
        <v/>
      </c>
      <c r="H1071">
        <f>Assumptions!$B$23/MIN(Assumptions!$B$24/(Assumptions!$B$29+E1071+F1071+G1071+I1070),B1071*(1-Assumptions!$B$25))</f>
        <v/>
      </c>
      <c r="I1071">
        <f>Assumptions!$B$26/MIN(Assumptions!$B$27/(Assumptions!$B$29+E1071+F1071+G1071+H1071),B1071*(1-Assumptions!$B$28))</f>
        <v/>
      </c>
      <c r="J1071">
        <f>Assumptions!$B$29+E1071+F1071+G1071+H1071+I1071</f>
        <v/>
      </c>
      <c r="K1071">
        <f>J1071+Assumptions!$B$4/B1071</f>
        <v/>
      </c>
      <c r="L1071">
        <f>B1071</f>
        <v/>
      </c>
    </row>
    <row r="1072">
      <c r="A1072" t="inlineStr">
        <is>
          <t>cell(2,2) iter 65</t>
        </is>
      </c>
      <c r="B1072">
        <f>Assumptions!$B$55/J1071</f>
        <v/>
      </c>
      <c r="C1072">
        <f>IF(B1072&lt;Assumptions!$B$20,Assumptions!$B$20*(Assumptions!$B$29+Assumptions!$B$4/Assumptions!$B$20)/(Assumptions!$B$29+Assumptions!$B$4/B1072),Assumptions!$B$20)</f>
        <v/>
      </c>
      <c r="D1072">
        <f>IF(B1072&lt;Assumptions!$B$21,Assumptions!$B$21*(Assumptions!$B$29+Assumptions!$B$4/Assumptions!$B$21)/(Assumptions!$B$29+Assumptions!$B$4/B1072),Assumptions!$B$21)</f>
        <v/>
      </c>
      <c r="E1072">
        <f>Assumptions!$B$37*Assumptions!$B$22/C1072-Assumptions!$B$38</f>
        <v/>
      </c>
      <c r="F1072">
        <f>Assumptions!$B$39*Assumptions!$B$21/D1072-Assumptions!$B$39</f>
        <v/>
      </c>
      <c r="G1072">
        <f>MAX(0,Assumptions!$B$52*(Assumptions!$B$29+E1072+F1072+G1071+H1071+I1071+Assumptions!$B$4/B1072)-Assumptions!$B$30)</f>
        <v/>
      </c>
      <c r="H1072">
        <f>Assumptions!$B$23/MIN(Assumptions!$B$24/(Assumptions!$B$29+E1072+F1072+G1072+I1071),B1072*(1-Assumptions!$B$25))</f>
        <v/>
      </c>
      <c r="I1072">
        <f>Assumptions!$B$26/MIN(Assumptions!$B$27/(Assumptions!$B$29+E1072+F1072+G1072+H1072),B1072*(1-Assumptions!$B$28))</f>
        <v/>
      </c>
      <c r="J1072">
        <f>Assumptions!$B$29+E1072+F1072+G1072+H1072+I1072</f>
        <v/>
      </c>
      <c r="K1072">
        <f>J1072+Assumptions!$B$4/B1072</f>
        <v/>
      </c>
      <c r="L1072">
        <f>B1072</f>
        <v/>
      </c>
    </row>
    <row r="1073">
      <c r="A1073" t="inlineStr">
        <is>
          <t>cell(2,2) iter 66</t>
        </is>
      </c>
      <c r="B1073">
        <f>Assumptions!$B$55/J1072</f>
        <v/>
      </c>
      <c r="C1073">
        <f>IF(B1073&lt;Assumptions!$B$20,Assumptions!$B$20*(Assumptions!$B$29+Assumptions!$B$4/Assumptions!$B$20)/(Assumptions!$B$29+Assumptions!$B$4/B1073),Assumptions!$B$20)</f>
        <v/>
      </c>
      <c r="D1073">
        <f>IF(B1073&lt;Assumptions!$B$21,Assumptions!$B$21*(Assumptions!$B$29+Assumptions!$B$4/Assumptions!$B$21)/(Assumptions!$B$29+Assumptions!$B$4/B1073),Assumptions!$B$21)</f>
        <v/>
      </c>
      <c r="E1073">
        <f>Assumptions!$B$37*Assumptions!$B$22/C1073-Assumptions!$B$38</f>
        <v/>
      </c>
      <c r="F1073">
        <f>Assumptions!$B$39*Assumptions!$B$21/D1073-Assumptions!$B$39</f>
        <v/>
      </c>
      <c r="G1073">
        <f>MAX(0,Assumptions!$B$52*(Assumptions!$B$29+E1073+F1073+G1072+H1072+I1072+Assumptions!$B$4/B1073)-Assumptions!$B$30)</f>
        <v/>
      </c>
      <c r="H1073">
        <f>Assumptions!$B$23/MIN(Assumptions!$B$24/(Assumptions!$B$29+E1073+F1073+G1073+I1072),B1073*(1-Assumptions!$B$25))</f>
        <v/>
      </c>
      <c r="I1073">
        <f>Assumptions!$B$26/MIN(Assumptions!$B$27/(Assumptions!$B$29+E1073+F1073+G1073+H1073),B1073*(1-Assumptions!$B$28))</f>
        <v/>
      </c>
      <c r="J1073">
        <f>Assumptions!$B$29+E1073+F1073+G1073+H1073+I1073</f>
        <v/>
      </c>
      <c r="K1073">
        <f>J1073+Assumptions!$B$4/B1073</f>
        <v/>
      </c>
      <c r="L1073">
        <f>B1073</f>
        <v/>
      </c>
    </row>
    <row r="1074">
      <c r="A1074" t="inlineStr">
        <is>
          <t>cell(2,2) iter 67</t>
        </is>
      </c>
      <c r="B1074">
        <f>Assumptions!$B$55/J1073</f>
        <v/>
      </c>
      <c r="C1074">
        <f>IF(B1074&lt;Assumptions!$B$20,Assumptions!$B$20*(Assumptions!$B$29+Assumptions!$B$4/Assumptions!$B$20)/(Assumptions!$B$29+Assumptions!$B$4/B1074),Assumptions!$B$20)</f>
        <v/>
      </c>
      <c r="D1074">
        <f>IF(B1074&lt;Assumptions!$B$21,Assumptions!$B$21*(Assumptions!$B$29+Assumptions!$B$4/Assumptions!$B$21)/(Assumptions!$B$29+Assumptions!$B$4/B1074),Assumptions!$B$21)</f>
        <v/>
      </c>
      <c r="E1074">
        <f>Assumptions!$B$37*Assumptions!$B$22/C1074-Assumptions!$B$38</f>
        <v/>
      </c>
      <c r="F1074">
        <f>Assumptions!$B$39*Assumptions!$B$21/D1074-Assumptions!$B$39</f>
        <v/>
      </c>
      <c r="G1074">
        <f>MAX(0,Assumptions!$B$52*(Assumptions!$B$29+E1074+F1074+G1073+H1073+I1073+Assumptions!$B$4/B1074)-Assumptions!$B$30)</f>
        <v/>
      </c>
      <c r="H1074">
        <f>Assumptions!$B$23/MIN(Assumptions!$B$24/(Assumptions!$B$29+E1074+F1074+G1074+I1073),B1074*(1-Assumptions!$B$25))</f>
        <v/>
      </c>
      <c r="I1074">
        <f>Assumptions!$B$26/MIN(Assumptions!$B$27/(Assumptions!$B$29+E1074+F1074+G1074+H1074),B1074*(1-Assumptions!$B$28))</f>
        <v/>
      </c>
      <c r="J1074">
        <f>Assumptions!$B$29+E1074+F1074+G1074+H1074+I1074</f>
        <v/>
      </c>
      <c r="K1074">
        <f>J1074+Assumptions!$B$4/B1074</f>
        <v/>
      </c>
      <c r="L1074">
        <f>B1074</f>
        <v/>
      </c>
    </row>
    <row r="1075">
      <c r="A1075" t="inlineStr">
        <is>
          <t>cell(2,2) iter 68</t>
        </is>
      </c>
      <c r="B1075">
        <f>Assumptions!$B$55/J1074</f>
        <v/>
      </c>
      <c r="C1075">
        <f>IF(B1075&lt;Assumptions!$B$20,Assumptions!$B$20*(Assumptions!$B$29+Assumptions!$B$4/Assumptions!$B$20)/(Assumptions!$B$29+Assumptions!$B$4/B1075),Assumptions!$B$20)</f>
        <v/>
      </c>
      <c r="D1075">
        <f>IF(B1075&lt;Assumptions!$B$21,Assumptions!$B$21*(Assumptions!$B$29+Assumptions!$B$4/Assumptions!$B$21)/(Assumptions!$B$29+Assumptions!$B$4/B1075),Assumptions!$B$21)</f>
        <v/>
      </c>
      <c r="E1075">
        <f>Assumptions!$B$37*Assumptions!$B$22/C1075-Assumptions!$B$38</f>
        <v/>
      </c>
      <c r="F1075">
        <f>Assumptions!$B$39*Assumptions!$B$21/D1075-Assumptions!$B$39</f>
        <v/>
      </c>
      <c r="G1075">
        <f>MAX(0,Assumptions!$B$52*(Assumptions!$B$29+E1075+F1075+G1074+H1074+I1074+Assumptions!$B$4/B1075)-Assumptions!$B$30)</f>
        <v/>
      </c>
      <c r="H1075">
        <f>Assumptions!$B$23/MIN(Assumptions!$B$24/(Assumptions!$B$29+E1075+F1075+G1075+I1074),B1075*(1-Assumptions!$B$25))</f>
        <v/>
      </c>
      <c r="I1075">
        <f>Assumptions!$B$26/MIN(Assumptions!$B$27/(Assumptions!$B$29+E1075+F1075+G1075+H1075),B1075*(1-Assumptions!$B$28))</f>
        <v/>
      </c>
      <c r="J1075">
        <f>Assumptions!$B$29+E1075+F1075+G1075+H1075+I1075</f>
        <v/>
      </c>
      <c r="K1075">
        <f>J1075+Assumptions!$B$4/B1075</f>
        <v/>
      </c>
      <c r="L1075">
        <f>B1075</f>
        <v/>
      </c>
    </row>
    <row r="1076">
      <c r="A1076" t="inlineStr">
        <is>
          <t>cell(2,2) iter 69</t>
        </is>
      </c>
      <c r="B1076">
        <f>Assumptions!$B$55/J1075</f>
        <v/>
      </c>
      <c r="C1076">
        <f>IF(B1076&lt;Assumptions!$B$20,Assumptions!$B$20*(Assumptions!$B$29+Assumptions!$B$4/Assumptions!$B$20)/(Assumptions!$B$29+Assumptions!$B$4/B1076),Assumptions!$B$20)</f>
        <v/>
      </c>
      <c r="D1076">
        <f>IF(B1076&lt;Assumptions!$B$21,Assumptions!$B$21*(Assumptions!$B$29+Assumptions!$B$4/Assumptions!$B$21)/(Assumptions!$B$29+Assumptions!$B$4/B1076),Assumptions!$B$21)</f>
        <v/>
      </c>
      <c r="E1076">
        <f>Assumptions!$B$37*Assumptions!$B$22/C1076-Assumptions!$B$38</f>
        <v/>
      </c>
      <c r="F1076">
        <f>Assumptions!$B$39*Assumptions!$B$21/D1076-Assumptions!$B$39</f>
        <v/>
      </c>
      <c r="G1076">
        <f>MAX(0,Assumptions!$B$52*(Assumptions!$B$29+E1076+F1076+G1075+H1075+I1075+Assumptions!$B$4/B1076)-Assumptions!$B$30)</f>
        <v/>
      </c>
      <c r="H1076">
        <f>Assumptions!$B$23/MIN(Assumptions!$B$24/(Assumptions!$B$29+E1076+F1076+G1076+I1075),B1076*(1-Assumptions!$B$25))</f>
        <v/>
      </c>
      <c r="I1076">
        <f>Assumptions!$B$26/MIN(Assumptions!$B$27/(Assumptions!$B$29+E1076+F1076+G1076+H1076),B1076*(1-Assumptions!$B$28))</f>
        <v/>
      </c>
      <c r="J1076">
        <f>Assumptions!$B$29+E1076+F1076+G1076+H1076+I1076</f>
        <v/>
      </c>
      <c r="K1076">
        <f>J1076+Assumptions!$B$4/B1076</f>
        <v/>
      </c>
      <c r="L1076">
        <f>B1076</f>
        <v/>
      </c>
    </row>
    <row r="1077">
      <c r="A1077" t="inlineStr">
        <is>
          <t>cell(2,2) iter 70</t>
        </is>
      </c>
      <c r="B1077">
        <f>Assumptions!$B$55/J1076</f>
        <v/>
      </c>
      <c r="C1077">
        <f>IF(B1077&lt;Assumptions!$B$20,Assumptions!$B$20*(Assumptions!$B$29+Assumptions!$B$4/Assumptions!$B$20)/(Assumptions!$B$29+Assumptions!$B$4/B1077),Assumptions!$B$20)</f>
        <v/>
      </c>
      <c r="D1077">
        <f>IF(B1077&lt;Assumptions!$B$21,Assumptions!$B$21*(Assumptions!$B$29+Assumptions!$B$4/Assumptions!$B$21)/(Assumptions!$B$29+Assumptions!$B$4/B1077),Assumptions!$B$21)</f>
        <v/>
      </c>
      <c r="E1077">
        <f>Assumptions!$B$37*Assumptions!$B$22/C1077-Assumptions!$B$38</f>
        <v/>
      </c>
      <c r="F1077">
        <f>Assumptions!$B$39*Assumptions!$B$21/D1077-Assumptions!$B$39</f>
        <v/>
      </c>
      <c r="G1077">
        <f>MAX(0,Assumptions!$B$52*(Assumptions!$B$29+E1077+F1077+G1076+H1076+I1076+Assumptions!$B$4/B1077)-Assumptions!$B$30)</f>
        <v/>
      </c>
      <c r="H1077">
        <f>Assumptions!$B$23/MIN(Assumptions!$B$24/(Assumptions!$B$29+E1077+F1077+G1077+I1076),B1077*(1-Assumptions!$B$25))</f>
        <v/>
      </c>
      <c r="I1077">
        <f>Assumptions!$B$26/MIN(Assumptions!$B$27/(Assumptions!$B$29+E1077+F1077+G1077+H1077),B1077*(1-Assumptions!$B$28))</f>
        <v/>
      </c>
      <c r="J1077">
        <f>Assumptions!$B$29+E1077+F1077+G1077+H1077+I1077</f>
        <v/>
      </c>
      <c r="K1077">
        <f>J1077+Assumptions!$B$4/B1077</f>
        <v/>
      </c>
      <c r="L1077">
        <f>B1077</f>
        <v/>
      </c>
    </row>
    <row r="1078">
      <c r="A1078" t="inlineStr">
        <is>
          <t>cell(2,2) iter 71</t>
        </is>
      </c>
      <c r="B1078">
        <f>Assumptions!$B$55/J1077</f>
        <v/>
      </c>
      <c r="C1078">
        <f>IF(B1078&lt;Assumptions!$B$20,Assumptions!$B$20*(Assumptions!$B$29+Assumptions!$B$4/Assumptions!$B$20)/(Assumptions!$B$29+Assumptions!$B$4/B1078),Assumptions!$B$20)</f>
        <v/>
      </c>
      <c r="D1078">
        <f>IF(B1078&lt;Assumptions!$B$21,Assumptions!$B$21*(Assumptions!$B$29+Assumptions!$B$4/Assumptions!$B$21)/(Assumptions!$B$29+Assumptions!$B$4/B1078),Assumptions!$B$21)</f>
        <v/>
      </c>
      <c r="E1078">
        <f>Assumptions!$B$37*Assumptions!$B$22/C1078-Assumptions!$B$38</f>
        <v/>
      </c>
      <c r="F1078">
        <f>Assumptions!$B$39*Assumptions!$B$21/D1078-Assumptions!$B$39</f>
        <v/>
      </c>
      <c r="G1078">
        <f>MAX(0,Assumptions!$B$52*(Assumptions!$B$29+E1078+F1078+G1077+H1077+I1077+Assumptions!$B$4/B1078)-Assumptions!$B$30)</f>
        <v/>
      </c>
      <c r="H1078">
        <f>Assumptions!$B$23/MIN(Assumptions!$B$24/(Assumptions!$B$29+E1078+F1078+G1078+I1077),B1078*(1-Assumptions!$B$25))</f>
        <v/>
      </c>
      <c r="I1078">
        <f>Assumptions!$B$26/MIN(Assumptions!$B$27/(Assumptions!$B$29+E1078+F1078+G1078+H1078),B1078*(1-Assumptions!$B$28))</f>
        <v/>
      </c>
      <c r="J1078">
        <f>Assumptions!$B$29+E1078+F1078+G1078+H1078+I1078</f>
        <v/>
      </c>
      <c r="K1078">
        <f>J1078+Assumptions!$B$4/B1078</f>
        <v/>
      </c>
      <c r="L1078">
        <f>B1078</f>
        <v/>
      </c>
    </row>
    <row r="1079">
      <c r="A1079" t="inlineStr">
        <is>
          <t>cell(2,2) iter 72</t>
        </is>
      </c>
      <c r="B1079">
        <f>Assumptions!$B$55/J1078</f>
        <v/>
      </c>
      <c r="C1079">
        <f>IF(B1079&lt;Assumptions!$B$20,Assumptions!$B$20*(Assumptions!$B$29+Assumptions!$B$4/Assumptions!$B$20)/(Assumptions!$B$29+Assumptions!$B$4/B1079),Assumptions!$B$20)</f>
        <v/>
      </c>
      <c r="D1079">
        <f>IF(B1079&lt;Assumptions!$B$21,Assumptions!$B$21*(Assumptions!$B$29+Assumptions!$B$4/Assumptions!$B$21)/(Assumptions!$B$29+Assumptions!$B$4/B1079),Assumptions!$B$21)</f>
        <v/>
      </c>
      <c r="E1079">
        <f>Assumptions!$B$37*Assumptions!$B$22/C1079-Assumptions!$B$38</f>
        <v/>
      </c>
      <c r="F1079">
        <f>Assumptions!$B$39*Assumptions!$B$21/D1079-Assumptions!$B$39</f>
        <v/>
      </c>
      <c r="G1079">
        <f>MAX(0,Assumptions!$B$52*(Assumptions!$B$29+E1079+F1079+G1078+H1078+I1078+Assumptions!$B$4/B1079)-Assumptions!$B$30)</f>
        <v/>
      </c>
      <c r="H1079">
        <f>Assumptions!$B$23/MIN(Assumptions!$B$24/(Assumptions!$B$29+E1079+F1079+G1079+I1078),B1079*(1-Assumptions!$B$25))</f>
        <v/>
      </c>
      <c r="I1079">
        <f>Assumptions!$B$26/MIN(Assumptions!$B$27/(Assumptions!$B$29+E1079+F1079+G1079+H1079),B1079*(1-Assumptions!$B$28))</f>
        <v/>
      </c>
      <c r="J1079">
        <f>Assumptions!$B$29+E1079+F1079+G1079+H1079+I1079</f>
        <v/>
      </c>
      <c r="K1079">
        <f>J1079+Assumptions!$B$4/B1079</f>
        <v/>
      </c>
      <c r="L1079">
        <f>B1079</f>
        <v/>
      </c>
    </row>
    <row r="1080">
      <c r="A1080" t="inlineStr">
        <is>
          <t>cell(2,2) iter 73</t>
        </is>
      </c>
      <c r="B1080">
        <f>Assumptions!$B$55/J1079</f>
        <v/>
      </c>
      <c r="C1080">
        <f>IF(B1080&lt;Assumptions!$B$20,Assumptions!$B$20*(Assumptions!$B$29+Assumptions!$B$4/Assumptions!$B$20)/(Assumptions!$B$29+Assumptions!$B$4/B1080),Assumptions!$B$20)</f>
        <v/>
      </c>
      <c r="D1080">
        <f>IF(B1080&lt;Assumptions!$B$21,Assumptions!$B$21*(Assumptions!$B$29+Assumptions!$B$4/Assumptions!$B$21)/(Assumptions!$B$29+Assumptions!$B$4/B1080),Assumptions!$B$21)</f>
        <v/>
      </c>
      <c r="E1080">
        <f>Assumptions!$B$37*Assumptions!$B$22/C1080-Assumptions!$B$38</f>
        <v/>
      </c>
      <c r="F1080">
        <f>Assumptions!$B$39*Assumptions!$B$21/D1080-Assumptions!$B$39</f>
        <v/>
      </c>
      <c r="G1080">
        <f>MAX(0,Assumptions!$B$52*(Assumptions!$B$29+E1080+F1080+G1079+H1079+I1079+Assumptions!$B$4/B1080)-Assumptions!$B$30)</f>
        <v/>
      </c>
      <c r="H1080">
        <f>Assumptions!$B$23/MIN(Assumptions!$B$24/(Assumptions!$B$29+E1080+F1080+G1080+I1079),B1080*(1-Assumptions!$B$25))</f>
        <v/>
      </c>
      <c r="I1080">
        <f>Assumptions!$B$26/MIN(Assumptions!$B$27/(Assumptions!$B$29+E1080+F1080+G1080+H1080),B1080*(1-Assumptions!$B$28))</f>
        <v/>
      </c>
      <c r="J1080">
        <f>Assumptions!$B$29+E1080+F1080+G1080+H1080+I1080</f>
        <v/>
      </c>
      <c r="K1080">
        <f>J1080+Assumptions!$B$4/B1080</f>
        <v/>
      </c>
      <c r="L1080">
        <f>B1080</f>
        <v/>
      </c>
    </row>
    <row r="1081">
      <c r="A1081" t="inlineStr">
        <is>
          <t>cell(2,2) iter 74</t>
        </is>
      </c>
      <c r="B1081">
        <f>Assumptions!$B$55/J1080</f>
        <v/>
      </c>
      <c r="C1081">
        <f>IF(B1081&lt;Assumptions!$B$20,Assumptions!$B$20*(Assumptions!$B$29+Assumptions!$B$4/Assumptions!$B$20)/(Assumptions!$B$29+Assumptions!$B$4/B1081),Assumptions!$B$20)</f>
        <v/>
      </c>
      <c r="D1081">
        <f>IF(B1081&lt;Assumptions!$B$21,Assumptions!$B$21*(Assumptions!$B$29+Assumptions!$B$4/Assumptions!$B$21)/(Assumptions!$B$29+Assumptions!$B$4/B1081),Assumptions!$B$21)</f>
        <v/>
      </c>
      <c r="E1081">
        <f>Assumptions!$B$37*Assumptions!$B$22/C1081-Assumptions!$B$38</f>
        <v/>
      </c>
      <c r="F1081">
        <f>Assumptions!$B$39*Assumptions!$B$21/D1081-Assumptions!$B$39</f>
        <v/>
      </c>
      <c r="G1081">
        <f>MAX(0,Assumptions!$B$52*(Assumptions!$B$29+E1081+F1081+G1080+H1080+I1080+Assumptions!$B$4/B1081)-Assumptions!$B$30)</f>
        <v/>
      </c>
      <c r="H1081">
        <f>Assumptions!$B$23/MIN(Assumptions!$B$24/(Assumptions!$B$29+E1081+F1081+G1081+I1080),B1081*(1-Assumptions!$B$25))</f>
        <v/>
      </c>
      <c r="I1081">
        <f>Assumptions!$B$26/MIN(Assumptions!$B$27/(Assumptions!$B$29+E1081+F1081+G1081+H1081),B1081*(1-Assumptions!$B$28))</f>
        <v/>
      </c>
      <c r="J1081">
        <f>Assumptions!$B$29+E1081+F1081+G1081+H1081+I1081</f>
        <v/>
      </c>
      <c r="K1081">
        <f>J1081+Assumptions!$B$4/B1081</f>
        <v/>
      </c>
      <c r="L1081">
        <f>B1081</f>
        <v/>
      </c>
    </row>
    <row r="1082">
      <c r="A1082" t="inlineStr">
        <is>
          <t>cell(2,2) iter 75</t>
        </is>
      </c>
      <c r="B1082">
        <f>Assumptions!$B$55/J1081</f>
        <v/>
      </c>
      <c r="C1082">
        <f>IF(B1082&lt;Assumptions!$B$20,Assumptions!$B$20*(Assumptions!$B$29+Assumptions!$B$4/Assumptions!$B$20)/(Assumptions!$B$29+Assumptions!$B$4/B1082),Assumptions!$B$20)</f>
        <v/>
      </c>
      <c r="D1082">
        <f>IF(B1082&lt;Assumptions!$B$21,Assumptions!$B$21*(Assumptions!$B$29+Assumptions!$B$4/Assumptions!$B$21)/(Assumptions!$B$29+Assumptions!$B$4/B1082),Assumptions!$B$21)</f>
        <v/>
      </c>
      <c r="E1082">
        <f>Assumptions!$B$37*Assumptions!$B$22/C1082-Assumptions!$B$38</f>
        <v/>
      </c>
      <c r="F1082">
        <f>Assumptions!$B$39*Assumptions!$B$21/D1082-Assumptions!$B$39</f>
        <v/>
      </c>
      <c r="G1082">
        <f>MAX(0,Assumptions!$B$52*(Assumptions!$B$29+E1082+F1082+G1081+H1081+I1081+Assumptions!$B$4/B1082)-Assumptions!$B$30)</f>
        <v/>
      </c>
      <c r="H1082">
        <f>Assumptions!$B$23/MIN(Assumptions!$B$24/(Assumptions!$B$29+E1082+F1082+G1082+I1081),B1082*(1-Assumptions!$B$25))</f>
        <v/>
      </c>
      <c r="I1082">
        <f>Assumptions!$B$26/MIN(Assumptions!$B$27/(Assumptions!$B$29+E1082+F1082+G1082+H1082),B1082*(1-Assumptions!$B$28))</f>
        <v/>
      </c>
      <c r="J1082">
        <f>Assumptions!$B$29+E1082+F1082+G1082+H1082+I1082</f>
        <v/>
      </c>
      <c r="K1082">
        <f>J1082+Assumptions!$B$4/B1082</f>
        <v/>
      </c>
      <c r="L1082">
        <f>B1082</f>
        <v/>
      </c>
    </row>
    <row r="1083">
      <c r="A1083" t="inlineStr">
        <is>
          <t>cell(2,2) iter 76</t>
        </is>
      </c>
      <c r="B1083">
        <f>Assumptions!$B$55/J1082</f>
        <v/>
      </c>
      <c r="C1083">
        <f>IF(B1083&lt;Assumptions!$B$20,Assumptions!$B$20*(Assumptions!$B$29+Assumptions!$B$4/Assumptions!$B$20)/(Assumptions!$B$29+Assumptions!$B$4/B1083),Assumptions!$B$20)</f>
        <v/>
      </c>
      <c r="D1083">
        <f>IF(B1083&lt;Assumptions!$B$21,Assumptions!$B$21*(Assumptions!$B$29+Assumptions!$B$4/Assumptions!$B$21)/(Assumptions!$B$29+Assumptions!$B$4/B1083),Assumptions!$B$21)</f>
        <v/>
      </c>
      <c r="E1083">
        <f>Assumptions!$B$37*Assumptions!$B$22/C1083-Assumptions!$B$38</f>
        <v/>
      </c>
      <c r="F1083">
        <f>Assumptions!$B$39*Assumptions!$B$21/D1083-Assumptions!$B$39</f>
        <v/>
      </c>
      <c r="G1083">
        <f>MAX(0,Assumptions!$B$52*(Assumptions!$B$29+E1083+F1083+G1082+H1082+I1082+Assumptions!$B$4/B1083)-Assumptions!$B$30)</f>
        <v/>
      </c>
      <c r="H1083">
        <f>Assumptions!$B$23/MIN(Assumptions!$B$24/(Assumptions!$B$29+E1083+F1083+G1083+I1082),B1083*(1-Assumptions!$B$25))</f>
        <v/>
      </c>
      <c r="I1083">
        <f>Assumptions!$B$26/MIN(Assumptions!$B$27/(Assumptions!$B$29+E1083+F1083+G1083+H1083),B1083*(1-Assumptions!$B$28))</f>
        <v/>
      </c>
      <c r="J1083">
        <f>Assumptions!$B$29+E1083+F1083+G1083+H1083+I1083</f>
        <v/>
      </c>
      <c r="K1083">
        <f>J1083+Assumptions!$B$4/B1083</f>
        <v/>
      </c>
      <c r="L1083">
        <f>B1083</f>
        <v/>
      </c>
    </row>
    <row r="1084">
      <c r="A1084" t="inlineStr">
        <is>
          <t>cell(2,2) iter 77</t>
        </is>
      </c>
      <c r="B1084">
        <f>Assumptions!$B$55/J1083</f>
        <v/>
      </c>
      <c r="C1084">
        <f>IF(B1084&lt;Assumptions!$B$20,Assumptions!$B$20*(Assumptions!$B$29+Assumptions!$B$4/Assumptions!$B$20)/(Assumptions!$B$29+Assumptions!$B$4/B1084),Assumptions!$B$20)</f>
        <v/>
      </c>
      <c r="D1084">
        <f>IF(B1084&lt;Assumptions!$B$21,Assumptions!$B$21*(Assumptions!$B$29+Assumptions!$B$4/Assumptions!$B$21)/(Assumptions!$B$29+Assumptions!$B$4/B1084),Assumptions!$B$21)</f>
        <v/>
      </c>
      <c r="E1084">
        <f>Assumptions!$B$37*Assumptions!$B$22/C1084-Assumptions!$B$38</f>
        <v/>
      </c>
      <c r="F1084">
        <f>Assumptions!$B$39*Assumptions!$B$21/D1084-Assumptions!$B$39</f>
        <v/>
      </c>
      <c r="G1084">
        <f>MAX(0,Assumptions!$B$52*(Assumptions!$B$29+E1084+F1084+G1083+H1083+I1083+Assumptions!$B$4/B1084)-Assumptions!$B$30)</f>
        <v/>
      </c>
      <c r="H1084">
        <f>Assumptions!$B$23/MIN(Assumptions!$B$24/(Assumptions!$B$29+E1084+F1084+G1084+I1083),B1084*(1-Assumptions!$B$25))</f>
        <v/>
      </c>
      <c r="I1084">
        <f>Assumptions!$B$26/MIN(Assumptions!$B$27/(Assumptions!$B$29+E1084+F1084+G1084+H1084),B1084*(1-Assumptions!$B$28))</f>
        <v/>
      </c>
      <c r="J1084">
        <f>Assumptions!$B$29+E1084+F1084+G1084+H1084+I1084</f>
        <v/>
      </c>
      <c r="K1084">
        <f>J1084+Assumptions!$B$4/B1084</f>
        <v/>
      </c>
      <c r="L1084">
        <f>B1084</f>
        <v/>
      </c>
    </row>
    <row r="1085">
      <c r="A1085" t="inlineStr">
        <is>
          <t>cell(2,2) iter 78</t>
        </is>
      </c>
      <c r="B1085">
        <f>Assumptions!$B$55/J1084</f>
        <v/>
      </c>
      <c r="C1085">
        <f>IF(B1085&lt;Assumptions!$B$20,Assumptions!$B$20*(Assumptions!$B$29+Assumptions!$B$4/Assumptions!$B$20)/(Assumptions!$B$29+Assumptions!$B$4/B1085),Assumptions!$B$20)</f>
        <v/>
      </c>
      <c r="D1085">
        <f>IF(B1085&lt;Assumptions!$B$21,Assumptions!$B$21*(Assumptions!$B$29+Assumptions!$B$4/Assumptions!$B$21)/(Assumptions!$B$29+Assumptions!$B$4/B1085),Assumptions!$B$21)</f>
        <v/>
      </c>
      <c r="E1085">
        <f>Assumptions!$B$37*Assumptions!$B$22/C1085-Assumptions!$B$38</f>
        <v/>
      </c>
      <c r="F1085">
        <f>Assumptions!$B$39*Assumptions!$B$21/D1085-Assumptions!$B$39</f>
        <v/>
      </c>
      <c r="G1085">
        <f>MAX(0,Assumptions!$B$52*(Assumptions!$B$29+E1085+F1085+G1084+H1084+I1084+Assumptions!$B$4/B1085)-Assumptions!$B$30)</f>
        <v/>
      </c>
      <c r="H1085">
        <f>Assumptions!$B$23/MIN(Assumptions!$B$24/(Assumptions!$B$29+E1085+F1085+G1085+I1084),B1085*(1-Assumptions!$B$25))</f>
        <v/>
      </c>
      <c r="I1085">
        <f>Assumptions!$B$26/MIN(Assumptions!$B$27/(Assumptions!$B$29+E1085+F1085+G1085+H1085),B1085*(1-Assumptions!$B$28))</f>
        <v/>
      </c>
      <c r="J1085">
        <f>Assumptions!$B$29+E1085+F1085+G1085+H1085+I1085</f>
        <v/>
      </c>
      <c r="K1085">
        <f>J1085+Assumptions!$B$4/B1085</f>
        <v/>
      </c>
      <c r="L1085">
        <f>B1085</f>
        <v/>
      </c>
    </row>
    <row r="1086">
      <c r="A1086" t="inlineStr">
        <is>
          <t>cell(2,2) iter 79</t>
        </is>
      </c>
      <c r="B1086">
        <f>Assumptions!$B$55/J1085</f>
        <v/>
      </c>
      <c r="C1086">
        <f>IF(B1086&lt;Assumptions!$B$20,Assumptions!$B$20*(Assumptions!$B$29+Assumptions!$B$4/Assumptions!$B$20)/(Assumptions!$B$29+Assumptions!$B$4/B1086),Assumptions!$B$20)</f>
        <v/>
      </c>
      <c r="D1086">
        <f>IF(B1086&lt;Assumptions!$B$21,Assumptions!$B$21*(Assumptions!$B$29+Assumptions!$B$4/Assumptions!$B$21)/(Assumptions!$B$29+Assumptions!$B$4/B1086),Assumptions!$B$21)</f>
        <v/>
      </c>
      <c r="E1086">
        <f>Assumptions!$B$37*Assumptions!$B$22/C1086-Assumptions!$B$38</f>
        <v/>
      </c>
      <c r="F1086">
        <f>Assumptions!$B$39*Assumptions!$B$21/D1086-Assumptions!$B$39</f>
        <v/>
      </c>
      <c r="G1086">
        <f>MAX(0,Assumptions!$B$52*(Assumptions!$B$29+E1086+F1086+G1085+H1085+I1085+Assumptions!$B$4/B1086)-Assumptions!$B$30)</f>
        <v/>
      </c>
      <c r="H1086">
        <f>Assumptions!$B$23/MIN(Assumptions!$B$24/(Assumptions!$B$29+E1086+F1086+G1086+I1085),B1086*(1-Assumptions!$B$25))</f>
        <v/>
      </c>
      <c r="I1086">
        <f>Assumptions!$B$26/MIN(Assumptions!$B$27/(Assumptions!$B$29+E1086+F1086+G1086+H1086),B1086*(1-Assumptions!$B$28))</f>
        <v/>
      </c>
      <c r="J1086">
        <f>Assumptions!$B$29+E1086+F1086+G1086+H1086+I1086</f>
        <v/>
      </c>
      <c r="K1086">
        <f>J1086+Assumptions!$B$4/B1086</f>
        <v/>
      </c>
      <c r="L1086">
        <f>B1086</f>
        <v/>
      </c>
    </row>
    <row r="1087">
      <c r="A1087" t="inlineStr">
        <is>
          <t>cell(2,2) iter 80</t>
        </is>
      </c>
      <c r="B1087">
        <f>Assumptions!$B$55/J1086</f>
        <v/>
      </c>
      <c r="C1087">
        <f>IF(B1087&lt;Assumptions!$B$20,Assumptions!$B$20*(Assumptions!$B$29+Assumptions!$B$4/Assumptions!$B$20)/(Assumptions!$B$29+Assumptions!$B$4/B1087),Assumptions!$B$20)</f>
        <v/>
      </c>
      <c r="D1087">
        <f>IF(B1087&lt;Assumptions!$B$21,Assumptions!$B$21*(Assumptions!$B$29+Assumptions!$B$4/Assumptions!$B$21)/(Assumptions!$B$29+Assumptions!$B$4/B1087),Assumptions!$B$21)</f>
        <v/>
      </c>
      <c r="E1087">
        <f>Assumptions!$B$37*Assumptions!$B$22/C1087-Assumptions!$B$38</f>
        <v/>
      </c>
      <c r="F1087">
        <f>Assumptions!$B$39*Assumptions!$B$21/D1087-Assumptions!$B$39</f>
        <v/>
      </c>
      <c r="G1087">
        <f>MAX(0,Assumptions!$B$52*(Assumptions!$B$29+E1087+F1087+G1086+H1086+I1086+Assumptions!$B$4/B1087)-Assumptions!$B$30)</f>
        <v/>
      </c>
      <c r="H1087">
        <f>Assumptions!$B$23/MIN(Assumptions!$B$24/(Assumptions!$B$29+E1087+F1087+G1087+I1086),B1087*(1-Assumptions!$B$25))</f>
        <v/>
      </c>
      <c r="I1087">
        <f>Assumptions!$B$26/MIN(Assumptions!$B$27/(Assumptions!$B$29+E1087+F1087+G1087+H1087),B1087*(1-Assumptions!$B$28))</f>
        <v/>
      </c>
      <c r="J1087">
        <f>Assumptions!$B$29+E1087+F1087+G1087+H1087+I1087</f>
        <v/>
      </c>
      <c r="K1087">
        <f>J1087+Assumptions!$B$4/B1087</f>
        <v/>
      </c>
      <c r="L1087">
        <f>B1087</f>
        <v/>
      </c>
    </row>
    <row r="1090">
      <c r="A1090" s="1" t="inlineStr">
        <is>
          <t>Waterfall ladder ($2B exit)</t>
        </is>
      </c>
    </row>
    <row r="1091">
      <c r="A1091" s="1" t="inlineStr">
        <is>
          <t>Step</t>
        </is>
      </c>
      <c r="B1091" s="1" t="inlineStr">
        <is>
          <t>F_el</t>
        </is>
      </c>
      <c r="C1091" s="1" t="inlineStr">
        <is>
          <t>E_el</t>
        </is>
      </c>
      <c r="D1091" s="1" t="inlineStr">
        <is>
          <t>D_el</t>
        </is>
      </c>
      <c r="E1091" s="1" t="inlineStr">
        <is>
          <t>C_el</t>
        </is>
      </c>
      <c r="F1091" s="1" t="inlineStr">
        <is>
          <t>B_el</t>
        </is>
      </c>
      <c r="G1091" s="1" t="inlineStr">
        <is>
          <t>A_el</t>
        </is>
      </c>
      <c r="H1091" s="1" t="inlineStr">
        <is>
          <t>Seed_el</t>
        </is>
      </c>
      <c r="I1091" s="1" t="inlineStr">
        <is>
          <t>prefs</t>
        </is>
      </c>
      <c r="J1091" s="1" t="inlineStr">
        <is>
          <t>conv_sh</t>
        </is>
      </c>
      <c r="K1091" s="1" t="inlineStr">
        <is>
          <t>cpool</t>
        </is>
      </c>
      <c r="L1091" s="1" t="inlineStr">
        <is>
          <t>ITM_PPS</t>
        </is>
      </c>
      <c r="M1091" s="1" t="inlineStr">
        <is>
          <t>ITM?</t>
        </is>
      </c>
      <c r="N1091" s="1" t="inlineStr">
        <is>
          <t>common_PPS</t>
        </is>
      </c>
      <c r="O1091" s="1" t="inlineStr">
        <is>
          <t>opt_proc</t>
        </is>
      </c>
    </row>
    <row r="1092">
      <c r="A1092" t="inlineStr">
        <is>
          <t>seed (all convert)</t>
        </is>
      </c>
      <c r="B1092">
        <f>"convert"</f>
        <v/>
      </c>
      <c r="C1092">
        <f>"convert"</f>
        <v/>
      </c>
      <c r="D1092">
        <f>"convert"</f>
        <v/>
      </c>
      <c r="E1092">
        <f>"convert"</f>
        <v/>
      </c>
      <c r="F1092">
        <f>"convert"</f>
        <v/>
      </c>
      <c r="G1092">
        <f>"convert"</f>
        <v/>
      </c>
      <c r="H1092">
        <f>"convert"</f>
        <v/>
      </c>
      <c r="I1092">
        <f>IF(B1092="preference",Assumptions!$B$4,0)+IF(C1092="preference",Assumptions!$B$45,0)+IF(D1092="preference",Assumptions!$B$44,0)+IF(E1092="preference",Assumptions!$B$43,0)+IF(F1092="preference",Assumptions!$B$42,0)+IF(G1092="preference",Assumptions!$B$41,0)+IF(H1092="preference",Assumptions!$B$40,0)</f>
        <v/>
      </c>
      <c r="J1092">
        <f>IF(B1092="convert",(Assumptions!$B$4/B1087),0)+IF(C1092="convert",(Assumptions!$B$39+F1087),0)+IF(D1092="convert",(Assumptions!$B$38+E1087),0)+IF(E1092="convert",Assumptions!$B$36,0)+IF(F1092="convert",Assumptions!$B$35,0)+IF(G1092="convert",Assumptions!$B$34,0)+IF(H1092="convert",Assumptions!$B$33,0)</f>
        <v/>
      </c>
      <c r="K1092">
        <f>(Assumptions!$B$46+Assumptions!$B$47+Assumptions!$B$48)+Assumptions!$B$49+(H1087+I1087)+J1092</f>
        <v/>
      </c>
      <c r="L1092">
        <f>(Assumptions!$B$13-I1092+Assumptions!$B$31*Assumptions!$B$10)/(K1092+Assumptions!$B$31)</f>
        <v/>
      </c>
      <c r="M1092">
        <f>IF(L1092&gt;Assumptions!$B$10,"yes","no")</f>
        <v/>
      </c>
      <c r="N1092">
        <f>IF(M1092="yes",L1092,MAX(0,(Assumptions!$B$13-I1092)/K1092))</f>
        <v/>
      </c>
      <c r="O1092">
        <f>IF(M1092="yes",Assumptions!$B$31*(N1092-Assumptions!$B$10),0)</f>
        <v/>
      </c>
    </row>
    <row r="1093">
      <c r="A1093" t="inlineStr">
        <is>
          <t>iter 1</t>
        </is>
      </c>
      <c r="B1093">
        <f>IF(Assumptions!$B$4&gt;(Assumptions!$B$4/B1087)*N1092,"preference","convert")</f>
        <v/>
      </c>
      <c r="C1093">
        <f>IF(Assumptions!$B$45&gt;(Assumptions!$B$39+F1087)*N1092,"preference","convert")</f>
        <v/>
      </c>
      <c r="D1093">
        <f>IF(Assumptions!$B$44&gt;(Assumptions!$B$38+E1087)*N1092,"preference","convert")</f>
        <v/>
      </c>
      <c r="E1093">
        <f>IF(Assumptions!$B$43&gt;Assumptions!$B$36*N1092,"preference","convert")</f>
        <v/>
      </c>
      <c r="F1093">
        <f>IF(Assumptions!$B$42&gt;Assumptions!$B$35*N1092,"preference","convert")</f>
        <v/>
      </c>
      <c r="G1093">
        <f>IF(Assumptions!$B$41&gt;Assumptions!$B$34*N1092,"preference","convert")</f>
        <v/>
      </c>
      <c r="H1093">
        <f>IF(Assumptions!$B$40&gt;Assumptions!$B$33*N1092,"preference","convert")</f>
        <v/>
      </c>
      <c r="I1093">
        <f>IF(B1093="preference",Assumptions!$B$4,0)+IF(C1093="preference",Assumptions!$B$45,0)+IF(D1093="preference",Assumptions!$B$44,0)+IF(E1093="preference",Assumptions!$B$43,0)+IF(F1093="preference",Assumptions!$B$42,0)+IF(G1093="preference",Assumptions!$B$41,0)+IF(H1093="preference",Assumptions!$B$40,0)</f>
        <v/>
      </c>
      <c r="J1093">
        <f>IF(B1093="convert",(Assumptions!$B$4/B1087),0)+IF(C1093="convert",(Assumptions!$B$39+F1087),0)+IF(D1093="convert",(Assumptions!$B$38+E1087),0)+IF(E1093="convert",Assumptions!$B$36,0)+IF(F1093="convert",Assumptions!$B$35,0)+IF(G1093="convert",Assumptions!$B$34,0)+IF(H1093="convert",Assumptions!$B$33,0)</f>
        <v/>
      </c>
      <c r="K1093">
        <f>(Assumptions!$B$46+Assumptions!$B$47+Assumptions!$B$48)+Assumptions!$B$49+(H1087+I1087)+J1093</f>
        <v/>
      </c>
      <c r="L1093">
        <f>(Assumptions!$B$13-I1093+Assumptions!$B$31*Assumptions!$B$10)/(K1093+Assumptions!$B$31)</f>
        <v/>
      </c>
      <c r="M1093">
        <f>IF(L1093&gt;Assumptions!$B$10,"yes","no")</f>
        <v/>
      </c>
      <c r="N1093">
        <f>IF(M1093="yes",L1093,MAX(0,(Assumptions!$B$13-I1093)/K1093))</f>
        <v/>
      </c>
      <c r="O1093">
        <f>IF(M1093="yes",Assumptions!$B$31*(N1093-Assumptions!$B$10),0)</f>
        <v/>
      </c>
    </row>
    <row r="1094">
      <c r="A1094" t="inlineStr">
        <is>
          <t>iter 2</t>
        </is>
      </c>
      <c r="B1094">
        <f>IF(Assumptions!$B$4&gt;(Assumptions!$B$4/B1087)*N1093,"preference","convert")</f>
        <v/>
      </c>
      <c r="C1094">
        <f>IF(Assumptions!$B$45&gt;(Assumptions!$B$39+F1087)*N1093,"preference","convert")</f>
        <v/>
      </c>
      <c r="D1094">
        <f>IF(Assumptions!$B$44&gt;(Assumptions!$B$38+E1087)*N1093,"preference","convert")</f>
        <v/>
      </c>
      <c r="E1094">
        <f>IF(Assumptions!$B$43&gt;Assumptions!$B$36*N1093,"preference","convert")</f>
        <v/>
      </c>
      <c r="F1094">
        <f>IF(Assumptions!$B$42&gt;Assumptions!$B$35*N1093,"preference","convert")</f>
        <v/>
      </c>
      <c r="G1094">
        <f>IF(Assumptions!$B$41&gt;Assumptions!$B$34*N1093,"preference","convert")</f>
        <v/>
      </c>
      <c r="H1094">
        <f>IF(Assumptions!$B$40&gt;Assumptions!$B$33*N1093,"preference","convert")</f>
        <v/>
      </c>
      <c r="I1094">
        <f>IF(B1094="preference",Assumptions!$B$4,0)+IF(C1094="preference",Assumptions!$B$45,0)+IF(D1094="preference",Assumptions!$B$44,0)+IF(E1094="preference",Assumptions!$B$43,0)+IF(F1094="preference",Assumptions!$B$42,0)+IF(G1094="preference",Assumptions!$B$41,0)+IF(H1094="preference",Assumptions!$B$40,0)</f>
        <v/>
      </c>
      <c r="J1094">
        <f>IF(B1094="convert",(Assumptions!$B$4/B1087),0)+IF(C1094="convert",(Assumptions!$B$39+F1087),0)+IF(D1094="convert",(Assumptions!$B$38+E1087),0)+IF(E1094="convert",Assumptions!$B$36,0)+IF(F1094="convert",Assumptions!$B$35,0)+IF(G1094="convert",Assumptions!$B$34,0)+IF(H1094="convert",Assumptions!$B$33,0)</f>
        <v/>
      </c>
      <c r="K1094">
        <f>(Assumptions!$B$46+Assumptions!$B$47+Assumptions!$B$48)+Assumptions!$B$49+(H1087+I1087)+J1094</f>
        <v/>
      </c>
      <c r="L1094">
        <f>(Assumptions!$B$13-I1094+Assumptions!$B$31*Assumptions!$B$10)/(K1094+Assumptions!$B$31)</f>
        <v/>
      </c>
      <c r="M1094">
        <f>IF(L1094&gt;Assumptions!$B$10,"yes","no")</f>
        <v/>
      </c>
      <c r="N1094">
        <f>IF(M1094="yes",L1094,MAX(0,(Assumptions!$B$13-I1094)/K1094))</f>
        <v/>
      </c>
      <c r="O1094">
        <f>IF(M1094="yes",Assumptions!$B$31*(N1094-Assumptions!$B$10),0)</f>
        <v/>
      </c>
    </row>
    <row r="1095">
      <c r="A1095" t="inlineStr">
        <is>
          <t>iter 3</t>
        </is>
      </c>
      <c r="B1095">
        <f>IF(Assumptions!$B$4&gt;(Assumptions!$B$4/B1087)*N1094,"preference","convert")</f>
        <v/>
      </c>
      <c r="C1095">
        <f>IF(Assumptions!$B$45&gt;(Assumptions!$B$39+F1087)*N1094,"preference","convert")</f>
        <v/>
      </c>
      <c r="D1095">
        <f>IF(Assumptions!$B$44&gt;(Assumptions!$B$38+E1087)*N1094,"preference","convert")</f>
        <v/>
      </c>
      <c r="E1095">
        <f>IF(Assumptions!$B$43&gt;Assumptions!$B$36*N1094,"preference","convert")</f>
        <v/>
      </c>
      <c r="F1095">
        <f>IF(Assumptions!$B$42&gt;Assumptions!$B$35*N1094,"preference","convert")</f>
        <v/>
      </c>
      <c r="G1095">
        <f>IF(Assumptions!$B$41&gt;Assumptions!$B$34*N1094,"preference","convert")</f>
        <v/>
      </c>
      <c r="H1095">
        <f>IF(Assumptions!$B$40&gt;Assumptions!$B$33*N1094,"preference","convert")</f>
        <v/>
      </c>
      <c r="I1095">
        <f>IF(B1095="preference",Assumptions!$B$4,0)+IF(C1095="preference",Assumptions!$B$45,0)+IF(D1095="preference",Assumptions!$B$44,0)+IF(E1095="preference",Assumptions!$B$43,0)+IF(F1095="preference",Assumptions!$B$42,0)+IF(G1095="preference",Assumptions!$B$41,0)+IF(H1095="preference",Assumptions!$B$40,0)</f>
        <v/>
      </c>
      <c r="J1095">
        <f>IF(B1095="convert",(Assumptions!$B$4/B1087),0)+IF(C1095="convert",(Assumptions!$B$39+F1087),0)+IF(D1095="convert",(Assumptions!$B$38+E1087),0)+IF(E1095="convert",Assumptions!$B$36,0)+IF(F1095="convert",Assumptions!$B$35,0)+IF(G1095="convert",Assumptions!$B$34,0)+IF(H1095="convert",Assumptions!$B$33,0)</f>
        <v/>
      </c>
      <c r="K1095">
        <f>(Assumptions!$B$46+Assumptions!$B$47+Assumptions!$B$48)+Assumptions!$B$49+(H1087+I1087)+J1095</f>
        <v/>
      </c>
      <c r="L1095">
        <f>(Assumptions!$B$13-I1095+Assumptions!$B$31*Assumptions!$B$10)/(K1095+Assumptions!$B$31)</f>
        <v/>
      </c>
      <c r="M1095">
        <f>IF(L1095&gt;Assumptions!$B$10,"yes","no")</f>
        <v/>
      </c>
      <c r="N1095">
        <f>IF(M1095="yes",L1095,MAX(0,(Assumptions!$B$13-I1095)/K1095))</f>
        <v/>
      </c>
      <c r="O1095">
        <f>IF(M1095="yes",Assumptions!$B$31*(N1095-Assumptions!$B$10),0)</f>
        <v/>
      </c>
    </row>
    <row r="1096">
      <c r="A1096" t="inlineStr">
        <is>
          <t>iter 4</t>
        </is>
      </c>
      <c r="B1096">
        <f>IF(Assumptions!$B$4&gt;(Assumptions!$B$4/B1087)*N1095,"preference","convert")</f>
        <v/>
      </c>
      <c r="C1096">
        <f>IF(Assumptions!$B$45&gt;(Assumptions!$B$39+F1087)*N1095,"preference","convert")</f>
        <v/>
      </c>
      <c r="D1096">
        <f>IF(Assumptions!$B$44&gt;(Assumptions!$B$38+E1087)*N1095,"preference","convert")</f>
        <v/>
      </c>
      <c r="E1096">
        <f>IF(Assumptions!$B$43&gt;Assumptions!$B$36*N1095,"preference","convert")</f>
        <v/>
      </c>
      <c r="F1096">
        <f>IF(Assumptions!$B$42&gt;Assumptions!$B$35*N1095,"preference","convert")</f>
        <v/>
      </c>
      <c r="G1096">
        <f>IF(Assumptions!$B$41&gt;Assumptions!$B$34*N1095,"preference","convert")</f>
        <v/>
      </c>
      <c r="H1096">
        <f>IF(Assumptions!$B$40&gt;Assumptions!$B$33*N1095,"preference","convert")</f>
        <v/>
      </c>
      <c r="I1096">
        <f>IF(B1096="preference",Assumptions!$B$4,0)+IF(C1096="preference",Assumptions!$B$45,0)+IF(D1096="preference",Assumptions!$B$44,0)+IF(E1096="preference",Assumptions!$B$43,0)+IF(F1096="preference",Assumptions!$B$42,0)+IF(G1096="preference",Assumptions!$B$41,0)+IF(H1096="preference",Assumptions!$B$40,0)</f>
        <v/>
      </c>
      <c r="J1096">
        <f>IF(B1096="convert",(Assumptions!$B$4/B1087),0)+IF(C1096="convert",(Assumptions!$B$39+F1087),0)+IF(D1096="convert",(Assumptions!$B$38+E1087),0)+IF(E1096="convert",Assumptions!$B$36,0)+IF(F1096="convert",Assumptions!$B$35,0)+IF(G1096="convert",Assumptions!$B$34,0)+IF(H1096="convert",Assumptions!$B$33,0)</f>
        <v/>
      </c>
      <c r="K1096">
        <f>(Assumptions!$B$46+Assumptions!$B$47+Assumptions!$B$48)+Assumptions!$B$49+(H1087+I1087)+J1096</f>
        <v/>
      </c>
      <c r="L1096">
        <f>(Assumptions!$B$13-I1096+Assumptions!$B$31*Assumptions!$B$10)/(K1096+Assumptions!$B$31)</f>
        <v/>
      </c>
      <c r="M1096">
        <f>IF(L1096&gt;Assumptions!$B$10,"yes","no")</f>
        <v/>
      </c>
      <c r="N1096">
        <f>IF(M1096="yes",L1096,MAX(0,(Assumptions!$B$13-I1096)/K1096))</f>
        <v/>
      </c>
      <c r="O1096">
        <f>IF(M1096="yes",Assumptions!$B$31*(N1096-Assumptions!$B$10),0)</f>
        <v/>
      </c>
    </row>
    <row r="1097">
      <c r="A1097" t="inlineStr">
        <is>
          <t>iter 5</t>
        </is>
      </c>
      <c r="B1097">
        <f>IF(Assumptions!$B$4&gt;(Assumptions!$B$4/B1087)*N1096,"preference","convert")</f>
        <v/>
      </c>
      <c r="C1097">
        <f>IF(Assumptions!$B$45&gt;(Assumptions!$B$39+F1087)*N1096,"preference","convert")</f>
        <v/>
      </c>
      <c r="D1097">
        <f>IF(Assumptions!$B$44&gt;(Assumptions!$B$38+E1087)*N1096,"preference","convert")</f>
        <v/>
      </c>
      <c r="E1097">
        <f>IF(Assumptions!$B$43&gt;Assumptions!$B$36*N1096,"preference","convert")</f>
        <v/>
      </c>
      <c r="F1097">
        <f>IF(Assumptions!$B$42&gt;Assumptions!$B$35*N1096,"preference","convert")</f>
        <v/>
      </c>
      <c r="G1097">
        <f>IF(Assumptions!$B$41&gt;Assumptions!$B$34*N1096,"preference","convert")</f>
        <v/>
      </c>
      <c r="H1097">
        <f>IF(Assumptions!$B$40&gt;Assumptions!$B$33*N1096,"preference","convert")</f>
        <v/>
      </c>
      <c r="I1097">
        <f>IF(B1097="preference",Assumptions!$B$4,0)+IF(C1097="preference",Assumptions!$B$45,0)+IF(D1097="preference",Assumptions!$B$44,0)+IF(E1097="preference",Assumptions!$B$43,0)+IF(F1097="preference",Assumptions!$B$42,0)+IF(G1097="preference",Assumptions!$B$41,0)+IF(H1097="preference",Assumptions!$B$40,0)</f>
        <v/>
      </c>
      <c r="J1097">
        <f>IF(B1097="convert",(Assumptions!$B$4/B1087),0)+IF(C1097="convert",(Assumptions!$B$39+F1087),0)+IF(D1097="convert",(Assumptions!$B$38+E1087),0)+IF(E1097="convert",Assumptions!$B$36,0)+IF(F1097="convert",Assumptions!$B$35,0)+IF(G1097="convert",Assumptions!$B$34,0)+IF(H1097="convert",Assumptions!$B$33,0)</f>
        <v/>
      </c>
      <c r="K1097">
        <f>(Assumptions!$B$46+Assumptions!$B$47+Assumptions!$B$48)+Assumptions!$B$49+(H1087+I1087)+J1097</f>
        <v/>
      </c>
      <c r="L1097">
        <f>(Assumptions!$B$13-I1097+Assumptions!$B$31*Assumptions!$B$10)/(K1097+Assumptions!$B$31)</f>
        <v/>
      </c>
      <c r="M1097">
        <f>IF(L1097&gt;Assumptions!$B$10,"yes","no")</f>
        <v/>
      </c>
      <c r="N1097">
        <f>IF(M1097="yes",L1097,MAX(0,(Assumptions!$B$13-I1097)/K1097))</f>
        <v/>
      </c>
      <c r="O1097">
        <f>IF(M1097="yes",Assumptions!$B$31*(N1097-Assumptions!$B$10),0)</f>
        <v/>
      </c>
    </row>
    <row r="1098">
      <c r="A1098" t="inlineStr">
        <is>
          <t>iter 6</t>
        </is>
      </c>
      <c r="B1098">
        <f>IF(Assumptions!$B$4&gt;(Assumptions!$B$4/B1087)*N1097,"preference","convert")</f>
        <v/>
      </c>
      <c r="C1098">
        <f>IF(Assumptions!$B$45&gt;(Assumptions!$B$39+F1087)*N1097,"preference","convert")</f>
        <v/>
      </c>
      <c r="D1098">
        <f>IF(Assumptions!$B$44&gt;(Assumptions!$B$38+E1087)*N1097,"preference","convert")</f>
        <v/>
      </c>
      <c r="E1098">
        <f>IF(Assumptions!$B$43&gt;Assumptions!$B$36*N1097,"preference","convert")</f>
        <v/>
      </c>
      <c r="F1098">
        <f>IF(Assumptions!$B$42&gt;Assumptions!$B$35*N1097,"preference","convert")</f>
        <v/>
      </c>
      <c r="G1098">
        <f>IF(Assumptions!$B$41&gt;Assumptions!$B$34*N1097,"preference","convert")</f>
        <v/>
      </c>
      <c r="H1098">
        <f>IF(Assumptions!$B$40&gt;Assumptions!$B$33*N1097,"preference","convert")</f>
        <v/>
      </c>
      <c r="I1098">
        <f>IF(B1098="preference",Assumptions!$B$4,0)+IF(C1098="preference",Assumptions!$B$45,0)+IF(D1098="preference",Assumptions!$B$44,0)+IF(E1098="preference",Assumptions!$B$43,0)+IF(F1098="preference",Assumptions!$B$42,0)+IF(G1098="preference",Assumptions!$B$41,0)+IF(H1098="preference",Assumptions!$B$40,0)</f>
        <v/>
      </c>
      <c r="J1098">
        <f>IF(B1098="convert",(Assumptions!$B$4/B1087),0)+IF(C1098="convert",(Assumptions!$B$39+F1087),0)+IF(D1098="convert",(Assumptions!$B$38+E1087),0)+IF(E1098="convert",Assumptions!$B$36,0)+IF(F1098="convert",Assumptions!$B$35,0)+IF(G1098="convert",Assumptions!$B$34,0)+IF(H1098="convert",Assumptions!$B$33,0)</f>
        <v/>
      </c>
      <c r="K1098">
        <f>(Assumptions!$B$46+Assumptions!$B$47+Assumptions!$B$48)+Assumptions!$B$49+(H1087+I1087)+J1098</f>
        <v/>
      </c>
      <c r="L1098">
        <f>(Assumptions!$B$13-I1098+Assumptions!$B$31*Assumptions!$B$10)/(K1098+Assumptions!$B$31)</f>
        <v/>
      </c>
      <c r="M1098">
        <f>IF(L1098&gt;Assumptions!$B$10,"yes","no")</f>
        <v/>
      </c>
      <c r="N1098">
        <f>IF(M1098="yes",L1098,MAX(0,(Assumptions!$B$13-I1098)/K1098))</f>
        <v/>
      </c>
      <c r="O1098">
        <f>IF(M1098="yes",Assumptions!$B$31*(N1098-Assumptions!$B$10),0)</f>
        <v/>
      </c>
    </row>
    <row r="1099">
      <c r="A1099" t="inlineStr">
        <is>
          <t>iter 7</t>
        </is>
      </c>
      <c r="B1099">
        <f>IF(Assumptions!$B$4&gt;(Assumptions!$B$4/B1087)*N1098,"preference","convert")</f>
        <v/>
      </c>
      <c r="C1099">
        <f>IF(Assumptions!$B$45&gt;(Assumptions!$B$39+F1087)*N1098,"preference","convert")</f>
        <v/>
      </c>
      <c r="D1099">
        <f>IF(Assumptions!$B$44&gt;(Assumptions!$B$38+E1087)*N1098,"preference","convert")</f>
        <v/>
      </c>
      <c r="E1099">
        <f>IF(Assumptions!$B$43&gt;Assumptions!$B$36*N1098,"preference","convert")</f>
        <v/>
      </c>
      <c r="F1099">
        <f>IF(Assumptions!$B$42&gt;Assumptions!$B$35*N1098,"preference","convert")</f>
        <v/>
      </c>
      <c r="G1099">
        <f>IF(Assumptions!$B$41&gt;Assumptions!$B$34*N1098,"preference","convert")</f>
        <v/>
      </c>
      <c r="H1099">
        <f>IF(Assumptions!$B$40&gt;Assumptions!$B$33*N1098,"preference","convert")</f>
        <v/>
      </c>
      <c r="I1099">
        <f>IF(B1099="preference",Assumptions!$B$4,0)+IF(C1099="preference",Assumptions!$B$45,0)+IF(D1099="preference",Assumptions!$B$44,0)+IF(E1099="preference",Assumptions!$B$43,0)+IF(F1099="preference",Assumptions!$B$42,0)+IF(G1099="preference",Assumptions!$B$41,0)+IF(H1099="preference",Assumptions!$B$40,0)</f>
        <v/>
      </c>
      <c r="J1099">
        <f>IF(B1099="convert",(Assumptions!$B$4/B1087),0)+IF(C1099="convert",(Assumptions!$B$39+F1087),0)+IF(D1099="convert",(Assumptions!$B$38+E1087),0)+IF(E1099="convert",Assumptions!$B$36,0)+IF(F1099="convert",Assumptions!$B$35,0)+IF(G1099="convert",Assumptions!$B$34,0)+IF(H1099="convert",Assumptions!$B$33,0)</f>
        <v/>
      </c>
      <c r="K1099">
        <f>(Assumptions!$B$46+Assumptions!$B$47+Assumptions!$B$48)+Assumptions!$B$49+(H1087+I1087)+J1099</f>
        <v/>
      </c>
      <c r="L1099">
        <f>(Assumptions!$B$13-I1099+Assumptions!$B$31*Assumptions!$B$10)/(K1099+Assumptions!$B$31)</f>
        <v/>
      </c>
      <c r="M1099">
        <f>IF(L1099&gt;Assumptions!$B$10,"yes","no")</f>
        <v/>
      </c>
      <c r="N1099">
        <f>IF(M1099="yes",L1099,MAX(0,(Assumptions!$B$13-I1099)/K1099))</f>
        <v/>
      </c>
      <c r="O1099">
        <f>IF(M1099="yes",Assumptions!$B$31*(N1099-Assumptions!$B$10),0)</f>
        <v/>
      </c>
    </row>
    <row r="1100">
      <c r="A1100" t="inlineStr">
        <is>
          <t>iter 8</t>
        </is>
      </c>
      <c r="B1100">
        <f>IF(Assumptions!$B$4&gt;(Assumptions!$B$4/B1087)*N1099,"preference","convert")</f>
        <v/>
      </c>
      <c r="C1100">
        <f>IF(Assumptions!$B$45&gt;(Assumptions!$B$39+F1087)*N1099,"preference","convert")</f>
        <v/>
      </c>
      <c r="D1100">
        <f>IF(Assumptions!$B$44&gt;(Assumptions!$B$38+E1087)*N1099,"preference","convert")</f>
        <v/>
      </c>
      <c r="E1100">
        <f>IF(Assumptions!$B$43&gt;Assumptions!$B$36*N1099,"preference","convert")</f>
        <v/>
      </c>
      <c r="F1100">
        <f>IF(Assumptions!$B$42&gt;Assumptions!$B$35*N1099,"preference","convert")</f>
        <v/>
      </c>
      <c r="G1100">
        <f>IF(Assumptions!$B$41&gt;Assumptions!$B$34*N1099,"preference","convert")</f>
        <v/>
      </c>
      <c r="H1100">
        <f>IF(Assumptions!$B$40&gt;Assumptions!$B$33*N1099,"preference","convert")</f>
        <v/>
      </c>
      <c r="I1100">
        <f>IF(B1100="preference",Assumptions!$B$4,0)+IF(C1100="preference",Assumptions!$B$45,0)+IF(D1100="preference",Assumptions!$B$44,0)+IF(E1100="preference",Assumptions!$B$43,0)+IF(F1100="preference",Assumptions!$B$42,0)+IF(G1100="preference",Assumptions!$B$41,0)+IF(H1100="preference",Assumptions!$B$40,0)</f>
        <v/>
      </c>
      <c r="J1100">
        <f>IF(B1100="convert",(Assumptions!$B$4/B1087),0)+IF(C1100="convert",(Assumptions!$B$39+F1087),0)+IF(D1100="convert",(Assumptions!$B$38+E1087),0)+IF(E1100="convert",Assumptions!$B$36,0)+IF(F1100="convert",Assumptions!$B$35,0)+IF(G1100="convert",Assumptions!$B$34,0)+IF(H1100="convert",Assumptions!$B$33,0)</f>
        <v/>
      </c>
      <c r="K1100">
        <f>(Assumptions!$B$46+Assumptions!$B$47+Assumptions!$B$48)+Assumptions!$B$49+(H1087+I1087)+J1100</f>
        <v/>
      </c>
      <c r="L1100">
        <f>(Assumptions!$B$13-I1100+Assumptions!$B$31*Assumptions!$B$10)/(K1100+Assumptions!$B$31)</f>
        <v/>
      </c>
      <c r="M1100">
        <f>IF(L1100&gt;Assumptions!$B$10,"yes","no")</f>
        <v/>
      </c>
      <c r="N1100">
        <f>IF(M1100="yes",L1100,MAX(0,(Assumptions!$B$13-I1100)/K1100))</f>
        <v/>
      </c>
      <c r="O1100">
        <f>IF(M1100="yes",Assumptions!$B$31*(N1100-Assumptions!$B$10),0)</f>
        <v/>
      </c>
    </row>
    <row r="1101">
      <c r="A1101" t="inlineStr">
        <is>
          <t>iter 9</t>
        </is>
      </c>
      <c r="B1101">
        <f>IF(Assumptions!$B$4&gt;(Assumptions!$B$4/B1087)*N1100,"preference","convert")</f>
        <v/>
      </c>
      <c r="C1101">
        <f>IF(Assumptions!$B$45&gt;(Assumptions!$B$39+F1087)*N1100,"preference","convert")</f>
        <v/>
      </c>
      <c r="D1101">
        <f>IF(Assumptions!$B$44&gt;(Assumptions!$B$38+E1087)*N1100,"preference","convert")</f>
        <v/>
      </c>
      <c r="E1101">
        <f>IF(Assumptions!$B$43&gt;Assumptions!$B$36*N1100,"preference","convert")</f>
        <v/>
      </c>
      <c r="F1101">
        <f>IF(Assumptions!$B$42&gt;Assumptions!$B$35*N1100,"preference","convert")</f>
        <v/>
      </c>
      <c r="G1101">
        <f>IF(Assumptions!$B$41&gt;Assumptions!$B$34*N1100,"preference","convert")</f>
        <v/>
      </c>
      <c r="H1101">
        <f>IF(Assumptions!$B$40&gt;Assumptions!$B$33*N1100,"preference","convert")</f>
        <v/>
      </c>
      <c r="I1101">
        <f>IF(B1101="preference",Assumptions!$B$4,0)+IF(C1101="preference",Assumptions!$B$45,0)+IF(D1101="preference",Assumptions!$B$44,0)+IF(E1101="preference",Assumptions!$B$43,0)+IF(F1101="preference",Assumptions!$B$42,0)+IF(G1101="preference",Assumptions!$B$41,0)+IF(H1101="preference",Assumptions!$B$40,0)</f>
        <v/>
      </c>
      <c r="J1101">
        <f>IF(B1101="convert",(Assumptions!$B$4/B1087),0)+IF(C1101="convert",(Assumptions!$B$39+F1087),0)+IF(D1101="convert",(Assumptions!$B$38+E1087),0)+IF(E1101="convert",Assumptions!$B$36,0)+IF(F1101="convert",Assumptions!$B$35,0)+IF(G1101="convert",Assumptions!$B$34,0)+IF(H1101="convert",Assumptions!$B$33,0)</f>
        <v/>
      </c>
      <c r="K1101">
        <f>(Assumptions!$B$46+Assumptions!$B$47+Assumptions!$B$48)+Assumptions!$B$49+(H1087+I1087)+J1101</f>
        <v/>
      </c>
      <c r="L1101">
        <f>(Assumptions!$B$13-I1101+Assumptions!$B$31*Assumptions!$B$10)/(K1101+Assumptions!$B$31)</f>
        <v/>
      </c>
      <c r="M1101">
        <f>IF(L1101&gt;Assumptions!$B$10,"yes","no")</f>
        <v/>
      </c>
      <c r="N1101">
        <f>IF(M1101="yes",L1101,MAX(0,(Assumptions!$B$13-I1101)/K1101))</f>
        <v/>
      </c>
      <c r="O1101">
        <f>IF(M1101="yes",Assumptions!$B$31*(N1101-Assumptions!$B$10),0)</f>
        <v/>
      </c>
    </row>
    <row r="1102">
      <c r="A1102" t="inlineStr">
        <is>
          <t>iter 10</t>
        </is>
      </c>
      <c r="B1102">
        <f>IF(Assumptions!$B$4&gt;(Assumptions!$B$4/B1087)*N1101,"preference","convert")</f>
        <v/>
      </c>
      <c r="C1102">
        <f>IF(Assumptions!$B$45&gt;(Assumptions!$B$39+F1087)*N1101,"preference","convert")</f>
        <v/>
      </c>
      <c r="D1102">
        <f>IF(Assumptions!$B$44&gt;(Assumptions!$B$38+E1087)*N1101,"preference","convert")</f>
        <v/>
      </c>
      <c r="E1102">
        <f>IF(Assumptions!$B$43&gt;Assumptions!$B$36*N1101,"preference","convert")</f>
        <v/>
      </c>
      <c r="F1102">
        <f>IF(Assumptions!$B$42&gt;Assumptions!$B$35*N1101,"preference","convert")</f>
        <v/>
      </c>
      <c r="G1102">
        <f>IF(Assumptions!$B$41&gt;Assumptions!$B$34*N1101,"preference","convert")</f>
        <v/>
      </c>
      <c r="H1102">
        <f>IF(Assumptions!$B$40&gt;Assumptions!$B$33*N1101,"preference","convert")</f>
        <v/>
      </c>
      <c r="I1102">
        <f>IF(B1102="preference",Assumptions!$B$4,0)+IF(C1102="preference",Assumptions!$B$45,0)+IF(D1102="preference",Assumptions!$B$44,0)+IF(E1102="preference",Assumptions!$B$43,0)+IF(F1102="preference",Assumptions!$B$42,0)+IF(G1102="preference",Assumptions!$B$41,0)+IF(H1102="preference",Assumptions!$B$40,0)</f>
        <v/>
      </c>
      <c r="J1102">
        <f>IF(B1102="convert",(Assumptions!$B$4/B1087),0)+IF(C1102="convert",(Assumptions!$B$39+F1087),0)+IF(D1102="convert",(Assumptions!$B$38+E1087),0)+IF(E1102="convert",Assumptions!$B$36,0)+IF(F1102="convert",Assumptions!$B$35,0)+IF(G1102="convert",Assumptions!$B$34,0)+IF(H1102="convert",Assumptions!$B$33,0)</f>
        <v/>
      </c>
      <c r="K1102">
        <f>(Assumptions!$B$46+Assumptions!$B$47+Assumptions!$B$48)+Assumptions!$B$49+(H1087+I1087)+J1102</f>
        <v/>
      </c>
      <c r="L1102">
        <f>(Assumptions!$B$13-I1102+Assumptions!$B$31*Assumptions!$B$10)/(K1102+Assumptions!$B$31)</f>
        <v/>
      </c>
      <c r="M1102">
        <f>IF(L1102&gt;Assumptions!$B$10,"yes","no")</f>
        <v/>
      </c>
      <c r="N1102">
        <f>IF(M1102="yes",L1102,MAX(0,(Assumptions!$B$13-I1102)/K1102))</f>
        <v/>
      </c>
      <c r="O1102">
        <f>IF(M1102="yes",Assumptions!$B$31*(N1102-Assumptions!$B$10),0)</f>
        <v/>
      </c>
    </row>
    <row r="1103">
      <c r="A1103" t="inlineStr">
        <is>
          <t>iter 11</t>
        </is>
      </c>
      <c r="B1103">
        <f>IF(Assumptions!$B$4&gt;(Assumptions!$B$4/B1087)*N1102,"preference","convert")</f>
        <v/>
      </c>
      <c r="C1103">
        <f>IF(Assumptions!$B$45&gt;(Assumptions!$B$39+F1087)*N1102,"preference","convert")</f>
        <v/>
      </c>
      <c r="D1103">
        <f>IF(Assumptions!$B$44&gt;(Assumptions!$B$38+E1087)*N1102,"preference","convert")</f>
        <v/>
      </c>
      <c r="E1103">
        <f>IF(Assumptions!$B$43&gt;Assumptions!$B$36*N1102,"preference","convert")</f>
        <v/>
      </c>
      <c r="F1103">
        <f>IF(Assumptions!$B$42&gt;Assumptions!$B$35*N1102,"preference","convert")</f>
        <v/>
      </c>
      <c r="G1103">
        <f>IF(Assumptions!$B$41&gt;Assumptions!$B$34*N1102,"preference","convert")</f>
        <v/>
      </c>
      <c r="H1103">
        <f>IF(Assumptions!$B$40&gt;Assumptions!$B$33*N1102,"preference","convert")</f>
        <v/>
      </c>
      <c r="I1103">
        <f>IF(B1103="preference",Assumptions!$B$4,0)+IF(C1103="preference",Assumptions!$B$45,0)+IF(D1103="preference",Assumptions!$B$44,0)+IF(E1103="preference",Assumptions!$B$43,0)+IF(F1103="preference",Assumptions!$B$42,0)+IF(G1103="preference",Assumptions!$B$41,0)+IF(H1103="preference",Assumptions!$B$40,0)</f>
        <v/>
      </c>
      <c r="J1103">
        <f>IF(B1103="convert",(Assumptions!$B$4/B1087),0)+IF(C1103="convert",(Assumptions!$B$39+F1087),0)+IF(D1103="convert",(Assumptions!$B$38+E1087),0)+IF(E1103="convert",Assumptions!$B$36,0)+IF(F1103="convert",Assumptions!$B$35,0)+IF(G1103="convert",Assumptions!$B$34,0)+IF(H1103="convert",Assumptions!$B$33,0)</f>
        <v/>
      </c>
      <c r="K1103">
        <f>(Assumptions!$B$46+Assumptions!$B$47+Assumptions!$B$48)+Assumptions!$B$49+(H1087+I1087)+J1103</f>
        <v/>
      </c>
      <c r="L1103">
        <f>(Assumptions!$B$13-I1103+Assumptions!$B$31*Assumptions!$B$10)/(K1103+Assumptions!$B$31)</f>
        <v/>
      </c>
      <c r="M1103">
        <f>IF(L1103&gt;Assumptions!$B$10,"yes","no")</f>
        <v/>
      </c>
      <c r="N1103">
        <f>IF(M1103="yes",L1103,MAX(0,(Assumptions!$B$13-I1103)/K1103))</f>
        <v/>
      </c>
      <c r="O1103">
        <f>IF(M1103="yes",Assumptions!$B$31*(N1103-Assumptions!$B$10),0)</f>
        <v/>
      </c>
    </row>
    <row r="1104">
      <c r="A1104" t="inlineStr">
        <is>
          <t>iter 12</t>
        </is>
      </c>
      <c r="B1104">
        <f>IF(Assumptions!$B$4&gt;(Assumptions!$B$4/B1087)*N1103,"preference","convert")</f>
        <v/>
      </c>
      <c r="C1104">
        <f>IF(Assumptions!$B$45&gt;(Assumptions!$B$39+F1087)*N1103,"preference","convert")</f>
        <v/>
      </c>
      <c r="D1104">
        <f>IF(Assumptions!$B$44&gt;(Assumptions!$B$38+E1087)*N1103,"preference","convert")</f>
        <v/>
      </c>
      <c r="E1104">
        <f>IF(Assumptions!$B$43&gt;Assumptions!$B$36*N1103,"preference","convert")</f>
        <v/>
      </c>
      <c r="F1104">
        <f>IF(Assumptions!$B$42&gt;Assumptions!$B$35*N1103,"preference","convert")</f>
        <v/>
      </c>
      <c r="G1104">
        <f>IF(Assumptions!$B$41&gt;Assumptions!$B$34*N1103,"preference","convert")</f>
        <v/>
      </c>
      <c r="H1104">
        <f>IF(Assumptions!$B$40&gt;Assumptions!$B$33*N1103,"preference","convert")</f>
        <v/>
      </c>
      <c r="I1104">
        <f>IF(B1104="preference",Assumptions!$B$4,0)+IF(C1104="preference",Assumptions!$B$45,0)+IF(D1104="preference",Assumptions!$B$44,0)+IF(E1104="preference",Assumptions!$B$43,0)+IF(F1104="preference",Assumptions!$B$42,0)+IF(G1104="preference",Assumptions!$B$41,0)+IF(H1104="preference",Assumptions!$B$40,0)</f>
        <v/>
      </c>
      <c r="J1104">
        <f>IF(B1104="convert",(Assumptions!$B$4/B1087),0)+IF(C1104="convert",(Assumptions!$B$39+F1087),0)+IF(D1104="convert",(Assumptions!$B$38+E1087),0)+IF(E1104="convert",Assumptions!$B$36,0)+IF(F1104="convert",Assumptions!$B$35,0)+IF(G1104="convert",Assumptions!$B$34,0)+IF(H1104="convert",Assumptions!$B$33,0)</f>
        <v/>
      </c>
      <c r="K1104">
        <f>(Assumptions!$B$46+Assumptions!$B$47+Assumptions!$B$48)+Assumptions!$B$49+(H1087+I1087)+J1104</f>
        <v/>
      </c>
      <c r="L1104">
        <f>(Assumptions!$B$13-I1104+Assumptions!$B$31*Assumptions!$B$10)/(K1104+Assumptions!$B$31)</f>
        <v/>
      </c>
      <c r="M1104">
        <f>IF(L1104&gt;Assumptions!$B$10,"yes","no")</f>
        <v/>
      </c>
      <c r="N1104">
        <f>IF(M1104="yes",L1104,MAX(0,(Assumptions!$B$13-I1104)/K1104))</f>
        <v/>
      </c>
      <c r="O1104">
        <f>IF(M1104="yes",Assumptions!$B$31*(N1104-Assumptions!$B$10),0)</f>
        <v/>
      </c>
    </row>
    <row r="1105">
      <c r="A1105" t="inlineStr">
        <is>
          <t>iter 13</t>
        </is>
      </c>
      <c r="B1105">
        <f>IF(Assumptions!$B$4&gt;(Assumptions!$B$4/B1087)*N1104,"preference","convert")</f>
        <v/>
      </c>
      <c r="C1105">
        <f>IF(Assumptions!$B$45&gt;(Assumptions!$B$39+F1087)*N1104,"preference","convert")</f>
        <v/>
      </c>
      <c r="D1105">
        <f>IF(Assumptions!$B$44&gt;(Assumptions!$B$38+E1087)*N1104,"preference","convert")</f>
        <v/>
      </c>
      <c r="E1105">
        <f>IF(Assumptions!$B$43&gt;Assumptions!$B$36*N1104,"preference","convert")</f>
        <v/>
      </c>
      <c r="F1105">
        <f>IF(Assumptions!$B$42&gt;Assumptions!$B$35*N1104,"preference","convert")</f>
        <v/>
      </c>
      <c r="G1105">
        <f>IF(Assumptions!$B$41&gt;Assumptions!$B$34*N1104,"preference","convert")</f>
        <v/>
      </c>
      <c r="H1105">
        <f>IF(Assumptions!$B$40&gt;Assumptions!$B$33*N1104,"preference","convert")</f>
        <v/>
      </c>
      <c r="I1105">
        <f>IF(B1105="preference",Assumptions!$B$4,0)+IF(C1105="preference",Assumptions!$B$45,0)+IF(D1105="preference",Assumptions!$B$44,0)+IF(E1105="preference",Assumptions!$B$43,0)+IF(F1105="preference",Assumptions!$B$42,0)+IF(G1105="preference",Assumptions!$B$41,0)+IF(H1105="preference",Assumptions!$B$40,0)</f>
        <v/>
      </c>
      <c r="J1105">
        <f>IF(B1105="convert",(Assumptions!$B$4/B1087),0)+IF(C1105="convert",(Assumptions!$B$39+F1087),0)+IF(D1105="convert",(Assumptions!$B$38+E1087),0)+IF(E1105="convert",Assumptions!$B$36,0)+IF(F1105="convert",Assumptions!$B$35,0)+IF(G1105="convert",Assumptions!$B$34,0)+IF(H1105="convert",Assumptions!$B$33,0)</f>
        <v/>
      </c>
      <c r="K1105">
        <f>(Assumptions!$B$46+Assumptions!$B$47+Assumptions!$B$48)+Assumptions!$B$49+(H1087+I1087)+J1105</f>
        <v/>
      </c>
      <c r="L1105">
        <f>(Assumptions!$B$13-I1105+Assumptions!$B$31*Assumptions!$B$10)/(K1105+Assumptions!$B$31)</f>
        <v/>
      </c>
      <c r="M1105">
        <f>IF(L1105&gt;Assumptions!$B$10,"yes","no")</f>
        <v/>
      </c>
      <c r="N1105">
        <f>IF(M1105="yes",L1105,MAX(0,(Assumptions!$B$13-I1105)/K1105))</f>
        <v/>
      </c>
      <c r="O1105">
        <f>IF(M1105="yes",Assumptions!$B$31*(N1105-Assumptions!$B$10),0)</f>
        <v/>
      </c>
    </row>
    <row r="1106">
      <c r="A1106" t="inlineStr">
        <is>
          <t>iter 14</t>
        </is>
      </c>
      <c r="B1106">
        <f>IF(Assumptions!$B$4&gt;(Assumptions!$B$4/B1087)*N1105,"preference","convert")</f>
        <v/>
      </c>
      <c r="C1106">
        <f>IF(Assumptions!$B$45&gt;(Assumptions!$B$39+F1087)*N1105,"preference","convert")</f>
        <v/>
      </c>
      <c r="D1106">
        <f>IF(Assumptions!$B$44&gt;(Assumptions!$B$38+E1087)*N1105,"preference","convert")</f>
        <v/>
      </c>
      <c r="E1106">
        <f>IF(Assumptions!$B$43&gt;Assumptions!$B$36*N1105,"preference","convert")</f>
        <v/>
      </c>
      <c r="F1106">
        <f>IF(Assumptions!$B$42&gt;Assumptions!$B$35*N1105,"preference","convert")</f>
        <v/>
      </c>
      <c r="G1106">
        <f>IF(Assumptions!$B$41&gt;Assumptions!$B$34*N1105,"preference","convert")</f>
        <v/>
      </c>
      <c r="H1106">
        <f>IF(Assumptions!$B$40&gt;Assumptions!$B$33*N1105,"preference","convert")</f>
        <v/>
      </c>
      <c r="I1106">
        <f>IF(B1106="preference",Assumptions!$B$4,0)+IF(C1106="preference",Assumptions!$B$45,0)+IF(D1106="preference",Assumptions!$B$44,0)+IF(E1106="preference",Assumptions!$B$43,0)+IF(F1106="preference",Assumptions!$B$42,0)+IF(G1106="preference",Assumptions!$B$41,0)+IF(H1106="preference",Assumptions!$B$40,0)</f>
        <v/>
      </c>
      <c r="J1106">
        <f>IF(B1106="convert",(Assumptions!$B$4/B1087),0)+IF(C1106="convert",(Assumptions!$B$39+F1087),0)+IF(D1106="convert",(Assumptions!$B$38+E1087),0)+IF(E1106="convert",Assumptions!$B$36,0)+IF(F1106="convert",Assumptions!$B$35,0)+IF(G1106="convert",Assumptions!$B$34,0)+IF(H1106="convert",Assumptions!$B$33,0)</f>
        <v/>
      </c>
      <c r="K1106">
        <f>(Assumptions!$B$46+Assumptions!$B$47+Assumptions!$B$48)+Assumptions!$B$49+(H1087+I1087)+J1106</f>
        <v/>
      </c>
      <c r="L1106">
        <f>(Assumptions!$B$13-I1106+Assumptions!$B$31*Assumptions!$B$10)/(K1106+Assumptions!$B$31)</f>
        <v/>
      </c>
      <c r="M1106">
        <f>IF(L1106&gt;Assumptions!$B$10,"yes","no")</f>
        <v/>
      </c>
      <c r="N1106">
        <f>IF(M1106="yes",L1106,MAX(0,(Assumptions!$B$13-I1106)/K1106))</f>
        <v/>
      </c>
      <c r="O1106">
        <f>IF(M1106="yes",Assumptions!$B$31*(N1106-Assumptions!$B$10),0)</f>
        <v/>
      </c>
    </row>
    <row r="1107">
      <c r="A1107" t="inlineStr">
        <is>
          <t>iter 15</t>
        </is>
      </c>
      <c r="B1107">
        <f>IF(Assumptions!$B$4&gt;(Assumptions!$B$4/B1087)*N1106,"preference","convert")</f>
        <v/>
      </c>
      <c r="C1107">
        <f>IF(Assumptions!$B$45&gt;(Assumptions!$B$39+F1087)*N1106,"preference","convert")</f>
        <v/>
      </c>
      <c r="D1107">
        <f>IF(Assumptions!$B$44&gt;(Assumptions!$B$38+E1087)*N1106,"preference","convert")</f>
        <v/>
      </c>
      <c r="E1107">
        <f>IF(Assumptions!$B$43&gt;Assumptions!$B$36*N1106,"preference","convert")</f>
        <v/>
      </c>
      <c r="F1107">
        <f>IF(Assumptions!$B$42&gt;Assumptions!$B$35*N1106,"preference","convert")</f>
        <v/>
      </c>
      <c r="G1107">
        <f>IF(Assumptions!$B$41&gt;Assumptions!$B$34*N1106,"preference","convert")</f>
        <v/>
      </c>
      <c r="H1107">
        <f>IF(Assumptions!$B$40&gt;Assumptions!$B$33*N1106,"preference","convert")</f>
        <v/>
      </c>
      <c r="I1107">
        <f>IF(B1107="preference",Assumptions!$B$4,0)+IF(C1107="preference",Assumptions!$B$45,0)+IF(D1107="preference",Assumptions!$B$44,0)+IF(E1107="preference",Assumptions!$B$43,0)+IF(F1107="preference",Assumptions!$B$42,0)+IF(G1107="preference",Assumptions!$B$41,0)+IF(H1107="preference",Assumptions!$B$40,0)</f>
        <v/>
      </c>
      <c r="J1107">
        <f>IF(B1107="convert",(Assumptions!$B$4/B1087),0)+IF(C1107="convert",(Assumptions!$B$39+F1087),0)+IF(D1107="convert",(Assumptions!$B$38+E1087),0)+IF(E1107="convert",Assumptions!$B$36,0)+IF(F1107="convert",Assumptions!$B$35,0)+IF(G1107="convert",Assumptions!$B$34,0)+IF(H1107="convert",Assumptions!$B$33,0)</f>
        <v/>
      </c>
      <c r="K1107">
        <f>(Assumptions!$B$46+Assumptions!$B$47+Assumptions!$B$48)+Assumptions!$B$49+(H1087+I1087)+J1107</f>
        <v/>
      </c>
      <c r="L1107">
        <f>(Assumptions!$B$13-I1107+Assumptions!$B$31*Assumptions!$B$10)/(K1107+Assumptions!$B$31)</f>
        <v/>
      </c>
      <c r="M1107">
        <f>IF(L1107&gt;Assumptions!$B$10,"yes","no")</f>
        <v/>
      </c>
      <c r="N1107">
        <f>IF(M1107="yes",L1107,MAX(0,(Assumptions!$B$13-I1107)/K1107))</f>
        <v/>
      </c>
      <c r="O1107">
        <f>IF(M1107="yes",Assumptions!$B$31*(N1107-Assumptions!$B$10),0)</f>
        <v/>
      </c>
    </row>
    <row r="1108">
      <c r="A1108" t="inlineStr">
        <is>
          <t>iter 16</t>
        </is>
      </c>
      <c r="B1108">
        <f>IF(Assumptions!$B$4&gt;(Assumptions!$B$4/B1087)*N1107,"preference","convert")</f>
        <v/>
      </c>
      <c r="C1108">
        <f>IF(Assumptions!$B$45&gt;(Assumptions!$B$39+F1087)*N1107,"preference","convert")</f>
        <v/>
      </c>
      <c r="D1108">
        <f>IF(Assumptions!$B$44&gt;(Assumptions!$B$38+E1087)*N1107,"preference","convert")</f>
        <v/>
      </c>
      <c r="E1108">
        <f>IF(Assumptions!$B$43&gt;Assumptions!$B$36*N1107,"preference","convert")</f>
        <v/>
      </c>
      <c r="F1108">
        <f>IF(Assumptions!$B$42&gt;Assumptions!$B$35*N1107,"preference","convert")</f>
        <v/>
      </c>
      <c r="G1108">
        <f>IF(Assumptions!$B$41&gt;Assumptions!$B$34*N1107,"preference","convert")</f>
        <v/>
      </c>
      <c r="H1108">
        <f>IF(Assumptions!$B$40&gt;Assumptions!$B$33*N1107,"preference","convert")</f>
        <v/>
      </c>
      <c r="I1108">
        <f>IF(B1108="preference",Assumptions!$B$4,0)+IF(C1108="preference",Assumptions!$B$45,0)+IF(D1108="preference",Assumptions!$B$44,0)+IF(E1108="preference",Assumptions!$B$43,0)+IF(F1108="preference",Assumptions!$B$42,0)+IF(G1108="preference",Assumptions!$B$41,0)+IF(H1108="preference",Assumptions!$B$40,0)</f>
        <v/>
      </c>
      <c r="J1108">
        <f>IF(B1108="convert",(Assumptions!$B$4/B1087),0)+IF(C1108="convert",(Assumptions!$B$39+F1087),0)+IF(D1108="convert",(Assumptions!$B$38+E1087),0)+IF(E1108="convert",Assumptions!$B$36,0)+IF(F1108="convert",Assumptions!$B$35,0)+IF(G1108="convert",Assumptions!$B$34,0)+IF(H1108="convert",Assumptions!$B$33,0)</f>
        <v/>
      </c>
      <c r="K1108">
        <f>(Assumptions!$B$46+Assumptions!$B$47+Assumptions!$B$48)+Assumptions!$B$49+(H1087+I1087)+J1108</f>
        <v/>
      </c>
      <c r="L1108">
        <f>(Assumptions!$B$13-I1108+Assumptions!$B$31*Assumptions!$B$10)/(K1108+Assumptions!$B$31)</f>
        <v/>
      </c>
      <c r="M1108">
        <f>IF(L1108&gt;Assumptions!$B$10,"yes","no")</f>
        <v/>
      </c>
      <c r="N1108">
        <f>IF(M1108="yes",L1108,MAX(0,(Assumptions!$B$13-I1108)/K1108))</f>
        <v/>
      </c>
      <c r="O1108">
        <f>IF(M1108="yes",Assumptions!$B$31*(N1108-Assumptions!$B$10),0)</f>
        <v/>
      </c>
    </row>
    <row r="1109">
      <c r="A1109" t="inlineStr">
        <is>
          <t>iter 17</t>
        </is>
      </c>
      <c r="B1109">
        <f>IF(Assumptions!$B$4&gt;(Assumptions!$B$4/B1087)*N1108,"preference","convert")</f>
        <v/>
      </c>
      <c r="C1109">
        <f>IF(Assumptions!$B$45&gt;(Assumptions!$B$39+F1087)*N1108,"preference","convert")</f>
        <v/>
      </c>
      <c r="D1109">
        <f>IF(Assumptions!$B$44&gt;(Assumptions!$B$38+E1087)*N1108,"preference","convert")</f>
        <v/>
      </c>
      <c r="E1109">
        <f>IF(Assumptions!$B$43&gt;Assumptions!$B$36*N1108,"preference","convert")</f>
        <v/>
      </c>
      <c r="F1109">
        <f>IF(Assumptions!$B$42&gt;Assumptions!$B$35*N1108,"preference","convert")</f>
        <v/>
      </c>
      <c r="G1109">
        <f>IF(Assumptions!$B$41&gt;Assumptions!$B$34*N1108,"preference","convert")</f>
        <v/>
      </c>
      <c r="H1109">
        <f>IF(Assumptions!$B$40&gt;Assumptions!$B$33*N1108,"preference","convert")</f>
        <v/>
      </c>
      <c r="I1109">
        <f>IF(B1109="preference",Assumptions!$B$4,0)+IF(C1109="preference",Assumptions!$B$45,0)+IF(D1109="preference",Assumptions!$B$44,0)+IF(E1109="preference",Assumptions!$B$43,0)+IF(F1109="preference",Assumptions!$B$42,0)+IF(G1109="preference",Assumptions!$B$41,0)+IF(H1109="preference",Assumptions!$B$40,0)</f>
        <v/>
      </c>
      <c r="J1109">
        <f>IF(B1109="convert",(Assumptions!$B$4/B1087),0)+IF(C1109="convert",(Assumptions!$B$39+F1087),0)+IF(D1109="convert",(Assumptions!$B$38+E1087),0)+IF(E1109="convert",Assumptions!$B$36,0)+IF(F1109="convert",Assumptions!$B$35,0)+IF(G1109="convert",Assumptions!$B$34,0)+IF(H1109="convert",Assumptions!$B$33,0)</f>
        <v/>
      </c>
      <c r="K1109">
        <f>(Assumptions!$B$46+Assumptions!$B$47+Assumptions!$B$48)+Assumptions!$B$49+(H1087+I1087)+J1109</f>
        <v/>
      </c>
      <c r="L1109">
        <f>(Assumptions!$B$13-I1109+Assumptions!$B$31*Assumptions!$B$10)/(K1109+Assumptions!$B$31)</f>
        <v/>
      </c>
      <c r="M1109">
        <f>IF(L1109&gt;Assumptions!$B$10,"yes","no")</f>
        <v/>
      </c>
      <c r="N1109">
        <f>IF(M1109="yes",L1109,MAX(0,(Assumptions!$B$13-I1109)/K1109))</f>
        <v/>
      </c>
      <c r="O1109">
        <f>IF(M1109="yes",Assumptions!$B$31*(N1109-Assumptions!$B$10),0)</f>
        <v/>
      </c>
    </row>
    <row r="1110">
      <c r="A1110" t="inlineStr">
        <is>
          <t>iter 18</t>
        </is>
      </c>
      <c r="B1110">
        <f>IF(Assumptions!$B$4&gt;(Assumptions!$B$4/B1087)*N1109,"preference","convert")</f>
        <v/>
      </c>
      <c r="C1110">
        <f>IF(Assumptions!$B$45&gt;(Assumptions!$B$39+F1087)*N1109,"preference","convert")</f>
        <v/>
      </c>
      <c r="D1110">
        <f>IF(Assumptions!$B$44&gt;(Assumptions!$B$38+E1087)*N1109,"preference","convert")</f>
        <v/>
      </c>
      <c r="E1110">
        <f>IF(Assumptions!$B$43&gt;Assumptions!$B$36*N1109,"preference","convert")</f>
        <v/>
      </c>
      <c r="F1110">
        <f>IF(Assumptions!$B$42&gt;Assumptions!$B$35*N1109,"preference","convert")</f>
        <v/>
      </c>
      <c r="G1110">
        <f>IF(Assumptions!$B$41&gt;Assumptions!$B$34*N1109,"preference","convert")</f>
        <v/>
      </c>
      <c r="H1110">
        <f>IF(Assumptions!$B$40&gt;Assumptions!$B$33*N1109,"preference","convert")</f>
        <v/>
      </c>
      <c r="I1110">
        <f>IF(B1110="preference",Assumptions!$B$4,0)+IF(C1110="preference",Assumptions!$B$45,0)+IF(D1110="preference",Assumptions!$B$44,0)+IF(E1110="preference",Assumptions!$B$43,0)+IF(F1110="preference",Assumptions!$B$42,0)+IF(G1110="preference",Assumptions!$B$41,0)+IF(H1110="preference",Assumptions!$B$40,0)</f>
        <v/>
      </c>
      <c r="J1110">
        <f>IF(B1110="convert",(Assumptions!$B$4/B1087),0)+IF(C1110="convert",(Assumptions!$B$39+F1087),0)+IF(D1110="convert",(Assumptions!$B$38+E1087),0)+IF(E1110="convert",Assumptions!$B$36,0)+IF(F1110="convert",Assumptions!$B$35,0)+IF(G1110="convert",Assumptions!$B$34,0)+IF(H1110="convert",Assumptions!$B$33,0)</f>
        <v/>
      </c>
      <c r="K1110">
        <f>(Assumptions!$B$46+Assumptions!$B$47+Assumptions!$B$48)+Assumptions!$B$49+(H1087+I1087)+J1110</f>
        <v/>
      </c>
      <c r="L1110">
        <f>(Assumptions!$B$13-I1110+Assumptions!$B$31*Assumptions!$B$10)/(K1110+Assumptions!$B$31)</f>
        <v/>
      </c>
      <c r="M1110">
        <f>IF(L1110&gt;Assumptions!$B$10,"yes","no")</f>
        <v/>
      </c>
      <c r="N1110">
        <f>IF(M1110="yes",L1110,MAX(0,(Assumptions!$B$13-I1110)/K1110))</f>
        <v/>
      </c>
      <c r="O1110">
        <f>IF(M1110="yes",Assumptions!$B$31*(N1110-Assumptions!$B$10),0)</f>
        <v/>
      </c>
    </row>
    <row r="1111">
      <c r="A1111" t="inlineStr">
        <is>
          <t>iter 19</t>
        </is>
      </c>
      <c r="B1111">
        <f>IF(Assumptions!$B$4&gt;(Assumptions!$B$4/B1087)*N1110,"preference","convert")</f>
        <v/>
      </c>
      <c r="C1111">
        <f>IF(Assumptions!$B$45&gt;(Assumptions!$B$39+F1087)*N1110,"preference","convert")</f>
        <v/>
      </c>
      <c r="D1111">
        <f>IF(Assumptions!$B$44&gt;(Assumptions!$B$38+E1087)*N1110,"preference","convert")</f>
        <v/>
      </c>
      <c r="E1111">
        <f>IF(Assumptions!$B$43&gt;Assumptions!$B$36*N1110,"preference","convert")</f>
        <v/>
      </c>
      <c r="F1111">
        <f>IF(Assumptions!$B$42&gt;Assumptions!$B$35*N1110,"preference","convert")</f>
        <v/>
      </c>
      <c r="G1111">
        <f>IF(Assumptions!$B$41&gt;Assumptions!$B$34*N1110,"preference","convert")</f>
        <v/>
      </c>
      <c r="H1111">
        <f>IF(Assumptions!$B$40&gt;Assumptions!$B$33*N1110,"preference","convert")</f>
        <v/>
      </c>
      <c r="I1111">
        <f>IF(B1111="preference",Assumptions!$B$4,0)+IF(C1111="preference",Assumptions!$B$45,0)+IF(D1111="preference",Assumptions!$B$44,0)+IF(E1111="preference",Assumptions!$B$43,0)+IF(F1111="preference",Assumptions!$B$42,0)+IF(G1111="preference",Assumptions!$B$41,0)+IF(H1111="preference",Assumptions!$B$40,0)</f>
        <v/>
      </c>
      <c r="J1111">
        <f>IF(B1111="convert",(Assumptions!$B$4/B1087),0)+IF(C1111="convert",(Assumptions!$B$39+F1087),0)+IF(D1111="convert",(Assumptions!$B$38+E1087),0)+IF(E1111="convert",Assumptions!$B$36,0)+IF(F1111="convert",Assumptions!$B$35,0)+IF(G1111="convert",Assumptions!$B$34,0)+IF(H1111="convert",Assumptions!$B$33,0)</f>
        <v/>
      </c>
      <c r="K1111">
        <f>(Assumptions!$B$46+Assumptions!$B$47+Assumptions!$B$48)+Assumptions!$B$49+(H1087+I1087)+J1111</f>
        <v/>
      </c>
      <c r="L1111">
        <f>(Assumptions!$B$13-I1111+Assumptions!$B$31*Assumptions!$B$10)/(K1111+Assumptions!$B$31)</f>
        <v/>
      </c>
      <c r="M1111">
        <f>IF(L1111&gt;Assumptions!$B$10,"yes","no")</f>
        <v/>
      </c>
      <c r="N1111">
        <f>IF(M1111="yes",L1111,MAX(0,(Assumptions!$B$13-I1111)/K1111))</f>
        <v/>
      </c>
      <c r="O1111">
        <f>IF(M1111="yes",Assumptions!$B$31*(N1111-Assumptions!$B$10),0)</f>
        <v/>
      </c>
    </row>
    <row r="1112">
      <c r="A1112" t="inlineStr">
        <is>
          <t>iter 20</t>
        </is>
      </c>
      <c r="B1112">
        <f>IF(Assumptions!$B$4&gt;(Assumptions!$B$4/B1087)*N1111,"preference","convert")</f>
        <v/>
      </c>
      <c r="C1112">
        <f>IF(Assumptions!$B$45&gt;(Assumptions!$B$39+F1087)*N1111,"preference","convert")</f>
        <v/>
      </c>
      <c r="D1112">
        <f>IF(Assumptions!$B$44&gt;(Assumptions!$B$38+E1087)*N1111,"preference","convert")</f>
        <v/>
      </c>
      <c r="E1112">
        <f>IF(Assumptions!$B$43&gt;Assumptions!$B$36*N1111,"preference","convert")</f>
        <v/>
      </c>
      <c r="F1112">
        <f>IF(Assumptions!$B$42&gt;Assumptions!$B$35*N1111,"preference","convert")</f>
        <v/>
      </c>
      <c r="G1112">
        <f>IF(Assumptions!$B$41&gt;Assumptions!$B$34*N1111,"preference","convert")</f>
        <v/>
      </c>
      <c r="H1112">
        <f>IF(Assumptions!$B$40&gt;Assumptions!$B$33*N1111,"preference","convert")</f>
        <v/>
      </c>
      <c r="I1112">
        <f>IF(B1112="preference",Assumptions!$B$4,0)+IF(C1112="preference",Assumptions!$B$45,0)+IF(D1112="preference",Assumptions!$B$44,0)+IF(E1112="preference",Assumptions!$B$43,0)+IF(F1112="preference",Assumptions!$B$42,0)+IF(G1112="preference",Assumptions!$B$41,0)+IF(H1112="preference",Assumptions!$B$40,0)</f>
        <v/>
      </c>
      <c r="J1112">
        <f>IF(B1112="convert",(Assumptions!$B$4/B1087),0)+IF(C1112="convert",(Assumptions!$B$39+F1087),0)+IF(D1112="convert",(Assumptions!$B$38+E1087),0)+IF(E1112="convert",Assumptions!$B$36,0)+IF(F1112="convert",Assumptions!$B$35,0)+IF(G1112="convert",Assumptions!$B$34,0)+IF(H1112="convert",Assumptions!$B$33,0)</f>
        <v/>
      </c>
      <c r="K1112">
        <f>(Assumptions!$B$46+Assumptions!$B$47+Assumptions!$B$48)+Assumptions!$B$49+(H1087+I1087)+J1112</f>
        <v/>
      </c>
      <c r="L1112">
        <f>(Assumptions!$B$13-I1112+Assumptions!$B$31*Assumptions!$B$10)/(K1112+Assumptions!$B$31)</f>
        <v/>
      </c>
      <c r="M1112">
        <f>IF(L1112&gt;Assumptions!$B$10,"yes","no")</f>
        <v/>
      </c>
      <c r="N1112">
        <f>IF(M1112="yes",L1112,MAX(0,(Assumptions!$B$13-I1112)/K1112))</f>
        <v/>
      </c>
      <c r="O1112">
        <f>IF(M1112="yes",Assumptions!$B$31*(N1112-Assumptions!$B$10),0)</f>
        <v/>
      </c>
    </row>
    <row r="1113">
      <c r="A1113" t="inlineStr">
        <is>
          <t>iter 21</t>
        </is>
      </c>
      <c r="B1113">
        <f>IF(Assumptions!$B$4&gt;(Assumptions!$B$4/B1087)*N1112,"preference","convert")</f>
        <v/>
      </c>
      <c r="C1113">
        <f>IF(Assumptions!$B$45&gt;(Assumptions!$B$39+F1087)*N1112,"preference","convert")</f>
        <v/>
      </c>
      <c r="D1113">
        <f>IF(Assumptions!$B$44&gt;(Assumptions!$B$38+E1087)*N1112,"preference","convert")</f>
        <v/>
      </c>
      <c r="E1113">
        <f>IF(Assumptions!$B$43&gt;Assumptions!$B$36*N1112,"preference","convert")</f>
        <v/>
      </c>
      <c r="F1113">
        <f>IF(Assumptions!$B$42&gt;Assumptions!$B$35*N1112,"preference","convert")</f>
        <v/>
      </c>
      <c r="G1113">
        <f>IF(Assumptions!$B$41&gt;Assumptions!$B$34*N1112,"preference","convert")</f>
        <v/>
      </c>
      <c r="H1113">
        <f>IF(Assumptions!$B$40&gt;Assumptions!$B$33*N1112,"preference","convert")</f>
        <v/>
      </c>
      <c r="I1113">
        <f>IF(B1113="preference",Assumptions!$B$4,0)+IF(C1113="preference",Assumptions!$B$45,0)+IF(D1113="preference",Assumptions!$B$44,0)+IF(E1113="preference",Assumptions!$B$43,0)+IF(F1113="preference",Assumptions!$B$42,0)+IF(G1113="preference",Assumptions!$B$41,0)+IF(H1113="preference",Assumptions!$B$40,0)</f>
        <v/>
      </c>
      <c r="J1113">
        <f>IF(B1113="convert",(Assumptions!$B$4/B1087),0)+IF(C1113="convert",(Assumptions!$B$39+F1087),0)+IF(D1113="convert",(Assumptions!$B$38+E1087),0)+IF(E1113="convert",Assumptions!$B$36,0)+IF(F1113="convert",Assumptions!$B$35,0)+IF(G1113="convert",Assumptions!$B$34,0)+IF(H1113="convert",Assumptions!$B$33,0)</f>
        <v/>
      </c>
      <c r="K1113">
        <f>(Assumptions!$B$46+Assumptions!$B$47+Assumptions!$B$48)+Assumptions!$B$49+(H1087+I1087)+J1113</f>
        <v/>
      </c>
      <c r="L1113">
        <f>(Assumptions!$B$13-I1113+Assumptions!$B$31*Assumptions!$B$10)/(K1113+Assumptions!$B$31)</f>
        <v/>
      </c>
      <c r="M1113">
        <f>IF(L1113&gt;Assumptions!$B$10,"yes","no")</f>
        <v/>
      </c>
      <c r="N1113">
        <f>IF(M1113="yes",L1113,MAX(0,(Assumptions!$B$13-I1113)/K1113))</f>
        <v/>
      </c>
      <c r="O1113">
        <f>IF(M1113="yes",Assumptions!$B$31*(N1113-Assumptions!$B$10),0)</f>
        <v/>
      </c>
    </row>
    <row r="1114">
      <c r="A1114" t="inlineStr">
        <is>
          <t>iter 22</t>
        </is>
      </c>
      <c r="B1114">
        <f>IF(Assumptions!$B$4&gt;(Assumptions!$B$4/B1087)*N1113,"preference","convert")</f>
        <v/>
      </c>
      <c r="C1114">
        <f>IF(Assumptions!$B$45&gt;(Assumptions!$B$39+F1087)*N1113,"preference","convert")</f>
        <v/>
      </c>
      <c r="D1114">
        <f>IF(Assumptions!$B$44&gt;(Assumptions!$B$38+E1087)*N1113,"preference","convert")</f>
        <v/>
      </c>
      <c r="E1114">
        <f>IF(Assumptions!$B$43&gt;Assumptions!$B$36*N1113,"preference","convert")</f>
        <v/>
      </c>
      <c r="F1114">
        <f>IF(Assumptions!$B$42&gt;Assumptions!$B$35*N1113,"preference","convert")</f>
        <v/>
      </c>
      <c r="G1114">
        <f>IF(Assumptions!$B$41&gt;Assumptions!$B$34*N1113,"preference","convert")</f>
        <v/>
      </c>
      <c r="H1114">
        <f>IF(Assumptions!$B$40&gt;Assumptions!$B$33*N1113,"preference","convert")</f>
        <v/>
      </c>
      <c r="I1114">
        <f>IF(B1114="preference",Assumptions!$B$4,0)+IF(C1114="preference",Assumptions!$B$45,0)+IF(D1114="preference",Assumptions!$B$44,0)+IF(E1114="preference",Assumptions!$B$43,0)+IF(F1114="preference",Assumptions!$B$42,0)+IF(G1114="preference",Assumptions!$B$41,0)+IF(H1114="preference",Assumptions!$B$40,0)</f>
        <v/>
      </c>
      <c r="J1114">
        <f>IF(B1114="convert",(Assumptions!$B$4/B1087),0)+IF(C1114="convert",(Assumptions!$B$39+F1087),0)+IF(D1114="convert",(Assumptions!$B$38+E1087),0)+IF(E1114="convert",Assumptions!$B$36,0)+IF(F1114="convert",Assumptions!$B$35,0)+IF(G1114="convert",Assumptions!$B$34,0)+IF(H1114="convert",Assumptions!$B$33,0)</f>
        <v/>
      </c>
      <c r="K1114">
        <f>(Assumptions!$B$46+Assumptions!$B$47+Assumptions!$B$48)+Assumptions!$B$49+(H1087+I1087)+J1114</f>
        <v/>
      </c>
      <c r="L1114">
        <f>(Assumptions!$B$13-I1114+Assumptions!$B$31*Assumptions!$B$10)/(K1114+Assumptions!$B$31)</f>
        <v/>
      </c>
      <c r="M1114">
        <f>IF(L1114&gt;Assumptions!$B$10,"yes","no")</f>
        <v/>
      </c>
      <c r="N1114">
        <f>IF(M1114="yes",L1114,MAX(0,(Assumptions!$B$13-I1114)/K1114))</f>
        <v/>
      </c>
      <c r="O1114">
        <f>IF(M1114="yes",Assumptions!$B$31*(N1114-Assumptions!$B$10),0)</f>
        <v/>
      </c>
    </row>
    <row r="1115">
      <c r="A1115" t="inlineStr">
        <is>
          <t>iter 23</t>
        </is>
      </c>
      <c r="B1115">
        <f>IF(Assumptions!$B$4&gt;(Assumptions!$B$4/B1087)*N1114,"preference","convert")</f>
        <v/>
      </c>
      <c r="C1115">
        <f>IF(Assumptions!$B$45&gt;(Assumptions!$B$39+F1087)*N1114,"preference","convert")</f>
        <v/>
      </c>
      <c r="D1115">
        <f>IF(Assumptions!$B$44&gt;(Assumptions!$B$38+E1087)*N1114,"preference","convert")</f>
        <v/>
      </c>
      <c r="E1115">
        <f>IF(Assumptions!$B$43&gt;Assumptions!$B$36*N1114,"preference","convert")</f>
        <v/>
      </c>
      <c r="F1115">
        <f>IF(Assumptions!$B$42&gt;Assumptions!$B$35*N1114,"preference","convert")</f>
        <v/>
      </c>
      <c r="G1115">
        <f>IF(Assumptions!$B$41&gt;Assumptions!$B$34*N1114,"preference","convert")</f>
        <v/>
      </c>
      <c r="H1115">
        <f>IF(Assumptions!$B$40&gt;Assumptions!$B$33*N1114,"preference","convert")</f>
        <v/>
      </c>
      <c r="I1115">
        <f>IF(B1115="preference",Assumptions!$B$4,0)+IF(C1115="preference",Assumptions!$B$45,0)+IF(D1115="preference",Assumptions!$B$44,0)+IF(E1115="preference",Assumptions!$B$43,0)+IF(F1115="preference",Assumptions!$B$42,0)+IF(G1115="preference",Assumptions!$B$41,0)+IF(H1115="preference",Assumptions!$B$40,0)</f>
        <v/>
      </c>
      <c r="J1115">
        <f>IF(B1115="convert",(Assumptions!$B$4/B1087),0)+IF(C1115="convert",(Assumptions!$B$39+F1087),0)+IF(D1115="convert",(Assumptions!$B$38+E1087),0)+IF(E1115="convert",Assumptions!$B$36,0)+IF(F1115="convert",Assumptions!$B$35,0)+IF(G1115="convert",Assumptions!$B$34,0)+IF(H1115="convert",Assumptions!$B$33,0)</f>
        <v/>
      </c>
      <c r="K1115">
        <f>(Assumptions!$B$46+Assumptions!$B$47+Assumptions!$B$48)+Assumptions!$B$49+(H1087+I1087)+J1115</f>
        <v/>
      </c>
      <c r="L1115">
        <f>(Assumptions!$B$13-I1115+Assumptions!$B$31*Assumptions!$B$10)/(K1115+Assumptions!$B$31)</f>
        <v/>
      </c>
      <c r="M1115">
        <f>IF(L1115&gt;Assumptions!$B$10,"yes","no")</f>
        <v/>
      </c>
      <c r="N1115">
        <f>IF(M1115="yes",L1115,MAX(0,(Assumptions!$B$13-I1115)/K1115))</f>
        <v/>
      </c>
      <c r="O1115">
        <f>IF(M1115="yes",Assumptions!$B$31*(N1115-Assumptions!$B$10),0)</f>
        <v/>
      </c>
    </row>
    <row r="1116">
      <c r="A1116" t="inlineStr">
        <is>
          <t>iter 24</t>
        </is>
      </c>
      <c r="B1116">
        <f>IF(Assumptions!$B$4&gt;(Assumptions!$B$4/B1087)*N1115,"preference","convert")</f>
        <v/>
      </c>
      <c r="C1116">
        <f>IF(Assumptions!$B$45&gt;(Assumptions!$B$39+F1087)*N1115,"preference","convert")</f>
        <v/>
      </c>
      <c r="D1116">
        <f>IF(Assumptions!$B$44&gt;(Assumptions!$B$38+E1087)*N1115,"preference","convert")</f>
        <v/>
      </c>
      <c r="E1116">
        <f>IF(Assumptions!$B$43&gt;Assumptions!$B$36*N1115,"preference","convert")</f>
        <v/>
      </c>
      <c r="F1116">
        <f>IF(Assumptions!$B$42&gt;Assumptions!$B$35*N1115,"preference","convert")</f>
        <v/>
      </c>
      <c r="G1116">
        <f>IF(Assumptions!$B$41&gt;Assumptions!$B$34*N1115,"preference","convert")</f>
        <v/>
      </c>
      <c r="H1116">
        <f>IF(Assumptions!$B$40&gt;Assumptions!$B$33*N1115,"preference","convert")</f>
        <v/>
      </c>
      <c r="I1116">
        <f>IF(B1116="preference",Assumptions!$B$4,0)+IF(C1116="preference",Assumptions!$B$45,0)+IF(D1116="preference",Assumptions!$B$44,0)+IF(E1116="preference",Assumptions!$B$43,0)+IF(F1116="preference",Assumptions!$B$42,0)+IF(G1116="preference",Assumptions!$B$41,0)+IF(H1116="preference",Assumptions!$B$40,0)</f>
        <v/>
      </c>
      <c r="J1116">
        <f>IF(B1116="convert",(Assumptions!$B$4/B1087),0)+IF(C1116="convert",(Assumptions!$B$39+F1087),0)+IF(D1116="convert",(Assumptions!$B$38+E1087),0)+IF(E1116="convert",Assumptions!$B$36,0)+IF(F1116="convert",Assumptions!$B$35,0)+IF(G1116="convert",Assumptions!$B$34,0)+IF(H1116="convert",Assumptions!$B$33,0)</f>
        <v/>
      </c>
      <c r="K1116">
        <f>(Assumptions!$B$46+Assumptions!$B$47+Assumptions!$B$48)+Assumptions!$B$49+(H1087+I1087)+J1116</f>
        <v/>
      </c>
      <c r="L1116">
        <f>(Assumptions!$B$13-I1116+Assumptions!$B$31*Assumptions!$B$10)/(K1116+Assumptions!$B$31)</f>
        <v/>
      </c>
      <c r="M1116">
        <f>IF(L1116&gt;Assumptions!$B$10,"yes","no")</f>
        <v/>
      </c>
      <c r="N1116">
        <f>IF(M1116="yes",L1116,MAX(0,(Assumptions!$B$13-I1116)/K1116))</f>
        <v/>
      </c>
      <c r="O1116">
        <f>IF(M1116="yes",Assumptions!$B$31*(N1116-Assumptions!$B$10),0)</f>
        <v/>
      </c>
    </row>
    <row r="1117">
      <c r="A1117" t="inlineStr">
        <is>
          <t>iter 25</t>
        </is>
      </c>
      <c r="B1117">
        <f>IF(Assumptions!$B$4&gt;(Assumptions!$B$4/B1087)*N1116,"preference","convert")</f>
        <v/>
      </c>
      <c r="C1117">
        <f>IF(Assumptions!$B$45&gt;(Assumptions!$B$39+F1087)*N1116,"preference","convert")</f>
        <v/>
      </c>
      <c r="D1117">
        <f>IF(Assumptions!$B$44&gt;(Assumptions!$B$38+E1087)*N1116,"preference","convert")</f>
        <v/>
      </c>
      <c r="E1117">
        <f>IF(Assumptions!$B$43&gt;Assumptions!$B$36*N1116,"preference","convert")</f>
        <v/>
      </c>
      <c r="F1117">
        <f>IF(Assumptions!$B$42&gt;Assumptions!$B$35*N1116,"preference","convert")</f>
        <v/>
      </c>
      <c r="G1117">
        <f>IF(Assumptions!$B$41&gt;Assumptions!$B$34*N1116,"preference","convert")</f>
        <v/>
      </c>
      <c r="H1117">
        <f>IF(Assumptions!$B$40&gt;Assumptions!$B$33*N1116,"preference","convert")</f>
        <v/>
      </c>
      <c r="I1117">
        <f>IF(B1117="preference",Assumptions!$B$4,0)+IF(C1117="preference",Assumptions!$B$45,0)+IF(D1117="preference",Assumptions!$B$44,0)+IF(E1117="preference",Assumptions!$B$43,0)+IF(F1117="preference",Assumptions!$B$42,0)+IF(G1117="preference",Assumptions!$B$41,0)+IF(H1117="preference",Assumptions!$B$40,0)</f>
        <v/>
      </c>
      <c r="J1117">
        <f>IF(B1117="convert",(Assumptions!$B$4/B1087),0)+IF(C1117="convert",(Assumptions!$B$39+F1087),0)+IF(D1117="convert",(Assumptions!$B$38+E1087),0)+IF(E1117="convert",Assumptions!$B$36,0)+IF(F1117="convert",Assumptions!$B$35,0)+IF(G1117="convert",Assumptions!$B$34,0)+IF(H1117="convert",Assumptions!$B$33,0)</f>
        <v/>
      </c>
      <c r="K1117">
        <f>(Assumptions!$B$46+Assumptions!$B$47+Assumptions!$B$48)+Assumptions!$B$49+(H1087+I1087)+J1117</f>
        <v/>
      </c>
      <c r="L1117">
        <f>(Assumptions!$B$13-I1117+Assumptions!$B$31*Assumptions!$B$10)/(K1117+Assumptions!$B$31)</f>
        <v/>
      </c>
      <c r="M1117">
        <f>IF(L1117&gt;Assumptions!$B$10,"yes","no")</f>
        <v/>
      </c>
      <c r="N1117">
        <f>IF(M1117="yes",L1117,MAX(0,(Assumptions!$B$13-I1117)/K1117))</f>
        <v/>
      </c>
      <c r="O1117">
        <f>IF(M1117="yes",Assumptions!$B$31*(N1117-Assumptions!$B$10),0)</f>
        <v/>
      </c>
    </row>
    <row r="1118">
      <c r="A1118" t="inlineStr">
        <is>
          <t>iter 26</t>
        </is>
      </c>
      <c r="B1118">
        <f>IF(Assumptions!$B$4&gt;(Assumptions!$B$4/B1087)*N1117,"preference","convert")</f>
        <v/>
      </c>
      <c r="C1118">
        <f>IF(Assumptions!$B$45&gt;(Assumptions!$B$39+F1087)*N1117,"preference","convert")</f>
        <v/>
      </c>
      <c r="D1118">
        <f>IF(Assumptions!$B$44&gt;(Assumptions!$B$38+E1087)*N1117,"preference","convert")</f>
        <v/>
      </c>
      <c r="E1118">
        <f>IF(Assumptions!$B$43&gt;Assumptions!$B$36*N1117,"preference","convert")</f>
        <v/>
      </c>
      <c r="F1118">
        <f>IF(Assumptions!$B$42&gt;Assumptions!$B$35*N1117,"preference","convert")</f>
        <v/>
      </c>
      <c r="G1118">
        <f>IF(Assumptions!$B$41&gt;Assumptions!$B$34*N1117,"preference","convert")</f>
        <v/>
      </c>
      <c r="H1118">
        <f>IF(Assumptions!$B$40&gt;Assumptions!$B$33*N1117,"preference","convert")</f>
        <v/>
      </c>
      <c r="I1118">
        <f>IF(B1118="preference",Assumptions!$B$4,0)+IF(C1118="preference",Assumptions!$B$45,0)+IF(D1118="preference",Assumptions!$B$44,0)+IF(E1118="preference",Assumptions!$B$43,0)+IF(F1118="preference",Assumptions!$B$42,0)+IF(G1118="preference",Assumptions!$B$41,0)+IF(H1118="preference",Assumptions!$B$40,0)</f>
        <v/>
      </c>
      <c r="J1118">
        <f>IF(B1118="convert",(Assumptions!$B$4/B1087),0)+IF(C1118="convert",(Assumptions!$B$39+F1087),0)+IF(D1118="convert",(Assumptions!$B$38+E1087),0)+IF(E1118="convert",Assumptions!$B$36,0)+IF(F1118="convert",Assumptions!$B$35,0)+IF(G1118="convert",Assumptions!$B$34,0)+IF(H1118="convert",Assumptions!$B$33,0)</f>
        <v/>
      </c>
      <c r="K1118">
        <f>(Assumptions!$B$46+Assumptions!$B$47+Assumptions!$B$48)+Assumptions!$B$49+(H1087+I1087)+J1118</f>
        <v/>
      </c>
      <c r="L1118">
        <f>(Assumptions!$B$13-I1118+Assumptions!$B$31*Assumptions!$B$10)/(K1118+Assumptions!$B$31)</f>
        <v/>
      </c>
      <c r="M1118">
        <f>IF(L1118&gt;Assumptions!$B$10,"yes","no")</f>
        <v/>
      </c>
      <c r="N1118">
        <f>IF(M1118="yes",L1118,MAX(0,(Assumptions!$B$13-I1118)/K1118))</f>
        <v/>
      </c>
      <c r="O1118">
        <f>IF(M1118="yes",Assumptions!$B$31*(N1118-Assumptions!$B$10),0)</f>
        <v/>
      </c>
    </row>
    <row r="1119">
      <c r="A1119" t="inlineStr">
        <is>
          <t>iter 27</t>
        </is>
      </c>
      <c r="B1119">
        <f>IF(Assumptions!$B$4&gt;(Assumptions!$B$4/B1087)*N1118,"preference","convert")</f>
        <v/>
      </c>
      <c r="C1119">
        <f>IF(Assumptions!$B$45&gt;(Assumptions!$B$39+F1087)*N1118,"preference","convert")</f>
        <v/>
      </c>
      <c r="D1119">
        <f>IF(Assumptions!$B$44&gt;(Assumptions!$B$38+E1087)*N1118,"preference","convert")</f>
        <v/>
      </c>
      <c r="E1119">
        <f>IF(Assumptions!$B$43&gt;Assumptions!$B$36*N1118,"preference","convert")</f>
        <v/>
      </c>
      <c r="F1119">
        <f>IF(Assumptions!$B$42&gt;Assumptions!$B$35*N1118,"preference","convert")</f>
        <v/>
      </c>
      <c r="G1119">
        <f>IF(Assumptions!$B$41&gt;Assumptions!$B$34*N1118,"preference","convert")</f>
        <v/>
      </c>
      <c r="H1119">
        <f>IF(Assumptions!$B$40&gt;Assumptions!$B$33*N1118,"preference","convert")</f>
        <v/>
      </c>
      <c r="I1119">
        <f>IF(B1119="preference",Assumptions!$B$4,0)+IF(C1119="preference",Assumptions!$B$45,0)+IF(D1119="preference",Assumptions!$B$44,0)+IF(E1119="preference",Assumptions!$B$43,0)+IF(F1119="preference",Assumptions!$B$42,0)+IF(G1119="preference",Assumptions!$B$41,0)+IF(H1119="preference",Assumptions!$B$40,0)</f>
        <v/>
      </c>
      <c r="J1119">
        <f>IF(B1119="convert",(Assumptions!$B$4/B1087),0)+IF(C1119="convert",(Assumptions!$B$39+F1087),0)+IF(D1119="convert",(Assumptions!$B$38+E1087),0)+IF(E1119="convert",Assumptions!$B$36,0)+IF(F1119="convert",Assumptions!$B$35,0)+IF(G1119="convert",Assumptions!$B$34,0)+IF(H1119="convert",Assumptions!$B$33,0)</f>
        <v/>
      </c>
      <c r="K1119">
        <f>(Assumptions!$B$46+Assumptions!$B$47+Assumptions!$B$48)+Assumptions!$B$49+(H1087+I1087)+J1119</f>
        <v/>
      </c>
      <c r="L1119">
        <f>(Assumptions!$B$13-I1119+Assumptions!$B$31*Assumptions!$B$10)/(K1119+Assumptions!$B$31)</f>
        <v/>
      </c>
      <c r="M1119">
        <f>IF(L1119&gt;Assumptions!$B$10,"yes","no")</f>
        <v/>
      </c>
      <c r="N1119">
        <f>IF(M1119="yes",L1119,MAX(0,(Assumptions!$B$13-I1119)/K1119))</f>
        <v/>
      </c>
      <c r="O1119">
        <f>IF(M1119="yes",Assumptions!$B$31*(N1119-Assumptions!$B$10),0)</f>
        <v/>
      </c>
    </row>
    <row r="1120">
      <c r="A1120" t="inlineStr">
        <is>
          <t>iter 28</t>
        </is>
      </c>
      <c r="B1120">
        <f>IF(Assumptions!$B$4&gt;(Assumptions!$B$4/B1087)*N1119,"preference","convert")</f>
        <v/>
      </c>
      <c r="C1120">
        <f>IF(Assumptions!$B$45&gt;(Assumptions!$B$39+F1087)*N1119,"preference","convert")</f>
        <v/>
      </c>
      <c r="D1120">
        <f>IF(Assumptions!$B$44&gt;(Assumptions!$B$38+E1087)*N1119,"preference","convert")</f>
        <v/>
      </c>
      <c r="E1120">
        <f>IF(Assumptions!$B$43&gt;Assumptions!$B$36*N1119,"preference","convert")</f>
        <v/>
      </c>
      <c r="F1120">
        <f>IF(Assumptions!$B$42&gt;Assumptions!$B$35*N1119,"preference","convert")</f>
        <v/>
      </c>
      <c r="G1120">
        <f>IF(Assumptions!$B$41&gt;Assumptions!$B$34*N1119,"preference","convert")</f>
        <v/>
      </c>
      <c r="H1120">
        <f>IF(Assumptions!$B$40&gt;Assumptions!$B$33*N1119,"preference","convert")</f>
        <v/>
      </c>
      <c r="I1120">
        <f>IF(B1120="preference",Assumptions!$B$4,0)+IF(C1120="preference",Assumptions!$B$45,0)+IF(D1120="preference",Assumptions!$B$44,0)+IF(E1120="preference",Assumptions!$B$43,0)+IF(F1120="preference",Assumptions!$B$42,0)+IF(G1120="preference",Assumptions!$B$41,0)+IF(H1120="preference",Assumptions!$B$40,0)</f>
        <v/>
      </c>
      <c r="J1120">
        <f>IF(B1120="convert",(Assumptions!$B$4/B1087),0)+IF(C1120="convert",(Assumptions!$B$39+F1087),0)+IF(D1120="convert",(Assumptions!$B$38+E1087),0)+IF(E1120="convert",Assumptions!$B$36,0)+IF(F1120="convert",Assumptions!$B$35,0)+IF(G1120="convert",Assumptions!$B$34,0)+IF(H1120="convert",Assumptions!$B$33,0)</f>
        <v/>
      </c>
      <c r="K1120">
        <f>(Assumptions!$B$46+Assumptions!$B$47+Assumptions!$B$48)+Assumptions!$B$49+(H1087+I1087)+J1120</f>
        <v/>
      </c>
      <c r="L1120">
        <f>(Assumptions!$B$13-I1120+Assumptions!$B$31*Assumptions!$B$10)/(K1120+Assumptions!$B$31)</f>
        <v/>
      </c>
      <c r="M1120">
        <f>IF(L1120&gt;Assumptions!$B$10,"yes","no")</f>
        <v/>
      </c>
      <c r="N1120">
        <f>IF(M1120="yes",L1120,MAX(0,(Assumptions!$B$13-I1120)/K1120))</f>
        <v/>
      </c>
      <c r="O1120">
        <f>IF(M1120="yes",Assumptions!$B$31*(N1120-Assumptions!$B$10),0)</f>
        <v/>
      </c>
    </row>
    <row r="1121">
      <c r="A1121" t="inlineStr">
        <is>
          <t>iter 29</t>
        </is>
      </c>
      <c r="B1121">
        <f>IF(Assumptions!$B$4&gt;(Assumptions!$B$4/B1087)*N1120,"preference","convert")</f>
        <v/>
      </c>
      <c r="C1121">
        <f>IF(Assumptions!$B$45&gt;(Assumptions!$B$39+F1087)*N1120,"preference","convert")</f>
        <v/>
      </c>
      <c r="D1121">
        <f>IF(Assumptions!$B$44&gt;(Assumptions!$B$38+E1087)*N1120,"preference","convert")</f>
        <v/>
      </c>
      <c r="E1121">
        <f>IF(Assumptions!$B$43&gt;Assumptions!$B$36*N1120,"preference","convert")</f>
        <v/>
      </c>
      <c r="F1121">
        <f>IF(Assumptions!$B$42&gt;Assumptions!$B$35*N1120,"preference","convert")</f>
        <v/>
      </c>
      <c r="G1121">
        <f>IF(Assumptions!$B$41&gt;Assumptions!$B$34*N1120,"preference","convert")</f>
        <v/>
      </c>
      <c r="H1121">
        <f>IF(Assumptions!$B$40&gt;Assumptions!$B$33*N1120,"preference","convert")</f>
        <v/>
      </c>
      <c r="I1121">
        <f>IF(B1121="preference",Assumptions!$B$4,0)+IF(C1121="preference",Assumptions!$B$45,0)+IF(D1121="preference",Assumptions!$B$44,0)+IF(E1121="preference",Assumptions!$B$43,0)+IF(F1121="preference",Assumptions!$B$42,0)+IF(G1121="preference",Assumptions!$B$41,0)+IF(H1121="preference",Assumptions!$B$40,0)</f>
        <v/>
      </c>
      <c r="J1121">
        <f>IF(B1121="convert",(Assumptions!$B$4/B1087),0)+IF(C1121="convert",(Assumptions!$B$39+F1087),0)+IF(D1121="convert",(Assumptions!$B$38+E1087),0)+IF(E1121="convert",Assumptions!$B$36,0)+IF(F1121="convert",Assumptions!$B$35,0)+IF(G1121="convert",Assumptions!$B$34,0)+IF(H1121="convert",Assumptions!$B$33,0)</f>
        <v/>
      </c>
      <c r="K1121">
        <f>(Assumptions!$B$46+Assumptions!$B$47+Assumptions!$B$48)+Assumptions!$B$49+(H1087+I1087)+J1121</f>
        <v/>
      </c>
      <c r="L1121">
        <f>(Assumptions!$B$13-I1121+Assumptions!$B$31*Assumptions!$B$10)/(K1121+Assumptions!$B$31)</f>
        <v/>
      </c>
      <c r="M1121">
        <f>IF(L1121&gt;Assumptions!$B$10,"yes","no")</f>
        <v/>
      </c>
      <c r="N1121">
        <f>IF(M1121="yes",L1121,MAX(0,(Assumptions!$B$13-I1121)/K1121))</f>
        <v/>
      </c>
      <c r="O1121">
        <f>IF(M1121="yes",Assumptions!$B$31*(N1121-Assumptions!$B$10),0)</f>
        <v/>
      </c>
    </row>
    <row r="1122">
      <c r="A1122" t="inlineStr">
        <is>
          <t>iter 30</t>
        </is>
      </c>
      <c r="B1122">
        <f>IF(Assumptions!$B$4&gt;(Assumptions!$B$4/B1087)*N1121,"preference","convert")</f>
        <v/>
      </c>
      <c r="C1122">
        <f>IF(Assumptions!$B$45&gt;(Assumptions!$B$39+F1087)*N1121,"preference","convert")</f>
        <v/>
      </c>
      <c r="D1122">
        <f>IF(Assumptions!$B$44&gt;(Assumptions!$B$38+E1087)*N1121,"preference","convert")</f>
        <v/>
      </c>
      <c r="E1122">
        <f>IF(Assumptions!$B$43&gt;Assumptions!$B$36*N1121,"preference","convert")</f>
        <v/>
      </c>
      <c r="F1122">
        <f>IF(Assumptions!$B$42&gt;Assumptions!$B$35*N1121,"preference","convert")</f>
        <v/>
      </c>
      <c r="G1122">
        <f>IF(Assumptions!$B$41&gt;Assumptions!$B$34*N1121,"preference","convert")</f>
        <v/>
      </c>
      <c r="H1122">
        <f>IF(Assumptions!$B$40&gt;Assumptions!$B$33*N1121,"preference","convert")</f>
        <v/>
      </c>
      <c r="I1122">
        <f>IF(B1122="preference",Assumptions!$B$4,0)+IF(C1122="preference",Assumptions!$B$45,0)+IF(D1122="preference",Assumptions!$B$44,0)+IF(E1122="preference",Assumptions!$B$43,0)+IF(F1122="preference",Assumptions!$B$42,0)+IF(G1122="preference",Assumptions!$B$41,0)+IF(H1122="preference",Assumptions!$B$40,0)</f>
        <v/>
      </c>
      <c r="J1122">
        <f>IF(B1122="convert",(Assumptions!$B$4/B1087),0)+IF(C1122="convert",(Assumptions!$B$39+F1087),0)+IF(D1122="convert",(Assumptions!$B$38+E1087),0)+IF(E1122="convert",Assumptions!$B$36,0)+IF(F1122="convert",Assumptions!$B$35,0)+IF(G1122="convert",Assumptions!$B$34,0)+IF(H1122="convert",Assumptions!$B$33,0)</f>
        <v/>
      </c>
      <c r="K1122">
        <f>(Assumptions!$B$46+Assumptions!$B$47+Assumptions!$B$48)+Assumptions!$B$49+(H1087+I1087)+J1122</f>
        <v/>
      </c>
      <c r="L1122">
        <f>(Assumptions!$B$13-I1122+Assumptions!$B$31*Assumptions!$B$10)/(K1122+Assumptions!$B$31)</f>
        <v/>
      </c>
      <c r="M1122">
        <f>IF(L1122&gt;Assumptions!$B$10,"yes","no")</f>
        <v/>
      </c>
      <c r="N1122">
        <f>IF(M1122="yes",L1122,MAX(0,(Assumptions!$B$13-I1122)/K1122))</f>
        <v/>
      </c>
      <c r="O1122">
        <f>IF(M1122="yes",Assumptions!$B$31*(N1122-Assumptions!$B$10),0)</f>
        <v/>
      </c>
    </row>
    <row r="1124">
      <c r="A1124" t="inlineStr">
        <is>
          <t>Our shares (post-F)</t>
        </is>
      </c>
      <c r="B1124">
        <f>(Assumptions!$B$8/B1087)</f>
        <v/>
      </c>
    </row>
    <row r="1125">
      <c r="A1125" t="inlineStr">
        <is>
          <t>Our ownership % (of T_F)</t>
        </is>
      </c>
      <c r="B1125">
        <f>(Assumptions!$B$8/B1087)/K1087</f>
        <v/>
      </c>
    </row>
    <row r="1126">
      <c r="A1126" t="inlineStr">
        <is>
          <t>Our $ proceeds at $2B</t>
        </is>
      </c>
      <c r="B1126">
        <f>IF(B1122="convert",(Assumptions!$B$8/B1087)*N1122,(Assumptions!$B$8/B1087)*B1087)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s="1" t="inlineStr">
        <is>
          <t>Return-Solver — Series F ownership % to return 3x ($30M) and 4x ($40M)</t>
        </is>
      </c>
    </row>
    <row r="5">
      <c r="A5" s="2" t="inlineStr">
        <is>
          <t>Exit</t>
        </is>
      </c>
      <c r="B5" s="2" t="inlineStr">
        <is>
          <t>F election</t>
        </is>
      </c>
      <c r="C5" s="2" t="inlineStr">
        <is>
          <t>Per-F-share value ($)</t>
        </is>
      </c>
      <c r="D5" s="2" t="inlineStr">
        <is>
          <t>F class total proceeds ($)</t>
        </is>
      </c>
      <c r="E5" s="2" t="inlineStr">
        <is>
          <t>F-class ownership % for 3x ($30M)</t>
        </is>
      </c>
      <c r="F5" s="2" t="inlineStr">
        <is>
          <t>F-class ownership % for 4x ($40M)</t>
        </is>
      </c>
      <c r="G5" s="2" t="inlineStr">
        <is>
          <t>3x feasible?</t>
        </is>
      </c>
      <c r="H5" s="2" t="inlineStr">
        <is>
          <t>4x feasible?</t>
        </is>
      </c>
    </row>
    <row r="6">
      <c r="A6">
        <f>Assumptions!$B$11</f>
        <v/>
      </c>
      <c r="B6">
        <f>Waterfall!B48</f>
        <v/>
      </c>
      <c r="C6">
        <f>IF(Waterfall!B48="preference",'Pro-Forma'!$B$4,Waterfall!N48)</f>
        <v/>
      </c>
      <c r="D6">
        <f>(Assumptions!$B$4/'Pro-Forma'!$B$4)*C6</f>
        <v/>
      </c>
      <c r="E6">
        <f>Assumptions!$B$56*Assumptions!$B$8/D6</f>
        <v/>
      </c>
      <c r="F6">
        <f>Assumptions!$B$57*Assumptions!$B$8/D6</f>
        <v/>
      </c>
      <c r="G6">
        <f>IF(OR(E6&lt;=0,E6&gt;1),"INFEASIBLE","feasible")</f>
        <v/>
      </c>
      <c r="H6">
        <f>IF(OR(F6&lt;=0,F6&gt;1),"INFEASIBLE","feasible")</f>
        <v/>
      </c>
    </row>
    <row r="7">
      <c r="A7">
        <f>Assumptions!$B$12</f>
        <v/>
      </c>
      <c r="B7">
        <f>Waterfall!B83</f>
        <v/>
      </c>
      <c r="C7">
        <f>IF(Waterfall!B83="preference",'Pro-Forma'!$B$4,Waterfall!N83)</f>
        <v/>
      </c>
      <c r="D7">
        <f>(Assumptions!$B$4/'Pro-Forma'!$B$4)*C7</f>
        <v/>
      </c>
      <c r="E7">
        <f>Assumptions!$B$56*Assumptions!$B$8/D7</f>
        <v/>
      </c>
      <c r="F7">
        <f>Assumptions!$B$57*Assumptions!$B$8/D7</f>
        <v/>
      </c>
      <c r="G7">
        <f>IF(OR(E7&lt;=0,E7&gt;1),"INFEASIBLE","feasible")</f>
        <v/>
      </c>
      <c r="H7">
        <f>IF(OR(F7&lt;=0,F7&gt;1),"INFEASIBLE","feasible")</f>
        <v/>
      </c>
    </row>
    <row r="8">
      <c r="A8">
        <f>Assumptions!$B$13</f>
        <v/>
      </c>
      <c r="B8">
        <f>Waterfall!B118</f>
        <v/>
      </c>
      <c r="C8">
        <f>IF(Waterfall!B118="preference",'Pro-Forma'!$B$4,Waterfall!N118)</f>
        <v/>
      </c>
      <c r="D8">
        <f>(Assumptions!$B$4/'Pro-Forma'!$B$4)*C8</f>
        <v/>
      </c>
      <c r="E8">
        <f>Assumptions!$B$56*Assumptions!$B$8/D8</f>
        <v/>
      </c>
      <c r="F8">
        <f>Assumptions!$B$57*Assumptions!$B$8/D8</f>
        <v/>
      </c>
      <c r="G8">
        <f>IF(OR(E8&lt;=0,E8&gt;1),"INFEASIBLE","feasible")</f>
        <v/>
      </c>
      <c r="H8">
        <f>IF(OR(F8&lt;=0,F8&gt;1),"INFEASIBLE","feasible")</f>
        <v/>
      </c>
    </row>
    <row r="9">
      <c r="A9">
        <f>Assumptions!$B$14</f>
        <v/>
      </c>
      <c r="B9">
        <f>Waterfall!B153</f>
        <v/>
      </c>
      <c r="C9">
        <f>IF(Waterfall!B153="preference",'Pro-Forma'!$B$4,Waterfall!N153)</f>
        <v/>
      </c>
      <c r="D9">
        <f>(Assumptions!$B$4/'Pro-Forma'!$B$4)*C9</f>
        <v/>
      </c>
      <c r="E9">
        <f>Assumptions!$B$56*Assumptions!$B$8/D9</f>
        <v/>
      </c>
      <c r="F9">
        <f>Assumptions!$B$57*Assumptions!$B$8/D9</f>
        <v/>
      </c>
      <c r="G9">
        <f>IF(OR(E9&lt;=0,E9&gt;1),"INFEASIBLE","feasible")</f>
        <v/>
      </c>
      <c r="H9">
        <f>IF(OR(F9&lt;=0,F9&gt;1),"INFEASIBLE","feasible")</f>
        <v/>
      </c>
    </row>
    <row r="10">
      <c r="A10">
        <f>Assumptions!$B$15</f>
        <v/>
      </c>
      <c r="B10">
        <f>Waterfall!B188</f>
        <v/>
      </c>
      <c r="C10">
        <f>IF(Waterfall!B188="preference",'Pro-Forma'!$B$4,Waterfall!N188)</f>
        <v/>
      </c>
      <c r="D10">
        <f>(Assumptions!$B$4/'Pro-Forma'!$B$4)*C10</f>
        <v/>
      </c>
      <c r="E10">
        <f>Assumptions!$B$56*Assumptions!$B$8/D10</f>
        <v/>
      </c>
      <c r="F10">
        <f>Assumptions!$B$57*Assumptions!$B$8/D10</f>
        <v/>
      </c>
      <c r="G10">
        <f>IF(OR(E10&lt;=0,E10&gt;1),"INFEASIBLE","feasible")</f>
        <v/>
      </c>
      <c r="H10">
        <f>IF(OR(F10&lt;=0,F10&gt;1),"INFEASIBLE","feasible")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2026-04-27T02:30:21Z</dcterms:created>
  <dcterms:modified xmlns:dcterms="http://purl.org/dc/terms/" xmlns:xsi="http://www.w3.org/2001/XMLSchema-instance" xsi:type="dcterms:W3CDTF">2026-04-27T02:30:21Z</dcterms:modified>
</cp:coreProperties>
</file>