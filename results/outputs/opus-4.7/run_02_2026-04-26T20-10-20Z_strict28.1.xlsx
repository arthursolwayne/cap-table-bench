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-Forma" sheetId="2" state="visible" r:id="rId2"/>
    <sheet xmlns:r="http://schemas.openxmlformats.org/officeDocument/2006/relationships" name="Waterfall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turn-Solver" sheetId="5" state="visible" r:id="rId5"/>
  </sheets>
  <definedNames>
    <definedName name="F_pre">'Assumptions'!$B$4</definedName>
    <definedName name="F_primary">'Assumptions'!$B$5</definedName>
    <definedName name="F_secondary">'Assumptions'!$B$6</definedName>
    <definedName name="tender_mult">'Assumptions'!$B$7</definedName>
    <definedName name="esop_target">'Assumptions'!$B$8</definedName>
    <definedName name="our_check">'Assumptions'!$B$9</definedName>
    <definedName name="fl_primary">'Assumptions'!$B$10</definedName>
    <definedName name="opt_strike">'Assumptions'!$B$11</definedName>
    <definedName name="exit_v1">'Assumptions'!$B$13</definedName>
    <definedName name="exit_v2">'Assumptions'!$B$14</definedName>
    <definedName name="exit_v3">'Assumptions'!$B$15</definedName>
    <definedName name="exit_v4">'Assumptions'!$B$16</definedName>
    <definedName name="exit_v5">'Assumptions'!$B$17</definedName>
    <definedName name="OCP_seed">'Assumptions'!$B$19</definedName>
    <definedName name="OCP_A">'Assumptions'!$B$20</definedName>
    <definedName name="OCP_B">'Assumptions'!$B$21</definedName>
    <definedName name="OCP_C">'Assumptions'!$B$22</definedName>
    <definedName name="OCP_D">'Assumptions'!$B$23</definedName>
    <definedName name="OCP_E">'Assumptions'!$B$24</definedName>
    <definedName name="NA_P">'Assumptions'!$B$26</definedName>
    <definedName name="NA_cap">'Assumptions'!$B$27</definedName>
    <definedName name="NA_disc">'Assumptions'!$B$28</definedName>
    <definedName name="NB_P">'Assumptions'!$B$29</definedName>
    <definedName name="NB_cap">'Assumptions'!$B$30</definedName>
    <definedName name="NB_disc">'Assumptions'!$B$31</definedName>
    <definedName name="preF_FD">'Assumptions'!$B$33</definedName>
    <definedName name="preF_opts_iss">'Assumptions'!$B$34</definedName>
    <definedName name="preF_opts_uni">'Assumptions'!$B$35</definedName>
    <definedName name="preF_opts">'Assumptions'!$B$36</definedName>
    <definedName name="F1_sh">'Assumptions'!$B$38</definedName>
    <definedName name="F2_sh">'Assumptions'!$B$39</definedName>
    <definedName name="F3_sh">'Assumptions'!$B$40</definedName>
    <definedName name="RSA_sh">'Assumptions'!$B$41</definedName>
    <definedName name="seed_sh">'Assumptions'!$B$43</definedName>
    <definedName name="A_sh">'Assumptions'!$B$44</definedName>
    <definedName name="B_sh">'Assumptions'!$B$45</definedName>
    <definedName name="C_sh">'Assumptions'!$B$46</definedName>
    <definedName name="D_sh">'Assumptions'!$B$47</definedName>
    <definedName name="E_sh">'Assumptions'!$B$48</definedName>
    <definedName name="seed_inv">'Assumptions'!$B$50</definedName>
    <definedName name="A_inv">'Assumptions'!$B$51</definedName>
    <definedName name="B_inv">'Assumptions'!$B$52</definedName>
    <definedName name="C_inv">'Assumptions'!$B$53</definedName>
    <definedName name="D_inv">'Assumptions'!$B$54</definedName>
    <definedName name="E_inv">'Assumptions'!$B$55</definedName>
    <definedName name="sens_e_lo">'Assumptions'!$B$57</definedName>
    <definedName name="sens_e_md">'Assumptions'!$B$58</definedName>
    <definedName name="sens_e_hi">'Assumptions'!$B$59</definedName>
    <definedName name="sens_p_lo">'Assumptions'!$B$60</definedName>
    <definedName name="sens_p_md">'Assumptions'!$B$61</definedName>
    <definedName name="sens_p_hi">'Assumptions'!$B$62</definedName>
    <definedName name="sens_exit">'Assumptions'!$B$63</definedName>
    <definedName name="ret_3x">'Assumptions'!$B$65</definedName>
    <definedName name="ret_4x">'Assumptions'!$B$66</definedName>
    <definedName name="F_PPS">'Pro-Forma'!$B$4</definedName>
    <definedName name="T_F">'Pro-Forma'!$B$5</definedName>
    <definedName name="T_pre">'Pro-Forma'!$B$6</definedName>
    <definedName name="F_prim_sh">'Pro-Forma'!$B$7</definedName>
    <definedName name="topup">'Pro-Forma'!$B$8</definedName>
    <definedName name="preFD_nn">'Pro-Forma'!$B$9</definedName>
    <definedName name="esop_total">'Pro-Forma'!$B$10</definedName>
    <definedName name="Seed_total">'Pro-Forma'!$G$15</definedName>
    <definedName name="A_total">'Pro-Forma'!$G$16</definedName>
    <definedName name="B_total">'Pro-Forma'!$G$17</definedName>
    <definedName name="C_total">'Pro-Forma'!$G$18</definedName>
    <definedName name="D_total">'Pro-Forma'!$G$19</definedName>
    <definedName name="E_total">'Pro-Forma'!$G$20</definedName>
    <definedName name="extras_D">'Pro-Forma'!$F$19</definedName>
    <definedName name="extras_E">'Pro-Forma'!$F$20</definedName>
    <definedName name="NA_sh">'Pro-Forma'!$I$24</definedName>
    <definedName name="NB_sh">'Pro-Forma'!$I$25</definedName>
    <definedName name="tender_sh">'Pro-Forma'!$B$29</definedName>
    <definedName name="F1_tender">'Pro-Forma'!$B$30</definedName>
    <definedName name="F2_tender">'Pro-Forma'!$B$31</definedName>
    <definedName name="F3_tender">'Pro-Forma'!$B$32</definedName>
    <definedName name="our_own_pct">'Pro-Forma'!$I$52</definedName>
    <definedName name="our_shares">'Pro-Forma'!$H$52</definedName>
    <definedName name="F_LEAD_shares">'Pro-Forma'!$H$51</definedName>
    <definedName name="F_class_shares">'Pro-Forma'!$B$7</definedName>
  </definedNames>
  <calcPr calcId="124519" fullCalcOnLoad="1" iterate="0"/>
</workbook>
</file>

<file path=xl/styles.xml><?xml version="1.0" encoding="utf-8"?>
<styleSheet xmlns="http://schemas.openxmlformats.org/spreadsheetml/2006/main">
  <numFmts count="4">
    <numFmt numFmtId="164" formatCode="0.000000%"/>
    <numFmt numFmtId="165" formatCode="$#,##0"/>
    <numFmt numFmtId="166" formatCode="$#,##0.00"/>
    <numFmt numFmtId="167" formatCode="$#,##0.00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0" borderId="0" pivotButton="0" quotePrefix="0" xfId="0"/>
    <xf numFmtId="165" fontId="2" fillId="2" borderId="0" pivotButton="0" quotePrefix="0" xfId="0"/>
    <xf numFmtId="166" fontId="0" fillId="0" borderId="0" pivotButton="0" quotePrefix="0" xfId="0"/>
    <xf numFmtId="4" fontId="0" fillId="0" borderId="0" pivotButton="0" quotePrefix="0" xfId="0"/>
    <xf numFmtId="10" fontId="2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2" customWidth="1" min="3" max="3"/>
    <col width="18" customWidth="1" min="4" max="4"/>
  </cols>
  <sheetData>
    <row r="1">
      <c r="A1" s="1" t="inlineStr">
        <is>
          <t>Kelvin Dynamics — Series F Assumptions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Units</t>
        </is>
      </c>
      <c r="D2" s="2" t="inlineStr">
        <is>
          <t>Name</t>
        </is>
      </c>
    </row>
    <row r="3">
      <c r="A3" s="3" t="inlineStr">
        <is>
          <t>--- Round Terms ---</t>
        </is>
      </c>
      <c r="B3" s="4" t="n"/>
      <c r="C3" s="4" t="n"/>
      <c r="D3" s="4" t="n"/>
    </row>
    <row r="4">
      <c r="A4" t="inlineStr">
        <is>
          <t>Series F pre-money (USD)</t>
        </is>
      </c>
      <c r="B4" t="n">
        <v>1400000000</v>
      </c>
      <c r="C4" t="inlineStr">
        <is>
          <t>USD</t>
        </is>
      </c>
      <c r="D4" t="inlineStr">
        <is>
          <t>F_pre</t>
        </is>
      </c>
    </row>
    <row r="5">
      <c r="A5" t="inlineStr">
        <is>
          <t>Series F primary raise (USD)</t>
        </is>
      </c>
      <c r="B5" t="n">
        <v>30000000</v>
      </c>
      <c r="C5" t="inlineStr">
        <is>
          <t>USD</t>
        </is>
      </c>
      <c r="D5" t="inlineStr">
        <is>
          <t>F_primary</t>
        </is>
      </c>
    </row>
    <row r="6">
      <c r="A6" t="inlineStr">
        <is>
          <t>Series F secondary raise (USD)</t>
        </is>
      </c>
      <c r="B6" t="n">
        <v>15000000</v>
      </c>
      <c r="C6" t="inlineStr">
        <is>
          <t>USD</t>
        </is>
      </c>
      <c r="D6" t="inlineStr">
        <is>
          <t>F_secondary</t>
        </is>
      </c>
    </row>
    <row r="7">
      <c r="A7" t="inlineStr">
        <is>
          <t>Tender PPS multiplier</t>
        </is>
      </c>
      <c r="B7" t="n">
        <v>0.85</v>
      </c>
      <c r="C7" t="inlineStr">
        <is>
          <t>fraction</t>
        </is>
      </c>
      <c r="D7" t="inlineStr">
        <is>
          <t>tender_mult</t>
        </is>
      </c>
    </row>
    <row r="8">
      <c r="A8" t="inlineStr">
        <is>
          <t>ESOP refresh target (post-F FD)</t>
        </is>
      </c>
      <c r="B8" t="n">
        <v>0.13</v>
      </c>
      <c r="C8" t="inlineStr">
        <is>
          <t>fraction</t>
        </is>
      </c>
      <c r="D8" t="inlineStr">
        <is>
          <t>esop_target</t>
        </is>
      </c>
    </row>
    <row r="9">
      <c r="A9" t="inlineStr">
        <is>
          <t>Our fund check (USD)</t>
        </is>
      </c>
      <c r="B9" t="n">
        <v>10000000</v>
      </c>
      <c r="C9" t="inlineStr">
        <is>
          <t>USD</t>
        </is>
      </c>
      <c r="D9" t="inlineStr">
        <is>
          <t>our_check</t>
        </is>
      </c>
    </row>
    <row r="10">
      <c r="A10" t="inlineStr">
        <is>
          <t>F_LEAD primary check (USD)</t>
        </is>
      </c>
      <c r="B10" t="n">
        <v>20000000</v>
      </c>
      <c r="C10" t="inlineStr">
        <is>
          <t>USD</t>
        </is>
      </c>
      <c r="D10" t="inlineStr">
        <is>
          <t>fl_primary</t>
        </is>
      </c>
    </row>
    <row r="11">
      <c r="A11" t="inlineStr">
        <is>
          <t>Option strike (USD)</t>
        </is>
      </c>
      <c r="B11" t="n">
        <v>1</v>
      </c>
      <c r="C11" t="inlineStr">
        <is>
          <t>USD</t>
        </is>
      </c>
      <c r="D11" t="inlineStr">
        <is>
          <t>opt_strike</t>
        </is>
      </c>
    </row>
    <row r="12">
      <c r="A12" s="3" t="inlineStr">
        <is>
          <t>--- Exit Values ---</t>
        </is>
      </c>
      <c r="B12" s="4" t="n"/>
      <c r="C12" s="4" t="n"/>
      <c r="D12" s="4" t="n"/>
    </row>
    <row r="13">
      <c r="A13" t="inlineStr">
        <is>
          <t>Exit value 1 (USD)</t>
        </is>
      </c>
      <c r="B13" t="n">
        <v>700000000</v>
      </c>
      <c r="C13" t="inlineStr">
        <is>
          <t>USD</t>
        </is>
      </c>
      <c r="D13" t="inlineStr">
        <is>
          <t>exit_v1</t>
        </is>
      </c>
    </row>
    <row r="14">
      <c r="A14" t="inlineStr">
        <is>
          <t>Exit value 2 (USD)</t>
        </is>
      </c>
      <c r="B14" t="n">
        <v>1200000000</v>
      </c>
      <c r="C14" t="inlineStr">
        <is>
          <t>USD</t>
        </is>
      </c>
      <c r="D14" t="inlineStr">
        <is>
          <t>exit_v2</t>
        </is>
      </c>
    </row>
    <row r="15">
      <c r="A15" t="inlineStr">
        <is>
          <t>Exit value 3 (USD)</t>
        </is>
      </c>
      <c r="B15" t="n">
        <v>2000000000</v>
      </c>
      <c r="C15" t="inlineStr">
        <is>
          <t>USD</t>
        </is>
      </c>
      <c r="D15" t="inlineStr">
        <is>
          <t>exit_v3</t>
        </is>
      </c>
    </row>
    <row r="16">
      <c r="A16" t="inlineStr">
        <is>
          <t>Exit value 4 (USD)</t>
        </is>
      </c>
      <c r="B16" t="n">
        <v>4000000000</v>
      </c>
      <c r="C16" t="inlineStr">
        <is>
          <t>USD</t>
        </is>
      </c>
      <c r="D16" t="inlineStr">
        <is>
          <t>exit_v4</t>
        </is>
      </c>
    </row>
    <row r="17">
      <c r="A17" t="inlineStr">
        <is>
          <t>Exit value 5 (USD)</t>
        </is>
      </c>
      <c r="B17" t="n">
        <v>8000000000</v>
      </c>
      <c r="C17" t="inlineStr">
        <is>
          <t>USD</t>
        </is>
      </c>
      <c r="D17" t="inlineStr">
        <is>
          <t>exit_v5</t>
        </is>
      </c>
    </row>
    <row r="18">
      <c r="A18" s="3" t="inlineStr">
        <is>
          <t>--- Prior Round OCPs (effective for AD) ---</t>
        </is>
      </c>
      <c r="B18" s="4" t="n"/>
      <c r="C18" s="4" t="n"/>
      <c r="D18" s="4" t="n"/>
    </row>
    <row r="19">
      <c r="A19" t="inlineStr">
        <is>
          <t>OCP Seed</t>
        </is>
      </c>
      <c r="B19" t="n">
        <v>1</v>
      </c>
      <c r="C19" t="inlineStr">
        <is>
          <t>USD</t>
        </is>
      </c>
      <c r="D19" t="inlineStr">
        <is>
          <t>OCP_seed</t>
        </is>
      </c>
    </row>
    <row r="20">
      <c r="A20" t="inlineStr">
        <is>
          <t>OCP Series A</t>
        </is>
      </c>
      <c r="B20" t="n">
        <v>3</v>
      </c>
      <c r="C20" t="inlineStr">
        <is>
          <t>USD</t>
        </is>
      </c>
      <c r="D20" t="inlineStr">
        <is>
          <t>OCP_A</t>
        </is>
      </c>
    </row>
    <row r="21">
      <c r="A21" t="inlineStr">
        <is>
          <t>OCP Series B</t>
        </is>
      </c>
      <c r="B21" t="n">
        <v>10</v>
      </c>
      <c r="C21" t="inlineStr">
        <is>
          <t>USD</t>
        </is>
      </c>
      <c r="D21" t="inlineStr">
        <is>
          <t>OCP_B</t>
        </is>
      </c>
    </row>
    <row r="22">
      <c r="A22" t="inlineStr">
        <is>
          <t>OCP Series C</t>
        </is>
      </c>
      <c r="B22" t="n">
        <v>25</v>
      </c>
      <c r="C22" t="inlineStr">
        <is>
          <t>USD</t>
        </is>
      </c>
      <c r="D22" t="inlineStr">
        <is>
          <t>OCP_C</t>
        </is>
      </c>
    </row>
    <row r="23">
      <c r="A23" t="inlineStr">
        <is>
          <t>OCP Series D (post-E NCP, compound v3*v4)</t>
        </is>
      </c>
      <c r="B23" t="n">
        <v>58.118347</v>
      </c>
      <c r="C23" t="inlineStr">
        <is>
          <t>USD</t>
        </is>
      </c>
      <c r="D23" t="inlineStr">
        <is>
          <t>OCP_D</t>
        </is>
      </c>
    </row>
    <row r="24">
      <c r="A24" t="inlineStr">
        <is>
          <t>OCP Series E</t>
        </is>
      </c>
      <c r="B24" t="n">
        <v>49.158311</v>
      </c>
      <c r="C24" t="inlineStr">
        <is>
          <t>USD</t>
        </is>
      </c>
      <c r="D24" t="inlineStr">
        <is>
          <t>OCP_E</t>
        </is>
      </c>
    </row>
    <row r="25">
      <c r="A25" s="3" t="inlineStr">
        <is>
          <t>--- Convertible Notes ---</t>
        </is>
      </c>
      <c r="B25" s="4" t="n"/>
      <c r="C25" s="4" t="n"/>
      <c r="D25" s="4" t="n"/>
    </row>
    <row r="26">
      <c r="A26" t="inlineStr">
        <is>
          <t>Note A principal (USD)</t>
        </is>
      </c>
      <c r="B26" t="n">
        <v>5000000</v>
      </c>
      <c r="C26" t="inlineStr">
        <is>
          <t>USD</t>
        </is>
      </c>
      <c r="D26" t="inlineStr">
        <is>
          <t>NA_P</t>
        </is>
      </c>
    </row>
    <row r="27">
      <c r="A27" t="inlineStr">
        <is>
          <t>Note A cap (USD)</t>
        </is>
      </c>
      <c r="B27" t="n">
        <v>1000000000</v>
      </c>
      <c r="C27" t="inlineStr">
        <is>
          <t>USD</t>
        </is>
      </c>
      <c r="D27" t="inlineStr">
        <is>
          <t>NA_cap</t>
        </is>
      </c>
    </row>
    <row r="28">
      <c r="A28" t="inlineStr">
        <is>
          <t>Note A discount</t>
        </is>
      </c>
      <c r="B28" t="n">
        <v>0.2</v>
      </c>
      <c r="C28" t="inlineStr">
        <is>
          <t>fraction</t>
        </is>
      </c>
      <c r="D28" t="inlineStr">
        <is>
          <t>NA_disc</t>
        </is>
      </c>
    </row>
    <row r="29">
      <c r="A29" t="inlineStr">
        <is>
          <t>Note B principal (USD)</t>
        </is>
      </c>
      <c r="B29" t="n">
        <v>3000000</v>
      </c>
      <c r="C29" t="inlineStr">
        <is>
          <t>USD</t>
        </is>
      </c>
      <c r="D29" t="inlineStr">
        <is>
          <t>NB_P</t>
        </is>
      </c>
    </row>
    <row r="30">
      <c r="A30" t="inlineStr">
        <is>
          <t>Note B cap (USD)</t>
        </is>
      </c>
      <c r="B30" t="n">
        <v>1600000000</v>
      </c>
      <c r="C30" t="inlineStr">
        <is>
          <t>USD</t>
        </is>
      </c>
      <c r="D30" t="inlineStr">
        <is>
          <t>NB_cap</t>
        </is>
      </c>
    </row>
    <row r="31">
      <c r="A31" t="inlineStr">
        <is>
          <t>Note B discount</t>
        </is>
      </c>
      <c r="B31" t="n">
        <v>0.15</v>
      </c>
      <c r="C31" t="inlineStr">
        <is>
          <t>fraction</t>
        </is>
      </c>
      <c r="D31" t="inlineStr">
        <is>
          <t>NB_disc</t>
        </is>
      </c>
    </row>
    <row r="32">
      <c r="A32" s="3" t="inlineStr">
        <is>
          <t>--- Pre-F Cap-Table Inputs (broad-based WA) ---</t>
        </is>
      </c>
      <c r="B32" s="4" t="n"/>
      <c r="C32" s="4" t="n"/>
      <c r="D32" s="4" t="n"/>
    </row>
    <row r="33">
      <c r="A33" t="inlineStr">
        <is>
          <t>Pre-F broad-based FD (shares)</t>
        </is>
      </c>
      <c r="B33" t="n">
        <v>36617961</v>
      </c>
      <c r="C33" t="inlineStr">
        <is>
          <t>shares</t>
        </is>
      </c>
      <c r="D33" t="inlineStr">
        <is>
          <t>preF_FD</t>
        </is>
      </c>
    </row>
    <row r="34">
      <c r="A34" t="inlineStr">
        <is>
          <t>Pre-F options issued</t>
        </is>
      </c>
      <c r="B34" t="n">
        <v>2500000</v>
      </c>
      <c r="C34" t="inlineStr">
        <is>
          <t>shares</t>
        </is>
      </c>
      <c r="D34" t="inlineStr">
        <is>
          <t>preF_opts_iss</t>
        </is>
      </c>
    </row>
    <row r="35">
      <c r="A35" t="inlineStr">
        <is>
          <t>Pre-F options unissued</t>
        </is>
      </c>
      <c r="B35" t="n">
        <v>1894667</v>
      </c>
      <c r="C35" t="inlineStr">
        <is>
          <t>shares</t>
        </is>
      </c>
      <c r="D35" t="inlineStr">
        <is>
          <t>preF_opts_uni</t>
        </is>
      </c>
    </row>
    <row r="36">
      <c r="A36" t="inlineStr">
        <is>
          <t>Pre-F option pool total</t>
        </is>
      </c>
      <c r="B36" t="n">
        <v>4394667</v>
      </c>
      <c r="C36" t="inlineStr">
        <is>
          <t>shares</t>
        </is>
      </c>
      <c r="D36" t="inlineStr">
        <is>
          <t>preF_opts</t>
        </is>
      </c>
    </row>
    <row r="37">
      <c r="A37" s="3" t="inlineStr">
        <is>
          <t>--- Founders &amp; RSAs ---</t>
        </is>
      </c>
      <c r="B37" s="4" t="n"/>
      <c r="C37" s="4" t="n"/>
      <c r="D37" s="4" t="n"/>
    </row>
    <row r="38">
      <c r="A38" t="inlineStr">
        <is>
          <t>Founder F1 common shares</t>
        </is>
      </c>
      <c r="B38" t="n">
        <v>4000000</v>
      </c>
      <c r="C38" t="inlineStr">
        <is>
          <t>shares</t>
        </is>
      </c>
      <c r="D38" t="inlineStr">
        <is>
          <t>F1_sh</t>
        </is>
      </c>
    </row>
    <row r="39">
      <c r="A39" t="inlineStr">
        <is>
          <t>Founder F2 common shares</t>
        </is>
      </c>
      <c r="B39" t="n">
        <v>2500000</v>
      </c>
      <c r="C39" t="inlineStr">
        <is>
          <t>shares</t>
        </is>
      </c>
      <c r="D39" t="inlineStr">
        <is>
          <t>F2_sh</t>
        </is>
      </c>
    </row>
    <row r="40">
      <c r="A40" t="inlineStr">
        <is>
          <t>Founder F3 common shares</t>
        </is>
      </c>
      <c r="B40" t="n">
        <v>1500000</v>
      </c>
      <c r="C40" t="inlineStr">
        <is>
          <t>shares</t>
        </is>
      </c>
      <c r="D40" t="inlineStr">
        <is>
          <t>F3_sh</t>
        </is>
      </c>
    </row>
    <row r="41">
      <c r="A41" t="inlineStr">
        <is>
          <t>Employee RSA total shares</t>
        </is>
      </c>
      <c r="B41" t="n">
        <v>1000000</v>
      </c>
      <c r="C41" t="inlineStr">
        <is>
          <t>shares</t>
        </is>
      </c>
      <c r="D41" t="inlineStr">
        <is>
          <t>RSA_sh</t>
        </is>
      </c>
    </row>
    <row r="42">
      <c r="A42" s="3" t="inlineStr">
        <is>
          <t>--- Preferred share counts (post-E, pre-F) ---</t>
        </is>
      </c>
      <c r="B42" s="4" t="n"/>
      <c r="C42" s="4" t="n"/>
      <c r="D42" s="4" t="n"/>
    </row>
    <row r="43">
      <c r="A43" t="inlineStr">
        <is>
          <t>Seed shares</t>
        </is>
      </c>
      <c r="B43" t="n">
        <v>5000000</v>
      </c>
      <c r="C43" t="inlineStr">
        <is>
          <t>shares</t>
        </is>
      </c>
      <c r="D43" t="inlineStr">
        <is>
          <t>seed_sh</t>
        </is>
      </c>
    </row>
    <row r="44">
      <c r="A44" t="inlineStr">
        <is>
          <t>Series A shares</t>
        </is>
      </c>
      <c r="B44" t="n">
        <v>5000000</v>
      </c>
      <c r="C44" t="inlineStr">
        <is>
          <t>shares</t>
        </is>
      </c>
      <c r="D44" t="inlineStr">
        <is>
          <t>A_sh</t>
        </is>
      </c>
    </row>
    <row r="45">
      <c r="A45" t="inlineStr">
        <is>
          <t>Series B shares</t>
        </is>
      </c>
      <c r="B45" t="n">
        <v>3000000</v>
      </c>
      <c r="C45" t="inlineStr">
        <is>
          <t>shares</t>
        </is>
      </c>
      <c r="D45" t="inlineStr">
        <is>
          <t>B_sh</t>
        </is>
      </c>
    </row>
    <row r="46">
      <c r="A46" t="inlineStr">
        <is>
          <t>Series C shares</t>
        </is>
      </c>
      <c r="B46" t="n">
        <v>2400000</v>
      </c>
      <c r="C46" t="inlineStr">
        <is>
          <t>shares</t>
        </is>
      </c>
      <c r="D46" t="inlineStr">
        <is>
          <t>C_sh</t>
        </is>
      </c>
    </row>
    <row r="47">
      <c r="A47" t="inlineStr">
        <is>
          <t>Series D shares (post-E adjusted)</t>
        </is>
      </c>
      <c r="B47" t="n">
        <v>1720627</v>
      </c>
      <c r="C47" t="inlineStr">
        <is>
          <t>shares</t>
        </is>
      </c>
      <c r="D47" t="inlineStr">
        <is>
          <t>D_sh</t>
        </is>
      </c>
    </row>
    <row r="48">
      <c r="A48" t="inlineStr">
        <is>
          <t>Series E shares</t>
        </is>
      </c>
      <c r="B48" t="n">
        <v>6102667</v>
      </c>
      <c r="C48" t="inlineStr">
        <is>
          <t>shares</t>
        </is>
      </c>
      <c r="D48" t="inlineStr">
        <is>
          <t>E_sh</t>
        </is>
      </c>
    </row>
    <row r="49">
      <c r="A49" s="3" t="inlineStr">
        <is>
          <t>--- Series Aggregate Investments ---</t>
        </is>
      </c>
      <c r="B49" s="4" t="n"/>
      <c r="C49" s="4" t="n"/>
      <c r="D49" s="4" t="n"/>
    </row>
    <row r="50">
      <c r="A50" t="inlineStr">
        <is>
          <t>Seed invested</t>
        </is>
      </c>
      <c r="B50" t="n">
        <v>5000000</v>
      </c>
      <c r="C50" t="inlineStr">
        <is>
          <t>USD</t>
        </is>
      </c>
      <c r="D50" t="inlineStr">
        <is>
          <t>seed_inv</t>
        </is>
      </c>
    </row>
    <row r="51">
      <c r="A51" t="inlineStr">
        <is>
          <t>Series A invested</t>
        </is>
      </c>
      <c r="B51" t="n">
        <v>15000000</v>
      </c>
      <c r="C51" t="inlineStr">
        <is>
          <t>USD</t>
        </is>
      </c>
      <c r="D51" t="inlineStr">
        <is>
          <t>A_inv</t>
        </is>
      </c>
    </row>
    <row r="52">
      <c r="A52" t="inlineStr">
        <is>
          <t>Series B invested</t>
        </is>
      </c>
      <c r="B52" t="n">
        <v>30000000</v>
      </c>
      <c r="C52" t="inlineStr">
        <is>
          <t>USD</t>
        </is>
      </c>
      <c r="D52" t="inlineStr">
        <is>
          <t>B_inv</t>
        </is>
      </c>
    </row>
    <row r="53">
      <c r="A53" t="inlineStr">
        <is>
          <t>Series C invested</t>
        </is>
      </c>
      <c r="B53" t="n">
        <v>60000000</v>
      </c>
      <c r="C53" t="inlineStr">
        <is>
          <t>USD</t>
        </is>
      </c>
      <c r="D53" t="inlineStr">
        <is>
          <t>C_inv</t>
        </is>
      </c>
    </row>
    <row r="54">
      <c r="A54" t="inlineStr">
        <is>
          <t>Series D invested</t>
        </is>
      </c>
      <c r="B54" t="n">
        <v>100000000</v>
      </c>
      <c r="C54" t="inlineStr">
        <is>
          <t>USD</t>
        </is>
      </c>
      <c r="D54" t="inlineStr">
        <is>
          <t>D_inv</t>
        </is>
      </c>
    </row>
    <row r="55">
      <c r="A55" t="inlineStr">
        <is>
          <t>Series E invested</t>
        </is>
      </c>
      <c r="B55" t="n">
        <v>300000000</v>
      </c>
      <c r="C55" t="inlineStr">
        <is>
          <t>USD</t>
        </is>
      </c>
      <c r="D55" t="inlineStr">
        <is>
          <t>E_inv</t>
        </is>
      </c>
    </row>
    <row r="56">
      <c r="A56" s="3" t="inlineStr">
        <is>
          <t>--- Sensitivity grid axes ---</t>
        </is>
      </c>
      <c r="B56" s="4" t="n"/>
      <c r="C56" s="4" t="n"/>
      <c r="D56" s="4" t="n"/>
    </row>
    <row r="57">
      <c r="A57" t="inlineStr">
        <is>
          <t>Sens ESOP low</t>
        </is>
      </c>
      <c r="B57" t="n">
        <v>0.11</v>
      </c>
      <c r="C57" t="inlineStr">
        <is>
          <t>fraction</t>
        </is>
      </c>
      <c r="D57" t="inlineStr">
        <is>
          <t>sens_e_lo</t>
        </is>
      </c>
    </row>
    <row r="58">
      <c r="A58" t="inlineStr">
        <is>
          <t>Sens ESOP base</t>
        </is>
      </c>
      <c r="B58" t="n">
        <v>0.13</v>
      </c>
      <c r="C58" t="inlineStr">
        <is>
          <t>fraction</t>
        </is>
      </c>
      <c r="D58" t="inlineStr">
        <is>
          <t>sens_e_md</t>
        </is>
      </c>
    </row>
    <row r="59">
      <c r="A59" t="inlineStr">
        <is>
          <t>Sens ESOP high</t>
        </is>
      </c>
      <c r="B59" t="n">
        <v>0.15</v>
      </c>
      <c r="C59" t="inlineStr">
        <is>
          <t>fraction</t>
        </is>
      </c>
      <c r="D59" t="inlineStr">
        <is>
          <t>sens_e_hi</t>
        </is>
      </c>
    </row>
    <row r="60">
      <c r="A60" t="inlineStr">
        <is>
          <t>Sens pre-money low</t>
        </is>
      </c>
      <c r="B60" t="n">
        <v>1200000000</v>
      </c>
      <c r="C60" t="inlineStr">
        <is>
          <t>USD</t>
        </is>
      </c>
      <c r="D60" t="inlineStr">
        <is>
          <t>sens_p_lo</t>
        </is>
      </c>
    </row>
    <row r="61">
      <c r="A61" t="inlineStr">
        <is>
          <t>Sens pre-money base</t>
        </is>
      </c>
      <c r="B61" t="n">
        <v>1400000000</v>
      </c>
      <c r="C61" t="inlineStr">
        <is>
          <t>USD</t>
        </is>
      </c>
      <c r="D61" t="inlineStr">
        <is>
          <t>sens_p_md</t>
        </is>
      </c>
    </row>
    <row r="62">
      <c r="A62" t="inlineStr">
        <is>
          <t>Sens pre-money high</t>
        </is>
      </c>
      <c r="B62" t="n">
        <v>1800000000</v>
      </c>
      <c r="C62" t="inlineStr">
        <is>
          <t>USD</t>
        </is>
      </c>
      <c r="D62" t="inlineStr">
        <is>
          <t>sens_p_hi</t>
        </is>
      </c>
    </row>
    <row r="63">
      <c r="A63" t="inlineStr">
        <is>
          <t>Sens reference exit</t>
        </is>
      </c>
      <c r="B63" t="n">
        <v>2000000000</v>
      </c>
      <c r="C63" t="inlineStr">
        <is>
          <t>USD</t>
        </is>
      </c>
      <c r="D63" t="inlineStr">
        <is>
          <t>sens_exit</t>
        </is>
      </c>
    </row>
    <row r="64">
      <c r="A64" s="3" t="inlineStr">
        <is>
          <t>--- Return-solver targets ---</t>
        </is>
      </c>
      <c r="B64" s="4" t="n"/>
      <c r="C64" s="4" t="n"/>
      <c r="D64" s="4" t="n"/>
    </row>
    <row r="65">
      <c r="A65" t="inlineStr">
        <is>
          <t>Return multiple 3x</t>
        </is>
      </c>
      <c r="B65" t="n">
        <v>3</v>
      </c>
      <c r="C65" t="inlineStr">
        <is>
          <t>multiple</t>
        </is>
      </c>
      <c r="D65" t="inlineStr">
        <is>
          <t>ret_3x</t>
        </is>
      </c>
    </row>
    <row r="66">
      <c r="A66" t="inlineStr">
        <is>
          <t>Return multiple 4x</t>
        </is>
      </c>
      <c r="B66" t="n">
        <v>4</v>
      </c>
      <c r="C66" t="inlineStr">
        <is>
          <t>multiple</t>
        </is>
      </c>
      <c r="D66" t="inlineStr">
        <is>
          <t>ret_4x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</cols>
  <sheetData>
    <row r="1">
      <c r="A1" s="1" t="inlineStr">
        <is>
          <t>Pro-Forma Cap Table (Post-Series F)</t>
        </is>
      </c>
    </row>
    <row r="3">
      <c r="A3" s="3" t="inlineStr">
        <is>
          <t>ROUND MECHANICS (converged)</t>
        </is>
      </c>
    </row>
    <row r="4">
      <c r="A4" t="inlineStr">
        <is>
          <t>F_PPS</t>
        </is>
      </c>
      <c r="B4">
        <f>N134</f>
        <v/>
      </c>
    </row>
    <row r="5">
      <c r="A5" t="inlineStr">
        <is>
          <t>T_F (post-F FD)</t>
        </is>
      </c>
      <c r="B5">
        <f>I134+J134+K134+L134</f>
        <v/>
      </c>
    </row>
    <row r="6">
      <c r="A6" t="inlineStr">
        <is>
          <t>T_pre (pre-money FD)</t>
        </is>
      </c>
      <c r="B6">
        <f>M134</f>
        <v/>
      </c>
    </row>
    <row r="7">
      <c r="A7" t="inlineStr">
        <is>
          <t>F_primary shares</t>
        </is>
      </c>
      <c r="B7">
        <f>L134</f>
        <v/>
      </c>
    </row>
    <row r="8">
      <c r="A8" t="inlineStr">
        <is>
          <t>ESOP top-up shares</t>
        </is>
      </c>
      <c r="B8">
        <f>H134</f>
        <v/>
      </c>
    </row>
    <row r="9">
      <c r="A9" t="inlineStr">
        <is>
          <t>Pre-money FD ex-notes</t>
        </is>
      </c>
      <c r="B9">
        <f>I134</f>
        <v/>
      </c>
    </row>
    <row r="10">
      <c r="A10" t="inlineStr">
        <is>
          <t>ESOP total post-F</t>
        </is>
      </c>
      <c r="B10">
        <f>preF_opts + H134</f>
        <v/>
      </c>
    </row>
    <row r="11">
      <c r="A11" t="inlineStr">
        <is>
          <t>Iteration converged at row</t>
        </is>
      </c>
      <c r="B11" t="n">
        <v>134</v>
      </c>
    </row>
    <row r="13">
      <c r="A13" s="3" t="inlineStr">
        <is>
          <t>ANTI-DILUTION BLOCK (broad-based WA)</t>
        </is>
      </c>
    </row>
    <row r="14">
      <c r="A14" s="2" t="inlineStr">
        <is>
          <t>Class</t>
        </is>
      </c>
      <c r="B14" s="2" t="inlineStr">
        <is>
          <t>OCP</t>
        </is>
      </c>
      <c r="C14" s="2" t="inlineStr">
        <is>
          <t>Trigger</t>
        </is>
      </c>
      <c r="D14" s="2" t="inlineStr">
        <is>
          <t>NCP</t>
        </is>
      </c>
      <c r="E14" s="2" t="inlineStr">
        <is>
          <t>New Ratio</t>
        </is>
      </c>
      <c r="F14" s="2" t="inlineStr">
        <is>
          <t>Extras</t>
        </is>
      </c>
      <c r="G14" s="2" t="inlineStr">
        <is>
          <t>Total post-AD</t>
        </is>
      </c>
    </row>
    <row r="15">
      <c r="A15" t="inlineStr">
        <is>
          <t>Seed</t>
        </is>
      </c>
      <c r="B15">
        <f>OCP_seed</f>
        <v/>
      </c>
      <c r="C15">
        <f>IF(F_PPS&lt;OCP_seed,"YES","NO")</f>
        <v/>
      </c>
      <c r="D15">
        <f>IF(F_PPS&lt;OCP_seed, OCP_seed*(preF_FD + F_primary/OCP_seed)/(preF_FD + F_primary/F_PPS), OCP_seed)</f>
        <v/>
      </c>
      <c r="E15">
        <f>OCP_seed/D15</f>
        <v/>
      </c>
      <c r="F15">
        <f>seed_sh*(E15-1)</f>
        <v/>
      </c>
      <c r="G15">
        <f>seed_sh*E15</f>
        <v/>
      </c>
    </row>
    <row r="16">
      <c r="A16" t="inlineStr">
        <is>
          <t>Series A</t>
        </is>
      </c>
      <c r="B16">
        <f>OCP_A</f>
        <v/>
      </c>
      <c r="C16">
        <f>IF(F_PPS&lt;OCP_A,"YES","NO")</f>
        <v/>
      </c>
      <c r="D16">
        <f>IF(F_PPS&lt;OCP_A, OCP_A*(preF_FD + F_primary/OCP_A)/(preF_FD + F_primary/F_PPS), OCP_A)</f>
        <v/>
      </c>
      <c r="E16">
        <f>OCP_A/D16</f>
        <v/>
      </c>
      <c r="F16">
        <f>A_sh*(E16-1)</f>
        <v/>
      </c>
      <c r="G16">
        <f>A_sh*E16</f>
        <v/>
      </c>
    </row>
    <row r="17">
      <c r="A17" t="inlineStr">
        <is>
          <t>Series B</t>
        </is>
      </c>
      <c r="B17">
        <f>OCP_B</f>
        <v/>
      </c>
      <c r="C17">
        <f>IF(F_PPS&lt;OCP_B,"YES","NO")</f>
        <v/>
      </c>
      <c r="D17">
        <f>IF(F_PPS&lt;OCP_B, OCP_B*(preF_FD + F_primary/OCP_B)/(preF_FD + F_primary/F_PPS), OCP_B)</f>
        <v/>
      </c>
      <c r="E17">
        <f>OCP_B/D17</f>
        <v/>
      </c>
      <c r="F17">
        <f>B_sh*(E17-1)</f>
        <v/>
      </c>
      <c r="G17">
        <f>B_sh*E17</f>
        <v/>
      </c>
    </row>
    <row r="18">
      <c r="A18" t="inlineStr">
        <is>
          <t>Series C</t>
        </is>
      </c>
      <c r="B18">
        <f>OCP_C</f>
        <v/>
      </c>
      <c r="C18">
        <f>IF(F_PPS&lt;OCP_C,"YES","NO")</f>
        <v/>
      </c>
      <c r="D18">
        <f>IF(F_PPS&lt;OCP_C, OCP_C*(preF_FD + F_primary/OCP_C)/(preF_FD + F_primary/F_PPS), OCP_C)</f>
        <v/>
      </c>
      <c r="E18">
        <f>OCP_C/D18</f>
        <v/>
      </c>
      <c r="F18">
        <f>C_sh*(E18-1)</f>
        <v/>
      </c>
      <c r="G18">
        <f>C_sh*E18</f>
        <v/>
      </c>
    </row>
    <row r="19">
      <c r="A19" t="inlineStr">
        <is>
          <t>Series D</t>
        </is>
      </c>
      <c r="B19">
        <f>OCP_D</f>
        <v/>
      </c>
      <c r="C19">
        <f>IF(F_PPS&lt;OCP_D,"YES","NO")</f>
        <v/>
      </c>
      <c r="D19">
        <f>IF(F_PPS&lt;OCP_D, OCP_D*(preF_FD + F_primary/OCP_D)/(preF_FD + F_primary/F_PPS), OCP_D)</f>
        <v/>
      </c>
      <c r="E19">
        <f>OCP_D/D19</f>
        <v/>
      </c>
      <c r="F19">
        <f>D_sh*(E19-1)</f>
        <v/>
      </c>
      <c r="G19">
        <f>D_sh*E19</f>
        <v/>
      </c>
    </row>
    <row r="20">
      <c r="A20" t="inlineStr">
        <is>
          <t>Series E</t>
        </is>
      </c>
      <c r="B20">
        <f>OCP_E</f>
        <v/>
      </c>
      <c r="C20">
        <f>IF(F_PPS&lt;OCP_E,"YES","NO")</f>
        <v/>
      </c>
      <c r="D20">
        <f>IF(F_PPS&lt;OCP_E, OCP_E*(preF_FD + F_primary/OCP_E)/(preF_FD + F_primary/F_PPS), OCP_E)</f>
        <v/>
      </c>
      <c r="E20">
        <f>OCP_E/D20</f>
        <v/>
      </c>
      <c r="F20">
        <f>E_sh*(E20-1)</f>
        <v/>
      </c>
      <c r="G20">
        <f>E_sh*E20</f>
        <v/>
      </c>
    </row>
    <row r="22">
      <c r="A22" s="3" t="inlineStr">
        <is>
          <t>CONVERTIBLE NOTES BLOCK</t>
        </is>
      </c>
    </row>
    <row r="23">
      <c r="A23" s="2" t="inlineStr">
        <is>
          <t>Note</t>
        </is>
      </c>
      <c r="B23" s="2" t="inlineStr">
        <is>
          <t>Principal</t>
        </is>
      </c>
      <c r="C23" s="2" t="inlineStr">
        <is>
          <t>Cap</t>
        </is>
      </c>
      <c r="D23" s="2" t="inlineStr">
        <is>
          <t>Discount</t>
        </is>
      </c>
      <c r="E23" s="2" t="inlineStr">
        <is>
          <t>Cap-impl PPS</t>
        </is>
      </c>
      <c r="F23" s="2" t="inlineStr">
        <is>
          <t>Disc-impl PPS</t>
        </is>
      </c>
      <c r="G23" s="2" t="inlineStr">
        <is>
          <t>Conv PPS</t>
        </is>
      </c>
      <c r="H23" s="2" t="inlineStr">
        <is>
          <t>Branch</t>
        </is>
      </c>
      <c r="I23" s="2" t="inlineStr">
        <is>
          <t>Shares</t>
        </is>
      </c>
    </row>
    <row r="24">
      <c r="A24" t="inlineStr">
        <is>
          <t>Note A</t>
        </is>
      </c>
      <c r="B24">
        <f>NA_P</f>
        <v/>
      </c>
      <c r="C24">
        <f>NA_cap</f>
        <v/>
      </c>
      <c r="D24">
        <f>NA_disc</f>
        <v/>
      </c>
      <c r="E24">
        <f>NA_cap/(preFD_nn + K134)</f>
        <v/>
      </c>
      <c r="F24">
        <f>(1-NA_disc)*F_PPS</f>
        <v/>
      </c>
      <c r="G24">
        <f>MIN(E24,F24)</f>
        <v/>
      </c>
      <c r="H24">
        <f>IF(E24&lt;F24,"cap","discount")</f>
        <v/>
      </c>
      <c r="I24">
        <f>NA_P/G24</f>
        <v/>
      </c>
    </row>
    <row r="25">
      <c r="A25" t="inlineStr">
        <is>
          <t>Note B</t>
        </is>
      </c>
      <c r="B25">
        <f>NB_P</f>
        <v/>
      </c>
      <c r="C25">
        <f>NB_cap</f>
        <v/>
      </c>
      <c r="D25">
        <f>NB_disc</f>
        <v/>
      </c>
      <c r="E25">
        <f>NB_cap/(preFD_nn + I24)</f>
        <v/>
      </c>
      <c r="F25">
        <f>(1-NB_disc)*F_PPS</f>
        <v/>
      </c>
      <c r="G25">
        <f>MIN(E25,F25)</f>
        <v/>
      </c>
      <c r="H25">
        <f>IF(E25&lt;F25,"cap","discount")</f>
        <v/>
      </c>
      <c r="I25">
        <f>NB_P/G25</f>
        <v/>
      </c>
    </row>
    <row r="27">
      <c r="A27" s="3" t="inlineStr">
        <is>
          <t>TENDER BLOCK</t>
        </is>
      </c>
    </row>
    <row r="28">
      <c r="A28" t="inlineStr">
        <is>
          <t>Tender PPS</t>
        </is>
      </c>
      <c r="B28">
        <f>tender_mult * F_PPS</f>
        <v/>
      </c>
    </row>
    <row r="29">
      <c r="A29" t="inlineStr">
        <is>
          <t>Tender shares</t>
        </is>
      </c>
      <c r="B29">
        <f>F_secondary / B28</f>
        <v/>
      </c>
    </row>
    <row r="30">
      <c r="A30" t="inlineStr">
        <is>
          <t>F1 founders share-out</t>
        </is>
      </c>
      <c r="B30">
        <f>B29 * F1_sh/(F1_sh+F2_sh+F3_sh)</f>
        <v/>
      </c>
    </row>
    <row r="31">
      <c r="A31" t="inlineStr">
        <is>
          <t>F2 founders share-out</t>
        </is>
      </c>
      <c r="B31">
        <f>B29 * F2_sh/(F1_sh+F2_sh+F3_sh)</f>
        <v/>
      </c>
    </row>
    <row r="32">
      <c r="A32" t="inlineStr">
        <is>
          <t>F3 founders share-out</t>
        </is>
      </c>
      <c r="B32">
        <f>B29 * F3_sh/(F1_sh+F2_sh+F3_sh)</f>
        <v/>
      </c>
    </row>
    <row r="33">
      <c r="A33" t="inlineStr">
        <is>
          <t>F_LEAD secondary common</t>
        </is>
      </c>
      <c r="B33">
        <f>B29</f>
        <v/>
      </c>
    </row>
    <row r="35">
      <c r="A35" s="3" t="inlineStr">
        <is>
          <t>STAKEHOLDER OWNERSHIP</t>
        </is>
      </c>
    </row>
    <row r="36">
      <c r="A36" s="2" t="inlineStr">
        <is>
          <t>Stakeholder</t>
        </is>
      </c>
      <c r="B36" s="2" t="inlineStr">
        <is>
          <t>Role</t>
        </is>
      </c>
      <c r="C36" s="2" t="inlineStr">
        <is>
          <t>Common</t>
        </is>
      </c>
      <c r="D36" s="2" t="inlineStr">
        <is>
          <t>Preferred</t>
        </is>
      </c>
      <c r="E36" s="2" t="inlineStr">
        <is>
          <t>Options (issued)</t>
        </is>
      </c>
      <c r="F36" s="2" t="inlineStr">
        <is>
          <t>Options (unissued)</t>
        </is>
      </c>
      <c r="G36" s="2" t="inlineStr">
        <is>
          <t>Notes-converted</t>
        </is>
      </c>
      <c r="H36" s="2" t="inlineStr">
        <is>
          <t>Total</t>
        </is>
      </c>
      <c r="I36" s="2" t="inlineStr">
        <is>
          <t>% of T_F</t>
        </is>
      </c>
    </row>
    <row r="37">
      <c r="A37" t="inlineStr">
        <is>
          <t>F1</t>
        </is>
      </c>
      <c r="B37" t="inlineStr">
        <is>
          <t>Founder (CEO)</t>
        </is>
      </c>
      <c r="C37">
        <f>F1_sh - F1_tender</f>
        <v/>
      </c>
      <c r="D37">
        <f>0</f>
        <v/>
      </c>
      <c r="E37">
        <f>0</f>
        <v/>
      </c>
      <c r="F37">
        <f>0</f>
        <v/>
      </c>
      <c r="G37">
        <f>0</f>
        <v/>
      </c>
      <c r="H37">
        <f>SUM(C37:G37)</f>
        <v/>
      </c>
      <c r="I37" s="5">
        <f>H37/T_F</f>
        <v/>
      </c>
    </row>
    <row r="38">
      <c r="A38" t="inlineStr">
        <is>
          <t>F2</t>
        </is>
      </c>
      <c r="B38" t="inlineStr">
        <is>
          <t>Founder (CTO)</t>
        </is>
      </c>
      <c r="C38">
        <f>F2_sh - F2_tender</f>
        <v/>
      </c>
      <c r="D38">
        <f>0</f>
        <v/>
      </c>
      <c r="E38">
        <f>0</f>
        <v/>
      </c>
      <c r="F38">
        <f>0</f>
        <v/>
      </c>
      <c r="G38">
        <f>0</f>
        <v/>
      </c>
      <c r="H38">
        <f>SUM(C38:G38)</f>
        <v/>
      </c>
      <c r="I38" s="5">
        <f>H38/T_F</f>
        <v/>
      </c>
    </row>
    <row r="39">
      <c r="A39" t="inlineStr">
        <is>
          <t>F3</t>
        </is>
      </c>
      <c r="B39" t="inlineStr">
        <is>
          <t>Founder (Chief Sci.)</t>
        </is>
      </c>
      <c r="C39">
        <f>F3_sh - F3_tender</f>
        <v/>
      </c>
      <c r="D39">
        <f>0</f>
        <v/>
      </c>
      <c r="E39">
        <f>0</f>
        <v/>
      </c>
      <c r="F39">
        <f>0</f>
        <v/>
      </c>
      <c r="G39">
        <f>0</f>
        <v/>
      </c>
      <c r="H39">
        <f>SUM(C39:G39)</f>
        <v/>
      </c>
      <c r="I39" s="5">
        <f>H39/T_F</f>
        <v/>
      </c>
    </row>
    <row r="40">
      <c r="A40" t="inlineStr">
        <is>
          <t>RSAs (E1-E10)</t>
        </is>
      </c>
      <c r="B40" t="inlineStr">
        <is>
          <t>Employee RSAs (10 holders)</t>
        </is>
      </c>
      <c r="C40">
        <f>RSA_sh</f>
        <v/>
      </c>
      <c r="D40">
        <f>0</f>
        <v/>
      </c>
      <c r="E40">
        <f>0</f>
        <v/>
      </c>
      <c r="F40">
        <f>0</f>
        <v/>
      </c>
      <c r="G40">
        <f>0</f>
        <v/>
      </c>
      <c r="H40">
        <f>SUM(C40:G40)</f>
        <v/>
      </c>
      <c r="I40" s="5">
        <f>H40/T_F</f>
        <v/>
      </c>
    </row>
    <row r="41">
      <c r="A41" t="inlineStr">
        <is>
          <t>ESOP issued</t>
        </is>
      </c>
      <c r="B41" t="inlineStr">
        <is>
          <t>Issued options</t>
        </is>
      </c>
      <c r="C41">
        <f>0</f>
        <v/>
      </c>
      <c r="D41">
        <f>0</f>
        <v/>
      </c>
      <c r="E41">
        <f>preF_opts_iss</f>
        <v/>
      </c>
      <c r="F41">
        <f>0</f>
        <v/>
      </c>
      <c r="G41">
        <f>0</f>
        <v/>
      </c>
      <c r="H41">
        <f>SUM(C41:G41)</f>
        <v/>
      </c>
      <c r="I41" s="5">
        <f>H41/T_F</f>
        <v/>
      </c>
    </row>
    <row r="42">
      <c r="A42" t="inlineStr">
        <is>
          <t>ESOP unissued</t>
        </is>
      </c>
      <c r="B42" t="inlineStr">
        <is>
          <t>Unissued option pool (post-F)</t>
        </is>
      </c>
      <c r="C42">
        <f>0</f>
        <v/>
      </c>
      <c r="D42">
        <f>0</f>
        <v/>
      </c>
      <c r="E42">
        <f>0</f>
        <v/>
      </c>
      <c r="F42">
        <f>preF_opts_uni + topup</f>
        <v/>
      </c>
      <c r="G42">
        <f>0</f>
        <v/>
      </c>
      <c r="H42">
        <f>SUM(C42:G42)</f>
        <v/>
      </c>
      <c r="I42" s="5">
        <f>H42/T_F</f>
        <v/>
      </c>
    </row>
    <row r="43">
      <c r="A43" t="inlineStr">
        <is>
          <t>SEED1</t>
        </is>
      </c>
      <c r="B43" t="inlineStr">
        <is>
          <t>Seed preferred LP</t>
        </is>
      </c>
      <c r="C43">
        <f>0</f>
        <v/>
      </c>
      <c r="D43">
        <f>Seed_total</f>
        <v/>
      </c>
      <c r="E43">
        <f>0</f>
        <v/>
      </c>
      <c r="F43">
        <f>0</f>
        <v/>
      </c>
      <c r="G43">
        <f>0</f>
        <v/>
      </c>
      <c r="H43">
        <f>SUM(C43:G43)</f>
        <v/>
      </c>
      <c r="I43" s="5">
        <f>H43/T_F</f>
        <v/>
      </c>
    </row>
    <row r="44">
      <c r="A44" t="inlineStr">
        <is>
          <t>A1</t>
        </is>
      </c>
      <c r="B44" t="inlineStr">
        <is>
          <t>Series A preferred</t>
        </is>
      </c>
      <c r="C44">
        <f>0</f>
        <v/>
      </c>
      <c r="D44">
        <f>A_total</f>
        <v/>
      </c>
      <c r="E44">
        <f>0</f>
        <v/>
      </c>
      <c r="F44">
        <f>0</f>
        <v/>
      </c>
      <c r="G44">
        <f>0</f>
        <v/>
      </c>
      <c r="H44">
        <f>SUM(C44:G44)</f>
        <v/>
      </c>
      <c r="I44" s="5">
        <f>H44/T_F</f>
        <v/>
      </c>
    </row>
    <row r="45">
      <c r="A45" t="inlineStr">
        <is>
          <t>B1</t>
        </is>
      </c>
      <c r="B45" t="inlineStr">
        <is>
          <t>Series B preferred</t>
        </is>
      </c>
      <c r="C45">
        <f>0</f>
        <v/>
      </c>
      <c r="D45">
        <f>B_total</f>
        <v/>
      </c>
      <c r="E45">
        <f>0</f>
        <v/>
      </c>
      <c r="F45">
        <f>0</f>
        <v/>
      </c>
      <c r="G45">
        <f>0</f>
        <v/>
      </c>
      <c r="H45">
        <f>SUM(C45:G45)</f>
        <v/>
      </c>
      <c r="I45" s="5">
        <f>H45/T_F</f>
        <v/>
      </c>
    </row>
    <row r="46">
      <c r="A46" t="inlineStr">
        <is>
          <t>C1</t>
        </is>
      </c>
      <c r="B46" t="inlineStr">
        <is>
          <t>Series C preferred</t>
        </is>
      </c>
      <c r="C46">
        <f>0</f>
        <v/>
      </c>
      <c r="D46">
        <f>C_total</f>
        <v/>
      </c>
      <c r="E46">
        <f>0</f>
        <v/>
      </c>
      <c r="F46">
        <f>0</f>
        <v/>
      </c>
      <c r="G46">
        <f>0</f>
        <v/>
      </c>
      <c r="H46">
        <f>SUM(C46:G46)</f>
        <v/>
      </c>
      <c r="I46" s="5">
        <f>H46/T_F</f>
        <v/>
      </c>
    </row>
    <row r="47">
      <c r="A47" t="inlineStr">
        <is>
          <t>D1</t>
        </is>
      </c>
      <c r="B47" t="inlineStr">
        <is>
          <t>Series D preferred</t>
        </is>
      </c>
      <c r="C47">
        <f>0</f>
        <v/>
      </c>
      <c r="D47">
        <f>D_total</f>
        <v/>
      </c>
      <c r="E47">
        <f>0</f>
        <v/>
      </c>
      <c r="F47">
        <f>0</f>
        <v/>
      </c>
      <c r="G47">
        <f>0</f>
        <v/>
      </c>
      <c r="H47">
        <f>SUM(C47:G47)</f>
        <v/>
      </c>
      <c r="I47" s="5">
        <f>H47/T_F</f>
        <v/>
      </c>
    </row>
    <row r="48">
      <c r="A48" t="inlineStr">
        <is>
          <t>Series E LPs (E1_INV-E10_INV)</t>
        </is>
      </c>
      <c r="B48" t="inlineStr">
        <is>
          <t>Series E preferred (10 holders)</t>
        </is>
      </c>
      <c r="C48">
        <f>0</f>
        <v/>
      </c>
      <c r="D48">
        <f>E_total</f>
        <v/>
      </c>
      <c r="E48">
        <f>0</f>
        <v/>
      </c>
      <c r="F48">
        <f>0</f>
        <v/>
      </c>
      <c r="G48">
        <f>0</f>
        <v/>
      </c>
      <c r="H48">
        <f>SUM(C48:G48)</f>
        <v/>
      </c>
      <c r="I48" s="5">
        <f>H48/T_F</f>
        <v/>
      </c>
    </row>
    <row r="49">
      <c r="A49" t="inlineStr">
        <is>
          <t>NA1</t>
        </is>
      </c>
      <c r="B49" t="inlineStr">
        <is>
          <t>Convertible Note A</t>
        </is>
      </c>
      <c r="C49">
        <f>0</f>
        <v/>
      </c>
      <c r="D49">
        <f>0</f>
        <v/>
      </c>
      <c r="E49">
        <f>0</f>
        <v/>
      </c>
      <c r="F49">
        <f>0</f>
        <v/>
      </c>
      <c r="G49">
        <f>NA_sh</f>
        <v/>
      </c>
      <c r="H49">
        <f>SUM(C49:G49)</f>
        <v/>
      </c>
      <c r="I49" s="5">
        <f>H49/T_F</f>
        <v/>
      </c>
    </row>
    <row r="50">
      <c r="A50" t="inlineStr">
        <is>
          <t>NB1</t>
        </is>
      </c>
      <c r="B50" t="inlineStr">
        <is>
          <t>Convertible Note B</t>
        </is>
      </c>
      <c r="C50">
        <f>0</f>
        <v/>
      </c>
      <c r="D50">
        <f>0</f>
        <v/>
      </c>
      <c r="E50">
        <f>0</f>
        <v/>
      </c>
      <c r="F50">
        <f>0</f>
        <v/>
      </c>
      <c r="G50">
        <f>NB_sh</f>
        <v/>
      </c>
      <c r="H50">
        <f>SUM(C50:G50)</f>
        <v/>
      </c>
      <c r="I50" s="5">
        <f>H50/T_F</f>
        <v/>
      </c>
    </row>
    <row r="51">
      <c r="A51" t="inlineStr">
        <is>
          <t>F_LEAD</t>
        </is>
      </c>
      <c r="B51" t="inlineStr">
        <is>
          <t>Series F lead (primary + secondary)</t>
        </is>
      </c>
      <c r="C51">
        <f>tender_sh</f>
        <v/>
      </c>
      <c r="D51">
        <f>fl_primary/F_PPS</f>
        <v/>
      </c>
      <c r="E51">
        <f>0</f>
        <v/>
      </c>
      <c r="F51">
        <f>0</f>
        <v/>
      </c>
      <c r="G51">
        <f>0</f>
        <v/>
      </c>
      <c r="H51">
        <f>SUM(C51:G51)</f>
        <v/>
      </c>
      <c r="I51" s="5">
        <f>H51/T_F</f>
        <v/>
      </c>
    </row>
    <row r="52">
      <c r="A52" t="inlineStr">
        <is>
          <t>F_FUND</t>
        </is>
      </c>
      <c r="B52" t="inlineStr">
        <is>
          <t>Our fund (Series F primary)</t>
        </is>
      </c>
      <c r="C52">
        <f>0</f>
        <v/>
      </c>
      <c r="D52">
        <f>our_check/F_PPS</f>
        <v/>
      </c>
      <c r="E52">
        <f>0</f>
        <v/>
      </c>
      <c r="F52">
        <f>0</f>
        <v/>
      </c>
      <c r="G52">
        <f>0</f>
        <v/>
      </c>
      <c r="H52">
        <f>SUM(C52:G52)</f>
        <v/>
      </c>
      <c r="I52" s="5">
        <f>H52/T_F</f>
        <v/>
      </c>
    </row>
    <row r="53">
      <c r="A53" s="6" t="inlineStr">
        <is>
          <t>TOTAL</t>
        </is>
      </c>
      <c r="C53">
        <f>SUM(C37:C52)</f>
        <v/>
      </c>
      <c r="D53">
        <f>SUM(D37:D52)</f>
        <v/>
      </c>
      <c r="E53">
        <f>SUM(E37:E52)</f>
        <v/>
      </c>
      <c r="F53">
        <f>SUM(F37:F52)</f>
        <v/>
      </c>
      <c r="G53">
        <f>SUM(G37:G52)</f>
        <v/>
      </c>
      <c r="H53">
        <f>SUM(H37:H52)</f>
        <v/>
      </c>
      <c r="I53" s="5">
        <f>H53/T_F</f>
        <v/>
      </c>
    </row>
    <row r="55">
      <c r="A55" s="6" t="inlineStr">
        <is>
          <t>Our fund ownership %</t>
        </is>
      </c>
      <c r="B55" s="5">
        <f>I52</f>
        <v/>
      </c>
    </row>
    <row r="99">
      <c r="A99" s="6" t="inlineStr">
        <is>
          <t>iter (col B = F_PPS_in)</t>
        </is>
      </c>
      <c r="B99" s="6" t="inlineStr">
        <is>
          <t>F_PPS_in</t>
        </is>
      </c>
      <c r="C99" s="6" t="inlineStr">
        <is>
          <t>NCP_D</t>
        </is>
      </c>
      <c r="D99" s="6" t="inlineStr">
        <is>
          <t>NCP_E</t>
        </is>
      </c>
      <c r="E99" s="6" t="inlineStr">
        <is>
          <t>extras_D</t>
        </is>
      </c>
      <c r="F99" s="6" t="inlineStr">
        <is>
          <t>extras_E</t>
        </is>
      </c>
      <c r="G99" s="6" t="inlineStr">
        <is>
          <t>T_F</t>
        </is>
      </c>
      <c r="H99" s="6" t="inlineStr">
        <is>
          <t>topup</t>
        </is>
      </c>
      <c r="I99" s="6" t="inlineStr">
        <is>
          <t>preFD_nn</t>
        </is>
      </c>
      <c r="J99" s="6" t="inlineStr">
        <is>
          <t>NA_sh</t>
        </is>
      </c>
      <c r="K99" s="6" t="inlineStr">
        <is>
          <t>NB_sh</t>
        </is>
      </c>
      <c r="L99" s="6" t="inlineStr">
        <is>
          <t>F_prim_sh</t>
        </is>
      </c>
      <c r="M99" s="6" t="inlineStr">
        <is>
          <t>T_pre</t>
        </is>
      </c>
      <c r="N99" s="6" t="inlineStr">
        <is>
          <t>F_PPS_out</t>
        </is>
      </c>
    </row>
    <row r="100">
      <c r="B100">
        <f>F_pre/preF_FD</f>
        <v/>
      </c>
      <c r="C100">
        <f>OCP_D*(preF_FD + F_primary/OCP_D)/(preF_FD + F_primary/B100)</f>
        <v/>
      </c>
      <c r="D100">
        <f>OCP_E*(preF_FD + F_primary/OCP_E)/(preF_FD + F_primary/B100)</f>
        <v/>
      </c>
      <c r="E100">
        <f>D_sh*(OCP_D/C100 - 1)</f>
        <v/>
      </c>
      <c r="F100">
        <f>E_sh*(OCP_E/D100 - 1)</f>
        <v/>
      </c>
      <c r="G100">
        <f>(preF_FD + E100 + F100 - preF_opts + 0 + 0 + F_primary/B100)/(1-esop_target)</f>
        <v/>
      </c>
      <c r="H100">
        <f>MAX(0, esop_target*G100 - preF_opts)</f>
        <v/>
      </c>
      <c r="I100">
        <f>preF_FD + E100 + F100 + H100</f>
        <v/>
      </c>
      <c r="J100">
        <f>NA_P/MIN(NA_cap/(I100+0), (1-NA_disc)*B100)</f>
        <v/>
      </c>
      <c r="K100">
        <f>NB_P/MIN(NB_cap/(I100+J100), (1-NB_disc)*B100)</f>
        <v/>
      </c>
      <c r="L100">
        <f>F_primary/B100</f>
        <v/>
      </c>
      <c r="M100">
        <f>I100+J100+K100</f>
        <v/>
      </c>
      <c r="N100">
        <f>F_pre/M100</f>
        <v/>
      </c>
    </row>
    <row r="101">
      <c r="B101">
        <f>N100</f>
        <v/>
      </c>
      <c r="C101">
        <f>OCP_D*(preF_FD + F_primary/OCP_D)/(preF_FD + F_primary/B101)</f>
        <v/>
      </c>
      <c r="D101">
        <f>OCP_E*(preF_FD + F_primary/OCP_E)/(preF_FD + F_primary/B101)</f>
        <v/>
      </c>
      <c r="E101">
        <f>D_sh*(OCP_D/C101 - 1)</f>
        <v/>
      </c>
      <c r="F101">
        <f>E_sh*(OCP_E/D101 - 1)</f>
        <v/>
      </c>
      <c r="G101">
        <f>(preF_FD + E101 + F101 - preF_opts + J100 + K100 + F_primary/B101)/(1-esop_target)</f>
        <v/>
      </c>
      <c r="H101">
        <f>MAX(0, esop_target*G101 - preF_opts)</f>
        <v/>
      </c>
      <c r="I101">
        <f>preF_FD + E101 + F101 + H101</f>
        <v/>
      </c>
      <c r="J101">
        <f>NA_P/MIN(NA_cap/(I101+K100), (1-NA_disc)*B101)</f>
        <v/>
      </c>
      <c r="K101">
        <f>NB_P/MIN(NB_cap/(I101+J101), (1-NB_disc)*B101)</f>
        <v/>
      </c>
      <c r="L101">
        <f>F_primary/B101</f>
        <v/>
      </c>
      <c r="M101">
        <f>I101+J101+K101</f>
        <v/>
      </c>
      <c r="N101">
        <f>F_pre/M101</f>
        <v/>
      </c>
    </row>
    <row r="102">
      <c r="B102">
        <f>N101</f>
        <v/>
      </c>
      <c r="C102">
        <f>OCP_D*(preF_FD + F_primary/OCP_D)/(preF_FD + F_primary/B102)</f>
        <v/>
      </c>
      <c r="D102">
        <f>OCP_E*(preF_FD + F_primary/OCP_E)/(preF_FD + F_primary/B102)</f>
        <v/>
      </c>
      <c r="E102">
        <f>D_sh*(OCP_D/C102 - 1)</f>
        <v/>
      </c>
      <c r="F102">
        <f>E_sh*(OCP_E/D102 - 1)</f>
        <v/>
      </c>
      <c r="G102">
        <f>(preF_FD + E102 + F102 - preF_opts + J101 + K101 + F_primary/B102)/(1-esop_target)</f>
        <v/>
      </c>
      <c r="H102">
        <f>MAX(0, esop_target*G102 - preF_opts)</f>
        <v/>
      </c>
      <c r="I102">
        <f>preF_FD + E102 + F102 + H102</f>
        <v/>
      </c>
      <c r="J102">
        <f>NA_P/MIN(NA_cap/(I102+K101), (1-NA_disc)*B102)</f>
        <v/>
      </c>
      <c r="K102">
        <f>NB_P/MIN(NB_cap/(I102+J102), (1-NB_disc)*B102)</f>
        <v/>
      </c>
      <c r="L102">
        <f>F_primary/B102</f>
        <v/>
      </c>
      <c r="M102">
        <f>I102+J102+K102</f>
        <v/>
      </c>
      <c r="N102">
        <f>F_pre/M102</f>
        <v/>
      </c>
    </row>
    <row r="103">
      <c r="B103">
        <f>N102</f>
        <v/>
      </c>
      <c r="C103">
        <f>OCP_D*(preF_FD + F_primary/OCP_D)/(preF_FD + F_primary/B103)</f>
        <v/>
      </c>
      <c r="D103">
        <f>OCP_E*(preF_FD + F_primary/OCP_E)/(preF_FD + F_primary/B103)</f>
        <v/>
      </c>
      <c r="E103">
        <f>D_sh*(OCP_D/C103 - 1)</f>
        <v/>
      </c>
      <c r="F103">
        <f>E_sh*(OCP_E/D103 - 1)</f>
        <v/>
      </c>
      <c r="G103">
        <f>(preF_FD + E103 + F103 - preF_opts + J102 + K102 + F_primary/B103)/(1-esop_target)</f>
        <v/>
      </c>
      <c r="H103">
        <f>MAX(0, esop_target*G103 - preF_opts)</f>
        <v/>
      </c>
      <c r="I103">
        <f>preF_FD + E103 + F103 + H103</f>
        <v/>
      </c>
      <c r="J103">
        <f>NA_P/MIN(NA_cap/(I103+K102), (1-NA_disc)*B103)</f>
        <v/>
      </c>
      <c r="K103">
        <f>NB_P/MIN(NB_cap/(I103+J103), (1-NB_disc)*B103)</f>
        <v/>
      </c>
      <c r="L103">
        <f>F_primary/B103</f>
        <v/>
      </c>
      <c r="M103">
        <f>I103+J103+K103</f>
        <v/>
      </c>
      <c r="N103">
        <f>F_pre/M103</f>
        <v/>
      </c>
    </row>
    <row r="104">
      <c r="B104">
        <f>N103</f>
        <v/>
      </c>
      <c r="C104">
        <f>OCP_D*(preF_FD + F_primary/OCP_D)/(preF_FD + F_primary/B104)</f>
        <v/>
      </c>
      <c r="D104">
        <f>OCP_E*(preF_FD + F_primary/OCP_E)/(preF_FD + F_primary/B104)</f>
        <v/>
      </c>
      <c r="E104">
        <f>D_sh*(OCP_D/C104 - 1)</f>
        <v/>
      </c>
      <c r="F104">
        <f>E_sh*(OCP_E/D104 - 1)</f>
        <v/>
      </c>
      <c r="G104">
        <f>(preF_FD + E104 + F104 - preF_opts + J103 + K103 + F_primary/B104)/(1-esop_target)</f>
        <v/>
      </c>
      <c r="H104">
        <f>MAX(0, esop_target*G104 - preF_opts)</f>
        <v/>
      </c>
      <c r="I104">
        <f>preF_FD + E104 + F104 + H104</f>
        <v/>
      </c>
      <c r="J104">
        <f>NA_P/MIN(NA_cap/(I104+K103), (1-NA_disc)*B104)</f>
        <v/>
      </c>
      <c r="K104">
        <f>NB_P/MIN(NB_cap/(I104+J104), (1-NB_disc)*B104)</f>
        <v/>
      </c>
      <c r="L104">
        <f>F_primary/B104</f>
        <v/>
      </c>
      <c r="M104">
        <f>I104+J104+K104</f>
        <v/>
      </c>
      <c r="N104">
        <f>F_pre/M104</f>
        <v/>
      </c>
    </row>
    <row r="105">
      <c r="B105">
        <f>N104</f>
        <v/>
      </c>
      <c r="C105">
        <f>OCP_D*(preF_FD + F_primary/OCP_D)/(preF_FD + F_primary/B105)</f>
        <v/>
      </c>
      <c r="D105">
        <f>OCP_E*(preF_FD + F_primary/OCP_E)/(preF_FD + F_primary/B105)</f>
        <v/>
      </c>
      <c r="E105">
        <f>D_sh*(OCP_D/C105 - 1)</f>
        <v/>
      </c>
      <c r="F105">
        <f>E_sh*(OCP_E/D105 - 1)</f>
        <v/>
      </c>
      <c r="G105">
        <f>(preF_FD + E105 + F105 - preF_opts + J104 + K104 + F_primary/B105)/(1-esop_target)</f>
        <v/>
      </c>
      <c r="H105">
        <f>MAX(0, esop_target*G105 - preF_opts)</f>
        <v/>
      </c>
      <c r="I105">
        <f>preF_FD + E105 + F105 + H105</f>
        <v/>
      </c>
      <c r="J105">
        <f>NA_P/MIN(NA_cap/(I105+K104), (1-NA_disc)*B105)</f>
        <v/>
      </c>
      <c r="K105">
        <f>NB_P/MIN(NB_cap/(I105+J105), (1-NB_disc)*B105)</f>
        <v/>
      </c>
      <c r="L105">
        <f>F_primary/B105</f>
        <v/>
      </c>
      <c r="M105">
        <f>I105+J105+K105</f>
        <v/>
      </c>
      <c r="N105">
        <f>F_pre/M105</f>
        <v/>
      </c>
    </row>
    <row r="106">
      <c r="B106">
        <f>N105</f>
        <v/>
      </c>
      <c r="C106">
        <f>OCP_D*(preF_FD + F_primary/OCP_D)/(preF_FD + F_primary/B106)</f>
        <v/>
      </c>
      <c r="D106">
        <f>OCP_E*(preF_FD + F_primary/OCP_E)/(preF_FD + F_primary/B106)</f>
        <v/>
      </c>
      <c r="E106">
        <f>D_sh*(OCP_D/C106 - 1)</f>
        <v/>
      </c>
      <c r="F106">
        <f>E_sh*(OCP_E/D106 - 1)</f>
        <v/>
      </c>
      <c r="G106">
        <f>(preF_FD + E106 + F106 - preF_opts + J105 + K105 + F_primary/B106)/(1-esop_target)</f>
        <v/>
      </c>
      <c r="H106">
        <f>MAX(0, esop_target*G106 - preF_opts)</f>
        <v/>
      </c>
      <c r="I106">
        <f>preF_FD + E106 + F106 + H106</f>
        <v/>
      </c>
      <c r="J106">
        <f>NA_P/MIN(NA_cap/(I106+K105), (1-NA_disc)*B106)</f>
        <v/>
      </c>
      <c r="K106">
        <f>NB_P/MIN(NB_cap/(I106+J106), (1-NB_disc)*B106)</f>
        <v/>
      </c>
      <c r="L106">
        <f>F_primary/B106</f>
        <v/>
      </c>
      <c r="M106">
        <f>I106+J106+K106</f>
        <v/>
      </c>
      <c r="N106">
        <f>F_pre/M106</f>
        <v/>
      </c>
    </row>
    <row r="107">
      <c r="B107">
        <f>N106</f>
        <v/>
      </c>
      <c r="C107">
        <f>OCP_D*(preF_FD + F_primary/OCP_D)/(preF_FD + F_primary/B107)</f>
        <v/>
      </c>
      <c r="D107">
        <f>OCP_E*(preF_FD + F_primary/OCP_E)/(preF_FD + F_primary/B107)</f>
        <v/>
      </c>
      <c r="E107">
        <f>D_sh*(OCP_D/C107 - 1)</f>
        <v/>
      </c>
      <c r="F107">
        <f>E_sh*(OCP_E/D107 - 1)</f>
        <v/>
      </c>
      <c r="G107">
        <f>(preF_FD + E107 + F107 - preF_opts + J106 + K106 + F_primary/B107)/(1-esop_target)</f>
        <v/>
      </c>
      <c r="H107">
        <f>MAX(0, esop_target*G107 - preF_opts)</f>
        <v/>
      </c>
      <c r="I107">
        <f>preF_FD + E107 + F107 + H107</f>
        <v/>
      </c>
      <c r="J107">
        <f>NA_P/MIN(NA_cap/(I107+K106), (1-NA_disc)*B107)</f>
        <v/>
      </c>
      <c r="K107">
        <f>NB_P/MIN(NB_cap/(I107+J107), (1-NB_disc)*B107)</f>
        <v/>
      </c>
      <c r="L107">
        <f>F_primary/B107</f>
        <v/>
      </c>
      <c r="M107">
        <f>I107+J107+K107</f>
        <v/>
      </c>
      <c r="N107">
        <f>F_pre/M107</f>
        <v/>
      </c>
    </row>
    <row r="108">
      <c r="B108">
        <f>N107</f>
        <v/>
      </c>
      <c r="C108">
        <f>OCP_D*(preF_FD + F_primary/OCP_D)/(preF_FD + F_primary/B108)</f>
        <v/>
      </c>
      <c r="D108">
        <f>OCP_E*(preF_FD + F_primary/OCP_E)/(preF_FD + F_primary/B108)</f>
        <v/>
      </c>
      <c r="E108">
        <f>D_sh*(OCP_D/C108 - 1)</f>
        <v/>
      </c>
      <c r="F108">
        <f>E_sh*(OCP_E/D108 - 1)</f>
        <v/>
      </c>
      <c r="G108">
        <f>(preF_FD + E108 + F108 - preF_opts + J107 + K107 + F_primary/B108)/(1-esop_target)</f>
        <v/>
      </c>
      <c r="H108">
        <f>MAX(0, esop_target*G108 - preF_opts)</f>
        <v/>
      </c>
      <c r="I108">
        <f>preF_FD + E108 + F108 + H108</f>
        <v/>
      </c>
      <c r="J108">
        <f>NA_P/MIN(NA_cap/(I108+K107), (1-NA_disc)*B108)</f>
        <v/>
      </c>
      <c r="K108">
        <f>NB_P/MIN(NB_cap/(I108+J108), (1-NB_disc)*B108)</f>
        <v/>
      </c>
      <c r="L108">
        <f>F_primary/B108</f>
        <v/>
      </c>
      <c r="M108">
        <f>I108+J108+K108</f>
        <v/>
      </c>
      <c r="N108">
        <f>F_pre/M108</f>
        <v/>
      </c>
    </row>
    <row r="109">
      <c r="B109">
        <f>N108</f>
        <v/>
      </c>
      <c r="C109">
        <f>OCP_D*(preF_FD + F_primary/OCP_D)/(preF_FD + F_primary/B109)</f>
        <v/>
      </c>
      <c r="D109">
        <f>OCP_E*(preF_FD + F_primary/OCP_E)/(preF_FD + F_primary/B109)</f>
        <v/>
      </c>
      <c r="E109">
        <f>D_sh*(OCP_D/C109 - 1)</f>
        <v/>
      </c>
      <c r="F109">
        <f>E_sh*(OCP_E/D109 - 1)</f>
        <v/>
      </c>
      <c r="G109">
        <f>(preF_FD + E109 + F109 - preF_opts + J108 + K108 + F_primary/B109)/(1-esop_target)</f>
        <v/>
      </c>
      <c r="H109">
        <f>MAX(0, esop_target*G109 - preF_opts)</f>
        <v/>
      </c>
      <c r="I109">
        <f>preF_FD + E109 + F109 + H109</f>
        <v/>
      </c>
      <c r="J109">
        <f>NA_P/MIN(NA_cap/(I109+K108), (1-NA_disc)*B109)</f>
        <v/>
      </c>
      <c r="K109">
        <f>NB_P/MIN(NB_cap/(I109+J109), (1-NB_disc)*B109)</f>
        <v/>
      </c>
      <c r="L109">
        <f>F_primary/B109</f>
        <v/>
      </c>
      <c r="M109">
        <f>I109+J109+K109</f>
        <v/>
      </c>
      <c r="N109">
        <f>F_pre/M109</f>
        <v/>
      </c>
    </row>
    <row r="110">
      <c r="B110">
        <f>N109</f>
        <v/>
      </c>
      <c r="C110">
        <f>OCP_D*(preF_FD + F_primary/OCP_D)/(preF_FD + F_primary/B110)</f>
        <v/>
      </c>
      <c r="D110">
        <f>OCP_E*(preF_FD + F_primary/OCP_E)/(preF_FD + F_primary/B110)</f>
        <v/>
      </c>
      <c r="E110">
        <f>D_sh*(OCP_D/C110 - 1)</f>
        <v/>
      </c>
      <c r="F110">
        <f>E_sh*(OCP_E/D110 - 1)</f>
        <v/>
      </c>
      <c r="G110">
        <f>(preF_FD + E110 + F110 - preF_opts + J109 + K109 + F_primary/B110)/(1-esop_target)</f>
        <v/>
      </c>
      <c r="H110">
        <f>MAX(0, esop_target*G110 - preF_opts)</f>
        <v/>
      </c>
      <c r="I110">
        <f>preF_FD + E110 + F110 + H110</f>
        <v/>
      </c>
      <c r="J110">
        <f>NA_P/MIN(NA_cap/(I110+K109), (1-NA_disc)*B110)</f>
        <v/>
      </c>
      <c r="K110">
        <f>NB_P/MIN(NB_cap/(I110+J110), (1-NB_disc)*B110)</f>
        <v/>
      </c>
      <c r="L110">
        <f>F_primary/B110</f>
        <v/>
      </c>
      <c r="M110">
        <f>I110+J110+K110</f>
        <v/>
      </c>
      <c r="N110">
        <f>F_pre/M110</f>
        <v/>
      </c>
    </row>
    <row r="111">
      <c r="B111">
        <f>N110</f>
        <v/>
      </c>
      <c r="C111">
        <f>OCP_D*(preF_FD + F_primary/OCP_D)/(preF_FD + F_primary/B111)</f>
        <v/>
      </c>
      <c r="D111">
        <f>OCP_E*(preF_FD + F_primary/OCP_E)/(preF_FD + F_primary/B111)</f>
        <v/>
      </c>
      <c r="E111">
        <f>D_sh*(OCP_D/C111 - 1)</f>
        <v/>
      </c>
      <c r="F111">
        <f>E_sh*(OCP_E/D111 - 1)</f>
        <v/>
      </c>
      <c r="G111">
        <f>(preF_FD + E111 + F111 - preF_opts + J110 + K110 + F_primary/B111)/(1-esop_target)</f>
        <v/>
      </c>
      <c r="H111">
        <f>MAX(0, esop_target*G111 - preF_opts)</f>
        <v/>
      </c>
      <c r="I111">
        <f>preF_FD + E111 + F111 + H111</f>
        <v/>
      </c>
      <c r="J111">
        <f>NA_P/MIN(NA_cap/(I111+K110), (1-NA_disc)*B111)</f>
        <v/>
      </c>
      <c r="K111">
        <f>NB_P/MIN(NB_cap/(I111+J111), (1-NB_disc)*B111)</f>
        <v/>
      </c>
      <c r="L111">
        <f>F_primary/B111</f>
        <v/>
      </c>
      <c r="M111">
        <f>I111+J111+K111</f>
        <v/>
      </c>
      <c r="N111">
        <f>F_pre/M111</f>
        <v/>
      </c>
    </row>
    <row r="112">
      <c r="B112">
        <f>N111</f>
        <v/>
      </c>
      <c r="C112">
        <f>OCP_D*(preF_FD + F_primary/OCP_D)/(preF_FD + F_primary/B112)</f>
        <v/>
      </c>
      <c r="D112">
        <f>OCP_E*(preF_FD + F_primary/OCP_E)/(preF_FD + F_primary/B112)</f>
        <v/>
      </c>
      <c r="E112">
        <f>D_sh*(OCP_D/C112 - 1)</f>
        <v/>
      </c>
      <c r="F112">
        <f>E_sh*(OCP_E/D112 - 1)</f>
        <v/>
      </c>
      <c r="G112">
        <f>(preF_FD + E112 + F112 - preF_opts + J111 + K111 + F_primary/B112)/(1-esop_target)</f>
        <v/>
      </c>
      <c r="H112">
        <f>MAX(0, esop_target*G112 - preF_opts)</f>
        <v/>
      </c>
      <c r="I112">
        <f>preF_FD + E112 + F112 + H112</f>
        <v/>
      </c>
      <c r="J112">
        <f>NA_P/MIN(NA_cap/(I112+K111), (1-NA_disc)*B112)</f>
        <v/>
      </c>
      <c r="K112">
        <f>NB_P/MIN(NB_cap/(I112+J112), (1-NB_disc)*B112)</f>
        <v/>
      </c>
      <c r="L112">
        <f>F_primary/B112</f>
        <v/>
      </c>
      <c r="M112">
        <f>I112+J112+K112</f>
        <v/>
      </c>
      <c r="N112">
        <f>F_pre/M112</f>
        <v/>
      </c>
    </row>
    <row r="113">
      <c r="B113">
        <f>N112</f>
        <v/>
      </c>
      <c r="C113">
        <f>OCP_D*(preF_FD + F_primary/OCP_D)/(preF_FD + F_primary/B113)</f>
        <v/>
      </c>
      <c r="D113">
        <f>OCP_E*(preF_FD + F_primary/OCP_E)/(preF_FD + F_primary/B113)</f>
        <v/>
      </c>
      <c r="E113">
        <f>D_sh*(OCP_D/C113 - 1)</f>
        <v/>
      </c>
      <c r="F113">
        <f>E_sh*(OCP_E/D113 - 1)</f>
        <v/>
      </c>
      <c r="G113">
        <f>(preF_FD + E113 + F113 - preF_opts + J112 + K112 + F_primary/B113)/(1-esop_target)</f>
        <v/>
      </c>
      <c r="H113">
        <f>MAX(0, esop_target*G113 - preF_opts)</f>
        <v/>
      </c>
      <c r="I113">
        <f>preF_FD + E113 + F113 + H113</f>
        <v/>
      </c>
      <c r="J113">
        <f>NA_P/MIN(NA_cap/(I113+K112), (1-NA_disc)*B113)</f>
        <v/>
      </c>
      <c r="K113">
        <f>NB_P/MIN(NB_cap/(I113+J113), (1-NB_disc)*B113)</f>
        <v/>
      </c>
      <c r="L113">
        <f>F_primary/B113</f>
        <v/>
      </c>
      <c r="M113">
        <f>I113+J113+K113</f>
        <v/>
      </c>
      <c r="N113">
        <f>F_pre/M113</f>
        <v/>
      </c>
    </row>
    <row r="114">
      <c r="B114">
        <f>N113</f>
        <v/>
      </c>
      <c r="C114">
        <f>OCP_D*(preF_FD + F_primary/OCP_D)/(preF_FD + F_primary/B114)</f>
        <v/>
      </c>
      <c r="D114">
        <f>OCP_E*(preF_FD + F_primary/OCP_E)/(preF_FD + F_primary/B114)</f>
        <v/>
      </c>
      <c r="E114">
        <f>D_sh*(OCP_D/C114 - 1)</f>
        <v/>
      </c>
      <c r="F114">
        <f>E_sh*(OCP_E/D114 - 1)</f>
        <v/>
      </c>
      <c r="G114">
        <f>(preF_FD + E114 + F114 - preF_opts + J113 + K113 + F_primary/B114)/(1-esop_target)</f>
        <v/>
      </c>
      <c r="H114">
        <f>MAX(0, esop_target*G114 - preF_opts)</f>
        <v/>
      </c>
      <c r="I114">
        <f>preF_FD + E114 + F114 + H114</f>
        <v/>
      </c>
      <c r="J114">
        <f>NA_P/MIN(NA_cap/(I114+K113), (1-NA_disc)*B114)</f>
        <v/>
      </c>
      <c r="K114">
        <f>NB_P/MIN(NB_cap/(I114+J114), (1-NB_disc)*B114)</f>
        <v/>
      </c>
      <c r="L114">
        <f>F_primary/B114</f>
        <v/>
      </c>
      <c r="M114">
        <f>I114+J114+K114</f>
        <v/>
      </c>
      <c r="N114">
        <f>F_pre/M114</f>
        <v/>
      </c>
    </row>
    <row r="115">
      <c r="B115">
        <f>N114</f>
        <v/>
      </c>
      <c r="C115">
        <f>OCP_D*(preF_FD + F_primary/OCP_D)/(preF_FD + F_primary/B115)</f>
        <v/>
      </c>
      <c r="D115">
        <f>OCP_E*(preF_FD + F_primary/OCP_E)/(preF_FD + F_primary/B115)</f>
        <v/>
      </c>
      <c r="E115">
        <f>D_sh*(OCP_D/C115 - 1)</f>
        <v/>
      </c>
      <c r="F115">
        <f>E_sh*(OCP_E/D115 - 1)</f>
        <v/>
      </c>
      <c r="G115">
        <f>(preF_FD + E115 + F115 - preF_opts + J114 + K114 + F_primary/B115)/(1-esop_target)</f>
        <v/>
      </c>
      <c r="H115">
        <f>MAX(0, esop_target*G115 - preF_opts)</f>
        <v/>
      </c>
      <c r="I115">
        <f>preF_FD + E115 + F115 + H115</f>
        <v/>
      </c>
      <c r="J115">
        <f>NA_P/MIN(NA_cap/(I115+K114), (1-NA_disc)*B115)</f>
        <v/>
      </c>
      <c r="K115">
        <f>NB_P/MIN(NB_cap/(I115+J115), (1-NB_disc)*B115)</f>
        <v/>
      </c>
      <c r="L115">
        <f>F_primary/B115</f>
        <v/>
      </c>
      <c r="M115">
        <f>I115+J115+K115</f>
        <v/>
      </c>
      <c r="N115">
        <f>F_pre/M115</f>
        <v/>
      </c>
    </row>
    <row r="116">
      <c r="B116">
        <f>N115</f>
        <v/>
      </c>
      <c r="C116">
        <f>OCP_D*(preF_FD + F_primary/OCP_D)/(preF_FD + F_primary/B116)</f>
        <v/>
      </c>
      <c r="D116">
        <f>OCP_E*(preF_FD + F_primary/OCP_E)/(preF_FD + F_primary/B116)</f>
        <v/>
      </c>
      <c r="E116">
        <f>D_sh*(OCP_D/C116 - 1)</f>
        <v/>
      </c>
      <c r="F116">
        <f>E_sh*(OCP_E/D116 - 1)</f>
        <v/>
      </c>
      <c r="G116">
        <f>(preF_FD + E116 + F116 - preF_opts + J115 + K115 + F_primary/B116)/(1-esop_target)</f>
        <v/>
      </c>
      <c r="H116">
        <f>MAX(0, esop_target*G116 - preF_opts)</f>
        <v/>
      </c>
      <c r="I116">
        <f>preF_FD + E116 + F116 + H116</f>
        <v/>
      </c>
      <c r="J116">
        <f>NA_P/MIN(NA_cap/(I116+K115), (1-NA_disc)*B116)</f>
        <v/>
      </c>
      <c r="K116">
        <f>NB_P/MIN(NB_cap/(I116+J116), (1-NB_disc)*B116)</f>
        <v/>
      </c>
      <c r="L116">
        <f>F_primary/B116</f>
        <v/>
      </c>
      <c r="M116">
        <f>I116+J116+K116</f>
        <v/>
      </c>
      <c r="N116">
        <f>F_pre/M116</f>
        <v/>
      </c>
    </row>
    <row r="117">
      <c r="B117">
        <f>N116</f>
        <v/>
      </c>
      <c r="C117">
        <f>OCP_D*(preF_FD + F_primary/OCP_D)/(preF_FD + F_primary/B117)</f>
        <v/>
      </c>
      <c r="D117">
        <f>OCP_E*(preF_FD + F_primary/OCP_E)/(preF_FD + F_primary/B117)</f>
        <v/>
      </c>
      <c r="E117">
        <f>D_sh*(OCP_D/C117 - 1)</f>
        <v/>
      </c>
      <c r="F117">
        <f>E_sh*(OCP_E/D117 - 1)</f>
        <v/>
      </c>
      <c r="G117">
        <f>(preF_FD + E117 + F117 - preF_opts + J116 + K116 + F_primary/B117)/(1-esop_target)</f>
        <v/>
      </c>
      <c r="H117">
        <f>MAX(0, esop_target*G117 - preF_opts)</f>
        <v/>
      </c>
      <c r="I117">
        <f>preF_FD + E117 + F117 + H117</f>
        <v/>
      </c>
      <c r="J117">
        <f>NA_P/MIN(NA_cap/(I117+K116), (1-NA_disc)*B117)</f>
        <v/>
      </c>
      <c r="K117">
        <f>NB_P/MIN(NB_cap/(I117+J117), (1-NB_disc)*B117)</f>
        <v/>
      </c>
      <c r="L117">
        <f>F_primary/B117</f>
        <v/>
      </c>
      <c r="M117">
        <f>I117+J117+K117</f>
        <v/>
      </c>
      <c r="N117">
        <f>F_pre/M117</f>
        <v/>
      </c>
    </row>
    <row r="118">
      <c r="B118">
        <f>N117</f>
        <v/>
      </c>
      <c r="C118">
        <f>OCP_D*(preF_FD + F_primary/OCP_D)/(preF_FD + F_primary/B118)</f>
        <v/>
      </c>
      <c r="D118">
        <f>OCP_E*(preF_FD + F_primary/OCP_E)/(preF_FD + F_primary/B118)</f>
        <v/>
      </c>
      <c r="E118">
        <f>D_sh*(OCP_D/C118 - 1)</f>
        <v/>
      </c>
      <c r="F118">
        <f>E_sh*(OCP_E/D118 - 1)</f>
        <v/>
      </c>
      <c r="G118">
        <f>(preF_FD + E118 + F118 - preF_opts + J117 + K117 + F_primary/B118)/(1-esop_target)</f>
        <v/>
      </c>
      <c r="H118">
        <f>MAX(0, esop_target*G118 - preF_opts)</f>
        <v/>
      </c>
      <c r="I118">
        <f>preF_FD + E118 + F118 + H118</f>
        <v/>
      </c>
      <c r="J118">
        <f>NA_P/MIN(NA_cap/(I118+K117), (1-NA_disc)*B118)</f>
        <v/>
      </c>
      <c r="K118">
        <f>NB_P/MIN(NB_cap/(I118+J118), (1-NB_disc)*B118)</f>
        <v/>
      </c>
      <c r="L118">
        <f>F_primary/B118</f>
        <v/>
      </c>
      <c r="M118">
        <f>I118+J118+K118</f>
        <v/>
      </c>
      <c r="N118">
        <f>F_pre/M118</f>
        <v/>
      </c>
    </row>
    <row r="119">
      <c r="B119">
        <f>N118</f>
        <v/>
      </c>
      <c r="C119">
        <f>OCP_D*(preF_FD + F_primary/OCP_D)/(preF_FD + F_primary/B119)</f>
        <v/>
      </c>
      <c r="D119">
        <f>OCP_E*(preF_FD + F_primary/OCP_E)/(preF_FD + F_primary/B119)</f>
        <v/>
      </c>
      <c r="E119">
        <f>D_sh*(OCP_D/C119 - 1)</f>
        <v/>
      </c>
      <c r="F119">
        <f>E_sh*(OCP_E/D119 - 1)</f>
        <v/>
      </c>
      <c r="G119">
        <f>(preF_FD + E119 + F119 - preF_opts + J118 + K118 + F_primary/B119)/(1-esop_target)</f>
        <v/>
      </c>
      <c r="H119">
        <f>MAX(0, esop_target*G119 - preF_opts)</f>
        <v/>
      </c>
      <c r="I119">
        <f>preF_FD + E119 + F119 + H119</f>
        <v/>
      </c>
      <c r="J119">
        <f>NA_P/MIN(NA_cap/(I119+K118), (1-NA_disc)*B119)</f>
        <v/>
      </c>
      <c r="K119">
        <f>NB_P/MIN(NB_cap/(I119+J119), (1-NB_disc)*B119)</f>
        <v/>
      </c>
      <c r="L119">
        <f>F_primary/B119</f>
        <v/>
      </c>
      <c r="M119">
        <f>I119+J119+K119</f>
        <v/>
      </c>
      <c r="N119">
        <f>F_pre/M119</f>
        <v/>
      </c>
    </row>
    <row r="120">
      <c r="B120">
        <f>N119</f>
        <v/>
      </c>
      <c r="C120">
        <f>OCP_D*(preF_FD + F_primary/OCP_D)/(preF_FD + F_primary/B120)</f>
        <v/>
      </c>
      <c r="D120">
        <f>OCP_E*(preF_FD + F_primary/OCP_E)/(preF_FD + F_primary/B120)</f>
        <v/>
      </c>
      <c r="E120">
        <f>D_sh*(OCP_D/C120 - 1)</f>
        <v/>
      </c>
      <c r="F120">
        <f>E_sh*(OCP_E/D120 - 1)</f>
        <v/>
      </c>
      <c r="G120">
        <f>(preF_FD + E120 + F120 - preF_opts + J119 + K119 + F_primary/B120)/(1-esop_target)</f>
        <v/>
      </c>
      <c r="H120">
        <f>MAX(0, esop_target*G120 - preF_opts)</f>
        <v/>
      </c>
      <c r="I120">
        <f>preF_FD + E120 + F120 + H120</f>
        <v/>
      </c>
      <c r="J120">
        <f>NA_P/MIN(NA_cap/(I120+K119), (1-NA_disc)*B120)</f>
        <v/>
      </c>
      <c r="K120">
        <f>NB_P/MIN(NB_cap/(I120+J120), (1-NB_disc)*B120)</f>
        <v/>
      </c>
      <c r="L120">
        <f>F_primary/B120</f>
        <v/>
      </c>
      <c r="M120">
        <f>I120+J120+K120</f>
        <v/>
      </c>
      <c r="N120">
        <f>F_pre/M120</f>
        <v/>
      </c>
    </row>
    <row r="121">
      <c r="B121">
        <f>N120</f>
        <v/>
      </c>
      <c r="C121">
        <f>OCP_D*(preF_FD + F_primary/OCP_D)/(preF_FD + F_primary/B121)</f>
        <v/>
      </c>
      <c r="D121">
        <f>OCP_E*(preF_FD + F_primary/OCP_E)/(preF_FD + F_primary/B121)</f>
        <v/>
      </c>
      <c r="E121">
        <f>D_sh*(OCP_D/C121 - 1)</f>
        <v/>
      </c>
      <c r="F121">
        <f>E_sh*(OCP_E/D121 - 1)</f>
        <v/>
      </c>
      <c r="G121">
        <f>(preF_FD + E121 + F121 - preF_opts + J120 + K120 + F_primary/B121)/(1-esop_target)</f>
        <v/>
      </c>
      <c r="H121">
        <f>MAX(0, esop_target*G121 - preF_opts)</f>
        <v/>
      </c>
      <c r="I121">
        <f>preF_FD + E121 + F121 + H121</f>
        <v/>
      </c>
      <c r="J121">
        <f>NA_P/MIN(NA_cap/(I121+K120), (1-NA_disc)*B121)</f>
        <v/>
      </c>
      <c r="K121">
        <f>NB_P/MIN(NB_cap/(I121+J121), (1-NB_disc)*B121)</f>
        <v/>
      </c>
      <c r="L121">
        <f>F_primary/B121</f>
        <v/>
      </c>
      <c r="M121">
        <f>I121+J121+K121</f>
        <v/>
      </c>
      <c r="N121">
        <f>F_pre/M121</f>
        <v/>
      </c>
    </row>
    <row r="122">
      <c r="B122">
        <f>N121</f>
        <v/>
      </c>
      <c r="C122">
        <f>OCP_D*(preF_FD + F_primary/OCP_D)/(preF_FD + F_primary/B122)</f>
        <v/>
      </c>
      <c r="D122">
        <f>OCP_E*(preF_FD + F_primary/OCP_E)/(preF_FD + F_primary/B122)</f>
        <v/>
      </c>
      <c r="E122">
        <f>D_sh*(OCP_D/C122 - 1)</f>
        <v/>
      </c>
      <c r="F122">
        <f>E_sh*(OCP_E/D122 - 1)</f>
        <v/>
      </c>
      <c r="G122">
        <f>(preF_FD + E122 + F122 - preF_opts + J121 + K121 + F_primary/B122)/(1-esop_target)</f>
        <v/>
      </c>
      <c r="H122">
        <f>MAX(0, esop_target*G122 - preF_opts)</f>
        <v/>
      </c>
      <c r="I122">
        <f>preF_FD + E122 + F122 + H122</f>
        <v/>
      </c>
      <c r="J122">
        <f>NA_P/MIN(NA_cap/(I122+K121), (1-NA_disc)*B122)</f>
        <v/>
      </c>
      <c r="K122">
        <f>NB_P/MIN(NB_cap/(I122+J122), (1-NB_disc)*B122)</f>
        <v/>
      </c>
      <c r="L122">
        <f>F_primary/B122</f>
        <v/>
      </c>
      <c r="M122">
        <f>I122+J122+K122</f>
        <v/>
      </c>
      <c r="N122">
        <f>F_pre/M122</f>
        <v/>
      </c>
    </row>
    <row r="123">
      <c r="B123">
        <f>N122</f>
        <v/>
      </c>
      <c r="C123">
        <f>OCP_D*(preF_FD + F_primary/OCP_D)/(preF_FD + F_primary/B123)</f>
        <v/>
      </c>
      <c r="D123">
        <f>OCP_E*(preF_FD + F_primary/OCP_E)/(preF_FD + F_primary/B123)</f>
        <v/>
      </c>
      <c r="E123">
        <f>D_sh*(OCP_D/C123 - 1)</f>
        <v/>
      </c>
      <c r="F123">
        <f>E_sh*(OCP_E/D123 - 1)</f>
        <v/>
      </c>
      <c r="G123">
        <f>(preF_FD + E123 + F123 - preF_opts + J122 + K122 + F_primary/B123)/(1-esop_target)</f>
        <v/>
      </c>
      <c r="H123">
        <f>MAX(0, esop_target*G123 - preF_opts)</f>
        <v/>
      </c>
      <c r="I123">
        <f>preF_FD + E123 + F123 + H123</f>
        <v/>
      </c>
      <c r="J123">
        <f>NA_P/MIN(NA_cap/(I123+K122), (1-NA_disc)*B123)</f>
        <v/>
      </c>
      <c r="K123">
        <f>NB_P/MIN(NB_cap/(I123+J123), (1-NB_disc)*B123)</f>
        <v/>
      </c>
      <c r="L123">
        <f>F_primary/B123</f>
        <v/>
      </c>
      <c r="M123">
        <f>I123+J123+K123</f>
        <v/>
      </c>
      <c r="N123">
        <f>F_pre/M123</f>
        <v/>
      </c>
    </row>
    <row r="124">
      <c r="B124">
        <f>N123</f>
        <v/>
      </c>
      <c r="C124">
        <f>OCP_D*(preF_FD + F_primary/OCP_D)/(preF_FD + F_primary/B124)</f>
        <v/>
      </c>
      <c r="D124">
        <f>OCP_E*(preF_FD + F_primary/OCP_E)/(preF_FD + F_primary/B124)</f>
        <v/>
      </c>
      <c r="E124">
        <f>D_sh*(OCP_D/C124 - 1)</f>
        <v/>
      </c>
      <c r="F124">
        <f>E_sh*(OCP_E/D124 - 1)</f>
        <v/>
      </c>
      <c r="G124">
        <f>(preF_FD + E124 + F124 - preF_opts + J123 + K123 + F_primary/B124)/(1-esop_target)</f>
        <v/>
      </c>
      <c r="H124">
        <f>MAX(0, esop_target*G124 - preF_opts)</f>
        <v/>
      </c>
      <c r="I124">
        <f>preF_FD + E124 + F124 + H124</f>
        <v/>
      </c>
      <c r="J124">
        <f>NA_P/MIN(NA_cap/(I124+K123), (1-NA_disc)*B124)</f>
        <v/>
      </c>
      <c r="K124">
        <f>NB_P/MIN(NB_cap/(I124+J124), (1-NB_disc)*B124)</f>
        <v/>
      </c>
      <c r="L124">
        <f>F_primary/B124</f>
        <v/>
      </c>
      <c r="M124">
        <f>I124+J124+K124</f>
        <v/>
      </c>
      <c r="N124">
        <f>F_pre/M124</f>
        <v/>
      </c>
    </row>
    <row r="125">
      <c r="B125">
        <f>N124</f>
        <v/>
      </c>
      <c r="C125">
        <f>OCP_D*(preF_FD + F_primary/OCP_D)/(preF_FD + F_primary/B125)</f>
        <v/>
      </c>
      <c r="D125">
        <f>OCP_E*(preF_FD + F_primary/OCP_E)/(preF_FD + F_primary/B125)</f>
        <v/>
      </c>
      <c r="E125">
        <f>D_sh*(OCP_D/C125 - 1)</f>
        <v/>
      </c>
      <c r="F125">
        <f>E_sh*(OCP_E/D125 - 1)</f>
        <v/>
      </c>
      <c r="G125">
        <f>(preF_FD + E125 + F125 - preF_opts + J124 + K124 + F_primary/B125)/(1-esop_target)</f>
        <v/>
      </c>
      <c r="H125">
        <f>MAX(0, esop_target*G125 - preF_opts)</f>
        <v/>
      </c>
      <c r="I125">
        <f>preF_FD + E125 + F125 + H125</f>
        <v/>
      </c>
      <c r="J125">
        <f>NA_P/MIN(NA_cap/(I125+K124), (1-NA_disc)*B125)</f>
        <v/>
      </c>
      <c r="K125">
        <f>NB_P/MIN(NB_cap/(I125+J125), (1-NB_disc)*B125)</f>
        <v/>
      </c>
      <c r="L125">
        <f>F_primary/B125</f>
        <v/>
      </c>
      <c r="M125">
        <f>I125+J125+K125</f>
        <v/>
      </c>
      <c r="N125">
        <f>F_pre/M125</f>
        <v/>
      </c>
    </row>
    <row r="126">
      <c r="B126">
        <f>N125</f>
        <v/>
      </c>
      <c r="C126">
        <f>OCP_D*(preF_FD + F_primary/OCP_D)/(preF_FD + F_primary/B126)</f>
        <v/>
      </c>
      <c r="D126">
        <f>OCP_E*(preF_FD + F_primary/OCP_E)/(preF_FD + F_primary/B126)</f>
        <v/>
      </c>
      <c r="E126">
        <f>D_sh*(OCP_D/C126 - 1)</f>
        <v/>
      </c>
      <c r="F126">
        <f>E_sh*(OCP_E/D126 - 1)</f>
        <v/>
      </c>
      <c r="G126">
        <f>(preF_FD + E126 + F126 - preF_opts + J125 + K125 + F_primary/B126)/(1-esop_target)</f>
        <v/>
      </c>
      <c r="H126">
        <f>MAX(0, esop_target*G126 - preF_opts)</f>
        <v/>
      </c>
      <c r="I126">
        <f>preF_FD + E126 + F126 + H126</f>
        <v/>
      </c>
      <c r="J126">
        <f>NA_P/MIN(NA_cap/(I126+K125), (1-NA_disc)*B126)</f>
        <v/>
      </c>
      <c r="K126">
        <f>NB_P/MIN(NB_cap/(I126+J126), (1-NB_disc)*B126)</f>
        <v/>
      </c>
      <c r="L126">
        <f>F_primary/B126</f>
        <v/>
      </c>
      <c r="M126">
        <f>I126+J126+K126</f>
        <v/>
      </c>
      <c r="N126">
        <f>F_pre/M126</f>
        <v/>
      </c>
    </row>
    <row r="127">
      <c r="B127">
        <f>N126</f>
        <v/>
      </c>
      <c r="C127">
        <f>OCP_D*(preF_FD + F_primary/OCP_D)/(preF_FD + F_primary/B127)</f>
        <v/>
      </c>
      <c r="D127">
        <f>OCP_E*(preF_FD + F_primary/OCP_E)/(preF_FD + F_primary/B127)</f>
        <v/>
      </c>
      <c r="E127">
        <f>D_sh*(OCP_D/C127 - 1)</f>
        <v/>
      </c>
      <c r="F127">
        <f>E_sh*(OCP_E/D127 - 1)</f>
        <v/>
      </c>
      <c r="G127">
        <f>(preF_FD + E127 + F127 - preF_opts + J126 + K126 + F_primary/B127)/(1-esop_target)</f>
        <v/>
      </c>
      <c r="H127">
        <f>MAX(0, esop_target*G127 - preF_opts)</f>
        <v/>
      </c>
      <c r="I127">
        <f>preF_FD + E127 + F127 + H127</f>
        <v/>
      </c>
      <c r="J127">
        <f>NA_P/MIN(NA_cap/(I127+K126), (1-NA_disc)*B127)</f>
        <v/>
      </c>
      <c r="K127">
        <f>NB_P/MIN(NB_cap/(I127+J127), (1-NB_disc)*B127)</f>
        <v/>
      </c>
      <c r="L127">
        <f>F_primary/B127</f>
        <v/>
      </c>
      <c r="M127">
        <f>I127+J127+K127</f>
        <v/>
      </c>
      <c r="N127">
        <f>F_pre/M127</f>
        <v/>
      </c>
    </row>
    <row r="128">
      <c r="B128">
        <f>N127</f>
        <v/>
      </c>
      <c r="C128">
        <f>OCP_D*(preF_FD + F_primary/OCP_D)/(preF_FD + F_primary/B128)</f>
        <v/>
      </c>
      <c r="D128">
        <f>OCP_E*(preF_FD + F_primary/OCP_E)/(preF_FD + F_primary/B128)</f>
        <v/>
      </c>
      <c r="E128">
        <f>D_sh*(OCP_D/C128 - 1)</f>
        <v/>
      </c>
      <c r="F128">
        <f>E_sh*(OCP_E/D128 - 1)</f>
        <v/>
      </c>
      <c r="G128">
        <f>(preF_FD + E128 + F128 - preF_opts + J127 + K127 + F_primary/B128)/(1-esop_target)</f>
        <v/>
      </c>
      <c r="H128">
        <f>MAX(0, esop_target*G128 - preF_opts)</f>
        <v/>
      </c>
      <c r="I128">
        <f>preF_FD + E128 + F128 + H128</f>
        <v/>
      </c>
      <c r="J128">
        <f>NA_P/MIN(NA_cap/(I128+K127), (1-NA_disc)*B128)</f>
        <v/>
      </c>
      <c r="K128">
        <f>NB_P/MIN(NB_cap/(I128+J128), (1-NB_disc)*B128)</f>
        <v/>
      </c>
      <c r="L128">
        <f>F_primary/B128</f>
        <v/>
      </c>
      <c r="M128">
        <f>I128+J128+K128</f>
        <v/>
      </c>
      <c r="N128">
        <f>F_pre/M128</f>
        <v/>
      </c>
    </row>
    <row r="129">
      <c r="B129">
        <f>N128</f>
        <v/>
      </c>
      <c r="C129">
        <f>OCP_D*(preF_FD + F_primary/OCP_D)/(preF_FD + F_primary/B129)</f>
        <v/>
      </c>
      <c r="D129">
        <f>OCP_E*(preF_FD + F_primary/OCP_E)/(preF_FD + F_primary/B129)</f>
        <v/>
      </c>
      <c r="E129">
        <f>D_sh*(OCP_D/C129 - 1)</f>
        <v/>
      </c>
      <c r="F129">
        <f>E_sh*(OCP_E/D129 - 1)</f>
        <v/>
      </c>
      <c r="G129">
        <f>(preF_FD + E129 + F129 - preF_opts + J128 + K128 + F_primary/B129)/(1-esop_target)</f>
        <v/>
      </c>
      <c r="H129">
        <f>MAX(0, esop_target*G129 - preF_opts)</f>
        <v/>
      </c>
      <c r="I129">
        <f>preF_FD + E129 + F129 + H129</f>
        <v/>
      </c>
      <c r="J129">
        <f>NA_P/MIN(NA_cap/(I129+K128), (1-NA_disc)*B129)</f>
        <v/>
      </c>
      <c r="K129">
        <f>NB_P/MIN(NB_cap/(I129+J129), (1-NB_disc)*B129)</f>
        <v/>
      </c>
      <c r="L129">
        <f>F_primary/B129</f>
        <v/>
      </c>
      <c r="M129">
        <f>I129+J129+K129</f>
        <v/>
      </c>
      <c r="N129">
        <f>F_pre/M129</f>
        <v/>
      </c>
    </row>
    <row r="130">
      <c r="B130">
        <f>N129</f>
        <v/>
      </c>
      <c r="C130">
        <f>OCP_D*(preF_FD + F_primary/OCP_D)/(preF_FD + F_primary/B130)</f>
        <v/>
      </c>
      <c r="D130">
        <f>OCP_E*(preF_FD + F_primary/OCP_E)/(preF_FD + F_primary/B130)</f>
        <v/>
      </c>
      <c r="E130">
        <f>D_sh*(OCP_D/C130 - 1)</f>
        <v/>
      </c>
      <c r="F130">
        <f>E_sh*(OCP_E/D130 - 1)</f>
        <v/>
      </c>
      <c r="G130">
        <f>(preF_FD + E130 + F130 - preF_opts + J129 + K129 + F_primary/B130)/(1-esop_target)</f>
        <v/>
      </c>
      <c r="H130">
        <f>MAX(0, esop_target*G130 - preF_opts)</f>
        <v/>
      </c>
      <c r="I130">
        <f>preF_FD + E130 + F130 + H130</f>
        <v/>
      </c>
      <c r="J130">
        <f>NA_P/MIN(NA_cap/(I130+K129), (1-NA_disc)*B130)</f>
        <v/>
      </c>
      <c r="K130">
        <f>NB_P/MIN(NB_cap/(I130+J130), (1-NB_disc)*B130)</f>
        <v/>
      </c>
      <c r="L130">
        <f>F_primary/B130</f>
        <v/>
      </c>
      <c r="M130">
        <f>I130+J130+K130</f>
        <v/>
      </c>
      <c r="N130">
        <f>F_pre/M130</f>
        <v/>
      </c>
    </row>
    <row r="131">
      <c r="B131">
        <f>N130</f>
        <v/>
      </c>
      <c r="C131">
        <f>OCP_D*(preF_FD + F_primary/OCP_D)/(preF_FD + F_primary/B131)</f>
        <v/>
      </c>
      <c r="D131">
        <f>OCP_E*(preF_FD + F_primary/OCP_E)/(preF_FD + F_primary/B131)</f>
        <v/>
      </c>
      <c r="E131">
        <f>D_sh*(OCP_D/C131 - 1)</f>
        <v/>
      </c>
      <c r="F131">
        <f>E_sh*(OCP_E/D131 - 1)</f>
        <v/>
      </c>
      <c r="G131">
        <f>(preF_FD + E131 + F131 - preF_opts + J130 + K130 + F_primary/B131)/(1-esop_target)</f>
        <v/>
      </c>
      <c r="H131">
        <f>MAX(0, esop_target*G131 - preF_opts)</f>
        <v/>
      </c>
      <c r="I131">
        <f>preF_FD + E131 + F131 + H131</f>
        <v/>
      </c>
      <c r="J131">
        <f>NA_P/MIN(NA_cap/(I131+K130), (1-NA_disc)*B131)</f>
        <v/>
      </c>
      <c r="K131">
        <f>NB_P/MIN(NB_cap/(I131+J131), (1-NB_disc)*B131)</f>
        <v/>
      </c>
      <c r="L131">
        <f>F_primary/B131</f>
        <v/>
      </c>
      <c r="M131">
        <f>I131+J131+K131</f>
        <v/>
      </c>
      <c r="N131">
        <f>F_pre/M131</f>
        <v/>
      </c>
    </row>
    <row r="132">
      <c r="B132">
        <f>N131</f>
        <v/>
      </c>
      <c r="C132">
        <f>OCP_D*(preF_FD + F_primary/OCP_D)/(preF_FD + F_primary/B132)</f>
        <v/>
      </c>
      <c r="D132">
        <f>OCP_E*(preF_FD + F_primary/OCP_E)/(preF_FD + F_primary/B132)</f>
        <v/>
      </c>
      <c r="E132">
        <f>D_sh*(OCP_D/C132 - 1)</f>
        <v/>
      </c>
      <c r="F132">
        <f>E_sh*(OCP_E/D132 - 1)</f>
        <v/>
      </c>
      <c r="G132">
        <f>(preF_FD + E132 + F132 - preF_opts + J131 + K131 + F_primary/B132)/(1-esop_target)</f>
        <v/>
      </c>
      <c r="H132">
        <f>MAX(0, esop_target*G132 - preF_opts)</f>
        <v/>
      </c>
      <c r="I132">
        <f>preF_FD + E132 + F132 + H132</f>
        <v/>
      </c>
      <c r="J132">
        <f>NA_P/MIN(NA_cap/(I132+K131), (1-NA_disc)*B132)</f>
        <v/>
      </c>
      <c r="K132">
        <f>NB_P/MIN(NB_cap/(I132+J132), (1-NB_disc)*B132)</f>
        <v/>
      </c>
      <c r="L132">
        <f>F_primary/B132</f>
        <v/>
      </c>
      <c r="M132">
        <f>I132+J132+K132</f>
        <v/>
      </c>
      <c r="N132">
        <f>F_pre/M132</f>
        <v/>
      </c>
    </row>
    <row r="133">
      <c r="B133">
        <f>N132</f>
        <v/>
      </c>
      <c r="C133">
        <f>OCP_D*(preF_FD + F_primary/OCP_D)/(preF_FD + F_primary/B133)</f>
        <v/>
      </c>
      <c r="D133">
        <f>OCP_E*(preF_FD + F_primary/OCP_E)/(preF_FD + F_primary/B133)</f>
        <v/>
      </c>
      <c r="E133">
        <f>D_sh*(OCP_D/C133 - 1)</f>
        <v/>
      </c>
      <c r="F133">
        <f>E_sh*(OCP_E/D133 - 1)</f>
        <v/>
      </c>
      <c r="G133">
        <f>(preF_FD + E133 + F133 - preF_opts + J132 + K132 + F_primary/B133)/(1-esop_target)</f>
        <v/>
      </c>
      <c r="H133">
        <f>MAX(0, esop_target*G133 - preF_opts)</f>
        <v/>
      </c>
      <c r="I133">
        <f>preF_FD + E133 + F133 + H133</f>
        <v/>
      </c>
      <c r="J133">
        <f>NA_P/MIN(NA_cap/(I133+K132), (1-NA_disc)*B133)</f>
        <v/>
      </c>
      <c r="K133">
        <f>NB_P/MIN(NB_cap/(I133+J133), (1-NB_disc)*B133)</f>
        <v/>
      </c>
      <c r="L133">
        <f>F_primary/B133</f>
        <v/>
      </c>
      <c r="M133">
        <f>I133+J133+K133</f>
        <v/>
      </c>
      <c r="N133">
        <f>F_pre/M133</f>
        <v/>
      </c>
    </row>
    <row r="134">
      <c r="B134">
        <f>N133</f>
        <v/>
      </c>
      <c r="C134">
        <f>OCP_D*(preF_FD + F_primary/OCP_D)/(preF_FD + F_primary/B134)</f>
        <v/>
      </c>
      <c r="D134">
        <f>OCP_E*(preF_FD + F_primary/OCP_E)/(preF_FD + F_primary/B134)</f>
        <v/>
      </c>
      <c r="E134">
        <f>D_sh*(OCP_D/C134 - 1)</f>
        <v/>
      </c>
      <c r="F134">
        <f>E_sh*(OCP_E/D134 - 1)</f>
        <v/>
      </c>
      <c r="G134">
        <f>(preF_FD + E134 + F134 - preF_opts + J133 + K133 + F_primary/B134)/(1-esop_target)</f>
        <v/>
      </c>
      <c r="H134">
        <f>MAX(0, esop_target*G134 - preF_opts)</f>
        <v/>
      </c>
      <c r="I134">
        <f>preF_FD + E134 + F134 + H134</f>
        <v/>
      </c>
      <c r="J134">
        <f>NA_P/MIN(NA_cap/(I134+K133), (1-NA_disc)*B134)</f>
        <v/>
      </c>
      <c r="K134">
        <f>NB_P/MIN(NB_cap/(I134+J134), (1-NB_disc)*B134)</f>
        <v/>
      </c>
      <c r="L134">
        <f>F_primary/B134</f>
        <v/>
      </c>
      <c r="M134">
        <f>I134+J134+K134</f>
        <v/>
      </c>
      <c r="N134">
        <f>F_pre/M134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Waterfall — Per-Class Election Maximization</t>
        </is>
      </c>
    </row>
    <row r="3">
      <c r="A3" s="6" t="inlineStr">
        <is>
          <t>Exit value (USD)</t>
        </is>
      </c>
      <c r="B3" s="7">
        <f>exit_v1</f>
        <v/>
      </c>
      <c r="C3" s="7">
        <f>exit_v2</f>
        <v/>
      </c>
      <c r="D3" s="7">
        <f>exit_v3</f>
        <v/>
      </c>
      <c r="E3" s="7">
        <f>exit_v4</f>
        <v/>
      </c>
      <c r="F3" s="7">
        <f>exit_v5</f>
        <v/>
      </c>
    </row>
    <row r="5">
      <c r="A5" s="3" t="inlineStr">
        <is>
          <t>DISPLAY (converged)</t>
        </is>
      </c>
    </row>
    <row r="6">
      <c r="A6" t="inlineStr">
        <is>
          <t>Prefs paid</t>
        </is>
      </c>
      <c r="B6" s="8">
        <f>B85</f>
        <v/>
      </c>
      <c r="C6" s="8">
        <f>B122</f>
        <v/>
      </c>
      <c r="D6" s="8">
        <f>B159</f>
        <v/>
      </c>
      <c r="E6" s="8">
        <f>B196</f>
        <v/>
      </c>
      <c r="F6" s="8">
        <f>B233</f>
        <v/>
      </c>
    </row>
    <row r="7">
      <c r="A7" t="inlineStr">
        <is>
          <t>Residual</t>
        </is>
      </c>
      <c r="B7" s="8">
        <f>C85</f>
        <v/>
      </c>
      <c r="C7" s="8">
        <f>C122</f>
        <v/>
      </c>
      <c r="D7" s="8">
        <f>C159</f>
        <v/>
      </c>
      <c r="E7" s="8">
        <f>C196</f>
        <v/>
      </c>
      <c r="F7" s="8">
        <f>C233</f>
        <v/>
      </c>
    </row>
    <row r="8">
      <c r="A8" t="inlineStr">
        <is>
          <t>Convert shares (incl. common+RSAs+notes)</t>
        </is>
      </c>
      <c r="B8" s="9">
        <f>D85</f>
        <v/>
      </c>
      <c r="C8" s="9">
        <f>D122</f>
        <v/>
      </c>
      <c r="D8" s="9">
        <f>D159</f>
        <v/>
      </c>
      <c r="E8" s="9">
        <f>D196</f>
        <v/>
      </c>
      <c r="F8" s="9">
        <f>D233</f>
        <v/>
      </c>
    </row>
    <row r="9">
      <c r="A9" t="inlineStr">
        <is>
          <t>Exit PPS (used)</t>
        </is>
      </c>
      <c r="B9" s="8">
        <f>H85</f>
        <v/>
      </c>
      <c r="C9" s="8">
        <f>H122</f>
        <v/>
      </c>
      <c r="D9" s="8">
        <f>H159</f>
        <v/>
      </c>
      <c r="E9" s="8">
        <f>H196</f>
        <v/>
      </c>
      <c r="F9" s="8">
        <f>H233</f>
        <v/>
      </c>
    </row>
    <row r="10">
      <c r="A10" t="inlineStr">
        <is>
          <t>F election</t>
        </is>
      </c>
      <c r="B10">
        <f>IF(B9 * F_class_shares &gt; F_primary, "convert", "preference")</f>
        <v/>
      </c>
      <c r="C10">
        <f>IF(C9 * F_class_shares &gt; F_primary, "convert", "preference")</f>
        <v/>
      </c>
      <c r="D10">
        <f>IF(D9 * F_class_shares &gt; F_primary, "convert", "preference")</f>
        <v/>
      </c>
      <c r="E10">
        <f>IF(E9 * F_class_shares &gt; F_primary, "convert", "preference")</f>
        <v/>
      </c>
      <c r="F10">
        <f>IF(F9 * F_class_shares &gt; F_primary, "convert", "preference")</f>
        <v/>
      </c>
    </row>
    <row r="11">
      <c r="A11" t="inlineStr">
        <is>
          <t>E election</t>
        </is>
      </c>
      <c r="B11">
        <f>IF(B9 * E_total &gt; E_inv, "convert", "preference")</f>
        <v/>
      </c>
      <c r="C11">
        <f>IF(C9 * E_total &gt; E_inv, "convert", "preference")</f>
        <v/>
      </c>
      <c r="D11">
        <f>IF(D9 * E_total &gt; E_inv, "convert", "preference")</f>
        <v/>
      </c>
      <c r="E11">
        <f>IF(E9 * E_total &gt; E_inv, "convert", "preference")</f>
        <v/>
      </c>
      <c r="F11">
        <f>IF(F9 * E_total &gt; E_inv, "convert", "preference")</f>
        <v/>
      </c>
    </row>
    <row r="12">
      <c r="A12" t="inlineStr">
        <is>
          <t>D election</t>
        </is>
      </c>
      <c r="B12">
        <f>IF(B9 * D_total &gt; D_inv, "convert", "preference")</f>
        <v/>
      </c>
      <c r="C12">
        <f>IF(C9 * D_total &gt; D_inv, "convert", "preference")</f>
        <v/>
      </c>
      <c r="D12">
        <f>IF(D9 * D_total &gt; D_inv, "convert", "preference")</f>
        <v/>
      </c>
      <c r="E12">
        <f>IF(E9 * D_total &gt; D_inv, "convert", "preference")</f>
        <v/>
      </c>
      <c r="F12">
        <f>IF(F9 * D_total &gt; D_inv, "convert", "preference")</f>
        <v/>
      </c>
    </row>
    <row r="13">
      <c r="A13" t="inlineStr">
        <is>
          <t>C election</t>
        </is>
      </c>
      <c r="B13">
        <f>IF(B9 * C_total &gt; C_inv, "convert", "preference")</f>
        <v/>
      </c>
      <c r="C13">
        <f>IF(C9 * C_total &gt; C_inv, "convert", "preference")</f>
        <v/>
      </c>
      <c r="D13">
        <f>IF(D9 * C_total &gt; C_inv, "convert", "preference")</f>
        <v/>
      </c>
      <c r="E13">
        <f>IF(E9 * C_total &gt; C_inv, "convert", "preference")</f>
        <v/>
      </c>
      <c r="F13">
        <f>IF(F9 * C_total &gt; C_inv, "convert", "preference")</f>
        <v/>
      </c>
    </row>
    <row r="14">
      <c r="A14" t="inlineStr">
        <is>
          <t>B election</t>
        </is>
      </c>
      <c r="B14">
        <f>IF(B9 * B_total &gt; B_inv, "convert", "preference")</f>
        <v/>
      </c>
      <c r="C14">
        <f>IF(C9 * B_total &gt; B_inv, "convert", "preference")</f>
        <v/>
      </c>
      <c r="D14">
        <f>IF(D9 * B_total &gt; B_inv, "convert", "preference")</f>
        <v/>
      </c>
      <c r="E14">
        <f>IF(E9 * B_total &gt; B_inv, "convert", "preference")</f>
        <v/>
      </c>
      <c r="F14">
        <f>IF(F9 * B_total &gt; B_inv, "convert", "preference")</f>
        <v/>
      </c>
    </row>
    <row r="15">
      <c r="A15" t="inlineStr">
        <is>
          <t>A election</t>
        </is>
      </c>
      <c r="B15">
        <f>IF(B9 * A_total &gt; A_inv, "convert", "preference")</f>
        <v/>
      </c>
      <c r="C15">
        <f>IF(C9 * A_total &gt; A_inv, "convert", "preference")</f>
        <v/>
      </c>
      <c r="D15">
        <f>IF(D9 * A_total &gt; A_inv, "convert", "preference")</f>
        <v/>
      </c>
      <c r="E15">
        <f>IF(E9 * A_total &gt; A_inv, "convert", "preference")</f>
        <v/>
      </c>
      <c r="F15">
        <f>IF(F9 * A_total &gt; A_inv, "convert", "preference")</f>
        <v/>
      </c>
    </row>
    <row r="16">
      <c r="A16" t="inlineStr">
        <is>
          <t>Seed election</t>
        </is>
      </c>
      <c r="B16">
        <f>IF(B9 * Seed_total &gt; seed_inv, "convert", "preference")</f>
        <v/>
      </c>
      <c r="C16">
        <f>IF(C9 * Seed_total &gt; seed_inv, "convert", "preference")</f>
        <v/>
      </c>
      <c r="D16">
        <f>IF(D9 * Seed_total &gt; seed_inv, "convert", "preference")</f>
        <v/>
      </c>
      <c r="E16">
        <f>IF(E9 * Seed_total &gt; seed_inv, "convert", "preference")</f>
        <v/>
      </c>
      <c r="F16">
        <f>IF(F9 * Seed_total &gt; seed_inv, "convert", "preference")</f>
        <v/>
      </c>
    </row>
    <row r="18">
      <c r="A18" t="inlineStr">
        <is>
          <t>F payout</t>
        </is>
      </c>
      <c r="B18" s="8">
        <f>IF(B10="convert", B9 * F_class_shares, F_primary)</f>
        <v/>
      </c>
      <c r="C18" s="8">
        <f>IF(C10="convert", C9 * F_class_shares, F_primary)</f>
        <v/>
      </c>
      <c r="D18" s="8">
        <f>IF(D10="convert", D9 * F_class_shares, F_primary)</f>
        <v/>
      </c>
      <c r="E18" s="8">
        <f>IF(E10="convert", E9 * F_class_shares, F_primary)</f>
        <v/>
      </c>
      <c r="F18" s="8">
        <f>IF(F10="convert", F9 * F_class_shares, F_primary)</f>
        <v/>
      </c>
    </row>
    <row r="19">
      <c r="A19" t="inlineStr">
        <is>
          <t>E payout</t>
        </is>
      </c>
      <c r="B19" s="8">
        <f>IF(B11="convert", B9 * E_total, E_inv)</f>
        <v/>
      </c>
      <c r="C19" s="8">
        <f>IF(C11="convert", C9 * E_total, E_inv)</f>
        <v/>
      </c>
      <c r="D19" s="8">
        <f>IF(D11="convert", D9 * E_total, E_inv)</f>
        <v/>
      </c>
      <c r="E19" s="8">
        <f>IF(E11="convert", E9 * E_total, E_inv)</f>
        <v/>
      </c>
      <c r="F19" s="8">
        <f>IF(F11="convert", F9 * E_total, E_inv)</f>
        <v/>
      </c>
    </row>
    <row r="20">
      <c r="A20" t="inlineStr">
        <is>
          <t>D payout</t>
        </is>
      </c>
      <c r="B20" s="8">
        <f>IF(B12="convert", B9 * D_total, D_inv)</f>
        <v/>
      </c>
      <c r="C20" s="8">
        <f>IF(C12="convert", C9 * D_total, D_inv)</f>
        <v/>
      </c>
      <c r="D20" s="8">
        <f>IF(D12="convert", D9 * D_total, D_inv)</f>
        <v/>
      </c>
      <c r="E20" s="8">
        <f>IF(E12="convert", E9 * D_total, D_inv)</f>
        <v/>
      </c>
      <c r="F20" s="8">
        <f>IF(F12="convert", F9 * D_total, D_inv)</f>
        <v/>
      </c>
    </row>
    <row r="21">
      <c r="A21" t="inlineStr">
        <is>
          <t>C payout</t>
        </is>
      </c>
      <c r="B21" s="8">
        <f>IF(B13="convert", B9 * C_total, C_inv)</f>
        <v/>
      </c>
      <c r="C21" s="8">
        <f>IF(C13="convert", C9 * C_total, C_inv)</f>
        <v/>
      </c>
      <c r="D21" s="8">
        <f>IF(D13="convert", D9 * C_total, C_inv)</f>
        <v/>
      </c>
      <c r="E21" s="8">
        <f>IF(E13="convert", E9 * C_total, C_inv)</f>
        <v/>
      </c>
      <c r="F21" s="8">
        <f>IF(F13="convert", F9 * C_total, C_inv)</f>
        <v/>
      </c>
    </row>
    <row r="22">
      <c r="A22" t="inlineStr">
        <is>
          <t>B payout</t>
        </is>
      </c>
      <c r="B22" s="8">
        <f>IF(B14="convert", B9 * B_total, B_inv)</f>
        <v/>
      </c>
      <c r="C22" s="8">
        <f>IF(C14="convert", C9 * B_total, B_inv)</f>
        <v/>
      </c>
      <c r="D22" s="8">
        <f>IF(D14="convert", D9 * B_total, B_inv)</f>
        <v/>
      </c>
      <c r="E22" s="8">
        <f>IF(E14="convert", E9 * B_total, B_inv)</f>
        <v/>
      </c>
      <c r="F22" s="8">
        <f>IF(F14="convert", F9 * B_total, B_inv)</f>
        <v/>
      </c>
    </row>
    <row r="23">
      <c r="A23" t="inlineStr">
        <is>
          <t>A payout</t>
        </is>
      </c>
      <c r="B23" s="8">
        <f>IF(B15="convert", B9 * A_total, A_inv)</f>
        <v/>
      </c>
      <c r="C23" s="8">
        <f>IF(C15="convert", C9 * A_total, A_inv)</f>
        <v/>
      </c>
      <c r="D23" s="8">
        <f>IF(D15="convert", D9 * A_total, A_inv)</f>
        <v/>
      </c>
      <c r="E23" s="8">
        <f>IF(E15="convert", E9 * A_total, A_inv)</f>
        <v/>
      </c>
      <c r="F23" s="8">
        <f>IF(F15="convert", F9 * A_total, A_inv)</f>
        <v/>
      </c>
    </row>
    <row r="24">
      <c r="A24" t="inlineStr">
        <is>
          <t>Seed payout</t>
        </is>
      </c>
      <c r="B24" s="8">
        <f>IF(B16="convert", B9 * Seed_total, seed_inv)</f>
        <v/>
      </c>
      <c r="C24" s="8">
        <f>IF(C16="convert", C9 * Seed_total, seed_inv)</f>
        <v/>
      </c>
      <c r="D24" s="8">
        <f>IF(D16="convert", D9 * Seed_total, seed_inv)</f>
        <v/>
      </c>
      <c r="E24" s="8">
        <f>IF(E16="convert", E9 * Seed_total, seed_inv)</f>
        <v/>
      </c>
      <c r="F24" s="8">
        <f>IF(F16="convert", F9 * Seed_total, seed_inv)</f>
        <v/>
      </c>
    </row>
    <row r="25">
      <c r="A25" t="inlineStr">
        <is>
          <t>Notes payout (A+B)</t>
        </is>
      </c>
      <c r="B25" s="8">
        <f>B9 * (NA_sh + NB_sh)</f>
        <v/>
      </c>
      <c r="C25" s="8">
        <f>C9 * (NA_sh + NB_sh)</f>
        <v/>
      </c>
      <c r="D25" s="8">
        <f>D9 * (NA_sh + NB_sh)</f>
        <v/>
      </c>
      <c r="E25" s="8">
        <f>E9 * (NA_sh + NB_sh)</f>
        <v/>
      </c>
      <c r="F25" s="8">
        <f>F9 * (NA_sh + NB_sh)</f>
        <v/>
      </c>
    </row>
    <row r="26">
      <c r="A26" t="inlineStr">
        <is>
          <t>Common+RSAs payout</t>
        </is>
      </c>
      <c r="B26" s="8">
        <f>B9 * (F1_sh+F2_sh+F3_sh+RSA_sh)</f>
        <v/>
      </c>
      <c r="C26" s="8">
        <f>C9 * (F1_sh+F2_sh+F3_sh+RSA_sh)</f>
        <v/>
      </c>
      <c r="D26" s="8">
        <f>D9 * (F1_sh+F2_sh+F3_sh+RSA_sh)</f>
        <v/>
      </c>
      <c r="E26" s="8">
        <f>E9 * (F1_sh+F2_sh+F3_sh+RSA_sh)</f>
        <v/>
      </c>
      <c r="F26" s="8">
        <f>F9 * (F1_sh+F2_sh+F3_sh+RSA_sh)</f>
        <v/>
      </c>
    </row>
    <row r="27">
      <c r="A27" t="inlineStr">
        <is>
          <t>Issued options (net of strike)</t>
        </is>
      </c>
      <c r="B27" s="8">
        <f>IF(G85=1, (B9 - opt_strike)*preF_opts_iss, 0)</f>
        <v/>
      </c>
      <c r="C27" s="8">
        <f>IF(G122=1, (C9 - opt_strike)*preF_opts_iss, 0)</f>
        <v/>
      </c>
      <c r="D27" s="8">
        <f>IF(G159=1, (D9 - opt_strike)*preF_opts_iss, 0)</f>
        <v/>
      </c>
      <c r="E27" s="8">
        <f>IF(G196=1, (E9 - opt_strike)*preF_opts_iss, 0)</f>
        <v/>
      </c>
      <c r="F27" s="8">
        <f>IF(G233=1, (F9 - opt_strike)*preF_opts_iss, 0)</f>
        <v/>
      </c>
    </row>
    <row r="28">
      <c r="A28" s="6" t="inlineStr">
        <is>
          <t>Total</t>
        </is>
      </c>
      <c r="B28" s="8">
        <f>B18+B19+B20+B21+B22+B23+B24+B25+B26+B27</f>
        <v/>
      </c>
      <c r="C28" s="8">
        <f>C18+C19+C20+C21+C22+C23+C24+C25+C26+C27</f>
        <v/>
      </c>
      <c r="D28" s="8">
        <f>D18+D19+D20+D21+D22+D23+D24+D25+D26+D27</f>
        <v/>
      </c>
      <c r="E28" s="8">
        <f>E18+E19+E20+E21+E22+E23+E24+E25+E26+E27</f>
        <v/>
      </c>
      <c r="F28" s="8">
        <f>F18+F19+F20+F21+F22+F23+F24+F25+F26+F27</f>
        <v/>
      </c>
    </row>
    <row r="29">
      <c r="A29" t="inlineStr">
        <is>
          <t>Reconciliation diff (USD)</t>
        </is>
      </c>
      <c r="B29" s="8">
        <f>B3 - B28</f>
        <v/>
      </c>
      <c r="C29" s="8">
        <f>C3 - C28</f>
        <v/>
      </c>
      <c r="D29" s="8">
        <f>D3 - D28</f>
        <v/>
      </c>
      <c r="E29" s="8">
        <f>E3 - E28</f>
        <v/>
      </c>
      <c r="F29" s="8">
        <f>F3 - F28</f>
        <v/>
      </c>
    </row>
    <row r="49">
      <c r="A49" s="6" t="inlineStr">
        <is>
          <t>--- Iteration block for exit exit_v1 ---</t>
        </is>
      </c>
    </row>
    <row r="50">
      <c r="A50" s="6" t="inlineStr">
        <is>
          <t>iter</t>
        </is>
      </c>
      <c r="B50" s="6" t="inlineStr">
        <is>
          <t>prefs_paid</t>
        </is>
      </c>
      <c r="C50" s="6" t="inlineStr">
        <is>
          <t>residual</t>
        </is>
      </c>
      <c r="D50" s="6" t="inlineStr">
        <is>
          <t>cv_shares</t>
        </is>
      </c>
      <c r="E50" s="6" t="inlineStr">
        <is>
          <t>PPS_naive</t>
        </is>
      </c>
      <c r="F50" s="6" t="inlineStr">
        <is>
          <t>PPS_w_opts</t>
        </is>
      </c>
      <c r="G50" s="6" t="inlineStr">
        <is>
          <t>ITM</t>
        </is>
      </c>
      <c r="H50" s="6" t="inlineStr">
        <is>
          <t>PPS</t>
        </is>
      </c>
      <c r="I50" s="6" t="inlineStr">
        <is>
          <t>ic_F</t>
        </is>
      </c>
      <c r="J50" s="6" t="inlineStr">
        <is>
          <t>ic_E</t>
        </is>
      </c>
      <c r="K50" s="6" t="inlineStr">
        <is>
          <t>ic_D</t>
        </is>
      </c>
      <c r="L50" s="6" t="inlineStr">
        <is>
          <t>ic_C</t>
        </is>
      </c>
      <c r="M50" s="6" t="inlineStr">
        <is>
          <t>ic_B</t>
        </is>
      </c>
      <c r="N50" s="6" t="inlineStr">
        <is>
          <t>ic_A</t>
        </is>
      </c>
      <c r="O50" s="6" t="inlineStr">
        <is>
          <t>ic_Seed</t>
        </is>
      </c>
    </row>
    <row r="51">
      <c r="B51">
        <f>(1-I51)*F_primary+(1-J51)*E_inv+(1-K51)*D_inv+(1-L51)*C_inv+(1-M51)*B_inv+(1-N51)*A_inv+(1-O51)*seed_inv</f>
        <v/>
      </c>
      <c r="C51">
        <f>MAX(0, B3 - B51)</f>
        <v/>
      </c>
      <c r="D51">
        <f>F1_sh+F2_sh+F3_sh+RSA_sh+NA_sh+NB_sh+I51*F_class_shares+J51*E_total+K51*D_total+L51*C_total+M51*B_total+N51*A_total+O51*Seed_total</f>
        <v/>
      </c>
      <c r="E51">
        <f>IF(D51&gt;0, C51/D51, 0)</f>
        <v/>
      </c>
      <c r="F51">
        <f>(C51 + preF_opts_iss*opt_strike)/(D51 + preF_opts_iss)</f>
        <v/>
      </c>
      <c r="G51">
        <f>IF(F51&gt;opt_strike,1,0)</f>
        <v/>
      </c>
      <c r="H51">
        <f>IF(G51=1, F51, E51)</f>
        <v/>
      </c>
      <c r="I51">
        <f>IF(0 * F_class_shares &gt; F_primary, 1, 0)</f>
        <v/>
      </c>
      <c r="J51">
        <f>IF(0 * E_total &gt; E_inv, 1, 0)</f>
        <v/>
      </c>
      <c r="K51">
        <f>IF(0 * D_total &gt; D_inv, 1, 0)</f>
        <v/>
      </c>
      <c r="L51">
        <f>IF(0 * C_total &gt; C_inv, 1, 0)</f>
        <v/>
      </c>
      <c r="M51">
        <f>IF(0 * B_total &gt; B_inv, 1, 0)</f>
        <v/>
      </c>
      <c r="N51">
        <f>IF(0 * A_total &gt; A_inv, 1, 0)</f>
        <v/>
      </c>
      <c r="O51">
        <f>IF(0 * Seed_total &gt; seed_inv, 1, 0)</f>
        <v/>
      </c>
    </row>
    <row r="52">
      <c r="B52">
        <f>(1-I52)*F_primary+(1-J52)*E_inv+(1-K52)*D_inv+(1-L52)*C_inv+(1-M52)*B_inv+(1-N52)*A_inv+(1-O52)*seed_inv</f>
        <v/>
      </c>
      <c r="C52">
        <f>MAX(0, B3 - B52)</f>
        <v/>
      </c>
      <c r="D52">
        <f>F1_sh+F2_sh+F3_sh+RSA_sh+NA_sh+NB_sh+I52*F_class_shares+J52*E_total+K52*D_total+L52*C_total+M52*B_total+N52*A_total+O52*Seed_total</f>
        <v/>
      </c>
      <c r="E52">
        <f>IF(D52&gt;0, C52/D52, 0)</f>
        <v/>
      </c>
      <c r="F52">
        <f>(C52 + preF_opts_iss*opt_strike)/(D52 + preF_opts_iss)</f>
        <v/>
      </c>
      <c r="G52">
        <f>IF(F52&gt;opt_strike,1,0)</f>
        <v/>
      </c>
      <c r="H52">
        <f>IF(G52=1, F52, E52)</f>
        <v/>
      </c>
      <c r="I52">
        <f>IF(H51 * F_class_shares &gt; F_primary, 1, 0)</f>
        <v/>
      </c>
      <c r="J52">
        <f>IF(H51 * E_total &gt; E_inv, 1, 0)</f>
        <v/>
      </c>
      <c r="K52">
        <f>IF(H51 * D_total &gt; D_inv, 1, 0)</f>
        <v/>
      </c>
      <c r="L52">
        <f>IF(H51 * C_total &gt; C_inv, 1, 0)</f>
        <v/>
      </c>
      <c r="M52">
        <f>IF(H51 * B_total &gt; B_inv, 1, 0)</f>
        <v/>
      </c>
      <c r="N52">
        <f>IF(H51 * A_total &gt; A_inv, 1, 0)</f>
        <v/>
      </c>
      <c r="O52">
        <f>IF(H51 * Seed_total &gt; seed_inv, 1, 0)</f>
        <v/>
      </c>
    </row>
    <row r="53">
      <c r="B53">
        <f>(1-I53)*F_primary+(1-J53)*E_inv+(1-K53)*D_inv+(1-L53)*C_inv+(1-M53)*B_inv+(1-N53)*A_inv+(1-O53)*seed_inv</f>
        <v/>
      </c>
      <c r="C53">
        <f>MAX(0, B3 - B53)</f>
        <v/>
      </c>
      <c r="D53">
        <f>F1_sh+F2_sh+F3_sh+RSA_sh+NA_sh+NB_sh+I53*F_class_shares+J53*E_total+K53*D_total+L53*C_total+M53*B_total+N53*A_total+O53*Seed_total</f>
        <v/>
      </c>
      <c r="E53">
        <f>IF(D53&gt;0, C53/D53, 0)</f>
        <v/>
      </c>
      <c r="F53">
        <f>(C53 + preF_opts_iss*opt_strike)/(D53 + preF_opts_iss)</f>
        <v/>
      </c>
      <c r="G53">
        <f>IF(F53&gt;opt_strike,1,0)</f>
        <v/>
      </c>
      <c r="H53">
        <f>IF(G53=1, F53, E53)</f>
        <v/>
      </c>
      <c r="I53">
        <f>IF(H52 * F_class_shares &gt; F_primary, 1, 0)</f>
        <v/>
      </c>
      <c r="J53">
        <f>IF(H52 * E_total &gt; E_inv, 1, 0)</f>
        <v/>
      </c>
      <c r="K53">
        <f>IF(H52 * D_total &gt; D_inv, 1, 0)</f>
        <v/>
      </c>
      <c r="L53">
        <f>IF(H52 * C_total &gt; C_inv, 1, 0)</f>
        <v/>
      </c>
      <c r="M53">
        <f>IF(H52 * B_total &gt; B_inv, 1, 0)</f>
        <v/>
      </c>
      <c r="N53">
        <f>IF(H52 * A_total &gt; A_inv, 1, 0)</f>
        <v/>
      </c>
      <c r="O53">
        <f>IF(H52 * Seed_total &gt; seed_inv, 1, 0)</f>
        <v/>
      </c>
    </row>
    <row r="54">
      <c r="B54">
        <f>(1-I54)*F_primary+(1-J54)*E_inv+(1-K54)*D_inv+(1-L54)*C_inv+(1-M54)*B_inv+(1-N54)*A_inv+(1-O54)*seed_inv</f>
        <v/>
      </c>
      <c r="C54">
        <f>MAX(0, B3 - B54)</f>
        <v/>
      </c>
      <c r="D54">
        <f>F1_sh+F2_sh+F3_sh+RSA_sh+NA_sh+NB_sh+I54*F_class_shares+J54*E_total+K54*D_total+L54*C_total+M54*B_total+N54*A_total+O54*Seed_total</f>
        <v/>
      </c>
      <c r="E54">
        <f>IF(D54&gt;0, C54/D54, 0)</f>
        <v/>
      </c>
      <c r="F54">
        <f>(C54 + preF_opts_iss*opt_strike)/(D54 + preF_opts_iss)</f>
        <v/>
      </c>
      <c r="G54">
        <f>IF(F54&gt;opt_strike,1,0)</f>
        <v/>
      </c>
      <c r="H54">
        <f>IF(G54=1, F54, E54)</f>
        <v/>
      </c>
      <c r="I54">
        <f>IF(H53 * F_class_shares &gt; F_primary, 1, 0)</f>
        <v/>
      </c>
      <c r="J54">
        <f>IF(H53 * E_total &gt; E_inv, 1, 0)</f>
        <v/>
      </c>
      <c r="K54">
        <f>IF(H53 * D_total &gt; D_inv, 1, 0)</f>
        <v/>
      </c>
      <c r="L54">
        <f>IF(H53 * C_total &gt; C_inv, 1, 0)</f>
        <v/>
      </c>
      <c r="M54">
        <f>IF(H53 * B_total &gt; B_inv, 1, 0)</f>
        <v/>
      </c>
      <c r="N54">
        <f>IF(H53 * A_total &gt; A_inv, 1, 0)</f>
        <v/>
      </c>
      <c r="O54">
        <f>IF(H53 * Seed_total &gt; seed_inv, 1, 0)</f>
        <v/>
      </c>
    </row>
    <row r="55">
      <c r="B55">
        <f>(1-I55)*F_primary+(1-J55)*E_inv+(1-K55)*D_inv+(1-L55)*C_inv+(1-M55)*B_inv+(1-N55)*A_inv+(1-O55)*seed_inv</f>
        <v/>
      </c>
      <c r="C55">
        <f>MAX(0, B3 - B55)</f>
        <v/>
      </c>
      <c r="D55">
        <f>F1_sh+F2_sh+F3_sh+RSA_sh+NA_sh+NB_sh+I55*F_class_shares+J55*E_total+K55*D_total+L55*C_total+M55*B_total+N55*A_total+O55*Seed_total</f>
        <v/>
      </c>
      <c r="E55">
        <f>IF(D55&gt;0, C55/D55, 0)</f>
        <v/>
      </c>
      <c r="F55">
        <f>(C55 + preF_opts_iss*opt_strike)/(D55 + preF_opts_iss)</f>
        <v/>
      </c>
      <c r="G55">
        <f>IF(F55&gt;opt_strike,1,0)</f>
        <v/>
      </c>
      <c r="H55">
        <f>IF(G55=1, F55, E55)</f>
        <v/>
      </c>
      <c r="I55">
        <f>IF(H54 * F_class_shares &gt; F_primary, 1, 0)</f>
        <v/>
      </c>
      <c r="J55">
        <f>IF(H54 * E_total &gt; E_inv, 1, 0)</f>
        <v/>
      </c>
      <c r="K55">
        <f>IF(H54 * D_total &gt; D_inv, 1, 0)</f>
        <v/>
      </c>
      <c r="L55">
        <f>IF(H54 * C_total &gt; C_inv, 1, 0)</f>
        <v/>
      </c>
      <c r="M55">
        <f>IF(H54 * B_total &gt; B_inv, 1, 0)</f>
        <v/>
      </c>
      <c r="N55">
        <f>IF(H54 * A_total &gt; A_inv, 1, 0)</f>
        <v/>
      </c>
      <c r="O55">
        <f>IF(H54 * Seed_total &gt; seed_inv, 1, 0)</f>
        <v/>
      </c>
    </row>
    <row r="56">
      <c r="B56">
        <f>(1-I56)*F_primary+(1-J56)*E_inv+(1-K56)*D_inv+(1-L56)*C_inv+(1-M56)*B_inv+(1-N56)*A_inv+(1-O56)*seed_inv</f>
        <v/>
      </c>
      <c r="C56">
        <f>MAX(0, B3 - B56)</f>
        <v/>
      </c>
      <c r="D56">
        <f>F1_sh+F2_sh+F3_sh+RSA_sh+NA_sh+NB_sh+I56*F_class_shares+J56*E_total+K56*D_total+L56*C_total+M56*B_total+N56*A_total+O56*Seed_total</f>
        <v/>
      </c>
      <c r="E56">
        <f>IF(D56&gt;0, C56/D56, 0)</f>
        <v/>
      </c>
      <c r="F56">
        <f>(C56 + preF_opts_iss*opt_strike)/(D56 + preF_opts_iss)</f>
        <v/>
      </c>
      <c r="G56">
        <f>IF(F56&gt;opt_strike,1,0)</f>
        <v/>
      </c>
      <c r="H56">
        <f>IF(G56=1, F56, E56)</f>
        <v/>
      </c>
      <c r="I56">
        <f>IF(H55 * F_class_shares &gt; F_primary, 1, 0)</f>
        <v/>
      </c>
      <c r="J56">
        <f>IF(H55 * E_total &gt; E_inv, 1, 0)</f>
        <v/>
      </c>
      <c r="K56">
        <f>IF(H55 * D_total &gt; D_inv, 1, 0)</f>
        <v/>
      </c>
      <c r="L56">
        <f>IF(H55 * C_total &gt; C_inv, 1, 0)</f>
        <v/>
      </c>
      <c r="M56">
        <f>IF(H55 * B_total &gt; B_inv, 1, 0)</f>
        <v/>
      </c>
      <c r="N56">
        <f>IF(H55 * A_total &gt; A_inv, 1, 0)</f>
        <v/>
      </c>
      <c r="O56">
        <f>IF(H55 * Seed_total &gt; seed_inv, 1, 0)</f>
        <v/>
      </c>
    </row>
    <row r="57">
      <c r="B57">
        <f>(1-I57)*F_primary+(1-J57)*E_inv+(1-K57)*D_inv+(1-L57)*C_inv+(1-M57)*B_inv+(1-N57)*A_inv+(1-O57)*seed_inv</f>
        <v/>
      </c>
      <c r="C57">
        <f>MAX(0, B3 - B57)</f>
        <v/>
      </c>
      <c r="D57">
        <f>F1_sh+F2_sh+F3_sh+RSA_sh+NA_sh+NB_sh+I57*F_class_shares+J57*E_total+K57*D_total+L57*C_total+M57*B_total+N57*A_total+O57*Seed_total</f>
        <v/>
      </c>
      <c r="E57">
        <f>IF(D57&gt;0, C57/D57, 0)</f>
        <v/>
      </c>
      <c r="F57">
        <f>(C57 + preF_opts_iss*opt_strike)/(D57 + preF_opts_iss)</f>
        <v/>
      </c>
      <c r="G57">
        <f>IF(F57&gt;opt_strike,1,0)</f>
        <v/>
      </c>
      <c r="H57">
        <f>IF(G57=1, F57, E57)</f>
        <v/>
      </c>
      <c r="I57">
        <f>IF(H56 * F_class_shares &gt; F_primary, 1, 0)</f>
        <v/>
      </c>
      <c r="J57">
        <f>IF(H56 * E_total &gt; E_inv, 1, 0)</f>
        <v/>
      </c>
      <c r="K57">
        <f>IF(H56 * D_total &gt; D_inv, 1, 0)</f>
        <v/>
      </c>
      <c r="L57">
        <f>IF(H56 * C_total &gt; C_inv, 1, 0)</f>
        <v/>
      </c>
      <c r="M57">
        <f>IF(H56 * B_total &gt; B_inv, 1, 0)</f>
        <v/>
      </c>
      <c r="N57">
        <f>IF(H56 * A_total &gt; A_inv, 1, 0)</f>
        <v/>
      </c>
      <c r="O57">
        <f>IF(H56 * Seed_total &gt; seed_inv, 1, 0)</f>
        <v/>
      </c>
    </row>
    <row r="58">
      <c r="B58">
        <f>(1-I58)*F_primary+(1-J58)*E_inv+(1-K58)*D_inv+(1-L58)*C_inv+(1-M58)*B_inv+(1-N58)*A_inv+(1-O58)*seed_inv</f>
        <v/>
      </c>
      <c r="C58">
        <f>MAX(0, B3 - B58)</f>
        <v/>
      </c>
      <c r="D58">
        <f>F1_sh+F2_sh+F3_sh+RSA_sh+NA_sh+NB_sh+I58*F_class_shares+J58*E_total+K58*D_total+L58*C_total+M58*B_total+N58*A_total+O58*Seed_total</f>
        <v/>
      </c>
      <c r="E58">
        <f>IF(D58&gt;0, C58/D58, 0)</f>
        <v/>
      </c>
      <c r="F58">
        <f>(C58 + preF_opts_iss*opt_strike)/(D58 + preF_opts_iss)</f>
        <v/>
      </c>
      <c r="G58">
        <f>IF(F58&gt;opt_strike,1,0)</f>
        <v/>
      </c>
      <c r="H58">
        <f>IF(G58=1, F58, E58)</f>
        <v/>
      </c>
      <c r="I58">
        <f>IF(H57 * F_class_shares &gt; F_primary, 1, 0)</f>
        <v/>
      </c>
      <c r="J58">
        <f>IF(H57 * E_total &gt; E_inv, 1, 0)</f>
        <v/>
      </c>
      <c r="K58">
        <f>IF(H57 * D_total &gt; D_inv, 1, 0)</f>
        <v/>
      </c>
      <c r="L58">
        <f>IF(H57 * C_total &gt; C_inv, 1, 0)</f>
        <v/>
      </c>
      <c r="M58">
        <f>IF(H57 * B_total &gt; B_inv, 1, 0)</f>
        <v/>
      </c>
      <c r="N58">
        <f>IF(H57 * A_total &gt; A_inv, 1, 0)</f>
        <v/>
      </c>
      <c r="O58">
        <f>IF(H57 * Seed_total &gt; seed_inv, 1, 0)</f>
        <v/>
      </c>
    </row>
    <row r="59">
      <c r="B59">
        <f>(1-I59)*F_primary+(1-J59)*E_inv+(1-K59)*D_inv+(1-L59)*C_inv+(1-M59)*B_inv+(1-N59)*A_inv+(1-O59)*seed_inv</f>
        <v/>
      </c>
      <c r="C59">
        <f>MAX(0, B3 - B59)</f>
        <v/>
      </c>
      <c r="D59">
        <f>F1_sh+F2_sh+F3_sh+RSA_sh+NA_sh+NB_sh+I59*F_class_shares+J59*E_total+K59*D_total+L59*C_total+M59*B_total+N59*A_total+O59*Seed_total</f>
        <v/>
      </c>
      <c r="E59">
        <f>IF(D59&gt;0, C59/D59, 0)</f>
        <v/>
      </c>
      <c r="F59">
        <f>(C59 + preF_opts_iss*opt_strike)/(D59 + preF_opts_iss)</f>
        <v/>
      </c>
      <c r="G59">
        <f>IF(F59&gt;opt_strike,1,0)</f>
        <v/>
      </c>
      <c r="H59">
        <f>IF(G59=1, F59, E59)</f>
        <v/>
      </c>
      <c r="I59">
        <f>IF(H58 * F_class_shares &gt; F_primary, 1, 0)</f>
        <v/>
      </c>
      <c r="J59">
        <f>IF(H58 * E_total &gt; E_inv, 1, 0)</f>
        <v/>
      </c>
      <c r="K59">
        <f>IF(H58 * D_total &gt; D_inv, 1, 0)</f>
        <v/>
      </c>
      <c r="L59">
        <f>IF(H58 * C_total &gt; C_inv, 1, 0)</f>
        <v/>
      </c>
      <c r="M59">
        <f>IF(H58 * B_total &gt; B_inv, 1, 0)</f>
        <v/>
      </c>
      <c r="N59">
        <f>IF(H58 * A_total &gt; A_inv, 1, 0)</f>
        <v/>
      </c>
      <c r="O59">
        <f>IF(H58 * Seed_total &gt; seed_inv, 1, 0)</f>
        <v/>
      </c>
    </row>
    <row r="60">
      <c r="B60">
        <f>(1-I60)*F_primary+(1-J60)*E_inv+(1-K60)*D_inv+(1-L60)*C_inv+(1-M60)*B_inv+(1-N60)*A_inv+(1-O60)*seed_inv</f>
        <v/>
      </c>
      <c r="C60">
        <f>MAX(0, B3 - B60)</f>
        <v/>
      </c>
      <c r="D60">
        <f>F1_sh+F2_sh+F3_sh+RSA_sh+NA_sh+NB_sh+I60*F_class_shares+J60*E_total+K60*D_total+L60*C_total+M60*B_total+N60*A_total+O60*Seed_total</f>
        <v/>
      </c>
      <c r="E60">
        <f>IF(D60&gt;0, C60/D60, 0)</f>
        <v/>
      </c>
      <c r="F60">
        <f>(C60 + preF_opts_iss*opt_strike)/(D60 + preF_opts_iss)</f>
        <v/>
      </c>
      <c r="G60">
        <f>IF(F60&gt;opt_strike,1,0)</f>
        <v/>
      </c>
      <c r="H60">
        <f>IF(G60=1, F60, E60)</f>
        <v/>
      </c>
      <c r="I60">
        <f>IF(H59 * F_class_shares &gt; F_primary, 1, 0)</f>
        <v/>
      </c>
      <c r="J60">
        <f>IF(H59 * E_total &gt; E_inv, 1, 0)</f>
        <v/>
      </c>
      <c r="K60">
        <f>IF(H59 * D_total &gt; D_inv, 1, 0)</f>
        <v/>
      </c>
      <c r="L60">
        <f>IF(H59 * C_total &gt; C_inv, 1, 0)</f>
        <v/>
      </c>
      <c r="M60">
        <f>IF(H59 * B_total &gt; B_inv, 1, 0)</f>
        <v/>
      </c>
      <c r="N60">
        <f>IF(H59 * A_total &gt; A_inv, 1, 0)</f>
        <v/>
      </c>
      <c r="O60">
        <f>IF(H59 * Seed_total &gt; seed_inv, 1, 0)</f>
        <v/>
      </c>
    </row>
    <row r="61">
      <c r="B61">
        <f>(1-I61)*F_primary+(1-J61)*E_inv+(1-K61)*D_inv+(1-L61)*C_inv+(1-M61)*B_inv+(1-N61)*A_inv+(1-O61)*seed_inv</f>
        <v/>
      </c>
      <c r="C61">
        <f>MAX(0, B3 - B61)</f>
        <v/>
      </c>
      <c r="D61">
        <f>F1_sh+F2_sh+F3_sh+RSA_sh+NA_sh+NB_sh+I61*F_class_shares+J61*E_total+K61*D_total+L61*C_total+M61*B_total+N61*A_total+O61*Seed_total</f>
        <v/>
      </c>
      <c r="E61">
        <f>IF(D61&gt;0, C61/D61, 0)</f>
        <v/>
      </c>
      <c r="F61">
        <f>(C61 + preF_opts_iss*opt_strike)/(D61 + preF_opts_iss)</f>
        <v/>
      </c>
      <c r="G61">
        <f>IF(F61&gt;opt_strike,1,0)</f>
        <v/>
      </c>
      <c r="H61">
        <f>IF(G61=1, F61, E61)</f>
        <v/>
      </c>
      <c r="I61">
        <f>IF(H60 * F_class_shares &gt; F_primary, 1, 0)</f>
        <v/>
      </c>
      <c r="J61">
        <f>IF(H60 * E_total &gt; E_inv, 1, 0)</f>
        <v/>
      </c>
      <c r="K61">
        <f>IF(H60 * D_total &gt; D_inv, 1, 0)</f>
        <v/>
      </c>
      <c r="L61">
        <f>IF(H60 * C_total &gt; C_inv, 1, 0)</f>
        <v/>
      </c>
      <c r="M61">
        <f>IF(H60 * B_total &gt; B_inv, 1, 0)</f>
        <v/>
      </c>
      <c r="N61">
        <f>IF(H60 * A_total &gt; A_inv, 1, 0)</f>
        <v/>
      </c>
      <c r="O61">
        <f>IF(H60 * Seed_total &gt; seed_inv, 1, 0)</f>
        <v/>
      </c>
    </row>
    <row r="62">
      <c r="B62">
        <f>(1-I62)*F_primary+(1-J62)*E_inv+(1-K62)*D_inv+(1-L62)*C_inv+(1-M62)*B_inv+(1-N62)*A_inv+(1-O62)*seed_inv</f>
        <v/>
      </c>
      <c r="C62">
        <f>MAX(0, B3 - B62)</f>
        <v/>
      </c>
      <c r="D62">
        <f>F1_sh+F2_sh+F3_sh+RSA_sh+NA_sh+NB_sh+I62*F_class_shares+J62*E_total+K62*D_total+L62*C_total+M62*B_total+N62*A_total+O62*Seed_total</f>
        <v/>
      </c>
      <c r="E62">
        <f>IF(D62&gt;0, C62/D62, 0)</f>
        <v/>
      </c>
      <c r="F62">
        <f>(C62 + preF_opts_iss*opt_strike)/(D62 + preF_opts_iss)</f>
        <v/>
      </c>
      <c r="G62">
        <f>IF(F62&gt;opt_strike,1,0)</f>
        <v/>
      </c>
      <c r="H62">
        <f>IF(G62=1, F62, E62)</f>
        <v/>
      </c>
      <c r="I62">
        <f>IF(H61 * F_class_shares &gt; F_primary, 1, 0)</f>
        <v/>
      </c>
      <c r="J62">
        <f>IF(H61 * E_total &gt; E_inv, 1, 0)</f>
        <v/>
      </c>
      <c r="K62">
        <f>IF(H61 * D_total &gt; D_inv, 1, 0)</f>
        <v/>
      </c>
      <c r="L62">
        <f>IF(H61 * C_total &gt; C_inv, 1, 0)</f>
        <v/>
      </c>
      <c r="M62">
        <f>IF(H61 * B_total &gt; B_inv, 1, 0)</f>
        <v/>
      </c>
      <c r="N62">
        <f>IF(H61 * A_total &gt; A_inv, 1, 0)</f>
        <v/>
      </c>
      <c r="O62">
        <f>IF(H61 * Seed_total &gt; seed_inv, 1, 0)</f>
        <v/>
      </c>
    </row>
    <row r="63">
      <c r="B63">
        <f>(1-I63)*F_primary+(1-J63)*E_inv+(1-K63)*D_inv+(1-L63)*C_inv+(1-M63)*B_inv+(1-N63)*A_inv+(1-O63)*seed_inv</f>
        <v/>
      </c>
      <c r="C63">
        <f>MAX(0, B3 - B63)</f>
        <v/>
      </c>
      <c r="D63">
        <f>F1_sh+F2_sh+F3_sh+RSA_sh+NA_sh+NB_sh+I63*F_class_shares+J63*E_total+K63*D_total+L63*C_total+M63*B_total+N63*A_total+O63*Seed_total</f>
        <v/>
      </c>
      <c r="E63">
        <f>IF(D63&gt;0, C63/D63, 0)</f>
        <v/>
      </c>
      <c r="F63">
        <f>(C63 + preF_opts_iss*opt_strike)/(D63 + preF_opts_iss)</f>
        <v/>
      </c>
      <c r="G63">
        <f>IF(F63&gt;opt_strike,1,0)</f>
        <v/>
      </c>
      <c r="H63">
        <f>IF(G63=1, F63, E63)</f>
        <v/>
      </c>
      <c r="I63">
        <f>IF(H62 * F_class_shares &gt; F_primary, 1, 0)</f>
        <v/>
      </c>
      <c r="J63">
        <f>IF(H62 * E_total &gt; E_inv, 1, 0)</f>
        <v/>
      </c>
      <c r="K63">
        <f>IF(H62 * D_total &gt; D_inv, 1, 0)</f>
        <v/>
      </c>
      <c r="L63">
        <f>IF(H62 * C_total &gt; C_inv, 1, 0)</f>
        <v/>
      </c>
      <c r="M63">
        <f>IF(H62 * B_total &gt; B_inv, 1, 0)</f>
        <v/>
      </c>
      <c r="N63">
        <f>IF(H62 * A_total &gt; A_inv, 1, 0)</f>
        <v/>
      </c>
      <c r="O63">
        <f>IF(H62 * Seed_total &gt; seed_inv, 1, 0)</f>
        <v/>
      </c>
    </row>
    <row r="64">
      <c r="B64">
        <f>(1-I64)*F_primary+(1-J64)*E_inv+(1-K64)*D_inv+(1-L64)*C_inv+(1-M64)*B_inv+(1-N64)*A_inv+(1-O64)*seed_inv</f>
        <v/>
      </c>
      <c r="C64">
        <f>MAX(0, B3 - B64)</f>
        <v/>
      </c>
      <c r="D64">
        <f>F1_sh+F2_sh+F3_sh+RSA_sh+NA_sh+NB_sh+I64*F_class_shares+J64*E_total+K64*D_total+L64*C_total+M64*B_total+N64*A_total+O64*Seed_total</f>
        <v/>
      </c>
      <c r="E64">
        <f>IF(D64&gt;0, C64/D64, 0)</f>
        <v/>
      </c>
      <c r="F64">
        <f>(C64 + preF_opts_iss*opt_strike)/(D64 + preF_opts_iss)</f>
        <v/>
      </c>
      <c r="G64">
        <f>IF(F64&gt;opt_strike,1,0)</f>
        <v/>
      </c>
      <c r="H64">
        <f>IF(G64=1, F64, E64)</f>
        <v/>
      </c>
      <c r="I64">
        <f>IF(H63 * F_class_shares &gt; F_primary, 1, 0)</f>
        <v/>
      </c>
      <c r="J64">
        <f>IF(H63 * E_total &gt; E_inv, 1, 0)</f>
        <v/>
      </c>
      <c r="K64">
        <f>IF(H63 * D_total &gt; D_inv, 1, 0)</f>
        <v/>
      </c>
      <c r="L64">
        <f>IF(H63 * C_total &gt; C_inv, 1, 0)</f>
        <v/>
      </c>
      <c r="M64">
        <f>IF(H63 * B_total &gt; B_inv, 1, 0)</f>
        <v/>
      </c>
      <c r="N64">
        <f>IF(H63 * A_total &gt; A_inv, 1, 0)</f>
        <v/>
      </c>
      <c r="O64">
        <f>IF(H63 * Seed_total &gt; seed_inv, 1, 0)</f>
        <v/>
      </c>
    </row>
    <row r="65">
      <c r="B65">
        <f>(1-I65)*F_primary+(1-J65)*E_inv+(1-K65)*D_inv+(1-L65)*C_inv+(1-M65)*B_inv+(1-N65)*A_inv+(1-O65)*seed_inv</f>
        <v/>
      </c>
      <c r="C65">
        <f>MAX(0, B3 - B65)</f>
        <v/>
      </c>
      <c r="D65">
        <f>F1_sh+F2_sh+F3_sh+RSA_sh+NA_sh+NB_sh+I65*F_class_shares+J65*E_total+K65*D_total+L65*C_total+M65*B_total+N65*A_total+O65*Seed_total</f>
        <v/>
      </c>
      <c r="E65">
        <f>IF(D65&gt;0, C65/D65, 0)</f>
        <v/>
      </c>
      <c r="F65">
        <f>(C65 + preF_opts_iss*opt_strike)/(D65 + preF_opts_iss)</f>
        <v/>
      </c>
      <c r="G65">
        <f>IF(F65&gt;opt_strike,1,0)</f>
        <v/>
      </c>
      <c r="H65">
        <f>IF(G65=1, F65, E65)</f>
        <v/>
      </c>
      <c r="I65">
        <f>IF(H64 * F_class_shares &gt; F_primary, 1, 0)</f>
        <v/>
      </c>
      <c r="J65">
        <f>IF(H64 * E_total &gt; E_inv, 1, 0)</f>
        <v/>
      </c>
      <c r="K65">
        <f>IF(H64 * D_total &gt; D_inv, 1, 0)</f>
        <v/>
      </c>
      <c r="L65">
        <f>IF(H64 * C_total &gt; C_inv, 1, 0)</f>
        <v/>
      </c>
      <c r="M65">
        <f>IF(H64 * B_total &gt; B_inv, 1, 0)</f>
        <v/>
      </c>
      <c r="N65">
        <f>IF(H64 * A_total &gt; A_inv, 1, 0)</f>
        <v/>
      </c>
      <c r="O65">
        <f>IF(H64 * Seed_total &gt; seed_inv, 1, 0)</f>
        <v/>
      </c>
    </row>
    <row r="66">
      <c r="B66">
        <f>(1-I66)*F_primary+(1-J66)*E_inv+(1-K66)*D_inv+(1-L66)*C_inv+(1-M66)*B_inv+(1-N66)*A_inv+(1-O66)*seed_inv</f>
        <v/>
      </c>
      <c r="C66">
        <f>MAX(0, B3 - B66)</f>
        <v/>
      </c>
      <c r="D66">
        <f>F1_sh+F2_sh+F3_sh+RSA_sh+NA_sh+NB_sh+I66*F_class_shares+J66*E_total+K66*D_total+L66*C_total+M66*B_total+N66*A_total+O66*Seed_total</f>
        <v/>
      </c>
      <c r="E66">
        <f>IF(D66&gt;0, C66/D66, 0)</f>
        <v/>
      </c>
      <c r="F66">
        <f>(C66 + preF_opts_iss*opt_strike)/(D66 + preF_opts_iss)</f>
        <v/>
      </c>
      <c r="G66">
        <f>IF(F66&gt;opt_strike,1,0)</f>
        <v/>
      </c>
      <c r="H66">
        <f>IF(G66=1, F66, E66)</f>
        <v/>
      </c>
      <c r="I66">
        <f>IF(H65 * F_class_shares &gt; F_primary, 1, 0)</f>
        <v/>
      </c>
      <c r="J66">
        <f>IF(H65 * E_total &gt; E_inv, 1, 0)</f>
        <v/>
      </c>
      <c r="K66">
        <f>IF(H65 * D_total &gt; D_inv, 1, 0)</f>
        <v/>
      </c>
      <c r="L66">
        <f>IF(H65 * C_total &gt; C_inv, 1, 0)</f>
        <v/>
      </c>
      <c r="M66">
        <f>IF(H65 * B_total &gt; B_inv, 1, 0)</f>
        <v/>
      </c>
      <c r="N66">
        <f>IF(H65 * A_total &gt; A_inv, 1, 0)</f>
        <v/>
      </c>
      <c r="O66">
        <f>IF(H65 * Seed_total &gt; seed_inv, 1, 0)</f>
        <v/>
      </c>
    </row>
    <row r="67">
      <c r="B67">
        <f>(1-I67)*F_primary+(1-J67)*E_inv+(1-K67)*D_inv+(1-L67)*C_inv+(1-M67)*B_inv+(1-N67)*A_inv+(1-O67)*seed_inv</f>
        <v/>
      </c>
      <c r="C67">
        <f>MAX(0, B3 - B67)</f>
        <v/>
      </c>
      <c r="D67">
        <f>F1_sh+F2_sh+F3_sh+RSA_sh+NA_sh+NB_sh+I67*F_class_shares+J67*E_total+K67*D_total+L67*C_total+M67*B_total+N67*A_total+O67*Seed_total</f>
        <v/>
      </c>
      <c r="E67">
        <f>IF(D67&gt;0, C67/D67, 0)</f>
        <v/>
      </c>
      <c r="F67">
        <f>(C67 + preF_opts_iss*opt_strike)/(D67 + preF_opts_iss)</f>
        <v/>
      </c>
      <c r="G67">
        <f>IF(F67&gt;opt_strike,1,0)</f>
        <v/>
      </c>
      <c r="H67">
        <f>IF(G67=1, F67, E67)</f>
        <v/>
      </c>
      <c r="I67">
        <f>IF(H66 * F_class_shares &gt; F_primary, 1, 0)</f>
        <v/>
      </c>
      <c r="J67">
        <f>IF(H66 * E_total &gt; E_inv, 1, 0)</f>
        <v/>
      </c>
      <c r="K67">
        <f>IF(H66 * D_total &gt; D_inv, 1, 0)</f>
        <v/>
      </c>
      <c r="L67">
        <f>IF(H66 * C_total &gt; C_inv, 1, 0)</f>
        <v/>
      </c>
      <c r="M67">
        <f>IF(H66 * B_total &gt; B_inv, 1, 0)</f>
        <v/>
      </c>
      <c r="N67">
        <f>IF(H66 * A_total &gt; A_inv, 1, 0)</f>
        <v/>
      </c>
      <c r="O67">
        <f>IF(H66 * Seed_total &gt; seed_inv, 1, 0)</f>
        <v/>
      </c>
    </row>
    <row r="68">
      <c r="B68">
        <f>(1-I68)*F_primary+(1-J68)*E_inv+(1-K68)*D_inv+(1-L68)*C_inv+(1-M68)*B_inv+(1-N68)*A_inv+(1-O68)*seed_inv</f>
        <v/>
      </c>
      <c r="C68">
        <f>MAX(0, B3 - B68)</f>
        <v/>
      </c>
      <c r="D68">
        <f>F1_sh+F2_sh+F3_sh+RSA_sh+NA_sh+NB_sh+I68*F_class_shares+J68*E_total+K68*D_total+L68*C_total+M68*B_total+N68*A_total+O68*Seed_total</f>
        <v/>
      </c>
      <c r="E68">
        <f>IF(D68&gt;0, C68/D68, 0)</f>
        <v/>
      </c>
      <c r="F68">
        <f>(C68 + preF_opts_iss*opt_strike)/(D68 + preF_opts_iss)</f>
        <v/>
      </c>
      <c r="G68">
        <f>IF(F68&gt;opt_strike,1,0)</f>
        <v/>
      </c>
      <c r="H68">
        <f>IF(G68=1, F68, E68)</f>
        <v/>
      </c>
      <c r="I68">
        <f>IF(H67 * F_class_shares &gt; F_primary, 1, 0)</f>
        <v/>
      </c>
      <c r="J68">
        <f>IF(H67 * E_total &gt; E_inv, 1, 0)</f>
        <v/>
      </c>
      <c r="K68">
        <f>IF(H67 * D_total &gt; D_inv, 1, 0)</f>
        <v/>
      </c>
      <c r="L68">
        <f>IF(H67 * C_total &gt; C_inv, 1, 0)</f>
        <v/>
      </c>
      <c r="M68">
        <f>IF(H67 * B_total &gt; B_inv, 1, 0)</f>
        <v/>
      </c>
      <c r="N68">
        <f>IF(H67 * A_total &gt; A_inv, 1, 0)</f>
        <v/>
      </c>
      <c r="O68">
        <f>IF(H67 * Seed_total &gt; seed_inv, 1, 0)</f>
        <v/>
      </c>
    </row>
    <row r="69">
      <c r="B69">
        <f>(1-I69)*F_primary+(1-J69)*E_inv+(1-K69)*D_inv+(1-L69)*C_inv+(1-M69)*B_inv+(1-N69)*A_inv+(1-O69)*seed_inv</f>
        <v/>
      </c>
      <c r="C69">
        <f>MAX(0, B3 - B69)</f>
        <v/>
      </c>
      <c r="D69">
        <f>F1_sh+F2_sh+F3_sh+RSA_sh+NA_sh+NB_sh+I69*F_class_shares+J69*E_total+K69*D_total+L69*C_total+M69*B_total+N69*A_total+O69*Seed_total</f>
        <v/>
      </c>
      <c r="E69">
        <f>IF(D69&gt;0, C69/D69, 0)</f>
        <v/>
      </c>
      <c r="F69">
        <f>(C69 + preF_opts_iss*opt_strike)/(D69 + preF_opts_iss)</f>
        <v/>
      </c>
      <c r="G69">
        <f>IF(F69&gt;opt_strike,1,0)</f>
        <v/>
      </c>
      <c r="H69">
        <f>IF(G69=1, F69, E69)</f>
        <v/>
      </c>
      <c r="I69">
        <f>IF(H68 * F_class_shares &gt; F_primary, 1, 0)</f>
        <v/>
      </c>
      <c r="J69">
        <f>IF(H68 * E_total &gt; E_inv, 1, 0)</f>
        <v/>
      </c>
      <c r="K69">
        <f>IF(H68 * D_total &gt; D_inv, 1, 0)</f>
        <v/>
      </c>
      <c r="L69">
        <f>IF(H68 * C_total &gt; C_inv, 1, 0)</f>
        <v/>
      </c>
      <c r="M69">
        <f>IF(H68 * B_total &gt; B_inv, 1, 0)</f>
        <v/>
      </c>
      <c r="N69">
        <f>IF(H68 * A_total &gt; A_inv, 1, 0)</f>
        <v/>
      </c>
      <c r="O69">
        <f>IF(H68 * Seed_total &gt; seed_inv, 1, 0)</f>
        <v/>
      </c>
    </row>
    <row r="70">
      <c r="B70">
        <f>(1-I70)*F_primary+(1-J70)*E_inv+(1-K70)*D_inv+(1-L70)*C_inv+(1-M70)*B_inv+(1-N70)*A_inv+(1-O70)*seed_inv</f>
        <v/>
      </c>
      <c r="C70">
        <f>MAX(0, B3 - B70)</f>
        <v/>
      </c>
      <c r="D70">
        <f>F1_sh+F2_sh+F3_sh+RSA_sh+NA_sh+NB_sh+I70*F_class_shares+J70*E_total+K70*D_total+L70*C_total+M70*B_total+N70*A_total+O70*Seed_total</f>
        <v/>
      </c>
      <c r="E70">
        <f>IF(D70&gt;0, C70/D70, 0)</f>
        <v/>
      </c>
      <c r="F70">
        <f>(C70 + preF_opts_iss*opt_strike)/(D70 + preF_opts_iss)</f>
        <v/>
      </c>
      <c r="G70">
        <f>IF(F70&gt;opt_strike,1,0)</f>
        <v/>
      </c>
      <c r="H70">
        <f>IF(G70=1, F70, E70)</f>
        <v/>
      </c>
      <c r="I70">
        <f>IF(H69 * F_class_shares &gt; F_primary, 1, 0)</f>
        <v/>
      </c>
      <c r="J70">
        <f>IF(H69 * E_total &gt; E_inv, 1, 0)</f>
        <v/>
      </c>
      <c r="K70">
        <f>IF(H69 * D_total &gt; D_inv, 1, 0)</f>
        <v/>
      </c>
      <c r="L70">
        <f>IF(H69 * C_total &gt; C_inv, 1, 0)</f>
        <v/>
      </c>
      <c r="M70">
        <f>IF(H69 * B_total &gt; B_inv, 1, 0)</f>
        <v/>
      </c>
      <c r="N70">
        <f>IF(H69 * A_total &gt; A_inv, 1, 0)</f>
        <v/>
      </c>
      <c r="O70">
        <f>IF(H69 * Seed_total &gt; seed_inv, 1, 0)</f>
        <v/>
      </c>
    </row>
    <row r="71">
      <c r="B71">
        <f>(1-I71)*F_primary+(1-J71)*E_inv+(1-K71)*D_inv+(1-L71)*C_inv+(1-M71)*B_inv+(1-N71)*A_inv+(1-O71)*seed_inv</f>
        <v/>
      </c>
      <c r="C71">
        <f>MAX(0, B3 - B71)</f>
        <v/>
      </c>
      <c r="D71">
        <f>F1_sh+F2_sh+F3_sh+RSA_sh+NA_sh+NB_sh+I71*F_class_shares+J71*E_total+K71*D_total+L71*C_total+M71*B_total+N71*A_total+O71*Seed_total</f>
        <v/>
      </c>
      <c r="E71">
        <f>IF(D71&gt;0, C71/D71, 0)</f>
        <v/>
      </c>
      <c r="F71">
        <f>(C71 + preF_opts_iss*opt_strike)/(D71 + preF_opts_iss)</f>
        <v/>
      </c>
      <c r="G71">
        <f>IF(F71&gt;opt_strike,1,0)</f>
        <v/>
      </c>
      <c r="H71">
        <f>IF(G71=1, F71, E71)</f>
        <v/>
      </c>
      <c r="I71">
        <f>IF(H70 * F_class_shares &gt; F_primary, 1, 0)</f>
        <v/>
      </c>
      <c r="J71">
        <f>IF(H70 * E_total &gt; E_inv, 1, 0)</f>
        <v/>
      </c>
      <c r="K71">
        <f>IF(H70 * D_total &gt; D_inv, 1, 0)</f>
        <v/>
      </c>
      <c r="L71">
        <f>IF(H70 * C_total &gt; C_inv, 1, 0)</f>
        <v/>
      </c>
      <c r="M71">
        <f>IF(H70 * B_total &gt; B_inv, 1, 0)</f>
        <v/>
      </c>
      <c r="N71">
        <f>IF(H70 * A_total &gt; A_inv, 1, 0)</f>
        <v/>
      </c>
      <c r="O71">
        <f>IF(H70 * Seed_total &gt; seed_inv, 1, 0)</f>
        <v/>
      </c>
    </row>
    <row r="72">
      <c r="B72">
        <f>(1-I72)*F_primary+(1-J72)*E_inv+(1-K72)*D_inv+(1-L72)*C_inv+(1-M72)*B_inv+(1-N72)*A_inv+(1-O72)*seed_inv</f>
        <v/>
      </c>
      <c r="C72">
        <f>MAX(0, B3 - B72)</f>
        <v/>
      </c>
      <c r="D72">
        <f>F1_sh+F2_sh+F3_sh+RSA_sh+NA_sh+NB_sh+I72*F_class_shares+J72*E_total+K72*D_total+L72*C_total+M72*B_total+N72*A_total+O72*Seed_total</f>
        <v/>
      </c>
      <c r="E72">
        <f>IF(D72&gt;0, C72/D72, 0)</f>
        <v/>
      </c>
      <c r="F72">
        <f>(C72 + preF_opts_iss*opt_strike)/(D72 + preF_opts_iss)</f>
        <v/>
      </c>
      <c r="G72">
        <f>IF(F72&gt;opt_strike,1,0)</f>
        <v/>
      </c>
      <c r="H72">
        <f>IF(G72=1, F72, E72)</f>
        <v/>
      </c>
      <c r="I72">
        <f>IF(H71 * F_class_shares &gt; F_primary, 1, 0)</f>
        <v/>
      </c>
      <c r="J72">
        <f>IF(H71 * E_total &gt; E_inv, 1, 0)</f>
        <v/>
      </c>
      <c r="K72">
        <f>IF(H71 * D_total &gt; D_inv, 1, 0)</f>
        <v/>
      </c>
      <c r="L72">
        <f>IF(H71 * C_total &gt; C_inv, 1, 0)</f>
        <v/>
      </c>
      <c r="M72">
        <f>IF(H71 * B_total &gt; B_inv, 1, 0)</f>
        <v/>
      </c>
      <c r="N72">
        <f>IF(H71 * A_total &gt; A_inv, 1, 0)</f>
        <v/>
      </c>
      <c r="O72">
        <f>IF(H71 * Seed_total &gt; seed_inv, 1, 0)</f>
        <v/>
      </c>
    </row>
    <row r="73">
      <c r="B73">
        <f>(1-I73)*F_primary+(1-J73)*E_inv+(1-K73)*D_inv+(1-L73)*C_inv+(1-M73)*B_inv+(1-N73)*A_inv+(1-O73)*seed_inv</f>
        <v/>
      </c>
      <c r="C73">
        <f>MAX(0, B3 - B73)</f>
        <v/>
      </c>
      <c r="D73">
        <f>F1_sh+F2_sh+F3_sh+RSA_sh+NA_sh+NB_sh+I73*F_class_shares+J73*E_total+K73*D_total+L73*C_total+M73*B_total+N73*A_total+O73*Seed_total</f>
        <v/>
      </c>
      <c r="E73">
        <f>IF(D73&gt;0, C73/D73, 0)</f>
        <v/>
      </c>
      <c r="F73">
        <f>(C73 + preF_opts_iss*opt_strike)/(D73 + preF_opts_iss)</f>
        <v/>
      </c>
      <c r="G73">
        <f>IF(F73&gt;opt_strike,1,0)</f>
        <v/>
      </c>
      <c r="H73">
        <f>IF(G73=1, F73, E73)</f>
        <v/>
      </c>
      <c r="I73">
        <f>IF(H72 * F_class_shares &gt; F_primary, 1, 0)</f>
        <v/>
      </c>
      <c r="J73">
        <f>IF(H72 * E_total &gt; E_inv, 1, 0)</f>
        <v/>
      </c>
      <c r="K73">
        <f>IF(H72 * D_total &gt; D_inv, 1, 0)</f>
        <v/>
      </c>
      <c r="L73">
        <f>IF(H72 * C_total &gt; C_inv, 1, 0)</f>
        <v/>
      </c>
      <c r="M73">
        <f>IF(H72 * B_total &gt; B_inv, 1, 0)</f>
        <v/>
      </c>
      <c r="N73">
        <f>IF(H72 * A_total &gt; A_inv, 1, 0)</f>
        <v/>
      </c>
      <c r="O73">
        <f>IF(H72 * Seed_total &gt; seed_inv, 1, 0)</f>
        <v/>
      </c>
    </row>
    <row r="74">
      <c r="B74">
        <f>(1-I74)*F_primary+(1-J74)*E_inv+(1-K74)*D_inv+(1-L74)*C_inv+(1-M74)*B_inv+(1-N74)*A_inv+(1-O74)*seed_inv</f>
        <v/>
      </c>
      <c r="C74">
        <f>MAX(0, B3 - B74)</f>
        <v/>
      </c>
      <c r="D74">
        <f>F1_sh+F2_sh+F3_sh+RSA_sh+NA_sh+NB_sh+I74*F_class_shares+J74*E_total+K74*D_total+L74*C_total+M74*B_total+N74*A_total+O74*Seed_total</f>
        <v/>
      </c>
      <c r="E74">
        <f>IF(D74&gt;0, C74/D74, 0)</f>
        <v/>
      </c>
      <c r="F74">
        <f>(C74 + preF_opts_iss*opt_strike)/(D74 + preF_opts_iss)</f>
        <v/>
      </c>
      <c r="G74">
        <f>IF(F74&gt;opt_strike,1,0)</f>
        <v/>
      </c>
      <c r="H74">
        <f>IF(G74=1, F74, E74)</f>
        <v/>
      </c>
      <c r="I74">
        <f>IF(H73 * F_class_shares &gt; F_primary, 1, 0)</f>
        <v/>
      </c>
      <c r="J74">
        <f>IF(H73 * E_total &gt; E_inv, 1, 0)</f>
        <v/>
      </c>
      <c r="K74">
        <f>IF(H73 * D_total &gt; D_inv, 1, 0)</f>
        <v/>
      </c>
      <c r="L74">
        <f>IF(H73 * C_total &gt; C_inv, 1, 0)</f>
        <v/>
      </c>
      <c r="M74">
        <f>IF(H73 * B_total &gt; B_inv, 1, 0)</f>
        <v/>
      </c>
      <c r="N74">
        <f>IF(H73 * A_total &gt; A_inv, 1, 0)</f>
        <v/>
      </c>
      <c r="O74">
        <f>IF(H73 * Seed_total &gt; seed_inv, 1, 0)</f>
        <v/>
      </c>
    </row>
    <row r="75">
      <c r="B75">
        <f>(1-I75)*F_primary+(1-J75)*E_inv+(1-K75)*D_inv+(1-L75)*C_inv+(1-M75)*B_inv+(1-N75)*A_inv+(1-O75)*seed_inv</f>
        <v/>
      </c>
      <c r="C75">
        <f>MAX(0, B3 - B75)</f>
        <v/>
      </c>
      <c r="D75">
        <f>F1_sh+F2_sh+F3_sh+RSA_sh+NA_sh+NB_sh+I75*F_class_shares+J75*E_total+K75*D_total+L75*C_total+M75*B_total+N75*A_total+O75*Seed_total</f>
        <v/>
      </c>
      <c r="E75">
        <f>IF(D75&gt;0, C75/D75, 0)</f>
        <v/>
      </c>
      <c r="F75">
        <f>(C75 + preF_opts_iss*opt_strike)/(D75 + preF_opts_iss)</f>
        <v/>
      </c>
      <c r="G75">
        <f>IF(F75&gt;opt_strike,1,0)</f>
        <v/>
      </c>
      <c r="H75">
        <f>IF(G75=1, F75, E75)</f>
        <v/>
      </c>
      <c r="I75">
        <f>IF(H74 * F_class_shares &gt; F_primary, 1, 0)</f>
        <v/>
      </c>
      <c r="J75">
        <f>IF(H74 * E_total &gt; E_inv, 1, 0)</f>
        <v/>
      </c>
      <c r="K75">
        <f>IF(H74 * D_total &gt; D_inv, 1, 0)</f>
        <v/>
      </c>
      <c r="L75">
        <f>IF(H74 * C_total &gt; C_inv, 1, 0)</f>
        <v/>
      </c>
      <c r="M75">
        <f>IF(H74 * B_total &gt; B_inv, 1, 0)</f>
        <v/>
      </c>
      <c r="N75">
        <f>IF(H74 * A_total &gt; A_inv, 1, 0)</f>
        <v/>
      </c>
      <c r="O75">
        <f>IF(H74 * Seed_total &gt; seed_inv, 1, 0)</f>
        <v/>
      </c>
    </row>
    <row r="76">
      <c r="B76">
        <f>(1-I76)*F_primary+(1-J76)*E_inv+(1-K76)*D_inv+(1-L76)*C_inv+(1-M76)*B_inv+(1-N76)*A_inv+(1-O76)*seed_inv</f>
        <v/>
      </c>
      <c r="C76">
        <f>MAX(0, B3 - B76)</f>
        <v/>
      </c>
      <c r="D76">
        <f>F1_sh+F2_sh+F3_sh+RSA_sh+NA_sh+NB_sh+I76*F_class_shares+J76*E_total+K76*D_total+L76*C_total+M76*B_total+N76*A_total+O76*Seed_total</f>
        <v/>
      </c>
      <c r="E76">
        <f>IF(D76&gt;0, C76/D76, 0)</f>
        <v/>
      </c>
      <c r="F76">
        <f>(C76 + preF_opts_iss*opt_strike)/(D76 + preF_opts_iss)</f>
        <v/>
      </c>
      <c r="G76">
        <f>IF(F76&gt;opt_strike,1,0)</f>
        <v/>
      </c>
      <c r="H76">
        <f>IF(G76=1, F76, E76)</f>
        <v/>
      </c>
      <c r="I76">
        <f>IF(H75 * F_class_shares &gt; F_primary, 1, 0)</f>
        <v/>
      </c>
      <c r="J76">
        <f>IF(H75 * E_total &gt; E_inv, 1, 0)</f>
        <v/>
      </c>
      <c r="K76">
        <f>IF(H75 * D_total &gt; D_inv, 1, 0)</f>
        <v/>
      </c>
      <c r="L76">
        <f>IF(H75 * C_total &gt; C_inv, 1, 0)</f>
        <v/>
      </c>
      <c r="M76">
        <f>IF(H75 * B_total &gt; B_inv, 1, 0)</f>
        <v/>
      </c>
      <c r="N76">
        <f>IF(H75 * A_total &gt; A_inv, 1, 0)</f>
        <v/>
      </c>
      <c r="O76">
        <f>IF(H75 * Seed_total &gt; seed_inv, 1, 0)</f>
        <v/>
      </c>
    </row>
    <row r="77">
      <c r="B77">
        <f>(1-I77)*F_primary+(1-J77)*E_inv+(1-K77)*D_inv+(1-L77)*C_inv+(1-M77)*B_inv+(1-N77)*A_inv+(1-O77)*seed_inv</f>
        <v/>
      </c>
      <c r="C77">
        <f>MAX(0, B3 - B77)</f>
        <v/>
      </c>
      <c r="D77">
        <f>F1_sh+F2_sh+F3_sh+RSA_sh+NA_sh+NB_sh+I77*F_class_shares+J77*E_total+K77*D_total+L77*C_total+M77*B_total+N77*A_total+O77*Seed_total</f>
        <v/>
      </c>
      <c r="E77">
        <f>IF(D77&gt;0, C77/D77, 0)</f>
        <v/>
      </c>
      <c r="F77">
        <f>(C77 + preF_opts_iss*opt_strike)/(D77 + preF_opts_iss)</f>
        <v/>
      </c>
      <c r="G77">
        <f>IF(F77&gt;opt_strike,1,0)</f>
        <v/>
      </c>
      <c r="H77">
        <f>IF(G77=1, F77, E77)</f>
        <v/>
      </c>
      <c r="I77">
        <f>IF(H76 * F_class_shares &gt; F_primary, 1, 0)</f>
        <v/>
      </c>
      <c r="J77">
        <f>IF(H76 * E_total &gt; E_inv, 1, 0)</f>
        <v/>
      </c>
      <c r="K77">
        <f>IF(H76 * D_total &gt; D_inv, 1, 0)</f>
        <v/>
      </c>
      <c r="L77">
        <f>IF(H76 * C_total &gt; C_inv, 1, 0)</f>
        <v/>
      </c>
      <c r="M77">
        <f>IF(H76 * B_total &gt; B_inv, 1, 0)</f>
        <v/>
      </c>
      <c r="N77">
        <f>IF(H76 * A_total &gt; A_inv, 1, 0)</f>
        <v/>
      </c>
      <c r="O77">
        <f>IF(H76 * Seed_total &gt; seed_inv, 1, 0)</f>
        <v/>
      </c>
    </row>
    <row r="78">
      <c r="B78">
        <f>(1-I78)*F_primary+(1-J78)*E_inv+(1-K78)*D_inv+(1-L78)*C_inv+(1-M78)*B_inv+(1-N78)*A_inv+(1-O78)*seed_inv</f>
        <v/>
      </c>
      <c r="C78">
        <f>MAX(0, B3 - B78)</f>
        <v/>
      </c>
      <c r="D78">
        <f>F1_sh+F2_sh+F3_sh+RSA_sh+NA_sh+NB_sh+I78*F_class_shares+J78*E_total+K78*D_total+L78*C_total+M78*B_total+N78*A_total+O78*Seed_total</f>
        <v/>
      </c>
      <c r="E78">
        <f>IF(D78&gt;0, C78/D78, 0)</f>
        <v/>
      </c>
      <c r="F78">
        <f>(C78 + preF_opts_iss*opt_strike)/(D78 + preF_opts_iss)</f>
        <v/>
      </c>
      <c r="G78">
        <f>IF(F78&gt;opt_strike,1,0)</f>
        <v/>
      </c>
      <c r="H78">
        <f>IF(G78=1, F78, E78)</f>
        <v/>
      </c>
      <c r="I78">
        <f>IF(H77 * F_class_shares &gt; F_primary, 1, 0)</f>
        <v/>
      </c>
      <c r="J78">
        <f>IF(H77 * E_total &gt; E_inv, 1, 0)</f>
        <v/>
      </c>
      <c r="K78">
        <f>IF(H77 * D_total &gt; D_inv, 1, 0)</f>
        <v/>
      </c>
      <c r="L78">
        <f>IF(H77 * C_total &gt; C_inv, 1, 0)</f>
        <v/>
      </c>
      <c r="M78">
        <f>IF(H77 * B_total &gt; B_inv, 1, 0)</f>
        <v/>
      </c>
      <c r="N78">
        <f>IF(H77 * A_total &gt; A_inv, 1, 0)</f>
        <v/>
      </c>
      <c r="O78">
        <f>IF(H77 * Seed_total &gt; seed_inv, 1, 0)</f>
        <v/>
      </c>
    </row>
    <row r="79">
      <c r="B79">
        <f>(1-I79)*F_primary+(1-J79)*E_inv+(1-K79)*D_inv+(1-L79)*C_inv+(1-M79)*B_inv+(1-N79)*A_inv+(1-O79)*seed_inv</f>
        <v/>
      </c>
      <c r="C79">
        <f>MAX(0, B3 - B79)</f>
        <v/>
      </c>
      <c r="D79">
        <f>F1_sh+F2_sh+F3_sh+RSA_sh+NA_sh+NB_sh+I79*F_class_shares+J79*E_total+K79*D_total+L79*C_total+M79*B_total+N79*A_total+O79*Seed_total</f>
        <v/>
      </c>
      <c r="E79">
        <f>IF(D79&gt;0, C79/D79, 0)</f>
        <v/>
      </c>
      <c r="F79">
        <f>(C79 + preF_opts_iss*opt_strike)/(D79 + preF_opts_iss)</f>
        <v/>
      </c>
      <c r="G79">
        <f>IF(F79&gt;opt_strike,1,0)</f>
        <v/>
      </c>
      <c r="H79">
        <f>IF(G79=1, F79, E79)</f>
        <v/>
      </c>
      <c r="I79">
        <f>IF(H78 * F_class_shares &gt; F_primary, 1, 0)</f>
        <v/>
      </c>
      <c r="J79">
        <f>IF(H78 * E_total &gt; E_inv, 1, 0)</f>
        <v/>
      </c>
      <c r="K79">
        <f>IF(H78 * D_total &gt; D_inv, 1, 0)</f>
        <v/>
      </c>
      <c r="L79">
        <f>IF(H78 * C_total &gt; C_inv, 1, 0)</f>
        <v/>
      </c>
      <c r="M79">
        <f>IF(H78 * B_total &gt; B_inv, 1, 0)</f>
        <v/>
      </c>
      <c r="N79">
        <f>IF(H78 * A_total &gt; A_inv, 1, 0)</f>
        <v/>
      </c>
      <c r="O79">
        <f>IF(H78 * Seed_total &gt; seed_inv, 1, 0)</f>
        <v/>
      </c>
    </row>
    <row r="80">
      <c r="B80">
        <f>(1-I80)*F_primary+(1-J80)*E_inv+(1-K80)*D_inv+(1-L80)*C_inv+(1-M80)*B_inv+(1-N80)*A_inv+(1-O80)*seed_inv</f>
        <v/>
      </c>
      <c r="C80">
        <f>MAX(0, B3 - B80)</f>
        <v/>
      </c>
      <c r="D80">
        <f>F1_sh+F2_sh+F3_sh+RSA_sh+NA_sh+NB_sh+I80*F_class_shares+J80*E_total+K80*D_total+L80*C_total+M80*B_total+N80*A_total+O80*Seed_total</f>
        <v/>
      </c>
      <c r="E80">
        <f>IF(D80&gt;0, C80/D80, 0)</f>
        <v/>
      </c>
      <c r="F80">
        <f>(C80 + preF_opts_iss*opt_strike)/(D80 + preF_opts_iss)</f>
        <v/>
      </c>
      <c r="G80">
        <f>IF(F80&gt;opt_strike,1,0)</f>
        <v/>
      </c>
      <c r="H80">
        <f>IF(G80=1, F80, E80)</f>
        <v/>
      </c>
      <c r="I80">
        <f>IF(H79 * F_class_shares &gt; F_primary, 1, 0)</f>
        <v/>
      </c>
      <c r="J80">
        <f>IF(H79 * E_total &gt; E_inv, 1, 0)</f>
        <v/>
      </c>
      <c r="K80">
        <f>IF(H79 * D_total &gt; D_inv, 1, 0)</f>
        <v/>
      </c>
      <c r="L80">
        <f>IF(H79 * C_total &gt; C_inv, 1, 0)</f>
        <v/>
      </c>
      <c r="M80">
        <f>IF(H79 * B_total &gt; B_inv, 1, 0)</f>
        <v/>
      </c>
      <c r="N80">
        <f>IF(H79 * A_total &gt; A_inv, 1, 0)</f>
        <v/>
      </c>
      <c r="O80">
        <f>IF(H79 * Seed_total &gt; seed_inv, 1, 0)</f>
        <v/>
      </c>
    </row>
    <row r="81">
      <c r="B81">
        <f>(1-I81)*F_primary+(1-J81)*E_inv+(1-K81)*D_inv+(1-L81)*C_inv+(1-M81)*B_inv+(1-N81)*A_inv+(1-O81)*seed_inv</f>
        <v/>
      </c>
      <c r="C81">
        <f>MAX(0, B3 - B81)</f>
        <v/>
      </c>
      <c r="D81">
        <f>F1_sh+F2_sh+F3_sh+RSA_sh+NA_sh+NB_sh+I81*F_class_shares+J81*E_total+K81*D_total+L81*C_total+M81*B_total+N81*A_total+O81*Seed_total</f>
        <v/>
      </c>
      <c r="E81">
        <f>IF(D81&gt;0, C81/D81, 0)</f>
        <v/>
      </c>
      <c r="F81">
        <f>(C81 + preF_opts_iss*opt_strike)/(D81 + preF_opts_iss)</f>
        <v/>
      </c>
      <c r="G81">
        <f>IF(F81&gt;opt_strike,1,0)</f>
        <v/>
      </c>
      <c r="H81">
        <f>IF(G81=1, F81, E81)</f>
        <v/>
      </c>
      <c r="I81">
        <f>IF(H80 * F_class_shares &gt; F_primary, 1, 0)</f>
        <v/>
      </c>
      <c r="J81">
        <f>IF(H80 * E_total &gt; E_inv, 1, 0)</f>
        <v/>
      </c>
      <c r="K81">
        <f>IF(H80 * D_total &gt; D_inv, 1, 0)</f>
        <v/>
      </c>
      <c r="L81">
        <f>IF(H80 * C_total &gt; C_inv, 1, 0)</f>
        <v/>
      </c>
      <c r="M81">
        <f>IF(H80 * B_total &gt; B_inv, 1, 0)</f>
        <v/>
      </c>
      <c r="N81">
        <f>IF(H80 * A_total &gt; A_inv, 1, 0)</f>
        <v/>
      </c>
      <c r="O81">
        <f>IF(H80 * Seed_total &gt; seed_inv, 1, 0)</f>
        <v/>
      </c>
    </row>
    <row r="82">
      <c r="B82">
        <f>(1-I82)*F_primary+(1-J82)*E_inv+(1-K82)*D_inv+(1-L82)*C_inv+(1-M82)*B_inv+(1-N82)*A_inv+(1-O82)*seed_inv</f>
        <v/>
      </c>
      <c r="C82">
        <f>MAX(0, B3 - B82)</f>
        <v/>
      </c>
      <c r="D82">
        <f>F1_sh+F2_sh+F3_sh+RSA_sh+NA_sh+NB_sh+I82*F_class_shares+J82*E_total+K82*D_total+L82*C_total+M82*B_total+N82*A_total+O82*Seed_total</f>
        <v/>
      </c>
      <c r="E82">
        <f>IF(D82&gt;0, C82/D82, 0)</f>
        <v/>
      </c>
      <c r="F82">
        <f>(C82 + preF_opts_iss*opt_strike)/(D82 + preF_opts_iss)</f>
        <v/>
      </c>
      <c r="G82">
        <f>IF(F82&gt;opt_strike,1,0)</f>
        <v/>
      </c>
      <c r="H82">
        <f>IF(G82=1, F82, E82)</f>
        <v/>
      </c>
      <c r="I82">
        <f>IF(H81 * F_class_shares &gt; F_primary, 1, 0)</f>
        <v/>
      </c>
      <c r="J82">
        <f>IF(H81 * E_total &gt; E_inv, 1, 0)</f>
        <v/>
      </c>
      <c r="K82">
        <f>IF(H81 * D_total &gt; D_inv, 1, 0)</f>
        <v/>
      </c>
      <c r="L82">
        <f>IF(H81 * C_total &gt; C_inv, 1, 0)</f>
        <v/>
      </c>
      <c r="M82">
        <f>IF(H81 * B_total &gt; B_inv, 1, 0)</f>
        <v/>
      </c>
      <c r="N82">
        <f>IF(H81 * A_total &gt; A_inv, 1, 0)</f>
        <v/>
      </c>
      <c r="O82">
        <f>IF(H81 * Seed_total &gt; seed_inv, 1, 0)</f>
        <v/>
      </c>
    </row>
    <row r="83">
      <c r="B83">
        <f>(1-I83)*F_primary+(1-J83)*E_inv+(1-K83)*D_inv+(1-L83)*C_inv+(1-M83)*B_inv+(1-N83)*A_inv+(1-O83)*seed_inv</f>
        <v/>
      </c>
      <c r="C83">
        <f>MAX(0, B3 - B83)</f>
        <v/>
      </c>
      <c r="D83">
        <f>F1_sh+F2_sh+F3_sh+RSA_sh+NA_sh+NB_sh+I83*F_class_shares+J83*E_total+K83*D_total+L83*C_total+M83*B_total+N83*A_total+O83*Seed_total</f>
        <v/>
      </c>
      <c r="E83">
        <f>IF(D83&gt;0, C83/D83, 0)</f>
        <v/>
      </c>
      <c r="F83">
        <f>(C83 + preF_opts_iss*opt_strike)/(D83 + preF_opts_iss)</f>
        <v/>
      </c>
      <c r="G83">
        <f>IF(F83&gt;opt_strike,1,0)</f>
        <v/>
      </c>
      <c r="H83">
        <f>IF(G83=1, F83, E83)</f>
        <v/>
      </c>
      <c r="I83">
        <f>IF(H82 * F_class_shares &gt; F_primary, 1, 0)</f>
        <v/>
      </c>
      <c r="J83">
        <f>IF(H82 * E_total &gt; E_inv, 1, 0)</f>
        <v/>
      </c>
      <c r="K83">
        <f>IF(H82 * D_total &gt; D_inv, 1, 0)</f>
        <v/>
      </c>
      <c r="L83">
        <f>IF(H82 * C_total &gt; C_inv, 1, 0)</f>
        <v/>
      </c>
      <c r="M83">
        <f>IF(H82 * B_total &gt; B_inv, 1, 0)</f>
        <v/>
      </c>
      <c r="N83">
        <f>IF(H82 * A_total &gt; A_inv, 1, 0)</f>
        <v/>
      </c>
      <c r="O83">
        <f>IF(H82 * Seed_total &gt; seed_inv, 1, 0)</f>
        <v/>
      </c>
    </row>
    <row r="84">
      <c r="B84">
        <f>(1-I84)*F_primary+(1-J84)*E_inv+(1-K84)*D_inv+(1-L84)*C_inv+(1-M84)*B_inv+(1-N84)*A_inv+(1-O84)*seed_inv</f>
        <v/>
      </c>
      <c r="C84">
        <f>MAX(0, B3 - B84)</f>
        <v/>
      </c>
      <c r="D84">
        <f>F1_sh+F2_sh+F3_sh+RSA_sh+NA_sh+NB_sh+I84*F_class_shares+J84*E_total+K84*D_total+L84*C_total+M84*B_total+N84*A_total+O84*Seed_total</f>
        <v/>
      </c>
      <c r="E84">
        <f>IF(D84&gt;0, C84/D84, 0)</f>
        <v/>
      </c>
      <c r="F84">
        <f>(C84 + preF_opts_iss*opt_strike)/(D84 + preF_opts_iss)</f>
        <v/>
      </c>
      <c r="G84">
        <f>IF(F84&gt;opt_strike,1,0)</f>
        <v/>
      </c>
      <c r="H84">
        <f>IF(G84=1, F84, E84)</f>
        <v/>
      </c>
      <c r="I84">
        <f>IF(H83 * F_class_shares &gt; F_primary, 1, 0)</f>
        <v/>
      </c>
      <c r="J84">
        <f>IF(H83 * E_total &gt; E_inv, 1, 0)</f>
        <v/>
      </c>
      <c r="K84">
        <f>IF(H83 * D_total &gt; D_inv, 1, 0)</f>
        <v/>
      </c>
      <c r="L84">
        <f>IF(H83 * C_total &gt; C_inv, 1, 0)</f>
        <v/>
      </c>
      <c r="M84">
        <f>IF(H83 * B_total &gt; B_inv, 1, 0)</f>
        <v/>
      </c>
      <c r="N84">
        <f>IF(H83 * A_total &gt; A_inv, 1, 0)</f>
        <v/>
      </c>
      <c r="O84">
        <f>IF(H83 * Seed_total &gt; seed_inv, 1, 0)</f>
        <v/>
      </c>
    </row>
    <row r="85">
      <c r="B85">
        <f>(1-I85)*F_primary+(1-J85)*E_inv+(1-K85)*D_inv+(1-L85)*C_inv+(1-M85)*B_inv+(1-N85)*A_inv+(1-O85)*seed_inv</f>
        <v/>
      </c>
      <c r="C85">
        <f>MAX(0, B3 - B85)</f>
        <v/>
      </c>
      <c r="D85">
        <f>F1_sh+F2_sh+F3_sh+RSA_sh+NA_sh+NB_sh+I85*F_class_shares+J85*E_total+K85*D_total+L85*C_total+M85*B_total+N85*A_total+O85*Seed_total</f>
        <v/>
      </c>
      <c r="E85">
        <f>IF(D85&gt;0, C85/D85, 0)</f>
        <v/>
      </c>
      <c r="F85">
        <f>(C85 + preF_opts_iss*opt_strike)/(D85 + preF_opts_iss)</f>
        <v/>
      </c>
      <c r="G85">
        <f>IF(F85&gt;opt_strike,1,0)</f>
        <v/>
      </c>
      <c r="H85">
        <f>IF(G85=1, F85, E85)</f>
        <v/>
      </c>
      <c r="I85">
        <f>IF(H84 * F_class_shares &gt; F_primary, 1, 0)</f>
        <v/>
      </c>
      <c r="J85">
        <f>IF(H84 * E_total &gt; E_inv, 1, 0)</f>
        <v/>
      </c>
      <c r="K85">
        <f>IF(H84 * D_total &gt; D_inv, 1, 0)</f>
        <v/>
      </c>
      <c r="L85">
        <f>IF(H84 * C_total &gt; C_inv, 1, 0)</f>
        <v/>
      </c>
      <c r="M85">
        <f>IF(H84 * B_total &gt; B_inv, 1, 0)</f>
        <v/>
      </c>
      <c r="N85">
        <f>IF(H84 * A_total &gt; A_inv, 1, 0)</f>
        <v/>
      </c>
      <c r="O85">
        <f>IF(H84 * Seed_total &gt; seed_inv, 1, 0)</f>
        <v/>
      </c>
    </row>
    <row r="86">
      <c r="A86" s="6" t="inlineStr">
        <is>
          <t>--- Iteration block for exit exit_v2 ---</t>
        </is>
      </c>
    </row>
    <row r="87">
      <c r="A87" s="6" t="inlineStr">
        <is>
          <t>iter</t>
        </is>
      </c>
      <c r="B87" s="6" t="inlineStr">
        <is>
          <t>prefs_paid</t>
        </is>
      </c>
      <c r="C87" s="6" t="inlineStr">
        <is>
          <t>residual</t>
        </is>
      </c>
      <c r="D87" s="6" t="inlineStr">
        <is>
          <t>cv_shares</t>
        </is>
      </c>
      <c r="E87" s="6" t="inlineStr">
        <is>
          <t>PPS_naive</t>
        </is>
      </c>
      <c r="F87" s="6" t="inlineStr">
        <is>
          <t>PPS_w_opts</t>
        </is>
      </c>
      <c r="G87" s="6" t="inlineStr">
        <is>
          <t>ITM</t>
        </is>
      </c>
      <c r="H87" s="6" t="inlineStr">
        <is>
          <t>PPS</t>
        </is>
      </c>
      <c r="I87" s="6" t="inlineStr">
        <is>
          <t>ic_F</t>
        </is>
      </c>
      <c r="J87" s="6" t="inlineStr">
        <is>
          <t>ic_E</t>
        </is>
      </c>
      <c r="K87" s="6" t="inlineStr">
        <is>
          <t>ic_D</t>
        </is>
      </c>
      <c r="L87" s="6" t="inlineStr">
        <is>
          <t>ic_C</t>
        </is>
      </c>
      <c r="M87" s="6" t="inlineStr">
        <is>
          <t>ic_B</t>
        </is>
      </c>
      <c r="N87" s="6" t="inlineStr">
        <is>
          <t>ic_A</t>
        </is>
      </c>
      <c r="O87" s="6" t="inlineStr">
        <is>
          <t>ic_Seed</t>
        </is>
      </c>
    </row>
    <row r="88">
      <c r="B88">
        <f>(1-I88)*F_primary+(1-J88)*E_inv+(1-K88)*D_inv+(1-L88)*C_inv+(1-M88)*B_inv+(1-N88)*A_inv+(1-O88)*seed_inv</f>
        <v/>
      </c>
      <c r="C88">
        <f>MAX(0, C3 - B88)</f>
        <v/>
      </c>
      <c r="D88">
        <f>F1_sh+F2_sh+F3_sh+RSA_sh+NA_sh+NB_sh+I88*F_class_shares+J88*E_total+K88*D_total+L88*C_total+M88*B_total+N88*A_total+O88*Seed_total</f>
        <v/>
      </c>
      <c r="E88">
        <f>IF(D88&gt;0, C88/D88, 0)</f>
        <v/>
      </c>
      <c r="F88">
        <f>(C88 + preF_opts_iss*opt_strike)/(D88 + preF_opts_iss)</f>
        <v/>
      </c>
      <c r="G88">
        <f>IF(F88&gt;opt_strike,1,0)</f>
        <v/>
      </c>
      <c r="H88">
        <f>IF(G88=1, F88, E88)</f>
        <v/>
      </c>
      <c r="I88">
        <f>IF(0 * F_class_shares &gt; F_primary, 1, 0)</f>
        <v/>
      </c>
      <c r="J88">
        <f>IF(0 * E_total &gt; E_inv, 1, 0)</f>
        <v/>
      </c>
      <c r="K88">
        <f>IF(0 * D_total &gt; D_inv, 1, 0)</f>
        <v/>
      </c>
      <c r="L88">
        <f>IF(0 * C_total &gt; C_inv, 1, 0)</f>
        <v/>
      </c>
      <c r="M88">
        <f>IF(0 * B_total &gt; B_inv, 1, 0)</f>
        <v/>
      </c>
      <c r="N88">
        <f>IF(0 * A_total &gt; A_inv, 1, 0)</f>
        <v/>
      </c>
      <c r="O88">
        <f>IF(0 * Seed_total &gt; seed_inv, 1, 0)</f>
        <v/>
      </c>
    </row>
    <row r="89">
      <c r="B89">
        <f>(1-I89)*F_primary+(1-J89)*E_inv+(1-K89)*D_inv+(1-L89)*C_inv+(1-M89)*B_inv+(1-N89)*A_inv+(1-O89)*seed_inv</f>
        <v/>
      </c>
      <c r="C89">
        <f>MAX(0, C3 - B89)</f>
        <v/>
      </c>
      <c r="D89">
        <f>F1_sh+F2_sh+F3_sh+RSA_sh+NA_sh+NB_sh+I89*F_class_shares+J89*E_total+K89*D_total+L89*C_total+M89*B_total+N89*A_total+O89*Seed_total</f>
        <v/>
      </c>
      <c r="E89">
        <f>IF(D89&gt;0, C89/D89, 0)</f>
        <v/>
      </c>
      <c r="F89">
        <f>(C89 + preF_opts_iss*opt_strike)/(D89 + preF_opts_iss)</f>
        <v/>
      </c>
      <c r="G89">
        <f>IF(F89&gt;opt_strike,1,0)</f>
        <v/>
      </c>
      <c r="H89">
        <f>IF(G89=1, F89, E89)</f>
        <v/>
      </c>
      <c r="I89">
        <f>IF(H88 * F_class_shares &gt; F_primary, 1, 0)</f>
        <v/>
      </c>
      <c r="J89">
        <f>IF(H88 * E_total &gt; E_inv, 1, 0)</f>
        <v/>
      </c>
      <c r="K89">
        <f>IF(H88 * D_total &gt; D_inv, 1, 0)</f>
        <v/>
      </c>
      <c r="L89">
        <f>IF(H88 * C_total &gt; C_inv, 1, 0)</f>
        <v/>
      </c>
      <c r="M89">
        <f>IF(H88 * B_total &gt; B_inv, 1, 0)</f>
        <v/>
      </c>
      <c r="N89">
        <f>IF(H88 * A_total &gt; A_inv, 1, 0)</f>
        <v/>
      </c>
      <c r="O89">
        <f>IF(H88 * Seed_total &gt; seed_inv, 1, 0)</f>
        <v/>
      </c>
    </row>
    <row r="90">
      <c r="B90">
        <f>(1-I90)*F_primary+(1-J90)*E_inv+(1-K90)*D_inv+(1-L90)*C_inv+(1-M90)*B_inv+(1-N90)*A_inv+(1-O90)*seed_inv</f>
        <v/>
      </c>
      <c r="C90">
        <f>MAX(0, C3 - B90)</f>
        <v/>
      </c>
      <c r="D90">
        <f>F1_sh+F2_sh+F3_sh+RSA_sh+NA_sh+NB_sh+I90*F_class_shares+J90*E_total+K90*D_total+L90*C_total+M90*B_total+N90*A_total+O90*Seed_total</f>
        <v/>
      </c>
      <c r="E90">
        <f>IF(D90&gt;0, C90/D90, 0)</f>
        <v/>
      </c>
      <c r="F90">
        <f>(C90 + preF_opts_iss*opt_strike)/(D90 + preF_opts_iss)</f>
        <v/>
      </c>
      <c r="G90">
        <f>IF(F90&gt;opt_strike,1,0)</f>
        <v/>
      </c>
      <c r="H90">
        <f>IF(G90=1, F90, E90)</f>
        <v/>
      </c>
      <c r="I90">
        <f>IF(H89 * F_class_shares &gt; F_primary, 1, 0)</f>
        <v/>
      </c>
      <c r="J90">
        <f>IF(H89 * E_total &gt; E_inv, 1, 0)</f>
        <v/>
      </c>
      <c r="K90">
        <f>IF(H89 * D_total &gt; D_inv, 1, 0)</f>
        <v/>
      </c>
      <c r="L90">
        <f>IF(H89 * C_total &gt; C_inv, 1, 0)</f>
        <v/>
      </c>
      <c r="M90">
        <f>IF(H89 * B_total &gt; B_inv, 1, 0)</f>
        <v/>
      </c>
      <c r="N90">
        <f>IF(H89 * A_total &gt; A_inv, 1, 0)</f>
        <v/>
      </c>
      <c r="O90">
        <f>IF(H89 * Seed_total &gt; seed_inv, 1, 0)</f>
        <v/>
      </c>
    </row>
    <row r="91">
      <c r="B91">
        <f>(1-I91)*F_primary+(1-J91)*E_inv+(1-K91)*D_inv+(1-L91)*C_inv+(1-M91)*B_inv+(1-N91)*A_inv+(1-O91)*seed_inv</f>
        <v/>
      </c>
      <c r="C91">
        <f>MAX(0, C3 - B91)</f>
        <v/>
      </c>
      <c r="D91">
        <f>F1_sh+F2_sh+F3_sh+RSA_sh+NA_sh+NB_sh+I91*F_class_shares+J91*E_total+K91*D_total+L91*C_total+M91*B_total+N91*A_total+O91*Seed_total</f>
        <v/>
      </c>
      <c r="E91">
        <f>IF(D91&gt;0, C91/D91, 0)</f>
        <v/>
      </c>
      <c r="F91">
        <f>(C91 + preF_opts_iss*opt_strike)/(D91 + preF_opts_iss)</f>
        <v/>
      </c>
      <c r="G91">
        <f>IF(F91&gt;opt_strike,1,0)</f>
        <v/>
      </c>
      <c r="H91">
        <f>IF(G91=1, F91, E91)</f>
        <v/>
      </c>
      <c r="I91">
        <f>IF(H90 * F_class_shares &gt; F_primary, 1, 0)</f>
        <v/>
      </c>
      <c r="J91">
        <f>IF(H90 * E_total &gt; E_inv, 1, 0)</f>
        <v/>
      </c>
      <c r="K91">
        <f>IF(H90 * D_total &gt; D_inv, 1, 0)</f>
        <v/>
      </c>
      <c r="L91">
        <f>IF(H90 * C_total &gt; C_inv, 1, 0)</f>
        <v/>
      </c>
      <c r="M91">
        <f>IF(H90 * B_total &gt; B_inv, 1, 0)</f>
        <v/>
      </c>
      <c r="N91">
        <f>IF(H90 * A_total &gt; A_inv, 1, 0)</f>
        <v/>
      </c>
      <c r="O91">
        <f>IF(H90 * Seed_total &gt; seed_inv, 1, 0)</f>
        <v/>
      </c>
    </row>
    <row r="92">
      <c r="B92">
        <f>(1-I92)*F_primary+(1-J92)*E_inv+(1-K92)*D_inv+(1-L92)*C_inv+(1-M92)*B_inv+(1-N92)*A_inv+(1-O92)*seed_inv</f>
        <v/>
      </c>
      <c r="C92">
        <f>MAX(0, C3 - B92)</f>
        <v/>
      </c>
      <c r="D92">
        <f>F1_sh+F2_sh+F3_sh+RSA_sh+NA_sh+NB_sh+I92*F_class_shares+J92*E_total+K92*D_total+L92*C_total+M92*B_total+N92*A_total+O92*Seed_total</f>
        <v/>
      </c>
      <c r="E92">
        <f>IF(D92&gt;0, C92/D92, 0)</f>
        <v/>
      </c>
      <c r="F92">
        <f>(C92 + preF_opts_iss*opt_strike)/(D92 + preF_opts_iss)</f>
        <v/>
      </c>
      <c r="G92">
        <f>IF(F92&gt;opt_strike,1,0)</f>
        <v/>
      </c>
      <c r="H92">
        <f>IF(G92=1, F92, E92)</f>
        <v/>
      </c>
      <c r="I92">
        <f>IF(H91 * F_class_shares &gt; F_primary, 1, 0)</f>
        <v/>
      </c>
      <c r="J92">
        <f>IF(H91 * E_total &gt; E_inv, 1, 0)</f>
        <v/>
      </c>
      <c r="K92">
        <f>IF(H91 * D_total &gt; D_inv, 1, 0)</f>
        <v/>
      </c>
      <c r="L92">
        <f>IF(H91 * C_total &gt; C_inv, 1, 0)</f>
        <v/>
      </c>
      <c r="M92">
        <f>IF(H91 * B_total &gt; B_inv, 1, 0)</f>
        <v/>
      </c>
      <c r="N92">
        <f>IF(H91 * A_total &gt; A_inv, 1, 0)</f>
        <v/>
      </c>
      <c r="O92">
        <f>IF(H91 * Seed_total &gt; seed_inv, 1, 0)</f>
        <v/>
      </c>
    </row>
    <row r="93">
      <c r="B93">
        <f>(1-I93)*F_primary+(1-J93)*E_inv+(1-K93)*D_inv+(1-L93)*C_inv+(1-M93)*B_inv+(1-N93)*A_inv+(1-O93)*seed_inv</f>
        <v/>
      </c>
      <c r="C93">
        <f>MAX(0, C3 - B93)</f>
        <v/>
      </c>
      <c r="D93">
        <f>F1_sh+F2_sh+F3_sh+RSA_sh+NA_sh+NB_sh+I93*F_class_shares+J93*E_total+K93*D_total+L93*C_total+M93*B_total+N93*A_total+O93*Seed_total</f>
        <v/>
      </c>
      <c r="E93">
        <f>IF(D93&gt;0, C93/D93, 0)</f>
        <v/>
      </c>
      <c r="F93">
        <f>(C93 + preF_opts_iss*opt_strike)/(D93 + preF_opts_iss)</f>
        <v/>
      </c>
      <c r="G93">
        <f>IF(F93&gt;opt_strike,1,0)</f>
        <v/>
      </c>
      <c r="H93">
        <f>IF(G93=1, F93, E93)</f>
        <v/>
      </c>
      <c r="I93">
        <f>IF(H92 * F_class_shares &gt; F_primary, 1, 0)</f>
        <v/>
      </c>
      <c r="J93">
        <f>IF(H92 * E_total &gt; E_inv, 1, 0)</f>
        <v/>
      </c>
      <c r="K93">
        <f>IF(H92 * D_total &gt; D_inv, 1, 0)</f>
        <v/>
      </c>
      <c r="L93">
        <f>IF(H92 * C_total &gt; C_inv, 1, 0)</f>
        <v/>
      </c>
      <c r="M93">
        <f>IF(H92 * B_total &gt; B_inv, 1, 0)</f>
        <v/>
      </c>
      <c r="N93">
        <f>IF(H92 * A_total &gt; A_inv, 1, 0)</f>
        <v/>
      </c>
      <c r="O93">
        <f>IF(H92 * Seed_total &gt; seed_inv, 1, 0)</f>
        <v/>
      </c>
    </row>
    <row r="94">
      <c r="B94">
        <f>(1-I94)*F_primary+(1-J94)*E_inv+(1-K94)*D_inv+(1-L94)*C_inv+(1-M94)*B_inv+(1-N94)*A_inv+(1-O94)*seed_inv</f>
        <v/>
      </c>
      <c r="C94">
        <f>MAX(0, C3 - B94)</f>
        <v/>
      </c>
      <c r="D94">
        <f>F1_sh+F2_sh+F3_sh+RSA_sh+NA_sh+NB_sh+I94*F_class_shares+J94*E_total+K94*D_total+L94*C_total+M94*B_total+N94*A_total+O94*Seed_total</f>
        <v/>
      </c>
      <c r="E94">
        <f>IF(D94&gt;0, C94/D94, 0)</f>
        <v/>
      </c>
      <c r="F94">
        <f>(C94 + preF_opts_iss*opt_strike)/(D94 + preF_opts_iss)</f>
        <v/>
      </c>
      <c r="G94">
        <f>IF(F94&gt;opt_strike,1,0)</f>
        <v/>
      </c>
      <c r="H94">
        <f>IF(G94=1, F94, E94)</f>
        <v/>
      </c>
      <c r="I94">
        <f>IF(H93 * F_class_shares &gt; F_primary, 1, 0)</f>
        <v/>
      </c>
      <c r="J94">
        <f>IF(H93 * E_total &gt; E_inv, 1, 0)</f>
        <v/>
      </c>
      <c r="K94">
        <f>IF(H93 * D_total &gt; D_inv, 1, 0)</f>
        <v/>
      </c>
      <c r="L94">
        <f>IF(H93 * C_total &gt; C_inv, 1, 0)</f>
        <v/>
      </c>
      <c r="M94">
        <f>IF(H93 * B_total &gt; B_inv, 1, 0)</f>
        <v/>
      </c>
      <c r="N94">
        <f>IF(H93 * A_total &gt; A_inv, 1, 0)</f>
        <v/>
      </c>
      <c r="O94">
        <f>IF(H93 * Seed_total &gt; seed_inv, 1, 0)</f>
        <v/>
      </c>
    </row>
    <row r="95">
      <c r="B95">
        <f>(1-I95)*F_primary+(1-J95)*E_inv+(1-K95)*D_inv+(1-L95)*C_inv+(1-M95)*B_inv+(1-N95)*A_inv+(1-O95)*seed_inv</f>
        <v/>
      </c>
      <c r="C95">
        <f>MAX(0, C3 - B95)</f>
        <v/>
      </c>
      <c r="D95">
        <f>F1_sh+F2_sh+F3_sh+RSA_sh+NA_sh+NB_sh+I95*F_class_shares+J95*E_total+K95*D_total+L95*C_total+M95*B_total+N95*A_total+O95*Seed_total</f>
        <v/>
      </c>
      <c r="E95">
        <f>IF(D95&gt;0, C95/D95, 0)</f>
        <v/>
      </c>
      <c r="F95">
        <f>(C95 + preF_opts_iss*opt_strike)/(D95 + preF_opts_iss)</f>
        <v/>
      </c>
      <c r="G95">
        <f>IF(F95&gt;opt_strike,1,0)</f>
        <v/>
      </c>
      <c r="H95">
        <f>IF(G95=1, F95, E95)</f>
        <v/>
      </c>
      <c r="I95">
        <f>IF(H94 * F_class_shares &gt; F_primary, 1, 0)</f>
        <v/>
      </c>
      <c r="J95">
        <f>IF(H94 * E_total &gt; E_inv, 1, 0)</f>
        <v/>
      </c>
      <c r="K95">
        <f>IF(H94 * D_total &gt; D_inv, 1, 0)</f>
        <v/>
      </c>
      <c r="L95">
        <f>IF(H94 * C_total &gt; C_inv, 1, 0)</f>
        <v/>
      </c>
      <c r="M95">
        <f>IF(H94 * B_total &gt; B_inv, 1, 0)</f>
        <v/>
      </c>
      <c r="N95">
        <f>IF(H94 * A_total &gt; A_inv, 1, 0)</f>
        <v/>
      </c>
      <c r="O95">
        <f>IF(H94 * Seed_total &gt; seed_inv, 1, 0)</f>
        <v/>
      </c>
    </row>
    <row r="96">
      <c r="B96">
        <f>(1-I96)*F_primary+(1-J96)*E_inv+(1-K96)*D_inv+(1-L96)*C_inv+(1-M96)*B_inv+(1-N96)*A_inv+(1-O96)*seed_inv</f>
        <v/>
      </c>
      <c r="C96">
        <f>MAX(0, C3 - B96)</f>
        <v/>
      </c>
      <c r="D96">
        <f>F1_sh+F2_sh+F3_sh+RSA_sh+NA_sh+NB_sh+I96*F_class_shares+J96*E_total+K96*D_total+L96*C_total+M96*B_total+N96*A_total+O96*Seed_total</f>
        <v/>
      </c>
      <c r="E96">
        <f>IF(D96&gt;0, C96/D96, 0)</f>
        <v/>
      </c>
      <c r="F96">
        <f>(C96 + preF_opts_iss*opt_strike)/(D96 + preF_opts_iss)</f>
        <v/>
      </c>
      <c r="G96">
        <f>IF(F96&gt;opt_strike,1,0)</f>
        <v/>
      </c>
      <c r="H96">
        <f>IF(G96=1, F96, E96)</f>
        <v/>
      </c>
      <c r="I96">
        <f>IF(H95 * F_class_shares &gt; F_primary, 1, 0)</f>
        <v/>
      </c>
      <c r="J96">
        <f>IF(H95 * E_total &gt; E_inv, 1, 0)</f>
        <v/>
      </c>
      <c r="K96">
        <f>IF(H95 * D_total &gt; D_inv, 1, 0)</f>
        <v/>
      </c>
      <c r="L96">
        <f>IF(H95 * C_total &gt; C_inv, 1, 0)</f>
        <v/>
      </c>
      <c r="M96">
        <f>IF(H95 * B_total &gt; B_inv, 1, 0)</f>
        <v/>
      </c>
      <c r="N96">
        <f>IF(H95 * A_total &gt; A_inv, 1, 0)</f>
        <v/>
      </c>
      <c r="O96">
        <f>IF(H95 * Seed_total &gt; seed_inv, 1, 0)</f>
        <v/>
      </c>
    </row>
    <row r="97">
      <c r="B97">
        <f>(1-I97)*F_primary+(1-J97)*E_inv+(1-K97)*D_inv+(1-L97)*C_inv+(1-M97)*B_inv+(1-N97)*A_inv+(1-O97)*seed_inv</f>
        <v/>
      </c>
      <c r="C97">
        <f>MAX(0, C3 - B97)</f>
        <v/>
      </c>
      <c r="D97">
        <f>F1_sh+F2_sh+F3_sh+RSA_sh+NA_sh+NB_sh+I97*F_class_shares+J97*E_total+K97*D_total+L97*C_total+M97*B_total+N97*A_total+O97*Seed_total</f>
        <v/>
      </c>
      <c r="E97">
        <f>IF(D97&gt;0, C97/D97, 0)</f>
        <v/>
      </c>
      <c r="F97">
        <f>(C97 + preF_opts_iss*opt_strike)/(D97 + preF_opts_iss)</f>
        <v/>
      </c>
      <c r="G97">
        <f>IF(F97&gt;opt_strike,1,0)</f>
        <v/>
      </c>
      <c r="H97">
        <f>IF(G97=1, F97, E97)</f>
        <v/>
      </c>
      <c r="I97">
        <f>IF(H96 * F_class_shares &gt; F_primary, 1, 0)</f>
        <v/>
      </c>
      <c r="J97">
        <f>IF(H96 * E_total &gt; E_inv, 1, 0)</f>
        <v/>
      </c>
      <c r="K97">
        <f>IF(H96 * D_total &gt; D_inv, 1, 0)</f>
        <v/>
      </c>
      <c r="L97">
        <f>IF(H96 * C_total &gt; C_inv, 1, 0)</f>
        <v/>
      </c>
      <c r="M97">
        <f>IF(H96 * B_total &gt; B_inv, 1, 0)</f>
        <v/>
      </c>
      <c r="N97">
        <f>IF(H96 * A_total &gt; A_inv, 1, 0)</f>
        <v/>
      </c>
      <c r="O97">
        <f>IF(H96 * Seed_total &gt; seed_inv, 1, 0)</f>
        <v/>
      </c>
    </row>
    <row r="98">
      <c r="B98">
        <f>(1-I98)*F_primary+(1-J98)*E_inv+(1-K98)*D_inv+(1-L98)*C_inv+(1-M98)*B_inv+(1-N98)*A_inv+(1-O98)*seed_inv</f>
        <v/>
      </c>
      <c r="C98">
        <f>MAX(0, C3 - B98)</f>
        <v/>
      </c>
      <c r="D98">
        <f>F1_sh+F2_sh+F3_sh+RSA_sh+NA_sh+NB_sh+I98*F_class_shares+J98*E_total+K98*D_total+L98*C_total+M98*B_total+N98*A_total+O98*Seed_total</f>
        <v/>
      </c>
      <c r="E98">
        <f>IF(D98&gt;0, C98/D98, 0)</f>
        <v/>
      </c>
      <c r="F98">
        <f>(C98 + preF_opts_iss*opt_strike)/(D98 + preF_opts_iss)</f>
        <v/>
      </c>
      <c r="G98">
        <f>IF(F98&gt;opt_strike,1,0)</f>
        <v/>
      </c>
      <c r="H98">
        <f>IF(G98=1, F98, E98)</f>
        <v/>
      </c>
      <c r="I98">
        <f>IF(H97 * F_class_shares &gt; F_primary, 1, 0)</f>
        <v/>
      </c>
      <c r="J98">
        <f>IF(H97 * E_total &gt; E_inv, 1, 0)</f>
        <v/>
      </c>
      <c r="K98">
        <f>IF(H97 * D_total &gt; D_inv, 1, 0)</f>
        <v/>
      </c>
      <c r="L98">
        <f>IF(H97 * C_total &gt; C_inv, 1, 0)</f>
        <v/>
      </c>
      <c r="M98">
        <f>IF(H97 * B_total &gt; B_inv, 1, 0)</f>
        <v/>
      </c>
      <c r="N98">
        <f>IF(H97 * A_total &gt; A_inv, 1, 0)</f>
        <v/>
      </c>
      <c r="O98">
        <f>IF(H97 * Seed_total &gt; seed_inv, 1, 0)</f>
        <v/>
      </c>
    </row>
    <row r="99">
      <c r="B99">
        <f>(1-I99)*F_primary+(1-J99)*E_inv+(1-K99)*D_inv+(1-L99)*C_inv+(1-M99)*B_inv+(1-N99)*A_inv+(1-O99)*seed_inv</f>
        <v/>
      </c>
      <c r="C99">
        <f>MAX(0, C3 - B99)</f>
        <v/>
      </c>
      <c r="D99">
        <f>F1_sh+F2_sh+F3_sh+RSA_sh+NA_sh+NB_sh+I99*F_class_shares+J99*E_total+K99*D_total+L99*C_total+M99*B_total+N99*A_total+O99*Seed_total</f>
        <v/>
      </c>
      <c r="E99">
        <f>IF(D99&gt;0, C99/D99, 0)</f>
        <v/>
      </c>
      <c r="F99">
        <f>(C99 + preF_opts_iss*opt_strike)/(D99 + preF_opts_iss)</f>
        <v/>
      </c>
      <c r="G99">
        <f>IF(F99&gt;opt_strike,1,0)</f>
        <v/>
      </c>
      <c r="H99">
        <f>IF(G99=1, F99, E99)</f>
        <v/>
      </c>
      <c r="I99">
        <f>IF(H98 * F_class_shares &gt; F_primary, 1, 0)</f>
        <v/>
      </c>
      <c r="J99">
        <f>IF(H98 * E_total &gt; E_inv, 1, 0)</f>
        <v/>
      </c>
      <c r="K99">
        <f>IF(H98 * D_total &gt; D_inv, 1, 0)</f>
        <v/>
      </c>
      <c r="L99">
        <f>IF(H98 * C_total &gt; C_inv, 1, 0)</f>
        <v/>
      </c>
      <c r="M99">
        <f>IF(H98 * B_total &gt; B_inv, 1, 0)</f>
        <v/>
      </c>
      <c r="N99">
        <f>IF(H98 * A_total &gt; A_inv, 1, 0)</f>
        <v/>
      </c>
      <c r="O99">
        <f>IF(H98 * Seed_total &gt; seed_inv, 1, 0)</f>
        <v/>
      </c>
    </row>
    <row r="100">
      <c r="B100">
        <f>(1-I100)*F_primary+(1-J100)*E_inv+(1-K100)*D_inv+(1-L100)*C_inv+(1-M100)*B_inv+(1-N100)*A_inv+(1-O100)*seed_inv</f>
        <v/>
      </c>
      <c r="C100">
        <f>MAX(0, C3 - B100)</f>
        <v/>
      </c>
      <c r="D100">
        <f>F1_sh+F2_sh+F3_sh+RSA_sh+NA_sh+NB_sh+I100*F_class_shares+J100*E_total+K100*D_total+L100*C_total+M100*B_total+N100*A_total+O100*Seed_total</f>
        <v/>
      </c>
      <c r="E100">
        <f>IF(D100&gt;0, C100/D100, 0)</f>
        <v/>
      </c>
      <c r="F100">
        <f>(C100 + preF_opts_iss*opt_strike)/(D100 + preF_opts_iss)</f>
        <v/>
      </c>
      <c r="G100">
        <f>IF(F100&gt;opt_strike,1,0)</f>
        <v/>
      </c>
      <c r="H100">
        <f>IF(G100=1, F100, E100)</f>
        <v/>
      </c>
      <c r="I100">
        <f>IF(H99 * F_class_shares &gt; F_primary, 1, 0)</f>
        <v/>
      </c>
      <c r="J100">
        <f>IF(H99 * E_total &gt; E_inv, 1, 0)</f>
        <v/>
      </c>
      <c r="K100">
        <f>IF(H99 * D_total &gt; D_inv, 1, 0)</f>
        <v/>
      </c>
      <c r="L100">
        <f>IF(H99 * C_total &gt; C_inv, 1, 0)</f>
        <v/>
      </c>
      <c r="M100">
        <f>IF(H99 * B_total &gt; B_inv, 1, 0)</f>
        <v/>
      </c>
      <c r="N100">
        <f>IF(H99 * A_total &gt; A_inv, 1, 0)</f>
        <v/>
      </c>
      <c r="O100">
        <f>IF(H99 * Seed_total &gt; seed_inv, 1, 0)</f>
        <v/>
      </c>
    </row>
    <row r="101">
      <c r="B101">
        <f>(1-I101)*F_primary+(1-J101)*E_inv+(1-K101)*D_inv+(1-L101)*C_inv+(1-M101)*B_inv+(1-N101)*A_inv+(1-O101)*seed_inv</f>
        <v/>
      </c>
      <c r="C101">
        <f>MAX(0, C3 - B101)</f>
        <v/>
      </c>
      <c r="D101">
        <f>F1_sh+F2_sh+F3_sh+RSA_sh+NA_sh+NB_sh+I101*F_class_shares+J101*E_total+K101*D_total+L101*C_total+M101*B_total+N101*A_total+O101*Seed_total</f>
        <v/>
      </c>
      <c r="E101">
        <f>IF(D101&gt;0, C101/D101, 0)</f>
        <v/>
      </c>
      <c r="F101">
        <f>(C101 + preF_opts_iss*opt_strike)/(D101 + preF_opts_iss)</f>
        <v/>
      </c>
      <c r="G101">
        <f>IF(F101&gt;opt_strike,1,0)</f>
        <v/>
      </c>
      <c r="H101">
        <f>IF(G101=1, F101, E101)</f>
        <v/>
      </c>
      <c r="I101">
        <f>IF(H100 * F_class_shares &gt; F_primary, 1, 0)</f>
        <v/>
      </c>
      <c r="J101">
        <f>IF(H100 * E_total &gt; E_inv, 1, 0)</f>
        <v/>
      </c>
      <c r="K101">
        <f>IF(H100 * D_total &gt; D_inv, 1, 0)</f>
        <v/>
      </c>
      <c r="L101">
        <f>IF(H100 * C_total &gt; C_inv, 1, 0)</f>
        <v/>
      </c>
      <c r="M101">
        <f>IF(H100 * B_total &gt; B_inv, 1, 0)</f>
        <v/>
      </c>
      <c r="N101">
        <f>IF(H100 * A_total &gt; A_inv, 1, 0)</f>
        <v/>
      </c>
      <c r="O101">
        <f>IF(H100 * Seed_total &gt; seed_inv, 1, 0)</f>
        <v/>
      </c>
    </row>
    <row r="102">
      <c r="B102">
        <f>(1-I102)*F_primary+(1-J102)*E_inv+(1-K102)*D_inv+(1-L102)*C_inv+(1-M102)*B_inv+(1-N102)*A_inv+(1-O102)*seed_inv</f>
        <v/>
      </c>
      <c r="C102">
        <f>MAX(0, C3 - B102)</f>
        <v/>
      </c>
      <c r="D102">
        <f>F1_sh+F2_sh+F3_sh+RSA_sh+NA_sh+NB_sh+I102*F_class_shares+J102*E_total+K102*D_total+L102*C_total+M102*B_total+N102*A_total+O102*Seed_total</f>
        <v/>
      </c>
      <c r="E102">
        <f>IF(D102&gt;0, C102/D102, 0)</f>
        <v/>
      </c>
      <c r="F102">
        <f>(C102 + preF_opts_iss*opt_strike)/(D102 + preF_opts_iss)</f>
        <v/>
      </c>
      <c r="G102">
        <f>IF(F102&gt;opt_strike,1,0)</f>
        <v/>
      </c>
      <c r="H102">
        <f>IF(G102=1, F102, E102)</f>
        <v/>
      </c>
      <c r="I102">
        <f>IF(H101 * F_class_shares &gt; F_primary, 1, 0)</f>
        <v/>
      </c>
      <c r="J102">
        <f>IF(H101 * E_total &gt; E_inv, 1, 0)</f>
        <v/>
      </c>
      <c r="K102">
        <f>IF(H101 * D_total &gt; D_inv, 1, 0)</f>
        <v/>
      </c>
      <c r="L102">
        <f>IF(H101 * C_total &gt; C_inv, 1, 0)</f>
        <v/>
      </c>
      <c r="M102">
        <f>IF(H101 * B_total &gt; B_inv, 1, 0)</f>
        <v/>
      </c>
      <c r="N102">
        <f>IF(H101 * A_total &gt; A_inv, 1, 0)</f>
        <v/>
      </c>
      <c r="O102">
        <f>IF(H101 * Seed_total &gt; seed_inv, 1, 0)</f>
        <v/>
      </c>
    </row>
    <row r="103">
      <c r="B103">
        <f>(1-I103)*F_primary+(1-J103)*E_inv+(1-K103)*D_inv+(1-L103)*C_inv+(1-M103)*B_inv+(1-N103)*A_inv+(1-O103)*seed_inv</f>
        <v/>
      </c>
      <c r="C103">
        <f>MAX(0, C3 - B103)</f>
        <v/>
      </c>
      <c r="D103">
        <f>F1_sh+F2_sh+F3_sh+RSA_sh+NA_sh+NB_sh+I103*F_class_shares+J103*E_total+K103*D_total+L103*C_total+M103*B_total+N103*A_total+O103*Seed_total</f>
        <v/>
      </c>
      <c r="E103">
        <f>IF(D103&gt;0, C103/D103, 0)</f>
        <v/>
      </c>
      <c r="F103">
        <f>(C103 + preF_opts_iss*opt_strike)/(D103 + preF_opts_iss)</f>
        <v/>
      </c>
      <c r="G103">
        <f>IF(F103&gt;opt_strike,1,0)</f>
        <v/>
      </c>
      <c r="H103">
        <f>IF(G103=1, F103, E103)</f>
        <v/>
      </c>
      <c r="I103">
        <f>IF(H102 * F_class_shares &gt; F_primary, 1, 0)</f>
        <v/>
      </c>
      <c r="J103">
        <f>IF(H102 * E_total &gt; E_inv, 1, 0)</f>
        <v/>
      </c>
      <c r="K103">
        <f>IF(H102 * D_total &gt; D_inv, 1, 0)</f>
        <v/>
      </c>
      <c r="L103">
        <f>IF(H102 * C_total &gt; C_inv, 1, 0)</f>
        <v/>
      </c>
      <c r="M103">
        <f>IF(H102 * B_total &gt; B_inv, 1, 0)</f>
        <v/>
      </c>
      <c r="N103">
        <f>IF(H102 * A_total &gt; A_inv, 1, 0)</f>
        <v/>
      </c>
      <c r="O103">
        <f>IF(H102 * Seed_total &gt; seed_inv, 1, 0)</f>
        <v/>
      </c>
    </row>
    <row r="104">
      <c r="B104">
        <f>(1-I104)*F_primary+(1-J104)*E_inv+(1-K104)*D_inv+(1-L104)*C_inv+(1-M104)*B_inv+(1-N104)*A_inv+(1-O104)*seed_inv</f>
        <v/>
      </c>
      <c r="C104">
        <f>MAX(0, C3 - B104)</f>
        <v/>
      </c>
      <c r="D104">
        <f>F1_sh+F2_sh+F3_sh+RSA_sh+NA_sh+NB_sh+I104*F_class_shares+J104*E_total+K104*D_total+L104*C_total+M104*B_total+N104*A_total+O104*Seed_total</f>
        <v/>
      </c>
      <c r="E104">
        <f>IF(D104&gt;0, C104/D104, 0)</f>
        <v/>
      </c>
      <c r="F104">
        <f>(C104 + preF_opts_iss*opt_strike)/(D104 + preF_opts_iss)</f>
        <v/>
      </c>
      <c r="G104">
        <f>IF(F104&gt;opt_strike,1,0)</f>
        <v/>
      </c>
      <c r="H104">
        <f>IF(G104=1, F104, E104)</f>
        <v/>
      </c>
      <c r="I104">
        <f>IF(H103 * F_class_shares &gt; F_primary, 1, 0)</f>
        <v/>
      </c>
      <c r="J104">
        <f>IF(H103 * E_total &gt; E_inv, 1, 0)</f>
        <v/>
      </c>
      <c r="K104">
        <f>IF(H103 * D_total &gt; D_inv, 1, 0)</f>
        <v/>
      </c>
      <c r="L104">
        <f>IF(H103 * C_total &gt; C_inv, 1, 0)</f>
        <v/>
      </c>
      <c r="M104">
        <f>IF(H103 * B_total &gt; B_inv, 1, 0)</f>
        <v/>
      </c>
      <c r="N104">
        <f>IF(H103 * A_total &gt; A_inv, 1, 0)</f>
        <v/>
      </c>
      <c r="O104">
        <f>IF(H103 * Seed_total &gt; seed_inv, 1, 0)</f>
        <v/>
      </c>
    </row>
    <row r="105">
      <c r="B105">
        <f>(1-I105)*F_primary+(1-J105)*E_inv+(1-K105)*D_inv+(1-L105)*C_inv+(1-M105)*B_inv+(1-N105)*A_inv+(1-O105)*seed_inv</f>
        <v/>
      </c>
      <c r="C105">
        <f>MAX(0, C3 - B105)</f>
        <v/>
      </c>
      <c r="D105">
        <f>F1_sh+F2_sh+F3_sh+RSA_sh+NA_sh+NB_sh+I105*F_class_shares+J105*E_total+K105*D_total+L105*C_total+M105*B_total+N105*A_total+O105*Seed_total</f>
        <v/>
      </c>
      <c r="E105">
        <f>IF(D105&gt;0, C105/D105, 0)</f>
        <v/>
      </c>
      <c r="F105">
        <f>(C105 + preF_opts_iss*opt_strike)/(D105 + preF_opts_iss)</f>
        <v/>
      </c>
      <c r="G105">
        <f>IF(F105&gt;opt_strike,1,0)</f>
        <v/>
      </c>
      <c r="H105">
        <f>IF(G105=1, F105, E105)</f>
        <v/>
      </c>
      <c r="I105">
        <f>IF(H104 * F_class_shares &gt; F_primary, 1, 0)</f>
        <v/>
      </c>
      <c r="J105">
        <f>IF(H104 * E_total &gt; E_inv, 1, 0)</f>
        <v/>
      </c>
      <c r="K105">
        <f>IF(H104 * D_total &gt; D_inv, 1, 0)</f>
        <v/>
      </c>
      <c r="L105">
        <f>IF(H104 * C_total &gt; C_inv, 1, 0)</f>
        <v/>
      </c>
      <c r="M105">
        <f>IF(H104 * B_total &gt; B_inv, 1, 0)</f>
        <v/>
      </c>
      <c r="N105">
        <f>IF(H104 * A_total &gt; A_inv, 1, 0)</f>
        <v/>
      </c>
      <c r="O105">
        <f>IF(H104 * Seed_total &gt; seed_inv, 1, 0)</f>
        <v/>
      </c>
    </row>
    <row r="106">
      <c r="B106">
        <f>(1-I106)*F_primary+(1-J106)*E_inv+(1-K106)*D_inv+(1-L106)*C_inv+(1-M106)*B_inv+(1-N106)*A_inv+(1-O106)*seed_inv</f>
        <v/>
      </c>
      <c r="C106">
        <f>MAX(0, C3 - B106)</f>
        <v/>
      </c>
      <c r="D106">
        <f>F1_sh+F2_sh+F3_sh+RSA_sh+NA_sh+NB_sh+I106*F_class_shares+J106*E_total+K106*D_total+L106*C_total+M106*B_total+N106*A_total+O106*Seed_total</f>
        <v/>
      </c>
      <c r="E106">
        <f>IF(D106&gt;0, C106/D106, 0)</f>
        <v/>
      </c>
      <c r="F106">
        <f>(C106 + preF_opts_iss*opt_strike)/(D106 + preF_opts_iss)</f>
        <v/>
      </c>
      <c r="G106">
        <f>IF(F106&gt;opt_strike,1,0)</f>
        <v/>
      </c>
      <c r="H106">
        <f>IF(G106=1, F106, E106)</f>
        <v/>
      </c>
      <c r="I106">
        <f>IF(H105 * F_class_shares &gt; F_primary, 1, 0)</f>
        <v/>
      </c>
      <c r="J106">
        <f>IF(H105 * E_total &gt; E_inv, 1, 0)</f>
        <v/>
      </c>
      <c r="K106">
        <f>IF(H105 * D_total &gt; D_inv, 1, 0)</f>
        <v/>
      </c>
      <c r="L106">
        <f>IF(H105 * C_total &gt; C_inv, 1, 0)</f>
        <v/>
      </c>
      <c r="M106">
        <f>IF(H105 * B_total &gt; B_inv, 1, 0)</f>
        <v/>
      </c>
      <c r="N106">
        <f>IF(H105 * A_total &gt; A_inv, 1, 0)</f>
        <v/>
      </c>
      <c r="O106">
        <f>IF(H105 * Seed_total &gt; seed_inv, 1, 0)</f>
        <v/>
      </c>
    </row>
    <row r="107">
      <c r="B107">
        <f>(1-I107)*F_primary+(1-J107)*E_inv+(1-K107)*D_inv+(1-L107)*C_inv+(1-M107)*B_inv+(1-N107)*A_inv+(1-O107)*seed_inv</f>
        <v/>
      </c>
      <c r="C107">
        <f>MAX(0, C3 - B107)</f>
        <v/>
      </c>
      <c r="D107">
        <f>F1_sh+F2_sh+F3_sh+RSA_sh+NA_sh+NB_sh+I107*F_class_shares+J107*E_total+K107*D_total+L107*C_total+M107*B_total+N107*A_total+O107*Seed_total</f>
        <v/>
      </c>
      <c r="E107">
        <f>IF(D107&gt;0, C107/D107, 0)</f>
        <v/>
      </c>
      <c r="F107">
        <f>(C107 + preF_opts_iss*opt_strike)/(D107 + preF_opts_iss)</f>
        <v/>
      </c>
      <c r="G107">
        <f>IF(F107&gt;opt_strike,1,0)</f>
        <v/>
      </c>
      <c r="H107">
        <f>IF(G107=1, F107, E107)</f>
        <v/>
      </c>
      <c r="I107">
        <f>IF(H106 * F_class_shares &gt; F_primary, 1, 0)</f>
        <v/>
      </c>
      <c r="J107">
        <f>IF(H106 * E_total &gt; E_inv, 1, 0)</f>
        <v/>
      </c>
      <c r="K107">
        <f>IF(H106 * D_total &gt; D_inv, 1, 0)</f>
        <v/>
      </c>
      <c r="L107">
        <f>IF(H106 * C_total &gt; C_inv, 1, 0)</f>
        <v/>
      </c>
      <c r="M107">
        <f>IF(H106 * B_total &gt; B_inv, 1, 0)</f>
        <v/>
      </c>
      <c r="N107">
        <f>IF(H106 * A_total &gt; A_inv, 1, 0)</f>
        <v/>
      </c>
      <c r="O107">
        <f>IF(H106 * Seed_total &gt; seed_inv, 1, 0)</f>
        <v/>
      </c>
    </row>
    <row r="108">
      <c r="B108">
        <f>(1-I108)*F_primary+(1-J108)*E_inv+(1-K108)*D_inv+(1-L108)*C_inv+(1-M108)*B_inv+(1-N108)*A_inv+(1-O108)*seed_inv</f>
        <v/>
      </c>
      <c r="C108">
        <f>MAX(0, C3 - B108)</f>
        <v/>
      </c>
      <c r="D108">
        <f>F1_sh+F2_sh+F3_sh+RSA_sh+NA_sh+NB_sh+I108*F_class_shares+J108*E_total+K108*D_total+L108*C_total+M108*B_total+N108*A_total+O108*Seed_total</f>
        <v/>
      </c>
      <c r="E108">
        <f>IF(D108&gt;0, C108/D108, 0)</f>
        <v/>
      </c>
      <c r="F108">
        <f>(C108 + preF_opts_iss*opt_strike)/(D108 + preF_opts_iss)</f>
        <v/>
      </c>
      <c r="G108">
        <f>IF(F108&gt;opt_strike,1,0)</f>
        <v/>
      </c>
      <c r="H108">
        <f>IF(G108=1, F108, E108)</f>
        <v/>
      </c>
      <c r="I108">
        <f>IF(H107 * F_class_shares &gt; F_primary, 1, 0)</f>
        <v/>
      </c>
      <c r="J108">
        <f>IF(H107 * E_total &gt; E_inv, 1, 0)</f>
        <v/>
      </c>
      <c r="K108">
        <f>IF(H107 * D_total &gt; D_inv, 1, 0)</f>
        <v/>
      </c>
      <c r="L108">
        <f>IF(H107 * C_total &gt; C_inv, 1, 0)</f>
        <v/>
      </c>
      <c r="M108">
        <f>IF(H107 * B_total &gt; B_inv, 1, 0)</f>
        <v/>
      </c>
      <c r="N108">
        <f>IF(H107 * A_total &gt; A_inv, 1, 0)</f>
        <v/>
      </c>
      <c r="O108">
        <f>IF(H107 * Seed_total &gt; seed_inv, 1, 0)</f>
        <v/>
      </c>
    </row>
    <row r="109">
      <c r="B109">
        <f>(1-I109)*F_primary+(1-J109)*E_inv+(1-K109)*D_inv+(1-L109)*C_inv+(1-M109)*B_inv+(1-N109)*A_inv+(1-O109)*seed_inv</f>
        <v/>
      </c>
      <c r="C109">
        <f>MAX(0, C3 - B109)</f>
        <v/>
      </c>
      <c r="D109">
        <f>F1_sh+F2_sh+F3_sh+RSA_sh+NA_sh+NB_sh+I109*F_class_shares+J109*E_total+K109*D_total+L109*C_total+M109*B_total+N109*A_total+O109*Seed_total</f>
        <v/>
      </c>
      <c r="E109">
        <f>IF(D109&gt;0, C109/D109, 0)</f>
        <v/>
      </c>
      <c r="F109">
        <f>(C109 + preF_opts_iss*opt_strike)/(D109 + preF_opts_iss)</f>
        <v/>
      </c>
      <c r="G109">
        <f>IF(F109&gt;opt_strike,1,0)</f>
        <v/>
      </c>
      <c r="H109">
        <f>IF(G109=1, F109, E109)</f>
        <v/>
      </c>
      <c r="I109">
        <f>IF(H108 * F_class_shares &gt; F_primary, 1, 0)</f>
        <v/>
      </c>
      <c r="J109">
        <f>IF(H108 * E_total &gt; E_inv, 1, 0)</f>
        <v/>
      </c>
      <c r="K109">
        <f>IF(H108 * D_total &gt; D_inv, 1, 0)</f>
        <v/>
      </c>
      <c r="L109">
        <f>IF(H108 * C_total &gt; C_inv, 1, 0)</f>
        <v/>
      </c>
      <c r="M109">
        <f>IF(H108 * B_total &gt; B_inv, 1, 0)</f>
        <v/>
      </c>
      <c r="N109">
        <f>IF(H108 * A_total &gt; A_inv, 1, 0)</f>
        <v/>
      </c>
      <c r="O109">
        <f>IF(H108 * Seed_total &gt; seed_inv, 1, 0)</f>
        <v/>
      </c>
    </row>
    <row r="110">
      <c r="B110">
        <f>(1-I110)*F_primary+(1-J110)*E_inv+(1-K110)*D_inv+(1-L110)*C_inv+(1-M110)*B_inv+(1-N110)*A_inv+(1-O110)*seed_inv</f>
        <v/>
      </c>
      <c r="C110">
        <f>MAX(0, C3 - B110)</f>
        <v/>
      </c>
      <c r="D110">
        <f>F1_sh+F2_sh+F3_sh+RSA_sh+NA_sh+NB_sh+I110*F_class_shares+J110*E_total+K110*D_total+L110*C_total+M110*B_total+N110*A_total+O110*Seed_total</f>
        <v/>
      </c>
      <c r="E110">
        <f>IF(D110&gt;0, C110/D110, 0)</f>
        <v/>
      </c>
      <c r="F110">
        <f>(C110 + preF_opts_iss*opt_strike)/(D110 + preF_opts_iss)</f>
        <v/>
      </c>
      <c r="G110">
        <f>IF(F110&gt;opt_strike,1,0)</f>
        <v/>
      </c>
      <c r="H110">
        <f>IF(G110=1, F110, E110)</f>
        <v/>
      </c>
      <c r="I110">
        <f>IF(H109 * F_class_shares &gt; F_primary, 1, 0)</f>
        <v/>
      </c>
      <c r="J110">
        <f>IF(H109 * E_total &gt; E_inv, 1, 0)</f>
        <v/>
      </c>
      <c r="K110">
        <f>IF(H109 * D_total &gt; D_inv, 1, 0)</f>
        <v/>
      </c>
      <c r="L110">
        <f>IF(H109 * C_total &gt; C_inv, 1, 0)</f>
        <v/>
      </c>
      <c r="M110">
        <f>IF(H109 * B_total &gt; B_inv, 1, 0)</f>
        <v/>
      </c>
      <c r="N110">
        <f>IF(H109 * A_total &gt; A_inv, 1, 0)</f>
        <v/>
      </c>
      <c r="O110">
        <f>IF(H109 * Seed_total &gt; seed_inv, 1, 0)</f>
        <v/>
      </c>
    </row>
    <row r="111">
      <c r="B111">
        <f>(1-I111)*F_primary+(1-J111)*E_inv+(1-K111)*D_inv+(1-L111)*C_inv+(1-M111)*B_inv+(1-N111)*A_inv+(1-O111)*seed_inv</f>
        <v/>
      </c>
      <c r="C111">
        <f>MAX(0, C3 - B111)</f>
        <v/>
      </c>
      <c r="D111">
        <f>F1_sh+F2_sh+F3_sh+RSA_sh+NA_sh+NB_sh+I111*F_class_shares+J111*E_total+K111*D_total+L111*C_total+M111*B_total+N111*A_total+O111*Seed_total</f>
        <v/>
      </c>
      <c r="E111">
        <f>IF(D111&gt;0, C111/D111, 0)</f>
        <v/>
      </c>
      <c r="F111">
        <f>(C111 + preF_opts_iss*opt_strike)/(D111 + preF_opts_iss)</f>
        <v/>
      </c>
      <c r="G111">
        <f>IF(F111&gt;opt_strike,1,0)</f>
        <v/>
      </c>
      <c r="H111">
        <f>IF(G111=1, F111, E111)</f>
        <v/>
      </c>
      <c r="I111">
        <f>IF(H110 * F_class_shares &gt; F_primary, 1, 0)</f>
        <v/>
      </c>
      <c r="J111">
        <f>IF(H110 * E_total &gt; E_inv, 1, 0)</f>
        <v/>
      </c>
      <c r="K111">
        <f>IF(H110 * D_total &gt; D_inv, 1, 0)</f>
        <v/>
      </c>
      <c r="L111">
        <f>IF(H110 * C_total &gt; C_inv, 1, 0)</f>
        <v/>
      </c>
      <c r="M111">
        <f>IF(H110 * B_total &gt; B_inv, 1, 0)</f>
        <v/>
      </c>
      <c r="N111">
        <f>IF(H110 * A_total &gt; A_inv, 1, 0)</f>
        <v/>
      </c>
      <c r="O111">
        <f>IF(H110 * Seed_total &gt; seed_inv, 1, 0)</f>
        <v/>
      </c>
    </row>
    <row r="112">
      <c r="B112">
        <f>(1-I112)*F_primary+(1-J112)*E_inv+(1-K112)*D_inv+(1-L112)*C_inv+(1-M112)*B_inv+(1-N112)*A_inv+(1-O112)*seed_inv</f>
        <v/>
      </c>
      <c r="C112">
        <f>MAX(0, C3 - B112)</f>
        <v/>
      </c>
      <c r="D112">
        <f>F1_sh+F2_sh+F3_sh+RSA_sh+NA_sh+NB_sh+I112*F_class_shares+J112*E_total+K112*D_total+L112*C_total+M112*B_total+N112*A_total+O112*Seed_total</f>
        <v/>
      </c>
      <c r="E112">
        <f>IF(D112&gt;0, C112/D112, 0)</f>
        <v/>
      </c>
      <c r="F112">
        <f>(C112 + preF_opts_iss*opt_strike)/(D112 + preF_opts_iss)</f>
        <v/>
      </c>
      <c r="G112">
        <f>IF(F112&gt;opt_strike,1,0)</f>
        <v/>
      </c>
      <c r="H112">
        <f>IF(G112=1, F112, E112)</f>
        <v/>
      </c>
      <c r="I112">
        <f>IF(H111 * F_class_shares &gt; F_primary, 1, 0)</f>
        <v/>
      </c>
      <c r="J112">
        <f>IF(H111 * E_total &gt; E_inv, 1, 0)</f>
        <v/>
      </c>
      <c r="K112">
        <f>IF(H111 * D_total &gt; D_inv, 1, 0)</f>
        <v/>
      </c>
      <c r="L112">
        <f>IF(H111 * C_total &gt; C_inv, 1, 0)</f>
        <v/>
      </c>
      <c r="M112">
        <f>IF(H111 * B_total &gt; B_inv, 1, 0)</f>
        <v/>
      </c>
      <c r="N112">
        <f>IF(H111 * A_total &gt; A_inv, 1, 0)</f>
        <v/>
      </c>
      <c r="O112">
        <f>IF(H111 * Seed_total &gt; seed_inv, 1, 0)</f>
        <v/>
      </c>
    </row>
    <row r="113">
      <c r="B113">
        <f>(1-I113)*F_primary+(1-J113)*E_inv+(1-K113)*D_inv+(1-L113)*C_inv+(1-M113)*B_inv+(1-N113)*A_inv+(1-O113)*seed_inv</f>
        <v/>
      </c>
      <c r="C113">
        <f>MAX(0, C3 - B113)</f>
        <v/>
      </c>
      <c r="D113">
        <f>F1_sh+F2_sh+F3_sh+RSA_sh+NA_sh+NB_sh+I113*F_class_shares+J113*E_total+K113*D_total+L113*C_total+M113*B_total+N113*A_total+O113*Seed_total</f>
        <v/>
      </c>
      <c r="E113">
        <f>IF(D113&gt;0, C113/D113, 0)</f>
        <v/>
      </c>
      <c r="F113">
        <f>(C113 + preF_opts_iss*opt_strike)/(D113 + preF_opts_iss)</f>
        <v/>
      </c>
      <c r="G113">
        <f>IF(F113&gt;opt_strike,1,0)</f>
        <v/>
      </c>
      <c r="H113">
        <f>IF(G113=1, F113, E113)</f>
        <v/>
      </c>
      <c r="I113">
        <f>IF(H112 * F_class_shares &gt; F_primary, 1, 0)</f>
        <v/>
      </c>
      <c r="J113">
        <f>IF(H112 * E_total &gt; E_inv, 1, 0)</f>
        <v/>
      </c>
      <c r="K113">
        <f>IF(H112 * D_total &gt; D_inv, 1, 0)</f>
        <v/>
      </c>
      <c r="L113">
        <f>IF(H112 * C_total &gt; C_inv, 1, 0)</f>
        <v/>
      </c>
      <c r="M113">
        <f>IF(H112 * B_total &gt; B_inv, 1, 0)</f>
        <v/>
      </c>
      <c r="N113">
        <f>IF(H112 * A_total &gt; A_inv, 1, 0)</f>
        <v/>
      </c>
      <c r="O113">
        <f>IF(H112 * Seed_total &gt; seed_inv, 1, 0)</f>
        <v/>
      </c>
    </row>
    <row r="114">
      <c r="B114">
        <f>(1-I114)*F_primary+(1-J114)*E_inv+(1-K114)*D_inv+(1-L114)*C_inv+(1-M114)*B_inv+(1-N114)*A_inv+(1-O114)*seed_inv</f>
        <v/>
      </c>
      <c r="C114">
        <f>MAX(0, C3 - B114)</f>
        <v/>
      </c>
      <c r="D114">
        <f>F1_sh+F2_sh+F3_sh+RSA_sh+NA_sh+NB_sh+I114*F_class_shares+J114*E_total+K114*D_total+L114*C_total+M114*B_total+N114*A_total+O114*Seed_total</f>
        <v/>
      </c>
      <c r="E114">
        <f>IF(D114&gt;0, C114/D114, 0)</f>
        <v/>
      </c>
      <c r="F114">
        <f>(C114 + preF_opts_iss*opt_strike)/(D114 + preF_opts_iss)</f>
        <v/>
      </c>
      <c r="G114">
        <f>IF(F114&gt;opt_strike,1,0)</f>
        <v/>
      </c>
      <c r="H114">
        <f>IF(G114=1, F114, E114)</f>
        <v/>
      </c>
      <c r="I114">
        <f>IF(H113 * F_class_shares &gt; F_primary, 1, 0)</f>
        <v/>
      </c>
      <c r="J114">
        <f>IF(H113 * E_total &gt; E_inv, 1, 0)</f>
        <v/>
      </c>
      <c r="K114">
        <f>IF(H113 * D_total &gt; D_inv, 1, 0)</f>
        <v/>
      </c>
      <c r="L114">
        <f>IF(H113 * C_total &gt; C_inv, 1, 0)</f>
        <v/>
      </c>
      <c r="M114">
        <f>IF(H113 * B_total &gt; B_inv, 1, 0)</f>
        <v/>
      </c>
      <c r="N114">
        <f>IF(H113 * A_total &gt; A_inv, 1, 0)</f>
        <v/>
      </c>
      <c r="O114">
        <f>IF(H113 * Seed_total &gt; seed_inv, 1, 0)</f>
        <v/>
      </c>
    </row>
    <row r="115">
      <c r="B115">
        <f>(1-I115)*F_primary+(1-J115)*E_inv+(1-K115)*D_inv+(1-L115)*C_inv+(1-M115)*B_inv+(1-N115)*A_inv+(1-O115)*seed_inv</f>
        <v/>
      </c>
      <c r="C115">
        <f>MAX(0, C3 - B115)</f>
        <v/>
      </c>
      <c r="D115">
        <f>F1_sh+F2_sh+F3_sh+RSA_sh+NA_sh+NB_sh+I115*F_class_shares+J115*E_total+K115*D_total+L115*C_total+M115*B_total+N115*A_total+O115*Seed_total</f>
        <v/>
      </c>
      <c r="E115">
        <f>IF(D115&gt;0, C115/D115, 0)</f>
        <v/>
      </c>
      <c r="F115">
        <f>(C115 + preF_opts_iss*opt_strike)/(D115 + preF_opts_iss)</f>
        <v/>
      </c>
      <c r="G115">
        <f>IF(F115&gt;opt_strike,1,0)</f>
        <v/>
      </c>
      <c r="H115">
        <f>IF(G115=1, F115, E115)</f>
        <v/>
      </c>
      <c r="I115">
        <f>IF(H114 * F_class_shares &gt; F_primary, 1, 0)</f>
        <v/>
      </c>
      <c r="J115">
        <f>IF(H114 * E_total &gt; E_inv, 1, 0)</f>
        <v/>
      </c>
      <c r="K115">
        <f>IF(H114 * D_total &gt; D_inv, 1, 0)</f>
        <v/>
      </c>
      <c r="L115">
        <f>IF(H114 * C_total &gt; C_inv, 1, 0)</f>
        <v/>
      </c>
      <c r="M115">
        <f>IF(H114 * B_total &gt; B_inv, 1, 0)</f>
        <v/>
      </c>
      <c r="N115">
        <f>IF(H114 * A_total &gt; A_inv, 1, 0)</f>
        <v/>
      </c>
      <c r="O115">
        <f>IF(H114 * Seed_total &gt; seed_inv, 1, 0)</f>
        <v/>
      </c>
    </row>
    <row r="116">
      <c r="B116">
        <f>(1-I116)*F_primary+(1-J116)*E_inv+(1-K116)*D_inv+(1-L116)*C_inv+(1-M116)*B_inv+(1-N116)*A_inv+(1-O116)*seed_inv</f>
        <v/>
      </c>
      <c r="C116">
        <f>MAX(0, C3 - B116)</f>
        <v/>
      </c>
      <c r="D116">
        <f>F1_sh+F2_sh+F3_sh+RSA_sh+NA_sh+NB_sh+I116*F_class_shares+J116*E_total+K116*D_total+L116*C_total+M116*B_total+N116*A_total+O116*Seed_total</f>
        <v/>
      </c>
      <c r="E116">
        <f>IF(D116&gt;0, C116/D116, 0)</f>
        <v/>
      </c>
      <c r="F116">
        <f>(C116 + preF_opts_iss*opt_strike)/(D116 + preF_opts_iss)</f>
        <v/>
      </c>
      <c r="G116">
        <f>IF(F116&gt;opt_strike,1,0)</f>
        <v/>
      </c>
      <c r="H116">
        <f>IF(G116=1, F116, E116)</f>
        <v/>
      </c>
      <c r="I116">
        <f>IF(H115 * F_class_shares &gt; F_primary, 1, 0)</f>
        <v/>
      </c>
      <c r="J116">
        <f>IF(H115 * E_total &gt; E_inv, 1, 0)</f>
        <v/>
      </c>
      <c r="K116">
        <f>IF(H115 * D_total &gt; D_inv, 1, 0)</f>
        <v/>
      </c>
      <c r="L116">
        <f>IF(H115 * C_total &gt; C_inv, 1, 0)</f>
        <v/>
      </c>
      <c r="M116">
        <f>IF(H115 * B_total &gt; B_inv, 1, 0)</f>
        <v/>
      </c>
      <c r="N116">
        <f>IF(H115 * A_total &gt; A_inv, 1, 0)</f>
        <v/>
      </c>
      <c r="O116">
        <f>IF(H115 * Seed_total &gt; seed_inv, 1, 0)</f>
        <v/>
      </c>
    </row>
    <row r="117">
      <c r="B117">
        <f>(1-I117)*F_primary+(1-J117)*E_inv+(1-K117)*D_inv+(1-L117)*C_inv+(1-M117)*B_inv+(1-N117)*A_inv+(1-O117)*seed_inv</f>
        <v/>
      </c>
      <c r="C117">
        <f>MAX(0, C3 - B117)</f>
        <v/>
      </c>
      <c r="D117">
        <f>F1_sh+F2_sh+F3_sh+RSA_sh+NA_sh+NB_sh+I117*F_class_shares+J117*E_total+K117*D_total+L117*C_total+M117*B_total+N117*A_total+O117*Seed_total</f>
        <v/>
      </c>
      <c r="E117">
        <f>IF(D117&gt;0, C117/D117, 0)</f>
        <v/>
      </c>
      <c r="F117">
        <f>(C117 + preF_opts_iss*opt_strike)/(D117 + preF_opts_iss)</f>
        <v/>
      </c>
      <c r="G117">
        <f>IF(F117&gt;opt_strike,1,0)</f>
        <v/>
      </c>
      <c r="H117">
        <f>IF(G117=1, F117, E117)</f>
        <v/>
      </c>
      <c r="I117">
        <f>IF(H116 * F_class_shares &gt; F_primary, 1, 0)</f>
        <v/>
      </c>
      <c r="J117">
        <f>IF(H116 * E_total &gt; E_inv, 1, 0)</f>
        <v/>
      </c>
      <c r="K117">
        <f>IF(H116 * D_total &gt; D_inv, 1, 0)</f>
        <v/>
      </c>
      <c r="L117">
        <f>IF(H116 * C_total &gt; C_inv, 1, 0)</f>
        <v/>
      </c>
      <c r="M117">
        <f>IF(H116 * B_total &gt; B_inv, 1, 0)</f>
        <v/>
      </c>
      <c r="N117">
        <f>IF(H116 * A_total &gt; A_inv, 1, 0)</f>
        <v/>
      </c>
      <c r="O117">
        <f>IF(H116 * Seed_total &gt; seed_inv, 1, 0)</f>
        <v/>
      </c>
    </row>
    <row r="118">
      <c r="B118">
        <f>(1-I118)*F_primary+(1-J118)*E_inv+(1-K118)*D_inv+(1-L118)*C_inv+(1-M118)*B_inv+(1-N118)*A_inv+(1-O118)*seed_inv</f>
        <v/>
      </c>
      <c r="C118">
        <f>MAX(0, C3 - B118)</f>
        <v/>
      </c>
      <c r="D118">
        <f>F1_sh+F2_sh+F3_sh+RSA_sh+NA_sh+NB_sh+I118*F_class_shares+J118*E_total+K118*D_total+L118*C_total+M118*B_total+N118*A_total+O118*Seed_total</f>
        <v/>
      </c>
      <c r="E118">
        <f>IF(D118&gt;0, C118/D118, 0)</f>
        <v/>
      </c>
      <c r="F118">
        <f>(C118 + preF_opts_iss*opt_strike)/(D118 + preF_opts_iss)</f>
        <v/>
      </c>
      <c r="G118">
        <f>IF(F118&gt;opt_strike,1,0)</f>
        <v/>
      </c>
      <c r="H118">
        <f>IF(G118=1, F118, E118)</f>
        <v/>
      </c>
      <c r="I118">
        <f>IF(H117 * F_class_shares &gt; F_primary, 1, 0)</f>
        <v/>
      </c>
      <c r="J118">
        <f>IF(H117 * E_total &gt; E_inv, 1, 0)</f>
        <v/>
      </c>
      <c r="K118">
        <f>IF(H117 * D_total &gt; D_inv, 1, 0)</f>
        <v/>
      </c>
      <c r="L118">
        <f>IF(H117 * C_total &gt; C_inv, 1, 0)</f>
        <v/>
      </c>
      <c r="M118">
        <f>IF(H117 * B_total &gt; B_inv, 1, 0)</f>
        <v/>
      </c>
      <c r="N118">
        <f>IF(H117 * A_total &gt; A_inv, 1, 0)</f>
        <v/>
      </c>
      <c r="O118">
        <f>IF(H117 * Seed_total &gt; seed_inv, 1, 0)</f>
        <v/>
      </c>
    </row>
    <row r="119">
      <c r="B119">
        <f>(1-I119)*F_primary+(1-J119)*E_inv+(1-K119)*D_inv+(1-L119)*C_inv+(1-M119)*B_inv+(1-N119)*A_inv+(1-O119)*seed_inv</f>
        <v/>
      </c>
      <c r="C119">
        <f>MAX(0, C3 - B119)</f>
        <v/>
      </c>
      <c r="D119">
        <f>F1_sh+F2_sh+F3_sh+RSA_sh+NA_sh+NB_sh+I119*F_class_shares+J119*E_total+K119*D_total+L119*C_total+M119*B_total+N119*A_total+O119*Seed_total</f>
        <v/>
      </c>
      <c r="E119">
        <f>IF(D119&gt;0, C119/D119, 0)</f>
        <v/>
      </c>
      <c r="F119">
        <f>(C119 + preF_opts_iss*opt_strike)/(D119 + preF_opts_iss)</f>
        <v/>
      </c>
      <c r="G119">
        <f>IF(F119&gt;opt_strike,1,0)</f>
        <v/>
      </c>
      <c r="H119">
        <f>IF(G119=1, F119, E119)</f>
        <v/>
      </c>
      <c r="I119">
        <f>IF(H118 * F_class_shares &gt; F_primary, 1, 0)</f>
        <v/>
      </c>
      <c r="J119">
        <f>IF(H118 * E_total &gt; E_inv, 1, 0)</f>
        <v/>
      </c>
      <c r="K119">
        <f>IF(H118 * D_total &gt; D_inv, 1, 0)</f>
        <v/>
      </c>
      <c r="L119">
        <f>IF(H118 * C_total &gt; C_inv, 1, 0)</f>
        <v/>
      </c>
      <c r="M119">
        <f>IF(H118 * B_total &gt; B_inv, 1, 0)</f>
        <v/>
      </c>
      <c r="N119">
        <f>IF(H118 * A_total &gt; A_inv, 1, 0)</f>
        <v/>
      </c>
      <c r="O119">
        <f>IF(H118 * Seed_total &gt; seed_inv, 1, 0)</f>
        <v/>
      </c>
    </row>
    <row r="120">
      <c r="B120">
        <f>(1-I120)*F_primary+(1-J120)*E_inv+(1-K120)*D_inv+(1-L120)*C_inv+(1-M120)*B_inv+(1-N120)*A_inv+(1-O120)*seed_inv</f>
        <v/>
      </c>
      <c r="C120">
        <f>MAX(0, C3 - B120)</f>
        <v/>
      </c>
      <c r="D120">
        <f>F1_sh+F2_sh+F3_sh+RSA_sh+NA_sh+NB_sh+I120*F_class_shares+J120*E_total+K120*D_total+L120*C_total+M120*B_total+N120*A_total+O120*Seed_total</f>
        <v/>
      </c>
      <c r="E120">
        <f>IF(D120&gt;0, C120/D120, 0)</f>
        <v/>
      </c>
      <c r="F120">
        <f>(C120 + preF_opts_iss*opt_strike)/(D120 + preF_opts_iss)</f>
        <v/>
      </c>
      <c r="G120">
        <f>IF(F120&gt;opt_strike,1,0)</f>
        <v/>
      </c>
      <c r="H120">
        <f>IF(G120=1, F120, E120)</f>
        <v/>
      </c>
      <c r="I120">
        <f>IF(H119 * F_class_shares &gt; F_primary, 1, 0)</f>
        <v/>
      </c>
      <c r="J120">
        <f>IF(H119 * E_total &gt; E_inv, 1, 0)</f>
        <v/>
      </c>
      <c r="K120">
        <f>IF(H119 * D_total &gt; D_inv, 1, 0)</f>
        <v/>
      </c>
      <c r="L120">
        <f>IF(H119 * C_total &gt; C_inv, 1, 0)</f>
        <v/>
      </c>
      <c r="M120">
        <f>IF(H119 * B_total &gt; B_inv, 1, 0)</f>
        <v/>
      </c>
      <c r="N120">
        <f>IF(H119 * A_total &gt; A_inv, 1, 0)</f>
        <v/>
      </c>
      <c r="O120">
        <f>IF(H119 * Seed_total &gt; seed_inv, 1, 0)</f>
        <v/>
      </c>
    </row>
    <row r="121">
      <c r="B121">
        <f>(1-I121)*F_primary+(1-J121)*E_inv+(1-K121)*D_inv+(1-L121)*C_inv+(1-M121)*B_inv+(1-N121)*A_inv+(1-O121)*seed_inv</f>
        <v/>
      </c>
      <c r="C121">
        <f>MAX(0, C3 - B121)</f>
        <v/>
      </c>
      <c r="D121">
        <f>F1_sh+F2_sh+F3_sh+RSA_sh+NA_sh+NB_sh+I121*F_class_shares+J121*E_total+K121*D_total+L121*C_total+M121*B_total+N121*A_total+O121*Seed_total</f>
        <v/>
      </c>
      <c r="E121">
        <f>IF(D121&gt;0, C121/D121, 0)</f>
        <v/>
      </c>
      <c r="F121">
        <f>(C121 + preF_opts_iss*opt_strike)/(D121 + preF_opts_iss)</f>
        <v/>
      </c>
      <c r="G121">
        <f>IF(F121&gt;opt_strike,1,0)</f>
        <v/>
      </c>
      <c r="H121">
        <f>IF(G121=1, F121, E121)</f>
        <v/>
      </c>
      <c r="I121">
        <f>IF(H120 * F_class_shares &gt; F_primary, 1, 0)</f>
        <v/>
      </c>
      <c r="J121">
        <f>IF(H120 * E_total &gt; E_inv, 1, 0)</f>
        <v/>
      </c>
      <c r="K121">
        <f>IF(H120 * D_total &gt; D_inv, 1, 0)</f>
        <v/>
      </c>
      <c r="L121">
        <f>IF(H120 * C_total &gt; C_inv, 1, 0)</f>
        <v/>
      </c>
      <c r="M121">
        <f>IF(H120 * B_total &gt; B_inv, 1, 0)</f>
        <v/>
      </c>
      <c r="N121">
        <f>IF(H120 * A_total &gt; A_inv, 1, 0)</f>
        <v/>
      </c>
      <c r="O121">
        <f>IF(H120 * Seed_total &gt; seed_inv, 1, 0)</f>
        <v/>
      </c>
    </row>
    <row r="122">
      <c r="B122">
        <f>(1-I122)*F_primary+(1-J122)*E_inv+(1-K122)*D_inv+(1-L122)*C_inv+(1-M122)*B_inv+(1-N122)*A_inv+(1-O122)*seed_inv</f>
        <v/>
      </c>
      <c r="C122">
        <f>MAX(0, C3 - B122)</f>
        <v/>
      </c>
      <c r="D122">
        <f>F1_sh+F2_sh+F3_sh+RSA_sh+NA_sh+NB_sh+I122*F_class_shares+J122*E_total+K122*D_total+L122*C_total+M122*B_total+N122*A_total+O122*Seed_total</f>
        <v/>
      </c>
      <c r="E122">
        <f>IF(D122&gt;0, C122/D122, 0)</f>
        <v/>
      </c>
      <c r="F122">
        <f>(C122 + preF_opts_iss*opt_strike)/(D122 + preF_opts_iss)</f>
        <v/>
      </c>
      <c r="G122">
        <f>IF(F122&gt;opt_strike,1,0)</f>
        <v/>
      </c>
      <c r="H122">
        <f>IF(G122=1, F122, E122)</f>
        <v/>
      </c>
      <c r="I122">
        <f>IF(H121 * F_class_shares &gt; F_primary, 1, 0)</f>
        <v/>
      </c>
      <c r="J122">
        <f>IF(H121 * E_total &gt; E_inv, 1, 0)</f>
        <v/>
      </c>
      <c r="K122">
        <f>IF(H121 * D_total &gt; D_inv, 1, 0)</f>
        <v/>
      </c>
      <c r="L122">
        <f>IF(H121 * C_total &gt; C_inv, 1, 0)</f>
        <v/>
      </c>
      <c r="M122">
        <f>IF(H121 * B_total &gt; B_inv, 1, 0)</f>
        <v/>
      </c>
      <c r="N122">
        <f>IF(H121 * A_total &gt; A_inv, 1, 0)</f>
        <v/>
      </c>
      <c r="O122">
        <f>IF(H121 * Seed_total &gt; seed_inv, 1, 0)</f>
        <v/>
      </c>
    </row>
    <row r="123">
      <c r="A123" s="6" t="inlineStr">
        <is>
          <t>--- Iteration block for exit exit_v3 ---</t>
        </is>
      </c>
    </row>
    <row r="124">
      <c r="A124" s="6" t="inlineStr">
        <is>
          <t>iter</t>
        </is>
      </c>
      <c r="B124" s="6" t="inlineStr">
        <is>
          <t>prefs_paid</t>
        </is>
      </c>
      <c r="C124" s="6" t="inlineStr">
        <is>
          <t>residual</t>
        </is>
      </c>
      <c r="D124" s="6" t="inlineStr">
        <is>
          <t>cv_shares</t>
        </is>
      </c>
      <c r="E124" s="6" t="inlineStr">
        <is>
          <t>PPS_naive</t>
        </is>
      </c>
      <c r="F124" s="6" t="inlineStr">
        <is>
          <t>PPS_w_opts</t>
        </is>
      </c>
      <c r="G124" s="6" t="inlineStr">
        <is>
          <t>ITM</t>
        </is>
      </c>
      <c r="H124" s="6" t="inlineStr">
        <is>
          <t>PPS</t>
        </is>
      </c>
      <c r="I124" s="6" t="inlineStr">
        <is>
          <t>ic_F</t>
        </is>
      </c>
      <c r="J124" s="6" t="inlineStr">
        <is>
          <t>ic_E</t>
        </is>
      </c>
      <c r="K124" s="6" t="inlineStr">
        <is>
          <t>ic_D</t>
        </is>
      </c>
      <c r="L124" s="6" t="inlineStr">
        <is>
          <t>ic_C</t>
        </is>
      </c>
      <c r="M124" s="6" t="inlineStr">
        <is>
          <t>ic_B</t>
        </is>
      </c>
      <c r="N124" s="6" t="inlineStr">
        <is>
          <t>ic_A</t>
        </is>
      </c>
      <c r="O124" s="6" t="inlineStr">
        <is>
          <t>ic_Seed</t>
        </is>
      </c>
    </row>
    <row r="125">
      <c r="B125">
        <f>(1-I125)*F_primary+(1-J125)*E_inv+(1-K125)*D_inv+(1-L125)*C_inv+(1-M125)*B_inv+(1-N125)*A_inv+(1-O125)*seed_inv</f>
        <v/>
      </c>
      <c r="C125">
        <f>MAX(0, D3 - B125)</f>
        <v/>
      </c>
      <c r="D125">
        <f>F1_sh+F2_sh+F3_sh+RSA_sh+NA_sh+NB_sh+I125*F_class_shares+J125*E_total+K125*D_total+L125*C_total+M125*B_total+N125*A_total+O125*Seed_total</f>
        <v/>
      </c>
      <c r="E125">
        <f>IF(D125&gt;0, C125/D125, 0)</f>
        <v/>
      </c>
      <c r="F125">
        <f>(C125 + preF_opts_iss*opt_strike)/(D125 + preF_opts_iss)</f>
        <v/>
      </c>
      <c r="G125">
        <f>IF(F125&gt;opt_strike,1,0)</f>
        <v/>
      </c>
      <c r="H125">
        <f>IF(G125=1, F125, E125)</f>
        <v/>
      </c>
      <c r="I125">
        <f>IF(0 * F_class_shares &gt; F_primary, 1, 0)</f>
        <v/>
      </c>
      <c r="J125">
        <f>IF(0 * E_total &gt; E_inv, 1, 0)</f>
        <v/>
      </c>
      <c r="K125">
        <f>IF(0 * D_total &gt; D_inv, 1, 0)</f>
        <v/>
      </c>
      <c r="L125">
        <f>IF(0 * C_total &gt; C_inv, 1, 0)</f>
        <v/>
      </c>
      <c r="M125">
        <f>IF(0 * B_total &gt; B_inv, 1, 0)</f>
        <v/>
      </c>
      <c r="N125">
        <f>IF(0 * A_total &gt; A_inv, 1, 0)</f>
        <v/>
      </c>
      <c r="O125">
        <f>IF(0 * Seed_total &gt; seed_inv, 1, 0)</f>
        <v/>
      </c>
    </row>
    <row r="126">
      <c r="B126">
        <f>(1-I126)*F_primary+(1-J126)*E_inv+(1-K126)*D_inv+(1-L126)*C_inv+(1-M126)*B_inv+(1-N126)*A_inv+(1-O126)*seed_inv</f>
        <v/>
      </c>
      <c r="C126">
        <f>MAX(0, D3 - B126)</f>
        <v/>
      </c>
      <c r="D126">
        <f>F1_sh+F2_sh+F3_sh+RSA_sh+NA_sh+NB_sh+I126*F_class_shares+J126*E_total+K126*D_total+L126*C_total+M126*B_total+N126*A_total+O126*Seed_total</f>
        <v/>
      </c>
      <c r="E126">
        <f>IF(D126&gt;0, C126/D126, 0)</f>
        <v/>
      </c>
      <c r="F126">
        <f>(C126 + preF_opts_iss*opt_strike)/(D126 + preF_opts_iss)</f>
        <v/>
      </c>
      <c r="G126">
        <f>IF(F126&gt;opt_strike,1,0)</f>
        <v/>
      </c>
      <c r="H126">
        <f>IF(G126=1, F126, E126)</f>
        <v/>
      </c>
      <c r="I126">
        <f>IF(H125 * F_class_shares &gt; F_primary, 1, 0)</f>
        <v/>
      </c>
      <c r="J126">
        <f>IF(H125 * E_total &gt; E_inv, 1, 0)</f>
        <v/>
      </c>
      <c r="K126">
        <f>IF(H125 * D_total &gt; D_inv, 1, 0)</f>
        <v/>
      </c>
      <c r="L126">
        <f>IF(H125 * C_total &gt; C_inv, 1, 0)</f>
        <v/>
      </c>
      <c r="M126">
        <f>IF(H125 * B_total &gt; B_inv, 1, 0)</f>
        <v/>
      </c>
      <c r="N126">
        <f>IF(H125 * A_total &gt; A_inv, 1, 0)</f>
        <v/>
      </c>
      <c r="O126">
        <f>IF(H125 * Seed_total &gt; seed_inv, 1, 0)</f>
        <v/>
      </c>
    </row>
    <row r="127">
      <c r="B127">
        <f>(1-I127)*F_primary+(1-J127)*E_inv+(1-K127)*D_inv+(1-L127)*C_inv+(1-M127)*B_inv+(1-N127)*A_inv+(1-O127)*seed_inv</f>
        <v/>
      </c>
      <c r="C127">
        <f>MAX(0, D3 - B127)</f>
        <v/>
      </c>
      <c r="D127">
        <f>F1_sh+F2_sh+F3_sh+RSA_sh+NA_sh+NB_sh+I127*F_class_shares+J127*E_total+K127*D_total+L127*C_total+M127*B_total+N127*A_total+O127*Seed_total</f>
        <v/>
      </c>
      <c r="E127">
        <f>IF(D127&gt;0, C127/D127, 0)</f>
        <v/>
      </c>
      <c r="F127">
        <f>(C127 + preF_opts_iss*opt_strike)/(D127 + preF_opts_iss)</f>
        <v/>
      </c>
      <c r="G127">
        <f>IF(F127&gt;opt_strike,1,0)</f>
        <v/>
      </c>
      <c r="H127">
        <f>IF(G127=1, F127, E127)</f>
        <v/>
      </c>
      <c r="I127">
        <f>IF(H126 * F_class_shares &gt; F_primary, 1, 0)</f>
        <v/>
      </c>
      <c r="J127">
        <f>IF(H126 * E_total &gt; E_inv, 1, 0)</f>
        <v/>
      </c>
      <c r="K127">
        <f>IF(H126 * D_total &gt; D_inv, 1, 0)</f>
        <v/>
      </c>
      <c r="L127">
        <f>IF(H126 * C_total &gt; C_inv, 1, 0)</f>
        <v/>
      </c>
      <c r="M127">
        <f>IF(H126 * B_total &gt; B_inv, 1, 0)</f>
        <v/>
      </c>
      <c r="N127">
        <f>IF(H126 * A_total &gt; A_inv, 1, 0)</f>
        <v/>
      </c>
      <c r="O127">
        <f>IF(H126 * Seed_total &gt; seed_inv, 1, 0)</f>
        <v/>
      </c>
    </row>
    <row r="128">
      <c r="B128">
        <f>(1-I128)*F_primary+(1-J128)*E_inv+(1-K128)*D_inv+(1-L128)*C_inv+(1-M128)*B_inv+(1-N128)*A_inv+(1-O128)*seed_inv</f>
        <v/>
      </c>
      <c r="C128">
        <f>MAX(0, D3 - B128)</f>
        <v/>
      </c>
      <c r="D128">
        <f>F1_sh+F2_sh+F3_sh+RSA_sh+NA_sh+NB_sh+I128*F_class_shares+J128*E_total+K128*D_total+L128*C_total+M128*B_total+N128*A_total+O128*Seed_total</f>
        <v/>
      </c>
      <c r="E128">
        <f>IF(D128&gt;0, C128/D128, 0)</f>
        <v/>
      </c>
      <c r="F128">
        <f>(C128 + preF_opts_iss*opt_strike)/(D128 + preF_opts_iss)</f>
        <v/>
      </c>
      <c r="G128">
        <f>IF(F128&gt;opt_strike,1,0)</f>
        <v/>
      </c>
      <c r="H128">
        <f>IF(G128=1, F128, E128)</f>
        <v/>
      </c>
      <c r="I128">
        <f>IF(H127 * F_class_shares &gt; F_primary, 1, 0)</f>
        <v/>
      </c>
      <c r="J128">
        <f>IF(H127 * E_total &gt; E_inv, 1, 0)</f>
        <v/>
      </c>
      <c r="K128">
        <f>IF(H127 * D_total &gt; D_inv, 1, 0)</f>
        <v/>
      </c>
      <c r="L128">
        <f>IF(H127 * C_total &gt; C_inv, 1, 0)</f>
        <v/>
      </c>
      <c r="M128">
        <f>IF(H127 * B_total &gt; B_inv, 1, 0)</f>
        <v/>
      </c>
      <c r="N128">
        <f>IF(H127 * A_total &gt; A_inv, 1, 0)</f>
        <v/>
      </c>
      <c r="O128">
        <f>IF(H127 * Seed_total &gt; seed_inv, 1, 0)</f>
        <v/>
      </c>
    </row>
    <row r="129">
      <c r="B129">
        <f>(1-I129)*F_primary+(1-J129)*E_inv+(1-K129)*D_inv+(1-L129)*C_inv+(1-M129)*B_inv+(1-N129)*A_inv+(1-O129)*seed_inv</f>
        <v/>
      </c>
      <c r="C129">
        <f>MAX(0, D3 - B129)</f>
        <v/>
      </c>
      <c r="D129">
        <f>F1_sh+F2_sh+F3_sh+RSA_sh+NA_sh+NB_sh+I129*F_class_shares+J129*E_total+K129*D_total+L129*C_total+M129*B_total+N129*A_total+O129*Seed_total</f>
        <v/>
      </c>
      <c r="E129">
        <f>IF(D129&gt;0, C129/D129, 0)</f>
        <v/>
      </c>
      <c r="F129">
        <f>(C129 + preF_opts_iss*opt_strike)/(D129 + preF_opts_iss)</f>
        <v/>
      </c>
      <c r="G129">
        <f>IF(F129&gt;opt_strike,1,0)</f>
        <v/>
      </c>
      <c r="H129">
        <f>IF(G129=1, F129, E129)</f>
        <v/>
      </c>
      <c r="I129">
        <f>IF(H128 * F_class_shares &gt; F_primary, 1, 0)</f>
        <v/>
      </c>
      <c r="J129">
        <f>IF(H128 * E_total &gt; E_inv, 1, 0)</f>
        <v/>
      </c>
      <c r="K129">
        <f>IF(H128 * D_total &gt; D_inv, 1, 0)</f>
        <v/>
      </c>
      <c r="L129">
        <f>IF(H128 * C_total &gt; C_inv, 1, 0)</f>
        <v/>
      </c>
      <c r="M129">
        <f>IF(H128 * B_total &gt; B_inv, 1, 0)</f>
        <v/>
      </c>
      <c r="N129">
        <f>IF(H128 * A_total &gt; A_inv, 1, 0)</f>
        <v/>
      </c>
      <c r="O129">
        <f>IF(H128 * Seed_total &gt; seed_inv, 1, 0)</f>
        <v/>
      </c>
    </row>
    <row r="130">
      <c r="B130">
        <f>(1-I130)*F_primary+(1-J130)*E_inv+(1-K130)*D_inv+(1-L130)*C_inv+(1-M130)*B_inv+(1-N130)*A_inv+(1-O130)*seed_inv</f>
        <v/>
      </c>
      <c r="C130">
        <f>MAX(0, D3 - B130)</f>
        <v/>
      </c>
      <c r="D130">
        <f>F1_sh+F2_sh+F3_sh+RSA_sh+NA_sh+NB_sh+I130*F_class_shares+J130*E_total+K130*D_total+L130*C_total+M130*B_total+N130*A_total+O130*Seed_total</f>
        <v/>
      </c>
      <c r="E130">
        <f>IF(D130&gt;0, C130/D130, 0)</f>
        <v/>
      </c>
      <c r="F130">
        <f>(C130 + preF_opts_iss*opt_strike)/(D130 + preF_opts_iss)</f>
        <v/>
      </c>
      <c r="G130">
        <f>IF(F130&gt;opt_strike,1,0)</f>
        <v/>
      </c>
      <c r="H130">
        <f>IF(G130=1, F130, E130)</f>
        <v/>
      </c>
      <c r="I130">
        <f>IF(H129 * F_class_shares &gt; F_primary, 1, 0)</f>
        <v/>
      </c>
      <c r="J130">
        <f>IF(H129 * E_total &gt; E_inv, 1, 0)</f>
        <v/>
      </c>
      <c r="K130">
        <f>IF(H129 * D_total &gt; D_inv, 1, 0)</f>
        <v/>
      </c>
      <c r="L130">
        <f>IF(H129 * C_total &gt; C_inv, 1, 0)</f>
        <v/>
      </c>
      <c r="M130">
        <f>IF(H129 * B_total &gt; B_inv, 1, 0)</f>
        <v/>
      </c>
      <c r="N130">
        <f>IF(H129 * A_total &gt; A_inv, 1, 0)</f>
        <v/>
      </c>
      <c r="O130">
        <f>IF(H129 * Seed_total &gt; seed_inv, 1, 0)</f>
        <v/>
      </c>
    </row>
    <row r="131">
      <c r="B131">
        <f>(1-I131)*F_primary+(1-J131)*E_inv+(1-K131)*D_inv+(1-L131)*C_inv+(1-M131)*B_inv+(1-N131)*A_inv+(1-O131)*seed_inv</f>
        <v/>
      </c>
      <c r="C131">
        <f>MAX(0, D3 - B131)</f>
        <v/>
      </c>
      <c r="D131">
        <f>F1_sh+F2_sh+F3_sh+RSA_sh+NA_sh+NB_sh+I131*F_class_shares+J131*E_total+K131*D_total+L131*C_total+M131*B_total+N131*A_total+O131*Seed_total</f>
        <v/>
      </c>
      <c r="E131">
        <f>IF(D131&gt;0, C131/D131, 0)</f>
        <v/>
      </c>
      <c r="F131">
        <f>(C131 + preF_opts_iss*opt_strike)/(D131 + preF_opts_iss)</f>
        <v/>
      </c>
      <c r="G131">
        <f>IF(F131&gt;opt_strike,1,0)</f>
        <v/>
      </c>
      <c r="H131">
        <f>IF(G131=1, F131, E131)</f>
        <v/>
      </c>
      <c r="I131">
        <f>IF(H130 * F_class_shares &gt; F_primary, 1, 0)</f>
        <v/>
      </c>
      <c r="J131">
        <f>IF(H130 * E_total &gt; E_inv, 1, 0)</f>
        <v/>
      </c>
      <c r="K131">
        <f>IF(H130 * D_total &gt; D_inv, 1, 0)</f>
        <v/>
      </c>
      <c r="L131">
        <f>IF(H130 * C_total &gt; C_inv, 1, 0)</f>
        <v/>
      </c>
      <c r="M131">
        <f>IF(H130 * B_total &gt; B_inv, 1, 0)</f>
        <v/>
      </c>
      <c r="N131">
        <f>IF(H130 * A_total &gt; A_inv, 1, 0)</f>
        <v/>
      </c>
      <c r="O131">
        <f>IF(H130 * Seed_total &gt; seed_inv, 1, 0)</f>
        <v/>
      </c>
    </row>
    <row r="132">
      <c r="B132">
        <f>(1-I132)*F_primary+(1-J132)*E_inv+(1-K132)*D_inv+(1-L132)*C_inv+(1-M132)*B_inv+(1-N132)*A_inv+(1-O132)*seed_inv</f>
        <v/>
      </c>
      <c r="C132">
        <f>MAX(0, D3 - B132)</f>
        <v/>
      </c>
      <c r="D132">
        <f>F1_sh+F2_sh+F3_sh+RSA_sh+NA_sh+NB_sh+I132*F_class_shares+J132*E_total+K132*D_total+L132*C_total+M132*B_total+N132*A_total+O132*Seed_total</f>
        <v/>
      </c>
      <c r="E132">
        <f>IF(D132&gt;0, C132/D132, 0)</f>
        <v/>
      </c>
      <c r="F132">
        <f>(C132 + preF_opts_iss*opt_strike)/(D132 + preF_opts_iss)</f>
        <v/>
      </c>
      <c r="G132">
        <f>IF(F132&gt;opt_strike,1,0)</f>
        <v/>
      </c>
      <c r="H132">
        <f>IF(G132=1, F132, E132)</f>
        <v/>
      </c>
      <c r="I132">
        <f>IF(H131 * F_class_shares &gt; F_primary, 1, 0)</f>
        <v/>
      </c>
      <c r="J132">
        <f>IF(H131 * E_total &gt; E_inv, 1, 0)</f>
        <v/>
      </c>
      <c r="K132">
        <f>IF(H131 * D_total &gt; D_inv, 1, 0)</f>
        <v/>
      </c>
      <c r="L132">
        <f>IF(H131 * C_total &gt; C_inv, 1, 0)</f>
        <v/>
      </c>
      <c r="M132">
        <f>IF(H131 * B_total &gt; B_inv, 1, 0)</f>
        <v/>
      </c>
      <c r="N132">
        <f>IF(H131 * A_total &gt; A_inv, 1, 0)</f>
        <v/>
      </c>
      <c r="O132">
        <f>IF(H131 * Seed_total &gt; seed_inv, 1, 0)</f>
        <v/>
      </c>
    </row>
    <row r="133">
      <c r="B133">
        <f>(1-I133)*F_primary+(1-J133)*E_inv+(1-K133)*D_inv+(1-L133)*C_inv+(1-M133)*B_inv+(1-N133)*A_inv+(1-O133)*seed_inv</f>
        <v/>
      </c>
      <c r="C133">
        <f>MAX(0, D3 - B133)</f>
        <v/>
      </c>
      <c r="D133">
        <f>F1_sh+F2_sh+F3_sh+RSA_sh+NA_sh+NB_sh+I133*F_class_shares+J133*E_total+K133*D_total+L133*C_total+M133*B_total+N133*A_total+O133*Seed_total</f>
        <v/>
      </c>
      <c r="E133">
        <f>IF(D133&gt;0, C133/D133, 0)</f>
        <v/>
      </c>
      <c r="F133">
        <f>(C133 + preF_opts_iss*opt_strike)/(D133 + preF_opts_iss)</f>
        <v/>
      </c>
      <c r="G133">
        <f>IF(F133&gt;opt_strike,1,0)</f>
        <v/>
      </c>
      <c r="H133">
        <f>IF(G133=1, F133, E133)</f>
        <v/>
      </c>
      <c r="I133">
        <f>IF(H132 * F_class_shares &gt; F_primary, 1, 0)</f>
        <v/>
      </c>
      <c r="J133">
        <f>IF(H132 * E_total &gt; E_inv, 1, 0)</f>
        <v/>
      </c>
      <c r="K133">
        <f>IF(H132 * D_total &gt; D_inv, 1, 0)</f>
        <v/>
      </c>
      <c r="L133">
        <f>IF(H132 * C_total &gt; C_inv, 1, 0)</f>
        <v/>
      </c>
      <c r="M133">
        <f>IF(H132 * B_total &gt; B_inv, 1, 0)</f>
        <v/>
      </c>
      <c r="N133">
        <f>IF(H132 * A_total &gt; A_inv, 1, 0)</f>
        <v/>
      </c>
      <c r="O133">
        <f>IF(H132 * Seed_total &gt; seed_inv, 1, 0)</f>
        <v/>
      </c>
    </row>
    <row r="134">
      <c r="B134">
        <f>(1-I134)*F_primary+(1-J134)*E_inv+(1-K134)*D_inv+(1-L134)*C_inv+(1-M134)*B_inv+(1-N134)*A_inv+(1-O134)*seed_inv</f>
        <v/>
      </c>
      <c r="C134">
        <f>MAX(0, D3 - B134)</f>
        <v/>
      </c>
      <c r="D134">
        <f>F1_sh+F2_sh+F3_sh+RSA_sh+NA_sh+NB_sh+I134*F_class_shares+J134*E_total+K134*D_total+L134*C_total+M134*B_total+N134*A_total+O134*Seed_total</f>
        <v/>
      </c>
      <c r="E134">
        <f>IF(D134&gt;0, C134/D134, 0)</f>
        <v/>
      </c>
      <c r="F134">
        <f>(C134 + preF_opts_iss*opt_strike)/(D134 + preF_opts_iss)</f>
        <v/>
      </c>
      <c r="G134">
        <f>IF(F134&gt;opt_strike,1,0)</f>
        <v/>
      </c>
      <c r="H134">
        <f>IF(G134=1, F134, E134)</f>
        <v/>
      </c>
      <c r="I134">
        <f>IF(H133 * F_class_shares &gt; F_primary, 1, 0)</f>
        <v/>
      </c>
      <c r="J134">
        <f>IF(H133 * E_total &gt; E_inv, 1, 0)</f>
        <v/>
      </c>
      <c r="K134">
        <f>IF(H133 * D_total &gt; D_inv, 1, 0)</f>
        <v/>
      </c>
      <c r="L134">
        <f>IF(H133 * C_total &gt; C_inv, 1, 0)</f>
        <v/>
      </c>
      <c r="M134">
        <f>IF(H133 * B_total &gt; B_inv, 1, 0)</f>
        <v/>
      </c>
      <c r="N134">
        <f>IF(H133 * A_total &gt; A_inv, 1, 0)</f>
        <v/>
      </c>
      <c r="O134">
        <f>IF(H133 * Seed_total &gt; seed_inv, 1, 0)</f>
        <v/>
      </c>
    </row>
    <row r="135">
      <c r="B135">
        <f>(1-I135)*F_primary+(1-J135)*E_inv+(1-K135)*D_inv+(1-L135)*C_inv+(1-M135)*B_inv+(1-N135)*A_inv+(1-O135)*seed_inv</f>
        <v/>
      </c>
      <c r="C135">
        <f>MAX(0, D3 - B135)</f>
        <v/>
      </c>
      <c r="D135">
        <f>F1_sh+F2_sh+F3_sh+RSA_sh+NA_sh+NB_sh+I135*F_class_shares+J135*E_total+K135*D_total+L135*C_total+M135*B_total+N135*A_total+O135*Seed_total</f>
        <v/>
      </c>
      <c r="E135">
        <f>IF(D135&gt;0, C135/D135, 0)</f>
        <v/>
      </c>
      <c r="F135">
        <f>(C135 + preF_opts_iss*opt_strike)/(D135 + preF_opts_iss)</f>
        <v/>
      </c>
      <c r="G135">
        <f>IF(F135&gt;opt_strike,1,0)</f>
        <v/>
      </c>
      <c r="H135">
        <f>IF(G135=1, F135, E135)</f>
        <v/>
      </c>
      <c r="I135">
        <f>IF(H134 * F_class_shares &gt; F_primary, 1, 0)</f>
        <v/>
      </c>
      <c r="J135">
        <f>IF(H134 * E_total &gt; E_inv, 1, 0)</f>
        <v/>
      </c>
      <c r="K135">
        <f>IF(H134 * D_total &gt; D_inv, 1, 0)</f>
        <v/>
      </c>
      <c r="L135">
        <f>IF(H134 * C_total &gt; C_inv, 1, 0)</f>
        <v/>
      </c>
      <c r="M135">
        <f>IF(H134 * B_total &gt; B_inv, 1, 0)</f>
        <v/>
      </c>
      <c r="N135">
        <f>IF(H134 * A_total &gt; A_inv, 1, 0)</f>
        <v/>
      </c>
      <c r="O135">
        <f>IF(H134 * Seed_total &gt; seed_inv, 1, 0)</f>
        <v/>
      </c>
    </row>
    <row r="136">
      <c r="B136">
        <f>(1-I136)*F_primary+(1-J136)*E_inv+(1-K136)*D_inv+(1-L136)*C_inv+(1-M136)*B_inv+(1-N136)*A_inv+(1-O136)*seed_inv</f>
        <v/>
      </c>
      <c r="C136">
        <f>MAX(0, D3 - B136)</f>
        <v/>
      </c>
      <c r="D136">
        <f>F1_sh+F2_sh+F3_sh+RSA_sh+NA_sh+NB_sh+I136*F_class_shares+J136*E_total+K136*D_total+L136*C_total+M136*B_total+N136*A_total+O136*Seed_total</f>
        <v/>
      </c>
      <c r="E136">
        <f>IF(D136&gt;0, C136/D136, 0)</f>
        <v/>
      </c>
      <c r="F136">
        <f>(C136 + preF_opts_iss*opt_strike)/(D136 + preF_opts_iss)</f>
        <v/>
      </c>
      <c r="G136">
        <f>IF(F136&gt;opt_strike,1,0)</f>
        <v/>
      </c>
      <c r="H136">
        <f>IF(G136=1, F136, E136)</f>
        <v/>
      </c>
      <c r="I136">
        <f>IF(H135 * F_class_shares &gt; F_primary, 1, 0)</f>
        <v/>
      </c>
      <c r="J136">
        <f>IF(H135 * E_total &gt; E_inv, 1, 0)</f>
        <v/>
      </c>
      <c r="K136">
        <f>IF(H135 * D_total &gt; D_inv, 1, 0)</f>
        <v/>
      </c>
      <c r="L136">
        <f>IF(H135 * C_total &gt; C_inv, 1, 0)</f>
        <v/>
      </c>
      <c r="M136">
        <f>IF(H135 * B_total &gt; B_inv, 1, 0)</f>
        <v/>
      </c>
      <c r="N136">
        <f>IF(H135 * A_total &gt; A_inv, 1, 0)</f>
        <v/>
      </c>
      <c r="O136">
        <f>IF(H135 * Seed_total &gt; seed_inv, 1, 0)</f>
        <v/>
      </c>
    </row>
    <row r="137">
      <c r="B137">
        <f>(1-I137)*F_primary+(1-J137)*E_inv+(1-K137)*D_inv+(1-L137)*C_inv+(1-M137)*B_inv+(1-N137)*A_inv+(1-O137)*seed_inv</f>
        <v/>
      </c>
      <c r="C137">
        <f>MAX(0, D3 - B137)</f>
        <v/>
      </c>
      <c r="D137">
        <f>F1_sh+F2_sh+F3_sh+RSA_sh+NA_sh+NB_sh+I137*F_class_shares+J137*E_total+K137*D_total+L137*C_total+M137*B_total+N137*A_total+O137*Seed_total</f>
        <v/>
      </c>
      <c r="E137">
        <f>IF(D137&gt;0, C137/D137, 0)</f>
        <v/>
      </c>
      <c r="F137">
        <f>(C137 + preF_opts_iss*opt_strike)/(D137 + preF_opts_iss)</f>
        <v/>
      </c>
      <c r="G137">
        <f>IF(F137&gt;opt_strike,1,0)</f>
        <v/>
      </c>
      <c r="H137">
        <f>IF(G137=1, F137, E137)</f>
        <v/>
      </c>
      <c r="I137">
        <f>IF(H136 * F_class_shares &gt; F_primary, 1, 0)</f>
        <v/>
      </c>
      <c r="J137">
        <f>IF(H136 * E_total &gt; E_inv, 1, 0)</f>
        <v/>
      </c>
      <c r="K137">
        <f>IF(H136 * D_total &gt; D_inv, 1, 0)</f>
        <v/>
      </c>
      <c r="L137">
        <f>IF(H136 * C_total &gt; C_inv, 1, 0)</f>
        <v/>
      </c>
      <c r="M137">
        <f>IF(H136 * B_total &gt; B_inv, 1, 0)</f>
        <v/>
      </c>
      <c r="N137">
        <f>IF(H136 * A_total &gt; A_inv, 1, 0)</f>
        <v/>
      </c>
      <c r="O137">
        <f>IF(H136 * Seed_total &gt; seed_inv, 1, 0)</f>
        <v/>
      </c>
    </row>
    <row r="138">
      <c r="B138">
        <f>(1-I138)*F_primary+(1-J138)*E_inv+(1-K138)*D_inv+(1-L138)*C_inv+(1-M138)*B_inv+(1-N138)*A_inv+(1-O138)*seed_inv</f>
        <v/>
      </c>
      <c r="C138">
        <f>MAX(0, D3 - B138)</f>
        <v/>
      </c>
      <c r="D138">
        <f>F1_sh+F2_sh+F3_sh+RSA_sh+NA_sh+NB_sh+I138*F_class_shares+J138*E_total+K138*D_total+L138*C_total+M138*B_total+N138*A_total+O138*Seed_total</f>
        <v/>
      </c>
      <c r="E138">
        <f>IF(D138&gt;0, C138/D138, 0)</f>
        <v/>
      </c>
      <c r="F138">
        <f>(C138 + preF_opts_iss*opt_strike)/(D138 + preF_opts_iss)</f>
        <v/>
      </c>
      <c r="G138">
        <f>IF(F138&gt;opt_strike,1,0)</f>
        <v/>
      </c>
      <c r="H138">
        <f>IF(G138=1, F138, E138)</f>
        <v/>
      </c>
      <c r="I138">
        <f>IF(H137 * F_class_shares &gt; F_primary, 1, 0)</f>
        <v/>
      </c>
      <c r="J138">
        <f>IF(H137 * E_total &gt; E_inv, 1, 0)</f>
        <v/>
      </c>
      <c r="K138">
        <f>IF(H137 * D_total &gt; D_inv, 1, 0)</f>
        <v/>
      </c>
      <c r="L138">
        <f>IF(H137 * C_total &gt; C_inv, 1, 0)</f>
        <v/>
      </c>
      <c r="M138">
        <f>IF(H137 * B_total &gt; B_inv, 1, 0)</f>
        <v/>
      </c>
      <c r="N138">
        <f>IF(H137 * A_total &gt; A_inv, 1, 0)</f>
        <v/>
      </c>
      <c r="O138">
        <f>IF(H137 * Seed_total &gt; seed_inv, 1, 0)</f>
        <v/>
      </c>
    </row>
    <row r="139">
      <c r="B139">
        <f>(1-I139)*F_primary+(1-J139)*E_inv+(1-K139)*D_inv+(1-L139)*C_inv+(1-M139)*B_inv+(1-N139)*A_inv+(1-O139)*seed_inv</f>
        <v/>
      </c>
      <c r="C139">
        <f>MAX(0, D3 - B139)</f>
        <v/>
      </c>
      <c r="D139">
        <f>F1_sh+F2_sh+F3_sh+RSA_sh+NA_sh+NB_sh+I139*F_class_shares+J139*E_total+K139*D_total+L139*C_total+M139*B_total+N139*A_total+O139*Seed_total</f>
        <v/>
      </c>
      <c r="E139">
        <f>IF(D139&gt;0, C139/D139, 0)</f>
        <v/>
      </c>
      <c r="F139">
        <f>(C139 + preF_opts_iss*opt_strike)/(D139 + preF_opts_iss)</f>
        <v/>
      </c>
      <c r="G139">
        <f>IF(F139&gt;opt_strike,1,0)</f>
        <v/>
      </c>
      <c r="H139">
        <f>IF(G139=1, F139, E139)</f>
        <v/>
      </c>
      <c r="I139">
        <f>IF(H138 * F_class_shares &gt; F_primary, 1, 0)</f>
        <v/>
      </c>
      <c r="J139">
        <f>IF(H138 * E_total &gt; E_inv, 1, 0)</f>
        <v/>
      </c>
      <c r="K139">
        <f>IF(H138 * D_total &gt; D_inv, 1, 0)</f>
        <v/>
      </c>
      <c r="L139">
        <f>IF(H138 * C_total &gt; C_inv, 1, 0)</f>
        <v/>
      </c>
      <c r="M139">
        <f>IF(H138 * B_total &gt; B_inv, 1, 0)</f>
        <v/>
      </c>
      <c r="N139">
        <f>IF(H138 * A_total &gt; A_inv, 1, 0)</f>
        <v/>
      </c>
      <c r="O139">
        <f>IF(H138 * Seed_total &gt; seed_inv, 1, 0)</f>
        <v/>
      </c>
    </row>
    <row r="140">
      <c r="B140">
        <f>(1-I140)*F_primary+(1-J140)*E_inv+(1-K140)*D_inv+(1-L140)*C_inv+(1-M140)*B_inv+(1-N140)*A_inv+(1-O140)*seed_inv</f>
        <v/>
      </c>
      <c r="C140">
        <f>MAX(0, D3 - B140)</f>
        <v/>
      </c>
      <c r="D140">
        <f>F1_sh+F2_sh+F3_sh+RSA_sh+NA_sh+NB_sh+I140*F_class_shares+J140*E_total+K140*D_total+L140*C_total+M140*B_total+N140*A_total+O140*Seed_total</f>
        <v/>
      </c>
      <c r="E140">
        <f>IF(D140&gt;0, C140/D140, 0)</f>
        <v/>
      </c>
      <c r="F140">
        <f>(C140 + preF_opts_iss*opt_strike)/(D140 + preF_opts_iss)</f>
        <v/>
      </c>
      <c r="G140">
        <f>IF(F140&gt;opt_strike,1,0)</f>
        <v/>
      </c>
      <c r="H140">
        <f>IF(G140=1, F140, E140)</f>
        <v/>
      </c>
      <c r="I140">
        <f>IF(H139 * F_class_shares &gt; F_primary, 1, 0)</f>
        <v/>
      </c>
      <c r="J140">
        <f>IF(H139 * E_total &gt; E_inv, 1, 0)</f>
        <v/>
      </c>
      <c r="K140">
        <f>IF(H139 * D_total &gt; D_inv, 1, 0)</f>
        <v/>
      </c>
      <c r="L140">
        <f>IF(H139 * C_total &gt; C_inv, 1, 0)</f>
        <v/>
      </c>
      <c r="M140">
        <f>IF(H139 * B_total &gt; B_inv, 1, 0)</f>
        <v/>
      </c>
      <c r="N140">
        <f>IF(H139 * A_total &gt; A_inv, 1, 0)</f>
        <v/>
      </c>
      <c r="O140">
        <f>IF(H139 * Seed_total &gt; seed_inv, 1, 0)</f>
        <v/>
      </c>
    </row>
    <row r="141">
      <c r="B141">
        <f>(1-I141)*F_primary+(1-J141)*E_inv+(1-K141)*D_inv+(1-L141)*C_inv+(1-M141)*B_inv+(1-N141)*A_inv+(1-O141)*seed_inv</f>
        <v/>
      </c>
      <c r="C141">
        <f>MAX(0, D3 - B141)</f>
        <v/>
      </c>
      <c r="D141">
        <f>F1_sh+F2_sh+F3_sh+RSA_sh+NA_sh+NB_sh+I141*F_class_shares+J141*E_total+K141*D_total+L141*C_total+M141*B_total+N141*A_total+O141*Seed_total</f>
        <v/>
      </c>
      <c r="E141">
        <f>IF(D141&gt;0, C141/D141, 0)</f>
        <v/>
      </c>
      <c r="F141">
        <f>(C141 + preF_opts_iss*opt_strike)/(D141 + preF_opts_iss)</f>
        <v/>
      </c>
      <c r="G141">
        <f>IF(F141&gt;opt_strike,1,0)</f>
        <v/>
      </c>
      <c r="H141">
        <f>IF(G141=1, F141, E141)</f>
        <v/>
      </c>
      <c r="I141">
        <f>IF(H140 * F_class_shares &gt; F_primary, 1, 0)</f>
        <v/>
      </c>
      <c r="J141">
        <f>IF(H140 * E_total &gt; E_inv, 1, 0)</f>
        <v/>
      </c>
      <c r="K141">
        <f>IF(H140 * D_total &gt; D_inv, 1, 0)</f>
        <v/>
      </c>
      <c r="L141">
        <f>IF(H140 * C_total &gt; C_inv, 1, 0)</f>
        <v/>
      </c>
      <c r="M141">
        <f>IF(H140 * B_total &gt; B_inv, 1, 0)</f>
        <v/>
      </c>
      <c r="N141">
        <f>IF(H140 * A_total &gt; A_inv, 1, 0)</f>
        <v/>
      </c>
      <c r="O141">
        <f>IF(H140 * Seed_total &gt; seed_inv, 1, 0)</f>
        <v/>
      </c>
    </row>
    <row r="142">
      <c r="B142">
        <f>(1-I142)*F_primary+(1-J142)*E_inv+(1-K142)*D_inv+(1-L142)*C_inv+(1-M142)*B_inv+(1-N142)*A_inv+(1-O142)*seed_inv</f>
        <v/>
      </c>
      <c r="C142">
        <f>MAX(0, D3 - B142)</f>
        <v/>
      </c>
      <c r="D142">
        <f>F1_sh+F2_sh+F3_sh+RSA_sh+NA_sh+NB_sh+I142*F_class_shares+J142*E_total+K142*D_total+L142*C_total+M142*B_total+N142*A_total+O142*Seed_total</f>
        <v/>
      </c>
      <c r="E142">
        <f>IF(D142&gt;0, C142/D142, 0)</f>
        <v/>
      </c>
      <c r="F142">
        <f>(C142 + preF_opts_iss*opt_strike)/(D142 + preF_opts_iss)</f>
        <v/>
      </c>
      <c r="G142">
        <f>IF(F142&gt;opt_strike,1,0)</f>
        <v/>
      </c>
      <c r="H142">
        <f>IF(G142=1, F142, E142)</f>
        <v/>
      </c>
      <c r="I142">
        <f>IF(H141 * F_class_shares &gt; F_primary, 1, 0)</f>
        <v/>
      </c>
      <c r="J142">
        <f>IF(H141 * E_total &gt; E_inv, 1, 0)</f>
        <v/>
      </c>
      <c r="K142">
        <f>IF(H141 * D_total &gt; D_inv, 1, 0)</f>
        <v/>
      </c>
      <c r="L142">
        <f>IF(H141 * C_total &gt; C_inv, 1, 0)</f>
        <v/>
      </c>
      <c r="M142">
        <f>IF(H141 * B_total &gt; B_inv, 1, 0)</f>
        <v/>
      </c>
      <c r="N142">
        <f>IF(H141 * A_total &gt; A_inv, 1, 0)</f>
        <v/>
      </c>
      <c r="O142">
        <f>IF(H141 * Seed_total &gt; seed_inv, 1, 0)</f>
        <v/>
      </c>
    </row>
    <row r="143">
      <c r="B143">
        <f>(1-I143)*F_primary+(1-J143)*E_inv+(1-K143)*D_inv+(1-L143)*C_inv+(1-M143)*B_inv+(1-N143)*A_inv+(1-O143)*seed_inv</f>
        <v/>
      </c>
      <c r="C143">
        <f>MAX(0, D3 - B143)</f>
        <v/>
      </c>
      <c r="D143">
        <f>F1_sh+F2_sh+F3_sh+RSA_sh+NA_sh+NB_sh+I143*F_class_shares+J143*E_total+K143*D_total+L143*C_total+M143*B_total+N143*A_total+O143*Seed_total</f>
        <v/>
      </c>
      <c r="E143">
        <f>IF(D143&gt;0, C143/D143, 0)</f>
        <v/>
      </c>
      <c r="F143">
        <f>(C143 + preF_opts_iss*opt_strike)/(D143 + preF_opts_iss)</f>
        <v/>
      </c>
      <c r="G143">
        <f>IF(F143&gt;opt_strike,1,0)</f>
        <v/>
      </c>
      <c r="H143">
        <f>IF(G143=1, F143, E143)</f>
        <v/>
      </c>
      <c r="I143">
        <f>IF(H142 * F_class_shares &gt; F_primary, 1, 0)</f>
        <v/>
      </c>
      <c r="J143">
        <f>IF(H142 * E_total &gt; E_inv, 1, 0)</f>
        <v/>
      </c>
      <c r="K143">
        <f>IF(H142 * D_total &gt; D_inv, 1, 0)</f>
        <v/>
      </c>
      <c r="L143">
        <f>IF(H142 * C_total &gt; C_inv, 1, 0)</f>
        <v/>
      </c>
      <c r="M143">
        <f>IF(H142 * B_total &gt; B_inv, 1, 0)</f>
        <v/>
      </c>
      <c r="N143">
        <f>IF(H142 * A_total &gt; A_inv, 1, 0)</f>
        <v/>
      </c>
      <c r="O143">
        <f>IF(H142 * Seed_total &gt; seed_inv, 1, 0)</f>
        <v/>
      </c>
    </row>
    <row r="144">
      <c r="B144">
        <f>(1-I144)*F_primary+(1-J144)*E_inv+(1-K144)*D_inv+(1-L144)*C_inv+(1-M144)*B_inv+(1-N144)*A_inv+(1-O144)*seed_inv</f>
        <v/>
      </c>
      <c r="C144">
        <f>MAX(0, D3 - B144)</f>
        <v/>
      </c>
      <c r="D144">
        <f>F1_sh+F2_sh+F3_sh+RSA_sh+NA_sh+NB_sh+I144*F_class_shares+J144*E_total+K144*D_total+L144*C_total+M144*B_total+N144*A_total+O144*Seed_total</f>
        <v/>
      </c>
      <c r="E144">
        <f>IF(D144&gt;0, C144/D144, 0)</f>
        <v/>
      </c>
      <c r="F144">
        <f>(C144 + preF_opts_iss*opt_strike)/(D144 + preF_opts_iss)</f>
        <v/>
      </c>
      <c r="G144">
        <f>IF(F144&gt;opt_strike,1,0)</f>
        <v/>
      </c>
      <c r="H144">
        <f>IF(G144=1, F144, E144)</f>
        <v/>
      </c>
      <c r="I144">
        <f>IF(H143 * F_class_shares &gt; F_primary, 1, 0)</f>
        <v/>
      </c>
      <c r="J144">
        <f>IF(H143 * E_total &gt; E_inv, 1, 0)</f>
        <v/>
      </c>
      <c r="K144">
        <f>IF(H143 * D_total &gt; D_inv, 1, 0)</f>
        <v/>
      </c>
      <c r="L144">
        <f>IF(H143 * C_total &gt; C_inv, 1, 0)</f>
        <v/>
      </c>
      <c r="M144">
        <f>IF(H143 * B_total &gt; B_inv, 1, 0)</f>
        <v/>
      </c>
      <c r="N144">
        <f>IF(H143 * A_total &gt; A_inv, 1, 0)</f>
        <v/>
      </c>
      <c r="O144">
        <f>IF(H143 * Seed_total &gt; seed_inv, 1, 0)</f>
        <v/>
      </c>
    </row>
    <row r="145">
      <c r="B145">
        <f>(1-I145)*F_primary+(1-J145)*E_inv+(1-K145)*D_inv+(1-L145)*C_inv+(1-M145)*B_inv+(1-N145)*A_inv+(1-O145)*seed_inv</f>
        <v/>
      </c>
      <c r="C145">
        <f>MAX(0, D3 - B145)</f>
        <v/>
      </c>
      <c r="D145">
        <f>F1_sh+F2_sh+F3_sh+RSA_sh+NA_sh+NB_sh+I145*F_class_shares+J145*E_total+K145*D_total+L145*C_total+M145*B_total+N145*A_total+O145*Seed_total</f>
        <v/>
      </c>
      <c r="E145">
        <f>IF(D145&gt;0, C145/D145, 0)</f>
        <v/>
      </c>
      <c r="F145">
        <f>(C145 + preF_opts_iss*opt_strike)/(D145 + preF_opts_iss)</f>
        <v/>
      </c>
      <c r="G145">
        <f>IF(F145&gt;opt_strike,1,0)</f>
        <v/>
      </c>
      <c r="H145">
        <f>IF(G145=1, F145, E145)</f>
        <v/>
      </c>
      <c r="I145">
        <f>IF(H144 * F_class_shares &gt; F_primary, 1, 0)</f>
        <v/>
      </c>
      <c r="J145">
        <f>IF(H144 * E_total &gt; E_inv, 1, 0)</f>
        <v/>
      </c>
      <c r="K145">
        <f>IF(H144 * D_total &gt; D_inv, 1, 0)</f>
        <v/>
      </c>
      <c r="L145">
        <f>IF(H144 * C_total &gt; C_inv, 1, 0)</f>
        <v/>
      </c>
      <c r="M145">
        <f>IF(H144 * B_total &gt; B_inv, 1, 0)</f>
        <v/>
      </c>
      <c r="N145">
        <f>IF(H144 * A_total &gt; A_inv, 1, 0)</f>
        <v/>
      </c>
      <c r="O145">
        <f>IF(H144 * Seed_total &gt; seed_inv, 1, 0)</f>
        <v/>
      </c>
    </row>
    <row r="146">
      <c r="B146">
        <f>(1-I146)*F_primary+(1-J146)*E_inv+(1-K146)*D_inv+(1-L146)*C_inv+(1-M146)*B_inv+(1-N146)*A_inv+(1-O146)*seed_inv</f>
        <v/>
      </c>
      <c r="C146">
        <f>MAX(0, D3 - B146)</f>
        <v/>
      </c>
      <c r="D146">
        <f>F1_sh+F2_sh+F3_sh+RSA_sh+NA_sh+NB_sh+I146*F_class_shares+J146*E_total+K146*D_total+L146*C_total+M146*B_total+N146*A_total+O146*Seed_total</f>
        <v/>
      </c>
      <c r="E146">
        <f>IF(D146&gt;0, C146/D146, 0)</f>
        <v/>
      </c>
      <c r="F146">
        <f>(C146 + preF_opts_iss*opt_strike)/(D146 + preF_opts_iss)</f>
        <v/>
      </c>
      <c r="G146">
        <f>IF(F146&gt;opt_strike,1,0)</f>
        <v/>
      </c>
      <c r="H146">
        <f>IF(G146=1, F146, E146)</f>
        <v/>
      </c>
      <c r="I146">
        <f>IF(H145 * F_class_shares &gt; F_primary, 1, 0)</f>
        <v/>
      </c>
      <c r="J146">
        <f>IF(H145 * E_total &gt; E_inv, 1, 0)</f>
        <v/>
      </c>
      <c r="K146">
        <f>IF(H145 * D_total &gt; D_inv, 1, 0)</f>
        <v/>
      </c>
      <c r="L146">
        <f>IF(H145 * C_total &gt; C_inv, 1, 0)</f>
        <v/>
      </c>
      <c r="M146">
        <f>IF(H145 * B_total &gt; B_inv, 1, 0)</f>
        <v/>
      </c>
      <c r="N146">
        <f>IF(H145 * A_total &gt; A_inv, 1, 0)</f>
        <v/>
      </c>
      <c r="O146">
        <f>IF(H145 * Seed_total &gt; seed_inv, 1, 0)</f>
        <v/>
      </c>
    </row>
    <row r="147">
      <c r="B147">
        <f>(1-I147)*F_primary+(1-J147)*E_inv+(1-K147)*D_inv+(1-L147)*C_inv+(1-M147)*B_inv+(1-N147)*A_inv+(1-O147)*seed_inv</f>
        <v/>
      </c>
      <c r="C147">
        <f>MAX(0, D3 - B147)</f>
        <v/>
      </c>
      <c r="D147">
        <f>F1_sh+F2_sh+F3_sh+RSA_sh+NA_sh+NB_sh+I147*F_class_shares+J147*E_total+K147*D_total+L147*C_total+M147*B_total+N147*A_total+O147*Seed_total</f>
        <v/>
      </c>
      <c r="E147">
        <f>IF(D147&gt;0, C147/D147, 0)</f>
        <v/>
      </c>
      <c r="F147">
        <f>(C147 + preF_opts_iss*opt_strike)/(D147 + preF_opts_iss)</f>
        <v/>
      </c>
      <c r="G147">
        <f>IF(F147&gt;opt_strike,1,0)</f>
        <v/>
      </c>
      <c r="H147">
        <f>IF(G147=1, F147, E147)</f>
        <v/>
      </c>
      <c r="I147">
        <f>IF(H146 * F_class_shares &gt; F_primary, 1, 0)</f>
        <v/>
      </c>
      <c r="J147">
        <f>IF(H146 * E_total &gt; E_inv, 1, 0)</f>
        <v/>
      </c>
      <c r="K147">
        <f>IF(H146 * D_total &gt; D_inv, 1, 0)</f>
        <v/>
      </c>
      <c r="L147">
        <f>IF(H146 * C_total &gt; C_inv, 1, 0)</f>
        <v/>
      </c>
      <c r="M147">
        <f>IF(H146 * B_total &gt; B_inv, 1, 0)</f>
        <v/>
      </c>
      <c r="N147">
        <f>IF(H146 * A_total &gt; A_inv, 1, 0)</f>
        <v/>
      </c>
      <c r="O147">
        <f>IF(H146 * Seed_total &gt; seed_inv, 1, 0)</f>
        <v/>
      </c>
    </row>
    <row r="148">
      <c r="B148">
        <f>(1-I148)*F_primary+(1-J148)*E_inv+(1-K148)*D_inv+(1-L148)*C_inv+(1-M148)*B_inv+(1-N148)*A_inv+(1-O148)*seed_inv</f>
        <v/>
      </c>
      <c r="C148">
        <f>MAX(0, D3 - B148)</f>
        <v/>
      </c>
      <c r="D148">
        <f>F1_sh+F2_sh+F3_sh+RSA_sh+NA_sh+NB_sh+I148*F_class_shares+J148*E_total+K148*D_total+L148*C_total+M148*B_total+N148*A_total+O148*Seed_total</f>
        <v/>
      </c>
      <c r="E148">
        <f>IF(D148&gt;0, C148/D148, 0)</f>
        <v/>
      </c>
      <c r="F148">
        <f>(C148 + preF_opts_iss*opt_strike)/(D148 + preF_opts_iss)</f>
        <v/>
      </c>
      <c r="G148">
        <f>IF(F148&gt;opt_strike,1,0)</f>
        <v/>
      </c>
      <c r="H148">
        <f>IF(G148=1, F148, E148)</f>
        <v/>
      </c>
      <c r="I148">
        <f>IF(H147 * F_class_shares &gt; F_primary, 1, 0)</f>
        <v/>
      </c>
      <c r="J148">
        <f>IF(H147 * E_total &gt; E_inv, 1, 0)</f>
        <v/>
      </c>
      <c r="K148">
        <f>IF(H147 * D_total &gt; D_inv, 1, 0)</f>
        <v/>
      </c>
      <c r="L148">
        <f>IF(H147 * C_total &gt; C_inv, 1, 0)</f>
        <v/>
      </c>
      <c r="M148">
        <f>IF(H147 * B_total &gt; B_inv, 1, 0)</f>
        <v/>
      </c>
      <c r="N148">
        <f>IF(H147 * A_total &gt; A_inv, 1, 0)</f>
        <v/>
      </c>
      <c r="O148">
        <f>IF(H147 * Seed_total &gt; seed_inv, 1, 0)</f>
        <v/>
      </c>
    </row>
    <row r="149">
      <c r="B149">
        <f>(1-I149)*F_primary+(1-J149)*E_inv+(1-K149)*D_inv+(1-L149)*C_inv+(1-M149)*B_inv+(1-N149)*A_inv+(1-O149)*seed_inv</f>
        <v/>
      </c>
      <c r="C149">
        <f>MAX(0, D3 - B149)</f>
        <v/>
      </c>
      <c r="D149">
        <f>F1_sh+F2_sh+F3_sh+RSA_sh+NA_sh+NB_sh+I149*F_class_shares+J149*E_total+K149*D_total+L149*C_total+M149*B_total+N149*A_total+O149*Seed_total</f>
        <v/>
      </c>
      <c r="E149">
        <f>IF(D149&gt;0, C149/D149, 0)</f>
        <v/>
      </c>
      <c r="F149">
        <f>(C149 + preF_opts_iss*opt_strike)/(D149 + preF_opts_iss)</f>
        <v/>
      </c>
      <c r="G149">
        <f>IF(F149&gt;opt_strike,1,0)</f>
        <v/>
      </c>
      <c r="H149">
        <f>IF(G149=1, F149, E149)</f>
        <v/>
      </c>
      <c r="I149">
        <f>IF(H148 * F_class_shares &gt; F_primary, 1, 0)</f>
        <v/>
      </c>
      <c r="J149">
        <f>IF(H148 * E_total &gt; E_inv, 1, 0)</f>
        <v/>
      </c>
      <c r="K149">
        <f>IF(H148 * D_total &gt; D_inv, 1, 0)</f>
        <v/>
      </c>
      <c r="L149">
        <f>IF(H148 * C_total &gt; C_inv, 1, 0)</f>
        <v/>
      </c>
      <c r="M149">
        <f>IF(H148 * B_total &gt; B_inv, 1, 0)</f>
        <v/>
      </c>
      <c r="N149">
        <f>IF(H148 * A_total &gt; A_inv, 1, 0)</f>
        <v/>
      </c>
      <c r="O149">
        <f>IF(H148 * Seed_total &gt; seed_inv, 1, 0)</f>
        <v/>
      </c>
    </row>
    <row r="150">
      <c r="B150">
        <f>(1-I150)*F_primary+(1-J150)*E_inv+(1-K150)*D_inv+(1-L150)*C_inv+(1-M150)*B_inv+(1-N150)*A_inv+(1-O150)*seed_inv</f>
        <v/>
      </c>
      <c r="C150">
        <f>MAX(0, D3 - B150)</f>
        <v/>
      </c>
      <c r="D150">
        <f>F1_sh+F2_sh+F3_sh+RSA_sh+NA_sh+NB_sh+I150*F_class_shares+J150*E_total+K150*D_total+L150*C_total+M150*B_total+N150*A_total+O150*Seed_total</f>
        <v/>
      </c>
      <c r="E150">
        <f>IF(D150&gt;0, C150/D150, 0)</f>
        <v/>
      </c>
      <c r="F150">
        <f>(C150 + preF_opts_iss*opt_strike)/(D150 + preF_opts_iss)</f>
        <v/>
      </c>
      <c r="G150">
        <f>IF(F150&gt;opt_strike,1,0)</f>
        <v/>
      </c>
      <c r="H150">
        <f>IF(G150=1, F150, E150)</f>
        <v/>
      </c>
      <c r="I150">
        <f>IF(H149 * F_class_shares &gt; F_primary, 1, 0)</f>
        <v/>
      </c>
      <c r="J150">
        <f>IF(H149 * E_total &gt; E_inv, 1, 0)</f>
        <v/>
      </c>
      <c r="K150">
        <f>IF(H149 * D_total &gt; D_inv, 1, 0)</f>
        <v/>
      </c>
      <c r="L150">
        <f>IF(H149 * C_total &gt; C_inv, 1, 0)</f>
        <v/>
      </c>
      <c r="M150">
        <f>IF(H149 * B_total &gt; B_inv, 1, 0)</f>
        <v/>
      </c>
      <c r="N150">
        <f>IF(H149 * A_total &gt; A_inv, 1, 0)</f>
        <v/>
      </c>
      <c r="O150">
        <f>IF(H149 * Seed_total &gt; seed_inv, 1, 0)</f>
        <v/>
      </c>
    </row>
    <row r="151">
      <c r="B151">
        <f>(1-I151)*F_primary+(1-J151)*E_inv+(1-K151)*D_inv+(1-L151)*C_inv+(1-M151)*B_inv+(1-N151)*A_inv+(1-O151)*seed_inv</f>
        <v/>
      </c>
      <c r="C151">
        <f>MAX(0, D3 - B151)</f>
        <v/>
      </c>
      <c r="D151">
        <f>F1_sh+F2_sh+F3_sh+RSA_sh+NA_sh+NB_sh+I151*F_class_shares+J151*E_total+K151*D_total+L151*C_total+M151*B_total+N151*A_total+O151*Seed_total</f>
        <v/>
      </c>
      <c r="E151">
        <f>IF(D151&gt;0, C151/D151, 0)</f>
        <v/>
      </c>
      <c r="F151">
        <f>(C151 + preF_opts_iss*opt_strike)/(D151 + preF_opts_iss)</f>
        <v/>
      </c>
      <c r="G151">
        <f>IF(F151&gt;opt_strike,1,0)</f>
        <v/>
      </c>
      <c r="H151">
        <f>IF(G151=1, F151, E151)</f>
        <v/>
      </c>
      <c r="I151">
        <f>IF(H150 * F_class_shares &gt; F_primary, 1, 0)</f>
        <v/>
      </c>
      <c r="J151">
        <f>IF(H150 * E_total &gt; E_inv, 1, 0)</f>
        <v/>
      </c>
      <c r="K151">
        <f>IF(H150 * D_total &gt; D_inv, 1, 0)</f>
        <v/>
      </c>
      <c r="L151">
        <f>IF(H150 * C_total &gt; C_inv, 1, 0)</f>
        <v/>
      </c>
      <c r="M151">
        <f>IF(H150 * B_total &gt; B_inv, 1, 0)</f>
        <v/>
      </c>
      <c r="N151">
        <f>IF(H150 * A_total &gt; A_inv, 1, 0)</f>
        <v/>
      </c>
      <c r="O151">
        <f>IF(H150 * Seed_total &gt; seed_inv, 1, 0)</f>
        <v/>
      </c>
    </row>
    <row r="152">
      <c r="B152">
        <f>(1-I152)*F_primary+(1-J152)*E_inv+(1-K152)*D_inv+(1-L152)*C_inv+(1-M152)*B_inv+(1-N152)*A_inv+(1-O152)*seed_inv</f>
        <v/>
      </c>
      <c r="C152">
        <f>MAX(0, D3 - B152)</f>
        <v/>
      </c>
      <c r="D152">
        <f>F1_sh+F2_sh+F3_sh+RSA_sh+NA_sh+NB_sh+I152*F_class_shares+J152*E_total+K152*D_total+L152*C_total+M152*B_total+N152*A_total+O152*Seed_total</f>
        <v/>
      </c>
      <c r="E152">
        <f>IF(D152&gt;0, C152/D152, 0)</f>
        <v/>
      </c>
      <c r="F152">
        <f>(C152 + preF_opts_iss*opt_strike)/(D152 + preF_opts_iss)</f>
        <v/>
      </c>
      <c r="G152">
        <f>IF(F152&gt;opt_strike,1,0)</f>
        <v/>
      </c>
      <c r="H152">
        <f>IF(G152=1, F152, E152)</f>
        <v/>
      </c>
      <c r="I152">
        <f>IF(H151 * F_class_shares &gt; F_primary, 1, 0)</f>
        <v/>
      </c>
      <c r="J152">
        <f>IF(H151 * E_total &gt; E_inv, 1, 0)</f>
        <v/>
      </c>
      <c r="K152">
        <f>IF(H151 * D_total &gt; D_inv, 1, 0)</f>
        <v/>
      </c>
      <c r="L152">
        <f>IF(H151 * C_total &gt; C_inv, 1, 0)</f>
        <v/>
      </c>
      <c r="M152">
        <f>IF(H151 * B_total &gt; B_inv, 1, 0)</f>
        <v/>
      </c>
      <c r="N152">
        <f>IF(H151 * A_total &gt; A_inv, 1, 0)</f>
        <v/>
      </c>
      <c r="O152">
        <f>IF(H151 * Seed_total &gt; seed_inv, 1, 0)</f>
        <v/>
      </c>
    </row>
    <row r="153">
      <c r="B153">
        <f>(1-I153)*F_primary+(1-J153)*E_inv+(1-K153)*D_inv+(1-L153)*C_inv+(1-M153)*B_inv+(1-N153)*A_inv+(1-O153)*seed_inv</f>
        <v/>
      </c>
      <c r="C153">
        <f>MAX(0, D3 - B153)</f>
        <v/>
      </c>
      <c r="D153">
        <f>F1_sh+F2_sh+F3_sh+RSA_sh+NA_sh+NB_sh+I153*F_class_shares+J153*E_total+K153*D_total+L153*C_total+M153*B_total+N153*A_total+O153*Seed_total</f>
        <v/>
      </c>
      <c r="E153">
        <f>IF(D153&gt;0, C153/D153, 0)</f>
        <v/>
      </c>
      <c r="F153">
        <f>(C153 + preF_opts_iss*opt_strike)/(D153 + preF_opts_iss)</f>
        <v/>
      </c>
      <c r="G153">
        <f>IF(F153&gt;opt_strike,1,0)</f>
        <v/>
      </c>
      <c r="H153">
        <f>IF(G153=1, F153, E153)</f>
        <v/>
      </c>
      <c r="I153">
        <f>IF(H152 * F_class_shares &gt; F_primary, 1, 0)</f>
        <v/>
      </c>
      <c r="J153">
        <f>IF(H152 * E_total &gt; E_inv, 1, 0)</f>
        <v/>
      </c>
      <c r="K153">
        <f>IF(H152 * D_total &gt; D_inv, 1, 0)</f>
        <v/>
      </c>
      <c r="L153">
        <f>IF(H152 * C_total &gt; C_inv, 1, 0)</f>
        <v/>
      </c>
      <c r="M153">
        <f>IF(H152 * B_total &gt; B_inv, 1, 0)</f>
        <v/>
      </c>
      <c r="N153">
        <f>IF(H152 * A_total &gt; A_inv, 1, 0)</f>
        <v/>
      </c>
      <c r="O153">
        <f>IF(H152 * Seed_total &gt; seed_inv, 1, 0)</f>
        <v/>
      </c>
    </row>
    <row r="154">
      <c r="B154">
        <f>(1-I154)*F_primary+(1-J154)*E_inv+(1-K154)*D_inv+(1-L154)*C_inv+(1-M154)*B_inv+(1-N154)*A_inv+(1-O154)*seed_inv</f>
        <v/>
      </c>
      <c r="C154">
        <f>MAX(0, D3 - B154)</f>
        <v/>
      </c>
      <c r="D154">
        <f>F1_sh+F2_sh+F3_sh+RSA_sh+NA_sh+NB_sh+I154*F_class_shares+J154*E_total+K154*D_total+L154*C_total+M154*B_total+N154*A_total+O154*Seed_total</f>
        <v/>
      </c>
      <c r="E154">
        <f>IF(D154&gt;0, C154/D154, 0)</f>
        <v/>
      </c>
      <c r="F154">
        <f>(C154 + preF_opts_iss*opt_strike)/(D154 + preF_opts_iss)</f>
        <v/>
      </c>
      <c r="G154">
        <f>IF(F154&gt;opt_strike,1,0)</f>
        <v/>
      </c>
      <c r="H154">
        <f>IF(G154=1, F154, E154)</f>
        <v/>
      </c>
      <c r="I154">
        <f>IF(H153 * F_class_shares &gt; F_primary, 1, 0)</f>
        <v/>
      </c>
      <c r="J154">
        <f>IF(H153 * E_total &gt; E_inv, 1, 0)</f>
        <v/>
      </c>
      <c r="K154">
        <f>IF(H153 * D_total &gt; D_inv, 1, 0)</f>
        <v/>
      </c>
      <c r="L154">
        <f>IF(H153 * C_total &gt; C_inv, 1, 0)</f>
        <v/>
      </c>
      <c r="M154">
        <f>IF(H153 * B_total &gt; B_inv, 1, 0)</f>
        <v/>
      </c>
      <c r="N154">
        <f>IF(H153 * A_total &gt; A_inv, 1, 0)</f>
        <v/>
      </c>
      <c r="O154">
        <f>IF(H153 * Seed_total &gt; seed_inv, 1, 0)</f>
        <v/>
      </c>
    </row>
    <row r="155">
      <c r="B155">
        <f>(1-I155)*F_primary+(1-J155)*E_inv+(1-K155)*D_inv+(1-L155)*C_inv+(1-M155)*B_inv+(1-N155)*A_inv+(1-O155)*seed_inv</f>
        <v/>
      </c>
      <c r="C155">
        <f>MAX(0, D3 - B155)</f>
        <v/>
      </c>
      <c r="D155">
        <f>F1_sh+F2_sh+F3_sh+RSA_sh+NA_sh+NB_sh+I155*F_class_shares+J155*E_total+K155*D_total+L155*C_total+M155*B_total+N155*A_total+O155*Seed_total</f>
        <v/>
      </c>
      <c r="E155">
        <f>IF(D155&gt;0, C155/D155, 0)</f>
        <v/>
      </c>
      <c r="F155">
        <f>(C155 + preF_opts_iss*opt_strike)/(D155 + preF_opts_iss)</f>
        <v/>
      </c>
      <c r="G155">
        <f>IF(F155&gt;opt_strike,1,0)</f>
        <v/>
      </c>
      <c r="H155">
        <f>IF(G155=1, F155, E155)</f>
        <v/>
      </c>
      <c r="I155">
        <f>IF(H154 * F_class_shares &gt; F_primary, 1, 0)</f>
        <v/>
      </c>
      <c r="J155">
        <f>IF(H154 * E_total &gt; E_inv, 1, 0)</f>
        <v/>
      </c>
      <c r="K155">
        <f>IF(H154 * D_total &gt; D_inv, 1, 0)</f>
        <v/>
      </c>
      <c r="L155">
        <f>IF(H154 * C_total &gt; C_inv, 1, 0)</f>
        <v/>
      </c>
      <c r="M155">
        <f>IF(H154 * B_total &gt; B_inv, 1, 0)</f>
        <v/>
      </c>
      <c r="N155">
        <f>IF(H154 * A_total &gt; A_inv, 1, 0)</f>
        <v/>
      </c>
      <c r="O155">
        <f>IF(H154 * Seed_total &gt; seed_inv, 1, 0)</f>
        <v/>
      </c>
    </row>
    <row r="156">
      <c r="B156">
        <f>(1-I156)*F_primary+(1-J156)*E_inv+(1-K156)*D_inv+(1-L156)*C_inv+(1-M156)*B_inv+(1-N156)*A_inv+(1-O156)*seed_inv</f>
        <v/>
      </c>
      <c r="C156">
        <f>MAX(0, D3 - B156)</f>
        <v/>
      </c>
      <c r="D156">
        <f>F1_sh+F2_sh+F3_sh+RSA_sh+NA_sh+NB_sh+I156*F_class_shares+J156*E_total+K156*D_total+L156*C_total+M156*B_total+N156*A_total+O156*Seed_total</f>
        <v/>
      </c>
      <c r="E156">
        <f>IF(D156&gt;0, C156/D156, 0)</f>
        <v/>
      </c>
      <c r="F156">
        <f>(C156 + preF_opts_iss*opt_strike)/(D156 + preF_opts_iss)</f>
        <v/>
      </c>
      <c r="G156">
        <f>IF(F156&gt;opt_strike,1,0)</f>
        <v/>
      </c>
      <c r="H156">
        <f>IF(G156=1, F156, E156)</f>
        <v/>
      </c>
      <c r="I156">
        <f>IF(H155 * F_class_shares &gt; F_primary, 1, 0)</f>
        <v/>
      </c>
      <c r="J156">
        <f>IF(H155 * E_total &gt; E_inv, 1, 0)</f>
        <v/>
      </c>
      <c r="K156">
        <f>IF(H155 * D_total &gt; D_inv, 1, 0)</f>
        <v/>
      </c>
      <c r="L156">
        <f>IF(H155 * C_total &gt; C_inv, 1, 0)</f>
        <v/>
      </c>
      <c r="M156">
        <f>IF(H155 * B_total &gt; B_inv, 1, 0)</f>
        <v/>
      </c>
      <c r="N156">
        <f>IF(H155 * A_total &gt; A_inv, 1, 0)</f>
        <v/>
      </c>
      <c r="O156">
        <f>IF(H155 * Seed_total &gt; seed_inv, 1, 0)</f>
        <v/>
      </c>
    </row>
    <row r="157">
      <c r="B157">
        <f>(1-I157)*F_primary+(1-J157)*E_inv+(1-K157)*D_inv+(1-L157)*C_inv+(1-M157)*B_inv+(1-N157)*A_inv+(1-O157)*seed_inv</f>
        <v/>
      </c>
      <c r="C157">
        <f>MAX(0, D3 - B157)</f>
        <v/>
      </c>
      <c r="D157">
        <f>F1_sh+F2_sh+F3_sh+RSA_sh+NA_sh+NB_sh+I157*F_class_shares+J157*E_total+K157*D_total+L157*C_total+M157*B_total+N157*A_total+O157*Seed_total</f>
        <v/>
      </c>
      <c r="E157">
        <f>IF(D157&gt;0, C157/D157, 0)</f>
        <v/>
      </c>
      <c r="F157">
        <f>(C157 + preF_opts_iss*opt_strike)/(D157 + preF_opts_iss)</f>
        <v/>
      </c>
      <c r="G157">
        <f>IF(F157&gt;opt_strike,1,0)</f>
        <v/>
      </c>
      <c r="H157">
        <f>IF(G157=1, F157, E157)</f>
        <v/>
      </c>
      <c r="I157">
        <f>IF(H156 * F_class_shares &gt; F_primary, 1, 0)</f>
        <v/>
      </c>
      <c r="J157">
        <f>IF(H156 * E_total &gt; E_inv, 1, 0)</f>
        <v/>
      </c>
      <c r="K157">
        <f>IF(H156 * D_total &gt; D_inv, 1, 0)</f>
        <v/>
      </c>
      <c r="L157">
        <f>IF(H156 * C_total &gt; C_inv, 1, 0)</f>
        <v/>
      </c>
      <c r="M157">
        <f>IF(H156 * B_total &gt; B_inv, 1, 0)</f>
        <v/>
      </c>
      <c r="N157">
        <f>IF(H156 * A_total &gt; A_inv, 1, 0)</f>
        <v/>
      </c>
      <c r="O157">
        <f>IF(H156 * Seed_total &gt; seed_inv, 1, 0)</f>
        <v/>
      </c>
    </row>
    <row r="158">
      <c r="B158">
        <f>(1-I158)*F_primary+(1-J158)*E_inv+(1-K158)*D_inv+(1-L158)*C_inv+(1-M158)*B_inv+(1-N158)*A_inv+(1-O158)*seed_inv</f>
        <v/>
      </c>
      <c r="C158">
        <f>MAX(0, D3 - B158)</f>
        <v/>
      </c>
      <c r="D158">
        <f>F1_sh+F2_sh+F3_sh+RSA_sh+NA_sh+NB_sh+I158*F_class_shares+J158*E_total+K158*D_total+L158*C_total+M158*B_total+N158*A_total+O158*Seed_total</f>
        <v/>
      </c>
      <c r="E158">
        <f>IF(D158&gt;0, C158/D158, 0)</f>
        <v/>
      </c>
      <c r="F158">
        <f>(C158 + preF_opts_iss*opt_strike)/(D158 + preF_opts_iss)</f>
        <v/>
      </c>
      <c r="G158">
        <f>IF(F158&gt;opt_strike,1,0)</f>
        <v/>
      </c>
      <c r="H158">
        <f>IF(G158=1, F158, E158)</f>
        <v/>
      </c>
      <c r="I158">
        <f>IF(H157 * F_class_shares &gt; F_primary, 1, 0)</f>
        <v/>
      </c>
      <c r="J158">
        <f>IF(H157 * E_total &gt; E_inv, 1, 0)</f>
        <v/>
      </c>
      <c r="K158">
        <f>IF(H157 * D_total &gt; D_inv, 1, 0)</f>
        <v/>
      </c>
      <c r="L158">
        <f>IF(H157 * C_total &gt; C_inv, 1, 0)</f>
        <v/>
      </c>
      <c r="M158">
        <f>IF(H157 * B_total &gt; B_inv, 1, 0)</f>
        <v/>
      </c>
      <c r="N158">
        <f>IF(H157 * A_total &gt; A_inv, 1, 0)</f>
        <v/>
      </c>
      <c r="O158">
        <f>IF(H157 * Seed_total &gt; seed_inv, 1, 0)</f>
        <v/>
      </c>
    </row>
    <row r="159">
      <c r="B159">
        <f>(1-I159)*F_primary+(1-J159)*E_inv+(1-K159)*D_inv+(1-L159)*C_inv+(1-M159)*B_inv+(1-N159)*A_inv+(1-O159)*seed_inv</f>
        <v/>
      </c>
      <c r="C159">
        <f>MAX(0, D3 - B159)</f>
        <v/>
      </c>
      <c r="D159">
        <f>F1_sh+F2_sh+F3_sh+RSA_sh+NA_sh+NB_sh+I159*F_class_shares+J159*E_total+K159*D_total+L159*C_total+M159*B_total+N159*A_total+O159*Seed_total</f>
        <v/>
      </c>
      <c r="E159">
        <f>IF(D159&gt;0, C159/D159, 0)</f>
        <v/>
      </c>
      <c r="F159">
        <f>(C159 + preF_opts_iss*opt_strike)/(D159 + preF_opts_iss)</f>
        <v/>
      </c>
      <c r="G159">
        <f>IF(F159&gt;opt_strike,1,0)</f>
        <v/>
      </c>
      <c r="H159">
        <f>IF(G159=1, F159, E159)</f>
        <v/>
      </c>
      <c r="I159">
        <f>IF(H158 * F_class_shares &gt; F_primary, 1, 0)</f>
        <v/>
      </c>
      <c r="J159">
        <f>IF(H158 * E_total &gt; E_inv, 1, 0)</f>
        <v/>
      </c>
      <c r="K159">
        <f>IF(H158 * D_total &gt; D_inv, 1, 0)</f>
        <v/>
      </c>
      <c r="L159">
        <f>IF(H158 * C_total &gt; C_inv, 1, 0)</f>
        <v/>
      </c>
      <c r="M159">
        <f>IF(H158 * B_total &gt; B_inv, 1, 0)</f>
        <v/>
      </c>
      <c r="N159">
        <f>IF(H158 * A_total &gt; A_inv, 1, 0)</f>
        <v/>
      </c>
      <c r="O159">
        <f>IF(H158 * Seed_total &gt; seed_inv, 1, 0)</f>
        <v/>
      </c>
    </row>
    <row r="160">
      <c r="A160" s="6" t="inlineStr">
        <is>
          <t>--- Iteration block for exit exit_v4 ---</t>
        </is>
      </c>
    </row>
    <row r="161">
      <c r="A161" s="6" t="inlineStr">
        <is>
          <t>iter</t>
        </is>
      </c>
      <c r="B161" s="6" t="inlineStr">
        <is>
          <t>prefs_paid</t>
        </is>
      </c>
      <c r="C161" s="6" t="inlineStr">
        <is>
          <t>residual</t>
        </is>
      </c>
      <c r="D161" s="6" t="inlineStr">
        <is>
          <t>cv_shares</t>
        </is>
      </c>
      <c r="E161" s="6" t="inlineStr">
        <is>
          <t>PPS_naive</t>
        </is>
      </c>
      <c r="F161" s="6" t="inlineStr">
        <is>
          <t>PPS_w_opts</t>
        </is>
      </c>
      <c r="G161" s="6" t="inlineStr">
        <is>
          <t>ITM</t>
        </is>
      </c>
      <c r="H161" s="6" t="inlineStr">
        <is>
          <t>PPS</t>
        </is>
      </c>
      <c r="I161" s="6" t="inlineStr">
        <is>
          <t>ic_F</t>
        </is>
      </c>
      <c r="J161" s="6" t="inlineStr">
        <is>
          <t>ic_E</t>
        </is>
      </c>
      <c r="K161" s="6" t="inlineStr">
        <is>
          <t>ic_D</t>
        </is>
      </c>
      <c r="L161" s="6" t="inlineStr">
        <is>
          <t>ic_C</t>
        </is>
      </c>
      <c r="M161" s="6" t="inlineStr">
        <is>
          <t>ic_B</t>
        </is>
      </c>
      <c r="N161" s="6" t="inlineStr">
        <is>
          <t>ic_A</t>
        </is>
      </c>
      <c r="O161" s="6" t="inlineStr">
        <is>
          <t>ic_Seed</t>
        </is>
      </c>
    </row>
    <row r="162">
      <c r="B162">
        <f>(1-I162)*F_primary+(1-J162)*E_inv+(1-K162)*D_inv+(1-L162)*C_inv+(1-M162)*B_inv+(1-N162)*A_inv+(1-O162)*seed_inv</f>
        <v/>
      </c>
      <c r="C162">
        <f>MAX(0, E3 - B162)</f>
        <v/>
      </c>
      <c r="D162">
        <f>F1_sh+F2_sh+F3_sh+RSA_sh+NA_sh+NB_sh+I162*F_class_shares+J162*E_total+K162*D_total+L162*C_total+M162*B_total+N162*A_total+O162*Seed_total</f>
        <v/>
      </c>
      <c r="E162">
        <f>IF(D162&gt;0, C162/D162, 0)</f>
        <v/>
      </c>
      <c r="F162">
        <f>(C162 + preF_opts_iss*opt_strike)/(D162 + preF_opts_iss)</f>
        <v/>
      </c>
      <c r="G162">
        <f>IF(F162&gt;opt_strike,1,0)</f>
        <v/>
      </c>
      <c r="H162">
        <f>IF(G162=1, F162, E162)</f>
        <v/>
      </c>
      <c r="I162">
        <f>IF(0 * F_class_shares &gt; F_primary, 1, 0)</f>
        <v/>
      </c>
      <c r="J162">
        <f>IF(0 * E_total &gt; E_inv, 1, 0)</f>
        <v/>
      </c>
      <c r="K162">
        <f>IF(0 * D_total &gt; D_inv, 1, 0)</f>
        <v/>
      </c>
      <c r="L162">
        <f>IF(0 * C_total &gt; C_inv, 1, 0)</f>
        <v/>
      </c>
      <c r="M162">
        <f>IF(0 * B_total &gt; B_inv, 1, 0)</f>
        <v/>
      </c>
      <c r="N162">
        <f>IF(0 * A_total &gt; A_inv, 1, 0)</f>
        <v/>
      </c>
      <c r="O162">
        <f>IF(0 * Seed_total &gt; seed_inv, 1, 0)</f>
        <v/>
      </c>
    </row>
    <row r="163">
      <c r="B163">
        <f>(1-I163)*F_primary+(1-J163)*E_inv+(1-K163)*D_inv+(1-L163)*C_inv+(1-M163)*B_inv+(1-N163)*A_inv+(1-O163)*seed_inv</f>
        <v/>
      </c>
      <c r="C163">
        <f>MAX(0, E3 - B163)</f>
        <v/>
      </c>
      <c r="D163">
        <f>F1_sh+F2_sh+F3_sh+RSA_sh+NA_sh+NB_sh+I163*F_class_shares+J163*E_total+K163*D_total+L163*C_total+M163*B_total+N163*A_total+O163*Seed_total</f>
        <v/>
      </c>
      <c r="E163">
        <f>IF(D163&gt;0, C163/D163, 0)</f>
        <v/>
      </c>
      <c r="F163">
        <f>(C163 + preF_opts_iss*opt_strike)/(D163 + preF_opts_iss)</f>
        <v/>
      </c>
      <c r="G163">
        <f>IF(F163&gt;opt_strike,1,0)</f>
        <v/>
      </c>
      <c r="H163">
        <f>IF(G163=1, F163, E163)</f>
        <v/>
      </c>
      <c r="I163">
        <f>IF(H162 * F_class_shares &gt; F_primary, 1, 0)</f>
        <v/>
      </c>
      <c r="J163">
        <f>IF(H162 * E_total &gt; E_inv, 1, 0)</f>
        <v/>
      </c>
      <c r="K163">
        <f>IF(H162 * D_total &gt; D_inv, 1, 0)</f>
        <v/>
      </c>
      <c r="L163">
        <f>IF(H162 * C_total &gt; C_inv, 1, 0)</f>
        <v/>
      </c>
      <c r="M163">
        <f>IF(H162 * B_total &gt; B_inv, 1, 0)</f>
        <v/>
      </c>
      <c r="N163">
        <f>IF(H162 * A_total &gt; A_inv, 1, 0)</f>
        <v/>
      </c>
      <c r="O163">
        <f>IF(H162 * Seed_total &gt; seed_inv, 1, 0)</f>
        <v/>
      </c>
    </row>
    <row r="164">
      <c r="B164">
        <f>(1-I164)*F_primary+(1-J164)*E_inv+(1-K164)*D_inv+(1-L164)*C_inv+(1-M164)*B_inv+(1-N164)*A_inv+(1-O164)*seed_inv</f>
        <v/>
      </c>
      <c r="C164">
        <f>MAX(0, E3 - B164)</f>
        <v/>
      </c>
      <c r="D164">
        <f>F1_sh+F2_sh+F3_sh+RSA_sh+NA_sh+NB_sh+I164*F_class_shares+J164*E_total+K164*D_total+L164*C_total+M164*B_total+N164*A_total+O164*Seed_total</f>
        <v/>
      </c>
      <c r="E164">
        <f>IF(D164&gt;0, C164/D164, 0)</f>
        <v/>
      </c>
      <c r="F164">
        <f>(C164 + preF_opts_iss*opt_strike)/(D164 + preF_opts_iss)</f>
        <v/>
      </c>
      <c r="G164">
        <f>IF(F164&gt;opt_strike,1,0)</f>
        <v/>
      </c>
      <c r="H164">
        <f>IF(G164=1, F164, E164)</f>
        <v/>
      </c>
      <c r="I164">
        <f>IF(H163 * F_class_shares &gt; F_primary, 1, 0)</f>
        <v/>
      </c>
      <c r="J164">
        <f>IF(H163 * E_total &gt; E_inv, 1, 0)</f>
        <v/>
      </c>
      <c r="K164">
        <f>IF(H163 * D_total &gt; D_inv, 1, 0)</f>
        <v/>
      </c>
      <c r="L164">
        <f>IF(H163 * C_total &gt; C_inv, 1, 0)</f>
        <v/>
      </c>
      <c r="M164">
        <f>IF(H163 * B_total &gt; B_inv, 1, 0)</f>
        <v/>
      </c>
      <c r="N164">
        <f>IF(H163 * A_total &gt; A_inv, 1, 0)</f>
        <v/>
      </c>
      <c r="O164">
        <f>IF(H163 * Seed_total &gt; seed_inv, 1, 0)</f>
        <v/>
      </c>
    </row>
    <row r="165">
      <c r="B165">
        <f>(1-I165)*F_primary+(1-J165)*E_inv+(1-K165)*D_inv+(1-L165)*C_inv+(1-M165)*B_inv+(1-N165)*A_inv+(1-O165)*seed_inv</f>
        <v/>
      </c>
      <c r="C165">
        <f>MAX(0, E3 - B165)</f>
        <v/>
      </c>
      <c r="D165">
        <f>F1_sh+F2_sh+F3_sh+RSA_sh+NA_sh+NB_sh+I165*F_class_shares+J165*E_total+K165*D_total+L165*C_total+M165*B_total+N165*A_total+O165*Seed_total</f>
        <v/>
      </c>
      <c r="E165">
        <f>IF(D165&gt;0, C165/D165, 0)</f>
        <v/>
      </c>
      <c r="F165">
        <f>(C165 + preF_opts_iss*opt_strike)/(D165 + preF_opts_iss)</f>
        <v/>
      </c>
      <c r="G165">
        <f>IF(F165&gt;opt_strike,1,0)</f>
        <v/>
      </c>
      <c r="H165">
        <f>IF(G165=1, F165, E165)</f>
        <v/>
      </c>
      <c r="I165">
        <f>IF(H164 * F_class_shares &gt; F_primary, 1, 0)</f>
        <v/>
      </c>
      <c r="J165">
        <f>IF(H164 * E_total &gt; E_inv, 1, 0)</f>
        <v/>
      </c>
      <c r="K165">
        <f>IF(H164 * D_total &gt; D_inv, 1, 0)</f>
        <v/>
      </c>
      <c r="L165">
        <f>IF(H164 * C_total &gt; C_inv, 1, 0)</f>
        <v/>
      </c>
      <c r="M165">
        <f>IF(H164 * B_total &gt; B_inv, 1, 0)</f>
        <v/>
      </c>
      <c r="N165">
        <f>IF(H164 * A_total &gt; A_inv, 1, 0)</f>
        <v/>
      </c>
      <c r="O165">
        <f>IF(H164 * Seed_total &gt; seed_inv, 1, 0)</f>
        <v/>
      </c>
    </row>
    <row r="166">
      <c r="B166">
        <f>(1-I166)*F_primary+(1-J166)*E_inv+(1-K166)*D_inv+(1-L166)*C_inv+(1-M166)*B_inv+(1-N166)*A_inv+(1-O166)*seed_inv</f>
        <v/>
      </c>
      <c r="C166">
        <f>MAX(0, E3 - B166)</f>
        <v/>
      </c>
      <c r="D166">
        <f>F1_sh+F2_sh+F3_sh+RSA_sh+NA_sh+NB_sh+I166*F_class_shares+J166*E_total+K166*D_total+L166*C_total+M166*B_total+N166*A_total+O166*Seed_total</f>
        <v/>
      </c>
      <c r="E166">
        <f>IF(D166&gt;0, C166/D166, 0)</f>
        <v/>
      </c>
      <c r="F166">
        <f>(C166 + preF_opts_iss*opt_strike)/(D166 + preF_opts_iss)</f>
        <v/>
      </c>
      <c r="G166">
        <f>IF(F166&gt;opt_strike,1,0)</f>
        <v/>
      </c>
      <c r="H166">
        <f>IF(G166=1, F166, E166)</f>
        <v/>
      </c>
      <c r="I166">
        <f>IF(H165 * F_class_shares &gt; F_primary, 1, 0)</f>
        <v/>
      </c>
      <c r="J166">
        <f>IF(H165 * E_total &gt; E_inv, 1, 0)</f>
        <v/>
      </c>
      <c r="K166">
        <f>IF(H165 * D_total &gt; D_inv, 1, 0)</f>
        <v/>
      </c>
      <c r="L166">
        <f>IF(H165 * C_total &gt; C_inv, 1, 0)</f>
        <v/>
      </c>
      <c r="M166">
        <f>IF(H165 * B_total &gt; B_inv, 1, 0)</f>
        <v/>
      </c>
      <c r="N166">
        <f>IF(H165 * A_total &gt; A_inv, 1, 0)</f>
        <v/>
      </c>
      <c r="O166">
        <f>IF(H165 * Seed_total &gt; seed_inv, 1, 0)</f>
        <v/>
      </c>
    </row>
    <row r="167">
      <c r="B167">
        <f>(1-I167)*F_primary+(1-J167)*E_inv+(1-K167)*D_inv+(1-L167)*C_inv+(1-M167)*B_inv+(1-N167)*A_inv+(1-O167)*seed_inv</f>
        <v/>
      </c>
      <c r="C167">
        <f>MAX(0, E3 - B167)</f>
        <v/>
      </c>
      <c r="D167">
        <f>F1_sh+F2_sh+F3_sh+RSA_sh+NA_sh+NB_sh+I167*F_class_shares+J167*E_total+K167*D_total+L167*C_total+M167*B_total+N167*A_total+O167*Seed_total</f>
        <v/>
      </c>
      <c r="E167">
        <f>IF(D167&gt;0, C167/D167, 0)</f>
        <v/>
      </c>
      <c r="F167">
        <f>(C167 + preF_opts_iss*opt_strike)/(D167 + preF_opts_iss)</f>
        <v/>
      </c>
      <c r="G167">
        <f>IF(F167&gt;opt_strike,1,0)</f>
        <v/>
      </c>
      <c r="H167">
        <f>IF(G167=1, F167, E167)</f>
        <v/>
      </c>
      <c r="I167">
        <f>IF(H166 * F_class_shares &gt; F_primary, 1, 0)</f>
        <v/>
      </c>
      <c r="J167">
        <f>IF(H166 * E_total &gt; E_inv, 1, 0)</f>
        <v/>
      </c>
      <c r="K167">
        <f>IF(H166 * D_total &gt; D_inv, 1, 0)</f>
        <v/>
      </c>
      <c r="L167">
        <f>IF(H166 * C_total &gt; C_inv, 1, 0)</f>
        <v/>
      </c>
      <c r="M167">
        <f>IF(H166 * B_total &gt; B_inv, 1, 0)</f>
        <v/>
      </c>
      <c r="N167">
        <f>IF(H166 * A_total &gt; A_inv, 1, 0)</f>
        <v/>
      </c>
      <c r="O167">
        <f>IF(H166 * Seed_total &gt; seed_inv, 1, 0)</f>
        <v/>
      </c>
    </row>
    <row r="168">
      <c r="B168">
        <f>(1-I168)*F_primary+(1-J168)*E_inv+(1-K168)*D_inv+(1-L168)*C_inv+(1-M168)*B_inv+(1-N168)*A_inv+(1-O168)*seed_inv</f>
        <v/>
      </c>
      <c r="C168">
        <f>MAX(0, E3 - B168)</f>
        <v/>
      </c>
      <c r="D168">
        <f>F1_sh+F2_sh+F3_sh+RSA_sh+NA_sh+NB_sh+I168*F_class_shares+J168*E_total+K168*D_total+L168*C_total+M168*B_total+N168*A_total+O168*Seed_total</f>
        <v/>
      </c>
      <c r="E168">
        <f>IF(D168&gt;0, C168/D168, 0)</f>
        <v/>
      </c>
      <c r="F168">
        <f>(C168 + preF_opts_iss*opt_strike)/(D168 + preF_opts_iss)</f>
        <v/>
      </c>
      <c r="G168">
        <f>IF(F168&gt;opt_strike,1,0)</f>
        <v/>
      </c>
      <c r="H168">
        <f>IF(G168=1, F168, E168)</f>
        <v/>
      </c>
      <c r="I168">
        <f>IF(H167 * F_class_shares &gt; F_primary, 1, 0)</f>
        <v/>
      </c>
      <c r="J168">
        <f>IF(H167 * E_total &gt; E_inv, 1, 0)</f>
        <v/>
      </c>
      <c r="K168">
        <f>IF(H167 * D_total &gt; D_inv, 1, 0)</f>
        <v/>
      </c>
      <c r="L168">
        <f>IF(H167 * C_total &gt; C_inv, 1, 0)</f>
        <v/>
      </c>
      <c r="M168">
        <f>IF(H167 * B_total &gt; B_inv, 1, 0)</f>
        <v/>
      </c>
      <c r="N168">
        <f>IF(H167 * A_total &gt; A_inv, 1, 0)</f>
        <v/>
      </c>
      <c r="O168">
        <f>IF(H167 * Seed_total &gt; seed_inv, 1, 0)</f>
        <v/>
      </c>
    </row>
    <row r="169">
      <c r="B169">
        <f>(1-I169)*F_primary+(1-J169)*E_inv+(1-K169)*D_inv+(1-L169)*C_inv+(1-M169)*B_inv+(1-N169)*A_inv+(1-O169)*seed_inv</f>
        <v/>
      </c>
      <c r="C169">
        <f>MAX(0, E3 - B169)</f>
        <v/>
      </c>
      <c r="D169">
        <f>F1_sh+F2_sh+F3_sh+RSA_sh+NA_sh+NB_sh+I169*F_class_shares+J169*E_total+K169*D_total+L169*C_total+M169*B_total+N169*A_total+O169*Seed_total</f>
        <v/>
      </c>
      <c r="E169">
        <f>IF(D169&gt;0, C169/D169, 0)</f>
        <v/>
      </c>
      <c r="F169">
        <f>(C169 + preF_opts_iss*opt_strike)/(D169 + preF_opts_iss)</f>
        <v/>
      </c>
      <c r="G169">
        <f>IF(F169&gt;opt_strike,1,0)</f>
        <v/>
      </c>
      <c r="H169">
        <f>IF(G169=1, F169, E169)</f>
        <v/>
      </c>
      <c r="I169">
        <f>IF(H168 * F_class_shares &gt; F_primary, 1, 0)</f>
        <v/>
      </c>
      <c r="J169">
        <f>IF(H168 * E_total &gt; E_inv, 1, 0)</f>
        <v/>
      </c>
      <c r="K169">
        <f>IF(H168 * D_total &gt; D_inv, 1, 0)</f>
        <v/>
      </c>
      <c r="L169">
        <f>IF(H168 * C_total &gt; C_inv, 1, 0)</f>
        <v/>
      </c>
      <c r="M169">
        <f>IF(H168 * B_total &gt; B_inv, 1, 0)</f>
        <v/>
      </c>
      <c r="N169">
        <f>IF(H168 * A_total &gt; A_inv, 1, 0)</f>
        <v/>
      </c>
      <c r="O169">
        <f>IF(H168 * Seed_total &gt; seed_inv, 1, 0)</f>
        <v/>
      </c>
    </row>
    <row r="170">
      <c r="B170">
        <f>(1-I170)*F_primary+(1-J170)*E_inv+(1-K170)*D_inv+(1-L170)*C_inv+(1-M170)*B_inv+(1-N170)*A_inv+(1-O170)*seed_inv</f>
        <v/>
      </c>
      <c r="C170">
        <f>MAX(0, E3 - B170)</f>
        <v/>
      </c>
      <c r="D170">
        <f>F1_sh+F2_sh+F3_sh+RSA_sh+NA_sh+NB_sh+I170*F_class_shares+J170*E_total+K170*D_total+L170*C_total+M170*B_total+N170*A_total+O170*Seed_total</f>
        <v/>
      </c>
      <c r="E170">
        <f>IF(D170&gt;0, C170/D170, 0)</f>
        <v/>
      </c>
      <c r="F170">
        <f>(C170 + preF_opts_iss*opt_strike)/(D170 + preF_opts_iss)</f>
        <v/>
      </c>
      <c r="G170">
        <f>IF(F170&gt;opt_strike,1,0)</f>
        <v/>
      </c>
      <c r="H170">
        <f>IF(G170=1, F170, E170)</f>
        <v/>
      </c>
      <c r="I170">
        <f>IF(H169 * F_class_shares &gt; F_primary, 1, 0)</f>
        <v/>
      </c>
      <c r="J170">
        <f>IF(H169 * E_total &gt; E_inv, 1, 0)</f>
        <v/>
      </c>
      <c r="K170">
        <f>IF(H169 * D_total &gt; D_inv, 1, 0)</f>
        <v/>
      </c>
      <c r="L170">
        <f>IF(H169 * C_total &gt; C_inv, 1, 0)</f>
        <v/>
      </c>
      <c r="M170">
        <f>IF(H169 * B_total &gt; B_inv, 1, 0)</f>
        <v/>
      </c>
      <c r="N170">
        <f>IF(H169 * A_total &gt; A_inv, 1, 0)</f>
        <v/>
      </c>
      <c r="O170">
        <f>IF(H169 * Seed_total &gt; seed_inv, 1, 0)</f>
        <v/>
      </c>
    </row>
    <row r="171">
      <c r="B171">
        <f>(1-I171)*F_primary+(1-J171)*E_inv+(1-K171)*D_inv+(1-L171)*C_inv+(1-M171)*B_inv+(1-N171)*A_inv+(1-O171)*seed_inv</f>
        <v/>
      </c>
      <c r="C171">
        <f>MAX(0, E3 - B171)</f>
        <v/>
      </c>
      <c r="D171">
        <f>F1_sh+F2_sh+F3_sh+RSA_sh+NA_sh+NB_sh+I171*F_class_shares+J171*E_total+K171*D_total+L171*C_total+M171*B_total+N171*A_total+O171*Seed_total</f>
        <v/>
      </c>
      <c r="E171">
        <f>IF(D171&gt;0, C171/D171, 0)</f>
        <v/>
      </c>
      <c r="F171">
        <f>(C171 + preF_opts_iss*opt_strike)/(D171 + preF_opts_iss)</f>
        <v/>
      </c>
      <c r="G171">
        <f>IF(F171&gt;opt_strike,1,0)</f>
        <v/>
      </c>
      <c r="H171">
        <f>IF(G171=1, F171, E171)</f>
        <v/>
      </c>
      <c r="I171">
        <f>IF(H170 * F_class_shares &gt; F_primary, 1, 0)</f>
        <v/>
      </c>
      <c r="J171">
        <f>IF(H170 * E_total &gt; E_inv, 1, 0)</f>
        <v/>
      </c>
      <c r="K171">
        <f>IF(H170 * D_total &gt; D_inv, 1, 0)</f>
        <v/>
      </c>
      <c r="L171">
        <f>IF(H170 * C_total &gt; C_inv, 1, 0)</f>
        <v/>
      </c>
      <c r="M171">
        <f>IF(H170 * B_total &gt; B_inv, 1, 0)</f>
        <v/>
      </c>
      <c r="N171">
        <f>IF(H170 * A_total &gt; A_inv, 1, 0)</f>
        <v/>
      </c>
      <c r="O171">
        <f>IF(H170 * Seed_total &gt; seed_inv, 1, 0)</f>
        <v/>
      </c>
    </row>
    <row r="172">
      <c r="B172">
        <f>(1-I172)*F_primary+(1-J172)*E_inv+(1-K172)*D_inv+(1-L172)*C_inv+(1-M172)*B_inv+(1-N172)*A_inv+(1-O172)*seed_inv</f>
        <v/>
      </c>
      <c r="C172">
        <f>MAX(0, E3 - B172)</f>
        <v/>
      </c>
      <c r="D172">
        <f>F1_sh+F2_sh+F3_sh+RSA_sh+NA_sh+NB_sh+I172*F_class_shares+J172*E_total+K172*D_total+L172*C_total+M172*B_total+N172*A_total+O172*Seed_total</f>
        <v/>
      </c>
      <c r="E172">
        <f>IF(D172&gt;0, C172/D172, 0)</f>
        <v/>
      </c>
      <c r="F172">
        <f>(C172 + preF_opts_iss*opt_strike)/(D172 + preF_opts_iss)</f>
        <v/>
      </c>
      <c r="G172">
        <f>IF(F172&gt;opt_strike,1,0)</f>
        <v/>
      </c>
      <c r="H172">
        <f>IF(G172=1, F172, E172)</f>
        <v/>
      </c>
      <c r="I172">
        <f>IF(H171 * F_class_shares &gt; F_primary, 1, 0)</f>
        <v/>
      </c>
      <c r="J172">
        <f>IF(H171 * E_total &gt; E_inv, 1, 0)</f>
        <v/>
      </c>
      <c r="K172">
        <f>IF(H171 * D_total &gt; D_inv, 1, 0)</f>
        <v/>
      </c>
      <c r="L172">
        <f>IF(H171 * C_total &gt; C_inv, 1, 0)</f>
        <v/>
      </c>
      <c r="M172">
        <f>IF(H171 * B_total &gt; B_inv, 1, 0)</f>
        <v/>
      </c>
      <c r="N172">
        <f>IF(H171 * A_total &gt; A_inv, 1, 0)</f>
        <v/>
      </c>
      <c r="O172">
        <f>IF(H171 * Seed_total &gt; seed_inv, 1, 0)</f>
        <v/>
      </c>
    </row>
    <row r="173">
      <c r="B173">
        <f>(1-I173)*F_primary+(1-J173)*E_inv+(1-K173)*D_inv+(1-L173)*C_inv+(1-M173)*B_inv+(1-N173)*A_inv+(1-O173)*seed_inv</f>
        <v/>
      </c>
      <c r="C173">
        <f>MAX(0, E3 - B173)</f>
        <v/>
      </c>
      <c r="D173">
        <f>F1_sh+F2_sh+F3_sh+RSA_sh+NA_sh+NB_sh+I173*F_class_shares+J173*E_total+K173*D_total+L173*C_total+M173*B_total+N173*A_total+O173*Seed_total</f>
        <v/>
      </c>
      <c r="E173">
        <f>IF(D173&gt;0, C173/D173, 0)</f>
        <v/>
      </c>
      <c r="F173">
        <f>(C173 + preF_opts_iss*opt_strike)/(D173 + preF_opts_iss)</f>
        <v/>
      </c>
      <c r="G173">
        <f>IF(F173&gt;opt_strike,1,0)</f>
        <v/>
      </c>
      <c r="H173">
        <f>IF(G173=1, F173, E173)</f>
        <v/>
      </c>
      <c r="I173">
        <f>IF(H172 * F_class_shares &gt; F_primary, 1, 0)</f>
        <v/>
      </c>
      <c r="J173">
        <f>IF(H172 * E_total &gt; E_inv, 1, 0)</f>
        <v/>
      </c>
      <c r="K173">
        <f>IF(H172 * D_total &gt; D_inv, 1, 0)</f>
        <v/>
      </c>
      <c r="L173">
        <f>IF(H172 * C_total &gt; C_inv, 1, 0)</f>
        <v/>
      </c>
      <c r="M173">
        <f>IF(H172 * B_total &gt; B_inv, 1, 0)</f>
        <v/>
      </c>
      <c r="N173">
        <f>IF(H172 * A_total &gt; A_inv, 1, 0)</f>
        <v/>
      </c>
      <c r="O173">
        <f>IF(H172 * Seed_total &gt; seed_inv, 1, 0)</f>
        <v/>
      </c>
    </row>
    <row r="174">
      <c r="B174">
        <f>(1-I174)*F_primary+(1-J174)*E_inv+(1-K174)*D_inv+(1-L174)*C_inv+(1-M174)*B_inv+(1-N174)*A_inv+(1-O174)*seed_inv</f>
        <v/>
      </c>
      <c r="C174">
        <f>MAX(0, E3 - B174)</f>
        <v/>
      </c>
      <c r="D174">
        <f>F1_sh+F2_sh+F3_sh+RSA_sh+NA_sh+NB_sh+I174*F_class_shares+J174*E_total+K174*D_total+L174*C_total+M174*B_total+N174*A_total+O174*Seed_total</f>
        <v/>
      </c>
      <c r="E174">
        <f>IF(D174&gt;0, C174/D174, 0)</f>
        <v/>
      </c>
      <c r="F174">
        <f>(C174 + preF_opts_iss*opt_strike)/(D174 + preF_opts_iss)</f>
        <v/>
      </c>
      <c r="G174">
        <f>IF(F174&gt;opt_strike,1,0)</f>
        <v/>
      </c>
      <c r="H174">
        <f>IF(G174=1, F174, E174)</f>
        <v/>
      </c>
      <c r="I174">
        <f>IF(H173 * F_class_shares &gt; F_primary, 1, 0)</f>
        <v/>
      </c>
      <c r="J174">
        <f>IF(H173 * E_total &gt; E_inv, 1, 0)</f>
        <v/>
      </c>
      <c r="K174">
        <f>IF(H173 * D_total &gt; D_inv, 1, 0)</f>
        <v/>
      </c>
      <c r="L174">
        <f>IF(H173 * C_total &gt; C_inv, 1, 0)</f>
        <v/>
      </c>
      <c r="M174">
        <f>IF(H173 * B_total &gt; B_inv, 1, 0)</f>
        <v/>
      </c>
      <c r="N174">
        <f>IF(H173 * A_total &gt; A_inv, 1, 0)</f>
        <v/>
      </c>
      <c r="O174">
        <f>IF(H173 * Seed_total &gt; seed_inv, 1, 0)</f>
        <v/>
      </c>
    </row>
    <row r="175">
      <c r="B175">
        <f>(1-I175)*F_primary+(1-J175)*E_inv+(1-K175)*D_inv+(1-L175)*C_inv+(1-M175)*B_inv+(1-N175)*A_inv+(1-O175)*seed_inv</f>
        <v/>
      </c>
      <c r="C175">
        <f>MAX(0, E3 - B175)</f>
        <v/>
      </c>
      <c r="D175">
        <f>F1_sh+F2_sh+F3_sh+RSA_sh+NA_sh+NB_sh+I175*F_class_shares+J175*E_total+K175*D_total+L175*C_total+M175*B_total+N175*A_total+O175*Seed_total</f>
        <v/>
      </c>
      <c r="E175">
        <f>IF(D175&gt;0, C175/D175, 0)</f>
        <v/>
      </c>
      <c r="F175">
        <f>(C175 + preF_opts_iss*opt_strike)/(D175 + preF_opts_iss)</f>
        <v/>
      </c>
      <c r="G175">
        <f>IF(F175&gt;opt_strike,1,0)</f>
        <v/>
      </c>
      <c r="H175">
        <f>IF(G175=1, F175, E175)</f>
        <v/>
      </c>
      <c r="I175">
        <f>IF(H174 * F_class_shares &gt; F_primary, 1, 0)</f>
        <v/>
      </c>
      <c r="J175">
        <f>IF(H174 * E_total &gt; E_inv, 1, 0)</f>
        <v/>
      </c>
      <c r="K175">
        <f>IF(H174 * D_total &gt; D_inv, 1, 0)</f>
        <v/>
      </c>
      <c r="L175">
        <f>IF(H174 * C_total &gt; C_inv, 1, 0)</f>
        <v/>
      </c>
      <c r="M175">
        <f>IF(H174 * B_total &gt; B_inv, 1, 0)</f>
        <v/>
      </c>
      <c r="N175">
        <f>IF(H174 * A_total &gt; A_inv, 1, 0)</f>
        <v/>
      </c>
      <c r="O175">
        <f>IF(H174 * Seed_total &gt; seed_inv, 1, 0)</f>
        <v/>
      </c>
    </row>
    <row r="176">
      <c r="B176">
        <f>(1-I176)*F_primary+(1-J176)*E_inv+(1-K176)*D_inv+(1-L176)*C_inv+(1-M176)*B_inv+(1-N176)*A_inv+(1-O176)*seed_inv</f>
        <v/>
      </c>
      <c r="C176">
        <f>MAX(0, E3 - B176)</f>
        <v/>
      </c>
      <c r="D176">
        <f>F1_sh+F2_sh+F3_sh+RSA_sh+NA_sh+NB_sh+I176*F_class_shares+J176*E_total+K176*D_total+L176*C_total+M176*B_total+N176*A_total+O176*Seed_total</f>
        <v/>
      </c>
      <c r="E176">
        <f>IF(D176&gt;0, C176/D176, 0)</f>
        <v/>
      </c>
      <c r="F176">
        <f>(C176 + preF_opts_iss*opt_strike)/(D176 + preF_opts_iss)</f>
        <v/>
      </c>
      <c r="G176">
        <f>IF(F176&gt;opt_strike,1,0)</f>
        <v/>
      </c>
      <c r="H176">
        <f>IF(G176=1, F176, E176)</f>
        <v/>
      </c>
      <c r="I176">
        <f>IF(H175 * F_class_shares &gt; F_primary, 1, 0)</f>
        <v/>
      </c>
      <c r="J176">
        <f>IF(H175 * E_total &gt; E_inv, 1, 0)</f>
        <v/>
      </c>
      <c r="K176">
        <f>IF(H175 * D_total &gt; D_inv, 1, 0)</f>
        <v/>
      </c>
      <c r="L176">
        <f>IF(H175 * C_total &gt; C_inv, 1, 0)</f>
        <v/>
      </c>
      <c r="M176">
        <f>IF(H175 * B_total &gt; B_inv, 1, 0)</f>
        <v/>
      </c>
      <c r="N176">
        <f>IF(H175 * A_total &gt; A_inv, 1, 0)</f>
        <v/>
      </c>
      <c r="O176">
        <f>IF(H175 * Seed_total &gt; seed_inv, 1, 0)</f>
        <v/>
      </c>
    </row>
    <row r="177">
      <c r="B177">
        <f>(1-I177)*F_primary+(1-J177)*E_inv+(1-K177)*D_inv+(1-L177)*C_inv+(1-M177)*B_inv+(1-N177)*A_inv+(1-O177)*seed_inv</f>
        <v/>
      </c>
      <c r="C177">
        <f>MAX(0, E3 - B177)</f>
        <v/>
      </c>
      <c r="D177">
        <f>F1_sh+F2_sh+F3_sh+RSA_sh+NA_sh+NB_sh+I177*F_class_shares+J177*E_total+K177*D_total+L177*C_total+M177*B_total+N177*A_total+O177*Seed_total</f>
        <v/>
      </c>
      <c r="E177">
        <f>IF(D177&gt;0, C177/D177, 0)</f>
        <v/>
      </c>
      <c r="F177">
        <f>(C177 + preF_opts_iss*opt_strike)/(D177 + preF_opts_iss)</f>
        <v/>
      </c>
      <c r="G177">
        <f>IF(F177&gt;opt_strike,1,0)</f>
        <v/>
      </c>
      <c r="H177">
        <f>IF(G177=1, F177, E177)</f>
        <v/>
      </c>
      <c r="I177">
        <f>IF(H176 * F_class_shares &gt; F_primary, 1, 0)</f>
        <v/>
      </c>
      <c r="J177">
        <f>IF(H176 * E_total &gt; E_inv, 1, 0)</f>
        <v/>
      </c>
      <c r="K177">
        <f>IF(H176 * D_total &gt; D_inv, 1, 0)</f>
        <v/>
      </c>
      <c r="L177">
        <f>IF(H176 * C_total &gt; C_inv, 1, 0)</f>
        <v/>
      </c>
      <c r="M177">
        <f>IF(H176 * B_total &gt; B_inv, 1, 0)</f>
        <v/>
      </c>
      <c r="N177">
        <f>IF(H176 * A_total &gt; A_inv, 1, 0)</f>
        <v/>
      </c>
      <c r="O177">
        <f>IF(H176 * Seed_total &gt; seed_inv, 1, 0)</f>
        <v/>
      </c>
    </row>
    <row r="178">
      <c r="B178">
        <f>(1-I178)*F_primary+(1-J178)*E_inv+(1-K178)*D_inv+(1-L178)*C_inv+(1-M178)*B_inv+(1-N178)*A_inv+(1-O178)*seed_inv</f>
        <v/>
      </c>
      <c r="C178">
        <f>MAX(0, E3 - B178)</f>
        <v/>
      </c>
      <c r="D178">
        <f>F1_sh+F2_sh+F3_sh+RSA_sh+NA_sh+NB_sh+I178*F_class_shares+J178*E_total+K178*D_total+L178*C_total+M178*B_total+N178*A_total+O178*Seed_total</f>
        <v/>
      </c>
      <c r="E178">
        <f>IF(D178&gt;0, C178/D178, 0)</f>
        <v/>
      </c>
      <c r="F178">
        <f>(C178 + preF_opts_iss*opt_strike)/(D178 + preF_opts_iss)</f>
        <v/>
      </c>
      <c r="G178">
        <f>IF(F178&gt;opt_strike,1,0)</f>
        <v/>
      </c>
      <c r="H178">
        <f>IF(G178=1, F178, E178)</f>
        <v/>
      </c>
      <c r="I178">
        <f>IF(H177 * F_class_shares &gt; F_primary, 1, 0)</f>
        <v/>
      </c>
      <c r="J178">
        <f>IF(H177 * E_total &gt; E_inv, 1, 0)</f>
        <v/>
      </c>
      <c r="K178">
        <f>IF(H177 * D_total &gt; D_inv, 1, 0)</f>
        <v/>
      </c>
      <c r="L178">
        <f>IF(H177 * C_total &gt; C_inv, 1, 0)</f>
        <v/>
      </c>
      <c r="M178">
        <f>IF(H177 * B_total &gt; B_inv, 1, 0)</f>
        <v/>
      </c>
      <c r="N178">
        <f>IF(H177 * A_total &gt; A_inv, 1, 0)</f>
        <v/>
      </c>
      <c r="O178">
        <f>IF(H177 * Seed_total &gt; seed_inv, 1, 0)</f>
        <v/>
      </c>
    </row>
    <row r="179">
      <c r="B179">
        <f>(1-I179)*F_primary+(1-J179)*E_inv+(1-K179)*D_inv+(1-L179)*C_inv+(1-M179)*B_inv+(1-N179)*A_inv+(1-O179)*seed_inv</f>
        <v/>
      </c>
      <c r="C179">
        <f>MAX(0, E3 - B179)</f>
        <v/>
      </c>
      <c r="D179">
        <f>F1_sh+F2_sh+F3_sh+RSA_sh+NA_sh+NB_sh+I179*F_class_shares+J179*E_total+K179*D_total+L179*C_total+M179*B_total+N179*A_total+O179*Seed_total</f>
        <v/>
      </c>
      <c r="E179">
        <f>IF(D179&gt;0, C179/D179, 0)</f>
        <v/>
      </c>
      <c r="F179">
        <f>(C179 + preF_opts_iss*opt_strike)/(D179 + preF_opts_iss)</f>
        <v/>
      </c>
      <c r="G179">
        <f>IF(F179&gt;opt_strike,1,0)</f>
        <v/>
      </c>
      <c r="H179">
        <f>IF(G179=1, F179, E179)</f>
        <v/>
      </c>
      <c r="I179">
        <f>IF(H178 * F_class_shares &gt; F_primary, 1, 0)</f>
        <v/>
      </c>
      <c r="J179">
        <f>IF(H178 * E_total &gt; E_inv, 1, 0)</f>
        <v/>
      </c>
      <c r="K179">
        <f>IF(H178 * D_total &gt; D_inv, 1, 0)</f>
        <v/>
      </c>
      <c r="L179">
        <f>IF(H178 * C_total &gt; C_inv, 1, 0)</f>
        <v/>
      </c>
      <c r="M179">
        <f>IF(H178 * B_total &gt; B_inv, 1, 0)</f>
        <v/>
      </c>
      <c r="N179">
        <f>IF(H178 * A_total &gt; A_inv, 1, 0)</f>
        <v/>
      </c>
      <c r="O179">
        <f>IF(H178 * Seed_total &gt; seed_inv, 1, 0)</f>
        <v/>
      </c>
    </row>
    <row r="180">
      <c r="B180">
        <f>(1-I180)*F_primary+(1-J180)*E_inv+(1-K180)*D_inv+(1-L180)*C_inv+(1-M180)*B_inv+(1-N180)*A_inv+(1-O180)*seed_inv</f>
        <v/>
      </c>
      <c r="C180">
        <f>MAX(0, E3 - B180)</f>
        <v/>
      </c>
      <c r="D180">
        <f>F1_sh+F2_sh+F3_sh+RSA_sh+NA_sh+NB_sh+I180*F_class_shares+J180*E_total+K180*D_total+L180*C_total+M180*B_total+N180*A_total+O180*Seed_total</f>
        <v/>
      </c>
      <c r="E180">
        <f>IF(D180&gt;0, C180/D180, 0)</f>
        <v/>
      </c>
      <c r="F180">
        <f>(C180 + preF_opts_iss*opt_strike)/(D180 + preF_opts_iss)</f>
        <v/>
      </c>
      <c r="G180">
        <f>IF(F180&gt;opt_strike,1,0)</f>
        <v/>
      </c>
      <c r="H180">
        <f>IF(G180=1, F180, E180)</f>
        <v/>
      </c>
      <c r="I180">
        <f>IF(H179 * F_class_shares &gt; F_primary, 1, 0)</f>
        <v/>
      </c>
      <c r="J180">
        <f>IF(H179 * E_total &gt; E_inv, 1, 0)</f>
        <v/>
      </c>
      <c r="K180">
        <f>IF(H179 * D_total &gt; D_inv, 1, 0)</f>
        <v/>
      </c>
      <c r="L180">
        <f>IF(H179 * C_total &gt; C_inv, 1, 0)</f>
        <v/>
      </c>
      <c r="M180">
        <f>IF(H179 * B_total &gt; B_inv, 1, 0)</f>
        <v/>
      </c>
      <c r="N180">
        <f>IF(H179 * A_total &gt; A_inv, 1, 0)</f>
        <v/>
      </c>
      <c r="O180">
        <f>IF(H179 * Seed_total &gt; seed_inv, 1, 0)</f>
        <v/>
      </c>
    </row>
    <row r="181">
      <c r="B181">
        <f>(1-I181)*F_primary+(1-J181)*E_inv+(1-K181)*D_inv+(1-L181)*C_inv+(1-M181)*B_inv+(1-N181)*A_inv+(1-O181)*seed_inv</f>
        <v/>
      </c>
      <c r="C181">
        <f>MAX(0, E3 - B181)</f>
        <v/>
      </c>
      <c r="D181">
        <f>F1_sh+F2_sh+F3_sh+RSA_sh+NA_sh+NB_sh+I181*F_class_shares+J181*E_total+K181*D_total+L181*C_total+M181*B_total+N181*A_total+O181*Seed_total</f>
        <v/>
      </c>
      <c r="E181">
        <f>IF(D181&gt;0, C181/D181, 0)</f>
        <v/>
      </c>
      <c r="F181">
        <f>(C181 + preF_opts_iss*opt_strike)/(D181 + preF_opts_iss)</f>
        <v/>
      </c>
      <c r="G181">
        <f>IF(F181&gt;opt_strike,1,0)</f>
        <v/>
      </c>
      <c r="H181">
        <f>IF(G181=1, F181, E181)</f>
        <v/>
      </c>
      <c r="I181">
        <f>IF(H180 * F_class_shares &gt; F_primary, 1, 0)</f>
        <v/>
      </c>
      <c r="J181">
        <f>IF(H180 * E_total &gt; E_inv, 1, 0)</f>
        <v/>
      </c>
      <c r="K181">
        <f>IF(H180 * D_total &gt; D_inv, 1, 0)</f>
        <v/>
      </c>
      <c r="L181">
        <f>IF(H180 * C_total &gt; C_inv, 1, 0)</f>
        <v/>
      </c>
      <c r="M181">
        <f>IF(H180 * B_total &gt; B_inv, 1, 0)</f>
        <v/>
      </c>
      <c r="N181">
        <f>IF(H180 * A_total &gt; A_inv, 1, 0)</f>
        <v/>
      </c>
      <c r="O181">
        <f>IF(H180 * Seed_total &gt; seed_inv, 1, 0)</f>
        <v/>
      </c>
    </row>
    <row r="182">
      <c r="B182">
        <f>(1-I182)*F_primary+(1-J182)*E_inv+(1-K182)*D_inv+(1-L182)*C_inv+(1-M182)*B_inv+(1-N182)*A_inv+(1-O182)*seed_inv</f>
        <v/>
      </c>
      <c r="C182">
        <f>MAX(0, E3 - B182)</f>
        <v/>
      </c>
      <c r="D182">
        <f>F1_sh+F2_sh+F3_sh+RSA_sh+NA_sh+NB_sh+I182*F_class_shares+J182*E_total+K182*D_total+L182*C_total+M182*B_total+N182*A_total+O182*Seed_total</f>
        <v/>
      </c>
      <c r="E182">
        <f>IF(D182&gt;0, C182/D182, 0)</f>
        <v/>
      </c>
      <c r="F182">
        <f>(C182 + preF_opts_iss*opt_strike)/(D182 + preF_opts_iss)</f>
        <v/>
      </c>
      <c r="G182">
        <f>IF(F182&gt;opt_strike,1,0)</f>
        <v/>
      </c>
      <c r="H182">
        <f>IF(G182=1, F182, E182)</f>
        <v/>
      </c>
      <c r="I182">
        <f>IF(H181 * F_class_shares &gt; F_primary, 1, 0)</f>
        <v/>
      </c>
      <c r="J182">
        <f>IF(H181 * E_total &gt; E_inv, 1, 0)</f>
        <v/>
      </c>
      <c r="K182">
        <f>IF(H181 * D_total &gt; D_inv, 1, 0)</f>
        <v/>
      </c>
      <c r="L182">
        <f>IF(H181 * C_total &gt; C_inv, 1, 0)</f>
        <v/>
      </c>
      <c r="M182">
        <f>IF(H181 * B_total &gt; B_inv, 1, 0)</f>
        <v/>
      </c>
      <c r="N182">
        <f>IF(H181 * A_total &gt; A_inv, 1, 0)</f>
        <v/>
      </c>
      <c r="O182">
        <f>IF(H181 * Seed_total &gt; seed_inv, 1, 0)</f>
        <v/>
      </c>
    </row>
    <row r="183">
      <c r="B183">
        <f>(1-I183)*F_primary+(1-J183)*E_inv+(1-K183)*D_inv+(1-L183)*C_inv+(1-M183)*B_inv+(1-N183)*A_inv+(1-O183)*seed_inv</f>
        <v/>
      </c>
      <c r="C183">
        <f>MAX(0, E3 - B183)</f>
        <v/>
      </c>
      <c r="D183">
        <f>F1_sh+F2_sh+F3_sh+RSA_sh+NA_sh+NB_sh+I183*F_class_shares+J183*E_total+K183*D_total+L183*C_total+M183*B_total+N183*A_total+O183*Seed_total</f>
        <v/>
      </c>
      <c r="E183">
        <f>IF(D183&gt;0, C183/D183, 0)</f>
        <v/>
      </c>
      <c r="F183">
        <f>(C183 + preF_opts_iss*opt_strike)/(D183 + preF_opts_iss)</f>
        <v/>
      </c>
      <c r="G183">
        <f>IF(F183&gt;opt_strike,1,0)</f>
        <v/>
      </c>
      <c r="H183">
        <f>IF(G183=1, F183, E183)</f>
        <v/>
      </c>
      <c r="I183">
        <f>IF(H182 * F_class_shares &gt; F_primary, 1, 0)</f>
        <v/>
      </c>
      <c r="J183">
        <f>IF(H182 * E_total &gt; E_inv, 1, 0)</f>
        <v/>
      </c>
      <c r="K183">
        <f>IF(H182 * D_total &gt; D_inv, 1, 0)</f>
        <v/>
      </c>
      <c r="L183">
        <f>IF(H182 * C_total &gt; C_inv, 1, 0)</f>
        <v/>
      </c>
      <c r="M183">
        <f>IF(H182 * B_total &gt; B_inv, 1, 0)</f>
        <v/>
      </c>
      <c r="N183">
        <f>IF(H182 * A_total &gt; A_inv, 1, 0)</f>
        <v/>
      </c>
      <c r="O183">
        <f>IF(H182 * Seed_total &gt; seed_inv, 1, 0)</f>
        <v/>
      </c>
    </row>
    <row r="184">
      <c r="B184">
        <f>(1-I184)*F_primary+(1-J184)*E_inv+(1-K184)*D_inv+(1-L184)*C_inv+(1-M184)*B_inv+(1-N184)*A_inv+(1-O184)*seed_inv</f>
        <v/>
      </c>
      <c r="C184">
        <f>MAX(0, E3 - B184)</f>
        <v/>
      </c>
      <c r="D184">
        <f>F1_sh+F2_sh+F3_sh+RSA_sh+NA_sh+NB_sh+I184*F_class_shares+J184*E_total+K184*D_total+L184*C_total+M184*B_total+N184*A_total+O184*Seed_total</f>
        <v/>
      </c>
      <c r="E184">
        <f>IF(D184&gt;0, C184/D184, 0)</f>
        <v/>
      </c>
      <c r="F184">
        <f>(C184 + preF_opts_iss*opt_strike)/(D184 + preF_opts_iss)</f>
        <v/>
      </c>
      <c r="G184">
        <f>IF(F184&gt;opt_strike,1,0)</f>
        <v/>
      </c>
      <c r="H184">
        <f>IF(G184=1, F184, E184)</f>
        <v/>
      </c>
      <c r="I184">
        <f>IF(H183 * F_class_shares &gt; F_primary, 1, 0)</f>
        <v/>
      </c>
      <c r="J184">
        <f>IF(H183 * E_total &gt; E_inv, 1, 0)</f>
        <v/>
      </c>
      <c r="K184">
        <f>IF(H183 * D_total &gt; D_inv, 1, 0)</f>
        <v/>
      </c>
      <c r="L184">
        <f>IF(H183 * C_total &gt; C_inv, 1, 0)</f>
        <v/>
      </c>
      <c r="M184">
        <f>IF(H183 * B_total &gt; B_inv, 1, 0)</f>
        <v/>
      </c>
      <c r="N184">
        <f>IF(H183 * A_total &gt; A_inv, 1, 0)</f>
        <v/>
      </c>
      <c r="O184">
        <f>IF(H183 * Seed_total &gt; seed_inv, 1, 0)</f>
        <v/>
      </c>
    </row>
    <row r="185">
      <c r="B185">
        <f>(1-I185)*F_primary+(1-J185)*E_inv+(1-K185)*D_inv+(1-L185)*C_inv+(1-M185)*B_inv+(1-N185)*A_inv+(1-O185)*seed_inv</f>
        <v/>
      </c>
      <c r="C185">
        <f>MAX(0, E3 - B185)</f>
        <v/>
      </c>
      <c r="D185">
        <f>F1_sh+F2_sh+F3_sh+RSA_sh+NA_sh+NB_sh+I185*F_class_shares+J185*E_total+K185*D_total+L185*C_total+M185*B_total+N185*A_total+O185*Seed_total</f>
        <v/>
      </c>
      <c r="E185">
        <f>IF(D185&gt;0, C185/D185, 0)</f>
        <v/>
      </c>
      <c r="F185">
        <f>(C185 + preF_opts_iss*opt_strike)/(D185 + preF_opts_iss)</f>
        <v/>
      </c>
      <c r="G185">
        <f>IF(F185&gt;opt_strike,1,0)</f>
        <v/>
      </c>
      <c r="H185">
        <f>IF(G185=1, F185, E185)</f>
        <v/>
      </c>
      <c r="I185">
        <f>IF(H184 * F_class_shares &gt; F_primary, 1, 0)</f>
        <v/>
      </c>
      <c r="J185">
        <f>IF(H184 * E_total &gt; E_inv, 1, 0)</f>
        <v/>
      </c>
      <c r="K185">
        <f>IF(H184 * D_total &gt; D_inv, 1, 0)</f>
        <v/>
      </c>
      <c r="L185">
        <f>IF(H184 * C_total &gt; C_inv, 1, 0)</f>
        <v/>
      </c>
      <c r="M185">
        <f>IF(H184 * B_total &gt; B_inv, 1, 0)</f>
        <v/>
      </c>
      <c r="N185">
        <f>IF(H184 * A_total &gt; A_inv, 1, 0)</f>
        <v/>
      </c>
      <c r="O185">
        <f>IF(H184 * Seed_total &gt; seed_inv, 1, 0)</f>
        <v/>
      </c>
    </row>
    <row r="186">
      <c r="B186">
        <f>(1-I186)*F_primary+(1-J186)*E_inv+(1-K186)*D_inv+(1-L186)*C_inv+(1-M186)*B_inv+(1-N186)*A_inv+(1-O186)*seed_inv</f>
        <v/>
      </c>
      <c r="C186">
        <f>MAX(0, E3 - B186)</f>
        <v/>
      </c>
      <c r="D186">
        <f>F1_sh+F2_sh+F3_sh+RSA_sh+NA_sh+NB_sh+I186*F_class_shares+J186*E_total+K186*D_total+L186*C_total+M186*B_total+N186*A_total+O186*Seed_total</f>
        <v/>
      </c>
      <c r="E186">
        <f>IF(D186&gt;0, C186/D186, 0)</f>
        <v/>
      </c>
      <c r="F186">
        <f>(C186 + preF_opts_iss*opt_strike)/(D186 + preF_opts_iss)</f>
        <v/>
      </c>
      <c r="G186">
        <f>IF(F186&gt;opt_strike,1,0)</f>
        <v/>
      </c>
      <c r="H186">
        <f>IF(G186=1, F186, E186)</f>
        <v/>
      </c>
      <c r="I186">
        <f>IF(H185 * F_class_shares &gt; F_primary, 1, 0)</f>
        <v/>
      </c>
      <c r="J186">
        <f>IF(H185 * E_total &gt; E_inv, 1, 0)</f>
        <v/>
      </c>
      <c r="K186">
        <f>IF(H185 * D_total &gt; D_inv, 1, 0)</f>
        <v/>
      </c>
      <c r="L186">
        <f>IF(H185 * C_total &gt; C_inv, 1, 0)</f>
        <v/>
      </c>
      <c r="M186">
        <f>IF(H185 * B_total &gt; B_inv, 1, 0)</f>
        <v/>
      </c>
      <c r="N186">
        <f>IF(H185 * A_total &gt; A_inv, 1, 0)</f>
        <v/>
      </c>
      <c r="O186">
        <f>IF(H185 * Seed_total &gt; seed_inv, 1, 0)</f>
        <v/>
      </c>
    </row>
    <row r="187">
      <c r="B187">
        <f>(1-I187)*F_primary+(1-J187)*E_inv+(1-K187)*D_inv+(1-L187)*C_inv+(1-M187)*B_inv+(1-N187)*A_inv+(1-O187)*seed_inv</f>
        <v/>
      </c>
      <c r="C187">
        <f>MAX(0, E3 - B187)</f>
        <v/>
      </c>
      <c r="D187">
        <f>F1_sh+F2_sh+F3_sh+RSA_sh+NA_sh+NB_sh+I187*F_class_shares+J187*E_total+K187*D_total+L187*C_total+M187*B_total+N187*A_total+O187*Seed_total</f>
        <v/>
      </c>
      <c r="E187">
        <f>IF(D187&gt;0, C187/D187, 0)</f>
        <v/>
      </c>
      <c r="F187">
        <f>(C187 + preF_opts_iss*opt_strike)/(D187 + preF_opts_iss)</f>
        <v/>
      </c>
      <c r="G187">
        <f>IF(F187&gt;opt_strike,1,0)</f>
        <v/>
      </c>
      <c r="H187">
        <f>IF(G187=1, F187, E187)</f>
        <v/>
      </c>
      <c r="I187">
        <f>IF(H186 * F_class_shares &gt; F_primary, 1, 0)</f>
        <v/>
      </c>
      <c r="J187">
        <f>IF(H186 * E_total &gt; E_inv, 1, 0)</f>
        <v/>
      </c>
      <c r="K187">
        <f>IF(H186 * D_total &gt; D_inv, 1, 0)</f>
        <v/>
      </c>
      <c r="L187">
        <f>IF(H186 * C_total &gt; C_inv, 1, 0)</f>
        <v/>
      </c>
      <c r="M187">
        <f>IF(H186 * B_total &gt; B_inv, 1, 0)</f>
        <v/>
      </c>
      <c r="N187">
        <f>IF(H186 * A_total &gt; A_inv, 1, 0)</f>
        <v/>
      </c>
      <c r="O187">
        <f>IF(H186 * Seed_total &gt; seed_inv, 1, 0)</f>
        <v/>
      </c>
    </row>
    <row r="188">
      <c r="B188">
        <f>(1-I188)*F_primary+(1-J188)*E_inv+(1-K188)*D_inv+(1-L188)*C_inv+(1-M188)*B_inv+(1-N188)*A_inv+(1-O188)*seed_inv</f>
        <v/>
      </c>
      <c r="C188">
        <f>MAX(0, E3 - B188)</f>
        <v/>
      </c>
      <c r="D188">
        <f>F1_sh+F2_sh+F3_sh+RSA_sh+NA_sh+NB_sh+I188*F_class_shares+J188*E_total+K188*D_total+L188*C_total+M188*B_total+N188*A_total+O188*Seed_total</f>
        <v/>
      </c>
      <c r="E188">
        <f>IF(D188&gt;0, C188/D188, 0)</f>
        <v/>
      </c>
      <c r="F188">
        <f>(C188 + preF_opts_iss*opt_strike)/(D188 + preF_opts_iss)</f>
        <v/>
      </c>
      <c r="G188">
        <f>IF(F188&gt;opt_strike,1,0)</f>
        <v/>
      </c>
      <c r="H188">
        <f>IF(G188=1, F188, E188)</f>
        <v/>
      </c>
      <c r="I188">
        <f>IF(H187 * F_class_shares &gt; F_primary, 1, 0)</f>
        <v/>
      </c>
      <c r="J188">
        <f>IF(H187 * E_total &gt; E_inv, 1, 0)</f>
        <v/>
      </c>
      <c r="K188">
        <f>IF(H187 * D_total &gt; D_inv, 1, 0)</f>
        <v/>
      </c>
      <c r="L188">
        <f>IF(H187 * C_total &gt; C_inv, 1, 0)</f>
        <v/>
      </c>
      <c r="M188">
        <f>IF(H187 * B_total &gt; B_inv, 1, 0)</f>
        <v/>
      </c>
      <c r="N188">
        <f>IF(H187 * A_total &gt; A_inv, 1, 0)</f>
        <v/>
      </c>
      <c r="O188">
        <f>IF(H187 * Seed_total &gt; seed_inv, 1, 0)</f>
        <v/>
      </c>
    </row>
    <row r="189">
      <c r="B189">
        <f>(1-I189)*F_primary+(1-J189)*E_inv+(1-K189)*D_inv+(1-L189)*C_inv+(1-M189)*B_inv+(1-N189)*A_inv+(1-O189)*seed_inv</f>
        <v/>
      </c>
      <c r="C189">
        <f>MAX(0, E3 - B189)</f>
        <v/>
      </c>
      <c r="D189">
        <f>F1_sh+F2_sh+F3_sh+RSA_sh+NA_sh+NB_sh+I189*F_class_shares+J189*E_total+K189*D_total+L189*C_total+M189*B_total+N189*A_total+O189*Seed_total</f>
        <v/>
      </c>
      <c r="E189">
        <f>IF(D189&gt;0, C189/D189, 0)</f>
        <v/>
      </c>
      <c r="F189">
        <f>(C189 + preF_opts_iss*opt_strike)/(D189 + preF_opts_iss)</f>
        <v/>
      </c>
      <c r="G189">
        <f>IF(F189&gt;opt_strike,1,0)</f>
        <v/>
      </c>
      <c r="H189">
        <f>IF(G189=1, F189, E189)</f>
        <v/>
      </c>
      <c r="I189">
        <f>IF(H188 * F_class_shares &gt; F_primary, 1, 0)</f>
        <v/>
      </c>
      <c r="J189">
        <f>IF(H188 * E_total &gt; E_inv, 1, 0)</f>
        <v/>
      </c>
      <c r="K189">
        <f>IF(H188 * D_total &gt; D_inv, 1, 0)</f>
        <v/>
      </c>
      <c r="L189">
        <f>IF(H188 * C_total &gt; C_inv, 1, 0)</f>
        <v/>
      </c>
      <c r="M189">
        <f>IF(H188 * B_total &gt; B_inv, 1, 0)</f>
        <v/>
      </c>
      <c r="N189">
        <f>IF(H188 * A_total &gt; A_inv, 1, 0)</f>
        <v/>
      </c>
      <c r="O189">
        <f>IF(H188 * Seed_total &gt; seed_inv, 1, 0)</f>
        <v/>
      </c>
    </row>
    <row r="190">
      <c r="B190">
        <f>(1-I190)*F_primary+(1-J190)*E_inv+(1-K190)*D_inv+(1-L190)*C_inv+(1-M190)*B_inv+(1-N190)*A_inv+(1-O190)*seed_inv</f>
        <v/>
      </c>
      <c r="C190">
        <f>MAX(0, E3 - B190)</f>
        <v/>
      </c>
      <c r="D190">
        <f>F1_sh+F2_sh+F3_sh+RSA_sh+NA_sh+NB_sh+I190*F_class_shares+J190*E_total+K190*D_total+L190*C_total+M190*B_total+N190*A_total+O190*Seed_total</f>
        <v/>
      </c>
      <c r="E190">
        <f>IF(D190&gt;0, C190/D190, 0)</f>
        <v/>
      </c>
      <c r="F190">
        <f>(C190 + preF_opts_iss*opt_strike)/(D190 + preF_opts_iss)</f>
        <v/>
      </c>
      <c r="G190">
        <f>IF(F190&gt;opt_strike,1,0)</f>
        <v/>
      </c>
      <c r="H190">
        <f>IF(G190=1, F190, E190)</f>
        <v/>
      </c>
      <c r="I190">
        <f>IF(H189 * F_class_shares &gt; F_primary, 1, 0)</f>
        <v/>
      </c>
      <c r="J190">
        <f>IF(H189 * E_total &gt; E_inv, 1, 0)</f>
        <v/>
      </c>
      <c r="K190">
        <f>IF(H189 * D_total &gt; D_inv, 1, 0)</f>
        <v/>
      </c>
      <c r="L190">
        <f>IF(H189 * C_total &gt; C_inv, 1, 0)</f>
        <v/>
      </c>
      <c r="M190">
        <f>IF(H189 * B_total &gt; B_inv, 1, 0)</f>
        <v/>
      </c>
      <c r="N190">
        <f>IF(H189 * A_total &gt; A_inv, 1, 0)</f>
        <v/>
      </c>
      <c r="O190">
        <f>IF(H189 * Seed_total &gt; seed_inv, 1, 0)</f>
        <v/>
      </c>
    </row>
    <row r="191">
      <c r="B191">
        <f>(1-I191)*F_primary+(1-J191)*E_inv+(1-K191)*D_inv+(1-L191)*C_inv+(1-M191)*B_inv+(1-N191)*A_inv+(1-O191)*seed_inv</f>
        <v/>
      </c>
      <c r="C191">
        <f>MAX(0, E3 - B191)</f>
        <v/>
      </c>
      <c r="D191">
        <f>F1_sh+F2_sh+F3_sh+RSA_sh+NA_sh+NB_sh+I191*F_class_shares+J191*E_total+K191*D_total+L191*C_total+M191*B_total+N191*A_total+O191*Seed_total</f>
        <v/>
      </c>
      <c r="E191">
        <f>IF(D191&gt;0, C191/D191, 0)</f>
        <v/>
      </c>
      <c r="F191">
        <f>(C191 + preF_opts_iss*opt_strike)/(D191 + preF_opts_iss)</f>
        <v/>
      </c>
      <c r="G191">
        <f>IF(F191&gt;opt_strike,1,0)</f>
        <v/>
      </c>
      <c r="H191">
        <f>IF(G191=1, F191, E191)</f>
        <v/>
      </c>
      <c r="I191">
        <f>IF(H190 * F_class_shares &gt; F_primary, 1, 0)</f>
        <v/>
      </c>
      <c r="J191">
        <f>IF(H190 * E_total &gt; E_inv, 1, 0)</f>
        <v/>
      </c>
      <c r="K191">
        <f>IF(H190 * D_total &gt; D_inv, 1, 0)</f>
        <v/>
      </c>
      <c r="L191">
        <f>IF(H190 * C_total &gt; C_inv, 1, 0)</f>
        <v/>
      </c>
      <c r="M191">
        <f>IF(H190 * B_total &gt; B_inv, 1, 0)</f>
        <v/>
      </c>
      <c r="N191">
        <f>IF(H190 * A_total &gt; A_inv, 1, 0)</f>
        <v/>
      </c>
      <c r="O191">
        <f>IF(H190 * Seed_total &gt; seed_inv, 1, 0)</f>
        <v/>
      </c>
    </row>
    <row r="192">
      <c r="B192">
        <f>(1-I192)*F_primary+(1-J192)*E_inv+(1-K192)*D_inv+(1-L192)*C_inv+(1-M192)*B_inv+(1-N192)*A_inv+(1-O192)*seed_inv</f>
        <v/>
      </c>
      <c r="C192">
        <f>MAX(0, E3 - B192)</f>
        <v/>
      </c>
      <c r="D192">
        <f>F1_sh+F2_sh+F3_sh+RSA_sh+NA_sh+NB_sh+I192*F_class_shares+J192*E_total+K192*D_total+L192*C_total+M192*B_total+N192*A_total+O192*Seed_total</f>
        <v/>
      </c>
      <c r="E192">
        <f>IF(D192&gt;0, C192/D192, 0)</f>
        <v/>
      </c>
      <c r="F192">
        <f>(C192 + preF_opts_iss*opt_strike)/(D192 + preF_opts_iss)</f>
        <v/>
      </c>
      <c r="G192">
        <f>IF(F192&gt;opt_strike,1,0)</f>
        <v/>
      </c>
      <c r="H192">
        <f>IF(G192=1, F192, E192)</f>
        <v/>
      </c>
      <c r="I192">
        <f>IF(H191 * F_class_shares &gt; F_primary, 1, 0)</f>
        <v/>
      </c>
      <c r="J192">
        <f>IF(H191 * E_total &gt; E_inv, 1, 0)</f>
        <v/>
      </c>
      <c r="K192">
        <f>IF(H191 * D_total &gt; D_inv, 1, 0)</f>
        <v/>
      </c>
      <c r="L192">
        <f>IF(H191 * C_total &gt; C_inv, 1, 0)</f>
        <v/>
      </c>
      <c r="M192">
        <f>IF(H191 * B_total &gt; B_inv, 1, 0)</f>
        <v/>
      </c>
      <c r="N192">
        <f>IF(H191 * A_total &gt; A_inv, 1, 0)</f>
        <v/>
      </c>
      <c r="O192">
        <f>IF(H191 * Seed_total &gt; seed_inv, 1, 0)</f>
        <v/>
      </c>
    </row>
    <row r="193">
      <c r="B193">
        <f>(1-I193)*F_primary+(1-J193)*E_inv+(1-K193)*D_inv+(1-L193)*C_inv+(1-M193)*B_inv+(1-N193)*A_inv+(1-O193)*seed_inv</f>
        <v/>
      </c>
      <c r="C193">
        <f>MAX(0, E3 - B193)</f>
        <v/>
      </c>
      <c r="D193">
        <f>F1_sh+F2_sh+F3_sh+RSA_sh+NA_sh+NB_sh+I193*F_class_shares+J193*E_total+K193*D_total+L193*C_total+M193*B_total+N193*A_total+O193*Seed_total</f>
        <v/>
      </c>
      <c r="E193">
        <f>IF(D193&gt;0, C193/D193, 0)</f>
        <v/>
      </c>
      <c r="F193">
        <f>(C193 + preF_opts_iss*opt_strike)/(D193 + preF_opts_iss)</f>
        <v/>
      </c>
      <c r="G193">
        <f>IF(F193&gt;opt_strike,1,0)</f>
        <v/>
      </c>
      <c r="H193">
        <f>IF(G193=1, F193, E193)</f>
        <v/>
      </c>
      <c r="I193">
        <f>IF(H192 * F_class_shares &gt; F_primary, 1, 0)</f>
        <v/>
      </c>
      <c r="J193">
        <f>IF(H192 * E_total &gt; E_inv, 1, 0)</f>
        <v/>
      </c>
      <c r="K193">
        <f>IF(H192 * D_total &gt; D_inv, 1, 0)</f>
        <v/>
      </c>
      <c r="L193">
        <f>IF(H192 * C_total &gt; C_inv, 1, 0)</f>
        <v/>
      </c>
      <c r="M193">
        <f>IF(H192 * B_total &gt; B_inv, 1, 0)</f>
        <v/>
      </c>
      <c r="N193">
        <f>IF(H192 * A_total &gt; A_inv, 1, 0)</f>
        <v/>
      </c>
      <c r="O193">
        <f>IF(H192 * Seed_total &gt; seed_inv, 1, 0)</f>
        <v/>
      </c>
    </row>
    <row r="194">
      <c r="B194">
        <f>(1-I194)*F_primary+(1-J194)*E_inv+(1-K194)*D_inv+(1-L194)*C_inv+(1-M194)*B_inv+(1-N194)*A_inv+(1-O194)*seed_inv</f>
        <v/>
      </c>
      <c r="C194">
        <f>MAX(0, E3 - B194)</f>
        <v/>
      </c>
      <c r="D194">
        <f>F1_sh+F2_sh+F3_sh+RSA_sh+NA_sh+NB_sh+I194*F_class_shares+J194*E_total+K194*D_total+L194*C_total+M194*B_total+N194*A_total+O194*Seed_total</f>
        <v/>
      </c>
      <c r="E194">
        <f>IF(D194&gt;0, C194/D194, 0)</f>
        <v/>
      </c>
      <c r="F194">
        <f>(C194 + preF_opts_iss*opt_strike)/(D194 + preF_opts_iss)</f>
        <v/>
      </c>
      <c r="G194">
        <f>IF(F194&gt;opt_strike,1,0)</f>
        <v/>
      </c>
      <c r="H194">
        <f>IF(G194=1, F194, E194)</f>
        <v/>
      </c>
      <c r="I194">
        <f>IF(H193 * F_class_shares &gt; F_primary, 1, 0)</f>
        <v/>
      </c>
      <c r="J194">
        <f>IF(H193 * E_total &gt; E_inv, 1, 0)</f>
        <v/>
      </c>
      <c r="K194">
        <f>IF(H193 * D_total &gt; D_inv, 1, 0)</f>
        <v/>
      </c>
      <c r="L194">
        <f>IF(H193 * C_total &gt; C_inv, 1, 0)</f>
        <v/>
      </c>
      <c r="M194">
        <f>IF(H193 * B_total &gt; B_inv, 1, 0)</f>
        <v/>
      </c>
      <c r="N194">
        <f>IF(H193 * A_total &gt; A_inv, 1, 0)</f>
        <v/>
      </c>
      <c r="O194">
        <f>IF(H193 * Seed_total &gt; seed_inv, 1, 0)</f>
        <v/>
      </c>
    </row>
    <row r="195">
      <c r="B195">
        <f>(1-I195)*F_primary+(1-J195)*E_inv+(1-K195)*D_inv+(1-L195)*C_inv+(1-M195)*B_inv+(1-N195)*A_inv+(1-O195)*seed_inv</f>
        <v/>
      </c>
      <c r="C195">
        <f>MAX(0, E3 - B195)</f>
        <v/>
      </c>
      <c r="D195">
        <f>F1_sh+F2_sh+F3_sh+RSA_sh+NA_sh+NB_sh+I195*F_class_shares+J195*E_total+K195*D_total+L195*C_total+M195*B_total+N195*A_total+O195*Seed_total</f>
        <v/>
      </c>
      <c r="E195">
        <f>IF(D195&gt;0, C195/D195, 0)</f>
        <v/>
      </c>
      <c r="F195">
        <f>(C195 + preF_opts_iss*opt_strike)/(D195 + preF_opts_iss)</f>
        <v/>
      </c>
      <c r="G195">
        <f>IF(F195&gt;opt_strike,1,0)</f>
        <v/>
      </c>
      <c r="H195">
        <f>IF(G195=1, F195, E195)</f>
        <v/>
      </c>
      <c r="I195">
        <f>IF(H194 * F_class_shares &gt; F_primary, 1, 0)</f>
        <v/>
      </c>
      <c r="J195">
        <f>IF(H194 * E_total &gt; E_inv, 1, 0)</f>
        <v/>
      </c>
      <c r="K195">
        <f>IF(H194 * D_total &gt; D_inv, 1, 0)</f>
        <v/>
      </c>
      <c r="L195">
        <f>IF(H194 * C_total &gt; C_inv, 1, 0)</f>
        <v/>
      </c>
      <c r="M195">
        <f>IF(H194 * B_total &gt; B_inv, 1, 0)</f>
        <v/>
      </c>
      <c r="N195">
        <f>IF(H194 * A_total &gt; A_inv, 1, 0)</f>
        <v/>
      </c>
      <c r="O195">
        <f>IF(H194 * Seed_total &gt; seed_inv, 1, 0)</f>
        <v/>
      </c>
    </row>
    <row r="196">
      <c r="B196">
        <f>(1-I196)*F_primary+(1-J196)*E_inv+(1-K196)*D_inv+(1-L196)*C_inv+(1-M196)*B_inv+(1-N196)*A_inv+(1-O196)*seed_inv</f>
        <v/>
      </c>
      <c r="C196">
        <f>MAX(0, E3 - B196)</f>
        <v/>
      </c>
      <c r="D196">
        <f>F1_sh+F2_sh+F3_sh+RSA_sh+NA_sh+NB_sh+I196*F_class_shares+J196*E_total+K196*D_total+L196*C_total+M196*B_total+N196*A_total+O196*Seed_total</f>
        <v/>
      </c>
      <c r="E196">
        <f>IF(D196&gt;0, C196/D196, 0)</f>
        <v/>
      </c>
      <c r="F196">
        <f>(C196 + preF_opts_iss*opt_strike)/(D196 + preF_opts_iss)</f>
        <v/>
      </c>
      <c r="G196">
        <f>IF(F196&gt;opt_strike,1,0)</f>
        <v/>
      </c>
      <c r="H196">
        <f>IF(G196=1, F196, E196)</f>
        <v/>
      </c>
      <c r="I196">
        <f>IF(H195 * F_class_shares &gt; F_primary, 1, 0)</f>
        <v/>
      </c>
      <c r="J196">
        <f>IF(H195 * E_total &gt; E_inv, 1, 0)</f>
        <v/>
      </c>
      <c r="K196">
        <f>IF(H195 * D_total &gt; D_inv, 1, 0)</f>
        <v/>
      </c>
      <c r="L196">
        <f>IF(H195 * C_total &gt; C_inv, 1, 0)</f>
        <v/>
      </c>
      <c r="M196">
        <f>IF(H195 * B_total &gt; B_inv, 1, 0)</f>
        <v/>
      </c>
      <c r="N196">
        <f>IF(H195 * A_total &gt; A_inv, 1, 0)</f>
        <v/>
      </c>
      <c r="O196">
        <f>IF(H195 * Seed_total &gt; seed_inv, 1, 0)</f>
        <v/>
      </c>
    </row>
    <row r="197">
      <c r="A197" s="6" t="inlineStr">
        <is>
          <t>--- Iteration block for exit exit_v5 ---</t>
        </is>
      </c>
    </row>
    <row r="198">
      <c r="A198" s="6" t="inlineStr">
        <is>
          <t>iter</t>
        </is>
      </c>
      <c r="B198" s="6" t="inlineStr">
        <is>
          <t>prefs_paid</t>
        </is>
      </c>
      <c r="C198" s="6" t="inlineStr">
        <is>
          <t>residual</t>
        </is>
      </c>
      <c r="D198" s="6" t="inlineStr">
        <is>
          <t>cv_shares</t>
        </is>
      </c>
      <c r="E198" s="6" t="inlineStr">
        <is>
          <t>PPS_naive</t>
        </is>
      </c>
      <c r="F198" s="6" t="inlineStr">
        <is>
          <t>PPS_w_opts</t>
        </is>
      </c>
      <c r="G198" s="6" t="inlineStr">
        <is>
          <t>ITM</t>
        </is>
      </c>
      <c r="H198" s="6" t="inlineStr">
        <is>
          <t>PPS</t>
        </is>
      </c>
      <c r="I198" s="6" t="inlineStr">
        <is>
          <t>ic_F</t>
        </is>
      </c>
      <c r="J198" s="6" t="inlineStr">
        <is>
          <t>ic_E</t>
        </is>
      </c>
      <c r="K198" s="6" t="inlineStr">
        <is>
          <t>ic_D</t>
        </is>
      </c>
      <c r="L198" s="6" t="inlineStr">
        <is>
          <t>ic_C</t>
        </is>
      </c>
      <c r="M198" s="6" t="inlineStr">
        <is>
          <t>ic_B</t>
        </is>
      </c>
      <c r="N198" s="6" t="inlineStr">
        <is>
          <t>ic_A</t>
        </is>
      </c>
      <c r="O198" s="6" t="inlineStr">
        <is>
          <t>ic_Seed</t>
        </is>
      </c>
    </row>
    <row r="199">
      <c r="B199">
        <f>(1-I199)*F_primary+(1-J199)*E_inv+(1-K199)*D_inv+(1-L199)*C_inv+(1-M199)*B_inv+(1-N199)*A_inv+(1-O199)*seed_inv</f>
        <v/>
      </c>
      <c r="C199">
        <f>MAX(0, F3 - B199)</f>
        <v/>
      </c>
      <c r="D199">
        <f>F1_sh+F2_sh+F3_sh+RSA_sh+NA_sh+NB_sh+I199*F_class_shares+J199*E_total+K199*D_total+L199*C_total+M199*B_total+N199*A_total+O199*Seed_total</f>
        <v/>
      </c>
      <c r="E199">
        <f>IF(D199&gt;0, C199/D199, 0)</f>
        <v/>
      </c>
      <c r="F199">
        <f>(C199 + preF_opts_iss*opt_strike)/(D199 + preF_opts_iss)</f>
        <v/>
      </c>
      <c r="G199">
        <f>IF(F199&gt;opt_strike,1,0)</f>
        <v/>
      </c>
      <c r="H199">
        <f>IF(G199=1, F199, E199)</f>
        <v/>
      </c>
      <c r="I199">
        <f>IF(0 * F_class_shares &gt; F_primary, 1, 0)</f>
        <v/>
      </c>
      <c r="J199">
        <f>IF(0 * E_total &gt; E_inv, 1, 0)</f>
        <v/>
      </c>
      <c r="K199">
        <f>IF(0 * D_total &gt; D_inv, 1, 0)</f>
        <v/>
      </c>
      <c r="L199">
        <f>IF(0 * C_total &gt; C_inv, 1, 0)</f>
        <v/>
      </c>
      <c r="M199">
        <f>IF(0 * B_total &gt; B_inv, 1, 0)</f>
        <v/>
      </c>
      <c r="N199">
        <f>IF(0 * A_total &gt; A_inv, 1, 0)</f>
        <v/>
      </c>
      <c r="O199">
        <f>IF(0 * Seed_total &gt; seed_inv, 1, 0)</f>
        <v/>
      </c>
    </row>
    <row r="200">
      <c r="B200">
        <f>(1-I200)*F_primary+(1-J200)*E_inv+(1-K200)*D_inv+(1-L200)*C_inv+(1-M200)*B_inv+(1-N200)*A_inv+(1-O200)*seed_inv</f>
        <v/>
      </c>
      <c r="C200">
        <f>MAX(0, F3 - B200)</f>
        <v/>
      </c>
      <c r="D200">
        <f>F1_sh+F2_sh+F3_sh+RSA_sh+NA_sh+NB_sh+I200*F_class_shares+J200*E_total+K200*D_total+L200*C_total+M200*B_total+N200*A_total+O200*Seed_total</f>
        <v/>
      </c>
      <c r="E200">
        <f>IF(D200&gt;0, C200/D200, 0)</f>
        <v/>
      </c>
      <c r="F200">
        <f>(C200 + preF_opts_iss*opt_strike)/(D200 + preF_opts_iss)</f>
        <v/>
      </c>
      <c r="G200">
        <f>IF(F200&gt;opt_strike,1,0)</f>
        <v/>
      </c>
      <c r="H200">
        <f>IF(G200=1, F200, E200)</f>
        <v/>
      </c>
      <c r="I200">
        <f>IF(H199 * F_class_shares &gt; F_primary, 1, 0)</f>
        <v/>
      </c>
      <c r="J200">
        <f>IF(H199 * E_total &gt; E_inv, 1, 0)</f>
        <v/>
      </c>
      <c r="K200">
        <f>IF(H199 * D_total &gt; D_inv, 1, 0)</f>
        <v/>
      </c>
      <c r="L200">
        <f>IF(H199 * C_total &gt; C_inv, 1, 0)</f>
        <v/>
      </c>
      <c r="M200">
        <f>IF(H199 * B_total &gt; B_inv, 1, 0)</f>
        <v/>
      </c>
      <c r="N200">
        <f>IF(H199 * A_total &gt; A_inv, 1, 0)</f>
        <v/>
      </c>
      <c r="O200">
        <f>IF(H199 * Seed_total &gt; seed_inv, 1, 0)</f>
        <v/>
      </c>
    </row>
    <row r="201">
      <c r="B201">
        <f>(1-I201)*F_primary+(1-J201)*E_inv+(1-K201)*D_inv+(1-L201)*C_inv+(1-M201)*B_inv+(1-N201)*A_inv+(1-O201)*seed_inv</f>
        <v/>
      </c>
      <c r="C201">
        <f>MAX(0, F3 - B201)</f>
        <v/>
      </c>
      <c r="D201">
        <f>F1_sh+F2_sh+F3_sh+RSA_sh+NA_sh+NB_sh+I201*F_class_shares+J201*E_total+K201*D_total+L201*C_total+M201*B_total+N201*A_total+O201*Seed_total</f>
        <v/>
      </c>
      <c r="E201">
        <f>IF(D201&gt;0, C201/D201, 0)</f>
        <v/>
      </c>
      <c r="F201">
        <f>(C201 + preF_opts_iss*opt_strike)/(D201 + preF_opts_iss)</f>
        <v/>
      </c>
      <c r="G201">
        <f>IF(F201&gt;opt_strike,1,0)</f>
        <v/>
      </c>
      <c r="H201">
        <f>IF(G201=1, F201, E201)</f>
        <v/>
      </c>
      <c r="I201">
        <f>IF(H200 * F_class_shares &gt; F_primary, 1, 0)</f>
        <v/>
      </c>
      <c r="J201">
        <f>IF(H200 * E_total &gt; E_inv, 1, 0)</f>
        <v/>
      </c>
      <c r="K201">
        <f>IF(H200 * D_total &gt; D_inv, 1, 0)</f>
        <v/>
      </c>
      <c r="L201">
        <f>IF(H200 * C_total &gt; C_inv, 1, 0)</f>
        <v/>
      </c>
      <c r="M201">
        <f>IF(H200 * B_total &gt; B_inv, 1, 0)</f>
        <v/>
      </c>
      <c r="N201">
        <f>IF(H200 * A_total &gt; A_inv, 1, 0)</f>
        <v/>
      </c>
      <c r="O201">
        <f>IF(H200 * Seed_total &gt; seed_inv, 1, 0)</f>
        <v/>
      </c>
    </row>
    <row r="202">
      <c r="B202">
        <f>(1-I202)*F_primary+(1-J202)*E_inv+(1-K202)*D_inv+(1-L202)*C_inv+(1-M202)*B_inv+(1-N202)*A_inv+(1-O202)*seed_inv</f>
        <v/>
      </c>
      <c r="C202">
        <f>MAX(0, F3 - B202)</f>
        <v/>
      </c>
      <c r="D202">
        <f>F1_sh+F2_sh+F3_sh+RSA_sh+NA_sh+NB_sh+I202*F_class_shares+J202*E_total+K202*D_total+L202*C_total+M202*B_total+N202*A_total+O202*Seed_total</f>
        <v/>
      </c>
      <c r="E202">
        <f>IF(D202&gt;0, C202/D202, 0)</f>
        <v/>
      </c>
      <c r="F202">
        <f>(C202 + preF_opts_iss*opt_strike)/(D202 + preF_opts_iss)</f>
        <v/>
      </c>
      <c r="G202">
        <f>IF(F202&gt;opt_strike,1,0)</f>
        <v/>
      </c>
      <c r="H202">
        <f>IF(G202=1, F202, E202)</f>
        <v/>
      </c>
      <c r="I202">
        <f>IF(H201 * F_class_shares &gt; F_primary, 1, 0)</f>
        <v/>
      </c>
      <c r="J202">
        <f>IF(H201 * E_total &gt; E_inv, 1, 0)</f>
        <v/>
      </c>
      <c r="K202">
        <f>IF(H201 * D_total &gt; D_inv, 1, 0)</f>
        <v/>
      </c>
      <c r="L202">
        <f>IF(H201 * C_total &gt; C_inv, 1, 0)</f>
        <v/>
      </c>
      <c r="M202">
        <f>IF(H201 * B_total &gt; B_inv, 1, 0)</f>
        <v/>
      </c>
      <c r="N202">
        <f>IF(H201 * A_total &gt; A_inv, 1, 0)</f>
        <v/>
      </c>
      <c r="O202">
        <f>IF(H201 * Seed_total &gt; seed_inv, 1, 0)</f>
        <v/>
      </c>
    </row>
    <row r="203">
      <c r="B203">
        <f>(1-I203)*F_primary+(1-J203)*E_inv+(1-K203)*D_inv+(1-L203)*C_inv+(1-M203)*B_inv+(1-N203)*A_inv+(1-O203)*seed_inv</f>
        <v/>
      </c>
      <c r="C203">
        <f>MAX(0, F3 - B203)</f>
        <v/>
      </c>
      <c r="D203">
        <f>F1_sh+F2_sh+F3_sh+RSA_sh+NA_sh+NB_sh+I203*F_class_shares+J203*E_total+K203*D_total+L203*C_total+M203*B_total+N203*A_total+O203*Seed_total</f>
        <v/>
      </c>
      <c r="E203">
        <f>IF(D203&gt;0, C203/D203, 0)</f>
        <v/>
      </c>
      <c r="F203">
        <f>(C203 + preF_opts_iss*opt_strike)/(D203 + preF_opts_iss)</f>
        <v/>
      </c>
      <c r="G203">
        <f>IF(F203&gt;opt_strike,1,0)</f>
        <v/>
      </c>
      <c r="H203">
        <f>IF(G203=1, F203, E203)</f>
        <v/>
      </c>
      <c r="I203">
        <f>IF(H202 * F_class_shares &gt; F_primary, 1, 0)</f>
        <v/>
      </c>
      <c r="J203">
        <f>IF(H202 * E_total &gt; E_inv, 1, 0)</f>
        <v/>
      </c>
      <c r="K203">
        <f>IF(H202 * D_total &gt; D_inv, 1, 0)</f>
        <v/>
      </c>
      <c r="L203">
        <f>IF(H202 * C_total &gt; C_inv, 1, 0)</f>
        <v/>
      </c>
      <c r="M203">
        <f>IF(H202 * B_total &gt; B_inv, 1, 0)</f>
        <v/>
      </c>
      <c r="N203">
        <f>IF(H202 * A_total &gt; A_inv, 1, 0)</f>
        <v/>
      </c>
      <c r="O203">
        <f>IF(H202 * Seed_total &gt; seed_inv, 1, 0)</f>
        <v/>
      </c>
    </row>
    <row r="204">
      <c r="B204">
        <f>(1-I204)*F_primary+(1-J204)*E_inv+(1-K204)*D_inv+(1-L204)*C_inv+(1-M204)*B_inv+(1-N204)*A_inv+(1-O204)*seed_inv</f>
        <v/>
      </c>
      <c r="C204">
        <f>MAX(0, F3 - B204)</f>
        <v/>
      </c>
      <c r="D204">
        <f>F1_sh+F2_sh+F3_sh+RSA_sh+NA_sh+NB_sh+I204*F_class_shares+J204*E_total+K204*D_total+L204*C_total+M204*B_total+N204*A_total+O204*Seed_total</f>
        <v/>
      </c>
      <c r="E204">
        <f>IF(D204&gt;0, C204/D204, 0)</f>
        <v/>
      </c>
      <c r="F204">
        <f>(C204 + preF_opts_iss*opt_strike)/(D204 + preF_opts_iss)</f>
        <v/>
      </c>
      <c r="G204">
        <f>IF(F204&gt;opt_strike,1,0)</f>
        <v/>
      </c>
      <c r="H204">
        <f>IF(G204=1, F204, E204)</f>
        <v/>
      </c>
      <c r="I204">
        <f>IF(H203 * F_class_shares &gt; F_primary, 1, 0)</f>
        <v/>
      </c>
      <c r="J204">
        <f>IF(H203 * E_total &gt; E_inv, 1, 0)</f>
        <v/>
      </c>
      <c r="K204">
        <f>IF(H203 * D_total &gt; D_inv, 1, 0)</f>
        <v/>
      </c>
      <c r="L204">
        <f>IF(H203 * C_total &gt; C_inv, 1, 0)</f>
        <v/>
      </c>
      <c r="M204">
        <f>IF(H203 * B_total &gt; B_inv, 1, 0)</f>
        <v/>
      </c>
      <c r="N204">
        <f>IF(H203 * A_total &gt; A_inv, 1, 0)</f>
        <v/>
      </c>
      <c r="O204">
        <f>IF(H203 * Seed_total &gt; seed_inv, 1, 0)</f>
        <v/>
      </c>
    </row>
    <row r="205">
      <c r="B205">
        <f>(1-I205)*F_primary+(1-J205)*E_inv+(1-K205)*D_inv+(1-L205)*C_inv+(1-M205)*B_inv+(1-N205)*A_inv+(1-O205)*seed_inv</f>
        <v/>
      </c>
      <c r="C205">
        <f>MAX(0, F3 - B205)</f>
        <v/>
      </c>
      <c r="D205">
        <f>F1_sh+F2_sh+F3_sh+RSA_sh+NA_sh+NB_sh+I205*F_class_shares+J205*E_total+K205*D_total+L205*C_total+M205*B_total+N205*A_total+O205*Seed_total</f>
        <v/>
      </c>
      <c r="E205">
        <f>IF(D205&gt;0, C205/D205, 0)</f>
        <v/>
      </c>
      <c r="F205">
        <f>(C205 + preF_opts_iss*opt_strike)/(D205 + preF_opts_iss)</f>
        <v/>
      </c>
      <c r="G205">
        <f>IF(F205&gt;opt_strike,1,0)</f>
        <v/>
      </c>
      <c r="H205">
        <f>IF(G205=1, F205, E205)</f>
        <v/>
      </c>
      <c r="I205">
        <f>IF(H204 * F_class_shares &gt; F_primary, 1, 0)</f>
        <v/>
      </c>
      <c r="J205">
        <f>IF(H204 * E_total &gt; E_inv, 1, 0)</f>
        <v/>
      </c>
      <c r="K205">
        <f>IF(H204 * D_total &gt; D_inv, 1, 0)</f>
        <v/>
      </c>
      <c r="L205">
        <f>IF(H204 * C_total &gt; C_inv, 1, 0)</f>
        <v/>
      </c>
      <c r="M205">
        <f>IF(H204 * B_total &gt; B_inv, 1, 0)</f>
        <v/>
      </c>
      <c r="N205">
        <f>IF(H204 * A_total &gt; A_inv, 1, 0)</f>
        <v/>
      </c>
      <c r="O205">
        <f>IF(H204 * Seed_total &gt; seed_inv, 1, 0)</f>
        <v/>
      </c>
    </row>
    <row r="206">
      <c r="B206">
        <f>(1-I206)*F_primary+(1-J206)*E_inv+(1-K206)*D_inv+(1-L206)*C_inv+(1-M206)*B_inv+(1-N206)*A_inv+(1-O206)*seed_inv</f>
        <v/>
      </c>
      <c r="C206">
        <f>MAX(0, F3 - B206)</f>
        <v/>
      </c>
      <c r="D206">
        <f>F1_sh+F2_sh+F3_sh+RSA_sh+NA_sh+NB_sh+I206*F_class_shares+J206*E_total+K206*D_total+L206*C_total+M206*B_total+N206*A_total+O206*Seed_total</f>
        <v/>
      </c>
      <c r="E206">
        <f>IF(D206&gt;0, C206/D206, 0)</f>
        <v/>
      </c>
      <c r="F206">
        <f>(C206 + preF_opts_iss*opt_strike)/(D206 + preF_opts_iss)</f>
        <v/>
      </c>
      <c r="G206">
        <f>IF(F206&gt;opt_strike,1,0)</f>
        <v/>
      </c>
      <c r="H206">
        <f>IF(G206=1, F206, E206)</f>
        <v/>
      </c>
      <c r="I206">
        <f>IF(H205 * F_class_shares &gt; F_primary, 1, 0)</f>
        <v/>
      </c>
      <c r="J206">
        <f>IF(H205 * E_total &gt; E_inv, 1, 0)</f>
        <v/>
      </c>
      <c r="K206">
        <f>IF(H205 * D_total &gt; D_inv, 1, 0)</f>
        <v/>
      </c>
      <c r="L206">
        <f>IF(H205 * C_total &gt; C_inv, 1, 0)</f>
        <v/>
      </c>
      <c r="M206">
        <f>IF(H205 * B_total &gt; B_inv, 1, 0)</f>
        <v/>
      </c>
      <c r="N206">
        <f>IF(H205 * A_total &gt; A_inv, 1, 0)</f>
        <v/>
      </c>
      <c r="O206">
        <f>IF(H205 * Seed_total &gt; seed_inv, 1, 0)</f>
        <v/>
      </c>
    </row>
    <row r="207">
      <c r="B207">
        <f>(1-I207)*F_primary+(1-J207)*E_inv+(1-K207)*D_inv+(1-L207)*C_inv+(1-M207)*B_inv+(1-N207)*A_inv+(1-O207)*seed_inv</f>
        <v/>
      </c>
      <c r="C207">
        <f>MAX(0, F3 - B207)</f>
        <v/>
      </c>
      <c r="D207">
        <f>F1_sh+F2_sh+F3_sh+RSA_sh+NA_sh+NB_sh+I207*F_class_shares+J207*E_total+K207*D_total+L207*C_total+M207*B_total+N207*A_total+O207*Seed_total</f>
        <v/>
      </c>
      <c r="E207">
        <f>IF(D207&gt;0, C207/D207, 0)</f>
        <v/>
      </c>
      <c r="F207">
        <f>(C207 + preF_opts_iss*opt_strike)/(D207 + preF_opts_iss)</f>
        <v/>
      </c>
      <c r="G207">
        <f>IF(F207&gt;opt_strike,1,0)</f>
        <v/>
      </c>
      <c r="H207">
        <f>IF(G207=1, F207, E207)</f>
        <v/>
      </c>
      <c r="I207">
        <f>IF(H206 * F_class_shares &gt; F_primary, 1, 0)</f>
        <v/>
      </c>
      <c r="J207">
        <f>IF(H206 * E_total &gt; E_inv, 1, 0)</f>
        <v/>
      </c>
      <c r="K207">
        <f>IF(H206 * D_total &gt; D_inv, 1, 0)</f>
        <v/>
      </c>
      <c r="L207">
        <f>IF(H206 * C_total &gt; C_inv, 1, 0)</f>
        <v/>
      </c>
      <c r="M207">
        <f>IF(H206 * B_total &gt; B_inv, 1, 0)</f>
        <v/>
      </c>
      <c r="N207">
        <f>IF(H206 * A_total &gt; A_inv, 1, 0)</f>
        <v/>
      </c>
      <c r="O207">
        <f>IF(H206 * Seed_total &gt; seed_inv, 1, 0)</f>
        <v/>
      </c>
    </row>
    <row r="208">
      <c r="B208">
        <f>(1-I208)*F_primary+(1-J208)*E_inv+(1-K208)*D_inv+(1-L208)*C_inv+(1-M208)*B_inv+(1-N208)*A_inv+(1-O208)*seed_inv</f>
        <v/>
      </c>
      <c r="C208">
        <f>MAX(0, F3 - B208)</f>
        <v/>
      </c>
      <c r="D208">
        <f>F1_sh+F2_sh+F3_sh+RSA_sh+NA_sh+NB_sh+I208*F_class_shares+J208*E_total+K208*D_total+L208*C_total+M208*B_total+N208*A_total+O208*Seed_total</f>
        <v/>
      </c>
      <c r="E208">
        <f>IF(D208&gt;0, C208/D208, 0)</f>
        <v/>
      </c>
      <c r="F208">
        <f>(C208 + preF_opts_iss*opt_strike)/(D208 + preF_opts_iss)</f>
        <v/>
      </c>
      <c r="G208">
        <f>IF(F208&gt;opt_strike,1,0)</f>
        <v/>
      </c>
      <c r="H208">
        <f>IF(G208=1, F208, E208)</f>
        <v/>
      </c>
      <c r="I208">
        <f>IF(H207 * F_class_shares &gt; F_primary, 1, 0)</f>
        <v/>
      </c>
      <c r="J208">
        <f>IF(H207 * E_total &gt; E_inv, 1, 0)</f>
        <v/>
      </c>
      <c r="K208">
        <f>IF(H207 * D_total &gt; D_inv, 1, 0)</f>
        <v/>
      </c>
      <c r="L208">
        <f>IF(H207 * C_total &gt; C_inv, 1, 0)</f>
        <v/>
      </c>
      <c r="M208">
        <f>IF(H207 * B_total &gt; B_inv, 1, 0)</f>
        <v/>
      </c>
      <c r="N208">
        <f>IF(H207 * A_total &gt; A_inv, 1, 0)</f>
        <v/>
      </c>
      <c r="O208">
        <f>IF(H207 * Seed_total &gt; seed_inv, 1, 0)</f>
        <v/>
      </c>
    </row>
    <row r="209">
      <c r="B209">
        <f>(1-I209)*F_primary+(1-J209)*E_inv+(1-K209)*D_inv+(1-L209)*C_inv+(1-M209)*B_inv+(1-N209)*A_inv+(1-O209)*seed_inv</f>
        <v/>
      </c>
      <c r="C209">
        <f>MAX(0, F3 - B209)</f>
        <v/>
      </c>
      <c r="D209">
        <f>F1_sh+F2_sh+F3_sh+RSA_sh+NA_sh+NB_sh+I209*F_class_shares+J209*E_total+K209*D_total+L209*C_total+M209*B_total+N209*A_total+O209*Seed_total</f>
        <v/>
      </c>
      <c r="E209">
        <f>IF(D209&gt;0, C209/D209, 0)</f>
        <v/>
      </c>
      <c r="F209">
        <f>(C209 + preF_opts_iss*opt_strike)/(D209 + preF_opts_iss)</f>
        <v/>
      </c>
      <c r="G209">
        <f>IF(F209&gt;opt_strike,1,0)</f>
        <v/>
      </c>
      <c r="H209">
        <f>IF(G209=1, F209, E209)</f>
        <v/>
      </c>
      <c r="I209">
        <f>IF(H208 * F_class_shares &gt; F_primary, 1, 0)</f>
        <v/>
      </c>
      <c r="J209">
        <f>IF(H208 * E_total &gt; E_inv, 1, 0)</f>
        <v/>
      </c>
      <c r="K209">
        <f>IF(H208 * D_total &gt; D_inv, 1, 0)</f>
        <v/>
      </c>
      <c r="L209">
        <f>IF(H208 * C_total &gt; C_inv, 1, 0)</f>
        <v/>
      </c>
      <c r="M209">
        <f>IF(H208 * B_total &gt; B_inv, 1, 0)</f>
        <v/>
      </c>
      <c r="N209">
        <f>IF(H208 * A_total &gt; A_inv, 1, 0)</f>
        <v/>
      </c>
      <c r="O209">
        <f>IF(H208 * Seed_total &gt; seed_inv, 1, 0)</f>
        <v/>
      </c>
    </row>
    <row r="210">
      <c r="B210">
        <f>(1-I210)*F_primary+(1-J210)*E_inv+(1-K210)*D_inv+(1-L210)*C_inv+(1-M210)*B_inv+(1-N210)*A_inv+(1-O210)*seed_inv</f>
        <v/>
      </c>
      <c r="C210">
        <f>MAX(0, F3 - B210)</f>
        <v/>
      </c>
      <c r="D210">
        <f>F1_sh+F2_sh+F3_sh+RSA_sh+NA_sh+NB_sh+I210*F_class_shares+J210*E_total+K210*D_total+L210*C_total+M210*B_total+N210*A_total+O210*Seed_total</f>
        <v/>
      </c>
      <c r="E210">
        <f>IF(D210&gt;0, C210/D210, 0)</f>
        <v/>
      </c>
      <c r="F210">
        <f>(C210 + preF_opts_iss*opt_strike)/(D210 + preF_opts_iss)</f>
        <v/>
      </c>
      <c r="G210">
        <f>IF(F210&gt;opt_strike,1,0)</f>
        <v/>
      </c>
      <c r="H210">
        <f>IF(G210=1, F210, E210)</f>
        <v/>
      </c>
      <c r="I210">
        <f>IF(H209 * F_class_shares &gt; F_primary, 1, 0)</f>
        <v/>
      </c>
      <c r="J210">
        <f>IF(H209 * E_total &gt; E_inv, 1, 0)</f>
        <v/>
      </c>
      <c r="K210">
        <f>IF(H209 * D_total &gt; D_inv, 1, 0)</f>
        <v/>
      </c>
      <c r="L210">
        <f>IF(H209 * C_total &gt; C_inv, 1, 0)</f>
        <v/>
      </c>
      <c r="M210">
        <f>IF(H209 * B_total &gt; B_inv, 1, 0)</f>
        <v/>
      </c>
      <c r="N210">
        <f>IF(H209 * A_total &gt; A_inv, 1, 0)</f>
        <v/>
      </c>
      <c r="O210">
        <f>IF(H209 * Seed_total &gt; seed_inv, 1, 0)</f>
        <v/>
      </c>
    </row>
    <row r="211">
      <c r="B211">
        <f>(1-I211)*F_primary+(1-J211)*E_inv+(1-K211)*D_inv+(1-L211)*C_inv+(1-M211)*B_inv+(1-N211)*A_inv+(1-O211)*seed_inv</f>
        <v/>
      </c>
      <c r="C211">
        <f>MAX(0, F3 - B211)</f>
        <v/>
      </c>
      <c r="D211">
        <f>F1_sh+F2_sh+F3_sh+RSA_sh+NA_sh+NB_sh+I211*F_class_shares+J211*E_total+K211*D_total+L211*C_total+M211*B_total+N211*A_total+O211*Seed_total</f>
        <v/>
      </c>
      <c r="E211">
        <f>IF(D211&gt;0, C211/D211, 0)</f>
        <v/>
      </c>
      <c r="F211">
        <f>(C211 + preF_opts_iss*opt_strike)/(D211 + preF_opts_iss)</f>
        <v/>
      </c>
      <c r="G211">
        <f>IF(F211&gt;opt_strike,1,0)</f>
        <v/>
      </c>
      <c r="H211">
        <f>IF(G211=1, F211, E211)</f>
        <v/>
      </c>
      <c r="I211">
        <f>IF(H210 * F_class_shares &gt; F_primary, 1, 0)</f>
        <v/>
      </c>
      <c r="J211">
        <f>IF(H210 * E_total &gt; E_inv, 1, 0)</f>
        <v/>
      </c>
      <c r="K211">
        <f>IF(H210 * D_total &gt; D_inv, 1, 0)</f>
        <v/>
      </c>
      <c r="L211">
        <f>IF(H210 * C_total &gt; C_inv, 1, 0)</f>
        <v/>
      </c>
      <c r="M211">
        <f>IF(H210 * B_total &gt; B_inv, 1, 0)</f>
        <v/>
      </c>
      <c r="N211">
        <f>IF(H210 * A_total &gt; A_inv, 1, 0)</f>
        <v/>
      </c>
      <c r="O211">
        <f>IF(H210 * Seed_total &gt; seed_inv, 1, 0)</f>
        <v/>
      </c>
    </row>
    <row r="212">
      <c r="B212">
        <f>(1-I212)*F_primary+(1-J212)*E_inv+(1-K212)*D_inv+(1-L212)*C_inv+(1-M212)*B_inv+(1-N212)*A_inv+(1-O212)*seed_inv</f>
        <v/>
      </c>
      <c r="C212">
        <f>MAX(0, F3 - B212)</f>
        <v/>
      </c>
      <c r="D212">
        <f>F1_sh+F2_sh+F3_sh+RSA_sh+NA_sh+NB_sh+I212*F_class_shares+J212*E_total+K212*D_total+L212*C_total+M212*B_total+N212*A_total+O212*Seed_total</f>
        <v/>
      </c>
      <c r="E212">
        <f>IF(D212&gt;0, C212/D212, 0)</f>
        <v/>
      </c>
      <c r="F212">
        <f>(C212 + preF_opts_iss*opt_strike)/(D212 + preF_opts_iss)</f>
        <v/>
      </c>
      <c r="G212">
        <f>IF(F212&gt;opt_strike,1,0)</f>
        <v/>
      </c>
      <c r="H212">
        <f>IF(G212=1, F212, E212)</f>
        <v/>
      </c>
      <c r="I212">
        <f>IF(H211 * F_class_shares &gt; F_primary, 1, 0)</f>
        <v/>
      </c>
      <c r="J212">
        <f>IF(H211 * E_total &gt; E_inv, 1, 0)</f>
        <v/>
      </c>
      <c r="K212">
        <f>IF(H211 * D_total &gt; D_inv, 1, 0)</f>
        <v/>
      </c>
      <c r="L212">
        <f>IF(H211 * C_total &gt; C_inv, 1, 0)</f>
        <v/>
      </c>
      <c r="M212">
        <f>IF(H211 * B_total &gt; B_inv, 1, 0)</f>
        <v/>
      </c>
      <c r="N212">
        <f>IF(H211 * A_total &gt; A_inv, 1, 0)</f>
        <v/>
      </c>
      <c r="O212">
        <f>IF(H211 * Seed_total &gt; seed_inv, 1, 0)</f>
        <v/>
      </c>
    </row>
    <row r="213">
      <c r="B213">
        <f>(1-I213)*F_primary+(1-J213)*E_inv+(1-K213)*D_inv+(1-L213)*C_inv+(1-M213)*B_inv+(1-N213)*A_inv+(1-O213)*seed_inv</f>
        <v/>
      </c>
      <c r="C213">
        <f>MAX(0, F3 - B213)</f>
        <v/>
      </c>
      <c r="D213">
        <f>F1_sh+F2_sh+F3_sh+RSA_sh+NA_sh+NB_sh+I213*F_class_shares+J213*E_total+K213*D_total+L213*C_total+M213*B_total+N213*A_total+O213*Seed_total</f>
        <v/>
      </c>
      <c r="E213">
        <f>IF(D213&gt;0, C213/D213, 0)</f>
        <v/>
      </c>
      <c r="F213">
        <f>(C213 + preF_opts_iss*opt_strike)/(D213 + preF_opts_iss)</f>
        <v/>
      </c>
      <c r="G213">
        <f>IF(F213&gt;opt_strike,1,0)</f>
        <v/>
      </c>
      <c r="H213">
        <f>IF(G213=1, F213, E213)</f>
        <v/>
      </c>
      <c r="I213">
        <f>IF(H212 * F_class_shares &gt; F_primary, 1, 0)</f>
        <v/>
      </c>
      <c r="J213">
        <f>IF(H212 * E_total &gt; E_inv, 1, 0)</f>
        <v/>
      </c>
      <c r="K213">
        <f>IF(H212 * D_total &gt; D_inv, 1, 0)</f>
        <v/>
      </c>
      <c r="L213">
        <f>IF(H212 * C_total &gt; C_inv, 1, 0)</f>
        <v/>
      </c>
      <c r="M213">
        <f>IF(H212 * B_total &gt; B_inv, 1, 0)</f>
        <v/>
      </c>
      <c r="N213">
        <f>IF(H212 * A_total &gt; A_inv, 1, 0)</f>
        <v/>
      </c>
      <c r="O213">
        <f>IF(H212 * Seed_total &gt; seed_inv, 1, 0)</f>
        <v/>
      </c>
    </row>
    <row r="214">
      <c r="B214">
        <f>(1-I214)*F_primary+(1-J214)*E_inv+(1-K214)*D_inv+(1-L214)*C_inv+(1-M214)*B_inv+(1-N214)*A_inv+(1-O214)*seed_inv</f>
        <v/>
      </c>
      <c r="C214">
        <f>MAX(0, F3 - B214)</f>
        <v/>
      </c>
      <c r="D214">
        <f>F1_sh+F2_sh+F3_sh+RSA_sh+NA_sh+NB_sh+I214*F_class_shares+J214*E_total+K214*D_total+L214*C_total+M214*B_total+N214*A_total+O214*Seed_total</f>
        <v/>
      </c>
      <c r="E214">
        <f>IF(D214&gt;0, C214/D214, 0)</f>
        <v/>
      </c>
      <c r="F214">
        <f>(C214 + preF_opts_iss*opt_strike)/(D214 + preF_opts_iss)</f>
        <v/>
      </c>
      <c r="G214">
        <f>IF(F214&gt;opt_strike,1,0)</f>
        <v/>
      </c>
      <c r="H214">
        <f>IF(G214=1, F214, E214)</f>
        <v/>
      </c>
      <c r="I214">
        <f>IF(H213 * F_class_shares &gt; F_primary, 1, 0)</f>
        <v/>
      </c>
      <c r="J214">
        <f>IF(H213 * E_total &gt; E_inv, 1, 0)</f>
        <v/>
      </c>
      <c r="K214">
        <f>IF(H213 * D_total &gt; D_inv, 1, 0)</f>
        <v/>
      </c>
      <c r="L214">
        <f>IF(H213 * C_total &gt; C_inv, 1, 0)</f>
        <v/>
      </c>
      <c r="M214">
        <f>IF(H213 * B_total &gt; B_inv, 1, 0)</f>
        <v/>
      </c>
      <c r="N214">
        <f>IF(H213 * A_total &gt; A_inv, 1, 0)</f>
        <v/>
      </c>
      <c r="O214">
        <f>IF(H213 * Seed_total &gt; seed_inv, 1, 0)</f>
        <v/>
      </c>
    </row>
    <row r="215">
      <c r="B215">
        <f>(1-I215)*F_primary+(1-J215)*E_inv+(1-K215)*D_inv+(1-L215)*C_inv+(1-M215)*B_inv+(1-N215)*A_inv+(1-O215)*seed_inv</f>
        <v/>
      </c>
      <c r="C215">
        <f>MAX(0, F3 - B215)</f>
        <v/>
      </c>
      <c r="D215">
        <f>F1_sh+F2_sh+F3_sh+RSA_sh+NA_sh+NB_sh+I215*F_class_shares+J215*E_total+K215*D_total+L215*C_total+M215*B_total+N215*A_total+O215*Seed_total</f>
        <v/>
      </c>
      <c r="E215">
        <f>IF(D215&gt;0, C215/D215, 0)</f>
        <v/>
      </c>
      <c r="F215">
        <f>(C215 + preF_opts_iss*opt_strike)/(D215 + preF_opts_iss)</f>
        <v/>
      </c>
      <c r="G215">
        <f>IF(F215&gt;opt_strike,1,0)</f>
        <v/>
      </c>
      <c r="H215">
        <f>IF(G215=1, F215, E215)</f>
        <v/>
      </c>
      <c r="I215">
        <f>IF(H214 * F_class_shares &gt; F_primary, 1, 0)</f>
        <v/>
      </c>
      <c r="J215">
        <f>IF(H214 * E_total &gt; E_inv, 1, 0)</f>
        <v/>
      </c>
      <c r="K215">
        <f>IF(H214 * D_total &gt; D_inv, 1, 0)</f>
        <v/>
      </c>
      <c r="L215">
        <f>IF(H214 * C_total &gt; C_inv, 1, 0)</f>
        <v/>
      </c>
      <c r="M215">
        <f>IF(H214 * B_total &gt; B_inv, 1, 0)</f>
        <v/>
      </c>
      <c r="N215">
        <f>IF(H214 * A_total &gt; A_inv, 1, 0)</f>
        <v/>
      </c>
      <c r="O215">
        <f>IF(H214 * Seed_total &gt; seed_inv, 1, 0)</f>
        <v/>
      </c>
    </row>
    <row r="216">
      <c r="B216">
        <f>(1-I216)*F_primary+(1-J216)*E_inv+(1-K216)*D_inv+(1-L216)*C_inv+(1-M216)*B_inv+(1-N216)*A_inv+(1-O216)*seed_inv</f>
        <v/>
      </c>
      <c r="C216">
        <f>MAX(0, F3 - B216)</f>
        <v/>
      </c>
      <c r="D216">
        <f>F1_sh+F2_sh+F3_sh+RSA_sh+NA_sh+NB_sh+I216*F_class_shares+J216*E_total+K216*D_total+L216*C_total+M216*B_total+N216*A_total+O216*Seed_total</f>
        <v/>
      </c>
      <c r="E216">
        <f>IF(D216&gt;0, C216/D216, 0)</f>
        <v/>
      </c>
      <c r="F216">
        <f>(C216 + preF_opts_iss*opt_strike)/(D216 + preF_opts_iss)</f>
        <v/>
      </c>
      <c r="G216">
        <f>IF(F216&gt;opt_strike,1,0)</f>
        <v/>
      </c>
      <c r="H216">
        <f>IF(G216=1, F216, E216)</f>
        <v/>
      </c>
      <c r="I216">
        <f>IF(H215 * F_class_shares &gt; F_primary, 1, 0)</f>
        <v/>
      </c>
      <c r="J216">
        <f>IF(H215 * E_total &gt; E_inv, 1, 0)</f>
        <v/>
      </c>
      <c r="K216">
        <f>IF(H215 * D_total &gt; D_inv, 1, 0)</f>
        <v/>
      </c>
      <c r="L216">
        <f>IF(H215 * C_total &gt; C_inv, 1, 0)</f>
        <v/>
      </c>
      <c r="M216">
        <f>IF(H215 * B_total &gt; B_inv, 1, 0)</f>
        <v/>
      </c>
      <c r="N216">
        <f>IF(H215 * A_total &gt; A_inv, 1, 0)</f>
        <v/>
      </c>
      <c r="O216">
        <f>IF(H215 * Seed_total &gt; seed_inv, 1, 0)</f>
        <v/>
      </c>
    </row>
    <row r="217">
      <c r="B217">
        <f>(1-I217)*F_primary+(1-J217)*E_inv+(1-K217)*D_inv+(1-L217)*C_inv+(1-M217)*B_inv+(1-N217)*A_inv+(1-O217)*seed_inv</f>
        <v/>
      </c>
      <c r="C217">
        <f>MAX(0, F3 - B217)</f>
        <v/>
      </c>
      <c r="D217">
        <f>F1_sh+F2_sh+F3_sh+RSA_sh+NA_sh+NB_sh+I217*F_class_shares+J217*E_total+K217*D_total+L217*C_total+M217*B_total+N217*A_total+O217*Seed_total</f>
        <v/>
      </c>
      <c r="E217">
        <f>IF(D217&gt;0, C217/D217, 0)</f>
        <v/>
      </c>
      <c r="F217">
        <f>(C217 + preF_opts_iss*opt_strike)/(D217 + preF_opts_iss)</f>
        <v/>
      </c>
      <c r="G217">
        <f>IF(F217&gt;opt_strike,1,0)</f>
        <v/>
      </c>
      <c r="H217">
        <f>IF(G217=1, F217, E217)</f>
        <v/>
      </c>
      <c r="I217">
        <f>IF(H216 * F_class_shares &gt; F_primary, 1, 0)</f>
        <v/>
      </c>
      <c r="J217">
        <f>IF(H216 * E_total &gt; E_inv, 1, 0)</f>
        <v/>
      </c>
      <c r="K217">
        <f>IF(H216 * D_total &gt; D_inv, 1, 0)</f>
        <v/>
      </c>
      <c r="L217">
        <f>IF(H216 * C_total &gt; C_inv, 1, 0)</f>
        <v/>
      </c>
      <c r="M217">
        <f>IF(H216 * B_total &gt; B_inv, 1, 0)</f>
        <v/>
      </c>
      <c r="N217">
        <f>IF(H216 * A_total &gt; A_inv, 1, 0)</f>
        <v/>
      </c>
      <c r="O217">
        <f>IF(H216 * Seed_total &gt; seed_inv, 1, 0)</f>
        <v/>
      </c>
    </row>
    <row r="218">
      <c r="B218">
        <f>(1-I218)*F_primary+(1-J218)*E_inv+(1-K218)*D_inv+(1-L218)*C_inv+(1-M218)*B_inv+(1-N218)*A_inv+(1-O218)*seed_inv</f>
        <v/>
      </c>
      <c r="C218">
        <f>MAX(0, F3 - B218)</f>
        <v/>
      </c>
      <c r="D218">
        <f>F1_sh+F2_sh+F3_sh+RSA_sh+NA_sh+NB_sh+I218*F_class_shares+J218*E_total+K218*D_total+L218*C_total+M218*B_total+N218*A_total+O218*Seed_total</f>
        <v/>
      </c>
      <c r="E218">
        <f>IF(D218&gt;0, C218/D218, 0)</f>
        <v/>
      </c>
      <c r="F218">
        <f>(C218 + preF_opts_iss*opt_strike)/(D218 + preF_opts_iss)</f>
        <v/>
      </c>
      <c r="G218">
        <f>IF(F218&gt;opt_strike,1,0)</f>
        <v/>
      </c>
      <c r="H218">
        <f>IF(G218=1, F218, E218)</f>
        <v/>
      </c>
      <c r="I218">
        <f>IF(H217 * F_class_shares &gt; F_primary, 1, 0)</f>
        <v/>
      </c>
      <c r="J218">
        <f>IF(H217 * E_total &gt; E_inv, 1, 0)</f>
        <v/>
      </c>
      <c r="K218">
        <f>IF(H217 * D_total &gt; D_inv, 1, 0)</f>
        <v/>
      </c>
      <c r="L218">
        <f>IF(H217 * C_total &gt; C_inv, 1, 0)</f>
        <v/>
      </c>
      <c r="M218">
        <f>IF(H217 * B_total &gt; B_inv, 1, 0)</f>
        <v/>
      </c>
      <c r="N218">
        <f>IF(H217 * A_total &gt; A_inv, 1, 0)</f>
        <v/>
      </c>
      <c r="O218">
        <f>IF(H217 * Seed_total &gt; seed_inv, 1, 0)</f>
        <v/>
      </c>
    </row>
    <row r="219">
      <c r="B219">
        <f>(1-I219)*F_primary+(1-J219)*E_inv+(1-K219)*D_inv+(1-L219)*C_inv+(1-M219)*B_inv+(1-N219)*A_inv+(1-O219)*seed_inv</f>
        <v/>
      </c>
      <c r="C219">
        <f>MAX(0, F3 - B219)</f>
        <v/>
      </c>
      <c r="D219">
        <f>F1_sh+F2_sh+F3_sh+RSA_sh+NA_sh+NB_sh+I219*F_class_shares+J219*E_total+K219*D_total+L219*C_total+M219*B_total+N219*A_total+O219*Seed_total</f>
        <v/>
      </c>
      <c r="E219">
        <f>IF(D219&gt;0, C219/D219, 0)</f>
        <v/>
      </c>
      <c r="F219">
        <f>(C219 + preF_opts_iss*opt_strike)/(D219 + preF_opts_iss)</f>
        <v/>
      </c>
      <c r="G219">
        <f>IF(F219&gt;opt_strike,1,0)</f>
        <v/>
      </c>
      <c r="H219">
        <f>IF(G219=1, F219, E219)</f>
        <v/>
      </c>
      <c r="I219">
        <f>IF(H218 * F_class_shares &gt; F_primary, 1, 0)</f>
        <v/>
      </c>
      <c r="J219">
        <f>IF(H218 * E_total &gt; E_inv, 1, 0)</f>
        <v/>
      </c>
      <c r="K219">
        <f>IF(H218 * D_total &gt; D_inv, 1, 0)</f>
        <v/>
      </c>
      <c r="L219">
        <f>IF(H218 * C_total &gt; C_inv, 1, 0)</f>
        <v/>
      </c>
      <c r="M219">
        <f>IF(H218 * B_total &gt; B_inv, 1, 0)</f>
        <v/>
      </c>
      <c r="N219">
        <f>IF(H218 * A_total &gt; A_inv, 1, 0)</f>
        <v/>
      </c>
      <c r="O219">
        <f>IF(H218 * Seed_total &gt; seed_inv, 1, 0)</f>
        <v/>
      </c>
    </row>
    <row r="220">
      <c r="B220">
        <f>(1-I220)*F_primary+(1-J220)*E_inv+(1-K220)*D_inv+(1-L220)*C_inv+(1-M220)*B_inv+(1-N220)*A_inv+(1-O220)*seed_inv</f>
        <v/>
      </c>
      <c r="C220">
        <f>MAX(0, F3 - B220)</f>
        <v/>
      </c>
      <c r="D220">
        <f>F1_sh+F2_sh+F3_sh+RSA_sh+NA_sh+NB_sh+I220*F_class_shares+J220*E_total+K220*D_total+L220*C_total+M220*B_total+N220*A_total+O220*Seed_total</f>
        <v/>
      </c>
      <c r="E220">
        <f>IF(D220&gt;0, C220/D220, 0)</f>
        <v/>
      </c>
      <c r="F220">
        <f>(C220 + preF_opts_iss*opt_strike)/(D220 + preF_opts_iss)</f>
        <v/>
      </c>
      <c r="G220">
        <f>IF(F220&gt;opt_strike,1,0)</f>
        <v/>
      </c>
      <c r="H220">
        <f>IF(G220=1, F220, E220)</f>
        <v/>
      </c>
      <c r="I220">
        <f>IF(H219 * F_class_shares &gt; F_primary, 1, 0)</f>
        <v/>
      </c>
      <c r="J220">
        <f>IF(H219 * E_total &gt; E_inv, 1, 0)</f>
        <v/>
      </c>
      <c r="K220">
        <f>IF(H219 * D_total &gt; D_inv, 1, 0)</f>
        <v/>
      </c>
      <c r="L220">
        <f>IF(H219 * C_total &gt; C_inv, 1, 0)</f>
        <v/>
      </c>
      <c r="M220">
        <f>IF(H219 * B_total &gt; B_inv, 1, 0)</f>
        <v/>
      </c>
      <c r="N220">
        <f>IF(H219 * A_total &gt; A_inv, 1, 0)</f>
        <v/>
      </c>
      <c r="O220">
        <f>IF(H219 * Seed_total &gt; seed_inv, 1, 0)</f>
        <v/>
      </c>
    </row>
    <row r="221">
      <c r="B221">
        <f>(1-I221)*F_primary+(1-J221)*E_inv+(1-K221)*D_inv+(1-L221)*C_inv+(1-M221)*B_inv+(1-N221)*A_inv+(1-O221)*seed_inv</f>
        <v/>
      </c>
      <c r="C221">
        <f>MAX(0, F3 - B221)</f>
        <v/>
      </c>
      <c r="D221">
        <f>F1_sh+F2_sh+F3_sh+RSA_sh+NA_sh+NB_sh+I221*F_class_shares+J221*E_total+K221*D_total+L221*C_total+M221*B_total+N221*A_total+O221*Seed_total</f>
        <v/>
      </c>
      <c r="E221">
        <f>IF(D221&gt;0, C221/D221, 0)</f>
        <v/>
      </c>
      <c r="F221">
        <f>(C221 + preF_opts_iss*opt_strike)/(D221 + preF_opts_iss)</f>
        <v/>
      </c>
      <c r="G221">
        <f>IF(F221&gt;opt_strike,1,0)</f>
        <v/>
      </c>
      <c r="H221">
        <f>IF(G221=1, F221, E221)</f>
        <v/>
      </c>
      <c r="I221">
        <f>IF(H220 * F_class_shares &gt; F_primary, 1, 0)</f>
        <v/>
      </c>
      <c r="J221">
        <f>IF(H220 * E_total &gt; E_inv, 1, 0)</f>
        <v/>
      </c>
      <c r="K221">
        <f>IF(H220 * D_total &gt; D_inv, 1, 0)</f>
        <v/>
      </c>
      <c r="L221">
        <f>IF(H220 * C_total &gt; C_inv, 1, 0)</f>
        <v/>
      </c>
      <c r="M221">
        <f>IF(H220 * B_total &gt; B_inv, 1, 0)</f>
        <v/>
      </c>
      <c r="N221">
        <f>IF(H220 * A_total &gt; A_inv, 1, 0)</f>
        <v/>
      </c>
      <c r="O221">
        <f>IF(H220 * Seed_total &gt; seed_inv, 1, 0)</f>
        <v/>
      </c>
    </row>
    <row r="222">
      <c r="B222">
        <f>(1-I222)*F_primary+(1-J222)*E_inv+(1-K222)*D_inv+(1-L222)*C_inv+(1-M222)*B_inv+(1-N222)*A_inv+(1-O222)*seed_inv</f>
        <v/>
      </c>
      <c r="C222">
        <f>MAX(0, F3 - B222)</f>
        <v/>
      </c>
      <c r="D222">
        <f>F1_sh+F2_sh+F3_sh+RSA_sh+NA_sh+NB_sh+I222*F_class_shares+J222*E_total+K222*D_total+L222*C_total+M222*B_total+N222*A_total+O222*Seed_total</f>
        <v/>
      </c>
      <c r="E222">
        <f>IF(D222&gt;0, C222/D222, 0)</f>
        <v/>
      </c>
      <c r="F222">
        <f>(C222 + preF_opts_iss*opt_strike)/(D222 + preF_opts_iss)</f>
        <v/>
      </c>
      <c r="G222">
        <f>IF(F222&gt;opt_strike,1,0)</f>
        <v/>
      </c>
      <c r="H222">
        <f>IF(G222=1, F222, E222)</f>
        <v/>
      </c>
      <c r="I222">
        <f>IF(H221 * F_class_shares &gt; F_primary, 1, 0)</f>
        <v/>
      </c>
      <c r="J222">
        <f>IF(H221 * E_total &gt; E_inv, 1, 0)</f>
        <v/>
      </c>
      <c r="K222">
        <f>IF(H221 * D_total &gt; D_inv, 1, 0)</f>
        <v/>
      </c>
      <c r="L222">
        <f>IF(H221 * C_total &gt; C_inv, 1, 0)</f>
        <v/>
      </c>
      <c r="M222">
        <f>IF(H221 * B_total &gt; B_inv, 1, 0)</f>
        <v/>
      </c>
      <c r="N222">
        <f>IF(H221 * A_total &gt; A_inv, 1, 0)</f>
        <v/>
      </c>
      <c r="O222">
        <f>IF(H221 * Seed_total &gt; seed_inv, 1, 0)</f>
        <v/>
      </c>
    </row>
    <row r="223">
      <c r="B223">
        <f>(1-I223)*F_primary+(1-J223)*E_inv+(1-K223)*D_inv+(1-L223)*C_inv+(1-M223)*B_inv+(1-N223)*A_inv+(1-O223)*seed_inv</f>
        <v/>
      </c>
      <c r="C223">
        <f>MAX(0, F3 - B223)</f>
        <v/>
      </c>
      <c r="D223">
        <f>F1_sh+F2_sh+F3_sh+RSA_sh+NA_sh+NB_sh+I223*F_class_shares+J223*E_total+K223*D_total+L223*C_total+M223*B_total+N223*A_total+O223*Seed_total</f>
        <v/>
      </c>
      <c r="E223">
        <f>IF(D223&gt;0, C223/D223, 0)</f>
        <v/>
      </c>
      <c r="F223">
        <f>(C223 + preF_opts_iss*opt_strike)/(D223 + preF_opts_iss)</f>
        <v/>
      </c>
      <c r="G223">
        <f>IF(F223&gt;opt_strike,1,0)</f>
        <v/>
      </c>
      <c r="H223">
        <f>IF(G223=1, F223, E223)</f>
        <v/>
      </c>
      <c r="I223">
        <f>IF(H222 * F_class_shares &gt; F_primary, 1, 0)</f>
        <v/>
      </c>
      <c r="J223">
        <f>IF(H222 * E_total &gt; E_inv, 1, 0)</f>
        <v/>
      </c>
      <c r="K223">
        <f>IF(H222 * D_total &gt; D_inv, 1, 0)</f>
        <v/>
      </c>
      <c r="L223">
        <f>IF(H222 * C_total &gt; C_inv, 1, 0)</f>
        <v/>
      </c>
      <c r="M223">
        <f>IF(H222 * B_total &gt; B_inv, 1, 0)</f>
        <v/>
      </c>
      <c r="N223">
        <f>IF(H222 * A_total &gt; A_inv, 1, 0)</f>
        <v/>
      </c>
      <c r="O223">
        <f>IF(H222 * Seed_total &gt; seed_inv, 1, 0)</f>
        <v/>
      </c>
    </row>
    <row r="224">
      <c r="B224">
        <f>(1-I224)*F_primary+(1-J224)*E_inv+(1-K224)*D_inv+(1-L224)*C_inv+(1-M224)*B_inv+(1-N224)*A_inv+(1-O224)*seed_inv</f>
        <v/>
      </c>
      <c r="C224">
        <f>MAX(0, F3 - B224)</f>
        <v/>
      </c>
      <c r="D224">
        <f>F1_sh+F2_sh+F3_sh+RSA_sh+NA_sh+NB_sh+I224*F_class_shares+J224*E_total+K224*D_total+L224*C_total+M224*B_total+N224*A_total+O224*Seed_total</f>
        <v/>
      </c>
      <c r="E224">
        <f>IF(D224&gt;0, C224/D224, 0)</f>
        <v/>
      </c>
      <c r="F224">
        <f>(C224 + preF_opts_iss*opt_strike)/(D224 + preF_opts_iss)</f>
        <v/>
      </c>
      <c r="G224">
        <f>IF(F224&gt;opt_strike,1,0)</f>
        <v/>
      </c>
      <c r="H224">
        <f>IF(G224=1, F224, E224)</f>
        <v/>
      </c>
      <c r="I224">
        <f>IF(H223 * F_class_shares &gt; F_primary, 1, 0)</f>
        <v/>
      </c>
      <c r="J224">
        <f>IF(H223 * E_total &gt; E_inv, 1, 0)</f>
        <v/>
      </c>
      <c r="K224">
        <f>IF(H223 * D_total &gt; D_inv, 1, 0)</f>
        <v/>
      </c>
      <c r="L224">
        <f>IF(H223 * C_total &gt; C_inv, 1, 0)</f>
        <v/>
      </c>
      <c r="M224">
        <f>IF(H223 * B_total &gt; B_inv, 1, 0)</f>
        <v/>
      </c>
      <c r="N224">
        <f>IF(H223 * A_total &gt; A_inv, 1, 0)</f>
        <v/>
      </c>
      <c r="O224">
        <f>IF(H223 * Seed_total &gt; seed_inv, 1, 0)</f>
        <v/>
      </c>
    </row>
    <row r="225">
      <c r="B225">
        <f>(1-I225)*F_primary+(1-J225)*E_inv+(1-K225)*D_inv+(1-L225)*C_inv+(1-M225)*B_inv+(1-N225)*A_inv+(1-O225)*seed_inv</f>
        <v/>
      </c>
      <c r="C225">
        <f>MAX(0, F3 - B225)</f>
        <v/>
      </c>
      <c r="D225">
        <f>F1_sh+F2_sh+F3_sh+RSA_sh+NA_sh+NB_sh+I225*F_class_shares+J225*E_total+K225*D_total+L225*C_total+M225*B_total+N225*A_total+O225*Seed_total</f>
        <v/>
      </c>
      <c r="E225">
        <f>IF(D225&gt;0, C225/D225, 0)</f>
        <v/>
      </c>
      <c r="F225">
        <f>(C225 + preF_opts_iss*opt_strike)/(D225 + preF_opts_iss)</f>
        <v/>
      </c>
      <c r="G225">
        <f>IF(F225&gt;opt_strike,1,0)</f>
        <v/>
      </c>
      <c r="H225">
        <f>IF(G225=1, F225, E225)</f>
        <v/>
      </c>
      <c r="I225">
        <f>IF(H224 * F_class_shares &gt; F_primary, 1, 0)</f>
        <v/>
      </c>
      <c r="J225">
        <f>IF(H224 * E_total &gt; E_inv, 1, 0)</f>
        <v/>
      </c>
      <c r="K225">
        <f>IF(H224 * D_total &gt; D_inv, 1, 0)</f>
        <v/>
      </c>
      <c r="L225">
        <f>IF(H224 * C_total &gt; C_inv, 1, 0)</f>
        <v/>
      </c>
      <c r="M225">
        <f>IF(H224 * B_total &gt; B_inv, 1, 0)</f>
        <v/>
      </c>
      <c r="N225">
        <f>IF(H224 * A_total &gt; A_inv, 1, 0)</f>
        <v/>
      </c>
      <c r="O225">
        <f>IF(H224 * Seed_total &gt; seed_inv, 1, 0)</f>
        <v/>
      </c>
    </row>
    <row r="226">
      <c r="B226">
        <f>(1-I226)*F_primary+(1-J226)*E_inv+(1-K226)*D_inv+(1-L226)*C_inv+(1-M226)*B_inv+(1-N226)*A_inv+(1-O226)*seed_inv</f>
        <v/>
      </c>
      <c r="C226">
        <f>MAX(0, F3 - B226)</f>
        <v/>
      </c>
      <c r="D226">
        <f>F1_sh+F2_sh+F3_sh+RSA_sh+NA_sh+NB_sh+I226*F_class_shares+J226*E_total+K226*D_total+L226*C_total+M226*B_total+N226*A_total+O226*Seed_total</f>
        <v/>
      </c>
      <c r="E226">
        <f>IF(D226&gt;0, C226/D226, 0)</f>
        <v/>
      </c>
      <c r="F226">
        <f>(C226 + preF_opts_iss*opt_strike)/(D226 + preF_opts_iss)</f>
        <v/>
      </c>
      <c r="G226">
        <f>IF(F226&gt;opt_strike,1,0)</f>
        <v/>
      </c>
      <c r="H226">
        <f>IF(G226=1, F226, E226)</f>
        <v/>
      </c>
      <c r="I226">
        <f>IF(H225 * F_class_shares &gt; F_primary, 1, 0)</f>
        <v/>
      </c>
      <c r="J226">
        <f>IF(H225 * E_total &gt; E_inv, 1, 0)</f>
        <v/>
      </c>
      <c r="K226">
        <f>IF(H225 * D_total &gt; D_inv, 1, 0)</f>
        <v/>
      </c>
      <c r="L226">
        <f>IF(H225 * C_total &gt; C_inv, 1, 0)</f>
        <v/>
      </c>
      <c r="M226">
        <f>IF(H225 * B_total &gt; B_inv, 1, 0)</f>
        <v/>
      </c>
      <c r="N226">
        <f>IF(H225 * A_total &gt; A_inv, 1, 0)</f>
        <v/>
      </c>
      <c r="O226">
        <f>IF(H225 * Seed_total &gt; seed_inv, 1, 0)</f>
        <v/>
      </c>
    </row>
    <row r="227">
      <c r="B227">
        <f>(1-I227)*F_primary+(1-J227)*E_inv+(1-K227)*D_inv+(1-L227)*C_inv+(1-M227)*B_inv+(1-N227)*A_inv+(1-O227)*seed_inv</f>
        <v/>
      </c>
      <c r="C227">
        <f>MAX(0, F3 - B227)</f>
        <v/>
      </c>
      <c r="D227">
        <f>F1_sh+F2_sh+F3_sh+RSA_sh+NA_sh+NB_sh+I227*F_class_shares+J227*E_total+K227*D_total+L227*C_total+M227*B_total+N227*A_total+O227*Seed_total</f>
        <v/>
      </c>
      <c r="E227">
        <f>IF(D227&gt;0, C227/D227, 0)</f>
        <v/>
      </c>
      <c r="F227">
        <f>(C227 + preF_opts_iss*opt_strike)/(D227 + preF_opts_iss)</f>
        <v/>
      </c>
      <c r="G227">
        <f>IF(F227&gt;opt_strike,1,0)</f>
        <v/>
      </c>
      <c r="H227">
        <f>IF(G227=1, F227, E227)</f>
        <v/>
      </c>
      <c r="I227">
        <f>IF(H226 * F_class_shares &gt; F_primary, 1, 0)</f>
        <v/>
      </c>
      <c r="J227">
        <f>IF(H226 * E_total &gt; E_inv, 1, 0)</f>
        <v/>
      </c>
      <c r="K227">
        <f>IF(H226 * D_total &gt; D_inv, 1, 0)</f>
        <v/>
      </c>
      <c r="L227">
        <f>IF(H226 * C_total &gt; C_inv, 1, 0)</f>
        <v/>
      </c>
      <c r="M227">
        <f>IF(H226 * B_total &gt; B_inv, 1, 0)</f>
        <v/>
      </c>
      <c r="N227">
        <f>IF(H226 * A_total &gt; A_inv, 1, 0)</f>
        <v/>
      </c>
      <c r="O227">
        <f>IF(H226 * Seed_total &gt; seed_inv, 1, 0)</f>
        <v/>
      </c>
    </row>
    <row r="228">
      <c r="B228">
        <f>(1-I228)*F_primary+(1-J228)*E_inv+(1-K228)*D_inv+(1-L228)*C_inv+(1-M228)*B_inv+(1-N228)*A_inv+(1-O228)*seed_inv</f>
        <v/>
      </c>
      <c r="C228">
        <f>MAX(0, F3 - B228)</f>
        <v/>
      </c>
      <c r="D228">
        <f>F1_sh+F2_sh+F3_sh+RSA_sh+NA_sh+NB_sh+I228*F_class_shares+J228*E_total+K228*D_total+L228*C_total+M228*B_total+N228*A_total+O228*Seed_total</f>
        <v/>
      </c>
      <c r="E228">
        <f>IF(D228&gt;0, C228/D228, 0)</f>
        <v/>
      </c>
      <c r="F228">
        <f>(C228 + preF_opts_iss*opt_strike)/(D228 + preF_opts_iss)</f>
        <v/>
      </c>
      <c r="G228">
        <f>IF(F228&gt;opt_strike,1,0)</f>
        <v/>
      </c>
      <c r="H228">
        <f>IF(G228=1, F228, E228)</f>
        <v/>
      </c>
      <c r="I228">
        <f>IF(H227 * F_class_shares &gt; F_primary, 1, 0)</f>
        <v/>
      </c>
      <c r="J228">
        <f>IF(H227 * E_total &gt; E_inv, 1, 0)</f>
        <v/>
      </c>
      <c r="K228">
        <f>IF(H227 * D_total &gt; D_inv, 1, 0)</f>
        <v/>
      </c>
      <c r="L228">
        <f>IF(H227 * C_total &gt; C_inv, 1, 0)</f>
        <v/>
      </c>
      <c r="M228">
        <f>IF(H227 * B_total &gt; B_inv, 1, 0)</f>
        <v/>
      </c>
      <c r="N228">
        <f>IF(H227 * A_total &gt; A_inv, 1, 0)</f>
        <v/>
      </c>
      <c r="O228">
        <f>IF(H227 * Seed_total &gt; seed_inv, 1, 0)</f>
        <v/>
      </c>
    </row>
    <row r="229">
      <c r="B229">
        <f>(1-I229)*F_primary+(1-J229)*E_inv+(1-K229)*D_inv+(1-L229)*C_inv+(1-M229)*B_inv+(1-N229)*A_inv+(1-O229)*seed_inv</f>
        <v/>
      </c>
      <c r="C229">
        <f>MAX(0, F3 - B229)</f>
        <v/>
      </c>
      <c r="D229">
        <f>F1_sh+F2_sh+F3_sh+RSA_sh+NA_sh+NB_sh+I229*F_class_shares+J229*E_total+K229*D_total+L229*C_total+M229*B_total+N229*A_total+O229*Seed_total</f>
        <v/>
      </c>
      <c r="E229">
        <f>IF(D229&gt;0, C229/D229, 0)</f>
        <v/>
      </c>
      <c r="F229">
        <f>(C229 + preF_opts_iss*opt_strike)/(D229 + preF_opts_iss)</f>
        <v/>
      </c>
      <c r="G229">
        <f>IF(F229&gt;opt_strike,1,0)</f>
        <v/>
      </c>
      <c r="H229">
        <f>IF(G229=1, F229, E229)</f>
        <v/>
      </c>
      <c r="I229">
        <f>IF(H228 * F_class_shares &gt; F_primary, 1, 0)</f>
        <v/>
      </c>
      <c r="J229">
        <f>IF(H228 * E_total &gt; E_inv, 1, 0)</f>
        <v/>
      </c>
      <c r="K229">
        <f>IF(H228 * D_total &gt; D_inv, 1, 0)</f>
        <v/>
      </c>
      <c r="L229">
        <f>IF(H228 * C_total &gt; C_inv, 1, 0)</f>
        <v/>
      </c>
      <c r="M229">
        <f>IF(H228 * B_total &gt; B_inv, 1, 0)</f>
        <v/>
      </c>
      <c r="N229">
        <f>IF(H228 * A_total &gt; A_inv, 1, 0)</f>
        <v/>
      </c>
      <c r="O229">
        <f>IF(H228 * Seed_total &gt; seed_inv, 1, 0)</f>
        <v/>
      </c>
    </row>
    <row r="230">
      <c r="B230">
        <f>(1-I230)*F_primary+(1-J230)*E_inv+(1-K230)*D_inv+(1-L230)*C_inv+(1-M230)*B_inv+(1-N230)*A_inv+(1-O230)*seed_inv</f>
        <v/>
      </c>
      <c r="C230">
        <f>MAX(0, F3 - B230)</f>
        <v/>
      </c>
      <c r="D230">
        <f>F1_sh+F2_sh+F3_sh+RSA_sh+NA_sh+NB_sh+I230*F_class_shares+J230*E_total+K230*D_total+L230*C_total+M230*B_total+N230*A_total+O230*Seed_total</f>
        <v/>
      </c>
      <c r="E230">
        <f>IF(D230&gt;0, C230/D230, 0)</f>
        <v/>
      </c>
      <c r="F230">
        <f>(C230 + preF_opts_iss*opt_strike)/(D230 + preF_opts_iss)</f>
        <v/>
      </c>
      <c r="G230">
        <f>IF(F230&gt;opt_strike,1,0)</f>
        <v/>
      </c>
      <c r="H230">
        <f>IF(G230=1, F230, E230)</f>
        <v/>
      </c>
      <c r="I230">
        <f>IF(H229 * F_class_shares &gt; F_primary, 1, 0)</f>
        <v/>
      </c>
      <c r="J230">
        <f>IF(H229 * E_total &gt; E_inv, 1, 0)</f>
        <v/>
      </c>
      <c r="K230">
        <f>IF(H229 * D_total &gt; D_inv, 1, 0)</f>
        <v/>
      </c>
      <c r="L230">
        <f>IF(H229 * C_total &gt; C_inv, 1, 0)</f>
        <v/>
      </c>
      <c r="M230">
        <f>IF(H229 * B_total &gt; B_inv, 1, 0)</f>
        <v/>
      </c>
      <c r="N230">
        <f>IF(H229 * A_total &gt; A_inv, 1, 0)</f>
        <v/>
      </c>
      <c r="O230">
        <f>IF(H229 * Seed_total &gt; seed_inv, 1, 0)</f>
        <v/>
      </c>
    </row>
    <row r="231">
      <c r="B231">
        <f>(1-I231)*F_primary+(1-J231)*E_inv+(1-K231)*D_inv+(1-L231)*C_inv+(1-M231)*B_inv+(1-N231)*A_inv+(1-O231)*seed_inv</f>
        <v/>
      </c>
      <c r="C231">
        <f>MAX(0, F3 - B231)</f>
        <v/>
      </c>
      <c r="D231">
        <f>F1_sh+F2_sh+F3_sh+RSA_sh+NA_sh+NB_sh+I231*F_class_shares+J231*E_total+K231*D_total+L231*C_total+M231*B_total+N231*A_total+O231*Seed_total</f>
        <v/>
      </c>
      <c r="E231">
        <f>IF(D231&gt;0, C231/D231, 0)</f>
        <v/>
      </c>
      <c r="F231">
        <f>(C231 + preF_opts_iss*opt_strike)/(D231 + preF_opts_iss)</f>
        <v/>
      </c>
      <c r="G231">
        <f>IF(F231&gt;opt_strike,1,0)</f>
        <v/>
      </c>
      <c r="H231">
        <f>IF(G231=1, F231, E231)</f>
        <v/>
      </c>
      <c r="I231">
        <f>IF(H230 * F_class_shares &gt; F_primary, 1, 0)</f>
        <v/>
      </c>
      <c r="J231">
        <f>IF(H230 * E_total &gt; E_inv, 1, 0)</f>
        <v/>
      </c>
      <c r="K231">
        <f>IF(H230 * D_total &gt; D_inv, 1, 0)</f>
        <v/>
      </c>
      <c r="L231">
        <f>IF(H230 * C_total &gt; C_inv, 1, 0)</f>
        <v/>
      </c>
      <c r="M231">
        <f>IF(H230 * B_total &gt; B_inv, 1, 0)</f>
        <v/>
      </c>
      <c r="N231">
        <f>IF(H230 * A_total &gt; A_inv, 1, 0)</f>
        <v/>
      </c>
      <c r="O231">
        <f>IF(H230 * Seed_total &gt; seed_inv, 1, 0)</f>
        <v/>
      </c>
    </row>
    <row r="232">
      <c r="B232">
        <f>(1-I232)*F_primary+(1-J232)*E_inv+(1-K232)*D_inv+(1-L232)*C_inv+(1-M232)*B_inv+(1-N232)*A_inv+(1-O232)*seed_inv</f>
        <v/>
      </c>
      <c r="C232">
        <f>MAX(0, F3 - B232)</f>
        <v/>
      </c>
      <c r="D232">
        <f>F1_sh+F2_sh+F3_sh+RSA_sh+NA_sh+NB_sh+I232*F_class_shares+J232*E_total+K232*D_total+L232*C_total+M232*B_total+N232*A_total+O232*Seed_total</f>
        <v/>
      </c>
      <c r="E232">
        <f>IF(D232&gt;0, C232/D232, 0)</f>
        <v/>
      </c>
      <c r="F232">
        <f>(C232 + preF_opts_iss*opt_strike)/(D232 + preF_opts_iss)</f>
        <v/>
      </c>
      <c r="G232">
        <f>IF(F232&gt;opt_strike,1,0)</f>
        <v/>
      </c>
      <c r="H232">
        <f>IF(G232=1, F232, E232)</f>
        <v/>
      </c>
      <c r="I232">
        <f>IF(H231 * F_class_shares &gt; F_primary, 1, 0)</f>
        <v/>
      </c>
      <c r="J232">
        <f>IF(H231 * E_total &gt; E_inv, 1, 0)</f>
        <v/>
      </c>
      <c r="K232">
        <f>IF(H231 * D_total &gt; D_inv, 1, 0)</f>
        <v/>
      </c>
      <c r="L232">
        <f>IF(H231 * C_total &gt; C_inv, 1, 0)</f>
        <v/>
      </c>
      <c r="M232">
        <f>IF(H231 * B_total &gt; B_inv, 1, 0)</f>
        <v/>
      </c>
      <c r="N232">
        <f>IF(H231 * A_total &gt; A_inv, 1, 0)</f>
        <v/>
      </c>
      <c r="O232">
        <f>IF(H231 * Seed_total &gt; seed_inv, 1, 0)</f>
        <v/>
      </c>
    </row>
    <row r="233">
      <c r="B233">
        <f>(1-I233)*F_primary+(1-J233)*E_inv+(1-K233)*D_inv+(1-L233)*C_inv+(1-M233)*B_inv+(1-N233)*A_inv+(1-O233)*seed_inv</f>
        <v/>
      </c>
      <c r="C233">
        <f>MAX(0, F3 - B233)</f>
        <v/>
      </c>
      <c r="D233">
        <f>F1_sh+F2_sh+F3_sh+RSA_sh+NA_sh+NB_sh+I233*F_class_shares+J233*E_total+K233*D_total+L233*C_total+M233*B_total+N233*A_total+O233*Seed_total</f>
        <v/>
      </c>
      <c r="E233">
        <f>IF(D233&gt;0, C233/D233, 0)</f>
        <v/>
      </c>
      <c r="F233">
        <f>(C233 + preF_opts_iss*opt_strike)/(D233 + preF_opts_iss)</f>
        <v/>
      </c>
      <c r="G233">
        <f>IF(F233&gt;opt_strike,1,0)</f>
        <v/>
      </c>
      <c r="H233">
        <f>IF(G233=1, F233, E233)</f>
        <v/>
      </c>
      <c r="I233">
        <f>IF(H232 * F_class_shares &gt; F_primary, 1, 0)</f>
        <v/>
      </c>
      <c r="J233">
        <f>IF(H232 * E_total &gt; E_inv, 1, 0)</f>
        <v/>
      </c>
      <c r="K233">
        <f>IF(H232 * D_total &gt; D_inv, 1, 0)</f>
        <v/>
      </c>
      <c r="L233">
        <f>IF(H232 * C_total &gt; C_inv, 1, 0)</f>
        <v/>
      </c>
      <c r="M233">
        <f>IF(H232 * B_total &gt; B_inv, 1, 0)</f>
        <v/>
      </c>
      <c r="N233">
        <f>IF(H232 * A_total &gt; A_inv, 1, 0)</f>
        <v/>
      </c>
      <c r="O233">
        <f>IF(H232 * Seed_total &gt; seed_inv, 1, 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8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Sensitivity — ESOP × Pre-money @ $2B exit</t>
        </is>
      </c>
    </row>
    <row r="3">
      <c r="A3" t="inlineStr">
        <is>
          <t>Each cell shows our $10M check's post-F ownership % and $ proceeds at $2B exit.</t>
        </is>
      </c>
    </row>
    <row r="4">
      <c r="A4" t="inlineStr">
        <is>
          <t>Each cell re-solves the full fixed point (F_PPS, ESOP, AD on D&amp;E, both note branches) from scratch.</t>
        </is>
      </c>
    </row>
    <row r="6">
      <c r="A6" s="2" t="inlineStr">
        <is>
          <t>ESOP ↓ / Pre-money →</t>
        </is>
      </c>
      <c r="B6" s="7">
        <f>sens_p_lo</f>
        <v/>
      </c>
      <c r="C6" s="7">
        <f>sens_p_md</f>
        <v/>
      </c>
      <c r="D6" s="7">
        <f>sens_p_hi</f>
        <v/>
      </c>
    </row>
    <row r="7">
      <c r="A7" s="10">
        <f>sens_e_lo</f>
        <v/>
      </c>
      <c r="B7">
        <f>TEXT(D31,"0.0000%")&amp;" / "&amp;TEXT(H31*our_check/F_primary,"$#,##0")</f>
        <v/>
      </c>
      <c r="C7">
        <f>TEXT(D71,"0.0000%")&amp;" / "&amp;TEXT(H71*our_check/F_primary,"$#,##0")</f>
        <v/>
      </c>
      <c r="D7">
        <f>TEXT(D111,"0.0000%")&amp;" / "&amp;TEXT(H111*our_check/F_primary,"$#,##0")</f>
        <v/>
      </c>
    </row>
    <row r="8">
      <c r="A8" s="10">
        <f>sens_e_md</f>
        <v/>
      </c>
      <c r="B8">
        <f>TEXT(D151,"0.0000%")&amp;" / "&amp;TEXT(H151*our_check/F_primary,"$#,##0")</f>
        <v/>
      </c>
      <c r="C8">
        <f>TEXT(D191,"0.0000%")&amp;" / "&amp;TEXT(H191*our_check/F_primary,"$#,##0")</f>
        <v/>
      </c>
      <c r="D8">
        <f>TEXT(D231,"0.0000%")&amp;" / "&amp;TEXT(H231*our_check/F_primary,"$#,##0")</f>
        <v/>
      </c>
    </row>
    <row r="9">
      <c r="A9" s="10">
        <f>sens_e_hi</f>
        <v/>
      </c>
      <c r="B9">
        <f>TEXT(D271,"0.0000%")&amp;" / "&amp;TEXT(H271*our_check/F_primary,"$#,##0")</f>
        <v/>
      </c>
      <c r="C9">
        <f>TEXT(D311,"0.0000%")&amp;" / "&amp;TEXT(H311*our_check/F_primary,"$#,##0")</f>
        <v/>
      </c>
      <c r="D9">
        <f>TEXT(D351,"0.0000%")&amp;" / "&amp;TEXT(H351*our_check/F_primary,"$#,##0")</f>
        <v/>
      </c>
    </row>
    <row r="29">
      <c r="A29" s="6" t="inlineStr">
        <is>
          <t>--- Scenario 1: ESOP=sens_e_lo, Pre-money=sens_p_lo ---</t>
        </is>
      </c>
    </row>
    <row r="30">
      <c r="A30" s="6" t="inlineStr">
        <is>
          <t>ESOP</t>
        </is>
      </c>
      <c r="B30">
        <f>sens_e_lo</f>
        <v/>
      </c>
      <c r="C30" s="6" t="inlineStr">
        <is>
          <t>Pre-money</t>
        </is>
      </c>
      <c r="D30">
        <f>sens_p_lo</f>
        <v/>
      </c>
      <c r="E30" s="6" t="inlineStr">
        <is>
          <t>F_PPS</t>
        </is>
      </c>
      <c r="F30">
        <f>N68</f>
        <v/>
      </c>
      <c r="G30" s="6" t="inlineStr">
        <is>
          <t>T_F</t>
        </is>
      </c>
      <c r="H30">
        <f>I68+J68+K68+L68</f>
        <v/>
      </c>
      <c r="I30" s="6" t="inlineStr">
        <is>
          <t>NA_sh</t>
        </is>
      </c>
      <c r="J30">
        <f>J68</f>
        <v/>
      </c>
      <c r="K30" s="6" t="inlineStr">
        <is>
          <t>NB_sh</t>
        </is>
      </c>
      <c r="L30">
        <f>K68</f>
        <v/>
      </c>
      <c r="M30" s="6" t="inlineStr">
        <is>
          <t>NA_branch</t>
        </is>
      </c>
      <c r="N30">
        <f>IF(NA_cap/(I68+K68) &lt; (1-NA_disc)*N68, "cap", "discount")</f>
        <v/>
      </c>
      <c r="O30" s="6" t="inlineStr">
        <is>
          <t>NB_branch</t>
        </is>
      </c>
      <c r="P30">
        <f>IF(NB_cap/(I68+J68) &lt; (1-NB_disc)*N68, "cap", "discount")</f>
        <v/>
      </c>
    </row>
    <row r="31">
      <c r="A31" s="6" t="inlineStr">
        <is>
          <t>our_sh</t>
        </is>
      </c>
      <c r="B31">
        <f>our_check/F30</f>
        <v/>
      </c>
      <c r="C31" s="6" t="inlineStr">
        <is>
          <t>own%</t>
        </is>
      </c>
      <c r="D31" s="5">
        <f>B31/H30</f>
        <v/>
      </c>
      <c r="E31" s="6" t="inlineStr">
        <is>
          <t>F_election</t>
        </is>
      </c>
      <c r="F31">
        <f>IF(Y68*L68 &gt; F_primary, "convert", "preference")</f>
        <v/>
      </c>
      <c r="G31" s="6" t="inlineStr">
        <is>
          <t>F_payout</t>
        </is>
      </c>
      <c r="H31" s="8">
        <f>IF(F31="convert", Y68*L68, F_primary)</f>
        <v/>
      </c>
      <c r="I31" s="6" t="inlineStr">
        <is>
          <t>our_$</t>
        </is>
      </c>
      <c r="J31" s="8">
        <f>H31*our_check/F_primary</f>
        <v/>
      </c>
    </row>
    <row r="33">
      <c r="A33" s="6" t="inlineStr">
        <is>
          <t>iter</t>
        </is>
      </c>
      <c r="B33" s="6" t="inlineStr">
        <is>
          <t>F_PPS_in</t>
        </is>
      </c>
      <c r="C33" s="6" t="inlineStr">
        <is>
          <t>NCP_D</t>
        </is>
      </c>
      <c r="D33" s="6" t="inlineStr">
        <is>
          <t>NCP_E</t>
        </is>
      </c>
      <c r="E33" s="6" t="inlineStr">
        <is>
          <t>extras_D</t>
        </is>
      </c>
      <c r="F33" s="6" t="inlineStr">
        <is>
          <t>extras_E</t>
        </is>
      </c>
      <c r="G33" s="6" t="inlineStr">
        <is>
          <t>T_F</t>
        </is>
      </c>
      <c r="H33" s="6" t="inlineStr">
        <is>
          <t>topup</t>
        </is>
      </c>
      <c r="I33" s="6" t="inlineStr">
        <is>
          <t>preFD_nn</t>
        </is>
      </c>
      <c r="J33" s="6" t="inlineStr">
        <is>
          <t>NA_sh</t>
        </is>
      </c>
      <c r="K33" s="6" t="inlineStr">
        <is>
          <t>NB_sh</t>
        </is>
      </c>
      <c r="L33" s="6" t="inlineStr">
        <is>
          <t>F_prim_sh</t>
        </is>
      </c>
      <c r="M33" s="6" t="inlineStr">
        <is>
          <t>T_pre</t>
        </is>
      </c>
      <c r="N33" s="6" t="inlineStr">
        <is>
          <t>F_PPS_out</t>
        </is>
      </c>
      <c r="O33" s="6" t="inlineStr">
        <is>
          <t>ic_F</t>
        </is>
      </c>
      <c r="P33" s="6" t="inlineStr">
        <is>
          <t>ic_E</t>
        </is>
      </c>
      <c r="Q33" s="6" t="inlineStr">
        <is>
          <t>ic_D</t>
        </is>
      </c>
      <c r="R33" s="6" t="inlineStr">
        <is>
          <t>ic_C</t>
        </is>
      </c>
      <c r="S33" s="6" t="inlineStr">
        <is>
          <t>ic_B</t>
        </is>
      </c>
      <c r="T33" s="6" t="inlineStr">
        <is>
          <t>ic_A</t>
        </is>
      </c>
      <c r="U33" s="6" t="inlineStr">
        <is>
          <t>ic_Seed</t>
        </is>
      </c>
      <c r="V33" s="6" t="inlineStr">
        <is>
          <t>prefs_paid</t>
        </is>
      </c>
      <c r="W33" s="6" t="inlineStr">
        <is>
          <t>residual</t>
        </is>
      </c>
      <c r="X33" s="6" t="inlineStr">
        <is>
          <t>cv_shares</t>
        </is>
      </c>
      <c r="Y33" s="6" t="inlineStr">
        <is>
          <t>PPS_2B</t>
        </is>
      </c>
    </row>
    <row r="34">
      <c r="B34">
        <f>D30/preF_FD</f>
        <v/>
      </c>
      <c r="C34">
        <f>OCP_D*(preF_FD + F_primary/OCP_D)/(preF_FD + F_primary/B34)</f>
        <v/>
      </c>
      <c r="D34">
        <f>OCP_E*(preF_FD + F_primary/OCP_E)/(preF_FD + F_primary/B34)</f>
        <v/>
      </c>
      <c r="E34">
        <f>D_sh*(OCP_D/C34 - 1)</f>
        <v/>
      </c>
      <c r="F34">
        <f>E_sh*(OCP_E/D34 - 1)</f>
        <v/>
      </c>
      <c r="G34">
        <f>(preF_FD + E34 + F34 - preF_opts + 0 + 0 + F_primary/B34)/(1-B30)</f>
        <v/>
      </c>
      <c r="H34">
        <f>MAX(0, B30*G34 - preF_opts)</f>
        <v/>
      </c>
      <c r="I34">
        <f>preF_FD + E34 + F34 + H34</f>
        <v/>
      </c>
      <c r="J34">
        <f>NA_P/MIN(NA_cap/(I34+0), (1-NA_disc)*B34)</f>
        <v/>
      </c>
      <c r="K34">
        <f>NB_P/MIN(NB_cap/(I34+J34), (1-NB_disc)*B34)</f>
        <v/>
      </c>
      <c r="L34">
        <f>F_primary/B34</f>
        <v/>
      </c>
      <c r="M34">
        <f>I34+J34+K34</f>
        <v/>
      </c>
      <c r="N34">
        <f>D30/M34</f>
        <v/>
      </c>
      <c r="O34">
        <f>IF(0*L34 &gt; F_primary, 1, 0)</f>
        <v/>
      </c>
      <c r="P34">
        <f>IF(0*(E_sh + F34) &gt; E_inv, 1, 0)</f>
        <v/>
      </c>
      <c r="Q34">
        <f>IF(0*(D_sh + E34) &gt; D_inv, 1, 0)</f>
        <v/>
      </c>
      <c r="R34">
        <f>IF(0*C_sh &gt; C_inv, 1, 0)</f>
        <v/>
      </c>
      <c r="S34">
        <f>IF(0*B_sh &gt; B_inv, 1, 0)</f>
        <v/>
      </c>
      <c r="T34">
        <f>IF(0*A_sh &gt; A_inv, 1, 0)</f>
        <v/>
      </c>
      <c r="U34">
        <f>IF(0*seed_sh &gt; seed_inv, 1, 0)</f>
        <v/>
      </c>
      <c r="V34">
        <f>(1-O34)*F_primary+(1-P34)*E_inv+(1-Q34)*D_inv+(1-R34)*C_inv+(1-S34)*B_inv+(1-T34)*A_inv+(1-U34)*seed_inv</f>
        <v/>
      </c>
      <c r="W34">
        <f>MAX(0, sens_exit - V34)</f>
        <v/>
      </c>
      <c r="X34">
        <f>F1_sh+F2_sh+F3_sh+RSA_sh+J34+K34+O34*L34+P34*(E_sh + F34)+Q34*(D_sh + E34)+R34*C_sh+S34*B_sh+T34*A_sh+U34*seed_sh</f>
        <v/>
      </c>
      <c r="Y34">
        <f>(W34 + preF_opts_iss*opt_strike)/(X34 + preF_opts_iss)</f>
        <v/>
      </c>
    </row>
    <row r="35">
      <c r="B35">
        <f>N34</f>
        <v/>
      </c>
      <c r="C35">
        <f>OCP_D*(preF_FD + F_primary/OCP_D)/(preF_FD + F_primary/B35)</f>
        <v/>
      </c>
      <c r="D35">
        <f>OCP_E*(preF_FD + F_primary/OCP_E)/(preF_FD + F_primary/B35)</f>
        <v/>
      </c>
      <c r="E35">
        <f>D_sh*(OCP_D/C35 - 1)</f>
        <v/>
      </c>
      <c r="F35">
        <f>E_sh*(OCP_E/D35 - 1)</f>
        <v/>
      </c>
      <c r="G35">
        <f>(preF_FD + E35 + F35 - preF_opts + J34 + K34 + F_primary/B35)/(1-B30)</f>
        <v/>
      </c>
      <c r="H35">
        <f>MAX(0, B30*G35 - preF_opts)</f>
        <v/>
      </c>
      <c r="I35">
        <f>preF_FD + E35 + F35 + H35</f>
        <v/>
      </c>
      <c r="J35">
        <f>NA_P/MIN(NA_cap/(I35+K34), (1-NA_disc)*B35)</f>
        <v/>
      </c>
      <c r="K35">
        <f>NB_P/MIN(NB_cap/(I35+J35), (1-NB_disc)*B35)</f>
        <v/>
      </c>
      <c r="L35">
        <f>F_primary/B35</f>
        <v/>
      </c>
      <c r="M35">
        <f>I35+J35+K35</f>
        <v/>
      </c>
      <c r="N35">
        <f>D30/M35</f>
        <v/>
      </c>
      <c r="O35">
        <f>IF(Y34*L35 &gt; F_primary, 1, 0)</f>
        <v/>
      </c>
      <c r="P35">
        <f>IF(Y34*(E_sh + F35) &gt; E_inv, 1, 0)</f>
        <v/>
      </c>
      <c r="Q35">
        <f>IF(Y34*(D_sh + E35) &gt; D_inv, 1, 0)</f>
        <v/>
      </c>
      <c r="R35">
        <f>IF(Y34*C_sh &gt; C_inv, 1, 0)</f>
        <v/>
      </c>
      <c r="S35">
        <f>IF(Y34*B_sh &gt; B_inv, 1, 0)</f>
        <v/>
      </c>
      <c r="T35">
        <f>IF(Y34*A_sh &gt; A_inv, 1, 0)</f>
        <v/>
      </c>
      <c r="U35">
        <f>IF(Y34*seed_sh &gt; seed_inv, 1, 0)</f>
        <v/>
      </c>
      <c r="V35">
        <f>(1-O35)*F_primary+(1-P35)*E_inv+(1-Q35)*D_inv+(1-R35)*C_inv+(1-S35)*B_inv+(1-T35)*A_inv+(1-U35)*seed_inv</f>
        <v/>
      </c>
      <c r="W35">
        <f>MAX(0, sens_exit - V35)</f>
        <v/>
      </c>
      <c r="X35">
        <f>F1_sh+F2_sh+F3_sh+RSA_sh+J35+K35+O35*L35+P35*(E_sh + F35)+Q35*(D_sh + E35)+R35*C_sh+S35*B_sh+T35*A_sh+U35*seed_sh</f>
        <v/>
      </c>
      <c r="Y35">
        <f>(W35 + preF_opts_iss*opt_strike)/(X35 + preF_opts_iss)</f>
        <v/>
      </c>
    </row>
    <row r="36">
      <c r="B36">
        <f>N35</f>
        <v/>
      </c>
      <c r="C36">
        <f>OCP_D*(preF_FD + F_primary/OCP_D)/(preF_FD + F_primary/B36)</f>
        <v/>
      </c>
      <c r="D36">
        <f>OCP_E*(preF_FD + F_primary/OCP_E)/(preF_FD + F_primary/B36)</f>
        <v/>
      </c>
      <c r="E36">
        <f>D_sh*(OCP_D/C36 - 1)</f>
        <v/>
      </c>
      <c r="F36">
        <f>E_sh*(OCP_E/D36 - 1)</f>
        <v/>
      </c>
      <c r="G36">
        <f>(preF_FD + E36 + F36 - preF_opts + J35 + K35 + F_primary/B36)/(1-B30)</f>
        <v/>
      </c>
      <c r="H36">
        <f>MAX(0, B30*G36 - preF_opts)</f>
        <v/>
      </c>
      <c r="I36">
        <f>preF_FD + E36 + F36 + H36</f>
        <v/>
      </c>
      <c r="J36">
        <f>NA_P/MIN(NA_cap/(I36+K35), (1-NA_disc)*B36)</f>
        <v/>
      </c>
      <c r="K36">
        <f>NB_P/MIN(NB_cap/(I36+J36), (1-NB_disc)*B36)</f>
        <v/>
      </c>
      <c r="L36">
        <f>F_primary/B36</f>
        <v/>
      </c>
      <c r="M36">
        <f>I36+J36+K36</f>
        <v/>
      </c>
      <c r="N36">
        <f>D30/M36</f>
        <v/>
      </c>
      <c r="O36">
        <f>IF(Y35*L36 &gt; F_primary, 1, 0)</f>
        <v/>
      </c>
      <c r="P36">
        <f>IF(Y35*(E_sh + F36) &gt; E_inv, 1, 0)</f>
        <v/>
      </c>
      <c r="Q36">
        <f>IF(Y35*(D_sh + E36) &gt; D_inv, 1, 0)</f>
        <v/>
      </c>
      <c r="R36">
        <f>IF(Y35*C_sh &gt; C_inv, 1, 0)</f>
        <v/>
      </c>
      <c r="S36">
        <f>IF(Y35*B_sh &gt; B_inv, 1, 0)</f>
        <v/>
      </c>
      <c r="T36">
        <f>IF(Y35*A_sh &gt; A_inv, 1, 0)</f>
        <v/>
      </c>
      <c r="U36">
        <f>IF(Y35*seed_sh &gt; seed_inv, 1, 0)</f>
        <v/>
      </c>
      <c r="V36">
        <f>(1-O36)*F_primary+(1-P36)*E_inv+(1-Q36)*D_inv+(1-R36)*C_inv+(1-S36)*B_inv+(1-T36)*A_inv+(1-U36)*seed_inv</f>
        <v/>
      </c>
      <c r="W36">
        <f>MAX(0, sens_exit - V36)</f>
        <v/>
      </c>
      <c r="X36">
        <f>F1_sh+F2_sh+F3_sh+RSA_sh+J36+K36+O36*L36+P36*(E_sh + F36)+Q36*(D_sh + E36)+R36*C_sh+S36*B_sh+T36*A_sh+U36*seed_sh</f>
        <v/>
      </c>
      <c r="Y36">
        <f>(W36 + preF_opts_iss*opt_strike)/(X36 + preF_opts_iss)</f>
        <v/>
      </c>
    </row>
    <row r="37">
      <c r="B37">
        <f>N36</f>
        <v/>
      </c>
      <c r="C37">
        <f>OCP_D*(preF_FD + F_primary/OCP_D)/(preF_FD + F_primary/B37)</f>
        <v/>
      </c>
      <c r="D37">
        <f>OCP_E*(preF_FD + F_primary/OCP_E)/(preF_FD + F_primary/B37)</f>
        <v/>
      </c>
      <c r="E37">
        <f>D_sh*(OCP_D/C37 - 1)</f>
        <v/>
      </c>
      <c r="F37">
        <f>E_sh*(OCP_E/D37 - 1)</f>
        <v/>
      </c>
      <c r="G37">
        <f>(preF_FD + E37 + F37 - preF_opts + J36 + K36 + F_primary/B37)/(1-B30)</f>
        <v/>
      </c>
      <c r="H37">
        <f>MAX(0, B30*G37 - preF_opts)</f>
        <v/>
      </c>
      <c r="I37">
        <f>preF_FD + E37 + F37 + H37</f>
        <v/>
      </c>
      <c r="J37">
        <f>NA_P/MIN(NA_cap/(I37+K36), (1-NA_disc)*B37)</f>
        <v/>
      </c>
      <c r="K37">
        <f>NB_P/MIN(NB_cap/(I37+J37), (1-NB_disc)*B37)</f>
        <v/>
      </c>
      <c r="L37">
        <f>F_primary/B37</f>
        <v/>
      </c>
      <c r="M37">
        <f>I37+J37+K37</f>
        <v/>
      </c>
      <c r="N37">
        <f>D30/M37</f>
        <v/>
      </c>
      <c r="O37">
        <f>IF(Y36*L37 &gt; F_primary, 1, 0)</f>
        <v/>
      </c>
      <c r="P37">
        <f>IF(Y36*(E_sh + F37) &gt; E_inv, 1, 0)</f>
        <v/>
      </c>
      <c r="Q37">
        <f>IF(Y36*(D_sh + E37) &gt; D_inv, 1, 0)</f>
        <v/>
      </c>
      <c r="R37">
        <f>IF(Y36*C_sh &gt; C_inv, 1, 0)</f>
        <v/>
      </c>
      <c r="S37">
        <f>IF(Y36*B_sh &gt; B_inv, 1, 0)</f>
        <v/>
      </c>
      <c r="T37">
        <f>IF(Y36*A_sh &gt; A_inv, 1, 0)</f>
        <v/>
      </c>
      <c r="U37">
        <f>IF(Y36*seed_sh &gt; seed_inv, 1, 0)</f>
        <v/>
      </c>
      <c r="V37">
        <f>(1-O37)*F_primary+(1-P37)*E_inv+(1-Q37)*D_inv+(1-R37)*C_inv+(1-S37)*B_inv+(1-T37)*A_inv+(1-U37)*seed_inv</f>
        <v/>
      </c>
      <c r="W37">
        <f>MAX(0, sens_exit - V37)</f>
        <v/>
      </c>
      <c r="X37">
        <f>F1_sh+F2_sh+F3_sh+RSA_sh+J37+K37+O37*L37+P37*(E_sh + F37)+Q37*(D_sh + E37)+R37*C_sh+S37*B_sh+T37*A_sh+U37*seed_sh</f>
        <v/>
      </c>
      <c r="Y37">
        <f>(W37 + preF_opts_iss*opt_strike)/(X37 + preF_opts_iss)</f>
        <v/>
      </c>
    </row>
    <row r="38">
      <c r="B38">
        <f>N37</f>
        <v/>
      </c>
      <c r="C38">
        <f>OCP_D*(preF_FD + F_primary/OCP_D)/(preF_FD + F_primary/B38)</f>
        <v/>
      </c>
      <c r="D38">
        <f>OCP_E*(preF_FD + F_primary/OCP_E)/(preF_FD + F_primary/B38)</f>
        <v/>
      </c>
      <c r="E38">
        <f>D_sh*(OCP_D/C38 - 1)</f>
        <v/>
      </c>
      <c r="F38">
        <f>E_sh*(OCP_E/D38 - 1)</f>
        <v/>
      </c>
      <c r="G38">
        <f>(preF_FD + E38 + F38 - preF_opts + J37 + K37 + F_primary/B38)/(1-B30)</f>
        <v/>
      </c>
      <c r="H38">
        <f>MAX(0, B30*G38 - preF_opts)</f>
        <v/>
      </c>
      <c r="I38">
        <f>preF_FD + E38 + F38 + H38</f>
        <v/>
      </c>
      <c r="J38">
        <f>NA_P/MIN(NA_cap/(I38+K37), (1-NA_disc)*B38)</f>
        <v/>
      </c>
      <c r="K38">
        <f>NB_P/MIN(NB_cap/(I38+J38), (1-NB_disc)*B38)</f>
        <v/>
      </c>
      <c r="L38">
        <f>F_primary/B38</f>
        <v/>
      </c>
      <c r="M38">
        <f>I38+J38+K38</f>
        <v/>
      </c>
      <c r="N38">
        <f>D30/M38</f>
        <v/>
      </c>
      <c r="O38">
        <f>IF(Y37*L38 &gt; F_primary, 1, 0)</f>
        <v/>
      </c>
      <c r="P38">
        <f>IF(Y37*(E_sh + F38) &gt; E_inv, 1, 0)</f>
        <v/>
      </c>
      <c r="Q38">
        <f>IF(Y37*(D_sh + E38) &gt; D_inv, 1, 0)</f>
        <v/>
      </c>
      <c r="R38">
        <f>IF(Y37*C_sh &gt; C_inv, 1, 0)</f>
        <v/>
      </c>
      <c r="S38">
        <f>IF(Y37*B_sh &gt; B_inv, 1, 0)</f>
        <v/>
      </c>
      <c r="T38">
        <f>IF(Y37*A_sh &gt; A_inv, 1, 0)</f>
        <v/>
      </c>
      <c r="U38">
        <f>IF(Y37*seed_sh &gt; seed_inv, 1, 0)</f>
        <v/>
      </c>
      <c r="V38">
        <f>(1-O38)*F_primary+(1-P38)*E_inv+(1-Q38)*D_inv+(1-R38)*C_inv+(1-S38)*B_inv+(1-T38)*A_inv+(1-U38)*seed_inv</f>
        <v/>
      </c>
      <c r="W38">
        <f>MAX(0, sens_exit - V38)</f>
        <v/>
      </c>
      <c r="X38">
        <f>F1_sh+F2_sh+F3_sh+RSA_sh+J38+K38+O38*L38+P38*(E_sh + F38)+Q38*(D_sh + E38)+R38*C_sh+S38*B_sh+T38*A_sh+U38*seed_sh</f>
        <v/>
      </c>
      <c r="Y38">
        <f>(W38 + preF_opts_iss*opt_strike)/(X38 + preF_opts_iss)</f>
        <v/>
      </c>
    </row>
    <row r="39">
      <c r="B39">
        <f>N38</f>
        <v/>
      </c>
      <c r="C39">
        <f>OCP_D*(preF_FD + F_primary/OCP_D)/(preF_FD + F_primary/B39)</f>
        <v/>
      </c>
      <c r="D39">
        <f>OCP_E*(preF_FD + F_primary/OCP_E)/(preF_FD + F_primary/B39)</f>
        <v/>
      </c>
      <c r="E39">
        <f>D_sh*(OCP_D/C39 - 1)</f>
        <v/>
      </c>
      <c r="F39">
        <f>E_sh*(OCP_E/D39 - 1)</f>
        <v/>
      </c>
      <c r="G39">
        <f>(preF_FD + E39 + F39 - preF_opts + J38 + K38 + F_primary/B39)/(1-B30)</f>
        <v/>
      </c>
      <c r="H39">
        <f>MAX(0, B30*G39 - preF_opts)</f>
        <v/>
      </c>
      <c r="I39">
        <f>preF_FD + E39 + F39 + H39</f>
        <v/>
      </c>
      <c r="J39">
        <f>NA_P/MIN(NA_cap/(I39+K38), (1-NA_disc)*B39)</f>
        <v/>
      </c>
      <c r="K39">
        <f>NB_P/MIN(NB_cap/(I39+J39), (1-NB_disc)*B39)</f>
        <v/>
      </c>
      <c r="L39">
        <f>F_primary/B39</f>
        <v/>
      </c>
      <c r="M39">
        <f>I39+J39+K39</f>
        <v/>
      </c>
      <c r="N39">
        <f>D30/M39</f>
        <v/>
      </c>
      <c r="O39">
        <f>IF(Y38*L39 &gt; F_primary, 1, 0)</f>
        <v/>
      </c>
      <c r="P39">
        <f>IF(Y38*(E_sh + F39) &gt; E_inv, 1, 0)</f>
        <v/>
      </c>
      <c r="Q39">
        <f>IF(Y38*(D_sh + E39) &gt; D_inv, 1, 0)</f>
        <v/>
      </c>
      <c r="R39">
        <f>IF(Y38*C_sh &gt; C_inv, 1, 0)</f>
        <v/>
      </c>
      <c r="S39">
        <f>IF(Y38*B_sh &gt; B_inv, 1, 0)</f>
        <v/>
      </c>
      <c r="T39">
        <f>IF(Y38*A_sh &gt; A_inv, 1, 0)</f>
        <v/>
      </c>
      <c r="U39">
        <f>IF(Y38*seed_sh &gt; seed_inv, 1, 0)</f>
        <v/>
      </c>
      <c r="V39">
        <f>(1-O39)*F_primary+(1-P39)*E_inv+(1-Q39)*D_inv+(1-R39)*C_inv+(1-S39)*B_inv+(1-T39)*A_inv+(1-U39)*seed_inv</f>
        <v/>
      </c>
      <c r="W39">
        <f>MAX(0, sens_exit - V39)</f>
        <v/>
      </c>
      <c r="X39">
        <f>F1_sh+F2_sh+F3_sh+RSA_sh+J39+K39+O39*L39+P39*(E_sh + F39)+Q39*(D_sh + E39)+R39*C_sh+S39*B_sh+T39*A_sh+U39*seed_sh</f>
        <v/>
      </c>
      <c r="Y39">
        <f>(W39 + preF_opts_iss*opt_strike)/(X39 + preF_opts_iss)</f>
        <v/>
      </c>
    </row>
    <row r="40">
      <c r="B40">
        <f>N39</f>
        <v/>
      </c>
      <c r="C40">
        <f>OCP_D*(preF_FD + F_primary/OCP_D)/(preF_FD + F_primary/B40)</f>
        <v/>
      </c>
      <c r="D40">
        <f>OCP_E*(preF_FD + F_primary/OCP_E)/(preF_FD + F_primary/B40)</f>
        <v/>
      </c>
      <c r="E40">
        <f>D_sh*(OCP_D/C40 - 1)</f>
        <v/>
      </c>
      <c r="F40">
        <f>E_sh*(OCP_E/D40 - 1)</f>
        <v/>
      </c>
      <c r="G40">
        <f>(preF_FD + E40 + F40 - preF_opts + J39 + K39 + F_primary/B40)/(1-B30)</f>
        <v/>
      </c>
      <c r="H40">
        <f>MAX(0, B30*G40 - preF_opts)</f>
        <v/>
      </c>
      <c r="I40">
        <f>preF_FD + E40 + F40 + H40</f>
        <v/>
      </c>
      <c r="J40">
        <f>NA_P/MIN(NA_cap/(I40+K39), (1-NA_disc)*B40)</f>
        <v/>
      </c>
      <c r="K40">
        <f>NB_P/MIN(NB_cap/(I40+J40), (1-NB_disc)*B40)</f>
        <v/>
      </c>
      <c r="L40">
        <f>F_primary/B40</f>
        <v/>
      </c>
      <c r="M40">
        <f>I40+J40+K40</f>
        <v/>
      </c>
      <c r="N40">
        <f>D30/M40</f>
        <v/>
      </c>
      <c r="O40">
        <f>IF(Y39*L40 &gt; F_primary, 1, 0)</f>
        <v/>
      </c>
      <c r="P40">
        <f>IF(Y39*(E_sh + F40) &gt; E_inv, 1, 0)</f>
        <v/>
      </c>
      <c r="Q40">
        <f>IF(Y39*(D_sh + E40) &gt; D_inv, 1, 0)</f>
        <v/>
      </c>
      <c r="R40">
        <f>IF(Y39*C_sh &gt; C_inv, 1, 0)</f>
        <v/>
      </c>
      <c r="S40">
        <f>IF(Y39*B_sh &gt; B_inv, 1, 0)</f>
        <v/>
      </c>
      <c r="T40">
        <f>IF(Y39*A_sh &gt; A_inv, 1, 0)</f>
        <v/>
      </c>
      <c r="U40">
        <f>IF(Y39*seed_sh &gt; seed_inv, 1, 0)</f>
        <v/>
      </c>
      <c r="V40">
        <f>(1-O40)*F_primary+(1-P40)*E_inv+(1-Q40)*D_inv+(1-R40)*C_inv+(1-S40)*B_inv+(1-T40)*A_inv+(1-U40)*seed_inv</f>
        <v/>
      </c>
      <c r="W40">
        <f>MAX(0, sens_exit - V40)</f>
        <v/>
      </c>
      <c r="X40">
        <f>F1_sh+F2_sh+F3_sh+RSA_sh+J40+K40+O40*L40+P40*(E_sh + F40)+Q40*(D_sh + E40)+R40*C_sh+S40*B_sh+T40*A_sh+U40*seed_sh</f>
        <v/>
      </c>
      <c r="Y40">
        <f>(W40 + preF_opts_iss*opt_strike)/(X40 + preF_opts_iss)</f>
        <v/>
      </c>
    </row>
    <row r="41">
      <c r="B41">
        <f>N40</f>
        <v/>
      </c>
      <c r="C41">
        <f>OCP_D*(preF_FD + F_primary/OCP_D)/(preF_FD + F_primary/B41)</f>
        <v/>
      </c>
      <c r="D41">
        <f>OCP_E*(preF_FD + F_primary/OCP_E)/(preF_FD + F_primary/B41)</f>
        <v/>
      </c>
      <c r="E41">
        <f>D_sh*(OCP_D/C41 - 1)</f>
        <v/>
      </c>
      <c r="F41">
        <f>E_sh*(OCP_E/D41 - 1)</f>
        <v/>
      </c>
      <c r="G41">
        <f>(preF_FD + E41 + F41 - preF_opts + J40 + K40 + F_primary/B41)/(1-B30)</f>
        <v/>
      </c>
      <c r="H41">
        <f>MAX(0, B30*G41 - preF_opts)</f>
        <v/>
      </c>
      <c r="I41">
        <f>preF_FD + E41 + F41 + H41</f>
        <v/>
      </c>
      <c r="J41">
        <f>NA_P/MIN(NA_cap/(I41+K40), (1-NA_disc)*B41)</f>
        <v/>
      </c>
      <c r="K41">
        <f>NB_P/MIN(NB_cap/(I41+J41), (1-NB_disc)*B41)</f>
        <v/>
      </c>
      <c r="L41">
        <f>F_primary/B41</f>
        <v/>
      </c>
      <c r="M41">
        <f>I41+J41+K41</f>
        <v/>
      </c>
      <c r="N41">
        <f>D30/M41</f>
        <v/>
      </c>
      <c r="O41">
        <f>IF(Y40*L41 &gt; F_primary, 1, 0)</f>
        <v/>
      </c>
      <c r="P41">
        <f>IF(Y40*(E_sh + F41) &gt; E_inv, 1, 0)</f>
        <v/>
      </c>
      <c r="Q41">
        <f>IF(Y40*(D_sh + E41) &gt; D_inv, 1, 0)</f>
        <v/>
      </c>
      <c r="R41">
        <f>IF(Y40*C_sh &gt; C_inv, 1, 0)</f>
        <v/>
      </c>
      <c r="S41">
        <f>IF(Y40*B_sh &gt; B_inv, 1, 0)</f>
        <v/>
      </c>
      <c r="T41">
        <f>IF(Y40*A_sh &gt; A_inv, 1, 0)</f>
        <v/>
      </c>
      <c r="U41">
        <f>IF(Y40*seed_sh &gt; seed_inv, 1, 0)</f>
        <v/>
      </c>
      <c r="V41">
        <f>(1-O41)*F_primary+(1-P41)*E_inv+(1-Q41)*D_inv+(1-R41)*C_inv+(1-S41)*B_inv+(1-T41)*A_inv+(1-U41)*seed_inv</f>
        <v/>
      </c>
      <c r="W41">
        <f>MAX(0, sens_exit - V41)</f>
        <v/>
      </c>
      <c r="X41">
        <f>F1_sh+F2_sh+F3_sh+RSA_sh+J41+K41+O41*L41+P41*(E_sh + F41)+Q41*(D_sh + E41)+R41*C_sh+S41*B_sh+T41*A_sh+U41*seed_sh</f>
        <v/>
      </c>
      <c r="Y41">
        <f>(W41 + preF_opts_iss*opt_strike)/(X41 + preF_opts_iss)</f>
        <v/>
      </c>
    </row>
    <row r="42">
      <c r="B42">
        <f>N41</f>
        <v/>
      </c>
      <c r="C42">
        <f>OCP_D*(preF_FD + F_primary/OCP_D)/(preF_FD + F_primary/B42)</f>
        <v/>
      </c>
      <c r="D42">
        <f>OCP_E*(preF_FD + F_primary/OCP_E)/(preF_FD + F_primary/B42)</f>
        <v/>
      </c>
      <c r="E42">
        <f>D_sh*(OCP_D/C42 - 1)</f>
        <v/>
      </c>
      <c r="F42">
        <f>E_sh*(OCP_E/D42 - 1)</f>
        <v/>
      </c>
      <c r="G42">
        <f>(preF_FD + E42 + F42 - preF_opts + J41 + K41 + F_primary/B42)/(1-B30)</f>
        <v/>
      </c>
      <c r="H42">
        <f>MAX(0, B30*G42 - preF_opts)</f>
        <v/>
      </c>
      <c r="I42">
        <f>preF_FD + E42 + F42 + H42</f>
        <v/>
      </c>
      <c r="J42">
        <f>NA_P/MIN(NA_cap/(I42+K41), (1-NA_disc)*B42)</f>
        <v/>
      </c>
      <c r="K42">
        <f>NB_P/MIN(NB_cap/(I42+J42), (1-NB_disc)*B42)</f>
        <v/>
      </c>
      <c r="L42">
        <f>F_primary/B42</f>
        <v/>
      </c>
      <c r="M42">
        <f>I42+J42+K42</f>
        <v/>
      </c>
      <c r="N42">
        <f>D30/M42</f>
        <v/>
      </c>
      <c r="O42">
        <f>IF(Y41*L42 &gt; F_primary, 1, 0)</f>
        <v/>
      </c>
      <c r="P42">
        <f>IF(Y41*(E_sh + F42) &gt; E_inv, 1, 0)</f>
        <v/>
      </c>
      <c r="Q42">
        <f>IF(Y41*(D_sh + E42) &gt; D_inv, 1, 0)</f>
        <v/>
      </c>
      <c r="R42">
        <f>IF(Y41*C_sh &gt; C_inv, 1, 0)</f>
        <v/>
      </c>
      <c r="S42">
        <f>IF(Y41*B_sh &gt; B_inv, 1, 0)</f>
        <v/>
      </c>
      <c r="T42">
        <f>IF(Y41*A_sh &gt; A_inv, 1, 0)</f>
        <v/>
      </c>
      <c r="U42">
        <f>IF(Y41*seed_sh &gt; seed_inv, 1, 0)</f>
        <v/>
      </c>
      <c r="V42">
        <f>(1-O42)*F_primary+(1-P42)*E_inv+(1-Q42)*D_inv+(1-R42)*C_inv+(1-S42)*B_inv+(1-T42)*A_inv+(1-U42)*seed_inv</f>
        <v/>
      </c>
      <c r="W42">
        <f>MAX(0, sens_exit - V42)</f>
        <v/>
      </c>
      <c r="X42">
        <f>F1_sh+F2_sh+F3_sh+RSA_sh+J42+K42+O42*L42+P42*(E_sh + F42)+Q42*(D_sh + E42)+R42*C_sh+S42*B_sh+T42*A_sh+U42*seed_sh</f>
        <v/>
      </c>
      <c r="Y42">
        <f>(W42 + preF_opts_iss*opt_strike)/(X42 + preF_opts_iss)</f>
        <v/>
      </c>
    </row>
    <row r="43">
      <c r="B43">
        <f>N42</f>
        <v/>
      </c>
      <c r="C43">
        <f>OCP_D*(preF_FD + F_primary/OCP_D)/(preF_FD + F_primary/B43)</f>
        <v/>
      </c>
      <c r="D43">
        <f>OCP_E*(preF_FD + F_primary/OCP_E)/(preF_FD + F_primary/B43)</f>
        <v/>
      </c>
      <c r="E43">
        <f>D_sh*(OCP_D/C43 - 1)</f>
        <v/>
      </c>
      <c r="F43">
        <f>E_sh*(OCP_E/D43 - 1)</f>
        <v/>
      </c>
      <c r="G43">
        <f>(preF_FD + E43 + F43 - preF_opts + J42 + K42 + F_primary/B43)/(1-B30)</f>
        <v/>
      </c>
      <c r="H43">
        <f>MAX(0, B30*G43 - preF_opts)</f>
        <v/>
      </c>
      <c r="I43">
        <f>preF_FD + E43 + F43 + H43</f>
        <v/>
      </c>
      <c r="J43">
        <f>NA_P/MIN(NA_cap/(I43+K42), (1-NA_disc)*B43)</f>
        <v/>
      </c>
      <c r="K43">
        <f>NB_P/MIN(NB_cap/(I43+J43), (1-NB_disc)*B43)</f>
        <v/>
      </c>
      <c r="L43">
        <f>F_primary/B43</f>
        <v/>
      </c>
      <c r="M43">
        <f>I43+J43+K43</f>
        <v/>
      </c>
      <c r="N43">
        <f>D30/M43</f>
        <v/>
      </c>
      <c r="O43">
        <f>IF(Y42*L43 &gt; F_primary, 1, 0)</f>
        <v/>
      </c>
      <c r="P43">
        <f>IF(Y42*(E_sh + F43) &gt; E_inv, 1, 0)</f>
        <v/>
      </c>
      <c r="Q43">
        <f>IF(Y42*(D_sh + E43) &gt; D_inv, 1, 0)</f>
        <v/>
      </c>
      <c r="R43">
        <f>IF(Y42*C_sh &gt; C_inv, 1, 0)</f>
        <v/>
      </c>
      <c r="S43">
        <f>IF(Y42*B_sh &gt; B_inv, 1, 0)</f>
        <v/>
      </c>
      <c r="T43">
        <f>IF(Y42*A_sh &gt; A_inv, 1, 0)</f>
        <v/>
      </c>
      <c r="U43">
        <f>IF(Y42*seed_sh &gt; seed_inv, 1, 0)</f>
        <v/>
      </c>
      <c r="V43">
        <f>(1-O43)*F_primary+(1-P43)*E_inv+(1-Q43)*D_inv+(1-R43)*C_inv+(1-S43)*B_inv+(1-T43)*A_inv+(1-U43)*seed_inv</f>
        <v/>
      </c>
      <c r="W43">
        <f>MAX(0, sens_exit - V43)</f>
        <v/>
      </c>
      <c r="X43">
        <f>F1_sh+F2_sh+F3_sh+RSA_sh+J43+K43+O43*L43+P43*(E_sh + F43)+Q43*(D_sh + E43)+R43*C_sh+S43*B_sh+T43*A_sh+U43*seed_sh</f>
        <v/>
      </c>
      <c r="Y43">
        <f>(W43 + preF_opts_iss*opt_strike)/(X43 + preF_opts_iss)</f>
        <v/>
      </c>
    </row>
    <row r="44">
      <c r="B44">
        <f>N43</f>
        <v/>
      </c>
      <c r="C44">
        <f>OCP_D*(preF_FD + F_primary/OCP_D)/(preF_FD + F_primary/B44)</f>
        <v/>
      </c>
      <c r="D44">
        <f>OCP_E*(preF_FD + F_primary/OCP_E)/(preF_FD + F_primary/B44)</f>
        <v/>
      </c>
      <c r="E44">
        <f>D_sh*(OCP_D/C44 - 1)</f>
        <v/>
      </c>
      <c r="F44">
        <f>E_sh*(OCP_E/D44 - 1)</f>
        <v/>
      </c>
      <c r="G44">
        <f>(preF_FD + E44 + F44 - preF_opts + J43 + K43 + F_primary/B44)/(1-B30)</f>
        <v/>
      </c>
      <c r="H44">
        <f>MAX(0, B30*G44 - preF_opts)</f>
        <v/>
      </c>
      <c r="I44">
        <f>preF_FD + E44 + F44 + H44</f>
        <v/>
      </c>
      <c r="J44">
        <f>NA_P/MIN(NA_cap/(I44+K43), (1-NA_disc)*B44)</f>
        <v/>
      </c>
      <c r="K44">
        <f>NB_P/MIN(NB_cap/(I44+J44), (1-NB_disc)*B44)</f>
        <v/>
      </c>
      <c r="L44">
        <f>F_primary/B44</f>
        <v/>
      </c>
      <c r="M44">
        <f>I44+J44+K44</f>
        <v/>
      </c>
      <c r="N44">
        <f>D30/M44</f>
        <v/>
      </c>
      <c r="O44">
        <f>IF(Y43*L44 &gt; F_primary, 1, 0)</f>
        <v/>
      </c>
      <c r="P44">
        <f>IF(Y43*(E_sh + F44) &gt; E_inv, 1, 0)</f>
        <v/>
      </c>
      <c r="Q44">
        <f>IF(Y43*(D_sh + E44) &gt; D_inv, 1, 0)</f>
        <v/>
      </c>
      <c r="R44">
        <f>IF(Y43*C_sh &gt; C_inv, 1, 0)</f>
        <v/>
      </c>
      <c r="S44">
        <f>IF(Y43*B_sh &gt; B_inv, 1, 0)</f>
        <v/>
      </c>
      <c r="T44">
        <f>IF(Y43*A_sh &gt; A_inv, 1, 0)</f>
        <v/>
      </c>
      <c r="U44">
        <f>IF(Y43*seed_sh &gt; seed_inv, 1, 0)</f>
        <v/>
      </c>
      <c r="V44">
        <f>(1-O44)*F_primary+(1-P44)*E_inv+(1-Q44)*D_inv+(1-R44)*C_inv+(1-S44)*B_inv+(1-T44)*A_inv+(1-U44)*seed_inv</f>
        <v/>
      </c>
      <c r="W44">
        <f>MAX(0, sens_exit - V44)</f>
        <v/>
      </c>
      <c r="X44">
        <f>F1_sh+F2_sh+F3_sh+RSA_sh+J44+K44+O44*L44+P44*(E_sh + F44)+Q44*(D_sh + E44)+R44*C_sh+S44*B_sh+T44*A_sh+U44*seed_sh</f>
        <v/>
      </c>
      <c r="Y44">
        <f>(W44 + preF_opts_iss*opt_strike)/(X44 + preF_opts_iss)</f>
        <v/>
      </c>
    </row>
    <row r="45">
      <c r="B45">
        <f>N44</f>
        <v/>
      </c>
      <c r="C45">
        <f>OCP_D*(preF_FD + F_primary/OCP_D)/(preF_FD + F_primary/B45)</f>
        <v/>
      </c>
      <c r="D45">
        <f>OCP_E*(preF_FD + F_primary/OCP_E)/(preF_FD + F_primary/B45)</f>
        <v/>
      </c>
      <c r="E45">
        <f>D_sh*(OCP_D/C45 - 1)</f>
        <v/>
      </c>
      <c r="F45">
        <f>E_sh*(OCP_E/D45 - 1)</f>
        <v/>
      </c>
      <c r="G45">
        <f>(preF_FD + E45 + F45 - preF_opts + J44 + K44 + F_primary/B45)/(1-B30)</f>
        <v/>
      </c>
      <c r="H45">
        <f>MAX(0, B30*G45 - preF_opts)</f>
        <v/>
      </c>
      <c r="I45">
        <f>preF_FD + E45 + F45 + H45</f>
        <v/>
      </c>
      <c r="J45">
        <f>NA_P/MIN(NA_cap/(I45+K44), (1-NA_disc)*B45)</f>
        <v/>
      </c>
      <c r="K45">
        <f>NB_P/MIN(NB_cap/(I45+J45), (1-NB_disc)*B45)</f>
        <v/>
      </c>
      <c r="L45">
        <f>F_primary/B45</f>
        <v/>
      </c>
      <c r="M45">
        <f>I45+J45+K45</f>
        <v/>
      </c>
      <c r="N45">
        <f>D30/M45</f>
        <v/>
      </c>
      <c r="O45">
        <f>IF(Y44*L45 &gt; F_primary, 1, 0)</f>
        <v/>
      </c>
      <c r="P45">
        <f>IF(Y44*(E_sh + F45) &gt; E_inv, 1, 0)</f>
        <v/>
      </c>
      <c r="Q45">
        <f>IF(Y44*(D_sh + E45) &gt; D_inv, 1, 0)</f>
        <v/>
      </c>
      <c r="R45">
        <f>IF(Y44*C_sh &gt; C_inv, 1, 0)</f>
        <v/>
      </c>
      <c r="S45">
        <f>IF(Y44*B_sh &gt; B_inv, 1, 0)</f>
        <v/>
      </c>
      <c r="T45">
        <f>IF(Y44*A_sh &gt; A_inv, 1, 0)</f>
        <v/>
      </c>
      <c r="U45">
        <f>IF(Y44*seed_sh &gt; seed_inv, 1, 0)</f>
        <v/>
      </c>
      <c r="V45">
        <f>(1-O45)*F_primary+(1-P45)*E_inv+(1-Q45)*D_inv+(1-R45)*C_inv+(1-S45)*B_inv+(1-T45)*A_inv+(1-U45)*seed_inv</f>
        <v/>
      </c>
      <c r="W45">
        <f>MAX(0, sens_exit - V45)</f>
        <v/>
      </c>
      <c r="X45">
        <f>F1_sh+F2_sh+F3_sh+RSA_sh+J45+K45+O45*L45+P45*(E_sh + F45)+Q45*(D_sh + E45)+R45*C_sh+S45*B_sh+T45*A_sh+U45*seed_sh</f>
        <v/>
      </c>
      <c r="Y45">
        <f>(W45 + preF_opts_iss*opt_strike)/(X45 + preF_opts_iss)</f>
        <v/>
      </c>
    </row>
    <row r="46">
      <c r="B46">
        <f>N45</f>
        <v/>
      </c>
      <c r="C46">
        <f>OCP_D*(preF_FD + F_primary/OCP_D)/(preF_FD + F_primary/B46)</f>
        <v/>
      </c>
      <c r="D46">
        <f>OCP_E*(preF_FD + F_primary/OCP_E)/(preF_FD + F_primary/B46)</f>
        <v/>
      </c>
      <c r="E46">
        <f>D_sh*(OCP_D/C46 - 1)</f>
        <v/>
      </c>
      <c r="F46">
        <f>E_sh*(OCP_E/D46 - 1)</f>
        <v/>
      </c>
      <c r="G46">
        <f>(preF_FD + E46 + F46 - preF_opts + J45 + K45 + F_primary/B46)/(1-B30)</f>
        <v/>
      </c>
      <c r="H46">
        <f>MAX(0, B30*G46 - preF_opts)</f>
        <v/>
      </c>
      <c r="I46">
        <f>preF_FD + E46 + F46 + H46</f>
        <v/>
      </c>
      <c r="J46">
        <f>NA_P/MIN(NA_cap/(I46+K45), (1-NA_disc)*B46)</f>
        <v/>
      </c>
      <c r="K46">
        <f>NB_P/MIN(NB_cap/(I46+J46), (1-NB_disc)*B46)</f>
        <v/>
      </c>
      <c r="L46">
        <f>F_primary/B46</f>
        <v/>
      </c>
      <c r="M46">
        <f>I46+J46+K46</f>
        <v/>
      </c>
      <c r="N46">
        <f>D30/M46</f>
        <v/>
      </c>
      <c r="O46">
        <f>IF(Y45*L46 &gt; F_primary, 1, 0)</f>
        <v/>
      </c>
      <c r="P46">
        <f>IF(Y45*(E_sh + F46) &gt; E_inv, 1, 0)</f>
        <v/>
      </c>
      <c r="Q46">
        <f>IF(Y45*(D_sh + E46) &gt; D_inv, 1, 0)</f>
        <v/>
      </c>
      <c r="R46">
        <f>IF(Y45*C_sh &gt; C_inv, 1, 0)</f>
        <v/>
      </c>
      <c r="S46">
        <f>IF(Y45*B_sh &gt; B_inv, 1, 0)</f>
        <v/>
      </c>
      <c r="T46">
        <f>IF(Y45*A_sh &gt; A_inv, 1, 0)</f>
        <v/>
      </c>
      <c r="U46">
        <f>IF(Y45*seed_sh &gt; seed_inv, 1, 0)</f>
        <v/>
      </c>
      <c r="V46">
        <f>(1-O46)*F_primary+(1-P46)*E_inv+(1-Q46)*D_inv+(1-R46)*C_inv+(1-S46)*B_inv+(1-T46)*A_inv+(1-U46)*seed_inv</f>
        <v/>
      </c>
      <c r="W46">
        <f>MAX(0, sens_exit - V46)</f>
        <v/>
      </c>
      <c r="X46">
        <f>F1_sh+F2_sh+F3_sh+RSA_sh+J46+K46+O46*L46+P46*(E_sh + F46)+Q46*(D_sh + E46)+R46*C_sh+S46*B_sh+T46*A_sh+U46*seed_sh</f>
        <v/>
      </c>
      <c r="Y46">
        <f>(W46 + preF_opts_iss*opt_strike)/(X46 + preF_opts_iss)</f>
        <v/>
      </c>
    </row>
    <row r="47">
      <c r="B47">
        <f>N46</f>
        <v/>
      </c>
      <c r="C47">
        <f>OCP_D*(preF_FD + F_primary/OCP_D)/(preF_FD + F_primary/B47)</f>
        <v/>
      </c>
      <c r="D47">
        <f>OCP_E*(preF_FD + F_primary/OCP_E)/(preF_FD + F_primary/B47)</f>
        <v/>
      </c>
      <c r="E47">
        <f>D_sh*(OCP_D/C47 - 1)</f>
        <v/>
      </c>
      <c r="F47">
        <f>E_sh*(OCP_E/D47 - 1)</f>
        <v/>
      </c>
      <c r="G47">
        <f>(preF_FD + E47 + F47 - preF_opts + J46 + K46 + F_primary/B47)/(1-B30)</f>
        <v/>
      </c>
      <c r="H47">
        <f>MAX(0, B30*G47 - preF_opts)</f>
        <v/>
      </c>
      <c r="I47">
        <f>preF_FD + E47 + F47 + H47</f>
        <v/>
      </c>
      <c r="J47">
        <f>NA_P/MIN(NA_cap/(I47+K46), (1-NA_disc)*B47)</f>
        <v/>
      </c>
      <c r="K47">
        <f>NB_P/MIN(NB_cap/(I47+J47), (1-NB_disc)*B47)</f>
        <v/>
      </c>
      <c r="L47">
        <f>F_primary/B47</f>
        <v/>
      </c>
      <c r="M47">
        <f>I47+J47+K47</f>
        <v/>
      </c>
      <c r="N47">
        <f>D30/M47</f>
        <v/>
      </c>
      <c r="O47">
        <f>IF(Y46*L47 &gt; F_primary, 1, 0)</f>
        <v/>
      </c>
      <c r="P47">
        <f>IF(Y46*(E_sh + F47) &gt; E_inv, 1, 0)</f>
        <v/>
      </c>
      <c r="Q47">
        <f>IF(Y46*(D_sh + E47) &gt; D_inv, 1, 0)</f>
        <v/>
      </c>
      <c r="R47">
        <f>IF(Y46*C_sh &gt; C_inv, 1, 0)</f>
        <v/>
      </c>
      <c r="S47">
        <f>IF(Y46*B_sh &gt; B_inv, 1, 0)</f>
        <v/>
      </c>
      <c r="T47">
        <f>IF(Y46*A_sh &gt; A_inv, 1, 0)</f>
        <v/>
      </c>
      <c r="U47">
        <f>IF(Y46*seed_sh &gt; seed_inv, 1, 0)</f>
        <v/>
      </c>
      <c r="V47">
        <f>(1-O47)*F_primary+(1-P47)*E_inv+(1-Q47)*D_inv+(1-R47)*C_inv+(1-S47)*B_inv+(1-T47)*A_inv+(1-U47)*seed_inv</f>
        <v/>
      </c>
      <c r="W47">
        <f>MAX(0, sens_exit - V47)</f>
        <v/>
      </c>
      <c r="X47">
        <f>F1_sh+F2_sh+F3_sh+RSA_sh+J47+K47+O47*L47+P47*(E_sh + F47)+Q47*(D_sh + E47)+R47*C_sh+S47*B_sh+T47*A_sh+U47*seed_sh</f>
        <v/>
      </c>
      <c r="Y47">
        <f>(W47 + preF_opts_iss*opt_strike)/(X47 + preF_opts_iss)</f>
        <v/>
      </c>
    </row>
    <row r="48">
      <c r="B48">
        <f>N47</f>
        <v/>
      </c>
      <c r="C48">
        <f>OCP_D*(preF_FD + F_primary/OCP_D)/(preF_FD + F_primary/B48)</f>
        <v/>
      </c>
      <c r="D48">
        <f>OCP_E*(preF_FD + F_primary/OCP_E)/(preF_FD + F_primary/B48)</f>
        <v/>
      </c>
      <c r="E48">
        <f>D_sh*(OCP_D/C48 - 1)</f>
        <v/>
      </c>
      <c r="F48">
        <f>E_sh*(OCP_E/D48 - 1)</f>
        <v/>
      </c>
      <c r="G48">
        <f>(preF_FD + E48 + F48 - preF_opts + J47 + K47 + F_primary/B48)/(1-B30)</f>
        <v/>
      </c>
      <c r="H48">
        <f>MAX(0, B30*G48 - preF_opts)</f>
        <v/>
      </c>
      <c r="I48">
        <f>preF_FD + E48 + F48 + H48</f>
        <v/>
      </c>
      <c r="J48">
        <f>NA_P/MIN(NA_cap/(I48+K47), (1-NA_disc)*B48)</f>
        <v/>
      </c>
      <c r="K48">
        <f>NB_P/MIN(NB_cap/(I48+J48), (1-NB_disc)*B48)</f>
        <v/>
      </c>
      <c r="L48">
        <f>F_primary/B48</f>
        <v/>
      </c>
      <c r="M48">
        <f>I48+J48+K48</f>
        <v/>
      </c>
      <c r="N48">
        <f>D30/M48</f>
        <v/>
      </c>
      <c r="O48">
        <f>IF(Y47*L48 &gt; F_primary, 1, 0)</f>
        <v/>
      </c>
      <c r="P48">
        <f>IF(Y47*(E_sh + F48) &gt; E_inv, 1, 0)</f>
        <v/>
      </c>
      <c r="Q48">
        <f>IF(Y47*(D_sh + E48) &gt; D_inv, 1, 0)</f>
        <v/>
      </c>
      <c r="R48">
        <f>IF(Y47*C_sh &gt; C_inv, 1, 0)</f>
        <v/>
      </c>
      <c r="S48">
        <f>IF(Y47*B_sh &gt; B_inv, 1, 0)</f>
        <v/>
      </c>
      <c r="T48">
        <f>IF(Y47*A_sh &gt; A_inv, 1, 0)</f>
        <v/>
      </c>
      <c r="U48">
        <f>IF(Y47*seed_sh &gt; seed_inv, 1, 0)</f>
        <v/>
      </c>
      <c r="V48">
        <f>(1-O48)*F_primary+(1-P48)*E_inv+(1-Q48)*D_inv+(1-R48)*C_inv+(1-S48)*B_inv+(1-T48)*A_inv+(1-U48)*seed_inv</f>
        <v/>
      </c>
      <c r="W48">
        <f>MAX(0, sens_exit - V48)</f>
        <v/>
      </c>
      <c r="X48">
        <f>F1_sh+F2_sh+F3_sh+RSA_sh+J48+K48+O48*L48+P48*(E_sh + F48)+Q48*(D_sh + E48)+R48*C_sh+S48*B_sh+T48*A_sh+U48*seed_sh</f>
        <v/>
      </c>
      <c r="Y48">
        <f>(W48 + preF_opts_iss*opt_strike)/(X48 + preF_opts_iss)</f>
        <v/>
      </c>
    </row>
    <row r="49">
      <c r="B49">
        <f>N48</f>
        <v/>
      </c>
      <c r="C49">
        <f>OCP_D*(preF_FD + F_primary/OCP_D)/(preF_FD + F_primary/B49)</f>
        <v/>
      </c>
      <c r="D49">
        <f>OCP_E*(preF_FD + F_primary/OCP_E)/(preF_FD + F_primary/B49)</f>
        <v/>
      </c>
      <c r="E49">
        <f>D_sh*(OCP_D/C49 - 1)</f>
        <v/>
      </c>
      <c r="F49">
        <f>E_sh*(OCP_E/D49 - 1)</f>
        <v/>
      </c>
      <c r="G49">
        <f>(preF_FD + E49 + F49 - preF_opts + J48 + K48 + F_primary/B49)/(1-B30)</f>
        <v/>
      </c>
      <c r="H49">
        <f>MAX(0, B30*G49 - preF_opts)</f>
        <v/>
      </c>
      <c r="I49">
        <f>preF_FD + E49 + F49 + H49</f>
        <v/>
      </c>
      <c r="J49">
        <f>NA_P/MIN(NA_cap/(I49+K48), (1-NA_disc)*B49)</f>
        <v/>
      </c>
      <c r="K49">
        <f>NB_P/MIN(NB_cap/(I49+J49), (1-NB_disc)*B49)</f>
        <v/>
      </c>
      <c r="L49">
        <f>F_primary/B49</f>
        <v/>
      </c>
      <c r="M49">
        <f>I49+J49+K49</f>
        <v/>
      </c>
      <c r="N49">
        <f>D30/M49</f>
        <v/>
      </c>
      <c r="O49">
        <f>IF(Y48*L49 &gt; F_primary, 1, 0)</f>
        <v/>
      </c>
      <c r="P49">
        <f>IF(Y48*(E_sh + F49) &gt; E_inv, 1, 0)</f>
        <v/>
      </c>
      <c r="Q49">
        <f>IF(Y48*(D_sh + E49) &gt; D_inv, 1, 0)</f>
        <v/>
      </c>
      <c r="R49">
        <f>IF(Y48*C_sh &gt; C_inv, 1, 0)</f>
        <v/>
      </c>
      <c r="S49">
        <f>IF(Y48*B_sh &gt; B_inv, 1, 0)</f>
        <v/>
      </c>
      <c r="T49">
        <f>IF(Y48*A_sh &gt; A_inv, 1, 0)</f>
        <v/>
      </c>
      <c r="U49">
        <f>IF(Y48*seed_sh &gt; seed_inv, 1, 0)</f>
        <v/>
      </c>
      <c r="V49">
        <f>(1-O49)*F_primary+(1-P49)*E_inv+(1-Q49)*D_inv+(1-R49)*C_inv+(1-S49)*B_inv+(1-T49)*A_inv+(1-U49)*seed_inv</f>
        <v/>
      </c>
      <c r="W49">
        <f>MAX(0, sens_exit - V49)</f>
        <v/>
      </c>
      <c r="X49">
        <f>F1_sh+F2_sh+F3_sh+RSA_sh+J49+K49+O49*L49+P49*(E_sh + F49)+Q49*(D_sh + E49)+R49*C_sh+S49*B_sh+T49*A_sh+U49*seed_sh</f>
        <v/>
      </c>
      <c r="Y49">
        <f>(W49 + preF_opts_iss*opt_strike)/(X49 + preF_opts_iss)</f>
        <v/>
      </c>
    </row>
    <row r="50">
      <c r="B50">
        <f>N49</f>
        <v/>
      </c>
      <c r="C50">
        <f>OCP_D*(preF_FD + F_primary/OCP_D)/(preF_FD + F_primary/B50)</f>
        <v/>
      </c>
      <c r="D50">
        <f>OCP_E*(preF_FD + F_primary/OCP_E)/(preF_FD + F_primary/B50)</f>
        <v/>
      </c>
      <c r="E50">
        <f>D_sh*(OCP_D/C50 - 1)</f>
        <v/>
      </c>
      <c r="F50">
        <f>E_sh*(OCP_E/D50 - 1)</f>
        <v/>
      </c>
      <c r="G50">
        <f>(preF_FD + E50 + F50 - preF_opts + J49 + K49 + F_primary/B50)/(1-B30)</f>
        <v/>
      </c>
      <c r="H50">
        <f>MAX(0, B30*G50 - preF_opts)</f>
        <v/>
      </c>
      <c r="I50">
        <f>preF_FD + E50 + F50 + H50</f>
        <v/>
      </c>
      <c r="J50">
        <f>NA_P/MIN(NA_cap/(I50+K49), (1-NA_disc)*B50)</f>
        <v/>
      </c>
      <c r="K50">
        <f>NB_P/MIN(NB_cap/(I50+J50), (1-NB_disc)*B50)</f>
        <v/>
      </c>
      <c r="L50">
        <f>F_primary/B50</f>
        <v/>
      </c>
      <c r="M50">
        <f>I50+J50+K50</f>
        <v/>
      </c>
      <c r="N50">
        <f>D30/M50</f>
        <v/>
      </c>
      <c r="O50">
        <f>IF(Y49*L50 &gt; F_primary, 1, 0)</f>
        <v/>
      </c>
      <c r="P50">
        <f>IF(Y49*(E_sh + F50) &gt; E_inv, 1, 0)</f>
        <v/>
      </c>
      <c r="Q50">
        <f>IF(Y49*(D_sh + E50) &gt; D_inv, 1, 0)</f>
        <v/>
      </c>
      <c r="R50">
        <f>IF(Y49*C_sh &gt; C_inv, 1, 0)</f>
        <v/>
      </c>
      <c r="S50">
        <f>IF(Y49*B_sh &gt; B_inv, 1, 0)</f>
        <v/>
      </c>
      <c r="T50">
        <f>IF(Y49*A_sh &gt; A_inv, 1, 0)</f>
        <v/>
      </c>
      <c r="U50">
        <f>IF(Y49*seed_sh &gt; seed_inv, 1, 0)</f>
        <v/>
      </c>
      <c r="V50">
        <f>(1-O50)*F_primary+(1-P50)*E_inv+(1-Q50)*D_inv+(1-R50)*C_inv+(1-S50)*B_inv+(1-T50)*A_inv+(1-U50)*seed_inv</f>
        <v/>
      </c>
      <c r="W50">
        <f>MAX(0, sens_exit - V50)</f>
        <v/>
      </c>
      <c r="X50">
        <f>F1_sh+F2_sh+F3_sh+RSA_sh+J50+K50+O50*L50+P50*(E_sh + F50)+Q50*(D_sh + E50)+R50*C_sh+S50*B_sh+T50*A_sh+U50*seed_sh</f>
        <v/>
      </c>
      <c r="Y50">
        <f>(W50 + preF_opts_iss*opt_strike)/(X50 + preF_opts_iss)</f>
        <v/>
      </c>
    </row>
    <row r="51">
      <c r="B51">
        <f>N50</f>
        <v/>
      </c>
      <c r="C51">
        <f>OCP_D*(preF_FD + F_primary/OCP_D)/(preF_FD + F_primary/B51)</f>
        <v/>
      </c>
      <c r="D51">
        <f>OCP_E*(preF_FD + F_primary/OCP_E)/(preF_FD + F_primary/B51)</f>
        <v/>
      </c>
      <c r="E51">
        <f>D_sh*(OCP_D/C51 - 1)</f>
        <v/>
      </c>
      <c r="F51">
        <f>E_sh*(OCP_E/D51 - 1)</f>
        <v/>
      </c>
      <c r="G51">
        <f>(preF_FD + E51 + F51 - preF_opts + J50 + K50 + F_primary/B51)/(1-B30)</f>
        <v/>
      </c>
      <c r="H51">
        <f>MAX(0, B30*G51 - preF_opts)</f>
        <v/>
      </c>
      <c r="I51">
        <f>preF_FD + E51 + F51 + H51</f>
        <v/>
      </c>
      <c r="J51">
        <f>NA_P/MIN(NA_cap/(I51+K50), (1-NA_disc)*B51)</f>
        <v/>
      </c>
      <c r="K51">
        <f>NB_P/MIN(NB_cap/(I51+J51), (1-NB_disc)*B51)</f>
        <v/>
      </c>
      <c r="L51">
        <f>F_primary/B51</f>
        <v/>
      </c>
      <c r="M51">
        <f>I51+J51+K51</f>
        <v/>
      </c>
      <c r="N51">
        <f>D30/M51</f>
        <v/>
      </c>
      <c r="O51">
        <f>IF(Y50*L51 &gt; F_primary, 1, 0)</f>
        <v/>
      </c>
      <c r="P51">
        <f>IF(Y50*(E_sh + F51) &gt; E_inv, 1, 0)</f>
        <v/>
      </c>
      <c r="Q51">
        <f>IF(Y50*(D_sh + E51) &gt; D_inv, 1, 0)</f>
        <v/>
      </c>
      <c r="R51">
        <f>IF(Y50*C_sh &gt; C_inv, 1, 0)</f>
        <v/>
      </c>
      <c r="S51">
        <f>IF(Y50*B_sh &gt; B_inv, 1, 0)</f>
        <v/>
      </c>
      <c r="T51">
        <f>IF(Y50*A_sh &gt; A_inv, 1, 0)</f>
        <v/>
      </c>
      <c r="U51">
        <f>IF(Y50*seed_sh &gt; seed_inv, 1, 0)</f>
        <v/>
      </c>
      <c r="V51">
        <f>(1-O51)*F_primary+(1-P51)*E_inv+(1-Q51)*D_inv+(1-R51)*C_inv+(1-S51)*B_inv+(1-T51)*A_inv+(1-U51)*seed_inv</f>
        <v/>
      </c>
      <c r="W51">
        <f>MAX(0, sens_exit - V51)</f>
        <v/>
      </c>
      <c r="X51">
        <f>F1_sh+F2_sh+F3_sh+RSA_sh+J51+K51+O51*L51+P51*(E_sh + F51)+Q51*(D_sh + E51)+R51*C_sh+S51*B_sh+T51*A_sh+U51*seed_sh</f>
        <v/>
      </c>
      <c r="Y51">
        <f>(W51 + preF_opts_iss*opt_strike)/(X51 + preF_opts_iss)</f>
        <v/>
      </c>
    </row>
    <row r="52">
      <c r="B52">
        <f>N51</f>
        <v/>
      </c>
      <c r="C52">
        <f>OCP_D*(preF_FD + F_primary/OCP_D)/(preF_FD + F_primary/B52)</f>
        <v/>
      </c>
      <c r="D52">
        <f>OCP_E*(preF_FD + F_primary/OCP_E)/(preF_FD + F_primary/B52)</f>
        <v/>
      </c>
      <c r="E52">
        <f>D_sh*(OCP_D/C52 - 1)</f>
        <v/>
      </c>
      <c r="F52">
        <f>E_sh*(OCP_E/D52 - 1)</f>
        <v/>
      </c>
      <c r="G52">
        <f>(preF_FD + E52 + F52 - preF_opts + J51 + K51 + F_primary/B52)/(1-B30)</f>
        <v/>
      </c>
      <c r="H52">
        <f>MAX(0, B30*G52 - preF_opts)</f>
        <v/>
      </c>
      <c r="I52">
        <f>preF_FD + E52 + F52 + H52</f>
        <v/>
      </c>
      <c r="J52">
        <f>NA_P/MIN(NA_cap/(I52+K51), (1-NA_disc)*B52)</f>
        <v/>
      </c>
      <c r="K52">
        <f>NB_P/MIN(NB_cap/(I52+J52), (1-NB_disc)*B52)</f>
        <v/>
      </c>
      <c r="L52">
        <f>F_primary/B52</f>
        <v/>
      </c>
      <c r="M52">
        <f>I52+J52+K52</f>
        <v/>
      </c>
      <c r="N52">
        <f>D30/M52</f>
        <v/>
      </c>
      <c r="O52">
        <f>IF(Y51*L52 &gt; F_primary, 1, 0)</f>
        <v/>
      </c>
      <c r="P52">
        <f>IF(Y51*(E_sh + F52) &gt; E_inv, 1, 0)</f>
        <v/>
      </c>
      <c r="Q52">
        <f>IF(Y51*(D_sh + E52) &gt; D_inv, 1, 0)</f>
        <v/>
      </c>
      <c r="R52">
        <f>IF(Y51*C_sh &gt; C_inv, 1, 0)</f>
        <v/>
      </c>
      <c r="S52">
        <f>IF(Y51*B_sh &gt; B_inv, 1, 0)</f>
        <v/>
      </c>
      <c r="T52">
        <f>IF(Y51*A_sh &gt; A_inv, 1, 0)</f>
        <v/>
      </c>
      <c r="U52">
        <f>IF(Y51*seed_sh &gt; seed_inv, 1, 0)</f>
        <v/>
      </c>
      <c r="V52">
        <f>(1-O52)*F_primary+(1-P52)*E_inv+(1-Q52)*D_inv+(1-R52)*C_inv+(1-S52)*B_inv+(1-T52)*A_inv+(1-U52)*seed_inv</f>
        <v/>
      </c>
      <c r="W52">
        <f>MAX(0, sens_exit - V52)</f>
        <v/>
      </c>
      <c r="X52">
        <f>F1_sh+F2_sh+F3_sh+RSA_sh+J52+K52+O52*L52+P52*(E_sh + F52)+Q52*(D_sh + E52)+R52*C_sh+S52*B_sh+T52*A_sh+U52*seed_sh</f>
        <v/>
      </c>
      <c r="Y52">
        <f>(W52 + preF_opts_iss*opt_strike)/(X52 + preF_opts_iss)</f>
        <v/>
      </c>
    </row>
    <row r="53">
      <c r="B53">
        <f>N52</f>
        <v/>
      </c>
      <c r="C53">
        <f>OCP_D*(preF_FD + F_primary/OCP_D)/(preF_FD + F_primary/B53)</f>
        <v/>
      </c>
      <c r="D53">
        <f>OCP_E*(preF_FD + F_primary/OCP_E)/(preF_FD + F_primary/B53)</f>
        <v/>
      </c>
      <c r="E53">
        <f>D_sh*(OCP_D/C53 - 1)</f>
        <v/>
      </c>
      <c r="F53">
        <f>E_sh*(OCP_E/D53 - 1)</f>
        <v/>
      </c>
      <c r="G53">
        <f>(preF_FD + E53 + F53 - preF_opts + J52 + K52 + F_primary/B53)/(1-B30)</f>
        <v/>
      </c>
      <c r="H53">
        <f>MAX(0, B30*G53 - preF_opts)</f>
        <v/>
      </c>
      <c r="I53">
        <f>preF_FD + E53 + F53 + H53</f>
        <v/>
      </c>
      <c r="J53">
        <f>NA_P/MIN(NA_cap/(I53+K52), (1-NA_disc)*B53)</f>
        <v/>
      </c>
      <c r="K53">
        <f>NB_P/MIN(NB_cap/(I53+J53), (1-NB_disc)*B53)</f>
        <v/>
      </c>
      <c r="L53">
        <f>F_primary/B53</f>
        <v/>
      </c>
      <c r="M53">
        <f>I53+J53+K53</f>
        <v/>
      </c>
      <c r="N53">
        <f>D30/M53</f>
        <v/>
      </c>
      <c r="O53">
        <f>IF(Y52*L53 &gt; F_primary, 1, 0)</f>
        <v/>
      </c>
      <c r="P53">
        <f>IF(Y52*(E_sh + F53) &gt; E_inv, 1, 0)</f>
        <v/>
      </c>
      <c r="Q53">
        <f>IF(Y52*(D_sh + E53) &gt; D_inv, 1, 0)</f>
        <v/>
      </c>
      <c r="R53">
        <f>IF(Y52*C_sh &gt; C_inv, 1, 0)</f>
        <v/>
      </c>
      <c r="S53">
        <f>IF(Y52*B_sh &gt; B_inv, 1, 0)</f>
        <v/>
      </c>
      <c r="T53">
        <f>IF(Y52*A_sh &gt; A_inv, 1, 0)</f>
        <v/>
      </c>
      <c r="U53">
        <f>IF(Y52*seed_sh &gt; seed_inv, 1, 0)</f>
        <v/>
      </c>
      <c r="V53">
        <f>(1-O53)*F_primary+(1-P53)*E_inv+(1-Q53)*D_inv+(1-R53)*C_inv+(1-S53)*B_inv+(1-T53)*A_inv+(1-U53)*seed_inv</f>
        <v/>
      </c>
      <c r="W53">
        <f>MAX(0, sens_exit - V53)</f>
        <v/>
      </c>
      <c r="X53">
        <f>F1_sh+F2_sh+F3_sh+RSA_sh+J53+K53+O53*L53+P53*(E_sh + F53)+Q53*(D_sh + E53)+R53*C_sh+S53*B_sh+T53*A_sh+U53*seed_sh</f>
        <v/>
      </c>
      <c r="Y53">
        <f>(W53 + preF_opts_iss*opt_strike)/(X53 + preF_opts_iss)</f>
        <v/>
      </c>
    </row>
    <row r="54">
      <c r="B54">
        <f>N53</f>
        <v/>
      </c>
      <c r="C54">
        <f>OCP_D*(preF_FD + F_primary/OCP_D)/(preF_FD + F_primary/B54)</f>
        <v/>
      </c>
      <c r="D54">
        <f>OCP_E*(preF_FD + F_primary/OCP_E)/(preF_FD + F_primary/B54)</f>
        <v/>
      </c>
      <c r="E54">
        <f>D_sh*(OCP_D/C54 - 1)</f>
        <v/>
      </c>
      <c r="F54">
        <f>E_sh*(OCP_E/D54 - 1)</f>
        <v/>
      </c>
      <c r="G54">
        <f>(preF_FD + E54 + F54 - preF_opts + J53 + K53 + F_primary/B54)/(1-B30)</f>
        <v/>
      </c>
      <c r="H54">
        <f>MAX(0, B30*G54 - preF_opts)</f>
        <v/>
      </c>
      <c r="I54">
        <f>preF_FD + E54 + F54 + H54</f>
        <v/>
      </c>
      <c r="J54">
        <f>NA_P/MIN(NA_cap/(I54+K53), (1-NA_disc)*B54)</f>
        <v/>
      </c>
      <c r="K54">
        <f>NB_P/MIN(NB_cap/(I54+J54), (1-NB_disc)*B54)</f>
        <v/>
      </c>
      <c r="L54">
        <f>F_primary/B54</f>
        <v/>
      </c>
      <c r="M54">
        <f>I54+J54+K54</f>
        <v/>
      </c>
      <c r="N54">
        <f>D30/M54</f>
        <v/>
      </c>
      <c r="O54">
        <f>IF(Y53*L54 &gt; F_primary, 1, 0)</f>
        <v/>
      </c>
      <c r="P54">
        <f>IF(Y53*(E_sh + F54) &gt; E_inv, 1, 0)</f>
        <v/>
      </c>
      <c r="Q54">
        <f>IF(Y53*(D_sh + E54) &gt; D_inv, 1, 0)</f>
        <v/>
      </c>
      <c r="R54">
        <f>IF(Y53*C_sh &gt; C_inv, 1, 0)</f>
        <v/>
      </c>
      <c r="S54">
        <f>IF(Y53*B_sh &gt; B_inv, 1, 0)</f>
        <v/>
      </c>
      <c r="T54">
        <f>IF(Y53*A_sh &gt; A_inv, 1, 0)</f>
        <v/>
      </c>
      <c r="U54">
        <f>IF(Y53*seed_sh &gt; seed_inv, 1, 0)</f>
        <v/>
      </c>
      <c r="V54">
        <f>(1-O54)*F_primary+(1-P54)*E_inv+(1-Q54)*D_inv+(1-R54)*C_inv+(1-S54)*B_inv+(1-T54)*A_inv+(1-U54)*seed_inv</f>
        <v/>
      </c>
      <c r="W54">
        <f>MAX(0, sens_exit - V54)</f>
        <v/>
      </c>
      <c r="X54">
        <f>F1_sh+F2_sh+F3_sh+RSA_sh+J54+K54+O54*L54+P54*(E_sh + F54)+Q54*(D_sh + E54)+R54*C_sh+S54*B_sh+T54*A_sh+U54*seed_sh</f>
        <v/>
      </c>
      <c r="Y54">
        <f>(W54 + preF_opts_iss*opt_strike)/(X54 + preF_opts_iss)</f>
        <v/>
      </c>
    </row>
    <row r="55">
      <c r="B55">
        <f>N54</f>
        <v/>
      </c>
      <c r="C55">
        <f>OCP_D*(preF_FD + F_primary/OCP_D)/(preF_FD + F_primary/B55)</f>
        <v/>
      </c>
      <c r="D55">
        <f>OCP_E*(preF_FD + F_primary/OCP_E)/(preF_FD + F_primary/B55)</f>
        <v/>
      </c>
      <c r="E55">
        <f>D_sh*(OCP_D/C55 - 1)</f>
        <v/>
      </c>
      <c r="F55">
        <f>E_sh*(OCP_E/D55 - 1)</f>
        <v/>
      </c>
      <c r="G55">
        <f>(preF_FD + E55 + F55 - preF_opts + J54 + K54 + F_primary/B55)/(1-B30)</f>
        <v/>
      </c>
      <c r="H55">
        <f>MAX(0, B30*G55 - preF_opts)</f>
        <v/>
      </c>
      <c r="I55">
        <f>preF_FD + E55 + F55 + H55</f>
        <v/>
      </c>
      <c r="J55">
        <f>NA_P/MIN(NA_cap/(I55+K54), (1-NA_disc)*B55)</f>
        <v/>
      </c>
      <c r="K55">
        <f>NB_P/MIN(NB_cap/(I55+J55), (1-NB_disc)*B55)</f>
        <v/>
      </c>
      <c r="L55">
        <f>F_primary/B55</f>
        <v/>
      </c>
      <c r="M55">
        <f>I55+J55+K55</f>
        <v/>
      </c>
      <c r="N55">
        <f>D30/M55</f>
        <v/>
      </c>
      <c r="O55">
        <f>IF(Y54*L55 &gt; F_primary, 1, 0)</f>
        <v/>
      </c>
      <c r="P55">
        <f>IF(Y54*(E_sh + F55) &gt; E_inv, 1, 0)</f>
        <v/>
      </c>
      <c r="Q55">
        <f>IF(Y54*(D_sh + E55) &gt; D_inv, 1, 0)</f>
        <v/>
      </c>
      <c r="R55">
        <f>IF(Y54*C_sh &gt; C_inv, 1, 0)</f>
        <v/>
      </c>
      <c r="S55">
        <f>IF(Y54*B_sh &gt; B_inv, 1, 0)</f>
        <v/>
      </c>
      <c r="T55">
        <f>IF(Y54*A_sh &gt; A_inv, 1, 0)</f>
        <v/>
      </c>
      <c r="U55">
        <f>IF(Y54*seed_sh &gt; seed_inv, 1, 0)</f>
        <v/>
      </c>
      <c r="V55">
        <f>(1-O55)*F_primary+(1-P55)*E_inv+(1-Q55)*D_inv+(1-R55)*C_inv+(1-S55)*B_inv+(1-T55)*A_inv+(1-U55)*seed_inv</f>
        <v/>
      </c>
      <c r="W55">
        <f>MAX(0, sens_exit - V55)</f>
        <v/>
      </c>
      <c r="X55">
        <f>F1_sh+F2_sh+F3_sh+RSA_sh+J55+K55+O55*L55+P55*(E_sh + F55)+Q55*(D_sh + E55)+R55*C_sh+S55*B_sh+T55*A_sh+U55*seed_sh</f>
        <v/>
      </c>
      <c r="Y55">
        <f>(W55 + preF_opts_iss*opt_strike)/(X55 + preF_opts_iss)</f>
        <v/>
      </c>
    </row>
    <row r="56">
      <c r="B56">
        <f>N55</f>
        <v/>
      </c>
      <c r="C56">
        <f>OCP_D*(preF_FD + F_primary/OCP_D)/(preF_FD + F_primary/B56)</f>
        <v/>
      </c>
      <c r="D56">
        <f>OCP_E*(preF_FD + F_primary/OCP_E)/(preF_FD + F_primary/B56)</f>
        <v/>
      </c>
      <c r="E56">
        <f>D_sh*(OCP_D/C56 - 1)</f>
        <v/>
      </c>
      <c r="F56">
        <f>E_sh*(OCP_E/D56 - 1)</f>
        <v/>
      </c>
      <c r="G56">
        <f>(preF_FD + E56 + F56 - preF_opts + J55 + K55 + F_primary/B56)/(1-B30)</f>
        <v/>
      </c>
      <c r="H56">
        <f>MAX(0, B30*G56 - preF_opts)</f>
        <v/>
      </c>
      <c r="I56">
        <f>preF_FD + E56 + F56 + H56</f>
        <v/>
      </c>
      <c r="J56">
        <f>NA_P/MIN(NA_cap/(I56+K55), (1-NA_disc)*B56)</f>
        <v/>
      </c>
      <c r="K56">
        <f>NB_P/MIN(NB_cap/(I56+J56), (1-NB_disc)*B56)</f>
        <v/>
      </c>
      <c r="L56">
        <f>F_primary/B56</f>
        <v/>
      </c>
      <c r="M56">
        <f>I56+J56+K56</f>
        <v/>
      </c>
      <c r="N56">
        <f>D30/M56</f>
        <v/>
      </c>
      <c r="O56">
        <f>IF(Y55*L56 &gt; F_primary, 1, 0)</f>
        <v/>
      </c>
      <c r="P56">
        <f>IF(Y55*(E_sh + F56) &gt; E_inv, 1, 0)</f>
        <v/>
      </c>
      <c r="Q56">
        <f>IF(Y55*(D_sh + E56) &gt; D_inv, 1, 0)</f>
        <v/>
      </c>
      <c r="R56">
        <f>IF(Y55*C_sh &gt; C_inv, 1, 0)</f>
        <v/>
      </c>
      <c r="S56">
        <f>IF(Y55*B_sh &gt; B_inv, 1, 0)</f>
        <v/>
      </c>
      <c r="T56">
        <f>IF(Y55*A_sh &gt; A_inv, 1, 0)</f>
        <v/>
      </c>
      <c r="U56">
        <f>IF(Y55*seed_sh &gt; seed_inv, 1, 0)</f>
        <v/>
      </c>
      <c r="V56">
        <f>(1-O56)*F_primary+(1-P56)*E_inv+(1-Q56)*D_inv+(1-R56)*C_inv+(1-S56)*B_inv+(1-T56)*A_inv+(1-U56)*seed_inv</f>
        <v/>
      </c>
      <c r="W56">
        <f>MAX(0, sens_exit - V56)</f>
        <v/>
      </c>
      <c r="X56">
        <f>F1_sh+F2_sh+F3_sh+RSA_sh+J56+K56+O56*L56+P56*(E_sh + F56)+Q56*(D_sh + E56)+R56*C_sh+S56*B_sh+T56*A_sh+U56*seed_sh</f>
        <v/>
      </c>
      <c r="Y56">
        <f>(W56 + preF_opts_iss*opt_strike)/(X56 + preF_opts_iss)</f>
        <v/>
      </c>
    </row>
    <row r="57">
      <c r="B57">
        <f>N56</f>
        <v/>
      </c>
      <c r="C57">
        <f>OCP_D*(preF_FD + F_primary/OCP_D)/(preF_FD + F_primary/B57)</f>
        <v/>
      </c>
      <c r="D57">
        <f>OCP_E*(preF_FD + F_primary/OCP_E)/(preF_FD + F_primary/B57)</f>
        <v/>
      </c>
      <c r="E57">
        <f>D_sh*(OCP_D/C57 - 1)</f>
        <v/>
      </c>
      <c r="F57">
        <f>E_sh*(OCP_E/D57 - 1)</f>
        <v/>
      </c>
      <c r="G57">
        <f>(preF_FD + E57 + F57 - preF_opts + J56 + K56 + F_primary/B57)/(1-B30)</f>
        <v/>
      </c>
      <c r="H57">
        <f>MAX(0, B30*G57 - preF_opts)</f>
        <v/>
      </c>
      <c r="I57">
        <f>preF_FD + E57 + F57 + H57</f>
        <v/>
      </c>
      <c r="J57">
        <f>NA_P/MIN(NA_cap/(I57+K56), (1-NA_disc)*B57)</f>
        <v/>
      </c>
      <c r="K57">
        <f>NB_P/MIN(NB_cap/(I57+J57), (1-NB_disc)*B57)</f>
        <v/>
      </c>
      <c r="L57">
        <f>F_primary/B57</f>
        <v/>
      </c>
      <c r="M57">
        <f>I57+J57+K57</f>
        <v/>
      </c>
      <c r="N57">
        <f>D30/M57</f>
        <v/>
      </c>
      <c r="O57">
        <f>IF(Y56*L57 &gt; F_primary, 1, 0)</f>
        <v/>
      </c>
      <c r="P57">
        <f>IF(Y56*(E_sh + F57) &gt; E_inv, 1, 0)</f>
        <v/>
      </c>
      <c r="Q57">
        <f>IF(Y56*(D_sh + E57) &gt; D_inv, 1, 0)</f>
        <v/>
      </c>
      <c r="R57">
        <f>IF(Y56*C_sh &gt; C_inv, 1, 0)</f>
        <v/>
      </c>
      <c r="S57">
        <f>IF(Y56*B_sh &gt; B_inv, 1, 0)</f>
        <v/>
      </c>
      <c r="T57">
        <f>IF(Y56*A_sh &gt; A_inv, 1, 0)</f>
        <v/>
      </c>
      <c r="U57">
        <f>IF(Y56*seed_sh &gt; seed_inv, 1, 0)</f>
        <v/>
      </c>
      <c r="V57">
        <f>(1-O57)*F_primary+(1-P57)*E_inv+(1-Q57)*D_inv+(1-R57)*C_inv+(1-S57)*B_inv+(1-T57)*A_inv+(1-U57)*seed_inv</f>
        <v/>
      </c>
      <c r="W57">
        <f>MAX(0, sens_exit - V57)</f>
        <v/>
      </c>
      <c r="X57">
        <f>F1_sh+F2_sh+F3_sh+RSA_sh+J57+K57+O57*L57+P57*(E_sh + F57)+Q57*(D_sh + E57)+R57*C_sh+S57*B_sh+T57*A_sh+U57*seed_sh</f>
        <v/>
      </c>
      <c r="Y57">
        <f>(W57 + preF_opts_iss*opt_strike)/(X57 + preF_opts_iss)</f>
        <v/>
      </c>
    </row>
    <row r="58">
      <c r="B58">
        <f>N57</f>
        <v/>
      </c>
      <c r="C58">
        <f>OCP_D*(preF_FD + F_primary/OCP_D)/(preF_FD + F_primary/B58)</f>
        <v/>
      </c>
      <c r="D58">
        <f>OCP_E*(preF_FD + F_primary/OCP_E)/(preF_FD + F_primary/B58)</f>
        <v/>
      </c>
      <c r="E58">
        <f>D_sh*(OCP_D/C58 - 1)</f>
        <v/>
      </c>
      <c r="F58">
        <f>E_sh*(OCP_E/D58 - 1)</f>
        <v/>
      </c>
      <c r="G58">
        <f>(preF_FD + E58 + F58 - preF_opts + J57 + K57 + F_primary/B58)/(1-B30)</f>
        <v/>
      </c>
      <c r="H58">
        <f>MAX(0, B30*G58 - preF_opts)</f>
        <v/>
      </c>
      <c r="I58">
        <f>preF_FD + E58 + F58 + H58</f>
        <v/>
      </c>
      <c r="J58">
        <f>NA_P/MIN(NA_cap/(I58+K57), (1-NA_disc)*B58)</f>
        <v/>
      </c>
      <c r="K58">
        <f>NB_P/MIN(NB_cap/(I58+J58), (1-NB_disc)*B58)</f>
        <v/>
      </c>
      <c r="L58">
        <f>F_primary/B58</f>
        <v/>
      </c>
      <c r="M58">
        <f>I58+J58+K58</f>
        <v/>
      </c>
      <c r="N58">
        <f>D30/M58</f>
        <v/>
      </c>
      <c r="O58">
        <f>IF(Y57*L58 &gt; F_primary, 1, 0)</f>
        <v/>
      </c>
      <c r="P58">
        <f>IF(Y57*(E_sh + F58) &gt; E_inv, 1, 0)</f>
        <v/>
      </c>
      <c r="Q58">
        <f>IF(Y57*(D_sh + E58) &gt; D_inv, 1, 0)</f>
        <v/>
      </c>
      <c r="R58">
        <f>IF(Y57*C_sh &gt; C_inv, 1, 0)</f>
        <v/>
      </c>
      <c r="S58">
        <f>IF(Y57*B_sh &gt; B_inv, 1, 0)</f>
        <v/>
      </c>
      <c r="T58">
        <f>IF(Y57*A_sh &gt; A_inv, 1, 0)</f>
        <v/>
      </c>
      <c r="U58">
        <f>IF(Y57*seed_sh &gt; seed_inv, 1, 0)</f>
        <v/>
      </c>
      <c r="V58">
        <f>(1-O58)*F_primary+(1-P58)*E_inv+(1-Q58)*D_inv+(1-R58)*C_inv+(1-S58)*B_inv+(1-T58)*A_inv+(1-U58)*seed_inv</f>
        <v/>
      </c>
      <c r="W58">
        <f>MAX(0, sens_exit - V58)</f>
        <v/>
      </c>
      <c r="X58">
        <f>F1_sh+F2_sh+F3_sh+RSA_sh+J58+K58+O58*L58+P58*(E_sh + F58)+Q58*(D_sh + E58)+R58*C_sh+S58*B_sh+T58*A_sh+U58*seed_sh</f>
        <v/>
      </c>
      <c r="Y58">
        <f>(W58 + preF_opts_iss*opt_strike)/(X58 + preF_opts_iss)</f>
        <v/>
      </c>
    </row>
    <row r="59">
      <c r="B59">
        <f>N58</f>
        <v/>
      </c>
      <c r="C59">
        <f>OCP_D*(preF_FD + F_primary/OCP_D)/(preF_FD + F_primary/B59)</f>
        <v/>
      </c>
      <c r="D59">
        <f>OCP_E*(preF_FD + F_primary/OCP_E)/(preF_FD + F_primary/B59)</f>
        <v/>
      </c>
      <c r="E59">
        <f>D_sh*(OCP_D/C59 - 1)</f>
        <v/>
      </c>
      <c r="F59">
        <f>E_sh*(OCP_E/D59 - 1)</f>
        <v/>
      </c>
      <c r="G59">
        <f>(preF_FD + E59 + F59 - preF_opts + J58 + K58 + F_primary/B59)/(1-B30)</f>
        <v/>
      </c>
      <c r="H59">
        <f>MAX(0, B30*G59 - preF_opts)</f>
        <v/>
      </c>
      <c r="I59">
        <f>preF_FD + E59 + F59 + H59</f>
        <v/>
      </c>
      <c r="J59">
        <f>NA_P/MIN(NA_cap/(I59+K58), (1-NA_disc)*B59)</f>
        <v/>
      </c>
      <c r="K59">
        <f>NB_P/MIN(NB_cap/(I59+J59), (1-NB_disc)*B59)</f>
        <v/>
      </c>
      <c r="L59">
        <f>F_primary/B59</f>
        <v/>
      </c>
      <c r="M59">
        <f>I59+J59+K59</f>
        <v/>
      </c>
      <c r="N59">
        <f>D30/M59</f>
        <v/>
      </c>
      <c r="O59">
        <f>IF(Y58*L59 &gt; F_primary, 1, 0)</f>
        <v/>
      </c>
      <c r="P59">
        <f>IF(Y58*(E_sh + F59) &gt; E_inv, 1, 0)</f>
        <v/>
      </c>
      <c r="Q59">
        <f>IF(Y58*(D_sh + E59) &gt; D_inv, 1, 0)</f>
        <v/>
      </c>
      <c r="R59">
        <f>IF(Y58*C_sh &gt; C_inv, 1, 0)</f>
        <v/>
      </c>
      <c r="S59">
        <f>IF(Y58*B_sh &gt; B_inv, 1, 0)</f>
        <v/>
      </c>
      <c r="T59">
        <f>IF(Y58*A_sh &gt; A_inv, 1, 0)</f>
        <v/>
      </c>
      <c r="U59">
        <f>IF(Y58*seed_sh &gt; seed_inv, 1, 0)</f>
        <v/>
      </c>
      <c r="V59">
        <f>(1-O59)*F_primary+(1-P59)*E_inv+(1-Q59)*D_inv+(1-R59)*C_inv+(1-S59)*B_inv+(1-T59)*A_inv+(1-U59)*seed_inv</f>
        <v/>
      </c>
      <c r="W59">
        <f>MAX(0, sens_exit - V59)</f>
        <v/>
      </c>
      <c r="X59">
        <f>F1_sh+F2_sh+F3_sh+RSA_sh+J59+K59+O59*L59+P59*(E_sh + F59)+Q59*(D_sh + E59)+R59*C_sh+S59*B_sh+T59*A_sh+U59*seed_sh</f>
        <v/>
      </c>
      <c r="Y59">
        <f>(W59 + preF_opts_iss*opt_strike)/(X59 + preF_opts_iss)</f>
        <v/>
      </c>
    </row>
    <row r="60">
      <c r="B60">
        <f>N59</f>
        <v/>
      </c>
      <c r="C60">
        <f>OCP_D*(preF_FD + F_primary/OCP_D)/(preF_FD + F_primary/B60)</f>
        <v/>
      </c>
      <c r="D60">
        <f>OCP_E*(preF_FD + F_primary/OCP_E)/(preF_FD + F_primary/B60)</f>
        <v/>
      </c>
      <c r="E60">
        <f>D_sh*(OCP_D/C60 - 1)</f>
        <v/>
      </c>
      <c r="F60">
        <f>E_sh*(OCP_E/D60 - 1)</f>
        <v/>
      </c>
      <c r="G60">
        <f>(preF_FD + E60 + F60 - preF_opts + J59 + K59 + F_primary/B60)/(1-B30)</f>
        <v/>
      </c>
      <c r="H60">
        <f>MAX(0, B30*G60 - preF_opts)</f>
        <v/>
      </c>
      <c r="I60">
        <f>preF_FD + E60 + F60 + H60</f>
        <v/>
      </c>
      <c r="J60">
        <f>NA_P/MIN(NA_cap/(I60+K59), (1-NA_disc)*B60)</f>
        <v/>
      </c>
      <c r="K60">
        <f>NB_P/MIN(NB_cap/(I60+J60), (1-NB_disc)*B60)</f>
        <v/>
      </c>
      <c r="L60">
        <f>F_primary/B60</f>
        <v/>
      </c>
      <c r="M60">
        <f>I60+J60+K60</f>
        <v/>
      </c>
      <c r="N60">
        <f>D30/M60</f>
        <v/>
      </c>
      <c r="O60">
        <f>IF(Y59*L60 &gt; F_primary, 1, 0)</f>
        <v/>
      </c>
      <c r="P60">
        <f>IF(Y59*(E_sh + F60) &gt; E_inv, 1, 0)</f>
        <v/>
      </c>
      <c r="Q60">
        <f>IF(Y59*(D_sh + E60) &gt; D_inv, 1, 0)</f>
        <v/>
      </c>
      <c r="R60">
        <f>IF(Y59*C_sh &gt; C_inv, 1, 0)</f>
        <v/>
      </c>
      <c r="S60">
        <f>IF(Y59*B_sh &gt; B_inv, 1, 0)</f>
        <v/>
      </c>
      <c r="T60">
        <f>IF(Y59*A_sh &gt; A_inv, 1, 0)</f>
        <v/>
      </c>
      <c r="U60">
        <f>IF(Y59*seed_sh &gt; seed_inv, 1, 0)</f>
        <v/>
      </c>
      <c r="V60">
        <f>(1-O60)*F_primary+(1-P60)*E_inv+(1-Q60)*D_inv+(1-R60)*C_inv+(1-S60)*B_inv+(1-T60)*A_inv+(1-U60)*seed_inv</f>
        <v/>
      </c>
      <c r="W60">
        <f>MAX(0, sens_exit - V60)</f>
        <v/>
      </c>
      <c r="X60">
        <f>F1_sh+F2_sh+F3_sh+RSA_sh+J60+K60+O60*L60+P60*(E_sh + F60)+Q60*(D_sh + E60)+R60*C_sh+S60*B_sh+T60*A_sh+U60*seed_sh</f>
        <v/>
      </c>
      <c r="Y60">
        <f>(W60 + preF_opts_iss*opt_strike)/(X60 + preF_opts_iss)</f>
        <v/>
      </c>
    </row>
    <row r="61">
      <c r="B61">
        <f>N60</f>
        <v/>
      </c>
      <c r="C61">
        <f>OCP_D*(preF_FD + F_primary/OCP_D)/(preF_FD + F_primary/B61)</f>
        <v/>
      </c>
      <c r="D61">
        <f>OCP_E*(preF_FD + F_primary/OCP_E)/(preF_FD + F_primary/B61)</f>
        <v/>
      </c>
      <c r="E61">
        <f>D_sh*(OCP_D/C61 - 1)</f>
        <v/>
      </c>
      <c r="F61">
        <f>E_sh*(OCP_E/D61 - 1)</f>
        <v/>
      </c>
      <c r="G61">
        <f>(preF_FD + E61 + F61 - preF_opts + J60 + K60 + F_primary/B61)/(1-B30)</f>
        <v/>
      </c>
      <c r="H61">
        <f>MAX(0, B30*G61 - preF_opts)</f>
        <v/>
      </c>
      <c r="I61">
        <f>preF_FD + E61 + F61 + H61</f>
        <v/>
      </c>
      <c r="J61">
        <f>NA_P/MIN(NA_cap/(I61+K60), (1-NA_disc)*B61)</f>
        <v/>
      </c>
      <c r="K61">
        <f>NB_P/MIN(NB_cap/(I61+J61), (1-NB_disc)*B61)</f>
        <v/>
      </c>
      <c r="L61">
        <f>F_primary/B61</f>
        <v/>
      </c>
      <c r="M61">
        <f>I61+J61+K61</f>
        <v/>
      </c>
      <c r="N61">
        <f>D30/M61</f>
        <v/>
      </c>
      <c r="O61">
        <f>IF(Y60*L61 &gt; F_primary, 1, 0)</f>
        <v/>
      </c>
      <c r="P61">
        <f>IF(Y60*(E_sh + F61) &gt; E_inv, 1, 0)</f>
        <v/>
      </c>
      <c r="Q61">
        <f>IF(Y60*(D_sh + E61) &gt; D_inv, 1, 0)</f>
        <v/>
      </c>
      <c r="R61">
        <f>IF(Y60*C_sh &gt; C_inv, 1, 0)</f>
        <v/>
      </c>
      <c r="S61">
        <f>IF(Y60*B_sh &gt; B_inv, 1, 0)</f>
        <v/>
      </c>
      <c r="T61">
        <f>IF(Y60*A_sh &gt; A_inv, 1, 0)</f>
        <v/>
      </c>
      <c r="U61">
        <f>IF(Y60*seed_sh &gt; seed_inv, 1, 0)</f>
        <v/>
      </c>
      <c r="V61">
        <f>(1-O61)*F_primary+(1-P61)*E_inv+(1-Q61)*D_inv+(1-R61)*C_inv+(1-S61)*B_inv+(1-T61)*A_inv+(1-U61)*seed_inv</f>
        <v/>
      </c>
      <c r="W61">
        <f>MAX(0, sens_exit - V61)</f>
        <v/>
      </c>
      <c r="X61">
        <f>F1_sh+F2_sh+F3_sh+RSA_sh+J61+K61+O61*L61+P61*(E_sh + F61)+Q61*(D_sh + E61)+R61*C_sh+S61*B_sh+T61*A_sh+U61*seed_sh</f>
        <v/>
      </c>
      <c r="Y61">
        <f>(W61 + preF_opts_iss*opt_strike)/(X61 + preF_opts_iss)</f>
        <v/>
      </c>
    </row>
    <row r="62">
      <c r="B62">
        <f>N61</f>
        <v/>
      </c>
      <c r="C62">
        <f>OCP_D*(preF_FD + F_primary/OCP_D)/(preF_FD + F_primary/B62)</f>
        <v/>
      </c>
      <c r="D62">
        <f>OCP_E*(preF_FD + F_primary/OCP_E)/(preF_FD + F_primary/B62)</f>
        <v/>
      </c>
      <c r="E62">
        <f>D_sh*(OCP_D/C62 - 1)</f>
        <v/>
      </c>
      <c r="F62">
        <f>E_sh*(OCP_E/D62 - 1)</f>
        <v/>
      </c>
      <c r="G62">
        <f>(preF_FD + E62 + F62 - preF_opts + J61 + K61 + F_primary/B62)/(1-B30)</f>
        <v/>
      </c>
      <c r="H62">
        <f>MAX(0, B30*G62 - preF_opts)</f>
        <v/>
      </c>
      <c r="I62">
        <f>preF_FD + E62 + F62 + H62</f>
        <v/>
      </c>
      <c r="J62">
        <f>NA_P/MIN(NA_cap/(I62+K61), (1-NA_disc)*B62)</f>
        <v/>
      </c>
      <c r="K62">
        <f>NB_P/MIN(NB_cap/(I62+J62), (1-NB_disc)*B62)</f>
        <v/>
      </c>
      <c r="L62">
        <f>F_primary/B62</f>
        <v/>
      </c>
      <c r="M62">
        <f>I62+J62+K62</f>
        <v/>
      </c>
      <c r="N62">
        <f>D30/M62</f>
        <v/>
      </c>
      <c r="O62">
        <f>IF(Y61*L62 &gt; F_primary, 1, 0)</f>
        <v/>
      </c>
      <c r="P62">
        <f>IF(Y61*(E_sh + F62) &gt; E_inv, 1, 0)</f>
        <v/>
      </c>
      <c r="Q62">
        <f>IF(Y61*(D_sh + E62) &gt; D_inv, 1, 0)</f>
        <v/>
      </c>
      <c r="R62">
        <f>IF(Y61*C_sh &gt; C_inv, 1, 0)</f>
        <v/>
      </c>
      <c r="S62">
        <f>IF(Y61*B_sh &gt; B_inv, 1, 0)</f>
        <v/>
      </c>
      <c r="T62">
        <f>IF(Y61*A_sh &gt; A_inv, 1, 0)</f>
        <v/>
      </c>
      <c r="U62">
        <f>IF(Y61*seed_sh &gt; seed_inv, 1, 0)</f>
        <v/>
      </c>
      <c r="V62">
        <f>(1-O62)*F_primary+(1-P62)*E_inv+(1-Q62)*D_inv+(1-R62)*C_inv+(1-S62)*B_inv+(1-T62)*A_inv+(1-U62)*seed_inv</f>
        <v/>
      </c>
      <c r="W62">
        <f>MAX(0, sens_exit - V62)</f>
        <v/>
      </c>
      <c r="X62">
        <f>F1_sh+F2_sh+F3_sh+RSA_sh+J62+K62+O62*L62+P62*(E_sh + F62)+Q62*(D_sh + E62)+R62*C_sh+S62*B_sh+T62*A_sh+U62*seed_sh</f>
        <v/>
      </c>
      <c r="Y62">
        <f>(W62 + preF_opts_iss*opt_strike)/(X62 + preF_opts_iss)</f>
        <v/>
      </c>
    </row>
    <row r="63">
      <c r="B63">
        <f>N62</f>
        <v/>
      </c>
      <c r="C63">
        <f>OCP_D*(preF_FD + F_primary/OCP_D)/(preF_FD + F_primary/B63)</f>
        <v/>
      </c>
      <c r="D63">
        <f>OCP_E*(preF_FD + F_primary/OCP_E)/(preF_FD + F_primary/B63)</f>
        <v/>
      </c>
      <c r="E63">
        <f>D_sh*(OCP_D/C63 - 1)</f>
        <v/>
      </c>
      <c r="F63">
        <f>E_sh*(OCP_E/D63 - 1)</f>
        <v/>
      </c>
      <c r="G63">
        <f>(preF_FD + E63 + F63 - preF_opts + J62 + K62 + F_primary/B63)/(1-B30)</f>
        <v/>
      </c>
      <c r="H63">
        <f>MAX(0, B30*G63 - preF_opts)</f>
        <v/>
      </c>
      <c r="I63">
        <f>preF_FD + E63 + F63 + H63</f>
        <v/>
      </c>
      <c r="J63">
        <f>NA_P/MIN(NA_cap/(I63+K62), (1-NA_disc)*B63)</f>
        <v/>
      </c>
      <c r="K63">
        <f>NB_P/MIN(NB_cap/(I63+J63), (1-NB_disc)*B63)</f>
        <v/>
      </c>
      <c r="L63">
        <f>F_primary/B63</f>
        <v/>
      </c>
      <c r="M63">
        <f>I63+J63+K63</f>
        <v/>
      </c>
      <c r="N63">
        <f>D30/M63</f>
        <v/>
      </c>
      <c r="O63">
        <f>IF(Y62*L63 &gt; F_primary, 1, 0)</f>
        <v/>
      </c>
      <c r="P63">
        <f>IF(Y62*(E_sh + F63) &gt; E_inv, 1, 0)</f>
        <v/>
      </c>
      <c r="Q63">
        <f>IF(Y62*(D_sh + E63) &gt; D_inv, 1, 0)</f>
        <v/>
      </c>
      <c r="R63">
        <f>IF(Y62*C_sh &gt; C_inv, 1, 0)</f>
        <v/>
      </c>
      <c r="S63">
        <f>IF(Y62*B_sh &gt; B_inv, 1, 0)</f>
        <v/>
      </c>
      <c r="T63">
        <f>IF(Y62*A_sh &gt; A_inv, 1, 0)</f>
        <v/>
      </c>
      <c r="U63">
        <f>IF(Y62*seed_sh &gt; seed_inv, 1, 0)</f>
        <v/>
      </c>
      <c r="V63">
        <f>(1-O63)*F_primary+(1-P63)*E_inv+(1-Q63)*D_inv+(1-R63)*C_inv+(1-S63)*B_inv+(1-T63)*A_inv+(1-U63)*seed_inv</f>
        <v/>
      </c>
      <c r="W63">
        <f>MAX(0, sens_exit - V63)</f>
        <v/>
      </c>
      <c r="X63">
        <f>F1_sh+F2_sh+F3_sh+RSA_sh+J63+K63+O63*L63+P63*(E_sh + F63)+Q63*(D_sh + E63)+R63*C_sh+S63*B_sh+T63*A_sh+U63*seed_sh</f>
        <v/>
      </c>
      <c r="Y63">
        <f>(W63 + preF_opts_iss*opt_strike)/(X63 + preF_opts_iss)</f>
        <v/>
      </c>
    </row>
    <row r="64">
      <c r="B64">
        <f>N63</f>
        <v/>
      </c>
      <c r="C64">
        <f>OCP_D*(preF_FD + F_primary/OCP_D)/(preF_FD + F_primary/B64)</f>
        <v/>
      </c>
      <c r="D64">
        <f>OCP_E*(preF_FD + F_primary/OCP_E)/(preF_FD + F_primary/B64)</f>
        <v/>
      </c>
      <c r="E64">
        <f>D_sh*(OCP_D/C64 - 1)</f>
        <v/>
      </c>
      <c r="F64">
        <f>E_sh*(OCP_E/D64 - 1)</f>
        <v/>
      </c>
      <c r="G64">
        <f>(preF_FD + E64 + F64 - preF_opts + J63 + K63 + F_primary/B64)/(1-B30)</f>
        <v/>
      </c>
      <c r="H64">
        <f>MAX(0, B30*G64 - preF_opts)</f>
        <v/>
      </c>
      <c r="I64">
        <f>preF_FD + E64 + F64 + H64</f>
        <v/>
      </c>
      <c r="J64">
        <f>NA_P/MIN(NA_cap/(I64+K63), (1-NA_disc)*B64)</f>
        <v/>
      </c>
      <c r="K64">
        <f>NB_P/MIN(NB_cap/(I64+J64), (1-NB_disc)*B64)</f>
        <v/>
      </c>
      <c r="L64">
        <f>F_primary/B64</f>
        <v/>
      </c>
      <c r="M64">
        <f>I64+J64+K64</f>
        <v/>
      </c>
      <c r="N64">
        <f>D30/M64</f>
        <v/>
      </c>
      <c r="O64">
        <f>IF(Y63*L64 &gt; F_primary, 1, 0)</f>
        <v/>
      </c>
      <c r="P64">
        <f>IF(Y63*(E_sh + F64) &gt; E_inv, 1, 0)</f>
        <v/>
      </c>
      <c r="Q64">
        <f>IF(Y63*(D_sh + E64) &gt; D_inv, 1, 0)</f>
        <v/>
      </c>
      <c r="R64">
        <f>IF(Y63*C_sh &gt; C_inv, 1, 0)</f>
        <v/>
      </c>
      <c r="S64">
        <f>IF(Y63*B_sh &gt; B_inv, 1, 0)</f>
        <v/>
      </c>
      <c r="T64">
        <f>IF(Y63*A_sh &gt; A_inv, 1, 0)</f>
        <v/>
      </c>
      <c r="U64">
        <f>IF(Y63*seed_sh &gt; seed_inv, 1, 0)</f>
        <v/>
      </c>
      <c r="V64">
        <f>(1-O64)*F_primary+(1-P64)*E_inv+(1-Q64)*D_inv+(1-R64)*C_inv+(1-S64)*B_inv+(1-T64)*A_inv+(1-U64)*seed_inv</f>
        <v/>
      </c>
      <c r="W64">
        <f>MAX(0, sens_exit - V64)</f>
        <v/>
      </c>
      <c r="X64">
        <f>F1_sh+F2_sh+F3_sh+RSA_sh+J64+K64+O64*L64+P64*(E_sh + F64)+Q64*(D_sh + E64)+R64*C_sh+S64*B_sh+T64*A_sh+U64*seed_sh</f>
        <v/>
      </c>
      <c r="Y64">
        <f>(W64 + preF_opts_iss*opt_strike)/(X64 + preF_opts_iss)</f>
        <v/>
      </c>
    </row>
    <row r="65">
      <c r="B65">
        <f>N64</f>
        <v/>
      </c>
      <c r="C65">
        <f>OCP_D*(preF_FD + F_primary/OCP_D)/(preF_FD + F_primary/B65)</f>
        <v/>
      </c>
      <c r="D65">
        <f>OCP_E*(preF_FD + F_primary/OCP_E)/(preF_FD + F_primary/B65)</f>
        <v/>
      </c>
      <c r="E65">
        <f>D_sh*(OCP_D/C65 - 1)</f>
        <v/>
      </c>
      <c r="F65">
        <f>E_sh*(OCP_E/D65 - 1)</f>
        <v/>
      </c>
      <c r="G65">
        <f>(preF_FD + E65 + F65 - preF_opts + J64 + K64 + F_primary/B65)/(1-B30)</f>
        <v/>
      </c>
      <c r="H65">
        <f>MAX(0, B30*G65 - preF_opts)</f>
        <v/>
      </c>
      <c r="I65">
        <f>preF_FD + E65 + F65 + H65</f>
        <v/>
      </c>
      <c r="J65">
        <f>NA_P/MIN(NA_cap/(I65+K64), (1-NA_disc)*B65)</f>
        <v/>
      </c>
      <c r="K65">
        <f>NB_P/MIN(NB_cap/(I65+J65), (1-NB_disc)*B65)</f>
        <v/>
      </c>
      <c r="L65">
        <f>F_primary/B65</f>
        <v/>
      </c>
      <c r="M65">
        <f>I65+J65+K65</f>
        <v/>
      </c>
      <c r="N65">
        <f>D30/M65</f>
        <v/>
      </c>
      <c r="O65">
        <f>IF(Y64*L65 &gt; F_primary, 1, 0)</f>
        <v/>
      </c>
      <c r="P65">
        <f>IF(Y64*(E_sh + F65) &gt; E_inv, 1, 0)</f>
        <v/>
      </c>
      <c r="Q65">
        <f>IF(Y64*(D_sh + E65) &gt; D_inv, 1, 0)</f>
        <v/>
      </c>
      <c r="R65">
        <f>IF(Y64*C_sh &gt; C_inv, 1, 0)</f>
        <v/>
      </c>
      <c r="S65">
        <f>IF(Y64*B_sh &gt; B_inv, 1, 0)</f>
        <v/>
      </c>
      <c r="T65">
        <f>IF(Y64*A_sh &gt; A_inv, 1, 0)</f>
        <v/>
      </c>
      <c r="U65">
        <f>IF(Y64*seed_sh &gt; seed_inv, 1, 0)</f>
        <v/>
      </c>
      <c r="V65">
        <f>(1-O65)*F_primary+(1-P65)*E_inv+(1-Q65)*D_inv+(1-R65)*C_inv+(1-S65)*B_inv+(1-T65)*A_inv+(1-U65)*seed_inv</f>
        <v/>
      </c>
      <c r="W65">
        <f>MAX(0, sens_exit - V65)</f>
        <v/>
      </c>
      <c r="X65">
        <f>F1_sh+F2_sh+F3_sh+RSA_sh+J65+K65+O65*L65+P65*(E_sh + F65)+Q65*(D_sh + E65)+R65*C_sh+S65*B_sh+T65*A_sh+U65*seed_sh</f>
        <v/>
      </c>
      <c r="Y65">
        <f>(W65 + preF_opts_iss*opt_strike)/(X65 + preF_opts_iss)</f>
        <v/>
      </c>
    </row>
    <row r="66">
      <c r="B66">
        <f>N65</f>
        <v/>
      </c>
      <c r="C66">
        <f>OCP_D*(preF_FD + F_primary/OCP_D)/(preF_FD + F_primary/B66)</f>
        <v/>
      </c>
      <c r="D66">
        <f>OCP_E*(preF_FD + F_primary/OCP_E)/(preF_FD + F_primary/B66)</f>
        <v/>
      </c>
      <c r="E66">
        <f>D_sh*(OCP_D/C66 - 1)</f>
        <v/>
      </c>
      <c r="F66">
        <f>E_sh*(OCP_E/D66 - 1)</f>
        <v/>
      </c>
      <c r="G66">
        <f>(preF_FD + E66 + F66 - preF_opts + J65 + K65 + F_primary/B66)/(1-B30)</f>
        <v/>
      </c>
      <c r="H66">
        <f>MAX(0, B30*G66 - preF_opts)</f>
        <v/>
      </c>
      <c r="I66">
        <f>preF_FD + E66 + F66 + H66</f>
        <v/>
      </c>
      <c r="J66">
        <f>NA_P/MIN(NA_cap/(I66+K65), (1-NA_disc)*B66)</f>
        <v/>
      </c>
      <c r="K66">
        <f>NB_P/MIN(NB_cap/(I66+J66), (1-NB_disc)*B66)</f>
        <v/>
      </c>
      <c r="L66">
        <f>F_primary/B66</f>
        <v/>
      </c>
      <c r="M66">
        <f>I66+J66+K66</f>
        <v/>
      </c>
      <c r="N66">
        <f>D30/M66</f>
        <v/>
      </c>
      <c r="O66">
        <f>IF(Y65*L66 &gt; F_primary, 1, 0)</f>
        <v/>
      </c>
      <c r="P66">
        <f>IF(Y65*(E_sh + F66) &gt; E_inv, 1, 0)</f>
        <v/>
      </c>
      <c r="Q66">
        <f>IF(Y65*(D_sh + E66) &gt; D_inv, 1, 0)</f>
        <v/>
      </c>
      <c r="R66">
        <f>IF(Y65*C_sh &gt; C_inv, 1, 0)</f>
        <v/>
      </c>
      <c r="S66">
        <f>IF(Y65*B_sh &gt; B_inv, 1, 0)</f>
        <v/>
      </c>
      <c r="T66">
        <f>IF(Y65*A_sh &gt; A_inv, 1, 0)</f>
        <v/>
      </c>
      <c r="U66">
        <f>IF(Y65*seed_sh &gt; seed_inv, 1, 0)</f>
        <v/>
      </c>
      <c r="V66">
        <f>(1-O66)*F_primary+(1-P66)*E_inv+(1-Q66)*D_inv+(1-R66)*C_inv+(1-S66)*B_inv+(1-T66)*A_inv+(1-U66)*seed_inv</f>
        <v/>
      </c>
      <c r="W66">
        <f>MAX(0, sens_exit - V66)</f>
        <v/>
      </c>
      <c r="X66">
        <f>F1_sh+F2_sh+F3_sh+RSA_sh+J66+K66+O66*L66+P66*(E_sh + F66)+Q66*(D_sh + E66)+R66*C_sh+S66*B_sh+T66*A_sh+U66*seed_sh</f>
        <v/>
      </c>
      <c r="Y66">
        <f>(W66 + preF_opts_iss*opt_strike)/(X66 + preF_opts_iss)</f>
        <v/>
      </c>
    </row>
    <row r="67">
      <c r="B67">
        <f>N66</f>
        <v/>
      </c>
      <c r="C67">
        <f>OCP_D*(preF_FD + F_primary/OCP_D)/(preF_FD + F_primary/B67)</f>
        <v/>
      </c>
      <c r="D67">
        <f>OCP_E*(preF_FD + F_primary/OCP_E)/(preF_FD + F_primary/B67)</f>
        <v/>
      </c>
      <c r="E67">
        <f>D_sh*(OCP_D/C67 - 1)</f>
        <v/>
      </c>
      <c r="F67">
        <f>E_sh*(OCP_E/D67 - 1)</f>
        <v/>
      </c>
      <c r="G67">
        <f>(preF_FD + E67 + F67 - preF_opts + J66 + K66 + F_primary/B67)/(1-B30)</f>
        <v/>
      </c>
      <c r="H67">
        <f>MAX(0, B30*G67 - preF_opts)</f>
        <v/>
      </c>
      <c r="I67">
        <f>preF_FD + E67 + F67 + H67</f>
        <v/>
      </c>
      <c r="J67">
        <f>NA_P/MIN(NA_cap/(I67+K66), (1-NA_disc)*B67)</f>
        <v/>
      </c>
      <c r="K67">
        <f>NB_P/MIN(NB_cap/(I67+J67), (1-NB_disc)*B67)</f>
        <v/>
      </c>
      <c r="L67">
        <f>F_primary/B67</f>
        <v/>
      </c>
      <c r="M67">
        <f>I67+J67+K67</f>
        <v/>
      </c>
      <c r="N67">
        <f>D30/M67</f>
        <v/>
      </c>
      <c r="O67">
        <f>IF(Y66*L67 &gt; F_primary, 1, 0)</f>
        <v/>
      </c>
      <c r="P67">
        <f>IF(Y66*(E_sh + F67) &gt; E_inv, 1, 0)</f>
        <v/>
      </c>
      <c r="Q67">
        <f>IF(Y66*(D_sh + E67) &gt; D_inv, 1, 0)</f>
        <v/>
      </c>
      <c r="R67">
        <f>IF(Y66*C_sh &gt; C_inv, 1, 0)</f>
        <v/>
      </c>
      <c r="S67">
        <f>IF(Y66*B_sh &gt; B_inv, 1, 0)</f>
        <v/>
      </c>
      <c r="T67">
        <f>IF(Y66*A_sh &gt; A_inv, 1, 0)</f>
        <v/>
      </c>
      <c r="U67">
        <f>IF(Y66*seed_sh &gt; seed_inv, 1, 0)</f>
        <v/>
      </c>
      <c r="V67">
        <f>(1-O67)*F_primary+(1-P67)*E_inv+(1-Q67)*D_inv+(1-R67)*C_inv+(1-S67)*B_inv+(1-T67)*A_inv+(1-U67)*seed_inv</f>
        <v/>
      </c>
      <c r="W67">
        <f>MAX(0, sens_exit - V67)</f>
        <v/>
      </c>
      <c r="X67">
        <f>F1_sh+F2_sh+F3_sh+RSA_sh+J67+K67+O67*L67+P67*(E_sh + F67)+Q67*(D_sh + E67)+R67*C_sh+S67*B_sh+T67*A_sh+U67*seed_sh</f>
        <v/>
      </c>
      <c r="Y67">
        <f>(W67 + preF_opts_iss*opt_strike)/(X67 + preF_opts_iss)</f>
        <v/>
      </c>
    </row>
    <row r="68">
      <c r="B68">
        <f>N67</f>
        <v/>
      </c>
      <c r="C68">
        <f>OCP_D*(preF_FD + F_primary/OCP_D)/(preF_FD + F_primary/B68)</f>
        <v/>
      </c>
      <c r="D68">
        <f>OCP_E*(preF_FD + F_primary/OCP_E)/(preF_FD + F_primary/B68)</f>
        <v/>
      </c>
      <c r="E68">
        <f>D_sh*(OCP_D/C68 - 1)</f>
        <v/>
      </c>
      <c r="F68">
        <f>E_sh*(OCP_E/D68 - 1)</f>
        <v/>
      </c>
      <c r="G68">
        <f>(preF_FD + E68 + F68 - preF_opts + J67 + K67 + F_primary/B68)/(1-B30)</f>
        <v/>
      </c>
      <c r="H68">
        <f>MAX(0, B30*G68 - preF_opts)</f>
        <v/>
      </c>
      <c r="I68">
        <f>preF_FD + E68 + F68 + H68</f>
        <v/>
      </c>
      <c r="J68">
        <f>NA_P/MIN(NA_cap/(I68+K67), (1-NA_disc)*B68)</f>
        <v/>
      </c>
      <c r="K68">
        <f>NB_P/MIN(NB_cap/(I68+J68), (1-NB_disc)*B68)</f>
        <v/>
      </c>
      <c r="L68">
        <f>F_primary/B68</f>
        <v/>
      </c>
      <c r="M68">
        <f>I68+J68+K68</f>
        <v/>
      </c>
      <c r="N68">
        <f>D30/M68</f>
        <v/>
      </c>
      <c r="O68">
        <f>IF(Y67*L68 &gt; F_primary, 1, 0)</f>
        <v/>
      </c>
      <c r="P68">
        <f>IF(Y67*(E_sh + F68) &gt; E_inv, 1, 0)</f>
        <v/>
      </c>
      <c r="Q68">
        <f>IF(Y67*(D_sh + E68) &gt; D_inv, 1, 0)</f>
        <v/>
      </c>
      <c r="R68">
        <f>IF(Y67*C_sh &gt; C_inv, 1, 0)</f>
        <v/>
      </c>
      <c r="S68">
        <f>IF(Y67*B_sh &gt; B_inv, 1, 0)</f>
        <v/>
      </c>
      <c r="T68">
        <f>IF(Y67*A_sh &gt; A_inv, 1, 0)</f>
        <v/>
      </c>
      <c r="U68">
        <f>IF(Y67*seed_sh &gt; seed_inv, 1, 0)</f>
        <v/>
      </c>
      <c r="V68">
        <f>(1-O68)*F_primary+(1-P68)*E_inv+(1-Q68)*D_inv+(1-R68)*C_inv+(1-S68)*B_inv+(1-T68)*A_inv+(1-U68)*seed_inv</f>
        <v/>
      </c>
      <c r="W68">
        <f>MAX(0, sens_exit - V68)</f>
        <v/>
      </c>
      <c r="X68">
        <f>F1_sh+F2_sh+F3_sh+RSA_sh+J68+K68+O68*L68+P68*(E_sh + F68)+Q68*(D_sh + E68)+R68*C_sh+S68*B_sh+T68*A_sh+U68*seed_sh</f>
        <v/>
      </c>
      <c r="Y68">
        <f>(W68 + preF_opts_iss*opt_strike)/(X68 + preF_opts_iss)</f>
        <v/>
      </c>
    </row>
    <row r="69">
      <c r="A69" s="6" t="inlineStr">
        <is>
          <t>--- Scenario 2: ESOP=sens_e_lo, Pre-money=sens_p_md ---</t>
        </is>
      </c>
    </row>
    <row r="70">
      <c r="A70" s="6" t="inlineStr">
        <is>
          <t>ESOP</t>
        </is>
      </c>
      <c r="B70">
        <f>sens_e_lo</f>
        <v/>
      </c>
      <c r="C70" s="6" t="inlineStr">
        <is>
          <t>Pre-money</t>
        </is>
      </c>
      <c r="D70">
        <f>sens_p_md</f>
        <v/>
      </c>
      <c r="E70" s="6" t="inlineStr">
        <is>
          <t>F_PPS</t>
        </is>
      </c>
      <c r="F70">
        <f>N108</f>
        <v/>
      </c>
      <c r="G70" s="6" t="inlineStr">
        <is>
          <t>T_F</t>
        </is>
      </c>
      <c r="H70">
        <f>I108+J108+K108+L108</f>
        <v/>
      </c>
      <c r="I70" s="6" t="inlineStr">
        <is>
          <t>NA_sh</t>
        </is>
      </c>
      <c r="J70">
        <f>J108</f>
        <v/>
      </c>
      <c r="K70" s="6" t="inlineStr">
        <is>
          <t>NB_sh</t>
        </is>
      </c>
      <c r="L70">
        <f>K108</f>
        <v/>
      </c>
      <c r="M70" s="6" t="inlineStr">
        <is>
          <t>NA_branch</t>
        </is>
      </c>
      <c r="N70">
        <f>IF(NA_cap/(I108+K108) &lt; (1-NA_disc)*N108, "cap", "discount")</f>
        <v/>
      </c>
      <c r="O70" s="6" t="inlineStr">
        <is>
          <t>NB_branch</t>
        </is>
      </c>
      <c r="P70">
        <f>IF(NB_cap/(I108+J108) &lt; (1-NB_disc)*N108, "cap", "discount")</f>
        <v/>
      </c>
    </row>
    <row r="71">
      <c r="A71" s="6" t="inlineStr">
        <is>
          <t>our_sh</t>
        </is>
      </c>
      <c r="B71">
        <f>our_check/F70</f>
        <v/>
      </c>
      <c r="C71" s="6" t="inlineStr">
        <is>
          <t>own%</t>
        </is>
      </c>
      <c r="D71" s="5">
        <f>B71/H70</f>
        <v/>
      </c>
      <c r="E71" s="6" t="inlineStr">
        <is>
          <t>F_election</t>
        </is>
      </c>
      <c r="F71">
        <f>IF(Y108*L108 &gt; F_primary, "convert", "preference")</f>
        <v/>
      </c>
      <c r="G71" s="6" t="inlineStr">
        <is>
          <t>F_payout</t>
        </is>
      </c>
      <c r="H71" s="8">
        <f>IF(F71="convert", Y108*L108, F_primary)</f>
        <v/>
      </c>
      <c r="I71" s="6" t="inlineStr">
        <is>
          <t>our_$</t>
        </is>
      </c>
      <c r="J71" s="8">
        <f>H71*our_check/F_primary</f>
        <v/>
      </c>
    </row>
    <row r="73">
      <c r="A73" s="6" t="inlineStr">
        <is>
          <t>iter</t>
        </is>
      </c>
      <c r="B73" s="6" t="inlineStr">
        <is>
          <t>F_PPS_in</t>
        </is>
      </c>
      <c r="C73" s="6" t="inlineStr">
        <is>
          <t>NCP_D</t>
        </is>
      </c>
      <c r="D73" s="6" t="inlineStr">
        <is>
          <t>NCP_E</t>
        </is>
      </c>
      <c r="E73" s="6" t="inlineStr">
        <is>
          <t>extras_D</t>
        </is>
      </c>
      <c r="F73" s="6" t="inlineStr">
        <is>
          <t>extras_E</t>
        </is>
      </c>
      <c r="G73" s="6" t="inlineStr">
        <is>
          <t>T_F</t>
        </is>
      </c>
      <c r="H73" s="6" t="inlineStr">
        <is>
          <t>topup</t>
        </is>
      </c>
      <c r="I73" s="6" t="inlineStr">
        <is>
          <t>preFD_nn</t>
        </is>
      </c>
      <c r="J73" s="6" t="inlineStr">
        <is>
          <t>NA_sh</t>
        </is>
      </c>
      <c r="K73" s="6" t="inlineStr">
        <is>
          <t>NB_sh</t>
        </is>
      </c>
      <c r="L73" s="6" t="inlineStr">
        <is>
          <t>F_prim_sh</t>
        </is>
      </c>
      <c r="M73" s="6" t="inlineStr">
        <is>
          <t>T_pre</t>
        </is>
      </c>
      <c r="N73" s="6" t="inlineStr">
        <is>
          <t>F_PPS_out</t>
        </is>
      </c>
      <c r="O73" s="6" t="inlineStr">
        <is>
          <t>ic_F</t>
        </is>
      </c>
      <c r="P73" s="6" t="inlineStr">
        <is>
          <t>ic_E</t>
        </is>
      </c>
      <c r="Q73" s="6" t="inlineStr">
        <is>
          <t>ic_D</t>
        </is>
      </c>
      <c r="R73" s="6" t="inlineStr">
        <is>
          <t>ic_C</t>
        </is>
      </c>
      <c r="S73" s="6" t="inlineStr">
        <is>
          <t>ic_B</t>
        </is>
      </c>
      <c r="T73" s="6" t="inlineStr">
        <is>
          <t>ic_A</t>
        </is>
      </c>
      <c r="U73" s="6" t="inlineStr">
        <is>
          <t>ic_Seed</t>
        </is>
      </c>
      <c r="V73" s="6" t="inlineStr">
        <is>
          <t>prefs_paid</t>
        </is>
      </c>
      <c r="W73" s="6" t="inlineStr">
        <is>
          <t>residual</t>
        </is>
      </c>
      <c r="X73" s="6" t="inlineStr">
        <is>
          <t>cv_shares</t>
        </is>
      </c>
      <c r="Y73" s="6" t="inlineStr">
        <is>
          <t>PPS_2B</t>
        </is>
      </c>
    </row>
    <row r="74">
      <c r="B74">
        <f>D70/preF_FD</f>
        <v/>
      </c>
      <c r="C74">
        <f>OCP_D*(preF_FD + F_primary/OCP_D)/(preF_FD + F_primary/B74)</f>
        <v/>
      </c>
      <c r="D74">
        <f>OCP_E*(preF_FD + F_primary/OCP_E)/(preF_FD + F_primary/B74)</f>
        <v/>
      </c>
      <c r="E74">
        <f>D_sh*(OCP_D/C74 - 1)</f>
        <v/>
      </c>
      <c r="F74">
        <f>E_sh*(OCP_E/D74 - 1)</f>
        <v/>
      </c>
      <c r="G74">
        <f>(preF_FD + E74 + F74 - preF_opts + 0 + 0 + F_primary/B74)/(1-B70)</f>
        <v/>
      </c>
      <c r="H74">
        <f>MAX(0, B70*G74 - preF_opts)</f>
        <v/>
      </c>
      <c r="I74">
        <f>preF_FD + E74 + F74 + H74</f>
        <v/>
      </c>
      <c r="J74">
        <f>NA_P/MIN(NA_cap/(I74+0), (1-NA_disc)*B74)</f>
        <v/>
      </c>
      <c r="K74">
        <f>NB_P/MIN(NB_cap/(I74+J74), (1-NB_disc)*B74)</f>
        <v/>
      </c>
      <c r="L74">
        <f>F_primary/B74</f>
        <v/>
      </c>
      <c r="M74">
        <f>I74+J74+K74</f>
        <v/>
      </c>
      <c r="N74">
        <f>D70/M74</f>
        <v/>
      </c>
      <c r="O74">
        <f>IF(0*L74 &gt; F_primary, 1, 0)</f>
        <v/>
      </c>
      <c r="P74">
        <f>IF(0*(E_sh + F74) &gt; E_inv, 1, 0)</f>
        <v/>
      </c>
      <c r="Q74">
        <f>IF(0*(D_sh + E74) &gt; D_inv, 1, 0)</f>
        <v/>
      </c>
      <c r="R74">
        <f>IF(0*C_sh &gt; C_inv, 1, 0)</f>
        <v/>
      </c>
      <c r="S74">
        <f>IF(0*B_sh &gt; B_inv, 1, 0)</f>
        <v/>
      </c>
      <c r="T74">
        <f>IF(0*A_sh &gt; A_inv, 1, 0)</f>
        <v/>
      </c>
      <c r="U74">
        <f>IF(0*seed_sh &gt; seed_inv, 1, 0)</f>
        <v/>
      </c>
      <c r="V74">
        <f>(1-O74)*F_primary+(1-P74)*E_inv+(1-Q74)*D_inv+(1-R74)*C_inv+(1-S74)*B_inv+(1-T74)*A_inv+(1-U74)*seed_inv</f>
        <v/>
      </c>
      <c r="W74">
        <f>MAX(0, sens_exit - V74)</f>
        <v/>
      </c>
      <c r="X74">
        <f>F1_sh+F2_sh+F3_sh+RSA_sh+J74+K74+O74*L74+P74*(E_sh + F74)+Q74*(D_sh + E74)+R74*C_sh+S74*B_sh+T74*A_sh+U74*seed_sh</f>
        <v/>
      </c>
      <c r="Y74">
        <f>(W74 + preF_opts_iss*opt_strike)/(X74 + preF_opts_iss)</f>
        <v/>
      </c>
    </row>
    <row r="75">
      <c r="B75">
        <f>N74</f>
        <v/>
      </c>
      <c r="C75">
        <f>OCP_D*(preF_FD + F_primary/OCP_D)/(preF_FD + F_primary/B75)</f>
        <v/>
      </c>
      <c r="D75">
        <f>OCP_E*(preF_FD + F_primary/OCP_E)/(preF_FD + F_primary/B75)</f>
        <v/>
      </c>
      <c r="E75">
        <f>D_sh*(OCP_D/C75 - 1)</f>
        <v/>
      </c>
      <c r="F75">
        <f>E_sh*(OCP_E/D75 - 1)</f>
        <v/>
      </c>
      <c r="G75">
        <f>(preF_FD + E75 + F75 - preF_opts + J74 + K74 + F_primary/B75)/(1-B70)</f>
        <v/>
      </c>
      <c r="H75">
        <f>MAX(0, B70*G75 - preF_opts)</f>
        <v/>
      </c>
      <c r="I75">
        <f>preF_FD + E75 + F75 + H75</f>
        <v/>
      </c>
      <c r="J75">
        <f>NA_P/MIN(NA_cap/(I75+K74), (1-NA_disc)*B75)</f>
        <v/>
      </c>
      <c r="K75">
        <f>NB_P/MIN(NB_cap/(I75+J75), (1-NB_disc)*B75)</f>
        <v/>
      </c>
      <c r="L75">
        <f>F_primary/B75</f>
        <v/>
      </c>
      <c r="M75">
        <f>I75+J75+K75</f>
        <v/>
      </c>
      <c r="N75">
        <f>D70/M75</f>
        <v/>
      </c>
      <c r="O75">
        <f>IF(Y74*L75 &gt; F_primary, 1, 0)</f>
        <v/>
      </c>
      <c r="P75">
        <f>IF(Y74*(E_sh + F75) &gt; E_inv, 1, 0)</f>
        <v/>
      </c>
      <c r="Q75">
        <f>IF(Y74*(D_sh + E75) &gt; D_inv, 1, 0)</f>
        <v/>
      </c>
      <c r="R75">
        <f>IF(Y74*C_sh &gt; C_inv, 1, 0)</f>
        <v/>
      </c>
      <c r="S75">
        <f>IF(Y74*B_sh &gt; B_inv, 1, 0)</f>
        <v/>
      </c>
      <c r="T75">
        <f>IF(Y74*A_sh &gt; A_inv, 1, 0)</f>
        <v/>
      </c>
      <c r="U75">
        <f>IF(Y74*seed_sh &gt; seed_inv, 1, 0)</f>
        <v/>
      </c>
      <c r="V75">
        <f>(1-O75)*F_primary+(1-P75)*E_inv+(1-Q75)*D_inv+(1-R75)*C_inv+(1-S75)*B_inv+(1-T75)*A_inv+(1-U75)*seed_inv</f>
        <v/>
      </c>
      <c r="W75">
        <f>MAX(0, sens_exit - V75)</f>
        <v/>
      </c>
      <c r="X75">
        <f>F1_sh+F2_sh+F3_sh+RSA_sh+J75+K75+O75*L75+P75*(E_sh + F75)+Q75*(D_sh + E75)+R75*C_sh+S75*B_sh+T75*A_sh+U75*seed_sh</f>
        <v/>
      </c>
      <c r="Y75">
        <f>(W75 + preF_opts_iss*opt_strike)/(X75 + preF_opts_iss)</f>
        <v/>
      </c>
    </row>
    <row r="76">
      <c r="B76">
        <f>N75</f>
        <v/>
      </c>
      <c r="C76">
        <f>OCP_D*(preF_FD + F_primary/OCP_D)/(preF_FD + F_primary/B76)</f>
        <v/>
      </c>
      <c r="D76">
        <f>OCP_E*(preF_FD + F_primary/OCP_E)/(preF_FD + F_primary/B76)</f>
        <v/>
      </c>
      <c r="E76">
        <f>D_sh*(OCP_D/C76 - 1)</f>
        <v/>
      </c>
      <c r="F76">
        <f>E_sh*(OCP_E/D76 - 1)</f>
        <v/>
      </c>
      <c r="G76">
        <f>(preF_FD + E76 + F76 - preF_opts + J75 + K75 + F_primary/B76)/(1-B70)</f>
        <v/>
      </c>
      <c r="H76">
        <f>MAX(0, B70*G76 - preF_opts)</f>
        <v/>
      </c>
      <c r="I76">
        <f>preF_FD + E76 + F76 + H76</f>
        <v/>
      </c>
      <c r="J76">
        <f>NA_P/MIN(NA_cap/(I76+K75), (1-NA_disc)*B76)</f>
        <v/>
      </c>
      <c r="K76">
        <f>NB_P/MIN(NB_cap/(I76+J76), (1-NB_disc)*B76)</f>
        <v/>
      </c>
      <c r="L76">
        <f>F_primary/B76</f>
        <v/>
      </c>
      <c r="M76">
        <f>I76+J76+K76</f>
        <v/>
      </c>
      <c r="N76">
        <f>D70/M76</f>
        <v/>
      </c>
      <c r="O76">
        <f>IF(Y75*L76 &gt; F_primary, 1, 0)</f>
        <v/>
      </c>
      <c r="P76">
        <f>IF(Y75*(E_sh + F76) &gt; E_inv, 1, 0)</f>
        <v/>
      </c>
      <c r="Q76">
        <f>IF(Y75*(D_sh + E76) &gt; D_inv, 1, 0)</f>
        <v/>
      </c>
      <c r="R76">
        <f>IF(Y75*C_sh &gt; C_inv, 1, 0)</f>
        <v/>
      </c>
      <c r="S76">
        <f>IF(Y75*B_sh &gt; B_inv, 1, 0)</f>
        <v/>
      </c>
      <c r="T76">
        <f>IF(Y75*A_sh &gt; A_inv, 1, 0)</f>
        <v/>
      </c>
      <c r="U76">
        <f>IF(Y75*seed_sh &gt; seed_inv, 1, 0)</f>
        <v/>
      </c>
      <c r="V76">
        <f>(1-O76)*F_primary+(1-P76)*E_inv+(1-Q76)*D_inv+(1-R76)*C_inv+(1-S76)*B_inv+(1-T76)*A_inv+(1-U76)*seed_inv</f>
        <v/>
      </c>
      <c r="W76">
        <f>MAX(0, sens_exit - V76)</f>
        <v/>
      </c>
      <c r="X76">
        <f>F1_sh+F2_sh+F3_sh+RSA_sh+J76+K76+O76*L76+P76*(E_sh + F76)+Q76*(D_sh + E76)+R76*C_sh+S76*B_sh+T76*A_sh+U76*seed_sh</f>
        <v/>
      </c>
      <c r="Y76">
        <f>(W76 + preF_opts_iss*opt_strike)/(X76 + preF_opts_iss)</f>
        <v/>
      </c>
    </row>
    <row r="77">
      <c r="B77">
        <f>N76</f>
        <v/>
      </c>
      <c r="C77">
        <f>OCP_D*(preF_FD + F_primary/OCP_D)/(preF_FD + F_primary/B77)</f>
        <v/>
      </c>
      <c r="D77">
        <f>OCP_E*(preF_FD + F_primary/OCP_E)/(preF_FD + F_primary/B77)</f>
        <v/>
      </c>
      <c r="E77">
        <f>D_sh*(OCP_D/C77 - 1)</f>
        <v/>
      </c>
      <c r="F77">
        <f>E_sh*(OCP_E/D77 - 1)</f>
        <v/>
      </c>
      <c r="G77">
        <f>(preF_FD + E77 + F77 - preF_opts + J76 + K76 + F_primary/B77)/(1-B70)</f>
        <v/>
      </c>
      <c r="H77">
        <f>MAX(0, B70*G77 - preF_opts)</f>
        <v/>
      </c>
      <c r="I77">
        <f>preF_FD + E77 + F77 + H77</f>
        <v/>
      </c>
      <c r="J77">
        <f>NA_P/MIN(NA_cap/(I77+K76), (1-NA_disc)*B77)</f>
        <v/>
      </c>
      <c r="K77">
        <f>NB_P/MIN(NB_cap/(I77+J77), (1-NB_disc)*B77)</f>
        <v/>
      </c>
      <c r="L77">
        <f>F_primary/B77</f>
        <v/>
      </c>
      <c r="M77">
        <f>I77+J77+K77</f>
        <v/>
      </c>
      <c r="N77">
        <f>D70/M77</f>
        <v/>
      </c>
      <c r="O77">
        <f>IF(Y76*L77 &gt; F_primary, 1, 0)</f>
        <v/>
      </c>
      <c r="P77">
        <f>IF(Y76*(E_sh + F77) &gt; E_inv, 1, 0)</f>
        <v/>
      </c>
      <c r="Q77">
        <f>IF(Y76*(D_sh + E77) &gt; D_inv, 1, 0)</f>
        <v/>
      </c>
      <c r="R77">
        <f>IF(Y76*C_sh &gt; C_inv, 1, 0)</f>
        <v/>
      </c>
      <c r="S77">
        <f>IF(Y76*B_sh &gt; B_inv, 1, 0)</f>
        <v/>
      </c>
      <c r="T77">
        <f>IF(Y76*A_sh &gt; A_inv, 1, 0)</f>
        <v/>
      </c>
      <c r="U77">
        <f>IF(Y76*seed_sh &gt; seed_inv, 1, 0)</f>
        <v/>
      </c>
      <c r="V77">
        <f>(1-O77)*F_primary+(1-P77)*E_inv+(1-Q77)*D_inv+(1-R77)*C_inv+(1-S77)*B_inv+(1-T77)*A_inv+(1-U77)*seed_inv</f>
        <v/>
      </c>
      <c r="W77">
        <f>MAX(0, sens_exit - V77)</f>
        <v/>
      </c>
      <c r="X77">
        <f>F1_sh+F2_sh+F3_sh+RSA_sh+J77+K77+O77*L77+P77*(E_sh + F77)+Q77*(D_sh + E77)+R77*C_sh+S77*B_sh+T77*A_sh+U77*seed_sh</f>
        <v/>
      </c>
      <c r="Y77">
        <f>(W77 + preF_opts_iss*opt_strike)/(X77 + preF_opts_iss)</f>
        <v/>
      </c>
    </row>
    <row r="78">
      <c r="B78">
        <f>N77</f>
        <v/>
      </c>
      <c r="C78">
        <f>OCP_D*(preF_FD + F_primary/OCP_D)/(preF_FD + F_primary/B78)</f>
        <v/>
      </c>
      <c r="D78">
        <f>OCP_E*(preF_FD + F_primary/OCP_E)/(preF_FD + F_primary/B78)</f>
        <v/>
      </c>
      <c r="E78">
        <f>D_sh*(OCP_D/C78 - 1)</f>
        <v/>
      </c>
      <c r="F78">
        <f>E_sh*(OCP_E/D78 - 1)</f>
        <v/>
      </c>
      <c r="G78">
        <f>(preF_FD + E78 + F78 - preF_opts + J77 + K77 + F_primary/B78)/(1-B70)</f>
        <v/>
      </c>
      <c r="H78">
        <f>MAX(0, B70*G78 - preF_opts)</f>
        <v/>
      </c>
      <c r="I78">
        <f>preF_FD + E78 + F78 + H78</f>
        <v/>
      </c>
      <c r="J78">
        <f>NA_P/MIN(NA_cap/(I78+K77), (1-NA_disc)*B78)</f>
        <v/>
      </c>
      <c r="K78">
        <f>NB_P/MIN(NB_cap/(I78+J78), (1-NB_disc)*B78)</f>
        <v/>
      </c>
      <c r="L78">
        <f>F_primary/B78</f>
        <v/>
      </c>
      <c r="M78">
        <f>I78+J78+K78</f>
        <v/>
      </c>
      <c r="N78">
        <f>D70/M78</f>
        <v/>
      </c>
      <c r="O78">
        <f>IF(Y77*L78 &gt; F_primary, 1, 0)</f>
        <v/>
      </c>
      <c r="P78">
        <f>IF(Y77*(E_sh + F78) &gt; E_inv, 1, 0)</f>
        <v/>
      </c>
      <c r="Q78">
        <f>IF(Y77*(D_sh + E78) &gt; D_inv, 1, 0)</f>
        <v/>
      </c>
      <c r="R78">
        <f>IF(Y77*C_sh &gt; C_inv, 1, 0)</f>
        <v/>
      </c>
      <c r="S78">
        <f>IF(Y77*B_sh &gt; B_inv, 1, 0)</f>
        <v/>
      </c>
      <c r="T78">
        <f>IF(Y77*A_sh &gt; A_inv, 1, 0)</f>
        <v/>
      </c>
      <c r="U78">
        <f>IF(Y77*seed_sh &gt; seed_inv, 1, 0)</f>
        <v/>
      </c>
      <c r="V78">
        <f>(1-O78)*F_primary+(1-P78)*E_inv+(1-Q78)*D_inv+(1-R78)*C_inv+(1-S78)*B_inv+(1-T78)*A_inv+(1-U78)*seed_inv</f>
        <v/>
      </c>
      <c r="W78">
        <f>MAX(0, sens_exit - V78)</f>
        <v/>
      </c>
      <c r="X78">
        <f>F1_sh+F2_sh+F3_sh+RSA_sh+J78+K78+O78*L78+P78*(E_sh + F78)+Q78*(D_sh + E78)+R78*C_sh+S78*B_sh+T78*A_sh+U78*seed_sh</f>
        <v/>
      </c>
      <c r="Y78">
        <f>(W78 + preF_opts_iss*opt_strike)/(X78 + preF_opts_iss)</f>
        <v/>
      </c>
    </row>
    <row r="79">
      <c r="B79">
        <f>N78</f>
        <v/>
      </c>
      <c r="C79">
        <f>OCP_D*(preF_FD + F_primary/OCP_D)/(preF_FD + F_primary/B79)</f>
        <v/>
      </c>
      <c r="D79">
        <f>OCP_E*(preF_FD + F_primary/OCP_E)/(preF_FD + F_primary/B79)</f>
        <v/>
      </c>
      <c r="E79">
        <f>D_sh*(OCP_D/C79 - 1)</f>
        <v/>
      </c>
      <c r="F79">
        <f>E_sh*(OCP_E/D79 - 1)</f>
        <v/>
      </c>
      <c r="G79">
        <f>(preF_FD + E79 + F79 - preF_opts + J78 + K78 + F_primary/B79)/(1-B70)</f>
        <v/>
      </c>
      <c r="H79">
        <f>MAX(0, B70*G79 - preF_opts)</f>
        <v/>
      </c>
      <c r="I79">
        <f>preF_FD + E79 + F79 + H79</f>
        <v/>
      </c>
      <c r="J79">
        <f>NA_P/MIN(NA_cap/(I79+K78), (1-NA_disc)*B79)</f>
        <v/>
      </c>
      <c r="K79">
        <f>NB_P/MIN(NB_cap/(I79+J79), (1-NB_disc)*B79)</f>
        <v/>
      </c>
      <c r="L79">
        <f>F_primary/B79</f>
        <v/>
      </c>
      <c r="M79">
        <f>I79+J79+K79</f>
        <v/>
      </c>
      <c r="N79">
        <f>D70/M79</f>
        <v/>
      </c>
      <c r="O79">
        <f>IF(Y78*L79 &gt; F_primary, 1, 0)</f>
        <v/>
      </c>
      <c r="P79">
        <f>IF(Y78*(E_sh + F79) &gt; E_inv, 1, 0)</f>
        <v/>
      </c>
      <c r="Q79">
        <f>IF(Y78*(D_sh + E79) &gt; D_inv, 1, 0)</f>
        <v/>
      </c>
      <c r="R79">
        <f>IF(Y78*C_sh &gt; C_inv, 1, 0)</f>
        <v/>
      </c>
      <c r="S79">
        <f>IF(Y78*B_sh &gt; B_inv, 1, 0)</f>
        <v/>
      </c>
      <c r="T79">
        <f>IF(Y78*A_sh &gt; A_inv, 1, 0)</f>
        <v/>
      </c>
      <c r="U79">
        <f>IF(Y78*seed_sh &gt; seed_inv, 1, 0)</f>
        <v/>
      </c>
      <c r="V79">
        <f>(1-O79)*F_primary+(1-P79)*E_inv+(1-Q79)*D_inv+(1-R79)*C_inv+(1-S79)*B_inv+(1-T79)*A_inv+(1-U79)*seed_inv</f>
        <v/>
      </c>
      <c r="W79">
        <f>MAX(0, sens_exit - V79)</f>
        <v/>
      </c>
      <c r="X79">
        <f>F1_sh+F2_sh+F3_sh+RSA_sh+J79+K79+O79*L79+P79*(E_sh + F79)+Q79*(D_sh + E79)+R79*C_sh+S79*B_sh+T79*A_sh+U79*seed_sh</f>
        <v/>
      </c>
      <c r="Y79">
        <f>(W79 + preF_opts_iss*opt_strike)/(X79 + preF_opts_iss)</f>
        <v/>
      </c>
    </row>
    <row r="80">
      <c r="B80">
        <f>N79</f>
        <v/>
      </c>
      <c r="C80">
        <f>OCP_D*(preF_FD + F_primary/OCP_D)/(preF_FD + F_primary/B80)</f>
        <v/>
      </c>
      <c r="D80">
        <f>OCP_E*(preF_FD + F_primary/OCP_E)/(preF_FD + F_primary/B80)</f>
        <v/>
      </c>
      <c r="E80">
        <f>D_sh*(OCP_D/C80 - 1)</f>
        <v/>
      </c>
      <c r="F80">
        <f>E_sh*(OCP_E/D80 - 1)</f>
        <v/>
      </c>
      <c r="G80">
        <f>(preF_FD + E80 + F80 - preF_opts + J79 + K79 + F_primary/B80)/(1-B70)</f>
        <v/>
      </c>
      <c r="H80">
        <f>MAX(0, B70*G80 - preF_opts)</f>
        <v/>
      </c>
      <c r="I80">
        <f>preF_FD + E80 + F80 + H80</f>
        <v/>
      </c>
      <c r="J80">
        <f>NA_P/MIN(NA_cap/(I80+K79), (1-NA_disc)*B80)</f>
        <v/>
      </c>
      <c r="K80">
        <f>NB_P/MIN(NB_cap/(I80+J80), (1-NB_disc)*B80)</f>
        <v/>
      </c>
      <c r="L80">
        <f>F_primary/B80</f>
        <v/>
      </c>
      <c r="M80">
        <f>I80+J80+K80</f>
        <v/>
      </c>
      <c r="N80">
        <f>D70/M80</f>
        <v/>
      </c>
      <c r="O80">
        <f>IF(Y79*L80 &gt; F_primary, 1, 0)</f>
        <v/>
      </c>
      <c r="P80">
        <f>IF(Y79*(E_sh + F80) &gt; E_inv, 1, 0)</f>
        <v/>
      </c>
      <c r="Q80">
        <f>IF(Y79*(D_sh + E80) &gt; D_inv, 1, 0)</f>
        <v/>
      </c>
      <c r="R80">
        <f>IF(Y79*C_sh &gt; C_inv, 1, 0)</f>
        <v/>
      </c>
      <c r="S80">
        <f>IF(Y79*B_sh &gt; B_inv, 1, 0)</f>
        <v/>
      </c>
      <c r="T80">
        <f>IF(Y79*A_sh &gt; A_inv, 1, 0)</f>
        <v/>
      </c>
      <c r="U80">
        <f>IF(Y79*seed_sh &gt; seed_inv, 1, 0)</f>
        <v/>
      </c>
      <c r="V80">
        <f>(1-O80)*F_primary+(1-P80)*E_inv+(1-Q80)*D_inv+(1-R80)*C_inv+(1-S80)*B_inv+(1-T80)*A_inv+(1-U80)*seed_inv</f>
        <v/>
      </c>
      <c r="W80">
        <f>MAX(0, sens_exit - V80)</f>
        <v/>
      </c>
      <c r="X80">
        <f>F1_sh+F2_sh+F3_sh+RSA_sh+J80+K80+O80*L80+P80*(E_sh + F80)+Q80*(D_sh + E80)+R80*C_sh+S80*B_sh+T80*A_sh+U80*seed_sh</f>
        <v/>
      </c>
      <c r="Y80">
        <f>(W80 + preF_opts_iss*opt_strike)/(X80 + preF_opts_iss)</f>
        <v/>
      </c>
    </row>
    <row r="81">
      <c r="B81">
        <f>N80</f>
        <v/>
      </c>
      <c r="C81">
        <f>OCP_D*(preF_FD + F_primary/OCP_D)/(preF_FD + F_primary/B81)</f>
        <v/>
      </c>
      <c r="D81">
        <f>OCP_E*(preF_FD + F_primary/OCP_E)/(preF_FD + F_primary/B81)</f>
        <v/>
      </c>
      <c r="E81">
        <f>D_sh*(OCP_D/C81 - 1)</f>
        <v/>
      </c>
      <c r="F81">
        <f>E_sh*(OCP_E/D81 - 1)</f>
        <v/>
      </c>
      <c r="G81">
        <f>(preF_FD + E81 + F81 - preF_opts + J80 + K80 + F_primary/B81)/(1-B70)</f>
        <v/>
      </c>
      <c r="H81">
        <f>MAX(0, B70*G81 - preF_opts)</f>
        <v/>
      </c>
      <c r="I81">
        <f>preF_FD + E81 + F81 + H81</f>
        <v/>
      </c>
      <c r="J81">
        <f>NA_P/MIN(NA_cap/(I81+K80), (1-NA_disc)*B81)</f>
        <v/>
      </c>
      <c r="K81">
        <f>NB_P/MIN(NB_cap/(I81+J81), (1-NB_disc)*B81)</f>
        <v/>
      </c>
      <c r="L81">
        <f>F_primary/B81</f>
        <v/>
      </c>
      <c r="M81">
        <f>I81+J81+K81</f>
        <v/>
      </c>
      <c r="N81">
        <f>D70/M81</f>
        <v/>
      </c>
      <c r="O81">
        <f>IF(Y80*L81 &gt; F_primary, 1, 0)</f>
        <v/>
      </c>
      <c r="P81">
        <f>IF(Y80*(E_sh + F81) &gt; E_inv, 1, 0)</f>
        <v/>
      </c>
      <c r="Q81">
        <f>IF(Y80*(D_sh + E81) &gt; D_inv, 1, 0)</f>
        <v/>
      </c>
      <c r="R81">
        <f>IF(Y80*C_sh &gt; C_inv, 1, 0)</f>
        <v/>
      </c>
      <c r="S81">
        <f>IF(Y80*B_sh &gt; B_inv, 1, 0)</f>
        <v/>
      </c>
      <c r="T81">
        <f>IF(Y80*A_sh &gt; A_inv, 1, 0)</f>
        <v/>
      </c>
      <c r="U81">
        <f>IF(Y80*seed_sh &gt; seed_inv, 1, 0)</f>
        <v/>
      </c>
      <c r="V81">
        <f>(1-O81)*F_primary+(1-P81)*E_inv+(1-Q81)*D_inv+(1-R81)*C_inv+(1-S81)*B_inv+(1-T81)*A_inv+(1-U81)*seed_inv</f>
        <v/>
      </c>
      <c r="W81">
        <f>MAX(0, sens_exit - V81)</f>
        <v/>
      </c>
      <c r="X81">
        <f>F1_sh+F2_sh+F3_sh+RSA_sh+J81+K81+O81*L81+P81*(E_sh + F81)+Q81*(D_sh + E81)+R81*C_sh+S81*B_sh+T81*A_sh+U81*seed_sh</f>
        <v/>
      </c>
      <c r="Y81">
        <f>(W81 + preF_opts_iss*opt_strike)/(X81 + preF_opts_iss)</f>
        <v/>
      </c>
    </row>
    <row r="82">
      <c r="B82">
        <f>N81</f>
        <v/>
      </c>
      <c r="C82">
        <f>OCP_D*(preF_FD + F_primary/OCP_D)/(preF_FD + F_primary/B82)</f>
        <v/>
      </c>
      <c r="D82">
        <f>OCP_E*(preF_FD + F_primary/OCP_E)/(preF_FD + F_primary/B82)</f>
        <v/>
      </c>
      <c r="E82">
        <f>D_sh*(OCP_D/C82 - 1)</f>
        <v/>
      </c>
      <c r="F82">
        <f>E_sh*(OCP_E/D82 - 1)</f>
        <v/>
      </c>
      <c r="G82">
        <f>(preF_FD + E82 + F82 - preF_opts + J81 + K81 + F_primary/B82)/(1-B70)</f>
        <v/>
      </c>
      <c r="H82">
        <f>MAX(0, B70*G82 - preF_opts)</f>
        <v/>
      </c>
      <c r="I82">
        <f>preF_FD + E82 + F82 + H82</f>
        <v/>
      </c>
      <c r="J82">
        <f>NA_P/MIN(NA_cap/(I82+K81), (1-NA_disc)*B82)</f>
        <v/>
      </c>
      <c r="K82">
        <f>NB_P/MIN(NB_cap/(I82+J82), (1-NB_disc)*B82)</f>
        <v/>
      </c>
      <c r="L82">
        <f>F_primary/B82</f>
        <v/>
      </c>
      <c r="M82">
        <f>I82+J82+K82</f>
        <v/>
      </c>
      <c r="N82">
        <f>D70/M82</f>
        <v/>
      </c>
      <c r="O82">
        <f>IF(Y81*L82 &gt; F_primary, 1, 0)</f>
        <v/>
      </c>
      <c r="P82">
        <f>IF(Y81*(E_sh + F82) &gt; E_inv, 1, 0)</f>
        <v/>
      </c>
      <c r="Q82">
        <f>IF(Y81*(D_sh + E82) &gt; D_inv, 1, 0)</f>
        <v/>
      </c>
      <c r="R82">
        <f>IF(Y81*C_sh &gt; C_inv, 1, 0)</f>
        <v/>
      </c>
      <c r="S82">
        <f>IF(Y81*B_sh &gt; B_inv, 1, 0)</f>
        <v/>
      </c>
      <c r="T82">
        <f>IF(Y81*A_sh &gt; A_inv, 1, 0)</f>
        <v/>
      </c>
      <c r="U82">
        <f>IF(Y81*seed_sh &gt; seed_inv, 1, 0)</f>
        <v/>
      </c>
      <c r="V82">
        <f>(1-O82)*F_primary+(1-P82)*E_inv+(1-Q82)*D_inv+(1-R82)*C_inv+(1-S82)*B_inv+(1-T82)*A_inv+(1-U82)*seed_inv</f>
        <v/>
      </c>
      <c r="W82">
        <f>MAX(0, sens_exit - V82)</f>
        <v/>
      </c>
      <c r="X82">
        <f>F1_sh+F2_sh+F3_sh+RSA_sh+J82+K82+O82*L82+P82*(E_sh + F82)+Q82*(D_sh + E82)+R82*C_sh+S82*B_sh+T82*A_sh+U82*seed_sh</f>
        <v/>
      </c>
      <c r="Y82">
        <f>(W82 + preF_opts_iss*opt_strike)/(X82 + preF_opts_iss)</f>
        <v/>
      </c>
    </row>
    <row r="83">
      <c r="B83">
        <f>N82</f>
        <v/>
      </c>
      <c r="C83">
        <f>OCP_D*(preF_FD + F_primary/OCP_D)/(preF_FD + F_primary/B83)</f>
        <v/>
      </c>
      <c r="D83">
        <f>OCP_E*(preF_FD + F_primary/OCP_E)/(preF_FD + F_primary/B83)</f>
        <v/>
      </c>
      <c r="E83">
        <f>D_sh*(OCP_D/C83 - 1)</f>
        <v/>
      </c>
      <c r="F83">
        <f>E_sh*(OCP_E/D83 - 1)</f>
        <v/>
      </c>
      <c r="G83">
        <f>(preF_FD + E83 + F83 - preF_opts + J82 + K82 + F_primary/B83)/(1-B70)</f>
        <v/>
      </c>
      <c r="H83">
        <f>MAX(0, B70*G83 - preF_opts)</f>
        <v/>
      </c>
      <c r="I83">
        <f>preF_FD + E83 + F83 + H83</f>
        <v/>
      </c>
      <c r="J83">
        <f>NA_P/MIN(NA_cap/(I83+K82), (1-NA_disc)*B83)</f>
        <v/>
      </c>
      <c r="K83">
        <f>NB_P/MIN(NB_cap/(I83+J83), (1-NB_disc)*B83)</f>
        <v/>
      </c>
      <c r="L83">
        <f>F_primary/B83</f>
        <v/>
      </c>
      <c r="M83">
        <f>I83+J83+K83</f>
        <v/>
      </c>
      <c r="N83">
        <f>D70/M83</f>
        <v/>
      </c>
      <c r="O83">
        <f>IF(Y82*L83 &gt; F_primary, 1, 0)</f>
        <v/>
      </c>
      <c r="P83">
        <f>IF(Y82*(E_sh + F83) &gt; E_inv, 1, 0)</f>
        <v/>
      </c>
      <c r="Q83">
        <f>IF(Y82*(D_sh + E83) &gt; D_inv, 1, 0)</f>
        <v/>
      </c>
      <c r="R83">
        <f>IF(Y82*C_sh &gt; C_inv, 1, 0)</f>
        <v/>
      </c>
      <c r="S83">
        <f>IF(Y82*B_sh &gt; B_inv, 1, 0)</f>
        <v/>
      </c>
      <c r="T83">
        <f>IF(Y82*A_sh &gt; A_inv, 1, 0)</f>
        <v/>
      </c>
      <c r="U83">
        <f>IF(Y82*seed_sh &gt; seed_inv, 1, 0)</f>
        <v/>
      </c>
      <c r="V83">
        <f>(1-O83)*F_primary+(1-P83)*E_inv+(1-Q83)*D_inv+(1-R83)*C_inv+(1-S83)*B_inv+(1-T83)*A_inv+(1-U83)*seed_inv</f>
        <v/>
      </c>
      <c r="W83">
        <f>MAX(0, sens_exit - V83)</f>
        <v/>
      </c>
      <c r="X83">
        <f>F1_sh+F2_sh+F3_sh+RSA_sh+J83+K83+O83*L83+P83*(E_sh + F83)+Q83*(D_sh + E83)+R83*C_sh+S83*B_sh+T83*A_sh+U83*seed_sh</f>
        <v/>
      </c>
      <c r="Y83">
        <f>(W83 + preF_opts_iss*opt_strike)/(X83 + preF_opts_iss)</f>
        <v/>
      </c>
    </row>
    <row r="84">
      <c r="B84">
        <f>N83</f>
        <v/>
      </c>
      <c r="C84">
        <f>OCP_D*(preF_FD + F_primary/OCP_D)/(preF_FD + F_primary/B84)</f>
        <v/>
      </c>
      <c r="D84">
        <f>OCP_E*(preF_FD + F_primary/OCP_E)/(preF_FD + F_primary/B84)</f>
        <v/>
      </c>
      <c r="E84">
        <f>D_sh*(OCP_D/C84 - 1)</f>
        <v/>
      </c>
      <c r="F84">
        <f>E_sh*(OCP_E/D84 - 1)</f>
        <v/>
      </c>
      <c r="G84">
        <f>(preF_FD + E84 + F84 - preF_opts + J83 + K83 + F_primary/B84)/(1-B70)</f>
        <v/>
      </c>
      <c r="H84">
        <f>MAX(0, B70*G84 - preF_opts)</f>
        <v/>
      </c>
      <c r="I84">
        <f>preF_FD + E84 + F84 + H84</f>
        <v/>
      </c>
      <c r="J84">
        <f>NA_P/MIN(NA_cap/(I84+K83), (1-NA_disc)*B84)</f>
        <v/>
      </c>
      <c r="K84">
        <f>NB_P/MIN(NB_cap/(I84+J84), (1-NB_disc)*B84)</f>
        <v/>
      </c>
      <c r="L84">
        <f>F_primary/B84</f>
        <v/>
      </c>
      <c r="M84">
        <f>I84+J84+K84</f>
        <v/>
      </c>
      <c r="N84">
        <f>D70/M84</f>
        <v/>
      </c>
      <c r="O84">
        <f>IF(Y83*L84 &gt; F_primary, 1, 0)</f>
        <v/>
      </c>
      <c r="P84">
        <f>IF(Y83*(E_sh + F84) &gt; E_inv, 1, 0)</f>
        <v/>
      </c>
      <c r="Q84">
        <f>IF(Y83*(D_sh + E84) &gt; D_inv, 1, 0)</f>
        <v/>
      </c>
      <c r="R84">
        <f>IF(Y83*C_sh &gt; C_inv, 1, 0)</f>
        <v/>
      </c>
      <c r="S84">
        <f>IF(Y83*B_sh &gt; B_inv, 1, 0)</f>
        <v/>
      </c>
      <c r="T84">
        <f>IF(Y83*A_sh &gt; A_inv, 1, 0)</f>
        <v/>
      </c>
      <c r="U84">
        <f>IF(Y83*seed_sh &gt; seed_inv, 1, 0)</f>
        <v/>
      </c>
      <c r="V84">
        <f>(1-O84)*F_primary+(1-P84)*E_inv+(1-Q84)*D_inv+(1-R84)*C_inv+(1-S84)*B_inv+(1-T84)*A_inv+(1-U84)*seed_inv</f>
        <v/>
      </c>
      <c r="W84">
        <f>MAX(0, sens_exit - V84)</f>
        <v/>
      </c>
      <c r="X84">
        <f>F1_sh+F2_sh+F3_sh+RSA_sh+J84+K84+O84*L84+P84*(E_sh + F84)+Q84*(D_sh + E84)+R84*C_sh+S84*B_sh+T84*A_sh+U84*seed_sh</f>
        <v/>
      </c>
      <c r="Y84">
        <f>(W84 + preF_opts_iss*opt_strike)/(X84 + preF_opts_iss)</f>
        <v/>
      </c>
    </row>
    <row r="85">
      <c r="B85">
        <f>N84</f>
        <v/>
      </c>
      <c r="C85">
        <f>OCP_D*(preF_FD + F_primary/OCP_D)/(preF_FD + F_primary/B85)</f>
        <v/>
      </c>
      <c r="D85">
        <f>OCP_E*(preF_FD + F_primary/OCP_E)/(preF_FD + F_primary/B85)</f>
        <v/>
      </c>
      <c r="E85">
        <f>D_sh*(OCP_D/C85 - 1)</f>
        <v/>
      </c>
      <c r="F85">
        <f>E_sh*(OCP_E/D85 - 1)</f>
        <v/>
      </c>
      <c r="G85">
        <f>(preF_FD + E85 + F85 - preF_opts + J84 + K84 + F_primary/B85)/(1-B70)</f>
        <v/>
      </c>
      <c r="H85">
        <f>MAX(0, B70*G85 - preF_opts)</f>
        <v/>
      </c>
      <c r="I85">
        <f>preF_FD + E85 + F85 + H85</f>
        <v/>
      </c>
      <c r="J85">
        <f>NA_P/MIN(NA_cap/(I85+K84), (1-NA_disc)*B85)</f>
        <v/>
      </c>
      <c r="K85">
        <f>NB_P/MIN(NB_cap/(I85+J85), (1-NB_disc)*B85)</f>
        <v/>
      </c>
      <c r="L85">
        <f>F_primary/B85</f>
        <v/>
      </c>
      <c r="M85">
        <f>I85+J85+K85</f>
        <v/>
      </c>
      <c r="N85">
        <f>D70/M85</f>
        <v/>
      </c>
      <c r="O85">
        <f>IF(Y84*L85 &gt; F_primary, 1, 0)</f>
        <v/>
      </c>
      <c r="P85">
        <f>IF(Y84*(E_sh + F85) &gt; E_inv, 1, 0)</f>
        <v/>
      </c>
      <c r="Q85">
        <f>IF(Y84*(D_sh + E85) &gt; D_inv, 1, 0)</f>
        <v/>
      </c>
      <c r="R85">
        <f>IF(Y84*C_sh &gt; C_inv, 1, 0)</f>
        <v/>
      </c>
      <c r="S85">
        <f>IF(Y84*B_sh &gt; B_inv, 1, 0)</f>
        <v/>
      </c>
      <c r="T85">
        <f>IF(Y84*A_sh &gt; A_inv, 1, 0)</f>
        <v/>
      </c>
      <c r="U85">
        <f>IF(Y84*seed_sh &gt; seed_inv, 1, 0)</f>
        <v/>
      </c>
      <c r="V85">
        <f>(1-O85)*F_primary+(1-P85)*E_inv+(1-Q85)*D_inv+(1-R85)*C_inv+(1-S85)*B_inv+(1-T85)*A_inv+(1-U85)*seed_inv</f>
        <v/>
      </c>
      <c r="W85">
        <f>MAX(0, sens_exit - V85)</f>
        <v/>
      </c>
      <c r="X85">
        <f>F1_sh+F2_sh+F3_sh+RSA_sh+J85+K85+O85*L85+P85*(E_sh + F85)+Q85*(D_sh + E85)+R85*C_sh+S85*B_sh+T85*A_sh+U85*seed_sh</f>
        <v/>
      </c>
      <c r="Y85">
        <f>(W85 + preF_opts_iss*opt_strike)/(X85 + preF_opts_iss)</f>
        <v/>
      </c>
    </row>
    <row r="86">
      <c r="B86">
        <f>N85</f>
        <v/>
      </c>
      <c r="C86">
        <f>OCP_D*(preF_FD + F_primary/OCP_D)/(preF_FD + F_primary/B86)</f>
        <v/>
      </c>
      <c r="D86">
        <f>OCP_E*(preF_FD + F_primary/OCP_E)/(preF_FD + F_primary/B86)</f>
        <v/>
      </c>
      <c r="E86">
        <f>D_sh*(OCP_D/C86 - 1)</f>
        <v/>
      </c>
      <c r="F86">
        <f>E_sh*(OCP_E/D86 - 1)</f>
        <v/>
      </c>
      <c r="G86">
        <f>(preF_FD + E86 + F86 - preF_opts + J85 + K85 + F_primary/B86)/(1-B70)</f>
        <v/>
      </c>
      <c r="H86">
        <f>MAX(0, B70*G86 - preF_opts)</f>
        <v/>
      </c>
      <c r="I86">
        <f>preF_FD + E86 + F86 + H86</f>
        <v/>
      </c>
      <c r="J86">
        <f>NA_P/MIN(NA_cap/(I86+K85), (1-NA_disc)*B86)</f>
        <v/>
      </c>
      <c r="K86">
        <f>NB_P/MIN(NB_cap/(I86+J86), (1-NB_disc)*B86)</f>
        <v/>
      </c>
      <c r="L86">
        <f>F_primary/B86</f>
        <v/>
      </c>
      <c r="M86">
        <f>I86+J86+K86</f>
        <v/>
      </c>
      <c r="N86">
        <f>D70/M86</f>
        <v/>
      </c>
      <c r="O86">
        <f>IF(Y85*L86 &gt; F_primary, 1, 0)</f>
        <v/>
      </c>
      <c r="P86">
        <f>IF(Y85*(E_sh + F86) &gt; E_inv, 1, 0)</f>
        <v/>
      </c>
      <c r="Q86">
        <f>IF(Y85*(D_sh + E86) &gt; D_inv, 1, 0)</f>
        <v/>
      </c>
      <c r="R86">
        <f>IF(Y85*C_sh &gt; C_inv, 1, 0)</f>
        <v/>
      </c>
      <c r="S86">
        <f>IF(Y85*B_sh &gt; B_inv, 1, 0)</f>
        <v/>
      </c>
      <c r="T86">
        <f>IF(Y85*A_sh &gt; A_inv, 1, 0)</f>
        <v/>
      </c>
      <c r="U86">
        <f>IF(Y85*seed_sh &gt; seed_inv, 1, 0)</f>
        <v/>
      </c>
      <c r="V86">
        <f>(1-O86)*F_primary+(1-P86)*E_inv+(1-Q86)*D_inv+(1-R86)*C_inv+(1-S86)*B_inv+(1-T86)*A_inv+(1-U86)*seed_inv</f>
        <v/>
      </c>
      <c r="W86">
        <f>MAX(0, sens_exit - V86)</f>
        <v/>
      </c>
      <c r="X86">
        <f>F1_sh+F2_sh+F3_sh+RSA_sh+J86+K86+O86*L86+P86*(E_sh + F86)+Q86*(D_sh + E86)+R86*C_sh+S86*B_sh+T86*A_sh+U86*seed_sh</f>
        <v/>
      </c>
      <c r="Y86">
        <f>(W86 + preF_opts_iss*opt_strike)/(X86 + preF_opts_iss)</f>
        <v/>
      </c>
    </row>
    <row r="87">
      <c r="B87">
        <f>N86</f>
        <v/>
      </c>
      <c r="C87">
        <f>OCP_D*(preF_FD + F_primary/OCP_D)/(preF_FD + F_primary/B87)</f>
        <v/>
      </c>
      <c r="D87">
        <f>OCP_E*(preF_FD + F_primary/OCP_E)/(preF_FD + F_primary/B87)</f>
        <v/>
      </c>
      <c r="E87">
        <f>D_sh*(OCP_D/C87 - 1)</f>
        <v/>
      </c>
      <c r="F87">
        <f>E_sh*(OCP_E/D87 - 1)</f>
        <v/>
      </c>
      <c r="G87">
        <f>(preF_FD + E87 + F87 - preF_opts + J86 + K86 + F_primary/B87)/(1-B70)</f>
        <v/>
      </c>
      <c r="H87">
        <f>MAX(0, B70*G87 - preF_opts)</f>
        <v/>
      </c>
      <c r="I87">
        <f>preF_FD + E87 + F87 + H87</f>
        <v/>
      </c>
      <c r="J87">
        <f>NA_P/MIN(NA_cap/(I87+K86), (1-NA_disc)*B87)</f>
        <v/>
      </c>
      <c r="K87">
        <f>NB_P/MIN(NB_cap/(I87+J87), (1-NB_disc)*B87)</f>
        <v/>
      </c>
      <c r="L87">
        <f>F_primary/B87</f>
        <v/>
      </c>
      <c r="M87">
        <f>I87+J87+K87</f>
        <v/>
      </c>
      <c r="N87">
        <f>D70/M87</f>
        <v/>
      </c>
      <c r="O87">
        <f>IF(Y86*L87 &gt; F_primary, 1, 0)</f>
        <v/>
      </c>
      <c r="P87">
        <f>IF(Y86*(E_sh + F87) &gt; E_inv, 1, 0)</f>
        <v/>
      </c>
      <c r="Q87">
        <f>IF(Y86*(D_sh + E87) &gt; D_inv, 1, 0)</f>
        <v/>
      </c>
      <c r="R87">
        <f>IF(Y86*C_sh &gt; C_inv, 1, 0)</f>
        <v/>
      </c>
      <c r="S87">
        <f>IF(Y86*B_sh &gt; B_inv, 1, 0)</f>
        <v/>
      </c>
      <c r="T87">
        <f>IF(Y86*A_sh &gt; A_inv, 1, 0)</f>
        <v/>
      </c>
      <c r="U87">
        <f>IF(Y86*seed_sh &gt; seed_inv, 1, 0)</f>
        <v/>
      </c>
      <c r="V87">
        <f>(1-O87)*F_primary+(1-P87)*E_inv+(1-Q87)*D_inv+(1-R87)*C_inv+(1-S87)*B_inv+(1-T87)*A_inv+(1-U87)*seed_inv</f>
        <v/>
      </c>
      <c r="W87">
        <f>MAX(0, sens_exit - V87)</f>
        <v/>
      </c>
      <c r="X87">
        <f>F1_sh+F2_sh+F3_sh+RSA_sh+J87+K87+O87*L87+P87*(E_sh + F87)+Q87*(D_sh + E87)+R87*C_sh+S87*B_sh+T87*A_sh+U87*seed_sh</f>
        <v/>
      </c>
      <c r="Y87">
        <f>(W87 + preF_opts_iss*opt_strike)/(X87 + preF_opts_iss)</f>
        <v/>
      </c>
    </row>
    <row r="88">
      <c r="B88">
        <f>N87</f>
        <v/>
      </c>
      <c r="C88">
        <f>OCP_D*(preF_FD + F_primary/OCP_D)/(preF_FD + F_primary/B88)</f>
        <v/>
      </c>
      <c r="D88">
        <f>OCP_E*(preF_FD + F_primary/OCP_E)/(preF_FD + F_primary/B88)</f>
        <v/>
      </c>
      <c r="E88">
        <f>D_sh*(OCP_D/C88 - 1)</f>
        <v/>
      </c>
      <c r="F88">
        <f>E_sh*(OCP_E/D88 - 1)</f>
        <v/>
      </c>
      <c r="G88">
        <f>(preF_FD + E88 + F88 - preF_opts + J87 + K87 + F_primary/B88)/(1-B70)</f>
        <v/>
      </c>
      <c r="H88">
        <f>MAX(0, B70*G88 - preF_opts)</f>
        <v/>
      </c>
      <c r="I88">
        <f>preF_FD + E88 + F88 + H88</f>
        <v/>
      </c>
      <c r="J88">
        <f>NA_P/MIN(NA_cap/(I88+K87), (1-NA_disc)*B88)</f>
        <v/>
      </c>
      <c r="K88">
        <f>NB_P/MIN(NB_cap/(I88+J88), (1-NB_disc)*B88)</f>
        <v/>
      </c>
      <c r="L88">
        <f>F_primary/B88</f>
        <v/>
      </c>
      <c r="M88">
        <f>I88+J88+K88</f>
        <v/>
      </c>
      <c r="N88">
        <f>D70/M88</f>
        <v/>
      </c>
      <c r="O88">
        <f>IF(Y87*L88 &gt; F_primary, 1, 0)</f>
        <v/>
      </c>
      <c r="P88">
        <f>IF(Y87*(E_sh + F88) &gt; E_inv, 1, 0)</f>
        <v/>
      </c>
      <c r="Q88">
        <f>IF(Y87*(D_sh + E88) &gt; D_inv, 1, 0)</f>
        <v/>
      </c>
      <c r="R88">
        <f>IF(Y87*C_sh &gt; C_inv, 1, 0)</f>
        <v/>
      </c>
      <c r="S88">
        <f>IF(Y87*B_sh &gt; B_inv, 1, 0)</f>
        <v/>
      </c>
      <c r="T88">
        <f>IF(Y87*A_sh &gt; A_inv, 1, 0)</f>
        <v/>
      </c>
      <c r="U88">
        <f>IF(Y87*seed_sh &gt; seed_inv, 1, 0)</f>
        <v/>
      </c>
      <c r="V88">
        <f>(1-O88)*F_primary+(1-P88)*E_inv+(1-Q88)*D_inv+(1-R88)*C_inv+(1-S88)*B_inv+(1-T88)*A_inv+(1-U88)*seed_inv</f>
        <v/>
      </c>
      <c r="W88">
        <f>MAX(0, sens_exit - V88)</f>
        <v/>
      </c>
      <c r="X88">
        <f>F1_sh+F2_sh+F3_sh+RSA_sh+J88+K88+O88*L88+P88*(E_sh + F88)+Q88*(D_sh + E88)+R88*C_sh+S88*B_sh+T88*A_sh+U88*seed_sh</f>
        <v/>
      </c>
      <c r="Y88">
        <f>(W88 + preF_opts_iss*opt_strike)/(X88 + preF_opts_iss)</f>
        <v/>
      </c>
    </row>
    <row r="89">
      <c r="B89">
        <f>N88</f>
        <v/>
      </c>
      <c r="C89">
        <f>OCP_D*(preF_FD + F_primary/OCP_D)/(preF_FD + F_primary/B89)</f>
        <v/>
      </c>
      <c r="D89">
        <f>OCP_E*(preF_FD + F_primary/OCP_E)/(preF_FD + F_primary/B89)</f>
        <v/>
      </c>
      <c r="E89">
        <f>D_sh*(OCP_D/C89 - 1)</f>
        <v/>
      </c>
      <c r="F89">
        <f>E_sh*(OCP_E/D89 - 1)</f>
        <v/>
      </c>
      <c r="G89">
        <f>(preF_FD + E89 + F89 - preF_opts + J88 + K88 + F_primary/B89)/(1-B70)</f>
        <v/>
      </c>
      <c r="H89">
        <f>MAX(0, B70*G89 - preF_opts)</f>
        <v/>
      </c>
      <c r="I89">
        <f>preF_FD + E89 + F89 + H89</f>
        <v/>
      </c>
      <c r="J89">
        <f>NA_P/MIN(NA_cap/(I89+K88), (1-NA_disc)*B89)</f>
        <v/>
      </c>
      <c r="K89">
        <f>NB_P/MIN(NB_cap/(I89+J89), (1-NB_disc)*B89)</f>
        <v/>
      </c>
      <c r="L89">
        <f>F_primary/B89</f>
        <v/>
      </c>
      <c r="M89">
        <f>I89+J89+K89</f>
        <v/>
      </c>
      <c r="N89">
        <f>D70/M89</f>
        <v/>
      </c>
      <c r="O89">
        <f>IF(Y88*L89 &gt; F_primary, 1, 0)</f>
        <v/>
      </c>
      <c r="P89">
        <f>IF(Y88*(E_sh + F89) &gt; E_inv, 1, 0)</f>
        <v/>
      </c>
      <c r="Q89">
        <f>IF(Y88*(D_sh + E89) &gt; D_inv, 1, 0)</f>
        <v/>
      </c>
      <c r="R89">
        <f>IF(Y88*C_sh &gt; C_inv, 1, 0)</f>
        <v/>
      </c>
      <c r="S89">
        <f>IF(Y88*B_sh &gt; B_inv, 1, 0)</f>
        <v/>
      </c>
      <c r="T89">
        <f>IF(Y88*A_sh &gt; A_inv, 1, 0)</f>
        <v/>
      </c>
      <c r="U89">
        <f>IF(Y88*seed_sh &gt; seed_inv, 1, 0)</f>
        <v/>
      </c>
      <c r="V89">
        <f>(1-O89)*F_primary+(1-P89)*E_inv+(1-Q89)*D_inv+(1-R89)*C_inv+(1-S89)*B_inv+(1-T89)*A_inv+(1-U89)*seed_inv</f>
        <v/>
      </c>
      <c r="W89">
        <f>MAX(0, sens_exit - V89)</f>
        <v/>
      </c>
      <c r="X89">
        <f>F1_sh+F2_sh+F3_sh+RSA_sh+J89+K89+O89*L89+P89*(E_sh + F89)+Q89*(D_sh + E89)+R89*C_sh+S89*B_sh+T89*A_sh+U89*seed_sh</f>
        <v/>
      </c>
      <c r="Y89">
        <f>(W89 + preF_opts_iss*opt_strike)/(X89 + preF_opts_iss)</f>
        <v/>
      </c>
    </row>
    <row r="90">
      <c r="B90">
        <f>N89</f>
        <v/>
      </c>
      <c r="C90">
        <f>OCP_D*(preF_FD + F_primary/OCP_D)/(preF_FD + F_primary/B90)</f>
        <v/>
      </c>
      <c r="D90">
        <f>OCP_E*(preF_FD + F_primary/OCP_E)/(preF_FD + F_primary/B90)</f>
        <v/>
      </c>
      <c r="E90">
        <f>D_sh*(OCP_D/C90 - 1)</f>
        <v/>
      </c>
      <c r="F90">
        <f>E_sh*(OCP_E/D90 - 1)</f>
        <v/>
      </c>
      <c r="G90">
        <f>(preF_FD + E90 + F90 - preF_opts + J89 + K89 + F_primary/B90)/(1-B70)</f>
        <v/>
      </c>
      <c r="H90">
        <f>MAX(0, B70*G90 - preF_opts)</f>
        <v/>
      </c>
      <c r="I90">
        <f>preF_FD + E90 + F90 + H90</f>
        <v/>
      </c>
      <c r="J90">
        <f>NA_P/MIN(NA_cap/(I90+K89), (1-NA_disc)*B90)</f>
        <v/>
      </c>
      <c r="K90">
        <f>NB_P/MIN(NB_cap/(I90+J90), (1-NB_disc)*B90)</f>
        <v/>
      </c>
      <c r="L90">
        <f>F_primary/B90</f>
        <v/>
      </c>
      <c r="M90">
        <f>I90+J90+K90</f>
        <v/>
      </c>
      <c r="N90">
        <f>D70/M90</f>
        <v/>
      </c>
      <c r="O90">
        <f>IF(Y89*L90 &gt; F_primary, 1, 0)</f>
        <v/>
      </c>
      <c r="P90">
        <f>IF(Y89*(E_sh + F90) &gt; E_inv, 1, 0)</f>
        <v/>
      </c>
      <c r="Q90">
        <f>IF(Y89*(D_sh + E90) &gt; D_inv, 1, 0)</f>
        <v/>
      </c>
      <c r="R90">
        <f>IF(Y89*C_sh &gt; C_inv, 1, 0)</f>
        <v/>
      </c>
      <c r="S90">
        <f>IF(Y89*B_sh &gt; B_inv, 1, 0)</f>
        <v/>
      </c>
      <c r="T90">
        <f>IF(Y89*A_sh &gt; A_inv, 1, 0)</f>
        <v/>
      </c>
      <c r="U90">
        <f>IF(Y89*seed_sh &gt; seed_inv, 1, 0)</f>
        <v/>
      </c>
      <c r="V90">
        <f>(1-O90)*F_primary+(1-P90)*E_inv+(1-Q90)*D_inv+(1-R90)*C_inv+(1-S90)*B_inv+(1-T90)*A_inv+(1-U90)*seed_inv</f>
        <v/>
      </c>
      <c r="W90">
        <f>MAX(0, sens_exit - V90)</f>
        <v/>
      </c>
      <c r="X90">
        <f>F1_sh+F2_sh+F3_sh+RSA_sh+J90+K90+O90*L90+P90*(E_sh + F90)+Q90*(D_sh + E90)+R90*C_sh+S90*B_sh+T90*A_sh+U90*seed_sh</f>
        <v/>
      </c>
      <c r="Y90">
        <f>(W90 + preF_opts_iss*opt_strike)/(X90 + preF_opts_iss)</f>
        <v/>
      </c>
    </row>
    <row r="91">
      <c r="B91">
        <f>N90</f>
        <v/>
      </c>
      <c r="C91">
        <f>OCP_D*(preF_FD + F_primary/OCP_D)/(preF_FD + F_primary/B91)</f>
        <v/>
      </c>
      <c r="D91">
        <f>OCP_E*(preF_FD + F_primary/OCP_E)/(preF_FD + F_primary/B91)</f>
        <v/>
      </c>
      <c r="E91">
        <f>D_sh*(OCP_D/C91 - 1)</f>
        <v/>
      </c>
      <c r="F91">
        <f>E_sh*(OCP_E/D91 - 1)</f>
        <v/>
      </c>
      <c r="G91">
        <f>(preF_FD + E91 + F91 - preF_opts + J90 + K90 + F_primary/B91)/(1-B70)</f>
        <v/>
      </c>
      <c r="H91">
        <f>MAX(0, B70*G91 - preF_opts)</f>
        <v/>
      </c>
      <c r="I91">
        <f>preF_FD + E91 + F91 + H91</f>
        <v/>
      </c>
      <c r="J91">
        <f>NA_P/MIN(NA_cap/(I91+K90), (1-NA_disc)*B91)</f>
        <v/>
      </c>
      <c r="K91">
        <f>NB_P/MIN(NB_cap/(I91+J91), (1-NB_disc)*B91)</f>
        <v/>
      </c>
      <c r="L91">
        <f>F_primary/B91</f>
        <v/>
      </c>
      <c r="M91">
        <f>I91+J91+K91</f>
        <v/>
      </c>
      <c r="N91">
        <f>D70/M91</f>
        <v/>
      </c>
      <c r="O91">
        <f>IF(Y90*L91 &gt; F_primary, 1, 0)</f>
        <v/>
      </c>
      <c r="P91">
        <f>IF(Y90*(E_sh + F91) &gt; E_inv, 1, 0)</f>
        <v/>
      </c>
      <c r="Q91">
        <f>IF(Y90*(D_sh + E91) &gt; D_inv, 1, 0)</f>
        <v/>
      </c>
      <c r="R91">
        <f>IF(Y90*C_sh &gt; C_inv, 1, 0)</f>
        <v/>
      </c>
      <c r="S91">
        <f>IF(Y90*B_sh &gt; B_inv, 1, 0)</f>
        <v/>
      </c>
      <c r="T91">
        <f>IF(Y90*A_sh &gt; A_inv, 1, 0)</f>
        <v/>
      </c>
      <c r="U91">
        <f>IF(Y90*seed_sh &gt; seed_inv, 1, 0)</f>
        <v/>
      </c>
      <c r="V91">
        <f>(1-O91)*F_primary+(1-P91)*E_inv+(1-Q91)*D_inv+(1-R91)*C_inv+(1-S91)*B_inv+(1-T91)*A_inv+(1-U91)*seed_inv</f>
        <v/>
      </c>
      <c r="W91">
        <f>MAX(0, sens_exit - V91)</f>
        <v/>
      </c>
      <c r="X91">
        <f>F1_sh+F2_sh+F3_sh+RSA_sh+J91+K91+O91*L91+P91*(E_sh + F91)+Q91*(D_sh + E91)+R91*C_sh+S91*B_sh+T91*A_sh+U91*seed_sh</f>
        <v/>
      </c>
      <c r="Y91">
        <f>(W91 + preF_opts_iss*opt_strike)/(X91 + preF_opts_iss)</f>
        <v/>
      </c>
    </row>
    <row r="92">
      <c r="B92">
        <f>N91</f>
        <v/>
      </c>
      <c r="C92">
        <f>OCP_D*(preF_FD + F_primary/OCP_D)/(preF_FD + F_primary/B92)</f>
        <v/>
      </c>
      <c r="D92">
        <f>OCP_E*(preF_FD + F_primary/OCP_E)/(preF_FD + F_primary/B92)</f>
        <v/>
      </c>
      <c r="E92">
        <f>D_sh*(OCP_D/C92 - 1)</f>
        <v/>
      </c>
      <c r="F92">
        <f>E_sh*(OCP_E/D92 - 1)</f>
        <v/>
      </c>
      <c r="G92">
        <f>(preF_FD + E92 + F92 - preF_opts + J91 + K91 + F_primary/B92)/(1-B70)</f>
        <v/>
      </c>
      <c r="H92">
        <f>MAX(0, B70*G92 - preF_opts)</f>
        <v/>
      </c>
      <c r="I92">
        <f>preF_FD + E92 + F92 + H92</f>
        <v/>
      </c>
      <c r="J92">
        <f>NA_P/MIN(NA_cap/(I92+K91), (1-NA_disc)*B92)</f>
        <v/>
      </c>
      <c r="K92">
        <f>NB_P/MIN(NB_cap/(I92+J92), (1-NB_disc)*B92)</f>
        <v/>
      </c>
      <c r="L92">
        <f>F_primary/B92</f>
        <v/>
      </c>
      <c r="M92">
        <f>I92+J92+K92</f>
        <v/>
      </c>
      <c r="N92">
        <f>D70/M92</f>
        <v/>
      </c>
      <c r="O92">
        <f>IF(Y91*L92 &gt; F_primary, 1, 0)</f>
        <v/>
      </c>
      <c r="P92">
        <f>IF(Y91*(E_sh + F92) &gt; E_inv, 1, 0)</f>
        <v/>
      </c>
      <c r="Q92">
        <f>IF(Y91*(D_sh + E92) &gt; D_inv, 1, 0)</f>
        <v/>
      </c>
      <c r="R92">
        <f>IF(Y91*C_sh &gt; C_inv, 1, 0)</f>
        <v/>
      </c>
      <c r="S92">
        <f>IF(Y91*B_sh &gt; B_inv, 1, 0)</f>
        <v/>
      </c>
      <c r="T92">
        <f>IF(Y91*A_sh &gt; A_inv, 1, 0)</f>
        <v/>
      </c>
      <c r="U92">
        <f>IF(Y91*seed_sh &gt; seed_inv, 1, 0)</f>
        <v/>
      </c>
      <c r="V92">
        <f>(1-O92)*F_primary+(1-P92)*E_inv+(1-Q92)*D_inv+(1-R92)*C_inv+(1-S92)*B_inv+(1-T92)*A_inv+(1-U92)*seed_inv</f>
        <v/>
      </c>
      <c r="W92">
        <f>MAX(0, sens_exit - V92)</f>
        <v/>
      </c>
      <c r="X92">
        <f>F1_sh+F2_sh+F3_sh+RSA_sh+J92+K92+O92*L92+P92*(E_sh + F92)+Q92*(D_sh + E92)+R92*C_sh+S92*B_sh+T92*A_sh+U92*seed_sh</f>
        <v/>
      </c>
      <c r="Y92">
        <f>(W92 + preF_opts_iss*opt_strike)/(X92 + preF_opts_iss)</f>
        <v/>
      </c>
    </row>
    <row r="93">
      <c r="B93">
        <f>N92</f>
        <v/>
      </c>
      <c r="C93">
        <f>OCP_D*(preF_FD + F_primary/OCP_D)/(preF_FD + F_primary/B93)</f>
        <v/>
      </c>
      <c r="D93">
        <f>OCP_E*(preF_FD + F_primary/OCP_E)/(preF_FD + F_primary/B93)</f>
        <v/>
      </c>
      <c r="E93">
        <f>D_sh*(OCP_D/C93 - 1)</f>
        <v/>
      </c>
      <c r="F93">
        <f>E_sh*(OCP_E/D93 - 1)</f>
        <v/>
      </c>
      <c r="G93">
        <f>(preF_FD + E93 + F93 - preF_opts + J92 + K92 + F_primary/B93)/(1-B70)</f>
        <v/>
      </c>
      <c r="H93">
        <f>MAX(0, B70*G93 - preF_opts)</f>
        <v/>
      </c>
      <c r="I93">
        <f>preF_FD + E93 + F93 + H93</f>
        <v/>
      </c>
      <c r="J93">
        <f>NA_P/MIN(NA_cap/(I93+K92), (1-NA_disc)*B93)</f>
        <v/>
      </c>
      <c r="K93">
        <f>NB_P/MIN(NB_cap/(I93+J93), (1-NB_disc)*B93)</f>
        <v/>
      </c>
      <c r="L93">
        <f>F_primary/B93</f>
        <v/>
      </c>
      <c r="M93">
        <f>I93+J93+K93</f>
        <v/>
      </c>
      <c r="N93">
        <f>D70/M93</f>
        <v/>
      </c>
      <c r="O93">
        <f>IF(Y92*L93 &gt; F_primary, 1, 0)</f>
        <v/>
      </c>
      <c r="P93">
        <f>IF(Y92*(E_sh + F93) &gt; E_inv, 1, 0)</f>
        <v/>
      </c>
      <c r="Q93">
        <f>IF(Y92*(D_sh + E93) &gt; D_inv, 1, 0)</f>
        <v/>
      </c>
      <c r="R93">
        <f>IF(Y92*C_sh &gt; C_inv, 1, 0)</f>
        <v/>
      </c>
      <c r="S93">
        <f>IF(Y92*B_sh &gt; B_inv, 1, 0)</f>
        <v/>
      </c>
      <c r="T93">
        <f>IF(Y92*A_sh &gt; A_inv, 1, 0)</f>
        <v/>
      </c>
      <c r="U93">
        <f>IF(Y92*seed_sh &gt; seed_inv, 1, 0)</f>
        <v/>
      </c>
      <c r="V93">
        <f>(1-O93)*F_primary+(1-P93)*E_inv+(1-Q93)*D_inv+(1-R93)*C_inv+(1-S93)*B_inv+(1-T93)*A_inv+(1-U93)*seed_inv</f>
        <v/>
      </c>
      <c r="W93">
        <f>MAX(0, sens_exit - V93)</f>
        <v/>
      </c>
      <c r="X93">
        <f>F1_sh+F2_sh+F3_sh+RSA_sh+J93+K93+O93*L93+P93*(E_sh + F93)+Q93*(D_sh + E93)+R93*C_sh+S93*B_sh+T93*A_sh+U93*seed_sh</f>
        <v/>
      </c>
      <c r="Y93">
        <f>(W93 + preF_opts_iss*opt_strike)/(X93 + preF_opts_iss)</f>
        <v/>
      </c>
    </row>
    <row r="94">
      <c r="B94">
        <f>N93</f>
        <v/>
      </c>
      <c r="C94">
        <f>OCP_D*(preF_FD + F_primary/OCP_D)/(preF_FD + F_primary/B94)</f>
        <v/>
      </c>
      <c r="D94">
        <f>OCP_E*(preF_FD + F_primary/OCP_E)/(preF_FD + F_primary/B94)</f>
        <v/>
      </c>
      <c r="E94">
        <f>D_sh*(OCP_D/C94 - 1)</f>
        <v/>
      </c>
      <c r="F94">
        <f>E_sh*(OCP_E/D94 - 1)</f>
        <v/>
      </c>
      <c r="G94">
        <f>(preF_FD + E94 + F94 - preF_opts + J93 + K93 + F_primary/B94)/(1-B70)</f>
        <v/>
      </c>
      <c r="H94">
        <f>MAX(0, B70*G94 - preF_opts)</f>
        <v/>
      </c>
      <c r="I94">
        <f>preF_FD + E94 + F94 + H94</f>
        <v/>
      </c>
      <c r="J94">
        <f>NA_P/MIN(NA_cap/(I94+K93), (1-NA_disc)*B94)</f>
        <v/>
      </c>
      <c r="K94">
        <f>NB_P/MIN(NB_cap/(I94+J94), (1-NB_disc)*B94)</f>
        <v/>
      </c>
      <c r="L94">
        <f>F_primary/B94</f>
        <v/>
      </c>
      <c r="M94">
        <f>I94+J94+K94</f>
        <v/>
      </c>
      <c r="N94">
        <f>D70/M94</f>
        <v/>
      </c>
      <c r="O94">
        <f>IF(Y93*L94 &gt; F_primary, 1, 0)</f>
        <v/>
      </c>
      <c r="P94">
        <f>IF(Y93*(E_sh + F94) &gt; E_inv, 1, 0)</f>
        <v/>
      </c>
      <c r="Q94">
        <f>IF(Y93*(D_sh + E94) &gt; D_inv, 1, 0)</f>
        <v/>
      </c>
      <c r="R94">
        <f>IF(Y93*C_sh &gt; C_inv, 1, 0)</f>
        <v/>
      </c>
      <c r="S94">
        <f>IF(Y93*B_sh &gt; B_inv, 1, 0)</f>
        <v/>
      </c>
      <c r="T94">
        <f>IF(Y93*A_sh &gt; A_inv, 1, 0)</f>
        <v/>
      </c>
      <c r="U94">
        <f>IF(Y93*seed_sh &gt; seed_inv, 1, 0)</f>
        <v/>
      </c>
      <c r="V94">
        <f>(1-O94)*F_primary+(1-P94)*E_inv+(1-Q94)*D_inv+(1-R94)*C_inv+(1-S94)*B_inv+(1-T94)*A_inv+(1-U94)*seed_inv</f>
        <v/>
      </c>
      <c r="W94">
        <f>MAX(0, sens_exit - V94)</f>
        <v/>
      </c>
      <c r="X94">
        <f>F1_sh+F2_sh+F3_sh+RSA_sh+J94+K94+O94*L94+P94*(E_sh + F94)+Q94*(D_sh + E94)+R94*C_sh+S94*B_sh+T94*A_sh+U94*seed_sh</f>
        <v/>
      </c>
      <c r="Y94">
        <f>(W94 + preF_opts_iss*opt_strike)/(X94 + preF_opts_iss)</f>
        <v/>
      </c>
    </row>
    <row r="95">
      <c r="B95">
        <f>N94</f>
        <v/>
      </c>
      <c r="C95">
        <f>OCP_D*(preF_FD + F_primary/OCP_D)/(preF_FD + F_primary/B95)</f>
        <v/>
      </c>
      <c r="D95">
        <f>OCP_E*(preF_FD + F_primary/OCP_E)/(preF_FD + F_primary/B95)</f>
        <v/>
      </c>
      <c r="E95">
        <f>D_sh*(OCP_D/C95 - 1)</f>
        <v/>
      </c>
      <c r="F95">
        <f>E_sh*(OCP_E/D95 - 1)</f>
        <v/>
      </c>
      <c r="G95">
        <f>(preF_FD + E95 + F95 - preF_opts + J94 + K94 + F_primary/B95)/(1-B70)</f>
        <v/>
      </c>
      <c r="H95">
        <f>MAX(0, B70*G95 - preF_opts)</f>
        <v/>
      </c>
      <c r="I95">
        <f>preF_FD + E95 + F95 + H95</f>
        <v/>
      </c>
      <c r="J95">
        <f>NA_P/MIN(NA_cap/(I95+K94), (1-NA_disc)*B95)</f>
        <v/>
      </c>
      <c r="K95">
        <f>NB_P/MIN(NB_cap/(I95+J95), (1-NB_disc)*B95)</f>
        <v/>
      </c>
      <c r="L95">
        <f>F_primary/B95</f>
        <v/>
      </c>
      <c r="M95">
        <f>I95+J95+K95</f>
        <v/>
      </c>
      <c r="N95">
        <f>D70/M95</f>
        <v/>
      </c>
      <c r="O95">
        <f>IF(Y94*L95 &gt; F_primary, 1, 0)</f>
        <v/>
      </c>
      <c r="P95">
        <f>IF(Y94*(E_sh + F95) &gt; E_inv, 1, 0)</f>
        <v/>
      </c>
      <c r="Q95">
        <f>IF(Y94*(D_sh + E95) &gt; D_inv, 1, 0)</f>
        <v/>
      </c>
      <c r="R95">
        <f>IF(Y94*C_sh &gt; C_inv, 1, 0)</f>
        <v/>
      </c>
      <c r="S95">
        <f>IF(Y94*B_sh &gt; B_inv, 1, 0)</f>
        <v/>
      </c>
      <c r="T95">
        <f>IF(Y94*A_sh &gt; A_inv, 1, 0)</f>
        <v/>
      </c>
      <c r="U95">
        <f>IF(Y94*seed_sh &gt; seed_inv, 1, 0)</f>
        <v/>
      </c>
      <c r="V95">
        <f>(1-O95)*F_primary+(1-P95)*E_inv+(1-Q95)*D_inv+(1-R95)*C_inv+(1-S95)*B_inv+(1-T95)*A_inv+(1-U95)*seed_inv</f>
        <v/>
      </c>
      <c r="W95">
        <f>MAX(0, sens_exit - V95)</f>
        <v/>
      </c>
      <c r="X95">
        <f>F1_sh+F2_sh+F3_sh+RSA_sh+J95+K95+O95*L95+P95*(E_sh + F95)+Q95*(D_sh + E95)+R95*C_sh+S95*B_sh+T95*A_sh+U95*seed_sh</f>
        <v/>
      </c>
      <c r="Y95">
        <f>(W95 + preF_opts_iss*opt_strike)/(X95 + preF_opts_iss)</f>
        <v/>
      </c>
    </row>
    <row r="96">
      <c r="B96">
        <f>N95</f>
        <v/>
      </c>
      <c r="C96">
        <f>OCP_D*(preF_FD + F_primary/OCP_D)/(preF_FD + F_primary/B96)</f>
        <v/>
      </c>
      <c r="D96">
        <f>OCP_E*(preF_FD + F_primary/OCP_E)/(preF_FD + F_primary/B96)</f>
        <v/>
      </c>
      <c r="E96">
        <f>D_sh*(OCP_D/C96 - 1)</f>
        <v/>
      </c>
      <c r="F96">
        <f>E_sh*(OCP_E/D96 - 1)</f>
        <v/>
      </c>
      <c r="G96">
        <f>(preF_FD + E96 + F96 - preF_opts + J95 + K95 + F_primary/B96)/(1-B70)</f>
        <v/>
      </c>
      <c r="H96">
        <f>MAX(0, B70*G96 - preF_opts)</f>
        <v/>
      </c>
      <c r="I96">
        <f>preF_FD + E96 + F96 + H96</f>
        <v/>
      </c>
      <c r="J96">
        <f>NA_P/MIN(NA_cap/(I96+K95), (1-NA_disc)*B96)</f>
        <v/>
      </c>
      <c r="K96">
        <f>NB_P/MIN(NB_cap/(I96+J96), (1-NB_disc)*B96)</f>
        <v/>
      </c>
      <c r="L96">
        <f>F_primary/B96</f>
        <v/>
      </c>
      <c r="M96">
        <f>I96+J96+K96</f>
        <v/>
      </c>
      <c r="N96">
        <f>D70/M96</f>
        <v/>
      </c>
      <c r="O96">
        <f>IF(Y95*L96 &gt; F_primary, 1, 0)</f>
        <v/>
      </c>
      <c r="P96">
        <f>IF(Y95*(E_sh + F96) &gt; E_inv, 1, 0)</f>
        <v/>
      </c>
      <c r="Q96">
        <f>IF(Y95*(D_sh + E96) &gt; D_inv, 1, 0)</f>
        <v/>
      </c>
      <c r="R96">
        <f>IF(Y95*C_sh &gt; C_inv, 1, 0)</f>
        <v/>
      </c>
      <c r="S96">
        <f>IF(Y95*B_sh &gt; B_inv, 1, 0)</f>
        <v/>
      </c>
      <c r="T96">
        <f>IF(Y95*A_sh &gt; A_inv, 1, 0)</f>
        <v/>
      </c>
      <c r="U96">
        <f>IF(Y95*seed_sh &gt; seed_inv, 1, 0)</f>
        <v/>
      </c>
      <c r="V96">
        <f>(1-O96)*F_primary+(1-P96)*E_inv+(1-Q96)*D_inv+(1-R96)*C_inv+(1-S96)*B_inv+(1-T96)*A_inv+(1-U96)*seed_inv</f>
        <v/>
      </c>
      <c r="W96">
        <f>MAX(0, sens_exit - V96)</f>
        <v/>
      </c>
      <c r="X96">
        <f>F1_sh+F2_sh+F3_sh+RSA_sh+J96+K96+O96*L96+P96*(E_sh + F96)+Q96*(D_sh + E96)+R96*C_sh+S96*B_sh+T96*A_sh+U96*seed_sh</f>
        <v/>
      </c>
      <c r="Y96">
        <f>(W96 + preF_opts_iss*opt_strike)/(X96 + preF_opts_iss)</f>
        <v/>
      </c>
    </row>
    <row r="97">
      <c r="B97">
        <f>N96</f>
        <v/>
      </c>
      <c r="C97">
        <f>OCP_D*(preF_FD + F_primary/OCP_D)/(preF_FD + F_primary/B97)</f>
        <v/>
      </c>
      <c r="D97">
        <f>OCP_E*(preF_FD + F_primary/OCP_E)/(preF_FD + F_primary/B97)</f>
        <v/>
      </c>
      <c r="E97">
        <f>D_sh*(OCP_D/C97 - 1)</f>
        <v/>
      </c>
      <c r="F97">
        <f>E_sh*(OCP_E/D97 - 1)</f>
        <v/>
      </c>
      <c r="G97">
        <f>(preF_FD + E97 + F97 - preF_opts + J96 + K96 + F_primary/B97)/(1-B70)</f>
        <v/>
      </c>
      <c r="H97">
        <f>MAX(0, B70*G97 - preF_opts)</f>
        <v/>
      </c>
      <c r="I97">
        <f>preF_FD + E97 + F97 + H97</f>
        <v/>
      </c>
      <c r="J97">
        <f>NA_P/MIN(NA_cap/(I97+K96), (1-NA_disc)*B97)</f>
        <v/>
      </c>
      <c r="K97">
        <f>NB_P/MIN(NB_cap/(I97+J97), (1-NB_disc)*B97)</f>
        <v/>
      </c>
      <c r="L97">
        <f>F_primary/B97</f>
        <v/>
      </c>
      <c r="M97">
        <f>I97+J97+K97</f>
        <v/>
      </c>
      <c r="N97">
        <f>D70/M97</f>
        <v/>
      </c>
      <c r="O97">
        <f>IF(Y96*L97 &gt; F_primary, 1, 0)</f>
        <v/>
      </c>
      <c r="P97">
        <f>IF(Y96*(E_sh + F97) &gt; E_inv, 1, 0)</f>
        <v/>
      </c>
      <c r="Q97">
        <f>IF(Y96*(D_sh + E97) &gt; D_inv, 1, 0)</f>
        <v/>
      </c>
      <c r="R97">
        <f>IF(Y96*C_sh &gt; C_inv, 1, 0)</f>
        <v/>
      </c>
      <c r="S97">
        <f>IF(Y96*B_sh &gt; B_inv, 1, 0)</f>
        <v/>
      </c>
      <c r="T97">
        <f>IF(Y96*A_sh &gt; A_inv, 1, 0)</f>
        <v/>
      </c>
      <c r="U97">
        <f>IF(Y96*seed_sh &gt; seed_inv, 1, 0)</f>
        <v/>
      </c>
      <c r="V97">
        <f>(1-O97)*F_primary+(1-P97)*E_inv+(1-Q97)*D_inv+(1-R97)*C_inv+(1-S97)*B_inv+(1-T97)*A_inv+(1-U97)*seed_inv</f>
        <v/>
      </c>
      <c r="W97">
        <f>MAX(0, sens_exit - V97)</f>
        <v/>
      </c>
      <c r="X97">
        <f>F1_sh+F2_sh+F3_sh+RSA_sh+J97+K97+O97*L97+P97*(E_sh + F97)+Q97*(D_sh + E97)+R97*C_sh+S97*B_sh+T97*A_sh+U97*seed_sh</f>
        <v/>
      </c>
      <c r="Y97">
        <f>(W97 + preF_opts_iss*opt_strike)/(X97 + preF_opts_iss)</f>
        <v/>
      </c>
    </row>
    <row r="98">
      <c r="B98">
        <f>N97</f>
        <v/>
      </c>
      <c r="C98">
        <f>OCP_D*(preF_FD + F_primary/OCP_D)/(preF_FD + F_primary/B98)</f>
        <v/>
      </c>
      <c r="D98">
        <f>OCP_E*(preF_FD + F_primary/OCP_E)/(preF_FD + F_primary/B98)</f>
        <v/>
      </c>
      <c r="E98">
        <f>D_sh*(OCP_D/C98 - 1)</f>
        <v/>
      </c>
      <c r="F98">
        <f>E_sh*(OCP_E/D98 - 1)</f>
        <v/>
      </c>
      <c r="G98">
        <f>(preF_FD + E98 + F98 - preF_opts + J97 + K97 + F_primary/B98)/(1-B70)</f>
        <v/>
      </c>
      <c r="H98">
        <f>MAX(0, B70*G98 - preF_opts)</f>
        <v/>
      </c>
      <c r="I98">
        <f>preF_FD + E98 + F98 + H98</f>
        <v/>
      </c>
      <c r="J98">
        <f>NA_P/MIN(NA_cap/(I98+K97), (1-NA_disc)*B98)</f>
        <v/>
      </c>
      <c r="K98">
        <f>NB_P/MIN(NB_cap/(I98+J98), (1-NB_disc)*B98)</f>
        <v/>
      </c>
      <c r="L98">
        <f>F_primary/B98</f>
        <v/>
      </c>
      <c r="M98">
        <f>I98+J98+K98</f>
        <v/>
      </c>
      <c r="N98">
        <f>D70/M98</f>
        <v/>
      </c>
      <c r="O98">
        <f>IF(Y97*L98 &gt; F_primary, 1, 0)</f>
        <v/>
      </c>
      <c r="P98">
        <f>IF(Y97*(E_sh + F98) &gt; E_inv, 1, 0)</f>
        <v/>
      </c>
      <c r="Q98">
        <f>IF(Y97*(D_sh + E98) &gt; D_inv, 1, 0)</f>
        <v/>
      </c>
      <c r="R98">
        <f>IF(Y97*C_sh &gt; C_inv, 1, 0)</f>
        <v/>
      </c>
      <c r="S98">
        <f>IF(Y97*B_sh &gt; B_inv, 1, 0)</f>
        <v/>
      </c>
      <c r="T98">
        <f>IF(Y97*A_sh &gt; A_inv, 1, 0)</f>
        <v/>
      </c>
      <c r="U98">
        <f>IF(Y97*seed_sh &gt; seed_inv, 1, 0)</f>
        <v/>
      </c>
      <c r="V98">
        <f>(1-O98)*F_primary+(1-P98)*E_inv+(1-Q98)*D_inv+(1-R98)*C_inv+(1-S98)*B_inv+(1-T98)*A_inv+(1-U98)*seed_inv</f>
        <v/>
      </c>
      <c r="W98">
        <f>MAX(0, sens_exit - V98)</f>
        <v/>
      </c>
      <c r="X98">
        <f>F1_sh+F2_sh+F3_sh+RSA_sh+J98+K98+O98*L98+P98*(E_sh + F98)+Q98*(D_sh + E98)+R98*C_sh+S98*B_sh+T98*A_sh+U98*seed_sh</f>
        <v/>
      </c>
      <c r="Y98">
        <f>(W98 + preF_opts_iss*opt_strike)/(X98 + preF_opts_iss)</f>
        <v/>
      </c>
    </row>
    <row r="99">
      <c r="B99">
        <f>N98</f>
        <v/>
      </c>
      <c r="C99">
        <f>OCP_D*(preF_FD + F_primary/OCP_D)/(preF_FD + F_primary/B99)</f>
        <v/>
      </c>
      <c r="D99">
        <f>OCP_E*(preF_FD + F_primary/OCP_E)/(preF_FD + F_primary/B99)</f>
        <v/>
      </c>
      <c r="E99">
        <f>D_sh*(OCP_D/C99 - 1)</f>
        <v/>
      </c>
      <c r="F99">
        <f>E_sh*(OCP_E/D99 - 1)</f>
        <v/>
      </c>
      <c r="G99">
        <f>(preF_FD + E99 + F99 - preF_opts + J98 + K98 + F_primary/B99)/(1-B70)</f>
        <v/>
      </c>
      <c r="H99">
        <f>MAX(0, B70*G99 - preF_opts)</f>
        <v/>
      </c>
      <c r="I99">
        <f>preF_FD + E99 + F99 + H99</f>
        <v/>
      </c>
      <c r="J99">
        <f>NA_P/MIN(NA_cap/(I99+K98), (1-NA_disc)*B99)</f>
        <v/>
      </c>
      <c r="K99">
        <f>NB_P/MIN(NB_cap/(I99+J99), (1-NB_disc)*B99)</f>
        <v/>
      </c>
      <c r="L99">
        <f>F_primary/B99</f>
        <v/>
      </c>
      <c r="M99">
        <f>I99+J99+K99</f>
        <v/>
      </c>
      <c r="N99">
        <f>D70/M99</f>
        <v/>
      </c>
      <c r="O99">
        <f>IF(Y98*L99 &gt; F_primary, 1, 0)</f>
        <v/>
      </c>
      <c r="P99">
        <f>IF(Y98*(E_sh + F99) &gt; E_inv, 1, 0)</f>
        <v/>
      </c>
      <c r="Q99">
        <f>IF(Y98*(D_sh + E99) &gt; D_inv, 1, 0)</f>
        <v/>
      </c>
      <c r="R99">
        <f>IF(Y98*C_sh &gt; C_inv, 1, 0)</f>
        <v/>
      </c>
      <c r="S99">
        <f>IF(Y98*B_sh &gt; B_inv, 1, 0)</f>
        <v/>
      </c>
      <c r="T99">
        <f>IF(Y98*A_sh &gt; A_inv, 1, 0)</f>
        <v/>
      </c>
      <c r="U99">
        <f>IF(Y98*seed_sh &gt; seed_inv, 1, 0)</f>
        <v/>
      </c>
      <c r="V99">
        <f>(1-O99)*F_primary+(1-P99)*E_inv+(1-Q99)*D_inv+(1-R99)*C_inv+(1-S99)*B_inv+(1-T99)*A_inv+(1-U99)*seed_inv</f>
        <v/>
      </c>
      <c r="W99">
        <f>MAX(0, sens_exit - V99)</f>
        <v/>
      </c>
      <c r="X99">
        <f>F1_sh+F2_sh+F3_sh+RSA_sh+J99+K99+O99*L99+P99*(E_sh + F99)+Q99*(D_sh + E99)+R99*C_sh+S99*B_sh+T99*A_sh+U99*seed_sh</f>
        <v/>
      </c>
      <c r="Y99">
        <f>(W99 + preF_opts_iss*opt_strike)/(X99 + preF_opts_iss)</f>
        <v/>
      </c>
    </row>
    <row r="100">
      <c r="B100">
        <f>N99</f>
        <v/>
      </c>
      <c r="C100">
        <f>OCP_D*(preF_FD + F_primary/OCP_D)/(preF_FD + F_primary/B100)</f>
        <v/>
      </c>
      <c r="D100">
        <f>OCP_E*(preF_FD + F_primary/OCP_E)/(preF_FD + F_primary/B100)</f>
        <v/>
      </c>
      <c r="E100">
        <f>D_sh*(OCP_D/C100 - 1)</f>
        <v/>
      </c>
      <c r="F100">
        <f>E_sh*(OCP_E/D100 - 1)</f>
        <v/>
      </c>
      <c r="G100">
        <f>(preF_FD + E100 + F100 - preF_opts + J99 + K99 + F_primary/B100)/(1-B70)</f>
        <v/>
      </c>
      <c r="H100">
        <f>MAX(0, B70*G100 - preF_opts)</f>
        <v/>
      </c>
      <c r="I100">
        <f>preF_FD + E100 + F100 + H100</f>
        <v/>
      </c>
      <c r="J100">
        <f>NA_P/MIN(NA_cap/(I100+K99), (1-NA_disc)*B100)</f>
        <v/>
      </c>
      <c r="K100">
        <f>NB_P/MIN(NB_cap/(I100+J100), (1-NB_disc)*B100)</f>
        <v/>
      </c>
      <c r="L100">
        <f>F_primary/B100</f>
        <v/>
      </c>
      <c r="M100">
        <f>I100+J100+K100</f>
        <v/>
      </c>
      <c r="N100">
        <f>D70/M100</f>
        <v/>
      </c>
      <c r="O100">
        <f>IF(Y99*L100 &gt; F_primary, 1, 0)</f>
        <v/>
      </c>
      <c r="P100">
        <f>IF(Y99*(E_sh + F100) &gt; E_inv, 1, 0)</f>
        <v/>
      </c>
      <c r="Q100">
        <f>IF(Y99*(D_sh + E100) &gt; D_inv, 1, 0)</f>
        <v/>
      </c>
      <c r="R100">
        <f>IF(Y99*C_sh &gt; C_inv, 1, 0)</f>
        <v/>
      </c>
      <c r="S100">
        <f>IF(Y99*B_sh &gt; B_inv, 1, 0)</f>
        <v/>
      </c>
      <c r="T100">
        <f>IF(Y99*A_sh &gt; A_inv, 1, 0)</f>
        <v/>
      </c>
      <c r="U100">
        <f>IF(Y99*seed_sh &gt; seed_inv, 1, 0)</f>
        <v/>
      </c>
      <c r="V100">
        <f>(1-O100)*F_primary+(1-P100)*E_inv+(1-Q100)*D_inv+(1-R100)*C_inv+(1-S100)*B_inv+(1-T100)*A_inv+(1-U100)*seed_inv</f>
        <v/>
      </c>
      <c r="W100">
        <f>MAX(0, sens_exit - V100)</f>
        <v/>
      </c>
      <c r="X100">
        <f>F1_sh+F2_sh+F3_sh+RSA_sh+J100+K100+O100*L100+P100*(E_sh + F100)+Q100*(D_sh + E100)+R100*C_sh+S100*B_sh+T100*A_sh+U100*seed_sh</f>
        <v/>
      </c>
      <c r="Y100">
        <f>(W100 + preF_opts_iss*opt_strike)/(X100 + preF_opts_iss)</f>
        <v/>
      </c>
    </row>
    <row r="101">
      <c r="B101">
        <f>N100</f>
        <v/>
      </c>
      <c r="C101">
        <f>OCP_D*(preF_FD + F_primary/OCP_D)/(preF_FD + F_primary/B101)</f>
        <v/>
      </c>
      <c r="D101">
        <f>OCP_E*(preF_FD + F_primary/OCP_E)/(preF_FD + F_primary/B101)</f>
        <v/>
      </c>
      <c r="E101">
        <f>D_sh*(OCP_D/C101 - 1)</f>
        <v/>
      </c>
      <c r="F101">
        <f>E_sh*(OCP_E/D101 - 1)</f>
        <v/>
      </c>
      <c r="G101">
        <f>(preF_FD + E101 + F101 - preF_opts + J100 + K100 + F_primary/B101)/(1-B70)</f>
        <v/>
      </c>
      <c r="H101">
        <f>MAX(0, B70*G101 - preF_opts)</f>
        <v/>
      </c>
      <c r="I101">
        <f>preF_FD + E101 + F101 + H101</f>
        <v/>
      </c>
      <c r="J101">
        <f>NA_P/MIN(NA_cap/(I101+K100), (1-NA_disc)*B101)</f>
        <v/>
      </c>
      <c r="K101">
        <f>NB_P/MIN(NB_cap/(I101+J101), (1-NB_disc)*B101)</f>
        <v/>
      </c>
      <c r="L101">
        <f>F_primary/B101</f>
        <v/>
      </c>
      <c r="M101">
        <f>I101+J101+K101</f>
        <v/>
      </c>
      <c r="N101">
        <f>D70/M101</f>
        <v/>
      </c>
      <c r="O101">
        <f>IF(Y100*L101 &gt; F_primary, 1, 0)</f>
        <v/>
      </c>
      <c r="P101">
        <f>IF(Y100*(E_sh + F101) &gt; E_inv, 1, 0)</f>
        <v/>
      </c>
      <c r="Q101">
        <f>IF(Y100*(D_sh + E101) &gt; D_inv, 1, 0)</f>
        <v/>
      </c>
      <c r="R101">
        <f>IF(Y100*C_sh &gt; C_inv, 1, 0)</f>
        <v/>
      </c>
      <c r="S101">
        <f>IF(Y100*B_sh &gt; B_inv, 1, 0)</f>
        <v/>
      </c>
      <c r="T101">
        <f>IF(Y100*A_sh &gt; A_inv, 1, 0)</f>
        <v/>
      </c>
      <c r="U101">
        <f>IF(Y100*seed_sh &gt; seed_inv, 1, 0)</f>
        <v/>
      </c>
      <c r="V101">
        <f>(1-O101)*F_primary+(1-P101)*E_inv+(1-Q101)*D_inv+(1-R101)*C_inv+(1-S101)*B_inv+(1-T101)*A_inv+(1-U101)*seed_inv</f>
        <v/>
      </c>
      <c r="W101">
        <f>MAX(0, sens_exit - V101)</f>
        <v/>
      </c>
      <c r="X101">
        <f>F1_sh+F2_sh+F3_sh+RSA_sh+J101+K101+O101*L101+P101*(E_sh + F101)+Q101*(D_sh + E101)+R101*C_sh+S101*B_sh+T101*A_sh+U101*seed_sh</f>
        <v/>
      </c>
      <c r="Y101">
        <f>(W101 + preF_opts_iss*opt_strike)/(X101 + preF_opts_iss)</f>
        <v/>
      </c>
    </row>
    <row r="102">
      <c r="B102">
        <f>N101</f>
        <v/>
      </c>
      <c r="C102">
        <f>OCP_D*(preF_FD + F_primary/OCP_D)/(preF_FD + F_primary/B102)</f>
        <v/>
      </c>
      <c r="D102">
        <f>OCP_E*(preF_FD + F_primary/OCP_E)/(preF_FD + F_primary/B102)</f>
        <v/>
      </c>
      <c r="E102">
        <f>D_sh*(OCP_D/C102 - 1)</f>
        <v/>
      </c>
      <c r="F102">
        <f>E_sh*(OCP_E/D102 - 1)</f>
        <v/>
      </c>
      <c r="G102">
        <f>(preF_FD + E102 + F102 - preF_opts + J101 + K101 + F_primary/B102)/(1-B70)</f>
        <v/>
      </c>
      <c r="H102">
        <f>MAX(0, B70*G102 - preF_opts)</f>
        <v/>
      </c>
      <c r="I102">
        <f>preF_FD + E102 + F102 + H102</f>
        <v/>
      </c>
      <c r="J102">
        <f>NA_P/MIN(NA_cap/(I102+K101), (1-NA_disc)*B102)</f>
        <v/>
      </c>
      <c r="K102">
        <f>NB_P/MIN(NB_cap/(I102+J102), (1-NB_disc)*B102)</f>
        <v/>
      </c>
      <c r="L102">
        <f>F_primary/B102</f>
        <v/>
      </c>
      <c r="M102">
        <f>I102+J102+K102</f>
        <v/>
      </c>
      <c r="N102">
        <f>D70/M102</f>
        <v/>
      </c>
      <c r="O102">
        <f>IF(Y101*L102 &gt; F_primary, 1, 0)</f>
        <v/>
      </c>
      <c r="P102">
        <f>IF(Y101*(E_sh + F102) &gt; E_inv, 1, 0)</f>
        <v/>
      </c>
      <c r="Q102">
        <f>IF(Y101*(D_sh + E102) &gt; D_inv, 1, 0)</f>
        <v/>
      </c>
      <c r="R102">
        <f>IF(Y101*C_sh &gt; C_inv, 1, 0)</f>
        <v/>
      </c>
      <c r="S102">
        <f>IF(Y101*B_sh &gt; B_inv, 1, 0)</f>
        <v/>
      </c>
      <c r="T102">
        <f>IF(Y101*A_sh &gt; A_inv, 1, 0)</f>
        <v/>
      </c>
      <c r="U102">
        <f>IF(Y101*seed_sh &gt; seed_inv, 1, 0)</f>
        <v/>
      </c>
      <c r="V102">
        <f>(1-O102)*F_primary+(1-P102)*E_inv+(1-Q102)*D_inv+(1-R102)*C_inv+(1-S102)*B_inv+(1-T102)*A_inv+(1-U102)*seed_inv</f>
        <v/>
      </c>
      <c r="W102">
        <f>MAX(0, sens_exit - V102)</f>
        <v/>
      </c>
      <c r="X102">
        <f>F1_sh+F2_sh+F3_sh+RSA_sh+J102+K102+O102*L102+P102*(E_sh + F102)+Q102*(D_sh + E102)+R102*C_sh+S102*B_sh+T102*A_sh+U102*seed_sh</f>
        <v/>
      </c>
      <c r="Y102">
        <f>(W102 + preF_opts_iss*opt_strike)/(X102 + preF_opts_iss)</f>
        <v/>
      </c>
    </row>
    <row r="103">
      <c r="B103">
        <f>N102</f>
        <v/>
      </c>
      <c r="C103">
        <f>OCP_D*(preF_FD + F_primary/OCP_D)/(preF_FD + F_primary/B103)</f>
        <v/>
      </c>
      <c r="D103">
        <f>OCP_E*(preF_FD + F_primary/OCP_E)/(preF_FD + F_primary/B103)</f>
        <v/>
      </c>
      <c r="E103">
        <f>D_sh*(OCP_D/C103 - 1)</f>
        <v/>
      </c>
      <c r="F103">
        <f>E_sh*(OCP_E/D103 - 1)</f>
        <v/>
      </c>
      <c r="G103">
        <f>(preF_FD + E103 + F103 - preF_opts + J102 + K102 + F_primary/B103)/(1-B70)</f>
        <v/>
      </c>
      <c r="H103">
        <f>MAX(0, B70*G103 - preF_opts)</f>
        <v/>
      </c>
      <c r="I103">
        <f>preF_FD + E103 + F103 + H103</f>
        <v/>
      </c>
      <c r="J103">
        <f>NA_P/MIN(NA_cap/(I103+K102), (1-NA_disc)*B103)</f>
        <v/>
      </c>
      <c r="K103">
        <f>NB_P/MIN(NB_cap/(I103+J103), (1-NB_disc)*B103)</f>
        <v/>
      </c>
      <c r="L103">
        <f>F_primary/B103</f>
        <v/>
      </c>
      <c r="M103">
        <f>I103+J103+K103</f>
        <v/>
      </c>
      <c r="N103">
        <f>D70/M103</f>
        <v/>
      </c>
      <c r="O103">
        <f>IF(Y102*L103 &gt; F_primary, 1, 0)</f>
        <v/>
      </c>
      <c r="P103">
        <f>IF(Y102*(E_sh + F103) &gt; E_inv, 1, 0)</f>
        <v/>
      </c>
      <c r="Q103">
        <f>IF(Y102*(D_sh + E103) &gt; D_inv, 1, 0)</f>
        <v/>
      </c>
      <c r="R103">
        <f>IF(Y102*C_sh &gt; C_inv, 1, 0)</f>
        <v/>
      </c>
      <c r="S103">
        <f>IF(Y102*B_sh &gt; B_inv, 1, 0)</f>
        <v/>
      </c>
      <c r="T103">
        <f>IF(Y102*A_sh &gt; A_inv, 1, 0)</f>
        <v/>
      </c>
      <c r="U103">
        <f>IF(Y102*seed_sh &gt; seed_inv, 1, 0)</f>
        <v/>
      </c>
      <c r="V103">
        <f>(1-O103)*F_primary+(1-P103)*E_inv+(1-Q103)*D_inv+(1-R103)*C_inv+(1-S103)*B_inv+(1-T103)*A_inv+(1-U103)*seed_inv</f>
        <v/>
      </c>
      <c r="W103">
        <f>MAX(0, sens_exit - V103)</f>
        <v/>
      </c>
      <c r="X103">
        <f>F1_sh+F2_sh+F3_sh+RSA_sh+J103+K103+O103*L103+P103*(E_sh + F103)+Q103*(D_sh + E103)+R103*C_sh+S103*B_sh+T103*A_sh+U103*seed_sh</f>
        <v/>
      </c>
      <c r="Y103">
        <f>(W103 + preF_opts_iss*opt_strike)/(X103 + preF_opts_iss)</f>
        <v/>
      </c>
    </row>
    <row r="104">
      <c r="B104">
        <f>N103</f>
        <v/>
      </c>
      <c r="C104">
        <f>OCP_D*(preF_FD + F_primary/OCP_D)/(preF_FD + F_primary/B104)</f>
        <v/>
      </c>
      <c r="D104">
        <f>OCP_E*(preF_FD + F_primary/OCP_E)/(preF_FD + F_primary/B104)</f>
        <v/>
      </c>
      <c r="E104">
        <f>D_sh*(OCP_D/C104 - 1)</f>
        <v/>
      </c>
      <c r="F104">
        <f>E_sh*(OCP_E/D104 - 1)</f>
        <v/>
      </c>
      <c r="G104">
        <f>(preF_FD + E104 + F104 - preF_opts + J103 + K103 + F_primary/B104)/(1-B70)</f>
        <v/>
      </c>
      <c r="H104">
        <f>MAX(0, B70*G104 - preF_opts)</f>
        <v/>
      </c>
      <c r="I104">
        <f>preF_FD + E104 + F104 + H104</f>
        <v/>
      </c>
      <c r="J104">
        <f>NA_P/MIN(NA_cap/(I104+K103), (1-NA_disc)*B104)</f>
        <v/>
      </c>
      <c r="K104">
        <f>NB_P/MIN(NB_cap/(I104+J104), (1-NB_disc)*B104)</f>
        <v/>
      </c>
      <c r="L104">
        <f>F_primary/B104</f>
        <v/>
      </c>
      <c r="M104">
        <f>I104+J104+K104</f>
        <v/>
      </c>
      <c r="N104">
        <f>D70/M104</f>
        <v/>
      </c>
      <c r="O104">
        <f>IF(Y103*L104 &gt; F_primary, 1, 0)</f>
        <v/>
      </c>
      <c r="P104">
        <f>IF(Y103*(E_sh + F104) &gt; E_inv, 1, 0)</f>
        <v/>
      </c>
      <c r="Q104">
        <f>IF(Y103*(D_sh + E104) &gt; D_inv, 1, 0)</f>
        <v/>
      </c>
      <c r="R104">
        <f>IF(Y103*C_sh &gt; C_inv, 1, 0)</f>
        <v/>
      </c>
      <c r="S104">
        <f>IF(Y103*B_sh &gt; B_inv, 1, 0)</f>
        <v/>
      </c>
      <c r="T104">
        <f>IF(Y103*A_sh &gt; A_inv, 1, 0)</f>
        <v/>
      </c>
      <c r="U104">
        <f>IF(Y103*seed_sh &gt; seed_inv, 1, 0)</f>
        <v/>
      </c>
      <c r="V104">
        <f>(1-O104)*F_primary+(1-P104)*E_inv+(1-Q104)*D_inv+(1-R104)*C_inv+(1-S104)*B_inv+(1-T104)*A_inv+(1-U104)*seed_inv</f>
        <v/>
      </c>
      <c r="W104">
        <f>MAX(0, sens_exit - V104)</f>
        <v/>
      </c>
      <c r="X104">
        <f>F1_sh+F2_sh+F3_sh+RSA_sh+J104+K104+O104*L104+P104*(E_sh + F104)+Q104*(D_sh + E104)+R104*C_sh+S104*B_sh+T104*A_sh+U104*seed_sh</f>
        <v/>
      </c>
      <c r="Y104">
        <f>(W104 + preF_opts_iss*opt_strike)/(X104 + preF_opts_iss)</f>
        <v/>
      </c>
    </row>
    <row r="105">
      <c r="B105">
        <f>N104</f>
        <v/>
      </c>
      <c r="C105">
        <f>OCP_D*(preF_FD + F_primary/OCP_D)/(preF_FD + F_primary/B105)</f>
        <v/>
      </c>
      <c r="D105">
        <f>OCP_E*(preF_FD + F_primary/OCP_E)/(preF_FD + F_primary/B105)</f>
        <v/>
      </c>
      <c r="E105">
        <f>D_sh*(OCP_D/C105 - 1)</f>
        <v/>
      </c>
      <c r="F105">
        <f>E_sh*(OCP_E/D105 - 1)</f>
        <v/>
      </c>
      <c r="G105">
        <f>(preF_FD + E105 + F105 - preF_opts + J104 + K104 + F_primary/B105)/(1-B70)</f>
        <v/>
      </c>
      <c r="H105">
        <f>MAX(0, B70*G105 - preF_opts)</f>
        <v/>
      </c>
      <c r="I105">
        <f>preF_FD + E105 + F105 + H105</f>
        <v/>
      </c>
      <c r="J105">
        <f>NA_P/MIN(NA_cap/(I105+K104), (1-NA_disc)*B105)</f>
        <v/>
      </c>
      <c r="K105">
        <f>NB_P/MIN(NB_cap/(I105+J105), (1-NB_disc)*B105)</f>
        <v/>
      </c>
      <c r="L105">
        <f>F_primary/B105</f>
        <v/>
      </c>
      <c r="M105">
        <f>I105+J105+K105</f>
        <v/>
      </c>
      <c r="N105">
        <f>D70/M105</f>
        <v/>
      </c>
      <c r="O105">
        <f>IF(Y104*L105 &gt; F_primary, 1, 0)</f>
        <v/>
      </c>
      <c r="P105">
        <f>IF(Y104*(E_sh + F105) &gt; E_inv, 1, 0)</f>
        <v/>
      </c>
      <c r="Q105">
        <f>IF(Y104*(D_sh + E105) &gt; D_inv, 1, 0)</f>
        <v/>
      </c>
      <c r="R105">
        <f>IF(Y104*C_sh &gt; C_inv, 1, 0)</f>
        <v/>
      </c>
      <c r="S105">
        <f>IF(Y104*B_sh &gt; B_inv, 1, 0)</f>
        <v/>
      </c>
      <c r="T105">
        <f>IF(Y104*A_sh &gt; A_inv, 1, 0)</f>
        <v/>
      </c>
      <c r="U105">
        <f>IF(Y104*seed_sh &gt; seed_inv, 1, 0)</f>
        <v/>
      </c>
      <c r="V105">
        <f>(1-O105)*F_primary+(1-P105)*E_inv+(1-Q105)*D_inv+(1-R105)*C_inv+(1-S105)*B_inv+(1-T105)*A_inv+(1-U105)*seed_inv</f>
        <v/>
      </c>
      <c r="W105">
        <f>MAX(0, sens_exit - V105)</f>
        <v/>
      </c>
      <c r="X105">
        <f>F1_sh+F2_sh+F3_sh+RSA_sh+J105+K105+O105*L105+P105*(E_sh + F105)+Q105*(D_sh + E105)+R105*C_sh+S105*B_sh+T105*A_sh+U105*seed_sh</f>
        <v/>
      </c>
      <c r="Y105">
        <f>(W105 + preF_opts_iss*opt_strike)/(X105 + preF_opts_iss)</f>
        <v/>
      </c>
    </row>
    <row r="106">
      <c r="B106">
        <f>N105</f>
        <v/>
      </c>
      <c r="C106">
        <f>OCP_D*(preF_FD + F_primary/OCP_D)/(preF_FD + F_primary/B106)</f>
        <v/>
      </c>
      <c r="D106">
        <f>OCP_E*(preF_FD + F_primary/OCP_E)/(preF_FD + F_primary/B106)</f>
        <v/>
      </c>
      <c r="E106">
        <f>D_sh*(OCP_D/C106 - 1)</f>
        <v/>
      </c>
      <c r="F106">
        <f>E_sh*(OCP_E/D106 - 1)</f>
        <v/>
      </c>
      <c r="G106">
        <f>(preF_FD + E106 + F106 - preF_opts + J105 + K105 + F_primary/B106)/(1-B70)</f>
        <v/>
      </c>
      <c r="H106">
        <f>MAX(0, B70*G106 - preF_opts)</f>
        <v/>
      </c>
      <c r="I106">
        <f>preF_FD + E106 + F106 + H106</f>
        <v/>
      </c>
      <c r="J106">
        <f>NA_P/MIN(NA_cap/(I106+K105), (1-NA_disc)*B106)</f>
        <v/>
      </c>
      <c r="K106">
        <f>NB_P/MIN(NB_cap/(I106+J106), (1-NB_disc)*B106)</f>
        <v/>
      </c>
      <c r="L106">
        <f>F_primary/B106</f>
        <v/>
      </c>
      <c r="M106">
        <f>I106+J106+K106</f>
        <v/>
      </c>
      <c r="N106">
        <f>D70/M106</f>
        <v/>
      </c>
      <c r="O106">
        <f>IF(Y105*L106 &gt; F_primary, 1, 0)</f>
        <v/>
      </c>
      <c r="P106">
        <f>IF(Y105*(E_sh + F106) &gt; E_inv, 1, 0)</f>
        <v/>
      </c>
      <c r="Q106">
        <f>IF(Y105*(D_sh + E106) &gt; D_inv, 1, 0)</f>
        <v/>
      </c>
      <c r="R106">
        <f>IF(Y105*C_sh &gt; C_inv, 1, 0)</f>
        <v/>
      </c>
      <c r="S106">
        <f>IF(Y105*B_sh &gt; B_inv, 1, 0)</f>
        <v/>
      </c>
      <c r="T106">
        <f>IF(Y105*A_sh &gt; A_inv, 1, 0)</f>
        <v/>
      </c>
      <c r="U106">
        <f>IF(Y105*seed_sh &gt; seed_inv, 1, 0)</f>
        <v/>
      </c>
      <c r="V106">
        <f>(1-O106)*F_primary+(1-P106)*E_inv+(1-Q106)*D_inv+(1-R106)*C_inv+(1-S106)*B_inv+(1-T106)*A_inv+(1-U106)*seed_inv</f>
        <v/>
      </c>
      <c r="W106">
        <f>MAX(0, sens_exit - V106)</f>
        <v/>
      </c>
      <c r="X106">
        <f>F1_sh+F2_sh+F3_sh+RSA_sh+J106+K106+O106*L106+P106*(E_sh + F106)+Q106*(D_sh + E106)+R106*C_sh+S106*B_sh+T106*A_sh+U106*seed_sh</f>
        <v/>
      </c>
      <c r="Y106">
        <f>(W106 + preF_opts_iss*opt_strike)/(X106 + preF_opts_iss)</f>
        <v/>
      </c>
    </row>
    <row r="107">
      <c r="B107">
        <f>N106</f>
        <v/>
      </c>
      <c r="C107">
        <f>OCP_D*(preF_FD + F_primary/OCP_D)/(preF_FD + F_primary/B107)</f>
        <v/>
      </c>
      <c r="D107">
        <f>OCP_E*(preF_FD + F_primary/OCP_E)/(preF_FD + F_primary/B107)</f>
        <v/>
      </c>
      <c r="E107">
        <f>D_sh*(OCP_D/C107 - 1)</f>
        <v/>
      </c>
      <c r="F107">
        <f>E_sh*(OCP_E/D107 - 1)</f>
        <v/>
      </c>
      <c r="G107">
        <f>(preF_FD + E107 + F107 - preF_opts + J106 + K106 + F_primary/B107)/(1-B70)</f>
        <v/>
      </c>
      <c r="H107">
        <f>MAX(0, B70*G107 - preF_opts)</f>
        <v/>
      </c>
      <c r="I107">
        <f>preF_FD + E107 + F107 + H107</f>
        <v/>
      </c>
      <c r="J107">
        <f>NA_P/MIN(NA_cap/(I107+K106), (1-NA_disc)*B107)</f>
        <v/>
      </c>
      <c r="K107">
        <f>NB_P/MIN(NB_cap/(I107+J107), (1-NB_disc)*B107)</f>
        <v/>
      </c>
      <c r="L107">
        <f>F_primary/B107</f>
        <v/>
      </c>
      <c r="M107">
        <f>I107+J107+K107</f>
        <v/>
      </c>
      <c r="N107">
        <f>D70/M107</f>
        <v/>
      </c>
      <c r="O107">
        <f>IF(Y106*L107 &gt; F_primary, 1, 0)</f>
        <v/>
      </c>
      <c r="P107">
        <f>IF(Y106*(E_sh + F107) &gt; E_inv, 1, 0)</f>
        <v/>
      </c>
      <c r="Q107">
        <f>IF(Y106*(D_sh + E107) &gt; D_inv, 1, 0)</f>
        <v/>
      </c>
      <c r="R107">
        <f>IF(Y106*C_sh &gt; C_inv, 1, 0)</f>
        <v/>
      </c>
      <c r="S107">
        <f>IF(Y106*B_sh &gt; B_inv, 1, 0)</f>
        <v/>
      </c>
      <c r="T107">
        <f>IF(Y106*A_sh &gt; A_inv, 1, 0)</f>
        <v/>
      </c>
      <c r="U107">
        <f>IF(Y106*seed_sh &gt; seed_inv, 1, 0)</f>
        <v/>
      </c>
      <c r="V107">
        <f>(1-O107)*F_primary+(1-P107)*E_inv+(1-Q107)*D_inv+(1-R107)*C_inv+(1-S107)*B_inv+(1-T107)*A_inv+(1-U107)*seed_inv</f>
        <v/>
      </c>
      <c r="W107">
        <f>MAX(0, sens_exit - V107)</f>
        <v/>
      </c>
      <c r="X107">
        <f>F1_sh+F2_sh+F3_sh+RSA_sh+J107+K107+O107*L107+P107*(E_sh + F107)+Q107*(D_sh + E107)+R107*C_sh+S107*B_sh+T107*A_sh+U107*seed_sh</f>
        <v/>
      </c>
      <c r="Y107">
        <f>(W107 + preF_opts_iss*opt_strike)/(X107 + preF_opts_iss)</f>
        <v/>
      </c>
    </row>
    <row r="108">
      <c r="B108">
        <f>N107</f>
        <v/>
      </c>
      <c r="C108">
        <f>OCP_D*(preF_FD + F_primary/OCP_D)/(preF_FD + F_primary/B108)</f>
        <v/>
      </c>
      <c r="D108">
        <f>OCP_E*(preF_FD + F_primary/OCP_E)/(preF_FD + F_primary/B108)</f>
        <v/>
      </c>
      <c r="E108">
        <f>D_sh*(OCP_D/C108 - 1)</f>
        <v/>
      </c>
      <c r="F108">
        <f>E_sh*(OCP_E/D108 - 1)</f>
        <v/>
      </c>
      <c r="G108">
        <f>(preF_FD + E108 + F108 - preF_opts + J107 + K107 + F_primary/B108)/(1-B70)</f>
        <v/>
      </c>
      <c r="H108">
        <f>MAX(0, B70*G108 - preF_opts)</f>
        <v/>
      </c>
      <c r="I108">
        <f>preF_FD + E108 + F108 + H108</f>
        <v/>
      </c>
      <c r="J108">
        <f>NA_P/MIN(NA_cap/(I108+K107), (1-NA_disc)*B108)</f>
        <v/>
      </c>
      <c r="K108">
        <f>NB_P/MIN(NB_cap/(I108+J108), (1-NB_disc)*B108)</f>
        <v/>
      </c>
      <c r="L108">
        <f>F_primary/B108</f>
        <v/>
      </c>
      <c r="M108">
        <f>I108+J108+K108</f>
        <v/>
      </c>
      <c r="N108">
        <f>D70/M108</f>
        <v/>
      </c>
      <c r="O108">
        <f>IF(Y107*L108 &gt; F_primary, 1, 0)</f>
        <v/>
      </c>
      <c r="P108">
        <f>IF(Y107*(E_sh + F108) &gt; E_inv, 1, 0)</f>
        <v/>
      </c>
      <c r="Q108">
        <f>IF(Y107*(D_sh + E108) &gt; D_inv, 1, 0)</f>
        <v/>
      </c>
      <c r="R108">
        <f>IF(Y107*C_sh &gt; C_inv, 1, 0)</f>
        <v/>
      </c>
      <c r="S108">
        <f>IF(Y107*B_sh &gt; B_inv, 1, 0)</f>
        <v/>
      </c>
      <c r="T108">
        <f>IF(Y107*A_sh &gt; A_inv, 1, 0)</f>
        <v/>
      </c>
      <c r="U108">
        <f>IF(Y107*seed_sh &gt; seed_inv, 1, 0)</f>
        <v/>
      </c>
      <c r="V108">
        <f>(1-O108)*F_primary+(1-P108)*E_inv+(1-Q108)*D_inv+(1-R108)*C_inv+(1-S108)*B_inv+(1-T108)*A_inv+(1-U108)*seed_inv</f>
        <v/>
      </c>
      <c r="W108">
        <f>MAX(0, sens_exit - V108)</f>
        <v/>
      </c>
      <c r="X108">
        <f>F1_sh+F2_sh+F3_sh+RSA_sh+J108+K108+O108*L108+P108*(E_sh + F108)+Q108*(D_sh + E108)+R108*C_sh+S108*B_sh+T108*A_sh+U108*seed_sh</f>
        <v/>
      </c>
      <c r="Y108">
        <f>(W108 + preF_opts_iss*opt_strike)/(X108 + preF_opts_iss)</f>
        <v/>
      </c>
    </row>
    <row r="109">
      <c r="A109" s="6" t="inlineStr">
        <is>
          <t>--- Scenario 3: ESOP=sens_e_lo, Pre-money=sens_p_hi ---</t>
        </is>
      </c>
    </row>
    <row r="110">
      <c r="A110" s="6" t="inlineStr">
        <is>
          <t>ESOP</t>
        </is>
      </c>
      <c r="B110">
        <f>sens_e_lo</f>
        <v/>
      </c>
      <c r="C110" s="6" t="inlineStr">
        <is>
          <t>Pre-money</t>
        </is>
      </c>
      <c r="D110">
        <f>sens_p_hi</f>
        <v/>
      </c>
      <c r="E110" s="6" t="inlineStr">
        <is>
          <t>F_PPS</t>
        </is>
      </c>
      <c r="F110">
        <f>N148</f>
        <v/>
      </c>
      <c r="G110" s="6" t="inlineStr">
        <is>
          <t>T_F</t>
        </is>
      </c>
      <c r="H110">
        <f>I148+J148+K148+L148</f>
        <v/>
      </c>
      <c r="I110" s="6" t="inlineStr">
        <is>
          <t>NA_sh</t>
        </is>
      </c>
      <c r="J110">
        <f>J148</f>
        <v/>
      </c>
      <c r="K110" s="6" t="inlineStr">
        <is>
          <t>NB_sh</t>
        </is>
      </c>
      <c r="L110">
        <f>K148</f>
        <v/>
      </c>
      <c r="M110" s="6" t="inlineStr">
        <is>
          <t>NA_branch</t>
        </is>
      </c>
      <c r="N110">
        <f>IF(NA_cap/(I148+K148) &lt; (1-NA_disc)*N148, "cap", "discount")</f>
        <v/>
      </c>
      <c r="O110" s="6" t="inlineStr">
        <is>
          <t>NB_branch</t>
        </is>
      </c>
      <c r="P110">
        <f>IF(NB_cap/(I148+J148) &lt; (1-NB_disc)*N148, "cap", "discount")</f>
        <v/>
      </c>
    </row>
    <row r="111">
      <c r="A111" s="6" t="inlineStr">
        <is>
          <t>our_sh</t>
        </is>
      </c>
      <c r="B111">
        <f>our_check/F110</f>
        <v/>
      </c>
      <c r="C111" s="6" t="inlineStr">
        <is>
          <t>own%</t>
        </is>
      </c>
      <c r="D111" s="5">
        <f>B111/H110</f>
        <v/>
      </c>
      <c r="E111" s="6" t="inlineStr">
        <is>
          <t>F_election</t>
        </is>
      </c>
      <c r="F111">
        <f>IF(Y148*L148 &gt; F_primary, "convert", "preference")</f>
        <v/>
      </c>
      <c r="G111" s="6" t="inlineStr">
        <is>
          <t>F_payout</t>
        </is>
      </c>
      <c r="H111" s="8">
        <f>IF(F111="convert", Y148*L148, F_primary)</f>
        <v/>
      </c>
      <c r="I111" s="6" t="inlineStr">
        <is>
          <t>our_$</t>
        </is>
      </c>
      <c r="J111" s="8">
        <f>H111*our_check/F_primary</f>
        <v/>
      </c>
    </row>
    <row r="113">
      <c r="A113" s="6" t="inlineStr">
        <is>
          <t>iter</t>
        </is>
      </c>
      <c r="B113" s="6" t="inlineStr">
        <is>
          <t>F_PPS_in</t>
        </is>
      </c>
      <c r="C113" s="6" t="inlineStr">
        <is>
          <t>NCP_D</t>
        </is>
      </c>
      <c r="D113" s="6" t="inlineStr">
        <is>
          <t>NCP_E</t>
        </is>
      </c>
      <c r="E113" s="6" t="inlineStr">
        <is>
          <t>extras_D</t>
        </is>
      </c>
      <c r="F113" s="6" t="inlineStr">
        <is>
          <t>extras_E</t>
        </is>
      </c>
      <c r="G113" s="6" t="inlineStr">
        <is>
          <t>T_F</t>
        </is>
      </c>
      <c r="H113" s="6" t="inlineStr">
        <is>
          <t>topup</t>
        </is>
      </c>
      <c r="I113" s="6" t="inlineStr">
        <is>
          <t>preFD_nn</t>
        </is>
      </c>
      <c r="J113" s="6" t="inlineStr">
        <is>
          <t>NA_sh</t>
        </is>
      </c>
      <c r="K113" s="6" t="inlineStr">
        <is>
          <t>NB_sh</t>
        </is>
      </c>
      <c r="L113" s="6" t="inlineStr">
        <is>
          <t>F_prim_sh</t>
        </is>
      </c>
      <c r="M113" s="6" t="inlineStr">
        <is>
          <t>T_pre</t>
        </is>
      </c>
      <c r="N113" s="6" t="inlineStr">
        <is>
          <t>F_PPS_out</t>
        </is>
      </c>
      <c r="O113" s="6" t="inlineStr">
        <is>
          <t>ic_F</t>
        </is>
      </c>
      <c r="P113" s="6" t="inlineStr">
        <is>
          <t>ic_E</t>
        </is>
      </c>
      <c r="Q113" s="6" t="inlineStr">
        <is>
          <t>ic_D</t>
        </is>
      </c>
      <c r="R113" s="6" t="inlineStr">
        <is>
          <t>ic_C</t>
        </is>
      </c>
      <c r="S113" s="6" t="inlineStr">
        <is>
          <t>ic_B</t>
        </is>
      </c>
      <c r="T113" s="6" t="inlineStr">
        <is>
          <t>ic_A</t>
        </is>
      </c>
      <c r="U113" s="6" t="inlineStr">
        <is>
          <t>ic_Seed</t>
        </is>
      </c>
      <c r="V113" s="6" t="inlineStr">
        <is>
          <t>prefs_paid</t>
        </is>
      </c>
      <c r="W113" s="6" t="inlineStr">
        <is>
          <t>residual</t>
        </is>
      </c>
      <c r="X113" s="6" t="inlineStr">
        <is>
          <t>cv_shares</t>
        </is>
      </c>
      <c r="Y113" s="6" t="inlineStr">
        <is>
          <t>PPS_2B</t>
        </is>
      </c>
    </row>
    <row r="114">
      <c r="B114">
        <f>D110/preF_FD</f>
        <v/>
      </c>
      <c r="C114">
        <f>OCP_D*(preF_FD + F_primary/OCP_D)/(preF_FD + F_primary/B114)</f>
        <v/>
      </c>
      <c r="D114">
        <f>OCP_E*(preF_FD + F_primary/OCP_E)/(preF_FD + F_primary/B114)</f>
        <v/>
      </c>
      <c r="E114">
        <f>D_sh*(OCP_D/C114 - 1)</f>
        <v/>
      </c>
      <c r="F114">
        <f>E_sh*(OCP_E/D114 - 1)</f>
        <v/>
      </c>
      <c r="G114">
        <f>(preF_FD + E114 + F114 - preF_opts + 0 + 0 + F_primary/B114)/(1-B110)</f>
        <v/>
      </c>
      <c r="H114">
        <f>MAX(0, B110*G114 - preF_opts)</f>
        <v/>
      </c>
      <c r="I114">
        <f>preF_FD + E114 + F114 + H114</f>
        <v/>
      </c>
      <c r="J114">
        <f>NA_P/MIN(NA_cap/(I114+0), (1-NA_disc)*B114)</f>
        <v/>
      </c>
      <c r="K114">
        <f>NB_P/MIN(NB_cap/(I114+J114), (1-NB_disc)*B114)</f>
        <v/>
      </c>
      <c r="L114">
        <f>F_primary/B114</f>
        <v/>
      </c>
      <c r="M114">
        <f>I114+J114+K114</f>
        <v/>
      </c>
      <c r="N114">
        <f>D110/M114</f>
        <v/>
      </c>
      <c r="O114">
        <f>IF(0*L114 &gt; F_primary, 1, 0)</f>
        <v/>
      </c>
      <c r="P114">
        <f>IF(0*(E_sh + F114) &gt; E_inv, 1, 0)</f>
        <v/>
      </c>
      <c r="Q114">
        <f>IF(0*(D_sh + E114) &gt; D_inv, 1, 0)</f>
        <v/>
      </c>
      <c r="R114">
        <f>IF(0*C_sh &gt; C_inv, 1, 0)</f>
        <v/>
      </c>
      <c r="S114">
        <f>IF(0*B_sh &gt; B_inv, 1, 0)</f>
        <v/>
      </c>
      <c r="T114">
        <f>IF(0*A_sh &gt; A_inv, 1, 0)</f>
        <v/>
      </c>
      <c r="U114">
        <f>IF(0*seed_sh &gt; seed_inv, 1, 0)</f>
        <v/>
      </c>
      <c r="V114">
        <f>(1-O114)*F_primary+(1-P114)*E_inv+(1-Q114)*D_inv+(1-R114)*C_inv+(1-S114)*B_inv+(1-T114)*A_inv+(1-U114)*seed_inv</f>
        <v/>
      </c>
      <c r="W114">
        <f>MAX(0, sens_exit - V114)</f>
        <v/>
      </c>
      <c r="X114">
        <f>F1_sh+F2_sh+F3_sh+RSA_sh+J114+K114+O114*L114+P114*(E_sh + F114)+Q114*(D_sh + E114)+R114*C_sh+S114*B_sh+T114*A_sh+U114*seed_sh</f>
        <v/>
      </c>
      <c r="Y114">
        <f>(W114 + preF_opts_iss*opt_strike)/(X114 + preF_opts_iss)</f>
        <v/>
      </c>
    </row>
    <row r="115">
      <c r="B115">
        <f>N114</f>
        <v/>
      </c>
      <c r="C115">
        <f>OCP_D*(preF_FD + F_primary/OCP_D)/(preF_FD + F_primary/B115)</f>
        <v/>
      </c>
      <c r="D115">
        <f>OCP_E*(preF_FD + F_primary/OCP_E)/(preF_FD + F_primary/B115)</f>
        <v/>
      </c>
      <c r="E115">
        <f>D_sh*(OCP_D/C115 - 1)</f>
        <v/>
      </c>
      <c r="F115">
        <f>E_sh*(OCP_E/D115 - 1)</f>
        <v/>
      </c>
      <c r="G115">
        <f>(preF_FD + E115 + F115 - preF_opts + J114 + K114 + F_primary/B115)/(1-B110)</f>
        <v/>
      </c>
      <c r="H115">
        <f>MAX(0, B110*G115 - preF_opts)</f>
        <v/>
      </c>
      <c r="I115">
        <f>preF_FD + E115 + F115 + H115</f>
        <v/>
      </c>
      <c r="J115">
        <f>NA_P/MIN(NA_cap/(I115+K114), (1-NA_disc)*B115)</f>
        <v/>
      </c>
      <c r="K115">
        <f>NB_P/MIN(NB_cap/(I115+J115), (1-NB_disc)*B115)</f>
        <v/>
      </c>
      <c r="L115">
        <f>F_primary/B115</f>
        <v/>
      </c>
      <c r="M115">
        <f>I115+J115+K115</f>
        <v/>
      </c>
      <c r="N115">
        <f>D110/M115</f>
        <v/>
      </c>
      <c r="O115">
        <f>IF(Y114*L115 &gt; F_primary, 1, 0)</f>
        <v/>
      </c>
      <c r="P115">
        <f>IF(Y114*(E_sh + F115) &gt; E_inv, 1, 0)</f>
        <v/>
      </c>
      <c r="Q115">
        <f>IF(Y114*(D_sh + E115) &gt; D_inv, 1, 0)</f>
        <v/>
      </c>
      <c r="R115">
        <f>IF(Y114*C_sh &gt; C_inv, 1, 0)</f>
        <v/>
      </c>
      <c r="S115">
        <f>IF(Y114*B_sh &gt; B_inv, 1, 0)</f>
        <v/>
      </c>
      <c r="T115">
        <f>IF(Y114*A_sh &gt; A_inv, 1, 0)</f>
        <v/>
      </c>
      <c r="U115">
        <f>IF(Y114*seed_sh &gt; seed_inv, 1, 0)</f>
        <v/>
      </c>
      <c r="V115">
        <f>(1-O115)*F_primary+(1-P115)*E_inv+(1-Q115)*D_inv+(1-R115)*C_inv+(1-S115)*B_inv+(1-T115)*A_inv+(1-U115)*seed_inv</f>
        <v/>
      </c>
      <c r="W115">
        <f>MAX(0, sens_exit - V115)</f>
        <v/>
      </c>
      <c r="X115">
        <f>F1_sh+F2_sh+F3_sh+RSA_sh+J115+K115+O115*L115+P115*(E_sh + F115)+Q115*(D_sh + E115)+R115*C_sh+S115*B_sh+T115*A_sh+U115*seed_sh</f>
        <v/>
      </c>
      <c r="Y115">
        <f>(W115 + preF_opts_iss*opt_strike)/(X115 + preF_opts_iss)</f>
        <v/>
      </c>
    </row>
    <row r="116">
      <c r="B116">
        <f>N115</f>
        <v/>
      </c>
      <c r="C116">
        <f>OCP_D*(preF_FD + F_primary/OCP_D)/(preF_FD + F_primary/B116)</f>
        <v/>
      </c>
      <c r="D116">
        <f>OCP_E*(preF_FD + F_primary/OCP_E)/(preF_FD + F_primary/B116)</f>
        <v/>
      </c>
      <c r="E116">
        <f>D_sh*(OCP_D/C116 - 1)</f>
        <v/>
      </c>
      <c r="F116">
        <f>E_sh*(OCP_E/D116 - 1)</f>
        <v/>
      </c>
      <c r="G116">
        <f>(preF_FD + E116 + F116 - preF_opts + J115 + K115 + F_primary/B116)/(1-B110)</f>
        <v/>
      </c>
      <c r="H116">
        <f>MAX(0, B110*G116 - preF_opts)</f>
        <v/>
      </c>
      <c r="I116">
        <f>preF_FD + E116 + F116 + H116</f>
        <v/>
      </c>
      <c r="J116">
        <f>NA_P/MIN(NA_cap/(I116+K115), (1-NA_disc)*B116)</f>
        <v/>
      </c>
      <c r="K116">
        <f>NB_P/MIN(NB_cap/(I116+J116), (1-NB_disc)*B116)</f>
        <v/>
      </c>
      <c r="L116">
        <f>F_primary/B116</f>
        <v/>
      </c>
      <c r="M116">
        <f>I116+J116+K116</f>
        <v/>
      </c>
      <c r="N116">
        <f>D110/M116</f>
        <v/>
      </c>
      <c r="O116">
        <f>IF(Y115*L116 &gt; F_primary, 1, 0)</f>
        <v/>
      </c>
      <c r="P116">
        <f>IF(Y115*(E_sh + F116) &gt; E_inv, 1, 0)</f>
        <v/>
      </c>
      <c r="Q116">
        <f>IF(Y115*(D_sh + E116) &gt; D_inv, 1, 0)</f>
        <v/>
      </c>
      <c r="R116">
        <f>IF(Y115*C_sh &gt; C_inv, 1, 0)</f>
        <v/>
      </c>
      <c r="S116">
        <f>IF(Y115*B_sh &gt; B_inv, 1, 0)</f>
        <v/>
      </c>
      <c r="T116">
        <f>IF(Y115*A_sh &gt; A_inv, 1, 0)</f>
        <v/>
      </c>
      <c r="U116">
        <f>IF(Y115*seed_sh &gt; seed_inv, 1, 0)</f>
        <v/>
      </c>
      <c r="V116">
        <f>(1-O116)*F_primary+(1-P116)*E_inv+(1-Q116)*D_inv+(1-R116)*C_inv+(1-S116)*B_inv+(1-T116)*A_inv+(1-U116)*seed_inv</f>
        <v/>
      </c>
      <c r="W116">
        <f>MAX(0, sens_exit - V116)</f>
        <v/>
      </c>
      <c r="X116">
        <f>F1_sh+F2_sh+F3_sh+RSA_sh+J116+K116+O116*L116+P116*(E_sh + F116)+Q116*(D_sh + E116)+R116*C_sh+S116*B_sh+T116*A_sh+U116*seed_sh</f>
        <v/>
      </c>
      <c r="Y116">
        <f>(W116 + preF_opts_iss*opt_strike)/(X116 + preF_opts_iss)</f>
        <v/>
      </c>
    </row>
    <row r="117">
      <c r="B117">
        <f>N116</f>
        <v/>
      </c>
      <c r="C117">
        <f>OCP_D*(preF_FD + F_primary/OCP_D)/(preF_FD + F_primary/B117)</f>
        <v/>
      </c>
      <c r="D117">
        <f>OCP_E*(preF_FD + F_primary/OCP_E)/(preF_FD + F_primary/B117)</f>
        <v/>
      </c>
      <c r="E117">
        <f>D_sh*(OCP_D/C117 - 1)</f>
        <v/>
      </c>
      <c r="F117">
        <f>E_sh*(OCP_E/D117 - 1)</f>
        <v/>
      </c>
      <c r="G117">
        <f>(preF_FD + E117 + F117 - preF_opts + J116 + K116 + F_primary/B117)/(1-B110)</f>
        <v/>
      </c>
      <c r="H117">
        <f>MAX(0, B110*G117 - preF_opts)</f>
        <v/>
      </c>
      <c r="I117">
        <f>preF_FD + E117 + F117 + H117</f>
        <v/>
      </c>
      <c r="J117">
        <f>NA_P/MIN(NA_cap/(I117+K116), (1-NA_disc)*B117)</f>
        <v/>
      </c>
      <c r="K117">
        <f>NB_P/MIN(NB_cap/(I117+J117), (1-NB_disc)*B117)</f>
        <v/>
      </c>
      <c r="L117">
        <f>F_primary/B117</f>
        <v/>
      </c>
      <c r="M117">
        <f>I117+J117+K117</f>
        <v/>
      </c>
      <c r="N117">
        <f>D110/M117</f>
        <v/>
      </c>
      <c r="O117">
        <f>IF(Y116*L117 &gt; F_primary, 1, 0)</f>
        <v/>
      </c>
      <c r="P117">
        <f>IF(Y116*(E_sh + F117) &gt; E_inv, 1, 0)</f>
        <v/>
      </c>
      <c r="Q117">
        <f>IF(Y116*(D_sh + E117) &gt; D_inv, 1, 0)</f>
        <v/>
      </c>
      <c r="R117">
        <f>IF(Y116*C_sh &gt; C_inv, 1, 0)</f>
        <v/>
      </c>
      <c r="S117">
        <f>IF(Y116*B_sh &gt; B_inv, 1, 0)</f>
        <v/>
      </c>
      <c r="T117">
        <f>IF(Y116*A_sh &gt; A_inv, 1, 0)</f>
        <v/>
      </c>
      <c r="U117">
        <f>IF(Y116*seed_sh &gt; seed_inv, 1, 0)</f>
        <v/>
      </c>
      <c r="V117">
        <f>(1-O117)*F_primary+(1-P117)*E_inv+(1-Q117)*D_inv+(1-R117)*C_inv+(1-S117)*B_inv+(1-T117)*A_inv+(1-U117)*seed_inv</f>
        <v/>
      </c>
      <c r="W117">
        <f>MAX(0, sens_exit - V117)</f>
        <v/>
      </c>
      <c r="X117">
        <f>F1_sh+F2_sh+F3_sh+RSA_sh+J117+K117+O117*L117+P117*(E_sh + F117)+Q117*(D_sh + E117)+R117*C_sh+S117*B_sh+T117*A_sh+U117*seed_sh</f>
        <v/>
      </c>
      <c r="Y117">
        <f>(W117 + preF_opts_iss*opt_strike)/(X117 + preF_opts_iss)</f>
        <v/>
      </c>
    </row>
    <row r="118">
      <c r="B118">
        <f>N117</f>
        <v/>
      </c>
      <c r="C118">
        <f>OCP_D*(preF_FD + F_primary/OCP_D)/(preF_FD + F_primary/B118)</f>
        <v/>
      </c>
      <c r="D118">
        <f>OCP_E*(preF_FD + F_primary/OCP_E)/(preF_FD + F_primary/B118)</f>
        <v/>
      </c>
      <c r="E118">
        <f>D_sh*(OCP_D/C118 - 1)</f>
        <v/>
      </c>
      <c r="F118">
        <f>E_sh*(OCP_E/D118 - 1)</f>
        <v/>
      </c>
      <c r="G118">
        <f>(preF_FD + E118 + F118 - preF_opts + J117 + K117 + F_primary/B118)/(1-B110)</f>
        <v/>
      </c>
      <c r="H118">
        <f>MAX(0, B110*G118 - preF_opts)</f>
        <v/>
      </c>
      <c r="I118">
        <f>preF_FD + E118 + F118 + H118</f>
        <v/>
      </c>
      <c r="J118">
        <f>NA_P/MIN(NA_cap/(I118+K117), (1-NA_disc)*B118)</f>
        <v/>
      </c>
      <c r="K118">
        <f>NB_P/MIN(NB_cap/(I118+J118), (1-NB_disc)*B118)</f>
        <v/>
      </c>
      <c r="L118">
        <f>F_primary/B118</f>
        <v/>
      </c>
      <c r="M118">
        <f>I118+J118+K118</f>
        <v/>
      </c>
      <c r="N118">
        <f>D110/M118</f>
        <v/>
      </c>
      <c r="O118">
        <f>IF(Y117*L118 &gt; F_primary, 1, 0)</f>
        <v/>
      </c>
      <c r="P118">
        <f>IF(Y117*(E_sh + F118) &gt; E_inv, 1, 0)</f>
        <v/>
      </c>
      <c r="Q118">
        <f>IF(Y117*(D_sh + E118) &gt; D_inv, 1, 0)</f>
        <v/>
      </c>
      <c r="R118">
        <f>IF(Y117*C_sh &gt; C_inv, 1, 0)</f>
        <v/>
      </c>
      <c r="S118">
        <f>IF(Y117*B_sh &gt; B_inv, 1, 0)</f>
        <v/>
      </c>
      <c r="T118">
        <f>IF(Y117*A_sh &gt; A_inv, 1, 0)</f>
        <v/>
      </c>
      <c r="U118">
        <f>IF(Y117*seed_sh &gt; seed_inv, 1, 0)</f>
        <v/>
      </c>
      <c r="V118">
        <f>(1-O118)*F_primary+(1-P118)*E_inv+(1-Q118)*D_inv+(1-R118)*C_inv+(1-S118)*B_inv+(1-T118)*A_inv+(1-U118)*seed_inv</f>
        <v/>
      </c>
      <c r="W118">
        <f>MAX(0, sens_exit - V118)</f>
        <v/>
      </c>
      <c r="X118">
        <f>F1_sh+F2_sh+F3_sh+RSA_sh+J118+K118+O118*L118+P118*(E_sh + F118)+Q118*(D_sh + E118)+R118*C_sh+S118*B_sh+T118*A_sh+U118*seed_sh</f>
        <v/>
      </c>
      <c r="Y118">
        <f>(W118 + preF_opts_iss*opt_strike)/(X118 + preF_opts_iss)</f>
        <v/>
      </c>
    </row>
    <row r="119">
      <c r="B119">
        <f>N118</f>
        <v/>
      </c>
      <c r="C119">
        <f>OCP_D*(preF_FD + F_primary/OCP_D)/(preF_FD + F_primary/B119)</f>
        <v/>
      </c>
      <c r="D119">
        <f>OCP_E*(preF_FD + F_primary/OCP_E)/(preF_FD + F_primary/B119)</f>
        <v/>
      </c>
      <c r="E119">
        <f>D_sh*(OCP_D/C119 - 1)</f>
        <v/>
      </c>
      <c r="F119">
        <f>E_sh*(OCP_E/D119 - 1)</f>
        <v/>
      </c>
      <c r="G119">
        <f>(preF_FD + E119 + F119 - preF_opts + J118 + K118 + F_primary/B119)/(1-B110)</f>
        <v/>
      </c>
      <c r="H119">
        <f>MAX(0, B110*G119 - preF_opts)</f>
        <v/>
      </c>
      <c r="I119">
        <f>preF_FD + E119 + F119 + H119</f>
        <v/>
      </c>
      <c r="J119">
        <f>NA_P/MIN(NA_cap/(I119+K118), (1-NA_disc)*B119)</f>
        <v/>
      </c>
      <c r="K119">
        <f>NB_P/MIN(NB_cap/(I119+J119), (1-NB_disc)*B119)</f>
        <v/>
      </c>
      <c r="L119">
        <f>F_primary/B119</f>
        <v/>
      </c>
      <c r="M119">
        <f>I119+J119+K119</f>
        <v/>
      </c>
      <c r="N119">
        <f>D110/M119</f>
        <v/>
      </c>
      <c r="O119">
        <f>IF(Y118*L119 &gt; F_primary, 1, 0)</f>
        <v/>
      </c>
      <c r="P119">
        <f>IF(Y118*(E_sh + F119) &gt; E_inv, 1, 0)</f>
        <v/>
      </c>
      <c r="Q119">
        <f>IF(Y118*(D_sh + E119) &gt; D_inv, 1, 0)</f>
        <v/>
      </c>
      <c r="R119">
        <f>IF(Y118*C_sh &gt; C_inv, 1, 0)</f>
        <v/>
      </c>
      <c r="S119">
        <f>IF(Y118*B_sh &gt; B_inv, 1, 0)</f>
        <v/>
      </c>
      <c r="T119">
        <f>IF(Y118*A_sh &gt; A_inv, 1, 0)</f>
        <v/>
      </c>
      <c r="U119">
        <f>IF(Y118*seed_sh &gt; seed_inv, 1, 0)</f>
        <v/>
      </c>
      <c r="V119">
        <f>(1-O119)*F_primary+(1-P119)*E_inv+(1-Q119)*D_inv+(1-R119)*C_inv+(1-S119)*B_inv+(1-T119)*A_inv+(1-U119)*seed_inv</f>
        <v/>
      </c>
      <c r="W119">
        <f>MAX(0, sens_exit - V119)</f>
        <v/>
      </c>
      <c r="X119">
        <f>F1_sh+F2_sh+F3_sh+RSA_sh+J119+K119+O119*L119+P119*(E_sh + F119)+Q119*(D_sh + E119)+R119*C_sh+S119*B_sh+T119*A_sh+U119*seed_sh</f>
        <v/>
      </c>
      <c r="Y119">
        <f>(W119 + preF_opts_iss*opt_strike)/(X119 + preF_opts_iss)</f>
        <v/>
      </c>
    </row>
    <row r="120">
      <c r="B120">
        <f>N119</f>
        <v/>
      </c>
      <c r="C120">
        <f>OCP_D*(preF_FD + F_primary/OCP_D)/(preF_FD + F_primary/B120)</f>
        <v/>
      </c>
      <c r="D120">
        <f>OCP_E*(preF_FD + F_primary/OCP_E)/(preF_FD + F_primary/B120)</f>
        <v/>
      </c>
      <c r="E120">
        <f>D_sh*(OCP_D/C120 - 1)</f>
        <v/>
      </c>
      <c r="F120">
        <f>E_sh*(OCP_E/D120 - 1)</f>
        <v/>
      </c>
      <c r="G120">
        <f>(preF_FD + E120 + F120 - preF_opts + J119 + K119 + F_primary/B120)/(1-B110)</f>
        <v/>
      </c>
      <c r="H120">
        <f>MAX(0, B110*G120 - preF_opts)</f>
        <v/>
      </c>
      <c r="I120">
        <f>preF_FD + E120 + F120 + H120</f>
        <v/>
      </c>
      <c r="J120">
        <f>NA_P/MIN(NA_cap/(I120+K119), (1-NA_disc)*B120)</f>
        <v/>
      </c>
      <c r="K120">
        <f>NB_P/MIN(NB_cap/(I120+J120), (1-NB_disc)*B120)</f>
        <v/>
      </c>
      <c r="L120">
        <f>F_primary/B120</f>
        <v/>
      </c>
      <c r="M120">
        <f>I120+J120+K120</f>
        <v/>
      </c>
      <c r="N120">
        <f>D110/M120</f>
        <v/>
      </c>
      <c r="O120">
        <f>IF(Y119*L120 &gt; F_primary, 1, 0)</f>
        <v/>
      </c>
      <c r="P120">
        <f>IF(Y119*(E_sh + F120) &gt; E_inv, 1, 0)</f>
        <v/>
      </c>
      <c r="Q120">
        <f>IF(Y119*(D_sh + E120) &gt; D_inv, 1, 0)</f>
        <v/>
      </c>
      <c r="R120">
        <f>IF(Y119*C_sh &gt; C_inv, 1, 0)</f>
        <v/>
      </c>
      <c r="S120">
        <f>IF(Y119*B_sh &gt; B_inv, 1, 0)</f>
        <v/>
      </c>
      <c r="T120">
        <f>IF(Y119*A_sh &gt; A_inv, 1, 0)</f>
        <v/>
      </c>
      <c r="U120">
        <f>IF(Y119*seed_sh &gt; seed_inv, 1, 0)</f>
        <v/>
      </c>
      <c r="V120">
        <f>(1-O120)*F_primary+(1-P120)*E_inv+(1-Q120)*D_inv+(1-R120)*C_inv+(1-S120)*B_inv+(1-T120)*A_inv+(1-U120)*seed_inv</f>
        <v/>
      </c>
      <c r="W120">
        <f>MAX(0, sens_exit - V120)</f>
        <v/>
      </c>
      <c r="X120">
        <f>F1_sh+F2_sh+F3_sh+RSA_sh+J120+K120+O120*L120+P120*(E_sh + F120)+Q120*(D_sh + E120)+R120*C_sh+S120*B_sh+T120*A_sh+U120*seed_sh</f>
        <v/>
      </c>
      <c r="Y120">
        <f>(W120 + preF_opts_iss*opt_strike)/(X120 + preF_opts_iss)</f>
        <v/>
      </c>
    </row>
    <row r="121">
      <c r="B121">
        <f>N120</f>
        <v/>
      </c>
      <c r="C121">
        <f>OCP_D*(preF_FD + F_primary/OCP_D)/(preF_FD + F_primary/B121)</f>
        <v/>
      </c>
      <c r="D121">
        <f>OCP_E*(preF_FD + F_primary/OCP_E)/(preF_FD + F_primary/B121)</f>
        <v/>
      </c>
      <c r="E121">
        <f>D_sh*(OCP_D/C121 - 1)</f>
        <v/>
      </c>
      <c r="F121">
        <f>E_sh*(OCP_E/D121 - 1)</f>
        <v/>
      </c>
      <c r="G121">
        <f>(preF_FD + E121 + F121 - preF_opts + J120 + K120 + F_primary/B121)/(1-B110)</f>
        <v/>
      </c>
      <c r="H121">
        <f>MAX(0, B110*G121 - preF_opts)</f>
        <v/>
      </c>
      <c r="I121">
        <f>preF_FD + E121 + F121 + H121</f>
        <v/>
      </c>
      <c r="J121">
        <f>NA_P/MIN(NA_cap/(I121+K120), (1-NA_disc)*B121)</f>
        <v/>
      </c>
      <c r="K121">
        <f>NB_P/MIN(NB_cap/(I121+J121), (1-NB_disc)*B121)</f>
        <v/>
      </c>
      <c r="L121">
        <f>F_primary/B121</f>
        <v/>
      </c>
      <c r="M121">
        <f>I121+J121+K121</f>
        <v/>
      </c>
      <c r="N121">
        <f>D110/M121</f>
        <v/>
      </c>
      <c r="O121">
        <f>IF(Y120*L121 &gt; F_primary, 1, 0)</f>
        <v/>
      </c>
      <c r="P121">
        <f>IF(Y120*(E_sh + F121) &gt; E_inv, 1, 0)</f>
        <v/>
      </c>
      <c r="Q121">
        <f>IF(Y120*(D_sh + E121) &gt; D_inv, 1, 0)</f>
        <v/>
      </c>
      <c r="R121">
        <f>IF(Y120*C_sh &gt; C_inv, 1, 0)</f>
        <v/>
      </c>
      <c r="S121">
        <f>IF(Y120*B_sh &gt; B_inv, 1, 0)</f>
        <v/>
      </c>
      <c r="T121">
        <f>IF(Y120*A_sh &gt; A_inv, 1, 0)</f>
        <v/>
      </c>
      <c r="U121">
        <f>IF(Y120*seed_sh &gt; seed_inv, 1, 0)</f>
        <v/>
      </c>
      <c r="V121">
        <f>(1-O121)*F_primary+(1-P121)*E_inv+(1-Q121)*D_inv+(1-R121)*C_inv+(1-S121)*B_inv+(1-T121)*A_inv+(1-U121)*seed_inv</f>
        <v/>
      </c>
      <c r="W121">
        <f>MAX(0, sens_exit - V121)</f>
        <v/>
      </c>
      <c r="X121">
        <f>F1_sh+F2_sh+F3_sh+RSA_sh+J121+K121+O121*L121+P121*(E_sh + F121)+Q121*(D_sh + E121)+R121*C_sh+S121*B_sh+T121*A_sh+U121*seed_sh</f>
        <v/>
      </c>
      <c r="Y121">
        <f>(W121 + preF_opts_iss*opt_strike)/(X121 + preF_opts_iss)</f>
        <v/>
      </c>
    </row>
    <row r="122">
      <c r="B122">
        <f>N121</f>
        <v/>
      </c>
      <c r="C122">
        <f>OCP_D*(preF_FD + F_primary/OCP_D)/(preF_FD + F_primary/B122)</f>
        <v/>
      </c>
      <c r="D122">
        <f>OCP_E*(preF_FD + F_primary/OCP_E)/(preF_FD + F_primary/B122)</f>
        <v/>
      </c>
      <c r="E122">
        <f>D_sh*(OCP_D/C122 - 1)</f>
        <v/>
      </c>
      <c r="F122">
        <f>E_sh*(OCP_E/D122 - 1)</f>
        <v/>
      </c>
      <c r="G122">
        <f>(preF_FD + E122 + F122 - preF_opts + J121 + K121 + F_primary/B122)/(1-B110)</f>
        <v/>
      </c>
      <c r="H122">
        <f>MAX(0, B110*G122 - preF_opts)</f>
        <v/>
      </c>
      <c r="I122">
        <f>preF_FD + E122 + F122 + H122</f>
        <v/>
      </c>
      <c r="J122">
        <f>NA_P/MIN(NA_cap/(I122+K121), (1-NA_disc)*B122)</f>
        <v/>
      </c>
      <c r="K122">
        <f>NB_P/MIN(NB_cap/(I122+J122), (1-NB_disc)*B122)</f>
        <v/>
      </c>
      <c r="L122">
        <f>F_primary/B122</f>
        <v/>
      </c>
      <c r="M122">
        <f>I122+J122+K122</f>
        <v/>
      </c>
      <c r="N122">
        <f>D110/M122</f>
        <v/>
      </c>
      <c r="O122">
        <f>IF(Y121*L122 &gt; F_primary, 1, 0)</f>
        <v/>
      </c>
      <c r="P122">
        <f>IF(Y121*(E_sh + F122) &gt; E_inv, 1, 0)</f>
        <v/>
      </c>
      <c r="Q122">
        <f>IF(Y121*(D_sh + E122) &gt; D_inv, 1, 0)</f>
        <v/>
      </c>
      <c r="R122">
        <f>IF(Y121*C_sh &gt; C_inv, 1, 0)</f>
        <v/>
      </c>
      <c r="S122">
        <f>IF(Y121*B_sh &gt; B_inv, 1, 0)</f>
        <v/>
      </c>
      <c r="T122">
        <f>IF(Y121*A_sh &gt; A_inv, 1, 0)</f>
        <v/>
      </c>
      <c r="U122">
        <f>IF(Y121*seed_sh &gt; seed_inv, 1, 0)</f>
        <v/>
      </c>
      <c r="V122">
        <f>(1-O122)*F_primary+(1-P122)*E_inv+(1-Q122)*D_inv+(1-R122)*C_inv+(1-S122)*B_inv+(1-T122)*A_inv+(1-U122)*seed_inv</f>
        <v/>
      </c>
      <c r="W122">
        <f>MAX(0, sens_exit - V122)</f>
        <v/>
      </c>
      <c r="X122">
        <f>F1_sh+F2_sh+F3_sh+RSA_sh+J122+K122+O122*L122+P122*(E_sh + F122)+Q122*(D_sh + E122)+R122*C_sh+S122*B_sh+T122*A_sh+U122*seed_sh</f>
        <v/>
      </c>
      <c r="Y122">
        <f>(W122 + preF_opts_iss*opt_strike)/(X122 + preF_opts_iss)</f>
        <v/>
      </c>
    </row>
    <row r="123">
      <c r="B123">
        <f>N122</f>
        <v/>
      </c>
      <c r="C123">
        <f>OCP_D*(preF_FD + F_primary/OCP_D)/(preF_FD + F_primary/B123)</f>
        <v/>
      </c>
      <c r="D123">
        <f>OCP_E*(preF_FD + F_primary/OCP_E)/(preF_FD + F_primary/B123)</f>
        <v/>
      </c>
      <c r="E123">
        <f>D_sh*(OCP_D/C123 - 1)</f>
        <v/>
      </c>
      <c r="F123">
        <f>E_sh*(OCP_E/D123 - 1)</f>
        <v/>
      </c>
      <c r="G123">
        <f>(preF_FD + E123 + F123 - preF_opts + J122 + K122 + F_primary/B123)/(1-B110)</f>
        <v/>
      </c>
      <c r="H123">
        <f>MAX(0, B110*G123 - preF_opts)</f>
        <v/>
      </c>
      <c r="I123">
        <f>preF_FD + E123 + F123 + H123</f>
        <v/>
      </c>
      <c r="J123">
        <f>NA_P/MIN(NA_cap/(I123+K122), (1-NA_disc)*B123)</f>
        <v/>
      </c>
      <c r="K123">
        <f>NB_P/MIN(NB_cap/(I123+J123), (1-NB_disc)*B123)</f>
        <v/>
      </c>
      <c r="L123">
        <f>F_primary/B123</f>
        <v/>
      </c>
      <c r="M123">
        <f>I123+J123+K123</f>
        <v/>
      </c>
      <c r="N123">
        <f>D110/M123</f>
        <v/>
      </c>
      <c r="O123">
        <f>IF(Y122*L123 &gt; F_primary, 1, 0)</f>
        <v/>
      </c>
      <c r="P123">
        <f>IF(Y122*(E_sh + F123) &gt; E_inv, 1, 0)</f>
        <v/>
      </c>
      <c r="Q123">
        <f>IF(Y122*(D_sh + E123) &gt; D_inv, 1, 0)</f>
        <v/>
      </c>
      <c r="R123">
        <f>IF(Y122*C_sh &gt; C_inv, 1, 0)</f>
        <v/>
      </c>
      <c r="S123">
        <f>IF(Y122*B_sh &gt; B_inv, 1, 0)</f>
        <v/>
      </c>
      <c r="T123">
        <f>IF(Y122*A_sh &gt; A_inv, 1, 0)</f>
        <v/>
      </c>
      <c r="U123">
        <f>IF(Y122*seed_sh &gt; seed_inv, 1, 0)</f>
        <v/>
      </c>
      <c r="V123">
        <f>(1-O123)*F_primary+(1-P123)*E_inv+(1-Q123)*D_inv+(1-R123)*C_inv+(1-S123)*B_inv+(1-T123)*A_inv+(1-U123)*seed_inv</f>
        <v/>
      </c>
      <c r="W123">
        <f>MAX(0, sens_exit - V123)</f>
        <v/>
      </c>
      <c r="X123">
        <f>F1_sh+F2_sh+F3_sh+RSA_sh+J123+K123+O123*L123+P123*(E_sh + F123)+Q123*(D_sh + E123)+R123*C_sh+S123*B_sh+T123*A_sh+U123*seed_sh</f>
        <v/>
      </c>
      <c r="Y123">
        <f>(W123 + preF_opts_iss*opt_strike)/(X123 + preF_opts_iss)</f>
        <v/>
      </c>
    </row>
    <row r="124">
      <c r="B124">
        <f>N123</f>
        <v/>
      </c>
      <c r="C124">
        <f>OCP_D*(preF_FD + F_primary/OCP_D)/(preF_FD + F_primary/B124)</f>
        <v/>
      </c>
      <c r="D124">
        <f>OCP_E*(preF_FD + F_primary/OCP_E)/(preF_FD + F_primary/B124)</f>
        <v/>
      </c>
      <c r="E124">
        <f>D_sh*(OCP_D/C124 - 1)</f>
        <v/>
      </c>
      <c r="F124">
        <f>E_sh*(OCP_E/D124 - 1)</f>
        <v/>
      </c>
      <c r="G124">
        <f>(preF_FD + E124 + F124 - preF_opts + J123 + K123 + F_primary/B124)/(1-B110)</f>
        <v/>
      </c>
      <c r="H124">
        <f>MAX(0, B110*G124 - preF_opts)</f>
        <v/>
      </c>
      <c r="I124">
        <f>preF_FD + E124 + F124 + H124</f>
        <v/>
      </c>
      <c r="J124">
        <f>NA_P/MIN(NA_cap/(I124+K123), (1-NA_disc)*B124)</f>
        <v/>
      </c>
      <c r="K124">
        <f>NB_P/MIN(NB_cap/(I124+J124), (1-NB_disc)*B124)</f>
        <v/>
      </c>
      <c r="L124">
        <f>F_primary/B124</f>
        <v/>
      </c>
      <c r="M124">
        <f>I124+J124+K124</f>
        <v/>
      </c>
      <c r="N124">
        <f>D110/M124</f>
        <v/>
      </c>
      <c r="O124">
        <f>IF(Y123*L124 &gt; F_primary, 1, 0)</f>
        <v/>
      </c>
      <c r="P124">
        <f>IF(Y123*(E_sh + F124) &gt; E_inv, 1, 0)</f>
        <v/>
      </c>
      <c r="Q124">
        <f>IF(Y123*(D_sh + E124) &gt; D_inv, 1, 0)</f>
        <v/>
      </c>
      <c r="R124">
        <f>IF(Y123*C_sh &gt; C_inv, 1, 0)</f>
        <v/>
      </c>
      <c r="S124">
        <f>IF(Y123*B_sh &gt; B_inv, 1, 0)</f>
        <v/>
      </c>
      <c r="T124">
        <f>IF(Y123*A_sh &gt; A_inv, 1, 0)</f>
        <v/>
      </c>
      <c r="U124">
        <f>IF(Y123*seed_sh &gt; seed_inv, 1, 0)</f>
        <v/>
      </c>
      <c r="V124">
        <f>(1-O124)*F_primary+(1-P124)*E_inv+(1-Q124)*D_inv+(1-R124)*C_inv+(1-S124)*B_inv+(1-T124)*A_inv+(1-U124)*seed_inv</f>
        <v/>
      </c>
      <c r="W124">
        <f>MAX(0, sens_exit - V124)</f>
        <v/>
      </c>
      <c r="X124">
        <f>F1_sh+F2_sh+F3_sh+RSA_sh+J124+K124+O124*L124+P124*(E_sh + F124)+Q124*(D_sh + E124)+R124*C_sh+S124*B_sh+T124*A_sh+U124*seed_sh</f>
        <v/>
      </c>
      <c r="Y124">
        <f>(W124 + preF_opts_iss*opt_strike)/(X124 + preF_opts_iss)</f>
        <v/>
      </c>
    </row>
    <row r="125">
      <c r="B125">
        <f>N124</f>
        <v/>
      </c>
      <c r="C125">
        <f>OCP_D*(preF_FD + F_primary/OCP_D)/(preF_FD + F_primary/B125)</f>
        <v/>
      </c>
      <c r="D125">
        <f>OCP_E*(preF_FD + F_primary/OCP_E)/(preF_FD + F_primary/B125)</f>
        <v/>
      </c>
      <c r="E125">
        <f>D_sh*(OCP_D/C125 - 1)</f>
        <v/>
      </c>
      <c r="F125">
        <f>E_sh*(OCP_E/D125 - 1)</f>
        <v/>
      </c>
      <c r="G125">
        <f>(preF_FD + E125 + F125 - preF_opts + J124 + K124 + F_primary/B125)/(1-B110)</f>
        <v/>
      </c>
      <c r="H125">
        <f>MAX(0, B110*G125 - preF_opts)</f>
        <v/>
      </c>
      <c r="I125">
        <f>preF_FD + E125 + F125 + H125</f>
        <v/>
      </c>
      <c r="J125">
        <f>NA_P/MIN(NA_cap/(I125+K124), (1-NA_disc)*B125)</f>
        <v/>
      </c>
      <c r="K125">
        <f>NB_P/MIN(NB_cap/(I125+J125), (1-NB_disc)*B125)</f>
        <v/>
      </c>
      <c r="L125">
        <f>F_primary/B125</f>
        <v/>
      </c>
      <c r="M125">
        <f>I125+J125+K125</f>
        <v/>
      </c>
      <c r="N125">
        <f>D110/M125</f>
        <v/>
      </c>
      <c r="O125">
        <f>IF(Y124*L125 &gt; F_primary, 1, 0)</f>
        <v/>
      </c>
      <c r="P125">
        <f>IF(Y124*(E_sh + F125) &gt; E_inv, 1, 0)</f>
        <v/>
      </c>
      <c r="Q125">
        <f>IF(Y124*(D_sh + E125) &gt; D_inv, 1, 0)</f>
        <v/>
      </c>
      <c r="R125">
        <f>IF(Y124*C_sh &gt; C_inv, 1, 0)</f>
        <v/>
      </c>
      <c r="S125">
        <f>IF(Y124*B_sh &gt; B_inv, 1, 0)</f>
        <v/>
      </c>
      <c r="T125">
        <f>IF(Y124*A_sh &gt; A_inv, 1, 0)</f>
        <v/>
      </c>
      <c r="U125">
        <f>IF(Y124*seed_sh &gt; seed_inv, 1, 0)</f>
        <v/>
      </c>
      <c r="V125">
        <f>(1-O125)*F_primary+(1-P125)*E_inv+(1-Q125)*D_inv+(1-R125)*C_inv+(1-S125)*B_inv+(1-T125)*A_inv+(1-U125)*seed_inv</f>
        <v/>
      </c>
      <c r="W125">
        <f>MAX(0, sens_exit - V125)</f>
        <v/>
      </c>
      <c r="X125">
        <f>F1_sh+F2_sh+F3_sh+RSA_sh+J125+K125+O125*L125+P125*(E_sh + F125)+Q125*(D_sh + E125)+R125*C_sh+S125*B_sh+T125*A_sh+U125*seed_sh</f>
        <v/>
      </c>
      <c r="Y125">
        <f>(W125 + preF_opts_iss*opt_strike)/(X125 + preF_opts_iss)</f>
        <v/>
      </c>
    </row>
    <row r="126">
      <c r="B126">
        <f>N125</f>
        <v/>
      </c>
      <c r="C126">
        <f>OCP_D*(preF_FD + F_primary/OCP_D)/(preF_FD + F_primary/B126)</f>
        <v/>
      </c>
      <c r="D126">
        <f>OCP_E*(preF_FD + F_primary/OCP_E)/(preF_FD + F_primary/B126)</f>
        <v/>
      </c>
      <c r="E126">
        <f>D_sh*(OCP_D/C126 - 1)</f>
        <v/>
      </c>
      <c r="F126">
        <f>E_sh*(OCP_E/D126 - 1)</f>
        <v/>
      </c>
      <c r="G126">
        <f>(preF_FD + E126 + F126 - preF_opts + J125 + K125 + F_primary/B126)/(1-B110)</f>
        <v/>
      </c>
      <c r="H126">
        <f>MAX(0, B110*G126 - preF_opts)</f>
        <v/>
      </c>
      <c r="I126">
        <f>preF_FD + E126 + F126 + H126</f>
        <v/>
      </c>
      <c r="J126">
        <f>NA_P/MIN(NA_cap/(I126+K125), (1-NA_disc)*B126)</f>
        <v/>
      </c>
      <c r="K126">
        <f>NB_P/MIN(NB_cap/(I126+J126), (1-NB_disc)*B126)</f>
        <v/>
      </c>
      <c r="L126">
        <f>F_primary/B126</f>
        <v/>
      </c>
      <c r="M126">
        <f>I126+J126+K126</f>
        <v/>
      </c>
      <c r="N126">
        <f>D110/M126</f>
        <v/>
      </c>
      <c r="O126">
        <f>IF(Y125*L126 &gt; F_primary, 1, 0)</f>
        <v/>
      </c>
      <c r="P126">
        <f>IF(Y125*(E_sh + F126) &gt; E_inv, 1, 0)</f>
        <v/>
      </c>
      <c r="Q126">
        <f>IF(Y125*(D_sh + E126) &gt; D_inv, 1, 0)</f>
        <v/>
      </c>
      <c r="R126">
        <f>IF(Y125*C_sh &gt; C_inv, 1, 0)</f>
        <v/>
      </c>
      <c r="S126">
        <f>IF(Y125*B_sh &gt; B_inv, 1, 0)</f>
        <v/>
      </c>
      <c r="T126">
        <f>IF(Y125*A_sh &gt; A_inv, 1, 0)</f>
        <v/>
      </c>
      <c r="U126">
        <f>IF(Y125*seed_sh &gt; seed_inv, 1, 0)</f>
        <v/>
      </c>
      <c r="V126">
        <f>(1-O126)*F_primary+(1-P126)*E_inv+(1-Q126)*D_inv+(1-R126)*C_inv+(1-S126)*B_inv+(1-T126)*A_inv+(1-U126)*seed_inv</f>
        <v/>
      </c>
      <c r="W126">
        <f>MAX(0, sens_exit - V126)</f>
        <v/>
      </c>
      <c r="X126">
        <f>F1_sh+F2_sh+F3_sh+RSA_sh+J126+K126+O126*L126+P126*(E_sh + F126)+Q126*(D_sh + E126)+R126*C_sh+S126*B_sh+T126*A_sh+U126*seed_sh</f>
        <v/>
      </c>
      <c r="Y126">
        <f>(W126 + preF_opts_iss*opt_strike)/(X126 + preF_opts_iss)</f>
        <v/>
      </c>
    </row>
    <row r="127">
      <c r="B127">
        <f>N126</f>
        <v/>
      </c>
      <c r="C127">
        <f>OCP_D*(preF_FD + F_primary/OCP_D)/(preF_FD + F_primary/B127)</f>
        <v/>
      </c>
      <c r="D127">
        <f>OCP_E*(preF_FD + F_primary/OCP_E)/(preF_FD + F_primary/B127)</f>
        <v/>
      </c>
      <c r="E127">
        <f>D_sh*(OCP_D/C127 - 1)</f>
        <v/>
      </c>
      <c r="F127">
        <f>E_sh*(OCP_E/D127 - 1)</f>
        <v/>
      </c>
      <c r="G127">
        <f>(preF_FD + E127 + F127 - preF_opts + J126 + K126 + F_primary/B127)/(1-B110)</f>
        <v/>
      </c>
      <c r="H127">
        <f>MAX(0, B110*G127 - preF_opts)</f>
        <v/>
      </c>
      <c r="I127">
        <f>preF_FD + E127 + F127 + H127</f>
        <v/>
      </c>
      <c r="J127">
        <f>NA_P/MIN(NA_cap/(I127+K126), (1-NA_disc)*B127)</f>
        <v/>
      </c>
      <c r="K127">
        <f>NB_P/MIN(NB_cap/(I127+J127), (1-NB_disc)*B127)</f>
        <v/>
      </c>
      <c r="L127">
        <f>F_primary/B127</f>
        <v/>
      </c>
      <c r="M127">
        <f>I127+J127+K127</f>
        <v/>
      </c>
      <c r="N127">
        <f>D110/M127</f>
        <v/>
      </c>
      <c r="O127">
        <f>IF(Y126*L127 &gt; F_primary, 1, 0)</f>
        <v/>
      </c>
      <c r="P127">
        <f>IF(Y126*(E_sh + F127) &gt; E_inv, 1, 0)</f>
        <v/>
      </c>
      <c r="Q127">
        <f>IF(Y126*(D_sh + E127) &gt; D_inv, 1, 0)</f>
        <v/>
      </c>
      <c r="R127">
        <f>IF(Y126*C_sh &gt; C_inv, 1, 0)</f>
        <v/>
      </c>
      <c r="S127">
        <f>IF(Y126*B_sh &gt; B_inv, 1, 0)</f>
        <v/>
      </c>
      <c r="T127">
        <f>IF(Y126*A_sh &gt; A_inv, 1, 0)</f>
        <v/>
      </c>
      <c r="U127">
        <f>IF(Y126*seed_sh &gt; seed_inv, 1, 0)</f>
        <v/>
      </c>
      <c r="V127">
        <f>(1-O127)*F_primary+(1-P127)*E_inv+(1-Q127)*D_inv+(1-R127)*C_inv+(1-S127)*B_inv+(1-T127)*A_inv+(1-U127)*seed_inv</f>
        <v/>
      </c>
      <c r="W127">
        <f>MAX(0, sens_exit - V127)</f>
        <v/>
      </c>
      <c r="X127">
        <f>F1_sh+F2_sh+F3_sh+RSA_sh+J127+K127+O127*L127+P127*(E_sh + F127)+Q127*(D_sh + E127)+R127*C_sh+S127*B_sh+T127*A_sh+U127*seed_sh</f>
        <v/>
      </c>
      <c r="Y127">
        <f>(W127 + preF_opts_iss*opt_strike)/(X127 + preF_opts_iss)</f>
        <v/>
      </c>
    </row>
    <row r="128">
      <c r="B128">
        <f>N127</f>
        <v/>
      </c>
      <c r="C128">
        <f>OCP_D*(preF_FD + F_primary/OCP_D)/(preF_FD + F_primary/B128)</f>
        <v/>
      </c>
      <c r="D128">
        <f>OCP_E*(preF_FD + F_primary/OCP_E)/(preF_FD + F_primary/B128)</f>
        <v/>
      </c>
      <c r="E128">
        <f>D_sh*(OCP_D/C128 - 1)</f>
        <v/>
      </c>
      <c r="F128">
        <f>E_sh*(OCP_E/D128 - 1)</f>
        <v/>
      </c>
      <c r="G128">
        <f>(preF_FD + E128 + F128 - preF_opts + J127 + K127 + F_primary/B128)/(1-B110)</f>
        <v/>
      </c>
      <c r="H128">
        <f>MAX(0, B110*G128 - preF_opts)</f>
        <v/>
      </c>
      <c r="I128">
        <f>preF_FD + E128 + F128 + H128</f>
        <v/>
      </c>
      <c r="J128">
        <f>NA_P/MIN(NA_cap/(I128+K127), (1-NA_disc)*B128)</f>
        <v/>
      </c>
      <c r="K128">
        <f>NB_P/MIN(NB_cap/(I128+J128), (1-NB_disc)*B128)</f>
        <v/>
      </c>
      <c r="L128">
        <f>F_primary/B128</f>
        <v/>
      </c>
      <c r="M128">
        <f>I128+J128+K128</f>
        <v/>
      </c>
      <c r="N128">
        <f>D110/M128</f>
        <v/>
      </c>
      <c r="O128">
        <f>IF(Y127*L128 &gt; F_primary, 1, 0)</f>
        <v/>
      </c>
      <c r="P128">
        <f>IF(Y127*(E_sh + F128) &gt; E_inv, 1, 0)</f>
        <v/>
      </c>
      <c r="Q128">
        <f>IF(Y127*(D_sh + E128) &gt; D_inv, 1, 0)</f>
        <v/>
      </c>
      <c r="R128">
        <f>IF(Y127*C_sh &gt; C_inv, 1, 0)</f>
        <v/>
      </c>
      <c r="S128">
        <f>IF(Y127*B_sh &gt; B_inv, 1, 0)</f>
        <v/>
      </c>
      <c r="T128">
        <f>IF(Y127*A_sh &gt; A_inv, 1, 0)</f>
        <v/>
      </c>
      <c r="U128">
        <f>IF(Y127*seed_sh &gt; seed_inv, 1, 0)</f>
        <v/>
      </c>
      <c r="V128">
        <f>(1-O128)*F_primary+(1-P128)*E_inv+(1-Q128)*D_inv+(1-R128)*C_inv+(1-S128)*B_inv+(1-T128)*A_inv+(1-U128)*seed_inv</f>
        <v/>
      </c>
      <c r="W128">
        <f>MAX(0, sens_exit - V128)</f>
        <v/>
      </c>
      <c r="X128">
        <f>F1_sh+F2_sh+F3_sh+RSA_sh+J128+K128+O128*L128+P128*(E_sh + F128)+Q128*(D_sh + E128)+R128*C_sh+S128*B_sh+T128*A_sh+U128*seed_sh</f>
        <v/>
      </c>
      <c r="Y128">
        <f>(W128 + preF_opts_iss*opt_strike)/(X128 + preF_opts_iss)</f>
        <v/>
      </c>
    </row>
    <row r="129">
      <c r="B129">
        <f>N128</f>
        <v/>
      </c>
      <c r="C129">
        <f>OCP_D*(preF_FD + F_primary/OCP_D)/(preF_FD + F_primary/B129)</f>
        <v/>
      </c>
      <c r="D129">
        <f>OCP_E*(preF_FD + F_primary/OCP_E)/(preF_FD + F_primary/B129)</f>
        <v/>
      </c>
      <c r="E129">
        <f>D_sh*(OCP_D/C129 - 1)</f>
        <v/>
      </c>
      <c r="F129">
        <f>E_sh*(OCP_E/D129 - 1)</f>
        <v/>
      </c>
      <c r="G129">
        <f>(preF_FD + E129 + F129 - preF_opts + J128 + K128 + F_primary/B129)/(1-B110)</f>
        <v/>
      </c>
      <c r="H129">
        <f>MAX(0, B110*G129 - preF_opts)</f>
        <v/>
      </c>
      <c r="I129">
        <f>preF_FD + E129 + F129 + H129</f>
        <v/>
      </c>
      <c r="J129">
        <f>NA_P/MIN(NA_cap/(I129+K128), (1-NA_disc)*B129)</f>
        <v/>
      </c>
      <c r="K129">
        <f>NB_P/MIN(NB_cap/(I129+J129), (1-NB_disc)*B129)</f>
        <v/>
      </c>
      <c r="L129">
        <f>F_primary/B129</f>
        <v/>
      </c>
      <c r="M129">
        <f>I129+J129+K129</f>
        <v/>
      </c>
      <c r="N129">
        <f>D110/M129</f>
        <v/>
      </c>
      <c r="O129">
        <f>IF(Y128*L129 &gt; F_primary, 1, 0)</f>
        <v/>
      </c>
      <c r="P129">
        <f>IF(Y128*(E_sh + F129) &gt; E_inv, 1, 0)</f>
        <v/>
      </c>
      <c r="Q129">
        <f>IF(Y128*(D_sh + E129) &gt; D_inv, 1, 0)</f>
        <v/>
      </c>
      <c r="R129">
        <f>IF(Y128*C_sh &gt; C_inv, 1, 0)</f>
        <v/>
      </c>
      <c r="S129">
        <f>IF(Y128*B_sh &gt; B_inv, 1, 0)</f>
        <v/>
      </c>
      <c r="T129">
        <f>IF(Y128*A_sh &gt; A_inv, 1, 0)</f>
        <v/>
      </c>
      <c r="U129">
        <f>IF(Y128*seed_sh &gt; seed_inv, 1, 0)</f>
        <v/>
      </c>
      <c r="V129">
        <f>(1-O129)*F_primary+(1-P129)*E_inv+(1-Q129)*D_inv+(1-R129)*C_inv+(1-S129)*B_inv+(1-T129)*A_inv+(1-U129)*seed_inv</f>
        <v/>
      </c>
      <c r="W129">
        <f>MAX(0, sens_exit - V129)</f>
        <v/>
      </c>
      <c r="X129">
        <f>F1_sh+F2_sh+F3_sh+RSA_sh+J129+K129+O129*L129+P129*(E_sh + F129)+Q129*(D_sh + E129)+R129*C_sh+S129*B_sh+T129*A_sh+U129*seed_sh</f>
        <v/>
      </c>
      <c r="Y129">
        <f>(W129 + preF_opts_iss*opt_strike)/(X129 + preF_opts_iss)</f>
        <v/>
      </c>
    </row>
    <row r="130">
      <c r="B130">
        <f>N129</f>
        <v/>
      </c>
      <c r="C130">
        <f>OCP_D*(preF_FD + F_primary/OCP_D)/(preF_FD + F_primary/B130)</f>
        <v/>
      </c>
      <c r="D130">
        <f>OCP_E*(preF_FD + F_primary/OCP_E)/(preF_FD + F_primary/B130)</f>
        <v/>
      </c>
      <c r="E130">
        <f>D_sh*(OCP_D/C130 - 1)</f>
        <v/>
      </c>
      <c r="F130">
        <f>E_sh*(OCP_E/D130 - 1)</f>
        <v/>
      </c>
      <c r="G130">
        <f>(preF_FD + E130 + F130 - preF_opts + J129 + K129 + F_primary/B130)/(1-B110)</f>
        <v/>
      </c>
      <c r="H130">
        <f>MAX(0, B110*G130 - preF_opts)</f>
        <v/>
      </c>
      <c r="I130">
        <f>preF_FD + E130 + F130 + H130</f>
        <v/>
      </c>
      <c r="J130">
        <f>NA_P/MIN(NA_cap/(I130+K129), (1-NA_disc)*B130)</f>
        <v/>
      </c>
      <c r="K130">
        <f>NB_P/MIN(NB_cap/(I130+J130), (1-NB_disc)*B130)</f>
        <v/>
      </c>
      <c r="L130">
        <f>F_primary/B130</f>
        <v/>
      </c>
      <c r="M130">
        <f>I130+J130+K130</f>
        <v/>
      </c>
      <c r="N130">
        <f>D110/M130</f>
        <v/>
      </c>
      <c r="O130">
        <f>IF(Y129*L130 &gt; F_primary, 1, 0)</f>
        <v/>
      </c>
      <c r="P130">
        <f>IF(Y129*(E_sh + F130) &gt; E_inv, 1, 0)</f>
        <v/>
      </c>
      <c r="Q130">
        <f>IF(Y129*(D_sh + E130) &gt; D_inv, 1, 0)</f>
        <v/>
      </c>
      <c r="R130">
        <f>IF(Y129*C_sh &gt; C_inv, 1, 0)</f>
        <v/>
      </c>
      <c r="S130">
        <f>IF(Y129*B_sh &gt; B_inv, 1, 0)</f>
        <v/>
      </c>
      <c r="T130">
        <f>IF(Y129*A_sh &gt; A_inv, 1, 0)</f>
        <v/>
      </c>
      <c r="U130">
        <f>IF(Y129*seed_sh &gt; seed_inv, 1, 0)</f>
        <v/>
      </c>
      <c r="V130">
        <f>(1-O130)*F_primary+(1-P130)*E_inv+(1-Q130)*D_inv+(1-R130)*C_inv+(1-S130)*B_inv+(1-T130)*A_inv+(1-U130)*seed_inv</f>
        <v/>
      </c>
      <c r="W130">
        <f>MAX(0, sens_exit - V130)</f>
        <v/>
      </c>
      <c r="X130">
        <f>F1_sh+F2_sh+F3_sh+RSA_sh+J130+K130+O130*L130+P130*(E_sh + F130)+Q130*(D_sh + E130)+R130*C_sh+S130*B_sh+T130*A_sh+U130*seed_sh</f>
        <v/>
      </c>
      <c r="Y130">
        <f>(W130 + preF_opts_iss*opt_strike)/(X130 + preF_opts_iss)</f>
        <v/>
      </c>
    </row>
    <row r="131">
      <c r="B131">
        <f>N130</f>
        <v/>
      </c>
      <c r="C131">
        <f>OCP_D*(preF_FD + F_primary/OCP_D)/(preF_FD + F_primary/B131)</f>
        <v/>
      </c>
      <c r="D131">
        <f>OCP_E*(preF_FD + F_primary/OCP_E)/(preF_FD + F_primary/B131)</f>
        <v/>
      </c>
      <c r="E131">
        <f>D_sh*(OCP_D/C131 - 1)</f>
        <v/>
      </c>
      <c r="F131">
        <f>E_sh*(OCP_E/D131 - 1)</f>
        <v/>
      </c>
      <c r="G131">
        <f>(preF_FD + E131 + F131 - preF_opts + J130 + K130 + F_primary/B131)/(1-B110)</f>
        <v/>
      </c>
      <c r="H131">
        <f>MAX(0, B110*G131 - preF_opts)</f>
        <v/>
      </c>
      <c r="I131">
        <f>preF_FD + E131 + F131 + H131</f>
        <v/>
      </c>
      <c r="J131">
        <f>NA_P/MIN(NA_cap/(I131+K130), (1-NA_disc)*B131)</f>
        <v/>
      </c>
      <c r="K131">
        <f>NB_P/MIN(NB_cap/(I131+J131), (1-NB_disc)*B131)</f>
        <v/>
      </c>
      <c r="L131">
        <f>F_primary/B131</f>
        <v/>
      </c>
      <c r="M131">
        <f>I131+J131+K131</f>
        <v/>
      </c>
      <c r="N131">
        <f>D110/M131</f>
        <v/>
      </c>
      <c r="O131">
        <f>IF(Y130*L131 &gt; F_primary, 1, 0)</f>
        <v/>
      </c>
      <c r="P131">
        <f>IF(Y130*(E_sh + F131) &gt; E_inv, 1, 0)</f>
        <v/>
      </c>
      <c r="Q131">
        <f>IF(Y130*(D_sh + E131) &gt; D_inv, 1, 0)</f>
        <v/>
      </c>
      <c r="R131">
        <f>IF(Y130*C_sh &gt; C_inv, 1, 0)</f>
        <v/>
      </c>
      <c r="S131">
        <f>IF(Y130*B_sh &gt; B_inv, 1, 0)</f>
        <v/>
      </c>
      <c r="T131">
        <f>IF(Y130*A_sh &gt; A_inv, 1, 0)</f>
        <v/>
      </c>
      <c r="U131">
        <f>IF(Y130*seed_sh &gt; seed_inv, 1, 0)</f>
        <v/>
      </c>
      <c r="V131">
        <f>(1-O131)*F_primary+(1-P131)*E_inv+(1-Q131)*D_inv+(1-R131)*C_inv+(1-S131)*B_inv+(1-T131)*A_inv+(1-U131)*seed_inv</f>
        <v/>
      </c>
      <c r="W131">
        <f>MAX(0, sens_exit - V131)</f>
        <v/>
      </c>
      <c r="X131">
        <f>F1_sh+F2_sh+F3_sh+RSA_sh+J131+K131+O131*L131+P131*(E_sh + F131)+Q131*(D_sh + E131)+R131*C_sh+S131*B_sh+T131*A_sh+U131*seed_sh</f>
        <v/>
      </c>
      <c r="Y131">
        <f>(W131 + preF_opts_iss*opt_strike)/(X131 + preF_opts_iss)</f>
        <v/>
      </c>
    </row>
    <row r="132">
      <c r="B132">
        <f>N131</f>
        <v/>
      </c>
      <c r="C132">
        <f>OCP_D*(preF_FD + F_primary/OCP_D)/(preF_FD + F_primary/B132)</f>
        <v/>
      </c>
      <c r="D132">
        <f>OCP_E*(preF_FD + F_primary/OCP_E)/(preF_FD + F_primary/B132)</f>
        <v/>
      </c>
      <c r="E132">
        <f>D_sh*(OCP_D/C132 - 1)</f>
        <v/>
      </c>
      <c r="F132">
        <f>E_sh*(OCP_E/D132 - 1)</f>
        <v/>
      </c>
      <c r="G132">
        <f>(preF_FD + E132 + F132 - preF_opts + J131 + K131 + F_primary/B132)/(1-B110)</f>
        <v/>
      </c>
      <c r="H132">
        <f>MAX(0, B110*G132 - preF_opts)</f>
        <v/>
      </c>
      <c r="I132">
        <f>preF_FD + E132 + F132 + H132</f>
        <v/>
      </c>
      <c r="J132">
        <f>NA_P/MIN(NA_cap/(I132+K131), (1-NA_disc)*B132)</f>
        <v/>
      </c>
      <c r="K132">
        <f>NB_P/MIN(NB_cap/(I132+J132), (1-NB_disc)*B132)</f>
        <v/>
      </c>
      <c r="L132">
        <f>F_primary/B132</f>
        <v/>
      </c>
      <c r="M132">
        <f>I132+J132+K132</f>
        <v/>
      </c>
      <c r="N132">
        <f>D110/M132</f>
        <v/>
      </c>
      <c r="O132">
        <f>IF(Y131*L132 &gt; F_primary, 1, 0)</f>
        <v/>
      </c>
      <c r="P132">
        <f>IF(Y131*(E_sh + F132) &gt; E_inv, 1, 0)</f>
        <v/>
      </c>
      <c r="Q132">
        <f>IF(Y131*(D_sh + E132) &gt; D_inv, 1, 0)</f>
        <v/>
      </c>
      <c r="R132">
        <f>IF(Y131*C_sh &gt; C_inv, 1, 0)</f>
        <v/>
      </c>
      <c r="S132">
        <f>IF(Y131*B_sh &gt; B_inv, 1, 0)</f>
        <v/>
      </c>
      <c r="T132">
        <f>IF(Y131*A_sh &gt; A_inv, 1, 0)</f>
        <v/>
      </c>
      <c r="U132">
        <f>IF(Y131*seed_sh &gt; seed_inv, 1, 0)</f>
        <v/>
      </c>
      <c r="V132">
        <f>(1-O132)*F_primary+(1-P132)*E_inv+(1-Q132)*D_inv+(1-R132)*C_inv+(1-S132)*B_inv+(1-T132)*A_inv+(1-U132)*seed_inv</f>
        <v/>
      </c>
      <c r="W132">
        <f>MAX(0, sens_exit - V132)</f>
        <v/>
      </c>
      <c r="X132">
        <f>F1_sh+F2_sh+F3_sh+RSA_sh+J132+K132+O132*L132+P132*(E_sh + F132)+Q132*(D_sh + E132)+R132*C_sh+S132*B_sh+T132*A_sh+U132*seed_sh</f>
        <v/>
      </c>
      <c r="Y132">
        <f>(W132 + preF_opts_iss*opt_strike)/(X132 + preF_opts_iss)</f>
        <v/>
      </c>
    </row>
    <row r="133">
      <c r="B133">
        <f>N132</f>
        <v/>
      </c>
      <c r="C133">
        <f>OCP_D*(preF_FD + F_primary/OCP_D)/(preF_FD + F_primary/B133)</f>
        <v/>
      </c>
      <c r="D133">
        <f>OCP_E*(preF_FD + F_primary/OCP_E)/(preF_FD + F_primary/B133)</f>
        <v/>
      </c>
      <c r="E133">
        <f>D_sh*(OCP_D/C133 - 1)</f>
        <v/>
      </c>
      <c r="F133">
        <f>E_sh*(OCP_E/D133 - 1)</f>
        <v/>
      </c>
      <c r="G133">
        <f>(preF_FD + E133 + F133 - preF_opts + J132 + K132 + F_primary/B133)/(1-B110)</f>
        <v/>
      </c>
      <c r="H133">
        <f>MAX(0, B110*G133 - preF_opts)</f>
        <v/>
      </c>
      <c r="I133">
        <f>preF_FD + E133 + F133 + H133</f>
        <v/>
      </c>
      <c r="J133">
        <f>NA_P/MIN(NA_cap/(I133+K132), (1-NA_disc)*B133)</f>
        <v/>
      </c>
      <c r="K133">
        <f>NB_P/MIN(NB_cap/(I133+J133), (1-NB_disc)*B133)</f>
        <v/>
      </c>
      <c r="L133">
        <f>F_primary/B133</f>
        <v/>
      </c>
      <c r="M133">
        <f>I133+J133+K133</f>
        <v/>
      </c>
      <c r="N133">
        <f>D110/M133</f>
        <v/>
      </c>
      <c r="O133">
        <f>IF(Y132*L133 &gt; F_primary, 1, 0)</f>
        <v/>
      </c>
      <c r="P133">
        <f>IF(Y132*(E_sh + F133) &gt; E_inv, 1, 0)</f>
        <v/>
      </c>
      <c r="Q133">
        <f>IF(Y132*(D_sh + E133) &gt; D_inv, 1, 0)</f>
        <v/>
      </c>
      <c r="R133">
        <f>IF(Y132*C_sh &gt; C_inv, 1, 0)</f>
        <v/>
      </c>
      <c r="S133">
        <f>IF(Y132*B_sh &gt; B_inv, 1, 0)</f>
        <v/>
      </c>
      <c r="T133">
        <f>IF(Y132*A_sh &gt; A_inv, 1, 0)</f>
        <v/>
      </c>
      <c r="U133">
        <f>IF(Y132*seed_sh &gt; seed_inv, 1, 0)</f>
        <v/>
      </c>
      <c r="V133">
        <f>(1-O133)*F_primary+(1-P133)*E_inv+(1-Q133)*D_inv+(1-R133)*C_inv+(1-S133)*B_inv+(1-T133)*A_inv+(1-U133)*seed_inv</f>
        <v/>
      </c>
      <c r="W133">
        <f>MAX(0, sens_exit - V133)</f>
        <v/>
      </c>
      <c r="X133">
        <f>F1_sh+F2_sh+F3_sh+RSA_sh+J133+K133+O133*L133+P133*(E_sh + F133)+Q133*(D_sh + E133)+R133*C_sh+S133*B_sh+T133*A_sh+U133*seed_sh</f>
        <v/>
      </c>
      <c r="Y133">
        <f>(W133 + preF_opts_iss*opt_strike)/(X133 + preF_opts_iss)</f>
        <v/>
      </c>
    </row>
    <row r="134">
      <c r="B134">
        <f>N133</f>
        <v/>
      </c>
      <c r="C134">
        <f>OCP_D*(preF_FD + F_primary/OCP_D)/(preF_FD + F_primary/B134)</f>
        <v/>
      </c>
      <c r="D134">
        <f>OCP_E*(preF_FD + F_primary/OCP_E)/(preF_FD + F_primary/B134)</f>
        <v/>
      </c>
      <c r="E134">
        <f>D_sh*(OCP_D/C134 - 1)</f>
        <v/>
      </c>
      <c r="F134">
        <f>E_sh*(OCP_E/D134 - 1)</f>
        <v/>
      </c>
      <c r="G134">
        <f>(preF_FD + E134 + F134 - preF_opts + J133 + K133 + F_primary/B134)/(1-B110)</f>
        <v/>
      </c>
      <c r="H134">
        <f>MAX(0, B110*G134 - preF_opts)</f>
        <v/>
      </c>
      <c r="I134">
        <f>preF_FD + E134 + F134 + H134</f>
        <v/>
      </c>
      <c r="J134">
        <f>NA_P/MIN(NA_cap/(I134+K133), (1-NA_disc)*B134)</f>
        <v/>
      </c>
      <c r="K134">
        <f>NB_P/MIN(NB_cap/(I134+J134), (1-NB_disc)*B134)</f>
        <v/>
      </c>
      <c r="L134">
        <f>F_primary/B134</f>
        <v/>
      </c>
      <c r="M134">
        <f>I134+J134+K134</f>
        <v/>
      </c>
      <c r="N134">
        <f>D110/M134</f>
        <v/>
      </c>
      <c r="O134">
        <f>IF(Y133*L134 &gt; F_primary, 1, 0)</f>
        <v/>
      </c>
      <c r="P134">
        <f>IF(Y133*(E_sh + F134) &gt; E_inv, 1, 0)</f>
        <v/>
      </c>
      <c r="Q134">
        <f>IF(Y133*(D_sh + E134) &gt; D_inv, 1, 0)</f>
        <v/>
      </c>
      <c r="R134">
        <f>IF(Y133*C_sh &gt; C_inv, 1, 0)</f>
        <v/>
      </c>
      <c r="S134">
        <f>IF(Y133*B_sh &gt; B_inv, 1, 0)</f>
        <v/>
      </c>
      <c r="T134">
        <f>IF(Y133*A_sh &gt; A_inv, 1, 0)</f>
        <v/>
      </c>
      <c r="U134">
        <f>IF(Y133*seed_sh &gt; seed_inv, 1, 0)</f>
        <v/>
      </c>
      <c r="V134">
        <f>(1-O134)*F_primary+(1-P134)*E_inv+(1-Q134)*D_inv+(1-R134)*C_inv+(1-S134)*B_inv+(1-T134)*A_inv+(1-U134)*seed_inv</f>
        <v/>
      </c>
      <c r="W134">
        <f>MAX(0, sens_exit - V134)</f>
        <v/>
      </c>
      <c r="X134">
        <f>F1_sh+F2_sh+F3_sh+RSA_sh+J134+K134+O134*L134+P134*(E_sh + F134)+Q134*(D_sh + E134)+R134*C_sh+S134*B_sh+T134*A_sh+U134*seed_sh</f>
        <v/>
      </c>
      <c r="Y134">
        <f>(W134 + preF_opts_iss*opt_strike)/(X134 + preF_opts_iss)</f>
        <v/>
      </c>
    </row>
    <row r="135">
      <c r="B135">
        <f>N134</f>
        <v/>
      </c>
      <c r="C135">
        <f>OCP_D*(preF_FD + F_primary/OCP_D)/(preF_FD + F_primary/B135)</f>
        <v/>
      </c>
      <c r="D135">
        <f>OCP_E*(preF_FD + F_primary/OCP_E)/(preF_FD + F_primary/B135)</f>
        <v/>
      </c>
      <c r="E135">
        <f>D_sh*(OCP_D/C135 - 1)</f>
        <v/>
      </c>
      <c r="F135">
        <f>E_sh*(OCP_E/D135 - 1)</f>
        <v/>
      </c>
      <c r="G135">
        <f>(preF_FD + E135 + F135 - preF_opts + J134 + K134 + F_primary/B135)/(1-B110)</f>
        <v/>
      </c>
      <c r="H135">
        <f>MAX(0, B110*G135 - preF_opts)</f>
        <v/>
      </c>
      <c r="I135">
        <f>preF_FD + E135 + F135 + H135</f>
        <v/>
      </c>
      <c r="J135">
        <f>NA_P/MIN(NA_cap/(I135+K134), (1-NA_disc)*B135)</f>
        <v/>
      </c>
      <c r="K135">
        <f>NB_P/MIN(NB_cap/(I135+J135), (1-NB_disc)*B135)</f>
        <v/>
      </c>
      <c r="L135">
        <f>F_primary/B135</f>
        <v/>
      </c>
      <c r="M135">
        <f>I135+J135+K135</f>
        <v/>
      </c>
      <c r="N135">
        <f>D110/M135</f>
        <v/>
      </c>
      <c r="O135">
        <f>IF(Y134*L135 &gt; F_primary, 1, 0)</f>
        <v/>
      </c>
      <c r="P135">
        <f>IF(Y134*(E_sh + F135) &gt; E_inv, 1, 0)</f>
        <v/>
      </c>
      <c r="Q135">
        <f>IF(Y134*(D_sh + E135) &gt; D_inv, 1, 0)</f>
        <v/>
      </c>
      <c r="R135">
        <f>IF(Y134*C_sh &gt; C_inv, 1, 0)</f>
        <v/>
      </c>
      <c r="S135">
        <f>IF(Y134*B_sh &gt; B_inv, 1, 0)</f>
        <v/>
      </c>
      <c r="T135">
        <f>IF(Y134*A_sh &gt; A_inv, 1, 0)</f>
        <v/>
      </c>
      <c r="U135">
        <f>IF(Y134*seed_sh &gt; seed_inv, 1, 0)</f>
        <v/>
      </c>
      <c r="V135">
        <f>(1-O135)*F_primary+(1-P135)*E_inv+(1-Q135)*D_inv+(1-R135)*C_inv+(1-S135)*B_inv+(1-T135)*A_inv+(1-U135)*seed_inv</f>
        <v/>
      </c>
      <c r="W135">
        <f>MAX(0, sens_exit - V135)</f>
        <v/>
      </c>
      <c r="X135">
        <f>F1_sh+F2_sh+F3_sh+RSA_sh+J135+K135+O135*L135+P135*(E_sh + F135)+Q135*(D_sh + E135)+R135*C_sh+S135*B_sh+T135*A_sh+U135*seed_sh</f>
        <v/>
      </c>
      <c r="Y135">
        <f>(W135 + preF_opts_iss*opt_strike)/(X135 + preF_opts_iss)</f>
        <v/>
      </c>
    </row>
    <row r="136">
      <c r="B136">
        <f>N135</f>
        <v/>
      </c>
      <c r="C136">
        <f>OCP_D*(preF_FD + F_primary/OCP_D)/(preF_FD + F_primary/B136)</f>
        <v/>
      </c>
      <c r="D136">
        <f>OCP_E*(preF_FD + F_primary/OCP_E)/(preF_FD + F_primary/B136)</f>
        <v/>
      </c>
      <c r="E136">
        <f>D_sh*(OCP_D/C136 - 1)</f>
        <v/>
      </c>
      <c r="F136">
        <f>E_sh*(OCP_E/D136 - 1)</f>
        <v/>
      </c>
      <c r="G136">
        <f>(preF_FD + E136 + F136 - preF_opts + J135 + K135 + F_primary/B136)/(1-B110)</f>
        <v/>
      </c>
      <c r="H136">
        <f>MAX(0, B110*G136 - preF_opts)</f>
        <v/>
      </c>
      <c r="I136">
        <f>preF_FD + E136 + F136 + H136</f>
        <v/>
      </c>
      <c r="J136">
        <f>NA_P/MIN(NA_cap/(I136+K135), (1-NA_disc)*B136)</f>
        <v/>
      </c>
      <c r="K136">
        <f>NB_P/MIN(NB_cap/(I136+J136), (1-NB_disc)*B136)</f>
        <v/>
      </c>
      <c r="L136">
        <f>F_primary/B136</f>
        <v/>
      </c>
      <c r="M136">
        <f>I136+J136+K136</f>
        <v/>
      </c>
      <c r="N136">
        <f>D110/M136</f>
        <v/>
      </c>
      <c r="O136">
        <f>IF(Y135*L136 &gt; F_primary, 1, 0)</f>
        <v/>
      </c>
      <c r="P136">
        <f>IF(Y135*(E_sh + F136) &gt; E_inv, 1, 0)</f>
        <v/>
      </c>
      <c r="Q136">
        <f>IF(Y135*(D_sh + E136) &gt; D_inv, 1, 0)</f>
        <v/>
      </c>
      <c r="R136">
        <f>IF(Y135*C_sh &gt; C_inv, 1, 0)</f>
        <v/>
      </c>
      <c r="S136">
        <f>IF(Y135*B_sh &gt; B_inv, 1, 0)</f>
        <v/>
      </c>
      <c r="T136">
        <f>IF(Y135*A_sh &gt; A_inv, 1, 0)</f>
        <v/>
      </c>
      <c r="U136">
        <f>IF(Y135*seed_sh &gt; seed_inv, 1, 0)</f>
        <v/>
      </c>
      <c r="V136">
        <f>(1-O136)*F_primary+(1-P136)*E_inv+(1-Q136)*D_inv+(1-R136)*C_inv+(1-S136)*B_inv+(1-T136)*A_inv+(1-U136)*seed_inv</f>
        <v/>
      </c>
      <c r="W136">
        <f>MAX(0, sens_exit - V136)</f>
        <v/>
      </c>
      <c r="X136">
        <f>F1_sh+F2_sh+F3_sh+RSA_sh+J136+K136+O136*L136+P136*(E_sh + F136)+Q136*(D_sh + E136)+R136*C_sh+S136*B_sh+T136*A_sh+U136*seed_sh</f>
        <v/>
      </c>
      <c r="Y136">
        <f>(W136 + preF_opts_iss*opt_strike)/(X136 + preF_opts_iss)</f>
        <v/>
      </c>
    </row>
    <row r="137">
      <c r="B137">
        <f>N136</f>
        <v/>
      </c>
      <c r="C137">
        <f>OCP_D*(preF_FD + F_primary/OCP_D)/(preF_FD + F_primary/B137)</f>
        <v/>
      </c>
      <c r="D137">
        <f>OCP_E*(preF_FD + F_primary/OCP_E)/(preF_FD + F_primary/B137)</f>
        <v/>
      </c>
      <c r="E137">
        <f>D_sh*(OCP_D/C137 - 1)</f>
        <v/>
      </c>
      <c r="F137">
        <f>E_sh*(OCP_E/D137 - 1)</f>
        <v/>
      </c>
      <c r="G137">
        <f>(preF_FD + E137 + F137 - preF_opts + J136 + K136 + F_primary/B137)/(1-B110)</f>
        <v/>
      </c>
      <c r="H137">
        <f>MAX(0, B110*G137 - preF_opts)</f>
        <v/>
      </c>
      <c r="I137">
        <f>preF_FD + E137 + F137 + H137</f>
        <v/>
      </c>
      <c r="J137">
        <f>NA_P/MIN(NA_cap/(I137+K136), (1-NA_disc)*B137)</f>
        <v/>
      </c>
      <c r="K137">
        <f>NB_P/MIN(NB_cap/(I137+J137), (1-NB_disc)*B137)</f>
        <v/>
      </c>
      <c r="L137">
        <f>F_primary/B137</f>
        <v/>
      </c>
      <c r="M137">
        <f>I137+J137+K137</f>
        <v/>
      </c>
      <c r="N137">
        <f>D110/M137</f>
        <v/>
      </c>
      <c r="O137">
        <f>IF(Y136*L137 &gt; F_primary, 1, 0)</f>
        <v/>
      </c>
      <c r="P137">
        <f>IF(Y136*(E_sh + F137) &gt; E_inv, 1, 0)</f>
        <v/>
      </c>
      <c r="Q137">
        <f>IF(Y136*(D_sh + E137) &gt; D_inv, 1, 0)</f>
        <v/>
      </c>
      <c r="R137">
        <f>IF(Y136*C_sh &gt; C_inv, 1, 0)</f>
        <v/>
      </c>
      <c r="S137">
        <f>IF(Y136*B_sh &gt; B_inv, 1, 0)</f>
        <v/>
      </c>
      <c r="T137">
        <f>IF(Y136*A_sh &gt; A_inv, 1, 0)</f>
        <v/>
      </c>
      <c r="U137">
        <f>IF(Y136*seed_sh &gt; seed_inv, 1, 0)</f>
        <v/>
      </c>
      <c r="V137">
        <f>(1-O137)*F_primary+(1-P137)*E_inv+(1-Q137)*D_inv+(1-R137)*C_inv+(1-S137)*B_inv+(1-T137)*A_inv+(1-U137)*seed_inv</f>
        <v/>
      </c>
      <c r="W137">
        <f>MAX(0, sens_exit - V137)</f>
        <v/>
      </c>
      <c r="X137">
        <f>F1_sh+F2_sh+F3_sh+RSA_sh+J137+K137+O137*L137+P137*(E_sh + F137)+Q137*(D_sh + E137)+R137*C_sh+S137*B_sh+T137*A_sh+U137*seed_sh</f>
        <v/>
      </c>
      <c r="Y137">
        <f>(W137 + preF_opts_iss*opt_strike)/(X137 + preF_opts_iss)</f>
        <v/>
      </c>
    </row>
    <row r="138">
      <c r="B138">
        <f>N137</f>
        <v/>
      </c>
      <c r="C138">
        <f>OCP_D*(preF_FD + F_primary/OCP_D)/(preF_FD + F_primary/B138)</f>
        <v/>
      </c>
      <c r="D138">
        <f>OCP_E*(preF_FD + F_primary/OCP_E)/(preF_FD + F_primary/B138)</f>
        <v/>
      </c>
      <c r="E138">
        <f>D_sh*(OCP_D/C138 - 1)</f>
        <v/>
      </c>
      <c r="F138">
        <f>E_sh*(OCP_E/D138 - 1)</f>
        <v/>
      </c>
      <c r="G138">
        <f>(preF_FD + E138 + F138 - preF_opts + J137 + K137 + F_primary/B138)/(1-B110)</f>
        <v/>
      </c>
      <c r="H138">
        <f>MAX(0, B110*G138 - preF_opts)</f>
        <v/>
      </c>
      <c r="I138">
        <f>preF_FD + E138 + F138 + H138</f>
        <v/>
      </c>
      <c r="J138">
        <f>NA_P/MIN(NA_cap/(I138+K137), (1-NA_disc)*B138)</f>
        <v/>
      </c>
      <c r="K138">
        <f>NB_P/MIN(NB_cap/(I138+J138), (1-NB_disc)*B138)</f>
        <v/>
      </c>
      <c r="L138">
        <f>F_primary/B138</f>
        <v/>
      </c>
      <c r="M138">
        <f>I138+J138+K138</f>
        <v/>
      </c>
      <c r="N138">
        <f>D110/M138</f>
        <v/>
      </c>
      <c r="O138">
        <f>IF(Y137*L138 &gt; F_primary, 1, 0)</f>
        <v/>
      </c>
      <c r="P138">
        <f>IF(Y137*(E_sh + F138) &gt; E_inv, 1, 0)</f>
        <v/>
      </c>
      <c r="Q138">
        <f>IF(Y137*(D_sh + E138) &gt; D_inv, 1, 0)</f>
        <v/>
      </c>
      <c r="R138">
        <f>IF(Y137*C_sh &gt; C_inv, 1, 0)</f>
        <v/>
      </c>
      <c r="S138">
        <f>IF(Y137*B_sh &gt; B_inv, 1, 0)</f>
        <v/>
      </c>
      <c r="T138">
        <f>IF(Y137*A_sh &gt; A_inv, 1, 0)</f>
        <v/>
      </c>
      <c r="U138">
        <f>IF(Y137*seed_sh &gt; seed_inv, 1, 0)</f>
        <v/>
      </c>
      <c r="V138">
        <f>(1-O138)*F_primary+(1-P138)*E_inv+(1-Q138)*D_inv+(1-R138)*C_inv+(1-S138)*B_inv+(1-T138)*A_inv+(1-U138)*seed_inv</f>
        <v/>
      </c>
      <c r="W138">
        <f>MAX(0, sens_exit - V138)</f>
        <v/>
      </c>
      <c r="X138">
        <f>F1_sh+F2_sh+F3_sh+RSA_sh+J138+K138+O138*L138+P138*(E_sh + F138)+Q138*(D_sh + E138)+R138*C_sh+S138*B_sh+T138*A_sh+U138*seed_sh</f>
        <v/>
      </c>
      <c r="Y138">
        <f>(W138 + preF_opts_iss*opt_strike)/(X138 + preF_opts_iss)</f>
        <v/>
      </c>
    </row>
    <row r="139">
      <c r="B139">
        <f>N138</f>
        <v/>
      </c>
      <c r="C139">
        <f>OCP_D*(preF_FD + F_primary/OCP_D)/(preF_FD + F_primary/B139)</f>
        <v/>
      </c>
      <c r="D139">
        <f>OCP_E*(preF_FD + F_primary/OCP_E)/(preF_FD + F_primary/B139)</f>
        <v/>
      </c>
      <c r="E139">
        <f>D_sh*(OCP_D/C139 - 1)</f>
        <v/>
      </c>
      <c r="F139">
        <f>E_sh*(OCP_E/D139 - 1)</f>
        <v/>
      </c>
      <c r="G139">
        <f>(preF_FD + E139 + F139 - preF_opts + J138 + K138 + F_primary/B139)/(1-B110)</f>
        <v/>
      </c>
      <c r="H139">
        <f>MAX(0, B110*G139 - preF_opts)</f>
        <v/>
      </c>
      <c r="I139">
        <f>preF_FD + E139 + F139 + H139</f>
        <v/>
      </c>
      <c r="J139">
        <f>NA_P/MIN(NA_cap/(I139+K138), (1-NA_disc)*B139)</f>
        <v/>
      </c>
      <c r="K139">
        <f>NB_P/MIN(NB_cap/(I139+J139), (1-NB_disc)*B139)</f>
        <v/>
      </c>
      <c r="L139">
        <f>F_primary/B139</f>
        <v/>
      </c>
      <c r="M139">
        <f>I139+J139+K139</f>
        <v/>
      </c>
      <c r="N139">
        <f>D110/M139</f>
        <v/>
      </c>
      <c r="O139">
        <f>IF(Y138*L139 &gt; F_primary, 1, 0)</f>
        <v/>
      </c>
      <c r="P139">
        <f>IF(Y138*(E_sh + F139) &gt; E_inv, 1, 0)</f>
        <v/>
      </c>
      <c r="Q139">
        <f>IF(Y138*(D_sh + E139) &gt; D_inv, 1, 0)</f>
        <v/>
      </c>
      <c r="R139">
        <f>IF(Y138*C_sh &gt; C_inv, 1, 0)</f>
        <v/>
      </c>
      <c r="S139">
        <f>IF(Y138*B_sh &gt; B_inv, 1, 0)</f>
        <v/>
      </c>
      <c r="T139">
        <f>IF(Y138*A_sh &gt; A_inv, 1, 0)</f>
        <v/>
      </c>
      <c r="U139">
        <f>IF(Y138*seed_sh &gt; seed_inv, 1, 0)</f>
        <v/>
      </c>
      <c r="V139">
        <f>(1-O139)*F_primary+(1-P139)*E_inv+(1-Q139)*D_inv+(1-R139)*C_inv+(1-S139)*B_inv+(1-T139)*A_inv+(1-U139)*seed_inv</f>
        <v/>
      </c>
      <c r="W139">
        <f>MAX(0, sens_exit - V139)</f>
        <v/>
      </c>
      <c r="X139">
        <f>F1_sh+F2_sh+F3_sh+RSA_sh+J139+K139+O139*L139+P139*(E_sh + F139)+Q139*(D_sh + E139)+R139*C_sh+S139*B_sh+T139*A_sh+U139*seed_sh</f>
        <v/>
      </c>
      <c r="Y139">
        <f>(W139 + preF_opts_iss*opt_strike)/(X139 + preF_opts_iss)</f>
        <v/>
      </c>
    </row>
    <row r="140">
      <c r="B140">
        <f>N139</f>
        <v/>
      </c>
      <c r="C140">
        <f>OCP_D*(preF_FD + F_primary/OCP_D)/(preF_FD + F_primary/B140)</f>
        <v/>
      </c>
      <c r="D140">
        <f>OCP_E*(preF_FD + F_primary/OCP_E)/(preF_FD + F_primary/B140)</f>
        <v/>
      </c>
      <c r="E140">
        <f>D_sh*(OCP_D/C140 - 1)</f>
        <v/>
      </c>
      <c r="F140">
        <f>E_sh*(OCP_E/D140 - 1)</f>
        <v/>
      </c>
      <c r="G140">
        <f>(preF_FD + E140 + F140 - preF_opts + J139 + K139 + F_primary/B140)/(1-B110)</f>
        <v/>
      </c>
      <c r="H140">
        <f>MAX(0, B110*G140 - preF_opts)</f>
        <v/>
      </c>
      <c r="I140">
        <f>preF_FD + E140 + F140 + H140</f>
        <v/>
      </c>
      <c r="J140">
        <f>NA_P/MIN(NA_cap/(I140+K139), (1-NA_disc)*B140)</f>
        <v/>
      </c>
      <c r="K140">
        <f>NB_P/MIN(NB_cap/(I140+J140), (1-NB_disc)*B140)</f>
        <v/>
      </c>
      <c r="L140">
        <f>F_primary/B140</f>
        <v/>
      </c>
      <c r="M140">
        <f>I140+J140+K140</f>
        <v/>
      </c>
      <c r="N140">
        <f>D110/M140</f>
        <v/>
      </c>
      <c r="O140">
        <f>IF(Y139*L140 &gt; F_primary, 1, 0)</f>
        <v/>
      </c>
      <c r="P140">
        <f>IF(Y139*(E_sh + F140) &gt; E_inv, 1, 0)</f>
        <v/>
      </c>
      <c r="Q140">
        <f>IF(Y139*(D_sh + E140) &gt; D_inv, 1, 0)</f>
        <v/>
      </c>
      <c r="R140">
        <f>IF(Y139*C_sh &gt; C_inv, 1, 0)</f>
        <v/>
      </c>
      <c r="S140">
        <f>IF(Y139*B_sh &gt; B_inv, 1, 0)</f>
        <v/>
      </c>
      <c r="T140">
        <f>IF(Y139*A_sh &gt; A_inv, 1, 0)</f>
        <v/>
      </c>
      <c r="U140">
        <f>IF(Y139*seed_sh &gt; seed_inv, 1, 0)</f>
        <v/>
      </c>
      <c r="V140">
        <f>(1-O140)*F_primary+(1-P140)*E_inv+(1-Q140)*D_inv+(1-R140)*C_inv+(1-S140)*B_inv+(1-T140)*A_inv+(1-U140)*seed_inv</f>
        <v/>
      </c>
      <c r="W140">
        <f>MAX(0, sens_exit - V140)</f>
        <v/>
      </c>
      <c r="X140">
        <f>F1_sh+F2_sh+F3_sh+RSA_sh+J140+K140+O140*L140+P140*(E_sh + F140)+Q140*(D_sh + E140)+R140*C_sh+S140*B_sh+T140*A_sh+U140*seed_sh</f>
        <v/>
      </c>
      <c r="Y140">
        <f>(W140 + preF_opts_iss*opt_strike)/(X140 + preF_opts_iss)</f>
        <v/>
      </c>
    </row>
    <row r="141">
      <c r="B141">
        <f>N140</f>
        <v/>
      </c>
      <c r="C141">
        <f>OCP_D*(preF_FD + F_primary/OCP_D)/(preF_FD + F_primary/B141)</f>
        <v/>
      </c>
      <c r="D141">
        <f>OCP_E*(preF_FD + F_primary/OCP_E)/(preF_FD + F_primary/B141)</f>
        <v/>
      </c>
      <c r="E141">
        <f>D_sh*(OCP_D/C141 - 1)</f>
        <v/>
      </c>
      <c r="F141">
        <f>E_sh*(OCP_E/D141 - 1)</f>
        <v/>
      </c>
      <c r="G141">
        <f>(preF_FD + E141 + F141 - preF_opts + J140 + K140 + F_primary/B141)/(1-B110)</f>
        <v/>
      </c>
      <c r="H141">
        <f>MAX(0, B110*G141 - preF_opts)</f>
        <v/>
      </c>
      <c r="I141">
        <f>preF_FD + E141 + F141 + H141</f>
        <v/>
      </c>
      <c r="J141">
        <f>NA_P/MIN(NA_cap/(I141+K140), (1-NA_disc)*B141)</f>
        <v/>
      </c>
      <c r="K141">
        <f>NB_P/MIN(NB_cap/(I141+J141), (1-NB_disc)*B141)</f>
        <v/>
      </c>
      <c r="L141">
        <f>F_primary/B141</f>
        <v/>
      </c>
      <c r="M141">
        <f>I141+J141+K141</f>
        <v/>
      </c>
      <c r="N141">
        <f>D110/M141</f>
        <v/>
      </c>
      <c r="O141">
        <f>IF(Y140*L141 &gt; F_primary, 1, 0)</f>
        <v/>
      </c>
      <c r="P141">
        <f>IF(Y140*(E_sh + F141) &gt; E_inv, 1, 0)</f>
        <v/>
      </c>
      <c r="Q141">
        <f>IF(Y140*(D_sh + E141) &gt; D_inv, 1, 0)</f>
        <v/>
      </c>
      <c r="R141">
        <f>IF(Y140*C_sh &gt; C_inv, 1, 0)</f>
        <v/>
      </c>
      <c r="S141">
        <f>IF(Y140*B_sh &gt; B_inv, 1, 0)</f>
        <v/>
      </c>
      <c r="T141">
        <f>IF(Y140*A_sh &gt; A_inv, 1, 0)</f>
        <v/>
      </c>
      <c r="U141">
        <f>IF(Y140*seed_sh &gt; seed_inv, 1, 0)</f>
        <v/>
      </c>
      <c r="V141">
        <f>(1-O141)*F_primary+(1-P141)*E_inv+(1-Q141)*D_inv+(1-R141)*C_inv+(1-S141)*B_inv+(1-T141)*A_inv+(1-U141)*seed_inv</f>
        <v/>
      </c>
      <c r="W141">
        <f>MAX(0, sens_exit - V141)</f>
        <v/>
      </c>
      <c r="X141">
        <f>F1_sh+F2_sh+F3_sh+RSA_sh+J141+K141+O141*L141+P141*(E_sh + F141)+Q141*(D_sh + E141)+R141*C_sh+S141*B_sh+T141*A_sh+U141*seed_sh</f>
        <v/>
      </c>
      <c r="Y141">
        <f>(W141 + preF_opts_iss*opt_strike)/(X141 + preF_opts_iss)</f>
        <v/>
      </c>
    </row>
    <row r="142">
      <c r="B142">
        <f>N141</f>
        <v/>
      </c>
      <c r="C142">
        <f>OCP_D*(preF_FD + F_primary/OCP_D)/(preF_FD + F_primary/B142)</f>
        <v/>
      </c>
      <c r="D142">
        <f>OCP_E*(preF_FD + F_primary/OCP_E)/(preF_FD + F_primary/B142)</f>
        <v/>
      </c>
      <c r="E142">
        <f>D_sh*(OCP_D/C142 - 1)</f>
        <v/>
      </c>
      <c r="F142">
        <f>E_sh*(OCP_E/D142 - 1)</f>
        <v/>
      </c>
      <c r="G142">
        <f>(preF_FD + E142 + F142 - preF_opts + J141 + K141 + F_primary/B142)/(1-B110)</f>
        <v/>
      </c>
      <c r="H142">
        <f>MAX(0, B110*G142 - preF_opts)</f>
        <v/>
      </c>
      <c r="I142">
        <f>preF_FD + E142 + F142 + H142</f>
        <v/>
      </c>
      <c r="J142">
        <f>NA_P/MIN(NA_cap/(I142+K141), (1-NA_disc)*B142)</f>
        <v/>
      </c>
      <c r="K142">
        <f>NB_P/MIN(NB_cap/(I142+J142), (1-NB_disc)*B142)</f>
        <v/>
      </c>
      <c r="L142">
        <f>F_primary/B142</f>
        <v/>
      </c>
      <c r="M142">
        <f>I142+J142+K142</f>
        <v/>
      </c>
      <c r="N142">
        <f>D110/M142</f>
        <v/>
      </c>
      <c r="O142">
        <f>IF(Y141*L142 &gt; F_primary, 1, 0)</f>
        <v/>
      </c>
      <c r="P142">
        <f>IF(Y141*(E_sh + F142) &gt; E_inv, 1, 0)</f>
        <v/>
      </c>
      <c r="Q142">
        <f>IF(Y141*(D_sh + E142) &gt; D_inv, 1, 0)</f>
        <v/>
      </c>
      <c r="R142">
        <f>IF(Y141*C_sh &gt; C_inv, 1, 0)</f>
        <v/>
      </c>
      <c r="S142">
        <f>IF(Y141*B_sh &gt; B_inv, 1, 0)</f>
        <v/>
      </c>
      <c r="T142">
        <f>IF(Y141*A_sh &gt; A_inv, 1, 0)</f>
        <v/>
      </c>
      <c r="U142">
        <f>IF(Y141*seed_sh &gt; seed_inv, 1, 0)</f>
        <v/>
      </c>
      <c r="V142">
        <f>(1-O142)*F_primary+(1-P142)*E_inv+(1-Q142)*D_inv+(1-R142)*C_inv+(1-S142)*B_inv+(1-T142)*A_inv+(1-U142)*seed_inv</f>
        <v/>
      </c>
      <c r="W142">
        <f>MAX(0, sens_exit - V142)</f>
        <v/>
      </c>
      <c r="X142">
        <f>F1_sh+F2_sh+F3_sh+RSA_sh+J142+K142+O142*L142+P142*(E_sh + F142)+Q142*(D_sh + E142)+R142*C_sh+S142*B_sh+T142*A_sh+U142*seed_sh</f>
        <v/>
      </c>
      <c r="Y142">
        <f>(W142 + preF_opts_iss*opt_strike)/(X142 + preF_opts_iss)</f>
        <v/>
      </c>
    </row>
    <row r="143">
      <c r="B143">
        <f>N142</f>
        <v/>
      </c>
      <c r="C143">
        <f>OCP_D*(preF_FD + F_primary/OCP_D)/(preF_FD + F_primary/B143)</f>
        <v/>
      </c>
      <c r="D143">
        <f>OCP_E*(preF_FD + F_primary/OCP_E)/(preF_FD + F_primary/B143)</f>
        <v/>
      </c>
      <c r="E143">
        <f>D_sh*(OCP_D/C143 - 1)</f>
        <v/>
      </c>
      <c r="F143">
        <f>E_sh*(OCP_E/D143 - 1)</f>
        <v/>
      </c>
      <c r="G143">
        <f>(preF_FD + E143 + F143 - preF_opts + J142 + K142 + F_primary/B143)/(1-B110)</f>
        <v/>
      </c>
      <c r="H143">
        <f>MAX(0, B110*G143 - preF_opts)</f>
        <v/>
      </c>
      <c r="I143">
        <f>preF_FD + E143 + F143 + H143</f>
        <v/>
      </c>
      <c r="J143">
        <f>NA_P/MIN(NA_cap/(I143+K142), (1-NA_disc)*B143)</f>
        <v/>
      </c>
      <c r="K143">
        <f>NB_P/MIN(NB_cap/(I143+J143), (1-NB_disc)*B143)</f>
        <v/>
      </c>
      <c r="L143">
        <f>F_primary/B143</f>
        <v/>
      </c>
      <c r="M143">
        <f>I143+J143+K143</f>
        <v/>
      </c>
      <c r="N143">
        <f>D110/M143</f>
        <v/>
      </c>
      <c r="O143">
        <f>IF(Y142*L143 &gt; F_primary, 1, 0)</f>
        <v/>
      </c>
      <c r="P143">
        <f>IF(Y142*(E_sh + F143) &gt; E_inv, 1, 0)</f>
        <v/>
      </c>
      <c r="Q143">
        <f>IF(Y142*(D_sh + E143) &gt; D_inv, 1, 0)</f>
        <v/>
      </c>
      <c r="R143">
        <f>IF(Y142*C_sh &gt; C_inv, 1, 0)</f>
        <v/>
      </c>
      <c r="S143">
        <f>IF(Y142*B_sh &gt; B_inv, 1, 0)</f>
        <v/>
      </c>
      <c r="T143">
        <f>IF(Y142*A_sh &gt; A_inv, 1, 0)</f>
        <v/>
      </c>
      <c r="U143">
        <f>IF(Y142*seed_sh &gt; seed_inv, 1, 0)</f>
        <v/>
      </c>
      <c r="V143">
        <f>(1-O143)*F_primary+(1-P143)*E_inv+(1-Q143)*D_inv+(1-R143)*C_inv+(1-S143)*B_inv+(1-T143)*A_inv+(1-U143)*seed_inv</f>
        <v/>
      </c>
      <c r="W143">
        <f>MAX(0, sens_exit - V143)</f>
        <v/>
      </c>
      <c r="X143">
        <f>F1_sh+F2_sh+F3_sh+RSA_sh+J143+K143+O143*L143+P143*(E_sh + F143)+Q143*(D_sh + E143)+R143*C_sh+S143*B_sh+T143*A_sh+U143*seed_sh</f>
        <v/>
      </c>
      <c r="Y143">
        <f>(W143 + preF_opts_iss*opt_strike)/(X143 + preF_opts_iss)</f>
        <v/>
      </c>
    </row>
    <row r="144">
      <c r="B144">
        <f>N143</f>
        <v/>
      </c>
      <c r="C144">
        <f>OCP_D*(preF_FD + F_primary/OCP_D)/(preF_FD + F_primary/B144)</f>
        <v/>
      </c>
      <c r="D144">
        <f>OCP_E*(preF_FD + F_primary/OCP_E)/(preF_FD + F_primary/B144)</f>
        <v/>
      </c>
      <c r="E144">
        <f>D_sh*(OCP_D/C144 - 1)</f>
        <v/>
      </c>
      <c r="F144">
        <f>E_sh*(OCP_E/D144 - 1)</f>
        <v/>
      </c>
      <c r="G144">
        <f>(preF_FD + E144 + F144 - preF_opts + J143 + K143 + F_primary/B144)/(1-B110)</f>
        <v/>
      </c>
      <c r="H144">
        <f>MAX(0, B110*G144 - preF_opts)</f>
        <v/>
      </c>
      <c r="I144">
        <f>preF_FD + E144 + F144 + H144</f>
        <v/>
      </c>
      <c r="J144">
        <f>NA_P/MIN(NA_cap/(I144+K143), (1-NA_disc)*B144)</f>
        <v/>
      </c>
      <c r="K144">
        <f>NB_P/MIN(NB_cap/(I144+J144), (1-NB_disc)*B144)</f>
        <v/>
      </c>
      <c r="L144">
        <f>F_primary/B144</f>
        <v/>
      </c>
      <c r="M144">
        <f>I144+J144+K144</f>
        <v/>
      </c>
      <c r="N144">
        <f>D110/M144</f>
        <v/>
      </c>
      <c r="O144">
        <f>IF(Y143*L144 &gt; F_primary, 1, 0)</f>
        <v/>
      </c>
      <c r="P144">
        <f>IF(Y143*(E_sh + F144) &gt; E_inv, 1, 0)</f>
        <v/>
      </c>
      <c r="Q144">
        <f>IF(Y143*(D_sh + E144) &gt; D_inv, 1, 0)</f>
        <v/>
      </c>
      <c r="R144">
        <f>IF(Y143*C_sh &gt; C_inv, 1, 0)</f>
        <v/>
      </c>
      <c r="S144">
        <f>IF(Y143*B_sh &gt; B_inv, 1, 0)</f>
        <v/>
      </c>
      <c r="T144">
        <f>IF(Y143*A_sh &gt; A_inv, 1, 0)</f>
        <v/>
      </c>
      <c r="U144">
        <f>IF(Y143*seed_sh &gt; seed_inv, 1, 0)</f>
        <v/>
      </c>
      <c r="V144">
        <f>(1-O144)*F_primary+(1-P144)*E_inv+(1-Q144)*D_inv+(1-R144)*C_inv+(1-S144)*B_inv+(1-T144)*A_inv+(1-U144)*seed_inv</f>
        <v/>
      </c>
      <c r="W144">
        <f>MAX(0, sens_exit - V144)</f>
        <v/>
      </c>
      <c r="X144">
        <f>F1_sh+F2_sh+F3_sh+RSA_sh+J144+K144+O144*L144+P144*(E_sh + F144)+Q144*(D_sh + E144)+R144*C_sh+S144*B_sh+T144*A_sh+U144*seed_sh</f>
        <v/>
      </c>
      <c r="Y144">
        <f>(W144 + preF_opts_iss*opt_strike)/(X144 + preF_opts_iss)</f>
        <v/>
      </c>
    </row>
    <row r="145">
      <c r="B145">
        <f>N144</f>
        <v/>
      </c>
      <c r="C145">
        <f>OCP_D*(preF_FD + F_primary/OCP_D)/(preF_FD + F_primary/B145)</f>
        <v/>
      </c>
      <c r="D145">
        <f>OCP_E*(preF_FD + F_primary/OCP_E)/(preF_FD + F_primary/B145)</f>
        <v/>
      </c>
      <c r="E145">
        <f>D_sh*(OCP_D/C145 - 1)</f>
        <v/>
      </c>
      <c r="F145">
        <f>E_sh*(OCP_E/D145 - 1)</f>
        <v/>
      </c>
      <c r="G145">
        <f>(preF_FD + E145 + F145 - preF_opts + J144 + K144 + F_primary/B145)/(1-B110)</f>
        <v/>
      </c>
      <c r="H145">
        <f>MAX(0, B110*G145 - preF_opts)</f>
        <v/>
      </c>
      <c r="I145">
        <f>preF_FD + E145 + F145 + H145</f>
        <v/>
      </c>
      <c r="J145">
        <f>NA_P/MIN(NA_cap/(I145+K144), (1-NA_disc)*B145)</f>
        <v/>
      </c>
      <c r="K145">
        <f>NB_P/MIN(NB_cap/(I145+J145), (1-NB_disc)*B145)</f>
        <v/>
      </c>
      <c r="L145">
        <f>F_primary/B145</f>
        <v/>
      </c>
      <c r="M145">
        <f>I145+J145+K145</f>
        <v/>
      </c>
      <c r="N145">
        <f>D110/M145</f>
        <v/>
      </c>
      <c r="O145">
        <f>IF(Y144*L145 &gt; F_primary, 1, 0)</f>
        <v/>
      </c>
      <c r="P145">
        <f>IF(Y144*(E_sh + F145) &gt; E_inv, 1, 0)</f>
        <v/>
      </c>
      <c r="Q145">
        <f>IF(Y144*(D_sh + E145) &gt; D_inv, 1, 0)</f>
        <v/>
      </c>
      <c r="R145">
        <f>IF(Y144*C_sh &gt; C_inv, 1, 0)</f>
        <v/>
      </c>
      <c r="S145">
        <f>IF(Y144*B_sh &gt; B_inv, 1, 0)</f>
        <v/>
      </c>
      <c r="T145">
        <f>IF(Y144*A_sh &gt; A_inv, 1, 0)</f>
        <v/>
      </c>
      <c r="U145">
        <f>IF(Y144*seed_sh &gt; seed_inv, 1, 0)</f>
        <v/>
      </c>
      <c r="V145">
        <f>(1-O145)*F_primary+(1-P145)*E_inv+(1-Q145)*D_inv+(1-R145)*C_inv+(1-S145)*B_inv+(1-T145)*A_inv+(1-U145)*seed_inv</f>
        <v/>
      </c>
      <c r="W145">
        <f>MAX(0, sens_exit - V145)</f>
        <v/>
      </c>
      <c r="X145">
        <f>F1_sh+F2_sh+F3_sh+RSA_sh+J145+K145+O145*L145+P145*(E_sh + F145)+Q145*(D_sh + E145)+R145*C_sh+S145*B_sh+T145*A_sh+U145*seed_sh</f>
        <v/>
      </c>
      <c r="Y145">
        <f>(W145 + preF_opts_iss*opt_strike)/(X145 + preF_opts_iss)</f>
        <v/>
      </c>
    </row>
    <row r="146">
      <c r="B146">
        <f>N145</f>
        <v/>
      </c>
      <c r="C146">
        <f>OCP_D*(preF_FD + F_primary/OCP_D)/(preF_FD + F_primary/B146)</f>
        <v/>
      </c>
      <c r="D146">
        <f>OCP_E*(preF_FD + F_primary/OCP_E)/(preF_FD + F_primary/B146)</f>
        <v/>
      </c>
      <c r="E146">
        <f>D_sh*(OCP_D/C146 - 1)</f>
        <v/>
      </c>
      <c r="F146">
        <f>E_sh*(OCP_E/D146 - 1)</f>
        <v/>
      </c>
      <c r="G146">
        <f>(preF_FD + E146 + F146 - preF_opts + J145 + K145 + F_primary/B146)/(1-B110)</f>
        <v/>
      </c>
      <c r="H146">
        <f>MAX(0, B110*G146 - preF_opts)</f>
        <v/>
      </c>
      <c r="I146">
        <f>preF_FD + E146 + F146 + H146</f>
        <v/>
      </c>
      <c r="J146">
        <f>NA_P/MIN(NA_cap/(I146+K145), (1-NA_disc)*B146)</f>
        <v/>
      </c>
      <c r="K146">
        <f>NB_P/MIN(NB_cap/(I146+J146), (1-NB_disc)*B146)</f>
        <v/>
      </c>
      <c r="L146">
        <f>F_primary/B146</f>
        <v/>
      </c>
      <c r="M146">
        <f>I146+J146+K146</f>
        <v/>
      </c>
      <c r="N146">
        <f>D110/M146</f>
        <v/>
      </c>
      <c r="O146">
        <f>IF(Y145*L146 &gt; F_primary, 1, 0)</f>
        <v/>
      </c>
      <c r="P146">
        <f>IF(Y145*(E_sh + F146) &gt; E_inv, 1, 0)</f>
        <v/>
      </c>
      <c r="Q146">
        <f>IF(Y145*(D_sh + E146) &gt; D_inv, 1, 0)</f>
        <v/>
      </c>
      <c r="R146">
        <f>IF(Y145*C_sh &gt; C_inv, 1, 0)</f>
        <v/>
      </c>
      <c r="S146">
        <f>IF(Y145*B_sh &gt; B_inv, 1, 0)</f>
        <v/>
      </c>
      <c r="T146">
        <f>IF(Y145*A_sh &gt; A_inv, 1, 0)</f>
        <v/>
      </c>
      <c r="U146">
        <f>IF(Y145*seed_sh &gt; seed_inv, 1, 0)</f>
        <v/>
      </c>
      <c r="V146">
        <f>(1-O146)*F_primary+(1-P146)*E_inv+(1-Q146)*D_inv+(1-R146)*C_inv+(1-S146)*B_inv+(1-T146)*A_inv+(1-U146)*seed_inv</f>
        <v/>
      </c>
      <c r="W146">
        <f>MAX(0, sens_exit - V146)</f>
        <v/>
      </c>
      <c r="X146">
        <f>F1_sh+F2_sh+F3_sh+RSA_sh+J146+K146+O146*L146+P146*(E_sh + F146)+Q146*(D_sh + E146)+R146*C_sh+S146*B_sh+T146*A_sh+U146*seed_sh</f>
        <v/>
      </c>
      <c r="Y146">
        <f>(W146 + preF_opts_iss*opt_strike)/(X146 + preF_opts_iss)</f>
        <v/>
      </c>
    </row>
    <row r="147">
      <c r="B147">
        <f>N146</f>
        <v/>
      </c>
      <c r="C147">
        <f>OCP_D*(preF_FD + F_primary/OCP_D)/(preF_FD + F_primary/B147)</f>
        <v/>
      </c>
      <c r="D147">
        <f>OCP_E*(preF_FD + F_primary/OCP_E)/(preF_FD + F_primary/B147)</f>
        <v/>
      </c>
      <c r="E147">
        <f>D_sh*(OCP_D/C147 - 1)</f>
        <v/>
      </c>
      <c r="F147">
        <f>E_sh*(OCP_E/D147 - 1)</f>
        <v/>
      </c>
      <c r="G147">
        <f>(preF_FD + E147 + F147 - preF_opts + J146 + K146 + F_primary/B147)/(1-B110)</f>
        <v/>
      </c>
      <c r="H147">
        <f>MAX(0, B110*G147 - preF_opts)</f>
        <v/>
      </c>
      <c r="I147">
        <f>preF_FD + E147 + F147 + H147</f>
        <v/>
      </c>
      <c r="J147">
        <f>NA_P/MIN(NA_cap/(I147+K146), (1-NA_disc)*B147)</f>
        <v/>
      </c>
      <c r="K147">
        <f>NB_P/MIN(NB_cap/(I147+J147), (1-NB_disc)*B147)</f>
        <v/>
      </c>
      <c r="L147">
        <f>F_primary/B147</f>
        <v/>
      </c>
      <c r="M147">
        <f>I147+J147+K147</f>
        <v/>
      </c>
      <c r="N147">
        <f>D110/M147</f>
        <v/>
      </c>
      <c r="O147">
        <f>IF(Y146*L147 &gt; F_primary, 1, 0)</f>
        <v/>
      </c>
      <c r="P147">
        <f>IF(Y146*(E_sh + F147) &gt; E_inv, 1, 0)</f>
        <v/>
      </c>
      <c r="Q147">
        <f>IF(Y146*(D_sh + E147) &gt; D_inv, 1, 0)</f>
        <v/>
      </c>
      <c r="R147">
        <f>IF(Y146*C_sh &gt; C_inv, 1, 0)</f>
        <v/>
      </c>
      <c r="S147">
        <f>IF(Y146*B_sh &gt; B_inv, 1, 0)</f>
        <v/>
      </c>
      <c r="T147">
        <f>IF(Y146*A_sh &gt; A_inv, 1, 0)</f>
        <v/>
      </c>
      <c r="U147">
        <f>IF(Y146*seed_sh &gt; seed_inv, 1, 0)</f>
        <v/>
      </c>
      <c r="V147">
        <f>(1-O147)*F_primary+(1-P147)*E_inv+(1-Q147)*D_inv+(1-R147)*C_inv+(1-S147)*B_inv+(1-T147)*A_inv+(1-U147)*seed_inv</f>
        <v/>
      </c>
      <c r="W147">
        <f>MAX(0, sens_exit - V147)</f>
        <v/>
      </c>
      <c r="X147">
        <f>F1_sh+F2_sh+F3_sh+RSA_sh+J147+K147+O147*L147+P147*(E_sh + F147)+Q147*(D_sh + E147)+R147*C_sh+S147*B_sh+T147*A_sh+U147*seed_sh</f>
        <v/>
      </c>
      <c r="Y147">
        <f>(W147 + preF_opts_iss*opt_strike)/(X147 + preF_opts_iss)</f>
        <v/>
      </c>
    </row>
    <row r="148">
      <c r="B148">
        <f>N147</f>
        <v/>
      </c>
      <c r="C148">
        <f>OCP_D*(preF_FD + F_primary/OCP_D)/(preF_FD + F_primary/B148)</f>
        <v/>
      </c>
      <c r="D148">
        <f>OCP_E*(preF_FD + F_primary/OCP_E)/(preF_FD + F_primary/B148)</f>
        <v/>
      </c>
      <c r="E148">
        <f>D_sh*(OCP_D/C148 - 1)</f>
        <v/>
      </c>
      <c r="F148">
        <f>E_sh*(OCP_E/D148 - 1)</f>
        <v/>
      </c>
      <c r="G148">
        <f>(preF_FD + E148 + F148 - preF_opts + J147 + K147 + F_primary/B148)/(1-B110)</f>
        <v/>
      </c>
      <c r="H148">
        <f>MAX(0, B110*G148 - preF_opts)</f>
        <v/>
      </c>
      <c r="I148">
        <f>preF_FD + E148 + F148 + H148</f>
        <v/>
      </c>
      <c r="J148">
        <f>NA_P/MIN(NA_cap/(I148+K147), (1-NA_disc)*B148)</f>
        <v/>
      </c>
      <c r="K148">
        <f>NB_P/MIN(NB_cap/(I148+J148), (1-NB_disc)*B148)</f>
        <v/>
      </c>
      <c r="L148">
        <f>F_primary/B148</f>
        <v/>
      </c>
      <c r="M148">
        <f>I148+J148+K148</f>
        <v/>
      </c>
      <c r="N148">
        <f>D110/M148</f>
        <v/>
      </c>
      <c r="O148">
        <f>IF(Y147*L148 &gt; F_primary, 1, 0)</f>
        <v/>
      </c>
      <c r="P148">
        <f>IF(Y147*(E_sh + F148) &gt; E_inv, 1, 0)</f>
        <v/>
      </c>
      <c r="Q148">
        <f>IF(Y147*(D_sh + E148) &gt; D_inv, 1, 0)</f>
        <v/>
      </c>
      <c r="R148">
        <f>IF(Y147*C_sh &gt; C_inv, 1, 0)</f>
        <v/>
      </c>
      <c r="S148">
        <f>IF(Y147*B_sh &gt; B_inv, 1, 0)</f>
        <v/>
      </c>
      <c r="T148">
        <f>IF(Y147*A_sh &gt; A_inv, 1, 0)</f>
        <v/>
      </c>
      <c r="U148">
        <f>IF(Y147*seed_sh &gt; seed_inv, 1, 0)</f>
        <v/>
      </c>
      <c r="V148">
        <f>(1-O148)*F_primary+(1-P148)*E_inv+(1-Q148)*D_inv+(1-R148)*C_inv+(1-S148)*B_inv+(1-T148)*A_inv+(1-U148)*seed_inv</f>
        <v/>
      </c>
      <c r="W148">
        <f>MAX(0, sens_exit - V148)</f>
        <v/>
      </c>
      <c r="X148">
        <f>F1_sh+F2_sh+F3_sh+RSA_sh+J148+K148+O148*L148+P148*(E_sh + F148)+Q148*(D_sh + E148)+R148*C_sh+S148*B_sh+T148*A_sh+U148*seed_sh</f>
        <v/>
      </c>
      <c r="Y148">
        <f>(W148 + preF_opts_iss*opt_strike)/(X148 + preF_opts_iss)</f>
        <v/>
      </c>
    </row>
    <row r="149">
      <c r="A149" s="6" t="inlineStr">
        <is>
          <t>--- Scenario 4: ESOP=sens_e_md, Pre-money=sens_p_lo ---</t>
        </is>
      </c>
    </row>
    <row r="150">
      <c r="A150" s="6" t="inlineStr">
        <is>
          <t>ESOP</t>
        </is>
      </c>
      <c r="B150">
        <f>sens_e_md</f>
        <v/>
      </c>
      <c r="C150" s="6" t="inlineStr">
        <is>
          <t>Pre-money</t>
        </is>
      </c>
      <c r="D150">
        <f>sens_p_lo</f>
        <v/>
      </c>
      <c r="E150" s="6" t="inlineStr">
        <is>
          <t>F_PPS</t>
        </is>
      </c>
      <c r="F150">
        <f>N188</f>
        <v/>
      </c>
      <c r="G150" s="6" t="inlineStr">
        <is>
          <t>T_F</t>
        </is>
      </c>
      <c r="H150">
        <f>I188+J188+K188+L188</f>
        <v/>
      </c>
      <c r="I150" s="6" t="inlineStr">
        <is>
          <t>NA_sh</t>
        </is>
      </c>
      <c r="J150">
        <f>J188</f>
        <v/>
      </c>
      <c r="K150" s="6" t="inlineStr">
        <is>
          <t>NB_sh</t>
        </is>
      </c>
      <c r="L150">
        <f>K188</f>
        <v/>
      </c>
      <c r="M150" s="6" t="inlineStr">
        <is>
          <t>NA_branch</t>
        </is>
      </c>
      <c r="N150">
        <f>IF(NA_cap/(I188+K188) &lt; (1-NA_disc)*N188, "cap", "discount")</f>
        <v/>
      </c>
      <c r="O150" s="6" t="inlineStr">
        <is>
          <t>NB_branch</t>
        </is>
      </c>
      <c r="P150">
        <f>IF(NB_cap/(I188+J188) &lt; (1-NB_disc)*N188, "cap", "discount")</f>
        <v/>
      </c>
    </row>
    <row r="151">
      <c r="A151" s="6" t="inlineStr">
        <is>
          <t>our_sh</t>
        </is>
      </c>
      <c r="B151">
        <f>our_check/F150</f>
        <v/>
      </c>
      <c r="C151" s="6" t="inlineStr">
        <is>
          <t>own%</t>
        </is>
      </c>
      <c r="D151" s="5">
        <f>B151/H150</f>
        <v/>
      </c>
      <c r="E151" s="6" t="inlineStr">
        <is>
          <t>F_election</t>
        </is>
      </c>
      <c r="F151">
        <f>IF(Y188*L188 &gt; F_primary, "convert", "preference")</f>
        <v/>
      </c>
      <c r="G151" s="6" t="inlineStr">
        <is>
          <t>F_payout</t>
        </is>
      </c>
      <c r="H151" s="8">
        <f>IF(F151="convert", Y188*L188, F_primary)</f>
        <v/>
      </c>
      <c r="I151" s="6" t="inlineStr">
        <is>
          <t>our_$</t>
        </is>
      </c>
      <c r="J151" s="8">
        <f>H151*our_check/F_primary</f>
        <v/>
      </c>
    </row>
    <row r="153">
      <c r="A153" s="6" t="inlineStr">
        <is>
          <t>iter</t>
        </is>
      </c>
      <c r="B153" s="6" t="inlineStr">
        <is>
          <t>F_PPS_in</t>
        </is>
      </c>
      <c r="C153" s="6" t="inlineStr">
        <is>
          <t>NCP_D</t>
        </is>
      </c>
      <c r="D153" s="6" t="inlineStr">
        <is>
          <t>NCP_E</t>
        </is>
      </c>
      <c r="E153" s="6" t="inlineStr">
        <is>
          <t>extras_D</t>
        </is>
      </c>
      <c r="F153" s="6" t="inlineStr">
        <is>
          <t>extras_E</t>
        </is>
      </c>
      <c r="G153" s="6" t="inlineStr">
        <is>
          <t>T_F</t>
        </is>
      </c>
      <c r="H153" s="6" t="inlineStr">
        <is>
          <t>topup</t>
        </is>
      </c>
      <c r="I153" s="6" t="inlineStr">
        <is>
          <t>preFD_nn</t>
        </is>
      </c>
      <c r="J153" s="6" t="inlineStr">
        <is>
          <t>NA_sh</t>
        </is>
      </c>
      <c r="K153" s="6" t="inlineStr">
        <is>
          <t>NB_sh</t>
        </is>
      </c>
      <c r="L153" s="6" t="inlineStr">
        <is>
          <t>F_prim_sh</t>
        </is>
      </c>
      <c r="M153" s="6" t="inlineStr">
        <is>
          <t>T_pre</t>
        </is>
      </c>
      <c r="N153" s="6" t="inlineStr">
        <is>
          <t>F_PPS_out</t>
        </is>
      </c>
      <c r="O153" s="6" t="inlineStr">
        <is>
          <t>ic_F</t>
        </is>
      </c>
      <c r="P153" s="6" t="inlineStr">
        <is>
          <t>ic_E</t>
        </is>
      </c>
      <c r="Q153" s="6" t="inlineStr">
        <is>
          <t>ic_D</t>
        </is>
      </c>
      <c r="R153" s="6" t="inlineStr">
        <is>
          <t>ic_C</t>
        </is>
      </c>
      <c r="S153" s="6" t="inlineStr">
        <is>
          <t>ic_B</t>
        </is>
      </c>
      <c r="T153" s="6" t="inlineStr">
        <is>
          <t>ic_A</t>
        </is>
      </c>
      <c r="U153" s="6" t="inlineStr">
        <is>
          <t>ic_Seed</t>
        </is>
      </c>
      <c r="V153" s="6" t="inlineStr">
        <is>
          <t>prefs_paid</t>
        </is>
      </c>
      <c r="W153" s="6" t="inlineStr">
        <is>
          <t>residual</t>
        </is>
      </c>
      <c r="X153" s="6" t="inlineStr">
        <is>
          <t>cv_shares</t>
        </is>
      </c>
      <c r="Y153" s="6" t="inlineStr">
        <is>
          <t>PPS_2B</t>
        </is>
      </c>
    </row>
    <row r="154">
      <c r="B154">
        <f>D150/preF_FD</f>
        <v/>
      </c>
      <c r="C154">
        <f>OCP_D*(preF_FD + F_primary/OCP_D)/(preF_FD + F_primary/B154)</f>
        <v/>
      </c>
      <c r="D154">
        <f>OCP_E*(preF_FD + F_primary/OCP_E)/(preF_FD + F_primary/B154)</f>
        <v/>
      </c>
      <c r="E154">
        <f>D_sh*(OCP_D/C154 - 1)</f>
        <v/>
      </c>
      <c r="F154">
        <f>E_sh*(OCP_E/D154 - 1)</f>
        <v/>
      </c>
      <c r="G154">
        <f>(preF_FD + E154 + F154 - preF_opts + 0 + 0 + F_primary/B154)/(1-B150)</f>
        <v/>
      </c>
      <c r="H154">
        <f>MAX(0, B150*G154 - preF_opts)</f>
        <v/>
      </c>
      <c r="I154">
        <f>preF_FD + E154 + F154 + H154</f>
        <v/>
      </c>
      <c r="J154">
        <f>NA_P/MIN(NA_cap/(I154+0), (1-NA_disc)*B154)</f>
        <v/>
      </c>
      <c r="K154">
        <f>NB_P/MIN(NB_cap/(I154+J154), (1-NB_disc)*B154)</f>
        <v/>
      </c>
      <c r="L154">
        <f>F_primary/B154</f>
        <v/>
      </c>
      <c r="M154">
        <f>I154+J154+K154</f>
        <v/>
      </c>
      <c r="N154">
        <f>D150/M154</f>
        <v/>
      </c>
      <c r="O154">
        <f>IF(0*L154 &gt; F_primary, 1, 0)</f>
        <v/>
      </c>
      <c r="P154">
        <f>IF(0*(E_sh + F154) &gt; E_inv, 1, 0)</f>
        <v/>
      </c>
      <c r="Q154">
        <f>IF(0*(D_sh + E154) &gt; D_inv, 1, 0)</f>
        <v/>
      </c>
      <c r="R154">
        <f>IF(0*C_sh &gt; C_inv, 1, 0)</f>
        <v/>
      </c>
      <c r="S154">
        <f>IF(0*B_sh &gt; B_inv, 1, 0)</f>
        <v/>
      </c>
      <c r="T154">
        <f>IF(0*A_sh &gt; A_inv, 1, 0)</f>
        <v/>
      </c>
      <c r="U154">
        <f>IF(0*seed_sh &gt; seed_inv, 1, 0)</f>
        <v/>
      </c>
      <c r="V154">
        <f>(1-O154)*F_primary+(1-P154)*E_inv+(1-Q154)*D_inv+(1-R154)*C_inv+(1-S154)*B_inv+(1-T154)*A_inv+(1-U154)*seed_inv</f>
        <v/>
      </c>
      <c r="W154">
        <f>MAX(0, sens_exit - V154)</f>
        <v/>
      </c>
      <c r="X154">
        <f>F1_sh+F2_sh+F3_sh+RSA_sh+J154+K154+O154*L154+P154*(E_sh + F154)+Q154*(D_sh + E154)+R154*C_sh+S154*B_sh+T154*A_sh+U154*seed_sh</f>
        <v/>
      </c>
      <c r="Y154">
        <f>(W154 + preF_opts_iss*opt_strike)/(X154 + preF_opts_iss)</f>
        <v/>
      </c>
    </row>
    <row r="155">
      <c r="B155">
        <f>N154</f>
        <v/>
      </c>
      <c r="C155">
        <f>OCP_D*(preF_FD + F_primary/OCP_D)/(preF_FD + F_primary/B155)</f>
        <v/>
      </c>
      <c r="D155">
        <f>OCP_E*(preF_FD + F_primary/OCP_E)/(preF_FD + F_primary/B155)</f>
        <v/>
      </c>
      <c r="E155">
        <f>D_sh*(OCP_D/C155 - 1)</f>
        <v/>
      </c>
      <c r="F155">
        <f>E_sh*(OCP_E/D155 - 1)</f>
        <v/>
      </c>
      <c r="G155">
        <f>(preF_FD + E155 + F155 - preF_opts + J154 + K154 + F_primary/B155)/(1-B150)</f>
        <v/>
      </c>
      <c r="H155">
        <f>MAX(0, B150*G155 - preF_opts)</f>
        <v/>
      </c>
      <c r="I155">
        <f>preF_FD + E155 + F155 + H155</f>
        <v/>
      </c>
      <c r="J155">
        <f>NA_P/MIN(NA_cap/(I155+K154), (1-NA_disc)*B155)</f>
        <v/>
      </c>
      <c r="K155">
        <f>NB_P/MIN(NB_cap/(I155+J155), (1-NB_disc)*B155)</f>
        <v/>
      </c>
      <c r="L155">
        <f>F_primary/B155</f>
        <v/>
      </c>
      <c r="M155">
        <f>I155+J155+K155</f>
        <v/>
      </c>
      <c r="N155">
        <f>D150/M155</f>
        <v/>
      </c>
      <c r="O155">
        <f>IF(Y154*L155 &gt; F_primary, 1, 0)</f>
        <v/>
      </c>
      <c r="P155">
        <f>IF(Y154*(E_sh + F155) &gt; E_inv, 1, 0)</f>
        <v/>
      </c>
      <c r="Q155">
        <f>IF(Y154*(D_sh + E155) &gt; D_inv, 1, 0)</f>
        <v/>
      </c>
      <c r="R155">
        <f>IF(Y154*C_sh &gt; C_inv, 1, 0)</f>
        <v/>
      </c>
      <c r="S155">
        <f>IF(Y154*B_sh &gt; B_inv, 1, 0)</f>
        <v/>
      </c>
      <c r="T155">
        <f>IF(Y154*A_sh &gt; A_inv, 1, 0)</f>
        <v/>
      </c>
      <c r="U155">
        <f>IF(Y154*seed_sh &gt; seed_inv, 1, 0)</f>
        <v/>
      </c>
      <c r="V155">
        <f>(1-O155)*F_primary+(1-P155)*E_inv+(1-Q155)*D_inv+(1-R155)*C_inv+(1-S155)*B_inv+(1-T155)*A_inv+(1-U155)*seed_inv</f>
        <v/>
      </c>
      <c r="W155">
        <f>MAX(0, sens_exit - V155)</f>
        <v/>
      </c>
      <c r="X155">
        <f>F1_sh+F2_sh+F3_sh+RSA_sh+J155+K155+O155*L155+P155*(E_sh + F155)+Q155*(D_sh + E155)+R155*C_sh+S155*B_sh+T155*A_sh+U155*seed_sh</f>
        <v/>
      </c>
      <c r="Y155">
        <f>(W155 + preF_opts_iss*opt_strike)/(X155 + preF_opts_iss)</f>
        <v/>
      </c>
    </row>
    <row r="156">
      <c r="B156">
        <f>N155</f>
        <v/>
      </c>
      <c r="C156">
        <f>OCP_D*(preF_FD + F_primary/OCP_D)/(preF_FD + F_primary/B156)</f>
        <v/>
      </c>
      <c r="D156">
        <f>OCP_E*(preF_FD + F_primary/OCP_E)/(preF_FD + F_primary/B156)</f>
        <v/>
      </c>
      <c r="E156">
        <f>D_sh*(OCP_D/C156 - 1)</f>
        <v/>
      </c>
      <c r="F156">
        <f>E_sh*(OCP_E/D156 - 1)</f>
        <v/>
      </c>
      <c r="G156">
        <f>(preF_FD + E156 + F156 - preF_opts + J155 + K155 + F_primary/B156)/(1-B150)</f>
        <v/>
      </c>
      <c r="H156">
        <f>MAX(0, B150*G156 - preF_opts)</f>
        <v/>
      </c>
      <c r="I156">
        <f>preF_FD + E156 + F156 + H156</f>
        <v/>
      </c>
      <c r="J156">
        <f>NA_P/MIN(NA_cap/(I156+K155), (1-NA_disc)*B156)</f>
        <v/>
      </c>
      <c r="K156">
        <f>NB_P/MIN(NB_cap/(I156+J156), (1-NB_disc)*B156)</f>
        <v/>
      </c>
      <c r="L156">
        <f>F_primary/B156</f>
        <v/>
      </c>
      <c r="M156">
        <f>I156+J156+K156</f>
        <v/>
      </c>
      <c r="N156">
        <f>D150/M156</f>
        <v/>
      </c>
      <c r="O156">
        <f>IF(Y155*L156 &gt; F_primary, 1, 0)</f>
        <v/>
      </c>
      <c r="P156">
        <f>IF(Y155*(E_sh + F156) &gt; E_inv, 1, 0)</f>
        <v/>
      </c>
      <c r="Q156">
        <f>IF(Y155*(D_sh + E156) &gt; D_inv, 1, 0)</f>
        <v/>
      </c>
      <c r="R156">
        <f>IF(Y155*C_sh &gt; C_inv, 1, 0)</f>
        <v/>
      </c>
      <c r="S156">
        <f>IF(Y155*B_sh &gt; B_inv, 1, 0)</f>
        <v/>
      </c>
      <c r="T156">
        <f>IF(Y155*A_sh &gt; A_inv, 1, 0)</f>
        <v/>
      </c>
      <c r="U156">
        <f>IF(Y155*seed_sh &gt; seed_inv, 1, 0)</f>
        <v/>
      </c>
      <c r="V156">
        <f>(1-O156)*F_primary+(1-P156)*E_inv+(1-Q156)*D_inv+(1-R156)*C_inv+(1-S156)*B_inv+(1-T156)*A_inv+(1-U156)*seed_inv</f>
        <v/>
      </c>
      <c r="W156">
        <f>MAX(0, sens_exit - V156)</f>
        <v/>
      </c>
      <c r="X156">
        <f>F1_sh+F2_sh+F3_sh+RSA_sh+J156+K156+O156*L156+P156*(E_sh + F156)+Q156*(D_sh + E156)+R156*C_sh+S156*B_sh+T156*A_sh+U156*seed_sh</f>
        <v/>
      </c>
      <c r="Y156">
        <f>(W156 + preF_opts_iss*opt_strike)/(X156 + preF_opts_iss)</f>
        <v/>
      </c>
    </row>
    <row r="157">
      <c r="B157">
        <f>N156</f>
        <v/>
      </c>
      <c r="C157">
        <f>OCP_D*(preF_FD + F_primary/OCP_D)/(preF_FD + F_primary/B157)</f>
        <v/>
      </c>
      <c r="D157">
        <f>OCP_E*(preF_FD + F_primary/OCP_E)/(preF_FD + F_primary/B157)</f>
        <v/>
      </c>
      <c r="E157">
        <f>D_sh*(OCP_D/C157 - 1)</f>
        <v/>
      </c>
      <c r="F157">
        <f>E_sh*(OCP_E/D157 - 1)</f>
        <v/>
      </c>
      <c r="G157">
        <f>(preF_FD + E157 + F157 - preF_opts + J156 + K156 + F_primary/B157)/(1-B150)</f>
        <v/>
      </c>
      <c r="H157">
        <f>MAX(0, B150*G157 - preF_opts)</f>
        <v/>
      </c>
      <c r="I157">
        <f>preF_FD + E157 + F157 + H157</f>
        <v/>
      </c>
      <c r="J157">
        <f>NA_P/MIN(NA_cap/(I157+K156), (1-NA_disc)*B157)</f>
        <v/>
      </c>
      <c r="K157">
        <f>NB_P/MIN(NB_cap/(I157+J157), (1-NB_disc)*B157)</f>
        <v/>
      </c>
      <c r="L157">
        <f>F_primary/B157</f>
        <v/>
      </c>
      <c r="M157">
        <f>I157+J157+K157</f>
        <v/>
      </c>
      <c r="N157">
        <f>D150/M157</f>
        <v/>
      </c>
      <c r="O157">
        <f>IF(Y156*L157 &gt; F_primary, 1, 0)</f>
        <v/>
      </c>
      <c r="P157">
        <f>IF(Y156*(E_sh + F157) &gt; E_inv, 1, 0)</f>
        <v/>
      </c>
      <c r="Q157">
        <f>IF(Y156*(D_sh + E157) &gt; D_inv, 1, 0)</f>
        <v/>
      </c>
      <c r="R157">
        <f>IF(Y156*C_sh &gt; C_inv, 1, 0)</f>
        <v/>
      </c>
      <c r="S157">
        <f>IF(Y156*B_sh &gt; B_inv, 1, 0)</f>
        <v/>
      </c>
      <c r="T157">
        <f>IF(Y156*A_sh &gt; A_inv, 1, 0)</f>
        <v/>
      </c>
      <c r="U157">
        <f>IF(Y156*seed_sh &gt; seed_inv, 1, 0)</f>
        <v/>
      </c>
      <c r="V157">
        <f>(1-O157)*F_primary+(1-P157)*E_inv+(1-Q157)*D_inv+(1-R157)*C_inv+(1-S157)*B_inv+(1-T157)*A_inv+(1-U157)*seed_inv</f>
        <v/>
      </c>
      <c r="W157">
        <f>MAX(0, sens_exit - V157)</f>
        <v/>
      </c>
      <c r="X157">
        <f>F1_sh+F2_sh+F3_sh+RSA_sh+J157+K157+O157*L157+P157*(E_sh + F157)+Q157*(D_sh + E157)+R157*C_sh+S157*B_sh+T157*A_sh+U157*seed_sh</f>
        <v/>
      </c>
      <c r="Y157">
        <f>(W157 + preF_opts_iss*opt_strike)/(X157 + preF_opts_iss)</f>
        <v/>
      </c>
    </row>
    <row r="158">
      <c r="B158">
        <f>N157</f>
        <v/>
      </c>
      <c r="C158">
        <f>OCP_D*(preF_FD + F_primary/OCP_D)/(preF_FD + F_primary/B158)</f>
        <v/>
      </c>
      <c r="D158">
        <f>OCP_E*(preF_FD + F_primary/OCP_E)/(preF_FD + F_primary/B158)</f>
        <v/>
      </c>
      <c r="E158">
        <f>D_sh*(OCP_D/C158 - 1)</f>
        <v/>
      </c>
      <c r="F158">
        <f>E_sh*(OCP_E/D158 - 1)</f>
        <v/>
      </c>
      <c r="G158">
        <f>(preF_FD + E158 + F158 - preF_opts + J157 + K157 + F_primary/B158)/(1-B150)</f>
        <v/>
      </c>
      <c r="H158">
        <f>MAX(0, B150*G158 - preF_opts)</f>
        <v/>
      </c>
      <c r="I158">
        <f>preF_FD + E158 + F158 + H158</f>
        <v/>
      </c>
      <c r="J158">
        <f>NA_P/MIN(NA_cap/(I158+K157), (1-NA_disc)*B158)</f>
        <v/>
      </c>
      <c r="K158">
        <f>NB_P/MIN(NB_cap/(I158+J158), (1-NB_disc)*B158)</f>
        <v/>
      </c>
      <c r="L158">
        <f>F_primary/B158</f>
        <v/>
      </c>
      <c r="M158">
        <f>I158+J158+K158</f>
        <v/>
      </c>
      <c r="N158">
        <f>D150/M158</f>
        <v/>
      </c>
      <c r="O158">
        <f>IF(Y157*L158 &gt; F_primary, 1, 0)</f>
        <v/>
      </c>
      <c r="P158">
        <f>IF(Y157*(E_sh + F158) &gt; E_inv, 1, 0)</f>
        <v/>
      </c>
      <c r="Q158">
        <f>IF(Y157*(D_sh + E158) &gt; D_inv, 1, 0)</f>
        <v/>
      </c>
      <c r="R158">
        <f>IF(Y157*C_sh &gt; C_inv, 1, 0)</f>
        <v/>
      </c>
      <c r="S158">
        <f>IF(Y157*B_sh &gt; B_inv, 1, 0)</f>
        <v/>
      </c>
      <c r="T158">
        <f>IF(Y157*A_sh &gt; A_inv, 1, 0)</f>
        <v/>
      </c>
      <c r="U158">
        <f>IF(Y157*seed_sh &gt; seed_inv, 1, 0)</f>
        <v/>
      </c>
      <c r="V158">
        <f>(1-O158)*F_primary+(1-P158)*E_inv+(1-Q158)*D_inv+(1-R158)*C_inv+(1-S158)*B_inv+(1-T158)*A_inv+(1-U158)*seed_inv</f>
        <v/>
      </c>
      <c r="W158">
        <f>MAX(0, sens_exit - V158)</f>
        <v/>
      </c>
      <c r="X158">
        <f>F1_sh+F2_sh+F3_sh+RSA_sh+J158+K158+O158*L158+P158*(E_sh + F158)+Q158*(D_sh + E158)+R158*C_sh+S158*B_sh+T158*A_sh+U158*seed_sh</f>
        <v/>
      </c>
      <c r="Y158">
        <f>(W158 + preF_opts_iss*opt_strike)/(X158 + preF_opts_iss)</f>
        <v/>
      </c>
    </row>
    <row r="159">
      <c r="B159">
        <f>N158</f>
        <v/>
      </c>
      <c r="C159">
        <f>OCP_D*(preF_FD + F_primary/OCP_D)/(preF_FD + F_primary/B159)</f>
        <v/>
      </c>
      <c r="D159">
        <f>OCP_E*(preF_FD + F_primary/OCP_E)/(preF_FD + F_primary/B159)</f>
        <v/>
      </c>
      <c r="E159">
        <f>D_sh*(OCP_D/C159 - 1)</f>
        <v/>
      </c>
      <c r="F159">
        <f>E_sh*(OCP_E/D159 - 1)</f>
        <v/>
      </c>
      <c r="G159">
        <f>(preF_FD + E159 + F159 - preF_opts + J158 + K158 + F_primary/B159)/(1-B150)</f>
        <v/>
      </c>
      <c r="H159">
        <f>MAX(0, B150*G159 - preF_opts)</f>
        <v/>
      </c>
      <c r="I159">
        <f>preF_FD + E159 + F159 + H159</f>
        <v/>
      </c>
      <c r="J159">
        <f>NA_P/MIN(NA_cap/(I159+K158), (1-NA_disc)*B159)</f>
        <v/>
      </c>
      <c r="K159">
        <f>NB_P/MIN(NB_cap/(I159+J159), (1-NB_disc)*B159)</f>
        <v/>
      </c>
      <c r="L159">
        <f>F_primary/B159</f>
        <v/>
      </c>
      <c r="M159">
        <f>I159+J159+K159</f>
        <v/>
      </c>
      <c r="N159">
        <f>D150/M159</f>
        <v/>
      </c>
      <c r="O159">
        <f>IF(Y158*L159 &gt; F_primary, 1, 0)</f>
        <v/>
      </c>
      <c r="P159">
        <f>IF(Y158*(E_sh + F159) &gt; E_inv, 1, 0)</f>
        <v/>
      </c>
      <c r="Q159">
        <f>IF(Y158*(D_sh + E159) &gt; D_inv, 1, 0)</f>
        <v/>
      </c>
      <c r="R159">
        <f>IF(Y158*C_sh &gt; C_inv, 1, 0)</f>
        <v/>
      </c>
      <c r="S159">
        <f>IF(Y158*B_sh &gt; B_inv, 1, 0)</f>
        <v/>
      </c>
      <c r="T159">
        <f>IF(Y158*A_sh &gt; A_inv, 1, 0)</f>
        <v/>
      </c>
      <c r="U159">
        <f>IF(Y158*seed_sh &gt; seed_inv, 1, 0)</f>
        <v/>
      </c>
      <c r="V159">
        <f>(1-O159)*F_primary+(1-P159)*E_inv+(1-Q159)*D_inv+(1-R159)*C_inv+(1-S159)*B_inv+(1-T159)*A_inv+(1-U159)*seed_inv</f>
        <v/>
      </c>
      <c r="W159">
        <f>MAX(0, sens_exit - V159)</f>
        <v/>
      </c>
      <c r="X159">
        <f>F1_sh+F2_sh+F3_sh+RSA_sh+J159+K159+O159*L159+P159*(E_sh + F159)+Q159*(D_sh + E159)+R159*C_sh+S159*B_sh+T159*A_sh+U159*seed_sh</f>
        <v/>
      </c>
      <c r="Y159">
        <f>(W159 + preF_opts_iss*opt_strike)/(X159 + preF_opts_iss)</f>
        <v/>
      </c>
    </row>
    <row r="160">
      <c r="B160">
        <f>N159</f>
        <v/>
      </c>
      <c r="C160">
        <f>OCP_D*(preF_FD + F_primary/OCP_D)/(preF_FD + F_primary/B160)</f>
        <v/>
      </c>
      <c r="D160">
        <f>OCP_E*(preF_FD + F_primary/OCP_E)/(preF_FD + F_primary/B160)</f>
        <v/>
      </c>
      <c r="E160">
        <f>D_sh*(OCP_D/C160 - 1)</f>
        <v/>
      </c>
      <c r="F160">
        <f>E_sh*(OCP_E/D160 - 1)</f>
        <v/>
      </c>
      <c r="G160">
        <f>(preF_FD + E160 + F160 - preF_opts + J159 + K159 + F_primary/B160)/(1-B150)</f>
        <v/>
      </c>
      <c r="H160">
        <f>MAX(0, B150*G160 - preF_opts)</f>
        <v/>
      </c>
      <c r="I160">
        <f>preF_FD + E160 + F160 + H160</f>
        <v/>
      </c>
      <c r="J160">
        <f>NA_P/MIN(NA_cap/(I160+K159), (1-NA_disc)*B160)</f>
        <v/>
      </c>
      <c r="K160">
        <f>NB_P/MIN(NB_cap/(I160+J160), (1-NB_disc)*B160)</f>
        <v/>
      </c>
      <c r="L160">
        <f>F_primary/B160</f>
        <v/>
      </c>
      <c r="M160">
        <f>I160+J160+K160</f>
        <v/>
      </c>
      <c r="N160">
        <f>D150/M160</f>
        <v/>
      </c>
      <c r="O160">
        <f>IF(Y159*L160 &gt; F_primary, 1, 0)</f>
        <v/>
      </c>
      <c r="P160">
        <f>IF(Y159*(E_sh + F160) &gt; E_inv, 1, 0)</f>
        <v/>
      </c>
      <c r="Q160">
        <f>IF(Y159*(D_sh + E160) &gt; D_inv, 1, 0)</f>
        <v/>
      </c>
      <c r="R160">
        <f>IF(Y159*C_sh &gt; C_inv, 1, 0)</f>
        <v/>
      </c>
      <c r="S160">
        <f>IF(Y159*B_sh &gt; B_inv, 1, 0)</f>
        <v/>
      </c>
      <c r="T160">
        <f>IF(Y159*A_sh &gt; A_inv, 1, 0)</f>
        <v/>
      </c>
      <c r="U160">
        <f>IF(Y159*seed_sh &gt; seed_inv, 1, 0)</f>
        <v/>
      </c>
      <c r="V160">
        <f>(1-O160)*F_primary+(1-P160)*E_inv+(1-Q160)*D_inv+(1-R160)*C_inv+(1-S160)*B_inv+(1-T160)*A_inv+(1-U160)*seed_inv</f>
        <v/>
      </c>
      <c r="W160">
        <f>MAX(0, sens_exit - V160)</f>
        <v/>
      </c>
      <c r="X160">
        <f>F1_sh+F2_sh+F3_sh+RSA_sh+J160+K160+O160*L160+P160*(E_sh + F160)+Q160*(D_sh + E160)+R160*C_sh+S160*B_sh+T160*A_sh+U160*seed_sh</f>
        <v/>
      </c>
      <c r="Y160">
        <f>(W160 + preF_opts_iss*opt_strike)/(X160 + preF_opts_iss)</f>
        <v/>
      </c>
    </row>
    <row r="161">
      <c r="B161">
        <f>N160</f>
        <v/>
      </c>
      <c r="C161">
        <f>OCP_D*(preF_FD + F_primary/OCP_D)/(preF_FD + F_primary/B161)</f>
        <v/>
      </c>
      <c r="D161">
        <f>OCP_E*(preF_FD + F_primary/OCP_E)/(preF_FD + F_primary/B161)</f>
        <v/>
      </c>
      <c r="E161">
        <f>D_sh*(OCP_D/C161 - 1)</f>
        <v/>
      </c>
      <c r="F161">
        <f>E_sh*(OCP_E/D161 - 1)</f>
        <v/>
      </c>
      <c r="G161">
        <f>(preF_FD + E161 + F161 - preF_opts + J160 + K160 + F_primary/B161)/(1-B150)</f>
        <v/>
      </c>
      <c r="H161">
        <f>MAX(0, B150*G161 - preF_opts)</f>
        <v/>
      </c>
      <c r="I161">
        <f>preF_FD + E161 + F161 + H161</f>
        <v/>
      </c>
      <c r="J161">
        <f>NA_P/MIN(NA_cap/(I161+K160), (1-NA_disc)*B161)</f>
        <v/>
      </c>
      <c r="K161">
        <f>NB_P/MIN(NB_cap/(I161+J161), (1-NB_disc)*B161)</f>
        <v/>
      </c>
      <c r="L161">
        <f>F_primary/B161</f>
        <v/>
      </c>
      <c r="M161">
        <f>I161+J161+K161</f>
        <v/>
      </c>
      <c r="N161">
        <f>D150/M161</f>
        <v/>
      </c>
      <c r="O161">
        <f>IF(Y160*L161 &gt; F_primary, 1, 0)</f>
        <v/>
      </c>
      <c r="P161">
        <f>IF(Y160*(E_sh + F161) &gt; E_inv, 1, 0)</f>
        <v/>
      </c>
      <c r="Q161">
        <f>IF(Y160*(D_sh + E161) &gt; D_inv, 1, 0)</f>
        <v/>
      </c>
      <c r="R161">
        <f>IF(Y160*C_sh &gt; C_inv, 1, 0)</f>
        <v/>
      </c>
      <c r="S161">
        <f>IF(Y160*B_sh &gt; B_inv, 1, 0)</f>
        <v/>
      </c>
      <c r="T161">
        <f>IF(Y160*A_sh &gt; A_inv, 1, 0)</f>
        <v/>
      </c>
      <c r="U161">
        <f>IF(Y160*seed_sh &gt; seed_inv, 1, 0)</f>
        <v/>
      </c>
      <c r="V161">
        <f>(1-O161)*F_primary+(1-P161)*E_inv+(1-Q161)*D_inv+(1-R161)*C_inv+(1-S161)*B_inv+(1-T161)*A_inv+(1-U161)*seed_inv</f>
        <v/>
      </c>
      <c r="W161">
        <f>MAX(0, sens_exit - V161)</f>
        <v/>
      </c>
      <c r="X161">
        <f>F1_sh+F2_sh+F3_sh+RSA_sh+J161+K161+O161*L161+P161*(E_sh + F161)+Q161*(D_sh + E161)+R161*C_sh+S161*B_sh+T161*A_sh+U161*seed_sh</f>
        <v/>
      </c>
      <c r="Y161">
        <f>(W161 + preF_opts_iss*opt_strike)/(X161 + preF_opts_iss)</f>
        <v/>
      </c>
    </row>
    <row r="162">
      <c r="B162">
        <f>N161</f>
        <v/>
      </c>
      <c r="C162">
        <f>OCP_D*(preF_FD + F_primary/OCP_D)/(preF_FD + F_primary/B162)</f>
        <v/>
      </c>
      <c r="D162">
        <f>OCP_E*(preF_FD + F_primary/OCP_E)/(preF_FD + F_primary/B162)</f>
        <v/>
      </c>
      <c r="E162">
        <f>D_sh*(OCP_D/C162 - 1)</f>
        <v/>
      </c>
      <c r="F162">
        <f>E_sh*(OCP_E/D162 - 1)</f>
        <v/>
      </c>
      <c r="G162">
        <f>(preF_FD + E162 + F162 - preF_opts + J161 + K161 + F_primary/B162)/(1-B150)</f>
        <v/>
      </c>
      <c r="H162">
        <f>MAX(0, B150*G162 - preF_opts)</f>
        <v/>
      </c>
      <c r="I162">
        <f>preF_FD + E162 + F162 + H162</f>
        <v/>
      </c>
      <c r="J162">
        <f>NA_P/MIN(NA_cap/(I162+K161), (1-NA_disc)*B162)</f>
        <v/>
      </c>
      <c r="K162">
        <f>NB_P/MIN(NB_cap/(I162+J162), (1-NB_disc)*B162)</f>
        <v/>
      </c>
      <c r="L162">
        <f>F_primary/B162</f>
        <v/>
      </c>
      <c r="M162">
        <f>I162+J162+K162</f>
        <v/>
      </c>
      <c r="N162">
        <f>D150/M162</f>
        <v/>
      </c>
      <c r="O162">
        <f>IF(Y161*L162 &gt; F_primary, 1, 0)</f>
        <v/>
      </c>
      <c r="P162">
        <f>IF(Y161*(E_sh + F162) &gt; E_inv, 1, 0)</f>
        <v/>
      </c>
      <c r="Q162">
        <f>IF(Y161*(D_sh + E162) &gt; D_inv, 1, 0)</f>
        <v/>
      </c>
      <c r="R162">
        <f>IF(Y161*C_sh &gt; C_inv, 1, 0)</f>
        <v/>
      </c>
      <c r="S162">
        <f>IF(Y161*B_sh &gt; B_inv, 1, 0)</f>
        <v/>
      </c>
      <c r="T162">
        <f>IF(Y161*A_sh &gt; A_inv, 1, 0)</f>
        <v/>
      </c>
      <c r="U162">
        <f>IF(Y161*seed_sh &gt; seed_inv, 1, 0)</f>
        <v/>
      </c>
      <c r="V162">
        <f>(1-O162)*F_primary+(1-P162)*E_inv+(1-Q162)*D_inv+(1-R162)*C_inv+(1-S162)*B_inv+(1-T162)*A_inv+(1-U162)*seed_inv</f>
        <v/>
      </c>
      <c r="W162">
        <f>MAX(0, sens_exit - V162)</f>
        <v/>
      </c>
      <c r="X162">
        <f>F1_sh+F2_sh+F3_sh+RSA_sh+J162+K162+O162*L162+P162*(E_sh + F162)+Q162*(D_sh + E162)+R162*C_sh+S162*B_sh+T162*A_sh+U162*seed_sh</f>
        <v/>
      </c>
      <c r="Y162">
        <f>(W162 + preF_opts_iss*opt_strike)/(X162 + preF_opts_iss)</f>
        <v/>
      </c>
    </row>
    <row r="163">
      <c r="B163">
        <f>N162</f>
        <v/>
      </c>
      <c r="C163">
        <f>OCP_D*(preF_FD + F_primary/OCP_D)/(preF_FD + F_primary/B163)</f>
        <v/>
      </c>
      <c r="D163">
        <f>OCP_E*(preF_FD + F_primary/OCP_E)/(preF_FD + F_primary/B163)</f>
        <v/>
      </c>
      <c r="E163">
        <f>D_sh*(OCP_D/C163 - 1)</f>
        <v/>
      </c>
      <c r="F163">
        <f>E_sh*(OCP_E/D163 - 1)</f>
        <v/>
      </c>
      <c r="G163">
        <f>(preF_FD + E163 + F163 - preF_opts + J162 + K162 + F_primary/B163)/(1-B150)</f>
        <v/>
      </c>
      <c r="H163">
        <f>MAX(0, B150*G163 - preF_opts)</f>
        <v/>
      </c>
      <c r="I163">
        <f>preF_FD + E163 + F163 + H163</f>
        <v/>
      </c>
      <c r="J163">
        <f>NA_P/MIN(NA_cap/(I163+K162), (1-NA_disc)*B163)</f>
        <v/>
      </c>
      <c r="K163">
        <f>NB_P/MIN(NB_cap/(I163+J163), (1-NB_disc)*B163)</f>
        <v/>
      </c>
      <c r="L163">
        <f>F_primary/B163</f>
        <v/>
      </c>
      <c r="M163">
        <f>I163+J163+K163</f>
        <v/>
      </c>
      <c r="N163">
        <f>D150/M163</f>
        <v/>
      </c>
      <c r="O163">
        <f>IF(Y162*L163 &gt; F_primary, 1, 0)</f>
        <v/>
      </c>
      <c r="P163">
        <f>IF(Y162*(E_sh + F163) &gt; E_inv, 1, 0)</f>
        <v/>
      </c>
      <c r="Q163">
        <f>IF(Y162*(D_sh + E163) &gt; D_inv, 1, 0)</f>
        <v/>
      </c>
      <c r="R163">
        <f>IF(Y162*C_sh &gt; C_inv, 1, 0)</f>
        <v/>
      </c>
      <c r="S163">
        <f>IF(Y162*B_sh &gt; B_inv, 1, 0)</f>
        <v/>
      </c>
      <c r="T163">
        <f>IF(Y162*A_sh &gt; A_inv, 1, 0)</f>
        <v/>
      </c>
      <c r="U163">
        <f>IF(Y162*seed_sh &gt; seed_inv, 1, 0)</f>
        <v/>
      </c>
      <c r="V163">
        <f>(1-O163)*F_primary+(1-P163)*E_inv+(1-Q163)*D_inv+(1-R163)*C_inv+(1-S163)*B_inv+(1-T163)*A_inv+(1-U163)*seed_inv</f>
        <v/>
      </c>
      <c r="W163">
        <f>MAX(0, sens_exit - V163)</f>
        <v/>
      </c>
      <c r="X163">
        <f>F1_sh+F2_sh+F3_sh+RSA_sh+J163+K163+O163*L163+P163*(E_sh + F163)+Q163*(D_sh + E163)+R163*C_sh+S163*B_sh+T163*A_sh+U163*seed_sh</f>
        <v/>
      </c>
      <c r="Y163">
        <f>(W163 + preF_opts_iss*opt_strike)/(X163 + preF_opts_iss)</f>
        <v/>
      </c>
    </row>
    <row r="164">
      <c r="B164">
        <f>N163</f>
        <v/>
      </c>
      <c r="C164">
        <f>OCP_D*(preF_FD + F_primary/OCP_D)/(preF_FD + F_primary/B164)</f>
        <v/>
      </c>
      <c r="D164">
        <f>OCP_E*(preF_FD + F_primary/OCP_E)/(preF_FD + F_primary/B164)</f>
        <v/>
      </c>
      <c r="E164">
        <f>D_sh*(OCP_D/C164 - 1)</f>
        <v/>
      </c>
      <c r="F164">
        <f>E_sh*(OCP_E/D164 - 1)</f>
        <v/>
      </c>
      <c r="G164">
        <f>(preF_FD + E164 + F164 - preF_opts + J163 + K163 + F_primary/B164)/(1-B150)</f>
        <v/>
      </c>
      <c r="H164">
        <f>MAX(0, B150*G164 - preF_opts)</f>
        <v/>
      </c>
      <c r="I164">
        <f>preF_FD + E164 + F164 + H164</f>
        <v/>
      </c>
      <c r="J164">
        <f>NA_P/MIN(NA_cap/(I164+K163), (1-NA_disc)*B164)</f>
        <v/>
      </c>
      <c r="K164">
        <f>NB_P/MIN(NB_cap/(I164+J164), (1-NB_disc)*B164)</f>
        <v/>
      </c>
      <c r="L164">
        <f>F_primary/B164</f>
        <v/>
      </c>
      <c r="M164">
        <f>I164+J164+K164</f>
        <v/>
      </c>
      <c r="N164">
        <f>D150/M164</f>
        <v/>
      </c>
      <c r="O164">
        <f>IF(Y163*L164 &gt; F_primary, 1, 0)</f>
        <v/>
      </c>
      <c r="P164">
        <f>IF(Y163*(E_sh + F164) &gt; E_inv, 1, 0)</f>
        <v/>
      </c>
      <c r="Q164">
        <f>IF(Y163*(D_sh + E164) &gt; D_inv, 1, 0)</f>
        <v/>
      </c>
      <c r="R164">
        <f>IF(Y163*C_sh &gt; C_inv, 1, 0)</f>
        <v/>
      </c>
      <c r="S164">
        <f>IF(Y163*B_sh &gt; B_inv, 1, 0)</f>
        <v/>
      </c>
      <c r="T164">
        <f>IF(Y163*A_sh &gt; A_inv, 1, 0)</f>
        <v/>
      </c>
      <c r="U164">
        <f>IF(Y163*seed_sh &gt; seed_inv, 1, 0)</f>
        <v/>
      </c>
      <c r="V164">
        <f>(1-O164)*F_primary+(1-P164)*E_inv+(1-Q164)*D_inv+(1-R164)*C_inv+(1-S164)*B_inv+(1-T164)*A_inv+(1-U164)*seed_inv</f>
        <v/>
      </c>
      <c r="W164">
        <f>MAX(0, sens_exit - V164)</f>
        <v/>
      </c>
      <c r="X164">
        <f>F1_sh+F2_sh+F3_sh+RSA_sh+J164+K164+O164*L164+P164*(E_sh + F164)+Q164*(D_sh + E164)+R164*C_sh+S164*B_sh+T164*A_sh+U164*seed_sh</f>
        <v/>
      </c>
      <c r="Y164">
        <f>(W164 + preF_opts_iss*opt_strike)/(X164 + preF_opts_iss)</f>
        <v/>
      </c>
    </row>
    <row r="165">
      <c r="B165">
        <f>N164</f>
        <v/>
      </c>
      <c r="C165">
        <f>OCP_D*(preF_FD + F_primary/OCP_D)/(preF_FD + F_primary/B165)</f>
        <v/>
      </c>
      <c r="D165">
        <f>OCP_E*(preF_FD + F_primary/OCP_E)/(preF_FD + F_primary/B165)</f>
        <v/>
      </c>
      <c r="E165">
        <f>D_sh*(OCP_D/C165 - 1)</f>
        <v/>
      </c>
      <c r="F165">
        <f>E_sh*(OCP_E/D165 - 1)</f>
        <v/>
      </c>
      <c r="G165">
        <f>(preF_FD + E165 + F165 - preF_opts + J164 + K164 + F_primary/B165)/(1-B150)</f>
        <v/>
      </c>
      <c r="H165">
        <f>MAX(0, B150*G165 - preF_opts)</f>
        <v/>
      </c>
      <c r="I165">
        <f>preF_FD + E165 + F165 + H165</f>
        <v/>
      </c>
      <c r="J165">
        <f>NA_P/MIN(NA_cap/(I165+K164), (1-NA_disc)*B165)</f>
        <v/>
      </c>
      <c r="K165">
        <f>NB_P/MIN(NB_cap/(I165+J165), (1-NB_disc)*B165)</f>
        <v/>
      </c>
      <c r="L165">
        <f>F_primary/B165</f>
        <v/>
      </c>
      <c r="M165">
        <f>I165+J165+K165</f>
        <v/>
      </c>
      <c r="N165">
        <f>D150/M165</f>
        <v/>
      </c>
      <c r="O165">
        <f>IF(Y164*L165 &gt; F_primary, 1, 0)</f>
        <v/>
      </c>
      <c r="P165">
        <f>IF(Y164*(E_sh + F165) &gt; E_inv, 1, 0)</f>
        <v/>
      </c>
      <c r="Q165">
        <f>IF(Y164*(D_sh + E165) &gt; D_inv, 1, 0)</f>
        <v/>
      </c>
      <c r="R165">
        <f>IF(Y164*C_sh &gt; C_inv, 1, 0)</f>
        <v/>
      </c>
      <c r="S165">
        <f>IF(Y164*B_sh &gt; B_inv, 1, 0)</f>
        <v/>
      </c>
      <c r="T165">
        <f>IF(Y164*A_sh &gt; A_inv, 1, 0)</f>
        <v/>
      </c>
      <c r="U165">
        <f>IF(Y164*seed_sh &gt; seed_inv, 1, 0)</f>
        <v/>
      </c>
      <c r="V165">
        <f>(1-O165)*F_primary+(1-P165)*E_inv+(1-Q165)*D_inv+(1-R165)*C_inv+(1-S165)*B_inv+(1-T165)*A_inv+(1-U165)*seed_inv</f>
        <v/>
      </c>
      <c r="W165">
        <f>MAX(0, sens_exit - V165)</f>
        <v/>
      </c>
      <c r="X165">
        <f>F1_sh+F2_sh+F3_sh+RSA_sh+J165+K165+O165*L165+P165*(E_sh + F165)+Q165*(D_sh + E165)+R165*C_sh+S165*B_sh+T165*A_sh+U165*seed_sh</f>
        <v/>
      </c>
      <c r="Y165">
        <f>(W165 + preF_opts_iss*opt_strike)/(X165 + preF_opts_iss)</f>
        <v/>
      </c>
    </row>
    <row r="166">
      <c r="B166">
        <f>N165</f>
        <v/>
      </c>
      <c r="C166">
        <f>OCP_D*(preF_FD + F_primary/OCP_D)/(preF_FD + F_primary/B166)</f>
        <v/>
      </c>
      <c r="D166">
        <f>OCP_E*(preF_FD + F_primary/OCP_E)/(preF_FD + F_primary/B166)</f>
        <v/>
      </c>
      <c r="E166">
        <f>D_sh*(OCP_D/C166 - 1)</f>
        <v/>
      </c>
      <c r="F166">
        <f>E_sh*(OCP_E/D166 - 1)</f>
        <v/>
      </c>
      <c r="G166">
        <f>(preF_FD + E166 + F166 - preF_opts + J165 + K165 + F_primary/B166)/(1-B150)</f>
        <v/>
      </c>
      <c r="H166">
        <f>MAX(0, B150*G166 - preF_opts)</f>
        <v/>
      </c>
      <c r="I166">
        <f>preF_FD + E166 + F166 + H166</f>
        <v/>
      </c>
      <c r="J166">
        <f>NA_P/MIN(NA_cap/(I166+K165), (1-NA_disc)*B166)</f>
        <v/>
      </c>
      <c r="K166">
        <f>NB_P/MIN(NB_cap/(I166+J166), (1-NB_disc)*B166)</f>
        <v/>
      </c>
      <c r="L166">
        <f>F_primary/B166</f>
        <v/>
      </c>
      <c r="M166">
        <f>I166+J166+K166</f>
        <v/>
      </c>
      <c r="N166">
        <f>D150/M166</f>
        <v/>
      </c>
      <c r="O166">
        <f>IF(Y165*L166 &gt; F_primary, 1, 0)</f>
        <v/>
      </c>
      <c r="P166">
        <f>IF(Y165*(E_sh + F166) &gt; E_inv, 1, 0)</f>
        <v/>
      </c>
      <c r="Q166">
        <f>IF(Y165*(D_sh + E166) &gt; D_inv, 1, 0)</f>
        <v/>
      </c>
      <c r="R166">
        <f>IF(Y165*C_sh &gt; C_inv, 1, 0)</f>
        <v/>
      </c>
      <c r="S166">
        <f>IF(Y165*B_sh &gt; B_inv, 1, 0)</f>
        <v/>
      </c>
      <c r="T166">
        <f>IF(Y165*A_sh &gt; A_inv, 1, 0)</f>
        <v/>
      </c>
      <c r="U166">
        <f>IF(Y165*seed_sh &gt; seed_inv, 1, 0)</f>
        <v/>
      </c>
      <c r="V166">
        <f>(1-O166)*F_primary+(1-P166)*E_inv+(1-Q166)*D_inv+(1-R166)*C_inv+(1-S166)*B_inv+(1-T166)*A_inv+(1-U166)*seed_inv</f>
        <v/>
      </c>
      <c r="W166">
        <f>MAX(0, sens_exit - V166)</f>
        <v/>
      </c>
      <c r="X166">
        <f>F1_sh+F2_sh+F3_sh+RSA_sh+J166+K166+O166*L166+P166*(E_sh + F166)+Q166*(D_sh + E166)+R166*C_sh+S166*B_sh+T166*A_sh+U166*seed_sh</f>
        <v/>
      </c>
      <c r="Y166">
        <f>(W166 + preF_opts_iss*opt_strike)/(X166 + preF_opts_iss)</f>
        <v/>
      </c>
    </row>
    <row r="167">
      <c r="B167">
        <f>N166</f>
        <v/>
      </c>
      <c r="C167">
        <f>OCP_D*(preF_FD + F_primary/OCP_D)/(preF_FD + F_primary/B167)</f>
        <v/>
      </c>
      <c r="D167">
        <f>OCP_E*(preF_FD + F_primary/OCP_E)/(preF_FD + F_primary/B167)</f>
        <v/>
      </c>
      <c r="E167">
        <f>D_sh*(OCP_D/C167 - 1)</f>
        <v/>
      </c>
      <c r="F167">
        <f>E_sh*(OCP_E/D167 - 1)</f>
        <v/>
      </c>
      <c r="G167">
        <f>(preF_FD + E167 + F167 - preF_opts + J166 + K166 + F_primary/B167)/(1-B150)</f>
        <v/>
      </c>
      <c r="H167">
        <f>MAX(0, B150*G167 - preF_opts)</f>
        <v/>
      </c>
      <c r="I167">
        <f>preF_FD + E167 + F167 + H167</f>
        <v/>
      </c>
      <c r="J167">
        <f>NA_P/MIN(NA_cap/(I167+K166), (1-NA_disc)*B167)</f>
        <v/>
      </c>
      <c r="K167">
        <f>NB_P/MIN(NB_cap/(I167+J167), (1-NB_disc)*B167)</f>
        <v/>
      </c>
      <c r="L167">
        <f>F_primary/B167</f>
        <v/>
      </c>
      <c r="M167">
        <f>I167+J167+K167</f>
        <v/>
      </c>
      <c r="N167">
        <f>D150/M167</f>
        <v/>
      </c>
      <c r="O167">
        <f>IF(Y166*L167 &gt; F_primary, 1, 0)</f>
        <v/>
      </c>
      <c r="P167">
        <f>IF(Y166*(E_sh + F167) &gt; E_inv, 1, 0)</f>
        <v/>
      </c>
      <c r="Q167">
        <f>IF(Y166*(D_sh + E167) &gt; D_inv, 1, 0)</f>
        <v/>
      </c>
      <c r="R167">
        <f>IF(Y166*C_sh &gt; C_inv, 1, 0)</f>
        <v/>
      </c>
      <c r="S167">
        <f>IF(Y166*B_sh &gt; B_inv, 1, 0)</f>
        <v/>
      </c>
      <c r="T167">
        <f>IF(Y166*A_sh &gt; A_inv, 1, 0)</f>
        <v/>
      </c>
      <c r="U167">
        <f>IF(Y166*seed_sh &gt; seed_inv, 1, 0)</f>
        <v/>
      </c>
      <c r="V167">
        <f>(1-O167)*F_primary+(1-P167)*E_inv+(1-Q167)*D_inv+(1-R167)*C_inv+(1-S167)*B_inv+(1-T167)*A_inv+(1-U167)*seed_inv</f>
        <v/>
      </c>
      <c r="W167">
        <f>MAX(0, sens_exit - V167)</f>
        <v/>
      </c>
      <c r="X167">
        <f>F1_sh+F2_sh+F3_sh+RSA_sh+J167+K167+O167*L167+P167*(E_sh + F167)+Q167*(D_sh + E167)+R167*C_sh+S167*B_sh+T167*A_sh+U167*seed_sh</f>
        <v/>
      </c>
      <c r="Y167">
        <f>(W167 + preF_opts_iss*opt_strike)/(X167 + preF_opts_iss)</f>
        <v/>
      </c>
    </row>
    <row r="168">
      <c r="B168">
        <f>N167</f>
        <v/>
      </c>
      <c r="C168">
        <f>OCP_D*(preF_FD + F_primary/OCP_D)/(preF_FD + F_primary/B168)</f>
        <v/>
      </c>
      <c r="D168">
        <f>OCP_E*(preF_FD + F_primary/OCP_E)/(preF_FD + F_primary/B168)</f>
        <v/>
      </c>
      <c r="E168">
        <f>D_sh*(OCP_D/C168 - 1)</f>
        <v/>
      </c>
      <c r="F168">
        <f>E_sh*(OCP_E/D168 - 1)</f>
        <v/>
      </c>
      <c r="G168">
        <f>(preF_FD + E168 + F168 - preF_opts + J167 + K167 + F_primary/B168)/(1-B150)</f>
        <v/>
      </c>
      <c r="H168">
        <f>MAX(0, B150*G168 - preF_opts)</f>
        <v/>
      </c>
      <c r="I168">
        <f>preF_FD + E168 + F168 + H168</f>
        <v/>
      </c>
      <c r="J168">
        <f>NA_P/MIN(NA_cap/(I168+K167), (1-NA_disc)*B168)</f>
        <v/>
      </c>
      <c r="K168">
        <f>NB_P/MIN(NB_cap/(I168+J168), (1-NB_disc)*B168)</f>
        <v/>
      </c>
      <c r="L168">
        <f>F_primary/B168</f>
        <v/>
      </c>
      <c r="M168">
        <f>I168+J168+K168</f>
        <v/>
      </c>
      <c r="N168">
        <f>D150/M168</f>
        <v/>
      </c>
      <c r="O168">
        <f>IF(Y167*L168 &gt; F_primary, 1, 0)</f>
        <v/>
      </c>
      <c r="P168">
        <f>IF(Y167*(E_sh + F168) &gt; E_inv, 1, 0)</f>
        <v/>
      </c>
      <c r="Q168">
        <f>IF(Y167*(D_sh + E168) &gt; D_inv, 1, 0)</f>
        <v/>
      </c>
      <c r="R168">
        <f>IF(Y167*C_sh &gt; C_inv, 1, 0)</f>
        <v/>
      </c>
      <c r="S168">
        <f>IF(Y167*B_sh &gt; B_inv, 1, 0)</f>
        <v/>
      </c>
      <c r="T168">
        <f>IF(Y167*A_sh &gt; A_inv, 1, 0)</f>
        <v/>
      </c>
      <c r="U168">
        <f>IF(Y167*seed_sh &gt; seed_inv, 1, 0)</f>
        <v/>
      </c>
      <c r="V168">
        <f>(1-O168)*F_primary+(1-P168)*E_inv+(1-Q168)*D_inv+(1-R168)*C_inv+(1-S168)*B_inv+(1-T168)*A_inv+(1-U168)*seed_inv</f>
        <v/>
      </c>
      <c r="W168">
        <f>MAX(0, sens_exit - V168)</f>
        <v/>
      </c>
      <c r="X168">
        <f>F1_sh+F2_sh+F3_sh+RSA_sh+J168+K168+O168*L168+P168*(E_sh + F168)+Q168*(D_sh + E168)+R168*C_sh+S168*B_sh+T168*A_sh+U168*seed_sh</f>
        <v/>
      </c>
      <c r="Y168">
        <f>(W168 + preF_opts_iss*opt_strike)/(X168 + preF_opts_iss)</f>
        <v/>
      </c>
    </row>
    <row r="169">
      <c r="B169">
        <f>N168</f>
        <v/>
      </c>
      <c r="C169">
        <f>OCP_D*(preF_FD + F_primary/OCP_D)/(preF_FD + F_primary/B169)</f>
        <v/>
      </c>
      <c r="D169">
        <f>OCP_E*(preF_FD + F_primary/OCP_E)/(preF_FD + F_primary/B169)</f>
        <v/>
      </c>
      <c r="E169">
        <f>D_sh*(OCP_D/C169 - 1)</f>
        <v/>
      </c>
      <c r="F169">
        <f>E_sh*(OCP_E/D169 - 1)</f>
        <v/>
      </c>
      <c r="G169">
        <f>(preF_FD + E169 + F169 - preF_opts + J168 + K168 + F_primary/B169)/(1-B150)</f>
        <v/>
      </c>
      <c r="H169">
        <f>MAX(0, B150*G169 - preF_opts)</f>
        <v/>
      </c>
      <c r="I169">
        <f>preF_FD + E169 + F169 + H169</f>
        <v/>
      </c>
      <c r="J169">
        <f>NA_P/MIN(NA_cap/(I169+K168), (1-NA_disc)*B169)</f>
        <v/>
      </c>
      <c r="K169">
        <f>NB_P/MIN(NB_cap/(I169+J169), (1-NB_disc)*B169)</f>
        <v/>
      </c>
      <c r="L169">
        <f>F_primary/B169</f>
        <v/>
      </c>
      <c r="M169">
        <f>I169+J169+K169</f>
        <v/>
      </c>
      <c r="N169">
        <f>D150/M169</f>
        <v/>
      </c>
      <c r="O169">
        <f>IF(Y168*L169 &gt; F_primary, 1, 0)</f>
        <v/>
      </c>
      <c r="P169">
        <f>IF(Y168*(E_sh + F169) &gt; E_inv, 1, 0)</f>
        <v/>
      </c>
      <c r="Q169">
        <f>IF(Y168*(D_sh + E169) &gt; D_inv, 1, 0)</f>
        <v/>
      </c>
      <c r="R169">
        <f>IF(Y168*C_sh &gt; C_inv, 1, 0)</f>
        <v/>
      </c>
      <c r="S169">
        <f>IF(Y168*B_sh &gt; B_inv, 1, 0)</f>
        <v/>
      </c>
      <c r="T169">
        <f>IF(Y168*A_sh &gt; A_inv, 1, 0)</f>
        <v/>
      </c>
      <c r="U169">
        <f>IF(Y168*seed_sh &gt; seed_inv, 1, 0)</f>
        <v/>
      </c>
      <c r="V169">
        <f>(1-O169)*F_primary+(1-P169)*E_inv+(1-Q169)*D_inv+(1-R169)*C_inv+(1-S169)*B_inv+(1-T169)*A_inv+(1-U169)*seed_inv</f>
        <v/>
      </c>
      <c r="W169">
        <f>MAX(0, sens_exit - V169)</f>
        <v/>
      </c>
      <c r="X169">
        <f>F1_sh+F2_sh+F3_sh+RSA_sh+J169+K169+O169*L169+P169*(E_sh + F169)+Q169*(D_sh + E169)+R169*C_sh+S169*B_sh+T169*A_sh+U169*seed_sh</f>
        <v/>
      </c>
      <c r="Y169">
        <f>(W169 + preF_opts_iss*opt_strike)/(X169 + preF_opts_iss)</f>
        <v/>
      </c>
    </row>
    <row r="170">
      <c r="B170">
        <f>N169</f>
        <v/>
      </c>
      <c r="C170">
        <f>OCP_D*(preF_FD + F_primary/OCP_D)/(preF_FD + F_primary/B170)</f>
        <v/>
      </c>
      <c r="D170">
        <f>OCP_E*(preF_FD + F_primary/OCP_E)/(preF_FD + F_primary/B170)</f>
        <v/>
      </c>
      <c r="E170">
        <f>D_sh*(OCP_D/C170 - 1)</f>
        <v/>
      </c>
      <c r="F170">
        <f>E_sh*(OCP_E/D170 - 1)</f>
        <v/>
      </c>
      <c r="G170">
        <f>(preF_FD + E170 + F170 - preF_opts + J169 + K169 + F_primary/B170)/(1-B150)</f>
        <v/>
      </c>
      <c r="H170">
        <f>MAX(0, B150*G170 - preF_opts)</f>
        <v/>
      </c>
      <c r="I170">
        <f>preF_FD + E170 + F170 + H170</f>
        <v/>
      </c>
      <c r="J170">
        <f>NA_P/MIN(NA_cap/(I170+K169), (1-NA_disc)*B170)</f>
        <v/>
      </c>
      <c r="K170">
        <f>NB_P/MIN(NB_cap/(I170+J170), (1-NB_disc)*B170)</f>
        <v/>
      </c>
      <c r="L170">
        <f>F_primary/B170</f>
        <v/>
      </c>
      <c r="M170">
        <f>I170+J170+K170</f>
        <v/>
      </c>
      <c r="N170">
        <f>D150/M170</f>
        <v/>
      </c>
      <c r="O170">
        <f>IF(Y169*L170 &gt; F_primary, 1, 0)</f>
        <v/>
      </c>
      <c r="P170">
        <f>IF(Y169*(E_sh + F170) &gt; E_inv, 1, 0)</f>
        <v/>
      </c>
      <c r="Q170">
        <f>IF(Y169*(D_sh + E170) &gt; D_inv, 1, 0)</f>
        <v/>
      </c>
      <c r="R170">
        <f>IF(Y169*C_sh &gt; C_inv, 1, 0)</f>
        <v/>
      </c>
      <c r="S170">
        <f>IF(Y169*B_sh &gt; B_inv, 1, 0)</f>
        <v/>
      </c>
      <c r="T170">
        <f>IF(Y169*A_sh &gt; A_inv, 1, 0)</f>
        <v/>
      </c>
      <c r="U170">
        <f>IF(Y169*seed_sh &gt; seed_inv, 1, 0)</f>
        <v/>
      </c>
      <c r="V170">
        <f>(1-O170)*F_primary+(1-P170)*E_inv+(1-Q170)*D_inv+(1-R170)*C_inv+(1-S170)*B_inv+(1-T170)*A_inv+(1-U170)*seed_inv</f>
        <v/>
      </c>
      <c r="W170">
        <f>MAX(0, sens_exit - V170)</f>
        <v/>
      </c>
      <c r="X170">
        <f>F1_sh+F2_sh+F3_sh+RSA_sh+J170+K170+O170*L170+P170*(E_sh + F170)+Q170*(D_sh + E170)+R170*C_sh+S170*B_sh+T170*A_sh+U170*seed_sh</f>
        <v/>
      </c>
      <c r="Y170">
        <f>(W170 + preF_opts_iss*opt_strike)/(X170 + preF_opts_iss)</f>
        <v/>
      </c>
    </row>
    <row r="171">
      <c r="B171">
        <f>N170</f>
        <v/>
      </c>
      <c r="C171">
        <f>OCP_D*(preF_FD + F_primary/OCP_D)/(preF_FD + F_primary/B171)</f>
        <v/>
      </c>
      <c r="D171">
        <f>OCP_E*(preF_FD + F_primary/OCP_E)/(preF_FD + F_primary/B171)</f>
        <v/>
      </c>
      <c r="E171">
        <f>D_sh*(OCP_D/C171 - 1)</f>
        <v/>
      </c>
      <c r="F171">
        <f>E_sh*(OCP_E/D171 - 1)</f>
        <v/>
      </c>
      <c r="G171">
        <f>(preF_FD + E171 + F171 - preF_opts + J170 + K170 + F_primary/B171)/(1-B150)</f>
        <v/>
      </c>
      <c r="H171">
        <f>MAX(0, B150*G171 - preF_opts)</f>
        <v/>
      </c>
      <c r="I171">
        <f>preF_FD + E171 + F171 + H171</f>
        <v/>
      </c>
      <c r="J171">
        <f>NA_P/MIN(NA_cap/(I171+K170), (1-NA_disc)*B171)</f>
        <v/>
      </c>
      <c r="K171">
        <f>NB_P/MIN(NB_cap/(I171+J171), (1-NB_disc)*B171)</f>
        <v/>
      </c>
      <c r="L171">
        <f>F_primary/B171</f>
        <v/>
      </c>
      <c r="M171">
        <f>I171+J171+K171</f>
        <v/>
      </c>
      <c r="N171">
        <f>D150/M171</f>
        <v/>
      </c>
      <c r="O171">
        <f>IF(Y170*L171 &gt; F_primary, 1, 0)</f>
        <v/>
      </c>
      <c r="P171">
        <f>IF(Y170*(E_sh + F171) &gt; E_inv, 1, 0)</f>
        <v/>
      </c>
      <c r="Q171">
        <f>IF(Y170*(D_sh + E171) &gt; D_inv, 1, 0)</f>
        <v/>
      </c>
      <c r="R171">
        <f>IF(Y170*C_sh &gt; C_inv, 1, 0)</f>
        <v/>
      </c>
      <c r="S171">
        <f>IF(Y170*B_sh &gt; B_inv, 1, 0)</f>
        <v/>
      </c>
      <c r="T171">
        <f>IF(Y170*A_sh &gt; A_inv, 1, 0)</f>
        <v/>
      </c>
      <c r="U171">
        <f>IF(Y170*seed_sh &gt; seed_inv, 1, 0)</f>
        <v/>
      </c>
      <c r="V171">
        <f>(1-O171)*F_primary+(1-P171)*E_inv+(1-Q171)*D_inv+(1-R171)*C_inv+(1-S171)*B_inv+(1-T171)*A_inv+(1-U171)*seed_inv</f>
        <v/>
      </c>
      <c r="W171">
        <f>MAX(0, sens_exit - V171)</f>
        <v/>
      </c>
      <c r="X171">
        <f>F1_sh+F2_sh+F3_sh+RSA_sh+J171+K171+O171*L171+P171*(E_sh + F171)+Q171*(D_sh + E171)+R171*C_sh+S171*B_sh+T171*A_sh+U171*seed_sh</f>
        <v/>
      </c>
      <c r="Y171">
        <f>(W171 + preF_opts_iss*opt_strike)/(X171 + preF_opts_iss)</f>
        <v/>
      </c>
    </row>
    <row r="172">
      <c r="B172">
        <f>N171</f>
        <v/>
      </c>
      <c r="C172">
        <f>OCP_D*(preF_FD + F_primary/OCP_D)/(preF_FD + F_primary/B172)</f>
        <v/>
      </c>
      <c r="D172">
        <f>OCP_E*(preF_FD + F_primary/OCP_E)/(preF_FD + F_primary/B172)</f>
        <v/>
      </c>
      <c r="E172">
        <f>D_sh*(OCP_D/C172 - 1)</f>
        <v/>
      </c>
      <c r="F172">
        <f>E_sh*(OCP_E/D172 - 1)</f>
        <v/>
      </c>
      <c r="G172">
        <f>(preF_FD + E172 + F172 - preF_opts + J171 + K171 + F_primary/B172)/(1-B150)</f>
        <v/>
      </c>
      <c r="H172">
        <f>MAX(0, B150*G172 - preF_opts)</f>
        <v/>
      </c>
      <c r="I172">
        <f>preF_FD + E172 + F172 + H172</f>
        <v/>
      </c>
      <c r="J172">
        <f>NA_P/MIN(NA_cap/(I172+K171), (1-NA_disc)*B172)</f>
        <v/>
      </c>
      <c r="K172">
        <f>NB_P/MIN(NB_cap/(I172+J172), (1-NB_disc)*B172)</f>
        <v/>
      </c>
      <c r="L172">
        <f>F_primary/B172</f>
        <v/>
      </c>
      <c r="M172">
        <f>I172+J172+K172</f>
        <v/>
      </c>
      <c r="N172">
        <f>D150/M172</f>
        <v/>
      </c>
      <c r="O172">
        <f>IF(Y171*L172 &gt; F_primary, 1, 0)</f>
        <v/>
      </c>
      <c r="P172">
        <f>IF(Y171*(E_sh + F172) &gt; E_inv, 1, 0)</f>
        <v/>
      </c>
      <c r="Q172">
        <f>IF(Y171*(D_sh + E172) &gt; D_inv, 1, 0)</f>
        <v/>
      </c>
      <c r="R172">
        <f>IF(Y171*C_sh &gt; C_inv, 1, 0)</f>
        <v/>
      </c>
      <c r="S172">
        <f>IF(Y171*B_sh &gt; B_inv, 1, 0)</f>
        <v/>
      </c>
      <c r="T172">
        <f>IF(Y171*A_sh &gt; A_inv, 1, 0)</f>
        <v/>
      </c>
      <c r="U172">
        <f>IF(Y171*seed_sh &gt; seed_inv, 1, 0)</f>
        <v/>
      </c>
      <c r="V172">
        <f>(1-O172)*F_primary+(1-P172)*E_inv+(1-Q172)*D_inv+(1-R172)*C_inv+(1-S172)*B_inv+(1-T172)*A_inv+(1-U172)*seed_inv</f>
        <v/>
      </c>
      <c r="W172">
        <f>MAX(0, sens_exit - V172)</f>
        <v/>
      </c>
      <c r="X172">
        <f>F1_sh+F2_sh+F3_sh+RSA_sh+J172+K172+O172*L172+P172*(E_sh + F172)+Q172*(D_sh + E172)+R172*C_sh+S172*B_sh+T172*A_sh+U172*seed_sh</f>
        <v/>
      </c>
      <c r="Y172">
        <f>(W172 + preF_opts_iss*opt_strike)/(X172 + preF_opts_iss)</f>
        <v/>
      </c>
    </row>
    <row r="173">
      <c r="B173">
        <f>N172</f>
        <v/>
      </c>
      <c r="C173">
        <f>OCP_D*(preF_FD + F_primary/OCP_D)/(preF_FD + F_primary/B173)</f>
        <v/>
      </c>
      <c r="D173">
        <f>OCP_E*(preF_FD + F_primary/OCP_E)/(preF_FD + F_primary/B173)</f>
        <v/>
      </c>
      <c r="E173">
        <f>D_sh*(OCP_D/C173 - 1)</f>
        <v/>
      </c>
      <c r="F173">
        <f>E_sh*(OCP_E/D173 - 1)</f>
        <v/>
      </c>
      <c r="G173">
        <f>(preF_FD + E173 + F173 - preF_opts + J172 + K172 + F_primary/B173)/(1-B150)</f>
        <v/>
      </c>
      <c r="H173">
        <f>MAX(0, B150*G173 - preF_opts)</f>
        <v/>
      </c>
      <c r="I173">
        <f>preF_FD + E173 + F173 + H173</f>
        <v/>
      </c>
      <c r="J173">
        <f>NA_P/MIN(NA_cap/(I173+K172), (1-NA_disc)*B173)</f>
        <v/>
      </c>
      <c r="K173">
        <f>NB_P/MIN(NB_cap/(I173+J173), (1-NB_disc)*B173)</f>
        <v/>
      </c>
      <c r="L173">
        <f>F_primary/B173</f>
        <v/>
      </c>
      <c r="M173">
        <f>I173+J173+K173</f>
        <v/>
      </c>
      <c r="N173">
        <f>D150/M173</f>
        <v/>
      </c>
      <c r="O173">
        <f>IF(Y172*L173 &gt; F_primary, 1, 0)</f>
        <v/>
      </c>
      <c r="P173">
        <f>IF(Y172*(E_sh + F173) &gt; E_inv, 1, 0)</f>
        <v/>
      </c>
      <c r="Q173">
        <f>IF(Y172*(D_sh + E173) &gt; D_inv, 1, 0)</f>
        <v/>
      </c>
      <c r="R173">
        <f>IF(Y172*C_sh &gt; C_inv, 1, 0)</f>
        <v/>
      </c>
      <c r="S173">
        <f>IF(Y172*B_sh &gt; B_inv, 1, 0)</f>
        <v/>
      </c>
      <c r="T173">
        <f>IF(Y172*A_sh &gt; A_inv, 1, 0)</f>
        <v/>
      </c>
      <c r="U173">
        <f>IF(Y172*seed_sh &gt; seed_inv, 1, 0)</f>
        <v/>
      </c>
      <c r="V173">
        <f>(1-O173)*F_primary+(1-P173)*E_inv+(1-Q173)*D_inv+(1-R173)*C_inv+(1-S173)*B_inv+(1-T173)*A_inv+(1-U173)*seed_inv</f>
        <v/>
      </c>
      <c r="W173">
        <f>MAX(0, sens_exit - V173)</f>
        <v/>
      </c>
      <c r="X173">
        <f>F1_sh+F2_sh+F3_sh+RSA_sh+J173+K173+O173*L173+P173*(E_sh + F173)+Q173*(D_sh + E173)+R173*C_sh+S173*B_sh+T173*A_sh+U173*seed_sh</f>
        <v/>
      </c>
      <c r="Y173">
        <f>(W173 + preF_opts_iss*opt_strike)/(X173 + preF_opts_iss)</f>
        <v/>
      </c>
    </row>
    <row r="174">
      <c r="B174">
        <f>N173</f>
        <v/>
      </c>
      <c r="C174">
        <f>OCP_D*(preF_FD + F_primary/OCP_D)/(preF_FD + F_primary/B174)</f>
        <v/>
      </c>
      <c r="D174">
        <f>OCP_E*(preF_FD + F_primary/OCP_E)/(preF_FD + F_primary/B174)</f>
        <v/>
      </c>
      <c r="E174">
        <f>D_sh*(OCP_D/C174 - 1)</f>
        <v/>
      </c>
      <c r="F174">
        <f>E_sh*(OCP_E/D174 - 1)</f>
        <v/>
      </c>
      <c r="G174">
        <f>(preF_FD + E174 + F174 - preF_opts + J173 + K173 + F_primary/B174)/(1-B150)</f>
        <v/>
      </c>
      <c r="H174">
        <f>MAX(0, B150*G174 - preF_opts)</f>
        <v/>
      </c>
      <c r="I174">
        <f>preF_FD + E174 + F174 + H174</f>
        <v/>
      </c>
      <c r="J174">
        <f>NA_P/MIN(NA_cap/(I174+K173), (1-NA_disc)*B174)</f>
        <v/>
      </c>
      <c r="K174">
        <f>NB_P/MIN(NB_cap/(I174+J174), (1-NB_disc)*B174)</f>
        <v/>
      </c>
      <c r="L174">
        <f>F_primary/B174</f>
        <v/>
      </c>
      <c r="M174">
        <f>I174+J174+K174</f>
        <v/>
      </c>
      <c r="N174">
        <f>D150/M174</f>
        <v/>
      </c>
      <c r="O174">
        <f>IF(Y173*L174 &gt; F_primary, 1, 0)</f>
        <v/>
      </c>
      <c r="P174">
        <f>IF(Y173*(E_sh + F174) &gt; E_inv, 1, 0)</f>
        <v/>
      </c>
      <c r="Q174">
        <f>IF(Y173*(D_sh + E174) &gt; D_inv, 1, 0)</f>
        <v/>
      </c>
      <c r="R174">
        <f>IF(Y173*C_sh &gt; C_inv, 1, 0)</f>
        <v/>
      </c>
      <c r="S174">
        <f>IF(Y173*B_sh &gt; B_inv, 1, 0)</f>
        <v/>
      </c>
      <c r="T174">
        <f>IF(Y173*A_sh &gt; A_inv, 1, 0)</f>
        <v/>
      </c>
      <c r="U174">
        <f>IF(Y173*seed_sh &gt; seed_inv, 1, 0)</f>
        <v/>
      </c>
      <c r="V174">
        <f>(1-O174)*F_primary+(1-P174)*E_inv+(1-Q174)*D_inv+(1-R174)*C_inv+(1-S174)*B_inv+(1-T174)*A_inv+(1-U174)*seed_inv</f>
        <v/>
      </c>
      <c r="W174">
        <f>MAX(0, sens_exit - V174)</f>
        <v/>
      </c>
      <c r="X174">
        <f>F1_sh+F2_sh+F3_sh+RSA_sh+J174+K174+O174*L174+P174*(E_sh + F174)+Q174*(D_sh + E174)+R174*C_sh+S174*B_sh+T174*A_sh+U174*seed_sh</f>
        <v/>
      </c>
      <c r="Y174">
        <f>(W174 + preF_opts_iss*opt_strike)/(X174 + preF_opts_iss)</f>
        <v/>
      </c>
    </row>
    <row r="175">
      <c r="B175">
        <f>N174</f>
        <v/>
      </c>
      <c r="C175">
        <f>OCP_D*(preF_FD + F_primary/OCP_D)/(preF_FD + F_primary/B175)</f>
        <v/>
      </c>
      <c r="D175">
        <f>OCP_E*(preF_FD + F_primary/OCP_E)/(preF_FD + F_primary/B175)</f>
        <v/>
      </c>
      <c r="E175">
        <f>D_sh*(OCP_D/C175 - 1)</f>
        <v/>
      </c>
      <c r="F175">
        <f>E_sh*(OCP_E/D175 - 1)</f>
        <v/>
      </c>
      <c r="G175">
        <f>(preF_FD + E175 + F175 - preF_opts + J174 + K174 + F_primary/B175)/(1-B150)</f>
        <v/>
      </c>
      <c r="H175">
        <f>MAX(0, B150*G175 - preF_opts)</f>
        <v/>
      </c>
      <c r="I175">
        <f>preF_FD + E175 + F175 + H175</f>
        <v/>
      </c>
      <c r="J175">
        <f>NA_P/MIN(NA_cap/(I175+K174), (1-NA_disc)*B175)</f>
        <v/>
      </c>
      <c r="K175">
        <f>NB_P/MIN(NB_cap/(I175+J175), (1-NB_disc)*B175)</f>
        <v/>
      </c>
      <c r="L175">
        <f>F_primary/B175</f>
        <v/>
      </c>
      <c r="M175">
        <f>I175+J175+K175</f>
        <v/>
      </c>
      <c r="N175">
        <f>D150/M175</f>
        <v/>
      </c>
      <c r="O175">
        <f>IF(Y174*L175 &gt; F_primary, 1, 0)</f>
        <v/>
      </c>
      <c r="P175">
        <f>IF(Y174*(E_sh + F175) &gt; E_inv, 1, 0)</f>
        <v/>
      </c>
      <c r="Q175">
        <f>IF(Y174*(D_sh + E175) &gt; D_inv, 1, 0)</f>
        <v/>
      </c>
      <c r="R175">
        <f>IF(Y174*C_sh &gt; C_inv, 1, 0)</f>
        <v/>
      </c>
      <c r="S175">
        <f>IF(Y174*B_sh &gt; B_inv, 1, 0)</f>
        <v/>
      </c>
      <c r="T175">
        <f>IF(Y174*A_sh &gt; A_inv, 1, 0)</f>
        <v/>
      </c>
      <c r="U175">
        <f>IF(Y174*seed_sh &gt; seed_inv, 1, 0)</f>
        <v/>
      </c>
      <c r="V175">
        <f>(1-O175)*F_primary+(1-P175)*E_inv+(1-Q175)*D_inv+(1-R175)*C_inv+(1-S175)*B_inv+(1-T175)*A_inv+(1-U175)*seed_inv</f>
        <v/>
      </c>
      <c r="W175">
        <f>MAX(0, sens_exit - V175)</f>
        <v/>
      </c>
      <c r="X175">
        <f>F1_sh+F2_sh+F3_sh+RSA_sh+J175+K175+O175*L175+P175*(E_sh + F175)+Q175*(D_sh + E175)+R175*C_sh+S175*B_sh+T175*A_sh+U175*seed_sh</f>
        <v/>
      </c>
      <c r="Y175">
        <f>(W175 + preF_opts_iss*opt_strike)/(X175 + preF_opts_iss)</f>
        <v/>
      </c>
    </row>
    <row r="176">
      <c r="B176">
        <f>N175</f>
        <v/>
      </c>
      <c r="C176">
        <f>OCP_D*(preF_FD + F_primary/OCP_D)/(preF_FD + F_primary/B176)</f>
        <v/>
      </c>
      <c r="D176">
        <f>OCP_E*(preF_FD + F_primary/OCP_E)/(preF_FD + F_primary/B176)</f>
        <v/>
      </c>
      <c r="E176">
        <f>D_sh*(OCP_D/C176 - 1)</f>
        <v/>
      </c>
      <c r="F176">
        <f>E_sh*(OCP_E/D176 - 1)</f>
        <v/>
      </c>
      <c r="G176">
        <f>(preF_FD + E176 + F176 - preF_opts + J175 + K175 + F_primary/B176)/(1-B150)</f>
        <v/>
      </c>
      <c r="H176">
        <f>MAX(0, B150*G176 - preF_opts)</f>
        <v/>
      </c>
      <c r="I176">
        <f>preF_FD + E176 + F176 + H176</f>
        <v/>
      </c>
      <c r="J176">
        <f>NA_P/MIN(NA_cap/(I176+K175), (1-NA_disc)*B176)</f>
        <v/>
      </c>
      <c r="K176">
        <f>NB_P/MIN(NB_cap/(I176+J176), (1-NB_disc)*B176)</f>
        <v/>
      </c>
      <c r="L176">
        <f>F_primary/B176</f>
        <v/>
      </c>
      <c r="M176">
        <f>I176+J176+K176</f>
        <v/>
      </c>
      <c r="N176">
        <f>D150/M176</f>
        <v/>
      </c>
      <c r="O176">
        <f>IF(Y175*L176 &gt; F_primary, 1, 0)</f>
        <v/>
      </c>
      <c r="P176">
        <f>IF(Y175*(E_sh + F176) &gt; E_inv, 1, 0)</f>
        <v/>
      </c>
      <c r="Q176">
        <f>IF(Y175*(D_sh + E176) &gt; D_inv, 1, 0)</f>
        <v/>
      </c>
      <c r="R176">
        <f>IF(Y175*C_sh &gt; C_inv, 1, 0)</f>
        <v/>
      </c>
      <c r="S176">
        <f>IF(Y175*B_sh &gt; B_inv, 1, 0)</f>
        <v/>
      </c>
      <c r="T176">
        <f>IF(Y175*A_sh &gt; A_inv, 1, 0)</f>
        <v/>
      </c>
      <c r="U176">
        <f>IF(Y175*seed_sh &gt; seed_inv, 1, 0)</f>
        <v/>
      </c>
      <c r="V176">
        <f>(1-O176)*F_primary+(1-P176)*E_inv+(1-Q176)*D_inv+(1-R176)*C_inv+(1-S176)*B_inv+(1-T176)*A_inv+(1-U176)*seed_inv</f>
        <v/>
      </c>
      <c r="W176">
        <f>MAX(0, sens_exit - V176)</f>
        <v/>
      </c>
      <c r="X176">
        <f>F1_sh+F2_sh+F3_sh+RSA_sh+J176+K176+O176*L176+P176*(E_sh + F176)+Q176*(D_sh + E176)+R176*C_sh+S176*B_sh+T176*A_sh+U176*seed_sh</f>
        <v/>
      </c>
      <c r="Y176">
        <f>(W176 + preF_opts_iss*opt_strike)/(X176 + preF_opts_iss)</f>
        <v/>
      </c>
    </row>
    <row r="177">
      <c r="B177">
        <f>N176</f>
        <v/>
      </c>
      <c r="C177">
        <f>OCP_D*(preF_FD + F_primary/OCP_D)/(preF_FD + F_primary/B177)</f>
        <v/>
      </c>
      <c r="D177">
        <f>OCP_E*(preF_FD + F_primary/OCP_E)/(preF_FD + F_primary/B177)</f>
        <v/>
      </c>
      <c r="E177">
        <f>D_sh*(OCP_D/C177 - 1)</f>
        <v/>
      </c>
      <c r="F177">
        <f>E_sh*(OCP_E/D177 - 1)</f>
        <v/>
      </c>
      <c r="G177">
        <f>(preF_FD + E177 + F177 - preF_opts + J176 + K176 + F_primary/B177)/(1-B150)</f>
        <v/>
      </c>
      <c r="H177">
        <f>MAX(0, B150*G177 - preF_opts)</f>
        <v/>
      </c>
      <c r="I177">
        <f>preF_FD + E177 + F177 + H177</f>
        <v/>
      </c>
      <c r="J177">
        <f>NA_P/MIN(NA_cap/(I177+K176), (1-NA_disc)*B177)</f>
        <v/>
      </c>
      <c r="K177">
        <f>NB_P/MIN(NB_cap/(I177+J177), (1-NB_disc)*B177)</f>
        <v/>
      </c>
      <c r="L177">
        <f>F_primary/B177</f>
        <v/>
      </c>
      <c r="M177">
        <f>I177+J177+K177</f>
        <v/>
      </c>
      <c r="N177">
        <f>D150/M177</f>
        <v/>
      </c>
      <c r="O177">
        <f>IF(Y176*L177 &gt; F_primary, 1, 0)</f>
        <v/>
      </c>
      <c r="P177">
        <f>IF(Y176*(E_sh + F177) &gt; E_inv, 1, 0)</f>
        <v/>
      </c>
      <c r="Q177">
        <f>IF(Y176*(D_sh + E177) &gt; D_inv, 1, 0)</f>
        <v/>
      </c>
      <c r="R177">
        <f>IF(Y176*C_sh &gt; C_inv, 1, 0)</f>
        <v/>
      </c>
      <c r="S177">
        <f>IF(Y176*B_sh &gt; B_inv, 1, 0)</f>
        <v/>
      </c>
      <c r="T177">
        <f>IF(Y176*A_sh &gt; A_inv, 1, 0)</f>
        <v/>
      </c>
      <c r="U177">
        <f>IF(Y176*seed_sh &gt; seed_inv, 1, 0)</f>
        <v/>
      </c>
      <c r="V177">
        <f>(1-O177)*F_primary+(1-P177)*E_inv+(1-Q177)*D_inv+(1-R177)*C_inv+(1-S177)*B_inv+(1-T177)*A_inv+(1-U177)*seed_inv</f>
        <v/>
      </c>
      <c r="W177">
        <f>MAX(0, sens_exit - V177)</f>
        <v/>
      </c>
      <c r="X177">
        <f>F1_sh+F2_sh+F3_sh+RSA_sh+J177+K177+O177*L177+P177*(E_sh + F177)+Q177*(D_sh + E177)+R177*C_sh+S177*B_sh+T177*A_sh+U177*seed_sh</f>
        <v/>
      </c>
      <c r="Y177">
        <f>(W177 + preF_opts_iss*opt_strike)/(X177 + preF_opts_iss)</f>
        <v/>
      </c>
    </row>
    <row r="178">
      <c r="B178">
        <f>N177</f>
        <v/>
      </c>
      <c r="C178">
        <f>OCP_D*(preF_FD + F_primary/OCP_D)/(preF_FD + F_primary/B178)</f>
        <v/>
      </c>
      <c r="D178">
        <f>OCP_E*(preF_FD + F_primary/OCP_E)/(preF_FD + F_primary/B178)</f>
        <v/>
      </c>
      <c r="E178">
        <f>D_sh*(OCP_D/C178 - 1)</f>
        <v/>
      </c>
      <c r="F178">
        <f>E_sh*(OCP_E/D178 - 1)</f>
        <v/>
      </c>
      <c r="G178">
        <f>(preF_FD + E178 + F178 - preF_opts + J177 + K177 + F_primary/B178)/(1-B150)</f>
        <v/>
      </c>
      <c r="H178">
        <f>MAX(0, B150*G178 - preF_opts)</f>
        <v/>
      </c>
      <c r="I178">
        <f>preF_FD + E178 + F178 + H178</f>
        <v/>
      </c>
      <c r="J178">
        <f>NA_P/MIN(NA_cap/(I178+K177), (1-NA_disc)*B178)</f>
        <v/>
      </c>
      <c r="K178">
        <f>NB_P/MIN(NB_cap/(I178+J178), (1-NB_disc)*B178)</f>
        <v/>
      </c>
      <c r="L178">
        <f>F_primary/B178</f>
        <v/>
      </c>
      <c r="M178">
        <f>I178+J178+K178</f>
        <v/>
      </c>
      <c r="N178">
        <f>D150/M178</f>
        <v/>
      </c>
      <c r="O178">
        <f>IF(Y177*L178 &gt; F_primary, 1, 0)</f>
        <v/>
      </c>
      <c r="P178">
        <f>IF(Y177*(E_sh + F178) &gt; E_inv, 1, 0)</f>
        <v/>
      </c>
      <c r="Q178">
        <f>IF(Y177*(D_sh + E178) &gt; D_inv, 1, 0)</f>
        <v/>
      </c>
      <c r="R178">
        <f>IF(Y177*C_sh &gt; C_inv, 1, 0)</f>
        <v/>
      </c>
      <c r="S178">
        <f>IF(Y177*B_sh &gt; B_inv, 1, 0)</f>
        <v/>
      </c>
      <c r="T178">
        <f>IF(Y177*A_sh &gt; A_inv, 1, 0)</f>
        <v/>
      </c>
      <c r="U178">
        <f>IF(Y177*seed_sh &gt; seed_inv, 1, 0)</f>
        <v/>
      </c>
      <c r="V178">
        <f>(1-O178)*F_primary+(1-P178)*E_inv+(1-Q178)*D_inv+(1-R178)*C_inv+(1-S178)*B_inv+(1-T178)*A_inv+(1-U178)*seed_inv</f>
        <v/>
      </c>
      <c r="W178">
        <f>MAX(0, sens_exit - V178)</f>
        <v/>
      </c>
      <c r="X178">
        <f>F1_sh+F2_sh+F3_sh+RSA_sh+J178+K178+O178*L178+P178*(E_sh + F178)+Q178*(D_sh + E178)+R178*C_sh+S178*B_sh+T178*A_sh+U178*seed_sh</f>
        <v/>
      </c>
      <c r="Y178">
        <f>(W178 + preF_opts_iss*opt_strike)/(X178 + preF_opts_iss)</f>
        <v/>
      </c>
    </row>
    <row r="179">
      <c r="B179">
        <f>N178</f>
        <v/>
      </c>
      <c r="C179">
        <f>OCP_D*(preF_FD + F_primary/OCP_D)/(preF_FD + F_primary/B179)</f>
        <v/>
      </c>
      <c r="D179">
        <f>OCP_E*(preF_FD + F_primary/OCP_E)/(preF_FD + F_primary/B179)</f>
        <v/>
      </c>
      <c r="E179">
        <f>D_sh*(OCP_D/C179 - 1)</f>
        <v/>
      </c>
      <c r="F179">
        <f>E_sh*(OCP_E/D179 - 1)</f>
        <v/>
      </c>
      <c r="G179">
        <f>(preF_FD + E179 + F179 - preF_opts + J178 + K178 + F_primary/B179)/(1-B150)</f>
        <v/>
      </c>
      <c r="H179">
        <f>MAX(0, B150*G179 - preF_opts)</f>
        <v/>
      </c>
      <c r="I179">
        <f>preF_FD + E179 + F179 + H179</f>
        <v/>
      </c>
      <c r="J179">
        <f>NA_P/MIN(NA_cap/(I179+K178), (1-NA_disc)*B179)</f>
        <v/>
      </c>
      <c r="K179">
        <f>NB_P/MIN(NB_cap/(I179+J179), (1-NB_disc)*B179)</f>
        <v/>
      </c>
      <c r="L179">
        <f>F_primary/B179</f>
        <v/>
      </c>
      <c r="M179">
        <f>I179+J179+K179</f>
        <v/>
      </c>
      <c r="N179">
        <f>D150/M179</f>
        <v/>
      </c>
      <c r="O179">
        <f>IF(Y178*L179 &gt; F_primary, 1, 0)</f>
        <v/>
      </c>
      <c r="P179">
        <f>IF(Y178*(E_sh + F179) &gt; E_inv, 1, 0)</f>
        <v/>
      </c>
      <c r="Q179">
        <f>IF(Y178*(D_sh + E179) &gt; D_inv, 1, 0)</f>
        <v/>
      </c>
      <c r="R179">
        <f>IF(Y178*C_sh &gt; C_inv, 1, 0)</f>
        <v/>
      </c>
      <c r="S179">
        <f>IF(Y178*B_sh &gt; B_inv, 1, 0)</f>
        <v/>
      </c>
      <c r="T179">
        <f>IF(Y178*A_sh &gt; A_inv, 1, 0)</f>
        <v/>
      </c>
      <c r="U179">
        <f>IF(Y178*seed_sh &gt; seed_inv, 1, 0)</f>
        <v/>
      </c>
      <c r="V179">
        <f>(1-O179)*F_primary+(1-P179)*E_inv+(1-Q179)*D_inv+(1-R179)*C_inv+(1-S179)*B_inv+(1-T179)*A_inv+(1-U179)*seed_inv</f>
        <v/>
      </c>
      <c r="W179">
        <f>MAX(0, sens_exit - V179)</f>
        <v/>
      </c>
      <c r="X179">
        <f>F1_sh+F2_sh+F3_sh+RSA_sh+J179+K179+O179*L179+P179*(E_sh + F179)+Q179*(D_sh + E179)+R179*C_sh+S179*B_sh+T179*A_sh+U179*seed_sh</f>
        <v/>
      </c>
      <c r="Y179">
        <f>(W179 + preF_opts_iss*opt_strike)/(X179 + preF_opts_iss)</f>
        <v/>
      </c>
    </row>
    <row r="180">
      <c r="B180">
        <f>N179</f>
        <v/>
      </c>
      <c r="C180">
        <f>OCP_D*(preF_FD + F_primary/OCP_D)/(preF_FD + F_primary/B180)</f>
        <v/>
      </c>
      <c r="D180">
        <f>OCP_E*(preF_FD + F_primary/OCP_E)/(preF_FD + F_primary/B180)</f>
        <v/>
      </c>
      <c r="E180">
        <f>D_sh*(OCP_D/C180 - 1)</f>
        <v/>
      </c>
      <c r="F180">
        <f>E_sh*(OCP_E/D180 - 1)</f>
        <v/>
      </c>
      <c r="G180">
        <f>(preF_FD + E180 + F180 - preF_opts + J179 + K179 + F_primary/B180)/(1-B150)</f>
        <v/>
      </c>
      <c r="H180">
        <f>MAX(0, B150*G180 - preF_opts)</f>
        <v/>
      </c>
      <c r="I180">
        <f>preF_FD + E180 + F180 + H180</f>
        <v/>
      </c>
      <c r="J180">
        <f>NA_P/MIN(NA_cap/(I180+K179), (1-NA_disc)*B180)</f>
        <v/>
      </c>
      <c r="K180">
        <f>NB_P/MIN(NB_cap/(I180+J180), (1-NB_disc)*B180)</f>
        <v/>
      </c>
      <c r="L180">
        <f>F_primary/B180</f>
        <v/>
      </c>
      <c r="M180">
        <f>I180+J180+K180</f>
        <v/>
      </c>
      <c r="N180">
        <f>D150/M180</f>
        <v/>
      </c>
      <c r="O180">
        <f>IF(Y179*L180 &gt; F_primary, 1, 0)</f>
        <v/>
      </c>
      <c r="P180">
        <f>IF(Y179*(E_sh + F180) &gt; E_inv, 1, 0)</f>
        <v/>
      </c>
      <c r="Q180">
        <f>IF(Y179*(D_sh + E180) &gt; D_inv, 1, 0)</f>
        <v/>
      </c>
      <c r="R180">
        <f>IF(Y179*C_sh &gt; C_inv, 1, 0)</f>
        <v/>
      </c>
      <c r="S180">
        <f>IF(Y179*B_sh &gt; B_inv, 1, 0)</f>
        <v/>
      </c>
      <c r="T180">
        <f>IF(Y179*A_sh &gt; A_inv, 1, 0)</f>
        <v/>
      </c>
      <c r="U180">
        <f>IF(Y179*seed_sh &gt; seed_inv, 1, 0)</f>
        <v/>
      </c>
      <c r="V180">
        <f>(1-O180)*F_primary+(1-P180)*E_inv+(1-Q180)*D_inv+(1-R180)*C_inv+(1-S180)*B_inv+(1-T180)*A_inv+(1-U180)*seed_inv</f>
        <v/>
      </c>
      <c r="W180">
        <f>MAX(0, sens_exit - V180)</f>
        <v/>
      </c>
      <c r="X180">
        <f>F1_sh+F2_sh+F3_sh+RSA_sh+J180+K180+O180*L180+P180*(E_sh + F180)+Q180*(D_sh + E180)+R180*C_sh+S180*B_sh+T180*A_sh+U180*seed_sh</f>
        <v/>
      </c>
      <c r="Y180">
        <f>(W180 + preF_opts_iss*opt_strike)/(X180 + preF_opts_iss)</f>
        <v/>
      </c>
    </row>
    <row r="181">
      <c r="B181">
        <f>N180</f>
        <v/>
      </c>
      <c r="C181">
        <f>OCP_D*(preF_FD + F_primary/OCP_D)/(preF_FD + F_primary/B181)</f>
        <v/>
      </c>
      <c r="D181">
        <f>OCP_E*(preF_FD + F_primary/OCP_E)/(preF_FD + F_primary/B181)</f>
        <v/>
      </c>
      <c r="E181">
        <f>D_sh*(OCP_D/C181 - 1)</f>
        <v/>
      </c>
      <c r="F181">
        <f>E_sh*(OCP_E/D181 - 1)</f>
        <v/>
      </c>
      <c r="G181">
        <f>(preF_FD + E181 + F181 - preF_opts + J180 + K180 + F_primary/B181)/(1-B150)</f>
        <v/>
      </c>
      <c r="H181">
        <f>MAX(0, B150*G181 - preF_opts)</f>
        <v/>
      </c>
      <c r="I181">
        <f>preF_FD + E181 + F181 + H181</f>
        <v/>
      </c>
      <c r="J181">
        <f>NA_P/MIN(NA_cap/(I181+K180), (1-NA_disc)*B181)</f>
        <v/>
      </c>
      <c r="K181">
        <f>NB_P/MIN(NB_cap/(I181+J181), (1-NB_disc)*B181)</f>
        <v/>
      </c>
      <c r="L181">
        <f>F_primary/B181</f>
        <v/>
      </c>
      <c r="M181">
        <f>I181+J181+K181</f>
        <v/>
      </c>
      <c r="N181">
        <f>D150/M181</f>
        <v/>
      </c>
      <c r="O181">
        <f>IF(Y180*L181 &gt; F_primary, 1, 0)</f>
        <v/>
      </c>
      <c r="P181">
        <f>IF(Y180*(E_sh + F181) &gt; E_inv, 1, 0)</f>
        <v/>
      </c>
      <c r="Q181">
        <f>IF(Y180*(D_sh + E181) &gt; D_inv, 1, 0)</f>
        <v/>
      </c>
      <c r="R181">
        <f>IF(Y180*C_sh &gt; C_inv, 1, 0)</f>
        <v/>
      </c>
      <c r="S181">
        <f>IF(Y180*B_sh &gt; B_inv, 1, 0)</f>
        <v/>
      </c>
      <c r="T181">
        <f>IF(Y180*A_sh &gt; A_inv, 1, 0)</f>
        <v/>
      </c>
      <c r="U181">
        <f>IF(Y180*seed_sh &gt; seed_inv, 1, 0)</f>
        <v/>
      </c>
      <c r="V181">
        <f>(1-O181)*F_primary+(1-P181)*E_inv+(1-Q181)*D_inv+(1-R181)*C_inv+(1-S181)*B_inv+(1-T181)*A_inv+(1-U181)*seed_inv</f>
        <v/>
      </c>
      <c r="W181">
        <f>MAX(0, sens_exit - V181)</f>
        <v/>
      </c>
      <c r="X181">
        <f>F1_sh+F2_sh+F3_sh+RSA_sh+J181+K181+O181*L181+P181*(E_sh + F181)+Q181*(D_sh + E181)+R181*C_sh+S181*B_sh+T181*A_sh+U181*seed_sh</f>
        <v/>
      </c>
      <c r="Y181">
        <f>(W181 + preF_opts_iss*opt_strike)/(X181 + preF_opts_iss)</f>
        <v/>
      </c>
    </row>
    <row r="182">
      <c r="B182">
        <f>N181</f>
        <v/>
      </c>
      <c r="C182">
        <f>OCP_D*(preF_FD + F_primary/OCP_D)/(preF_FD + F_primary/B182)</f>
        <v/>
      </c>
      <c r="D182">
        <f>OCP_E*(preF_FD + F_primary/OCP_E)/(preF_FD + F_primary/B182)</f>
        <v/>
      </c>
      <c r="E182">
        <f>D_sh*(OCP_D/C182 - 1)</f>
        <v/>
      </c>
      <c r="F182">
        <f>E_sh*(OCP_E/D182 - 1)</f>
        <v/>
      </c>
      <c r="G182">
        <f>(preF_FD + E182 + F182 - preF_opts + J181 + K181 + F_primary/B182)/(1-B150)</f>
        <v/>
      </c>
      <c r="H182">
        <f>MAX(0, B150*G182 - preF_opts)</f>
        <v/>
      </c>
      <c r="I182">
        <f>preF_FD + E182 + F182 + H182</f>
        <v/>
      </c>
      <c r="J182">
        <f>NA_P/MIN(NA_cap/(I182+K181), (1-NA_disc)*B182)</f>
        <v/>
      </c>
      <c r="K182">
        <f>NB_P/MIN(NB_cap/(I182+J182), (1-NB_disc)*B182)</f>
        <v/>
      </c>
      <c r="L182">
        <f>F_primary/B182</f>
        <v/>
      </c>
      <c r="M182">
        <f>I182+J182+K182</f>
        <v/>
      </c>
      <c r="N182">
        <f>D150/M182</f>
        <v/>
      </c>
      <c r="O182">
        <f>IF(Y181*L182 &gt; F_primary, 1, 0)</f>
        <v/>
      </c>
      <c r="P182">
        <f>IF(Y181*(E_sh + F182) &gt; E_inv, 1, 0)</f>
        <v/>
      </c>
      <c r="Q182">
        <f>IF(Y181*(D_sh + E182) &gt; D_inv, 1, 0)</f>
        <v/>
      </c>
      <c r="R182">
        <f>IF(Y181*C_sh &gt; C_inv, 1, 0)</f>
        <v/>
      </c>
      <c r="S182">
        <f>IF(Y181*B_sh &gt; B_inv, 1, 0)</f>
        <v/>
      </c>
      <c r="T182">
        <f>IF(Y181*A_sh &gt; A_inv, 1, 0)</f>
        <v/>
      </c>
      <c r="U182">
        <f>IF(Y181*seed_sh &gt; seed_inv, 1, 0)</f>
        <v/>
      </c>
      <c r="V182">
        <f>(1-O182)*F_primary+(1-P182)*E_inv+(1-Q182)*D_inv+(1-R182)*C_inv+(1-S182)*B_inv+(1-T182)*A_inv+(1-U182)*seed_inv</f>
        <v/>
      </c>
      <c r="W182">
        <f>MAX(0, sens_exit - V182)</f>
        <v/>
      </c>
      <c r="X182">
        <f>F1_sh+F2_sh+F3_sh+RSA_sh+J182+K182+O182*L182+P182*(E_sh + F182)+Q182*(D_sh + E182)+R182*C_sh+S182*B_sh+T182*A_sh+U182*seed_sh</f>
        <v/>
      </c>
      <c r="Y182">
        <f>(W182 + preF_opts_iss*opt_strike)/(X182 + preF_opts_iss)</f>
        <v/>
      </c>
    </row>
    <row r="183">
      <c r="B183">
        <f>N182</f>
        <v/>
      </c>
      <c r="C183">
        <f>OCP_D*(preF_FD + F_primary/OCP_D)/(preF_FD + F_primary/B183)</f>
        <v/>
      </c>
      <c r="D183">
        <f>OCP_E*(preF_FD + F_primary/OCP_E)/(preF_FD + F_primary/B183)</f>
        <v/>
      </c>
      <c r="E183">
        <f>D_sh*(OCP_D/C183 - 1)</f>
        <v/>
      </c>
      <c r="F183">
        <f>E_sh*(OCP_E/D183 - 1)</f>
        <v/>
      </c>
      <c r="G183">
        <f>(preF_FD + E183 + F183 - preF_opts + J182 + K182 + F_primary/B183)/(1-B150)</f>
        <v/>
      </c>
      <c r="H183">
        <f>MAX(0, B150*G183 - preF_opts)</f>
        <v/>
      </c>
      <c r="I183">
        <f>preF_FD + E183 + F183 + H183</f>
        <v/>
      </c>
      <c r="J183">
        <f>NA_P/MIN(NA_cap/(I183+K182), (1-NA_disc)*B183)</f>
        <v/>
      </c>
      <c r="K183">
        <f>NB_P/MIN(NB_cap/(I183+J183), (1-NB_disc)*B183)</f>
        <v/>
      </c>
      <c r="L183">
        <f>F_primary/B183</f>
        <v/>
      </c>
      <c r="M183">
        <f>I183+J183+K183</f>
        <v/>
      </c>
      <c r="N183">
        <f>D150/M183</f>
        <v/>
      </c>
      <c r="O183">
        <f>IF(Y182*L183 &gt; F_primary, 1, 0)</f>
        <v/>
      </c>
      <c r="P183">
        <f>IF(Y182*(E_sh + F183) &gt; E_inv, 1, 0)</f>
        <v/>
      </c>
      <c r="Q183">
        <f>IF(Y182*(D_sh + E183) &gt; D_inv, 1, 0)</f>
        <v/>
      </c>
      <c r="R183">
        <f>IF(Y182*C_sh &gt; C_inv, 1, 0)</f>
        <v/>
      </c>
      <c r="S183">
        <f>IF(Y182*B_sh &gt; B_inv, 1, 0)</f>
        <v/>
      </c>
      <c r="T183">
        <f>IF(Y182*A_sh &gt; A_inv, 1, 0)</f>
        <v/>
      </c>
      <c r="U183">
        <f>IF(Y182*seed_sh &gt; seed_inv, 1, 0)</f>
        <v/>
      </c>
      <c r="V183">
        <f>(1-O183)*F_primary+(1-P183)*E_inv+(1-Q183)*D_inv+(1-R183)*C_inv+(1-S183)*B_inv+(1-T183)*A_inv+(1-U183)*seed_inv</f>
        <v/>
      </c>
      <c r="W183">
        <f>MAX(0, sens_exit - V183)</f>
        <v/>
      </c>
      <c r="X183">
        <f>F1_sh+F2_sh+F3_sh+RSA_sh+J183+K183+O183*L183+P183*(E_sh + F183)+Q183*(D_sh + E183)+R183*C_sh+S183*B_sh+T183*A_sh+U183*seed_sh</f>
        <v/>
      </c>
      <c r="Y183">
        <f>(W183 + preF_opts_iss*opt_strike)/(X183 + preF_opts_iss)</f>
        <v/>
      </c>
    </row>
    <row r="184">
      <c r="B184">
        <f>N183</f>
        <v/>
      </c>
      <c r="C184">
        <f>OCP_D*(preF_FD + F_primary/OCP_D)/(preF_FD + F_primary/B184)</f>
        <v/>
      </c>
      <c r="D184">
        <f>OCP_E*(preF_FD + F_primary/OCP_E)/(preF_FD + F_primary/B184)</f>
        <v/>
      </c>
      <c r="E184">
        <f>D_sh*(OCP_D/C184 - 1)</f>
        <v/>
      </c>
      <c r="F184">
        <f>E_sh*(OCP_E/D184 - 1)</f>
        <v/>
      </c>
      <c r="G184">
        <f>(preF_FD + E184 + F184 - preF_opts + J183 + K183 + F_primary/B184)/(1-B150)</f>
        <v/>
      </c>
      <c r="H184">
        <f>MAX(0, B150*G184 - preF_opts)</f>
        <v/>
      </c>
      <c r="I184">
        <f>preF_FD + E184 + F184 + H184</f>
        <v/>
      </c>
      <c r="J184">
        <f>NA_P/MIN(NA_cap/(I184+K183), (1-NA_disc)*B184)</f>
        <v/>
      </c>
      <c r="K184">
        <f>NB_P/MIN(NB_cap/(I184+J184), (1-NB_disc)*B184)</f>
        <v/>
      </c>
      <c r="L184">
        <f>F_primary/B184</f>
        <v/>
      </c>
      <c r="M184">
        <f>I184+J184+K184</f>
        <v/>
      </c>
      <c r="N184">
        <f>D150/M184</f>
        <v/>
      </c>
      <c r="O184">
        <f>IF(Y183*L184 &gt; F_primary, 1, 0)</f>
        <v/>
      </c>
      <c r="P184">
        <f>IF(Y183*(E_sh + F184) &gt; E_inv, 1, 0)</f>
        <v/>
      </c>
      <c r="Q184">
        <f>IF(Y183*(D_sh + E184) &gt; D_inv, 1, 0)</f>
        <v/>
      </c>
      <c r="R184">
        <f>IF(Y183*C_sh &gt; C_inv, 1, 0)</f>
        <v/>
      </c>
      <c r="S184">
        <f>IF(Y183*B_sh &gt; B_inv, 1, 0)</f>
        <v/>
      </c>
      <c r="T184">
        <f>IF(Y183*A_sh &gt; A_inv, 1, 0)</f>
        <v/>
      </c>
      <c r="U184">
        <f>IF(Y183*seed_sh &gt; seed_inv, 1, 0)</f>
        <v/>
      </c>
      <c r="V184">
        <f>(1-O184)*F_primary+(1-P184)*E_inv+(1-Q184)*D_inv+(1-R184)*C_inv+(1-S184)*B_inv+(1-T184)*A_inv+(1-U184)*seed_inv</f>
        <v/>
      </c>
      <c r="W184">
        <f>MAX(0, sens_exit - V184)</f>
        <v/>
      </c>
      <c r="X184">
        <f>F1_sh+F2_sh+F3_sh+RSA_sh+J184+K184+O184*L184+P184*(E_sh + F184)+Q184*(D_sh + E184)+R184*C_sh+S184*B_sh+T184*A_sh+U184*seed_sh</f>
        <v/>
      </c>
      <c r="Y184">
        <f>(W184 + preF_opts_iss*opt_strike)/(X184 + preF_opts_iss)</f>
        <v/>
      </c>
    </row>
    <row r="185">
      <c r="B185">
        <f>N184</f>
        <v/>
      </c>
      <c r="C185">
        <f>OCP_D*(preF_FD + F_primary/OCP_D)/(preF_FD + F_primary/B185)</f>
        <v/>
      </c>
      <c r="D185">
        <f>OCP_E*(preF_FD + F_primary/OCP_E)/(preF_FD + F_primary/B185)</f>
        <v/>
      </c>
      <c r="E185">
        <f>D_sh*(OCP_D/C185 - 1)</f>
        <v/>
      </c>
      <c r="F185">
        <f>E_sh*(OCP_E/D185 - 1)</f>
        <v/>
      </c>
      <c r="G185">
        <f>(preF_FD + E185 + F185 - preF_opts + J184 + K184 + F_primary/B185)/(1-B150)</f>
        <v/>
      </c>
      <c r="H185">
        <f>MAX(0, B150*G185 - preF_opts)</f>
        <v/>
      </c>
      <c r="I185">
        <f>preF_FD + E185 + F185 + H185</f>
        <v/>
      </c>
      <c r="J185">
        <f>NA_P/MIN(NA_cap/(I185+K184), (1-NA_disc)*B185)</f>
        <v/>
      </c>
      <c r="K185">
        <f>NB_P/MIN(NB_cap/(I185+J185), (1-NB_disc)*B185)</f>
        <v/>
      </c>
      <c r="L185">
        <f>F_primary/B185</f>
        <v/>
      </c>
      <c r="M185">
        <f>I185+J185+K185</f>
        <v/>
      </c>
      <c r="N185">
        <f>D150/M185</f>
        <v/>
      </c>
      <c r="O185">
        <f>IF(Y184*L185 &gt; F_primary, 1, 0)</f>
        <v/>
      </c>
      <c r="P185">
        <f>IF(Y184*(E_sh + F185) &gt; E_inv, 1, 0)</f>
        <v/>
      </c>
      <c r="Q185">
        <f>IF(Y184*(D_sh + E185) &gt; D_inv, 1, 0)</f>
        <v/>
      </c>
      <c r="R185">
        <f>IF(Y184*C_sh &gt; C_inv, 1, 0)</f>
        <v/>
      </c>
      <c r="S185">
        <f>IF(Y184*B_sh &gt; B_inv, 1, 0)</f>
        <v/>
      </c>
      <c r="T185">
        <f>IF(Y184*A_sh &gt; A_inv, 1, 0)</f>
        <v/>
      </c>
      <c r="U185">
        <f>IF(Y184*seed_sh &gt; seed_inv, 1, 0)</f>
        <v/>
      </c>
      <c r="V185">
        <f>(1-O185)*F_primary+(1-P185)*E_inv+(1-Q185)*D_inv+(1-R185)*C_inv+(1-S185)*B_inv+(1-T185)*A_inv+(1-U185)*seed_inv</f>
        <v/>
      </c>
      <c r="W185">
        <f>MAX(0, sens_exit - V185)</f>
        <v/>
      </c>
      <c r="X185">
        <f>F1_sh+F2_sh+F3_sh+RSA_sh+J185+K185+O185*L185+P185*(E_sh + F185)+Q185*(D_sh + E185)+R185*C_sh+S185*B_sh+T185*A_sh+U185*seed_sh</f>
        <v/>
      </c>
      <c r="Y185">
        <f>(W185 + preF_opts_iss*opt_strike)/(X185 + preF_opts_iss)</f>
        <v/>
      </c>
    </row>
    <row r="186">
      <c r="B186">
        <f>N185</f>
        <v/>
      </c>
      <c r="C186">
        <f>OCP_D*(preF_FD + F_primary/OCP_D)/(preF_FD + F_primary/B186)</f>
        <v/>
      </c>
      <c r="D186">
        <f>OCP_E*(preF_FD + F_primary/OCP_E)/(preF_FD + F_primary/B186)</f>
        <v/>
      </c>
      <c r="E186">
        <f>D_sh*(OCP_D/C186 - 1)</f>
        <v/>
      </c>
      <c r="F186">
        <f>E_sh*(OCP_E/D186 - 1)</f>
        <v/>
      </c>
      <c r="G186">
        <f>(preF_FD + E186 + F186 - preF_opts + J185 + K185 + F_primary/B186)/(1-B150)</f>
        <v/>
      </c>
      <c r="H186">
        <f>MAX(0, B150*G186 - preF_opts)</f>
        <v/>
      </c>
      <c r="I186">
        <f>preF_FD + E186 + F186 + H186</f>
        <v/>
      </c>
      <c r="J186">
        <f>NA_P/MIN(NA_cap/(I186+K185), (1-NA_disc)*B186)</f>
        <v/>
      </c>
      <c r="K186">
        <f>NB_P/MIN(NB_cap/(I186+J186), (1-NB_disc)*B186)</f>
        <v/>
      </c>
      <c r="L186">
        <f>F_primary/B186</f>
        <v/>
      </c>
      <c r="M186">
        <f>I186+J186+K186</f>
        <v/>
      </c>
      <c r="N186">
        <f>D150/M186</f>
        <v/>
      </c>
      <c r="O186">
        <f>IF(Y185*L186 &gt; F_primary, 1, 0)</f>
        <v/>
      </c>
      <c r="P186">
        <f>IF(Y185*(E_sh + F186) &gt; E_inv, 1, 0)</f>
        <v/>
      </c>
      <c r="Q186">
        <f>IF(Y185*(D_sh + E186) &gt; D_inv, 1, 0)</f>
        <v/>
      </c>
      <c r="R186">
        <f>IF(Y185*C_sh &gt; C_inv, 1, 0)</f>
        <v/>
      </c>
      <c r="S186">
        <f>IF(Y185*B_sh &gt; B_inv, 1, 0)</f>
        <v/>
      </c>
      <c r="T186">
        <f>IF(Y185*A_sh &gt; A_inv, 1, 0)</f>
        <v/>
      </c>
      <c r="U186">
        <f>IF(Y185*seed_sh &gt; seed_inv, 1, 0)</f>
        <v/>
      </c>
      <c r="V186">
        <f>(1-O186)*F_primary+(1-P186)*E_inv+(1-Q186)*D_inv+(1-R186)*C_inv+(1-S186)*B_inv+(1-T186)*A_inv+(1-U186)*seed_inv</f>
        <v/>
      </c>
      <c r="W186">
        <f>MAX(0, sens_exit - V186)</f>
        <v/>
      </c>
      <c r="X186">
        <f>F1_sh+F2_sh+F3_sh+RSA_sh+J186+K186+O186*L186+P186*(E_sh + F186)+Q186*(D_sh + E186)+R186*C_sh+S186*B_sh+T186*A_sh+U186*seed_sh</f>
        <v/>
      </c>
      <c r="Y186">
        <f>(W186 + preF_opts_iss*opt_strike)/(X186 + preF_opts_iss)</f>
        <v/>
      </c>
    </row>
    <row r="187">
      <c r="B187">
        <f>N186</f>
        <v/>
      </c>
      <c r="C187">
        <f>OCP_D*(preF_FD + F_primary/OCP_D)/(preF_FD + F_primary/B187)</f>
        <v/>
      </c>
      <c r="D187">
        <f>OCP_E*(preF_FD + F_primary/OCP_E)/(preF_FD + F_primary/B187)</f>
        <v/>
      </c>
      <c r="E187">
        <f>D_sh*(OCP_D/C187 - 1)</f>
        <v/>
      </c>
      <c r="F187">
        <f>E_sh*(OCP_E/D187 - 1)</f>
        <v/>
      </c>
      <c r="G187">
        <f>(preF_FD + E187 + F187 - preF_opts + J186 + K186 + F_primary/B187)/(1-B150)</f>
        <v/>
      </c>
      <c r="H187">
        <f>MAX(0, B150*G187 - preF_opts)</f>
        <v/>
      </c>
      <c r="I187">
        <f>preF_FD + E187 + F187 + H187</f>
        <v/>
      </c>
      <c r="J187">
        <f>NA_P/MIN(NA_cap/(I187+K186), (1-NA_disc)*B187)</f>
        <v/>
      </c>
      <c r="K187">
        <f>NB_P/MIN(NB_cap/(I187+J187), (1-NB_disc)*B187)</f>
        <v/>
      </c>
      <c r="L187">
        <f>F_primary/B187</f>
        <v/>
      </c>
      <c r="M187">
        <f>I187+J187+K187</f>
        <v/>
      </c>
      <c r="N187">
        <f>D150/M187</f>
        <v/>
      </c>
      <c r="O187">
        <f>IF(Y186*L187 &gt; F_primary, 1, 0)</f>
        <v/>
      </c>
      <c r="P187">
        <f>IF(Y186*(E_sh + F187) &gt; E_inv, 1, 0)</f>
        <v/>
      </c>
      <c r="Q187">
        <f>IF(Y186*(D_sh + E187) &gt; D_inv, 1, 0)</f>
        <v/>
      </c>
      <c r="R187">
        <f>IF(Y186*C_sh &gt; C_inv, 1, 0)</f>
        <v/>
      </c>
      <c r="S187">
        <f>IF(Y186*B_sh &gt; B_inv, 1, 0)</f>
        <v/>
      </c>
      <c r="T187">
        <f>IF(Y186*A_sh &gt; A_inv, 1, 0)</f>
        <v/>
      </c>
      <c r="U187">
        <f>IF(Y186*seed_sh &gt; seed_inv, 1, 0)</f>
        <v/>
      </c>
      <c r="V187">
        <f>(1-O187)*F_primary+(1-P187)*E_inv+(1-Q187)*D_inv+(1-R187)*C_inv+(1-S187)*B_inv+(1-T187)*A_inv+(1-U187)*seed_inv</f>
        <v/>
      </c>
      <c r="W187">
        <f>MAX(0, sens_exit - V187)</f>
        <v/>
      </c>
      <c r="X187">
        <f>F1_sh+F2_sh+F3_sh+RSA_sh+J187+K187+O187*L187+P187*(E_sh + F187)+Q187*(D_sh + E187)+R187*C_sh+S187*B_sh+T187*A_sh+U187*seed_sh</f>
        <v/>
      </c>
      <c r="Y187">
        <f>(W187 + preF_opts_iss*opt_strike)/(X187 + preF_opts_iss)</f>
        <v/>
      </c>
    </row>
    <row r="188">
      <c r="B188">
        <f>N187</f>
        <v/>
      </c>
      <c r="C188">
        <f>OCP_D*(preF_FD + F_primary/OCP_D)/(preF_FD + F_primary/B188)</f>
        <v/>
      </c>
      <c r="D188">
        <f>OCP_E*(preF_FD + F_primary/OCP_E)/(preF_FD + F_primary/B188)</f>
        <v/>
      </c>
      <c r="E188">
        <f>D_sh*(OCP_D/C188 - 1)</f>
        <v/>
      </c>
      <c r="F188">
        <f>E_sh*(OCP_E/D188 - 1)</f>
        <v/>
      </c>
      <c r="G188">
        <f>(preF_FD + E188 + F188 - preF_opts + J187 + K187 + F_primary/B188)/(1-B150)</f>
        <v/>
      </c>
      <c r="H188">
        <f>MAX(0, B150*G188 - preF_opts)</f>
        <v/>
      </c>
      <c r="I188">
        <f>preF_FD + E188 + F188 + H188</f>
        <v/>
      </c>
      <c r="J188">
        <f>NA_P/MIN(NA_cap/(I188+K187), (1-NA_disc)*B188)</f>
        <v/>
      </c>
      <c r="K188">
        <f>NB_P/MIN(NB_cap/(I188+J188), (1-NB_disc)*B188)</f>
        <v/>
      </c>
      <c r="L188">
        <f>F_primary/B188</f>
        <v/>
      </c>
      <c r="M188">
        <f>I188+J188+K188</f>
        <v/>
      </c>
      <c r="N188">
        <f>D150/M188</f>
        <v/>
      </c>
      <c r="O188">
        <f>IF(Y187*L188 &gt; F_primary, 1, 0)</f>
        <v/>
      </c>
      <c r="P188">
        <f>IF(Y187*(E_sh + F188) &gt; E_inv, 1, 0)</f>
        <v/>
      </c>
      <c r="Q188">
        <f>IF(Y187*(D_sh + E188) &gt; D_inv, 1, 0)</f>
        <v/>
      </c>
      <c r="R188">
        <f>IF(Y187*C_sh &gt; C_inv, 1, 0)</f>
        <v/>
      </c>
      <c r="S188">
        <f>IF(Y187*B_sh &gt; B_inv, 1, 0)</f>
        <v/>
      </c>
      <c r="T188">
        <f>IF(Y187*A_sh &gt; A_inv, 1, 0)</f>
        <v/>
      </c>
      <c r="U188">
        <f>IF(Y187*seed_sh &gt; seed_inv, 1, 0)</f>
        <v/>
      </c>
      <c r="V188">
        <f>(1-O188)*F_primary+(1-P188)*E_inv+(1-Q188)*D_inv+(1-R188)*C_inv+(1-S188)*B_inv+(1-T188)*A_inv+(1-U188)*seed_inv</f>
        <v/>
      </c>
      <c r="W188">
        <f>MAX(0, sens_exit - V188)</f>
        <v/>
      </c>
      <c r="X188">
        <f>F1_sh+F2_sh+F3_sh+RSA_sh+J188+K188+O188*L188+P188*(E_sh + F188)+Q188*(D_sh + E188)+R188*C_sh+S188*B_sh+T188*A_sh+U188*seed_sh</f>
        <v/>
      </c>
      <c r="Y188">
        <f>(W188 + preF_opts_iss*opt_strike)/(X188 + preF_opts_iss)</f>
        <v/>
      </c>
    </row>
    <row r="189">
      <c r="A189" s="6" t="inlineStr">
        <is>
          <t>--- Scenario 5: ESOP=sens_e_md, Pre-money=sens_p_md ---</t>
        </is>
      </c>
    </row>
    <row r="190">
      <c r="A190" s="6" t="inlineStr">
        <is>
          <t>ESOP</t>
        </is>
      </c>
      <c r="B190">
        <f>sens_e_md</f>
        <v/>
      </c>
      <c r="C190" s="6" t="inlineStr">
        <is>
          <t>Pre-money</t>
        </is>
      </c>
      <c r="D190">
        <f>sens_p_md</f>
        <v/>
      </c>
      <c r="E190" s="6" t="inlineStr">
        <is>
          <t>F_PPS</t>
        </is>
      </c>
      <c r="F190">
        <f>N228</f>
        <v/>
      </c>
      <c r="G190" s="6" t="inlineStr">
        <is>
          <t>T_F</t>
        </is>
      </c>
      <c r="H190">
        <f>I228+J228+K228+L228</f>
        <v/>
      </c>
      <c r="I190" s="6" t="inlineStr">
        <is>
          <t>NA_sh</t>
        </is>
      </c>
      <c r="J190">
        <f>J228</f>
        <v/>
      </c>
      <c r="K190" s="6" t="inlineStr">
        <is>
          <t>NB_sh</t>
        </is>
      </c>
      <c r="L190">
        <f>K228</f>
        <v/>
      </c>
      <c r="M190" s="6" t="inlineStr">
        <is>
          <t>NA_branch</t>
        </is>
      </c>
      <c r="N190">
        <f>IF(NA_cap/(I228+K228) &lt; (1-NA_disc)*N228, "cap", "discount")</f>
        <v/>
      </c>
      <c r="O190" s="6" t="inlineStr">
        <is>
          <t>NB_branch</t>
        </is>
      </c>
      <c r="P190">
        <f>IF(NB_cap/(I228+J228) &lt; (1-NB_disc)*N228, "cap", "discount")</f>
        <v/>
      </c>
    </row>
    <row r="191">
      <c r="A191" s="6" t="inlineStr">
        <is>
          <t>our_sh</t>
        </is>
      </c>
      <c r="B191">
        <f>our_check/F190</f>
        <v/>
      </c>
      <c r="C191" s="6" t="inlineStr">
        <is>
          <t>own%</t>
        </is>
      </c>
      <c r="D191" s="5">
        <f>B191/H190</f>
        <v/>
      </c>
      <c r="E191" s="6" t="inlineStr">
        <is>
          <t>F_election</t>
        </is>
      </c>
      <c r="F191">
        <f>IF(Y228*L228 &gt; F_primary, "convert", "preference")</f>
        <v/>
      </c>
      <c r="G191" s="6" t="inlineStr">
        <is>
          <t>F_payout</t>
        </is>
      </c>
      <c r="H191" s="8">
        <f>IF(F191="convert", Y228*L228, F_primary)</f>
        <v/>
      </c>
      <c r="I191" s="6" t="inlineStr">
        <is>
          <t>our_$</t>
        </is>
      </c>
      <c r="J191" s="8">
        <f>H191*our_check/F_primary</f>
        <v/>
      </c>
    </row>
    <row r="193">
      <c r="A193" s="6" t="inlineStr">
        <is>
          <t>iter</t>
        </is>
      </c>
      <c r="B193" s="6" t="inlineStr">
        <is>
          <t>F_PPS_in</t>
        </is>
      </c>
      <c r="C193" s="6" t="inlineStr">
        <is>
          <t>NCP_D</t>
        </is>
      </c>
      <c r="D193" s="6" t="inlineStr">
        <is>
          <t>NCP_E</t>
        </is>
      </c>
      <c r="E193" s="6" t="inlineStr">
        <is>
          <t>extras_D</t>
        </is>
      </c>
      <c r="F193" s="6" t="inlineStr">
        <is>
          <t>extras_E</t>
        </is>
      </c>
      <c r="G193" s="6" t="inlineStr">
        <is>
          <t>T_F</t>
        </is>
      </c>
      <c r="H193" s="6" t="inlineStr">
        <is>
          <t>topup</t>
        </is>
      </c>
      <c r="I193" s="6" t="inlineStr">
        <is>
          <t>preFD_nn</t>
        </is>
      </c>
      <c r="J193" s="6" t="inlineStr">
        <is>
          <t>NA_sh</t>
        </is>
      </c>
      <c r="K193" s="6" t="inlineStr">
        <is>
          <t>NB_sh</t>
        </is>
      </c>
      <c r="L193" s="6" t="inlineStr">
        <is>
          <t>F_prim_sh</t>
        </is>
      </c>
      <c r="M193" s="6" t="inlineStr">
        <is>
          <t>T_pre</t>
        </is>
      </c>
      <c r="N193" s="6" t="inlineStr">
        <is>
          <t>F_PPS_out</t>
        </is>
      </c>
      <c r="O193" s="6" t="inlineStr">
        <is>
          <t>ic_F</t>
        </is>
      </c>
      <c r="P193" s="6" t="inlineStr">
        <is>
          <t>ic_E</t>
        </is>
      </c>
      <c r="Q193" s="6" t="inlineStr">
        <is>
          <t>ic_D</t>
        </is>
      </c>
      <c r="R193" s="6" t="inlineStr">
        <is>
          <t>ic_C</t>
        </is>
      </c>
      <c r="S193" s="6" t="inlineStr">
        <is>
          <t>ic_B</t>
        </is>
      </c>
      <c r="T193" s="6" t="inlineStr">
        <is>
          <t>ic_A</t>
        </is>
      </c>
      <c r="U193" s="6" t="inlineStr">
        <is>
          <t>ic_Seed</t>
        </is>
      </c>
      <c r="V193" s="6" t="inlineStr">
        <is>
          <t>prefs_paid</t>
        </is>
      </c>
      <c r="W193" s="6" t="inlineStr">
        <is>
          <t>residual</t>
        </is>
      </c>
      <c r="X193" s="6" t="inlineStr">
        <is>
          <t>cv_shares</t>
        </is>
      </c>
      <c r="Y193" s="6" t="inlineStr">
        <is>
          <t>PPS_2B</t>
        </is>
      </c>
    </row>
    <row r="194">
      <c r="B194">
        <f>D190/preF_FD</f>
        <v/>
      </c>
      <c r="C194">
        <f>OCP_D*(preF_FD + F_primary/OCP_D)/(preF_FD + F_primary/B194)</f>
        <v/>
      </c>
      <c r="D194">
        <f>OCP_E*(preF_FD + F_primary/OCP_E)/(preF_FD + F_primary/B194)</f>
        <v/>
      </c>
      <c r="E194">
        <f>D_sh*(OCP_D/C194 - 1)</f>
        <v/>
      </c>
      <c r="F194">
        <f>E_sh*(OCP_E/D194 - 1)</f>
        <v/>
      </c>
      <c r="G194">
        <f>(preF_FD + E194 + F194 - preF_opts + 0 + 0 + F_primary/B194)/(1-B190)</f>
        <v/>
      </c>
      <c r="H194">
        <f>MAX(0, B190*G194 - preF_opts)</f>
        <v/>
      </c>
      <c r="I194">
        <f>preF_FD + E194 + F194 + H194</f>
        <v/>
      </c>
      <c r="J194">
        <f>NA_P/MIN(NA_cap/(I194+0), (1-NA_disc)*B194)</f>
        <v/>
      </c>
      <c r="K194">
        <f>NB_P/MIN(NB_cap/(I194+J194), (1-NB_disc)*B194)</f>
        <v/>
      </c>
      <c r="L194">
        <f>F_primary/B194</f>
        <v/>
      </c>
      <c r="M194">
        <f>I194+J194+K194</f>
        <v/>
      </c>
      <c r="N194">
        <f>D190/M194</f>
        <v/>
      </c>
      <c r="O194">
        <f>IF(0*L194 &gt; F_primary, 1, 0)</f>
        <v/>
      </c>
      <c r="P194">
        <f>IF(0*(E_sh + F194) &gt; E_inv, 1, 0)</f>
        <v/>
      </c>
      <c r="Q194">
        <f>IF(0*(D_sh + E194) &gt; D_inv, 1, 0)</f>
        <v/>
      </c>
      <c r="R194">
        <f>IF(0*C_sh &gt; C_inv, 1, 0)</f>
        <v/>
      </c>
      <c r="S194">
        <f>IF(0*B_sh &gt; B_inv, 1, 0)</f>
        <v/>
      </c>
      <c r="T194">
        <f>IF(0*A_sh &gt; A_inv, 1, 0)</f>
        <v/>
      </c>
      <c r="U194">
        <f>IF(0*seed_sh &gt; seed_inv, 1, 0)</f>
        <v/>
      </c>
      <c r="V194">
        <f>(1-O194)*F_primary+(1-P194)*E_inv+(1-Q194)*D_inv+(1-R194)*C_inv+(1-S194)*B_inv+(1-T194)*A_inv+(1-U194)*seed_inv</f>
        <v/>
      </c>
      <c r="W194">
        <f>MAX(0, sens_exit - V194)</f>
        <v/>
      </c>
      <c r="X194">
        <f>F1_sh+F2_sh+F3_sh+RSA_sh+J194+K194+O194*L194+P194*(E_sh + F194)+Q194*(D_sh + E194)+R194*C_sh+S194*B_sh+T194*A_sh+U194*seed_sh</f>
        <v/>
      </c>
      <c r="Y194">
        <f>(W194 + preF_opts_iss*opt_strike)/(X194 + preF_opts_iss)</f>
        <v/>
      </c>
    </row>
    <row r="195">
      <c r="B195">
        <f>N194</f>
        <v/>
      </c>
      <c r="C195">
        <f>OCP_D*(preF_FD + F_primary/OCP_D)/(preF_FD + F_primary/B195)</f>
        <v/>
      </c>
      <c r="D195">
        <f>OCP_E*(preF_FD + F_primary/OCP_E)/(preF_FD + F_primary/B195)</f>
        <v/>
      </c>
      <c r="E195">
        <f>D_sh*(OCP_D/C195 - 1)</f>
        <v/>
      </c>
      <c r="F195">
        <f>E_sh*(OCP_E/D195 - 1)</f>
        <v/>
      </c>
      <c r="G195">
        <f>(preF_FD + E195 + F195 - preF_opts + J194 + K194 + F_primary/B195)/(1-B190)</f>
        <v/>
      </c>
      <c r="H195">
        <f>MAX(0, B190*G195 - preF_opts)</f>
        <v/>
      </c>
      <c r="I195">
        <f>preF_FD + E195 + F195 + H195</f>
        <v/>
      </c>
      <c r="J195">
        <f>NA_P/MIN(NA_cap/(I195+K194), (1-NA_disc)*B195)</f>
        <v/>
      </c>
      <c r="K195">
        <f>NB_P/MIN(NB_cap/(I195+J195), (1-NB_disc)*B195)</f>
        <v/>
      </c>
      <c r="L195">
        <f>F_primary/B195</f>
        <v/>
      </c>
      <c r="M195">
        <f>I195+J195+K195</f>
        <v/>
      </c>
      <c r="N195">
        <f>D190/M195</f>
        <v/>
      </c>
      <c r="O195">
        <f>IF(Y194*L195 &gt; F_primary, 1, 0)</f>
        <v/>
      </c>
      <c r="P195">
        <f>IF(Y194*(E_sh + F195) &gt; E_inv, 1, 0)</f>
        <v/>
      </c>
      <c r="Q195">
        <f>IF(Y194*(D_sh + E195) &gt; D_inv, 1, 0)</f>
        <v/>
      </c>
      <c r="R195">
        <f>IF(Y194*C_sh &gt; C_inv, 1, 0)</f>
        <v/>
      </c>
      <c r="S195">
        <f>IF(Y194*B_sh &gt; B_inv, 1, 0)</f>
        <v/>
      </c>
      <c r="T195">
        <f>IF(Y194*A_sh &gt; A_inv, 1, 0)</f>
        <v/>
      </c>
      <c r="U195">
        <f>IF(Y194*seed_sh &gt; seed_inv, 1, 0)</f>
        <v/>
      </c>
      <c r="V195">
        <f>(1-O195)*F_primary+(1-P195)*E_inv+(1-Q195)*D_inv+(1-R195)*C_inv+(1-S195)*B_inv+(1-T195)*A_inv+(1-U195)*seed_inv</f>
        <v/>
      </c>
      <c r="W195">
        <f>MAX(0, sens_exit - V195)</f>
        <v/>
      </c>
      <c r="X195">
        <f>F1_sh+F2_sh+F3_sh+RSA_sh+J195+K195+O195*L195+P195*(E_sh + F195)+Q195*(D_sh + E195)+R195*C_sh+S195*B_sh+T195*A_sh+U195*seed_sh</f>
        <v/>
      </c>
      <c r="Y195">
        <f>(W195 + preF_opts_iss*opt_strike)/(X195 + preF_opts_iss)</f>
        <v/>
      </c>
    </row>
    <row r="196">
      <c r="B196">
        <f>N195</f>
        <v/>
      </c>
      <c r="C196">
        <f>OCP_D*(preF_FD + F_primary/OCP_D)/(preF_FD + F_primary/B196)</f>
        <v/>
      </c>
      <c r="D196">
        <f>OCP_E*(preF_FD + F_primary/OCP_E)/(preF_FD + F_primary/B196)</f>
        <v/>
      </c>
      <c r="E196">
        <f>D_sh*(OCP_D/C196 - 1)</f>
        <v/>
      </c>
      <c r="F196">
        <f>E_sh*(OCP_E/D196 - 1)</f>
        <v/>
      </c>
      <c r="G196">
        <f>(preF_FD + E196 + F196 - preF_opts + J195 + K195 + F_primary/B196)/(1-B190)</f>
        <v/>
      </c>
      <c r="H196">
        <f>MAX(0, B190*G196 - preF_opts)</f>
        <v/>
      </c>
      <c r="I196">
        <f>preF_FD + E196 + F196 + H196</f>
        <v/>
      </c>
      <c r="J196">
        <f>NA_P/MIN(NA_cap/(I196+K195), (1-NA_disc)*B196)</f>
        <v/>
      </c>
      <c r="K196">
        <f>NB_P/MIN(NB_cap/(I196+J196), (1-NB_disc)*B196)</f>
        <v/>
      </c>
      <c r="L196">
        <f>F_primary/B196</f>
        <v/>
      </c>
      <c r="M196">
        <f>I196+J196+K196</f>
        <v/>
      </c>
      <c r="N196">
        <f>D190/M196</f>
        <v/>
      </c>
      <c r="O196">
        <f>IF(Y195*L196 &gt; F_primary, 1, 0)</f>
        <v/>
      </c>
      <c r="P196">
        <f>IF(Y195*(E_sh + F196) &gt; E_inv, 1, 0)</f>
        <v/>
      </c>
      <c r="Q196">
        <f>IF(Y195*(D_sh + E196) &gt; D_inv, 1, 0)</f>
        <v/>
      </c>
      <c r="R196">
        <f>IF(Y195*C_sh &gt; C_inv, 1, 0)</f>
        <v/>
      </c>
      <c r="S196">
        <f>IF(Y195*B_sh &gt; B_inv, 1, 0)</f>
        <v/>
      </c>
      <c r="T196">
        <f>IF(Y195*A_sh &gt; A_inv, 1, 0)</f>
        <v/>
      </c>
      <c r="U196">
        <f>IF(Y195*seed_sh &gt; seed_inv, 1, 0)</f>
        <v/>
      </c>
      <c r="V196">
        <f>(1-O196)*F_primary+(1-P196)*E_inv+(1-Q196)*D_inv+(1-R196)*C_inv+(1-S196)*B_inv+(1-T196)*A_inv+(1-U196)*seed_inv</f>
        <v/>
      </c>
      <c r="W196">
        <f>MAX(0, sens_exit - V196)</f>
        <v/>
      </c>
      <c r="X196">
        <f>F1_sh+F2_sh+F3_sh+RSA_sh+J196+K196+O196*L196+P196*(E_sh + F196)+Q196*(D_sh + E196)+R196*C_sh+S196*B_sh+T196*A_sh+U196*seed_sh</f>
        <v/>
      </c>
      <c r="Y196">
        <f>(W196 + preF_opts_iss*opt_strike)/(X196 + preF_opts_iss)</f>
        <v/>
      </c>
    </row>
    <row r="197">
      <c r="B197">
        <f>N196</f>
        <v/>
      </c>
      <c r="C197">
        <f>OCP_D*(preF_FD + F_primary/OCP_D)/(preF_FD + F_primary/B197)</f>
        <v/>
      </c>
      <c r="D197">
        <f>OCP_E*(preF_FD + F_primary/OCP_E)/(preF_FD + F_primary/B197)</f>
        <v/>
      </c>
      <c r="E197">
        <f>D_sh*(OCP_D/C197 - 1)</f>
        <v/>
      </c>
      <c r="F197">
        <f>E_sh*(OCP_E/D197 - 1)</f>
        <v/>
      </c>
      <c r="G197">
        <f>(preF_FD + E197 + F197 - preF_opts + J196 + K196 + F_primary/B197)/(1-B190)</f>
        <v/>
      </c>
      <c r="H197">
        <f>MAX(0, B190*G197 - preF_opts)</f>
        <v/>
      </c>
      <c r="I197">
        <f>preF_FD + E197 + F197 + H197</f>
        <v/>
      </c>
      <c r="J197">
        <f>NA_P/MIN(NA_cap/(I197+K196), (1-NA_disc)*B197)</f>
        <v/>
      </c>
      <c r="K197">
        <f>NB_P/MIN(NB_cap/(I197+J197), (1-NB_disc)*B197)</f>
        <v/>
      </c>
      <c r="L197">
        <f>F_primary/B197</f>
        <v/>
      </c>
      <c r="M197">
        <f>I197+J197+K197</f>
        <v/>
      </c>
      <c r="N197">
        <f>D190/M197</f>
        <v/>
      </c>
      <c r="O197">
        <f>IF(Y196*L197 &gt; F_primary, 1, 0)</f>
        <v/>
      </c>
      <c r="P197">
        <f>IF(Y196*(E_sh + F197) &gt; E_inv, 1, 0)</f>
        <v/>
      </c>
      <c r="Q197">
        <f>IF(Y196*(D_sh + E197) &gt; D_inv, 1, 0)</f>
        <v/>
      </c>
      <c r="R197">
        <f>IF(Y196*C_sh &gt; C_inv, 1, 0)</f>
        <v/>
      </c>
      <c r="S197">
        <f>IF(Y196*B_sh &gt; B_inv, 1, 0)</f>
        <v/>
      </c>
      <c r="T197">
        <f>IF(Y196*A_sh &gt; A_inv, 1, 0)</f>
        <v/>
      </c>
      <c r="U197">
        <f>IF(Y196*seed_sh &gt; seed_inv, 1, 0)</f>
        <v/>
      </c>
      <c r="V197">
        <f>(1-O197)*F_primary+(1-P197)*E_inv+(1-Q197)*D_inv+(1-R197)*C_inv+(1-S197)*B_inv+(1-T197)*A_inv+(1-U197)*seed_inv</f>
        <v/>
      </c>
      <c r="W197">
        <f>MAX(0, sens_exit - V197)</f>
        <v/>
      </c>
      <c r="X197">
        <f>F1_sh+F2_sh+F3_sh+RSA_sh+J197+K197+O197*L197+P197*(E_sh + F197)+Q197*(D_sh + E197)+R197*C_sh+S197*B_sh+T197*A_sh+U197*seed_sh</f>
        <v/>
      </c>
      <c r="Y197">
        <f>(W197 + preF_opts_iss*opt_strike)/(X197 + preF_opts_iss)</f>
        <v/>
      </c>
    </row>
    <row r="198">
      <c r="B198">
        <f>N197</f>
        <v/>
      </c>
      <c r="C198">
        <f>OCP_D*(preF_FD + F_primary/OCP_D)/(preF_FD + F_primary/B198)</f>
        <v/>
      </c>
      <c r="D198">
        <f>OCP_E*(preF_FD + F_primary/OCP_E)/(preF_FD + F_primary/B198)</f>
        <v/>
      </c>
      <c r="E198">
        <f>D_sh*(OCP_D/C198 - 1)</f>
        <v/>
      </c>
      <c r="F198">
        <f>E_sh*(OCP_E/D198 - 1)</f>
        <v/>
      </c>
      <c r="G198">
        <f>(preF_FD + E198 + F198 - preF_opts + J197 + K197 + F_primary/B198)/(1-B190)</f>
        <v/>
      </c>
      <c r="H198">
        <f>MAX(0, B190*G198 - preF_opts)</f>
        <v/>
      </c>
      <c r="I198">
        <f>preF_FD + E198 + F198 + H198</f>
        <v/>
      </c>
      <c r="J198">
        <f>NA_P/MIN(NA_cap/(I198+K197), (1-NA_disc)*B198)</f>
        <v/>
      </c>
      <c r="K198">
        <f>NB_P/MIN(NB_cap/(I198+J198), (1-NB_disc)*B198)</f>
        <v/>
      </c>
      <c r="L198">
        <f>F_primary/B198</f>
        <v/>
      </c>
      <c r="M198">
        <f>I198+J198+K198</f>
        <v/>
      </c>
      <c r="N198">
        <f>D190/M198</f>
        <v/>
      </c>
      <c r="O198">
        <f>IF(Y197*L198 &gt; F_primary, 1, 0)</f>
        <v/>
      </c>
      <c r="P198">
        <f>IF(Y197*(E_sh + F198) &gt; E_inv, 1, 0)</f>
        <v/>
      </c>
      <c r="Q198">
        <f>IF(Y197*(D_sh + E198) &gt; D_inv, 1, 0)</f>
        <v/>
      </c>
      <c r="R198">
        <f>IF(Y197*C_sh &gt; C_inv, 1, 0)</f>
        <v/>
      </c>
      <c r="S198">
        <f>IF(Y197*B_sh &gt; B_inv, 1, 0)</f>
        <v/>
      </c>
      <c r="T198">
        <f>IF(Y197*A_sh &gt; A_inv, 1, 0)</f>
        <v/>
      </c>
      <c r="U198">
        <f>IF(Y197*seed_sh &gt; seed_inv, 1, 0)</f>
        <v/>
      </c>
      <c r="V198">
        <f>(1-O198)*F_primary+(1-P198)*E_inv+(1-Q198)*D_inv+(1-R198)*C_inv+(1-S198)*B_inv+(1-T198)*A_inv+(1-U198)*seed_inv</f>
        <v/>
      </c>
      <c r="W198">
        <f>MAX(0, sens_exit - V198)</f>
        <v/>
      </c>
      <c r="X198">
        <f>F1_sh+F2_sh+F3_sh+RSA_sh+J198+K198+O198*L198+P198*(E_sh + F198)+Q198*(D_sh + E198)+R198*C_sh+S198*B_sh+T198*A_sh+U198*seed_sh</f>
        <v/>
      </c>
      <c r="Y198">
        <f>(W198 + preF_opts_iss*opt_strike)/(X198 + preF_opts_iss)</f>
        <v/>
      </c>
    </row>
    <row r="199">
      <c r="B199">
        <f>N198</f>
        <v/>
      </c>
      <c r="C199">
        <f>OCP_D*(preF_FD + F_primary/OCP_D)/(preF_FD + F_primary/B199)</f>
        <v/>
      </c>
      <c r="D199">
        <f>OCP_E*(preF_FD + F_primary/OCP_E)/(preF_FD + F_primary/B199)</f>
        <v/>
      </c>
      <c r="E199">
        <f>D_sh*(OCP_D/C199 - 1)</f>
        <v/>
      </c>
      <c r="F199">
        <f>E_sh*(OCP_E/D199 - 1)</f>
        <v/>
      </c>
      <c r="G199">
        <f>(preF_FD + E199 + F199 - preF_opts + J198 + K198 + F_primary/B199)/(1-B190)</f>
        <v/>
      </c>
      <c r="H199">
        <f>MAX(0, B190*G199 - preF_opts)</f>
        <v/>
      </c>
      <c r="I199">
        <f>preF_FD + E199 + F199 + H199</f>
        <v/>
      </c>
      <c r="J199">
        <f>NA_P/MIN(NA_cap/(I199+K198), (1-NA_disc)*B199)</f>
        <v/>
      </c>
      <c r="K199">
        <f>NB_P/MIN(NB_cap/(I199+J199), (1-NB_disc)*B199)</f>
        <v/>
      </c>
      <c r="L199">
        <f>F_primary/B199</f>
        <v/>
      </c>
      <c r="M199">
        <f>I199+J199+K199</f>
        <v/>
      </c>
      <c r="N199">
        <f>D190/M199</f>
        <v/>
      </c>
      <c r="O199">
        <f>IF(Y198*L199 &gt; F_primary, 1, 0)</f>
        <v/>
      </c>
      <c r="P199">
        <f>IF(Y198*(E_sh + F199) &gt; E_inv, 1, 0)</f>
        <v/>
      </c>
      <c r="Q199">
        <f>IF(Y198*(D_sh + E199) &gt; D_inv, 1, 0)</f>
        <v/>
      </c>
      <c r="R199">
        <f>IF(Y198*C_sh &gt; C_inv, 1, 0)</f>
        <v/>
      </c>
      <c r="S199">
        <f>IF(Y198*B_sh &gt; B_inv, 1, 0)</f>
        <v/>
      </c>
      <c r="T199">
        <f>IF(Y198*A_sh &gt; A_inv, 1, 0)</f>
        <v/>
      </c>
      <c r="U199">
        <f>IF(Y198*seed_sh &gt; seed_inv, 1, 0)</f>
        <v/>
      </c>
      <c r="V199">
        <f>(1-O199)*F_primary+(1-P199)*E_inv+(1-Q199)*D_inv+(1-R199)*C_inv+(1-S199)*B_inv+(1-T199)*A_inv+(1-U199)*seed_inv</f>
        <v/>
      </c>
      <c r="W199">
        <f>MAX(0, sens_exit - V199)</f>
        <v/>
      </c>
      <c r="X199">
        <f>F1_sh+F2_sh+F3_sh+RSA_sh+J199+K199+O199*L199+P199*(E_sh + F199)+Q199*(D_sh + E199)+R199*C_sh+S199*B_sh+T199*A_sh+U199*seed_sh</f>
        <v/>
      </c>
      <c r="Y199">
        <f>(W199 + preF_opts_iss*opt_strike)/(X199 + preF_opts_iss)</f>
        <v/>
      </c>
    </row>
    <row r="200">
      <c r="B200">
        <f>N199</f>
        <v/>
      </c>
      <c r="C200">
        <f>OCP_D*(preF_FD + F_primary/OCP_D)/(preF_FD + F_primary/B200)</f>
        <v/>
      </c>
      <c r="D200">
        <f>OCP_E*(preF_FD + F_primary/OCP_E)/(preF_FD + F_primary/B200)</f>
        <v/>
      </c>
      <c r="E200">
        <f>D_sh*(OCP_D/C200 - 1)</f>
        <v/>
      </c>
      <c r="F200">
        <f>E_sh*(OCP_E/D200 - 1)</f>
        <v/>
      </c>
      <c r="G200">
        <f>(preF_FD + E200 + F200 - preF_opts + J199 + K199 + F_primary/B200)/(1-B190)</f>
        <v/>
      </c>
      <c r="H200">
        <f>MAX(0, B190*G200 - preF_opts)</f>
        <v/>
      </c>
      <c r="I200">
        <f>preF_FD + E200 + F200 + H200</f>
        <v/>
      </c>
      <c r="J200">
        <f>NA_P/MIN(NA_cap/(I200+K199), (1-NA_disc)*B200)</f>
        <v/>
      </c>
      <c r="K200">
        <f>NB_P/MIN(NB_cap/(I200+J200), (1-NB_disc)*B200)</f>
        <v/>
      </c>
      <c r="L200">
        <f>F_primary/B200</f>
        <v/>
      </c>
      <c r="M200">
        <f>I200+J200+K200</f>
        <v/>
      </c>
      <c r="N200">
        <f>D190/M200</f>
        <v/>
      </c>
      <c r="O200">
        <f>IF(Y199*L200 &gt; F_primary, 1, 0)</f>
        <v/>
      </c>
      <c r="P200">
        <f>IF(Y199*(E_sh + F200) &gt; E_inv, 1, 0)</f>
        <v/>
      </c>
      <c r="Q200">
        <f>IF(Y199*(D_sh + E200) &gt; D_inv, 1, 0)</f>
        <v/>
      </c>
      <c r="R200">
        <f>IF(Y199*C_sh &gt; C_inv, 1, 0)</f>
        <v/>
      </c>
      <c r="S200">
        <f>IF(Y199*B_sh &gt; B_inv, 1, 0)</f>
        <v/>
      </c>
      <c r="T200">
        <f>IF(Y199*A_sh &gt; A_inv, 1, 0)</f>
        <v/>
      </c>
      <c r="U200">
        <f>IF(Y199*seed_sh &gt; seed_inv, 1, 0)</f>
        <v/>
      </c>
      <c r="V200">
        <f>(1-O200)*F_primary+(1-P200)*E_inv+(1-Q200)*D_inv+(1-R200)*C_inv+(1-S200)*B_inv+(1-T200)*A_inv+(1-U200)*seed_inv</f>
        <v/>
      </c>
      <c r="W200">
        <f>MAX(0, sens_exit - V200)</f>
        <v/>
      </c>
      <c r="X200">
        <f>F1_sh+F2_sh+F3_sh+RSA_sh+J200+K200+O200*L200+P200*(E_sh + F200)+Q200*(D_sh + E200)+R200*C_sh+S200*B_sh+T200*A_sh+U200*seed_sh</f>
        <v/>
      </c>
      <c r="Y200">
        <f>(W200 + preF_opts_iss*opt_strike)/(X200 + preF_opts_iss)</f>
        <v/>
      </c>
    </row>
    <row r="201">
      <c r="B201">
        <f>N200</f>
        <v/>
      </c>
      <c r="C201">
        <f>OCP_D*(preF_FD + F_primary/OCP_D)/(preF_FD + F_primary/B201)</f>
        <v/>
      </c>
      <c r="D201">
        <f>OCP_E*(preF_FD + F_primary/OCP_E)/(preF_FD + F_primary/B201)</f>
        <v/>
      </c>
      <c r="E201">
        <f>D_sh*(OCP_D/C201 - 1)</f>
        <v/>
      </c>
      <c r="F201">
        <f>E_sh*(OCP_E/D201 - 1)</f>
        <v/>
      </c>
      <c r="G201">
        <f>(preF_FD + E201 + F201 - preF_opts + J200 + K200 + F_primary/B201)/(1-B190)</f>
        <v/>
      </c>
      <c r="H201">
        <f>MAX(0, B190*G201 - preF_opts)</f>
        <v/>
      </c>
      <c r="I201">
        <f>preF_FD + E201 + F201 + H201</f>
        <v/>
      </c>
      <c r="J201">
        <f>NA_P/MIN(NA_cap/(I201+K200), (1-NA_disc)*B201)</f>
        <v/>
      </c>
      <c r="K201">
        <f>NB_P/MIN(NB_cap/(I201+J201), (1-NB_disc)*B201)</f>
        <v/>
      </c>
      <c r="L201">
        <f>F_primary/B201</f>
        <v/>
      </c>
      <c r="M201">
        <f>I201+J201+K201</f>
        <v/>
      </c>
      <c r="N201">
        <f>D190/M201</f>
        <v/>
      </c>
      <c r="O201">
        <f>IF(Y200*L201 &gt; F_primary, 1, 0)</f>
        <v/>
      </c>
      <c r="P201">
        <f>IF(Y200*(E_sh + F201) &gt; E_inv, 1, 0)</f>
        <v/>
      </c>
      <c r="Q201">
        <f>IF(Y200*(D_sh + E201) &gt; D_inv, 1, 0)</f>
        <v/>
      </c>
      <c r="R201">
        <f>IF(Y200*C_sh &gt; C_inv, 1, 0)</f>
        <v/>
      </c>
      <c r="S201">
        <f>IF(Y200*B_sh &gt; B_inv, 1, 0)</f>
        <v/>
      </c>
      <c r="T201">
        <f>IF(Y200*A_sh &gt; A_inv, 1, 0)</f>
        <v/>
      </c>
      <c r="U201">
        <f>IF(Y200*seed_sh &gt; seed_inv, 1, 0)</f>
        <v/>
      </c>
      <c r="V201">
        <f>(1-O201)*F_primary+(1-P201)*E_inv+(1-Q201)*D_inv+(1-R201)*C_inv+(1-S201)*B_inv+(1-T201)*A_inv+(1-U201)*seed_inv</f>
        <v/>
      </c>
      <c r="W201">
        <f>MAX(0, sens_exit - V201)</f>
        <v/>
      </c>
      <c r="X201">
        <f>F1_sh+F2_sh+F3_sh+RSA_sh+J201+K201+O201*L201+P201*(E_sh + F201)+Q201*(D_sh + E201)+R201*C_sh+S201*B_sh+T201*A_sh+U201*seed_sh</f>
        <v/>
      </c>
      <c r="Y201">
        <f>(W201 + preF_opts_iss*opt_strike)/(X201 + preF_opts_iss)</f>
        <v/>
      </c>
    </row>
    <row r="202">
      <c r="B202">
        <f>N201</f>
        <v/>
      </c>
      <c r="C202">
        <f>OCP_D*(preF_FD + F_primary/OCP_D)/(preF_FD + F_primary/B202)</f>
        <v/>
      </c>
      <c r="D202">
        <f>OCP_E*(preF_FD + F_primary/OCP_E)/(preF_FD + F_primary/B202)</f>
        <v/>
      </c>
      <c r="E202">
        <f>D_sh*(OCP_D/C202 - 1)</f>
        <v/>
      </c>
      <c r="F202">
        <f>E_sh*(OCP_E/D202 - 1)</f>
        <v/>
      </c>
      <c r="G202">
        <f>(preF_FD + E202 + F202 - preF_opts + J201 + K201 + F_primary/B202)/(1-B190)</f>
        <v/>
      </c>
      <c r="H202">
        <f>MAX(0, B190*G202 - preF_opts)</f>
        <v/>
      </c>
      <c r="I202">
        <f>preF_FD + E202 + F202 + H202</f>
        <v/>
      </c>
      <c r="J202">
        <f>NA_P/MIN(NA_cap/(I202+K201), (1-NA_disc)*B202)</f>
        <v/>
      </c>
      <c r="K202">
        <f>NB_P/MIN(NB_cap/(I202+J202), (1-NB_disc)*B202)</f>
        <v/>
      </c>
      <c r="L202">
        <f>F_primary/B202</f>
        <v/>
      </c>
      <c r="M202">
        <f>I202+J202+K202</f>
        <v/>
      </c>
      <c r="N202">
        <f>D190/M202</f>
        <v/>
      </c>
      <c r="O202">
        <f>IF(Y201*L202 &gt; F_primary, 1, 0)</f>
        <v/>
      </c>
      <c r="P202">
        <f>IF(Y201*(E_sh + F202) &gt; E_inv, 1, 0)</f>
        <v/>
      </c>
      <c r="Q202">
        <f>IF(Y201*(D_sh + E202) &gt; D_inv, 1, 0)</f>
        <v/>
      </c>
      <c r="R202">
        <f>IF(Y201*C_sh &gt; C_inv, 1, 0)</f>
        <v/>
      </c>
      <c r="S202">
        <f>IF(Y201*B_sh &gt; B_inv, 1, 0)</f>
        <v/>
      </c>
      <c r="T202">
        <f>IF(Y201*A_sh &gt; A_inv, 1, 0)</f>
        <v/>
      </c>
      <c r="U202">
        <f>IF(Y201*seed_sh &gt; seed_inv, 1, 0)</f>
        <v/>
      </c>
      <c r="V202">
        <f>(1-O202)*F_primary+(1-P202)*E_inv+(1-Q202)*D_inv+(1-R202)*C_inv+(1-S202)*B_inv+(1-T202)*A_inv+(1-U202)*seed_inv</f>
        <v/>
      </c>
      <c r="W202">
        <f>MAX(0, sens_exit - V202)</f>
        <v/>
      </c>
      <c r="X202">
        <f>F1_sh+F2_sh+F3_sh+RSA_sh+J202+K202+O202*L202+P202*(E_sh + F202)+Q202*(D_sh + E202)+R202*C_sh+S202*B_sh+T202*A_sh+U202*seed_sh</f>
        <v/>
      </c>
      <c r="Y202">
        <f>(W202 + preF_opts_iss*opt_strike)/(X202 + preF_opts_iss)</f>
        <v/>
      </c>
    </row>
    <row r="203">
      <c r="B203">
        <f>N202</f>
        <v/>
      </c>
      <c r="C203">
        <f>OCP_D*(preF_FD + F_primary/OCP_D)/(preF_FD + F_primary/B203)</f>
        <v/>
      </c>
      <c r="D203">
        <f>OCP_E*(preF_FD + F_primary/OCP_E)/(preF_FD + F_primary/B203)</f>
        <v/>
      </c>
      <c r="E203">
        <f>D_sh*(OCP_D/C203 - 1)</f>
        <v/>
      </c>
      <c r="F203">
        <f>E_sh*(OCP_E/D203 - 1)</f>
        <v/>
      </c>
      <c r="G203">
        <f>(preF_FD + E203 + F203 - preF_opts + J202 + K202 + F_primary/B203)/(1-B190)</f>
        <v/>
      </c>
      <c r="H203">
        <f>MAX(0, B190*G203 - preF_opts)</f>
        <v/>
      </c>
      <c r="I203">
        <f>preF_FD + E203 + F203 + H203</f>
        <v/>
      </c>
      <c r="J203">
        <f>NA_P/MIN(NA_cap/(I203+K202), (1-NA_disc)*B203)</f>
        <v/>
      </c>
      <c r="K203">
        <f>NB_P/MIN(NB_cap/(I203+J203), (1-NB_disc)*B203)</f>
        <v/>
      </c>
      <c r="L203">
        <f>F_primary/B203</f>
        <v/>
      </c>
      <c r="M203">
        <f>I203+J203+K203</f>
        <v/>
      </c>
      <c r="N203">
        <f>D190/M203</f>
        <v/>
      </c>
      <c r="O203">
        <f>IF(Y202*L203 &gt; F_primary, 1, 0)</f>
        <v/>
      </c>
      <c r="P203">
        <f>IF(Y202*(E_sh + F203) &gt; E_inv, 1, 0)</f>
        <v/>
      </c>
      <c r="Q203">
        <f>IF(Y202*(D_sh + E203) &gt; D_inv, 1, 0)</f>
        <v/>
      </c>
      <c r="R203">
        <f>IF(Y202*C_sh &gt; C_inv, 1, 0)</f>
        <v/>
      </c>
      <c r="S203">
        <f>IF(Y202*B_sh &gt; B_inv, 1, 0)</f>
        <v/>
      </c>
      <c r="T203">
        <f>IF(Y202*A_sh &gt; A_inv, 1, 0)</f>
        <v/>
      </c>
      <c r="U203">
        <f>IF(Y202*seed_sh &gt; seed_inv, 1, 0)</f>
        <v/>
      </c>
      <c r="V203">
        <f>(1-O203)*F_primary+(1-P203)*E_inv+(1-Q203)*D_inv+(1-R203)*C_inv+(1-S203)*B_inv+(1-T203)*A_inv+(1-U203)*seed_inv</f>
        <v/>
      </c>
      <c r="W203">
        <f>MAX(0, sens_exit - V203)</f>
        <v/>
      </c>
      <c r="X203">
        <f>F1_sh+F2_sh+F3_sh+RSA_sh+J203+K203+O203*L203+P203*(E_sh + F203)+Q203*(D_sh + E203)+R203*C_sh+S203*B_sh+T203*A_sh+U203*seed_sh</f>
        <v/>
      </c>
      <c r="Y203">
        <f>(W203 + preF_opts_iss*opt_strike)/(X203 + preF_opts_iss)</f>
        <v/>
      </c>
    </row>
    <row r="204">
      <c r="B204">
        <f>N203</f>
        <v/>
      </c>
      <c r="C204">
        <f>OCP_D*(preF_FD + F_primary/OCP_D)/(preF_FD + F_primary/B204)</f>
        <v/>
      </c>
      <c r="D204">
        <f>OCP_E*(preF_FD + F_primary/OCP_E)/(preF_FD + F_primary/B204)</f>
        <v/>
      </c>
      <c r="E204">
        <f>D_sh*(OCP_D/C204 - 1)</f>
        <v/>
      </c>
      <c r="F204">
        <f>E_sh*(OCP_E/D204 - 1)</f>
        <v/>
      </c>
      <c r="G204">
        <f>(preF_FD + E204 + F204 - preF_opts + J203 + K203 + F_primary/B204)/(1-B190)</f>
        <v/>
      </c>
      <c r="H204">
        <f>MAX(0, B190*G204 - preF_opts)</f>
        <v/>
      </c>
      <c r="I204">
        <f>preF_FD + E204 + F204 + H204</f>
        <v/>
      </c>
      <c r="J204">
        <f>NA_P/MIN(NA_cap/(I204+K203), (1-NA_disc)*B204)</f>
        <v/>
      </c>
      <c r="K204">
        <f>NB_P/MIN(NB_cap/(I204+J204), (1-NB_disc)*B204)</f>
        <v/>
      </c>
      <c r="L204">
        <f>F_primary/B204</f>
        <v/>
      </c>
      <c r="M204">
        <f>I204+J204+K204</f>
        <v/>
      </c>
      <c r="N204">
        <f>D190/M204</f>
        <v/>
      </c>
      <c r="O204">
        <f>IF(Y203*L204 &gt; F_primary, 1, 0)</f>
        <v/>
      </c>
      <c r="P204">
        <f>IF(Y203*(E_sh + F204) &gt; E_inv, 1, 0)</f>
        <v/>
      </c>
      <c r="Q204">
        <f>IF(Y203*(D_sh + E204) &gt; D_inv, 1, 0)</f>
        <v/>
      </c>
      <c r="R204">
        <f>IF(Y203*C_sh &gt; C_inv, 1, 0)</f>
        <v/>
      </c>
      <c r="S204">
        <f>IF(Y203*B_sh &gt; B_inv, 1, 0)</f>
        <v/>
      </c>
      <c r="T204">
        <f>IF(Y203*A_sh &gt; A_inv, 1, 0)</f>
        <v/>
      </c>
      <c r="U204">
        <f>IF(Y203*seed_sh &gt; seed_inv, 1, 0)</f>
        <v/>
      </c>
      <c r="V204">
        <f>(1-O204)*F_primary+(1-P204)*E_inv+(1-Q204)*D_inv+(1-R204)*C_inv+(1-S204)*B_inv+(1-T204)*A_inv+(1-U204)*seed_inv</f>
        <v/>
      </c>
      <c r="W204">
        <f>MAX(0, sens_exit - V204)</f>
        <v/>
      </c>
      <c r="X204">
        <f>F1_sh+F2_sh+F3_sh+RSA_sh+J204+K204+O204*L204+P204*(E_sh + F204)+Q204*(D_sh + E204)+R204*C_sh+S204*B_sh+T204*A_sh+U204*seed_sh</f>
        <v/>
      </c>
      <c r="Y204">
        <f>(W204 + preF_opts_iss*opt_strike)/(X204 + preF_opts_iss)</f>
        <v/>
      </c>
    </row>
    <row r="205">
      <c r="B205">
        <f>N204</f>
        <v/>
      </c>
      <c r="C205">
        <f>OCP_D*(preF_FD + F_primary/OCP_D)/(preF_FD + F_primary/B205)</f>
        <v/>
      </c>
      <c r="D205">
        <f>OCP_E*(preF_FD + F_primary/OCP_E)/(preF_FD + F_primary/B205)</f>
        <v/>
      </c>
      <c r="E205">
        <f>D_sh*(OCP_D/C205 - 1)</f>
        <v/>
      </c>
      <c r="F205">
        <f>E_sh*(OCP_E/D205 - 1)</f>
        <v/>
      </c>
      <c r="G205">
        <f>(preF_FD + E205 + F205 - preF_opts + J204 + K204 + F_primary/B205)/(1-B190)</f>
        <v/>
      </c>
      <c r="H205">
        <f>MAX(0, B190*G205 - preF_opts)</f>
        <v/>
      </c>
      <c r="I205">
        <f>preF_FD + E205 + F205 + H205</f>
        <v/>
      </c>
      <c r="J205">
        <f>NA_P/MIN(NA_cap/(I205+K204), (1-NA_disc)*B205)</f>
        <v/>
      </c>
      <c r="K205">
        <f>NB_P/MIN(NB_cap/(I205+J205), (1-NB_disc)*B205)</f>
        <v/>
      </c>
      <c r="L205">
        <f>F_primary/B205</f>
        <v/>
      </c>
      <c r="M205">
        <f>I205+J205+K205</f>
        <v/>
      </c>
      <c r="N205">
        <f>D190/M205</f>
        <v/>
      </c>
      <c r="O205">
        <f>IF(Y204*L205 &gt; F_primary, 1, 0)</f>
        <v/>
      </c>
      <c r="P205">
        <f>IF(Y204*(E_sh + F205) &gt; E_inv, 1, 0)</f>
        <v/>
      </c>
      <c r="Q205">
        <f>IF(Y204*(D_sh + E205) &gt; D_inv, 1, 0)</f>
        <v/>
      </c>
      <c r="R205">
        <f>IF(Y204*C_sh &gt; C_inv, 1, 0)</f>
        <v/>
      </c>
      <c r="S205">
        <f>IF(Y204*B_sh &gt; B_inv, 1, 0)</f>
        <v/>
      </c>
      <c r="T205">
        <f>IF(Y204*A_sh &gt; A_inv, 1, 0)</f>
        <v/>
      </c>
      <c r="U205">
        <f>IF(Y204*seed_sh &gt; seed_inv, 1, 0)</f>
        <v/>
      </c>
      <c r="V205">
        <f>(1-O205)*F_primary+(1-P205)*E_inv+(1-Q205)*D_inv+(1-R205)*C_inv+(1-S205)*B_inv+(1-T205)*A_inv+(1-U205)*seed_inv</f>
        <v/>
      </c>
      <c r="W205">
        <f>MAX(0, sens_exit - V205)</f>
        <v/>
      </c>
      <c r="X205">
        <f>F1_sh+F2_sh+F3_sh+RSA_sh+J205+K205+O205*L205+P205*(E_sh + F205)+Q205*(D_sh + E205)+R205*C_sh+S205*B_sh+T205*A_sh+U205*seed_sh</f>
        <v/>
      </c>
      <c r="Y205">
        <f>(W205 + preF_opts_iss*opt_strike)/(X205 + preF_opts_iss)</f>
        <v/>
      </c>
    </row>
    <row r="206">
      <c r="B206">
        <f>N205</f>
        <v/>
      </c>
      <c r="C206">
        <f>OCP_D*(preF_FD + F_primary/OCP_D)/(preF_FD + F_primary/B206)</f>
        <v/>
      </c>
      <c r="D206">
        <f>OCP_E*(preF_FD + F_primary/OCP_E)/(preF_FD + F_primary/B206)</f>
        <v/>
      </c>
      <c r="E206">
        <f>D_sh*(OCP_D/C206 - 1)</f>
        <v/>
      </c>
      <c r="F206">
        <f>E_sh*(OCP_E/D206 - 1)</f>
        <v/>
      </c>
      <c r="G206">
        <f>(preF_FD + E206 + F206 - preF_opts + J205 + K205 + F_primary/B206)/(1-B190)</f>
        <v/>
      </c>
      <c r="H206">
        <f>MAX(0, B190*G206 - preF_opts)</f>
        <v/>
      </c>
      <c r="I206">
        <f>preF_FD + E206 + F206 + H206</f>
        <v/>
      </c>
      <c r="J206">
        <f>NA_P/MIN(NA_cap/(I206+K205), (1-NA_disc)*B206)</f>
        <v/>
      </c>
      <c r="K206">
        <f>NB_P/MIN(NB_cap/(I206+J206), (1-NB_disc)*B206)</f>
        <v/>
      </c>
      <c r="L206">
        <f>F_primary/B206</f>
        <v/>
      </c>
      <c r="M206">
        <f>I206+J206+K206</f>
        <v/>
      </c>
      <c r="N206">
        <f>D190/M206</f>
        <v/>
      </c>
      <c r="O206">
        <f>IF(Y205*L206 &gt; F_primary, 1, 0)</f>
        <v/>
      </c>
      <c r="P206">
        <f>IF(Y205*(E_sh + F206) &gt; E_inv, 1, 0)</f>
        <v/>
      </c>
      <c r="Q206">
        <f>IF(Y205*(D_sh + E206) &gt; D_inv, 1, 0)</f>
        <v/>
      </c>
      <c r="R206">
        <f>IF(Y205*C_sh &gt; C_inv, 1, 0)</f>
        <v/>
      </c>
      <c r="S206">
        <f>IF(Y205*B_sh &gt; B_inv, 1, 0)</f>
        <v/>
      </c>
      <c r="T206">
        <f>IF(Y205*A_sh &gt; A_inv, 1, 0)</f>
        <v/>
      </c>
      <c r="U206">
        <f>IF(Y205*seed_sh &gt; seed_inv, 1, 0)</f>
        <v/>
      </c>
      <c r="V206">
        <f>(1-O206)*F_primary+(1-P206)*E_inv+(1-Q206)*D_inv+(1-R206)*C_inv+(1-S206)*B_inv+(1-T206)*A_inv+(1-U206)*seed_inv</f>
        <v/>
      </c>
      <c r="W206">
        <f>MAX(0, sens_exit - V206)</f>
        <v/>
      </c>
      <c r="X206">
        <f>F1_sh+F2_sh+F3_sh+RSA_sh+J206+K206+O206*L206+P206*(E_sh + F206)+Q206*(D_sh + E206)+R206*C_sh+S206*B_sh+T206*A_sh+U206*seed_sh</f>
        <v/>
      </c>
      <c r="Y206">
        <f>(W206 + preF_opts_iss*opt_strike)/(X206 + preF_opts_iss)</f>
        <v/>
      </c>
    </row>
    <row r="207">
      <c r="B207">
        <f>N206</f>
        <v/>
      </c>
      <c r="C207">
        <f>OCP_D*(preF_FD + F_primary/OCP_D)/(preF_FD + F_primary/B207)</f>
        <v/>
      </c>
      <c r="D207">
        <f>OCP_E*(preF_FD + F_primary/OCP_E)/(preF_FD + F_primary/B207)</f>
        <v/>
      </c>
      <c r="E207">
        <f>D_sh*(OCP_D/C207 - 1)</f>
        <v/>
      </c>
      <c r="F207">
        <f>E_sh*(OCP_E/D207 - 1)</f>
        <v/>
      </c>
      <c r="G207">
        <f>(preF_FD + E207 + F207 - preF_opts + J206 + K206 + F_primary/B207)/(1-B190)</f>
        <v/>
      </c>
      <c r="H207">
        <f>MAX(0, B190*G207 - preF_opts)</f>
        <v/>
      </c>
      <c r="I207">
        <f>preF_FD + E207 + F207 + H207</f>
        <v/>
      </c>
      <c r="J207">
        <f>NA_P/MIN(NA_cap/(I207+K206), (1-NA_disc)*B207)</f>
        <v/>
      </c>
      <c r="K207">
        <f>NB_P/MIN(NB_cap/(I207+J207), (1-NB_disc)*B207)</f>
        <v/>
      </c>
      <c r="L207">
        <f>F_primary/B207</f>
        <v/>
      </c>
      <c r="M207">
        <f>I207+J207+K207</f>
        <v/>
      </c>
      <c r="N207">
        <f>D190/M207</f>
        <v/>
      </c>
      <c r="O207">
        <f>IF(Y206*L207 &gt; F_primary, 1, 0)</f>
        <v/>
      </c>
      <c r="P207">
        <f>IF(Y206*(E_sh + F207) &gt; E_inv, 1, 0)</f>
        <v/>
      </c>
      <c r="Q207">
        <f>IF(Y206*(D_sh + E207) &gt; D_inv, 1, 0)</f>
        <v/>
      </c>
      <c r="R207">
        <f>IF(Y206*C_sh &gt; C_inv, 1, 0)</f>
        <v/>
      </c>
      <c r="S207">
        <f>IF(Y206*B_sh &gt; B_inv, 1, 0)</f>
        <v/>
      </c>
      <c r="T207">
        <f>IF(Y206*A_sh &gt; A_inv, 1, 0)</f>
        <v/>
      </c>
      <c r="U207">
        <f>IF(Y206*seed_sh &gt; seed_inv, 1, 0)</f>
        <v/>
      </c>
      <c r="V207">
        <f>(1-O207)*F_primary+(1-P207)*E_inv+(1-Q207)*D_inv+(1-R207)*C_inv+(1-S207)*B_inv+(1-T207)*A_inv+(1-U207)*seed_inv</f>
        <v/>
      </c>
      <c r="W207">
        <f>MAX(0, sens_exit - V207)</f>
        <v/>
      </c>
      <c r="X207">
        <f>F1_sh+F2_sh+F3_sh+RSA_sh+J207+K207+O207*L207+P207*(E_sh + F207)+Q207*(D_sh + E207)+R207*C_sh+S207*B_sh+T207*A_sh+U207*seed_sh</f>
        <v/>
      </c>
      <c r="Y207">
        <f>(W207 + preF_opts_iss*opt_strike)/(X207 + preF_opts_iss)</f>
        <v/>
      </c>
    </row>
    <row r="208">
      <c r="B208">
        <f>N207</f>
        <v/>
      </c>
      <c r="C208">
        <f>OCP_D*(preF_FD + F_primary/OCP_D)/(preF_FD + F_primary/B208)</f>
        <v/>
      </c>
      <c r="D208">
        <f>OCP_E*(preF_FD + F_primary/OCP_E)/(preF_FD + F_primary/B208)</f>
        <v/>
      </c>
      <c r="E208">
        <f>D_sh*(OCP_D/C208 - 1)</f>
        <v/>
      </c>
      <c r="F208">
        <f>E_sh*(OCP_E/D208 - 1)</f>
        <v/>
      </c>
      <c r="G208">
        <f>(preF_FD + E208 + F208 - preF_opts + J207 + K207 + F_primary/B208)/(1-B190)</f>
        <v/>
      </c>
      <c r="H208">
        <f>MAX(0, B190*G208 - preF_opts)</f>
        <v/>
      </c>
      <c r="I208">
        <f>preF_FD + E208 + F208 + H208</f>
        <v/>
      </c>
      <c r="J208">
        <f>NA_P/MIN(NA_cap/(I208+K207), (1-NA_disc)*B208)</f>
        <v/>
      </c>
      <c r="K208">
        <f>NB_P/MIN(NB_cap/(I208+J208), (1-NB_disc)*B208)</f>
        <v/>
      </c>
      <c r="L208">
        <f>F_primary/B208</f>
        <v/>
      </c>
      <c r="M208">
        <f>I208+J208+K208</f>
        <v/>
      </c>
      <c r="N208">
        <f>D190/M208</f>
        <v/>
      </c>
      <c r="O208">
        <f>IF(Y207*L208 &gt; F_primary, 1, 0)</f>
        <v/>
      </c>
      <c r="P208">
        <f>IF(Y207*(E_sh + F208) &gt; E_inv, 1, 0)</f>
        <v/>
      </c>
      <c r="Q208">
        <f>IF(Y207*(D_sh + E208) &gt; D_inv, 1, 0)</f>
        <v/>
      </c>
      <c r="R208">
        <f>IF(Y207*C_sh &gt; C_inv, 1, 0)</f>
        <v/>
      </c>
      <c r="S208">
        <f>IF(Y207*B_sh &gt; B_inv, 1, 0)</f>
        <v/>
      </c>
      <c r="T208">
        <f>IF(Y207*A_sh &gt; A_inv, 1, 0)</f>
        <v/>
      </c>
      <c r="U208">
        <f>IF(Y207*seed_sh &gt; seed_inv, 1, 0)</f>
        <v/>
      </c>
      <c r="V208">
        <f>(1-O208)*F_primary+(1-P208)*E_inv+(1-Q208)*D_inv+(1-R208)*C_inv+(1-S208)*B_inv+(1-T208)*A_inv+(1-U208)*seed_inv</f>
        <v/>
      </c>
      <c r="W208">
        <f>MAX(0, sens_exit - V208)</f>
        <v/>
      </c>
      <c r="X208">
        <f>F1_sh+F2_sh+F3_sh+RSA_sh+J208+K208+O208*L208+P208*(E_sh + F208)+Q208*(D_sh + E208)+R208*C_sh+S208*B_sh+T208*A_sh+U208*seed_sh</f>
        <v/>
      </c>
      <c r="Y208">
        <f>(W208 + preF_opts_iss*opt_strike)/(X208 + preF_opts_iss)</f>
        <v/>
      </c>
    </row>
    <row r="209">
      <c r="B209">
        <f>N208</f>
        <v/>
      </c>
      <c r="C209">
        <f>OCP_D*(preF_FD + F_primary/OCP_D)/(preF_FD + F_primary/B209)</f>
        <v/>
      </c>
      <c r="D209">
        <f>OCP_E*(preF_FD + F_primary/OCP_E)/(preF_FD + F_primary/B209)</f>
        <v/>
      </c>
      <c r="E209">
        <f>D_sh*(OCP_D/C209 - 1)</f>
        <v/>
      </c>
      <c r="F209">
        <f>E_sh*(OCP_E/D209 - 1)</f>
        <v/>
      </c>
      <c r="G209">
        <f>(preF_FD + E209 + F209 - preF_opts + J208 + K208 + F_primary/B209)/(1-B190)</f>
        <v/>
      </c>
      <c r="H209">
        <f>MAX(0, B190*G209 - preF_opts)</f>
        <v/>
      </c>
      <c r="I209">
        <f>preF_FD + E209 + F209 + H209</f>
        <v/>
      </c>
      <c r="J209">
        <f>NA_P/MIN(NA_cap/(I209+K208), (1-NA_disc)*B209)</f>
        <v/>
      </c>
      <c r="K209">
        <f>NB_P/MIN(NB_cap/(I209+J209), (1-NB_disc)*B209)</f>
        <v/>
      </c>
      <c r="L209">
        <f>F_primary/B209</f>
        <v/>
      </c>
      <c r="M209">
        <f>I209+J209+K209</f>
        <v/>
      </c>
      <c r="N209">
        <f>D190/M209</f>
        <v/>
      </c>
      <c r="O209">
        <f>IF(Y208*L209 &gt; F_primary, 1, 0)</f>
        <v/>
      </c>
      <c r="P209">
        <f>IF(Y208*(E_sh + F209) &gt; E_inv, 1, 0)</f>
        <v/>
      </c>
      <c r="Q209">
        <f>IF(Y208*(D_sh + E209) &gt; D_inv, 1, 0)</f>
        <v/>
      </c>
      <c r="R209">
        <f>IF(Y208*C_sh &gt; C_inv, 1, 0)</f>
        <v/>
      </c>
      <c r="S209">
        <f>IF(Y208*B_sh &gt; B_inv, 1, 0)</f>
        <v/>
      </c>
      <c r="T209">
        <f>IF(Y208*A_sh &gt; A_inv, 1, 0)</f>
        <v/>
      </c>
      <c r="U209">
        <f>IF(Y208*seed_sh &gt; seed_inv, 1, 0)</f>
        <v/>
      </c>
      <c r="V209">
        <f>(1-O209)*F_primary+(1-P209)*E_inv+(1-Q209)*D_inv+(1-R209)*C_inv+(1-S209)*B_inv+(1-T209)*A_inv+(1-U209)*seed_inv</f>
        <v/>
      </c>
      <c r="W209">
        <f>MAX(0, sens_exit - V209)</f>
        <v/>
      </c>
      <c r="X209">
        <f>F1_sh+F2_sh+F3_sh+RSA_sh+J209+K209+O209*L209+P209*(E_sh + F209)+Q209*(D_sh + E209)+R209*C_sh+S209*B_sh+T209*A_sh+U209*seed_sh</f>
        <v/>
      </c>
      <c r="Y209">
        <f>(W209 + preF_opts_iss*opt_strike)/(X209 + preF_opts_iss)</f>
        <v/>
      </c>
    </row>
    <row r="210">
      <c r="B210">
        <f>N209</f>
        <v/>
      </c>
      <c r="C210">
        <f>OCP_D*(preF_FD + F_primary/OCP_D)/(preF_FD + F_primary/B210)</f>
        <v/>
      </c>
      <c r="D210">
        <f>OCP_E*(preF_FD + F_primary/OCP_E)/(preF_FD + F_primary/B210)</f>
        <v/>
      </c>
      <c r="E210">
        <f>D_sh*(OCP_D/C210 - 1)</f>
        <v/>
      </c>
      <c r="F210">
        <f>E_sh*(OCP_E/D210 - 1)</f>
        <v/>
      </c>
      <c r="G210">
        <f>(preF_FD + E210 + F210 - preF_opts + J209 + K209 + F_primary/B210)/(1-B190)</f>
        <v/>
      </c>
      <c r="H210">
        <f>MAX(0, B190*G210 - preF_opts)</f>
        <v/>
      </c>
      <c r="I210">
        <f>preF_FD + E210 + F210 + H210</f>
        <v/>
      </c>
      <c r="J210">
        <f>NA_P/MIN(NA_cap/(I210+K209), (1-NA_disc)*B210)</f>
        <v/>
      </c>
      <c r="K210">
        <f>NB_P/MIN(NB_cap/(I210+J210), (1-NB_disc)*B210)</f>
        <v/>
      </c>
      <c r="L210">
        <f>F_primary/B210</f>
        <v/>
      </c>
      <c r="M210">
        <f>I210+J210+K210</f>
        <v/>
      </c>
      <c r="N210">
        <f>D190/M210</f>
        <v/>
      </c>
      <c r="O210">
        <f>IF(Y209*L210 &gt; F_primary, 1, 0)</f>
        <v/>
      </c>
      <c r="P210">
        <f>IF(Y209*(E_sh + F210) &gt; E_inv, 1, 0)</f>
        <v/>
      </c>
      <c r="Q210">
        <f>IF(Y209*(D_sh + E210) &gt; D_inv, 1, 0)</f>
        <v/>
      </c>
      <c r="R210">
        <f>IF(Y209*C_sh &gt; C_inv, 1, 0)</f>
        <v/>
      </c>
      <c r="S210">
        <f>IF(Y209*B_sh &gt; B_inv, 1, 0)</f>
        <v/>
      </c>
      <c r="T210">
        <f>IF(Y209*A_sh &gt; A_inv, 1, 0)</f>
        <v/>
      </c>
      <c r="U210">
        <f>IF(Y209*seed_sh &gt; seed_inv, 1, 0)</f>
        <v/>
      </c>
      <c r="V210">
        <f>(1-O210)*F_primary+(1-P210)*E_inv+(1-Q210)*D_inv+(1-R210)*C_inv+(1-S210)*B_inv+(1-T210)*A_inv+(1-U210)*seed_inv</f>
        <v/>
      </c>
      <c r="W210">
        <f>MAX(0, sens_exit - V210)</f>
        <v/>
      </c>
      <c r="X210">
        <f>F1_sh+F2_sh+F3_sh+RSA_sh+J210+K210+O210*L210+P210*(E_sh + F210)+Q210*(D_sh + E210)+R210*C_sh+S210*B_sh+T210*A_sh+U210*seed_sh</f>
        <v/>
      </c>
      <c r="Y210">
        <f>(W210 + preF_opts_iss*opt_strike)/(X210 + preF_opts_iss)</f>
        <v/>
      </c>
    </row>
    <row r="211">
      <c r="B211">
        <f>N210</f>
        <v/>
      </c>
      <c r="C211">
        <f>OCP_D*(preF_FD + F_primary/OCP_D)/(preF_FD + F_primary/B211)</f>
        <v/>
      </c>
      <c r="D211">
        <f>OCP_E*(preF_FD + F_primary/OCP_E)/(preF_FD + F_primary/B211)</f>
        <v/>
      </c>
      <c r="E211">
        <f>D_sh*(OCP_D/C211 - 1)</f>
        <v/>
      </c>
      <c r="F211">
        <f>E_sh*(OCP_E/D211 - 1)</f>
        <v/>
      </c>
      <c r="G211">
        <f>(preF_FD + E211 + F211 - preF_opts + J210 + K210 + F_primary/B211)/(1-B190)</f>
        <v/>
      </c>
      <c r="H211">
        <f>MAX(0, B190*G211 - preF_opts)</f>
        <v/>
      </c>
      <c r="I211">
        <f>preF_FD + E211 + F211 + H211</f>
        <v/>
      </c>
      <c r="J211">
        <f>NA_P/MIN(NA_cap/(I211+K210), (1-NA_disc)*B211)</f>
        <v/>
      </c>
      <c r="K211">
        <f>NB_P/MIN(NB_cap/(I211+J211), (1-NB_disc)*B211)</f>
        <v/>
      </c>
      <c r="L211">
        <f>F_primary/B211</f>
        <v/>
      </c>
      <c r="M211">
        <f>I211+J211+K211</f>
        <v/>
      </c>
      <c r="N211">
        <f>D190/M211</f>
        <v/>
      </c>
      <c r="O211">
        <f>IF(Y210*L211 &gt; F_primary, 1, 0)</f>
        <v/>
      </c>
      <c r="P211">
        <f>IF(Y210*(E_sh + F211) &gt; E_inv, 1, 0)</f>
        <v/>
      </c>
      <c r="Q211">
        <f>IF(Y210*(D_sh + E211) &gt; D_inv, 1, 0)</f>
        <v/>
      </c>
      <c r="R211">
        <f>IF(Y210*C_sh &gt; C_inv, 1, 0)</f>
        <v/>
      </c>
      <c r="S211">
        <f>IF(Y210*B_sh &gt; B_inv, 1, 0)</f>
        <v/>
      </c>
      <c r="T211">
        <f>IF(Y210*A_sh &gt; A_inv, 1, 0)</f>
        <v/>
      </c>
      <c r="U211">
        <f>IF(Y210*seed_sh &gt; seed_inv, 1, 0)</f>
        <v/>
      </c>
      <c r="V211">
        <f>(1-O211)*F_primary+(1-P211)*E_inv+(1-Q211)*D_inv+(1-R211)*C_inv+(1-S211)*B_inv+(1-T211)*A_inv+(1-U211)*seed_inv</f>
        <v/>
      </c>
      <c r="W211">
        <f>MAX(0, sens_exit - V211)</f>
        <v/>
      </c>
      <c r="X211">
        <f>F1_sh+F2_sh+F3_sh+RSA_sh+J211+K211+O211*L211+P211*(E_sh + F211)+Q211*(D_sh + E211)+R211*C_sh+S211*B_sh+T211*A_sh+U211*seed_sh</f>
        <v/>
      </c>
      <c r="Y211">
        <f>(W211 + preF_opts_iss*opt_strike)/(X211 + preF_opts_iss)</f>
        <v/>
      </c>
    </row>
    <row r="212">
      <c r="B212">
        <f>N211</f>
        <v/>
      </c>
      <c r="C212">
        <f>OCP_D*(preF_FD + F_primary/OCP_D)/(preF_FD + F_primary/B212)</f>
        <v/>
      </c>
      <c r="D212">
        <f>OCP_E*(preF_FD + F_primary/OCP_E)/(preF_FD + F_primary/B212)</f>
        <v/>
      </c>
      <c r="E212">
        <f>D_sh*(OCP_D/C212 - 1)</f>
        <v/>
      </c>
      <c r="F212">
        <f>E_sh*(OCP_E/D212 - 1)</f>
        <v/>
      </c>
      <c r="G212">
        <f>(preF_FD + E212 + F212 - preF_opts + J211 + K211 + F_primary/B212)/(1-B190)</f>
        <v/>
      </c>
      <c r="H212">
        <f>MAX(0, B190*G212 - preF_opts)</f>
        <v/>
      </c>
      <c r="I212">
        <f>preF_FD + E212 + F212 + H212</f>
        <v/>
      </c>
      <c r="J212">
        <f>NA_P/MIN(NA_cap/(I212+K211), (1-NA_disc)*B212)</f>
        <v/>
      </c>
      <c r="K212">
        <f>NB_P/MIN(NB_cap/(I212+J212), (1-NB_disc)*B212)</f>
        <v/>
      </c>
      <c r="L212">
        <f>F_primary/B212</f>
        <v/>
      </c>
      <c r="M212">
        <f>I212+J212+K212</f>
        <v/>
      </c>
      <c r="N212">
        <f>D190/M212</f>
        <v/>
      </c>
      <c r="O212">
        <f>IF(Y211*L212 &gt; F_primary, 1, 0)</f>
        <v/>
      </c>
      <c r="P212">
        <f>IF(Y211*(E_sh + F212) &gt; E_inv, 1, 0)</f>
        <v/>
      </c>
      <c r="Q212">
        <f>IF(Y211*(D_sh + E212) &gt; D_inv, 1, 0)</f>
        <v/>
      </c>
      <c r="R212">
        <f>IF(Y211*C_sh &gt; C_inv, 1, 0)</f>
        <v/>
      </c>
      <c r="S212">
        <f>IF(Y211*B_sh &gt; B_inv, 1, 0)</f>
        <v/>
      </c>
      <c r="T212">
        <f>IF(Y211*A_sh &gt; A_inv, 1, 0)</f>
        <v/>
      </c>
      <c r="U212">
        <f>IF(Y211*seed_sh &gt; seed_inv, 1, 0)</f>
        <v/>
      </c>
      <c r="V212">
        <f>(1-O212)*F_primary+(1-P212)*E_inv+(1-Q212)*D_inv+(1-R212)*C_inv+(1-S212)*B_inv+(1-T212)*A_inv+(1-U212)*seed_inv</f>
        <v/>
      </c>
      <c r="W212">
        <f>MAX(0, sens_exit - V212)</f>
        <v/>
      </c>
      <c r="X212">
        <f>F1_sh+F2_sh+F3_sh+RSA_sh+J212+K212+O212*L212+P212*(E_sh + F212)+Q212*(D_sh + E212)+R212*C_sh+S212*B_sh+T212*A_sh+U212*seed_sh</f>
        <v/>
      </c>
      <c r="Y212">
        <f>(W212 + preF_opts_iss*opt_strike)/(X212 + preF_opts_iss)</f>
        <v/>
      </c>
    </row>
    <row r="213">
      <c r="B213">
        <f>N212</f>
        <v/>
      </c>
      <c r="C213">
        <f>OCP_D*(preF_FD + F_primary/OCP_D)/(preF_FD + F_primary/B213)</f>
        <v/>
      </c>
      <c r="D213">
        <f>OCP_E*(preF_FD + F_primary/OCP_E)/(preF_FD + F_primary/B213)</f>
        <v/>
      </c>
      <c r="E213">
        <f>D_sh*(OCP_D/C213 - 1)</f>
        <v/>
      </c>
      <c r="F213">
        <f>E_sh*(OCP_E/D213 - 1)</f>
        <v/>
      </c>
      <c r="G213">
        <f>(preF_FD + E213 + F213 - preF_opts + J212 + K212 + F_primary/B213)/(1-B190)</f>
        <v/>
      </c>
      <c r="H213">
        <f>MAX(0, B190*G213 - preF_opts)</f>
        <v/>
      </c>
      <c r="I213">
        <f>preF_FD + E213 + F213 + H213</f>
        <v/>
      </c>
      <c r="J213">
        <f>NA_P/MIN(NA_cap/(I213+K212), (1-NA_disc)*B213)</f>
        <v/>
      </c>
      <c r="K213">
        <f>NB_P/MIN(NB_cap/(I213+J213), (1-NB_disc)*B213)</f>
        <v/>
      </c>
      <c r="L213">
        <f>F_primary/B213</f>
        <v/>
      </c>
      <c r="M213">
        <f>I213+J213+K213</f>
        <v/>
      </c>
      <c r="N213">
        <f>D190/M213</f>
        <v/>
      </c>
      <c r="O213">
        <f>IF(Y212*L213 &gt; F_primary, 1, 0)</f>
        <v/>
      </c>
      <c r="P213">
        <f>IF(Y212*(E_sh + F213) &gt; E_inv, 1, 0)</f>
        <v/>
      </c>
      <c r="Q213">
        <f>IF(Y212*(D_sh + E213) &gt; D_inv, 1, 0)</f>
        <v/>
      </c>
      <c r="R213">
        <f>IF(Y212*C_sh &gt; C_inv, 1, 0)</f>
        <v/>
      </c>
      <c r="S213">
        <f>IF(Y212*B_sh &gt; B_inv, 1, 0)</f>
        <v/>
      </c>
      <c r="T213">
        <f>IF(Y212*A_sh &gt; A_inv, 1, 0)</f>
        <v/>
      </c>
      <c r="U213">
        <f>IF(Y212*seed_sh &gt; seed_inv, 1, 0)</f>
        <v/>
      </c>
      <c r="V213">
        <f>(1-O213)*F_primary+(1-P213)*E_inv+(1-Q213)*D_inv+(1-R213)*C_inv+(1-S213)*B_inv+(1-T213)*A_inv+(1-U213)*seed_inv</f>
        <v/>
      </c>
      <c r="W213">
        <f>MAX(0, sens_exit - V213)</f>
        <v/>
      </c>
      <c r="X213">
        <f>F1_sh+F2_sh+F3_sh+RSA_sh+J213+K213+O213*L213+P213*(E_sh + F213)+Q213*(D_sh + E213)+R213*C_sh+S213*B_sh+T213*A_sh+U213*seed_sh</f>
        <v/>
      </c>
      <c r="Y213">
        <f>(W213 + preF_opts_iss*opt_strike)/(X213 + preF_opts_iss)</f>
        <v/>
      </c>
    </row>
    <row r="214">
      <c r="B214">
        <f>N213</f>
        <v/>
      </c>
      <c r="C214">
        <f>OCP_D*(preF_FD + F_primary/OCP_D)/(preF_FD + F_primary/B214)</f>
        <v/>
      </c>
      <c r="D214">
        <f>OCP_E*(preF_FD + F_primary/OCP_E)/(preF_FD + F_primary/B214)</f>
        <v/>
      </c>
      <c r="E214">
        <f>D_sh*(OCP_D/C214 - 1)</f>
        <v/>
      </c>
      <c r="F214">
        <f>E_sh*(OCP_E/D214 - 1)</f>
        <v/>
      </c>
      <c r="G214">
        <f>(preF_FD + E214 + F214 - preF_opts + J213 + K213 + F_primary/B214)/(1-B190)</f>
        <v/>
      </c>
      <c r="H214">
        <f>MAX(0, B190*G214 - preF_opts)</f>
        <v/>
      </c>
      <c r="I214">
        <f>preF_FD + E214 + F214 + H214</f>
        <v/>
      </c>
      <c r="J214">
        <f>NA_P/MIN(NA_cap/(I214+K213), (1-NA_disc)*B214)</f>
        <v/>
      </c>
      <c r="K214">
        <f>NB_P/MIN(NB_cap/(I214+J214), (1-NB_disc)*B214)</f>
        <v/>
      </c>
      <c r="L214">
        <f>F_primary/B214</f>
        <v/>
      </c>
      <c r="M214">
        <f>I214+J214+K214</f>
        <v/>
      </c>
      <c r="N214">
        <f>D190/M214</f>
        <v/>
      </c>
      <c r="O214">
        <f>IF(Y213*L214 &gt; F_primary, 1, 0)</f>
        <v/>
      </c>
      <c r="P214">
        <f>IF(Y213*(E_sh + F214) &gt; E_inv, 1, 0)</f>
        <v/>
      </c>
      <c r="Q214">
        <f>IF(Y213*(D_sh + E214) &gt; D_inv, 1, 0)</f>
        <v/>
      </c>
      <c r="R214">
        <f>IF(Y213*C_sh &gt; C_inv, 1, 0)</f>
        <v/>
      </c>
      <c r="S214">
        <f>IF(Y213*B_sh &gt; B_inv, 1, 0)</f>
        <v/>
      </c>
      <c r="T214">
        <f>IF(Y213*A_sh &gt; A_inv, 1, 0)</f>
        <v/>
      </c>
      <c r="U214">
        <f>IF(Y213*seed_sh &gt; seed_inv, 1, 0)</f>
        <v/>
      </c>
      <c r="V214">
        <f>(1-O214)*F_primary+(1-P214)*E_inv+(1-Q214)*D_inv+(1-R214)*C_inv+(1-S214)*B_inv+(1-T214)*A_inv+(1-U214)*seed_inv</f>
        <v/>
      </c>
      <c r="W214">
        <f>MAX(0, sens_exit - V214)</f>
        <v/>
      </c>
      <c r="X214">
        <f>F1_sh+F2_sh+F3_sh+RSA_sh+J214+K214+O214*L214+P214*(E_sh + F214)+Q214*(D_sh + E214)+R214*C_sh+S214*B_sh+T214*A_sh+U214*seed_sh</f>
        <v/>
      </c>
      <c r="Y214">
        <f>(W214 + preF_opts_iss*opt_strike)/(X214 + preF_opts_iss)</f>
        <v/>
      </c>
    </row>
    <row r="215">
      <c r="B215">
        <f>N214</f>
        <v/>
      </c>
      <c r="C215">
        <f>OCP_D*(preF_FD + F_primary/OCP_D)/(preF_FD + F_primary/B215)</f>
        <v/>
      </c>
      <c r="D215">
        <f>OCP_E*(preF_FD + F_primary/OCP_E)/(preF_FD + F_primary/B215)</f>
        <v/>
      </c>
      <c r="E215">
        <f>D_sh*(OCP_D/C215 - 1)</f>
        <v/>
      </c>
      <c r="F215">
        <f>E_sh*(OCP_E/D215 - 1)</f>
        <v/>
      </c>
      <c r="G215">
        <f>(preF_FD + E215 + F215 - preF_opts + J214 + K214 + F_primary/B215)/(1-B190)</f>
        <v/>
      </c>
      <c r="H215">
        <f>MAX(0, B190*G215 - preF_opts)</f>
        <v/>
      </c>
      <c r="I215">
        <f>preF_FD + E215 + F215 + H215</f>
        <v/>
      </c>
      <c r="J215">
        <f>NA_P/MIN(NA_cap/(I215+K214), (1-NA_disc)*B215)</f>
        <v/>
      </c>
      <c r="K215">
        <f>NB_P/MIN(NB_cap/(I215+J215), (1-NB_disc)*B215)</f>
        <v/>
      </c>
      <c r="L215">
        <f>F_primary/B215</f>
        <v/>
      </c>
      <c r="M215">
        <f>I215+J215+K215</f>
        <v/>
      </c>
      <c r="N215">
        <f>D190/M215</f>
        <v/>
      </c>
      <c r="O215">
        <f>IF(Y214*L215 &gt; F_primary, 1, 0)</f>
        <v/>
      </c>
      <c r="P215">
        <f>IF(Y214*(E_sh + F215) &gt; E_inv, 1, 0)</f>
        <v/>
      </c>
      <c r="Q215">
        <f>IF(Y214*(D_sh + E215) &gt; D_inv, 1, 0)</f>
        <v/>
      </c>
      <c r="R215">
        <f>IF(Y214*C_sh &gt; C_inv, 1, 0)</f>
        <v/>
      </c>
      <c r="S215">
        <f>IF(Y214*B_sh &gt; B_inv, 1, 0)</f>
        <v/>
      </c>
      <c r="T215">
        <f>IF(Y214*A_sh &gt; A_inv, 1, 0)</f>
        <v/>
      </c>
      <c r="U215">
        <f>IF(Y214*seed_sh &gt; seed_inv, 1, 0)</f>
        <v/>
      </c>
      <c r="V215">
        <f>(1-O215)*F_primary+(1-P215)*E_inv+(1-Q215)*D_inv+(1-R215)*C_inv+(1-S215)*B_inv+(1-T215)*A_inv+(1-U215)*seed_inv</f>
        <v/>
      </c>
      <c r="W215">
        <f>MAX(0, sens_exit - V215)</f>
        <v/>
      </c>
      <c r="X215">
        <f>F1_sh+F2_sh+F3_sh+RSA_sh+J215+K215+O215*L215+P215*(E_sh + F215)+Q215*(D_sh + E215)+R215*C_sh+S215*B_sh+T215*A_sh+U215*seed_sh</f>
        <v/>
      </c>
      <c r="Y215">
        <f>(W215 + preF_opts_iss*opt_strike)/(X215 + preF_opts_iss)</f>
        <v/>
      </c>
    </row>
    <row r="216">
      <c r="B216">
        <f>N215</f>
        <v/>
      </c>
      <c r="C216">
        <f>OCP_D*(preF_FD + F_primary/OCP_D)/(preF_FD + F_primary/B216)</f>
        <v/>
      </c>
      <c r="D216">
        <f>OCP_E*(preF_FD + F_primary/OCP_E)/(preF_FD + F_primary/B216)</f>
        <v/>
      </c>
      <c r="E216">
        <f>D_sh*(OCP_D/C216 - 1)</f>
        <v/>
      </c>
      <c r="F216">
        <f>E_sh*(OCP_E/D216 - 1)</f>
        <v/>
      </c>
      <c r="G216">
        <f>(preF_FD + E216 + F216 - preF_opts + J215 + K215 + F_primary/B216)/(1-B190)</f>
        <v/>
      </c>
      <c r="H216">
        <f>MAX(0, B190*G216 - preF_opts)</f>
        <v/>
      </c>
      <c r="I216">
        <f>preF_FD + E216 + F216 + H216</f>
        <v/>
      </c>
      <c r="J216">
        <f>NA_P/MIN(NA_cap/(I216+K215), (1-NA_disc)*B216)</f>
        <v/>
      </c>
      <c r="K216">
        <f>NB_P/MIN(NB_cap/(I216+J216), (1-NB_disc)*B216)</f>
        <v/>
      </c>
      <c r="L216">
        <f>F_primary/B216</f>
        <v/>
      </c>
      <c r="M216">
        <f>I216+J216+K216</f>
        <v/>
      </c>
      <c r="N216">
        <f>D190/M216</f>
        <v/>
      </c>
      <c r="O216">
        <f>IF(Y215*L216 &gt; F_primary, 1, 0)</f>
        <v/>
      </c>
      <c r="P216">
        <f>IF(Y215*(E_sh + F216) &gt; E_inv, 1, 0)</f>
        <v/>
      </c>
      <c r="Q216">
        <f>IF(Y215*(D_sh + E216) &gt; D_inv, 1, 0)</f>
        <v/>
      </c>
      <c r="R216">
        <f>IF(Y215*C_sh &gt; C_inv, 1, 0)</f>
        <v/>
      </c>
      <c r="S216">
        <f>IF(Y215*B_sh &gt; B_inv, 1, 0)</f>
        <v/>
      </c>
      <c r="T216">
        <f>IF(Y215*A_sh &gt; A_inv, 1, 0)</f>
        <v/>
      </c>
      <c r="U216">
        <f>IF(Y215*seed_sh &gt; seed_inv, 1, 0)</f>
        <v/>
      </c>
      <c r="V216">
        <f>(1-O216)*F_primary+(1-P216)*E_inv+(1-Q216)*D_inv+(1-R216)*C_inv+(1-S216)*B_inv+(1-T216)*A_inv+(1-U216)*seed_inv</f>
        <v/>
      </c>
      <c r="W216">
        <f>MAX(0, sens_exit - V216)</f>
        <v/>
      </c>
      <c r="X216">
        <f>F1_sh+F2_sh+F3_sh+RSA_sh+J216+K216+O216*L216+P216*(E_sh + F216)+Q216*(D_sh + E216)+R216*C_sh+S216*B_sh+T216*A_sh+U216*seed_sh</f>
        <v/>
      </c>
      <c r="Y216">
        <f>(W216 + preF_opts_iss*opt_strike)/(X216 + preF_opts_iss)</f>
        <v/>
      </c>
    </row>
    <row r="217">
      <c r="B217">
        <f>N216</f>
        <v/>
      </c>
      <c r="C217">
        <f>OCP_D*(preF_FD + F_primary/OCP_D)/(preF_FD + F_primary/B217)</f>
        <v/>
      </c>
      <c r="D217">
        <f>OCP_E*(preF_FD + F_primary/OCP_E)/(preF_FD + F_primary/B217)</f>
        <v/>
      </c>
      <c r="E217">
        <f>D_sh*(OCP_D/C217 - 1)</f>
        <v/>
      </c>
      <c r="F217">
        <f>E_sh*(OCP_E/D217 - 1)</f>
        <v/>
      </c>
      <c r="G217">
        <f>(preF_FD + E217 + F217 - preF_opts + J216 + K216 + F_primary/B217)/(1-B190)</f>
        <v/>
      </c>
      <c r="H217">
        <f>MAX(0, B190*G217 - preF_opts)</f>
        <v/>
      </c>
      <c r="I217">
        <f>preF_FD + E217 + F217 + H217</f>
        <v/>
      </c>
      <c r="J217">
        <f>NA_P/MIN(NA_cap/(I217+K216), (1-NA_disc)*B217)</f>
        <v/>
      </c>
      <c r="K217">
        <f>NB_P/MIN(NB_cap/(I217+J217), (1-NB_disc)*B217)</f>
        <v/>
      </c>
      <c r="L217">
        <f>F_primary/B217</f>
        <v/>
      </c>
      <c r="M217">
        <f>I217+J217+K217</f>
        <v/>
      </c>
      <c r="N217">
        <f>D190/M217</f>
        <v/>
      </c>
      <c r="O217">
        <f>IF(Y216*L217 &gt; F_primary, 1, 0)</f>
        <v/>
      </c>
      <c r="P217">
        <f>IF(Y216*(E_sh + F217) &gt; E_inv, 1, 0)</f>
        <v/>
      </c>
      <c r="Q217">
        <f>IF(Y216*(D_sh + E217) &gt; D_inv, 1, 0)</f>
        <v/>
      </c>
      <c r="R217">
        <f>IF(Y216*C_sh &gt; C_inv, 1, 0)</f>
        <v/>
      </c>
      <c r="S217">
        <f>IF(Y216*B_sh &gt; B_inv, 1, 0)</f>
        <v/>
      </c>
      <c r="T217">
        <f>IF(Y216*A_sh &gt; A_inv, 1, 0)</f>
        <v/>
      </c>
      <c r="U217">
        <f>IF(Y216*seed_sh &gt; seed_inv, 1, 0)</f>
        <v/>
      </c>
      <c r="V217">
        <f>(1-O217)*F_primary+(1-P217)*E_inv+(1-Q217)*D_inv+(1-R217)*C_inv+(1-S217)*B_inv+(1-T217)*A_inv+(1-U217)*seed_inv</f>
        <v/>
      </c>
      <c r="W217">
        <f>MAX(0, sens_exit - V217)</f>
        <v/>
      </c>
      <c r="X217">
        <f>F1_sh+F2_sh+F3_sh+RSA_sh+J217+K217+O217*L217+P217*(E_sh + F217)+Q217*(D_sh + E217)+R217*C_sh+S217*B_sh+T217*A_sh+U217*seed_sh</f>
        <v/>
      </c>
      <c r="Y217">
        <f>(W217 + preF_opts_iss*opt_strike)/(X217 + preF_opts_iss)</f>
        <v/>
      </c>
    </row>
    <row r="218">
      <c r="B218">
        <f>N217</f>
        <v/>
      </c>
      <c r="C218">
        <f>OCP_D*(preF_FD + F_primary/OCP_D)/(preF_FD + F_primary/B218)</f>
        <v/>
      </c>
      <c r="D218">
        <f>OCP_E*(preF_FD + F_primary/OCP_E)/(preF_FD + F_primary/B218)</f>
        <v/>
      </c>
      <c r="E218">
        <f>D_sh*(OCP_D/C218 - 1)</f>
        <v/>
      </c>
      <c r="F218">
        <f>E_sh*(OCP_E/D218 - 1)</f>
        <v/>
      </c>
      <c r="G218">
        <f>(preF_FD + E218 + F218 - preF_opts + J217 + K217 + F_primary/B218)/(1-B190)</f>
        <v/>
      </c>
      <c r="H218">
        <f>MAX(0, B190*G218 - preF_opts)</f>
        <v/>
      </c>
      <c r="I218">
        <f>preF_FD + E218 + F218 + H218</f>
        <v/>
      </c>
      <c r="J218">
        <f>NA_P/MIN(NA_cap/(I218+K217), (1-NA_disc)*B218)</f>
        <v/>
      </c>
      <c r="K218">
        <f>NB_P/MIN(NB_cap/(I218+J218), (1-NB_disc)*B218)</f>
        <v/>
      </c>
      <c r="L218">
        <f>F_primary/B218</f>
        <v/>
      </c>
      <c r="M218">
        <f>I218+J218+K218</f>
        <v/>
      </c>
      <c r="N218">
        <f>D190/M218</f>
        <v/>
      </c>
      <c r="O218">
        <f>IF(Y217*L218 &gt; F_primary, 1, 0)</f>
        <v/>
      </c>
      <c r="P218">
        <f>IF(Y217*(E_sh + F218) &gt; E_inv, 1, 0)</f>
        <v/>
      </c>
      <c r="Q218">
        <f>IF(Y217*(D_sh + E218) &gt; D_inv, 1, 0)</f>
        <v/>
      </c>
      <c r="R218">
        <f>IF(Y217*C_sh &gt; C_inv, 1, 0)</f>
        <v/>
      </c>
      <c r="S218">
        <f>IF(Y217*B_sh &gt; B_inv, 1, 0)</f>
        <v/>
      </c>
      <c r="T218">
        <f>IF(Y217*A_sh &gt; A_inv, 1, 0)</f>
        <v/>
      </c>
      <c r="U218">
        <f>IF(Y217*seed_sh &gt; seed_inv, 1, 0)</f>
        <v/>
      </c>
      <c r="V218">
        <f>(1-O218)*F_primary+(1-P218)*E_inv+(1-Q218)*D_inv+(1-R218)*C_inv+(1-S218)*B_inv+(1-T218)*A_inv+(1-U218)*seed_inv</f>
        <v/>
      </c>
      <c r="W218">
        <f>MAX(0, sens_exit - V218)</f>
        <v/>
      </c>
      <c r="X218">
        <f>F1_sh+F2_sh+F3_sh+RSA_sh+J218+K218+O218*L218+P218*(E_sh + F218)+Q218*(D_sh + E218)+R218*C_sh+S218*B_sh+T218*A_sh+U218*seed_sh</f>
        <v/>
      </c>
      <c r="Y218">
        <f>(W218 + preF_opts_iss*opt_strike)/(X218 + preF_opts_iss)</f>
        <v/>
      </c>
    </row>
    <row r="219">
      <c r="B219">
        <f>N218</f>
        <v/>
      </c>
      <c r="C219">
        <f>OCP_D*(preF_FD + F_primary/OCP_D)/(preF_FD + F_primary/B219)</f>
        <v/>
      </c>
      <c r="D219">
        <f>OCP_E*(preF_FD + F_primary/OCP_E)/(preF_FD + F_primary/B219)</f>
        <v/>
      </c>
      <c r="E219">
        <f>D_sh*(OCP_D/C219 - 1)</f>
        <v/>
      </c>
      <c r="F219">
        <f>E_sh*(OCP_E/D219 - 1)</f>
        <v/>
      </c>
      <c r="G219">
        <f>(preF_FD + E219 + F219 - preF_opts + J218 + K218 + F_primary/B219)/(1-B190)</f>
        <v/>
      </c>
      <c r="H219">
        <f>MAX(0, B190*G219 - preF_opts)</f>
        <v/>
      </c>
      <c r="I219">
        <f>preF_FD + E219 + F219 + H219</f>
        <v/>
      </c>
      <c r="J219">
        <f>NA_P/MIN(NA_cap/(I219+K218), (1-NA_disc)*B219)</f>
        <v/>
      </c>
      <c r="K219">
        <f>NB_P/MIN(NB_cap/(I219+J219), (1-NB_disc)*B219)</f>
        <v/>
      </c>
      <c r="L219">
        <f>F_primary/B219</f>
        <v/>
      </c>
      <c r="M219">
        <f>I219+J219+K219</f>
        <v/>
      </c>
      <c r="N219">
        <f>D190/M219</f>
        <v/>
      </c>
      <c r="O219">
        <f>IF(Y218*L219 &gt; F_primary, 1, 0)</f>
        <v/>
      </c>
      <c r="P219">
        <f>IF(Y218*(E_sh + F219) &gt; E_inv, 1, 0)</f>
        <v/>
      </c>
      <c r="Q219">
        <f>IF(Y218*(D_sh + E219) &gt; D_inv, 1, 0)</f>
        <v/>
      </c>
      <c r="R219">
        <f>IF(Y218*C_sh &gt; C_inv, 1, 0)</f>
        <v/>
      </c>
      <c r="S219">
        <f>IF(Y218*B_sh &gt; B_inv, 1, 0)</f>
        <v/>
      </c>
      <c r="T219">
        <f>IF(Y218*A_sh &gt; A_inv, 1, 0)</f>
        <v/>
      </c>
      <c r="U219">
        <f>IF(Y218*seed_sh &gt; seed_inv, 1, 0)</f>
        <v/>
      </c>
      <c r="V219">
        <f>(1-O219)*F_primary+(1-P219)*E_inv+(1-Q219)*D_inv+(1-R219)*C_inv+(1-S219)*B_inv+(1-T219)*A_inv+(1-U219)*seed_inv</f>
        <v/>
      </c>
      <c r="W219">
        <f>MAX(0, sens_exit - V219)</f>
        <v/>
      </c>
      <c r="X219">
        <f>F1_sh+F2_sh+F3_sh+RSA_sh+J219+K219+O219*L219+P219*(E_sh + F219)+Q219*(D_sh + E219)+R219*C_sh+S219*B_sh+T219*A_sh+U219*seed_sh</f>
        <v/>
      </c>
      <c r="Y219">
        <f>(W219 + preF_opts_iss*opt_strike)/(X219 + preF_opts_iss)</f>
        <v/>
      </c>
    </row>
    <row r="220">
      <c r="B220">
        <f>N219</f>
        <v/>
      </c>
      <c r="C220">
        <f>OCP_D*(preF_FD + F_primary/OCP_D)/(preF_FD + F_primary/B220)</f>
        <v/>
      </c>
      <c r="D220">
        <f>OCP_E*(preF_FD + F_primary/OCP_E)/(preF_FD + F_primary/B220)</f>
        <v/>
      </c>
      <c r="E220">
        <f>D_sh*(OCP_D/C220 - 1)</f>
        <v/>
      </c>
      <c r="F220">
        <f>E_sh*(OCP_E/D220 - 1)</f>
        <v/>
      </c>
      <c r="G220">
        <f>(preF_FD + E220 + F220 - preF_opts + J219 + K219 + F_primary/B220)/(1-B190)</f>
        <v/>
      </c>
      <c r="H220">
        <f>MAX(0, B190*G220 - preF_opts)</f>
        <v/>
      </c>
      <c r="I220">
        <f>preF_FD + E220 + F220 + H220</f>
        <v/>
      </c>
      <c r="J220">
        <f>NA_P/MIN(NA_cap/(I220+K219), (1-NA_disc)*B220)</f>
        <v/>
      </c>
      <c r="K220">
        <f>NB_P/MIN(NB_cap/(I220+J220), (1-NB_disc)*B220)</f>
        <v/>
      </c>
      <c r="L220">
        <f>F_primary/B220</f>
        <v/>
      </c>
      <c r="M220">
        <f>I220+J220+K220</f>
        <v/>
      </c>
      <c r="N220">
        <f>D190/M220</f>
        <v/>
      </c>
      <c r="O220">
        <f>IF(Y219*L220 &gt; F_primary, 1, 0)</f>
        <v/>
      </c>
      <c r="P220">
        <f>IF(Y219*(E_sh + F220) &gt; E_inv, 1, 0)</f>
        <v/>
      </c>
      <c r="Q220">
        <f>IF(Y219*(D_sh + E220) &gt; D_inv, 1, 0)</f>
        <v/>
      </c>
      <c r="R220">
        <f>IF(Y219*C_sh &gt; C_inv, 1, 0)</f>
        <v/>
      </c>
      <c r="S220">
        <f>IF(Y219*B_sh &gt; B_inv, 1, 0)</f>
        <v/>
      </c>
      <c r="T220">
        <f>IF(Y219*A_sh &gt; A_inv, 1, 0)</f>
        <v/>
      </c>
      <c r="U220">
        <f>IF(Y219*seed_sh &gt; seed_inv, 1, 0)</f>
        <v/>
      </c>
      <c r="V220">
        <f>(1-O220)*F_primary+(1-P220)*E_inv+(1-Q220)*D_inv+(1-R220)*C_inv+(1-S220)*B_inv+(1-T220)*A_inv+(1-U220)*seed_inv</f>
        <v/>
      </c>
      <c r="W220">
        <f>MAX(0, sens_exit - V220)</f>
        <v/>
      </c>
      <c r="X220">
        <f>F1_sh+F2_sh+F3_sh+RSA_sh+J220+K220+O220*L220+P220*(E_sh + F220)+Q220*(D_sh + E220)+R220*C_sh+S220*B_sh+T220*A_sh+U220*seed_sh</f>
        <v/>
      </c>
      <c r="Y220">
        <f>(W220 + preF_opts_iss*opt_strike)/(X220 + preF_opts_iss)</f>
        <v/>
      </c>
    </row>
    <row r="221">
      <c r="B221">
        <f>N220</f>
        <v/>
      </c>
      <c r="C221">
        <f>OCP_D*(preF_FD + F_primary/OCP_D)/(preF_FD + F_primary/B221)</f>
        <v/>
      </c>
      <c r="D221">
        <f>OCP_E*(preF_FD + F_primary/OCP_E)/(preF_FD + F_primary/B221)</f>
        <v/>
      </c>
      <c r="E221">
        <f>D_sh*(OCP_D/C221 - 1)</f>
        <v/>
      </c>
      <c r="F221">
        <f>E_sh*(OCP_E/D221 - 1)</f>
        <v/>
      </c>
      <c r="G221">
        <f>(preF_FD + E221 + F221 - preF_opts + J220 + K220 + F_primary/B221)/(1-B190)</f>
        <v/>
      </c>
      <c r="H221">
        <f>MAX(0, B190*G221 - preF_opts)</f>
        <v/>
      </c>
      <c r="I221">
        <f>preF_FD + E221 + F221 + H221</f>
        <v/>
      </c>
      <c r="J221">
        <f>NA_P/MIN(NA_cap/(I221+K220), (1-NA_disc)*B221)</f>
        <v/>
      </c>
      <c r="K221">
        <f>NB_P/MIN(NB_cap/(I221+J221), (1-NB_disc)*B221)</f>
        <v/>
      </c>
      <c r="L221">
        <f>F_primary/B221</f>
        <v/>
      </c>
      <c r="M221">
        <f>I221+J221+K221</f>
        <v/>
      </c>
      <c r="N221">
        <f>D190/M221</f>
        <v/>
      </c>
      <c r="O221">
        <f>IF(Y220*L221 &gt; F_primary, 1, 0)</f>
        <v/>
      </c>
      <c r="P221">
        <f>IF(Y220*(E_sh + F221) &gt; E_inv, 1, 0)</f>
        <v/>
      </c>
      <c r="Q221">
        <f>IF(Y220*(D_sh + E221) &gt; D_inv, 1, 0)</f>
        <v/>
      </c>
      <c r="R221">
        <f>IF(Y220*C_sh &gt; C_inv, 1, 0)</f>
        <v/>
      </c>
      <c r="S221">
        <f>IF(Y220*B_sh &gt; B_inv, 1, 0)</f>
        <v/>
      </c>
      <c r="T221">
        <f>IF(Y220*A_sh &gt; A_inv, 1, 0)</f>
        <v/>
      </c>
      <c r="U221">
        <f>IF(Y220*seed_sh &gt; seed_inv, 1, 0)</f>
        <v/>
      </c>
      <c r="V221">
        <f>(1-O221)*F_primary+(1-P221)*E_inv+(1-Q221)*D_inv+(1-R221)*C_inv+(1-S221)*B_inv+(1-T221)*A_inv+(1-U221)*seed_inv</f>
        <v/>
      </c>
      <c r="W221">
        <f>MAX(0, sens_exit - V221)</f>
        <v/>
      </c>
      <c r="X221">
        <f>F1_sh+F2_sh+F3_sh+RSA_sh+J221+K221+O221*L221+P221*(E_sh + F221)+Q221*(D_sh + E221)+R221*C_sh+S221*B_sh+T221*A_sh+U221*seed_sh</f>
        <v/>
      </c>
      <c r="Y221">
        <f>(W221 + preF_opts_iss*opt_strike)/(X221 + preF_opts_iss)</f>
        <v/>
      </c>
    </row>
    <row r="222">
      <c r="B222">
        <f>N221</f>
        <v/>
      </c>
      <c r="C222">
        <f>OCP_D*(preF_FD + F_primary/OCP_D)/(preF_FD + F_primary/B222)</f>
        <v/>
      </c>
      <c r="D222">
        <f>OCP_E*(preF_FD + F_primary/OCP_E)/(preF_FD + F_primary/B222)</f>
        <v/>
      </c>
      <c r="E222">
        <f>D_sh*(OCP_D/C222 - 1)</f>
        <v/>
      </c>
      <c r="F222">
        <f>E_sh*(OCP_E/D222 - 1)</f>
        <v/>
      </c>
      <c r="G222">
        <f>(preF_FD + E222 + F222 - preF_opts + J221 + K221 + F_primary/B222)/(1-B190)</f>
        <v/>
      </c>
      <c r="H222">
        <f>MAX(0, B190*G222 - preF_opts)</f>
        <v/>
      </c>
      <c r="I222">
        <f>preF_FD + E222 + F222 + H222</f>
        <v/>
      </c>
      <c r="J222">
        <f>NA_P/MIN(NA_cap/(I222+K221), (1-NA_disc)*B222)</f>
        <v/>
      </c>
      <c r="K222">
        <f>NB_P/MIN(NB_cap/(I222+J222), (1-NB_disc)*B222)</f>
        <v/>
      </c>
      <c r="L222">
        <f>F_primary/B222</f>
        <v/>
      </c>
      <c r="M222">
        <f>I222+J222+K222</f>
        <v/>
      </c>
      <c r="N222">
        <f>D190/M222</f>
        <v/>
      </c>
      <c r="O222">
        <f>IF(Y221*L222 &gt; F_primary, 1, 0)</f>
        <v/>
      </c>
      <c r="P222">
        <f>IF(Y221*(E_sh + F222) &gt; E_inv, 1, 0)</f>
        <v/>
      </c>
      <c r="Q222">
        <f>IF(Y221*(D_sh + E222) &gt; D_inv, 1, 0)</f>
        <v/>
      </c>
      <c r="R222">
        <f>IF(Y221*C_sh &gt; C_inv, 1, 0)</f>
        <v/>
      </c>
      <c r="S222">
        <f>IF(Y221*B_sh &gt; B_inv, 1, 0)</f>
        <v/>
      </c>
      <c r="T222">
        <f>IF(Y221*A_sh &gt; A_inv, 1, 0)</f>
        <v/>
      </c>
      <c r="U222">
        <f>IF(Y221*seed_sh &gt; seed_inv, 1, 0)</f>
        <v/>
      </c>
      <c r="V222">
        <f>(1-O222)*F_primary+(1-P222)*E_inv+(1-Q222)*D_inv+(1-R222)*C_inv+(1-S222)*B_inv+(1-T222)*A_inv+(1-U222)*seed_inv</f>
        <v/>
      </c>
      <c r="W222">
        <f>MAX(0, sens_exit - V222)</f>
        <v/>
      </c>
      <c r="X222">
        <f>F1_sh+F2_sh+F3_sh+RSA_sh+J222+K222+O222*L222+P222*(E_sh + F222)+Q222*(D_sh + E222)+R222*C_sh+S222*B_sh+T222*A_sh+U222*seed_sh</f>
        <v/>
      </c>
      <c r="Y222">
        <f>(W222 + preF_opts_iss*opt_strike)/(X222 + preF_opts_iss)</f>
        <v/>
      </c>
    </row>
    <row r="223">
      <c r="B223">
        <f>N222</f>
        <v/>
      </c>
      <c r="C223">
        <f>OCP_D*(preF_FD + F_primary/OCP_D)/(preF_FD + F_primary/B223)</f>
        <v/>
      </c>
      <c r="D223">
        <f>OCP_E*(preF_FD + F_primary/OCP_E)/(preF_FD + F_primary/B223)</f>
        <v/>
      </c>
      <c r="E223">
        <f>D_sh*(OCP_D/C223 - 1)</f>
        <v/>
      </c>
      <c r="F223">
        <f>E_sh*(OCP_E/D223 - 1)</f>
        <v/>
      </c>
      <c r="G223">
        <f>(preF_FD + E223 + F223 - preF_opts + J222 + K222 + F_primary/B223)/(1-B190)</f>
        <v/>
      </c>
      <c r="H223">
        <f>MAX(0, B190*G223 - preF_opts)</f>
        <v/>
      </c>
      <c r="I223">
        <f>preF_FD + E223 + F223 + H223</f>
        <v/>
      </c>
      <c r="J223">
        <f>NA_P/MIN(NA_cap/(I223+K222), (1-NA_disc)*B223)</f>
        <v/>
      </c>
      <c r="K223">
        <f>NB_P/MIN(NB_cap/(I223+J223), (1-NB_disc)*B223)</f>
        <v/>
      </c>
      <c r="L223">
        <f>F_primary/B223</f>
        <v/>
      </c>
      <c r="M223">
        <f>I223+J223+K223</f>
        <v/>
      </c>
      <c r="N223">
        <f>D190/M223</f>
        <v/>
      </c>
      <c r="O223">
        <f>IF(Y222*L223 &gt; F_primary, 1, 0)</f>
        <v/>
      </c>
      <c r="P223">
        <f>IF(Y222*(E_sh + F223) &gt; E_inv, 1, 0)</f>
        <v/>
      </c>
      <c r="Q223">
        <f>IF(Y222*(D_sh + E223) &gt; D_inv, 1, 0)</f>
        <v/>
      </c>
      <c r="R223">
        <f>IF(Y222*C_sh &gt; C_inv, 1, 0)</f>
        <v/>
      </c>
      <c r="S223">
        <f>IF(Y222*B_sh &gt; B_inv, 1, 0)</f>
        <v/>
      </c>
      <c r="T223">
        <f>IF(Y222*A_sh &gt; A_inv, 1, 0)</f>
        <v/>
      </c>
      <c r="U223">
        <f>IF(Y222*seed_sh &gt; seed_inv, 1, 0)</f>
        <v/>
      </c>
      <c r="V223">
        <f>(1-O223)*F_primary+(1-P223)*E_inv+(1-Q223)*D_inv+(1-R223)*C_inv+(1-S223)*B_inv+(1-T223)*A_inv+(1-U223)*seed_inv</f>
        <v/>
      </c>
      <c r="W223">
        <f>MAX(0, sens_exit - V223)</f>
        <v/>
      </c>
      <c r="X223">
        <f>F1_sh+F2_sh+F3_sh+RSA_sh+J223+K223+O223*L223+P223*(E_sh + F223)+Q223*(D_sh + E223)+R223*C_sh+S223*B_sh+T223*A_sh+U223*seed_sh</f>
        <v/>
      </c>
      <c r="Y223">
        <f>(W223 + preF_opts_iss*opt_strike)/(X223 + preF_opts_iss)</f>
        <v/>
      </c>
    </row>
    <row r="224">
      <c r="B224">
        <f>N223</f>
        <v/>
      </c>
      <c r="C224">
        <f>OCP_D*(preF_FD + F_primary/OCP_D)/(preF_FD + F_primary/B224)</f>
        <v/>
      </c>
      <c r="D224">
        <f>OCP_E*(preF_FD + F_primary/OCP_E)/(preF_FD + F_primary/B224)</f>
        <v/>
      </c>
      <c r="E224">
        <f>D_sh*(OCP_D/C224 - 1)</f>
        <v/>
      </c>
      <c r="F224">
        <f>E_sh*(OCP_E/D224 - 1)</f>
        <v/>
      </c>
      <c r="G224">
        <f>(preF_FD + E224 + F224 - preF_opts + J223 + K223 + F_primary/B224)/(1-B190)</f>
        <v/>
      </c>
      <c r="H224">
        <f>MAX(0, B190*G224 - preF_opts)</f>
        <v/>
      </c>
      <c r="I224">
        <f>preF_FD + E224 + F224 + H224</f>
        <v/>
      </c>
      <c r="J224">
        <f>NA_P/MIN(NA_cap/(I224+K223), (1-NA_disc)*B224)</f>
        <v/>
      </c>
      <c r="K224">
        <f>NB_P/MIN(NB_cap/(I224+J224), (1-NB_disc)*B224)</f>
        <v/>
      </c>
      <c r="L224">
        <f>F_primary/B224</f>
        <v/>
      </c>
      <c r="M224">
        <f>I224+J224+K224</f>
        <v/>
      </c>
      <c r="N224">
        <f>D190/M224</f>
        <v/>
      </c>
      <c r="O224">
        <f>IF(Y223*L224 &gt; F_primary, 1, 0)</f>
        <v/>
      </c>
      <c r="P224">
        <f>IF(Y223*(E_sh + F224) &gt; E_inv, 1, 0)</f>
        <v/>
      </c>
      <c r="Q224">
        <f>IF(Y223*(D_sh + E224) &gt; D_inv, 1, 0)</f>
        <v/>
      </c>
      <c r="R224">
        <f>IF(Y223*C_sh &gt; C_inv, 1, 0)</f>
        <v/>
      </c>
      <c r="S224">
        <f>IF(Y223*B_sh &gt; B_inv, 1, 0)</f>
        <v/>
      </c>
      <c r="T224">
        <f>IF(Y223*A_sh &gt; A_inv, 1, 0)</f>
        <v/>
      </c>
      <c r="U224">
        <f>IF(Y223*seed_sh &gt; seed_inv, 1, 0)</f>
        <v/>
      </c>
      <c r="V224">
        <f>(1-O224)*F_primary+(1-P224)*E_inv+(1-Q224)*D_inv+(1-R224)*C_inv+(1-S224)*B_inv+(1-T224)*A_inv+(1-U224)*seed_inv</f>
        <v/>
      </c>
      <c r="W224">
        <f>MAX(0, sens_exit - V224)</f>
        <v/>
      </c>
      <c r="X224">
        <f>F1_sh+F2_sh+F3_sh+RSA_sh+J224+K224+O224*L224+P224*(E_sh + F224)+Q224*(D_sh + E224)+R224*C_sh+S224*B_sh+T224*A_sh+U224*seed_sh</f>
        <v/>
      </c>
      <c r="Y224">
        <f>(W224 + preF_opts_iss*opt_strike)/(X224 + preF_opts_iss)</f>
        <v/>
      </c>
    </row>
    <row r="225">
      <c r="B225">
        <f>N224</f>
        <v/>
      </c>
      <c r="C225">
        <f>OCP_D*(preF_FD + F_primary/OCP_D)/(preF_FD + F_primary/B225)</f>
        <v/>
      </c>
      <c r="D225">
        <f>OCP_E*(preF_FD + F_primary/OCP_E)/(preF_FD + F_primary/B225)</f>
        <v/>
      </c>
      <c r="E225">
        <f>D_sh*(OCP_D/C225 - 1)</f>
        <v/>
      </c>
      <c r="F225">
        <f>E_sh*(OCP_E/D225 - 1)</f>
        <v/>
      </c>
      <c r="G225">
        <f>(preF_FD + E225 + F225 - preF_opts + J224 + K224 + F_primary/B225)/(1-B190)</f>
        <v/>
      </c>
      <c r="H225">
        <f>MAX(0, B190*G225 - preF_opts)</f>
        <v/>
      </c>
      <c r="I225">
        <f>preF_FD + E225 + F225 + H225</f>
        <v/>
      </c>
      <c r="J225">
        <f>NA_P/MIN(NA_cap/(I225+K224), (1-NA_disc)*B225)</f>
        <v/>
      </c>
      <c r="K225">
        <f>NB_P/MIN(NB_cap/(I225+J225), (1-NB_disc)*B225)</f>
        <v/>
      </c>
      <c r="L225">
        <f>F_primary/B225</f>
        <v/>
      </c>
      <c r="M225">
        <f>I225+J225+K225</f>
        <v/>
      </c>
      <c r="N225">
        <f>D190/M225</f>
        <v/>
      </c>
      <c r="O225">
        <f>IF(Y224*L225 &gt; F_primary, 1, 0)</f>
        <v/>
      </c>
      <c r="P225">
        <f>IF(Y224*(E_sh + F225) &gt; E_inv, 1, 0)</f>
        <v/>
      </c>
      <c r="Q225">
        <f>IF(Y224*(D_sh + E225) &gt; D_inv, 1, 0)</f>
        <v/>
      </c>
      <c r="R225">
        <f>IF(Y224*C_sh &gt; C_inv, 1, 0)</f>
        <v/>
      </c>
      <c r="S225">
        <f>IF(Y224*B_sh &gt; B_inv, 1, 0)</f>
        <v/>
      </c>
      <c r="T225">
        <f>IF(Y224*A_sh &gt; A_inv, 1, 0)</f>
        <v/>
      </c>
      <c r="U225">
        <f>IF(Y224*seed_sh &gt; seed_inv, 1, 0)</f>
        <v/>
      </c>
      <c r="V225">
        <f>(1-O225)*F_primary+(1-P225)*E_inv+(1-Q225)*D_inv+(1-R225)*C_inv+(1-S225)*B_inv+(1-T225)*A_inv+(1-U225)*seed_inv</f>
        <v/>
      </c>
      <c r="W225">
        <f>MAX(0, sens_exit - V225)</f>
        <v/>
      </c>
      <c r="X225">
        <f>F1_sh+F2_sh+F3_sh+RSA_sh+J225+K225+O225*L225+P225*(E_sh + F225)+Q225*(D_sh + E225)+R225*C_sh+S225*B_sh+T225*A_sh+U225*seed_sh</f>
        <v/>
      </c>
      <c r="Y225">
        <f>(W225 + preF_opts_iss*opt_strike)/(X225 + preF_opts_iss)</f>
        <v/>
      </c>
    </row>
    <row r="226">
      <c r="B226">
        <f>N225</f>
        <v/>
      </c>
      <c r="C226">
        <f>OCP_D*(preF_FD + F_primary/OCP_D)/(preF_FD + F_primary/B226)</f>
        <v/>
      </c>
      <c r="D226">
        <f>OCP_E*(preF_FD + F_primary/OCP_E)/(preF_FD + F_primary/B226)</f>
        <v/>
      </c>
      <c r="E226">
        <f>D_sh*(OCP_D/C226 - 1)</f>
        <v/>
      </c>
      <c r="F226">
        <f>E_sh*(OCP_E/D226 - 1)</f>
        <v/>
      </c>
      <c r="G226">
        <f>(preF_FD + E226 + F226 - preF_opts + J225 + K225 + F_primary/B226)/(1-B190)</f>
        <v/>
      </c>
      <c r="H226">
        <f>MAX(0, B190*G226 - preF_opts)</f>
        <v/>
      </c>
      <c r="I226">
        <f>preF_FD + E226 + F226 + H226</f>
        <v/>
      </c>
      <c r="J226">
        <f>NA_P/MIN(NA_cap/(I226+K225), (1-NA_disc)*B226)</f>
        <v/>
      </c>
      <c r="K226">
        <f>NB_P/MIN(NB_cap/(I226+J226), (1-NB_disc)*B226)</f>
        <v/>
      </c>
      <c r="L226">
        <f>F_primary/B226</f>
        <v/>
      </c>
      <c r="M226">
        <f>I226+J226+K226</f>
        <v/>
      </c>
      <c r="N226">
        <f>D190/M226</f>
        <v/>
      </c>
      <c r="O226">
        <f>IF(Y225*L226 &gt; F_primary, 1, 0)</f>
        <v/>
      </c>
      <c r="P226">
        <f>IF(Y225*(E_sh + F226) &gt; E_inv, 1, 0)</f>
        <v/>
      </c>
      <c r="Q226">
        <f>IF(Y225*(D_sh + E226) &gt; D_inv, 1, 0)</f>
        <v/>
      </c>
      <c r="R226">
        <f>IF(Y225*C_sh &gt; C_inv, 1, 0)</f>
        <v/>
      </c>
      <c r="S226">
        <f>IF(Y225*B_sh &gt; B_inv, 1, 0)</f>
        <v/>
      </c>
      <c r="T226">
        <f>IF(Y225*A_sh &gt; A_inv, 1, 0)</f>
        <v/>
      </c>
      <c r="U226">
        <f>IF(Y225*seed_sh &gt; seed_inv, 1, 0)</f>
        <v/>
      </c>
      <c r="V226">
        <f>(1-O226)*F_primary+(1-P226)*E_inv+(1-Q226)*D_inv+(1-R226)*C_inv+(1-S226)*B_inv+(1-T226)*A_inv+(1-U226)*seed_inv</f>
        <v/>
      </c>
      <c r="W226">
        <f>MAX(0, sens_exit - V226)</f>
        <v/>
      </c>
      <c r="X226">
        <f>F1_sh+F2_sh+F3_sh+RSA_sh+J226+K226+O226*L226+P226*(E_sh + F226)+Q226*(D_sh + E226)+R226*C_sh+S226*B_sh+T226*A_sh+U226*seed_sh</f>
        <v/>
      </c>
      <c r="Y226">
        <f>(W226 + preF_opts_iss*opt_strike)/(X226 + preF_opts_iss)</f>
        <v/>
      </c>
    </row>
    <row r="227">
      <c r="B227">
        <f>N226</f>
        <v/>
      </c>
      <c r="C227">
        <f>OCP_D*(preF_FD + F_primary/OCP_D)/(preF_FD + F_primary/B227)</f>
        <v/>
      </c>
      <c r="D227">
        <f>OCP_E*(preF_FD + F_primary/OCP_E)/(preF_FD + F_primary/B227)</f>
        <v/>
      </c>
      <c r="E227">
        <f>D_sh*(OCP_D/C227 - 1)</f>
        <v/>
      </c>
      <c r="F227">
        <f>E_sh*(OCP_E/D227 - 1)</f>
        <v/>
      </c>
      <c r="G227">
        <f>(preF_FD + E227 + F227 - preF_opts + J226 + K226 + F_primary/B227)/(1-B190)</f>
        <v/>
      </c>
      <c r="H227">
        <f>MAX(0, B190*G227 - preF_opts)</f>
        <v/>
      </c>
      <c r="I227">
        <f>preF_FD + E227 + F227 + H227</f>
        <v/>
      </c>
      <c r="J227">
        <f>NA_P/MIN(NA_cap/(I227+K226), (1-NA_disc)*B227)</f>
        <v/>
      </c>
      <c r="K227">
        <f>NB_P/MIN(NB_cap/(I227+J227), (1-NB_disc)*B227)</f>
        <v/>
      </c>
      <c r="L227">
        <f>F_primary/B227</f>
        <v/>
      </c>
      <c r="M227">
        <f>I227+J227+K227</f>
        <v/>
      </c>
      <c r="N227">
        <f>D190/M227</f>
        <v/>
      </c>
      <c r="O227">
        <f>IF(Y226*L227 &gt; F_primary, 1, 0)</f>
        <v/>
      </c>
      <c r="P227">
        <f>IF(Y226*(E_sh + F227) &gt; E_inv, 1, 0)</f>
        <v/>
      </c>
      <c r="Q227">
        <f>IF(Y226*(D_sh + E227) &gt; D_inv, 1, 0)</f>
        <v/>
      </c>
      <c r="R227">
        <f>IF(Y226*C_sh &gt; C_inv, 1, 0)</f>
        <v/>
      </c>
      <c r="S227">
        <f>IF(Y226*B_sh &gt; B_inv, 1, 0)</f>
        <v/>
      </c>
      <c r="T227">
        <f>IF(Y226*A_sh &gt; A_inv, 1, 0)</f>
        <v/>
      </c>
      <c r="U227">
        <f>IF(Y226*seed_sh &gt; seed_inv, 1, 0)</f>
        <v/>
      </c>
      <c r="V227">
        <f>(1-O227)*F_primary+(1-P227)*E_inv+(1-Q227)*D_inv+(1-R227)*C_inv+(1-S227)*B_inv+(1-T227)*A_inv+(1-U227)*seed_inv</f>
        <v/>
      </c>
      <c r="W227">
        <f>MAX(0, sens_exit - V227)</f>
        <v/>
      </c>
      <c r="X227">
        <f>F1_sh+F2_sh+F3_sh+RSA_sh+J227+K227+O227*L227+P227*(E_sh + F227)+Q227*(D_sh + E227)+R227*C_sh+S227*B_sh+T227*A_sh+U227*seed_sh</f>
        <v/>
      </c>
      <c r="Y227">
        <f>(W227 + preF_opts_iss*opt_strike)/(X227 + preF_opts_iss)</f>
        <v/>
      </c>
    </row>
    <row r="228">
      <c r="B228">
        <f>N227</f>
        <v/>
      </c>
      <c r="C228">
        <f>OCP_D*(preF_FD + F_primary/OCP_D)/(preF_FD + F_primary/B228)</f>
        <v/>
      </c>
      <c r="D228">
        <f>OCP_E*(preF_FD + F_primary/OCP_E)/(preF_FD + F_primary/B228)</f>
        <v/>
      </c>
      <c r="E228">
        <f>D_sh*(OCP_D/C228 - 1)</f>
        <v/>
      </c>
      <c r="F228">
        <f>E_sh*(OCP_E/D228 - 1)</f>
        <v/>
      </c>
      <c r="G228">
        <f>(preF_FD + E228 + F228 - preF_opts + J227 + K227 + F_primary/B228)/(1-B190)</f>
        <v/>
      </c>
      <c r="H228">
        <f>MAX(0, B190*G228 - preF_opts)</f>
        <v/>
      </c>
      <c r="I228">
        <f>preF_FD + E228 + F228 + H228</f>
        <v/>
      </c>
      <c r="J228">
        <f>NA_P/MIN(NA_cap/(I228+K227), (1-NA_disc)*B228)</f>
        <v/>
      </c>
      <c r="K228">
        <f>NB_P/MIN(NB_cap/(I228+J228), (1-NB_disc)*B228)</f>
        <v/>
      </c>
      <c r="L228">
        <f>F_primary/B228</f>
        <v/>
      </c>
      <c r="M228">
        <f>I228+J228+K228</f>
        <v/>
      </c>
      <c r="N228">
        <f>D190/M228</f>
        <v/>
      </c>
      <c r="O228">
        <f>IF(Y227*L228 &gt; F_primary, 1, 0)</f>
        <v/>
      </c>
      <c r="P228">
        <f>IF(Y227*(E_sh + F228) &gt; E_inv, 1, 0)</f>
        <v/>
      </c>
      <c r="Q228">
        <f>IF(Y227*(D_sh + E228) &gt; D_inv, 1, 0)</f>
        <v/>
      </c>
      <c r="R228">
        <f>IF(Y227*C_sh &gt; C_inv, 1, 0)</f>
        <v/>
      </c>
      <c r="S228">
        <f>IF(Y227*B_sh &gt; B_inv, 1, 0)</f>
        <v/>
      </c>
      <c r="T228">
        <f>IF(Y227*A_sh &gt; A_inv, 1, 0)</f>
        <v/>
      </c>
      <c r="U228">
        <f>IF(Y227*seed_sh &gt; seed_inv, 1, 0)</f>
        <v/>
      </c>
      <c r="V228">
        <f>(1-O228)*F_primary+(1-P228)*E_inv+(1-Q228)*D_inv+(1-R228)*C_inv+(1-S228)*B_inv+(1-T228)*A_inv+(1-U228)*seed_inv</f>
        <v/>
      </c>
      <c r="W228">
        <f>MAX(0, sens_exit - V228)</f>
        <v/>
      </c>
      <c r="X228">
        <f>F1_sh+F2_sh+F3_sh+RSA_sh+J228+K228+O228*L228+P228*(E_sh + F228)+Q228*(D_sh + E228)+R228*C_sh+S228*B_sh+T228*A_sh+U228*seed_sh</f>
        <v/>
      </c>
      <c r="Y228">
        <f>(W228 + preF_opts_iss*opt_strike)/(X228 + preF_opts_iss)</f>
        <v/>
      </c>
    </row>
    <row r="229">
      <c r="A229" s="6" t="inlineStr">
        <is>
          <t>--- Scenario 6: ESOP=sens_e_md, Pre-money=sens_p_hi ---</t>
        </is>
      </c>
    </row>
    <row r="230">
      <c r="A230" s="6" t="inlineStr">
        <is>
          <t>ESOP</t>
        </is>
      </c>
      <c r="B230">
        <f>sens_e_md</f>
        <v/>
      </c>
      <c r="C230" s="6" t="inlineStr">
        <is>
          <t>Pre-money</t>
        </is>
      </c>
      <c r="D230">
        <f>sens_p_hi</f>
        <v/>
      </c>
      <c r="E230" s="6" t="inlineStr">
        <is>
          <t>F_PPS</t>
        </is>
      </c>
      <c r="F230">
        <f>N268</f>
        <v/>
      </c>
      <c r="G230" s="6" t="inlineStr">
        <is>
          <t>T_F</t>
        </is>
      </c>
      <c r="H230">
        <f>I268+J268+K268+L268</f>
        <v/>
      </c>
      <c r="I230" s="6" t="inlineStr">
        <is>
          <t>NA_sh</t>
        </is>
      </c>
      <c r="J230">
        <f>J268</f>
        <v/>
      </c>
      <c r="K230" s="6" t="inlineStr">
        <is>
          <t>NB_sh</t>
        </is>
      </c>
      <c r="L230">
        <f>K268</f>
        <v/>
      </c>
      <c r="M230" s="6" t="inlineStr">
        <is>
          <t>NA_branch</t>
        </is>
      </c>
      <c r="N230">
        <f>IF(NA_cap/(I268+K268) &lt; (1-NA_disc)*N268, "cap", "discount")</f>
        <v/>
      </c>
      <c r="O230" s="6" t="inlineStr">
        <is>
          <t>NB_branch</t>
        </is>
      </c>
      <c r="P230">
        <f>IF(NB_cap/(I268+J268) &lt; (1-NB_disc)*N268, "cap", "discount")</f>
        <v/>
      </c>
    </row>
    <row r="231">
      <c r="A231" s="6" t="inlineStr">
        <is>
          <t>our_sh</t>
        </is>
      </c>
      <c r="B231">
        <f>our_check/F230</f>
        <v/>
      </c>
      <c r="C231" s="6" t="inlineStr">
        <is>
          <t>own%</t>
        </is>
      </c>
      <c r="D231" s="5">
        <f>B231/H230</f>
        <v/>
      </c>
      <c r="E231" s="6" t="inlineStr">
        <is>
          <t>F_election</t>
        </is>
      </c>
      <c r="F231">
        <f>IF(Y268*L268 &gt; F_primary, "convert", "preference")</f>
        <v/>
      </c>
      <c r="G231" s="6" t="inlineStr">
        <is>
          <t>F_payout</t>
        </is>
      </c>
      <c r="H231" s="8">
        <f>IF(F231="convert", Y268*L268, F_primary)</f>
        <v/>
      </c>
      <c r="I231" s="6" t="inlineStr">
        <is>
          <t>our_$</t>
        </is>
      </c>
      <c r="J231" s="8">
        <f>H231*our_check/F_primary</f>
        <v/>
      </c>
    </row>
    <row r="233">
      <c r="A233" s="6" t="inlineStr">
        <is>
          <t>iter</t>
        </is>
      </c>
      <c r="B233" s="6" t="inlineStr">
        <is>
          <t>F_PPS_in</t>
        </is>
      </c>
      <c r="C233" s="6" t="inlineStr">
        <is>
          <t>NCP_D</t>
        </is>
      </c>
      <c r="D233" s="6" t="inlineStr">
        <is>
          <t>NCP_E</t>
        </is>
      </c>
      <c r="E233" s="6" t="inlineStr">
        <is>
          <t>extras_D</t>
        </is>
      </c>
      <c r="F233" s="6" t="inlineStr">
        <is>
          <t>extras_E</t>
        </is>
      </c>
      <c r="G233" s="6" t="inlineStr">
        <is>
          <t>T_F</t>
        </is>
      </c>
      <c r="H233" s="6" t="inlineStr">
        <is>
          <t>topup</t>
        </is>
      </c>
      <c r="I233" s="6" t="inlineStr">
        <is>
          <t>preFD_nn</t>
        </is>
      </c>
      <c r="J233" s="6" t="inlineStr">
        <is>
          <t>NA_sh</t>
        </is>
      </c>
      <c r="K233" s="6" t="inlineStr">
        <is>
          <t>NB_sh</t>
        </is>
      </c>
      <c r="L233" s="6" t="inlineStr">
        <is>
          <t>F_prim_sh</t>
        </is>
      </c>
      <c r="M233" s="6" t="inlineStr">
        <is>
          <t>T_pre</t>
        </is>
      </c>
      <c r="N233" s="6" t="inlineStr">
        <is>
          <t>F_PPS_out</t>
        </is>
      </c>
      <c r="O233" s="6" t="inlineStr">
        <is>
          <t>ic_F</t>
        </is>
      </c>
      <c r="P233" s="6" t="inlineStr">
        <is>
          <t>ic_E</t>
        </is>
      </c>
      <c r="Q233" s="6" t="inlineStr">
        <is>
          <t>ic_D</t>
        </is>
      </c>
      <c r="R233" s="6" t="inlineStr">
        <is>
          <t>ic_C</t>
        </is>
      </c>
      <c r="S233" s="6" t="inlineStr">
        <is>
          <t>ic_B</t>
        </is>
      </c>
      <c r="T233" s="6" t="inlineStr">
        <is>
          <t>ic_A</t>
        </is>
      </c>
      <c r="U233" s="6" t="inlineStr">
        <is>
          <t>ic_Seed</t>
        </is>
      </c>
      <c r="V233" s="6" t="inlineStr">
        <is>
          <t>prefs_paid</t>
        </is>
      </c>
      <c r="W233" s="6" t="inlineStr">
        <is>
          <t>residual</t>
        </is>
      </c>
      <c r="X233" s="6" t="inlineStr">
        <is>
          <t>cv_shares</t>
        </is>
      </c>
      <c r="Y233" s="6" t="inlineStr">
        <is>
          <t>PPS_2B</t>
        </is>
      </c>
    </row>
    <row r="234">
      <c r="B234">
        <f>D230/preF_FD</f>
        <v/>
      </c>
      <c r="C234">
        <f>OCP_D*(preF_FD + F_primary/OCP_D)/(preF_FD + F_primary/B234)</f>
        <v/>
      </c>
      <c r="D234">
        <f>OCP_E*(preF_FD + F_primary/OCP_E)/(preF_FD + F_primary/B234)</f>
        <v/>
      </c>
      <c r="E234">
        <f>D_sh*(OCP_D/C234 - 1)</f>
        <v/>
      </c>
      <c r="F234">
        <f>E_sh*(OCP_E/D234 - 1)</f>
        <v/>
      </c>
      <c r="G234">
        <f>(preF_FD + E234 + F234 - preF_opts + 0 + 0 + F_primary/B234)/(1-B230)</f>
        <v/>
      </c>
      <c r="H234">
        <f>MAX(0, B230*G234 - preF_opts)</f>
        <v/>
      </c>
      <c r="I234">
        <f>preF_FD + E234 + F234 + H234</f>
        <v/>
      </c>
      <c r="J234">
        <f>NA_P/MIN(NA_cap/(I234+0), (1-NA_disc)*B234)</f>
        <v/>
      </c>
      <c r="K234">
        <f>NB_P/MIN(NB_cap/(I234+J234), (1-NB_disc)*B234)</f>
        <v/>
      </c>
      <c r="L234">
        <f>F_primary/B234</f>
        <v/>
      </c>
      <c r="M234">
        <f>I234+J234+K234</f>
        <v/>
      </c>
      <c r="N234">
        <f>D230/M234</f>
        <v/>
      </c>
      <c r="O234">
        <f>IF(0*L234 &gt; F_primary, 1, 0)</f>
        <v/>
      </c>
      <c r="P234">
        <f>IF(0*(E_sh + F234) &gt; E_inv, 1, 0)</f>
        <v/>
      </c>
      <c r="Q234">
        <f>IF(0*(D_sh + E234) &gt; D_inv, 1, 0)</f>
        <v/>
      </c>
      <c r="R234">
        <f>IF(0*C_sh &gt; C_inv, 1, 0)</f>
        <v/>
      </c>
      <c r="S234">
        <f>IF(0*B_sh &gt; B_inv, 1, 0)</f>
        <v/>
      </c>
      <c r="T234">
        <f>IF(0*A_sh &gt; A_inv, 1, 0)</f>
        <v/>
      </c>
      <c r="U234">
        <f>IF(0*seed_sh &gt; seed_inv, 1, 0)</f>
        <v/>
      </c>
      <c r="V234">
        <f>(1-O234)*F_primary+(1-P234)*E_inv+(1-Q234)*D_inv+(1-R234)*C_inv+(1-S234)*B_inv+(1-T234)*A_inv+(1-U234)*seed_inv</f>
        <v/>
      </c>
      <c r="W234">
        <f>MAX(0, sens_exit - V234)</f>
        <v/>
      </c>
      <c r="X234">
        <f>F1_sh+F2_sh+F3_sh+RSA_sh+J234+K234+O234*L234+P234*(E_sh + F234)+Q234*(D_sh + E234)+R234*C_sh+S234*B_sh+T234*A_sh+U234*seed_sh</f>
        <v/>
      </c>
      <c r="Y234">
        <f>(W234 + preF_opts_iss*opt_strike)/(X234 + preF_opts_iss)</f>
        <v/>
      </c>
    </row>
    <row r="235">
      <c r="B235">
        <f>N234</f>
        <v/>
      </c>
      <c r="C235">
        <f>OCP_D*(preF_FD + F_primary/OCP_D)/(preF_FD + F_primary/B235)</f>
        <v/>
      </c>
      <c r="D235">
        <f>OCP_E*(preF_FD + F_primary/OCP_E)/(preF_FD + F_primary/B235)</f>
        <v/>
      </c>
      <c r="E235">
        <f>D_sh*(OCP_D/C235 - 1)</f>
        <v/>
      </c>
      <c r="F235">
        <f>E_sh*(OCP_E/D235 - 1)</f>
        <v/>
      </c>
      <c r="G235">
        <f>(preF_FD + E235 + F235 - preF_opts + J234 + K234 + F_primary/B235)/(1-B230)</f>
        <v/>
      </c>
      <c r="H235">
        <f>MAX(0, B230*G235 - preF_opts)</f>
        <v/>
      </c>
      <c r="I235">
        <f>preF_FD + E235 + F235 + H235</f>
        <v/>
      </c>
      <c r="J235">
        <f>NA_P/MIN(NA_cap/(I235+K234), (1-NA_disc)*B235)</f>
        <v/>
      </c>
      <c r="K235">
        <f>NB_P/MIN(NB_cap/(I235+J235), (1-NB_disc)*B235)</f>
        <v/>
      </c>
      <c r="L235">
        <f>F_primary/B235</f>
        <v/>
      </c>
      <c r="M235">
        <f>I235+J235+K235</f>
        <v/>
      </c>
      <c r="N235">
        <f>D230/M235</f>
        <v/>
      </c>
      <c r="O235">
        <f>IF(Y234*L235 &gt; F_primary, 1, 0)</f>
        <v/>
      </c>
      <c r="P235">
        <f>IF(Y234*(E_sh + F235) &gt; E_inv, 1, 0)</f>
        <v/>
      </c>
      <c r="Q235">
        <f>IF(Y234*(D_sh + E235) &gt; D_inv, 1, 0)</f>
        <v/>
      </c>
      <c r="R235">
        <f>IF(Y234*C_sh &gt; C_inv, 1, 0)</f>
        <v/>
      </c>
      <c r="S235">
        <f>IF(Y234*B_sh &gt; B_inv, 1, 0)</f>
        <v/>
      </c>
      <c r="T235">
        <f>IF(Y234*A_sh &gt; A_inv, 1, 0)</f>
        <v/>
      </c>
      <c r="U235">
        <f>IF(Y234*seed_sh &gt; seed_inv, 1, 0)</f>
        <v/>
      </c>
      <c r="V235">
        <f>(1-O235)*F_primary+(1-P235)*E_inv+(1-Q235)*D_inv+(1-R235)*C_inv+(1-S235)*B_inv+(1-T235)*A_inv+(1-U235)*seed_inv</f>
        <v/>
      </c>
      <c r="W235">
        <f>MAX(0, sens_exit - V235)</f>
        <v/>
      </c>
      <c r="X235">
        <f>F1_sh+F2_sh+F3_sh+RSA_sh+J235+K235+O235*L235+P235*(E_sh + F235)+Q235*(D_sh + E235)+R235*C_sh+S235*B_sh+T235*A_sh+U235*seed_sh</f>
        <v/>
      </c>
      <c r="Y235">
        <f>(W235 + preF_opts_iss*opt_strike)/(X235 + preF_opts_iss)</f>
        <v/>
      </c>
    </row>
    <row r="236">
      <c r="B236">
        <f>N235</f>
        <v/>
      </c>
      <c r="C236">
        <f>OCP_D*(preF_FD + F_primary/OCP_D)/(preF_FD + F_primary/B236)</f>
        <v/>
      </c>
      <c r="D236">
        <f>OCP_E*(preF_FD + F_primary/OCP_E)/(preF_FD + F_primary/B236)</f>
        <v/>
      </c>
      <c r="E236">
        <f>D_sh*(OCP_D/C236 - 1)</f>
        <v/>
      </c>
      <c r="F236">
        <f>E_sh*(OCP_E/D236 - 1)</f>
        <v/>
      </c>
      <c r="G236">
        <f>(preF_FD + E236 + F236 - preF_opts + J235 + K235 + F_primary/B236)/(1-B230)</f>
        <v/>
      </c>
      <c r="H236">
        <f>MAX(0, B230*G236 - preF_opts)</f>
        <v/>
      </c>
      <c r="I236">
        <f>preF_FD + E236 + F236 + H236</f>
        <v/>
      </c>
      <c r="J236">
        <f>NA_P/MIN(NA_cap/(I236+K235), (1-NA_disc)*B236)</f>
        <v/>
      </c>
      <c r="K236">
        <f>NB_P/MIN(NB_cap/(I236+J236), (1-NB_disc)*B236)</f>
        <v/>
      </c>
      <c r="L236">
        <f>F_primary/B236</f>
        <v/>
      </c>
      <c r="M236">
        <f>I236+J236+K236</f>
        <v/>
      </c>
      <c r="N236">
        <f>D230/M236</f>
        <v/>
      </c>
      <c r="O236">
        <f>IF(Y235*L236 &gt; F_primary, 1, 0)</f>
        <v/>
      </c>
      <c r="P236">
        <f>IF(Y235*(E_sh + F236) &gt; E_inv, 1, 0)</f>
        <v/>
      </c>
      <c r="Q236">
        <f>IF(Y235*(D_sh + E236) &gt; D_inv, 1, 0)</f>
        <v/>
      </c>
      <c r="R236">
        <f>IF(Y235*C_sh &gt; C_inv, 1, 0)</f>
        <v/>
      </c>
      <c r="S236">
        <f>IF(Y235*B_sh &gt; B_inv, 1, 0)</f>
        <v/>
      </c>
      <c r="T236">
        <f>IF(Y235*A_sh &gt; A_inv, 1, 0)</f>
        <v/>
      </c>
      <c r="U236">
        <f>IF(Y235*seed_sh &gt; seed_inv, 1, 0)</f>
        <v/>
      </c>
      <c r="V236">
        <f>(1-O236)*F_primary+(1-P236)*E_inv+(1-Q236)*D_inv+(1-R236)*C_inv+(1-S236)*B_inv+(1-T236)*A_inv+(1-U236)*seed_inv</f>
        <v/>
      </c>
      <c r="W236">
        <f>MAX(0, sens_exit - V236)</f>
        <v/>
      </c>
      <c r="X236">
        <f>F1_sh+F2_sh+F3_sh+RSA_sh+J236+K236+O236*L236+P236*(E_sh + F236)+Q236*(D_sh + E236)+R236*C_sh+S236*B_sh+T236*A_sh+U236*seed_sh</f>
        <v/>
      </c>
      <c r="Y236">
        <f>(W236 + preF_opts_iss*opt_strike)/(X236 + preF_opts_iss)</f>
        <v/>
      </c>
    </row>
    <row r="237">
      <c r="B237">
        <f>N236</f>
        <v/>
      </c>
      <c r="C237">
        <f>OCP_D*(preF_FD + F_primary/OCP_D)/(preF_FD + F_primary/B237)</f>
        <v/>
      </c>
      <c r="D237">
        <f>OCP_E*(preF_FD + F_primary/OCP_E)/(preF_FD + F_primary/B237)</f>
        <v/>
      </c>
      <c r="E237">
        <f>D_sh*(OCP_D/C237 - 1)</f>
        <v/>
      </c>
      <c r="F237">
        <f>E_sh*(OCP_E/D237 - 1)</f>
        <v/>
      </c>
      <c r="G237">
        <f>(preF_FD + E237 + F237 - preF_opts + J236 + K236 + F_primary/B237)/(1-B230)</f>
        <v/>
      </c>
      <c r="H237">
        <f>MAX(0, B230*G237 - preF_opts)</f>
        <v/>
      </c>
      <c r="I237">
        <f>preF_FD + E237 + F237 + H237</f>
        <v/>
      </c>
      <c r="J237">
        <f>NA_P/MIN(NA_cap/(I237+K236), (1-NA_disc)*B237)</f>
        <v/>
      </c>
      <c r="K237">
        <f>NB_P/MIN(NB_cap/(I237+J237), (1-NB_disc)*B237)</f>
        <v/>
      </c>
      <c r="L237">
        <f>F_primary/B237</f>
        <v/>
      </c>
      <c r="M237">
        <f>I237+J237+K237</f>
        <v/>
      </c>
      <c r="N237">
        <f>D230/M237</f>
        <v/>
      </c>
      <c r="O237">
        <f>IF(Y236*L237 &gt; F_primary, 1, 0)</f>
        <v/>
      </c>
      <c r="P237">
        <f>IF(Y236*(E_sh + F237) &gt; E_inv, 1, 0)</f>
        <v/>
      </c>
      <c r="Q237">
        <f>IF(Y236*(D_sh + E237) &gt; D_inv, 1, 0)</f>
        <v/>
      </c>
      <c r="R237">
        <f>IF(Y236*C_sh &gt; C_inv, 1, 0)</f>
        <v/>
      </c>
      <c r="S237">
        <f>IF(Y236*B_sh &gt; B_inv, 1, 0)</f>
        <v/>
      </c>
      <c r="T237">
        <f>IF(Y236*A_sh &gt; A_inv, 1, 0)</f>
        <v/>
      </c>
      <c r="U237">
        <f>IF(Y236*seed_sh &gt; seed_inv, 1, 0)</f>
        <v/>
      </c>
      <c r="V237">
        <f>(1-O237)*F_primary+(1-P237)*E_inv+(1-Q237)*D_inv+(1-R237)*C_inv+(1-S237)*B_inv+(1-T237)*A_inv+(1-U237)*seed_inv</f>
        <v/>
      </c>
      <c r="W237">
        <f>MAX(0, sens_exit - V237)</f>
        <v/>
      </c>
      <c r="X237">
        <f>F1_sh+F2_sh+F3_sh+RSA_sh+J237+K237+O237*L237+P237*(E_sh + F237)+Q237*(D_sh + E237)+R237*C_sh+S237*B_sh+T237*A_sh+U237*seed_sh</f>
        <v/>
      </c>
      <c r="Y237">
        <f>(W237 + preF_opts_iss*opt_strike)/(X237 + preF_opts_iss)</f>
        <v/>
      </c>
    </row>
    <row r="238">
      <c r="B238">
        <f>N237</f>
        <v/>
      </c>
      <c r="C238">
        <f>OCP_D*(preF_FD + F_primary/OCP_D)/(preF_FD + F_primary/B238)</f>
        <v/>
      </c>
      <c r="D238">
        <f>OCP_E*(preF_FD + F_primary/OCP_E)/(preF_FD + F_primary/B238)</f>
        <v/>
      </c>
      <c r="E238">
        <f>D_sh*(OCP_D/C238 - 1)</f>
        <v/>
      </c>
      <c r="F238">
        <f>E_sh*(OCP_E/D238 - 1)</f>
        <v/>
      </c>
      <c r="G238">
        <f>(preF_FD + E238 + F238 - preF_opts + J237 + K237 + F_primary/B238)/(1-B230)</f>
        <v/>
      </c>
      <c r="H238">
        <f>MAX(0, B230*G238 - preF_opts)</f>
        <v/>
      </c>
      <c r="I238">
        <f>preF_FD + E238 + F238 + H238</f>
        <v/>
      </c>
      <c r="J238">
        <f>NA_P/MIN(NA_cap/(I238+K237), (1-NA_disc)*B238)</f>
        <v/>
      </c>
      <c r="K238">
        <f>NB_P/MIN(NB_cap/(I238+J238), (1-NB_disc)*B238)</f>
        <v/>
      </c>
      <c r="L238">
        <f>F_primary/B238</f>
        <v/>
      </c>
      <c r="M238">
        <f>I238+J238+K238</f>
        <v/>
      </c>
      <c r="N238">
        <f>D230/M238</f>
        <v/>
      </c>
      <c r="O238">
        <f>IF(Y237*L238 &gt; F_primary, 1, 0)</f>
        <v/>
      </c>
      <c r="P238">
        <f>IF(Y237*(E_sh + F238) &gt; E_inv, 1, 0)</f>
        <v/>
      </c>
      <c r="Q238">
        <f>IF(Y237*(D_sh + E238) &gt; D_inv, 1, 0)</f>
        <v/>
      </c>
      <c r="R238">
        <f>IF(Y237*C_sh &gt; C_inv, 1, 0)</f>
        <v/>
      </c>
      <c r="S238">
        <f>IF(Y237*B_sh &gt; B_inv, 1, 0)</f>
        <v/>
      </c>
      <c r="T238">
        <f>IF(Y237*A_sh &gt; A_inv, 1, 0)</f>
        <v/>
      </c>
      <c r="U238">
        <f>IF(Y237*seed_sh &gt; seed_inv, 1, 0)</f>
        <v/>
      </c>
      <c r="V238">
        <f>(1-O238)*F_primary+(1-P238)*E_inv+(1-Q238)*D_inv+(1-R238)*C_inv+(1-S238)*B_inv+(1-T238)*A_inv+(1-U238)*seed_inv</f>
        <v/>
      </c>
      <c r="W238">
        <f>MAX(0, sens_exit - V238)</f>
        <v/>
      </c>
      <c r="X238">
        <f>F1_sh+F2_sh+F3_sh+RSA_sh+J238+K238+O238*L238+P238*(E_sh + F238)+Q238*(D_sh + E238)+R238*C_sh+S238*B_sh+T238*A_sh+U238*seed_sh</f>
        <v/>
      </c>
      <c r="Y238">
        <f>(W238 + preF_opts_iss*opt_strike)/(X238 + preF_opts_iss)</f>
        <v/>
      </c>
    </row>
    <row r="239">
      <c r="B239">
        <f>N238</f>
        <v/>
      </c>
      <c r="C239">
        <f>OCP_D*(preF_FD + F_primary/OCP_D)/(preF_FD + F_primary/B239)</f>
        <v/>
      </c>
      <c r="D239">
        <f>OCP_E*(preF_FD + F_primary/OCP_E)/(preF_FD + F_primary/B239)</f>
        <v/>
      </c>
      <c r="E239">
        <f>D_sh*(OCP_D/C239 - 1)</f>
        <v/>
      </c>
      <c r="F239">
        <f>E_sh*(OCP_E/D239 - 1)</f>
        <v/>
      </c>
      <c r="G239">
        <f>(preF_FD + E239 + F239 - preF_opts + J238 + K238 + F_primary/B239)/(1-B230)</f>
        <v/>
      </c>
      <c r="H239">
        <f>MAX(0, B230*G239 - preF_opts)</f>
        <v/>
      </c>
      <c r="I239">
        <f>preF_FD + E239 + F239 + H239</f>
        <v/>
      </c>
      <c r="J239">
        <f>NA_P/MIN(NA_cap/(I239+K238), (1-NA_disc)*B239)</f>
        <v/>
      </c>
      <c r="K239">
        <f>NB_P/MIN(NB_cap/(I239+J239), (1-NB_disc)*B239)</f>
        <v/>
      </c>
      <c r="L239">
        <f>F_primary/B239</f>
        <v/>
      </c>
      <c r="M239">
        <f>I239+J239+K239</f>
        <v/>
      </c>
      <c r="N239">
        <f>D230/M239</f>
        <v/>
      </c>
      <c r="O239">
        <f>IF(Y238*L239 &gt; F_primary, 1, 0)</f>
        <v/>
      </c>
      <c r="P239">
        <f>IF(Y238*(E_sh + F239) &gt; E_inv, 1, 0)</f>
        <v/>
      </c>
      <c r="Q239">
        <f>IF(Y238*(D_sh + E239) &gt; D_inv, 1, 0)</f>
        <v/>
      </c>
      <c r="R239">
        <f>IF(Y238*C_sh &gt; C_inv, 1, 0)</f>
        <v/>
      </c>
      <c r="S239">
        <f>IF(Y238*B_sh &gt; B_inv, 1, 0)</f>
        <v/>
      </c>
      <c r="T239">
        <f>IF(Y238*A_sh &gt; A_inv, 1, 0)</f>
        <v/>
      </c>
      <c r="U239">
        <f>IF(Y238*seed_sh &gt; seed_inv, 1, 0)</f>
        <v/>
      </c>
      <c r="V239">
        <f>(1-O239)*F_primary+(1-P239)*E_inv+(1-Q239)*D_inv+(1-R239)*C_inv+(1-S239)*B_inv+(1-T239)*A_inv+(1-U239)*seed_inv</f>
        <v/>
      </c>
      <c r="W239">
        <f>MAX(0, sens_exit - V239)</f>
        <v/>
      </c>
      <c r="X239">
        <f>F1_sh+F2_sh+F3_sh+RSA_sh+J239+K239+O239*L239+P239*(E_sh + F239)+Q239*(D_sh + E239)+R239*C_sh+S239*B_sh+T239*A_sh+U239*seed_sh</f>
        <v/>
      </c>
      <c r="Y239">
        <f>(W239 + preF_opts_iss*opt_strike)/(X239 + preF_opts_iss)</f>
        <v/>
      </c>
    </row>
    <row r="240">
      <c r="B240">
        <f>N239</f>
        <v/>
      </c>
      <c r="C240">
        <f>OCP_D*(preF_FD + F_primary/OCP_D)/(preF_FD + F_primary/B240)</f>
        <v/>
      </c>
      <c r="D240">
        <f>OCP_E*(preF_FD + F_primary/OCP_E)/(preF_FD + F_primary/B240)</f>
        <v/>
      </c>
      <c r="E240">
        <f>D_sh*(OCP_D/C240 - 1)</f>
        <v/>
      </c>
      <c r="F240">
        <f>E_sh*(OCP_E/D240 - 1)</f>
        <v/>
      </c>
      <c r="G240">
        <f>(preF_FD + E240 + F240 - preF_opts + J239 + K239 + F_primary/B240)/(1-B230)</f>
        <v/>
      </c>
      <c r="H240">
        <f>MAX(0, B230*G240 - preF_opts)</f>
        <v/>
      </c>
      <c r="I240">
        <f>preF_FD + E240 + F240 + H240</f>
        <v/>
      </c>
      <c r="J240">
        <f>NA_P/MIN(NA_cap/(I240+K239), (1-NA_disc)*B240)</f>
        <v/>
      </c>
      <c r="K240">
        <f>NB_P/MIN(NB_cap/(I240+J240), (1-NB_disc)*B240)</f>
        <v/>
      </c>
      <c r="L240">
        <f>F_primary/B240</f>
        <v/>
      </c>
      <c r="M240">
        <f>I240+J240+K240</f>
        <v/>
      </c>
      <c r="N240">
        <f>D230/M240</f>
        <v/>
      </c>
      <c r="O240">
        <f>IF(Y239*L240 &gt; F_primary, 1, 0)</f>
        <v/>
      </c>
      <c r="P240">
        <f>IF(Y239*(E_sh + F240) &gt; E_inv, 1, 0)</f>
        <v/>
      </c>
      <c r="Q240">
        <f>IF(Y239*(D_sh + E240) &gt; D_inv, 1, 0)</f>
        <v/>
      </c>
      <c r="R240">
        <f>IF(Y239*C_sh &gt; C_inv, 1, 0)</f>
        <v/>
      </c>
      <c r="S240">
        <f>IF(Y239*B_sh &gt; B_inv, 1, 0)</f>
        <v/>
      </c>
      <c r="T240">
        <f>IF(Y239*A_sh &gt; A_inv, 1, 0)</f>
        <v/>
      </c>
      <c r="U240">
        <f>IF(Y239*seed_sh &gt; seed_inv, 1, 0)</f>
        <v/>
      </c>
      <c r="V240">
        <f>(1-O240)*F_primary+(1-P240)*E_inv+(1-Q240)*D_inv+(1-R240)*C_inv+(1-S240)*B_inv+(1-T240)*A_inv+(1-U240)*seed_inv</f>
        <v/>
      </c>
      <c r="W240">
        <f>MAX(0, sens_exit - V240)</f>
        <v/>
      </c>
      <c r="X240">
        <f>F1_sh+F2_sh+F3_sh+RSA_sh+J240+K240+O240*L240+P240*(E_sh + F240)+Q240*(D_sh + E240)+R240*C_sh+S240*B_sh+T240*A_sh+U240*seed_sh</f>
        <v/>
      </c>
      <c r="Y240">
        <f>(W240 + preF_opts_iss*opt_strike)/(X240 + preF_opts_iss)</f>
        <v/>
      </c>
    </row>
    <row r="241">
      <c r="B241">
        <f>N240</f>
        <v/>
      </c>
      <c r="C241">
        <f>OCP_D*(preF_FD + F_primary/OCP_D)/(preF_FD + F_primary/B241)</f>
        <v/>
      </c>
      <c r="D241">
        <f>OCP_E*(preF_FD + F_primary/OCP_E)/(preF_FD + F_primary/B241)</f>
        <v/>
      </c>
      <c r="E241">
        <f>D_sh*(OCP_D/C241 - 1)</f>
        <v/>
      </c>
      <c r="F241">
        <f>E_sh*(OCP_E/D241 - 1)</f>
        <v/>
      </c>
      <c r="G241">
        <f>(preF_FD + E241 + F241 - preF_opts + J240 + K240 + F_primary/B241)/(1-B230)</f>
        <v/>
      </c>
      <c r="H241">
        <f>MAX(0, B230*G241 - preF_opts)</f>
        <v/>
      </c>
      <c r="I241">
        <f>preF_FD + E241 + F241 + H241</f>
        <v/>
      </c>
      <c r="J241">
        <f>NA_P/MIN(NA_cap/(I241+K240), (1-NA_disc)*B241)</f>
        <v/>
      </c>
      <c r="K241">
        <f>NB_P/MIN(NB_cap/(I241+J241), (1-NB_disc)*B241)</f>
        <v/>
      </c>
      <c r="L241">
        <f>F_primary/B241</f>
        <v/>
      </c>
      <c r="M241">
        <f>I241+J241+K241</f>
        <v/>
      </c>
      <c r="N241">
        <f>D230/M241</f>
        <v/>
      </c>
      <c r="O241">
        <f>IF(Y240*L241 &gt; F_primary, 1, 0)</f>
        <v/>
      </c>
      <c r="P241">
        <f>IF(Y240*(E_sh + F241) &gt; E_inv, 1, 0)</f>
        <v/>
      </c>
      <c r="Q241">
        <f>IF(Y240*(D_sh + E241) &gt; D_inv, 1, 0)</f>
        <v/>
      </c>
      <c r="R241">
        <f>IF(Y240*C_sh &gt; C_inv, 1, 0)</f>
        <v/>
      </c>
      <c r="S241">
        <f>IF(Y240*B_sh &gt; B_inv, 1, 0)</f>
        <v/>
      </c>
      <c r="T241">
        <f>IF(Y240*A_sh &gt; A_inv, 1, 0)</f>
        <v/>
      </c>
      <c r="U241">
        <f>IF(Y240*seed_sh &gt; seed_inv, 1, 0)</f>
        <v/>
      </c>
      <c r="V241">
        <f>(1-O241)*F_primary+(1-P241)*E_inv+(1-Q241)*D_inv+(1-R241)*C_inv+(1-S241)*B_inv+(1-T241)*A_inv+(1-U241)*seed_inv</f>
        <v/>
      </c>
      <c r="W241">
        <f>MAX(0, sens_exit - V241)</f>
        <v/>
      </c>
      <c r="X241">
        <f>F1_sh+F2_sh+F3_sh+RSA_sh+J241+K241+O241*L241+P241*(E_sh + F241)+Q241*(D_sh + E241)+R241*C_sh+S241*B_sh+T241*A_sh+U241*seed_sh</f>
        <v/>
      </c>
      <c r="Y241">
        <f>(W241 + preF_opts_iss*opt_strike)/(X241 + preF_opts_iss)</f>
        <v/>
      </c>
    </row>
    <row r="242">
      <c r="B242">
        <f>N241</f>
        <v/>
      </c>
      <c r="C242">
        <f>OCP_D*(preF_FD + F_primary/OCP_D)/(preF_FD + F_primary/B242)</f>
        <v/>
      </c>
      <c r="D242">
        <f>OCP_E*(preF_FD + F_primary/OCP_E)/(preF_FD + F_primary/B242)</f>
        <v/>
      </c>
      <c r="E242">
        <f>D_sh*(OCP_D/C242 - 1)</f>
        <v/>
      </c>
      <c r="F242">
        <f>E_sh*(OCP_E/D242 - 1)</f>
        <v/>
      </c>
      <c r="G242">
        <f>(preF_FD + E242 + F242 - preF_opts + J241 + K241 + F_primary/B242)/(1-B230)</f>
        <v/>
      </c>
      <c r="H242">
        <f>MAX(0, B230*G242 - preF_opts)</f>
        <v/>
      </c>
      <c r="I242">
        <f>preF_FD + E242 + F242 + H242</f>
        <v/>
      </c>
      <c r="J242">
        <f>NA_P/MIN(NA_cap/(I242+K241), (1-NA_disc)*B242)</f>
        <v/>
      </c>
      <c r="K242">
        <f>NB_P/MIN(NB_cap/(I242+J242), (1-NB_disc)*B242)</f>
        <v/>
      </c>
      <c r="L242">
        <f>F_primary/B242</f>
        <v/>
      </c>
      <c r="M242">
        <f>I242+J242+K242</f>
        <v/>
      </c>
      <c r="N242">
        <f>D230/M242</f>
        <v/>
      </c>
      <c r="O242">
        <f>IF(Y241*L242 &gt; F_primary, 1, 0)</f>
        <v/>
      </c>
      <c r="P242">
        <f>IF(Y241*(E_sh + F242) &gt; E_inv, 1, 0)</f>
        <v/>
      </c>
      <c r="Q242">
        <f>IF(Y241*(D_sh + E242) &gt; D_inv, 1, 0)</f>
        <v/>
      </c>
      <c r="R242">
        <f>IF(Y241*C_sh &gt; C_inv, 1, 0)</f>
        <v/>
      </c>
      <c r="S242">
        <f>IF(Y241*B_sh &gt; B_inv, 1, 0)</f>
        <v/>
      </c>
      <c r="T242">
        <f>IF(Y241*A_sh &gt; A_inv, 1, 0)</f>
        <v/>
      </c>
      <c r="U242">
        <f>IF(Y241*seed_sh &gt; seed_inv, 1, 0)</f>
        <v/>
      </c>
      <c r="V242">
        <f>(1-O242)*F_primary+(1-P242)*E_inv+(1-Q242)*D_inv+(1-R242)*C_inv+(1-S242)*B_inv+(1-T242)*A_inv+(1-U242)*seed_inv</f>
        <v/>
      </c>
      <c r="W242">
        <f>MAX(0, sens_exit - V242)</f>
        <v/>
      </c>
      <c r="X242">
        <f>F1_sh+F2_sh+F3_sh+RSA_sh+J242+K242+O242*L242+P242*(E_sh + F242)+Q242*(D_sh + E242)+R242*C_sh+S242*B_sh+T242*A_sh+U242*seed_sh</f>
        <v/>
      </c>
      <c r="Y242">
        <f>(W242 + preF_opts_iss*opt_strike)/(X242 + preF_opts_iss)</f>
        <v/>
      </c>
    </row>
    <row r="243">
      <c r="B243">
        <f>N242</f>
        <v/>
      </c>
      <c r="C243">
        <f>OCP_D*(preF_FD + F_primary/OCP_D)/(preF_FD + F_primary/B243)</f>
        <v/>
      </c>
      <c r="D243">
        <f>OCP_E*(preF_FD + F_primary/OCP_E)/(preF_FD + F_primary/B243)</f>
        <v/>
      </c>
      <c r="E243">
        <f>D_sh*(OCP_D/C243 - 1)</f>
        <v/>
      </c>
      <c r="F243">
        <f>E_sh*(OCP_E/D243 - 1)</f>
        <v/>
      </c>
      <c r="G243">
        <f>(preF_FD + E243 + F243 - preF_opts + J242 + K242 + F_primary/B243)/(1-B230)</f>
        <v/>
      </c>
      <c r="H243">
        <f>MAX(0, B230*G243 - preF_opts)</f>
        <v/>
      </c>
      <c r="I243">
        <f>preF_FD + E243 + F243 + H243</f>
        <v/>
      </c>
      <c r="J243">
        <f>NA_P/MIN(NA_cap/(I243+K242), (1-NA_disc)*B243)</f>
        <v/>
      </c>
      <c r="K243">
        <f>NB_P/MIN(NB_cap/(I243+J243), (1-NB_disc)*B243)</f>
        <v/>
      </c>
      <c r="L243">
        <f>F_primary/B243</f>
        <v/>
      </c>
      <c r="M243">
        <f>I243+J243+K243</f>
        <v/>
      </c>
      <c r="N243">
        <f>D230/M243</f>
        <v/>
      </c>
      <c r="O243">
        <f>IF(Y242*L243 &gt; F_primary, 1, 0)</f>
        <v/>
      </c>
      <c r="P243">
        <f>IF(Y242*(E_sh + F243) &gt; E_inv, 1, 0)</f>
        <v/>
      </c>
      <c r="Q243">
        <f>IF(Y242*(D_sh + E243) &gt; D_inv, 1, 0)</f>
        <v/>
      </c>
      <c r="R243">
        <f>IF(Y242*C_sh &gt; C_inv, 1, 0)</f>
        <v/>
      </c>
      <c r="S243">
        <f>IF(Y242*B_sh &gt; B_inv, 1, 0)</f>
        <v/>
      </c>
      <c r="T243">
        <f>IF(Y242*A_sh &gt; A_inv, 1, 0)</f>
        <v/>
      </c>
      <c r="U243">
        <f>IF(Y242*seed_sh &gt; seed_inv, 1, 0)</f>
        <v/>
      </c>
      <c r="V243">
        <f>(1-O243)*F_primary+(1-P243)*E_inv+(1-Q243)*D_inv+(1-R243)*C_inv+(1-S243)*B_inv+(1-T243)*A_inv+(1-U243)*seed_inv</f>
        <v/>
      </c>
      <c r="W243">
        <f>MAX(0, sens_exit - V243)</f>
        <v/>
      </c>
      <c r="X243">
        <f>F1_sh+F2_sh+F3_sh+RSA_sh+J243+K243+O243*L243+P243*(E_sh + F243)+Q243*(D_sh + E243)+R243*C_sh+S243*B_sh+T243*A_sh+U243*seed_sh</f>
        <v/>
      </c>
      <c r="Y243">
        <f>(W243 + preF_opts_iss*opt_strike)/(X243 + preF_opts_iss)</f>
        <v/>
      </c>
    </row>
    <row r="244">
      <c r="B244">
        <f>N243</f>
        <v/>
      </c>
      <c r="C244">
        <f>OCP_D*(preF_FD + F_primary/OCP_D)/(preF_FD + F_primary/B244)</f>
        <v/>
      </c>
      <c r="D244">
        <f>OCP_E*(preF_FD + F_primary/OCP_E)/(preF_FD + F_primary/B244)</f>
        <v/>
      </c>
      <c r="E244">
        <f>D_sh*(OCP_D/C244 - 1)</f>
        <v/>
      </c>
      <c r="F244">
        <f>E_sh*(OCP_E/D244 - 1)</f>
        <v/>
      </c>
      <c r="G244">
        <f>(preF_FD + E244 + F244 - preF_opts + J243 + K243 + F_primary/B244)/(1-B230)</f>
        <v/>
      </c>
      <c r="H244">
        <f>MAX(0, B230*G244 - preF_opts)</f>
        <v/>
      </c>
      <c r="I244">
        <f>preF_FD + E244 + F244 + H244</f>
        <v/>
      </c>
      <c r="J244">
        <f>NA_P/MIN(NA_cap/(I244+K243), (1-NA_disc)*B244)</f>
        <v/>
      </c>
      <c r="K244">
        <f>NB_P/MIN(NB_cap/(I244+J244), (1-NB_disc)*B244)</f>
        <v/>
      </c>
      <c r="L244">
        <f>F_primary/B244</f>
        <v/>
      </c>
      <c r="M244">
        <f>I244+J244+K244</f>
        <v/>
      </c>
      <c r="N244">
        <f>D230/M244</f>
        <v/>
      </c>
      <c r="O244">
        <f>IF(Y243*L244 &gt; F_primary, 1, 0)</f>
        <v/>
      </c>
      <c r="P244">
        <f>IF(Y243*(E_sh + F244) &gt; E_inv, 1, 0)</f>
        <v/>
      </c>
      <c r="Q244">
        <f>IF(Y243*(D_sh + E244) &gt; D_inv, 1, 0)</f>
        <v/>
      </c>
      <c r="R244">
        <f>IF(Y243*C_sh &gt; C_inv, 1, 0)</f>
        <v/>
      </c>
      <c r="S244">
        <f>IF(Y243*B_sh &gt; B_inv, 1, 0)</f>
        <v/>
      </c>
      <c r="T244">
        <f>IF(Y243*A_sh &gt; A_inv, 1, 0)</f>
        <v/>
      </c>
      <c r="U244">
        <f>IF(Y243*seed_sh &gt; seed_inv, 1, 0)</f>
        <v/>
      </c>
      <c r="V244">
        <f>(1-O244)*F_primary+(1-P244)*E_inv+(1-Q244)*D_inv+(1-R244)*C_inv+(1-S244)*B_inv+(1-T244)*A_inv+(1-U244)*seed_inv</f>
        <v/>
      </c>
      <c r="W244">
        <f>MAX(0, sens_exit - V244)</f>
        <v/>
      </c>
      <c r="X244">
        <f>F1_sh+F2_sh+F3_sh+RSA_sh+J244+K244+O244*L244+P244*(E_sh + F244)+Q244*(D_sh + E244)+R244*C_sh+S244*B_sh+T244*A_sh+U244*seed_sh</f>
        <v/>
      </c>
      <c r="Y244">
        <f>(W244 + preF_opts_iss*opt_strike)/(X244 + preF_opts_iss)</f>
        <v/>
      </c>
    </row>
    <row r="245">
      <c r="B245">
        <f>N244</f>
        <v/>
      </c>
      <c r="C245">
        <f>OCP_D*(preF_FD + F_primary/OCP_D)/(preF_FD + F_primary/B245)</f>
        <v/>
      </c>
      <c r="D245">
        <f>OCP_E*(preF_FD + F_primary/OCP_E)/(preF_FD + F_primary/B245)</f>
        <v/>
      </c>
      <c r="E245">
        <f>D_sh*(OCP_D/C245 - 1)</f>
        <v/>
      </c>
      <c r="F245">
        <f>E_sh*(OCP_E/D245 - 1)</f>
        <v/>
      </c>
      <c r="G245">
        <f>(preF_FD + E245 + F245 - preF_opts + J244 + K244 + F_primary/B245)/(1-B230)</f>
        <v/>
      </c>
      <c r="H245">
        <f>MAX(0, B230*G245 - preF_opts)</f>
        <v/>
      </c>
      <c r="I245">
        <f>preF_FD + E245 + F245 + H245</f>
        <v/>
      </c>
      <c r="J245">
        <f>NA_P/MIN(NA_cap/(I245+K244), (1-NA_disc)*B245)</f>
        <v/>
      </c>
      <c r="K245">
        <f>NB_P/MIN(NB_cap/(I245+J245), (1-NB_disc)*B245)</f>
        <v/>
      </c>
      <c r="L245">
        <f>F_primary/B245</f>
        <v/>
      </c>
      <c r="M245">
        <f>I245+J245+K245</f>
        <v/>
      </c>
      <c r="N245">
        <f>D230/M245</f>
        <v/>
      </c>
      <c r="O245">
        <f>IF(Y244*L245 &gt; F_primary, 1, 0)</f>
        <v/>
      </c>
      <c r="P245">
        <f>IF(Y244*(E_sh + F245) &gt; E_inv, 1, 0)</f>
        <v/>
      </c>
      <c r="Q245">
        <f>IF(Y244*(D_sh + E245) &gt; D_inv, 1, 0)</f>
        <v/>
      </c>
      <c r="R245">
        <f>IF(Y244*C_sh &gt; C_inv, 1, 0)</f>
        <v/>
      </c>
      <c r="S245">
        <f>IF(Y244*B_sh &gt; B_inv, 1, 0)</f>
        <v/>
      </c>
      <c r="T245">
        <f>IF(Y244*A_sh &gt; A_inv, 1, 0)</f>
        <v/>
      </c>
      <c r="U245">
        <f>IF(Y244*seed_sh &gt; seed_inv, 1, 0)</f>
        <v/>
      </c>
      <c r="V245">
        <f>(1-O245)*F_primary+(1-P245)*E_inv+(1-Q245)*D_inv+(1-R245)*C_inv+(1-S245)*B_inv+(1-T245)*A_inv+(1-U245)*seed_inv</f>
        <v/>
      </c>
      <c r="W245">
        <f>MAX(0, sens_exit - V245)</f>
        <v/>
      </c>
      <c r="X245">
        <f>F1_sh+F2_sh+F3_sh+RSA_sh+J245+K245+O245*L245+P245*(E_sh + F245)+Q245*(D_sh + E245)+R245*C_sh+S245*B_sh+T245*A_sh+U245*seed_sh</f>
        <v/>
      </c>
      <c r="Y245">
        <f>(W245 + preF_opts_iss*opt_strike)/(X245 + preF_opts_iss)</f>
        <v/>
      </c>
    </row>
    <row r="246">
      <c r="B246">
        <f>N245</f>
        <v/>
      </c>
      <c r="C246">
        <f>OCP_D*(preF_FD + F_primary/OCP_D)/(preF_FD + F_primary/B246)</f>
        <v/>
      </c>
      <c r="D246">
        <f>OCP_E*(preF_FD + F_primary/OCP_E)/(preF_FD + F_primary/B246)</f>
        <v/>
      </c>
      <c r="E246">
        <f>D_sh*(OCP_D/C246 - 1)</f>
        <v/>
      </c>
      <c r="F246">
        <f>E_sh*(OCP_E/D246 - 1)</f>
        <v/>
      </c>
      <c r="G246">
        <f>(preF_FD + E246 + F246 - preF_opts + J245 + K245 + F_primary/B246)/(1-B230)</f>
        <v/>
      </c>
      <c r="H246">
        <f>MAX(0, B230*G246 - preF_opts)</f>
        <v/>
      </c>
      <c r="I246">
        <f>preF_FD + E246 + F246 + H246</f>
        <v/>
      </c>
      <c r="J246">
        <f>NA_P/MIN(NA_cap/(I246+K245), (1-NA_disc)*B246)</f>
        <v/>
      </c>
      <c r="K246">
        <f>NB_P/MIN(NB_cap/(I246+J246), (1-NB_disc)*B246)</f>
        <v/>
      </c>
      <c r="L246">
        <f>F_primary/B246</f>
        <v/>
      </c>
      <c r="M246">
        <f>I246+J246+K246</f>
        <v/>
      </c>
      <c r="N246">
        <f>D230/M246</f>
        <v/>
      </c>
      <c r="O246">
        <f>IF(Y245*L246 &gt; F_primary, 1, 0)</f>
        <v/>
      </c>
      <c r="P246">
        <f>IF(Y245*(E_sh + F246) &gt; E_inv, 1, 0)</f>
        <v/>
      </c>
      <c r="Q246">
        <f>IF(Y245*(D_sh + E246) &gt; D_inv, 1, 0)</f>
        <v/>
      </c>
      <c r="R246">
        <f>IF(Y245*C_sh &gt; C_inv, 1, 0)</f>
        <v/>
      </c>
      <c r="S246">
        <f>IF(Y245*B_sh &gt; B_inv, 1, 0)</f>
        <v/>
      </c>
      <c r="T246">
        <f>IF(Y245*A_sh &gt; A_inv, 1, 0)</f>
        <v/>
      </c>
      <c r="U246">
        <f>IF(Y245*seed_sh &gt; seed_inv, 1, 0)</f>
        <v/>
      </c>
      <c r="V246">
        <f>(1-O246)*F_primary+(1-P246)*E_inv+(1-Q246)*D_inv+(1-R246)*C_inv+(1-S246)*B_inv+(1-T246)*A_inv+(1-U246)*seed_inv</f>
        <v/>
      </c>
      <c r="W246">
        <f>MAX(0, sens_exit - V246)</f>
        <v/>
      </c>
      <c r="X246">
        <f>F1_sh+F2_sh+F3_sh+RSA_sh+J246+K246+O246*L246+P246*(E_sh + F246)+Q246*(D_sh + E246)+R246*C_sh+S246*B_sh+T246*A_sh+U246*seed_sh</f>
        <v/>
      </c>
      <c r="Y246">
        <f>(W246 + preF_opts_iss*opt_strike)/(X246 + preF_opts_iss)</f>
        <v/>
      </c>
    </row>
    <row r="247">
      <c r="B247">
        <f>N246</f>
        <v/>
      </c>
      <c r="C247">
        <f>OCP_D*(preF_FD + F_primary/OCP_D)/(preF_FD + F_primary/B247)</f>
        <v/>
      </c>
      <c r="D247">
        <f>OCP_E*(preF_FD + F_primary/OCP_E)/(preF_FD + F_primary/B247)</f>
        <v/>
      </c>
      <c r="E247">
        <f>D_sh*(OCP_D/C247 - 1)</f>
        <v/>
      </c>
      <c r="F247">
        <f>E_sh*(OCP_E/D247 - 1)</f>
        <v/>
      </c>
      <c r="G247">
        <f>(preF_FD + E247 + F247 - preF_opts + J246 + K246 + F_primary/B247)/(1-B230)</f>
        <v/>
      </c>
      <c r="H247">
        <f>MAX(0, B230*G247 - preF_opts)</f>
        <v/>
      </c>
      <c r="I247">
        <f>preF_FD + E247 + F247 + H247</f>
        <v/>
      </c>
      <c r="J247">
        <f>NA_P/MIN(NA_cap/(I247+K246), (1-NA_disc)*B247)</f>
        <v/>
      </c>
      <c r="K247">
        <f>NB_P/MIN(NB_cap/(I247+J247), (1-NB_disc)*B247)</f>
        <v/>
      </c>
      <c r="L247">
        <f>F_primary/B247</f>
        <v/>
      </c>
      <c r="M247">
        <f>I247+J247+K247</f>
        <v/>
      </c>
      <c r="N247">
        <f>D230/M247</f>
        <v/>
      </c>
      <c r="O247">
        <f>IF(Y246*L247 &gt; F_primary, 1, 0)</f>
        <v/>
      </c>
      <c r="P247">
        <f>IF(Y246*(E_sh + F247) &gt; E_inv, 1, 0)</f>
        <v/>
      </c>
      <c r="Q247">
        <f>IF(Y246*(D_sh + E247) &gt; D_inv, 1, 0)</f>
        <v/>
      </c>
      <c r="R247">
        <f>IF(Y246*C_sh &gt; C_inv, 1, 0)</f>
        <v/>
      </c>
      <c r="S247">
        <f>IF(Y246*B_sh &gt; B_inv, 1, 0)</f>
        <v/>
      </c>
      <c r="T247">
        <f>IF(Y246*A_sh &gt; A_inv, 1, 0)</f>
        <v/>
      </c>
      <c r="U247">
        <f>IF(Y246*seed_sh &gt; seed_inv, 1, 0)</f>
        <v/>
      </c>
      <c r="V247">
        <f>(1-O247)*F_primary+(1-P247)*E_inv+(1-Q247)*D_inv+(1-R247)*C_inv+(1-S247)*B_inv+(1-T247)*A_inv+(1-U247)*seed_inv</f>
        <v/>
      </c>
      <c r="W247">
        <f>MAX(0, sens_exit - V247)</f>
        <v/>
      </c>
      <c r="X247">
        <f>F1_sh+F2_sh+F3_sh+RSA_sh+J247+K247+O247*L247+P247*(E_sh + F247)+Q247*(D_sh + E247)+R247*C_sh+S247*B_sh+T247*A_sh+U247*seed_sh</f>
        <v/>
      </c>
      <c r="Y247">
        <f>(W247 + preF_opts_iss*opt_strike)/(X247 + preF_opts_iss)</f>
        <v/>
      </c>
    </row>
    <row r="248">
      <c r="B248">
        <f>N247</f>
        <v/>
      </c>
      <c r="C248">
        <f>OCP_D*(preF_FD + F_primary/OCP_D)/(preF_FD + F_primary/B248)</f>
        <v/>
      </c>
      <c r="D248">
        <f>OCP_E*(preF_FD + F_primary/OCP_E)/(preF_FD + F_primary/B248)</f>
        <v/>
      </c>
      <c r="E248">
        <f>D_sh*(OCP_D/C248 - 1)</f>
        <v/>
      </c>
      <c r="F248">
        <f>E_sh*(OCP_E/D248 - 1)</f>
        <v/>
      </c>
      <c r="G248">
        <f>(preF_FD + E248 + F248 - preF_opts + J247 + K247 + F_primary/B248)/(1-B230)</f>
        <v/>
      </c>
      <c r="H248">
        <f>MAX(0, B230*G248 - preF_opts)</f>
        <v/>
      </c>
      <c r="I248">
        <f>preF_FD + E248 + F248 + H248</f>
        <v/>
      </c>
      <c r="J248">
        <f>NA_P/MIN(NA_cap/(I248+K247), (1-NA_disc)*B248)</f>
        <v/>
      </c>
      <c r="K248">
        <f>NB_P/MIN(NB_cap/(I248+J248), (1-NB_disc)*B248)</f>
        <v/>
      </c>
      <c r="L248">
        <f>F_primary/B248</f>
        <v/>
      </c>
      <c r="M248">
        <f>I248+J248+K248</f>
        <v/>
      </c>
      <c r="N248">
        <f>D230/M248</f>
        <v/>
      </c>
      <c r="O248">
        <f>IF(Y247*L248 &gt; F_primary, 1, 0)</f>
        <v/>
      </c>
      <c r="P248">
        <f>IF(Y247*(E_sh + F248) &gt; E_inv, 1, 0)</f>
        <v/>
      </c>
      <c r="Q248">
        <f>IF(Y247*(D_sh + E248) &gt; D_inv, 1, 0)</f>
        <v/>
      </c>
      <c r="R248">
        <f>IF(Y247*C_sh &gt; C_inv, 1, 0)</f>
        <v/>
      </c>
      <c r="S248">
        <f>IF(Y247*B_sh &gt; B_inv, 1, 0)</f>
        <v/>
      </c>
      <c r="T248">
        <f>IF(Y247*A_sh &gt; A_inv, 1, 0)</f>
        <v/>
      </c>
      <c r="U248">
        <f>IF(Y247*seed_sh &gt; seed_inv, 1, 0)</f>
        <v/>
      </c>
      <c r="V248">
        <f>(1-O248)*F_primary+(1-P248)*E_inv+(1-Q248)*D_inv+(1-R248)*C_inv+(1-S248)*B_inv+(1-T248)*A_inv+(1-U248)*seed_inv</f>
        <v/>
      </c>
      <c r="W248">
        <f>MAX(0, sens_exit - V248)</f>
        <v/>
      </c>
      <c r="X248">
        <f>F1_sh+F2_sh+F3_sh+RSA_sh+J248+K248+O248*L248+P248*(E_sh + F248)+Q248*(D_sh + E248)+R248*C_sh+S248*B_sh+T248*A_sh+U248*seed_sh</f>
        <v/>
      </c>
      <c r="Y248">
        <f>(W248 + preF_opts_iss*opt_strike)/(X248 + preF_opts_iss)</f>
        <v/>
      </c>
    </row>
    <row r="249">
      <c r="B249">
        <f>N248</f>
        <v/>
      </c>
      <c r="C249">
        <f>OCP_D*(preF_FD + F_primary/OCP_D)/(preF_FD + F_primary/B249)</f>
        <v/>
      </c>
      <c r="D249">
        <f>OCP_E*(preF_FD + F_primary/OCP_E)/(preF_FD + F_primary/B249)</f>
        <v/>
      </c>
      <c r="E249">
        <f>D_sh*(OCP_D/C249 - 1)</f>
        <v/>
      </c>
      <c r="F249">
        <f>E_sh*(OCP_E/D249 - 1)</f>
        <v/>
      </c>
      <c r="G249">
        <f>(preF_FD + E249 + F249 - preF_opts + J248 + K248 + F_primary/B249)/(1-B230)</f>
        <v/>
      </c>
      <c r="H249">
        <f>MAX(0, B230*G249 - preF_opts)</f>
        <v/>
      </c>
      <c r="I249">
        <f>preF_FD + E249 + F249 + H249</f>
        <v/>
      </c>
      <c r="J249">
        <f>NA_P/MIN(NA_cap/(I249+K248), (1-NA_disc)*B249)</f>
        <v/>
      </c>
      <c r="K249">
        <f>NB_P/MIN(NB_cap/(I249+J249), (1-NB_disc)*B249)</f>
        <v/>
      </c>
      <c r="L249">
        <f>F_primary/B249</f>
        <v/>
      </c>
      <c r="M249">
        <f>I249+J249+K249</f>
        <v/>
      </c>
      <c r="N249">
        <f>D230/M249</f>
        <v/>
      </c>
      <c r="O249">
        <f>IF(Y248*L249 &gt; F_primary, 1, 0)</f>
        <v/>
      </c>
      <c r="P249">
        <f>IF(Y248*(E_sh + F249) &gt; E_inv, 1, 0)</f>
        <v/>
      </c>
      <c r="Q249">
        <f>IF(Y248*(D_sh + E249) &gt; D_inv, 1, 0)</f>
        <v/>
      </c>
      <c r="R249">
        <f>IF(Y248*C_sh &gt; C_inv, 1, 0)</f>
        <v/>
      </c>
      <c r="S249">
        <f>IF(Y248*B_sh &gt; B_inv, 1, 0)</f>
        <v/>
      </c>
      <c r="T249">
        <f>IF(Y248*A_sh &gt; A_inv, 1, 0)</f>
        <v/>
      </c>
      <c r="U249">
        <f>IF(Y248*seed_sh &gt; seed_inv, 1, 0)</f>
        <v/>
      </c>
      <c r="V249">
        <f>(1-O249)*F_primary+(1-P249)*E_inv+(1-Q249)*D_inv+(1-R249)*C_inv+(1-S249)*B_inv+(1-T249)*A_inv+(1-U249)*seed_inv</f>
        <v/>
      </c>
      <c r="W249">
        <f>MAX(0, sens_exit - V249)</f>
        <v/>
      </c>
      <c r="X249">
        <f>F1_sh+F2_sh+F3_sh+RSA_sh+J249+K249+O249*L249+P249*(E_sh + F249)+Q249*(D_sh + E249)+R249*C_sh+S249*B_sh+T249*A_sh+U249*seed_sh</f>
        <v/>
      </c>
      <c r="Y249">
        <f>(W249 + preF_opts_iss*opt_strike)/(X249 + preF_opts_iss)</f>
        <v/>
      </c>
    </row>
    <row r="250">
      <c r="B250">
        <f>N249</f>
        <v/>
      </c>
      <c r="C250">
        <f>OCP_D*(preF_FD + F_primary/OCP_D)/(preF_FD + F_primary/B250)</f>
        <v/>
      </c>
      <c r="D250">
        <f>OCP_E*(preF_FD + F_primary/OCP_E)/(preF_FD + F_primary/B250)</f>
        <v/>
      </c>
      <c r="E250">
        <f>D_sh*(OCP_D/C250 - 1)</f>
        <v/>
      </c>
      <c r="F250">
        <f>E_sh*(OCP_E/D250 - 1)</f>
        <v/>
      </c>
      <c r="G250">
        <f>(preF_FD + E250 + F250 - preF_opts + J249 + K249 + F_primary/B250)/(1-B230)</f>
        <v/>
      </c>
      <c r="H250">
        <f>MAX(0, B230*G250 - preF_opts)</f>
        <v/>
      </c>
      <c r="I250">
        <f>preF_FD + E250 + F250 + H250</f>
        <v/>
      </c>
      <c r="J250">
        <f>NA_P/MIN(NA_cap/(I250+K249), (1-NA_disc)*B250)</f>
        <v/>
      </c>
      <c r="K250">
        <f>NB_P/MIN(NB_cap/(I250+J250), (1-NB_disc)*B250)</f>
        <v/>
      </c>
      <c r="L250">
        <f>F_primary/B250</f>
        <v/>
      </c>
      <c r="M250">
        <f>I250+J250+K250</f>
        <v/>
      </c>
      <c r="N250">
        <f>D230/M250</f>
        <v/>
      </c>
      <c r="O250">
        <f>IF(Y249*L250 &gt; F_primary, 1, 0)</f>
        <v/>
      </c>
      <c r="P250">
        <f>IF(Y249*(E_sh + F250) &gt; E_inv, 1, 0)</f>
        <v/>
      </c>
      <c r="Q250">
        <f>IF(Y249*(D_sh + E250) &gt; D_inv, 1, 0)</f>
        <v/>
      </c>
      <c r="R250">
        <f>IF(Y249*C_sh &gt; C_inv, 1, 0)</f>
        <v/>
      </c>
      <c r="S250">
        <f>IF(Y249*B_sh &gt; B_inv, 1, 0)</f>
        <v/>
      </c>
      <c r="T250">
        <f>IF(Y249*A_sh &gt; A_inv, 1, 0)</f>
        <v/>
      </c>
      <c r="U250">
        <f>IF(Y249*seed_sh &gt; seed_inv, 1, 0)</f>
        <v/>
      </c>
      <c r="V250">
        <f>(1-O250)*F_primary+(1-P250)*E_inv+(1-Q250)*D_inv+(1-R250)*C_inv+(1-S250)*B_inv+(1-T250)*A_inv+(1-U250)*seed_inv</f>
        <v/>
      </c>
      <c r="W250">
        <f>MAX(0, sens_exit - V250)</f>
        <v/>
      </c>
      <c r="X250">
        <f>F1_sh+F2_sh+F3_sh+RSA_sh+J250+K250+O250*L250+P250*(E_sh + F250)+Q250*(D_sh + E250)+R250*C_sh+S250*B_sh+T250*A_sh+U250*seed_sh</f>
        <v/>
      </c>
      <c r="Y250">
        <f>(W250 + preF_opts_iss*opt_strike)/(X250 + preF_opts_iss)</f>
        <v/>
      </c>
    </row>
    <row r="251">
      <c r="B251">
        <f>N250</f>
        <v/>
      </c>
      <c r="C251">
        <f>OCP_D*(preF_FD + F_primary/OCP_D)/(preF_FD + F_primary/B251)</f>
        <v/>
      </c>
      <c r="D251">
        <f>OCP_E*(preF_FD + F_primary/OCP_E)/(preF_FD + F_primary/B251)</f>
        <v/>
      </c>
      <c r="E251">
        <f>D_sh*(OCP_D/C251 - 1)</f>
        <v/>
      </c>
      <c r="F251">
        <f>E_sh*(OCP_E/D251 - 1)</f>
        <v/>
      </c>
      <c r="G251">
        <f>(preF_FD + E251 + F251 - preF_opts + J250 + K250 + F_primary/B251)/(1-B230)</f>
        <v/>
      </c>
      <c r="H251">
        <f>MAX(0, B230*G251 - preF_opts)</f>
        <v/>
      </c>
      <c r="I251">
        <f>preF_FD + E251 + F251 + H251</f>
        <v/>
      </c>
      <c r="J251">
        <f>NA_P/MIN(NA_cap/(I251+K250), (1-NA_disc)*B251)</f>
        <v/>
      </c>
      <c r="K251">
        <f>NB_P/MIN(NB_cap/(I251+J251), (1-NB_disc)*B251)</f>
        <v/>
      </c>
      <c r="L251">
        <f>F_primary/B251</f>
        <v/>
      </c>
      <c r="M251">
        <f>I251+J251+K251</f>
        <v/>
      </c>
      <c r="N251">
        <f>D230/M251</f>
        <v/>
      </c>
      <c r="O251">
        <f>IF(Y250*L251 &gt; F_primary, 1, 0)</f>
        <v/>
      </c>
      <c r="P251">
        <f>IF(Y250*(E_sh + F251) &gt; E_inv, 1, 0)</f>
        <v/>
      </c>
      <c r="Q251">
        <f>IF(Y250*(D_sh + E251) &gt; D_inv, 1, 0)</f>
        <v/>
      </c>
      <c r="R251">
        <f>IF(Y250*C_sh &gt; C_inv, 1, 0)</f>
        <v/>
      </c>
      <c r="S251">
        <f>IF(Y250*B_sh &gt; B_inv, 1, 0)</f>
        <v/>
      </c>
      <c r="T251">
        <f>IF(Y250*A_sh &gt; A_inv, 1, 0)</f>
        <v/>
      </c>
      <c r="U251">
        <f>IF(Y250*seed_sh &gt; seed_inv, 1, 0)</f>
        <v/>
      </c>
      <c r="V251">
        <f>(1-O251)*F_primary+(1-P251)*E_inv+(1-Q251)*D_inv+(1-R251)*C_inv+(1-S251)*B_inv+(1-T251)*A_inv+(1-U251)*seed_inv</f>
        <v/>
      </c>
      <c r="W251">
        <f>MAX(0, sens_exit - V251)</f>
        <v/>
      </c>
      <c r="X251">
        <f>F1_sh+F2_sh+F3_sh+RSA_sh+J251+K251+O251*L251+P251*(E_sh + F251)+Q251*(D_sh + E251)+R251*C_sh+S251*B_sh+T251*A_sh+U251*seed_sh</f>
        <v/>
      </c>
      <c r="Y251">
        <f>(W251 + preF_opts_iss*opt_strike)/(X251 + preF_opts_iss)</f>
        <v/>
      </c>
    </row>
    <row r="252">
      <c r="B252">
        <f>N251</f>
        <v/>
      </c>
      <c r="C252">
        <f>OCP_D*(preF_FD + F_primary/OCP_D)/(preF_FD + F_primary/B252)</f>
        <v/>
      </c>
      <c r="D252">
        <f>OCP_E*(preF_FD + F_primary/OCP_E)/(preF_FD + F_primary/B252)</f>
        <v/>
      </c>
      <c r="E252">
        <f>D_sh*(OCP_D/C252 - 1)</f>
        <v/>
      </c>
      <c r="F252">
        <f>E_sh*(OCP_E/D252 - 1)</f>
        <v/>
      </c>
      <c r="G252">
        <f>(preF_FD + E252 + F252 - preF_opts + J251 + K251 + F_primary/B252)/(1-B230)</f>
        <v/>
      </c>
      <c r="H252">
        <f>MAX(0, B230*G252 - preF_opts)</f>
        <v/>
      </c>
      <c r="I252">
        <f>preF_FD + E252 + F252 + H252</f>
        <v/>
      </c>
      <c r="J252">
        <f>NA_P/MIN(NA_cap/(I252+K251), (1-NA_disc)*B252)</f>
        <v/>
      </c>
      <c r="K252">
        <f>NB_P/MIN(NB_cap/(I252+J252), (1-NB_disc)*B252)</f>
        <v/>
      </c>
      <c r="L252">
        <f>F_primary/B252</f>
        <v/>
      </c>
      <c r="M252">
        <f>I252+J252+K252</f>
        <v/>
      </c>
      <c r="N252">
        <f>D230/M252</f>
        <v/>
      </c>
      <c r="O252">
        <f>IF(Y251*L252 &gt; F_primary, 1, 0)</f>
        <v/>
      </c>
      <c r="P252">
        <f>IF(Y251*(E_sh + F252) &gt; E_inv, 1, 0)</f>
        <v/>
      </c>
      <c r="Q252">
        <f>IF(Y251*(D_sh + E252) &gt; D_inv, 1, 0)</f>
        <v/>
      </c>
      <c r="R252">
        <f>IF(Y251*C_sh &gt; C_inv, 1, 0)</f>
        <v/>
      </c>
      <c r="S252">
        <f>IF(Y251*B_sh &gt; B_inv, 1, 0)</f>
        <v/>
      </c>
      <c r="T252">
        <f>IF(Y251*A_sh &gt; A_inv, 1, 0)</f>
        <v/>
      </c>
      <c r="U252">
        <f>IF(Y251*seed_sh &gt; seed_inv, 1, 0)</f>
        <v/>
      </c>
      <c r="V252">
        <f>(1-O252)*F_primary+(1-P252)*E_inv+(1-Q252)*D_inv+(1-R252)*C_inv+(1-S252)*B_inv+(1-T252)*A_inv+(1-U252)*seed_inv</f>
        <v/>
      </c>
      <c r="W252">
        <f>MAX(0, sens_exit - V252)</f>
        <v/>
      </c>
      <c r="X252">
        <f>F1_sh+F2_sh+F3_sh+RSA_sh+J252+K252+O252*L252+P252*(E_sh + F252)+Q252*(D_sh + E252)+R252*C_sh+S252*B_sh+T252*A_sh+U252*seed_sh</f>
        <v/>
      </c>
      <c r="Y252">
        <f>(W252 + preF_opts_iss*opt_strike)/(X252 + preF_opts_iss)</f>
        <v/>
      </c>
    </row>
    <row r="253">
      <c r="B253">
        <f>N252</f>
        <v/>
      </c>
      <c r="C253">
        <f>OCP_D*(preF_FD + F_primary/OCP_D)/(preF_FD + F_primary/B253)</f>
        <v/>
      </c>
      <c r="D253">
        <f>OCP_E*(preF_FD + F_primary/OCP_E)/(preF_FD + F_primary/B253)</f>
        <v/>
      </c>
      <c r="E253">
        <f>D_sh*(OCP_D/C253 - 1)</f>
        <v/>
      </c>
      <c r="F253">
        <f>E_sh*(OCP_E/D253 - 1)</f>
        <v/>
      </c>
      <c r="G253">
        <f>(preF_FD + E253 + F253 - preF_opts + J252 + K252 + F_primary/B253)/(1-B230)</f>
        <v/>
      </c>
      <c r="H253">
        <f>MAX(0, B230*G253 - preF_opts)</f>
        <v/>
      </c>
      <c r="I253">
        <f>preF_FD + E253 + F253 + H253</f>
        <v/>
      </c>
      <c r="J253">
        <f>NA_P/MIN(NA_cap/(I253+K252), (1-NA_disc)*B253)</f>
        <v/>
      </c>
      <c r="K253">
        <f>NB_P/MIN(NB_cap/(I253+J253), (1-NB_disc)*B253)</f>
        <v/>
      </c>
      <c r="L253">
        <f>F_primary/B253</f>
        <v/>
      </c>
      <c r="M253">
        <f>I253+J253+K253</f>
        <v/>
      </c>
      <c r="N253">
        <f>D230/M253</f>
        <v/>
      </c>
      <c r="O253">
        <f>IF(Y252*L253 &gt; F_primary, 1, 0)</f>
        <v/>
      </c>
      <c r="P253">
        <f>IF(Y252*(E_sh + F253) &gt; E_inv, 1, 0)</f>
        <v/>
      </c>
      <c r="Q253">
        <f>IF(Y252*(D_sh + E253) &gt; D_inv, 1, 0)</f>
        <v/>
      </c>
      <c r="R253">
        <f>IF(Y252*C_sh &gt; C_inv, 1, 0)</f>
        <v/>
      </c>
      <c r="S253">
        <f>IF(Y252*B_sh &gt; B_inv, 1, 0)</f>
        <v/>
      </c>
      <c r="T253">
        <f>IF(Y252*A_sh &gt; A_inv, 1, 0)</f>
        <v/>
      </c>
      <c r="U253">
        <f>IF(Y252*seed_sh &gt; seed_inv, 1, 0)</f>
        <v/>
      </c>
      <c r="V253">
        <f>(1-O253)*F_primary+(1-P253)*E_inv+(1-Q253)*D_inv+(1-R253)*C_inv+(1-S253)*B_inv+(1-T253)*A_inv+(1-U253)*seed_inv</f>
        <v/>
      </c>
      <c r="W253">
        <f>MAX(0, sens_exit - V253)</f>
        <v/>
      </c>
      <c r="X253">
        <f>F1_sh+F2_sh+F3_sh+RSA_sh+J253+K253+O253*L253+P253*(E_sh + F253)+Q253*(D_sh + E253)+R253*C_sh+S253*B_sh+T253*A_sh+U253*seed_sh</f>
        <v/>
      </c>
      <c r="Y253">
        <f>(W253 + preF_opts_iss*opt_strike)/(X253 + preF_opts_iss)</f>
        <v/>
      </c>
    </row>
    <row r="254">
      <c r="B254">
        <f>N253</f>
        <v/>
      </c>
      <c r="C254">
        <f>OCP_D*(preF_FD + F_primary/OCP_D)/(preF_FD + F_primary/B254)</f>
        <v/>
      </c>
      <c r="D254">
        <f>OCP_E*(preF_FD + F_primary/OCP_E)/(preF_FD + F_primary/B254)</f>
        <v/>
      </c>
      <c r="E254">
        <f>D_sh*(OCP_D/C254 - 1)</f>
        <v/>
      </c>
      <c r="F254">
        <f>E_sh*(OCP_E/D254 - 1)</f>
        <v/>
      </c>
      <c r="G254">
        <f>(preF_FD + E254 + F254 - preF_opts + J253 + K253 + F_primary/B254)/(1-B230)</f>
        <v/>
      </c>
      <c r="H254">
        <f>MAX(0, B230*G254 - preF_opts)</f>
        <v/>
      </c>
      <c r="I254">
        <f>preF_FD + E254 + F254 + H254</f>
        <v/>
      </c>
      <c r="J254">
        <f>NA_P/MIN(NA_cap/(I254+K253), (1-NA_disc)*B254)</f>
        <v/>
      </c>
      <c r="K254">
        <f>NB_P/MIN(NB_cap/(I254+J254), (1-NB_disc)*B254)</f>
        <v/>
      </c>
      <c r="L254">
        <f>F_primary/B254</f>
        <v/>
      </c>
      <c r="M254">
        <f>I254+J254+K254</f>
        <v/>
      </c>
      <c r="N254">
        <f>D230/M254</f>
        <v/>
      </c>
      <c r="O254">
        <f>IF(Y253*L254 &gt; F_primary, 1, 0)</f>
        <v/>
      </c>
      <c r="P254">
        <f>IF(Y253*(E_sh + F254) &gt; E_inv, 1, 0)</f>
        <v/>
      </c>
      <c r="Q254">
        <f>IF(Y253*(D_sh + E254) &gt; D_inv, 1, 0)</f>
        <v/>
      </c>
      <c r="R254">
        <f>IF(Y253*C_sh &gt; C_inv, 1, 0)</f>
        <v/>
      </c>
      <c r="S254">
        <f>IF(Y253*B_sh &gt; B_inv, 1, 0)</f>
        <v/>
      </c>
      <c r="T254">
        <f>IF(Y253*A_sh &gt; A_inv, 1, 0)</f>
        <v/>
      </c>
      <c r="U254">
        <f>IF(Y253*seed_sh &gt; seed_inv, 1, 0)</f>
        <v/>
      </c>
      <c r="V254">
        <f>(1-O254)*F_primary+(1-P254)*E_inv+(1-Q254)*D_inv+(1-R254)*C_inv+(1-S254)*B_inv+(1-T254)*A_inv+(1-U254)*seed_inv</f>
        <v/>
      </c>
      <c r="W254">
        <f>MAX(0, sens_exit - V254)</f>
        <v/>
      </c>
      <c r="X254">
        <f>F1_sh+F2_sh+F3_sh+RSA_sh+J254+K254+O254*L254+P254*(E_sh + F254)+Q254*(D_sh + E254)+R254*C_sh+S254*B_sh+T254*A_sh+U254*seed_sh</f>
        <v/>
      </c>
      <c r="Y254">
        <f>(W254 + preF_opts_iss*opt_strike)/(X254 + preF_opts_iss)</f>
        <v/>
      </c>
    </row>
    <row r="255">
      <c r="B255">
        <f>N254</f>
        <v/>
      </c>
      <c r="C255">
        <f>OCP_D*(preF_FD + F_primary/OCP_D)/(preF_FD + F_primary/B255)</f>
        <v/>
      </c>
      <c r="D255">
        <f>OCP_E*(preF_FD + F_primary/OCP_E)/(preF_FD + F_primary/B255)</f>
        <v/>
      </c>
      <c r="E255">
        <f>D_sh*(OCP_D/C255 - 1)</f>
        <v/>
      </c>
      <c r="F255">
        <f>E_sh*(OCP_E/D255 - 1)</f>
        <v/>
      </c>
      <c r="G255">
        <f>(preF_FD + E255 + F255 - preF_opts + J254 + K254 + F_primary/B255)/(1-B230)</f>
        <v/>
      </c>
      <c r="H255">
        <f>MAX(0, B230*G255 - preF_opts)</f>
        <v/>
      </c>
      <c r="I255">
        <f>preF_FD + E255 + F255 + H255</f>
        <v/>
      </c>
      <c r="J255">
        <f>NA_P/MIN(NA_cap/(I255+K254), (1-NA_disc)*B255)</f>
        <v/>
      </c>
      <c r="K255">
        <f>NB_P/MIN(NB_cap/(I255+J255), (1-NB_disc)*B255)</f>
        <v/>
      </c>
      <c r="L255">
        <f>F_primary/B255</f>
        <v/>
      </c>
      <c r="M255">
        <f>I255+J255+K255</f>
        <v/>
      </c>
      <c r="N255">
        <f>D230/M255</f>
        <v/>
      </c>
      <c r="O255">
        <f>IF(Y254*L255 &gt; F_primary, 1, 0)</f>
        <v/>
      </c>
      <c r="P255">
        <f>IF(Y254*(E_sh + F255) &gt; E_inv, 1, 0)</f>
        <v/>
      </c>
      <c r="Q255">
        <f>IF(Y254*(D_sh + E255) &gt; D_inv, 1, 0)</f>
        <v/>
      </c>
      <c r="R255">
        <f>IF(Y254*C_sh &gt; C_inv, 1, 0)</f>
        <v/>
      </c>
      <c r="S255">
        <f>IF(Y254*B_sh &gt; B_inv, 1, 0)</f>
        <v/>
      </c>
      <c r="T255">
        <f>IF(Y254*A_sh &gt; A_inv, 1, 0)</f>
        <v/>
      </c>
      <c r="U255">
        <f>IF(Y254*seed_sh &gt; seed_inv, 1, 0)</f>
        <v/>
      </c>
      <c r="V255">
        <f>(1-O255)*F_primary+(1-P255)*E_inv+(1-Q255)*D_inv+(1-R255)*C_inv+(1-S255)*B_inv+(1-T255)*A_inv+(1-U255)*seed_inv</f>
        <v/>
      </c>
      <c r="W255">
        <f>MAX(0, sens_exit - V255)</f>
        <v/>
      </c>
      <c r="X255">
        <f>F1_sh+F2_sh+F3_sh+RSA_sh+J255+K255+O255*L255+P255*(E_sh + F255)+Q255*(D_sh + E255)+R255*C_sh+S255*B_sh+T255*A_sh+U255*seed_sh</f>
        <v/>
      </c>
      <c r="Y255">
        <f>(W255 + preF_opts_iss*opt_strike)/(X255 + preF_opts_iss)</f>
        <v/>
      </c>
    </row>
    <row r="256">
      <c r="B256">
        <f>N255</f>
        <v/>
      </c>
      <c r="C256">
        <f>OCP_D*(preF_FD + F_primary/OCP_D)/(preF_FD + F_primary/B256)</f>
        <v/>
      </c>
      <c r="D256">
        <f>OCP_E*(preF_FD + F_primary/OCP_E)/(preF_FD + F_primary/B256)</f>
        <v/>
      </c>
      <c r="E256">
        <f>D_sh*(OCP_D/C256 - 1)</f>
        <v/>
      </c>
      <c r="F256">
        <f>E_sh*(OCP_E/D256 - 1)</f>
        <v/>
      </c>
      <c r="G256">
        <f>(preF_FD + E256 + F256 - preF_opts + J255 + K255 + F_primary/B256)/(1-B230)</f>
        <v/>
      </c>
      <c r="H256">
        <f>MAX(0, B230*G256 - preF_opts)</f>
        <v/>
      </c>
      <c r="I256">
        <f>preF_FD + E256 + F256 + H256</f>
        <v/>
      </c>
      <c r="J256">
        <f>NA_P/MIN(NA_cap/(I256+K255), (1-NA_disc)*B256)</f>
        <v/>
      </c>
      <c r="K256">
        <f>NB_P/MIN(NB_cap/(I256+J256), (1-NB_disc)*B256)</f>
        <v/>
      </c>
      <c r="L256">
        <f>F_primary/B256</f>
        <v/>
      </c>
      <c r="M256">
        <f>I256+J256+K256</f>
        <v/>
      </c>
      <c r="N256">
        <f>D230/M256</f>
        <v/>
      </c>
      <c r="O256">
        <f>IF(Y255*L256 &gt; F_primary, 1, 0)</f>
        <v/>
      </c>
      <c r="P256">
        <f>IF(Y255*(E_sh + F256) &gt; E_inv, 1, 0)</f>
        <v/>
      </c>
      <c r="Q256">
        <f>IF(Y255*(D_sh + E256) &gt; D_inv, 1, 0)</f>
        <v/>
      </c>
      <c r="R256">
        <f>IF(Y255*C_sh &gt; C_inv, 1, 0)</f>
        <v/>
      </c>
      <c r="S256">
        <f>IF(Y255*B_sh &gt; B_inv, 1, 0)</f>
        <v/>
      </c>
      <c r="T256">
        <f>IF(Y255*A_sh &gt; A_inv, 1, 0)</f>
        <v/>
      </c>
      <c r="U256">
        <f>IF(Y255*seed_sh &gt; seed_inv, 1, 0)</f>
        <v/>
      </c>
      <c r="V256">
        <f>(1-O256)*F_primary+(1-P256)*E_inv+(1-Q256)*D_inv+(1-R256)*C_inv+(1-S256)*B_inv+(1-T256)*A_inv+(1-U256)*seed_inv</f>
        <v/>
      </c>
      <c r="W256">
        <f>MAX(0, sens_exit - V256)</f>
        <v/>
      </c>
      <c r="X256">
        <f>F1_sh+F2_sh+F3_sh+RSA_sh+J256+K256+O256*L256+P256*(E_sh + F256)+Q256*(D_sh + E256)+R256*C_sh+S256*B_sh+T256*A_sh+U256*seed_sh</f>
        <v/>
      </c>
      <c r="Y256">
        <f>(W256 + preF_opts_iss*opt_strike)/(X256 + preF_opts_iss)</f>
        <v/>
      </c>
    </row>
    <row r="257">
      <c r="B257">
        <f>N256</f>
        <v/>
      </c>
      <c r="C257">
        <f>OCP_D*(preF_FD + F_primary/OCP_D)/(preF_FD + F_primary/B257)</f>
        <v/>
      </c>
      <c r="D257">
        <f>OCP_E*(preF_FD + F_primary/OCP_E)/(preF_FD + F_primary/B257)</f>
        <v/>
      </c>
      <c r="E257">
        <f>D_sh*(OCP_D/C257 - 1)</f>
        <v/>
      </c>
      <c r="F257">
        <f>E_sh*(OCP_E/D257 - 1)</f>
        <v/>
      </c>
      <c r="G257">
        <f>(preF_FD + E257 + F257 - preF_opts + J256 + K256 + F_primary/B257)/(1-B230)</f>
        <v/>
      </c>
      <c r="H257">
        <f>MAX(0, B230*G257 - preF_opts)</f>
        <v/>
      </c>
      <c r="I257">
        <f>preF_FD + E257 + F257 + H257</f>
        <v/>
      </c>
      <c r="J257">
        <f>NA_P/MIN(NA_cap/(I257+K256), (1-NA_disc)*B257)</f>
        <v/>
      </c>
      <c r="K257">
        <f>NB_P/MIN(NB_cap/(I257+J257), (1-NB_disc)*B257)</f>
        <v/>
      </c>
      <c r="L257">
        <f>F_primary/B257</f>
        <v/>
      </c>
      <c r="M257">
        <f>I257+J257+K257</f>
        <v/>
      </c>
      <c r="N257">
        <f>D230/M257</f>
        <v/>
      </c>
      <c r="O257">
        <f>IF(Y256*L257 &gt; F_primary, 1, 0)</f>
        <v/>
      </c>
      <c r="P257">
        <f>IF(Y256*(E_sh + F257) &gt; E_inv, 1, 0)</f>
        <v/>
      </c>
      <c r="Q257">
        <f>IF(Y256*(D_sh + E257) &gt; D_inv, 1, 0)</f>
        <v/>
      </c>
      <c r="R257">
        <f>IF(Y256*C_sh &gt; C_inv, 1, 0)</f>
        <v/>
      </c>
      <c r="S257">
        <f>IF(Y256*B_sh &gt; B_inv, 1, 0)</f>
        <v/>
      </c>
      <c r="T257">
        <f>IF(Y256*A_sh &gt; A_inv, 1, 0)</f>
        <v/>
      </c>
      <c r="U257">
        <f>IF(Y256*seed_sh &gt; seed_inv, 1, 0)</f>
        <v/>
      </c>
      <c r="V257">
        <f>(1-O257)*F_primary+(1-P257)*E_inv+(1-Q257)*D_inv+(1-R257)*C_inv+(1-S257)*B_inv+(1-T257)*A_inv+(1-U257)*seed_inv</f>
        <v/>
      </c>
      <c r="W257">
        <f>MAX(0, sens_exit - V257)</f>
        <v/>
      </c>
      <c r="X257">
        <f>F1_sh+F2_sh+F3_sh+RSA_sh+J257+K257+O257*L257+P257*(E_sh + F257)+Q257*(D_sh + E257)+R257*C_sh+S257*B_sh+T257*A_sh+U257*seed_sh</f>
        <v/>
      </c>
      <c r="Y257">
        <f>(W257 + preF_opts_iss*opt_strike)/(X257 + preF_opts_iss)</f>
        <v/>
      </c>
    </row>
    <row r="258">
      <c r="B258">
        <f>N257</f>
        <v/>
      </c>
      <c r="C258">
        <f>OCP_D*(preF_FD + F_primary/OCP_D)/(preF_FD + F_primary/B258)</f>
        <v/>
      </c>
      <c r="D258">
        <f>OCP_E*(preF_FD + F_primary/OCP_E)/(preF_FD + F_primary/B258)</f>
        <v/>
      </c>
      <c r="E258">
        <f>D_sh*(OCP_D/C258 - 1)</f>
        <v/>
      </c>
      <c r="F258">
        <f>E_sh*(OCP_E/D258 - 1)</f>
        <v/>
      </c>
      <c r="G258">
        <f>(preF_FD + E258 + F258 - preF_opts + J257 + K257 + F_primary/B258)/(1-B230)</f>
        <v/>
      </c>
      <c r="H258">
        <f>MAX(0, B230*G258 - preF_opts)</f>
        <v/>
      </c>
      <c r="I258">
        <f>preF_FD + E258 + F258 + H258</f>
        <v/>
      </c>
      <c r="J258">
        <f>NA_P/MIN(NA_cap/(I258+K257), (1-NA_disc)*B258)</f>
        <v/>
      </c>
      <c r="K258">
        <f>NB_P/MIN(NB_cap/(I258+J258), (1-NB_disc)*B258)</f>
        <v/>
      </c>
      <c r="L258">
        <f>F_primary/B258</f>
        <v/>
      </c>
      <c r="M258">
        <f>I258+J258+K258</f>
        <v/>
      </c>
      <c r="N258">
        <f>D230/M258</f>
        <v/>
      </c>
      <c r="O258">
        <f>IF(Y257*L258 &gt; F_primary, 1, 0)</f>
        <v/>
      </c>
      <c r="P258">
        <f>IF(Y257*(E_sh + F258) &gt; E_inv, 1, 0)</f>
        <v/>
      </c>
      <c r="Q258">
        <f>IF(Y257*(D_sh + E258) &gt; D_inv, 1, 0)</f>
        <v/>
      </c>
      <c r="R258">
        <f>IF(Y257*C_sh &gt; C_inv, 1, 0)</f>
        <v/>
      </c>
      <c r="S258">
        <f>IF(Y257*B_sh &gt; B_inv, 1, 0)</f>
        <v/>
      </c>
      <c r="T258">
        <f>IF(Y257*A_sh &gt; A_inv, 1, 0)</f>
        <v/>
      </c>
      <c r="U258">
        <f>IF(Y257*seed_sh &gt; seed_inv, 1, 0)</f>
        <v/>
      </c>
      <c r="V258">
        <f>(1-O258)*F_primary+(1-P258)*E_inv+(1-Q258)*D_inv+(1-R258)*C_inv+(1-S258)*B_inv+(1-T258)*A_inv+(1-U258)*seed_inv</f>
        <v/>
      </c>
      <c r="W258">
        <f>MAX(0, sens_exit - V258)</f>
        <v/>
      </c>
      <c r="X258">
        <f>F1_sh+F2_sh+F3_sh+RSA_sh+J258+K258+O258*L258+P258*(E_sh + F258)+Q258*(D_sh + E258)+R258*C_sh+S258*B_sh+T258*A_sh+U258*seed_sh</f>
        <v/>
      </c>
      <c r="Y258">
        <f>(W258 + preF_opts_iss*opt_strike)/(X258 + preF_opts_iss)</f>
        <v/>
      </c>
    </row>
    <row r="259">
      <c r="B259">
        <f>N258</f>
        <v/>
      </c>
      <c r="C259">
        <f>OCP_D*(preF_FD + F_primary/OCP_D)/(preF_FD + F_primary/B259)</f>
        <v/>
      </c>
      <c r="D259">
        <f>OCP_E*(preF_FD + F_primary/OCP_E)/(preF_FD + F_primary/B259)</f>
        <v/>
      </c>
      <c r="E259">
        <f>D_sh*(OCP_D/C259 - 1)</f>
        <v/>
      </c>
      <c r="F259">
        <f>E_sh*(OCP_E/D259 - 1)</f>
        <v/>
      </c>
      <c r="G259">
        <f>(preF_FD + E259 + F259 - preF_opts + J258 + K258 + F_primary/B259)/(1-B230)</f>
        <v/>
      </c>
      <c r="H259">
        <f>MAX(0, B230*G259 - preF_opts)</f>
        <v/>
      </c>
      <c r="I259">
        <f>preF_FD + E259 + F259 + H259</f>
        <v/>
      </c>
      <c r="J259">
        <f>NA_P/MIN(NA_cap/(I259+K258), (1-NA_disc)*B259)</f>
        <v/>
      </c>
      <c r="K259">
        <f>NB_P/MIN(NB_cap/(I259+J259), (1-NB_disc)*B259)</f>
        <v/>
      </c>
      <c r="L259">
        <f>F_primary/B259</f>
        <v/>
      </c>
      <c r="M259">
        <f>I259+J259+K259</f>
        <v/>
      </c>
      <c r="N259">
        <f>D230/M259</f>
        <v/>
      </c>
      <c r="O259">
        <f>IF(Y258*L259 &gt; F_primary, 1, 0)</f>
        <v/>
      </c>
      <c r="P259">
        <f>IF(Y258*(E_sh + F259) &gt; E_inv, 1, 0)</f>
        <v/>
      </c>
      <c r="Q259">
        <f>IF(Y258*(D_sh + E259) &gt; D_inv, 1, 0)</f>
        <v/>
      </c>
      <c r="R259">
        <f>IF(Y258*C_sh &gt; C_inv, 1, 0)</f>
        <v/>
      </c>
      <c r="S259">
        <f>IF(Y258*B_sh &gt; B_inv, 1, 0)</f>
        <v/>
      </c>
      <c r="T259">
        <f>IF(Y258*A_sh &gt; A_inv, 1, 0)</f>
        <v/>
      </c>
      <c r="U259">
        <f>IF(Y258*seed_sh &gt; seed_inv, 1, 0)</f>
        <v/>
      </c>
      <c r="V259">
        <f>(1-O259)*F_primary+(1-P259)*E_inv+(1-Q259)*D_inv+(1-R259)*C_inv+(1-S259)*B_inv+(1-T259)*A_inv+(1-U259)*seed_inv</f>
        <v/>
      </c>
      <c r="W259">
        <f>MAX(0, sens_exit - V259)</f>
        <v/>
      </c>
      <c r="X259">
        <f>F1_sh+F2_sh+F3_sh+RSA_sh+J259+K259+O259*L259+P259*(E_sh + F259)+Q259*(D_sh + E259)+R259*C_sh+S259*B_sh+T259*A_sh+U259*seed_sh</f>
        <v/>
      </c>
      <c r="Y259">
        <f>(W259 + preF_opts_iss*opt_strike)/(X259 + preF_opts_iss)</f>
        <v/>
      </c>
    </row>
    <row r="260">
      <c r="B260">
        <f>N259</f>
        <v/>
      </c>
      <c r="C260">
        <f>OCP_D*(preF_FD + F_primary/OCP_D)/(preF_FD + F_primary/B260)</f>
        <v/>
      </c>
      <c r="D260">
        <f>OCP_E*(preF_FD + F_primary/OCP_E)/(preF_FD + F_primary/B260)</f>
        <v/>
      </c>
      <c r="E260">
        <f>D_sh*(OCP_D/C260 - 1)</f>
        <v/>
      </c>
      <c r="F260">
        <f>E_sh*(OCP_E/D260 - 1)</f>
        <v/>
      </c>
      <c r="G260">
        <f>(preF_FD + E260 + F260 - preF_opts + J259 + K259 + F_primary/B260)/(1-B230)</f>
        <v/>
      </c>
      <c r="H260">
        <f>MAX(0, B230*G260 - preF_opts)</f>
        <v/>
      </c>
      <c r="I260">
        <f>preF_FD + E260 + F260 + H260</f>
        <v/>
      </c>
      <c r="J260">
        <f>NA_P/MIN(NA_cap/(I260+K259), (1-NA_disc)*B260)</f>
        <v/>
      </c>
      <c r="K260">
        <f>NB_P/MIN(NB_cap/(I260+J260), (1-NB_disc)*B260)</f>
        <v/>
      </c>
      <c r="L260">
        <f>F_primary/B260</f>
        <v/>
      </c>
      <c r="M260">
        <f>I260+J260+K260</f>
        <v/>
      </c>
      <c r="N260">
        <f>D230/M260</f>
        <v/>
      </c>
      <c r="O260">
        <f>IF(Y259*L260 &gt; F_primary, 1, 0)</f>
        <v/>
      </c>
      <c r="P260">
        <f>IF(Y259*(E_sh + F260) &gt; E_inv, 1, 0)</f>
        <v/>
      </c>
      <c r="Q260">
        <f>IF(Y259*(D_sh + E260) &gt; D_inv, 1, 0)</f>
        <v/>
      </c>
      <c r="R260">
        <f>IF(Y259*C_sh &gt; C_inv, 1, 0)</f>
        <v/>
      </c>
      <c r="S260">
        <f>IF(Y259*B_sh &gt; B_inv, 1, 0)</f>
        <v/>
      </c>
      <c r="T260">
        <f>IF(Y259*A_sh &gt; A_inv, 1, 0)</f>
        <v/>
      </c>
      <c r="U260">
        <f>IF(Y259*seed_sh &gt; seed_inv, 1, 0)</f>
        <v/>
      </c>
      <c r="V260">
        <f>(1-O260)*F_primary+(1-P260)*E_inv+(1-Q260)*D_inv+(1-R260)*C_inv+(1-S260)*B_inv+(1-T260)*A_inv+(1-U260)*seed_inv</f>
        <v/>
      </c>
      <c r="W260">
        <f>MAX(0, sens_exit - V260)</f>
        <v/>
      </c>
      <c r="X260">
        <f>F1_sh+F2_sh+F3_sh+RSA_sh+J260+K260+O260*L260+P260*(E_sh + F260)+Q260*(D_sh + E260)+R260*C_sh+S260*B_sh+T260*A_sh+U260*seed_sh</f>
        <v/>
      </c>
      <c r="Y260">
        <f>(W260 + preF_opts_iss*opt_strike)/(X260 + preF_opts_iss)</f>
        <v/>
      </c>
    </row>
    <row r="261">
      <c r="B261">
        <f>N260</f>
        <v/>
      </c>
      <c r="C261">
        <f>OCP_D*(preF_FD + F_primary/OCP_D)/(preF_FD + F_primary/B261)</f>
        <v/>
      </c>
      <c r="D261">
        <f>OCP_E*(preF_FD + F_primary/OCP_E)/(preF_FD + F_primary/B261)</f>
        <v/>
      </c>
      <c r="E261">
        <f>D_sh*(OCP_D/C261 - 1)</f>
        <v/>
      </c>
      <c r="F261">
        <f>E_sh*(OCP_E/D261 - 1)</f>
        <v/>
      </c>
      <c r="G261">
        <f>(preF_FD + E261 + F261 - preF_opts + J260 + K260 + F_primary/B261)/(1-B230)</f>
        <v/>
      </c>
      <c r="H261">
        <f>MAX(0, B230*G261 - preF_opts)</f>
        <v/>
      </c>
      <c r="I261">
        <f>preF_FD + E261 + F261 + H261</f>
        <v/>
      </c>
      <c r="J261">
        <f>NA_P/MIN(NA_cap/(I261+K260), (1-NA_disc)*B261)</f>
        <v/>
      </c>
      <c r="K261">
        <f>NB_P/MIN(NB_cap/(I261+J261), (1-NB_disc)*B261)</f>
        <v/>
      </c>
      <c r="L261">
        <f>F_primary/B261</f>
        <v/>
      </c>
      <c r="M261">
        <f>I261+J261+K261</f>
        <v/>
      </c>
      <c r="N261">
        <f>D230/M261</f>
        <v/>
      </c>
      <c r="O261">
        <f>IF(Y260*L261 &gt; F_primary, 1, 0)</f>
        <v/>
      </c>
      <c r="P261">
        <f>IF(Y260*(E_sh + F261) &gt; E_inv, 1, 0)</f>
        <v/>
      </c>
      <c r="Q261">
        <f>IF(Y260*(D_sh + E261) &gt; D_inv, 1, 0)</f>
        <v/>
      </c>
      <c r="R261">
        <f>IF(Y260*C_sh &gt; C_inv, 1, 0)</f>
        <v/>
      </c>
      <c r="S261">
        <f>IF(Y260*B_sh &gt; B_inv, 1, 0)</f>
        <v/>
      </c>
      <c r="T261">
        <f>IF(Y260*A_sh &gt; A_inv, 1, 0)</f>
        <v/>
      </c>
      <c r="U261">
        <f>IF(Y260*seed_sh &gt; seed_inv, 1, 0)</f>
        <v/>
      </c>
      <c r="V261">
        <f>(1-O261)*F_primary+(1-P261)*E_inv+(1-Q261)*D_inv+(1-R261)*C_inv+(1-S261)*B_inv+(1-T261)*A_inv+(1-U261)*seed_inv</f>
        <v/>
      </c>
      <c r="W261">
        <f>MAX(0, sens_exit - V261)</f>
        <v/>
      </c>
      <c r="X261">
        <f>F1_sh+F2_sh+F3_sh+RSA_sh+J261+K261+O261*L261+P261*(E_sh + F261)+Q261*(D_sh + E261)+R261*C_sh+S261*B_sh+T261*A_sh+U261*seed_sh</f>
        <v/>
      </c>
      <c r="Y261">
        <f>(W261 + preF_opts_iss*opt_strike)/(X261 + preF_opts_iss)</f>
        <v/>
      </c>
    </row>
    <row r="262">
      <c r="B262">
        <f>N261</f>
        <v/>
      </c>
      <c r="C262">
        <f>OCP_D*(preF_FD + F_primary/OCP_D)/(preF_FD + F_primary/B262)</f>
        <v/>
      </c>
      <c r="D262">
        <f>OCP_E*(preF_FD + F_primary/OCP_E)/(preF_FD + F_primary/B262)</f>
        <v/>
      </c>
      <c r="E262">
        <f>D_sh*(OCP_D/C262 - 1)</f>
        <v/>
      </c>
      <c r="F262">
        <f>E_sh*(OCP_E/D262 - 1)</f>
        <v/>
      </c>
      <c r="G262">
        <f>(preF_FD + E262 + F262 - preF_opts + J261 + K261 + F_primary/B262)/(1-B230)</f>
        <v/>
      </c>
      <c r="H262">
        <f>MAX(0, B230*G262 - preF_opts)</f>
        <v/>
      </c>
      <c r="I262">
        <f>preF_FD + E262 + F262 + H262</f>
        <v/>
      </c>
      <c r="J262">
        <f>NA_P/MIN(NA_cap/(I262+K261), (1-NA_disc)*B262)</f>
        <v/>
      </c>
      <c r="K262">
        <f>NB_P/MIN(NB_cap/(I262+J262), (1-NB_disc)*B262)</f>
        <v/>
      </c>
      <c r="L262">
        <f>F_primary/B262</f>
        <v/>
      </c>
      <c r="M262">
        <f>I262+J262+K262</f>
        <v/>
      </c>
      <c r="N262">
        <f>D230/M262</f>
        <v/>
      </c>
      <c r="O262">
        <f>IF(Y261*L262 &gt; F_primary, 1, 0)</f>
        <v/>
      </c>
      <c r="P262">
        <f>IF(Y261*(E_sh + F262) &gt; E_inv, 1, 0)</f>
        <v/>
      </c>
      <c r="Q262">
        <f>IF(Y261*(D_sh + E262) &gt; D_inv, 1, 0)</f>
        <v/>
      </c>
      <c r="R262">
        <f>IF(Y261*C_sh &gt; C_inv, 1, 0)</f>
        <v/>
      </c>
      <c r="S262">
        <f>IF(Y261*B_sh &gt; B_inv, 1, 0)</f>
        <v/>
      </c>
      <c r="T262">
        <f>IF(Y261*A_sh &gt; A_inv, 1, 0)</f>
        <v/>
      </c>
      <c r="U262">
        <f>IF(Y261*seed_sh &gt; seed_inv, 1, 0)</f>
        <v/>
      </c>
      <c r="V262">
        <f>(1-O262)*F_primary+(1-P262)*E_inv+(1-Q262)*D_inv+(1-R262)*C_inv+(1-S262)*B_inv+(1-T262)*A_inv+(1-U262)*seed_inv</f>
        <v/>
      </c>
      <c r="W262">
        <f>MAX(0, sens_exit - V262)</f>
        <v/>
      </c>
      <c r="X262">
        <f>F1_sh+F2_sh+F3_sh+RSA_sh+J262+K262+O262*L262+P262*(E_sh + F262)+Q262*(D_sh + E262)+R262*C_sh+S262*B_sh+T262*A_sh+U262*seed_sh</f>
        <v/>
      </c>
      <c r="Y262">
        <f>(W262 + preF_opts_iss*opt_strike)/(X262 + preF_opts_iss)</f>
        <v/>
      </c>
    </row>
    <row r="263">
      <c r="B263">
        <f>N262</f>
        <v/>
      </c>
      <c r="C263">
        <f>OCP_D*(preF_FD + F_primary/OCP_D)/(preF_FD + F_primary/B263)</f>
        <v/>
      </c>
      <c r="D263">
        <f>OCP_E*(preF_FD + F_primary/OCP_E)/(preF_FD + F_primary/B263)</f>
        <v/>
      </c>
      <c r="E263">
        <f>D_sh*(OCP_D/C263 - 1)</f>
        <v/>
      </c>
      <c r="F263">
        <f>E_sh*(OCP_E/D263 - 1)</f>
        <v/>
      </c>
      <c r="G263">
        <f>(preF_FD + E263 + F263 - preF_opts + J262 + K262 + F_primary/B263)/(1-B230)</f>
        <v/>
      </c>
      <c r="H263">
        <f>MAX(0, B230*G263 - preF_opts)</f>
        <v/>
      </c>
      <c r="I263">
        <f>preF_FD + E263 + F263 + H263</f>
        <v/>
      </c>
      <c r="J263">
        <f>NA_P/MIN(NA_cap/(I263+K262), (1-NA_disc)*B263)</f>
        <v/>
      </c>
      <c r="K263">
        <f>NB_P/MIN(NB_cap/(I263+J263), (1-NB_disc)*B263)</f>
        <v/>
      </c>
      <c r="L263">
        <f>F_primary/B263</f>
        <v/>
      </c>
      <c r="M263">
        <f>I263+J263+K263</f>
        <v/>
      </c>
      <c r="N263">
        <f>D230/M263</f>
        <v/>
      </c>
      <c r="O263">
        <f>IF(Y262*L263 &gt; F_primary, 1, 0)</f>
        <v/>
      </c>
      <c r="P263">
        <f>IF(Y262*(E_sh + F263) &gt; E_inv, 1, 0)</f>
        <v/>
      </c>
      <c r="Q263">
        <f>IF(Y262*(D_sh + E263) &gt; D_inv, 1, 0)</f>
        <v/>
      </c>
      <c r="R263">
        <f>IF(Y262*C_sh &gt; C_inv, 1, 0)</f>
        <v/>
      </c>
      <c r="S263">
        <f>IF(Y262*B_sh &gt; B_inv, 1, 0)</f>
        <v/>
      </c>
      <c r="T263">
        <f>IF(Y262*A_sh &gt; A_inv, 1, 0)</f>
        <v/>
      </c>
      <c r="U263">
        <f>IF(Y262*seed_sh &gt; seed_inv, 1, 0)</f>
        <v/>
      </c>
      <c r="V263">
        <f>(1-O263)*F_primary+(1-P263)*E_inv+(1-Q263)*D_inv+(1-R263)*C_inv+(1-S263)*B_inv+(1-T263)*A_inv+(1-U263)*seed_inv</f>
        <v/>
      </c>
      <c r="W263">
        <f>MAX(0, sens_exit - V263)</f>
        <v/>
      </c>
      <c r="X263">
        <f>F1_sh+F2_sh+F3_sh+RSA_sh+J263+K263+O263*L263+P263*(E_sh + F263)+Q263*(D_sh + E263)+R263*C_sh+S263*B_sh+T263*A_sh+U263*seed_sh</f>
        <v/>
      </c>
      <c r="Y263">
        <f>(W263 + preF_opts_iss*opt_strike)/(X263 + preF_opts_iss)</f>
        <v/>
      </c>
    </row>
    <row r="264">
      <c r="B264">
        <f>N263</f>
        <v/>
      </c>
      <c r="C264">
        <f>OCP_D*(preF_FD + F_primary/OCP_D)/(preF_FD + F_primary/B264)</f>
        <v/>
      </c>
      <c r="D264">
        <f>OCP_E*(preF_FD + F_primary/OCP_E)/(preF_FD + F_primary/B264)</f>
        <v/>
      </c>
      <c r="E264">
        <f>D_sh*(OCP_D/C264 - 1)</f>
        <v/>
      </c>
      <c r="F264">
        <f>E_sh*(OCP_E/D264 - 1)</f>
        <v/>
      </c>
      <c r="G264">
        <f>(preF_FD + E264 + F264 - preF_opts + J263 + K263 + F_primary/B264)/(1-B230)</f>
        <v/>
      </c>
      <c r="H264">
        <f>MAX(0, B230*G264 - preF_opts)</f>
        <v/>
      </c>
      <c r="I264">
        <f>preF_FD + E264 + F264 + H264</f>
        <v/>
      </c>
      <c r="J264">
        <f>NA_P/MIN(NA_cap/(I264+K263), (1-NA_disc)*B264)</f>
        <v/>
      </c>
      <c r="K264">
        <f>NB_P/MIN(NB_cap/(I264+J264), (1-NB_disc)*B264)</f>
        <v/>
      </c>
      <c r="L264">
        <f>F_primary/B264</f>
        <v/>
      </c>
      <c r="M264">
        <f>I264+J264+K264</f>
        <v/>
      </c>
      <c r="N264">
        <f>D230/M264</f>
        <v/>
      </c>
      <c r="O264">
        <f>IF(Y263*L264 &gt; F_primary, 1, 0)</f>
        <v/>
      </c>
      <c r="P264">
        <f>IF(Y263*(E_sh + F264) &gt; E_inv, 1, 0)</f>
        <v/>
      </c>
      <c r="Q264">
        <f>IF(Y263*(D_sh + E264) &gt; D_inv, 1, 0)</f>
        <v/>
      </c>
      <c r="R264">
        <f>IF(Y263*C_sh &gt; C_inv, 1, 0)</f>
        <v/>
      </c>
      <c r="S264">
        <f>IF(Y263*B_sh &gt; B_inv, 1, 0)</f>
        <v/>
      </c>
      <c r="T264">
        <f>IF(Y263*A_sh &gt; A_inv, 1, 0)</f>
        <v/>
      </c>
      <c r="U264">
        <f>IF(Y263*seed_sh &gt; seed_inv, 1, 0)</f>
        <v/>
      </c>
      <c r="V264">
        <f>(1-O264)*F_primary+(1-P264)*E_inv+(1-Q264)*D_inv+(1-R264)*C_inv+(1-S264)*B_inv+(1-T264)*A_inv+(1-U264)*seed_inv</f>
        <v/>
      </c>
      <c r="W264">
        <f>MAX(0, sens_exit - V264)</f>
        <v/>
      </c>
      <c r="X264">
        <f>F1_sh+F2_sh+F3_sh+RSA_sh+J264+K264+O264*L264+P264*(E_sh + F264)+Q264*(D_sh + E264)+R264*C_sh+S264*B_sh+T264*A_sh+U264*seed_sh</f>
        <v/>
      </c>
      <c r="Y264">
        <f>(W264 + preF_opts_iss*opt_strike)/(X264 + preF_opts_iss)</f>
        <v/>
      </c>
    </row>
    <row r="265">
      <c r="B265">
        <f>N264</f>
        <v/>
      </c>
      <c r="C265">
        <f>OCP_D*(preF_FD + F_primary/OCP_D)/(preF_FD + F_primary/B265)</f>
        <v/>
      </c>
      <c r="D265">
        <f>OCP_E*(preF_FD + F_primary/OCP_E)/(preF_FD + F_primary/B265)</f>
        <v/>
      </c>
      <c r="E265">
        <f>D_sh*(OCP_D/C265 - 1)</f>
        <v/>
      </c>
      <c r="F265">
        <f>E_sh*(OCP_E/D265 - 1)</f>
        <v/>
      </c>
      <c r="G265">
        <f>(preF_FD + E265 + F265 - preF_opts + J264 + K264 + F_primary/B265)/(1-B230)</f>
        <v/>
      </c>
      <c r="H265">
        <f>MAX(0, B230*G265 - preF_opts)</f>
        <v/>
      </c>
      <c r="I265">
        <f>preF_FD + E265 + F265 + H265</f>
        <v/>
      </c>
      <c r="J265">
        <f>NA_P/MIN(NA_cap/(I265+K264), (1-NA_disc)*B265)</f>
        <v/>
      </c>
      <c r="K265">
        <f>NB_P/MIN(NB_cap/(I265+J265), (1-NB_disc)*B265)</f>
        <v/>
      </c>
      <c r="L265">
        <f>F_primary/B265</f>
        <v/>
      </c>
      <c r="M265">
        <f>I265+J265+K265</f>
        <v/>
      </c>
      <c r="N265">
        <f>D230/M265</f>
        <v/>
      </c>
      <c r="O265">
        <f>IF(Y264*L265 &gt; F_primary, 1, 0)</f>
        <v/>
      </c>
      <c r="P265">
        <f>IF(Y264*(E_sh + F265) &gt; E_inv, 1, 0)</f>
        <v/>
      </c>
      <c r="Q265">
        <f>IF(Y264*(D_sh + E265) &gt; D_inv, 1, 0)</f>
        <v/>
      </c>
      <c r="R265">
        <f>IF(Y264*C_sh &gt; C_inv, 1, 0)</f>
        <v/>
      </c>
      <c r="S265">
        <f>IF(Y264*B_sh &gt; B_inv, 1, 0)</f>
        <v/>
      </c>
      <c r="T265">
        <f>IF(Y264*A_sh &gt; A_inv, 1, 0)</f>
        <v/>
      </c>
      <c r="U265">
        <f>IF(Y264*seed_sh &gt; seed_inv, 1, 0)</f>
        <v/>
      </c>
      <c r="V265">
        <f>(1-O265)*F_primary+(1-P265)*E_inv+(1-Q265)*D_inv+(1-R265)*C_inv+(1-S265)*B_inv+(1-T265)*A_inv+(1-U265)*seed_inv</f>
        <v/>
      </c>
      <c r="W265">
        <f>MAX(0, sens_exit - V265)</f>
        <v/>
      </c>
      <c r="X265">
        <f>F1_sh+F2_sh+F3_sh+RSA_sh+J265+K265+O265*L265+P265*(E_sh + F265)+Q265*(D_sh + E265)+R265*C_sh+S265*B_sh+T265*A_sh+U265*seed_sh</f>
        <v/>
      </c>
      <c r="Y265">
        <f>(W265 + preF_opts_iss*opt_strike)/(X265 + preF_opts_iss)</f>
        <v/>
      </c>
    </row>
    <row r="266">
      <c r="B266">
        <f>N265</f>
        <v/>
      </c>
      <c r="C266">
        <f>OCP_D*(preF_FD + F_primary/OCP_D)/(preF_FD + F_primary/B266)</f>
        <v/>
      </c>
      <c r="D266">
        <f>OCP_E*(preF_FD + F_primary/OCP_E)/(preF_FD + F_primary/B266)</f>
        <v/>
      </c>
      <c r="E266">
        <f>D_sh*(OCP_D/C266 - 1)</f>
        <v/>
      </c>
      <c r="F266">
        <f>E_sh*(OCP_E/D266 - 1)</f>
        <v/>
      </c>
      <c r="G266">
        <f>(preF_FD + E266 + F266 - preF_opts + J265 + K265 + F_primary/B266)/(1-B230)</f>
        <v/>
      </c>
      <c r="H266">
        <f>MAX(0, B230*G266 - preF_opts)</f>
        <v/>
      </c>
      <c r="I266">
        <f>preF_FD + E266 + F266 + H266</f>
        <v/>
      </c>
      <c r="J266">
        <f>NA_P/MIN(NA_cap/(I266+K265), (1-NA_disc)*B266)</f>
        <v/>
      </c>
      <c r="K266">
        <f>NB_P/MIN(NB_cap/(I266+J266), (1-NB_disc)*B266)</f>
        <v/>
      </c>
      <c r="L266">
        <f>F_primary/B266</f>
        <v/>
      </c>
      <c r="M266">
        <f>I266+J266+K266</f>
        <v/>
      </c>
      <c r="N266">
        <f>D230/M266</f>
        <v/>
      </c>
      <c r="O266">
        <f>IF(Y265*L266 &gt; F_primary, 1, 0)</f>
        <v/>
      </c>
      <c r="P266">
        <f>IF(Y265*(E_sh + F266) &gt; E_inv, 1, 0)</f>
        <v/>
      </c>
      <c r="Q266">
        <f>IF(Y265*(D_sh + E266) &gt; D_inv, 1, 0)</f>
        <v/>
      </c>
      <c r="R266">
        <f>IF(Y265*C_sh &gt; C_inv, 1, 0)</f>
        <v/>
      </c>
      <c r="S266">
        <f>IF(Y265*B_sh &gt; B_inv, 1, 0)</f>
        <v/>
      </c>
      <c r="T266">
        <f>IF(Y265*A_sh &gt; A_inv, 1, 0)</f>
        <v/>
      </c>
      <c r="U266">
        <f>IF(Y265*seed_sh &gt; seed_inv, 1, 0)</f>
        <v/>
      </c>
      <c r="V266">
        <f>(1-O266)*F_primary+(1-P266)*E_inv+(1-Q266)*D_inv+(1-R266)*C_inv+(1-S266)*B_inv+(1-T266)*A_inv+(1-U266)*seed_inv</f>
        <v/>
      </c>
      <c r="W266">
        <f>MAX(0, sens_exit - V266)</f>
        <v/>
      </c>
      <c r="X266">
        <f>F1_sh+F2_sh+F3_sh+RSA_sh+J266+K266+O266*L266+P266*(E_sh + F266)+Q266*(D_sh + E266)+R266*C_sh+S266*B_sh+T266*A_sh+U266*seed_sh</f>
        <v/>
      </c>
      <c r="Y266">
        <f>(W266 + preF_opts_iss*opt_strike)/(X266 + preF_opts_iss)</f>
        <v/>
      </c>
    </row>
    <row r="267">
      <c r="B267">
        <f>N266</f>
        <v/>
      </c>
      <c r="C267">
        <f>OCP_D*(preF_FD + F_primary/OCP_D)/(preF_FD + F_primary/B267)</f>
        <v/>
      </c>
      <c r="D267">
        <f>OCP_E*(preF_FD + F_primary/OCP_E)/(preF_FD + F_primary/B267)</f>
        <v/>
      </c>
      <c r="E267">
        <f>D_sh*(OCP_D/C267 - 1)</f>
        <v/>
      </c>
      <c r="F267">
        <f>E_sh*(OCP_E/D267 - 1)</f>
        <v/>
      </c>
      <c r="G267">
        <f>(preF_FD + E267 + F267 - preF_opts + J266 + K266 + F_primary/B267)/(1-B230)</f>
        <v/>
      </c>
      <c r="H267">
        <f>MAX(0, B230*G267 - preF_opts)</f>
        <v/>
      </c>
      <c r="I267">
        <f>preF_FD + E267 + F267 + H267</f>
        <v/>
      </c>
      <c r="J267">
        <f>NA_P/MIN(NA_cap/(I267+K266), (1-NA_disc)*B267)</f>
        <v/>
      </c>
      <c r="K267">
        <f>NB_P/MIN(NB_cap/(I267+J267), (1-NB_disc)*B267)</f>
        <v/>
      </c>
      <c r="L267">
        <f>F_primary/B267</f>
        <v/>
      </c>
      <c r="M267">
        <f>I267+J267+K267</f>
        <v/>
      </c>
      <c r="N267">
        <f>D230/M267</f>
        <v/>
      </c>
      <c r="O267">
        <f>IF(Y266*L267 &gt; F_primary, 1, 0)</f>
        <v/>
      </c>
      <c r="P267">
        <f>IF(Y266*(E_sh + F267) &gt; E_inv, 1, 0)</f>
        <v/>
      </c>
      <c r="Q267">
        <f>IF(Y266*(D_sh + E267) &gt; D_inv, 1, 0)</f>
        <v/>
      </c>
      <c r="R267">
        <f>IF(Y266*C_sh &gt; C_inv, 1, 0)</f>
        <v/>
      </c>
      <c r="S267">
        <f>IF(Y266*B_sh &gt; B_inv, 1, 0)</f>
        <v/>
      </c>
      <c r="T267">
        <f>IF(Y266*A_sh &gt; A_inv, 1, 0)</f>
        <v/>
      </c>
      <c r="U267">
        <f>IF(Y266*seed_sh &gt; seed_inv, 1, 0)</f>
        <v/>
      </c>
      <c r="V267">
        <f>(1-O267)*F_primary+(1-P267)*E_inv+(1-Q267)*D_inv+(1-R267)*C_inv+(1-S267)*B_inv+(1-T267)*A_inv+(1-U267)*seed_inv</f>
        <v/>
      </c>
      <c r="W267">
        <f>MAX(0, sens_exit - V267)</f>
        <v/>
      </c>
      <c r="X267">
        <f>F1_sh+F2_sh+F3_sh+RSA_sh+J267+K267+O267*L267+P267*(E_sh + F267)+Q267*(D_sh + E267)+R267*C_sh+S267*B_sh+T267*A_sh+U267*seed_sh</f>
        <v/>
      </c>
      <c r="Y267">
        <f>(W267 + preF_opts_iss*opt_strike)/(X267 + preF_opts_iss)</f>
        <v/>
      </c>
    </row>
    <row r="268">
      <c r="B268">
        <f>N267</f>
        <v/>
      </c>
      <c r="C268">
        <f>OCP_D*(preF_FD + F_primary/OCP_D)/(preF_FD + F_primary/B268)</f>
        <v/>
      </c>
      <c r="D268">
        <f>OCP_E*(preF_FD + F_primary/OCP_E)/(preF_FD + F_primary/B268)</f>
        <v/>
      </c>
      <c r="E268">
        <f>D_sh*(OCP_D/C268 - 1)</f>
        <v/>
      </c>
      <c r="F268">
        <f>E_sh*(OCP_E/D268 - 1)</f>
        <v/>
      </c>
      <c r="G268">
        <f>(preF_FD + E268 + F268 - preF_opts + J267 + K267 + F_primary/B268)/(1-B230)</f>
        <v/>
      </c>
      <c r="H268">
        <f>MAX(0, B230*G268 - preF_opts)</f>
        <v/>
      </c>
      <c r="I268">
        <f>preF_FD + E268 + F268 + H268</f>
        <v/>
      </c>
      <c r="J268">
        <f>NA_P/MIN(NA_cap/(I268+K267), (1-NA_disc)*B268)</f>
        <v/>
      </c>
      <c r="K268">
        <f>NB_P/MIN(NB_cap/(I268+J268), (1-NB_disc)*B268)</f>
        <v/>
      </c>
      <c r="L268">
        <f>F_primary/B268</f>
        <v/>
      </c>
      <c r="M268">
        <f>I268+J268+K268</f>
        <v/>
      </c>
      <c r="N268">
        <f>D230/M268</f>
        <v/>
      </c>
      <c r="O268">
        <f>IF(Y267*L268 &gt; F_primary, 1, 0)</f>
        <v/>
      </c>
      <c r="P268">
        <f>IF(Y267*(E_sh + F268) &gt; E_inv, 1, 0)</f>
        <v/>
      </c>
      <c r="Q268">
        <f>IF(Y267*(D_sh + E268) &gt; D_inv, 1, 0)</f>
        <v/>
      </c>
      <c r="R268">
        <f>IF(Y267*C_sh &gt; C_inv, 1, 0)</f>
        <v/>
      </c>
      <c r="S268">
        <f>IF(Y267*B_sh &gt; B_inv, 1, 0)</f>
        <v/>
      </c>
      <c r="T268">
        <f>IF(Y267*A_sh &gt; A_inv, 1, 0)</f>
        <v/>
      </c>
      <c r="U268">
        <f>IF(Y267*seed_sh &gt; seed_inv, 1, 0)</f>
        <v/>
      </c>
      <c r="V268">
        <f>(1-O268)*F_primary+(1-P268)*E_inv+(1-Q268)*D_inv+(1-R268)*C_inv+(1-S268)*B_inv+(1-T268)*A_inv+(1-U268)*seed_inv</f>
        <v/>
      </c>
      <c r="W268">
        <f>MAX(0, sens_exit - V268)</f>
        <v/>
      </c>
      <c r="X268">
        <f>F1_sh+F2_sh+F3_sh+RSA_sh+J268+K268+O268*L268+P268*(E_sh + F268)+Q268*(D_sh + E268)+R268*C_sh+S268*B_sh+T268*A_sh+U268*seed_sh</f>
        <v/>
      </c>
      <c r="Y268">
        <f>(W268 + preF_opts_iss*opt_strike)/(X268 + preF_opts_iss)</f>
        <v/>
      </c>
    </row>
    <row r="269">
      <c r="A269" s="6" t="inlineStr">
        <is>
          <t>--- Scenario 7: ESOP=sens_e_hi, Pre-money=sens_p_lo ---</t>
        </is>
      </c>
    </row>
    <row r="270">
      <c r="A270" s="6" t="inlineStr">
        <is>
          <t>ESOP</t>
        </is>
      </c>
      <c r="B270">
        <f>sens_e_hi</f>
        <v/>
      </c>
      <c r="C270" s="6" t="inlineStr">
        <is>
          <t>Pre-money</t>
        </is>
      </c>
      <c r="D270">
        <f>sens_p_lo</f>
        <v/>
      </c>
      <c r="E270" s="6" t="inlineStr">
        <is>
          <t>F_PPS</t>
        </is>
      </c>
      <c r="F270">
        <f>N308</f>
        <v/>
      </c>
      <c r="G270" s="6" t="inlineStr">
        <is>
          <t>T_F</t>
        </is>
      </c>
      <c r="H270">
        <f>I308+J308+K308+L308</f>
        <v/>
      </c>
      <c r="I270" s="6" t="inlineStr">
        <is>
          <t>NA_sh</t>
        </is>
      </c>
      <c r="J270">
        <f>J308</f>
        <v/>
      </c>
      <c r="K270" s="6" t="inlineStr">
        <is>
          <t>NB_sh</t>
        </is>
      </c>
      <c r="L270">
        <f>K308</f>
        <v/>
      </c>
      <c r="M270" s="6" t="inlineStr">
        <is>
          <t>NA_branch</t>
        </is>
      </c>
      <c r="N270">
        <f>IF(NA_cap/(I308+K308) &lt; (1-NA_disc)*N308, "cap", "discount")</f>
        <v/>
      </c>
      <c r="O270" s="6" t="inlineStr">
        <is>
          <t>NB_branch</t>
        </is>
      </c>
      <c r="P270">
        <f>IF(NB_cap/(I308+J308) &lt; (1-NB_disc)*N308, "cap", "discount")</f>
        <v/>
      </c>
    </row>
    <row r="271">
      <c r="A271" s="6" t="inlineStr">
        <is>
          <t>our_sh</t>
        </is>
      </c>
      <c r="B271">
        <f>our_check/F270</f>
        <v/>
      </c>
      <c r="C271" s="6" t="inlineStr">
        <is>
          <t>own%</t>
        </is>
      </c>
      <c r="D271" s="5">
        <f>B271/H270</f>
        <v/>
      </c>
      <c r="E271" s="6" t="inlineStr">
        <is>
          <t>F_election</t>
        </is>
      </c>
      <c r="F271">
        <f>IF(Y308*L308 &gt; F_primary, "convert", "preference")</f>
        <v/>
      </c>
      <c r="G271" s="6" t="inlineStr">
        <is>
          <t>F_payout</t>
        </is>
      </c>
      <c r="H271" s="8">
        <f>IF(F271="convert", Y308*L308, F_primary)</f>
        <v/>
      </c>
      <c r="I271" s="6" t="inlineStr">
        <is>
          <t>our_$</t>
        </is>
      </c>
      <c r="J271" s="8">
        <f>H271*our_check/F_primary</f>
        <v/>
      </c>
    </row>
    <row r="273">
      <c r="A273" s="6" t="inlineStr">
        <is>
          <t>iter</t>
        </is>
      </c>
      <c r="B273" s="6" t="inlineStr">
        <is>
          <t>F_PPS_in</t>
        </is>
      </c>
      <c r="C273" s="6" t="inlineStr">
        <is>
          <t>NCP_D</t>
        </is>
      </c>
      <c r="D273" s="6" t="inlineStr">
        <is>
          <t>NCP_E</t>
        </is>
      </c>
      <c r="E273" s="6" t="inlineStr">
        <is>
          <t>extras_D</t>
        </is>
      </c>
      <c r="F273" s="6" t="inlineStr">
        <is>
          <t>extras_E</t>
        </is>
      </c>
      <c r="G273" s="6" t="inlineStr">
        <is>
          <t>T_F</t>
        </is>
      </c>
      <c r="H273" s="6" t="inlineStr">
        <is>
          <t>topup</t>
        </is>
      </c>
      <c r="I273" s="6" t="inlineStr">
        <is>
          <t>preFD_nn</t>
        </is>
      </c>
      <c r="J273" s="6" t="inlineStr">
        <is>
          <t>NA_sh</t>
        </is>
      </c>
      <c r="K273" s="6" t="inlineStr">
        <is>
          <t>NB_sh</t>
        </is>
      </c>
      <c r="L273" s="6" t="inlineStr">
        <is>
          <t>F_prim_sh</t>
        </is>
      </c>
      <c r="M273" s="6" t="inlineStr">
        <is>
          <t>T_pre</t>
        </is>
      </c>
      <c r="N273" s="6" t="inlineStr">
        <is>
          <t>F_PPS_out</t>
        </is>
      </c>
      <c r="O273" s="6" t="inlineStr">
        <is>
          <t>ic_F</t>
        </is>
      </c>
      <c r="P273" s="6" t="inlineStr">
        <is>
          <t>ic_E</t>
        </is>
      </c>
      <c r="Q273" s="6" t="inlineStr">
        <is>
          <t>ic_D</t>
        </is>
      </c>
      <c r="R273" s="6" t="inlineStr">
        <is>
          <t>ic_C</t>
        </is>
      </c>
      <c r="S273" s="6" t="inlineStr">
        <is>
          <t>ic_B</t>
        </is>
      </c>
      <c r="T273" s="6" t="inlineStr">
        <is>
          <t>ic_A</t>
        </is>
      </c>
      <c r="U273" s="6" t="inlineStr">
        <is>
          <t>ic_Seed</t>
        </is>
      </c>
      <c r="V273" s="6" t="inlineStr">
        <is>
          <t>prefs_paid</t>
        </is>
      </c>
      <c r="W273" s="6" t="inlineStr">
        <is>
          <t>residual</t>
        </is>
      </c>
      <c r="X273" s="6" t="inlineStr">
        <is>
          <t>cv_shares</t>
        </is>
      </c>
      <c r="Y273" s="6" t="inlineStr">
        <is>
          <t>PPS_2B</t>
        </is>
      </c>
    </row>
    <row r="274">
      <c r="B274">
        <f>D270/preF_FD</f>
        <v/>
      </c>
      <c r="C274">
        <f>OCP_D*(preF_FD + F_primary/OCP_D)/(preF_FD + F_primary/B274)</f>
        <v/>
      </c>
      <c r="D274">
        <f>OCP_E*(preF_FD + F_primary/OCP_E)/(preF_FD + F_primary/B274)</f>
        <v/>
      </c>
      <c r="E274">
        <f>D_sh*(OCP_D/C274 - 1)</f>
        <v/>
      </c>
      <c r="F274">
        <f>E_sh*(OCP_E/D274 - 1)</f>
        <v/>
      </c>
      <c r="G274">
        <f>(preF_FD + E274 + F274 - preF_opts + 0 + 0 + F_primary/B274)/(1-B270)</f>
        <v/>
      </c>
      <c r="H274">
        <f>MAX(0, B270*G274 - preF_opts)</f>
        <v/>
      </c>
      <c r="I274">
        <f>preF_FD + E274 + F274 + H274</f>
        <v/>
      </c>
      <c r="J274">
        <f>NA_P/MIN(NA_cap/(I274+0), (1-NA_disc)*B274)</f>
        <v/>
      </c>
      <c r="K274">
        <f>NB_P/MIN(NB_cap/(I274+J274), (1-NB_disc)*B274)</f>
        <v/>
      </c>
      <c r="L274">
        <f>F_primary/B274</f>
        <v/>
      </c>
      <c r="M274">
        <f>I274+J274+K274</f>
        <v/>
      </c>
      <c r="N274">
        <f>D270/M274</f>
        <v/>
      </c>
      <c r="O274">
        <f>IF(0*L274 &gt; F_primary, 1, 0)</f>
        <v/>
      </c>
      <c r="P274">
        <f>IF(0*(E_sh + F274) &gt; E_inv, 1, 0)</f>
        <v/>
      </c>
      <c r="Q274">
        <f>IF(0*(D_sh + E274) &gt; D_inv, 1, 0)</f>
        <v/>
      </c>
      <c r="R274">
        <f>IF(0*C_sh &gt; C_inv, 1, 0)</f>
        <v/>
      </c>
      <c r="S274">
        <f>IF(0*B_sh &gt; B_inv, 1, 0)</f>
        <v/>
      </c>
      <c r="T274">
        <f>IF(0*A_sh &gt; A_inv, 1, 0)</f>
        <v/>
      </c>
      <c r="U274">
        <f>IF(0*seed_sh &gt; seed_inv, 1, 0)</f>
        <v/>
      </c>
      <c r="V274">
        <f>(1-O274)*F_primary+(1-P274)*E_inv+(1-Q274)*D_inv+(1-R274)*C_inv+(1-S274)*B_inv+(1-T274)*A_inv+(1-U274)*seed_inv</f>
        <v/>
      </c>
      <c r="W274">
        <f>MAX(0, sens_exit - V274)</f>
        <v/>
      </c>
      <c r="X274">
        <f>F1_sh+F2_sh+F3_sh+RSA_sh+J274+K274+O274*L274+P274*(E_sh + F274)+Q274*(D_sh + E274)+R274*C_sh+S274*B_sh+T274*A_sh+U274*seed_sh</f>
        <v/>
      </c>
      <c r="Y274">
        <f>(W274 + preF_opts_iss*opt_strike)/(X274 + preF_opts_iss)</f>
        <v/>
      </c>
    </row>
    <row r="275">
      <c r="B275">
        <f>N274</f>
        <v/>
      </c>
      <c r="C275">
        <f>OCP_D*(preF_FD + F_primary/OCP_D)/(preF_FD + F_primary/B275)</f>
        <v/>
      </c>
      <c r="D275">
        <f>OCP_E*(preF_FD + F_primary/OCP_E)/(preF_FD + F_primary/B275)</f>
        <v/>
      </c>
      <c r="E275">
        <f>D_sh*(OCP_D/C275 - 1)</f>
        <v/>
      </c>
      <c r="F275">
        <f>E_sh*(OCP_E/D275 - 1)</f>
        <v/>
      </c>
      <c r="G275">
        <f>(preF_FD + E275 + F275 - preF_opts + J274 + K274 + F_primary/B275)/(1-B270)</f>
        <v/>
      </c>
      <c r="H275">
        <f>MAX(0, B270*G275 - preF_opts)</f>
        <v/>
      </c>
      <c r="I275">
        <f>preF_FD + E275 + F275 + H275</f>
        <v/>
      </c>
      <c r="J275">
        <f>NA_P/MIN(NA_cap/(I275+K274), (1-NA_disc)*B275)</f>
        <v/>
      </c>
      <c r="K275">
        <f>NB_P/MIN(NB_cap/(I275+J275), (1-NB_disc)*B275)</f>
        <v/>
      </c>
      <c r="L275">
        <f>F_primary/B275</f>
        <v/>
      </c>
      <c r="M275">
        <f>I275+J275+K275</f>
        <v/>
      </c>
      <c r="N275">
        <f>D270/M275</f>
        <v/>
      </c>
      <c r="O275">
        <f>IF(Y274*L275 &gt; F_primary, 1, 0)</f>
        <v/>
      </c>
      <c r="P275">
        <f>IF(Y274*(E_sh + F275) &gt; E_inv, 1, 0)</f>
        <v/>
      </c>
      <c r="Q275">
        <f>IF(Y274*(D_sh + E275) &gt; D_inv, 1, 0)</f>
        <v/>
      </c>
      <c r="R275">
        <f>IF(Y274*C_sh &gt; C_inv, 1, 0)</f>
        <v/>
      </c>
      <c r="S275">
        <f>IF(Y274*B_sh &gt; B_inv, 1, 0)</f>
        <v/>
      </c>
      <c r="T275">
        <f>IF(Y274*A_sh &gt; A_inv, 1, 0)</f>
        <v/>
      </c>
      <c r="U275">
        <f>IF(Y274*seed_sh &gt; seed_inv, 1, 0)</f>
        <v/>
      </c>
      <c r="V275">
        <f>(1-O275)*F_primary+(1-P275)*E_inv+(1-Q275)*D_inv+(1-R275)*C_inv+(1-S275)*B_inv+(1-T275)*A_inv+(1-U275)*seed_inv</f>
        <v/>
      </c>
      <c r="W275">
        <f>MAX(0, sens_exit - V275)</f>
        <v/>
      </c>
      <c r="X275">
        <f>F1_sh+F2_sh+F3_sh+RSA_sh+J275+K275+O275*L275+P275*(E_sh + F275)+Q275*(D_sh + E275)+R275*C_sh+S275*B_sh+T275*A_sh+U275*seed_sh</f>
        <v/>
      </c>
      <c r="Y275">
        <f>(W275 + preF_opts_iss*opt_strike)/(X275 + preF_opts_iss)</f>
        <v/>
      </c>
    </row>
    <row r="276">
      <c r="B276">
        <f>N275</f>
        <v/>
      </c>
      <c r="C276">
        <f>OCP_D*(preF_FD + F_primary/OCP_D)/(preF_FD + F_primary/B276)</f>
        <v/>
      </c>
      <c r="D276">
        <f>OCP_E*(preF_FD + F_primary/OCP_E)/(preF_FD + F_primary/B276)</f>
        <v/>
      </c>
      <c r="E276">
        <f>D_sh*(OCP_D/C276 - 1)</f>
        <v/>
      </c>
      <c r="F276">
        <f>E_sh*(OCP_E/D276 - 1)</f>
        <v/>
      </c>
      <c r="G276">
        <f>(preF_FD + E276 + F276 - preF_opts + J275 + K275 + F_primary/B276)/(1-B270)</f>
        <v/>
      </c>
      <c r="H276">
        <f>MAX(0, B270*G276 - preF_opts)</f>
        <v/>
      </c>
      <c r="I276">
        <f>preF_FD + E276 + F276 + H276</f>
        <v/>
      </c>
      <c r="J276">
        <f>NA_P/MIN(NA_cap/(I276+K275), (1-NA_disc)*B276)</f>
        <v/>
      </c>
      <c r="K276">
        <f>NB_P/MIN(NB_cap/(I276+J276), (1-NB_disc)*B276)</f>
        <v/>
      </c>
      <c r="L276">
        <f>F_primary/B276</f>
        <v/>
      </c>
      <c r="M276">
        <f>I276+J276+K276</f>
        <v/>
      </c>
      <c r="N276">
        <f>D270/M276</f>
        <v/>
      </c>
      <c r="O276">
        <f>IF(Y275*L276 &gt; F_primary, 1, 0)</f>
        <v/>
      </c>
      <c r="P276">
        <f>IF(Y275*(E_sh + F276) &gt; E_inv, 1, 0)</f>
        <v/>
      </c>
      <c r="Q276">
        <f>IF(Y275*(D_sh + E276) &gt; D_inv, 1, 0)</f>
        <v/>
      </c>
      <c r="R276">
        <f>IF(Y275*C_sh &gt; C_inv, 1, 0)</f>
        <v/>
      </c>
      <c r="S276">
        <f>IF(Y275*B_sh &gt; B_inv, 1, 0)</f>
        <v/>
      </c>
      <c r="T276">
        <f>IF(Y275*A_sh &gt; A_inv, 1, 0)</f>
        <v/>
      </c>
      <c r="U276">
        <f>IF(Y275*seed_sh &gt; seed_inv, 1, 0)</f>
        <v/>
      </c>
      <c r="V276">
        <f>(1-O276)*F_primary+(1-P276)*E_inv+(1-Q276)*D_inv+(1-R276)*C_inv+(1-S276)*B_inv+(1-T276)*A_inv+(1-U276)*seed_inv</f>
        <v/>
      </c>
      <c r="W276">
        <f>MAX(0, sens_exit - V276)</f>
        <v/>
      </c>
      <c r="X276">
        <f>F1_sh+F2_sh+F3_sh+RSA_sh+J276+K276+O276*L276+P276*(E_sh + F276)+Q276*(D_sh + E276)+R276*C_sh+S276*B_sh+T276*A_sh+U276*seed_sh</f>
        <v/>
      </c>
      <c r="Y276">
        <f>(W276 + preF_opts_iss*opt_strike)/(X276 + preF_opts_iss)</f>
        <v/>
      </c>
    </row>
    <row r="277">
      <c r="B277">
        <f>N276</f>
        <v/>
      </c>
      <c r="C277">
        <f>OCP_D*(preF_FD + F_primary/OCP_D)/(preF_FD + F_primary/B277)</f>
        <v/>
      </c>
      <c r="D277">
        <f>OCP_E*(preF_FD + F_primary/OCP_E)/(preF_FD + F_primary/B277)</f>
        <v/>
      </c>
      <c r="E277">
        <f>D_sh*(OCP_D/C277 - 1)</f>
        <v/>
      </c>
      <c r="F277">
        <f>E_sh*(OCP_E/D277 - 1)</f>
        <v/>
      </c>
      <c r="G277">
        <f>(preF_FD + E277 + F277 - preF_opts + J276 + K276 + F_primary/B277)/(1-B270)</f>
        <v/>
      </c>
      <c r="H277">
        <f>MAX(0, B270*G277 - preF_opts)</f>
        <v/>
      </c>
      <c r="I277">
        <f>preF_FD + E277 + F277 + H277</f>
        <v/>
      </c>
      <c r="J277">
        <f>NA_P/MIN(NA_cap/(I277+K276), (1-NA_disc)*B277)</f>
        <v/>
      </c>
      <c r="K277">
        <f>NB_P/MIN(NB_cap/(I277+J277), (1-NB_disc)*B277)</f>
        <v/>
      </c>
      <c r="L277">
        <f>F_primary/B277</f>
        <v/>
      </c>
      <c r="M277">
        <f>I277+J277+K277</f>
        <v/>
      </c>
      <c r="N277">
        <f>D270/M277</f>
        <v/>
      </c>
      <c r="O277">
        <f>IF(Y276*L277 &gt; F_primary, 1, 0)</f>
        <v/>
      </c>
      <c r="P277">
        <f>IF(Y276*(E_sh + F277) &gt; E_inv, 1, 0)</f>
        <v/>
      </c>
      <c r="Q277">
        <f>IF(Y276*(D_sh + E277) &gt; D_inv, 1, 0)</f>
        <v/>
      </c>
      <c r="R277">
        <f>IF(Y276*C_sh &gt; C_inv, 1, 0)</f>
        <v/>
      </c>
      <c r="S277">
        <f>IF(Y276*B_sh &gt; B_inv, 1, 0)</f>
        <v/>
      </c>
      <c r="T277">
        <f>IF(Y276*A_sh &gt; A_inv, 1, 0)</f>
        <v/>
      </c>
      <c r="U277">
        <f>IF(Y276*seed_sh &gt; seed_inv, 1, 0)</f>
        <v/>
      </c>
      <c r="V277">
        <f>(1-O277)*F_primary+(1-P277)*E_inv+(1-Q277)*D_inv+(1-R277)*C_inv+(1-S277)*B_inv+(1-T277)*A_inv+(1-U277)*seed_inv</f>
        <v/>
      </c>
      <c r="W277">
        <f>MAX(0, sens_exit - V277)</f>
        <v/>
      </c>
      <c r="X277">
        <f>F1_sh+F2_sh+F3_sh+RSA_sh+J277+K277+O277*L277+P277*(E_sh + F277)+Q277*(D_sh + E277)+R277*C_sh+S277*B_sh+T277*A_sh+U277*seed_sh</f>
        <v/>
      </c>
      <c r="Y277">
        <f>(W277 + preF_opts_iss*opt_strike)/(X277 + preF_opts_iss)</f>
        <v/>
      </c>
    </row>
    <row r="278">
      <c r="B278">
        <f>N277</f>
        <v/>
      </c>
      <c r="C278">
        <f>OCP_D*(preF_FD + F_primary/OCP_D)/(preF_FD + F_primary/B278)</f>
        <v/>
      </c>
      <c r="D278">
        <f>OCP_E*(preF_FD + F_primary/OCP_E)/(preF_FD + F_primary/B278)</f>
        <v/>
      </c>
      <c r="E278">
        <f>D_sh*(OCP_D/C278 - 1)</f>
        <v/>
      </c>
      <c r="F278">
        <f>E_sh*(OCP_E/D278 - 1)</f>
        <v/>
      </c>
      <c r="G278">
        <f>(preF_FD + E278 + F278 - preF_opts + J277 + K277 + F_primary/B278)/(1-B270)</f>
        <v/>
      </c>
      <c r="H278">
        <f>MAX(0, B270*G278 - preF_opts)</f>
        <v/>
      </c>
      <c r="I278">
        <f>preF_FD + E278 + F278 + H278</f>
        <v/>
      </c>
      <c r="J278">
        <f>NA_P/MIN(NA_cap/(I278+K277), (1-NA_disc)*B278)</f>
        <v/>
      </c>
      <c r="K278">
        <f>NB_P/MIN(NB_cap/(I278+J278), (1-NB_disc)*B278)</f>
        <v/>
      </c>
      <c r="L278">
        <f>F_primary/B278</f>
        <v/>
      </c>
      <c r="M278">
        <f>I278+J278+K278</f>
        <v/>
      </c>
      <c r="N278">
        <f>D270/M278</f>
        <v/>
      </c>
      <c r="O278">
        <f>IF(Y277*L278 &gt; F_primary, 1, 0)</f>
        <v/>
      </c>
      <c r="P278">
        <f>IF(Y277*(E_sh + F278) &gt; E_inv, 1, 0)</f>
        <v/>
      </c>
      <c r="Q278">
        <f>IF(Y277*(D_sh + E278) &gt; D_inv, 1, 0)</f>
        <v/>
      </c>
      <c r="R278">
        <f>IF(Y277*C_sh &gt; C_inv, 1, 0)</f>
        <v/>
      </c>
      <c r="S278">
        <f>IF(Y277*B_sh &gt; B_inv, 1, 0)</f>
        <v/>
      </c>
      <c r="T278">
        <f>IF(Y277*A_sh &gt; A_inv, 1, 0)</f>
        <v/>
      </c>
      <c r="U278">
        <f>IF(Y277*seed_sh &gt; seed_inv, 1, 0)</f>
        <v/>
      </c>
      <c r="V278">
        <f>(1-O278)*F_primary+(1-P278)*E_inv+(1-Q278)*D_inv+(1-R278)*C_inv+(1-S278)*B_inv+(1-T278)*A_inv+(1-U278)*seed_inv</f>
        <v/>
      </c>
      <c r="W278">
        <f>MAX(0, sens_exit - V278)</f>
        <v/>
      </c>
      <c r="X278">
        <f>F1_sh+F2_sh+F3_sh+RSA_sh+J278+K278+O278*L278+P278*(E_sh + F278)+Q278*(D_sh + E278)+R278*C_sh+S278*B_sh+T278*A_sh+U278*seed_sh</f>
        <v/>
      </c>
      <c r="Y278">
        <f>(W278 + preF_opts_iss*opt_strike)/(X278 + preF_opts_iss)</f>
        <v/>
      </c>
    </row>
    <row r="279">
      <c r="B279">
        <f>N278</f>
        <v/>
      </c>
      <c r="C279">
        <f>OCP_D*(preF_FD + F_primary/OCP_D)/(preF_FD + F_primary/B279)</f>
        <v/>
      </c>
      <c r="D279">
        <f>OCP_E*(preF_FD + F_primary/OCP_E)/(preF_FD + F_primary/B279)</f>
        <v/>
      </c>
      <c r="E279">
        <f>D_sh*(OCP_D/C279 - 1)</f>
        <v/>
      </c>
      <c r="F279">
        <f>E_sh*(OCP_E/D279 - 1)</f>
        <v/>
      </c>
      <c r="G279">
        <f>(preF_FD + E279 + F279 - preF_opts + J278 + K278 + F_primary/B279)/(1-B270)</f>
        <v/>
      </c>
      <c r="H279">
        <f>MAX(0, B270*G279 - preF_opts)</f>
        <v/>
      </c>
      <c r="I279">
        <f>preF_FD + E279 + F279 + H279</f>
        <v/>
      </c>
      <c r="J279">
        <f>NA_P/MIN(NA_cap/(I279+K278), (1-NA_disc)*B279)</f>
        <v/>
      </c>
      <c r="K279">
        <f>NB_P/MIN(NB_cap/(I279+J279), (1-NB_disc)*B279)</f>
        <v/>
      </c>
      <c r="L279">
        <f>F_primary/B279</f>
        <v/>
      </c>
      <c r="M279">
        <f>I279+J279+K279</f>
        <v/>
      </c>
      <c r="N279">
        <f>D270/M279</f>
        <v/>
      </c>
      <c r="O279">
        <f>IF(Y278*L279 &gt; F_primary, 1, 0)</f>
        <v/>
      </c>
      <c r="P279">
        <f>IF(Y278*(E_sh + F279) &gt; E_inv, 1, 0)</f>
        <v/>
      </c>
      <c r="Q279">
        <f>IF(Y278*(D_sh + E279) &gt; D_inv, 1, 0)</f>
        <v/>
      </c>
      <c r="R279">
        <f>IF(Y278*C_sh &gt; C_inv, 1, 0)</f>
        <v/>
      </c>
      <c r="S279">
        <f>IF(Y278*B_sh &gt; B_inv, 1, 0)</f>
        <v/>
      </c>
      <c r="T279">
        <f>IF(Y278*A_sh &gt; A_inv, 1, 0)</f>
        <v/>
      </c>
      <c r="U279">
        <f>IF(Y278*seed_sh &gt; seed_inv, 1, 0)</f>
        <v/>
      </c>
      <c r="V279">
        <f>(1-O279)*F_primary+(1-P279)*E_inv+(1-Q279)*D_inv+(1-R279)*C_inv+(1-S279)*B_inv+(1-T279)*A_inv+(1-U279)*seed_inv</f>
        <v/>
      </c>
      <c r="W279">
        <f>MAX(0, sens_exit - V279)</f>
        <v/>
      </c>
      <c r="X279">
        <f>F1_sh+F2_sh+F3_sh+RSA_sh+J279+K279+O279*L279+P279*(E_sh + F279)+Q279*(D_sh + E279)+R279*C_sh+S279*B_sh+T279*A_sh+U279*seed_sh</f>
        <v/>
      </c>
      <c r="Y279">
        <f>(W279 + preF_opts_iss*opt_strike)/(X279 + preF_opts_iss)</f>
        <v/>
      </c>
    </row>
    <row r="280">
      <c r="B280">
        <f>N279</f>
        <v/>
      </c>
      <c r="C280">
        <f>OCP_D*(preF_FD + F_primary/OCP_D)/(preF_FD + F_primary/B280)</f>
        <v/>
      </c>
      <c r="D280">
        <f>OCP_E*(preF_FD + F_primary/OCP_E)/(preF_FD + F_primary/B280)</f>
        <v/>
      </c>
      <c r="E280">
        <f>D_sh*(OCP_D/C280 - 1)</f>
        <v/>
      </c>
      <c r="F280">
        <f>E_sh*(OCP_E/D280 - 1)</f>
        <v/>
      </c>
      <c r="G280">
        <f>(preF_FD + E280 + F280 - preF_opts + J279 + K279 + F_primary/B280)/(1-B270)</f>
        <v/>
      </c>
      <c r="H280">
        <f>MAX(0, B270*G280 - preF_opts)</f>
        <v/>
      </c>
      <c r="I280">
        <f>preF_FD + E280 + F280 + H280</f>
        <v/>
      </c>
      <c r="J280">
        <f>NA_P/MIN(NA_cap/(I280+K279), (1-NA_disc)*B280)</f>
        <v/>
      </c>
      <c r="K280">
        <f>NB_P/MIN(NB_cap/(I280+J280), (1-NB_disc)*B280)</f>
        <v/>
      </c>
      <c r="L280">
        <f>F_primary/B280</f>
        <v/>
      </c>
      <c r="M280">
        <f>I280+J280+K280</f>
        <v/>
      </c>
      <c r="N280">
        <f>D270/M280</f>
        <v/>
      </c>
      <c r="O280">
        <f>IF(Y279*L280 &gt; F_primary, 1, 0)</f>
        <v/>
      </c>
      <c r="P280">
        <f>IF(Y279*(E_sh + F280) &gt; E_inv, 1, 0)</f>
        <v/>
      </c>
      <c r="Q280">
        <f>IF(Y279*(D_sh + E280) &gt; D_inv, 1, 0)</f>
        <v/>
      </c>
      <c r="R280">
        <f>IF(Y279*C_sh &gt; C_inv, 1, 0)</f>
        <v/>
      </c>
      <c r="S280">
        <f>IF(Y279*B_sh &gt; B_inv, 1, 0)</f>
        <v/>
      </c>
      <c r="T280">
        <f>IF(Y279*A_sh &gt; A_inv, 1, 0)</f>
        <v/>
      </c>
      <c r="U280">
        <f>IF(Y279*seed_sh &gt; seed_inv, 1, 0)</f>
        <v/>
      </c>
      <c r="V280">
        <f>(1-O280)*F_primary+(1-P280)*E_inv+(1-Q280)*D_inv+(1-R280)*C_inv+(1-S280)*B_inv+(1-T280)*A_inv+(1-U280)*seed_inv</f>
        <v/>
      </c>
      <c r="W280">
        <f>MAX(0, sens_exit - V280)</f>
        <v/>
      </c>
      <c r="X280">
        <f>F1_sh+F2_sh+F3_sh+RSA_sh+J280+K280+O280*L280+P280*(E_sh + F280)+Q280*(D_sh + E280)+R280*C_sh+S280*B_sh+T280*A_sh+U280*seed_sh</f>
        <v/>
      </c>
      <c r="Y280">
        <f>(W280 + preF_opts_iss*opt_strike)/(X280 + preF_opts_iss)</f>
        <v/>
      </c>
    </row>
    <row r="281">
      <c r="B281">
        <f>N280</f>
        <v/>
      </c>
      <c r="C281">
        <f>OCP_D*(preF_FD + F_primary/OCP_D)/(preF_FD + F_primary/B281)</f>
        <v/>
      </c>
      <c r="D281">
        <f>OCP_E*(preF_FD + F_primary/OCP_E)/(preF_FD + F_primary/B281)</f>
        <v/>
      </c>
      <c r="E281">
        <f>D_sh*(OCP_D/C281 - 1)</f>
        <v/>
      </c>
      <c r="F281">
        <f>E_sh*(OCP_E/D281 - 1)</f>
        <v/>
      </c>
      <c r="G281">
        <f>(preF_FD + E281 + F281 - preF_opts + J280 + K280 + F_primary/B281)/(1-B270)</f>
        <v/>
      </c>
      <c r="H281">
        <f>MAX(0, B270*G281 - preF_opts)</f>
        <v/>
      </c>
      <c r="I281">
        <f>preF_FD + E281 + F281 + H281</f>
        <v/>
      </c>
      <c r="J281">
        <f>NA_P/MIN(NA_cap/(I281+K280), (1-NA_disc)*B281)</f>
        <v/>
      </c>
      <c r="K281">
        <f>NB_P/MIN(NB_cap/(I281+J281), (1-NB_disc)*B281)</f>
        <v/>
      </c>
      <c r="L281">
        <f>F_primary/B281</f>
        <v/>
      </c>
      <c r="M281">
        <f>I281+J281+K281</f>
        <v/>
      </c>
      <c r="N281">
        <f>D270/M281</f>
        <v/>
      </c>
      <c r="O281">
        <f>IF(Y280*L281 &gt; F_primary, 1, 0)</f>
        <v/>
      </c>
      <c r="P281">
        <f>IF(Y280*(E_sh + F281) &gt; E_inv, 1, 0)</f>
        <v/>
      </c>
      <c r="Q281">
        <f>IF(Y280*(D_sh + E281) &gt; D_inv, 1, 0)</f>
        <v/>
      </c>
      <c r="R281">
        <f>IF(Y280*C_sh &gt; C_inv, 1, 0)</f>
        <v/>
      </c>
      <c r="S281">
        <f>IF(Y280*B_sh &gt; B_inv, 1, 0)</f>
        <v/>
      </c>
      <c r="T281">
        <f>IF(Y280*A_sh &gt; A_inv, 1, 0)</f>
        <v/>
      </c>
      <c r="U281">
        <f>IF(Y280*seed_sh &gt; seed_inv, 1, 0)</f>
        <v/>
      </c>
      <c r="V281">
        <f>(1-O281)*F_primary+(1-P281)*E_inv+(1-Q281)*D_inv+(1-R281)*C_inv+(1-S281)*B_inv+(1-T281)*A_inv+(1-U281)*seed_inv</f>
        <v/>
      </c>
      <c r="W281">
        <f>MAX(0, sens_exit - V281)</f>
        <v/>
      </c>
      <c r="X281">
        <f>F1_sh+F2_sh+F3_sh+RSA_sh+J281+K281+O281*L281+P281*(E_sh + F281)+Q281*(D_sh + E281)+R281*C_sh+S281*B_sh+T281*A_sh+U281*seed_sh</f>
        <v/>
      </c>
      <c r="Y281">
        <f>(W281 + preF_opts_iss*opt_strike)/(X281 + preF_opts_iss)</f>
        <v/>
      </c>
    </row>
    <row r="282">
      <c r="B282">
        <f>N281</f>
        <v/>
      </c>
      <c r="C282">
        <f>OCP_D*(preF_FD + F_primary/OCP_D)/(preF_FD + F_primary/B282)</f>
        <v/>
      </c>
      <c r="D282">
        <f>OCP_E*(preF_FD + F_primary/OCP_E)/(preF_FD + F_primary/B282)</f>
        <v/>
      </c>
      <c r="E282">
        <f>D_sh*(OCP_D/C282 - 1)</f>
        <v/>
      </c>
      <c r="F282">
        <f>E_sh*(OCP_E/D282 - 1)</f>
        <v/>
      </c>
      <c r="G282">
        <f>(preF_FD + E282 + F282 - preF_opts + J281 + K281 + F_primary/B282)/(1-B270)</f>
        <v/>
      </c>
      <c r="H282">
        <f>MAX(0, B270*G282 - preF_opts)</f>
        <v/>
      </c>
      <c r="I282">
        <f>preF_FD + E282 + F282 + H282</f>
        <v/>
      </c>
      <c r="J282">
        <f>NA_P/MIN(NA_cap/(I282+K281), (1-NA_disc)*B282)</f>
        <v/>
      </c>
      <c r="K282">
        <f>NB_P/MIN(NB_cap/(I282+J282), (1-NB_disc)*B282)</f>
        <v/>
      </c>
      <c r="L282">
        <f>F_primary/B282</f>
        <v/>
      </c>
      <c r="M282">
        <f>I282+J282+K282</f>
        <v/>
      </c>
      <c r="N282">
        <f>D270/M282</f>
        <v/>
      </c>
      <c r="O282">
        <f>IF(Y281*L282 &gt; F_primary, 1, 0)</f>
        <v/>
      </c>
      <c r="P282">
        <f>IF(Y281*(E_sh + F282) &gt; E_inv, 1, 0)</f>
        <v/>
      </c>
      <c r="Q282">
        <f>IF(Y281*(D_sh + E282) &gt; D_inv, 1, 0)</f>
        <v/>
      </c>
      <c r="R282">
        <f>IF(Y281*C_sh &gt; C_inv, 1, 0)</f>
        <v/>
      </c>
      <c r="S282">
        <f>IF(Y281*B_sh &gt; B_inv, 1, 0)</f>
        <v/>
      </c>
      <c r="T282">
        <f>IF(Y281*A_sh &gt; A_inv, 1, 0)</f>
        <v/>
      </c>
      <c r="U282">
        <f>IF(Y281*seed_sh &gt; seed_inv, 1, 0)</f>
        <v/>
      </c>
      <c r="V282">
        <f>(1-O282)*F_primary+(1-P282)*E_inv+(1-Q282)*D_inv+(1-R282)*C_inv+(1-S282)*B_inv+(1-T282)*A_inv+(1-U282)*seed_inv</f>
        <v/>
      </c>
      <c r="W282">
        <f>MAX(0, sens_exit - V282)</f>
        <v/>
      </c>
      <c r="X282">
        <f>F1_sh+F2_sh+F3_sh+RSA_sh+J282+K282+O282*L282+P282*(E_sh + F282)+Q282*(D_sh + E282)+R282*C_sh+S282*B_sh+T282*A_sh+U282*seed_sh</f>
        <v/>
      </c>
      <c r="Y282">
        <f>(W282 + preF_opts_iss*opt_strike)/(X282 + preF_opts_iss)</f>
        <v/>
      </c>
    </row>
    <row r="283">
      <c r="B283">
        <f>N282</f>
        <v/>
      </c>
      <c r="C283">
        <f>OCP_D*(preF_FD + F_primary/OCP_D)/(preF_FD + F_primary/B283)</f>
        <v/>
      </c>
      <c r="D283">
        <f>OCP_E*(preF_FD + F_primary/OCP_E)/(preF_FD + F_primary/B283)</f>
        <v/>
      </c>
      <c r="E283">
        <f>D_sh*(OCP_D/C283 - 1)</f>
        <v/>
      </c>
      <c r="F283">
        <f>E_sh*(OCP_E/D283 - 1)</f>
        <v/>
      </c>
      <c r="G283">
        <f>(preF_FD + E283 + F283 - preF_opts + J282 + K282 + F_primary/B283)/(1-B270)</f>
        <v/>
      </c>
      <c r="H283">
        <f>MAX(0, B270*G283 - preF_opts)</f>
        <v/>
      </c>
      <c r="I283">
        <f>preF_FD + E283 + F283 + H283</f>
        <v/>
      </c>
      <c r="J283">
        <f>NA_P/MIN(NA_cap/(I283+K282), (1-NA_disc)*B283)</f>
        <v/>
      </c>
      <c r="K283">
        <f>NB_P/MIN(NB_cap/(I283+J283), (1-NB_disc)*B283)</f>
        <v/>
      </c>
      <c r="L283">
        <f>F_primary/B283</f>
        <v/>
      </c>
      <c r="M283">
        <f>I283+J283+K283</f>
        <v/>
      </c>
      <c r="N283">
        <f>D270/M283</f>
        <v/>
      </c>
      <c r="O283">
        <f>IF(Y282*L283 &gt; F_primary, 1, 0)</f>
        <v/>
      </c>
      <c r="P283">
        <f>IF(Y282*(E_sh + F283) &gt; E_inv, 1, 0)</f>
        <v/>
      </c>
      <c r="Q283">
        <f>IF(Y282*(D_sh + E283) &gt; D_inv, 1, 0)</f>
        <v/>
      </c>
      <c r="R283">
        <f>IF(Y282*C_sh &gt; C_inv, 1, 0)</f>
        <v/>
      </c>
      <c r="S283">
        <f>IF(Y282*B_sh &gt; B_inv, 1, 0)</f>
        <v/>
      </c>
      <c r="T283">
        <f>IF(Y282*A_sh &gt; A_inv, 1, 0)</f>
        <v/>
      </c>
      <c r="U283">
        <f>IF(Y282*seed_sh &gt; seed_inv, 1, 0)</f>
        <v/>
      </c>
      <c r="V283">
        <f>(1-O283)*F_primary+(1-P283)*E_inv+(1-Q283)*D_inv+(1-R283)*C_inv+(1-S283)*B_inv+(1-T283)*A_inv+(1-U283)*seed_inv</f>
        <v/>
      </c>
      <c r="W283">
        <f>MAX(0, sens_exit - V283)</f>
        <v/>
      </c>
      <c r="X283">
        <f>F1_sh+F2_sh+F3_sh+RSA_sh+J283+K283+O283*L283+P283*(E_sh + F283)+Q283*(D_sh + E283)+R283*C_sh+S283*B_sh+T283*A_sh+U283*seed_sh</f>
        <v/>
      </c>
      <c r="Y283">
        <f>(W283 + preF_opts_iss*opt_strike)/(X283 + preF_opts_iss)</f>
        <v/>
      </c>
    </row>
    <row r="284">
      <c r="B284">
        <f>N283</f>
        <v/>
      </c>
      <c r="C284">
        <f>OCP_D*(preF_FD + F_primary/OCP_D)/(preF_FD + F_primary/B284)</f>
        <v/>
      </c>
      <c r="D284">
        <f>OCP_E*(preF_FD + F_primary/OCP_E)/(preF_FD + F_primary/B284)</f>
        <v/>
      </c>
      <c r="E284">
        <f>D_sh*(OCP_D/C284 - 1)</f>
        <v/>
      </c>
      <c r="F284">
        <f>E_sh*(OCP_E/D284 - 1)</f>
        <v/>
      </c>
      <c r="G284">
        <f>(preF_FD + E284 + F284 - preF_opts + J283 + K283 + F_primary/B284)/(1-B270)</f>
        <v/>
      </c>
      <c r="H284">
        <f>MAX(0, B270*G284 - preF_opts)</f>
        <v/>
      </c>
      <c r="I284">
        <f>preF_FD + E284 + F284 + H284</f>
        <v/>
      </c>
      <c r="J284">
        <f>NA_P/MIN(NA_cap/(I284+K283), (1-NA_disc)*B284)</f>
        <v/>
      </c>
      <c r="K284">
        <f>NB_P/MIN(NB_cap/(I284+J284), (1-NB_disc)*B284)</f>
        <v/>
      </c>
      <c r="L284">
        <f>F_primary/B284</f>
        <v/>
      </c>
      <c r="M284">
        <f>I284+J284+K284</f>
        <v/>
      </c>
      <c r="N284">
        <f>D270/M284</f>
        <v/>
      </c>
      <c r="O284">
        <f>IF(Y283*L284 &gt; F_primary, 1, 0)</f>
        <v/>
      </c>
      <c r="P284">
        <f>IF(Y283*(E_sh + F284) &gt; E_inv, 1, 0)</f>
        <v/>
      </c>
      <c r="Q284">
        <f>IF(Y283*(D_sh + E284) &gt; D_inv, 1, 0)</f>
        <v/>
      </c>
      <c r="R284">
        <f>IF(Y283*C_sh &gt; C_inv, 1, 0)</f>
        <v/>
      </c>
      <c r="S284">
        <f>IF(Y283*B_sh &gt; B_inv, 1, 0)</f>
        <v/>
      </c>
      <c r="T284">
        <f>IF(Y283*A_sh &gt; A_inv, 1, 0)</f>
        <v/>
      </c>
      <c r="U284">
        <f>IF(Y283*seed_sh &gt; seed_inv, 1, 0)</f>
        <v/>
      </c>
      <c r="V284">
        <f>(1-O284)*F_primary+(1-P284)*E_inv+(1-Q284)*D_inv+(1-R284)*C_inv+(1-S284)*B_inv+(1-T284)*A_inv+(1-U284)*seed_inv</f>
        <v/>
      </c>
      <c r="W284">
        <f>MAX(0, sens_exit - V284)</f>
        <v/>
      </c>
      <c r="X284">
        <f>F1_sh+F2_sh+F3_sh+RSA_sh+J284+K284+O284*L284+P284*(E_sh + F284)+Q284*(D_sh + E284)+R284*C_sh+S284*B_sh+T284*A_sh+U284*seed_sh</f>
        <v/>
      </c>
      <c r="Y284">
        <f>(W284 + preF_opts_iss*opt_strike)/(X284 + preF_opts_iss)</f>
        <v/>
      </c>
    </row>
    <row r="285">
      <c r="B285">
        <f>N284</f>
        <v/>
      </c>
      <c r="C285">
        <f>OCP_D*(preF_FD + F_primary/OCP_D)/(preF_FD + F_primary/B285)</f>
        <v/>
      </c>
      <c r="D285">
        <f>OCP_E*(preF_FD + F_primary/OCP_E)/(preF_FD + F_primary/B285)</f>
        <v/>
      </c>
      <c r="E285">
        <f>D_sh*(OCP_D/C285 - 1)</f>
        <v/>
      </c>
      <c r="F285">
        <f>E_sh*(OCP_E/D285 - 1)</f>
        <v/>
      </c>
      <c r="G285">
        <f>(preF_FD + E285 + F285 - preF_opts + J284 + K284 + F_primary/B285)/(1-B270)</f>
        <v/>
      </c>
      <c r="H285">
        <f>MAX(0, B270*G285 - preF_opts)</f>
        <v/>
      </c>
      <c r="I285">
        <f>preF_FD + E285 + F285 + H285</f>
        <v/>
      </c>
      <c r="J285">
        <f>NA_P/MIN(NA_cap/(I285+K284), (1-NA_disc)*B285)</f>
        <v/>
      </c>
      <c r="K285">
        <f>NB_P/MIN(NB_cap/(I285+J285), (1-NB_disc)*B285)</f>
        <v/>
      </c>
      <c r="L285">
        <f>F_primary/B285</f>
        <v/>
      </c>
      <c r="M285">
        <f>I285+J285+K285</f>
        <v/>
      </c>
      <c r="N285">
        <f>D270/M285</f>
        <v/>
      </c>
      <c r="O285">
        <f>IF(Y284*L285 &gt; F_primary, 1, 0)</f>
        <v/>
      </c>
      <c r="P285">
        <f>IF(Y284*(E_sh + F285) &gt; E_inv, 1, 0)</f>
        <v/>
      </c>
      <c r="Q285">
        <f>IF(Y284*(D_sh + E285) &gt; D_inv, 1, 0)</f>
        <v/>
      </c>
      <c r="R285">
        <f>IF(Y284*C_sh &gt; C_inv, 1, 0)</f>
        <v/>
      </c>
      <c r="S285">
        <f>IF(Y284*B_sh &gt; B_inv, 1, 0)</f>
        <v/>
      </c>
      <c r="T285">
        <f>IF(Y284*A_sh &gt; A_inv, 1, 0)</f>
        <v/>
      </c>
      <c r="U285">
        <f>IF(Y284*seed_sh &gt; seed_inv, 1, 0)</f>
        <v/>
      </c>
      <c r="V285">
        <f>(1-O285)*F_primary+(1-P285)*E_inv+(1-Q285)*D_inv+(1-R285)*C_inv+(1-S285)*B_inv+(1-T285)*A_inv+(1-U285)*seed_inv</f>
        <v/>
      </c>
      <c r="W285">
        <f>MAX(0, sens_exit - V285)</f>
        <v/>
      </c>
      <c r="X285">
        <f>F1_sh+F2_sh+F3_sh+RSA_sh+J285+K285+O285*L285+P285*(E_sh + F285)+Q285*(D_sh + E285)+R285*C_sh+S285*B_sh+T285*A_sh+U285*seed_sh</f>
        <v/>
      </c>
      <c r="Y285">
        <f>(W285 + preF_opts_iss*opt_strike)/(X285 + preF_opts_iss)</f>
        <v/>
      </c>
    </row>
    <row r="286">
      <c r="B286">
        <f>N285</f>
        <v/>
      </c>
      <c r="C286">
        <f>OCP_D*(preF_FD + F_primary/OCP_D)/(preF_FD + F_primary/B286)</f>
        <v/>
      </c>
      <c r="D286">
        <f>OCP_E*(preF_FD + F_primary/OCP_E)/(preF_FD + F_primary/B286)</f>
        <v/>
      </c>
      <c r="E286">
        <f>D_sh*(OCP_D/C286 - 1)</f>
        <v/>
      </c>
      <c r="F286">
        <f>E_sh*(OCP_E/D286 - 1)</f>
        <v/>
      </c>
      <c r="G286">
        <f>(preF_FD + E286 + F286 - preF_opts + J285 + K285 + F_primary/B286)/(1-B270)</f>
        <v/>
      </c>
      <c r="H286">
        <f>MAX(0, B270*G286 - preF_opts)</f>
        <v/>
      </c>
      <c r="I286">
        <f>preF_FD + E286 + F286 + H286</f>
        <v/>
      </c>
      <c r="J286">
        <f>NA_P/MIN(NA_cap/(I286+K285), (1-NA_disc)*B286)</f>
        <v/>
      </c>
      <c r="K286">
        <f>NB_P/MIN(NB_cap/(I286+J286), (1-NB_disc)*B286)</f>
        <v/>
      </c>
      <c r="L286">
        <f>F_primary/B286</f>
        <v/>
      </c>
      <c r="M286">
        <f>I286+J286+K286</f>
        <v/>
      </c>
      <c r="N286">
        <f>D270/M286</f>
        <v/>
      </c>
      <c r="O286">
        <f>IF(Y285*L286 &gt; F_primary, 1, 0)</f>
        <v/>
      </c>
      <c r="P286">
        <f>IF(Y285*(E_sh + F286) &gt; E_inv, 1, 0)</f>
        <v/>
      </c>
      <c r="Q286">
        <f>IF(Y285*(D_sh + E286) &gt; D_inv, 1, 0)</f>
        <v/>
      </c>
      <c r="R286">
        <f>IF(Y285*C_sh &gt; C_inv, 1, 0)</f>
        <v/>
      </c>
      <c r="S286">
        <f>IF(Y285*B_sh &gt; B_inv, 1, 0)</f>
        <v/>
      </c>
      <c r="T286">
        <f>IF(Y285*A_sh &gt; A_inv, 1, 0)</f>
        <v/>
      </c>
      <c r="U286">
        <f>IF(Y285*seed_sh &gt; seed_inv, 1, 0)</f>
        <v/>
      </c>
      <c r="V286">
        <f>(1-O286)*F_primary+(1-P286)*E_inv+(1-Q286)*D_inv+(1-R286)*C_inv+(1-S286)*B_inv+(1-T286)*A_inv+(1-U286)*seed_inv</f>
        <v/>
      </c>
      <c r="W286">
        <f>MAX(0, sens_exit - V286)</f>
        <v/>
      </c>
      <c r="X286">
        <f>F1_sh+F2_sh+F3_sh+RSA_sh+J286+K286+O286*L286+P286*(E_sh + F286)+Q286*(D_sh + E286)+R286*C_sh+S286*B_sh+T286*A_sh+U286*seed_sh</f>
        <v/>
      </c>
      <c r="Y286">
        <f>(W286 + preF_opts_iss*opt_strike)/(X286 + preF_opts_iss)</f>
        <v/>
      </c>
    </row>
    <row r="287">
      <c r="B287">
        <f>N286</f>
        <v/>
      </c>
      <c r="C287">
        <f>OCP_D*(preF_FD + F_primary/OCP_D)/(preF_FD + F_primary/B287)</f>
        <v/>
      </c>
      <c r="D287">
        <f>OCP_E*(preF_FD + F_primary/OCP_E)/(preF_FD + F_primary/B287)</f>
        <v/>
      </c>
      <c r="E287">
        <f>D_sh*(OCP_D/C287 - 1)</f>
        <v/>
      </c>
      <c r="F287">
        <f>E_sh*(OCP_E/D287 - 1)</f>
        <v/>
      </c>
      <c r="G287">
        <f>(preF_FD + E287 + F287 - preF_opts + J286 + K286 + F_primary/B287)/(1-B270)</f>
        <v/>
      </c>
      <c r="H287">
        <f>MAX(0, B270*G287 - preF_opts)</f>
        <v/>
      </c>
      <c r="I287">
        <f>preF_FD + E287 + F287 + H287</f>
        <v/>
      </c>
      <c r="J287">
        <f>NA_P/MIN(NA_cap/(I287+K286), (1-NA_disc)*B287)</f>
        <v/>
      </c>
      <c r="K287">
        <f>NB_P/MIN(NB_cap/(I287+J287), (1-NB_disc)*B287)</f>
        <v/>
      </c>
      <c r="L287">
        <f>F_primary/B287</f>
        <v/>
      </c>
      <c r="M287">
        <f>I287+J287+K287</f>
        <v/>
      </c>
      <c r="N287">
        <f>D270/M287</f>
        <v/>
      </c>
      <c r="O287">
        <f>IF(Y286*L287 &gt; F_primary, 1, 0)</f>
        <v/>
      </c>
      <c r="P287">
        <f>IF(Y286*(E_sh + F287) &gt; E_inv, 1, 0)</f>
        <v/>
      </c>
      <c r="Q287">
        <f>IF(Y286*(D_sh + E287) &gt; D_inv, 1, 0)</f>
        <v/>
      </c>
      <c r="R287">
        <f>IF(Y286*C_sh &gt; C_inv, 1, 0)</f>
        <v/>
      </c>
      <c r="S287">
        <f>IF(Y286*B_sh &gt; B_inv, 1, 0)</f>
        <v/>
      </c>
      <c r="T287">
        <f>IF(Y286*A_sh &gt; A_inv, 1, 0)</f>
        <v/>
      </c>
      <c r="U287">
        <f>IF(Y286*seed_sh &gt; seed_inv, 1, 0)</f>
        <v/>
      </c>
      <c r="V287">
        <f>(1-O287)*F_primary+(1-P287)*E_inv+(1-Q287)*D_inv+(1-R287)*C_inv+(1-S287)*B_inv+(1-T287)*A_inv+(1-U287)*seed_inv</f>
        <v/>
      </c>
      <c r="W287">
        <f>MAX(0, sens_exit - V287)</f>
        <v/>
      </c>
      <c r="X287">
        <f>F1_sh+F2_sh+F3_sh+RSA_sh+J287+K287+O287*L287+P287*(E_sh + F287)+Q287*(D_sh + E287)+R287*C_sh+S287*B_sh+T287*A_sh+U287*seed_sh</f>
        <v/>
      </c>
      <c r="Y287">
        <f>(W287 + preF_opts_iss*opt_strike)/(X287 + preF_opts_iss)</f>
        <v/>
      </c>
    </row>
    <row r="288">
      <c r="B288">
        <f>N287</f>
        <v/>
      </c>
      <c r="C288">
        <f>OCP_D*(preF_FD + F_primary/OCP_D)/(preF_FD + F_primary/B288)</f>
        <v/>
      </c>
      <c r="D288">
        <f>OCP_E*(preF_FD + F_primary/OCP_E)/(preF_FD + F_primary/B288)</f>
        <v/>
      </c>
      <c r="E288">
        <f>D_sh*(OCP_D/C288 - 1)</f>
        <v/>
      </c>
      <c r="F288">
        <f>E_sh*(OCP_E/D288 - 1)</f>
        <v/>
      </c>
      <c r="G288">
        <f>(preF_FD + E288 + F288 - preF_opts + J287 + K287 + F_primary/B288)/(1-B270)</f>
        <v/>
      </c>
      <c r="H288">
        <f>MAX(0, B270*G288 - preF_opts)</f>
        <v/>
      </c>
      <c r="I288">
        <f>preF_FD + E288 + F288 + H288</f>
        <v/>
      </c>
      <c r="J288">
        <f>NA_P/MIN(NA_cap/(I288+K287), (1-NA_disc)*B288)</f>
        <v/>
      </c>
      <c r="K288">
        <f>NB_P/MIN(NB_cap/(I288+J288), (1-NB_disc)*B288)</f>
        <v/>
      </c>
      <c r="L288">
        <f>F_primary/B288</f>
        <v/>
      </c>
      <c r="M288">
        <f>I288+J288+K288</f>
        <v/>
      </c>
      <c r="N288">
        <f>D270/M288</f>
        <v/>
      </c>
      <c r="O288">
        <f>IF(Y287*L288 &gt; F_primary, 1, 0)</f>
        <v/>
      </c>
      <c r="P288">
        <f>IF(Y287*(E_sh + F288) &gt; E_inv, 1, 0)</f>
        <v/>
      </c>
      <c r="Q288">
        <f>IF(Y287*(D_sh + E288) &gt; D_inv, 1, 0)</f>
        <v/>
      </c>
      <c r="R288">
        <f>IF(Y287*C_sh &gt; C_inv, 1, 0)</f>
        <v/>
      </c>
      <c r="S288">
        <f>IF(Y287*B_sh &gt; B_inv, 1, 0)</f>
        <v/>
      </c>
      <c r="T288">
        <f>IF(Y287*A_sh &gt; A_inv, 1, 0)</f>
        <v/>
      </c>
      <c r="U288">
        <f>IF(Y287*seed_sh &gt; seed_inv, 1, 0)</f>
        <v/>
      </c>
      <c r="V288">
        <f>(1-O288)*F_primary+(1-P288)*E_inv+(1-Q288)*D_inv+(1-R288)*C_inv+(1-S288)*B_inv+(1-T288)*A_inv+(1-U288)*seed_inv</f>
        <v/>
      </c>
      <c r="W288">
        <f>MAX(0, sens_exit - V288)</f>
        <v/>
      </c>
      <c r="X288">
        <f>F1_sh+F2_sh+F3_sh+RSA_sh+J288+K288+O288*L288+P288*(E_sh + F288)+Q288*(D_sh + E288)+R288*C_sh+S288*B_sh+T288*A_sh+U288*seed_sh</f>
        <v/>
      </c>
      <c r="Y288">
        <f>(W288 + preF_opts_iss*opt_strike)/(X288 + preF_opts_iss)</f>
        <v/>
      </c>
    </row>
    <row r="289">
      <c r="B289">
        <f>N288</f>
        <v/>
      </c>
      <c r="C289">
        <f>OCP_D*(preF_FD + F_primary/OCP_D)/(preF_FD + F_primary/B289)</f>
        <v/>
      </c>
      <c r="D289">
        <f>OCP_E*(preF_FD + F_primary/OCP_E)/(preF_FD + F_primary/B289)</f>
        <v/>
      </c>
      <c r="E289">
        <f>D_sh*(OCP_D/C289 - 1)</f>
        <v/>
      </c>
      <c r="F289">
        <f>E_sh*(OCP_E/D289 - 1)</f>
        <v/>
      </c>
      <c r="G289">
        <f>(preF_FD + E289 + F289 - preF_opts + J288 + K288 + F_primary/B289)/(1-B270)</f>
        <v/>
      </c>
      <c r="H289">
        <f>MAX(0, B270*G289 - preF_opts)</f>
        <v/>
      </c>
      <c r="I289">
        <f>preF_FD + E289 + F289 + H289</f>
        <v/>
      </c>
      <c r="J289">
        <f>NA_P/MIN(NA_cap/(I289+K288), (1-NA_disc)*B289)</f>
        <v/>
      </c>
      <c r="K289">
        <f>NB_P/MIN(NB_cap/(I289+J289), (1-NB_disc)*B289)</f>
        <v/>
      </c>
      <c r="L289">
        <f>F_primary/B289</f>
        <v/>
      </c>
      <c r="M289">
        <f>I289+J289+K289</f>
        <v/>
      </c>
      <c r="N289">
        <f>D270/M289</f>
        <v/>
      </c>
      <c r="O289">
        <f>IF(Y288*L289 &gt; F_primary, 1, 0)</f>
        <v/>
      </c>
      <c r="P289">
        <f>IF(Y288*(E_sh + F289) &gt; E_inv, 1, 0)</f>
        <v/>
      </c>
      <c r="Q289">
        <f>IF(Y288*(D_sh + E289) &gt; D_inv, 1, 0)</f>
        <v/>
      </c>
      <c r="R289">
        <f>IF(Y288*C_sh &gt; C_inv, 1, 0)</f>
        <v/>
      </c>
      <c r="S289">
        <f>IF(Y288*B_sh &gt; B_inv, 1, 0)</f>
        <v/>
      </c>
      <c r="T289">
        <f>IF(Y288*A_sh &gt; A_inv, 1, 0)</f>
        <v/>
      </c>
      <c r="U289">
        <f>IF(Y288*seed_sh &gt; seed_inv, 1, 0)</f>
        <v/>
      </c>
      <c r="V289">
        <f>(1-O289)*F_primary+(1-P289)*E_inv+(1-Q289)*D_inv+(1-R289)*C_inv+(1-S289)*B_inv+(1-T289)*A_inv+(1-U289)*seed_inv</f>
        <v/>
      </c>
      <c r="W289">
        <f>MAX(0, sens_exit - V289)</f>
        <v/>
      </c>
      <c r="X289">
        <f>F1_sh+F2_sh+F3_sh+RSA_sh+J289+K289+O289*L289+P289*(E_sh + F289)+Q289*(D_sh + E289)+R289*C_sh+S289*B_sh+T289*A_sh+U289*seed_sh</f>
        <v/>
      </c>
      <c r="Y289">
        <f>(W289 + preF_opts_iss*opt_strike)/(X289 + preF_opts_iss)</f>
        <v/>
      </c>
    </row>
    <row r="290">
      <c r="B290">
        <f>N289</f>
        <v/>
      </c>
      <c r="C290">
        <f>OCP_D*(preF_FD + F_primary/OCP_D)/(preF_FD + F_primary/B290)</f>
        <v/>
      </c>
      <c r="D290">
        <f>OCP_E*(preF_FD + F_primary/OCP_E)/(preF_FD + F_primary/B290)</f>
        <v/>
      </c>
      <c r="E290">
        <f>D_sh*(OCP_D/C290 - 1)</f>
        <v/>
      </c>
      <c r="F290">
        <f>E_sh*(OCP_E/D290 - 1)</f>
        <v/>
      </c>
      <c r="G290">
        <f>(preF_FD + E290 + F290 - preF_opts + J289 + K289 + F_primary/B290)/(1-B270)</f>
        <v/>
      </c>
      <c r="H290">
        <f>MAX(0, B270*G290 - preF_opts)</f>
        <v/>
      </c>
      <c r="I290">
        <f>preF_FD + E290 + F290 + H290</f>
        <v/>
      </c>
      <c r="J290">
        <f>NA_P/MIN(NA_cap/(I290+K289), (1-NA_disc)*B290)</f>
        <v/>
      </c>
      <c r="K290">
        <f>NB_P/MIN(NB_cap/(I290+J290), (1-NB_disc)*B290)</f>
        <v/>
      </c>
      <c r="L290">
        <f>F_primary/B290</f>
        <v/>
      </c>
      <c r="M290">
        <f>I290+J290+K290</f>
        <v/>
      </c>
      <c r="N290">
        <f>D270/M290</f>
        <v/>
      </c>
      <c r="O290">
        <f>IF(Y289*L290 &gt; F_primary, 1, 0)</f>
        <v/>
      </c>
      <c r="P290">
        <f>IF(Y289*(E_sh + F290) &gt; E_inv, 1, 0)</f>
        <v/>
      </c>
      <c r="Q290">
        <f>IF(Y289*(D_sh + E290) &gt; D_inv, 1, 0)</f>
        <v/>
      </c>
      <c r="R290">
        <f>IF(Y289*C_sh &gt; C_inv, 1, 0)</f>
        <v/>
      </c>
      <c r="S290">
        <f>IF(Y289*B_sh &gt; B_inv, 1, 0)</f>
        <v/>
      </c>
      <c r="T290">
        <f>IF(Y289*A_sh &gt; A_inv, 1, 0)</f>
        <v/>
      </c>
      <c r="U290">
        <f>IF(Y289*seed_sh &gt; seed_inv, 1, 0)</f>
        <v/>
      </c>
      <c r="V290">
        <f>(1-O290)*F_primary+(1-P290)*E_inv+(1-Q290)*D_inv+(1-R290)*C_inv+(1-S290)*B_inv+(1-T290)*A_inv+(1-U290)*seed_inv</f>
        <v/>
      </c>
      <c r="W290">
        <f>MAX(0, sens_exit - V290)</f>
        <v/>
      </c>
      <c r="X290">
        <f>F1_sh+F2_sh+F3_sh+RSA_sh+J290+K290+O290*L290+P290*(E_sh + F290)+Q290*(D_sh + E290)+R290*C_sh+S290*B_sh+T290*A_sh+U290*seed_sh</f>
        <v/>
      </c>
      <c r="Y290">
        <f>(W290 + preF_opts_iss*opt_strike)/(X290 + preF_opts_iss)</f>
        <v/>
      </c>
    </row>
    <row r="291">
      <c r="B291">
        <f>N290</f>
        <v/>
      </c>
      <c r="C291">
        <f>OCP_D*(preF_FD + F_primary/OCP_D)/(preF_FD + F_primary/B291)</f>
        <v/>
      </c>
      <c r="D291">
        <f>OCP_E*(preF_FD + F_primary/OCP_E)/(preF_FD + F_primary/B291)</f>
        <v/>
      </c>
      <c r="E291">
        <f>D_sh*(OCP_D/C291 - 1)</f>
        <v/>
      </c>
      <c r="F291">
        <f>E_sh*(OCP_E/D291 - 1)</f>
        <v/>
      </c>
      <c r="G291">
        <f>(preF_FD + E291 + F291 - preF_opts + J290 + K290 + F_primary/B291)/(1-B270)</f>
        <v/>
      </c>
      <c r="H291">
        <f>MAX(0, B270*G291 - preF_opts)</f>
        <v/>
      </c>
      <c r="I291">
        <f>preF_FD + E291 + F291 + H291</f>
        <v/>
      </c>
      <c r="J291">
        <f>NA_P/MIN(NA_cap/(I291+K290), (1-NA_disc)*B291)</f>
        <v/>
      </c>
      <c r="K291">
        <f>NB_P/MIN(NB_cap/(I291+J291), (1-NB_disc)*B291)</f>
        <v/>
      </c>
      <c r="L291">
        <f>F_primary/B291</f>
        <v/>
      </c>
      <c r="M291">
        <f>I291+J291+K291</f>
        <v/>
      </c>
      <c r="N291">
        <f>D270/M291</f>
        <v/>
      </c>
      <c r="O291">
        <f>IF(Y290*L291 &gt; F_primary, 1, 0)</f>
        <v/>
      </c>
      <c r="P291">
        <f>IF(Y290*(E_sh + F291) &gt; E_inv, 1, 0)</f>
        <v/>
      </c>
      <c r="Q291">
        <f>IF(Y290*(D_sh + E291) &gt; D_inv, 1, 0)</f>
        <v/>
      </c>
      <c r="R291">
        <f>IF(Y290*C_sh &gt; C_inv, 1, 0)</f>
        <v/>
      </c>
      <c r="S291">
        <f>IF(Y290*B_sh &gt; B_inv, 1, 0)</f>
        <v/>
      </c>
      <c r="T291">
        <f>IF(Y290*A_sh &gt; A_inv, 1, 0)</f>
        <v/>
      </c>
      <c r="U291">
        <f>IF(Y290*seed_sh &gt; seed_inv, 1, 0)</f>
        <v/>
      </c>
      <c r="V291">
        <f>(1-O291)*F_primary+(1-P291)*E_inv+(1-Q291)*D_inv+(1-R291)*C_inv+(1-S291)*B_inv+(1-T291)*A_inv+(1-U291)*seed_inv</f>
        <v/>
      </c>
      <c r="W291">
        <f>MAX(0, sens_exit - V291)</f>
        <v/>
      </c>
      <c r="X291">
        <f>F1_sh+F2_sh+F3_sh+RSA_sh+J291+K291+O291*L291+P291*(E_sh + F291)+Q291*(D_sh + E291)+R291*C_sh+S291*B_sh+T291*A_sh+U291*seed_sh</f>
        <v/>
      </c>
      <c r="Y291">
        <f>(W291 + preF_opts_iss*opt_strike)/(X291 + preF_opts_iss)</f>
        <v/>
      </c>
    </row>
    <row r="292">
      <c r="B292">
        <f>N291</f>
        <v/>
      </c>
      <c r="C292">
        <f>OCP_D*(preF_FD + F_primary/OCP_D)/(preF_FD + F_primary/B292)</f>
        <v/>
      </c>
      <c r="D292">
        <f>OCP_E*(preF_FD + F_primary/OCP_E)/(preF_FD + F_primary/B292)</f>
        <v/>
      </c>
      <c r="E292">
        <f>D_sh*(OCP_D/C292 - 1)</f>
        <v/>
      </c>
      <c r="F292">
        <f>E_sh*(OCP_E/D292 - 1)</f>
        <v/>
      </c>
      <c r="G292">
        <f>(preF_FD + E292 + F292 - preF_opts + J291 + K291 + F_primary/B292)/(1-B270)</f>
        <v/>
      </c>
      <c r="H292">
        <f>MAX(0, B270*G292 - preF_opts)</f>
        <v/>
      </c>
      <c r="I292">
        <f>preF_FD + E292 + F292 + H292</f>
        <v/>
      </c>
      <c r="J292">
        <f>NA_P/MIN(NA_cap/(I292+K291), (1-NA_disc)*B292)</f>
        <v/>
      </c>
      <c r="K292">
        <f>NB_P/MIN(NB_cap/(I292+J292), (1-NB_disc)*B292)</f>
        <v/>
      </c>
      <c r="L292">
        <f>F_primary/B292</f>
        <v/>
      </c>
      <c r="M292">
        <f>I292+J292+K292</f>
        <v/>
      </c>
      <c r="N292">
        <f>D270/M292</f>
        <v/>
      </c>
      <c r="O292">
        <f>IF(Y291*L292 &gt; F_primary, 1, 0)</f>
        <v/>
      </c>
      <c r="P292">
        <f>IF(Y291*(E_sh + F292) &gt; E_inv, 1, 0)</f>
        <v/>
      </c>
      <c r="Q292">
        <f>IF(Y291*(D_sh + E292) &gt; D_inv, 1, 0)</f>
        <v/>
      </c>
      <c r="R292">
        <f>IF(Y291*C_sh &gt; C_inv, 1, 0)</f>
        <v/>
      </c>
      <c r="S292">
        <f>IF(Y291*B_sh &gt; B_inv, 1, 0)</f>
        <v/>
      </c>
      <c r="T292">
        <f>IF(Y291*A_sh &gt; A_inv, 1, 0)</f>
        <v/>
      </c>
      <c r="U292">
        <f>IF(Y291*seed_sh &gt; seed_inv, 1, 0)</f>
        <v/>
      </c>
      <c r="V292">
        <f>(1-O292)*F_primary+(1-P292)*E_inv+(1-Q292)*D_inv+(1-R292)*C_inv+(1-S292)*B_inv+(1-T292)*A_inv+(1-U292)*seed_inv</f>
        <v/>
      </c>
      <c r="W292">
        <f>MAX(0, sens_exit - V292)</f>
        <v/>
      </c>
      <c r="X292">
        <f>F1_sh+F2_sh+F3_sh+RSA_sh+J292+K292+O292*L292+P292*(E_sh + F292)+Q292*(D_sh + E292)+R292*C_sh+S292*B_sh+T292*A_sh+U292*seed_sh</f>
        <v/>
      </c>
      <c r="Y292">
        <f>(W292 + preF_opts_iss*opt_strike)/(X292 + preF_opts_iss)</f>
        <v/>
      </c>
    </row>
    <row r="293">
      <c r="B293">
        <f>N292</f>
        <v/>
      </c>
      <c r="C293">
        <f>OCP_D*(preF_FD + F_primary/OCP_D)/(preF_FD + F_primary/B293)</f>
        <v/>
      </c>
      <c r="D293">
        <f>OCP_E*(preF_FD + F_primary/OCP_E)/(preF_FD + F_primary/B293)</f>
        <v/>
      </c>
      <c r="E293">
        <f>D_sh*(OCP_D/C293 - 1)</f>
        <v/>
      </c>
      <c r="F293">
        <f>E_sh*(OCP_E/D293 - 1)</f>
        <v/>
      </c>
      <c r="G293">
        <f>(preF_FD + E293 + F293 - preF_opts + J292 + K292 + F_primary/B293)/(1-B270)</f>
        <v/>
      </c>
      <c r="H293">
        <f>MAX(0, B270*G293 - preF_opts)</f>
        <v/>
      </c>
      <c r="I293">
        <f>preF_FD + E293 + F293 + H293</f>
        <v/>
      </c>
      <c r="J293">
        <f>NA_P/MIN(NA_cap/(I293+K292), (1-NA_disc)*B293)</f>
        <v/>
      </c>
      <c r="K293">
        <f>NB_P/MIN(NB_cap/(I293+J293), (1-NB_disc)*B293)</f>
        <v/>
      </c>
      <c r="L293">
        <f>F_primary/B293</f>
        <v/>
      </c>
      <c r="M293">
        <f>I293+J293+K293</f>
        <v/>
      </c>
      <c r="N293">
        <f>D270/M293</f>
        <v/>
      </c>
      <c r="O293">
        <f>IF(Y292*L293 &gt; F_primary, 1, 0)</f>
        <v/>
      </c>
      <c r="P293">
        <f>IF(Y292*(E_sh + F293) &gt; E_inv, 1, 0)</f>
        <v/>
      </c>
      <c r="Q293">
        <f>IF(Y292*(D_sh + E293) &gt; D_inv, 1, 0)</f>
        <v/>
      </c>
      <c r="R293">
        <f>IF(Y292*C_sh &gt; C_inv, 1, 0)</f>
        <v/>
      </c>
      <c r="S293">
        <f>IF(Y292*B_sh &gt; B_inv, 1, 0)</f>
        <v/>
      </c>
      <c r="T293">
        <f>IF(Y292*A_sh &gt; A_inv, 1, 0)</f>
        <v/>
      </c>
      <c r="U293">
        <f>IF(Y292*seed_sh &gt; seed_inv, 1, 0)</f>
        <v/>
      </c>
      <c r="V293">
        <f>(1-O293)*F_primary+(1-P293)*E_inv+(1-Q293)*D_inv+(1-R293)*C_inv+(1-S293)*B_inv+(1-T293)*A_inv+(1-U293)*seed_inv</f>
        <v/>
      </c>
      <c r="W293">
        <f>MAX(0, sens_exit - V293)</f>
        <v/>
      </c>
      <c r="X293">
        <f>F1_sh+F2_sh+F3_sh+RSA_sh+J293+K293+O293*L293+P293*(E_sh + F293)+Q293*(D_sh + E293)+R293*C_sh+S293*B_sh+T293*A_sh+U293*seed_sh</f>
        <v/>
      </c>
      <c r="Y293">
        <f>(W293 + preF_opts_iss*opt_strike)/(X293 + preF_opts_iss)</f>
        <v/>
      </c>
    </row>
    <row r="294">
      <c r="B294">
        <f>N293</f>
        <v/>
      </c>
      <c r="C294">
        <f>OCP_D*(preF_FD + F_primary/OCP_D)/(preF_FD + F_primary/B294)</f>
        <v/>
      </c>
      <c r="D294">
        <f>OCP_E*(preF_FD + F_primary/OCP_E)/(preF_FD + F_primary/B294)</f>
        <v/>
      </c>
      <c r="E294">
        <f>D_sh*(OCP_D/C294 - 1)</f>
        <v/>
      </c>
      <c r="F294">
        <f>E_sh*(OCP_E/D294 - 1)</f>
        <v/>
      </c>
      <c r="G294">
        <f>(preF_FD + E294 + F294 - preF_opts + J293 + K293 + F_primary/B294)/(1-B270)</f>
        <v/>
      </c>
      <c r="H294">
        <f>MAX(0, B270*G294 - preF_opts)</f>
        <v/>
      </c>
      <c r="I294">
        <f>preF_FD + E294 + F294 + H294</f>
        <v/>
      </c>
      <c r="J294">
        <f>NA_P/MIN(NA_cap/(I294+K293), (1-NA_disc)*B294)</f>
        <v/>
      </c>
      <c r="K294">
        <f>NB_P/MIN(NB_cap/(I294+J294), (1-NB_disc)*B294)</f>
        <v/>
      </c>
      <c r="L294">
        <f>F_primary/B294</f>
        <v/>
      </c>
      <c r="M294">
        <f>I294+J294+K294</f>
        <v/>
      </c>
      <c r="N294">
        <f>D270/M294</f>
        <v/>
      </c>
      <c r="O294">
        <f>IF(Y293*L294 &gt; F_primary, 1, 0)</f>
        <v/>
      </c>
      <c r="P294">
        <f>IF(Y293*(E_sh + F294) &gt; E_inv, 1, 0)</f>
        <v/>
      </c>
      <c r="Q294">
        <f>IF(Y293*(D_sh + E294) &gt; D_inv, 1, 0)</f>
        <v/>
      </c>
      <c r="R294">
        <f>IF(Y293*C_sh &gt; C_inv, 1, 0)</f>
        <v/>
      </c>
      <c r="S294">
        <f>IF(Y293*B_sh &gt; B_inv, 1, 0)</f>
        <v/>
      </c>
      <c r="T294">
        <f>IF(Y293*A_sh &gt; A_inv, 1, 0)</f>
        <v/>
      </c>
      <c r="U294">
        <f>IF(Y293*seed_sh &gt; seed_inv, 1, 0)</f>
        <v/>
      </c>
      <c r="V294">
        <f>(1-O294)*F_primary+(1-P294)*E_inv+(1-Q294)*D_inv+(1-R294)*C_inv+(1-S294)*B_inv+(1-T294)*A_inv+(1-U294)*seed_inv</f>
        <v/>
      </c>
      <c r="W294">
        <f>MAX(0, sens_exit - V294)</f>
        <v/>
      </c>
      <c r="X294">
        <f>F1_sh+F2_sh+F3_sh+RSA_sh+J294+K294+O294*L294+P294*(E_sh + F294)+Q294*(D_sh + E294)+R294*C_sh+S294*B_sh+T294*A_sh+U294*seed_sh</f>
        <v/>
      </c>
      <c r="Y294">
        <f>(W294 + preF_opts_iss*opt_strike)/(X294 + preF_opts_iss)</f>
        <v/>
      </c>
    </row>
    <row r="295">
      <c r="B295">
        <f>N294</f>
        <v/>
      </c>
      <c r="C295">
        <f>OCP_D*(preF_FD + F_primary/OCP_D)/(preF_FD + F_primary/B295)</f>
        <v/>
      </c>
      <c r="D295">
        <f>OCP_E*(preF_FD + F_primary/OCP_E)/(preF_FD + F_primary/B295)</f>
        <v/>
      </c>
      <c r="E295">
        <f>D_sh*(OCP_D/C295 - 1)</f>
        <v/>
      </c>
      <c r="F295">
        <f>E_sh*(OCP_E/D295 - 1)</f>
        <v/>
      </c>
      <c r="G295">
        <f>(preF_FD + E295 + F295 - preF_opts + J294 + K294 + F_primary/B295)/(1-B270)</f>
        <v/>
      </c>
      <c r="H295">
        <f>MAX(0, B270*G295 - preF_opts)</f>
        <v/>
      </c>
      <c r="I295">
        <f>preF_FD + E295 + F295 + H295</f>
        <v/>
      </c>
      <c r="J295">
        <f>NA_P/MIN(NA_cap/(I295+K294), (1-NA_disc)*B295)</f>
        <v/>
      </c>
      <c r="K295">
        <f>NB_P/MIN(NB_cap/(I295+J295), (1-NB_disc)*B295)</f>
        <v/>
      </c>
      <c r="L295">
        <f>F_primary/B295</f>
        <v/>
      </c>
      <c r="M295">
        <f>I295+J295+K295</f>
        <v/>
      </c>
      <c r="N295">
        <f>D270/M295</f>
        <v/>
      </c>
      <c r="O295">
        <f>IF(Y294*L295 &gt; F_primary, 1, 0)</f>
        <v/>
      </c>
      <c r="P295">
        <f>IF(Y294*(E_sh + F295) &gt; E_inv, 1, 0)</f>
        <v/>
      </c>
      <c r="Q295">
        <f>IF(Y294*(D_sh + E295) &gt; D_inv, 1, 0)</f>
        <v/>
      </c>
      <c r="R295">
        <f>IF(Y294*C_sh &gt; C_inv, 1, 0)</f>
        <v/>
      </c>
      <c r="S295">
        <f>IF(Y294*B_sh &gt; B_inv, 1, 0)</f>
        <v/>
      </c>
      <c r="T295">
        <f>IF(Y294*A_sh &gt; A_inv, 1, 0)</f>
        <v/>
      </c>
      <c r="U295">
        <f>IF(Y294*seed_sh &gt; seed_inv, 1, 0)</f>
        <v/>
      </c>
      <c r="V295">
        <f>(1-O295)*F_primary+(1-P295)*E_inv+(1-Q295)*D_inv+(1-R295)*C_inv+(1-S295)*B_inv+(1-T295)*A_inv+(1-U295)*seed_inv</f>
        <v/>
      </c>
      <c r="W295">
        <f>MAX(0, sens_exit - V295)</f>
        <v/>
      </c>
      <c r="X295">
        <f>F1_sh+F2_sh+F3_sh+RSA_sh+J295+K295+O295*L295+P295*(E_sh + F295)+Q295*(D_sh + E295)+R295*C_sh+S295*B_sh+T295*A_sh+U295*seed_sh</f>
        <v/>
      </c>
      <c r="Y295">
        <f>(W295 + preF_opts_iss*opt_strike)/(X295 + preF_opts_iss)</f>
        <v/>
      </c>
    </row>
    <row r="296">
      <c r="B296">
        <f>N295</f>
        <v/>
      </c>
      <c r="C296">
        <f>OCP_D*(preF_FD + F_primary/OCP_D)/(preF_FD + F_primary/B296)</f>
        <v/>
      </c>
      <c r="D296">
        <f>OCP_E*(preF_FD + F_primary/OCP_E)/(preF_FD + F_primary/B296)</f>
        <v/>
      </c>
      <c r="E296">
        <f>D_sh*(OCP_D/C296 - 1)</f>
        <v/>
      </c>
      <c r="F296">
        <f>E_sh*(OCP_E/D296 - 1)</f>
        <v/>
      </c>
      <c r="G296">
        <f>(preF_FD + E296 + F296 - preF_opts + J295 + K295 + F_primary/B296)/(1-B270)</f>
        <v/>
      </c>
      <c r="H296">
        <f>MAX(0, B270*G296 - preF_opts)</f>
        <v/>
      </c>
      <c r="I296">
        <f>preF_FD + E296 + F296 + H296</f>
        <v/>
      </c>
      <c r="J296">
        <f>NA_P/MIN(NA_cap/(I296+K295), (1-NA_disc)*B296)</f>
        <v/>
      </c>
      <c r="K296">
        <f>NB_P/MIN(NB_cap/(I296+J296), (1-NB_disc)*B296)</f>
        <v/>
      </c>
      <c r="L296">
        <f>F_primary/B296</f>
        <v/>
      </c>
      <c r="M296">
        <f>I296+J296+K296</f>
        <v/>
      </c>
      <c r="N296">
        <f>D270/M296</f>
        <v/>
      </c>
      <c r="O296">
        <f>IF(Y295*L296 &gt; F_primary, 1, 0)</f>
        <v/>
      </c>
      <c r="P296">
        <f>IF(Y295*(E_sh + F296) &gt; E_inv, 1, 0)</f>
        <v/>
      </c>
      <c r="Q296">
        <f>IF(Y295*(D_sh + E296) &gt; D_inv, 1, 0)</f>
        <v/>
      </c>
      <c r="R296">
        <f>IF(Y295*C_sh &gt; C_inv, 1, 0)</f>
        <v/>
      </c>
      <c r="S296">
        <f>IF(Y295*B_sh &gt; B_inv, 1, 0)</f>
        <v/>
      </c>
      <c r="T296">
        <f>IF(Y295*A_sh &gt; A_inv, 1, 0)</f>
        <v/>
      </c>
      <c r="U296">
        <f>IF(Y295*seed_sh &gt; seed_inv, 1, 0)</f>
        <v/>
      </c>
      <c r="V296">
        <f>(1-O296)*F_primary+(1-P296)*E_inv+(1-Q296)*D_inv+(1-R296)*C_inv+(1-S296)*B_inv+(1-T296)*A_inv+(1-U296)*seed_inv</f>
        <v/>
      </c>
      <c r="W296">
        <f>MAX(0, sens_exit - V296)</f>
        <v/>
      </c>
      <c r="X296">
        <f>F1_sh+F2_sh+F3_sh+RSA_sh+J296+K296+O296*L296+P296*(E_sh + F296)+Q296*(D_sh + E296)+R296*C_sh+S296*B_sh+T296*A_sh+U296*seed_sh</f>
        <v/>
      </c>
      <c r="Y296">
        <f>(W296 + preF_opts_iss*opt_strike)/(X296 + preF_opts_iss)</f>
        <v/>
      </c>
    </row>
    <row r="297">
      <c r="B297">
        <f>N296</f>
        <v/>
      </c>
      <c r="C297">
        <f>OCP_D*(preF_FD + F_primary/OCP_D)/(preF_FD + F_primary/B297)</f>
        <v/>
      </c>
      <c r="D297">
        <f>OCP_E*(preF_FD + F_primary/OCP_E)/(preF_FD + F_primary/B297)</f>
        <v/>
      </c>
      <c r="E297">
        <f>D_sh*(OCP_D/C297 - 1)</f>
        <v/>
      </c>
      <c r="F297">
        <f>E_sh*(OCP_E/D297 - 1)</f>
        <v/>
      </c>
      <c r="G297">
        <f>(preF_FD + E297 + F297 - preF_opts + J296 + K296 + F_primary/B297)/(1-B270)</f>
        <v/>
      </c>
      <c r="H297">
        <f>MAX(0, B270*G297 - preF_opts)</f>
        <v/>
      </c>
      <c r="I297">
        <f>preF_FD + E297 + F297 + H297</f>
        <v/>
      </c>
      <c r="J297">
        <f>NA_P/MIN(NA_cap/(I297+K296), (1-NA_disc)*B297)</f>
        <v/>
      </c>
      <c r="K297">
        <f>NB_P/MIN(NB_cap/(I297+J297), (1-NB_disc)*B297)</f>
        <v/>
      </c>
      <c r="L297">
        <f>F_primary/B297</f>
        <v/>
      </c>
      <c r="M297">
        <f>I297+J297+K297</f>
        <v/>
      </c>
      <c r="N297">
        <f>D270/M297</f>
        <v/>
      </c>
      <c r="O297">
        <f>IF(Y296*L297 &gt; F_primary, 1, 0)</f>
        <v/>
      </c>
      <c r="P297">
        <f>IF(Y296*(E_sh + F297) &gt; E_inv, 1, 0)</f>
        <v/>
      </c>
      <c r="Q297">
        <f>IF(Y296*(D_sh + E297) &gt; D_inv, 1, 0)</f>
        <v/>
      </c>
      <c r="R297">
        <f>IF(Y296*C_sh &gt; C_inv, 1, 0)</f>
        <v/>
      </c>
      <c r="S297">
        <f>IF(Y296*B_sh &gt; B_inv, 1, 0)</f>
        <v/>
      </c>
      <c r="T297">
        <f>IF(Y296*A_sh &gt; A_inv, 1, 0)</f>
        <v/>
      </c>
      <c r="U297">
        <f>IF(Y296*seed_sh &gt; seed_inv, 1, 0)</f>
        <v/>
      </c>
      <c r="V297">
        <f>(1-O297)*F_primary+(1-P297)*E_inv+(1-Q297)*D_inv+(1-R297)*C_inv+(1-S297)*B_inv+(1-T297)*A_inv+(1-U297)*seed_inv</f>
        <v/>
      </c>
      <c r="W297">
        <f>MAX(0, sens_exit - V297)</f>
        <v/>
      </c>
      <c r="X297">
        <f>F1_sh+F2_sh+F3_sh+RSA_sh+J297+K297+O297*L297+P297*(E_sh + F297)+Q297*(D_sh + E297)+R297*C_sh+S297*B_sh+T297*A_sh+U297*seed_sh</f>
        <v/>
      </c>
      <c r="Y297">
        <f>(W297 + preF_opts_iss*opt_strike)/(X297 + preF_opts_iss)</f>
        <v/>
      </c>
    </row>
    <row r="298">
      <c r="B298">
        <f>N297</f>
        <v/>
      </c>
      <c r="C298">
        <f>OCP_D*(preF_FD + F_primary/OCP_D)/(preF_FD + F_primary/B298)</f>
        <v/>
      </c>
      <c r="D298">
        <f>OCP_E*(preF_FD + F_primary/OCP_E)/(preF_FD + F_primary/B298)</f>
        <v/>
      </c>
      <c r="E298">
        <f>D_sh*(OCP_D/C298 - 1)</f>
        <v/>
      </c>
      <c r="F298">
        <f>E_sh*(OCP_E/D298 - 1)</f>
        <v/>
      </c>
      <c r="G298">
        <f>(preF_FD + E298 + F298 - preF_opts + J297 + K297 + F_primary/B298)/(1-B270)</f>
        <v/>
      </c>
      <c r="H298">
        <f>MAX(0, B270*G298 - preF_opts)</f>
        <v/>
      </c>
      <c r="I298">
        <f>preF_FD + E298 + F298 + H298</f>
        <v/>
      </c>
      <c r="J298">
        <f>NA_P/MIN(NA_cap/(I298+K297), (1-NA_disc)*B298)</f>
        <v/>
      </c>
      <c r="K298">
        <f>NB_P/MIN(NB_cap/(I298+J298), (1-NB_disc)*B298)</f>
        <v/>
      </c>
      <c r="L298">
        <f>F_primary/B298</f>
        <v/>
      </c>
      <c r="M298">
        <f>I298+J298+K298</f>
        <v/>
      </c>
      <c r="N298">
        <f>D270/M298</f>
        <v/>
      </c>
      <c r="O298">
        <f>IF(Y297*L298 &gt; F_primary, 1, 0)</f>
        <v/>
      </c>
      <c r="P298">
        <f>IF(Y297*(E_sh + F298) &gt; E_inv, 1, 0)</f>
        <v/>
      </c>
      <c r="Q298">
        <f>IF(Y297*(D_sh + E298) &gt; D_inv, 1, 0)</f>
        <v/>
      </c>
      <c r="R298">
        <f>IF(Y297*C_sh &gt; C_inv, 1, 0)</f>
        <v/>
      </c>
      <c r="S298">
        <f>IF(Y297*B_sh &gt; B_inv, 1, 0)</f>
        <v/>
      </c>
      <c r="T298">
        <f>IF(Y297*A_sh &gt; A_inv, 1, 0)</f>
        <v/>
      </c>
      <c r="U298">
        <f>IF(Y297*seed_sh &gt; seed_inv, 1, 0)</f>
        <v/>
      </c>
      <c r="V298">
        <f>(1-O298)*F_primary+(1-P298)*E_inv+(1-Q298)*D_inv+(1-R298)*C_inv+(1-S298)*B_inv+(1-T298)*A_inv+(1-U298)*seed_inv</f>
        <v/>
      </c>
      <c r="W298">
        <f>MAX(0, sens_exit - V298)</f>
        <v/>
      </c>
      <c r="X298">
        <f>F1_sh+F2_sh+F3_sh+RSA_sh+J298+K298+O298*L298+P298*(E_sh + F298)+Q298*(D_sh + E298)+R298*C_sh+S298*B_sh+T298*A_sh+U298*seed_sh</f>
        <v/>
      </c>
      <c r="Y298">
        <f>(W298 + preF_opts_iss*opt_strike)/(X298 + preF_opts_iss)</f>
        <v/>
      </c>
    </row>
    <row r="299">
      <c r="B299">
        <f>N298</f>
        <v/>
      </c>
      <c r="C299">
        <f>OCP_D*(preF_FD + F_primary/OCP_D)/(preF_FD + F_primary/B299)</f>
        <v/>
      </c>
      <c r="D299">
        <f>OCP_E*(preF_FD + F_primary/OCP_E)/(preF_FD + F_primary/B299)</f>
        <v/>
      </c>
      <c r="E299">
        <f>D_sh*(OCP_D/C299 - 1)</f>
        <v/>
      </c>
      <c r="F299">
        <f>E_sh*(OCP_E/D299 - 1)</f>
        <v/>
      </c>
      <c r="G299">
        <f>(preF_FD + E299 + F299 - preF_opts + J298 + K298 + F_primary/B299)/(1-B270)</f>
        <v/>
      </c>
      <c r="H299">
        <f>MAX(0, B270*G299 - preF_opts)</f>
        <v/>
      </c>
      <c r="I299">
        <f>preF_FD + E299 + F299 + H299</f>
        <v/>
      </c>
      <c r="J299">
        <f>NA_P/MIN(NA_cap/(I299+K298), (1-NA_disc)*B299)</f>
        <v/>
      </c>
      <c r="K299">
        <f>NB_P/MIN(NB_cap/(I299+J299), (1-NB_disc)*B299)</f>
        <v/>
      </c>
      <c r="L299">
        <f>F_primary/B299</f>
        <v/>
      </c>
      <c r="M299">
        <f>I299+J299+K299</f>
        <v/>
      </c>
      <c r="N299">
        <f>D270/M299</f>
        <v/>
      </c>
      <c r="O299">
        <f>IF(Y298*L299 &gt; F_primary, 1, 0)</f>
        <v/>
      </c>
      <c r="P299">
        <f>IF(Y298*(E_sh + F299) &gt; E_inv, 1, 0)</f>
        <v/>
      </c>
      <c r="Q299">
        <f>IF(Y298*(D_sh + E299) &gt; D_inv, 1, 0)</f>
        <v/>
      </c>
      <c r="R299">
        <f>IF(Y298*C_sh &gt; C_inv, 1, 0)</f>
        <v/>
      </c>
      <c r="S299">
        <f>IF(Y298*B_sh &gt; B_inv, 1, 0)</f>
        <v/>
      </c>
      <c r="T299">
        <f>IF(Y298*A_sh &gt; A_inv, 1, 0)</f>
        <v/>
      </c>
      <c r="U299">
        <f>IF(Y298*seed_sh &gt; seed_inv, 1, 0)</f>
        <v/>
      </c>
      <c r="V299">
        <f>(1-O299)*F_primary+(1-P299)*E_inv+(1-Q299)*D_inv+(1-R299)*C_inv+(1-S299)*B_inv+(1-T299)*A_inv+(1-U299)*seed_inv</f>
        <v/>
      </c>
      <c r="W299">
        <f>MAX(0, sens_exit - V299)</f>
        <v/>
      </c>
      <c r="X299">
        <f>F1_sh+F2_sh+F3_sh+RSA_sh+J299+K299+O299*L299+P299*(E_sh + F299)+Q299*(D_sh + E299)+R299*C_sh+S299*B_sh+T299*A_sh+U299*seed_sh</f>
        <v/>
      </c>
      <c r="Y299">
        <f>(W299 + preF_opts_iss*opt_strike)/(X299 + preF_opts_iss)</f>
        <v/>
      </c>
    </row>
    <row r="300">
      <c r="B300">
        <f>N299</f>
        <v/>
      </c>
      <c r="C300">
        <f>OCP_D*(preF_FD + F_primary/OCP_D)/(preF_FD + F_primary/B300)</f>
        <v/>
      </c>
      <c r="D300">
        <f>OCP_E*(preF_FD + F_primary/OCP_E)/(preF_FD + F_primary/B300)</f>
        <v/>
      </c>
      <c r="E300">
        <f>D_sh*(OCP_D/C300 - 1)</f>
        <v/>
      </c>
      <c r="F300">
        <f>E_sh*(OCP_E/D300 - 1)</f>
        <v/>
      </c>
      <c r="G300">
        <f>(preF_FD + E300 + F300 - preF_opts + J299 + K299 + F_primary/B300)/(1-B270)</f>
        <v/>
      </c>
      <c r="H300">
        <f>MAX(0, B270*G300 - preF_opts)</f>
        <v/>
      </c>
      <c r="I300">
        <f>preF_FD + E300 + F300 + H300</f>
        <v/>
      </c>
      <c r="J300">
        <f>NA_P/MIN(NA_cap/(I300+K299), (1-NA_disc)*B300)</f>
        <v/>
      </c>
      <c r="K300">
        <f>NB_P/MIN(NB_cap/(I300+J300), (1-NB_disc)*B300)</f>
        <v/>
      </c>
      <c r="L300">
        <f>F_primary/B300</f>
        <v/>
      </c>
      <c r="M300">
        <f>I300+J300+K300</f>
        <v/>
      </c>
      <c r="N300">
        <f>D270/M300</f>
        <v/>
      </c>
      <c r="O300">
        <f>IF(Y299*L300 &gt; F_primary, 1, 0)</f>
        <v/>
      </c>
      <c r="P300">
        <f>IF(Y299*(E_sh + F300) &gt; E_inv, 1, 0)</f>
        <v/>
      </c>
      <c r="Q300">
        <f>IF(Y299*(D_sh + E300) &gt; D_inv, 1, 0)</f>
        <v/>
      </c>
      <c r="R300">
        <f>IF(Y299*C_sh &gt; C_inv, 1, 0)</f>
        <v/>
      </c>
      <c r="S300">
        <f>IF(Y299*B_sh &gt; B_inv, 1, 0)</f>
        <v/>
      </c>
      <c r="T300">
        <f>IF(Y299*A_sh &gt; A_inv, 1, 0)</f>
        <v/>
      </c>
      <c r="U300">
        <f>IF(Y299*seed_sh &gt; seed_inv, 1, 0)</f>
        <v/>
      </c>
      <c r="V300">
        <f>(1-O300)*F_primary+(1-P300)*E_inv+(1-Q300)*D_inv+(1-R300)*C_inv+(1-S300)*B_inv+(1-T300)*A_inv+(1-U300)*seed_inv</f>
        <v/>
      </c>
      <c r="W300">
        <f>MAX(0, sens_exit - V300)</f>
        <v/>
      </c>
      <c r="X300">
        <f>F1_sh+F2_sh+F3_sh+RSA_sh+J300+K300+O300*L300+P300*(E_sh + F300)+Q300*(D_sh + E300)+R300*C_sh+S300*B_sh+T300*A_sh+U300*seed_sh</f>
        <v/>
      </c>
      <c r="Y300">
        <f>(W300 + preF_opts_iss*opt_strike)/(X300 + preF_opts_iss)</f>
        <v/>
      </c>
    </row>
    <row r="301">
      <c r="B301">
        <f>N300</f>
        <v/>
      </c>
      <c r="C301">
        <f>OCP_D*(preF_FD + F_primary/OCP_D)/(preF_FD + F_primary/B301)</f>
        <v/>
      </c>
      <c r="D301">
        <f>OCP_E*(preF_FD + F_primary/OCP_E)/(preF_FD + F_primary/B301)</f>
        <v/>
      </c>
      <c r="E301">
        <f>D_sh*(OCP_D/C301 - 1)</f>
        <v/>
      </c>
      <c r="F301">
        <f>E_sh*(OCP_E/D301 - 1)</f>
        <v/>
      </c>
      <c r="G301">
        <f>(preF_FD + E301 + F301 - preF_opts + J300 + K300 + F_primary/B301)/(1-B270)</f>
        <v/>
      </c>
      <c r="H301">
        <f>MAX(0, B270*G301 - preF_opts)</f>
        <v/>
      </c>
      <c r="I301">
        <f>preF_FD + E301 + F301 + H301</f>
        <v/>
      </c>
      <c r="J301">
        <f>NA_P/MIN(NA_cap/(I301+K300), (1-NA_disc)*B301)</f>
        <v/>
      </c>
      <c r="K301">
        <f>NB_P/MIN(NB_cap/(I301+J301), (1-NB_disc)*B301)</f>
        <v/>
      </c>
      <c r="L301">
        <f>F_primary/B301</f>
        <v/>
      </c>
      <c r="M301">
        <f>I301+J301+K301</f>
        <v/>
      </c>
      <c r="N301">
        <f>D270/M301</f>
        <v/>
      </c>
      <c r="O301">
        <f>IF(Y300*L301 &gt; F_primary, 1, 0)</f>
        <v/>
      </c>
      <c r="P301">
        <f>IF(Y300*(E_sh + F301) &gt; E_inv, 1, 0)</f>
        <v/>
      </c>
      <c r="Q301">
        <f>IF(Y300*(D_sh + E301) &gt; D_inv, 1, 0)</f>
        <v/>
      </c>
      <c r="R301">
        <f>IF(Y300*C_sh &gt; C_inv, 1, 0)</f>
        <v/>
      </c>
      <c r="S301">
        <f>IF(Y300*B_sh &gt; B_inv, 1, 0)</f>
        <v/>
      </c>
      <c r="T301">
        <f>IF(Y300*A_sh &gt; A_inv, 1, 0)</f>
        <v/>
      </c>
      <c r="U301">
        <f>IF(Y300*seed_sh &gt; seed_inv, 1, 0)</f>
        <v/>
      </c>
      <c r="V301">
        <f>(1-O301)*F_primary+(1-P301)*E_inv+(1-Q301)*D_inv+(1-R301)*C_inv+(1-S301)*B_inv+(1-T301)*A_inv+(1-U301)*seed_inv</f>
        <v/>
      </c>
      <c r="W301">
        <f>MAX(0, sens_exit - V301)</f>
        <v/>
      </c>
      <c r="X301">
        <f>F1_sh+F2_sh+F3_sh+RSA_sh+J301+K301+O301*L301+P301*(E_sh + F301)+Q301*(D_sh + E301)+R301*C_sh+S301*B_sh+T301*A_sh+U301*seed_sh</f>
        <v/>
      </c>
      <c r="Y301">
        <f>(W301 + preF_opts_iss*opt_strike)/(X301 + preF_opts_iss)</f>
        <v/>
      </c>
    </row>
    <row r="302">
      <c r="B302">
        <f>N301</f>
        <v/>
      </c>
      <c r="C302">
        <f>OCP_D*(preF_FD + F_primary/OCP_D)/(preF_FD + F_primary/B302)</f>
        <v/>
      </c>
      <c r="D302">
        <f>OCP_E*(preF_FD + F_primary/OCP_E)/(preF_FD + F_primary/B302)</f>
        <v/>
      </c>
      <c r="E302">
        <f>D_sh*(OCP_D/C302 - 1)</f>
        <v/>
      </c>
      <c r="F302">
        <f>E_sh*(OCP_E/D302 - 1)</f>
        <v/>
      </c>
      <c r="G302">
        <f>(preF_FD + E302 + F302 - preF_opts + J301 + K301 + F_primary/B302)/(1-B270)</f>
        <v/>
      </c>
      <c r="H302">
        <f>MAX(0, B270*G302 - preF_opts)</f>
        <v/>
      </c>
      <c r="I302">
        <f>preF_FD + E302 + F302 + H302</f>
        <v/>
      </c>
      <c r="J302">
        <f>NA_P/MIN(NA_cap/(I302+K301), (1-NA_disc)*B302)</f>
        <v/>
      </c>
      <c r="K302">
        <f>NB_P/MIN(NB_cap/(I302+J302), (1-NB_disc)*B302)</f>
        <v/>
      </c>
      <c r="L302">
        <f>F_primary/B302</f>
        <v/>
      </c>
      <c r="M302">
        <f>I302+J302+K302</f>
        <v/>
      </c>
      <c r="N302">
        <f>D270/M302</f>
        <v/>
      </c>
      <c r="O302">
        <f>IF(Y301*L302 &gt; F_primary, 1, 0)</f>
        <v/>
      </c>
      <c r="P302">
        <f>IF(Y301*(E_sh + F302) &gt; E_inv, 1, 0)</f>
        <v/>
      </c>
      <c r="Q302">
        <f>IF(Y301*(D_sh + E302) &gt; D_inv, 1, 0)</f>
        <v/>
      </c>
      <c r="R302">
        <f>IF(Y301*C_sh &gt; C_inv, 1, 0)</f>
        <v/>
      </c>
      <c r="S302">
        <f>IF(Y301*B_sh &gt; B_inv, 1, 0)</f>
        <v/>
      </c>
      <c r="T302">
        <f>IF(Y301*A_sh &gt; A_inv, 1, 0)</f>
        <v/>
      </c>
      <c r="U302">
        <f>IF(Y301*seed_sh &gt; seed_inv, 1, 0)</f>
        <v/>
      </c>
      <c r="V302">
        <f>(1-O302)*F_primary+(1-P302)*E_inv+(1-Q302)*D_inv+(1-R302)*C_inv+(1-S302)*B_inv+(1-T302)*A_inv+(1-U302)*seed_inv</f>
        <v/>
      </c>
      <c r="W302">
        <f>MAX(0, sens_exit - V302)</f>
        <v/>
      </c>
      <c r="X302">
        <f>F1_sh+F2_sh+F3_sh+RSA_sh+J302+K302+O302*L302+P302*(E_sh + F302)+Q302*(D_sh + E302)+R302*C_sh+S302*B_sh+T302*A_sh+U302*seed_sh</f>
        <v/>
      </c>
      <c r="Y302">
        <f>(W302 + preF_opts_iss*opt_strike)/(X302 + preF_opts_iss)</f>
        <v/>
      </c>
    </row>
    <row r="303">
      <c r="B303">
        <f>N302</f>
        <v/>
      </c>
      <c r="C303">
        <f>OCP_D*(preF_FD + F_primary/OCP_D)/(preF_FD + F_primary/B303)</f>
        <v/>
      </c>
      <c r="D303">
        <f>OCP_E*(preF_FD + F_primary/OCP_E)/(preF_FD + F_primary/B303)</f>
        <v/>
      </c>
      <c r="E303">
        <f>D_sh*(OCP_D/C303 - 1)</f>
        <v/>
      </c>
      <c r="F303">
        <f>E_sh*(OCP_E/D303 - 1)</f>
        <v/>
      </c>
      <c r="G303">
        <f>(preF_FD + E303 + F303 - preF_opts + J302 + K302 + F_primary/B303)/(1-B270)</f>
        <v/>
      </c>
      <c r="H303">
        <f>MAX(0, B270*G303 - preF_opts)</f>
        <v/>
      </c>
      <c r="I303">
        <f>preF_FD + E303 + F303 + H303</f>
        <v/>
      </c>
      <c r="J303">
        <f>NA_P/MIN(NA_cap/(I303+K302), (1-NA_disc)*B303)</f>
        <v/>
      </c>
      <c r="K303">
        <f>NB_P/MIN(NB_cap/(I303+J303), (1-NB_disc)*B303)</f>
        <v/>
      </c>
      <c r="L303">
        <f>F_primary/B303</f>
        <v/>
      </c>
      <c r="M303">
        <f>I303+J303+K303</f>
        <v/>
      </c>
      <c r="N303">
        <f>D270/M303</f>
        <v/>
      </c>
      <c r="O303">
        <f>IF(Y302*L303 &gt; F_primary, 1, 0)</f>
        <v/>
      </c>
      <c r="P303">
        <f>IF(Y302*(E_sh + F303) &gt; E_inv, 1, 0)</f>
        <v/>
      </c>
      <c r="Q303">
        <f>IF(Y302*(D_sh + E303) &gt; D_inv, 1, 0)</f>
        <v/>
      </c>
      <c r="R303">
        <f>IF(Y302*C_sh &gt; C_inv, 1, 0)</f>
        <v/>
      </c>
      <c r="S303">
        <f>IF(Y302*B_sh &gt; B_inv, 1, 0)</f>
        <v/>
      </c>
      <c r="T303">
        <f>IF(Y302*A_sh &gt; A_inv, 1, 0)</f>
        <v/>
      </c>
      <c r="U303">
        <f>IF(Y302*seed_sh &gt; seed_inv, 1, 0)</f>
        <v/>
      </c>
      <c r="V303">
        <f>(1-O303)*F_primary+(1-P303)*E_inv+(1-Q303)*D_inv+(1-R303)*C_inv+(1-S303)*B_inv+(1-T303)*A_inv+(1-U303)*seed_inv</f>
        <v/>
      </c>
      <c r="W303">
        <f>MAX(0, sens_exit - V303)</f>
        <v/>
      </c>
      <c r="X303">
        <f>F1_sh+F2_sh+F3_sh+RSA_sh+J303+K303+O303*L303+P303*(E_sh + F303)+Q303*(D_sh + E303)+R303*C_sh+S303*B_sh+T303*A_sh+U303*seed_sh</f>
        <v/>
      </c>
      <c r="Y303">
        <f>(W303 + preF_opts_iss*opt_strike)/(X303 + preF_opts_iss)</f>
        <v/>
      </c>
    </row>
    <row r="304">
      <c r="B304">
        <f>N303</f>
        <v/>
      </c>
      <c r="C304">
        <f>OCP_D*(preF_FD + F_primary/OCP_D)/(preF_FD + F_primary/B304)</f>
        <v/>
      </c>
      <c r="D304">
        <f>OCP_E*(preF_FD + F_primary/OCP_E)/(preF_FD + F_primary/B304)</f>
        <v/>
      </c>
      <c r="E304">
        <f>D_sh*(OCP_D/C304 - 1)</f>
        <v/>
      </c>
      <c r="F304">
        <f>E_sh*(OCP_E/D304 - 1)</f>
        <v/>
      </c>
      <c r="G304">
        <f>(preF_FD + E304 + F304 - preF_opts + J303 + K303 + F_primary/B304)/(1-B270)</f>
        <v/>
      </c>
      <c r="H304">
        <f>MAX(0, B270*G304 - preF_opts)</f>
        <v/>
      </c>
      <c r="I304">
        <f>preF_FD + E304 + F304 + H304</f>
        <v/>
      </c>
      <c r="J304">
        <f>NA_P/MIN(NA_cap/(I304+K303), (1-NA_disc)*B304)</f>
        <v/>
      </c>
      <c r="K304">
        <f>NB_P/MIN(NB_cap/(I304+J304), (1-NB_disc)*B304)</f>
        <v/>
      </c>
      <c r="L304">
        <f>F_primary/B304</f>
        <v/>
      </c>
      <c r="M304">
        <f>I304+J304+K304</f>
        <v/>
      </c>
      <c r="N304">
        <f>D270/M304</f>
        <v/>
      </c>
      <c r="O304">
        <f>IF(Y303*L304 &gt; F_primary, 1, 0)</f>
        <v/>
      </c>
      <c r="P304">
        <f>IF(Y303*(E_sh + F304) &gt; E_inv, 1, 0)</f>
        <v/>
      </c>
      <c r="Q304">
        <f>IF(Y303*(D_sh + E304) &gt; D_inv, 1, 0)</f>
        <v/>
      </c>
      <c r="R304">
        <f>IF(Y303*C_sh &gt; C_inv, 1, 0)</f>
        <v/>
      </c>
      <c r="S304">
        <f>IF(Y303*B_sh &gt; B_inv, 1, 0)</f>
        <v/>
      </c>
      <c r="T304">
        <f>IF(Y303*A_sh &gt; A_inv, 1, 0)</f>
        <v/>
      </c>
      <c r="U304">
        <f>IF(Y303*seed_sh &gt; seed_inv, 1, 0)</f>
        <v/>
      </c>
      <c r="V304">
        <f>(1-O304)*F_primary+(1-P304)*E_inv+(1-Q304)*D_inv+(1-R304)*C_inv+(1-S304)*B_inv+(1-T304)*A_inv+(1-U304)*seed_inv</f>
        <v/>
      </c>
      <c r="W304">
        <f>MAX(0, sens_exit - V304)</f>
        <v/>
      </c>
      <c r="X304">
        <f>F1_sh+F2_sh+F3_sh+RSA_sh+J304+K304+O304*L304+P304*(E_sh + F304)+Q304*(D_sh + E304)+R304*C_sh+S304*B_sh+T304*A_sh+U304*seed_sh</f>
        <v/>
      </c>
      <c r="Y304">
        <f>(W304 + preF_opts_iss*opt_strike)/(X304 + preF_opts_iss)</f>
        <v/>
      </c>
    </row>
    <row r="305">
      <c r="B305">
        <f>N304</f>
        <v/>
      </c>
      <c r="C305">
        <f>OCP_D*(preF_FD + F_primary/OCP_D)/(preF_FD + F_primary/B305)</f>
        <v/>
      </c>
      <c r="D305">
        <f>OCP_E*(preF_FD + F_primary/OCP_E)/(preF_FD + F_primary/B305)</f>
        <v/>
      </c>
      <c r="E305">
        <f>D_sh*(OCP_D/C305 - 1)</f>
        <v/>
      </c>
      <c r="F305">
        <f>E_sh*(OCP_E/D305 - 1)</f>
        <v/>
      </c>
      <c r="G305">
        <f>(preF_FD + E305 + F305 - preF_opts + J304 + K304 + F_primary/B305)/(1-B270)</f>
        <v/>
      </c>
      <c r="H305">
        <f>MAX(0, B270*G305 - preF_opts)</f>
        <v/>
      </c>
      <c r="I305">
        <f>preF_FD + E305 + F305 + H305</f>
        <v/>
      </c>
      <c r="J305">
        <f>NA_P/MIN(NA_cap/(I305+K304), (1-NA_disc)*B305)</f>
        <v/>
      </c>
      <c r="K305">
        <f>NB_P/MIN(NB_cap/(I305+J305), (1-NB_disc)*B305)</f>
        <v/>
      </c>
      <c r="L305">
        <f>F_primary/B305</f>
        <v/>
      </c>
      <c r="M305">
        <f>I305+J305+K305</f>
        <v/>
      </c>
      <c r="N305">
        <f>D270/M305</f>
        <v/>
      </c>
      <c r="O305">
        <f>IF(Y304*L305 &gt; F_primary, 1, 0)</f>
        <v/>
      </c>
      <c r="P305">
        <f>IF(Y304*(E_sh + F305) &gt; E_inv, 1, 0)</f>
        <v/>
      </c>
      <c r="Q305">
        <f>IF(Y304*(D_sh + E305) &gt; D_inv, 1, 0)</f>
        <v/>
      </c>
      <c r="R305">
        <f>IF(Y304*C_sh &gt; C_inv, 1, 0)</f>
        <v/>
      </c>
      <c r="S305">
        <f>IF(Y304*B_sh &gt; B_inv, 1, 0)</f>
        <v/>
      </c>
      <c r="T305">
        <f>IF(Y304*A_sh &gt; A_inv, 1, 0)</f>
        <v/>
      </c>
      <c r="U305">
        <f>IF(Y304*seed_sh &gt; seed_inv, 1, 0)</f>
        <v/>
      </c>
      <c r="V305">
        <f>(1-O305)*F_primary+(1-P305)*E_inv+(1-Q305)*D_inv+(1-R305)*C_inv+(1-S305)*B_inv+(1-T305)*A_inv+(1-U305)*seed_inv</f>
        <v/>
      </c>
      <c r="W305">
        <f>MAX(0, sens_exit - V305)</f>
        <v/>
      </c>
      <c r="X305">
        <f>F1_sh+F2_sh+F3_sh+RSA_sh+J305+K305+O305*L305+P305*(E_sh + F305)+Q305*(D_sh + E305)+R305*C_sh+S305*B_sh+T305*A_sh+U305*seed_sh</f>
        <v/>
      </c>
      <c r="Y305">
        <f>(W305 + preF_opts_iss*opt_strike)/(X305 + preF_opts_iss)</f>
        <v/>
      </c>
    </row>
    <row r="306">
      <c r="B306">
        <f>N305</f>
        <v/>
      </c>
      <c r="C306">
        <f>OCP_D*(preF_FD + F_primary/OCP_D)/(preF_FD + F_primary/B306)</f>
        <v/>
      </c>
      <c r="D306">
        <f>OCP_E*(preF_FD + F_primary/OCP_E)/(preF_FD + F_primary/B306)</f>
        <v/>
      </c>
      <c r="E306">
        <f>D_sh*(OCP_D/C306 - 1)</f>
        <v/>
      </c>
      <c r="F306">
        <f>E_sh*(OCP_E/D306 - 1)</f>
        <v/>
      </c>
      <c r="G306">
        <f>(preF_FD + E306 + F306 - preF_opts + J305 + K305 + F_primary/B306)/(1-B270)</f>
        <v/>
      </c>
      <c r="H306">
        <f>MAX(0, B270*G306 - preF_opts)</f>
        <v/>
      </c>
      <c r="I306">
        <f>preF_FD + E306 + F306 + H306</f>
        <v/>
      </c>
      <c r="J306">
        <f>NA_P/MIN(NA_cap/(I306+K305), (1-NA_disc)*B306)</f>
        <v/>
      </c>
      <c r="K306">
        <f>NB_P/MIN(NB_cap/(I306+J306), (1-NB_disc)*B306)</f>
        <v/>
      </c>
      <c r="L306">
        <f>F_primary/B306</f>
        <v/>
      </c>
      <c r="M306">
        <f>I306+J306+K306</f>
        <v/>
      </c>
      <c r="N306">
        <f>D270/M306</f>
        <v/>
      </c>
      <c r="O306">
        <f>IF(Y305*L306 &gt; F_primary, 1, 0)</f>
        <v/>
      </c>
      <c r="P306">
        <f>IF(Y305*(E_sh + F306) &gt; E_inv, 1, 0)</f>
        <v/>
      </c>
      <c r="Q306">
        <f>IF(Y305*(D_sh + E306) &gt; D_inv, 1, 0)</f>
        <v/>
      </c>
      <c r="R306">
        <f>IF(Y305*C_sh &gt; C_inv, 1, 0)</f>
        <v/>
      </c>
      <c r="S306">
        <f>IF(Y305*B_sh &gt; B_inv, 1, 0)</f>
        <v/>
      </c>
      <c r="T306">
        <f>IF(Y305*A_sh &gt; A_inv, 1, 0)</f>
        <v/>
      </c>
      <c r="U306">
        <f>IF(Y305*seed_sh &gt; seed_inv, 1, 0)</f>
        <v/>
      </c>
      <c r="V306">
        <f>(1-O306)*F_primary+(1-P306)*E_inv+(1-Q306)*D_inv+(1-R306)*C_inv+(1-S306)*B_inv+(1-T306)*A_inv+(1-U306)*seed_inv</f>
        <v/>
      </c>
      <c r="W306">
        <f>MAX(0, sens_exit - V306)</f>
        <v/>
      </c>
      <c r="X306">
        <f>F1_sh+F2_sh+F3_sh+RSA_sh+J306+K306+O306*L306+P306*(E_sh + F306)+Q306*(D_sh + E306)+R306*C_sh+S306*B_sh+T306*A_sh+U306*seed_sh</f>
        <v/>
      </c>
      <c r="Y306">
        <f>(W306 + preF_opts_iss*opt_strike)/(X306 + preF_opts_iss)</f>
        <v/>
      </c>
    </row>
    <row r="307">
      <c r="B307">
        <f>N306</f>
        <v/>
      </c>
      <c r="C307">
        <f>OCP_D*(preF_FD + F_primary/OCP_D)/(preF_FD + F_primary/B307)</f>
        <v/>
      </c>
      <c r="D307">
        <f>OCP_E*(preF_FD + F_primary/OCP_E)/(preF_FD + F_primary/B307)</f>
        <v/>
      </c>
      <c r="E307">
        <f>D_sh*(OCP_D/C307 - 1)</f>
        <v/>
      </c>
      <c r="F307">
        <f>E_sh*(OCP_E/D307 - 1)</f>
        <v/>
      </c>
      <c r="G307">
        <f>(preF_FD + E307 + F307 - preF_opts + J306 + K306 + F_primary/B307)/(1-B270)</f>
        <v/>
      </c>
      <c r="H307">
        <f>MAX(0, B270*G307 - preF_opts)</f>
        <v/>
      </c>
      <c r="I307">
        <f>preF_FD + E307 + F307 + H307</f>
        <v/>
      </c>
      <c r="J307">
        <f>NA_P/MIN(NA_cap/(I307+K306), (1-NA_disc)*B307)</f>
        <v/>
      </c>
      <c r="K307">
        <f>NB_P/MIN(NB_cap/(I307+J307), (1-NB_disc)*B307)</f>
        <v/>
      </c>
      <c r="L307">
        <f>F_primary/B307</f>
        <v/>
      </c>
      <c r="M307">
        <f>I307+J307+K307</f>
        <v/>
      </c>
      <c r="N307">
        <f>D270/M307</f>
        <v/>
      </c>
      <c r="O307">
        <f>IF(Y306*L307 &gt; F_primary, 1, 0)</f>
        <v/>
      </c>
      <c r="P307">
        <f>IF(Y306*(E_sh + F307) &gt; E_inv, 1, 0)</f>
        <v/>
      </c>
      <c r="Q307">
        <f>IF(Y306*(D_sh + E307) &gt; D_inv, 1, 0)</f>
        <v/>
      </c>
      <c r="R307">
        <f>IF(Y306*C_sh &gt; C_inv, 1, 0)</f>
        <v/>
      </c>
      <c r="S307">
        <f>IF(Y306*B_sh &gt; B_inv, 1, 0)</f>
        <v/>
      </c>
      <c r="T307">
        <f>IF(Y306*A_sh &gt; A_inv, 1, 0)</f>
        <v/>
      </c>
      <c r="U307">
        <f>IF(Y306*seed_sh &gt; seed_inv, 1, 0)</f>
        <v/>
      </c>
      <c r="V307">
        <f>(1-O307)*F_primary+(1-P307)*E_inv+(1-Q307)*D_inv+(1-R307)*C_inv+(1-S307)*B_inv+(1-T307)*A_inv+(1-U307)*seed_inv</f>
        <v/>
      </c>
      <c r="W307">
        <f>MAX(0, sens_exit - V307)</f>
        <v/>
      </c>
      <c r="X307">
        <f>F1_sh+F2_sh+F3_sh+RSA_sh+J307+K307+O307*L307+P307*(E_sh + F307)+Q307*(D_sh + E307)+R307*C_sh+S307*B_sh+T307*A_sh+U307*seed_sh</f>
        <v/>
      </c>
      <c r="Y307">
        <f>(W307 + preF_opts_iss*opt_strike)/(X307 + preF_opts_iss)</f>
        <v/>
      </c>
    </row>
    <row r="308">
      <c r="B308">
        <f>N307</f>
        <v/>
      </c>
      <c r="C308">
        <f>OCP_D*(preF_FD + F_primary/OCP_D)/(preF_FD + F_primary/B308)</f>
        <v/>
      </c>
      <c r="D308">
        <f>OCP_E*(preF_FD + F_primary/OCP_E)/(preF_FD + F_primary/B308)</f>
        <v/>
      </c>
      <c r="E308">
        <f>D_sh*(OCP_D/C308 - 1)</f>
        <v/>
      </c>
      <c r="F308">
        <f>E_sh*(OCP_E/D308 - 1)</f>
        <v/>
      </c>
      <c r="G308">
        <f>(preF_FD + E308 + F308 - preF_opts + J307 + K307 + F_primary/B308)/(1-B270)</f>
        <v/>
      </c>
      <c r="H308">
        <f>MAX(0, B270*G308 - preF_opts)</f>
        <v/>
      </c>
      <c r="I308">
        <f>preF_FD + E308 + F308 + H308</f>
        <v/>
      </c>
      <c r="J308">
        <f>NA_P/MIN(NA_cap/(I308+K307), (1-NA_disc)*B308)</f>
        <v/>
      </c>
      <c r="K308">
        <f>NB_P/MIN(NB_cap/(I308+J308), (1-NB_disc)*B308)</f>
        <v/>
      </c>
      <c r="L308">
        <f>F_primary/B308</f>
        <v/>
      </c>
      <c r="M308">
        <f>I308+J308+K308</f>
        <v/>
      </c>
      <c r="N308">
        <f>D270/M308</f>
        <v/>
      </c>
      <c r="O308">
        <f>IF(Y307*L308 &gt; F_primary, 1, 0)</f>
        <v/>
      </c>
      <c r="P308">
        <f>IF(Y307*(E_sh + F308) &gt; E_inv, 1, 0)</f>
        <v/>
      </c>
      <c r="Q308">
        <f>IF(Y307*(D_sh + E308) &gt; D_inv, 1, 0)</f>
        <v/>
      </c>
      <c r="R308">
        <f>IF(Y307*C_sh &gt; C_inv, 1, 0)</f>
        <v/>
      </c>
      <c r="S308">
        <f>IF(Y307*B_sh &gt; B_inv, 1, 0)</f>
        <v/>
      </c>
      <c r="T308">
        <f>IF(Y307*A_sh &gt; A_inv, 1, 0)</f>
        <v/>
      </c>
      <c r="U308">
        <f>IF(Y307*seed_sh &gt; seed_inv, 1, 0)</f>
        <v/>
      </c>
      <c r="V308">
        <f>(1-O308)*F_primary+(1-P308)*E_inv+(1-Q308)*D_inv+(1-R308)*C_inv+(1-S308)*B_inv+(1-T308)*A_inv+(1-U308)*seed_inv</f>
        <v/>
      </c>
      <c r="W308">
        <f>MAX(0, sens_exit - V308)</f>
        <v/>
      </c>
      <c r="X308">
        <f>F1_sh+F2_sh+F3_sh+RSA_sh+J308+K308+O308*L308+P308*(E_sh + F308)+Q308*(D_sh + E308)+R308*C_sh+S308*B_sh+T308*A_sh+U308*seed_sh</f>
        <v/>
      </c>
      <c r="Y308">
        <f>(W308 + preF_opts_iss*opt_strike)/(X308 + preF_opts_iss)</f>
        <v/>
      </c>
    </row>
    <row r="309">
      <c r="A309" s="6" t="inlineStr">
        <is>
          <t>--- Scenario 8: ESOP=sens_e_hi, Pre-money=sens_p_md ---</t>
        </is>
      </c>
    </row>
    <row r="310">
      <c r="A310" s="6" t="inlineStr">
        <is>
          <t>ESOP</t>
        </is>
      </c>
      <c r="B310">
        <f>sens_e_hi</f>
        <v/>
      </c>
      <c r="C310" s="6" t="inlineStr">
        <is>
          <t>Pre-money</t>
        </is>
      </c>
      <c r="D310">
        <f>sens_p_md</f>
        <v/>
      </c>
      <c r="E310" s="6" t="inlineStr">
        <is>
          <t>F_PPS</t>
        </is>
      </c>
      <c r="F310">
        <f>N348</f>
        <v/>
      </c>
      <c r="G310" s="6" t="inlineStr">
        <is>
          <t>T_F</t>
        </is>
      </c>
      <c r="H310">
        <f>I348+J348+K348+L348</f>
        <v/>
      </c>
      <c r="I310" s="6" t="inlineStr">
        <is>
          <t>NA_sh</t>
        </is>
      </c>
      <c r="J310">
        <f>J348</f>
        <v/>
      </c>
      <c r="K310" s="6" t="inlineStr">
        <is>
          <t>NB_sh</t>
        </is>
      </c>
      <c r="L310">
        <f>K348</f>
        <v/>
      </c>
      <c r="M310" s="6" t="inlineStr">
        <is>
          <t>NA_branch</t>
        </is>
      </c>
      <c r="N310">
        <f>IF(NA_cap/(I348+K348) &lt; (1-NA_disc)*N348, "cap", "discount")</f>
        <v/>
      </c>
      <c r="O310" s="6" t="inlineStr">
        <is>
          <t>NB_branch</t>
        </is>
      </c>
      <c r="P310">
        <f>IF(NB_cap/(I348+J348) &lt; (1-NB_disc)*N348, "cap", "discount")</f>
        <v/>
      </c>
    </row>
    <row r="311">
      <c r="A311" s="6" t="inlineStr">
        <is>
          <t>our_sh</t>
        </is>
      </c>
      <c r="B311">
        <f>our_check/F310</f>
        <v/>
      </c>
      <c r="C311" s="6" t="inlineStr">
        <is>
          <t>own%</t>
        </is>
      </c>
      <c r="D311" s="5">
        <f>B311/H310</f>
        <v/>
      </c>
      <c r="E311" s="6" t="inlineStr">
        <is>
          <t>F_election</t>
        </is>
      </c>
      <c r="F311">
        <f>IF(Y348*L348 &gt; F_primary, "convert", "preference")</f>
        <v/>
      </c>
      <c r="G311" s="6" t="inlineStr">
        <is>
          <t>F_payout</t>
        </is>
      </c>
      <c r="H311" s="8">
        <f>IF(F311="convert", Y348*L348, F_primary)</f>
        <v/>
      </c>
      <c r="I311" s="6" t="inlineStr">
        <is>
          <t>our_$</t>
        </is>
      </c>
      <c r="J311" s="8">
        <f>H311*our_check/F_primary</f>
        <v/>
      </c>
    </row>
    <row r="313">
      <c r="A313" s="6" t="inlineStr">
        <is>
          <t>iter</t>
        </is>
      </c>
      <c r="B313" s="6" t="inlineStr">
        <is>
          <t>F_PPS_in</t>
        </is>
      </c>
      <c r="C313" s="6" t="inlineStr">
        <is>
          <t>NCP_D</t>
        </is>
      </c>
      <c r="D313" s="6" t="inlineStr">
        <is>
          <t>NCP_E</t>
        </is>
      </c>
      <c r="E313" s="6" t="inlineStr">
        <is>
          <t>extras_D</t>
        </is>
      </c>
      <c r="F313" s="6" t="inlineStr">
        <is>
          <t>extras_E</t>
        </is>
      </c>
      <c r="G313" s="6" t="inlineStr">
        <is>
          <t>T_F</t>
        </is>
      </c>
      <c r="H313" s="6" t="inlineStr">
        <is>
          <t>topup</t>
        </is>
      </c>
      <c r="I313" s="6" t="inlineStr">
        <is>
          <t>preFD_nn</t>
        </is>
      </c>
      <c r="J313" s="6" t="inlineStr">
        <is>
          <t>NA_sh</t>
        </is>
      </c>
      <c r="K313" s="6" t="inlineStr">
        <is>
          <t>NB_sh</t>
        </is>
      </c>
      <c r="L313" s="6" t="inlineStr">
        <is>
          <t>F_prim_sh</t>
        </is>
      </c>
      <c r="M313" s="6" t="inlineStr">
        <is>
          <t>T_pre</t>
        </is>
      </c>
      <c r="N313" s="6" t="inlineStr">
        <is>
          <t>F_PPS_out</t>
        </is>
      </c>
      <c r="O313" s="6" t="inlineStr">
        <is>
          <t>ic_F</t>
        </is>
      </c>
      <c r="P313" s="6" t="inlineStr">
        <is>
          <t>ic_E</t>
        </is>
      </c>
      <c r="Q313" s="6" t="inlineStr">
        <is>
          <t>ic_D</t>
        </is>
      </c>
      <c r="R313" s="6" t="inlineStr">
        <is>
          <t>ic_C</t>
        </is>
      </c>
      <c r="S313" s="6" t="inlineStr">
        <is>
          <t>ic_B</t>
        </is>
      </c>
      <c r="T313" s="6" t="inlineStr">
        <is>
          <t>ic_A</t>
        </is>
      </c>
      <c r="U313" s="6" t="inlineStr">
        <is>
          <t>ic_Seed</t>
        </is>
      </c>
      <c r="V313" s="6" t="inlineStr">
        <is>
          <t>prefs_paid</t>
        </is>
      </c>
      <c r="W313" s="6" t="inlineStr">
        <is>
          <t>residual</t>
        </is>
      </c>
      <c r="X313" s="6" t="inlineStr">
        <is>
          <t>cv_shares</t>
        </is>
      </c>
      <c r="Y313" s="6" t="inlineStr">
        <is>
          <t>PPS_2B</t>
        </is>
      </c>
    </row>
    <row r="314">
      <c r="B314">
        <f>D310/preF_FD</f>
        <v/>
      </c>
      <c r="C314">
        <f>OCP_D*(preF_FD + F_primary/OCP_D)/(preF_FD + F_primary/B314)</f>
        <v/>
      </c>
      <c r="D314">
        <f>OCP_E*(preF_FD + F_primary/OCP_E)/(preF_FD + F_primary/B314)</f>
        <v/>
      </c>
      <c r="E314">
        <f>D_sh*(OCP_D/C314 - 1)</f>
        <v/>
      </c>
      <c r="F314">
        <f>E_sh*(OCP_E/D314 - 1)</f>
        <v/>
      </c>
      <c r="G314">
        <f>(preF_FD + E314 + F314 - preF_opts + 0 + 0 + F_primary/B314)/(1-B310)</f>
        <v/>
      </c>
      <c r="H314">
        <f>MAX(0, B310*G314 - preF_opts)</f>
        <v/>
      </c>
      <c r="I314">
        <f>preF_FD + E314 + F314 + H314</f>
        <v/>
      </c>
      <c r="J314">
        <f>NA_P/MIN(NA_cap/(I314+0), (1-NA_disc)*B314)</f>
        <v/>
      </c>
      <c r="K314">
        <f>NB_P/MIN(NB_cap/(I314+J314), (1-NB_disc)*B314)</f>
        <v/>
      </c>
      <c r="L314">
        <f>F_primary/B314</f>
        <v/>
      </c>
      <c r="M314">
        <f>I314+J314+K314</f>
        <v/>
      </c>
      <c r="N314">
        <f>D310/M314</f>
        <v/>
      </c>
      <c r="O314">
        <f>IF(0*L314 &gt; F_primary, 1, 0)</f>
        <v/>
      </c>
      <c r="P314">
        <f>IF(0*(E_sh + F314) &gt; E_inv, 1, 0)</f>
        <v/>
      </c>
      <c r="Q314">
        <f>IF(0*(D_sh + E314) &gt; D_inv, 1, 0)</f>
        <v/>
      </c>
      <c r="R314">
        <f>IF(0*C_sh &gt; C_inv, 1, 0)</f>
        <v/>
      </c>
      <c r="S314">
        <f>IF(0*B_sh &gt; B_inv, 1, 0)</f>
        <v/>
      </c>
      <c r="T314">
        <f>IF(0*A_sh &gt; A_inv, 1, 0)</f>
        <v/>
      </c>
      <c r="U314">
        <f>IF(0*seed_sh &gt; seed_inv, 1, 0)</f>
        <v/>
      </c>
      <c r="V314">
        <f>(1-O314)*F_primary+(1-P314)*E_inv+(1-Q314)*D_inv+(1-R314)*C_inv+(1-S314)*B_inv+(1-T314)*A_inv+(1-U314)*seed_inv</f>
        <v/>
      </c>
      <c r="W314">
        <f>MAX(0, sens_exit - V314)</f>
        <v/>
      </c>
      <c r="X314">
        <f>F1_sh+F2_sh+F3_sh+RSA_sh+J314+K314+O314*L314+P314*(E_sh + F314)+Q314*(D_sh + E314)+R314*C_sh+S314*B_sh+T314*A_sh+U314*seed_sh</f>
        <v/>
      </c>
      <c r="Y314">
        <f>(W314 + preF_opts_iss*opt_strike)/(X314 + preF_opts_iss)</f>
        <v/>
      </c>
    </row>
    <row r="315">
      <c r="B315">
        <f>N314</f>
        <v/>
      </c>
      <c r="C315">
        <f>OCP_D*(preF_FD + F_primary/OCP_D)/(preF_FD + F_primary/B315)</f>
        <v/>
      </c>
      <c r="D315">
        <f>OCP_E*(preF_FD + F_primary/OCP_E)/(preF_FD + F_primary/B315)</f>
        <v/>
      </c>
      <c r="E315">
        <f>D_sh*(OCP_D/C315 - 1)</f>
        <v/>
      </c>
      <c r="F315">
        <f>E_sh*(OCP_E/D315 - 1)</f>
        <v/>
      </c>
      <c r="G315">
        <f>(preF_FD + E315 + F315 - preF_opts + J314 + K314 + F_primary/B315)/(1-B310)</f>
        <v/>
      </c>
      <c r="H315">
        <f>MAX(0, B310*G315 - preF_opts)</f>
        <v/>
      </c>
      <c r="I315">
        <f>preF_FD + E315 + F315 + H315</f>
        <v/>
      </c>
      <c r="J315">
        <f>NA_P/MIN(NA_cap/(I315+K314), (1-NA_disc)*B315)</f>
        <v/>
      </c>
      <c r="K315">
        <f>NB_P/MIN(NB_cap/(I315+J315), (1-NB_disc)*B315)</f>
        <v/>
      </c>
      <c r="L315">
        <f>F_primary/B315</f>
        <v/>
      </c>
      <c r="M315">
        <f>I315+J315+K315</f>
        <v/>
      </c>
      <c r="N315">
        <f>D310/M315</f>
        <v/>
      </c>
      <c r="O315">
        <f>IF(Y314*L315 &gt; F_primary, 1, 0)</f>
        <v/>
      </c>
      <c r="P315">
        <f>IF(Y314*(E_sh + F315) &gt; E_inv, 1, 0)</f>
        <v/>
      </c>
      <c r="Q315">
        <f>IF(Y314*(D_sh + E315) &gt; D_inv, 1, 0)</f>
        <v/>
      </c>
      <c r="R315">
        <f>IF(Y314*C_sh &gt; C_inv, 1, 0)</f>
        <v/>
      </c>
      <c r="S315">
        <f>IF(Y314*B_sh &gt; B_inv, 1, 0)</f>
        <v/>
      </c>
      <c r="T315">
        <f>IF(Y314*A_sh &gt; A_inv, 1, 0)</f>
        <v/>
      </c>
      <c r="U315">
        <f>IF(Y314*seed_sh &gt; seed_inv, 1, 0)</f>
        <v/>
      </c>
      <c r="V315">
        <f>(1-O315)*F_primary+(1-P315)*E_inv+(1-Q315)*D_inv+(1-R315)*C_inv+(1-S315)*B_inv+(1-T315)*A_inv+(1-U315)*seed_inv</f>
        <v/>
      </c>
      <c r="W315">
        <f>MAX(0, sens_exit - V315)</f>
        <v/>
      </c>
      <c r="X315">
        <f>F1_sh+F2_sh+F3_sh+RSA_sh+J315+K315+O315*L315+P315*(E_sh + F315)+Q315*(D_sh + E315)+R315*C_sh+S315*B_sh+T315*A_sh+U315*seed_sh</f>
        <v/>
      </c>
      <c r="Y315">
        <f>(W315 + preF_opts_iss*opt_strike)/(X315 + preF_opts_iss)</f>
        <v/>
      </c>
    </row>
    <row r="316">
      <c r="B316">
        <f>N315</f>
        <v/>
      </c>
      <c r="C316">
        <f>OCP_D*(preF_FD + F_primary/OCP_D)/(preF_FD + F_primary/B316)</f>
        <v/>
      </c>
      <c r="D316">
        <f>OCP_E*(preF_FD + F_primary/OCP_E)/(preF_FD + F_primary/B316)</f>
        <v/>
      </c>
      <c r="E316">
        <f>D_sh*(OCP_D/C316 - 1)</f>
        <v/>
      </c>
      <c r="F316">
        <f>E_sh*(OCP_E/D316 - 1)</f>
        <v/>
      </c>
      <c r="G316">
        <f>(preF_FD + E316 + F316 - preF_opts + J315 + K315 + F_primary/B316)/(1-B310)</f>
        <v/>
      </c>
      <c r="H316">
        <f>MAX(0, B310*G316 - preF_opts)</f>
        <v/>
      </c>
      <c r="I316">
        <f>preF_FD + E316 + F316 + H316</f>
        <v/>
      </c>
      <c r="J316">
        <f>NA_P/MIN(NA_cap/(I316+K315), (1-NA_disc)*B316)</f>
        <v/>
      </c>
      <c r="K316">
        <f>NB_P/MIN(NB_cap/(I316+J316), (1-NB_disc)*B316)</f>
        <v/>
      </c>
      <c r="L316">
        <f>F_primary/B316</f>
        <v/>
      </c>
      <c r="M316">
        <f>I316+J316+K316</f>
        <v/>
      </c>
      <c r="N316">
        <f>D310/M316</f>
        <v/>
      </c>
      <c r="O316">
        <f>IF(Y315*L316 &gt; F_primary, 1, 0)</f>
        <v/>
      </c>
      <c r="P316">
        <f>IF(Y315*(E_sh + F316) &gt; E_inv, 1, 0)</f>
        <v/>
      </c>
      <c r="Q316">
        <f>IF(Y315*(D_sh + E316) &gt; D_inv, 1, 0)</f>
        <v/>
      </c>
      <c r="R316">
        <f>IF(Y315*C_sh &gt; C_inv, 1, 0)</f>
        <v/>
      </c>
      <c r="S316">
        <f>IF(Y315*B_sh &gt; B_inv, 1, 0)</f>
        <v/>
      </c>
      <c r="T316">
        <f>IF(Y315*A_sh &gt; A_inv, 1, 0)</f>
        <v/>
      </c>
      <c r="U316">
        <f>IF(Y315*seed_sh &gt; seed_inv, 1, 0)</f>
        <v/>
      </c>
      <c r="V316">
        <f>(1-O316)*F_primary+(1-P316)*E_inv+(1-Q316)*D_inv+(1-R316)*C_inv+(1-S316)*B_inv+(1-T316)*A_inv+(1-U316)*seed_inv</f>
        <v/>
      </c>
      <c r="W316">
        <f>MAX(0, sens_exit - V316)</f>
        <v/>
      </c>
      <c r="X316">
        <f>F1_sh+F2_sh+F3_sh+RSA_sh+J316+K316+O316*L316+P316*(E_sh + F316)+Q316*(D_sh + E316)+R316*C_sh+S316*B_sh+T316*A_sh+U316*seed_sh</f>
        <v/>
      </c>
      <c r="Y316">
        <f>(W316 + preF_opts_iss*opt_strike)/(X316 + preF_opts_iss)</f>
        <v/>
      </c>
    </row>
    <row r="317">
      <c r="B317">
        <f>N316</f>
        <v/>
      </c>
      <c r="C317">
        <f>OCP_D*(preF_FD + F_primary/OCP_D)/(preF_FD + F_primary/B317)</f>
        <v/>
      </c>
      <c r="D317">
        <f>OCP_E*(preF_FD + F_primary/OCP_E)/(preF_FD + F_primary/B317)</f>
        <v/>
      </c>
      <c r="E317">
        <f>D_sh*(OCP_D/C317 - 1)</f>
        <v/>
      </c>
      <c r="F317">
        <f>E_sh*(OCP_E/D317 - 1)</f>
        <v/>
      </c>
      <c r="G317">
        <f>(preF_FD + E317 + F317 - preF_opts + J316 + K316 + F_primary/B317)/(1-B310)</f>
        <v/>
      </c>
      <c r="H317">
        <f>MAX(0, B310*G317 - preF_opts)</f>
        <v/>
      </c>
      <c r="I317">
        <f>preF_FD + E317 + F317 + H317</f>
        <v/>
      </c>
      <c r="J317">
        <f>NA_P/MIN(NA_cap/(I317+K316), (1-NA_disc)*B317)</f>
        <v/>
      </c>
      <c r="K317">
        <f>NB_P/MIN(NB_cap/(I317+J317), (1-NB_disc)*B317)</f>
        <v/>
      </c>
      <c r="L317">
        <f>F_primary/B317</f>
        <v/>
      </c>
      <c r="M317">
        <f>I317+J317+K317</f>
        <v/>
      </c>
      <c r="N317">
        <f>D310/M317</f>
        <v/>
      </c>
      <c r="O317">
        <f>IF(Y316*L317 &gt; F_primary, 1, 0)</f>
        <v/>
      </c>
      <c r="P317">
        <f>IF(Y316*(E_sh + F317) &gt; E_inv, 1, 0)</f>
        <v/>
      </c>
      <c r="Q317">
        <f>IF(Y316*(D_sh + E317) &gt; D_inv, 1, 0)</f>
        <v/>
      </c>
      <c r="R317">
        <f>IF(Y316*C_sh &gt; C_inv, 1, 0)</f>
        <v/>
      </c>
      <c r="S317">
        <f>IF(Y316*B_sh &gt; B_inv, 1, 0)</f>
        <v/>
      </c>
      <c r="T317">
        <f>IF(Y316*A_sh &gt; A_inv, 1, 0)</f>
        <v/>
      </c>
      <c r="U317">
        <f>IF(Y316*seed_sh &gt; seed_inv, 1, 0)</f>
        <v/>
      </c>
      <c r="V317">
        <f>(1-O317)*F_primary+(1-P317)*E_inv+(1-Q317)*D_inv+(1-R317)*C_inv+(1-S317)*B_inv+(1-T317)*A_inv+(1-U317)*seed_inv</f>
        <v/>
      </c>
      <c r="W317">
        <f>MAX(0, sens_exit - V317)</f>
        <v/>
      </c>
      <c r="X317">
        <f>F1_sh+F2_sh+F3_sh+RSA_sh+J317+K317+O317*L317+P317*(E_sh + F317)+Q317*(D_sh + E317)+R317*C_sh+S317*B_sh+T317*A_sh+U317*seed_sh</f>
        <v/>
      </c>
      <c r="Y317">
        <f>(W317 + preF_opts_iss*opt_strike)/(X317 + preF_opts_iss)</f>
        <v/>
      </c>
    </row>
    <row r="318">
      <c r="B318">
        <f>N317</f>
        <v/>
      </c>
      <c r="C318">
        <f>OCP_D*(preF_FD + F_primary/OCP_D)/(preF_FD + F_primary/B318)</f>
        <v/>
      </c>
      <c r="D318">
        <f>OCP_E*(preF_FD + F_primary/OCP_E)/(preF_FD + F_primary/B318)</f>
        <v/>
      </c>
      <c r="E318">
        <f>D_sh*(OCP_D/C318 - 1)</f>
        <v/>
      </c>
      <c r="F318">
        <f>E_sh*(OCP_E/D318 - 1)</f>
        <v/>
      </c>
      <c r="G318">
        <f>(preF_FD + E318 + F318 - preF_opts + J317 + K317 + F_primary/B318)/(1-B310)</f>
        <v/>
      </c>
      <c r="H318">
        <f>MAX(0, B310*G318 - preF_opts)</f>
        <v/>
      </c>
      <c r="I318">
        <f>preF_FD + E318 + F318 + H318</f>
        <v/>
      </c>
      <c r="J318">
        <f>NA_P/MIN(NA_cap/(I318+K317), (1-NA_disc)*B318)</f>
        <v/>
      </c>
      <c r="K318">
        <f>NB_P/MIN(NB_cap/(I318+J318), (1-NB_disc)*B318)</f>
        <v/>
      </c>
      <c r="L318">
        <f>F_primary/B318</f>
        <v/>
      </c>
      <c r="M318">
        <f>I318+J318+K318</f>
        <v/>
      </c>
      <c r="N318">
        <f>D310/M318</f>
        <v/>
      </c>
      <c r="O318">
        <f>IF(Y317*L318 &gt; F_primary, 1, 0)</f>
        <v/>
      </c>
      <c r="P318">
        <f>IF(Y317*(E_sh + F318) &gt; E_inv, 1, 0)</f>
        <v/>
      </c>
      <c r="Q318">
        <f>IF(Y317*(D_sh + E318) &gt; D_inv, 1, 0)</f>
        <v/>
      </c>
      <c r="R318">
        <f>IF(Y317*C_sh &gt; C_inv, 1, 0)</f>
        <v/>
      </c>
      <c r="S318">
        <f>IF(Y317*B_sh &gt; B_inv, 1, 0)</f>
        <v/>
      </c>
      <c r="T318">
        <f>IF(Y317*A_sh &gt; A_inv, 1, 0)</f>
        <v/>
      </c>
      <c r="U318">
        <f>IF(Y317*seed_sh &gt; seed_inv, 1, 0)</f>
        <v/>
      </c>
      <c r="V318">
        <f>(1-O318)*F_primary+(1-P318)*E_inv+(1-Q318)*D_inv+(1-R318)*C_inv+(1-S318)*B_inv+(1-T318)*A_inv+(1-U318)*seed_inv</f>
        <v/>
      </c>
      <c r="W318">
        <f>MAX(0, sens_exit - V318)</f>
        <v/>
      </c>
      <c r="X318">
        <f>F1_sh+F2_sh+F3_sh+RSA_sh+J318+K318+O318*L318+P318*(E_sh + F318)+Q318*(D_sh + E318)+R318*C_sh+S318*B_sh+T318*A_sh+U318*seed_sh</f>
        <v/>
      </c>
      <c r="Y318">
        <f>(W318 + preF_opts_iss*opt_strike)/(X318 + preF_opts_iss)</f>
        <v/>
      </c>
    </row>
    <row r="319">
      <c r="B319">
        <f>N318</f>
        <v/>
      </c>
      <c r="C319">
        <f>OCP_D*(preF_FD + F_primary/OCP_D)/(preF_FD + F_primary/B319)</f>
        <v/>
      </c>
      <c r="D319">
        <f>OCP_E*(preF_FD + F_primary/OCP_E)/(preF_FD + F_primary/B319)</f>
        <v/>
      </c>
      <c r="E319">
        <f>D_sh*(OCP_D/C319 - 1)</f>
        <v/>
      </c>
      <c r="F319">
        <f>E_sh*(OCP_E/D319 - 1)</f>
        <v/>
      </c>
      <c r="G319">
        <f>(preF_FD + E319 + F319 - preF_opts + J318 + K318 + F_primary/B319)/(1-B310)</f>
        <v/>
      </c>
      <c r="H319">
        <f>MAX(0, B310*G319 - preF_opts)</f>
        <v/>
      </c>
      <c r="I319">
        <f>preF_FD + E319 + F319 + H319</f>
        <v/>
      </c>
      <c r="J319">
        <f>NA_P/MIN(NA_cap/(I319+K318), (1-NA_disc)*B319)</f>
        <v/>
      </c>
      <c r="K319">
        <f>NB_P/MIN(NB_cap/(I319+J319), (1-NB_disc)*B319)</f>
        <v/>
      </c>
      <c r="L319">
        <f>F_primary/B319</f>
        <v/>
      </c>
      <c r="M319">
        <f>I319+J319+K319</f>
        <v/>
      </c>
      <c r="N319">
        <f>D310/M319</f>
        <v/>
      </c>
      <c r="O319">
        <f>IF(Y318*L319 &gt; F_primary, 1, 0)</f>
        <v/>
      </c>
      <c r="P319">
        <f>IF(Y318*(E_sh + F319) &gt; E_inv, 1, 0)</f>
        <v/>
      </c>
      <c r="Q319">
        <f>IF(Y318*(D_sh + E319) &gt; D_inv, 1, 0)</f>
        <v/>
      </c>
      <c r="R319">
        <f>IF(Y318*C_sh &gt; C_inv, 1, 0)</f>
        <v/>
      </c>
      <c r="S319">
        <f>IF(Y318*B_sh &gt; B_inv, 1, 0)</f>
        <v/>
      </c>
      <c r="T319">
        <f>IF(Y318*A_sh &gt; A_inv, 1, 0)</f>
        <v/>
      </c>
      <c r="U319">
        <f>IF(Y318*seed_sh &gt; seed_inv, 1, 0)</f>
        <v/>
      </c>
      <c r="V319">
        <f>(1-O319)*F_primary+(1-P319)*E_inv+(1-Q319)*D_inv+(1-R319)*C_inv+(1-S319)*B_inv+(1-T319)*A_inv+(1-U319)*seed_inv</f>
        <v/>
      </c>
      <c r="W319">
        <f>MAX(0, sens_exit - V319)</f>
        <v/>
      </c>
      <c r="X319">
        <f>F1_sh+F2_sh+F3_sh+RSA_sh+J319+K319+O319*L319+P319*(E_sh + F319)+Q319*(D_sh + E319)+R319*C_sh+S319*B_sh+T319*A_sh+U319*seed_sh</f>
        <v/>
      </c>
      <c r="Y319">
        <f>(W319 + preF_opts_iss*opt_strike)/(X319 + preF_opts_iss)</f>
        <v/>
      </c>
    </row>
    <row r="320">
      <c r="B320">
        <f>N319</f>
        <v/>
      </c>
      <c r="C320">
        <f>OCP_D*(preF_FD + F_primary/OCP_D)/(preF_FD + F_primary/B320)</f>
        <v/>
      </c>
      <c r="D320">
        <f>OCP_E*(preF_FD + F_primary/OCP_E)/(preF_FD + F_primary/B320)</f>
        <v/>
      </c>
      <c r="E320">
        <f>D_sh*(OCP_D/C320 - 1)</f>
        <v/>
      </c>
      <c r="F320">
        <f>E_sh*(OCP_E/D320 - 1)</f>
        <v/>
      </c>
      <c r="G320">
        <f>(preF_FD + E320 + F320 - preF_opts + J319 + K319 + F_primary/B320)/(1-B310)</f>
        <v/>
      </c>
      <c r="H320">
        <f>MAX(0, B310*G320 - preF_opts)</f>
        <v/>
      </c>
      <c r="I320">
        <f>preF_FD + E320 + F320 + H320</f>
        <v/>
      </c>
      <c r="J320">
        <f>NA_P/MIN(NA_cap/(I320+K319), (1-NA_disc)*B320)</f>
        <v/>
      </c>
      <c r="K320">
        <f>NB_P/MIN(NB_cap/(I320+J320), (1-NB_disc)*B320)</f>
        <v/>
      </c>
      <c r="L320">
        <f>F_primary/B320</f>
        <v/>
      </c>
      <c r="M320">
        <f>I320+J320+K320</f>
        <v/>
      </c>
      <c r="N320">
        <f>D310/M320</f>
        <v/>
      </c>
      <c r="O320">
        <f>IF(Y319*L320 &gt; F_primary, 1, 0)</f>
        <v/>
      </c>
      <c r="P320">
        <f>IF(Y319*(E_sh + F320) &gt; E_inv, 1, 0)</f>
        <v/>
      </c>
      <c r="Q320">
        <f>IF(Y319*(D_sh + E320) &gt; D_inv, 1, 0)</f>
        <v/>
      </c>
      <c r="R320">
        <f>IF(Y319*C_sh &gt; C_inv, 1, 0)</f>
        <v/>
      </c>
      <c r="S320">
        <f>IF(Y319*B_sh &gt; B_inv, 1, 0)</f>
        <v/>
      </c>
      <c r="T320">
        <f>IF(Y319*A_sh &gt; A_inv, 1, 0)</f>
        <v/>
      </c>
      <c r="U320">
        <f>IF(Y319*seed_sh &gt; seed_inv, 1, 0)</f>
        <v/>
      </c>
      <c r="V320">
        <f>(1-O320)*F_primary+(1-P320)*E_inv+(1-Q320)*D_inv+(1-R320)*C_inv+(1-S320)*B_inv+(1-T320)*A_inv+(1-U320)*seed_inv</f>
        <v/>
      </c>
      <c r="W320">
        <f>MAX(0, sens_exit - V320)</f>
        <v/>
      </c>
      <c r="X320">
        <f>F1_sh+F2_sh+F3_sh+RSA_sh+J320+K320+O320*L320+P320*(E_sh + F320)+Q320*(D_sh + E320)+R320*C_sh+S320*B_sh+T320*A_sh+U320*seed_sh</f>
        <v/>
      </c>
      <c r="Y320">
        <f>(W320 + preF_opts_iss*opt_strike)/(X320 + preF_opts_iss)</f>
        <v/>
      </c>
    </row>
    <row r="321">
      <c r="B321">
        <f>N320</f>
        <v/>
      </c>
      <c r="C321">
        <f>OCP_D*(preF_FD + F_primary/OCP_D)/(preF_FD + F_primary/B321)</f>
        <v/>
      </c>
      <c r="D321">
        <f>OCP_E*(preF_FD + F_primary/OCP_E)/(preF_FD + F_primary/B321)</f>
        <v/>
      </c>
      <c r="E321">
        <f>D_sh*(OCP_D/C321 - 1)</f>
        <v/>
      </c>
      <c r="F321">
        <f>E_sh*(OCP_E/D321 - 1)</f>
        <v/>
      </c>
      <c r="G321">
        <f>(preF_FD + E321 + F321 - preF_opts + J320 + K320 + F_primary/B321)/(1-B310)</f>
        <v/>
      </c>
      <c r="H321">
        <f>MAX(0, B310*G321 - preF_opts)</f>
        <v/>
      </c>
      <c r="I321">
        <f>preF_FD + E321 + F321 + H321</f>
        <v/>
      </c>
      <c r="J321">
        <f>NA_P/MIN(NA_cap/(I321+K320), (1-NA_disc)*B321)</f>
        <v/>
      </c>
      <c r="K321">
        <f>NB_P/MIN(NB_cap/(I321+J321), (1-NB_disc)*B321)</f>
        <v/>
      </c>
      <c r="L321">
        <f>F_primary/B321</f>
        <v/>
      </c>
      <c r="M321">
        <f>I321+J321+K321</f>
        <v/>
      </c>
      <c r="N321">
        <f>D310/M321</f>
        <v/>
      </c>
      <c r="O321">
        <f>IF(Y320*L321 &gt; F_primary, 1, 0)</f>
        <v/>
      </c>
      <c r="P321">
        <f>IF(Y320*(E_sh + F321) &gt; E_inv, 1, 0)</f>
        <v/>
      </c>
      <c r="Q321">
        <f>IF(Y320*(D_sh + E321) &gt; D_inv, 1, 0)</f>
        <v/>
      </c>
      <c r="R321">
        <f>IF(Y320*C_sh &gt; C_inv, 1, 0)</f>
        <v/>
      </c>
      <c r="S321">
        <f>IF(Y320*B_sh &gt; B_inv, 1, 0)</f>
        <v/>
      </c>
      <c r="T321">
        <f>IF(Y320*A_sh &gt; A_inv, 1, 0)</f>
        <v/>
      </c>
      <c r="U321">
        <f>IF(Y320*seed_sh &gt; seed_inv, 1, 0)</f>
        <v/>
      </c>
      <c r="V321">
        <f>(1-O321)*F_primary+(1-P321)*E_inv+(1-Q321)*D_inv+(1-R321)*C_inv+(1-S321)*B_inv+(1-T321)*A_inv+(1-U321)*seed_inv</f>
        <v/>
      </c>
      <c r="W321">
        <f>MAX(0, sens_exit - V321)</f>
        <v/>
      </c>
      <c r="X321">
        <f>F1_sh+F2_sh+F3_sh+RSA_sh+J321+K321+O321*L321+P321*(E_sh + F321)+Q321*(D_sh + E321)+R321*C_sh+S321*B_sh+T321*A_sh+U321*seed_sh</f>
        <v/>
      </c>
      <c r="Y321">
        <f>(W321 + preF_opts_iss*opt_strike)/(X321 + preF_opts_iss)</f>
        <v/>
      </c>
    </row>
    <row r="322">
      <c r="B322">
        <f>N321</f>
        <v/>
      </c>
      <c r="C322">
        <f>OCP_D*(preF_FD + F_primary/OCP_D)/(preF_FD + F_primary/B322)</f>
        <v/>
      </c>
      <c r="D322">
        <f>OCP_E*(preF_FD + F_primary/OCP_E)/(preF_FD + F_primary/B322)</f>
        <v/>
      </c>
      <c r="E322">
        <f>D_sh*(OCP_D/C322 - 1)</f>
        <v/>
      </c>
      <c r="F322">
        <f>E_sh*(OCP_E/D322 - 1)</f>
        <v/>
      </c>
      <c r="G322">
        <f>(preF_FD + E322 + F322 - preF_opts + J321 + K321 + F_primary/B322)/(1-B310)</f>
        <v/>
      </c>
      <c r="H322">
        <f>MAX(0, B310*G322 - preF_opts)</f>
        <v/>
      </c>
      <c r="I322">
        <f>preF_FD + E322 + F322 + H322</f>
        <v/>
      </c>
      <c r="J322">
        <f>NA_P/MIN(NA_cap/(I322+K321), (1-NA_disc)*B322)</f>
        <v/>
      </c>
      <c r="K322">
        <f>NB_P/MIN(NB_cap/(I322+J322), (1-NB_disc)*B322)</f>
        <v/>
      </c>
      <c r="L322">
        <f>F_primary/B322</f>
        <v/>
      </c>
      <c r="M322">
        <f>I322+J322+K322</f>
        <v/>
      </c>
      <c r="N322">
        <f>D310/M322</f>
        <v/>
      </c>
      <c r="O322">
        <f>IF(Y321*L322 &gt; F_primary, 1, 0)</f>
        <v/>
      </c>
      <c r="P322">
        <f>IF(Y321*(E_sh + F322) &gt; E_inv, 1, 0)</f>
        <v/>
      </c>
      <c r="Q322">
        <f>IF(Y321*(D_sh + E322) &gt; D_inv, 1, 0)</f>
        <v/>
      </c>
      <c r="R322">
        <f>IF(Y321*C_sh &gt; C_inv, 1, 0)</f>
        <v/>
      </c>
      <c r="S322">
        <f>IF(Y321*B_sh &gt; B_inv, 1, 0)</f>
        <v/>
      </c>
      <c r="T322">
        <f>IF(Y321*A_sh &gt; A_inv, 1, 0)</f>
        <v/>
      </c>
      <c r="U322">
        <f>IF(Y321*seed_sh &gt; seed_inv, 1, 0)</f>
        <v/>
      </c>
      <c r="V322">
        <f>(1-O322)*F_primary+(1-P322)*E_inv+(1-Q322)*D_inv+(1-R322)*C_inv+(1-S322)*B_inv+(1-T322)*A_inv+(1-U322)*seed_inv</f>
        <v/>
      </c>
      <c r="W322">
        <f>MAX(0, sens_exit - V322)</f>
        <v/>
      </c>
      <c r="X322">
        <f>F1_sh+F2_sh+F3_sh+RSA_sh+J322+K322+O322*L322+P322*(E_sh + F322)+Q322*(D_sh + E322)+R322*C_sh+S322*B_sh+T322*A_sh+U322*seed_sh</f>
        <v/>
      </c>
      <c r="Y322">
        <f>(W322 + preF_opts_iss*opt_strike)/(X322 + preF_opts_iss)</f>
        <v/>
      </c>
    </row>
    <row r="323">
      <c r="B323">
        <f>N322</f>
        <v/>
      </c>
      <c r="C323">
        <f>OCP_D*(preF_FD + F_primary/OCP_D)/(preF_FD + F_primary/B323)</f>
        <v/>
      </c>
      <c r="D323">
        <f>OCP_E*(preF_FD + F_primary/OCP_E)/(preF_FD + F_primary/B323)</f>
        <v/>
      </c>
      <c r="E323">
        <f>D_sh*(OCP_D/C323 - 1)</f>
        <v/>
      </c>
      <c r="F323">
        <f>E_sh*(OCP_E/D323 - 1)</f>
        <v/>
      </c>
      <c r="G323">
        <f>(preF_FD + E323 + F323 - preF_opts + J322 + K322 + F_primary/B323)/(1-B310)</f>
        <v/>
      </c>
      <c r="H323">
        <f>MAX(0, B310*G323 - preF_opts)</f>
        <v/>
      </c>
      <c r="I323">
        <f>preF_FD + E323 + F323 + H323</f>
        <v/>
      </c>
      <c r="J323">
        <f>NA_P/MIN(NA_cap/(I323+K322), (1-NA_disc)*B323)</f>
        <v/>
      </c>
      <c r="K323">
        <f>NB_P/MIN(NB_cap/(I323+J323), (1-NB_disc)*B323)</f>
        <v/>
      </c>
      <c r="L323">
        <f>F_primary/B323</f>
        <v/>
      </c>
      <c r="M323">
        <f>I323+J323+K323</f>
        <v/>
      </c>
      <c r="N323">
        <f>D310/M323</f>
        <v/>
      </c>
      <c r="O323">
        <f>IF(Y322*L323 &gt; F_primary, 1, 0)</f>
        <v/>
      </c>
      <c r="P323">
        <f>IF(Y322*(E_sh + F323) &gt; E_inv, 1, 0)</f>
        <v/>
      </c>
      <c r="Q323">
        <f>IF(Y322*(D_sh + E323) &gt; D_inv, 1, 0)</f>
        <v/>
      </c>
      <c r="R323">
        <f>IF(Y322*C_sh &gt; C_inv, 1, 0)</f>
        <v/>
      </c>
      <c r="S323">
        <f>IF(Y322*B_sh &gt; B_inv, 1, 0)</f>
        <v/>
      </c>
      <c r="T323">
        <f>IF(Y322*A_sh &gt; A_inv, 1, 0)</f>
        <v/>
      </c>
      <c r="U323">
        <f>IF(Y322*seed_sh &gt; seed_inv, 1, 0)</f>
        <v/>
      </c>
      <c r="V323">
        <f>(1-O323)*F_primary+(1-P323)*E_inv+(1-Q323)*D_inv+(1-R323)*C_inv+(1-S323)*B_inv+(1-T323)*A_inv+(1-U323)*seed_inv</f>
        <v/>
      </c>
      <c r="W323">
        <f>MAX(0, sens_exit - V323)</f>
        <v/>
      </c>
      <c r="X323">
        <f>F1_sh+F2_sh+F3_sh+RSA_sh+J323+K323+O323*L323+P323*(E_sh + F323)+Q323*(D_sh + E323)+R323*C_sh+S323*B_sh+T323*A_sh+U323*seed_sh</f>
        <v/>
      </c>
      <c r="Y323">
        <f>(W323 + preF_opts_iss*opt_strike)/(X323 + preF_opts_iss)</f>
        <v/>
      </c>
    </row>
    <row r="324">
      <c r="B324">
        <f>N323</f>
        <v/>
      </c>
      <c r="C324">
        <f>OCP_D*(preF_FD + F_primary/OCP_D)/(preF_FD + F_primary/B324)</f>
        <v/>
      </c>
      <c r="D324">
        <f>OCP_E*(preF_FD + F_primary/OCP_E)/(preF_FD + F_primary/B324)</f>
        <v/>
      </c>
      <c r="E324">
        <f>D_sh*(OCP_D/C324 - 1)</f>
        <v/>
      </c>
      <c r="F324">
        <f>E_sh*(OCP_E/D324 - 1)</f>
        <v/>
      </c>
      <c r="G324">
        <f>(preF_FD + E324 + F324 - preF_opts + J323 + K323 + F_primary/B324)/(1-B310)</f>
        <v/>
      </c>
      <c r="H324">
        <f>MAX(0, B310*G324 - preF_opts)</f>
        <v/>
      </c>
      <c r="I324">
        <f>preF_FD + E324 + F324 + H324</f>
        <v/>
      </c>
      <c r="J324">
        <f>NA_P/MIN(NA_cap/(I324+K323), (1-NA_disc)*B324)</f>
        <v/>
      </c>
      <c r="K324">
        <f>NB_P/MIN(NB_cap/(I324+J324), (1-NB_disc)*B324)</f>
        <v/>
      </c>
      <c r="L324">
        <f>F_primary/B324</f>
        <v/>
      </c>
      <c r="M324">
        <f>I324+J324+K324</f>
        <v/>
      </c>
      <c r="N324">
        <f>D310/M324</f>
        <v/>
      </c>
      <c r="O324">
        <f>IF(Y323*L324 &gt; F_primary, 1, 0)</f>
        <v/>
      </c>
      <c r="P324">
        <f>IF(Y323*(E_sh + F324) &gt; E_inv, 1, 0)</f>
        <v/>
      </c>
      <c r="Q324">
        <f>IF(Y323*(D_sh + E324) &gt; D_inv, 1, 0)</f>
        <v/>
      </c>
      <c r="R324">
        <f>IF(Y323*C_sh &gt; C_inv, 1, 0)</f>
        <v/>
      </c>
      <c r="S324">
        <f>IF(Y323*B_sh &gt; B_inv, 1, 0)</f>
        <v/>
      </c>
      <c r="T324">
        <f>IF(Y323*A_sh &gt; A_inv, 1, 0)</f>
        <v/>
      </c>
      <c r="U324">
        <f>IF(Y323*seed_sh &gt; seed_inv, 1, 0)</f>
        <v/>
      </c>
      <c r="V324">
        <f>(1-O324)*F_primary+(1-P324)*E_inv+(1-Q324)*D_inv+(1-R324)*C_inv+(1-S324)*B_inv+(1-T324)*A_inv+(1-U324)*seed_inv</f>
        <v/>
      </c>
      <c r="W324">
        <f>MAX(0, sens_exit - V324)</f>
        <v/>
      </c>
      <c r="X324">
        <f>F1_sh+F2_sh+F3_sh+RSA_sh+J324+K324+O324*L324+P324*(E_sh + F324)+Q324*(D_sh + E324)+R324*C_sh+S324*B_sh+T324*A_sh+U324*seed_sh</f>
        <v/>
      </c>
      <c r="Y324">
        <f>(W324 + preF_opts_iss*opt_strike)/(X324 + preF_opts_iss)</f>
        <v/>
      </c>
    </row>
    <row r="325">
      <c r="B325">
        <f>N324</f>
        <v/>
      </c>
      <c r="C325">
        <f>OCP_D*(preF_FD + F_primary/OCP_D)/(preF_FD + F_primary/B325)</f>
        <v/>
      </c>
      <c r="D325">
        <f>OCP_E*(preF_FD + F_primary/OCP_E)/(preF_FD + F_primary/B325)</f>
        <v/>
      </c>
      <c r="E325">
        <f>D_sh*(OCP_D/C325 - 1)</f>
        <v/>
      </c>
      <c r="F325">
        <f>E_sh*(OCP_E/D325 - 1)</f>
        <v/>
      </c>
      <c r="G325">
        <f>(preF_FD + E325 + F325 - preF_opts + J324 + K324 + F_primary/B325)/(1-B310)</f>
        <v/>
      </c>
      <c r="H325">
        <f>MAX(0, B310*G325 - preF_opts)</f>
        <v/>
      </c>
      <c r="I325">
        <f>preF_FD + E325 + F325 + H325</f>
        <v/>
      </c>
      <c r="J325">
        <f>NA_P/MIN(NA_cap/(I325+K324), (1-NA_disc)*B325)</f>
        <v/>
      </c>
      <c r="K325">
        <f>NB_P/MIN(NB_cap/(I325+J325), (1-NB_disc)*B325)</f>
        <v/>
      </c>
      <c r="L325">
        <f>F_primary/B325</f>
        <v/>
      </c>
      <c r="M325">
        <f>I325+J325+K325</f>
        <v/>
      </c>
      <c r="N325">
        <f>D310/M325</f>
        <v/>
      </c>
      <c r="O325">
        <f>IF(Y324*L325 &gt; F_primary, 1, 0)</f>
        <v/>
      </c>
      <c r="P325">
        <f>IF(Y324*(E_sh + F325) &gt; E_inv, 1, 0)</f>
        <v/>
      </c>
      <c r="Q325">
        <f>IF(Y324*(D_sh + E325) &gt; D_inv, 1, 0)</f>
        <v/>
      </c>
      <c r="R325">
        <f>IF(Y324*C_sh &gt; C_inv, 1, 0)</f>
        <v/>
      </c>
      <c r="S325">
        <f>IF(Y324*B_sh &gt; B_inv, 1, 0)</f>
        <v/>
      </c>
      <c r="T325">
        <f>IF(Y324*A_sh &gt; A_inv, 1, 0)</f>
        <v/>
      </c>
      <c r="U325">
        <f>IF(Y324*seed_sh &gt; seed_inv, 1, 0)</f>
        <v/>
      </c>
      <c r="V325">
        <f>(1-O325)*F_primary+(1-P325)*E_inv+(1-Q325)*D_inv+(1-R325)*C_inv+(1-S325)*B_inv+(1-T325)*A_inv+(1-U325)*seed_inv</f>
        <v/>
      </c>
      <c r="W325">
        <f>MAX(0, sens_exit - V325)</f>
        <v/>
      </c>
      <c r="X325">
        <f>F1_sh+F2_sh+F3_sh+RSA_sh+J325+K325+O325*L325+P325*(E_sh + F325)+Q325*(D_sh + E325)+R325*C_sh+S325*B_sh+T325*A_sh+U325*seed_sh</f>
        <v/>
      </c>
      <c r="Y325">
        <f>(W325 + preF_opts_iss*opt_strike)/(X325 + preF_opts_iss)</f>
        <v/>
      </c>
    </row>
    <row r="326">
      <c r="B326">
        <f>N325</f>
        <v/>
      </c>
      <c r="C326">
        <f>OCP_D*(preF_FD + F_primary/OCP_D)/(preF_FD + F_primary/B326)</f>
        <v/>
      </c>
      <c r="D326">
        <f>OCP_E*(preF_FD + F_primary/OCP_E)/(preF_FD + F_primary/B326)</f>
        <v/>
      </c>
      <c r="E326">
        <f>D_sh*(OCP_D/C326 - 1)</f>
        <v/>
      </c>
      <c r="F326">
        <f>E_sh*(OCP_E/D326 - 1)</f>
        <v/>
      </c>
      <c r="G326">
        <f>(preF_FD + E326 + F326 - preF_opts + J325 + K325 + F_primary/B326)/(1-B310)</f>
        <v/>
      </c>
      <c r="H326">
        <f>MAX(0, B310*G326 - preF_opts)</f>
        <v/>
      </c>
      <c r="I326">
        <f>preF_FD + E326 + F326 + H326</f>
        <v/>
      </c>
      <c r="J326">
        <f>NA_P/MIN(NA_cap/(I326+K325), (1-NA_disc)*B326)</f>
        <v/>
      </c>
      <c r="K326">
        <f>NB_P/MIN(NB_cap/(I326+J326), (1-NB_disc)*B326)</f>
        <v/>
      </c>
      <c r="L326">
        <f>F_primary/B326</f>
        <v/>
      </c>
      <c r="M326">
        <f>I326+J326+K326</f>
        <v/>
      </c>
      <c r="N326">
        <f>D310/M326</f>
        <v/>
      </c>
      <c r="O326">
        <f>IF(Y325*L326 &gt; F_primary, 1, 0)</f>
        <v/>
      </c>
      <c r="P326">
        <f>IF(Y325*(E_sh + F326) &gt; E_inv, 1, 0)</f>
        <v/>
      </c>
      <c r="Q326">
        <f>IF(Y325*(D_sh + E326) &gt; D_inv, 1, 0)</f>
        <v/>
      </c>
      <c r="R326">
        <f>IF(Y325*C_sh &gt; C_inv, 1, 0)</f>
        <v/>
      </c>
      <c r="S326">
        <f>IF(Y325*B_sh &gt; B_inv, 1, 0)</f>
        <v/>
      </c>
      <c r="T326">
        <f>IF(Y325*A_sh &gt; A_inv, 1, 0)</f>
        <v/>
      </c>
      <c r="U326">
        <f>IF(Y325*seed_sh &gt; seed_inv, 1, 0)</f>
        <v/>
      </c>
      <c r="V326">
        <f>(1-O326)*F_primary+(1-P326)*E_inv+(1-Q326)*D_inv+(1-R326)*C_inv+(1-S326)*B_inv+(1-T326)*A_inv+(1-U326)*seed_inv</f>
        <v/>
      </c>
      <c r="W326">
        <f>MAX(0, sens_exit - V326)</f>
        <v/>
      </c>
      <c r="X326">
        <f>F1_sh+F2_sh+F3_sh+RSA_sh+J326+K326+O326*L326+P326*(E_sh + F326)+Q326*(D_sh + E326)+R326*C_sh+S326*B_sh+T326*A_sh+U326*seed_sh</f>
        <v/>
      </c>
      <c r="Y326">
        <f>(W326 + preF_opts_iss*opt_strike)/(X326 + preF_opts_iss)</f>
        <v/>
      </c>
    </row>
    <row r="327">
      <c r="B327">
        <f>N326</f>
        <v/>
      </c>
      <c r="C327">
        <f>OCP_D*(preF_FD + F_primary/OCP_D)/(preF_FD + F_primary/B327)</f>
        <v/>
      </c>
      <c r="D327">
        <f>OCP_E*(preF_FD + F_primary/OCP_E)/(preF_FD + F_primary/B327)</f>
        <v/>
      </c>
      <c r="E327">
        <f>D_sh*(OCP_D/C327 - 1)</f>
        <v/>
      </c>
      <c r="F327">
        <f>E_sh*(OCP_E/D327 - 1)</f>
        <v/>
      </c>
      <c r="G327">
        <f>(preF_FD + E327 + F327 - preF_opts + J326 + K326 + F_primary/B327)/(1-B310)</f>
        <v/>
      </c>
      <c r="H327">
        <f>MAX(0, B310*G327 - preF_opts)</f>
        <v/>
      </c>
      <c r="I327">
        <f>preF_FD + E327 + F327 + H327</f>
        <v/>
      </c>
      <c r="J327">
        <f>NA_P/MIN(NA_cap/(I327+K326), (1-NA_disc)*B327)</f>
        <v/>
      </c>
      <c r="K327">
        <f>NB_P/MIN(NB_cap/(I327+J327), (1-NB_disc)*B327)</f>
        <v/>
      </c>
      <c r="L327">
        <f>F_primary/B327</f>
        <v/>
      </c>
      <c r="M327">
        <f>I327+J327+K327</f>
        <v/>
      </c>
      <c r="N327">
        <f>D310/M327</f>
        <v/>
      </c>
      <c r="O327">
        <f>IF(Y326*L327 &gt; F_primary, 1, 0)</f>
        <v/>
      </c>
      <c r="P327">
        <f>IF(Y326*(E_sh + F327) &gt; E_inv, 1, 0)</f>
        <v/>
      </c>
      <c r="Q327">
        <f>IF(Y326*(D_sh + E327) &gt; D_inv, 1, 0)</f>
        <v/>
      </c>
      <c r="R327">
        <f>IF(Y326*C_sh &gt; C_inv, 1, 0)</f>
        <v/>
      </c>
      <c r="S327">
        <f>IF(Y326*B_sh &gt; B_inv, 1, 0)</f>
        <v/>
      </c>
      <c r="T327">
        <f>IF(Y326*A_sh &gt; A_inv, 1, 0)</f>
        <v/>
      </c>
      <c r="U327">
        <f>IF(Y326*seed_sh &gt; seed_inv, 1, 0)</f>
        <v/>
      </c>
      <c r="V327">
        <f>(1-O327)*F_primary+(1-P327)*E_inv+(1-Q327)*D_inv+(1-R327)*C_inv+(1-S327)*B_inv+(1-T327)*A_inv+(1-U327)*seed_inv</f>
        <v/>
      </c>
      <c r="W327">
        <f>MAX(0, sens_exit - V327)</f>
        <v/>
      </c>
      <c r="X327">
        <f>F1_sh+F2_sh+F3_sh+RSA_sh+J327+K327+O327*L327+P327*(E_sh + F327)+Q327*(D_sh + E327)+R327*C_sh+S327*B_sh+T327*A_sh+U327*seed_sh</f>
        <v/>
      </c>
      <c r="Y327">
        <f>(W327 + preF_opts_iss*opt_strike)/(X327 + preF_opts_iss)</f>
        <v/>
      </c>
    </row>
    <row r="328">
      <c r="B328">
        <f>N327</f>
        <v/>
      </c>
      <c r="C328">
        <f>OCP_D*(preF_FD + F_primary/OCP_D)/(preF_FD + F_primary/B328)</f>
        <v/>
      </c>
      <c r="D328">
        <f>OCP_E*(preF_FD + F_primary/OCP_E)/(preF_FD + F_primary/B328)</f>
        <v/>
      </c>
      <c r="E328">
        <f>D_sh*(OCP_D/C328 - 1)</f>
        <v/>
      </c>
      <c r="F328">
        <f>E_sh*(OCP_E/D328 - 1)</f>
        <v/>
      </c>
      <c r="G328">
        <f>(preF_FD + E328 + F328 - preF_opts + J327 + K327 + F_primary/B328)/(1-B310)</f>
        <v/>
      </c>
      <c r="H328">
        <f>MAX(0, B310*G328 - preF_opts)</f>
        <v/>
      </c>
      <c r="I328">
        <f>preF_FD + E328 + F328 + H328</f>
        <v/>
      </c>
      <c r="J328">
        <f>NA_P/MIN(NA_cap/(I328+K327), (1-NA_disc)*B328)</f>
        <v/>
      </c>
      <c r="K328">
        <f>NB_P/MIN(NB_cap/(I328+J328), (1-NB_disc)*B328)</f>
        <v/>
      </c>
      <c r="L328">
        <f>F_primary/B328</f>
        <v/>
      </c>
      <c r="M328">
        <f>I328+J328+K328</f>
        <v/>
      </c>
      <c r="N328">
        <f>D310/M328</f>
        <v/>
      </c>
      <c r="O328">
        <f>IF(Y327*L328 &gt; F_primary, 1, 0)</f>
        <v/>
      </c>
      <c r="P328">
        <f>IF(Y327*(E_sh + F328) &gt; E_inv, 1, 0)</f>
        <v/>
      </c>
      <c r="Q328">
        <f>IF(Y327*(D_sh + E328) &gt; D_inv, 1, 0)</f>
        <v/>
      </c>
      <c r="R328">
        <f>IF(Y327*C_sh &gt; C_inv, 1, 0)</f>
        <v/>
      </c>
      <c r="S328">
        <f>IF(Y327*B_sh &gt; B_inv, 1, 0)</f>
        <v/>
      </c>
      <c r="T328">
        <f>IF(Y327*A_sh &gt; A_inv, 1, 0)</f>
        <v/>
      </c>
      <c r="U328">
        <f>IF(Y327*seed_sh &gt; seed_inv, 1, 0)</f>
        <v/>
      </c>
      <c r="V328">
        <f>(1-O328)*F_primary+(1-P328)*E_inv+(1-Q328)*D_inv+(1-R328)*C_inv+(1-S328)*B_inv+(1-T328)*A_inv+(1-U328)*seed_inv</f>
        <v/>
      </c>
      <c r="W328">
        <f>MAX(0, sens_exit - V328)</f>
        <v/>
      </c>
      <c r="X328">
        <f>F1_sh+F2_sh+F3_sh+RSA_sh+J328+K328+O328*L328+P328*(E_sh + F328)+Q328*(D_sh + E328)+R328*C_sh+S328*B_sh+T328*A_sh+U328*seed_sh</f>
        <v/>
      </c>
      <c r="Y328">
        <f>(W328 + preF_opts_iss*opt_strike)/(X328 + preF_opts_iss)</f>
        <v/>
      </c>
    </row>
    <row r="329">
      <c r="B329">
        <f>N328</f>
        <v/>
      </c>
      <c r="C329">
        <f>OCP_D*(preF_FD + F_primary/OCP_D)/(preF_FD + F_primary/B329)</f>
        <v/>
      </c>
      <c r="D329">
        <f>OCP_E*(preF_FD + F_primary/OCP_E)/(preF_FD + F_primary/B329)</f>
        <v/>
      </c>
      <c r="E329">
        <f>D_sh*(OCP_D/C329 - 1)</f>
        <v/>
      </c>
      <c r="F329">
        <f>E_sh*(OCP_E/D329 - 1)</f>
        <v/>
      </c>
      <c r="G329">
        <f>(preF_FD + E329 + F329 - preF_opts + J328 + K328 + F_primary/B329)/(1-B310)</f>
        <v/>
      </c>
      <c r="H329">
        <f>MAX(0, B310*G329 - preF_opts)</f>
        <v/>
      </c>
      <c r="I329">
        <f>preF_FD + E329 + F329 + H329</f>
        <v/>
      </c>
      <c r="J329">
        <f>NA_P/MIN(NA_cap/(I329+K328), (1-NA_disc)*B329)</f>
        <v/>
      </c>
      <c r="K329">
        <f>NB_P/MIN(NB_cap/(I329+J329), (1-NB_disc)*B329)</f>
        <v/>
      </c>
      <c r="L329">
        <f>F_primary/B329</f>
        <v/>
      </c>
      <c r="M329">
        <f>I329+J329+K329</f>
        <v/>
      </c>
      <c r="N329">
        <f>D310/M329</f>
        <v/>
      </c>
      <c r="O329">
        <f>IF(Y328*L329 &gt; F_primary, 1, 0)</f>
        <v/>
      </c>
      <c r="P329">
        <f>IF(Y328*(E_sh + F329) &gt; E_inv, 1, 0)</f>
        <v/>
      </c>
      <c r="Q329">
        <f>IF(Y328*(D_sh + E329) &gt; D_inv, 1, 0)</f>
        <v/>
      </c>
      <c r="R329">
        <f>IF(Y328*C_sh &gt; C_inv, 1, 0)</f>
        <v/>
      </c>
      <c r="S329">
        <f>IF(Y328*B_sh &gt; B_inv, 1, 0)</f>
        <v/>
      </c>
      <c r="T329">
        <f>IF(Y328*A_sh &gt; A_inv, 1, 0)</f>
        <v/>
      </c>
      <c r="U329">
        <f>IF(Y328*seed_sh &gt; seed_inv, 1, 0)</f>
        <v/>
      </c>
      <c r="V329">
        <f>(1-O329)*F_primary+(1-P329)*E_inv+(1-Q329)*D_inv+(1-R329)*C_inv+(1-S329)*B_inv+(1-T329)*A_inv+(1-U329)*seed_inv</f>
        <v/>
      </c>
      <c r="W329">
        <f>MAX(0, sens_exit - V329)</f>
        <v/>
      </c>
      <c r="X329">
        <f>F1_sh+F2_sh+F3_sh+RSA_sh+J329+K329+O329*L329+P329*(E_sh + F329)+Q329*(D_sh + E329)+R329*C_sh+S329*B_sh+T329*A_sh+U329*seed_sh</f>
        <v/>
      </c>
      <c r="Y329">
        <f>(W329 + preF_opts_iss*opt_strike)/(X329 + preF_opts_iss)</f>
        <v/>
      </c>
    </row>
    <row r="330">
      <c r="B330">
        <f>N329</f>
        <v/>
      </c>
      <c r="C330">
        <f>OCP_D*(preF_FD + F_primary/OCP_D)/(preF_FD + F_primary/B330)</f>
        <v/>
      </c>
      <c r="D330">
        <f>OCP_E*(preF_FD + F_primary/OCP_E)/(preF_FD + F_primary/B330)</f>
        <v/>
      </c>
      <c r="E330">
        <f>D_sh*(OCP_D/C330 - 1)</f>
        <v/>
      </c>
      <c r="F330">
        <f>E_sh*(OCP_E/D330 - 1)</f>
        <v/>
      </c>
      <c r="G330">
        <f>(preF_FD + E330 + F330 - preF_opts + J329 + K329 + F_primary/B330)/(1-B310)</f>
        <v/>
      </c>
      <c r="H330">
        <f>MAX(0, B310*G330 - preF_opts)</f>
        <v/>
      </c>
      <c r="I330">
        <f>preF_FD + E330 + F330 + H330</f>
        <v/>
      </c>
      <c r="J330">
        <f>NA_P/MIN(NA_cap/(I330+K329), (1-NA_disc)*B330)</f>
        <v/>
      </c>
      <c r="K330">
        <f>NB_P/MIN(NB_cap/(I330+J330), (1-NB_disc)*B330)</f>
        <v/>
      </c>
      <c r="L330">
        <f>F_primary/B330</f>
        <v/>
      </c>
      <c r="M330">
        <f>I330+J330+K330</f>
        <v/>
      </c>
      <c r="N330">
        <f>D310/M330</f>
        <v/>
      </c>
      <c r="O330">
        <f>IF(Y329*L330 &gt; F_primary, 1, 0)</f>
        <v/>
      </c>
      <c r="P330">
        <f>IF(Y329*(E_sh + F330) &gt; E_inv, 1, 0)</f>
        <v/>
      </c>
      <c r="Q330">
        <f>IF(Y329*(D_sh + E330) &gt; D_inv, 1, 0)</f>
        <v/>
      </c>
      <c r="R330">
        <f>IF(Y329*C_sh &gt; C_inv, 1, 0)</f>
        <v/>
      </c>
      <c r="S330">
        <f>IF(Y329*B_sh &gt; B_inv, 1, 0)</f>
        <v/>
      </c>
      <c r="T330">
        <f>IF(Y329*A_sh &gt; A_inv, 1, 0)</f>
        <v/>
      </c>
      <c r="U330">
        <f>IF(Y329*seed_sh &gt; seed_inv, 1, 0)</f>
        <v/>
      </c>
      <c r="V330">
        <f>(1-O330)*F_primary+(1-P330)*E_inv+(1-Q330)*D_inv+(1-R330)*C_inv+(1-S330)*B_inv+(1-T330)*A_inv+(1-U330)*seed_inv</f>
        <v/>
      </c>
      <c r="W330">
        <f>MAX(0, sens_exit - V330)</f>
        <v/>
      </c>
      <c r="X330">
        <f>F1_sh+F2_sh+F3_sh+RSA_sh+J330+K330+O330*L330+P330*(E_sh + F330)+Q330*(D_sh + E330)+R330*C_sh+S330*B_sh+T330*A_sh+U330*seed_sh</f>
        <v/>
      </c>
      <c r="Y330">
        <f>(W330 + preF_opts_iss*opt_strike)/(X330 + preF_opts_iss)</f>
        <v/>
      </c>
    </row>
    <row r="331">
      <c r="B331">
        <f>N330</f>
        <v/>
      </c>
      <c r="C331">
        <f>OCP_D*(preF_FD + F_primary/OCP_D)/(preF_FD + F_primary/B331)</f>
        <v/>
      </c>
      <c r="D331">
        <f>OCP_E*(preF_FD + F_primary/OCP_E)/(preF_FD + F_primary/B331)</f>
        <v/>
      </c>
      <c r="E331">
        <f>D_sh*(OCP_D/C331 - 1)</f>
        <v/>
      </c>
      <c r="F331">
        <f>E_sh*(OCP_E/D331 - 1)</f>
        <v/>
      </c>
      <c r="G331">
        <f>(preF_FD + E331 + F331 - preF_opts + J330 + K330 + F_primary/B331)/(1-B310)</f>
        <v/>
      </c>
      <c r="H331">
        <f>MAX(0, B310*G331 - preF_opts)</f>
        <v/>
      </c>
      <c r="I331">
        <f>preF_FD + E331 + F331 + H331</f>
        <v/>
      </c>
      <c r="J331">
        <f>NA_P/MIN(NA_cap/(I331+K330), (1-NA_disc)*B331)</f>
        <v/>
      </c>
      <c r="K331">
        <f>NB_P/MIN(NB_cap/(I331+J331), (1-NB_disc)*B331)</f>
        <v/>
      </c>
      <c r="L331">
        <f>F_primary/B331</f>
        <v/>
      </c>
      <c r="M331">
        <f>I331+J331+K331</f>
        <v/>
      </c>
      <c r="N331">
        <f>D310/M331</f>
        <v/>
      </c>
      <c r="O331">
        <f>IF(Y330*L331 &gt; F_primary, 1, 0)</f>
        <v/>
      </c>
      <c r="P331">
        <f>IF(Y330*(E_sh + F331) &gt; E_inv, 1, 0)</f>
        <v/>
      </c>
      <c r="Q331">
        <f>IF(Y330*(D_sh + E331) &gt; D_inv, 1, 0)</f>
        <v/>
      </c>
      <c r="R331">
        <f>IF(Y330*C_sh &gt; C_inv, 1, 0)</f>
        <v/>
      </c>
      <c r="S331">
        <f>IF(Y330*B_sh &gt; B_inv, 1, 0)</f>
        <v/>
      </c>
      <c r="T331">
        <f>IF(Y330*A_sh &gt; A_inv, 1, 0)</f>
        <v/>
      </c>
      <c r="U331">
        <f>IF(Y330*seed_sh &gt; seed_inv, 1, 0)</f>
        <v/>
      </c>
      <c r="V331">
        <f>(1-O331)*F_primary+(1-P331)*E_inv+(1-Q331)*D_inv+(1-R331)*C_inv+(1-S331)*B_inv+(1-T331)*A_inv+(1-U331)*seed_inv</f>
        <v/>
      </c>
      <c r="W331">
        <f>MAX(0, sens_exit - V331)</f>
        <v/>
      </c>
      <c r="X331">
        <f>F1_sh+F2_sh+F3_sh+RSA_sh+J331+K331+O331*L331+P331*(E_sh + F331)+Q331*(D_sh + E331)+R331*C_sh+S331*B_sh+T331*A_sh+U331*seed_sh</f>
        <v/>
      </c>
      <c r="Y331">
        <f>(W331 + preF_opts_iss*opt_strike)/(X331 + preF_opts_iss)</f>
        <v/>
      </c>
    </row>
    <row r="332">
      <c r="B332">
        <f>N331</f>
        <v/>
      </c>
      <c r="C332">
        <f>OCP_D*(preF_FD + F_primary/OCP_D)/(preF_FD + F_primary/B332)</f>
        <v/>
      </c>
      <c r="D332">
        <f>OCP_E*(preF_FD + F_primary/OCP_E)/(preF_FD + F_primary/B332)</f>
        <v/>
      </c>
      <c r="E332">
        <f>D_sh*(OCP_D/C332 - 1)</f>
        <v/>
      </c>
      <c r="F332">
        <f>E_sh*(OCP_E/D332 - 1)</f>
        <v/>
      </c>
      <c r="G332">
        <f>(preF_FD + E332 + F332 - preF_opts + J331 + K331 + F_primary/B332)/(1-B310)</f>
        <v/>
      </c>
      <c r="H332">
        <f>MAX(0, B310*G332 - preF_opts)</f>
        <v/>
      </c>
      <c r="I332">
        <f>preF_FD + E332 + F332 + H332</f>
        <v/>
      </c>
      <c r="J332">
        <f>NA_P/MIN(NA_cap/(I332+K331), (1-NA_disc)*B332)</f>
        <v/>
      </c>
      <c r="K332">
        <f>NB_P/MIN(NB_cap/(I332+J332), (1-NB_disc)*B332)</f>
        <v/>
      </c>
      <c r="L332">
        <f>F_primary/B332</f>
        <v/>
      </c>
      <c r="M332">
        <f>I332+J332+K332</f>
        <v/>
      </c>
      <c r="N332">
        <f>D310/M332</f>
        <v/>
      </c>
      <c r="O332">
        <f>IF(Y331*L332 &gt; F_primary, 1, 0)</f>
        <v/>
      </c>
      <c r="P332">
        <f>IF(Y331*(E_sh + F332) &gt; E_inv, 1, 0)</f>
        <v/>
      </c>
      <c r="Q332">
        <f>IF(Y331*(D_sh + E332) &gt; D_inv, 1, 0)</f>
        <v/>
      </c>
      <c r="R332">
        <f>IF(Y331*C_sh &gt; C_inv, 1, 0)</f>
        <v/>
      </c>
      <c r="S332">
        <f>IF(Y331*B_sh &gt; B_inv, 1, 0)</f>
        <v/>
      </c>
      <c r="T332">
        <f>IF(Y331*A_sh &gt; A_inv, 1, 0)</f>
        <v/>
      </c>
      <c r="U332">
        <f>IF(Y331*seed_sh &gt; seed_inv, 1, 0)</f>
        <v/>
      </c>
      <c r="V332">
        <f>(1-O332)*F_primary+(1-P332)*E_inv+(1-Q332)*D_inv+(1-R332)*C_inv+(1-S332)*B_inv+(1-T332)*A_inv+(1-U332)*seed_inv</f>
        <v/>
      </c>
      <c r="W332">
        <f>MAX(0, sens_exit - V332)</f>
        <v/>
      </c>
      <c r="X332">
        <f>F1_sh+F2_sh+F3_sh+RSA_sh+J332+K332+O332*L332+P332*(E_sh + F332)+Q332*(D_sh + E332)+R332*C_sh+S332*B_sh+T332*A_sh+U332*seed_sh</f>
        <v/>
      </c>
      <c r="Y332">
        <f>(W332 + preF_opts_iss*opt_strike)/(X332 + preF_opts_iss)</f>
        <v/>
      </c>
    </row>
    <row r="333">
      <c r="B333">
        <f>N332</f>
        <v/>
      </c>
      <c r="C333">
        <f>OCP_D*(preF_FD + F_primary/OCP_D)/(preF_FD + F_primary/B333)</f>
        <v/>
      </c>
      <c r="D333">
        <f>OCP_E*(preF_FD + F_primary/OCP_E)/(preF_FD + F_primary/B333)</f>
        <v/>
      </c>
      <c r="E333">
        <f>D_sh*(OCP_D/C333 - 1)</f>
        <v/>
      </c>
      <c r="F333">
        <f>E_sh*(OCP_E/D333 - 1)</f>
        <v/>
      </c>
      <c r="G333">
        <f>(preF_FD + E333 + F333 - preF_opts + J332 + K332 + F_primary/B333)/(1-B310)</f>
        <v/>
      </c>
      <c r="H333">
        <f>MAX(0, B310*G333 - preF_opts)</f>
        <v/>
      </c>
      <c r="I333">
        <f>preF_FD + E333 + F333 + H333</f>
        <v/>
      </c>
      <c r="J333">
        <f>NA_P/MIN(NA_cap/(I333+K332), (1-NA_disc)*B333)</f>
        <v/>
      </c>
      <c r="K333">
        <f>NB_P/MIN(NB_cap/(I333+J333), (1-NB_disc)*B333)</f>
        <v/>
      </c>
      <c r="L333">
        <f>F_primary/B333</f>
        <v/>
      </c>
      <c r="M333">
        <f>I333+J333+K333</f>
        <v/>
      </c>
      <c r="N333">
        <f>D310/M333</f>
        <v/>
      </c>
      <c r="O333">
        <f>IF(Y332*L333 &gt; F_primary, 1, 0)</f>
        <v/>
      </c>
      <c r="P333">
        <f>IF(Y332*(E_sh + F333) &gt; E_inv, 1, 0)</f>
        <v/>
      </c>
      <c r="Q333">
        <f>IF(Y332*(D_sh + E333) &gt; D_inv, 1, 0)</f>
        <v/>
      </c>
      <c r="R333">
        <f>IF(Y332*C_sh &gt; C_inv, 1, 0)</f>
        <v/>
      </c>
      <c r="S333">
        <f>IF(Y332*B_sh &gt; B_inv, 1, 0)</f>
        <v/>
      </c>
      <c r="T333">
        <f>IF(Y332*A_sh &gt; A_inv, 1, 0)</f>
        <v/>
      </c>
      <c r="U333">
        <f>IF(Y332*seed_sh &gt; seed_inv, 1, 0)</f>
        <v/>
      </c>
      <c r="V333">
        <f>(1-O333)*F_primary+(1-P333)*E_inv+(1-Q333)*D_inv+(1-R333)*C_inv+(1-S333)*B_inv+(1-T333)*A_inv+(1-U333)*seed_inv</f>
        <v/>
      </c>
      <c r="W333">
        <f>MAX(0, sens_exit - V333)</f>
        <v/>
      </c>
      <c r="X333">
        <f>F1_sh+F2_sh+F3_sh+RSA_sh+J333+K333+O333*L333+P333*(E_sh + F333)+Q333*(D_sh + E333)+R333*C_sh+S333*B_sh+T333*A_sh+U333*seed_sh</f>
        <v/>
      </c>
      <c r="Y333">
        <f>(W333 + preF_opts_iss*opt_strike)/(X333 + preF_opts_iss)</f>
        <v/>
      </c>
    </row>
    <row r="334">
      <c r="B334">
        <f>N333</f>
        <v/>
      </c>
      <c r="C334">
        <f>OCP_D*(preF_FD + F_primary/OCP_D)/(preF_FD + F_primary/B334)</f>
        <v/>
      </c>
      <c r="D334">
        <f>OCP_E*(preF_FD + F_primary/OCP_E)/(preF_FD + F_primary/B334)</f>
        <v/>
      </c>
      <c r="E334">
        <f>D_sh*(OCP_D/C334 - 1)</f>
        <v/>
      </c>
      <c r="F334">
        <f>E_sh*(OCP_E/D334 - 1)</f>
        <v/>
      </c>
      <c r="G334">
        <f>(preF_FD + E334 + F334 - preF_opts + J333 + K333 + F_primary/B334)/(1-B310)</f>
        <v/>
      </c>
      <c r="H334">
        <f>MAX(0, B310*G334 - preF_opts)</f>
        <v/>
      </c>
      <c r="I334">
        <f>preF_FD + E334 + F334 + H334</f>
        <v/>
      </c>
      <c r="J334">
        <f>NA_P/MIN(NA_cap/(I334+K333), (1-NA_disc)*B334)</f>
        <v/>
      </c>
      <c r="K334">
        <f>NB_P/MIN(NB_cap/(I334+J334), (1-NB_disc)*B334)</f>
        <v/>
      </c>
      <c r="L334">
        <f>F_primary/B334</f>
        <v/>
      </c>
      <c r="M334">
        <f>I334+J334+K334</f>
        <v/>
      </c>
      <c r="N334">
        <f>D310/M334</f>
        <v/>
      </c>
      <c r="O334">
        <f>IF(Y333*L334 &gt; F_primary, 1, 0)</f>
        <v/>
      </c>
      <c r="P334">
        <f>IF(Y333*(E_sh + F334) &gt; E_inv, 1, 0)</f>
        <v/>
      </c>
      <c r="Q334">
        <f>IF(Y333*(D_sh + E334) &gt; D_inv, 1, 0)</f>
        <v/>
      </c>
      <c r="R334">
        <f>IF(Y333*C_sh &gt; C_inv, 1, 0)</f>
        <v/>
      </c>
      <c r="S334">
        <f>IF(Y333*B_sh &gt; B_inv, 1, 0)</f>
        <v/>
      </c>
      <c r="T334">
        <f>IF(Y333*A_sh &gt; A_inv, 1, 0)</f>
        <v/>
      </c>
      <c r="U334">
        <f>IF(Y333*seed_sh &gt; seed_inv, 1, 0)</f>
        <v/>
      </c>
      <c r="V334">
        <f>(1-O334)*F_primary+(1-P334)*E_inv+(1-Q334)*D_inv+(1-R334)*C_inv+(1-S334)*B_inv+(1-T334)*A_inv+(1-U334)*seed_inv</f>
        <v/>
      </c>
      <c r="W334">
        <f>MAX(0, sens_exit - V334)</f>
        <v/>
      </c>
      <c r="X334">
        <f>F1_sh+F2_sh+F3_sh+RSA_sh+J334+K334+O334*L334+P334*(E_sh + F334)+Q334*(D_sh + E334)+R334*C_sh+S334*B_sh+T334*A_sh+U334*seed_sh</f>
        <v/>
      </c>
      <c r="Y334">
        <f>(W334 + preF_opts_iss*opt_strike)/(X334 + preF_opts_iss)</f>
        <v/>
      </c>
    </row>
    <row r="335">
      <c r="B335">
        <f>N334</f>
        <v/>
      </c>
      <c r="C335">
        <f>OCP_D*(preF_FD + F_primary/OCP_D)/(preF_FD + F_primary/B335)</f>
        <v/>
      </c>
      <c r="D335">
        <f>OCP_E*(preF_FD + F_primary/OCP_E)/(preF_FD + F_primary/B335)</f>
        <v/>
      </c>
      <c r="E335">
        <f>D_sh*(OCP_D/C335 - 1)</f>
        <v/>
      </c>
      <c r="F335">
        <f>E_sh*(OCP_E/D335 - 1)</f>
        <v/>
      </c>
      <c r="G335">
        <f>(preF_FD + E335 + F335 - preF_opts + J334 + K334 + F_primary/B335)/(1-B310)</f>
        <v/>
      </c>
      <c r="H335">
        <f>MAX(0, B310*G335 - preF_opts)</f>
        <v/>
      </c>
      <c r="I335">
        <f>preF_FD + E335 + F335 + H335</f>
        <v/>
      </c>
      <c r="J335">
        <f>NA_P/MIN(NA_cap/(I335+K334), (1-NA_disc)*B335)</f>
        <v/>
      </c>
      <c r="K335">
        <f>NB_P/MIN(NB_cap/(I335+J335), (1-NB_disc)*B335)</f>
        <v/>
      </c>
      <c r="L335">
        <f>F_primary/B335</f>
        <v/>
      </c>
      <c r="M335">
        <f>I335+J335+K335</f>
        <v/>
      </c>
      <c r="N335">
        <f>D310/M335</f>
        <v/>
      </c>
      <c r="O335">
        <f>IF(Y334*L335 &gt; F_primary, 1, 0)</f>
        <v/>
      </c>
      <c r="P335">
        <f>IF(Y334*(E_sh + F335) &gt; E_inv, 1, 0)</f>
        <v/>
      </c>
      <c r="Q335">
        <f>IF(Y334*(D_sh + E335) &gt; D_inv, 1, 0)</f>
        <v/>
      </c>
      <c r="R335">
        <f>IF(Y334*C_sh &gt; C_inv, 1, 0)</f>
        <v/>
      </c>
      <c r="S335">
        <f>IF(Y334*B_sh &gt; B_inv, 1, 0)</f>
        <v/>
      </c>
      <c r="T335">
        <f>IF(Y334*A_sh &gt; A_inv, 1, 0)</f>
        <v/>
      </c>
      <c r="U335">
        <f>IF(Y334*seed_sh &gt; seed_inv, 1, 0)</f>
        <v/>
      </c>
      <c r="V335">
        <f>(1-O335)*F_primary+(1-P335)*E_inv+(1-Q335)*D_inv+(1-R335)*C_inv+(1-S335)*B_inv+(1-T335)*A_inv+(1-U335)*seed_inv</f>
        <v/>
      </c>
      <c r="W335">
        <f>MAX(0, sens_exit - V335)</f>
        <v/>
      </c>
      <c r="X335">
        <f>F1_sh+F2_sh+F3_sh+RSA_sh+J335+K335+O335*L335+P335*(E_sh + F335)+Q335*(D_sh + E335)+R335*C_sh+S335*B_sh+T335*A_sh+U335*seed_sh</f>
        <v/>
      </c>
      <c r="Y335">
        <f>(W335 + preF_opts_iss*opt_strike)/(X335 + preF_opts_iss)</f>
        <v/>
      </c>
    </row>
    <row r="336">
      <c r="B336">
        <f>N335</f>
        <v/>
      </c>
      <c r="C336">
        <f>OCP_D*(preF_FD + F_primary/OCP_D)/(preF_FD + F_primary/B336)</f>
        <v/>
      </c>
      <c r="D336">
        <f>OCP_E*(preF_FD + F_primary/OCP_E)/(preF_FD + F_primary/B336)</f>
        <v/>
      </c>
      <c r="E336">
        <f>D_sh*(OCP_D/C336 - 1)</f>
        <v/>
      </c>
      <c r="F336">
        <f>E_sh*(OCP_E/D336 - 1)</f>
        <v/>
      </c>
      <c r="G336">
        <f>(preF_FD + E336 + F336 - preF_opts + J335 + K335 + F_primary/B336)/(1-B310)</f>
        <v/>
      </c>
      <c r="H336">
        <f>MAX(0, B310*G336 - preF_opts)</f>
        <v/>
      </c>
      <c r="I336">
        <f>preF_FD + E336 + F336 + H336</f>
        <v/>
      </c>
      <c r="J336">
        <f>NA_P/MIN(NA_cap/(I336+K335), (1-NA_disc)*B336)</f>
        <v/>
      </c>
      <c r="K336">
        <f>NB_P/MIN(NB_cap/(I336+J336), (1-NB_disc)*B336)</f>
        <v/>
      </c>
      <c r="L336">
        <f>F_primary/B336</f>
        <v/>
      </c>
      <c r="M336">
        <f>I336+J336+K336</f>
        <v/>
      </c>
      <c r="N336">
        <f>D310/M336</f>
        <v/>
      </c>
      <c r="O336">
        <f>IF(Y335*L336 &gt; F_primary, 1, 0)</f>
        <v/>
      </c>
      <c r="P336">
        <f>IF(Y335*(E_sh + F336) &gt; E_inv, 1, 0)</f>
        <v/>
      </c>
      <c r="Q336">
        <f>IF(Y335*(D_sh + E336) &gt; D_inv, 1, 0)</f>
        <v/>
      </c>
      <c r="R336">
        <f>IF(Y335*C_sh &gt; C_inv, 1, 0)</f>
        <v/>
      </c>
      <c r="S336">
        <f>IF(Y335*B_sh &gt; B_inv, 1, 0)</f>
        <v/>
      </c>
      <c r="T336">
        <f>IF(Y335*A_sh &gt; A_inv, 1, 0)</f>
        <v/>
      </c>
      <c r="U336">
        <f>IF(Y335*seed_sh &gt; seed_inv, 1, 0)</f>
        <v/>
      </c>
      <c r="V336">
        <f>(1-O336)*F_primary+(1-P336)*E_inv+(1-Q336)*D_inv+(1-R336)*C_inv+(1-S336)*B_inv+(1-T336)*A_inv+(1-U336)*seed_inv</f>
        <v/>
      </c>
      <c r="W336">
        <f>MAX(0, sens_exit - V336)</f>
        <v/>
      </c>
      <c r="X336">
        <f>F1_sh+F2_sh+F3_sh+RSA_sh+J336+K336+O336*L336+P336*(E_sh + F336)+Q336*(D_sh + E336)+R336*C_sh+S336*B_sh+T336*A_sh+U336*seed_sh</f>
        <v/>
      </c>
      <c r="Y336">
        <f>(W336 + preF_opts_iss*opt_strike)/(X336 + preF_opts_iss)</f>
        <v/>
      </c>
    </row>
    <row r="337">
      <c r="B337">
        <f>N336</f>
        <v/>
      </c>
      <c r="C337">
        <f>OCP_D*(preF_FD + F_primary/OCP_D)/(preF_FD + F_primary/B337)</f>
        <v/>
      </c>
      <c r="D337">
        <f>OCP_E*(preF_FD + F_primary/OCP_E)/(preF_FD + F_primary/B337)</f>
        <v/>
      </c>
      <c r="E337">
        <f>D_sh*(OCP_D/C337 - 1)</f>
        <v/>
      </c>
      <c r="F337">
        <f>E_sh*(OCP_E/D337 - 1)</f>
        <v/>
      </c>
      <c r="G337">
        <f>(preF_FD + E337 + F337 - preF_opts + J336 + K336 + F_primary/B337)/(1-B310)</f>
        <v/>
      </c>
      <c r="H337">
        <f>MAX(0, B310*G337 - preF_opts)</f>
        <v/>
      </c>
      <c r="I337">
        <f>preF_FD + E337 + F337 + H337</f>
        <v/>
      </c>
      <c r="J337">
        <f>NA_P/MIN(NA_cap/(I337+K336), (1-NA_disc)*B337)</f>
        <v/>
      </c>
      <c r="K337">
        <f>NB_P/MIN(NB_cap/(I337+J337), (1-NB_disc)*B337)</f>
        <v/>
      </c>
      <c r="L337">
        <f>F_primary/B337</f>
        <v/>
      </c>
      <c r="M337">
        <f>I337+J337+K337</f>
        <v/>
      </c>
      <c r="N337">
        <f>D310/M337</f>
        <v/>
      </c>
      <c r="O337">
        <f>IF(Y336*L337 &gt; F_primary, 1, 0)</f>
        <v/>
      </c>
      <c r="P337">
        <f>IF(Y336*(E_sh + F337) &gt; E_inv, 1, 0)</f>
        <v/>
      </c>
      <c r="Q337">
        <f>IF(Y336*(D_sh + E337) &gt; D_inv, 1, 0)</f>
        <v/>
      </c>
      <c r="R337">
        <f>IF(Y336*C_sh &gt; C_inv, 1, 0)</f>
        <v/>
      </c>
      <c r="S337">
        <f>IF(Y336*B_sh &gt; B_inv, 1, 0)</f>
        <v/>
      </c>
      <c r="T337">
        <f>IF(Y336*A_sh &gt; A_inv, 1, 0)</f>
        <v/>
      </c>
      <c r="U337">
        <f>IF(Y336*seed_sh &gt; seed_inv, 1, 0)</f>
        <v/>
      </c>
      <c r="V337">
        <f>(1-O337)*F_primary+(1-P337)*E_inv+(1-Q337)*D_inv+(1-R337)*C_inv+(1-S337)*B_inv+(1-T337)*A_inv+(1-U337)*seed_inv</f>
        <v/>
      </c>
      <c r="W337">
        <f>MAX(0, sens_exit - V337)</f>
        <v/>
      </c>
      <c r="X337">
        <f>F1_sh+F2_sh+F3_sh+RSA_sh+J337+K337+O337*L337+P337*(E_sh + F337)+Q337*(D_sh + E337)+R337*C_sh+S337*B_sh+T337*A_sh+U337*seed_sh</f>
        <v/>
      </c>
      <c r="Y337">
        <f>(W337 + preF_opts_iss*opt_strike)/(X337 + preF_opts_iss)</f>
        <v/>
      </c>
    </row>
    <row r="338">
      <c r="B338">
        <f>N337</f>
        <v/>
      </c>
      <c r="C338">
        <f>OCP_D*(preF_FD + F_primary/OCP_D)/(preF_FD + F_primary/B338)</f>
        <v/>
      </c>
      <c r="D338">
        <f>OCP_E*(preF_FD + F_primary/OCP_E)/(preF_FD + F_primary/B338)</f>
        <v/>
      </c>
      <c r="E338">
        <f>D_sh*(OCP_D/C338 - 1)</f>
        <v/>
      </c>
      <c r="F338">
        <f>E_sh*(OCP_E/D338 - 1)</f>
        <v/>
      </c>
      <c r="G338">
        <f>(preF_FD + E338 + F338 - preF_opts + J337 + K337 + F_primary/B338)/(1-B310)</f>
        <v/>
      </c>
      <c r="H338">
        <f>MAX(0, B310*G338 - preF_opts)</f>
        <v/>
      </c>
      <c r="I338">
        <f>preF_FD + E338 + F338 + H338</f>
        <v/>
      </c>
      <c r="J338">
        <f>NA_P/MIN(NA_cap/(I338+K337), (1-NA_disc)*B338)</f>
        <v/>
      </c>
      <c r="K338">
        <f>NB_P/MIN(NB_cap/(I338+J338), (1-NB_disc)*B338)</f>
        <v/>
      </c>
      <c r="L338">
        <f>F_primary/B338</f>
        <v/>
      </c>
      <c r="M338">
        <f>I338+J338+K338</f>
        <v/>
      </c>
      <c r="N338">
        <f>D310/M338</f>
        <v/>
      </c>
      <c r="O338">
        <f>IF(Y337*L338 &gt; F_primary, 1, 0)</f>
        <v/>
      </c>
      <c r="P338">
        <f>IF(Y337*(E_sh + F338) &gt; E_inv, 1, 0)</f>
        <v/>
      </c>
      <c r="Q338">
        <f>IF(Y337*(D_sh + E338) &gt; D_inv, 1, 0)</f>
        <v/>
      </c>
      <c r="R338">
        <f>IF(Y337*C_sh &gt; C_inv, 1, 0)</f>
        <v/>
      </c>
      <c r="S338">
        <f>IF(Y337*B_sh &gt; B_inv, 1, 0)</f>
        <v/>
      </c>
      <c r="T338">
        <f>IF(Y337*A_sh &gt; A_inv, 1, 0)</f>
        <v/>
      </c>
      <c r="U338">
        <f>IF(Y337*seed_sh &gt; seed_inv, 1, 0)</f>
        <v/>
      </c>
      <c r="V338">
        <f>(1-O338)*F_primary+(1-P338)*E_inv+(1-Q338)*D_inv+(1-R338)*C_inv+(1-S338)*B_inv+(1-T338)*A_inv+(1-U338)*seed_inv</f>
        <v/>
      </c>
      <c r="W338">
        <f>MAX(0, sens_exit - V338)</f>
        <v/>
      </c>
      <c r="X338">
        <f>F1_sh+F2_sh+F3_sh+RSA_sh+J338+K338+O338*L338+P338*(E_sh + F338)+Q338*(D_sh + E338)+R338*C_sh+S338*B_sh+T338*A_sh+U338*seed_sh</f>
        <v/>
      </c>
      <c r="Y338">
        <f>(W338 + preF_opts_iss*opt_strike)/(X338 + preF_opts_iss)</f>
        <v/>
      </c>
    </row>
    <row r="339">
      <c r="B339">
        <f>N338</f>
        <v/>
      </c>
      <c r="C339">
        <f>OCP_D*(preF_FD + F_primary/OCP_D)/(preF_FD + F_primary/B339)</f>
        <v/>
      </c>
      <c r="D339">
        <f>OCP_E*(preF_FD + F_primary/OCP_E)/(preF_FD + F_primary/B339)</f>
        <v/>
      </c>
      <c r="E339">
        <f>D_sh*(OCP_D/C339 - 1)</f>
        <v/>
      </c>
      <c r="F339">
        <f>E_sh*(OCP_E/D339 - 1)</f>
        <v/>
      </c>
      <c r="G339">
        <f>(preF_FD + E339 + F339 - preF_opts + J338 + K338 + F_primary/B339)/(1-B310)</f>
        <v/>
      </c>
      <c r="H339">
        <f>MAX(0, B310*G339 - preF_opts)</f>
        <v/>
      </c>
      <c r="I339">
        <f>preF_FD + E339 + F339 + H339</f>
        <v/>
      </c>
      <c r="J339">
        <f>NA_P/MIN(NA_cap/(I339+K338), (1-NA_disc)*B339)</f>
        <v/>
      </c>
      <c r="K339">
        <f>NB_P/MIN(NB_cap/(I339+J339), (1-NB_disc)*B339)</f>
        <v/>
      </c>
      <c r="L339">
        <f>F_primary/B339</f>
        <v/>
      </c>
      <c r="M339">
        <f>I339+J339+K339</f>
        <v/>
      </c>
      <c r="N339">
        <f>D310/M339</f>
        <v/>
      </c>
      <c r="O339">
        <f>IF(Y338*L339 &gt; F_primary, 1, 0)</f>
        <v/>
      </c>
      <c r="P339">
        <f>IF(Y338*(E_sh + F339) &gt; E_inv, 1, 0)</f>
        <v/>
      </c>
      <c r="Q339">
        <f>IF(Y338*(D_sh + E339) &gt; D_inv, 1, 0)</f>
        <v/>
      </c>
      <c r="R339">
        <f>IF(Y338*C_sh &gt; C_inv, 1, 0)</f>
        <v/>
      </c>
      <c r="S339">
        <f>IF(Y338*B_sh &gt; B_inv, 1, 0)</f>
        <v/>
      </c>
      <c r="T339">
        <f>IF(Y338*A_sh &gt; A_inv, 1, 0)</f>
        <v/>
      </c>
      <c r="U339">
        <f>IF(Y338*seed_sh &gt; seed_inv, 1, 0)</f>
        <v/>
      </c>
      <c r="V339">
        <f>(1-O339)*F_primary+(1-P339)*E_inv+(1-Q339)*D_inv+(1-R339)*C_inv+(1-S339)*B_inv+(1-T339)*A_inv+(1-U339)*seed_inv</f>
        <v/>
      </c>
      <c r="W339">
        <f>MAX(0, sens_exit - V339)</f>
        <v/>
      </c>
      <c r="X339">
        <f>F1_sh+F2_sh+F3_sh+RSA_sh+J339+K339+O339*L339+P339*(E_sh + F339)+Q339*(D_sh + E339)+R339*C_sh+S339*B_sh+T339*A_sh+U339*seed_sh</f>
        <v/>
      </c>
      <c r="Y339">
        <f>(W339 + preF_opts_iss*opt_strike)/(X339 + preF_opts_iss)</f>
        <v/>
      </c>
    </row>
    <row r="340">
      <c r="B340">
        <f>N339</f>
        <v/>
      </c>
      <c r="C340">
        <f>OCP_D*(preF_FD + F_primary/OCP_D)/(preF_FD + F_primary/B340)</f>
        <v/>
      </c>
      <c r="D340">
        <f>OCP_E*(preF_FD + F_primary/OCP_E)/(preF_FD + F_primary/B340)</f>
        <v/>
      </c>
      <c r="E340">
        <f>D_sh*(OCP_D/C340 - 1)</f>
        <v/>
      </c>
      <c r="F340">
        <f>E_sh*(OCP_E/D340 - 1)</f>
        <v/>
      </c>
      <c r="G340">
        <f>(preF_FD + E340 + F340 - preF_opts + J339 + K339 + F_primary/B340)/(1-B310)</f>
        <v/>
      </c>
      <c r="H340">
        <f>MAX(0, B310*G340 - preF_opts)</f>
        <v/>
      </c>
      <c r="I340">
        <f>preF_FD + E340 + F340 + H340</f>
        <v/>
      </c>
      <c r="J340">
        <f>NA_P/MIN(NA_cap/(I340+K339), (1-NA_disc)*B340)</f>
        <v/>
      </c>
      <c r="K340">
        <f>NB_P/MIN(NB_cap/(I340+J340), (1-NB_disc)*B340)</f>
        <v/>
      </c>
      <c r="L340">
        <f>F_primary/B340</f>
        <v/>
      </c>
      <c r="M340">
        <f>I340+J340+K340</f>
        <v/>
      </c>
      <c r="N340">
        <f>D310/M340</f>
        <v/>
      </c>
      <c r="O340">
        <f>IF(Y339*L340 &gt; F_primary, 1, 0)</f>
        <v/>
      </c>
      <c r="P340">
        <f>IF(Y339*(E_sh + F340) &gt; E_inv, 1, 0)</f>
        <v/>
      </c>
      <c r="Q340">
        <f>IF(Y339*(D_sh + E340) &gt; D_inv, 1, 0)</f>
        <v/>
      </c>
      <c r="R340">
        <f>IF(Y339*C_sh &gt; C_inv, 1, 0)</f>
        <v/>
      </c>
      <c r="S340">
        <f>IF(Y339*B_sh &gt; B_inv, 1, 0)</f>
        <v/>
      </c>
      <c r="T340">
        <f>IF(Y339*A_sh &gt; A_inv, 1, 0)</f>
        <v/>
      </c>
      <c r="U340">
        <f>IF(Y339*seed_sh &gt; seed_inv, 1, 0)</f>
        <v/>
      </c>
      <c r="V340">
        <f>(1-O340)*F_primary+(1-P340)*E_inv+(1-Q340)*D_inv+(1-R340)*C_inv+(1-S340)*B_inv+(1-T340)*A_inv+(1-U340)*seed_inv</f>
        <v/>
      </c>
      <c r="W340">
        <f>MAX(0, sens_exit - V340)</f>
        <v/>
      </c>
      <c r="X340">
        <f>F1_sh+F2_sh+F3_sh+RSA_sh+J340+K340+O340*L340+P340*(E_sh + F340)+Q340*(D_sh + E340)+R340*C_sh+S340*B_sh+T340*A_sh+U340*seed_sh</f>
        <v/>
      </c>
      <c r="Y340">
        <f>(W340 + preF_opts_iss*opt_strike)/(X340 + preF_opts_iss)</f>
        <v/>
      </c>
    </row>
    <row r="341">
      <c r="B341">
        <f>N340</f>
        <v/>
      </c>
      <c r="C341">
        <f>OCP_D*(preF_FD + F_primary/OCP_D)/(preF_FD + F_primary/B341)</f>
        <v/>
      </c>
      <c r="D341">
        <f>OCP_E*(preF_FD + F_primary/OCP_E)/(preF_FD + F_primary/B341)</f>
        <v/>
      </c>
      <c r="E341">
        <f>D_sh*(OCP_D/C341 - 1)</f>
        <v/>
      </c>
      <c r="F341">
        <f>E_sh*(OCP_E/D341 - 1)</f>
        <v/>
      </c>
      <c r="G341">
        <f>(preF_FD + E341 + F341 - preF_opts + J340 + K340 + F_primary/B341)/(1-B310)</f>
        <v/>
      </c>
      <c r="H341">
        <f>MAX(0, B310*G341 - preF_opts)</f>
        <v/>
      </c>
      <c r="I341">
        <f>preF_FD + E341 + F341 + H341</f>
        <v/>
      </c>
      <c r="J341">
        <f>NA_P/MIN(NA_cap/(I341+K340), (1-NA_disc)*B341)</f>
        <v/>
      </c>
      <c r="K341">
        <f>NB_P/MIN(NB_cap/(I341+J341), (1-NB_disc)*B341)</f>
        <v/>
      </c>
      <c r="L341">
        <f>F_primary/B341</f>
        <v/>
      </c>
      <c r="M341">
        <f>I341+J341+K341</f>
        <v/>
      </c>
      <c r="N341">
        <f>D310/M341</f>
        <v/>
      </c>
      <c r="O341">
        <f>IF(Y340*L341 &gt; F_primary, 1, 0)</f>
        <v/>
      </c>
      <c r="P341">
        <f>IF(Y340*(E_sh + F341) &gt; E_inv, 1, 0)</f>
        <v/>
      </c>
      <c r="Q341">
        <f>IF(Y340*(D_sh + E341) &gt; D_inv, 1, 0)</f>
        <v/>
      </c>
      <c r="R341">
        <f>IF(Y340*C_sh &gt; C_inv, 1, 0)</f>
        <v/>
      </c>
      <c r="S341">
        <f>IF(Y340*B_sh &gt; B_inv, 1, 0)</f>
        <v/>
      </c>
      <c r="T341">
        <f>IF(Y340*A_sh &gt; A_inv, 1, 0)</f>
        <v/>
      </c>
      <c r="U341">
        <f>IF(Y340*seed_sh &gt; seed_inv, 1, 0)</f>
        <v/>
      </c>
      <c r="V341">
        <f>(1-O341)*F_primary+(1-P341)*E_inv+(1-Q341)*D_inv+(1-R341)*C_inv+(1-S341)*B_inv+(1-T341)*A_inv+(1-U341)*seed_inv</f>
        <v/>
      </c>
      <c r="W341">
        <f>MAX(0, sens_exit - V341)</f>
        <v/>
      </c>
      <c r="X341">
        <f>F1_sh+F2_sh+F3_sh+RSA_sh+J341+K341+O341*L341+P341*(E_sh + F341)+Q341*(D_sh + E341)+R341*C_sh+S341*B_sh+T341*A_sh+U341*seed_sh</f>
        <v/>
      </c>
      <c r="Y341">
        <f>(W341 + preF_opts_iss*opt_strike)/(X341 + preF_opts_iss)</f>
        <v/>
      </c>
    </row>
    <row r="342">
      <c r="B342">
        <f>N341</f>
        <v/>
      </c>
      <c r="C342">
        <f>OCP_D*(preF_FD + F_primary/OCP_D)/(preF_FD + F_primary/B342)</f>
        <v/>
      </c>
      <c r="D342">
        <f>OCP_E*(preF_FD + F_primary/OCP_E)/(preF_FD + F_primary/B342)</f>
        <v/>
      </c>
      <c r="E342">
        <f>D_sh*(OCP_D/C342 - 1)</f>
        <v/>
      </c>
      <c r="F342">
        <f>E_sh*(OCP_E/D342 - 1)</f>
        <v/>
      </c>
      <c r="G342">
        <f>(preF_FD + E342 + F342 - preF_opts + J341 + K341 + F_primary/B342)/(1-B310)</f>
        <v/>
      </c>
      <c r="H342">
        <f>MAX(0, B310*G342 - preF_opts)</f>
        <v/>
      </c>
      <c r="I342">
        <f>preF_FD + E342 + F342 + H342</f>
        <v/>
      </c>
      <c r="J342">
        <f>NA_P/MIN(NA_cap/(I342+K341), (1-NA_disc)*B342)</f>
        <v/>
      </c>
      <c r="K342">
        <f>NB_P/MIN(NB_cap/(I342+J342), (1-NB_disc)*B342)</f>
        <v/>
      </c>
      <c r="L342">
        <f>F_primary/B342</f>
        <v/>
      </c>
      <c r="M342">
        <f>I342+J342+K342</f>
        <v/>
      </c>
      <c r="N342">
        <f>D310/M342</f>
        <v/>
      </c>
      <c r="O342">
        <f>IF(Y341*L342 &gt; F_primary, 1, 0)</f>
        <v/>
      </c>
      <c r="P342">
        <f>IF(Y341*(E_sh + F342) &gt; E_inv, 1, 0)</f>
        <v/>
      </c>
      <c r="Q342">
        <f>IF(Y341*(D_sh + E342) &gt; D_inv, 1, 0)</f>
        <v/>
      </c>
      <c r="R342">
        <f>IF(Y341*C_sh &gt; C_inv, 1, 0)</f>
        <v/>
      </c>
      <c r="S342">
        <f>IF(Y341*B_sh &gt; B_inv, 1, 0)</f>
        <v/>
      </c>
      <c r="T342">
        <f>IF(Y341*A_sh &gt; A_inv, 1, 0)</f>
        <v/>
      </c>
      <c r="U342">
        <f>IF(Y341*seed_sh &gt; seed_inv, 1, 0)</f>
        <v/>
      </c>
      <c r="V342">
        <f>(1-O342)*F_primary+(1-P342)*E_inv+(1-Q342)*D_inv+(1-R342)*C_inv+(1-S342)*B_inv+(1-T342)*A_inv+(1-U342)*seed_inv</f>
        <v/>
      </c>
      <c r="W342">
        <f>MAX(0, sens_exit - V342)</f>
        <v/>
      </c>
      <c r="X342">
        <f>F1_sh+F2_sh+F3_sh+RSA_sh+J342+K342+O342*L342+P342*(E_sh + F342)+Q342*(D_sh + E342)+R342*C_sh+S342*B_sh+T342*A_sh+U342*seed_sh</f>
        <v/>
      </c>
      <c r="Y342">
        <f>(W342 + preF_opts_iss*opt_strike)/(X342 + preF_opts_iss)</f>
        <v/>
      </c>
    </row>
    <row r="343">
      <c r="B343">
        <f>N342</f>
        <v/>
      </c>
      <c r="C343">
        <f>OCP_D*(preF_FD + F_primary/OCP_D)/(preF_FD + F_primary/B343)</f>
        <v/>
      </c>
      <c r="D343">
        <f>OCP_E*(preF_FD + F_primary/OCP_E)/(preF_FD + F_primary/B343)</f>
        <v/>
      </c>
      <c r="E343">
        <f>D_sh*(OCP_D/C343 - 1)</f>
        <v/>
      </c>
      <c r="F343">
        <f>E_sh*(OCP_E/D343 - 1)</f>
        <v/>
      </c>
      <c r="G343">
        <f>(preF_FD + E343 + F343 - preF_opts + J342 + K342 + F_primary/B343)/(1-B310)</f>
        <v/>
      </c>
      <c r="H343">
        <f>MAX(0, B310*G343 - preF_opts)</f>
        <v/>
      </c>
      <c r="I343">
        <f>preF_FD + E343 + F343 + H343</f>
        <v/>
      </c>
      <c r="J343">
        <f>NA_P/MIN(NA_cap/(I343+K342), (1-NA_disc)*B343)</f>
        <v/>
      </c>
      <c r="K343">
        <f>NB_P/MIN(NB_cap/(I343+J343), (1-NB_disc)*B343)</f>
        <v/>
      </c>
      <c r="L343">
        <f>F_primary/B343</f>
        <v/>
      </c>
      <c r="M343">
        <f>I343+J343+K343</f>
        <v/>
      </c>
      <c r="N343">
        <f>D310/M343</f>
        <v/>
      </c>
      <c r="O343">
        <f>IF(Y342*L343 &gt; F_primary, 1, 0)</f>
        <v/>
      </c>
      <c r="P343">
        <f>IF(Y342*(E_sh + F343) &gt; E_inv, 1, 0)</f>
        <v/>
      </c>
      <c r="Q343">
        <f>IF(Y342*(D_sh + E343) &gt; D_inv, 1, 0)</f>
        <v/>
      </c>
      <c r="R343">
        <f>IF(Y342*C_sh &gt; C_inv, 1, 0)</f>
        <v/>
      </c>
      <c r="S343">
        <f>IF(Y342*B_sh &gt; B_inv, 1, 0)</f>
        <v/>
      </c>
      <c r="T343">
        <f>IF(Y342*A_sh &gt; A_inv, 1, 0)</f>
        <v/>
      </c>
      <c r="U343">
        <f>IF(Y342*seed_sh &gt; seed_inv, 1, 0)</f>
        <v/>
      </c>
      <c r="V343">
        <f>(1-O343)*F_primary+(1-P343)*E_inv+(1-Q343)*D_inv+(1-R343)*C_inv+(1-S343)*B_inv+(1-T343)*A_inv+(1-U343)*seed_inv</f>
        <v/>
      </c>
      <c r="W343">
        <f>MAX(0, sens_exit - V343)</f>
        <v/>
      </c>
      <c r="X343">
        <f>F1_sh+F2_sh+F3_sh+RSA_sh+J343+K343+O343*L343+P343*(E_sh + F343)+Q343*(D_sh + E343)+R343*C_sh+S343*B_sh+T343*A_sh+U343*seed_sh</f>
        <v/>
      </c>
      <c r="Y343">
        <f>(W343 + preF_opts_iss*opt_strike)/(X343 + preF_opts_iss)</f>
        <v/>
      </c>
    </row>
    <row r="344">
      <c r="B344">
        <f>N343</f>
        <v/>
      </c>
      <c r="C344">
        <f>OCP_D*(preF_FD + F_primary/OCP_D)/(preF_FD + F_primary/B344)</f>
        <v/>
      </c>
      <c r="D344">
        <f>OCP_E*(preF_FD + F_primary/OCP_E)/(preF_FD + F_primary/B344)</f>
        <v/>
      </c>
      <c r="E344">
        <f>D_sh*(OCP_D/C344 - 1)</f>
        <v/>
      </c>
      <c r="F344">
        <f>E_sh*(OCP_E/D344 - 1)</f>
        <v/>
      </c>
      <c r="G344">
        <f>(preF_FD + E344 + F344 - preF_opts + J343 + K343 + F_primary/B344)/(1-B310)</f>
        <v/>
      </c>
      <c r="H344">
        <f>MAX(0, B310*G344 - preF_opts)</f>
        <v/>
      </c>
      <c r="I344">
        <f>preF_FD + E344 + F344 + H344</f>
        <v/>
      </c>
      <c r="J344">
        <f>NA_P/MIN(NA_cap/(I344+K343), (1-NA_disc)*B344)</f>
        <v/>
      </c>
      <c r="K344">
        <f>NB_P/MIN(NB_cap/(I344+J344), (1-NB_disc)*B344)</f>
        <v/>
      </c>
      <c r="L344">
        <f>F_primary/B344</f>
        <v/>
      </c>
      <c r="M344">
        <f>I344+J344+K344</f>
        <v/>
      </c>
      <c r="N344">
        <f>D310/M344</f>
        <v/>
      </c>
      <c r="O344">
        <f>IF(Y343*L344 &gt; F_primary, 1, 0)</f>
        <v/>
      </c>
      <c r="P344">
        <f>IF(Y343*(E_sh + F344) &gt; E_inv, 1, 0)</f>
        <v/>
      </c>
      <c r="Q344">
        <f>IF(Y343*(D_sh + E344) &gt; D_inv, 1, 0)</f>
        <v/>
      </c>
      <c r="R344">
        <f>IF(Y343*C_sh &gt; C_inv, 1, 0)</f>
        <v/>
      </c>
      <c r="S344">
        <f>IF(Y343*B_sh &gt; B_inv, 1, 0)</f>
        <v/>
      </c>
      <c r="T344">
        <f>IF(Y343*A_sh &gt; A_inv, 1, 0)</f>
        <v/>
      </c>
      <c r="U344">
        <f>IF(Y343*seed_sh &gt; seed_inv, 1, 0)</f>
        <v/>
      </c>
      <c r="V344">
        <f>(1-O344)*F_primary+(1-P344)*E_inv+(1-Q344)*D_inv+(1-R344)*C_inv+(1-S344)*B_inv+(1-T344)*A_inv+(1-U344)*seed_inv</f>
        <v/>
      </c>
      <c r="W344">
        <f>MAX(0, sens_exit - V344)</f>
        <v/>
      </c>
      <c r="X344">
        <f>F1_sh+F2_sh+F3_sh+RSA_sh+J344+K344+O344*L344+P344*(E_sh + F344)+Q344*(D_sh + E344)+R344*C_sh+S344*B_sh+T344*A_sh+U344*seed_sh</f>
        <v/>
      </c>
      <c r="Y344">
        <f>(W344 + preF_opts_iss*opt_strike)/(X344 + preF_opts_iss)</f>
        <v/>
      </c>
    </row>
    <row r="345">
      <c r="B345">
        <f>N344</f>
        <v/>
      </c>
      <c r="C345">
        <f>OCP_D*(preF_FD + F_primary/OCP_D)/(preF_FD + F_primary/B345)</f>
        <v/>
      </c>
      <c r="D345">
        <f>OCP_E*(preF_FD + F_primary/OCP_E)/(preF_FD + F_primary/B345)</f>
        <v/>
      </c>
      <c r="E345">
        <f>D_sh*(OCP_D/C345 - 1)</f>
        <v/>
      </c>
      <c r="F345">
        <f>E_sh*(OCP_E/D345 - 1)</f>
        <v/>
      </c>
      <c r="G345">
        <f>(preF_FD + E345 + F345 - preF_opts + J344 + K344 + F_primary/B345)/(1-B310)</f>
        <v/>
      </c>
      <c r="H345">
        <f>MAX(0, B310*G345 - preF_opts)</f>
        <v/>
      </c>
      <c r="I345">
        <f>preF_FD + E345 + F345 + H345</f>
        <v/>
      </c>
      <c r="J345">
        <f>NA_P/MIN(NA_cap/(I345+K344), (1-NA_disc)*B345)</f>
        <v/>
      </c>
      <c r="K345">
        <f>NB_P/MIN(NB_cap/(I345+J345), (1-NB_disc)*B345)</f>
        <v/>
      </c>
      <c r="L345">
        <f>F_primary/B345</f>
        <v/>
      </c>
      <c r="M345">
        <f>I345+J345+K345</f>
        <v/>
      </c>
      <c r="N345">
        <f>D310/M345</f>
        <v/>
      </c>
      <c r="O345">
        <f>IF(Y344*L345 &gt; F_primary, 1, 0)</f>
        <v/>
      </c>
      <c r="P345">
        <f>IF(Y344*(E_sh + F345) &gt; E_inv, 1, 0)</f>
        <v/>
      </c>
      <c r="Q345">
        <f>IF(Y344*(D_sh + E345) &gt; D_inv, 1, 0)</f>
        <v/>
      </c>
      <c r="R345">
        <f>IF(Y344*C_sh &gt; C_inv, 1, 0)</f>
        <v/>
      </c>
      <c r="S345">
        <f>IF(Y344*B_sh &gt; B_inv, 1, 0)</f>
        <v/>
      </c>
      <c r="T345">
        <f>IF(Y344*A_sh &gt; A_inv, 1, 0)</f>
        <v/>
      </c>
      <c r="U345">
        <f>IF(Y344*seed_sh &gt; seed_inv, 1, 0)</f>
        <v/>
      </c>
      <c r="V345">
        <f>(1-O345)*F_primary+(1-P345)*E_inv+(1-Q345)*D_inv+(1-R345)*C_inv+(1-S345)*B_inv+(1-T345)*A_inv+(1-U345)*seed_inv</f>
        <v/>
      </c>
      <c r="W345">
        <f>MAX(0, sens_exit - V345)</f>
        <v/>
      </c>
      <c r="X345">
        <f>F1_sh+F2_sh+F3_sh+RSA_sh+J345+K345+O345*L345+P345*(E_sh + F345)+Q345*(D_sh + E345)+R345*C_sh+S345*B_sh+T345*A_sh+U345*seed_sh</f>
        <v/>
      </c>
      <c r="Y345">
        <f>(W345 + preF_opts_iss*opt_strike)/(X345 + preF_opts_iss)</f>
        <v/>
      </c>
    </row>
    <row r="346">
      <c r="B346">
        <f>N345</f>
        <v/>
      </c>
      <c r="C346">
        <f>OCP_D*(preF_FD + F_primary/OCP_D)/(preF_FD + F_primary/B346)</f>
        <v/>
      </c>
      <c r="D346">
        <f>OCP_E*(preF_FD + F_primary/OCP_E)/(preF_FD + F_primary/B346)</f>
        <v/>
      </c>
      <c r="E346">
        <f>D_sh*(OCP_D/C346 - 1)</f>
        <v/>
      </c>
      <c r="F346">
        <f>E_sh*(OCP_E/D346 - 1)</f>
        <v/>
      </c>
      <c r="G346">
        <f>(preF_FD + E346 + F346 - preF_opts + J345 + K345 + F_primary/B346)/(1-B310)</f>
        <v/>
      </c>
      <c r="H346">
        <f>MAX(0, B310*G346 - preF_opts)</f>
        <v/>
      </c>
      <c r="I346">
        <f>preF_FD + E346 + F346 + H346</f>
        <v/>
      </c>
      <c r="J346">
        <f>NA_P/MIN(NA_cap/(I346+K345), (1-NA_disc)*B346)</f>
        <v/>
      </c>
      <c r="K346">
        <f>NB_P/MIN(NB_cap/(I346+J346), (1-NB_disc)*B346)</f>
        <v/>
      </c>
      <c r="L346">
        <f>F_primary/B346</f>
        <v/>
      </c>
      <c r="M346">
        <f>I346+J346+K346</f>
        <v/>
      </c>
      <c r="N346">
        <f>D310/M346</f>
        <v/>
      </c>
      <c r="O346">
        <f>IF(Y345*L346 &gt; F_primary, 1, 0)</f>
        <v/>
      </c>
      <c r="P346">
        <f>IF(Y345*(E_sh + F346) &gt; E_inv, 1, 0)</f>
        <v/>
      </c>
      <c r="Q346">
        <f>IF(Y345*(D_sh + E346) &gt; D_inv, 1, 0)</f>
        <v/>
      </c>
      <c r="R346">
        <f>IF(Y345*C_sh &gt; C_inv, 1, 0)</f>
        <v/>
      </c>
      <c r="S346">
        <f>IF(Y345*B_sh &gt; B_inv, 1, 0)</f>
        <v/>
      </c>
      <c r="T346">
        <f>IF(Y345*A_sh &gt; A_inv, 1, 0)</f>
        <v/>
      </c>
      <c r="U346">
        <f>IF(Y345*seed_sh &gt; seed_inv, 1, 0)</f>
        <v/>
      </c>
      <c r="V346">
        <f>(1-O346)*F_primary+(1-P346)*E_inv+(1-Q346)*D_inv+(1-R346)*C_inv+(1-S346)*B_inv+(1-T346)*A_inv+(1-U346)*seed_inv</f>
        <v/>
      </c>
      <c r="W346">
        <f>MAX(0, sens_exit - V346)</f>
        <v/>
      </c>
      <c r="X346">
        <f>F1_sh+F2_sh+F3_sh+RSA_sh+J346+K346+O346*L346+P346*(E_sh + F346)+Q346*(D_sh + E346)+R346*C_sh+S346*B_sh+T346*A_sh+U346*seed_sh</f>
        <v/>
      </c>
      <c r="Y346">
        <f>(W346 + preF_opts_iss*opt_strike)/(X346 + preF_opts_iss)</f>
        <v/>
      </c>
    </row>
    <row r="347">
      <c r="B347">
        <f>N346</f>
        <v/>
      </c>
      <c r="C347">
        <f>OCP_D*(preF_FD + F_primary/OCP_D)/(preF_FD + F_primary/B347)</f>
        <v/>
      </c>
      <c r="D347">
        <f>OCP_E*(preF_FD + F_primary/OCP_E)/(preF_FD + F_primary/B347)</f>
        <v/>
      </c>
      <c r="E347">
        <f>D_sh*(OCP_D/C347 - 1)</f>
        <v/>
      </c>
      <c r="F347">
        <f>E_sh*(OCP_E/D347 - 1)</f>
        <v/>
      </c>
      <c r="G347">
        <f>(preF_FD + E347 + F347 - preF_opts + J346 + K346 + F_primary/B347)/(1-B310)</f>
        <v/>
      </c>
      <c r="H347">
        <f>MAX(0, B310*G347 - preF_opts)</f>
        <v/>
      </c>
      <c r="I347">
        <f>preF_FD + E347 + F347 + H347</f>
        <v/>
      </c>
      <c r="J347">
        <f>NA_P/MIN(NA_cap/(I347+K346), (1-NA_disc)*B347)</f>
        <v/>
      </c>
      <c r="K347">
        <f>NB_P/MIN(NB_cap/(I347+J347), (1-NB_disc)*B347)</f>
        <v/>
      </c>
      <c r="L347">
        <f>F_primary/B347</f>
        <v/>
      </c>
      <c r="M347">
        <f>I347+J347+K347</f>
        <v/>
      </c>
      <c r="N347">
        <f>D310/M347</f>
        <v/>
      </c>
      <c r="O347">
        <f>IF(Y346*L347 &gt; F_primary, 1, 0)</f>
        <v/>
      </c>
      <c r="P347">
        <f>IF(Y346*(E_sh + F347) &gt; E_inv, 1, 0)</f>
        <v/>
      </c>
      <c r="Q347">
        <f>IF(Y346*(D_sh + E347) &gt; D_inv, 1, 0)</f>
        <v/>
      </c>
      <c r="R347">
        <f>IF(Y346*C_sh &gt; C_inv, 1, 0)</f>
        <v/>
      </c>
      <c r="S347">
        <f>IF(Y346*B_sh &gt; B_inv, 1, 0)</f>
        <v/>
      </c>
      <c r="T347">
        <f>IF(Y346*A_sh &gt; A_inv, 1, 0)</f>
        <v/>
      </c>
      <c r="U347">
        <f>IF(Y346*seed_sh &gt; seed_inv, 1, 0)</f>
        <v/>
      </c>
      <c r="V347">
        <f>(1-O347)*F_primary+(1-P347)*E_inv+(1-Q347)*D_inv+(1-R347)*C_inv+(1-S347)*B_inv+(1-T347)*A_inv+(1-U347)*seed_inv</f>
        <v/>
      </c>
      <c r="W347">
        <f>MAX(0, sens_exit - V347)</f>
        <v/>
      </c>
      <c r="X347">
        <f>F1_sh+F2_sh+F3_sh+RSA_sh+J347+K347+O347*L347+P347*(E_sh + F347)+Q347*(D_sh + E347)+R347*C_sh+S347*B_sh+T347*A_sh+U347*seed_sh</f>
        <v/>
      </c>
      <c r="Y347">
        <f>(W347 + preF_opts_iss*opt_strike)/(X347 + preF_opts_iss)</f>
        <v/>
      </c>
    </row>
    <row r="348">
      <c r="B348">
        <f>N347</f>
        <v/>
      </c>
      <c r="C348">
        <f>OCP_D*(preF_FD + F_primary/OCP_D)/(preF_FD + F_primary/B348)</f>
        <v/>
      </c>
      <c r="D348">
        <f>OCP_E*(preF_FD + F_primary/OCP_E)/(preF_FD + F_primary/B348)</f>
        <v/>
      </c>
      <c r="E348">
        <f>D_sh*(OCP_D/C348 - 1)</f>
        <v/>
      </c>
      <c r="F348">
        <f>E_sh*(OCP_E/D348 - 1)</f>
        <v/>
      </c>
      <c r="G348">
        <f>(preF_FD + E348 + F348 - preF_opts + J347 + K347 + F_primary/B348)/(1-B310)</f>
        <v/>
      </c>
      <c r="H348">
        <f>MAX(0, B310*G348 - preF_opts)</f>
        <v/>
      </c>
      <c r="I348">
        <f>preF_FD + E348 + F348 + H348</f>
        <v/>
      </c>
      <c r="J348">
        <f>NA_P/MIN(NA_cap/(I348+K347), (1-NA_disc)*B348)</f>
        <v/>
      </c>
      <c r="K348">
        <f>NB_P/MIN(NB_cap/(I348+J348), (1-NB_disc)*B348)</f>
        <v/>
      </c>
      <c r="L348">
        <f>F_primary/B348</f>
        <v/>
      </c>
      <c r="M348">
        <f>I348+J348+K348</f>
        <v/>
      </c>
      <c r="N348">
        <f>D310/M348</f>
        <v/>
      </c>
      <c r="O348">
        <f>IF(Y347*L348 &gt; F_primary, 1, 0)</f>
        <v/>
      </c>
      <c r="P348">
        <f>IF(Y347*(E_sh + F348) &gt; E_inv, 1, 0)</f>
        <v/>
      </c>
      <c r="Q348">
        <f>IF(Y347*(D_sh + E348) &gt; D_inv, 1, 0)</f>
        <v/>
      </c>
      <c r="R348">
        <f>IF(Y347*C_sh &gt; C_inv, 1, 0)</f>
        <v/>
      </c>
      <c r="S348">
        <f>IF(Y347*B_sh &gt; B_inv, 1, 0)</f>
        <v/>
      </c>
      <c r="T348">
        <f>IF(Y347*A_sh &gt; A_inv, 1, 0)</f>
        <v/>
      </c>
      <c r="U348">
        <f>IF(Y347*seed_sh &gt; seed_inv, 1, 0)</f>
        <v/>
      </c>
      <c r="V348">
        <f>(1-O348)*F_primary+(1-P348)*E_inv+(1-Q348)*D_inv+(1-R348)*C_inv+(1-S348)*B_inv+(1-T348)*A_inv+(1-U348)*seed_inv</f>
        <v/>
      </c>
      <c r="W348">
        <f>MAX(0, sens_exit - V348)</f>
        <v/>
      </c>
      <c r="X348">
        <f>F1_sh+F2_sh+F3_sh+RSA_sh+J348+K348+O348*L348+P348*(E_sh + F348)+Q348*(D_sh + E348)+R348*C_sh+S348*B_sh+T348*A_sh+U348*seed_sh</f>
        <v/>
      </c>
      <c r="Y348">
        <f>(W348 + preF_opts_iss*opt_strike)/(X348 + preF_opts_iss)</f>
        <v/>
      </c>
    </row>
    <row r="349">
      <c r="A349" s="6" t="inlineStr">
        <is>
          <t>--- Scenario 9: ESOP=sens_e_hi, Pre-money=sens_p_hi ---</t>
        </is>
      </c>
    </row>
    <row r="350">
      <c r="A350" s="6" t="inlineStr">
        <is>
          <t>ESOP</t>
        </is>
      </c>
      <c r="B350">
        <f>sens_e_hi</f>
        <v/>
      </c>
      <c r="C350" s="6" t="inlineStr">
        <is>
          <t>Pre-money</t>
        </is>
      </c>
      <c r="D350">
        <f>sens_p_hi</f>
        <v/>
      </c>
      <c r="E350" s="6" t="inlineStr">
        <is>
          <t>F_PPS</t>
        </is>
      </c>
      <c r="F350">
        <f>N388</f>
        <v/>
      </c>
      <c r="G350" s="6" t="inlineStr">
        <is>
          <t>T_F</t>
        </is>
      </c>
      <c r="H350">
        <f>I388+J388+K388+L388</f>
        <v/>
      </c>
      <c r="I350" s="6" t="inlineStr">
        <is>
          <t>NA_sh</t>
        </is>
      </c>
      <c r="J350">
        <f>J388</f>
        <v/>
      </c>
      <c r="K350" s="6" t="inlineStr">
        <is>
          <t>NB_sh</t>
        </is>
      </c>
      <c r="L350">
        <f>K388</f>
        <v/>
      </c>
      <c r="M350" s="6" t="inlineStr">
        <is>
          <t>NA_branch</t>
        </is>
      </c>
      <c r="N350">
        <f>IF(NA_cap/(I388+K388) &lt; (1-NA_disc)*N388, "cap", "discount")</f>
        <v/>
      </c>
      <c r="O350" s="6" t="inlineStr">
        <is>
          <t>NB_branch</t>
        </is>
      </c>
      <c r="P350">
        <f>IF(NB_cap/(I388+J388) &lt; (1-NB_disc)*N388, "cap", "discount")</f>
        <v/>
      </c>
    </row>
    <row r="351">
      <c r="A351" s="6" t="inlineStr">
        <is>
          <t>our_sh</t>
        </is>
      </c>
      <c r="B351">
        <f>our_check/F350</f>
        <v/>
      </c>
      <c r="C351" s="6" t="inlineStr">
        <is>
          <t>own%</t>
        </is>
      </c>
      <c r="D351" s="5">
        <f>B351/H350</f>
        <v/>
      </c>
      <c r="E351" s="6" t="inlineStr">
        <is>
          <t>F_election</t>
        </is>
      </c>
      <c r="F351">
        <f>IF(Y388*L388 &gt; F_primary, "convert", "preference")</f>
        <v/>
      </c>
      <c r="G351" s="6" t="inlineStr">
        <is>
          <t>F_payout</t>
        </is>
      </c>
      <c r="H351" s="8">
        <f>IF(F351="convert", Y388*L388, F_primary)</f>
        <v/>
      </c>
      <c r="I351" s="6" t="inlineStr">
        <is>
          <t>our_$</t>
        </is>
      </c>
      <c r="J351" s="8">
        <f>H351*our_check/F_primary</f>
        <v/>
      </c>
    </row>
    <row r="353">
      <c r="A353" s="6" t="inlineStr">
        <is>
          <t>iter</t>
        </is>
      </c>
      <c r="B353" s="6" t="inlineStr">
        <is>
          <t>F_PPS_in</t>
        </is>
      </c>
      <c r="C353" s="6" t="inlineStr">
        <is>
          <t>NCP_D</t>
        </is>
      </c>
      <c r="D353" s="6" t="inlineStr">
        <is>
          <t>NCP_E</t>
        </is>
      </c>
      <c r="E353" s="6" t="inlineStr">
        <is>
          <t>extras_D</t>
        </is>
      </c>
      <c r="F353" s="6" t="inlineStr">
        <is>
          <t>extras_E</t>
        </is>
      </c>
      <c r="G353" s="6" t="inlineStr">
        <is>
          <t>T_F</t>
        </is>
      </c>
      <c r="H353" s="6" t="inlineStr">
        <is>
          <t>topup</t>
        </is>
      </c>
      <c r="I353" s="6" t="inlineStr">
        <is>
          <t>preFD_nn</t>
        </is>
      </c>
      <c r="J353" s="6" t="inlineStr">
        <is>
          <t>NA_sh</t>
        </is>
      </c>
      <c r="K353" s="6" t="inlineStr">
        <is>
          <t>NB_sh</t>
        </is>
      </c>
      <c r="L353" s="6" t="inlineStr">
        <is>
          <t>F_prim_sh</t>
        </is>
      </c>
      <c r="M353" s="6" t="inlineStr">
        <is>
          <t>T_pre</t>
        </is>
      </c>
      <c r="N353" s="6" t="inlineStr">
        <is>
          <t>F_PPS_out</t>
        </is>
      </c>
      <c r="O353" s="6" t="inlineStr">
        <is>
          <t>ic_F</t>
        </is>
      </c>
      <c r="P353" s="6" t="inlineStr">
        <is>
          <t>ic_E</t>
        </is>
      </c>
      <c r="Q353" s="6" t="inlineStr">
        <is>
          <t>ic_D</t>
        </is>
      </c>
      <c r="R353" s="6" t="inlineStr">
        <is>
          <t>ic_C</t>
        </is>
      </c>
      <c r="S353" s="6" t="inlineStr">
        <is>
          <t>ic_B</t>
        </is>
      </c>
      <c r="T353" s="6" t="inlineStr">
        <is>
          <t>ic_A</t>
        </is>
      </c>
      <c r="U353" s="6" t="inlineStr">
        <is>
          <t>ic_Seed</t>
        </is>
      </c>
      <c r="V353" s="6" t="inlineStr">
        <is>
          <t>prefs_paid</t>
        </is>
      </c>
      <c r="W353" s="6" t="inlineStr">
        <is>
          <t>residual</t>
        </is>
      </c>
      <c r="X353" s="6" t="inlineStr">
        <is>
          <t>cv_shares</t>
        </is>
      </c>
      <c r="Y353" s="6" t="inlineStr">
        <is>
          <t>PPS_2B</t>
        </is>
      </c>
    </row>
    <row r="354">
      <c r="B354">
        <f>D350/preF_FD</f>
        <v/>
      </c>
      <c r="C354">
        <f>OCP_D*(preF_FD + F_primary/OCP_D)/(preF_FD + F_primary/B354)</f>
        <v/>
      </c>
      <c r="D354">
        <f>OCP_E*(preF_FD + F_primary/OCP_E)/(preF_FD + F_primary/B354)</f>
        <v/>
      </c>
      <c r="E354">
        <f>D_sh*(OCP_D/C354 - 1)</f>
        <v/>
      </c>
      <c r="F354">
        <f>E_sh*(OCP_E/D354 - 1)</f>
        <v/>
      </c>
      <c r="G354">
        <f>(preF_FD + E354 + F354 - preF_opts + 0 + 0 + F_primary/B354)/(1-B350)</f>
        <v/>
      </c>
      <c r="H354">
        <f>MAX(0, B350*G354 - preF_opts)</f>
        <v/>
      </c>
      <c r="I354">
        <f>preF_FD + E354 + F354 + H354</f>
        <v/>
      </c>
      <c r="J354">
        <f>NA_P/MIN(NA_cap/(I354+0), (1-NA_disc)*B354)</f>
        <v/>
      </c>
      <c r="K354">
        <f>NB_P/MIN(NB_cap/(I354+J354), (1-NB_disc)*B354)</f>
        <v/>
      </c>
      <c r="L354">
        <f>F_primary/B354</f>
        <v/>
      </c>
      <c r="M354">
        <f>I354+J354+K354</f>
        <v/>
      </c>
      <c r="N354">
        <f>D350/M354</f>
        <v/>
      </c>
      <c r="O354">
        <f>IF(0*L354 &gt; F_primary, 1, 0)</f>
        <v/>
      </c>
      <c r="P354">
        <f>IF(0*(E_sh + F354) &gt; E_inv, 1, 0)</f>
        <v/>
      </c>
      <c r="Q354">
        <f>IF(0*(D_sh + E354) &gt; D_inv, 1, 0)</f>
        <v/>
      </c>
      <c r="R354">
        <f>IF(0*C_sh &gt; C_inv, 1, 0)</f>
        <v/>
      </c>
      <c r="S354">
        <f>IF(0*B_sh &gt; B_inv, 1, 0)</f>
        <v/>
      </c>
      <c r="T354">
        <f>IF(0*A_sh &gt; A_inv, 1, 0)</f>
        <v/>
      </c>
      <c r="U354">
        <f>IF(0*seed_sh &gt; seed_inv, 1, 0)</f>
        <v/>
      </c>
      <c r="V354">
        <f>(1-O354)*F_primary+(1-P354)*E_inv+(1-Q354)*D_inv+(1-R354)*C_inv+(1-S354)*B_inv+(1-T354)*A_inv+(1-U354)*seed_inv</f>
        <v/>
      </c>
      <c r="W354">
        <f>MAX(0, sens_exit - V354)</f>
        <v/>
      </c>
      <c r="X354">
        <f>F1_sh+F2_sh+F3_sh+RSA_sh+J354+K354+O354*L354+P354*(E_sh + F354)+Q354*(D_sh + E354)+R354*C_sh+S354*B_sh+T354*A_sh+U354*seed_sh</f>
        <v/>
      </c>
      <c r="Y354">
        <f>(W354 + preF_opts_iss*opt_strike)/(X354 + preF_opts_iss)</f>
        <v/>
      </c>
    </row>
    <row r="355">
      <c r="B355">
        <f>N354</f>
        <v/>
      </c>
      <c r="C355">
        <f>OCP_D*(preF_FD + F_primary/OCP_D)/(preF_FD + F_primary/B355)</f>
        <v/>
      </c>
      <c r="D355">
        <f>OCP_E*(preF_FD + F_primary/OCP_E)/(preF_FD + F_primary/B355)</f>
        <v/>
      </c>
      <c r="E355">
        <f>D_sh*(OCP_D/C355 - 1)</f>
        <v/>
      </c>
      <c r="F355">
        <f>E_sh*(OCP_E/D355 - 1)</f>
        <v/>
      </c>
      <c r="G355">
        <f>(preF_FD + E355 + F355 - preF_opts + J354 + K354 + F_primary/B355)/(1-B350)</f>
        <v/>
      </c>
      <c r="H355">
        <f>MAX(0, B350*G355 - preF_opts)</f>
        <v/>
      </c>
      <c r="I355">
        <f>preF_FD + E355 + F355 + H355</f>
        <v/>
      </c>
      <c r="J355">
        <f>NA_P/MIN(NA_cap/(I355+K354), (1-NA_disc)*B355)</f>
        <v/>
      </c>
      <c r="K355">
        <f>NB_P/MIN(NB_cap/(I355+J355), (1-NB_disc)*B355)</f>
        <v/>
      </c>
      <c r="L355">
        <f>F_primary/B355</f>
        <v/>
      </c>
      <c r="M355">
        <f>I355+J355+K355</f>
        <v/>
      </c>
      <c r="N355">
        <f>D350/M355</f>
        <v/>
      </c>
      <c r="O355">
        <f>IF(Y354*L355 &gt; F_primary, 1, 0)</f>
        <v/>
      </c>
      <c r="P355">
        <f>IF(Y354*(E_sh + F355) &gt; E_inv, 1, 0)</f>
        <v/>
      </c>
      <c r="Q355">
        <f>IF(Y354*(D_sh + E355) &gt; D_inv, 1, 0)</f>
        <v/>
      </c>
      <c r="R355">
        <f>IF(Y354*C_sh &gt; C_inv, 1, 0)</f>
        <v/>
      </c>
      <c r="S355">
        <f>IF(Y354*B_sh &gt; B_inv, 1, 0)</f>
        <v/>
      </c>
      <c r="T355">
        <f>IF(Y354*A_sh &gt; A_inv, 1, 0)</f>
        <v/>
      </c>
      <c r="U355">
        <f>IF(Y354*seed_sh &gt; seed_inv, 1, 0)</f>
        <v/>
      </c>
      <c r="V355">
        <f>(1-O355)*F_primary+(1-P355)*E_inv+(1-Q355)*D_inv+(1-R355)*C_inv+(1-S355)*B_inv+(1-T355)*A_inv+(1-U355)*seed_inv</f>
        <v/>
      </c>
      <c r="W355">
        <f>MAX(0, sens_exit - V355)</f>
        <v/>
      </c>
      <c r="X355">
        <f>F1_sh+F2_sh+F3_sh+RSA_sh+J355+K355+O355*L355+P355*(E_sh + F355)+Q355*(D_sh + E355)+R355*C_sh+S355*B_sh+T355*A_sh+U355*seed_sh</f>
        <v/>
      </c>
      <c r="Y355">
        <f>(W355 + preF_opts_iss*opt_strike)/(X355 + preF_opts_iss)</f>
        <v/>
      </c>
    </row>
    <row r="356">
      <c r="B356">
        <f>N355</f>
        <v/>
      </c>
      <c r="C356">
        <f>OCP_D*(preF_FD + F_primary/OCP_D)/(preF_FD + F_primary/B356)</f>
        <v/>
      </c>
      <c r="D356">
        <f>OCP_E*(preF_FD + F_primary/OCP_E)/(preF_FD + F_primary/B356)</f>
        <v/>
      </c>
      <c r="E356">
        <f>D_sh*(OCP_D/C356 - 1)</f>
        <v/>
      </c>
      <c r="F356">
        <f>E_sh*(OCP_E/D356 - 1)</f>
        <v/>
      </c>
      <c r="G356">
        <f>(preF_FD + E356 + F356 - preF_opts + J355 + K355 + F_primary/B356)/(1-B350)</f>
        <v/>
      </c>
      <c r="H356">
        <f>MAX(0, B350*G356 - preF_opts)</f>
        <v/>
      </c>
      <c r="I356">
        <f>preF_FD + E356 + F356 + H356</f>
        <v/>
      </c>
      <c r="J356">
        <f>NA_P/MIN(NA_cap/(I356+K355), (1-NA_disc)*B356)</f>
        <v/>
      </c>
      <c r="K356">
        <f>NB_P/MIN(NB_cap/(I356+J356), (1-NB_disc)*B356)</f>
        <v/>
      </c>
      <c r="L356">
        <f>F_primary/B356</f>
        <v/>
      </c>
      <c r="M356">
        <f>I356+J356+K356</f>
        <v/>
      </c>
      <c r="N356">
        <f>D350/M356</f>
        <v/>
      </c>
      <c r="O356">
        <f>IF(Y355*L356 &gt; F_primary, 1, 0)</f>
        <v/>
      </c>
      <c r="P356">
        <f>IF(Y355*(E_sh + F356) &gt; E_inv, 1, 0)</f>
        <v/>
      </c>
      <c r="Q356">
        <f>IF(Y355*(D_sh + E356) &gt; D_inv, 1, 0)</f>
        <v/>
      </c>
      <c r="R356">
        <f>IF(Y355*C_sh &gt; C_inv, 1, 0)</f>
        <v/>
      </c>
      <c r="S356">
        <f>IF(Y355*B_sh &gt; B_inv, 1, 0)</f>
        <v/>
      </c>
      <c r="T356">
        <f>IF(Y355*A_sh &gt; A_inv, 1, 0)</f>
        <v/>
      </c>
      <c r="U356">
        <f>IF(Y355*seed_sh &gt; seed_inv, 1, 0)</f>
        <v/>
      </c>
      <c r="V356">
        <f>(1-O356)*F_primary+(1-P356)*E_inv+(1-Q356)*D_inv+(1-R356)*C_inv+(1-S356)*B_inv+(1-T356)*A_inv+(1-U356)*seed_inv</f>
        <v/>
      </c>
      <c r="W356">
        <f>MAX(0, sens_exit - V356)</f>
        <v/>
      </c>
      <c r="X356">
        <f>F1_sh+F2_sh+F3_sh+RSA_sh+J356+K356+O356*L356+P356*(E_sh + F356)+Q356*(D_sh + E356)+R356*C_sh+S356*B_sh+T356*A_sh+U356*seed_sh</f>
        <v/>
      </c>
      <c r="Y356">
        <f>(W356 + preF_opts_iss*opt_strike)/(X356 + preF_opts_iss)</f>
        <v/>
      </c>
    </row>
    <row r="357">
      <c r="B357">
        <f>N356</f>
        <v/>
      </c>
      <c r="C357">
        <f>OCP_D*(preF_FD + F_primary/OCP_D)/(preF_FD + F_primary/B357)</f>
        <v/>
      </c>
      <c r="D357">
        <f>OCP_E*(preF_FD + F_primary/OCP_E)/(preF_FD + F_primary/B357)</f>
        <v/>
      </c>
      <c r="E357">
        <f>D_sh*(OCP_D/C357 - 1)</f>
        <v/>
      </c>
      <c r="F357">
        <f>E_sh*(OCP_E/D357 - 1)</f>
        <v/>
      </c>
      <c r="G357">
        <f>(preF_FD + E357 + F357 - preF_opts + J356 + K356 + F_primary/B357)/(1-B350)</f>
        <v/>
      </c>
      <c r="H357">
        <f>MAX(0, B350*G357 - preF_opts)</f>
        <v/>
      </c>
      <c r="I357">
        <f>preF_FD + E357 + F357 + H357</f>
        <v/>
      </c>
      <c r="J357">
        <f>NA_P/MIN(NA_cap/(I357+K356), (1-NA_disc)*B357)</f>
        <v/>
      </c>
      <c r="K357">
        <f>NB_P/MIN(NB_cap/(I357+J357), (1-NB_disc)*B357)</f>
        <v/>
      </c>
      <c r="L357">
        <f>F_primary/B357</f>
        <v/>
      </c>
      <c r="M357">
        <f>I357+J357+K357</f>
        <v/>
      </c>
      <c r="N357">
        <f>D350/M357</f>
        <v/>
      </c>
      <c r="O357">
        <f>IF(Y356*L357 &gt; F_primary, 1, 0)</f>
        <v/>
      </c>
      <c r="P357">
        <f>IF(Y356*(E_sh + F357) &gt; E_inv, 1, 0)</f>
        <v/>
      </c>
      <c r="Q357">
        <f>IF(Y356*(D_sh + E357) &gt; D_inv, 1, 0)</f>
        <v/>
      </c>
      <c r="R357">
        <f>IF(Y356*C_sh &gt; C_inv, 1, 0)</f>
        <v/>
      </c>
      <c r="S357">
        <f>IF(Y356*B_sh &gt; B_inv, 1, 0)</f>
        <v/>
      </c>
      <c r="T357">
        <f>IF(Y356*A_sh &gt; A_inv, 1, 0)</f>
        <v/>
      </c>
      <c r="U357">
        <f>IF(Y356*seed_sh &gt; seed_inv, 1, 0)</f>
        <v/>
      </c>
      <c r="V357">
        <f>(1-O357)*F_primary+(1-P357)*E_inv+(1-Q357)*D_inv+(1-R357)*C_inv+(1-S357)*B_inv+(1-T357)*A_inv+(1-U357)*seed_inv</f>
        <v/>
      </c>
      <c r="W357">
        <f>MAX(0, sens_exit - V357)</f>
        <v/>
      </c>
      <c r="X357">
        <f>F1_sh+F2_sh+F3_sh+RSA_sh+J357+K357+O357*L357+P357*(E_sh + F357)+Q357*(D_sh + E357)+R357*C_sh+S357*B_sh+T357*A_sh+U357*seed_sh</f>
        <v/>
      </c>
      <c r="Y357">
        <f>(W357 + preF_opts_iss*opt_strike)/(X357 + preF_opts_iss)</f>
        <v/>
      </c>
    </row>
    <row r="358">
      <c r="B358">
        <f>N357</f>
        <v/>
      </c>
      <c r="C358">
        <f>OCP_D*(preF_FD + F_primary/OCP_D)/(preF_FD + F_primary/B358)</f>
        <v/>
      </c>
      <c r="D358">
        <f>OCP_E*(preF_FD + F_primary/OCP_E)/(preF_FD + F_primary/B358)</f>
        <v/>
      </c>
      <c r="E358">
        <f>D_sh*(OCP_D/C358 - 1)</f>
        <v/>
      </c>
      <c r="F358">
        <f>E_sh*(OCP_E/D358 - 1)</f>
        <v/>
      </c>
      <c r="G358">
        <f>(preF_FD + E358 + F358 - preF_opts + J357 + K357 + F_primary/B358)/(1-B350)</f>
        <v/>
      </c>
      <c r="H358">
        <f>MAX(0, B350*G358 - preF_opts)</f>
        <v/>
      </c>
      <c r="I358">
        <f>preF_FD + E358 + F358 + H358</f>
        <v/>
      </c>
      <c r="J358">
        <f>NA_P/MIN(NA_cap/(I358+K357), (1-NA_disc)*B358)</f>
        <v/>
      </c>
      <c r="K358">
        <f>NB_P/MIN(NB_cap/(I358+J358), (1-NB_disc)*B358)</f>
        <v/>
      </c>
      <c r="L358">
        <f>F_primary/B358</f>
        <v/>
      </c>
      <c r="M358">
        <f>I358+J358+K358</f>
        <v/>
      </c>
      <c r="N358">
        <f>D350/M358</f>
        <v/>
      </c>
      <c r="O358">
        <f>IF(Y357*L358 &gt; F_primary, 1, 0)</f>
        <v/>
      </c>
      <c r="P358">
        <f>IF(Y357*(E_sh + F358) &gt; E_inv, 1, 0)</f>
        <v/>
      </c>
      <c r="Q358">
        <f>IF(Y357*(D_sh + E358) &gt; D_inv, 1, 0)</f>
        <v/>
      </c>
      <c r="R358">
        <f>IF(Y357*C_sh &gt; C_inv, 1, 0)</f>
        <v/>
      </c>
      <c r="S358">
        <f>IF(Y357*B_sh &gt; B_inv, 1, 0)</f>
        <v/>
      </c>
      <c r="T358">
        <f>IF(Y357*A_sh &gt; A_inv, 1, 0)</f>
        <v/>
      </c>
      <c r="U358">
        <f>IF(Y357*seed_sh &gt; seed_inv, 1, 0)</f>
        <v/>
      </c>
      <c r="V358">
        <f>(1-O358)*F_primary+(1-P358)*E_inv+(1-Q358)*D_inv+(1-R358)*C_inv+(1-S358)*B_inv+(1-T358)*A_inv+(1-U358)*seed_inv</f>
        <v/>
      </c>
      <c r="W358">
        <f>MAX(0, sens_exit - V358)</f>
        <v/>
      </c>
      <c r="X358">
        <f>F1_sh+F2_sh+F3_sh+RSA_sh+J358+K358+O358*L358+P358*(E_sh + F358)+Q358*(D_sh + E358)+R358*C_sh+S358*B_sh+T358*A_sh+U358*seed_sh</f>
        <v/>
      </c>
      <c r="Y358">
        <f>(W358 + preF_opts_iss*opt_strike)/(X358 + preF_opts_iss)</f>
        <v/>
      </c>
    </row>
    <row r="359">
      <c r="B359">
        <f>N358</f>
        <v/>
      </c>
      <c r="C359">
        <f>OCP_D*(preF_FD + F_primary/OCP_D)/(preF_FD + F_primary/B359)</f>
        <v/>
      </c>
      <c r="D359">
        <f>OCP_E*(preF_FD + F_primary/OCP_E)/(preF_FD + F_primary/B359)</f>
        <v/>
      </c>
      <c r="E359">
        <f>D_sh*(OCP_D/C359 - 1)</f>
        <v/>
      </c>
      <c r="F359">
        <f>E_sh*(OCP_E/D359 - 1)</f>
        <v/>
      </c>
      <c r="G359">
        <f>(preF_FD + E359 + F359 - preF_opts + J358 + K358 + F_primary/B359)/(1-B350)</f>
        <v/>
      </c>
      <c r="H359">
        <f>MAX(0, B350*G359 - preF_opts)</f>
        <v/>
      </c>
      <c r="I359">
        <f>preF_FD + E359 + F359 + H359</f>
        <v/>
      </c>
      <c r="J359">
        <f>NA_P/MIN(NA_cap/(I359+K358), (1-NA_disc)*B359)</f>
        <v/>
      </c>
      <c r="K359">
        <f>NB_P/MIN(NB_cap/(I359+J359), (1-NB_disc)*B359)</f>
        <v/>
      </c>
      <c r="L359">
        <f>F_primary/B359</f>
        <v/>
      </c>
      <c r="M359">
        <f>I359+J359+K359</f>
        <v/>
      </c>
      <c r="N359">
        <f>D350/M359</f>
        <v/>
      </c>
      <c r="O359">
        <f>IF(Y358*L359 &gt; F_primary, 1, 0)</f>
        <v/>
      </c>
      <c r="P359">
        <f>IF(Y358*(E_sh + F359) &gt; E_inv, 1, 0)</f>
        <v/>
      </c>
      <c r="Q359">
        <f>IF(Y358*(D_sh + E359) &gt; D_inv, 1, 0)</f>
        <v/>
      </c>
      <c r="R359">
        <f>IF(Y358*C_sh &gt; C_inv, 1, 0)</f>
        <v/>
      </c>
      <c r="S359">
        <f>IF(Y358*B_sh &gt; B_inv, 1, 0)</f>
        <v/>
      </c>
      <c r="T359">
        <f>IF(Y358*A_sh &gt; A_inv, 1, 0)</f>
        <v/>
      </c>
      <c r="U359">
        <f>IF(Y358*seed_sh &gt; seed_inv, 1, 0)</f>
        <v/>
      </c>
      <c r="V359">
        <f>(1-O359)*F_primary+(1-P359)*E_inv+(1-Q359)*D_inv+(1-R359)*C_inv+(1-S359)*B_inv+(1-T359)*A_inv+(1-U359)*seed_inv</f>
        <v/>
      </c>
      <c r="W359">
        <f>MAX(0, sens_exit - V359)</f>
        <v/>
      </c>
      <c r="X359">
        <f>F1_sh+F2_sh+F3_sh+RSA_sh+J359+K359+O359*L359+P359*(E_sh + F359)+Q359*(D_sh + E359)+R359*C_sh+S359*B_sh+T359*A_sh+U359*seed_sh</f>
        <v/>
      </c>
      <c r="Y359">
        <f>(W359 + preF_opts_iss*opt_strike)/(X359 + preF_opts_iss)</f>
        <v/>
      </c>
    </row>
    <row r="360">
      <c r="B360">
        <f>N359</f>
        <v/>
      </c>
      <c r="C360">
        <f>OCP_D*(preF_FD + F_primary/OCP_D)/(preF_FD + F_primary/B360)</f>
        <v/>
      </c>
      <c r="D360">
        <f>OCP_E*(preF_FD + F_primary/OCP_E)/(preF_FD + F_primary/B360)</f>
        <v/>
      </c>
      <c r="E360">
        <f>D_sh*(OCP_D/C360 - 1)</f>
        <v/>
      </c>
      <c r="F360">
        <f>E_sh*(OCP_E/D360 - 1)</f>
        <v/>
      </c>
      <c r="G360">
        <f>(preF_FD + E360 + F360 - preF_opts + J359 + K359 + F_primary/B360)/(1-B350)</f>
        <v/>
      </c>
      <c r="H360">
        <f>MAX(0, B350*G360 - preF_opts)</f>
        <v/>
      </c>
      <c r="I360">
        <f>preF_FD + E360 + F360 + H360</f>
        <v/>
      </c>
      <c r="J360">
        <f>NA_P/MIN(NA_cap/(I360+K359), (1-NA_disc)*B360)</f>
        <v/>
      </c>
      <c r="K360">
        <f>NB_P/MIN(NB_cap/(I360+J360), (1-NB_disc)*B360)</f>
        <v/>
      </c>
      <c r="L360">
        <f>F_primary/B360</f>
        <v/>
      </c>
      <c r="M360">
        <f>I360+J360+K360</f>
        <v/>
      </c>
      <c r="N360">
        <f>D350/M360</f>
        <v/>
      </c>
      <c r="O360">
        <f>IF(Y359*L360 &gt; F_primary, 1, 0)</f>
        <v/>
      </c>
      <c r="P360">
        <f>IF(Y359*(E_sh + F360) &gt; E_inv, 1, 0)</f>
        <v/>
      </c>
      <c r="Q360">
        <f>IF(Y359*(D_sh + E360) &gt; D_inv, 1, 0)</f>
        <v/>
      </c>
      <c r="R360">
        <f>IF(Y359*C_sh &gt; C_inv, 1, 0)</f>
        <v/>
      </c>
      <c r="S360">
        <f>IF(Y359*B_sh &gt; B_inv, 1, 0)</f>
        <v/>
      </c>
      <c r="T360">
        <f>IF(Y359*A_sh &gt; A_inv, 1, 0)</f>
        <v/>
      </c>
      <c r="U360">
        <f>IF(Y359*seed_sh &gt; seed_inv, 1, 0)</f>
        <v/>
      </c>
      <c r="V360">
        <f>(1-O360)*F_primary+(1-P360)*E_inv+(1-Q360)*D_inv+(1-R360)*C_inv+(1-S360)*B_inv+(1-T360)*A_inv+(1-U360)*seed_inv</f>
        <v/>
      </c>
      <c r="W360">
        <f>MAX(0, sens_exit - V360)</f>
        <v/>
      </c>
      <c r="X360">
        <f>F1_sh+F2_sh+F3_sh+RSA_sh+J360+K360+O360*L360+P360*(E_sh + F360)+Q360*(D_sh + E360)+R360*C_sh+S360*B_sh+T360*A_sh+U360*seed_sh</f>
        <v/>
      </c>
      <c r="Y360">
        <f>(W360 + preF_opts_iss*opt_strike)/(X360 + preF_opts_iss)</f>
        <v/>
      </c>
    </row>
    <row r="361">
      <c r="B361">
        <f>N360</f>
        <v/>
      </c>
      <c r="C361">
        <f>OCP_D*(preF_FD + F_primary/OCP_D)/(preF_FD + F_primary/B361)</f>
        <v/>
      </c>
      <c r="D361">
        <f>OCP_E*(preF_FD + F_primary/OCP_E)/(preF_FD + F_primary/B361)</f>
        <v/>
      </c>
      <c r="E361">
        <f>D_sh*(OCP_D/C361 - 1)</f>
        <v/>
      </c>
      <c r="F361">
        <f>E_sh*(OCP_E/D361 - 1)</f>
        <v/>
      </c>
      <c r="G361">
        <f>(preF_FD + E361 + F361 - preF_opts + J360 + K360 + F_primary/B361)/(1-B350)</f>
        <v/>
      </c>
      <c r="H361">
        <f>MAX(0, B350*G361 - preF_opts)</f>
        <v/>
      </c>
      <c r="I361">
        <f>preF_FD + E361 + F361 + H361</f>
        <v/>
      </c>
      <c r="J361">
        <f>NA_P/MIN(NA_cap/(I361+K360), (1-NA_disc)*B361)</f>
        <v/>
      </c>
      <c r="K361">
        <f>NB_P/MIN(NB_cap/(I361+J361), (1-NB_disc)*B361)</f>
        <v/>
      </c>
      <c r="L361">
        <f>F_primary/B361</f>
        <v/>
      </c>
      <c r="M361">
        <f>I361+J361+K361</f>
        <v/>
      </c>
      <c r="N361">
        <f>D350/M361</f>
        <v/>
      </c>
      <c r="O361">
        <f>IF(Y360*L361 &gt; F_primary, 1, 0)</f>
        <v/>
      </c>
      <c r="P361">
        <f>IF(Y360*(E_sh + F361) &gt; E_inv, 1, 0)</f>
        <v/>
      </c>
      <c r="Q361">
        <f>IF(Y360*(D_sh + E361) &gt; D_inv, 1, 0)</f>
        <v/>
      </c>
      <c r="R361">
        <f>IF(Y360*C_sh &gt; C_inv, 1, 0)</f>
        <v/>
      </c>
      <c r="S361">
        <f>IF(Y360*B_sh &gt; B_inv, 1, 0)</f>
        <v/>
      </c>
      <c r="T361">
        <f>IF(Y360*A_sh &gt; A_inv, 1, 0)</f>
        <v/>
      </c>
      <c r="U361">
        <f>IF(Y360*seed_sh &gt; seed_inv, 1, 0)</f>
        <v/>
      </c>
      <c r="V361">
        <f>(1-O361)*F_primary+(1-P361)*E_inv+(1-Q361)*D_inv+(1-R361)*C_inv+(1-S361)*B_inv+(1-T361)*A_inv+(1-U361)*seed_inv</f>
        <v/>
      </c>
      <c r="W361">
        <f>MAX(0, sens_exit - V361)</f>
        <v/>
      </c>
      <c r="X361">
        <f>F1_sh+F2_sh+F3_sh+RSA_sh+J361+K361+O361*L361+P361*(E_sh + F361)+Q361*(D_sh + E361)+R361*C_sh+S361*B_sh+T361*A_sh+U361*seed_sh</f>
        <v/>
      </c>
      <c r="Y361">
        <f>(W361 + preF_opts_iss*opt_strike)/(X361 + preF_opts_iss)</f>
        <v/>
      </c>
    </row>
    <row r="362">
      <c r="B362">
        <f>N361</f>
        <v/>
      </c>
      <c r="C362">
        <f>OCP_D*(preF_FD + F_primary/OCP_D)/(preF_FD + F_primary/B362)</f>
        <v/>
      </c>
      <c r="D362">
        <f>OCP_E*(preF_FD + F_primary/OCP_E)/(preF_FD + F_primary/B362)</f>
        <v/>
      </c>
      <c r="E362">
        <f>D_sh*(OCP_D/C362 - 1)</f>
        <v/>
      </c>
      <c r="F362">
        <f>E_sh*(OCP_E/D362 - 1)</f>
        <v/>
      </c>
      <c r="G362">
        <f>(preF_FD + E362 + F362 - preF_opts + J361 + K361 + F_primary/B362)/(1-B350)</f>
        <v/>
      </c>
      <c r="H362">
        <f>MAX(0, B350*G362 - preF_opts)</f>
        <v/>
      </c>
      <c r="I362">
        <f>preF_FD + E362 + F362 + H362</f>
        <v/>
      </c>
      <c r="J362">
        <f>NA_P/MIN(NA_cap/(I362+K361), (1-NA_disc)*B362)</f>
        <v/>
      </c>
      <c r="K362">
        <f>NB_P/MIN(NB_cap/(I362+J362), (1-NB_disc)*B362)</f>
        <v/>
      </c>
      <c r="L362">
        <f>F_primary/B362</f>
        <v/>
      </c>
      <c r="M362">
        <f>I362+J362+K362</f>
        <v/>
      </c>
      <c r="N362">
        <f>D350/M362</f>
        <v/>
      </c>
      <c r="O362">
        <f>IF(Y361*L362 &gt; F_primary, 1, 0)</f>
        <v/>
      </c>
      <c r="P362">
        <f>IF(Y361*(E_sh + F362) &gt; E_inv, 1, 0)</f>
        <v/>
      </c>
      <c r="Q362">
        <f>IF(Y361*(D_sh + E362) &gt; D_inv, 1, 0)</f>
        <v/>
      </c>
      <c r="R362">
        <f>IF(Y361*C_sh &gt; C_inv, 1, 0)</f>
        <v/>
      </c>
      <c r="S362">
        <f>IF(Y361*B_sh &gt; B_inv, 1, 0)</f>
        <v/>
      </c>
      <c r="T362">
        <f>IF(Y361*A_sh &gt; A_inv, 1, 0)</f>
        <v/>
      </c>
      <c r="U362">
        <f>IF(Y361*seed_sh &gt; seed_inv, 1, 0)</f>
        <v/>
      </c>
      <c r="V362">
        <f>(1-O362)*F_primary+(1-P362)*E_inv+(1-Q362)*D_inv+(1-R362)*C_inv+(1-S362)*B_inv+(1-T362)*A_inv+(1-U362)*seed_inv</f>
        <v/>
      </c>
      <c r="W362">
        <f>MAX(0, sens_exit - V362)</f>
        <v/>
      </c>
      <c r="X362">
        <f>F1_sh+F2_sh+F3_sh+RSA_sh+J362+K362+O362*L362+P362*(E_sh + F362)+Q362*(D_sh + E362)+R362*C_sh+S362*B_sh+T362*A_sh+U362*seed_sh</f>
        <v/>
      </c>
      <c r="Y362">
        <f>(W362 + preF_opts_iss*opt_strike)/(X362 + preF_opts_iss)</f>
        <v/>
      </c>
    </row>
    <row r="363">
      <c r="B363">
        <f>N362</f>
        <v/>
      </c>
      <c r="C363">
        <f>OCP_D*(preF_FD + F_primary/OCP_D)/(preF_FD + F_primary/B363)</f>
        <v/>
      </c>
      <c r="D363">
        <f>OCP_E*(preF_FD + F_primary/OCP_E)/(preF_FD + F_primary/B363)</f>
        <v/>
      </c>
      <c r="E363">
        <f>D_sh*(OCP_D/C363 - 1)</f>
        <v/>
      </c>
      <c r="F363">
        <f>E_sh*(OCP_E/D363 - 1)</f>
        <v/>
      </c>
      <c r="G363">
        <f>(preF_FD + E363 + F363 - preF_opts + J362 + K362 + F_primary/B363)/(1-B350)</f>
        <v/>
      </c>
      <c r="H363">
        <f>MAX(0, B350*G363 - preF_opts)</f>
        <v/>
      </c>
      <c r="I363">
        <f>preF_FD + E363 + F363 + H363</f>
        <v/>
      </c>
      <c r="J363">
        <f>NA_P/MIN(NA_cap/(I363+K362), (1-NA_disc)*B363)</f>
        <v/>
      </c>
      <c r="K363">
        <f>NB_P/MIN(NB_cap/(I363+J363), (1-NB_disc)*B363)</f>
        <v/>
      </c>
      <c r="L363">
        <f>F_primary/B363</f>
        <v/>
      </c>
      <c r="M363">
        <f>I363+J363+K363</f>
        <v/>
      </c>
      <c r="N363">
        <f>D350/M363</f>
        <v/>
      </c>
      <c r="O363">
        <f>IF(Y362*L363 &gt; F_primary, 1, 0)</f>
        <v/>
      </c>
      <c r="P363">
        <f>IF(Y362*(E_sh + F363) &gt; E_inv, 1, 0)</f>
        <v/>
      </c>
      <c r="Q363">
        <f>IF(Y362*(D_sh + E363) &gt; D_inv, 1, 0)</f>
        <v/>
      </c>
      <c r="R363">
        <f>IF(Y362*C_sh &gt; C_inv, 1, 0)</f>
        <v/>
      </c>
      <c r="S363">
        <f>IF(Y362*B_sh &gt; B_inv, 1, 0)</f>
        <v/>
      </c>
      <c r="T363">
        <f>IF(Y362*A_sh &gt; A_inv, 1, 0)</f>
        <v/>
      </c>
      <c r="U363">
        <f>IF(Y362*seed_sh &gt; seed_inv, 1, 0)</f>
        <v/>
      </c>
      <c r="V363">
        <f>(1-O363)*F_primary+(1-P363)*E_inv+(1-Q363)*D_inv+(1-R363)*C_inv+(1-S363)*B_inv+(1-T363)*A_inv+(1-U363)*seed_inv</f>
        <v/>
      </c>
      <c r="W363">
        <f>MAX(0, sens_exit - V363)</f>
        <v/>
      </c>
      <c r="X363">
        <f>F1_sh+F2_sh+F3_sh+RSA_sh+J363+K363+O363*L363+P363*(E_sh + F363)+Q363*(D_sh + E363)+R363*C_sh+S363*B_sh+T363*A_sh+U363*seed_sh</f>
        <v/>
      </c>
      <c r="Y363">
        <f>(W363 + preF_opts_iss*opt_strike)/(X363 + preF_opts_iss)</f>
        <v/>
      </c>
    </row>
    <row r="364">
      <c r="B364">
        <f>N363</f>
        <v/>
      </c>
      <c r="C364">
        <f>OCP_D*(preF_FD + F_primary/OCP_D)/(preF_FD + F_primary/B364)</f>
        <v/>
      </c>
      <c r="D364">
        <f>OCP_E*(preF_FD + F_primary/OCP_E)/(preF_FD + F_primary/B364)</f>
        <v/>
      </c>
      <c r="E364">
        <f>D_sh*(OCP_D/C364 - 1)</f>
        <v/>
      </c>
      <c r="F364">
        <f>E_sh*(OCP_E/D364 - 1)</f>
        <v/>
      </c>
      <c r="G364">
        <f>(preF_FD + E364 + F364 - preF_opts + J363 + K363 + F_primary/B364)/(1-B350)</f>
        <v/>
      </c>
      <c r="H364">
        <f>MAX(0, B350*G364 - preF_opts)</f>
        <v/>
      </c>
      <c r="I364">
        <f>preF_FD + E364 + F364 + H364</f>
        <v/>
      </c>
      <c r="J364">
        <f>NA_P/MIN(NA_cap/(I364+K363), (1-NA_disc)*B364)</f>
        <v/>
      </c>
      <c r="K364">
        <f>NB_P/MIN(NB_cap/(I364+J364), (1-NB_disc)*B364)</f>
        <v/>
      </c>
      <c r="L364">
        <f>F_primary/B364</f>
        <v/>
      </c>
      <c r="M364">
        <f>I364+J364+K364</f>
        <v/>
      </c>
      <c r="N364">
        <f>D350/M364</f>
        <v/>
      </c>
      <c r="O364">
        <f>IF(Y363*L364 &gt; F_primary, 1, 0)</f>
        <v/>
      </c>
      <c r="P364">
        <f>IF(Y363*(E_sh + F364) &gt; E_inv, 1, 0)</f>
        <v/>
      </c>
      <c r="Q364">
        <f>IF(Y363*(D_sh + E364) &gt; D_inv, 1, 0)</f>
        <v/>
      </c>
      <c r="R364">
        <f>IF(Y363*C_sh &gt; C_inv, 1, 0)</f>
        <v/>
      </c>
      <c r="S364">
        <f>IF(Y363*B_sh &gt; B_inv, 1, 0)</f>
        <v/>
      </c>
      <c r="T364">
        <f>IF(Y363*A_sh &gt; A_inv, 1, 0)</f>
        <v/>
      </c>
      <c r="U364">
        <f>IF(Y363*seed_sh &gt; seed_inv, 1, 0)</f>
        <v/>
      </c>
      <c r="V364">
        <f>(1-O364)*F_primary+(1-P364)*E_inv+(1-Q364)*D_inv+(1-R364)*C_inv+(1-S364)*B_inv+(1-T364)*A_inv+(1-U364)*seed_inv</f>
        <v/>
      </c>
      <c r="W364">
        <f>MAX(0, sens_exit - V364)</f>
        <v/>
      </c>
      <c r="X364">
        <f>F1_sh+F2_sh+F3_sh+RSA_sh+J364+K364+O364*L364+P364*(E_sh + F364)+Q364*(D_sh + E364)+R364*C_sh+S364*B_sh+T364*A_sh+U364*seed_sh</f>
        <v/>
      </c>
      <c r="Y364">
        <f>(W364 + preF_opts_iss*opt_strike)/(X364 + preF_opts_iss)</f>
        <v/>
      </c>
    </row>
    <row r="365">
      <c r="B365">
        <f>N364</f>
        <v/>
      </c>
      <c r="C365">
        <f>OCP_D*(preF_FD + F_primary/OCP_D)/(preF_FD + F_primary/B365)</f>
        <v/>
      </c>
      <c r="D365">
        <f>OCP_E*(preF_FD + F_primary/OCP_E)/(preF_FD + F_primary/B365)</f>
        <v/>
      </c>
      <c r="E365">
        <f>D_sh*(OCP_D/C365 - 1)</f>
        <v/>
      </c>
      <c r="F365">
        <f>E_sh*(OCP_E/D365 - 1)</f>
        <v/>
      </c>
      <c r="G365">
        <f>(preF_FD + E365 + F365 - preF_opts + J364 + K364 + F_primary/B365)/(1-B350)</f>
        <v/>
      </c>
      <c r="H365">
        <f>MAX(0, B350*G365 - preF_opts)</f>
        <v/>
      </c>
      <c r="I365">
        <f>preF_FD + E365 + F365 + H365</f>
        <v/>
      </c>
      <c r="J365">
        <f>NA_P/MIN(NA_cap/(I365+K364), (1-NA_disc)*B365)</f>
        <v/>
      </c>
      <c r="K365">
        <f>NB_P/MIN(NB_cap/(I365+J365), (1-NB_disc)*B365)</f>
        <v/>
      </c>
      <c r="L365">
        <f>F_primary/B365</f>
        <v/>
      </c>
      <c r="M365">
        <f>I365+J365+K365</f>
        <v/>
      </c>
      <c r="N365">
        <f>D350/M365</f>
        <v/>
      </c>
      <c r="O365">
        <f>IF(Y364*L365 &gt; F_primary, 1, 0)</f>
        <v/>
      </c>
      <c r="P365">
        <f>IF(Y364*(E_sh + F365) &gt; E_inv, 1, 0)</f>
        <v/>
      </c>
      <c r="Q365">
        <f>IF(Y364*(D_sh + E365) &gt; D_inv, 1, 0)</f>
        <v/>
      </c>
      <c r="R365">
        <f>IF(Y364*C_sh &gt; C_inv, 1, 0)</f>
        <v/>
      </c>
      <c r="S365">
        <f>IF(Y364*B_sh &gt; B_inv, 1, 0)</f>
        <v/>
      </c>
      <c r="T365">
        <f>IF(Y364*A_sh &gt; A_inv, 1, 0)</f>
        <v/>
      </c>
      <c r="U365">
        <f>IF(Y364*seed_sh &gt; seed_inv, 1, 0)</f>
        <v/>
      </c>
      <c r="V365">
        <f>(1-O365)*F_primary+(1-P365)*E_inv+(1-Q365)*D_inv+(1-R365)*C_inv+(1-S365)*B_inv+(1-T365)*A_inv+(1-U365)*seed_inv</f>
        <v/>
      </c>
      <c r="W365">
        <f>MAX(0, sens_exit - V365)</f>
        <v/>
      </c>
      <c r="X365">
        <f>F1_sh+F2_sh+F3_sh+RSA_sh+J365+K365+O365*L365+P365*(E_sh + F365)+Q365*(D_sh + E365)+R365*C_sh+S365*B_sh+T365*A_sh+U365*seed_sh</f>
        <v/>
      </c>
      <c r="Y365">
        <f>(W365 + preF_opts_iss*opt_strike)/(X365 + preF_opts_iss)</f>
        <v/>
      </c>
    </row>
    <row r="366">
      <c r="B366">
        <f>N365</f>
        <v/>
      </c>
      <c r="C366">
        <f>OCP_D*(preF_FD + F_primary/OCP_D)/(preF_FD + F_primary/B366)</f>
        <v/>
      </c>
      <c r="D366">
        <f>OCP_E*(preF_FD + F_primary/OCP_E)/(preF_FD + F_primary/B366)</f>
        <v/>
      </c>
      <c r="E366">
        <f>D_sh*(OCP_D/C366 - 1)</f>
        <v/>
      </c>
      <c r="F366">
        <f>E_sh*(OCP_E/D366 - 1)</f>
        <v/>
      </c>
      <c r="G366">
        <f>(preF_FD + E366 + F366 - preF_opts + J365 + K365 + F_primary/B366)/(1-B350)</f>
        <v/>
      </c>
      <c r="H366">
        <f>MAX(0, B350*G366 - preF_opts)</f>
        <v/>
      </c>
      <c r="I366">
        <f>preF_FD + E366 + F366 + H366</f>
        <v/>
      </c>
      <c r="J366">
        <f>NA_P/MIN(NA_cap/(I366+K365), (1-NA_disc)*B366)</f>
        <v/>
      </c>
      <c r="K366">
        <f>NB_P/MIN(NB_cap/(I366+J366), (1-NB_disc)*B366)</f>
        <v/>
      </c>
      <c r="L366">
        <f>F_primary/B366</f>
        <v/>
      </c>
      <c r="M366">
        <f>I366+J366+K366</f>
        <v/>
      </c>
      <c r="N366">
        <f>D350/M366</f>
        <v/>
      </c>
      <c r="O366">
        <f>IF(Y365*L366 &gt; F_primary, 1, 0)</f>
        <v/>
      </c>
      <c r="P366">
        <f>IF(Y365*(E_sh + F366) &gt; E_inv, 1, 0)</f>
        <v/>
      </c>
      <c r="Q366">
        <f>IF(Y365*(D_sh + E366) &gt; D_inv, 1, 0)</f>
        <v/>
      </c>
      <c r="R366">
        <f>IF(Y365*C_sh &gt; C_inv, 1, 0)</f>
        <v/>
      </c>
      <c r="S366">
        <f>IF(Y365*B_sh &gt; B_inv, 1, 0)</f>
        <v/>
      </c>
      <c r="T366">
        <f>IF(Y365*A_sh &gt; A_inv, 1, 0)</f>
        <v/>
      </c>
      <c r="U366">
        <f>IF(Y365*seed_sh &gt; seed_inv, 1, 0)</f>
        <v/>
      </c>
      <c r="V366">
        <f>(1-O366)*F_primary+(1-P366)*E_inv+(1-Q366)*D_inv+(1-R366)*C_inv+(1-S366)*B_inv+(1-T366)*A_inv+(1-U366)*seed_inv</f>
        <v/>
      </c>
      <c r="W366">
        <f>MAX(0, sens_exit - V366)</f>
        <v/>
      </c>
      <c r="X366">
        <f>F1_sh+F2_sh+F3_sh+RSA_sh+J366+K366+O366*L366+P366*(E_sh + F366)+Q366*(D_sh + E366)+R366*C_sh+S366*B_sh+T366*A_sh+U366*seed_sh</f>
        <v/>
      </c>
      <c r="Y366">
        <f>(W366 + preF_opts_iss*opt_strike)/(X366 + preF_opts_iss)</f>
        <v/>
      </c>
    </row>
    <row r="367">
      <c r="B367">
        <f>N366</f>
        <v/>
      </c>
      <c r="C367">
        <f>OCP_D*(preF_FD + F_primary/OCP_D)/(preF_FD + F_primary/B367)</f>
        <v/>
      </c>
      <c r="D367">
        <f>OCP_E*(preF_FD + F_primary/OCP_E)/(preF_FD + F_primary/B367)</f>
        <v/>
      </c>
      <c r="E367">
        <f>D_sh*(OCP_D/C367 - 1)</f>
        <v/>
      </c>
      <c r="F367">
        <f>E_sh*(OCP_E/D367 - 1)</f>
        <v/>
      </c>
      <c r="G367">
        <f>(preF_FD + E367 + F367 - preF_opts + J366 + K366 + F_primary/B367)/(1-B350)</f>
        <v/>
      </c>
      <c r="H367">
        <f>MAX(0, B350*G367 - preF_opts)</f>
        <v/>
      </c>
      <c r="I367">
        <f>preF_FD + E367 + F367 + H367</f>
        <v/>
      </c>
      <c r="J367">
        <f>NA_P/MIN(NA_cap/(I367+K366), (1-NA_disc)*B367)</f>
        <v/>
      </c>
      <c r="K367">
        <f>NB_P/MIN(NB_cap/(I367+J367), (1-NB_disc)*B367)</f>
        <v/>
      </c>
      <c r="L367">
        <f>F_primary/B367</f>
        <v/>
      </c>
      <c r="M367">
        <f>I367+J367+K367</f>
        <v/>
      </c>
      <c r="N367">
        <f>D350/M367</f>
        <v/>
      </c>
      <c r="O367">
        <f>IF(Y366*L367 &gt; F_primary, 1, 0)</f>
        <v/>
      </c>
      <c r="P367">
        <f>IF(Y366*(E_sh + F367) &gt; E_inv, 1, 0)</f>
        <v/>
      </c>
      <c r="Q367">
        <f>IF(Y366*(D_sh + E367) &gt; D_inv, 1, 0)</f>
        <v/>
      </c>
      <c r="R367">
        <f>IF(Y366*C_sh &gt; C_inv, 1, 0)</f>
        <v/>
      </c>
      <c r="S367">
        <f>IF(Y366*B_sh &gt; B_inv, 1, 0)</f>
        <v/>
      </c>
      <c r="T367">
        <f>IF(Y366*A_sh &gt; A_inv, 1, 0)</f>
        <v/>
      </c>
      <c r="U367">
        <f>IF(Y366*seed_sh &gt; seed_inv, 1, 0)</f>
        <v/>
      </c>
      <c r="V367">
        <f>(1-O367)*F_primary+(1-P367)*E_inv+(1-Q367)*D_inv+(1-R367)*C_inv+(1-S367)*B_inv+(1-T367)*A_inv+(1-U367)*seed_inv</f>
        <v/>
      </c>
      <c r="W367">
        <f>MAX(0, sens_exit - V367)</f>
        <v/>
      </c>
      <c r="X367">
        <f>F1_sh+F2_sh+F3_sh+RSA_sh+J367+K367+O367*L367+P367*(E_sh + F367)+Q367*(D_sh + E367)+R367*C_sh+S367*B_sh+T367*A_sh+U367*seed_sh</f>
        <v/>
      </c>
      <c r="Y367">
        <f>(W367 + preF_opts_iss*opt_strike)/(X367 + preF_opts_iss)</f>
        <v/>
      </c>
    </row>
    <row r="368">
      <c r="B368">
        <f>N367</f>
        <v/>
      </c>
      <c r="C368">
        <f>OCP_D*(preF_FD + F_primary/OCP_D)/(preF_FD + F_primary/B368)</f>
        <v/>
      </c>
      <c r="D368">
        <f>OCP_E*(preF_FD + F_primary/OCP_E)/(preF_FD + F_primary/B368)</f>
        <v/>
      </c>
      <c r="E368">
        <f>D_sh*(OCP_D/C368 - 1)</f>
        <v/>
      </c>
      <c r="F368">
        <f>E_sh*(OCP_E/D368 - 1)</f>
        <v/>
      </c>
      <c r="G368">
        <f>(preF_FD + E368 + F368 - preF_opts + J367 + K367 + F_primary/B368)/(1-B350)</f>
        <v/>
      </c>
      <c r="H368">
        <f>MAX(0, B350*G368 - preF_opts)</f>
        <v/>
      </c>
      <c r="I368">
        <f>preF_FD + E368 + F368 + H368</f>
        <v/>
      </c>
      <c r="J368">
        <f>NA_P/MIN(NA_cap/(I368+K367), (1-NA_disc)*B368)</f>
        <v/>
      </c>
      <c r="K368">
        <f>NB_P/MIN(NB_cap/(I368+J368), (1-NB_disc)*B368)</f>
        <v/>
      </c>
      <c r="L368">
        <f>F_primary/B368</f>
        <v/>
      </c>
      <c r="M368">
        <f>I368+J368+K368</f>
        <v/>
      </c>
      <c r="N368">
        <f>D350/M368</f>
        <v/>
      </c>
      <c r="O368">
        <f>IF(Y367*L368 &gt; F_primary, 1, 0)</f>
        <v/>
      </c>
      <c r="P368">
        <f>IF(Y367*(E_sh + F368) &gt; E_inv, 1, 0)</f>
        <v/>
      </c>
      <c r="Q368">
        <f>IF(Y367*(D_sh + E368) &gt; D_inv, 1, 0)</f>
        <v/>
      </c>
      <c r="R368">
        <f>IF(Y367*C_sh &gt; C_inv, 1, 0)</f>
        <v/>
      </c>
      <c r="S368">
        <f>IF(Y367*B_sh &gt; B_inv, 1, 0)</f>
        <v/>
      </c>
      <c r="T368">
        <f>IF(Y367*A_sh &gt; A_inv, 1, 0)</f>
        <v/>
      </c>
      <c r="U368">
        <f>IF(Y367*seed_sh &gt; seed_inv, 1, 0)</f>
        <v/>
      </c>
      <c r="V368">
        <f>(1-O368)*F_primary+(1-P368)*E_inv+(1-Q368)*D_inv+(1-R368)*C_inv+(1-S368)*B_inv+(1-T368)*A_inv+(1-U368)*seed_inv</f>
        <v/>
      </c>
      <c r="W368">
        <f>MAX(0, sens_exit - V368)</f>
        <v/>
      </c>
      <c r="X368">
        <f>F1_sh+F2_sh+F3_sh+RSA_sh+J368+K368+O368*L368+P368*(E_sh + F368)+Q368*(D_sh + E368)+R368*C_sh+S368*B_sh+T368*A_sh+U368*seed_sh</f>
        <v/>
      </c>
      <c r="Y368">
        <f>(W368 + preF_opts_iss*opt_strike)/(X368 + preF_opts_iss)</f>
        <v/>
      </c>
    </row>
    <row r="369">
      <c r="B369">
        <f>N368</f>
        <v/>
      </c>
      <c r="C369">
        <f>OCP_D*(preF_FD + F_primary/OCP_D)/(preF_FD + F_primary/B369)</f>
        <v/>
      </c>
      <c r="D369">
        <f>OCP_E*(preF_FD + F_primary/OCP_E)/(preF_FD + F_primary/B369)</f>
        <v/>
      </c>
      <c r="E369">
        <f>D_sh*(OCP_D/C369 - 1)</f>
        <v/>
      </c>
      <c r="F369">
        <f>E_sh*(OCP_E/D369 - 1)</f>
        <v/>
      </c>
      <c r="G369">
        <f>(preF_FD + E369 + F369 - preF_opts + J368 + K368 + F_primary/B369)/(1-B350)</f>
        <v/>
      </c>
      <c r="H369">
        <f>MAX(0, B350*G369 - preF_opts)</f>
        <v/>
      </c>
      <c r="I369">
        <f>preF_FD + E369 + F369 + H369</f>
        <v/>
      </c>
      <c r="J369">
        <f>NA_P/MIN(NA_cap/(I369+K368), (1-NA_disc)*B369)</f>
        <v/>
      </c>
      <c r="K369">
        <f>NB_P/MIN(NB_cap/(I369+J369), (1-NB_disc)*B369)</f>
        <v/>
      </c>
      <c r="L369">
        <f>F_primary/B369</f>
        <v/>
      </c>
      <c r="M369">
        <f>I369+J369+K369</f>
        <v/>
      </c>
      <c r="N369">
        <f>D350/M369</f>
        <v/>
      </c>
      <c r="O369">
        <f>IF(Y368*L369 &gt; F_primary, 1, 0)</f>
        <v/>
      </c>
      <c r="P369">
        <f>IF(Y368*(E_sh + F369) &gt; E_inv, 1, 0)</f>
        <v/>
      </c>
      <c r="Q369">
        <f>IF(Y368*(D_sh + E369) &gt; D_inv, 1, 0)</f>
        <v/>
      </c>
      <c r="R369">
        <f>IF(Y368*C_sh &gt; C_inv, 1, 0)</f>
        <v/>
      </c>
      <c r="S369">
        <f>IF(Y368*B_sh &gt; B_inv, 1, 0)</f>
        <v/>
      </c>
      <c r="T369">
        <f>IF(Y368*A_sh &gt; A_inv, 1, 0)</f>
        <v/>
      </c>
      <c r="U369">
        <f>IF(Y368*seed_sh &gt; seed_inv, 1, 0)</f>
        <v/>
      </c>
      <c r="V369">
        <f>(1-O369)*F_primary+(1-P369)*E_inv+(1-Q369)*D_inv+(1-R369)*C_inv+(1-S369)*B_inv+(1-T369)*A_inv+(1-U369)*seed_inv</f>
        <v/>
      </c>
      <c r="W369">
        <f>MAX(0, sens_exit - V369)</f>
        <v/>
      </c>
      <c r="X369">
        <f>F1_sh+F2_sh+F3_sh+RSA_sh+J369+K369+O369*L369+P369*(E_sh + F369)+Q369*(D_sh + E369)+R369*C_sh+S369*B_sh+T369*A_sh+U369*seed_sh</f>
        <v/>
      </c>
      <c r="Y369">
        <f>(W369 + preF_opts_iss*opt_strike)/(X369 + preF_opts_iss)</f>
        <v/>
      </c>
    </row>
    <row r="370">
      <c r="B370">
        <f>N369</f>
        <v/>
      </c>
      <c r="C370">
        <f>OCP_D*(preF_FD + F_primary/OCP_D)/(preF_FD + F_primary/B370)</f>
        <v/>
      </c>
      <c r="D370">
        <f>OCP_E*(preF_FD + F_primary/OCP_E)/(preF_FD + F_primary/B370)</f>
        <v/>
      </c>
      <c r="E370">
        <f>D_sh*(OCP_D/C370 - 1)</f>
        <v/>
      </c>
      <c r="F370">
        <f>E_sh*(OCP_E/D370 - 1)</f>
        <v/>
      </c>
      <c r="G370">
        <f>(preF_FD + E370 + F370 - preF_opts + J369 + K369 + F_primary/B370)/(1-B350)</f>
        <v/>
      </c>
      <c r="H370">
        <f>MAX(0, B350*G370 - preF_opts)</f>
        <v/>
      </c>
      <c r="I370">
        <f>preF_FD + E370 + F370 + H370</f>
        <v/>
      </c>
      <c r="J370">
        <f>NA_P/MIN(NA_cap/(I370+K369), (1-NA_disc)*B370)</f>
        <v/>
      </c>
      <c r="K370">
        <f>NB_P/MIN(NB_cap/(I370+J370), (1-NB_disc)*B370)</f>
        <v/>
      </c>
      <c r="L370">
        <f>F_primary/B370</f>
        <v/>
      </c>
      <c r="M370">
        <f>I370+J370+K370</f>
        <v/>
      </c>
      <c r="N370">
        <f>D350/M370</f>
        <v/>
      </c>
      <c r="O370">
        <f>IF(Y369*L370 &gt; F_primary, 1, 0)</f>
        <v/>
      </c>
      <c r="P370">
        <f>IF(Y369*(E_sh + F370) &gt; E_inv, 1, 0)</f>
        <v/>
      </c>
      <c r="Q370">
        <f>IF(Y369*(D_sh + E370) &gt; D_inv, 1, 0)</f>
        <v/>
      </c>
      <c r="R370">
        <f>IF(Y369*C_sh &gt; C_inv, 1, 0)</f>
        <v/>
      </c>
      <c r="S370">
        <f>IF(Y369*B_sh &gt; B_inv, 1, 0)</f>
        <v/>
      </c>
      <c r="T370">
        <f>IF(Y369*A_sh &gt; A_inv, 1, 0)</f>
        <v/>
      </c>
      <c r="U370">
        <f>IF(Y369*seed_sh &gt; seed_inv, 1, 0)</f>
        <v/>
      </c>
      <c r="V370">
        <f>(1-O370)*F_primary+(1-P370)*E_inv+(1-Q370)*D_inv+(1-R370)*C_inv+(1-S370)*B_inv+(1-T370)*A_inv+(1-U370)*seed_inv</f>
        <v/>
      </c>
      <c r="W370">
        <f>MAX(0, sens_exit - V370)</f>
        <v/>
      </c>
      <c r="X370">
        <f>F1_sh+F2_sh+F3_sh+RSA_sh+J370+K370+O370*L370+P370*(E_sh + F370)+Q370*(D_sh + E370)+R370*C_sh+S370*B_sh+T370*A_sh+U370*seed_sh</f>
        <v/>
      </c>
      <c r="Y370">
        <f>(W370 + preF_opts_iss*opt_strike)/(X370 + preF_opts_iss)</f>
        <v/>
      </c>
    </row>
    <row r="371">
      <c r="B371">
        <f>N370</f>
        <v/>
      </c>
      <c r="C371">
        <f>OCP_D*(preF_FD + F_primary/OCP_D)/(preF_FD + F_primary/B371)</f>
        <v/>
      </c>
      <c r="D371">
        <f>OCP_E*(preF_FD + F_primary/OCP_E)/(preF_FD + F_primary/B371)</f>
        <v/>
      </c>
      <c r="E371">
        <f>D_sh*(OCP_D/C371 - 1)</f>
        <v/>
      </c>
      <c r="F371">
        <f>E_sh*(OCP_E/D371 - 1)</f>
        <v/>
      </c>
      <c r="G371">
        <f>(preF_FD + E371 + F371 - preF_opts + J370 + K370 + F_primary/B371)/(1-B350)</f>
        <v/>
      </c>
      <c r="H371">
        <f>MAX(0, B350*G371 - preF_opts)</f>
        <v/>
      </c>
      <c r="I371">
        <f>preF_FD + E371 + F371 + H371</f>
        <v/>
      </c>
      <c r="J371">
        <f>NA_P/MIN(NA_cap/(I371+K370), (1-NA_disc)*B371)</f>
        <v/>
      </c>
      <c r="K371">
        <f>NB_P/MIN(NB_cap/(I371+J371), (1-NB_disc)*B371)</f>
        <v/>
      </c>
      <c r="L371">
        <f>F_primary/B371</f>
        <v/>
      </c>
      <c r="M371">
        <f>I371+J371+K371</f>
        <v/>
      </c>
      <c r="N371">
        <f>D350/M371</f>
        <v/>
      </c>
      <c r="O371">
        <f>IF(Y370*L371 &gt; F_primary, 1, 0)</f>
        <v/>
      </c>
      <c r="P371">
        <f>IF(Y370*(E_sh + F371) &gt; E_inv, 1, 0)</f>
        <v/>
      </c>
      <c r="Q371">
        <f>IF(Y370*(D_sh + E371) &gt; D_inv, 1, 0)</f>
        <v/>
      </c>
      <c r="R371">
        <f>IF(Y370*C_sh &gt; C_inv, 1, 0)</f>
        <v/>
      </c>
      <c r="S371">
        <f>IF(Y370*B_sh &gt; B_inv, 1, 0)</f>
        <v/>
      </c>
      <c r="T371">
        <f>IF(Y370*A_sh &gt; A_inv, 1, 0)</f>
        <v/>
      </c>
      <c r="U371">
        <f>IF(Y370*seed_sh &gt; seed_inv, 1, 0)</f>
        <v/>
      </c>
      <c r="V371">
        <f>(1-O371)*F_primary+(1-P371)*E_inv+(1-Q371)*D_inv+(1-R371)*C_inv+(1-S371)*B_inv+(1-T371)*A_inv+(1-U371)*seed_inv</f>
        <v/>
      </c>
      <c r="W371">
        <f>MAX(0, sens_exit - V371)</f>
        <v/>
      </c>
      <c r="X371">
        <f>F1_sh+F2_sh+F3_sh+RSA_sh+J371+K371+O371*L371+P371*(E_sh + F371)+Q371*(D_sh + E371)+R371*C_sh+S371*B_sh+T371*A_sh+U371*seed_sh</f>
        <v/>
      </c>
      <c r="Y371">
        <f>(W371 + preF_opts_iss*opt_strike)/(X371 + preF_opts_iss)</f>
        <v/>
      </c>
    </row>
    <row r="372">
      <c r="B372">
        <f>N371</f>
        <v/>
      </c>
      <c r="C372">
        <f>OCP_D*(preF_FD + F_primary/OCP_D)/(preF_FD + F_primary/B372)</f>
        <v/>
      </c>
      <c r="D372">
        <f>OCP_E*(preF_FD + F_primary/OCP_E)/(preF_FD + F_primary/B372)</f>
        <v/>
      </c>
      <c r="E372">
        <f>D_sh*(OCP_D/C372 - 1)</f>
        <v/>
      </c>
      <c r="F372">
        <f>E_sh*(OCP_E/D372 - 1)</f>
        <v/>
      </c>
      <c r="G372">
        <f>(preF_FD + E372 + F372 - preF_opts + J371 + K371 + F_primary/B372)/(1-B350)</f>
        <v/>
      </c>
      <c r="H372">
        <f>MAX(0, B350*G372 - preF_opts)</f>
        <v/>
      </c>
      <c r="I372">
        <f>preF_FD + E372 + F372 + H372</f>
        <v/>
      </c>
      <c r="J372">
        <f>NA_P/MIN(NA_cap/(I372+K371), (1-NA_disc)*B372)</f>
        <v/>
      </c>
      <c r="K372">
        <f>NB_P/MIN(NB_cap/(I372+J372), (1-NB_disc)*B372)</f>
        <v/>
      </c>
      <c r="L372">
        <f>F_primary/B372</f>
        <v/>
      </c>
      <c r="M372">
        <f>I372+J372+K372</f>
        <v/>
      </c>
      <c r="N372">
        <f>D350/M372</f>
        <v/>
      </c>
      <c r="O372">
        <f>IF(Y371*L372 &gt; F_primary, 1, 0)</f>
        <v/>
      </c>
      <c r="P372">
        <f>IF(Y371*(E_sh + F372) &gt; E_inv, 1, 0)</f>
        <v/>
      </c>
      <c r="Q372">
        <f>IF(Y371*(D_sh + E372) &gt; D_inv, 1, 0)</f>
        <v/>
      </c>
      <c r="R372">
        <f>IF(Y371*C_sh &gt; C_inv, 1, 0)</f>
        <v/>
      </c>
      <c r="S372">
        <f>IF(Y371*B_sh &gt; B_inv, 1, 0)</f>
        <v/>
      </c>
      <c r="T372">
        <f>IF(Y371*A_sh &gt; A_inv, 1, 0)</f>
        <v/>
      </c>
      <c r="U372">
        <f>IF(Y371*seed_sh &gt; seed_inv, 1, 0)</f>
        <v/>
      </c>
      <c r="V372">
        <f>(1-O372)*F_primary+(1-P372)*E_inv+(1-Q372)*D_inv+(1-R372)*C_inv+(1-S372)*B_inv+(1-T372)*A_inv+(1-U372)*seed_inv</f>
        <v/>
      </c>
      <c r="W372">
        <f>MAX(0, sens_exit - V372)</f>
        <v/>
      </c>
      <c r="X372">
        <f>F1_sh+F2_sh+F3_sh+RSA_sh+J372+K372+O372*L372+P372*(E_sh + F372)+Q372*(D_sh + E372)+R372*C_sh+S372*B_sh+T372*A_sh+U372*seed_sh</f>
        <v/>
      </c>
      <c r="Y372">
        <f>(W372 + preF_opts_iss*opt_strike)/(X372 + preF_opts_iss)</f>
        <v/>
      </c>
    </row>
    <row r="373">
      <c r="B373">
        <f>N372</f>
        <v/>
      </c>
      <c r="C373">
        <f>OCP_D*(preF_FD + F_primary/OCP_D)/(preF_FD + F_primary/B373)</f>
        <v/>
      </c>
      <c r="D373">
        <f>OCP_E*(preF_FD + F_primary/OCP_E)/(preF_FD + F_primary/B373)</f>
        <v/>
      </c>
      <c r="E373">
        <f>D_sh*(OCP_D/C373 - 1)</f>
        <v/>
      </c>
      <c r="F373">
        <f>E_sh*(OCP_E/D373 - 1)</f>
        <v/>
      </c>
      <c r="G373">
        <f>(preF_FD + E373 + F373 - preF_opts + J372 + K372 + F_primary/B373)/(1-B350)</f>
        <v/>
      </c>
      <c r="H373">
        <f>MAX(0, B350*G373 - preF_opts)</f>
        <v/>
      </c>
      <c r="I373">
        <f>preF_FD + E373 + F373 + H373</f>
        <v/>
      </c>
      <c r="J373">
        <f>NA_P/MIN(NA_cap/(I373+K372), (1-NA_disc)*B373)</f>
        <v/>
      </c>
      <c r="K373">
        <f>NB_P/MIN(NB_cap/(I373+J373), (1-NB_disc)*B373)</f>
        <v/>
      </c>
      <c r="L373">
        <f>F_primary/B373</f>
        <v/>
      </c>
      <c r="M373">
        <f>I373+J373+K373</f>
        <v/>
      </c>
      <c r="N373">
        <f>D350/M373</f>
        <v/>
      </c>
      <c r="O373">
        <f>IF(Y372*L373 &gt; F_primary, 1, 0)</f>
        <v/>
      </c>
      <c r="P373">
        <f>IF(Y372*(E_sh + F373) &gt; E_inv, 1, 0)</f>
        <v/>
      </c>
      <c r="Q373">
        <f>IF(Y372*(D_sh + E373) &gt; D_inv, 1, 0)</f>
        <v/>
      </c>
      <c r="R373">
        <f>IF(Y372*C_sh &gt; C_inv, 1, 0)</f>
        <v/>
      </c>
      <c r="S373">
        <f>IF(Y372*B_sh &gt; B_inv, 1, 0)</f>
        <v/>
      </c>
      <c r="T373">
        <f>IF(Y372*A_sh &gt; A_inv, 1, 0)</f>
        <v/>
      </c>
      <c r="U373">
        <f>IF(Y372*seed_sh &gt; seed_inv, 1, 0)</f>
        <v/>
      </c>
      <c r="V373">
        <f>(1-O373)*F_primary+(1-P373)*E_inv+(1-Q373)*D_inv+(1-R373)*C_inv+(1-S373)*B_inv+(1-T373)*A_inv+(1-U373)*seed_inv</f>
        <v/>
      </c>
      <c r="W373">
        <f>MAX(0, sens_exit - V373)</f>
        <v/>
      </c>
      <c r="X373">
        <f>F1_sh+F2_sh+F3_sh+RSA_sh+J373+K373+O373*L373+P373*(E_sh + F373)+Q373*(D_sh + E373)+R373*C_sh+S373*B_sh+T373*A_sh+U373*seed_sh</f>
        <v/>
      </c>
      <c r="Y373">
        <f>(W373 + preF_opts_iss*opt_strike)/(X373 + preF_opts_iss)</f>
        <v/>
      </c>
    </row>
    <row r="374">
      <c r="B374">
        <f>N373</f>
        <v/>
      </c>
      <c r="C374">
        <f>OCP_D*(preF_FD + F_primary/OCP_D)/(preF_FD + F_primary/B374)</f>
        <v/>
      </c>
      <c r="D374">
        <f>OCP_E*(preF_FD + F_primary/OCP_E)/(preF_FD + F_primary/B374)</f>
        <v/>
      </c>
      <c r="E374">
        <f>D_sh*(OCP_D/C374 - 1)</f>
        <v/>
      </c>
      <c r="F374">
        <f>E_sh*(OCP_E/D374 - 1)</f>
        <v/>
      </c>
      <c r="G374">
        <f>(preF_FD + E374 + F374 - preF_opts + J373 + K373 + F_primary/B374)/(1-B350)</f>
        <v/>
      </c>
      <c r="H374">
        <f>MAX(0, B350*G374 - preF_opts)</f>
        <v/>
      </c>
      <c r="I374">
        <f>preF_FD + E374 + F374 + H374</f>
        <v/>
      </c>
      <c r="J374">
        <f>NA_P/MIN(NA_cap/(I374+K373), (1-NA_disc)*B374)</f>
        <v/>
      </c>
      <c r="K374">
        <f>NB_P/MIN(NB_cap/(I374+J374), (1-NB_disc)*B374)</f>
        <v/>
      </c>
      <c r="L374">
        <f>F_primary/B374</f>
        <v/>
      </c>
      <c r="M374">
        <f>I374+J374+K374</f>
        <v/>
      </c>
      <c r="N374">
        <f>D350/M374</f>
        <v/>
      </c>
      <c r="O374">
        <f>IF(Y373*L374 &gt; F_primary, 1, 0)</f>
        <v/>
      </c>
      <c r="P374">
        <f>IF(Y373*(E_sh + F374) &gt; E_inv, 1, 0)</f>
        <v/>
      </c>
      <c r="Q374">
        <f>IF(Y373*(D_sh + E374) &gt; D_inv, 1, 0)</f>
        <v/>
      </c>
      <c r="R374">
        <f>IF(Y373*C_sh &gt; C_inv, 1, 0)</f>
        <v/>
      </c>
      <c r="S374">
        <f>IF(Y373*B_sh &gt; B_inv, 1, 0)</f>
        <v/>
      </c>
      <c r="T374">
        <f>IF(Y373*A_sh &gt; A_inv, 1, 0)</f>
        <v/>
      </c>
      <c r="U374">
        <f>IF(Y373*seed_sh &gt; seed_inv, 1, 0)</f>
        <v/>
      </c>
      <c r="V374">
        <f>(1-O374)*F_primary+(1-P374)*E_inv+(1-Q374)*D_inv+(1-R374)*C_inv+(1-S374)*B_inv+(1-T374)*A_inv+(1-U374)*seed_inv</f>
        <v/>
      </c>
      <c r="W374">
        <f>MAX(0, sens_exit - V374)</f>
        <v/>
      </c>
      <c r="X374">
        <f>F1_sh+F2_sh+F3_sh+RSA_sh+J374+K374+O374*L374+P374*(E_sh + F374)+Q374*(D_sh + E374)+R374*C_sh+S374*B_sh+T374*A_sh+U374*seed_sh</f>
        <v/>
      </c>
      <c r="Y374">
        <f>(W374 + preF_opts_iss*opt_strike)/(X374 + preF_opts_iss)</f>
        <v/>
      </c>
    </row>
    <row r="375">
      <c r="B375">
        <f>N374</f>
        <v/>
      </c>
      <c r="C375">
        <f>OCP_D*(preF_FD + F_primary/OCP_D)/(preF_FD + F_primary/B375)</f>
        <v/>
      </c>
      <c r="D375">
        <f>OCP_E*(preF_FD + F_primary/OCP_E)/(preF_FD + F_primary/B375)</f>
        <v/>
      </c>
      <c r="E375">
        <f>D_sh*(OCP_D/C375 - 1)</f>
        <v/>
      </c>
      <c r="F375">
        <f>E_sh*(OCP_E/D375 - 1)</f>
        <v/>
      </c>
      <c r="G375">
        <f>(preF_FD + E375 + F375 - preF_opts + J374 + K374 + F_primary/B375)/(1-B350)</f>
        <v/>
      </c>
      <c r="H375">
        <f>MAX(0, B350*G375 - preF_opts)</f>
        <v/>
      </c>
      <c r="I375">
        <f>preF_FD + E375 + F375 + H375</f>
        <v/>
      </c>
      <c r="J375">
        <f>NA_P/MIN(NA_cap/(I375+K374), (1-NA_disc)*B375)</f>
        <v/>
      </c>
      <c r="K375">
        <f>NB_P/MIN(NB_cap/(I375+J375), (1-NB_disc)*B375)</f>
        <v/>
      </c>
      <c r="L375">
        <f>F_primary/B375</f>
        <v/>
      </c>
      <c r="M375">
        <f>I375+J375+K375</f>
        <v/>
      </c>
      <c r="N375">
        <f>D350/M375</f>
        <v/>
      </c>
      <c r="O375">
        <f>IF(Y374*L375 &gt; F_primary, 1, 0)</f>
        <v/>
      </c>
      <c r="P375">
        <f>IF(Y374*(E_sh + F375) &gt; E_inv, 1, 0)</f>
        <v/>
      </c>
      <c r="Q375">
        <f>IF(Y374*(D_sh + E375) &gt; D_inv, 1, 0)</f>
        <v/>
      </c>
      <c r="R375">
        <f>IF(Y374*C_sh &gt; C_inv, 1, 0)</f>
        <v/>
      </c>
      <c r="S375">
        <f>IF(Y374*B_sh &gt; B_inv, 1, 0)</f>
        <v/>
      </c>
      <c r="T375">
        <f>IF(Y374*A_sh &gt; A_inv, 1, 0)</f>
        <v/>
      </c>
      <c r="U375">
        <f>IF(Y374*seed_sh &gt; seed_inv, 1, 0)</f>
        <v/>
      </c>
      <c r="V375">
        <f>(1-O375)*F_primary+(1-P375)*E_inv+(1-Q375)*D_inv+(1-R375)*C_inv+(1-S375)*B_inv+(1-T375)*A_inv+(1-U375)*seed_inv</f>
        <v/>
      </c>
      <c r="W375">
        <f>MAX(0, sens_exit - V375)</f>
        <v/>
      </c>
      <c r="X375">
        <f>F1_sh+F2_sh+F3_sh+RSA_sh+J375+K375+O375*L375+P375*(E_sh + F375)+Q375*(D_sh + E375)+R375*C_sh+S375*B_sh+T375*A_sh+U375*seed_sh</f>
        <v/>
      </c>
      <c r="Y375">
        <f>(W375 + preF_opts_iss*opt_strike)/(X375 + preF_opts_iss)</f>
        <v/>
      </c>
    </row>
    <row r="376">
      <c r="B376">
        <f>N375</f>
        <v/>
      </c>
      <c r="C376">
        <f>OCP_D*(preF_FD + F_primary/OCP_D)/(preF_FD + F_primary/B376)</f>
        <v/>
      </c>
      <c r="D376">
        <f>OCP_E*(preF_FD + F_primary/OCP_E)/(preF_FD + F_primary/B376)</f>
        <v/>
      </c>
      <c r="E376">
        <f>D_sh*(OCP_D/C376 - 1)</f>
        <v/>
      </c>
      <c r="F376">
        <f>E_sh*(OCP_E/D376 - 1)</f>
        <v/>
      </c>
      <c r="G376">
        <f>(preF_FD + E376 + F376 - preF_opts + J375 + K375 + F_primary/B376)/(1-B350)</f>
        <v/>
      </c>
      <c r="H376">
        <f>MAX(0, B350*G376 - preF_opts)</f>
        <v/>
      </c>
      <c r="I376">
        <f>preF_FD + E376 + F376 + H376</f>
        <v/>
      </c>
      <c r="J376">
        <f>NA_P/MIN(NA_cap/(I376+K375), (1-NA_disc)*B376)</f>
        <v/>
      </c>
      <c r="K376">
        <f>NB_P/MIN(NB_cap/(I376+J376), (1-NB_disc)*B376)</f>
        <v/>
      </c>
      <c r="L376">
        <f>F_primary/B376</f>
        <v/>
      </c>
      <c r="M376">
        <f>I376+J376+K376</f>
        <v/>
      </c>
      <c r="N376">
        <f>D350/M376</f>
        <v/>
      </c>
      <c r="O376">
        <f>IF(Y375*L376 &gt; F_primary, 1, 0)</f>
        <v/>
      </c>
      <c r="P376">
        <f>IF(Y375*(E_sh + F376) &gt; E_inv, 1, 0)</f>
        <v/>
      </c>
      <c r="Q376">
        <f>IF(Y375*(D_sh + E376) &gt; D_inv, 1, 0)</f>
        <v/>
      </c>
      <c r="R376">
        <f>IF(Y375*C_sh &gt; C_inv, 1, 0)</f>
        <v/>
      </c>
      <c r="S376">
        <f>IF(Y375*B_sh &gt; B_inv, 1, 0)</f>
        <v/>
      </c>
      <c r="T376">
        <f>IF(Y375*A_sh &gt; A_inv, 1, 0)</f>
        <v/>
      </c>
      <c r="U376">
        <f>IF(Y375*seed_sh &gt; seed_inv, 1, 0)</f>
        <v/>
      </c>
      <c r="V376">
        <f>(1-O376)*F_primary+(1-P376)*E_inv+(1-Q376)*D_inv+(1-R376)*C_inv+(1-S376)*B_inv+(1-T376)*A_inv+(1-U376)*seed_inv</f>
        <v/>
      </c>
      <c r="W376">
        <f>MAX(0, sens_exit - V376)</f>
        <v/>
      </c>
      <c r="X376">
        <f>F1_sh+F2_sh+F3_sh+RSA_sh+J376+K376+O376*L376+P376*(E_sh + F376)+Q376*(D_sh + E376)+R376*C_sh+S376*B_sh+T376*A_sh+U376*seed_sh</f>
        <v/>
      </c>
      <c r="Y376">
        <f>(W376 + preF_opts_iss*opt_strike)/(X376 + preF_opts_iss)</f>
        <v/>
      </c>
    </row>
    <row r="377">
      <c r="B377">
        <f>N376</f>
        <v/>
      </c>
      <c r="C377">
        <f>OCP_D*(preF_FD + F_primary/OCP_D)/(preF_FD + F_primary/B377)</f>
        <v/>
      </c>
      <c r="D377">
        <f>OCP_E*(preF_FD + F_primary/OCP_E)/(preF_FD + F_primary/B377)</f>
        <v/>
      </c>
      <c r="E377">
        <f>D_sh*(OCP_D/C377 - 1)</f>
        <v/>
      </c>
      <c r="F377">
        <f>E_sh*(OCP_E/D377 - 1)</f>
        <v/>
      </c>
      <c r="G377">
        <f>(preF_FD + E377 + F377 - preF_opts + J376 + K376 + F_primary/B377)/(1-B350)</f>
        <v/>
      </c>
      <c r="H377">
        <f>MAX(0, B350*G377 - preF_opts)</f>
        <v/>
      </c>
      <c r="I377">
        <f>preF_FD + E377 + F377 + H377</f>
        <v/>
      </c>
      <c r="J377">
        <f>NA_P/MIN(NA_cap/(I377+K376), (1-NA_disc)*B377)</f>
        <v/>
      </c>
      <c r="K377">
        <f>NB_P/MIN(NB_cap/(I377+J377), (1-NB_disc)*B377)</f>
        <v/>
      </c>
      <c r="L377">
        <f>F_primary/B377</f>
        <v/>
      </c>
      <c r="M377">
        <f>I377+J377+K377</f>
        <v/>
      </c>
      <c r="N377">
        <f>D350/M377</f>
        <v/>
      </c>
      <c r="O377">
        <f>IF(Y376*L377 &gt; F_primary, 1, 0)</f>
        <v/>
      </c>
      <c r="P377">
        <f>IF(Y376*(E_sh + F377) &gt; E_inv, 1, 0)</f>
        <v/>
      </c>
      <c r="Q377">
        <f>IF(Y376*(D_sh + E377) &gt; D_inv, 1, 0)</f>
        <v/>
      </c>
      <c r="R377">
        <f>IF(Y376*C_sh &gt; C_inv, 1, 0)</f>
        <v/>
      </c>
      <c r="S377">
        <f>IF(Y376*B_sh &gt; B_inv, 1, 0)</f>
        <v/>
      </c>
      <c r="T377">
        <f>IF(Y376*A_sh &gt; A_inv, 1, 0)</f>
        <v/>
      </c>
      <c r="U377">
        <f>IF(Y376*seed_sh &gt; seed_inv, 1, 0)</f>
        <v/>
      </c>
      <c r="V377">
        <f>(1-O377)*F_primary+(1-P377)*E_inv+(1-Q377)*D_inv+(1-R377)*C_inv+(1-S377)*B_inv+(1-T377)*A_inv+(1-U377)*seed_inv</f>
        <v/>
      </c>
      <c r="W377">
        <f>MAX(0, sens_exit - V377)</f>
        <v/>
      </c>
      <c r="X377">
        <f>F1_sh+F2_sh+F3_sh+RSA_sh+J377+K377+O377*L377+P377*(E_sh + F377)+Q377*(D_sh + E377)+R377*C_sh+S377*B_sh+T377*A_sh+U377*seed_sh</f>
        <v/>
      </c>
      <c r="Y377">
        <f>(W377 + preF_opts_iss*opt_strike)/(X377 + preF_opts_iss)</f>
        <v/>
      </c>
    </row>
    <row r="378">
      <c r="B378">
        <f>N377</f>
        <v/>
      </c>
      <c r="C378">
        <f>OCP_D*(preF_FD + F_primary/OCP_D)/(preF_FD + F_primary/B378)</f>
        <v/>
      </c>
      <c r="D378">
        <f>OCP_E*(preF_FD + F_primary/OCP_E)/(preF_FD + F_primary/B378)</f>
        <v/>
      </c>
      <c r="E378">
        <f>D_sh*(OCP_D/C378 - 1)</f>
        <v/>
      </c>
      <c r="F378">
        <f>E_sh*(OCP_E/D378 - 1)</f>
        <v/>
      </c>
      <c r="G378">
        <f>(preF_FD + E378 + F378 - preF_opts + J377 + K377 + F_primary/B378)/(1-B350)</f>
        <v/>
      </c>
      <c r="H378">
        <f>MAX(0, B350*G378 - preF_opts)</f>
        <v/>
      </c>
      <c r="I378">
        <f>preF_FD + E378 + F378 + H378</f>
        <v/>
      </c>
      <c r="J378">
        <f>NA_P/MIN(NA_cap/(I378+K377), (1-NA_disc)*B378)</f>
        <v/>
      </c>
      <c r="K378">
        <f>NB_P/MIN(NB_cap/(I378+J378), (1-NB_disc)*B378)</f>
        <v/>
      </c>
      <c r="L378">
        <f>F_primary/B378</f>
        <v/>
      </c>
      <c r="M378">
        <f>I378+J378+K378</f>
        <v/>
      </c>
      <c r="N378">
        <f>D350/M378</f>
        <v/>
      </c>
      <c r="O378">
        <f>IF(Y377*L378 &gt; F_primary, 1, 0)</f>
        <v/>
      </c>
      <c r="P378">
        <f>IF(Y377*(E_sh + F378) &gt; E_inv, 1, 0)</f>
        <v/>
      </c>
      <c r="Q378">
        <f>IF(Y377*(D_sh + E378) &gt; D_inv, 1, 0)</f>
        <v/>
      </c>
      <c r="R378">
        <f>IF(Y377*C_sh &gt; C_inv, 1, 0)</f>
        <v/>
      </c>
      <c r="S378">
        <f>IF(Y377*B_sh &gt; B_inv, 1, 0)</f>
        <v/>
      </c>
      <c r="T378">
        <f>IF(Y377*A_sh &gt; A_inv, 1, 0)</f>
        <v/>
      </c>
      <c r="U378">
        <f>IF(Y377*seed_sh &gt; seed_inv, 1, 0)</f>
        <v/>
      </c>
      <c r="V378">
        <f>(1-O378)*F_primary+(1-P378)*E_inv+(1-Q378)*D_inv+(1-R378)*C_inv+(1-S378)*B_inv+(1-T378)*A_inv+(1-U378)*seed_inv</f>
        <v/>
      </c>
      <c r="W378">
        <f>MAX(0, sens_exit - V378)</f>
        <v/>
      </c>
      <c r="X378">
        <f>F1_sh+F2_sh+F3_sh+RSA_sh+J378+K378+O378*L378+P378*(E_sh + F378)+Q378*(D_sh + E378)+R378*C_sh+S378*B_sh+T378*A_sh+U378*seed_sh</f>
        <v/>
      </c>
      <c r="Y378">
        <f>(W378 + preF_opts_iss*opt_strike)/(X378 + preF_opts_iss)</f>
        <v/>
      </c>
    </row>
    <row r="379">
      <c r="B379">
        <f>N378</f>
        <v/>
      </c>
      <c r="C379">
        <f>OCP_D*(preF_FD + F_primary/OCP_D)/(preF_FD + F_primary/B379)</f>
        <v/>
      </c>
      <c r="D379">
        <f>OCP_E*(preF_FD + F_primary/OCP_E)/(preF_FD + F_primary/B379)</f>
        <v/>
      </c>
      <c r="E379">
        <f>D_sh*(OCP_D/C379 - 1)</f>
        <v/>
      </c>
      <c r="F379">
        <f>E_sh*(OCP_E/D379 - 1)</f>
        <v/>
      </c>
      <c r="G379">
        <f>(preF_FD + E379 + F379 - preF_opts + J378 + K378 + F_primary/B379)/(1-B350)</f>
        <v/>
      </c>
      <c r="H379">
        <f>MAX(0, B350*G379 - preF_opts)</f>
        <v/>
      </c>
      <c r="I379">
        <f>preF_FD + E379 + F379 + H379</f>
        <v/>
      </c>
      <c r="J379">
        <f>NA_P/MIN(NA_cap/(I379+K378), (1-NA_disc)*B379)</f>
        <v/>
      </c>
      <c r="K379">
        <f>NB_P/MIN(NB_cap/(I379+J379), (1-NB_disc)*B379)</f>
        <v/>
      </c>
      <c r="L379">
        <f>F_primary/B379</f>
        <v/>
      </c>
      <c r="M379">
        <f>I379+J379+K379</f>
        <v/>
      </c>
      <c r="N379">
        <f>D350/M379</f>
        <v/>
      </c>
      <c r="O379">
        <f>IF(Y378*L379 &gt; F_primary, 1, 0)</f>
        <v/>
      </c>
      <c r="P379">
        <f>IF(Y378*(E_sh + F379) &gt; E_inv, 1, 0)</f>
        <v/>
      </c>
      <c r="Q379">
        <f>IF(Y378*(D_sh + E379) &gt; D_inv, 1, 0)</f>
        <v/>
      </c>
      <c r="R379">
        <f>IF(Y378*C_sh &gt; C_inv, 1, 0)</f>
        <v/>
      </c>
      <c r="S379">
        <f>IF(Y378*B_sh &gt; B_inv, 1, 0)</f>
        <v/>
      </c>
      <c r="T379">
        <f>IF(Y378*A_sh &gt; A_inv, 1, 0)</f>
        <v/>
      </c>
      <c r="U379">
        <f>IF(Y378*seed_sh &gt; seed_inv, 1, 0)</f>
        <v/>
      </c>
      <c r="V379">
        <f>(1-O379)*F_primary+(1-P379)*E_inv+(1-Q379)*D_inv+(1-R379)*C_inv+(1-S379)*B_inv+(1-T379)*A_inv+(1-U379)*seed_inv</f>
        <v/>
      </c>
      <c r="W379">
        <f>MAX(0, sens_exit - V379)</f>
        <v/>
      </c>
      <c r="X379">
        <f>F1_sh+F2_sh+F3_sh+RSA_sh+J379+K379+O379*L379+P379*(E_sh + F379)+Q379*(D_sh + E379)+R379*C_sh+S379*B_sh+T379*A_sh+U379*seed_sh</f>
        <v/>
      </c>
      <c r="Y379">
        <f>(W379 + preF_opts_iss*opt_strike)/(X379 + preF_opts_iss)</f>
        <v/>
      </c>
    </row>
    <row r="380">
      <c r="B380">
        <f>N379</f>
        <v/>
      </c>
      <c r="C380">
        <f>OCP_D*(preF_FD + F_primary/OCP_D)/(preF_FD + F_primary/B380)</f>
        <v/>
      </c>
      <c r="D380">
        <f>OCP_E*(preF_FD + F_primary/OCP_E)/(preF_FD + F_primary/B380)</f>
        <v/>
      </c>
      <c r="E380">
        <f>D_sh*(OCP_D/C380 - 1)</f>
        <v/>
      </c>
      <c r="F380">
        <f>E_sh*(OCP_E/D380 - 1)</f>
        <v/>
      </c>
      <c r="G380">
        <f>(preF_FD + E380 + F380 - preF_opts + J379 + K379 + F_primary/B380)/(1-B350)</f>
        <v/>
      </c>
      <c r="H380">
        <f>MAX(0, B350*G380 - preF_opts)</f>
        <v/>
      </c>
      <c r="I380">
        <f>preF_FD + E380 + F380 + H380</f>
        <v/>
      </c>
      <c r="J380">
        <f>NA_P/MIN(NA_cap/(I380+K379), (1-NA_disc)*B380)</f>
        <v/>
      </c>
      <c r="K380">
        <f>NB_P/MIN(NB_cap/(I380+J380), (1-NB_disc)*B380)</f>
        <v/>
      </c>
      <c r="L380">
        <f>F_primary/B380</f>
        <v/>
      </c>
      <c r="M380">
        <f>I380+J380+K380</f>
        <v/>
      </c>
      <c r="N380">
        <f>D350/M380</f>
        <v/>
      </c>
      <c r="O380">
        <f>IF(Y379*L380 &gt; F_primary, 1, 0)</f>
        <v/>
      </c>
      <c r="P380">
        <f>IF(Y379*(E_sh + F380) &gt; E_inv, 1, 0)</f>
        <v/>
      </c>
      <c r="Q380">
        <f>IF(Y379*(D_sh + E380) &gt; D_inv, 1, 0)</f>
        <v/>
      </c>
      <c r="R380">
        <f>IF(Y379*C_sh &gt; C_inv, 1, 0)</f>
        <v/>
      </c>
      <c r="S380">
        <f>IF(Y379*B_sh &gt; B_inv, 1, 0)</f>
        <v/>
      </c>
      <c r="T380">
        <f>IF(Y379*A_sh &gt; A_inv, 1, 0)</f>
        <v/>
      </c>
      <c r="U380">
        <f>IF(Y379*seed_sh &gt; seed_inv, 1, 0)</f>
        <v/>
      </c>
      <c r="V380">
        <f>(1-O380)*F_primary+(1-P380)*E_inv+(1-Q380)*D_inv+(1-R380)*C_inv+(1-S380)*B_inv+(1-T380)*A_inv+(1-U380)*seed_inv</f>
        <v/>
      </c>
      <c r="W380">
        <f>MAX(0, sens_exit - V380)</f>
        <v/>
      </c>
      <c r="X380">
        <f>F1_sh+F2_sh+F3_sh+RSA_sh+J380+K380+O380*L380+P380*(E_sh + F380)+Q380*(D_sh + E380)+R380*C_sh+S380*B_sh+T380*A_sh+U380*seed_sh</f>
        <v/>
      </c>
      <c r="Y380">
        <f>(W380 + preF_opts_iss*opt_strike)/(X380 + preF_opts_iss)</f>
        <v/>
      </c>
    </row>
    <row r="381">
      <c r="B381">
        <f>N380</f>
        <v/>
      </c>
      <c r="C381">
        <f>OCP_D*(preF_FD + F_primary/OCP_D)/(preF_FD + F_primary/B381)</f>
        <v/>
      </c>
      <c r="D381">
        <f>OCP_E*(preF_FD + F_primary/OCP_E)/(preF_FD + F_primary/B381)</f>
        <v/>
      </c>
      <c r="E381">
        <f>D_sh*(OCP_D/C381 - 1)</f>
        <v/>
      </c>
      <c r="F381">
        <f>E_sh*(OCP_E/D381 - 1)</f>
        <v/>
      </c>
      <c r="G381">
        <f>(preF_FD + E381 + F381 - preF_opts + J380 + K380 + F_primary/B381)/(1-B350)</f>
        <v/>
      </c>
      <c r="H381">
        <f>MAX(0, B350*G381 - preF_opts)</f>
        <v/>
      </c>
      <c r="I381">
        <f>preF_FD + E381 + F381 + H381</f>
        <v/>
      </c>
      <c r="J381">
        <f>NA_P/MIN(NA_cap/(I381+K380), (1-NA_disc)*B381)</f>
        <v/>
      </c>
      <c r="K381">
        <f>NB_P/MIN(NB_cap/(I381+J381), (1-NB_disc)*B381)</f>
        <v/>
      </c>
      <c r="L381">
        <f>F_primary/B381</f>
        <v/>
      </c>
      <c r="M381">
        <f>I381+J381+K381</f>
        <v/>
      </c>
      <c r="N381">
        <f>D350/M381</f>
        <v/>
      </c>
      <c r="O381">
        <f>IF(Y380*L381 &gt; F_primary, 1, 0)</f>
        <v/>
      </c>
      <c r="P381">
        <f>IF(Y380*(E_sh + F381) &gt; E_inv, 1, 0)</f>
        <v/>
      </c>
      <c r="Q381">
        <f>IF(Y380*(D_sh + E381) &gt; D_inv, 1, 0)</f>
        <v/>
      </c>
      <c r="R381">
        <f>IF(Y380*C_sh &gt; C_inv, 1, 0)</f>
        <v/>
      </c>
      <c r="S381">
        <f>IF(Y380*B_sh &gt; B_inv, 1, 0)</f>
        <v/>
      </c>
      <c r="T381">
        <f>IF(Y380*A_sh &gt; A_inv, 1, 0)</f>
        <v/>
      </c>
      <c r="U381">
        <f>IF(Y380*seed_sh &gt; seed_inv, 1, 0)</f>
        <v/>
      </c>
      <c r="V381">
        <f>(1-O381)*F_primary+(1-P381)*E_inv+(1-Q381)*D_inv+(1-R381)*C_inv+(1-S381)*B_inv+(1-T381)*A_inv+(1-U381)*seed_inv</f>
        <v/>
      </c>
      <c r="W381">
        <f>MAX(0, sens_exit - V381)</f>
        <v/>
      </c>
      <c r="X381">
        <f>F1_sh+F2_sh+F3_sh+RSA_sh+J381+K381+O381*L381+P381*(E_sh + F381)+Q381*(D_sh + E381)+R381*C_sh+S381*B_sh+T381*A_sh+U381*seed_sh</f>
        <v/>
      </c>
      <c r="Y381">
        <f>(W381 + preF_opts_iss*opt_strike)/(X381 + preF_opts_iss)</f>
        <v/>
      </c>
    </row>
    <row r="382">
      <c r="B382">
        <f>N381</f>
        <v/>
      </c>
      <c r="C382">
        <f>OCP_D*(preF_FD + F_primary/OCP_D)/(preF_FD + F_primary/B382)</f>
        <v/>
      </c>
      <c r="D382">
        <f>OCP_E*(preF_FD + F_primary/OCP_E)/(preF_FD + F_primary/B382)</f>
        <v/>
      </c>
      <c r="E382">
        <f>D_sh*(OCP_D/C382 - 1)</f>
        <v/>
      </c>
      <c r="F382">
        <f>E_sh*(OCP_E/D382 - 1)</f>
        <v/>
      </c>
      <c r="G382">
        <f>(preF_FD + E382 + F382 - preF_opts + J381 + K381 + F_primary/B382)/(1-B350)</f>
        <v/>
      </c>
      <c r="H382">
        <f>MAX(0, B350*G382 - preF_opts)</f>
        <v/>
      </c>
      <c r="I382">
        <f>preF_FD + E382 + F382 + H382</f>
        <v/>
      </c>
      <c r="J382">
        <f>NA_P/MIN(NA_cap/(I382+K381), (1-NA_disc)*B382)</f>
        <v/>
      </c>
      <c r="K382">
        <f>NB_P/MIN(NB_cap/(I382+J382), (1-NB_disc)*B382)</f>
        <v/>
      </c>
      <c r="L382">
        <f>F_primary/B382</f>
        <v/>
      </c>
      <c r="M382">
        <f>I382+J382+K382</f>
        <v/>
      </c>
      <c r="N382">
        <f>D350/M382</f>
        <v/>
      </c>
      <c r="O382">
        <f>IF(Y381*L382 &gt; F_primary, 1, 0)</f>
        <v/>
      </c>
      <c r="P382">
        <f>IF(Y381*(E_sh + F382) &gt; E_inv, 1, 0)</f>
        <v/>
      </c>
      <c r="Q382">
        <f>IF(Y381*(D_sh + E382) &gt; D_inv, 1, 0)</f>
        <v/>
      </c>
      <c r="R382">
        <f>IF(Y381*C_sh &gt; C_inv, 1, 0)</f>
        <v/>
      </c>
      <c r="S382">
        <f>IF(Y381*B_sh &gt; B_inv, 1, 0)</f>
        <v/>
      </c>
      <c r="T382">
        <f>IF(Y381*A_sh &gt; A_inv, 1, 0)</f>
        <v/>
      </c>
      <c r="U382">
        <f>IF(Y381*seed_sh &gt; seed_inv, 1, 0)</f>
        <v/>
      </c>
      <c r="V382">
        <f>(1-O382)*F_primary+(1-P382)*E_inv+(1-Q382)*D_inv+(1-R382)*C_inv+(1-S382)*B_inv+(1-T382)*A_inv+(1-U382)*seed_inv</f>
        <v/>
      </c>
      <c r="W382">
        <f>MAX(0, sens_exit - V382)</f>
        <v/>
      </c>
      <c r="X382">
        <f>F1_sh+F2_sh+F3_sh+RSA_sh+J382+K382+O382*L382+P382*(E_sh + F382)+Q382*(D_sh + E382)+R382*C_sh+S382*B_sh+T382*A_sh+U382*seed_sh</f>
        <v/>
      </c>
      <c r="Y382">
        <f>(W382 + preF_opts_iss*opt_strike)/(X382 + preF_opts_iss)</f>
        <v/>
      </c>
    </row>
    <row r="383">
      <c r="B383">
        <f>N382</f>
        <v/>
      </c>
      <c r="C383">
        <f>OCP_D*(preF_FD + F_primary/OCP_D)/(preF_FD + F_primary/B383)</f>
        <v/>
      </c>
      <c r="D383">
        <f>OCP_E*(preF_FD + F_primary/OCP_E)/(preF_FD + F_primary/B383)</f>
        <v/>
      </c>
      <c r="E383">
        <f>D_sh*(OCP_D/C383 - 1)</f>
        <v/>
      </c>
      <c r="F383">
        <f>E_sh*(OCP_E/D383 - 1)</f>
        <v/>
      </c>
      <c r="G383">
        <f>(preF_FD + E383 + F383 - preF_opts + J382 + K382 + F_primary/B383)/(1-B350)</f>
        <v/>
      </c>
      <c r="H383">
        <f>MAX(0, B350*G383 - preF_opts)</f>
        <v/>
      </c>
      <c r="I383">
        <f>preF_FD + E383 + F383 + H383</f>
        <v/>
      </c>
      <c r="J383">
        <f>NA_P/MIN(NA_cap/(I383+K382), (1-NA_disc)*B383)</f>
        <v/>
      </c>
      <c r="K383">
        <f>NB_P/MIN(NB_cap/(I383+J383), (1-NB_disc)*B383)</f>
        <v/>
      </c>
      <c r="L383">
        <f>F_primary/B383</f>
        <v/>
      </c>
      <c r="M383">
        <f>I383+J383+K383</f>
        <v/>
      </c>
      <c r="N383">
        <f>D350/M383</f>
        <v/>
      </c>
      <c r="O383">
        <f>IF(Y382*L383 &gt; F_primary, 1, 0)</f>
        <v/>
      </c>
      <c r="P383">
        <f>IF(Y382*(E_sh + F383) &gt; E_inv, 1, 0)</f>
        <v/>
      </c>
      <c r="Q383">
        <f>IF(Y382*(D_sh + E383) &gt; D_inv, 1, 0)</f>
        <v/>
      </c>
      <c r="R383">
        <f>IF(Y382*C_sh &gt; C_inv, 1, 0)</f>
        <v/>
      </c>
      <c r="S383">
        <f>IF(Y382*B_sh &gt; B_inv, 1, 0)</f>
        <v/>
      </c>
      <c r="T383">
        <f>IF(Y382*A_sh &gt; A_inv, 1, 0)</f>
        <v/>
      </c>
      <c r="U383">
        <f>IF(Y382*seed_sh &gt; seed_inv, 1, 0)</f>
        <v/>
      </c>
      <c r="V383">
        <f>(1-O383)*F_primary+(1-P383)*E_inv+(1-Q383)*D_inv+(1-R383)*C_inv+(1-S383)*B_inv+(1-T383)*A_inv+(1-U383)*seed_inv</f>
        <v/>
      </c>
      <c r="W383">
        <f>MAX(0, sens_exit - V383)</f>
        <v/>
      </c>
      <c r="X383">
        <f>F1_sh+F2_sh+F3_sh+RSA_sh+J383+K383+O383*L383+P383*(E_sh + F383)+Q383*(D_sh + E383)+R383*C_sh+S383*B_sh+T383*A_sh+U383*seed_sh</f>
        <v/>
      </c>
      <c r="Y383">
        <f>(W383 + preF_opts_iss*opt_strike)/(X383 + preF_opts_iss)</f>
        <v/>
      </c>
    </row>
    <row r="384">
      <c r="B384">
        <f>N383</f>
        <v/>
      </c>
      <c r="C384">
        <f>OCP_D*(preF_FD + F_primary/OCP_D)/(preF_FD + F_primary/B384)</f>
        <v/>
      </c>
      <c r="D384">
        <f>OCP_E*(preF_FD + F_primary/OCP_E)/(preF_FD + F_primary/B384)</f>
        <v/>
      </c>
      <c r="E384">
        <f>D_sh*(OCP_D/C384 - 1)</f>
        <v/>
      </c>
      <c r="F384">
        <f>E_sh*(OCP_E/D384 - 1)</f>
        <v/>
      </c>
      <c r="G384">
        <f>(preF_FD + E384 + F384 - preF_opts + J383 + K383 + F_primary/B384)/(1-B350)</f>
        <v/>
      </c>
      <c r="H384">
        <f>MAX(0, B350*G384 - preF_opts)</f>
        <v/>
      </c>
      <c r="I384">
        <f>preF_FD + E384 + F384 + H384</f>
        <v/>
      </c>
      <c r="J384">
        <f>NA_P/MIN(NA_cap/(I384+K383), (1-NA_disc)*B384)</f>
        <v/>
      </c>
      <c r="K384">
        <f>NB_P/MIN(NB_cap/(I384+J384), (1-NB_disc)*B384)</f>
        <v/>
      </c>
      <c r="L384">
        <f>F_primary/B384</f>
        <v/>
      </c>
      <c r="M384">
        <f>I384+J384+K384</f>
        <v/>
      </c>
      <c r="N384">
        <f>D350/M384</f>
        <v/>
      </c>
      <c r="O384">
        <f>IF(Y383*L384 &gt; F_primary, 1, 0)</f>
        <v/>
      </c>
      <c r="P384">
        <f>IF(Y383*(E_sh + F384) &gt; E_inv, 1, 0)</f>
        <v/>
      </c>
      <c r="Q384">
        <f>IF(Y383*(D_sh + E384) &gt; D_inv, 1, 0)</f>
        <v/>
      </c>
      <c r="R384">
        <f>IF(Y383*C_sh &gt; C_inv, 1, 0)</f>
        <v/>
      </c>
      <c r="S384">
        <f>IF(Y383*B_sh &gt; B_inv, 1, 0)</f>
        <v/>
      </c>
      <c r="T384">
        <f>IF(Y383*A_sh &gt; A_inv, 1, 0)</f>
        <v/>
      </c>
      <c r="U384">
        <f>IF(Y383*seed_sh &gt; seed_inv, 1, 0)</f>
        <v/>
      </c>
      <c r="V384">
        <f>(1-O384)*F_primary+(1-P384)*E_inv+(1-Q384)*D_inv+(1-R384)*C_inv+(1-S384)*B_inv+(1-T384)*A_inv+(1-U384)*seed_inv</f>
        <v/>
      </c>
      <c r="W384">
        <f>MAX(0, sens_exit - V384)</f>
        <v/>
      </c>
      <c r="X384">
        <f>F1_sh+F2_sh+F3_sh+RSA_sh+J384+K384+O384*L384+P384*(E_sh + F384)+Q384*(D_sh + E384)+R384*C_sh+S384*B_sh+T384*A_sh+U384*seed_sh</f>
        <v/>
      </c>
      <c r="Y384">
        <f>(W384 + preF_opts_iss*opt_strike)/(X384 + preF_opts_iss)</f>
        <v/>
      </c>
    </row>
    <row r="385">
      <c r="B385">
        <f>N384</f>
        <v/>
      </c>
      <c r="C385">
        <f>OCP_D*(preF_FD + F_primary/OCP_D)/(preF_FD + F_primary/B385)</f>
        <v/>
      </c>
      <c r="D385">
        <f>OCP_E*(preF_FD + F_primary/OCP_E)/(preF_FD + F_primary/B385)</f>
        <v/>
      </c>
      <c r="E385">
        <f>D_sh*(OCP_D/C385 - 1)</f>
        <v/>
      </c>
      <c r="F385">
        <f>E_sh*(OCP_E/D385 - 1)</f>
        <v/>
      </c>
      <c r="G385">
        <f>(preF_FD + E385 + F385 - preF_opts + J384 + K384 + F_primary/B385)/(1-B350)</f>
        <v/>
      </c>
      <c r="H385">
        <f>MAX(0, B350*G385 - preF_opts)</f>
        <v/>
      </c>
      <c r="I385">
        <f>preF_FD + E385 + F385 + H385</f>
        <v/>
      </c>
      <c r="J385">
        <f>NA_P/MIN(NA_cap/(I385+K384), (1-NA_disc)*B385)</f>
        <v/>
      </c>
      <c r="K385">
        <f>NB_P/MIN(NB_cap/(I385+J385), (1-NB_disc)*B385)</f>
        <v/>
      </c>
      <c r="L385">
        <f>F_primary/B385</f>
        <v/>
      </c>
      <c r="M385">
        <f>I385+J385+K385</f>
        <v/>
      </c>
      <c r="N385">
        <f>D350/M385</f>
        <v/>
      </c>
      <c r="O385">
        <f>IF(Y384*L385 &gt; F_primary, 1, 0)</f>
        <v/>
      </c>
      <c r="P385">
        <f>IF(Y384*(E_sh + F385) &gt; E_inv, 1, 0)</f>
        <v/>
      </c>
      <c r="Q385">
        <f>IF(Y384*(D_sh + E385) &gt; D_inv, 1, 0)</f>
        <v/>
      </c>
      <c r="R385">
        <f>IF(Y384*C_sh &gt; C_inv, 1, 0)</f>
        <v/>
      </c>
      <c r="S385">
        <f>IF(Y384*B_sh &gt; B_inv, 1, 0)</f>
        <v/>
      </c>
      <c r="T385">
        <f>IF(Y384*A_sh &gt; A_inv, 1, 0)</f>
        <v/>
      </c>
      <c r="U385">
        <f>IF(Y384*seed_sh &gt; seed_inv, 1, 0)</f>
        <v/>
      </c>
      <c r="V385">
        <f>(1-O385)*F_primary+(1-P385)*E_inv+(1-Q385)*D_inv+(1-R385)*C_inv+(1-S385)*B_inv+(1-T385)*A_inv+(1-U385)*seed_inv</f>
        <v/>
      </c>
      <c r="W385">
        <f>MAX(0, sens_exit - V385)</f>
        <v/>
      </c>
      <c r="X385">
        <f>F1_sh+F2_sh+F3_sh+RSA_sh+J385+K385+O385*L385+P385*(E_sh + F385)+Q385*(D_sh + E385)+R385*C_sh+S385*B_sh+T385*A_sh+U385*seed_sh</f>
        <v/>
      </c>
      <c r="Y385">
        <f>(W385 + preF_opts_iss*opt_strike)/(X385 + preF_opts_iss)</f>
        <v/>
      </c>
    </row>
    <row r="386">
      <c r="B386">
        <f>N385</f>
        <v/>
      </c>
      <c r="C386">
        <f>OCP_D*(preF_FD + F_primary/OCP_D)/(preF_FD + F_primary/B386)</f>
        <v/>
      </c>
      <c r="D386">
        <f>OCP_E*(preF_FD + F_primary/OCP_E)/(preF_FD + F_primary/B386)</f>
        <v/>
      </c>
      <c r="E386">
        <f>D_sh*(OCP_D/C386 - 1)</f>
        <v/>
      </c>
      <c r="F386">
        <f>E_sh*(OCP_E/D386 - 1)</f>
        <v/>
      </c>
      <c r="G386">
        <f>(preF_FD + E386 + F386 - preF_opts + J385 + K385 + F_primary/B386)/(1-B350)</f>
        <v/>
      </c>
      <c r="H386">
        <f>MAX(0, B350*G386 - preF_opts)</f>
        <v/>
      </c>
      <c r="I386">
        <f>preF_FD + E386 + F386 + H386</f>
        <v/>
      </c>
      <c r="J386">
        <f>NA_P/MIN(NA_cap/(I386+K385), (1-NA_disc)*B386)</f>
        <v/>
      </c>
      <c r="K386">
        <f>NB_P/MIN(NB_cap/(I386+J386), (1-NB_disc)*B386)</f>
        <v/>
      </c>
      <c r="L386">
        <f>F_primary/B386</f>
        <v/>
      </c>
      <c r="M386">
        <f>I386+J386+K386</f>
        <v/>
      </c>
      <c r="N386">
        <f>D350/M386</f>
        <v/>
      </c>
      <c r="O386">
        <f>IF(Y385*L386 &gt; F_primary, 1, 0)</f>
        <v/>
      </c>
      <c r="P386">
        <f>IF(Y385*(E_sh + F386) &gt; E_inv, 1, 0)</f>
        <v/>
      </c>
      <c r="Q386">
        <f>IF(Y385*(D_sh + E386) &gt; D_inv, 1, 0)</f>
        <v/>
      </c>
      <c r="R386">
        <f>IF(Y385*C_sh &gt; C_inv, 1, 0)</f>
        <v/>
      </c>
      <c r="S386">
        <f>IF(Y385*B_sh &gt; B_inv, 1, 0)</f>
        <v/>
      </c>
      <c r="T386">
        <f>IF(Y385*A_sh &gt; A_inv, 1, 0)</f>
        <v/>
      </c>
      <c r="U386">
        <f>IF(Y385*seed_sh &gt; seed_inv, 1, 0)</f>
        <v/>
      </c>
      <c r="V386">
        <f>(1-O386)*F_primary+(1-P386)*E_inv+(1-Q386)*D_inv+(1-R386)*C_inv+(1-S386)*B_inv+(1-T386)*A_inv+(1-U386)*seed_inv</f>
        <v/>
      </c>
      <c r="W386">
        <f>MAX(0, sens_exit - V386)</f>
        <v/>
      </c>
      <c r="X386">
        <f>F1_sh+F2_sh+F3_sh+RSA_sh+J386+K386+O386*L386+P386*(E_sh + F386)+Q386*(D_sh + E386)+R386*C_sh+S386*B_sh+T386*A_sh+U386*seed_sh</f>
        <v/>
      </c>
      <c r="Y386">
        <f>(W386 + preF_opts_iss*opt_strike)/(X386 + preF_opts_iss)</f>
        <v/>
      </c>
    </row>
    <row r="387">
      <c r="B387">
        <f>N386</f>
        <v/>
      </c>
      <c r="C387">
        <f>OCP_D*(preF_FD + F_primary/OCP_D)/(preF_FD + F_primary/B387)</f>
        <v/>
      </c>
      <c r="D387">
        <f>OCP_E*(preF_FD + F_primary/OCP_E)/(preF_FD + F_primary/B387)</f>
        <v/>
      </c>
      <c r="E387">
        <f>D_sh*(OCP_D/C387 - 1)</f>
        <v/>
      </c>
      <c r="F387">
        <f>E_sh*(OCP_E/D387 - 1)</f>
        <v/>
      </c>
      <c r="G387">
        <f>(preF_FD + E387 + F387 - preF_opts + J386 + K386 + F_primary/B387)/(1-B350)</f>
        <v/>
      </c>
      <c r="H387">
        <f>MAX(0, B350*G387 - preF_opts)</f>
        <v/>
      </c>
      <c r="I387">
        <f>preF_FD + E387 + F387 + H387</f>
        <v/>
      </c>
      <c r="J387">
        <f>NA_P/MIN(NA_cap/(I387+K386), (1-NA_disc)*B387)</f>
        <v/>
      </c>
      <c r="K387">
        <f>NB_P/MIN(NB_cap/(I387+J387), (1-NB_disc)*B387)</f>
        <v/>
      </c>
      <c r="L387">
        <f>F_primary/B387</f>
        <v/>
      </c>
      <c r="M387">
        <f>I387+J387+K387</f>
        <v/>
      </c>
      <c r="N387">
        <f>D350/M387</f>
        <v/>
      </c>
      <c r="O387">
        <f>IF(Y386*L387 &gt; F_primary, 1, 0)</f>
        <v/>
      </c>
      <c r="P387">
        <f>IF(Y386*(E_sh + F387) &gt; E_inv, 1, 0)</f>
        <v/>
      </c>
      <c r="Q387">
        <f>IF(Y386*(D_sh + E387) &gt; D_inv, 1, 0)</f>
        <v/>
      </c>
      <c r="R387">
        <f>IF(Y386*C_sh &gt; C_inv, 1, 0)</f>
        <v/>
      </c>
      <c r="S387">
        <f>IF(Y386*B_sh &gt; B_inv, 1, 0)</f>
        <v/>
      </c>
      <c r="T387">
        <f>IF(Y386*A_sh &gt; A_inv, 1, 0)</f>
        <v/>
      </c>
      <c r="U387">
        <f>IF(Y386*seed_sh &gt; seed_inv, 1, 0)</f>
        <v/>
      </c>
      <c r="V387">
        <f>(1-O387)*F_primary+(1-P387)*E_inv+(1-Q387)*D_inv+(1-R387)*C_inv+(1-S387)*B_inv+(1-T387)*A_inv+(1-U387)*seed_inv</f>
        <v/>
      </c>
      <c r="W387">
        <f>MAX(0, sens_exit - V387)</f>
        <v/>
      </c>
      <c r="X387">
        <f>F1_sh+F2_sh+F3_sh+RSA_sh+J387+K387+O387*L387+P387*(E_sh + F387)+Q387*(D_sh + E387)+R387*C_sh+S387*B_sh+T387*A_sh+U387*seed_sh</f>
        <v/>
      </c>
      <c r="Y387">
        <f>(W387 + preF_opts_iss*opt_strike)/(X387 + preF_opts_iss)</f>
        <v/>
      </c>
    </row>
    <row r="388">
      <c r="B388">
        <f>N387</f>
        <v/>
      </c>
      <c r="C388">
        <f>OCP_D*(preF_FD + F_primary/OCP_D)/(preF_FD + F_primary/B388)</f>
        <v/>
      </c>
      <c r="D388">
        <f>OCP_E*(preF_FD + F_primary/OCP_E)/(preF_FD + F_primary/B388)</f>
        <v/>
      </c>
      <c r="E388">
        <f>D_sh*(OCP_D/C388 - 1)</f>
        <v/>
      </c>
      <c r="F388">
        <f>E_sh*(OCP_E/D388 - 1)</f>
        <v/>
      </c>
      <c r="G388">
        <f>(preF_FD + E388 + F388 - preF_opts + J387 + K387 + F_primary/B388)/(1-B350)</f>
        <v/>
      </c>
      <c r="H388">
        <f>MAX(0, B350*G388 - preF_opts)</f>
        <v/>
      </c>
      <c r="I388">
        <f>preF_FD + E388 + F388 + H388</f>
        <v/>
      </c>
      <c r="J388">
        <f>NA_P/MIN(NA_cap/(I388+K387), (1-NA_disc)*B388)</f>
        <v/>
      </c>
      <c r="K388">
        <f>NB_P/MIN(NB_cap/(I388+J388), (1-NB_disc)*B388)</f>
        <v/>
      </c>
      <c r="L388">
        <f>F_primary/B388</f>
        <v/>
      </c>
      <c r="M388">
        <f>I388+J388+K388</f>
        <v/>
      </c>
      <c r="N388">
        <f>D350/M388</f>
        <v/>
      </c>
      <c r="O388">
        <f>IF(Y387*L388 &gt; F_primary, 1, 0)</f>
        <v/>
      </c>
      <c r="P388">
        <f>IF(Y387*(E_sh + F388) &gt; E_inv, 1, 0)</f>
        <v/>
      </c>
      <c r="Q388">
        <f>IF(Y387*(D_sh + E388) &gt; D_inv, 1, 0)</f>
        <v/>
      </c>
      <c r="R388">
        <f>IF(Y387*C_sh &gt; C_inv, 1, 0)</f>
        <v/>
      </c>
      <c r="S388">
        <f>IF(Y387*B_sh &gt; B_inv, 1, 0)</f>
        <v/>
      </c>
      <c r="T388">
        <f>IF(Y387*A_sh &gt; A_inv, 1, 0)</f>
        <v/>
      </c>
      <c r="U388">
        <f>IF(Y387*seed_sh &gt; seed_inv, 1, 0)</f>
        <v/>
      </c>
      <c r="V388">
        <f>(1-O388)*F_primary+(1-P388)*E_inv+(1-Q388)*D_inv+(1-R388)*C_inv+(1-S388)*B_inv+(1-T388)*A_inv+(1-U388)*seed_inv</f>
        <v/>
      </c>
      <c r="W388">
        <f>MAX(0, sens_exit - V388)</f>
        <v/>
      </c>
      <c r="X388">
        <f>F1_sh+F2_sh+F3_sh+RSA_sh+J388+K388+O388*L388+P388*(E_sh + F388)+Q388*(D_sh + E388)+R388*C_sh+S388*B_sh+T388*A_sh+U388*seed_sh</f>
        <v/>
      </c>
      <c r="Y388">
        <f>(W388 + preF_opts_iss*opt_strike)/(X388 + preF_opts_iss)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Return-Solver — Series F Ownership % Required</t>
        </is>
      </c>
    </row>
    <row r="3">
      <c r="A3" t="inlineStr">
        <is>
          <t>For each exit, what % of post-F FD must our $10M check own to return 3× ($30M) and 4× ($40M)?</t>
        </is>
      </c>
    </row>
    <row r="4">
      <c r="A4" t="inlineStr">
        <is>
          <t>Under base-case ESOP (13%) and full waterfall (incl. F's own election).</t>
        </is>
      </c>
    </row>
    <row r="5">
      <c r="A5" t="inlineStr">
        <is>
          <t>Flagged INFEASIBLE if required ownership ≤ 0% or &gt; 100%.</t>
        </is>
      </c>
    </row>
    <row r="7">
      <c r="A7" s="2" t="inlineStr">
        <is>
          <t>Exit</t>
        </is>
      </c>
      <c r="B7" s="2" t="inlineStr">
        <is>
          <t>F election</t>
        </is>
      </c>
      <c r="C7" s="2" t="inlineStr">
        <is>
          <t>F class total payout</t>
        </is>
      </c>
      <c r="D7" s="2" t="inlineStr">
        <is>
          <t>Per-share to our shares</t>
        </is>
      </c>
      <c r="E7" s="2" t="inlineStr">
        <is>
          <t>Required own% for 3×</t>
        </is>
      </c>
      <c r="F7" s="2" t="inlineStr">
        <is>
          <t>3× flag</t>
        </is>
      </c>
      <c r="G7" s="2" t="inlineStr">
        <is>
          <t>Required own% for 4×</t>
        </is>
      </c>
      <c r="H7" s="2" t="inlineStr">
        <is>
          <t>4× flag</t>
        </is>
      </c>
    </row>
    <row r="8">
      <c r="A8" s="11">
        <f>exit_v1</f>
        <v/>
      </c>
      <c r="B8">
        <f>Waterfall!B10</f>
        <v/>
      </c>
      <c r="C8" s="8">
        <f>Waterfall!B18</f>
        <v/>
      </c>
      <c r="D8" s="12">
        <f>C8 / F_prim_sh</f>
        <v/>
      </c>
      <c r="E8" s="5">
        <f>ret_3x*our_check/(T_F * D8)</f>
        <v/>
      </c>
      <c r="F8">
        <f>IF(OR(E8&lt;=0, E8&gt;1), "INFEASIBLE", "feasible")</f>
        <v/>
      </c>
      <c r="G8" s="5">
        <f>ret_4x*our_check/(T_F * D8)</f>
        <v/>
      </c>
      <c r="H8">
        <f>IF(OR(G8&lt;=0, G8&gt;1), "INFEASIBLE", "feasible")</f>
        <v/>
      </c>
    </row>
    <row r="9">
      <c r="A9" s="11">
        <f>exit_v2</f>
        <v/>
      </c>
      <c r="B9">
        <f>Waterfall!C10</f>
        <v/>
      </c>
      <c r="C9" s="8">
        <f>Waterfall!C18</f>
        <v/>
      </c>
      <c r="D9" s="12">
        <f>C9 / F_prim_sh</f>
        <v/>
      </c>
      <c r="E9" s="5">
        <f>ret_3x*our_check/(T_F * D9)</f>
        <v/>
      </c>
      <c r="F9">
        <f>IF(OR(E9&lt;=0, E9&gt;1), "INFEASIBLE", "feasible")</f>
        <v/>
      </c>
      <c r="G9" s="5">
        <f>ret_4x*our_check/(T_F * D9)</f>
        <v/>
      </c>
      <c r="H9">
        <f>IF(OR(G9&lt;=0, G9&gt;1), "INFEASIBLE", "feasible")</f>
        <v/>
      </c>
    </row>
    <row r="10">
      <c r="A10" s="11">
        <f>exit_v3</f>
        <v/>
      </c>
      <c r="B10">
        <f>Waterfall!D10</f>
        <v/>
      </c>
      <c r="C10" s="8">
        <f>Waterfall!D18</f>
        <v/>
      </c>
      <c r="D10" s="12">
        <f>C10 / F_prim_sh</f>
        <v/>
      </c>
      <c r="E10" s="5">
        <f>ret_3x*our_check/(T_F * D10)</f>
        <v/>
      </c>
      <c r="F10">
        <f>IF(OR(E10&lt;=0, E10&gt;1), "INFEASIBLE", "feasible")</f>
        <v/>
      </c>
      <c r="G10" s="5">
        <f>ret_4x*our_check/(T_F * D10)</f>
        <v/>
      </c>
      <c r="H10">
        <f>IF(OR(G10&lt;=0, G10&gt;1), "INFEASIBLE", "feasible")</f>
        <v/>
      </c>
    </row>
    <row r="11">
      <c r="A11" s="11">
        <f>exit_v4</f>
        <v/>
      </c>
      <c r="B11">
        <f>Waterfall!E10</f>
        <v/>
      </c>
      <c r="C11" s="8">
        <f>Waterfall!E18</f>
        <v/>
      </c>
      <c r="D11" s="12">
        <f>C11 / F_prim_sh</f>
        <v/>
      </c>
      <c r="E11" s="5">
        <f>ret_3x*our_check/(T_F * D11)</f>
        <v/>
      </c>
      <c r="F11">
        <f>IF(OR(E11&lt;=0, E11&gt;1), "INFEASIBLE", "feasible")</f>
        <v/>
      </c>
      <c r="G11" s="5">
        <f>ret_4x*our_check/(T_F * D11)</f>
        <v/>
      </c>
      <c r="H11">
        <f>IF(OR(G11&lt;=0, G11&gt;1), "INFEASIBLE", "feasible")</f>
        <v/>
      </c>
    </row>
    <row r="12">
      <c r="A12" s="11">
        <f>exit_v5</f>
        <v/>
      </c>
      <c r="B12">
        <f>Waterfall!F10</f>
        <v/>
      </c>
      <c r="C12" s="8">
        <f>Waterfall!F18</f>
        <v/>
      </c>
      <c r="D12" s="12">
        <f>C12 / F_prim_sh</f>
        <v/>
      </c>
      <c r="E12" s="5">
        <f>ret_3x*our_check/(T_F * D12)</f>
        <v/>
      </c>
      <c r="F12">
        <f>IF(OR(E12&lt;=0, E12&gt;1), "INFEASIBLE", "feasible")</f>
        <v/>
      </c>
      <c r="G12" s="5">
        <f>ret_4x*our_check/(T_F * D12)</f>
        <v/>
      </c>
      <c r="H12">
        <f>IF(OR(G12&lt;=0, G12&gt;1), "INFEASIBLE", "feasible")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2026-04-26T20:39:25Z</dcterms:created>
  <dcterms:modified xmlns:dcterms="http://purl.org/dc/terms/" xmlns:xsi="http://www.w3.org/2001/XMLSchema-instance" xsi:type="dcterms:W3CDTF">2026-04-26T20:39:25Z</dcterms:modified>
</cp:coreProperties>
</file>