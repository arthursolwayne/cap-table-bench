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-Forma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turn-Solver" sheetId="5" state="visible" r:id="rId5"/>
  </sheets>
  <definedNames/>
  <calcPr calcId="124519" fullCalcOnLoad="1" iterate="1" iterateCount="1000" iterateDelta="0.000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Knob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series_f_pre_money_usd</t>
        </is>
      </c>
      <c r="B2" t="n">
        <v>1400000000</v>
      </c>
      <c r="C2" t="inlineStr">
        <is>
          <t>Series F pre-money valuation</t>
        </is>
      </c>
    </row>
    <row r="3">
      <c r="A3" t="inlineStr">
        <is>
          <t>series_f_primary_raise_usd</t>
        </is>
      </c>
      <c r="B3" t="n">
        <v>30000000</v>
      </c>
      <c r="C3" t="inlineStr">
        <is>
          <t>Series F primary capital ($10M us + $20M F_LEAD)</t>
        </is>
      </c>
    </row>
    <row r="4">
      <c r="A4" t="inlineStr">
        <is>
          <t>series_f_secondary_raise_usd</t>
        </is>
      </c>
      <c r="B4" t="n">
        <v>15000000</v>
      </c>
      <c r="C4" t="inlineStr">
        <is>
          <t>Secondary tender from founders</t>
        </is>
      </c>
    </row>
    <row r="5">
      <c r="A5" t="inlineStr">
        <is>
          <t>series_f_tender_pps_multiplier</t>
        </is>
      </c>
      <c r="B5" t="n">
        <v>0.85</v>
      </c>
      <c r="C5" t="inlineStr">
        <is>
          <t>Tender PPS = mult x F_PPS</t>
        </is>
      </c>
    </row>
    <row r="6">
      <c r="A6" t="inlineStr">
        <is>
          <t>esop_refresh_target_post_f</t>
        </is>
      </c>
      <c r="B6" t="n">
        <v>0.13</v>
      </c>
      <c r="C6" t="inlineStr">
        <is>
          <t>Post-F ESOP target as % of post-F FD</t>
        </is>
      </c>
    </row>
    <row r="7">
      <c r="A7" t="inlineStr">
        <is>
          <t>our_fund_check_usd</t>
        </is>
      </c>
      <c r="B7" t="n">
        <v>10000000</v>
      </c>
      <c r="C7" t="inlineStr">
        <is>
          <t>Our $10M Series F primary check</t>
        </is>
      </c>
    </row>
    <row r="8">
      <c r="A8" t="inlineStr">
        <is>
          <t>f_lead_primary_check_usd</t>
        </is>
      </c>
      <c r="B8" t="n">
        <v>20000000</v>
      </c>
      <c r="C8" t="inlineStr">
        <is>
          <t>F_LEAD $20M primary</t>
        </is>
      </c>
    </row>
    <row r="9">
      <c r="A9" t="inlineStr">
        <is>
          <t>exit_value_1_usd</t>
        </is>
      </c>
      <c r="B9" t="n">
        <v>700000000</v>
      </c>
      <c r="C9" t="inlineStr">
        <is>
          <t>Exit 1</t>
        </is>
      </c>
    </row>
    <row r="10">
      <c r="A10" t="inlineStr">
        <is>
          <t>exit_value_2_usd</t>
        </is>
      </c>
      <c r="B10" t="n">
        <v>1200000000</v>
      </c>
      <c r="C10" t="inlineStr">
        <is>
          <t>Exit 2</t>
        </is>
      </c>
    </row>
    <row r="11">
      <c r="A11" t="inlineStr">
        <is>
          <t>exit_value_3_usd</t>
        </is>
      </c>
      <c r="B11" t="n">
        <v>2000000000</v>
      </c>
      <c r="C11" t="inlineStr">
        <is>
          <t>Exit 3 (sensitivity reference)</t>
        </is>
      </c>
    </row>
    <row r="12">
      <c r="A12" t="inlineStr">
        <is>
          <t>exit_value_4_usd</t>
        </is>
      </c>
      <c r="B12" t="n">
        <v>4000000000</v>
      </c>
      <c r="C12" t="inlineStr">
        <is>
          <t>Exit 4</t>
        </is>
      </c>
    </row>
    <row r="13">
      <c r="A13" t="inlineStr">
        <is>
          <t>exit_value_5_usd</t>
        </is>
      </c>
      <c r="B13" t="n">
        <v>8000000000</v>
      </c>
      <c r="C13" t="inlineStr">
        <is>
          <t>Exit 5</t>
        </is>
      </c>
    </row>
    <row r="14">
      <c r="A14" t="inlineStr">
        <is>
          <t>ocp_seed</t>
        </is>
      </c>
      <c r="B14" t="n">
        <v>1</v>
      </c>
      <c r="C14" t="inlineStr">
        <is>
          <t>Seed OCP</t>
        </is>
      </c>
    </row>
    <row r="15">
      <c r="A15" t="inlineStr">
        <is>
          <t>ocp_a</t>
        </is>
      </c>
      <c r="B15" t="n">
        <v>3</v>
      </c>
      <c r="C15" t="inlineStr">
        <is>
          <t>A OCP</t>
        </is>
      </c>
    </row>
    <row r="16">
      <c r="A16" t="inlineStr">
        <is>
          <t>ocp_b</t>
        </is>
      </c>
      <c r="B16" t="n">
        <v>10</v>
      </c>
      <c r="C16" t="inlineStr">
        <is>
          <t>B OCP</t>
        </is>
      </c>
    </row>
    <row r="17">
      <c r="A17" t="inlineStr">
        <is>
          <t>ocp_c</t>
        </is>
      </c>
      <c r="B17" t="n">
        <v>25</v>
      </c>
      <c r="C17" t="inlineStr">
        <is>
          <t>C OCP</t>
        </is>
      </c>
    </row>
    <row r="18">
      <c r="A18" t="inlineStr">
        <is>
          <t>ocp_d_post_e_ncp</t>
        </is>
      </c>
      <c r="B18" t="n">
        <v>58.118347</v>
      </c>
      <c r="C18" t="inlineStr">
        <is>
          <t>D effective OCP (post-E NCP)</t>
        </is>
      </c>
    </row>
    <row r="19">
      <c r="A19" t="inlineStr">
        <is>
          <t>ocp_e</t>
        </is>
      </c>
      <c r="B19" t="n">
        <v>49.158311</v>
      </c>
      <c r="C19" t="inlineStr">
        <is>
          <t>E OCP</t>
        </is>
      </c>
    </row>
    <row r="20">
      <c r="A20" t="inlineStr">
        <is>
          <t>d_original_ocp</t>
        </is>
      </c>
      <c r="B20" t="n">
        <v>60</v>
      </c>
      <c r="C20" t="inlineStr">
        <is>
          <t>D original OCP (for compound ratio)</t>
        </is>
      </c>
    </row>
    <row r="21">
      <c r="A21" t="inlineStr">
        <is>
          <t>d_original_shares</t>
        </is>
      </c>
      <c r="B21" t="n">
        <v>1666667</v>
      </c>
      <c r="C21" t="inlineStr">
        <is>
          <t>D original share count</t>
        </is>
      </c>
    </row>
    <row r="22">
      <c r="A22" t="inlineStr">
        <is>
          <t>e_original_ocp</t>
        </is>
      </c>
      <c r="B22" t="n">
        <v>49.158311</v>
      </c>
      <c r="C22" t="inlineStr">
        <is>
          <t>E original OCP</t>
        </is>
      </c>
    </row>
    <row r="23">
      <c r="A23" t="inlineStr">
        <is>
          <t>e_original_shares</t>
        </is>
      </c>
      <c r="B23" t="n">
        <v>6102667</v>
      </c>
      <c r="C23" t="inlineStr">
        <is>
          <t>E original share count</t>
        </is>
      </c>
    </row>
    <row r="24">
      <c r="A24" t="inlineStr">
        <is>
          <t>option_strike_usd</t>
        </is>
      </c>
      <c r="B24" t="n">
        <v>1</v>
      </c>
      <c r="C24" t="inlineStr">
        <is>
          <t>Option strike</t>
        </is>
      </c>
    </row>
    <row r="25">
      <c r="A25" t="inlineStr">
        <is>
          <t>note_a_principal_usd</t>
        </is>
      </c>
      <c r="B25" t="n">
        <v>5000000</v>
      </c>
      <c r="C25" t="inlineStr">
        <is>
          <t>Note A principal</t>
        </is>
      </c>
    </row>
    <row r="26">
      <c r="A26" t="inlineStr">
        <is>
          <t>note_a_cap_usd</t>
        </is>
      </c>
      <c r="B26" t="n">
        <v>1000000000</v>
      </c>
      <c r="C26" t="inlineStr">
        <is>
          <t>Note A cap</t>
        </is>
      </c>
    </row>
    <row r="27">
      <c r="A27" t="inlineStr">
        <is>
          <t>note_a_discount</t>
        </is>
      </c>
      <c r="B27" t="n">
        <v>0.2</v>
      </c>
      <c r="C27" t="inlineStr">
        <is>
          <t>Note A discount</t>
        </is>
      </c>
    </row>
    <row r="28">
      <c r="A28" t="inlineStr">
        <is>
          <t>note_b_principal_usd</t>
        </is>
      </c>
      <c r="B28" t="n">
        <v>3000000</v>
      </c>
      <c r="C28" t="inlineStr">
        <is>
          <t>Note B principal</t>
        </is>
      </c>
    </row>
    <row r="29">
      <c r="A29" t="inlineStr">
        <is>
          <t>note_b_cap_usd</t>
        </is>
      </c>
      <c r="B29" t="n">
        <v>1600000000</v>
      </c>
      <c r="C29" t="inlineStr">
        <is>
          <t>Note B cap</t>
        </is>
      </c>
    </row>
    <row r="30">
      <c r="A30" t="inlineStr">
        <is>
          <t>note_b_discount</t>
        </is>
      </c>
      <c r="B30" t="n">
        <v>0.15</v>
      </c>
      <c r="C30" t="inlineStr">
        <is>
          <t>Note B discount</t>
        </is>
      </c>
    </row>
    <row r="31">
      <c r="A31" t="inlineStr">
        <is>
          <t>ad_pre_f_broad_based_fd</t>
        </is>
      </c>
      <c r="B31" t="n">
        <v>36617961</v>
      </c>
      <c r="C31" t="inlineStr">
        <is>
          <t>Broad-based WA AD A-term: pre-F FD</t>
        </is>
      </c>
    </row>
    <row r="32">
      <c r="A32" t="inlineStr">
        <is>
          <t>pre_f_options_issued</t>
        </is>
      </c>
      <c r="B32" t="n">
        <v>2500000</v>
      </c>
      <c r="C32" t="inlineStr">
        <is>
          <t>Pre-F issued options</t>
        </is>
      </c>
    </row>
    <row r="33">
      <c r="A33" t="inlineStr">
        <is>
          <t>pre_f_options_unissued</t>
        </is>
      </c>
      <c r="B33" t="n">
        <v>1894667</v>
      </c>
      <c r="C33" t="inlineStr">
        <is>
          <t>Pre-F unissued option pool</t>
        </is>
      </c>
    </row>
    <row r="34">
      <c r="A34" t="inlineStr">
        <is>
          <t>pre_f_pool_total</t>
        </is>
      </c>
      <c r="B34" t="n">
        <v>4394667</v>
      </c>
      <c r="C34" t="inlineStr">
        <is>
          <t>Pre-F total option pool</t>
        </is>
      </c>
    </row>
    <row r="35">
      <c r="A35" t="inlineStr">
        <is>
          <t>d_shares_pre_f</t>
        </is>
      </c>
      <c r="B35" t="n">
        <v>1720627</v>
      </c>
      <c r="C35" t="inlineStr">
        <is>
          <t>D shares pre-F (post-E AD)</t>
        </is>
      </c>
    </row>
    <row r="36">
      <c r="A36" t="inlineStr">
        <is>
          <t>e_shares_pre_f</t>
        </is>
      </c>
      <c r="B36" t="n">
        <v>6102667</v>
      </c>
      <c r="C36" t="inlineStr">
        <is>
          <t>E shares pre-F</t>
        </is>
      </c>
    </row>
    <row r="37">
      <c r="A37" t="inlineStr">
        <is>
          <t>seed_shares</t>
        </is>
      </c>
      <c r="B37" t="n">
        <v>5000000</v>
      </c>
      <c r="C37" t="inlineStr">
        <is>
          <t>Seed shares</t>
        </is>
      </c>
    </row>
    <row r="38">
      <c r="A38" t="inlineStr">
        <is>
          <t>a_shares</t>
        </is>
      </c>
      <c r="B38" t="n">
        <v>5000000</v>
      </c>
      <c r="C38" t="inlineStr">
        <is>
          <t>A shares</t>
        </is>
      </c>
    </row>
    <row r="39">
      <c r="A39" t="inlineStr">
        <is>
          <t>b_shares</t>
        </is>
      </c>
      <c r="B39" t="n">
        <v>3000000</v>
      </c>
      <c r="C39" t="inlineStr">
        <is>
          <t>B shares</t>
        </is>
      </c>
    </row>
    <row r="40">
      <c r="A40" t="inlineStr">
        <is>
          <t>c_shares</t>
        </is>
      </c>
      <c r="B40" t="n">
        <v>2400000</v>
      </c>
      <c r="C40" t="inlineStr">
        <is>
          <t>C shares</t>
        </is>
      </c>
    </row>
    <row r="41">
      <c r="A41" t="inlineStr">
        <is>
          <t>seed_invested_usd</t>
        </is>
      </c>
      <c r="B41" t="n">
        <v>5000000</v>
      </c>
      <c r="C41" t="inlineStr">
        <is>
          <t>Seed invested</t>
        </is>
      </c>
    </row>
    <row r="42">
      <c r="A42" t="inlineStr">
        <is>
          <t>a_invested_usd</t>
        </is>
      </c>
      <c r="B42" t="n">
        <v>15000000</v>
      </c>
      <c r="C42" t="inlineStr">
        <is>
          <t>A invested</t>
        </is>
      </c>
    </row>
    <row r="43">
      <c r="A43" t="inlineStr">
        <is>
          <t>b_invested_usd</t>
        </is>
      </c>
      <c r="B43" t="n">
        <v>30000000</v>
      </c>
      <c r="C43" t="inlineStr">
        <is>
          <t>B invested</t>
        </is>
      </c>
    </row>
    <row r="44">
      <c r="A44" t="inlineStr">
        <is>
          <t>c_invested_usd</t>
        </is>
      </c>
      <c r="B44" t="n">
        <v>60000000</v>
      </c>
      <c r="C44" t="inlineStr">
        <is>
          <t>C invested</t>
        </is>
      </c>
    </row>
    <row r="45">
      <c r="A45" t="inlineStr">
        <is>
          <t>d_invested_usd</t>
        </is>
      </c>
      <c r="B45" t="n">
        <v>100000000</v>
      </c>
      <c r="C45" t="inlineStr">
        <is>
          <t>D invested</t>
        </is>
      </c>
    </row>
    <row r="46">
      <c r="A46" t="inlineStr">
        <is>
          <t>e_invested_usd</t>
        </is>
      </c>
      <c r="B46" t="n">
        <v>300000000</v>
      </c>
      <c r="C46" t="inlineStr">
        <is>
          <t>E invested</t>
        </is>
      </c>
    </row>
    <row r="47">
      <c r="A47" t="inlineStr">
        <is>
          <t>common_founders_shares</t>
        </is>
      </c>
      <c r="B47" t="n">
        <v>8000000</v>
      </c>
      <c r="C47" t="inlineStr">
        <is>
          <t>Founders common (4M+2.5M+1.5M)</t>
        </is>
      </c>
    </row>
    <row r="48">
      <c r="A48" t="inlineStr">
        <is>
          <t>common_rsa_shares</t>
        </is>
      </c>
      <c r="B48" t="n">
        <v>1000000</v>
      </c>
      <c r="C48" t="inlineStr">
        <is>
          <t>RSAs</t>
        </is>
      </c>
    </row>
    <row r="49">
      <c r="A49" t="inlineStr">
        <is>
          <t>founder_f1_shares</t>
        </is>
      </c>
      <c r="B49" t="n">
        <v>4000000</v>
      </c>
      <c r="C49" t="inlineStr">
        <is>
          <t>F1 (CEO)</t>
        </is>
      </c>
    </row>
    <row r="50">
      <c r="A50" t="inlineStr">
        <is>
          <t>founder_f2_shares</t>
        </is>
      </c>
      <c r="B50" t="n">
        <v>2500000</v>
      </c>
      <c r="C50" t="inlineStr">
        <is>
          <t>F2 (CTO)</t>
        </is>
      </c>
    </row>
    <row r="51">
      <c r="A51" t="inlineStr">
        <is>
          <t>founder_f3_shares</t>
        </is>
      </c>
      <c r="B51" t="n">
        <v>1500000</v>
      </c>
      <c r="C51" t="inlineStr">
        <is>
          <t>F3 (CSO)</t>
        </is>
      </c>
    </row>
    <row r="52">
      <c r="A52" t="inlineStr">
        <is>
          <t>sensitivity_esop_low</t>
        </is>
      </c>
      <c r="B52" t="n">
        <v>0.11</v>
      </c>
      <c r="C52" t="inlineStr"/>
    </row>
    <row r="53">
      <c r="A53" t="inlineStr">
        <is>
          <t>sensitivity_esop_base</t>
        </is>
      </c>
      <c r="B53" t="n">
        <v>0.13</v>
      </c>
      <c r="C53" t="inlineStr"/>
    </row>
    <row r="54">
      <c r="A54" t="inlineStr">
        <is>
          <t>sensitivity_esop_high</t>
        </is>
      </c>
      <c r="B54" t="n">
        <v>0.15</v>
      </c>
      <c r="C54" t="inlineStr"/>
    </row>
    <row r="55">
      <c r="A55" t="inlineStr">
        <is>
          <t>sensitivity_pre_low_usd</t>
        </is>
      </c>
      <c r="B55" t="n">
        <v>1200000000</v>
      </c>
      <c r="C55" t="inlineStr"/>
    </row>
    <row r="56">
      <c r="A56" t="inlineStr">
        <is>
          <t>sensitivity_pre_base_usd</t>
        </is>
      </c>
      <c r="B56" t="n">
        <v>1400000000</v>
      </c>
      <c r="C56" t="inlineStr"/>
    </row>
    <row r="57">
      <c r="A57" t="inlineStr">
        <is>
          <t>sensitivity_pre_high_usd</t>
        </is>
      </c>
      <c r="B57" t="n">
        <v>1800000000</v>
      </c>
      <c r="C57" t="inlineStr"/>
    </row>
    <row r="58">
      <c r="A58" t="inlineStr">
        <is>
          <t>return_multiple_3x</t>
        </is>
      </c>
      <c r="B58" t="n">
        <v>3</v>
      </c>
      <c r="C58" t="inlineStr"/>
    </row>
    <row r="59">
      <c r="A59" t="inlineStr">
        <is>
          <t>return_multiple_4x</t>
        </is>
      </c>
      <c r="B59" t="n">
        <v>4</v>
      </c>
      <c r="C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Pro-Forma — Series F Closing</t>
        </is>
      </c>
    </row>
    <row r="3">
      <c r="A3" t="inlineStr">
        <is>
          <t>Solver: F PPS fixed point</t>
        </is>
      </c>
    </row>
    <row r="4">
      <c r="A4" t="inlineStr">
        <is>
          <t>F_PPS</t>
        </is>
      </c>
      <c r="B4">
        <f>Assumptions!$B$2/B11</f>
        <v>37.29976025659984</v>
      </c>
    </row>
    <row r="5">
      <c r="A5" t="inlineStr">
        <is>
          <t>F primary shares</t>
        </is>
      </c>
      <c r="B5">
        <f>Assumptions!$B$3/B4</f>
        <v>804294.7137895286</v>
      </c>
    </row>
    <row r="6">
      <c r="A6" t="inlineStr">
        <is>
          <t>D NCP (new)</t>
        </is>
      </c>
      <c r="B6">
        <f>Assumptions!$B$18*(Assumptions!$B$31+Assumptions!$B$3/Assumptions!$B$18)/(Assumptions!$B$31+Assumptions!$B$3/B4)</f>
        <v>57.67090525853075</v>
      </c>
    </row>
    <row r="7">
      <c r="A7" t="inlineStr">
        <is>
          <t>E NCP (new)</t>
        </is>
      </c>
      <c r="B7">
        <f>Assumptions!$B$19*(Assumptions!$B$31+Assumptions!$B$3/Assumptions!$B$19)/(Assumptions!$B$31+Assumptions!$B$3/B4)</f>
        <v>48.90344208592203</v>
      </c>
    </row>
    <row r="8">
      <c r="A8" t="inlineStr">
        <is>
          <t>D total shares post-AD (compound)</t>
        </is>
      </c>
      <c r="B8">
        <f>Assumptions!$B$21*Assumptions!$B$20/B6</f>
        <v>1733976.9429960158</v>
      </c>
    </row>
    <row r="9">
      <c r="A9" t="inlineStr">
        <is>
          <t>E total shares post-AD</t>
        </is>
      </c>
      <c r="B9">
        <f>Assumptions!$B$23*Assumptions!$B$22/B7</f>
        <v>6134472.125466151</v>
      </c>
    </row>
    <row r="10">
      <c r="A10" t="inlineStr">
        <is>
          <t>ESOP top-up shares</t>
        </is>
      </c>
      <c r="B10">
        <f>MAX(0,Assumptions!$B$6*B12-Assumptions!$B$34)</f>
        <v>589279.243115766</v>
      </c>
    </row>
    <row r="11">
      <c r="A11" t="inlineStr">
        <is>
          <t>Pre-money FD (ex F primary)</t>
        </is>
      </c>
      <c r="B11">
        <f>Assumptions!$B$31+(B8-Assumptions!$B$35)+(B9-Assumptions!$B$36)+B10+B14+B15</f>
        <v>37533753.310178</v>
      </c>
    </row>
    <row r="12">
      <c r="A12" t="inlineStr">
        <is>
          <t>T_F (post-F FD)</t>
        </is>
      </c>
      <c r="B12">
        <f>B11+B5</f>
        <v>38338048.02396753</v>
      </c>
    </row>
    <row r="13">
      <c r="A13" t="inlineStr">
        <is>
          <t>FD for Note A cap (ex F primary, ex Note A's own shares)</t>
        </is>
      </c>
      <c r="B13">
        <f>Assumptions!$B$31+(B8-Assumptions!$B$35)+(B9-Assumptions!$B$36)+B10+B15</f>
        <v>37347018.2190825</v>
      </c>
    </row>
    <row r="14">
      <c r="A14" t="inlineStr">
        <is>
          <t>Note A shares converted</t>
        </is>
      </c>
      <c r="B14">
        <f>Assumptions!$B$25/MIN(Assumptions!$B$26/B13,B4*(1-Assumptions!$B$27))</f>
        <v>186735.09109541247</v>
      </c>
    </row>
    <row r="15">
      <c r="A15" t="inlineStr">
        <is>
          <t>Note B shares converted</t>
        </is>
      </c>
      <c r="B15">
        <f>Assumptions!$B$28/MIN(Assumptions!$B$29/B16,B4*(1-Assumptions!$B$30))</f>
        <v>94622.90750465017</v>
      </c>
    </row>
    <row r="16">
      <c r="A16" t="inlineStr">
        <is>
          <t>FD for Note B cap (ex F primary, ex Note B's own shares)</t>
        </is>
      </c>
      <c r="B16">
        <f>Assumptions!$B$31+(B8-Assumptions!$B$35)+(B9-Assumptions!$B$36)+B10+B14</f>
        <v>37439130.40267326</v>
      </c>
    </row>
    <row r="17">
      <c r="A17" t="inlineStr">
        <is>
          <t>D AD net new shares (delta vs pre-F)</t>
        </is>
      </c>
      <c r="B17">
        <f>B8-Assumptions!$B$35</f>
        <v>13349.942996015772</v>
      </c>
    </row>
    <row r="18">
      <c r="A18" t="inlineStr">
        <is>
          <t>E AD net new shares (delta vs pre-F)</t>
        </is>
      </c>
      <c r="B18">
        <f>B9-Assumptions!$B$36</f>
        <v>31805.125466151163</v>
      </c>
    </row>
    <row r="21">
      <c r="A21" t="inlineStr">
        <is>
          <t>Anti-Dilution Block (broad-based WA)</t>
        </is>
      </c>
    </row>
    <row r="22">
      <c r="A22" t="inlineStr">
        <is>
          <t>Class</t>
        </is>
      </c>
      <c r="B22" t="inlineStr">
        <is>
          <t>OCP</t>
        </is>
      </c>
      <c r="C22" t="inlineStr">
        <is>
          <t>Trigger (F&lt;OCP)</t>
        </is>
      </c>
      <c r="D22" t="inlineStr">
        <is>
          <t>New NCP</t>
        </is>
      </c>
      <c r="E22" t="inlineStr">
        <is>
          <t>New ratio</t>
        </is>
      </c>
      <c r="F22" t="inlineStr">
        <is>
          <t>As-converted shares</t>
        </is>
      </c>
    </row>
    <row r="23">
      <c r="A23" t="inlineStr">
        <is>
          <t>Seed</t>
        </is>
      </c>
      <c r="B23">
        <f>Assumptions!$B$14</f>
        <v>1.0</v>
      </c>
      <c r="C23" t="str">
        <f>IF('Pro-Forma'!$B$4&lt;Assumptions!$B$14,"YES","NO")</f>
        <v>NO</v>
      </c>
      <c r="D23">
        <f>IF('Pro-Forma'!$B$4&lt;Assumptions!$B$14,Assumptions!$B$14*(Assumptions!$B$31+Assumptions!$B$3/Assumptions!$B$14)/(Assumptions!$B$31+Assumptions!$B$3/'Pro-Forma'!$B$4),Assumptions!$B$14)</f>
        <v>1.0</v>
      </c>
      <c r="E23">
        <f>IF('Pro-Forma'!$B$4&lt;Assumptions!$B$14,Assumptions!$B$14/D23,1)</f>
        <v>1.0</v>
      </c>
      <c r="F23">
        <f>IF('Pro-Forma'!$B$4&lt;Assumptions!$B$14,Assumptions!$B$37*E23,Assumptions!$B$37)</f>
        <v>5000000.0</v>
      </c>
    </row>
    <row r="24">
      <c r="A24" t="inlineStr">
        <is>
          <t>Series A</t>
        </is>
      </c>
      <c r="B24">
        <f>Assumptions!$B$15</f>
        <v>3.0</v>
      </c>
      <c r="C24" t="str">
        <f>IF('Pro-Forma'!$B$4&lt;Assumptions!$B$15,"YES","NO")</f>
        <v>NO</v>
      </c>
      <c r="D24">
        <f>IF('Pro-Forma'!$B$4&lt;Assumptions!$B$15,Assumptions!$B$15*(Assumptions!$B$31+Assumptions!$B$3/Assumptions!$B$15)/(Assumptions!$B$31+Assumptions!$B$3/'Pro-Forma'!$B$4),Assumptions!$B$15)</f>
        <v>3.0</v>
      </c>
      <c r="E24">
        <f>IF('Pro-Forma'!$B$4&lt;Assumptions!$B$15,Assumptions!$B$15/D24,1)</f>
        <v>1.0</v>
      </c>
      <c r="F24">
        <f>IF('Pro-Forma'!$B$4&lt;Assumptions!$B$15,Assumptions!$B$38*E24,Assumptions!$B$38)</f>
        <v>5000000.0</v>
      </c>
    </row>
    <row r="25">
      <c r="A25" t="inlineStr">
        <is>
          <t>Series B</t>
        </is>
      </c>
      <c r="B25">
        <f>Assumptions!$B$16</f>
        <v>10.0</v>
      </c>
      <c r="C25" t="str">
        <f>IF('Pro-Forma'!$B$4&lt;Assumptions!$B$16,"YES","NO")</f>
        <v>NO</v>
      </c>
      <c r="D25">
        <f>IF('Pro-Forma'!$B$4&lt;Assumptions!$B$16,Assumptions!$B$16*(Assumptions!$B$31+Assumptions!$B$3/Assumptions!$B$16)/(Assumptions!$B$31+Assumptions!$B$3/'Pro-Forma'!$B$4),Assumptions!$B$16)</f>
        <v>10.0</v>
      </c>
      <c r="E25">
        <f>IF('Pro-Forma'!$B$4&lt;Assumptions!$B$16,Assumptions!$B$16/D25,1)</f>
        <v>1.0</v>
      </c>
      <c r="F25">
        <f>IF('Pro-Forma'!$B$4&lt;Assumptions!$B$16,Assumptions!$B$39*E25,Assumptions!$B$39)</f>
        <v>3000000.0</v>
      </c>
    </row>
    <row r="26">
      <c r="A26" t="inlineStr">
        <is>
          <t>Series C</t>
        </is>
      </c>
      <c r="B26">
        <f>Assumptions!$B$17</f>
        <v>25.0</v>
      </c>
      <c r="C26" t="str">
        <f>IF('Pro-Forma'!$B$4&lt;Assumptions!$B$17,"YES","NO")</f>
        <v>NO</v>
      </c>
      <c r="D26">
        <f>IF('Pro-Forma'!$B$4&lt;Assumptions!$B$17,Assumptions!$B$17*(Assumptions!$B$31+Assumptions!$B$3/Assumptions!$B$17)/(Assumptions!$B$31+Assumptions!$B$3/'Pro-Forma'!$B$4),Assumptions!$B$17)</f>
        <v>25.0</v>
      </c>
      <c r="E26">
        <f>IF('Pro-Forma'!$B$4&lt;Assumptions!$B$17,Assumptions!$B$17/D26,1)</f>
        <v>1.0</v>
      </c>
      <c r="F26">
        <f>IF('Pro-Forma'!$B$4&lt;Assumptions!$B$17,Assumptions!$B$40*E26,Assumptions!$B$40)</f>
        <v>2400000.0</v>
      </c>
    </row>
    <row r="27">
      <c r="A27" t="inlineStr">
        <is>
          <t>Series D</t>
        </is>
      </c>
      <c r="B27">
        <f>Assumptions!$B$18</f>
        <v>58.118347</v>
      </c>
      <c r="C27" t="str">
        <f>IF('Pro-Forma'!$B$4&lt;Assumptions!$B$18,"YES","NO")</f>
        <v>YES</v>
      </c>
      <c r="D27">
        <f>IF('Pro-Forma'!$B$4&lt;Assumptions!$B$18,Assumptions!$B$18*(Assumptions!$B$31+Assumptions!$B$3/Assumptions!$B$18)/(Assumptions!$B$31+Assumptions!$B$3/'Pro-Forma'!$B$4),Assumptions!$B$18)</f>
        <v>57.670905258530745</v>
      </c>
      <c r="E27">
        <f>Assumptions!$B$20/D27</f>
        <v>1.040385957720418</v>
      </c>
      <c r="F27">
        <f>Assumptions!$B$21*E27</f>
        <v>1733976.9429960158</v>
      </c>
    </row>
    <row r="28">
      <c r="A28" t="inlineStr">
        <is>
          <t>Series E</t>
        </is>
      </c>
      <c r="B28">
        <f>Assumptions!$B$19</f>
        <v>49.158311</v>
      </c>
      <c r="C28" t="str">
        <f>IF('Pro-Forma'!$B$4&lt;Assumptions!$B$19,"YES","NO")</f>
        <v>YES</v>
      </c>
      <c r="D28">
        <f>IF('Pro-Forma'!$B$4&lt;Assumptions!$B$19,Assumptions!$B$19*(Assumptions!$B$31+Assumptions!$B$3/Assumptions!$B$19)/(Assumptions!$B$31+Assumptions!$B$3/'Pro-Forma'!$B$4),Assumptions!$B$19)</f>
        <v>48.90344208592202</v>
      </c>
      <c r="E28">
        <f>Assumptions!$B$19/D28</f>
        <v>1.0052116763811874</v>
      </c>
      <c r="F28">
        <f>Assumptions!$B$23*E28</f>
        <v>6134472.125466151</v>
      </c>
    </row>
    <row r="30">
      <c r="A30" t="inlineStr">
        <is>
          <t>Convertible Notes Block</t>
        </is>
      </c>
    </row>
    <row r="31">
      <c r="A31" t="inlineStr">
        <is>
          <t>Note</t>
        </is>
      </c>
      <c r="B31" t="inlineStr">
        <is>
          <t>Principal</t>
        </is>
      </c>
      <c r="C31" t="inlineStr">
        <is>
          <t>Cap-implied PPS</t>
        </is>
      </c>
      <c r="D31" t="inlineStr">
        <is>
          <t>Discount-implied PPS</t>
        </is>
      </c>
      <c r="E31" t="inlineStr">
        <is>
          <t>Conv PPS (min)</t>
        </is>
      </c>
      <c r="F31" t="inlineStr">
        <is>
          <t>Branch</t>
        </is>
      </c>
      <c r="G31" t="inlineStr">
        <is>
          <t>Shares issued</t>
        </is>
      </c>
    </row>
    <row r="32">
      <c r="A32" t="inlineStr">
        <is>
          <t>Note A</t>
        </is>
      </c>
      <c r="B32">
        <f>Assumptions!$B$25</f>
        <v>5000000.0</v>
      </c>
      <c r="C32">
        <f>Assumptions!$B$26/'Pro-Forma'!$B$13</f>
        <v>26.775899327059236</v>
      </c>
      <c r="D32">
        <f>'Pro-Forma'!$B$4*(1-Assumptions!$B$27)</f>
        <v>29.83980820527995</v>
      </c>
      <c r="E32">
        <f>MIN(C32,D32)</f>
        <v>26.775899327059236</v>
      </c>
      <c r="F32" t="str">
        <f>IF(C32&lt;D32,"cap","discount")</f>
        <v>cap</v>
      </c>
      <c r="G32">
        <f>B32/E32</f>
        <v>186735.09109541247</v>
      </c>
    </row>
    <row r="33">
      <c r="A33" t="inlineStr">
        <is>
          <t>Note B</t>
        </is>
      </c>
      <c r="B33">
        <f>Assumptions!$B$28</f>
        <v>3000000.0</v>
      </c>
      <c r="C33">
        <f>Assumptions!$B$29/'Pro-Forma'!$B$16</f>
        <v>42.73603534033353</v>
      </c>
      <c r="D33">
        <f>'Pro-Forma'!$B$4*(1-Assumptions!$B$30)</f>
        <v>31.704796218109948</v>
      </c>
      <c r="E33">
        <f>MIN(C33,D33)</f>
        <v>31.704796218109948</v>
      </c>
      <c r="F33" t="str">
        <f>IF(C33&lt;D33,"cap","discount")</f>
        <v>discount</v>
      </c>
      <c r="G33">
        <f>B33/E33</f>
        <v>94622.90750465017</v>
      </c>
    </row>
    <row r="35">
      <c r="A35" t="inlineStr">
        <is>
          <t>Tender Block (secondary)</t>
        </is>
      </c>
    </row>
    <row r="36">
      <c r="A36" t="inlineStr">
        <is>
          <t>Tender PPS</t>
        </is>
      </c>
      <c r="B36">
        <f>Assumptions!$B$5*'Pro-Forma'!$B$4</f>
        <v>31.704796218109863</v>
      </c>
    </row>
    <row r="37">
      <c r="A37" t="inlineStr">
        <is>
          <t>Tender shares (transferred)</t>
        </is>
      </c>
      <c r="B37">
        <f>Assumptions!$B$4/B36</f>
        <v>473114.53752325213</v>
      </c>
    </row>
    <row r="38">
      <c r="A38" t="inlineStr">
        <is>
          <t>F1 tendered</t>
        </is>
      </c>
      <c r="B38">
        <f>B37*(Assumptions!$B$49/Assumptions!$B$47)</f>
        <v>291147.4077066167</v>
      </c>
    </row>
    <row r="39">
      <c r="A39" t="inlineStr">
        <is>
          <t>F2 tendered</t>
        </is>
      </c>
      <c r="B39">
        <f>B37*(Assumptions!$B$50/Assumptions!$B$47)</f>
        <v>181967.12981663545</v>
      </c>
    </row>
    <row r="40">
      <c r="A40" t="inlineStr">
        <is>
          <t>F3 tendered</t>
        </is>
      </c>
      <c r="B40">
        <f>B37*(Assumptions!$B$51/Assumptions!$B$47)</f>
        <v>109180.27788998125</v>
      </c>
    </row>
    <row r="41">
      <c r="A41" t="inlineStr">
        <is>
          <t>F_LEAD primary shares</t>
        </is>
      </c>
      <c r="B41">
        <f>Assumptions!$B$8/'Pro-Forma'!$B$4</f>
        <v>536196.4758596857</v>
      </c>
    </row>
    <row r="42">
      <c r="A42" t="inlineStr">
        <is>
          <t>F_LEAD total holding (primary + tender)</t>
        </is>
      </c>
      <c r="B42">
        <f>B41+B37</f>
        <v>1009311.0133829378</v>
      </c>
    </row>
    <row r="44">
      <c r="A44" t="inlineStr">
        <is>
          <t>Stakeholder Cap Table (post-F FD)</t>
        </is>
      </c>
    </row>
    <row r="45">
      <c r="A45" t="inlineStr">
        <is>
          <t>Stakeholder</t>
        </is>
      </c>
      <c r="B45" t="inlineStr">
        <is>
          <t>Common</t>
        </is>
      </c>
      <c r="C45" t="inlineStr">
        <is>
          <t>Preferred Class</t>
        </is>
      </c>
      <c r="D45" t="inlineStr">
        <is>
          <t>Preferred Shares</t>
        </is>
      </c>
      <c r="E45" t="inlineStr">
        <is>
          <t>Total FD</t>
        </is>
      </c>
      <c r="F45" t="inlineStr">
        <is>
          <t>% of T_F</t>
        </is>
      </c>
    </row>
    <row r="46">
      <c r="A46" t="inlineStr">
        <is>
          <t>F1 (CEO)</t>
        </is>
      </c>
      <c r="B46">
        <f>Assumptions!$B$49-'Pro-Forma'!$B$38</f>
        <v>3763442.731238374</v>
      </c>
      <c r="C46" t="inlineStr"/>
      <c r="D46">
        <f>0</f>
        <v>0</v>
      </c>
      <c r="E46">
        <f>B46+D46</f>
        <v>3763442.731238374</v>
      </c>
      <c r="F46">
        <f>E46/'Pro-Forma'!$B$12</f>
        <v>0.09816469343680745</v>
      </c>
    </row>
    <row r="47">
      <c r="A47" t="inlineStr">
        <is>
          <t>F2 (CTO)</t>
        </is>
      </c>
      <c r="B47">
        <f>Assumptions!$B$50-'Pro-Forma'!$B$39</f>
        <v>2352151.707023984</v>
      </c>
      <c r="C47" t="inlineStr"/>
      <c r="D47">
        <f>0</f>
        <v>0</v>
      </c>
      <c r="E47">
        <f>B47+D47</f>
        <v>2352151.707023984</v>
      </c>
      <c r="F47">
        <f>E47/'Pro-Forma'!$B$12</f>
        <v>0.06135293339800466</v>
      </c>
    </row>
    <row r="48">
      <c r="A48" t="inlineStr">
        <is>
          <t>F3 (CSO)</t>
        </is>
      </c>
      <c r="B48">
        <f>Assumptions!$B$51-'Pro-Forma'!$B$40</f>
        <v>1411291.0242143902</v>
      </c>
      <c r="C48" t="inlineStr"/>
      <c r="D48">
        <f>0</f>
        <v>0</v>
      </c>
      <c r="E48">
        <f>B48+D48</f>
        <v>1411291.0242143902</v>
      </c>
      <c r="F48">
        <f>E48/'Pro-Forma'!$B$12</f>
        <v>0.03681176003880279</v>
      </c>
    </row>
    <row r="49">
      <c r="A49" t="inlineStr">
        <is>
          <t>Employee RSA E1</t>
        </is>
      </c>
      <c r="B49">
        <f>Assumptions!$B$48/10</f>
        <v>100000</v>
      </c>
      <c r="C49" t="inlineStr"/>
      <c r="D49">
        <f>0</f>
        <v>0</v>
      </c>
      <c r="E49">
        <f>B49+D49</f>
        <v>100000</v>
      </c>
      <c r="F49">
        <f>E49/'Pro-Forma'!$B$12</f>
        <v>0.00260837484311887</v>
      </c>
    </row>
    <row r="50">
      <c r="A50" t="inlineStr">
        <is>
          <t>Employee RSA E2</t>
        </is>
      </c>
      <c r="B50">
        <f>Assumptions!$B$48/10</f>
        <v>100000</v>
      </c>
      <c r="C50" t="inlineStr"/>
      <c r="D50">
        <f>0</f>
        <v>0</v>
      </c>
      <c r="E50">
        <f>B50+D50</f>
        <v>100000</v>
      </c>
      <c r="F50">
        <f>E50/'Pro-Forma'!$B$12</f>
        <v>0.00260837484311887</v>
      </c>
    </row>
    <row r="51">
      <c r="A51" t="inlineStr">
        <is>
          <t>Employee RSA E3</t>
        </is>
      </c>
      <c r="B51">
        <f>Assumptions!$B$48/10</f>
        <v>100000</v>
      </c>
      <c r="C51" t="inlineStr"/>
      <c r="D51">
        <f>0</f>
        <v>0</v>
      </c>
      <c r="E51">
        <f>B51+D51</f>
        <v>100000</v>
      </c>
      <c r="F51">
        <f>E51/'Pro-Forma'!$B$12</f>
        <v>0.00260837484311887</v>
      </c>
    </row>
    <row r="52">
      <c r="A52" t="inlineStr">
        <is>
          <t>Employee RSA E4</t>
        </is>
      </c>
      <c r="B52">
        <f>Assumptions!$B$48/10</f>
        <v>100000</v>
      </c>
      <c r="C52" t="inlineStr"/>
      <c r="D52">
        <f>0</f>
        <v>0</v>
      </c>
      <c r="E52">
        <f>B52+D52</f>
        <v>100000</v>
      </c>
      <c r="F52">
        <f>E52/'Pro-Forma'!$B$12</f>
        <v>0.00260837484311887</v>
      </c>
    </row>
    <row r="53">
      <c r="A53" t="inlineStr">
        <is>
          <t>Employee RSA E5</t>
        </is>
      </c>
      <c r="B53">
        <f>Assumptions!$B$48/10</f>
        <v>100000</v>
      </c>
      <c r="C53" t="inlineStr"/>
      <c r="D53">
        <f>0</f>
        <v>0</v>
      </c>
      <c r="E53">
        <f>B53+D53</f>
        <v>100000</v>
      </c>
      <c r="F53">
        <f>E53/'Pro-Forma'!$B$12</f>
        <v>0.00260837484311887</v>
      </c>
    </row>
    <row r="54">
      <c r="A54" t="inlineStr">
        <is>
          <t>Employee RSA E6</t>
        </is>
      </c>
      <c r="B54">
        <f>Assumptions!$B$48/10</f>
        <v>100000</v>
      </c>
      <c r="C54" t="inlineStr"/>
      <c r="D54">
        <f>0</f>
        <v>0</v>
      </c>
      <c r="E54">
        <f>B54+D54</f>
        <v>100000</v>
      </c>
      <c r="F54">
        <f>E54/'Pro-Forma'!$B$12</f>
        <v>0.00260837484311887</v>
      </c>
    </row>
    <row r="55">
      <c r="A55" t="inlineStr">
        <is>
          <t>Employee RSA E7</t>
        </is>
      </c>
      <c r="B55">
        <f>Assumptions!$B$48/10</f>
        <v>100000</v>
      </c>
      <c r="C55" t="inlineStr"/>
      <c r="D55">
        <f>0</f>
        <v>0</v>
      </c>
      <c r="E55">
        <f>B55+D55</f>
        <v>100000</v>
      </c>
      <c r="F55">
        <f>E55/'Pro-Forma'!$B$12</f>
        <v>0.00260837484311887</v>
      </c>
    </row>
    <row r="56">
      <c r="A56" t="inlineStr">
        <is>
          <t>Employee RSA E8</t>
        </is>
      </c>
      <c r="B56">
        <f>Assumptions!$B$48/10</f>
        <v>100000</v>
      </c>
      <c r="C56" t="inlineStr"/>
      <c r="D56">
        <f>0</f>
        <v>0</v>
      </c>
      <c r="E56">
        <f>B56+D56</f>
        <v>100000</v>
      </c>
      <c r="F56">
        <f>E56/'Pro-Forma'!$B$12</f>
        <v>0.00260837484311887</v>
      </c>
    </row>
    <row r="57">
      <c r="A57" t="inlineStr">
        <is>
          <t>Employee RSA E9</t>
        </is>
      </c>
      <c r="B57">
        <f>Assumptions!$B$48/10</f>
        <v>100000</v>
      </c>
      <c r="C57" t="inlineStr"/>
      <c r="D57">
        <f>0</f>
        <v>0</v>
      </c>
      <c r="E57">
        <f>B57+D57</f>
        <v>100000</v>
      </c>
      <c r="F57">
        <f>E57/'Pro-Forma'!$B$12</f>
        <v>0.00260837484311887</v>
      </c>
    </row>
    <row r="58">
      <c r="A58" t="inlineStr">
        <is>
          <t>Employee RSA E10</t>
        </is>
      </c>
      <c r="B58">
        <f>Assumptions!$B$48/10</f>
        <v>100000</v>
      </c>
      <c r="C58" t="inlineStr"/>
      <c r="D58">
        <f>0</f>
        <v>0</v>
      </c>
      <c r="E58">
        <f>B58+D58</f>
        <v>100000</v>
      </c>
      <c r="F58">
        <f>E58/'Pro-Forma'!$B$12</f>
        <v>0.00260837484311887</v>
      </c>
    </row>
    <row r="59">
      <c r="A59" t="inlineStr">
        <is>
          <t>SEED1</t>
        </is>
      </c>
      <c r="B59">
        <f>0</f>
        <v>0</v>
      </c>
      <c r="C59" t="inlineStr">
        <is>
          <t>Seed</t>
        </is>
      </c>
      <c r="D59">
        <f>Assumptions!$B$37</f>
        <v>5000000.0</v>
      </c>
      <c r="E59">
        <f>B59+D59</f>
        <v>5000000.0</v>
      </c>
      <c r="F59">
        <f>E59/'Pro-Forma'!$B$12</f>
        <v>0.13041874215594348</v>
      </c>
    </row>
    <row r="60">
      <c r="A60" t="inlineStr">
        <is>
          <t>Series A LP</t>
        </is>
      </c>
      <c r="B60">
        <f>0</f>
        <v>0</v>
      </c>
      <c r="C60" t="inlineStr">
        <is>
          <t>Series A</t>
        </is>
      </c>
      <c r="D60">
        <f>Assumptions!$B$38</f>
        <v>5000000.0</v>
      </c>
      <c r="E60">
        <f>B60+D60</f>
        <v>5000000.0</v>
      </c>
      <c r="F60">
        <f>E60/'Pro-Forma'!$B$12</f>
        <v>0.13041874215594348</v>
      </c>
    </row>
    <row r="61">
      <c r="A61" t="inlineStr">
        <is>
          <t>Series B LP</t>
        </is>
      </c>
      <c r="B61">
        <f>0</f>
        <v>0</v>
      </c>
      <c r="C61" t="inlineStr">
        <is>
          <t>Series B</t>
        </is>
      </c>
      <c r="D61">
        <f>Assumptions!$B$39</f>
        <v>3000000.0</v>
      </c>
      <c r="E61">
        <f>B61+D61</f>
        <v>3000000.0</v>
      </c>
      <c r="F61">
        <f>E61/'Pro-Forma'!$B$12</f>
        <v>0.0782512452935661</v>
      </c>
    </row>
    <row r="62">
      <c r="A62" t="inlineStr">
        <is>
          <t>Series C LP</t>
        </is>
      </c>
      <c r="B62">
        <f>0</f>
        <v>0</v>
      </c>
      <c r="C62" t="inlineStr">
        <is>
          <t>Series C</t>
        </is>
      </c>
      <c r="D62">
        <f>Assumptions!$B$40</f>
        <v>2400000.0</v>
      </c>
      <c r="E62">
        <f>B62+D62</f>
        <v>2400000.0</v>
      </c>
      <c r="F62">
        <f>E62/'Pro-Forma'!$B$12</f>
        <v>0.06260099623485288</v>
      </c>
    </row>
    <row r="63">
      <c r="A63" t="inlineStr">
        <is>
          <t>Series D LP</t>
        </is>
      </c>
      <c r="B63">
        <f>0</f>
        <v>0</v>
      </c>
      <c r="C63" t="inlineStr">
        <is>
          <t>Series D</t>
        </is>
      </c>
      <c r="D63">
        <f>'Pro-Forma'!$B$8</f>
        <v>1733976.9429960158</v>
      </c>
      <c r="E63">
        <f>B63+D63</f>
        <v>1733976.9429960158</v>
      </c>
      <c r="F63">
        <f>E63/'Pro-Forma'!$B$12</f>
        <v>0.0452286183665897</v>
      </c>
    </row>
    <row r="64">
      <c r="A64" t="inlineStr">
        <is>
          <t>Series E LP</t>
        </is>
      </c>
      <c r="B64">
        <f>0</f>
        <v>0</v>
      </c>
      <c r="C64" t="inlineStr">
        <is>
          <t>Series E</t>
        </is>
      </c>
      <c r="D64">
        <f>'Pro-Forma'!$B$9</f>
        <v>6134472.125466151</v>
      </c>
      <c r="E64">
        <f>B64+D64</f>
        <v>6134472.125466151</v>
      </c>
      <c r="F64">
        <f>E64/'Pro-Forma'!$B$12</f>
        <v>0.16001002767879852</v>
      </c>
    </row>
    <row r="65">
      <c r="A65" t="inlineStr">
        <is>
          <t>Note A holder NA1</t>
        </is>
      </c>
      <c r="B65">
        <f>0</f>
        <v>0</v>
      </c>
      <c r="C65" t="inlineStr">
        <is>
          <t>Common-equiv (Note A)</t>
        </is>
      </c>
      <c r="D65">
        <f>'Pro-Forma'!$B$14</f>
        <v>186735.09109541247</v>
      </c>
      <c r="E65">
        <f>B65+D65</f>
        <v>186735.09109541247</v>
      </c>
      <c r="F65">
        <f>E65/'Pro-Forma'!$B$12</f>
        <v>0.004870751139407844</v>
      </c>
    </row>
    <row r="66">
      <c r="A66" t="inlineStr">
        <is>
          <t>Note B holder NB1</t>
        </is>
      </c>
      <c r="B66">
        <f>0</f>
        <v>0</v>
      </c>
      <c r="C66" t="inlineStr">
        <is>
          <t>Common-equiv (Note B)</t>
        </is>
      </c>
      <c r="D66">
        <f>'Pro-Forma'!$B$15</f>
        <v>94622.90750465017</v>
      </c>
      <c r="E66">
        <f>B66+D66</f>
        <v>94622.90750465017</v>
      </c>
      <c r="F66">
        <f>E66/'Pro-Forma'!$B$12</f>
        <v>0.0024681201151789322</v>
      </c>
    </row>
    <row r="67">
      <c r="A67" t="inlineStr">
        <is>
          <t>F_LEAD</t>
        </is>
      </c>
      <c r="B67">
        <f>'Pro-Forma'!$B$37</f>
        <v>473114.53752325213</v>
      </c>
      <c r="C67" t="inlineStr">
        <is>
          <t>Series F + Common</t>
        </is>
      </c>
      <c r="D67">
        <f>'Pro-Forma'!$B$41</f>
        <v>536196.4758596857</v>
      </c>
      <c r="E67">
        <f>B67+D67</f>
        <v>1009311.0133829378</v>
      </c>
      <c r="F67">
        <f>E67/'Pro-Forma'!$B$12</f>
        <v>0.02632661456190868</v>
      </c>
    </row>
    <row r="68">
      <c r="A68" t="inlineStr">
        <is>
          <t>Our fund (F_FUND)</t>
        </is>
      </c>
      <c r="B68">
        <f>0</f>
        <v>0</v>
      </c>
      <c r="C68" t="inlineStr">
        <is>
          <t>Series F</t>
        </is>
      </c>
      <c r="D68">
        <f>Assumptions!$B$7/'Pro-Forma'!$B$4</f>
        <v>268098.23792984284</v>
      </c>
      <c r="E68">
        <f>B68+D68</f>
        <v>268098.23792984284</v>
      </c>
      <c r="F68">
        <f>E68/'Pro-Forma'!$B$12</f>
        <v>0.006993006993006993</v>
      </c>
    </row>
    <row r="69">
      <c r="A69" t="inlineStr">
        <is>
          <t>Issued options (pre-F)</t>
        </is>
      </c>
      <c r="B69">
        <f>Assumptions!$B$32</f>
        <v>2500000.0</v>
      </c>
      <c r="C69" t="inlineStr"/>
      <c r="D69">
        <f>0</f>
        <v>0</v>
      </c>
      <c r="E69">
        <f>B69+D69</f>
        <v>2500000.0</v>
      </c>
      <c r="F69">
        <f>E69/'Pro-Forma'!$B$12</f>
        <v>0.06520937107797174</v>
      </c>
    </row>
    <row r="70">
      <c r="A70" t="inlineStr">
        <is>
          <t>Unissued option pool (post-F)</t>
        </is>
      </c>
      <c r="B70">
        <f>Assumptions!$B$33+'Pro-Forma'!$B$10</f>
        <v>2483946.243115766</v>
      </c>
      <c r="C70" t="inlineStr"/>
      <c r="D70">
        <f>0</f>
        <v>0</v>
      </c>
      <c r="E70">
        <f>B70+D70</f>
        <v>2483946.243115766</v>
      </c>
      <c r="F70">
        <f>E70/'Pro-Forma'!$B$12</f>
        <v>0.06479062892202793</v>
      </c>
    </row>
    <row r="72">
      <c r="A72" t="inlineStr">
        <is>
          <t>TOTAL</t>
        </is>
      </c>
      <c r="E72">
        <f>SUM(E46:E70)</f>
        <v>38338048.023967534</v>
      </c>
      <c r="F72">
        <f>SUM(F46:F70)</f>
        <v>1.0000000000000002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— Five Exits</t>
        </is>
      </c>
    </row>
    <row r="2">
      <c r="A2" t="inlineStr">
        <is>
          <t>Item</t>
        </is>
      </c>
      <c r="B2">
        <f>Assumptions!$B$9</f>
        <v>700000000.0</v>
      </c>
      <c r="C2">
        <f>Assumptions!$B$10</f>
        <v>1200000000.0</v>
      </c>
      <c r="D2">
        <f>Assumptions!$B$11</f>
        <v>2000000000.0</v>
      </c>
      <c r="E2">
        <f>Assumptions!$B$12</f>
        <v>4000000000.0</v>
      </c>
      <c r="F2">
        <f>Assumptions!$B$13</f>
        <v>8000000000.0</v>
      </c>
    </row>
    <row r="4">
      <c r="A4" t="inlineStr">
        <is>
          <t>Elections</t>
        </is>
      </c>
    </row>
    <row r="5">
      <c r="A5" t="inlineStr">
        <is>
          <t>F election</t>
        </is>
      </c>
      <c r="B5" t="str">
        <f>IF(B14&gt;B23,"preference","convert")</f>
        <v>preference</v>
      </c>
      <c r="C5" t="str">
        <f>IF(C14&gt;C23,"preference","convert")</f>
        <v>preference</v>
      </c>
      <c r="D5" t="str">
        <f>IF(D14&gt;D23,"preference","convert")</f>
        <v>convert</v>
      </c>
      <c r="E5" t="str">
        <f>IF(E14&gt;E23,"preference","convert")</f>
        <v>convert</v>
      </c>
      <c r="F5" t="str">
        <f>IF(F14&gt;F23,"preference","convert")</f>
        <v>convert</v>
      </c>
    </row>
    <row r="6">
      <c r="A6" t="inlineStr">
        <is>
          <t>E election</t>
        </is>
      </c>
      <c r="B6" t="str">
        <f>IF(B15&gt;B24,"preference","convert")</f>
        <v>preference</v>
      </c>
      <c r="C6" t="str">
        <f>IF(C15&gt;C24,"preference","convert")</f>
        <v>preference</v>
      </c>
      <c r="D6" t="str">
        <f>IF(D15&gt;D24,"preference","convert")</f>
        <v>convert</v>
      </c>
      <c r="E6" t="str">
        <f>IF(E15&gt;E24,"preference","convert")</f>
        <v>convert</v>
      </c>
      <c r="F6" t="str">
        <f>IF(F15&gt;F24,"preference","convert")</f>
        <v>convert</v>
      </c>
    </row>
    <row r="7">
      <c r="A7" t="inlineStr">
        <is>
          <t>D election</t>
        </is>
      </c>
      <c r="B7" t="str">
        <f>IF(B16&gt;B25,"preference","convert")</f>
        <v>preference</v>
      </c>
      <c r="C7" t="str">
        <f>IF(C16&gt;C25,"preference","convert")</f>
        <v>preference</v>
      </c>
      <c r="D7" t="str">
        <f>IF(D16&gt;D25,"preference","convert")</f>
        <v>preference</v>
      </c>
      <c r="E7" t="str">
        <f>IF(E16&gt;E25,"preference","convert")</f>
        <v>convert</v>
      </c>
      <c r="F7" t="str">
        <f>IF(F16&gt;F25,"preference","convert")</f>
        <v>convert</v>
      </c>
    </row>
    <row r="8">
      <c r="A8" t="inlineStr">
        <is>
          <t>C election</t>
        </is>
      </c>
      <c r="B8" t="str">
        <f>IF(B17&gt;B26,"preference","convert")</f>
        <v>preference</v>
      </c>
      <c r="C8" t="str">
        <f>IF(C17&gt;C26,"preference","convert")</f>
        <v>convert</v>
      </c>
      <c r="D8" t="str">
        <f>IF(D17&gt;D26,"preference","convert")</f>
        <v>convert</v>
      </c>
      <c r="E8" t="str">
        <f>IF(E17&gt;E26,"preference","convert")</f>
        <v>convert</v>
      </c>
      <c r="F8" t="str">
        <f>IF(F17&gt;F26,"preference","convert")</f>
        <v>convert</v>
      </c>
    </row>
    <row r="9">
      <c r="A9" t="inlineStr">
        <is>
          <t>B election</t>
        </is>
      </c>
      <c r="B9" t="str">
        <f>IF(B18&gt;B27,"preference","convert")</f>
        <v>preference</v>
      </c>
      <c r="C9" t="str">
        <f>IF(C18&gt;C27,"preference","convert")</f>
        <v>convert</v>
      </c>
      <c r="D9" t="str">
        <f>IF(D18&gt;D27,"preference","convert")</f>
        <v>convert</v>
      </c>
      <c r="E9" t="str">
        <f>IF(E18&gt;E27,"preference","convert")</f>
        <v>convert</v>
      </c>
      <c r="F9" t="str">
        <f>IF(F18&gt;F27,"preference","convert")</f>
        <v>convert</v>
      </c>
    </row>
    <row r="10">
      <c r="A10" t="inlineStr">
        <is>
          <t>A election</t>
        </is>
      </c>
      <c r="B10" t="str">
        <f>IF(B19&gt;B28,"preference","convert")</f>
        <v>convert</v>
      </c>
      <c r="C10" t="str">
        <f>IF(C19&gt;C28,"preference","convert")</f>
        <v>convert</v>
      </c>
      <c r="D10" t="str">
        <f>IF(D19&gt;D28,"preference","convert")</f>
        <v>convert</v>
      </c>
      <c r="E10" t="str">
        <f>IF(E19&gt;E28,"preference","convert")</f>
        <v>convert</v>
      </c>
      <c r="F10" t="str">
        <f>IF(F19&gt;F28,"preference","convert")</f>
        <v>convert</v>
      </c>
    </row>
    <row r="11">
      <c r="A11" t="inlineStr">
        <is>
          <t>Seed election</t>
        </is>
      </c>
      <c r="B11" t="str">
        <f>IF(B20&gt;B29,"preference","convert")</f>
        <v>convert</v>
      </c>
      <c r="C11" t="str">
        <f>IF(C20&gt;C29,"preference","convert")</f>
        <v>convert</v>
      </c>
      <c r="D11" t="str">
        <f>IF(D20&gt;D29,"preference","convert")</f>
        <v>convert</v>
      </c>
      <c r="E11" t="str">
        <f>IF(E20&gt;E29,"preference","convert")</f>
        <v>convert</v>
      </c>
      <c r="F11" t="str">
        <f>IF(F20&gt;F29,"preference","convert")</f>
        <v>convert</v>
      </c>
    </row>
    <row r="13">
      <c r="A13" t="inlineStr">
        <is>
          <t>Pref payouts</t>
        </is>
      </c>
    </row>
    <row r="14">
      <c r="A14" t="inlineStr">
        <is>
          <t>F pref $</t>
        </is>
      </c>
      <c r="B14">
        <f>IF(B5="preference",MIN(Assumptions!$B$3,B$2),0)</f>
        <v>30000000.0</v>
      </c>
      <c r="C14">
        <f>IF(C5="preference",MIN(Assumptions!$B$3,C$2),0)</f>
        <v>30000000.0</v>
      </c>
      <c r="D14">
        <f>IF(D5="preference",MIN(Assumptions!$B$3,D$2),0)</f>
        <v>0</v>
      </c>
      <c r="E14">
        <f>IF(E5="preference",MIN(Assumptions!$B$3,E$2),0)</f>
        <v>0</v>
      </c>
      <c r="F14">
        <f>IF(F5="preference",MIN(Assumptions!$B$3,F$2),0)</f>
        <v>0</v>
      </c>
    </row>
    <row r="15">
      <c r="A15" t="inlineStr">
        <is>
          <t>E pref $</t>
        </is>
      </c>
      <c r="B15">
        <f>IF(B6="preference",MIN(Assumptions!$B$46,B40),0)</f>
        <v>300000000.0</v>
      </c>
      <c r="C15">
        <f>IF(C6="preference",MIN(Assumptions!$B$46,C40),0)</f>
        <v>300000000.0</v>
      </c>
      <c r="D15">
        <f>IF(D6="preference",MIN(Assumptions!$B$46,D40),0)</f>
        <v>0</v>
      </c>
      <c r="E15">
        <f>IF(E6="preference",MIN(Assumptions!$B$46,E40),0)</f>
        <v>0</v>
      </c>
      <c r="F15">
        <f>IF(F6="preference",MIN(Assumptions!$B$46,F40),0)</f>
        <v>0</v>
      </c>
    </row>
    <row r="16">
      <c r="A16" t="inlineStr">
        <is>
          <t>D pref $</t>
        </is>
      </c>
      <c r="B16">
        <f>IF(B7="preference",MIN(Assumptions!$B$45,B41),0)</f>
        <v>100000000.0</v>
      </c>
      <c r="C16">
        <f>IF(C7="preference",MIN(Assumptions!$B$45,C41),0)</f>
        <v>100000000.0</v>
      </c>
      <c r="D16">
        <f>IF(D7="preference",MIN(Assumptions!$B$45,D41),0)</f>
        <v>100000000.0</v>
      </c>
      <c r="E16">
        <f>IF(E7="preference",MIN(Assumptions!$B$45,E41),0)</f>
        <v>0</v>
      </c>
      <c r="F16">
        <f>IF(F7="preference",MIN(Assumptions!$B$45,F41),0)</f>
        <v>0</v>
      </c>
    </row>
    <row r="17">
      <c r="A17" t="inlineStr">
        <is>
          <t>C pref $</t>
        </is>
      </c>
      <c r="B17">
        <f>IF(B8="preference",MIN(Assumptions!$B$44,B42),0)</f>
        <v>60000000.0</v>
      </c>
      <c r="C17">
        <f>IF(C8="preference",MIN(Assumptions!$B$44,C42),0)</f>
        <v>0</v>
      </c>
      <c r="D17">
        <f>IF(D8="preference",MIN(Assumptions!$B$44,D42),0)</f>
        <v>0</v>
      </c>
      <c r="E17">
        <f>IF(E8="preference",MIN(Assumptions!$B$44,E42),0)</f>
        <v>0</v>
      </c>
      <c r="F17">
        <f>IF(F8="preference",MIN(Assumptions!$B$44,F42),0)</f>
        <v>0</v>
      </c>
    </row>
    <row r="18">
      <c r="A18" t="inlineStr">
        <is>
          <t>B pref $</t>
        </is>
      </c>
      <c r="B18">
        <f>IF(B9="preference",MIN(Assumptions!$B$43,B43),0)</f>
        <v>30000000.0</v>
      </c>
      <c r="C18">
        <f>IF(C9="preference",MIN(Assumptions!$B$43,C43),0)</f>
        <v>0</v>
      </c>
      <c r="D18">
        <f>IF(D9="preference",MIN(Assumptions!$B$43,D43),0)</f>
        <v>0</v>
      </c>
      <c r="E18">
        <f>IF(E9="preference",MIN(Assumptions!$B$43,E43),0)</f>
        <v>0</v>
      </c>
      <c r="F18">
        <f>IF(F9="preference",MIN(Assumptions!$B$43,F43),0)</f>
        <v>0</v>
      </c>
    </row>
    <row r="19">
      <c r="A19" t="inlineStr">
        <is>
          <t>A pref $</t>
        </is>
      </c>
      <c r="B19">
        <f>IF(B10="preference",MIN(Assumptions!$B$42,B44),0)</f>
        <v>0</v>
      </c>
      <c r="C19">
        <f>IF(C10="preference",MIN(Assumptions!$B$42,C44),0)</f>
        <v>0</v>
      </c>
      <c r="D19">
        <f>IF(D10="preference",MIN(Assumptions!$B$42,D44),0)</f>
        <v>0</v>
      </c>
      <c r="E19">
        <f>IF(E10="preference",MIN(Assumptions!$B$42,E44),0)</f>
        <v>0</v>
      </c>
      <c r="F19">
        <f>IF(F10="preference",MIN(Assumptions!$B$42,F44),0)</f>
        <v>0</v>
      </c>
    </row>
    <row r="20">
      <c r="A20" t="inlineStr">
        <is>
          <t>Seed pref $</t>
        </is>
      </c>
      <c r="B20">
        <f>IF(B11="preference",MIN(Assumptions!$B$41,B45),0)</f>
        <v>0</v>
      </c>
      <c r="C20">
        <f>IF(C11="preference",MIN(Assumptions!$B$41,C45),0)</f>
        <v>0</v>
      </c>
      <c r="D20">
        <f>IF(D11="preference",MIN(Assumptions!$B$41,D45),0)</f>
        <v>0</v>
      </c>
      <c r="E20">
        <f>IF(E11="preference",MIN(Assumptions!$B$41,E45),0)</f>
        <v>0</v>
      </c>
      <c r="F20">
        <f>IF(F11="preference",MIN(Assumptions!$B$41,F45),0)</f>
        <v>0</v>
      </c>
    </row>
    <row r="22">
      <c r="A22" t="inlineStr">
        <is>
          <t>Convert payouts</t>
        </is>
      </c>
    </row>
    <row r="23">
      <c r="A23" t="inlineStr">
        <is>
          <t>F conv $</t>
        </is>
      </c>
      <c r="B23">
        <f>B50*'Pro-Forma'!$B$5</f>
        <v>6738963.900966281</v>
      </c>
      <c r="C23">
        <f>C50*'Pro-Forma'!$B$5</f>
        <v>22858227.55560671</v>
      </c>
      <c r="D23">
        <f>D50*'Pro-Forma'!$B$5</f>
        <v>44846573.69385934</v>
      </c>
      <c r="E23">
        <f>E50*'Pro-Forma'!$B$5</f>
        <v>89785810.6059661</v>
      </c>
      <c r="F23">
        <f>F50*'Pro-Forma'!$B$5</f>
        <v>179515540.13097906</v>
      </c>
    </row>
    <row r="24">
      <c r="A24" t="inlineStr">
        <is>
          <t>E conv $</t>
        </is>
      </c>
      <c r="B24">
        <f>B50*'Pro-Forma'!$B$9</f>
        <v>51399052.481921844</v>
      </c>
      <c r="C24">
        <f>C50*'Pro-Forma'!$B$9</f>
        <v>174343008.07070315</v>
      </c>
      <c r="D24">
        <f>D50*'Pro-Forma'!$B$9</f>
        <v>342051304.74056023</v>
      </c>
      <c r="E24">
        <f>E50*'Pro-Forma'!$B$9</f>
        <v>684809365.2506772</v>
      </c>
      <c r="F24">
        <f>F50*'Pro-Forma'!$B$9</f>
        <v>1369190991.9846456</v>
      </c>
    </row>
    <row r="25">
      <c r="A25" t="inlineStr">
        <is>
          <t>D conv $</t>
        </is>
      </c>
      <c r="B25">
        <f>B50*'Pro-Forma'!$B$8</f>
        <v>14528515.26140436</v>
      </c>
      <c r="C25">
        <f>C50*'Pro-Forma'!$B$8</f>
        <v>49279995.08094522</v>
      </c>
      <c r="D25">
        <f>D50*'Pro-Forma'!$B$8</f>
        <v>96684615.01025495</v>
      </c>
      <c r="E25">
        <f>E50*'Pro-Forma'!$B$8</f>
        <v>193569002.41879883</v>
      </c>
      <c r="F25">
        <f>F50*'Pro-Forma'!$B$8</f>
        <v>387017099.7767489</v>
      </c>
    </row>
    <row r="26">
      <c r="A26" t="inlineStr">
        <is>
          <t>C conv $</t>
        </is>
      </c>
      <c r="B26">
        <f>B50*Assumptions!$B$40</f>
        <v>20108939.03071385</v>
      </c>
      <c r="C26">
        <f>C50*Assumptions!$B$40</f>
        <v>68208512.61719476</v>
      </c>
      <c r="D26">
        <f>D50*Assumptions!$B$40</f>
        <v>133821315.76887123</v>
      </c>
      <c r="E26">
        <f>E50*Assumptions!$B$40</f>
        <v>267919136.80376118</v>
      </c>
      <c r="F26">
        <f>F50*Assumptions!$B$40</f>
        <v>535670928.7375637</v>
      </c>
    </row>
    <row r="27">
      <c r="A27" t="inlineStr">
        <is>
          <t>B conv $</t>
        </is>
      </c>
      <c r="B27">
        <f>B50*Assumptions!$B$39</f>
        <v>25136173.78839231</v>
      </c>
      <c r="C27">
        <f>C50*Assumptions!$B$39</f>
        <v>85260640.77149345</v>
      </c>
      <c r="D27">
        <f>D50*Assumptions!$B$39</f>
        <v>167276644.71108904</v>
      </c>
      <c r="E27">
        <f>E50*Assumptions!$B$39</f>
        <v>334898921.0047015</v>
      </c>
      <c r="F27">
        <f>F50*Assumptions!$B$39</f>
        <v>669588660.9219546</v>
      </c>
    </row>
    <row r="28">
      <c r="A28" t="inlineStr">
        <is>
          <t>A conv $</t>
        </is>
      </c>
      <c r="B28">
        <f>B50*Assumptions!$B$38</f>
        <v>41893622.980653845</v>
      </c>
      <c r="C28">
        <f>C50*Assumptions!$B$38</f>
        <v>142101067.95248908</v>
      </c>
      <c r="D28">
        <f>D50*Assumptions!$B$38</f>
        <v>278794407.8518151</v>
      </c>
      <c r="E28">
        <f>E50*Assumptions!$B$38</f>
        <v>558164868.3411691</v>
      </c>
      <c r="F28">
        <f>F50*Assumptions!$B$38</f>
        <v>1115981101.536591</v>
      </c>
    </row>
    <row r="29">
      <c r="A29" t="inlineStr">
        <is>
          <t>Seed conv $</t>
        </is>
      </c>
      <c r="B29">
        <f>B50*Assumptions!$B$37</f>
        <v>41893622.980653845</v>
      </c>
      <c r="C29">
        <f>C50*Assumptions!$B$37</f>
        <v>142101067.95248908</v>
      </c>
      <c r="D29">
        <f>D50*Assumptions!$B$37</f>
        <v>278794407.8518151</v>
      </c>
      <c r="E29">
        <f>E50*Assumptions!$B$37</f>
        <v>558164868.3411691</v>
      </c>
      <c r="F29">
        <f>F50*Assumptions!$B$37</f>
        <v>1115981101.536591</v>
      </c>
    </row>
    <row r="31">
      <c r="A31" t="inlineStr">
        <is>
          <t>Proceeds</t>
        </is>
      </c>
    </row>
    <row r="32">
      <c r="A32" t="inlineStr">
        <is>
          <t>F proceeds</t>
        </is>
      </c>
      <c r="B32">
        <f>IF(B5="preference",B14,B23)</f>
        <v>30000000.0</v>
      </c>
      <c r="C32">
        <f>IF(C5="preference",C14,C23)</f>
        <v>30000000.0</v>
      </c>
      <c r="D32">
        <f>IF(D5="preference",D14,D23)</f>
        <v>44846573.69385934</v>
      </c>
      <c r="E32">
        <f>IF(E5="preference",E14,E23)</f>
        <v>89785810.6059661</v>
      </c>
      <c r="F32">
        <f>IF(F5="preference",F14,F23)</f>
        <v>179515540.13097906</v>
      </c>
    </row>
    <row r="33">
      <c r="A33" t="inlineStr">
        <is>
          <t>E proceeds</t>
        </is>
      </c>
      <c r="B33">
        <f>IF(B6="preference",B15,B24)</f>
        <v>300000000.0</v>
      </c>
      <c r="C33">
        <f>IF(C6="preference",C15,C24)</f>
        <v>300000000.0</v>
      </c>
      <c r="D33">
        <f>IF(D6="preference",D15,D24)</f>
        <v>342051304.74056023</v>
      </c>
      <c r="E33">
        <f>IF(E6="preference",E15,E24)</f>
        <v>684809365.2506772</v>
      </c>
      <c r="F33">
        <f>IF(F6="preference",F15,F24)</f>
        <v>1369190991.9846456</v>
      </c>
    </row>
    <row r="34">
      <c r="A34" t="inlineStr">
        <is>
          <t>D proceeds</t>
        </is>
      </c>
      <c r="B34">
        <f>IF(B7="preference",B16,B25)</f>
        <v>100000000.0</v>
      </c>
      <c r="C34">
        <f>IF(C7="preference",C16,C25)</f>
        <v>100000000.0</v>
      </c>
      <c r="D34">
        <f>IF(D7="preference",D16,D25)</f>
        <v>100000000.0</v>
      </c>
      <c r="E34">
        <f>IF(E7="preference",E16,E25)</f>
        <v>193569002.41879883</v>
      </c>
      <c r="F34">
        <f>IF(F7="preference",F16,F25)</f>
        <v>387017099.7767489</v>
      </c>
    </row>
    <row r="35">
      <c r="A35" t="inlineStr">
        <is>
          <t>C proceeds</t>
        </is>
      </c>
      <c r="B35">
        <f>IF(B8="preference",B17,B26)</f>
        <v>60000000.0</v>
      </c>
      <c r="C35">
        <f>IF(C8="preference",C17,C26)</f>
        <v>68208512.61719476</v>
      </c>
      <c r="D35">
        <f>IF(D8="preference",D17,D26)</f>
        <v>133821315.76887123</v>
      </c>
      <c r="E35">
        <f>IF(E8="preference",E17,E26)</f>
        <v>267919136.80376118</v>
      </c>
      <c r="F35">
        <f>IF(F8="preference",F17,F26)</f>
        <v>535670928.7375637</v>
      </c>
    </row>
    <row r="36">
      <c r="A36" t="inlineStr">
        <is>
          <t>B proceeds</t>
        </is>
      </c>
      <c r="B36">
        <f>IF(B9="preference",B18,B27)</f>
        <v>30000000.0</v>
      </c>
      <c r="C36">
        <f>IF(C9="preference",C18,C27)</f>
        <v>85260640.77149345</v>
      </c>
      <c r="D36">
        <f>IF(D9="preference",D18,D27)</f>
        <v>167276644.71108904</v>
      </c>
      <c r="E36">
        <f>IF(E9="preference",E18,E27)</f>
        <v>334898921.0047015</v>
      </c>
      <c r="F36">
        <f>IF(F9="preference",F18,F27)</f>
        <v>669588660.9219546</v>
      </c>
    </row>
    <row r="37">
      <c r="A37" t="inlineStr">
        <is>
          <t>A proceeds</t>
        </is>
      </c>
      <c r="B37">
        <f>IF(B10="preference",B19,B28)</f>
        <v>41893622.980653845</v>
      </c>
      <c r="C37">
        <f>IF(C10="preference",C19,C28)</f>
        <v>142101067.95248908</v>
      </c>
      <c r="D37">
        <f>IF(D10="preference",D19,D28)</f>
        <v>278794407.8518151</v>
      </c>
      <c r="E37">
        <f>IF(E10="preference",E19,E28)</f>
        <v>558164868.3411691</v>
      </c>
      <c r="F37">
        <f>IF(F10="preference",F19,F28)</f>
        <v>1115981101.536591</v>
      </c>
    </row>
    <row r="38">
      <c r="A38" t="inlineStr">
        <is>
          <t>Seed proceeds</t>
        </is>
      </c>
      <c r="B38">
        <f>IF(B11="preference",B20,B29)</f>
        <v>41893622.980653845</v>
      </c>
      <c r="C38">
        <f>IF(C11="preference",C20,C29)</f>
        <v>142101067.95248908</v>
      </c>
      <c r="D38">
        <f>IF(D11="preference",D20,D29)</f>
        <v>278794407.8518151</v>
      </c>
      <c r="E38">
        <f>IF(E11="preference",E20,E29)</f>
        <v>558164868.3411691</v>
      </c>
      <c r="F38">
        <f>IF(F11="preference",F20,F29)</f>
        <v>1115981101.536591</v>
      </c>
    </row>
    <row r="40">
      <c r="A40" t="inlineStr">
        <is>
          <t>Residual after F pref</t>
        </is>
      </c>
      <c r="B40">
        <f>MAX(0,B$2-IF(B5="preference",MIN(Assumptions!$B$3,B$2),0))</f>
        <v>670000000.0</v>
      </c>
      <c r="C40">
        <f>MAX(0,C$2-IF(C5="preference",MIN(Assumptions!$B$3,C$2),0))</f>
        <v>1170000000.0</v>
      </c>
      <c r="D40">
        <f>MAX(0,D$2-IF(D5="preference",MIN(Assumptions!$B$3,D$2),0))</f>
        <v>2000000000.0</v>
      </c>
      <c r="E40">
        <f>MAX(0,E$2-IF(E5="preference",MIN(Assumptions!$B$3,E$2),0))</f>
        <v>4000000000.0</v>
      </c>
      <c r="F40">
        <f>MAX(0,F$2-IF(F5="preference",MIN(Assumptions!$B$3,F$2),0))</f>
        <v>8000000000.0</v>
      </c>
    </row>
    <row r="41">
      <c r="A41" t="inlineStr">
        <is>
          <t>Residual after E pref</t>
        </is>
      </c>
      <c r="B41">
        <f>MAX(0,B40-IF(B6="preference",MIN(Assumptions!$B$46,B40),0))</f>
        <v>370000000.0</v>
      </c>
      <c r="C41">
        <f>MAX(0,C40-IF(C6="preference",MIN(Assumptions!$B$46,C40),0))</f>
        <v>870000000.0</v>
      </c>
      <c r="D41">
        <f>MAX(0,D40-IF(D6="preference",MIN(Assumptions!$B$46,D40),0))</f>
        <v>2000000000.0</v>
      </c>
      <c r="E41">
        <f>MAX(0,E40-IF(E6="preference",MIN(Assumptions!$B$46,E40),0))</f>
        <v>4000000000.0</v>
      </c>
      <c r="F41">
        <f>MAX(0,F40-IF(F6="preference",MIN(Assumptions!$B$46,F40),0))</f>
        <v>8000000000.0</v>
      </c>
    </row>
    <row r="42">
      <c r="A42" t="inlineStr">
        <is>
          <t>Residual after D pref</t>
        </is>
      </c>
      <c r="B42">
        <f>MAX(0,B41-IF(B7="preference",MIN(Assumptions!$B$45,B41),0))</f>
        <v>270000000.0</v>
      </c>
      <c r="C42">
        <f>MAX(0,C41-IF(C7="preference",MIN(Assumptions!$B$45,C41),0))</f>
        <v>770000000.0</v>
      </c>
      <c r="D42">
        <f>MAX(0,D41-IF(D7="preference",MIN(Assumptions!$B$45,D41),0))</f>
        <v>1900000000.0</v>
      </c>
      <c r="E42">
        <f>MAX(0,E41-IF(E7="preference",MIN(Assumptions!$B$45,E41),0))</f>
        <v>4000000000.0</v>
      </c>
      <c r="F42">
        <f>MAX(0,F41-IF(F7="preference",MIN(Assumptions!$B$45,F41),0))</f>
        <v>8000000000.0</v>
      </c>
    </row>
    <row r="43">
      <c r="A43" t="inlineStr">
        <is>
          <t>Residual after C pref</t>
        </is>
      </c>
      <c r="B43">
        <f>MAX(0,B42-IF(B8="preference",MIN(Assumptions!$B$44,B42),0))</f>
        <v>210000000.0</v>
      </c>
      <c r="C43">
        <f>MAX(0,C42-IF(C8="preference",MIN(Assumptions!$B$44,C42),0))</f>
        <v>770000000.0</v>
      </c>
      <c r="D43">
        <f>MAX(0,D42-IF(D8="preference",MIN(Assumptions!$B$44,D42),0))</f>
        <v>1900000000.0</v>
      </c>
      <c r="E43">
        <f>MAX(0,E42-IF(E8="preference",MIN(Assumptions!$B$44,E42),0))</f>
        <v>4000000000.0</v>
      </c>
      <c r="F43">
        <f>MAX(0,F42-IF(F8="preference",MIN(Assumptions!$B$44,F42),0))</f>
        <v>8000000000.0</v>
      </c>
    </row>
    <row r="44">
      <c r="A44" t="inlineStr">
        <is>
          <t>Residual after B pref</t>
        </is>
      </c>
      <c r="B44">
        <f>MAX(0,B43-IF(B9="preference",MIN(Assumptions!$B$43,B43),0))</f>
        <v>180000000.0</v>
      </c>
      <c r="C44">
        <f>MAX(0,C43-IF(C9="preference",MIN(Assumptions!$B$43,C43),0))</f>
        <v>770000000.0</v>
      </c>
      <c r="D44">
        <f>MAX(0,D43-IF(D9="preference",MIN(Assumptions!$B$43,D43),0))</f>
        <v>1900000000.0</v>
      </c>
      <c r="E44">
        <f>MAX(0,E43-IF(E9="preference",MIN(Assumptions!$B$43,E43),0))</f>
        <v>4000000000.0</v>
      </c>
      <c r="F44">
        <f>MAX(0,F43-IF(F9="preference",MIN(Assumptions!$B$43,F43),0))</f>
        <v>8000000000.0</v>
      </c>
    </row>
    <row r="45">
      <c r="A45" t="inlineStr">
        <is>
          <t>Residual after A pref</t>
        </is>
      </c>
      <c r="B45">
        <f>MAX(0,B44-IF(B10="preference",MIN(Assumptions!$B$42,B44),0))</f>
        <v>180000000.0</v>
      </c>
      <c r="C45">
        <f>MAX(0,C44-IF(C10="preference",MIN(Assumptions!$B$42,C44),0))</f>
        <v>770000000.0</v>
      </c>
      <c r="D45">
        <f>MAX(0,D44-IF(D10="preference",MIN(Assumptions!$B$42,D44),0))</f>
        <v>1900000000.0</v>
      </c>
      <c r="E45">
        <f>MAX(0,E44-IF(E10="preference",MIN(Assumptions!$B$42,E44),0))</f>
        <v>4000000000.0</v>
      </c>
      <c r="F45">
        <f>MAX(0,F44-IF(F10="preference",MIN(Assumptions!$B$42,F44),0))</f>
        <v>8000000000.0</v>
      </c>
    </row>
    <row r="46">
      <c r="A46" t="inlineStr">
        <is>
          <t>Residual after Seed pref</t>
        </is>
      </c>
      <c r="B46">
        <f>MAX(0,B45-IF(B11="preference",MIN(Assumptions!$B$41,B45),0))</f>
        <v>180000000.0</v>
      </c>
      <c r="C46">
        <f>MAX(0,C45-IF(C11="preference",MIN(Assumptions!$B$41,C45),0))</f>
        <v>770000000.0</v>
      </c>
      <c r="D46">
        <f>MAX(0,D45-IF(D11="preference",MIN(Assumptions!$B$41,D45),0))</f>
        <v>1900000000.0</v>
      </c>
      <c r="E46">
        <f>MAX(0,E45-IF(E11="preference",MIN(Assumptions!$B$41,E45),0))</f>
        <v>4000000000.0</v>
      </c>
      <c r="F46">
        <f>MAX(0,F45-IF(F11="preference",MIN(Assumptions!$B$41,F45),0))</f>
        <v>8000000000.0</v>
      </c>
    </row>
    <row r="47">
      <c r="A47" t="inlineStr">
        <is>
          <t>Pool shares</t>
        </is>
      </c>
      <c r="B47">
        <f>'Pro-Forma'!$B$14+'Pro-Forma'!$B$15+Assumptions!$B$47+Assumptions!$B$48+IF(B5="convert",'Pro-Forma'!$B$5,0)+IF(B6="convert",'Pro-Forma'!$B$9,0)+IF(B7="convert",'Pro-Forma'!$B$8,0)+IF(B8="convert",Assumptions!$B$40,0)+IF(B9="convert",Assumptions!$B$39,0)+IF(B10="convert",Assumptions!$B$38,0)+IF(B11="convert",Assumptions!$B$37,0)</f>
        <v>19281357.998600062</v>
      </c>
      <c r="C47">
        <f>'Pro-Forma'!$B$14+'Pro-Forma'!$B$15+Assumptions!$B$47+Assumptions!$B$48+IF(C5="convert",'Pro-Forma'!$B$5,0)+IF(C6="convert",'Pro-Forma'!$B$9,0)+IF(C7="convert",'Pro-Forma'!$B$8,0)+IF(C8="convert",Assumptions!$B$40,0)+IF(C9="convert",Assumptions!$B$39,0)+IF(C10="convert",Assumptions!$B$38,0)+IF(C11="convert",Assumptions!$B$37,0)</f>
        <v>24681357.998600062</v>
      </c>
      <c r="D47">
        <f>'Pro-Forma'!$B$14+'Pro-Forma'!$B$15+Assumptions!$B$47+Assumptions!$B$48+IF(D5="convert",'Pro-Forma'!$B$5,0)+IF(D6="convert",'Pro-Forma'!$B$9,0)+IF(D7="convert",'Pro-Forma'!$B$8,0)+IF(D8="convert",Assumptions!$B$40,0)+IF(D9="convert",Assumptions!$B$39,0)+IF(D10="convert",Assumptions!$B$38,0)+IF(D11="convert",Assumptions!$B$37,0)</f>
        <v>31620124.83785574</v>
      </c>
      <c r="E47">
        <f>'Pro-Forma'!$B$14+'Pro-Forma'!$B$15+Assumptions!$B$47+Assumptions!$B$48+IF(E5="convert",'Pro-Forma'!$B$5,0)+IF(E6="convert",'Pro-Forma'!$B$9,0)+IF(E7="convert",'Pro-Forma'!$B$8,0)+IF(E8="convert",Assumptions!$B$40,0)+IF(E9="convert",Assumptions!$B$39,0)+IF(E10="convert",Assumptions!$B$38,0)+IF(E11="convert",Assumptions!$B$37,0)</f>
        <v>33354101.78085176</v>
      </c>
      <c r="F47">
        <f>'Pro-Forma'!$B$14+'Pro-Forma'!$B$15+Assumptions!$B$47+Assumptions!$B$48+IF(F5="convert",'Pro-Forma'!$B$5,0)+IF(F6="convert",'Pro-Forma'!$B$9,0)+IF(F7="convert",'Pro-Forma'!$B$8,0)+IF(F8="convert",Assumptions!$B$40,0)+IF(F9="convert",Assumptions!$B$39,0)+IF(F10="convert",Assumptions!$B$38,0)+IF(F11="convert",Assumptions!$B$37,0)</f>
        <v>33354101.78085176</v>
      </c>
    </row>
    <row r="48">
      <c r="A48" t="inlineStr">
        <is>
          <t>Per-share (no opt)</t>
        </is>
      </c>
      <c r="B48">
        <f>B46/B47</f>
        <v>9.335442037488699</v>
      </c>
      <c r="C48">
        <f>C46/C47</f>
        <v>31.197635075171906</v>
      </c>
      <c r="D48">
        <f>D46/D47</f>
        <v>60.0883143170046</v>
      </c>
      <c r="E48">
        <f>E46/E47</f>
        <v>119.92528014339628</v>
      </c>
      <c r="F48">
        <f>F46/F47</f>
        <v>239.85056028679256</v>
      </c>
    </row>
    <row r="49">
      <c r="A49" t="inlineStr">
        <is>
          <t>ITM flag</t>
        </is>
      </c>
      <c r="B49" t="str">
        <f>IF((B46+Assumptions!$B$32*Assumptions!$B$24)/(B47+Assumptions!$B$32)&gt;Assumptions!$B$24,"ITM","OTM")</f>
        <v>ITM</v>
      </c>
      <c r="C49" t="str">
        <f>IF((C46+Assumptions!$B$32*Assumptions!$B$24)/(C47+Assumptions!$B$32)&gt;Assumptions!$B$24,"ITM","OTM")</f>
        <v>ITM</v>
      </c>
      <c r="D49" t="str">
        <f>IF((D46+Assumptions!$B$32*Assumptions!$B$24)/(D47+Assumptions!$B$32)&gt;Assumptions!$B$24,"ITM","OTM")</f>
        <v>ITM</v>
      </c>
      <c r="E49" t="str">
        <f>IF((E46+Assumptions!$B$32*Assumptions!$B$24)/(E47+Assumptions!$B$32)&gt;Assumptions!$B$24,"ITM","OTM")</f>
        <v>ITM</v>
      </c>
      <c r="F49" t="str">
        <f>IF((F46+Assumptions!$B$32*Assumptions!$B$24)/(F47+Assumptions!$B$32)&gt;Assumptions!$B$24,"ITM","OTM")</f>
        <v>ITM</v>
      </c>
    </row>
    <row r="50">
      <c r="A50" t="inlineStr">
        <is>
          <t>Per-share (final)</t>
        </is>
      </c>
      <c r="B50">
        <f>IF(B49="ITM",(B46+Assumptions!$B$32*Assumptions!$B$24)/(B47+Assumptions!$B$32),B48)</f>
        <v>8.37872459613077</v>
      </c>
      <c r="C50">
        <f>IF(C49="ITM",(C46+Assumptions!$B$32*Assumptions!$B$24)/(C47+Assumptions!$B$32),C48)</f>
        <v>28.420213590497816</v>
      </c>
      <c r="D50">
        <f>IF(D49="ITM",(D46+Assumptions!$B$32*Assumptions!$B$24)/(D47+Assumptions!$B$32),D48)</f>
        <v>55.758881570363016</v>
      </c>
      <c r="E50">
        <f>IF(E49="ITM",(E46+Assumptions!$B$32*Assumptions!$B$24)/(E47+Assumptions!$B$32),E48)</f>
        <v>111.63297366823383</v>
      </c>
      <c r="F50">
        <f>IF(F49="ITM",(F46+Assumptions!$B$32*Assumptions!$B$24)/(F47+Assumptions!$B$32),F48)</f>
        <v>223.1962203073182</v>
      </c>
    </row>
    <row r="51">
      <c r="A51" t="inlineStr">
        <is>
          <t>Notes proceeds (NA + NB)</t>
        </is>
      </c>
      <c r="B51">
        <f>B50*('Pro-Forma'!$B$14+'Pro-Forma'!$B$15)</f>
        <v>2357421.1831884715</v>
      </c>
      <c r="C51">
        <f>C50*('Pro-Forma'!$B$14+'Pro-Forma'!$B$15)</f>
        <v>7996254.415608766</v>
      </c>
      <c r="D51">
        <f>D50*('Pro-Forma'!$B$14+'Pro-Forma'!$B$15)</f>
        <v>15688207.322815254</v>
      </c>
      <c r="E51">
        <f>E50*('Pro-Forma'!$B$14+'Pro-Forma'!$B$15)</f>
        <v>31408830.04906776</v>
      </c>
      <c r="F51">
        <f>F50*('Pro-Forma'!$B$14+'Pro-Forma'!$B$15)</f>
        <v>62798041.84076571</v>
      </c>
    </row>
    <row r="52">
      <c r="A52" t="inlineStr">
        <is>
          <t>Common + RSAs proceeds</t>
        </is>
      </c>
      <c r="B52">
        <f>B50*(Assumptions!$B$47+Assumptions!$B$48)</f>
        <v>75408521.36517693</v>
      </c>
      <c r="C52">
        <f>C50*(Assumptions!$B$47+Assumptions!$B$48)</f>
        <v>255781922.31448033</v>
      </c>
      <c r="D52">
        <f>D50*(Assumptions!$B$47+Assumptions!$B$48)</f>
        <v>501829934.13326716</v>
      </c>
      <c r="E52">
        <f>E50*(Assumptions!$B$47+Assumptions!$B$48)</f>
        <v>1004696763.0141045</v>
      </c>
      <c r="F52">
        <f>F50*(Assumptions!$B$47+Assumptions!$B$48)</f>
        <v>2008765982.765864</v>
      </c>
    </row>
    <row r="53">
      <c r="A53" t="inlineStr">
        <is>
          <t>Issued options proceeds (net)</t>
        </is>
      </c>
      <c r="B53">
        <f>IF(B49="ITM",(B50-Assumptions!$B$24)*Assumptions!$B$32,0)</f>
        <v>18446811.490326922</v>
      </c>
      <c r="C53">
        <f>IF(C49="ITM",(C50-Assumptions!$B$24)*Assumptions!$B$32,0)</f>
        <v>68550533.97624454</v>
      </c>
      <c r="D53">
        <f>IF(D49="ITM",(D50-Assumptions!$B$24)*Assumptions!$B$32,0)</f>
        <v>136897203.92590755</v>
      </c>
      <c r="E53">
        <f>IF(E49="ITM",(E50-Assumptions!$B$24)*Assumptions!$B$32,0)</f>
        <v>276582434.17058456</v>
      </c>
      <c r="F53">
        <f>IF(F49="ITM",(F50-Assumptions!$B$24)*Assumptions!$B$32,0)</f>
        <v>555490550.7682955</v>
      </c>
    </row>
    <row r="54">
      <c r="A54" t="inlineStr">
        <is>
          <t>Unissued options (forfeit)</t>
        </is>
      </c>
      <c r="B54">
        <f>0</f>
        <v>0</v>
      </c>
      <c r="C54">
        <f>0</f>
        <v>0</v>
      </c>
      <c r="D54">
        <f>0</f>
        <v>0</v>
      </c>
      <c r="E54">
        <f>0</f>
        <v>0</v>
      </c>
      <c r="F54">
        <f>0</f>
        <v>0</v>
      </c>
    </row>
    <row r="55">
      <c r="A55" t="inlineStr">
        <is>
          <t>TOTAL (reconciliation)</t>
        </is>
      </c>
      <c r="B55">
        <f>B32+B33+B34+B35+B36+B37+B38+B51+B52+B53</f>
        <v>700000000.0</v>
      </c>
      <c r="C55">
        <f>C32+C33+C34+C35+C36+C37+C38+C51+C52+C53</f>
        <v>1200000000.0</v>
      </c>
      <c r="D55">
        <f>D32+D33+D34+D35+D36+D37+D38+D51+D52+D53</f>
        <v>2000000000.0</v>
      </c>
      <c r="E55">
        <f>E32+E33+E34+E35+E36+E37+E38+E51+E52+E53</f>
        <v>4000000000.0</v>
      </c>
      <c r="F55">
        <f>F32+F33+F34+F35+F36+F37+F38+F51+F52+F53</f>
        <v>8000000000.0</v>
      </c>
    </row>
    <row r="56">
      <c r="A56" t="inlineStr">
        <is>
          <t>Reconciliation diff</t>
        </is>
      </c>
      <c r="B56">
        <f>B55-B$2</f>
        <v>0.0</v>
      </c>
      <c r="C56">
        <f>C55-C$2</f>
        <v>0.0</v>
      </c>
      <c r="D56">
        <f>D55-D$2</f>
        <v>0.0</v>
      </c>
      <c r="E56">
        <f>E55-E$2</f>
        <v>0.0</v>
      </c>
      <c r="F56">
        <f>F55-F$2</f>
        <v>0.0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— 3×3 ESOP × Pre-money @ $2B exit</t>
        </is>
      </c>
    </row>
    <row r="2">
      <c r="A2" t="inlineStr">
        <is>
          <t>Each cell re-solves the full Series F fixed point + Nash waterfall at $2B.</t>
        </is>
      </c>
    </row>
    <row r="4">
      <c r="A4" t="inlineStr">
        <is>
          <t>Pre-money →</t>
        </is>
      </c>
      <c r="B4">
        <f>Assumptions!$B$55</f>
        <v>1200000000.0</v>
      </c>
      <c r="C4">
        <f>Assumptions!$B$56</f>
        <v>1400000000.0</v>
      </c>
      <c r="D4">
        <f>Assumptions!$B$57</f>
        <v>1800000000.0</v>
      </c>
    </row>
    <row r="5">
      <c r="A5" t="inlineStr">
        <is>
          <t>ESOP 11% own %</t>
        </is>
      </c>
      <c r="B5">
        <f>B35</f>
        <v>0.008130081300813007</v>
      </c>
      <c r="C5">
        <f>B57</f>
        <v>0.006993006993006994</v>
      </c>
      <c r="D5">
        <f>B79</f>
        <v>0.00546448087431694</v>
      </c>
    </row>
    <row r="6">
      <c r="A6" t="inlineStr">
        <is>
          <t>ESOP 13% own %</t>
        </is>
      </c>
      <c r="B6">
        <f>B101</f>
        <v>0.008130081300813007</v>
      </c>
      <c r="C6">
        <f>B123</f>
        <v>0.006993006993006993</v>
      </c>
      <c r="D6">
        <f>B145</f>
        <v>0.00546448087431694</v>
      </c>
    </row>
    <row r="7">
      <c r="A7" t="inlineStr">
        <is>
          <t>ESOP 15% own %</t>
        </is>
      </c>
      <c r="B7">
        <f>B167</f>
        <v>0.008130081300813009</v>
      </c>
      <c r="C7">
        <f>B189</f>
        <v>0.006993006993006993</v>
      </c>
      <c r="D7">
        <f>B211</f>
        <v>0.00546448087431694</v>
      </c>
    </row>
    <row r="8">
      <c r="A8" t="inlineStr">
        <is>
          <t>ESOP 11% $ proceeds @ $2B</t>
        </is>
      </c>
      <c r="B8">
        <f>B34</f>
        <v>17107258.6922351</v>
      </c>
      <c r="C8">
        <f>B56</f>
        <v>14719656.494930947</v>
      </c>
      <c r="D8">
        <f>B78</f>
        <v>11507140.736105043</v>
      </c>
    </row>
    <row r="9">
      <c r="A9" t="inlineStr">
        <is>
          <t>ESOP 13% $ proceeds @ $2B</t>
        </is>
      </c>
      <c r="B9">
        <f>B100</f>
        <v>17384971.354333743</v>
      </c>
      <c r="C9">
        <f>B122</f>
        <v>14948857.897953114</v>
      </c>
      <c r="D9">
        <f>B144</f>
        <v>11676568.512005415</v>
      </c>
    </row>
    <row r="10">
      <c r="A10" t="inlineStr">
        <is>
          <t>ESOP 15% $ proceeds @ $2B</t>
        </is>
      </c>
      <c r="B10">
        <f>B166</f>
        <v>17795002.640127916</v>
      </c>
      <c r="C10">
        <f>B188</f>
        <v>15301320.306728624</v>
      </c>
      <c r="D10">
        <f>B210</f>
        <v>11951761.969213229</v>
      </c>
    </row>
    <row r="14">
      <c r="A14" t="inlineStr">
        <is>
          <t>--- Block ESOP=0 PRE=0 ---</t>
        </is>
      </c>
    </row>
    <row r="15">
      <c r="A15" t="inlineStr">
        <is>
          <t>F_PPS</t>
        </is>
      </c>
      <c r="B15">
        <f>Assumptions!$B$55/B22</f>
        <v>32.44129498711273</v>
      </c>
    </row>
    <row r="16">
      <c r="A16" t="inlineStr">
        <is>
          <t>F_prim_sh</t>
        </is>
      </c>
      <c r="B16">
        <f>Assumptions!$B$3/B15</f>
        <v>924747.3016079498</v>
      </c>
    </row>
    <row r="17">
      <c r="A17" t="inlineStr">
        <is>
          <t>D NCP</t>
        </is>
      </c>
      <c r="B17">
        <f>Assumptions!$B$18*(Assumptions!$B$31+Assumptions!$B$3/Assumptions!$B$18)/(Assumptions!$B$31+Assumptions!$B$3/B15)</f>
        <v>57.48587306201434</v>
      </c>
    </row>
    <row r="18">
      <c r="A18" t="inlineStr">
        <is>
          <t>E NCP</t>
        </is>
      </c>
      <c r="B18">
        <f>Assumptions!$B$19*(Assumptions!$B$31+Assumptions!$B$3/Assumptions!$B$19)/(Assumptions!$B$31+Assumptions!$B$3/B15)</f>
        <v>48.74653954961178</v>
      </c>
    </row>
    <row r="19">
      <c r="A19" t="inlineStr">
        <is>
          <t>D total</t>
        </is>
      </c>
      <c r="B19">
        <f>Assumptions!$B$21*Assumptions!$B$20/B17</f>
        <v>1739558.167484426</v>
      </c>
    </row>
    <row r="20">
      <c r="A20" t="inlineStr">
        <is>
          <t>E total</t>
        </is>
      </c>
      <c r="B20">
        <f>Assumptions!$B$23*Assumptions!$B$22/B18</f>
        <v>6154217.408809404</v>
      </c>
    </row>
    <row r="21">
      <c r="A21" t="inlineStr">
        <is>
          <t>ESOP topup</t>
        </is>
      </c>
      <c r="B21">
        <f>MAX(0,Assumptions!$B$52*B23-Assumptions!$B$34)</f>
        <v>0.0</v>
      </c>
    </row>
    <row r="22">
      <c r="A22" t="inlineStr">
        <is>
          <t>Pre-money FD</t>
        </is>
      </c>
      <c r="B22">
        <f>Assumptions!$B$31+(B19-Assumptions!$B$35)+(B20-Assumptions!$B$36)+B21+B25+B26</f>
        <v>36989892.06431799</v>
      </c>
    </row>
    <row r="23">
      <c r="A23" t="inlineStr">
        <is>
          <t>T_F</t>
        </is>
      </c>
      <c r="B23">
        <f>B22+B16</f>
        <v>37914639.36592594</v>
      </c>
    </row>
    <row r="24">
      <c r="A24" t="inlineStr">
        <is>
          <t>FD for Note A cap</t>
        </is>
      </c>
      <c r="B24">
        <f>Assumptions!$B$31+(B19-Assumptions!$B$35)+(B20-Assumptions!$B$36)+B21+B26</f>
        <v>36797236.37648299</v>
      </c>
    </row>
    <row r="25">
      <c r="A25" t="inlineStr">
        <is>
          <t>NA shares</t>
        </is>
      </c>
      <c r="B25">
        <f>Assumptions!$B$25/MIN(Assumptions!$B$26/B24,B15*(1-Assumptions!$B$27))</f>
        <v>192655.68783498945</v>
      </c>
    </row>
    <row r="26">
      <c r="A26" t="inlineStr">
        <is>
          <t>NB shares</t>
        </is>
      </c>
      <c r="B26">
        <f>Assumptions!$B$28/MIN(Assumptions!$B$29/B27,B15*(1-Assumptions!$B$30))</f>
        <v>108793.80018917054</v>
      </c>
    </row>
    <row r="27">
      <c r="A27" t="inlineStr">
        <is>
          <t>FD for Note B cap</t>
        </is>
      </c>
      <c r="B27">
        <f>Assumptions!$B$31+(B19-Assumptions!$B$35)+(B20-Assumptions!$B$36)+B21+B25</f>
        <v>36881098.26412881</v>
      </c>
    </row>
    <row r="28">
      <c r="A28" t="inlineStr">
        <is>
          <t>Branch A</t>
        </is>
      </c>
      <c r="B28" t="str">
        <f>IF(Assumptions!$B$26/B24&lt;B15*(1-Assumptions!$B$27),"cap","discount")</f>
        <v>discount</v>
      </c>
    </row>
    <row r="29">
      <c r="A29" t="inlineStr">
        <is>
          <t>Branch B</t>
        </is>
      </c>
      <c r="B29" t="str">
        <f>IF(Assumptions!$B$29/B27&lt;B15*(1-Assumptions!$B$30),"cap","discount")</f>
        <v>discount</v>
      </c>
    </row>
    <row r="30">
      <c r="A30" t="inlineStr">
        <is>
          <t>Cap-implied PPS A</t>
        </is>
      </c>
      <c r="B30">
        <f>Assumptions!$B$26/B24</f>
        <v>27.175953915905954</v>
      </c>
    </row>
    <row r="31">
      <c r="A31" t="inlineStr">
        <is>
          <t>Conv PPS A (min)</t>
        </is>
      </c>
      <c r="B31">
        <f>MIN(Assumptions!$B$26/B24,B15*(1-Assumptions!$B$27))</f>
        <v>25.95303598969019</v>
      </c>
    </row>
    <row r="32">
      <c r="A32" t="inlineStr">
        <is>
          <t>Per-share @ $2B (all convert, ITM checked)</t>
        </is>
      </c>
      <c r="B32">
        <f>IF((Assumptions!$B$11+Assumptions!$B$32*Assumptions!$B$24)/((B25+B26+Assumptions!$B$47+Assumptions!$B$48+B16+B20+B19+Assumptions!$B$40+Assumptions!$B$39+Assumptions!$B$38+Assumptions!$B$37)+Assumptions!$B$32)&gt;Assumptions!$B$24,(Assumptions!$B$11+Assumptions!$B$32*Assumptions!$B$24)/((B25+B26+Assumptions!$B$47+Assumptions!$B$48+B16+B20+B19+Assumptions!$B$40+Assumptions!$B$39+Assumptions!$B$38+Assumptions!$B$37)+Assumptions!$B$32),Assumptions!$B$11/(B25+B26+Assumptions!$B$47+Assumptions!$B$48+B16+B20+B19+Assumptions!$B$40+Assumptions!$B$39+Assumptions!$B$38+Assumptions!$B$37))</f>
        <v>55.49816256556472</v>
      </c>
    </row>
    <row r="33">
      <c r="A33" t="inlineStr">
        <is>
          <t>Our shares (= $10M / F_PPS)</t>
        </is>
      </c>
      <c r="B33">
        <f>Assumptions!$B$7/B15</f>
        <v>308249.1005359832</v>
      </c>
    </row>
    <row r="34">
      <c r="A34" t="inlineStr">
        <is>
          <t>Our $ proceeds @ $2B</t>
        </is>
      </c>
      <c r="B34">
        <f>B32*B33</f>
        <v>17107258.6922351</v>
      </c>
    </row>
    <row r="35">
      <c r="A35" t="inlineStr">
        <is>
          <t>Own % of T_F</t>
        </is>
      </c>
      <c r="B35">
        <f>B33/B23</f>
        <v>0.008130081300813007</v>
      </c>
    </row>
    <row r="36">
      <c r="A36" t="inlineStr">
        <is>
          <t>--- Block ESOP=0 PRE=1 ---</t>
        </is>
      </c>
    </row>
    <row r="37">
      <c r="A37" t="inlineStr">
        <is>
          <t>F_PPS</t>
        </is>
      </c>
      <c r="B37">
        <f>Assumptions!$B$56/B44</f>
        <v>37.902050277800505</v>
      </c>
    </row>
    <row r="38">
      <c r="A38" t="inlineStr">
        <is>
          <t>F_prim_sh</t>
        </is>
      </c>
      <c r="B38">
        <f>Assumptions!$B$3/B37</f>
        <v>791513.9096728815</v>
      </c>
    </row>
    <row r="39">
      <c r="A39" t="inlineStr">
        <is>
          <t>D NCP</t>
        </is>
      </c>
      <c r="B39">
        <f>Assumptions!$B$18*(Assumptions!$B$31+Assumptions!$B$3/Assumptions!$B$18)/(Assumptions!$B$31+Assumptions!$B$3/B37)</f>
        <v>57.69060830288298</v>
      </c>
    </row>
    <row r="40">
      <c r="A40" t="inlineStr">
        <is>
          <t>E NCP</t>
        </is>
      </c>
      <c r="B40">
        <f>Assumptions!$B$19*(Assumptions!$B$31+Assumptions!$B$3/Assumptions!$B$19)/(Assumptions!$B$31+Assumptions!$B$3/B37)</f>
        <v>48.92014975999228</v>
      </c>
    </row>
    <row r="41">
      <c r="A41" t="inlineStr">
        <is>
          <t>D total</t>
        </is>
      </c>
      <c r="B41">
        <f>Assumptions!$B$21*Assumptions!$B$20/B39</f>
        <v>1733384.7387253619</v>
      </c>
    </row>
    <row r="42">
      <c r="A42" t="inlineStr">
        <is>
          <t>E total</t>
        </is>
      </c>
      <c r="B42">
        <f>Assumptions!$B$23*Assumptions!$B$22/B40</f>
        <v>6132377.022295615</v>
      </c>
    </row>
    <row r="43">
      <c r="A43" t="inlineStr">
        <is>
          <t>ESOP topup</t>
        </is>
      </c>
      <c r="B43">
        <f>MAX(0,Assumptions!$B$52*B45-Assumptions!$B$34)</f>
        <v>0.0</v>
      </c>
    </row>
    <row r="44">
      <c r="A44" t="inlineStr">
        <is>
          <t>Pre-money FD</t>
        </is>
      </c>
      <c r="B44">
        <f>Assumptions!$B$31+(B41-Assumptions!$B$35)+(B42-Assumptions!$B$36)+B43+B47+B48</f>
        <v>36937315.784734465</v>
      </c>
    </row>
    <row r="45">
      <c r="A45" t="inlineStr">
        <is>
          <t>T_F</t>
        </is>
      </c>
      <c r="B45">
        <f>B44+B38</f>
        <v>37728829.694407344</v>
      </c>
    </row>
    <row r="46">
      <c r="A46" t="inlineStr">
        <is>
          <t>FD for Note A cap</t>
        </is>
      </c>
      <c r="B46">
        <f>Assumptions!$B$31+(B41-Assumptions!$B$35)+(B42-Assumptions!$B$36)+B43+B48</f>
        <v>36753548.04451191</v>
      </c>
    </row>
    <row r="47">
      <c r="A47" t="inlineStr">
        <is>
          <t>NA shares</t>
        </is>
      </c>
      <c r="B47">
        <f>Assumptions!$B$25/MIN(Assumptions!$B$26/B46,B37*(1-Assumptions!$B$27))</f>
        <v>183767.74022255954</v>
      </c>
    </row>
    <row r="48">
      <c r="A48" t="inlineStr">
        <is>
          <t>NB shares</t>
        </is>
      </c>
      <c r="B48">
        <f>Assumptions!$B$28/MIN(Assumptions!$B$29/B49,B37*(1-Assumptions!$B$30))</f>
        <v>93119.28349092724</v>
      </c>
    </row>
    <row r="49">
      <c r="A49" t="inlineStr">
        <is>
          <t>FD for Note B cap</t>
        </is>
      </c>
      <c r="B49">
        <f>Assumptions!$B$31+(B41-Assumptions!$B$35)+(B42-Assumptions!$B$36)+B43+B47</f>
        <v>36844196.50124354</v>
      </c>
    </row>
    <row r="50">
      <c r="A50" t="inlineStr">
        <is>
          <t>Branch A</t>
        </is>
      </c>
      <c r="B50" t="str">
        <f>IF(Assumptions!$B$26/B46&lt;B37*(1-Assumptions!$B$27),"cap","discount")</f>
        <v>cap</v>
      </c>
    </row>
    <row r="51">
      <c r="A51" t="inlineStr">
        <is>
          <t>Branch B</t>
        </is>
      </c>
      <c r="B51" t="str">
        <f>IF(Assumptions!$B$29/B49&lt;B37*(1-Assumptions!$B$30),"cap","discount")</f>
        <v>discount</v>
      </c>
    </row>
    <row r="52">
      <c r="A52" t="inlineStr">
        <is>
          <t>Cap-implied PPS A</t>
        </is>
      </c>
      <c r="B52">
        <f>Assumptions!$B$26/B46</f>
        <v>27.20825752084965</v>
      </c>
    </row>
    <row r="53">
      <c r="A53" t="inlineStr">
        <is>
          <t>Conv PPS A (min)</t>
        </is>
      </c>
      <c r="B53">
        <f>MIN(Assumptions!$B$26/B46,B37*(1-Assumptions!$B$27))</f>
        <v>27.20825752084965</v>
      </c>
    </row>
    <row r="54">
      <c r="A54" t="inlineStr">
        <is>
          <t>Per-share @ $2B (all convert, ITM checked)</t>
        </is>
      </c>
      <c r="B54">
        <f>IF((Assumptions!$B$11+Assumptions!$B$32*Assumptions!$B$24)/((B47+B48+Assumptions!$B$47+Assumptions!$B$48+B38+B42+B41+Assumptions!$B$40+Assumptions!$B$39+Assumptions!$B$38+Assumptions!$B$37)+Assumptions!$B$32)&gt;Assumptions!$B$24,(Assumptions!$B$11+Assumptions!$B$32*Assumptions!$B$24)/((B47+B48+Assumptions!$B$47+Assumptions!$B$48+B38+B42+B41+Assumptions!$B$40+Assumptions!$B$39+Assumptions!$B$38+Assumptions!$B$37)+Assumptions!$B$32),Assumptions!$B$11/(B47+B48+Assumptions!$B$47+Assumptions!$B$48+B38+B42+B41+Assumptions!$B$40+Assumptions!$B$39+Assumptions!$B$38+Assumptions!$B$37))</f>
        <v>55.79051605428255</v>
      </c>
    </row>
    <row r="55">
      <c r="A55" t="inlineStr">
        <is>
          <t>Our shares (= $10M / F_PPS)</t>
        </is>
      </c>
      <c r="B55">
        <f>Assumptions!$B$7/B37</f>
        <v>263837.9698909605</v>
      </c>
    </row>
    <row r="56">
      <c r="A56" t="inlineStr">
        <is>
          <t>Our $ proceeds @ $2B</t>
        </is>
      </c>
      <c r="B56">
        <f>B54*B55</f>
        <v>14719656.494930947</v>
      </c>
    </row>
    <row r="57">
      <c r="A57" t="inlineStr">
        <is>
          <t>Own % of T_F</t>
        </is>
      </c>
      <c r="B57">
        <f>B55/B45</f>
        <v>0.006993006993006994</v>
      </c>
    </row>
    <row r="58">
      <c r="A58" t="inlineStr">
        <is>
          <t>--- Block ESOP=0 PRE=2 ---</t>
        </is>
      </c>
    </row>
    <row r="59">
      <c r="A59" t="inlineStr">
        <is>
          <t>F_PPS</t>
        </is>
      </c>
      <c r="B59">
        <f>Assumptions!$B$57/B66</f>
        <v>48.808224052305675</v>
      </c>
    </row>
    <row r="60">
      <c r="A60" t="inlineStr">
        <is>
          <t>F_prim_sh</t>
        </is>
      </c>
      <c r="B60">
        <f>Assumptions!$B$3/B59</f>
        <v>614650.5139758884</v>
      </c>
    </row>
    <row r="61">
      <c r="A61" t="inlineStr">
        <is>
          <t>D NCP</t>
        </is>
      </c>
      <c r="B61">
        <f>Assumptions!$B$18*(Assumptions!$B$31+Assumptions!$B$3/Assumptions!$B$18)/(Assumptions!$B$31+Assumptions!$B$3/B59)</f>
        <v>57.96465184883309</v>
      </c>
    </row>
    <row r="62">
      <c r="A62" t="inlineStr">
        <is>
          <t>E NCP</t>
        </is>
      </c>
      <c r="B62">
        <f>Assumptions!$B$19*(Assumptions!$B$31+Assumptions!$B$3/Assumptions!$B$19)/(Assumptions!$B$31+Assumptions!$B$3/B59)</f>
        <v>49.152531627735016</v>
      </c>
    </row>
    <row r="63">
      <c r="A63" t="inlineStr">
        <is>
          <t>D total</t>
        </is>
      </c>
      <c r="B63">
        <f>Assumptions!$B$21*Assumptions!$B$20/B61</f>
        <v>1725189.6942431673</v>
      </c>
    </row>
    <row r="64">
      <c r="A64" t="inlineStr">
        <is>
          <t>E total</t>
        </is>
      </c>
      <c r="B64">
        <f>Assumptions!$B$23*Assumptions!$B$22/B62</f>
        <v>6103384.553770563</v>
      </c>
    </row>
    <row r="65">
      <c r="A65" t="inlineStr">
        <is>
          <t>ESOP topup</t>
        </is>
      </c>
      <c r="B65">
        <f>MAX(0,Assumptions!$B$52*B67-Assumptions!$B$34)</f>
        <v>0.0</v>
      </c>
    </row>
    <row r="66">
      <c r="A66" t="inlineStr">
        <is>
          <t>Pre-money FD</t>
        </is>
      </c>
      <c r="B66">
        <f>Assumptions!$B$31+(B63-Assumptions!$B$35)+(B64-Assumptions!$B$36)+B65+B69+B70</f>
        <v>36879030.8385533</v>
      </c>
    </row>
    <row r="67">
      <c r="A67" t="inlineStr">
        <is>
          <t>T_F</t>
        </is>
      </c>
      <c r="B67">
        <f>B66+B60</f>
        <v>37493681.35252919</v>
      </c>
    </row>
    <row r="68">
      <c r="A68" t="inlineStr">
        <is>
          <t>FD for Note A cap</t>
        </is>
      </c>
      <c r="B68">
        <f>Assumptions!$B$31+(B63-Assumptions!$B$35)+(B64-Assumptions!$B$36)+B65+B70</f>
        <v>36695553.07318737</v>
      </c>
    </row>
    <row r="69">
      <c r="A69" t="inlineStr">
        <is>
          <t>NA shares</t>
        </is>
      </c>
      <c r="B69">
        <f>Assumptions!$B$25/MIN(Assumptions!$B$26/B68,B59*(1-Assumptions!$B$27))</f>
        <v>183477.76536593685</v>
      </c>
    </row>
    <row r="70">
      <c r="A70" t="inlineStr">
        <is>
          <t>NB shares</t>
        </is>
      </c>
      <c r="B70">
        <f>Assumptions!$B$28/MIN(Assumptions!$B$29/B71,B59*(1-Assumptions!$B$30))</f>
        <v>72311.82517363394</v>
      </c>
    </row>
    <row r="71">
      <c r="A71" t="inlineStr">
        <is>
          <t>FD for Note B cap</t>
        </is>
      </c>
      <c r="B71">
        <f>Assumptions!$B$31+(B63-Assumptions!$B$35)+(B64-Assumptions!$B$36)+B65+B69</f>
        <v>36806719.01337967</v>
      </c>
    </row>
    <row r="72">
      <c r="A72" t="inlineStr">
        <is>
          <t>Branch A</t>
        </is>
      </c>
      <c r="B72" t="str">
        <f>IF(Assumptions!$B$26/B68&lt;B59*(1-Assumptions!$B$27),"cap","discount")</f>
        <v>cap</v>
      </c>
    </row>
    <row r="73">
      <c r="A73" t="inlineStr">
        <is>
          <t>Branch B</t>
        </is>
      </c>
      <c r="B73" t="str">
        <f>IF(Assumptions!$B$29/B71&lt;B59*(1-Assumptions!$B$30),"cap","discount")</f>
        <v>discount</v>
      </c>
    </row>
    <row r="74">
      <c r="A74" t="inlineStr">
        <is>
          <t>Cap-implied PPS A</t>
        </is>
      </c>
      <c r="B74">
        <f>Assumptions!$B$26/B68</f>
        <v>27.251258429203997</v>
      </c>
    </row>
    <row r="75">
      <c r="A75" t="inlineStr">
        <is>
          <t>Conv PPS A (min)</t>
        </is>
      </c>
      <c r="B75">
        <f>MIN(Assumptions!$B$26/B68,B59*(1-Assumptions!$B$27))</f>
        <v>27.251258429203997</v>
      </c>
    </row>
    <row r="76">
      <c r="A76" t="inlineStr">
        <is>
          <t>Per-share @ $2B (all convert, ITM checked)</t>
        </is>
      </c>
      <c r="B76">
        <f>IF((Assumptions!$B$11+Assumptions!$B$32*Assumptions!$B$24)/((B69+B70+Assumptions!$B$47+Assumptions!$B$48+B60+B64+B63+Assumptions!$B$40+Assumptions!$B$39+Assumptions!$B$38+Assumptions!$B$37)+Assumptions!$B$32)&gt;Assumptions!$B$24,(Assumptions!$B$11+Assumptions!$B$32*Assumptions!$B$24)/((B69+B70+Assumptions!$B$47+Assumptions!$B$48+B60+B64+B63+Assumptions!$B$40+Assumptions!$B$39+Assumptions!$B$38+Assumptions!$B$37)+Assumptions!$B$32),Assumptions!$B$11/(B69+B70+Assumptions!$B$47+Assumptions!$B$48+B60+B64+B63+Assumptions!$B$40+Assumptions!$B$39+Assumptions!$B$38+Assumptions!$B$37))</f>
        <v>56.16431032492286</v>
      </c>
    </row>
    <row r="77">
      <c r="A77" t="inlineStr">
        <is>
          <t>Our shares (= $10M / F_PPS)</t>
        </is>
      </c>
      <c r="B77">
        <f>Assumptions!$B$7/B59</f>
        <v>204883.50465862945</v>
      </c>
    </row>
    <row r="78">
      <c r="A78" t="inlineStr">
        <is>
          <t>Our $ proceeds @ $2B</t>
        </is>
      </c>
      <c r="B78">
        <f>B76*B77</f>
        <v>11507140.736105043</v>
      </c>
    </row>
    <row r="79">
      <c r="A79" t="inlineStr">
        <is>
          <t>Own % of T_F</t>
        </is>
      </c>
      <c r="B79">
        <f>B77/B67</f>
        <v>0.00546448087431694</v>
      </c>
    </row>
    <row r="80">
      <c r="A80" t="inlineStr">
        <is>
          <t>--- Block ESOP=1 PRE=0 ---</t>
        </is>
      </c>
    </row>
    <row r="81">
      <c r="A81" t="inlineStr">
        <is>
          <t>F_PPS</t>
        </is>
      </c>
      <c r="B81">
        <f>Assumptions!$B$55/B88</f>
        <v>31.901367591152823</v>
      </c>
    </row>
    <row r="82">
      <c r="A82" t="inlineStr">
        <is>
          <t>F_prim_sh</t>
        </is>
      </c>
      <c r="B82">
        <f>Assumptions!$B$3/B81</f>
        <v>940398.5554625524</v>
      </c>
    </row>
    <row r="83">
      <c r="A83" t="inlineStr">
        <is>
          <t>D NCP</t>
        </is>
      </c>
      <c r="B83">
        <f>Assumptions!$B$18*(Assumptions!$B$31+Assumptions!$B$3/Assumptions!$B$18)/(Assumptions!$B$31+Assumptions!$B$3/B81)</f>
        <v>57.461917649610925</v>
      </c>
    </row>
    <row r="84">
      <c r="A84" t="inlineStr">
        <is>
          <t>E NCP</t>
        </is>
      </c>
      <c r="B84">
        <f>Assumptions!$B$19*(Assumptions!$B$31+Assumptions!$B$3/Assumptions!$B$19)/(Assumptions!$B$31+Assumptions!$B$3/B81)</f>
        <v>48.72622597697298</v>
      </c>
    </row>
    <row r="85">
      <c r="A85" t="inlineStr">
        <is>
          <t>D total</t>
        </is>
      </c>
      <c r="B85">
        <f>Assumptions!$B$21*Assumptions!$B$20/B83</f>
        <v>1740283.3753265298</v>
      </c>
    </row>
    <row r="86">
      <c r="A86" t="inlineStr">
        <is>
          <t>E total</t>
        </is>
      </c>
      <c r="B86">
        <f>Assumptions!$B$23*Assumptions!$B$22/B84</f>
        <v>6156783.052666738</v>
      </c>
    </row>
    <row r="87">
      <c r="A87" t="inlineStr">
        <is>
          <t>ESOP topup</t>
        </is>
      </c>
      <c r="B87">
        <f>MAX(0,Assumptions!$B$53*B89-Assumptions!$B$34)</f>
        <v>617657.300615401</v>
      </c>
    </row>
    <row r="88">
      <c r="A88" t="inlineStr">
        <is>
          <t>Pre-money FD</t>
        </is>
      </c>
      <c r="B88">
        <f>Assumptions!$B$31+(B85-Assumptions!$B$35)+(B86-Assumptions!$B$36)+B87+B91+B92</f>
        <v>37615942.2185021</v>
      </c>
    </row>
    <row r="89">
      <c r="A89" t="inlineStr">
        <is>
          <t>T_F</t>
        </is>
      </c>
      <c r="B89">
        <f>B88+B82</f>
        <v>38556340.77396465</v>
      </c>
    </row>
    <row r="90">
      <c r="A90" t="inlineStr">
        <is>
          <t>FD for Note A cap</t>
        </is>
      </c>
      <c r="B90">
        <f>Assumptions!$B$31+(B85-Assumptions!$B$35)+(B86-Assumptions!$B$36)+B87+B92</f>
        <v>37420025.8527807</v>
      </c>
    </row>
    <row r="91">
      <c r="A91" t="inlineStr">
        <is>
          <t>NA shares</t>
        </is>
      </c>
      <c r="B91">
        <f>Assumptions!$B$25/MIN(Assumptions!$B$26/B90,B81*(1-Assumptions!$B$27))</f>
        <v>195916.36572136488</v>
      </c>
    </row>
    <row r="92">
      <c r="A92" t="inlineStr">
        <is>
          <t>NB shares</t>
        </is>
      </c>
      <c r="B92">
        <f>Assumptions!$B$28/MIN(Assumptions!$B$29/B93,B81*(1-Assumptions!$B$30))</f>
        <v>110635.12417206488</v>
      </c>
    </row>
    <row r="93">
      <c r="A93" t="inlineStr">
        <is>
          <t>FD for Note B cap</t>
        </is>
      </c>
      <c r="B93">
        <f>Assumptions!$B$31+(B85-Assumptions!$B$35)+(B86-Assumptions!$B$36)+B87+B91</f>
        <v>37505307.09433</v>
      </c>
    </row>
    <row r="94">
      <c r="A94" t="inlineStr">
        <is>
          <t>Branch A</t>
        </is>
      </c>
      <c r="B94" t="str">
        <f>IF(Assumptions!$B$26/B90&lt;B81*(1-Assumptions!$B$27),"cap","discount")</f>
        <v>discount</v>
      </c>
    </row>
    <row r="95">
      <c r="A95" t="inlineStr">
        <is>
          <t>Branch B</t>
        </is>
      </c>
      <c r="B95" t="str">
        <f>IF(Assumptions!$B$29/B93&lt;B81*(1-Assumptions!$B$30),"cap","discount")</f>
        <v>discount</v>
      </c>
    </row>
    <row r="96">
      <c r="A96" t="inlineStr">
        <is>
          <t>Cap-implied PPS A</t>
        </is>
      </c>
      <c r="B96">
        <f>Assumptions!$B$26/B90</f>
        <v>26.723658715101863</v>
      </c>
    </row>
    <row r="97">
      <c r="A97" t="inlineStr">
        <is>
          <t>Conv PPS A (min)</t>
        </is>
      </c>
      <c r="B97">
        <f>MIN(Assumptions!$B$26/B90,B81*(1-Assumptions!$B$27))</f>
        <v>25.521094072922285</v>
      </c>
    </row>
    <row r="98">
      <c r="A98" t="inlineStr">
        <is>
          <t>Per-share @ $2B (all convert, ITM checked)</t>
        </is>
      </c>
      <c r="B98">
        <f>IF((Assumptions!$B$11+Assumptions!$B$32*Assumptions!$B$24)/((B91+B92+Assumptions!$B$47+Assumptions!$B$48+B82+B86+B85+Assumptions!$B$40+Assumptions!$B$39+Assumptions!$B$38+Assumptions!$B$37)+Assumptions!$B$32)&gt;Assumptions!$B$24,(Assumptions!$B$11+Assumptions!$B$32*Assumptions!$B$24)/((B91+B92+Assumptions!$B$47+Assumptions!$B$48+B82+B86+B85+Assumptions!$B$40+Assumptions!$B$39+Assumptions!$B$38+Assumptions!$B$37)+Assumptions!$B$32),Assumptions!$B$11/(B91+B92+Assumptions!$B$47+Assumptions!$B$48+B82+B86+B85+Assumptions!$B$40+Assumptions!$B$39+Assumptions!$B$38+Assumptions!$B$37))</f>
        <v>55.46043617362628</v>
      </c>
    </row>
    <row r="99">
      <c r="A99" t="inlineStr">
        <is>
          <t>Our shares (= $10M / F_PPS)</t>
        </is>
      </c>
      <c r="B99">
        <f>Assumptions!$B$7/B81</f>
        <v>313466.1851541841</v>
      </c>
    </row>
    <row r="100">
      <c r="A100" t="inlineStr">
        <is>
          <t>Our $ proceeds @ $2B</t>
        </is>
      </c>
      <c r="B100">
        <f>B98*B99</f>
        <v>17384971.354333743</v>
      </c>
    </row>
    <row r="101">
      <c r="A101" t="inlineStr">
        <is>
          <t>Own % of T_F</t>
        </is>
      </c>
      <c r="B101">
        <f>B99/B89</f>
        <v>0.008130081300813007</v>
      </c>
    </row>
    <row r="102">
      <c r="A102" t="inlineStr">
        <is>
          <t>--- Block ESOP=1 PRE=1 ---</t>
        </is>
      </c>
    </row>
    <row r="103">
      <c r="A103" t="inlineStr">
        <is>
          <t>F_PPS</t>
        </is>
      </c>
      <c r="B103">
        <f>Assumptions!$B$56/B110</f>
        <v>37.29976025659984</v>
      </c>
    </row>
    <row r="104">
      <c r="A104" t="inlineStr">
        <is>
          <t>F_prim_sh</t>
        </is>
      </c>
      <c r="B104">
        <f>Assumptions!$B$3/B103</f>
        <v>804294.7137895286</v>
      </c>
    </row>
    <row r="105">
      <c r="A105" t="inlineStr">
        <is>
          <t>D NCP</t>
        </is>
      </c>
      <c r="B105">
        <f>Assumptions!$B$18*(Assumptions!$B$31+Assumptions!$B$3/Assumptions!$B$18)/(Assumptions!$B$31+Assumptions!$B$3/B103)</f>
        <v>57.67090525853075</v>
      </c>
    </row>
    <row r="106">
      <c r="A106" t="inlineStr">
        <is>
          <t>E NCP</t>
        </is>
      </c>
      <c r="B106">
        <f>Assumptions!$B$19*(Assumptions!$B$31+Assumptions!$B$3/Assumptions!$B$19)/(Assumptions!$B$31+Assumptions!$B$3/B103)</f>
        <v>48.90344208592203</v>
      </c>
    </row>
    <row r="107">
      <c r="A107" t="inlineStr">
        <is>
          <t>D total</t>
        </is>
      </c>
      <c r="B107">
        <f>Assumptions!$B$21*Assumptions!$B$20/B105</f>
        <v>1733976.9429960158</v>
      </c>
    </row>
    <row r="108">
      <c r="A108" t="inlineStr">
        <is>
          <t>E total</t>
        </is>
      </c>
      <c r="B108">
        <f>Assumptions!$B$23*Assumptions!$B$22/B106</f>
        <v>6134472.125466151</v>
      </c>
    </row>
    <row r="109">
      <c r="A109" t="inlineStr">
        <is>
          <t>ESOP topup</t>
        </is>
      </c>
      <c r="B109">
        <f>MAX(0,Assumptions!$B$53*B111-Assumptions!$B$34)</f>
        <v>589279.243115766</v>
      </c>
    </row>
    <row r="110">
      <c r="A110" t="inlineStr">
        <is>
          <t>Pre-money FD</t>
        </is>
      </c>
      <c r="B110">
        <f>Assumptions!$B$31+(B107-Assumptions!$B$35)+(B108-Assumptions!$B$36)+B109+B113+B114</f>
        <v>37533753.310178</v>
      </c>
    </row>
    <row r="111">
      <c r="A111" t="inlineStr">
        <is>
          <t>T_F</t>
        </is>
      </c>
      <c r="B111">
        <f>B110+B104</f>
        <v>38338048.02396753</v>
      </c>
    </row>
    <row r="112">
      <c r="A112" t="inlineStr">
        <is>
          <t>FD for Note A cap</t>
        </is>
      </c>
      <c r="B112">
        <f>Assumptions!$B$31+(B107-Assumptions!$B$35)+(B108-Assumptions!$B$36)+B109+B114</f>
        <v>37347018.2190825</v>
      </c>
    </row>
    <row r="113">
      <c r="A113" t="inlineStr">
        <is>
          <t>NA shares</t>
        </is>
      </c>
      <c r="B113">
        <f>Assumptions!$B$25/MIN(Assumptions!$B$26/B112,B103*(1-Assumptions!$B$27))</f>
        <v>186735.09109541247</v>
      </c>
    </row>
    <row r="114">
      <c r="A114" t="inlineStr">
        <is>
          <t>NB shares</t>
        </is>
      </c>
      <c r="B114">
        <f>Assumptions!$B$28/MIN(Assumptions!$B$29/B115,B103*(1-Assumptions!$B$30))</f>
        <v>94622.90750465017</v>
      </c>
    </row>
    <row r="115">
      <c r="A115" t="inlineStr">
        <is>
          <t>FD for Note B cap</t>
        </is>
      </c>
      <c r="B115">
        <f>Assumptions!$B$31+(B107-Assumptions!$B$35)+(B108-Assumptions!$B$36)+B109+B113</f>
        <v>37439130.40267326</v>
      </c>
    </row>
    <row r="116">
      <c r="A116" t="inlineStr">
        <is>
          <t>Branch A</t>
        </is>
      </c>
      <c r="B116" t="str">
        <f>IF(Assumptions!$B$26/B112&lt;B103*(1-Assumptions!$B$27),"cap","discount")</f>
        <v>cap</v>
      </c>
    </row>
    <row r="117">
      <c r="A117" t="inlineStr">
        <is>
          <t>Branch B</t>
        </is>
      </c>
      <c r="B117" t="str">
        <f>IF(Assumptions!$B$29/B115&lt;B103*(1-Assumptions!$B$30),"cap","discount")</f>
        <v>discount</v>
      </c>
    </row>
    <row r="118">
      <c r="A118" t="inlineStr">
        <is>
          <t>Cap-implied PPS A</t>
        </is>
      </c>
      <c r="B118">
        <f>Assumptions!$B$26/B112</f>
        <v>26.775899327059236</v>
      </c>
    </row>
    <row r="119">
      <c r="A119" t="inlineStr">
        <is>
          <t>Conv PPS A (min)</t>
        </is>
      </c>
      <c r="B119">
        <f>MIN(Assumptions!$B$26/B112,B103*(1-Assumptions!$B$27))</f>
        <v>26.775899327059236</v>
      </c>
    </row>
    <row r="120">
      <c r="A120" t="inlineStr">
        <is>
          <t>Per-share @ $2B (all convert, ITM checked)</t>
        </is>
      </c>
      <c r="B120">
        <f>IF((Assumptions!$B$11+Assumptions!$B$32*Assumptions!$B$24)/((B113+B114+Assumptions!$B$47+Assumptions!$B$48+B104+B108+B107+Assumptions!$B$40+Assumptions!$B$39+Assumptions!$B$38+Assumptions!$B$37)+Assumptions!$B$32)&gt;Assumptions!$B$24,(Assumptions!$B$11+Assumptions!$B$32*Assumptions!$B$24)/((B113+B114+Assumptions!$B$47+Assumptions!$B$48+B104+B108+B107+Assumptions!$B$40+Assumptions!$B$39+Assumptions!$B$38+Assumptions!$B$37)+Assumptions!$B$32),Assumptions!$B$11/(B113+B114+Assumptions!$B$47+Assumptions!$B$48+B104+B108+B107+Assumptions!$B$40+Assumptions!$B$39+Assumptions!$B$38+Assumptions!$B$37))</f>
        <v>55.758881570363016</v>
      </c>
    </row>
    <row r="121">
      <c r="A121" t="inlineStr">
        <is>
          <t>Our shares (= $10M / F_PPS)</t>
        </is>
      </c>
      <c r="B121">
        <f>Assumptions!$B$7/B103</f>
        <v>268098.23792984284</v>
      </c>
    </row>
    <row r="122">
      <c r="A122" t="inlineStr">
        <is>
          <t>Our $ proceeds @ $2B</t>
        </is>
      </c>
      <c r="B122">
        <f>B120*B121</f>
        <v>14948857.897953114</v>
      </c>
    </row>
    <row r="123">
      <c r="A123" t="inlineStr">
        <is>
          <t>Own % of T_F</t>
        </is>
      </c>
      <c r="B123">
        <f>B121/B111</f>
        <v>0.006993006993006993</v>
      </c>
    </row>
    <row r="124">
      <c r="A124" t="inlineStr">
        <is>
          <t>--- Block ESOP=1 PRE=2 ---</t>
        </is>
      </c>
    </row>
    <row r="125">
      <c r="A125" t="inlineStr">
        <is>
          <t>F_PPS</t>
        </is>
      </c>
      <c r="B125">
        <f>Assumptions!$B$57/B132</f>
        <v>48.07910904383243</v>
      </c>
    </row>
    <row r="126">
      <c r="A126" t="inlineStr">
        <is>
          <t>F_prim_sh</t>
        </is>
      </c>
      <c r="B126">
        <f>Assumptions!$B$3/B125</f>
        <v>623971.6291882574</v>
      </c>
    </row>
    <row r="127">
      <c r="A127" t="inlineStr">
        <is>
          <t>D NCP</t>
        </is>
      </c>
      <c r="B127">
        <f>Assumptions!$B$18*(Assumptions!$B$31+Assumptions!$B$3/Assumptions!$B$18)/(Assumptions!$B$31+Assumptions!$B$3/B125)</f>
        <v>57.950144137766976</v>
      </c>
    </row>
    <row r="128">
      <c r="A128" t="inlineStr">
        <is>
          <t>E NCP</t>
        </is>
      </c>
      <c r="B128">
        <f>Assumptions!$B$19*(Assumptions!$B$31+Assumptions!$B$3/Assumptions!$B$19)/(Assumptions!$B$31+Assumptions!$B$3/B125)</f>
        <v>49.14022946246224</v>
      </c>
    </row>
    <row r="129">
      <c r="A129" t="inlineStr">
        <is>
          <t>D total</t>
        </is>
      </c>
      <c r="B129">
        <f>Assumptions!$B$21*Assumptions!$B$20/B127</f>
        <v>1725621.5922822612</v>
      </c>
    </row>
    <row r="130">
      <c r="A130" t="inlineStr">
        <is>
          <t>E total</t>
        </is>
      </c>
      <c r="B130">
        <f>Assumptions!$B$23*Assumptions!$B$22/B128</f>
        <v>6104912.524769583</v>
      </c>
    </row>
    <row r="131">
      <c r="A131" t="inlineStr">
        <is>
          <t>ESOP topup</t>
        </is>
      </c>
      <c r="B131">
        <f>MAX(0,Assumptions!$B$53*B133-Assumptions!$B$34)</f>
        <v>553428.0194628891</v>
      </c>
    </row>
    <row r="132">
      <c r="A132" t="inlineStr">
        <is>
          <t>Pre-money FD</t>
        </is>
      </c>
      <c r="B132">
        <f>Assumptions!$B$31+(B129-Assumptions!$B$35)+(B130-Assumptions!$B$36)+B131+B135+B136</f>
        <v>37438297.75129544</v>
      </c>
    </row>
    <row r="133">
      <c r="A133" t="inlineStr">
        <is>
          <t>T_F</t>
        </is>
      </c>
      <c r="B133">
        <f>B132+B126</f>
        <v>38062269.380483694</v>
      </c>
    </row>
    <row r="134">
      <c r="A134" t="inlineStr">
        <is>
          <t>FD for Note A cap</t>
        </is>
      </c>
      <c r="B134">
        <f>Assumptions!$B$31+(B129-Assumptions!$B$35)+(B130-Assumptions!$B$36)+B131+B136</f>
        <v>37252037.56347811</v>
      </c>
    </row>
    <row r="135">
      <c r="A135" t="inlineStr">
        <is>
          <t>NA shares</t>
        </is>
      </c>
      <c r="B135">
        <f>Assumptions!$B$25/MIN(Assumptions!$B$26/B134,B125*(1-Assumptions!$B$27))</f>
        <v>186260.18781739057</v>
      </c>
    </row>
    <row r="136">
      <c r="A136" t="inlineStr">
        <is>
          <t>NB shares</t>
        </is>
      </c>
      <c r="B136">
        <f>Assumptions!$B$28/MIN(Assumptions!$B$29/B137,B125*(1-Assumptions!$B$30))</f>
        <v>73408.42696332454</v>
      </c>
    </row>
    <row r="137">
      <c r="A137" t="inlineStr">
        <is>
          <t>FD for Note B cap</t>
        </is>
      </c>
      <c r="B137">
        <f>Assumptions!$B$31+(B129-Assumptions!$B$35)+(B130-Assumptions!$B$36)+B131+B135</f>
        <v>37364889.324332185</v>
      </c>
    </row>
    <row r="138">
      <c r="A138" t="inlineStr">
        <is>
          <t>Branch A</t>
        </is>
      </c>
      <c r="B138" t="str">
        <f>IF(Assumptions!$B$26/B134&lt;B125*(1-Assumptions!$B$27),"cap","discount")</f>
        <v>cap</v>
      </c>
    </row>
    <row r="139">
      <c r="A139" t="inlineStr">
        <is>
          <t>Branch B</t>
        </is>
      </c>
      <c r="B139" t="str">
        <f>IF(Assumptions!$B$29/B137&lt;B125*(1-Assumptions!$B$30),"cap","discount")</f>
        <v>discount</v>
      </c>
    </row>
    <row r="140">
      <c r="A140" t="inlineStr">
        <is>
          <t>Cap-implied PPS A</t>
        </is>
      </c>
      <c r="B140">
        <f>Assumptions!$B$26/B134</f>
        <v>26.84416921613973</v>
      </c>
    </row>
    <row r="141">
      <c r="A141" t="inlineStr">
        <is>
          <t>Conv PPS A (min)</t>
        </is>
      </c>
      <c r="B141">
        <f>MIN(Assumptions!$B$26/B134,B125*(1-Assumptions!$B$27))</f>
        <v>26.84416921613973</v>
      </c>
    </row>
    <row r="142">
      <c r="A142" t="inlineStr">
        <is>
          <t>Per-share @ $2B (all convert, ITM checked)</t>
        </is>
      </c>
      <c r="B142">
        <f>IF((Assumptions!$B$11+Assumptions!$B$32*Assumptions!$B$24)/((B135+B136+Assumptions!$B$47+Assumptions!$B$48+B126+B130+B129+Assumptions!$B$40+Assumptions!$B$39+Assumptions!$B$38+Assumptions!$B$37)+Assumptions!$B$32)&gt;Assumptions!$B$24,(Assumptions!$B$11+Assumptions!$B$32*Assumptions!$B$24)/((B135+B136+Assumptions!$B$47+Assumptions!$B$48+B126+B130+B129+Assumptions!$B$40+Assumptions!$B$39+Assumptions!$B$38+Assumptions!$B$37)+Assumptions!$B$32),Assumptions!$B$11/(B135+B136+Assumptions!$B$47+Assumptions!$B$48+B126+B130+B129+Assumptions!$B$40+Assumptions!$B$39+Assumptions!$B$38+Assumptions!$B$37))</f>
        <v>56.139901074648854</v>
      </c>
    </row>
    <row r="143">
      <c r="A143" t="inlineStr">
        <is>
          <t>Our shares (= $10M / F_PPS)</t>
        </is>
      </c>
      <c r="B143">
        <f>Assumptions!$B$7/B125</f>
        <v>207990.54306275243</v>
      </c>
    </row>
    <row r="144">
      <c r="A144" t="inlineStr">
        <is>
          <t>Our $ proceeds @ $2B</t>
        </is>
      </c>
      <c r="B144">
        <f>B142*B143</f>
        <v>11676568.512005415</v>
      </c>
    </row>
    <row r="145">
      <c r="A145" t="inlineStr">
        <is>
          <t>Own % of T_F</t>
        </is>
      </c>
      <c r="B145">
        <f>B143/B133</f>
        <v>0.00546448087431694</v>
      </c>
    </row>
    <row r="146">
      <c r="A146" t="inlineStr">
        <is>
          <t>--- Block ESOP=2 PRE=0 ---</t>
        </is>
      </c>
    </row>
    <row r="147">
      <c r="A147" t="inlineStr">
        <is>
          <t>F_PPS</t>
        </is>
      </c>
      <c r="B147">
        <f>Assumptions!$B$55/B154</f>
        <v>31.134996624146577</v>
      </c>
    </row>
    <row r="148">
      <c r="A148" t="inlineStr">
        <is>
          <t>F_prim_sh</t>
        </is>
      </c>
      <c r="B148">
        <f>Assumptions!$B$3/B147</f>
        <v>963545.953197042</v>
      </c>
    </row>
    <row r="149">
      <c r="A149" t="inlineStr">
        <is>
          <t>D NCP</t>
        </is>
      </c>
      <c r="B149">
        <f>Assumptions!$B$18*(Assumptions!$B$31+Assumptions!$B$3/Assumptions!$B$18)/(Assumptions!$B$31+Assumptions!$B$3/B147)</f>
        <v>57.42652540565226</v>
      </c>
    </row>
    <row r="150">
      <c r="A150" t="inlineStr">
        <is>
          <t>E NCP</t>
        </is>
      </c>
      <c r="B150">
        <f>Assumptions!$B$19*(Assumptions!$B$31+Assumptions!$B$3/Assumptions!$B$19)/(Assumptions!$B$31+Assumptions!$B$3/B147)</f>
        <v>48.69621426578231</v>
      </c>
    </row>
    <row r="151">
      <c r="A151" t="inlineStr">
        <is>
          <t>D total</t>
        </is>
      </c>
      <c r="B151">
        <f>Assumptions!$B$21*Assumptions!$B$20/B149</f>
        <v>1741355.9203454335</v>
      </c>
    </row>
    <row r="152">
      <c r="A152" t="inlineStr">
        <is>
          <t>E total</t>
        </is>
      </c>
      <c r="B152">
        <f>Assumptions!$B$23*Assumptions!$B$22/B150</f>
        <v>6160577.507690114</v>
      </c>
    </row>
    <row r="153">
      <c r="A153" t="inlineStr">
        <is>
          <t>ESOP topup</t>
        </is>
      </c>
      <c r="B153">
        <f>MAX(0,Assumptions!$B$54*B155-Assumptions!$B$34)</f>
        <v>1531140.612161805</v>
      </c>
    </row>
    <row r="154">
      <c r="A154" t="inlineStr">
        <is>
          <t>Pre-money FD</t>
        </is>
      </c>
      <c r="B154">
        <f>Assumptions!$B$31+(B151-Assumptions!$B$35)+(B152-Assumptions!$B$36)+B153+B157+B158</f>
        <v>38541838.12788168</v>
      </c>
    </row>
    <row r="155">
      <c r="A155" t="inlineStr">
        <is>
          <t>T_F</t>
        </is>
      </c>
      <c r="B155">
        <f>B154+B148</f>
        <v>39505384.08107872</v>
      </c>
    </row>
    <row r="156">
      <c r="A156" t="inlineStr">
        <is>
          <t>FD for Note A cap</t>
        </is>
      </c>
      <c r="B156">
        <f>Assumptions!$B$31+(B151-Assumptions!$B$35)+(B152-Assumptions!$B$36)+B153+B158</f>
        <v>38341099.38763228</v>
      </c>
    </row>
    <row r="157">
      <c r="A157" t="inlineStr">
        <is>
          <t>NA shares</t>
        </is>
      </c>
      <c r="B157">
        <f>Assumptions!$B$25/MIN(Assumptions!$B$26/B156,B147*(1-Assumptions!$B$27))</f>
        <v>200738.74024938364</v>
      </c>
    </row>
    <row r="158">
      <c r="A158" t="inlineStr">
        <is>
          <t>NB shares</t>
        </is>
      </c>
      <c r="B158">
        <f>Assumptions!$B$28/MIN(Assumptions!$B$29/B159,B147*(1-Assumptions!$B$30))</f>
        <v>113358.34743494607</v>
      </c>
    </row>
    <row r="159">
      <c r="A159" t="inlineStr">
        <is>
          <t>FD for Note B cap</t>
        </is>
      </c>
      <c r="B159">
        <f>Assumptions!$B$31+(B151-Assumptions!$B$35)+(B152-Assumptions!$B$36)+B153+B157</f>
        <v>38428479.780446716</v>
      </c>
    </row>
    <row r="160">
      <c r="A160" t="inlineStr">
        <is>
          <t>Branch A</t>
        </is>
      </c>
      <c r="B160" t="str">
        <f>IF(Assumptions!$B$26/B156&lt;B147*(1-Assumptions!$B$27),"cap","discount")</f>
        <v>discount</v>
      </c>
    </row>
    <row r="161">
      <c r="A161" t="inlineStr">
        <is>
          <t>Branch B</t>
        </is>
      </c>
      <c r="B161" t="str">
        <f>IF(Assumptions!$B$29/B159&lt;B147*(1-Assumptions!$B$30),"cap","discount")</f>
        <v>discount</v>
      </c>
    </row>
    <row r="162">
      <c r="A162" t="inlineStr">
        <is>
          <t>Cap-implied PPS A</t>
        </is>
      </c>
      <c r="B162">
        <f>Assumptions!$B$26/B156</f>
        <v>26.08167256473013</v>
      </c>
    </row>
    <row r="163">
      <c r="A163" t="inlineStr">
        <is>
          <t>Conv PPS A (min)</t>
        </is>
      </c>
      <c r="B163">
        <f>MIN(Assumptions!$B$26/B156,B147*(1-Assumptions!$B$27))</f>
        <v>24.907997299317277</v>
      </c>
    </row>
    <row r="164">
      <c r="A164" t="inlineStr">
        <is>
          <t>Per-share @ $2B (all convert, ITM checked)</t>
        </is>
      </c>
      <c r="B164">
        <f>IF((Assumptions!$B$11+Assumptions!$B$32*Assumptions!$B$24)/((B157+B158+Assumptions!$B$47+Assumptions!$B$48+B148+B152+B151+Assumptions!$B$40+Assumptions!$B$39+Assumptions!$B$38+Assumptions!$B$37)+Assumptions!$B$32)&gt;Assumptions!$B$24,(Assumptions!$B$11+Assumptions!$B$32*Assumptions!$B$24)/((B157+B158+Assumptions!$B$47+Assumptions!$B$48+B148+B152+B151+Assumptions!$B$40+Assumptions!$B$39+Assumptions!$B$38+Assumptions!$B$37)+Assumptions!$B$32),Assumptions!$B$11/(B157+B158+Assumptions!$B$47+Assumptions!$B$48+B148+B152+B151+Assumptions!$B$40+Assumptions!$B$39+Assumptions!$B$38+Assumptions!$B$37))</f>
        <v>55.40473471270621</v>
      </c>
    </row>
    <row r="165">
      <c r="A165" t="inlineStr">
        <is>
          <t>Our shares (= $10M / F_PPS)</t>
        </is>
      </c>
      <c r="B165">
        <f>Assumptions!$B$7/B147</f>
        <v>321181.98439901404</v>
      </c>
    </row>
    <row r="166">
      <c r="A166" t="inlineStr">
        <is>
          <t>Our $ proceeds @ $2B</t>
        </is>
      </c>
      <c r="B166">
        <f>B164*B165</f>
        <v>17795002.640127916</v>
      </c>
    </row>
    <row r="167">
      <c r="A167" t="inlineStr">
        <is>
          <t>Own % of T_F</t>
        </is>
      </c>
      <c r="B167">
        <f>B165/B155</f>
        <v>0.008130081300813009</v>
      </c>
    </row>
    <row r="168">
      <c r="A168" t="inlineStr">
        <is>
          <t>--- Block ESOP=2 PRE=1 ---</t>
        </is>
      </c>
    </row>
    <row r="169">
      <c r="A169" t="inlineStr">
        <is>
          <t>F_PPS</t>
        </is>
      </c>
      <c r="B169">
        <f>Assumptions!$B$56/B176</f>
        <v>36.40877612422672</v>
      </c>
    </row>
    <row r="170">
      <c r="A170" t="inlineStr">
        <is>
          <t>F_prim_sh</t>
        </is>
      </c>
      <c r="B170">
        <f>Assumptions!$B$3/B169</f>
        <v>823977.1613755986</v>
      </c>
    </row>
    <row r="171">
      <c r="A171" t="inlineStr">
        <is>
          <t>D NCP</t>
        </is>
      </c>
      <c r="B171">
        <f>Assumptions!$B$18*(Assumptions!$B$31+Assumptions!$B$3/Assumptions!$B$18)/(Assumptions!$B$31+Assumptions!$B$3/B169)</f>
        <v>57.64058886398141</v>
      </c>
    </row>
    <row r="172">
      <c r="A172" t="inlineStr">
        <is>
          <t>E NCP</t>
        </is>
      </c>
      <c r="B172">
        <f>Assumptions!$B$19*(Assumptions!$B$31+Assumptions!$B$3/Assumptions!$B$19)/(Assumptions!$B$31+Assumptions!$B$3/B169)</f>
        <v>48.87773456427915</v>
      </c>
    </row>
    <row r="173">
      <c r="A173" t="inlineStr">
        <is>
          <t>D total</t>
        </is>
      </c>
      <c r="B173">
        <f>Assumptions!$B$21*Assumptions!$B$20/B171</f>
        <v>1734888.9380012609</v>
      </c>
    </row>
    <row r="174">
      <c r="A174" t="inlineStr">
        <is>
          <t>E total</t>
        </is>
      </c>
      <c r="B174">
        <f>Assumptions!$B$23*Assumptions!$B$22/B172</f>
        <v>6137698.5858645085</v>
      </c>
    </row>
    <row r="175">
      <c r="A175" t="inlineStr">
        <is>
          <t>ESOP topup</t>
        </is>
      </c>
      <c r="B175">
        <f>MAX(0,Assumptions!$B$54*B177-Assumptions!$B$34)</f>
        <v>1496769.7038355274</v>
      </c>
    </row>
    <row r="176">
      <c r="A176" t="inlineStr">
        <is>
          <t>Pre-money FD</t>
        </is>
      </c>
      <c r="B176">
        <f>Assumptions!$B$31+(B173-Assumptions!$B$35)+(B174-Assumptions!$B$36)+B175+B179+B180</f>
        <v>38452267.530861266</v>
      </c>
    </row>
    <row r="177">
      <c r="A177" t="inlineStr">
        <is>
          <t>T_F</t>
        </is>
      </c>
      <c r="B177">
        <f>B176+B170</f>
        <v>39276244.69223686</v>
      </c>
    </row>
    <row r="178">
      <c r="A178" t="inlineStr">
        <is>
          <t>FD for Note A cap</t>
        </is>
      </c>
      <c r="B178">
        <f>Assumptions!$B$31+(B173-Assumptions!$B$35)+(B174-Assumptions!$B$36)+B175+B180</f>
        <v>38260962.717274874</v>
      </c>
    </row>
    <row r="179">
      <c r="A179" t="inlineStr">
        <is>
          <t>NA shares</t>
        </is>
      </c>
      <c r="B179">
        <f>Assumptions!$B$25/MIN(Assumptions!$B$26/B178,B169*(1-Assumptions!$B$27))</f>
        <v>191304.81358637437</v>
      </c>
    </row>
    <row r="180">
      <c r="A180" t="inlineStr">
        <is>
          <t>NB shares</t>
        </is>
      </c>
      <c r="B180">
        <f>Assumptions!$B$28/MIN(Assumptions!$B$29/B181,B169*(1-Assumptions!$B$30))</f>
        <v>96938.4895735998</v>
      </c>
    </row>
    <row r="181">
      <c r="A181" t="inlineStr">
        <is>
          <t>FD for Note B cap</t>
        </is>
      </c>
      <c r="B181">
        <f>Assumptions!$B$31+(B173-Assumptions!$B$35)+(B174-Assumptions!$B$36)+B175+B179</f>
        <v>38355329.04128765</v>
      </c>
    </row>
    <row r="182">
      <c r="A182" t="inlineStr">
        <is>
          <t>Branch A</t>
        </is>
      </c>
      <c r="B182" t="str">
        <f>IF(Assumptions!$B$26/B178&lt;B169*(1-Assumptions!$B$27),"cap","discount")</f>
        <v>cap</v>
      </c>
    </row>
    <row r="183">
      <c r="A183" t="inlineStr">
        <is>
          <t>Branch B</t>
        </is>
      </c>
      <c r="B183" t="str">
        <f>IF(Assumptions!$B$29/B181&lt;B169*(1-Assumptions!$B$30),"cap","discount")</f>
        <v>discount</v>
      </c>
    </row>
    <row r="184">
      <c r="A184" t="inlineStr">
        <is>
          <t>Cap-implied PPS A</t>
        </is>
      </c>
      <c r="B184">
        <f>Assumptions!$B$26/B178</f>
        <v>26.136300003462765</v>
      </c>
    </row>
    <row r="185">
      <c r="A185" t="inlineStr">
        <is>
          <t>Conv PPS A (min)</t>
        </is>
      </c>
      <c r="B185">
        <f>MIN(Assumptions!$B$26/B178,B169*(1-Assumptions!$B$27))</f>
        <v>26.136300003462765</v>
      </c>
    </row>
    <row r="186">
      <c r="A186" t="inlineStr">
        <is>
          <t>Per-share @ $2B (all convert, ITM checked)</t>
        </is>
      </c>
      <c r="B186">
        <f>IF((Assumptions!$B$11+Assumptions!$B$32*Assumptions!$B$24)/((B179+B180+Assumptions!$B$47+Assumptions!$B$48+B170+B174+B173+Assumptions!$B$40+Assumptions!$B$39+Assumptions!$B$38+Assumptions!$B$37)+Assumptions!$B$32)&gt;Assumptions!$B$24,(Assumptions!$B$11+Assumptions!$B$32*Assumptions!$B$24)/((B179+B180+Assumptions!$B$47+Assumptions!$B$48+B170+B174+B173+Assumptions!$B$40+Assumptions!$B$39+Assumptions!$B$38+Assumptions!$B$37)+Assumptions!$B$32),Assumptions!$B$11/(B179+B180+Assumptions!$B$47+Assumptions!$B$48+B170+B174+B173+Assumptions!$B$40+Assumptions!$B$39+Assumptions!$B$38+Assumptions!$B$37))</f>
        <v>55.71023454527666</v>
      </c>
    </row>
    <row r="187">
      <c r="A187" t="inlineStr">
        <is>
          <t>Our shares (= $10M / F_PPS)</t>
        </is>
      </c>
      <c r="B187">
        <f>Assumptions!$B$7/B169</f>
        <v>274659.0537918662</v>
      </c>
    </row>
    <row r="188">
      <c r="A188" t="inlineStr">
        <is>
          <t>Our $ proceeds @ $2B</t>
        </is>
      </c>
      <c r="B188">
        <f>B186*B187</f>
        <v>15301320.306728624</v>
      </c>
    </row>
    <row r="189">
      <c r="A189" t="inlineStr">
        <is>
          <t>Own % of T_F</t>
        </is>
      </c>
      <c r="B189">
        <f>B187/B177</f>
        <v>0.006993006993006993</v>
      </c>
    </row>
    <row r="190">
      <c r="A190" t="inlineStr">
        <is>
          <t>--- Block ESOP=2 PRE=2 ---</t>
        </is>
      </c>
    </row>
    <row r="191">
      <c r="A191" t="inlineStr">
        <is>
          <t>F_PPS</t>
        </is>
      </c>
      <c r="B191">
        <f>Assumptions!$B$57/B198</f>
        <v>46.93889858072561</v>
      </c>
    </row>
    <row r="192">
      <c r="A192" t="inlineStr">
        <is>
          <t>F_prim_sh</t>
        </is>
      </c>
      <c r="B192">
        <f>Assumptions!$B$3/B191</f>
        <v>639128.7590271411</v>
      </c>
    </row>
    <row r="193">
      <c r="A193" t="inlineStr">
        <is>
          <t>D NCP</t>
        </is>
      </c>
      <c r="B193">
        <f>Assumptions!$B$18*(Assumptions!$B$31+Assumptions!$B$3/Assumptions!$B$18)/(Assumptions!$B$31+Assumptions!$B$3/B191)</f>
        <v>57.926568548139365</v>
      </c>
    </row>
    <row r="194">
      <c r="A194" t="inlineStr">
        <is>
          <t>E NCP</t>
        </is>
      </c>
      <c r="B194">
        <f>Assumptions!$B$19*(Assumptions!$B$31+Assumptions!$B$3/Assumptions!$B$19)/(Assumptions!$B$31+Assumptions!$B$3/B191)</f>
        <v>49.120237969753276</v>
      </c>
    </row>
    <row r="195">
      <c r="A195" t="inlineStr">
        <is>
          <t>D total</t>
        </is>
      </c>
      <c r="B195">
        <f>Assumptions!$B$21*Assumptions!$B$20/B193</f>
        <v>1726323.9046672662</v>
      </c>
    </row>
    <row r="196">
      <c r="A196" t="inlineStr">
        <is>
          <t>E total</t>
        </is>
      </c>
      <c r="B196">
        <f>Assumptions!$B$23*Assumptions!$B$22/B194</f>
        <v>6107397.1689666025</v>
      </c>
    </row>
    <row r="197">
      <c r="A197" t="inlineStr">
        <is>
          <t>ESOP topup</t>
        </is>
      </c>
      <c r="B197">
        <f>MAX(0,Assumptions!$B$54*B199-Assumptions!$B$34)</f>
        <v>1453361.1450983314</v>
      </c>
    </row>
    <row r="198">
      <c r="A198" t="inlineStr">
        <is>
          <t>Pre-money FD</t>
        </is>
      </c>
      <c r="B198">
        <f>Assumptions!$B$31+(B195-Assumptions!$B$35)+(B196-Assumptions!$B$36)+B197+B201+B202</f>
        <v>38347725.54162847</v>
      </c>
    </row>
    <row r="199">
      <c r="A199" t="inlineStr">
        <is>
          <t>T_F</t>
        </is>
      </c>
      <c r="B199">
        <f>B198+B192</f>
        <v>38986854.30065561</v>
      </c>
    </row>
    <row r="200">
      <c r="A200" t="inlineStr">
        <is>
          <t>FD for Note A cap</t>
        </is>
      </c>
      <c r="B200">
        <f>Assumptions!$B$31+(B195-Assumptions!$B$35)+(B196-Assumptions!$B$36)+B197+B202</f>
        <v>38156940.8374412</v>
      </c>
    </row>
    <row r="201">
      <c r="A201" t="inlineStr">
        <is>
          <t>NA shares</t>
        </is>
      </c>
      <c r="B201">
        <f>Assumptions!$B$25/MIN(Assumptions!$B$26/B200,B191*(1-Assumptions!$B$27))</f>
        <v>190784.704187206</v>
      </c>
    </row>
    <row r="202">
      <c r="A202" t="inlineStr">
        <is>
          <t>NB shares</t>
        </is>
      </c>
      <c r="B202">
        <f>Assumptions!$B$28/MIN(Assumptions!$B$29/B203,B191*(1-Assumptions!$B$30))</f>
        <v>75191.61870907531</v>
      </c>
    </row>
    <row r="203">
      <c r="A203" t="inlineStr">
        <is>
          <t>FD for Note B cap</t>
        </is>
      </c>
      <c r="B203">
        <f>Assumptions!$B$31+(B195-Assumptions!$B$35)+(B196-Assumptions!$B$36)+B197+B201</f>
        <v>38272533.92291933</v>
      </c>
    </row>
    <row r="204">
      <c r="A204" t="inlineStr">
        <is>
          <t>Branch A</t>
        </is>
      </c>
      <c r="B204" t="str">
        <f>IF(Assumptions!$B$26/B200&lt;B191*(1-Assumptions!$B$27),"cap","discount")</f>
        <v>cap</v>
      </c>
    </row>
    <row r="205">
      <c r="A205" t="inlineStr">
        <is>
          <t>Branch B</t>
        </is>
      </c>
      <c r="B205" t="str">
        <f>IF(Assumptions!$B$29/B203&lt;B191*(1-Assumptions!$B$30),"cap","discount")</f>
        <v>discount</v>
      </c>
    </row>
    <row r="206">
      <c r="A206" t="inlineStr">
        <is>
          <t>Cap-implied PPS A</t>
        </is>
      </c>
      <c r="B206">
        <f>Assumptions!$B$26/B200</f>
        <v>26.207551707571845</v>
      </c>
    </row>
    <row r="207">
      <c r="A207" t="inlineStr">
        <is>
          <t>Conv PPS A (min)</t>
        </is>
      </c>
      <c r="B207">
        <f>MIN(Assumptions!$B$26/B200,B191*(1-Assumptions!$B$27))</f>
        <v>26.207551707571845</v>
      </c>
    </row>
    <row r="208">
      <c r="A208" t="inlineStr">
        <is>
          <t>Per-share @ $2B (all convert, ITM checked)</t>
        </is>
      </c>
      <c r="B208">
        <f>IF((Assumptions!$B$11+Assumptions!$B$32*Assumptions!$B$24)/((B201+B202+Assumptions!$B$47+Assumptions!$B$48+B192+B196+B195+Assumptions!$B$40+Assumptions!$B$39+Assumptions!$B$38+Assumptions!$B$37)+Assumptions!$B$32)&gt;Assumptions!$B$24,(Assumptions!$B$11+Assumptions!$B$32*Assumptions!$B$24)/((B201+B202+Assumptions!$B$47+Assumptions!$B$48+B192+B196+B195+Assumptions!$B$40+Assumptions!$B$39+Assumptions!$B$38+Assumptions!$B$37)+Assumptions!$B$32),Assumptions!$B$11/(B201+B202+Assumptions!$B$47+Assumptions!$B$48+B192+B196+B195+Assumptions!$B$40+Assumptions!$B$39+Assumptions!$B$38+Assumptions!$B$37))</f>
        <v>56.100254293387316</v>
      </c>
    </row>
    <row r="209">
      <c r="A209" t="inlineStr">
        <is>
          <t>Our shares (= $10M / F_PPS)</t>
        </is>
      </c>
      <c r="B209">
        <f>Assumptions!$B$7/B191</f>
        <v>213042.91967571373</v>
      </c>
    </row>
    <row r="210">
      <c r="A210" t="inlineStr">
        <is>
          <t>Our $ proceeds @ $2B</t>
        </is>
      </c>
      <c r="B210">
        <f>B208*B209</f>
        <v>11951761.969213229</v>
      </c>
    </row>
    <row r="211">
      <c r="A211" t="inlineStr">
        <is>
          <t>Own % of T_F</t>
        </is>
      </c>
      <c r="B211">
        <f>B209/B199</f>
        <v>0.00546448087431694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Return-Solver — Series F % needed for 3x and 4x at each exit</t>
        </is>
      </c>
    </row>
    <row r="3">
      <c r="A3" t="inlineStr">
        <is>
          <t>Exit</t>
        </is>
      </c>
      <c r="B3" t="inlineStr">
        <is>
          <t>F election (Nash)</t>
        </is>
      </c>
      <c r="C3" t="inlineStr">
        <is>
          <t>Per-F-share value</t>
        </is>
      </c>
      <c r="D3" t="inlineStr">
        <is>
          <t>T_F</t>
        </is>
      </c>
      <c r="E3" t="inlineStr">
        <is>
          <t>% needed (3x)</t>
        </is>
      </c>
      <c r="F3" t="inlineStr">
        <is>
          <t>Flag 3x</t>
        </is>
      </c>
      <c r="G3" t="inlineStr">
        <is>
          <t>% needed (4x)</t>
        </is>
      </c>
      <c r="H3" t="inlineStr">
        <is>
          <t>Flag 4x</t>
        </is>
      </c>
    </row>
    <row r="4">
      <c r="A4">
        <f>Assumptions!$B$9</f>
        <v>700000000.0</v>
      </c>
      <c r="B4" t="str">
        <f>Waterfall!B5</f>
        <v>preference</v>
      </c>
      <c r="C4">
        <f>IF(B4="preference",'Pro-Forma'!$B$4,Waterfall!B50)</f>
        <v>37.29976025659984</v>
      </c>
      <c r="D4">
        <f>'Pro-Forma'!$B$12</f>
        <v>38338048.02396753</v>
      </c>
      <c r="E4">
        <f>Assumptions!$B$58*Assumptions!$B$7/(C4*D4)</f>
        <v>0.02097902097902098</v>
      </c>
      <c r="F4" t="str">
        <f>IF(OR(E4&lt;=0,E4&gt;1),"INFEASIBLE","OK")</f>
        <v>OK</v>
      </c>
      <c r="G4">
        <f>Assumptions!$B$59*Assumptions!$B$7/(C4*D4)</f>
        <v>0.027972027972027972</v>
      </c>
      <c r="H4" t="str">
        <f>IF(OR(G4&lt;=0,G4&gt;1),"INFEASIBLE","OK")</f>
        <v>OK</v>
      </c>
    </row>
    <row r="5">
      <c r="A5">
        <f>Assumptions!$B$10</f>
        <v>1200000000.0</v>
      </c>
      <c r="B5" t="str">
        <f>Waterfall!C5</f>
        <v>preference</v>
      </c>
      <c r="C5">
        <f>IF(B5="preference",'Pro-Forma'!$B$4,Waterfall!C50)</f>
        <v>37.29976025659984</v>
      </c>
      <c r="D5">
        <f>'Pro-Forma'!$B$12</f>
        <v>38338048.02396753</v>
      </c>
      <c r="E5">
        <f>Assumptions!$B$58*Assumptions!$B$7/(C5*D5)</f>
        <v>0.02097902097902098</v>
      </c>
      <c r="F5" t="str">
        <f>IF(OR(E5&lt;=0,E5&gt;1),"INFEASIBLE","OK")</f>
        <v>OK</v>
      </c>
      <c r="G5">
        <f>Assumptions!$B$59*Assumptions!$B$7/(C5*D5)</f>
        <v>0.027972027972027972</v>
      </c>
      <c r="H5" t="str">
        <f>IF(OR(G5&lt;=0,G5&gt;1),"INFEASIBLE","OK")</f>
        <v>OK</v>
      </c>
    </row>
    <row r="6">
      <c r="A6">
        <f>Assumptions!$B$11</f>
        <v>2000000000.0</v>
      </c>
      <c r="B6" t="str">
        <f>Waterfall!D5</f>
        <v>convert</v>
      </c>
      <c r="C6">
        <f>IF(B6="preference",'Pro-Forma'!$B$4,Waterfall!D50)</f>
        <v>55.758881570363016</v>
      </c>
      <c r="D6">
        <f>'Pro-Forma'!$B$12</f>
        <v>38338048.02396753</v>
      </c>
      <c r="E6">
        <f>Assumptions!$B$58*Assumptions!$B$7/(C6*D6)</f>
        <v>0.01403386206640813</v>
      </c>
      <c r="F6" t="str">
        <f>IF(OR(E6&lt;=0,E6&gt;1),"INFEASIBLE","OK")</f>
        <v>OK</v>
      </c>
      <c r="G6">
        <f>Assumptions!$B$59*Assumptions!$B$7/(C6*D6)</f>
        <v>0.018711816088544175</v>
      </c>
      <c r="H6" t="str">
        <f>IF(OR(G6&lt;=0,G6&gt;1),"INFEASIBLE","OK")</f>
        <v>OK</v>
      </c>
    </row>
    <row r="7">
      <c r="A7">
        <f>Assumptions!$B$12</f>
        <v>4000000000.0</v>
      </c>
      <c r="B7" t="str">
        <f>Waterfall!E5</f>
        <v>convert</v>
      </c>
      <c r="C7">
        <f>IF(B7="preference",'Pro-Forma'!$B$4,Waterfall!E50)</f>
        <v>111.63297366823383</v>
      </c>
      <c r="D7">
        <f>'Pro-Forma'!$B$12</f>
        <v>38338048.02396753</v>
      </c>
      <c r="E7">
        <f>Assumptions!$B$58*Assumptions!$B$7/(C7*D7)</f>
        <v>0.007009689227317716</v>
      </c>
      <c r="F7" t="str">
        <f>IF(OR(E7&lt;=0,E7&gt;1),"INFEASIBLE","OK")</f>
        <v>OK</v>
      </c>
      <c r="G7">
        <f>Assumptions!$B$59*Assumptions!$B$7/(C7*D7)</f>
        <v>0.009346252303090288</v>
      </c>
      <c r="H7" t="str">
        <f>IF(OR(G7&lt;=0,G7&gt;1),"INFEASIBLE","OK")</f>
        <v>OK</v>
      </c>
    </row>
    <row r="8">
      <c r="A8">
        <f>Assumptions!$B$13</f>
        <v>8000000000.0</v>
      </c>
      <c r="B8" t="str">
        <f>Waterfall!F5</f>
        <v>convert</v>
      </c>
      <c r="C8">
        <f>IF(B8="preference",'Pro-Forma'!$B$4,Waterfall!F50)</f>
        <v>223.1962203073182</v>
      </c>
      <c r="D8">
        <f>'Pro-Forma'!$B$12</f>
        <v>38338048.02396753</v>
      </c>
      <c r="E8">
        <f>Assumptions!$B$58*Assumptions!$B$7/(C8*D8)</f>
        <v>0.003505939535437571</v>
      </c>
      <c r="F8" t="str">
        <f>IF(OR(E8&lt;=0,E8&gt;1),"INFEASIBLE","OK")</f>
        <v>OK</v>
      </c>
      <c r="G8">
        <f>Assumptions!$B$59*Assumptions!$B$7/(C8*D8)</f>
        <v>0.004674586047250095</v>
      </c>
      <c r="H8" t="str">
        <f>IF(OR(G8&lt;=0,G8&gt;1),"INFEASIBLE","OK")</f>
        <v>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2026-04-26T23:57:08Z</dcterms:created>
  <dcterms:modified xmlns:dcterms="http://purl.org/dc/terms/" xmlns:xsi="http://www.w3.org/2001/XMLSchema-instance" xsi:type="dcterms:W3CDTF">2026-04-26T23:57:08Z</dcterms:modified>
</cp:coreProperties>
</file>