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ro-Forma" sheetId="2" state="visible" r:id="rId2"/>
    <sheet xmlns:r="http://schemas.openxmlformats.org/officeDocument/2006/relationships" name="Waterfal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turn-Solver" sheetId="5" state="visible" r:id="rId5"/>
  </sheets>
  <definedNames/>
  <calcPr calcId="124519" fullCalcOnLoad="1" iterate="1" iterateCount="1000" iterateDelta="1e-09"/>
</workbook>
</file>

<file path=xl/styles.xml><?xml version="1.0" encoding="utf-8"?>
<styleSheet xmlns="http://schemas.openxmlformats.org/spreadsheetml/2006/main">
  <numFmts count="12">
    <numFmt numFmtId="164" formatCode="$#,##0"/>
    <numFmt numFmtId="165" formatCode="$#,##0.00"/>
    <numFmt numFmtId="166" formatCode="$#,##0.000000"/>
    <numFmt numFmtId="167" formatCode="0.0"/>
    <numFmt numFmtId="168" formatCode="$#,##0.00000000"/>
    <numFmt numFmtId="169" formatCode="#,##0.0000"/>
    <numFmt numFmtId="170" formatCode="0.000000"/>
    <numFmt numFmtId="171" formatCode="0.000000%"/>
    <numFmt numFmtId="172" formatCode="#,##0.00000000"/>
    <numFmt numFmtId="173" formatCode="$#,##0.0000"/>
    <numFmt numFmtId="174" formatCode="0.0000%"/>
    <numFmt numFmtId="175" formatCode="0.00&quot;x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2" fillId="2" borderId="0" pivotButton="0" quotePrefix="0" xfId="0"/>
    <xf numFmtId="168" fontId="0" fillId="0" borderId="0" pivotButton="0" quotePrefix="0" xfId="0"/>
    <xf numFmtId="169" fontId="0" fillId="0" borderId="0" pivotButton="0" quotePrefix="0" xfId="0"/>
    <xf numFmtId="0" fontId="2" fillId="3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2" fillId="0" borderId="0" pivotButton="0" quotePrefix="0" xfId="0"/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2" customWidth="1" min="3" max="3"/>
  </cols>
  <sheetData>
    <row r="1">
      <c r="A1" s="1" t="inlineStr">
        <is>
          <t>Kelvin Dynamics — Series F Analysis Assumptions</t>
        </is>
      </c>
    </row>
    <row r="3">
      <c r="A3" s="2" t="inlineStr">
        <is>
          <t>ROUND TERMS</t>
        </is>
      </c>
    </row>
    <row r="4">
      <c r="A4" s="2" t="inlineStr">
        <is>
          <t>Series F pre-money (USD)</t>
        </is>
      </c>
      <c r="B4" s="3" t="n">
        <v>1400000000</v>
      </c>
      <c r="C4" t="inlineStr">
        <is>
          <t>Knob</t>
        </is>
      </c>
    </row>
    <row r="5">
      <c r="A5" s="2" t="inlineStr">
        <is>
          <t>Series F primary raise (USD)</t>
        </is>
      </c>
      <c r="B5" s="3" t="n">
        <v>30000000</v>
      </c>
    </row>
    <row r="6">
      <c r="A6" s="2" t="inlineStr">
        <is>
          <t>Series F secondary raise (USD)</t>
        </is>
      </c>
      <c r="B6" s="3" t="n">
        <v>15000000</v>
      </c>
      <c r="C6" t="inlineStr">
        <is>
          <t>Tender</t>
        </is>
      </c>
    </row>
    <row r="7">
      <c r="A7" s="2" t="inlineStr">
        <is>
          <t>Tender PPS multiplier</t>
        </is>
      </c>
      <c r="B7" s="4" t="n">
        <v>0.85</v>
      </c>
      <c r="C7" t="inlineStr">
        <is>
          <t>Tender PPS = mult × F_PPS</t>
        </is>
      </c>
    </row>
    <row r="8">
      <c r="A8" s="2" t="inlineStr">
        <is>
          <t>ESOP refresh target (post-F FD)</t>
        </is>
      </c>
      <c r="B8" s="5" t="n">
        <v>0.13</v>
      </c>
    </row>
    <row r="9">
      <c r="A9" s="2" t="inlineStr">
        <is>
          <t>Our fund check (USD)</t>
        </is>
      </c>
      <c r="B9" s="3" t="n">
        <v>10000000</v>
      </c>
      <c r="C9" t="inlineStr">
        <is>
          <t>1/3 of primary</t>
        </is>
      </c>
    </row>
    <row r="10">
      <c r="A10" s="2" t="inlineStr">
        <is>
          <t>F_LEAD primary check (USD)</t>
        </is>
      </c>
      <c r="B10" s="3" t="n">
        <v>20000000</v>
      </c>
      <c r="C10" t="inlineStr">
        <is>
          <t>2/3 of primary</t>
        </is>
      </c>
    </row>
    <row r="11">
      <c r="A11" s="2" t="inlineStr">
        <is>
          <t>Option strike (USD)</t>
        </is>
      </c>
      <c r="B11" s="6" t="n">
        <v>1</v>
      </c>
    </row>
    <row r="13">
      <c r="A13" s="2" t="inlineStr">
        <is>
          <t>EXIT SCENARIOS</t>
        </is>
      </c>
    </row>
    <row r="14">
      <c r="A14" s="2" t="inlineStr">
        <is>
          <t>Exit 1 (USD)</t>
        </is>
      </c>
      <c r="B14" s="3" t="n">
        <v>700000000</v>
      </c>
    </row>
    <row r="15">
      <c r="A15" s="2" t="inlineStr">
        <is>
          <t>Exit 2 (USD)</t>
        </is>
      </c>
      <c r="B15" s="3" t="n">
        <v>1200000000</v>
      </c>
    </row>
    <row r="16">
      <c r="A16" s="2" t="inlineStr">
        <is>
          <t>Exit 3 (USD)</t>
        </is>
      </c>
      <c r="B16" s="3" t="n">
        <v>2000000000</v>
      </c>
      <c r="C16" t="inlineStr">
        <is>
          <t>Sensitivity ref</t>
        </is>
      </c>
    </row>
    <row r="17">
      <c r="A17" s="2" t="inlineStr">
        <is>
          <t>Exit 4 (USD)</t>
        </is>
      </c>
      <c r="B17" s="3" t="n">
        <v>4000000000</v>
      </c>
    </row>
    <row r="18">
      <c r="A18" s="2" t="inlineStr">
        <is>
          <t>Exit 5 (USD)</t>
        </is>
      </c>
      <c r="B18" s="3" t="n">
        <v>8000000000</v>
      </c>
    </row>
    <row r="20">
      <c r="A20" s="2" t="inlineStr">
        <is>
          <t>PRIOR-ROUND OCPs</t>
        </is>
      </c>
    </row>
    <row r="21">
      <c r="A21" s="2" t="inlineStr">
        <is>
          <t>Seed OCP</t>
        </is>
      </c>
      <c r="B21" s="7" t="n">
        <v>1</v>
      </c>
    </row>
    <row r="22">
      <c r="A22" s="2" t="inlineStr">
        <is>
          <t>Series A OCP</t>
        </is>
      </c>
      <c r="B22" s="7" t="n">
        <v>3</v>
      </c>
    </row>
    <row r="23">
      <c r="A23" s="2" t="inlineStr">
        <is>
          <t>Series B OCP</t>
        </is>
      </c>
      <c r="B23" s="7" t="n">
        <v>10</v>
      </c>
    </row>
    <row r="24">
      <c r="A24" s="2" t="inlineStr">
        <is>
          <t>Series C OCP</t>
        </is>
      </c>
      <c r="B24" s="7" t="n">
        <v>25</v>
      </c>
    </row>
    <row r="25">
      <c r="A25" s="2" t="inlineStr">
        <is>
          <t>Series D OCP (post-E NCP)</t>
        </is>
      </c>
      <c r="B25" s="7" t="n">
        <v>58.118347</v>
      </c>
      <c r="C25" t="inlineStr">
        <is>
          <t>AD-effective</t>
        </is>
      </c>
    </row>
    <row r="26">
      <c r="A26" s="2" t="inlineStr">
        <is>
          <t>Series D original OCP</t>
        </is>
      </c>
      <c r="B26" s="7" t="n">
        <v>60</v>
      </c>
    </row>
    <row r="27">
      <c r="A27" s="2" t="inlineStr">
        <is>
          <t>Series E OCP</t>
        </is>
      </c>
      <c r="B27" s="7" t="n">
        <v>49.158311</v>
      </c>
    </row>
    <row r="29">
      <c r="A29" s="2" t="inlineStr">
        <is>
          <t>PRE-F SHARE COUNTS</t>
        </is>
      </c>
    </row>
    <row r="30">
      <c r="A30" s="2" t="inlineStr">
        <is>
          <t>Founder F1 common</t>
        </is>
      </c>
      <c r="B30" s="8" t="n">
        <v>4000000</v>
      </c>
      <c r="C30" t="inlineStr">
        <is>
          <t>CEO 50%</t>
        </is>
      </c>
    </row>
    <row r="31">
      <c r="A31" s="2" t="inlineStr">
        <is>
          <t>Founder F2 common</t>
        </is>
      </c>
      <c r="B31" s="8" t="n">
        <v>2500000</v>
      </c>
      <c r="C31" t="inlineStr">
        <is>
          <t>CTO 31.25%</t>
        </is>
      </c>
    </row>
    <row r="32">
      <c r="A32" s="2" t="inlineStr">
        <is>
          <t>Founder F3 common</t>
        </is>
      </c>
      <c r="B32" s="8" t="n">
        <v>1500000</v>
      </c>
      <c r="C32" t="inlineStr">
        <is>
          <t>CSO 18.75%</t>
        </is>
      </c>
    </row>
    <row r="33">
      <c r="A33" s="2" t="inlineStr">
        <is>
          <t>Employee RSAs total</t>
        </is>
      </c>
      <c r="B33" s="8" t="n">
        <v>1000000</v>
      </c>
      <c r="C33" t="inlineStr">
        <is>
          <t>10×100K</t>
        </is>
      </c>
    </row>
    <row r="34">
      <c r="A34" s="2" t="inlineStr">
        <is>
          <t>Seed preferred shares</t>
        </is>
      </c>
      <c r="B34" s="8" t="n">
        <v>5000000</v>
      </c>
    </row>
    <row r="35">
      <c r="A35" s="2" t="inlineStr">
        <is>
          <t>Series A preferred shares</t>
        </is>
      </c>
      <c r="B35" s="8" t="n">
        <v>5000000</v>
      </c>
    </row>
    <row r="36">
      <c r="A36" s="2" t="inlineStr">
        <is>
          <t>Series B preferred shares</t>
        </is>
      </c>
      <c r="B36" s="8" t="n">
        <v>3000000</v>
      </c>
    </row>
    <row r="37">
      <c r="A37" s="2" t="inlineStr">
        <is>
          <t>Series C preferred shares</t>
        </is>
      </c>
      <c r="B37" s="8" t="n">
        <v>2400000</v>
      </c>
    </row>
    <row r="38">
      <c r="A38" s="2" t="inlineStr">
        <is>
          <t>Series D preferred shares (orig)</t>
        </is>
      </c>
      <c r="B38" s="8" t="n">
        <v>1666667</v>
      </c>
      <c r="C38" t="inlineStr">
        <is>
          <t>Issued at $60</t>
        </is>
      </c>
    </row>
    <row r="39">
      <c r="A39" s="2" t="inlineStr">
        <is>
          <t>Series D preferred shares (post-E)</t>
        </is>
      </c>
      <c r="B39" s="8" t="n">
        <v>1720627</v>
      </c>
      <c r="C39" t="inlineStr">
        <is>
          <t>After E AD</t>
        </is>
      </c>
    </row>
    <row r="40">
      <c r="A40" s="2" t="inlineStr">
        <is>
          <t>Series E preferred shares</t>
        </is>
      </c>
      <c r="B40" s="8" t="n">
        <v>6102667</v>
      </c>
    </row>
    <row r="41">
      <c r="A41" s="2" t="inlineStr">
        <is>
          <t>Pre-F issued options</t>
        </is>
      </c>
      <c r="B41" s="8" t="n">
        <v>2500000</v>
      </c>
    </row>
    <row r="42">
      <c r="A42" s="2" t="inlineStr">
        <is>
          <t>Pre-F unissued options</t>
        </is>
      </c>
      <c r="B42" s="8" t="n">
        <v>1894667</v>
      </c>
    </row>
    <row r="43">
      <c r="A43" s="2" t="inlineStr">
        <is>
          <t>Pre-F total options pool</t>
        </is>
      </c>
      <c r="B43" s="8" t="n">
        <v>4394667</v>
      </c>
    </row>
    <row r="44">
      <c r="A44" s="2" t="inlineStr">
        <is>
          <t>Pre-F broad-based FD total</t>
        </is>
      </c>
      <c r="B44" s="8" t="n">
        <v>36617961</v>
      </c>
      <c r="C44" t="inlineStr">
        <is>
          <t>AD denominator A</t>
        </is>
      </c>
    </row>
    <row r="46">
      <c r="A46" s="2" t="inlineStr">
        <is>
          <t>PREFERENCE AMOUNTS</t>
        </is>
      </c>
    </row>
    <row r="47">
      <c r="A47" s="2" t="inlineStr">
        <is>
          <t>Seed preference</t>
        </is>
      </c>
      <c r="B47" s="3" t="n">
        <v>5000000</v>
      </c>
    </row>
    <row r="48">
      <c r="A48" s="2" t="inlineStr">
        <is>
          <t>Series A preference</t>
        </is>
      </c>
      <c r="B48" s="3" t="n">
        <v>15000000</v>
      </c>
    </row>
    <row r="49">
      <c r="A49" s="2" t="inlineStr">
        <is>
          <t>Series B preference</t>
        </is>
      </c>
      <c r="B49" s="3" t="n">
        <v>30000000</v>
      </c>
    </row>
    <row r="50">
      <c r="A50" s="2" t="inlineStr">
        <is>
          <t>Series C preference</t>
        </is>
      </c>
      <c r="B50" s="3" t="n">
        <v>60000000</v>
      </c>
    </row>
    <row r="51">
      <c r="A51" s="2" t="inlineStr">
        <is>
          <t>Series D preference</t>
        </is>
      </c>
      <c r="B51" s="3" t="n">
        <v>100000000</v>
      </c>
    </row>
    <row r="52">
      <c r="A52" s="2" t="inlineStr">
        <is>
          <t>Series E preference</t>
        </is>
      </c>
      <c r="B52" s="3" t="n">
        <v>300000000</v>
      </c>
    </row>
    <row r="53">
      <c r="A53" s="2" t="inlineStr">
        <is>
          <t>Series F preference</t>
        </is>
      </c>
      <c r="B53" s="3" t="n">
        <v>30000000</v>
      </c>
      <c r="C53">
        <f> primary</f>
        <v/>
      </c>
    </row>
    <row r="55">
      <c r="A55" s="2" t="inlineStr">
        <is>
          <t>CONVERTIBLE NOTES</t>
        </is>
      </c>
    </row>
    <row r="56">
      <c r="A56" s="2" t="inlineStr">
        <is>
          <t>Note A principal (USD)</t>
        </is>
      </c>
      <c r="B56" s="3" t="n">
        <v>5000000</v>
      </c>
    </row>
    <row r="57">
      <c r="A57" s="2" t="inlineStr">
        <is>
          <t>Note A cap (USD)</t>
        </is>
      </c>
      <c r="B57" s="3" t="n">
        <v>1000000000</v>
      </c>
    </row>
    <row r="58">
      <c r="A58" s="2" t="inlineStr">
        <is>
          <t>Note A discount</t>
        </is>
      </c>
      <c r="B58" s="5" t="n">
        <v>0.2</v>
      </c>
    </row>
    <row r="59">
      <c r="A59" s="2" t="inlineStr">
        <is>
          <t>Note B principal (USD)</t>
        </is>
      </c>
      <c r="B59" s="3" t="n">
        <v>3000000</v>
      </c>
    </row>
    <row r="60">
      <c r="A60" s="2" t="inlineStr">
        <is>
          <t>Note B cap (USD)</t>
        </is>
      </c>
      <c r="B60" s="3" t="n">
        <v>1600000000</v>
      </c>
    </row>
    <row r="61">
      <c r="A61" s="2" t="inlineStr">
        <is>
          <t>Note B discount</t>
        </is>
      </c>
      <c r="B61" s="5" t="n">
        <v>0.15</v>
      </c>
    </row>
    <row r="63">
      <c r="A63" s="2" t="inlineStr">
        <is>
          <t>SENSITIVITY GRID AXES</t>
        </is>
      </c>
    </row>
    <row r="64">
      <c r="A64" s="2" t="inlineStr">
        <is>
          <t>ESOP low</t>
        </is>
      </c>
      <c r="B64" s="5" t="n">
        <v>0.11</v>
      </c>
    </row>
    <row r="65">
      <c r="A65" s="2" t="inlineStr">
        <is>
          <t>ESOP base</t>
        </is>
      </c>
      <c r="B65" s="5" t="n">
        <v>0.13</v>
      </c>
    </row>
    <row r="66">
      <c r="A66" s="2" t="inlineStr">
        <is>
          <t>ESOP high</t>
        </is>
      </c>
      <c r="B66" s="5" t="n">
        <v>0.15</v>
      </c>
    </row>
    <row r="67">
      <c r="A67" s="2" t="inlineStr">
        <is>
          <t>Pre-money low (USD)</t>
        </is>
      </c>
      <c r="B67" s="3" t="n">
        <v>1200000000</v>
      </c>
    </row>
    <row r="68">
      <c r="A68" s="2" t="inlineStr">
        <is>
          <t>Pre-money base (USD)</t>
        </is>
      </c>
      <c r="B68" s="3" t="n">
        <v>1400000000</v>
      </c>
    </row>
    <row r="69">
      <c r="A69" s="2" t="inlineStr">
        <is>
          <t>Pre-money high (USD)</t>
        </is>
      </c>
      <c r="B69" s="3" t="n">
        <v>1800000000</v>
      </c>
    </row>
    <row r="71">
      <c r="A71" s="2" t="inlineStr">
        <is>
          <t>RETURN TARGETS</t>
        </is>
      </c>
    </row>
    <row r="72">
      <c r="A72" s="2" t="inlineStr">
        <is>
          <t>3× multiple</t>
        </is>
      </c>
      <c r="B72" s="9" t="n">
        <v>3</v>
      </c>
    </row>
    <row r="73">
      <c r="A73" s="2" t="inlineStr">
        <is>
          <t>4× multiple</t>
        </is>
      </c>
      <c r="B73" s="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Pro-Forma Cap Table — Post Series F Closing</t>
        </is>
      </c>
    </row>
    <row r="3">
      <c r="A3" s="10" t="inlineStr">
        <is>
          <t>Pro-Forma Solver — Base Case</t>
        </is>
      </c>
    </row>
    <row r="4">
      <c r="A4" s="13" t="inlineStr">
        <is>
          <t>Iter</t>
        </is>
      </c>
      <c r="B4" s="13" t="inlineStr">
        <is>
          <t>F_PPS</t>
        </is>
      </c>
      <c r="C4" s="13" t="inlineStr">
        <is>
          <t>F_prim_shares</t>
        </is>
      </c>
      <c r="D4" s="13" t="inlineStr">
        <is>
          <t>NCP_E</t>
        </is>
      </c>
      <c r="E4" s="13" t="inlineStr">
        <is>
          <t>new_E_shares</t>
        </is>
      </c>
      <c r="F4" s="13" t="inlineStr">
        <is>
          <t>AD_inc_E</t>
        </is>
      </c>
      <c r="G4" s="13" t="inlineStr">
        <is>
          <t>NCP_D</t>
        </is>
      </c>
      <c r="H4" s="13" t="inlineStr">
        <is>
          <t>new_D_shares</t>
        </is>
      </c>
      <c r="I4" s="13" t="inlineStr">
        <is>
          <t>AD_inc_D</t>
        </is>
      </c>
      <c r="J4" s="13" t="inlineStr">
        <is>
          <t>ESOP_topup</t>
        </is>
      </c>
      <c r="K4" s="13" t="inlineStr">
        <is>
          <t>cap_FD_A</t>
        </is>
      </c>
      <c r="L4" s="13" t="inlineStr">
        <is>
          <t>cap_pps_A</t>
        </is>
      </c>
      <c r="M4" s="13" t="inlineStr">
        <is>
          <t>disc_pps_A</t>
        </is>
      </c>
      <c r="N4" s="13" t="inlineStr">
        <is>
          <t>conv_pps_A</t>
        </is>
      </c>
      <c r="O4" s="13" t="inlineStr">
        <is>
          <t>N_A</t>
        </is>
      </c>
      <c r="P4" s="13" t="inlineStr">
        <is>
          <t>cap_FD_B</t>
        </is>
      </c>
      <c r="Q4" s="13" t="inlineStr">
        <is>
          <t>cap_pps_B</t>
        </is>
      </c>
      <c r="R4" s="13" t="inlineStr">
        <is>
          <t>disc_pps_B</t>
        </is>
      </c>
      <c r="S4" s="13" t="inlineStr">
        <is>
          <t>conv_pps_B</t>
        </is>
      </c>
      <c r="T4" s="13" t="inlineStr">
        <is>
          <t>N_B</t>
        </is>
      </c>
      <c r="U4" s="13" t="inlineStr">
        <is>
          <t>pre_money_FD</t>
        </is>
      </c>
      <c r="V4" s="13" t="inlineStr">
        <is>
          <t>T_F</t>
        </is>
      </c>
    </row>
    <row r="5">
      <c r="A5" t="n">
        <v>0</v>
      </c>
      <c r="B5" s="11">
        <f>'Assumptions'!$B$4/'Assumptions'!$B$44</f>
        <v/>
      </c>
      <c r="C5" s="17">
        <f>'Assumptions'!$B$5/$B$5</f>
        <v/>
      </c>
      <c r="D5" s="11">
        <f>'Assumptions'!$B$27*('Assumptions'!$B$44+'Assumptions'!$B$5/'Assumptions'!$B$27)/('Assumptions'!$B$44+'Assumptions'!$B$5/$B$5)</f>
        <v/>
      </c>
      <c r="E5" s="17">
        <f>'Assumptions'!$B$40*'Assumptions'!$B$27/$D$5</f>
        <v/>
      </c>
      <c r="F5" s="17">
        <f>$E$5-'Assumptions'!$B$40</f>
        <v/>
      </c>
      <c r="G5" s="11">
        <f>'Assumptions'!$B$25*('Assumptions'!$B$44+'Assumptions'!$B$5/'Assumptions'!$B$25)/('Assumptions'!$B$44+'Assumptions'!$B$5/$B$5)</f>
        <v/>
      </c>
      <c r="H5" s="17">
        <f>'Assumptions'!$B$38*'Assumptions'!$B$26/$G$5</f>
        <v/>
      </c>
      <c r="I5" s="17">
        <f>$H$5-'Assumptions'!$B$39</f>
        <v/>
      </c>
      <c r="J5" s="17">
        <f>MAX(0,'Assumptions'!$B$8*('Assumptions'!$B$44+$F$5+$I$5+$C$5)/(1-'Assumptions'!$B$8)-'Assumptions'!$B$43)</f>
        <v/>
      </c>
      <c r="K5" s="17">
        <f>'Assumptions'!$B$44+$J$5+$F$5+$I$5+0</f>
        <v/>
      </c>
      <c r="L5" s="11">
        <f>'Assumptions'!$B$57/$K$5</f>
        <v/>
      </c>
      <c r="M5" s="11">
        <f>$B$5*(1-'Assumptions'!$B$58)</f>
        <v/>
      </c>
      <c r="N5" s="11">
        <f>MIN($L$5,$M$5)</f>
        <v/>
      </c>
      <c r="O5" s="17">
        <f>'Assumptions'!$B$56/$N$5</f>
        <v/>
      </c>
      <c r="P5" s="17">
        <f>'Assumptions'!$B$44+$J$5+$F$5+$I$5+$O$5</f>
        <v/>
      </c>
      <c r="Q5" s="11">
        <f>'Assumptions'!$B$60/$P$5</f>
        <v/>
      </c>
      <c r="R5" s="11">
        <f>$B$5*(1-'Assumptions'!$B$61)</f>
        <v/>
      </c>
      <c r="S5" s="11">
        <f>MIN($Q$5,$R$5)</f>
        <v/>
      </c>
      <c r="T5" s="17">
        <f>'Assumptions'!$B$59/$S$5</f>
        <v/>
      </c>
      <c r="U5" s="17">
        <f>'Assumptions'!$B$44+$J$5+$F$5+$I$5+$O$5+$T$5</f>
        <v/>
      </c>
      <c r="V5" s="17">
        <f>$U$5+$C$5</f>
        <v/>
      </c>
    </row>
    <row r="6">
      <c r="A6" t="n">
        <v>1</v>
      </c>
      <c r="B6" s="11">
        <f>'Assumptions'!$B$4/$U$5</f>
        <v/>
      </c>
      <c r="C6" s="17">
        <f>'Assumptions'!$B$5/$B$6</f>
        <v/>
      </c>
      <c r="D6" s="11">
        <f>'Assumptions'!$B$27*('Assumptions'!$B$44+'Assumptions'!$B$5/'Assumptions'!$B$27)/('Assumptions'!$B$44+'Assumptions'!$B$5/$B$6)</f>
        <v/>
      </c>
      <c r="E6" s="17">
        <f>'Assumptions'!$B$40*'Assumptions'!$B$27/$D$6</f>
        <v/>
      </c>
      <c r="F6" s="17">
        <f>$E$6-'Assumptions'!$B$40</f>
        <v/>
      </c>
      <c r="G6" s="11">
        <f>'Assumptions'!$B$25*('Assumptions'!$B$44+'Assumptions'!$B$5/'Assumptions'!$B$25)/('Assumptions'!$B$44+'Assumptions'!$B$5/$B$6)</f>
        <v/>
      </c>
      <c r="H6" s="17">
        <f>'Assumptions'!$B$38*'Assumptions'!$B$26/$G$6</f>
        <v/>
      </c>
      <c r="I6" s="17">
        <f>$H$6-'Assumptions'!$B$39</f>
        <v/>
      </c>
      <c r="J6" s="17">
        <f>MAX(0,'Assumptions'!$B$8*$V$5-'Assumptions'!$B$43)</f>
        <v/>
      </c>
      <c r="K6" s="17">
        <f>'Assumptions'!$B$44+$J$6+$F$6+$I$6+$T$5</f>
        <v/>
      </c>
      <c r="L6" s="11">
        <f>'Assumptions'!$B$57/$K$6</f>
        <v/>
      </c>
      <c r="M6" s="11">
        <f>$B$6*(1-'Assumptions'!$B$58)</f>
        <v/>
      </c>
      <c r="N6" s="11">
        <f>MIN($L$6,$M$6)</f>
        <v/>
      </c>
      <c r="O6" s="17">
        <f>'Assumptions'!$B$56/$N$6</f>
        <v/>
      </c>
      <c r="P6" s="17">
        <f>'Assumptions'!$B$44+$J$6+$F$6+$I$6+$O$6</f>
        <v/>
      </c>
      <c r="Q6" s="11">
        <f>'Assumptions'!$B$60/$P$6</f>
        <v/>
      </c>
      <c r="R6" s="11">
        <f>$B$6*(1-'Assumptions'!$B$61)</f>
        <v/>
      </c>
      <c r="S6" s="11">
        <f>MIN($Q$6,$R$6)</f>
        <v/>
      </c>
      <c r="T6" s="17">
        <f>'Assumptions'!$B$59/$S$6</f>
        <v/>
      </c>
      <c r="U6" s="17">
        <f>'Assumptions'!$B$44+$J$6+$F$6+$I$6+$O$6+$T$6</f>
        <v/>
      </c>
      <c r="V6" s="17">
        <f>$U$6+$C$6</f>
        <v/>
      </c>
    </row>
    <row r="7">
      <c r="A7" t="n">
        <v>2</v>
      </c>
      <c r="B7" s="11">
        <f>'Assumptions'!$B$4/$U$6</f>
        <v/>
      </c>
      <c r="C7" s="17">
        <f>'Assumptions'!$B$5/$B$7</f>
        <v/>
      </c>
      <c r="D7" s="11">
        <f>'Assumptions'!$B$27*('Assumptions'!$B$44+'Assumptions'!$B$5/'Assumptions'!$B$27)/('Assumptions'!$B$44+'Assumptions'!$B$5/$B$7)</f>
        <v/>
      </c>
      <c r="E7" s="17">
        <f>'Assumptions'!$B$40*'Assumptions'!$B$27/$D$7</f>
        <v/>
      </c>
      <c r="F7" s="17">
        <f>$E$7-'Assumptions'!$B$40</f>
        <v/>
      </c>
      <c r="G7" s="11">
        <f>'Assumptions'!$B$25*('Assumptions'!$B$44+'Assumptions'!$B$5/'Assumptions'!$B$25)/('Assumptions'!$B$44+'Assumptions'!$B$5/$B$7)</f>
        <v/>
      </c>
      <c r="H7" s="17">
        <f>'Assumptions'!$B$38*'Assumptions'!$B$26/$G$7</f>
        <v/>
      </c>
      <c r="I7" s="17">
        <f>$H$7-'Assumptions'!$B$39</f>
        <v/>
      </c>
      <c r="J7" s="17">
        <f>MAX(0,'Assumptions'!$B$8*$V$6-'Assumptions'!$B$43)</f>
        <v/>
      </c>
      <c r="K7" s="17">
        <f>'Assumptions'!$B$44+$J$7+$F$7+$I$7+$T$6</f>
        <v/>
      </c>
      <c r="L7" s="11">
        <f>'Assumptions'!$B$57/$K$7</f>
        <v/>
      </c>
      <c r="M7" s="11">
        <f>$B$7*(1-'Assumptions'!$B$58)</f>
        <v/>
      </c>
      <c r="N7" s="11">
        <f>MIN($L$7,$M$7)</f>
        <v/>
      </c>
      <c r="O7" s="17">
        <f>'Assumptions'!$B$56/$N$7</f>
        <v/>
      </c>
      <c r="P7" s="17">
        <f>'Assumptions'!$B$44+$J$7+$F$7+$I$7+$O$7</f>
        <v/>
      </c>
      <c r="Q7" s="11">
        <f>'Assumptions'!$B$60/$P$7</f>
        <v/>
      </c>
      <c r="R7" s="11">
        <f>$B$7*(1-'Assumptions'!$B$61)</f>
        <v/>
      </c>
      <c r="S7" s="11">
        <f>MIN($Q$7,$R$7)</f>
        <v/>
      </c>
      <c r="T7" s="17">
        <f>'Assumptions'!$B$59/$S$7</f>
        <v/>
      </c>
      <c r="U7" s="17">
        <f>'Assumptions'!$B$44+$J$7+$F$7+$I$7+$O$7+$T$7</f>
        <v/>
      </c>
      <c r="V7" s="17">
        <f>$U$7+$C$7</f>
        <v/>
      </c>
    </row>
    <row r="8">
      <c r="A8" t="n">
        <v>3</v>
      </c>
      <c r="B8" s="11">
        <f>'Assumptions'!$B$4/$U$7</f>
        <v/>
      </c>
      <c r="C8" s="17">
        <f>'Assumptions'!$B$5/$B$8</f>
        <v/>
      </c>
      <c r="D8" s="11">
        <f>'Assumptions'!$B$27*('Assumptions'!$B$44+'Assumptions'!$B$5/'Assumptions'!$B$27)/('Assumptions'!$B$44+'Assumptions'!$B$5/$B$8)</f>
        <v/>
      </c>
      <c r="E8" s="17">
        <f>'Assumptions'!$B$40*'Assumptions'!$B$27/$D$8</f>
        <v/>
      </c>
      <c r="F8" s="17">
        <f>$E$8-'Assumptions'!$B$40</f>
        <v/>
      </c>
      <c r="G8" s="11">
        <f>'Assumptions'!$B$25*('Assumptions'!$B$44+'Assumptions'!$B$5/'Assumptions'!$B$25)/('Assumptions'!$B$44+'Assumptions'!$B$5/$B$8)</f>
        <v/>
      </c>
      <c r="H8" s="17">
        <f>'Assumptions'!$B$38*'Assumptions'!$B$26/$G$8</f>
        <v/>
      </c>
      <c r="I8" s="17">
        <f>$H$8-'Assumptions'!$B$39</f>
        <v/>
      </c>
      <c r="J8" s="17">
        <f>MAX(0,'Assumptions'!$B$8*$V$7-'Assumptions'!$B$43)</f>
        <v/>
      </c>
      <c r="K8" s="17">
        <f>'Assumptions'!$B$44+$J$8+$F$8+$I$8+$T$7</f>
        <v/>
      </c>
      <c r="L8" s="11">
        <f>'Assumptions'!$B$57/$K$8</f>
        <v/>
      </c>
      <c r="M8" s="11">
        <f>$B$8*(1-'Assumptions'!$B$58)</f>
        <v/>
      </c>
      <c r="N8" s="11">
        <f>MIN($L$8,$M$8)</f>
        <v/>
      </c>
      <c r="O8" s="17">
        <f>'Assumptions'!$B$56/$N$8</f>
        <v/>
      </c>
      <c r="P8" s="17">
        <f>'Assumptions'!$B$44+$J$8+$F$8+$I$8+$O$8</f>
        <v/>
      </c>
      <c r="Q8" s="11">
        <f>'Assumptions'!$B$60/$P$8</f>
        <v/>
      </c>
      <c r="R8" s="11">
        <f>$B$8*(1-'Assumptions'!$B$61)</f>
        <v/>
      </c>
      <c r="S8" s="11">
        <f>MIN($Q$8,$R$8)</f>
        <v/>
      </c>
      <c r="T8" s="17">
        <f>'Assumptions'!$B$59/$S$8</f>
        <v/>
      </c>
      <c r="U8" s="17">
        <f>'Assumptions'!$B$44+$J$8+$F$8+$I$8+$O$8+$T$8</f>
        <v/>
      </c>
      <c r="V8" s="17">
        <f>$U$8+$C$8</f>
        <v/>
      </c>
    </row>
    <row r="9">
      <c r="A9" t="n">
        <v>4</v>
      </c>
      <c r="B9" s="11">
        <f>'Assumptions'!$B$4/$U$8</f>
        <v/>
      </c>
      <c r="C9" s="17">
        <f>'Assumptions'!$B$5/$B$9</f>
        <v/>
      </c>
      <c r="D9" s="11">
        <f>'Assumptions'!$B$27*('Assumptions'!$B$44+'Assumptions'!$B$5/'Assumptions'!$B$27)/('Assumptions'!$B$44+'Assumptions'!$B$5/$B$9)</f>
        <v/>
      </c>
      <c r="E9" s="17">
        <f>'Assumptions'!$B$40*'Assumptions'!$B$27/$D$9</f>
        <v/>
      </c>
      <c r="F9" s="17">
        <f>$E$9-'Assumptions'!$B$40</f>
        <v/>
      </c>
      <c r="G9" s="11">
        <f>'Assumptions'!$B$25*('Assumptions'!$B$44+'Assumptions'!$B$5/'Assumptions'!$B$25)/('Assumptions'!$B$44+'Assumptions'!$B$5/$B$9)</f>
        <v/>
      </c>
      <c r="H9" s="17">
        <f>'Assumptions'!$B$38*'Assumptions'!$B$26/$G$9</f>
        <v/>
      </c>
      <c r="I9" s="17">
        <f>$H$9-'Assumptions'!$B$39</f>
        <v/>
      </c>
      <c r="J9" s="17">
        <f>MAX(0,'Assumptions'!$B$8*$V$8-'Assumptions'!$B$43)</f>
        <v/>
      </c>
      <c r="K9" s="17">
        <f>'Assumptions'!$B$44+$J$9+$F$9+$I$9+$T$8</f>
        <v/>
      </c>
      <c r="L9" s="11">
        <f>'Assumptions'!$B$57/$K$9</f>
        <v/>
      </c>
      <c r="M9" s="11">
        <f>$B$9*(1-'Assumptions'!$B$58)</f>
        <v/>
      </c>
      <c r="N9" s="11">
        <f>MIN($L$9,$M$9)</f>
        <v/>
      </c>
      <c r="O9" s="17">
        <f>'Assumptions'!$B$56/$N$9</f>
        <v/>
      </c>
      <c r="P9" s="17">
        <f>'Assumptions'!$B$44+$J$9+$F$9+$I$9+$O$9</f>
        <v/>
      </c>
      <c r="Q9" s="11">
        <f>'Assumptions'!$B$60/$P$9</f>
        <v/>
      </c>
      <c r="R9" s="11">
        <f>$B$9*(1-'Assumptions'!$B$61)</f>
        <v/>
      </c>
      <c r="S9" s="11">
        <f>MIN($Q$9,$R$9)</f>
        <v/>
      </c>
      <c r="T9" s="17">
        <f>'Assumptions'!$B$59/$S$9</f>
        <v/>
      </c>
      <c r="U9" s="17">
        <f>'Assumptions'!$B$44+$J$9+$F$9+$I$9+$O$9+$T$9</f>
        <v/>
      </c>
      <c r="V9" s="17">
        <f>$U$9+$C$9</f>
        <v/>
      </c>
    </row>
    <row r="10">
      <c r="A10" t="n">
        <v>5</v>
      </c>
      <c r="B10" s="11">
        <f>'Assumptions'!$B$4/$U$9</f>
        <v/>
      </c>
      <c r="C10" s="17">
        <f>'Assumptions'!$B$5/$B$10</f>
        <v/>
      </c>
      <c r="D10" s="11">
        <f>'Assumptions'!$B$27*('Assumptions'!$B$44+'Assumptions'!$B$5/'Assumptions'!$B$27)/('Assumptions'!$B$44+'Assumptions'!$B$5/$B$10)</f>
        <v/>
      </c>
      <c r="E10" s="17">
        <f>'Assumptions'!$B$40*'Assumptions'!$B$27/$D$10</f>
        <v/>
      </c>
      <c r="F10" s="17">
        <f>$E$10-'Assumptions'!$B$40</f>
        <v/>
      </c>
      <c r="G10" s="11">
        <f>'Assumptions'!$B$25*('Assumptions'!$B$44+'Assumptions'!$B$5/'Assumptions'!$B$25)/('Assumptions'!$B$44+'Assumptions'!$B$5/$B$10)</f>
        <v/>
      </c>
      <c r="H10" s="17">
        <f>'Assumptions'!$B$38*'Assumptions'!$B$26/$G$10</f>
        <v/>
      </c>
      <c r="I10" s="17">
        <f>$H$10-'Assumptions'!$B$39</f>
        <v/>
      </c>
      <c r="J10" s="17">
        <f>MAX(0,'Assumptions'!$B$8*$V$9-'Assumptions'!$B$43)</f>
        <v/>
      </c>
      <c r="K10" s="17">
        <f>'Assumptions'!$B$44+$J$10+$F$10+$I$10+$T$9</f>
        <v/>
      </c>
      <c r="L10" s="11">
        <f>'Assumptions'!$B$57/$K$10</f>
        <v/>
      </c>
      <c r="M10" s="11">
        <f>$B$10*(1-'Assumptions'!$B$58)</f>
        <v/>
      </c>
      <c r="N10" s="11">
        <f>MIN($L$10,$M$10)</f>
        <v/>
      </c>
      <c r="O10" s="17">
        <f>'Assumptions'!$B$56/$N$10</f>
        <v/>
      </c>
      <c r="P10" s="17">
        <f>'Assumptions'!$B$44+$J$10+$F$10+$I$10+$O$10</f>
        <v/>
      </c>
      <c r="Q10" s="11">
        <f>'Assumptions'!$B$60/$P$10</f>
        <v/>
      </c>
      <c r="R10" s="11">
        <f>$B$10*(1-'Assumptions'!$B$61)</f>
        <v/>
      </c>
      <c r="S10" s="11">
        <f>MIN($Q$10,$R$10)</f>
        <v/>
      </c>
      <c r="T10" s="17">
        <f>'Assumptions'!$B$59/$S$10</f>
        <v/>
      </c>
      <c r="U10" s="17">
        <f>'Assumptions'!$B$44+$J$10+$F$10+$I$10+$O$10+$T$10</f>
        <v/>
      </c>
      <c r="V10" s="17">
        <f>$U$10+$C$10</f>
        <v/>
      </c>
    </row>
    <row r="11">
      <c r="A11" t="n">
        <v>6</v>
      </c>
      <c r="B11" s="11">
        <f>'Assumptions'!$B$4/$U$10</f>
        <v/>
      </c>
      <c r="C11" s="17">
        <f>'Assumptions'!$B$5/$B$11</f>
        <v/>
      </c>
      <c r="D11" s="11">
        <f>'Assumptions'!$B$27*('Assumptions'!$B$44+'Assumptions'!$B$5/'Assumptions'!$B$27)/('Assumptions'!$B$44+'Assumptions'!$B$5/$B$11)</f>
        <v/>
      </c>
      <c r="E11" s="17">
        <f>'Assumptions'!$B$40*'Assumptions'!$B$27/$D$11</f>
        <v/>
      </c>
      <c r="F11" s="17">
        <f>$E$11-'Assumptions'!$B$40</f>
        <v/>
      </c>
      <c r="G11" s="11">
        <f>'Assumptions'!$B$25*('Assumptions'!$B$44+'Assumptions'!$B$5/'Assumptions'!$B$25)/('Assumptions'!$B$44+'Assumptions'!$B$5/$B$11)</f>
        <v/>
      </c>
      <c r="H11" s="17">
        <f>'Assumptions'!$B$38*'Assumptions'!$B$26/$G$11</f>
        <v/>
      </c>
      <c r="I11" s="17">
        <f>$H$11-'Assumptions'!$B$39</f>
        <v/>
      </c>
      <c r="J11" s="17">
        <f>MAX(0,'Assumptions'!$B$8*$V$10-'Assumptions'!$B$43)</f>
        <v/>
      </c>
      <c r="K11" s="17">
        <f>'Assumptions'!$B$44+$J$11+$F$11+$I$11+$T$10</f>
        <v/>
      </c>
      <c r="L11" s="11">
        <f>'Assumptions'!$B$57/$K$11</f>
        <v/>
      </c>
      <c r="M11" s="11">
        <f>$B$11*(1-'Assumptions'!$B$58)</f>
        <v/>
      </c>
      <c r="N11" s="11">
        <f>MIN($L$11,$M$11)</f>
        <v/>
      </c>
      <c r="O11" s="17">
        <f>'Assumptions'!$B$56/$N$11</f>
        <v/>
      </c>
      <c r="P11" s="17">
        <f>'Assumptions'!$B$44+$J$11+$F$11+$I$11+$O$11</f>
        <v/>
      </c>
      <c r="Q11" s="11">
        <f>'Assumptions'!$B$60/$P$11</f>
        <v/>
      </c>
      <c r="R11" s="11">
        <f>$B$11*(1-'Assumptions'!$B$61)</f>
        <v/>
      </c>
      <c r="S11" s="11">
        <f>MIN($Q$11,$R$11)</f>
        <v/>
      </c>
      <c r="T11" s="17">
        <f>'Assumptions'!$B$59/$S$11</f>
        <v/>
      </c>
      <c r="U11" s="17">
        <f>'Assumptions'!$B$44+$J$11+$F$11+$I$11+$O$11+$T$11</f>
        <v/>
      </c>
      <c r="V11" s="17">
        <f>$U$11+$C$11</f>
        <v/>
      </c>
    </row>
    <row r="12">
      <c r="A12" t="n">
        <v>7</v>
      </c>
      <c r="B12" s="11">
        <f>'Assumptions'!$B$4/$U$11</f>
        <v/>
      </c>
      <c r="C12" s="17">
        <f>'Assumptions'!$B$5/$B$12</f>
        <v/>
      </c>
      <c r="D12" s="11">
        <f>'Assumptions'!$B$27*('Assumptions'!$B$44+'Assumptions'!$B$5/'Assumptions'!$B$27)/('Assumptions'!$B$44+'Assumptions'!$B$5/$B$12)</f>
        <v/>
      </c>
      <c r="E12" s="17">
        <f>'Assumptions'!$B$40*'Assumptions'!$B$27/$D$12</f>
        <v/>
      </c>
      <c r="F12" s="17">
        <f>$E$12-'Assumptions'!$B$40</f>
        <v/>
      </c>
      <c r="G12" s="11">
        <f>'Assumptions'!$B$25*('Assumptions'!$B$44+'Assumptions'!$B$5/'Assumptions'!$B$25)/('Assumptions'!$B$44+'Assumptions'!$B$5/$B$12)</f>
        <v/>
      </c>
      <c r="H12" s="17">
        <f>'Assumptions'!$B$38*'Assumptions'!$B$26/$G$12</f>
        <v/>
      </c>
      <c r="I12" s="17">
        <f>$H$12-'Assumptions'!$B$39</f>
        <v/>
      </c>
      <c r="J12" s="17">
        <f>MAX(0,'Assumptions'!$B$8*$V$11-'Assumptions'!$B$43)</f>
        <v/>
      </c>
      <c r="K12" s="17">
        <f>'Assumptions'!$B$44+$J$12+$F$12+$I$12+$T$11</f>
        <v/>
      </c>
      <c r="L12" s="11">
        <f>'Assumptions'!$B$57/$K$12</f>
        <v/>
      </c>
      <c r="M12" s="11">
        <f>$B$12*(1-'Assumptions'!$B$58)</f>
        <v/>
      </c>
      <c r="N12" s="11">
        <f>MIN($L$12,$M$12)</f>
        <v/>
      </c>
      <c r="O12" s="17">
        <f>'Assumptions'!$B$56/$N$12</f>
        <v/>
      </c>
      <c r="P12" s="17">
        <f>'Assumptions'!$B$44+$J$12+$F$12+$I$12+$O$12</f>
        <v/>
      </c>
      <c r="Q12" s="11">
        <f>'Assumptions'!$B$60/$P$12</f>
        <v/>
      </c>
      <c r="R12" s="11">
        <f>$B$12*(1-'Assumptions'!$B$61)</f>
        <v/>
      </c>
      <c r="S12" s="11">
        <f>MIN($Q$12,$R$12)</f>
        <v/>
      </c>
      <c r="T12" s="17">
        <f>'Assumptions'!$B$59/$S$12</f>
        <v/>
      </c>
      <c r="U12" s="17">
        <f>'Assumptions'!$B$44+$J$12+$F$12+$I$12+$O$12+$T$12</f>
        <v/>
      </c>
      <c r="V12" s="17">
        <f>$U$12+$C$12</f>
        <v/>
      </c>
    </row>
    <row r="13">
      <c r="A13" t="n">
        <v>8</v>
      </c>
      <c r="B13" s="11">
        <f>'Assumptions'!$B$4/$U$12</f>
        <v/>
      </c>
      <c r="C13" s="17">
        <f>'Assumptions'!$B$5/$B$13</f>
        <v/>
      </c>
      <c r="D13" s="11">
        <f>'Assumptions'!$B$27*('Assumptions'!$B$44+'Assumptions'!$B$5/'Assumptions'!$B$27)/('Assumptions'!$B$44+'Assumptions'!$B$5/$B$13)</f>
        <v/>
      </c>
      <c r="E13" s="17">
        <f>'Assumptions'!$B$40*'Assumptions'!$B$27/$D$13</f>
        <v/>
      </c>
      <c r="F13" s="17">
        <f>$E$13-'Assumptions'!$B$40</f>
        <v/>
      </c>
      <c r="G13" s="11">
        <f>'Assumptions'!$B$25*('Assumptions'!$B$44+'Assumptions'!$B$5/'Assumptions'!$B$25)/('Assumptions'!$B$44+'Assumptions'!$B$5/$B$13)</f>
        <v/>
      </c>
      <c r="H13" s="17">
        <f>'Assumptions'!$B$38*'Assumptions'!$B$26/$G$13</f>
        <v/>
      </c>
      <c r="I13" s="17">
        <f>$H$13-'Assumptions'!$B$39</f>
        <v/>
      </c>
      <c r="J13" s="17">
        <f>MAX(0,'Assumptions'!$B$8*$V$12-'Assumptions'!$B$43)</f>
        <v/>
      </c>
      <c r="K13" s="17">
        <f>'Assumptions'!$B$44+$J$13+$F$13+$I$13+$T$12</f>
        <v/>
      </c>
      <c r="L13" s="11">
        <f>'Assumptions'!$B$57/$K$13</f>
        <v/>
      </c>
      <c r="M13" s="11">
        <f>$B$13*(1-'Assumptions'!$B$58)</f>
        <v/>
      </c>
      <c r="N13" s="11">
        <f>MIN($L$13,$M$13)</f>
        <v/>
      </c>
      <c r="O13" s="17">
        <f>'Assumptions'!$B$56/$N$13</f>
        <v/>
      </c>
      <c r="P13" s="17">
        <f>'Assumptions'!$B$44+$J$13+$F$13+$I$13+$O$13</f>
        <v/>
      </c>
      <c r="Q13" s="11">
        <f>'Assumptions'!$B$60/$P$13</f>
        <v/>
      </c>
      <c r="R13" s="11">
        <f>$B$13*(1-'Assumptions'!$B$61)</f>
        <v/>
      </c>
      <c r="S13" s="11">
        <f>MIN($Q$13,$R$13)</f>
        <v/>
      </c>
      <c r="T13" s="17">
        <f>'Assumptions'!$B$59/$S$13</f>
        <v/>
      </c>
      <c r="U13" s="17">
        <f>'Assumptions'!$B$44+$J$13+$F$13+$I$13+$O$13+$T$13</f>
        <v/>
      </c>
      <c r="V13" s="17">
        <f>$U$13+$C$13</f>
        <v/>
      </c>
    </row>
    <row r="14">
      <c r="A14" t="n">
        <v>9</v>
      </c>
      <c r="B14" s="11">
        <f>'Assumptions'!$B$4/$U$13</f>
        <v/>
      </c>
      <c r="C14" s="17">
        <f>'Assumptions'!$B$5/$B$14</f>
        <v/>
      </c>
      <c r="D14" s="11">
        <f>'Assumptions'!$B$27*('Assumptions'!$B$44+'Assumptions'!$B$5/'Assumptions'!$B$27)/('Assumptions'!$B$44+'Assumptions'!$B$5/$B$14)</f>
        <v/>
      </c>
      <c r="E14" s="17">
        <f>'Assumptions'!$B$40*'Assumptions'!$B$27/$D$14</f>
        <v/>
      </c>
      <c r="F14" s="17">
        <f>$E$14-'Assumptions'!$B$40</f>
        <v/>
      </c>
      <c r="G14" s="11">
        <f>'Assumptions'!$B$25*('Assumptions'!$B$44+'Assumptions'!$B$5/'Assumptions'!$B$25)/('Assumptions'!$B$44+'Assumptions'!$B$5/$B$14)</f>
        <v/>
      </c>
      <c r="H14" s="17">
        <f>'Assumptions'!$B$38*'Assumptions'!$B$26/$G$14</f>
        <v/>
      </c>
      <c r="I14" s="17">
        <f>$H$14-'Assumptions'!$B$39</f>
        <v/>
      </c>
      <c r="J14" s="17">
        <f>MAX(0,'Assumptions'!$B$8*$V$13-'Assumptions'!$B$43)</f>
        <v/>
      </c>
      <c r="K14" s="17">
        <f>'Assumptions'!$B$44+$J$14+$F$14+$I$14+$T$13</f>
        <v/>
      </c>
      <c r="L14" s="11">
        <f>'Assumptions'!$B$57/$K$14</f>
        <v/>
      </c>
      <c r="M14" s="11">
        <f>$B$14*(1-'Assumptions'!$B$58)</f>
        <v/>
      </c>
      <c r="N14" s="11">
        <f>MIN($L$14,$M$14)</f>
        <v/>
      </c>
      <c r="O14" s="17">
        <f>'Assumptions'!$B$56/$N$14</f>
        <v/>
      </c>
      <c r="P14" s="17">
        <f>'Assumptions'!$B$44+$J$14+$F$14+$I$14+$O$14</f>
        <v/>
      </c>
      <c r="Q14" s="11">
        <f>'Assumptions'!$B$60/$P$14</f>
        <v/>
      </c>
      <c r="R14" s="11">
        <f>$B$14*(1-'Assumptions'!$B$61)</f>
        <v/>
      </c>
      <c r="S14" s="11">
        <f>MIN($Q$14,$R$14)</f>
        <v/>
      </c>
      <c r="T14" s="17">
        <f>'Assumptions'!$B$59/$S$14</f>
        <v/>
      </c>
      <c r="U14" s="17">
        <f>'Assumptions'!$B$44+$J$14+$F$14+$I$14+$O$14+$T$14</f>
        <v/>
      </c>
      <c r="V14" s="17">
        <f>$U$14+$C$14</f>
        <v/>
      </c>
    </row>
    <row r="15">
      <c r="A15" t="n">
        <v>10</v>
      </c>
      <c r="B15" s="11">
        <f>'Assumptions'!$B$4/$U$14</f>
        <v/>
      </c>
      <c r="C15" s="17">
        <f>'Assumptions'!$B$5/$B$15</f>
        <v/>
      </c>
      <c r="D15" s="11">
        <f>'Assumptions'!$B$27*('Assumptions'!$B$44+'Assumptions'!$B$5/'Assumptions'!$B$27)/('Assumptions'!$B$44+'Assumptions'!$B$5/$B$15)</f>
        <v/>
      </c>
      <c r="E15" s="17">
        <f>'Assumptions'!$B$40*'Assumptions'!$B$27/$D$15</f>
        <v/>
      </c>
      <c r="F15" s="17">
        <f>$E$15-'Assumptions'!$B$40</f>
        <v/>
      </c>
      <c r="G15" s="11">
        <f>'Assumptions'!$B$25*('Assumptions'!$B$44+'Assumptions'!$B$5/'Assumptions'!$B$25)/('Assumptions'!$B$44+'Assumptions'!$B$5/$B$15)</f>
        <v/>
      </c>
      <c r="H15" s="17">
        <f>'Assumptions'!$B$38*'Assumptions'!$B$26/$G$15</f>
        <v/>
      </c>
      <c r="I15" s="17">
        <f>$H$15-'Assumptions'!$B$39</f>
        <v/>
      </c>
      <c r="J15" s="17">
        <f>MAX(0,'Assumptions'!$B$8*$V$14-'Assumptions'!$B$43)</f>
        <v/>
      </c>
      <c r="K15" s="17">
        <f>'Assumptions'!$B$44+$J$15+$F$15+$I$15+$T$14</f>
        <v/>
      </c>
      <c r="L15" s="11">
        <f>'Assumptions'!$B$57/$K$15</f>
        <v/>
      </c>
      <c r="M15" s="11">
        <f>$B$15*(1-'Assumptions'!$B$58)</f>
        <v/>
      </c>
      <c r="N15" s="11">
        <f>MIN($L$15,$M$15)</f>
        <v/>
      </c>
      <c r="O15" s="17">
        <f>'Assumptions'!$B$56/$N$15</f>
        <v/>
      </c>
      <c r="P15" s="17">
        <f>'Assumptions'!$B$44+$J$15+$F$15+$I$15+$O$15</f>
        <v/>
      </c>
      <c r="Q15" s="11">
        <f>'Assumptions'!$B$60/$P$15</f>
        <v/>
      </c>
      <c r="R15" s="11">
        <f>$B$15*(1-'Assumptions'!$B$61)</f>
        <v/>
      </c>
      <c r="S15" s="11">
        <f>MIN($Q$15,$R$15)</f>
        <v/>
      </c>
      <c r="T15" s="17">
        <f>'Assumptions'!$B$59/$S$15</f>
        <v/>
      </c>
      <c r="U15" s="17">
        <f>'Assumptions'!$B$44+$J$15+$F$15+$I$15+$O$15+$T$15</f>
        <v/>
      </c>
      <c r="V15" s="17">
        <f>$U$15+$C$15</f>
        <v/>
      </c>
    </row>
    <row r="16">
      <c r="A16" t="n">
        <v>11</v>
      </c>
      <c r="B16" s="11">
        <f>'Assumptions'!$B$4/$U$15</f>
        <v/>
      </c>
      <c r="C16" s="17">
        <f>'Assumptions'!$B$5/$B$16</f>
        <v/>
      </c>
      <c r="D16" s="11">
        <f>'Assumptions'!$B$27*('Assumptions'!$B$44+'Assumptions'!$B$5/'Assumptions'!$B$27)/('Assumptions'!$B$44+'Assumptions'!$B$5/$B$16)</f>
        <v/>
      </c>
      <c r="E16" s="17">
        <f>'Assumptions'!$B$40*'Assumptions'!$B$27/$D$16</f>
        <v/>
      </c>
      <c r="F16" s="17">
        <f>$E$16-'Assumptions'!$B$40</f>
        <v/>
      </c>
      <c r="G16" s="11">
        <f>'Assumptions'!$B$25*('Assumptions'!$B$44+'Assumptions'!$B$5/'Assumptions'!$B$25)/('Assumptions'!$B$44+'Assumptions'!$B$5/$B$16)</f>
        <v/>
      </c>
      <c r="H16" s="17">
        <f>'Assumptions'!$B$38*'Assumptions'!$B$26/$G$16</f>
        <v/>
      </c>
      <c r="I16" s="17">
        <f>$H$16-'Assumptions'!$B$39</f>
        <v/>
      </c>
      <c r="J16" s="17">
        <f>MAX(0,'Assumptions'!$B$8*$V$15-'Assumptions'!$B$43)</f>
        <v/>
      </c>
      <c r="K16" s="17">
        <f>'Assumptions'!$B$44+$J$16+$F$16+$I$16+$T$15</f>
        <v/>
      </c>
      <c r="L16" s="11">
        <f>'Assumptions'!$B$57/$K$16</f>
        <v/>
      </c>
      <c r="M16" s="11">
        <f>$B$16*(1-'Assumptions'!$B$58)</f>
        <v/>
      </c>
      <c r="N16" s="11">
        <f>MIN($L$16,$M$16)</f>
        <v/>
      </c>
      <c r="O16" s="17">
        <f>'Assumptions'!$B$56/$N$16</f>
        <v/>
      </c>
      <c r="P16" s="17">
        <f>'Assumptions'!$B$44+$J$16+$F$16+$I$16+$O$16</f>
        <v/>
      </c>
      <c r="Q16" s="11">
        <f>'Assumptions'!$B$60/$P$16</f>
        <v/>
      </c>
      <c r="R16" s="11">
        <f>$B$16*(1-'Assumptions'!$B$61)</f>
        <v/>
      </c>
      <c r="S16" s="11">
        <f>MIN($Q$16,$R$16)</f>
        <v/>
      </c>
      <c r="T16" s="17">
        <f>'Assumptions'!$B$59/$S$16</f>
        <v/>
      </c>
      <c r="U16" s="17">
        <f>'Assumptions'!$B$44+$J$16+$F$16+$I$16+$O$16+$T$16</f>
        <v/>
      </c>
      <c r="V16" s="17">
        <f>$U$16+$C$16</f>
        <v/>
      </c>
    </row>
    <row r="17">
      <c r="A17" t="n">
        <v>12</v>
      </c>
      <c r="B17" s="11">
        <f>'Assumptions'!$B$4/$U$16</f>
        <v/>
      </c>
      <c r="C17" s="17">
        <f>'Assumptions'!$B$5/$B$17</f>
        <v/>
      </c>
      <c r="D17" s="11">
        <f>'Assumptions'!$B$27*('Assumptions'!$B$44+'Assumptions'!$B$5/'Assumptions'!$B$27)/('Assumptions'!$B$44+'Assumptions'!$B$5/$B$17)</f>
        <v/>
      </c>
      <c r="E17" s="17">
        <f>'Assumptions'!$B$40*'Assumptions'!$B$27/$D$17</f>
        <v/>
      </c>
      <c r="F17" s="17">
        <f>$E$17-'Assumptions'!$B$40</f>
        <v/>
      </c>
      <c r="G17" s="11">
        <f>'Assumptions'!$B$25*('Assumptions'!$B$44+'Assumptions'!$B$5/'Assumptions'!$B$25)/('Assumptions'!$B$44+'Assumptions'!$B$5/$B$17)</f>
        <v/>
      </c>
      <c r="H17" s="17">
        <f>'Assumptions'!$B$38*'Assumptions'!$B$26/$G$17</f>
        <v/>
      </c>
      <c r="I17" s="17">
        <f>$H$17-'Assumptions'!$B$39</f>
        <v/>
      </c>
      <c r="J17" s="17">
        <f>MAX(0,'Assumptions'!$B$8*$V$16-'Assumptions'!$B$43)</f>
        <v/>
      </c>
      <c r="K17" s="17">
        <f>'Assumptions'!$B$44+$J$17+$F$17+$I$17+$T$16</f>
        <v/>
      </c>
      <c r="L17" s="11">
        <f>'Assumptions'!$B$57/$K$17</f>
        <v/>
      </c>
      <c r="M17" s="11">
        <f>$B$17*(1-'Assumptions'!$B$58)</f>
        <v/>
      </c>
      <c r="N17" s="11">
        <f>MIN($L$17,$M$17)</f>
        <v/>
      </c>
      <c r="O17" s="17">
        <f>'Assumptions'!$B$56/$N$17</f>
        <v/>
      </c>
      <c r="P17" s="17">
        <f>'Assumptions'!$B$44+$J$17+$F$17+$I$17+$O$17</f>
        <v/>
      </c>
      <c r="Q17" s="11">
        <f>'Assumptions'!$B$60/$P$17</f>
        <v/>
      </c>
      <c r="R17" s="11">
        <f>$B$17*(1-'Assumptions'!$B$61)</f>
        <v/>
      </c>
      <c r="S17" s="11">
        <f>MIN($Q$17,$R$17)</f>
        <v/>
      </c>
      <c r="T17" s="17">
        <f>'Assumptions'!$B$59/$S$17</f>
        <v/>
      </c>
      <c r="U17" s="17">
        <f>'Assumptions'!$B$44+$J$17+$F$17+$I$17+$O$17+$T$17</f>
        <v/>
      </c>
      <c r="V17" s="17">
        <f>$U$17+$C$17</f>
        <v/>
      </c>
    </row>
    <row r="18">
      <c r="A18" t="n">
        <v>13</v>
      </c>
      <c r="B18" s="11">
        <f>'Assumptions'!$B$4/$U$17</f>
        <v/>
      </c>
      <c r="C18" s="17">
        <f>'Assumptions'!$B$5/$B$18</f>
        <v/>
      </c>
      <c r="D18" s="11">
        <f>'Assumptions'!$B$27*('Assumptions'!$B$44+'Assumptions'!$B$5/'Assumptions'!$B$27)/('Assumptions'!$B$44+'Assumptions'!$B$5/$B$18)</f>
        <v/>
      </c>
      <c r="E18" s="17">
        <f>'Assumptions'!$B$40*'Assumptions'!$B$27/$D$18</f>
        <v/>
      </c>
      <c r="F18" s="17">
        <f>$E$18-'Assumptions'!$B$40</f>
        <v/>
      </c>
      <c r="G18" s="11">
        <f>'Assumptions'!$B$25*('Assumptions'!$B$44+'Assumptions'!$B$5/'Assumptions'!$B$25)/('Assumptions'!$B$44+'Assumptions'!$B$5/$B$18)</f>
        <v/>
      </c>
      <c r="H18" s="17">
        <f>'Assumptions'!$B$38*'Assumptions'!$B$26/$G$18</f>
        <v/>
      </c>
      <c r="I18" s="17">
        <f>$H$18-'Assumptions'!$B$39</f>
        <v/>
      </c>
      <c r="J18" s="17">
        <f>MAX(0,'Assumptions'!$B$8*$V$17-'Assumptions'!$B$43)</f>
        <v/>
      </c>
      <c r="K18" s="17">
        <f>'Assumptions'!$B$44+$J$18+$F$18+$I$18+$T$17</f>
        <v/>
      </c>
      <c r="L18" s="11">
        <f>'Assumptions'!$B$57/$K$18</f>
        <v/>
      </c>
      <c r="M18" s="11">
        <f>$B$18*(1-'Assumptions'!$B$58)</f>
        <v/>
      </c>
      <c r="N18" s="11">
        <f>MIN($L$18,$M$18)</f>
        <v/>
      </c>
      <c r="O18" s="17">
        <f>'Assumptions'!$B$56/$N$18</f>
        <v/>
      </c>
      <c r="P18" s="17">
        <f>'Assumptions'!$B$44+$J$18+$F$18+$I$18+$O$18</f>
        <v/>
      </c>
      <c r="Q18" s="11">
        <f>'Assumptions'!$B$60/$P$18</f>
        <v/>
      </c>
      <c r="R18" s="11">
        <f>$B$18*(1-'Assumptions'!$B$61)</f>
        <v/>
      </c>
      <c r="S18" s="11">
        <f>MIN($Q$18,$R$18)</f>
        <v/>
      </c>
      <c r="T18" s="17">
        <f>'Assumptions'!$B$59/$S$18</f>
        <v/>
      </c>
      <c r="U18" s="17">
        <f>'Assumptions'!$B$44+$J$18+$F$18+$I$18+$O$18+$T$18</f>
        <v/>
      </c>
      <c r="V18" s="17">
        <f>$U$18+$C$18</f>
        <v/>
      </c>
    </row>
    <row r="19">
      <c r="A19" t="n">
        <v>14</v>
      </c>
      <c r="B19" s="11">
        <f>'Assumptions'!$B$4/$U$18</f>
        <v/>
      </c>
      <c r="C19" s="17">
        <f>'Assumptions'!$B$5/$B$19</f>
        <v/>
      </c>
      <c r="D19" s="11">
        <f>'Assumptions'!$B$27*('Assumptions'!$B$44+'Assumptions'!$B$5/'Assumptions'!$B$27)/('Assumptions'!$B$44+'Assumptions'!$B$5/$B$19)</f>
        <v/>
      </c>
      <c r="E19" s="17">
        <f>'Assumptions'!$B$40*'Assumptions'!$B$27/$D$19</f>
        <v/>
      </c>
      <c r="F19" s="17">
        <f>$E$19-'Assumptions'!$B$40</f>
        <v/>
      </c>
      <c r="G19" s="11">
        <f>'Assumptions'!$B$25*('Assumptions'!$B$44+'Assumptions'!$B$5/'Assumptions'!$B$25)/('Assumptions'!$B$44+'Assumptions'!$B$5/$B$19)</f>
        <v/>
      </c>
      <c r="H19" s="17">
        <f>'Assumptions'!$B$38*'Assumptions'!$B$26/$G$19</f>
        <v/>
      </c>
      <c r="I19" s="17">
        <f>$H$19-'Assumptions'!$B$39</f>
        <v/>
      </c>
      <c r="J19" s="17">
        <f>MAX(0,'Assumptions'!$B$8*$V$18-'Assumptions'!$B$43)</f>
        <v/>
      </c>
      <c r="K19" s="17">
        <f>'Assumptions'!$B$44+$J$19+$F$19+$I$19+$T$18</f>
        <v/>
      </c>
      <c r="L19" s="11">
        <f>'Assumptions'!$B$57/$K$19</f>
        <v/>
      </c>
      <c r="M19" s="11">
        <f>$B$19*(1-'Assumptions'!$B$58)</f>
        <v/>
      </c>
      <c r="N19" s="11">
        <f>MIN($L$19,$M$19)</f>
        <v/>
      </c>
      <c r="O19" s="17">
        <f>'Assumptions'!$B$56/$N$19</f>
        <v/>
      </c>
      <c r="P19" s="17">
        <f>'Assumptions'!$B$44+$J$19+$F$19+$I$19+$O$19</f>
        <v/>
      </c>
      <c r="Q19" s="11">
        <f>'Assumptions'!$B$60/$P$19</f>
        <v/>
      </c>
      <c r="R19" s="11">
        <f>$B$19*(1-'Assumptions'!$B$61)</f>
        <v/>
      </c>
      <c r="S19" s="11">
        <f>MIN($Q$19,$R$19)</f>
        <v/>
      </c>
      <c r="T19" s="17">
        <f>'Assumptions'!$B$59/$S$19</f>
        <v/>
      </c>
      <c r="U19" s="17">
        <f>'Assumptions'!$B$44+$J$19+$F$19+$I$19+$O$19+$T$19</f>
        <v/>
      </c>
      <c r="V19" s="17">
        <f>$U$19+$C$19</f>
        <v/>
      </c>
      <c r="W19" s="2" t="inlineStr">
        <is>
          <t>branch_A</t>
        </is>
      </c>
      <c r="X19" s="2" t="inlineStr">
        <is>
          <t>branch_B</t>
        </is>
      </c>
      <c r="Y19" s="2" t="inlineStr">
        <is>
          <t>post_F_options</t>
        </is>
      </c>
      <c r="Z19" s="2" t="inlineStr">
        <is>
          <t>unissued_opts</t>
        </is>
      </c>
      <c r="AA19" s="2" t="inlineStr">
        <is>
          <t>issued_opts</t>
        </is>
      </c>
    </row>
    <row r="20">
      <c r="A20" t="n">
        <v>15</v>
      </c>
      <c r="B20" s="11">
        <f>'Assumptions'!$B$4/$U$19</f>
        <v/>
      </c>
      <c r="C20" s="17">
        <f>'Assumptions'!$B$5/$B$20</f>
        <v/>
      </c>
      <c r="D20" s="11">
        <f>'Assumptions'!$B$27*('Assumptions'!$B$44+'Assumptions'!$B$5/'Assumptions'!$B$27)/('Assumptions'!$B$44+'Assumptions'!$B$5/$B$20)</f>
        <v/>
      </c>
      <c r="E20" s="17">
        <f>'Assumptions'!$B$40*'Assumptions'!$B$27/$D$20</f>
        <v/>
      </c>
      <c r="F20" s="17">
        <f>$E$20-'Assumptions'!$B$40</f>
        <v/>
      </c>
      <c r="G20" s="11">
        <f>'Assumptions'!$B$25*('Assumptions'!$B$44+'Assumptions'!$B$5/'Assumptions'!$B$25)/('Assumptions'!$B$44+'Assumptions'!$B$5/$B$20)</f>
        <v/>
      </c>
      <c r="H20" s="17">
        <f>'Assumptions'!$B$38*'Assumptions'!$B$26/$G$20</f>
        <v/>
      </c>
      <c r="I20" s="17">
        <f>$H$20-'Assumptions'!$B$39</f>
        <v/>
      </c>
      <c r="J20" s="17">
        <f>MAX(0,'Assumptions'!$B$8*$V$19-'Assumptions'!$B$43)</f>
        <v/>
      </c>
      <c r="K20" s="17">
        <f>'Assumptions'!$B$44+$J$20+$F$20+$I$20+$T$19</f>
        <v/>
      </c>
      <c r="L20" s="11">
        <f>'Assumptions'!$B$57/$K$20</f>
        <v/>
      </c>
      <c r="M20" s="11">
        <f>$B$20*(1-'Assumptions'!$B$58)</f>
        <v/>
      </c>
      <c r="N20" s="11">
        <f>MIN($L$20,$M$20)</f>
        <v/>
      </c>
      <c r="O20" s="17">
        <f>'Assumptions'!$B$56/$N$20</f>
        <v/>
      </c>
      <c r="P20" s="17">
        <f>'Assumptions'!$B$44+$J$20+$F$20+$I$20+$O$20</f>
        <v/>
      </c>
      <c r="Q20" s="11">
        <f>'Assumptions'!$B$60/$P$20</f>
        <v/>
      </c>
      <c r="R20" s="11">
        <f>$B$20*(1-'Assumptions'!$B$61)</f>
        <v/>
      </c>
      <c r="S20" s="11">
        <f>MIN($Q$20,$R$20)</f>
        <v/>
      </c>
      <c r="T20" s="17">
        <f>'Assumptions'!$B$59/$S$20</f>
        <v/>
      </c>
      <c r="U20" s="17">
        <f>'Assumptions'!$B$44+$J$20+$F$20+$I$20+$O$20+$T$20</f>
        <v/>
      </c>
      <c r="V20" s="17">
        <f>$U$20+$C$20</f>
        <v/>
      </c>
      <c r="W20">
        <f>IF('Pro-Forma'!$L$20&lt;'Pro-Forma'!$M$20,"cap","discount")</f>
        <v/>
      </c>
      <c r="X20">
        <f>IF('Pro-Forma'!$Q$20&lt;'Pro-Forma'!$R$20,"cap","discount")</f>
        <v/>
      </c>
      <c r="Y20" s="12">
        <f>'Assumptions'!$B$43+'Pro-Forma'!$J$20</f>
        <v/>
      </c>
      <c r="Z20" s="12">
        <f>'Assumptions'!$B$42+'Pro-Forma'!$J$20</f>
        <v/>
      </c>
      <c r="AA20" s="8">
        <f>'Assumptions'!$B$41</f>
        <v/>
      </c>
    </row>
    <row r="23">
      <c r="A23" s="10" t="inlineStr">
        <is>
          <t>ANTI-DILUTION BLOCK</t>
        </is>
      </c>
    </row>
    <row r="24">
      <c r="A24" s="13" t="inlineStr">
        <is>
          <t>Class</t>
        </is>
      </c>
      <c r="B24" s="13" t="inlineStr">
        <is>
          <t>OCP-for-AD</t>
        </is>
      </c>
      <c r="C24" s="13" t="inlineStr">
        <is>
          <t>Trigger (F_PPS&lt;OCP)</t>
        </is>
      </c>
      <c r="D24" s="13" t="inlineStr">
        <is>
          <t>New NCP</t>
        </is>
      </c>
      <c r="E24" s="13" t="inlineStr">
        <is>
          <t>New ratio</t>
        </is>
      </c>
      <c r="F24" s="13" t="inlineStr">
        <is>
          <t>Original shares</t>
        </is>
      </c>
      <c r="G24" s="13" t="inlineStr">
        <is>
          <t>As-converted shares</t>
        </is>
      </c>
    </row>
    <row r="25">
      <c r="A25" t="inlineStr">
        <is>
          <t>Series Seed</t>
        </is>
      </c>
      <c r="B25" s="7">
        <f>'Assumptions'!$B$21</f>
        <v/>
      </c>
      <c r="C25">
        <f>IF('Pro-Forma'!$B$20&lt;'Assumptions'!$B$21,"trigger","dormant")</f>
        <v/>
      </c>
      <c r="D25" s="7">
        <f>'Assumptions'!$B$21</f>
        <v/>
      </c>
      <c r="E25" s="14">
        <f>1</f>
        <v/>
      </c>
      <c r="F25" s="8">
        <f>'Assumptions'!$B$34</f>
        <v/>
      </c>
      <c r="G25" s="8">
        <f>'Assumptions'!$B$34</f>
        <v/>
      </c>
    </row>
    <row r="26">
      <c r="A26" t="inlineStr">
        <is>
          <t>Series A</t>
        </is>
      </c>
      <c r="B26" s="7">
        <f>'Assumptions'!$B$22</f>
        <v/>
      </c>
      <c r="C26">
        <f>IF('Pro-Forma'!$B$20&lt;'Assumptions'!$B$22,"trigger","dormant")</f>
        <v/>
      </c>
      <c r="D26" s="7">
        <f>'Assumptions'!$B$22</f>
        <v/>
      </c>
      <c r="E26" s="14">
        <f>1</f>
        <v/>
      </c>
      <c r="F26" s="8">
        <f>'Assumptions'!$B$35</f>
        <v/>
      </c>
      <c r="G26" s="8">
        <f>'Assumptions'!$B$35</f>
        <v/>
      </c>
    </row>
    <row r="27">
      <c r="A27" t="inlineStr">
        <is>
          <t>Series B</t>
        </is>
      </c>
      <c r="B27" s="7">
        <f>'Assumptions'!$B$23</f>
        <v/>
      </c>
      <c r="C27">
        <f>IF('Pro-Forma'!$B$20&lt;'Assumptions'!$B$23,"trigger","dormant")</f>
        <v/>
      </c>
      <c r="D27" s="7">
        <f>'Assumptions'!$B$23</f>
        <v/>
      </c>
      <c r="E27" s="14">
        <f>1</f>
        <v/>
      </c>
      <c r="F27" s="8">
        <f>'Assumptions'!$B$36</f>
        <v/>
      </c>
      <c r="G27" s="8">
        <f>'Assumptions'!$B$36</f>
        <v/>
      </c>
    </row>
    <row r="28">
      <c r="A28" t="inlineStr">
        <is>
          <t>Series C</t>
        </is>
      </c>
      <c r="B28" s="7">
        <f>'Assumptions'!$B$24</f>
        <v/>
      </c>
      <c r="C28">
        <f>IF('Pro-Forma'!$B$20&lt;'Assumptions'!$B$24,"trigger","dormant")</f>
        <v/>
      </c>
      <c r="D28" s="7">
        <f>'Assumptions'!$B$24</f>
        <v/>
      </c>
      <c r="E28" s="14">
        <f>1</f>
        <v/>
      </c>
      <c r="F28" s="8">
        <f>'Assumptions'!$B$37</f>
        <v/>
      </c>
      <c r="G28" s="8">
        <f>'Assumptions'!$B$37</f>
        <v/>
      </c>
    </row>
    <row r="29">
      <c r="A29" t="inlineStr">
        <is>
          <t>Series D</t>
        </is>
      </c>
      <c r="B29" s="7">
        <f>'Assumptions'!$B$25</f>
        <v/>
      </c>
      <c r="C29">
        <f>IF('Pro-Forma'!$B$20&lt;'Assumptions'!$B$25,"trigger","dormant")</f>
        <v/>
      </c>
      <c r="D29" s="7">
        <f>'Pro-Forma'!$G$20</f>
        <v/>
      </c>
      <c r="E29" s="14">
        <f>'Assumptions'!$B$26/'Pro-Forma'!$G$20</f>
        <v/>
      </c>
      <c r="F29" s="8">
        <f>'Assumptions'!$B$38</f>
        <v/>
      </c>
      <c r="G29" s="12">
        <f>'Pro-Forma'!$H$20</f>
        <v/>
      </c>
    </row>
    <row r="30">
      <c r="A30" t="inlineStr">
        <is>
          <t>Series E</t>
        </is>
      </c>
      <c r="B30" s="7">
        <f>'Assumptions'!$B$27</f>
        <v/>
      </c>
      <c r="C30">
        <f>IF('Pro-Forma'!$B$20&lt;'Assumptions'!$B$27,"trigger","dormant")</f>
        <v/>
      </c>
      <c r="D30" s="7">
        <f>'Pro-Forma'!$D$20</f>
        <v/>
      </c>
      <c r="E30" s="14">
        <f>'Assumptions'!$B$27/'Pro-Forma'!$D$20</f>
        <v/>
      </c>
      <c r="F30" s="8">
        <f>'Assumptions'!$B$40</f>
        <v/>
      </c>
      <c r="G30" s="12">
        <f>'Pro-Forma'!$E$20</f>
        <v/>
      </c>
    </row>
    <row r="32">
      <c r="A32" s="10" t="inlineStr">
        <is>
          <t>NOTES BLOCK</t>
        </is>
      </c>
    </row>
    <row r="33">
      <c r="A33" s="13" t="inlineStr">
        <is>
          <t>Note</t>
        </is>
      </c>
      <c r="B33" s="13" t="inlineStr">
        <is>
          <t>Cap-implied PPS</t>
        </is>
      </c>
      <c r="C33" s="13" t="inlineStr">
        <is>
          <t>Discount-implied PPS</t>
        </is>
      </c>
      <c r="D33" s="13" t="inlineStr">
        <is>
          <t>Conversion PPS (MIN)</t>
        </is>
      </c>
      <c r="E33" s="13" t="inlineStr">
        <is>
          <t>Branch (IF)</t>
        </is>
      </c>
      <c r="F33" s="13" t="inlineStr">
        <is>
          <t>Shares issued</t>
        </is>
      </c>
    </row>
    <row r="34">
      <c r="A34" t="inlineStr">
        <is>
          <t>Note A</t>
        </is>
      </c>
      <c r="B34" s="7">
        <f>'Pro-Forma'!$L$20</f>
        <v/>
      </c>
      <c r="C34" s="7">
        <f>'Pro-Forma'!$M$20</f>
        <v/>
      </c>
      <c r="D34" s="7">
        <f>'Pro-Forma'!$N$20</f>
        <v/>
      </c>
      <c r="E34">
        <f>'Pro-Forma'!$W$20</f>
        <v/>
      </c>
      <c r="F34" s="12">
        <f>'Pro-Forma'!$O$20</f>
        <v/>
      </c>
    </row>
    <row r="35">
      <c r="A35" t="inlineStr">
        <is>
          <t>Note B</t>
        </is>
      </c>
      <c r="B35" s="7">
        <f>'Pro-Forma'!$Q$20</f>
        <v/>
      </c>
      <c r="C35" s="7">
        <f>'Pro-Forma'!$R$20</f>
        <v/>
      </c>
      <c r="D35" s="7">
        <f>'Pro-Forma'!$S$20</f>
        <v/>
      </c>
      <c r="E35">
        <f>'Pro-Forma'!$X$20</f>
        <v/>
      </c>
      <c r="F35" s="12">
        <f>'Pro-Forma'!$T$20</f>
        <v/>
      </c>
    </row>
    <row r="37">
      <c r="A37" s="10" t="inlineStr">
        <is>
          <t>TENDER BLOCK</t>
        </is>
      </c>
    </row>
    <row r="38">
      <c r="A38" t="inlineStr">
        <is>
          <t>Tender PPS (= mult × F_PPS)</t>
        </is>
      </c>
      <c r="B38" s="7">
        <f>'Assumptions'!$B$7*'Pro-Forma'!$B$20</f>
        <v/>
      </c>
    </row>
    <row r="39">
      <c r="A39" t="inlineStr">
        <is>
          <t>Tender shares (= secondary / tender PPS)</t>
        </is>
      </c>
      <c r="B39" s="12">
        <f>'Assumptions'!$B$6/'Pro-Forma'!$B$38</f>
        <v/>
      </c>
    </row>
    <row r="40">
      <c r="A40" t="inlineStr">
        <is>
          <t>F1 tender share-out (50%)</t>
        </is>
      </c>
      <c r="B40" s="12">
        <f>'Pro-Forma'!$B$39*0.50</f>
        <v/>
      </c>
    </row>
    <row r="41">
      <c r="A41" t="inlineStr">
        <is>
          <t>F2 tender share-out (31.25%)</t>
        </is>
      </c>
      <c r="B41" s="12">
        <f>'Pro-Forma'!$B$39*0.3125</f>
        <v/>
      </c>
    </row>
    <row r="42">
      <c r="A42" t="inlineStr">
        <is>
          <t>F3 tender share-out (18.75%)</t>
        </is>
      </c>
      <c r="B42" s="12">
        <f>'Pro-Forma'!$B$39*0.1875</f>
        <v/>
      </c>
    </row>
    <row r="43">
      <c r="A43" t="inlineStr">
        <is>
          <t>F_LEAD secondary common holding</t>
        </is>
      </c>
      <c r="B43" s="12">
        <f>'Pro-Forma'!$B$39</f>
        <v/>
      </c>
    </row>
    <row r="44">
      <c r="A44" t="inlineStr">
        <is>
          <t>F_LEAD primary F shares</t>
        </is>
      </c>
      <c r="B44" s="12">
        <f>'Assumptions'!$B$10/'Pro-Forma'!$B$20</f>
        <v/>
      </c>
    </row>
    <row r="45">
      <c r="A45" t="inlineStr">
        <is>
          <t>Our fund F shares</t>
        </is>
      </c>
      <c r="B45" s="12">
        <f>'Assumptions'!$B$9/'Pro-Forma'!$B$20</f>
        <v/>
      </c>
    </row>
    <row r="47">
      <c r="A47" s="10" t="inlineStr">
        <is>
          <t>POST-F CAP TABLE BY STAKEHOLDER</t>
        </is>
      </c>
    </row>
    <row r="48">
      <c r="A48" s="13" t="inlineStr">
        <is>
          <t>Stakeholder</t>
        </is>
      </c>
      <c r="B48" s="13" t="inlineStr">
        <is>
          <t>Common+RSAs</t>
        </is>
      </c>
      <c r="C48" s="13" t="inlineStr">
        <is>
          <t>Seed</t>
        </is>
      </c>
      <c r="D48" s="13" t="inlineStr">
        <is>
          <t>A</t>
        </is>
      </c>
      <c r="E48" s="13" t="inlineStr">
        <is>
          <t>B</t>
        </is>
      </c>
      <c r="F48" s="13" t="inlineStr">
        <is>
          <t>C</t>
        </is>
      </c>
      <c r="G48" s="13" t="inlineStr">
        <is>
          <t>D</t>
        </is>
      </c>
      <c r="H48" s="13" t="inlineStr">
        <is>
          <t>E</t>
        </is>
      </c>
      <c r="I48" s="13" t="inlineStr">
        <is>
          <t>Series F</t>
        </is>
      </c>
      <c r="J48" s="13" t="inlineStr">
        <is>
          <t>Notes-eq</t>
        </is>
      </c>
      <c r="K48" s="13" t="inlineStr">
        <is>
          <t>Issued opts</t>
        </is>
      </c>
      <c r="L48" s="13" t="inlineStr">
        <is>
          <t>Unissued opts</t>
        </is>
      </c>
      <c r="M48" s="13" t="inlineStr">
        <is>
          <t>Total FD</t>
        </is>
      </c>
      <c r="N48" s="13" t="inlineStr">
        <is>
          <t>Ownership %</t>
        </is>
      </c>
    </row>
    <row r="49">
      <c r="A49" t="inlineStr">
        <is>
          <t>Founder F1 (CEO)</t>
        </is>
      </c>
      <c r="B49" s="12">
        <f>'Assumptions'!$B$30-'Pro-Forma'!$B$40</f>
        <v/>
      </c>
      <c r="M49" s="12">
        <f>SUM(B49:L49)</f>
        <v/>
      </c>
      <c r="N49" s="15">
        <f>M49/'Pro-Forma'!$V$20</f>
        <v/>
      </c>
    </row>
    <row r="50">
      <c r="A50" t="inlineStr">
        <is>
          <t>Founder F2 (CTO)</t>
        </is>
      </c>
      <c r="B50" s="12">
        <f>'Assumptions'!$B$31-'Pro-Forma'!$B$41</f>
        <v/>
      </c>
      <c r="M50" s="12">
        <f>SUM(B50:L50)</f>
        <v/>
      </c>
      <c r="N50" s="15">
        <f>M50/'Pro-Forma'!$V$20</f>
        <v/>
      </c>
    </row>
    <row r="51">
      <c r="A51" t="inlineStr">
        <is>
          <t>Founder F3 (CSO)</t>
        </is>
      </c>
      <c r="B51" s="12">
        <f>'Assumptions'!$B$32-'Pro-Forma'!$B$42</f>
        <v/>
      </c>
      <c r="M51" s="12">
        <f>SUM(B51:L51)</f>
        <v/>
      </c>
      <c r="N51" s="15">
        <f>M51/'Pro-Forma'!$V$20</f>
        <v/>
      </c>
    </row>
    <row r="52">
      <c r="A52" t="inlineStr">
        <is>
          <t>Employee RSAs</t>
        </is>
      </c>
      <c r="B52" s="12">
        <f>'Assumptions'!$B$33</f>
        <v/>
      </c>
      <c r="M52" s="12">
        <f>SUM(B52:L52)</f>
        <v/>
      </c>
      <c r="N52" s="15">
        <f>M52/'Pro-Forma'!$V$20</f>
        <v/>
      </c>
    </row>
    <row r="53">
      <c r="A53" t="inlineStr">
        <is>
          <t>SEED1</t>
        </is>
      </c>
      <c r="C53" s="12">
        <f>'Assumptions'!$B$34</f>
        <v/>
      </c>
      <c r="M53" s="12">
        <f>SUM(B53:L53)</f>
        <v/>
      </c>
      <c r="N53" s="15">
        <f>M53/'Pro-Forma'!$V$20</f>
        <v/>
      </c>
    </row>
    <row r="54">
      <c r="A54" t="inlineStr">
        <is>
          <t>A1</t>
        </is>
      </c>
      <c r="D54" s="12">
        <f>'Assumptions'!$B$35</f>
        <v/>
      </c>
      <c r="M54" s="12">
        <f>SUM(B54:L54)</f>
        <v/>
      </c>
      <c r="N54" s="15">
        <f>M54/'Pro-Forma'!$V$20</f>
        <v/>
      </c>
    </row>
    <row r="55">
      <c r="A55" t="inlineStr">
        <is>
          <t>B1</t>
        </is>
      </c>
      <c r="E55" s="12">
        <f>'Assumptions'!$B$36</f>
        <v/>
      </c>
      <c r="M55" s="12">
        <f>SUM(B55:L55)</f>
        <v/>
      </c>
      <c r="N55" s="15">
        <f>M55/'Pro-Forma'!$V$20</f>
        <v/>
      </c>
    </row>
    <row r="56">
      <c r="A56" t="inlineStr">
        <is>
          <t>C1</t>
        </is>
      </c>
      <c r="F56" s="12">
        <f>'Assumptions'!$B$37</f>
        <v/>
      </c>
      <c r="M56" s="12">
        <f>SUM(B56:L56)</f>
        <v/>
      </c>
      <c r="N56" s="15">
        <f>M56/'Pro-Forma'!$V$20</f>
        <v/>
      </c>
    </row>
    <row r="57">
      <c r="A57" t="inlineStr">
        <is>
          <t>D1</t>
        </is>
      </c>
      <c r="G57" s="12">
        <f>'Pro-Forma'!$H$20</f>
        <v/>
      </c>
      <c r="M57" s="12">
        <f>SUM(B57:L57)</f>
        <v/>
      </c>
      <c r="N57" s="15">
        <f>M57/'Pro-Forma'!$V$20</f>
        <v/>
      </c>
    </row>
    <row r="58">
      <c r="A58" t="inlineStr">
        <is>
          <t>Series E LPs</t>
        </is>
      </c>
      <c r="H58" s="12">
        <f>'Pro-Forma'!$E$20</f>
        <v/>
      </c>
      <c r="M58" s="12">
        <f>SUM(B58:L58)</f>
        <v/>
      </c>
      <c r="N58" s="15">
        <f>M58/'Pro-Forma'!$V$20</f>
        <v/>
      </c>
    </row>
    <row r="59">
      <c r="A59" t="inlineStr">
        <is>
          <t>NA1 (Note A holder)</t>
        </is>
      </c>
      <c r="J59" s="12">
        <f>'Pro-Forma'!$O$20</f>
        <v/>
      </c>
      <c r="M59" s="12">
        <f>SUM(B59:L59)</f>
        <v/>
      </c>
      <c r="N59" s="15">
        <f>M59/'Pro-Forma'!$V$20</f>
        <v/>
      </c>
    </row>
    <row r="60">
      <c r="A60" t="inlineStr">
        <is>
          <t>NB1 (Note B holder)</t>
        </is>
      </c>
      <c r="J60" s="12">
        <f>'Pro-Forma'!$T$20</f>
        <v/>
      </c>
      <c r="M60" s="12">
        <f>SUM(B60:L60)</f>
        <v/>
      </c>
      <c r="N60" s="15">
        <f>M60/'Pro-Forma'!$V$20</f>
        <v/>
      </c>
    </row>
    <row r="61">
      <c r="A61" t="inlineStr">
        <is>
          <t>F_LEAD primary (F)</t>
        </is>
      </c>
      <c r="I61" s="12">
        <f>'Pro-Forma'!$B$44</f>
        <v/>
      </c>
      <c r="M61" s="12">
        <f>SUM(B61:L61)</f>
        <v/>
      </c>
      <c r="N61" s="15">
        <f>M61/'Pro-Forma'!$V$20</f>
        <v/>
      </c>
    </row>
    <row r="62">
      <c r="A62" t="inlineStr">
        <is>
          <t>F_LEAD secondary (common)</t>
        </is>
      </c>
      <c r="B62" s="12">
        <f>'Pro-Forma'!$B$43</f>
        <v/>
      </c>
      <c r="M62" s="12">
        <f>SUM(B62:L62)</f>
        <v/>
      </c>
      <c r="N62" s="15">
        <f>M62/'Pro-Forma'!$V$20</f>
        <v/>
      </c>
    </row>
    <row r="63">
      <c r="A63" t="inlineStr">
        <is>
          <t>F_FUND (Our fund)</t>
        </is>
      </c>
      <c r="I63" s="12">
        <f>'Pro-Forma'!$B$45</f>
        <v/>
      </c>
      <c r="M63" s="12">
        <f>SUM(B63:L63)</f>
        <v/>
      </c>
      <c r="N63" s="15">
        <f>M63/'Pro-Forma'!$V$20</f>
        <v/>
      </c>
    </row>
    <row r="64">
      <c r="A64" t="inlineStr">
        <is>
          <t>Issued options</t>
        </is>
      </c>
      <c r="K64" s="12">
        <f>'Pro-Forma'!$AA$20</f>
        <v/>
      </c>
      <c r="M64" s="12">
        <f>SUM(B64:L64)</f>
        <v/>
      </c>
      <c r="N64" s="15">
        <f>M64/'Pro-Forma'!$V$20</f>
        <v/>
      </c>
    </row>
    <row r="65">
      <c r="A65" t="inlineStr">
        <is>
          <t>Unissued options</t>
        </is>
      </c>
      <c r="L65" s="12">
        <f>'Pro-Forma'!$Z$20</f>
        <v/>
      </c>
      <c r="M65" s="12">
        <f>SUM(B65:L65)</f>
        <v/>
      </c>
      <c r="N65" s="15">
        <f>M65/'Pro-Forma'!$V$20</f>
        <v/>
      </c>
    </row>
    <row r="66">
      <c r="A66" s="2" t="inlineStr">
        <is>
          <t>TOTAL</t>
        </is>
      </c>
      <c r="B66" s="12">
        <f>SUM(B49:B65)</f>
        <v/>
      </c>
      <c r="C66" s="12">
        <f>SUM(C49:C65)</f>
        <v/>
      </c>
      <c r="D66" s="12">
        <f>SUM(D49:D65)</f>
        <v/>
      </c>
      <c r="E66" s="12">
        <f>SUM(E49:E65)</f>
        <v/>
      </c>
      <c r="F66" s="12">
        <f>SUM(F49:F65)</f>
        <v/>
      </c>
      <c r="G66" s="12">
        <f>SUM(G49:G65)</f>
        <v/>
      </c>
      <c r="H66" s="12">
        <f>SUM(H49:H65)</f>
        <v/>
      </c>
      <c r="I66" s="12">
        <f>SUM(I49:I65)</f>
        <v/>
      </c>
      <c r="J66" s="12">
        <f>SUM(J49:J65)</f>
        <v/>
      </c>
      <c r="K66" s="12">
        <f>SUM(K49:K65)</f>
        <v/>
      </c>
      <c r="L66" s="12">
        <f>SUM(L49:L65)</f>
        <v/>
      </c>
      <c r="M66" s="12">
        <f>SUM(M49:M65)</f>
        <v/>
      </c>
      <c r="N66" s="16">
        <f>SUM(N49:N65)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Waterfall — 1× Non-Participating with Conversion Election</t>
        </is>
      </c>
    </row>
    <row r="3">
      <c r="A3" s="2" t="inlineStr">
        <is>
          <t>Exit value (USD)</t>
        </is>
      </c>
      <c r="B3" s="3">
        <f>'Assumptions'!$B$14</f>
        <v/>
      </c>
      <c r="C3" s="3">
        <f>'Assumptions'!$B$15</f>
        <v/>
      </c>
      <c r="D3" s="3">
        <f>'Assumptions'!$B$16</f>
        <v/>
      </c>
      <c r="E3" s="3">
        <f>'Assumptions'!$B$17</f>
        <v/>
      </c>
      <c r="F3" s="3">
        <f>'Assumptions'!$B$18</f>
        <v/>
      </c>
    </row>
    <row r="5">
      <c r="A5" s="10" t="inlineStr">
        <is>
          <t>STATIC POOL COMPONENTS</t>
        </is>
      </c>
    </row>
    <row r="6">
      <c r="A6" t="inlineStr">
        <is>
          <t>Common+RSAs shares (founders post-tender + RSAs + tender to F_LEAD)</t>
        </is>
      </c>
      <c r="B6" s="8">
        <f>'Assumptions'!$B$30+'Assumptions'!$B$31+'Assumptions'!$B$32+'Assumptions'!$B$33</f>
        <v/>
      </c>
    </row>
    <row r="7">
      <c r="A7" t="inlineStr">
        <is>
          <t>Notes converted (N_A + N_B)</t>
        </is>
      </c>
      <c r="B7" s="12">
        <f>'Pro-Forma'!$O$20+'Pro-Forma'!$T$20</f>
        <v/>
      </c>
    </row>
    <row r="8">
      <c r="A8" t="inlineStr">
        <is>
          <t>Issued options (always assume ITM at these exits)</t>
        </is>
      </c>
      <c r="B8" s="8">
        <f>'Pro-Forma'!$AA$20</f>
        <v/>
      </c>
    </row>
    <row r="10">
      <c r="A10" s="10" t="inlineStr">
        <is>
          <t>PER-CLASS AS-CONVERTED SHARES</t>
        </is>
      </c>
    </row>
    <row r="11">
      <c r="A11" t="inlineStr">
        <is>
          <t>F shares</t>
        </is>
      </c>
      <c r="B11" s="12">
        <f>'Pro-Forma'!$C$20</f>
        <v/>
      </c>
    </row>
    <row r="12">
      <c r="A12" t="inlineStr">
        <is>
          <t>E shares</t>
        </is>
      </c>
      <c r="B12" s="12">
        <f>'Pro-Forma'!$E$20</f>
        <v/>
      </c>
    </row>
    <row r="13">
      <c r="A13" t="inlineStr">
        <is>
          <t>D shares</t>
        </is>
      </c>
      <c r="B13" s="12">
        <f>'Pro-Forma'!$H$20</f>
        <v/>
      </c>
    </row>
    <row r="14">
      <c r="A14" t="inlineStr">
        <is>
          <t>C shares</t>
        </is>
      </c>
      <c r="B14" s="12">
        <f>'Assumptions'!$B$37</f>
        <v/>
      </c>
    </row>
    <row r="15">
      <c r="A15" t="inlineStr">
        <is>
          <t>B shares</t>
        </is>
      </c>
      <c r="B15" s="12">
        <f>'Assumptions'!$B$36</f>
        <v/>
      </c>
    </row>
    <row r="16">
      <c r="A16" t="inlineStr">
        <is>
          <t>A shares</t>
        </is>
      </c>
      <c r="B16" s="12">
        <f>'Assumptions'!$B$35</f>
        <v/>
      </c>
    </row>
    <row r="17">
      <c r="A17" t="inlineStr">
        <is>
          <t>Seed shares</t>
        </is>
      </c>
      <c r="B17" s="12">
        <f>'Assumptions'!$B$34</f>
        <v/>
      </c>
    </row>
    <row r="19">
      <c r="A19" s="10" t="inlineStr">
        <is>
          <t>PER-CLASS PREFERENCE (USD)</t>
        </is>
      </c>
    </row>
    <row r="20">
      <c r="A20" t="inlineStr">
        <is>
          <t>F pref</t>
        </is>
      </c>
      <c r="B20" s="3">
        <f>'Assumptions'!$B$53</f>
        <v/>
      </c>
    </row>
    <row r="21">
      <c r="A21" t="inlineStr">
        <is>
          <t>E pref</t>
        </is>
      </c>
      <c r="B21" s="3">
        <f>'Assumptions'!$B$52</f>
        <v/>
      </c>
    </row>
    <row r="22">
      <c r="A22" t="inlineStr">
        <is>
          <t>D pref</t>
        </is>
      </c>
      <c r="B22" s="3">
        <f>'Assumptions'!$B$51</f>
        <v/>
      </c>
    </row>
    <row r="23">
      <c r="A23" t="inlineStr">
        <is>
          <t>C pref</t>
        </is>
      </c>
      <c r="B23" s="3">
        <f>'Assumptions'!$B$50</f>
        <v/>
      </c>
    </row>
    <row r="24">
      <c r="A24" t="inlineStr">
        <is>
          <t>B pref</t>
        </is>
      </c>
      <c r="B24" s="3">
        <f>'Assumptions'!$B$49</f>
        <v/>
      </c>
    </row>
    <row r="25">
      <c r="A25" t="inlineStr">
        <is>
          <t>A pref</t>
        </is>
      </c>
      <c r="B25" s="3">
        <f>'Assumptions'!$B$48</f>
        <v/>
      </c>
    </row>
    <row r="26">
      <c r="A26" t="inlineStr">
        <is>
          <t>Seed pref</t>
        </is>
      </c>
      <c r="B26" s="3">
        <f>'Assumptions'!$B$47</f>
        <v/>
      </c>
    </row>
    <row r="28">
      <c r="A28" s="13" t="inlineStr">
        <is>
          <t>--- F class ---</t>
        </is>
      </c>
    </row>
    <row r="29">
      <c r="A29" s="2" t="inlineStr">
        <is>
          <t>Senior pref total (paid above F)</t>
        </is>
      </c>
      <c r="B29" s="3">
        <f>0</f>
        <v/>
      </c>
      <c r="C29" s="3">
        <f>0</f>
        <v/>
      </c>
      <c r="D29" s="3">
        <f>0</f>
        <v/>
      </c>
      <c r="E29" s="3">
        <f>0</f>
        <v/>
      </c>
      <c r="F29" s="3">
        <f>0</f>
        <v/>
      </c>
    </row>
    <row r="30">
      <c r="A30" t="inlineStr">
        <is>
          <t>Senior convert pool shares</t>
        </is>
      </c>
      <c r="B30" s="12">
        <f>0</f>
        <v/>
      </c>
      <c r="C30" s="12">
        <f>0</f>
        <v/>
      </c>
      <c r="D30" s="12">
        <f>0</f>
        <v/>
      </c>
      <c r="E30" s="12">
        <f>0</f>
        <v/>
      </c>
      <c r="F30" s="12">
        <f>0</f>
        <v/>
      </c>
    </row>
    <row r="31">
      <c r="A31" t="inlineStr">
        <is>
          <t>Junior pool shares (assume convert)</t>
        </is>
      </c>
      <c r="B31" s="12">
        <f>$B$12+$B$13+$B$14+$B$15+$B$16+$B$17</f>
        <v/>
      </c>
      <c r="C31" s="12">
        <f>$B$12+$B$13+$B$14+$B$15+$B$16+$B$17</f>
        <v/>
      </c>
      <c r="D31" s="12">
        <f>$B$12+$B$13+$B$14+$B$15+$B$16+$B$17</f>
        <v/>
      </c>
      <c r="E31" s="12">
        <f>$B$12+$B$13+$B$14+$B$15+$B$16+$B$17</f>
        <v/>
      </c>
      <c r="F31" s="12">
        <f>$B$12+$B$13+$B$14+$B$15+$B$16+$B$17</f>
        <v/>
      </c>
    </row>
    <row r="32">
      <c r="A32" t="inlineStr">
        <is>
          <t>Convert pool size (incl. F)</t>
        </is>
      </c>
      <c r="B32" s="12">
        <f>$B$11+B30+B31+$B$6+$B$7+$B$8</f>
        <v/>
      </c>
      <c r="C32" s="12">
        <f>$B$11+C30+C31+$B$6+$B$7+$B$8</f>
        <v/>
      </c>
      <c r="D32" s="12">
        <f>$B$11+D30+D31+$B$6+$B$7+$B$8</f>
        <v/>
      </c>
      <c r="E32" s="12">
        <f>$B$11+E30+E31+$B$6+$B$7+$B$8</f>
        <v/>
      </c>
      <c r="F32" s="12">
        <f>$B$11+F30+F31+$B$6+$B$7+$B$8</f>
        <v/>
      </c>
    </row>
    <row r="33">
      <c r="A33" t="inlineStr">
        <is>
          <t>Residual cash (exit + opts strike − senior pref)</t>
        </is>
      </c>
      <c r="B33" s="3">
        <f>$B$3+'Assumptions'!$B$11*$B$8-B29</f>
        <v/>
      </c>
      <c r="C33" s="3">
        <f>$C$3+'Assumptions'!$B$11*$B$8-C29</f>
        <v/>
      </c>
      <c r="D33" s="3">
        <f>$D$3+'Assumptions'!$B$11*$B$8-D29</f>
        <v/>
      </c>
      <c r="E33" s="3">
        <f>$E$3+'Assumptions'!$B$11*$B$8-E29</f>
        <v/>
      </c>
      <c r="F33" s="3">
        <f>$F$3+'Assumptions'!$B$11*$B$8-F29</f>
        <v/>
      </c>
    </row>
    <row r="34">
      <c r="A34" t="inlineStr">
        <is>
          <t>Per-share (residual / pool)</t>
        </is>
      </c>
      <c r="B34" s="18">
        <f>B33/B32</f>
        <v/>
      </c>
      <c r="C34" s="18">
        <f>C33/C32</f>
        <v/>
      </c>
      <c r="D34" s="18">
        <f>D33/D32</f>
        <v/>
      </c>
      <c r="E34" s="18">
        <f>E33/E32</f>
        <v/>
      </c>
      <c r="F34" s="18">
        <f>F33/F32</f>
        <v/>
      </c>
    </row>
    <row r="35">
      <c r="A35" t="inlineStr">
        <is>
          <t>F convert payoff</t>
        </is>
      </c>
      <c r="B35" s="3">
        <f>$B$11*B34</f>
        <v/>
      </c>
      <c r="C35" s="3">
        <f>$B$11*C34</f>
        <v/>
      </c>
      <c r="D35" s="3">
        <f>$B$11*D34</f>
        <v/>
      </c>
      <c r="E35" s="3">
        <f>$B$11*E34</f>
        <v/>
      </c>
      <c r="F35" s="3">
        <f>$B$11*F34</f>
        <v/>
      </c>
    </row>
    <row r="36">
      <c r="A36" t="inlineStr">
        <is>
          <t>F preference payoff</t>
        </is>
      </c>
      <c r="B36" s="3">
        <f>$B$20</f>
        <v/>
      </c>
      <c r="C36" s="3">
        <f>$B$20</f>
        <v/>
      </c>
      <c r="D36" s="3">
        <f>$B$20</f>
        <v/>
      </c>
      <c r="E36" s="3">
        <f>$B$20</f>
        <v/>
      </c>
      <c r="F36" s="3">
        <f>$B$20</f>
        <v/>
      </c>
    </row>
    <row r="37">
      <c r="A37" s="2" t="inlineStr">
        <is>
          <t>F ELECTION (IF formula)</t>
        </is>
      </c>
      <c r="B37">
        <f>IF(B35&gt;B36,"convert","preference")</f>
        <v/>
      </c>
      <c r="C37">
        <f>IF(C35&gt;C36,"convert","preference")</f>
        <v/>
      </c>
      <c r="D37">
        <f>IF(D35&gt;D36,"convert","preference")</f>
        <v/>
      </c>
      <c r="E37">
        <f>IF(E35&gt;E36,"convert","preference")</f>
        <v/>
      </c>
      <c r="F37">
        <f>IF(F35&gt;F36,"convert","preference")</f>
        <v/>
      </c>
    </row>
    <row r="38">
      <c r="A38" s="2" t="inlineStr">
        <is>
          <t>F realized payoff</t>
        </is>
      </c>
      <c r="B38" s="3">
        <f>IF(B37="convert",B35,B36)</f>
        <v/>
      </c>
      <c r="C38" s="3">
        <f>IF(C37="convert",C35,C36)</f>
        <v/>
      </c>
      <c r="D38" s="3">
        <f>IF(D37="convert",D35,D36)</f>
        <v/>
      </c>
      <c r="E38" s="3">
        <f>IF(E37="convert",E35,E36)</f>
        <v/>
      </c>
      <c r="F38" s="3">
        <f>IF(F37="convert",F35,F36)</f>
        <v/>
      </c>
    </row>
    <row r="40">
      <c r="A40" s="13" t="inlineStr">
        <is>
          <t>--- E class ---</t>
        </is>
      </c>
    </row>
    <row r="41">
      <c r="A41" s="2" t="inlineStr">
        <is>
          <t>Senior pref total (paid above E)</t>
        </is>
      </c>
      <c r="B41" s="3">
        <f>IF(B37="preference",$B$20,0)</f>
        <v/>
      </c>
      <c r="C41" s="3">
        <f>IF(C37="preference",$B$20,0)</f>
        <v/>
      </c>
      <c r="D41" s="3">
        <f>IF(D37="preference",$B$20,0)</f>
        <v/>
      </c>
      <c r="E41" s="3">
        <f>IF(E37="preference",$B$20,0)</f>
        <v/>
      </c>
      <c r="F41" s="3">
        <f>IF(F37="preference",$B$20,0)</f>
        <v/>
      </c>
    </row>
    <row r="42">
      <c r="A42" t="inlineStr">
        <is>
          <t>Senior convert pool shares</t>
        </is>
      </c>
      <c r="B42" s="12">
        <f>IF(B37="convert",$B$11,0)</f>
        <v/>
      </c>
      <c r="C42" s="12">
        <f>IF(C37="convert",$B$11,0)</f>
        <v/>
      </c>
      <c r="D42" s="12">
        <f>IF(D37="convert",$B$11,0)</f>
        <v/>
      </c>
      <c r="E42" s="12">
        <f>IF(E37="convert",$B$11,0)</f>
        <v/>
      </c>
      <c r="F42" s="12">
        <f>IF(F37="convert",$B$11,0)</f>
        <v/>
      </c>
    </row>
    <row r="43">
      <c r="A43" t="inlineStr">
        <is>
          <t>Junior pool shares (assume convert)</t>
        </is>
      </c>
      <c r="B43" s="12">
        <f>$B$13+$B$14+$B$15+$B$16+$B$17</f>
        <v/>
      </c>
      <c r="C43" s="12">
        <f>$B$13+$B$14+$B$15+$B$16+$B$17</f>
        <v/>
      </c>
      <c r="D43" s="12">
        <f>$B$13+$B$14+$B$15+$B$16+$B$17</f>
        <v/>
      </c>
      <c r="E43" s="12">
        <f>$B$13+$B$14+$B$15+$B$16+$B$17</f>
        <v/>
      </c>
      <c r="F43" s="12">
        <f>$B$13+$B$14+$B$15+$B$16+$B$17</f>
        <v/>
      </c>
    </row>
    <row r="44">
      <c r="A44" t="inlineStr">
        <is>
          <t>Convert pool size (incl. E)</t>
        </is>
      </c>
      <c r="B44" s="12">
        <f>$B$12+B42+B43+$B$6+$B$7+$B$8</f>
        <v/>
      </c>
      <c r="C44" s="12">
        <f>$B$12+C42+C43+$B$6+$B$7+$B$8</f>
        <v/>
      </c>
      <c r="D44" s="12">
        <f>$B$12+D42+D43+$B$6+$B$7+$B$8</f>
        <v/>
      </c>
      <c r="E44" s="12">
        <f>$B$12+E42+E43+$B$6+$B$7+$B$8</f>
        <v/>
      </c>
      <c r="F44" s="12">
        <f>$B$12+F42+F43+$B$6+$B$7+$B$8</f>
        <v/>
      </c>
    </row>
    <row r="45">
      <c r="A45" t="inlineStr">
        <is>
          <t>Residual cash (exit + opts strike − senior pref)</t>
        </is>
      </c>
      <c r="B45" s="3">
        <f>$B$3+'Assumptions'!$B$11*$B$8-B41</f>
        <v/>
      </c>
      <c r="C45" s="3">
        <f>$C$3+'Assumptions'!$B$11*$B$8-C41</f>
        <v/>
      </c>
      <c r="D45" s="3">
        <f>$D$3+'Assumptions'!$B$11*$B$8-D41</f>
        <v/>
      </c>
      <c r="E45" s="3">
        <f>$E$3+'Assumptions'!$B$11*$B$8-E41</f>
        <v/>
      </c>
      <c r="F45" s="3">
        <f>$F$3+'Assumptions'!$B$11*$B$8-F41</f>
        <v/>
      </c>
    </row>
    <row r="46">
      <c r="A46" t="inlineStr">
        <is>
          <t>Per-share (residual / pool)</t>
        </is>
      </c>
      <c r="B46" s="18">
        <f>B45/B44</f>
        <v/>
      </c>
      <c r="C46" s="18">
        <f>C45/C44</f>
        <v/>
      </c>
      <c r="D46" s="18">
        <f>D45/D44</f>
        <v/>
      </c>
      <c r="E46" s="18">
        <f>E45/E44</f>
        <v/>
      </c>
      <c r="F46" s="18">
        <f>F45/F44</f>
        <v/>
      </c>
    </row>
    <row r="47">
      <c r="A47" t="inlineStr">
        <is>
          <t>E convert payoff</t>
        </is>
      </c>
      <c r="B47" s="3">
        <f>$B$12*B46</f>
        <v/>
      </c>
      <c r="C47" s="3">
        <f>$B$12*C46</f>
        <v/>
      </c>
      <c r="D47" s="3">
        <f>$B$12*D46</f>
        <v/>
      </c>
      <c r="E47" s="3">
        <f>$B$12*E46</f>
        <v/>
      </c>
      <c r="F47" s="3">
        <f>$B$12*F46</f>
        <v/>
      </c>
    </row>
    <row r="48">
      <c r="A48" t="inlineStr">
        <is>
          <t>E preference payoff</t>
        </is>
      </c>
      <c r="B48" s="3">
        <f>$B$21</f>
        <v/>
      </c>
      <c r="C48" s="3">
        <f>$B$21</f>
        <v/>
      </c>
      <c r="D48" s="3">
        <f>$B$21</f>
        <v/>
      </c>
      <c r="E48" s="3">
        <f>$B$21</f>
        <v/>
      </c>
      <c r="F48" s="3">
        <f>$B$21</f>
        <v/>
      </c>
    </row>
    <row r="49">
      <c r="A49" s="2" t="inlineStr">
        <is>
          <t>E ELECTION (IF formula)</t>
        </is>
      </c>
      <c r="B49">
        <f>IF(B47&gt;B48,"convert","preference")</f>
        <v/>
      </c>
      <c r="C49">
        <f>IF(C47&gt;C48,"convert","preference")</f>
        <v/>
      </c>
      <c r="D49">
        <f>IF(D47&gt;D48,"convert","preference")</f>
        <v/>
      </c>
      <c r="E49">
        <f>IF(E47&gt;E48,"convert","preference")</f>
        <v/>
      </c>
      <c r="F49">
        <f>IF(F47&gt;F48,"convert","preference")</f>
        <v/>
      </c>
    </row>
    <row r="50">
      <c r="A50" s="2" t="inlineStr">
        <is>
          <t>E realized payoff</t>
        </is>
      </c>
      <c r="B50" s="3">
        <f>IF(B49="convert",B47,B48)</f>
        <v/>
      </c>
      <c r="C50" s="3">
        <f>IF(C49="convert",C47,C48)</f>
        <v/>
      </c>
      <c r="D50" s="3">
        <f>IF(D49="convert",D47,D48)</f>
        <v/>
      </c>
      <c r="E50" s="3">
        <f>IF(E49="convert",E47,E48)</f>
        <v/>
      </c>
      <c r="F50" s="3">
        <f>IF(F49="convert",F47,F48)</f>
        <v/>
      </c>
    </row>
    <row r="52">
      <c r="A52" s="13" t="inlineStr">
        <is>
          <t>--- D class ---</t>
        </is>
      </c>
    </row>
    <row r="53">
      <c r="A53" s="2" t="inlineStr">
        <is>
          <t>Senior pref total (paid above D)</t>
        </is>
      </c>
      <c r="B53" s="3">
        <f>IF(B37="preference",$B$20,0)+IF(B49="preference",$B$21,0)</f>
        <v/>
      </c>
      <c r="C53" s="3">
        <f>IF(C37="preference",$B$20,0)+IF(C49="preference",$B$21,0)</f>
        <v/>
      </c>
      <c r="D53" s="3">
        <f>IF(D37="preference",$B$20,0)+IF(D49="preference",$B$21,0)</f>
        <v/>
      </c>
      <c r="E53" s="3">
        <f>IF(E37="preference",$B$20,0)+IF(E49="preference",$B$21,0)</f>
        <v/>
      </c>
      <c r="F53" s="3">
        <f>IF(F37="preference",$B$20,0)+IF(F49="preference",$B$21,0)</f>
        <v/>
      </c>
    </row>
    <row r="54">
      <c r="A54" t="inlineStr">
        <is>
          <t>Senior convert pool shares</t>
        </is>
      </c>
      <c r="B54" s="12">
        <f>IF(B37="convert",$B$11,0)+IF(B49="convert",$B$12,0)</f>
        <v/>
      </c>
      <c r="C54" s="12">
        <f>IF(C37="convert",$B$11,0)+IF(C49="convert",$B$12,0)</f>
        <v/>
      </c>
      <c r="D54" s="12">
        <f>IF(D37="convert",$B$11,0)+IF(D49="convert",$B$12,0)</f>
        <v/>
      </c>
      <c r="E54" s="12">
        <f>IF(E37="convert",$B$11,0)+IF(E49="convert",$B$12,0)</f>
        <v/>
      </c>
      <c r="F54" s="12">
        <f>IF(F37="convert",$B$11,0)+IF(F49="convert",$B$12,0)</f>
        <v/>
      </c>
    </row>
    <row r="55">
      <c r="A55" t="inlineStr">
        <is>
          <t>Junior pool shares (assume convert)</t>
        </is>
      </c>
      <c r="B55" s="12">
        <f>$B$14+$B$15+$B$16+$B$17</f>
        <v/>
      </c>
      <c r="C55" s="12">
        <f>$B$14+$B$15+$B$16+$B$17</f>
        <v/>
      </c>
      <c r="D55" s="12">
        <f>$B$14+$B$15+$B$16+$B$17</f>
        <v/>
      </c>
      <c r="E55" s="12">
        <f>$B$14+$B$15+$B$16+$B$17</f>
        <v/>
      </c>
      <c r="F55" s="12">
        <f>$B$14+$B$15+$B$16+$B$17</f>
        <v/>
      </c>
    </row>
    <row r="56">
      <c r="A56" t="inlineStr">
        <is>
          <t>Convert pool size (incl. D)</t>
        </is>
      </c>
      <c r="B56" s="12">
        <f>$B$13+B54+B55+$B$6+$B$7+$B$8</f>
        <v/>
      </c>
      <c r="C56" s="12">
        <f>$B$13+C54+C55+$B$6+$B$7+$B$8</f>
        <v/>
      </c>
      <c r="D56" s="12">
        <f>$B$13+D54+D55+$B$6+$B$7+$B$8</f>
        <v/>
      </c>
      <c r="E56" s="12">
        <f>$B$13+E54+E55+$B$6+$B$7+$B$8</f>
        <v/>
      </c>
      <c r="F56" s="12">
        <f>$B$13+F54+F55+$B$6+$B$7+$B$8</f>
        <v/>
      </c>
    </row>
    <row r="57">
      <c r="A57" t="inlineStr">
        <is>
          <t>Residual cash (exit + opts strike − senior pref)</t>
        </is>
      </c>
      <c r="B57" s="3">
        <f>$B$3+'Assumptions'!$B$11*$B$8-B53</f>
        <v/>
      </c>
      <c r="C57" s="3">
        <f>$C$3+'Assumptions'!$B$11*$B$8-C53</f>
        <v/>
      </c>
      <c r="D57" s="3">
        <f>$D$3+'Assumptions'!$B$11*$B$8-D53</f>
        <v/>
      </c>
      <c r="E57" s="3">
        <f>$E$3+'Assumptions'!$B$11*$B$8-E53</f>
        <v/>
      </c>
      <c r="F57" s="3">
        <f>$F$3+'Assumptions'!$B$11*$B$8-F53</f>
        <v/>
      </c>
    </row>
    <row r="58">
      <c r="A58" t="inlineStr">
        <is>
          <t>Per-share (residual / pool)</t>
        </is>
      </c>
      <c r="B58" s="18">
        <f>B57/B56</f>
        <v/>
      </c>
      <c r="C58" s="18">
        <f>C57/C56</f>
        <v/>
      </c>
      <c r="D58" s="18">
        <f>D57/D56</f>
        <v/>
      </c>
      <c r="E58" s="18">
        <f>E57/E56</f>
        <v/>
      </c>
      <c r="F58" s="18">
        <f>F57/F56</f>
        <v/>
      </c>
    </row>
    <row r="59">
      <c r="A59" t="inlineStr">
        <is>
          <t>D convert payoff</t>
        </is>
      </c>
      <c r="B59" s="3">
        <f>$B$13*B58</f>
        <v/>
      </c>
      <c r="C59" s="3">
        <f>$B$13*C58</f>
        <v/>
      </c>
      <c r="D59" s="3">
        <f>$B$13*D58</f>
        <v/>
      </c>
      <c r="E59" s="3">
        <f>$B$13*E58</f>
        <v/>
      </c>
      <c r="F59" s="3">
        <f>$B$13*F58</f>
        <v/>
      </c>
    </row>
    <row r="60">
      <c r="A60" t="inlineStr">
        <is>
          <t>D preference payoff</t>
        </is>
      </c>
      <c r="B60" s="3">
        <f>$B$22</f>
        <v/>
      </c>
      <c r="C60" s="3">
        <f>$B$22</f>
        <v/>
      </c>
      <c r="D60" s="3">
        <f>$B$22</f>
        <v/>
      </c>
      <c r="E60" s="3">
        <f>$B$22</f>
        <v/>
      </c>
      <c r="F60" s="3">
        <f>$B$22</f>
        <v/>
      </c>
    </row>
    <row r="61">
      <c r="A61" s="2" t="inlineStr">
        <is>
          <t>D ELECTION (IF formula)</t>
        </is>
      </c>
      <c r="B61">
        <f>IF(B59&gt;B60,"convert","preference")</f>
        <v/>
      </c>
      <c r="C61">
        <f>IF(C59&gt;C60,"convert","preference")</f>
        <v/>
      </c>
      <c r="D61">
        <f>IF(D59&gt;D60,"convert","preference")</f>
        <v/>
      </c>
      <c r="E61">
        <f>IF(E59&gt;E60,"convert","preference")</f>
        <v/>
      </c>
      <c r="F61">
        <f>IF(F59&gt;F60,"convert","preference")</f>
        <v/>
      </c>
    </row>
    <row r="62">
      <c r="A62" s="2" t="inlineStr">
        <is>
          <t>D realized payoff</t>
        </is>
      </c>
      <c r="B62" s="3">
        <f>IF(B61="convert",B59,B60)</f>
        <v/>
      </c>
      <c r="C62" s="3">
        <f>IF(C61="convert",C59,C60)</f>
        <v/>
      </c>
      <c r="D62" s="3">
        <f>IF(D61="convert",D59,D60)</f>
        <v/>
      </c>
      <c r="E62" s="3">
        <f>IF(E61="convert",E59,E60)</f>
        <v/>
      </c>
      <c r="F62" s="3">
        <f>IF(F61="convert",F59,F60)</f>
        <v/>
      </c>
    </row>
    <row r="64">
      <c r="A64" s="13" t="inlineStr">
        <is>
          <t>--- C class ---</t>
        </is>
      </c>
    </row>
    <row r="65">
      <c r="A65" s="2" t="inlineStr">
        <is>
          <t>Senior pref total (paid above C)</t>
        </is>
      </c>
      <c r="B65" s="3">
        <f>IF(B37="preference",$B$20,0)+IF(B49="preference",$B$21,0)+IF(B61="preference",$B$22,0)</f>
        <v/>
      </c>
      <c r="C65" s="3">
        <f>IF(C37="preference",$B$20,0)+IF(C49="preference",$B$21,0)+IF(C61="preference",$B$22,0)</f>
        <v/>
      </c>
      <c r="D65" s="3">
        <f>IF(D37="preference",$B$20,0)+IF(D49="preference",$B$21,0)+IF(D61="preference",$B$22,0)</f>
        <v/>
      </c>
      <c r="E65" s="3">
        <f>IF(E37="preference",$B$20,0)+IF(E49="preference",$B$21,0)+IF(E61="preference",$B$22,0)</f>
        <v/>
      </c>
      <c r="F65" s="3">
        <f>IF(F37="preference",$B$20,0)+IF(F49="preference",$B$21,0)+IF(F61="preference",$B$22,0)</f>
        <v/>
      </c>
    </row>
    <row r="66">
      <c r="A66" t="inlineStr">
        <is>
          <t>Senior convert pool shares</t>
        </is>
      </c>
      <c r="B66" s="12">
        <f>IF(B37="convert",$B$11,0)+IF(B49="convert",$B$12,0)+IF(B61="convert",$B$13,0)</f>
        <v/>
      </c>
      <c r="C66" s="12">
        <f>IF(C37="convert",$B$11,0)+IF(C49="convert",$B$12,0)+IF(C61="convert",$B$13,0)</f>
        <v/>
      </c>
      <c r="D66" s="12">
        <f>IF(D37="convert",$B$11,0)+IF(D49="convert",$B$12,0)+IF(D61="convert",$B$13,0)</f>
        <v/>
      </c>
      <c r="E66" s="12">
        <f>IF(E37="convert",$B$11,0)+IF(E49="convert",$B$12,0)+IF(E61="convert",$B$13,0)</f>
        <v/>
      </c>
      <c r="F66" s="12">
        <f>IF(F37="convert",$B$11,0)+IF(F49="convert",$B$12,0)+IF(F61="convert",$B$13,0)</f>
        <v/>
      </c>
    </row>
    <row r="67">
      <c r="A67" t="inlineStr">
        <is>
          <t>Junior pool shares (assume convert)</t>
        </is>
      </c>
      <c r="B67" s="12">
        <f>$B$15+$B$16+$B$17</f>
        <v/>
      </c>
      <c r="C67" s="12">
        <f>$B$15+$B$16+$B$17</f>
        <v/>
      </c>
      <c r="D67" s="12">
        <f>$B$15+$B$16+$B$17</f>
        <v/>
      </c>
      <c r="E67" s="12">
        <f>$B$15+$B$16+$B$17</f>
        <v/>
      </c>
      <c r="F67" s="12">
        <f>$B$15+$B$16+$B$17</f>
        <v/>
      </c>
    </row>
    <row r="68">
      <c r="A68" t="inlineStr">
        <is>
          <t>Convert pool size (incl. C)</t>
        </is>
      </c>
      <c r="B68" s="12">
        <f>$B$14+B66+B67+$B$6+$B$7+$B$8</f>
        <v/>
      </c>
      <c r="C68" s="12">
        <f>$B$14+C66+C67+$B$6+$B$7+$B$8</f>
        <v/>
      </c>
      <c r="D68" s="12">
        <f>$B$14+D66+D67+$B$6+$B$7+$B$8</f>
        <v/>
      </c>
      <c r="E68" s="12">
        <f>$B$14+E66+E67+$B$6+$B$7+$B$8</f>
        <v/>
      </c>
      <c r="F68" s="12">
        <f>$B$14+F66+F67+$B$6+$B$7+$B$8</f>
        <v/>
      </c>
    </row>
    <row r="69">
      <c r="A69" t="inlineStr">
        <is>
          <t>Residual cash (exit + opts strike − senior pref)</t>
        </is>
      </c>
      <c r="B69" s="3">
        <f>$B$3+'Assumptions'!$B$11*$B$8-B65</f>
        <v/>
      </c>
      <c r="C69" s="3">
        <f>$C$3+'Assumptions'!$B$11*$B$8-C65</f>
        <v/>
      </c>
      <c r="D69" s="3">
        <f>$D$3+'Assumptions'!$B$11*$B$8-D65</f>
        <v/>
      </c>
      <c r="E69" s="3">
        <f>$E$3+'Assumptions'!$B$11*$B$8-E65</f>
        <v/>
      </c>
      <c r="F69" s="3">
        <f>$F$3+'Assumptions'!$B$11*$B$8-F65</f>
        <v/>
      </c>
    </row>
    <row r="70">
      <c r="A70" t="inlineStr">
        <is>
          <t>Per-share (residual / pool)</t>
        </is>
      </c>
      <c r="B70" s="18">
        <f>B69/B68</f>
        <v/>
      </c>
      <c r="C70" s="18">
        <f>C69/C68</f>
        <v/>
      </c>
      <c r="D70" s="18">
        <f>D69/D68</f>
        <v/>
      </c>
      <c r="E70" s="18">
        <f>E69/E68</f>
        <v/>
      </c>
      <c r="F70" s="18">
        <f>F69/F68</f>
        <v/>
      </c>
    </row>
    <row r="71">
      <c r="A71" t="inlineStr">
        <is>
          <t>C convert payoff</t>
        </is>
      </c>
      <c r="B71" s="3">
        <f>$B$14*B70</f>
        <v/>
      </c>
      <c r="C71" s="3">
        <f>$B$14*C70</f>
        <v/>
      </c>
      <c r="D71" s="3">
        <f>$B$14*D70</f>
        <v/>
      </c>
      <c r="E71" s="3">
        <f>$B$14*E70</f>
        <v/>
      </c>
      <c r="F71" s="3">
        <f>$B$14*F70</f>
        <v/>
      </c>
    </row>
    <row r="72">
      <c r="A72" t="inlineStr">
        <is>
          <t>C preference payoff</t>
        </is>
      </c>
      <c r="B72" s="3">
        <f>$B$23</f>
        <v/>
      </c>
      <c r="C72" s="3">
        <f>$B$23</f>
        <v/>
      </c>
      <c r="D72" s="3">
        <f>$B$23</f>
        <v/>
      </c>
      <c r="E72" s="3">
        <f>$B$23</f>
        <v/>
      </c>
      <c r="F72" s="3">
        <f>$B$23</f>
        <v/>
      </c>
    </row>
    <row r="73">
      <c r="A73" s="2" t="inlineStr">
        <is>
          <t>C ELECTION (IF formula)</t>
        </is>
      </c>
      <c r="B73">
        <f>IF(B71&gt;B72,"convert","preference")</f>
        <v/>
      </c>
      <c r="C73">
        <f>IF(C71&gt;C72,"convert","preference")</f>
        <v/>
      </c>
      <c r="D73">
        <f>IF(D71&gt;D72,"convert","preference")</f>
        <v/>
      </c>
      <c r="E73">
        <f>IF(E71&gt;E72,"convert","preference")</f>
        <v/>
      </c>
      <c r="F73">
        <f>IF(F71&gt;F72,"convert","preference")</f>
        <v/>
      </c>
    </row>
    <row r="74">
      <c r="A74" s="2" t="inlineStr">
        <is>
          <t>C realized payoff</t>
        </is>
      </c>
      <c r="B74" s="3">
        <f>IF(B73="convert",B71,B72)</f>
        <v/>
      </c>
      <c r="C74" s="3">
        <f>IF(C73="convert",C71,C72)</f>
        <v/>
      </c>
      <c r="D74" s="3">
        <f>IF(D73="convert",D71,D72)</f>
        <v/>
      </c>
      <c r="E74" s="3">
        <f>IF(E73="convert",E71,E72)</f>
        <v/>
      </c>
      <c r="F74" s="3">
        <f>IF(F73="convert",F71,F72)</f>
        <v/>
      </c>
    </row>
    <row r="76">
      <c r="A76" s="13" t="inlineStr">
        <is>
          <t>--- B class ---</t>
        </is>
      </c>
    </row>
    <row r="77">
      <c r="A77" s="2" t="inlineStr">
        <is>
          <t>Senior pref total (paid above B)</t>
        </is>
      </c>
      <c r="B77" s="3">
        <f>IF(B37="preference",$B$20,0)+IF(B49="preference",$B$21,0)+IF(B61="preference",$B$22,0)+IF(B73="preference",$B$23,0)</f>
        <v/>
      </c>
      <c r="C77" s="3">
        <f>IF(C37="preference",$B$20,0)+IF(C49="preference",$B$21,0)+IF(C61="preference",$B$22,0)+IF(C73="preference",$B$23,0)</f>
        <v/>
      </c>
      <c r="D77" s="3">
        <f>IF(D37="preference",$B$20,0)+IF(D49="preference",$B$21,0)+IF(D61="preference",$B$22,0)+IF(D73="preference",$B$23,0)</f>
        <v/>
      </c>
      <c r="E77" s="3">
        <f>IF(E37="preference",$B$20,0)+IF(E49="preference",$B$21,0)+IF(E61="preference",$B$22,0)+IF(E73="preference",$B$23,0)</f>
        <v/>
      </c>
      <c r="F77" s="3">
        <f>IF(F37="preference",$B$20,0)+IF(F49="preference",$B$21,0)+IF(F61="preference",$B$22,0)+IF(F73="preference",$B$23,0)</f>
        <v/>
      </c>
    </row>
    <row r="78">
      <c r="A78" t="inlineStr">
        <is>
          <t>Senior convert pool shares</t>
        </is>
      </c>
      <c r="B78" s="12">
        <f>IF(B37="convert",$B$11,0)+IF(B49="convert",$B$12,0)+IF(B61="convert",$B$13,0)+IF(B73="convert",$B$14,0)</f>
        <v/>
      </c>
      <c r="C78" s="12">
        <f>IF(C37="convert",$B$11,0)+IF(C49="convert",$B$12,0)+IF(C61="convert",$B$13,0)+IF(C73="convert",$B$14,0)</f>
        <v/>
      </c>
      <c r="D78" s="12">
        <f>IF(D37="convert",$B$11,0)+IF(D49="convert",$B$12,0)+IF(D61="convert",$B$13,0)+IF(D73="convert",$B$14,0)</f>
        <v/>
      </c>
      <c r="E78" s="12">
        <f>IF(E37="convert",$B$11,0)+IF(E49="convert",$B$12,0)+IF(E61="convert",$B$13,0)+IF(E73="convert",$B$14,0)</f>
        <v/>
      </c>
      <c r="F78" s="12">
        <f>IF(F37="convert",$B$11,0)+IF(F49="convert",$B$12,0)+IF(F61="convert",$B$13,0)+IF(F73="convert",$B$14,0)</f>
        <v/>
      </c>
    </row>
    <row r="79">
      <c r="A79" t="inlineStr">
        <is>
          <t>Junior pool shares (assume convert)</t>
        </is>
      </c>
      <c r="B79" s="12">
        <f>$B$16+$B$17</f>
        <v/>
      </c>
      <c r="C79" s="12">
        <f>$B$16+$B$17</f>
        <v/>
      </c>
      <c r="D79" s="12">
        <f>$B$16+$B$17</f>
        <v/>
      </c>
      <c r="E79" s="12">
        <f>$B$16+$B$17</f>
        <v/>
      </c>
      <c r="F79" s="12">
        <f>$B$16+$B$17</f>
        <v/>
      </c>
    </row>
    <row r="80">
      <c r="A80" t="inlineStr">
        <is>
          <t>Convert pool size (incl. B)</t>
        </is>
      </c>
      <c r="B80" s="12">
        <f>$B$15+B78+B79+$B$6+$B$7+$B$8</f>
        <v/>
      </c>
      <c r="C80" s="12">
        <f>$B$15+C78+C79+$B$6+$B$7+$B$8</f>
        <v/>
      </c>
      <c r="D80" s="12">
        <f>$B$15+D78+D79+$B$6+$B$7+$B$8</f>
        <v/>
      </c>
      <c r="E80" s="12">
        <f>$B$15+E78+E79+$B$6+$B$7+$B$8</f>
        <v/>
      </c>
      <c r="F80" s="12">
        <f>$B$15+F78+F79+$B$6+$B$7+$B$8</f>
        <v/>
      </c>
    </row>
    <row r="81">
      <c r="A81" t="inlineStr">
        <is>
          <t>Residual cash (exit + opts strike − senior pref)</t>
        </is>
      </c>
      <c r="B81" s="3">
        <f>$B$3+'Assumptions'!$B$11*$B$8-B77</f>
        <v/>
      </c>
      <c r="C81" s="3">
        <f>$C$3+'Assumptions'!$B$11*$B$8-C77</f>
        <v/>
      </c>
      <c r="D81" s="3">
        <f>$D$3+'Assumptions'!$B$11*$B$8-D77</f>
        <v/>
      </c>
      <c r="E81" s="3">
        <f>$E$3+'Assumptions'!$B$11*$B$8-E77</f>
        <v/>
      </c>
      <c r="F81" s="3">
        <f>$F$3+'Assumptions'!$B$11*$B$8-F77</f>
        <v/>
      </c>
    </row>
    <row r="82">
      <c r="A82" t="inlineStr">
        <is>
          <t>Per-share (residual / pool)</t>
        </is>
      </c>
      <c r="B82" s="18">
        <f>B81/B80</f>
        <v/>
      </c>
      <c r="C82" s="18">
        <f>C81/C80</f>
        <v/>
      </c>
      <c r="D82" s="18">
        <f>D81/D80</f>
        <v/>
      </c>
      <c r="E82" s="18">
        <f>E81/E80</f>
        <v/>
      </c>
      <c r="F82" s="18">
        <f>F81/F80</f>
        <v/>
      </c>
    </row>
    <row r="83">
      <c r="A83" t="inlineStr">
        <is>
          <t>B convert payoff</t>
        </is>
      </c>
      <c r="B83" s="3">
        <f>$B$15*B82</f>
        <v/>
      </c>
      <c r="C83" s="3">
        <f>$B$15*C82</f>
        <v/>
      </c>
      <c r="D83" s="3">
        <f>$B$15*D82</f>
        <v/>
      </c>
      <c r="E83" s="3">
        <f>$B$15*E82</f>
        <v/>
      </c>
      <c r="F83" s="3">
        <f>$B$15*F82</f>
        <v/>
      </c>
    </row>
    <row r="84">
      <c r="A84" t="inlineStr">
        <is>
          <t>B preference payoff</t>
        </is>
      </c>
      <c r="B84" s="3">
        <f>$B$24</f>
        <v/>
      </c>
      <c r="C84" s="3">
        <f>$B$24</f>
        <v/>
      </c>
      <c r="D84" s="3">
        <f>$B$24</f>
        <v/>
      </c>
      <c r="E84" s="3">
        <f>$B$24</f>
        <v/>
      </c>
      <c r="F84" s="3">
        <f>$B$24</f>
        <v/>
      </c>
    </row>
    <row r="85">
      <c r="A85" s="2" t="inlineStr">
        <is>
          <t>B ELECTION (IF formula)</t>
        </is>
      </c>
      <c r="B85">
        <f>IF(B83&gt;B84,"convert","preference")</f>
        <v/>
      </c>
      <c r="C85">
        <f>IF(C83&gt;C84,"convert","preference")</f>
        <v/>
      </c>
      <c r="D85">
        <f>IF(D83&gt;D84,"convert","preference")</f>
        <v/>
      </c>
      <c r="E85">
        <f>IF(E83&gt;E84,"convert","preference")</f>
        <v/>
      </c>
      <c r="F85">
        <f>IF(F83&gt;F84,"convert","preference")</f>
        <v/>
      </c>
    </row>
    <row r="86">
      <c r="A86" s="2" t="inlineStr">
        <is>
          <t>B realized payoff</t>
        </is>
      </c>
      <c r="B86" s="3">
        <f>IF(B85="convert",B83,B84)</f>
        <v/>
      </c>
      <c r="C86" s="3">
        <f>IF(C85="convert",C83,C84)</f>
        <v/>
      </c>
      <c r="D86" s="3">
        <f>IF(D85="convert",D83,D84)</f>
        <v/>
      </c>
      <c r="E86" s="3">
        <f>IF(E85="convert",E83,E84)</f>
        <v/>
      </c>
      <c r="F86" s="3">
        <f>IF(F85="convert",F83,F84)</f>
        <v/>
      </c>
    </row>
    <row r="88">
      <c r="A88" s="13" t="inlineStr">
        <is>
          <t>--- A class ---</t>
        </is>
      </c>
    </row>
    <row r="89">
      <c r="A89" s="2" t="inlineStr">
        <is>
          <t>Senior pref total (paid above A)</t>
        </is>
      </c>
      <c r="B89" s="3">
        <f>IF(B37="preference",$B$20,0)+IF(B49="preference",$B$21,0)+IF(B61="preference",$B$22,0)+IF(B73="preference",$B$23,0)+IF(B85="preference",$B$24,0)</f>
        <v/>
      </c>
      <c r="C89" s="3">
        <f>IF(C37="preference",$B$20,0)+IF(C49="preference",$B$21,0)+IF(C61="preference",$B$22,0)+IF(C73="preference",$B$23,0)+IF(C85="preference",$B$24,0)</f>
        <v/>
      </c>
      <c r="D89" s="3">
        <f>IF(D37="preference",$B$20,0)+IF(D49="preference",$B$21,0)+IF(D61="preference",$B$22,0)+IF(D73="preference",$B$23,0)+IF(D85="preference",$B$24,0)</f>
        <v/>
      </c>
      <c r="E89" s="3">
        <f>IF(E37="preference",$B$20,0)+IF(E49="preference",$B$21,0)+IF(E61="preference",$B$22,0)+IF(E73="preference",$B$23,0)+IF(E85="preference",$B$24,0)</f>
        <v/>
      </c>
      <c r="F89" s="3">
        <f>IF(F37="preference",$B$20,0)+IF(F49="preference",$B$21,0)+IF(F61="preference",$B$22,0)+IF(F73="preference",$B$23,0)+IF(F85="preference",$B$24,0)</f>
        <v/>
      </c>
    </row>
    <row r="90">
      <c r="A90" t="inlineStr">
        <is>
          <t>Senior convert pool shares</t>
        </is>
      </c>
      <c r="B90" s="12">
        <f>IF(B37="convert",$B$11,0)+IF(B49="convert",$B$12,0)+IF(B61="convert",$B$13,0)+IF(B73="convert",$B$14,0)+IF(B85="convert",$B$15,0)</f>
        <v/>
      </c>
      <c r="C90" s="12">
        <f>IF(C37="convert",$B$11,0)+IF(C49="convert",$B$12,0)+IF(C61="convert",$B$13,0)+IF(C73="convert",$B$14,0)+IF(C85="convert",$B$15,0)</f>
        <v/>
      </c>
      <c r="D90" s="12">
        <f>IF(D37="convert",$B$11,0)+IF(D49="convert",$B$12,0)+IF(D61="convert",$B$13,0)+IF(D73="convert",$B$14,0)+IF(D85="convert",$B$15,0)</f>
        <v/>
      </c>
      <c r="E90" s="12">
        <f>IF(E37="convert",$B$11,0)+IF(E49="convert",$B$12,0)+IF(E61="convert",$B$13,0)+IF(E73="convert",$B$14,0)+IF(E85="convert",$B$15,0)</f>
        <v/>
      </c>
      <c r="F90" s="12">
        <f>IF(F37="convert",$B$11,0)+IF(F49="convert",$B$12,0)+IF(F61="convert",$B$13,0)+IF(F73="convert",$B$14,0)+IF(F85="convert",$B$15,0)</f>
        <v/>
      </c>
    </row>
    <row r="91">
      <c r="A91" t="inlineStr">
        <is>
          <t>Junior pool shares (assume convert)</t>
        </is>
      </c>
      <c r="B91" s="12">
        <f>$B$17</f>
        <v/>
      </c>
      <c r="C91" s="12">
        <f>$B$17</f>
        <v/>
      </c>
      <c r="D91" s="12">
        <f>$B$17</f>
        <v/>
      </c>
      <c r="E91" s="12">
        <f>$B$17</f>
        <v/>
      </c>
      <c r="F91" s="12">
        <f>$B$17</f>
        <v/>
      </c>
    </row>
    <row r="92">
      <c r="A92" t="inlineStr">
        <is>
          <t>Convert pool size (incl. A)</t>
        </is>
      </c>
      <c r="B92" s="12">
        <f>$B$16+B90+B91+$B$6+$B$7+$B$8</f>
        <v/>
      </c>
      <c r="C92" s="12">
        <f>$B$16+C90+C91+$B$6+$B$7+$B$8</f>
        <v/>
      </c>
      <c r="D92" s="12">
        <f>$B$16+D90+D91+$B$6+$B$7+$B$8</f>
        <v/>
      </c>
      <c r="E92" s="12">
        <f>$B$16+E90+E91+$B$6+$B$7+$B$8</f>
        <v/>
      </c>
      <c r="F92" s="12">
        <f>$B$16+F90+F91+$B$6+$B$7+$B$8</f>
        <v/>
      </c>
    </row>
    <row r="93">
      <c r="A93" t="inlineStr">
        <is>
          <t>Residual cash (exit + opts strike − senior pref)</t>
        </is>
      </c>
      <c r="B93" s="3">
        <f>$B$3+'Assumptions'!$B$11*$B$8-B89</f>
        <v/>
      </c>
      <c r="C93" s="3">
        <f>$C$3+'Assumptions'!$B$11*$B$8-C89</f>
        <v/>
      </c>
      <c r="D93" s="3">
        <f>$D$3+'Assumptions'!$B$11*$B$8-D89</f>
        <v/>
      </c>
      <c r="E93" s="3">
        <f>$E$3+'Assumptions'!$B$11*$B$8-E89</f>
        <v/>
      </c>
      <c r="F93" s="3">
        <f>$F$3+'Assumptions'!$B$11*$B$8-F89</f>
        <v/>
      </c>
    </row>
    <row r="94">
      <c r="A94" t="inlineStr">
        <is>
          <t>Per-share (residual / pool)</t>
        </is>
      </c>
      <c r="B94" s="18">
        <f>B93/B92</f>
        <v/>
      </c>
      <c r="C94" s="18">
        <f>C93/C92</f>
        <v/>
      </c>
      <c r="D94" s="18">
        <f>D93/D92</f>
        <v/>
      </c>
      <c r="E94" s="18">
        <f>E93/E92</f>
        <v/>
      </c>
      <c r="F94" s="18">
        <f>F93/F92</f>
        <v/>
      </c>
    </row>
    <row r="95">
      <c r="A95" t="inlineStr">
        <is>
          <t>A convert payoff</t>
        </is>
      </c>
      <c r="B95" s="3">
        <f>$B$16*B94</f>
        <v/>
      </c>
      <c r="C95" s="3">
        <f>$B$16*C94</f>
        <v/>
      </c>
      <c r="D95" s="3">
        <f>$B$16*D94</f>
        <v/>
      </c>
      <c r="E95" s="3">
        <f>$B$16*E94</f>
        <v/>
      </c>
      <c r="F95" s="3">
        <f>$B$16*F94</f>
        <v/>
      </c>
    </row>
    <row r="96">
      <c r="A96" t="inlineStr">
        <is>
          <t>A preference payoff</t>
        </is>
      </c>
      <c r="B96" s="3">
        <f>$B$25</f>
        <v/>
      </c>
      <c r="C96" s="3">
        <f>$B$25</f>
        <v/>
      </c>
      <c r="D96" s="3">
        <f>$B$25</f>
        <v/>
      </c>
      <c r="E96" s="3">
        <f>$B$25</f>
        <v/>
      </c>
      <c r="F96" s="3">
        <f>$B$25</f>
        <v/>
      </c>
    </row>
    <row r="97">
      <c r="A97" s="2" t="inlineStr">
        <is>
          <t>A ELECTION (IF formula)</t>
        </is>
      </c>
      <c r="B97">
        <f>IF(B95&gt;B96,"convert","preference")</f>
        <v/>
      </c>
      <c r="C97">
        <f>IF(C95&gt;C96,"convert","preference")</f>
        <v/>
      </c>
      <c r="D97">
        <f>IF(D95&gt;D96,"convert","preference")</f>
        <v/>
      </c>
      <c r="E97">
        <f>IF(E95&gt;E96,"convert","preference")</f>
        <v/>
      </c>
      <c r="F97">
        <f>IF(F95&gt;F96,"convert","preference")</f>
        <v/>
      </c>
    </row>
    <row r="98">
      <c r="A98" s="2" t="inlineStr">
        <is>
          <t>A realized payoff</t>
        </is>
      </c>
      <c r="B98" s="3">
        <f>IF(B97="convert",B95,B96)</f>
        <v/>
      </c>
      <c r="C98" s="3">
        <f>IF(C97="convert",C95,C96)</f>
        <v/>
      </c>
      <c r="D98" s="3">
        <f>IF(D97="convert",D95,D96)</f>
        <v/>
      </c>
      <c r="E98" s="3">
        <f>IF(E97="convert",E95,E96)</f>
        <v/>
      </c>
      <c r="F98" s="3">
        <f>IF(F97="convert",F95,F96)</f>
        <v/>
      </c>
    </row>
    <row r="100">
      <c r="A100" s="13" t="inlineStr">
        <is>
          <t>--- Seed class ---</t>
        </is>
      </c>
    </row>
    <row r="101">
      <c r="A101" s="2" t="inlineStr">
        <is>
          <t>Senior pref total (paid above Seed)</t>
        </is>
      </c>
      <c r="B101" s="3">
        <f>IF(B37="preference",$B$20,0)+IF(B49="preference",$B$21,0)+IF(B61="preference",$B$22,0)+IF(B73="preference",$B$23,0)+IF(B85="preference",$B$24,0)+IF(B97="preference",$B$25,0)</f>
        <v/>
      </c>
      <c r="C101" s="3">
        <f>IF(C37="preference",$B$20,0)+IF(C49="preference",$B$21,0)+IF(C61="preference",$B$22,0)+IF(C73="preference",$B$23,0)+IF(C85="preference",$B$24,0)+IF(C97="preference",$B$25,0)</f>
        <v/>
      </c>
      <c r="D101" s="3">
        <f>IF(D37="preference",$B$20,0)+IF(D49="preference",$B$21,0)+IF(D61="preference",$B$22,0)+IF(D73="preference",$B$23,0)+IF(D85="preference",$B$24,0)+IF(D97="preference",$B$25,0)</f>
        <v/>
      </c>
      <c r="E101" s="3">
        <f>IF(E37="preference",$B$20,0)+IF(E49="preference",$B$21,0)+IF(E61="preference",$B$22,0)+IF(E73="preference",$B$23,0)+IF(E85="preference",$B$24,0)+IF(E97="preference",$B$25,0)</f>
        <v/>
      </c>
      <c r="F101" s="3">
        <f>IF(F37="preference",$B$20,0)+IF(F49="preference",$B$21,0)+IF(F61="preference",$B$22,0)+IF(F73="preference",$B$23,0)+IF(F85="preference",$B$24,0)+IF(F97="preference",$B$25,0)</f>
        <v/>
      </c>
    </row>
    <row r="102">
      <c r="A102" t="inlineStr">
        <is>
          <t>Senior convert pool shares</t>
        </is>
      </c>
      <c r="B102" s="12">
        <f>IF(B37="convert",$B$11,0)+IF(B49="convert",$B$12,0)+IF(B61="convert",$B$13,0)+IF(B73="convert",$B$14,0)+IF(B85="convert",$B$15,0)+IF(B97="convert",$B$16,0)</f>
        <v/>
      </c>
      <c r="C102" s="12">
        <f>IF(C37="convert",$B$11,0)+IF(C49="convert",$B$12,0)+IF(C61="convert",$B$13,0)+IF(C73="convert",$B$14,0)+IF(C85="convert",$B$15,0)+IF(C97="convert",$B$16,0)</f>
        <v/>
      </c>
      <c r="D102" s="12">
        <f>IF(D37="convert",$B$11,0)+IF(D49="convert",$B$12,0)+IF(D61="convert",$B$13,0)+IF(D73="convert",$B$14,0)+IF(D85="convert",$B$15,0)+IF(D97="convert",$B$16,0)</f>
        <v/>
      </c>
      <c r="E102" s="12">
        <f>IF(E37="convert",$B$11,0)+IF(E49="convert",$B$12,0)+IF(E61="convert",$B$13,0)+IF(E73="convert",$B$14,0)+IF(E85="convert",$B$15,0)+IF(E97="convert",$B$16,0)</f>
        <v/>
      </c>
      <c r="F102" s="12">
        <f>IF(F37="convert",$B$11,0)+IF(F49="convert",$B$12,0)+IF(F61="convert",$B$13,0)+IF(F73="convert",$B$14,0)+IF(F85="convert",$B$15,0)+IF(F97="convert",$B$16,0)</f>
        <v/>
      </c>
    </row>
    <row r="103">
      <c r="A103" t="inlineStr">
        <is>
          <t>Junior pool shares (assume convert)</t>
        </is>
      </c>
      <c r="B103" s="12">
        <f>0</f>
        <v/>
      </c>
      <c r="C103" s="12">
        <f>0</f>
        <v/>
      </c>
      <c r="D103" s="12">
        <f>0</f>
        <v/>
      </c>
      <c r="E103" s="12">
        <f>0</f>
        <v/>
      </c>
      <c r="F103" s="12">
        <f>0</f>
        <v/>
      </c>
    </row>
    <row r="104">
      <c r="A104" t="inlineStr">
        <is>
          <t>Convert pool size (incl. Seed)</t>
        </is>
      </c>
      <c r="B104" s="12">
        <f>$B$17+B102+B103+$B$6+$B$7+$B$8</f>
        <v/>
      </c>
      <c r="C104" s="12">
        <f>$B$17+C102+C103+$B$6+$B$7+$B$8</f>
        <v/>
      </c>
      <c r="D104" s="12">
        <f>$B$17+D102+D103+$B$6+$B$7+$B$8</f>
        <v/>
      </c>
      <c r="E104" s="12">
        <f>$B$17+E102+E103+$B$6+$B$7+$B$8</f>
        <v/>
      </c>
      <c r="F104" s="12">
        <f>$B$17+F102+F103+$B$6+$B$7+$B$8</f>
        <v/>
      </c>
    </row>
    <row r="105">
      <c r="A105" t="inlineStr">
        <is>
          <t>Residual cash (exit + opts strike − senior pref)</t>
        </is>
      </c>
      <c r="B105" s="3">
        <f>$B$3+'Assumptions'!$B$11*$B$8-B101</f>
        <v/>
      </c>
      <c r="C105" s="3">
        <f>$C$3+'Assumptions'!$B$11*$B$8-C101</f>
        <v/>
      </c>
      <c r="D105" s="3">
        <f>$D$3+'Assumptions'!$B$11*$B$8-D101</f>
        <v/>
      </c>
      <c r="E105" s="3">
        <f>$E$3+'Assumptions'!$B$11*$B$8-E101</f>
        <v/>
      </c>
      <c r="F105" s="3">
        <f>$F$3+'Assumptions'!$B$11*$B$8-F101</f>
        <v/>
      </c>
    </row>
    <row r="106">
      <c r="A106" t="inlineStr">
        <is>
          <t>Per-share (residual / pool)</t>
        </is>
      </c>
      <c r="B106" s="18">
        <f>B105/B104</f>
        <v/>
      </c>
      <c r="C106" s="18">
        <f>C105/C104</f>
        <v/>
      </c>
      <c r="D106" s="18">
        <f>D105/D104</f>
        <v/>
      </c>
      <c r="E106" s="18">
        <f>E105/E104</f>
        <v/>
      </c>
      <c r="F106" s="18">
        <f>F105/F104</f>
        <v/>
      </c>
    </row>
    <row r="107">
      <c r="A107" t="inlineStr">
        <is>
          <t>Seed convert payoff</t>
        </is>
      </c>
      <c r="B107" s="3">
        <f>$B$17*B106</f>
        <v/>
      </c>
      <c r="C107" s="3">
        <f>$B$17*C106</f>
        <v/>
      </c>
      <c r="D107" s="3">
        <f>$B$17*D106</f>
        <v/>
      </c>
      <c r="E107" s="3">
        <f>$B$17*E106</f>
        <v/>
      </c>
      <c r="F107" s="3">
        <f>$B$17*F106</f>
        <v/>
      </c>
    </row>
    <row r="108">
      <c r="A108" t="inlineStr">
        <is>
          <t>Seed preference payoff</t>
        </is>
      </c>
      <c r="B108" s="3">
        <f>$B$26</f>
        <v/>
      </c>
      <c r="C108" s="3">
        <f>$B$26</f>
        <v/>
      </c>
      <c r="D108" s="3">
        <f>$B$26</f>
        <v/>
      </c>
      <c r="E108" s="3">
        <f>$B$26</f>
        <v/>
      </c>
      <c r="F108" s="3">
        <f>$B$26</f>
        <v/>
      </c>
    </row>
    <row r="109">
      <c r="A109" s="2" t="inlineStr">
        <is>
          <t>Seed ELECTION (IF formula)</t>
        </is>
      </c>
      <c r="B109">
        <f>IF(B107&gt;B108,"convert","preference")</f>
        <v/>
      </c>
      <c r="C109">
        <f>IF(C107&gt;C108,"convert","preference")</f>
        <v/>
      </c>
      <c r="D109">
        <f>IF(D107&gt;D108,"convert","preference")</f>
        <v/>
      </c>
      <c r="E109">
        <f>IF(E107&gt;E108,"convert","preference")</f>
        <v/>
      </c>
      <c r="F109">
        <f>IF(F107&gt;F108,"convert","preference")</f>
        <v/>
      </c>
    </row>
    <row r="110">
      <c r="A110" s="2" t="inlineStr">
        <is>
          <t>Seed realized payoff</t>
        </is>
      </c>
      <c r="B110" s="3">
        <f>IF(B109="convert",B107,B108)</f>
        <v/>
      </c>
      <c r="C110" s="3">
        <f>IF(C109="convert",C107,C108)</f>
        <v/>
      </c>
      <c r="D110" s="3">
        <f>IF(D109="convert",D107,D108)</f>
        <v/>
      </c>
      <c r="E110" s="3">
        <f>IF(E109="convert",E107,E108)</f>
        <v/>
      </c>
      <c r="F110" s="3">
        <f>IF(F109="convert",F107,F108)</f>
        <v/>
      </c>
    </row>
    <row r="113">
      <c r="A113" s="10" t="inlineStr">
        <is>
          <t>WATERFALL RECONCILIATION</t>
        </is>
      </c>
    </row>
    <row r="114">
      <c r="A114" s="2" t="inlineStr">
        <is>
          <t>Class</t>
        </is>
      </c>
      <c r="B114" s="13" t="inlineStr">
        <is>
          <t>Exit 1</t>
        </is>
      </c>
      <c r="C114" s="13" t="inlineStr">
        <is>
          <t>Exit 2</t>
        </is>
      </c>
      <c r="D114" s="13" t="inlineStr">
        <is>
          <t>Exit 3</t>
        </is>
      </c>
      <c r="E114" s="13" t="inlineStr">
        <is>
          <t>Exit 4</t>
        </is>
      </c>
      <c r="F114" s="13" t="inlineStr">
        <is>
          <t>Exit 5</t>
        </is>
      </c>
    </row>
    <row r="115">
      <c r="A115" t="inlineStr">
        <is>
          <t>Total preferences paid</t>
        </is>
      </c>
      <c r="B115" s="3">
        <f>IF(B37="preference",$B$20,0)+IF(B49="preference",$B$21,0)+IF(B61="preference",$B$22,0)+IF(B73="preference",$B$23,0)+IF(B85="preference",$B$24,0)+IF(B97="preference",$B$25,0)+IF(B109="preference",$B$26,0)</f>
        <v/>
      </c>
      <c r="C115" s="3">
        <f>IF(C37="preference",$B$20,0)+IF(C49="preference",$B$21,0)+IF(C61="preference",$B$22,0)+IF(C73="preference",$B$23,0)+IF(C85="preference",$B$24,0)+IF(C97="preference",$B$25,0)+IF(C109="preference",$B$26,0)</f>
        <v/>
      </c>
      <c r="D115" s="3">
        <f>IF(D37="preference",$B$20,0)+IF(D49="preference",$B$21,0)+IF(D61="preference",$B$22,0)+IF(D73="preference",$B$23,0)+IF(D85="preference",$B$24,0)+IF(D97="preference",$B$25,0)+IF(D109="preference",$B$26,0)</f>
        <v/>
      </c>
      <c r="E115" s="3">
        <f>IF(E37="preference",$B$20,0)+IF(E49="preference",$B$21,0)+IF(E61="preference",$B$22,0)+IF(E73="preference",$B$23,0)+IF(E85="preference",$B$24,0)+IF(E97="preference",$B$25,0)+IF(E109="preference",$B$26,0)</f>
        <v/>
      </c>
      <c r="F115" s="3">
        <f>IF(F37="preference",$B$20,0)+IF(F49="preference",$B$21,0)+IF(F61="preference",$B$22,0)+IF(F73="preference",$B$23,0)+IF(F85="preference",$B$24,0)+IF(F97="preference",$B$25,0)+IF(F109="preference",$B$26,0)</f>
        <v/>
      </c>
    </row>
    <row r="116">
      <c r="A116" t="inlineStr">
        <is>
          <t>Total convert pool shares (incl. common, notes, opts)</t>
        </is>
      </c>
      <c r="B116" s="12">
        <f>IF(B37="convert",$B$11,0)+IF(B49="convert",$B$12,0)+IF(B61="convert",$B$13,0)+IF(B73="convert",$B$14,0)+IF(B85="convert",$B$15,0)+IF(B97="convert",$B$16,0)+IF(B109="convert",$B$17,0)+$B$6+$B$7+$B$8</f>
        <v/>
      </c>
      <c r="C116" s="12">
        <f>IF(C37="convert",$B$11,0)+IF(C49="convert",$B$12,0)+IF(C61="convert",$B$13,0)+IF(C73="convert",$B$14,0)+IF(C85="convert",$B$15,0)+IF(C97="convert",$B$16,0)+IF(C109="convert",$B$17,0)+$B$6+$B$7+$B$8</f>
        <v/>
      </c>
      <c r="D116" s="12">
        <f>IF(D37="convert",$B$11,0)+IF(D49="convert",$B$12,0)+IF(D61="convert",$B$13,0)+IF(D73="convert",$B$14,0)+IF(D85="convert",$B$15,0)+IF(D97="convert",$B$16,0)+IF(D109="convert",$B$17,0)+$B$6+$B$7+$B$8</f>
        <v/>
      </c>
      <c r="E116" s="12">
        <f>IF(E37="convert",$B$11,0)+IF(E49="convert",$B$12,0)+IF(E61="convert",$B$13,0)+IF(E73="convert",$B$14,0)+IF(E85="convert",$B$15,0)+IF(E97="convert",$B$16,0)+IF(E109="convert",$B$17,0)+$B$6+$B$7+$B$8</f>
        <v/>
      </c>
      <c r="F116" s="12">
        <f>IF(F37="convert",$B$11,0)+IF(F49="convert",$B$12,0)+IF(F61="convert",$B$13,0)+IF(F73="convert",$B$14,0)+IF(F85="convert",$B$15,0)+IF(F97="convert",$B$16,0)+IF(F109="convert",$B$17,0)+$B$6+$B$7+$B$8</f>
        <v/>
      </c>
    </row>
    <row r="117">
      <c r="A117" t="inlineStr">
        <is>
          <t>Total residual (= exit + strike*opts − total pref)</t>
        </is>
      </c>
      <c r="B117" s="3">
        <f>$B$3+'Assumptions'!$B$11*$B$8-B115</f>
        <v/>
      </c>
      <c r="C117" s="3">
        <f>$C$3+'Assumptions'!$B$11*$B$8-C115</f>
        <v/>
      </c>
      <c r="D117" s="3">
        <f>$D$3+'Assumptions'!$B$11*$B$8-D115</f>
        <v/>
      </c>
      <c r="E117" s="3">
        <f>$E$3+'Assumptions'!$B$11*$B$8-E115</f>
        <v/>
      </c>
      <c r="F117" s="3">
        <f>$F$3+'Assumptions'!$B$11*$B$8-F115</f>
        <v/>
      </c>
    </row>
    <row r="118">
      <c r="A118" t="inlineStr">
        <is>
          <t>Final per-share value</t>
        </is>
      </c>
      <c r="B118" s="18">
        <f>B117/B116</f>
        <v/>
      </c>
      <c r="C118" s="18">
        <f>C117/C116</f>
        <v/>
      </c>
      <c r="D118" s="18">
        <f>D117/D116</f>
        <v/>
      </c>
      <c r="E118" s="18">
        <f>E117/E116</f>
        <v/>
      </c>
      <c r="F118" s="18">
        <f>F117/F116</f>
        <v/>
      </c>
    </row>
    <row r="120">
      <c r="A120" s="13" t="inlineStr">
        <is>
          <t>Class proceeds rows (sum to exit ± $1)</t>
        </is>
      </c>
    </row>
    <row r="121">
      <c r="A121" t="inlineStr">
        <is>
          <t>F</t>
        </is>
      </c>
      <c r="B121" s="3">
        <f>IF(B37="convert",$B$11*B118,$B$20)</f>
        <v/>
      </c>
      <c r="C121" s="3">
        <f>IF(C37="convert",$B$11*C118,$B$20)</f>
        <v/>
      </c>
      <c r="D121" s="3">
        <f>IF(D37="convert",$B$11*D118,$B$20)</f>
        <v/>
      </c>
      <c r="E121" s="3">
        <f>IF(E37="convert",$B$11*E118,$B$20)</f>
        <v/>
      </c>
      <c r="F121" s="3">
        <f>IF(F37="convert",$B$11*F118,$B$20)</f>
        <v/>
      </c>
    </row>
    <row r="122">
      <c r="A122" t="inlineStr">
        <is>
          <t>E</t>
        </is>
      </c>
      <c r="B122" s="3">
        <f>IF(B49="convert",$B$12*B118,$B$21)</f>
        <v/>
      </c>
      <c r="C122" s="3">
        <f>IF(C49="convert",$B$12*C118,$B$21)</f>
        <v/>
      </c>
      <c r="D122" s="3">
        <f>IF(D49="convert",$B$12*D118,$B$21)</f>
        <v/>
      </c>
      <c r="E122" s="3">
        <f>IF(E49="convert",$B$12*E118,$B$21)</f>
        <v/>
      </c>
      <c r="F122" s="3">
        <f>IF(F49="convert",$B$12*F118,$B$21)</f>
        <v/>
      </c>
    </row>
    <row r="123">
      <c r="A123" t="inlineStr">
        <is>
          <t>D</t>
        </is>
      </c>
      <c r="B123" s="3">
        <f>IF(B61="convert",$B$13*B118,$B$22)</f>
        <v/>
      </c>
      <c r="C123" s="3">
        <f>IF(C61="convert",$B$13*C118,$B$22)</f>
        <v/>
      </c>
      <c r="D123" s="3">
        <f>IF(D61="convert",$B$13*D118,$B$22)</f>
        <v/>
      </c>
      <c r="E123" s="3">
        <f>IF(E61="convert",$B$13*E118,$B$22)</f>
        <v/>
      </c>
      <c r="F123" s="3">
        <f>IF(F61="convert",$B$13*F118,$B$22)</f>
        <v/>
      </c>
    </row>
    <row r="124">
      <c r="A124" t="inlineStr">
        <is>
          <t>C</t>
        </is>
      </c>
      <c r="B124" s="3">
        <f>IF(B73="convert",$B$14*B118,$B$23)</f>
        <v/>
      </c>
      <c r="C124" s="3">
        <f>IF(C73="convert",$B$14*C118,$B$23)</f>
        <v/>
      </c>
      <c r="D124" s="3">
        <f>IF(D73="convert",$B$14*D118,$B$23)</f>
        <v/>
      </c>
      <c r="E124" s="3">
        <f>IF(E73="convert",$B$14*E118,$B$23)</f>
        <v/>
      </c>
      <c r="F124" s="3">
        <f>IF(F73="convert",$B$14*F118,$B$23)</f>
        <v/>
      </c>
    </row>
    <row r="125">
      <c r="A125" t="inlineStr">
        <is>
          <t>B</t>
        </is>
      </c>
      <c r="B125" s="3">
        <f>IF(B85="convert",$B$15*B118,$B$24)</f>
        <v/>
      </c>
      <c r="C125" s="3">
        <f>IF(C85="convert",$B$15*C118,$B$24)</f>
        <v/>
      </c>
      <c r="D125" s="3">
        <f>IF(D85="convert",$B$15*D118,$B$24)</f>
        <v/>
      </c>
      <c r="E125" s="3">
        <f>IF(E85="convert",$B$15*E118,$B$24)</f>
        <v/>
      </c>
      <c r="F125" s="3">
        <f>IF(F85="convert",$B$15*F118,$B$24)</f>
        <v/>
      </c>
    </row>
    <row r="126">
      <c r="A126" t="inlineStr">
        <is>
          <t>A</t>
        </is>
      </c>
      <c r="B126" s="3">
        <f>IF(B97="convert",$B$16*B118,$B$25)</f>
        <v/>
      </c>
      <c r="C126" s="3">
        <f>IF(C97="convert",$B$16*C118,$B$25)</f>
        <v/>
      </c>
      <c r="D126" s="3">
        <f>IF(D97="convert",$B$16*D118,$B$25)</f>
        <v/>
      </c>
      <c r="E126" s="3">
        <f>IF(E97="convert",$B$16*E118,$B$25)</f>
        <v/>
      </c>
      <c r="F126" s="3">
        <f>IF(F97="convert",$B$16*F118,$B$25)</f>
        <v/>
      </c>
    </row>
    <row r="127">
      <c r="A127" t="inlineStr">
        <is>
          <t>Seed</t>
        </is>
      </c>
      <c r="B127" s="3">
        <f>IF(B109="convert",$B$17*B118,$B$26)</f>
        <v/>
      </c>
      <c r="C127" s="3">
        <f>IF(C109="convert",$B$17*C118,$B$26)</f>
        <v/>
      </c>
      <c r="D127" s="3">
        <f>IF(D109="convert",$B$17*D118,$B$26)</f>
        <v/>
      </c>
      <c r="E127" s="3">
        <f>IF(E109="convert",$B$17*E118,$B$26)</f>
        <v/>
      </c>
      <c r="F127" s="3">
        <f>IF(F109="convert",$B$17*F118,$B$26)</f>
        <v/>
      </c>
    </row>
    <row r="128">
      <c r="A128" t="inlineStr">
        <is>
          <t>Notes A+B (combined, pro rata)</t>
        </is>
      </c>
      <c r="B128" s="3">
        <f>$B$7*B118</f>
        <v/>
      </c>
      <c r="C128" s="3">
        <f>$B$7*C118</f>
        <v/>
      </c>
      <c r="D128" s="3">
        <f>$B$7*D118</f>
        <v/>
      </c>
      <c r="E128" s="3">
        <f>$B$7*E118</f>
        <v/>
      </c>
      <c r="F128" s="3">
        <f>$B$7*F118</f>
        <v/>
      </c>
    </row>
    <row r="129">
      <c r="A129" t="inlineStr">
        <is>
          <t>Common + RSAs (founders + RSAs + F_LEAD tender)</t>
        </is>
      </c>
      <c r="B129" s="3">
        <f>$B$6*B118</f>
        <v/>
      </c>
      <c r="C129" s="3">
        <f>$B$6*C118</f>
        <v/>
      </c>
      <c r="D129" s="3">
        <f>$B$6*D118</f>
        <v/>
      </c>
      <c r="E129" s="3">
        <f>$B$6*E118</f>
        <v/>
      </c>
      <c r="F129" s="3">
        <f>$B$6*F118</f>
        <v/>
      </c>
    </row>
    <row r="130">
      <c r="A130" t="inlineStr">
        <is>
          <t>Issued options (net of strike if ITM)</t>
        </is>
      </c>
      <c r="B130" s="3">
        <f>MAX(0,B118-'Assumptions'!$B$11)*$B$8</f>
        <v/>
      </c>
      <c r="C130" s="3">
        <f>MAX(0,C118-'Assumptions'!$B$11)*$B$8</f>
        <v/>
      </c>
      <c r="D130" s="3">
        <f>MAX(0,D118-'Assumptions'!$B$11)*$B$8</f>
        <v/>
      </c>
      <c r="E130" s="3">
        <f>MAX(0,E118-'Assumptions'!$B$11)*$B$8</f>
        <v/>
      </c>
      <c r="F130" s="3">
        <f>MAX(0,F118-'Assumptions'!$B$11)*$B$8</f>
        <v/>
      </c>
    </row>
    <row r="131">
      <c r="A131" t="inlineStr">
        <is>
          <t>Unissued options (forfeit on acquisition)</t>
        </is>
      </c>
      <c r="B131" s="3">
        <f>0</f>
        <v/>
      </c>
      <c r="C131" s="3">
        <f>0</f>
        <v/>
      </c>
      <c r="D131" s="3">
        <f>0</f>
        <v/>
      </c>
      <c r="E131" s="3">
        <f>0</f>
        <v/>
      </c>
      <c r="F131" s="3">
        <f>0</f>
        <v/>
      </c>
    </row>
    <row r="132">
      <c r="A132" s="13" t="inlineStr">
        <is>
          <t>TOTAL DISTRIBUTED</t>
        </is>
      </c>
      <c r="B132" s="3">
        <f>B121+B122+B123+B124+B125+B126+B127+B128+B129+B130</f>
        <v/>
      </c>
      <c r="C132" s="3">
        <f>C121+C122+C123+C124+C125+C126+C127+C128+C129+C130</f>
        <v/>
      </c>
      <c r="D132" s="3">
        <f>D121+D122+D123+D124+D125+D126+D127+D128+D129+D130</f>
        <v/>
      </c>
      <c r="E132" s="3">
        <f>E121+E122+E123+E124+E125+E126+E127+E128+E129+E130</f>
        <v/>
      </c>
      <c r="F132" s="3">
        <f>F121+F122+F123+F124+F125+F126+F127+F128+F129+F130</f>
        <v/>
      </c>
    </row>
    <row r="133">
      <c r="A133" s="2" t="inlineStr">
        <is>
          <t>Reconciliation diff (= total − exit)</t>
        </is>
      </c>
      <c r="B133" s="6">
        <f>B132-$B$3</f>
        <v/>
      </c>
      <c r="C133" s="6">
        <f>C132-$C$3</f>
        <v/>
      </c>
      <c r="D133" s="6">
        <f>D132-$D$3</f>
        <v/>
      </c>
      <c r="E133" s="6">
        <f>E132-$E$3</f>
        <v/>
      </c>
      <c r="F133" s="6">
        <f>F132-$F$3</f>
        <v/>
      </c>
    </row>
    <row r="135">
      <c r="A135" s="10" t="inlineStr">
        <is>
          <t>35 ELECTION CELLS SUMMARY (each cell is an IF formula)</t>
        </is>
      </c>
      <c r="B135" s="10" t="inlineStr">
        <is>
          <t>Exit 1 ($700M)</t>
        </is>
      </c>
      <c r="C135" s="10" t="inlineStr">
        <is>
          <t>Exit 2 ($1.2B)</t>
        </is>
      </c>
      <c r="D135" s="10" t="inlineStr">
        <is>
          <t>Exit 3 ($2B)</t>
        </is>
      </c>
      <c r="E135" s="10" t="inlineStr">
        <is>
          <t>Exit 4 ($4B)</t>
        </is>
      </c>
      <c r="F135" s="10" t="inlineStr">
        <is>
          <t>Exit 5 ($8B)</t>
        </is>
      </c>
    </row>
    <row r="136">
      <c r="A136" t="inlineStr">
        <is>
          <t>F election</t>
        </is>
      </c>
      <c r="B136">
        <f>B37</f>
        <v/>
      </c>
      <c r="C136">
        <f>C37</f>
        <v/>
      </c>
      <c r="D136">
        <f>D37</f>
        <v/>
      </c>
      <c r="E136">
        <f>E37</f>
        <v/>
      </c>
      <c r="F136">
        <f>F37</f>
        <v/>
      </c>
    </row>
    <row r="137">
      <c r="A137" t="inlineStr">
        <is>
          <t>E election</t>
        </is>
      </c>
      <c r="B137">
        <f>B49</f>
        <v/>
      </c>
      <c r="C137">
        <f>C49</f>
        <v/>
      </c>
      <c r="D137">
        <f>D49</f>
        <v/>
      </c>
      <c r="E137">
        <f>E49</f>
        <v/>
      </c>
      <c r="F137">
        <f>F49</f>
        <v/>
      </c>
    </row>
    <row r="138">
      <c r="A138" t="inlineStr">
        <is>
          <t>D election</t>
        </is>
      </c>
      <c r="B138">
        <f>B61</f>
        <v/>
      </c>
      <c r="C138">
        <f>C61</f>
        <v/>
      </c>
      <c r="D138">
        <f>D61</f>
        <v/>
      </c>
      <c r="E138">
        <f>E61</f>
        <v/>
      </c>
      <c r="F138">
        <f>F61</f>
        <v/>
      </c>
    </row>
    <row r="139">
      <c r="A139" t="inlineStr">
        <is>
          <t>C election</t>
        </is>
      </c>
      <c r="B139">
        <f>B73</f>
        <v/>
      </c>
      <c r="C139">
        <f>C73</f>
        <v/>
      </c>
      <c r="D139">
        <f>D73</f>
        <v/>
      </c>
      <c r="E139">
        <f>E73</f>
        <v/>
      </c>
      <c r="F139">
        <f>F73</f>
        <v/>
      </c>
    </row>
    <row r="140">
      <c r="A140" t="inlineStr">
        <is>
          <t>B election</t>
        </is>
      </c>
      <c r="B140">
        <f>B85</f>
        <v/>
      </c>
      <c r="C140">
        <f>C85</f>
        <v/>
      </c>
      <c r="D140">
        <f>D85</f>
        <v/>
      </c>
      <c r="E140">
        <f>E85</f>
        <v/>
      </c>
      <c r="F140">
        <f>F85</f>
        <v/>
      </c>
    </row>
    <row r="141">
      <c r="A141" t="inlineStr">
        <is>
          <t>A election</t>
        </is>
      </c>
      <c r="B141">
        <f>B97</f>
        <v/>
      </c>
      <c r="C141">
        <f>C97</f>
        <v/>
      </c>
      <c r="D141">
        <f>D97</f>
        <v/>
      </c>
      <c r="E141">
        <f>E97</f>
        <v/>
      </c>
      <c r="F141">
        <f>F97</f>
        <v/>
      </c>
    </row>
    <row r="142">
      <c r="A142" t="inlineStr">
        <is>
          <t>Seed election</t>
        </is>
      </c>
      <c r="B142">
        <f>B109</f>
        <v/>
      </c>
      <c r="C142">
        <f>C109</f>
        <v/>
      </c>
      <c r="D142">
        <f>D109</f>
        <v/>
      </c>
      <c r="E142">
        <f>E109</f>
        <v/>
      </c>
      <c r="F142">
        <f>F109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Sensitivity Grid — 3×3 (ESOP × Pre-money) at $2B Exit</t>
        </is>
      </c>
    </row>
    <row r="3">
      <c r="A3" s="10" t="inlineStr">
        <is>
          <t>OWNERSHIP % (our $10M check's post-F FD share)</t>
        </is>
      </c>
    </row>
    <row r="4">
      <c r="B4" s="13" t="inlineStr">
        <is>
          <t>Pre $1.2B</t>
        </is>
      </c>
      <c r="C4" s="13" t="inlineStr">
        <is>
          <t>Pre $1.4B</t>
        </is>
      </c>
      <c r="D4" s="13" t="inlineStr">
        <is>
          <t>Pre $1.8B</t>
        </is>
      </c>
    </row>
    <row r="5">
      <c r="A5" s="13" t="inlineStr">
        <is>
          <t>ESOP 11%</t>
        </is>
      </c>
      <c r="B5" s="19">
        <f>(('Assumptions'!$B$9/'Sensitivity'!$B$52)/'Sensitivity'!$V$52)</f>
        <v/>
      </c>
      <c r="C5" s="19">
        <f>(('Assumptions'!$B$9/'Sensitivity'!$B$72)/'Sensitivity'!$V$72)</f>
        <v/>
      </c>
      <c r="D5" s="19">
        <f>(('Assumptions'!$B$9/'Sensitivity'!$B$92)/'Sensitivity'!$V$92)</f>
        <v/>
      </c>
    </row>
    <row r="6">
      <c r="A6" s="13" t="inlineStr">
        <is>
          <t>ESOP 13%</t>
        </is>
      </c>
      <c r="B6" s="19">
        <f>(('Assumptions'!$B$9/'Sensitivity'!$B$112)/'Sensitivity'!$V$112)</f>
        <v/>
      </c>
      <c r="C6" s="19">
        <f>(('Assumptions'!$B$9/'Sensitivity'!$B$132)/'Sensitivity'!$V$132)</f>
        <v/>
      </c>
      <c r="D6" s="19">
        <f>(('Assumptions'!$B$9/'Sensitivity'!$B$152)/'Sensitivity'!$V$152)</f>
        <v/>
      </c>
    </row>
    <row r="7">
      <c r="A7" s="13" t="inlineStr">
        <is>
          <t>ESOP 15%</t>
        </is>
      </c>
      <c r="B7" s="19">
        <f>(('Assumptions'!$B$9/'Sensitivity'!$B$172)/'Sensitivity'!$V$172)</f>
        <v/>
      </c>
      <c r="C7" s="19">
        <f>(('Assumptions'!$B$9/'Sensitivity'!$B$192)/'Sensitivity'!$V$192)</f>
        <v/>
      </c>
      <c r="D7" s="19">
        <f>(('Assumptions'!$B$9/'Sensitivity'!$B$212)/'Sensitivity'!$V$212)</f>
        <v/>
      </c>
    </row>
    <row r="9">
      <c r="A9" s="10" t="inlineStr">
        <is>
          <t>PROCEEDS at $2B exit (our $10M check)</t>
        </is>
      </c>
    </row>
    <row r="10">
      <c r="B10" s="13" t="inlineStr">
        <is>
          <t>Pre $1.2B</t>
        </is>
      </c>
      <c r="C10" s="13" t="inlineStr">
        <is>
          <t>Pre $1.4B</t>
        </is>
      </c>
      <c r="D10" s="13" t="inlineStr">
        <is>
          <t>Pre $1.8B</t>
        </is>
      </c>
    </row>
    <row r="11">
      <c r="A11" s="13" t="inlineStr">
        <is>
          <t>ESOP 11%</t>
        </is>
      </c>
      <c r="B11" s="3">
        <f>(('Assumptions'!$B$9/'Sensitivity'!$B$52)*(('Assumptions'!$B$16+'Assumptions'!$B$11*'Assumptions'!$B$41-'Assumptions'!$B$51)/(('Assumptions'!$B$30+'Assumptions'!$B$31+'Assumptions'!$B$32+'Assumptions'!$B$33)+'Assumptions'!$B$34+'Assumptions'!$B$35+'Assumptions'!$B$36+'Assumptions'!$B$37+'Sensitivity'!$E$52+'Sensitivity'!$O$52+'Sensitivity'!$T$52+'Assumptions'!$B$41+'Assumptions'!$B$5/'Sensitivity'!$B$52)))</f>
        <v/>
      </c>
      <c r="C11" s="3">
        <f>(('Assumptions'!$B$9/'Sensitivity'!$B$72)*(('Assumptions'!$B$16+'Assumptions'!$B$11*'Assumptions'!$B$41-'Assumptions'!$B$51)/(('Assumptions'!$B$30+'Assumptions'!$B$31+'Assumptions'!$B$32+'Assumptions'!$B$33)+'Assumptions'!$B$34+'Assumptions'!$B$35+'Assumptions'!$B$36+'Assumptions'!$B$37+'Sensitivity'!$E$72+'Sensitivity'!$O$72+'Sensitivity'!$T$72+'Assumptions'!$B$41+'Assumptions'!$B$5/'Sensitivity'!$B$72)))</f>
        <v/>
      </c>
      <c r="D11" s="3">
        <f>(('Assumptions'!$B$9/'Sensitivity'!$B$92)*(('Assumptions'!$B$16+'Assumptions'!$B$11*'Assumptions'!$B$41-'Assumptions'!$B$51)/(('Assumptions'!$B$30+'Assumptions'!$B$31+'Assumptions'!$B$32+'Assumptions'!$B$33)+'Assumptions'!$B$34+'Assumptions'!$B$35+'Assumptions'!$B$36+'Assumptions'!$B$37+'Sensitivity'!$E$92+'Sensitivity'!$O$92+'Sensitivity'!$T$92+'Assumptions'!$B$41+'Assumptions'!$B$5/'Sensitivity'!$B$92)))</f>
        <v/>
      </c>
    </row>
    <row r="12">
      <c r="A12" s="13" t="inlineStr">
        <is>
          <t>ESOP 13%</t>
        </is>
      </c>
      <c r="B12" s="3">
        <f>(('Assumptions'!$B$9/'Sensitivity'!$B$112)*(('Assumptions'!$B$16+'Assumptions'!$B$11*'Assumptions'!$B$41-'Assumptions'!$B$51)/(('Assumptions'!$B$30+'Assumptions'!$B$31+'Assumptions'!$B$32+'Assumptions'!$B$33)+'Assumptions'!$B$34+'Assumptions'!$B$35+'Assumptions'!$B$36+'Assumptions'!$B$37+'Sensitivity'!$E$112+'Sensitivity'!$O$112+'Sensitivity'!$T$112+'Assumptions'!$B$41+'Assumptions'!$B$5/'Sensitivity'!$B$112)))</f>
        <v/>
      </c>
      <c r="C12" s="3">
        <f>(('Assumptions'!$B$9/'Sensitivity'!$B$132)*(('Assumptions'!$B$16+'Assumptions'!$B$11*'Assumptions'!$B$41-'Assumptions'!$B$51)/(('Assumptions'!$B$30+'Assumptions'!$B$31+'Assumptions'!$B$32+'Assumptions'!$B$33)+'Assumptions'!$B$34+'Assumptions'!$B$35+'Assumptions'!$B$36+'Assumptions'!$B$37+'Sensitivity'!$E$132+'Sensitivity'!$O$132+'Sensitivity'!$T$132+'Assumptions'!$B$41+'Assumptions'!$B$5/'Sensitivity'!$B$132)))</f>
        <v/>
      </c>
      <c r="D12" s="3">
        <f>(('Assumptions'!$B$9/'Sensitivity'!$B$152)*(('Assumptions'!$B$16+'Assumptions'!$B$11*'Assumptions'!$B$41-'Assumptions'!$B$51)/(('Assumptions'!$B$30+'Assumptions'!$B$31+'Assumptions'!$B$32+'Assumptions'!$B$33)+'Assumptions'!$B$34+'Assumptions'!$B$35+'Assumptions'!$B$36+'Assumptions'!$B$37+'Sensitivity'!$E$152+'Sensitivity'!$O$152+'Sensitivity'!$T$152+'Assumptions'!$B$41+'Assumptions'!$B$5/'Sensitivity'!$B$152)))</f>
        <v/>
      </c>
    </row>
    <row r="13">
      <c r="A13" s="13" t="inlineStr">
        <is>
          <t>ESOP 15%</t>
        </is>
      </c>
      <c r="B13" s="3">
        <f>(('Assumptions'!$B$9/'Sensitivity'!$B$172)*(('Assumptions'!$B$16+'Assumptions'!$B$11*'Assumptions'!$B$41-'Assumptions'!$B$51)/(('Assumptions'!$B$30+'Assumptions'!$B$31+'Assumptions'!$B$32+'Assumptions'!$B$33)+'Assumptions'!$B$34+'Assumptions'!$B$35+'Assumptions'!$B$36+'Assumptions'!$B$37+'Sensitivity'!$E$172+'Sensitivity'!$O$172+'Sensitivity'!$T$172+'Assumptions'!$B$41+'Assumptions'!$B$5/'Sensitivity'!$B$172)))</f>
        <v/>
      </c>
      <c r="C13" s="3">
        <f>(('Assumptions'!$B$9/'Sensitivity'!$B$192)*(('Assumptions'!$B$16+'Assumptions'!$B$11*'Assumptions'!$B$41-'Assumptions'!$B$51)/(('Assumptions'!$B$30+'Assumptions'!$B$31+'Assumptions'!$B$32+'Assumptions'!$B$33)+'Assumptions'!$B$34+'Assumptions'!$B$35+'Assumptions'!$B$36+'Assumptions'!$B$37+'Sensitivity'!$E$192+'Sensitivity'!$O$192+'Sensitivity'!$T$192+'Assumptions'!$B$41+'Assumptions'!$B$5/'Sensitivity'!$B$192)))</f>
        <v/>
      </c>
      <c r="D13" s="3">
        <f>(('Assumptions'!$B$9/'Sensitivity'!$B$212)*(('Assumptions'!$B$16+'Assumptions'!$B$11*'Assumptions'!$B$41-'Assumptions'!$B$51)/(('Assumptions'!$B$30+'Assumptions'!$B$31+'Assumptions'!$B$32+'Assumptions'!$B$33)+'Assumptions'!$B$34+'Assumptions'!$B$35+'Assumptions'!$B$36+'Assumptions'!$B$37+'Sensitivity'!$E$212+'Sensitivity'!$O$212+'Sensitivity'!$T$212+'Assumptions'!$B$41+'Assumptions'!$B$5/'Sensitivity'!$B$212)))</f>
        <v/>
      </c>
    </row>
    <row r="15">
      <c r="A15" s="10" t="inlineStr">
        <is>
          <t>MULTIPLE on $10M (proceeds / 10M)</t>
        </is>
      </c>
    </row>
    <row r="16">
      <c r="B16" s="13" t="inlineStr">
        <is>
          <t>Pre $1.2B</t>
        </is>
      </c>
      <c r="C16" s="13" t="inlineStr">
        <is>
          <t>Pre $1.4B</t>
        </is>
      </c>
      <c r="D16" s="13" t="inlineStr">
        <is>
          <t>Pre $1.8B</t>
        </is>
      </c>
    </row>
    <row r="17">
      <c r="A17" s="13" t="inlineStr">
        <is>
          <t>ESOP 11%</t>
        </is>
      </c>
      <c r="B17" s="20">
        <f>(('Assumptions'!$B$9/'Sensitivity'!$B$52)*(('Assumptions'!$B$16+'Assumptions'!$B$11*'Assumptions'!$B$41-'Assumptions'!$B$51)/(('Assumptions'!$B$30+'Assumptions'!$B$31+'Assumptions'!$B$32+'Assumptions'!$B$33)+'Assumptions'!$B$34+'Assumptions'!$B$35+'Assumptions'!$B$36+'Assumptions'!$B$37+'Sensitivity'!$E$52+'Sensitivity'!$O$52+'Sensitivity'!$T$52+'Assumptions'!$B$41+'Assumptions'!$B$5/'Sensitivity'!$B$52)))/'Assumptions'!$B$9</f>
        <v/>
      </c>
      <c r="C17" s="20">
        <f>(('Assumptions'!$B$9/'Sensitivity'!$B$72)*(('Assumptions'!$B$16+'Assumptions'!$B$11*'Assumptions'!$B$41-'Assumptions'!$B$51)/(('Assumptions'!$B$30+'Assumptions'!$B$31+'Assumptions'!$B$32+'Assumptions'!$B$33)+'Assumptions'!$B$34+'Assumptions'!$B$35+'Assumptions'!$B$36+'Assumptions'!$B$37+'Sensitivity'!$E$72+'Sensitivity'!$O$72+'Sensitivity'!$T$72+'Assumptions'!$B$41+'Assumptions'!$B$5/'Sensitivity'!$B$72)))/'Assumptions'!$B$9</f>
        <v/>
      </c>
      <c r="D17" s="20">
        <f>(('Assumptions'!$B$9/'Sensitivity'!$B$92)*(('Assumptions'!$B$16+'Assumptions'!$B$11*'Assumptions'!$B$41-'Assumptions'!$B$51)/(('Assumptions'!$B$30+'Assumptions'!$B$31+'Assumptions'!$B$32+'Assumptions'!$B$33)+'Assumptions'!$B$34+'Assumptions'!$B$35+'Assumptions'!$B$36+'Assumptions'!$B$37+'Sensitivity'!$E$92+'Sensitivity'!$O$92+'Sensitivity'!$T$92+'Assumptions'!$B$41+'Assumptions'!$B$5/'Sensitivity'!$B$92)))/'Assumptions'!$B$9</f>
        <v/>
      </c>
    </row>
    <row r="18">
      <c r="A18" s="13" t="inlineStr">
        <is>
          <t>ESOP 13%</t>
        </is>
      </c>
      <c r="B18" s="20">
        <f>(('Assumptions'!$B$9/'Sensitivity'!$B$112)*(('Assumptions'!$B$16+'Assumptions'!$B$11*'Assumptions'!$B$41-'Assumptions'!$B$51)/(('Assumptions'!$B$30+'Assumptions'!$B$31+'Assumptions'!$B$32+'Assumptions'!$B$33)+'Assumptions'!$B$34+'Assumptions'!$B$35+'Assumptions'!$B$36+'Assumptions'!$B$37+'Sensitivity'!$E$112+'Sensitivity'!$O$112+'Sensitivity'!$T$112+'Assumptions'!$B$41+'Assumptions'!$B$5/'Sensitivity'!$B$112)))/'Assumptions'!$B$9</f>
        <v/>
      </c>
      <c r="C18" s="20">
        <f>(('Assumptions'!$B$9/'Sensitivity'!$B$132)*(('Assumptions'!$B$16+'Assumptions'!$B$11*'Assumptions'!$B$41-'Assumptions'!$B$51)/(('Assumptions'!$B$30+'Assumptions'!$B$31+'Assumptions'!$B$32+'Assumptions'!$B$33)+'Assumptions'!$B$34+'Assumptions'!$B$35+'Assumptions'!$B$36+'Assumptions'!$B$37+'Sensitivity'!$E$132+'Sensitivity'!$O$132+'Sensitivity'!$T$132+'Assumptions'!$B$41+'Assumptions'!$B$5/'Sensitivity'!$B$132)))/'Assumptions'!$B$9</f>
        <v/>
      </c>
      <c r="D18" s="20">
        <f>(('Assumptions'!$B$9/'Sensitivity'!$B$152)*(('Assumptions'!$B$16+'Assumptions'!$B$11*'Assumptions'!$B$41-'Assumptions'!$B$51)/(('Assumptions'!$B$30+'Assumptions'!$B$31+'Assumptions'!$B$32+'Assumptions'!$B$33)+'Assumptions'!$B$34+'Assumptions'!$B$35+'Assumptions'!$B$36+'Assumptions'!$B$37+'Sensitivity'!$E$152+'Sensitivity'!$O$152+'Sensitivity'!$T$152+'Assumptions'!$B$41+'Assumptions'!$B$5/'Sensitivity'!$B$152)))/'Assumptions'!$B$9</f>
        <v/>
      </c>
    </row>
    <row r="19">
      <c r="A19" s="13" t="inlineStr">
        <is>
          <t>ESOP 15%</t>
        </is>
      </c>
      <c r="B19" s="20">
        <f>(('Assumptions'!$B$9/'Sensitivity'!$B$172)*(('Assumptions'!$B$16+'Assumptions'!$B$11*'Assumptions'!$B$41-'Assumptions'!$B$51)/(('Assumptions'!$B$30+'Assumptions'!$B$31+'Assumptions'!$B$32+'Assumptions'!$B$33)+'Assumptions'!$B$34+'Assumptions'!$B$35+'Assumptions'!$B$36+'Assumptions'!$B$37+'Sensitivity'!$E$172+'Sensitivity'!$O$172+'Sensitivity'!$T$172+'Assumptions'!$B$41+'Assumptions'!$B$5/'Sensitivity'!$B$172)))/'Assumptions'!$B$9</f>
        <v/>
      </c>
      <c r="C19" s="20">
        <f>(('Assumptions'!$B$9/'Sensitivity'!$B$192)*(('Assumptions'!$B$16+'Assumptions'!$B$11*'Assumptions'!$B$41-'Assumptions'!$B$51)/(('Assumptions'!$B$30+'Assumptions'!$B$31+'Assumptions'!$B$32+'Assumptions'!$B$33)+'Assumptions'!$B$34+'Assumptions'!$B$35+'Assumptions'!$B$36+'Assumptions'!$B$37+'Sensitivity'!$E$192+'Sensitivity'!$O$192+'Sensitivity'!$T$192+'Assumptions'!$B$41+'Assumptions'!$B$5/'Sensitivity'!$B$192)))/'Assumptions'!$B$9</f>
        <v/>
      </c>
      <c r="D19" s="20">
        <f>(('Assumptions'!$B$9/'Sensitivity'!$B$212)*(('Assumptions'!$B$16+'Assumptions'!$B$11*'Assumptions'!$B$41-'Assumptions'!$B$51)/(('Assumptions'!$B$30+'Assumptions'!$B$31+'Assumptions'!$B$32+'Assumptions'!$B$33)+'Assumptions'!$B$34+'Assumptions'!$B$35+'Assumptions'!$B$36+'Assumptions'!$B$37+'Sensitivity'!$E$212+'Sensitivity'!$O$212+'Sensitivity'!$T$212+'Assumptions'!$B$41+'Assumptions'!$B$5/'Sensitivity'!$B$212)))/'Assumptions'!$B$9</f>
        <v/>
      </c>
    </row>
    <row r="21">
      <c r="A21" s="10" t="inlineStr">
        <is>
          <t>NOTE A BRANCH per cell</t>
        </is>
      </c>
    </row>
    <row r="22">
      <c r="B22" s="13" t="inlineStr">
        <is>
          <t>Pre $1.2B</t>
        </is>
      </c>
      <c r="C22" s="13" t="inlineStr">
        <is>
          <t>Pre $1.4B</t>
        </is>
      </c>
      <c r="D22" s="13" t="inlineStr">
        <is>
          <t>Pre $1.8B</t>
        </is>
      </c>
    </row>
    <row r="23">
      <c r="A23" t="inlineStr">
        <is>
          <t>ESOP 11%</t>
        </is>
      </c>
      <c r="B23">
        <f>'Sensitivity'!$W$52</f>
        <v/>
      </c>
      <c r="C23">
        <f>'Sensitivity'!$W$72</f>
        <v/>
      </c>
      <c r="D23">
        <f>'Sensitivity'!$W$92</f>
        <v/>
      </c>
    </row>
    <row r="24">
      <c r="A24" t="inlineStr">
        <is>
          <t>ESOP 13%</t>
        </is>
      </c>
      <c r="B24">
        <f>'Sensitivity'!$W$112</f>
        <v/>
      </c>
      <c r="C24">
        <f>'Sensitivity'!$W$132</f>
        <v/>
      </c>
      <c r="D24">
        <f>'Sensitivity'!$W$152</f>
        <v/>
      </c>
    </row>
    <row r="25">
      <c r="A25" t="inlineStr">
        <is>
          <t>ESOP 15%</t>
        </is>
      </c>
      <c r="B25">
        <f>'Sensitivity'!$W$172</f>
        <v/>
      </c>
      <c r="C25">
        <f>'Sensitivity'!$W$192</f>
        <v/>
      </c>
      <c r="D25">
        <f>'Sensitivity'!$W$212</f>
        <v/>
      </c>
    </row>
    <row r="27">
      <c r="A27" s="10" t="inlineStr">
        <is>
          <t>NOTE B BRANCH per cell</t>
        </is>
      </c>
    </row>
    <row r="28">
      <c r="B28" s="13" t="inlineStr">
        <is>
          <t>Pre $1.2B</t>
        </is>
      </c>
      <c r="C28" s="13" t="inlineStr">
        <is>
          <t>Pre $1.4B</t>
        </is>
      </c>
      <c r="D28" s="13" t="inlineStr">
        <is>
          <t>Pre $1.8B</t>
        </is>
      </c>
    </row>
    <row r="29">
      <c r="A29" t="inlineStr">
        <is>
          <t>ESOP 11%</t>
        </is>
      </c>
      <c r="B29">
        <f>'Sensitivity'!$X$52</f>
        <v/>
      </c>
      <c r="C29">
        <f>'Sensitivity'!$X$72</f>
        <v/>
      </c>
      <c r="D29">
        <f>'Sensitivity'!$X$92</f>
        <v/>
      </c>
    </row>
    <row r="30">
      <c r="A30" t="inlineStr">
        <is>
          <t>ESOP 13%</t>
        </is>
      </c>
      <c r="B30">
        <f>'Sensitivity'!$X$112</f>
        <v/>
      </c>
      <c r="C30">
        <f>'Sensitivity'!$X$132</f>
        <v/>
      </c>
      <c r="D30">
        <f>'Sensitivity'!$X$152</f>
        <v/>
      </c>
    </row>
    <row r="31">
      <c r="A31" t="inlineStr">
        <is>
          <t>ESOP 15%</t>
        </is>
      </c>
      <c r="B31">
        <f>'Sensitivity'!$X$172</f>
        <v/>
      </c>
      <c r="C31">
        <f>'Sensitivity'!$X$192</f>
        <v/>
      </c>
      <c r="D31">
        <f>'Sensitivity'!$X$212</f>
        <v/>
      </c>
    </row>
    <row r="35">
      <c r="A35" s="10" t="inlineStr">
        <is>
          <t>Cell (11%, $1.2B)</t>
        </is>
      </c>
    </row>
    <row r="36">
      <c r="A36" s="13" t="inlineStr">
        <is>
          <t>Iter</t>
        </is>
      </c>
      <c r="B36" s="13" t="inlineStr">
        <is>
          <t>F_PPS</t>
        </is>
      </c>
      <c r="C36" s="13" t="inlineStr">
        <is>
          <t>F_prim_shares</t>
        </is>
      </c>
      <c r="D36" s="13" t="inlineStr">
        <is>
          <t>NCP_E</t>
        </is>
      </c>
      <c r="E36" s="13" t="inlineStr">
        <is>
          <t>new_E_shares</t>
        </is>
      </c>
      <c r="F36" s="13" t="inlineStr">
        <is>
          <t>AD_inc_E</t>
        </is>
      </c>
      <c r="G36" s="13" t="inlineStr">
        <is>
          <t>NCP_D</t>
        </is>
      </c>
      <c r="H36" s="13" t="inlineStr">
        <is>
          <t>new_D_shares</t>
        </is>
      </c>
      <c r="I36" s="13" t="inlineStr">
        <is>
          <t>AD_inc_D</t>
        </is>
      </c>
      <c r="J36" s="13" t="inlineStr">
        <is>
          <t>ESOP_topup</t>
        </is>
      </c>
      <c r="K36" s="13" t="inlineStr">
        <is>
          <t>cap_FD_A</t>
        </is>
      </c>
      <c r="L36" s="13" t="inlineStr">
        <is>
          <t>cap_pps_A</t>
        </is>
      </c>
      <c r="M36" s="13" t="inlineStr">
        <is>
          <t>disc_pps_A</t>
        </is>
      </c>
      <c r="N36" s="13" t="inlineStr">
        <is>
          <t>conv_pps_A</t>
        </is>
      </c>
      <c r="O36" s="13" t="inlineStr">
        <is>
          <t>N_A</t>
        </is>
      </c>
      <c r="P36" s="13" t="inlineStr">
        <is>
          <t>cap_FD_B</t>
        </is>
      </c>
      <c r="Q36" s="13" t="inlineStr">
        <is>
          <t>cap_pps_B</t>
        </is>
      </c>
      <c r="R36" s="13" t="inlineStr">
        <is>
          <t>disc_pps_B</t>
        </is>
      </c>
      <c r="S36" s="13" t="inlineStr">
        <is>
          <t>conv_pps_B</t>
        </is>
      </c>
      <c r="T36" s="13" t="inlineStr">
        <is>
          <t>N_B</t>
        </is>
      </c>
      <c r="U36" s="13" t="inlineStr">
        <is>
          <t>pre_money_FD</t>
        </is>
      </c>
      <c r="V36" s="13" t="inlineStr">
        <is>
          <t>T_F</t>
        </is>
      </c>
    </row>
    <row r="37">
      <c r="A37" t="n">
        <v>0</v>
      </c>
      <c r="B37" s="11">
        <f>'Assumptions'!$B$67/'Assumptions'!$B$44</f>
        <v/>
      </c>
      <c r="C37" s="17">
        <f>'Assumptions'!$B$5/$B$37</f>
        <v/>
      </c>
      <c r="D37" s="11">
        <f>'Assumptions'!$B$27*('Assumptions'!$B$44+'Assumptions'!$B$5/'Assumptions'!$B$27)/('Assumptions'!$B$44+'Assumptions'!$B$5/$B$37)</f>
        <v/>
      </c>
      <c r="E37" s="17">
        <f>'Assumptions'!$B$40*'Assumptions'!$B$27/$D$37</f>
        <v/>
      </c>
      <c r="F37" s="17">
        <f>$E$37-'Assumptions'!$B$40</f>
        <v/>
      </c>
      <c r="G37" s="11">
        <f>'Assumptions'!$B$25*('Assumptions'!$B$44+'Assumptions'!$B$5/'Assumptions'!$B$25)/('Assumptions'!$B$44+'Assumptions'!$B$5/$B$37)</f>
        <v/>
      </c>
      <c r="H37" s="17">
        <f>'Assumptions'!$B$38*'Assumptions'!$B$26/$G$37</f>
        <v/>
      </c>
      <c r="I37" s="17">
        <f>$H$37-'Assumptions'!$B$39</f>
        <v/>
      </c>
      <c r="J37" s="17">
        <f>MAX(0,'Assumptions'!$B$64*('Assumptions'!$B$44+$F$37+$I$37+$C$37)/(1-'Assumptions'!$B$64)-'Assumptions'!$B$43)</f>
        <v/>
      </c>
      <c r="K37" s="17">
        <f>'Assumptions'!$B$44+$J$37+$F$37+$I$37+0</f>
        <v/>
      </c>
      <c r="L37" s="11">
        <f>'Assumptions'!$B$57/$K$37</f>
        <v/>
      </c>
      <c r="M37" s="11">
        <f>$B$37*(1-'Assumptions'!$B$58)</f>
        <v/>
      </c>
      <c r="N37" s="11">
        <f>MIN($L$37,$M$37)</f>
        <v/>
      </c>
      <c r="O37" s="17">
        <f>'Assumptions'!$B$56/$N$37</f>
        <v/>
      </c>
      <c r="P37" s="17">
        <f>'Assumptions'!$B$44+$J$37+$F$37+$I$37+$O$37</f>
        <v/>
      </c>
      <c r="Q37" s="11">
        <f>'Assumptions'!$B$60/$P$37</f>
        <v/>
      </c>
      <c r="R37" s="11">
        <f>$B$37*(1-'Assumptions'!$B$61)</f>
        <v/>
      </c>
      <c r="S37" s="11">
        <f>MIN($Q$37,$R$37)</f>
        <v/>
      </c>
      <c r="T37" s="17">
        <f>'Assumptions'!$B$59/$S$37</f>
        <v/>
      </c>
      <c r="U37" s="17">
        <f>'Assumptions'!$B$44+$J$37+$F$37+$I$37+$O$37+$T$37</f>
        <v/>
      </c>
      <c r="V37" s="17">
        <f>$U$37+$C$37</f>
        <v/>
      </c>
    </row>
    <row r="38">
      <c r="A38" t="n">
        <v>1</v>
      </c>
      <c r="B38" s="11">
        <f>'Assumptions'!$B$67/$U$37</f>
        <v/>
      </c>
      <c r="C38" s="17">
        <f>'Assumptions'!$B$5/$B$38</f>
        <v/>
      </c>
      <c r="D38" s="11">
        <f>'Assumptions'!$B$27*('Assumptions'!$B$44+'Assumptions'!$B$5/'Assumptions'!$B$27)/('Assumptions'!$B$44+'Assumptions'!$B$5/$B$38)</f>
        <v/>
      </c>
      <c r="E38" s="17">
        <f>'Assumptions'!$B$40*'Assumptions'!$B$27/$D$38</f>
        <v/>
      </c>
      <c r="F38" s="17">
        <f>$E$38-'Assumptions'!$B$40</f>
        <v/>
      </c>
      <c r="G38" s="11">
        <f>'Assumptions'!$B$25*('Assumptions'!$B$44+'Assumptions'!$B$5/'Assumptions'!$B$25)/('Assumptions'!$B$44+'Assumptions'!$B$5/$B$38)</f>
        <v/>
      </c>
      <c r="H38" s="17">
        <f>'Assumptions'!$B$38*'Assumptions'!$B$26/$G$38</f>
        <v/>
      </c>
      <c r="I38" s="17">
        <f>$H$38-'Assumptions'!$B$39</f>
        <v/>
      </c>
      <c r="J38" s="17">
        <f>MAX(0,'Assumptions'!$B$64*$V$37-'Assumptions'!$B$43)</f>
        <v/>
      </c>
      <c r="K38" s="17">
        <f>'Assumptions'!$B$44+$J$38+$F$38+$I$38+$T$37</f>
        <v/>
      </c>
      <c r="L38" s="11">
        <f>'Assumptions'!$B$57/$K$38</f>
        <v/>
      </c>
      <c r="M38" s="11">
        <f>$B$38*(1-'Assumptions'!$B$58)</f>
        <v/>
      </c>
      <c r="N38" s="11">
        <f>MIN($L$38,$M$38)</f>
        <v/>
      </c>
      <c r="O38" s="17">
        <f>'Assumptions'!$B$56/$N$38</f>
        <v/>
      </c>
      <c r="P38" s="17">
        <f>'Assumptions'!$B$44+$J$38+$F$38+$I$38+$O$38</f>
        <v/>
      </c>
      <c r="Q38" s="11">
        <f>'Assumptions'!$B$60/$P$38</f>
        <v/>
      </c>
      <c r="R38" s="11">
        <f>$B$38*(1-'Assumptions'!$B$61)</f>
        <v/>
      </c>
      <c r="S38" s="11">
        <f>MIN($Q$38,$R$38)</f>
        <v/>
      </c>
      <c r="T38" s="17">
        <f>'Assumptions'!$B$59/$S$38</f>
        <v/>
      </c>
      <c r="U38" s="17">
        <f>'Assumptions'!$B$44+$J$38+$F$38+$I$38+$O$38+$T$38</f>
        <v/>
      </c>
      <c r="V38" s="17">
        <f>$U$38+$C$38</f>
        <v/>
      </c>
    </row>
    <row r="39">
      <c r="A39" t="n">
        <v>2</v>
      </c>
      <c r="B39" s="11">
        <f>'Assumptions'!$B$67/$U$38</f>
        <v/>
      </c>
      <c r="C39" s="17">
        <f>'Assumptions'!$B$5/$B$39</f>
        <v/>
      </c>
      <c r="D39" s="11">
        <f>'Assumptions'!$B$27*('Assumptions'!$B$44+'Assumptions'!$B$5/'Assumptions'!$B$27)/('Assumptions'!$B$44+'Assumptions'!$B$5/$B$39)</f>
        <v/>
      </c>
      <c r="E39" s="17">
        <f>'Assumptions'!$B$40*'Assumptions'!$B$27/$D$39</f>
        <v/>
      </c>
      <c r="F39" s="17">
        <f>$E$39-'Assumptions'!$B$40</f>
        <v/>
      </c>
      <c r="G39" s="11">
        <f>'Assumptions'!$B$25*('Assumptions'!$B$44+'Assumptions'!$B$5/'Assumptions'!$B$25)/('Assumptions'!$B$44+'Assumptions'!$B$5/$B$39)</f>
        <v/>
      </c>
      <c r="H39" s="17">
        <f>'Assumptions'!$B$38*'Assumptions'!$B$26/$G$39</f>
        <v/>
      </c>
      <c r="I39" s="17">
        <f>$H$39-'Assumptions'!$B$39</f>
        <v/>
      </c>
      <c r="J39" s="17">
        <f>MAX(0,'Assumptions'!$B$64*$V$38-'Assumptions'!$B$43)</f>
        <v/>
      </c>
      <c r="K39" s="17">
        <f>'Assumptions'!$B$44+$J$39+$F$39+$I$39+$T$38</f>
        <v/>
      </c>
      <c r="L39" s="11">
        <f>'Assumptions'!$B$57/$K$39</f>
        <v/>
      </c>
      <c r="M39" s="11">
        <f>$B$39*(1-'Assumptions'!$B$58)</f>
        <v/>
      </c>
      <c r="N39" s="11">
        <f>MIN($L$39,$M$39)</f>
        <v/>
      </c>
      <c r="O39" s="17">
        <f>'Assumptions'!$B$56/$N$39</f>
        <v/>
      </c>
      <c r="P39" s="17">
        <f>'Assumptions'!$B$44+$J$39+$F$39+$I$39+$O$39</f>
        <v/>
      </c>
      <c r="Q39" s="11">
        <f>'Assumptions'!$B$60/$P$39</f>
        <v/>
      </c>
      <c r="R39" s="11">
        <f>$B$39*(1-'Assumptions'!$B$61)</f>
        <v/>
      </c>
      <c r="S39" s="11">
        <f>MIN($Q$39,$R$39)</f>
        <v/>
      </c>
      <c r="T39" s="17">
        <f>'Assumptions'!$B$59/$S$39</f>
        <v/>
      </c>
      <c r="U39" s="17">
        <f>'Assumptions'!$B$44+$J$39+$F$39+$I$39+$O$39+$T$39</f>
        <v/>
      </c>
      <c r="V39" s="17">
        <f>$U$39+$C$39</f>
        <v/>
      </c>
    </row>
    <row r="40">
      <c r="A40" t="n">
        <v>3</v>
      </c>
      <c r="B40" s="11">
        <f>'Assumptions'!$B$67/$U$39</f>
        <v/>
      </c>
      <c r="C40" s="17">
        <f>'Assumptions'!$B$5/$B$40</f>
        <v/>
      </c>
      <c r="D40" s="11">
        <f>'Assumptions'!$B$27*('Assumptions'!$B$44+'Assumptions'!$B$5/'Assumptions'!$B$27)/('Assumptions'!$B$44+'Assumptions'!$B$5/$B$40)</f>
        <v/>
      </c>
      <c r="E40" s="17">
        <f>'Assumptions'!$B$40*'Assumptions'!$B$27/$D$40</f>
        <v/>
      </c>
      <c r="F40" s="17">
        <f>$E$40-'Assumptions'!$B$40</f>
        <v/>
      </c>
      <c r="G40" s="11">
        <f>'Assumptions'!$B$25*('Assumptions'!$B$44+'Assumptions'!$B$5/'Assumptions'!$B$25)/('Assumptions'!$B$44+'Assumptions'!$B$5/$B$40)</f>
        <v/>
      </c>
      <c r="H40" s="17">
        <f>'Assumptions'!$B$38*'Assumptions'!$B$26/$G$40</f>
        <v/>
      </c>
      <c r="I40" s="17">
        <f>$H$40-'Assumptions'!$B$39</f>
        <v/>
      </c>
      <c r="J40" s="17">
        <f>MAX(0,'Assumptions'!$B$64*$V$39-'Assumptions'!$B$43)</f>
        <v/>
      </c>
      <c r="K40" s="17">
        <f>'Assumptions'!$B$44+$J$40+$F$40+$I$40+$T$39</f>
        <v/>
      </c>
      <c r="L40" s="11">
        <f>'Assumptions'!$B$57/$K$40</f>
        <v/>
      </c>
      <c r="M40" s="11">
        <f>$B$40*(1-'Assumptions'!$B$58)</f>
        <v/>
      </c>
      <c r="N40" s="11">
        <f>MIN($L$40,$M$40)</f>
        <v/>
      </c>
      <c r="O40" s="17">
        <f>'Assumptions'!$B$56/$N$40</f>
        <v/>
      </c>
      <c r="P40" s="17">
        <f>'Assumptions'!$B$44+$J$40+$F$40+$I$40+$O$40</f>
        <v/>
      </c>
      <c r="Q40" s="11">
        <f>'Assumptions'!$B$60/$P$40</f>
        <v/>
      </c>
      <c r="R40" s="11">
        <f>$B$40*(1-'Assumptions'!$B$61)</f>
        <v/>
      </c>
      <c r="S40" s="11">
        <f>MIN($Q$40,$R$40)</f>
        <v/>
      </c>
      <c r="T40" s="17">
        <f>'Assumptions'!$B$59/$S$40</f>
        <v/>
      </c>
      <c r="U40" s="17">
        <f>'Assumptions'!$B$44+$J$40+$F$40+$I$40+$O$40+$T$40</f>
        <v/>
      </c>
      <c r="V40" s="17">
        <f>$U$40+$C$40</f>
        <v/>
      </c>
    </row>
    <row r="41">
      <c r="A41" t="n">
        <v>4</v>
      </c>
      <c r="B41" s="11">
        <f>'Assumptions'!$B$67/$U$40</f>
        <v/>
      </c>
      <c r="C41" s="17">
        <f>'Assumptions'!$B$5/$B$41</f>
        <v/>
      </c>
      <c r="D41" s="11">
        <f>'Assumptions'!$B$27*('Assumptions'!$B$44+'Assumptions'!$B$5/'Assumptions'!$B$27)/('Assumptions'!$B$44+'Assumptions'!$B$5/$B$41)</f>
        <v/>
      </c>
      <c r="E41" s="17">
        <f>'Assumptions'!$B$40*'Assumptions'!$B$27/$D$41</f>
        <v/>
      </c>
      <c r="F41" s="17">
        <f>$E$41-'Assumptions'!$B$40</f>
        <v/>
      </c>
      <c r="G41" s="11">
        <f>'Assumptions'!$B$25*('Assumptions'!$B$44+'Assumptions'!$B$5/'Assumptions'!$B$25)/('Assumptions'!$B$44+'Assumptions'!$B$5/$B$41)</f>
        <v/>
      </c>
      <c r="H41" s="17">
        <f>'Assumptions'!$B$38*'Assumptions'!$B$26/$G$41</f>
        <v/>
      </c>
      <c r="I41" s="17">
        <f>$H$41-'Assumptions'!$B$39</f>
        <v/>
      </c>
      <c r="J41" s="17">
        <f>MAX(0,'Assumptions'!$B$64*$V$40-'Assumptions'!$B$43)</f>
        <v/>
      </c>
      <c r="K41" s="17">
        <f>'Assumptions'!$B$44+$J$41+$F$41+$I$41+$T$40</f>
        <v/>
      </c>
      <c r="L41" s="11">
        <f>'Assumptions'!$B$57/$K$41</f>
        <v/>
      </c>
      <c r="M41" s="11">
        <f>$B$41*(1-'Assumptions'!$B$58)</f>
        <v/>
      </c>
      <c r="N41" s="11">
        <f>MIN($L$41,$M$41)</f>
        <v/>
      </c>
      <c r="O41" s="17">
        <f>'Assumptions'!$B$56/$N$41</f>
        <v/>
      </c>
      <c r="P41" s="17">
        <f>'Assumptions'!$B$44+$J$41+$F$41+$I$41+$O$41</f>
        <v/>
      </c>
      <c r="Q41" s="11">
        <f>'Assumptions'!$B$60/$P$41</f>
        <v/>
      </c>
      <c r="R41" s="11">
        <f>$B$41*(1-'Assumptions'!$B$61)</f>
        <v/>
      </c>
      <c r="S41" s="11">
        <f>MIN($Q$41,$R$41)</f>
        <v/>
      </c>
      <c r="T41" s="17">
        <f>'Assumptions'!$B$59/$S$41</f>
        <v/>
      </c>
      <c r="U41" s="17">
        <f>'Assumptions'!$B$44+$J$41+$F$41+$I$41+$O$41+$T$41</f>
        <v/>
      </c>
      <c r="V41" s="17">
        <f>$U$41+$C$41</f>
        <v/>
      </c>
    </row>
    <row r="42">
      <c r="A42" t="n">
        <v>5</v>
      </c>
      <c r="B42" s="11">
        <f>'Assumptions'!$B$67/$U$41</f>
        <v/>
      </c>
      <c r="C42" s="17">
        <f>'Assumptions'!$B$5/$B$42</f>
        <v/>
      </c>
      <c r="D42" s="11">
        <f>'Assumptions'!$B$27*('Assumptions'!$B$44+'Assumptions'!$B$5/'Assumptions'!$B$27)/('Assumptions'!$B$44+'Assumptions'!$B$5/$B$42)</f>
        <v/>
      </c>
      <c r="E42" s="17">
        <f>'Assumptions'!$B$40*'Assumptions'!$B$27/$D$42</f>
        <v/>
      </c>
      <c r="F42" s="17">
        <f>$E$42-'Assumptions'!$B$40</f>
        <v/>
      </c>
      <c r="G42" s="11">
        <f>'Assumptions'!$B$25*('Assumptions'!$B$44+'Assumptions'!$B$5/'Assumptions'!$B$25)/('Assumptions'!$B$44+'Assumptions'!$B$5/$B$42)</f>
        <v/>
      </c>
      <c r="H42" s="17">
        <f>'Assumptions'!$B$38*'Assumptions'!$B$26/$G$42</f>
        <v/>
      </c>
      <c r="I42" s="17">
        <f>$H$42-'Assumptions'!$B$39</f>
        <v/>
      </c>
      <c r="J42" s="17">
        <f>MAX(0,'Assumptions'!$B$64*$V$41-'Assumptions'!$B$43)</f>
        <v/>
      </c>
      <c r="K42" s="17">
        <f>'Assumptions'!$B$44+$J$42+$F$42+$I$42+$T$41</f>
        <v/>
      </c>
      <c r="L42" s="11">
        <f>'Assumptions'!$B$57/$K$42</f>
        <v/>
      </c>
      <c r="M42" s="11">
        <f>$B$42*(1-'Assumptions'!$B$58)</f>
        <v/>
      </c>
      <c r="N42" s="11">
        <f>MIN($L$42,$M$42)</f>
        <v/>
      </c>
      <c r="O42" s="17">
        <f>'Assumptions'!$B$56/$N$42</f>
        <v/>
      </c>
      <c r="P42" s="17">
        <f>'Assumptions'!$B$44+$J$42+$F$42+$I$42+$O$42</f>
        <v/>
      </c>
      <c r="Q42" s="11">
        <f>'Assumptions'!$B$60/$P$42</f>
        <v/>
      </c>
      <c r="R42" s="11">
        <f>$B$42*(1-'Assumptions'!$B$61)</f>
        <v/>
      </c>
      <c r="S42" s="11">
        <f>MIN($Q$42,$R$42)</f>
        <v/>
      </c>
      <c r="T42" s="17">
        <f>'Assumptions'!$B$59/$S$42</f>
        <v/>
      </c>
      <c r="U42" s="17">
        <f>'Assumptions'!$B$44+$J$42+$F$42+$I$42+$O$42+$T$42</f>
        <v/>
      </c>
      <c r="V42" s="17">
        <f>$U$42+$C$42</f>
        <v/>
      </c>
    </row>
    <row r="43">
      <c r="A43" t="n">
        <v>6</v>
      </c>
      <c r="B43" s="11">
        <f>'Assumptions'!$B$67/$U$42</f>
        <v/>
      </c>
      <c r="C43" s="17">
        <f>'Assumptions'!$B$5/$B$43</f>
        <v/>
      </c>
      <c r="D43" s="11">
        <f>'Assumptions'!$B$27*('Assumptions'!$B$44+'Assumptions'!$B$5/'Assumptions'!$B$27)/('Assumptions'!$B$44+'Assumptions'!$B$5/$B$43)</f>
        <v/>
      </c>
      <c r="E43" s="17">
        <f>'Assumptions'!$B$40*'Assumptions'!$B$27/$D$43</f>
        <v/>
      </c>
      <c r="F43" s="17">
        <f>$E$43-'Assumptions'!$B$40</f>
        <v/>
      </c>
      <c r="G43" s="11">
        <f>'Assumptions'!$B$25*('Assumptions'!$B$44+'Assumptions'!$B$5/'Assumptions'!$B$25)/('Assumptions'!$B$44+'Assumptions'!$B$5/$B$43)</f>
        <v/>
      </c>
      <c r="H43" s="17">
        <f>'Assumptions'!$B$38*'Assumptions'!$B$26/$G$43</f>
        <v/>
      </c>
      <c r="I43" s="17">
        <f>$H$43-'Assumptions'!$B$39</f>
        <v/>
      </c>
      <c r="J43" s="17">
        <f>MAX(0,'Assumptions'!$B$64*$V$42-'Assumptions'!$B$43)</f>
        <v/>
      </c>
      <c r="K43" s="17">
        <f>'Assumptions'!$B$44+$J$43+$F$43+$I$43+$T$42</f>
        <v/>
      </c>
      <c r="L43" s="11">
        <f>'Assumptions'!$B$57/$K$43</f>
        <v/>
      </c>
      <c r="M43" s="11">
        <f>$B$43*(1-'Assumptions'!$B$58)</f>
        <v/>
      </c>
      <c r="N43" s="11">
        <f>MIN($L$43,$M$43)</f>
        <v/>
      </c>
      <c r="O43" s="17">
        <f>'Assumptions'!$B$56/$N$43</f>
        <v/>
      </c>
      <c r="P43" s="17">
        <f>'Assumptions'!$B$44+$J$43+$F$43+$I$43+$O$43</f>
        <v/>
      </c>
      <c r="Q43" s="11">
        <f>'Assumptions'!$B$60/$P$43</f>
        <v/>
      </c>
      <c r="R43" s="11">
        <f>$B$43*(1-'Assumptions'!$B$61)</f>
        <v/>
      </c>
      <c r="S43" s="11">
        <f>MIN($Q$43,$R$43)</f>
        <v/>
      </c>
      <c r="T43" s="17">
        <f>'Assumptions'!$B$59/$S$43</f>
        <v/>
      </c>
      <c r="U43" s="17">
        <f>'Assumptions'!$B$44+$J$43+$F$43+$I$43+$O$43+$T$43</f>
        <v/>
      </c>
      <c r="V43" s="17">
        <f>$U$43+$C$43</f>
        <v/>
      </c>
    </row>
    <row r="44">
      <c r="A44" t="n">
        <v>7</v>
      </c>
      <c r="B44" s="11">
        <f>'Assumptions'!$B$67/$U$43</f>
        <v/>
      </c>
      <c r="C44" s="17">
        <f>'Assumptions'!$B$5/$B$44</f>
        <v/>
      </c>
      <c r="D44" s="11">
        <f>'Assumptions'!$B$27*('Assumptions'!$B$44+'Assumptions'!$B$5/'Assumptions'!$B$27)/('Assumptions'!$B$44+'Assumptions'!$B$5/$B$44)</f>
        <v/>
      </c>
      <c r="E44" s="17">
        <f>'Assumptions'!$B$40*'Assumptions'!$B$27/$D$44</f>
        <v/>
      </c>
      <c r="F44" s="17">
        <f>$E$44-'Assumptions'!$B$40</f>
        <v/>
      </c>
      <c r="G44" s="11">
        <f>'Assumptions'!$B$25*('Assumptions'!$B$44+'Assumptions'!$B$5/'Assumptions'!$B$25)/('Assumptions'!$B$44+'Assumptions'!$B$5/$B$44)</f>
        <v/>
      </c>
      <c r="H44" s="17">
        <f>'Assumptions'!$B$38*'Assumptions'!$B$26/$G$44</f>
        <v/>
      </c>
      <c r="I44" s="17">
        <f>$H$44-'Assumptions'!$B$39</f>
        <v/>
      </c>
      <c r="J44" s="17">
        <f>MAX(0,'Assumptions'!$B$64*$V$43-'Assumptions'!$B$43)</f>
        <v/>
      </c>
      <c r="K44" s="17">
        <f>'Assumptions'!$B$44+$J$44+$F$44+$I$44+$T$43</f>
        <v/>
      </c>
      <c r="L44" s="11">
        <f>'Assumptions'!$B$57/$K$44</f>
        <v/>
      </c>
      <c r="M44" s="11">
        <f>$B$44*(1-'Assumptions'!$B$58)</f>
        <v/>
      </c>
      <c r="N44" s="11">
        <f>MIN($L$44,$M$44)</f>
        <v/>
      </c>
      <c r="O44" s="17">
        <f>'Assumptions'!$B$56/$N$44</f>
        <v/>
      </c>
      <c r="P44" s="17">
        <f>'Assumptions'!$B$44+$J$44+$F$44+$I$44+$O$44</f>
        <v/>
      </c>
      <c r="Q44" s="11">
        <f>'Assumptions'!$B$60/$P$44</f>
        <v/>
      </c>
      <c r="R44" s="11">
        <f>$B$44*(1-'Assumptions'!$B$61)</f>
        <v/>
      </c>
      <c r="S44" s="11">
        <f>MIN($Q$44,$R$44)</f>
        <v/>
      </c>
      <c r="T44" s="17">
        <f>'Assumptions'!$B$59/$S$44</f>
        <v/>
      </c>
      <c r="U44" s="17">
        <f>'Assumptions'!$B$44+$J$44+$F$44+$I$44+$O$44+$T$44</f>
        <v/>
      </c>
      <c r="V44" s="17">
        <f>$U$44+$C$44</f>
        <v/>
      </c>
    </row>
    <row r="45">
      <c r="A45" t="n">
        <v>8</v>
      </c>
      <c r="B45" s="11">
        <f>'Assumptions'!$B$67/$U$44</f>
        <v/>
      </c>
      <c r="C45" s="17">
        <f>'Assumptions'!$B$5/$B$45</f>
        <v/>
      </c>
      <c r="D45" s="11">
        <f>'Assumptions'!$B$27*('Assumptions'!$B$44+'Assumptions'!$B$5/'Assumptions'!$B$27)/('Assumptions'!$B$44+'Assumptions'!$B$5/$B$45)</f>
        <v/>
      </c>
      <c r="E45" s="17">
        <f>'Assumptions'!$B$40*'Assumptions'!$B$27/$D$45</f>
        <v/>
      </c>
      <c r="F45" s="17">
        <f>$E$45-'Assumptions'!$B$40</f>
        <v/>
      </c>
      <c r="G45" s="11">
        <f>'Assumptions'!$B$25*('Assumptions'!$B$44+'Assumptions'!$B$5/'Assumptions'!$B$25)/('Assumptions'!$B$44+'Assumptions'!$B$5/$B$45)</f>
        <v/>
      </c>
      <c r="H45" s="17">
        <f>'Assumptions'!$B$38*'Assumptions'!$B$26/$G$45</f>
        <v/>
      </c>
      <c r="I45" s="17">
        <f>$H$45-'Assumptions'!$B$39</f>
        <v/>
      </c>
      <c r="J45" s="17">
        <f>MAX(0,'Assumptions'!$B$64*$V$44-'Assumptions'!$B$43)</f>
        <v/>
      </c>
      <c r="K45" s="17">
        <f>'Assumptions'!$B$44+$J$45+$F$45+$I$45+$T$44</f>
        <v/>
      </c>
      <c r="L45" s="11">
        <f>'Assumptions'!$B$57/$K$45</f>
        <v/>
      </c>
      <c r="M45" s="11">
        <f>$B$45*(1-'Assumptions'!$B$58)</f>
        <v/>
      </c>
      <c r="N45" s="11">
        <f>MIN($L$45,$M$45)</f>
        <v/>
      </c>
      <c r="O45" s="17">
        <f>'Assumptions'!$B$56/$N$45</f>
        <v/>
      </c>
      <c r="P45" s="17">
        <f>'Assumptions'!$B$44+$J$45+$F$45+$I$45+$O$45</f>
        <v/>
      </c>
      <c r="Q45" s="11">
        <f>'Assumptions'!$B$60/$P$45</f>
        <v/>
      </c>
      <c r="R45" s="11">
        <f>$B$45*(1-'Assumptions'!$B$61)</f>
        <v/>
      </c>
      <c r="S45" s="11">
        <f>MIN($Q$45,$R$45)</f>
        <v/>
      </c>
      <c r="T45" s="17">
        <f>'Assumptions'!$B$59/$S$45</f>
        <v/>
      </c>
      <c r="U45" s="17">
        <f>'Assumptions'!$B$44+$J$45+$F$45+$I$45+$O$45+$T$45</f>
        <v/>
      </c>
      <c r="V45" s="17">
        <f>$U$45+$C$45</f>
        <v/>
      </c>
    </row>
    <row r="46">
      <c r="A46" t="n">
        <v>9</v>
      </c>
      <c r="B46" s="11">
        <f>'Assumptions'!$B$67/$U$45</f>
        <v/>
      </c>
      <c r="C46" s="17">
        <f>'Assumptions'!$B$5/$B$46</f>
        <v/>
      </c>
      <c r="D46" s="11">
        <f>'Assumptions'!$B$27*('Assumptions'!$B$44+'Assumptions'!$B$5/'Assumptions'!$B$27)/('Assumptions'!$B$44+'Assumptions'!$B$5/$B$46)</f>
        <v/>
      </c>
      <c r="E46" s="17">
        <f>'Assumptions'!$B$40*'Assumptions'!$B$27/$D$46</f>
        <v/>
      </c>
      <c r="F46" s="17">
        <f>$E$46-'Assumptions'!$B$40</f>
        <v/>
      </c>
      <c r="G46" s="11">
        <f>'Assumptions'!$B$25*('Assumptions'!$B$44+'Assumptions'!$B$5/'Assumptions'!$B$25)/('Assumptions'!$B$44+'Assumptions'!$B$5/$B$46)</f>
        <v/>
      </c>
      <c r="H46" s="17">
        <f>'Assumptions'!$B$38*'Assumptions'!$B$26/$G$46</f>
        <v/>
      </c>
      <c r="I46" s="17">
        <f>$H$46-'Assumptions'!$B$39</f>
        <v/>
      </c>
      <c r="J46" s="17">
        <f>MAX(0,'Assumptions'!$B$64*$V$45-'Assumptions'!$B$43)</f>
        <v/>
      </c>
      <c r="K46" s="17">
        <f>'Assumptions'!$B$44+$J$46+$F$46+$I$46+$T$45</f>
        <v/>
      </c>
      <c r="L46" s="11">
        <f>'Assumptions'!$B$57/$K$46</f>
        <v/>
      </c>
      <c r="M46" s="11">
        <f>$B$46*(1-'Assumptions'!$B$58)</f>
        <v/>
      </c>
      <c r="N46" s="11">
        <f>MIN($L$46,$M$46)</f>
        <v/>
      </c>
      <c r="O46" s="17">
        <f>'Assumptions'!$B$56/$N$46</f>
        <v/>
      </c>
      <c r="P46" s="17">
        <f>'Assumptions'!$B$44+$J$46+$F$46+$I$46+$O$46</f>
        <v/>
      </c>
      <c r="Q46" s="11">
        <f>'Assumptions'!$B$60/$P$46</f>
        <v/>
      </c>
      <c r="R46" s="11">
        <f>$B$46*(1-'Assumptions'!$B$61)</f>
        <v/>
      </c>
      <c r="S46" s="11">
        <f>MIN($Q$46,$R$46)</f>
        <v/>
      </c>
      <c r="T46" s="17">
        <f>'Assumptions'!$B$59/$S$46</f>
        <v/>
      </c>
      <c r="U46" s="17">
        <f>'Assumptions'!$B$44+$J$46+$F$46+$I$46+$O$46+$T$46</f>
        <v/>
      </c>
      <c r="V46" s="17">
        <f>$U$46+$C$46</f>
        <v/>
      </c>
    </row>
    <row r="47">
      <c r="A47" t="n">
        <v>10</v>
      </c>
      <c r="B47" s="11">
        <f>'Assumptions'!$B$67/$U$46</f>
        <v/>
      </c>
      <c r="C47" s="17">
        <f>'Assumptions'!$B$5/$B$47</f>
        <v/>
      </c>
      <c r="D47" s="11">
        <f>'Assumptions'!$B$27*('Assumptions'!$B$44+'Assumptions'!$B$5/'Assumptions'!$B$27)/('Assumptions'!$B$44+'Assumptions'!$B$5/$B$47)</f>
        <v/>
      </c>
      <c r="E47" s="17">
        <f>'Assumptions'!$B$40*'Assumptions'!$B$27/$D$47</f>
        <v/>
      </c>
      <c r="F47" s="17">
        <f>$E$47-'Assumptions'!$B$40</f>
        <v/>
      </c>
      <c r="G47" s="11">
        <f>'Assumptions'!$B$25*('Assumptions'!$B$44+'Assumptions'!$B$5/'Assumptions'!$B$25)/('Assumptions'!$B$44+'Assumptions'!$B$5/$B$47)</f>
        <v/>
      </c>
      <c r="H47" s="17">
        <f>'Assumptions'!$B$38*'Assumptions'!$B$26/$G$47</f>
        <v/>
      </c>
      <c r="I47" s="17">
        <f>$H$47-'Assumptions'!$B$39</f>
        <v/>
      </c>
      <c r="J47" s="17">
        <f>MAX(0,'Assumptions'!$B$64*$V$46-'Assumptions'!$B$43)</f>
        <v/>
      </c>
      <c r="K47" s="17">
        <f>'Assumptions'!$B$44+$J$47+$F$47+$I$47+$T$46</f>
        <v/>
      </c>
      <c r="L47" s="11">
        <f>'Assumptions'!$B$57/$K$47</f>
        <v/>
      </c>
      <c r="M47" s="11">
        <f>$B$47*(1-'Assumptions'!$B$58)</f>
        <v/>
      </c>
      <c r="N47" s="11">
        <f>MIN($L$47,$M$47)</f>
        <v/>
      </c>
      <c r="O47" s="17">
        <f>'Assumptions'!$B$56/$N$47</f>
        <v/>
      </c>
      <c r="P47" s="17">
        <f>'Assumptions'!$B$44+$J$47+$F$47+$I$47+$O$47</f>
        <v/>
      </c>
      <c r="Q47" s="11">
        <f>'Assumptions'!$B$60/$P$47</f>
        <v/>
      </c>
      <c r="R47" s="11">
        <f>$B$47*(1-'Assumptions'!$B$61)</f>
        <v/>
      </c>
      <c r="S47" s="11">
        <f>MIN($Q$47,$R$47)</f>
        <v/>
      </c>
      <c r="T47" s="17">
        <f>'Assumptions'!$B$59/$S$47</f>
        <v/>
      </c>
      <c r="U47" s="17">
        <f>'Assumptions'!$B$44+$J$47+$F$47+$I$47+$O$47+$T$47</f>
        <v/>
      </c>
      <c r="V47" s="17">
        <f>$U$47+$C$47</f>
        <v/>
      </c>
    </row>
    <row r="48">
      <c r="A48" t="n">
        <v>11</v>
      </c>
      <c r="B48" s="11">
        <f>'Assumptions'!$B$67/$U$47</f>
        <v/>
      </c>
      <c r="C48" s="17">
        <f>'Assumptions'!$B$5/$B$48</f>
        <v/>
      </c>
      <c r="D48" s="11">
        <f>'Assumptions'!$B$27*('Assumptions'!$B$44+'Assumptions'!$B$5/'Assumptions'!$B$27)/('Assumptions'!$B$44+'Assumptions'!$B$5/$B$48)</f>
        <v/>
      </c>
      <c r="E48" s="17">
        <f>'Assumptions'!$B$40*'Assumptions'!$B$27/$D$48</f>
        <v/>
      </c>
      <c r="F48" s="17">
        <f>$E$48-'Assumptions'!$B$40</f>
        <v/>
      </c>
      <c r="G48" s="11">
        <f>'Assumptions'!$B$25*('Assumptions'!$B$44+'Assumptions'!$B$5/'Assumptions'!$B$25)/('Assumptions'!$B$44+'Assumptions'!$B$5/$B$48)</f>
        <v/>
      </c>
      <c r="H48" s="17">
        <f>'Assumptions'!$B$38*'Assumptions'!$B$26/$G$48</f>
        <v/>
      </c>
      <c r="I48" s="17">
        <f>$H$48-'Assumptions'!$B$39</f>
        <v/>
      </c>
      <c r="J48" s="17">
        <f>MAX(0,'Assumptions'!$B$64*$V$47-'Assumptions'!$B$43)</f>
        <v/>
      </c>
      <c r="K48" s="17">
        <f>'Assumptions'!$B$44+$J$48+$F$48+$I$48+$T$47</f>
        <v/>
      </c>
      <c r="L48" s="11">
        <f>'Assumptions'!$B$57/$K$48</f>
        <v/>
      </c>
      <c r="M48" s="11">
        <f>$B$48*(1-'Assumptions'!$B$58)</f>
        <v/>
      </c>
      <c r="N48" s="11">
        <f>MIN($L$48,$M$48)</f>
        <v/>
      </c>
      <c r="O48" s="17">
        <f>'Assumptions'!$B$56/$N$48</f>
        <v/>
      </c>
      <c r="P48" s="17">
        <f>'Assumptions'!$B$44+$J$48+$F$48+$I$48+$O$48</f>
        <v/>
      </c>
      <c r="Q48" s="11">
        <f>'Assumptions'!$B$60/$P$48</f>
        <v/>
      </c>
      <c r="R48" s="11">
        <f>$B$48*(1-'Assumptions'!$B$61)</f>
        <v/>
      </c>
      <c r="S48" s="11">
        <f>MIN($Q$48,$R$48)</f>
        <v/>
      </c>
      <c r="T48" s="17">
        <f>'Assumptions'!$B$59/$S$48</f>
        <v/>
      </c>
      <c r="U48" s="17">
        <f>'Assumptions'!$B$44+$J$48+$F$48+$I$48+$O$48+$T$48</f>
        <v/>
      </c>
      <c r="V48" s="17">
        <f>$U$48+$C$48</f>
        <v/>
      </c>
    </row>
    <row r="49">
      <c r="A49" t="n">
        <v>12</v>
      </c>
      <c r="B49" s="11">
        <f>'Assumptions'!$B$67/$U$48</f>
        <v/>
      </c>
      <c r="C49" s="17">
        <f>'Assumptions'!$B$5/$B$49</f>
        <v/>
      </c>
      <c r="D49" s="11">
        <f>'Assumptions'!$B$27*('Assumptions'!$B$44+'Assumptions'!$B$5/'Assumptions'!$B$27)/('Assumptions'!$B$44+'Assumptions'!$B$5/$B$49)</f>
        <v/>
      </c>
      <c r="E49" s="17">
        <f>'Assumptions'!$B$40*'Assumptions'!$B$27/$D$49</f>
        <v/>
      </c>
      <c r="F49" s="17">
        <f>$E$49-'Assumptions'!$B$40</f>
        <v/>
      </c>
      <c r="G49" s="11">
        <f>'Assumptions'!$B$25*('Assumptions'!$B$44+'Assumptions'!$B$5/'Assumptions'!$B$25)/('Assumptions'!$B$44+'Assumptions'!$B$5/$B$49)</f>
        <v/>
      </c>
      <c r="H49" s="17">
        <f>'Assumptions'!$B$38*'Assumptions'!$B$26/$G$49</f>
        <v/>
      </c>
      <c r="I49" s="17">
        <f>$H$49-'Assumptions'!$B$39</f>
        <v/>
      </c>
      <c r="J49" s="17">
        <f>MAX(0,'Assumptions'!$B$64*$V$48-'Assumptions'!$B$43)</f>
        <v/>
      </c>
      <c r="K49" s="17">
        <f>'Assumptions'!$B$44+$J$49+$F$49+$I$49+$T$48</f>
        <v/>
      </c>
      <c r="L49" s="11">
        <f>'Assumptions'!$B$57/$K$49</f>
        <v/>
      </c>
      <c r="M49" s="11">
        <f>$B$49*(1-'Assumptions'!$B$58)</f>
        <v/>
      </c>
      <c r="N49" s="11">
        <f>MIN($L$49,$M$49)</f>
        <v/>
      </c>
      <c r="O49" s="17">
        <f>'Assumptions'!$B$56/$N$49</f>
        <v/>
      </c>
      <c r="P49" s="17">
        <f>'Assumptions'!$B$44+$J$49+$F$49+$I$49+$O$49</f>
        <v/>
      </c>
      <c r="Q49" s="11">
        <f>'Assumptions'!$B$60/$P$49</f>
        <v/>
      </c>
      <c r="R49" s="11">
        <f>$B$49*(1-'Assumptions'!$B$61)</f>
        <v/>
      </c>
      <c r="S49" s="11">
        <f>MIN($Q$49,$R$49)</f>
        <v/>
      </c>
      <c r="T49" s="17">
        <f>'Assumptions'!$B$59/$S$49</f>
        <v/>
      </c>
      <c r="U49" s="17">
        <f>'Assumptions'!$B$44+$J$49+$F$49+$I$49+$O$49+$T$49</f>
        <v/>
      </c>
      <c r="V49" s="17">
        <f>$U$49+$C$49</f>
        <v/>
      </c>
    </row>
    <row r="50">
      <c r="A50" t="n">
        <v>13</v>
      </c>
      <c r="B50" s="11">
        <f>'Assumptions'!$B$67/$U$49</f>
        <v/>
      </c>
      <c r="C50" s="17">
        <f>'Assumptions'!$B$5/$B$50</f>
        <v/>
      </c>
      <c r="D50" s="11">
        <f>'Assumptions'!$B$27*('Assumptions'!$B$44+'Assumptions'!$B$5/'Assumptions'!$B$27)/('Assumptions'!$B$44+'Assumptions'!$B$5/$B$50)</f>
        <v/>
      </c>
      <c r="E50" s="17">
        <f>'Assumptions'!$B$40*'Assumptions'!$B$27/$D$50</f>
        <v/>
      </c>
      <c r="F50" s="17">
        <f>$E$50-'Assumptions'!$B$40</f>
        <v/>
      </c>
      <c r="G50" s="11">
        <f>'Assumptions'!$B$25*('Assumptions'!$B$44+'Assumptions'!$B$5/'Assumptions'!$B$25)/('Assumptions'!$B$44+'Assumptions'!$B$5/$B$50)</f>
        <v/>
      </c>
      <c r="H50" s="17">
        <f>'Assumptions'!$B$38*'Assumptions'!$B$26/$G$50</f>
        <v/>
      </c>
      <c r="I50" s="17">
        <f>$H$50-'Assumptions'!$B$39</f>
        <v/>
      </c>
      <c r="J50" s="17">
        <f>MAX(0,'Assumptions'!$B$64*$V$49-'Assumptions'!$B$43)</f>
        <v/>
      </c>
      <c r="K50" s="17">
        <f>'Assumptions'!$B$44+$J$50+$F$50+$I$50+$T$49</f>
        <v/>
      </c>
      <c r="L50" s="11">
        <f>'Assumptions'!$B$57/$K$50</f>
        <v/>
      </c>
      <c r="M50" s="11">
        <f>$B$50*(1-'Assumptions'!$B$58)</f>
        <v/>
      </c>
      <c r="N50" s="11">
        <f>MIN($L$50,$M$50)</f>
        <v/>
      </c>
      <c r="O50" s="17">
        <f>'Assumptions'!$B$56/$N$50</f>
        <v/>
      </c>
      <c r="P50" s="17">
        <f>'Assumptions'!$B$44+$J$50+$F$50+$I$50+$O$50</f>
        <v/>
      </c>
      <c r="Q50" s="11">
        <f>'Assumptions'!$B$60/$P$50</f>
        <v/>
      </c>
      <c r="R50" s="11">
        <f>$B$50*(1-'Assumptions'!$B$61)</f>
        <v/>
      </c>
      <c r="S50" s="11">
        <f>MIN($Q$50,$R$50)</f>
        <v/>
      </c>
      <c r="T50" s="17">
        <f>'Assumptions'!$B$59/$S$50</f>
        <v/>
      </c>
      <c r="U50" s="17">
        <f>'Assumptions'!$B$44+$J$50+$F$50+$I$50+$O$50+$T$50</f>
        <v/>
      </c>
      <c r="V50" s="17">
        <f>$U$50+$C$50</f>
        <v/>
      </c>
    </row>
    <row r="51">
      <c r="A51" t="n">
        <v>14</v>
      </c>
      <c r="B51" s="11">
        <f>'Assumptions'!$B$67/$U$50</f>
        <v/>
      </c>
      <c r="C51" s="17">
        <f>'Assumptions'!$B$5/$B$51</f>
        <v/>
      </c>
      <c r="D51" s="11">
        <f>'Assumptions'!$B$27*('Assumptions'!$B$44+'Assumptions'!$B$5/'Assumptions'!$B$27)/('Assumptions'!$B$44+'Assumptions'!$B$5/$B$51)</f>
        <v/>
      </c>
      <c r="E51" s="17">
        <f>'Assumptions'!$B$40*'Assumptions'!$B$27/$D$51</f>
        <v/>
      </c>
      <c r="F51" s="17">
        <f>$E$51-'Assumptions'!$B$40</f>
        <v/>
      </c>
      <c r="G51" s="11">
        <f>'Assumptions'!$B$25*('Assumptions'!$B$44+'Assumptions'!$B$5/'Assumptions'!$B$25)/('Assumptions'!$B$44+'Assumptions'!$B$5/$B$51)</f>
        <v/>
      </c>
      <c r="H51" s="17">
        <f>'Assumptions'!$B$38*'Assumptions'!$B$26/$G$51</f>
        <v/>
      </c>
      <c r="I51" s="17">
        <f>$H$51-'Assumptions'!$B$39</f>
        <v/>
      </c>
      <c r="J51" s="17">
        <f>MAX(0,'Assumptions'!$B$64*$V$50-'Assumptions'!$B$43)</f>
        <v/>
      </c>
      <c r="K51" s="17">
        <f>'Assumptions'!$B$44+$J$51+$F$51+$I$51+$T$50</f>
        <v/>
      </c>
      <c r="L51" s="11">
        <f>'Assumptions'!$B$57/$K$51</f>
        <v/>
      </c>
      <c r="M51" s="11">
        <f>$B$51*(1-'Assumptions'!$B$58)</f>
        <v/>
      </c>
      <c r="N51" s="11">
        <f>MIN($L$51,$M$51)</f>
        <v/>
      </c>
      <c r="O51" s="17">
        <f>'Assumptions'!$B$56/$N$51</f>
        <v/>
      </c>
      <c r="P51" s="17">
        <f>'Assumptions'!$B$44+$J$51+$F$51+$I$51+$O$51</f>
        <v/>
      </c>
      <c r="Q51" s="11">
        <f>'Assumptions'!$B$60/$P$51</f>
        <v/>
      </c>
      <c r="R51" s="11">
        <f>$B$51*(1-'Assumptions'!$B$61)</f>
        <v/>
      </c>
      <c r="S51" s="11">
        <f>MIN($Q$51,$R$51)</f>
        <v/>
      </c>
      <c r="T51" s="17">
        <f>'Assumptions'!$B$59/$S$51</f>
        <v/>
      </c>
      <c r="U51" s="17">
        <f>'Assumptions'!$B$44+$J$51+$F$51+$I$51+$O$51+$T$51</f>
        <v/>
      </c>
      <c r="V51" s="17">
        <f>$U$51+$C$51</f>
        <v/>
      </c>
    </row>
    <row r="52">
      <c r="A52" t="n">
        <v>15</v>
      </c>
      <c r="B52" s="11">
        <f>'Assumptions'!$B$67/$U$51</f>
        <v/>
      </c>
      <c r="C52" s="17">
        <f>'Assumptions'!$B$5/$B$52</f>
        <v/>
      </c>
      <c r="D52" s="11">
        <f>'Assumptions'!$B$27*('Assumptions'!$B$44+'Assumptions'!$B$5/'Assumptions'!$B$27)/('Assumptions'!$B$44+'Assumptions'!$B$5/$B$52)</f>
        <v/>
      </c>
      <c r="E52" s="17">
        <f>'Assumptions'!$B$40*'Assumptions'!$B$27/$D$52</f>
        <v/>
      </c>
      <c r="F52" s="17">
        <f>$E$52-'Assumptions'!$B$40</f>
        <v/>
      </c>
      <c r="G52" s="11">
        <f>'Assumptions'!$B$25*('Assumptions'!$B$44+'Assumptions'!$B$5/'Assumptions'!$B$25)/('Assumptions'!$B$44+'Assumptions'!$B$5/$B$52)</f>
        <v/>
      </c>
      <c r="H52" s="17">
        <f>'Assumptions'!$B$38*'Assumptions'!$B$26/$G$52</f>
        <v/>
      </c>
      <c r="I52" s="17">
        <f>$H$52-'Assumptions'!$B$39</f>
        <v/>
      </c>
      <c r="J52" s="17">
        <f>MAX(0,'Assumptions'!$B$64*$V$51-'Assumptions'!$B$43)</f>
        <v/>
      </c>
      <c r="K52" s="17">
        <f>'Assumptions'!$B$44+$J$52+$F$52+$I$52+$T$51</f>
        <v/>
      </c>
      <c r="L52" s="11">
        <f>'Assumptions'!$B$57/$K$52</f>
        <v/>
      </c>
      <c r="M52" s="11">
        <f>$B$52*(1-'Assumptions'!$B$58)</f>
        <v/>
      </c>
      <c r="N52" s="11">
        <f>MIN($L$52,$M$52)</f>
        <v/>
      </c>
      <c r="O52" s="17">
        <f>'Assumptions'!$B$56/$N$52</f>
        <v/>
      </c>
      <c r="P52" s="17">
        <f>'Assumptions'!$B$44+$J$52+$F$52+$I$52+$O$52</f>
        <v/>
      </c>
      <c r="Q52" s="11">
        <f>'Assumptions'!$B$60/$P$52</f>
        <v/>
      </c>
      <c r="R52" s="11">
        <f>$B$52*(1-'Assumptions'!$B$61)</f>
        <v/>
      </c>
      <c r="S52" s="11">
        <f>MIN($Q$52,$R$52)</f>
        <v/>
      </c>
      <c r="T52" s="17">
        <f>'Assumptions'!$B$59/$S$52</f>
        <v/>
      </c>
      <c r="U52" s="17">
        <f>'Assumptions'!$B$44+$J$52+$F$52+$I$52+$O$52+$T$52</f>
        <v/>
      </c>
      <c r="V52" s="17">
        <f>$U$52+$C$52</f>
        <v/>
      </c>
      <c r="W52">
        <f>IF('Sensitivity'!$L$52&lt;'Sensitivity'!$M$52,"cap","discount")</f>
        <v/>
      </c>
      <c r="X52">
        <f>IF('Sensitivity'!$Q$52&lt;'Sensitivity'!$R$52,"cap","discount")</f>
        <v/>
      </c>
    </row>
    <row r="55">
      <c r="A55" s="10" t="inlineStr">
        <is>
          <t>Cell (11%, $1.4B)</t>
        </is>
      </c>
    </row>
    <row r="56">
      <c r="A56" s="13" t="inlineStr">
        <is>
          <t>Iter</t>
        </is>
      </c>
      <c r="B56" s="13" t="inlineStr">
        <is>
          <t>F_PPS</t>
        </is>
      </c>
      <c r="C56" s="13" t="inlineStr">
        <is>
          <t>F_prim_shares</t>
        </is>
      </c>
      <c r="D56" s="13" t="inlineStr">
        <is>
          <t>NCP_E</t>
        </is>
      </c>
      <c r="E56" s="13" t="inlineStr">
        <is>
          <t>new_E_shares</t>
        </is>
      </c>
      <c r="F56" s="13" t="inlineStr">
        <is>
          <t>AD_inc_E</t>
        </is>
      </c>
      <c r="G56" s="13" t="inlineStr">
        <is>
          <t>NCP_D</t>
        </is>
      </c>
      <c r="H56" s="13" t="inlineStr">
        <is>
          <t>new_D_shares</t>
        </is>
      </c>
      <c r="I56" s="13" t="inlineStr">
        <is>
          <t>AD_inc_D</t>
        </is>
      </c>
      <c r="J56" s="13" t="inlineStr">
        <is>
          <t>ESOP_topup</t>
        </is>
      </c>
      <c r="K56" s="13" t="inlineStr">
        <is>
          <t>cap_FD_A</t>
        </is>
      </c>
      <c r="L56" s="13" t="inlineStr">
        <is>
          <t>cap_pps_A</t>
        </is>
      </c>
      <c r="M56" s="13" t="inlineStr">
        <is>
          <t>disc_pps_A</t>
        </is>
      </c>
      <c r="N56" s="13" t="inlineStr">
        <is>
          <t>conv_pps_A</t>
        </is>
      </c>
      <c r="O56" s="13" t="inlineStr">
        <is>
          <t>N_A</t>
        </is>
      </c>
      <c r="P56" s="13" t="inlineStr">
        <is>
          <t>cap_FD_B</t>
        </is>
      </c>
      <c r="Q56" s="13" t="inlineStr">
        <is>
          <t>cap_pps_B</t>
        </is>
      </c>
      <c r="R56" s="13" t="inlineStr">
        <is>
          <t>disc_pps_B</t>
        </is>
      </c>
      <c r="S56" s="13" t="inlineStr">
        <is>
          <t>conv_pps_B</t>
        </is>
      </c>
      <c r="T56" s="13" t="inlineStr">
        <is>
          <t>N_B</t>
        </is>
      </c>
      <c r="U56" s="13" t="inlineStr">
        <is>
          <t>pre_money_FD</t>
        </is>
      </c>
      <c r="V56" s="13" t="inlineStr">
        <is>
          <t>T_F</t>
        </is>
      </c>
    </row>
    <row r="57">
      <c r="A57" t="n">
        <v>0</v>
      </c>
      <c r="B57" s="11">
        <f>'Assumptions'!$B$68/'Assumptions'!$B$44</f>
        <v/>
      </c>
      <c r="C57" s="17">
        <f>'Assumptions'!$B$5/$B$57</f>
        <v/>
      </c>
      <c r="D57" s="11">
        <f>'Assumptions'!$B$27*('Assumptions'!$B$44+'Assumptions'!$B$5/'Assumptions'!$B$27)/('Assumptions'!$B$44+'Assumptions'!$B$5/$B$57)</f>
        <v/>
      </c>
      <c r="E57" s="17">
        <f>'Assumptions'!$B$40*'Assumptions'!$B$27/$D$57</f>
        <v/>
      </c>
      <c r="F57" s="17">
        <f>$E$57-'Assumptions'!$B$40</f>
        <v/>
      </c>
      <c r="G57" s="11">
        <f>'Assumptions'!$B$25*('Assumptions'!$B$44+'Assumptions'!$B$5/'Assumptions'!$B$25)/('Assumptions'!$B$44+'Assumptions'!$B$5/$B$57)</f>
        <v/>
      </c>
      <c r="H57" s="17">
        <f>'Assumptions'!$B$38*'Assumptions'!$B$26/$G$57</f>
        <v/>
      </c>
      <c r="I57" s="17">
        <f>$H$57-'Assumptions'!$B$39</f>
        <v/>
      </c>
      <c r="J57" s="17">
        <f>MAX(0,'Assumptions'!$B$64*('Assumptions'!$B$44+$F$57+$I$57+$C$57)/(1-'Assumptions'!$B$64)-'Assumptions'!$B$43)</f>
        <v/>
      </c>
      <c r="K57" s="17">
        <f>'Assumptions'!$B$44+$J$57+$F$57+$I$57+0</f>
        <v/>
      </c>
      <c r="L57" s="11">
        <f>'Assumptions'!$B$57/$K$57</f>
        <v/>
      </c>
      <c r="M57" s="11">
        <f>$B$57*(1-'Assumptions'!$B$58)</f>
        <v/>
      </c>
      <c r="N57" s="11">
        <f>MIN($L$57,$M$57)</f>
        <v/>
      </c>
      <c r="O57" s="17">
        <f>'Assumptions'!$B$56/$N$57</f>
        <v/>
      </c>
      <c r="P57" s="17">
        <f>'Assumptions'!$B$44+$J$57+$F$57+$I$57+$O$57</f>
        <v/>
      </c>
      <c r="Q57" s="11">
        <f>'Assumptions'!$B$60/$P$57</f>
        <v/>
      </c>
      <c r="R57" s="11">
        <f>$B$57*(1-'Assumptions'!$B$61)</f>
        <v/>
      </c>
      <c r="S57" s="11">
        <f>MIN($Q$57,$R$57)</f>
        <v/>
      </c>
      <c r="T57" s="17">
        <f>'Assumptions'!$B$59/$S$57</f>
        <v/>
      </c>
      <c r="U57" s="17">
        <f>'Assumptions'!$B$44+$J$57+$F$57+$I$57+$O$57+$T$57</f>
        <v/>
      </c>
      <c r="V57" s="17">
        <f>$U$57+$C$57</f>
        <v/>
      </c>
    </row>
    <row r="58">
      <c r="A58" t="n">
        <v>1</v>
      </c>
      <c r="B58" s="11">
        <f>'Assumptions'!$B$68/$U$57</f>
        <v/>
      </c>
      <c r="C58" s="17">
        <f>'Assumptions'!$B$5/$B$58</f>
        <v/>
      </c>
      <c r="D58" s="11">
        <f>'Assumptions'!$B$27*('Assumptions'!$B$44+'Assumptions'!$B$5/'Assumptions'!$B$27)/('Assumptions'!$B$44+'Assumptions'!$B$5/$B$58)</f>
        <v/>
      </c>
      <c r="E58" s="17">
        <f>'Assumptions'!$B$40*'Assumptions'!$B$27/$D$58</f>
        <v/>
      </c>
      <c r="F58" s="17">
        <f>$E$58-'Assumptions'!$B$40</f>
        <v/>
      </c>
      <c r="G58" s="11">
        <f>'Assumptions'!$B$25*('Assumptions'!$B$44+'Assumptions'!$B$5/'Assumptions'!$B$25)/('Assumptions'!$B$44+'Assumptions'!$B$5/$B$58)</f>
        <v/>
      </c>
      <c r="H58" s="17">
        <f>'Assumptions'!$B$38*'Assumptions'!$B$26/$G$58</f>
        <v/>
      </c>
      <c r="I58" s="17">
        <f>$H$58-'Assumptions'!$B$39</f>
        <v/>
      </c>
      <c r="J58" s="17">
        <f>MAX(0,'Assumptions'!$B$64*$V$57-'Assumptions'!$B$43)</f>
        <v/>
      </c>
      <c r="K58" s="17">
        <f>'Assumptions'!$B$44+$J$58+$F$58+$I$58+$T$57</f>
        <v/>
      </c>
      <c r="L58" s="11">
        <f>'Assumptions'!$B$57/$K$58</f>
        <v/>
      </c>
      <c r="M58" s="11">
        <f>$B$58*(1-'Assumptions'!$B$58)</f>
        <v/>
      </c>
      <c r="N58" s="11">
        <f>MIN($L$58,$M$58)</f>
        <v/>
      </c>
      <c r="O58" s="17">
        <f>'Assumptions'!$B$56/$N$58</f>
        <v/>
      </c>
      <c r="P58" s="17">
        <f>'Assumptions'!$B$44+$J$58+$F$58+$I$58+$O$58</f>
        <v/>
      </c>
      <c r="Q58" s="11">
        <f>'Assumptions'!$B$60/$P$58</f>
        <v/>
      </c>
      <c r="R58" s="11">
        <f>$B$58*(1-'Assumptions'!$B$61)</f>
        <v/>
      </c>
      <c r="S58" s="11">
        <f>MIN($Q$58,$R$58)</f>
        <v/>
      </c>
      <c r="T58" s="17">
        <f>'Assumptions'!$B$59/$S$58</f>
        <v/>
      </c>
      <c r="U58" s="17">
        <f>'Assumptions'!$B$44+$J$58+$F$58+$I$58+$O$58+$T$58</f>
        <v/>
      </c>
      <c r="V58" s="17">
        <f>$U$58+$C$58</f>
        <v/>
      </c>
    </row>
    <row r="59">
      <c r="A59" t="n">
        <v>2</v>
      </c>
      <c r="B59" s="11">
        <f>'Assumptions'!$B$68/$U$58</f>
        <v/>
      </c>
      <c r="C59" s="17">
        <f>'Assumptions'!$B$5/$B$59</f>
        <v/>
      </c>
      <c r="D59" s="11">
        <f>'Assumptions'!$B$27*('Assumptions'!$B$44+'Assumptions'!$B$5/'Assumptions'!$B$27)/('Assumptions'!$B$44+'Assumptions'!$B$5/$B$59)</f>
        <v/>
      </c>
      <c r="E59" s="17">
        <f>'Assumptions'!$B$40*'Assumptions'!$B$27/$D$59</f>
        <v/>
      </c>
      <c r="F59" s="17">
        <f>$E$59-'Assumptions'!$B$40</f>
        <v/>
      </c>
      <c r="G59" s="11">
        <f>'Assumptions'!$B$25*('Assumptions'!$B$44+'Assumptions'!$B$5/'Assumptions'!$B$25)/('Assumptions'!$B$44+'Assumptions'!$B$5/$B$59)</f>
        <v/>
      </c>
      <c r="H59" s="17">
        <f>'Assumptions'!$B$38*'Assumptions'!$B$26/$G$59</f>
        <v/>
      </c>
      <c r="I59" s="17">
        <f>$H$59-'Assumptions'!$B$39</f>
        <v/>
      </c>
      <c r="J59" s="17">
        <f>MAX(0,'Assumptions'!$B$64*$V$58-'Assumptions'!$B$43)</f>
        <v/>
      </c>
      <c r="K59" s="17">
        <f>'Assumptions'!$B$44+$J$59+$F$59+$I$59+$T$58</f>
        <v/>
      </c>
      <c r="L59" s="11">
        <f>'Assumptions'!$B$57/$K$59</f>
        <v/>
      </c>
      <c r="M59" s="11">
        <f>$B$59*(1-'Assumptions'!$B$58)</f>
        <v/>
      </c>
      <c r="N59" s="11">
        <f>MIN($L$59,$M$59)</f>
        <v/>
      </c>
      <c r="O59" s="17">
        <f>'Assumptions'!$B$56/$N$59</f>
        <v/>
      </c>
      <c r="P59" s="17">
        <f>'Assumptions'!$B$44+$J$59+$F$59+$I$59+$O$59</f>
        <v/>
      </c>
      <c r="Q59" s="11">
        <f>'Assumptions'!$B$60/$P$59</f>
        <v/>
      </c>
      <c r="R59" s="11">
        <f>$B$59*(1-'Assumptions'!$B$61)</f>
        <v/>
      </c>
      <c r="S59" s="11">
        <f>MIN($Q$59,$R$59)</f>
        <v/>
      </c>
      <c r="T59" s="17">
        <f>'Assumptions'!$B$59/$S$59</f>
        <v/>
      </c>
      <c r="U59" s="17">
        <f>'Assumptions'!$B$44+$J$59+$F$59+$I$59+$O$59+$T$59</f>
        <v/>
      </c>
      <c r="V59" s="17">
        <f>$U$59+$C$59</f>
        <v/>
      </c>
    </row>
    <row r="60">
      <c r="A60" t="n">
        <v>3</v>
      </c>
      <c r="B60" s="11">
        <f>'Assumptions'!$B$68/$U$59</f>
        <v/>
      </c>
      <c r="C60" s="17">
        <f>'Assumptions'!$B$5/$B$60</f>
        <v/>
      </c>
      <c r="D60" s="11">
        <f>'Assumptions'!$B$27*('Assumptions'!$B$44+'Assumptions'!$B$5/'Assumptions'!$B$27)/('Assumptions'!$B$44+'Assumptions'!$B$5/$B$60)</f>
        <v/>
      </c>
      <c r="E60" s="17">
        <f>'Assumptions'!$B$40*'Assumptions'!$B$27/$D$60</f>
        <v/>
      </c>
      <c r="F60" s="17">
        <f>$E$60-'Assumptions'!$B$40</f>
        <v/>
      </c>
      <c r="G60" s="11">
        <f>'Assumptions'!$B$25*('Assumptions'!$B$44+'Assumptions'!$B$5/'Assumptions'!$B$25)/('Assumptions'!$B$44+'Assumptions'!$B$5/$B$60)</f>
        <v/>
      </c>
      <c r="H60" s="17">
        <f>'Assumptions'!$B$38*'Assumptions'!$B$26/$G$60</f>
        <v/>
      </c>
      <c r="I60" s="17">
        <f>$H$60-'Assumptions'!$B$39</f>
        <v/>
      </c>
      <c r="J60" s="17">
        <f>MAX(0,'Assumptions'!$B$64*$V$59-'Assumptions'!$B$43)</f>
        <v/>
      </c>
      <c r="K60" s="17">
        <f>'Assumptions'!$B$44+$J$60+$F$60+$I$60+$T$59</f>
        <v/>
      </c>
      <c r="L60" s="11">
        <f>'Assumptions'!$B$57/$K$60</f>
        <v/>
      </c>
      <c r="M60" s="11">
        <f>$B$60*(1-'Assumptions'!$B$58)</f>
        <v/>
      </c>
      <c r="N60" s="11">
        <f>MIN($L$60,$M$60)</f>
        <v/>
      </c>
      <c r="O60" s="17">
        <f>'Assumptions'!$B$56/$N$60</f>
        <v/>
      </c>
      <c r="P60" s="17">
        <f>'Assumptions'!$B$44+$J$60+$F$60+$I$60+$O$60</f>
        <v/>
      </c>
      <c r="Q60" s="11">
        <f>'Assumptions'!$B$60/$P$60</f>
        <v/>
      </c>
      <c r="R60" s="11">
        <f>$B$60*(1-'Assumptions'!$B$61)</f>
        <v/>
      </c>
      <c r="S60" s="11">
        <f>MIN($Q$60,$R$60)</f>
        <v/>
      </c>
      <c r="T60" s="17">
        <f>'Assumptions'!$B$59/$S$60</f>
        <v/>
      </c>
      <c r="U60" s="17">
        <f>'Assumptions'!$B$44+$J$60+$F$60+$I$60+$O$60+$T$60</f>
        <v/>
      </c>
      <c r="V60" s="17">
        <f>$U$60+$C$60</f>
        <v/>
      </c>
    </row>
    <row r="61">
      <c r="A61" t="n">
        <v>4</v>
      </c>
      <c r="B61" s="11">
        <f>'Assumptions'!$B$68/$U$60</f>
        <v/>
      </c>
      <c r="C61" s="17">
        <f>'Assumptions'!$B$5/$B$61</f>
        <v/>
      </c>
      <c r="D61" s="11">
        <f>'Assumptions'!$B$27*('Assumptions'!$B$44+'Assumptions'!$B$5/'Assumptions'!$B$27)/('Assumptions'!$B$44+'Assumptions'!$B$5/$B$61)</f>
        <v/>
      </c>
      <c r="E61" s="17">
        <f>'Assumptions'!$B$40*'Assumptions'!$B$27/$D$61</f>
        <v/>
      </c>
      <c r="F61" s="17">
        <f>$E$61-'Assumptions'!$B$40</f>
        <v/>
      </c>
      <c r="G61" s="11">
        <f>'Assumptions'!$B$25*('Assumptions'!$B$44+'Assumptions'!$B$5/'Assumptions'!$B$25)/('Assumptions'!$B$44+'Assumptions'!$B$5/$B$61)</f>
        <v/>
      </c>
      <c r="H61" s="17">
        <f>'Assumptions'!$B$38*'Assumptions'!$B$26/$G$61</f>
        <v/>
      </c>
      <c r="I61" s="17">
        <f>$H$61-'Assumptions'!$B$39</f>
        <v/>
      </c>
      <c r="J61" s="17">
        <f>MAX(0,'Assumptions'!$B$64*$V$60-'Assumptions'!$B$43)</f>
        <v/>
      </c>
      <c r="K61" s="17">
        <f>'Assumptions'!$B$44+$J$61+$F$61+$I$61+$T$60</f>
        <v/>
      </c>
      <c r="L61" s="11">
        <f>'Assumptions'!$B$57/$K$61</f>
        <v/>
      </c>
      <c r="M61" s="11">
        <f>$B$61*(1-'Assumptions'!$B$58)</f>
        <v/>
      </c>
      <c r="N61" s="11">
        <f>MIN($L$61,$M$61)</f>
        <v/>
      </c>
      <c r="O61" s="17">
        <f>'Assumptions'!$B$56/$N$61</f>
        <v/>
      </c>
      <c r="P61" s="17">
        <f>'Assumptions'!$B$44+$J$61+$F$61+$I$61+$O$61</f>
        <v/>
      </c>
      <c r="Q61" s="11">
        <f>'Assumptions'!$B$60/$P$61</f>
        <v/>
      </c>
      <c r="R61" s="11">
        <f>$B$61*(1-'Assumptions'!$B$61)</f>
        <v/>
      </c>
      <c r="S61" s="11">
        <f>MIN($Q$61,$R$61)</f>
        <v/>
      </c>
      <c r="T61" s="17">
        <f>'Assumptions'!$B$59/$S$61</f>
        <v/>
      </c>
      <c r="U61" s="17">
        <f>'Assumptions'!$B$44+$J$61+$F$61+$I$61+$O$61+$T$61</f>
        <v/>
      </c>
      <c r="V61" s="17">
        <f>$U$61+$C$61</f>
        <v/>
      </c>
    </row>
    <row r="62">
      <c r="A62" t="n">
        <v>5</v>
      </c>
      <c r="B62" s="11">
        <f>'Assumptions'!$B$68/$U$61</f>
        <v/>
      </c>
      <c r="C62" s="17">
        <f>'Assumptions'!$B$5/$B$62</f>
        <v/>
      </c>
      <c r="D62" s="11">
        <f>'Assumptions'!$B$27*('Assumptions'!$B$44+'Assumptions'!$B$5/'Assumptions'!$B$27)/('Assumptions'!$B$44+'Assumptions'!$B$5/$B$62)</f>
        <v/>
      </c>
      <c r="E62" s="17">
        <f>'Assumptions'!$B$40*'Assumptions'!$B$27/$D$62</f>
        <v/>
      </c>
      <c r="F62" s="17">
        <f>$E$62-'Assumptions'!$B$40</f>
        <v/>
      </c>
      <c r="G62" s="11">
        <f>'Assumptions'!$B$25*('Assumptions'!$B$44+'Assumptions'!$B$5/'Assumptions'!$B$25)/('Assumptions'!$B$44+'Assumptions'!$B$5/$B$62)</f>
        <v/>
      </c>
      <c r="H62" s="17">
        <f>'Assumptions'!$B$38*'Assumptions'!$B$26/$G$62</f>
        <v/>
      </c>
      <c r="I62" s="17">
        <f>$H$62-'Assumptions'!$B$39</f>
        <v/>
      </c>
      <c r="J62" s="17">
        <f>MAX(0,'Assumptions'!$B$64*$V$61-'Assumptions'!$B$43)</f>
        <v/>
      </c>
      <c r="K62" s="17">
        <f>'Assumptions'!$B$44+$J$62+$F$62+$I$62+$T$61</f>
        <v/>
      </c>
      <c r="L62" s="11">
        <f>'Assumptions'!$B$57/$K$62</f>
        <v/>
      </c>
      <c r="M62" s="11">
        <f>$B$62*(1-'Assumptions'!$B$58)</f>
        <v/>
      </c>
      <c r="N62" s="11">
        <f>MIN($L$62,$M$62)</f>
        <v/>
      </c>
      <c r="O62" s="17">
        <f>'Assumptions'!$B$56/$N$62</f>
        <v/>
      </c>
      <c r="P62" s="17">
        <f>'Assumptions'!$B$44+$J$62+$F$62+$I$62+$O$62</f>
        <v/>
      </c>
      <c r="Q62" s="11">
        <f>'Assumptions'!$B$60/$P$62</f>
        <v/>
      </c>
      <c r="R62" s="11">
        <f>$B$62*(1-'Assumptions'!$B$61)</f>
        <v/>
      </c>
      <c r="S62" s="11">
        <f>MIN($Q$62,$R$62)</f>
        <v/>
      </c>
      <c r="T62" s="17">
        <f>'Assumptions'!$B$59/$S$62</f>
        <v/>
      </c>
      <c r="U62" s="17">
        <f>'Assumptions'!$B$44+$J$62+$F$62+$I$62+$O$62+$T$62</f>
        <v/>
      </c>
      <c r="V62" s="17">
        <f>$U$62+$C$62</f>
        <v/>
      </c>
    </row>
    <row r="63">
      <c r="A63" t="n">
        <v>6</v>
      </c>
      <c r="B63" s="11">
        <f>'Assumptions'!$B$68/$U$62</f>
        <v/>
      </c>
      <c r="C63" s="17">
        <f>'Assumptions'!$B$5/$B$63</f>
        <v/>
      </c>
      <c r="D63" s="11">
        <f>'Assumptions'!$B$27*('Assumptions'!$B$44+'Assumptions'!$B$5/'Assumptions'!$B$27)/('Assumptions'!$B$44+'Assumptions'!$B$5/$B$63)</f>
        <v/>
      </c>
      <c r="E63" s="17">
        <f>'Assumptions'!$B$40*'Assumptions'!$B$27/$D$63</f>
        <v/>
      </c>
      <c r="F63" s="17">
        <f>$E$63-'Assumptions'!$B$40</f>
        <v/>
      </c>
      <c r="G63" s="11">
        <f>'Assumptions'!$B$25*('Assumptions'!$B$44+'Assumptions'!$B$5/'Assumptions'!$B$25)/('Assumptions'!$B$44+'Assumptions'!$B$5/$B$63)</f>
        <v/>
      </c>
      <c r="H63" s="17">
        <f>'Assumptions'!$B$38*'Assumptions'!$B$26/$G$63</f>
        <v/>
      </c>
      <c r="I63" s="17">
        <f>$H$63-'Assumptions'!$B$39</f>
        <v/>
      </c>
      <c r="J63" s="17">
        <f>MAX(0,'Assumptions'!$B$64*$V$62-'Assumptions'!$B$43)</f>
        <v/>
      </c>
      <c r="K63" s="17">
        <f>'Assumptions'!$B$44+$J$63+$F$63+$I$63+$T$62</f>
        <v/>
      </c>
      <c r="L63" s="11">
        <f>'Assumptions'!$B$57/$K$63</f>
        <v/>
      </c>
      <c r="M63" s="11">
        <f>$B$63*(1-'Assumptions'!$B$58)</f>
        <v/>
      </c>
      <c r="N63" s="11">
        <f>MIN($L$63,$M$63)</f>
        <v/>
      </c>
      <c r="O63" s="17">
        <f>'Assumptions'!$B$56/$N$63</f>
        <v/>
      </c>
      <c r="P63" s="17">
        <f>'Assumptions'!$B$44+$J$63+$F$63+$I$63+$O$63</f>
        <v/>
      </c>
      <c r="Q63" s="11">
        <f>'Assumptions'!$B$60/$P$63</f>
        <v/>
      </c>
      <c r="R63" s="11">
        <f>$B$63*(1-'Assumptions'!$B$61)</f>
        <v/>
      </c>
      <c r="S63" s="11">
        <f>MIN($Q$63,$R$63)</f>
        <v/>
      </c>
      <c r="T63" s="17">
        <f>'Assumptions'!$B$59/$S$63</f>
        <v/>
      </c>
      <c r="U63" s="17">
        <f>'Assumptions'!$B$44+$J$63+$F$63+$I$63+$O$63+$T$63</f>
        <v/>
      </c>
      <c r="V63" s="17">
        <f>$U$63+$C$63</f>
        <v/>
      </c>
    </row>
    <row r="64">
      <c r="A64" t="n">
        <v>7</v>
      </c>
      <c r="B64" s="11">
        <f>'Assumptions'!$B$68/$U$63</f>
        <v/>
      </c>
      <c r="C64" s="17">
        <f>'Assumptions'!$B$5/$B$64</f>
        <v/>
      </c>
      <c r="D64" s="11">
        <f>'Assumptions'!$B$27*('Assumptions'!$B$44+'Assumptions'!$B$5/'Assumptions'!$B$27)/('Assumptions'!$B$44+'Assumptions'!$B$5/$B$64)</f>
        <v/>
      </c>
      <c r="E64" s="17">
        <f>'Assumptions'!$B$40*'Assumptions'!$B$27/$D$64</f>
        <v/>
      </c>
      <c r="F64" s="17">
        <f>$E$64-'Assumptions'!$B$40</f>
        <v/>
      </c>
      <c r="G64" s="11">
        <f>'Assumptions'!$B$25*('Assumptions'!$B$44+'Assumptions'!$B$5/'Assumptions'!$B$25)/('Assumptions'!$B$44+'Assumptions'!$B$5/$B$64)</f>
        <v/>
      </c>
      <c r="H64" s="17">
        <f>'Assumptions'!$B$38*'Assumptions'!$B$26/$G$64</f>
        <v/>
      </c>
      <c r="I64" s="17">
        <f>$H$64-'Assumptions'!$B$39</f>
        <v/>
      </c>
      <c r="J64" s="17">
        <f>MAX(0,'Assumptions'!$B$64*$V$63-'Assumptions'!$B$43)</f>
        <v/>
      </c>
      <c r="K64" s="17">
        <f>'Assumptions'!$B$44+$J$64+$F$64+$I$64+$T$63</f>
        <v/>
      </c>
      <c r="L64" s="11">
        <f>'Assumptions'!$B$57/$K$64</f>
        <v/>
      </c>
      <c r="M64" s="11">
        <f>$B$64*(1-'Assumptions'!$B$58)</f>
        <v/>
      </c>
      <c r="N64" s="11">
        <f>MIN($L$64,$M$64)</f>
        <v/>
      </c>
      <c r="O64" s="17">
        <f>'Assumptions'!$B$56/$N$64</f>
        <v/>
      </c>
      <c r="P64" s="17">
        <f>'Assumptions'!$B$44+$J$64+$F$64+$I$64+$O$64</f>
        <v/>
      </c>
      <c r="Q64" s="11">
        <f>'Assumptions'!$B$60/$P$64</f>
        <v/>
      </c>
      <c r="R64" s="11">
        <f>$B$64*(1-'Assumptions'!$B$61)</f>
        <v/>
      </c>
      <c r="S64" s="11">
        <f>MIN($Q$64,$R$64)</f>
        <v/>
      </c>
      <c r="T64" s="17">
        <f>'Assumptions'!$B$59/$S$64</f>
        <v/>
      </c>
      <c r="U64" s="17">
        <f>'Assumptions'!$B$44+$J$64+$F$64+$I$64+$O$64+$T$64</f>
        <v/>
      </c>
      <c r="V64" s="17">
        <f>$U$64+$C$64</f>
        <v/>
      </c>
    </row>
    <row r="65">
      <c r="A65" t="n">
        <v>8</v>
      </c>
      <c r="B65" s="11">
        <f>'Assumptions'!$B$68/$U$64</f>
        <v/>
      </c>
      <c r="C65" s="17">
        <f>'Assumptions'!$B$5/$B$65</f>
        <v/>
      </c>
      <c r="D65" s="11">
        <f>'Assumptions'!$B$27*('Assumptions'!$B$44+'Assumptions'!$B$5/'Assumptions'!$B$27)/('Assumptions'!$B$44+'Assumptions'!$B$5/$B$65)</f>
        <v/>
      </c>
      <c r="E65" s="17">
        <f>'Assumptions'!$B$40*'Assumptions'!$B$27/$D$65</f>
        <v/>
      </c>
      <c r="F65" s="17">
        <f>$E$65-'Assumptions'!$B$40</f>
        <v/>
      </c>
      <c r="G65" s="11">
        <f>'Assumptions'!$B$25*('Assumptions'!$B$44+'Assumptions'!$B$5/'Assumptions'!$B$25)/('Assumptions'!$B$44+'Assumptions'!$B$5/$B$65)</f>
        <v/>
      </c>
      <c r="H65" s="17">
        <f>'Assumptions'!$B$38*'Assumptions'!$B$26/$G$65</f>
        <v/>
      </c>
      <c r="I65" s="17">
        <f>$H$65-'Assumptions'!$B$39</f>
        <v/>
      </c>
      <c r="J65" s="17">
        <f>MAX(0,'Assumptions'!$B$64*$V$64-'Assumptions'!$B$43)</f>
        <v/>
      </c>
      <c r="K65" s="17">
        <f>'Assumptions'!$B$44+$J$65+$F$65+$I$65+$T$64</f>
        <v/>
      </c>
      <c r="L65" s="11">
        <f>'Assumptions'!$B$57/$K$65</f>
        <v/>
      </c>
      <c r="M65" s="11">
        <f>$B$65*(1-'Assumptions'!$B$58)</f>
        <v/>
      </c>
      <c r="N65" s="11">
        <f>MIN($L$65,$M$65)</f>
        <v/>
      </c>
      <c r="O65" s="17">
        <f>'Assumptions'!$B$56/$N$65</f>
        <v/>
      </c>
      <c r="P65" s="17">
        <f>'Assumptions'!$B$44+$J$65+$F$65+$I$65+$O$65</f>
        <v/>
      </c>
      <c r="Q65" s="11">
        <f>'Assumptions'!$B$60/$P$65</f>
        <v/>
      </c>
      <c r="R65" s="11">
        <f>$B$65*(1-'Assumptions'!$B$61)</f>
        <v/>
      </c>
      <c r="S65" s="11">
        <f>MIN($Q$65,$R$65)</f>
        <v/>
      </c>
      <c r="T65" s="17">
        <f>'Assumptions'!$B$59/$S$65</f>
        <v/>
      </c>
      <c r="U65" s="17">
        <f>'Assumptions'!$B$44+$J$65+$F$65+$I$65+$O$65+$T$65</f>
        <v/>
      </c>
      <c r="V65" s="17">
        <f>$U$65+$C$65</f>
        <v/>
      </c>
    </row>
    <row r="66">
      <c r="A66" t="n">
        <v>9</v>
      </c>
      <c r="B66" s="11">
        <f>'Assumptions'!$B$68/$U$65</f>
        <v/>
      </c>
      <c r="C66" s="17">
        <f>'Assumptions'!$B$5/$B$66</f>
        <v/>
      </c>
      <c r="D66" s="11">
        <f>'Assumptions'!$B$27*('Assumptions'!$B$44+'Assumptions'!$B$5/'Assumptions'!$B$27)/('Assumptions'!$B$44+'Assumptions'!$B$5/$B$66)</f>
        <v/>
      </c>
      <c r="E66" s="17">
        <f>'Assumptions'!$B$40*'Assumptions'!$B$27/$D$66</f>
        <v/>
      </c>
      <c r="F66" s="17">
        <f>$E$66-'Assumptions'!$B$40</f>
        <v/>
      </c>
      <c r="G66" s="11">
        <f>'Assumptions'!$B$25*('Assumptions'!$B$44+'Assumptions'!$B$5/'Assumptions'!$B$25)/('Assumptions'!$B$44+'Assumptions'!$B$5/$B$66)</f>
        <v/>
      </c>
      <c r="H66" s="17">
        <f>'Assumptions'!$B$38*'Assumptions'!$B$26/$G$66</f>
        <v/>
      </c>
      <c r="I66" s="17">
        <f>$H$66-'Assumptions'!$B$39</f>
        <v/>
      </c>
      <c r="J66" s="17">
        <f>MAX(0,'Assumptions'!$B$64*$V$65-'Assumptions'!$B$43)</f>
        <v/>
      </c>
      <c r="K66" s="17">
        <f>'Assumptions'!$B$44+$J$66+$F$66+$I$66+$T$65</f>
        <v/>
      </c>
      <c r="L66" s="11">
        <f>'Assumptions'!$B$57/$K$66</f>
        <v/>
      </c>
      <c r="M66" s="11">
        <f>$B$66*(1-'Assumptions'!$B$58)</f>
        <v/>
      </c>
      <c r="N66" s="11">
        <f>MIN($L$66,$M$66)</f>
        <v/>
      </c>
      <c r="O66" s="17">
        <f>'Assumptions'!$B$56/$N$66</f>
        <v/>
      </c>
      <c r="P66" s="17">
        <f>'Assumptions'!$B$44+$J$66+$F$66+$I$66+$O$66</f>
        <v/>
      </c>
      <c r="Q66" s="11">
        <f>'Assumptions'!$B$60/$P$66</f>
        <v/>
      </c>
      <c r="R66" s="11">
        <f>$B$66*(1-'Assumptions'!$B$61)</f>
        <v/>
      </c>
      <c r="S66" s="11">
        <f>MIN($Q$66,$R$66)</f>
        <v/>
      </c>
      <c r="T66" s="17">
        <f>'Assumptions'!$B$59/$S$66</f>
        <v/>
      </c>
      <c r="U66" s="17">
        <f>'Assumptions'!$B$44+$J$66+$F$66+$I$66+$O$66+$T$66</f>
        <v/>
      </c>
      <c r="V66" s="17">
        <f>$U$66+$C$66</f>
        <v/>
      </c>
    </row>
    <row r="67">
      <c r="A67" t="n">
        <v>10</v>
      </c>
      <c r="B67" s="11">
        <f>'Assumptions'!$B$68/$U$66</f>
        <v/>
      </c>
      <c r="C67" s="17">
        <f>'Assumptions'!$B$5/$B$67</f>
        <v/>
      </c>
      <c r="D67" s="11">
        <f>'Assumptions'!$B$27*('Assumptions'!$B$44+'Assumptions'!$B$5/'Assumptions'!$B$27)/('Assumptions'!$B$44+'Assumptions'!$B$5/$B$67)</f>
        <v/>
      </c>
      <c r="E67" s="17">
        <f>'Assumptions'!$B$40*'Assumptions'!$B$27/$D$67</f>
        <v/>
      </c>
      <c r="F67" s="17">
        <f>$E$67-'Assumptions'!$B$40</f>
        <v/>
      </c>
      <c r="G67" s="11">
        <f>'Assumptions'!$B$25*('Assumptions'!$B$44+'Assumptions'!$B$5/'Assumptions'!$B$25)/('Assumptions'!$B$44+'Assumptions'!$B$5/$B$67)</f>
        <v/>
      </c>
      <c r="H67" s="17">
        <f>'Assumptions'!$B$38*'Assumptions'!$B$26/$G$67</f>
        <v/>
      </c>
      <c r="I67" s="17">
        <f>$H$67-'Assumptions'!$B$39</f>
        <v/>
      </c>
      <c r="J67" s="17">
        <f>MAX(0,'Assumptions'!$B$64*$V$66-'Assumptions'!$B$43)</f>
        <v/>
      </c>
      <c r="K67" s="17">
        <f>'Assumptions'!$B$44+$J$67+$F$67+$I$67+$T$66</f>
        <v/>
      </c>
      <c r="L67" s="11">
        <f>'Assumptions'!$B$57/$K$67</f>
        <v/>
      </c>
      <c r="M67" s="11">
        <f>$B$67*(1-'Assumptions'!$B$58)</f>
        <v/>
      </c>
      <c r="N67" s="11">
        <f>MIN($L$67,$M$67)</f>
        <v/>
      </c>
      <c r="O67" s="17">
        <f>'Assumptions'!$B$56/$N$67</f>
        <v/>
      </c>
      <c r="P67" s="17">
        <f>'Assumptions'!$B$44+$J$67+$F$67+$I$67+$O$67</f>
        <v/>
      </c>
      <c r="Q67" s="11">
        <f>'Assumptions'!$B$60/$P$67</f>
        <v/>
      </c>
      <c r="R67" s="11">
        <f>$B$67*(1-'Assumptions'!$B$61)</f>
        <v/>
      </c>
      <c r="S67" s="11">
        <f>MIN($Q$67,$R$67)</f>
        <v/>
      </c>
      <c r="T67" s="17">
        <f>'Assumptions'!$B$59/$S$67</f>
        <v/>
      </c>
      <c r="U67" s="17">
        <f>'Assumptions'!$B$44+$J$67+$F$67+$I$67+$O$67+$T$67</f>
        <v/>
      </c>
      <c r="V67" s="17">
        <f>$U$67+$C$67</f>
        <v/>
      </c>
    </row>
    <row r="68">
      <c r="A68" t="n">
        <v>11</v>
      </c>
      <c r="B68" s="11">
        <f>'Assumptions'!$B$68/$U$67</f>
        <v/>
      </c>
      <c r="C68" s="17">
        <f>'Assumptions'!$B$5/$B$68</f>
        <v/>
      </c>
      <c r="D68" s="11">
        <f>'Assumptions'!$B$27*('Assumptions'!$B$44+'Assumptions'!$B$5/'Assumptions'!$B$27)/('Assumptions'!$B$44+'Assumptions'!$B$5/$B$68)</f>
        <v/>
      </c>
      <c r="E68" s="17">
        <f>'Assumptions'!$B$40*'Assumptions'!$B$27/$D$68</f>
        <v/>
      </c>
      <c r="F68" s="17">
        <f>$E$68-'Assumptions'!$B$40</f>
        <v/>
      </c>
      <c r="G68" s="11">
        <f>'Assumptions'!$B$25*('Assumptions'!$B$44+'Assumptions'!$B$5/'Assumptions'!$B$25)/('Assumptions'!$B$44+'Assumptions'!$B$5/$B$68)</f>
        <v/>
      </c>
      <c r="H68" s="17">
        <f>'Assumptions'!$B$38*'Assumptions'!$B$26/$G$68</f>
        <v/>
      </c>
      <c r="I68" s="17">
        <f>$H$68-'Assumptions'!$B$39</f>
        <v/>
      </c>
      <c r="J68" s="17">
        <f>MAX(0,'Assumptions'!$B$64*$V$67-'Assumptions'!$B$43)</f>
        <v/>
      </c>
      <c r="K68" s="17">
        <f>'Assumptions'!$B$44+$J$68+$F$68+$I$68+$T$67</f>
        <v/>
      </c>
      <c r="L68" s="11">
        <f>'Assumptions'!$B$57/$K$68</f>
        <v/>
      </c>
      <c r="M68" s="11">
        <f>$B$68*(1-'Assumptions'!$B$58)</f>
        <v/>
      </c>
      <c r="N68" s="11">
        <f>MIN($L$68,$M$68)</f>
        <v/>
      </c>
      <c r="O68" s="17">
        <f>'Assumptions'!$B$56/$N$68</f>
        <v/>
      </c>
      <c r="P68" s="17">
        <f>'Assumptions'!$B$44+$J$68+$F$68+$I$68+$O$68</f>
        <v/>
      </c>
      <c r="Q68" s="11">
        <f>'Assumptions'!$B$60/$P$68</f>
        <v/>
      </c>
      <c r="R68" s="11">
        <f>$B$68*(1-'Assumptions'!$B$61)</f>
        <v/>
      </c>
      <c r="S68" s="11">
        <f>MIN($Q$68,$R$68)</f>
        <v/>
      </c>
      <c r="T68" s="17">
        <f>'Assumptions'!$B$59/$S$68</f>
        <v/>
      </c>
      <c r="U68" s="17">
        <f>'Assumptions'!$B$44+$J$68+$F$68+$I$68+$O$68+$T$68</f>
        <v/>
      </c>
      <c r="V68" s="17">
        <f>$U$68+$C$68</f>
        <v/>
      </c>
    </row>
    <row r="69">
      <c r="A69" t="n">
        <v>12</v>
      </c>
      <c r="B69" s="11">
        <f>'Assumptions'!$B$68/$U$68</f>
        <v/>
      </c>
      <c r="C69" s="17">
        <f>'Assumptions'!$B$5/$B$69</f>
        <v/>
      </c>
      <c r="D69" s="11">
        <f>'Assumptions'!$B$27*('Assumptions'!$B$44+'Assumptions'!$B$5/'Assumptions'!$B$27)/('Assumptions'!$B$44+'Assumptions'!$B$5/$B$69)</f>
        <v/>
      </c>
      <c r="E69" s="17">
        <f>'Assumptions'!$B$40*'Assumptions'!$B$27/$D$69</f>
        <v/>
      </c>
      <c r="F69" s="17">
        <f>$E$69-'Assumptions'!$B$40</f>
        <v/>
      </c>
      <c r="G69" s="11">
        <f>'Assumptions'!$B$25*('Assumptions'!$B$44+'Assumptions'!$B$5/'Assumptions'!$B$25)/('Assumptions'!$B$44+'Assumptions'!$B$5/$B$69)</f>
        <v/>
      </c>
      <c r="H69" s="17">
        <f>'Assumptions'!$B$38*'Assumptions'!$B$26/$G$69</f>
        <v/>
      </c>
      <c r="I69" s="17">
        <f>$H$69-'Assumptions'!$B$39</f>
        <v/>
      </c>
      <c r="J69" s="17">
        <f>MAX(0,'Assumptions'!$B$64*$V$68-'Assumptions'!$B$43)</f>
        <v/>
      </c>
      <c r="K69" s="17">
        <f>'Assumptions'!$B$44+$J$69+$F$69+$I$69+$T$68</f>
        <v/>
      </c>
      <c r="L69" s="11">
        <f>'Assumptions'!$B$57/$K$69</f>
        <v/>
      </c>
      <c r="M69" s="11">
        <f>$B$69*(1-'Assumptions'!$B$58)</f>
        <v/>
      </c>
      <c r="N69" s="11">
        <f>MIN($L$69,$M$69)</f>
        <v/>
      </c>
      <c r="O69" s="17">
        <f>'Assumptions'!$B$56/$N$69</f>
        <v/>
      </c>
      <c r="P69" s="17">
        <f>'Assumptions'!$B$44+$J$69+$F$69+$I$69+$O$69</f>
        <v/>
      </c>
      <c r="Q69" s="11">
        <f>'Assumptions'!$B$60/$P$69</f>
        <v/>
      </c>
      <c r="R69" s="11">
        <f>$B$69*(1-'Assumptions'!$B$61)</f>
        <v/>
      </c>
      <c r="S69" s="11">
        <f>MIN($Q$69,$R$69)</f>
        <v/>
      </c>
      <c r="T69" s="17">
        <f>'Assumptions'!$B$59/$S$69</f>
        <v/>
      </c>
      <c r="U69" s="17">
        <f>'Assumptions'!$B$44+$J$69+$F$69+$I$69+$O$69+$T$69</f>
        <v/>
      </c>
      <c r="V69" s="17">
        <f>$U$69+$C$69</f>
        <v/>
      </c>
    </row>
    <row r="70">
      <c r="A70" t="n">
        <v>13</v>
      </c>
      <c r="B70" s="11">
        <f>'Assumptions'!$B$68/$U$69</f>
        <v/>
      </c>
      <c r="C70" s="17">
        <f>'Assumptions'!$B$5/$B$70</f>
        <v/>
      </c>
      <c r="D70" s="11">
        <f>'Assumptions'!$B$27*('Assumptions'!$B$44+'Assumptions'!$B$5/'Assumptions'!$B$27)/('Assumptions'!$B$44+'Assumptions'!$B$5/$B$70)</f>
        <v/>
      </c>
      <c r="E70" s="17">
        <f>'Assumptions'!$B$40*'Assumptions'!$B$27/$D$70</f>
        <v/>
      </c>
      <c r="F70" s="17">
        <f>$E$70-'Assumptions'!$B$40</f>
        <v/>
      </c>
      <c r="G70" s="11">
        <f>'Assumptions'!$B$25*('Assumptions'!$B$44+'Assumptions'!$B$5/'Assumptions'!$B$25)/('Assumptions'!$B$44+'Assumptions'!$B$5/$B$70)</f>
        <v/>
      </c>
      <c r="H70" s="17">
        <f>'Assumptions'!$B$38*'Assumptions'!$B$26/$G$70</f>
        <v/>
      </c>
      <c r="I70" s="17">
        <f>$H$70-'Assumptions'!$B$39</f>
        <v/>
      </c>
      <c r="J70" s="17">
        <f>MAX(0,'Assumptions'!$B$64*$V$69-'Assumptions'!$B$43)</f>
        <v/>
      </c>
      <c r="K70" s="17">
        <f>'Assumptions'!$B$44+$J$70+$F$70+$I$70+$T$69</f>
        <v/>
      </c>
      <c r="L70" s="11">
        <f>'Assumptions'!$B$57/$K$70</f>
        <v/>
      </c>
      <c r="M70" s="11">
        <f>$B$70*(1-'Assumptions'!$B$58)</f>
        <v/>
      </c>
      <c r="N70" s="11">
        <f>MIN($L$70,$M$70)</f>
        <v/>
      </c>
      <c r="O70" s="17">
        <f>'Assumptions'!$B$56/$N$70</f>
        <v/>
      </c>
      <c r="P70" s="17">
        <f>'Assumptions'!$B$44+$J$70+$F$70+$I$70+$O$70</f>
        <v/>
      </c>
      <c r="Q70" s="11">
        <f>'Assumptions'!$B$60/$P$70</f>
        <v/>
      </c>
      <c r="R70" s="11">
        <f>$B$70*(1-'Assumptions'!$B$61)</f>
        <v/>
      </c>
      <c r="S70" s="11">
        <f>MIN($Q$70,$R$70)</f>
        <v/>
      </c>
      <c r="T70" s="17">
        <f>'Assumptions'!$B$59/$S$70</f>
        <v/>
      </c>
      <c r="U70" s="17">
        <f>'Assumptions'!$B$44+$J$70+$F$70+$I$70+$O$70+$T$70</f>
        <v/>
      </c>
      <c r="V70" s="17">
        <f>$U$70+$C$70</f>
        <v/>
      </c>
    </row>
    <row r="71">
      <c r="A71" t="n">
        <v>14</v>
      </c>
      <c r="B71" s="11">
        <f>'Assumptions'!$B$68/$U$70</f>
        <v/>
      </c>
      <c r="C71" s="17">
        <f>'Assumptions'!$B$5/$B$71</f>
        <v/>
      </c>
      <c r="D71" s="11">
        <f>'Assumptions'!$B$27*('Assumptions'!$B$44+'Assumptions'!$B$5/'Assumptions'!$B$27)/('Assumptions'!$B$44+'Assumptions'!$B$5/$B$71)</f>
        <v/>
      </c>
      <c r="E71" s="17">
        <f>'Assumptions'!$B$40*'Assumptions'!$B$27/$D$71</f>
        <v/>
      </c>
      <c r="F71" s="17">
        <f>$E$71-'Assumptions'!$B$40</f>
        <v/>
      </c>
      <c r="G71" s="11">
        <f>'Assumptions'!$B$25*('Assumptions'!$B$44+'Assumptions'!$B$5/'Assumptions'!$B$25)/('Assumptions'!$B$44+'Assumptions'!$B$5/$B$71)</f>
        <v/>
      </c>
      <c r="H71" s="17">
        <f>'Assumptions'!$B$38*'Assumptions'!$B$26/$G$71</f>
        <v/>
      </c>
      <c r="I71" s="17">
        <f>$H$71-'Assumptions'!$B$39</f>
        <v/>
      </c>
      <c r="J71" s="17">
        <f>MAX(0,'Assumptions'!$B$64*$V$70-'Assumptions'!$B$43)</f>
        <v/>
      </c>
      <c r="K71" s="17">
        <f>'Assumptions'!$B$44+$J$71+$F$71+$I$71+$T$70</f>
        <v/>
      </c>
      <c r="L71" s="11">
        <f>'Assumptions'!$B$57/$K$71</f>
        <v/>
      </c>
      <c r="M71" s="11">
        <f>$B$71*(1-'Assumptions'!$B$58)</f>
        <v/>
      </c>
      <c r="N71" s="11">
        <f>MIN($L$71,$M$71)</f>
        <v/>
      </c>
      <c r="O71" s="17">
        <f>'Assumptions'!$B$56/$N$71</f>
        <v/>
      </c>
      <c r="P71" s="17">
        <f>'Assumptions'!$B$44+$J$71+$F$71+$I$71+$O$71</f>
        <v/>
      </c>
      <c r="Q71" s="11">
        <f>'Assumptions'!$B$60/$P$71</f>
        <v/>
      </c>
      <c r="R71" s="11">
        <f>$B$71*(1-'Assumptions'!$B$61)</f>
        <v/>
      </c>
      <c r="S71" s="11">
        <f>MIN($Q$71,$R$71)</f>
        <v/>
      </c>
      <c r="T71" s="17">
        <f>'Assumptions'!$B$59/$S$71</f>
        <v/>
      </c>
      <c r="U71" s="17">
        <f>'Assumptions'!$B$44+$J$71+$F$71+$I$71+$O$71+$T$71</f>
        <v/>
      </c>
      <c r="V71" s="17">
        <f>$U$71+$C$71</f>
        <v/>
      </c>
    </row>
    <row r="72">
      <c r="A72" t="n">
        <v>15</v>
      </c>
      <c r="B72" s="11">
        <f>'Assumptions'!$B$68/$U$71</f>
        <v/>
      </c>
      <c r="C72" s="17">
        <f>'Assumptions'!$B$5/$B$72</f>
        <v/>
      </c>
      <c r="D72" s="11">
        <f>'Assumptions'!$B$27*('Assumptions'!$B$44+'Assumptions'!$B$5/'Assumptions'!$B$27)/('Assumptions'!$B$44+'Assumptions'!$B$5/$B$72)</f>
        <v/>
      </c>
      <c r="E72" s="17">
        <f>'Assumptions'!$B$40*'Assumptions'!$B$27/$D$72</f>
        <v/>
      </c>
      <c r="F72" s="17">
        <f>$E$72-'Assumptions'!$B$40</f>
        <v/>
      </c>
      <c r="G72" s="11">
        <f>'Assumptions'!$B$25*('Assumptions'!$B$44+'Assumptions'!$B$5/'Assumptions'!$B$25)/('Assumptions'!$B$44+'Assumptions'!$B$5/$B$72)</f>
        <v/>
      </c>
      <c r="H72" s="17">
        <f>'Assumptions'!$B$38*'Assumptions'!$B$26/$G$72</f>
        <v/>
      </c>
      <c r="I72" s="17">
        <f>$H$72-'Assumptions'!$B$39</f>
        <v/>
      </c>
      <c r="J72" s="17">
        <f>MAX(0,'Assumptions'!$B$64*$V$71-'Assumptions'!$B$43)</f>
        <v/>
      </c>
      <c r="K72" s="17">
        <f>'Assumptions'!$B$44+$J$72+$F$72+$I$72+$T$71</f>
        <v/>
      </c>
      <c r="L72" s="11">
        <f>'Assumptions'!$B$57/$K$72</f>
        <v/>
      </c>
      <c r="M72" s="11">
        <f>$B$72*(1-'Assumptions'!$B$58)</f>
        <v/>
      </c>
      <c r="N72" s="11">
        <f>MIN($L$72,$M$72)</f>
        <v/>
      </c>
      <c r="O72" s="17">
        <f>'Assumptions'!$B$56/$N$72</f>
        <v/>
      </c>
      <c r="P72" s="17">
        <f>'Assumptions'!$B$44+$J$72+$F$72+$I$72+$O$72</f>
        <v/>
      </c>
      <c r="Q72" s="11">
        <f>'Assumptions'!$B$60/$P$72</f>
        <v/>
      </c>
      <c r="R72" s="11">
        <f>$B$72*(1-'Assumptions'!$B$61)</f>
        <v/>
      </c>
      <c r="S72" s="11">
        <f>MIN($Q$72,$R$72)</f>
        <v/>
      </c>
      <c r="T72" s="17">
        <f>'Assumptions'!$B$59/$S$72</f>
        <v/>
      </c>
      <c r="U72" s="17">
        <f>'Assumptions'!$B$44+$J$72+$F$72+$I$72+$O$72+$T$72</f>
        <v/>
      </c>
      <c r="V72" s="17">
        <f>$U$72+$C$72</f>
        <v/>
      </c>
      <c r="W72">
        <f>IF('Sensitivity'!$L$72&lt;'Sensitivity'!$M$72,"cap","discount")</f>
        <v/>
      </c>
      <c r="X72">
        <f>IF('Sensitivity'!$Q$72&lt;'Sensitivity'!$R$72,"cap","discount")</f>
        <v/>
      </c>
    </row>
    <row r="75">
      <c r="A75" s="10" t="inlineStr">
        <is>
          <t>Cell (11%, $1.8B)</t>
        </is>
      </c>
    </row>
    <row r="76">
      <c r="A76" s="13" t="inlineStr">
        <is>
          <t>Iter</t>
        </is>
      </c>
      <c r="B76" s="13" t="inlineStr">
        <is>
          <t>F_PPS</t>
        </is>
      </c>
      <c r="C76" s="13" t="inlineStr">
        <is>
          <t>F_prim_shares</t>
        </is>
      </c>
      <c r="D76" s="13" t="inlineStr">
        <is>
          <t>NCP_E</t>
        </is>
      </c>
      <c r="E76" s="13" t="inlineStr">
        <is>
          <t>new_E_shares</t>
        </is>
      </c>
      <c r="F76" s="13" t="inlineStr">
        <is>
          <t>AD_inc_E</t>
        </is>
      </c>
      <c r="G76" s="13" t="inlineStr">
        <is>
          <t>NCP_D</t>
        </is>
      </c>
      <c r="H76" s="13" t="inlineStr">
        <is>
          <t>new_D_shares</t>
        </is>
      </c>
      <c r="I76" s="13" t="inlineStr">
        <is>
          <t>AD_inc_D</t>
        </is>
      </c>
      <c r="J76" s="13" t="inlineStr">
        <is>
          <t>ESOP_topup</t>
        </is>
      </c>
      <c r="K76" s="13" t="inlineStr">
        <is>
          <t>cap_FD_A</t>
        </is>
      </c>
      <c r="L76" s="13" t="inlineStr">
        <is>
          <t>cap_pps_A</t>
        </is>
      </c>
      <c r="M76" s="13" t="inlineStr">
        <is>
          <t>disc_pps_A</t>
        </is>
      </c>
      <c r="N76" s="13" t="inlineStr">
        <is>
          <t>conv_pps_A</t>
        </is>
      </c>
      <c r="O76" s="13" t="inlineStr">
        <is>
          <t>N_A</t>
        </is>
      </c>
      <c r="P76" s="13" t="inlineStr">
        <is>
          <t>cap_FD_B</t>
        </is>
      </c>
      <c r="Q76" s="13" t="inlineStr">
        <is>
          <t>cap_pps_B</t>
        </is>
      </c>
      <c r="R76" s="13" t="inlineStr">
        <is>
          <t>disc_pps_B</t>
        </is>
      </c>
      <c r="S76" s="13" t="inlineStr">
        <is>
          <t>conv_pps_B</t>
        </is>
      </c>
      <c r="T76" s="13" t="inlineStr">
        <is>
          <t>N_B</t>
        </is>
      </c>
      <c r="U76" s="13" t="inlineStr">
        <is>
          <t>pre_money_FD</t>
        </is>
      </c>
      <c r="V76" s="13" t="inlineStr">
        <is>
          <t>T_F</t>
        </is>
      </c>
    </row>
    <row r="77">
      <c r="A77" t="n">
        <v>0</v>
      </c>
      <c r="B77" s="11">
        <f>'Assumptions'!$B$69/'Assumptions'!$B$44</f>
        <v/>
      </c>
      <c r="C77" s="17">
        <f>'Assumptions'!$B$5/$B$77</f>
        <v/>
      </c>
      <c r="D77" s="11">
        <f>'Assumptions'!$B$27*('Assumptions'!$B$44+'Assumptions'!$B$5/'Assumptions'!$B$27)/('Assumptions'!$B$44+'Assumptions'!$B$5/$B$77)</f>
        <v/>
      </c>
      <c r="E77" s="17">
        <f>'Assumptions'!$B$40*'Assumptions'!$B$27/$D$77</f>
        <v/>
      </c>
      <c r="F77" s="17">
        <f>$E$77-'Assumptions'!$B$40</f>
        <v/>
      </c>
      <c r="G77" s="11">
        <f>'Assumptions'!$B$25*('Assumptions'!$B$44+'Assumptions'!$B$5/'Assumptions'!$B$25)/('Assumptions'!$B$44+'Assumptions'!$B$5/$B$77)</f>
        <v/>
      </c>
      <c r="H77" s="17">
        <f>'Assumptions'!$B$38*'Assumptions'!$B$26/$G$77</f>
        <v/>
      </c>
      <c r="I77" s="17">
        <f>$H$77-'Assumptions'!$B$39</f>
        <v/>
      </c>
      <c r="J77" s="17">
        <f>MAX(0,'Assumptions'!$B$64*('Assumptions'!$B$44+$F$77+$I$77+$C$77)/(1-'Assumptions'!$B$64)-'Assumptions'!$B$43)</f>
        <v/>
      </c>
      <c r="K77" s="17">
        <f>'Assumptions'!$B$44+$J$77+$F$77+$I$77+0</f>
        <v/>
      </c>
      <c r="L77" s="11">
        <f>'Assumptions'!$B$57/$K$77</f>
        <v/>
      </c>
      <c r="M77" s="11">
        <f>$B$77*(1-'Assumptions'!$B$58)</f>
        <v/>
      </c>
      <c r="N77" s="11">
        <f>MIN($L$77,$M$77)</f>
        <v/>
      </c>
      <c r="O77" s="17">
        <f>'Assumptions'!$B$56/$N$77</f>
        <v/>
      </c>
      <c r="P77" s="17">
        <f>'Assumptions'!$B$44+$J$77+$F$77+$I$77+$O$77</f>
        <v/>
      </c>
      <c r="Q77" s="11">
        <f>'Assumptions'!$B$60/$P$77</f>
        <v/>
      </c>
      <c r="R77" s="11">
        <f>$B$77*(1-'Assumptions'!$B$61)</f>
        <v/>
      </c>
      <c r="S77" s="11">
        <f>MIN($Q$77,$R$77)</f>
        <v/>
      </c>
      <c r="T77" s="17">
        <f>'Assumptions'!$B$59/$S$77</f>
        <v/>
      </c>
      <c r="U77" s="17">
        <f>'Assumptions'!$B$44+$J$77+$F$77+$I$77+$O$77+$T$77</f>
        <v/>
      </c>
      <c r="V77" s="17">
        <f>$U$77+$C$77</f>
        <v/>
      </c>
    </row>
    <row r="78">
      <c r="A78" t="n">
        <v>1</v>
      </c>
      <c r="B78" s="11">
        <f>'Assumptions'!$B$69/$U$77</f>
        <v/>
      </c>
      <c r="C78" s="17">
        <f>'Assumptions'!$B$5/$B$78</f>
        <v/>
      </c>
      <c r="D78" s="11">
        <f>'Assumptions'!$B$27*('Assumptions'!$B$44+'Assumptions'!$B$5/'Assumptions'!$B$27)/('Assumptions'!$B$44+'Assumptions'!$B$5/$B$78)</f>
        <v/>
      </c>
      <c r="E78" s="17">
        <f>'Assumptions'!$B$40*'Assumptions'!$B$27/$D$78</f>
        <v/>
      </c>
      <c r="F78" s="17">
        <f>$E$78-'Assumptions'!$B$40</f>
        <v/>
      </c>
      <c r="G78" s="11">
        <f>'Assumptions'!$B$25*('Assumptions'!$B$44+'Assumptions'!$B$5/'Assumptions'!$B$25)/('Assumptions'!$B$44+'Assumptions'!$B$5/$B$78)</f>
        <v/>
      </c>
      <c r="H78" s="17">
        <f>'Assumptions'!$B$38*'Assumptions'!$B$26/$G$78</f>
        <v/>
      </c>
      <c r="I78" s="17">
        <f>$H$78-'Assumptions'!$B$39</f>
        <v/>
      </c>
      <c r="J78" s="17">
        <f>MAX(0,'Assumptions'!$B$64*$V$77-'Assumptions'!$B$43)</f>
        <v/>
      </c>
      <c r="K78" s="17">
        <f>'Assumptions'!$B$44+$J$78+$F$78+$I$78+$T$77</f>
        <v/>
      </c>
      <c r="L78" s="11">
        <f>'Assumptions'!$B$57/$K$78</f>
        <v/>
      </c>
      <c r="M78" s="11">
        <f>$B$78*(1-'Assumptions'!$B$58)</f>
        <v/>
      </c>
      <c r="N78" s="11">
        <f>MIN($L$78,$M$78)</f>
        <v/>
      </c>
      <c r="O78" s="17">
        <f>'Assumptions'!$B$56/$N$78</f>
        <v/>
      </c>
      <c r="P78" s="17">
        <f>'Assumptions'!$B$44+$J$78+$F$78+$I$78+$O$78</f>
        <v/>
      </c>
      <c r="Q78" s="11">
        <f>'Assumptions'!$B$60/$P$78</f>
        <v/>
      </c>
      <c r="R78" s="11">
        <f>$B$78*(1-'Assumptions'!$B$61)</f>
        <v/>
      </c>
      <c r="S78" s="11">
        <f>MIN($Q$78,$R$78)</f>
        <v/>
      </c>
      <c r="T78" s="17">
        <f>'Assumptions'!$B$59/$S$78</f>
        <v/>
      </c>
      <c r="U78" s="17">
        <f>'Assumptions'!$B$44+$J$78+$F$78+$I$78+$O$78+$T$78</f>
        <v/>
      </c>
      <c r="V78" s="17">
        <f>$U$78+$C$78</f>
        <v/>
      </c>
    </row>
    <row r="79">
      <c r="A79" t="n">
        <v>2</v>
      </c>
      <c r="B79" s="11">
        <f>'Assumptions'!$B$69/$U$78</f>
        <v/>
      </c>
      <c r="C79" s="17">
        <f>'Assumptions'!$B$5/$B$79</f>
        <v/>
      </c>
      <c r="D79" s="11">
        <f>'Assumptions'!$B$27*('Assumptions'!$B$44+'Assumptions'!$B$5/'Assumptions'!$B$27)/('Assumptions'!$B$44+'Assumptions'!$B$5/$B$79)</f>
        <v/>
      </c>
      <c r="E79" s="17">
        <f>'Assumptions'!$B$40*'Assumptions'!$B$27/$D$79</f>
        <v/>
      </c>
      <c r="F79" s="17">
        <f>$E$79-'Assumptions'!$B$40</f>
        <v/>
      </c>
      <c r="G79" s="11">
        <f>'Assumptions'!$B$25*('Assumptions'!$B$44+'Assumptions'!$B$5/'Assumptions'!$B$25)/('Assumptions'!$B$44+'Assumptions'!$B$5/$B$79)</f>
        <v/>
      </c>
      <c r="H79" s="17">
        <f>'Assumptions'!$B$38*'Assumptions'!$B$26/$G$79</f>
        <v/>
      </c>
      <c r="I79" s="17">
        <f>$H$79-'Assumptions'!$B$39</f>
        <v/>
      </c>
      <c r="J79" s="17">
        <f>MAX(0,'Assumptions'!$B$64*$V$78-'Assumptions'!$B$43)</f>
        <v/>
      </c>
      <c r="K79" s="17">
        <f>'Assumptions'!$B$44+$J$79+$F$79+$I$79+$T$78</f>
        <v/>
      </c>
      <c r="L79" s="11">
        <f>'Assumptions'!$B$57/$K$79</f>
        <v/>
      </c>
      <c r="M79" s="11">
        <f>$B$79*(1-'Assumptions'!$B$58)</f>
        <v/>
      </c>
      <c r="N79" s="11">
        <f>MIN($L$79,$M$79)</f>
        <v/>
      </c>
      <c r="O79" s="17">
        <f>'Assumptions'!$B$56/$N$79</f>
        <v/>
      </c>
      <c r="P79" s="17">
        <f>'Assumptions'!$B$44+$J$79+$F$79+$I$79+$O$79</f>
        <v/>
      </c>
      <c r="Q79" s="11">
        <f>'Assumptions'!$B$60/$P$79</f>
        <v/>
      </c>
      <c r="R79" s="11">
        <f>$B$79*(1-'Assumptions'!$B$61)</f>
        <v/>
      </c>
      <c r="S79" s="11">
        <f>MIN($Q$79,$R$79)</f>
        <v/>
      </c>
      <c r="T79" s="17">
        <f>'Assumptions'!$B$59/$S$79</f>
        <v/>
      </c>
      <c r="U79" s="17">
        <f>'Assumptions'!$B$44+$J$79+$F$79+$I$79+$O$79+$T$79</f>
        <v/>
      </c>
      <c r="V79" s="17">
        <f>$U$79+$C$79</f>
        <v/>
      </c>
    </row>
    <row r="80">
      <c r="A80" t="n">
        <v>3</v>
      </c>
      <c r="B80" s="11">
        <f>'Assumptions'!$B$69/$U$79</f>
        <v/>
      </c>
      <c r="C80" s="17">
        <f>'Assumptions'!$B$5/$B$80</f>
        <v/>
      </c>
      <c r="D80" s="11">
        <f>'Assumptions'!$B$27*('Assumptions'!$B$44+'Assumptions'!$B$5/'Assumptions'!$B$27)/('Assumptions'!$B$44+'Assumptions'!$B$5/$B$80)</f>
        <v/>
      </c>
      <c r="E80" s="17">
        <f>'Assumptions'!$B$40*'Assumptions'!$B$27/$D$80</f>
        <v/>
      </c>
      <c r="F80" s="17">
        <f>$E$80-'Assumptions'!$B$40</f>
        <v/>
      </c>
      <c r="G80" s="11">
        <f>'Assumptions'!$B$25*('Assumptions'!$B$44+'Assumptions'!$B$5/'Assumptions'!$B$25)/('Assumptions'!$B$44+'Assumptions'!$B$5/$B$80)</f>
        <v/>
      </c>
      <c r="H80" s="17">
        <f>'Assumptions'!$B$38*'Assumptions'!$B$26/$G$80</f>
        <v/>
      </c>
      <c r="I80" s="17">
        <f>$H$80-'Assumptions'!$B$39</f>
        <v/>
      </c>
      <c r="J80" s="17">
        <f>MAX(0,'Assumptions'!$B$64*$V$79-'Assumptions'!$B$43)</f>
        <v/>
      </c>
      <c r="K80" s="17">
        <f>'Assumptions'!$B$44+$J$80+$F$80+$I$80+$T$79</f>
        <v/>
      </c>
      <c r="L80" s="11">
        <f>'Assumptions'!$B$57/$K$80</f>
        <v/>
      </c>
      <c r="M80" s="11">
        <f>$B$80*(1-'Assumptions'!$B$58)</f>
        <v/>
      </c>
      <c r="N80" s="11">
        <f>MIN($L$80,$M$80)</f>
        <v/>
      </c>
      <c r="O80" s="17">
        <f>'Assumptions'!$B$56/$N$80</f>
        <v/>
      </c>
      <c r="P80" s="17">
        <f>'Assumptions'!$B$44+$J$80+$F$80+$I$80+$O$80</f>
        <v/>
      </c>
      <c r="Q80" s="11">
        <f>'Assumptions'!$B$60/$P$80</f>
        <v/>
      </c>
      <c r="R80" s="11">
        <f>$B$80*(1-'Assumptions'!$B$61)</f>
        <v/>
      </c>
      <c r="S80" s="11">
        <f>MIN($Q$80,$R$80)</f>
        <v/>
      </c>
      <c r="T80" s="17">
        <f>'Assumptions'!$B$59/$S$80</f>
        <v/>
      </c>
      <c r="U80" s="17">
        <f>'Assumptions'!$B$44+$J$80+$F$80+$I$80+$O$80+$T$80</f>
        <v/>
      </c>
      <c r="V80" s="17">
        <f>$U$80+$C$80</f>
        <v/>
      </c>
    </row>
    <row r="81">
      <c r="A81" t="n">
        <v>4</v>
      </c>
      <c r="B81" s="11">
        <f>'Assumptions'!$B$69/$U$80</f>
        <v/>
      </c>
      <c r="C81" s="17">
        <f>'Assumptions'!$B$5/$B$81</f>
        <v/>
      </c>
      <c r="D81" s="11">
        <f>'Assumptions'!$B$27*('Assumptions'!$B$44+'Assumptions'!$B$5/'Assumptions'!$B$27)/('Assumptions'!$B$44+'Assumptions'!$B$5/$B$81)</f>
        <v/>
      </c>
      <c r="E81" s="17">
        <f>'Assumptions'!$B$40*'Assumptions'!$B$27/$D$81</f>
        <v/>
      </c>
      <c r="F81" s="17">
        <f>$E$81-'Assumptions'!$B$40</f>
        <v/>
      </c>
      <c r="G81" s="11">
        <f>'Assumptions'!$B$25*('Assumptions'!$B$44+'Assumptions'!$B$5/'Assumptions'!$B$25)/('Assumptions'!$B$44+'Assumptions'!$B$5/$B$81)</f>
        <v/>
      </c>
      <c r="H81" s="17">
        <f>'Assumptions'!$B$38*'Assumptions'!$B$26/$G$81</f>
        <v/>
      </c>
      <c r="I81" s="17">
        <f>$H$81-'Assumptions'!$B$39</f>
        <v/>
      </c>
      <c r="J81" s="17">
        <f>MAX(0,'Assumptions'!$B$64*$V$80-'Assumptions'!$B$43)</f>
        <v/>
      </c>
      <c r="K81" s="17">
        <f>'Assumptions'!$B$44+$J$81+$F$81+$I$81+$T$80</f>
        <v/>
      </c>
      <c r="L81" s="11">
        <f>'Assumptions'!$B$57/$K$81</f>
        <v/>
      </c>
      <c r="M81" s="11">
        <f>$B$81*(1-'Assumptions'!$B$58)</f>
        <v/>
      </c>
      <c r="N81" s="11">
        <f>MIN($L$81,$M$81)</f>
        <v/>
      </c>
      <c r="O81" s="17">
        <f>'Assumptions'!$B$56/$N$81</f>
        <v/>
      </c>
      <c r="P81" s="17">
        <f>'Assumptions'!$B$44+$J$81+$F$81+$I$81+$O$81</f>
        <v/>
      </c>
      <c r="Q81" s="11">
        <f>'Assumptions'!$B$60/$P$81</f>
        <v/>
      </c>
      <c r="R81" s="11">
        <f>$B$81*(1-'Assumptions'!$B$61)</f>
        <v/>
      </c>
      <c r="S81" s="11">
        <f>MIN($Q$81,$R$81)</f>
        <v/>
      </c>
      <c r="T81" s="17">
        <f>'Assumptions'!$B$59/$S$81</f>
        <v/>
      </c>
      <c r="U81" s="17">
        <f>'Assumptions'!$B$44+$J$81+$F$81+$I$81+$O$81+$T$81</f>
        <v/>
      </c>
      <c r="V81" s="17">
        <f>$U$81+$C$81</f>
        <v/>
      </c>
    </row>
    <row r="82">
      <c r="A82" t="n">
        <v>5</v>
      </c>
      <c r="B82" s="11">
        <f>'Assumptions'!$B$69/$U$81</f>
        <v/>
      </c>
      <c r="C82" s="17">
        <f>'Assumptions'!$B$5/$B$82</f>
        <v/>
      </c>
      <c r="D82" s="11">
        <f>'Assumptions'!$B$27*('Assumptions'!$B$44+'Assumptions'!$B$5/'Assumptions'!$B$27)/('Assumptions'!$B$44+'Assumptions'!$B$5/$B$82)</f>
        <v/>
      </c>
      <c r="E82" s="17">
        <f>'Assumptions'!$B$40*'Assumptions'!$B$27/$D$82</f>
        <v/>
      </c>
      <c r="F82" s="17">
        <f>$E$82-'Assumptions'!$B$40</f>
        <v/>
      </c>
      <c r="G82" s="11">
        <f>'Assumptions'!$B$25*('Assumptions'!$B$44+'Assumptions'!$B$5/'Assumptions'!$B$25)/('Assumptions'!$B$44+'Assumptions'!$B$5/$B$82)</f>
        <v/>
      </c>
      <c r="H82" s="17">
        <f>'Assumptions'!$B$38*'Assumptions'!$B$26/$G$82</f>
        <v/>
      </c>
      <c r="I82" s="17">
        <f>$H$82-'Assumptions'!$B$39</f>
        <v/>
      </c>
      <c r="J82" s="17">
        <f>MAX(0,'Assumptions'!$B$64*$V$81-'Assumptions'!$B$43)</f>
        <v/>
      </c>
      <c r="K82" s="17">
        <f>'Assumptions'!$B$44+$J$82+$F$82+$I$82+$T$81</f>
        <v/>
      </c>
      <c r="L82" s="11">
        <f>'Assumptions'!$B$57/$K$82</f>
        <v/>
      </c>
      <c r="M82" s="11">
        <f>$B$82*(1-'Assumptions'!$B$58)</f>
        <v/>
      </c>
      <c r="N82" s="11">
        <f>MIN($L$82,$M$82)</f>
        <v/>
      </c>
      <c r="O82" s="17">
        <f>'Assumptions'!$B$56/$N$82</f>
        <v/>
      </c>
      <c r="P82" s="17">
        <f>'Assumptions'!$B$44+$J$82+$F$82+$I$82+$O$82</f>
        <v/>
      </c>
      <c r="Q82" s="11">
        <f>'Assumptions'!$B$60/$P$82</f>
        <v/>
      </c>
      <c r="R82" s="11">
        <f>$B$82*(1-'Assumptions'!$B$61)</f>
        <v/>
      </c>
      <c r="S82" s="11">
        <f>MIN($Q$82,$R$82)</f>
        <v/>
      </c>
      <c r="T82" s="17">
        <f>'Assumptions'!$B$59/$S$82</f>
        <v/>
      </c>
      <c r="U82" s="17">
        <f>'Assumptions'!$B$44+$J$82+$F$82+$I$82+$O$82+$T$82</f>
        <v/>
      </c>
      <c r="V82" s="17">
        <f>$U$82+$C$82</f>
        <v/>
      </c>
    </row>
    <row r="83">
      <c r="A83" t="n">
        <v>6</v>
      </c>
      <c r="B83" s="11">
        <f>'Assumptions'!$B$69/$U$82</f>
        <v/>
      </c>
      <c r="C83" s="17">
        <f>'Assumptions'!$B$5/$B$83</f>
        <v/>
      </c>
      <c r="D83" s="11">
        <f>'Assumptions'!$B$27*('Assumptions'!$B$44+'Assumptions'!$B$5/'Assumptions'!$B$27)/('Assumptions'!$B$44+'Assumptions'!$B$5/$B$83)</f>
        <v/>
      </c>
      <c r="E83" s="17">
        <f>'Assumptions'!$B$40*'Assumptions'!$B$27/$D$83</f>
        <v/>
      </c>
      <c r="F83" s="17">
        <f>$E$83-'Assumptions'!$B$40</f>
        <v/>
      </c>
      <c r="G83" s="11">
        <f>'Assumptions'!$B$25*('Assumptions'!$B$44+'Assumptions'!$B$5/'Assumptions'!$B$25)/('Assumptions'!$B$44+'Assumptions'!$B$5/$B$83)</f>
        <v/>
      </c>
      <c r="H83" s="17">
        <f>'Assumptions'!$B$38*'Assumptions'!$B$26/$G$83</f>
        <v/>
      </c>
      <c r="I83" s="17">
        <f>$H$83-'Assumptions'!$B$39</f>
        <v/>
      </c>
      <c r="J83" s="17">
        <f>MAX(0,'Assumptions'!$B$64*$V$82-'Assumptions'!$B$43)</f>
        <v/>
      </c>
      <c r="K83" s="17">
        <f>'Assumptions'!$B$44+$J$83+$F$83+$I$83+$T$82</f>
        <v/>
      </c>
      <c r="L83" s="11">
        <f>'Assumptions'!$B$57/$K$83</f>
        <v/>
      </c>
      <c r="M83" s="11">
        <f>$B$83*(1-'Assumptions'!$B$58)</f>
        <v/>
      </c>
      <c r="N83" s="11">
        <f>MIN($L$83,$M$83)</f>
        <v/>
      </c>
      <c r="O83" s="17">
        <f>'Assumptions'!$B$56/$N$83</f>
        <v/>
      </c>
      <c r="P83" s="17">
        <f>'Assumptions'!$B$44+$J$83+$F$83+$I$83+$O$83</f>
        <v/>
      </c>
      <c r="Q83" s="11">
        <f>'Assumptions'!$B$60/$P$83</f>
        <v/>
      </c>
      <c r="R83" s="11">
        <f>$B$83*(1-'Assumptions'!$B$61)</f>
        <v/>
      </c>
      <c r="S83" s="11">
        <f>MIN($Q$83,$R$83)</f>
        <v/>
      </c>
      <c r="T83" s="17">
        <f>'Assumptions'!$B$59/$S$83</f>
        <v/>
      </c>
      <c r="U83" s="17">
        <f>'Assumptions'!$B$44+$J$83+$F$83+$I$83+$O$83+$T$83</f>
        <v/>
      </c>
      <c r="V83" s="17">
        <f>$U$83+$C$83</f>
        <v/>
      </c>
    </row>
    <row r="84">
      <c r="A84" t="n">
        <v>7</v>
      </c>
      <c r="B84" s="11">
        <f>'Assumptions'!$B$69/$U$83</f>
        <v/>
      </c>
      <c r="C84" s="17">
        <f>'Assumptions'!$B$5/$B$84</f>
        <v/>
      </c>
      <c r="D84" s="11">
        <f>'Assumptions'!$B$27*('Assumptions'!$B$44+'Assumptions'!$B$5/'Assumptions'!$B$27)/('Assumptions'!$B$44+'Assumptions'!$B$5/$B$84)</f>
        <v/>
      </c>
      <c r="E84" s="17">
        <f>'Assumptions'!$B$40*'Assumptions'!$B$27/$D$84</f>
        <v/>
      </c>
      <c r="F84" s="17">
        <f>$E$84-'Assumptions'!$B$40</f>
        <v/>
      </c>
      <c r="G84" s="11">
        <f>'Assumptions'!$B$25*('Assumptions'!$B$44+'Assumptions'!$B$5/'Assumptions'!$B$25)/('Assumptions'!$B$44+'Assumptions'!$B$5/$B$84)</f>
        <v/>
      </c>
      <c r="H84" s="17">
        <f>'Assumptions'!$B$38*'Assumptions'!$B$26/$G$84</f>
        <v/>
      </c>
      <c r="I84" s="17">
        <f>$H$84-'Assumptions'!$B$39</f>
        <v/>
      </c>
      <c r="J84" s="17">
        <f>MAX(0,'Assumptions'!$B$64*$V$83-'Assumptions'!$B$43)</f>
        <v/>
      </c>
      <c r="K84" s="17">
        <f>'Assumptions'!$B$44+$J$84+$F$84+$I$84+$T$83</f>
        <v/>
      </c>
      <c r="L84" s="11">
        <f>'Assumptions'!$B$57/$K$84</f>
        <v/>
      </c>
      <c r="M84" s="11">
        <f>$B$84*(1-'Assumptions'!$B$58)</f>
        <v/>
      </c>
      <c r="N84" s="11">
        <f>MIN($L$84,$M$84)</f>
        <v/>
      </c>
      <c r="O84" s="17">
        <f>'Assumptions'!$B$56/$N$84</f>
        <v/>
      </c>
      <c r="P84" s="17">
        <f>'Assumptions'!$B$44+$J$84+$F$84+$I$84+$O$84</f>
        <v/>
      </c>
      <c r="Q84" s="11">
        <f>'Assumptions'!$B$60/$P$84</f>
        <v/>
      </c>
      <c r="R84" s="11">
        <f>$B$84*(1-'Assumptions'!$B$61)</f>
        <v/>
      </c>
      <c r="S84" s="11">
        <f>MIN($Q$84,$R$84)</f>
        <v/>
      </c>
      <c r="T84" s="17">
        <f>'Assumptions'!$B$59/$S$84</f>
        <v/>
      </c>
      <c r="U84" s="17">
        <f>'Assumptions'!$B$44+$J$84+$F$84+$I$84+$O$84+$T$84</f>
        <v/>
      </c>
      <c r="V84" s="17">
        <f>$U$84+$C$84</f>
        <v/>
      </c>
    </row>
    <row r="85">
      <c r="A85" t="n">
        <v>8</v>
      </c>
      <c r="B85" s="11">
        <f>'Assumptions'!$B$69/$U$84</f>
        <v/>
      </c>
      <c r="C85" s="17">
        <f>'Assumptions'!$B$5/$B$85</f>
        <v/>
      </c>
      <c r="D85" s="11">
        <f>'Assumptions'!$B$27*('Assumptions'!$B$44+'Assumptions'!$B$5/'Assumptions'!$B$27)/('Assumptions'!$B$44+'Assumptions'!$B$5/$B$85)</f>
        <v/>
      </c>
      <c r="E85" s="17">
        <f>'Assumptions'!$B$40*'Assumptions'!$B$27/$D$85</f>
        <v/>
      </c>
      <c r="F85" s="17">
        <f>$E$85-'Assumptions'!$B$40</f>
        <v/>
      </c>
      <c r="G85" s="11">
        <f>'Assumptions'!$B$25*('Assumptions'!$B$44+'Assumptions'!$B$5/'Assumptions'!$B$25)/('Assumptions'!$B$44+'Assumptions'!$B$5/$B$85)</f>
        <v/>
      </c>
      <c r="H85" s="17">
        <f>'Assumptions'!$B$38*'Assumptions'!$B$26/$G$85</f>
        <v/>
      </c>
      <c r="I85" s="17">
        <f>$H$85-'Assumptions'!$B$39</f>
        <v/>
      </c>
      <c r="J85" s="17">
        <f>MAX(0,'Assumptions'!$B$64*$V$84-'Assumptions'!$B$43)</f>
        <v/>
      </c>
      <c r="K85" s="17">
        <f>'Assumptions'!$B$44+$J$85+$F$85+$I$85+$T$84</f>
        <v/>
      </c>
      <c r="L85" s="11">
        <f>'Assumptions'!$B$57/$K$85</f>
        <v/>
      </c>
      <c r="M85" s="11">
        <f>$B$85*(1-'Assumptions'!$B$58)</f>
        <v/>
      </c>
      <c r="N85" s="11">
        <f>MIN($L$85,$M$85)</f>
        <v/>
      </c>
      <c r="O85" s="17">
        <f>'Assumptions'!$B$56/$N$85</f>
        <v/>
      </c>
      <c r="P85" s="17">
        <f>'Assumptions'!$B$44+$J$85+$F$85+$I$85+$O$85</f>
        <v/>
      </c>
      <c r="Q85" s="11">
        <f>'Assumptions'!$B$60/$P$85</f>
        <v/>
      </c>
      <c r="R85" s="11">
        <f>$B$85*(1-'Assumptions'!$B$61)</f>
        <v/>
      </c>
      <c r="S85" s="11">
        <f>MIN($Q$85,$R$85)</f>
        <v/>
      </c>
      <c r="T85" s="17">
        <f>'Assumptions'!$B$59/$S$85</f>
        <v/>
      </c>
      <c r="U85" s="17">
        <f>'Assumptions'!$B$44+$J$85+$F$85+$I$85+$O$85+$T$85</f>
        <v/>
      </c>
      <c r="V85" s="17">
        <f>$U$85+$C$85</f>
        <v/>
      </c>
    </row>
    <row r="86">
      <c r="A86" t="n">
        <v>9</v>
      </c>
      <c r="B86" s="11">
        <f>'Assumptions'!$B$69/$U$85</f>
        <v/>
      </c>
      <c r="C86" s="17">
        <f>'Assumptions'!$B$5/$B$86</f>
        <v/>
      </c>
      <c r="D86" s="11">
        <f>'Assumptions'!$B$27*('Assumptions'!$B$44+'Assumptions'!$B$5/'Assumptions'!$B$27)/('Assumptions'!$B$44+'Assumptions'!$B$5/$B$86)</f>
        <v/>
      </c>
      <c r="E86" s="17">
        <f>'Assumptions'!$B$40*'Assumptions'!$B$27/$D$86</f>
        <v/>
      </c>
      <c r="F86" s="17">
        <f>$E$86-'Assumptions'!$B$40</f>
        <v/>
      </c>
      <c r="G86" s="11">
        <f>'Assumptions'!$B$25*('Assumptions'!$B$44+'Assumptions'!$B$5/'Assumptions'!$B$25)/('Assumptions'!$B$44+'Assumptions'!$B$5/$B$86)</f>
        <v/>
      </c>
      <c r="H86" s="17">
        <f>'Assumptions'!$B$38*'Assumptions'!$B$26/$G$86</f>
        <v/>
      </c>
      <c r="I86" s="17">
        <f>$H$86-'Assumptions'!$B$39</f>
        <v/>
      </c>
      <c r="J86" s="17">
        <f>MAX(0,'Assumptions'!$B$64*$V$85-'Assumptions'!$B$43)</f>
        <v/>
      </c>
      <c r="K86" s="17">
        <f>'Assumptions'!$B$44+$J$86+$F$86+$I$86+$T$85</f>
        <v/>
      </c>
      <c r="L86" s="11">
        <f>'Assumptions'!$B$57/$K$86</f>
        <v/>
      </c>
      <c r="M86" s="11">
        <f>$B$86*(1-'Assumptions'!$B$58)</f>
        <v/>
      </c>
      <c r="N86" s="11">
        <f>MIN($L$86,$M$86)</f>
        <v/>
      </c>
      <c r="O86" s="17">
        <f>'Assumptions'!$B$56/$N$86</f>
        <v/>
      </c>
      <c r="P86" s="17">
        <f>'Assumptions'!$B$44+$J$86+$F$86+$I$86+$O$86</f>
        <v/>
      </c>
      <c r="Q86" s="11">
        <f>'Assumptions'!$B$60/$P$86</f>
        <v/>
      </c>
      <c r="R86" s="11">
        <f>$B$86*(1-'Assumptions'!$B$61)</f>
        <v/>
      </c>
      <c r="S86" s="11">
        <f>MIN($Q$86,$R$86)</f>
        <v/>
      </c>
      <c r="T86" s="17">
        <f>'Assumptions'!$B$59/$S$86</f>
        <v/>
      </c>
      <c r="U86" s="17">
        <f>'Assumptions'!$B$44+$J$86+$F$86+$I$86+$O$86+$T$86</f>
        <v/>
      </c>
      <c r="V86" s="17">
        <f>$U$86+$C$86</f>
        <v/>
      </c>
    </row>
    <row r="87">
      <c r="A87" t="n">
        <v>10</v>
      </c>
      <c r="B87" s="11">
        <f>'Assumptions'!$B$69/$U$86</f>
        <v/>
      </c>
      <c r="C87" s="17">
        <f>'Assumptions'!$B$5/$B$87</f>
        <v/>
      </c>
      <c r="D87" s="11">
        <f>'Assumptions'!$B$27*('Assumptions'!$B$44+'Assumptions'!$B$5/'Assumptions'!$B$27)/('Assumptions'!$B$44+'Assumptions'!$B$5/$B$87)</f>
        <v/>
      </c>
      <c r="E87" s="17">
        <f>'Assumptions'!$B$40*'Assumptions'!$B$27/$D$87</f>
        <v/>
      </c>
      <c r="F87" s="17">
        <f>$E$87-'Assumptions'!$B$40</f>
        <v/>
      </c>
      <c r="G87" s="11">
        <f>'Assumptions'!$B$25*('Assumptions'!$B$44+'Assumptions'!$B$5/'Assumptions'!$B$25)/('Assumptions'!$B$44+'Assumptions'!$B$5/$B$87)</f>
        <v/>
      </c>
      <c r="H87" s="17">
        <f>'Assumptions'!$B$38*'Assumptions'!$B$26/$G$87</f>
        <v/>
      </c>
      <c r="I87" s="17">
        <f>$H$87-'Assumptions'!$B$39</f>
        <v/>
      </c>
      <c r="J87" s="17">
        <f>MAX(0,'Assumptions'!$B$64*$V$86-'Assumptions'!$B$43)</f>
        <v/>
      </c>
      <c r="K87" s="17">
        <f>'Assumptions'!$B$44+$J$87+$F$87+$I$87+$T$86</f>
        <v/>
      </c>
      <c r="L87" s="11">
        <f>'Assumptions'!$B$57/$K$87</f>
        <v/>
      </c>
      <c r="M87" s="11">
        <f>$B$87*(1-'Assumptions'!$B$58)</f>
        <v/>
      </c>
      <c r="N87" s="11">
        <f>MIN($L$87,$M$87)</f>
        <v/>
      </c>
      <c r="O87" s="17">
        <f>'Assumptions'!$B$56/$N$87</f>
        <v/>
      </c>
      <c r="P87" s="17">
        <f>'Assumptions'!$B$44+$J$87+$F$87+$I$87+$O$87</f>
        <v/>
      </c>
      <c r="Q87" s="11">
        <f>'Assumptions'!$B$60/$P$87</f>
        <v/>
      </c>
      <c r="R87" s="11">
        <f>$B$87*(1-'Assumptions'!$B$61)</f>
        <v/>
      </c>
      <c r="S87" s="11">
        <f>MIN($Q$87,$R$87)</f>
        <v/>
      </c>
      <c r="T87" s="17">
        <f>'Assumptions'!$B$59/$S$87</f>
        <v/>
      </c>
      <c r="U87" s="17">
        <f>'Assumptions'!$B$44+$J$87+$F$87+$I$87+$O$87+$T$87</f>
        <v/>
      </c>
      <c r="V87" s="17">
        <f>$U$87+$C$87</f>
        <v/>
      </c>
    </row>
    <row r="88">
      <c r="A88" t="n">
        <v>11</v>
      </c>
      <c r="B88" s="11">
        <f>'Assumptions'!$B$69/$U$87</f>
        <v/>
      </c>
      <c r="C88" s="17">
        <f>'Assumptions'!$B$5/$B$88</f>
        <v/>
      </c>
      <c r="D88" s="11">
        <f>'Assumptions'!$B$27*('Assumptions'!$B$44+'Assumptions'!$B$5/'Assumptions'!$B$27)/('Assumptions'!$B$44+'Assumptions'!$B$5/$B$88)</f>
        <v/>
      </c>
      <c r="E88" s="17">
        <f>'Assumptions'!$B$40*'Assumptions'!$B$27/$D$88</f>
        <v/>
      </c>
      <c r="F88" s="17">
        <f>$E$88-'Assumptions'!$B$40</f>
        <v/>
      </c>
      <c r="G88" s="11">
        <f>'Assumptions'!$B$25*('Assumptions'!$B$44+'Assumptions'!$B$5/'Assumptions'!$B$25)/('Assumptions'!$B$44+'Assumptions'!$B$5/$B$88)</f>
        <v/>
      </c>
      <c r="H88" s="17">
        <f>'Assumptions'!$B$38*'Assumptions'!$B$26/$G$88</f>
        <v/>
      </c>
      <c r="I88" s="17">
        <f>$H$88-'Assumptions'!$B$39</f>
        <v/>
      </c>
      <c r="J88" s="17">
        <f>MAX(0,'Assumptions'!$B$64*$V$87-'Assumptions'!$B$43)</f>
        <v/>
      </c>
      <c r="K88" s="17">
        <f>'Assumptions'!$B$44+$J$88+$F$88+$I$88+$T$87</f>
        <v/>
      </c>
      <c r="L88" s="11">
        <f>'Assumptions'!$B$57/$K$88</f>
        <v/>
      </c>
      <c r="M88" s="11">
        <f>$B$88*(1-'Assumptions'!$B$58)</f>
        <v/>
      </c>
      <c r="N88" s="11">
        <f>MIN($L$88,$M$88)</f>
        <v/>
      </c>
      <c r="O88" s="17">
        <f>'Assumptions'!$B$56/$N$88</f>
        <v/>
      </c>
      <c r="P88" s="17">
        <f>'Assumptions'!$B$44+$J$88+$F$88+$I$88+$O$88</f>
        <v/>
      </c>
      <c r="Q88" s="11">
        <f>'Assumptions'!$B$60/$P$88</f>
        <v/>
      </c>
      <c r="R88" s="11">
        <f>$B$88*(1-'Assumptions'!$B$61)</f>
        <v/>
      </c>
      <c r="S88" s="11">
        <f>MIN($Q$88,$R$88)</f>
        <v/>
      </c>
      <c r="T88" s="17">
        <f>'Assumptions'!$B$59/$S$88</f>
        <v/>
      </c>
      <c r="U88" s="17">
        <f>'Assumptions'!$B$44+$J$88+$F$88+$I$88+$O$88+$T$88</f>
        <v/>
      </c>
      <c r="V88" s="17">
        <f>$U$88+$C$88</f>
        <v/>
      </c>
    </row>
    <row r="89">
      <c r="A89" t="n">
        <v>12</v>
      </c>
      <c r="B89" s="11">
        <f>'Assumptions'!$B$69/$U$88</f>
        <v/>
      </c>
      <c r="C89" s="17">
        <f>'Assumptions'!$B$5/$B$89</f>
        <v/>
      </c>
      <c r="D89" s="11">
        <f>'Assumptions'!$B$27*('Assumptions'!$B$44+'Assumptions'!$B$5/'Assumptions'!$B$27)/('Assumptions'!$B$44+'Assumptions'!$B$5/$B$89)</f>
        <v/>
      </c>
      <c r="E89" s="17">
        <f>'Assumptions'!$B$40*'Assumptions'!$B$27/$D$89</f>
        <v/>
      </c>
      <c r="F89" s="17">
        <f>$E$89-'Assumptions'!$B$40</f>
        <v/>
      </c>
      <c r="G89" s="11">
        <f>'Assumptions'!$B$25*('Assumptions'!$B$44+'Assumptions'!$B$5/'Assumptions'!$B$25)/('Assumptions'!$B$44+'Assumptions'!$B$5/$B$89)</f>
        <v/>
      </c>
      <c r="H89" s="17">
        <f>'Assumptions'!$B$38*'Assumptions'!$B$26/$G$89</f>
        <v/>
      </c>
      <c r="I89" s="17">
        <f>$H$89-'Assumptions'!$B$39</f>
        <v/>
      </c>
      <c r="J89" s="17">
        <f>MAX(0,'Assumptions'!$B$64*$V$88-'Assumptions'!$B$43)</f>
        <v/>
      </c>
      <c r="K89" s="17">
        <f>'Assumptions'!$B$44+$J$89+$F$89+$I$89+$T$88</f>
        <v/>
      </c>
      <c r="L89" s="11">
        <f>'Assumptions'!$B$57/$K$89</f>
        <v/>
      </c>
      <c r="M89" s="11">
        <f>$B$89*(1-'Assumptions'!$B$58)</f>
        <v/>
      </c>
      <c r="N89" s="11">
        <f>MIN($L$89,$M$89)</f>
        <v/>
      </c>
      <c r="O89" s="17">
        <f>'Assumptions'!$B$56/$N$89</f>
        <v/>
      </c>
      <c r="P89" s="17">
        <f>'Assumptions'!$B$44+$J$89+$F$89+$I$89+$O$89</f>
        <v/>
      </c>
      <c r="Q89" s="11">
        <f>'Assumptions'!$B$60/$P$89</f>
        <v/>
      </c>
      <c r="R89" s="11">
        <f>$B$89*(1-'Assumptions'!$B$61)</f>
        <v/>
      </c>
      <c r="S89" s="11">
        <f>MIN($Q$89,$R$89)</f>
        <v/>
      </c>
      <c r="T89" s="17">
        <f>'Assumptions'!$B$59/$S$89</f>
        <v/>
      </c>
      <c r="U89" s="17">
        <f>'Assumptions'!$B$44+$J$89+$F$89+$I$89+$O$89+$T$89</f>
        <v/>
      </c>
      <c r="V89" s="17">
        <f>$U$89+$C$89</f>
        <v/>
      </c>
    </row>
    <row r="90">
      <c r="A90" t="n">
        <v>13</v>
      </c>
      <c r="B90" s="11">
        <f>'Assumptions'!$B$69/$U$89</f>
        <v/>
      </c>
      <c r="C90" s="17">
        <f>'Assumptions'!$B$5/$B$90</f>
        <v/>
      </c>
      <c r="D90" s="11">
        <f>'Assumptions'!$B$27*('Assumptions'!$B$44+'Assumptions'!$B$5/'Assumptions'!$B$27)/('Assumptions'!$B$44+'Assumptions'!$B$5/$B$90)</f>
        <v/>
      </c>
      <c r="E90" s="17">
        <f>'Assumptions'!$B$40*'Assumptions'!$B$27/$D$90</f>
        <v/>
      </c>
      <c r="F90" s="17">
        <f>$E$90-'Assumptions'!$B$40</f>
        <v/>
      </c>
      <c r="G90" s="11">
        <f>'Assumptions'!$B$25*('Assumptions'!$B$44+'Assumptions'!$B$5/'Assumptions'!$B$25)/('Assumptions'!$B$44+'Assumptions'!$B$5/$B$90)</f>
        <v/>
      </c>
      <c r="H90" s="17">
        <f>'Assumptions'!$B$38*'Assumptions'!$B$26/$G$90</f>
        <v/>
      </c>
      <c r="I90" s="17">
        <f>$H$90-'Assumptions'!$B$39</f>
        <v/>
      </c>
      <c r="J90" s="17">
        <f>MAX(0,'Assumptions'!$B$64*$V$89-'Assumptions'!$B$43)</f>
        <v/>
      </c>
      <c r="K90" s="17">
        <f>'Assumptions'!$B$44+$J$90+$F$90+$I$90+$T$89</f>
        <v/>
      </c>
      <c r="L90" s="11">
        <f>'Assumptions'!$B$57/$K$90</f>
        <v/>
      </c>
      <c r="M90" s="11">
        <f>$B$90*(1-'Assumptions'!$B$58)</f>
        <v/>
      </c>
      <c r="N90" s="11">
        <f>MIN($L$90,$M$90)</f>
        <v/>
      </c>
      <c r="O90" s="17">
        <f>'Assumptions'!$B$56/$N$90</f>
        <v/>
      </c>
      <c r="P90" s="17">
        <f>'Assumptions'!$B$44+$J$90+$F$90+$I$90+$O$90</f>
        <v/>
      </c>
      <c r="Q90" s="11">
        <f>'Assumptions'!$B$60/$P$90</f>
        <v/>
      </c>
      <c r="R90" s="11">
        <f>$B$90*(1-'Assumptions'!$B$61)</f>
        <v/>
      </c>
      <c r="S90" s="11">
        <f>MIN($Q$90,$R$90)</f>
        <v/>
      </c>
      <c r="T90" s="17">
        <f>'Assumptions'!$B$59/$S$90</f>
        <v/>
      </c>
      <c r="U90" s="17">
        <f>'Assumptions'!$B$44+$J$90+$F$90+$I$90+$O$90+$T$90</f>
        <v/>
      </c>
      <c r="V90" s="17">
        <f>$U$90+$C$90</f>
        <v/>
      </c>
    </row>
    <row r="91">
      <c r="A91" t="n">
        <v>14</v>
      </c>
      <c r="B91" s="11">
        <f>'Assumptions'!$B$69/$U$90</f>
        <v/>
      </c>
      <c r="C91" s="17">
        <f>'Assumptions'!$B$5/$B$91</f>
        <v/>
      </c>
      <c r="D91" s="11">
        <f>'Assumptions'!$B$27*('Assumptions'!$B$44+'Assumptions'!$B$5/'Assumptions'!$B$27)/('Assumptions'!$B$44+'Assumptions'!$B$5/$B$91)</f>
        <v/>
      </c>
      <c r="E91" s="17">
        <f>'Assumptions'!$B$40*'Assumptions'!$B$27/$D$91</f>
        <v/>
      </c>
      <c r="F91" s="17">
        <f>$E$91-'Assumptions'!$B$40</f>
        <v/>
      </c>
      <c r="G91" s="11">
        <f>'Assumptions'!$B$25*('Assumptions'!$B$44+'Assumptions'!$B$5/'Assumptions'!$B$25)/('Assumptions'!$B$44+'Assumptions'!$B$5/$B$91)</f>
        <v/>
      </c>
      <c r="H91" s="17">
        <f>'Assumptions'!$B$38*'Assumptions'!$B$26/$G$91</f>
        <v/>
      </c>
      <c r="I91" s="17">
        <f>$H$91-'Assumptions'!$B$39</f>
        <v/>
      </c>
      <c r="J91" s="17">
        <f>MAX(0,'Assumptions'!$B$64*$V$90-'Assumptions'!$B$43)</f>
        <v/>
      </c>
      <c r="K91" s="17">
        <f>'Assumptions'!$B$44+$J$91+$F$91+$I$91+$T$90</f>
        <v/>
      </c>
      <c r="L91" s="11">
        <f>'Assumptions'!$B$57/$K$91</f>
        <v/>
      </c>
      <c r="M91" s="11">
        <f>$B$91*(1-'Assumptions'!$B$58)</f>
        <v/>
      </c>
      <c r="N91" s="11">
        <f>MIN($L$91,$M$91)</f>
        <v/>
      </c>
      <c r="O91" s="17">
        <f>'Assumptions'!$B$56/$N$91</f>
        <v/>
      </c>
      <c r="P91" s="17">
        <f>'Assumptions'!$B$44+$J$91+$F$91+$I$91+$O$91</f>
        <v/>
      </c>
      <c r="Q91" s="11">
        <f>'Assumptions'!$B$60/$P$91</f>
        <v/>
      </c>
      <c r="R91" s="11">
        <f>$B$91*(1-'Assumptions'!$B$61)</f>
        <v/>
      </c>
      <c r="S91" s="11">
        <f>MIN($Q$91,$R$91)</f>
        <v/>
      </c>
      <c r="T91" s="17">
        <f>'Assumptions'!$B$59/$S$91</f>
        <v/>
      </c>
      <c r="U91" s="17">
        <f>'Assumptions'!$B$44+$J$91+$F$91+$I$91+$O$91+$T$91</f>
        <v/>
      </c>
      <c r="V91" s="17">
        <f>$U$91+$C$91</f>
        <v/>
      </c>
    </row>
    <row r="92">
      <c r="A92" t="n">
        <v>15</v>
      </c>
      <c r="B92" s="11">
        <f>'Assumptions'!$B$69/$U$91</f>
        <v/>
      </c>
      <c r="C92" s="17">
        <f>'Assumptions'!$B$5/$B$92</f>
        <v/>
      </c>
      <c r="D92" s="11">
        <f>'Assumptions'!$B$27*('Assumptions'!$B$44+'Assumptions'!$B$5/'Assumptions'!$B$27)/('Assumptions'!$B$44+'Assumptions'!$B$5/$B$92)</f>
        <v/>
      </c>
      <c r="E92" s="17">
        <f>'Assumptions'!$B$40*'Assumptions'!$B$27/$D$92</f>
        <v/>
      </c>
      <c r="F92" s="17">
        <f>$E$92-'Assumptions'!$B$40</f>
        <v/>
      </c>
      <c r="G92" s="11">
        <f>'Assumptions'!$B$25*('Assumptions'!$B$44+'Assumptions'!$B$5/'Assumptions'!$B$25)/('Assumptions'!$B$44+'Assumptions'!$B$5/$B$92)</f>
        <v/>
      </c>
      <c r="H92" s="17">
        <f>'Assumptions'!$B$38*'Assumptions'!$B$26/$G$92</f>
        <v/>
      </c>
      <c r="I92" s="17">
        <f>$H$92-'Assumptions'!$B$39</f>
        <v/>
      </c>
      <c r="J92" s="17">
        <f>MAX(0,'Assumptions'!$B$64*$V$91-'Assumptions'!$B$43)</f>
        <v/>
      </c>
      <c r="K92" s="17">
        <f>'Assumptions'!$B$44+$J$92+$F$92+$I$92+$T$91</f>
        <v/>
      </c>
      <c r="L92" s="11">
        <f>'Assumptions'!$B$57/$K$92</f>
        <v/>
      </c>
      <c r="M92" s="11">
        <f>$B$92*(1-'Assumptions'!$B$58)</f>
        <v/>
      </c>
      <c r="N92" s="11">
        <f>MIN($L$92,$M$92)</f>
        <v/>
      </c>
      <c r="O92" s="17">
        <f>'Assumptions'!$B$56/$N$92</f>
        <v/>
      </c>
      <c r="P92" s="17">
        <f>'Assumptions'!$B$44+$J$92+$F$92+$I$92+$O$92</f>
        <v/>
      </c>
      <c r="Q92" s="11">
        <f>'Assumptions'!$B$60/$P$92</f>
        <v/>
      </c>
      <c r="R92" s="11">
        <f>$B$92*(1-'Assumptions'!$B$61)</f>
        <v/>
      </c>
      <c r="S92" s="11">
        <f>MIN($Q$92,$R$92)</f>
        <v/>
      </c>
      <c r="T92" s="17">
        <f>'Assumptions'!$B$59/$S$92</f>
        <v/>
      </c>
      <c r="U92" s="17">
        <f>'Assumptions'!$B$44+$J$92+$F$92+$I$92+$O$92+$T$92</f>
        <v/>
      </c>
      <c r="V92" s="17">
        <f>$U$92+$C$92</f>
        <v/>
      </c>
      <c r="W92">
        <f>IF('Sensitivity'!$L$92&lt;'Sensitivity'!$M$92,"cap","discount")</f>
        <v/>
      </c>
      <c r="X92">
        <f>IF('Sensitivity'!$Q$92&lt;'Sensitivity'!$R$92,"cap","discount")</f>
        <v/>
      </c>
    </row>
    <row r="95">
      <c r="A95" s="10" t="inlineStr">
        <is>
          <t>Cell (13%, $1.2B)</t>
        </is>
      </c>
    </row>
    <row r="96">
      <c r="A96" s="13" t="inlineStr">
        <is>
          <t>Iter</t>
        </is>
      </c>
      <c r="B96" s="13" t="inlineStr">
        <is>
          <t>F_PPS</t>
        </is>
      </c>
      <c r="C96" s="13" t="inlineStr">
        <is>
          <t>F_prim_shares</t>
        </is>
      </c>
      <c r="D96" s="13" t="inlineStr">
        <is>
          <t>NCP_E</t>
        </is>
      </c>
      <c r="E96" s="13" t="inlineStr">
        <is>
          <t>new_E_shares</t>
        </is>
      </c>
      <c r="F96" s="13" t="inlineStr">
        <is>
          <t>AD_inc_E</t>
        </is>
      </c>
      <c r="G96" s="13" t="inlineStr">
        <is>
          <t>NCP_D</t>
        </is>
      </c>
      <c r="H96" s="13" t="inlineStr">
        <is>
          <t>new_D_shares</t>
        </is>
      </c>
      <c r="I96" s="13" t="inlineStr">
        <is>
          <t>AD_inc_D</t>
        </is>
      </c>
      <c r="J96" s="13" t="inlineStr">
        <is>
          <t>ESOP_topup</t>
        </is>
      </c>
      <c r="K96" s="13" t="inlineStr">
        <is>
          <t>cap_FD_A</t>
        </is>
      </c>
      <c r="L96" s="13" t="inlineStr">
        <is>
          <t>cap_pps_A</t>
        </is>
      </c>
      <c r="M96" s="13" t="inlineStr">
        <is>
          <t>disc_pps_A</t>
        </is>
      </c>
      <c r="N96" s="13" t="inlineStr">
        <is>
          <t>conv_pps_A</t>
        </is>
      </c>
      <c r="O96" s="13" t="inlineStr">
        <is>
          <t>N_A</t>
        </is>
      </c>
      <c r="P96" s="13" t="inlineStr">
        <is>
          <t>cap_FD_B</t>
        </is>
      </c>
      <c r="Q96" s="13" t="inlineStr">
        <is>
          <t>cap_pps_B</t>
        </is>
      </c>
      <c r="R96" s="13" t="inlineStr">
        <is>
          <t>disc_pps_B</t>
        </is>
      </c>
      <c r="S96" s="13" t="inlineStr">
        <is>
          <t>conv_pps_B</t>
        </is>
      </c>
      <c r="T96" s="13" t="inlineStr">
        <is>
          <t>N_B</t>
        </is>
      </c>
      <c r="U96" s="13" t="inlineStr">
        <is>
          <t>pre_money_FD</t>
        </is>
      </c>
      <c r="V96" s="13" t="inlineStr">
        <is>
          <t>T_F</t>
        </is>
      </c>
    </row>
    <row r="97">
      <c r="A97" t="n">
        <v>0</v>
      </c>
      <c r="B97" s="11">
        <f>'Assumptions'!$B$67/'Assumptions'!$B$44</f>
        <v/>
      </c>
      <c r="C97" s="17">
        <f>'Assumptions'!$B$5/$B$97</f>
        <v/>
      </c>
      <c r="D97" s="11">
        <f>'Assumptions'!$B$27*('Assumptions'!$B$44+'Assumptions'!$B$5/'Assumptions'!$B$27)/('Assumptions'!$B$44+'Assumptions'!$B$5/$B$97)</f>
        <v/>
      </c>
      <c r="E97" s="17">
        <f>'Assumptions'!$B$40*'Assumptions'!$B$27/$D$97</f>
        <v/>
      </c>
      <c r="F97" s="17">
        <f>$E$97-'Assumptions'!$B$40</f>
        <v/>
      </c>
      <c r="G97" s="11">
        <f>'Assumptions'!$B$25*('Assumptions'!$B$44+'Assumptions'!$B$5/'Assumptions'!$B$25)/('Assumptions'!$B$44+'Assumptions'!$B$5/$B$97)</f>
        <v/>
      </c>
      <c r="H97" s="17">
        <f>'Assumptions'!$B$38*'Assumptions'!$B$26/$G$97</f>
        <v/>
      </c>
      <c r="I97" s="17">
        <f>$H$97-'Assumptions'!$B$39</f>
        <v/>
      </c>
      <c r="J97" s="17">
        <f>MAX(0,'Assumptions'!$B$65*('Assumptions'!$B$44+$F$97+$I$97+$C$97)/(1-'Assumptions'!$B$65)-'Assumptions'!$B$43)</f>
        <v/>
      </c>
      <c r="K97" s="17">
        <f>'Assumptions'!$B$44+$J$97+$F$97+$I$97+0</f>
        <v/>
      </c>
      <c r="L97" s="11">
        <f>'Assumptions'!$B$57/$K$97</f>
        <v/>
      </c>
      <c r="M97" s="11">
        <f>$B$97*(1-'Assumptions'!$B$58)</f>
        <v/>
      </c>
      <c r="N97" s="11">
        <f>MIN($L$97,$M$97)</f>
        <v/>
      </c>
      <c r="O97" s="17">
        <f>'Assumptions'!$B$56/$N$97</f>
        <v/>
      </c>
      <c r="P97" s="17">
        <f>'Assumptions'!$B$44+$J$97+$F$97+$I$97+$O$97</f>
        <v/>
      </c>
      <c r="Q97" s="11">
        <f>'Assumptions'!$B$60/$P$97</f>
        <v/>
      </c>
      <c r="R97" s="11">
        <f>$B$97*(1-'Assumptions'!$B$61)</f>
        <v/>
      </c>
      <c r="S97" s="11">
        <f>MIN($Q$97,$R$97)</f>
        <v/>
      </c>
      <c r="T97" s="17">
        <f>'Assumptions'!$B$59/$S$97</f>
        <v/>
      </c>
      <c r="U97" s="17">
        <f>'Assumptions'!$B$44+$J$97+$F$97+$I$97+$O$97+$T$97</f>
        <v/>
      </c>
      <c r="V97" s="17">
        <f>$U$97+$C$97</f>
        <v/>
      </c>
    </row>
    <row r="98">
      <c r="A98" t="n">
        <v>1</v>
      </c>
      <c r="B98" s="11">
        <f>'Assumptions'!$B$67/$U$97</f>
        <v/>
      </c>
      <c r="C98" s="17">
        <f>'Assumptions'!$B$5/$B$98</f>
        <v/>
      </c>
      <c r="D98" s="11">
        <f>'Assumptions'!$B$27*('Assumptions'!$B$44+'Assumptions'!$B$5/'Assumptions'!$B$27)/('Assumptions'!$B$44+'Assumptions'!$B$5/$B$98)</f>
        <v/>
      </c>
      <c r="E98" s="17">
        <f>'Assumptions'!$B$40*'Assumptions'!$B$27/$D$98</f>
        <v/>
      </c>
      <c r="F98" s="17">
        <f>$E$98-'Assumptions'!$B$40</f>
        <v/>
      </c>
      <c r="G98" s="11">
        <f>'Assumptions'!$B$25*('Assumptions'!$B$44+'Assumptions'!$B$5/'Assumptions'!$B$25)/('Assumptions'!$B$44+'Assumptions'!$B$5/$B$98)</f>
        <v/>
      </c>
      <c r="H98" s="17">
        <f>'Assumptions'!$B$38*'Assumptions'!$B$26/$G$98</f>
        <v/>
      </c>
      <c r="I98" s="17">
        <f>$H$98-'Assumptions'!$B$39</f>
        <v/>
      </c>
      <c r="J98" s="17">
        <f>MAX(0,'Assumptions'!$B$65*$V$97-'Assumptions'!$B$43)</f>
        <v/>
      </c>
      <c r="K98" s="17">
        <f>'Assumptions'!$B$44+$J$98+$F$98+$I$98+$T$97</f>
        <v/>
      </c>
      <c r="L98" s="11">
        <f>'Assumptions'!$B$57/$K$98</f>
        <v/>
      </c>
      <c r="M98" s="11">
        <f>$B$98*(1-'Assumptions'!$B$58)</f>
        <v/>
      </c>
      <c r="N98" s="11">
        <f>MIN($L$98,$M$98)</f>
        <v/>
      </c>
      <c r="O98" s="17">
        <f>'Assumptions'!$B$56/$N$98</f>
        <v/>
      </c>
      <c r="P98" s="17">
        <f>'Assumptions'!$B$44+$J$98+$F$98+$I$98+$O$98</f>
        <v/>
      </c>
      <c r="Q98" s="11">
        <f>'Assumptions'!$B$60/$P$98</f>
        <v/>
      </c>
      <c r="R98" s="11">
        <f>$B$98*(1-'Assumptions'!$B$61)</f>
        <v/>
      </c>
      <c r="S98" s="11">
        <f>MIN($Q$98,$R$98)</f>
        <v/>
      </c>
      <c r="T98" s="17">
        <f>'Assumptions'!$B$59/$S$98</f>
        <v/>
      </c>
      <c r="U98" s="17">
        <f>'Assumptions'!$B$44+$J$98+$F$98+$I$98+$O$98+$T$98</f>
        <v/>
      </c>
      <c r="V98" s="17">
        <f>$U$98+$C$98</f>
        <v/>
      </c>
    </row>
    <row r="99">
      <c r="A99" t="n">
        <v>2</v>
      </c>
      <c r="B99" s="11">
        <f>'Assumptions'!$B$67/$U$98</f>
        <v/>
      </c>
      <c r="C99" s="17">
        <f>'Assumptions'!$B$5/$B$99</f>
        <v/>
      </c>
      <c r="D99" s="11">
        <f>'Assumptions'!$B$27*('Assumptions'!$B$44+'Assumptions'!$B$5/'Assumptions'!$B$27)/('Assumptions'!$B$44+'Assumptions'!$B$5/$B$99)</f>
        <v/>
      </c>
      <c r="E99" s="17">
        <f>'Assumptions'!$B$40*'Assumptions'!$B$27/$D$99</f>
        <v/>
      </c>
      <c r="F99" s="17">
        <f>$E$99-'Assumptions'!$B$40</f>
        <v/>
      </c>
      <c r="G99" s="11">
        <f>'Assumptions'!$B$25*('Assumptions'!$B$44+'Assumptions'!$B$5/'Assumptions'!$B$25)/('Assumptions'!$B$44+'Assumptions'!$B$5/$B$99)</f>
        <v/>
      </c>
      <c r="H99" s="17">
        <f>'Assumptions'!$B$38*'Assumptions'!$B$26/$G$99</f>
        <v/>
      </c>
      <c r="I99" s="17">
        <f>$H$99-'Assumptions'!$B$39</f>
        <v/>
      </c>
      <c r="J99" s="17">
        <f>MAX(0,'Assumptions'!$B$65*$V$98-'Assumptions'!$B$43)</f>
        <v/>
      </c>
      <c r="K99" s="17">
        <f>'Assumptions'!$B$44+$J$99+$F$99+$I$99+$T$98</f>
        <v/>
      </c>
      <c r="L99" s="11">
        <f>'Assumptions'!$B$57/$K$99</f>
        <v/>
      </c>
      <c r="M99" s="11">
        <f>$B$99*(1-'Assumptions'!$B$58)</f>
        <v/>
      </c>
      <c r="N99" s="11">
        <f>MIN($L$99,$M$99)</f>
        <v/>
      </c>
      <c r="O99" s="17">
        <f>'Assumptions'!$B$56/$N$99</f>
        <v/>
      </c>
      <c r="P99" s="17">
        <f>'Assumptions'!$B$44+$J$99+$F$99+$I$99+$O$99</f>
        <v/>
      </c>
      <c r="Q99" s="11">
        <f>'Assumptions'!$B$60/$P$99</f>
        <v/>
      </c>
      <c r="R99" s="11">
        <f>$B$99*(1-'Assumptions'!$B$61)</f>
        <v/>
      </c>
      <c r="S99" s="11">
        <f>MIN($Q$99,$R$99)</f>
        <v/>
      </c>
      <c r="T99" s="17">
        <f>'Assumptions'!$B$59/$S$99</f>
        <v/>
      </c>
      <c r="U99" s="17">
        <f>'Assumptions'!$B$44+$J$99+$F$99+$I$99+$O$99+$T$99</f>
        <v/>
      </c>
      <c r="V99" s="17">
        <f>$U$99+$C$99</f>
        <v/>
      </c>
    </row>
    <row r="100">
      <c r="A100" t="n">
        <v>3</v>
      </c>
      <c r="B100" s="11">
        <f>'Assumptions'!$B$67/$U$99</f>
        <v/>
      </c>
      <c r="C100" s="17">
        <f>'Assumptions'!$B$5/$B$100</f>
        <v/>
      </c>
      <c r="D100" s="11">
        <f>'Assumptions'!$B$27*('Assumptions'!$B$44+'Assumptions'!$B$5/'Assumptions'!$B$27)/('Assumptions'!$B$44+'Assumptions'!$B$5/$B$100)</f>
        <v/>
      </c>
      <c r="E100" s="17">
        <f>'Assumptions'!$B$40*'Assumptions'!$B$27/$D$100</f>
        <v/>
      </c>
      <c r="F100" s="17">
        <f>$E$100-'Assumptions'!$B$40</f>
        <v/>
      </c>
      <c r="G100" s="11">
        <f>'Assumptions'!$B$25*('Assumptions'!$B$44+'Assumptions'!$B$5/'Assumptions'!$B$25)/('Assumptions'!$B$44+'Assumptions'!$B$5/$B$100)</f>
        <v/>
      </c>
      <c r="H100" s="17">
        <f>'Assumptions'!$B$38*'Assumptions'!$B$26/$G$100</f>
        <v/>
      </c>
      <c r="I100" s="17">
        <f>$H$100-'Assumptions'!$B$39</f>
        <v/>
      </c>
      <c r="J100" s="17">
        <f>MAX(0,'Assumptions'!$B$65*$V$99-'Assumptions'!$B$43)</f>
        <v/>
      </c>
      <c r="K100" s="17">
        <f>'Assumptions'!$B$44+$J$100+$F$100+$I$100+$T$99</f>
        <v/>
      </c>
      <c r="L100" s="11">
        <f>'Assumptions'!$B$57/$K$100</f>
        <v/>
      </c>
      <c r="M100" s="11">
        <f>$B$100*(1-'Assumptions'!$B$58)</f>
        <v/>
      </c>
      <c r="N100" s="11">
        <f>MIN($L$100,$M$100)</f>
        <v/>
      </c>
      <c r="O100" s="17">
        <f>'Assumptions'!$B$56/$N$100</f>
        <v/>
      </c>
      <c r="P100" s="17">
        <f>'Assumptions'!$B$44+$J$100+$F$100+$I$100+$O$100</f>
        <v/>
      </c>
      <c r="Q100" s="11">
        <f>'Assumptions'!$B$60/$P$100</f>
        <v/>
      </c>
      <c r="R100" s="11">
        <f>$B$100*(1-'Assumptions'!$B$61)</f>
        <v/>
      </c>
      <c r="S100" s="11">
        <f>MIN($Q$100,$R$100)</f>
        <v/>
      </c>
      <c r="T100" s="17">
        <f>'Assumptions'!$B$59/$S$100</f>
        <v/>
      </c>
      <c r="U100" s="17">
        <f>'Assumptions'!$B$44+$J$100+$F$100+$I$100+$O$100+$T$100</f>
        <v/>
      </c>
      <c r="V100" s="17">
        <f>$U$100+$C$100</f>
        <v/>
      </c>
    </row>
    <row r="101">
      <c r="A101" t="n">
        <v>4</v>
      </c>
      <c r="B101" s="11">
        <f>'Assumptions'!$B$67/$U$100</f>
        <v/>
      </c>
      <c r="C101" s="17">
        <f>'Assumptions'!$B$5/$B$101</f>
        <v/>
      </c>
      <c r="D101" s="11">
        <f>'Assumptions'!$B$27*('Assumptions'!$B$44+'Assumptions'!$B$5/'Assumptions'!$B$27)/('Assumptions'!$B$44+'Assumptions'!$B$5/$B$101)</f>
        <v/>
      </c>
      <c r="E101" s="17">
        <f>'Assumptions'!$B$40*'Assumptions'!$B$27/$D$101</f>
        <v/>
      </c>
      <c r="F101" s="17">
        <f>$E$101-'Assumptions'!$B$40</f>
        <v/>
      </c>
      <c r="G101" s="11">
        <f>'Assumptions'!$B$25*('Assumptions'!$B$44+'Assumptions'!$B$5/'Assumptions'!$B$25)/('Assumptions'!$B$44+'Assumptions'!$B$5/$B$101)</f>
        <v/>
      </c>
      <c r="H101" s="17">
        <f>'Assumptions'!$B$38*'Assumptions'!$B$26/$G$101</f>
        <v/>
      </c>
      <c r="I101" s="17">
        <f>$H$101-'Assumptions'!$B$39</f>
        <v/>
      </c>
      <c r="J101" s="17">
        <f>MAX(0,'Assumptions'!$B$65*$V$100-'Assumptions'!$B$43)</f>
        <v/>
      </c>
      <c r="K101" s="17">
        <f>'Assumptions'!$B$44+$J$101+$F$101+$I$101+$T$100</f>
        <v/>
      </c>
      <c r="L101" s="11">
        <f>'Assumptions'!$B$57/$K$101</f>
        <v/>
      </c>
      <c r="M101" s="11">
        <f>$B$101*(1-'Assumptions'!$B$58)</f>
        <v/>
      </c>
      <c r="N101" s="11">
        <f>MIN($L$101,$M$101)</f>
        <v/>
      </c>
      <c r="O101" s="17">
        <f>'Assumptions'!$B$56/$N$101</f>
        <v/>
      </c>
      <c r="P101" s="17">
        <f>'Assumptions'!$B$44+$J$101+$F$101+$I$101+$O$101</f>
        <v/>
      </c>
      <c r="Q101" s="11">
        <f>'Assumptions'!$B$60/$P$101</f>
        <v/>
      </c>
      <c r="R101" s="11">
        <f>$B$101*(1-'Assumptions'!$B$61)</f>
        <v/>
      </c>
      <c r="S101" s="11">
        <f>MIN($Q$101,$R$101)</f>
        <v/>
      </c>
      <c r="T101" s="17">
        <f>'Assumptions'!$B$59/$S$101</f>
        <v/>
      </c>
      <c r="U101" s="17">
        <f>'Assumptions'!$B$44+$J$101+$F$101+$I$101+$O$101+$T$101</f>
        <v/>
      </c>
      <c r="V101" s="17">
        <f>$U$101+$C$101</f>
        <v/>
      </c>
    </row>
    <row r="102">
      <c r="A102" t="n">
        <v>5</v>
      </c>
      <c r="B102" s="11">
        <f>'Assumptions'!$B$67/$U$101</f>
        <v/>
      </c>
      <c r="C102" s="17">
        <f>'Assumptions'!$B$5/$B$102</f>
        <v/>
      </c>
      <c r="D102" s="11">
        <f>'Assumptions'!$B$27*('Assumptions'!$B$44+'Assumptions'!$B$5/'Assumptions'!$B$27)/('Assumptions'!$B$44+'Assumptions'!$B$5/$B$102)</f>
        <v/>
      </c>
      <c r="E102" s="17">
        <f>'Assumptions'!$B$40*'Assumptions'!$B$27/$D$102</f>
        <v/>
      </c>
      <c r="F102" s="17">
        <f>$E$102-'Assumptions'!$B$40</f>
        <v/>
      </c>
      <c r="G102" s="11">
        <f>'Assumptions'!$B$25*('Assumptions'!$B$44+'Assumptions'!$B$5/'Assumptions'!$B$25)/('Assumptions'!$B$44+'Assumptions'!$B$5/$B$102)</f>
        <v/>
      </c>
      <c r="H102" s="17">
        <f>'Assumptions'!$B$38*'Assumptions'!$B$26/$G$102</f>
        <v/>
      </c>
      <c r="I102" s="17">
        <f>$H$102-'Assumptions'!$B$39</f>
        <v/>
      </c>
      <c r="J102" s="17">
        <f>MAX(0,'Assumptions'!$B$65*$V$101-'Assumptions'!$B$43)</f>
        <v/>
      </c>
      <c r="K102" s="17">
        <f>'Assumptions'!$B$44+$J$102+$F$102+$I$102+$T$101</f>
        <v/>
      </c>
      <c r="L102" s="11">
        <f>'Assumptions'!$B$57/$K$102</f>
        <v/>
      </c>
      <c r="M102" s="11">
        <f>$B$102*(1-'Assumptions'!$B$58)</f>
        <v/>
      </c>
      <c r="N102" s="11">
        <f>MIN($L$102,$M$102)</f>
        <v/>
      </c>
      <c r="O102" s="17">
        <f>'Assumptions'!$B$56/$N$102</f>
        <v/>
      </c>
      <c r="P102" s="17">
        <f>'Assumptions'!$B$44+$J$102+$F$102+$I$102+$O$102</f>
        <v/>
      </c>
      <c r="Q102" s="11">
        <f>'Assumptions'!$B$60/$P$102</f>
        <v/>
      </c>
      <c r="R102" s="11">
        <f>$B$102*(1-'Assumptions'!$B$61)</f>
        <v/>
      </c>
      <c r="S102" s="11">
        <f>MIN($Q$102,$R$102)</f>
        <v/>
      </c>
      <c r="T102" s="17">
        <f>'Assumptions'!$B$59/$S$102</f>
        <v/>
      </c>
      <c r="U102" s="17">
        <f>'Assumptions'!$B$44+$J$102+$F$102+$I$102+$O$102+$T$102</f>
        <v/>
      </c>
      <c r="V102" s="17">
        <f>$U$102+$C$102</f>
        <v/>
      </c>
    </row>
    <row r="103">
      <c r="A103" t="n">
        <v>6</v>
      </c>
      <c r="B103" s="11">
        <f>'Assumptions'!$B$67/$U$102</f>
        <v/>
      </c>
      <c r="C103" s="17">
        <f>'Assumptions'!$B$5/$B$103</f>
        <v/>
      </c>
      <c r="D103" s="11">
        <f>'Assumptions'!$B$27*('Assumptions'!$B$44+'Assumptions'!$B$5/'Assumptions'!$B$27)/('Assumptions'!$B$44+'Assumptions'!$B$5/$B$103)</f>
        <v/>
      </c>
      <c r="E103" s="17">
        <f>'Assumptions'!$B$40*'Assumptions'!$B$27/$D$103</f>
        <v/>
      </c>
      <c r="F103" s="17">
        <f>$E$103-'Assumptions'!$B$40</f>
        <v/>
      </c>
      <c r="G103" s="11">
        <f>'Assumptions'!$B$25*('Assumptions'!$B$44+'Assumptions'!$B$5/'Assumptions'!$B$25)/('Assumptions'!$B$44+'Assumptions'!$B$5/$B$103)</f>
        <v/>
      </c>
      <c r="H103" s="17">
        <f>'Assumptions'!$B$38*'Assumptions'!$B$26/$G$103</f>
        <v/>
      </c>
      <c r="I103" s="17">
        <f>$H$103-'Assumptions'!$B$39</f>
        <v/>
      </c>
      <c r="J103" s="17">
        <f>MAX(0,'Assumptions'!$B$65*$V$102-'Assumptions'!$B$43)</f>
        <v/>
      </c>
      <c r="K103" s="17">
        <f>'Assumptions'!$B$44+$J$103+$F$103+$I$103+$T$102</f>
        <v/>
      </c>
      <c r="L103" s="11">
        <f>'Assumptions'!$B$57/$K$103</f>
        <v/>
      </c>
      <c r="M103" s="11">
        <f>$B$103*(1-'Assumptions'!$B$58)</f>
        <v/>
      </c>
      <c r="N103" s="11">
        <f>MIN($L$103,$M$103)</f>
        <v/>
      </c>
      <c r="O103" s="17">
        <f>'Assumptions'!$B$56/$N$103</f>
        <v/>
      </c>
      <c r="P103" s="17">
        <f>'Assumptions'!$B$44+$J$103+$F$103+$I$103+$O$103</f>
        <v/>
      </c>
      <c r="Q103" s="11">
        <f>'Assumptions'!$B$60/$P$103</f>
        <v/>
      </c>
      <c r="R103" s="11">
        <f>$B$103*(1-'Assumptions'!$B$61)</f>
        <v/>
      </c>
      <c r="S103" s="11">
        <f>MIN($Q$103,$R$103)</f>
        <v/>
      </c>
      <c r="T103" s="17">
        <f>'Assumptions'!$B$59/$S$103</f>
        <v/>
      </c>
      <c r="U103" s="17">
        <f>'Assumptions'!$B$44+$J$103+$F$103+$I$103+$O$103+$T$103</f>
        <v/>
      </c>
      <c r="V103" s="17">
        <f>$U$103+$C$103</f>
        <v/>
      </c>
    </row>
    <row r="104">
      <c r="A104" t="n">
        <v>7</v>
      </c>
      <c r="B104" s="11">
        <f>'Assumptions'!$B$67/$U$103</f>
        <v/>
      </c>
      <c r="C104" s="17">
        <f>'Assumptions'!$B$5/$B$104</f>
        <v/>
      </c>
      <c r="D104" s="11">
        <f>'Assumptions'!$B$27*('Assumptions'!$B$44+'Assumptions'!$B$5/'Assumptions'!$B$27)/('Assumptions'!$B$44+'Assumptions'!$B$5/$B$104)</f>
        <v/>
      </c>
      <c r="E104" s="17">
        <f>'Assumptions'!$B$40*'Assumptions'!$B$27/$D$104</f>
        <v/>
      </c>
      <c r="F104" s="17">
        <f>$E$104-'Assumptions'!$B$40</f>
        <v/>
      </c>
      <c r="G104" s="11">
        <f>'Assumptions'!$B$25*('Assumptions'!$B$44+'Assumptions'!$B$5/'Assumptions'!$B$25)/('Assumptions'!$B$44+'Assumptions'!$B$5/$B$104)</f>
        <v/>
      </c>
      <c r="H104" s="17">
        <f>'Assumptions'!$B$38*'Assumptions'!$B$26/$G$104</f>
        <v/>
      </c>
      <c r="I104" s="17">
        <f>$H$104-'Assumptions'!$B$39</f>
        <v/>
      </c>
      <c r="J104" s="17">
        <f>MAX(0,'Assumptions'!$B$65*$V$103-'Assumptions'!$B$43)</f>
        <v/>
      </c>
      <c r="K104" s="17">
        <f>'Assumptions'!$B$44+$J$104+$F$104+$I$104+$T$103</f>
        <v/>
      </c>
      <c r="L104" s="11">
        <f>'Assumptions'!$B$57/$K$104</f>
        <v/>
      </c>
      <c r="M104" s="11">
        <f>$B$104*(1-'Assumptions'!$B$58)</f>
        <v/>
      </c>
      <c r="N104" s="11">
        <f>MIN($L$104,$M$104)</f>
        <v/>
      </c>
      <c r="O104" s="17">
        <f>'Assumptions'!$B$56/$N$104</f>
        <v/>
      </c>
      <c r="P104" s="17">
        <f>'Assumptions'!$B$44+$J$104+$F$104+$I$104+$O$104</f>
        <v/>
      </c>
      <c r="Q104" s="11">
        <f>'Assumptions'!$B$60/$P$104</f>
        <v/>
      </c>
      <c r="R104" s="11">
        <f>$B$104*(1-'Assumptions'!$B$61)</f>
        <v/>
      </c>
      <c r="S104" s="11">
        <f>MIN($Q$104,$R$104)</f>
        <v/>
      </c>
      <c r="T104" s="17">
        <f>'Assumptions'!$B$59/$S$104</f>
        <v/>
      </c>
      <c r="U104" s="17">
        <f>'Assumptions'!$B$44+$J$104+$F$104+$I$104+$O$104+$T$104</f>
        <v/>
      </c>
      <c r="V104" s="17">
        <f>$U$104+$C$104</f>
        <v/>
      </c>
    </row>
    <row r="105">
      <c r="A105" t="n">
        <v>8</v>
      </c>
      <c r="B105" s="11">
        <f>'Assumptions'!$B$67/$U$104</f>
        <v/>
      </c>
      <c r="C105" s="17">
        <f>'Assumptions'!$B$5/$B$105</f>
        <v/>
      </c>
      <c r="D105" s="11">
        <f>'Assumptions'!$B$27*('Assumptions'!$B$44+'Assumptions'!$B$5/'Assumptions'!$B$27)/('Assumptions'!$B$44+'Assumptions'!$B$5/$B$105)</f>
        <v/>
      </c>
      <c r="E105" s="17">
        <f>'Assumptions'!$B$40*'Assumptions'!$B$27/$D$105</f>
        <v/>
      </c>
      <c r="F105" s="17">
        <f>$E$105-'Assumptions'!$B$40</f>
        <v/>
      </c>
      <c r="G105" s="11">
        <f>'Assumptions'!$B$25*('Assumptions'!$B$44+'Assumptions'!$B$5/'Assumptions'!$B$25)/('Assumptions'!$B$44+'Assumptions'!$B$5/$B$105)</f>
        <v/>
      </c>
      <c r="H105" s="17">
        <f>'Assumptions'!$B$38*'Assumptions'!$B$26/$G$105</f>
        <v/>
      </c>
      <c r="I105" s="17">
        <f>$H$105-'Assumptions'!$B$39</f>
        <v/>
      </c>
      <c r="J105" s="17">
        <f>MAX(0,'Assumptions'!$B$65*$V$104-'Assumptions'!$B$43)</f>
        <v/>
      </c>
      <c r="K105" s="17">
        <f>'Assumptions'!$B$44+$J$105+$F$105+$I$105+$T$104</f>
        <v/>
      </c>
      <c r="L105" s="11">
        <f>'Assumptions'!$B$57/$K$105</f>
        <v/>
      </c>
      <c r="M105" s="11">
        <f>$B$105*(1-'Assumptions'!$B$58)</f>
        <v/>
      </c>
      <c r="N105" s="11">
        <f>MIN($L$105,$M$105)</f>
        <v/>
      </c>
      <c r="O105" s="17">
        <f>'Assumptions'!$B$56/$N$105</f>
        <v/>
      </c>
      <c r="P105" s="17">
        <f>'Assumptions'!$B$44+$J$105+$F$105+$I$105+$O$105</f>
        <v/>
      </c>
      <c r="Q105" s="11">
        <f>'Assumptions'!$B$60/$P$105</f>
        <v/>
      </c>
      <c r="R105" s="11">
        <f>$B$105*(1-'Assumptions'!$B$61)</f>
        <v/>
      </c>
      <c r="S105" s="11">
        <f>MIN($Q$105,$R$105)</f>
        <v/>
      </c>
      <c r="T105" s="17">
        <f>'Assumptions'!$B$59/$S$105</f>
        <v/>
      </c>
      <c r="U105" s="17">
        <f>'Assumptions'!$B$44+$J$105+$F$105+$I$105+$O$105+$T$105</f>
        <v/>
      </c>
      <c r="V105" s="17">
        <f>$U$105+$C$105</f>
        <v/>
      </c>
    </row>
    <row r="106">
      <c r="A106" t="n">
        <v>9</v>
      </c>
      <c r="B106" s="11">
        <f>'Assumptions'!$B$67/$U$105</f>
        <v/>
      </c>
      <c r="C106" s="17">
        <f>'Assumptions'!$B$5/$B$106</f>
        <v/>
      </c>
      <c r="D106" s="11">
        <f>'Assumptions'!$B$27*('Assumptions'!$B$44+'Assumptions'!$B$5/'Assumptions'!$B$27)/('Assumptions'!$B$44+'Assumptions'!$B$5/$B$106)</f>
        <v/>
      </c>
      <c r="E106" s="17">
        <f>'Assumptions'!$B$40*'Assumptions'!$B$27/$D$106</f>
        <v/>
      </c>
      <c r="F106" s="17">
        <f>$E$106-'Assumptions'!$B$40</f>
        <v/>
      </c>
      <c r="G106" s="11">
        <f>'Assumptions'!$B$25*('Assumptions'!$B$44+'Assumptions'!$B$5/'Assumptions'!$B$25)/('Assumptions'!$B$44+'Assumptions'!$B$5/$B$106)</f>
        <v/>
      </c>
      <c r="H106" s="17">
        <f>'Assumptions'!$B$38*'Assumptions'!$B$26/$G$106</f>
        <v/>
      </c>
      <c r="I106" s="17">
        <f>$H$106-'Assumptions'!$B$39</f>
        <v/>
      </c>
      <c r="J106" s="17">
        <f>MAX(0,'Assumptions'!$B$65*$V$105-'Assumptions'!$B$43)</f>
        <v/>
      </c>
      <c r="K106" s="17">
        <f>'Assumptions'!$B$44+$J$106+$F$106+$I$106+$T$105</f>
        <v/>
      </c>
      <c r="L106" s="11">
        <f>'Assumptions'!$B$57/$K$106</f>
        <v/>
      </c>
      <c r="M106" s="11">
        <f>$B$106*(1-'Assumptions'!$B$58)</f>
        <v/>
      </c>
      <c r="N106" s="11">
        <f>MIN($L$106,$M$106)</f>
        <v/>
      </c>
      <c r="O106" s="17">
        <f>'Assumptions'!$B$56/$N$106</f>
        <v/>
      </c>
      <c r="P106" s="17">
        <f>'Assumptions'!$B$44+$J$106+$F$106+$I$106+$O$106</f>
        <v/>
      </c>
      <c r="Q106" s="11">
        <f>'Assumptions'!$B$60/$P$106</f>
        <v/>
      </c>
      <c r="R106" s="11">
        <f>$B$106*(1-'Assumptions'!$B$61)</f>
        <v/>
      </c>
      <c r="S106" s="11">
        <f>MIN($Q$106,$R$106)</f>
        <v/>
      </c>
      <c r="T106" s="17">
        <f>'Assumptions'!$B$59/$S$106</f>
        <v/>
      </c>
      <c r="U106" s="17">
        <f>'Assumptions'!$B$44+$J$106+$F$106+$I$106+$O$106+$T$106</f>
        <v/>
      </c>
      <c r="V106" s="17">
        <f>$U$106+$C$106</f>
        <v/>
      </c>
    </row>
    <row r="107">
      <c r="A107" t="n">
        <v>10</v>
      </c>
      <c r="B107" s="11">
        <f>'Assumptions'!$B$67/$U$106</f>
        <v/>
      </c>
      <c r="C107" s="17">
        <f>'Assumptions'!$B$5/$B$107</f>
        <v/>
      </c>
      <c r="D107" s="11">
        <f>'Assumptions'!$B$27*('Assumptions'!$B$44+'Assumptions'!$B$5/'Assumptions'!$B$27)/('Assumptions'!$B$44+'Assumptions'!$B$5/$B$107)</f>
        <v/>
      </c>
      <c r="E107" s="17">
        <f>'Assumptions'!$B$40*'Assumptions'!$B$27/$D$107</f>
        <v/>
      </c>
      <c r="F107" s="17">
        <f>$E$107-'Assumptions'!$B$40</f>
        <v/>
      </c>
      <c r="G107" s="11">
        <f>'Assumptions'!$B$25*('Assumptions'!$B$44+'Assumptions'!$B$5/'Assumptions'!$B$25)/('Assumptions'!$B$44+'Assumptions'!$B$5/$B$107)</f>
        <v/>
      </c>
      <c r="H107" s="17">
        <f>'Assumptions'!$B$38*'Assumptions'!$B$26/$G$107</f>
        <v/>
      </c>
      <c r="I107" s="17">
        <f>$H$107-'Assumptions'!$B$39</f>
        <v/>
      </c>
      <c r="J107" s="17">
        <f>MAX(0,'Assumptions'!$B$65*$V$106-'Assumptions'!$B$43)</f>
        <v/>
      </c>
      <c r="K107" s="17">
        <f>'Assumptions'!$B$44+$J$107+$F$107+$I$107+$T$106</f>
        <v/>
      </c>
      <c r="L107" s="11">
        <f>'Assumptions'!$B$57/$K$107</f>
        <v/>
      </c>
      <c r="M107" s="11">
        <f>$B$107*(1-'Assumptions'!$B$58)</f>
        <v/>
      </c>
      <c r="N107" s="11">
        <f>MIN($L$107,$M$107)</f>
        <v/>
      </c>
      <c r="O107" s="17">
        <f>'Assumptions'!$B$56/$N$107</f>
        <v/>
      </c>
      <c r="P107" s="17">
        <f>'Assumptions'!$B$44+$J$107+$F$107+$I$107+$O$107</f>
        <v/>
      </c>
      <c r="Q107" s="11">
        <f>'Assumptions'!$B$60/$P$107</f>
        <v/>
      </c>
      <c r="R107" s="11">
        <f>$B$107*(1-'Assumptions'!$B$61)</f>
        <v/>
      </c>
      <c r="S107" s="11">
        <f>MIN($Q$107,$R$107)</f>
        <v/>
      </c>
      <c r="T107" s="17">
        <f>'Assumptions'!$B$59/$S$107</f>
        <v/>
      </c>
      <c r="U107" s="17">
        <f>'Assumptions'!$B$44+$J$107+$F$107+$I$107+$O$107+$T$107</f>
        <v/>
      </c>
      <c r="V107" s="17">
        <f>$U$107+$C$107</f>
        <v/>
      </c>
    </row>
    <row r="108">
      <c r="A108" t="n">
        <v>11</v>
      </c>
      <c r="B108" s="11">
        <f>'Assumptions'!$B$67/$U$107</f>
        <v/>
      </c>
      <c r="C108" s="17">
        <f>'Assumptions'!$B$5/$B$108</f>
        <v/>
      </c>
      <c r="D108" s="11">
        <f>'Assumptions'!$B$27*('Assumptions'!$B$44+'Assumptions'!$B$5/'Assumptions'!$B$27)/('Assumptions'!$B$44+'Assumptions'!$B$5/$B$108)</f>
        <v/>
      </c>
      <c r="E108" s="17">
        <f>'Assumptions'!$B$40*'Assumptions'!$B$27/$D$108</f>
        <v/>
      </c>
      <c r="F108" s="17">
        <f>$E$108-'Assumptions'!$B$40</f>
        <v/>
      </c>
      <c r="G108" s="11">
        <f>'Assumptions'!$B$25*('Assumptions'!$B$44+'Assumptions'!$B$5/'Assumptions'!$B$25)/('Assumptions'!$B$44+'Assumptions'!$B$5/$B$108)</f>
        <v/>
      </c>
      <c r="H108" s="17">
        <f>'Assumptions'!$B$38*'Assumptions'!$B$26/$G$108</f>
        <v/>
      </c>
      <c r="I108" s="17">
        <f>$H$108-'Assumptions'!$B$39</f>
        <v/>
      </c>
      <c r="J108" s="17">
        <f>MAX(0,'Assumptions'!$B$65*$V$107-'Assumptions'!$B$43)</f>
        <v/>
      </c>
      <c r="K108" s="17">
        <f>'Assumptions'!$B$44+$J$108+$F$108+$I$108+$T$107</f>
        <v/>
      </c>
      <c r="L108" s="11">
        <f>'Assumptions'!$B$57/$K$108</f>
        <v/>
      </c>
      <c r="M108" s="11">
        <f>$B$108*(1-'Assumptions'!$B$58)</f>
        <v/>
      </c>
      <c r="N108" s="11">
        <f>MIN($L$108,$M$108)</f>
        <v/>
      </c>
      <c r="O108" s="17">
        <f>'Assumptions'!$B$56/$N$108</f>
        <v/>
      </c>
      <c r="P108" s="17">
        <f>'Assumptions'!$B$44+$J$108+$F$108+$I$108+$O$108</f>
        <v/>
      </c>
      <c r="Q108" s="11">
        <f>'Assumptions'!$B$60/$P$108</f>
        <v/>
      </c>
      <c r="R108" s="11">
        <f>$B$108*(1-'Assumptions'!$B$61)</f>
        <v/>
      </c>
      <c r="S108" s="11">
        <f>MIN($Q$108,$R$108)</f>
        <v/>
      </c>
      <c r="T108" s="17">
        <f>'Assumptions'!$B$59/$S$108</f>
        <v/>
      </c>
      <c r="U108" s="17">
        <f>'Assumptions'!$B$44+$J$108+$F$108+$I$108+$O$108+$T$108</f>
        <v/>
      </c>
      <c r="V108" s="17">
        <f>$U$108+$C$108</f>
        <v/>
      </c>
    </row>
    <row r="109">
      <c r="A109" t="n">
        <v>12</v>
      </c>
      <c r="B109" s="11">
        <f>'Assumptions'!$B$67/$U$108</f>
        <v/>
      </c>
      <c r="C109" s="17">
        <f>'Assumptions'!$B$5/$B$109</f>
        <v/>
      </c>
      <c r="D109" s="11">
        <f>'Assumptions'!$B$27*('Assumptions'!$B$44+'Assumptions'!$B$5/'Assumptions'!$B$27)/('Assumptions'!$B$44+'Assumptions'!$B$5/$B$109)</f>
        <v/>
      </c>
      <c r="E109" s="17">
        <f>'Assumptions'!$B$40*'Assumptions'!$B$27/$D$109</f>
        <v/>
      </c>
      <c r="F109" s="17">
        <f>$E$109-'Assumptions'!$B$40</f>
        <v/>
      </c>
      <c r="G109" s="11">
        <f>'Assumptions'!$B$25*('Assumptions'!$B$44+'Assumptions'!$B$5/'Assumptions'!$B$25)/('Assumptions'!$B$44+'Assumptions'!$B$5/$B$109)</f>
        <v/>
      </c>
      <c r="H109" s="17">
        <f>'Assumptions'!$B$38*'Assumptions'!$B$26/$G$109</f>
        <v/>
      </c>
      <c r="I109" s="17">
        <f>$H$109-'Assumptions'!$B$39</f>
        <v/>
      </c>
      <c r="J109" s="17">
        <f>MAX(0,'Assumptions'!$B$65*$V$108-'Assumptions'!$B$43)</f>
        <v/>
      </c>
      <c r="K109" s="17">
        <f>'Assumptions'!$B$44+$J$109+$F$109+$I$109+$T$108</f>
        <v/>
      </c>
      <c r="L109" s="11">
        <f>'Assumptions'!$B$57/$K$109</f>
        <v/>
      </c>
      <c r="M109" s="11">
        <f>$B$109*(1-'Assumptions'!$B$58)</f>
        <v/>
      </c>
      <c r="N109" s="11">
        <f>MIN($L$109,$M$109)</f>
        <v/>
      </c>
      <c r="O109" s="17">
        <f>'Assumptions'!$B$56/$N$109</f>
        <v/>
      </c>
      <c r="P109" s="17">
        <f>'Assumptions'!$B$44+$J$109+$F$109+$I$109+$O$109</f>
        <v/>
      </c>
      <c r="Q109" s="11">
        <f>'Assumptions'!$B$60/$P$109</f>
        <v/>
      </c>
      <c r="R109" s="11">
        <f>$B$109*(1-'Assumptions'!$B$61)</f>
        <v/>
      </c>
      <c r="S109" s="11">
        <f>MIN($Q$109,$R$109)</f>
        <v/>
      </c>
      <c r="T109" s="17">
        <f>'Assumptions'!$B$59/$S$109</f>
        <v/>
      </c>
      <c r="U109" s="17">
        <f>'Assumptions'!$B$44+$J$109+$F$109+$I$109+$O$109+$T$109</f>
        <v/>
      </c>
      <c r="V109" s="17">
        <f>$U$109+$C$109</f>
        <v/>
      </c>
    </row>
    <row r="110">
      <c r="A110" t="n">
        <v>13</v>
      </c>
      <c r="B110" s="11">
        <f>'Assumptions'!$B$67/$U$109</f>
        <v/>
      </c>
      <c r="C110" s="17">
        <f>'Assumptions'!$B$5/$B$110</f>
        <v/>
      </c>
      <c r="D110" s="11">
        <f>'Assumptions'!$B$27*('Assumptions'!$B$44+'Assumptions'!$B$5/'Assumptions'!$B$27)/('Assumptions'!$B$44+'Assumptions'!$B$5/$B$110)</f>
        <v/>
      </c>
      <c r="E110" s="17">
        <f>'Assumptions'!$B$40*'Assumptions'!$B$27/$D$110</f>
        <v/>
      </c>
      <c r="F110" s="17">
        <f>$E$110-'Assumptions'!$B$40</f>
        <v/>
      </c>
      <c r="G110" s="11">
        <f>'Assumptions'!$B$25*('Assumptions'!$B$44+'Assumptions'!$B$5/'Assumptions'!$B$25)/('Assumptions'!$B$44+'Assumptions'!$B$5/$B$110)</f>
        <v/>
      </c>
      <c r="H110" s="17">
        <f>'Assumptions'!$B$38*'Assumptions'!$B$26/$G$110</f>
        <v/>
      </c>
      <c r="I110" s="17">
        <f>$H$110-'Assumptions'!$B$39</f>
        <v/>
      </c>
      <c r="J110" s="17">
        <f>MAX(0,'Assumptions'!$B$65*$V$109-'Assumptions'!$B$43)</f>
        <v/>
      </c>
      <c r="K110" s="17">
        <f>'Assumptions'!$B$44+$J$110+$F$110+$I$110+$T$109</f>
        <v/>
      </c>
      <c r="L110" s="11">
        <f>'Assumptions'!$B$57/$K$110</f>
        <v/>
      </c>
      <c r="M110" s="11">
        <f>$B$110*(1-'Assumptions'!$B$58)</f>
        <v/>
      </c>
      <c r="N110" s="11">
        <f>MIN($L$110,$M$110)</f>
        <v/>
      </c>
      <c r="O110" s="17">
        <f>'Assumptions'!$B$56/$N$110</f>
        <v/>
      </c>
      <c r="P110" s="17">
        <f>'Assumptions'!$B$44+$J$110+$F$110+$I$110+$O$110</f>
        <v/>
      </c>
      <c r="Q110" s="11">
        <f>'Assumptions'!$B$60/$P$110</f>
        <v/>
      </c>
      <c r="R110" s="11">
        <f>$B$110*(1-'Assumptions'!$B$61)</f>
        <v/>
      </c>
      <c r="S110" s="11">
        <f>MIN($Q$110,$R$110)</f>
        <v/>
      </c>
      <c r="T110" s="17">
        <f>'Assumptions'!$B$59/$S$110</f>
        <v/>
      </c>
      <c r="U110" s="17">
        <f>'Assumptions'!$B$44+$J$110+$F$110+$I$110+$O$110+$T$110</f>
        <v/>
      </c>
      <c r="V110" s="17">
        <f>$U$110+$C$110</f>
        <v/>
      </c>
    </row>
    <row r="111">
      <c r="A111" t="n">
        <v>14</v>
      </c>
      <c r="B111" s="11">
        <f>'Assumptions'!$B$67/$U$110</f>
        <v/>
      </c>
      <c r="C111" s="17">
        <f>'Assumptions'!$B$5/$B$111</f>
        <v/>
      </c>
      <c r="D111" s="11">
        <f>'Assumptions'!$B$27*('Assumptions'!$B$44+'Assumptions'!$B$5/'Assumptions'!$B$27)/('Assumptions'!$B$44+'Assumptions'!$B$5/$B$111)</f>
        <v/>
      </c>
      <c r="E111" s="17">
        <f>'Assumptions'!$B$40*'Assumptions'!$B$27/$D$111</f>
        <v/>
      </c>
      <c r="F111" s="17">
        <f>$E$111-'Assumptions'!$B$40</f>
        <v/>
      </c>
      <c r="G111" s="11">
        <f>'Assumptions'!$B$25*('Assumptions'!$B$44+'Assumptions'!$B$5/'Assumptions'!$B$25)/('Assumptions'!$B$44+'Assumptions'!$B$5/$B$111)</f>
        <v/>
      </c>
      <c r="H111" s="17">
        <f>'Assumptions'!$B$38*'Assumptions'!$B$26/$G$111</f>
        <v/>
      </c>
      <c r="I111" s="17">
        <f>$H$111-'Assumptions'!$B$39</f>
        <v/>
      </c>
      <c r="J111" s="17">
        <f>MAX(0,'Assumptions'!$B$65*$V$110-'Assumptions'!$B$43)</f>
        <v/>
      </c>
      <c r="K111" s="17">
        <f>'Assumptions'!$B$44+$J$111+$F$111+$I$111+$T$110</f>
        <v/>
      </c>
      <c r="L111" s="11">
        <f>'Assumptions'!$B$57/$K$111</f>
        <v/>
      </c>
      <c r="M111" s="11">
        <f>$B$111*(1-'Assumptions'!$B$58)</f>
        <v/>
      </c>
      <c r="N111" s="11">
        <f>MIN($L$111,$M$111)</f>
        <v/>
      </c>
      <c r="O111" s="17">
        <f>'Assumptions'!$B$56/$N$111</f>
        <v/>
      </c>
      <c r="P111" s="17">
        <f>'Assumptions'!$B$44+$J$111+$F$111+$I$111+$O$111</f>
        <v/>
      </c>
      <c r="Q111" s="11">
        <f>'Assumptions'!$B$60/$P$111</f>
        <v/>
      </c>
      <c r="R111" s="11">
        <f>$B$111*(1-'Assumptions'!$B$61)</f>
        <v/>
      </c>
      <c r="S111" s="11">
        <f>MIN($Q$111,$R$111)</f>
        <v/>
      </c>
      <c r="T111" s="17">
        <f>'Assumptions'!$B$59/$S$111</f>
        <v/>
      </c>
      <c r="U111" s="17">
        <f>'Assumptions'!$B$44+$J$111+$F$111+$I$111+$O$111+$T$111</f>
        <v/>
      </c>
      <c r="V111" s="17">
        <f>$U$111+$C$111</f>
        <v/>
      </c>
    </row>
    <row r="112">
      <c r="A112" t="n">
        <v>15</v>
      </c>
      <c r="B112" s="11">
        <f>'Assumptions'!$B$67/$U$111</f>
        <v/>
      </c>
      <c r="C112" s="17">
        <f>'Assumptions'!$B$5/$B$112</f>
        <v/>
      </c>
      <c r="D112" s="11">
        <f>'Assumptions'!$B$27*('Assumptions'!$B$44+'Assumptions'!$B$5/'Assumptions'!$B$27)/('Assumptions'!$B$44+'Assumptions'!$B$5/$B$112)</f>
        <v/>
      </c>
      <c r="E112" s="17">
        <f>'Assumptions'!$B$40*'Assumptions'!$B$27/$D$112</f>
        <v/>
      </c>
      <c r="F112" s="17">
        <f>$E$112-'Assumptions'!$B$40</f>
        <v/>
      </c>
      <c r="G112" s="11">
        <f>'Assumptions'!$B$25*('Assumptions'!$B$44+'Assumptions'!$B$5/'Assumptions'!$B$25)/('Assumptions'!$B$44+'Assumptions'!$B$5/$B$112)</f>
        <v/>
      </c>
      <c r="H112" s="17">
        <f>'Assumptions'!$B$38*'Assumptions'!$B$26/$G$112</f>
        <v/>
      </c>
      <c r="I112" s="17">
        <f>$H$112-'Assumptions'!$B$39</f>
        <v/>
      </c>
      <c r="J112" s="17">
        <f>MAX(0,'Assumptions'!$B$65*$V$111-'Assumptions'!$B$43)</f>
        <v/>
      </c>
      <c r="K112" s="17">
        <f>'Assumptions'!$B$44+$J$112+$F$112+$I$112+$T$111</f>
        <v/>
      </c>
      <c r="L112" s="11">
        <f>'Assumptions'!$B$57/$K$112</f>
        <v/>
      </c>
      <c r="M112" s="11">
        <f>$B$112*(1-'Assumptions'!$B$58)</f>
        <v/>
      </c>
      <c r="N112" s="11">
        <f>MIN($L$112,$M$112)</f>
        <v/>
      </c>
      <c r="O112" s="17">
        <f>'Assumptions'!$B$56/$N$112</f>
        <v/>
      </c>
      <c r="P112" s="17">
        <f>'Assumptions'!$B$44+$J$112+$F$112+$I$112+$O$112</f>
        <v/>
      </c>
      <c r="Q112" s="11">
        <f>'Assumptions'!$B$60/$P$112</f>
        <v/>
      </c>
      <c r="R112" s="11">
        <f>$B$112*(1-'Assumptions'!$B$61)</f>
        <v/>
      </c>
      <c r="S112" s="11">
        <f>MIN($Q$112,$R$112)</f>
        <v/>
      </c>
      <c r="T112" s="17">
        <f>'Assumptions'!$B$59/$S$112</f>
        <v/>
      </c>
      <c r="U112" s="17">
        <f>'Assumptions'!$B$44+$J$112+$F$112+$I$112+$O$112+$T$112</f>
        <v/>
      </c>
      <c r="V112" s="17">
        <f>$U$112+$C$112</f>
        <v/>
      </c>
      <c r="W112">
        <f>IF('Sensitivity'!$L$112&lt;'Sensitivity'!$M$112,"cap","discount")</f>
        <v/>
      </c>
      <c r="X112">
        <f>IF('Sensitivity'!$Q$112&lt;'Sensitivity'!$R$112,"cap","discount")</f>
        <v/>
      </c>
    </row>
    <row r="115">
      <c r="A115" s="10" t="inlineStr">
        <is>
          <t>Cell (13%, $1.4B)</t>
        </is>
      </c>
    </row>
    <row r="116">
      <c r="A116" s="13" t="inlineStr">
        <is>
          <t>Iter</t>
        </is>
      </c>
      <c r="B116" s="13" t="inlineStr">
        <is>
          <t>F_PPS</t>
        </is>
      </c>
      <c r="C116" s="13" t="inlineStr">
        <is>
          <t>F_prim_shares</t>
        </is>
      </c>
      <c r="D116" s="13" t="inlineStr">
        <is>
          <t>NCP_E</t>
        </is>
      </c>
      <c r="E116" s="13" t="inlineStr">
        <is>
          <t>new_E_shares</t>
        </is>
      </c>
      <c r="F116" s="13" t="inlineStr">
        <is>
          <t>AD_inc_E</t>
        </is>
      </c>
      <c r="G116" s="13" t="inlineStr">
        <is>
          <t>NCP_D</t>
        </is>
      </c>
      <c r="H116" s="13" t="inlineStr">
        <is>
          <t>new_D_shares</t>
        </is>
      </c>
      <c r="I116" s="13" t="inlineStr">
        <is>
          <t>AD_inc_D</t>
        </is>
      </c>
      <c r="J116" s="13" t="inlineStr">
        <is>
          <t>ESOP_topup</t>
        </is>
      </c>
      <c r="K116" s="13" t="inlineStr">
        <is>
          <t>cap_FD_A</t>
        </is>
      </c>
      <c r="L116" s="13" t="inlineStr">
        <is>
          <t>cap_pps_A</t>
        </is>
      </c>
      <c r="M116" s="13" t="inlineStr">
        <is>
          <t>disc_pps_A</t>
        </is>
      </c>
      <c r="N116" s="13" t="inlineStr">
        <is>
          <t>conv_pps_A</t>
        </is>
      </c>
      <c r="O116" s="13" t="inlineStr">
        <is>
          <t>N_A</t>
        </is>
      </c>
      <c r="P116" s="13" t="inlineStr">
        <is>
          <t>cap_FD_B</t>
        </is>
      </c>
      <c r="Q116" s="13" t="inlineStr">
        <is>
          <t>cap_pps_B</t>
        </is>
      </c>
      <c r="R116" s="13" t="inlineStr">
        <is>
          <t>disc_pps_B</t>
        </is>
      </c>
      <c r="S116" s="13" t="inlineStr">
        <is>
          <t>conv_pps_B</t>
        </is>
      </c>
      <c r="T116" s="13" t="inlineStr">
        <is>
          <t>N_B</t>
        </is>
      </c>
      <c r="U116" s="13" t="inlineStr">
        <is>
          <t>pre_money_FD</t>
        </is>
      </c>
      <c r="V116" s="13" t="inlineStr">
        <is>
          <t>T_F</t>
        </is>
      </c>
    </row>
    <row r="117">
      <c r="A117" t="n">
        <v>0</v>
      </c>
      <c r="B117" s="11">
        <f>'Assumptions'!$B$68/'Assumptions'!$B$44</f>
        <v/>
      </c>
      <c r="C117" s="17">
        <f>'Assumptions'!$B$5/$B$117</f>
        <v/>
      </c>
      <c r="D117" s="11">
        <f>'Assumptions'!$B$27*('Assumptions'!$B$44+'Assumptions'!$B$5/'Assumptions'!$B$27)/('Assumptions'!$B$44+'Assumptions'!$B$5/$B$117)</f>
        <v/>
      </c>
      <c r="E117" s="17">
        <f>'Assumptions'!$B$40*'Assumptions'!$B$27/$D$117</f>
        <v/>
      </c>
      <c r="F117" s="17">
        <f>$E$117-'Assumptions'!$B$40</f>
        <v/>
      </c>
      <c r="G117" s="11">
        <f>'Assumptions'!$B$25*('Assumptions'!$B$44+'Assumptions'!$B$5/'Assumptions'!$B$25)/('Assumptions'!$B$44+'Assumptions'!$B$5/$B$117)</f>
        <v/>
      </c>
      <c r="H117" s="17">
        <f>'Assumptions'!$B$38*'Assumptions'!$B$26/$G$117</f>
        <v/>
      </c>
      <c r="I117" s="17">
        <f>$H$117-'Assumptions'!$B$39</f>
        <v/>
      </c>
      <c r="J117" s="17">
        <f>MAX(0,'Assumptions'!$B$65*('Assumptions'!$B$44+$F$117+$I$117+$C$117)/(1-'Assumptions'!$B$65)-'Assumptions'!$B$43)</f>
        <v/>
      </c>
      <c r="K117" s="17">
        <f>'Assumptions'!$B$44+$J$117+$F$117+$I$117+0</f>
        <v/>
      </c>
      <c r="L117" s="11">
        <f>'Assumptions'!$B$57/$K$117</f>
        <v/>
      </c>
      <c r="M117" s="11">
        <f>$B$117*(1-'Assumptions'!$B$58)</f>
        <v/>
      </c>
      <c r="N117" s="11">
        <f>MIN($L$117,$M$117)</f>
        <v/>
      </c>
      <c r="O117" s="17">
        <f>'Assumptions'!$B$56/$N$117</f>
        <v/>
      </c>
      <c r="P117" s="17">
        <f>'Assumptions'!$B$44+$J$117+$F$117+$I$117+$O$117</f>
        <v/>
      </c>
      <c r="Q117" s="11">
        <f>'Assumptions'!$B$60/$P$117</f>
        <v/>
      </c>
      <c r="R117" s="11">
        <f>$B$117*(1-'Assumptions'!$B$61)</f>
        <v/>
      </c>
      <c r="S117" s="11">
        <f>MIN($Q$117,$R$117)</f>
        <v/>
      </c>
      <c r="T117" s="17">
        <f>'Assumptions'!$B$59/$S$117</f>
        <v/>
      </c>
      <c r="U117" s="17">
        <f>'Assumptions'!$B$44+$J$117+$F$117+$I$117+$O$117+$T$117</f>
        <v/>
      </c>
      <c r="V117" s="17">
        <f>$U$117+$C$117</f>
        <v/>
      </c>
    </row>
    <row r="118">
      <c r="A118" t="n">
        <v>1</v>
      </c>
      <c r="B118" s="11">
        <f>'Assumptions'!$B$68/$U$117</f>
        <v/>
      </c>
      <c r="C118" s="17">
        <f>'Assumptions'!$B$5/$B$118</f>
        <v/>
      </c>
      <c r="D118" s="11">
        <f>'Assumptions'!$B$27*('Assumptions'!$B$44+'Assumptions'!$B$5/'Assumptions'!$B$27)/('Assumptions'!$B$44+'Assumptions'!$B$5/$B$118)</f>
        <v/>
      </c>
      <c r="E118" s="17">
        <f>'Assumptions'!$B$40*'Assumptions'!$B$27/$D$118</f>
        <v/>
      </c>
      <c r="F118" s="17">
        <f>$E$118-'Assumptions'!$B$40</f>
        <v/>
      </c>
      <c r="G118" s="11">
        <f>'Assumptions'!$B$25*('Assumptions'!$B$44+'Assumptions'!$B$5/'Assumptions'!$B$25)/('Assumptions'!$B$44+'Assumptions'!$B$5/$B$118)</f>
        <v/>
      </c>
      <c r="H118" s="17">
        <f>'Assumptions'!$B$38*'Assumptions'!$B$26/$G$118</f>
        <v/>
      </c>
      <c r="I118" s="17">
        <f>$H$118-'Assumptions'!$B$39</f>
        <v/>
      </c>
      <c r="J118" s="17">
        <f>MAX(0,'Assumptions'!$B$65*$V$117-'Assumptions'!$B$43)</f>
        <v/>
      </c>
      <c r="K118" s="17">
        <f>'Assumptions'!$B$44+$J$118+$F$118+$I$118+$T$117</f>
        <v/>
      </c>
      <c r="L118" s="11">
        <f>'Assumptions'!$B$57/$K$118</f>
        <v/>
      </c>
      <c r="M118" s="11">
        <f>$B$118*(1-'Assumptions'!$B$58)</f>
        <v/>
      </c>
      <c r="N118" s="11">
        <f>MIN($L$118,$M$118)</f>
        <v/>
      </c>
      <c r="O118" s="17">
        <f>'Assumptions'!$B$56/$N$118</f>
        <v/>
      </c>
      <c r="P118" s="17">
        <f>'Assumptions'!$B$44+$J$118+$F$118+$I$118+$O$118</f>
        <v/>
      </c>
      <c r="Q118" s="11">
        <f>'Assumptions'!$B$60/$P$118</f>
        <v/>
      </c>
      <c r="R118" s="11">
        <f>$B$118*(1-'Assumptions'!$B$61)</f>
        <v/>
      </c>
      <c r="S118" s="11">
        <f>MIN($Q$118,$R$118)</f>
        <v/>
      </c>
      <c r="T118" s="17">
        <f>'Assumptions'!$B$59/$S$118</f>
        <v/>
      </c>
      <c r="U118" s="17">
        <f>'Assumptions'!$B$44+$J$118+$F$118+$I$118+$O$118+$T$118</f>
        <v/>
      </c>
      <c r="V118" s="17">
        <f>$U$118+$C$118</f>
        <v/>
      </c>
    </row>
    <row r="119">
      <c r="A119" t="n">
        <v>2</v>
      </c>
      <c r="B119" s="11">
        <f>'Assumptions'!$B$68/$U$118</f>
        <v/>
      </c>
      <c r="C119" s="17">
        <f>'Assumptions'!$B$5/$B$119</f>
        <v/>
      </c>
      <c r="D119" s="11">
        <f>'Assumptions'!$B$27*('Assumptions'!$B$44+'Assumptions'!$B$5/'Assumptions'!$B$27)/('Assumptions'!$B$44+'Assumptions'!$B$5/$B$119)</f>
        <v/>
      </c>
      <c r="E119" s="17">
        <f>'Assumptions'!$B$40*'Assumptions'!$B$27/$D$119</f>
        <v/>
      </c>
      <c r="F119" s="17">
        <f>$E$119-'Assumptions'!$B$40</f>
        <v/>
      </c>
      <c r="G119" s="11">
        <f>'Assumptions'!$B$25*('Assumptions'!$B$44+'Assumptions'!$B$5/'Assumptions'!$B$25)/('Assumptions'!$B$44+'Assumptions'!$B$5/$B$119)</f>
        <v/>
      </c>
      <c r="H119" s="17">
        <f>'Assumptions'!$B$38*'Assumptions'!$B$26/$G$119</f>
        <v/>
      </c>
      <c r="I119" s="17">
        <f>$H$119-'Assumptions'!$B$39</f>
        <v/>
      </c>
      <c r="J119" s="17">
        <f>MAX(0,'Assumptions'!$B$65*$V$118-'Assumptions'!$B$43)</f>
        <v/>
      </c>
      <c r="K119" s="17">
        <f>'Assumptions'!$B$44+$J$119+$F$119+$I$119+$T$118</f>
        <v/>
      </c>
      <c r="L119" s="11">
        <f>'Assumptions'!$B$57/$K$119</f>
        <v/>
      </c>
      <c r="M119" s="11">
        <f>$B$119*(1-'Assumptions'!$B$58)</f>
        <v/>
      </c>
      <c r="N119" s="11">
        <f>MIN($L$119,$M$119)</f>
        <v/>
      </c>
      <c r="O119" s="17">
        <f>'Assumptions'!$B$56/$N$119</f>
        <v/>
      </c>
      <c r="P119" s="17">
        <f>'Assumptions'!$B$44+$J$119+$F$119+$I$119+$O$119</f>
        <v/>
      </c>
      <c r="Q119" s="11">
        <f>'Assumptions'!$B$60/$P$119</f>
        <v/>
      </c>
      <c r="R119" s="11">
        <f>$B$119*(1-'Assumptions'!$B$61)</f>
        <v/>
      </c>
      <c r="S119" s="11">
        <f>MIN($Q$119,$R$119)</f>
        <v/>
      </c>
      <c r="T119" s="17">
        <f>'Assumptions'!$B$59/$S$119</f>
        <v/>
      </c>
      <c r="U119" s="17">
        <f>'Assumptions'!$B$44+$J$119+$F$119+$I$119+$O$119+$T$119</f>
        <v/>
      </c>
      <c r="V119" s="17">
        <f>$U$119+$C$119</f>
        <v/>
      </c>
    </row>
    <row r="120">
      <c r="A120" t="n">
        <v>3</v>
      </c>
      <c r="B120" s="11">
        <f>'Assumptions'!$B$68/$U$119</f>
        <v/>
      </c>
      <c r="C120" s="17">
        <f>'Assumptions'!$B$5/$B$120</f>
        <v/>
      </c>
      <c r="D120" s="11">
        <f>'Assumptions'!$B$27*('Assumptions'!$B$44+'Assumptions'!$B$5/'Assumptions'!$B$27)/('Assumptions'!$B$44+'Assumptions'!$B$5/$B$120)</f>
        <v/>
      </c>
      <c r="E120" s="17">
        <f>'Assumptions'!$B$40*'Assumptions'!$B$27/$D$120</f>
        <v/>
      </c>
      <c r="F120" s="17">
        <f>$E$120-'Assumptions'!$B$40</f>
        <v/>
      </c>
      <c r="G120" s="11">
        <f>'Assumptions'!$B$25*('Assumptions'!$B$44+'Assumptions'!$B$5/'Assumptions'!$B$25)/('Assumptions'!$B$44+'Assumptions'!$B$5/$B$120)</f>
        <v/>
      </c>
      <c r="H120" s="17">
        <f>'Assumptions'!$B$38*'Assumptions'!$B$26/$G$120</f>
        <v/>
      </c>
      <c r="I120" s="17">
        <f>$H$120-'Assumptions'!$B$39</f>
        <v/>
      </c>
      <c r="J120" s="17">
        <f>MAX(0,'Assumptions'!$B$65*$V$119-'Assumptions'!$B$43)</f>
        <v/>
      </c>
      <c r="K120" s="17">
        <f>'Assumptions'!$B$44+$J$120+$F$120+$I$120+$T$119</f>
        <v/>
      </c>
      <c r="L120" s="11">
        <f>'Assumptions'!$B$57/$K$120</f>
        <v/>
      </c>
      <c r="M120" s="11">
        <f>$B$120*(1-'Assumptions'!$B$58)</f>
        <v/>
      </c>
      <c r="N120" s="11">
        <f>MIN($L$120,$M$120)</f>
        <v/>
      </c>
      <c r="O120" s="17">
        <f>'Assumptions'!$B$56/$N$120</f>
        <v/>
      </c>
      <c r="P120" s="17">
        <f>'Assumptions'!$B$44+$J$120+$F$120+$I$120+$O$120</f>
        <v/>
      </c>
      <c r="Q120" s="11">
        <f>'Assumptions'!$B$60/$P$120</f>
        <v/>
      </c>
      <c r="R120" s="11">
        <f>$B$120*(1-'Assumptions'!$B$61)</f>
        <v/>
      </c>
      <c r="S120" s="11">
        <f>MIN($Q$120,$R$120)</f>
        <v/>
      </c>
      <c r="T120" s="17">
        <f>'Assumptions'!$B$59/$S$120</f>
        <v/>
      </c>
      <c r="U120" s="17">
        <f>'Assumptions'!$B$44+$J$120+$F$120+$I$120+$O$120+$T$120</f>
        <v/>
      </c>
      <c r="V120" s="17">
        <f>$U$120+$C$120</f>
        <v/>
      </c>
    </row>
    <row r="121">
      <c r="A121" t="n">
        <v>4</v>
      </c>
      <c r="B121" s="11">
        <f>'Assumptions'!$B$68/$U$120</f>
        <v/>
      </c>
      <c r="C121" s="17">
        <f>'Assumptions'!$B$5/$B$121</f>
        <v/>
      </c>
      <c r="D121" s="11">
        <f>'Assumptions'!$B$27*('Assumptions'!$B$44+'Assumptions'!$B$5/'Assumptions'!$B$27)/('Assumptions'!$B$44+'Assumptions'!$B$5/$B$121)</f>
        <v/>
      </c>
      <c r="E121" s="17">
        <f>'Assumptions'!$B$40*'Assumptions'!$B$27/$D$121</f>
        <v/>
      </c>
      <c r="F121" s="17">
        <f>$E$121-'Assumptions'!$B$40</f>
        <v/>
      </c>
      <c r="G121" s="11">
        <f>'Assumptions'!$B$25*('Assumptions'!$B$44+'Assumptions'!$B$5/'Assumptions'!$B$25)/('Assumptions'!$B$44+'Assumptions'!$B$5/$B$121)</f>
        <v/>
      </c>
      <c r="H121" s="17">
        <f>'Assumptions'!$B$38*'Assumptions'!$B$26/$G$121</f>
        <v/>
      </c>
      <c r="I121" s="17">
        <f>$H$121-'Assumptions'!$B$39</f>
        <v/>
      </c>
      <c r="J121" s="17">
        <f>MAX(0,'Assumptions'!$B$65*$V$120-'Assumptions'!$B$43)</f>
        <v/>
      </c>
      <c r="K121" s="17">
        <f>'Assumptions'!$B$44+$J$121+$F$121+$I$121+$T$120</f>
        <v/>
      </c>
      <c r="L121" s="11">
        <f>'Assumptions'!$B$57/$K$121</f>
        <v/>
      </c>
      <c r="M121" s="11">
        <f>$B$121*(1-'Assumptions'!$B$58)</f>
        <v/>
      </c>
      <c r="N121" s="11">
        <f>MIN($L$121,$M$121)</f>
        <v/>
      </c>
      <c r="O121" s="17">
        <f>'Assumptions'!$B$56/$N$121</f>
        <v/>
      </c>
      <c r="P121" s="17">
        <f>'Assumptions'!$B$44+$J$121+$F$121+$I$121+$O$121</f>
        <v/>
      </c>
      <c r="Q121" s="11">
        <f>'Assumptions'!$B$60/$P$121</f>
        <v/>
      </c>
      <c r="R121" s="11">
        <f>$B$121*(1-'Assumptions'!$B$61)</f>
        <v/>
      </c>
      <c r="S121" s="11">
        <f>MIN($Q$121,$R$121)</f>
        <v/>
      </c>
      <c r="T121" s="17">
        <f>'Assumptions'!$B$59/$S$121</f>
        <v/>
      </c>
      <c r="U121" s="17">
        <f>'Assumptions'!$B$44+$J$121+$F$121+$I$121+$O$121+$T$121</f>
        <v/>
      </c>
      <c r="V121" s="17">
        <f>$U$121+$C$121</f>
        <v/>
      </c>
    </row>
    <row r="122">
      <c r="A122" t="n">
        <v>5</v>
      </c>
      <c r="B122" s="11">
        <f>'Assumptions'!$B$68/$U$121</f>
        <v/>
      </c>
      <c r="C122" s="17">
        <f>'Assumptions'!$B$5/$B$122</f>
        <v/>
      </c>
      <c r="D122" s="11">
        <f>'Assumptions'!$B$27*('Assumptions'!$B$44+'Assumptions'!$B$5/'Assumptions'!$B$27)/('Assumptions'!$B$44+'Assumptions'!$B$5/$B$122)</f>
        <v/>
      </c>
      <c r="E122" s="17">
        <f>'Assumptions'!$B$40*'Assumptions'!$B$27/$D$122</f>
        <v/>
      </c>
      <c r="F122" s="17">
        <f>$E$122-'Assumptions'!$B$40</f>
        <v/>
      </c>
      <c r="G122" s="11">
        <f>'Assumptions'!$B$25*('Assumptions'!$B$44+'Assumptions'!$B$5/'Assumptions'!$B$25)/('Assumptions'!$B$44+'Assumptions'!$B$5/$B$122)</f>
        <v/>
      </c>
      <c r="H122" s="17">
        <f>'Assumptions'!$B$38*'Assumptions'!$B$26/$G$122</f>
        <v/>
      </c>
      <c r="I122" s="17">
        <f>$H$122-'Assumptions'!$B$39</f>
        <v/>
      </c>
      <c r="J122" s="17">
        <f>MAX(0,'Assumptions'!$B$65*$V$121-'Assumptions'!$B$43)</f>
        <v/>
      </c>
      <c r="K122" s="17">
        <f>'Assumptions'!$B$44+$J$122+$F$122+$I$122+$T$121</f>
        <v/>
      </c>
      <c r="L122" s="11">
        <f>'Assumptions'!$B$57/$K$122</f>
        <v/>
      </c>
      <c r="M122" s="11">
        <f>$B$122*(1-'Assumptions'!$B$58)</f>
        <v/>
      </c>
      <c r="N122" s="11">
        <f>MIN($L$122,$M$122)</f>
        <v/>
      </c>
      <c r="O122" s="17">
        <f>'Assumptions'!$B$56/$N$122</f>
        <v/>
      </c>
      <c r="P122" s="17">
        <f>'Assumptions'!$B$44+$J$122+$F$122+$I$122+$O$122</f>
        <v/>
      </c>
      <c r="Q122" s="11">
        <f>'Assumptions'!$B$60/$P$122</f>
        <v/>
      </c>
      <c r="R122" s="11">
        <f>$B$122*(1-'Assumptions'!$B$61)</f>
        <v/>
      </c>
      <c r="S122" s="11">
        <f>MIN($Q$122,$R$122)</f>
        <v/>
      </c>
      <c r="T122" s="17">
        <f>'Assumptions'!$B$59/$S$122</f>
        <v/>
      </c>
      <c r="U122" s="17">
        <f>'Assumptions'!$B$44+$J$122+$F$122+$I$122+$O$122+$T$122</f>
        <v/>
      </c>
      <c r="V122" s="17">
        <f>$U$122+$C$122</f>
        <v/>
      </c>
    </row>
    <row r="123">
      <c r="A123" t="n">
        <v>6</v>
      </c>
      <c r="B123" s="11">
        <f>'Assumptions'!$B$68/$U$122</f>
        <v/>
      </c>
      <c r="C123" s="17">
        <f>'Assumptions'!$B$5/$B$123</f>
        <v/>
      </c>
      <c r="D123" s="11">
        <f>'Assumptions'!$B$27*('Assumptions'!$B$44+'Assumptions'!$B$5/'Assumptions'!$B$27)/('Assumptions'!$B$44+'Assumptions'!$B$5/$B$123)</f>
        <v/>
      </c>
      <c r="E123" s="17">
        <f>'Assumptions'!$B$40*'Assumptions'!$B$27/$D$123</f>
        <v/>
      </c>
      <c r="F123" s="17">
        <f>$E$123-'Assumptions'!$B$40</f>
        <v/>
      </c>
      <c r="G123" s="11">
        <f>'Assumptions'!$B$25*('Assumptions'!$B$44+'Assumptions'!$B$5/'Assumptions'!$B$25)/('Assumptions'!$B$44+'Assumptions'!$B$5/$B$123)</f>
        <v/>
      </c>
      <c r="H123" s="17">
        <f>'Assumptions'!$B$38*'Assumptions'!$B$26/$G$123</f>
        <v/>
      </c>
      <c r="I123" s="17">
        <f>$H$123-'Assumptions'!$B$39</f>
        <v/>
      </c>
      <c r="J123" s="17">
        <f>MAX(0,'Assumptions'!$B$65*$V$122-'Assumptions'!$B$43)</f>
        <v/>
      </c>
      <c r="K123" s="17">
        <f>'Assumptions'!$B$44+$J$123+$F$123+$I$123+$T$122</f>
        <v/>
      </c>
      <c r="L123" s="11">
        <f>'Assumptions'!$B$57/$K$123</f>
        <v/>
      </c>
      <c r="M123" s="11">
        <f>$B$123*(1-'Assumptions'!$B$58)</f>
        <v/>
      </c>
      <c r="N123" s="11">
        <f>MIN($L$123,$M$123)</f>
        <v/>
      </c>
      <c r="O123" s="17">
        <f>'Assumptions'!$B$56/$N$123</f>
        <v/>
      </c>
      <c r="P123" s="17">
        <f>'Assumptions'!$B$44+$J$123+$F$123+$I$123+$O$123</f>
        <v/>
      </c>
      <c r="Q123" s="11">
        <f>'Assumptions'!$B$60/$P$123</f>
        <v/>
      </c>
      <c r="R123" s="11">
        <f>$B$123*(1-'Assumptions'!$B$61)</f>
        <v/>
      </c>
      <c r="S123" s="11">
        <f>MIN($Q$123,$R$123)</f>
        <v/>
      </c>
      <c r="T123" s="17">
        <f>'Assumptions'!$B$59/$S$123</f>
        <v/>
      </c>
      <c r="U123" s="17">
        <f>'Assumptions'!$B$44+$J$123+$F$123+$I$123+$O$123+$T$123</f>
        <v/>
      </c>
      <c r="V123" s="17">
        <f>$U$123+$C$123</f>
        <v/>
      </c>
    </row>
    <row r="124">
      <c r="A124" t="n">
        <v>7</v>
      </c>
      <c r="B124" s="11">
        <f>'Assumptions'!$B$68/$U$123</f>
        <v/>
      </c>
      <c r="C124" s="17">
        <f>'Assumptions'!$B$5/$B$124</f>
        <v/>
      </c>
      <c r="D124" s="11">
        <f>'Assumptions'!$B$27*('Assumptions'!$B$44+'Assumptions'!$B$5/'Assumptions'!$B$27)/('Assumptions'!$B$44+'Assumptions'!$B$5/$B$124)</f>
        <v/>
      </c>
      <c r="E124" s="17">
        <f>'Assumptions'!$B$40*'Assumptions'!$B$27/$D$124</f>
        <v/>
      </c>
      <c r="F124" s="17">
        <f>$E$124-'Assumptions'!$B$40</f>
        <v/>
      </c>
      <c r="G124" s="11">
        <f>'Assumptions'!$B$25*('Assumptions'!$B$44+'Assumptions'!$B$5/'Assumptions'!$B$25)/('Assumptions'!$B$44+'Assumptions'!$B$5/$B$124)</f>
        <v/>
      </c>
      <c r="H124" s="17">
        <f>'Assumptions'!$B$38*'Assumptions'!$B$26/$G$124</f>
        <v/>
      </c>
      <c r="I124" s="17">
        <f>$H$124-'Assumptions'!$B$39</f>
        <v/>
      </c>
      <c r="J124" s="17">
        <f>MAX(0,'Assumptions'!$B$65*$V$123-'Assumptions'!$B$43)</f>
        <v/>
      </c>
      <c r="K124" s="17">
        <f>'Assumptions'!$B$44+$J$124+$F$124+$I$124+$T$123</f>
        <v/>
      </c>
      <c r="L124" s="11">
        <f>'Assumptions'!$B$57/$K$124</f>
        <v/>
      </c>
      <c r="M124" s="11">
        <f>$B$124*(1-'Assumptions'!$B$58)</f>
        <v/>
      </c>
      <c r="N124" s="11">
        <f>MIN($L$124,$M$124)</f>
        <v/>
      </c>
      <c r="O124" s="17">
        <f>'Assumptions'!$B$56/$N$124</f>
        <v/>
      </c>
      <c r="P124" s="17">
        <f>'Assumptions'!$B$44+$J$124+$F$124+$I$124+$O$124</f>
        <v/>
      </c>
      <c r="Q124" s="11">
        <f>'Assumptions'!$B$60/$P$124</f>
        <v/>
      </c>
      <c r="R124" s="11">
        <f>$B$124*(1-'Assumptions'!$B$61)</f>
        <v/>
      </c>
      <c r="S124" s="11">
        <f>MIN($Q$124,$R$124)</f>
        <v/>
      </c>
      <c r="T124" s="17">
        <f>'Assumptions'!$B$59/$S$124</f>
        <v/>
      </c>
      <c r="U124" s="17">
        <f>'Assumptions'!$B$44+$J$124+$F$124+$I$124+$O$124+$T$124</f>
        <v/>
      </c>
      <c r="V124" s="17">
        <f>$U$124+$C$124</f>
        <v/>
      </c>
    </row>
    <row r="125">
      <c r="A125" t="n">
        <v>8</v>
      </c>
      <c r="B125" s="11">
        <f>'Assumptions'!$B$68/$U$124</f>
        <v/>
      </c>
      <c r="C125" s="17">
        <f>'Assumptions'!$B$5/$B$125</f>
        <v/>
      </c>
      <c r="D125" s="11">
        <f>'Assumptions'!$B$27*('Assumptions'!$B$44+'Assumptions'!$B$5/'Assumptions'!$B$27)/('Assumptions'!$B$44+'Assumptions'!$B$5/$B$125)</f>
        <v/>
      </c>
      <c r="E125" s="17">
        <f>'Assumptions'!$B$40*'Assumptions'!$B$27/$D$125</f>
        <v/>
      </c>
      <c r="F125" s="17">
        <f>$E$125-'Assumptions'!$B$40</f>
        <v/>
      </c>
      <c r="G125" s="11">
        <f>'Assumptions'!$B$25*('Assumptions'!$B$44+'Assumptions'!$B$5/'Assumptions'!$B$25)/('Assumptions'!$B$44+'Assumptions'!$B$5/$B$125)</f>
        <v/>
      </c>
      <c r="H125" s="17">
        <f>'Assumptions'!$B$38*'Assumptions'!$B$26/$G$125</f>
        <v/>
      </c>
      <c r="I125" s="17">
        <f>$H$125-'Assumptions'!$B$39</f>
        <v/>
      </c>
      <c r="J125" s="17">
        <f>MAX(0,'Assumptions'!$B$65*$V$124-'Assumptions'!$B$43)</f>
        <v/>
      </c>
      <c r="K125" s="17">
        <f>'Assumptions'!$B$44+$J$125+$F$125+$I$125+$T$124</f>
        <v/>
      </c>
      <c r="L125" s="11">
        <f>'Assumptions'!$B$57/$K$125</f>
        <v/>
      </c>
      <c r="M125" s="11">
        <f>$B$125*(1-'Assumptions'!$B$58)</f>
        <v/>
      </c>
      <c r="N125" s="11">
        <f>MIN($L$125,$M$125)</f>
        <v/>
      </c>
      <c r="O125" s="17">
        <f>'Assumptions'!$B$56/$N$125</f>
        <v/>
      </c>
      <c r="P125" s="17">
        <f>'Assumptions'!$B$44+$J$125+$F$125+$I$125+$O$125</f>
        <v/>
      </c>
      <c r="Q125" s="11">
        <f>'Assumptions'!$B$60/$P$125</f>
        <v/>
      </c>
      <c r="R125" s="11">
        <f>$B$125*(1-'Assumptions'!$B$61)</f>
        <v/>
      </c>
      <c r="S125" s="11">
        <f>MIN($Q$125,$R$125)</f>
        <v/>
      </c>
      <c r="T125" s="17">
        <f>'Assumptions'!$B$59/$S$125</f>
        <v/>
      </c>
      <c r="U125" s="17">
        <f>'Assumptions'!$B$44+$J$125+$F$125+$I$125+$O$125+$T$125</f>
        <v/>
      </c>
      <c r="V125" s="17">
        <f>$U$125+$C$125</f>
        <v/>
      </c>
    </row>
    <row r="126">
      <c r="A126" t="n">
        <v>9</v>
      </c>
      <c r="B126" s="11">
        <f>'Assumptions'!$B$68/$U$125</f>
        <v/>
      </c>
      <c r="C126" s="17">
        <f>'Assumptions'!$B$5/$B$126</f>
        <v/>
      </c>
      <c r="D126" s="11">
        <f>'Assumptions'!$B$27*('Assumptions'!$B$44+'Assumptions'!$B$5/'Assumptions'!$B$27)/('Assumptions'!$B$44+'Assumptions'!$B$5/$B$126)</f>
        <v/>
      </c>
      <c r="E126" s="17">
        <f>'Assumptions'!$B$40*'Assumptions'!$B$27/$D$126</f>
        <v/>
      </c>
      <c r="F126" s="17">
        <f>$E$126-'Assumptions'!$B$40</f>
        <v/>
      </c>
      <c r="G126" s="11">
        <f>'Assumptions'!$B$25*('Assumptions'!$B$44+'Assumptions'!$B$5/'Assumptions'!$B$25)/('Assumptions'!$B$44+'Assumptions'!$B$5/$B$126)</f>
        <v/>
      </c>
      <c r="H126" s="17">
        <f>'Assumptions'!$B$38*'Assumptions'!$B$26/$G$126</f>
        <v/>
      </c>
      <c r="I126" s="17">
        <f>$H$126-'Assumptions'!$B$39</f>
        <v/>
      </c>
      <c r="J126" s="17">
        <f>MAX(0,'Assumptions'!$B$65*$V$125-'Assumptions'!$B$43)</f>
        <v/>
      </c>
      <c r="K126" s="17">
        <f>'Assumptions'!$B$44+$J$126+$F$126+$I$126+$T$125</f>
        <v/>
      </c>
      <c r="L126" s="11">
        <f>'Assumptions'!$B$57/$K$126</f>
        <v/>
      </c>
      <c r="M126" s="11">
        <f>$B$126*(1-'Assumptions'!$B$58)</f>
        <v/>
      </c>
      <c r="N126" s="11">
        <f>MIN($L$126,$M$126)</f>
        <v/>
      </c>
      <c r="O126" s="17">
        <f>'Assumptions'!$B$56/$N$126</f>
        <v/>
      </c>
      <c r="P126" s="17">
        <f>'Assumptions'!$B$44+$J$126+$F$126+$I$126+$O$126</f>
        <v/>
      </c>
      <c r="Q126" s="11">
        <f>'Assumptions'!$B$60/$P$126</f>
        <v/>
      </c>
      <c r="R126" s="11">
        <f>$B$126*(1-'Assumptions'!$B$61)</f>
        <v/>
      </c>
      <c r="S126" s="11">
        <f>MIN($Q$126,$R$126)</f>
        <v/>
      </c>
      <c r="T126" s="17">
        <f>'Assumptions'!$B$59/$S$126</f>
        <v/>
      </c>
      <c r="U126" s="17">
        <f>'Assumptions'!$B$44+$J$126+$F$126+$I$126+$O$126+$T$126</f>
        <v/>
      </c>
      <c r="V126" s="17">
        <f>$U$126+$C$126</f>
        <v/>
      </c>
    </row>
    <row r="127">
      <c r="A127" t="n">
        <v>10</v>
      </c>
      <c r="B127" s="11">
        <f>'Assumptions'!$B$68/$U$126</f>
        <v/>
      </c>
      <c r="C127" s="17">
        <f>'Assumptions'!$B$5/$B$127</f>
        <v/>
      </c>
      <c r="D127" s="11">
        <f>'Assumptions'!$B$27*('Assumptions'!$B$44+'Assumptions'!$B$5/'Assumptions'!$B$27)/('Assumptions'!$B$44+'Assumptions'!$B$5/$B$127)</f>
        <v/>
      </c>
      <c r="E127" s="17">
        <f>'Assumptions'!$B$40*'Assumptions'!$B$27/$D$127</f>
        <v/>
      </c>
      <c r="F127" s="17">
        <f>$E$127-'Assumptions'!$B$40</f>
        <v/>
      </c>
      <c r="G127" s="11">
        <f>'Assumptions'!$B$25*('Assumptions'!$B$44+'Assumptions'!$B$5/'Assumptions'!$B$25)/('Assumptions'!$B$44+'Assumptions'!$B$5/$B$127)</f>
        <v/>
      </c>
      <c r="H127" s="17">
        <f>'Assumptions'!$B$38*'Assumptions'!$B$26/$G$127</f>
        <v/>
      </c>
      <c r="I127" s="17">
        <f>$H$127-'Assumptions'!$B$39</f>
        <v/>
      </c>
      <c r="J127" s="17">
        <f>MAX(0,'Assumptions'!$B$65*$V$126-'Assumptions'!$B$43)</f>
        <v/>
      </c>
      <c r="K127" s="17">
        <f>'Assumptions'!$B$44+$J$127+$F$127+$I$127+$T$126</f>
        <v/>
      </c>
      <c r="L127" s="11">
        <f>'Assumptions'!$B$57/$K$127</f>
        <v/>
      </c>
      <c r="M127" s="11">
        <f>$B$127*(1-'Assumptions'!$B$58)</f>
        <v/>
      </c>
      <c r="N127" s="11">
        <f>MIN($L$127,$M$127)</f>
        <v/>
      </c>
      <c r="O127" s="17">
        <f>'Assumptions'!$B$56/$N$127</f>
        <v/>
      </c>
      <c r="P127" s="17">
        <f>'Assumptions'!$B$44+$J$127+$F$127+$I$127+$O$127</f>
        <v/>
      </c>
      <c r="Q127" s="11">
        <f>'Assumptions'!$B$60/$P$127</f>
        <v/>
      </c>
      <c r="R127" s="11">
        <f>$B$127*(1-'Assumptions'!$B$61)</f>
        <v/>
      </c>
      <c r="S127" s="11">
        <f>MIN($Q$127,$R$127)</f>
        <v/>
      </c>
      <c r="T127" s="17">
        <f>'Assumptions'!$B$59/$S$127</f>
        <v/>
      </c>
      <c r="U127" s="17">
        <f>'Assumptions'!$B$44+$J$127+$F$127+$I$127+$O$127+$T$127</f>
        <v/>
      </c>
      <c r="V127" s="17">
        <f>$U$127+$C$127</f>
        <v/>
      </c>
    </row>
    <row r="128">
      <c r="A128" t="n">
        <v>11</v>
      </c>
      <c r="B128" s="11">
        <f>'Assumptions'!$B$68/$U$127</f>
        <v/>
      </c>
      <c r="C128" s="17">
        <f>'Assumptions'!$B$5/$B$128</f>
        <v/>
      </c>
      <c r="D128" s="11">
        <f>'Assumptions'!$B$27*('Assumptions'!$B$44+'Assumptions'!$B$5/'Assumptions'!$B$27)/('Assumptions'!$B$44+'Assumptions'!$B$5/$B$128)</f>
        <v/>
      </c>
      <c r="E128" s="17">
        <f>'Assumptions'!$B$40*'Assumptions'!$B$27/$D$128</f>
        <v/>
      </c>
      <c r="F128" s="17">
        <f>$E$128-'Assumptions'!$B$40</f>
        <v/>
      </c>
      <c r="G128" s="11">
        <f>'Assumptions'!$B$25*('Assumptions'!$B$44+'Assumptions'!$B$5/'Assumptions'!$B$25)/('Assumptions'!$B$44+'Assumptions'!$B$5/$B$128)</f>
        <v/>
      </c>
      <c r="H128" s="17">
        <f>'Assumptions'!$B$38*'Assumptions'!$B$26/$G$128</f>
        <v/>
      </c>
      <c r="I128" s="17">
        <f>$H$128-'Assumptions'!$B$39</f>
        <v/>
      </c>
      <c r="J128" s="17">
        <f>MAX(0,'Assumptions'!$B$65*$V$127-'Assumptions'!$B$43)</f>
        <v/>
      </c>
      <c r="K128" s="17">
        <f>'Assumptions'!$B$44+$J$128+$F$128+$I$128+$T$127</f>
        <v/>
      </c>
      <c r="L128" s="11">
        <f>'Assumptions'!$B$57/$K$128</f>
        <v/>
      </c>
      <c r="M128" s="11">
        <f>$B$128*(1-'Assumptions'!$B$58)</f>
        <v/>
      </c>
      <c r="N128" s="11">
        <f>MIN($L$128,$M$128)</f>
        <v/>
      </c>
      <c r="O128" s="17">
        <f>'Assumptions'!$B$56/$N$128</f>
        <v/>
      </c>
      <c r="P128" s="17">
        <f>'Assumptions'!$B$44+$J$128+$F$128+$I$128+$O$128</f>
        <v/>
      </c>
      <c r="Q128" s="11">
        <f>'Assumptions'!$B$60/$P$128</f>
        <v/>
      </c>
      <c r="R128" s="11">
        <f>$B$128*(1-'Assumptions'!$B$61)</f>
        <v/>
      </c>
      <c r="S128" s="11">
        <f>MIN($Q$128,$R$128)</f>
        <v/>
      </c>
      <c r="T128" s="17">
        <f>'Assumptions'!$B$59/$S$128</f>
        <v/>
      </c>
      <c r="U128" s="17">
        <f>'Assumptions'!$B$44+$J$128+$F$128+$I$128+$O$128+$T$128</f>
        <v/>
      </c>
      <c r="V128" s="17">
        <f>$U$128+$C$128</f>
        <v/>
      </c>
    </row>
    <row r="129">
      <c r="A129" t="n">
        <v>12</v>
      </c>
      <c r="B129" s="11">
        <f>'Assumptions'!$B$68/$U$128</f>
        <v/>
      </c>
      <c r="C129" s="17">
        <f>'Assumptions'!$B$5/$B$129</f>
        <v/>
      </c>
      <c r="D129" s="11">
        <f>'Assumptions'!$B$27*('Assumptions'!$B$44+'Assumptions'!$B$5/'Assumptions'!$B$27)/('Assumptions'!$B$44+'Assumptions'!$B$5/$B$129)</f>
        <v/>
      </c>
      <c r="E129" s="17">
        <f>'Assumptions'!$B$40*'Assumptions'!$B$27/$D$129</f>
        <v/>
      </c>
      <c r="F129" s="17">
        <f>$E$129-'Assumptions'!$B$40</f>
        <v/>
      </c>
      <c r="G129" s="11">
        <f>'Assumptions'!$B$25*('Assumptions'!$B$44+'Assumptions'!$B$5/'Assumptions'!$B$25)/('Assumptions'!$B$44+'Assumptions'!$B$5/$B$129)</f>
        <v/>
      </c>
      <c r="H129" s="17">
        <f>'Assumptions'!$B$38*'Assumptions'!$B$26/$G$129</f>
        <v/>
      </c>
      <c r="I129" s="17">
        <f>$H$129-'Assumptions'!$B$39</f>
        <v/>
      </c>
      <c r="J129" s="17">
        <f>MAX(0,'Assumptions'!$B$65*$V$128-'Assumptions'!$B$43)</f>
        <v/>
      </c>
      <c r="K129" s="17">
        <f>'Assumptions'!$B$44+$J$129+$F$129+$I$129+$T$128</f>
        <v/>
      </c>
      <c r="L129" s="11">
        <f>'Assumptions'!$B$57/$K$129</f>
        <v/>
      </c>
      <c r="M129" s="11">
        <f>$B$129*(1-'Assumptions'!$B$58)</f>
        <v/>
      </c>
      <c r="N129" s="11">
        <f>MIN($L$129,$M$129)</f>
        <v/>
      </c>
      <c r="O129" s="17">
        <f>'Assumptions'!$B$56/$N$129</f>
        <v/>
      </c>
      <c r="P129" s="17">
        <f>'Assumptions'!$B$44+$J$129+$F$129+$I$129+$O$129</f>
        <v/>
      </c>
      <c r="Q129" s="11">
        <f>'Assumptions'!$B$60/$P$129</f>
        <v/>
      </c>
      <c r="R129" s="11">
        <f>$B$129*(1-'Assumptions'!$B$61)</f>
        <v/>
      </c>
      <c r="S129" s="11">
        <f>MIN($Q$129,$R$129)</f>
        <v/>
      </c>
      <c r="T129" s="17">
        <f>'Assumptions'!$B$59/$S$129</f>
        <v/>
      </c>
      <c r="U129" s="17">
        <f>'Assumptions'!$B$44+$J$129+$F$129+$I$129+$O$129+$T$129</f>
        <v/>
      </c>
      <c r="V129" s="17">
        <f>$U$129+$C$129</f>
        <v/>
      </c>
    </row>
    <row r="130">
      <c r="A130" t="n">
        <v>13</v>
      </c>
      <c r="B130" s="11">
        <f>'Assumptions'!$B$68/$U$129</f>
        <v/>
      </c>
      <c r="C130" s="17">
        <f>'Assumptions'!$B$5/$B$130</f>
        <v/>
      </c>
      <c r="D130" s="11">
        <f>'Assumptions'!$B$27*('Assumptions'!$B$44+'Assumptions'!$B$5/'Assumptions'!$B$27)/('Assumptions'!$B$44+'Assumptions'!$B$5/$B$130)</f>
        <v/>
      </c>
      <c r="E130" s="17">
        <f>'Assumptions'!$B$40*'Assumptions'!$B$27/$D$130</f>
        <v/>
      </c>
      <c r="F130" s="17">
        <f>$E$130-'Assumptions'!$B$40</f>
        <v/>
      </c>
      <c r="G130" s="11">
        <f>'Assumptions'!$B$25*('Assumptions'!$B$44+'Assumptions'!$B$5/'Assumptions'!$B$25)/('Assumptions'!$B$44+'Assumptions'!$B$5/$B$130)</f>
        <v/>
      </c>
      <c r="H130" s="17">
        <f>'Assumptions'!$B$38*'Assumptions'!$B$26/$G$130</f>
        <v/>
      </c>
      <c r="I130" s="17">
        <f>$H$130-'Assumptions'!$B$39</f>
        <v/>
      </c>
      <c r="J130" s="17">
        <f>MAX(0,'Assumptions'!$B$65*$V$129-'Assumptions'!$B$43)</f>
        <v/>
      </c>
      <c r="K130" s="17">
        <f>'Assumptions'!$B$44+$J$130+$F$130+$I$130+$T$129</f>
        <v/>
      </c>
      <c r="L130" s="11">
        <f>'Assumptions'!$B$57/$K$130</f>
        <v/>
      </c>
      <c r="M130" s="11">
        <f>$B$130*(1-'Assumptions'!$B$58)</f>
        <v/>
      </c>
      <c r="N130" s="11">
        <f>MIN($L$130,$M$130)</f>
        <v/>
      </c>
      <c r="O130" s="17">
        <f>'Assumptions'!$B$56/$N$130</f>
        <v/>
      </c>
      <c r="P130" s="17">
        <f>'Assumptions'!$B$44+$J$130+$F$130+$I$130+$O$130</f>
        <v/>
      </c>
      <c r="Q130" s="11">
        <f>'Assumptions'!$B$60/$P$130</f>
        <v/>
      </c>
      <c r="R130" s="11">
        <f>$B$130*(1-'Assumptions'!$B$61)</f>
        <v/>
      </c>
      <c r="S130" s="11">
        <f>MIN($Q$130,$R$130)</f>
        <v/>
      </c>
      <c r="T130" s="17">
        <f>'Assumptions'!$B$59/$S$130</f>
        <v/>
      </c>
      <c r="U130" s="17">
        <f>'Assumptions'!$B$44+$J$130+$F$130+$I$130+$O$130+$T$130</f>
        <v/>
      </c>
      <c r="V130" s="17">
        <f>$U$130+$C$130</f>
        <v/>
      </c>
    </row>
    <row r="131">
      <c r="A131" t="n">
        <v>14</v>
      </c>
      <c r="B131" s="11">
        <f>'Assumptions'!$B$68/$U$130</f>
        <v/>
      </c>
      <c r="C131" s="17">
        <f>'Assumptions'!$B$5/$B$131</f>
        <v/>
      </c>
      <c r="D131" s="11">
        <f>'Assumptions'!$B$27*('Assumptions'!$B$44+'Assumptions'!$B$5/'Assumptions'!$B$27)/('Assumptions'!$B$44+'Assumptions'!$B$5/$B$131)</f>
        <v/>
      </c>
      <c r="E131" s="17">
        <f>'Assumptions'!$B$40*'Assumptions'!$B$27/$D$131</f>
        <v/>
      </c>
      <c r="F131" s="17">
        <f>$E$131-'Assumptions'!$B$40</f>
        <v/>
      </c>
      <c r="G131" s="11">
        <f>'Assumptions'!$B$25*('Assumptions'!$B$44+'Assumptions'!$B$5/'Assumptions'!$B$25)/('Assumptions'!$B$44+'Assumptions'!$B$5/$B$131)</f>
        <v/>
      </c>
      <c r="H131" s="17">
        <f>'Assumptions'!$B$38*'Assumptions'!$B$26/$G$131</f>
        <v/>
      </c>
      <c r="I131" s="17">
        <f>$H$131-'Assumptions'!$B$39</f>
        <v/>
      </c>
      <c r="J131" s="17">
        <f>MAX(0,'Assumptions'!$B$65*$V$130-'Assumptions'!$B$43)</f>
        <v/>
      </c>
      <c r="K131" s="17">
        <f>'Assumptions'!$B$44+$J$131+$F$131+$I$131+$T$130</f>
        <v/>
      </c>
      <c r="L131" s="11">
        <f>'Assumptions'!$B$57/$K$131</f>
        <v/>
      </c>
      <c r="M131" s="11">
        <f>$B$131*(1-'Assumptions'!$B$58)</f>
        <v/>
      </c>
      <c r="N131" s="11">
        <f>MIN($L$131,$M$131)</f>
        <v/>
      </c>
      <c r="O131" s="17">
        <f>'Assumptions'!$B$56/$N$131</f>
        <v/>
      </c>
      <c r="P131" s="17">
        <f>'Assumptions'!$B$44+$J$131+$F$131+$I$131+$O$131</f>
        <v/>
      </c>
      <c r="Q131" s="11">
        <f>'Assumptions'!$B$60/$P$131</f>
        <v/>
      </c>
      <c r="R131" s="11">
        <f>$B$131*(1-'Assumptions'!$B$61)</f>
        <v/>
      </c>
      <c r="S131" s="11">
        <f>MIN($Q$131,$R$131)</f>
        <v/>
      </c>
      <c r="T131" s="17">
        <f>'Assumptions'!$B$59/$S$131</f>
        <v/>
      </c>
      <c r="U131" s="17">
        <f>'Assumptions'!$B$44+$J$131+$F$131+$I$131+$O$131+$T$131</f>
        <v/>
      </c>
      <c r="V131" s="17">
        <f>$U$131+$C$131</f>
        <v/>
      </c>
    </row>
    <row r="132">
      <c r="A132" t="n">
        <v>15</v>
      </c>
      <c r="B132" s="11">
        <f>'Assumptions'!$B$68/$U$131</f>
        <v/>
      </c>
      <c r="C132" s="17">
        <f>'Assumptions'!$B$5/$B$132</f>
        <v/>
      </c>
      <c r="D132" s="11">
        <f>'Assumptions'!$B$27*('Assumptions'!$B$44+'Assumptions'!$B$5/'Assumptions'!$B$27)/('Assumptions'!$B$44+'Assumptions'!$B$5/$B$132)</f>
        <v/>
      </c>
      <c r="E132" s="17">
        <f>'Assumptions'!$B$40*'Assumptions'!$B$27/$D$132</f>
        <v/>
      </c>
      <c r="F132" s="17">
        <f>$E$132-'Assumptions'!$B$40</f>
        <v/>
      </c>
      <c r="G132" s="11">
        <f>'Assumptions'!$B$25*('Assumptions'!$B$44+'Assumptions'!$B$5/'Assumptions'!$B$25)/('Assumptions'!$B$44+'Assumptions'!$B$5/$B$132)</f>
        <v/>
      </c>
      <c r="H132" s="17">
        <f>'Assumptions'!$B$38*'Assumptions'!$B$26/$G$132</f>
        <v/>
      </c>
      <c r="I132" s="17">
        <f>$H$132-'Assumptions'!$B$39</f>
        <v/>
      </c>
      <c r="J132" s="17">
        <f>MAX(0,'Assumptions'!$B$65*$V$131-'Assumptions'!$B$43)</f>
        <v/>
      </c>
      <c r="K132" s="17">
        <f>'Assumptions'!$B$44+$J$132+$F$132+$I$132+$T$131</f>
        <v/>
      </c>
      <c r="L132" s="11">
        <f>'Assumptions'!$B$57/$K$132</f>
        <v/>
      </c>
      <c r="M132" s="11">
        <f>$B$132*(1-'Assumptions'!$B$58)</f>
        <v/>
      </c>
      <c r="N132" s="11">
        <f>MIN($L$132,$M$132)</f>
        <v/>
      </c>
      <c r="O132" s="17">
        <f>'Assumptions'!$B$56/$N$132</f>
        <v/>
      </c>
      <c r="P132" s="17">
        <f>'Assumptions'!$B$44+$J$132+$F$132+$I$132+$O$132</f>
        <v/>
      </c>
      <c r="Q132" s="11">
        <f>'Assumptions'!$B$60/$P$132</f>
        <v/>
      </c>
      <c r="R132" s="11">
        <f>$B$132*(1-'Assumptions'!$B$61)</f>
        <v/>
      </c>
      <c r="S132" s="11">
        <f>MIN($Q$132,$R$132)</f>
        <v/>
      </c>
      <c r="T132" s="17">
        <f>'Assumptions'!$B$59/$S$132</f>
        <v/>
      </c>
      <c r="U132" s="17">
        <f>'Assumptions'!$B$44+$J$132+$F$132+$I$132+$O$132+$T$132</f>
        <v/>
      </c>
      <c r="V132" s="17">
        <f>$U$132+$C$132</f>
        <v/>
      </c>
      <c r="W132">
        <f>IF('Sensitivity'!$L$132&lt;'Sensitivity'!$M$132,"cap","discount")</f>
        <v/>
      </c>
      <c r="X132">
        <f>IF('Sensitivity'!$Q$132&lt;'Sensitivity'!$R$132,"cap","discount")</f>
        <v/>
      </c>
    </row>
    <row r="135">
      <c r="A135" s="10" t="inlineStr">
        <is>
          <t>Cell (13%, $1.8B)</t>
        </is>
      </c>
    </row>
    <row r="136">
      <c r="A136" s="13" t="inlineStr">
        <is>
          <t>Iter</t>
        </is>
      </c>
      <c r="B136" s="13" t="inlineStr">
        <is>
          <t>F_PPS</t>
        </is>
      </c>
      <c r="C136" s="13" t="inlineStr">
        <is>
          <t>F_prim_shares</t>
        </is>
      </c>
      <c r="D136" s="13" t="inlineStr">
        <is>
          <t>NCP_E</t>
        </is>
      </c>
      <c r="E136" s="13" t="inlineStr">
        <is>
          <t>new_E_shares</t>
        </is>
      </c>
      <c r="F136" s="13" t="inlineStr">
        <is>
          <t>AD_inc_E</t>
        </is>
      </c>
      <c r="G136" s="13" t="inlineStr">
        <is>
          <t>NCP_D</t>
        </is>
      </c>
      <c r="H136" s="13" t="inlineStr">
        <is>
          <t>new_D_shares</t>
        </is>
      </c>
      <c r="I136" s="13" t="inlineStr">
        <is>
          <t>AD_inc_D</t>
        </is>
      </c>
      <c r="J136" s="13" t="inlineStr">
        <is>
          <t>ESOP_topup</t>
        </is>
      </c>
      <c r="K136" s="13" t="inlineStr">
        <is>
          <t>cap_FD_A</t>
        </is>
      </c>
      <c r="L136" s="13" t="inlineStr">
        <is>
          <t>cap_pps_A</t>
        </is>
      </c>
      <c r="M136" s="13" t="inlineStr">
        <is>
          <t>disc_pps_A</t>
        </is>
      </c>
      <c r="N136" s="13" t="inlineStr">
        <is>
          <t>conv_pps_A</t>
        </is>
      </c>
      <c r="O136" s="13" t="inlineStr">
        <is>
          <t>N_A</t>
        </is>
      </c>
      <c r="P136" s="13" t="inlineStr">
        <is>
          <t>cap_FD_B</t>
        </is>
      </c>
      <c r="Q136" s="13" t="inlineStr">
        <is>
          <t>cap_pps_B</t>
        </is>
      </c>
      <c r="R136" s="13" t="inlineStr">
        <is>
          <t>disc_pps_B</t>
        </is>
      </c>
      <c r="S136" s="13" t="inlineStr">
        <is>
          <t>conv_pps_B</t>
        </is>
      </c>
      <c r="T136" s="13" t="inlineStr">
        <is>
          <t>N_B</t>
        </is>
      </c>
      <c r="U136" s="13" t="inlineStr">
        <is>
          <t>pre_money_FD</t>
        </is>
      </c>
      <c r="V136" s="13" t="inlineStr">
        <is>
          <t>T_F</t>
        </is>
      </c>
    </row>
    <row r="137">
      <c r="A137" t="n">
        <v>0</v>
      </c>
      <c r="B137" s="11">
        <f>'Assumptions'!$B$69/'Assumptions'!$B$44</f>
        <v/>
      </c>
      <c r="C137" s="17">
        <f>'Assumptions'!$B$5/$B$137</f>
        <v/>
      </c>
      <c r="D137" s="11">
        <f>'Assumptions'!$B$27*('Assumptions'!$B$44+'Assumptions'!$B$5/'Assumptions'!$B$27)/('Assumptions'!$B$44+'Assumptions'!$B$5/$B$137)</f>
        <v/>
      </c>
      <c r="E137" s="17">
        <f>'Assumptions'!$B$40*'Assumptions'!$B$27/$D$137</f>
        <v/>
      </c>
      <c r="F137" s="17">
        <f>$E$137-'Assumptions'!$B$40</f>
        <v/>
      </c>
      <c r="G137" s="11">
        <f>'Assumptions'!$B$25*('Assumptions'!$B$44+'Assumptions'!$B$5/'Assumptions'!$B$25)/('Assumptions'!$B$44+'Assumptions'!$B$5/$B$137)</f>
        <v/>
      </c>
      <c r="H137" s="17">
        <f>'Assumptions'!$B$38*'Assumptions'!$B$26/$G$137</f>
        <v/>
      </c>
      <c r="I137" s="17">
        <f>$H$137-'Assumptions'!$B$39</f>
        <v/>
      </c>
      <c r="J137" s="17">
        <f>MAX(0,'Assumptions'!$B$65*('Assumptions'!$B$44+$F$137+$I$137+$C$137)/(1-'Assumptions'!$B$65)-'Assumptions'!$B$43)</f>
        <v/>
      </c>
      <c r="K137" s="17">
        <f>'Assumptions'!$B$44+$J$137+$F$137+$I$137+0</f>
        <v/>
      </c>
      <c r="L137" s="11">
        <f>'Assumptions'!$B$57/$K$137</f>
        <v/>
      </c>
      <c r="M137" s="11">
        <f>$B$137*(1-'Assumptions'!$B$58)</f>
        <v/>
      </c>
      <c r="N137" s="11">
        <f>MIN($L$137,$M$137)</f>
        <v/>
      </c>
      <c r="O137" s="17">
        <f>'Assumptions'!$B$56/$N$137</f>
        <v/>
      </c>
      <c r="P137" s="17">
        <f>'Assumptions'!$B$44+$J$137+$F$137+$I$137+$O$137</f>
        <v/>
      </c>
      <c r="Q137" s="11">
        <f>'Assumptions'!$B$60/$P$137</f>
        <v/>
      </c>
      <c r="R137" s="11">
        <f>$B$137*(1-'Assumptions'!$B$61)</f>
        <v/>
      </c>
      <c r="S137" s="11">
        <f>MIN($Q$137,$R$137)</f>
        <v/>
      </c>
      <c r="T137" s="17">
        <f>'Assumptions'!$B$59/$S$137</f>
        <v/>
      </c>
      <c r="U137" s="17">
        <f>'Assumptions'!$B$44+$J$137+$F$137+$I$137+$O$137+$T$137</f>
        <v/>
      </c>
      <c r="V137" s="17">
        <f>$U$137+$C$137</f>
        <v/>
      </c>
    </row>
    <row r="138">
      <c r="A138" t="n">
        <v>1</v>
      </c>
      <c r="B138" s="11">
        <f>'Assumptions'!$B$69/$U$137</f>
        <v/>
      </c>
      <c r="C138" s="17">
        <f>'Assumptions'!$B$5/$B$138</f>
        <v/>
      </c>
      <c r="D138" s="11">
        <f>'Assumptions'!$B$27*('Assumptions'!$B$44+'Assumptions'!$B$5/'Assumptions'!$B$27)/('Assumptions'!$B$44+'Assumptions'!$B$5/$B$138)</f>
        <v/>
      </c>
      <c r="E138" s="17">
        <f>'Assumptions'!$B$40*'Assumptions'!$B$27/$D$138</f>
        <v/>
      </c>
      <c r="F138" s="17">
        <f>$E$138-'Assumptions'!$B$40</f>
        <v/>
      </c>
      <c r="G138" s="11">
        <f>'Assumptions'!$B$25*('Assumptions'!$B$44+'Assumptions'!$B$5/'Assumptions'!$B$25)/('Assumptions'!$B$44+'Assumptions'!$B$5/$B$138)</f>
        <v/>
      </c>
      <c r="H138" s="17">
        <f>'Assumptions'!$B$38*'Assumptions'!$B$26/$G$138</f>
        <v/>
      </c>
      <c r="I138" s="17">
        <f>$H$138-'Assumptions'!$B$39</f>
        <v/>
      </c>
      <c r="J138" s="17">
        <f>MAX(0,'Assumptions'!$B$65*$V$137-'Assumptions'!$B$43)</f>
        <v/>
      </c>
      <c r="K138" s="17">
        <f>'Assumptions'!$B$44+$J$138+$F$138+$I$138+$T$137</f>
        <v/>
      </c>
      <c r="L138" s="11">
        <f>'Assumptions'!$B$57/$K$138</f>
        <v/>
      </c>
      <c r="M138" s="11">
        <f>$B$138*(1-'Assumptions'!$B$58)</f>
        <v/>
      </c>
      <c r="N138" s="11">
        <f>MIN($L$138,$M$138)</f>
        <v/>
      </c>
      <c r="O138" s="17">
        <f>'Assumptions'!$B$56/$N$138</f>
        <v/>
      </c>
      <c r="P138" s="17">
        <f>'Assumptions'!$B$44+$J$138+$F$138+$I$138+$O$138</f>
        <v/>
      </c>
      <c r="Q138" s="11">
        <f>'Assumptions'!$B$60/$P$138</f>
        <v/>
      </c>
      <c r="R138" s="11">
        <f>$B$138*(1-'Assumptions'!$B$61)</f>
        <v/>
      </c>
      <c r="S138" s="11">
        <f>MIN($Q$138,$R$138)</f>
        <v/>
      </c>
      <c r="T138" s="17">
        <f>'Assumptions'!$B$59/$S$138</f>
        <v/>
      </c>
      <c r="U138" s="17">
        <f>'Assumptions'!$B$44+$J$138+$F$138+$I$138+$O$138+$T$138</f>
        <v/>
      </c>
      <c r="V138" s="17">
        <f>$U$138+$C$138</f>
        <v/>
      </c>
    </row>
    <row r="139">
      <c r="A139" t="n">
        <v>2</v>
      </c>
      <c r="B139" s="11">
        <f>'Assumptions'!$B$69/$U$138</f>
        <v/>
      </c>
      <c r="C139" s="17">
        <f>'Assumptions'!$B$5/$B$139</f>
        <v/>
      </c>
      <c r="D139" s="11">
        <f>'Assumptions'!$B$27*('Assumptions'!$B$44+'Assumptions'!$B$5/'Assumptions'!$B$27)/('Assumptions'!$B$44+'Assumptions'!$B$5/$B$139)</f>
        <v/>
      </c>
      <c r="E139" s="17">
        <f>'Assumptions'!$B$40*'Assumptions'!$B$27/$D$139</f>
        <v/>
      </c>
      <c r="F139" s="17">
        <f>$E$139-'Assumptions'!$B$40</f>
        <v/>
      </c>
      <c r="G139" s="11">
        <f>'Assumptions'!$B$25*('Assumptions'!$B$44+'Assumptions'!$B$5/'Assumptions'!$B$25)/('Assumptions'!$B$44+'Assumptions'!$B$5/$B$139)</f>
        <v/>
      </c>
      <c r="H139" s="17">
        <f>'Assumptions'!$B$38*'Assumptions'!$B$26/$G$139</f>
        <v/>
      </c>
      <c r="I139" s="17">
        <f>$H$139-'Assumptions'!$B$39</f>
        <v/>
      </c>
      <c r="J139" s="17">
        <f>MAX(0,'Assumptions'!$B$65*$V$138-'Assumptions'!$B$43)</f>
        <v/>
      </c>
      <c r="K139" s="17">
        <f>'Assumptions'!$B$44+$J$139+$F$139+$I$139+$T$138</f>
        <v/>
      </c>
      <c r="L139" s="11">
        <f>'Assumptions'!$B$57/$K$139</f>
        <v/>
      </c>
      <c r="M139" s="11">
        <f>$B$139*(1-'Assumptions'!$B$58)</f>
        <v/>
      </c>
      <c r="N139" s="11">
        <f>MIN($L$139,$M$139)</f>
        <v/>
      </c>
      <c r="O139" s="17">
        <f>'Assumptions'!$B$56/$N$139</f>
        <v/>
      </c>
      <c r="P139" s="17">
        <f>'Assumptions'!$B$44+$J$139+$F$139+$I$139+$O$139</f>
        <v/>
      </c>
      <c r="Q139" s="11">
        <f>'Assumptions'!$B$60/$P$139</f>
        <v/>
      </c>
      <c r="R139" s="11">
        <f>$B$139*(1-'Assumptions'!$B$61)</f>
        <v/>
      </c>
      <c r="S139" s="11">
        <f>MIN($Q$139,$R$139)</f>
        <v/>
      </c>
      <c r="T139" s="17">
        <f>'Assumptions'!$B$59/$S$139</f>
        <v/>
      </c>
      <c r="U139" s="17">
        <f>'Assumptions'!$B$44+$J$139+$F$139+$I$139+$O$139+$T$139</f>
        <v/>
      </c>
      <c r="V139" s="17">
        <f>$U$139+$C$139</f>
        <v/>
      </c>
    </row>
    <row r="140">
      <c r="A140" t="n">
        <v>3</v>
      </c>
      <c r="B140" s="11">
        <f>'Assumptions'!$B$69/$U$139</f>
        <v/>
      </c>
      <c r="C140" s="17">
        <f>'Assumptions'!$B$5/$B$140</f>
        <v/>
      </c>
      <c r="D140" s="11">
        <f>'Assumptions'!$B$27*('Assumptions'!$B$44+'Assumptions'!$B$5/'Assumptions'!$B$27)/('Assumptions'!$B$44+'Assumptions'!$B$5/$B$140)</f>
        <v/>
      </c>
      <c r="E140" s="17">
        <f>'Assumptions'!$B$40*'Assumptions'!$B$27/$D$140</f>
        <v/>
      </c>
      <c r="F140" s="17">
        <f>$E$140-'Assumptions'!$B$40</f>
        <v/>
      </c>
      <c r="G140" s="11">
        <f>'Assumptions'!$B$25*('Assumptions'!$B$44+'Assumptions'!$B$5/'Assumptions'!$B$25)/('Assumptions'!$B$44+'Assumptions'!$B$5/$B$140)</f>
        <v/>
      </c>
      <c r="H140" s="17">
        <f>'Assumptions'!$B$38*'Assumptions'!$B$26/$G$140</f>
        <v/>
      </c>
      <c r="I140" s="17">
        <f>$H$140-'Assumptions'!$B$39</f>
        <v/>
      </c>
      <c r="J140" s="17">
        <f>MAX(0,'Assumptions'!$B$65*$V$139-'Assumptions'!$B$43)</f>
        <v/>
      </c>
      <c r="K140" s="17">
        <f>'Assumptions'!$B$44+$J$140+$F$140+$I$140+$T$139</f>
        <v/>
      </c>
      <c r="L140" s="11">
        <f>'Assumptions'!$B$57/$K$140</f>
        <v/>
      </c>
      <c r="M140" s="11">
        <f>$B$140*(1-'Assumptions'!$B$58)</f>
        <v/>
      </c>
      <c r="N140" s="11">
        <f>MIN($L$140,$M$140)</f>
        <v/>
      </c>
      <c r="O140" s="17">
        <f>'Assumptions'!$B$56/$N$140</f>
        <v/>
      </c>
      <c r="P140" s="17">
        <f>'Assumptions'!$B$44+$J$140+$F$140+$I$140+$O$140</f>
        <v/>
      </c>
      <c r="Q140" s="11">
        <f>'Assumptions'!$B$60/$P$140</f>
        <v/>
      </c>
      <c r="R140" s="11">
        <f>$B$140*(1-'Assumptions'!$B$61)</f>
        <v/>
      </c>
      <c r="S140" s="11">
        <f>MIN($Q$140,$R$140)</f>
        <v/>
      </c>
      <c r="T140" s="17">
        <f>'Assumptions'!$B$59/$S$140</f>
        <v/>
      </c>
      <c r="U140" s="17">
        <f>'Assumptions'!$B$44+$J$140+$F$140+$I$140+$O$140+$T$140</f>
        <v/>
      </c>
      <c r="V140" s="17">
        <f>$U$140+$C$140</f>
        <v/>
      </c>
    </row>
    <row r="141">
      <c r="A141" t="n">
        <v>4</v>
      </c>
      <c r="B141" s="11">
        <f>'Assumptions'!$B$69/$U$140</f>
        <v/>
      </c>
      <c r="C141" s="17">
        <f>'Assumptions'!$B$5/$B$141</f>
        <v/>
      </c>
      <c r="D141" s="11">
        <f>'Assumptions'!$B$27*('Assumptions'!$B$44+'Assumptions'!$B$5/'Assumptions'!$B$27)/('Assumptions'!$B$44+'Assumptions'!$B$5/$B$141)</f>
        <v/>
      </c>
      <c r="E141" s="17">
        <f>'Assumptions'!$B$40*'Assumptions'!$B$27/$D$141</f>
        <v/>
      </c>
      <c r="F141" s="17">
        <f>$E$141-'Assumptions'!$B$40</f>
        <v/>
      </c>
      <c r="G141" s="11">
        <f>'Assumptions'!$B$25*('Assumptions'!$B$44+'Assumptions'!$B$5/'Assumptions'!$B$25)/('Assumptions'!$B$44+'Assumptions'!$B$5/$B$141)</f>
        <v/>
      </c>
      <c r="H141" s="17">
        <f>'Assumptions'!$B$38*'Assumptions'!$B$26/$G$141</f>
        <v/>
      </c>
      <c r="I141" s="17">
        <f>$H$141-'Assumptions'!$B$39</f>
        <v/>
      </c>
      <c r="J141" s="17">
        <f>MAX(0,'Assumptions'!$B$65*$V$140-'Assumptions'!$B$43)</f>
        <v/>
      </c>
      <c r="K141" s="17">
        <f>'Assumptions'!$B$44+$J$141+$F$141+$I$141+$T$140</f>
        <v/>
      </c>
      <c r="L141" s="11">
        <f>'Assumptions'!$B$57/$K$141</f>
        <v/>
      </c>
      <c r="M141" s="11">
        <f>$B$141*(1-'Assumptions'!$B$58)</f>
        <v/>
      </c>
      <c r="N141" s="11">
        <f>MIN($L$141,$M$141)</f>
        <v/>
      </c>
      <c r="O141" s="17">
        <f>'Assumptions'!$B$56/$N$141</f>
        <v/>
      </c>
      <c r="P141" s="17">
        <f>'Assumptions'!$B$44+$J$141+$F$141+$I$141+$O$141</f>
        <v/>
      </c>
      <c r="Q141" s="11">
        <f>'Assumptions'!$B$60/$P$141</f>
        <v/>
      </c>
      <c r="R141" s="11">
        <f>$B$141*(1-'Assumptions'!$B$61)</f>
        <v/>
      </c>
      <c r="S141" s="11">
        <f>MIN($Q$141,$R$141)</f>
        <v/>
      </c>
      <c r="T141" s="17">
        <f>'Assumptions'!$B$59/$S$141</f>
        <v/>
      </c>
      <c r="U141" s="17">
        <f>'Assumptions'!$B$44+$J$141+$F$141+$I$141+$O$141+$T$141</f>
        <v/>
      </c>
      <c r="V141" s="17">
        <f>$U$141+$C$141</f>
        <v/>
      </c>
    </row>
    <row r="142">
      <c r="A142" t="n">
        <v>5</v>
      </c>
      <c r="B142" s="11">
        <f>'Assumptions'!$B$69/$U$141</f>
        <v/>
      </c>
      <c r="C142" s="17">
        <f>'Assumptions'!$B$5/$B$142</f>
        <v/>
      </c>
      <c r="D142" s="11">
        <f>'Assumptions'!$B$27*('Assumptions'!$B$44+'Assumptions'!$B$5/'Assumptions'!$B$27)/('Assumptions'!$B$44+'Assumptions'!$B$5/$B$142)</f>
        <v/>
      </c>
      <c r="E142" s="17">
        <f>'Assumptions'!$B$40*'Assumptions'!$B$27/$D$142</f>
        <v/>
      </c>
      <c r="F142" s="17">
        <f>$E$142-'Assumptions'!$B$40</f>
        <v/>
      </c>
      <c r="G142" s="11">
        <f>'Assumptions'!$B$25*('Assumptions'!$B$44+'Assumptions'!$B$5/'Assumptions'!$B$25)/('Assumptions'!$B$44+'Assumptions'!$B$5/$B$142)</f>
        <v/>
      </c>
      <c r="H142" s="17">
        <f>'Assumptions'!$B$38*'Assumptions'!$B$26/$G$142</f>
        <v/>
      </c>
      <c r="I142" s="17">
        <f>$H$142-'Assumptions'!$B$39</f>
        <v/>
      </c>
      <c r="J142" s="17">
        <f>MAX(0,'Assumptions'!$B$65*$V$141-'Assumptions'!$B$43)</f>
        <v/>
      </c>
      <c r="K142" s="17">
        <f>'Assumptions'!$B$44+$J$142+$F$142+$I$142+$T$141</f>
        <v/>
      </c>
      <c r="L142" s="11">
        <f>'Assumptions'!$B$57/$K$142</f>
        <v/>
      </c>
      <c r="M142" s="11">
        <f>$B$142*(1-'Assumptions'!$B$58)</f>
        <v/>
      </c>
      <c r="N142" s="11">
        <f>MIN($L$142,$M$142)</f>
        <v/>
      </c>
      <c r="O142" s="17">
        <f>'Assumptions'!$B$56/$N$142</f>
        <v/>
      </c>
      <c r="P142" s="17">
        <f>'Assumptions'!$B$44+$J$142+$F$142+$I$142+$O$142</f>
        <v/>
      </c>
      <c r="Q142" s="11">
        <f>'Assumptions'!$B$60/$P$142</f>
        <v/>
      </c>
      <c r="R142" s="11">
        <f>$B$142*(1-'Assumptions'!$B$61)</f>
        <v/>
      </c>
      <c r="S142" s="11">
        <f>MIN($Q$142,$R$142)</f>
        <v/>
      </c>
      <c r="T142" s="17">
        <f>'Assumptions'!$B$59/$S$142</f>
        <v/>
      </c>
      <c r="U142" s="17">
        <f>'Assumptions'!$B$44+$J$142+$F$142+$I$142+$O$142+$T$142</f>
        <v/>
      </c>
      <c r="V142" s="17">
        <f>$U$142+$C$142</f>
        <v/>
      </c>
    </row>
    <row r="143">
      <c r="A143" t="n">
        <v>6</v>
      </c>
      <c r="B143" s="11">
        <f>'Assumptions'!$B$69/$U$142</f>
        <v/>
      </c>
      <c r="C143" s="17">
        <f>'Assumptions'!$B$5/$B$143</f>
        <v/>
      </c>
      <c r="D143" s="11">
        <f>'Assumptions'!$B$27*('Assumptions'!$B$44+'Assumptions'!$B$5/'Assumptions'!$B$27)/('Assumptions'!$B$44+'Assumptions'!$B$5/$B$143)</f>
        <v/>
      </c>
      <c r="E143" s="17">
        <f>'Assumptions'!$B$40*'Assumptions'!$B$27/$D$143</f>
        <v/>
      </c>
      <c r="F143" s="17">
        <f>$E$143-'Assumptions'!$B$40</f>
        <v/>
      </c>
      <c r="G143" s="11">
        <f>'Assumptions'!$B$25*('Assumptions'!$B$44+'Assumptions'!$B$5/'Assumptions'!$B$25)/('Assumptions'!$B$44+'Assumptions'!$B$5/$B$143)</f>
        <v/>
      </c>
      <c r="H143" s="17">
        <f>'Assumptions'!$B$38*'Assumptions'!$B$26/$G$143</f>
        <v/>
      </c>
      <c r="I143" s="17">
        <f>$H$143-'Assumptions'!$B$39</f>
        <v/>
      </c>
      <c r="J143" s="17">
        <f>MAX(0,'Assumptions'!$B$65*$V$142-'Assumptions'!$B$43)</f>
        <v/>
      </c>
      <c r="K143" s="17">
        <f>'Assumptions'!$B$44+$J$143+$F$143+$I$143+$T$142</f>
        <v/>
      </c>
      <c r="L143" s="11">
        <f>'Assumptions'!$B$57/$K$143</f>
        <v/>
      </c>
      <c r="M143" s="11">
        <f>$B$143*(1-'Assumptions'!$B$58)</f>
        <v/>
      </c>
      <c r="N143" s="11">
        <f>MIN($L$143,$M$143)</f>
        <v/>
      </c>
      <c r="O143" s="17">
        <f>'Assumptions'!$B$56/$N$143</f>
        <v/>
      </c>
      <c r="P143" s="17">
        <f>'Assumptions'!$B$44+$J$143+$F$143+$I$143+$O$143</f>
        <v/>
      </c>
      <c r="Q143" s="11">
        <f>'Assumptions'!$B$60/$P$143</f>
        <v/>
      </c>
      <c r="R143" s="11">
        <f>$B$143*(1-'Assumptions'!$B$61)</f>
        <v/>
      </c>
      <c r="S143" s="11">
        <f>MIN($Q$143,$R$143)</f>
        <v/>
      </c>
      <c r="T143" s="17">
        <f>'Assumptions'!$B$59/$S$143</f>
        <v/>
      </c>
      <c r="U143" s="17">
        <f>'Assumptions'!$B$44+$J$143+$F$143+$I$143+$O$143+$T$143</f>
        <v/>
      </c>
      <c r="V143" s="17">
        <f>$U$143+$C$143</f>
        <v/>
      </c>
    </row>
    <row r="144">
      <c r="A144" t="n">
        <v>7</v>
      </c>
      <c r="B144" s="11">
        <f>'Assumptions'!$B$69/$U$143</f>
        <v/>
      </c>
      <c r="C144" s="17">
        <f>'Assumptions'!$B$5/$B$144</f>
        <v/>
      </c>
      <c r="D144" s="11">
        <f>'Assumptions'!$B$27*('Assumptions'!$B$44+'Assumptions'!$B$5/'Assumptions'!$B$27)/('Assumptions'!$B$44+'Assumptions'!$B$5/$B$144)</f>
        <v/>
      </c>
      <c r="E144" s="17">
        <f>'Assumptions'!$B$40*'Assumptions'!$B$27/$D$144</f>
        <v/>
      </c>
      <c r="F144" s="17">
        <f>$E$144-'Assumptions'!$B$40</f>
        <v/>
      </c>
      <c r="G144" s="11">
        <f>'Assumptions'!$B$25*('Assumptions'!$B$44+'Assumptions'!$B$5/'Assumptions'!$B$25)/('Assumptions'!$B$44+'Assumptions'!$B$5/$B$144)</f>
        <v/>
      </c>
      <c r="H144" s="17">
        <f>'Assumptions'!$B$38*'Assumptions'!$B$26/$G$144</f>
        <v/>
      </c>
      <c r="I144" s="17">
        <f>$H$144-'Assumptions'!$B$39</f>
        <v/>
      </c>
      <c r="J144" s="17">
        <f>MAX(0,'Assumptions'!$B$65*$V$143-'Assumptions'!$B$43)</f>
        <v/>
      </c>
      <c r="K144" s="17">
        <f>'Assumptions'!$B$44+$J$144+$F$144+$I$144+$T$143</f>
        <v/>
      </c>
      <c r="L144" s="11">
        <f>'Assumptions'!$B$57/$K$144</f>
        <v/>
      </c>
      <c r="M144" s="11">
        <f>$B$144*(1-'Assumptions'!$B$58)</f>
        <v/>
      </c>
      <c r="N144" s="11">
        <f>MIN($L$144,$M$144)</f>
        <v/>
      </c>
      <c r="O144" s="17">
        <f>'Assumptions'!$B$56/$N$144</f>
        <v/>
      </c>
      <c r="P144" s="17">
        <f>'Assumptions'!$B$44+$J$144+$F$144+$I$144+$O$144</f>
        <v/>
      </c>
      <c r="Q144" s="11">
        <f>'Assumptions'!$B$60/$P$144</f>
        <v/>
      </c>
      <c r="R144" s="11">
        <f>$B$144*(1-'Assumptions'!$B$61)</f>
        <v/>
      </c>
      <c r="S144" s="11">
        <f>MIN($Q$144,$R$144)</f>
        <v/>
      </c>
      <c r="T144" s="17">
        <f>'Assumptions'!$B$59/$S$144</f>
        <v/>
      </c>
      <c r="U144" s="17">
        <f>'Assumptions'!$B$44+$J$144+$F$144+$I$144+$O$144+$T$144</f>
        <v/>
      </c>
      <c r="V144" s="17">
        <f>$U$144+$C$144</f>
        <v/>
      </c>
    </row>
    <row r="145">
      <c r="A145" t="n">
        <v>8</v>
      </c>
      <c r="B145" s="11">
        <f>'Assumptions'!$B$69/$U$144</f>
        <v/>
      </c>
      <c r="C145" s="17">
        <f>'Assumptions'!$B$5/$B$145</f>
        <v/>
      </c>
      <c r="D145" s="11">
        <f>'Assumptions'!$B$27*('Assumptions'!$B$44+'Assumptions'!$B$5/'Assumptions'!$B$27)/('Assumptions'!$B$44+'Assumptions'!$B$5/$B$145)</f>
        <v/>
      </c>
      <c r="E145" s="17">
        <f>'Assumptions'!$B$40*'Assumptions'!$B$27/$D$145</f>
        <v/>
      </c>
      <c r="F145" s="17">
        <f>$E$145-'Assumptions'!$B$40</f>
        <v/>
      </c>
      <c r="G145" s="11">
        <f>'Assumptions'!$B$25*('Assumptions'!$B$44+'Assumptions'!$B$5/'Assumptions'!$B$25)/('Assumptions'!$B$44+'Assumptions'!$B$5/$B$145)</f>
        <v/>
      </c>
      <c r="H145" s="17">
        <f>'Assumptions'!$B$38*'Assumptions'!$B$26/$G$145</f>
        <v/>
      </c>
      <c r="I145" s="17">
        <f>$H$145-'Assumptions'!$B$39</f>
        <v/>
      </c>
      <c r="J145" s="17">
        <f>MAX(0,'Assumptions'!$B$65*$V$144-'Assumptions'!$B$43)</f>
        <v/>
      </c>
      <c r="K145" s="17">
        <f>'Assumptions'!$B$44+$J$145+$F$145+$I$145+$T$144</f>
        <v/>
      </c>
      <c r="L145" s="11">
        <f>'Assumptions'!$B$57/$K$145</f>
        <v/>
      </c>
      <c r="M145" s="11">
        <f>$B$145*(1-'Assumptions'!$B$58)</f>
        <v/>
      </c>
      <c r="N145" s="11">
        <f>MIN($L$145,$M$145)</f>
        <v/>
      </c>
      <c r="O145" s="17">
        <f>'Assumptions'!$B$56/$N$145</f>
        <v/>
      </c>
      <c r="P145" s="17">
        <f>'Assumptions'!$B$44+$J$145+$F$145+$I$145+$O$145</f>
        <v/>
      </c>
      <c r="Q145" s="11">
        <f>'Assumptions'!$B$60/$P$145</f>
        <v/>
      </c>
      <c r="R145" s="11">
        <f>$B$145*(1-'Assumptions'!$B$61)</f>
        <v/>
      </c>
      <c r="S145" s="11">
        <f>MIN($Q$145,$R$145)</f>
        <v/>
      </c>
      <c r="T145" s="17">
        <f>'Assumptions'!$B$59/$S$145</f>
        <v/>
      </c>
      <c r="U145" s="17">
        <f>'Assumptions'!$B$44+$J$145+$F$145+$I$145+$O$145+$T$145</f>
        <v/>
      </c>
      <c r="V145" s="17">
        <f>$U$145+$C$145</f>
        <v/>
      </c>
    </row>
    <row r="146">
      <c r="A146" t="n">
        <v>9</v>
      </c>
      <c r="B146" s="11">
        <f>'Assumptions'!$B$69/$U$145</f>
        <v/>
      </c>
      <c r="C146" s="17">
        <f>'Assumptions'!$B$5/$B$146</f>
        <v/>
      </c>
      <c r="D146" s="11">
        <f>'Assumptions'!$B$27*('Assumptions'!$B$44+'Assumptions'!$B$5/'Assumptions'!$B$27)/('Assumptions'!$B$44+'Assumptions'!$B$5/$B$146)</f>
        <v/>
      </c>
      <c r="E146" s="17">
        <f>'Assumptions'!$B$40*'Assumptions'!$B$27/$D$146</f>
        <v/>
      </c>
      <c r="F146" s="17">
        <f>$E$146-'Assumptions'!$B$40</f>
        <v/>
      </c>
      <c r="G146" s="11">
        <f>'Assumptions'!$B$25*('Assumptions'!$B$44+'Assumptions'!$B$5/'Assumptions'!$B$25)/('Assumptions'!$B$44+'Assumptions'!$B$5/$B$146)</f>
        <v/>
      </c>
      <c r="H146" s="17">
        <f>'Assumptions'!$B$38*'Assumptions'!$B$26/$G$146</f>
        <v/>
      </c>
      <c r="I146" s="17">
        <f>$H$146-'Assumptions'!$B$39</f>
        <v/>
      </c>
      <c r="J146" s="17">
        <f>MAX(0,'Assumptions'!$B$65*$V$145-'Assumptions'!$B$43)</f>
        <v/>
      </c>
      <c r="K146" s="17">
        <f>'Assumptions'!$B$44+$J$146+$F$146+$I$146+$T$145</f>
        <v/>
      </c>
      <c r="L146" s="11">
        <f>'Assumptions'!$B$57/$K$146</f>
        <v/>
      </c>
      <c r="M146" s="11">
        <f>$B$146*(1-'Assumptions'!$B$58)</f>
        <v/>
      </c>
      <c r="N146" s="11">
        <f>MIN($L$146,$M$146)</f>
        <v/>
      </c>
      <c r="O146" s="17">
        <f>'Assumptions'!$B$56/$N$146</f>
        <v/>
      </c>
      <c r="P146" s="17">
        <f>'Assumptions'!$B$44+$J$146+$F$146+$I$146+$O$146</f>
        <v/>
      </c>
      <c r="Q146" s="11">
        <f>'Assumptions'!$B$60/$P$146</f>
        <v/>
      </c>
      <c r="R146" s="11">
        <f>$B$146*(1-'Assumptions'!$B$61)</f>
        <v/>
      </c>
      <c r="S146" s="11">
        <f>MIN($Q$146,$R$146)</f>
        <v/>
      </c>
      <c r="T146" s="17">
        <f>'Assumptions'!$B$59/$S$146</f>
        <v/>
      </c>
      <c r="U146" s="17">
        <f>'Assumptions'!$B$44+$J$146+$F$146+$I$146+$O$146+$T$146</f>
        <v/>
      </c>
      <c r="V146" s="17">
        <f>$U$146+$C$146</f>
        <v/>
      </c>
    </row>
    <row r="147">
      <c r="A147" t="n">
        <v>10</v>
      </c>
      <c r="B147" s="11">
        <f>'Assumptions'!$B$69/$U$146</f>
        <v/>
      </c>
      <c r="C147" s="17">
        <f>'Assumptions'!$B$5/$B$147</f>
        <v/>
      </c>
      <c r="D147" s="11">
        <f>'Assumptions'!$B$27*('Assumptions'!$B$44+'Assumptions'!$B$5/'Assumptions'!$B$27)/('Assumptions'!$B$44+'Assumptions'!$B$5/$B$147)</f>
        <v/>
      </c>
      <c r="E147" s="17">
        <f>'Assumptions'!$B$40*'Assumptions'!$B$27/$D$147</f>
        <v/>
      </c>
      <c r="F147" s="17">
        <f>$E$147-'Assumptions'!$B$40</f>
        <v/>
      </c>
      <c r="G147" s="11">
        <f>'Assumptions'!$B$25*('Assumptions'!$B$44+'Assumptions'!$B$5/'Assumptions'!$B$25)/('Assumptions'!$B$44+'Assumptions'!$B$5/$B$147)</f>
        <v/>
      </c>
      <c r="H147" s="17">
        <f>'Assumptions'!$B$38*'Assumptions'!$B$26/$G$147</f>
        <v/>
      </c>
      <c r="I147" s="17">
        <f>$H$147-'Assumptions'!$B$39</f>
        <v/>
      </c>
      <c r="J147" s="17">
        <f>MAX(0,'Assumptions'!$B$65*$V$146-'Assumptions'!$B$43)</f>
        <v/>
      </c>
      <c r="K147" s="17">
        <f>'Assumptions'!$B$44+$J$147+$F$147+$I$147+$T$146</f>
        <v/>
      </c>
      <c r="L147" s="11">
        <f>'Assumptions'!$B$57/$K$147</f>
        <v/>
      </c>
      <c r="M147" s="11">
        <f>$B$147*(1-'Assumptions'!$B$58)</f>
        <v/>
      </c>
      <c r="N147" s="11">
        <f>MIN($L$147,$M$147)</f>
        <v/>
      </c>
      <c r="O147" s="17">
        <f>'Assumptions'!$B$56/$N$147</f>
        <v/>
      </c>
      <c r="P147" s="17">
        <f>'Assumptions'!$B$44+$J$147+$F$147+$I$147+$O$147</f>
        <v/>
      </c>
      <c r="Q147" s="11">
        <f>'Assumptions'!$B$60/$P$147</f>
        <v/>
      </c>
      <c r="R147" s="11">
        <f>$B$147*(1-'Assumptions'!$B$61)</f>
        <v/>
      </c>
      <c r="S147" s="11">
        <f>MIN($Q$147,$R$147)</f>
        <v/>
      </c>
      <c r="T147" s="17">
        <f>'Assumptions'!$B$59/$S$147</f>
        <v/>
      </c>
      <c r="U147" s="17">
        <f>'Assumptions'!$B$44+$J$147+$F$147+$I$147+$O$147+$T$147</f>
        <v/>
      </c>
      <c r="V147" s="17">
        <f>$U$147+$C$147</f>
        <v/>
      </c>
    </row>
    <row r="148">
      <c r="A148" t="n">
        <v>11</v>
      </c>
      <c r="B148" s="11">
        <f>'Assumptions'!$B$69/$U$147</f>
        <v/>
      </c>
      <c r="C148" s="17">
        <f>'Assumptions'!$B$5/$B$148</f>
        <v/>
      </c>
      <c r="D148" s="11">
        <f>'Assumptions'!$B$27*('Assumptions'!$B$44+'Assumptions'!$B$5/'Assumptions'!$B$27)/('Assumptions'!$B$44+'Assumptions'!$B$5/$B$148)</f>
        <v/>
      </c>
      <c r="E148" s="17">
        <f>'Assumptions'!$B$40*'Assumptions'!$B$27/$D$148</f>
        <v/>
      </c>
      <c r="F148" s="17">
        <f>$E$148-'Assumptions'!$B$40</f>
        <v/>
      </c>
      <c r="G148" s="11">
        <f>'Assumptions'!$B$25*('Assumptions'!$B$44+'Assumptions'!$B$5/'Assumptions'!$B$25)/('Assumptions'!$B$44+'Assumptions'!$B$5/$B$148)</f>
        <v/>
      </c>
      <c r="H148" s="17">
        <f>'Assumptions'!$B$38*'Assumptions'!$B$26/$G$148</f>
        <v/>
      </c>
      <c r="I148" s="17">
        <f>$H$148-'Assumptions'!$B$39</f>
        <v/>
      </c>
      <c r="J148" s="17">
        <f>MAX(0,'Assumptions'!$B$65*$V$147-'Assumptions'!$B$43)</f>
        <v/>
      </c>
      <c r="K148" s="17">
        <f>'Assumptions'!$B$44+$J$148+$F$148+$I$148+$T$147</f>
        <v/>
      </c>
      <c r="L148" s="11">
        <f>'Assumptions'!$B$57/$K$148</f>
        <v/>
      </c>
      <c r="M148" s="11">
        <f>$B$148*(1-'Assumptions'!$B$58)</f>
        <v/>
      </c>
      <c r="N148" s="11">
        <f>MIN($L$148,$M$148)</f>
        <v/>
      </c>
      <c r="O148" s="17">
        <f>'Assumptions'!$B$56/$N$148</f>
        <v/>
      </c>
      <c r="P148" s="17">
        <f>'Assumptions'!$B$44+$J$148+$F$148+$I$148+$O$148</f>
        <v/>
      </c>
      <c r="Q148" s="11">
        <f>'Assumptions'!$B$60/$P$148</f>
        <v/>
      </c>
      <c r="R148" s="11">
        <f>$B$148*(1-'Assumptions'!$B$61)</f>
        <v/>
      </c>
      <c r="S148" s="11">
        <f>MIN($Q$148,$R$148)</f>
        <v/>
      </c>
      <c r="T148" s="17">
        <f>'Assumptions'!$B$59/$S$148</f>
        <v/>
      </c>
      <c r="U148" s="17">
        <f>'Assumptions'!$B$44+$J$148+$F$148+$I$148+$O$148+$T$148</f>
        <v/>
      </c>
      <c r="V148" s="17">
        <f>$U$148+$C$148</f>
        <v/>
      </c>
    </row>
    <row r="149">
      <c r="A149" t="n">
        <v>12</v>
      </c>
      <c r="B149" s="11">
        <f>'Assumptions'!$B$69/$U$148</f>
        <v/>
      </c>
      <c r="C149" s="17">
        <f>'Assumptions'!$B$5/$B$149</f>
        <v/>
      </c>
      <c r="D149" s="11">
        <f>'Assumptions'!$B$27*('Assumptions'!$B$44+'Assumptions'!$B$5/'Assumptions'!$B$27)/('Assumptions'!$B$44+'Assumptions'!$B$5/$B$149)</f>
        <v/>
      </c>
      <c r="E149" s="17">
        <f>'Assumptions'!$B$40*'Assumptions'!$B$27/$D$149</f>
        <v/>
      </c>
      <c r="F149" s="17">
        <f>$E$149-'Assumptions'!$B$40</f>
        <v/>
      </c>
      <c r="G149" s="11">
        <f>'Assumptions'!$B$25*('Assumptions'!$B$44+'Assumptions'!$B$5/'Assumptions'!$B$25)/('Assumptions'!$B$44+'Assumptions'!$B$5/$B$149)</f>
        <v/>
      </c>
      <c r="H149" s="17">
        <f>'Assumptions'!$B$38*'Assumptions'!$B$26/$G$149</f>
        <v/>
      </c>
      <c r="I149" s="17">
        <f>$H$149-'Assumptions'!$B$39</f>
        <v/>
      </c>
      <c r="J149" s="17">
        <f>MAX(0,'Assumptions'!$B$65*$V$148-'Assumptions'!$B$43)</f>
        <v/>
      </c>
      <c r="K149" s="17">
        <f>'Assumptions'!$B$44+$J$149+$F$149+$I$149+$T$148</f>
        <v/>
      </c>
      <c r="L149" s="11">
        <f>'Assumptions'!$B$57/$K$149</f>
        <v/>
      </c>
      <c r="M149" s="11">
        <f>$B$149*(1-'Assumptions'!$B$58)</f>
        <v/>
      </c>
      <c r="N149" s="11">
        <f>MIN($L$149,$M$149)</f>
        <v/>
      </c>
      <c r="O149" s="17">
        <f>'Assumptions'!$B$56/$N$149</f>
        <v/>
      </c>
      <c r="P149" s="17">
        <f>'Assumptions'!$B$44+$J$149+$F$149+$I$149+$O$149</f>
        <v/>
      </c>
      <c r="Q149" s="11">
        <f>'Assumptions'!$B$60/$P$149</f>
        <v/>
      </c>
      <c r="R149" s="11">
        <f>$B$149*(1-'Assumptions'!$B$61)</f>
        <v/>
      </c>
      <c r="S149" s="11">
        <f>MIN($Q$149,$R$149)</f>
        <v/>
      </c>
      <c r="T149" s="17">
        <f>'Assumptions'!$B$59/$S$149</f>
        <v/>
      </c>
      <c r="U149" s="17">
        <f>'Assumptions'!$B$44+$J$149+$F$149+$I$149+$O$149+$T$149</f>
        <v/>
      </c>
      <c r="V149" s="17">
        <f>$U$149+$C$149</f>
        <v/>
      </c>
    </row>
    <row r="150">
      <c r="A150" t="n">
        <v>13</v>
      </c>
      <c r="B150" s="11">
        <f>'Assumptions'!$B$69/$U$149</f>
        <v/>
      </c>
      <c r="C150" s="17">
        <f>'Assumptions'!$B$5/$B$150</f>
        <v/>
      </c>
      <c r="D150" s="11">
        <f>'Assumptions'!$B$27*('Assumptions'!$B$44+'Assumptions'!$B$5/'Assumptions'!$B$27)/('Assumptions'!$B$44+'Assumptions'!$B$5/$B$150)</f>
        <v/>
      </c>
      <c r="E150" s="17">
        <f>'Assumptions'!$B$40*'Assumptions'!$B$27/$D$150</f>
        <v/>
      </c>
      <c r="F150" s="17">
        <f>$E$150-'Assumptions'!$B$40</f>
        <v/>
      </c>
      <c r="G150" s="11">
        <f>'Assumptions'!$B$25*('Assumptions'!$B$44+'Assumptions'!$B$5/'Assumptions'!$B$25)/('Assumptions'!$B$44+'Assumptions'!$B$5/$B$150)</f>
        <v/>
      </c>
      <c r="H150" s="17">
        <f>'Assumptions'!$B$38*'Assumptions'!$B$26/$G$150</f>
        <v/>
      </c>
      <c r="I150" s="17">
        <f>$H$150-'Assumptions'!$B$39</f>
        <v/>
      </c>
      <c r="J150" s="17">
        <f>MAX(0,'Assumptions'!$B$65*$V$149-'Assumptions'!$B$43)</f>
        <v/>
      </c>
      <c r="K150" s="17">
        <f>'Assumptions'!$B$44+$J$150+$F$150+$I$150+$T$149</f>
        <v/>
      </c>
      <c r="L150" s="11">
        <f>'Assumptions'!$B$57/$K$150</f>
        <v/>
      </c>
      <c r="M150" s="11">
        <f>$B$150*(1-'Assumptions'!$B$58)</f>
        <v/>
      </c>
      <c r="N150" s="11">
        <f>MIN($L$150,$M$150)</f>
        <v/>
      </c>
      <c r="O150" s="17">
        <f>'Assumptions'!$B$56/$N$150</f>
        <v/>
      </c>
      <c r="P150" s="17">
        <f>'Assumptions'!$B$44+$J$150+$F$150+$I$150+$O$150</f>
        <v/>
      </c>
      <c r="Q150" s="11">
        <f>'Assumptions'!$B$60/$P$150</f>
        <v/>
      </c>
      <c r="R150" s="11">
        <f>$B$150*(1-'Assumptions'!$B$61)</f>
        <v/>
      </c>
      <c r="S150" s="11">
        <f>MIN($Q$150,$R$150)</f>
        <v/>
      </c>
      <c r="T150" s="17">
        <f>'Assumptions'!$B$59/$S$150</f>
        <v/>
      </c>
      <c r="U150" s="17">
        <f>'Assumptions'!$B$44+$J$150+$F$150+$I$150+$O$150+$T$150</f>
        <v/>
      </c>
      <c r="V150" s="17">
        <f>$U$150+$C$150</f>
        <v/>
      </c>
    </row>
    <row r="151">
      <c r="A151" t="n">
        <v>14</v>
      </c>
      <c r="B151" s="11">
        <f>'Assumptions'!$B$69/$U$150</f>
        <v/>
      </c>
      <c r="C151" s="17">
        <f>'Assumptions'!$B$5/$B$151</f>
        <v/>
      </c>
      <c r="D151" s="11">
        <f>'Assumptions'!$B$27*('Assumptions'!$B$44+'Assumptions'!$B$5/'Assumptions'!$B$27)/('Assumptions'!$B$44+'Assumptions'!$B$5/$B$151)</f>
        <v/>
      </c>
      <c r="E151" s="17">
        <f>'Assumptions'!$B$40*'Assumptions'!$B$27/$D$151</f>
        <v/>
      </c>
      <c r="F151" s="17">
        <f>$E$151-'Assumptions'!$B$40</f>
        <v/>
      </c>
      <c r="G151" s="11">
        <f>'Assumptions'!$B$25*('Assumptions'!$B$44+'Assumptions'!$B$5/'Assumptions'!$B$25)/('Assumptions'!$B$44+'Assumptions'!$B$5/$B$151)</f>
        <v/>
      </c>
      <c r="H151" s="17">
        <f>'Assumptions'!$B$38*'Assumptions'!$B$26/$G$151</f>
        <v/>
      </c>
      <c r="I151" s="17">
        <f>$H$151-'Assumptions'!$B$39</f>
        <v/>
      </c>
      <c r="J151" s="17">
        <f>MAX(0,'Assumptions'!$B$65*$V$150-'Assumptions'!$B$43)</f>
        <v/>
      </c>
      <c r="K151" s="17">
        <f>'Assumptions'!$B$44+$J$151+$F$151+$I$151+$T$150</f>
        <v/>
      </c>
      <c r="L151" s="11">
        <f>'Assumptions'!$B$57/$K$151</f>
        <v/>
      </c>
      <c r="M151" s="11">
        <f>$B$151*(1-'Assumptions'!$B$58)</f>
        <v/>
      </c>
      <c r="N151" s="11">
        <f>MIN($L$151,$M$151)</f>
        <v/>
      </c>
      <c r="O151" s="17">
        <f>'Assumptions'!$B$56/$N$151</f>
        <v/>
      </c>
      <c r="P151" s="17">
        <f>'Assumptions'!$B$44+$J$151+$F$151+$I$151+$O$151</f>
        <v/>
      </c>
      <c r="Q151" s="11">
        <f>'Assumptions'!$B$60/$P$151</f>
        <v/>
      </c>
      <c r="R151" s="11">
        <f>$B$151*(1-'Assumptions'!$B$61)</f>
        <v/>
      </c>
      <c r="S151" s="11">
        <f>MIN($Q$151,$R$151)</f>
        <v/>
      </c>
      <c r="T151" s="17">
        <f>'Assumptions'!$B$59/$S$151</f>
        <v/>
      </c>
      <c r="U151" s="17">
        <f>'Assumptions'!$B$44+$J$151+$F$151+$I$151+$O$151+$T$151</f>
        <v/>
      </c>
      <c r="V151" s="17">
        <f>$U$151+$C$151</f>
        <v/>
      </c>
    </row>
    <row r="152">
      <c r="A152" t="n">
        <v>15</v>
      </c>
      <c r="B152" s="11">
        <f>'Assumptions'!$B$69/$U$151</f>
        <v/>
      </c>
      <c r="C152" s="17">
        <f>'Assumptions'!$B$5/$B$152</f>
        <v/>
      </c>
      <c r="D152" s="11">
        <f>'Assumptions'!$B$27*('Assumptions'!$B$44+'Assumptions'!$B$5/'Assumptions'!$B$27)/('Assumptions'!$B$44+'Assumptions'!$B$5/$B$152)</f>
        <v/>
      </c>
      <c r="E152" s="17">
        <f>'Assumptions'!$B$40*'Assumptions'!$B$27/$D$152</f>
        <v/>
      </c>
      <c r="F152" s="17">
        <f>$E$152-'Assumptions'!$B$40</f>
        <v/>
      </c>
      <c r="G152" s="11">
        <f>'Assumptions'!$B$25*('Assumptions'!$B$44+'Assumptions'!$B$5/'Assumptions'!$B$25)/('Assumptions'!$B$44+'Assumptions'!$B$5/$B$152)</f>
        <v/>
      </c>
      <c r="H152" s="17">
        <f>'Assumptions'!$B$38*'Assumptions'!$B$26/$G$152</f>
        <v/>
      </c>
      <c r="I152" s="17">
        <f>$H$152-'Assumptions'!$B$39</f>
        <v/>
      </c>
      <c r="J152" s="17">
        <f>MAX(0,'Assumptions'!$B$65*$V$151-'Assumptions'!$B$43)</f>
        <v/>
      </c>
      <c r="K152" s="17">
        <f>'Assumptions'!$B$44+$J$152+$F$152+$I$152+$T$151</f>
        <v/>
      </c>
      <c r="L152" s="11">
        <f>'Assumptions'!$B$57/$K$152</f>
        <v/>
      </c>
      <c r="M152" s="11">
        <f>$B$152*(1-'Assumptions'!$B$58)</f>
        <v/>
      </c>
      <c r="N152" s="11">
        <f>MIN($L$152,$M$152)</f>
        <v/>
      </c>
      <c r="O152" s="17">
        <f>'Assumptions'!$B$56/$N$152</f>
        <v/>
      </c>
      <c r="P152" s="17">
        <f>'Assumptions'!$B$44+$J$152+$F$152+$I$152+$O$152</f>
        <v/>
      </c>
      <c r="Q152" s="11">
        <f>'Assumptions'!$B$60/$P$152</f>
        <v/>
      </c>
      <c r="R152" s="11">
        <f>$B$152*(1-'Assumptions'!$B$61)</f>
        <v/>
      </c>
      <c r="S152" s="11">
        <f>MIN($Q$152,$R$152)</f>
        <v/>
      </c>
      <c r="T152" s="17">
        <f>'Assumptions'!$B$59/$S$152</f>
        <v/>
      </c>
      <c r="U152" s="17">
        <f>'Assumptions'!$B$44+$J$152+$F$152+$I$152+$O$152+$T$152</f>
        <v/>
      </c>
      <c r="V152" s="17">
        <f>$U$152+$C$152</f>
        <v/>
      </c>
      <c r="W152">
        <f>IF('Sensitivity'!$L$152&lt;'Sensitivity'!$M$152,"cap","discount")</f>
        <v/>
      </c>
      <c r="X152">
        <f>IF('Sensitivity'!$Q$152&lt;'Sensitivity'!$R$152,"cap","discount")</f>
        <v/>
      </c>
    </row>
    <row r="155">
      <c r="A155" s="10" t="inlineStr">
        <is>
          <t>Cell (15%, $1.2B)</t>
        </is>
      </c>
    </row>
    <row r="156">
      <c r="A156" s="13" t="inlineStr">
        <is>
          <t>Iter</t>
        </is>
      </c>
      <c r="B156" s="13" t="inlineStr">
        <is>
          <t>F_PPS</t>
        </is>
      </c>
      <c r="C156" s="13" t="inlineStr">
        <is>
          <t>F_prim_shares</t>
        </is>
      </c>
      <c r="D156" s="13" t="inlineStr">
        <is>
          <t>NCP_E</t>
        </is>
      </c>
      <c r="E156" s="13" t="inlineStr">
        <is>
          <t>new_E_shares</t>
        </is>
      </c>
      <c r="F156" s="13" t="inlineStr">
        <is>
          <t>AD_inc_E</t>
        </is>
      </c>
      <c r="G156" s="13" t="inlineStr">
        <is>
          <t>NCP_D</t>
        </is>
      </c>
      <c r="H156" s="13" t="inlineStr">
        <is>
          <t>new_D_shares</t>
        </is>
      </c>
      <c r="I156" s="13" t="inlineStr">
        <is>
          <t>AD_inc_D</t>
        </is>
      </c>
      <c r="J156" s="13" t="inlineStr">
        <is>
          <t>ESOP_topup</t>
        </is>
      </c>
      <c r="K156" s="13" t="inlineStr">
        <is>
          <t>cap_FD_A</t>
        </is>
      </c>
      <c r="L156" s="13" t="inlineStr">
        <is>
          <t>cap_pps_A</t>
        </is>
      </c>
      <c r="M156" s="13" t="inlineStr">
        <is>
          <t>disc_pps_A</t>
        </is>
      </c>
      <c r="N156" s="13" t="inlineStr">
        <is>
          <t>conv_pps_A</t>
        </is>
      </c>
      <c r="O156" s="13" t="inlineStr">
        <is>
          <t>N_A</t>
        </is>
      </c>
      <c r="P156" s="13" t="inlineStr">
        <is>
          <t>cap_FD_B</t>
        </is>
      </c>
      <c r="Q156" s="13" t="inlineStr">
        <is>
          <t>cap_pps_B</t>
        </is>
      </c>
      <c r="R156" s="13" t="inlineStr">
        <is>
          <t>disc_pps_B</t>
        </is>
      </c>
      <c r="S156" s="13" t="inlineStr">
        <is>
          <t>conv_pps_B</t>
        </is>
      </c>
      <c r="T156" s="13" t="inlineStr">
        <is>
          <t>N_B</t>
        </is>
      </c>
      <c r="U156" s="13" t="inlineStr">
        <is>
          <t>pre_money_FD</t>
        </is>
      </c>
      <c r="V156" s="13" t="inlineStr">
        <is>
          <t>T_F</t>
        </is>
      </c>
    </row>
    <row r="157">
      <c r="A157" t="n">
        <v>0</v>
      </c>
      <c r="B157" s="11">
        <f>'Assumptions'!$B$67/'Assumptions'!$B$44</f>
        <v/>
      </c>
      <c r="C157" s="17">
        <f>'Assumptions'!$B$5/$B$157</f>
        <v/>
      </c>
      <c r="D157" s="11">
        <f>'Assumptions'!$B$27*('Assumptions'!$B$44+'Assumptions'!$B$5/'Assumptions'!$B$27)/('Assumptions'!$B$44+'Assumptions'!$B$5/$B$157)</f>
        <v/>
      </c>
      <c r="E157" s="17">
        <f>'Assumptions'!$B$40*'Assumptions'!$B$27/$D$157</f>
        <v/>
      </c>
      <c r="F157" s="17">
        <f>$E$157-'Assumptions'!$B$40</f>
        <v/>
      </c>
      <c r="G157" s="11">
        <f>'Assumptions'!$B$25*('Assumptions'!$B$44+'Assumptions'!$B$5/'Assumptions'!$B$25)/('Assumptions'!$B$44+'Assumptions'!$B$5/$B$157)</f>
        <v/>
      </c>
      <c r="H157" s="17">
        <f>'Assumptions'!$B$38*'Assumptions'!$B$26/$G$157</f>
        <v/>
      </c>
      <c r="I157" s="17">
        <f>$H$157-'Assumptions'!$B$39</f>
        <v/>
      </c>
      <c r="J157" s="17">
        <f>MAX(0,'Assumptions'!$B$66*('Assumptions'!$B$44+$F$157+$I$157+$C$157)/(1-'Assumptions'!$B$66)-'Assumptions'!$B$43)</f>
        <v/>
      </c>
      <c r="K157" s="17">
        <f>'Assumptions'!$B$44+$J$157+$F$157+$I$157+0</f>
        <v/>
      </c>
      <c r="L157" s="11">
        <f>'Assumptions'!$B$57/$K$157</f>
        <v/>
      </c>
      <c r="M157" s="11">
        <f>$B$157*(1-'Assumptions'!$B$58)</f>
        <v/>
      </c>
      <c r="N157" s="11">
        <f>MIN($L$157,$M$157)</f>
        <v/>
      </c>
      <c r="O157" s="17">
        <f>'Assumptions'!$B$56/$N$157</f>
        <v/>
      </c>
      <c r="P157" s="17">
        <f>'Assumptions'!$B$44+$J$157+$F$157+$I$157+$O$157</f>
        <v/>
      </c>
      <c r="Q157" s="11">
        <f>'Assumptions'!$B$60/$P$157</f>
        <v/>
      </c>
      <c r="R157" s="11">
        <f>$B$157*(1-'Assumptions'!$B$61)</f>
        <v/>
      </c>
      <c r="S157" s="11">
        <f>MIN($Q$157,$R$157)</f>
        <v/>
      </c>
      <c r="T157" s="17">
        <f>'Assumptions'!$B$59/$S$157</f>
        <v/>
      </c>
      <c r="U157" s="17">
        <f>'Assumptions'!$B$44+$J$157+$F$157+$I$157+$O$157+$T$157</f>
        <v/>
      </c>
      <c r="V157" s="17">
        <f>$U$157+$C$157</f>
        <v/>
      </c>
    </row>
    <row r="158">
      <c r="A158" t="n">
        <v>1</v>
      </c>
      <c r="B158" s="11">
        <f>'Assumptions'!$B$67/$U$157</f>
        <v/>
      </c>
      <c r="C158" s="17">
        <f>'Assumptions'!$B$5/$B$158</f>
        <v/>
      </c>
      <c r="D158" s="11">
        <f>'Assumptions'!$B$27*('Assumptions'!$B$44+'Assumptions'!$B$5/'Assumptions'!$B$27)/('Assumptions'!$B$44+'Assumptions'!$B$5/$B$158)</f>
        <v/>
      </c>
      <c r="E158" s="17">
        <f>'Assumptions'!$B$40*'Assumptions'!$B$27/$D$158</f>
        <v/>
      </c>
      <c r="F158" s="17">
        <f>$E$158-'Assumptions'!$B$40</f>
        <v/>
      </c>
      <c r="G158" s="11">
        <f>'Assumptions'!$B$25*('Assumptions'!$B$44+'Assumptions'!$B$5/'Assumptions'!$B$25)/('Assumptions'!$B$44+'Assumptions'!$B$5/$B$158)</f>
        <v/>
      </c>
      <c r="H158" s="17">
        <f>'Assumptions'!$B$38*'Assumptions'!$B$26/$G$158</f>
        <v/>
      </c>
      <c r="I158" s="17">
        <f>$H$158-'Assumptions'!$B$39</f>
        <v/>
      </c>
      <c r="J158" s="17">
        <f>MAX(0,'Assumptions'!$B$66*$V$157-'Assumptions'!$B$43)</f>
        <v/>
      </c>
      <c r="K158" s="17">
        <f>'Assumptions'!$B$44+$J$158+$F$158+$I$158+$T$157</f>
        <v/>
      </c>
      <c r="L158" s="11">
        <f>'Assumptions'!$B$57/$K$158</f>
        <v/>
      </c>
      <c r="M158" s="11">
        <f>$B$158*(1-'Assumptions'!$B$58)</f>
        <v/>
      </c>
      <c r="N158" s="11">
        <f>MIN($L$158,$M$158)</f>
        <v/>
      </c>
      <c r="O158" s="17">
        <f>'Assumptions'!$B$56/$N$158</f>
        <v/>
      </c>
      <c r="P158" s="17">
        <f>'Assumptions'!$B$44+$J$158+$F$158+$I$158+$O$158</f>
        <v/>
      </c>
      <c r="Q158" s="11">
        <f>'Assumptions'!$B$60/$P$158</f>
        <v/>
      </c>
      <c r="R158" s="11">
        <f>$B$158*(1-'Assumptions'!$B$61)</f>
        <v/>
      </c>
      <c r="S158" s="11">
        <f>MIN($Q$158,$R$158)</f>
        <v/>
      </c>
      <c r="T158" s="17">
        <f>'Assumptions'!$B$59/$S$158</f>
        <v/>
      </c>
      <c r="U158" s="17">
        <f>'Assumptions'!$B$44+$J$158+$F$158+$I$158+$O$158+$T$158</f>
        <v/>
      </c>
      <c r="V158" s="17">
        <f>$U$158+$C$158</f>
        <v/>
      </c>
    </row>
    <row r="159">
      <c r="A159" t="n">
        <v>2</v>
      </c>
      <c r="B159" s="11">
        <f>'Assumptions'!$B$67/$U$158</f>
        <v/>
      </c>
      <c r="C159" s="17">
        <f>'Assumptions'!$B$5/$B$159</f>
        <v/>
      </c>
      <c r="D159" s="11">
        <f>'Assumptions'!$B$27*('Assumptions'!$B$44+'Assumptions'!$B$5/'Assumptions'!$B$27)/('Assumptions'!$B$44+'Assumptions'!$B$5/$B$159)</f>
        <v/>
      </c>
      <c r="E159" s="17">
        <f>'Assumptions'!$B$40*'Assumptions'!$B$27/$D$159</f>
        <v/>
      </c>
      <c r="F159" s="17">
        <f>$E$159-'Assumptions'!$B$40</f>
        <v/>
      </c>
      <c r="G159" s="11">
        <f>'Assumptions'!$B$25*('Assumptions'!$B$44+'Assumptions'!$B$5/'Assumptions'!$B$25)/('Assumptions'!$B$44+'Assumptions'!$B$5/$B$159)</f>
        <v/>
      </c>
      <c r="H159" s="17">
        <f>'Assumptions'!$B$38*'Assumptions'!$B$26/$G$159</f>
        <v/>
      </c>
      <c r="I159" s="17">
        <f>$H$159-'Assumptions'!$B$39</f>
        <v/>
      </c>
      <c r="J159" s="17">
        <f>MAX(0,'Assumptions'!$B$66*$V$158-'Assumptions'!$B$43)</f>
        <v/>
      </c>
      <c r="K159" s="17">
        <f>'Assumptions'!$B$44+$J$159+$F$159+$I$159+$T$158</f>
        <v/>
      </c>
      <c r="L159" s="11">
        <f>'Assumptions'!$B$57/$K$159</f>
        <v/>
      </c>
      <c r="M159" s="11">
        <f>$B$159*(1-'Assumptions'!$B$58)</f>
        <v/>
      </c>
      <c r="N159" s="11">
        <f>MIN($L$159,$M$159)</f>
        <v/>
      </c>
      <c r="O159" s="17">
        <f>'Assumptions'!$B$56/$N$159</f>
        <v/>
      </c>
      <c r="P159" s="17">
        <f>'Assumptions'!$B$44+$J$159+$F$159+$I$159+$O$159</f>
        <v/>
      </c>
      <c r="Q159" s="11">
        <f>'Assumptions'!$B$60/$P$159</f>
        <v/>
      </c>
      <c r="R159" s="11">
        <f>$B$159*(1-'Assumptions'!$B$61)</f>
        <v/>
      </c>
      <c r="S159" s="11">
        <f>MIN($Q$159,$R$159)</f>
        <v/>
      </c>
      <c r="T159" s="17">
        <f>'Assumptions'!$B$59/$S$159</f>
        <v/>
      </c>
      <c r="U159" s="17">
        <f>'Assumptions'!$B$44+$J$159+$F$159+$I$159+$O$159+$T$159</f>
        <v/>
      </c>
      <c r="V159" s="17">
        <f>$U$159+$C$159</f>
        <v/>
      </c>
    </row>
    <row r="160">
      <c r="A160" t="n">
        <v>3</v>
      </c>
      <c r="B160" s="11">
        <f>'Assumptions'!$B$67/$U$159</f>
        <v/>
      </c>
      <c r="C160" s="17">
        <f>'Assumptions'!$B$5/$B$160</f>
        <v/>
      </c>
      <c r="D160" s="11">
        <f>'Assumptions'!$B$27*('Assumptions'!$B$44+'Assumptions'!$B$5/'Assumptions'!$B$27)/('Assumptions'!$B$44+'Assumptions'!$B$5/$B$160)</f>
        <v/>
      </c>
      <c r="E160" s="17">
        <f>'Assumptions'!$B$40*'Assumptions'!$B$27/$D$160</f>
        <v/>
      </c>
      <c r="F160" s="17">
        <f>$E$160-'Assumptions'!$B$40</f>
        <v/>
      </c>
      <c r="G160" s="11">
        <f>'Assumptions'!$B$25*('Assumptions'!$B$44+'Assumptions'!$B$5/'Assumptions'!$B$25)/('Assumptions'!$B$44+'Assumptions'!$B$5/$B$160)</f>
        <v/>
      </c>
      <c r="H160" s="17">
        <f>'Assumptions'!$B$38*'Assumptions'!$B$26/$G$160</f>
        <v/>
      </c>
      <c r="I160" s="17">
        <f>$H$160-'Assumptions'!$B$39</f>
        <v/>
      </c>
      <c r="J160" s="17">
        <f>MAX(0,'Assumptions'!$B$66*$V$159-'Assumptions'!$B$43)</f>
        <v/>
      </c>
      <c r="K160" s="17">
        <f>'Assumptions'!$B$44+$J$160+$F$160+$I$160+$T$159</f>
        <v/>
      </c>
      <c r="L160" s="11">
        <f>'Assumptions'!$B$57/$K$160</f>
        <v/>
      </c>
      <c r="M160" s="11">
        <f>$B$160*(1-'Assumptions'!$B$58)</f>
        <v/>
      </c>
      <c r="N160" s="11">
        <f>MIN($L$160,$M$160)</f>
        <v/>
      </c>
      <c r="O160" s="17">
        <f>'Assumptions'!$B$56/$N$160</f>
        <v/>
      </c>
      <c r="P160" s="17">
        <f>'Assumptions'!$B$44+$J$160+$F$160+$I$160+$O$160</f>
        <v/>
      </c>
      <c r="Q160" s="11">
        <f>'Assumptions'!$B$60/$P$160</f>
        <v/>
      </c>
      <c r="R160" s="11">
        <f>$B$160*(1-'Assumptions'!$B$61)</f>
        <v/>
      </c>
      <c r="S160" s="11">
        <f>MIN($Q$160,$R$160)</f>
        <v/>
      </c>
      <c r="T160" s="17">
        <f>'Assumptions'!$B$59/$S$160</f>
        <v/>
      </c>
      <c r="U160" s="17">
        <f>'Assumptions'!$B$44+$J$160+$F$160+$I$160+$O$160+$T$160</f>
        <v/>
      </c>
      <c r="V160" s="17">
        <f>$U$160+$C$160</f>
        <v/>
      </c>
    </row>
    <row r="161">
      <c r="A161" t="n">
        <v>4</v>
      </c>
      <c r="B161" s="11">
        <f>'Assumptions'!$B$67/$U$160</f>
        <v/>
      </c>
      <c r="C161" s="17">
        <f>'Assumptions'!$B$5/$B$161</f>
        <v/>
      </c>
      <c r="D161" s="11">
        <f>'Assumptions'!$B$27*('Assumptions'!$B$44+'Assumptions'!$B$5/'Assumptions'!$B$27)/('Assumptions'!$B$44+'Assumptions'!$B$5/$B$161)</f>
        <v/>
      </c>
      <c r="E161" s="17">
        <f>'Assumptions'!$B$40*'Assumptions'!$B$27/$D$161</f>
        <v/>
      </c>
      <c r="F161" s="17">
        <f>$E$161-'Assumptions'!$B$40</f>
        <v/>
      </c>
      <c r="G161" s="11">
        <f>'Assumptions'!$B$25*('Assumptions'!$B$44+'Assumptions'!$B$5/'Assumptions'!$B$25)/('Assumptions'!$B$44+'Assumptions'!$B$5/$B$161)</f>
        <v/>
      </c>
      <c r="H161" s="17">
        <f>'Assumptions'!$B$38*'Assumptions'!$B$26/$G$161</f>
        <v/>
      </c>
      <c r="I161" s="17">
        <f>$H$161-'Assumptions'!$B$39</f>
        <v/>
      </c>
      <c r="J161" s="17">
        <f>MAX(0,'Assumptions'!$B$66*$V$160-'Assumptions'!$B$43)</f>
        <v/>
      </c>
      <c r="K161" s="17">
        <f>'Assumptions'!$B$44+$J$161+$F$161+$I$161+$T$160</f>
        <v/>
      </c>
      <c r="L161" s="11">
        <f>'Assumptions'!$B$57/$K$161</f>
        <v/>
      </c>
      <c r="M161" s="11">
        <f>$B$161*(1-'Assumptions'!$B$58)</f>
        <v/>
      </c>
      <c r="N161" s="11">
        <f>MIN($L$161,$M$161)</f>
        <v/>
      </c>
      <c r="O161" s="17">
        <f>'Assumptions'!$B$56/$N$161</f>
        <v/>
      </c>
      <c r="P161" s="17">
        <f>'Assumptions'!$B$44+$J$161+$F$161+$I$161+$O$161</f>
        <v/>
      </c>
      <c r="Q161" s="11">
        <f>'Assumptions'!$B$60/$P$161</f>
        <v/>
      </c>
      <c r="R161" s="11">
        <f>$B$161*(1-'Assumptions'!$B$61)</f>
        <v/>
      </c>
      <c r="S161" s="11">
        <f>MIN($Q$161,$R$161)</f>
        <v/>
      </c>
      <c r="T161" s="17">
        <f>'Assumptions'!$B$59/$S$161</f>
        <v/>
      </c>
      <c r="U161" s="17">
        <f>'Assumptions'!$B$44+$J$161+$F$161+$I$161+$O$161+$T$161</f>
        <v/>
      </c>
      <c r="V161" s="17">
        <f>$U$161+$C$161</f>
        <v/>
      </c>
    </row>
    <row r="162">
      <c r="A162" t="n">
        <v>5</v>
      </c>
      <c r="B162" s="11">
        <f>'Assumptions'!$B$67/$U$161</f>
        <v/>
      </c>
      <c r="C162" s="17">
        <f>'Assumptions'!$B$5/$B$162</f>
        <v/>
      </c>
      <c r="D162" s="11">
        <f>'Assumptions'!$B$27*('Assumptions'!$B$44+'Assumptions'!$B$5/'Assumptions'!$B$27)/('Assumptions'!$B$44+'Assumptions'!$B$5/$B$162)</f>
        <v/>
      </c>
      <c r="E162" s="17">
        <f>'Assumptions'!$B$40*'Assumptions'!$B$27/$D$162</f>
        <v/>
      </c>
      <c r="F162" s="17">
        <f>$E$162-'Assumptions'!$B$40</f>
        <v/>
      </c>
      <c r="G162" s="11">
        <f>'Assumptions'!$B$25*('Assumptions'!$B$44+'Assumptions'!$B$5/'Assumptions'!$B$25)/('Assumptions'!$B$44+'Assumptions'!$B$5/$B$162)</f>
        <v/>
      </c>
      <c r="H162" s="17">
        <f>'Assumptions'!$B$38*'Assumptions'!$B$26/$G$162</f>
        <v/>
      </c>
      <c r="I162" s="17">
        <f>$H$162-'Assumptions'!$B$39</f>
        <v/>
      </c>
      <c r="J162" s="17">
        <f>MAX(0,'Assumptions'!$B$66*$V$161-'Assumptions'!$B$43)</f>
        <v/>
      </c>
      <c r="K162" s="17">
        <f>'Assumptions'!$B$44+$J$162+$F$162+$I$162+$T$161</f>
        <v/>
      </c>
      <c r="L162" s="11">
        <f>'Assumptions'!$B$57/$K$162</f>
        <v/>
      </c>
      <c r="M162" s="11">
        <f>$B$162*(1-'Assumptions'!$B$58)</f>
        <v/>
      </c>
      <c r="N162" s="11">
        <f>MIN($L$162,$M$162)</f>
        <v/>
      </c>
      <c r="O162" s="17">
        <f>'Assumptions'!$B$56/$N$162</f>
        <v/>
      </c>
      <c r="P162" s="17">
        <f>'Assumptions'!$B$44+$J$162+$F$162+$I$162+$O$162</f>
        <v/>
      </c>
      <c r="Q162" s="11">
        <f>'Assumptions'!$B$60/$P$162</f>
        <v/>
      </c>
      <c r="R162" s="11">
        <f>$B$162*(1-'Assumptions'!$B$61)</f>
        <v/>
      </c>
      <c r="S162" s="11">
        <f>MIN($Q$162,$R$162)</f>
        <v/>
      </c>
      <c r="T162" s="17">
        <f>'Assumptions'!$B$59/$S$162</f>
        <v/>
      </c>
      <c r="U162" s="17">
        <f>'Assumptions'!$B$44+$J$162+$F$162+$I$162+$O$162+$T$162</f>
        <v/>
      </c>
      <c r="V162" s="17">
        <f>$U$162+$C$162</f>
        <v/>
      </c>
    </row>
    <row r="163">
      <c r="A163" t="n">
        <v>6</v>
      </c>
      <c r="B163" s="11">
        <f>'Assumptions'!$B$67/$U$162</f>
        <v/>
      </c>
      <c r="C163" s="17">
        <f>'Assumptions'!$B$5/$B$163</f>
        <v/>
      </c>
      <c r="D163" s="11">
        <f>'Assumptions'!$B$27*('Assumptions'!$B$44+'Assumptions'!$B$5/'Assumptions'!$B$27)/('Assumptions'!$B$44+'Assumptions'!$B$5/$B$163)</f>
        <v/>
      </c>
      <c r="E163" s="17">
        <f>'Assumptions'!$B$40*'Assumptions'!$B$27/$D$163</f>
        <v/>
      </c>
      <c r="F163" s="17">
        <f>$E$163-'Assumptions'!$B$40</f>
        <v/>
      </c>
      <c r="G163" s="11">
        <f>'Assumptions'!$B$25*('Assumptions'!$B$44+'Assumptions'!$B$5/'Assumptions'!$B$25)/('Assumptions'!$B$44+'Assumptions'!$B$5/$B$163)</f>
        <v/>
      </c>
      <c r="H163" s="17">
        <f>'Assumptions'!$B$38*'Assumptions'!$B$26/$G$163</f>
        <v/>
      </c>
      <c r="I163" s="17">
        <f>$H$163-'Assumptions'!$B$39</f>
        <v/>
      </c>
      <c r="J163" s="17">
        <f>MAX(0,'Assumptions'!$B$66*$V$162-'Assumptions'!$B$43)</f>
        <v/>
      </c>
      <c r="K163" s="17">
        <f>'Assumptions'!$B$44+$J$163+$F$163+$I$163+$T$162</f>
        <v/>
      </c>
      <c r="L163" s="11">
        <f>'Assumptions'!$B$57/$K$163</f>
        <v/>
      </c>
      <c r="M163" s="11">
        <f>$B$163*(1-'Assumptions'!$B$58)</f>
        <v/>
      </c>
      <c r="N163" s="11">
        <f>MIN($L$163,$M$163)</f>
        <v/>
      </c>
      <c r="O163" s="17">
        <f>'Assumptions'!$B$56/$N$163</f>
        <v/>
      </c>
      <c r="P163" s="17">
        <f>'Assumptions'!$B$44+$J$163+$F$163+$I$163+$O$163</f>
        <v/>
      </c>
      <c r="Q163" s="11">
        <f>'Assumptions'!$B$60/$P$163</f>
        <v/>
      </c>
      <c r="R163" s="11">
        <f>$B$163*(1-'Assumptions'!$B$61)</f>
        <v/>
      </c>
      <c r="S163" s="11">
        <f>MIN($Q$163,$R$163)</f>
        <v/>
      </c>
      <c r="T163" s="17">
        <f>'Assumptions'!$B$59/$S$163</f>
        <v/>
      </c>
      <c r="U163" s="17">
        <f>'Assumptions'!$B$44+$J$163+$F$163+$I$163+$O$163+$T$163</f>
        <v/>
      </c>
      <c r="V163" s="17">
        <f>$U$163+$C$163</f>
        <v/>
      </c>
    </row>
    <row r="164">
      <c r="A164" t="n">
        <v>7</v>
      </c>
      <c r="B164" s="11">
        <f>'Assumptions'!$B$67/$U$163</f>
        <v/>
      </c>
      <c r="C164" s="17">
        <f>'Assumptions'!$B$5/$B$164</f>
        <v/>
      </c>
      <c r="D164" s="11">
        <f>'Assumptions'!$B$27*('Assumptions'!$B$44+'Assumptions'!$B$5/'Assumptions'!$B$27)/('Assumptions'!$B$44+'Assumptions'!$B$5/$B$164)</f>
        <v/>
      </c>
      <c r="E164" s="17">
        <f>'Assumptions'!$B$40*'Assumptions'!$B$27/$D$164</f>
        <v/>
      </c>
      <c r="F164" s="17">
        <f>$E$164-'Assumptions'!$B$40</f>
        <v/>
      </c>
      <c r="G164" s="11">
        <f>'Assumptions'!$B$25*('Assumptions'!$B$44+'Assumptions'!$B$5/'Assumptions'!$B$25)/('Assumptions'!$B$44+'Assumptions'!$B$5/$B$164)</f>
        <v/>
      </c>
      <c r="H164" s="17">
        <f>'Assumptions'!$B$38*'Assumptions'!$B$26/$G$164</f>
        <v/>
      </c>
      <c r="I164" s="17">
        <f>$H$164-'Assumptions'!$B$39</f>
        <v/>
      </c>
      <c r="J164" s="17">
        <f>MAX(0,'Assumptions'!$B$66*$V$163-'Assumptions'!$B$43)</f>
        <v/>
      </c>
      <c r="K164" s="17">
        <f>'Assumptions'!$B$44+$J$164+$F$164+$I$164+$T$163</f>
        <v/>
      </c>
      <c r="L164" s="11">
        <f>'Assumptions'!$B$57/$K$164</f>
        <v/>
      </c>
      <c r="M164" s="11">
        <f>$B$164*(1-'Assumptions'!$B$58)</f>
        <v/>
      </c>
      <c r="N164" s="11">
        <f>MIN($L$164,$M$164)</f>
        <v/>
      </c>
      <c r="O164" s="17">
        <f>'Assumptions'!$B$56/$N$164</f>
        <v/>
      </c>
      <c r="P164" s="17">
        <f>'Assumptions'!$B$44+$J$164+$F$164+$I$164+$O$164</f>
        <v/>
      </c>
      <c r="Q164" s="11">
        <f>'Assumptions'!$B$60/$P$164</f>
        <v/>
      </c>
      <c r="R164" s="11">
        <f>$B$164*(1-'Assumptions'!$B$61)</f>
        <v/>
      </c>
      <c r="S164" s="11">
        <f>MIN($Q$164,$R$164)</f>
        <v/>
      </c>
      <c r="T164" s="17">
        <f>'Assumptions'!$B$59/$S$164</f>
        <v/>
      </c>
      <c r="U164" s="17">
        <f>'Assumptions'!$B$44+$J$164+$F$164+$I$164+$O$164+$T$164</f>
        <v/>
      </c>
      <c r="V164" s="17">
        <f>$U$164+$C$164</f>
        <v/>
      </c>
    </row>
    <row r="165">
      <c r="A165" t="n">
        <v>8</v>
      </c>
      <c r="B165" s="11">
        <f>'Assumptions'!$B$67/$U$164</f>
        <v/>
      </c>
      <c r="C165" s="17">
        <f>'Assumptions'!$B$5/$B$165</f>
        <v/>
      </c>
      <c r="D165" s="11">
        <f>'Assumptions'!$B$27*('Assumptions'!$B$44+'Assumptions'!$B$5/'Assumptions'!$B$27)/('Assumptions'!$B$44+'Assumptions'!$B$5/$B$165)</f>
        <v/>
      </c>
      <c r="E165" s="17">
        <f>'Assumptions'!$B$40*'Assumptions'!$B$27/$D$165</f>
        <v/>
      </c>
      <c r="F165" s="17">
        <f>$E$165-'Assumptions'!$B$40</f>
        <v/>
      </c>
      <c r="G165" s="11">
        <f>'Assumptions'!$B$25*('Assumptions'!$B$44+'Assumptions'!$B$5/'Assumptions'!$B$25)/('Assumptions'!$B$44+'Assumptions'!$B$5/$B$165)</f>
        <v/>
      </c>
      <c r="H165" s="17">
        <f>'Assumptions'!$B$38*'Assumptions'!$B$26/$G$165</f>
        <v/>
      </c>
      <c r="I165" s="17">
        <f>$H$165-'Assumptions'!$B$39</f>
        <v/>
      </c>
      <c r="J165" s="17">
        <f>MAX(0,'Assumptions'!$B$66*$V$164-'Assumptions'!$B$43)</f>
        <v/>
      </c>
      <c r="K165" s="17">
        <f>'Assumptions'!$B$44+$J$165+$F$165+$I$165+$T$164</f>
        <v/>
      </c>
      <c r="L165" s="11">
        <f>'Assumptions'!$B$57/$K$165</f>
        <v/>
      </c>
      <c r="M165" s="11">
        <f>$B$165*(1-'Assumptions'!$B$58)</f>
        <v/>
      </c>
      <c r="N165" s="11">
        <f>MIN($L$165,$M$165)</f>
        <v/>
      </c>
      <c r="O165" s="17">
        <f>'Assumptions'!$B$56/$N$165</f>
        <v/>
      </c>
      <c r="P165" s="17">
        <f>'Assumptions'!$B$44+$J$165+$F$165+$I$165+$O$165</f>
        <v/>
      </c>
      <c r="Q165" s="11">
        <f>'Assumptions'!$B$60/$P$165</f>
        <v/>
      </c>
      <c r="R165" s="11">
        <f>$B$165*(1-'Assumptions'!$B$61)</f>
        <v/>
      </c>
      <c r="S165" s="11">
        <f>MIN($Q$165,$R$165)</f>
        <v/>
      </c>
      <c r="T165" s="17">
        <f>'Assumptions'!$B$59/$S$165</f>
        <v/>
      </c>
      <c r="U165" s="17">
        <f>'Assumptions'!$B$44+$J$165+$F$165+$I$165+$O$165+$T$165</f>
        <v/>
      </c>
      <c r="V165" s="17">
        <f>$U$165+$C$165</f>
        <v/>
      </c>
    </row>
    <row r="166">
      <c r="A166" t="n">
        <v>9</v>
      </c>
      <c r="B166" s="11">
        <f>'Assumptions'!$B$67/$U$165</f>
        <v/>
      </c>
      <c r="C166" s="17">
        <f>'Assumptions'!$B$5/$B$166</f>
        <v/>
      </c>
      <c r="D166" s="11">
        <f>'Assumptions'!$B$27*('Assumptions'!$B$44+'Assumptions'!$B$5/'Assumptions'!$B$27)/('Assumptions'!$B$44+'Assumptions'!$B$5/$B$166)</f>
        <v/>
      </c>
      <c r="E166" s="17">
        <f>'Assumptions'!$B$40*'Assumptions'!$B$27/$D$166</f>
        <v/>
      </c>
      <c r="F166" s="17">
        <f>$E$166-'Assumptions'!$B$40</f>
        <v/>
      </c>
      <c r="G166" s="11">
        <f>'Assumptions'!$B$25*('Assumptions'!$B$44+'Assumptions'!$B$5/'Assumptions'!$B$25)/('Assumptions'!$B$44+'Assumptions'!$B$5/$B$166)</f>
        <v/>
      </c>
      <c r="H166" s="17">
        <f>'Assumptions'!$B$38*'Assumptions'!$B$26/$G$166</f>
        <v/>
      </c>
      <c r="I166" s="17">
        <f>$H$166-'Assumptions'!$B$39</f>
        <v/>
      </c>
      <c r="J166" s="17">
        <f>MAX(0,'Assumptions'!$B$66*$V$165-'Assumptions'!$B$43)</f>
        <v/>
      </c>
      <c r="K166" s="17">
        <f>'Assumptions'!$B$44+$J$166+$F$166+$I$166+$T$165</f>
        <v/>
      </c>
      <c r="L166" s="11">
        <f>'Assumptions'!$B$57/$K$166</f>
        <v/>
      </c>
      <c r="M166" s="11">
        <f>$B$166*(1-'Assumptions'!$B$58)</f>
        <v/>
      </c>
      <c r="N166" s="11">
        <f>MIN($L$166,$M$166)</f>
        <v/>
      </c>
      <c r="O166" s="17">
        <f>'Assumptions'!$B$56/$N$166</f>
        <v/>
      </c>
      <c r="P166" s="17">
        <f>'Assumptions'!$B$44+$J$166+$F$166+$I$166+$O$166</f>
        <v/>
      </c>
      <c r="Q166" s="11">
        <f>'Assumptions'!$B$60/$P$166</f>
        <v/>
      </c>
      <c r="R166" s="11">
        <f>$B$166*(1-'Assumptions'!$B$61)</f>
        <v/>
      </c>
      <c r="S166" s="11">
        <f>MIN($Q$166,$R$166)</f>
        <v/>
      </c>
      <c r="T166" s="17">
        <f>'Assumptions'!$B$59/$S$166</f>
        <v/>
      </c>
      <c r="U166" s="17">
        <f>'Assumptions'!$B$44+$J$166+$F$166+$I$166+$O$166+$T$166</f>
        <v/>
      </c>
      <c r="V166" s="17">
        <f>$U$166+$C$166</f>
        <v/>
      </c>
    </row>
    <row r="167">
      <c r="A167" t="n">
        <v>10</v>
      </c>
      <c r="B167" s="11">
        <f>'Assumptions'!$B$67/$U$166</f>
        <v/>
      </c>
      <c r="C167" s="17">
        <f>'Assumptions'!$B$5/$B$167</f>
        <v/>
      </c>
      <c r="D167" s="11">
        <f>'Assumptions'!$B$27*('Assumptions'!$B$44+'Assumptions'!$B$5/'Assumptions'!$B$27)/('Assumptions'!$B$44+'Assumptions'!$B$5/$B$167)</f>
        <v/>
      </c>
      <c r="E167" s="17">
        <f>'Assumptions'!$B$40*'Assumptions'!$B$27/$D$167</f>
        <v/>
      </c>
      <c r="F167" s="17">
        <f>$E$167-'Assumptions'!$B$40</f>
        <v/>
      </c>
      <c r="G167" s="11">
        <f>'Assumptions'!$B$25*('Assumptions'!$B$44+'Assumptions'!$B$5/'Assumptions'!$B$25)/('Assumptions'!$B$44+'Assumptions'!$B$5/$B$167)</f>
        <v/>
      </c>
      <c r="H167" s="17">
        <f>'Assumptions'!$B$38*'Assumptions'!$B$26/$G$167</f>
        <v/>
      </c>
      <c r="I167" s="17">
        <f>$H$167-'Assumptions'!$B$39</f>
        <v/>
      </c>
      <c r="J167" s="17">
        <f>MAX(0,'Assumptions'!$B$66*$V$166-'Assumptions'!$B$43)</f>
        <v/>
      </c>
      <c r="K167" s="17">
        <f>'Assumptions'!$B$44+$J$167+$F$167+$I$167+$T$166</f>
        <v/>
      </c>
      <c r="L167" s="11">
        <f>'Assumptions'!$B$57/$K$167</f>
        <v/>
      </c>
      <c r="M167" s="11">
        <f>$B$167*(1-'Assumptions'!$B$58)</f>
        <v/>
      </c>
      <c r="N167" s="11">
        <f>MIN($L$167,$M$167)</f>
        <v/>
      </c>
      <c r="O167" s="17">
        <f>'Assumptions'!$B$56/$N$167</f>
        <v/>
      </c>
      <c r="P167" s="17">
        <f>'Assumptions'!$B$44+$J$167+$F$167+$I$167+$O$167</f>
        <v/>
      </c>
      <c r="Q167" s="11">
        <f>'Assumptions'!$B$60/$P$167</f>
        <v/>
      </c>
      <c r="R167" s="11">
        <f>$B$167*(1-'Assumptions'!$B$61)</f>
        <v/>
      </c>
      <c r="S167" s="11">
        <f>MIN($Q$167,$R$167)</f>
        <v/>
      </c>
      <c r="T167" s="17">
        <f>'Assumptions'!$B$59/$S$167</f>
        <v/>
      </c>
      <c r="U167" s="17">
        <f>'Assumptions'!$B$44+$J$167+$F$167+$I$167+$O$167+$T$167</f>
        <v/>
      </c>
      <c r="V167" s="17">
        <f>$U$167+$C$167</f>
        <v/>
      </c>
    </row>
    <row r="168">
      <c r="A168" t="n">
        <v>11</v>
      </c>
      <c r="B168" s="11">
        <f>'Assumptions'!$B$67/$U$167</f>
        <v/>
      </c>
      <c r="C168" s="17">
        <f>'Assumptions'!$B$5/$B$168</f>
        <v/>
      </c>
      <c r="D168" s="11">
        <f>'Assumptions'!$B$27*('Assumptions'!$B$44+'Assumptions'!$B$5/'Assumptions'!$B$27)/('Assumptions'!$B$44+'Assumptions'!$B$5/$B$168)</f>
        <v/>
      </c>
      <c r="E168" s="17">
        <f>'Assumptions'!$B$40*'Assumptions'!$B$27/$D$168</f>
        <v/>
      </c>
      <c r="F168" s="17">
        <f>$E$168-'Assumptions'!$B$40</f>
        <v/>
      </c>
      <c r="G168" s="11">
        <f>'Assumptions'!$B$25*('Assumptions'!$B$44+'Assumptions'!$B$5/'Assumptions'!$B$25)/('Assumptions'!$B$44+'Assumptions'!$B$5/$B$168)</f>
        <v/>
      </c>
      <c r="H168" s="17">
        <f>'Assumptions'!$B$38*'Assumptions'!$B$26/$G$168</f>
        <v/>
      </c>
      <c r="I168" s="17">
        <f>$H$168-'Assumptions'!$B$39</f>
        <v/>
      </c>
      <c r="J168" s="17">
        <f>MAX(0,'Assumptions'!$B$66*$V$167-'Assumptions'!$B$43)</f>
        <v/>
      </c>
      <c r="K168" s="17">
        <f>'Assumptions'!$B$44+$J$168+$F$168+$I$168+$T$167</f>
        <v/>
      </c>
      <c r="L168" s="11">
        <f>'Assumptions'!$B$57/$K$168</f>
        <v/>
      </c>
      <c r="M168" s="11">
        <f>$B$168*(1-'Assumptions'!$B$58)</f>
        <v/>
      </c>
      <c r="N168" s="11">
        <f>MIN($L$168,$M$168)</f>
        <v/>
      </c>
      <c r="O168" s="17">
        <f>'Assumptions'!$B$56/$N$168</f>
        <v/>
      </c>
      <c r="P168" s="17">
        <f>'Assumptions'!$B$44+$J$168+$F$168+$I$168+$O$168</f>
        <v/>
      </c>
      <c r="Q168" s="11">
        <f>'Assumptions'!$B$60/$P$168</f>
        <v/>
      </c>
      <c r="R168" s="11">
        <f>$B$168*(1-'Assumptions'!$B$61)</f>
        <v/>
      </c>
      <c r="S168" s="11">
        <f>MIN($Q$168,$R$168)</f>
        <v/>
      </c>
      <c r="T168" s="17">
        <f>'Assumptions'!$B$59/$S$168</f>
        <v/>
      </c>
      <c r="U168" s="17">
        <f>'Assumptions'!$B$44+$J$168+$F$168+$I$168+$O$168+$T$168</f>
        <v/>
      </c>
      <c r="V168" s="17">
        <f>$U$168+$C$168</f>
        <v/>
      </c>
    </row>
    <row r="169">
      <c r="A169" t="n">
        <v>12</v>
      </c>
      <c r="B169" s="11">
        <f>'Assumptions'!$B$67/$U$168</f>
        <v/>
      </c>
      <c r="C169" s="17">
        <f>'Assumptions'!$B$5/$B$169</f>
        <v/>
      </c>
      <c r="D169" s="11">
        <f>'Assumptions'!$B$27*('Assumptions'!$B$44+'Assumptions'!$B$5/'Assumptions'!$B$27)/('Assumptions'!$B$44+'Assumptions'!$B$5/$B$169)</f>
        <v/>
      </c>
      <c r="E169" s="17">
        <f>'Assumptions'!$B$40*'Assumptions'!$B$27/$D$169</f>
        <v/>
      </c>
      <c r="F169" s="17">
        <f>$E$169-'Assumptions'!$B$40</f>
        <v/>
      </c>
      <c r="G169" s="11">
        <f>'Assumptions'!$B$25*('Assumptions'!$B$44+'Assumptions'!$B$5/'Assumptions'!$B$25)/('Assumptions'!$B$44+'Assumptions'!$B$5/$B$169)</f>
        <v/>
      </c>
      <c r="H169" s="17">
        <f>'Assumptions'!$B$38*'Assumptions'!$B$26/$G$169</f>
        <v/>
      </c>
      <c r="I169" s="17">
        <f>$H$169-'Assumptions'!$B$39</f>
        <v/>
      </c>
      <c r="J169" s="17">
        <f>MAX(0,'Assumptions'!$B$66*$V$168-'Assumptions'!$B$43)</f>
        <v/>
      </c>
      <c r="K169" s="17">
        <f>'Assumptions'!$B$44+$J$169+$F$169+$I$169+$T$168</f>
        <v/>
      </c>
      <c r="L169" s="11">
        <f>'Assumptions'!$B$57/$K$169</f>
        <v/>
      </c>
      <c r="M169" s="11">
        <f>$B$169*(1-'Assumptions'!$B$58)</f>
        <v/>
      </c>
      <c r="N169" s="11">
        <f>MIN($L$169,$M$169)</f>
        <v/>
      </c>
      <c r="O169" s="17">
        <f>'Assumptions'!$B$56/$N$169</f>
        <v/>
      </c>
      <c r="P169" s="17">
        <f>'Assumptions'!$B$44+$J$169+$F$169+$I$169+$O$169</f>
        <v/>
      </c>
      <c r="Q169" s="11">
        <f>'Assumptions'!$B$60/$P$169</f>
        <v/>
      </c>
      <c r="R169" s="11">
        <f>$B$169*(1-'Assumptions'!$B$61)</f>
        <v/>
      </c>
      <c r="S169" s="11">
        <f>MIN($Q$169,$R$169)</f>
        <v/>
      </c>
      <c r="T169" s="17">
        <f>'Assumptions'!$B$59/$S$169</f>
        <v/>
      </c>
      <c r="U169" s="17">
        <f>'Assumptions'!$B$44+$J$169+$F$169+$I$169+$O$169+$T$169</f>
        <v/>
      </c>
      <c r="V169" s="17">
        <f>$U$169+$C$169</f>
        <v/>
      </c>
    </row>
    <row r="170">
      <c r="A170" t="n">
        <v>13</v>
      </c>
      <c r="B170" s="11">
        <f>'Assumptions'!$B$67/$U$169</f>
        <v/>
      </c>
      <c r="C170" s="17">
        <f>'Assumptions'!$B$5/$B$170</f>
        <v/>
      </c>
      <c r="D170" s="11">
        <f>'Assumptions'!$B$27*('Assumptions'!$B$44+'Assumptions'!$B$5/'Assumptions'!$B$27)/('Assumptions'!$B$44+'Assumptions'!$B$5/$B$170)</f>
        <v/>
      </c>
      <c r="E170" s="17">
        <f>'Assumptions'!$B$40*'Assumptions'!$B$27/$D$170</f>
        <v/>
      </c>
      <c r="F170" s="17">
        <f>$E$170-'Assumptions'!$B$40</f>
        <v/>
      </c>
      <c r="G170" s="11">
        <f>'Assumptions'!$B$25*('Assumptions'!$B$44+'Assumptions'!$B$5/'Assumptions'!$B$25)/('Assumptions'!$B$44+'Assumptions'!$B$5/$B$170)</f>
        <v/>
      </c>
      <c r="H170" s="17">
        <f>'Assumptions'!$B$38*'Assumptions'!$B$26/$G$170</f>
        <v/>
      </c>
      <c r="I170" s="17">
        <f>$H$170-'Assumptions'!$B$39</f>
        <v/>
      </c>
      <c r="J170" s="17">
        <f>MAX(0,'Assumptions'!$B$66*$V$169-'Assumptions'!$B$43)</f>
        <v/>
      </c>
      <c r="K170" s="17">
        <f>'Assumptions'!$B$44+$J$170+$F$170+$I$170+$T$169</f>
        <v/>
      </c>
      <c r="L170" s="11">
        <f>'Assumptions'!$B$57/$K$170</f>
        <v/>
      </c>
      <c r="M170" s="11">
        <f>$B$170*(1-'Assumptions'!$B$58)</f>
        <v/>
      </c>
      <c r="N170" s="11">
        <f>MIN($L$170,$M$170)</f>
        <v/>
      </c>
      <c r="O170" s="17">
        <f>'Assumptions'!$B$56/$N$170</f>
        <v/>
      </c>
      <c r="P170" s="17">
        <f>'Assumptions'!$B$44+$J$170+$F$170+$I$170+$O$170</f>
        <v/>
      </c>
      <c r="Q170" s="11">
        <f>'Assumptions'!$B$60/$P$170</f>
        <v/>
      </c>
      <c r="R170" s="11">
        <f>$B$170*(1-'Assumptions'!$B$61)</f>
        <v/>
      </c>
      <c r="S170" s="11">
        <f>MIN($Q$170,$R$170)</f>
        <v/>
      </c>
      <c r="T170" s="17">
        <f>'Assumptions'!$B$59/$S$170</f>
        <v/>
      </c>
      <c r="U170" s="17">
        <f>'Assumptions'!$B$44+$J$170+$F$170+$I$170+$O$170+$T$170</f>
        <v/>
      </c>
      <c r="V170" s="17">
        <f>$U$170+$C$170</f>
        <v/>
      </c>
    </row>
    <row r="171">
      <c r="A171" t="n">
        <v>14</v>
      </c>
      <c r="B171" s="11">
        <f>'Assumptions'!$B$67/$U$170</f>
        <v/>
      </c>
      <c r="C171" s="17">
        <f>'Assumptions'!$B$5/$B$171</f>
        <v/>
      </c>
      <c r="D171" s="11">
        <f>'Assumptions'!$B$27*('Assumptions'!$B$44+'Assumptions'!$B$5/'Assumptions'!$B$27)/('Assumptions'!$B$44+'Assumptions'!$B$5/$B$171)</f>
        <v/>
      </c>
      <c r="E171" s="17">
        <f>'Assumptions'!$B$40*'Assumptions'!$B$27/$D$171</f>
        <v/>
      </c>
      <c r="F171" s="17">
        <f>$E$171-'Assumptions'!$B$40</f>
        <v/>
      </c>
      <c r="G171" s="11">
        <f>'Assumptions'!$B$25*('Assumptions'!$B$44+'Assumptions'!$B$5/'Assumptions'!$B$25)/('Assumptions'!$B$44+'Assumptions'!$B$5/$B$171)</f>
        <v/>
      </c>
      <c r="H171" s="17">
        <f>'Assumptions'!$B$38*'Assumptions'!$B$26/$G$171</f>
        <v/>
      </c>
      <c r="I171" s="17">
        <f>$H$171-'Assumptions'!$B$39</f>
        <v/>
      </c>
      <c r="J171" s="17">
        <f>MAX(0,'Assumptions'!$B$66*$V$170-'Assumptions'!$B$43)</f>
        <v/>
      </c>
      <c r="K171" s="17">
        <f>'Assumptions'!$B$44+$J$171+$F$171+$I$171+$T$170</f>
        <v/>
      </c>
      <c r="L171" s="11">
        <f>'Assumptions'!$B$57/$K$171</f>
        <v/>
      </c>
      <c r="M171" s="11">
        <f>$B$171*(1-'Assumptions'!$B$58)</f>
        <v/>
      </c>
      <c r="N171" s="11">
        <f>MIN($L$171,$M$171)</f>
        <v/>
      </c>
      <c r="O171" s="17">
        <f>'Assumptions'!$B$56/$N$171</f>
        <v/>
      </c>
      <c r="P171" s="17">
        <f>'Assumptions'!$B$44+$J$171+$F$171+$I$171+$O$171</f>
        <v/>
      </c>
      <c r="Q171" s="11">
        <f>'Assumptions'!$B$60/$P$171</f>
        <v/>
      </c>
      <c r="R171" s="11">
        <f>$B$171*(1-'Assumptions'!$B$61)</f>
        <v/>
      </c>
      <c r="S171" s="11">
        <f>MIN($Q$171,$R$171)</f>
        <v/>
      </c>
      <c r="T171" s="17">
        <f>'Assumptions'!$B$59/$S$171</f>
        <v/>
      </c>
      <c r="U171" s="17">
        <f>'Assumptions'!$B$44+$J$171+$F$171+$I$171+$O$171+$T$171</f>
        <v/>
      </c>
      <c r="V171" s="17">
        <f>$U$171+$C$171</f>
        <v/>
      </c>
    </row>
    <row r="172">
      <c r="A172" t="n">
        <v>15</v>
      </c>
      <c r="B172" s="11">
        <f>'Assumptions'!$B$67/$U$171</f>
        <v/>
      </c>
      <c r="C172" s="17">
        <f>'Assumptions'!$B$5/$B$172</f>
        <v/>
      </c>
      <c r="D172" s="11">
        <f>'Assumptions'!$B$27*('Assumptions'!$B$44+'Assumptions'!$B$5/'Assumptions'!$B$27)/('Assumptions'!$B$44+'Assumptions'!$B$5/$B$172)</f>
        <v/>
      </c>
      <c r="E172" s="17">
        <f>'Assumptions'!$B$40*'Assumptions'!$B$27/$D$172</f>
        <v/>
      </c>
      <c r="F172" s="17">
        <f>$E$172-'Assumptions'!$B$40</f>
        <v/>
      </c>
      <c r="G172" s="11">
        <f>'Assumptions'!$B$25*('Assumptions'!$B$44+'Assumptions'!$B$5/'Assumptions'!$B$25)/('Assumptions'!$B$44+'Assumptions'!$B$5/$B$172)</f>
        <v/>
      </c>
      <c r="H172" s="17">
        <f>'Assumptions'!$B$38*'Assumptions'!$B$26/$G$172</f>
        <v/>
      </c>
      <c r="I172" s="17">
        <f>$H$172-'Assumptions'!$B$39</f>
        <v/>
      </c>
      <c r="J172" s="17">
        <f>MAX(0,'Assumptions'!$B$66*$V$171-'Assumptions'!$B$43)</f>
        <v/>
      </c>
      <c r="K172" s="17">
        <f>'Assumptions'!$B$44+$J$172+$F$172+$I$172+$T$171</f>
        <v/>
      </c>
      <c r="L172" s="11">
        <f>'Assumptions'!$B$57/$K$172</f>
        <v/>
      </c>
      <c r="M172" s="11">
        <f>$B$172*(1-'Assumptions'!$B$58)</f>
        <v/>
      </c>
      <c r="N172" s="11">
        <f>MIN($L$172,$M$172)</f>
        <v/>
      </c>
      <c r="O172" s="17">
        <f>'Assumptions'!$B$56/$N$172</f>
        <v/>
      </c>
      <c r="P172" s="17">
        <f>'Assumptions'!$B$44+$J$172+$F$172+$I$172+$O$172</f>
        <v/>
      </c>
      <c r="Q172" s="11">
        <f>'Assumptions'!$B$60/$P$172</f>
        <v/>
      </c>
      <c r="R172" s="11">
        <f>$B$172*(1-'Assumptions'!$B$61)</f>
        <v/>
      </c>
      <c r="S172" s="11">
        <f>MIN($Q$172,$R$172)</f>
        <v/>
      </c>
      <c r="T172" s="17">
        <f>'Assumptions'!$B$59/$S$172</f>
        <v/>
      </c>
      <c r="U172" s="17">
        <f>'Assumptions'!$B$44+$J$172+$F$172+$I$172+$O$172+$T$172</f>
        <v/>
      </c>
      <c r="V172" s="17">
        <f>$U$172+$C$172</f>
        <v/>
      </c>
      <c r="W172">
        <f>IF('Sensitivity'!$L$172&lt;'Sensitivity'!$M$172,"cap","discount")</f>
        <v/>
      </c>
      <c r="X172">
        <f>IF('Sensitivity'!$Q$172&lt;'Sensitivity'!$R$172,"cap","discount")</f>
        <v/>
      </c>
    </row>
    <row r="175">
      <c r="A175" s="10" t="inlineStr">
        <is>
          <t>Cell (15%, $1.4B)</t>
        </is>
      </c>
    </row>
    <row r="176">
      <c r="A176" s="13" t="inlineStr">
        <is>
          <t>Iter</t>
        </is>
      </c>
      <c r="B176" s="13" t="inlineStr">
        <is>
          <t>F_PPS</t>
        </is>
      </c>
      <c r="C176" s="13" t="inlineStr">
        <is>
          <t>F_prim_shares</t>
        </is>
      </c>
      <c r="D176" s="13" t="inlineStr">
        <is>
          <t>NCP_E</t>
        </is>
      </c>
      <c r="E176" s="13" t="inlineStr">
        <is>
          <t>new_E_shares</t>
        </is>
      </c>
      <c r="F176" s="13" t="inlineStr">
        <is>
          <t>AD_inc_E</t>
        </is>
      </c>
      <c r="G176" s="13" t="inlineStr">
        <is>
          <t>NCP_D</t>
        </is>
      </c>
      <c r="H176" s="13" t="inlineStr">
        <is>
          <t>new_D_shares</t>
        </is>
      </c>
      <c r="I176" s="13" t="inlineStr">
        <is>
          <t>AD_inc_D</t>
        </is>
      </c>
      <c r="J176" s="13" t="inlineStr">
        <is>
          <t>ESOP_topup</t>
        </is>
      </c>
      <c r="K176" s="13" t="inlineStr">
        <is>
          <t>cap_FD_A</t>
        </is>
      </c>
      <c r="L176" s="13" t="inlineStr">
        <is>
          <t>cap_pps_A</t>
        </is>
      </c>
      <c r="M176" s="13" t="inlineStr">
        <is>
          <t>disc_pps_A</t>
        </is>
      </c>
      <c r="N176" s="13" t="inlineStr">
        <is>
          <t>conv_pps_A</t>
        </is>
      </c>
      <c r="O176" s="13" t="inlineStr">
        <is>
          <t>N_A</t>
        </is>
      </c>
      <c r="P176" s="13" t="inlineStr">
        <is>
          <t>cap_FD_B</t>
        </is>
      </c>
      <c r="Q176" s="13" t="inlineStr">
        <is>
          <t>cap_pps_B</t>
        </is>
      </c>
      <c r="R176" s="13" t="inlineStr">
        <is>
          <t>disc_pps_B</t>
        </is>
      </c>
      <c r="S176" s="13" t="inlineStr">
        <is>
          <t>conv_pps_B</t>
        </is>
      </c>
      <c r="T176" s="13" t="inlineStr">
        <is>
          <t>N_B</t>
        </is>
      </c>
      <c r="U176" s="13" t="inlineStr">
        <is>
          <t>pre_money_FD</t>
        </is>
      </c>
      <c r="V176" s="13" t="inlineStr">
        <is>
          <t>T_F</t>
        </is>
      </c>
    </row>
    <row r="177">
      <c r="A177" t="n">
        <v>0</v>
      </c>
      <c r="B177" s="11">
        <f>'Assumptions'!$B$68/'Assumptions'!$B$44</f>
        <v/>
      </c>
      <c r="C177" s="17">
        <f>'Assumptions'!$B$5/$B$177</f>
        <v/>
      </c>
      <c r="D177" s="11">
        <f>'Assumptions'!$B$27*('Assumptions'!$B$44+'Assumptions'!$B$5/'Assumptions'!$B$27)/('Assumptions'!$B$44+'Assumptions'!$B$5/$B$177)</f>
        <v/>
      </c>
      <c r="E177" s="17">
        <f>'Assumptions'!$B$40*'Assumptions'!$B$27/$D$177</f>
        <v/>
      </c>
      <c r="F177" s="17">
        <f>$E$177-'Assumptions'!$B$40</f>
        <v/>
      </c>
      <c r="G177" s="11">
        <f>'Assumptions'!$B$25*('Assumptions'!$B$44+'Assumptions'!$B$5/'Assumptions'!$B$25)/('Assumptions'!$B$44+'Assumptions'!$B$5/$B$177)</f>
        <v/>
      </c>
      <c r="H177" s="17">
        <f>'Assumptions'!$B$38*'Assumptions'!$B$26/$G$177</f>
        <v/>
      </c>
      <c r="I177" s="17">
        <f>$H$177-'Assumptions'!$B$39</f>
        <v/>
      </c>
      <c r="J177" s="17">
        <f>MAX(0,'Assumptions'!$B$66*('Assumptions'!$B$44+$F$177+$I$177+$C$177)/(1-'Assumptions'!$B$66)-'Assumptions'!$B$43)</f>
        <v/>
      </c>
      <c r="K177" s="17">
        <f>'Assumptions'!$B$44+$J$177+$F$177+$I$177+0</f>
        <v/>
      </c>
      <c r="L177" s="11">
        <f>'Assumptions'!$B$57/$K$177</f>
        <v/>
      </c>
      <c r="M177" s="11">
        <f>$B$177*(1-'Assumptions'!$B$58)</f>
        <v/>
      </c>
      <c r="N177" s="11">
        <f>MIN($L$177,$M$177)</f>
        <v/>
      </c>
      <c r="O177" s="17">
        <f>'Assumptions'!$B$56/$N$177</f>
        <v/>
      </c>
      <c r="P177" s="17">
        <f>'Assumptions'!$B$44+$J$177+$F$177+$I$177+$O$177</f>
        <v/>
      </c>
      <c r="Q177" s="11">
        <f>'Assumptions'!$B$60/$P$177</f>
        <v/>
      </c>
      <c r="R177" s="11">
        <f>$B$177*(1-'Assumptions'!$B$61)</f>
        <v/>
      </c>
      <c r="S177" s="11">
        <f>MIN($Q$177,$R$177)</f>
        <v/>
      </c>
      <c r="T177" s="17">
        <f>'Assumptions'!$B$59/$S$177</f>
        <v/>
      </c>
      <c r="U177" s="17">
        <f>'Assumptions'!$B$44+$J$177+$F$177+$I$177+$O$177+$T$177</f>
        <v/>
      </c>
      <c r="V177" s="17">
        <f>$U$177+$C$177</f>
        <v/>
      </c>
    </row>
    <row r="178">
      <c r="A178" t="n">
        <v>1</v>
      </c>
      <c r="B178" s="11">
        <f>'Assumptions'!$B$68/$U$177</f>
        <v/>
      </c>
      <c r="C178" s="17">
        <f>'Assumptions'!$B$5/$B$178</f>
        <v/>
      </c>
      <c r="D178" s="11">
        <f>'Assumptions'!$B$27*('Assumptions'!$B$44+'Assumptions'!$B$5/'Assumptions'!$B$27)/('Assumptions'!$B$44+'Assumptions'!$B$5/$B$178)</f>
        <v/>
      </c>
      <c r="E178" s="17">
        <f>'Assumptions'!$B$40*'Assumptions'!$B$27/$D$178</f>
        <v/>
      </c>
      <c r="F178" s="17">
        <f>$E$178-'Assumptions'!$B$40</f>
        <v/>
      </c>
      <c r="G178" s="11">
        <f>'Assumptions'!$B$25*('Assumptions'!$B$44+'Assumptions'!$B$5/'Assumptions'!$B$25)/('Assumptions'!$B$44+'Assumptions'!$B$5/$B$178)</f>
        <v/>
      </c>
      <c r="H178" s="17">
        <f>'Assumptions'!$B$38*'Assumptions'!$B$26/$G$178</f>
        <v/>
      </c>
      <c r="I178" s="17">
        <f>$H$178-'Assumptions'!$B$39</f>
        <v/>
      </c>
      <c r="J178" s="17">
        <f>MAX(0,'Assumptions'!$B$66*$V$177-'Assumptions'!$B$43)</f>
        <v/>
      </c>
      <c r="K178" s="17">
        <f>'Assumptions'!$B$44+$J$178+$F$178+$I$178+$T$177</f>
        <v/>
      </c>
      <c r="L178" s="11">
        <f>'Assumptions'!$B$57/$K$178</f>
        <v/>
      </c>
      <c r="M178" s="11">
        <f>$B$178*(1-'Assumptions'!$B$58)</f>
        <v/>
      </c>
      <c r="N178" s="11">
        <f>MIN($L$178,$M$178)</f>
        <v/>
      </c>
      <c r="O178" s="17">
        <f>'Assumptions'!$B$56/$N$178</f>
        <v/>
      </c>
      <c r="P178" s="17">
        <f>'Assumptions'!$B$44+$J$178+$F$178+$I$178+$O$178</f>
        <v/>
      </c>
      <c r="Q178" s="11">
        <f>'Assumptions'!$B$60/$P$178</f>
        <v/>
      </c>
      <c r="R178" s="11">
        <f>$B$178*(1-'Assumptions'!$B$61)</f>
        <v/>
      </c>
      <c r="S178" s="11">
        <f>MIN($Q$178,$R$178)</f>
        <v/>
      </c>
      <c r="T178" s="17">
        <f>'Assumptions'!$B$59/$S$178</f>
        <v/>
      </c>
      <c r="U178" s="17">
        <f>'Assumptions'!$B$44+$J$178+$F$178+$I$178+$O$178+$T$178</f>
        <v/>
      </c>
      <c r="V178" s="17">
        <f>$U$178+$C$178</f>
        <v/>
      </c>
    </row>
    <row r="179">
      <c r="A179" t="n">
        <v>2</v>
      </c>
      <c r="B179" s="11">
        <f>'Assumptions'!$B$68/$U$178</f>
        <v/>
      </c>
      <c r="C179" s="17">
        <f>'Assumptions'!$B$5/$B$179</f>
        <v/>
      </c>
      <c r="D179" s="11">
        <f>'Assumptions'!$B$27*('Assumptions'!$B$44+'Assumptions'!$B$5/'Assumptions'!$B$27)/('Assumptions'!$B$44+'Assumptions'!$B$5/$B$179)</f>
        <v/>
      </c>
      <c r="E179" s="17">
        <f>'Assumptions'!$B$40*'Assumptions'!$B$27/$D$179</f>
        <v/>
      </c>
      <c r="F179" s="17">
        <f>$E$179-'Assumptions'!$B$40</f>
        <v/>
      </c>
      <c r="G179" s="11">
        <f>'Assumptions'!$B$25*('Assumptions'!$B$44+'Assumptions'!$B$5/'Assumptions'!$B$25)/('Assumptions'!$B$44+'Assumptions'!$B$5/$B$179)</f>
        <v/>
      </c>
      <c r="H179" s="17">
        <f>'Assumptions'!$B$38*'Assumptions'!$B$26/$G$179</f>
        <v/>
      </c>
      <c r="I179" s="17">
        <f>$H$179-'Assumptions'!$B$39</f>
        <v/>
      </c>
      <c r="J179" s="17">
        <f>MAX(0,'Assumptions'!$B$66*$V$178-'Assumptions'!$B$43)</f>
        <v/>
      </c>
      <c r="K179" s="17">
        <f>'Assumptions'!$B$44+$J$179+$F$179+$I$179+$T$178</f>
        <v/>
      </c>
      <c r="L179" s="11">
        <f>'Assumptions'!$B$57/$K$179</f>
        <v/>
      </c>
      <c r="M179" s="11">
        <f>$B$179*(1-'Assumptions'!$B$58)</f>
        <v/>
      </c>
      <c r="N179" s="11">
        <f>MIN($L$179,$M$179)</f>
        <v/>
      </c>
      <c r="O179" s="17">
        <f>'Assumptions'!$B$56/$N$179</f>
        <v/>
      </c>
      <c r="P179" s="17">
        <f>'Assumptions'!$B$44+$J$179+$F$179+$I$179+$O$179</f>
        <v/>
      </c>
      <c r="Q179" s="11">
        <f>'Assumptions'!$B$60/$P$179</f>
        <v/>
      </c>
      <c r="R179" s="11">
        <f>$B$179*(1-'Assumptions'!$B$61)</f>
        <v/>
      </c>
      <c r="S179" s="11">
        <f>MIN($Q$179,$R$179)</f>
        <v/>
      </c>
      <c r="T179" s="17">
        <f>'Assumptions'!$B$59/$S$179</f>
        <v/>
      </c>
      <c r="U179" s="17">
        <f>'Assumptions'!$B$44+$J$179+$F$179+$I$179+$O$179+$T$179</f>
        <v/>
      </c>
      <c r="V179" s="17">
        <f>$U$179+$C$179</f>
        <v/>
      </c>
    </row>
    <row r="180">
      <c r="A180" t="n">
        <v>3</v>
      </c>
      <c r="B180" s="11">
        <f>'Assumptions'!$B$68/$U$179</f>
        <v/>
      </c>
      <c r="C180" s="17">
        <f>'Assumptions'!$B$5/$B$180</f>
        <v/>
      </c>
      <c r="D180" s="11">
        <f>'Assumptions'!$B$27*('Assumptions'!$B$44+'Assumptions'!$B$5/'Assumptions'!$B$27)/('Assumptions'!$B$44+'Assumptions'!$B$5/$B$180)</f>
        <v/>
      </c>
      <c r="E180" s="17">
        <f>'Assumptions'!$B$40*'Assumptions'!$B$27/$D$180</f>
        <v/>
      </c>
      <c r="F180" s="17">
        <f>$E$180-'Assumptions'!$B$40</f>
        <v/>
      </c>
      <c r="G180" s="11">
        <f>'Assumptions'!$B$25*('Assumptions'!$B$44+'Assumptions'!$B$5/'Assumptions'!$B$25)/('Assumptions'!$B$44+'Assumptions'!$B$5/$B$180)</f>
        <v/>
      </c>
      <c r="H180" s="17">
        <f>'Assumptions'!$B$38*'Assumptions'!$B$26/$G$180</f>
        <v/>
      </c>
      <c r="I180" s="17">
        <f>$H$180-'Assumptions'!$B$39</f>
        <v/>
      </c>
      <c r="J180" s="17">
        <f>MAX(0,'Assumptions'!$B$66*$V$179-'Assumptions'!$B$43)</f>
        <v/>
      </c>
      <c r="K180" s="17">
        <f>'Assumptions'!$B$44+$J$180+$F$180+$I$180+$T$179</f>
        <v/>
      </c>
      <c r="L180" s="11">
        <f>'Assumptions'!$B$57/$K$180</f>
        <v/>
      </c>
      <c r="M180" s="11">
        <f>$B$180*(1-'Assumptions'!$B$58)</f>
        <v/>
      </c>
      <c r="N180" s="11">
        <f>MIN($L$180,$M$180)</f>
        <v/>
      </c>
      <c r="O180" s="17">
        <f>'Assumptions'!$B$56/$N$180</f>
        <v/>
      </c>
      <c r="P180" s="17">
        <f>'Assumptions'!$B$44+$J$180+$F$180+$I$180+$O$180</f>
        <v/>
      </c>
      <c r="Q180" s="11">
        <f>'Assumptions'!$B$60/$P$180</f>
        <v/>
      </c>
      <c r="R180" s="11">
        <f>$B$180*(1-'Assumptions'!$B$61)</f>
        <v/>
      </c>
      <c r="S180" s="11">
        <f>MIN($Q$180,$R$180)</f>
        <v/>
      </c>
      <c r="T180" s="17">
        <f>'Assumptions'!$B$59/$S$180</f>
        <v/>
      </c>
      <c r="U180" s="17">
        <f>'Assumptions'!$B$44+$J$180+$F$180+$I$180+$O$180+$T$180</f>
        <v/>
      </c>
      <c r="V180" s="17">
        <f>$U$180+$C$180</f>
        <v/>
      </c>
    </row>
    <row r="181">
      <c r="A181" t="n">
        <v>4</v>
      </c>
      <c r="B181" s="11">
        <f>'Assumptions'!$B$68/$U$180</f>
        <v/>
      </c>
      <c r="C181" s="17">
        <f>'Assumptions'!$B$5/$B$181</f>
        <v/>
      </c>
      <c r="D181" s="11">
        <f>'Assumptions'!$B$27*('Assumptions'!$B$44+'Assumptions'!$B$5/'Assumptions'!$B$27)/('Assumptions'!$B$44+'Assumptions'!$B$5/$B$181)</f>
        <v/>
      </c>
      <c r="E181" s="17">
        <f>'Assumptions'!$B$40*'Assumptions'!$B$27/$D$181</f>
        <v/>
      </c>
      <c r="F181" s="17">
        <f>$E$181-'Assumptions'!$B$40</f>
        <v/>
      </c>
      <c r="G181" s="11">
        <f>'Assumptions'!$B$25*('Assumptions'!$B$44+'Assumptions'!$B$5/'Assumptions'!$B$25)/('Assumptions'!$B$44+'Assumptions'!$B$5/$B$181)</f>
        <v/>
      </c>
      <c r="H181" s="17">
        <f>'Assumptions'!$B$38*'Assumptions'!$B$26/$G$181</f>
        <v/>
      </c>
      <c r="I181" s="17">
        <f>$H$181-'Assumptions'!$B$39</f>
        <v/>
      </c>
      <c r="J181" s="17">
        <f>MAX(0,'Assumptions'!$B$66*$V$180-'Assumptions'!$B$43)</f>
        <v/>
      </c>
      <c r="K181" s="17">
        <f>'Assumptions'!$B$44+$J$181+$F$181+$I$181+$T$180</f>
        <v/>
      </c>
      <c r="L181" s="11">
        <f>'Assumptions'!$B$57/$K$181</f>
        <v/>
      </c>
      <c r="M181" s="11">
        <f>$B$181*(1-'Assumptions'!$B$58)</f>
        <v/>
      </c>
      <c r="N181" s="11">
        <f>MIN($L$181,$M$181)</f>
        <v/>
      </c>
      <c r="O181" s="17">
        <f>'Assumptions'!$B$56/$N$181</f>
        <v/>
      </c>
      <c r="P181" s="17">
        <f>'Assumptions'!$B$44+$J$181+$F$181+$I$181+$O$181</f>
        <v/>
      </c>
      <c r="Q181" s="11">
        <f>'Assumptions'!$B$60/$P$181</f>
        <v/>
      </c>
      <c r="R181" s="11">
        <f>$B$181*(1-'Assumptions'!$B$61)</f>
        <v/>
      </c>
      <c r="S181" s="11">
        <f>MIN($Q$181,$R$181)</f>
        <v/>
      </c>
      <c r="T181" s="17">
        <f>'Assumptions'!$B$59/$S$181</f>
        <v/>
      </c>
      <c r="U181" s="17">
        <f>'Assumptions'!$B$44+$J$181+$F$181+$I$181+$O$181+$T$181</f>
        <v/>
      </c>
      <c r="V181" s="17">
        <f>$U$181+$C$181</f>
        <v/>
      </c>
    </row>
    <row r="182">
      <c r="A182" t="n">
        <v>5</v>
      </c>
      <c r="B182" s="11">
        <f>'Assumptions'!$B$68/$U$181</f>
        <v/>
      </c>
      <c r="C182" s="17">
        <f>'Assumptions'!$B$5/$B$182</f>
        <v/>
      </c>
      <c r="D182" s="11">
        <f>'Assumptions'!$B$27*('Assumptions'!$B$44+'Assumptions'!$B$5/'Assumptions'!$B$27)/('Assumptions'!$B$44+'Assumptions'!$B$5/$B$182)</f>
        <v/>
      </c>
      <c r="E182" s="17">
        <f>'Assumptions'!$B$40*'Assumptions'!$B$27/$D$182</f>
        <v/>
      </c>
      <c r="F182" s="17">
        <f>$E$182-'Assumptions'!$B$40</f>
        <v/>
      </c>
      <c r="G182" s="11">
        <f>'Assumptions'!$B$25*('Assumptions'!$B$44+'Assumptions'!$B$5/'Assumptions'!$B$25)/('Assumptions'!$B$44+'Assumptions'!$B$5/$B$182)</f>
        <v/>
      </c>
      <c r="H182" s="17">
        <f>'Assumptions'!$B$38*'Assumptions'!$B$26/$G$182</f>
        <v/>
      </c>
      <c r="I182" s="17">
        <f>$H$182-'Assumptions'!$B$39</f>
        <v/>
      </c>
      <c r="J182" s="17">
        <f>MAX(0,'Assumptions'!$B$66*$V$181-'Assumptions'!$B$43)</f>
        <v/>
      </c>
      <c r="K182" s="17">
        <f>'Assumptions'!$B$44+$J$182+$F$182+$I$182+$T$181</f>
        <v/>
      </c>
      <c r="L182" s="11">
        <f>'Assumptions'!$B$57/$K$182</f>
        <v/>
      </c>
      <c r="M182" s="11">
        <f>$B$182*(1-'Assumptions'!$B$58)</f>
        <v/>
      </c>
      <c r="N182" s="11">
        <f>MIN($L$182,$M$182)</f>
        <v/>
      </c>
      <c r="O182" s="17">
        <f>'Assumptions'!$B$56/$N$182</f>
        <v/>
      </c>
      <c r="P182" s="17">
        <f>'Assumptions'!$B$44+$J$182+$F$182+$I$182+$O$182</f>
        <v/>
      </c>
      <c r="Q182" s="11">
        <f>'Assumptions'!$B$60/$P$182</f>
        <v/>
      </c>
      <c r="R182" s="11">
        <f>$B$182*(1-'Assumptions'!$B$61)</f>
        <v/>
      </c>
      <c r="S182" s="11">
        <f>MIN($Q$182,$R$182)</f>
        <v/>
      </c>
      <c r="T182" s="17">
        <f>'Assumptions'!$B$59/$S$182</f>
        <v/>
      </c>
      <c r="U182" s="17">
        <f>'Assumptions'!$B$44+$J$182+$F$182+$I$182+$O$182+$T$182</f>
        <v/>
      </c>
      <c r="V182" s="17">
        <f>$U$182+$C$182</f>
        <v/>
      </c>
    </row>
    <row r="183">
      <c r="A183" t="n">
        <v>6</v>
      </c>
      <c r="B183" s="11">
        <f>'Assumptions'!$B$68/$U$182</f>
        <v/>
      </c>
      <c r="C183" s="17">
        <f>'Assumptions'!$B$5/$B$183</f>
        <v/>
      </c>
      <c r="D183" s="11">
        <f>'Assumptions'!$B$27*('Assumptions'!$B$44+'Assumptions'!$B$5/'Assumptions'!$B$27)/('Assumptions'!$B$44+'Assumptions'!$B$5/$B$183)</f>
        <v/>
      </c>
      <c r="E183" s="17">
        <f>'Assumptions'!$B$40*'Assumptions'!$B$27/$D$183</f>
        <v/>
      </c>
      <c r="F183" s="17">
        <f>$E$183-'Assumptions'!$B$40</f>
        <v/>
      </c>
      <c r="G183" s="11">
        <f>'Assumptions'!$B$25*('Assumptions'!$B$44+'Assumptions'!$B$5/'Assumptions'!$B$25)/('Assumptions'!$B$44+'Assumptions'!$B$5/$B$183)</f>
        <v/>
      </c>
      <c r="H183" s="17">
        <f>'Assumptions'!$B$38*'Assumptions'!$B$26/$G$183</f>
        <v/>
      </c>
      <c r="I183" s="17">
        <f>$H$183-'Assumptions'!$B$39</f>
        <v/>
      </c>
      <c r="J183" s="17">
        <f>MAX(0,'Assumptions'!$B$66*$V$182-'Assumptions'!$B$43)</f>
        <v/>
      </c>
      <c r="K183" s="17">
        <f>'Assumptions'!$B$44+$J$183+$F$183+$I$183+$T$182</f>
        <v/>
      </c>
      <c r="L183" s="11">
        <f>'Assumptions'!$B$57/$K$183</f>
        <v/>
      </c>
      <c r="M183" s="11">
        <f>$B$183*(1-'Assumptions'!$B$58)</f>
        <v/>
      </c>
      <c r="N183" s="11">
        <f>MIN($L$183,$M$183)</f>
        <v/>
      </c>
      <c r="O183" s="17">
        <f>'Assumptions'!$B$56/$N$183</f>
        <v/>
      </c>
      <c r="P183" s="17">
        <f>'Assumptions'!$B$44+$J$183+$F$183+$I$183+$O$183</f>
        <v/>
      </c>
      <c r="Q183" s="11">
        <f>'Assumptions'!$B$60/$P$183</f>
        <v/>
      </c>
      <c r="R183" s="11">
        <f>$B$183*(1-'Assumptions'!$B$61)</f>
        <v/>
      </c>
      <c r="S183" s="11">
        <f>MIN($Q$183,$R$183)</f>
        <v/>
      </c>
      <c r="T183" s="17">
        <f>'Assumptions'!$B$59/$S$183</f>
        <v/>
      </c>
      <c r="U183" s="17">
        <f>'Assumptions'!$B$44+$J$183+$F$183+$I$183+$O$183+$T$183</f>
        <v/>
      </c>
      <c r="V183" s="17">
        <f>$U$183+$C$183</f>
        <v/>
      </c>
    </row>
    <row r="184">
      <c r="A184" t="n">
        <v>7</v>
      </c>
      <c r="B184" s="11">
        <f>'Assumptions'!$B$68/$U$183</f>
        <v/>
      </c>
      <c r="C184" s="17">
        <f>'Assumptions'!$B$5/$B$184</f>
        <v/>
      </c>
      <c r="D184" s="11">
        <f>'Assumptions'!$B$27*('Assumptions'!$B$44+'Assumptions'!$B$5/'Assumptions'!$B$27)/('Assumptions'!$B$44+'Assumptions'!$B$5/$B$184)</f>
        <v/>
      </c>
      <c r="E184" s="17">
        <f>'Assumptions'!$B$40*'Assumptions'!$B$27/$D$184</f>
        <v/>
      </c>
      <c r="F184" s="17">
        <f>$E$184-'Assumptions'!$B$40</f>
        <v/>
      </c>
      <c r="G184" s="11">
        <f>'Assumptions'!$B$25*('Assumptions'!$B$44+'Assumptions'!$B$5/'Assumptions'!$B$25)/('Assumptions'!$B$44+'Assumptions'!$B$5/$B$184)</f>
        <v/>
      </c>
      <c r="H184" s="17">
        <f>'Assumptions'!$B$38*'Assumptions'!$B$26/$G$184</f>
        <v/>
      </c>
      <c r="I184" s="17">
        <f>$H$184-'Assumptions'!$B$39</f>
        <v/>
      </c>
      <c r="J184" s="17">
        <f>MAX(0,'Assumptions'!$B$66*$V$183-'Assumptions'!$B$43)</f>
        <v/>
      </c>
      <c r="K184" s="17">
        <f>'Assumptions'!$B$44+$J$184+$F$184+$I$184+$T$183</f>
        <v/>
      </c>
      <c r="L184" s="11">
        <f>'Assumptions'!$B$57/$K$184</f>
        <v/>
      </c>
      <c r="M184" s="11">
        <f>$B$184*(1-'Assumptions'!$B$58)</f>
        <v/>
      </c>
      <c r="N184" s="11">
        <f>MIN($L$184,$M$184)</f>
        <v/>
      </c>
      <c r="O184" s="17">
        <f>'Assumptions'!$B$56/$N$184</f>
        <v/>
      </c>
      <c r="P184" s="17">
        <f>'Assumptions'!$B$44+$J$184+$F$184+$I$184+$O$184</f>
        <v/>
      </c>
      <c r="Q184" s="11">
        <f>'Assumptions'!$B$60/$P$184</f>
        <v/>
      </c>
      <c r="R184" s="11">
        <f>$B$184*(1-'Assumptions'!$B$61)</f>
        <v/>
      </c>
      <c r="S184" s="11">
        <f>MIN($Q$184,$R$184)</f>
        <v/>
      </c>
      <c r="T184" s="17">
        <f>'Assumptions'!$B$59/$S$184</f>
        <v/>
      </c>
      <c r="U184" s="17">
        <f>'Assumptions'!$B$44+$J$184+$F$184+$I$184+$O$184+$T$184</f>
        <v/>
      </c>
      <c r="V184" s="17">
        <f>$U$184+$C$184</f>
        <v/>
      </c>
    </row>
    <row r="185">
      <c r="A185" t="n">
        <v>8</v>
      </c>
      <c r="B185" s="11">
        <f>'Assumptions'!$B$68/$U$184</f>
        <v/>
      </c>
      <c r="C185" s="17">
        <f>'Assumptions'!$B$5/$B$185</f>
        <v/>
      </c>
      <c r="D185" s="11">
        <f>'Assumptions'!$B$27*('Assumptions'!$B$44+'Assumptions'!$B$5/'Assumptions'!$B$27)/('Assumptions'!$B$44+'Assumptions'!$B$5/$B$185)</f>
        <v/>
      </c>
      <c r="E185" s="17">
        <f>'Assumptions'!$B$40*'Assumptions'!$B$27/$D$185</f>
        <v/>
      </c>
      <c r="F185" s="17">
        <f>$E$185-'Assumptions'!$B$40</f>
        <v/>
      </c>
      <c r="G185" s="11">
        <f>'Assumptions'!$B$25*('Assumptions'!$B$44+'Assumptions'!$B$5/'Assumptions'!$B$25)/('Assumptions'!$B$44+'Assumptions'!$B$5/$B$185)</f>
        <v/>
      </c>
      <c r="H185" s="17">
        <f>'Assumptions'!$B$38*'Assumptions'!$B$26/$G$185</f>
        <v/>
      </c>
      <c r="I185" s="17">
        <f>$H$185-'Assumptions'!$B$39</f>
        <v/>
      </c>
      <c r="J185" s="17">
        <f>MAX(0,'Assumptions'!$B$66*$V$184-'Assumptions'!$B$43)</f>
        <v/>
      </c>
      <c r="K185" s="17">
        <f>'Assumptions'!$B$44+$J$185+$F$185+$I$185+$T$184</f>
        <v/>
      </c>
      <c r="L185" s="11">
        <f>'Assumptions'!$B$57/$K$185</f>
        <v/>
      </c>
      <c r="M185" s="11">
        <f>$B$185*(1-'Assumptions'!$B$58)</f>
        <v/>
      </c>
      <c r="N185" s="11">
        <f>MIN($L$185,$M$185)</f>
        <v/>
      </c>
      <c r="O185" s="17">
        <f>'Assumptions'!$B$56/$N$185</f>
        <v/>
      </c>
      <c r="P185" s="17">
        <f>'Assumptions'!$B$44+$J$185+$F$185+$I$185+$O$185</f>
        <v/>
      </c>
      <c r="Q185" s="11">
        <f>'Assumptions'!$B$60/$P$185</f>
        <v/>
      </c>
      <c r="R185" s="11">
        <f>$B$185*(1-'Assumptions'!$B$61)</f>
        <v/>
      </c>
      <c r="S185" s="11">
        <f>MIN($Q$185,$R$185)</f>
        <v/>
      </c>
      <c r="T185" s="17">
        <f>'Assumptions'!$B$59/$S$185</f>
        <v/>
      </c>
      <c r="U185" s="17">
        <f>'Assumptions'!$B$44+$J$185+$F$185+$I$185+$O$185+$T$185</f>
        <v/>
      </c>
      <c r="V185" s="17">
        <f>$U$185+$C$185</f>
        <v/>
      </c>
    </row>
    <row r="186">
      <c r="A186" t="n">
        <v>9</v>
      </c>
      <c r="B186" s="11">
        <f>'Assumptions'!$B$68/$U$185</f>
        <v/>
      </c>
      <c r="C186" s="17">
        <f>'Assumptions'!$B$5/$B$186</f>
        <v/>
      </c>
      <c r="D186" s="11">
        <f>'Assumptions'!$B$27*('Assumptions'!$B$44+'Assumptions'!$B$5/'Assumptions'!$B$27)/('Assumptions'!$B$44+'Assumptions'!$B$5/$B$186)</f>
        <v/>
      </c>
      <c r="E186" s="17">
        <f>'Assumptions'!$B$40*'Assumptions'!$B$27/$D$186</f>
        <v/>
      </c>
      <c r="F186" s="17">
        <f>$E$186-'Assumptions'!$B$40</f>
        <v/>
      </c>
      <c r="G186" s="11">
        <f>'Assumptions'!$B$25*('Assumptions'!$B$44+'Assumptions'!$B$5/'Assumptions'!$B$25)/('Assumptions'!$B$44+'Assumptions'!$B$5/$B$186)</f>
        <v/>
      </c>
      <c r="H186" s="17">
        <f>'Assumptions'!$B$38*'Assumptions'!$B$26/$G$186</f>
        <v/>
      </c>
      <c r="I186" s="17">
        <f>$H$186-'Assumptions'!$B$39</f>
        <v/>
      </c>
      <c r="J186" s="17">
        <f>MAX(0,'Assumptions'!$B$66*$V$185-'Assumptions'!$B$43)</f>
        <v/>
      </c>
      <c r="K186" s="17">
        <f>'Assumptions'!$B$44+$J$186+$F$186+$I$186+$T$185</f>
        <v/>
      </c>
      <c r="L186" s="11">
        <f>'Assumptions'!$B$57/$K$186</f>
        <v/>
      </c>
      <c r="M186" s="11">
        <f>$B$186*(1-'Assumptions'!$B$58)</f>
        <v/>
      </c>
      <c r="N186" s="11">
        <f>MIN($L$186,$M$186)</f>
        <v/>
      </c>
      <c r="O186" s="17">
        <f>'Assumptions'!$B$56/$N$186</f>
        <v/>
      </c>
      <c r="P186" s="17">
        <f>'Assumptions'!$B$44+$J$186+$F$186+$I$186+$O$186</f>
        <v/>
      </c>
      <c r="Q186" s="11">
        <f>'Assumptions'!$B$60/$P$186</f>
        <v/>
      </c>
      <c r="R186" s="11">
        <f>$B$186*(1-'Assumptions'!$B$61)</f>
        <v/>
      </c>
      <c r="S186" s="11">
        <f>MIN($Q$186,$R$186)</f>
        <v/>
      </c>
      <c r="T186" s="17">
        <f>'Assumptions'!$B$59/$S$186</f>
        <v/>
      </c>
      <c r="U186" s="17">
        <f>'Assumptions'!$B$44+$J$186+$F$186+$I$186+$O$186+$T$186</f>
        <v/>
      </c>
      <c r="V186" s="17">
        <f>$U$186+$C$186</f>
        <v/>
      </c>
    </row>
    <row r="187">
      <c r="A187" t="n">
        <v>10</v>
      </c>
      <c r="B187" s="11">
        <f>'Assumptions'!$B$68/$U$186</f>
        <v/>
      </c>
      <c r="C187" s="17">
        <f>'Assumptions'!$B$5/$B$187</f>
        <v/>
      </c>
      <c r="D187" s="11">
        <f>'Assumptions'!$B$27*('Assumptions'!$B$44+'Assumptions'!$B$5/'Assumptions'!$B$27)/('Assumptions'!$B$44+'Assumptions'!$B$5/$B$187)</f>
        <v/>
      </c>
      <c r="E187" s="17">
        <f>'Assumptions'!$B$40*'Assumptions'!$B$27/$D$187</f>
        <v/>
      </c>
      <c r="F187" s="17">
        <f>$E$187-'Assumptions'!$B$40</f>
        <v/>
      </c>
      <c r="G187" s="11">
        <f>'Assumptions'!$B$25*('Assumptions'!$B$44+'Assumptions'!$B$5/'Assumptions'!$B$25)/('Assumptions'!$B$44+'Assumptions'!$B$5/$B$187)</f>
        <v/>
      </c>
      <c r="H187" s="17">
        <f>'Assumptions'!$B$38*'Assumptions'!$B$26/$G$187</f>
        <v/>
      </c>
      <c r="I187" s="17">
        <f>$H$187-'Assumptions'!$B$39</f>
        <v/>
      </c>
      <c r="J187" s="17">
        <f>MAX(0,'Assumptions'!$B$66*$V$186-'Assumptions'!$B$43)</f>
        <v/>
      </c>
      <c r="K187" s="17">
        <f>'Assumptions'!$B$44+$J$187+$F$187+$I$187+$T$186</f>
        <v/>
      </c>
      <c r="L187" s="11">
        <f>'Assumptions'!$B$57/$K$187</f>
        <v/>
      </c>
      <c r="M187" s="11">
        <f>$B$187*(1-'Assumptions'!$B$58)</f>
        <v/>
      </c>
      <c r="N187" s="11">
        <f>MIN($L$187,$M$187)</f>
        <v/>
      </c>
      <c r="O187" s="17">
        <f>'Assumptions'!$B$56/$N$187</f>
        <v/>
      </c>
      <c r="P187" s="17">
        <f>'Assumptions'!$B$44+$J$187+$F$187+$I$187+$O$187</f>
        <v/>
      </c>
      <c r="Q187" s="11">
        <f>'Assumptions'!$B$60/$P$187</f>
        <v/>
      </c>
      <c r="R187" s="11">
        <f>$B$187*(1-'Assumptions'!$B$61)</f>
        <v/>
      </c>
      <c r="S187" s="11">
        <f>MIN($Q$187,$R$187)</f>
        <v/>
      </c>
      <c r="T187" s="17">
        <f>'Assumptions'!$B$59/$S$187</f>
        <v/>
      </c>
      <c r="U187" s="17">
        <f>'Assumptions'!$B$44+$J$187+$F$187+$I$187+$O$187+$T$187</f>
        <v/>
      </c>
      <c r="V187" s="17">
        <f>$U$187+$C$187</f>
        <v/>
      </c>
    </row>
    <row r="188">
      <c r="A188" t="n">
        <v>11</v>
      </c>
      <c r="B188" s="11">
        <f>'Assumptions'!$B$68/$U$187</f>
        <v/>
      </c>
      <c r="C188" s="17">
        <f>'Assumptions'!$B$5/$B$188</f>
        <v/>
      </c>
      <c r="D188" s="11">
        <f>'Assumptions'!$B$27*('Assumptions'!$B$44+'Assumptions'!$B$5/'Assumptions'!$B$27)/('Assumptions'!$B$44+'Assumptions'!$B$5/$B$188)</f>
        <v/>
      </c>
      <c r="E188" s="17">
        <f>'Assumptions'!$B$40*'Assumptions'!$B$27/$D$188</f>
        <v/>
      </c>
      <c r="F188" s="17">
        <f>$E$188-'Assumptions'!$B$40</f>
        <v/>
      </c>
      <c r="G188" s="11">
        <f>'Assumptions'!$B$25*('Assumptions'!$B$44+'Assumptions'!$B$5/'Assumptions'!$B$25)/('Assumptions'!$B$44+'Assumptions'!$B$5/$B$188)</f>
        <v/>
      </c>
      <c r="H188" s="17">
        <f>'Assumptions'!$B$38*'Assumptions'!$B$26/$G$188</f>
        <v/>
      </c>
      <c r="I188" s="17">
        <f>$H$188-'Assumptions'!$B$39</f>
        <v/>
      </c>
      <c r="J188" s="17">
        <f>MAX(0,'Assumptions'!$B$66*$V$187-'Assumptions'!$B$43)</f>
        <v/>
      </c>
      <c r="K188" s="17">
        <f>'Assumptions'!$B$44+$J$188+$F$188+$I$188+$T$187</f>
        <v/>
      </c>
      <c r="L188" s="11">
        <f>'Assumptions'!$B$57/$K$188</f>
        <v/>
      </c>
      <c r="M188" s="11">
        <f>$B$188*(1-'Assumptions'!$B$58)</f>
        <v/>
      </c>
      <c r="N188" s="11">
        <f>MIN($L$188,$M$188)</f>
        <v/>
      </c>
      <c r="O188" s="17">
        <f>'Assumptions'!$B$56/$N$188</f>
        <v/>
      </c>
      <c r="P188" s="17">
        <f>'Assumptions'!$B$44+$J$188+$F$188+$I$188+$O$188</f>
        <v/>
      </c>
      <c r="Q188" s="11">
        <f>'Assumptions'!$B$60/$P$188</f>
        <v/>
      </c>
      <c r="R188" s="11">
        <f>$B$188*(1-'Assumptions'!$B$61)</f>
        <v/>
      </c>
      <c r="S188" s="11">
        <f>MIN($Q$188,$R$188)</f>
        <v/>
      </c>
      <c r="T188" s="17">
        <f>'Assumptions'!$B$59/$S$188</f>
        <v/>
      </c>
      <c r="U188" s="17">
        <f>'Assumptions'!$B$44+$J$188+$F$188+$I$188+$O$188+$T$188</f>
        <v/>
      </c>
      <c r="V188" s="17">
        <f>$U$188+$C$188</f>
        <v/>
      </c>
    </row>
    <row r="189">
      <c r="A189" t="n">
        <v>12</v>
      </c>
      <c r="B189" s="11">
        <f>'Assumptions'!$B$68/$U$188</f>
        <v/>
      </c>
      <c r="C189" s="17">
        <f>'Assumptions'!$B$5/$B$189</f>
        <v/>
      </c>
      <c r="D189" s="11">
        <f>'Assumptions'!$B$27*('Assumptions'!$B$44+'Assumptions'!$B$5/'Assumptions'!$B$27)/('Assumptions'!$B$44+'Assumptions'!$B$5/$B$189)</f>
        <v/>
      </c>
      <c r="E189" s="17">
        <f>'Assumptions'!$B$40*'Assumptions'!$B$27/$D$189</f>
        <v/>
      </c>
      <c r="F189" s="17">
        <f>$E$189-'Assumptions'!$B$40</f>
        <v/>
      </c>
      <c r="G189" s="11">
        <f>'Assumptions'!$B$25*('Assumptions'!$B$44+'Assumptions'!$B$5/'Assumptions'!$B$25)/('Assumptions'!$B$44+'Assumptions'!$B$5/$B$189)</f>
        <v/>
      </c>
      <c r="H189" s="17">
        <f>'Assumptions'!$B$38*'Assumptions'!$B$26/$G$189</f>
        <v/>
      </c>
      <c r="I189" s="17">
        <f>$H$189-'Assumptions'!$B$39</f>
        <v/>
      </c>
      <c r="J189" s="17">
        <f>MAX(0,'Assumptions'!$B$66*$V$188-'Assumptions'!$B$43)</f>
        <v/>
      </c>
      <c r="K189" s="17">
        <f>'Assumptions'!$B$44+$J$189+$F$189+$I$189+$T$188</f>
        <v/>
      </c>
      <c r="L189" s="11">
        <f>'Assumptions'!$B$57/$K$189</f>
        <v/>
      </c>
      <c r="M189" s="11">
        <f>$B$189*(1-'Assumptions'!$B$58)</f>
        <v/>
      </c>
      <c r="N189" s="11">
        <f>MIN($L$189,$M$189)</f>
        <v/>
      </c>
      <c r="O189" s="17">
        <f>'Assumptions'!$B$56/$N$189</f>
        <v/>
      </c>
      <c r="P189" s="17">
        <f>'Assumptions'!$B$44+$J$189+$F$189+$I$189+$O$189</f>
        <v/>
      </c>
      <c r="Q189" s="11">
        <f>'Assumptions'!$B$60/$P$189</f>
        <v/>
      </c>
      <c r="R189" s="11">
        <f>$B$189*(1-'Assumptions'!$B$61)</f>
        <v/>
      </c>
      <c r="S189" s="11">
        <f>MIN($Q$189,$R$189)</f>
        <v/>
      </c>
      <c r="T189" s="17">
        <f>'Assumptions'!$B$59/$S$189</f>
        <v/>
      </c>
      <c r="U189" s="17">
        <f>'Assumptions'!$B$44+$J$189+$F$189+$I$189+$O$189+$T$189</f>
        <v/>
      </c>
      <c r="V189" s="17">
        <f>$U$189+$C$189</f>
        <v/>
      </c>
    </row>
    <row r="190">
      <c r="A190" t="n">
        <v>13</v>
      </c>
      <c r="B190" s="11">
        <f>'Assumptions'!$B$68/$U$189</f>
        <v/>
      </c>
      <c r="C190" s="17">
        <f>'Assumptions'!$B$5/$B$190</f>
        <v/>
      </c>
      <c r="D190" s="11">
        <f>'Assumptions'!$B$27*('Assumptions'!$B$44+'Assumptions'!$B$5/'Assumptions'!$B$27)/('Assumptions'!$B$44+'Assumptions'!$B$5/$B$190)</f>
        <v/>
      </c>
      <c r="E190" s="17">
        <f>'Assumptions'!$B$40*'Assumptions'!$B$27/$D$190</f>
        <v/>
      </c>
      <c r="F190" s="17">
        <f>$E$190-'Assumptions'!$B$40</f>
        <v/>
      </c>
      <c r="G190" s="11">
        <f>'Assumptions'!$B$25*('Assumptions'!$B$44+'Assumptions'!$B$5/'Assumptions'!$B$25)/('Assumptions'!$B$44+'Assumptions'!$B$5/$B$190)</f>
        <v/>
      </c>
      <c r="H190" s="17">
        <f>'Assumptions'!$B$38*'Assumptions'!$B$26/$G$190</f>
        <v/>
      </c>
      <c r="I190" s="17">
        <f>$H$190-'Assumptions'!$B$39</f>
        <v/>
      </c>
      <c r="J190" s="17">
        <f>MAX(0,'Assumptions'!$B$66*$V$189-'Assumptions'!$B$43)</f>
        <v/>
      </c>
      <c r="K190" s="17">
        <f>'Assumptions'!$B$44+$J$190+$F$190+$I$190+$T$189</f>
        <v/>
      </c>
      <c r="L190" s="11">
        <f>'Assumptions'!$B$57/$K$190</f>
        <v/>
      </c>
      <c r="M190" s="11">
        <f>$B$190*(1-'Assumptions'!$B$58)</f>
        <v/>
      </c>
      <c r="N190" s="11">
        <f>MIN($L$190,$M$190)</f>
        <v/>
      </c>
      <c r="O190" s="17">
        <f>'Assumptions'!$B$56/$N$190</f>
        <v/>
      </c>
      <c r="P190" s="17">
        <f>'Assumptions'!$B$44+$J$190+$F$190+$I$190+$O$190</f>
        <v/>
      </c>
      <c r="Q190" s="11">
        <f>'Assumptions'!$B$60/$P$190</f>
        <v/>
      </c>
      <c r="R190" s="11">
        <f>$B$190*(1-'Assumptions'!$B$61)</f>
        <v/>
      </c>
      <c r="S190" s="11">
        <f>MIN($Q$190,$R$190)</f>
        <v/>
      </c>
      <c r="T190" s="17">
        <f>'Assumptions'!$B$59/$S$190</f>
        <v/>
      </c>
      <c r="U190" s="17">
        <f>'Assumptions'!$B$44+$J$190+$F$190+$I$190+$O$190+$T$190</f>
        <v/>
      </c>
      <c r="V190" s="17">
        <f>$U$190+$C$190</f>
        <v/>
      </c>
    </row>
    <row r="191">
      <c r="A191" t="n">
        <v>14</v>
      </c>
      <c r="B191" s="11">
        <f>'Assumptions'!$B$68/$U$190</f>
        <v/>
      </c>
      <c r="C191" s="17">
        <f>'Assumptions'!$B$5/$B$191</f>
        <v/>
      </c>
      <c r="D191" s="11">
        <f>'Assumptions'!$B$27*('Assumptions'!$B$44+'Assumptions'!$B$5/'Assumptions'!$B$27)/('Assumptions'!$B$44+'Assumptions'!$B$5/$B$191)</f>
        <v/>
      </c>
      <c r="E191" s="17">
        <f>'Assumptions'!$B$40*'Assumptions'!$B$27/$D$191</f>
        <v/>
      </c>
      <c r="F191" s="17">
        <f>$E$191-'Assumptions'!$B$40</f>
        <v/>
      </c>
      <c r="G191" s="11">
        <f>'Assumptions'!$B$25*('Assumptions'!$B$44+'Assumptions'!$B$5/'Assumptions'!$B$25)/('Assumptions'!$B$44+'Assumptions'!$B$5/$B$191)</f>
        <v/>
      </c>
      <c r="H191" s="17">
        <f>'Assumptions'!$B$38*'Assumptions'!$B$26/$G$191</f>
        <v/>
      </c>
      <c r="I191" s="17">
        <f>$H$191-'Assumptions'!$B$39</f>
        <v/>
      </c>
      <c r="J191" s="17">
        <f>MAX(0,'Assumptions'!$B$66*$V$190-'Assumptions'!$B$43)</f>
        <v/>
      </c>
      <c r="K191" s="17">
        <f>'Assumptions'!$B$44+$J$191+$F$191+$I$191+$T$190</f>
        <v/>
      </c>
      <c r="L191" s="11">
        <f>'Assumptions'!$B$57/$K$191</f>
        <v/>
      </c>
      <c r="M191" s="11">
        <f>$B$191*(1-'Assumptions'!$B$58)</f>
        <v/>
      </c>
      <c r="N191" s="11">
        <f>MIN($L$191,$M$191)</f>
        <v/>
      </c>
      <c r="O191" s="17">
        <f>'Assumptions'!$B$56/$N$191</f>
        <v/>
      </c>
      <c r="P191" s="17">
        <f>'Assumptions'!$B$44+$J$191+$F$191+$I$191+$O$191</f>
        <v/>
      </c>
      <c r="Q191" s="11">
        <f>'Assumptions'!$B$60/$P$191</f>
        <v/>
      </c>
      <c r="R191" s="11">
        <f>$B$191*(1-'Assumptions'!$B$61)</f>
        <v/>
      </c>
      <c r="S191" s="11">
        <f>MIN($Q$191,$R$191)</f>
        <v/>
      </c>
      <c r="T191" s="17">
        <f>'Assumptions'!$B$59/$S$191</f>
        <v/>
      </c>
      <c r="U191" s="17">
        <f>'Assumptions'!$B$44+$J$191+$F$191+$I$191+$O$191+$T$191</f>
        <v/>
      </c>
      <c r="V191" s="17">
        <f>$U$191+$C$191</f>
        <v/>
      </c>
    </row>
    <row r="192">
      <c r="A192" t="n">
        <v>15</v>
      </c>
      <c r="B192" s="11">
        <f>'Assumptions'!$B$68/$U$191</f>
        <v/>
      </c>
      <c r="C192" s="17">
        <f>'Assumptions'!$B$5/$B$192</f>
        <v/>
      </c>
      <c r="D192" s="11">
        <f>'Assumptions'!$B$27*('Assumptions'!$B$44+'Assumptions'!$B$5/'Assumptions'!$B$27)/('Assumptions'!$B$44+'Assumptions'!$B$5/$B$192)</f>
        <v/>
      </c>
      <c r="E192" s="17">
        <f>'Assumptions'!$B$40*'Assumptions'!$B$27/$D$192</f>
        <v/>
      </c>
      <c r="F192" s="17">
        <f>$E$192-'Assumptions'!$B$40</f>
        <v/>
      </c>
      <c r="G192" s="11">
        <f>'Assumptions'!$B$25*('Assumptions'!$B$44+'Assumptions'!$B$5/'Assumptions'!$B$25)/('Assumptions'!$B$44+'Assumptions'!$B$5/$B$192)</f>
        <v/>
      </c>
      <c r="H192" s="17">
        <f>'Assumptions'!$B$38*'Assumptions'!$B$26/$G$192</f>
        <v/>
      </c>
      <c r="I192" s="17">
        <f>$H$192-'Assumptions'!$B$39</f>
        <v/>
      </c>
      <c r="J192" s="17">
        <f>MAX(0,'Assumptions'!$B$66*$V$191-'Assumptions'!$B$43)</f>
        <v/>
      </c>
      <c r="K192" s="17">
        <f>'Assumptions'!$B$44+$J$192+$F$192+$I$192+$T$191</f>
        <v/>
      </c>
      <c r="L192" s="11">
        <f>'Assumptions'!$B$57/$K$192</f>
        <v/>
      </c>
      <c r="M192" s="11">
        <f>$B$192*(1-'Assumptions'!$B$58)</f>
        <v/>
      </c>
      <c r="N192" s="11">
        <f>MIN($L$192,$M$192)</f>
        <v/>
      </c>
      <c r="O192" s="17">
        <f>'Assumptions'!$B$56/$N$192</f>
        <v/>
      </c>
      <c r="P192" s="17">
        <f>'Assumptions'!$B$44+$J$192+$F$192+$I$192+$O$192</f>
        <v/>
      </c>
      <c r="Q192" s="11">
        <f>'Assumptions'!$B$60/$P$192</f>
        <v/>
      </c>
      <c r="R192" s="11">
        <f>$B$192*(1-'Assumptions'!$B$61)</f>
        <v/>
      </c>
      <c r="S192" s="11">
        <f>MIN($Q$192,$R$192)</f>
        <v/>
      </c>
      <c r="T192" s="17">
        <f>'Assumptions'!$B$59/$S$192</f>
        <v/>
      </c>
      <c r="U192" s="17">
        <f>'Assumptions'!$B$44+$J$192+$F$192+$I$192+$O$192+$T$192</f>
        <v/>
      </c>
      <c r="V192" s="17">
        <f>$U$192+$C$192</f>
        <v/>
      </c>
      <c r="W192">
        <f>IF('Sensitivity'!$L$192&lt;'Sensitivity'!$M$192,"cap","discount")</f>
        <v/>
      </c>
      <c r="X192">
        <f>IF('Sensitivity'!$Q$192&lt;'Sensitivity'!$R$192,"cap","discount")</f>
        <v/>
      </c>
    </row>
    <row r="195">
      <c r="A195" s="10" t="inlineStr">
        <is>
          <t>Cell (15%, $1.8B)</t>
        </is>
      </c>
    </row>
    <row r="196">
      <c r="A196" s="13" t="inlineStr">
        <is>
          <t>Iter</t>
        </is>
      </c>
      <c r="B196" s="13" t="inlineStr">
        <is>
          <t>F_PPS</t>
        </is>
      </c>
      <c r="C196" s="13" t="inlineStr">
        <is>
          <t>F_prim_shares</t>
        </is>
      </c>
      <c r="D196" s="13" t="inlineStr">
        <is>
          <t>NCP_E</t>
        </is>
      </c>
      <c r="E196" s="13" t="inlineStr">
        <is>
          <t>new_E_shares</t>
        </is>
      </c>
      <c r="F196" s="13" t="inlineStr">
        <is>
          <t>AD_inc_E</t>
        </is>
      </c>
      <c r="G196" s="13" t="inlineStr">
        <is>
          <t>NCP_D</t>
        </is>
      </c>
      <c r="H196" s="13" t="inlineStr">
        <is>
          <t>new_D_shares</t>
        </is>
      </c>
      <c r="I196" s="13" t="inlineStr">
        <is>
          <t>AD_inc_D</t>
        </is>
      </c>
      <c r="J196" s="13" t="inlineStr">
        <is>
          <t>ESOP_topup</t>
        </is>
      </c>
      <c r="K196" s="13" t="inlineStr">
        <is>
          <t>cap_FD_A</t>
        </is>
      </c>
      <c r="L196" s="13" t="inlineStr">
        <is>
          <t>cap_pps_A</t>
        </is>
      </c>
      <c r="M196" s="13" t="inlineStr">
        <is>
          <t>disc_pps_A</t>
        </is>
      </c>
      <c r="N196" s="13" t="inlineStr">
        <is>
          <t>conv_pps_A</t>
        </is>
      </c>
      <c r="O196" s="13" t="inlineStr">
        <is>
          <t>N_A</t>
        </is>
      </c>
      <c r="P196" s="13" t="inlineStr">
        <is>
          <t>cap_FD_B</t>
        </is>
      </c>
      <c r="Q196" s="13" t="inlineStr">
        <is>
          <t>cap_pps_B</t>
        </is>
      </c>
      <c r="R196" s="13" t="inlineStr">
        <is>
          <t>disc_pps_B</t>
        </is>
      </c>
      <c r="S196" s="13" t="inlineStr">
        <is>
          <t>conv_pps_B</t>
        </is>
      </c>
      <c r="T196" s="13" t="inlineStr">
        <is>
          <t>N_B</t>
        </is>
      </c>
      <c r="U196" s="13" t="inlineStr">
        <is>
          <t>pre_money_FD</t>
        </is>
      </c>
      <c r="V196" s="13" t="inlineStr">
        <is>
          <t>T_F</t>
        </is>
      </c>
    </row>
    <row r="197">
      <c r="A197" t="n">
        <v>0</v>
      </c>
      <c r="B197" s="11">
        <f>'Assumptions'!$B$69/'Assumptions'!$B$44</f>
        <v/>
      </c>
      <c r="C197" s="17">
        <f>'Assumptions'!$B$5/$B$197</f>
        <v/>
      </c>
      <c r="D197" s="11">
        <f>'Assumptions'!$B$27*('Assumptions'!$B$44+'Assumptions'!$B$5/'Assumptions'!$B$27)/('Assumptions'!$B$44+'Assumptions'!$B$5/$B$197)</f>
        <v/>
      </c>
      <c r="E197" s="17">
        <f>'Assumptions'!$B$40*'Assumptions'!$B$27/$D$197</f>
        <v/>
      </c>
      <c r="F197" s="17">
        <f>$E$197-'Assumptions'!$B$40</f>
        <v/>
      </c>
      <c r="G197" s="11">
        <f>'Assumptions'!$B$25*('Assumptions'!$B$44+'Assumptions'!$B$5/'Assumptions'!$B$25)/('Assumptions'!$B$44+'Assumptions'!$B$5/$B$197)</f>
        <v/>
      </c>
      <c r="H197" s="17">
        <f>'Assumptions'!$B$38*'Assumptions'!$B$26/$G$197</f>
        <v/>
      </c>
      <c r="I197" s="17">
        <f>$H$197-'Assumptions'!$B$39</f>
        <v/>
      </c>
      <c r="J197" s="17">
        <f>MAX(0,'Assumptions'!$B$66*('Assumptions'!$B$44+$F$197+$I$197+$C$197)/(1-'Assumptions'!$B$66)-'Assumptions'!$B$43)</f>
        <v/>
      </c>
      <c r="K197" s="17">
        <f>'Assumptions'!$B$44+$J$197+$F$197+$I$197+0</f>
        <v/>
      </c>
      <c r="L197" s="11">
        <f>'Assumptions'!$B$57/$K$197</f>
        <v/>
      </c>
      <c r="M197" s="11">
        <f>$B$197*(1-'Assumptions'!$B$58)</f>
        <v/>
      </c>
      <c r="N197" s="11">
        <f>MIN($L$197,$M$197)</f>
        <v/>
      </c>
      <c r="O197" s="17">
        <f>'Assumptions'!$B$56/$N$197</f>
        <v/>
      </c>
      <c r="P197" s="17">
        <f>'Assumptions'!$B$44+$J$197+$F$197+$I$197+$O$197</f>
        <v/>
      </c>
      <c r="Q197" s="11">
        <f>'Assumptions'!$B$60/$P$197</f>
        <v/>
      </c>
      <c r="R197" s="11">
        <f>$B$197*(1-'Assumptions'!$B$61)</f>
        <v/>
      </c>
      <c r="S197" s="11">
        <f>MIN($Q$197,$R$197)</f>
        <v/>
      </c>
      <c r="T197" s="17">
        <f>'Assumptions'!$B$59/$S$197</f>
        <v/>
      </c>
      <c r="U197" s="17">
        <f>'Assumptions'!$B$44+$J$197+$F$197+$I$197+$O$197+$T$197</f>
        <v/>
      </c>
      <c r="V197" s="17">
        <f>$U$197+$C$197</f>
        <v/>
      </c>
    </row>
    <row r="198">
      <c r="A198" t="n">
        <v>1</v>
      </c>
      <c r="B198" s="11">
        <f>'Assumptions'!$B$69/$U$197</f>
        <v/>
      </c>
      <c r="C198" s="17">
        <f>'Assumptions'!$B$5/$B$198</f>
        <v/>
      </c>
      <c r="D198" s="11">
        <f>'Assumptions'!$B$27*('Assumptions'!$B$44+'Assumptions'!$B$5/'Assumptions'!$B$27)/('Assumptions'!$B$44+'Assumptions'!$B$5/$B$198)</f>
        <v/>
      </c>
      <c r="E198" s="17">
        <f>'Assumptions'!$B$40*'Assumptions'!$B$27/$D$198</f>
        <v/>
      </c>
      <c r="F198" s="17">
        <f>$E$198-'Assumptions'!$B$40</f>
        <v/>
      </c>
      <c r="G198" s="11">
        <f>'Assumptions'!$B$25*('Assumptions'!$B$44+'Assumptions'!$B$5/'Assumptions'!$B$25)/('Assumptions'!$B$44+'Assumptions'!$B$5/$B$198)</f>
        <v/>
      </c>
      <c r="H198" s="17">
        <f>'Assumptions'!$B$38*'Assumptions'!$B$26/$G$198</f>
        <v/>
      </c>
      <c r="I198" s="17">
        <f>$H$198-'Assumptions'!$B$39</f>
        <v/>
      </c>
      <c r="J198" s="17">
        <f>MAX(0,'Assumptions'!$B$66*$V$197-'Assumptions'!$B$43)</f>
        <v/>
      </c>
      <c r="K198" s="17">
        <f>'Assumptions'!$B$44+$J$198+$F$198+$I$198+$T$197</f>
        <v/>
      </c>
      <c r="L198" s="11">
        <f>'Assumptions'!$B$57/$K$198</f>
        <v/>
      </c>
      <c r="M198" s="11">
        <f>$B$198*(1-'Assumptions'!$B$58)</f>
        <v/>
      </c>
      <c r="N198" s="11">
        <f>MIN($L$198,$M$198)</f>
        <v/>
      </c>
      <c r="O198" s="17">
        <f>'Assumptions'!$B$56/$N$198</f>
        <v/>
      </c>
      <c r="P198" s="17">
        <f>'Assumptions'!$B$44+$J$198+$F$198+$I$198+$O$198</f>
        <v/>
      </c>
      <c r="Q198" s="11">
        <f>'Assumptions'!$B$60/$P$198</f>
        <v/>
      </c>
      <c r="R198" s="11">
        <f>$B$198*(1-'Assumptions'!$B$61)</f>
        <v/>
      </c>
      <c r="S198" s="11">
        <f>MIN($Q$198,$R$198)</f>
        <v/>
      </c>
      <c r="T198" s="17">
        <f>'Assumptions'!$B$59/$S$198</f>
        <v/>
      </c>
      <c r="U198" s="17">
        <f>'Assumptions'!$B$44+$J$198+$F$198+$I$198+$O$198+$T$198</f>
        <v/>
      </c>
      <c r="V198" s="17">
        <f>$U$198+$C$198</f>
        <v/>
      </c>
    </row>
    <row r="199">
      <c r="A199" t="n">
        <v>2</v>
      </c>
      <c r="B199" s="11">
        <f>'Assumptions'!$B$69/$U$198</f>
        <v/>
      </c>
      <c r="C199" s="17">
        <f>'Assumptions'!$B$5/$B$199</f>
        <v/>
      </c>
      <c r="D199" s="11">
        <f>'Assumptions'!$B$27*('Assumptions'!$B$44+'Assumptions'!$B$5/'Assumptions'!$B$27)/('Assumptions'!$B$44+'Assumptions'!$B$5/$B$199)</f>
        <v/>
      </c>
      <c r="E199" s="17">
        <f>'Assumptions'!$B$40*'Assumptions'!$B$27/$D$199</f>
        <v/>
      </c>
      <c r="F199" s="17">
        <f>$E$199-'Assumptions'!$B$40</f>
        <v/>
      </c>
      <c r="G199" s="11">
        <f>'Assumptions'!$B$25*('Assumptions'!$B$44+'Assumptions'!$B$5/'Assumptions'!$B$25)/('Assumptions'!$B$44+'Assumptions'!$B$5/$B$199)</f>
        <v/>
      </c>
      <c r="H199" s="17">
        <f>'Assumptions'!$B$38*'Assumptions'!$B$26/$G$199</f>
        <v/>
      </c>
      <c r="I199" s="17">
        <f>$H$199-'Assumptions'!$B$39</f>
        <v/>
      </c>
      <c r="J199" s="17">
        <f>MAX(0,'Assumptions'!$B$66*$V$198-'Assumptions'!$B$43)</f>
        <v/>
      </c>
      <c r="K199" s="17">
        <f>'Assumptions'!$B$44+$J$199+$F$199+$I$199+$T$198</f>
        <v/>
      </c>
      <c r="L199" s="11">
        <f>'Assumptions'!$B$57/$K$199</f>
        <v/>
      </c>
      <c r="M199" s="11">
        <f>$B$199*(1-'Assumptions'!$B$58)</f>
        <v/>
      </c>
      <c r="N199" s="11">
        <f>MIN($L$199,$M$199)</f>
        <v/>
      </c>
      <c r="O199" s="17">
        <f>'Assumptions'!$B$56/$N$199</f>
        <v/>
      </c>
      <c r="P199" s="17">
        <f>'Assumptions'!$B$44+$J$199+$F$199+$I$199+$O$199</f>
        <v/>
      </c>
      <c r="Q199" s="11">
        <f>'Assumptions'!$B$60/$P$199</f>
        <v/>
      </c>
      <c r="R199" s="11">
        <f>$B$199*(1-'Assumptions'!$B$61)</f>
        <v/>
      </c>
      <c r="S199" s="11">
        <f>MIN($Q$199,$R$199)</f>
        <v/>
      </c>
      <c r="T199" s="17">
        <f>'Assumptions'!$B$59/$S$199</f>
        <v/>
      </c>
      <c r="U199" s="17">
        <f>'Assumptions'!$B$44+$J$199+$F$199+$I$199+$O$199+$T$199</f>
        <v/>
      </c>
      <c r="V199" s="17">
        <f>$U$199+$C$199</f>
        <v/>
      </c>
    </row>
    <row r="200">
      <c r="A200" t="n">
        <v>3</v>
      </c>
      <c r="B200" s="11">
        <f>'Assumptions'!$B$69/$U$199</f>
        <v/>
      </c>
      <c r="C200" s="17">
        <f>'Assumptions'!$B$5/$B$200</f>
        <v/>
      </c>
      <c r="D200" s="11">
        <f>'Assumptions'!$B$27*('Assumptions'!$B$44+'Assumptions'!$B$5/'Assumptions'!$B$27)/('Assumptions'!$B$44+'Assumptions'!$B$5/$B$200)</f>
        <v/>
      </c>
      <c r="E200" s="17">
        <f>'Assumptions'!$B$40*'Assumptions'!$B$27/$D$200</f>
        <v/>
      </c>
      <c r="F200" s="17">
        <f>$E$200-'Assumptions'!$B$40</f>
        <v/>
      </c>
      <c r="G200" s="11">
        <f>'Assumptions'!$B$25*('Assumptions'!$B$44+'Assumptions'!$B$5/'Assumptions'!$B$25)/('Assumptions'!$B$44+'Assumptions'!$B$5/$B$200)</f>
        <v/>
      </c>
      <c r="H200" s="17">
        <f>'Assumptions'!$B$38*'Assumptions'!$B$26/$G$200</f>
        <v/>
      </c>
      <c r="I200" s="17">
        <f>$H$200-'Assumptions'!$B$39</f>
        <v/>
      </c>
      <c r="J200" s="17">
        <f>MAX(0,'Assumptions'!$B$66*$V$199-'Assumptions'!$B$43)</f>
        <v/>
      </c>
      <c r="K200" s="17">
        <f>'Assumptions'!$B$44+$J$200+$F$200+$I$200+$T$199</f>
        <v/>
      </c>
      <c r="L200" s="11">
        <f>'Assumptions'!$B$57/$K$200</f>
        <v/>
      </c>
      <c r="M200" s="11">
        <f>$B$200*(1-'Assumptions'!$B$58)</f>
        <v/>
      </c>
      <c r="N200" s="11">
        <f>MIN($L$200,$M$200)</f>
        <v/>
      </c>
      <c r="O200" s="17">
        <f>'Assumptions'!$B$56/$N$200</f>
        <v/>
      </c>
      <c r="P200" s="17">
        <f>'Assumptions'!$B$44+$J$200+$F$200+$I$200+$O$200</f>
        <v/>
      </c>
      <c r="Q200" s="11">
        <f>'Assumptions'!$B$60/$P$200</f>
        <v/>
      </c>
      <c r="R200" s="11">
        <f>$B$200*(1-'Assumptions'!$B$61)</f>
        <v/>
      </c>
      <c r="S200" s="11">
        <f>MIN($Q$200,$R$200)</f>
        <v/>
      </c>
      <c r="T200" s="17">
        <f>'Assumptions'!$B$59/$S$200</f>
        <v/>
      </c>
      <c r="U200" s="17">
        <f>'Assumptions'!$B$44+$J$200+$F$200+$I$200+$O$200+$T$200</f>
        <v/>
      </c>
      <c r="V200" s="17">
        <f>$U$200+$C$200</f>
        <v/>
      </c>
    </row>
    <row r="201">
      <c r="A201" t="n">
        <v>4</v>
      </c>
      <c r="B201" s="11">
        <f>'Assumptions'!$B$69/$U$200</f>
        <v/>
      </c>
      <c r="C201" s="17">
        <f>'Assumptions'!$B$5/$B$201</f>
        <v/>
      </c>
      <c r="D201" s="11">
        <f>'Assumptions'!$B$27*('Assumptions'!$B$44+'Assumptions'!$B$5/'Assumptions'!$B$27)/('Assumptions'!$B$44+'Assumptions'!$B$5/$B$201)</f>
        <v/>
      </c>
      <c r="E201" s="17">
        <f>'Assumptions'!$B$40*'Assumptions'!$B$27/$D$201</f>
        <v/>
      </c>
      <c r="F201" s="17">
        <f>$E$201-'Assumptions'!$B$40</f>
        <v/>
      </c>
      <c r="G201" s="11">
        <f>'Assumptions'!$B$25*('Assumptions'!$B$44+'Assumptions'!$B$5/'Assumptions'!$B$25)/('Assumptions'!$B$44+'Assumptions'!$B$5/$B$201)</f>
        <v/>
      </c>
      <c r="H201" s="17">
        <f>'Assumptions'!$B$38*'Assumptions'!$B$26/$G$201</f>
        <v/>
      </c>
      <c r="I201" s="17">
        <f>$H$201-'Assumptions'!$B$39</f>
        <v/>
      </c>
      <c r="J201" s="17">
        <f>MAX(0,'Assumptions'!$B$66*$V$200-'Assumptions'!$B$43)</f>
        <v/>
      </c>
      <c r="K201" s="17">
        <f>'Assumptions'!$B$44+$J$201+$F$201+$I$201+$T$200</f>
        <v/>
      </c>
      <c r="L201" s="11">
        <f>'Assumptions'!$B$57/$K$201</f>
        <v/>
      </c>
      <c r="M201" s="11">
        <f>$B$201*(1-'Assumptions'!$B$58)</f>
        <v/>
      </c>
      <c r="N201" s="11">
        <f>MIN($L$201,$M$201)</f>
        <v/>
      </c>
      <c r="O201" s="17">
        <f>'Assumptions'!$B$56/$N$201</f>
        <v/>
      </c>
      <c r="P201" s="17">
        <f>'Assumptions'!$B$44+$J$201+$F$201+$I$201+$O$201</f>
        <v/>
      </c>
      <c r="Q201" s="11">
        <f>'Assumptions'!$B$60/$P$201</f>
        <v/>
      </c>
      <c r="R201" s="11">
        <f>$B$201*(1-'Assumptions'!$B$61)</f>
        <v/>
      </c>
      <c r="S201" s="11">
        <f>MIN($Q$201,$R$201)</f>
        <v/>
      </c>
      <c r="T201" s="17">
        <f>'Assumptions'!$B$59/$S$201</f>
        <v/>
      </c>
      <c r="U201" s="17">
        <f>'Assumptions'!$B$44+$J$201+$F$201+$I$201+$O$201+$T$201</f>
        <v/>
      </c>
      <c r="V201" s="17">
        <f>$U$201+$C$201</f>
        <v/>
      </c>
    </row>
    <row r="202">
      <c r="A202" t="n">
        <v>5</v>
      </c>
      <c r="B202" s="11">
        <f>'Assumptions'!$B$69/$U$201</f>
        <v/>
      </c>
      <c r="C202" s="17">
        <f>'Assumptions'!$B$5/$B$202</f>
        <v/>
      </c>
      <c r="D202" s="11">
        <f>'Assumptions'!$B$27*('Assumptions'!$B$44+'Assumptions'!$B$5/'Assumptions'!$B$27)/('Assumptions'!$B$44+'Assumptions'!$B$5/$B$202)</f>
        <v/>
      </c>
      <c r="E202" s="17">
        <f>'Assumptions'!$B$40*'Assumptions'!$B$27/$D$202</f>
        <v/>
      </c>
      <c r="F202" s="17">
        <f>$E$202-'Assumptions'!$B$40</f>
        <v/>
      </c>
      <c r="G202" s="11">
        <f>'Assumptions'!$B$25*('Assumptions'!$B$44+'Assumptions'!$B$5/'Assumptions'!$B$25)/('Assumptions'!$B$44+'Assumptions'!$B$5/$B$202)</f>
        <v/>
      </c>
      <c r="H202" s="17">
        <f>'Assumptions'!$B$38*'Assumptions'!$B$26/$G$202</f>
        <v/>
      </c>
      <c r="I202" s="17">
        <f>$H$202-'Assumptions'!$B$39</f>
        <v/>
      </c>
      <c r="J202" s="17">
        <f>MAX(0,'Assumptions'!$B$66*$V$201-'Assumptions'!$B$43)</f>
        <v/>
      </c>
      <c r="K202" s="17">
        <f>'Assumptions'!$B$44+$J$202+$F$202+$I$202+$T$201</f>
        <v/>
      </c>
      <c r="L202" s="11">
        <f>'Assumptions'!$B$57/$K$202</f>
        <v/>
      </c>
      <c r="M202" s="11">
        <f>$B$202*(1-'Assumptions'!$B$58)</f>
        <v/>
      </c>
      <c r="N202" s="11">
        <f>MIN($L$202,$M$202)</f>
        <v/>
      </c>
      <c r="O202" s="17">
        <f>'Assumptions'!$B$56/$N$202</f>
        <v/>
      </c>
      <c r="P202" s="17">
        <f>'Assumptions'!$B$44+$J$202+$F$202+$I$202+$O$202</f>
        <v/>
      </c>
      <c r="Q202" s="11">
        <f>'Assumptions'!$B$60/$P$202</f>
        <v/>
      </c>
      <c r="R202" s="11">
        <f>$B$202*(1-'Assumptions'!$B$61)</f>
        <v/>
      </c>
      <c r="S202" s="11">
        <f>MIN($Q$202,$R$202)</f>
        <v/>
      </c>
      <c r="T202" s="17">
        <f>'Assumptions'!$B$59/$S$202</f>
        <v/>
      </c>
      <c r="U202" s="17">
        <f>'Assumptions'!$B$44+$J$202+$F$202+$I$202+$O$202+$T$202</f>
        <v/>
      </c>
      <c r="V202" s="17">
        <f>$U$202+$C$202</f>
        <v/>
      </c>
    </row>
    <row r="203">
      <c r="A203" t="n">
        <v>6</v>
      </c>
      <c r="B203" s="11">
        <f>'Assumptions'!$B$69/$U$202</f>
        <v/>
      </c>
      <c r="C203" s="17">
        <f>'Assumptions'!$B$5/$B$203</f>
        <v/>
      </c>
      <c r="D203" s="11">
        <f>'Assumptions'!$B$27*('Assumptions'!$B$44+'Assumptions'!$B$5/'Assumptions'!$B$27)/('Assumptions'!$B$44+'Assumptions'!$B$5/$B$203)</f>
        <v/>
      </c>
      <c r="E203" s="17">
        <f>'Assumptions'!$B$40*'Assumptions'!$B$27/$D$203</f>
        <v/>
      </c>
      <c r="F203" s="17">
        <f>$E$203-'Assumptions'!$B$40</f>
        <v/>
      </c>
      <c r="G203" s="11">
        <f>'Assumptions'!$B$25*('Assumptions'!$B$44+'Assumptions'!$B$5/'Assumptions'!$B$25)/('Assumptions'!$B$44+'Assumptions'!$B$5/$B$203)</f>
        <v/>
      </c>
      <c r="H203" s="17">
        <f>'Assumptions'!$B$38*'Assumptions'!$B$26/$G$203</f>
        <v/>
      </c>
      <c r="I203" s="17">
        <f>$H$203-'Assumptions'!$B$39</f>
        <v/>
      </c>
      <c r="J203" s="17">
        <f>MAX(0,'Assumptions'!$B$66*$V$202-'Assumptions'!$B$43)</f>
        <v/>
      </c>
      <c r="K203" s="17">
        <f>'Assumptions'!$B$44+$J$203+$F$203+$I$203+$T$202</f>
        <v/>
      </c>
      <c r="L203" s="11">
        <f>'Assumptions'!$B$57/$K$203</f>
        <v/>
      </c>
      <c r="M203" s="11">
        <f>$B$203*(1-'Assumptions'!$B$58)</f>
        <v/>
      </c>
      <c r="N203" s="11">
        <f>MIN($L$203,$M$203)</f>
        <v/>
      </c>
      <c r="O203" s="17">
        <f>'Assumptions'!$B$56/$N$203</f>
        <v/>
      </c>
      <c r="P203" s="17">
        <f>'Assumptions'!$B$44+$J$203+$F$203+$I$203+$O$203</f>
        <v/>
      </c>
      <c r="Q203" s="11">
        <f>'Assumptions'!$B$60/$P$203</f>
        <v/>
      </c>
      <c r="R203" s="11">
        <f>$B$203*(1-'Assumptions'!$B$61)</f>
        <v/>
      </c>
      <c r="S203" s="11">
        <f>MIN($Q$203,$R$203)</f>
        <v/>
      </c>
      <c r="T203" s="17">
        <f>'Assumptions'!$B$59/$S$203</f>
        <v/>
      </c>
      <c r="U203" s="17">
        <f>'Assumptions'!$B$44+$J$203+$F$203+$I$203+$O$203+$T$203</f>
        <v/>
      </c>
      <c r="V203" s="17">
        <f>$U$203+$C$203</f>
        <v/>
      </c>
    </row>
    <row r="204">
      <c r="A204" t="n">
        <v>7</v>
      </c>
      <c r="B204" s="11">
        <f>'Assumptions'!$B$69/$U$203</f>
        <v/>
      </c>
      <c r="C204" s="17">
        <f>'Assumptions'!$B$5/$B$204</f>
        <v/>
      </c>
      <c r="D204" s="11">
        <f>'Assumptions'!$B$27*('Assumptions'!$B$44+'Assumptions'!$B$5/'Assumptions'!$B$27)/('Assumptions'!$B$44+'Assumptions'!$B$5/$B$204)</f>
        <v/>
      </c>
      <c r="E204" s="17">
        <f>'Assumptions'!$B$40*'Assumptions'!$B$27/$D$204</f>
        <v/>
      </c>
      <c r="F204" s="17">
        <f>$E$204-'Assumptions'!$B$40</f>
        <v/>
      </c>
      <c r="G204" s="11">
        <f>'Assumptions'!$B$25*('Assumptions'!$B$44+'Assumptions'!$B$5/'Assumptions'!$B$25)/('Assumptions'!$B$44+'Assumptions'!$B$5/$B$204)</f>
        <v/>
      </c>
      <c r="H204" s="17">
        <f>'Assumptions'!$B$38*'Assumptions'!$B$26/$G$204</f>
        <v/>
      </c>
      <c r="I204" s="17">
        <f>$H$204-'Assumptions'!$B$39</f>
        <v/>
      </c>
      <c r="J204" s="17">
        <f>MAX(0,'Assumptions'!$B$66*$V$203-'Assumptions'!$B$43)</f>
        <v/>
      </c>
      <c r="K204" s="17">
        <f>'Assumptions'!$B$44+$J$204+$F$204+$I$204+$T$203</f>
        <v/>
      </c>
      <c r="L204" s="11">
        <f>'Assumptions'!$B$57/$K$204</f>
        <v/>
      </c>
      <c r="M204" s="11">
        <f>$B$204*(1-'Assumptions'!$B$58)</f>
        <v/>
      </c>
      <c r="N204" s="11">
        <f>MIN($L$204,$M$204)</f>
        <v/>
      </c>
      <c r="O204" s="17">
        <f>'Assumptions'!$B$56/$N$204</f>
        <v/>
      </c>
      <c r="P204" s="17">
        <f>'Assumptions'!$B$44+$J$204+$F$204+$I$204+$O$204</f>
        <v/>
      </c>
      <c r="Q204" s="11">
        <f>'Assumptions'!$B$60/$P$204</f>
        <v/>
      </c>
      <c r="R204" s="11">
        <f>$B$204*(1-'Assumptions'!$B$61)</f>
        <v/>
      </c>
      <c r="S204" s="11">
        <f>MIN($Q$204,$R$204)</f>
        <v/>
      </c>
      <c r="T204" s="17">
        <f>'Assumptions'!$B$59/$S$204</f>
        <v/>
      </c>
      <c r="U204" s="17">
        <f>'Assumptions'!$B$44+$J$204+$F$204+$I$204+$O$204+$T$204</f>
        <v/>
      </c>
      <c r="V204" s="17">
        <f>$U$204+$C$204</f>
        <v/>
      </c>
    </row>
    <row r="205">
      <c r="A205" t="n">
        <v>8</v>
      </c>
      <c r="B205" s="11">
        <f>'Assumptions'!$B$69/$U$204</f>
        <v/>
      </c>
      <c r="C205" s="17">
        <f>'Assumptions'!$B$5/$B$205</f>
        <v/>
      </c>
      <c r="D205" s="11">
        <f>'Assumptions'!$B$27*('Assumptions'!$B$44+'Assumptions'!$B$5/'Assumptions'!$B$27)/('Assumptions'!$B$44+'Assumptions'!$B$5/$B$205)</f>
        <v/>
      </c>
      <c r="E205" s="17">
        <f>'Assumptions'!$B$40*'Assumptions'!$B$27/$D$205</f>
        <v/>
      </c>
      <c r="F205" s="17">
        <f>$E$205-'Assumptions'!$B$40</f>
        <v/>
      </c>
      <c r="G205" s="11">
        <f>'Assumptions'!$B$25*('Assumptions'!$B$44+'Assumptions'!$B$5/'Assumptions'!$B$25)/('Assumptions'!$B$44+'Assumptions'!$B$5/$B$205)</f>
        <v/>
      </c>
      <c r="H205" s="17">
        <f>'Assumptions'!$B$38*'Assumptions'!$B$26/$G$205</f>
        <v/>
      </c>
      <c r="I205" s="17">
        <f>$H$205-'Assumptions'!$B$39</f>
        <v/>
      </c>
      <c r="J205" s="17">
        <f>MAX(0,'Assumptions'!$B$66*$V$204-'Assumptions'!$B$43)</f>
        <v/>
      </c>
      <c r="K205" s="17">
        <f>'Assumptions'!$B$44+$J$205+$F$205+$I$205+$T$204</f>
        <v/>
      </c>
      <c r="L205" s="11">
        <f>'Assumptions'!$B$57/$K$205</f>
        <v/>
      </c>
      <c r="M205" s="11">
        <f>$B$205*(1-'Assumptions'!$B$58)</f>
        <v/>
      </c>
      <c r="N205" s="11">
        <f>MIN($L$205,$M$205)</f>
        <v/>
      </c>
      <c r="O205" s="17">
        <f>'Assumptions'!$B$56/$N$205</f>
        <v/>
      </c>
      <c r="P205" s="17">
        <f>'Assumptions'!$B$44+$J$205+$F$205+$I$205+$O$205</f>
        <v/>
      </c>
      <c r="Q205" s="11">
        <f>'Assumptions'!$B$60/$P$205</f>
        <v/>
      </c>
      <c r="R205" s="11">
        <f>$B$205*(1-'Assumptions'!$B$61)</f>
        <v/>
      </c>
      <c r="S205" s="11">
        <f>MIN($Q$205,$R$205)</f>
        <v/>
      </c>
      <c r="T205" s="17">
        <f>'Assumptions'!$B$59/$S$205</f>
        <v/>
      </c>
      <c r="U205" s="17">
        <f>'Assumptions'!$B$44+$J$205+$F$205+$I$205+$O$205+$T$205</f>
        <v/>
      </c>
      <c r="V205" s="17">
        <f>$U$205+$C$205</f>
        <v/>
      </c>
    </row>
    <row r="206">
      <c r="A206" t="n">
        <v>9</v>
      </c>
      <c r="B206" s="11">
        <f>'Assumptions'!$B$69/$U$205</f>
        <v/>
      </c>
      <c r="C206" s="17">
        <f>'Assumptions'!$B$5/$B$206</f>
        <v/>
      </c>
      <c r="D206" s="11">
        <f>'Assumptions'!$B$27*('Assumptions'!$B$44+'Assumptions'!$B$5/'Assumptions'!$B$27)/('Assumptions'!$B$44+'Assumptions'!$B$5/$B$206)</f>
        <v/>
      </c>
      <c r="E206" s="17">
        <f>'Assumptions'!$B$40*'Assumptions'!$B$27/$D$206</f>
        <v/>
      </c>
      <c r="F206" s="17">
        <f>$E$206-'Assumptions'!$B$40</f>
        <v/>
      </c>
      <c r="G206" s="11">
        <f>'Assumptions'!$B$25*('Assumptions'!$B$44+'Assumptions'!$B$5/'Assumptions'!$B$25)/('Assumptions'!$B$44+'Assumptions'!$B$5/$B$206)</f>
        <v/>
      </c>
      <c r="H206" s="17">
        <f>'Assumptions'!$B$38*'Assumptions'!$B$26/$G$206</f>
        <v/>
      </c>
      <c r="I206" s="17">
        <f>$H$206-'Assumptions'!$B$39</f>
        <v/>
      </c>
      <c r="J206" s="17">
        <f>MAX(0,'Assumptions'!$B$66*$V$205-'Assumptions'!$B$43)</f>
        <v/>
      </c>
      <c r="K206" s="17">
        <f>'Assumptions'!$B$44+$J$206+$F$206+$I$206+$T$205</f>
        <v/>
      </c>
      <c r="L206" s="11">
        <f>'Assumptions'!$B$57/$K$206</f>
        <v/>
      </c>
      <c r="M206" s="11">
        <f>$B$206*(1-'Assumptions'!$B$58)</f>
        <v/>
      </c>
      <c r="N206" s="11">
        <f>MIN($L$206,$M$206)</f>
        <v/>
      </c>
      <c r="O206" s="17">
        <f>'Assumptions'!$B$56/$N$206</f>
        <v/>
      </c>
      <c r="P206" s="17">
        <f>'Assumptions'!$B$44+$J$206+$F$206+$I$206+$O$206</f>
        <v/>
      </c>
      <c r="Q206" s="11">
        <f>'Assumptions'!$B$60/$P$206</f>
        <v/>
      </c>
      <c r="R206" s="11">
        <f>$B$206*(1-'Assumptions'!$B$61)</f>
        <v/>
      </c>
      <c r="S206" s="11">
        <f>MIN($Q$206,$R$206)</f>
        <v/>
      </c>
      <c r="T206" s="17">
        <f>'Assumptions'!$B$59/$S$206</f>
        <v/>
      </c>
      <c r="U206" s="17">
        <f>'Assumptions'!$B$44+$J$206+$F$206+$I$206+$O$206+$T$206</f>
        <v/>
      </c>
      <c r="V206" s="17">
        <f>$U$206+$C$206</f>
        <v/>
      </c>
    </row>
    <row r="207">
      <c r="A207" t="n">
        <v>10</v>
      </c>
      <c r="B207" s="11">
        <f>'Assumptions'!$B$69/$U$206</f>
        <v/>
      </c>
      <c r="C207" s="17">
        <f>'Assumptions'!$B$5/$B$207</f>
        <v/>
      </c>
      <c r="D207" s="11">
        <f>'Assumptions'!$B$27*('Assumptions'!$B$44+'Assumptions'!$B$5/'Assumptions'!$B$27)/('Assumptions'!$B$44+'Assumptions'!$B$5/$B$207)</f>
        <v/>
      </c>
      <c r="E207" s="17">
        <f>'Assumptions'!$B$40*'Assumptions'!$B$27/$D$207</f>
        <v/>
      </c>
      <c r="F207" s="17">
        <f>$E$207-'Assumptions'!$B$40</f>
        <v/>
      </c>
      <c r="G207" s="11">
        <f>'Assumptions'!$B$25*('Assumptions'!$B$44+'Assumptions'!$B$5/'Assumptions'!$B$25)/('Assumptions'!$B$44+'Assumptions'!$B$5/$B$207)</f>
        <v/>
      </c>
      <c r="H207" s="17">
        <f>'Assumptions'!$B$38*'Assumptions'!$B$26/$G$207</f>
        <v/>
      </c>
      <c r="I207" s="17">
        <f>$H$207-'Assumptions'!$B$39</f>
        <v/>
      </c>
      <c r="J207" s="17">
        <f>MAX(0,'Assumptions'!$B$66*$V$206-'Assumptions'!$B$43)</f>
        <v/>
      </c>
      <c r="K207" s="17">
        <f>'Assumptions'!$B$44+$J$207+$F$207+$I$207+$T$206</f>
        <v/>
      </c>
      <c r="L207" s="11">
        <f>'Assumptions'!$B$57/$K$207</f>
        <v/>
      </c>
      <c r="M207" s="11">
        <f>$B$207*(1-'Assumptions'!$B$58)</f>
        <v/>
      </c>
      <c r="N207" s="11">
        <f>MIN($L$207,$M$207)</f>
        <v/>
      </c>
      <c r="O207" s="17">
        <f>'Assumptions'!$B$56/$N$207</f>
        <v/>
      </c>
      <c r="P207" s="17">
        <f>'Assumptions'!$B$44+$J$207+$F$207+$I$207+$O$207</f>
        <v/>
      </c>
      <c r="Q207" s="11">
        <f>'Assumptions'!$B$60/$P$207</f>
        <v/>
      </c>
      <c r="R207" s="11">
        <f>$B$207*(1-'Assumptions'!$B$61)</f>
        <v/>
      </c>
      <c r="S207" s="11">
        <f>MIN($Q$207,$R$207)</f>
        <v/>
      </c>
      <c r="T207" s="17">
        <f>'Assumptions'!$B$59/$S$207</f>
        <v/>
      </c>
      <c r="U207" s="17">
        <f>'Assumptions'!$B$44+$J$207+$F$207+$I$207+$O$207+$T$207</f>
        <v/>
      </c>
      <c r="V207" s="17">
        <f>$U$207+$C$207</f>
        <v/>
      </c>
    </row>
    <row r="208">
      <c r="A208" t="n">
        <v>11</v>
      </c>
      <c r="B208" s="11">
        <f>'Assumptions'!$B$69/$U$207</f>
        <v/>
      </c>
      <c r="C208" s="17">
        <f>'Assumptions'!$B$5/$B$208</f>
        <v/>
      </c>
      <c r="D208" s="11">
        <f>'Assumptions'!$B$27*('Assumptions'!$B$44+'Assumptions'!$B$5/'Assumptions'!$B$27)/('Assumptions'!$B$44+'Assumptions'!$B$5/$B$208)</f>
        <v/>
      </c>
      <c r="E208" s="17">
        <f>'Assumptions'!$B$40*'Assumptions'!$B$27/$D$208</f>
        <v/>
      </c>
      <c r="F208" s="17">
        <f>$E$208-'Assumptions'!$B$40</f>
        <v/>
      </c>
      <c r="G208" s="11">
        <f>'Assumptions'!$B$25*('Assumptions'!$B$44+'Assumptions'!$B$5/'Assumptions'!$B$25)/('Assumptions'!$B$44+'Assumptions'!$B$5/$B$208)</f>
        <v/>
      </c>
      <c r="H208" s="17">
        <f>'Assumptions'!$B$38*'Assumptions'!$B$26/$G$208</f>
        <v/>
      </c>
      <c r="I208" s="17">
        <f>$H$208-'Assumptions'!$B$39</f>
        <v/>
      </c>
      <c r="J208" s="17">
        <f>MAX(0,'Assumptions'!$B$66*$V$207-'Assumptions'!$B$43)</f>
        <v/>
      </c>
      <c r="K208" s="17">
        <f>'Assumptions'!$B$44+$J$208+$F$208+$I$208+$T$207</f>
        <v/>
      </c>
      <c r="L208" s="11">
        <f>'Assumptions'!$B$57/$K$208</f>
        <v/>
      </c>
      <c r="M208" s="11">
        <f>$B$208*(1-'Assumptions'!$B$58)</f>
        <v/>
      </c>
      <c r="N208" s="11">
        <f>MIN($L$208,$M$208)</f>
        <v/>
      </c>
      <c r="O208" s="17">
        <f>'Assumptions'!$B$56/$N$208</f>
        <v/>
      </c>
      <c r="P208" s="17">
        <f>'Assumptions'!$B$44+$J$208+$F$208+$I$208+$O$208</f>
        <v/>
      </c>
      <c r="Q208" s="11">
        <f>'Assumptions'!$B$60/$P$208</f>
        <v/>
      </c>
      <c r="R208" s="11">
        <f>$B$208*(1-'Assumptions'!$B$61)</f>
        <v/>
      </c>
      <c r="S208" s="11">
        <f>MIN($Q$208,$R$208)</f>
        <v/>
      </c>
      <c r="T208" s="17">
        <f>'Assumptions'!$B$59/$S$208</f>
        <v/>
      </c>
      <c r="U208" s="17">
        <f>'Assumptions'!$B$44+$J$208+$F$208+$I$208+$O$208+$T$208</f>
        <v/>
      </c>
      <c r="V208" s="17">
        <f>$U$208+$C$208</f>
        <v/>
      </c>
    </row>
    <row r="209">
      <c r="A209" t="n">
        <v>12</v>
      </c>
      <c r="B209" s="11">
        <f>'Assumptions'!$B$69/$U$208</f>
        <v/>
      </c>
      <c r="C209" s="17">
        <f>'Assumptions'!$B$5/$B$209</f>
        <v/>
      </c>
      <c r="D209" s="11">
        <f>'Assumptions'!$B$27*('Assumptions'!$B$44+'Assumptions'!$B$5/'Assumptions'!$B$27)/('Assumptions'!$B$44+'Assumptions'!$B$5/$B$209)</f>
        <v/>
      </c>
      <c r="E209" s="17">
        <f>'Assumptions'!$B$40*'Assumptions'!$B$27/$D$209</f>
        <v/>
      </c>
      <c r="F209" s="17">
        <f>$E$209-'Assumptions'!$B$40</f>
        <v/>
      </c>
      <c r="G209" s="11">
        <f>'Assumptions'!$B$25*('Assumptions'!$B$44+'Assumptions'!$B$5/'Assumptions'!$B$25)/('Assumptions'!$B$44+'Assumptions'!$B$5/$B$209)</f>
        <v/>
      </c>
      <c r="H209" s="17">
        <f>'Assumptions'!$B$38*'Assumptions'!$B$26/$G$209</f>
        <v/>
      </c>
      <c r="I209" s="17">
        <f>$H$209-'Assumptions'!$B$39</f>
        <v/>
      </c>
      <c r="J209" s="17">
        <f>MAX(0,'Assumptions'!$B$66*$V$208-'Assumptions'!$B$43)</f>
        <v/>
      </c>
      <c r="K209" s="17">
        <f>'Assumptions'!$B$44+$J$209+$F$209+$I$209+$T$208</f>
        <v/>
      </c>
      <c r="L209" s="11">
        <f>'Assumptions'!$B$57/$K$209</f>
        <v/>
      </c>
      <c r="M209" s="11">
        <f>$B$209*(1-'Assumptions'!$B$58)</f>
        <v/>
      </c>
      <c r="N209" s="11">
        <f>MIN($L$209,$M$209)</f>
        <v/>
      </c>
      <c r="O209" s="17">
        <f>'Assumptions'!$B$56/$N$209</f>
        <v/>
      </c>
      <c r="P209" s="17">
        <f>'Assumptions'!$B$44+$J$209+$F$209+$I$209+$O$209</f>
        <v/>
      </c>
      <c r="Q209" s="11">
        <f>'Assumptions'!$B$60/$P$209</f>
        <v/>
      </c>
      <c r="R209" s="11">
        <f>$B$209*(1-'Assumptions'!$B$61)</f>
        <v/>
      </c>
      <c r="S209" s="11">
        <f>MIN($Q$209,$R$209)</f>
        <v/>
      </c>
      <c r="T209" s="17">
        <f>'Assumptions'!$B$59/$S$209</f>
        <v/>
      </c>
      <c r="U209" s="17">
        <f>'Assumptions'!$B$44+$J$209+$F$209+$I$209+$O$209+$T$209</f>
        <v/>
      </c>
      <c r="V209" s="17">
        <f>$U$209+$C$209</f>
        <v/>
      </c>
    </row>
    <row r="210">
      <c r="A210" t="n">
        <v>13</v>
      </c>
      <c r="B210" s="11">
        <f>'Assumptions'!$B$69/$U$209</f>
        <v/>
      </c>
      <c r="C210" s="17">
        <f>'Assumptions'!$B$5/$B$210</f>
        <v/>
      </c>
      <c r="D210" s="11">
        <f>'Assumptions'!$B$27*('Assumptions'!$B$44+'Assumptions'!$B$5/'Assumptions'!$B$27)/('Assumptions'!$B$44+'Assumptions'!$B$5/$B$210)</f>
        <v/>
      </c>
      <c r="E210" s="17">
        <f>'Assumptions'!$B$40*'Assumptions'!$B$27/$D$210</f>
        <v/>
      </c>
      <c r="F210" s="17">
        <f>$E$210-'Assumptions'!$B$40</f>
        <v/>
      </c>
      <c r="G210" s="11">
        <f>'Assumptions'!$B$25*('Assumptions'!$B$44+'Assumptions'!$B$5/'Assumptions'!$B$25)/('Assumptions'!$B$44+'Assumptions'!$B$5/$B$210)</f>
        <v/>
      </c>
      <c r="H210" s="17">
        <f>'Assumptions'!$B$38*'Assumptions'!$B$26/$G$210</f>
        <v/>
      </c>
      <c r="I210" s="17">
        <f>$H$210-'Assumptions'!$B$39</f>
        <v/>
      </c>
      <c r="J210" s="17">
        <f>MAX(0,'Assumptions'!$B$66*$V$209-'Assumptions'!$B$43)</f>
        <v/>
      </c>
      <c r="K210" s="17">
        <f>'Assumptions'!$B$44+$J$210+$F$210+$I$210+$T$209</f>
        <v/>
      </c>
      <c r="L210" s="11">
        <f>'Assumptions'!$B$57/$K$210</f>
        <v/>
      </c>
      <c r="M210" s="11">
        <f>$B$210*(1-'Assumptions'!$B$58)</f>
        <v/>
      </c>
      <c r="N210" s="11">
        <f>MIN($L$210,$M$210)</f>
        <v/>
      </c>
      <c r="O210" s="17">
        <f>'Assumptions'!$B$56/$N$210</f>
        <v/>
      </c>
      <c r="P210" s="17">
        <f>'Assumptions'!$B$44+$J$210+$F$210+$I$210+$O$210</f>
        <v/>
      </c>
      <c r="Q210" s="11">
        <f>'Assumptions'!$B$60/$P$210</f>
        <v/>
      </c>
      <c r="R210" s="11">
        <f>$B$210*(1-'Assumptions'!$B$61)</f>
        <v/>
      </c>
      <c r="S210" s="11">
        <f>MIN($Q$210,$R$210)</f>
        <v/>
      </c>
      <c r="T210" s="17">
        <f>'Assumptions'!$B$59/$S$210</f>
        <v/>
      </c>
      <c r="U210" s="17">
        <f>'Assumptions'!$B$44+$J$210+$F$210+$I$210+$O$210+$T$210</f>
        <v/>
      </c>
      <c r="V210" s="17">
        <f>$U$210+$C$210</f>
        <v/>
      </c>
    </row>
    <row r="211">
      <c r="A211" t="n">
        <v>14</v>
      </c>
      <c r="B211" s="11">
        <f>'Assumptions'!$B$69/$U$210</f>
        <v/>
      </c>
      <c r="C211" s="17">
        <f>'Assumptions'!$B$5/$B$211</f>
        <v/>
      </c>
      <c r="D211" s="11">
        <f>'Assumptions'!$B$27*('Assumptions'!$B$44+'Assumptions'!$B$5/'Assumptions'!$B$27)/('Assumptions'!$B$44+'Assumptions'!$B$5/$B$211)</f>
        <v/>
      </c>
      <c r="E211" s="17">
        <f>'Assumptions'!$B$40*'Assumptions'!$B$27/$D$211</f>
        <v/>
      </c>
      <c r="F211" s="17">
        <f>$E$211-'Assumptions'!$B$40</f>
        <v/>
      </c>
      <c r="G211" s="11">
        <f>'Assumptions'!$B$25*('Assumptions'!$B$44+'Assumptions'!$B$5/'Assumptions'!$B$25)/('Assumptions'!$B$44+'Assumptions'!$B$5/$B$211)</f>
        <v/>
      </c>
      <c r="H211" s="17">
        <f>'Assumptions'!$B$38*'Assumptions'!$B$26/$G$211</f>
        <v/>
      </c>
      <c r="I211" s="17">
        <f>$H$211-'Assumptions'!$B$39</f>
        <v/>
      </c>
      <c r="J211" s="17">
        <f>MAX(0,'Assumptions'!$B$66*$V$210-'Assumptions'!$B$43)</f>
        <v/>
      </c>
      <c r="K211" s="17">
        <f>'Assumptions'!$B$44+$J$211+$F$211+$I$211+$T$210</f>
        <v/>
      </c>
      <c r="L211" s="11">
        <f>'Assumptions'!$B$57/$K$211</f>
        <v/>
      </c>
      <c r="M211" s="11">
        <f>$B$211*(1-'Assumptions'!$B$58)</f>
        <v/>
      </c>
      <c r="N211" s="11">
        <f>MIN($L$211,$M$211)</f>
        <v/>
      </c>
      <c r="O211" s="17">
        <f>'Assumptions'!$B$56/$N$211</f>
        <v/>
      </c>
      <c r="P211" s="17">
        <f>'Assumptions'!$B$44+$J$211+$F$211+$I$211+$O$211</f>
        <v/>
      </c>
      <c r="Q211" s="11">
        <f>'Assumptions'!$B$60/$P$211</f>
        <v/>
      </c>
      <c r="R211" s="11">
        <f>$B$211*(1-'Assumptions'!$B$61)</f>
        <v/>
      </c>
      <c r="S211" s="11">
        <f>MIN($Q$211,$R$211)</f>
        <v/>
      </c>
      <c r="T211" s="17">
        <f>'Assumptions'!$B$59/$S$211</f>
        <v/>
      </c>
      <c r="U211" s="17">
        <f>'Assumptions'!$B$44+$J$211+$F$211+$I$211+$O$211+$T$211</f>
        <v/>
      </c>
      <c r="V211" s="17">
        <f>$U$211+$C$211</f>
        <v/>
      </c>
    </row>
    <row r="212">
      <c r="A212" t="n">
        <v>15</v>
      </c>
      <c r="B212" s="11">
        <f>'Assumptions'!$B$69/$U$211</f>
        <v/>
      </c>
      <c r="C212" s="17">
        <f>'Assumptions'!$B$5/$B$212</f>
        <v/>
      </c>
      <c r="D212" s="11">
        <f>'Assumptions'!$B$27*('Assumptions'!$B$44+'Assumptions'!$B$5/'Assumptions'!$B$27)/('Assumptions'!$B$44+'Assumptions'!$B$5/$B$212)</f>
        <v/>
      </c>
      <c r="E212" s="17">
        <f>'Assumptions'!$B$40*'Assumptions'!$B$27/$D$212</f>
        <v/>
      </c>
      <c r="F212" s="17">
        <f>$E$212-'Assumptions'!$B$40</f>
        <v/>
      </c>
      <c r="G212" s="11">
        <f>'Assumptions'!$B$25*('Assumptions'!$B$44+'Assumptions'!$B$5/'Assumptions'!$B$25)/('Assumptions'!$B$44+'Assumptions'!$B$5/$B$212)</f>
        <v/>
      </c>
      <c r="H212" s="17">
        <f>'Assumptions'!$B$38*'Assumptions'!$B$26/$G$212</f>
        <v/>
      </c>
      <c r="I212" s="17">
        <f>$H$212-'Assumptions'!$B$39</f>
        <v/>
      </c>
      <c r="J212" s="17">
        <f>MAX(0,'Assumptions'!$B$66*$V$211-'Assumptions'!$B$43)</f>
        <v/>
      </c>
      <c r="K212" s="17">
        <f>'Assumptions'!$B$44+$J$212+$F$212+$I$212+$T$211</f>
        <v/>
      </c>
      <c r="L212" s="11">
        <f>'Assumptions'!$B$57/$K$212</f>
        <v/>
      </c>
      <c r="M212" s="11">
        <f>$B$212*(1-'Assumptions'!$B$58)</f>
        <v/>
      </c>
      <c r="N212" s="11">
        <f>MIN($L$212,$M$212)</f>
        <v/>
      </c>
      <c r="O212" s="17">
        <f>'Assumptions'!$B$56/$N$212</f>
        <v/>
      </c>
      <c r="P212" s="17">
        <f>'Assumptions'!$B$44+$J$212+$F$212+$I$212+$O$212</f>
        <v/>
      </c>
      <c r="Q212" s="11">
        <f>'Assumptions'!$B$60/$P$212</f>
        <v/>
      </c>
      <c r="R212" s="11">
        <f>$B$212*(1-'Assumptions'!$B$61)</f>
        <v/>
      </c>
      <c r="S212" s="11">
        <f>MIN($Q$212,$R$212)</f>
        <v/>
      </c>
      <c r="T212" s="17">
        <f>'Assumptions'!$B$59/$S$212</f>
        <v/>
      </c>
      <c r="U212" s="17">
        <f>'Assumptions'!$B$44+$J$212+$F$212+$I$212+$O$212+$T$212</f>
        <v/>
      </c>
      <c r="V212" s="17">
        <f>$U$212+$C$212</f>
        <v/>
      </c>
      <c r="W212">
        <f>IF('Sensitivity'!$L$212&lt;'Sensitivity'!$M$212,"cap","discount")</f>
        <v/>
      </c>
      <c r="X212">
        <f>IF('Sensitivity'!$Q$212&lt;'Sensitivity'!$R$212,"cap","discount")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Return-Solver — F ownership % needed for 3× and 4× on $10M</t>
        </is>
      </c>
    </row>
    <row r="2">
      <c r="A2" t="inlineStr">
        <is>
          <t>Approach: assume F converts; OTHER classes' elections from base-case Waterfall hold; solve closed form.</t>
        </is>
      </c>
    </row>
    <row r="3">
      <c r="B3" s="2" t="inlineStr">
        <is>
          <t>Exit 1 ($700M)</t>
        </is>
      </c>
      <c r="C3" s="2" t="inlineStr">
        <is>
          <t>Exit 2 ($1.2B)</t>
        </is>
      </c>
      <c r="D3" s="2" t="inlineStr">
        <is>
          <t>Exit 3 ($2B)</t>
        </is>
      </c>
      <c r="E3" s="2" t="inlineStr">
        <is>
          <t>Exit 4 ($4B)</t>
        </is>
      </c>
      <c r="F3" s="2" t="inlineStr">
        <is>
          <t>Exit 5 ($8B)</t>
        </is>
      </c>
    </row>
    <row r="4">
      <c r="A4" s="2" t="inlineStr">
        <is>
          <t>Exit value</t>
        </is>
      </c>
      <c r="B4" s="3">
        <f>'Assumptions'!$B$14</f>
        <v/>
      </c>
      <c r="C4" s="3">
        <f>'Assumptions'!$B$15</f>
        <v/>
      </c>
      <c r="D4" s="3">
        <f>'Assumptions'!$B$16</f>
        <v/>
      </c>
      <c r="E4" s="3">
        <f>'Assumptions'!$B$17</f>
        <v/>
      </c>
      <c r="F4" s="3">
        <f>'Assumptions'!$B$18</f>
        <v/>
      </c>
    </row>
    <row r="5">
      <c r="A5" t="inlineStr">
        <is>
          <t>Others' pref total (sum of pref electors)</t>
        </is>
      </c>
      <c r="B5" s="3">
        <f>IF('Waterfall'!B49="preference",'Waterfall'!$B$21,0)+IF('Waterfall'!B61="preference",'Waterfall'!$B$22,0)+IF('Waterfall'!B73="preference",'Waterfall'!$B$23,0)+IF('Waterfall'!B85="preference",'Waterfall'!$B$24,0)+IF('Waterfall'!B97="preference",'Waterfall'!$B$25,0)+IF('Waterfall'!B109="preference",'Waterfall'!$B$26,0)</f>
        <v/>
      </c>
      <c r="C5" s="3">
        <f>IF('Waterfall'!C49="preference",'Waterfall'!$B$21,0)+IF('Waterfall'!C61="preference",'Waterfall'!$B$22,0)+IF('Waterfall'!C73="preference",'Waterfall'!$B$23,0)+IF('Waterfall'!C85="preference",'Waterfall'!$B$24,0)+IF('Waterfall'!C97="preference",'Waterfall'!$B$25,0)+IF('Waterfall'!C109="preference",'Waterfall'!$B$26,0)</f>
        <v/>
      </c>
      <c r="D5" s="3">
        <f>IF('Waterfall'!D49="preference",'Waterfall'!$B$21,0)+IF('Waterfall'!D61="preference",'Waterfall'!$B$22,0)+IF('Waterfall'!D73="preference",'Waterfall'!$B$23,0)+IF('Waterfall'!D85="preference",'Waterfall'!$B$24,0)+IF('Waterfall'!D97="preference",'Waterfall'!$B$25,0)+IF('Waterfall'!D109="preference",'Waterfall'!$B$26,0)</f>
        <v/>
      </c>
      <c r="E5" s="3">
        <f>IF('Waterfall'!E49="preference",'Waterfall'!$B$21,0)+IF('Waterfall'!E61="preference",'Waterfall'!$B$22,0)+IF('Waterfall'!E73="preference",'Waterfall'!$B$23,0)+IF('Waterfall'!E85="preference",'Waterfall'!$B$24,0)+IF('Waterfall'!E97="preference",'Waterfall'!$B$25,0)+IF('Waterfall'!E109="preference",'Waterfall'!$B$26,0)</f>
        <v/>
      </c>
      <c r="F5" s="3">
        <f>IF('Waterfall'!F49="preference",'Waterfall'!$B$21,0)+IF('Waterfall'!F61="preference",'Waterfall'!$B$22,0)+IF('Waterfall'!F73="preference",'Waterfall'!$B$23,0)+IF('Waterfall'!F85="preference",'Waterfall'!$B$24,0)+IF('Waterfall'!F97="preference",'Waterfall'!$B$25,0)+IF('Waterfall'!F109="preference",'Waterfall'!$B$26,0)</f>
        <v/>
      </c>
    </row>
    <row r="6">
      <c r="A6" t="inlineStr">
        <is>
          <t>Others' convert pool (sum of conv shares + common + notes + issued opts)</t>
        </is>
      </c>
      <c r="B6" s="12">
        <f>IF('Waterfall'!B49="convert",'Waterfall'!$B$12,0)+IF('Waterfall'!B61="convert",'Waterfall'!$B$13,0)+IF('Waterfall'!B73="convert",'Waterfall'!$B$14,0)+IF('Waterfall'!B85="convert",'Waterfall'!$B$15,0)+IF('Waterfall'!B97="convert",'Waterfall'!$B$16,0)+IF('Waterfall'!B109="convert",'Waterfall'!$B$17,0)+'Waterfall'!$B$6+'Waterfall'!$B$7+'Waterfall'!$B$8</f>
        <v/>
      </c>
      <c r="C6" s="12">
        <f>IF('Waterfall'!C49="convert",'Waterfall'!$B$12,0)+IF('Waterfall'!C61="convert",'Waterfall'!$B$13,0)+IF('Waterfall'!C73="convert",'Waterfall'!$B$14,0)+IF('Waterfall'!C85="convert",'Waterfall'!$B$15,0)+IF('Waterfall'!C97="convert",'Waterfall'!$B$16,0)+IF('Waterfall'!C109="convert",'Waterfall'!$B$17,0)+'Waterfall'!$B$6+'Waterfall'!$B$7+'Waterfall'!$B$8</f>
        <v/>
      </c>
      <c r="D6" s="12">
        <f>IF('Waterfall'!D49="convert",'Waterfall'!$B$12,0)+IF('Waterfall'!D61="convert",'Waterfall'!$B$13,0)+IF('Waterfall'!D73="convert",'Waterfall'!$B$14,0)+IF('Waterfall'!D85="convert",'Waterfall'!$B$15,0)+IF('Waterfall'!D97="convert",'Waterfall'!$B$16,0)+IF('Waterfall'!D109="convert",'Waterfall'!$B$17,0)+'Waterfall'!$B$6+'Waterfall'!$B$7+'Waterfall'!$B$8</f>
        <v/>
      </c>
      <c r="E6" s="12">
        <f>IF('Waterfall'!E49="convert",'Waterfall'!$B$12,0)+IF('Waterfall'!E61="convert",'Waterfall'!$B$13,0)+IF('Waterfall'!E73="convert",'Waterfall'!$B$14,0)+IF('Waterfall'!E85="convert",'Waterfall'!$B$15,0)+IF('Waterfall'!E97="convert",'Waterfall'!$B$16,0)+IF('Waterfall'!E109="convert",'Waterfall'!$B$17,0)+'Waterfall'!$B$6+'Waterfall'!$B$7+'Waterfall'!$B$8</f>
        <v/>
      </c>
      <c r="F6" s="12">
        <f>IF('Waterfall'!F49="convert",'Waterfall'!$B$12,0)+IF('Waterfall'!F61="convert",'Waterfall'!$B$13,0)+IF('Waterfall'!F73="convert",'Waterfall'!$B$14,0)+IF('Waterfall'!F85="convert",'Waterfall'!$B$15,0)+IF('Waterfall'!F97="convert",'Waterfall'!$B$16,0)+IF('Waterfall'!F109="convert",'Waterfall'!$B$17,0)+'Waterfall'!$B$6+'Waterfall'!$B$7+'Waterfall'!$B$8</f>
        <v/>
      </c>
    </row>
    <row r="7">
      <c r="A7" t="inlineStr">
        <is>
          <t>Residual R = exit + strike*opts − others' pref total</t>
        </is>
      </c>
      <c r="B7" s="3">
        <f>'Assumptions'!$B$14+'Assumptions'!$B$11*'Waterfall'!$B$8-B5</f>
        <v/>
      </c>
      <c r="C7" s="3">
        <f>'Assumptions'!$B$15+'Assumptions'!$B$11*'Waterfall'!$B$8-C5</f>
        <v/>
      </c>
      <c r="D7" s="3">
        <f>'Assumptions'!$B$16+'Assumptions'!$B$11*'Waterfall'!$B$8-D5</f>
        <v/>
      </c>
      <c r="E7" s="3">
        <f>'Assumptions'!$B$17+'Assumptions'!$B$11*'Waterfall'!$B$8-E5</f>
        <v/>
      </c>
      <c r="F7" s="3">
        <f>'Assumptions'!$B$18+'Assumptions'!$B$11*'Waterfall'!$B$8-F5</f>
        <v/>
      </c>
    </row>
    <row r="8">
      <c r="A8" t="inlineStr">
        <is>
          <t>Pre-F portion of FD (base-case pre_money_FD)</t>
        </is>
      </c>
      <c r="B8" s="12">
        <f>'Pro-Forma'!$U$20</f>
        <v/>
      </c>
      <c r="C8" s="12">
        <f>'Pro-Forma'!$U$20</f>
        <v/>
      </c>
      <c r="D8" s="12">
        <f>'Pro-Forma'!$U$20</f>
        <v/>
      </c>
      <c r="E8" s="12">
        <f>'Pro-Forma'!$U$20</f>
        <v/>
      </c>
      <c r="F8" s="12">
        <f>'Pro-Forma'!$U$20</f>
        <v/>
      </c>
    </row>
    <row r="10">
      <c r="A10" s="10" t="inlineStr">
        <is>
          <t>TARGET 3× ($30M to us → F class needs $90M)</t>
        </is>
      </c>
    </row>
    <row r="11">
      <c r="A11" t="inlineStr">
        <is>
          <t>Required F class payoff (3× × 3 = 9× × $10M)</t>
        </is>
      </c>
      <c r="B11" s="3">
        <f>'Assumptions'!$B$72*3*'Assumptions'!$B$9</f>
        <v/>
      </c>
      <c r="C11" s="3">
        <f>'Assumptions'!$B$72*3*'Assumptions'!$B$9</f>
        <v/>
      </c>
      <c r="D11" s="3">
        <f>'Assumptions'!$B$72*3*'Assumptions'!$B$9</f>
        <v/>
      </c>
      <c r="E11" s="3">
        <f>'Assumptions'!$B$72*3*'Assumptions'!$B$9</f>
        <v/>
      </c>
      <c r="F11" s="3">
        <f>'Assumptions'!$B$72*3*'Assumptions'!$B$9</f>
        <v/>
      </c>
    </row>
    <row r="12">
      <c r="A12" t="inlineStr">
        <is>
          <t>F_shares needed (closed form)</t>
        </is>
      </c>
      <c r="B12" s="12">
        <f>IFERROR(B11*B6/(B7-B11),NA())</f>
        <v/>
      </c>
      <c r="C12" s="12">
        <f>IFERROR(C11*C6/(C7-C11),NA())</f>
        <v/>
      </c>
      <c r="D12" s="12">
        <f>IFERROR(D11*D6/(D7-D11),NA())</f>
        <v/>
      </c>
      <c r="E12" s="12">
        <f>IFERROR(E11*E6/(E7-E11),NA())</f>
        <v/>
      </c>
      <c r="F12" s="12">
        <f>IFERROR(F11*F6/(F7-F11),NA())</f>
        <v/>
      </c>
    </row>
    <row r="13">
      <c r="A13" t="inlineStr">
        <is>
          <t>F ownership % (= F_shares / (F_shares + pre_F_other))</t>
        </is>
      </c>
      <c r="B13" s="19">
        <f>IF(OR(B7&lt;=B11,B12&lt;=0),"INFEASIBLE",IF(B12/(B12+B8)&gt;1,"INFEASIBLE",B12/(B12+B8)))</f>
        <v/>
      </c>
      <c r="C13" s="19">
        <f>IF(OR(C7&lt;=C11,C12&lt;=0),"INFEASIBLE",IF(C12/(C12+C8)&gt;1,"INFEASIBLE",C12/(C12+C8)))</f>
        <v/>
      </c>
      <c r="D13" s="19">
        <f>IF(OR(D7&lt;=D11,D12&lt;=0),"INFEASIBLE",IF(D12/(D12+D8)&gt;1,"INFEASIBLE",D12/(D12+D8)))</f>
        <v/>
      </c>
      <c r="E13" s="19">
        <f>IF(OR(E7&lt;=E11,E12&lt;=0),"INFEASIBLE",IF(E12/(E12+E8)&gt;1,"INFEASIBLE",E12/(E12+E8)))</f>
        <v/>
      </c>
      <c r="F13" s="19">
        <f>IF(OR(F7&lt;=F11,F12&lt;=0),"INFEASIBLE",IF(F12/(F12+F8)&gt;1,"INFEASIBLE",F12/(F12+F8)))</f>
        <v/>
      </c>
    </row>
    <row r="14">
      <c r="A14" t="inlineStr">
        <is>
          <t>Sanity: implied our payoff @ that F_pct</t>
        </is>
      </c>
      <c r="B14" s="3">
        <f>IF(ISNUMBER(B13),(B12/(B12+B6))*B7/3,"—")</f>
        <v/>
      </c>
      <c r="C14" s="3">
        <f>IF(ISNUMBER(C13),(C12/(C12+C6))*C7/3,"—")</f>
        <v/>
      </c>
      <c r="D14" s="3">
        <f>IF(ISNUMBER(D13),(D12/(D12+D6))*D7/3,"—")</f>
        <v/>
      </c>
      <c r="E14" s="3">
        <f>IF(ISNUMBER(E13),(E12/(E12+E6))*E7/3,"—")</f>
        <v/>
      </c>
      <c r="F14" s="3">
        <f>IF(ISNUMBER(F13),(F12/(F12+F6))*F7/3,"—")</f>
        <v/>
      </c>
    </row>
    <row r="16">
      <c r="A16" s="10" t="inlineStr">
        <is>
          <t>TARGET 4× ($40M to us → F class needs $120M)</t>
        </is>
      </c>
    </row>
    <row r="17">
      <c r="A17" t="inlineStr">
        <is>
          <t>Required F class payoff (4× × 3 = 12× × $10M)</t>
        </is>
      </c>
      <c r="B17" s="3">
        <f>'Assumptions'!$B$73*3*'Assumptions'!$B$9</f>
        <v/>
      </c>
      <c r="C17" s="3">
        <f>'Assumptions'!$B$73*3*'Assumptions'!$B$9</f>
        <v/>
      </c>
      <c r="D17" s="3">
        <f>'Assumptions'!$B$73*3*'Assumptions'!$B$9</f>
        <v/>
      </c>
      <c r="E17" s="3">
        <f>'Assumptions'!$B$73*3*'Assumptions'!$B$9</f>
        <v/>
      </c>
      <c r="F17" s="3">
        <f>'Assumptions'!$B$73*3*'Assumptions'!$B$9</f>
        <v/>
      </c>
    </row>
    <row r="18">
      <c r="A18" t="inlineStr">
        <is>
          <t>F_shares needed</t>
        </is>
      </c>
      <c r="B18" s="12">
        <f>IFERROR(B17*B6/(B7-B17),NA())</f>
        <v/>
      </c>
      <c r="C18" s="12">
        <f>IFERROR(C17*C6/(C7-C17),NA())</f>
        <v/>
      </c>
      <c r="D18" s="12">
        <f>IFERROR(D17*D6/(D7-D17),NA())</f>
        <v/>
      </c>
      <c r="E18" s="12">
        <f>IFERROR(E17*E6/(E7-E17),NA())</f>
        <v/>
      </c>
      <c r="F18" s="12">
        <f>IFERROR(F17*F6/(F7-F17),NA())</f>
        <v/>
      </c>
    </row>
    <row r="19">
      <c r="A19" t="inlineStr">
        <is>
          <t>F ownership % (4×)</t>
        </is>
      </c>
      <c r="B19" s="19">
        <f>IF(OR(B7&lt;=B17,B18&lt;=0),"INFEASIBLE",IF(B18/(B18+B8)&gt;1,"INFEASIBLE",B18/(B18+B8)))</f>
        <v/>
      </c>
      <c r="C19" s="19">
        <f>IF(OR(C7&lt;=C17,C18&lt;=0),"INFEASIBLE",IF(C18/(C18+C8)&gt;1,"INFEASIBLE",C18/(C18+C8)))</f>
        <v/>
      </c>
      <c r="D19" s="19">
        <f>IF(OR(D7&lt;=D17,D18&lt;=0),"INFEASIBLE",IF(D18/(D18+D8)&gt;1,"INFEASIBLE",D18/(D18+D8)))</f>
        <v/>
      </c>
      <c r="E19" s="19">
        <f>IF(OR(E7&lt;=E17,E18&lt;=0),"INFEASIBLE",IF(E18/(E18+E8)&gt;1,"INFEASIBLE",E18/(E18+E8)))</f>
        <v/>
      </c>
      <c r="F19" s="19">
        <f>IF(OR(F7&lt;=F17,F18&lt;=0),"INFEASIBLE",IF(F18/(F18+F8)&gt;1,"INFEASIBLE",F18/(F18+F8)))</f>
        <v/>
      </c>
    </row>
    <row r="20">
      <c r="A20" t="inlineStr">
        <is>
          <t>Sanity: implied our payoff @ that F_pct (4×)</t>
        </is>
      </c>
      <c r="B20" s="3">
        <f>IF(ISNUMBER(B19),(B18/(B18+B6))*B7/3,"—")</f>
        <v/>
      </c>
      <c r="C20" s="3">
        <f>IF(ISNUMBER(C19),(C18/(C18+C6))*C7/3,"—")</f>
        <v/>
      </c>
      <c r="D20" s="3">
        <f>IF(ISNUMBER(D19),(D18/(D18+D6))*D7/3,"—")</f>
        <v/>
      </c>
      <c r="E20" s="3">
        <f>IF(ISNUMBER(E19),(E18/(E18+E6))*E7/3,"—")</f>
        <v/>
      </c>
      <c r="F20" s="3">
        <f>IF(ISNUMBER(F19),(F18/(F18+F6))*F7/3,"—")</f>
        <v/>
      </c>
    </row>
    <row r="22">
      <c r="A22" t="inlineStr">
        <is>
          <t>Note: At low exits ($700M), F's preference alone returns $10M = 1×; therefore F MUST convert to reach 3× or 4×.</t>
        </is>
      </c>
    </row>
    <row r="23">
      <c r="A23" t="inlineStr">
        <is>
          <t>INFEASIBLE flagged when residual ≤ required F class payoff or implied ownership &gt;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2026-04-27T02:11:19Z</dcterms:created>
  <dcterms:modified xmlns:dcterms="http://purl.org/dc/terms/" xmlns:xsi="http://www.w3.org/2001/XMLSchema-instance" xsi:type="dcterms:W3CDTF">2026-04-27T02:11:19Z</dcterms:modified>
</cp:coreProperties>
</file>