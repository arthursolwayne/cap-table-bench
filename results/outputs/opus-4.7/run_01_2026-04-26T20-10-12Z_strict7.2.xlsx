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-Forma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turn-Solver" sheetId="5" state="visible" r:id="rId5"/>
  </sheets>
  <definedNames/>
  <calcPr calcId="124519" fullCalcOnLoad="1" iterate="1" iterateCount="1000" iterateDelta="1e-09"/>
</workbook>
</file>

<file path=xl/styles.xml><?xml version="1.0" encoding="utf-8"?>
<styleSheet xmlns="http://schemas.openxmlformats.org/spreadsheetml/2006/main">
  <numFmts count="4">
    <numFmt numFmtId="164" formatCode="0.000000%"/>
    <numFmt numFmtId="165" formatCode="$#,##0"/>
    <numFmt numFmtId="166" formatCode="$#,##0.0000"/>
    <numFmt numFmtId="167" formatCode="0.000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series_f_pre_money_usd</t>
        </is>
      </c>
      <c r="B2" t="n">
        <v>1400000000</v>
      </c>
      <c r="C2" t="inlineStr">
        <is>
          <t>Series F pre-money</t>
        </is>
      </c>
    </row>
    <row r="3">
      <c r="A3" t="inlineStr">
        <is>
          <t>series_f_primary_raise_usd</t>
        </is>
      </c>
      <c r="B3" t="n">
        <v>30000000</v>
      </c>
      <c r="C3" t="inlineStr">
        <is>
          <t>Series F primary</t>
        </is>
      </c>
    </row>
    <row r="4">
      <c r="A4" t="inlineStr">
        <is>
          <t>series_f_secondary_raise_usd</t>
        </is>
      </c>
      <c r="B4" t="n">
        <v>15000000</v>
      </c>
      <c r="C4" t="inlineStr">
        <is>
          <t>Secondary tender</t>
        </is>
      </c>
    </row>
    <row r="5">
      <c r="A5" t="inlineStr">
        <is>
          <t>tender_pps_multiplier</t>
        </is>
      </c>
      <c r="B5" t="n">
        <v>0.85</v>
      </c>
      <c r="C5" t="inlineStr">
        <is>
          <t>Tender PPS = mult x F_PPS</t>
        </is>
      </c>
    </row>
    <row r="6">
      <c r="A6" t="inlineStr">
        <is>
          <t>esop_refresh_target</t>
        </is>
      </c>
      <c r="B6" t="n">
        <v>0.13</v>
      </c>
      <c r="C6" t="inlineStr">
        <is>
          <t>ESOP target post-F FD</t>
        </is>
      </c>
    </row>
    <row r="7">
      <c r="A7" t="inlineStr">
        <is>
          <t>our_fund_check_usd</t>
        </is>
      </c>
      <c r="B7" t="n">
        <v>10000000</v>
      </c>
      <c r="C7" t="inlineStr">
        <is>
          <t>Our $10M check</t>
        </is>
      </c>
    </row>
    <row r="8">
      <c r="A8" t="inlineStr">
        <is>
          <t>f_lead_primary_check_usd</t>
        </is>
      </c>
      <c r="B8" t="n">
        <v>20000000</v>
      </c>
      <c r="C8" t="inlineStr">
        <is>
          <t>F_LEAD primary</t>
        </is>
      </c>
    </row>
    <row r="9">
      <c r="A9" t="inlineStr">
        <is>
          <t>option_strike_usd</t>
        </is>
      </c>
      <c r="B9" t="n">
        <v>1</v>
      </c>
      <c r="C9" t="inlineStr">
        <is>
          <t>Option strike</t>
        </is>
      </c>
    </row>
    <row r="10">
      <c r="A10" t="inlineStr">
        <is>
          <t>pre_f_options_issued</t>
        </is>
      </c>
      <c r="B10" t="n">
        <v>2500000</v>
      </c>
      <c r="C10" t="inlineStr">
        <is>
          <t>Pre-F issued options</t>
        </is>
      </c>
    </row>
    <row r="11">
      <c r="A11" t="inlineStr">
        <is>
          <t>pre_f_options_unissued</t>
        </is>
      </c>
      <c r="B11" t="n">
        <v>1894667</v>
      </c>
      <c r="C11" t="inlineStr">
        <is>
          <t>Pre-F unissued pool</t>
        </is>
      </c>
    </row>
    <row r="12">
      <c r="A12" t="inlineStr">
        <is>
          <t>pre_f_pool_total</t>
        </is>
      </c>
      <c r="B12" t="n">
        <v>4394667</v>
      </c>
      <c r="C12" t="inlineStr">
        <is>
          <t>Pre-F total pool (issued+unissued)</t>
        </is>
      </c>
    </row>
    <row r="13">
      <c r="A13" t="inlineStr">
        <is>
          <t>pre_f_fd_total</t>
        </is>
      </c>
      <c r="B13" t="n">
        <v>36617961</v>
      </c>
      <c r="C13" t="inlineStr">
        <is>
          <t>Pre-F fully-diluted</t>
        </is>
      </c>
    </row>
    <row r="14">
      <c r="A14" t="inlineStr">
        <is>
          <t>broad_based_ad_basis</t>
        </is>
      </c>
      <c r="B14" t="n">
        <v>36617961</v>
      </c>
      <c r="C14" t="inlineStr">
        <is>
          <t>Broad-based WA basis A</t>
        </is>
      </c>
    </row>
    <row r="15">
      <c r="A15" t="inlineStr">
        <is>
          <t>exit_value_1</t>
        </is>
      </c>
      <c r="B15" t="n">
        <v>700000000</v>
      </c>
      <c r="C15" t="inlineStr">
        <is>
          <t>Exit 1</t>
        </is>
      </c>
    </row>
    <row r="16">
      <c r="A16" t="inlineStr">
        <is>
          <t>exit_value_2</t>
        </is>
      </c>
      <c r="B16" t="n">
        <v>1200000000</v>
      </c>
      <c r="C16" t="inlineStr">
        <is>
          <t>Exit 2</t>
        </is>
      </c>
    </row>
    <row r="17">
      <c r="A17" t="inlineStr">
        <is>
          <t>exit_value_3</t>
        </is>
      </c>
      <c r="B17" t="n">
        <v>2000000000</v>
      </c>
      <c r="C17" t="inlineStr">
        <is>
          <t>Exit 3 (sensitivity)</t>
        </is>
      </c>
    </row>
    <row r="18">
      <c r="A18" t="inlineStr">
        <is>
          <t>exit_value_4</t>
        </is>
      </c>
      <c r="B18" t="n">
        <v>4000000000</v>
      </c>
      <c r="C18" t="inlineStr">
        <is>
          <t>Exit 4</t>
        </is>
      </c>
    </row>
    <row r="19">
      <c r="A19" t="inlineStr">
        <is>
          <t>exit_value_5</t>
        </is>
      </c>
      <c r="B19" t="n">
        <v>8000000000</v>
      </c>
      <c r="C19" t="inlineStr">
        <is>
          <t>Exit 5</t>
        </is>
      </c>
    </row>
    <row r="20">
      <c r="A20" t="inlineStr">
        <is>
          <t>ocp_seed</t>
        </is>
      </c>
      <c r="B20" t="n">
        <v>1</v>
      </c>
      <c r="C20" t="inlineStr">
        <is>
          <t>Seed OCP</t>
        </is>
      </c>
    </row>
    <row r="21">
      <c r="A21" t="inlineStr">
        <is>
          <t>ocp_a</t>
        </is>
      </c>
      <c r="B21" t="n">
        <v>3</v>
      </c>
      <c r="C21" t="inlineStr">
        <is>
          <t>Series A OCP</t>
        </is>
      </c>
    </row>
    <row r="22">
      <c r="A22" t="inlineStr">
        <is>
          <t>ocp_b</t>
        </is>
      </c>
      <c r="B22" t="n">
        <v>10</v>
      </c>
      <c r="C22" t="inlineStr">
        <is>
          <t>Series B OCP</t>
        </is>
      </c>
    </row>
    <row r="23">
      <c r="A23" t="inlineStr">
        <is>
          <t>ocp_c</t>
        </is>
      </c>
      <c r="B23" t="n">
        <v>25</v>
      </c>
      <c r="C23" t="inlineStr">
        <is>
          <t>Series C OCP</t>
        </is>
      </c>
    </row>
    <row r="24">
      <c r="A24" t="inlineStr">
        <is>
          <t>ocp_d_post_e</t>
        </is>
      </c>
      <c r="B24" t="n">
        <v>58.118347</v>
      </c>
      <c r="C24" t="inlineStr">
        <is>
          <t>Series D effective OCP (post-E NCP)</t>
        </is>
      </c>
    </row>
    <row r="25">
      <c r="A25" t="inlineStr">
        <is>
          <t>ocp_e</t>
        </is>
      </c>
      <c r="B25" t="n">
        <v>49.158311</v>
      </c>
      <c r="C25" t="inlineStr">
        <is>
          <t>Series E OCP</t>
        </is>
      </c>
    </row>
    <row r="26">
      <c r="A26" t="inlineStr">
        <is>
          <t>note_a_principal</t>
        </is>
      </c>
      <c r="B26" t="n">
        <v>5000000</v>
      </c>
      <c r="C26" t="inlineStr">
        <is>
          <t>Note A principal</t>
        </is>
      </c>
    </row>
    <row r="27">
      <c r="A27" t="inlineStr">
        <is>
          <t>note_a_cap</t>
        </is>
      </c>
      <c r="B27" t="n">
        <v>1000000000</v>
      </c>
      <c r="C27" t="inlineStr">
        <is>
          <t>Note A cap</t>
        </is>
      </c>
    </row>
    <row r="28">
      <c r="A28" t="inlineStr">
        <is>
          <t>note_a_discount</t>
        </is>
      </c>
      <c r="B28" t="n">
        <v>0.2</v>
      </c>
      <c r="C28" t="inlineStr">
        <is>
          <t>Note A discount</t>
        </is>
      </c>
    </row>
    <row r="29">
      <c r="A29" t="inlineStr">
        <is>
          <t>note_b_principal</t>
        </is>
      </c>
      <c r="B29" t="n">
        <v>3000000</v>
      </c>
      <c r="C29" t="inlineStr">
        <is>
          <t>Note B principal</t>
        </is>
      </c>
    </row>
    <row r="30">
      <c r="A30" t="inlineStr">
        <is>
          <t>note_b_cap</t>
        </is>
      </c>
      <c r="B30" t="n">
        <v>1600000000</v>
      </c>
      <c r="C30" t="inlineStr">
        <is>
          <t>Note B cap</t>
        </is>
      </c>
    </row>
    <row r="31">
      <c r="A31" t="inlineStr">
        <is>
          <t>note_b_discount</t>
        </is>
      </c>
      <c r="B31" t="n">
        <v>0.15</v>
      </c>
      <c r="C31" t="inlineStr">
        <is>
          <t>Note B discount</t>
        </is>
      </c>
    </row>
    <row r="32">
      <c r="A32" t="inlineStr">
        <is>
          <t>founder_f1_common</t>
        </is>
      </c>
      <c r="B32" t="n">
        <v>4000000</v>
      </c>
      <c r="C32" t="inlineStr">
        <is>
          <t>F1 common</t>
        </is>
      </c>
    </row>
    <row r="33">
      <c r="A33" t="inlineStr">
        <is>
          <t>founder_f2_common</t>
        </is>
      </c>
      <c r="B33" t="n">
        <v>2500000</v>
      </c>
      <c r="C33" t="inlineStr">
        <is>
          <t>F2 common</t>
        </is>
      </c>
    </row>
    <row r="34">
      <c r="A34" t="inlineStr">
        <is>
          <t>founder_f3_common</t>
        </is>
      </c>
      <c r="B34" t="n">
        <v>1500000</v>
      </c>
      <c r="C34" t="inlineStr">
        <is>
          <t>F3 common</t>
        </is>
      </c>
    </row>
    <row r="35">
      <c r="A35" t="inlineStr">
        <is>
          <t>rsa_common_total</t>
        </is>
      </c>
      <c r="B35" t="n">
        <v>1000000</v>
      </c>
      <c r="C35" t="inlineStr">
        <is>
          <t>Employee RSAs total</t>
        </is>
      </c>
    </row>
    <row r="36">
      <c r="A36" t="inlineStr">
        <is>
          <t>seed_shares</t>
        </is>
      </c>
      <c r="B36" t="n">
        <v>5000000</v>
      </c>
      <c r="C36" t="inlineStr">
        <is>
          <t>Seed shares</t>
        </is>
      </c>
    </row>
    <row r="37">
      <c r="A37" t="inlineStr">
        <is>
          <t>a_shares</t>
        </is>
      </c>
      <c r="B37" t="n">
        <v>5000000</v>
      </c>
      <c r="C37" t="inlineStr">
        <is>
          <t>A shares</t>
        </is>
      </c>
    </row>
    <row r="38">
      <c r="A38" t="inlineStr">
        <is>
          <t>b_shares</t>
        </is>
      </c>
      <c r="B38" t="n">
        <v>3000000</v>
      </c>
      <c r="C38" t="inlineStr">
        <is>
          <t>B shares</t>
        </is>
      </c>
    </row>
    <row r="39">
      <c r="A39" t="inlineStr">
        <is>
          <t>c_shares</t>
        </is>
      </c>
      <c r="B39" t="n">
        <v>2400000</v>
      </c>
      <c r="C39" t="inlineStr">
        <is>
          <t>C shares</t>
        </is>
      </c>
    </row>
    <row r="40">
      <c r="A40" t="inlineStr">
        <is>
          <t>d_shares_pre_f</t>
        </is>
      </c>
      <c r="B40" t="n">
        <v>1720627</v>
      </c>
      <c r="C40" t="inlineStr">
        <is>
          <t>D shares (post-E)</t>
        </is>
      </c>
    </row>
    <row r="41">
      <c r="A41" t="inlineStr">
        <is>
          <t>e_shares</t>
        </is>
      </c>
      <c r="B41" t="n">
        <v>6102667</v>
      </c>
      <c r="C41" t="inlineStr">
        <is>
          <t>E shares</t>
        </is>
      </c>
    </row>
    <row r="42">
      <c r="A42" t="inlineStr">
        <is>
          <t>seed_invested</t>
        </is>
      </c>
      <c r="B42" t="n">
        <v>5000000</v>
      </c>
      <c r="C42" t="inlineStr">
        <is>
          <t>Seed invested</t>
        </is>
      </c>
    </row>
    <row r="43">
      <c r="A43" t="inlineStr">
        <is>
          <t>a_invested</t>
        </is>
      </c>
      <c r="B43" t="n">
        <v>15000000</v>
      </c>
      <c r="C43" t="inlineStr">
        <is>
          <t>A invested</t>
        </is>
      </c>
    </row>
    <row r="44">
      <c r="A44" t="inlineStr">
        <is>
          <t>b_invested</t>
        </is>
      </c>
      <c r="B44" t="n">
        <v>30000000</v>
      </c>
      <c r="C44" t="inlineStr">
        <is>
          <t>B invested</t>
        </is>
      </c>
    </row>
    <row r="45">
      <c r="A45" t="inlineStr">
        <is>
          <t>c_invested</t>
        </is>
      </c>
      <c r="B45" t="n">
        <v>60000000</v>
      </c>
      <c r="C45" t="inlineStr">
        <is>
          <t>C invested</t>
        </is>
      </c>
    </row>
    <row r="46">
      <c r="A46" t="inlineStr">
        <is>
          <t>d_invested</t>
        </is>
      </c>
      <c r="B46" t="n">
        <v>100000000</v>
      </c>
      <c r="C46" t="inlineStr">
        <is>
          <t>D invested</t>
        </is>
      </c>
    </row>
    <row r="47">
      <c r="A47" t="inlineStr">
        <is>
          <t>e_invested</t>
        </is>
      </c>
      <c r="B47" t="n">
        <v>300000000</v>
      </c>
      <c r="C47" t="inlineStr">
        <is>
          <t>E invested</t>
        </is>
      </c>
    </row>
    <row r="48">
      <c r="A48" t="inlineStr">
        <is>
          <t>d_original_ocp</t>
        </is>
      </c>
      <c r="B48" t="n">
        <v>60</v>
      </c>
      <c r="C48" t="inlineStr">
        <is>
          <t>D original PPS (for ratio reporting)</t>
        </is>
      </c>
    </row>
    <row r="49">
      <c r="A49" t="inlineStr">
        <is>
          <t>sens_esop_low</t>
        </is>
      </c>
      <c r="B49" t="n">
        <v>0.11</v>
      </c>
      <c r="C49" t="inlineStr">
        <is>
          <t>Sens ESOP low</t>
        </is>
      </c>
    </row>
    <row r="50">
      <c r="A50" t="inlineStr">
        <is>
          <t>sens_esop_base</t>
        </is>
      </c>
      <c r="B50" t="n">
        <v>0.13</v>
      </c>
      <c r="C50" t="inlineStr">
        <is>
          <t>Sens ESOP base</t>
        </is>
      </c>
    </row>
    <row r="51">
      <c r="A51" t="inlineStr">
        <is>
          <t>sens_esop_high</t>
        </is>
      </c>
      <c r="B51" t="n">
        <v>0.15</v>
      </c>
      <c r="C51" t="inlineStr">
        <is>
          <t>Sens ESOP high</t>
        </is>
      </c>
    </row>
    <row r="52">
      <c r="A52" t="inlineStr">
        <is>
          <t>sens_pre_low</t>
        </is>
      </c>
      <c r="B52" t="n">
        <v>1200000000</v>
      </c>
      <c r="C52" t="inlineStr">
        <is>
          <t>Sens pre-money low</t>
        </is>
      </c>
    </row>
    <row r="53">
      <c r="A53" t="inlineStr">
        <is>
          <t>sens_pre_base</t>
        </is>
      </c>
      <c r="B53" t="n">
        <v>1400000000</v>
      </c>
      <c r="C53" t="inlineStr">
        <is>
          <t>Sens pre-money base</t>
        </is>
      </c>
    </row>
    <row r="54">
      <c r="A54" t="inlineStr">
        <is>
          <t>sens_pre_high</t>
        </is>
      </c>
      <c r="B54" t="n">
        <v>1800000000</v>
      </c>
      <c r="C54" t="inlineStr">
        <is>
          <t>Sens pre-money high</t>
        </is>
      </c>
    </row>
    <row r="55">
      <c r="A55" t="inlineStr">
        <is>
          <t>return_3x</t>
        </is>
      </c>
      <c r="B55" t="n">
        <v>3</v>
      </c>
      <c r="C55" t="inlineStr">
        <is>
          <t>Return 3x</t>
        </is>
      </c>
    </row>
    <row r="56">
      <c r="A56" t="inlineStr">
        <is>
          <t>return_4x</t>
        </is>
      </c>
      <c r="B56" t="n">
        <v>4</v>
      </c>
      <c r="C56" t="inlineStr">
        <is>
          <t>Return 4x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ROUND-LEVEL FIXED POINT</t>
        </is>
      </c>
    </row>
    <row r="2">
      <c r="A2" t="inlineStr">
        <is>
          <t>F pre-money</t>
        </is>
      </c>
      <c r="B2">
        <f>Assumptions!$B$2</f>
        <v/>
      </c>
    </row>
    <row r="3">
      <c r="A3" t="inlineStr">
        <is>
          <t>F primary</t>
        </is>
      </c>
      <c r="B3">
        <f>Assumptions!$B$3</f>
        <v/>
      </c>
    </row>
    <row r="4">
      <c r="A4" t="inlineStr">
        <is>
          <t>Pre-F FD total</t>
        </is>
      </c>
      <c r="B4">
        <f>Assumptions!$B$13</f>
        <v/>
      </c>
    </row>
    <row r="5">
      <c r="A5" t="inlineStr">
        <is>
          <t>Pre-F pool total</t>
        </is>
      </c>
      <c r="B5">
        <f>Assumptions!$B$12</f>
        <v/>
      </c>
    </row>
    <row r="6">
      <c r="A6" t="inlineStr">
        <is>
          <t>ESOP target</t>
        </is>
      </c>
      <c r="B6">
        <f>Assumptions!$B$6</f>
        <v/>
      </c>
    </row>
    <row r="7">
      <c r="A7" t="inlineStr">
        <is>
          <t>OCP_E</t>
        </is>
      </c>
      <c r="B7">
        <f>Assumptions!$B$25</f>
        <v/>
      </c>
    </row>
    <row r="8">
      <c r="A8" t="inlineStr">
        <is>
          <t>OCP_D (post-E NCP)</t>
        </is>
      </c>
      <c r="B8">
        <f>Assumptions!$B$24</f>
        <v/>
      </c>
    </row>
    <row r="9">
      <c r="A9" t="inlineStr">
        <is>
          <t>Broad-based basis A</t>
        </is>
      </c>
      <c r="B9">
        <f>Assumptions!$B$14</f>
        <v/>
      </c>
    </row>
    <row r="10">
      <c r="A10" t="inlineStr">
        <is>
          <t>F PPS</t>
        </is>
      </c>
      <c r="B10">
        <f>IFERROR('Pro-Forma'!$B$2/'Pro-Forma'!$B$22,'Pro-Forma'!$B$2/'Pro-Forma'!$B$4)</f>
        <v/>
      </c>
    </row>
    <row r="11">
      <c r="A11" t="inlineStr">
        <is>
          <t>F primary shares</t>
        </is>
      </c>
      <c r="B11">
        <f>'Pro-Forma'!$B$3/'Pro-Forma'!$B$10</f>
        <v/>
      </c>
    </row>
    <row r="12">
      <c r="A12" t="inlineStr">
        <is>
          <t>B_E</t>
        </is>
      </c>
      <c r="B12">
        <f>'Pro-Forma'!$B$3/'Pro-Forma'!$B$7</f>
        <v/>
      </c>
    </row>
    <row r="13">
      <c r="A13" t="inlineStr">
        <is>
          <t>C = primary / F_PPS</t>
        </is>
      </c>
      <c r="B13">
        <f>'Pro-Forma'!$B$3/'Pro-Forma'!$B$10</f>
        <v/>
      </c>
    </row>
    <row r="14">
      <c r="A14" t="inlineStr">
        <is>
          <t>NCP_E</t>
        </is>
      </c>
      <c r="B14">
        <f>IF('Pro-Forma'!$B$10&lt;'Pro-Forma'!$B$7,'Pro-Forma'!$B$7*('Pro-Forma'!$B$9+'Pro-Forma'!$B$12)/('Pro-Forma'!$B$9+'Pro-Forma'!$B$13),'Pro-Forma'!$B$7)</f>
        <v/>
      </c>
    </row>
    <row r="15">
      <c r="A15" t="inlineStr">
        <is>
          <t>E as-conv shares</t>
        </is>
      </c>
      <c r="B15">
        <f>Assumptions!$B$47/'Pro-Forma'!$B$14</f>
        <v/>
      </c>
    </row>
    <row r="16">
      <c r="A16" t="inlineStr">
        <is>
          <t>E AD addtl shares</t>
        </is>
      </c>
      <c r="B16">
        <f>'Pro-Forma'!$B$15-Assumptions!$B$41</f>
        <v/>
      </c>
    </row>
    <row r="17">
      <c r="A17" t="inlineStr">
        <is>
          <t>B_D</t>
        </is>
      </c>
      <c r="B17">
        <f>'Pro-Forma'!$B$3/'Pro-Forma'!$B$8</f>
        <v/>
      </c>
    </row>
    <row r="18">
      <c r="A18" t="inlineStr">
        <is>
          <t>NCP_D</t>
        </is>
      </c>
      <c r="B18">
        <f>IF('Pro-Forma'!$B$10&lt;'Pro-Forma'!$B$8,'Pro-Forma'!$B$8*('Pro-Forma'!$B$9+'Pro-Forma'!$B$17)/('Pro-Forma'!$B$9+'Pro-Forma'!$B$13),'Pro-Forma'!$B$8)</f>
        <v/>
      </c>
    </row>
    <row r="19">
      <c r="A19" t="inlineStr">
        <is>
          <t>D as-conv shares</t>
        </is>
      </c>
      <c r="B19">
        <f>Assumptions!$B$46/'Pro-Forma'!$B$18</f>
        <v/>
      </c>
    </row>
    <row r="20">
      <c r="A20" t="inlineStr">
        <is>
          <t>D AD addtl shares</t>
        </is>
      </c>
      <c r="B20">
        <f>'Pro-Forma'!$B$19-Assumptions!$B$40</f>
        <v/>
      </c>
    </row>
    <row r="21">
      <c r="A21" t="inlineStr">
        <is>
          <t>ESOP top-up</t>
        </is>
      </c>
      <c r="B21">
        <f>MAX(0,'Pro-Forma'!$B$6*'Pro-Forma'!$B$23-'Pro-Forma'!$B$5)</f>
        <v/>
      </c>
    </row>
    <row r="22">
      <c r="A22" t="inlineStr">
        <is>
          <t>T_premoney</t>
        </is>
      </c>
      <c r="B22">
        <f>'Pro-Forma'!$B$4+'Pro-Forma'!$B$16+'Pro-Forma'!$B$20+'Pro-Forma'!$B$21+'Pro-Forma'!$B$32+'Pro-Forma'!$B$39</f>
        <v/>
      </c>
    </row>
    <row r="23">
      <c r="A23" t="inlineStr">
        <is>
          <t>T_F</t>
        </is>
      </c>
      <c r="B23">
        <f>'Pro-Forma'!$B$22+'Pro-Forma'!$B$11</f>
        <v/>
      </c>
    </row>
    <row r="25">
      <c r="A25" s="2" t="inlineStr">
        <is>
          <t>NOTES BLOCK</t>
        </is>
      </c>
    </row>
    <row r="26">
      <c r="A26" t="inlineStr">
        <is>
          <t>Note A cap-implied PPS</t>
        </is>
      </c>
      <c r="B26">
        <f>Assumptions!$B$27/('Pro-Forma'!$B$4+'Pro-Forma'!$B$16+'Pro-Forma'!$B$20+'Pro-Forma'!$B$21+'Pro-Forma'!$B$39)</f>
        <v/>
      </c>
    </row>
    <row r="27">
      <c r="A27" t="inlineStr">
        <is>
          <t>Note A discount-impl PPS</t>
        </is>
      </c>
      <c r="B27">
        <f>'Pro-Forma'!$B$10*(1-Assumptions!$B$28)</f>
        <v/>
      </c>
    </row>
    <row r="28">
      <c r="A28" t="inlineStr">
        <is>
          <t>Note A conv PPS = min</t>
        </is>
      </c>
      <c r="B28">
        <f>MIN('Pro-Forma'!$B$26,'Pro-Forma'!$B$27)</f>
        <v/>
      </c>
    </row>
    <row r="29">
      <c r="A29" t="inlineStr">
        <is>
          <t>Note A branch</t>
        </is>
      </c>
      <c r="B29">
        <f>IF('Pro-Forma'!$B$26&lt;'Pro-Forma'!$B$27,"cap","discount")</f>
        <v/>
      </c>
    </row>
    <row r="30">
      <c r="A30" t="inlineStr">
        <is>
          <t>Note A shares if cap</t>
        </is>
      </c>
      <c r="B30">
        <f>Assumptions!$B$26/'Pro-Forma'!$B$26</f>
        <v/>
      </c>
    </row>
    <row r="31">
      <c r="A31" t="inlineStr">
        <is>
          <t>Note A shares if discount</t>
        </is>
      </c>
      <c r="B31">
        <f>Assumptions!$B$26/'Pro-Forma'!$B$27</f>
        <v/>
      </c>
    </row>
    <row r="32">
      <c r="A32" t="inlineStr">
        <is>
          <t>Note A shares issued</t>
        </is>
      </c>
      <c r="B32">
        <f>IF('Pro-Forma'!$B$26&lt;'Pro-Forma'!$B$27,'Pro-Forma'!$B$30,'Pro-Forma'!$B$31)</f>
        <v/>
      </c>
    </row>
    <row r="33">
      <c r="A33" t="inlineStr">
        <is>
          <t>Note B cap-implied PPS</t>
        </is>
      </c>
      <c r="B33">
        <f>Assumptions!$B$30/('Pro-Forma'!$B$4+'Pro-Forma'!$B$16+'Pro-Forma'!$B$20+'Pro-Forma'!$B$21+'Pro-Forma'!$B$32)</f>
        <v/>
      </c>
    </row>
    <row r="34">
      <c r="A34" t="inlineStr">
        <is>
          <t>Note B discount-impl PPS</t>
        </is>
      </c>
      <c r="B34">
        <f>'Pro-Forma'!$B$10*(1-Assumptions!$B$31)</f>
        <v/>
      </c>
    </row>
    <row r="35">
      <c r="A35" t="inlineStr">
        <is>
          <t>Note B conv PPS = min</t>
        </is>
      </c>
      <c r="B35">
        <f>MIN('Pro-Forma'!$B$33,'Pro-Forma'!$B$34)</f>
        <v/>
      </c>
    </row>
    <row r="36">
      <c r="A36" t="inlineStr">
        <is>
          <t>Note B branch</t>
        </is>
      </c>
      <c r="B36">
        <f>IF('Pro-Forma'!$B$33&lt;'Pro-Forma'!$B$34,"cap","discount")</f>
        <v/>
      </c>
    </row>
    <row r="37">
      <c r="A37" t="inlineStr">
        <is>
          <t>Note B shares if cap</t>
        </is>
      </c>
      <c r="B37">
        <f>Assumptions!$B$29/'Pro-Forma'!$B$33</f>
        <v/>
      </c>
    </row>
    <row r="38">
      <c r="A38" t="inlineStr">
        <is>
          <t>Note B shares if discount</t>
        </is>
      </c>
      <c r="B38">
        <f>Assumptions!$B$29/'Pro-Forma'!$B$34</f>
        <v/>
      </c>
    </row>
    <row r="39">
      <c r="A39" t="inlineStr">
        <is>
          <t>Note B shares issued</t>
        </is>
      </c>
      <c r="B39">
        <f>IF('Pro-Forma'!$B$33&lt;'Pro-Forma'!$B$34,'Pro-Forma'!$B$37,'Pro-Forma'!$B$38)</f>
        <v/>
      </c>
    </row>
    <row r="41">
      <c r="A41" t="inlineStr">
        <is>
          <t>Tender shares = $15M/(0.85*F_PPS)</t>
        </is>
      </c>
      <c r="B41">
        <f>Assumptions!$B$4/(Assumptions!$B$5*'Pro-Forma'!$B$10)</f>
        <v/>
      </c>
    </row>
    <row r="42">
      <c r="A42" t="inlineStr">
        <is>
          <t>F_LEAD primary preferred shares</t>
        </is>
      </c>
      <c r="B42">
        <f>Assumptions!$B$8/'Pro-Forma'!$B$10</f>
        <v/>
      </c>
    </row>
    <row r="43">
      <c r="A43" t="inlineStr">
        <is>
          <t>F_LEAD secondary common shares</t>
        </is>
      </c>
      <c r="B43">
        <f>'Pro-Forma'!$B$41</f>
        <v/>
      </c>
    </row>
    <row r="44">
      <c r="A44" t="inlineStr">
        <is>
          <t>Our F primary shares</t>
        </is>
      </c>
      <c r="B44">
        <f>Assumptions!$B$7/'Pro-Forma'!$B$10</f>
        <v/>
      </c>
    </row>
    <row r="45">
      <c r="A45" s="2" t="inlineStr">
        <is>
          <t>TENDER BLOCK</t>
        </is>
      </c>
    </row>
    <row r="46">
      <c r="A46" t="inlineStr">
        <is>
          <t>Tender shares total</t>
        </is>
      </c>
      <c r="B46">
        <f>'Pro-Forma'!$B$41</f>
        <v/>
      </c>
    </row>
    <row r="47">
      <c r="A47" t="inlineStr">
        <is>
          <t>F1 transfer (pro-rata)</t>
        </is>
      </c>
      <c r="B47">
        <f>Assumptions!$B$32/(Assumptions!$B$32+Assumptions!$B$33+Assumptions!$B$34)*'Pro-Forma'!$B$41</f>
        <v/>
      </c>
    </row>
    <row r="48">
      <c r="A48" t="inlineStr">
        <is>
          <t>F2 transfer (pro-rata)</t>
        </is>
      </c>
      <c r="B48">
        <f>Assumptions!$B$33/(Assumptions!$B$32+Assumptions!$B$33+Assumptions!$B$34)*'Pro-Forma'!$B$41</f>
        <v/>
      </c>
      <c r="C48" t="inlineStr">
        <is>
          <t>F3 transfer (pro-rata)</t>
        </is>
      </c>
      <c r="D48">
        <f>Assumptions!$B$34/(Assumptions!$B$32+Assumptions!$B$33+Assumptions!$B$34)*'Pro-Forma'!$B$41</f>
        <v/>
      </c>
    </row>
    <row r="49">
      <c r="A49" s="2" t="inlineStr">
        <is>
          <t>ANTI-DILUTION BLOCK</t>
        </is>
      </c>
    </row>
    <row r="50">
      <c r="A50" s="3" t="inlineStr">
        <is>
          <t>Class</t>
        </is>
      </c>
      <c r="B50" s="3" t="inlineStr">
        <is>
          <t>OCP</t>
        </is>
      </c>
      <c r="C50" s="3" t="inlineStr">
        <is>
          <t>F_PPS&lt;OCP trigger</t>
        </is>
      </c>
      <c r="D50" s="3" t="inlineStr">
        <is>
          <t>NCP (post-F)</t>
        </is>
      </c>
      <c r="E50" s="3" t="inlineStr">
        <is>
          <t>Reported new ratio</t>
        </is>
      </c>
      <c r="F50" s="3" t="inlineStr">
        <is>
          <t>As-converted shares (post-F)</t>
        </is>
      </c>
    </row>
    <row r="51">
      <c r="A51" t="inlineStr">
        <is>
          <t>Seed</t>
        </is>
      </c>
      <c r="B51">
        <f>Assumptions!$B$20</f>
        <v/>
      </c>
      <c r="C51">
        <f>IF(Assumptions!$B$20&gt;'Pro-Forma'!$B$10,"trigger","dormant")</f>
        <v/>
      </c>
      <c r="D51">
        <f>Assumptions!$B$20</f>
        <v/>
      </c>
      <c r="E51">
        <f>Assumptions!$B$20/Assumptions!$B$20</f>
        <v/>
      </c>
      <c r="F51">
        <f>Assumptions!$B$36</f>
        <v/>
      </c>
    </row>
    <row r="52">
      <c r="A52" t="inlineStr">
        <is>
          <t>A</t>
        </is>
      </c>
      <c r="B52">
        <f>Assumptions!$B$21</f>
        <v/>
      </c>
      <c r="C52">
        <f>IF(Assumptions!$B$21&gt;'Pro-Forma'!$B$10,"trigger","dormant")</f>
        <v/>
      </c>
      <c r="D52">
        <f>Assumptions!$B$21</f>
        <v/>
      </c>
      <c r="E52">
        <f>Assumptions!$B$21/Assumptions!$B$21</f>
        <v/>
      </c>
      <c r="F52">
        <f>Assumptions!$B$37</f>
        <v/>
      </c>
    </row>
    <row r="53">
      <c r="A53" t="inlineStr">
        <is>
          <t>B</t>
        </is>
      </c>
      <c r="B53">
        <f>Assumptions!$B$22</f>
        <v/>
      </c>
      <c r="C53">
        <f>IF(Assumptions!$B$22&gt;'Pro-Forma'!$B$10,"trigger","dormant")</f>
        <v/>
      </c>
      <c r="D53">
        <f>Assumptions!$B$22</f>
        <v/>
      </c>
      <c r="E53">
        <f>Assumptions!$B$22/Assumptions!$B$22</f>
        <v/>
      </c>
      <c r="F53">
        <f>Assumptions!$B$38</f>
        <v/>
      </c>
    </row>
    <row r="54">
      <c r="A54" t="inlineStr">
        <is>
          <t>C</t>
        </is>
      </c>
      <c r="B54">
        <f>Assumptions!$B$23</f>
        <v/>
      </c>
      <c r="C54">
        <f>IF(Assumptions!$B$23&gt;'Pro-Forma'!$B$10,"trigger","dormant")</f>
        <v/>
      </c>
      <c r="D54">
        <f>Assumptions!$B$23</f>
        <v/>
      </c>
      <c r="E54">
        <f>Assumptions!$B$23/Assumptions!$B$23</f>
        <v/>
      </c>
      <c r="F54">
        <f>Assumptions!$B$39</f>
        <v/>
      </c>
    </row>
    <row r="55">
      <c r="A55" t="inlineStr">
        <is>
          <t>D</t>
        </is>
      </c>
      <c r="B55">
        <f>Assumptions!$B$24</f>
        <v/>
      </c>
      <c r="C55">
        <f>IF(Assumptions!$B$24&gt;'Pro-Forma'!$B$10,"trigger","dormant")</f>
        <v/>
      </c>
      <c r="D55">
        <f>'Pro-Forma'!$B$18</f>
        <v/>
      </c>
      <c r="E55">
        <f>Assumptions!$B$48/'Pro-Forma'!$B$18</f>
        <v/>
      </c>
      <c r="F55">
        <f>'Pro-Forma'!$B$19</f>
        <v/>
      </c>
    </row>
    <row r="56">
      <c r="A56" t="inlineStr">
        <is>
          <t>E</t>
        </is>
      </c>
      <c r="B56">
        <f>Assumptions!$B$25</f>
        <v/>
      </c>
      <c r="C56">
        <f>IF(Assumptions!$B$25&gt;'Pro-Forma'!$B$10,"trigger","dormant")</f>
        <v/>
      </c>
      <c r="D56">
        <f>'Pro-Forma'!$B$14</f>
        <v/>
      </c>
      <c r="E56">
        <f>Assumptions!$B$25/'Pro-Forma'!$B$14</f>
        <v/>
      </c>
      <c r="F56">
        <f>'Pro-Forma'!$B$15</f>
        <v/>
      </c>
    </row>
    <row r="59">
      <c r="A59" s="2" t="inlineStr">
        <is>
          <t>POST-F CAP TABLE BY STAKEHOLDER</t>
        </is>
      </c>
    </row>
    <row r="60">
      <c r="A60" s="3" t="inlineStr">
        <is>
          <t>Stakeholder</t>
        </is>
      </c>
      <c r="B60" s="3" t="inlineStr">
        <is>
          <t>Common</t>
        </is>
      </c>
      <c r="C60" s="3" t="inlineStr">
        <is>
          <t>RSAs</t>
        </is>
      </c>
      <c r="D60" s="3" t="inlineStr">
        <is>
          <t>Issued Options</t>
        </is>
      </c>
      <c r="E60" s="3" t="inlineStr">
        <is>
          <t>Seed</t>
        </is>
      </c>
      <c r="F60" s="3" t="inlineStr">
        <is>
          <t>A</t>
        </is>
      </c>
      <c r="G60" s="3" t="inlineStr">
        <is>
          <t>B</t>
        </is>
      </c>
      <c r="H60" s="3" t="inlineStr">
        <is>
          <t>C</t>
        </is>
      </c>
      <c r="I60" s="3" t="inlineStr">
        <is>
          <t>D</t>
        </is>
      </c>
      <c r="J60" s="3" t="inlineStr">
        <is>
          <t>E</t>
        </is>
      </c>
      <c r="K60" s="3" t="inlineStr">
        <is>
          <t>F</t>
        </is>
      </c>
      <c r="L60" s="3" t="inlineStr">
        <is>
          <t>Notes</t>
        </is>
      </c>
      <c r="M60" s="3" t="inlineStr">
        <is>
          <t>Total FD shares</t>
        </is>
      </c>
      <c r="N60" s="3" t="inlineStr">
        <is>
          <t>Ownership %</t>
        </is>
      </c>
    </row>
    <row r="61">
      <c r="A61" t="inlineStr">
        <is>
          <t>F1 (CEO)</t>
        </is>
      </c>
      <c r="B61">
        <f>Assumptions!$B$32-Assumptions!$B$32/(Assumptions!$B$32+Assumptions!$B$33+Assumptions!$B$34)*'Pro-Forma'!$B$41</f>
        <v/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>
        <f>SUM(B61:L61)</f>
        <v/>
      </c>
      <c r="N61" s="4">
        <f>M61/'Pro-Forma'!$B$23</f>
        <v/>
      </c>
    </row>
    <row r="62">
      <c r="A62" t="inlineStr">
        <is>
          <t>F2 (CTO)</t>
        </is>
      </c>
      <c r="B62">
        <f>Assumptions!$B$33-Assumptions!$B$33/(Assumptions!$B$32+Assumptions!$B$33+Assumptions!$B$34)*'Pro-Forma'!$B$41</f>
        <v/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>
        <f>SUM(B62:L62)</f>
        <v/>
      </c>
      <c r="N62" s="4">
        <f>M62/'Pro-Forma'!$B$23</f>
        <v/>
      </c>
    </row>
    <row r="63">
      <c r="A63" t="inlineStr">
        <is>
          <t>F3 (Chief Sci)</t>
        </is>
      </c>
      <c r="B63">
        <f>Assumptions!$B$34-Assumptions!$B$34/(Assumptions!$B$32+Assumptions!$B$33+Assumptions!$B$34)*'Pro-Forma'!$B$41</f>
        <v/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>
        <f>SUM(B63:L63)</f>
        <v/>
      </c>
      <c r="N63" s="4">
        <f>M63/'Pro-Forma'!$B$23</f>
        <v/>
      </c>
    </row>
    <row r="64">
      <c r="A64" t="inlineStr">
        <is>
          <t>Employee RSAs (E1-E10)</t>
        </is>
      </c>
      <c r="B64" t="n">
        <v>0</v>
      </c>
      <c r="C64">
        <f>Assumptions!$B$35</f>
        <v/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>
        <f>SUM(B64:L64)</f>
        <v/>
      </c>
      <c r="N64" s="4">
        <f>M64/'Pro-Forma'!$B$23</f>
        <v/>
      </c>
    </row>
    <row r="65">
      <c r="A65" t="inlineStr">
        <is>
          <t>SEED1</t>
        </is>
      </c>
      <c r="B65" t="n">
        <v>0</v>
      </c>
      <c r="C65" t="n">
        <v>0</v>
      </c>
      <c r="D65" t="n">
        <v>0</v>
      </c>
      <c r="E65">
        <f>Assumptions!$B$36</f>
        <v/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>
        <f>SUM(B65:L65)</f>
        <v/>
      </c>
      <c r="N65" s="4">
        <f>M65/'Pro-Forma'!$B$23</f>
        <v/>
      </c>
    </row>
    <row r="66">
      <c r="A66" t="inlineStr">
        <is>
          <t>A1</t>
        </is>
      </c>
      <c r="B66" t="n">
        <v>0</v>
      </c>
      <c r="C66" t="n">
        <v>0</v>
      </c>
      <c r="D66" t="n">
        <v>0</v>
      </c>
      <c r="E66" t="n">
        <v>0</v>
      </c>
      <c r="F66">
        <f>Assumptions!$B$37</f>
        <v/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>
        <f>SUM(B66:L66)</f>
        <v/>
      </c>
      <c r="N66" s="4">
        <f>M66/'Pro-Forma'!$B$23</f>
        <v/>
      </c>
    </row>
    <row r="67">
      <c r="A67" t="inlineStr">
        <is>
          <t>B1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>
        <f>Assumptions!$B$38</f>
        <v/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>
        <f>SUM(B67:L67)</f>
        <v/>
      </c>
      <c r="N67" s="4">
        <f>M67/'Pro-Forma'!$B$23</f>
        <v/>
      </c>
    </row>
    <row r="68">
      <c r="A68" t="inlineStr">
        <is>
          <t>C1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>
        <f>Assumptions!$B$39</f>
        <v/>
      </c>
      <c r="I68" t="n">
        <v>0</v>
      </c>
      <c r="J68" t="n">
        <v>0</v>
      </c>
      <c r="K68" t="n">
        <v>0</v>
      </c>
      <c r="L68" t="n">
        <v>0</v>
      </c>
      <c r="M68">
        <f>SUM(B68:L68)</f>
        <v/>
      </c>
      <c r="N68" s="4">
        <f>M68/'Pro-Forma'!$B$23</f>
        <v/>
      </c>
    </row>
    <row r="69">
      <c r="A69" t="inlineStr">
        <is>
          <t>D1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>
        <f>'Pro-Forma'!$B$19</f>
        <v/>
      </c>
      <c r="J69" t="n">
        <v>0</v>
      </c>
      <c r="K69" t="n">
        <v>0</v>
      </c>
      <c r="L69" t="n">
        <v>0</v>
      </c>
      <c r="M69">
        <f>SUM(B69:L69)</f>
        <v/>
      </c>
      <c r="N69" s="4">
        <f>M69/'Pro-Forma'!$B$23</f>
        <v/>
      </c>
    </row>
    <row r="70">
      <c r="A70" t="inlineStr">
        <is>
          <t>Series E investors (E1-E10_INV)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>
        <f>'Pro-Forma'!$B$15</f>
        <v/>
      </c>
      <c r="K70" t="n">
        <v>0</v>
      </c>
      <c r="L70" t="n">
        <v>0</v>
      </c>
      <c r="M70">
        <f>SUM(B70:L70)</f>
        <v/>
      </c>
      <c r="N70" s="4">
        <f>M70/'Pro-Forma'!$B$23</f>
        <v/>
      </c>
    </row>
    <row r="71">
      <c r="A71" t="inlineStr">
        <is>
          <t>Note A holder (NA1)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>
        <f>'Pro-Forma'!$B$32</f>
        <v/>
      </c>
      <c r="M71">
        <f>SUM(B71:L71)</f>
        <v/>
      </c>
      <c r="N71" s="4">
        <f>M71/'Pro-Forma'!$B$23</f>
        <v/>
      </c>
    </row>
    <row r="72">
      <c r="A72" t="inlineStr">
        <is>
          <t>Note B holder (NB1)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>
        <f>'Pro-Forma'!$B$39</f>
        <v/>
      </c>
      <c r="M72">
        <f>SUM(B72:L72)</f>
        <v/>
      </c>
      <c r="N72" s="4">
        <f>M72/'Pro-Forma'!$B$23</f>
        <v/>
      </c>
    </row>
    <row r="73">
      <c r="A73" t="inlineStr">
        <is>
          <t>F_LEAD</t>
        </is>
      </c>
      <c r="B73">
        <f>'Pro-Forma'!$B$43</f>
        <v/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>
        <f>'Pro-Forma'!$B$42</f>
        <v/>
      </c>
      <c r="L73" t="n">
        <v>0</v>
      </c>
      <c r="M73">
        <f>SUM(B73:L73)</f>
        <v/>
      </c>
      <c r="N73" s="4">
        <f>M73/'Pro-Forma'!$B$23</f>
        <v/>
      </c>
    </row>
    <row r="74">
      <c r="A74" t="inlineStr">
        <is>
          <t>F_FUND (our $10M)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>
        <f>'Pro-Forma'!$B$44</f>
        <v/>
      </c>
      <c r="L74" t="n">
        <v>0</v>
      </c>
      <c r="M74">
        <f>SUM(B74:L74)</f>
        <v/>
      </c>
      <c r="N74" s="4">
        <f>M74/'Pro-Forma'!$B$23</f>
        <v/>
      </c>
    </row>
    <row r="75">
      <c r="A75" t="inlineStr">
        <is>
          <t>Issued Option Pool</t>
        </is>
      </c>
      <c r="B75" t="n">
        <v>0</v>
      </c>
      <c r="C75" t="n">
        <v>0</v>
      </c>
      <c r="D75">
        <f>Assumptions!$B$10</f>
        <v/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>
        <f>SUM(B75:L75)</f>
        <v/>
      </c>
      <c r="N75" s="4">
        <f>M75/'Pro-Forma'!$B$23</f>
        <v/>
      </c>
    </row>
    <row r="76">
      <c r="A76" t="inlineStr">
        <is>
          <t>Unissued Option Pool</t>
        </is>
      </c>
      <c r="B76" t="n">
        <v>0</v>
      </c>
      <c r="C76" t="n">
        <v>0</v>
      </c>
      <c r="D76">
        <f>Assumptions!$B$11+'Pro-Forma'!$B$21</f>
        <v/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>
        <f>SUM(B76:L76)</f>
        <v/>
      </c>
      <c r="N76" s="4">
        <f>M76/'Pro-Forma'!$B$23</f>
        <v/>
      </c>
    </row>
    <row r="77">
      <c r="A77" s="3" t="inlineStr">
        <is>
          <t>TOTAL</t>
        </is>
      </c>
      <c r="B77">
        <f>SUM(B61:B76)</f>
        <v/>
      </c>
      <c r="C77">
        <f>SUM(C61:C76)</f>
        <v/>
      </c>
      <c r="D77">
        <f>SUM(D61:D76)</f>
        <v/>
      </c>
      <c r="E77">
        <f>SUM(E61:E76)</f>
        <v/>
      </c>
      <c r="F77">
        <f>SUM(F61:F76)</f>
        <v/>
      </c>
      <c r="G77">
        <f>SUM(G61:G76)</f>
        <v/>
      </c>
      <c r="H77">
        <f>SUM(H61:H76)</f>
        <v/>
      </c>
      <c r="I77">
        <f>SUM(I61:I76)</f>
        <v/>
      </c>
      <c r="J77">
        <f>SUM(J61:J76)</f>
        <v/>
      </c>
      <c r="K77">
        <f>SUM(K61:K76)</f>
        <v/>
      </c>
      <c r="L77">
        <f>SUM(L61:L76)</f>
        <v/>
      </c>
      <c r="M77">
        <f>SUM(M61:M76)</f>
        <v/>
      </c>
      <c r="N77" s="4">
        <f>SUM(N61:N76)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WATERFALL — 5 Exit Scenarios</t>
        </is>
      </c>
    </row>
    <row r="2">
      <c r="A2" t="inlineStr">
        <is>
          <t>Exit value (USD)</t>
        </is>
      </c>
      <c r="C2" s="5">
        <f>Assumptions!$B$15</f>
        <v/>
      </c>
      <c r="D2" s="5">
        <f>Assumptions!$B$16</f>
        <v/>
      </c>
      <c r="E2" s="5">
        <f>Assumptions!$B$17</f>
        <v/>
      </c>
      <c r="F2" s="5">
        <f>Assumptions!$B$18</f>
        <v/>
      </c>
      <c r="G2" s="5">
        <f>Assumptions!$B$19</f>
        <v/>
      </c>
    </row>
    <row r="4">
      <c r="A4" s="2" t="inlineStr">
        <is>
          <t>INPUTS (post-F cap table)</t>
        </is>
      </c>
    </row>
    <row r="5">
      <c r="A5" t="inlineStr">
        <is>
          <t>F preferred shares total</t>
        </is>
      </c>
      <c r="B5">
        <f>'Pro-Forma'!$B$11</f>
        <v/>
      </c>
    </row>
    <row r="6">
      <c r="A6" t="inlineStr">
        <is>
          <t>E as-converted shares</t>
        </is>
      </c>
      <c r="B6">
        <f>'Pro-Forma'!$B$15</f>
        <v/>
      </c>
    </row>
    <row r="7">
      <c r="A7" t="inlineStr">
        <is>
          <t>D as-converted shares</t>
        </is>
      </c>
      <c r="B7">
        <f>'Pro-Forma'!$B$19</f>
        <v/>
      </c>
    </row>
    <row r="8">
      <c r="A8" t="inlineStr">
        <is>
          <t>C shares</t>
        </is>
      </c>
      <c r="B8">
        <f>Assumptions!$B$39</f>
        <v/>
      </c>
    </row>
    <row r="9">
      <c r="A9" t="inlineStr">
        <is>
          <t>B shares</t>
        </is>
      </c>
      <c r="B9">
        <f>Assumptions!$B$38</f>
        <v/>
      </c>
    </row>
    <row r="10">
      <c r="A10" t="inlineStr">
        <is>
          <t>A shares</t>
        </is>
      </c>
      <c r="B10">
        <f>Assumptions!$B$37</f>
        <v/>
      </c>
    </row>
    <row r="11">
      <c r="A11" t="inlineStr">
        <is>
          <t>Seed shares</t>
        </is>
      </c>
      <c r="B11">
        <f>Assumptions!$B$36</f>
        <v/>
      </c>
    </row>
    <row r="12">
      <c r="A12" t="inlineStr">
        <is>
          <t>Common + RSAs (founders+RSAs)</t>
        </is>
      </c>
      <c r="B12">
        <f>Assumptions!$B$32+Assumptions!$B$33+Assumptions!$B$34+Assumptions!$B$35</f>
        <v/>
      </c>
    </row>
    <row r="13">
      <c r="A13" t="inlineStr">
        <is>
          <t>Issued options (pre-F)</t>
        </is>
      </c>
      <c r="B13">
        <f>Assumptions!$B$10</f>
        <v/>
      </c>
    </row>
    <row r="14">
      <c r="A14" t="inlineStr">
        <is>
          <t>Notes shares (NA+NB)</t>
        </is>
      </c>
      <c r="B14">
        <f>'Pro-Forma'!$B$32+'Pro-Forma'!$B$39</f>
        <v/>
      </c>
    </row>
    <row r="15">
      <c r="A15" s="3" t="inlineStr">
        <is>
          <t>NCPs (post-F per-share):</t>
        </is>
      </c>
    </row>
    <row r="16">
      <c r="A16" t="inlineStr">
        <is>
          <t>F NCP = F_PPS</t>
        </is>
      </c>
      <c r="B16">
        <f>'Pro-Forma'!$B$10</f>
        <v/>
      </c>
    </row>
    <row r="17">
      <c r="A17" t="inlineStr">
        <is>
          <t>E NCP (post-F)</t>
        </is>
      </c>
      <c r="B17">
        <f>'Pro-Forma'!$B$14</f>
        <v/>
      </c>
    </row>
    <row r="18">
      <c r="A18" t="inlineStr">
        <is>
          <t>D NCP (post-F)</t>
        </is>
      </c>
      <c r="B18">
        <f>'Pro-Forma'!$B$18</f>
        <v/>
      </c>
    </row>
    <row r="19">
      <c r="A19" t="inlineStr">
        <is>
          <t>C NCP</t>
        </is>
      </c>
      <c r="B19">
        <f>Assumptions!$B$23</f>
        <v/>
      </c>
    </row>
    <row r="20">
      <c r="A20" t="inlineStr">
        <is>
          <t>B NCP</t>
        </is>
      </c>
      <c r="B20">
        <f>Assumptions!$B$22</f>
        <v/>
      </c>
    </row>
    <row r="21">
      <c r="A21" t="inlineStr">
        <is>
          <t>A NCP</t>
        </is>
      </c>
      <c r="B21">
        <f>Assumptions!$B$21</f>
        <v/>
      </c>
    </row>
    <row r="22">
      <c r="A22" t="inlineStr">
        <is>
          <t>Seed NCP</t>
        </is>
      </c>
      <c r="B22">
        <f>Assumptions!$B$20</f>
        <v/>
      </c>
    </row>
    <row r="23">
      <c r="A23" s="3" t="inlineStr">
        <is>
          <t>Aggregate preferences ($):</t>
        </is>
      </c>
    </row>
    <row r="24">
      <c r="A24" t="inlineStr">
        <is>
          <t>F preference</t>
        </is>
      </c>
      <c r="B24">
        <f>Assumptions!$B$3</f>
        <v/>
      </c>
    </row>
    <row r="25">
      <c r="A25" t="inlineStr">
        <is>
          <t>E preference</t>
        </is>
      </c>
      <c r="B25">
        <f>Assumptions!$B$47</f>
        <v/>
      </c>
    </row>
    <row r="26">
      <c r="A26" t="inlineStr">
        <is>
          <t>D preference</t>
        </is>
      </c>
      <c r="B26">
        <f>Assumptions!$B$46</f>
        <v/>
      </c>
    </row>
    <row r="27">
      <c r="A27" t="inlineStr">
        <is>
          <t>C preference</t>
        </is>
      </c>
      <c r="B27">
        <f>Assumptions!$B$45</f>
        <v/>
      </c>
    </row>
    <row r="28">
      <c r="A28" t="inlineStr">
        <is>
          <t>B preference</t>
        </is>
      </c>
      <c r="B28">
        <f>Assumptions!$B$44</f>
        <v/>
      </c>
    </row>
    <row r="29">
      <c r="A29" t="inlineStr">
        <is>
          <t>A preference</t>
        </is>
      </c>
      <c r="B29">
        <f>Assumptions!$B$43</f>
        <v/>
      </c>
    </row>
    <row r="30">
      <c r="A30" t="inlineStr">
        <is>
          <t>Seed preference</t>
        </is>
      </c>
      <c r="B30">
        <f>Assumptions!$B$42</f>
        <v/>
      </c>
    </row>
    <row r="31">
      <c r="A31" t="inlineStr">
        <is>
          <t>Option strike</t>
        </is>
      </c>
      <c r="B31">
        <f>Assumptions!$B$9</f>
        <v/>
      </c>
    </row>
    <row r="33">
      <c r="A33" s="2" t="inlineStr">
        <is>
          <t>PER-EXIT COMPUTATIONS</t>
        </is>
      </c>
    </row>
    <row r="35">
      <c r="A35" t="inlineStr">
        <is>
          <t>common PPS (convert pool $)</t>
        </is>
      </c>
      <c r="C35" s="6">
        <f>IFERROR(C57/C55, 0)</f>
        <v/>
      </c>
      <c r="D35" s="6">
        <f>IFERROR(D57/D55, 0)</f>
        <v/>
      </c>
      <c r="E35" s="6">
        <f>IFERROR(E57/E55, 0)</f>
        <v/>
      </c>
      <c r="F35" s="6">
        <f>IFERROR(F57/F55, 0)</f>
        <v/>
      </c>
      <c r="G35" s="6">
        <f>IFERROR(G57/G55, 0)</f>
        <v/>
      </c>
    </row>
    <row r="36">
      <c r="A36" t="inlineStr">
        <is>
          <t>Election F</t>
        </is>
      </c>
      <c r="C36">
        <f>IF($B$16&lt;C35,"convert","preference")</f>
        <v/>
      </c>
      <c r="D36">
        <f>IF($B$16&lt;D35,"convert","preference")</f>
        <v/>
      </c>
      <c r="E36">
        <f>IF($B$16&lt;E35,"convert","preference")</f>
        <v/>
      </c>
      <c r="F36">
        <f>IF($B$16&lt;F35,"convert","preference")</f>
        <v/>
      </c>
      <c r="G36">
        <f>IF($B$16&lt;G35,"convert","preference")</f>
        <v/>
      </c>
    </row>
    <row r="37">
      <c r="A37" t="inlineStr">
        <is>
          <t>Election E</t>
        </is>
      </c>
      <c r="C37">
        <f>IF($B$17&lt;C35,"convert","preference")</f>
        <v/>
      </c>
      <c r="D37">
        <f>IF($B$17&lt;D35,"convert","preference")</f>
        <v/>
      </c>
      <c r="E37">
        <f>IF($B$17&lt;E35,"convert","preference")</f>
        <v/>
      </c>
      <c r="F37">
        <f>IF($B$17&lt;F35,"convert","preference")</f>
        <v/>
      </c>
      <c r="G37">
        <f>IF($B$17&lt;G35,"convert","preference")</f>
        <v/>
      </c>
    </row>
    <row r="38">
      <c r="A38" t="inlineStr">
        <is>
          <t>Election D</t>
        </is>
      </c>
      <c r="C38">
        <f>IF($B$18&lt;C35,"convert","preference")</f>
        <v/>
      </c>
      <c r="D38">
        <f>IF($B$18&lt;D35,"convert","preference")</f>
        <v/>
      </c>
      <c r="E38">
        <f>IF($B$18&lt;E35,"convert","preference")</f>
        <v/>
      </c>
      <c r="F38">
        <f>IF($B$18&lt;F35,"convert","preference")</f>
        <v/>
      </c>
      <c r="G38">
        <f>IF($B$18&lt;G35,"convert","preference")</f>
        <v/>
      </c>
    </row>
    <row r="39">
      <c r="A39" t="inlineStr">
        <is>
          <t>Election C</t>
        </is>
      </c>
      <c r="C39">
        <f>IF($B$19&lt;C35,"convert","preference")</f>
        <v/>
      </c>
      <c r="D39">
        <f>IF($B$19&lt;D35,"convert","preference")</f>
        <v/>
      </c>
      <c r="E39">
        <f>IF($B$19&lt;E35,"convert","preference")</f>
        <v/>
      </c>
      <c r="F39">
        <f>IF($B$19&lt;F35,"convert","preference")</f>
        <v/>
      </c>
      <c r="G39">
        <f>IF($B$19&lt;G35,"convert","preference")</f>
        <v/>
      </c>
    </row>
    <row r="40">
      <c r="A40" t="inlineStr">
        <is>
          <t>Election B</t>
        </is>
      </c>
      <c r="C40">
        <f>IF($B$20&lt;C35,"convert","preference")</f>
        <v/>
      </c>
      <c r="D40">
        <f>IF($B$20&lt;D35,"convert","preference")</f>
        <v/>
      </c>
      <c r="E40">
        <f>IF($B$20&lt;E35,"convert","preference")</f>
        <v/>
      </c>
      <c r="F40">
        <f>IF($B$20&lt;F35,"convert","preference")</f>
        <v/>
      </c>
      <c r="G40">
        <f>IF($B$20&lt;G35,"convert","preference")</f>
        <v/>
      </c>
    </row>
    <row r="41">
      <c r="A41" t="inlineStr">
        <is>
          <t>Election A</t>
        </is>
      </c>
      <c r="C41">
        <f>IF($B$21&lt;C35,"convert","preference")</f>
        <v/>
      </c>
      <c r="D41">
        <f>IF($B$21&lt;D35,"convert","preference")</f>
        <v/>
      </c>
      <c r="E41">
        <f>IF($B$21&lt;E35,"convert","preference")</f>
        <v/>
      </c>
      <c r="F41">
        <f>IF($B$21&lt;F35,"convert","preference")</f>
        <v/>
      </c>
      <c r="G41">
        <f>IF($B$21&lt;G35,"convert","preference")</f>
        <v/>
      </c>
    </row>
    <row r="42">
      <c r="A42" t="inlineStr">
        <is>
          <t>Election Seed</t>
        </is>
      </c>
      <c r="C42">
        <f>IF($B$22&lt;C35,"convert","preference")</f>
        <v/>
      </c>
      <c r="D42">
        <f>IF($B$22&lt;D35,"convert","preference")</f>
        <v/>
      </c>
      <c r="E42">
        <f>IF($B$22&lt;E35,"convert","preference")</f>
        <v/>
      </c>
      <c r="F42">
        <f>IF($B$22&lt;F35,"convert","preference")</f>
        <v/>
      </c>
      <c r="G42">
        <f>IF($B$22&lt;G35,"convert","preference")</f>
        <v/>
      </c>
    </row>
    <row r="44">
      <c r="A44" t="inlineStr">
        <is>
          <t>F convert shares</t>
        </is>
      </c>
      <c r="C44">
        <f>IF(C36="convert",$B$5,0)</f>
        <v/>
      </c>
      <c r="D44">
        <f>IF(D36="convert",$B$5,0)</f>
        <v/>
      </c>
      <c r="E44">
        <f>IF(E36="convert",$B$5,0)</f>
        <v/>
      </c>
      <c r="F44">
        <f>IF(F36="convert",$B$5,0)</f>
        <v/>
      </c>
      <c r="G44">
        <f>IF(G36="convert",$B$5,0)</f>
        <v/>
      </c>
    </row>
    <row r="45">
      <c r="A45" t="inlineStr">
        <is>
          <t>E convert shares</t>
        </is>
      </c>
      <c r="C45">
        <f>IF(C37="convert",$B$6,0)</f>
        <v/>
      </c>
      <c r="D45">
        <f>IF(D37="convert",$B$6,0)</f>
        <v/>
      </c>
      <c r="E45">
        <f>IF(E37="convert",$B$6,0)</f>
        <v/>
      </c>
      <c r="F45">
        <f>IF(F37="convert",$B$6,0)</f>
        <v/>
      </c>
      <c r="G45">
        <f>IF(G37="convert",$B$6,0)</f>
        <v/>
      </c>
    </row>
    <row r="46">
      <c r="A46" t="inlineStr">
        <is>
          <t>D convert shares</t>
        </is>
      </c>
      <c r="C46">
        <f>IF(C38="convert",$B$7,0)</f>
        <v/>
      </c>
      <c r="D46">
        <f>IF(D38="convert",$B$7,0)</f>
        <v/>
      </c>
      <c r="E46">
        <f>IF(E38="convert",$B$7,0)</f>
        <v/>
      </c>
      <c r="F46">
        <f>IF(F38="convert",$B$7,0)</f>
        <v/>
      </c>
      <c r="G46">
        <f>IF(G38="convert",$B$7,0)</f>
        <v/>
      </c>
    </row>
    <row r="47">
      <c r="A47" t="inlineStr">
        <is>
          <t>C convert shares</t>
        </is>
      </c>
      <c r="C47">
        <f>IF(C39="convert",$B$8,0)</f>
        <v/>
      </c>
      <c r="D47">
        <f>IF(D39="convert",$B$8,0)</f>
        <v/>
      </c>
      <c r="E47">
        <f>IF(E39="convert",$B$8,0)</f>
        <v/>
      </c>
      <c r="F47">
        <f>IF(F39="convert",$B$8,0)</f>
        <v/>
      </c>
      <c r="G47">
        <f>IF(G39="convert",$B$8,0)</f>
        <v/>
      </c>
    </row>
    <row r="48">
      <c r="A48" t="inlineStr">
        <is>
          <t>B convert shares</t>
        </is>
      </c>
      <c r="C48">
        <f>IF(C40="convert",$B$9,0)</f>
        <v/>
      </c>
      <c r="D48">
        <f>IF(D40="convert",$B$9,0)</f>
        <v/>
      </c>
      <c r="E48">
        <f>IF(E40="convert",$B$9,0)</f>
        <v/>
      </c>
      <c r="F48">
        <f>IF(F40="convert",$B$9,0)</f>
        <v/>
      </c>
      <c r="G48">
        <f>IF(G40="convert",$B$9,0)</f>
        <v/>
      </c>
    </row>
    <row r="49">
      <c r="A49" t="inlineStr">
        <is>
          <t>A convert shares</t>
        </is>
      </c>
      <c r="C49">
        <f>IF(C41="convert",$B$10,0)</f>
        <v/>
      </c>
      <c r="D49">
        <f>IF(D41="convert",$B$10,0)</f>
        <v/>
      </c>
      <c r="E49">
        <f>IF(E41="convert",$B$10,0)</f>
        <v/>
      </c>
      <c r="F49">
        <f>IF(F41="convert",$B$10,0)</f>
        <v/>
      </c>
      <c r="G49">
        <f>IF(G41="convert",$B$10,0)</f>
        <v/>
      </c>
    </row>
    <row r="50">
      <c r="A50" t="inlineStr">
        <is>
          <t>Seed convert shares</t>
        </is>
      </c>
      <c r="C50">
        <f>IF(C42="convert",$B$11,0)</f>
        <v/>
      </c>
      <c r="D50">
        <f>IF(D42="convert",$B$11,0)</f>
        <v/>
      </c>
      <c r="E50">
        <f>IF(E42="convert",$B$11,0)</f>
        <v/>
      </c>
      <c r="F50">
        <f>IF(F42="convert",$B$11,0)</f>
        <v/>
      </c>
      <c r="G50">
        <f>IF(G42="convert",$B$11,0)</f>
        <v/>
      </c>
    </row>
    <row r="52">
      <c r="A52" t="inlineStr">
        <is>
          <t>Sum converting pref shares</t>
        </is>
      </c>
      <c r="C52">
        <f>SUM(C44:C50)</f>
        <v/>
      </c>
      <c r="D52">
        <f>SUM(D44:D50)</f>
        <v/>
      </c>
      <c r="E52">
        <f>SUM(E44:E50)</f>
        <v/>
      </c>
      <c r="F52">
        <f>SUM(F44:F50)</f>
        <v/>
      </c>
      <c r="G52">
        <f>SUM(G44:G50)</f>
        <v/>
      </c>
    </row>
    <row r="53">
      <c r="A53" t="inlineStr">
        <is>
          <t>ITM options indicator (1/0)</t>
        </is>
      </c>
      <c r="C53">
        <f>IF(C35&gt;$B$31,1,0)</f>
        <v/>
      </c>
      <c r="D53">
        <f>IF(D35&gt;$B$31,1,0)</f>
        <v/>
      </c>
      <c r="E53">
        <f>IF(E35&gt;$B$31,1,0)</f>
        <v/>
      </c>
      <c r="F53">
        <f>IF(F35&gt;$B$31,1,0)</f>
        <v/>
      </c>
      <c r="G53">
        <f>IF(G35&gt;$B$31,1,0)</f>
        <v/>
      </c>
    </row>
    <row r="54">
      <c r="A54" t="inlineStr">
        <is>
          <t>ITM option shares</t>
        </is>
      </c>
      <c r="C54">
        <f>C53*$B$13</f>
        <v/>
      </c>
      <c r="D54">
        <f>D53*$B$13</f>
        <v/>
      </c>
      <c r="E54">
        <f>E53*$B$13</f>
        <v/>
      </c>
      <c r="F54">
        <f>F53*$B$13</f>
        <v/>
      </c>
      <c r="G54">
        <f>G53*$B$13</f>
        <v/>
      </c>
    </row>
    <row r="55">
      <c r="A55" t="inlineStr">
        <is>
          <t>Convert-pool shares total</t>
        </is>
      </c>
      <c r="C55">
        <f>$B$12+$B$14+C54+C52</f>
        <v/>
      </c>
      <c r="D55">
        <f>$B$12+$B$14+D54+D52</f>
        <v/>
      </c>
      <c r="E55">
        <f>$B$12+$B$14+E54+E52</f>
        <v/>
      </c>
      <c r="F55">
        <f>$B$12+$B$14+F54+F52</f>
        <v/>
      </c>
      <c r="G55">
        <f>$B$12+$B$14+G54+G52</f>
        <v/>
      </c>
    </row>
    <row r="56">
      <c r="A56" t="inlineStr">
        <is>
          <t>Prefs taken ($)</t>
        </is>
      </c>
      <c r="C56" s="7">
        <f>IF(C36="preference",$B$24,0)+IF(C37="preference",$B$25,0)+IF(C38="preference",$B$26,0)+IF(C39="preference",$B$27,0)+IF(C40="preference",$B$28,0)+IF(C41="preference",$B$29,0)+IF(C42="preference",$B$30,0)</f>
        <v/>
      </c>
      <c r="D56" s="7">
        <f>IF(D36="preference",$B$24,0)+IF(D37="preference",$B$25,0)+IF(D38="preference",$B$26,0)+IF(D39="preference",$B$27,0)+IF(D40="preference",$B$28,0)+IF(D41="preference",$B$29,0)+IF(D42="preference",$B$30,0)</f>
        <v/>
      </c>
      <c r="E56" s="7">
        <f>IF(E36="preference",$B$24,0)+IF(E37="preference",$B$25,0)+IF(E38="preference",$B$26,0)+IF(E39="preference",$B$27,0)+IF(E40="preference",$B$28,0)+IF(E41="preference",$B$29,0)+IF(E42="preference",$B$30,0)</f>
        <v/>
      </c>
      <c r="F56" s="7">
        <f>IF(F36="preference",$B$24,0)+IF(F37="preference",$B$25,0)+IF(F38="preference",$B$26,0)+IF(F39="preference",$B$27,0)+IF(F40="preference",$B$28,0)+IF(F41="preference",$B$29,0)+IF(F42="preference",$B$30,0)</f>
        <v/>
      </c>
      <c r="G56" s="7">
        <f>IF(G36="preference",$B$24,0)+IF(G37="preference",$B$25,0)+IF(G38="preference",$B$26,0)+IF(G39="preference",$B$27,0)+IF(G40="preference",$B$28,0)+IF(G41="preference",$B$29,0)+IF(G42="preference",$B$30,0)</f>
        <v/>
      </c>
    </row>
    <row r="57">
      <c r="A57" t="inlineStr">
        <is>
          <t>Residual ($) = exit - prefs + strike*ITM_opts</t>
        </is>
      </c>
      <c r="C57" s="7">
        <f>C2-C56+C54*$B$31</f>
        <v/>
      </c>
      <c r="D57" s="7">
        <f>D2-D56+D54*$B$31</f>
        <v/>
      </c>
      <c r="E57" s="7">
        <f>E2-E56+E54*$B$31</f>
        <v/>
      </c>
      <c r="F57" s="7">
        <f>F2-F56+F54*$B$31</f>
        <v/>
      </c>
      <c r="G57" s="7">
        <f>G2-G56+G54*$B$31</f>
        <v/>
      </c>
    </row>
    <row r="59">
      <c r="A59" s="2" t="inlineStr">
        <is>
          <t>PROCEEDS</t>
        </is>
      </c>
    </row>
    <row r="60">
      <c r="A60" t="inlineStr">
        <is>
          <t>F proceeds</t>
        </is>
      </c>
      <c r="C60" s="7">
        <f>IF(C36="convert",$B$5*C35,$B$24)</f>
        <v/>
      </c>
      <c r="D60" s="7">
        <f>IF(D36="convert",$B$5*D35,$B$24)</f>
        <v/>
      </c>
      <c r="E60" s="7">
        <f>IF(E36="convert",$B$5*E35,$B$24)</f>
        <v/>
      </c>
      <c r="F60" s="7">
        <f>IF(F36="convert",$B$5*F35,$B$24)</f>
        <v/>
      </c>
      <c r="G60" s="7">
        <f>IF(G36="convert",$B$5*G35,$B$24)</f>
        <v/>
      </c>
    </row>
    <row r="61">
      <c r="A61" t="inlineStr">
        <is>
          <t>E proceeds</t>
        </is>
      </c>
      <c r="C61" s="7">
        <f>IF(C37="convert",$B$6*C35,$B$25)</f>
        <v/>
      </c>
      <c r="D61" s="7">
        <f>IF(D37="convert",$B$6*D35,$B$25)</f>
        <v/>
      </c>
      <c r="E61" s="7">
        <f>IF(E37="convert",$B$6*E35,$B$25)</f>
        <v/>
      </c>
      <c r="F61" s="7">
        <f>IF(F37="convert",$B$6*F35,$B$25)</f>
        <v/>
      </c>
      <c r="G61" s="7">
        <f>IF(G37="convert",$B$6*G35,$B$25)</f>
        <v/>
      </c>
    </row>
    <row r="62">
      <c r="A62" t="inlineStr">
        <is>
          <t>D proceeds</t>
        </is>
      </c>
      <c r="C62" s="7">
        <f>IF(C38="convert",$B$7*C35,$B$26)</f>
        <v/>
      </c>
      <c r="D62" s="7">
        <f>IF(D38="convert",$B$7*D35,$B$26)</f>
        <v/>
      </c>
      <c r="E62" s="7">
        <f>IF(E38="convert",$B$7*E35,$B$26)</f>
        <v/>
      </c>
      <c r="F62" s="7">
        <f>IF(F38="convert",$B$7*F35,$B$26)</f>
        <v/>
      </c>
      <c r="G62" s="7">
        <f>IF(G38="convert",$B$7*G35,$B$26)</f>
        <v/>
      </c>
    </row>
    <row r="63">
      <c r="A63" t="inlineStr">
        <is>
          <t>C proceeds</t>
        </is>
      </c>
      <c r="C63" s="7">
        <f>IF(C39="convert",$B$8*C35,$B$27)</f>
        <v/>
      </c>
      <c r="D63" s="7">
        <f>IF(D39="convert",$B$8*D35,$B$27)</f>
        <v/>
      </c>
      <c r="E63" s="7">
        <f>IF(E39="convert",$B$8*E35,$B$27)</f>
        <v/>
      </c>
      <c r="F63" s="7">
        <f>IF(F39="convert",$B$8*F35,$B$27)</f>
        <v/>
      </c>
      <c r="G63" s="7">
        <f>IF(G39="convert",$B$8*G35,$B$27)</f>
        <v/>
      </c>
    </row>
    <row r="64">
      <c r="A64" t="inlineStr">
        <is>
          <t>B proceeds</t>
        </is>
      </c>
      <c r="C64" s="7">
        <f>IF(C40="convert",$B$9*C35,$B$28)</f>
        <v/>
      </c>
      <c r="D64" s="7">
        <f>IF(D40="convert",$B$9*D35,$B$28)</f>
        <v/>
      </c>
      <c r="E64" s="7">
        <f>IF(E40="convert",$B$9*E35,$B$28)</f>
        <v/>
      </c>
      <c r="F64" s="7">
        <f>IF(F40="convert",$B$9*F35,$B$28)</f>
        <v/>
      </c>
      <c r="G64" s="7">
        <f>IF(G40="convert",$B$9*G35,$B$28)</f>
        <v/>
      </c>
    </row>
    <row r="65">
      <c r="A65" t="inlineStr">
        <is>
          <t>A proceeds</t>
        </is>
      </c>
      <c r="C65" s="7">
        <f>IF(C41="convert",$B$10*C35,$B$29)</f>
        <v/>
      </c>
      <c r="D65" s="7">
        <f>IF(D41="convert",$B$10*D35,$B$29)</f>
        <v/>
      </c>
      <c r="E65" s="7">
        <f>IF(E41="convert",$B$10*E35,$B$29)</f>
        <v/>
      </c>
      <c r="F65" s="7">
        <f>IF(F41="convert",$B$10*F35,$B$29)</f>
        <v/>
      </c>
      <c r="G65" s="7">
        <f>IF(G41="convert",$B$10*G35,$B$29)</f>
        <v/>
      </c>
    </row>
    <row r="66">
      <c r="A66" t="inlineStr">
        <is>
          <t>Seed proceeds</t>
        </is>
      </c>
      <c r="C66" s="7">
        <f>IF(C42="convert",$B$11*C35,$B$30)</f>
        <v/>
      </c>
      <c r="D66" s="7">
        <f>IF(D42="convert",$B$11*D35,$B$30)</f>
        <v/>
      </c>
      <c r="E66" s="7">
        <f>IF(E42="convert",$B$11*E35,$B$30)</f>
        <v/>
      </c>
      <c r="F66" s="7">
        <f>IF(F42="convert",$B$11*F35,$B$30)</f>
        <v/>
      </c>
      <c r="G66" s="7">
        <f>IF(G42="convert",$B$11*G35,$B$30)</f>
        <v/>
      </c>
    </row>
    <row r="67">
      <c r="A67" t="inlineStr">
        <is>
          <t>Notes proceeds (NA+NB)</t>
        </is>
      </c>
      <c r="C67" s="7">
        <f>$B$14*C35</f>
        <v/>
      </c>
      <c r="D67" s="7">
        <f>$B$14*D35</f>
        <v/>
      </c>
      <c r="E67" s="7">
        <f>$B$14*E35</f>
        <v/>
      </c>
      <c r="F67" s="7">
        <f>$B$14*F35</f>
        <v/>
      </c>
      <c r="G67" s="7">
        <f>$B$14*G35</f>
        <v/>
      </c>
    </row>
    <row r="68">
      <c r="A68" t="inlineStr">
        <is>
          <t>Common+RSAs proceeds</t>
        </is>
      </c>
      <c r="C68" s="7">
        <f>$B$12*C35</f>
        <v/>
      </c>
      <c r="D68" s="7">
        <f>$B$12*D35</f>
        <v/>
      </c>
      <c r="E68" s="7">
        <f>$B$12*E35</f>
        <v/>
      </c>
      <c r="F68" s="7">
        <f>$B$12*F35</f>
        <v/>
      </c>
      <c r="G68" s="7">
        <f>$B$12*G35</f>
        <v/>
      </c>
    </row>
    <row r="69">
      <c r="A69" t="inlineStr">
        <is>
          <t>Options proceeds (net)</t>
        </is>
      </c>
      <c r="C69" s="7">
        <f>C54*MAX(C35-$B$31,0)</f>
        <v/>
      </c>
      <c r="D69" s="7">
        <f>D54*MAX(D35-$B$31,0)</f>
        <v/>
      </c>
      <c r="E69" s="7">
        <f>E54*MAX(E35-$B$31,0)</f>
        <v/>
      </c>
      <c r="F69" s="7">
        <f>F54*MAX(F35-$B$31,0)</f>
        <v/>
      </c>
      <c r="G69" s="7">
        <f>G54*MAX(G35-$B$31,0)</f>
        <v/>
      </c>
    </row>
    <row r="70">
      <c r="A70" s="3" t="inlineStr">
        <is>
          <t>TOTAL (reconciliation)</t>
        </is>
      </c>
      <c r="C70" s="7">
        <f>SUM(C60:C69)</f>
        <v/>
      </c>
      <c r="D70" s="7">
        <f>SUM(D60:D69)</f>
        <v/>
      </c>
      <c r="E70" s="7">
        <f>SUM(E60:E69)</f>
        <v/>
      </c>
      <c r="F70" s="7">
        <f>SUM(F60:F69)</f>
        <v/>
      </c>
      <c r="G70" s="7">
        <f>SUM(G60:G69)</f>
        <v/>
      </c>
    </row>
    <row r="71">
      <c r="A71" t="inlineStr">
        <is>
          <t>Δ to exit (should be 0)</t>
        </is>
      </c>
      <c r="C71" s="7">
        <f>C70-C2</f>
        <v/>
      </c>
      <c r="D71" s="7">
        <f>D70-D2</f>
        <v/>
      </c>
      <c r="E71" s="7">
        <f>E70-E2</f>
        <v/>
      </c>
      <c r="F71" s="7">
        <f>F70-F2</f>
        <v/>
      </c>
      <c r="G71" s="7">
        <f>G70-G2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SENSITIVITY: ESOP × Pre-money @ $2B exit</t>
        </is>
      </c>
    </row>
    <row r="3">
      <c r="A3" s="3" t="inlineStr">
        <is>
          <t>Our $10M post-F ownership %</t>
        </is>
      </c>
    </row>
    <row r="4">
      <c r="B4" s="3" t="inlineStr">
        <is>
          <t>Pre $1.2B</t>
        </is>
      </c>
      <c r="C4" s="3" t="inlineStr">
        <is>
          <t>Pre $1.4B</t>
        </is>
      </c>
      <c r="D4" s="3" t="inlineStr">
        <is>
          <t>Pre $1.8B</t>
        </is>
      </c>
    </row>
    <row r="5">
      <c r="A5" t="inlineStr">
        <is>
          <t>ESOP 11%</t>
        </is>
      </c>
      <c r="B5" s="4">
        <f>C45</f>
        <v/>
      </c>
      <c r="C5" s="4">
        <f>D45</f>
        <v/>
      </c>
      <c r="D5" s="4">
        <f>E45</f>
        <v/>
      </c>
    </row>
    <row r="6">
      <c r="A6" t="inlineStr">
        <is>
          <t>ESOP 13%</t>
        </is>
      </c>
      <c r="B6" s="4">
        <f>F45</f>
        <v/>
      </c>
      <c r="C6" s="4">
        <f>G45</f>
        <v/>
      </c>
      <c r="D6" s="4">
        <f>H45</f>
        <v/>
      </c>
    </row>
    <row r="7">
      <c r="A7" t="inlineStr">
        <is>
          <t>ESOP 15%</t>
        </is>
      </c>
      <c r="B7" s="4">
        <f>I45</f>
        <v/>
      </c>
      <c r="C7" s="4">
        <f>J45</f>
        <v/>
      </c>
      <c r="D7" s="4">
        <f>K45</f>
        <v/>
      </c>
    </row>
    <row r="9">
      <c r="A9" s="3" t="inlineStr">
        <is>
          <t>Our $ proceeds @ $2B exit</t>
        </is>
      </c>
    </row>
    <row r="10">
      <c r="B10" s="3" t="inlineStr">
        <is>
          <t>Pre $1.2B</t>
        </is>
      </c>
      <c r="C10" s="3" t="inlineStr">
        <is>
          <t>Pre $1.4B</t>
        </is>
      </c>
      <c r="D10" s="3" t="inlineStr">
        <is>
          <t>Pre $1.8B</t>
        </is>
      </c>
    </row>
    <row r="11">
      <c r="A11" t="inlineStr">
        <is>
          <t>ESOP 11%</t>
        </is>
      </c>
      <c r="B11" s="7">
        <f>C79</f>
        <v/>
      </c>
      <c r="C11" s="7">
        <f>D79</f>
        <v/>
      </c>
      <c r="D11" s="7">
        <f>E79</f>
        <v/>
      </c>
    </row>
    <row r="12">
      <c r="A12" t="inlineStr">
        <is>
          <t>ESOP 13%</t>
        </is>
      </c>
      <c r="B12" s="7">
        <f>F79</f>
        <v/>
      </c>
      <c r="C12" s="7">
        <f>G79</f>
        <v/>
      </c>
      <c r="D12" s="7">
        <f>H79</f>
        <v/>
      </c>
    </row>
    <row r="13">
      <c r="A13" t="inlineStr">
        <is>
          <t>ESOP 15%</t>
        </is>
      </c>
      <c r="B13" s="7">
        <f>I79</f>
        <v/>
      </c>
      <c r="C13" s="7">
        <f>J79</f>
        <v/>
      </c>
      <c r="D13" s="7">
        <f>K79</f>
        <v/>
      </c>
    </row>
    <row r="20">
      <c r="A20" s="2" t="inlineStr">
        <is>
          <t>HELPER BLOCKS (per scenario)</t>
        </is>
      </c>
      <c r="C20" s="3" t="inlineStr">
        <is>
          <t>11%/$1.2B</t>
        </is>
      </c>
      <c r="D20" s="3" t="inlineStr">
        <is>
          <t>11%/$1.4B</t>
        </is>
      </c>
      <c r="E20" s="3" t="inlineStr">
        <is>
          <t>11%/$1.8B</t>
        </is>
      </c>
      <c r="F20" s="3" t="inlineStr">
        <is>
          <t>13%/$1.2B</t>
        </is>
      </c>
      <c r="G20" s="3" t="inlineStr">
        <is>
          <t>13%/$1.4B</t>
        </is>
      </c>
      <c r="H20" s="3" t="inlineStr">
        <is>
          <t>13%/$1.8B</t>
        </is>
      </c>
      <c r="I20" s="3" t="inlineStr">
        <is>
          <t>15%/$1.2B</t>
        </is>
      </c>
      <c r="J20" s="3" t="inlineStr">
        <is>
          <t>15%/$1.4B</t>
        </is>
      </c>
      <c r="K20" s="3" t="inlineStr">
        <is>
          <t>15%/$1.8B</t>
        </is>
      </c>
    </row>
    <row r="21">
      <c r="A21" t="inlineStr">
        <is>
          <t>ESOP target</t>
        </is>
      </c>
      <c r="C21">
        <f>Assumptions!$B$49</f>
        <v/>
      </c>
      <c r="D21">
        <f>Assumptions!$B$49</f>
        <v/>
      </c>
      <c r="E21">
        <f>Assumptions!$B$49</f>
        <v/>
      </c>
      <c r="F21">
        <f>Assumptions!$B$50</f>
        <v/>
      </c>
      <c r="G21">
        <f>Assumptions!$B$50</f>
        <v/>
      </c>
      <c r="H21">
        <f>Assumptions!$B$50</f>
        <v/>
      </c>
      <c r="I21">
        <f>Assumptions!$B$51</f>
        <v/>
      </c>
      <c r="J21">
        <f>Assumptions!$B$51</f>
        <v/>
      </c>
      <c r="K21">
        <f>Assumptions!$B$51</f>
        <v/>
      </c>
    </row>
    <row r="22">
      <c r="A22" t="inlineStr">
        <is>
          <t>Pre-money</t>
        </is>
      </c>
      <c r="C22">
        <f>Assumptions!$B$52</f>
        <v/>
      </c>
      <c r="D22">
        <f>Assumptions!$B$53</f>
        <v/>
      </c>
      <c r="E22">
        <f>Assumptions!$B$54</f>
        <v/>
      </c>
      <c r="F22">
        <f>Assumptions!$B$52</f>
        <v/>
      </c>
      <c r="G22">
        <f>Assumptions!$B$53</f>
        <v/>
      </c>
      <c r="H22">
        <f>Assumptions!$B$54</f>
        <v/>
      </c>
      <c r="I22">
        <f>Assumptions!$B$52</f>
        <v/>
      </c>
      <c r="J22">
        <f>Assumptions!$B$53</f>
        <v/>
      </c>
      <c r="K22">
        <f>Assumptions!$B$54</f>
        <v/>
      </c>
    </row>
    <row r="23">
      <c r="A23" t="inlineStr">
        <is>
          <t>Primary</t>
        </is>
      </c>
      <c r="C23">
        <f>Assumptions!$B$3</f>
        <v/>
      </c>
      <c r="D23">
        <f>Assumptions!$B$3</f>
        <v/>
      </c>
      <c r="E23">
        <f>Assumptions!$B$3</f>
        <v/>
      </c>
      <c r="F23">
        <f>Assumptions!$B$3</f>
        <v/>
      </c>
      <c r="G23">
        <f>Assumptions!$B$3</f>
        <v/>
      </c>
      <c r="H23">
        <f>Assumptions!$B$3</f>
        <v/>
      </c>
      <c r="I23">
        <f>Assumptions!$B$3</f>
        <v/>
      </c>
      <c r="J23">
        <f>Assumptions!$B$3</f>
        <v/>
      </c>
      <c r="K23">
        <f>Assumptions!$B$3</f>
        <v/>
      </c>
    </row>
    <row r="24">
      <c r="A24" t="inlineStr">
        <is>
          <t>F_PPS</t>
        </is>
      </c>
      <c r="C24">
        <f>IFERROR(C22/C42,C22/Assumptions!$B$13)</f>
        <v/>
      </c>
      <c r="D24">
        <f>IFERROR(D22/D42,D22/Assumptions!$B$13)</f>
        <v/>
      </c>
      <c r="E24">
        <f>IFERROR(E22/E42,E22/Assumptions!$B$13)</f>
        <v/>
      </c>
      <c r="F24">
        <f>IFERROR(F22/F42,F22/Assumptions!$B$13)</f>
        <v/>
      </c>
      <c r="G24">
        <f>IFERROR(G22/G42,G22/Assumptions!$B$13)</f>
        <v/>
      </c>
      <c r="H24">
        <f>IFERROR(H22/H42,H22/Assumptions!$B$13)</f>
        <v/>
      </c>
      <c r="I24">
        <f>IFERROR(I22/I42,I22/Assumptions!$B$13)</f>
        <v/>
      </c>
      <c r="J24">
        <f>IFERROR(J22/J42,J22/Assumptions!$B$13)</f>
        <v/>
      </c>
      <c r="K24">
        <f>IFERROR(K22/K42,K22/Assumptions!$B$13)</f>
        <v/>
      </c>
    </row>
    <row r="25">
      <c r="A25" t="inlineStr">
        <is>
          <t>F primary shares</t>
        </is>
      </c>
      <c r="C25">
        <f>C23/C24</f>
        <v/>
      </c>
      <c r="D25">
        <f>D23/D24</f>
        <v/>
      </c>
      <c r="E25">
        <f>E23/E24</f>
        <v/>
      </c>
      <c r="F25">
        <f>F23/F24</f>
        <v/>
      </c>
      <c r="G25">
        <f>G23/G24</f>
        <v/>
      </c>
      <c r="H25">
        <f>H23/H24</f>
        <v/>
      </c>
      <c r="I25">
        <f>I23/I24</f>
        <v/>
      </c>
      <c r="J25">
        <f>J23/J24</f>
        <v/>
      </c>
      <c r="K25">
        <f>K23/K24</f>
        <v/>
      </c>
    </row>
    <row r="26">
      <c r="A26" t="inlineStr">
        <is>
          <t>B_E</t>
        </is>
      </c>
      <c r="C26">
        <f>C23/Assumptions!$B$25</f>
        <v/>
      </c>
      <c r="D26">
        <f>D23/Assumptions!$B$25</f>
        <v/>
      </c>
      <c r="E26">
        <f>E23/Assumptions!$B$25</f>
        <v/>
      </c>
      <c r="F26">
        <f>F23/Assumptions!$B$25</f>
        <v/>
      </c>
      <c r="G26">
        <f>G23/Assumptions!$B$25</f>
        <v/>
      </c>
      <c r="H26">
        <f>H23/Assumptions!$B$25</f>
        <v/>
      </c>
      <c r="I26">
        <f>I23/Assumptions!$B$25</f>
        <v/>
      </c>
      <c r="J26">
        <f>J23/Assumptions!$B$25</f>
        <v/>
      </c>
      <c r="K26">
        <f>K23/Assumptions!$B$25</f>
        <v/>
      </c>
    </row>
    <row r="27">
      <c r="A27" t="inlineStr">
        <is>
          <t>C = primary/F_PPS</t>
        </is>
      </c>
      <c r="C27">
        <f>C23/C24</f>
        <v/>
      </c>
      <c r="D27">
        <f>D23/D24</f>
        <v/>
      </c>
      <c r="E27">
        <f>E23/E24</f>
        <v/>
      </c>
      <c r="F27">
        <f>F23/F24</f>
        <v/>
      </c>
      <c r="G27">
        <f>G23/G24</f>
        <v/>
      </c>
      <c r="H27">
        <f>H23/H24</f>
        <v/>
      </c>
      <c r="I27">
        <f>I23/I24</f>
        <v/>
      </c>
      <c r="J27">
        <f>J23/J24</f>
        <v/>
      </c>
      <c r="K27">
        <f>K23/K24</f>
        <v/>
      </c>
    </row>
    <row r="28">
      <c r="A28" t="inlineStr">
        <is>
          <t>NCP_E</t>
        </is>
      </c>
      <c r="C28">
        <f>IF(C24&lt;Assumptions!$B$25,Assumptions!$B$25*(Assumptions!$B$14+C26)/(Assumptions!$B$14+C27),Assumptions!$B$25)</f>
        <v/>
      </c>
      <c r="D28">
        <f>IF(D24&lt;Assumptions!$B$25,Assumptions!$B$25*(Assumptions!$B$14+D26)/(Assumptions!$B$14+D27),Assumptions!$B$25)</f>
        <v/>
      </c>
      <c r="E28">
        <f>IF(E24&lt;Assumptions!$B$25,Assumptions!$B$25*(Assumptions!$B$14+E26)/(Assumptions!$B$14+E27),Assumptions!$B$25)</f>
        <v/>
      </c>
      <c r="F28">
        <f>IF(F24&lt;Assumptions!$B$25,Assumptions!$B$25*(Assumptions!$B$14+F26)/(Assumptions!$B$14+F27),Assumptions!$B$25)</f>
        <v/>
      </c>
      <c r="G28">
        <f>IF(G24&lt;Assumptions!$B$25,Assumptions!$B$25*(Assumptions!$B$14+G26)/(Assumptions!$B$14+G27),Assumptions!$B$25)</f>
        <v/>
      </c>
      <c r="H28">
        <f>IF(H24&lt;Assumptions!$B$25,Assumptions!$B$25*(Assumptions!$B$14+H26)/(Assumptions!$B$14+H27),Assumptions!$B$25)</f>
        <v/>
      </c>
      <c r="I28">
        <f>IF(I24&lt;Assumptions!$B$25,Assumptions!$B$25*(Assumptions!$B$14+I26)/(Assumptions!$B$14+I27),Assumptions!$B$25)</f>
        <v/>
      </c>
      <c r="J28">
        <f>IF(J24&lt;Assumptions!$B$25,Assumptions!$B$25*(Assumptions!$B$14+J26)/(Assumptions!$B$14+J27),Assumptions!$B$25)</f>
        <v/>
      </c>
      <c r="K28">
        <f>IF(K24&lt;Assumptions!$B$25,Assumptions!$B$25*(Assumptions!$B$14+K26)/(Assumptions!$B$14+K27),Assumptions!$B$25)</f>
        <v/>
      </c>
    </row>
    <row r="29">
      <c r="A29" t="inlineStr">
        <is>
          <t>E total shares</t>
        </is>
      </c>
      <c r="C29">
        <f>Assumptions!$B$47/C28</f>
        <v/>
      </c>
      <c r="D29">
        <f>Assumptions!$B$47/D28</f>
        <v/>
      </c>
      <c r="E29">
        <f>Assumptions!$B$47/E28</f>
        <v/>
      </c>
      <c r="F29">
        <f>Assumptions!$B$47/F28</f>
        <v/>
      </c>
      <c r="G29">
        <f>Assumptions!$B$47/G28</f>
        <v/>
      </c>
      <c r="H29">
        <f>Assumptions!$B$47/H28</f>
        <v/>
      </c>
      <c r="I29">
        <f>Assumptions!$B$47/I28</f>
        <v/>
      </c>
      <c r="J29">
        <f>Assumptions!$B$47/J28</f>
        <v/>
      </c>
      <c r="K29">
        <f>Assumptions!$B$47/K28</f>
        <v/>
      </c>
    </row>
    <row r="30">
      <c r="A30" t="inlineStr">
        <is>
          <t>E AD add</t>
        </is>
      </c>
      <c r="C30">
        <f>C29-Assumptions!$B$41</f>
        <v/>
      </c>
      <c r="D30">
        <f>D29-Assumptions!$B$41</f>
        <v/>
      </c>
      <c r="E30">
        <f>E29-Assumptions!$B$41</f>
        <v/>
      </c>
      <c r="F30">
        <f>F29-Assumptions!$B$41</f>
        <v/>
      </c>
      <c r="G30">
        <f>G29-Assumptions!$B$41</f>
        <v/>
      </c>
      <c r="H30">
        <f>H29-Assumptions!$B$41</f>
        <v/>
      </c>
      <c r="I30">
        <f>I29-Assumptions!$B$41</f>
        <v/>
      </c>
      <c r="J30">
        <f>J29-Assumptions!$B$41</f>
        <v/>
      </c>
      <c r="K30">
        <f>K29-Assumptions!$B$41</f>
        <v/>
      </c>
    </row>
    <row r="31">
      <c r="A31" t="inlineStr">
        <is>
          <t>B_D</t>
        </is>
      </c>
      <c r="C31">
        <f>C23/Assumptions!$B$24</f>
        <v/>
      </c>
      <c r="D31">
        <f>D23/Assumptions!$B$24</f>
        <v/>
      </c>
      <c r="E31">
        <f>E23/Assumptions!$B$24</f>
        <v/>
      </c>
      <c r="F31">
        <f>F23/Assumptions!$B$24</f>
        <v/>
      </c>
      <c r="G31">
        <f>G23/Assumptions!$B$24</f>
        <v/>
      </c>
      <c r="H31">
        <f>H23/Assumptions!$B$24</f>
        <v/>
      </c>
      <c r="I31">
        <f>I23/Assumptions!$B$24</f>
        <v/>
      </c>
      <c r="J31">
        <f>J23/Assumptions!$B$24</f>
        <v/>
      </c>
      <c r="K31">
        <f>K23/Assumptions!$B$24</f>
        <v/>
      </c>
    </row>
    <row r="32">
      <c r="A32" t="inlineStr">
        <is>
          <t>NCP_D</t>
        </is>
      </c>
      <c r="C32">
        <f>IF(C24&lt;Assumptions!$B$24,Assumptions!$B$24*(Assumptions!$B$14+C31)/(Assumptions!$B$14+C27),Assumptions!$B$24)</f>
        <v/>
      </c>
      <c r="D32">
        <f>IF(D24&lt;Assumptions!$B$24,Assumptions!$B$24*(Assumptions!$B$14+D31)/(Assumptions!$B$14+D27),Assumptions!$B$24)</f>
        <v/>
      </c>
      <c r="E32">
        <f>IF(E24&lt;Assumptions!$B$24,Assumptions!$B$24*(Assumptions!$B$14+E31)/(Assumptions!$B$14+E27),Assumptions!$B$24)</f>
        <v/>
      </c>
      <c r="F32">
        <f>IF(F24&lt;Assumptions!$B$24,Assumptions!$B$24*(Assumptions!$B$14+F31)/(Assumptions!$B$14+F27),Assumptions!$B$24)</f>
        <v/>
      </c>
      <c r="G32">
        <f>IF(G24&lt;Assumptions!$B$24,Assumptions!$B$24*(Assumptions!$B$14+G31)/(Assumptions!$B$14+G27),Assumptions!$B$24)</f>
        <v/>
      </c>
      <c r="H32">
        <f>IF(H24&lt;Assumptions!$B$24,Assumptions!$B$24*(Assumptions!$B$14+H31)/(Assumptions!$B$14+H27),Assumptions!$B$24)</f>
        <v/>
      </c>
      <c r="I32">
        <f>IF(I24&lt;Assumptions!$B$24,Assumptions!$B$24*(Assumptions!$B$14+I31)/(Assumptions!$B$14+I27),Assumptions!$B$24)</f>
        <v/>
      </c>
      <c r="J32">
        <f>IF(J24&lt;Assumptions!$B$24,Assumptions!$B$24*(Assumptions!$B$14+J31)/(Assumptions!$B$14+J27),Assumptions!$B$24)</f>
        <v/>
      </c>
      <c r="K32">
        <f>IF(K24&lt;Assumptions!$B$24,Assumptions!$B$24*(Assumptions!$B$14+K31)/(Assumptions!$B$14+K27),Assumptions!$B$24)</f>
        <v/>
      </c>
    </row>
    <row r="33">
      <c r="A33" t="inlineStr">
        <is>
          <t>D total shares</t>
        </is>
      </c>
      <c r="C33">
        <f>Assumptions!$B$46/C32</f>
        <v/>
      </c>
      <c r="D33">
        <f>Assumptions!$B$46/D32</f>
        <v/>
      </c>
      <c r="E33">
        <f>Assumptions!$B$46/E32</f>
        <v/>
      </c>
      <c r="F33">
        <f>Assumptions!$B$46/F32</f>
        <v/>
      </c>
      <c r="G33">
        <f>Assumptions!$B$46/G32</f>
        <v/>
      </c>
      <c r="H33">
        <f>Assumptions!$B$46/H32</f>
        <v/>
      </c>
      <c r="I33">
        <f>Assumptions!$B$46/I32</f>
        <v/>
      </c>
      <c r="J33">
        <f>Assumptions!$B$46/J32</f>
        <v/>
      </c>
      <c r="K33">
        <f>Assumptions!$B$46/K32</f>
        <v/>
      </c>
    </row>
    <row r="34">
      <c r="A34" t="inlineStr">
        <is>
          <t>D AD add</t>
        </is>
      </c>
      <c r="C34">
        <f>C33-Assumptions!$B$40</f>
        <v/>
      </c>
      <c r="D34">
        <f>D33-Assumptions!$B$40</f>
        <v/>
      </c>
      <c r="E34">
        <f>E33-Assumptions!$B$40</f>
        <v/>
      </c>
      <c r="F34">
        <f>F33-Assumptions!$B$40</f>
        <v/>
      </c>
      <c r="G34">
        <f>G33-Assumptions!$B$40</f>
        <v/>
      </c>
      <c r="H34">
        <f>H33-Assumptions!$B$40</f>
        <v/>
      </c>
      <c r="I34">
        <f>I33-Assumptions!$B$40</f>
        <v/>
      </c>
      <c r="J34">
        <f>J33-Assumptions!$B$40</f>
        <v/>
      </c>
      <c r="K34">
        <f>K33-Assumptions!$B$40</f>
        <v/>
      </c>
    </row>
    <row r="35">
      <c r="A35" t="inlineStr">
        <is>
          <t>ESOP top-up</t>
        </is>
      </c>
      <c r="C35">
        <f>MAX(0,C21*C43-Assumptions!$B$12)</f>
        <v/>
      </c>
      <c r="D35">
        <f>MAX(0,D21*D43-Assumptions!$B$12)</f>
        <v/>
      </c>
      <c r="E35">
        <f>MAX(0,E21*E43-Assumptions!$B$12)</f>
        <v/>
      </c>
      <c r="F35">
        <f>MAX(0,F21*F43-Assumptions!$B$12)</f>
        <v/>
      </c>
      <c r="G35">
        <f>MAX(0,G21*G43-Assumptions!$B$12)</f>
        <v/>
      </c>
      <c r="H35">
        <f>MAX(0,H21*H43-Assumptions!$B$12)</f>
        <v/>
      </c>
      <c r="I35">
        <f>MAX(0,I21*I43-Assumptions!$B$12)</f>
        <v/>
      </c>
      <c r="J35">
        <f>MAX(0,J21*J43-Assumptions!$B$12)</f>
        <v/>
      </c>
      <c r="K35">
        <f>MAX(0,K21*K43-Assumptions!$B$12)</f>
        <v/>
      </c>
    </row>
    <row r="36">
      <c r="A36" t="inlineStr">
        <is>
          <t>Note A capPPS</t>
        </is>
      </c>
      <c r="C36">
        <f>Assumptions!$B$27/(Assumptions!$B$13+C30+C34+C35+C41)</f>
        <v/>
      </c>
      <c r="D36">
        <f>Assumptions!$B$27/(Assumptions!$B$13+D30+D34+D35+D41)</f>
        <v/>
      </c>
      <c r="E36">
        <f>Assumptions!$B$27/(Assumptions!$B$13+E30+E34+E35+E41)</f>
        <v/>
      </c>
      <c r="F36">
        <f>Assumptions!$B$27/(Assumptions!$B$13+F30+F34+F35+F41)</f>
        <v/>
      </c>
      <c r="G36">
        <f>Assumptions!$B$27/(Assumptions!$B$13+G30+G34+G35+G41)</f>
        <v/>
      </c>
      <c r="H36">
        <f>Assumptions!$B$27/(Assumptions!$B$13+H30+H34+H35+H41)</f>
        <v/>
      </c>
      <c r="I36">
        <f>Assumptions!$B$27/(Assumptions!$B$13+I30+I34+I35+I41)</f>
        <v/>
      </c>
      <c r="J36">
        <f>Assumptions!$B$27/(Assumptions!$B$13+J30+J34+J35+J41)</f>
        <v/>
      </c>
      <c r="K36">
        <f>Assumptions!$B$27/(Assumptions!$B$13+K30+K34+K35+K41)</f>
        <v/>
      </c>
    </row>
    <row r="37">
      <c r="A37" t="inlineStr">
        <is>
          <t>Note A discPPS</t>
        </is>
      </c>
      <c r="C37">
        <f>C24*(1-Assumptions!$B$28)</f>
        <v/>
      </c>
      <c r="D37">
        <f>D24*(1-Assumptions!$B$28)</f>
        <v/>
      </c>
      <c r="E37">
        <f>E24*(1-Assumptions!$B$28)</f>
        <v/>
      </c>
      <c r="F37">
        <f>F24*(1-Assumptions!$B$28)</f>
        <v/>
      </c>
      <c r="G37">
        <f>G24*(1-Assumptions!$B$28)</f>
        <v/>
      </c>
      <c r="H37">
        <f>H24*(1-Assumptions!$B$28)</f>
        <v/>
      </c>
      <c r="I37">
        <f>I24*(1-Assumptions!$B$28)</f>
        <v/>
      </c>
      <c r="J37">
        <f>J24*(1-Assumptions!$B$28)</f>
        <v/>
      </c>
      <c r="K37">
        <f>K24*(1-Assumptions!$B$28)</f>
        <v/>
      </c>
    </row>
    <row r="38">
      <c r="A38" t="inlineStr">
        <is>
          <t>NA shares</t>
        </is>
      </c>
      <c r="C38">
        <f>Assumptions!$B$26/MIN(C36,C37)</f>
        <v/>
      </c>
      <c r="D38">
        <f>Assumptions!$B$26/MIN(D36,D37)</f>
        <v/>
      </c>
      <c r="E38">
        <f>Assumptions!$B$26/MIN(E36,E37)</f>
        <v/>
      </c>
      <c r="F38">
        <f>Assumptions!$B$26/MIN(F36,F37)</f>
        <v/>
      </c>
      <c r="G38">
        <f>Assumptions!$B$26/MIN(G36,G37)</f>
        <v/>
      </c>
      <c r="H38">
        <f>Assumptions!$B$26/MIN(H36,H37)</f>
        <v/>
      </c>
      <c r="I38">
        <f>Assumptions!$B$26/MIN(I36,I37)</f>
        <v/>
      </c>
      <c r="J38">
        <f>Assumptions!$B$26/MIN(J36,J37)</f>
        <v/>
      </c>
      <c r="K38">
        <f>Assumptions!$B$26/MIN(K36,K37)</f>
        <v/>
      </c>
    </row>
    <row r="39">
      <c r="A39" t="inlineStr">
        <is>
          <t>Note B capPPS</t>
        </is>
      </c>
      <c r="C39">
        <f>Assumptions!$B$30/(Assumptions!$B$13+C30+C34+C35+C38)</f>
        <v/>
      </c>
      <c r="D39">
        <f>Assumptions!$B$30/(Assumptions!$B$13+D30+D34+D35+D38)</f>
        <v/>
      </c>
      <c r="E39">
        <f>Assumptions!$B$30/(Assumptions!$B$13+E30+E34+E35+E38)</f>
        <v/>
      </c>
      <c r="F39">
        <f>Assumptions!$B$30/(Assumptions!$B$13+F30+F34+F35+F38)</f>
        <v/>
      </c>
      <c r="G39">
        <f>Assumptions!$B$30/(Assumptions!$B$13+G30+G34+G35+G38)</f>
        <v/>
      </c>
      <c r="H39">
        <f>Assumptions!$B$30/(Assumptions!$B$13+H30+H34+H35+H38)</f>
        <v/>
      </c>
      <c r="I39">
        <f>Assumptions!$B$30/(Assumptions!$B$13+I30+I34+I35+I38)</f>
        <v/>
      </c>
      <c r="J39">
        <f>Assumptions!$B$30/(Assumptions!$B$13+J30+J34+J35+J38)</f>
        <v/>
      </c>
      <c r="K39">
        <f>Assumptions!$B$30/(Assumptions!$B$13+K30+K34+K35+K38)</f>
        <v/>
      </c>
    </row>
    <row r="40">
      <c r="A40" t="inlineStr">
        <is>
          <t>Note B discPPS</t>
        </is>
      </c>
      <c r="C40">
        <f>C24*(1-Assumptions!$B$31)</f>
        <v/>
      </c>
      <c r="D40">
        <f>D24*(1-Assumptions!$B$31)</f>
        <v/>
      </c>
      <c r="E40">
        <f>E24*(1-Assumptions!$B$31)</f>
        <v/>
      </c>
      <c r="F40">
        <f>F24*(1-Assumptions!$B$31)</f>
        <v/>
      </c>
      <c r="G40">
        <f>G24*(1-Assumptions!$B$31)</f>
        <v/>
      </c>
      <c r="H40">
        <f>H24*(1-Assumptions!$B$31)</f>
        <v/>
      </c>
      <c r="I40">
        <f>I24*(1-Assumptions!$B$31)</f>
        <v/>
      </c>
      <c r="J40">
        <f>J24*(1-Assumptions!$B$31)</f>
        <v/>
      </c>
      <c r="K40">
        <f>K24*(1-Assumptions!$B$31)</f>
        <v/>
      </c>
    </row>
    <row r="41">
      <c r="A41" t="inlineStr">
        <is>
          <t>NB shares</t>
        </is>
      </c>
      <c r="C41">
        <f>Assumptions!$B$29/MIN(C39,C40)</f>
        <v/>
      </c>
      <c r="D41">
        <f>Assumptions!$B$29/MIN(D39,D40)</f>
        <v/>
      </c>
      <c r="E41">
        <f>Assumptions!$B$29/MIN(E39,E40)</f>
        <v/>
      </c>
      <c r="F41">
        <f>Assumptions!$B$29/MIN(F39,F40)</f>
        <v/>
      </c>
      <c r="G41">
        <f>Assumptions!$B$29/MIN(G39,G40)</f>
        <v/>
      </c>
      <c r="H41">
        <f>Assumptions!$B$29/MIN(H39,H40)</f>
        <v/>
      </c>
      <c r="I41">
        <f>Assumptions!$B$29/MIN(I39,I40)</f>
        <v/>
      </c>
      <c r="J41">
        <f>Assumptions!$B$29/MIN(J39,J40)</f>
        <v/>
      </c>
      <c r="K41">
        <f>Assumptions!$B$29/MIN(K39,K40)</f>
        <v/>
      </c>
    </row>
    <row r="42">
      <c r="A42" t="inlineStr">
        <is>
          <t>T_premoney</t>
        </is>
      </c>
      <c r="C42">
        <f>Assumptions!$B$13+C30+C34+C35+C38+C41</f>
        <v/>
      </c>
      <c r="D42">
        <f>Assumptions!$B$13+D30+D34+D35+D38+D41</f>
        <v/>
      </c>
      <c r="E42">
        <f>Assumptions!$B$13+E30+E34+E35+E38+E41</f>
        <v/>
      </c>
      <c r="F42">
        <f>Assumptions!$B$13+F30+F34+F35+F38+F41</f>
        <v/>
      </c>
      <c r="G42">
        <f>Assumptions!$B$13+G30+G34+G35+G38+G41</f>
        <v/>
      </c>
      <c r="H42">
        <f>Assumptions!$B$13+H30+H34+H35+H38+H41</f>
        <v/>
      </c>
      <c r="I42">
        <f>Assumptions!$B$13+I30+I34+I35+I38+I41</f>
        <v/>
      </c>
      <c r="J42">
        <f>Assumptions!$B$13+J30+J34+J35+J38+J41</f>
        <v/>
      </c>
      <c r="K42">
        <f>Assumptions!$B$13+K30+K34+K35+K38+K41</f>
        <v/>
      </c>
    </row>
    <row r="43">
      <c r="A43" t="inlineStr">
        <is>
          <t>T_F</t>
        </is>
      </c>
      <c r="C43">
        <f>C42+C25</f>
        <v/>
      </c>
      <c r="D43">
        <f>D42+D25</f>
        <v/>
      </c>
      <c r="E43">
        <f>E42+E25</f>
        <v/>
      </c>
      <c r="F43">
        <f>F42+F25</f>
        <v/>
      </c>
      <c r="G43">
        <f>G42+G25</f>
        <v/>
      </c>
      <c r="H43">
        <f>H42+H25</f>
        <v/>
      </c>
      <c r="I43">
        <f>I42+I25</f>
        <v/>
      </c>
      <c r="J43">
        <f>J42+J25</f>
        <v/>
      </c>
      <c r="K43">
        <f>K42+K25</f>
        <v/>
      </c>
    </row>
    <row r="44">
      <c r="A44" t="inlineStr">
        <is>
          <t>Our shares</t>
        </is>
      </c>
      <c r="C44">
        <f>Assumptions!$B$7/C24</f>
        <v/>
      </c>
      <c r="D44">
        <f>Assumptions!$B$7/D24</f>
        <v/>
      </c>
      <c r="E44">
        <f>Assumptions!$B$7/E24</f>
        <v/>
      </c>
      <c r="F44">
        <f>Assumptions!$B$7/F24</f>
        <v/>
      </c>
      <c r="G44">
        <f>Assumptions!$B$7/G24</f>
        <v/>
      </c>
      <c r="H44">
        <f>Assumptions!$B$7/H24</f>
        <v/>
      </c>
      <c r="I44">
        <f>Assumptions!$B$7/I24</f>
        <v/>
      </c>
      <c r="J44">
        <f>Assumptions!$B$7/J24</f>
        <v/>
      </c>
      <c r="K44">
        <f>Assumptions!$B$7/K24</f>
        <v/>
      </c>
    </row>
    <row r="45">
      <c r="A45" t="inlineStr">
        <is>
          <t>Our ownership</t>
        </is>
      </c>
      <c r="C45">
        <f>C44/C43</f>
        <v/>
      </c>
      <c r="D45">
        <f>D44/D43</f>
        <v/>
      </c>
      <c r="E45">
        <f>E44/E43</f>
        <v/>
      </c>
      <c r="F45">
        <f>F44/F43</f>
        <v/>
      </c>
      <c r="G45">
        <f>G44/G43</f>
        <v/>
      </c>
      <c r="H45">
        <f>H44/H43</f>
        <v/>
      </c>
      <c r="I45">
        <f>I44/I43</f>
        <v/>
      </c>
      <c r="J45">
        <f>J44/J43</f>
        <v/>
      </c>
      <c r="K45">
        <f>K44/K43</f>
        <v/>
      </c>
    </row>
    <row r="46">
      <c r="A46" t="inlineStr">
        <is>
          <t>Exit value</t>
        </is>
      </c>
      <c r="C46">
        <f>Assumptions!$B$17</f>
        <v/>
      </c>
      <c r="D46">
        <f>Assumptions!$B$17</f>
        <v/>
      </c>
      <c r="E46">
        <f>Assumptions!$B$17</f>
        <v/>
      </c>
      <c r="F46">
        <f>Assumptions!$B$17</f>
        <v/>
      </c>
      <c r="G46">
        <f>Assumptions!$B$17</f>
        <v/>
      </c>
      <c r="H46">
        <f>Assumptions!$B$17</f>
        <v/>
      </c>
      <c r="I46">
        <f>Assumptions!$B$17</f>
        <v/>
      </c>
      <c r="J46">
        <f>Assumptions!$B$17</f>
        <v/>
      </c>
      <c r="K46">
        <f>Assumptions!$B$17</f>
        <v/>
      </c>
    </row>
    <row r="47">
      <c r="A47" t="inlineStr">
        <is>
          <t>F_NCP</t>
        </is>
      </c>
      <c r="C47">
        <f>C24</f>
        <v/>
      </c>
      <c r="D47">
        <f>D24</f>
        <v/>
      </c>
      <c r="E47">
        <f>E24</f>
        <v/>
      </c>
      <c r="F47">
        <f>F24</f>
        <v/>
      </c>
      <c r="G47">
        <f>G24</f>
        <v/>
      </c>
      <c r="H47">
        <f>H24</f>
        <v/>
      </c>
      <c r="I47">
        <f>I24</f>
        <v/>
      </c>
      <c r="J47">
        <f>J24</f>
        <v/>
      </c>
      <c r="K47">
        <f>K24</f>
        <v/>
      </c>
    </row>
    <row r="48">
      <c r="A48" t="inlineStr">
        <is>
          <t>E_NCP</t>
        </is>
      </c>
      <c r="C48">
        <f>C28</f>
        <v/>
      </c>
      <c r="D48">
        <f>D28</f>
        <v/>
      </c>
      <c r="E48">
        <f>E28</f>
        <v/>
      </c>
      <c r="F48">
        <f>F28</f>
        <v/>
      </c>
      <c r="G48">
        <f>G28</f>
        <v/>
      </c>
      <c r="H48">
        <f>H28</f>
        <v/>
      </c>
      <c r="I48">
        <f>I28</f>
        <v/>
      </c>
      <c r="J48">
        <f>J28</f>
        <v/>
      </c>
      <c r="K48">
        <f>K28</f>
        <v/>
      </c>
    </row>
    <row r="49">
      <c r="A49" t="inlineStr">
        <is>
          <t>D_NCP</t>
        </is>
      </c>
      <c r="C49">
        <f>C32</f>
        <v/>
      </c>
      <c r="D49">
        <f>D32</f>
        <v/>
      </c>
      <c r="E49">
        <f>E32</f>
        <v/>
      </c>
      <c r="F49">
        <f>F32</f>
        <v/>
      </c>
      <c r="G49">
        <f>G32</f>
        <v/>
      </c>
      <c r="H49">
        <f>H32</f>
        <v/>
      </c>
      <c r="I49">
        <f>I32</f>
        <v/>
      </c>
      <c r="J49">
        <f>J32</f>
        <v/>
      </c>
      <c r="K49">
        <f>K32</f>
        <v/>
      </c>
    </row>
    <row r="50">
      <c r="A50" t="inlineStr">
        <is>
          <t>C_NCP</t>
        </is>
      </c>
      <c r="C50">
        <f>Assumptions!$B$23</f>
        <v/>
      </c>
      <c r="D50">
        <f>Assumptions!$B$23</f>
        <v/>
      </c>
      <c r="E50">
        <f>Assumptions!$B$23</f>
        <v/>
      </c>
      <c r="F50">
        <f>Assumptions!$B$23</f>
        <v/>
      </c>
      <c r="G50">
        <f>Assumptions!$B$23</f>
        <v/>
      </c>
      <c r="H50">
        <f>Assumptions!$B$23</f>
        <v/>
      </c>
      <c r="I50">
        <f>Assumptions!$B$23</f>
        <v/>
      </c>
      <c r="J50">
        <f>Assumptions!$B$23</f>
        <v/>
      </c>
      <c r="K50">
        <f>Assumptions!$B$23</f>
        <v/>
      </c>
    </row>
    <row r="51">
      <c r="A51" t="inlineStr">
        <is>
          <t>B_NCP</t>
        </is>
      </c>
      <c r="C51">
        <f>Assumptions!$B$22</f>
        <v/>
      </c>
      <c r="D51">
        <f>Assumptions!$B$22</f>
        <v/>
      </c>
      <c r="E51">
        <f>Assumptions!$B$22</f>
        <v/>
      </c>
      <c r="F51">
        <f>Assumptions!$B$22</f>
        <v/>
      </c>
      <c r="G51">
        <f>Assumptions!$B$22</f>
        <v/>
      </c>
      <c r="H51">
        <f>Assumptions!$B$22</f>
        <v/>
      </c>
      <c r="I51">
        <f>Assumptions!$B$22</f>
        <v/>
      </c>
      <c r="J51">
        <f>Assumptions!$B$22</f>
        <v/>
      </c>
      <c r="K51">
        <f>Assumptions!$B$22</f>
        <v/>
      </c>
    </row>
    <row r="52">
      <c r="A52" t="inlineStr">
        <is>
          <t>A_NCP</t>
        </is>
      </c>
      <c r="C52">
        <f>Assumptions!$B$21</f>
        <v/>
      </c>
      <c r="D52">
        <f>Assumptions!$B$21</f>
        <v/>
      </c>
      <c r="E52">
        <f>Assumptions!$B$21</f>
        <v/>
      </c>
      <c r="F52">
        <f>Assumptions!$B$21</f>
        <v/>
      </c>
      <c r="G52">
        <f>Assumptions!$B$21</f>
        <v/>
      </c>
      <c r="H52">
        <f>Assumptions!$B$21</f>
        <v/>
      </c>
      <c r="I52">
        <f>Assumptions!$B$21</f>
        <v/>
      </c>
      <c r="J52">
        <f>Assumptions!$B$21</f>
        <v/>
      </c>
      <c r="K52">
        <f>Assumptions!$B$21</f>
        <v/>
      </c>
    </row>
    <row r="53">
      <c r="A53" t="inlineStr">
        <is>
          <t>S_NCP</t>
        </is>
      </c>
      <c r="C53">
        <f>Assumptions!$B$20</f>
        <v/>
      </c>
      <c r="D53">
        <f>Assumptions!$B$20</f>
        <v/>
      </c>
      <c r="E53">
        <f>Assumptions!$B$20</f>
        <v/>
      </c>
      <c r="F53">
        <f>Assumptions!$B$20</f>
        <v/>
      </c>
      <c r="G53">
        <f>Assumptions!$B$20</f>
        <v/>
      </c>
      <c r="H53">
        <f>Assumptions!$B$20</f>
        <v/>
      </c>
      <c r="I53">
        <f>Assumptions!$B$20</f>
        <v/>
      </c>
      <c r="J53">
        <f>Assumptions!$B$20</f>
        <v/>
      </c>
      <c r="K53">
        <f>Assumptions!$B$20</f>
        <v/>
      </c>
    </row>
    <row r="54">
      <c r="A54" t="inlineStr">
        <is>
          <t>common_PPS</t>
        </is>
      </c>
      <c r="C54">
        <f>IFERROR(C67/C65,0)</f>
        <v/>
      </c>
      <c r="D54">
        <f>IFERROR(D67/D65,0)</f>
        <v/>
      </c>
      <c r="E54">
        <f>IFERROR(E67/E65,0)</f>
        <v/>
      </c>
      <c r="F54">
        <f>IFERROR(F67/F65,0)</f>
        <v/>
      </c>
      <c r="G54">
        <f>IFERROR(G67/G65,0)</f>
        <v/>
      </c>
      <c r="H54">
        <f>IFERROR(H67/H65,0)</f>
        <v/>
      </c>
      <c r="I54">
        <f>IFERROR(I67/I65,0)</f>
        <v/>
      </c>
      <c r="J54">
        <f>IFERROR(J67/J65,0)</f>
        <v/>
      </c>
      <c r="K54">
        <f>IFERROR(K67/K65,0)</f>
        <v/>
      </c>
    </row>
    <row r="55">
      <c r="A55" t="inlineStr">
        <is>
          <t>Elec F</t>
        </is>
      </c>
      <c r="C55">
        <f>IF(C47&lt;C54,"convert","preference")</f>
        <v/>
      </c>
      <c r="D55">
        <f>IF(D47&lt;D54,"convert","preference")</f>
        <v/>
      </c>
      <c r="E55">
        <f>IF(E47&lt;E54,"convert","preference")</f>
        <v/>
      </c>
      <c r="F55">
        <f>IF(F47&lt;F54,"convert","preference")</f>
        <v/>
      </c>
      <c r="G55">
        <f>IF(G47&lt;G54,"convert","preference")</f>
        <v/>
      </c>
      <c r="H55">
        <f>IF(H47&lt;H54,"convert","preference")</f>
        <v/>
      </c>
      <c r="I55">
        <f>IF(I47&lt;I54,"convert","preference")</f>
        <v/>
      </c>
      <c r="J55">
        <f>IF(J47&lt;J54,"convert","preference")</f>
        <v/>
      </c>
      <c r="K55">
        <f>IF(K47&lt;K54,"convert","preference")</f>
        <v/>
      </c>
    </row>
    <row r="56">
      <c r="A56" t="inlineStr">
        <is>
          <t>Elec E</t>
        </is>
      </c>
      <c r="C56">
        <f>IF(C48&lt;C54,"convert","preference")</f>
        <v/>
      </c>
      <c r="D56">
        <f>IF(D48&lt;D54,"convert","preference")</f>
        <v/>
      </c>
      <c r="E56">
        <f>IF(E48&lt;E54,"convert","preference")</f>
        <v/>
      </c>
      <c r="F56">
        <f>IF(F48&lt;F54,"convert","preference")</f>
        <v/>
      </c>
      <c r="G56">
        <f>IF(G48&lt;G54,"convert","preference")</f>
        <v/>
      </c>
      <c r="H56">
        <f>IF(H48&lt;H54,"convert","preference")</f>
        <v/>
      </c>
      <c r="I56">
        <f>IF(I48&lt;I54,"convert","preference")</f>
        <v/>
      </c>
      <c r="J56">
        <f>IF(J48&lt;J54,"convert","preference")</f>
        <v/>
      </c>
      <c r="K56">
        <f>IF(K48&lt;K54,"convert","preference")</f>
        <v/>
      </c>
    </row>
    <row r="57">
      <c r="A57" t="inlineStr">
        <is>
          <t>Elec D</t>
        </is>
      </c>
      <c r="C57">
        <f>IF(C49&lt;C54,"convert","preference")</f>
        <v/>
      </c>
      <c r="D57">
        <f>IF(D49&lt;D54,"convert","preference")</f>
        <v/>
      </c>
      <c r="E57">
        <f>IF(E49&lt;E54,"convert","preference")</f>
        <v/>
      </c>
      <c r="F57">
        <f>IF(F49&lt;F54,"convert","preference")</f>
        <v/>
      </c>
      <c r="G57">
        <f>IF(G49&lt;G54,"convert","preference")</f>
        <v/>
      </c>
      <c r="H57">
        <f>IF(H49&lt;H54,"convert","preference")</f>
        <v/>
      </c>
      <c r="I57">
        <f>IF(I49&lt;I54,"convert","preference")</f>
        <v/>
      </c>
      <c r="J57">
        <f>IF(J49&lt;J54,"convert","preference")</f>
        <v/>
      </c>
      <c r="K57">
        <f>IF(K49&lt;K54,"convert","preference")</f>
        <v/>
      </c>
    </row>
    <row r="58">
      <c r="A58" t="inlineStr">
        <is>
          <t>Elec C</t>
        </is>
      </c>
      <c r="C58">
        <f>IF(C50&lt;C54,"convert","preference")</f>
        <v/>
      </c>
      <c r="D58">
        <f>IF(D50&lt;D54,"convert","preference")</f>
        <v/>
      </c>
      <c r="E58">
        <f>IF(E50&lt;E54,"convert","preference")</f>
        <v/>
      </c>
      <c r="F58">
        <f>IF(F50&lt;F54,"convert","preference")</f>
        <v/>
      </c>
      <c r="G58">
        <f>IF(G50&lt;G54,"convert","preference")</f>
        <v/>
      </c>
      <c r="H58">
        <f>IF(H50&lt;H54,"convert","preference")</f>
        <v/>
      </c>
      <c r="I58">
        <f>IF(I50&lt;I54,"convert","preference")</f>
        <v/>
      </c>
      <c r="J58">
        <f>IF(J50&lt;J54,"convert","preference")</f>
        <v/>
      </c>
      <c r="K58">
        <f>IF(K50&lt;K54,"convert","preference")</f>
        <v/>
      </c>
    </row>
    <row r="59">
      <c r="A59" t="inlineStr">
        <is>
          <t>Elec B</t>
        </is>
      </c>
      <c r="C59">
        <f>IF(C51&lt;C54,"convert","preference")</f>
        <v/>
      </c>
      <c r="D59">
        <f>IF(D51&lt;D54,"convert","preference")</f>
        <v/>
      </c>
      <c r="E59">
        <f>IF(E51&lt;E54,"convert","preference")</f>
        <v/>
      </c>
      <c r="F59">
        <f>IF(F51&lt;F54,"convert","preference")</f>
        <v/>
      </c>
      <c r="G59">
        <f>IF(G51&lt;G54,"convert","preference")</f>
        <v/>
      </c>
      <c r="H59">
        <f>IF(H51&lt;H54,"convert","preference")</f>
        <v/>
      </c>
      <c r="I59">
        <f>IF(I51&lt;I54,"convert","preference")</f>
        <v/>
      </c>
      <c r="J59">
        <f>IF(J51&lt;J54,"convert","preference")</f>
        <v/>
      </c>
      <c r="K59">
        <f>IF(K51&lt;K54,"convert","preference")</f>
        <v/>
      </c>
    </row>
    <row r="60">
      <c r="A60" t="inlineStr">
        <is>
          <t>Elec A</t>
        </is>
      </c>
      <c r="C60">
        <f>IF(C52&lt;C54,"convert","preference")</f>
        <v/>
      </c>
      <c r="D60">
        <f>IF(D52&lt;D54,"convert","preference")</f>
        <v/>
      </c>
      <c r="E60">
        <f>IF(E52&lt;E54,"convert","preference")</f>
        <v/>
      </c>
      <c r="F60">
        <f>IF(F52&lt;F54,"convert","preference")</f>
        <v/>
      </c>
      <c r="G60">
        <f>IF(G52&lt;G54,"convert","preference")</f>
        <v/>
      </c>
      <c r="H60">
        <f>IF(H52&lt;H54,"convert","preference")</f>
        <v/>
      </c>
      <c r="I60">
        <f>IF(I52&lt;I54,"convert","preference")</f>
        <v/>
      </c>
      <c r="J60">
        <f>IF(J52&lt;J54,"convert","preference")</f>
        <v/>
      </c>
      <c r="K60">
        <f>IF(K52&lt;K54,"convert","preference")</f>
        <v/>
      </c>
    </row>
    <row r="61">
      <c r="A61" t="inlineStr">
        <is>
          <t>Elec Seed</t>
        </is>
      </c>
      <c r="C61">
        <f>IF(C53&lt;C54,"convert","preference")</f>
        <v/>
      </c>
      <c r="D61">
        <f>IF(D53&lt;D54,"convert","preference")</f>
        <v/>
      </c>
      <c r="E61">
        <f>IF(E53&lt;E54,"convert","preference")</f>
        <v/>
      </c>
      <c r="F61">
        <f>IF(F53&lt;F54,"convert","preference")</f>
        <v/>
      </c>
      <c r="G61">
        <f>IF(G53&lt;G54,"convert","preference")</f>
        <v/>
      </c>
      <c r="H61">
        <f>IF(H53&lt;H54,"convert","preference")</f>
        <v/>
      </c>
      <c r="I61">
        <f>IF(I53&lt;I54,"convert","preference")</f>
        <v/>
      </c>
      <c r="J61">
        <f>IF(J53&lt;J54,"convert","preference")</f>
        <v/>
      </c>
      <c r="K61">
        <f>IF(K53&lt;K54,"convert","preference")</f>
        <v/>
      </c>
    </row>
    <row r="62">
      <c r="A62" t="inlineStr">
        <is>
          <t>ITM ind</t>
        </is>
      </c>
      <c r="C62">
        <f>IF(C54&gt;Assumptions!$B$9,1,0)</f>
        <v/>
      </c>
      <c r="D62">
        <f>IF(D54&gt;Assumptions!$B$9,1,0)</f>
        <v/>
      </c>
      <c r="E62">
        <f>IF(E54&gt;Assumptions!$B$9,1,0)</f>
        <v/>
      </c>
      <c r="F62">
        <f>IF(F54&gt;Assumptions!$B$9,1,0)</f>
        <v/>
      </c>
      <c r="G62">
        <f>IF(G54&gt;Assumptions!$B$9,1,0)</f>
        <v/>
      </c>
      <c r="H62">
        <f>IF(H54&gt;Assumptions!$B$9,1,0)</f>
        <v/>
      </c>
      <c r="I62">
        <f>IF(I54&gt;Assumptions!$B$9,1,0)</f>
        <v/>
      </c>
      <c r="J62">
        <f>IF(J54&gt;Assumptions!$B$9,1,0)</f>
        <v/>
      </c>
      <c r="K62">
        <f>IF(K54&gt;Assumptions!$B$9,1,0)</f>
        <v/>
      </c>
    </row>
    <row r="63">
      <c r="A63" t="inlineStr">
        <is>
          <t>ITM opts shares</t>
        </is>
      </c>
      <c r="C63">
        <f>C62*Assumptions!$B$10</f>
        <v/>
      </c>
      <c r="D63">
        <f>D62*Assumptions!$B$10</f>
        <v/>
      </c>
      <c r="E63">
        <f>E62*Assumptions!$B$10</f>
        <v/>
      </c>
      <c r="F63">
        <f>F62*Assumptions!$B$10</f>
        <v/>
      </c>
      <c r="G63">
        <f>G62*Assumptions!$B$10</f>
        <v/>
      </c>
      <c r="H63">
        <f>H62*Assumptions!$B$10</f>
        <v/>
      </c>
      <c r="I63">
        <f>I62*Assumptions!$B$10</f>
        <v/>
      </c>
      <c r="J63">
        <f>J62*Assumptions!$B$10</f>
        <v/>
      </c>
      <c r="K63">
        <f>K62*Assumptions!$B$10</f>
        <v/>
      </c>
    </row>
    <row r="64">
      <c r="A64" t="inlineStr">
        <is>
          <t>Conv pref shares sum</t>
        </is>
      </c>
      <c r="C64">
        <f>IF(C55="convert",C25,0)+IF(C56="convert",C29,0)+IF(C57="convert",C33,0)+IF(C58="convert",Assumptions!$B$39,0)+IF(C59="convert",Assumptions!$B$38,0)+IF(C60="convert",Assumptions!$B$37,0)+IF(C61="convert",Assumptions!$B$36,0)</f>
        <v/>
      </c>
      <c r="D64">
        <f>IF(D55="convert",D25,0)+IF(D56="convert",D29,0)+IF(D57="convert",D33,0)+IF(D58="convert",Assumptions!$B$39,0)+IF(D59="convert",Assumptions!$B$38,0)+IF(D60="convert",Assumptions!$B$37,0)+IF(D61="convert",Assumptions!$B$36,0)</f>
        <v/>
      </c>
      <c r="E64">
        <f>IF(E55="convert",E25,0)+IF(E56="convert",E29,0)+IF(E57="convert",E33,0)+IF(E58="convert",Assumptions!$B$39,0)+IF(E59="convert",Assumptions!$B$38,0)+IF(E60="convert",Assumptions!$B$37,0)+IF(E61="convert",Assumptions!$B$36,0)</f>
        <v/>
      </c>
      <c r="F64">
        <f>IF(F55="convert",F25,0)+IF(F56="convert",F29,0)+IF(F57="convert",F33,0)+IF(F58="convert",Assumptions!$B$39,0)+IF(F59="convert",Assumptions!$B$38,0)+IF(F60="convert",Assumptions!$B$37,0)+IF(F61="convert",Assumptions!$B$36,0)</f>
        <v/>
      </c>
      <c r="G64">
        <f>IF(G55="convert",G25,0)+IF(G56="convert",G29,0)+IF(G57="convert",G33,0)+IF(G58="convert",Assumptions!$B$39,0)+IF(G59="convert",Assumptions!$B$38,0)+IF(G60="convert",Assumptions!$B$37,0)+IF(G61="convert",Assumptions!$B$36,0)</f>
        <v/>
      </c>
      <c r="H64">
        <f>IF(H55="convert",H25,0)+IF(H56="convert",H29,0)+IF(H57="convert",H33,0)+IF(H58="convert",Assumptions!$B$39,0)+IF(H59="convert",Assumptions!$B$38,0)+IF(H60="convert",Assumptions!$B$37,0)+IF(H61="convert",Assumptions!$B$36,0)</f>
        <v/>
      </c>
      <c r="I64">
        <f>IF(I55="convert",I25,0)+IF(I56="convert",I29,0)+IF(I57="convert",I33,0)+IF(I58="convert",Assumptions!$B$39,0)+IF(I59="convert",Assumptions!$B$38,0)+IF(I60="convert",Assumptions!$B$37,0)+IF(I61="convert",Assumptions!$B$36,0)</f>
        <v/>
      </c>
      <c r="J64">
        <f>IF(J55="convert",J25,0)+IF(J56="convert",J29,0)+IF(J57="convert",J33,0)+IF(J58="convert",Assumptions!$B$39,0)+IF(J59="convert",Assumptions!$B$38,0)+IF(J60="convert",Assumptions!$B$37,0)+IF(J61="convert",Assumptions!$B$36,0)</f>
        <v/>
      </c>
      <c r="K64">
        <f>IF(K55="convert",K25,0)+IF(K56="convert",K29,0)+IF(K57="convert",K33,0)+IF(K58="convert",Assumptions!$B$39,0)+IF(K59="convert",Assumptions!$B$38,0)+IF(K60="convert",Assumptions!$B$37,0)+IF(K61="convert",Assumptions!$B$36,0)</f>
        <v/>
      </c>
    </row>
    <row r="65">
      <c r="A65" t="inlineStr">
        <is>
          <t>Pool shares</t>
        </is>
      </c>
      <c r="C65">
        <f>(Assumptions!$B$32+Assumptions!$B$33+Assumptions!$B$34+Assumptions!$B$35)+C38+C41+C63+C64</f>
        <v/>
      </c>
      <c r="D65">
        <f>(Assumptions!$B$32+Assumptions!$B$33+Assumptions!$B$34+Assumptions!$B$35)+D38+D41+D63+D64</f>
        <v/>
      </c>
      <c r="E65">
        <f>(Assumptions!$B$32+Assumptions!$B$33+Assumptions!$B$34+Assumptions!$B$35)+E38+E41+E63+E64</f>
        <v/>
      </c>
      <c r="F65">
        <f>(Assumptions!$B$32+Assumptions!$B$33+Assumptions!$B$34+Assumptions!$B$35)+F38+F41+F63+F64</f>
        <v/>
      </c>
      <c r="G65">
        <f>(Assumptions!$B$32+Assumptions!$B$33+Assumptions!$B$34+Assumptions!$B$35)+G38+G41+G63+G64</f>
        <v/>
      </c>
      <c r="H65">
        <f>(Assumptions!$B$32+Assumptions!$B$33+Assumptions!$B$34+Assumptions!$B$35)+H38+H41+H63+H64</f>
        <v/>
      </c>
      <c r="I65">
        <f>(Assumptions!$B$32+Assumptions!$B$33+Assumptions!$B$34+Assumptions!$B$35)+I38+I41+I63+I64</f>
        <v/>
      </c>
      <c r="J65">
        <f>(Assumptions!$B$32+Assumptions!$B$33+Assumptions!$B$34+Assumptions!$B$35)+J38+J41+J63+J64</f>
        <v/>
      </c>
      <c r="K65">
        <f>(Assumptions!$B$32+Assumptions!$B$33+Assumptions!$B$34+Assumptions!$B$35)+K38+K41+K63+K64</f>
        <v/>
      </c>
    </row>
    <row r="66">
      <c r="A66" t="inlineStr">
        <is>
          <t>Prefs taken</t>
        </is>
      </c>
      <c r="C66">
        <f>IF(C55="preference",Assumptions!$B$3,0)+IF(C56="preference",Assumptions!$B$47,0)+IF(C57="preference",Assumptions!$B$46,0)+IF(C58="preference",Assumptions!$B$45,0)+IF(C59="preference",Assumptions!$B$44,0)+IF(C60="preference",Assumptions!$B$43,0)+IF(C61="preference",Assumptions!$B$42,0)</f>
        <v/>
      </c>
      <c r="D66">
        <f>IF(D55="preference",Assumptions!$B$3,0)+IF(D56="preference",Assumptions!$B$47,0)+IF(D57="preference",Assumptions!$B$46,0)+IF(D58="preference",Assumptions!$B$45,0)+IF(D59="preference",Assumptions!$B$44,0)+IF(D60="preference",Assumptions!$B$43,0)+IF(D61="preference",Assumptions!$B$42,0)</f>
        <v/>
      </c>
      <c r="E66">
        <f>IF(E55="preference",Assumptions!$B$3,0)+IF(E56="preference",Assumptions!$B$47,0)+IF(E57="preference",Assumptions!$B$46,0)+IF(E58="preference",Assumptions!$B$45,0)+IF(E59="preference",Assumptions!$B$44,0)+IF(E60="preference",Assumptions!$B$43,0)+IF(E61="preference",Assumptions!$B$42,0)</f>
        <v/>
      </c>
      <c r="F66">
        <f>IF(F55="preference",Assumptions!$B$3,0)+IF(F56="preference",Assumptions!$B$47,0)+IF(F57="preference",Assumptions!$B$46,0)+IF(F58="preference",Assumptions!$B$45,0)+IF(F59="preference",Assumptions!$B$44,0)+IF(F60="preference",Assumptions!$B$43,0)+IF(F61="preference",Assumptions!$B$42,0)</f>
        <v/>
      </c>
      <c r="G66">
        <f>IF(G55="preference",Assumptions!$B$3,0)+IF(G56="preference",Assumptions!$B$47,0)+IF(G57="preference",Assumptions!$B$46,0)+IF(G58="preference",Assumptions!$B$45,0)+IF(G59="preference",Assumptions!$B$44,0)+IF(G60="preference",Assumptions!$B$43,0)+IF(G61="preference",Assumptions!$B$42,0)</f>
        <v/>
      </c>
      <c r="H66">
        <f>IF(H55="preference",Assumptions!$B$3,0)+IF(H56="preference",Assumptions!$B$47,0)+IF(H57="preference",Assumptions!$B$46,0)+IF(H58="preference",Assumptions!$B$45,0)+IF(H59="preference",Assumptions!$B$44,0)+IF(H60="preference",Assumptions!$B$43,0)+IF(H61="preference",Assumptions!$B$42,0)</f>
        <v/>
      </c>
      <c r="I66">
        <f>IF(I55="preference",Assumptions!$B$3,0)+IF(I56="preference",Assumptions!$B$47,0)+IF(I57="preference",Assumptions!$B$46,0)+IF(I58="preference",Assumptions!$B$45,0)+IF(I59="preference",Assumptions!$B$44,0)+IF(I60="preference",Assumptions!$B$43,0)+IF(I61="preference",Assumptions!$B$42,0)</f>
        <v/>
      </c>
      <c r="J66">
        <f>IF(J55="preference",Assumptions!$B$3,0)+IF(J56="preference",Assumptions!$B$47,0)+IF(J57="preference",Assumptions!$B$46,0)+IF(J58="preference",Assumptions!$B$45,0)+IF(J59="preference",Assumptions!$B$44,0)+IF(J60="preference",Assumptions!$B$43,0)+IF(J61="preference",Assumptions!$B$42,0)</f>
        <v/>
      </c>
      <c r="K66">
        <f>IF(K55="preference",Assumptions!$B$3,0)+IF(K56="preference",Assumptions!$B$47,0)+IF(K57="preference",Assumptions!$B$46,0)+IF(K58="preference",Assumptions!$B$45,0)+IF(K59="preference",Assumptions!$B$44,0)+IF(K60="preference",Assumptions!$B$43,0)+IF(K61="preference",Assumptions!$B$42,0)</f>
        <v/>
      </c>
    </row>
    <row r="67">
      <c r="A67" t="inlineStr">
        <is>
          <t>Residual</t>
        </is>
      </c>
      <c r="C67">
        <f>C46-C66+C63*Assumptions!$B$9</f>
        <v/>
      </c>
      <c r="D67">
        <f>D46-D66+D63*Assumptions!$B$9</f>
        <v/>
      </c>
      <c r="E67">
        <f>E46-E66+E63*Assumptions!$B$9</f>
        <v/>
      </c>
      <c r="F67">
        <f>F46-F66+F63*Assumptions!$B$9</f>
        <v/>
      </c>
      <c r="G67">
        <f>G46-G66+G63*Assumptions!$B$9</f>
        <v/>
      </c>
      <c r="H67">
        <f>H46-H66+H63*Assumptions!$B$9</f>
        <v/>
      </c>
      <c r="I67">
        <f>I46-I66+I63*Assumptions!$B$9</f>
        <v/>
      </c>
      <c r="J67">
        <f>J46-J66+J63*Assumptions!$B$9</f>
        <v/>
      </c>
      <c r="K67">
        <f>K46-K66+K63*Assumptions!$B$9</f>
        <v/>
      </c>
    </row>
    <row r="68">
      <c r="A68" t="inlineStr">
        <is>
          <t>F proceeds</t>
        </is>
      </c>
      <c r="C68">
        <f>IF(C55="convert",C25*C54,Assumptions!$B$3)</f>
        <v/>
      </c>
      <c r="D68">
        <f>IF(D55="convert",D25*D54,Assumptions!$B$3)</f>
        <v/>
      </c>
      <c r="E68">
        <f>IF(E55="convert",E25*E54,Assumptions!$B$3)</f>
        <v/>
      </c>
      <c r="F68">
        <f>IF(F55="convert",F25*F54,Assumptions!$B$3)</f>
        <v/>
      </c>
      <c r="G68">
        <f>IF(G55="convert",G25*G54,Assumptions!$B$3)</f>
        <v/>
      </c>
      <c r="H68">
        <f>IF(H55="convert",H25*H54,Assumptions!$B$3)</f>
        <v/>
      </c>
      <c r="I68">
        <f>IF(I55="convert",I25*I54,Assumptions!$B$3)</f>
        <v/>
      </c>
      <c r="J68">
        <f>IF(J55="convert",J25*J54,Assumptions!$B$3)</f>
        <v/>
      </c>
      <c r="K68">
        <f>IF(K55="convert",K25*K54,Assumptions!$B$3)</f>
        <v/>
      </c>
    </row>
    <row r="69">
      <c r="A69" t="inlineStr">
        <is>
          <t>E proc</t>
        </is>
      </c>
      <c r="C69">
        <f>IF(C56="convert",C29*C54,Assumptions!$B$47)</f>
        <v/>
      </c>
      <c r="D69">
        <f>IF(D56="convert",D29*D54,Assumptions!$B$47)</f>
        <v/>
      </c>
      <c r="E69">
        <f>IF(E56="convert",E29*E54,Assumptions!$B$47)</f>
        <v/>
      </c>
      <c r="F69">
        <f>IF(F56="convert",F29*F54,Assumptions!$B$47)</f>
        <v/>
      </c>
      <c r="G69">
        <f>IF(G56="convert",G29*G54,Assumptions!$B$47)</f>
        <v/>
      </c>
      <c r="H69">
        <f>IF(H56="convert",H29*H54,Assumptions!$B$47)</f>
        <v/>
      </c>
      <c r="I69">
        <f>IF(I56="convert",I29*I54,Assumptions!$B$47)</f>
        <v/>
      </c>
      <c r="J69">
        <f>IF(J56="convert",J29*J54,Assumptions!$B$47)</f>
        <v/>
      </c>
      <c r="K69">
        <f>IF(K56="convert",K29*K54,Assumptions!$B$47)</f>
        <v/>
      </c>
    </row>
    <row r="70">
      <c r="A70" t="inlineStr">
        <is>
          <t>D proc</t>
        </is>
      </c>
      <c r="C70">
        <f>IF(C57="convert",C33*C54,Assumptions!$B$46)</f>
        <v/>
      </c>
      <c r="D70">
        <f>IF(D57="convert",D33*D54,Assumptions!$B$46)</f>
        <v/>
      </c>
      <c r="E70">
        <f>IF(E57="convert",E33*E54,Assumptions!$B$46)</f>
        <v/>
      </c>
      <c r="F70">
        <f>IF(F57="convert",F33*F54,Assumptions!$B$46)</f>
        <v/>
      </c>
      <c r="G70">
        <f>IF(G57="convert",G33*G54,Assumptions!$B$46)</f>
        <v/>
      </c>
      <c r="H70">
        <f>IF(H57="convert",H33*H54,Assumptions!$B$46)</f>
        <v/>
      </c>
      <c r="I70">
        <f>IF(I57="convert",I33*I54,Assumptions!$B$46)</f>
        <v/>
      </c>
      <c r="J70">
        <f>IF(J57="convert",J33*J54,Assumptions!$B$46)</f>
        <v/>
      </c>
      <c r="K70">
        <f>IF(K57="convert",K33*K54,Assumptions!$B$46)</f>
        <v/>
      </c>
    </row>
    <row r="71">
      <c r="A71" t="inlineStr">
        <is>
          <t>C proc</t>
        </is>
      </c>
      <c r="C71">
        <f>IF(C58="convert",Assumptions!$B$39*C54,Assumptions!$B$45)</f>
        <v/>
      </c>
      <c r="D71">
        <f>IF(D58="convert",Assumptions!$B$39*D54,Assumptions!$B$45)</f>
        <v/>
      </c>
      <c r="E71">
        <f>IF(E58="convert",Assumptions!$B$39*E54,Assumptions!$B$45)</f>
        <v/>
      </c>
      <c r="F71">
        <f>IF(F58="convert",Assumptions!$B$39*F54,Assumptions!$B$45)</f>
        <v/>
      </c>
      <c r="G71">
        <f>IF(G58="convert",Assumptions!$B$39*G54,Assumptions!$B$45)</f>
        <v/>
      </c>
      <c r="H71">
        <f>IF(H58="convert",Assumptions!$B$39*H54,Assumptions!$B$45)</f>
        <v/>
      </c>
      <c r="I71">
        <f>IF(I58="convert",Assumptions!$B$39*I54,Assumptions!$B$45)</f>
        <v/>
      </c>
      <c r="J71">
        <f>IF(J58="convert",Assumptions!$B$39*J54,Assumptions!$B$45)</f>
        <v/>
      </c>
      <c r="K71">
        <f>IF(K58="convert",Assumptions!$B$39*K54,Assumptions!$B$45)</f>
        <v/>
      </c>
    </row>
    <row r="72">
      <c r="A72" t="inlineStr">
        <is>
          <t>B proc</t>
        </is>
      </c>
      <c r="C72">
        <f>IF(C59="convert",Assumptions!$B$38*C54,Assumptions!$B$44)</f>
        <v/>
      </c>
      <c r="D72">
        <f>IF(D59="convert",Assumptions!$B$38*D54,Assumptions!$B$44)</f>
        <v/>
      </c>
      <c r="E72">
        <f>IF(E59="convert",Assumptions!$B$38*E54,Assumptions!$B$44)</f>
        <v/>
      </c>
      <c r="F72">
        <f>IF(F59="convert",Assumptions!$B$38*F54,Assumptions!$B$44)</f>
        <v/>
      </c>
      <c r="G72">
        <f>IF(G59="convert",Assumptions!$B$38*G54,Assumptions!$B$44)</f>
        <v/>
      </c>
      <c r="H72">
        <f>IF(H59="convert",Assumptions!$B$38*H54,Assumptions!$B$44)</f>
        <v/>
      </c>
      <c r="I72">
        <f>IF(I59="convert",Assumptions!$B$38*I54,Assumptions!$B$44)</f>
        <v/>
      </c>
      <c r="J72">
        <f>IF(J59="convert",Assumptions!$B$38*J54,Assumptions!$B$44)</f>
        <v/>
      </c>
      <c r="K72">
        <f>IF(K59="convert",Assumptions!$B$38*K54,Assumptions!$B$44)</f>
        <v/>
      </c>
    </row>
    <row r="73">
      <c r="A73" t="inlineStr">
        <is>
          <t>A proc</t>
        </is>
      </c>
      <c r="C73">
        <f>IF(C60="convert",Assumptions!$B$37*C54,Assumptions!$B$43)</f>
        <v/>
      </c>
      <c r="D73">
        <f>IF(D60="convert",Assumptions!$B$37*D54,Assumptions!$B$43)</f>
        <v/>
      </c>
      <c r="E73">
        <f>IF(E60="convert",Assumptions!$B$37*E54,Assumptions!$B$43)</f>
        <v/>
      </c>
      <c r="F73">
        <f>IF(F60="convert",Assumptions!$B$37*F54,Assumptions!$B$43)</f>
        <v/>
      </c>
      <c r="G73">
        <f>IF(G60="convert",Assumptions!$B$37*G54,Assumptions!$B$43)</f>
        <v/>
      </c>
      <c r="H73">
        <f>IF(H60="convert",Assumptions!$B$37*H54,Assumptions!$B$43)</f>
        <v/>
      </c>
      <c r="I73">
        <f>IF(I60="convert",Assumptions!$B$37*I54,Assumptions!$B$43)</f>
        <v/>
      </c>
      <c r="J73">
        <f>IF(J60="convert",Assumptions!$B$37*J54,Assumptions!$B$43)</f>
        <v/>
      </c>
      <c r="K73">
        <f>IF(K60="convert",Assumptions!$B$37*K54,Assumptions!$B$43)</f>
        <v/>
      </c>
    </row>
    <row r="74">
      <c r="A74" t="inlineStr">
        <is>
          <t>S proc</t>
        </is>
      </c>
      <c r="C74">
        <f>IF(C61="convert",Assumptions!$B$36*C54,Assumptions!$B$42)</f>
        <v/>
      </c>
      <c r="D74">
        <f>IF(D61="convert",Assumptions!$B$36*D54,Assumptions!$B$42)</f>
        <v/>
      </c>
      <c r="E74">
        <f>IF(E61="convert",Assumptions!$B$36*E54,Assumptions!$B$42)</f>
        <v/>
      </c>
      <c r="F74">
        <f>IF(F61="convert",Assumptions!$B$36*F54,Assumptions!$B$42)</f>
        <v/>
      </c>
      <c r="G74">
        <f>IF(G61="convert",Assumptions!$B$36*G54,Assumptions!$B$42)</f>
        <v/>
      </c>
      <c r="H74">
        <f>IF(H61="convert",Assumptions!$B$36*H54,Assumptions!$B$42)</f>
        <v/>
      </c>
      <c r="I74">
        <f>IF(I61="convert",Assumptions!$B$36*I54,Assumptions!$B$42)</f>
        <v/>
      </c>
      <c r="J74">
        <f>IF(J61="convert",Assumptions!$B$36*J54,Assumptions!$B$42)</f>
        <v/>
      </c>
      <c r="K74">
        <f>IF(K61="convert",Assumptions!$B$36*K54,Assumptions!$B$42)</f>
        <v/>
      </c>
    </row>
    <row r="75">
      <c r="A75" t="inlineStr">
        <is>
          <t>Notes proc</t>
        </is>
      </c>
      <c r="C75">
        <f>(C38+C41)*C54</f>
        <v/>
      </c>
      <c r="D75">
        <f>(D38+D41)*D54</f>
        <v/>
      </c>
      <c r="E75">
        <f>(E38+E41)*E54</f>
        <v/>
      </c>
      <c r="F75">
        <f>(F38+F41)*F54</f>
        <v/>
      </c>
      <c r="G75">
        <f>(G38+G41)*G54</f>
        <v/>
      </c>
      <c r="H75">
        <f>(H38+H41)*H54</f>
        <v/>
      </c>
      <c r="I75">
        <f>(I38+I41)*I54</f>
        <v/>
      </c>
      <c r="J75">
        <f>(J38+J41)*J54</f>
        <v/>
      </c>
      <c r="K75">
        <f>(K38+K41)*K54</f>
        <v/>
      </c>
    </row>
    <row r="76">
      <c r="A76" t="inlineStr">
        <is>
          <t>Common proc</t>
        </is>
      </c>
      <c r="C76">
        <f>(Assumptions!$B$32+Assumptions!$B$33+Assumptions!$B$34+Assumptions!$B$35)*C54</f>
        <v/>
      </c>
      <c r="D76">
        <f>(Assumptions!$B$32+Assumptions!$B$33+Assumptions!$B$34+Assumptions!$B$35)*D54</f>
        <v/>
      </c>
      <c r="E76">
        <f>(Assumptions!$B$32+Assumptions!$B$33+Assumptions!$B$34+Assumptions!$B$35)*E54</f>
        <v/>
      </c>
      <c r="F76">
        <f>(Assumptions!$B$32+Assumptions!$B$33+Assumptions!$B$34+Assumptions!$B$35)*F54</f>
        <v/>
      </c>
      <c r="G76">
        <f>(Assumptions!$B$32+Assumptions!$B$33+Assumptions!$B$34+Assumptions!$B$35)*G54</f>
        <v/>
      </c>
      <c r="H76">
        <f>(Assumptions!$B$32+Assumptions!$B$33+Assumptions!$B$34+Assumptions!$B$35)*H54</f>
        <v/>
      </c>
      <c r="I76">
        <f>(Assumptions!$B$32+Assumptions!$B$33+Assumptions!$B$34+Assumptions!$B$35)*I54</f>
        <v/>
      </c>
      <c r="J76">
        <f>(Assumptions!$B$32+Assumptions!$B$33+Assumptions!$B$34+Assumptions!$B$35)*J54</f>
        <v/>
      </c>
      <c r="K76">
        <f>(Assumptions!$B$32+Assumptions!$B$33+Assumptions!$B$34+Assumptions!$B$35)*K54</f>
        <v/>
      </c>
    </row>
    <row r="77">
      <c r="A77" t="inlineStr">
        <is>
          <t>Options proc</t>
        </is>
      </c>
      <c r="C77">
        <f>C63*MAX(C54-Assumptions!$B$9,0)</f>
        <v/>
      </c>
      <c r="D77">
        <f>D63*MAX(D54-Assumptions!$B$9,0)</f>
        <v/>
      </c>
      <c r="E77">
        <f>E63*MAX(E54-Assumptions!$B$9,0)</f>
        <v/>
      </c>
      <c r="F77">
        <f>F63*MAX(F54-Assumptions!$B$9,0)</f>
        <v/>
      </c>
      <c r="G77">
        <f>G63*MAX(G54-Assumptions!$B$9,0)</f>
        <v/>
      </c>
      <c r="H77">
        <f>H63*MAX(H54-Assumptions!$B$9,0)</f>
        <v/>
      </c>
      <c r="I77">
        <f>I63*MAX(I54-Assumptions!$B$9,0)</f>
        <v/>
      </c>
      <c r="J77">
        <f>J63*MAX(J54-Assumptions!$B$9,0)</f>
        <v/>
      </c>
      <c r="K77">
        <f>K63*MAX(K54-Assumptions!$B$9,0)</f>
        <v/>
      </c>
    </row>
    <row r="78">
      <c r="A78" t="inlineStr">
        <is>
          <t>TOTAL</t>
        </is>
      </c>
      <c r="C78">
        <f>SUM(C68:C77)</f>
        <v/>
      </c>
      <c r="D78">
        <f>SUM(D68:D77)</f>
        <v/>
      </c>
      <c r="E78">
        <f>SUM(E68:E77)</f>
        <v/>
      </c>
      <c r="F78">
        <f>SUM(F68:F77)</f>
        <v/>
      </c>
      <c r="G78">
        <f>SUM(G68:G77)</f>
        <v/>
      </c>
      <c r="H78">
        <f>SUM(H68:H77)</f>
        <v/>
      </c>
      <c r="I78">
        <f>SUM(I68:I77)</f>
        <v/>
      </c>
      <c r="J78">
        <f>SUM(J68:J77)</f>
        <v/>
      </c>
      <c r="K78">
        <f>SUM(K68:K77)</f>
        <v/>
      </c>
    </row>
    <row r="79">
      <c r="A79" t="inlineStr">
        <is>
          <t>Our $ at $2B = own × residual (if F conv) else our pref</t>
        </is>
      </c>
      <c r="C79">
        <f>C68/3</f>
        <v/>
      </c>
      <c r="D79">
        <f>D68/3</f>
        <v/>
      </c>
      <c r="E79">
        <f>E68/3</f>
        <v/>
      </c>
      <c r="F79">
        <f>F68/3</f>
        <v/>
      </c>
      <c r="G79">
        <f>G68/3</f>
        <v/>
      </c>
      <c r="H79">
        <f>H68/3</f>
        <v/>
      </c>
      <c r="I79">
        <f>I68/3</f>
        <v/>
      </c>
      <c r="J79">
        <f>J68/3</f>
        <v/>
      </c>
      <c r="K79">
        <f>K68/3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3" t="inlineStr">
        <is>
          <t>RETURN SOLVER — Series F ownership % needed for 3× / 4× return on $10M</t>
        </is>
      </c>
    </row>
    <row r="3">
      <c r="A3" s="3" t="inlineStr">
        <is>
          <t>Metric</t>
        </is>
      </c>
      <c r="B3" s="3" t="inlineStr">
        <is>
          <t>$700M</t>
        </is>
      </c>
      <c r="C3" s="3" t="inlineStr">
        <is>
          <t>$1.2B</t>
        </is>
      </c>
      <c r="D3" s="3" t="inlineStr">
        <is>
          <t>$2B</t>
        </is>
      </c>
      <c r="E3" s="3" t="inlineStr">
        <is>
          <t>$4B</t>
        </is>
      </c>
      <c r="F3" s="3" t="inlineStr">
        <is>
          <t>$8B</t>
        </is>
      </c>
    </row>
    <row r="4">
      <c r="A4" t="inlineStr">
        <is>
          <t>Exit value (USD)</t>
        </is>
      </c>
      <c r="B4" s="7">
        <f>Assumptions!$B$15</f>
        <v/>
      </c>
      <c r="C4" s="7">
        <f>Assumptions!$B$16</f>
        <v/>
      </c>
      <c r="D4" s="7">
        <f>Assumptions!$B$17</f>
        <v/>
      </c>
      <c r="E4" s="7">
        <f>Assumptions!$B$18</f>
        <v/>
      </c>
      <c r="F4" s="7">
        <f>Assumptions!$B$19</f>
        <v/>
      </c>
    </row>
    <row r="5">
      <c r="A5" t="inlineStr">
        <is>
          <t>F election (from Waterfall)</t>
        </is>
      </c>
      <c r="B5">
        <f>Waterfall!C36</f>
        <v/>
      </c>
      <c r="C5">
        <f>Waterfall!D36</f>
        <v/>
      </c>
      <c r="D5">
        <f>Waterfall!E36</f>
        <v/>
      </c>
      <c r="E5">
        <f>Waterfall!F36</f>
        <v/>
      </c>
      <c r="F5">
        <f>Waterfall!G36</f>
        <v/>
      </c>
    </row>
    <row r="6">
      <c r="A6" t="inlineStr">
        <is>
          <t>F class total proceeds (base case)</t>
        </is>
      </c>
      <c r="B6" s="7">
        <f>Waterfall!C60</f>
        <v/>
      </c>
      <c r="C6" s="7">
        <f>Waterfall!D60</f>
        <v/>
      </c>
      <c r="D6" s="7">
        <f>Waterfall!E60</f>
        <v/>
      </c>
      <c r="E6" s="7">
        <f>Waterfall!F60</f>
        <v/>
      </c>
      <c r="F6" s="7">
        <f>Waterfall!G60</f>
        <v/>
      </c>
    </row>
    <row r="7">
      <c r="A7" t="inlineStr">
        <is>
          <t>Target $ for 3×</t>
        </is>
      </c>
      <c r="B7" s="7">
        <f>Assumptions!$B$55*Assumptions!$B$7</f>
        <v/>
      </c>
      <c r="C7" s="7">
        <f>Assumptions!$B$55*Assumptions!$B$7</f>
        <v/>
      </c>
      <c r="D7" s="7">
        <f>Assumptions!$B$55*Assumptions!$B$7</f>
        <v/>
      </c>
      <c r="E7" s="7">
        <f>Assumptions!$B$55*Assumptions!$B$7</f>
        <v/>
      </c>
      <c r="F7" s="7">
        <f>Assumptions!$B$55*Assumptions!$B$7</f>
        <v/>
      </c>
    </row>
    <row r="8">
      <c r="A8" t="inlineStr">
        <is>
          <t>Target $ for 4×</t>
        </is>
      </c>
      <c r="B8" s="7">
        <f>Assumptions!$B$56*Assumptions!$B$7</f>
        <v/>
      </c>
      <c r="C8" s="7">
        <f>Assumptions!$B$56*Assumptions!$B$7</f>
        <v/>
      </c>
      <c r="D8" s="7">
        <f>Assumptions!$B$56*Assumptions!$B$7</f>
        <v/>
      </c>
      <c r="E8" s="7">
        <f>Assumptions!$B$56*Assumptions!$B$7</f>
        <v/>
      </c>
      <c r="F8" s="7">
        <f>Assumptions!$B$56*Assumptions!$B$7</f>
        <v/>
      </c>
    </row>
    <row r="9">
      <c r="A9" t="inlineStr">
        <is>
          <t>F ownership % needed for 3×</t>
        </is>
      </c>
      <c r="B9" s="8">
        <f>IFERROR(B7/B6, "infeasible")</f>
        <v/>
      </c>
      <c r="C9" s="8">
        <f>IFERROR(C7/C6, "infeasible")</f>
        <v/>
      </c>
      <c r="D9" s="8">
        <f>IFERROR(D7/D6, "infeasible")</f>
        <v/>
      </c>
      <c r="E9" s="8">
        <f>IFERROR(E7/E6, "infeasible")</f>
        <v/>
      </c>
      <c r="F9" s="8">
        <f>IFERROR(F7/F6, "infeasible")</f>
        <v/>
      </c>
    </row>
    <row r="10">
      <c r="A10" t="inlineStr">
        <is>
          <t>F ownership % needed for 4×</t>
        </is>
      </c>
      <c r="B10" s="8">
        <f>IFERROR(B8/B6, "infeasible")</f>
        <v/>
      </c>
      <c r="C10" s="8">
        <f>IFERROR(C8/C6, "infeasible")</f>
        <v/>
      </c>
      <c r="D10" s="8">
        <f>IFERROR(D8/D6, "infeasible")</f>
        <v/>
      </c>
      <c r="E10" s="8">
        <f>IFERROR(E8/E6, "infeasible")</f>
        <v/>
      </c>
      <c r="F10" s="8">
        <f>IFERROR(F8/F6, "infeasible")</f>
        <v/>
      </c>
    </row>
    <row r="11">
      <c r="A11" t="inlineStr">
        <is>
          <t>Feasibility flag (3×)</t>
        </is>
      </c>
      <c r="B11">
        <f>IF(ISNUMBER(B9),IF(AND(B9&gt;0,B9&lt;=1),"feasible","infeasible"),"infeasible")</f>
        <v/>
      </c>
      <c r="C11">
        <f>IF(ISNUMBER(C9),IF(AND(C9&gt;0,C9&lt;=1),"feasible","infeasible"),"infeasible")</f>
        <v/>
      </c>
      <c r="D11">
        <f>IF(ISNUMBER(D9),IF(AND(D9&gt;0,D9&lt;=1),"feasible","infeasible"),"infeasible")</f>
        <v/>
      </c>
      <c r="E11">
        <f>IF(ISNUMBER(E9),IF(AND(E9&gt;0,E9&lt;=1),"feasible","infeasible"),"infeasible")</f>
        <v/>
      </c>
      <c r="F11">
        <f>IF(ISNUMBER(F9),IF(AND(F9&gt;0,F9&lt;=1),"feasible","infeasible"),"infeasible")</f>
        <v/>
      </c>
    </row>
    <row r="12">
      <c r="A12" t="inlineStr">
        <is>
          <t>Feasibility flag (4×)</t>
        </is>
      </c>
      <c r="B12">
        <f>IF(ISNUMBER(B10),IF(AND(B10&gt;0,B10&lt;=1),"feasible","infeasible"),"infeasible")</f>
        <v/>
      </c>
      <c r="C12">
        <f>IF(ISNUMBER(C10),IF(AND(C10&gt;0,C10&lt;=1),"feasible","infeasible"),"infeasible")</f>
        <v/>
      </c>
      <c r="D12">
        <f>IF(ISNUMBER(D10),IF(AND(D10&gt;0,D10&lt;=1),"feasible","infeasible"),"infeasible")</f>
        <v/>
      </c>
      <c r="E12">
        <f>IF(ISNUMBER(E10),IF(AND(E10&gt;0,E10&lt;=1),"feasible","infeasible"),"infeasible")</f>
        <v/>
      </c>
      <c r="F12">
        <f>IF(ISNUMBER(F10),IF(AND(F10&gt;0,F10&lt;=1),"feasible","infeasible"),"infeasible")</f>
        <v/>
      </c>
    </row>
    <row r="14">
      <c r="A14" t="inlineStr">
        <is>
          <t>Method: x × F_total_proceeds = target; x = target / F_total_proceeds. F_total_proceeds reflects F's election (preference vs convert) at each exit per the base-case full waterfall.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2026-04-26T20:19:28Z</dcterms:created>
  <dcterms:modified xmlns:dcterms="http://purl.org/dc/terms/" xmlns:xsi="http://www.w3.org/2001/XMLSchema-instance" xsi:type="dcterms:W3CDTF">2026-04-26T20:19:28Z</dcterms:modified>
</cp:coreProperties>
</file>