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-Forma" sheetId="2" state="visible" r:id="rId2"/>
    <sheet xmlns:r="http://schemas.openxmlformats.org/officeDocument/2006/relationships" name="Waterfall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turn-Solver" sheetId="5" state="visible" r:id="rId5"/>
  </sheets>
  <definedNames/>
  <calcPr calcId="124519" fullCalcOnLoad="1" iterate="1" iterateCount="200" iterateDelta="0.000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50" customWidth="1" min="3" max="3"/>
  </cols>
  <sheetData>
    <row r="1">
      <c r="A1" s="1" t="inlineStr">
        <is>
          <t>Knob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series_f_pre_money</t>
        </is>
      </c>
      <c r="B2" t="n">
        <v>1400000000</v>
      </c>
      <c r="C2" t="inlineStr">
        <is>
          <t>Series F pre-money USD</t>
        </is>
      </c>
    </row>
    <row r="3">
      <c r="A3" t="inlineStr">
        <is>
          <t>series_f_primary_raise</t>
        </is>
      </c>
      <c r="B3" t="n">
        <v>30000000</v>
      </c>
      <c r="C3" t="inlineStr">
        <is>
          <t>New Series F primary capital USD</t>
        </is>
      </c>
    </row>
    <row r="4">
      <c r="A4" t="inlineStr">
        <is>
          <t>series_f_secondary_raise</t>
        </is>
      </c>
      <c r="B4" t="n">
        <v>15000000</v>
      </c>
      <c r="C4" t="inlineStr">
        <is>
          <t>Secondary tender USD</t>
        </is>
      </c>
    </row>
    <row r="5">
      <c r="A5" t="inlineStr">
        <is>
          <t>tender_pps_multiplier</t>
        </is>
      </c>
      <c r="B5" t="n">
        <v>0.85</v>
      </c>
      <c r="C5" t="inlineStr">
        <is>
          <t>Tender PPS = mult x F_PPS</t>
        </is>
      </c>
    </row>
    <row r="6">
      <c r="A6" t="inlineStr">
        <is>
          <t>esop_refresh_target</t>
        </is>
      </c>
      <c r="B6" t="n">
        <v>0.13</v>
      </c>
      <c r="C6" t="inlineStr">
        <is>
          <t>Post-F ESOP as fraction of post-F FD</t>
        </is>
      </c>
    </row>
    <row r="7">
      <c r="A7" t="inlineStr">
        <is>
          <t>our_check</t>
        </is>
      </c>
      <c r="B7" t="n">
        <v>10000000</v>
      </c>
      <c r="C7" t="inlineStr">
        <is>
          <t>Our fund Series F primary</t>
        </is>
      </c>
    </row>
    <row r="8">
      <c r="A8" t="inlineStr">
        <is>
          <t>flead_primary_check</t>
        </is>
      </c>
      <c r="B8" t="n">
        <v>20000000</v>
      </c>
      <c r="C8" t="inlineStr">
        <is>
          <t>F_LEAD Series F primary</t>
        </is>
      </c>
    </row>
    <row r="9">
      <c r="A9" t="inlineStr">
        <is>
          <t>exit_1</t>
        </is>
      </c>
      <c r="B9" t="n">
        <v>700000000</v>
      </c>
      <c r="C9" t="inlineStr">
        <is>
          <t>Exit scenario 1</t>
        </is>
      </c>
    </row>
    <row r="10">
      <c r="A10" t="inlineStr">
        <is>
          <t>exit_2</t>
        </is>
      </c>
      <c r="B10" t="n">
        <v>1200000000</v>
      </c>
      <c r="C10" t="inlineStr">
        <is>
          <t>Exit scenario 2</t>
        </is>
      </c>
    </row>
    <row r="11">
      <c r="A11" t="inlineStr">
        <is>
          <t>exit_3</t>
        </is>
      </c>
      <c r="B11" t="n">
        <v>2000000000</v>
      </c>
      <c r="C11" t="inlineStr">
        <is>
          <t>Exit scenario 3 (sensitivity)</t>
        </is>
      </c>
    </row>
    <row r="12">
      <c r="A12" t="inlineStr">
        <is>
          <t>exit_4</t>
        </is>
      </c>
      <c r="B12" t="n">
        <v>4000000000</v>
      </c>
      <c r="C12" t="inlineStr">
        <is>
          <t>Exit scenario 4</t>
        </is>
      </c>
    </row>
    <row r="13">
      <c r="A13" t="inlineStr">
        <is>
          <t>exit_5</t>
        </is>
      </c>
      <c r="B13" t="n">
        <v>8000000000</v>
      </c>
      <c r="C13" t="inlineStr">
        <is>
          <t>Exit scenario 5</t>
        </is>
      </c>
    </row>
    <row r="14">
      <c r="A14" t="inlineStr">
        <is>
          <t>ocp_seed</t>
        </is>
      </c>
      <c r="B14" t="n">
        <v>1</v>
      </c>
      <c r="C14" t="inlineStr">
        <is>
          <t>Seed OCP</t>
        </is>
      </c>
    </row>
    <row r="15">
      <c r="A15" t="inlineStr">
        <is>
          <t>ocp_a</t>
        </is>
      </c>
      <c r="B15" t="n">
        <v>3</v>
      </c>
      <c r="C15" t="inlineStr">
        <is>
          <t>Series A OCP</t>
        </is>
      </c>
    </row>
    <row r="16">
      <c r="A16" t="inlineStr">
        <is>
          <t>ocp_b</t>
        </is>
      </c>
      <c r="B16" t="n">
        <v>10</v>
      </c>
      <c r="C16" t="inlineStr">
        <is>
          <t>Series B OCP</t>
        </is>
      </c>
    </row>
    <row r="17">
      <c r="A17" t="inlineStr">
        <is>
          <t>ocp_c</t>
        </is>
      </c>
      <c r="B17" t="n">
        <v>25</v>
      </c>
      <c r="C17" t="inlineStr">
        <is>
          <t>Series C OCP</t>
        </is>
      </c>
    </row>
    <row r="18">
      <c r="A18" t="inlineStr">
        <is>
          <t>ocp_d</t>
        </is>
      </c>
      <c r="B18" t="n">
        <v>58.118347</v>
      </c>
      <c r="C18" t="inlineStr">
        <is>
          <t>Series D OCP-for-AD (post-E NCP, compound v3)</t>
        </is>
      </c>
    </row>
    <row r="19">
      <c r="A19" t="inlineStr">
        <is>
          <t>ocp_e</t>
        </is>
      </c>
      <c r="B19" t="n">
        <v>49.158311</v>
      </c>
      <c r="C19" t="inlineStr">
        <is>
          <t>Series E OCP</t>
        </is>
      </c>
    </row>
    <row r="20">
      <c r="A20" t="inlineStr">
        <is>
          <t>option_strike</t>
        </is>
      </c>
      <c r="B20" t="n">
        <v>1</v>
      </c>
      <c r="C20" t="inlineStr">
        <is>
          <t>Option exercise price</t>
        </is>
      </c>
    </row>
    <row r="21">
      <c r="A21" t="inlineStr">
        <is>
          <t>note_a_principal</t>
        </is>
      </c>
      <c r="B21" t="n">
        <v>5000000</v>
      </c>
      <c r="C21" t="inlineStr">
        <is>
          <t>Note A principal USD</t>
        </is>
      </c>
    </row>
    <row r="22">
      <c r="A22" t="inlineStr">
        <is>
          <t>note_a_cap</t>
        </is>
      </c>
      <c r="B22" t="n">
        <v>1000000000</v>
      </c>
      <c r="C22" t="inlineStr">
        <is>
          <t>Note A valuation cap USD</t>
        </is>
      </c>
    </row>
    <row r="23">
      <c r="A23" t="inlineStr">
        <is>
          <t>note_a_discount</t>
        </is>
      </c>
      <c r="B23" t="n">
        <v>0.2</v>
      </c>
      <c r="C23" t="inlineStr">
        <is>
          <t>Note A discount</t>
        </is>
      </c>
    </row>
    <row r="24">
      <c r="A24" t="inlineStr">
        <is>
          <t>note_b_principal</t>
        </is>
      </c>
      <c r="B24" t="n">
        <v>3000000</v>
      </c>
      <c r="C24" t="inlineStr">
        <is>
          <t>Note B principal USD</t>
        </is>
      </c>
    </row>
    <row r="25">
      <c r="A25" t="inlineStr">
        <is>
          <t>note_b_cap</t>
        </is>
      </c>
      <c r="B25" t="n">
        <v>1600000000</v>
      </c>
      <c r="C25" t="inlineStr">
        <is>
          <t>Note B valuation cap USD</t>
        </is>
      </c>
    </row>
    <row r="26">
      <c r="A26" t="inlineStr">
        <is>
          <t>note_b_discount</t>
        </is>
      </c>
      <c r="B26" t="n">
        <v>0.15</v>
      </c>
      <c r="C26" t="inlineStr">
        <is>
          <t>Note B discount</t>
        </is>
      </c>
    </row>
    <row r="27">
      <c r="A27" t="inlineStr">
        <is>
          <t>ad_A_pre_F_FD</t>
        </is>
      </c>
      <c r="B27" t="n">
        <v>36617961</v>
      </c>
      <c r="C27" t="inlineStr">
        <is>
          <t>Broad-based WA A: pre-F FD shares</t>
        </is>
      </c>
    </row>
    <row r="28">
      <c r="A28" t="inlineStr">
        <is>
          <t>pre_F_options_issued</t>
        </is>
      </c>
      <c r="B28" t="n">
        <v>2500000</v>
      </c>
      <c r="C28" t="inlineStr">
        <is>
          <t>Issued options pre-F</t>
        </is>
      </c>
    </row>
    <row r="29">
      <c r="A29" t="inlineStr">
        <is>
          <t>pre_F_options_unissued</t>
        </is>
      </c>
      <c r="B29" t="n">
        <v>1894667</v>
      </c>
      <c r="C29" t="inlineStr">
        <is>
          <t>Unissued option pool pre-F</t>
        </is>
      </c>
    </row>
    <row r="30">
      <c r="A30" t="inlineStr">
        <is>
          <t>pre_F_options_total</t>
        </is>
      </c>
      <c r="B30" t="n">
        <v>4394667</v>
      </c>
      <c r="C30">
        <f> issued + unissued (pre-existing)</f>
        <v/>
      </c>
    </row>
    <row r="31">
      <c r="A31" t="inlineStr">
        <is>
          <t>d_orig_pps</t>
        </is>
      </c>
      <c r="B31" t="n">
        <v>60</v>
      </c>
      <c r="C31" t="inlineStr">
        <is>
          <t>Series D original PPS</t>
        </is>
      </c>
    </row>
    <row r="32">
      <c r="A32" t="inlineStr">
        <is>
          <t>d_pre_F_shares</t>
        </is>
      </c>
      <c r="B32" t="n">
        <v>1720627</v>
      </c>
      <c r="C32" t="inlineStr">
        <is>
          <t>Series D shares pre-F (post-E AD)</t>
        </is>
      </c>
    </row>
    <row r="33">
      <c r="A33" t="inlineStr">
        <is>
          <t>d_invested</t>
        </is>
      </c>
      <c r="B33" t="n">
        <v>100000000</v>
      </c>
      <c r="C33" t="inlineStr">
        <is>
          <t>Series D invested USD</t>
        </is>
      </c>
    </row>
    <row r="34">
      <c r="A34" t="inlineStr">
        <is>
          <t>e_pre_F_shares</t>
        </is>
      </c>
      <c r="B34" t="n">
        <v>6102667</v>
      </c>
      <c r="C34" t="inlineStr">
        <is>
          <t>Series E shares pre-F</t>
        </is>
      </c>
    </row>
    <row r="35">
      <c r="A35" t="inlineStr">
        <is>
          <t>e_invested</t>
        </is>
      </c>
      <c r="B35" t="n">
        <v>300000000</v>
      </c>
      <c r="C35" t="inlineStr">
        <is>
          <t>Series E invested USD</t>
        </is>
      </c>
    </row>
    <row r="36">
      <c r="A36" t="inlineStr">
        <is>
          <t>c_shares</t>
        </is>
      </c>
      <c r="B36" t="n">
        <v>2400000</v>
      </c>
      <c r="C36" t="inlineStr">
        <is>
          <t>Series C shares</t>
        </is>
      </c>
    </row>
    <row r="37">
      <c r="A37" t="inlineStr">
        <is>
          <t>c_invested</t>
        </is>
      </c>
      <c r="B37" t="n">
        <v>60000000</v>
      </c>
      <c r="C37" t="inlineStr">
        <is>
          <t>Series C invested USD</t>
        </is>
      </c>
    </row>
    <row r="38">
      <c r="A38" t="inlineStr">
        <is>
          <t>b_shares</t>
        </is>
      </c>
      <c r="B38" t="n">
        <v>3000000</v>
      </c>
      <c r="C38" t="inlineStr">
        <is>
          <t>Series B shares</t>
        </is>
      </c>
    </row>
    <row r="39">
      <c r="A39" t="inlineStr">
        <is>
          <t>b_invested</t>
        </is>
      </c>
      <c r="B39" t="n">
        <v>30000000</v>
      </c>
      <c r="C39" t="inlineStr">
        <is>
          <t>Series B invested USD</t>
        </is>
      </c>
    </row>
    <row r="40">
      <c r="A40" t="inlineStr">
        <is>
          <t>a_shares</t>
        </is>
      </c>
      <c r="B40" t="n">
        <v>5000000</v>
      </c>
      <c r="C40" t="inlineStr">
        <is>
          <t>Series A shares</t>
        </is>
      </c>
    </row>
    <row r="41">
      <c r="A41" t="inlineStr">
        <is>
          <t>a_invested</t>
        </is>
      </c>
      <c r="B41" t="n">
        <v>15000000</v>
      </c>
      <c r="C41" t="inlineStr">
        <is>
          <t>Series A invested USD</t>
        </is>
      </c>
    </row>
    <row r="42">
      <c r="A42" t="inlineStr">
        <is>
          <t>seed_shares</t>
        </is>
      </c>
      <c r="B42" t="n">
        <v>5000000</v>
      </c>
      <c r="C42" t="inlineStr">
        <is>
          <t>Seed shares</t>
        </is>
      </c>
    </row>
    <row r="43">
      <c r="A43" t="inlineStr">
        <is>
          <t>seed_invested</t>
        </is>
      </c>
      <c r="B43" t="n">
        <v>5000000</v>
      </c>
      <c r="C43" t="inlineStr">
        <is>
          <t>Seed invested USD</t>
        </is>
      </c>
    </row>
    <row r="44">
      <c r="A44" t="inlineStr">
        <is>
          <t>f1_shares</t>
        </is>
      </c>
      <c r="B44" t="n">
        <v>4000000</v>
      </c>
      <c r="C44" t="inlineStr">
        <is>
          <t>Founder F1 (CEO) common</t>
        </is>
      </c>
    </row>
    <row r="45">
      <c r="A45" t="inlineStr">
        <is>
          <t>f2_shares</t>
        </is>
      </c>
      <c r="B45" t="n">
        <v>2500000</v>
      </c>
      <c r="C45" t="inlineStr">
        <is>
          <t>Founder F2 (CTO) common</t>
        </is>
      </c>
    </row>
    <row r="46">
      <c r="A46" t="inlineStr">
        <is>
          <t>f3_shares</t>
        </is>
      </c>
      <c r="B46" t="n">
        <v>1500000</v>
      </c>
      <c r="C46" t="inlineStr">
        <is>
          <t>Founder F3 common</t>
        </is>
      </c>
    </row>
    <row r="47">
      <c r="A47" t="inlineStr">
        <is>
          <t>rsa_total</t>
        </is>
      </c>
      <c r="B47" t="n">
        <v>1000000</v>
      </c>
      <c r="C47" t="inlineStr">
        <is>
          <t>Employee RSAs total</t>
        </is>
      </c>
    </row>
    <row r="48">
      <c r="A48" t="inlineStr">
        <is>
          <t>sens_esop_low</t>
        </is>
      </c>
      <c r="B48" t="n">
        <v>0.11</v>
      </c>
      <c r="C48" t="inlineStr">
        <is>
          <t>Sensitivity ESOP low</t>
        </is>
      </c>
    </row>
    <row r="49">
      <c r="A49" t="inlineStr">
        <is>
          <t>sens_esop_base</t>
        </is>
      </c>
      <c r="B49" t="n">
        <v>0.13</v>
      </c>
      <c r="C49" t="inlineStr">
        <is>
          <t>Sensitivity ESOP base</t>
        </is>
      </c>
    </row>
    <row r="50">
      <c r="A50" t="inlineStr">
        <is>
          <t>sens_esop_high</t>
        </is>
      </c>
      <c r="B50" t="n">
        <v>0.15</v>
      </c>
      <c r="C50" t="inlineStr">
        <is>
          <t>Sensitivity ESOP high</t>
        </is>
      </c>
    </row>
    <row r="51">
      <c r="A51" t="inlineStr">
        <is>
          <t>sens_pre_low</t>
        </is>
      </c>
      <c r="B51" t="n">
        <v>1200000000</v>
      </c>
      <c r="C51" t="inlineStr">
        <is>
          <t>Sensitivity pre-money low</t>
        </is>
      </c>
    </row>
    <row r="52">
      <c r="A52" t="inlineStr">
        <is>
          <t>sens_pre_base</t>
        </is>
      </c>
      <c r="B52" t="n">
        <v>1400000000</v>
      </c>
      <c r="C52" t="inlineStr">
        <is>
          <t>Sensitivity pre-money base</t>
        </is>
      </c>
    </row>
    <row r="53">
      <c r="A53" t="inlineStr">
        <is>
          <t>sens_pre_high</t>
        </is>
      </c>
      <c r="B53" t="n">
        <v>1800000000</v>
      </c>
      <c r="C53" t="inlineStr">
        <is>
          <t>Sensitivity pre-money high</t>
        </is>
      </c>
    </row>
    <row r="54">
      <c r="A54" t="inlineStr">
        <is>
          <t>return_3x</t>
        </is>
      </c>
      <c r="B54" t="n">
        <v>3</v>
      </c>
      <c r="C54" t="inlineStr">
        <is>
          <t>Return multiple 3x</t>
        </is>
      </c>
    </row>
    <row r="55">
      <c r="A55" t="inlineStr">
        <is>
          <t>return_4x</t>
        </is>
      </c>
      <c r="B55" t="n">
        <v>4</v>
      </c>
      <c r="C55" t="inlineStr">
        <is>
          <t>Return multiple 4x</t>
        </is>
      </c>
    </row>
    <row r="56">
      <c r="A56" t="inlineStr">
        <is>
          <t>f1_share_of_founders</t>
        </is>
      </c>
      <c r="B56" t="n">
        <v>0.5</v>
      </c>
      <c r="C56" t="inlineStr">
        <is>
          <t>F1 pro-rata 4M/8M</t>
        </is>
      </c>
    </row>
    <row r="57">
      <c r="A57" t="inlineStr">
        <is>
          <t>f2_share_of_founders</t>
        </is>
      </c>
      <c r="B57" t="n">
        <v>0.3125</v>
      </c>
      <c r="C57" t="inlineStr">
        <is>
          <t>F2 pro-rata 2.5M/8M</t>
        </is>
      </c>
    </row>
    <row r="58">
      <c r="A58" t="inlineStr">
        <is>
          <t>f3_share_of_founders</t>
        </is>
      </c>
      <c r="B58" t="n">
        <v>0.1875</v>
      </c>
      <c r="C58" t="inlineStr">
        <is>
          <t>F3 pro-rata 1.5M/8M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8" customWidth="1" min="12" max="12"/>
    <col width="16" customWidth="1" min="13" max="13"/>
  </cols>
  <sheetData>
    <row r="1">
      <c r="A1" s="2" t="inlineStr">
        <is>
          <t>Pro-Forma Cap Table — Series F Closing</t>
        </is>
      </c>
    </row>
    <row r="3">
      <c r="A3" s="1" t="inlineStr">
        <is>
          <t>Fixed-point iteration (15 sweeps)</t>
        </is>
      </c>
      <c r="L3" s="1" t="inlineStr">
        <is>
          <t>Final converged values</t>
        </is>
      </c>
    </row>
    <row r="4">
      <c r="A4" s="1" t="inlineStr">
        <is>
          <t>n</t>
        </is>
      </c>
      <c r="B4" s="1" t="inlineStr">
        <is>
          <t>F_PPS</t>
        </is>
      </c>
      <c r="C4" s="1" t="inlineStr">
        <is>
          <t>ESOP_topup</t>
        </is>
      </c>
      <c r="D4" s="1" t="inlineStr">
        <is>
          <t>NCP_D</t>
        </is>
      </c>
      <c r="E4" s="1" t="inlineStr">
        <is>
          <t>NCP_E</t>
        </is>
      </c>
      <c r="F4" s="1" t="inlineStr">
        <is>
          <t>AD_D_extra</t>
        </is>
      </c>
      <c r="G4" s="1" t="inlineStr">
        <is>
          <t>AD_E_extra</t>
        </is>
      </c>
      <c r="H4" s="1" t="inlineStr">
        <is>
          <t>NA_sh</t>
        </is>
      </c>
      <c r="I4" s="1" t="inlineStr">
        <is>
          <t>NB_sh</t>
        </is>
      </c>
      <c r="J4" s="1" t="inlineStr">
        <is>
          <t>pre_money_FD</t>
        </is>
      </c>
      <c r="L4" t="inlineStr">
        <is>
          <t>F_PPS</t>
        </is>
      </c>
      <c r="M4">
        <f>B20</f>
        <v>37.299684678579645</v>
      </c>
    </row>
    <row r="5">
      <c r="A5" t="inlineStr">
        <is>
          <t>iter 0</t>
        </is>
      </c>
      <c r="B5">
        <f>Assumptions!$B$2/Assumptions!$B$27</f>
        <v>38.23260393990807</v>
      </c>
      <c r="C5">
        <f>MAX(0,Assumptions!$B$6*(Assumptions!$B$2+Assumptions!$B$3)/B5-Assumptions!$B$30)</f>
        <v>467675.10707142856</v>
      </c>
      <c r="D5">
        <f>Assumptions!$B$18*(Assumptions!$B$27+Assumptions!$B$3/Assumptions!$B$18)/(Assumptions!$B$27+Assumptions!$B$3/B5)</f>
        <v>57.7011635791589</v>
      </c>
      <c r="E5">
        <f>Assumptions!$B$19*(Assumptions!$B$27+Assumptions!$B$3/Assumptions!$B$19)/(Assumptions!$B$27+Assumptions!$B$3/B5)</f>
        <v>48.929100362375685</v>
      </c>
      <c r="F5">
        <f>Assumptions!$B$33/D5-Assumptions!$B$32</f>
        <v>12440.303968875669</v>
      </c>
      <c r="G5">
        <f>Assumptions!$B$35/E5-Assumptions!$B$34</f>
        <v>28653.579740041867</v>
      </c>
      <c r="H5">
        <f>Assumptions!$B$21/MIN(Assumptions!$B$22/(Assumptions!$B$27+C5+F5+G5+0),B5*(1-Assumptions!$B$23))</f>
        <v>185633.64995390174</v>
      </c>
      <c r="I5">
        <f>Assumptions!$B$24/MIN(Assumptions!$B$25/(Assumptions!$B$27+C5+F5+G5+H5),B5*(1-Assumptions!$B$26))</f>
        <v>92314.18739495799</v>
      </c>
      <c r="J5">
        <f>Assumptions!$B$27+C5+F5+G5+H5+I5</f>
        <v>37404677.8281292</v>
      </c>
      <c r="L5" t="inlineStr">
        <is>
          <t>ESOP top-up</t>
        </is>
      </c>
      <c r="M5">
        <f>C20</f>
        <v>589289.3417305406</v>
      </c>
    </row>
    <row r="6">
      <c r="A6" t="inlineStr">
        <is>
          <t>iter 1</t>
        </is>
      </c>
      <c r="B6">
        <f>Assumptions!$B$2/J5</f>
        <v>37.428473690720224</v>
      </c>
      <c r="C6">
        <f>MAX(0,Assumptions!$B$6*(Assumptions!$B$2+Assumptions!$B$3)/B6-Assumptions!$B$30)</f>
        <v>572139.8630351564</v>
      </c>
      <c r="D6">
        <f>Assumptions!$B$18*(Assumptions!$B$27+Assumptions!$B$3/Assumptions!$B$18)/(Assumptions!$B$27+Assumptions!$B$3/B6)</f>
        <v>57.67516806760284</v>
      </c>
      <c r="E6">
        <f>Assumptions!$B$19*(Assumptions!$B$27+Assumptions!$B$3/Assumptions!$B$19)/(Assumptions!$B$27+Assumptions!$B$3/B6)</f>
        <v>48.90705683820736</v>
      </c>
      <c r="F6">
        <f>Assumptions!$B$33/D6-Assumptions!$B$32</f>
        <v>13221.43686605175</v>
      </c>
      <c r="G6">
        <f>Assumptions!$B$35/E6-Assumptions!$B$34</f>
        <v>31417.10554022249</v>
      </c>
      <c r="H6">
        <f>Assumptions!$B$21/MIN(Assumptions!$B$22/(Assumptions!$B$27+C6+F6+G6+I5),B6*(1-Assumptions!$B$23))</f>
        <v>186635.26796418199</v>
      </c>
      <c r="I6">
        <f>Assumptions!$B$24/MIN(Assumptions!$B$25/(Assumptions!$B$27+C6+F6+G6+H6),B6*(1-Assumptions!$B$26))</f>
        <v>94297.5071297375</v>
      </c>
      <c r="J6">
        <f>Assumptions!$B$27+C6+F6+G6+H6+I6</f>
        <v>37515672.18053535</v>
      </c>
      <c r="L6" t="inlineStr">
        <is>
          <t>Pre-money FD</t>
        </is>
      </c>
      <c r="M6">
        <f>J20</f>
        <v>37533829.36247683</v>
      </c>
    </row>
    <row r="7">
      <c r="A7" t="inlineStr">
        <is>
          <t>iter 2</t>
        </is>
      </c>
      <c r="B7">
        <f>Assumptions!$B$2/J6</f>
        <v>37.317737324892626</v>
      </c>
      <c r="C7">
        <f>MAX(0,Assumptions!$B$6*(Assumptions!$B$2+Assumptions!$B$3)/B7-Assumptions!$B$30)</f>
        <v>586878.3274010867</v>
      </c>
      <c r="D7">
        <f>Assumptions!$B$18*(Assumptions!$B$27+Assumptions!$B$3/Assumptions!$B$18)/(Assumptions!$B$27+Assumptions!$B$3/B7)</f>
        <v>57.67150236267048</v>
      </c>
      <c r="E7">
        <f>Assumptions!$B$19*(Assumptions!$B$27+Assumptions!$B$3/Assumptions!$B$19)/(Assumptions!$B$27+Assumptions!$B$3/B7)</f>
        <v>48.90394841485142</v>
      </c>
      <c r="F7">
        <f>Assumptions!$B$33/D7-Assumptions!$B$32</f>
        <v>13331.643406658433</v>
      </c>
      <c r="G7">
        <f>Assumptions!$B$35/E7-Assumptions!$B$34</f>
        <v>31806.999013428576</v>
      </c>
      <c r="H7">
        <f>Assumptions!$B$21/MIN(Assumptions!$B$22/(Assumptions!$B$27+C7+F7+G7+I6),B7*(1-Assumptions!$B$23))</f>
        <v>186721.37738475457</v>
      </c>
      <c r="I7">
        <f>Assumptions!$B$24/MIN(Assumptions!$B$25/(Assumptions!$B$27+C7+F7+G7+H7),B7*(1-Assumptions!$B$26))</f>
        <v>94577.32482487905</v>
      </c>
      <c r="J7">
        <f>Assumptions!$B$27+C7+F7+G7+H7+I7</f>
        <v>37531276.67203081</v>
      </c>
      <c r="L7" t="inlineStr">
        <is>
          <t>Primary F shares</t>
        </is>
      </c>
      <c r="M7">
        <f>Assumptions!$B$3/M4</f>
        <v>804296.3434816465</v>
      </c>
    </row>
    <row r="8">
      <c r="A8" t="inlineStr">
        <is>
          <t>iter 3</t>
        </is>
      </c>
      <c r="B8">
        <f>Assumptions!$B$2/J7</f>
        <v>37.30222161729215</v>
      </c>
      <c r="C8">
        <f>MAX(0,Assumptions!$B$6*(Assumptions!$B$2+Assumptions!$B$3)/B8-Assumptions!$B$30)</f>
        <v>588950.3809503764</v>
      </c>
      <c r="D8">
        <f>Assumptions!$B$18*(Assumptions!$B$27+Assumptions!$B$3/Assumptions!$B$18)/(Assumptions!$B$27+Assumptions!$B$3/B8)</f>
        <v>57.67098704532758</v>
      </c>
      <c r="E8">
        <f>Assumptions!$B$19*(Assumptions!$B$27+Assumptions!$B$3/Assumptions!$B$19)/(Assumptions!$B$27+Assumptions!$B$3/B8)</f>
        <v>48.90351143901895</v>
      </c>
      <c r="F8">
        <f>Assumptions!$B$33/D8-Assumptions!$B$32</f>
        <v>13347.137141144369</v>
      </c>
      <c r="G8">
        <f>Assumptions!$B$35/E8-Assumptions!$B$34</f>
        <v>31861.81341843959</v>
      </c>
      <c r="H8">
        <f>Assumptions!$B$21/MIN(Assumptions!$B$22/(Assumptions!$B$27+C8+F8+G8+I7),B8*(1-Assumptions!$B$23))</f>
        <v>186733.48828167422</v>
      </c>
      <c r="I8">
        <f>Assumptions!$B$24/MIN(Assumptions!$B$25/(Assumptions!$B$27+C8+F8+G8+H8),B8*(1-Assumptions!$B$26))</f>
        <v>94616.66387906927</v>
      </c>
      <c r="J8">
        <f>Assumptions!$B$27+C8+F8+G8+H8+I8</f>
        <v>37533470.483670704</v>
      </c>
      <c r="L8" t="inlineStr">
        <is>
          <t>Tender shares</t>
        </is>
      </c>
      <c r="M8">
        <f>Assumptions!$B$4/(Assumptions!$B$5*M4)</f>
        <v>473115.4961656744</v>
      </c>
    </row>
    <row r="9">
      <c r="A9" t="inlineStr">
        <is>
          <t>iter 4</t>
        </is>
      </c>
      <c r="B9">
        <f>Assumptions!$B$2/J8</f>
        <v>37.300041322027056</v>
      </c>
      <c r="C9">
        <f>MAX(0,Assumptions!$B$6*(Assumptions!$B$2+Assumptions!$B$3)/B9-Assumptions!$B$30)</f>
        <v>589241.6877959883</v>
      </c>
      <c r="D9">
        <f>Assumptions!$B$18*(Assumptions!$B$27+Assumptions!$B$3/Assumptions!$B$18)/(Assumptions!$B$27+Assumptions!$B$3/B9)</f>
        <v>57.6709145983873</v>
      </c>
      <c r="E9">
        <f>Assumptions!$B$19*(Assumptions!$B$27+Assumptions!$B$3/Assumptions!$B$19)/(Assumptions!$B$27+Assumptions!$B$3/B9)</f>
        <v>48.90345000587979</v>
      </c>
      <c r="F9">
        <f>Assumptions!$B$33/D9-Assumptions!$B$32</f>
        <v>13349.315381625434</v>
      </c>
      <c r="G9">
        <f>Assumptions!$B$35/E9-Assumptions!$B$34</f>
        <v>31869.519691968337</v>
      </c>
      <c r="H9">
        <f>Assumptions!$B$21/MIN(Assumptions!$B$22/(Assumptions!$B$27+C9+F9+G9+I8),B9*(1-Assumptions!$B$23))</f>
        <v>186735.19093374323</v>
      </c>
      <c r="I9">
        <f>Assumptions!$B$24/MIN(Assumptions!$B$25/(Assumptions!$B$27+C9+F9+G9+H9),B9*(1-Assumptions!$B$26))</f>
        <v>94622.19449664882</v>
      </c>
      <c r="J9">
        <f>Assumptions!$B$27+C9+F9+G9+H9+I9</f>
        <v>37533778.90829997</v>
      </c>
      <c r="L9" t="inlineStr">
        <is>
          <t>Post-F FD total</t>
        </is>
      </c>
      <c r="M9">
        <f>M6+M7</f>
        <v>38338125.705619544</v>
      </c>
    </row>
    <row r="10">
      <c r="A10" t="inlineStr">
        <is>
          <t>iter 5</t>
        </is>
      </c>
      <c r="B10">
        <f>Assumptions!$B$2/J9</f>
        <v>37.299734818079116</v>
      </c>
      <c r="C10">
        <f>MAX(0,Assumptions!$B$6*(Assumptions!$B$2+Assumptions!$B$3)/B10-Assumptions!$B$30)</f>
        <v>589282.6421806887</v>
      </c>
      <c r="D10">
        <f>Assumptions!$B$18*(Assumptions!$B$27+Assumptions!$B$3/Assumptions!$B$18)/(Assumptions!$B$27+Assumptions!$B$3/B10)</f>
        <v>57.670904413197164</v>
      </c>
      <c r="E10">
        <f>Assumptions!$B$19*(Assumptions!$B$27+Assumptions!$B$3/Assumptions!$B$19)/(Assumptions!$B$27+Assumptions!$B$3/B10)</f>
        <v>48.90344136910092</v>
      </c>
      <c r="F10">
        <f>Assumptions!$B$33/D10-Assumptions!$B$32</f>
        <v>13349.621617129073</v>
      </c>
      <c r="G10">
        <f>Assumptions!$B$35/E10-Assumptions!$B$34</f>
        <v>31870.603105199523</v>
      </c>
      <c r="H10">
        <f>Assumptions!$B$21/MIN(Assumptions!$B$22/(Assumptions!$B$27+C10+F10+G10+I9),B10*(1-Assumptions!$B$23))</f>
        <v>186735.43030699834</v>
      </c>
      <c r="I10">
        <f>Assumptions!$B$24/MIN(Assumptions!$B$25/(Assumptions!$B$27+C10+F10+G10+H10),B10*(1-Assumptions!$B$26))</f>
        <v>94622.97203773103</v>
      </c>
      <c r="J10">
        <f>Assumptions!$B$27+C10+F10+G10+H10+I10</f>
        <v>37533822.269247755</v>
      </c>
      <c r="L10" t="inlineStr">
        <is>
          <t>Our F primary shares</t>
        </is>
      </c>
      <c r="M10">
        <f>Assumptions!$B$7/M4</f>
        <v>268098.7811605488</v>
      </c>
    </row>
    <row r="11">
      <c r="A11" t="inlineStr">
        <is>
          <t>iter 6</t>
        </is>
      </c>
      <c r="B11">
        <f>Assumptions!$B$2/J10</f>
        <v>37.299691727560855</v>
      </c>
      <c r="C11">
        <f>MAX(0,Assumptions!$B$6*(Assumptions!$B$2+Assumptions!$B$3)/B11-Assumptions!$B$30)</f>
        <v>589288.399895113</v>
      </c>
      <c r="D11">
        <f>Assumptions!$B$18*(Assumptions!$B$27+Assumptions!$B$3/Assumptions!$B$18)/(Assumptions!$B$27+Assumptions!$B$3/B11)</f>
        <v>57.67090298127712</v>
      </c>
      <c r="E11">
        <f>Assumptions!$B$19*(Assumptions!$B$27+Assumptions!$B$3/Assumptions!$B$19)/(Assumptions!$B$27+Assumptions!$B$3/B11)</f>
        <v>48.903440154869614</v>
      </c>
      <c r="F11">
        <f>Assumptions!$B$33/D11-Assumptions!$B$32</f>
        <v>13349.664670310915</v>
      </c>
      <c r="G11">
        <f>Assumptions!$B$35/E11-Assumptions!$B$34</f>
        <v>31870.75542061031</v>
      </c>
      <c r="H11">
        <f>Assumptions!$B$21/MIN(Assumptions!$B$22/(Assumptions!$B$27+C11+F11+G11+I10),B11*(1-Assumptions!$B$23))</f>
        <v>186735.46396011885</v>
      </c>
      <c r="I11">
        <f>Assumptions!$B$24/MIN(Assumptions!$B$25/(Assumptions!$B$27+C11+F11+G11+H11),B11*(1-Assumptions!$B$26))</f>
        <v>94623.08135104476</v>
      </c>
      <c r="J11">
        <f>Assumptions!$B$27+C11+F11+G11+H11+I11</f>
        <v>37533828.3652972</v>
      </c>
      <c r="L11" t="inlineStr">
        <is>
          <t>F_LEAD primary shares</t>
        </is>
      </c>
      <c r="M11">
        <f>Assumptions!$B$8/M4</f>
        <v>536197.5623210976</v>
      </c>
    </row>
    <row r="12">
      <c r="A12" t="inlineStr">
        <is>
          <t>iter 7</t>
        </is>
      </c>
      <c r="B12">
        <f>Assumptions!$B$2/J11</f>
        <v>37.29968566953867</v>
      </c>
      <c r="C12">
        <f>MAX(0,Assumptions!$B$6*(Assumptions!$B$2+Assumptions!$B$3)/B12-Assumptions!$B$30)</f>
        <v>589289.2093633926</v>
      </c>
      <c r="D12">
        <f>Assumptions!$B$18*(Assumptions!$B$27+Assumptions!$B$3/Assumptions!$B$18)/(Assumptions!$B$27+Assumptions!$B$3/B12)</f>
        <v>57.670902779965665</v>
      </c>
      <c r="E12">
        <f>Assumptions!$B$19*(Assumptions!$B$27+Assumptions!$B$3/Assumptions!$B$19)/(Assumptions!$B$27+Assumptions!$B$3/B12)</f>
        <v>48.90343998416268</v>
      </c>
      <c r="F12">
        <f>Assumptions!$B$33/D12-Assumptions!$B$32</f>
        <v>13349.67072309251</v>
      </c>
      <c r="G12">
        <f>Assumptions!$B$35/E12-Assumptions!$B$34</f>
        <v>31870.776834403165</v>
      </c>
      <c r="H12">
        <f>Assumptions!$B$21/MIN(Assumptions!$B$22/(Assumptions!$B$27+C12+F12+G12+I11),B12*(1-Assumptions!$B$23))</f>
        <v>186735.46869135968</v>
      </c>
      <c r="I12">
        <f>Assumptions!$B$24/MIN(Assumptions!$B$25/(Assumptions!$B$27+C12+F12+G12+H12),B12*(1-Assumptions!$B$26))</f>
        <v>94623.09671923664</v>
      </c>
      <c r="J12">
        <f>Assumptions!$B$27+C12+F12+G12+H12+I12</f>
        <v>37533829.22233149</v>
      </c>
      <c r="L12" t="inlineStr">
        <is>
          <t>F_LEAD secondary common</t>
        </is>
      </c>
      <c r="M12">
        <f>M8</f>
        <v>473115.4961656744</v>
      </c>
    </row>
    <row r="13">
      <c r="A13" t="inlineStr">
        <is>
          <t>iter 8</t>
        </is>
      </c>
      <c r="B13">
        <f>Assumptions!$B$2/J12</f>
        <v>37.29968481785073</v>
      </c>
      <c r="C13">
        <f>MAX(0,Assumptions!$B$6*(Assumptions!$B$2+Assumptions!$B$3)/B13-Assumptions!$B$30)</f>
        <v>589289.3231653031</v>
      </c>
      <c r="D13">
        <f>Assumptions!$B$18*(Assumptions!$B$27+Assumptions!$B$3/Assumptions!$B$18)/(Assumptions!$B$27+Assumptions!$B$3/B13)</f>
        <v>57.6709027516636</v>
      </c>
      <c r="E13">
        <f>Assumptions!$B$19*(Assumptions!$B$27+Assumptions!$B$3/Assumptions!$B$19)/(Assumptions!$B$27+Assumptions!$B$3/B13)</f>
        <v>48.90343996016326</v>
      </c>
      <c r="F13">
        <f>Assumptions!$B$33/D13-Assumptions!$B$32</f>
        <v>13349.671574043576</v>
      </c>
      <c r="G13">
        <f>Assumptions!$B$35/E13-Assumptions!$B$34</f>
        <v>31870.779844935052</v>
      </c>
      <c r="H13">
        <f>Assumptions!$B$21/MIN(Assumptions!$B$22/(Assumptions!$B$27+C13+F13+G13+I12),B13*(1-Assumptions!$B$23))</f>
        <v>186735.46935651757</v>
      </c>
      <c r="I13">
        <f>Assumptions!$B$24/MIN(Assumptions!$B$25/(Assumptions!$B$27+C13+F13+G13+H13),B13*(1-Assumptions!$B$26))</f>
        <v>94623.09887982729</v>
      </c>
      <c r="J13">
        <f>Assumptions!$B$27+C13+F13+G13+H13+I13</f>
        <v>37533829.34282062</v>
      </c>
    </row>
    <row r="14">
      <c r="A14" t="inlineStr">
        <is>
          <t>iter 9</t>
        </is>
      </c>
      <c r="B14">
        <f>Assumptions!$B$2/J13</f>
        <v>37.29968469811324</v>
      </c>
      <c r="C14">
        <f>MAX(0,Assumptions!$B$6*(Assumptions!$B$2+Assumptions!$B$3)/B14-Assumptions!$B$30)</f>
        <v>589289.3391645383</v>
      </c>
      <c r="D14">
        <f>Assumptions!$B$18*(Assumptions!$B$27+Assumptions!$B$3/Assumptions!$B$18)/(Assumptions!$B$27+Assumptions!$B$3/B14)</f>
        <v>57.67090274768466</v>
      </c>
      <c r="E14">
        <f>Assumptions!$B$19*(Assumptions!$B$27+Assumptions!$B$3/Assumptions!$B$19)/(Assumptions!$B$27+Assumptions!$B$3/B14)</f>
        <v>48.90343995678922</v>
      </c>
      <c r="F14">
        <f>Assumptions!$B$33/D14-Assumptions!$B$32</f>
        <v>13349.671693677548</v>
      </c>
      <c r="G14">
        <f>Assumptions!$B$35/E14-Assumptions!$B$34</f>
        <v>31870.780268181115</v>
      </c>
      <c r="H14">
        <f>Assumptions!$B$21/MIN(Assumptions!$B$22/(Assumptions!$B$27+C14+F14+G14+I13),B14*(1-Assumptions!$B$23))</f>
        <v>186735.46945003115</v>
      </c>
      <c r="I14">
        <f>Assumptions!$B$24/MIN(Assumptions!$B$25/(Assumptions!$B$27+C14+F14+G14+H14),B14*(1-Assumptions!$B$26))</f>
        <v>94623.0991835814</v>
      </c>
      <c r="J14">
        <f>Assumptions!$B$27+C14+F14+G14+H14+I14</f>
        <v>37533829.359760016</v>
      </c>
    </row>
    <row r="15">
      <c r="A15" t="inlineStr">
        <is>
          <t>iter 10</t>
        </is>
      </c>
      <c r="B15">
        <f>Assumptions!$B$2/J14</f>
        <v>37.299684681279516</v>
      </c>
      <c r="C15">
        <f>MAX(0,Assumptions!$B$6*(Assumptions!$B$2+Assumptions!$B$3)/B15-Assumptions!$B$30)</f>
        <v>589289.3414138481</v>
      </c>
      <c r="D15">
        <f>Assumptions!$B$18*(Assumptions!$B$27+Assumptions!$B$3/Assumptions!$B$18)/(Assumptions!$B$27+Assumptions!$B$3/B15)</f>
        <v>57.67090274712527</v>
      </c>
      <c r="E15">
        <f>Assumptions!$B$19*(Assumptions!$B$27+Assumptions!$B$3/Assumptions!$B$19)/(Assumptions!$B$27+Assumptions!$B$3/B15)</f>
        <v>48.90343995631487</v>
      </c>
      <c r="F15">
        <f>Assumptions!$B$33/D15-Assumptions!$B$32</f>
        <v>13349.671710496536</v>
      </c>
      <c r="G15">
        <f>Assumptions!$B$35/E15-Assumptions!$B$34</f>
        <v>31870.780327684246</v>
      </c>
      <c r="H15">
        <f>Assumptions!$B$21/MIN(Assumptions!$B$22/(Assumptions!$B$27+C15+F15+G15+I14),B15*(1-Assumptions!$B$23))</f>
        <v>186735.46946317807</v>
      </c>
      <c r="I15">
        <f>Assumptions!$B$24/MIN(Assumptions!$B$25/(Assumptions!$B$27+C15+F15+G15+H15),B15*(1-Assumptions!$B$26))</f>
        <v>94623.09922628576</v>
      </c>
      <c r="J15">
        <f>Assumptions!$B$27+C15+F15+G15+H15+I15</f>
        <v>37533829.3621415</v>
      </c>
    </row>
    <row r="16">
      <c r="A16" t="inlineStr">
        <is>
          <t>iter 11</t>
        </is>
      </c>
      <c r="B16">
        <f>Assumptions!$B$2/J15</f>
        <v>37.29968467891289</v>
      </c>
      <c r="C16">
        <f>MAX(0,Assumptions!$B$6*(Assumptions!$B$2+Assumptions!$B$3)/B16-Assumptions!$B$30)</f>
        <v>589289.341730075</v>
      </c>
      <c r="D16">
        <f>Assumptions!$B$18*(Assumptions!$B$27+Assumptions!$B$3/Assumptions!$B$18)/(Assumptions!$B$27+Assumptions!$B$3/B16)</f>
        <v>57.67090274704662</v>
      </c>
      <c r="E16">
        <f>Assumptions!$B$19*(Assumptions!$B$27+Assumptions!$B$3/Assumptions!$B$19)/(Assumptions!$B$27+Assumptions!$B$3/B16)</f>
        <v>48.90343995624818</v>
      </c>
      <c r="F16">
        <f>Assumptions!$B$33/D16-Assumptions!$B$32</f>
        <v>13349.671712861164</v>
      </c>
      <c r="G16">
        <f>Assumptions!$B$35/E16-Assumptions!$B$34</f>
        <v>31870.780336050317</v>
      </c>
      <c r="H16">
        <f>Assumptions!$B$21/MIN(Assumptions!$B$22/(Assumptions!$B$27+C16+F16+G16+I15),B16*(1-Assumptions!$B$23))</f>
        <v>186735.46946502637</v>
      </c>
      <c r="I16">
        <f>Assumptions!$B$24/MIN(Assumptions!$B$25/(Assumptions!$B$27+C16+F16+G16+H16),B16*(1-Assumptions!$B$26))</f>
        <v>94623.09923228949</v>
      </c>
      <c r="J16">
        <f>Assumptions!$B$27+C16+F16+G16+H16+I16</f>
        <v>37533829.3624763</v>
      </c>
    </row>
    <row r="17">
      <c r="A17" t="inlineStr">
        <is>
          <t>iter 12</t>
        </is>
      </c>
      <c r="B17">
        <f>Assumptions!$B$2/J16</f>
        <v>37.29968467858018</v>
      </c>
      <c r="C17">
        <f>MAX(0,Assumptions!$B$6*(Assumptions!$B$2+Assumptions!$B$3)/B17-Assumptions!$B$30)</f>
        <v>589289.3417745316</v>
      </c>
      <c r="D17">
        <f>Assumptions!$B$18*(Assumptions!$B$27+Assumptions!$B$3/Assumptions!$B$18)/(Assumptions!$B$27+Assumptions!$B$3/B17)</f>
        <v>57.670902747035555</v>
      </c>
      <c r="E17">
        <f>Assumptions!$B$19*(Assumptions!$B$27+Assumptions!$B$3/Assumptions!$B$19)/(Assumptions!$B$27+Assumptions!$B$3/B17)</f>
        <v>48.9034399562388</v>
      </c>
      <c r="F17">
        <f>Assumptions!$B$33/D17-Assumptions!$B$32</f>
        <v>13349.671713193879</v>
      </c>
      <c r="G17">
        <f>Assumptions!$B$35/E17-Assumptions!$B$34</f>
        <v>31870.780337226577</v>
      </c>
      <c r="H17">
        <f>Assumptions!$B$21/MIN(Assumptions!$B$22/(Assumptions!$B$27+C17+F17+G17+I16),B17*(1-Assumptions!$B$23))</f>
        <v>186735.4694652862</v>
      </c>
      <c r="I17">
        <f>Assumptions!$B$24/MIN(Assumptions!$B$25/(Assumptions!$B$27+C17+F17+G17+H17),B17*(1-Assumptions!$B$26))</f>
        <v>94623.09923313353</v>
      </c>
      <c r="J17">
        <f>Assumptions!$B$27+C17+F17+G17+H17+I17</f>
        <v>37533829.36252338</v>
      </c>
    </row>
    <row r="18">
      <c r="A18" t="inlineStr">
        <is>
          <t>iter 13</t>
        </is>
      </c>
      <c r="B18">
        <f>Assumptions!$B$2/J17</f>
        <v>37.299684678533396</v>
      </c>
      <c r="C18">
        <f>MAX(0,Assumptions!$B$6*(Assumptions!$B$2+Assumptions!$B$3)/B18-Assumptions!$B$30)</f>
        <v>589289.3417807827</v>
      </c>
      <c r="D18">
        <f>Assumptions!$B$18*(Assumptions!$B$27+Assumptions!$B$3/Assumptions!$B$18)/(Assumptions!$B$27+Assumptions!$B$3/B18)</f>
        <v>57.670902747034006</v>
      </c>
      <c r="E18">
        <f>Assumptions!$B$19*(Assumptions!$B$27+Assumptions!$B$3/Assumptions!$B$19)/(Assumptions!$B$27+Assumptions!$B$3/B18)</f>
        <v>48.903439956237484</v>
      </c>
      <c r="F18">
        <f>Assumptions!$B$33/D18-Assumptions!$B$32</f>
        <v>13349.671713240445</v>
      </c>
      <c r="G18">
        <f>Assumptions!$B$35/E18-Assumptions!$B$34</f>
        <v>31870.78033739142</v>
      </c>
      <c r="H18">
        <f>Assumptions!$B$21/MIN(Assumptions!$B$22/(Assumptions!$B$27+C18+F18+G18+I17),B18*(1-Assumptions!$B$23))</f>
        <v>186735.46946532276</v>
      </c>
      <c r="I18">
        <f>Assumptions!$B$24/MIN(Assumptions!$B$25/(Assumptions!$B$27+C18+F18+G18+H18),B18*(1-Assumptions!$B$26))</f>
        <v>94623.0992332522</v>
      </c>
      <c r="J18">
        <f>Assumptions!$B$27+C18+F18+G18+H18+I18</f>
        <v>37533829.36252999</v>
      </c>
    </row>
    <row r="19">
      <c r="A19" t="inlineStr">
        <is>
          <t>iter 14</t>
        </is>
      </c>
      <c r="B19">
        <f>Assumptions!$B$2/J18</f>
        <v>37.299684678526816</v>
      </c>
      <c r="C19">
        <f>MAX(0,Assumptions!$B$6*(Assumptions!$B$2+Assumptions!$B$3)/B19-Assumptions!$B$30)</f>
        <v>589289.3417816618</v>
      </c>
      <c r="D19">
        <f>Assumptions!$B$18*(Assumptions!$B$27+Assumptions!$B$3/Assumptions!$B$18)/(Assumptions!$B$27+Assumptions!$B$3/B19)</f>
        <v>57.67090274703379</v>
      </c>
      <c r="E19">
        <f>Assumptions!$B$19*(Assumptions!$B$27+Assumptions!$B$3/Assumptions!$B$19)/(Assumptions!$B$27+Assumptions!$B$3/B19)</f>
        <v>48.9034399562373</v>
      </c>
      <c r="F19">
        <f>Assumptions!$B$33/D19-Assumptions!$B$32</f>
        <v>13349.671713246731</v>
      </c>
      <c r="G19">
        <f>Assumptions!$B$35/E19-Assumptions!$B$34</f>
        <v>31870.780337414704</v>
      </c>
      <c r="H19">
        <f>Assumptions!$B$21/MIN(Assumptions!$B$22/(Assumptions!$B$27+C19+F19+G19+I18),B19*(1-Assumptions!$B$23))</f>
        <v>186735.4694653279</v>
      </c>
      <c r="I19">
        <f>Assumptions!$B$24/MIN(Assumptions!$B$25/(Assumptions!$B$27+C19+F19+G19+H19),B19*(1-Assumptions!$B$26))</f>
        <v>94623.09923326889</v>
      </c>
      <c r="J19">
        <f>Assumptions!$B$27+C19+F19+G19+H19+I19</f>
        <v>37533829.362530924</v>
      </c>
    </row>
    <row r="20">
      <c r="A20" t="inlineStr">
        <is>
          <t>iter 15</t>
        </is>
      </c>
      <c r="B20">
        <f>Assumptions!$B$2/J19</f>
        <v>37.29968467852589</v>
      </c>
      <c r="C20">
        <f>MAX(0,Assumptions!$B$6*(Assumptions!$B$2+Assumptions!$B$3)/B20-Assumptions!$B$30)</f>
        <v>589289.3417817848</v>
      </c>
      <c r="D20">
        <f>Assumptions!$B$18*(Assumptions!$B$27+Assumptions!$B$3/Assumptions!$B$18)/(Assumptions!$B$27+Assumptions!$B$3/B20)</f>
        <v>57.67090274703376</v>
      </c>
      <c r="E20">
        <f>Assumptions!$B$19*(Assumptions!$B$27+Assumptions!$B$3/Assumptions!$B$19)/(Assumptions!$B$27+Assumptions!$B$3/B20)</f>
        <v>48.90343995623727</v>
      </c>
      <c r="F20">
        <f>Assumptions!$B$33/D20-Assumptions!$B$32</f>
        <v>13349.671713247895</v>
      </c>
      <c r="G20">
        <f>Assumptions!$B$35/E20-Assumptions!$B$34</f>
        <v>31870.78033741843</v>
      </c>
      <c r="H20">
        <f>Assumptions!$B$21/MIN(Assumptions!$B$22/(Assumptions!$B$27+C20+F20+G20+I19),B20*(1-Assumptions!$B$23))</f>
        <v>186735.4694653286</v>
      </c>
      <c r="I20">
        <f>Assumptions!$B$24/MIN(Assumptions!$B$25/(Assumptions!$B$27+C20+F20+G20+H20),B20*(1-Assumptions!$B$26))</f>
        <v>94623.09923327123</v>
      </c>
      <c r="J20">
        <f>Assumptions!$B$27+C20+F20+G20+H20+I20</f>
        <v>37533829.36253105</v>
      </c>
    </row>
    <row r="23">
      <c r="A23" s="1" t="inlineStr">
        <is>
          <t>Anti-Dilution Block (Broad-Based WA)</t>
        </is>
      </c>
    </row>
    <row r="24">
      <c r="A24" s="1" t="inlineStr">
        <is>
          <t>Class</t>
        </is>
      </c>
      <c r="B24" s="1" t="inlineStr">
        <is>
          <t>OCP</t>
        </is>
      </c>
      <c r="C24" s="1" t="inlineStr">
        <is>
          <t>F_PPS</t>
        </is>
      </c>
      <c r="D24" s="1" t="inlineStr">
        <is>
          <t>Trigger (F&lt;OCP)</t>
        </is>
      </c>
      <c r="E24" s="1" t="inlineStr">
        <is>
          <t>NCP</t>
        </is>
      </c>
      <c r="F24" s="1" t="inlineStr">
        <is>
          <t>new_ratio</t>
        </is>
      </c>
      <c r="G24" s="1" t="inlineStr">
        <is>
          <t>as-converted shares</t>
        </is>
      </c>
    </row>
    <row r="25">
      <c r="A25" t="inlineStr">
        <is>
          <t>Seed</t>
        </is>
      </c>
      <c r="B25">
        <f>Assumptions!$B$14</f>
        <v>1.0</v>
      </c>
      <c r="C25">
        <f>M4</f>
        <v>37.299684678579645</v>
      </c>
      <c r="D25" t="b">
        <f>IF(C25&lt;B25,TRUE,FALSE)</f>
        <v>0</v>
      </c>
      <c r="E25">
        <f>IF(D25, B25*(Assumptions!$B$27+Assumptions!$B$3/B25)/(Assumptions!$B$27+Assumptions!$B$3/C25), B25)</f>
        <v>1.0</v>
      </c>
      <c r="F25">
        <f>B25/E25</f>
        <v>1.0</v>
      </c>
      <c r="G25">
        <f>5000000*F25</f>
        <v>5000000</v>
      </c>
    </row>
    <row r="26">
      <c r="A26" t="inlineStr">
        <is>
          <t>Series A</t>
        </is>
      </c>
      <c r="B26">
        <f>Assumptions!$B$15</f>
        <v>3.0</v>
      </c>
      <c r="C26">
        <f>M4</f>
        <v>37.299684678579645</v>
      </c>
      <c r="D26" t="b">
        <f>IF(C26&lt;B26,TRUE,FALSE)</f>
        <v>0</v>
      </c>
      <c r="E26">
        <f>IF(D26, B26*(Assumptions!$B$27+Assumptions!$B$3/B26)/(Assumptions!$B$27+Assumptions!$B$3/C26), B26)</f>
        <v>3.0</v>
      </c>
      <c r="F26">
        <f>B26/E26</f>
        <v>1.0</v>
      </c>
      <c r="G26">
        <f>5000000*F26</f>
        <v>5000000</v>
      </c>
    </row>
    <row r="27">
      <c r="A27" t="inlineStr">
        <is>
          <t>Series B</t>
        </is>
      </c>
      <c r="B27">
        <f>Assumptions!$B$16</f>
        <v>10.0</v>
      </c>
      <c r="C27">
        <f>M4</f>
        <v>37.299684678579645</v>
      </c>
      <c r="D27" t="b">
        <f>IF(C27&lt;B27,TRUE,FALSE)</f>
        <v>0</v>
      </c>
      <c r="E27">
        <f>IF(D27, B27*(Assumptions!$B$27+Assumptions!$B$3/B27)/(Assumptions!$B$27+Assumptions!$B$3/C27), B27)</f>
        <v>10.0</v>
      </c>
      <c r="F27">
        <f>B27/E27</f>
        <v>1.0</v>
      </c>
      <c r="G27">
        <f>3000000*F27</f>
        <v>3000000</v>
      </c>
    </row>
    <row r="28">
      <c r="A28" t="inlineStr">
        <is>
          <t>Series C</t>
        </is>
      </c>
      <c r="B28">
        <f>Assumptions!$B$17</f>
        <v>25.0</v>
      </c>
      <c r="C28">
        <f>M4</f>
        <v>37.299684678579645</v>
      </c>
      <c r="D28" t="b">
        <f>IF(C28&lt;B28,TRUE,FALSE)</f>
        <v>0</v>
      </c>
      <c r="E28">
        <f>IF(D28, B28*(Assumptions!$B$27+Assumptions!$B$3/B28)/(Assumptions!$B$27+Assumptions!$B$3/C28), B28)</f>
        <v>25.0</v>
      </c>
      <c r="F28">
        <f>B28/E28</f>
        <v>1.0</v>
      </c>
      <c r="G28">
        <f>2400000*F28</f>
        <v>2400000</v>
      </c>
    </row>
    <row r="29">
      <c r="A29" t="inlineStr">
        <is>
          <t>Series D (compound v3*v4)</t>
        </is>
      </c>
      <c r="B29">
        <f>Assumptions!$B$18</f>
        <v>58.118347</v>
      </c>
      <c r="C29">
        <f>M4</f>
        <v>37.299684678579645</v>
      </c>
      <c r="D29" t="b">
        <f>IF(C29&lt;B29,TRUE,FALSE)</f>
        <v>1</v>
      </c>
      <c r="E29">
        <f>IF(D29, B29*(Assumptions!$B$27+Assumptions!$B$3/B29)/(Assumptions!$B$27+Assumptions!$B$3/C29), B29)</f>
        <v>57.6709027470465</v>
      </c>
      <c r="F29">
        <f>Assumptions!$B$31/E29</f>
        <v>1.040386003027719</v>
      </c>
      <c r="G29">
        <f>Assumptions!$B$33/E29</f>
        <v>1733976.671712865</v>
      </c>
    </row>
    <row r="30">
      <c r="A30" t="inlineStr">
        <is>
          <t>Series E</t>
        </is>
      </c>
      <c r="B30">
        <f>Assumptions!$B$19</f>
        <v>49.158311</v>
      </c>
      <c r="C30">
        <f>M4</f>
        <v>37.299684678579645</v>
      </c>
      <c r="D30" t="b">
        <f>IF(C30&lt;B30,TRUE,FALSE)</f>
        <v>1</v>
      </c>
      <c r="E30">
        <f>IF(D30, B30*(Assumptions!$B$27+Assumptions!$B$3/B30)/(Assumptions!$B$27+Assumptions!$B$3/C30), B30)</f>
        <v>48.90343995624808</v>
      </c>
      <c r="F30">
        <f>B30/E30</f>
        <v>1.0052117201566995</v>
      </c>
      <c r="G30">
        <f>Assumptions!$B$35/E30</f>
        <v>6134537.780336062</v>
      </c>
    </row>
    <row r="33">
      <c r="A33" s="1" t="inlineStr">
        <is>
          <t>Convertible Notes Block</t>
        </is>
      </c>
    </row>
    <row r="34">
      <c r="A34" s="1" t="inlineStr">
        <is>
          <t>Note</t>
        </is>
      </c>
      <c r="B34" s="1" t="inlineStr">
        <is>
          <t>Cap-implied PPS</t>
        </is>
      </c>
      <c r="C34" s="1" t="inlineStr">
        <is>
          <t>Disc-implied PPS</t>
        </is>
      </c>
      <c r="D34" s="1" t="inlineStr">
        <is>
          <t>Conv PPS</t>
        </is>
      </c>
      <c r="E34" s="1" t="inlineStr">
        <is>
          <t>Branch</t>
        </is>
      </c>
      <c r="F34" s="1" t="inlineStr">
        <is>
          <t>Shares</t>
        </is>
      </c>
    </row>
    <row r="35">
      <c r="A35" t="inlineStr">
        <is>
          <t>Note A</t>
        </is>
      </c>
      <c r="B35">
        <f>Assumptions!$B$22/(Assumptions!$B$27+M5+F20+G20+I20)</f>
        <v>26.775845072837534</v>
      </c>
      <c r="C35">
        <f>M4*(1-Assumptions!$B$23)</f>
        <v>29.83974774312752</v>
      </c>
      <c r="D35">
        <f>MIN(B35,C35)</f>
        <v>26.775845072837534</v>
      </c>
      <c r="E35" t="str">
        <f>IF(B35&lt;C35,"cap","discount")</f>
        <v>cap</v>
      </c>
      <c r="F35">
        <f>Assumptions!$B$21/D35</f>
        <v>186735.46946505885</v>
      </c>
    </row>
    <row r="36">
      <c r="A36" t="inlineStr">
        <is>
          <t>Note B</t>
        </is>
      </c>
      <c r="B36">
        <f>Assumptions!$B$25/(Assumptions!$B$27+M5+F20+G20+H20)</f>
        <v>42.735948747150154</v>
      </c>
      <c r="C36">
        <f>M4*(1-Assumptions!$B$26)</f>
        <v>31.70473197707299</v>
      </c>
      <c r="D36">
        <f>MIN(B36,C36)</f>
        <v>31.70473197707299</v>
      </c>
      <c r="E36" t="str">
        <f>IF(B36&lt;C36,"cap","discount")</f>
        <v>discount</v>
      </c>
      <c r="F36">
        <f>Assumptions!$B$24/D36</f>
        <v>94623.09923229835</v>
      </c>
    </row>
    <row r="39">
      <c r="A39" s="1" t="inlineStr">
        <is>
          <t>Secondary Tender Block</t>
        </is>
      </c>
    </row>
    <row r="40">
      <c r="A40" t="inlineStr">
        <is>
          <t>Tender shares (= 15M / (0.85*F_PPS))</t>
        </is>
      </c>
      <c r="B40">
        <f>M8</f>
        <v>473115.4961656744</v>
      </c>
    </row>
    <row r="41">
      <c r="A41" t="inlineStr">
        <is>
          <t>F_LEAD secondary common</t>
        </is>
      </c>
      <c r="B41">
        <f>B40</f>
        <v>473115.4961656744</v>
      </c>
    </row>
    <row r="42">
      <c r="A42" t="inlineStr">
        <is>
          <t>F1 reduction (50%)</t>
        </is>
      </c>
      <c r="B42">
        <f>Assumptions!$B$56*B40</f>
        <v>236557.7480828372</v>
      </c>
    </row>
    <row r="43">
      <c r="A43" t="inlineStr">
        <is>
          <t>F2 reduction (31.25%)</t>
        </is>
      </c>
      <c r="B43">
        <f>Assumptions!$B$57*B40</f>
        <v>147848.59255177324</v>
      </c>
    </row>
    <row r="44">
      <c r="A44" t="inlineStr">
        <is>
          <t>F3 reduction (18.75%)</t>
        </is>
      </c>
      <c r="B44">
        <f>Assumptions!$B$58*B40</f>
        <v>88709.15553106395</v>
      </c>
    </row>
    <row r="45">
      <c r="A45" t="inlineStr">
        <is>
          <t>F1 post-F common</t>
        </is>
      </c>
      <c r="B45">
        <f>Assumptions!$B$44-B42</f>
        <v>3763442.251917163</v>
      </c>
    </row>
    <row r="46">
      <c r="A46" t="inlineStr">
        <is>
          <t>F2 post-F common</t>
        </is>
      </c>
      <c r="B46">
        <f>Assumptions!$B$45-B43</f>
        <v>2352151.4074482266</v>
      </c>
    </row>
    <row r="47">
      <c r="A47" t="inlineStr">
        <is>
          <t>F3 post-F common</t>
        </is>
      </c>
      <c r="B47">
        <f>Assumptions!$B$46-B44</f>
        <v>1411290.844468936</v>
      </c>
    </row>
    <row r="48">
      <c r="A48" t="inlineStr">
        <is>
          <t>F_LEAD total (primary pref + secondary common)</t>
        </is>
      </c>
      <c r="B48">
        <f>M11+B41</f>
        <v>1009313.058486772</v>
      </c>
    </row>
    <row r="50">
      <c r="A50" s="1" t="inlineStr">
        <is>
          <t>Stakeholder Summary (post-F)</t>
        </is>
      </c>
    </row>
    <row r="51">
      <c r="A51" s="1" t="inlineStr">
        <is>
          <t>Stakeholder</t>
        </is>
      </c>
      <c r="B51" s="1" t="inlineStr">
        <is>
          <t>Role</t>
        </is>
      </c>
      <c r="C51" s="1" t="inlineStr">
        <is>
          <t>Security Class</t>
        </is>
      </c>
      <c r="D51" s="1" t="inlineStr">
        <is>
          <t>Shares</t>
        </is>
      </c>
      <c r="E51" s="1" t="inlineStr">
        <is>
          <t>Ownership %</t>
        </is>
      </c>
    </row>
    <row r="52">
      <c r="A52" t="inlineStr">
        <is>
          <t>F1</t>
        </is>
      </c>
      <c r="B52" t="inlineStr">
        <is>
          <t>Founder (CEO)</t>
        </is>
      </c>
      <c r="C52" t="inlineStr">
        <is>
          <t>Common</t>
        </is>
      </c>
      <c r="D52">
        <f>B45</f>
        <v>3763442.251917163</v>
      </c>
      <c r="E52">
        <f>D52/M9</f>
        <v>0.0981644820306258</v>
      </c>
    </row>
    <row r="53">
      <c r="A53" t="inlineStr">
        <is>
          <t>F2</t>
        </is>
      </c>
      <c r="B53" t="inlineStr">
        <is>
          <t>Founder (CTO)</t>
        </is>
      </c>
      <c r="C53" t="inlineStr">
        <is>
          <t>Common</t>
        </is>
      </c>
      <c r="D53">
        <f>B46</f>
        <v>2352151.4074482266</v>
      </c>
      <c r="E53">
        <f>D53/M9</f>
        <v>0.061352801269141125</v>
      </c>
    </row>
    <row r="54">
      <c r="A54" t="inlineStr">
        <is>
          <t>F3</t>
        </is>
      </c>
      <c r="B54" t="inlineStr">
        <is>
          <t>Founder (Chief Sci.)</t>
        </is>
      </c>
      <c r="C54" t="inlineStr">
        <is>
          <t>Common</t>
        </is>
      </c>
      <c r="D54">
        <f>B47</f>
        <v>1411290.844468936</v>
      </c>
      <c r="E54">
        <f>D54/M9</f>
        <v>0.03681168076148467</v>
      </c>
    </row>
    <row r="55">
      <c r="A55" t="inlineStr">
        <is>
          <t>E1</t>
        </is>
      </c>
      <c r="B55" t="inlineStr">
        <is>
          <t>Employee RSA</t>
        </is>
      </c>
      <c r="C55" t="inlineStr">
        <is>
          <t>Common</t>
        </is>
      </c>
      <c r="D55">
        <f>Assumptions!$B$47/10</f>
        <v>100000</v>
      </c>
      <c r="E55">
        <f>D55/M9</f>
        <v>0.0026083695579656925</v>
      </c>
    </row>
    <row r="56">
      <c r="A56" t="inlineStr">
        <is>
          <t>E2</t>
        </is>
      </c>
      <c r="B56" t="inlineStr">
        <is>
          <t>Employee RSA</t>
        </is>
      </c>
      <c r="C56" t="inlineStr">
        <is>
          <t>Common</t>
        </is>
      </c>
      <c r="D56">
        <f>Assumptions!$B$47/10</f>
        <v>100000</v>
      </c>
      <c r="E56">
        <f>D56/M9</f>
        <v>0.0026083695579656925</v>
      </c>
    </row>
    <row r="57">
      <c r="A57" t="inlineStr">
        <is>
          <t>E3</t>
        </is>
      </c>
      <c r="B57" t="inlineStr">
        <is>
          <t>Employee RSA</t>
        </is>
      </c>
      <c r="C57" t="inlineStr">
        <is>
          <t>Common</t>
        </is>
      </c>
      <c r="D57">
        <f>Assumptions!$B$47/10</f>
        <v>100000</v>
      </c>
      <c r="E57">
        <f>D57/M9</f>
        <v>0.0026083695579656925</v>
      </c>
    </row>
    <row r="58">
      <c r="A58" t="inlineStr">
        <is>
          <t>E4</t>
        </is>
      </c>
      <c r="B58" t="inlineStr">
        <is>
          <t>Employee RSA</t>
        </is>
      </c>
      <c r="C58" t="inlineStr">
        <is>
          <t>Common</t>
        </is>
      </c>
      <c r="D58">
        <f>Assumptions!$B$47/10</f>
        <v>100000</v>
      </c>
      <c r="E58">
        <f>D58/M9</f>
        <v>0.0026083695579656925</v>
      </c>
    </row>
    <row r="59">
      <c r="A59" t="inlineStr">
        <is>
          <t>E5</t>
        </is>
      </c>
      <c r="B59" t="inlineStr">
        <is>
          <t>Employee RSA</t>
        </is>
      </c>
      <c r="C59" t="inlineStr">
        <is>
          <t>Common</t>
        </is>
      </c>
      <c r="D59">
        <f>Assumptions!$B$47/10</f>
        <v>100000</v>
      </c>
      <c r="E59">
        <f>D59/M9</f>
        <v>0.0026083695579656925</v>
      </c>
    </row>
    <row r="60">
      <c r="A60" t="inlineStr">
        <is>
          <t>E6</t>
        </is>
      </c>
      <c r="B60" t="inlineStr">
        <is>
          <t>Employee RSA</t>
        </is>
      </c>
      <c r="C60" t="inlineStr">
        <is>
          <t>Common</t>
        </is>
      </c>
      <c r="D60">
        <f>Assumptions!$B$47/10</f>
        <v>100000</v>
      </c>
      <c r="E60">
        <f>D60/M9</f>
        <v>0.0026083695579656925</v>
      </c>
    </row>
    <row r="61">
      <c r="A61" t="inlineStr">
        <is>
          <t>E7</t>
        </is>
      </c>
      <c r="B61" t="inlineStr">
        <is>
          <t>Employee RSA</t>
        </is>
      </c>
      <c r="C61" t="inlineStr">
        <is>
          <t>Common</t>
        </is>
      </c>
      <c r="D61">
        <f>Assumptions!$B$47/10</f>
        <v>100000</v>
      </c>
      <c r="E61">
        <f>D61/M9</f>
        <v>0.0026083695579656925</v>
      </c>
    </row>
    <row r="62">
      <c r="A62" t="inlineStr">
        <is>
          <t>E8</t>
        </is>
      </c>
      <c r="B62" t="inlineStr">
        <is>
          <t>Employee RSA</t>
        </is>
      </c>
      <c r="C62" t="inlineStr">
        <is>
          <t>Common</t>
        </is>
      </c>
      <c r="D62">
        <f>Assumptions!$B$47/10</f>
        <v>100000</v>
      </c>
      <c r="E62">
        <f>D62/M9</f>
        <v>0.0026083695579656925</v>
      </c>
    </row>
    <row r="63">
      <c r="A63" t="inlineStr">
        <is>
          <t>E9</t>
        </is>
      </c>
      <c r="B63" t="inlineStr">
        <is>
          <t>Employee RSA</t>
        </is>
      </c>
      <c r="C63" t="inlineStr">
        <is>
          <t>Common</t>
        </is>
      </c>
      <c r="D63">
        <f>Assumptions!$B$47/10</f>
        <v>100000</v>
      </c>
      <c r="E63">
        <f>D63/M9</f>
        <v>0.0026083695579656925</v>
      </c>
    </row>
    <row r="64">
      <c r="A64" t="inlineStr">
        <is>
          <t>E10</t>
        </is>
      </c>
      <c r="B64" t="inlineStr">
        <is>
          <t>Employee RSA</t>
        </is>
      </c>
      <c r="C64" t="inlineStr">
        <is>
          <t>Common</t>
        </is>
      </c>
      <c r="D64">
        <f>Assumptions!$B$47/10</f>
        <v>100000</v>
      </c>
      <c r="E64">
        <f>D64/M9</f>
        <v>0.0026083695579656925</v>
      </c>
    </row>
    <row r="65">
      <c r="A65" t="inlineStr">
        <is>
          <t>SEED1</t>
        </is>
      </c>
      <c r="B65" t="inlineStr">
        <is>
          <t>Seed preferred LP</t>
        </is>
      </c>
      <c r="C65" t="inlineStr">
        <is>
          <t>Seed</t>
        </is>
      </c>
      <c r="D65">
        <f>Assumptions!$B$42</f>
        <v>5000000</v>
      </c>
      <c r="E65">
        <f>D65/M9</f>
        <v>0.13041847789828462</v>
      </c>
    </row>
    <row r="66">
      <c r="A66" t="inlineStr">
        <is>
          <t>A1</t>
        </is>
      </c>
      <c r="B66" t="inlineStr">
        <is>
          <t>Series A LP</t>
        </is>
      </c>
      <c r="C66" t="inlineStr">
        <is>
          <t>Series A</t>
        </is>
      </c>
      <c r="D66">
        <f>Assumptions!$B$40</f>
        <v>5000000</v>
      </c>
      <c r="E66">
        <f>D66/M9</f>
        <v>0.13041847789828462</v>
      </c>
    </row>
    <row r="67">
      <c r="A67" t="inlineStr">
        <is>
          <t>B1</t>
        </is>
      </c>
      <c r="B67" t="inlineStr">
        <is>
          <t>Series B LP</t>
        </is>
      </c>
      <c r="C67" t="inlineStr">
        <is>
          <t>Series B</t>
        </is>
      </c>
      <c r="D67">
        <f>Assumptions!$B$38</f>
        <v>3000000</v>
      </c>
      <c r="E67">
        <f>D67/M9</f>
        <v>0.07825108673897077</v>
      </c>
    </row>
    <row r="68">
      <c r="A68" t="inlineStr">
        <is>
          <t>C1</t>
        </is>
      </c>
      <c r="B68" t="inlineStr">
        <is>
          <t>Series C LP</t>
        </is>
      </c>
      <c r="C68" t="inlineStr">
        <is>
          <t>Series C</t>
        </is>
      </c>
      <c r="D68">
        <f>Assumptions!$B$36</f>
        <v>2400000</v>
      </c>
      <c r="E68">
        <f>D68/M9</f>
        <v>0.06260086939117662</v>
      </c>
    </row>
    <row r="69">
      <c r="A69" t="inlineStr">
        <is>
          <t>D1</t>
        </is>
      </c>
      <c r="B69" t="inlineStr">
        <is>
          <t>Series D LP</t>
        </is>
      </c>
      <c r="C69" t="inlineStr">
        <is>
          <t>Series D (post-AD)</t>
        </is>
      </c>
      <c r="D69">
        <f>G29</f>
        <v>1733976.671712865</v>
      </c>
      <c r="E69">
        <f>D69/M9</f>
        <v>0.04522851964718508</v>
      </c>
    </row>
    <row r="70">
      <c r="A70" t="inlineStr">
        <is>
          <t>E1_INV</t>
        </is>
      </c>
      <c r="B70" t="inlineStr">
        <is>
          <t>Series E LP</t>
        </is>
      </c>
      <c r="C70" t="inlineStr">
        <is>
          <t>Series E (post-AD)</t>
        </is>
      </c>
      <c r="D70">
        <f>610267/Assumptions!$B$34*G30</f>
        <v>613454.0796003366</v>
      </c>
      <c r="E70">
        <f>D70/M9</f>
        <v>0.016001149464393807</v>
      </c>
    </row>
    <row r="71">
      <c r="A71" t="inlineStr">
        <is>
          <t>E2_INV</t>
        </is>
      </c>
      <c r="B71" t="inlineStr">
        <is>
          <t>Series E LP</t>
        </is>
      </c>
      <c r="C71" t="inlineStr">
        <is>
          <t>Series E (post-AD)</t>
        </is>
      </c>
      <c r="D71">
        <f>610267/Assumptions!$B$34*G30</f>
        <v>613454.0796003366</v>
      </c>
      <c r="E71">
        <f>D71/M9</f>
        <v>0.016001149464393807</v>
      </c>
    </row>
    <row r="72">
      <c r="A72" t="inlineStr">
        <is>
          <t>E3_INV</t>
        </is>
      </c>
      <c r="B72" t="inlineStr">
        <is>
          <t>Series E LP</t>
        </is>
      </c>
      <c r="C72" t="inlineStr">
        <is>
          <t>Series E (post-AD)</t>
        </is>
      </c>
      <c r="D72">
        <f>610267/Assumptions!$B$34*G30</f>
        <v>613454.0796003366</v>
      </c>
      <c r="E72">
        <f>D72/M9</f>
        <v>0.016001149464393807</v>
      </c>
    </row>
    <row r="73">
      <c r="A73" t="inlineStr">
        <is>
          <t>E4_INV</t>
        </is>
      </c>
      <c r="B73" t="inlineStr">
        <is>
          <t>Series E LP</t>
        </is>
      </c>
      <c r="C73" t="inlineStr">
        <is>
          <t>Series E (post-AD)</t>
        </is>
      </c>
      <c r="D73">
        <f>610267/Assumptions!$B$34*G30</f>
        <v>613454.0796003366</v>
      </c>
      <c r="E73">
        <f>D73/M9</f>
        <v>0.016001149464393807</v>
      </c>
    </row>
    <row r="74">
      <c r="A74" t="inlineStr">
        <is>
          <t>E5_INV</t>
        </is>
      </c>
      <c r="B74" t="inlineStr">
        <is>
          <t>Series E LP</t>
        </is>
      </c>
      <c r="C74" t="inlineStr">
        <is>
          <t>Series E (post-AD)</t>
        </is>
      </c>
      <c r="D74">
        <f>610267/Assumptions!$B$34*G30</f>
        <v>613454.0796003366</v>
      </c>
      <c r="E74">
        <f>D74/M9</f>
        <v>0.016001149464393807</v>
      </c>
    </row>
    <row r="75">
      <c r="A75" t="inlineStr">
        <is>
          <t>E6_INV</t>
        </is>
      </c>
      <c r="B75" t="inlineStr">
        <is>
          <t>Series E LP</t>
        </is>
      </c>
      <c r="C75" t="inlineStr">
        <is>
          <t>Series E (post-AD)</t>
        </is>
      </c>
      <c r="D75">
        <f>610267/Assumptions!$B$34*G30</f>
        <v>613454.0796003366</v>
      </c>
      <c r="E75">
        <f>D75/M9</f>
        <v>0.016001149464393807</v>
      </c>
    </row>
    <row r="76">
      <c r="A76" t="inlineStr">
        <is>
          <t>E7_INV</t>
        </is>
      </c>
      <c r="B76" t="inlineStr">
        <is>
          <t>Series E LP</t>
        </is>
      </c>
      <c r="C76" t="inlineStr">
        <is>
          <t>Series E (post-AD)</t>
        </is>
      </c>
      <c r="D76">
        <f>610267/Assumptions!$B$34*G30</f>
        <v>613454.0796003366</v>
      </c>
      <c r="E76">
        <f>D76/M9</f>
        <v>0.016001149464393807</v>
      </c>
    </row>
    <row r="77">
      <c r="A77" t="inlineStr">
        <is>
          <t>E8_INV</t>
        </is>
      </c>
      <c r="B77" t="inlineStr">
        <is>
          <t>Series E LP</t>
        </is>
      </c>
      <c r="C77" t="inlineStr">
        <is>
          <t>Series E (post-AD)</t>
        </is>
      </c>
      <c r="D77">
        <f>610267/Assumptions!$B$34*G30</f>
        <v>613454.0796003366</v>
      </c>
      <c r="E77">
        <f>D77/M9</f>
        <v>0.016001149464393807</v>
      </c>
    </row>
    <row r="78">
      <c r="A78" t="inlineStr">
        <is>
          <t>E9_INV</t>
        </is>
      </c>
      <c r="B78" t="inlineStr">
        <is>
          <t>Series E LP</t>
        </is>
      </c>
      <c r="C78" t="inlineStr">
        <is>
          <t>Series E (post-AD)</t>
        </is>
      </c>
      <c r="D78">
        <f>610267/Assumptions!$B$34*G30</f>
        <v>613454.0796003366</v>
      </c>
      <c r="E78">
        <f>D78/M9</f>
        <v>0.016001149464393807</v>
      </c>
    </row>
    <row r="79">
      <c r="A79" t="inlineStr">
        <is>
          <t>E10_INV</t>
        </is>
      </c>
      <c r="B79" t="inlineStr">
        <is>
          <t>Series E LP</t>
        </is>
      </c>
      <c r="C79" t="inlineStr">
        <is>
          <t>Series E (post-AD)</t>
        </is>
      </c>
      <c r="D79">
        <f>610264/Assumptions!$B$34*G30</f>
        <v>613451.0639330323</v>
      </c>
      <c r="E79">
        <f>D79/M9</f>
        <v>0.016001070804645873</v>
      </c>
    </row>
    <row r="80">
      <c r="A80" t="inlineStr">
        <is>
          <t>NA1</t>
        </is>
      </c>
      <c r="B80" t="inlineStr">
        <is>
          <t>Note A holder</t>
        </is>
      </c>
      <c r="C80" t="inlineStr">
        <is>
          <t>Common (post-conv)</t>
        </is>
      </c>
      <c r="D80">
        <f>F35</f>
        <v>186735.46946505885</v>
      </c>
      <c r="E80">
        <f>D80/M9</f>
        <v>0.0048707511394509165</v>
      </c>
    </row>
    <row r="81">
      <c r="A81" t="inlineStr">
        <is>
          <t>NB1</t>
        </is>
      </c>
      <c r="B81" t="inlineStr">
        <is>
          <t>Note B holder</t>
        </is>
      </c>
      <c r="C81" t="inlineStr">
        <is>
          <t>Common (post-conv)</t>
        </is>
      </c>
      <c r="D81">
        <f>F36</f>
        <v>94623.09923229835</v>
      </c>
      <c r="E81">
        <f>D81/M9</f>
        <v>0.002468120115178939</v>
      </c>
    </row>
    <row r="82">
      <c r="A82" t="inlineStr">
        <is>
          <t>F_LEAD</t>
        </is>
      </c>
      <c r="B82" t="inlineStr">
        <is>
          <t>F lead investor</t>
        </is>
      </c>
      <c r="C82" t="inlineStr">
        <is>
          <t>Series F</t>
        </is>
      </c>
      <c r="D82">
        <f>M11</f>
        <v>536197.5623210976</v>
      </c>
      <c r="E82">
        <f>D82/M9</f>
        <v>0.013986013986137632</v>
      </c>
    </row>
    <row r="83">
      <c r="A83" t="inlineStr">
        <is>
          <t>F_LEAD</t>
        </is>
      </c>
      <c r="B83" t="inlineStr">
        <is>
          <t>F lead investor</t>
        </is>
      </c>
      <c r="C83" t="inlineStr">
        <is>
          <t>Common (secondary)</t>
        </is>
      </c>
      <c r="D83">
        <f>B41</f>
        <v>473115.4961656744</v>
      </c>
      <c r="E83">
        <f>D83/M9</f>
        <v>0.012340600576003793</v>
      </c>
    </row>
    <row r="84">
      <c r="A84" t="inlineStr">
        <is>
          <t>F_FUND</t>
        </is>
      </c>
      <c r="B84" t="inlineStr">
        <is>
          <t>Our fund</t>
        </is>
      </c>
      <c r="C84" t="inlineStr">
        <is>
          <t>Series F</t>
        </is>
      </c>
      <c r="D84">
        <f>M10</f>
        <v>268098.7811605488</v>
      </c>
      <c r="E84">
        <f>D84/M9</f>
        <v>0.006993006993068816</v>
      </c>
    </row>
    <row r="85">
      <c r="A85" t="inlineStr">
        <is>
          <t>ESOP-issued</t>
        </is>
      </c>
      <c r="B85" t="inlineStr">
        <is>
          <t>Issued options</t>
        </is>
      </c>
      <c r="C85" t="inlineStr">
        <is>
          <t>Options</t>
        </is>
      </c>
      <c r="D85">
        <f>Assumptions!$B$28</f>
        <v>2500000</v>
      </c>
      <c r="E85">
        <f>D85/M9</f>
        <v>0.06520923894914231</v>
      </c>
    </row>
    <row r="86">
      <c r="A86" t="inlineStr">
        <is>
          <t>ESOP-unissued</t>
        </is>
      </c>
      <c r="B86" t="inlineStr">
        <is>
          <t>Unissued pool + top-up</t>
        </is>
      </c>
      <c r="C86" t="inlineStr">
        <is>
          <t>Options</t>
        </is>
      </c>
      <c r="D86">
        <f>Assumptions!$B$29+M5</f>
        <v>2483956.3417305406</v>
      </c>
      <c r="E86">
        <f>D86/M9</f>
        <v>0.06479076105085768</v>
      </c>
    </row>
    <row r="87">
      <c r="A87" s="1" t="inlineStr">
        <is>
          <t>TOTAL</t>
        </is>
      </c>
      <c r="D87">
        <f>SUM(D52:D86)</f>
        <v>38338125.70595848</v>
      </c>
      <c r="E87">
        <f>SUM(E52:E86)</f>
        <v>1.0000000000088407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Exit Waterfall — 1x Non-Participating with Conversion Election</t>
        </is>
      </c>
    </row>
    <row r="3">
      <c r="A3" s="1" t="inlineStr">
        <is>
          <t>Item</t>
        </is>
      </c>
      <c r="B3">
        <f>Assumptions!$B$9</f>
        <v>700000000.0</v>
      </c>
      <c r="C3">
        <f>Assumptions!$B$10</f>
        <v>1200000000.0</v>
      </c>
      <c r="D3">
        <f>Assumptions!$B$11</f>
        <v>2000000000.0</v>
      </c>
      <c r="E3">
        <f>Assumptions!$B$12</f>
        <v>4000000000.0</v>
      </c>
      <c r="F3">
        <f>Assumptions!$B$13</f>
        <v>8000000000.0</v>
      </c>
    </row>
    <row r="4">
      <c r="A4" s="1" t="inlineStr">
        <is>
          <t>Class</t>
        </is>
      </c>
      <c r="G4" s="1" t="inlineStr">
        <is>
          <t>Shares</t>
        </is>
      </c>
      <c r="H4" s="1" t="inlineStr">
        <is>
          <t>LP</t>
        </is>
      </c>
    </row>
    <row r="5">
      <c r="A5" t="inlineStr">
        <is>
          <t>F</t>
        </is>
      </c>
      <c r="G5">
        <f>'Pro-Forma'!M7</f>
        <v>804296.3434816465</v>
      </c>
      <c r="H5">
        <f>Assumptions!$B$3</f>
        <v>30000000.0</v>
      </c>
    </row>
    <row r="6">
      <c r="A6" t="inlineStr">
        <is>
          <t>E</t>
        </is>
      </c>
      <c r="G6">
        <f>'Pro-Forma'!G30</f>
        <v>6134537.780336062</v>
      </c>
      <c r="H6">
        <f>Assumptions!$B$35</f>
        <v>300000000.0</v>
      </c>
    </row>
    <row r="7">
      <c r="A7" t="inlineStr">
        <is>
          <t>D</t>
        </is>
      </c>
      <c r="G7">
        <f>'Pro-Forma'!G29</f>
        <v>1733976.671712865</v>
      </c>
      <c r="H7">
        <f>Assumptions!$B$33</f>
        <v>100000000.0</v>
      </c>
    </row>
    <row r="8">
      <c r="A8" t="inlineStr">
        <is>
          <t>C</t>
        </is>
      </c>
      <c r="G8">
        <f>Assumptions!$B$36</f>
        <v>2400000</v>
      </c>
      <c r="H8">
        <f>Assumptions!$B$37</f>
        <v>60000000.0</v>
      </c>
    </row>
    <row r="9">
      <c r="A9" t="inlineStr">
        <is>
          <t>B</t>
        </is>
      </c>
      <c r="G9">
        <f>Assumptions!$B$38</f>
        <v>3000000</v>
      </c>
      <c r="H9">
        <f>Assumptions!$B$39</f>
        <v>30000000.0</v>
      </c>
    </row>
    <row r="10">
      <c r="A10" t="inlineStr">
        <is>
          <t>A</t>
        </is>
      </c>
      <c r="G10">
        <f>Assumptions!$B$40</f>
        <v>5000000</v>
      </c>
      <c r="H10">
        <f>Assumptions!$B$41</f>
        <v>15000000.0</v>
      </c>
    </row>
    <row r="11">
      <c r="A11" t="inlineStr">
        <is>
          <t>Seed</t>
        </is>
      </c>
      <c r="G11">
        <f>Assumptions!$B$42</f>
        <v>5000000</v>
      </c>
      <c r="H11">
        <f>Assumptions!$B$43</f>
        <v>5000000.0</v>
      </c>
    </row>
    <row r="13">
      <c r="A13" t="inlineStr">
        <is>
          <t>Common+RSAs base</t>
        </is>
      </c>
      <c r="G13">
        <f>Assumptions!$B$44+Assumptions!$B$45+Assumptions!$B$46+Assumptions!$B$47</f>
        <v>9000000</v>
      </c>
    </row>
    <row r="14">
      <c r="A14" t="inlineStr">
        <is>
          <t>Notes shares (combined)</t>
        </is>
      </c>
      <c r="G14">
        <f>'Pro-Forma'!F35+'Pro-Forma'!F36</f>
        <v>281358.5686973572</v>
      </c>
    </row>
    <row r="15">
      <c r="A15" t="inlineStr">
        <is>
          <t>Issued options</t>
        </is>
      </c>
      <c r="G15">
        <f>Assumptions!$B$28</f>
        <v>2500000</v>
      </c>
    </row>
    <row r="16">
      <c r="A16" t="inlineStr">
        <is>
          <t>Strike</t>
        </is>
      </c>
      <c r="G16">
        <f>Assumptions!$B$20</f>
        <v>1.0</v>
      </c>
    </row>
    <row r="18">
      <c r="A18" s="1" t="inlineStr">
        <is>
          <t>Election by Class (convert | preference)</t>
        </is>
      </c>
    </row>
    <row r="19">
      <c r="A19" t="inlineStr">
        <is>
          <t>F</t>
        </is>
      </c>
      <c r="B19" t="str">
        <f>IF(G5*B39&gt;H5,"convert","preference")</f>
        <v>preference</v>
      </c>
      <c r="C19" t="str">
        <f>IF(G5*C39&gt;H5,"convert","preference")</f>
        <v>preference</v>
      </c>
      <c r="D19" t="str">
        <f>IF(G5*D39&gt;H5,"convert","preference")</f>
        <v>convert</v>
      </c>
      <c r="E19" t="str">
        <f>IF(G5*E39&gt;H5,"convert","preference")</f>
        <v>convert</v>
      </c>
      <c r="F19" t="str">
        <f>IF(G5*F39&gt;H5,"convert","preference")</f>
        <v>convert</v>
      </c>
    </row>
    <row r="20">
      <c r="A20" t="inlineStr">
        <is>
          <t>E</t>
        </is>
      </c>
      <c r="B20" t="str">
        <f>IF(G6*B39&gt;H6,"convert","preference")</f>
        <v>preference</v>
      </c>
      <c r="C20" t="str">
        <f>IF(G6*C39&gt;H6,"convert","preference")</f>
        <v>preference</v>
      </c>
      <c r="D20" t="str">
        <f>IF(G6*D39&gt;H6,"convert","preference")</f>
        <v>convert</v>
      </c>
      <c r="E20" t="str">
        <f>IF(G6*E39&gt;H6,"convert","preference")</f>
        <v>convert</v>
      </c>
      <c r="F20" t="str">
        <f>IF(G6*F39&gt;H6,"convert","preference")</f>
        <v>convert</v>
      </c>
    </row>
    <row r="21">
      <c r="A21" t="inlineStr">
        <is>
          <t>D</t>
        </is>
      </c>
      <c r="B21" t="str">
        <f>IF(G7*B39&gt;H7,"convert","preference")</f>
        <v>preference</v>
      </c>
      <c r="C21" t="str">
        <f>IF(G7*C39&gt;H7,"convert","preference")</f>
        <v>preference</v>
      </c>
      <c r="D21" t="str">
        <f>IF(G7*D39&gt;H7,"convert","preference")</f>
        <v>preference</v>
      </c>
      <c r="E21" t="str">
        <f>IF(G7*E39&gt;H7,"convert","preference")</f>
        <v>convert</v>
      </c>
      <c r="F21" t="str">
        <f>IF(G7*F39&gt;H7,"convert","preference")</f>
        <v>convert</v>
      </c>
    </row>
    <row r="22">
      <c r="A22" t="inlineStr">
        <is>
          <t>C</t>
        </is>
      </c>
      <c r="B22" t="str">
        <f>IF(G8*B39&gt;H8,"convert","preference")</f>
        <v>preference</v>
      </c>
      <c r="C22" t="str">
        <f>IF(G8*C39&gt;H8,"convert","preference")</f>
        <v>convert</v>
      </c>
      <c r="D22" t="str">
        <f>IF(G8*D39&gt;H8,"convert","preference")</f>
        <v>convert</v>
      </c>
      <c r="E22" t="str">
        <f>IF(G8*E39&gt;H8,"convert","preference")</f>
        <v>convert</v>
      </c>
      <c r="F22" t="str">
        <f>IF(G8*F39&gt;H8,"convert","preference")</f>
        <v>convert</v>
      </c>
    </row>
    <row r="23">
      <c r="A23" t="inlineStr">
        <is>
          <t>B</t>
        </is>
      </c>
      <c r="B23" t="str">
        <f>IF(G9*B39&gt;H9,"convert","preference")</f>
        <v>preference</v>
      </c>
      <c r="C23" t="str">
        <f>IF(G9*C39&gt;H9,"convert","preference")</f>
        <v>convert</v>
      </c>
      <c r="D23" t="str">
        <f>IF(G9*D39&gt;H9,"convert","preference")</f>
        <v>convert</v>
      </c>
      <c r="E23" t="str">
        <f>IF(G9*E39&gt;H9,"convert","preference")</f>
        <v>convert</v>
      </c>
      <c r="F23" t="str">
        <f>IF(G9*F39&gt;H9,"convert","preference")</f>
        <v>convert</v>
      </c>
    </row>
    <row r="24">
      <c r="A24" t="inlineStr">
        <is>
          <t>A</t>
        </is>
      </c>
      <c r="B24" t="str">
        <f>IF(G10*B39&gt;H10,"convert","preference")</f>
        <v>convert</v>
      </c>
      <c r="C24" t="str">
        <f>IF(G10*C39&gt;H10,"convert","preference")</f>
        <v>convert</v>
      </c>
      <c r="D24" t="str">
        <f>IF(G10*D39&gt;H10,"convert","preference")</f>
        <v>convert</v>
      </c>
      <c r="E24" t="str">
        <f>IF(G10*E39&gt;H10,"convert","preference")</f>
        <v>convert</v>
      </c>
      <c r="F24" t="str">
        <f>IF(G10*F39&gt;H10,"convert","preference")</f>
        <v>convert</v>
      </c>
    </row>
    <row r="25">
      <c r="A25" t="inlineStr">
        <is>
          <t>Seed</t>
        </is>
      </c>
      <c r="B25" t="str">
        <f>IF(G11*B39&gt;H11,"convert","preference")</f>
        <v>convert</v>
      </c>
      <c r="C25" t="str">
        <f>IF(G11*C39&gt;H11,"convert","preference")</f>
        <v>convert</v>
      </c>
      <c r="D25" t="str">
        <f>IF(G11*D39&gt;H11,"convert","preference")</f>
        <v>convert</v>
      </c>
      <c r="E25" t="str">
        <f>IF(G11*E39&gt;H11,"convert","preference")</f>
        <v>convert</v>
      </c>
      <c r="F25" t="str">
        <f>IF(G11*F39&gt;H11,"convert","preference")</f>
        <v>convert</v>
      </c>
    </row>
    <row r="27">
      <c r="A27" s="1" t="inlineStr">
        <is>
          <t>Class Proceeds ($)</t>
        </is>
      </c>
    </row>
    <row r="28">
      <c r="A28" t="inlineStr">
        <is>
          <t>F</t>
        </is>
      </c>
      <c r="B28">
        <f>IF(B19="convert",G5*B39,H5)</f>
        <v>30000000.0</v>
      </c>
      <c r="C28">
        <f>IF(C19="convert",G5*C39,H5)</f>
        <v>30000000.0</v>
      </c>
      <c r="D28">
        <f>IF(D19="convert",G5*D39,H5)</f>
        <v>44846575.377327986</v>
      </c>
      <c r="E28">
        <f>IF(E19="convert",G5*E39,H5)</f>
        <v>89785823.29108745</v>
      </c>
      <c r="F28">
        <f>IF(F19="convert",G5*F39,H5)</f>
        <v>179515565.49329853</v>
      </c>
    </row>
    <row r="29">
      <c r="A29" t="inlineStr">
        <is>
          <t>E</t>
        </is>
      </c>
      <c r="B29">
        <f>IF(B20="convert",G6*B39,H6)</f>
        <v>300000000.0</v>
      </c>
      <c r="C29">
        <f>IF(C20="convert",G6*C39,H6)</f>
        <v>300000000.0</v>
      </c>
      <c r="D29">
        <f>IF(D20="convert",G6*D39,H6)</f>
        <v>342054285.3396491</v>
      </c>
      <c r="E29">
        <f>IF(E20="convert",G6*E39,H6)</f>
        <v>684815403.6526741</v>
      </c>
      <c r="F29">
        <f>IF(F20="convert",G6*F39,H6)</f>
        <v>1369203065.0169954</v>
      </c>
    </row>
    <row r="30">
      <c r="A30" t="inlineStr">
        <is>
          <t>D</t>
        </is>
      </c>
      <c r="B30">
        <f>IF(B21="convert",G7*B39,H7)</f>
        <v>100000000.0</v>
      </c>
      <c r="C30">
        <f>IF(C21="convert",G7*C39,H7)</f>
        <v>100000000.0</v>
      </c>
      <c r="D30">
        <f>IF(D21="convert",G7*D39,H7)</f>
        <v>100000000.0</v>
      </c>
      <c r="E30">
        <f>IF(E21="convert",G7*E39,H7)</f>
        <v>193568607.26649806</v>
      </c>
      <c r="F30">
        <f>IF(F21="convert",G7*F39,H7)</f>
        <v>387016309.7189633</v>
      </c>
    </row>
    <row r="31">
      <c r="A31" t="inlineStr">
        <is>
          <t>C</t>
        </is>
      </c>
      <c r="B31">
        <f>IF(B22="convert",G8*B39,H8)</f>
        <v>60000000.0</v>
      </c>
      <c r="C31">
        <f>IF(C22="convert",G8*C39,H8)</f>
        <v>68208511.18660076</v>
      </c>
      <c r="D31">
        <f>IF(D22="convert",G8*D39,H8)</f>
        <v>133821049.63907902</v>
      </c>
      <c r="E31">
        <f>IF(E22="convert",G8*E39,H8)</f>
        <v>267918631.7891387</v>
      </c>
      <c r="F31">
        <f>IF(F22="convert",G8*F39,H8)</f>
        <v>535669919.0237558</v>
      </c>
    </row>
    <row r="32">
      <c r="A32" t="inlineStr">
        <is>
          <t>B</t>
        </is>
      </c>
      <c r="B32">
        <f>IF(B23="convert",G9*B39,H9)</f>
        <v>30000000.0</v>
      </c>
      <c r="C32">
        <f>IF(C23="convert",G9*C39,H9)</f>
        <v>85260638.98325095</v>
      </c>
      <c r="D32">
        <f>IF(D23="convert",G9*D39,H9)</f>
        <v>167276312.04884878</v>
      </c>
      <c r="E32">
        <f>IF(E23="convert",G9*E39,H9)</f>
        <v>334898289.7364234</v>
      </c>
      <c r="F32">
        <f>IF(F23="convert",G9*F39,H9)</f>
        <v>669587398.7796948</v>
      </c>
    </row>
    <row r="33">
      <c r="A33" t="inlineStr">
        <is>
          <t>A</t>
        </is>
      </c>
      <c r="B33">
        <f>IF(B24="convert",G10*B39,H10)</f>
        <v>41893621.88414551</v>
      </c>
      <c r="C33">
        <f>IF(C24="convert",G10*C39,H10)</f>
        <v>142101064.9720849</v>
      </c>
      <c r="D33">
        <f>IF(D24="convert",G10*D39,H10)</f>
        <v>278793853.41474795</v>
      </c>
      <c r="E33">
        <f>IF(E24="convert",G10*E39,H10)</f>
        <v>558163816.2273723</v>
      </c>
      <c r="F33">
        <f>IF(F24="convert",G10*F39,H10)</f>
        <v>1115978997.966158</v>
      </c>
    </row>
    <row r="34">
      <c r="A34" t="inlineStr">
        <is>
          <t>Seed</t>
        </is>
      </c>
      <c r="B34">
        <f>IF(B25="convert",G11*B39,H11)</f>
        <v>41893621.88414551</v>
      </c>
      <c r="C34">
        <f>IF(C25="convert",G11*C39,H11)</f>
        <v>142101064.9720849</v>
      </c>
      <c r="D34">
        <f>IF(D25="convert",G11*D39,H11)</f>
        <v>278793853.41474795</v>
      </c>
      <c r="E34">
        <f>IF(E25="convert",G11*E39,H11)</f>
        <v>558163816.2273723</v>
      </c>
      <c r="F34">
        <f>IF(F25="convert",G11*F39,H11)</f>
        <v>1115978997.966158</v>
      </c>
    </row>
    <row r="35">
      <c r="A35" t="inlineStr">
        <is>
          <t>Notes combined (NA+NB)</t>
        </is>
      </c>
      <c r="B35">
        <f>G14*B39</f>
        <v>2357425.8981742924</v>
      </c>
      <c r="C35">
        <f>G14*C39</f>
        <v>7996270.450183194</v>
      </c>
      <c r="D35">
        <f>G14*D39</f>
        <v>15688207.911678858</v>
      </c>
      <c r="E35">
        <f>G14*E39</f>
        <v>31408834.48647764</v>
      </c>
      <c r="F35">
        <f>G14*F39</f>
        <v>62798050.71281382</v>
      </c>
    </row>
    <row r="36">
      <c r="A36" s="1" t="inlineStr">
        <is>
          <t>Total LP paid</t>
        </is>
      </c>
      <c r="B36">
        <f>IF(B19="preference",H5,0)+IF(B20="preference",H6,0)+IF(B21="preference",H7,0)+IF(B22="preference",H8,0)+IF(B23="preference",H9,0)+IF(B24="preference",H10,0)+IF(B25="preference",H11,0)</f>
        <v>520000000.0</v>
      </c>
      <c r="C36">
        <f>IF(C19="preference",H5,0)+IF(C20="preference",H6,0)+IF(C21="preference",H7,0)+IF(C22="preference",H8,0)+IF(C23="preference",H9,0)+IF(C24="preference",H10,0)+IF(C25="preference",H11,0)</f>
        <v>430000000.0</v>
      </c>
      <c r="D36">
        <f>IF(D19="preference",H5,0)+IF(D20="preference",H6,0)+IF(D21="preference",H7,0)+IF(D22="preference",H8,0)+IF(D23="preference",H9,0)+IF(D24="preference",H10,0)+IF(D25="preference",H11,0)</f>
        <v>100000000.0</v>
      </c>
      <c r="E36">
        <f>IF(E19="preference",H5,0)+IF(E20="preference",H6,0)+IF(E21="preference",H7,0)+IF(E22="preference",H8,0)+IF(E23="preference",H9,0)+IF(E24="preference",H10,0)+IF(E25="preference",H11,0)</f>
        <v>0</v>
      </c>
      <c r="F36">
        <f>IF(F19="preference",H5,0)+IF(F20="preference",H6,0)+IF(F21="preference",H7,0)+IF(F22="preference",H8,0)+IF(F23="preference",H9,0)+IF(F24="preference",H10,0)+IF(F25="preference",H11,0)</f>
        <v>0</v>
      </c>
    </row>
    <row r="37">
      <c r="A37" t="inlineStr">
        <is>
          <t>Convert pool</t>
        </is>
      </c>
      <c r="B37">
        <f>G13+G14+G15+IF(B19="convert",G5,0)+IF(B20="convert",G6,0)+IF(B21="convert",G7,0)+IF(B22="convert",G8,0)+IF(B23="convert",G9,0)+IF(B24="convert",G10,0)+IF(B25="convert",G11,0)</f>
        <v>21781358.568697356</v>
      </c>
      <c r="C37">
        <f>G13+G14+G15+IF(C19="convert",G5,0)+IF(C20="convert",G6,0)+IF(C21="convert",G7,0)+IF(C22="convert",G8,0)+IF(C23="convert",G9,0)+IF(C24="convert",G10,0)+IF(C25="convert",G11,0)</f>
        <v>27181358.568697356</v>
      </c>
      <c r="D37">
        <f>G13+G14+G15+IF(D19="convert",G5,0)+IF(D20="convert",G6,0)+IF(D21="convert",G7,0)+IF(D22="convert",G8,0)+IF(D23="convert",G9,0)+IF(D24="convert",G10,0)+IF(D25="convert",G11,0)</f>
        <v>34120192.69251507</v>
      </c>
      <c r="E37">
        <f>G13+G14+G15+IF(E19="convert",G5,0)+IF(E20="convert",G6,0)+IF(E21="convert",G7,0)+IF(E22="convert",G8,0)+IF(E23="convert",G9,0)+IF(E24="convert",G10,0)+IF(E25="convert",G11,0)</f>
        <v>35854169.36422793</v>
      </c>
      <c r="F37">
        <f>G13+G14+G15+IF(F19="convert",G5,0)+IF(F20="convert",G6,0)+IF(F21="convert",G7,0)+IF(F22="convert",G8,0)+IF(F23="convert",G9,0)+IF(F24="convert",G10,0)+IF(F25="convert",G11,0)</f>
        <v>35854169.36422793</v>
      </c>
    </row>
    <row r="38">
      <c r="A38" t="inlineStr">
        <is>
          <t>Residual</t>
        </is>
      </c>
      <c r="B38">
        <f>B3-B36+G15*G16</f>
        <v>182500000.0</v>
      </c>
      <c r="C38">
        <f>C3-C36+G15*G16</f>
        <v>772500000.0</v>
      </c>
      <c r="D38">
        <f>D3-D36+G15*G16</f>
        <v>1902500000.0</v>
      </c>
      <c r="E38">
        <f>E3-E36+G15*G16</f>
        <v>4002500000.0</v>
      </c>
      <c r="F38">
        <f>F3-F36+G15*G16</f>
        <v>8002500000.0</v>
      </c>
    </row>
    <row r="39">
      <c r="A39" t="inlineStr">
        <is>
          <t>PPS at exit</t>
        </is>
      </c>
      <c r="B39">
        <f>B38/B37</f>
        <v>8.378724376829103</v>
      </c>
      <c r="C39">
        <f>C38/C37</f>
        <v>28.420212994416982</v>
      </c>
      <c r="D39">
        <f>D38/D37</f>
        <v>55.75877068294959</v>
      </c>
      <c r="E39">
        <f>E38/E37</f>
        <v>111.63276324547446</v>
      </c>
      <c r="F39">
        <f>F38/F37</f>
        <v>223.19579959323158</v>
      </c>
    </row>
    <row r="41">
      <c r="A41" t="inlineStr">
        <is>
          <t>Common + RSAs</t>
        </is>
      </c>
      <c r="B41">
        <f>G13*B39</f>
        <v>75408519.39146192</v>
      </c>
      <c r="C41">
        <f>G13*C39</f>
        <v>255781916.94975284</v>
      </c>
      <c r="D41">
        <f>G13*D39</f>
        <v>501828936.1465463</v>
      </c>
      <c r="E41">
        <f>G13*E39</f>
        <v>1004694869.2092702</v>
      </c>
      <c r="F41">
        <f>G13*F39</f>
        <v>2008762196.3390841</v>
      </c>
    </row>
    <row r="42">
      <c r="A42" t="inlineStr">
        <is>
          <t>Issued options (net of strike)</t>
        </is>
      </c>
      <c r="B42">
        <f>G15*(B39-G16)</f>
        <v>18446810.942072757</v>
      </c>
      <c r="C42">
        <f>G15*(C39-G16)</f>
        <v>68550532.48604245</v>
      </c>
      <c r="D42">
        <f>G15*(D39-G16)</f>
        <v>136896926.70737398</v>
      </c>
      <c r="E42">
        <f>G15*(E39-G16)</f>
        <v>276581908.11368614</v>
      </c>
      <c r="F42">
        <f>G15*(F39-G16)</f>
        <v>555489498.983079</v>
      </c>
    </row>
    <row r="44">
      <c r="A44" s="1" t="inlineStr">
        <is>
          <t>TOTAL ($)</t>
        </is>
      </c>
      <c r="B44">
        <f>SUM(B28:B34)+B35+B41+B42</f>
        <v>700000000.0</v>
      </c>
      <c r="C44">
        <f>SUM(C28:C34)+C35+C41+C42</f>
        <v>1200000000.0</v>
      </c>
      <c r="D44">
        <f>SUM(D28:D34)+D35+D41+D42</f>
        <v>2000000000.0</v>
      </c>
      <c r="E44">
        <f>SUM(E28:E34)+E35+E41+E42</f>
        <v>4000000000.0</v>
      </c>
      <c r="F44">
        <f>SUM(F28:F34)+F35+F41+F42</f>
        <v>8000000000.0</v>
      </c>
    </row>
    <row r="45">
      <c r="A45" t="inlineStr">
        <is>
          <t>Reconciliation diff</t>
        </is>
      </c>
      <c r="B45">
        <f>B44-B3</f>
        <v>0.0</v>
      </c>
      <c r="C45">
        <f>C44-C3</f>
        <v>0.0</v>
      </c>
      <c r="D45">
        <f>D44-D3</f>
        <v>0.0</v>
      </c>
      <c r="E45">
        <f>E44-E3</f>
        <v>0.0</v>
      </c>
      <c r="F45">
        <f>F44-F3</f>
        <v>0.0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Sensitivity: ESOP × Pre-Money @ $2B exit</t>
        </is>
      </c>
    </row>
    <row r="3">
      <c r="A3" s="1" t="inlineStr">
        <is>
          <t>ESOP \ Pre-money</t>
        </is>
      </c>
      <c r="B3" s="1">
        <f>Assumptions!$B$51</f>
        <v>1200000000.0</v>
      </c>
      <c r="C3" s="1">
        <f>Assumptions!$B$52</f>
        <v>1400000000.0</v>
      </c>
      <c r="D3" s="1">
        <f>Assumptions!$B$53</f>
        <v>1800000000.0</v>
      </c>
    </row>
    <row r="4">
      <c r="A4" t="inlineStr">
        <is>
          <t>11% ESOP — ownership %</t>
        </is>
      </c>
      <c r="B4">
        <f>B34</f>
        <v>0.008130081300847936</v>
      </c>
      <c r="C4">
        <f>B69</f>
        <v>0.0069930069931563215</v>
      </c>
      <c r="D4">
        <f>B104</f>
        <v>0.005464480874351961</v>
      </c>
    </row>
    <row r="5">
      <c r="A5" t="inlineStr">
        <is>
          <t>13% ESOP — ownership %</t>
        </is>
      </c>
      <c r="B5">
        <f>B139</f>
        <v>0.00813008130093726</v>
      </c>
      <c r="C5">
        <f>B174</f>
        <v>0.006993006993068816</v>
      </c>
      <c r="D5">
        <f>B209</f>
        <v>0.0054644808743535295</v>
      </c>
    </row>
    <row r="6">
      <c r="A6" t="inlineStr">
        <is>
          <t>15% ESOP — ownership %</t>
        </is>
      </c>
      <c r="B6">
        <f>B244</f>
        <v>0.008130081300973842</v>
      </c>
      <c r="C6">
        <f>B279</f>
        <v>0.006993006993092156</v>
      </c>
      <c r="D6">
        <f>B314</f>
        <v>0.005464480874370085</v>
      </c>
    </row>
    <row r="8">
      <c r="A8" s="1" t="inlineStr">
        <is>
          <t>Proceeds at $2B exit</t>
        </is>
      </c>
    </row>
    <row r="9">
      <c r="A9" t="inlineStr">
        <is>
          <t>Pre-money →</t>
        </is>
      </c>
      <c r="B9" s="1">
        <f>Assumptions!$B$51</f>
        <v>1200000000.0</v>
      </c>
      <c r="C9" s="1">
        <f>Assumptions!$B$52</f>
        <v>1400000000.0</v>
      </c>
      <c r="D9" s="1">
        <f>Assumptions!$B$53</f>
        <v>1800000000.0</v>
      </c>
    </row>
    <row r="10">
      <c r="A10" t="inlineStr">
        <is>
          <t>11% ESOP — $ proceeds</t>
        </is>
      </c>
      <c r="B10">
        <f>B46</f>
        <v>17107255.314150836</v>
      </c>
      <c r="C10">
        <f>B81</f>
        <v>14719653.583372349</v>
      </c>
      <c r="D10">
        <f>B116</f>
        <v>11507138.455567583</v>
      </c>
    </row>
    <row r="11">
      <c r="A11" t="inlineStr">
        <is>
          <t>13% ESOP — $ proceeds</t>
        </is>
      </c>
      <c r="B11">
        <f>B151</f>
        <v>17384972.005788475</v>
      </c>
      <c r="C11">
        <f>B186</f>
        <v>14948858.459109329</v>
      </c>
      <c r="D11">
        <f>B221</f>
        <v>11676568.951197622</v>
      </c>
    </row>
    <row r="12">
      <c r="A12" t="inlineStr">
        <is>
          <t>15% ESOP — $ proceeds</t>
        </is>
      </c>
      <c r="B12">
        <f>B256</f>
        <v>17795003.306666594</v>
      </c>
      <c r="C12">
        <f>B291</f>
        <v>15301320.88090364</v>
      </c>
      <c r="D12">
        <f>B326</f>
        <v>11951762.418613069</v>
      </c>
    </row>
    <row r="20">
      <c r="A20" s="1">
        <f>== Scenario [11% ESOP, $1.2B pre] ===</f>
        <v/>
      </c>
    </row>
    <row r="21">
      <c r="A21" t="inlineStr">
        <is>
          <t>pre</t>
        </is>
      </c>
      <c r="B21">
        <f>Assumptions!$B$51</f>
        <v>1200000000.0</v>
      </c>
    </row>
    <row r="22">
      <c r="A22" t="inlineStr">
        <is>
          <t>esop_t</t>
        </is>
      </c>
      <c r="B22">
        <f>Assumptions!$B$48</f>
        <v>0.11</v>
      </c>
    </row>
    <row r="23">
      <c r="A23" t="inlineStr">
        <is>
          <t>F_PPS</t>
        </is>
      </c>
      <c r="B23">
        <f>B21/B31</f>
        <v>32.44123698307371</v>
      </c>
    </row>
    <row r="24">
      <c r="A24" t="inlineStr">
        <is>
          <t>ESOP_topup</t>
        </is>
      </c>
      <c r="B24">
        <f>MAX(0,B22*(B21+Assumptions!$B$3)/B23-Assumptions!$B$30)</f>
        <v>0.0</v>
      </c>
    </row>
    <row r="25">
      <c r="A25" t="inlineStr">
        <is>
          <t>NCP_D</t>
        </is>
      </c>
      <c r="B25">
        <f>Assumptions!$B$18*(Assumptions!$B$27+Assumptions!$B$3/Assumptions!$B$18)/(Assumptions!$B$27+Assumptions!$B$3/B23)</f>
        <v>57.485870530278596</v>
      </c>
    </row>
    <row r="26">
      <c r="A26" t="inlineStr">
        <is>
          <t>NCP_E</t>
        </is>
      </c>
      <c r="B26">
        <f>Assumptions!$B$19*(Assumptions!$B$27+Assumptions!$B$3/Assumptions!$B$19)/(Assumptions!$B$27+Assumptions!$B$3/B23)</f>
        <v>48.74653740276509</v>
      </c>
    </row>
    <row r="27">
      <c r="A27" t="inlineStr">
        <is>
          <t>AD_D</t>
        </is>
      </c>
      <c r="B27">
        <f>Assumptions!$B$33/B25-Assumptions!$B$32</f>
        <v>18930.896184743848</v>
      </c>
    </row>
    <row r="28">
      <c r="A28" t="inlineStr">
        <is>
          <t>AD_E</t>
        </is>
      </c>
      <c r="B28">
        <f>Assumptions!$B$35/B26-Assumptions!$B$34</f>
        <v>51616.27803613059</v>
      </c>
    </row>
    <row r="29">
      <c r="A29" t="inlineStr">
        <is>
          <t>NA_sh</t>
        </is>
      </c>
      <c r="B29">
        <f>Assumptions!$B$21/MIN(Assumptions!$B$22/(Assumptions!$B$27+B24+B27+B28+B30),B23*(1-Assumptions!$B$23))</f>
        <v>192656.03229723024</v>
      </c>
    </row>
    <row r="30">
      <c r="A30" t="inlineStr">
        <is>
          <t>NB_sh</t>
        </is>
      </c>
      <c r="B30">
        <f>Assumptions!$B$24/MIN(Assumptions!$B$25/(Assumptions!$B$27+B24+B27+B28+B29),B23*(1-Assumptions!$B$26))</f>
        <v>108793.99470902415</v>
      </c>
    </row>
    <row r="31">
      <c r="A31" t="inlineStr">
        <is>
          <t>pre_FD</t>
        </is>
      </c>
      <c r="B31">
        <f>Assumptions!$B$27+B24+B27+B28+B29+B30</f>
        <v>36989958.20122713</v>
      </c>
    </row>
    <row r="32">
      <c r="A32" t="inlineStr">
        <is>
          <t>T_F</t>
        </is>
      </c>
      <c r="B32">
        <f>(B21+Assumptions!$B$3)/B23</f>
        <v>37914707.156094916</v>
      </c>
    </row>
    <row r="33">
      <c r="A33" t="inlineStr">
        <is>
          <t>our_shares</t>
        </is>
      </c>
      <c r="B33">
        <f>Assumptions!$B$7/B23</f>
        <v>308249.6516768927</v>
      </c>
    </row>
    <row r="34">
      <c r="A34" t="inlineStr">
        <is>
          <t>ownership %</t>
        </is>
      </c>
      <c r="B34">
        <f>B33/B32</f>
        <v>0.008130081300847936</v>
      </c>
    </row>
    <row r="35">
      <c r="A35" t="inlineStr">
        <is>
          <t>F_sh</t>
        </is>
      </c>
      <c r="B35">
        <f>Assumptions!$B$3/B23</f>
        <v>924748.9550306781</v>
      </c>
      <c r="C35">
        <f>Assumptions!$B$3</f>
        <v>30000000.0</v>
      </c>
      <c r="D35" t="str">
        <f>IF(B35*B44&gt;C35,"convert","preference")</f>
        <v>convert</v>
      </c>
    </row>
    <row r="36">
      <c r="A36" t="inlineStr">
        <is>
          <t>E_sh</t>
        </is>
      </c>
      <c r="B36">
        <f>Assumptions!$B$35/B26</f>
        <v>6154283.278036131</v>
      </c>
      <c r="C36">
        <f>Assumptions!$B$35</f>
        <v>300000000.0</v>
      </c>
      <c r="D36" t="str">
        <f>IF(B36*B44&gt;C36,"convert","preference")</f>
        <v>convert</v>
      </c>
    </row>
    <row r="37">
      <c r="A37" t="inlineStr">
        <is>
          <t>D_sh</t>
        </is>
      </c>
      <c r="B37">
        <f>Assumptions!$B$33/B25</f>
        <v>1739557.8961847438</v>
      </c>
      <c r="C37">
        <f>Assumptions!$B$33</f>
        <v>100000000.0</v>
      </c>
      <c r="D37" t="str">
        <f>IF(B37*B44&gt;C37,"convert","preference")</f>
        <v>preference</v>
      </c>
    </row>
    <row r="38">
      <c r="A38" t="inlineStr">
        <is>
          <t>C_sh</t>
        </is>
      </c>
      <c r="B38">
        <f>Assumptions!$B$36</f>
        <v>2400000</v>
      </c>
      <c r="C38">
        <f>Assumptions!$B$37</f>
        <v>60000000.0</v>
      </c>
      <c r="D38" t="str">
        <f>IF(B38*B44&gt;C38,"convert","preference")</f>
        <v>convert</v>
      </c>
    </row>
    <row r="39">
      <c r="A39" t="inlineStr">
        <is>
          <t>B_sh</t>
        </is>
      </c>
      <c r="B39">
        <f>Assumptions!$B$38</f>
        <v>3000000</v>
      </c>
      <c r="C39">
        <f>Assumptions!$B$39</f>
        <v>30000000.0</v>
      </c>
      <c r="D39" t="str">
        <f>IF(B39*B44&gt;C39,"convert","preference")</f>
        <v>convert</v>
      </c>
    </row>
    <row r="40">
      <c r="A40" t="inlineStr">
        <is>
          <t>A_sh</t>
        </is>
      </c>
      <c r="B40">
        <f>Assumptions!$B$40</f>
        <v>5000000</v>
      </c>
      <c r="C40">
        <f>Assumptions!$B$41</f>
        <v>15000000.0</v>
      </c>
      <c r="D40" t="str">
        <f>IF(B40*B44&gt;C40,"convert","preference")</f>
        <v>convert</v>
      </c>
    </row>
    <row r="41">
      <c r="A41" t="inlineStr">
        <is>
          <t>Seed_sh</t>
        </is>
      </c>
      <c r="B41">
        <f>Assumptions!$B$42</f>
        <v>5000000</v>
      </c>
      <c r="C41">
        <f>Assumptions!$B$43</f>
        <v>5000000.0</v>
      </c>
      <c r="D41" t="str">
        <f>IF(B41*B44&gt;C41,"convert","preference")</f>
        <v>convert</v>
      </c>
    </row>
    <row r="42">
      <c r="A42" t="inlineStr">
        <is>
          <t>Notes shares</t>
        </is>
      </c>
      <c r="B42">
        <f>B29+B30</f>
        <v>301450.0270062544</v>
      </c>
    </row>
    <row r="43">
      <c r="A43" t="inlineStr">
        <is>
          <t>LP_total</t>
        </is>
      </c>
      <c r="B43">
        <f>IF(D35="preference",C35,0)+IF(D36="preference",C36,0)+IF(D37="preference",C37,0)+IF(D38="preference",C38,0)+IF(D39="preference",C39,0)+IF(D40="preference",C40,0)+IF(D41="preference",C41,0)</f>
        <v>100000000.0</v>
      </c>
    </row>
    <row r="44">
      <c r="A44" t="inlineStr">
        <is>
          <t>PPS_at_2B</t>
        </is>
      </c>
      <c r="B44">
        <f>(Assumptions!$B$11-B43+Assumptions!$B$28*Assumptions!$B$20)/(Assumptions!$B$44+Assumptions!$B$45+Assumptions!$B$46+Assumptions!$B$47+B42+Assumptions!$B$28+IF(D35="convert",B35,0)+IF(D36="convert",B36,0)+IF(D37="convert",B37,0)+IF(D38="convert",B38,0)+IF(D39="convert",B39,0)+IF(D40="convert",B40,0)+IF(D41="convert",B41,0))</f>
        <v>55.49805237763143</v>
      </c>
    </row>
    <row r="45">
      <c r="A45" t="inlineStr">
        <is>
          <t>F_class_proceeds</t>
        </is>
      </c>
      <c r="B45">
        <f>IF(D35="convert",B35*B44,C35)</f>
        <v>51321765.942452505</v>
      </c>
    </row>
    <row r="46">
      <c r="A46" t="inlineStr">
        <is>
          <t>Our $ proceeds (1/3)</t>
        </is>
      </c>
      <c r="B46">
        <f>B45/3</f>
        <v>17107255.314150836</v>
      </c>
    </row>
    <row r="55">
      <c r="A55" s="1">
        <f>== Scenario [11% ESOP, $1.4B pre] ===</f>
        <v/>
      </c>
    </row>
    <row r="56">
      <c r="A56" t="inlineStr">
        <is>
          <t>pre</t>
        </is>
      </c>
      <c r="B56">
        <f>Assumptions!$B$52</f>
        <v>1400000000.0</v>
      </c>
    </row>
    <row r="57">
      <c r="A57" t="inlineStr">
        <is>
          <t>esop_t</t>
        </is>
      </c>
      <c r="B57">
        <f>Assumptions!$B$48</f>
        <v>0.11</v>
      </c>
    </row>
    <row r="58">
      <c r="A58" t="inlineStr">
        <is>
          <t>F_PPS</t>
        </is>
      </c>
      <c r="B58">
        <f>B56/B66</f>
        <v>37.90198275059962</v>
      </c>
    </row>
    <row r="59">
      <c r="A59" t="inlineStr">
        <is>
          <t>ESOP_topup</t>
        </is>
      </c>
      <c r="B59">
        <f>MAX(0,B57*(B56+Assumptions!$B$3)/B58-Assumptions!$B$30)</f>
        <v>0.0</v>
      </c>
    </row>
    <row r="60">
      <c r="A60" t="inlineStr">
        <is>
          <t>NCP_D</t>
        </is>
      </c>
      <c r="B60">
        <f>Assumptions!$B$18*(Assumptions!$B$27+Assumptions!$B$3/Assumptions!$B$18)/(Assumptions!$B$27+Assumptions!$B$3/B58)</f>
        <v>57.69060612821153</v>
      </c>
    </row>
    <row r="61">
      <c r="A61" t="inlineStr">
        <is>
          <t>NCP_E</t>
        </is>
      </c>
      <c r="B61">
        <f>Assumptions!$B$19*(Assumptions!$B$27+Assumptions!$B$3/Assumptions!$B$19)/(Assumptions!$B$27+Assumptions!$B$3/B58)</f>
        <v>48.9201479159269</v>
      </c>
    </row>
    <row r="62">
      <c r="A62" t="inlineStr">
        <is>
          <t>AD_D</t>
        </is>
      </c>
      <c r="B62">
        <f>Assumptions!$B$33/B60-Assumptions!$B$32</f>
        <v>12757.457389130723</v>
      </c>
    </row>
    <row r="63">
      <c r="A63" t="inlineStr">
        <is>
          <t>AD_E</t>
        </is>
      </c>
      <c r="B63">
        <f>Assumptions!$B$35/B61-Assumptions!$B$34</f>
        <v>29775.618848443963</v>
      </c>
    </row>
    <row r="64">
      <c r="A64" t="inlineStr">
        <is>
          <t>NA_sh</t>
        </is>
      </c>
      <c r="B64">
        <f>Assumptions!$B$21/MIN(Assumptions!$B$22/(Assumptions!$B$27+B59+B62+B63+B65),B58*(1-Assumptions!$B$23))</f>
        <v>183768.06762815177</v>
      </c>
    </row>
    <row r="65">
      <c r="A65" t="inlineStr">
        <is>
          <t>NB_sh</t>
        </is>
      </c>
      <c r="B65">
        <f>Assumptions!$B$24/MIN(Assumptions!$B$25/(Assumptions!$B$27+B59+B62+B63+B64),B58*(1-Assumptions!$B$26))</f>
        <v>93119.4493927809</v>
      </c>
    </row>
    <row r="66">
      <c r="A66" t="inlineStr">
        <is>
          <t>pre_FD</t>
        </is>
      </c>
      <c r="B66">
        <f>Assumptions!$B$27+B59+B62+B63+B64+B65</f>
        <v>36937381.59325851</v>
      </c>
    </row>
    <row r="67">
      <c r="A67" t="inlineStr">
        <is>
          <t>T_F</t>
        </is>
      </c>
      <c r="B67">
        <f>(B56+Assumptions!$B$3)/B58</f>
        <v>37728896.91230839</v>
      </c>
    </row>
    <row r="68">
      <c r="A68" t="inlineStr">
        <is>
          <t>our_shares</t>
        </is>
      </c>
      <c r="B68">
        <f>Assumptions!$B$7/B58</f>
        <v>263838.4399518465</v>
      </c>
    </row>
    <row r="69">
      <c r="A69" t="inlineStr">
        <is>
          <t>ownership %</t>
        </is>
      </c>
      <c r="B69">
        <f>B68/B67</f>
        <v>0.0069930069931563215</v>
      </c>
    </row>
    <row r="70">
      <c r="A70" t="inlineStr">
        <is>
          <t>F_sh</t>
        </is>
      </c>
      <c r="B70">
        <f>Assumptions!$B$3/B58</f>
        <v>791515.3198555395</v>
      </c>
      <c r="C70">
        <f>Assumptions!$B$3</f>
        <v>30000000.0</v>
      </c>
      <c r="D70" t="str">
        <f>IF(B70*B79&gt;C70,"convert","preference")</f>
        <v>convert</v>
      </c>
    </row>
    <row r="71">
      <c r="A71" t="inlineStr">
        <is>
          <t>E_sh</t>
        </is>
      </c>
      <c r="B71">
        <f>Assumptions!$B$35/B61</f>
        <v>6132442.618848444</v>
      </c>
      <c r="C71">
        <f>Assumptions!$B$35</f>
        <v>300000000.0</v>
      </c>
      <c r="D71" t="str">
        <f>IF(B71*B79&gt;C71,"convert","preference")</f>
        <v>convert</v>
      </c>
    </row>
    <row r="72">
      <c r="A72" t="inlineStr">
        <is>
          <t>D_sh</t>
        </is>
      </c>
      <c r="B72">
        <f>Assumptions!$B$33/B60</f>
        <v>1733384.4573891307</v>
      </c>
      <c r="C72">
        <f>Assumptions!$B$33</f>
        <v>100000000.0</v>
      </c>
      <c r="D72" t="str">
        <f>IF(B72*B79&gt;C72,"convert","preference")</f>
        <v>preference</v>
      </c>
    </row>
    <row r="73">
      <c r="A73" t="inlineStr">
        <is>
          <t>C_sh</t>
        </is>
      </c>
      <c r="B73">
        <f>Assumptions!$B$36</f>
        <v>2400000</v>
      </c>
      <c r="C73">
        <f>Assumptions!$B$37</f>
        <v>60000000.0</v>
      </c>
      <c r="D73" t="str">
        <f>IF(B73*B79&gt;C73,"convert","preference")</f>
        <v>convert</v>
      </c>
    </row>
    <row r="74">
      <c r="A74" t="inlineStr">
        <is>
          <t>B_sh</t>
        </is>
      </c>
      <c r="B74">
        <f>Assumptions!$B$38</f>
        <v>3000000</v>
      </c>
      <c r="C74">
        <f>Assumptions!$B$39</f>
        <v>30000000.0</v>
      </c>
      <c r="D74" t="str">
        <f>IF(B74*B79&gt;C74,"convert","preference")</f>
        <v>convert</v>
      </c>
    </row>
    <row r="75">
      <c r="A75" t="inlineStr">
        <is>
          <t>A_sh</t>
        </is>
      </c>
      <c r="B75">
        <f>Assumptions!$B$40</f>
        <v>5000000</v>
      </c>
      <c r="C75">
        <f>Assumptions!$B$41</f>
        <v>15000000.0</v>
      </c>
      <c r="D75" t="str">
        <f>IF(B75*B79&gt;C75,"convert","preference")</f>
        <v>convert</v>
      </c>
    </row>
    <row r="76">
      <c r="A76" t="inlineStr">
        <is>
          <t>Seed_sh</t>
        </is>
      </c>
      <c r="B76">
        <f>Assumptions!$B$42</f>
        <v>5000000</v>
      </c>
      <c r="C76">
        <f>Assumptions!$B$43</f>
        <v>5000000.0</v>
      </c>
      <c r="D76" t="str">
        <f>IF(B76*B79&gt;C76,"convert","preference")</f>
        <v>convert</v>
      </c>
    </row>
    <row r="77">
      <c r="A77" t="inlineStr">
        <is>
          <t>Notes shares</t>
        </is>
      </c>
      <c r="B77">
        <f>B64+B65</f>
        <v>276887.51702093263</v>
      </c>
    </row>
    <row r="78">
      <c r="A78" t="inlineStr">
        <is>
          <t>LP_total</t>
        </is>
      </c>
      <c r="B78">
        <f>IF(D70="preference",C70,0)+IF(D71="preference",C71,0)+IF(D72="preference",C72,0)+IF(D73="preference",C73,0)+IF(D74="preference",C74,0)+IF(D75="preference",C75,0)+IF(D76="preference",C76,0)</f>
        <v>100000000.0</v>
      </c>
    </row>
    <row r="79">
      <c r="A79" t="inlineStr">
        <is>
          <t>PPS_at_2B</t>
        </is>
      </c>
      <c r="B79">
        <f>(Assumptions!$B$11-B78+Assumptions!$B$28*Assumptions!$B$20)/(Assumptions!$B$44+Assumptions!$B$45+Assumptions!$B$46+Assumptions!$B$47+B77+Assumptions!$B$28+IF(D70="convert",B70,0)+IF(D71="convert",B71,0)+IF(D72="convert",B72,0)+IF(D73="convert",B73,0)+IF(D74="convert",B74,0)+IF(D75="convert",B75,0)+IF(D76="convert",B76,0))</f>
        <v>55.79040562117807</v>
      </c>
    </row>
    <row r="80">
      <c r="A80" t="inlineStr">
        <is>
          <t>F_class_proceeds</t>
        </is>
      </c>
      <c r="B80">
        <f>IF(D70="convert",B70*B79,C70)</f>
        <v>44158960.75011705</v>
      </c>
    </row>
    <row r="81">
      <c r="A81" t="inlineStr">
        <is>
          <t>Our $ proceeds (1/3)</t>
        </is>
      </c>
      <c r="B81">
        <f>B80/3</f>
        <v>14719653.583372349</v>
      </c>
    </row>
    <row r="90">
      <c r="A90" s="1">
        <f>== Scenario [11% ESOP, $1.8B pre] ===</f>
        <v/>
      </c>
    </row>
    <row r="91">
      <c r="A91" t="inlineStr">
        <is>
          <t>pre</t>
        </is>
      </c>
      <c r="B91">
        <f>Assumptions!$B$53</f>
        <v>1800000000.0</v>
      </c>
    </row>
    <row r="92">
      <c r="A92" t="inlineStr">
        <is>
          <t>esop_t</t>
        </is>
      </c>
      <c r="B92">
        <f>Assumptions!$B$48</f>
        <v>0.11</v>
      </c>
    </row>
    <row r="93">
      <c r="A93" t="inlineStr">
        <is>
          <t>F_PPS</t>
        </is>
      </c>
      <c r="B93">
        <f>B91/B101</f>
        <v>48.808137505515596</v>
      </c>
    </row>
    <row r="94">
      <c r="A94" t="inlineStr">
        <is>
          <t>ESOP_topup</t>
        </is>
      </c>
      <c r="B94">
        <f>MAX(0,B92*(B91+Assumptions!$B$3)/B93-Assumptions!$B$30)</f>
        <v>0.0</v>
      </c>
    </row>
    <row r="95">
      <c r="A95" t="inlineStr">
        <is>
          <t>NCP_D</t>
        </is>
      </c>
      <c r="B95">
        <f>Assumptions!$B$18*(Assumptions!$B$27+Assumptions!$B$3/Assumptions!$B$18)/(Assumptions!$B$27+Assumptions!$B$3/B93)</f>
        <v>57.96465015205468</v>
      </c>
    </row>
    <row r="96">
      <c r="A96" t="inlineStr">
        <is>
          <t>NCP_E</t>
        </is>
      </c>
      <c r="B96">
        <f>Assumptions!$B$19*(Assumptions!$B$27+Assumptions!$B$3/Assumptions!$B$19)/(Assumptions!$B$27+Assumptions!$B$3/B93)</f>
        <v>49.15253018891063</v>
      </c>
    </row>
    <row r="97">
      <c r="A97" t="inlineStr">
        <is>
          <t>AD_D</t>
        </is>
      </c>
      <c r="B97">
        <f>Assumptions!$B$33/B95-Assumptions!$B$32</f>
        <v>4562.399706146447</v>
      </c>
    </row>
    <row r="98">
      <c r="A98" t="inlineStr">
        <is>
          <t>AD_E</t>
        </is>
      </c>
      <c r="B98">
        <f>Assumptions!$B$35/B96-Assumptions!$B$34</f>
        <v>782.7887899857014</v>
      </c>
    </row>
    <row r="99">
      <c r="A99" t="inlineStr">
        <is>
          <t>NA_sh</t>
        </is>
      </c>
      <c r="B99">
        <f>Assumptions!$B$21/MIN(Assumptions!$B$22/(Assumptions!$B$27+B94+B97+B98+B100),B93*(1-Assumptions!$B$23))</f>
        <v>183478.09070946465</v>
      </c>
    </row>
    <row r="100">
      <c r="A100" t="inlineStr">
        <is>
          <t>NB_sh</t>
        </is>
      </c>
      <c r="B100">
        <f>Assumptions!$B$24/MIN(Assumptions!$B$25/(Assumptions!$B$27+B94+B97+B98+B99),B93*(1-Assumptions!$B$26))</f>
        <v>72311.95339679616</v>
      </c>
    </row>
    <row r="101">
      <c r="A101" t="inlineStr">
        <is>
          <t>pre_FD</t>
        </is>
      </c>
      <c r="B101">
        <f>Assumptions!$B$27+B94+B97+B98+B99+B100</f>
        <v>36879096.232602395</v>
      </c>
    </row>
    <row r="102">
      <c r="A102" t="inlineStr">
        <is>
          <t>T_F</t>
        </is>
      </c>
      <c r="B102">
        <f>(B91+Assumptions!$B$3)/B93</f>
        <v>37493747.83623881</v>
      </c>
    </row>
    <row r="103">
      <c r="A103" t="inlineStr">
        <is>
          <t>our_shares</t>
        </is>
      </c>
      <c r="B103">
        <f>Assumptions!$B$7/B93</f>
        <v>204883.8679589022</v>
      </c>
    </row>
    <row r="104">
      <c r="A104" t="inlineStr">
        <is>
          <t>ownership %</t>
        </is>
      </c>
      <c r="B104">
        <f>B103/B102</f>
        <v>0.005464480874351961</v>
      </c>
    </row>
    <row r="105">
      <c r="A105" t="inlineStr">
        <is>
          <t>F_sh</t>
        </is>
      </c>
      <c r="B105">
        <f>Assumptions!$B$3/B93</f>
        <v>614651.6038767067</v>
      </c>
      <c r="C105">
        <f>Assumptions!$B$3</f>
        <v>30000000.0</v>
      </c>
      <c r="D105" t="str">
        <f>IF(B105*B114&gt;C105,"convert","preference")</f>
        <v>convert</v>
      </c>
    </row>
    <row r="106">
      <c r="A106" t="inlineStr">
        <is>
          <t>E_sh</t>
        </is>
      </c>
      <c r="B106">
        <f>Assumptions!$B$35/B96</f>
        <v>6103449.788789986</v>
      </c>
      <c r="C106">
        <f>Assumptions!$B$35</f>
        <v>300000000.0</v>
      </c>
      <c r="D106" t="str">
        <f>IF(B106*B114&gt;C106,"convert","preference")</f>
        <v>convert</v>
      </c>
    </row>
    <row r="107">
      <c r="A107" t="inlineStr">
        <is>
          <t>D_sh</t>
        </is>
      </c>
      <c r="B107">
        <f>Assumptions!$B$33/B95</f>
        <v>1725189.3997061464</v>
      </c>
      <c r="C107">
        <f>Assumptions!$B$33</f>
        <v>100000000.0</v>
      </c>
      <c r="D107" t="str">
        <f>IF(B107*B114&gt;C107,"convert","preference")</f>
        <v>preference</v>
      </c>
    </row>
    <row r="108">
      <c r="A108" t="inlineStr">
        <is>
          <t>C_sh</t>
        </is>
      </c>
      <c r="B108">
        <f>Assumptions!$B$36</f>
        <v>2400000</v>
      </c>
      <c r="C108">
        <f>Assumptions!$B$37</f>
        <v>60000000.0</v>
      </c>
      <c r="D108" t="str">
        <f>IF(B108*B114&gt;C108,"convert","preference")</f>
        <v>convert</v>
      </c>
    </row>
    <row r="109">
      <c r="A109" t="inlineStr">
        <is>
          <t>B_sh</t>
        </is>
      </c>
      <c r="B109">
        <f>Assumptions!$B$38</f>
        <v>3000000</v>
      </c>
      <c r="C109">
        <f>Assumptions!$B$39</f>
        <v>30000000.0</v>
      </c>
      <c r="D109" t="str">
        <f>IF(B109*B114&gt;C109,"convert","preference")</f>
        <v>convert</v>
      </c>
    </row>
    <row r="110">
      <c r="A110" t="inlineStr">
        <is>
          <t>A_sh</t>
        </is>
      </c>
      <c r="B110">
        <f>Assumptions!$B$40</f>
        <v>5000000</v>
      </c>
      <c r="C110">
        <f>Assumptions!$B$41</f>
        <v>15000000.0</v>
      </c>
      <c r="D110" t="str">
        <f>IF(B110*B114&gt;C110,"convert","preference")</f>
        <v>convert</v>
      </c>
    </row>
    <row r="111">
      <c r="A111" t="inlineStr">
        <is>
          <t>Seed_sh</t>
        </is>
      </c>
      <c r="B111">
        <f>Assumptions!$B$42</f>
        <v>5000000</v>
      </c>
      <c r="C111">
        <f>Assumptions!$B$43</f>
        <v>5000000.0</v>
      </c>
      <c r="D111" t="str">
        <f>IF(B111*B114&gt;C111,"convert","preference")</f>
        <v>convert</v>
      </c>
    </row>
    <row r="112">
      <c r="A112" t="inlineStr">
        <is>
          <t>Notes shares</t>
        </is>
      </c>
      <c r="B112">
        <f>B99+B100</f>
        <v>255790.04410626082</v>
      </c>
    </row>
    <row r="113">
      <c r="A113" t="inlineStr">
        <is>
          <t>LP_total</t>
        </is>
      </c>
      <c r="B113">
        <f>IF(D105="preference",C105,0)+IF(D106="preference",C106,0)+IF(D107="preference",C107,0)+IF(D108="preference",C108,0)+IF(D109="preference",C109,0)+IF(D110="preference",C110,0)+IF(D111="preference",C111,0)</f>
        <v>100000000.0</v>
      </c>
    </row>
    <row r="114">
      <c r="A114" t="inlineStr">
        <is>
          <t>PPS_at_2B</t>
        </is>
      </c>
      <c r="B114">
        <f>(Assumptions!$B$11-B113+Assumptions!$B$28*Assumptions!$B$20)/(Assumptions!$B$44+Assumptions!$B$45+Assumptions!$B$46+Assumptions!$B$47+B112+Assumptions!$B$28+IF(D105="convert",B105,0)+IF(D106="convert",B106,0)+IF(D107="convert",B107,0)+IF(D108="convert",B108,0)+IF(D109="convert",B109,0)+IF(D110="convert",B110,0)+IF(D111="convert",B111,0))</f>
        <v>56.164199603434895</v>
      </c>
    </row>
    <row r="115">
      <c r="A115" t="inlineStr">
        <is>
          <t>F_class_proceeds</t>
        </is>
      </c>
      <c r="B115">
        <f>IF(D105="convert",B105*B114,C105)</f>
        <v>34521415.36670275</v>
      </c>
    </row>
    <row r="116">
      <c r="A116" t="inlineStr">
        <is>
          <t>Our $ proceeds (1/3)</t>
        </is>
      </c>
      <c r="B116">
        <f>B115/3</f>
        <v>11507138.455567583</v>
      </c>
    </row>
    <row r="125">
      <c r="A125" s="1">
        <f>== Scenario [13% ESOP, $1.2B pre] ===</f>
        <v/>
      </c>
    </row>
    <row r="126">
      <c r="A126" t="inlineStr">
        <is>
          <t>pre</t>
        </is>
      </c>
      <c r="B126">
        <f>Assumptions!$B$51</f>
        <v>1200000000.0</v>
      </c>
    </row>
    <row r="127">
      <c r="A127" t="inlineStr">
        <is>
          <t>esop_t</t>
        </is>
      </c>
      <c r="B127">
        <f>Assumptions!$B$49</f>
        <v>0.13</v>
      </c>
    </row>
    <row r="128">
      <c r="A128" t="inlineStr">
        <is>
          <t>F_PPS</t>
        </is>
      </c>
      <c r="B128">
        <f>B126/B136</f>
        <v>31.901302716480984</v>
      </c>
    </row>
    <row r="129">
      <c r="A129" t="inlineStr">
        <is>
          <t>ESOP_topup</t>
        </is>
      </c>
      <c r="B129">
        <f>MAX(0,B127*(B126+Assumptions!$B$3)/B128-Assumptions!$B$30)</f>
        <v>617667.493630195</v>
      </c>
    </row>
    <row r="130">
      <c r="A130" t="inlineStr">
        <is>
          <t>NCP_D</t>
        </is>
      </c>
      <c r="B130">
        <f>Assumptions!$B$18*(Assumptions!$B$27+Assumptions!$B$3/Assumptions!$B$18)/(Assumptions!$B$27+Assumptions!$B$3/B128)</f>
        <v>57.46191472378203</v>
      </c>
    </row>
    <row r="131">
      <c r="A131" t="inlineStr">
        <is>
          <t>NCP_E</t>
        </is>
      </c>
      <c r="B131">
        <f>Assumptions!$B$19*(Assumptions!$B$27+Assumptions!$B$3/Assumptions!$B$19)/(Assumptions!$B$27+Assumptions!$B$3/B128)</f>
        <v>48.72622349594545</v>
      </c>
    </row>
    <row r="132">
      <c r="A132" t="inlineStr">
        <is>
          <t>AD_D</t>
        </is>
      </c>
      <c r="B132">
        <f>Assumptions!$B$33/B130-Assumptions!$B$32</f>
        <v>19656.115881144302</v>
      </c>
    </row>
    <row r="133">
      <c r="A133" t="inlineStr">
        <is>
          <t>AD_E</t>
        </is>
      </c>
      <c r="B133">
        <f>Assumptions!$B$35/B131-Assumptions!$B$34</f>
        <v>54181.99169259984</v>
      </c>
    </row>
    <row r="134">
      <c r="A134" t="inlineStr">
        <is>
          <t>NA_sh</t>
        </is>
      </c>
      <c r="B134">
        <f>Assumptions!$B$21/MIN(Assumptions!$B$22/(Assumptions!$B$27+B129+B132+B133+B135),B128*(1-Assumptions!$B$23))</f>
        <v>195916.76413501383</v>
      </c>
    </row>
    <row r="135">
      <c r="A135" t="inlineStr">
        <is>
          <t>NB_sh</t>
        </is>
      </c>
      <c r="B135">
        <f>Assumptions!$B$24/MIN(Assumptions!$B$25/(Assumptions!$B$27+B129+B132+B133+B134),B128*(1-Assumptions!$B$26))</f>
        <v>110635.34915859606</v>
      </c>
    </row>
    <row r="136">
      <c r="A136" t="inlineStr">
        <is>
          <t>pre_FD</t>
        </is>
      </c>
      <c r="B136">
        <f>Assumptions!$B$27+B129+B132+B133+B134+B135</f>
        <v>37616018.714497544</v>
      </c>
    </row>
    <row r="137">
      <c r="A137" t="inlineStr">
        <is>
          <t>T_F</t>
        </is>
      </c>
      <c r="B137">
        <f>(B126+Assumptions!$B$3)/B128</f>
        <v>38556419.18177073</v>
      </c>
    </row>
    <row r="138">
      <c r="A138" t="inlineStr">
        <is>
          <t>our_shares</t>
        </is>
      </c>
      <c r="B138">
        <f>Assumptions!$B$7/B128</f>
        <v>313466.82262081286</v>
      </c>
    </row>
    <row r="139">
      <c r="A139" t="inlineStr">
        <is>
          <t>ownership %</t>
        </is>
      </c>
      <c r="B139">
        <f>B138/B137</f>
        <v>0.00813008130093726</v>
      </c>
    </row>
    <row r="140">
      <c r="A140" t="inlineStr">
        <is>
          <t>F_sh</t>
        </is>
      </c>
      <c r="B140">
        <f>Assumptions!$B$3/B128</f>
        <v>940400.4678624385</v>
      </c>
      <c r="C140">
        <f>Assumptions!$B$3</f>
        <v>30000000.0</v>
      </c>
      <c r="D140" t="str">
        <f>IF(B140*B149&gt;C140,"convert","preference")</f>
        <v>convert</v>
      </c>
    </row>
    <row r="141">
      <c r="A141" t="inlineStr">
        <is>
          <t>E_sh</t>
        </is>
      </c>
      <c r="B141">
        <f>Assumptions!$B$35/B131</f>
        <v>6156848.9916926</v>
      </c>
      <c r="C141">
        <f>Assumptions!$B$35</f>
        <v>300000000.0</v>
      </c>
      <c r="D141" t="str">
        <f>IF(B141*B149&gt;C141,"convert","preference")</f>
        <v>convert</v>
      </c>
    </row>
    <row r="142">
      <c r="A142" t="inlineStr">
        <is>
          <t>D_sh</t>
        </is>
      </c>
      <c r="B142">
        <f>Assumptions!$B$33/B130</f>
        <v>1740283.1158811443</v>
      </c>
      <c r="C142">
        <f>Assumptions!$B$33</f>
        <v>100000000.0</v>
      </c>
      <c r="D142" t="str">
        <f>IF(B142*B149&gt;C142,"convert","preference")</f>
        <v>preference</v>
      </c>
    </row>
    <row r="143">
      <c r="A143" t="inlineStr">
        <is>
          <t>C_sh</t>
        </is>
      </c>
      <c r="B143">
        <f>Assumptions!$B$36</f>
        <v>2400000</v>
      </c>
      <c r="C143">
        <f>Assumptions!$B$37</f>
        <v>60000000.0</v>
      </c>
      <c r="D143" t="str">
        <f>IF(B143*B149&gt;C143,"convert","preference")</f>
        <v>convert</v>
      </c>
    </row>
    <row r="144">
      <c r="A144" t="inlineStr">
        <is>
          <t>B_sh</t>
        </is>
      </c>
      <c r="B144">
        <f>Assumptions!$B$38</f>
        <v>3000000</v>
      </c>
      <c r="C144">
        <f>Assumptions!$B$39</f>
        <v>30000000.0</v>
      </c>
      <c r="D144" t="str">
        <f>IF(B144*B149&gt;C144,"convert","preference")</f>
        <v>convert</v>
      </c>
    </row>
    <row r="145">
      <c r="A145" t="inlineStr">
        <is>
          <t>A_sh</t>
        </is>
      </c>
      <c r="B145">
        <f>Assumptions!$B$40</f>
        <v>5000000</v>
      </c>
      <c r="C145">
        <f>Assumptions!$B$41</f>
        <v>15000000.0</v>
      </c>
      <c r="D145" t="str">
        <f>IF(B145*B149&gt;C145,"convert","preference")</f>
        <v>convert</v>
      </c>
    </row>
    <row r="146">
      <c r="A146" t="inlineStr">
        <is>
          <t>Seed_sh</t>
        </is>
      </c>
      <c r="B146">
        <f>Assumptions!$B$42</f>
        <v>5000000</v>
      </c>
      <c r="C146">
        <f>Assumptions!$B$43</f>
        <v>5000000.0</v>
      </c>
      <c r="D146" t="str">
        <f>IF(B146*B149&gt;C146,"convert","preference")</f>
        <v>convert</v>
      </c>
    </row>
    <row r="147">
      <c r="A147" t="inlineStr">
        <is>
          <t>Notes shares</t>
        </is>
      </c>
      <c r="B147">
        <f>B134+B135</f>
        <v>306552.1132936099</v>
      </c>
    </row>
    <row r="148">
      <c r="A148" t="inlineStr">
        <is>
          <t>LP_total</t>
        </is>
      </c>
      <c r="B148">
        <f>IF(D140="preference",C140,0)+IF(D141="preference",C141,0)+IF(D142="preference",C142,0)+IF(D143="preference",C143,0)+IF(D144="preference",C144,0)+IF(D145="preference",C145,0)+IF(D146="preference",C146,0)</f>
        <v>100000000.0</v>
      </c>
    </row>
    <row r="149">
      <c r="A149" t="inlineStr">
        <is>
          <t>PPS_at_2B</t>
        </is>
      </c>
      <c r="B149">
        <f>(Assumptions!$B$11-B148+Assumptions!$B$28*Assumptions!$B$20)/(Assumptions!$B$44+Assumptions!$B$45+Assumptions!$B$46+Assumptions!$B$47+B147+Assumptions!$B$28+IF(D140="convert",B140,0)+IF(D141="convert",B141,0)+IF(D142="convert",B142,0)+IF(D143="convert",B143,0)+IF(D144="convert",B144,0)+IF(D145="convert",B145,0)+IF(D146="convert",B146,0))</f>
        <v>55.46032546742058</v>
      </c>
    </row>
    <row r="150">
      <c r="A150" t="inlineStr">
        <is>
          <t>F_class_proceeds</t>
        </is>
      </c>
      <c r="B150">
        <f>IF(D140="convert",B140*B149,C140)</f>
        <v>52154916.017365426</v>
      </c>
    </row>
    <row r="151">
      <c r="A151" t="inlineStr">
        <is>
          <t>Our $ proceeds (1/3)</t>
        </is>
      </c>
      <c r="B151">
        <f>B150/3</f>
        <v>17384972.005788475</v>
      </c>
    </row>
    <row r="160">
      <c r="A160" s="1">
        <f>== Scenario [13% ESOP, $1.4B pre] ===</f>
        <v/>
      </c>
    </row>
    <row r="161">
      <c r="A161" t="inlineStr">
        <is>
          <t>pre</t>
        </is>
      </c>
      <c r="B161">
        <f>Assumptions!$B$52</f>
        <v>1400000000.0</v>
      </c>
    </row>
    <row r="162">
      <c r="A162" t="inlineStr">
        <is>
          <t>esop_t</t>
        </is>
      </c>
      <c r="B162">
        <f>Assumptions!$B$49</f>
        <v>0.13</v>
      </c>
    </row>
    <row r="163">
      <c r="A163" t="inlineStr">
        <is>
          <t>F_PPS</t>
        </is>
      </c>
      <c r="B163">
        <f>B161/B171</f>
        <v>37.299684678579645</v>
      </c>
    </row>
    <row r="164">
      <c r="A164" t="inlineStr">
        <is>
          <t>ESOP_topup</t>
        </is>
      </c>
      <c r="B164">
        <f>MAX(0,B162*(B161+Assumptions!$B$3)/B163-Assumptions!$B$30)</f>
        <v>589289.3417305406</v>
      </c>
    </row>
    <row r="165">
      <c r="A165" t="inlineStr">
        <is>
          <t>NCP_D</t>
        </is>
      </c>
      <c r="B165">
        <f>Assumptions!$B$18*(Assumptions!$B$27+Assumptions!$B$3/Assumptions!$B$18)/(Assumptions!$B$27+Assumptions!$B$3/B163)</f>
        <v>57.6709027470465</v>
      </c>
    </row>
    <row r="166">
      <c r="A166" t="inlineStr">
        <is>
          <t>NCP_E</t>
        </is>
      </c>
      <c r="B166">
        <f>Assumptions!$B$19*(Assumptions!$B$27+Assumptions!$B$3/Assumptions!$B$19)/(Assumptions!$B$27+Assumptions!$B$3/B163)</f>
        <v>48.90343995624808</v>
      </c>
    </row>
    <row r="167">
      <c r="A167" t="inlineStr">
        <is>
          <t>AD_D</t>
        </is>
      </c>
      <c r="B167">
        <f>Assumptions!$B$33/B165-Assumptions!$B$32</f>
        <v>13349.671712864889</v>
      </c>
    </row>
    <row r="168">
      <c r="A168" t="inlineStr">
        <is>
          <t>AD_E</t>
        </is>
      </c>
      <c r="B168">
        <f>Assumptions!$B$35/B166-Assumptions!$B$34</f>
        <v>31870.780336062424</v>
      </c>
    </row>
    <row r="169">
      <c r="A169" t="inlineStr">
        <is>
          <t>NA_sh</t>
        </is>
      </c>
      <c r="B169">
        <f>Assumptions!$B$21/MIN(Assumptions!$B$22/(Assumptions!$B$27+B164+B167+B168+B170),B163*(1-Assumptions!$B$23))</f>
        <v>186735.46946505885</v>
      </c>
    </row>
    <row r="170">
      <c r="A170" t="inlineStr">
        <is>
          <t>NB_sh</t>
        </is>
      </c>
      <c r="B170">
        <f>Assumptions!$B$24/MIN(Assumptions!$B$25/(Assumptions!$B$27+B164+B167+B168+B169),B163*(1-Assumptions!$B$26))</f>
        <v>94623.09923229835</v>
      </c>
    </row>
    <row r="171">
      <c r="A171" t="inlineStr">
        <is>
          <t>pre_FD</t>
        </is>
      </c>
      <c r="B171">
        <f>Assumptions!$B$27+B164+B167+B168+B169+B170</f>
        <v>37533829.36247683</v>
      </c>
    </row>
    <row r="172">
      <c r="A172" t="inlineStr">
        <is>
          <t>T_F</t>
        </is>
      </c>
      <c r="B172">
        <f>(B161+Assumptions!$B$3)/B163</f>
        <v>38338125.705619544</v>
      </c>
    </row>
    <row r="173">
      <c r="A173" t="inlineStr">
        <is>
          <t>our_shares</t>
        </is>
      </c>
      <c r="B173">
        <f>Assumptions!$B$7/B163</f>
        <v>268098.7811605488</v>
      </c>
    </row>
    <row r="174">
      <c r="A174" t="inlineStr">
        <is>
          <t>ownership %</t>
        </is>
      </c>
      <c r="B174">
        <f>B173/B172</f>
        <v>0.006993006993068816</v>
      </c>
    </row>
    <row r="175">
      <c r="A175" t="inlineStr">
        <is>
          <t>F_sh</t>
        </is>
      </c>
      <c r="B175">
        <f>Assumptions!$B$3/B163</f>
        <v>804296.3434816465</v>
      </c>
      <c r="C175">
        <f>Assumptions!$B$3</f>
        <v>30000000.0</v>
      </c>
      <c r="D175" t="str">
        <f>IF(B175*B184&gt;C175,"convert","preference")</f>
        <v>convert</v>
      </c>
    </row>
    <row r="176">
      <c r="A176" t="inlineStr">
        <is>
          <t>E_sh</t>
        </is>
      </c>
      <c r="B176">
        <f>Assumptions!$B$35/B166</f>
        <v>6134537.780336062</v>
      </c>
      <c r="C176">
        <f>Assumptions!$B$35</f>
        <v>300000000.0</v>
      </c>
      <c r="D176" t="str">
        <f>IF(B176*B184&gt;C176,"convert","preference")</f>
        <v>convert</v>
      </c>
    </row>
    <row r="177">
      <c r="A177" t="inlineStr">
        <is>
          <t>D_sh</t>
        </is>
      </c>
      <c r="B177">
        <f>Assumptions!$B$33/B165</f>
        <v>1733976.671712865</v>
      </c>
      <c r="C177">
        <f>Assumptions!$B$33</f>
        <v>100000000.0</v>
      </c>
      <c r="D177" t="str">
        <f>IF(B177*B184&gt;C177,"convert","preference")</f>
        <v>preference</v>
      </c>
    </row>
    <row r="178">
      <c r="A178" t="inlineStr">
        <is>
          <t>C_sh</t>
        </is>
      </c>
      <c r="B178">
        <f>Assumptions!$B$36</f>
        <v>2400000</v>
      </c>
      <c r="C178">
        <f>Assumptions!$B$37</f>
        <v>60000000.0</v>
      </c>
      <c r="D178" t="str">
        <f>IF(B178*B184&gt;C178,"convert","preference")</f>
        <v>convert</v>
      </c>
    </row>
    <row r="179">
      <c r="A179" t="inlineStr">
        <is>
          <t>B_sh</t>
        </is>
      </c>
      <c r="B179">
        <f>Assumptions!$B$38</f>
        <v>3000000</v>
      </c>
      <c r="C179">
        <f>Assumptions!$B$39</f>
        <v>30000000.0</v>
      </c>
      <c r="D179" t="str">
        <f>IF(B179*B184&gt;C179,"convert","preference")</f>
        <v>convert</v>
      </c>
    </row>
    <row r="180">
      <c r="A180" t="inlineStr">
        <is>
          <t>A_sh</t>
        </is>
      </c>
      <c r="B180">
        <f>Assumptions!$B$40</f>
        <v>5000000</v>
      </c>
      <c r="C180">
        <f>Assumptions!$B$41</f>
        <v>15000000.0</v>
      </c>
      <c r="D180" t="str">
        <f>IF(B180*B184&gt;C180,"convert","preference")</f>
        <v>convert</v>
      </c>
    </row>
    <row r="181">
      <c r="A181" t="inlineStr">
        <is>
          <t>Seed_sh</t>
        </is>
      </c>
      <c r="B181">
        <f>Assumptions!$B$42</f>
        <v>5000000</v>
      </c>
      <c r="C181">
        <f>Assumptions!$B$43</f>
        <v>5000000.0</v>
      </c>
      <c r="D181" t="str">
        <f>IF(B181*B184&gt;C181,"convert","preference")</f>
        <v>convert</v>
      </c>
    </row>
    <row r="182">
      <c r="A182" t="inlineStr">
        <is>
          <t>Notes shares</t>
        </is>
      </c>
      <c r="B182">
        <f>B169+B170</f>
        <v>281358.5686973572</v>
      </c>
    </row>
    <row r="183">
      <c r="A183" t="inlineStr">
        <is>
          <t>LP_total</t>
        </is>
      </c>
      <c r="B183">
        <f>IF(D175="preference",C175,0)+IF(D176="preference",C176,0)+IF(D177="preference",C177,0)+IF(D178="preference",C178,0)+IF(D179="preference",C179,0)+IF(D180="preference",C180,0)+IF(D181="preference",C181,0)</f>
        <v>100000000.0</v>
      </c>
    </row>
    <row r="184">
      <c r="A184" t="inlineStr">
        <is>
          <t>PPS_at_2B</t>
        </is>
      </c>
      <c r="B184">
        <f>(Assumptions!$B$11-B183+Assumptions!$B$28*Assumptions!$B$20)/(Assumptions!$B$44+Assumptions!$B$45+Assumptions!$B$46+Assumptions!$B$47+B182+Assumptions!$B$28+IF(D175="convert",B175,0)+IF(D176="convert",B176,0)+IF(D177="convert",B177,0)+IF(D178="convert",B178,0)+IF(D179="convert",B179,0)+IF(D180="convert",B180,0)+IF(D181="convert",B181,0))</f>
        <v>55.75877068294959</v>
      </c>
    </row>
    <row r="185">
      <c r="A185" t="inlineStr">
        <is>
          <t>F_class_proceeds</t>
        </is>
      </c>
      <c r="B185">
        <f>IF(D175="convert",B175*B184,C175)</f>
        <v>44846575.377327986</v>
      </c>
    </row>
    <row r="186">
      <c r="A186" t="inlineStr">
        <is>
          <t>Our $ proceeds (1/3)</t>
        </is>
      </c>
      <c r="B186">
        <f>B185/3</f>
        <v>14948858.459109329</v>
      </c>
    </row>
    <row r="195">
      <c r="A195" s="1">
        <f>== Scenario [13% ESOP, $1.8B pre] ===</f>
        <v/>
      </c>
    </row>
    <row r="196">
      <c r="A196" t="inlineStr">
        <is>
          <t>pre</t>
        </is>
      </c>
      <c r="B196">
        <f>Assumptions!$B$53</f>
        <v>1800000000.0</v>
      </c>
    </row>
    <row r="197">
      <c r="A197" t="inlineStr">
        <is>
          <t>esop_t</t>
        </is>
      </c>
      <c r="B197">
        <f>Assumptions!$B$49</f>
        <v>0.13</v>
      </c>
    </row>
    <row r="198">
      <c r="A198" t="inlineStr">
        <is>
          <t>F_PPS</t>
        </is>
      </c>
      <c r="B198">
        <f>B196/B206</f>
        <v>48.07901209374431</v>
      </c>
    </row>
    <row r="199">
      <c r="A199" t="inlineStr">
        <is>
          <t>ESOP_topup</t>
        </is>
      </c>
      <c r="B199">
        <f>MAX(0,B197*(B196+Assumptions!$B$3)/B198-Assumptions!$B$30)</f>
        <v>553437.997135764</v>
      </c>
    </row>
    <row r="200">
      <c r="A200" t="inlineStr">
        <is>
          <t>NCP_D</t>
        </is>
      </c>
      <c r="B200">
        <f>Assumptions!$B$18*(Assumptions!$B$27+Assumptions!$B$3/Assumptions!$B$18)/(Assumptions!$B$27+Assumptions!$B$3/B198)</f>
        <v>57.95014217992169</v>
      </c>
    </row>
    <row r="201">
      <c r="A201" t="inlineStr">
        <is>
          <t>NCP_E</t>
        </is>
      </c>
      <c r="B201">
        <f>Assumptions!$B$19*(Assumptions!$B$27+Assumptions!$B$3/Assumptions!$B$19)/(Assumptions!$B$27+Assumptions!$B$3/B198)</f>
        <v>49.14022780225987</v>
      </c>
    </row>
    <row r="202">
      <c r="A202" t="inlineStr">
        <is>
          <t>AD_D</t>
        </is>
      </c>
      <c r="B202">
        <f>Assumptions!$B$33/B200-Assumptions!$B$32</f>
        <v>4994.305458117742</v>
      </c>
    </row>
    <row r="203">
      <c r="A203" t="inlineStr">
        <is>
          <t>AD_E</t>
        </is>
      </c>
      <c r="B203">
        <f>Assumptions!$B$35/B201-Assumptions!$B$34</f>
        <v>2310.803668291308</v>
      </c>
    </row>
    <row r="204">
      <c r="A204" t="inlineStr">
        <is>
          <t>NA_sh</t>
        </is>
      </c>
      <c r="B204">
        <f>Assumptions!$B$21/MIN(Assumptions!$B$22/(Assumptions!$B$27+B199+B202+B203+B205),B198*(1-Assumptions!$B$23))</f>
        <v>186260.56340625606</v>
      </c>
    </row>
    <row r="205">
      <c r="A205" t="inlineStr">
        <is>
          <t>NB_sh</t>
        </is>
      </c>
      <c r="B205">
        <f>Assumptions!$B$24/MIN(Assumptions!$B$25/(Assumptions!$B$27+B199+B202+B203+B204),B198*(1-Assumptions!$B$26))</f>
        <v>73408.57498903292</v>
      </c>
    </row>
    <row r="206">
      <c r="A206" t="inlineStr">
        <is>
          <t>pre_FD</t>
        </is>
      </c>
      <c r="B206">
        <f>Assumptions!$B$27+B199+B202+B203+B204+B205</f>
        <v>37438373.24465747</v>
      </c>
    </row>
    <row r="207">
      <c r="A207" t="inlineStr">
        <is>
          <t>T_F</t>
        </is>
      </c>
      <c r="B207">
        <f>(B196+Assumptions!$B$3)/B198</f>
        <v>38062346.13181357</v>
      </c>
    </row>
    <row r="208">
      <c r="A208" t="inlineStr">
        <is>
          <t>our_shares</t>
        </is>
      </c>
      <c r="B208">
        <f>Assumptions!$B$7/B198</f>
        <v>207990.9624703193</v>
      </c>
    </row>
    <row r="209">
      <c r="A209" t="inlineStr">
        <is>
          <t>ownership %</t>
        </is>
      </c>
      <c r="B209">
        <f>B208/B207</f>
        <v>0.0054644808743535295</v>
      </c>
    </row>
    <row r="210">
      <c r="A210" t="inlineStr">
        <is>
          <t>F_sh</t>
        </is>
      </c>
      <c r="B210">
        <f>Assumptions!$B$3/B198</f>
        <v>623972.8874109578</v>
      </c>
      <c r="C210">
        <f>Assumptions!$B$3</f>
        <v>30000000.0</v>
      </c>
      <c r="D210" t="str">
        <f>IF(B210*B219&gt;C210,"convert","preference")</f>
        <v>convert</v>
      </c>
    </row>
    <row r="211">
      <c r="A211" t="inlineStr">
        <is>
          <t>E_sh</t>
        </is>
      </c>
      <c r="B211">
        <f>Assumptions!$B$35/B201</f>
        <v>6104977.803668291</v>
      </c>
      <c r="C211">
        <f>Assumptions!$B$35</f>
        <v>300000000.0</v>
      </c>
      <c r="D211" t="str">
        <f>IF(B211*B219&gt;C211,"convert","preference")</f>
        <v>convert</v>
      </c>
    </row>
    <row r="212">
      <c r="A212" t="inlineStr">
        <is>
          <t>D_sh</t>
        </is>
      </c>
      <c r="B212">
        <f>Assumptions!$B$33/B200</f>
        <v>1725621.3054581177</v>
      </c>
      <c r="C212">
        <f>Assumptions!$B$33</f>
        <v>100000000.0</v>
      </c>
      <c r="D212" t="str">
        <f>IF(B212*B219&gt;C212,"convert","preference")</f>
        <v>preference</v>
      </c>
    </row>
    <row r="213">
      <c r="A213" t="inlineStr">
        <is>
          <t>C_sh</t>
        </is>
      </c>
      <c r="B213">
        <f>Assumptions!$B$36</f>
        <v>2400000</v>
      </c>
      <c r="C213">
        <f>Assumptions!$B$37</f>
        <v>60000000.0</v>
      </c>
      <c r="D213" t="str">
        <f>IF(B213*B219&gt;C213,"convert","preference")</f>
        <v>convert</v>
      </c>
    </row>
    <row r="214">
      <c r="A214" t="inlineStr">
        <is>
          <t>B_sh</t>
        </is>
      </c>
      <c r="B214">
        <f>Assumptions!$B$38</f>
        <v>3000000</v>
      </c>
      <c r="C214">
        <f>Assumptions!$B$39</f>
        <v>30000000.0</v>
      </c>
      <c r="D214" t="str">
        <f>IF(B214*B219&gt;C214,"convert","preference")</f>
        <v>convert</v>
      </c>
    </row>
    <row r="215">
      <c r="A215" t="inlineStr">
        <is>
          <t>A_sh</t>
        </is>
      </c>
      <c r="B215">
        <f>Assumptions!$B$40</f>
        <v>5000000</v>
      </c>
      <c r="C215">
        <f>Assumptions!$B$41</f>
        <v>15000000.0</v>
      </c>
      <c r="D215" t="str">
        <f>IF(B215*B219&gt;C215,"convert","preference")</f>
        <v>convert</v>
      </c>
    </row>
    <row r="216">
      <c r="A216" t="inlineStr">
        <is>
          <t>Seed_sh</t>
        </is>
      </c>
      <c r="B216">
        <f>Assumptions!$B$42</f>
        <v>5000000</v>
      </c>
      <c r="C216">
        <f>Assumptions!$B$43</f>
        <v>5000000.0</v>
      </c>
      <c r="D216" t="str">
        <f>IF(B216*B219&gt;C216,"convert","preference")</f>
        <v>convert</v>
      </c>
    </row>
    <row r="217">
      <c r="A217" t="inlineStr">
        <is>
          <t>Notes shares</t>
        </is>
      </c>
      <c r="B217">
        <f>B204+B205</f>
        <v>259669.13839528896</v>
      </c>
    </row>
    <row r="218">
      <c r="A218" t="inlineStr">
        <is>
          <t>LP_total</t>
        </is>
      </c>
      <c r="B218">
        <f>IF(D210="preference",C210,0)+IF(D211="preference",C211,0)+IF(D212="preference",C212,0)+IF(D213="preference",C213,0)+IF(D214="preference",C214,0)+IF(D215="preference",C215,0)+IF(D216="preference",C216,0)</f>
        <v>100000000.0</v>
      </c>
    </row>
    <row r="219">
      <c r="A219" t="inlineStr">
        <is>
          <t>PPS_at_2B</t>
        </is>
      </c>
      <c r="B219">
        <f>(Assumptions!$B$11-B218+Assumptions!$B$28*Assumptions!$B$20)/(Assumptions!$B$44+Assumptions!$B$45+Assumptions!$B$46+Assumptions!$B$47+B217+Assumptions!$B$28+IF(D210="convert",B210,0)+IF(D211="convert",B211,0)+IF(D212="convert",B212,0)+IF(D213="convert",B213,0)+IF(D214="convert",B214,0)+IF(D215="convert",B215,0)+IF(D216="convert",B216,0))</f>
        <v>56.13978998180698</v>
      </c>
    </row>
    <row r="220">
      <c r="A220" t="inlineStr">
        <is>
          <t>F_class_proceeds</t>
        </is>
      </c>
      <c r="B220">
        <f>IF(D210="convert",B210*B219,C210)</f>
        <v>35029706.853592865</v>
      </c>
    </row>
    <row r="221">
      <c r="A221" t="inlineStr">
        <is>
          <t>Our $ proceeds (1/3)</t>
        </is>
      </c>
      <c r="B221">
        <f>B220/3</f>
        <v>11676568.951197622</v>
      </c>
    </row>
    <row r="230">
      <c r="A230" s="1">
        <f>== Scenario [15% ESOP, $1.2B pre] ===</f>
        <v/>
      </c>
    </row>
    <row r="231">
      <c r="A231" t="inlineStr">
        <is>
          <t>pre</t>
        </is>
      </c>
      <c r="B231">
        <f>Assumptions!$B$51</f>
        <v>1200000000.0</v>
      </c>
    </row>
    <row r="232">
      <c r="A232" t="inlineStr">
        <is>
          <t>esop_t</t>
        </is>
      </c>
      <c r="B232">
        <f>Assumptions!$B$50</f>
        <v>0.15</v>
      </c>
    </row>
    <row r="233">
      <c r="A233" t="inlineStr">
        <is>
          <t>F_PPS</t>
        </is>
      </c>
      <c r="B233">
        <f>B231/B241</f>
        <v>31.13493326898768</v>
      </c>
    </row>
    <row r="234">
      <c r="A234" t="inlineStr">
        <is>
          <t>ESOP_topup</t>
        </is>
      </c>
      <c r="B234">
        <f>MAX(0,B232*(B231+Assumptions!$B$3)/B233-Assumptions!$B$30)</f>
        <v>1531152.6702198656</v>
      </c>
    </row>
    <row r="235">
      <c r="A235" t="inlineStr">
        <is>
          <t>NCP_D</t>
        </is>
      </c>
      <c r="B235">
        <f>Assumptions!$B$18*(Assumptions!$B$27+Assumptions!$B$3/Assumptions!$B$18)/(Assumptions!$B$27+Assumptions!$B$3/B233)</f>
        <v>57.42652240966073</v>
      </c>
    </row>
    <row r="236">
      <c r="A236" t="inlineStr">
        <is>
          <t>NCP_E</t>
        </is>
      </c>
      <c r="B236">
        <f>Assumptions!$B$19*(Assumptions!$B$27+Assumptions!$B$3/Assumptions!$B$19)/(Assumptions!$B$27+Assumptions!$B$3/B233)</f>
        <v>48.696211725258664</v>
      </c>
    </row>
    <row r="237">
      <c r="A237" t="inlineStr">
        <is>
          <t>AD_D</t>
        </is>
      </c>
      <c r="B237">
        <f>Assumptions!$B$33/B235-Assumptions!$B$32</f>
        <v>20728.662922350923</v>
      </c>
    </row>
    <row r="238">
      <c r="A238" t="inlineStr">
        <is>
          <t>AD_E</t>
        </is>
      </c>
      <c r="B238">
        <f>Assumptions!$B$35/B236-Assumptions!$B$34</f>
        <v>57976.495074800216</v>
      </c>
    </row>
    <row r="239">
      <c r="A239" t="inlineStr">
        <is>
          <t>NA_sh</t>
        </is>
      </c>
      <c r="B239">
        <f>Assumptions!$B$21/MIN(Assumptions!$B$22/(Assumptions!$B$27+B234+B237+B238+B240),B233*(1-Assumptions!$B$23))</f>
        <v>200739.14872018516</v>
      </c>
    </row>
    <row r="240">
      <c r="A240" t="inlineStr">
        <is>
          <t>NB_sh</t>
        </is>
      </c>
      <c r="B240">
        <f>Assumptions!$B$24/MIN(Assumptions!$B$25/(Assumptions!$B$27+B234+B237+B238+B239),B233*(1-Assumptions!$B$26))</f>
        <v>113358.57810081045</v>
      </c>
    </row>
    <row r="241">
      <c r="A241" t="inlineStr">
        <is>
          <t>pre_FD</t>
        </is>
      </c>
      <c r="B241">
        <f>Assumptions!$B$27+B234+B237+B238+B239+B240</f>
        <v>38541916.55503801</v>
      </c>
    </row>
    <row r="242">
      <c r="A242" t="inlineStr">
        <is>
          <t>T_F</t>
        </is>
      </c>
      <c r="B242">
        <f>(B231+Assumptions!$B$3)/B233</f>
        <v>39505464.46813244</v>
      </c>
    </row>
    <row r="243">
      <c r="A243" t="inlineStr">
        <is>
          <t>our_shares</t>
        </is>
      </c>
      <c r="B243">
        <f>Assumptions!$B$7/B233</f>
        <v>321182.63795865007</v>
      </c>
    </row>
    <row r="244">
      <c r="A244" t="inlineStr">
        <is>
          <t>ownership %</t>
        </is>
      </c>
      <c r="B244">
        <f>B243/B242</f>
        <v>0.008130081300973842</v>
      </c>
    </row>
    <row r="245">
      <c r="A245" t="inlineStr">
        <is>
          <t>F_sh</t>
        </is>
      </c>
      <c r="B245">
        <f>Assumptions!$B$3/B233</f>
        <v>963547.9138759503</v>
      </c>
      <c r="C245">
        <f>Assumptions!$B$3</f>
        <v>30000000.0</v>
      </c>
      <c r="D245" t="str">
        <f>IF(B245*B254&gt;C245,"convert","preference")</f>
        <v>convert</v>
      </c>
    </row>
    <row r="246">
      <c r="A246" t="inlineStr">
        <is>
          <t>E_sh</t>
        </is>
      </c>
      <c r="B246">
        <f>Assumptions!$B$35/B236</f>
        <v>6160643.4950748</v>
      </c>
      <c r="C246">
        <f>Assumptions!$B$35</f>
        <v>300000000.0</v>
      </c>
      <c r="D246" t="str">
        <f>IF(B246*B254&gt;C246,"convert","preference")</f>
        <v>convert</v>
      </c>
    </row>
    <row r="247">
      <c r="A247" t="inlineStr">
        <is>
          <t>D_sh</t>
        </is>
      </c>
      <c r="B247">
        <f>Assumptions!$B$33/B235</f>
        <v>1741355.662922351</v>
      </c>
      <c r="C247">
        <f>Assumptions!$B$33</f>
        <v>100000000.0</v>
      </c>
      <c r="D247" t="str">
        <f>IF(B247*B254&gt;C247,"convert","preference")</f>
        <v>preference</v>
      </c>
    </row>
    <row r="248">
      <c r="A248" t="inlineStr">
        <is>
          <t>C_sh</t>
        </is>
      </c>
      <c r="B248">
        <f>Assumptions!$B$36</f>
        <v>2400000</v>
      </c>
      <c r="C248">
        <f>Assumptions!$B$37</f>
        <v>60000000.0</v>
      </c>
      <c r="D248" t="str">
        <f>IF(B248*B254&gt;C248,"convert","preference")</f>
        <v>convert</v>
      </c>
    </row>
    <row r="249">
      <c r="A249" t="inlineStr">
        <is>
          <t>B_sh</t>
        </is>
      </c>
      <c r="B249">
        <f>Assumptions!$B$38</f>
        <v>3000000</v>
      </c>
      <c r="C249">
        <f>Assumptions!$B$39</f>
        <v>30000000.0</v>
      </c>
      <c r="D249" t="str">
        <f>IF(B249*B254&gt;C249,"convert","preference")</f>
        <v>convert</v>
      </c>
    </row>
    <row r="250">
      <c r="A250" t="inlineStr">
        <is>
          <t>A_sh</t>
        </is>
      </c>
      <c r="B250">
        <f>Assumptions!$B$40</f>
        <v>5000000</v>
      </c>
      <c r="C250">
        <f>Assumptions!$B$41</f>
        <v>15000000.0</v>
      </c>
      <c r="D250" t="str">
        <f>IF(B250*B254&gt;C250,"convert","preference")</f>
        <v>convert</v>
      </c>
    </row>
    <row r="251">
      <c r="A251" t="inlineStr">
        <is>
          <t>Seed_sh</t>
        </is>
      </c>
      <c r="B251">
        <f>Assumptions!$B$42</f>
        <v>5000000</v>
      </c>
      <c r="C251">
        <f>Assumptions!$B$43</f>
        <v>5000000.0</v>
      </c>
      <c r="D251" t="str">
        <f>IF(B251*B254&gt;C251,"convert","preference")</f>
        <v>convert</v>
      </c>
    </row>
    <row r="252">
      <c r="A252" t="inlineStr">
        <is>
          <t>Notes shares</t>
        </is>
      </c>
      <c r="B252">
        <f>B239+B240</f>
        <v>314097.7268209956</v>
      </c>
    </row>
    <row r="253">
      <c r="A253" t="inlineStr">
        <is>
          <t>LP_total</t>
        </is>
      </c>
      <c r="B253">
        <f>IF(D245="preference",C245,0)+IF(D246="preference",C246,0)+IF(D247="preference",C247,0)+IF(D248="preference",C248,0)+IF(D249="preference",C249,0)+IF(D250="preference",C250,0)+IF(D251="preference",C251,0)</f>
        <v>100000000.0</v>
      </c>
    </row>
    <row r="254">
      <c r="A254" t="inlineStr">
        <is>
          <t>PPS_at_2B</t>
        </is>
      </c>
      <c r="B254">
        <f>(Assumptions!$B$11-B253+Assumptions!$B$28*Assumptions!$B$20)/(Assumptions!$B$44+Assumptions!$B$45+Assumptions!$B$46+Assumptions!$B$47+B252+Assumptions!$B$28+IF(D245="convert",B245,0)+IF(D246="convert",B246,0)+IF(D247="convert",B247,0)+IF(D248="convert",B248,0)+IF(D249="convert",B249,0)+IF(D250="convert",B250,0)+IF(D251="convert",B251,0))</f>
        <v>55.40462404744795</v>
      </c>
    </row>
    <row r="255">
      <c r="A255" t="inlineStr">
        <is>
          <t>F_class_proceeds</t>
        </is>
      </c>
      <c r="B255">
        <f>IF(D245="convert",B245*B254,C245)</f>
        <v>53385009.919999786</v>
      </c>
    </row>
    <row r="256">
      <c r="A256" t="inlineStr">
        <is>
          <t>Our $ proceeds (1/3)</t>
        </is>
      </c>
      <c r="B256">
        <f>B255/3</f>
        <v>17795003.306666594</v>
      </c>
    </row>
    <row r="265">
      <c r="A265" s="1">
        <f>== Scenario [15% ESOP, $1.4B pre] ===</f>
        <v/>
      </c>
    </row>
    <row r="266">
      <c r="A266" t="inlineStr">
        <is>
          <t>pre</t>
        </is>
      </c>
      <c r="B266">
        <f>Assumptions!$B$52</f>
        <v>1400000000.0</v>
      </c>
    </row>
    <row r="267">
      <c r="A267" t="inlineStr">
        <is>
          <t>esop_t</t>
        </is>
      </c>
      <c r="B267">
        <f>Assumptions!$B$50</f>
        <v>0.15</v>
      </c>
    </row>
    <row r="268">
      <c r="A268" t="inlineStr">
        <is>
          <t>F_PPS</t>
        </is>
      </c>
      <c r="B268">
        <f>B266/B276</f>
        <v>36.40870231277966</v>
      </c>
    </row>
    <row r="269">
      <c r="A269" t="inlineStr">
        <is>
          <t>ESOP_topup</t>
        </is>
      </c>
      <c r="B269">
        <f>MAX(0,B267*(B266+Assumptions!$B$3)/B268-Assumptions!$B$30)</f>
        <v>1496781.647487144</v>
      </c>
    </row>
    <row r="270">
      <c r="A270" t="inlineStr">
        <is>
          <t>NCP_D</t>
        </is>
      </c>
      <c r="B270">
        <f>Assumptions!$B$18*(Assumptions!$B$27+Assumptions!$B$3/Assumptions!$B$18)/(Assumptions!$B$27+Assumptions!$B$3/B268)</f>
        <v>57.640586292394815</v>
      </c>
    </row>
    <row r="271">
      <c r="A271" t="inlineStr">
        <is>
          <t>NCP_E</t>
        </is>
      </c>
      <c r="B271">
        <f>Assumptions!$B$19*(Assumptions!$B$27+Assumptions!$B$3/Assumptions!$B$19)/(Assumptions!$B$27+Assumptions!$B$3/B268)</f>
        <v>48.877732383639966</v>
      </c>
    </row>
    <row r="272">
      <c r="A272" t="inlineStr">
        <is>
          <t>AD_D</t>
        </is>
      </c>
      <c r="B272">
        <f>Assumptions!$B$33/B270-Assumptions!$B$32</f>
        <v>14261.668424147414</v>
      </c>
    </row>
    <row r="273">
      <c r="A273" t="inlineStr">
        <is>
          <t>AD_E</t>
        </is>
      </c>
      <c r="B273">
        <f>Assumptions!$B$35/B271-Assumptions!$B$34</f>
        <v>35097.28180645406</v>
      </c>
    </row>
    <row r="274">
      <c r="A274" t="inlineStr">
        <is>
          <t>NA_sh</t>
        </is>
      </c>
      <c r="B274">
        <f>Assumptions!$B$21/MIN(Assumptions!$B$22/(Assumptions!$B$27+B269+B272+B273+B275),B268*(1-Assumptions!$B$23))</f>
        <v>191305.2014190689</v>
      </c>
    </row>
    <row r="275">
      <c r="A275" t="inlineStr">
        <is>
          <t>NB_sh</t>
        </is>
      </c>
      <c r="B275">
        <f>Assumptions!$B$24/MIN(Assumptions!$B$25/(Assumptions!$B$27+B269+B272+B273+B274),B268*(1-Assumptions!$B$26))</f>
        <v>96938.68609604514</v>
      </c>
    </row>
    <row r="276">
      <c r="A276" t="inlineStr">
        <is>
          <t>pre_FD</t>
        </is>
      </c>
      <c r="B276">
        <f>Assumptions!$B$27+B269+B272+B273+B274+B275</f>
        <v>38452345.48523285</v>
      </c>
    </row>
    <row r="277">
      <c r="A277" t="inlineStr">
        <is>
          <t>T_F</t>
        </is>
      </c>
      <c r="B277">
        <f>(B266+Assumptions!$B$3)/B268</f>
        <v>39276324.31658096</v>
      </c>
    </row>
    <row r="278">
      <c r="A278" t="inlineStr">
        <is>
          <t>our_shares</t>
        </is>
      </c>
      <c r="B278">
        <f>Assumptions!$B$7/B268</f>
        <v>274659.61060880614</v>
      </c>
    </row>
    <row r="279">
      <c r="A279" t="inlineStr">
        <is>
          <t>ownership %</t>
        </is>
      </c>
      <c r="B279">
        <f>B278/B277</f>
        <v>0.006993006993092156</v>
      </c>
    </row>
    <row r="280">
      <c r="A280" t="inlineStr">
        <is>
          <t>F_sh</t>
        </is>
      </c>
      <c r="B280">
        <f>Assumptions!$B$3/B268</f>
        <v>823978.8318264183</v>
      </c>
      <c r="C280">
        <f>Assumptions!$B$3</f>
        <v>30000000.0</v>
      </c>
      <c r="D280" t="str">
        <f>IF(B280*B289&gt;C280,"convert","preference")</f>
        <v>convert</v>
      </c>
    </row>
    <row r="281">
      <c r="A281" t="inlineStr">
        <is>
          <t>E_sh</t>
        </is>
      </c>
      <c r="B281">
        <f>Assumptions!$B$35/B271</f>
        <v>6137764.281806454</v>
      </c>
      <c r="C281">
        <f>Assumptions!$B$35</f>
        <v>300000000.0</v>
      </c>
      <c r="D281" t="str">
        <f>IF(B281*B289&gt;C281,"convert","preference")</f>
        <v>convert</v>
      </c>
    </row>
    <row r="282">
      <c r="A282" t="inlineStr">
        <is>
          <t>D_sh</t>
        </is>
      </c>
      <c r="B282">
        <f>Assumptions!$B$33/B270</f>
        <v>1734888.6684241474</v>
      </c>
      <c r="C282">
        <f>Assumptions!$B$33</f>
        <v>100000000.0</v>
      </c>
      <c r="D282" t="str">
        <f>IF(B282*B289&gt;C282,"convert","preference")</f>
        <v>preference</v>
      </c>
    </row>
    <row r="283">
      <c r="A283" t="inlineStr">
        <is>
          <t>C_sh</t>
        </is>
      </c>
      <c r="B283">
        <f>Assumptions!$B$36</f>
        <v>2400000</v>
      </c>
      <c r="C283">
        <f>Assumptions!$B$37</f>
        <v>60000000.0</v>
      </c>
      <c r="D283" t="str">
        <f>IF(B283*B289&gt;C283,"convert","preference")</f>
        <v>convert</v>
      </c>
    </row>
    <row r="284">
      <c r="A284" t="inlineStr">
        <is>
          <t>B_sh</t>
        </is>
      </c>
      <c r="B284">
        <f>Assumptions!$B$38</f>
        <v>3000000</v>
      </c>
      <c r="C284">
        <f>Assumptions!$B$39</f>
        <v>30000000.0</v>
      </c>
      <c r="D284" t="str">
        <f>IF(B284*B289&gt;C284,"convert","preference")</f>
        <v>convert</v>
      </c>
    </row>
    <row r="285">
      <c r="A285" t="inlineStr">
        <is>
          <t>A_sh</t>
        </is>
      </c>
      <c r="B285">
        <f>Assumptions!$B$40</f>
        <v>5000000</v>
      </c>
      <c r="C285">
        <f>Assumptions!$B$41</f>
        <v>15000000.0</v>
      </c>
      <c r="D285" t="str">
        <f>IF(B285*B289&gt;C285,"convert","preference")</f>
        <v>convert</v>
      </c>
    </row>
    <row r="286">
      <c r="A286" t="inlineStr">
        <is>
          <t>Seed_sh</t>
        </is>
      </c>
      <c r="B286">
        <f>Assumptions!$B$42</f>
        <v>5000000</v>
      </c>
      <c r="C286">
        <f>Assumptions!$B$43</f>
        <v>5000000.0</v>
      </c>
      <c r="D286" t="str">
        <f>IF(B286*B289&gt;C286,"convert","preference")</f>
        <v>convert</v>
      </c>
    </row>
    <row r="287">
      <c r="A287" t="inlineStr">
        <is>
          <t>Notes shares</t>
        </is>
      </c>
      <c r="B287">
        <f>B274+B275</f>
        <v>288243.88751511404</v>
      </c>
    </row>
    <row r="288">
      <c r="A288" t="inlineStr">
        <is>
          <t>LP_total</t>
        </is>
      </c>
      <c r="B288">
        <f>IF(D280="preference",C280,0)+IF(D281="preference",C281,0)+IF(D282="preference",C282,0)+IF(D283="preference",C283,0)+IF(D284="preference",C284,0)+IF(D285="preference",C285,0)+IF(D286="preference",C286,0)</f>
        <v>100000000.0</v>
      </c>
    </row>
    <row r="289">
      <c r="A289" t="inlineStr">
        <is>
          <t>PPS_at_2B</t>
        </is>
      </c>
      <c r="B289">
        <f>(Assumptions!$B$11-B288+Assumptions!$B$28*Assumptions!$B$20)/(Assumptions!$B$44+Assumptions!$B$45+Assumptions!$B$46+Assumptions!$B$47+B287+Assumptions!$B$28+IF(D280="convert",B280,0)+IF(D281="convert",B281,0)+IF(D282="convert",B282,0)+IF(D283="convert",B283,0)+IF(D284="convert",B284,0)+IF(D285="convert",B285,0)+IF(D286="convert",B286,0))</f>
        <v>55.71012369451402</v>
      </c>
    </row>
    <row r="290">
      <c r="A290" t="inlineStr">
        <is>
          <t>F_class_proceeds</t>
        </is>
      </c>
      <c r="B290">
        <f>IF(D280="convert",B280*B289,C280)</f>
        <v>45903962.642710924</v>
      </c>
    </row>
    <row r="291">
      <c r="A291" t="inlineStr">
        <is>
          <t>Our $ proceeds (1/3)</t>
        </is>
      </c>
      <c r="B291">
        <f>B290/3</f>
        <v>15301320.88090364</v>
      </c>
    </row>
    <row r="300">
      <c r="A300" s="1">
        <f>== Scenario [15% ESOP, $1.8B pre] ===</f>
        <v/>
      </c>
    </row>
    <row r="301">
      <c r="A301" t="inlineStr">
        <is>
          <t>pre</t>
        </is>
      </c>
      <c r="B301">
        <f>Assumptions!$B$53</f>
        <v>1800000000.0</v>
      </c>
    </row>
    <row r="302">
      <c r="A302" t="inlineStr">
        <is>
          <t>esop_t</t>
        </is>
      </c>
      <c r="B302">
        <f>Assumptions!$B$50</f>
        <v>0.15</v>
      </c>
    </row>
    <row r="303">
      <c r="A303" t="inlineStr">
        <is>
          <t>F_PPS</t>
        </is>
      </c>
      <c r="B303">
        <f>B301/B311</f>
        <v>46.938803891351455</v>
      </c>
    </row>
    <row r="304">
      <c r="A304" t="inlineStr">
        <is>
          <t>ESOP_topup</t>
        </is>
      </c>
      <c r="B304">
        <f>MAX(0,B302*(B301+Assumptions!$B$3)/B303-Assumptions!$B$30)</f>
        <v>1453372.9422343904</v>
      </c>
    </row>
    <row r="305">
      <c r="A305" t="inlineStr">
        <is>
          <t>NCP_D</t>
        </is>
      </c>
      <c r="B305">
        <f>Assumptions!$B$18*(Assumptions!$B$27+Assumptions!$B$3/Assumptions!$B$18)/(Assumptions!$B$27+Assumptions!$B$3/B303)</f>
        <v>57.926566543554934</v>
      </c>
    </row>
    <row r="306">
      <c r="A306" t="inlineStr">
        <is>
          <t>NCP_E</t>
        </is>
      </c>
      <c r="B306">
        <f>Assumptions!$B$19*(Assumptions!$B$27+Assumptions!$B$3/Assumptions!$B$19)/(Assumptions!$B$27+Assumptions!$B$3/B303)</f>
        <v>49.120236269917314</v>
      </c>
    </row>
    <row r="307">
      <c r="A307" t="inlineStr">
        <is>
          <t>AD_D</t>
        </is>
      </c>
      <c r="B307">
        <f>Assumptions!$B$33/B305-Assumptions!$B$32</f>
        <v>5696.619143041782</v>
      </c>
    </row>
    <row r="308">
      <c r="A308" t="inlineStr">
        <is>
          <t>AD_E</t>
        </is>
      </c>
      <c r="B308">
        <f>Assumptions!$B$35/B306-Assumptions!$B$34</f>
        <v>4795.47944513429</v>
      </c>
    </row>
    <row r="309">
      <c r="A309" t="inlineStr">
        <is>
          <t>NA_sh</t>
        </is>
      </c>
      <c r="B309">
        <f>Assumptions!$B$21/MIN(Assumptions!$B$22/(Assumptions!$B$27+B304+B307+B308+B310),B303*(1-Assumptions!$B$23))</f>
        <v>190785.0890560726</v>
      </c>
    </row>
    <row r="310">
      <c r="A310" t="inlineStr">
        <is>
          <t>NB_sh</t>
        </is>
      </c>
      <c r="B310">
        <f>Assumptions!$B$24/MIN(Assumptions!$B$25/(Assumptions!$B$27+B304+B307+B308+B309),B303*(1-Assumptions!$B$26))</f>
        <v>75191.77039195616</v>
      </c>
    </row>
    <row r="311">
      <c r="A311" t="inlineStr">
        <is>
          <t>pre_FD</t>
        </is>
      </c>
      <c r="B311">
        <f>Assumptions!$B$27+B304+B307+B308+B309+B310</f>
        <v>38347802.900270596</v>
      </c>
    </row>
    <row r="312">
      <c r="A312" t="inlineStr">
        <is>
          <t>T_F</t>
        </is>
      </c>
      <c r="B312">
        <f>(B301+Assumptions!$B$3)/B303</f>
        <v>38986932.94822927</v>
      </c>
    </row>
    <row r="313">
      <c r="A313" t="inlineStr">
        <is>
          <t>our_shares</t>
        </is>
      </c>
      <c r="B313">
        <f>Assumptions!$B$7/B303</f>
        <v>213043.34944594774</v>
      </c>
    </row>
    <row r="314">
      <c r="A314" t="inlineStr">
        <is>
          <t>ownership %</t>
        </is>
      </c>
      <c r="B314">
        <f>B313/B312</f>
        <v>0.005464480874370085</v>
      </c>
    </row>
    <row r="315">
      <c r="A315" t="inlineStr">
        <is>
          <t>F_sh</t>
        </is>
      </c>
      <c r="B315">
        <f>Assumptions!$B$3/B303</f>
        <v>639130.0483378433</v>
      </c>
      <c r="C315">
        <f>Assumptions!$B$3</f>
        <v>30000000.0</v>
      </c>
      <c r="D315" t="str">
        <f>IF(B315*B324&gt;C315,"convert","preference")</f>
        <v>convert</v>
      </c>
    </row>
    <row r="316">
      <c r="A316" t="inlineStr">
        <is>
          <t>E_sh</t>
        </is>
      </c>
      <c r="B316">
        <f>Assumptions!$B$35/B306</f>
        <v>6107462.479445134</v>
      </c>
      <c r="C316">
        <f>Assumptions!$B$35</f>
        <v>300000000.0</v>
      </c>
      <c r="D316" t="str">
        <f>IF(B316*B324&gt;C316,"convert","preference")</f>
        <v>convert</v>
      </c>
    </row>
    <row r="317">
      <c r="A317" t="inlineStr">
        <is>
          <t>D_sh</t>
        </is>
      </c>
      <c r="B317">
        <f>Assumptions!$B$33/B305</f>
        <v>1726323.6191430418</v>
      </c>
      <c r="C317">
        <f>Assumptions!$B$33</f>
        <v>100000000.0</v>
      </c>
      <c r="D317" t="str">
        <f>IF(B317*B324&gt;C317,"convert","preference")</f>
        <v>preference</v>
      </c>
    </row>
    <row r="318">
      <c r="A318" t="inlineStr">
        <is>
          <t>C_sh</t>
        </is>
      </c>
      <c r="B318">
        <f>Assumptions!$B$36</f>
        <v>2400000</v>
      </c>
      <c r="C318">
        <f>Assumptions!$B$37</f>
        <v>60000000.0</v>
      </c>
      <c r="D318" t="str">
        <f>IF(B318*B324&gt;C318,"convert","preference")</f>
        <v>convert</v>
      </c>
    </row>
    <row r="319">
      <c r="A319" t="inlineStr">
        <is>
          <t>B_sh</t>
        </is>
      </c>
      <c r="B319">
        <f>Assumptions!$B$38</f>
        <v>3000000</v>
      </c>
      <c r="C319">
        <f>Assumptions!$B$39</f>
        <v>30000000.0</v>
      </c>
      <c r="D319" t="str">
        <f>IF(B319*B324&gt;C319,"convert","preference")</f>
        <v>convert</v>
      </c>
    </row>
    <row r="320">
      <c r="A320" t="inlineStr">
        <is>
          <t>A_sh</t>
        </is>
      </c>
      <c r="B320">
        <f>Assumptions!$B$40</f>
        <v>5000000</v>
      </c>
      <c r="C320">
        <f>Assumptions!$B$41</f>
        <v>15000000.0</v>
      </c>
      <c r="D320" t="str">
        <f>IF(B320*B324&gt;C320,"convert","preference")</f>
        <v>convert</v>
      </c>
    </row>
    <row r="321">
      <c r="A321" t="inlineStr">
        <is>
          <t>Seed_sh</t>
        </is>
      </c>
      <c r="B321">
        <f>Assumptions!$B$42</f>
        <v>5000000</v>
      </c>
      <c r="C321">
        <f>Assumptions!$B$43</f>
        <v>5000000.0</v>
      </c>
      <c r="D321" t="str">
        <f>IF(B321*B324&gt;C321,"convert","preference")</f>
        <v>convert</v>
      </c>
    </row>
    <row r="322">
      <c r="A322" t="inlineStr">
        <is>
          <t>Notes shares</t>
        </is>
      </c>
      <c r="B322">
        <f>B309+B310</f>
        <v>265976.8594480288</v>
      </c>
    </row>
    <row r="323">
      <c r="A323" t="inlineStr">
        <is>
          <t>LP_total</t>
        </is>
      </c>
      <c r="B323">
        <f>IF(D315="preference",C315,0)+IF(D316="preference",C316,0)+IF(D317="preference",C317,0)+IF(D318="preference",C318,0)+IF(D319="preference",C319,0)+IF(D320="preference",C320,0)+IF(D321="preference",C321,0)</f>
        <v>100000000.0</v>
      </c>
    </row>
    <row r="324">
      <c r="A324" t="inlineStr">
        <is>
          <t>PPS_at_2B</t>
        </is>
      </c>
      <c r="B324">
        <f>(Assumptions!$B$11-B323+Assumptions!$B$28*Assumptions!$B$20)/(Assumptions!$B$44+Assumptions!$B$45+Assumptions!$B$46+Assumptions!$B$47+B322+Assumptions!$B$28+IF(D315="convert",B315,0)+IF(D316="convert",B316,0)+IF(D317="convert",B317,0)+IF(D318="convert",B318,0)+IF(D319="convert",B319,0)+IF(D320="convert",B320,0)+IF(D321="convert",B321,0))</f>
        <v>56.10014323233032</v>
      </c>
    </row>
    <row r="325">
      <c r="A325" t="inlineStr">
        <is>
          <t>F_class_proceeds</t>
        </is>
      </c>
      <c r="B325">
        <f>IF(D315="convert",B315*B324,C315)</f>
        <v>35855287.25583921</v>
      </c>
    </row>
    <row r="326">
      <c r="A326" t="inlineStr">
        <is>
          <t>Our $ proceeds (1/3)</t>
        </is>
      </c>
      <c r="B326">
        <f>B325/3</f>
        <v>11951762.418613069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Return Solver — Required Series F Ownership for $30M / $40M</t>
        </is>
      </c>
    </row>
    <row r="3">
      <c r="A3" s="1" t="inlineStr">
        <is>
          <t>Exit</t>
        </is>
      </c>
      <c r="B3" s="1" t="inlineStr">
        <is>
          <t>F class proceeds</t>
        </is>
      </c>
      <c r="C3" s="1" t="inlineStr">
        <is>
          <t>x for 3x ($30M)</t>
        </is>
      </c>
      <c r="D3" s="1" t="inlineStr">
        <is>
          <t>x for 4x ($40M)</t>
        </is>
      </c>
      <c r="E3" s="1" t="inlineStr">
        <is>
          <t>Feasible 3x?</t>
        </is>
      </c>
      <c r="F3" s="1" t="inlineStr">
        <is>
          <t>Feasible 4x?</t>
        </is>
      </c>
    </row>
    <row r="4">
      <c r="A4">
        <f>Assumptions!$B$9</f>
        <v>700000000.0</v>
      </c>
      <c r="B4">
        <f>Waterfall!B28</f>
        <v>30000000.0</v>
      </c>
      <c r="C4">
        <f>Assumptions!$B$54*Assumptions!$B$7/B4</f>
        <v>1.0</v>
      </c>
      <c r="D4">
        <f>Assumptions!$B$55*Assumptions!$B$7/B4</f>
        <v>1.3333333333333333</v>
      </c>
      <c r="E4" t="str">
        <f>IF(AND(C4&gt;0,C4&lt;=1),"feasible","infeasible")</f>
        <v>feasible</v>
      </c>
      <c r="F4" t="str">
        <f>IF(AND(D4&gt;0,D4&lt;=1),"feasible","infeasible")</f>
        <v>infeasible</v>
      </c>
    </row>
    <row r="5">
      <c r="A5">
        <f>Assumptions!$B$10</f>
        <v>1200000000.0</v>
      </c>
      <c r="B5">
        <f>Waterfall!C28</f>
        <v>30000000.0</v>
      </c>
      <c r="C5">
        <f>Assumptions!$B$54*Assumptions!$B$7/B5</f>
        <v>1.0</v>
      </c>
      <c r="D5">
        <f>Assumptions!$B$55*Assumptions!$B$7/B5</f>
        <v>1.3333333333333333</v>
      </c>
      <c r="E5" t="str">
        <f>IF(AND(C5&gt;0,C5&lt;=1),"feasible","infeasible")</f>
        <v>feasible</v>
      </c>
      <c r="F5" t="str">
        <f>IF(AND(D5&gt;0,D5&lt;=1),"feasible","infeasible")</f>
        <v>infeasible</v>
      </c>
    </row>
    <row r="6">
      <c r="A6">
        <f>Assumptions!$B$11</f>
        <v>2000000000.0</v>
      </c>
      <c r="B6">
        <f>Waterfall!D28</f>
        <v>44846575.377327986</v>
      </c>
      <c r="C6">
        <f>Assumptions!$B$54*Assumptions!$B$7/B6</f>
        <v>0.6689474000542388</v>
      </c>
      <c r="D6">
        <f>Assumptions!$B$55*Assumptions!$B$7/B6</f>
        <v>0.8919298667389851</v>
      </c>
      <c r="E6" t="str">
        <f>IF(AND(C6&gt;0,C6&lt;=1),"feasible","infeasible")</f>
        <v>feasible</v>
      </c>
      <c r="F6" t="str">
        <f>IF(AND(D6&gt;0,D6&lt;=1),"feasible","infeasible")</f>
        <v>feasible</v>
      </c>
    </row>
    <row r="7">
      <c r="A7">
        <f>Assumptions!$B$12</f>
        <v>4000000000.0</v>
      </c>
      <c r="B7">
        <f>Waterfall!E28</f>
        <v>89785823.29108745</v>
      </c>
      <c r="C7">
        <f>Assumptions!$B$54*Assumptions!$B$7/B7</f>
        <v>0.3341284726291298</v>
      </c>
      <c r="D7">
        <f>Assumptions!$B$55*Assumptions!$B$7/B7</f>
        <v>0.4455046301721731</v>
      </c>
      <c r="E7" t="str">
        <f>IF(AND(C7&gt;0,C7&lt;=1),"feasible","infeasible")</f>
        <v>feasible</v>
      </c>
      <c r="F7" t="str">
        <f>IF(AND(D7&gt;0,D7&lt;=1),"feasible","infeasible")</f>
        <v>feasible</v>
      </c>
    </row>
    <row r="8">
      <c r="A8">
        <f>Assumptions!$B$13</f>
        <v>8000000000.0</v>
      </c>
      <c r="B8">
        <f>Waterfall!F28</f>
        <v>179515565.49329853</v>
      </c>
      <c r="C8">
        <f>Assumptions!$B$54*Assumptions!$B$7/B8</f>
        <v>0.16711642757864317</v>
      </c>
      <c r="D8">
        <f>Assumptions!$B$55*Assumptions!$B$7/B8</f>
        <v>0.22282190343819092</v>
      </c>
      <c r="E8" t="str">
        <f>IF(AND(C8&gt;0,C8&lt;=1),"feasible","infeasible")</f>
        <v>feasible</v>
      </c>
      <c r="F8" t="str">
        <f>IF(AND(D8&gt;0,D8&lt;=1),"feasible","infeasible")</f>
        <v>feasible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2026-04-26T20:36:32Z</dcterms:created>
  <dcterms:modified xmlns:dcterms="http://purl.org/dc/terms/" xmlns:xsi="http://www.w3.org/2001/XMLSchema-instance" xsi:type="dcterms:W3CDTF">2026-04-26T20:36:32Z</dcterms:modified>
</cp:coreProperties>
</file>